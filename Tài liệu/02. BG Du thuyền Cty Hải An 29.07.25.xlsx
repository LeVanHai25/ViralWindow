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G:\My Drive\01.VIRAL\02.HOA KT\05. Hợp đồng\02.HĐ khách hàng\2025\HĐ Cty Hải An (DT A Khánh)\"/>
    </mc:Choice>
  </mc:AlternateContent>
  <bookViews>
    <workbookView xWindow="0" yWindow="0" windowWidth="28800" windowHeight="12330" tabRatio="919" activeTab="2"/>
  </bookViews>
  <sheets>
    <sheet name="ĐÃ đi hàng" sheetId="6" r:id="rId1"/>
    <sheet name="ĐÃ sản xuất 04.10.25" sheetId="7" r:id="rId2"/>
    <sheet name="GKH" sheetId="5" r:id="rId3"/>
    <sheet name="Sheet1" sheetId="2" state="hidden" r:id="rId4"/>
  </sheets>
  <definedNames>
    <definedName name="_xlnm._FilterDatabase" localSheetId="0" hidden="1">'ĐÃ đi hàng'!$A$11:$WVT$147</definedName>
    <definedName name="_xlnm._FilterDatabase" localSheetId="1" hidden="1">'ĐÃ sản xuất 04.10.25'!$A$11:$WVS$186</definedName>
    <definedName name="_xlnm._FilterDatabase" localSheetId="2" hidden="1">GKH!$A$11:$WVS$187</definedName>
    <definedName name="_xlnm.Print_Area" localSheetId="0">'ĐÃ đi hàng'!$A$1:$L$148</definedName>
    <definedName name="_xlnm.Print_Area" localSheetId="1">'ĐÃ sản xuất 04.10.25'!$A$1:$L$187</definedName>
    <definedName name="_xlnm.Print_Area" localSheetId="2">GKH!$A$1:$L$187</definedName>
    <definedName name="_xlnm.Print_Titles" localSheetId="0">'ĐÃ đi hàng'!$10:$11</definedName>
    <definedName name="_xlnm.Print_Titles" localSheetId="1">'ĐÃ sản xuất 04.10.25'!$10:$11</definedName>
    <definedName name="_xlnm.Print_Titles" localSheetId="2">GKH!$10:$11</definedName>
  </definedNames>
  <calcPr calcId="162913"/>
</workbook>
</file>

<file path=xl/calcChain.xml><?xml version="1.0" encoding="utf-8"?>
<calcChain xmlns="http://schemas.openxmlformats.org/spreadsheetml/2006/main">
  <c r="F175" i="7" l="1"/>
  <c r="H175" i="7" s="1"/>
  <c r="L174" i="7"/>
  <c r="H174" i="7"/>
  <c r="H173" i="7"/>
  <c r="L173" i="7" s="1"/>
  <c r="L172" i="7"/>
  <c r="H172" i="7"/>
  <c r="F171" i="7"/>
  <c r="L170" i="7"/>
  <c r="H170" i="7"/>
  <c r="H169" i="7"/>
  <c r="L169" i="7" s="1"/>
  <c r="L168" i="7"/>
  <c r="H168" i="7"/>
  <c r="H167" i="7"/>
  <c r="L167" i="7" s="1"/>
  <c r="L166" i="7"/>
  <c r="F166" i="7"/>
  <c r="H166" i="7" s="1"/>
  <c r="L165" i="7"/>
  <c r="H165" i="7"/>
  <c r="H164" i="7"/>
  <c r="L164" i="7" s="1"/>
  <c r="H163" i="7"/>
  <c r="L163" i="7" s="1"/>
  <c r="H161" i="7"/>
  <c r="L161" i="7" s="1"/>
  <c r="L160" i="7"/>
  <c r="H160" i="7"/>
  <c r="F160" i="7"/>
  <c r="F159" i="7"/>
  <c r="H159" i="7" s="1"/>
  <c r="L159" i="7" s="1"/>
  <c r="H158" i="7"/>
  <c r="L158" i="7" s="1"/>
  <c r="L157" i="7"/>
  <c r="H157" i="7"/>
  <c r="H156" i="7"/>
  <c r="L156" i="7" s="1"/>
  <c r="H155" i="7"/>
  <c r="L155" i="7" s="1"/>
  <c r="F154" i="7"/>
  <c r="L153" i="7"/>
  <c r="H153" i="7"/>
  <c r="H152" i="7"/>
  <c r="L152" i="7" s="1"/>
  <c r="L151" i="7"/>
  <c r="H151" i="7"/>
  <c r="F150" i="7"/>
  <c r="L150" i="7" s="1"/>
  <c r="H149" i="7"/>
  <c r="L149" i="7" s="1"/>
  <c r="H148" i="7"/>
  <c r="L148" i="7" s="1"/>
  <c r="H147" i="7"/>
  <c r="L147" i="7" s="1"/>
  <c r="H146" i="7"/>
  <c r="L146" i="7" s="1"/>
  <c r="H145" i="7"/>
  <c r="L145" i="7" s="1"/>
  <c r="L144" i="7"/>
  <c r="H144" i="7"/>
  <c r="F144" i="7"/>
  <c r="H143" i="7"/>
  <c r="L143" i="7" s="1"/>
  <c r="L142" i="7"/>
  <c r="H142" i="7"/>
  <c r="H141" i="7"/>
  <c r="L141" i="7" s="1"/>
  <c r="L140" i="7"/>
  <c r="H140" i="7"/>
  <c r="H138" i="7"/>
  <c r="L138" i="7" s="1"/>
  <c r="L137" i="7"/>
  <c r="H137" i="7"/>
  <c r="H136" i="7"/>
  <c r="L136" i="7" s="1"/>
  <c r="L135" i="7"/>
  <c r="H135" i="7"/>
  <c r="H134" i="7"/>
  <c r="L134" i="7" s="1"/>
  <c r="L133" i="7"/>
  <c r="H133" i="7"/>
  <c r="H132" i="7"/>
  <c r="L132" i="7" s="1"/>
  <c r="L131" i="7"/>
  <c r="H131" i="7"/>
  <c r="H130" i="7"/>
  <c r="L130" i="7" s="1"/>
  <c r="L129" i="7"/>
  <c r="H129" i="7"/>
  <c r="H128" i="7"/>
  <c r="L128" i="7" s="1"/>
  <c r="L127" i="7"/>
  <c r="H127" i="7"/>
  <c r="H126" i="7"/>
  <c r="L126" i="7" s="1"/>
  <c r="L125" i="7"/>
  <c r="H125" i="7"/>
  <c r="H124" i="7"/>
  <c r="L124" i="7" s="1"/>
  <c r="L123" i="7"/>
  <c r="H123" i="7"/>
  <c r="H122" i="7"/>
  <c r="L122" i="7" s="1"/>
  <c r="L120" i="7"/>
  <c r="H120" i="7"/>
  <c r="H119" i="7"/>
  <c r="L119" i="7" s="1"/>
  <c r="L118" i="7"/>
  <c r="H118" i="7"/>
  <c r="H117" i="7"/>
  <c r="L117" i="7" s="1"/>
  <c r="L116" i="7"/>
  <c r="H116" i="7"/>
  <c r="H115" i="7"/>
  <c r="L115" i="7" s="1"/>
  <c r="L114" i="7"/>
  <c r="H114" i="7"/>
  <c r="H113" i="7"/>
  <c r="L113" i="7" s="1"/>
  <c r="L112" i="7"/>
  <c r="H112" i="7"/>
  <c r="H111" i="7"/>
  <c r="L111" i="7" s="1"/>
  <c r="L110" i="7"/>
  <c r="H110" i="7"/>
  <c r="H109" i="7"/>
  <c r="L109" i="7" s="1"/>
  <c r="L108" i="7"/>
  <c r="H108" i="7"/>
  <c r="H107" i="7"/>
  <c r="L107" i="7" s="1"/>
  <c r="L106" i="7"/>
  <c r="H106" i="7"/>
  <c r="H105" i="7"/>
  <c r="L105" i="7" s="1"/>
  <c r="L104" i="7"/>
  <c r="H104" i="7"/>
  <c r="H103" i="7"/>
  <c r="L103" i="7" s="1"/>
  <c r="L102" i="7"/>
  <c r="H102" i="7"/>
  <c r="H101" i="7"/>
  <c r="L101" i="7" s="1"/>
  <c r="L100" i="7"/>
  <c r="H100" i="7"/>
  <c r="H99" i="7"/>
  <c r="L99" i="7" s="1"/>
  <c r="L98" i="7"/>
  <c r="H98" i="7"/>
  <c r="H97" i="7"/>
  <c r="L97" i="7" s="1"/>
  <c r="L96" i="7"/>
  <c r="H96" i="7"/>
  <c r="H95" i="7"/>
  <c r="L95" i="7" s="1"/>
  <c r="L94" i="7"/>
  <c r="H94" i="7"/>
  <c r="H93" i="7"/>
  <c r="L93" i="7" s="1"/>
  <c r="L92" i="7"/>
  <c r="H92" i="7"/>
  <c r="H91" i="7"/>
  <c r="L91" i="7" s="1"/>
  <c r="L90" i="7"/>
  <c r="H90" i="7"/>
  <c r="H89" i="7"/>
  <c r="L89" i="7" s="1"/>
  <c r="L88" i="7"/>
  <c r="H88" i="7"/>
  <c r="H87" i="7"/>
  <c r="L87" i="7" s="1"/>
  <c r="L85" i="7"/>
  <c r="H85" i="7"/>
  <c r="H84" i="7"/>
  <c r="L84" i="7" s="1"/>
  <c r="L83" i="7"/>
  <c r="H83" i="7"/>
  <c r="H82" i="7"/>
  <c r="L82" i="7" s="1"/>
  <c r="L81" i="7"/>
  <c r="H81" i="7"/>
  <c r="H80" i="7"/>
  <c r="L80" i="7" s="1"/>
  <c r="L79" i="7"/>
  <c r="H79" i="7"/>
  <c r="H78" i="7"/>
  <c r="L78" i="7" s="1"/>
  <c r="L77" i="7"/>
  <c r="H77" i="7"/>
  <c r="H76" i="7"/>
  <c r="L76" i="7" s="1"/>
  <c r="L75" i="7"/>
  <c r="H75" i="7"/>
  <c r="H74" i="7"/>
  <c r="L74" i="7" s="1"/>
  <c r="L73" i="7"/>
  <c r="H73" i="7"/>
  <c r="H72" i="7"/>
  <c r="L72" i="7" s="1"/>
  <c r="L71" i="7"/>
  <c r="H71" i="7"/>
  <c r="H70" i="7"/>
  <c r="L70" i="7" s="1"/>
  <c r="L69" i="7"/>
  <c r="H69" i="7"/>
  <c r="H68" i="7"/>
  <c r="L68" i="7" s="1"/>
  <c r="L67" i="7"/>
  <c r="H67" i="7"/>
  <c r="H66" i="7"/>
  <c r="L66" i="7" s="1"/>
  <c r="L65" i="7"/>
  <c r="H65" i="7"/>
  <c r="H64" i="7"/>
  <c r="L64" i="7" s="1"/>
  <c r="L63" i="7"/>
  <c r="H63" i="7"/>
  <c r="H62" i="7"/>
  <c r="L62" i="7" s="1"/>
  <c r="L61" i="7"/>
  <c r="H61" i="7"/>
  <c r="H60" i="7"/>
  <c r="L60" i="7" s="1"/>
  <c r="L59" i="7"/>
  <c r="H59" i="7"/>
  <c r="H58" i="7"/>
  <c r="L58" i="7" s="1"/>
  <c r="L57" i="7"/>
  <c r="H57" i="7"/>
  <c r="H56" i="7"/>
  <c r="L56" i="7" s="1"/>
  <c r="L55" i="7"/>
  <c r="H55" i="7"/>
  <c r="H54" i="7"/>
  <c r="L54" i="7" s="1"/>
  <c r="L53" i="7"/>
  <c r="H53" i="7"/>
  <c r="H52" i="7"/>
  <c r="L52" i="7" s="1"/>
  <c r="L51" i="7"/>
  <c r="H51" i="7"/>
  <c r="H50" i="7"/>
  <c r="L50" i="7" s="1"/>
  <c r="L48" i="7"/>
  <c r="H48" i="7"/>
  <c r="H47" i="7"/>
  <c r="L47" i="7" s="1"/>
  <c r="L46" i="7"/>
  <c r="H46" i="7"/>
  <c r="H45" i="7"/>
  <c r="L45" i="7" s="1"/>
  <c r="L44" i="7"/>
  <c r="H44" i="7"/>
  <c r="H43" i="7"/>
  <c r="L43" i="7" s="1"/>
  <c r="L42" i="7"/>
  <c r="H42" i="7"/>
  <c r="H41" i="7"/>
  <c r="L41" i="7" s="1"/>
  <c r="L40" i="7"/>
  <c r="H40" i="7"/>
  <c r="H39" i="7"/>
  <c r="L39" i="7" s="1"/>
  <c r="L38" i="7"/>
  <c r="H38" i="7"/>
  <c r="H37" i="7"/>
  <c r="L37" i="7" s="1"/>
  <c r="L36" i="7"/>
  <c r="H36" i="7"/>
  <c r="H35" i="7"/>
  <c r="L35" i="7" s="1"/>
  <c r="L34" i="7"/>
  <c r="H34" i="7"/>
  <c r="H33" i="7"/>
  <c r="L33" i="7" s="1"/>
  <c r="L32" i="7"/>
  <c r="H32" i="7"/>
  <c r="H31" i="7"/>
  <c r="L31" i="7" s="1"/>
  <c r="L30" i="7"/>
  <c r="H30" i="7"/>
  <c r="H29" i="7"/>
  <c r="L29" i="7" s="1"/>
  <c r="L28" i="7"/>
  <c r="H28" i="7"/>
  <c r="H27" i="7"/>
  <c r="L27" i="7" s="1"/>
  <c r="L26" i="7"/>
  <c r="H26" i="7"/>
  <c r="H25" i="7"/>
  <c r="L25" i="7" s="1"/>
  <c r="L24" i="7"/>
  <c r="H24" i="7"/>
  <c r="H23" i="7"/>
  <c r="L23" i="7" s="1"/>
  <c r="L22" i="7"/>
  <c r="H22" i="7"/>
  <c r="H21" i="7"/>
  <c r="L21" i="7" s="1"/>
  <c r="L20" i="7"/>
  <c r="H20" i="7"/>
  <c r="H19" i="7"/>
  <c r="L19" i="7" s="1"/>
  <c r="L18" i="7"/>
  <c r="H18" i="7"/>
  <c r="H17" i="7"/>
  <c r="L17" i="7" s="1"/>
  <c r="L16" i="7"/>
  <c r="H16" i="7"/>
  <c r="H15" i="7"/>
  <c r="L15" i="7" s="1"/>
  <c r="L14" i="7"/>
  <c r="H14" i="7"/>
  <c r="H13" i="7"/>
  <c r="L171" i="7" l="1"/>
  <c r="H171" i="7"/>
  <c r="L13" i="7"/>
  <c r="H176" i="7"/>
  <c r="H150" i="7"/>
  <c r="L154" i="7"/>
  <c r="H154" i="7"/>
  <c r="L175" i="7"/>
  <c r="O139" i="6"/>
  <c r="O138" i="6"/>
  <c r="O137" i="6"/>
  <c r="L176" i="7" l="1"/>
  <c r="M176" i="7" s="1"/>
  <c r="O136" i="6"/>
  <c r="L135" i="6"/>
  <c r="H134" i="6"/>
  <c r="F134" i="6"/>
  <c r="L134" i="6" s="1"/>
  <c r="H133" i="6"/>
  <c r="L133" i="6" s="1"/>
  <c r="L132" i="6"/>
  <c r="H132" i="6"/>
  <c r="H131" i="6"/>
  <c r="L131" i="6" s="1"/>
  <c r="F130" i="6"/>
  <c r="H130" i="6" s="1"/>
  <c r="H129" i="6"/>
  <c r="L129" i="6" s="1"/>
  <c r="H128" i="6"/>
  <c r="L128" i="6" s="1"/>
  <c r="H127" i="6"/>
  <c r="L127" i="6" s="1"/>
  <c r="H126" i="6"/>
  <c r="L126" i="6" s="1"/>
  <c r="F125" i="6"/>
  <c r="L125" i="6" s="1"/>
  <c r="L124" i="6"/>
  <c r="H124" i="6"/>
  <c r="H123" i="6"/>
  <c r="L123" i="6" s="1"/>
  <c r="L122" i="6"/>
  <c r="H122" i="6"/>
  <c r="H120" i="6"/>
  <c r="L120" i="6" s="1"/>
  <c r="H119" i="6"/>
  <c r="L119" i="6" s="1"/>
  <c r="H118" i="6"/>
  <c r="L118" i="6" s="1"/>
  <c r="H117" i="6"/>
  <c r="L117" i="6" s="1"/>
  <c r="H116" i="6"/>
  <c r="L116" i="6" s="1"/>
  <c r="H115" i="6"/>
  <c r="L115" i="6" s="1"/>
  <c r="H114" i="6"/>
  <c r="L114" i="6" s="1"/>
  <c r="H113" i="6"/>
  <c r="L113" i="6" s="1"/>
  <c r="H112" i="6"/>
  <c r="L112" i="6" s="1"/>
  <c r="H111" i="6"/>
  <c r="L111" i="6" s="1"/>
  <c r="H110" i="6"/>
  <c r="L110" i="6" s="1"/>
  <c r="H109" i="6"/>
  <c r="L109" i="6" s="1"/>
  <c r="H108" i="6"/>
  <c r="L108" i="6" s="1"/>
  <c r="H107" i="6"/>
  <c r="L107" i="6" s="1"/>
  <c r="H106" i="6"/>
  <c r="L106" i="6" s="1"/>
  <c r="H105" i="6"/>
  <c r="L105" i="6" s="1"/>
  <c r="H104" i="6"/>
  <c r="L104" i="6" s="1"/>
  <c r="H103" i="6"/>
  <c r="L103" i="6" s="1"/>
  <c r="H102" i="6"/>
  <c r="L102" i="6" s="1"/>
  <c r="H101" i="6"/>
  <c r="L101" i="6" s="1"/>
  <c r="H100" i="6"/>
  <c r="L100" i="6" s="1"/>
  <c r="H99" i="6"/>
  <c r="L99" i="6" s="1"/>
  <c r="H98" i="6"/>
  <c r="L98" i="6" s="1"/>
  <c r="H97" i="6"/>
  <c r="L97" i="6" s="1"/>
  <c r="H96" i="6"/>
  <c r="L96" i="6" s="1"/>
  <c r="H95" i="6"/>
  <c r="L95" i="6" s="1"/>
  <c r="H94" i="6"/>
  <c r="L94" i="6" s="1"/>
  <c r="H93" i="6"/>
  <c r="L93" i="6" s="1"/>
  <c r="H92" i="6"/>
  <c r="L92" i="6" s="1"/>
  <c r="H91" i="6"/>
  <c r="L91" i="6" s="1"/>
  <c r="H90" i="6"/>
  <c r="L90" i="6" s="1"/>
  <c r="H89" i="6"/>
  <c r="L89" i="6" s="1"/>
  <c r="H88" i="6"/>
  <c r="L88" i="6" s="1"/>
  <c r="H87" i="6"/>
  <c r="L87" i="6" s="1"/>
  <c r="H85" i="6"/>
  <c r="L85" i="6" s="1"/>
  <c r="H84" i="6"/>
  <c r="L84" i="6" s="1"/>
  <c r="H83" i="6"/>
  <c r="L83" i="6" s="1"/>
  <c r="H82" i="6"/>
  <c r="L82" i="6" s="1"/>
  <c r="H81" i="6"/>
  <c r="L81" i="6" s="1"/>
  <c r="H80" i="6"/>
  <c r="L80" i="6" s="1"/>
  <c r="H79" i="6"/>
  <c r="L79" i="6" s="1"/>
  <c r="H78" i="6"/>
  <c r="L78" i="6" s="1"/>
  <c r="H77" i="6"/>
  <c r="L77" i="6" s="1"/>
  <c r="H76" i="6"/>
  <c r="L76" i="6" s="1"/>
  <c r="H75" i="6"/>
  <c r="L75" i="6" s="1"/>
  <c r="H74" i="6"/>
  <c r="L74" i="6" s="1"/>
  <c r="H73" i="6"/>
  <c r="L73" i="6" s="1"/>
  <c r="H72" i="6"/>
  <c r="L72" i="6" s="1"/>
  <c r="H71" i="6"/>
  <c r="L71" i="6" s="1"/>
  <c r="H70" i="6"/>
  <c r="L70" i="6" s="1"/>
  <c r="H69" i="6"/>
  <c r="L69" i="6" s="1"/>
  <c r="H68" i="6"/>
  <c r="L68" i="6" s="1"/>
  <c r="H67" i="6"/>
  <c r="L67" i="6" s="1"/>
  <c r="H66" i="6"/>
  <c r="L66" i="6" s="1"/>
  <c r="H65" i="6"/>
  <c r="L65" i="6" s="1"/>
  <c r="H64" i="6"/>
  <c r="L64" i="6" s="1"/>
  <c r="H63" i="6"/>
  <c r="L63" i="6" s="1"/>
  <c r="H62" i="6"/>
  <c r="L62" i="6" s="1"/>
  <c r="H61" i="6"/>
  <c r="L61" i="6" s="1"/>
  <c r="H60" i="6"/>
  <c r="L60" i="6" s="1"/>
  <c r="H59" i="6"/>
  <c r="L59" i="6" s="1"/>
  <c r="H58" i="6"/>
  <c r="L58" i="6" s="1"/>
  <c r="H57" i="6"/>
  <c r="L57" i="6" s="1"/>
  <c r="H56" i="6"/>
  <c r="L56" i="6" s="1"/>
  <c r="H55" i="6"/>
  <c r="L55" i="6" s="1"/>
  <c r="H54" i="6"/>
  <c r="L54" i="6" s="1"/>
  <c r="H53" i="6"/>
  <c r="L53" i="6" s="1"/>
  <c r="H52" i="6"/>
  <c r="L52" i="6" s="1"/>
  <c r="H51" i="6"/>
  <c r="L51" i="6" s="1"/>
  <c r="H50" i="6"/>
  <c r="L50" i="6" s="1"/>
  <c r="H48" i="6"/>
  <c r="L48" i="6" s="1"/>
  <c r="H47" i="6"/>
  <c r="L47" i="6" s="1"/>
  <c r="H46" i="6"/>
  <c r="L46" i="6" s="1"/>
  <c r="H45" i="6"/>
  <c r="L45" i="6" s="1"/>
  <c r="H44" i="6"/>
  <c r="L44" i="6" s="1"/>
  <c r="H43" i="6"/>
  <c r="L43" i="6" s="1"/>
  <c r="H42" i="6"/>
  <c r="L42" i="6" s="1"/>
  <c r="H41" i="6"/>
  <c r="L41" i="6" s="1"/>
  <c r="H40" i="6"/>
  <c r="L40" i="6" s="1"/>
  <c r="H39" i="6"/>
  <c r="L39" i="6" s="1"/>
  <c r="H38" i="6"/>
  <c r="L38" i="6" s="1"/>
  <c r="H37" i="6"/>
  <c r="L37" i="6" s="1"/>
  <c r="H36" i="6"/>
  <c r="L36" i="6" s="1"/>
  <c r="H35" i="6"/>
  <c r="L35" i="6" s="1"/>
  <c r="H34" i="6"/>
  <c r="L34" i="6" s="1"/>
  <c r="H33" i="6"/>
  <c r="L33" i="6" s="1"/>
  <c r="H32" i="6"/>
  <c r="L32" i="6" s="1"/>
  <c r="H31" i="6"/>
  <c r="L31" i="6" s="1"/>
  <c r="H30" i="6"/>
  <c r="L30" i="6" s="1"/>
  <c r="H29" i="6"/>
  <c r="L29" i="6" s="1"/>
  <c r="H28" i="6"/>
  <c r="L28" i="6" s="1"/>
  <c r="H27" i="6"/>
  <c r="L27" i="6" s="1"/>
  <c r="H26" i="6"/>
  <c r="L26" i="6" s="1"/>
  <c r="H25" i="6"/>
  <c r="L25" i="6" s="1"/>
  <c r="H24" i="6"/>
  <c r="L24" i="6" s="1"/>
  <c r="H23" i="6"/>
  <c r="L23" i="6" s="1"/>
  <c r="H22" i="6"/>
  <c r="L22" i="6" s="1"/>
  <c r="H21" i="6"/>
  <c r="L21" i="6" s="1"/>
  <c r="H20" i="6"/>
  <c r="L20" i="6" s="1"/>
  <c r="H19" i="6"/>
  <c r="L19" i="6" s="1"/>
  <c r="H18" i="6"/>
  <c r="L18" i="6" s="1"/>
  <c r="H17" i="6"/>
  <c r="L17" i="6" s="1"/>
  <c r="H16" i="6"/>
  <c r="L16" i="6" s="1"/>
  <c r="H15" i="6"/>
  <c r="L15" i="6" s="1"/>
  <c r="H14" i="6"/>
  <c r="L14" i="6" s="1"/>
  <c r="H13" i="6"/>
  <c r="L13" i="6" s="1"/>
  <c r="H125" i="6" l="1"/>
  <c r="L130" i="6"/>
  <c r="H135" i="6"/>
  <c r="F175" i="5" l="1"/>
  <c r="L175" i="5" s="1"/>
  <c r="H174" i="5"/>
  <c r="L174" i="5" s="1"/>
  <c r="H173" i="5"/>
  <c r="L173" i="5" s="1"/>
  <c r="H172" i="5"/>
  <c r="L172" i="5" s="1"/>
  <c r="F171" i="5"/>
  <c r="H171" i="5" s="1"/>
  <c r="H170" i="5"/>
  <c r="L170" i="5" s="1"/>
  <c r="H169" i="5"/>
  <c r="H168" i="5"/>
  <c r="H167" i="5"/>
  <c r="F166" i="5"/>
  <c r="L166" i="5" s="1"/>
  <c r="H165" i="5"/>
  <c r="L165" i="5" s="1"/>
  <c r="H164" i="5"/>
  <c r="L164" i="5" s="1"/>
  <c r="H163" i="5"/>
  <c r="L163" i="5" s="1"/>
  <c r="H161" i="5"/>
  <c r="L161" i="5" s="1"/>
  <c r="F160" i="5"/>
  <c r="L160" i="5" s="1"/>
  <c r="H159" i="5"/>
  <c r="L159" i="5" s="1"/>
  <c r="F159" i="5"/>
  <c r="H158" i="5"/>
  <c r="L158" i="5" s="1"/>
  <c r="H157" i="5"/>
  <c r="L157" i="5" s="1"/>
  <c r="H156" i="5"/>
  <c r="L156" i="5" s="1"/>
  <c r="H155" i="5"/>
  <c r="F154" i="5"/>
  <c r="H154" i="5" s="1"/>
  <c r="H153" i="5"/>
  <c r="L153" i="5" s="1"/>
  <c r="H152" i="5"/>
  <c r="L152" i="5" s="1"/>
  <c r="H151" i="5"/>
  <c r="F150" i="5"/>
  <c r="L150" i="5" s="1"/>
  <c r="H149" i="5"/>
  <c r="L149" i="5" s="1"/>
  <c r="H148" i="5"/>
  <c r="L148" i="5" s="1"/>
  <c r="H147" i="5"/>
  <c r="L147" i="5" s="1"/>
  <c r="H146" i="5"/>
  <c r="L146" i="5" s="1"/>
  <c r="H145" i="5"/>
  <c r="L145" i="5" s="1"/>
  <c r="F144" i="5"/>
  <c r="L144" i="5" s="1"/>
  <c r="H143" i="5"/>
  <c r="L143" i="5" s="1"/>
  <c r="H142" i="5"/>
  <c r="H141" i="5"/>
  <c r="H140" i="5"/>
  <c r="H138" i="5"/>
  <c r="H137" i="5"/>
  <c r="H136" i="5"/>
  <c r="H135" i="5"/>
  <c r="H134" i="5"/>
  <c r="H133" i="5"/>
  <c r="H132" i="5"/>
  <c r="H131" i="5"/>
  <c r="H130" i="5"/>
  <c r="H129" i="5"/>
  <c r="H128" i="5"/>
  <c r="H127" i="5"/>
  <c r="H126" i="5"/>
  <c r="L126" i="5" s="1"/>
  <c r="H125" i="5"/>
  <c r="L125" i="5" s="1"/>
  <c r="H124" i="5"/>
  <c r="H123" i="5"/>
  <c r="H122" i="5"/>
  <c r="H120" i="5"/>
  <c r="L120" i="5" s="1"/>
  <c r="H119" i="5"/>
  <c r="L119" i="5" s="1"/>
  <c r="H118" i="5"/>
  <c r="L118" i="5" s="1"/>
  <c r="H117" i="5"/>
  <c r="L117" i="5" s="1"/>
  <c r="H116" i="5"/>
  <c r="L116" i="5" s="1"/>
  <c r="H115" i="5"/>
  <c r="L115" i="5" s="1"/>
  <c r="H114" i="5"/>
  <c r="L114" i="5" s="1"/>
  <c r="H113" i="5"/>
  <c r="L113" i="5" s="1"/>
  <c r="H112" i="5"/>
  <c r="L112" i="5" s="1"/>
  <c r="H111" i="5"/>
  <c r="L111" i="5" s="1"/>
  <c r="H110" i="5"/>
  <c r="L110" i="5" s="1"/>
  <c r="H109" i="5"/>
  <c r="L109" i="5" s="1"/>
  <c r="H108" i="5"/>
  <c r="L108" i="5" s="1"/>
  <c r="H107" i="5"/>
  <c r="L107" i="5" s="1"/>
  <c r="H106" i="5"/>
  <c r="L106" i="5" s="1"/>
  <c r="H105" i="5"/>
  <c r="L105" i="5" s="1"/>
  <c r="H104" i="5"/>
  <c r="L104" i="5" s="1"/>
  <c r="H103" i="5"/>
  <c r="L103" i="5" s="1"/>
  <c r="H102" i="5"/>
  <c r="L102" i="5" s="1"/>
  <c r="H101" i="5"/>
  <c r="L101" i="5" s="1"/>
  <c r="H100" i="5"/>
  <c r="L100" i="5" s="1"/>
  <c r="H99" i="5"/>
  <c r="L99" i="5" s="1"/>
  <c r="H98" i="5"/>
  <c r="L98" i="5" s="1"/>
  <c r="H97" i="5"/>
  <c r="L97" i="5" s="1"/>
  <c r="H96" i="5"/>
  <c r="L96" i="5" s="1"/>
  <c r="H95" i="5"/>
  <c r="L95" i="5" s="1"/>
  <c r="H94" i="5"/>
  <c r="L94" i="5" s="1"/>
  <c r="H93" i="5"/>
  <c r="L93" i="5" s="1"/>
  <c r="H92" i="5"/>
  <c r="L92" i="5" s="1"/>
  <c r="H91" i="5"/>
  <c r="L91" i="5" s="1"/>
  <c r="H90" i="5"/>
  <c r="L90" i="5" s="1"/>
  <c r="H89" i="5"/>
  <c r="L89" i="5" s="1"/>
  <c r="H88" i="5"/>
  <c r="L88" i="5" s="1"/>
  <c r="H87" i="5"/>
  <c r="L87" i="5" s="1"/>
  <c r="H85" i="5"/>
  <c r="L85" i="5" s="1"/>
  <c r="H84" i="5"/>
  <c r="L84" i="5" s="1"/>
  <c r="H83" i="5"/>
  <c r="L83" i="5" s="1"/>
  <c r="H82" i="5"/>
  <c r="H81" i="5"/>
  <c r="L81" i="5" s="1"/>
  <c r="H80" i="5"/>
  <c r="L80" i="5" s="1"/>
  <c r="H79" i="5"/>
  <c r="L79" i="5" s="1"/>
  <c r="H78" i="5"/>
  <c r="H77" i="5"/>
  <c r="L77" i="5" s="1"/>
  <c r="H76" i="5"/>
  <c r="L76" i="5" s="1"/>
  <c r="H75" i="5"/>
  <c r="L75" i="5" s="1"/>
  <c r="H74" i="5"/>
  <c r="L74" i="5" s="1"/>
  <c r="H73" i="5"/>
  <c r="L73" i="5" s="1"/>
  <c r="H72" i="5"/>
  <c r="L72" i="5" s="1"/>
  <c r="H71" i="5"/>
  <c r="L71" i="5" s="1"/>
  <c r="H70" i="5"/>
  <c r="L70" i="5" s="1"/>
  <c r="H69" i="5"/>
  <c r="L69" i="5" s="1"/>
  <c r="H68" i="5"/>
  <c r="L68" i="5" s="1"/>
  <c r="H67" i="5"/>
  <c r="L67" i="5" s="1"/>
  <c r="H66" i="5"/>
  <c r="L66" i="5" s="1"/>
  <c r="H65" i="5"/>
  <c r="L65" i="5" s="1"/>
  <c r="H64" i="5"/>
  <c r="L64" i="5" s="1"/>
  <c r="H63" i="5"/>
  <c r="L63" i="5" s="1"/>
  <c r="H62" i="5"/>
  <c r="L62" i="5" s="1"/>
  <c r="H61" i="5"/>
  <c r="L61" i="5" s="1"/>
  <c r="H60" i="5"/>
  <c r="H59" i="5"/>
  <c r="L59" i="5" s="1"/>
  <c r="H58" i="5"/>
  <c r="L58" i="5" s="1"/>
  <c r="H57" i="5"/>
  <c r="H56" i="5"/>
  <c r="H55" i="5"/>
  <c r="L55" i="5" s="1"/>
  <c r="H54" i="5"/>
  <c r="L54" i="5" s="1"/>
  <c r="H53" i="5"/>
  <c r="L53" i="5" s="1"/>
  <c r="H52" i="5"/>
  <c r="L52" i="5" s="1"/>
  <c r="H51" i="5"/>
  <c r="L51" i="5" s="1"/>
  <c r="H50" i="5"/>
  <c r="L50" i="5" s="1"/>
  <c r="H48" i="5"/>
  <c r="L48" i="5" s="1"/>
  <c r="H47" i="5"/>
  <c r="L47" i="5" s="1"/>
  <c r="H46" i="5"/>
  <c r="L46" i="5" s="1"/>
  <c r="H45" i="5"/>
  <c r="L45" i="5" s="1"/>
  <c r="H44" i="5"/>
  <c r="L44" i="5" s="1"/>
  <c r="H43" i="5"/>
  <c r="L43" i="5" s="1"/>
  <c r="H42" i="5"/>
  <c r="H41" i="5"/>
  <c r="L41" i="5" s="1"/>
  <c r="H40" i="5"/>
  <c r="L40" i="5" s="1"/>
  <c r="H39" i="5"/>
  <c r="L39" i="5" s="1"/>
  <c r="H38" i="5"/>
  <c r="H37" i="5"/>
  <c r="L37" i="5" s="1"/>
  <c r="H36" i="5"/>
  <c r="H35" i="5"/>
  <c r="L35" i="5" s="1"/>
  <c r="H34" i="5"/>
  <c r="L34" i="5" s="1"/>
  <c r="H33" i="5"/>
  <c r="L33" i="5" s="1"/>
  <c r="H32" i="5"/>
  <c r="H31" i="5"/>
  <c r="L31" i="5" s="1"/>
  <c r="H30" i="5"/>
  <c r="H29" i="5"/>
  <c r="H28" i="5"/>
  <c r="L28" i="5" s="1"/>
  <c r="H27" i="5"/>
  <c r="H26" i="5"/>
  <c r="H25" i="5"/>
  <c r="L25" i="5" s="1"/>
  <c r="H24" i="5"/>
  <c r="H23" i="5"/>
  <c r="L23" i="5" s="1"/>
  <c r="H22" i="5"/>
  <c r="L22" i="5" s="1"/>
  <c r="H21" i="5"/>
  <c r="H20" i="5"/>
  <c r="L20" i="5" s="1"/>
  <c r="H19" i="5"/>
  <c r="L19" i="5" s="1"/>
  <c r="H18" i="5"/>
  <c r="L18" i="5" s="1"/>
  <c r="H17" i="5"/>
  <c r="L17" i="5" s="1"/>
  <c r="H16" i="5"/>
  <c r="L16" i="5" s="1"/>
  <c r="H15" i="5"/>
  <c r="L15" i="5" s="1"/>
  <c r="H14" i="5"/>
  <c r="L14" i="5" s="1"/>
  <c r="H13" i="5"/>
  <c r="L13" i="5" s="1"/>
  <c r="H144" i="5" l="1"/>
  <c r="H175" i="5"/>
  <c r="L168" i="5"/>
  <c r="L38" i="5"/>
  <c r="L169" i="5"/>
  <c r="L151" i="5"/>
  <c r="H160" i="5"/>
  <c r="L24" i="5"/>
  <c r="L36" i="5"/>
  <c r="L42" i="5"/>
  <c r="L167" i="5"/>
  <c r="L155" i="5"/>
  <c r="L142" i="5"/>
  <c r="L141" i="5"/>
  <c r="L140" i="5"/>
  <c r="L138" i="5"/>
  <c r="L137" i="5"/>
  <c r="L136" i="5"/>
  <c r="L135" i="5"/>
  <c r="L134" i="5"/>
  <c r="L133" i="5"/>
  <c r="L132" i="5"/>
  <c r="L131" i="5"/>
  <c r="L130" i="5"/>
  <c r="L129" i="5"/>
  <c r="L128" i="5"/>
  <c r="L127" i="5"/>
  <c r="L124" i="5"/>
  <c r="L123" i="5"/>
  <c r="L122" i="5"/>
  <c r="L82" i="5"/>
  <c r="L78" i="5"/>
  <c r="L60" i="5"/>
  <c r="L57" i="5"/>
  <c r="L56" i="5"/>
  <c r="L32" i="5"/>
  <c r="L30" i="5"/>
  <c r="L29" i="5"/>
  <c r="L27" i="5"/>
  <c r="L26" i="5"/>
  <c r="L21" i="5"/>
  <c r="L154" i="5"/>
  <c r="H166" i="5"/>
  <c r="L171" i="5"/>
  <c r="H150" i="5"/>
  <c r="L176" i="5" l="1"/>
  <c r="H176" i="5"/>
  <c r="O135" i="6" l="1"/>
  <c r="O141" i="6" s="1"/>
  <c r="M176" i="5"/>
  <c r="H13" i="2"/>
  <c r="I12" i="2"/>
  <c r="O143" i="6" l="1"/>
  <c r="O142" i="6"/>
  <c r="O144" i="6" l="1"/>
  <c r="P144" i="6" s="1"/>
  <c r="P145" i="6" s="1"/>
</calcChain>
</file>

<file path=xl/sharedStrings.xml><?xml version="1.0" encoding="utf-8"?>
<sst xmlns="http://schemas.openxmlformats.org/spreadsheetml/2006/main" count="1655" uniqueCount="227">
  <si>
    <t>CÔNG TY CỔ PHẦN VIRALWINDOW</t>
  </si>
  <si>
    <t>Nhà máy: KM 03, Đường Cienco5, KĐT Thanh Hà, Hà Đông, Hà Nội</t>
  </si>
  <si>
    <t>Hotline: 1800 282839</t>
  </si>
  <si>
    <t>Email:  viralwindow.vn@gmail.com</t>
  </si>
  <si>
    <t>Website: viralwindow.vn</t>
  </si>
  <si>
    <t>BẢNG BÁO GIÁ CỬA NHÔM VIRALWINDOW</t>
  </si>
  <si>
    <t xml:space="preserve">Mobile: </t>
  </si>
  <si>
    <t xml:space="preserve">Ngày: </t>
  </si>
  <si>
    <t>Đơn vị báo giá: Phòng Báo Giá</t>
  </si>
  <si>
    <t xml:space="preserve">Số BG:  </t>
  </si>
  <si>
    <t>Công ty cổ phần Viralwindow xin cảm ơn Quý khách đã quan tâm tới sản phẩm cửa nhôm cao cấp Viralwindow. 
Chúng tôi trân trọng gửi bản báo giá tốt nhất tới công trình của Quý khách như sau:</t>
  </si>
  <si>
    <t>STT</t>
  </si>
  <si>
    <t>Ký hiệu</t>
  </si>
  <si>
    <t>Phương án thiết kế cửa nhôm Viralwindow</t>
  </si>
  <si>
    <t>Kích thước (mm)</t>
  </si>
  <si>
    <t>Tổng diện tích (m2)</t>
  </si>
  <si>
    <t>Số bộ</t>
  </si>
  <si>
    <t>Đơn Giá</t>
  </si>
  <si>
    <t>Phụ kiện</t>
  </si>
  <si>
    <t>Thành tiền</t>
  </si>
  <si>
    <t xml:space="preserve">Quy cách </t>
  </si>
  <si>
    <t>Kính</t>
  </si>
  <si>
    <t>Rộng</t>
  </si>
  <si>
    <t>Cao</t>
  </si>
  <si>
    <t>vnđ/m2</t>
  </si>
  <si>
    <t>vnđ/bộ</t>
  </si>
  <si>
    <t>vnđ</t>
  </si>
  <si>
    <t xml:space="preserve">TỔNG GIÁ TRỊ CÔNG TRÌNH </t>
  </si>
  <si>
    <t>Số tiền bằng chữ:</t>
  </si>
  <si>
    <t>PHỤ LỤC:</t>
  </si>
  <si>
    <t>- Trường hợp khách hàng ở tỉnh đơn giá vẫn giữ nguyên, tính thêm chi phí vận chuyển</t>
  </si>
  <si>
    <t>- Giá trị 1 bộ cửa(vnđ) = {Đơn giá*m2 cửa} + phụ kiện(vnđ/bộ)</t>
  </si>
  <si>
    <r>
      <t xml:space="preserve">- Vật tư khi sản xuất, lắp đặt dùng 100% </t>
    </r>
    <r>
      <rPr>
        <b/>
        <sz val="13"/>
        <color rgb="FF000000"/>
        <rFont val="Times New Roman"/>
        <family val="1"/>
      </rPr>
      <t>vít INOX</t>
    </r>
  </si>
  <si>
    <r>
      <t xml:space="preserve">- Sử dụng keo ép góc </t>
    </r>
    <r>
      <rPr>
        <b/>
        <sz val="13"/>
        <color rgb="FF000000"/>
        <rFont val="Times New Roman"/>
        <family val="1"/>
      </rPr>
      <t>PU88</t>
    </r>
    <r>
      <rPr>
        <sz val="13"/>
        <color rgb="FF000000"/>
        <rFont val="Times New Roman"/>
        <family val="1"/>
      </rPr>
      <t>, keo đi tường, Dowsil Neutral Plus silicone sealant hoặc Apollo A500</t>
    </r>
  </si>
  <si>
    <r>
      <t xml:space="preserve">- Sử dụng gioăng kép cao su </t>
    </r>
    <r>
      <rPr>
        <b/>
        <sz val="13"/>
        <color rgb="FF000000"/>
        <rFont val="Times New Roman"/>
        <family val="1"/>
      </rPr>
      <t>EPDM cao cấp</t>
    </r>
    <r>
      <rPr>
        <sz val="13"/>
        <color rgb="FF000000"/>
        <rFont val="Times New Roman"/>
        <family val="1"/>
      </rPr>
      <t xml:space="preserve"> tiêu chuẩn IOS 9001:2008 chịu lực 5Mpa </t>
    </r>
  </si>
  <si>
    <t>XÁC NHẬN KHÁCH HÀNG</t>
  </si>
  <si>
    <t>VNĐ</t>
  </si>
  <si>
    <t>USD</t>
  </si>
  <si>
    <t>Viral</t>
  </si>
  <si>
    <t>Kính dán an toàn 2 lớp 8.38mm film grey</t>
  </si>
  <si>
    <t>CỬA ĐI MỞ QUAY 1 CÁNH dùng nhôm KOSO KS55
 - Độ dày: 2,0mm
 - Màu sơn Xám đá
 - Sử dụng kính Viralwindow sản xuất tại nhà máy kính Hải Long.
 - Phụ kiện: 1 bộ khóa đơn điểm, 3 bản lề, ngưỡng nhôm</t>
  </si>
  <si>
    <t>CỬA ĐI MỞ TRƯỢT 2 CÁNH dùng nhôm KOSO KS94
 - Độ dày: 1,4mm
 - Màu sơn Xám đá
 - Sử dụng kính Viralwindow sản xuất tại nhà máy kính Hải Long.
 - Phụ kiện: 1 tay nắm đa điểm, 1 chốt âm, 4 bánh xe</t>
  </si>
  <si>
    <t>VÁCH KÍNH CỐ ĐỊNH dùng nhôm KOSO KS55
 - Độ dày: 1,4mm
 - Màu sơn Xám đá
 - Sử dụng kính Viralwindow sản xuất tại nhà máy kính Hải Long.</t>
  </si>
  <si>
    <t>CỬA ĐI MỞ TRƯỢT 3 CÁNH dùng nhôm KOSO KS94
 - Độ dày: 1,4mm
 - Màu sơn Xám đá
 - Sử dụng kính Viralwindow sản xuất tại nhà máy kính Hải Long.
 - Phụ kiện: 1 tay nắm đa điểm, 1 chốt âm, 6 bánh xe</t>
  </si>
  <si>
    <t>Kính dán an toàn 2 lớp 8.38mm trắng trong</t>
  </si>
  <si>
    <t>Kính dán an toàn 2 lớp 10.38mm film grey</t>
  </si>
  <si>
    <t>CỬA SỔ MỞ HẤT 1 CÁNH + FIX dùng nhôm KOSO KS55
 - Độ dày: 1,4mm
 - Màu sơn Xám đá
 - Sử dụng kính Viralwindow sản xuất tại nhà máy kính Hải Long.
 - Phụ kiện: 2 Bộ CS mở hất (1 tay nắm đa điểm, 2 bản lề A)</t>
  </si>
  <si>
    <t>CỬA ĐI MỞ TRƯỢT 4 CÁNH dùng nhôm KOSO KS94
 - Độ dày: 1,4mm
 - Màu sơn Xám đá
 - Sử dụng kính Viralwindow sản xuất tại nhà máy kính Hải Long.
 - Phụ kiện: 4 tay nắm, 1 khóa móc, 8 bánh xe</t>
  </si>
  <si>
    <t>01T1</t>
  </si>
  <si>
    <t>02T1</t>
  </si>
  <si>
    <t>CỬA ĐI MỞ QUAY 1 CÁNH dùng nhôm KOSO KS55
 - Độ dày: 2,0mm
 - Màu sơn Xám đá
 - Sử dụng kính Viralwindow sản xuất tại nhà máy kính Hải Long.
 - Phụ kiện: 1 bộ khóa đơn điểm, 2 bản lề, ngưỡng nhôm</t>
  </si>
  <si>
    <t>03T1</t>
  </si>
  <si>
    <t>04T1</t>
  </si>
  <si>
    <t>CỬA ĐI MỞ TRƯỢT 4 CÁNH dùng nhôm KOSO KS94
 - Độ dày: 1,4mm
 - Màu sơn Xám đá
 - Sử dụng kính Viralwindow sản xuất tại nhà máy kính Hải Long.
 - Phụ kiện: 4 tay nắm, 2 chốt âm, 1 khóa móc, 8 bánh xe</t>
  </si>
  <si>
    <t>05T1</t>
  </si>
  <si>
    <t>06T1</t>
  </si>
  <si>
    <t>07T1</t>
  </si>
  <si>
    <t>08T1</t>
  </si>
  <si>
    <t>09T1</t>
  </si>
  <si>
    <t>10T1</t>
  </si>
  <si>
    <t>11T1</t>
  </si>
  <si>
    <t>12T1</t>
  </si>
  <si>
    <t>13T1</t>
  </si>
  <si>
    <t>14T1</t>
  </si>
  <si>
    <t>15T1</t>
  </si>
  <si>
    <t>16T1</t>
  </si>
  <si>
    <t>17T1</t>
  </si>
  <si>
    <t>18T1</t>
  </si>
  <si>
    <t>19T1</t>
  </si>
  <si>
    <t>20T1</t>
  </si>
  <si>
    <t>21T1</t>
  </si>
  <si>
    <t>22T1</t>
  </si>
  <si>
    <t>23T1</t>
  </si>
  <si>
    <t>24T1</t>
  </si>
  <si>
    <t>25T1</t>
  </si>
  <si>
    <t>26T1</t>
  </si>
  <si>
    <t>27T1</t>
  </si>
  <si>
    <t>28T1</t>
  </si>
  <si>
    <t>29T1</t>
  </si>
  <si>
    <t>30T1</t>
  </si>
  <si>
    <t>31T1</t>
  </si>
  <si>
    <t>32T1</t>
  </si>
  <si>
    <t>33T1</t>
  </si>
  <si>
    <t>34T1</t>
  </si>
  <si>
    <t>35T1</t>
  </si>
  <si>
    <t>Tầng 1</t>
  </si>
  <si>
    <t>Boong chính</t>
  </si>
  <si>
    <t>01BC</t>
  </si>
  <si>
    <t>02BC</t>
  </si>
  <si>
    <t>03BC</t>
  </si>
  <si>
    <t>04BC</t>
  </si>
  <si>
    <t>CDPSBC</t>
  </si>
  <si>
    <t>05BC</t>
  </si>
  <si>
    <t>06BC</t>
  </si>
  <si>
    <t>07BC</t>
  </si>
  <si>
    <t>08BC</t>
  </si>
  <si>
    <t>09BC</t>
  </si>
  <si>
    <t>10BC</t>
  </si>
  <si>
    <t>11BC</t>
  </si>
  <si>
    <t>12BC</t>
  </si>
  <si>
    <t>13BC</t>
  </si>
  <si>
    <t>14BC</t>
  </si>
  <si>
    <t>15BC</t>
  </si>
  <si>
    <t>16BC</t>
  </si>
  <si>
    <t>17BC</t>
  </si>
  <si>
    <t>18BC</t>
  </si>
  <si>
    <t>19BC</t>
  </si>
  <si>
    <t>20BC</t>
  </si>
  <si>
    <t>21BC</t>
  </si>
  <si>
    <t>22BC</t>
  </si>
  <si>
    <t>23BC</t>
  </si>
  <si>
    <t>24BC</t>
  </si>
  <si>
    <t>25BC</t>
  </si>
  <si>
    <t>26BC</t>
  </si>
  <si>
    <t>27BC</t>
  </si>
  <si>
    <t>28BC</t>
  </si>
  <si>
    <t>29BC</t>
  </si>
  <si>
    <t>30BC</t>
  </si>
  <si>
    <t>31BC</t>
  </si>
  <si>
    <t>32BC</t>
  </si>
  <si>
    <t>33BC</t>
  </si>
  <si>
    <t>34BC</t>
  </si>
  <si>
    <t>35BC</t>
  </si>
  <si>
    <t>36T1</t>
  </si>
  <si>
    <t>Tầng 2</t>
  </si>
  <si>
    <t>01T2</t>
  </si>
  <si>
    <t>02T2</t>
  </si>
  <si>
    <t>03T2</t>
  </si>
  <si>
    <t>04T2</t>
  </si>
  <si>
    <t>05T2</t>
  </si>
  <si>
    <t>06T2</t>
  </si>
  <si>
    <t>07T2</t>
  </si>
  <si>
    <t>08T2</t>
  </si>
  <si>
    <t>09T2</t>
  </si>
  <si>
    <t>10T2</t>
  </si>
  <si>
    <t>11T2</t>
  </si>
  <si>
    <t>12T2</t>
  </si>
  <si>
    <t>13T2</t>
  </si>
  <si>
    <t>14T2</t>
  </si>
  <si>
    <t>15T2</t>
  </si>
  <si>
    <t>16T2</t>
  </si>
  <si>
    <t>17T2</t>
  </si>
  <si>
    <t>18T2</t>
  </si>
  <si>
    <t>19T2</t>
  </si>
  <si>
    <t>20T2</t>
  </si>
  <si>
    <t>21T2</t>
  </si>
  <si>
    <t>22T2</t>
  </si>
  <si>
    <t>23T2</t>
  </si>
  <si>
    <t>24T2</t>
  </si>
  <si>
    <t>25T2</t>
  </si>
  <si>
    <t>26T2</t>
  </si>
  <si>
    <t>27T2</t>
  </si>
  <si>
    <t>28T2</t>
  </si>
  <si>
    <t>29T2</t>
  </si>
  <si>
    <t>30T2</t>
  </si>
  <si>
    <t>31T2</t>
  </si>
  <si>
    <t>32T2</t>
  </si>
  <si>
    <t>33T2</t>
  </si>
  <si>
    <t>34T2</t>
  </si>
  <si>
    <t>Tầng 3</t>
  </si>
  <si>
    <t>01T3</t>
  </si>
  <si>
    <t>02T3</t>
  </si>
  <si>
    <t>03T3</t>
  </si>
  <si>
    <t>04T3</t>
  </si>
  <si>
    <t>05T3</t>
  </si>
  <si>
    <t>06T3</t>
  </si>
  <si>
    <t>07T3</t>
  </si>
  <si>
    <t>08T3</t>
  </si>
  <si>
    <t>09T3</t>
  </si>
  <si>
    <t>10T3</t>
  </si>
  <si>
    <t>11T3</t>
  </si>
  <si>
    <t>12T3</t>
  </si>
  <si>
    <t>13T3</t>
  </si>
  <si>
    <t>14T3</t>
  </si>
  <si>
    <t>15T3</t>
  </si>
  <si>
    <t>16T3</t>
  </si>
  <si>
    <t>17T3</t>
  </si>
  <si>
    <t>Tầng 4</t>
  </si>
  <si>
    <t>01T4</t>
  </si>
  <si>
    <t>02T4</t>
  </si>
  <si>
    <t>03T4</t>
  </si>
  <si>
    <t>04T4</t>
  </si>
  <si>
    <t>05T4</t>
  </si>
  <si>
    <t>06T4</t>
  </si>
  <si>
    <t>10T4</t>
  </si>
  <si>
    <t>11T4</t>
  </si>
  <si>
    <t>12T4</t>
  </si>
  <si>
    <t>13T4</t>
  </si>
  <si>
    <t>14T4</t>
  </si>
  <si>
    <t>Tầng 5 (Cabin lái)</t>
  </si>
  <si>
    <t>01T5</t>
  </si>
  <si>
    <t>02T5</t>
  </si>
  <si>
    <t>03T5</t>
  </si>
  <si>
    <t>04T5</t>
  </si>
  <si>
    <t>05T5</t>
  </si>
  <si>
    <t>06T5</t>
  </si>
  <si>
    <t>07T5</t>
  </si>
  <si>
    <t>08T5</t>
  </si>
  <si>
    <t>09T5</t>
  </si>
  <si>
    <t>08T4</t>
  </si>
  <si>
    <t>- Thời gian thi công lắp đặt sau khi có mặt bằng và đủ điều kiện từ 20-25 ngày</t>
  </si>
  <si>
    <t>Chi phí gia công uốn vòm</t>
  </si>
  <si>
    <t>07T4</t>
  </si>
  <si>
    <t>09T4</t>
  </si>
  <si>
    <t>MT TP</t>
  </si>
  <si>
    <t>VÁCH KÍNH CỐ ĐỊNH dùng L Inox
 - Độ dày: 
 - Màu sơn Xám đá
 - Sử dụng kính Viralwindow sản xuất tại nhà máy kính Hải Long.</t>
  </si>
  <si>
    <t>Kính dán an toàn 2 lớp 10.38mm film grey (nối 3 tấm kinh)</t>
  </si>
  <si>
    <t>Kính CLD dán 11.52mm film grey uốn cong</t>
  </si>
  <si>
    <t>29/7/2025</t>
  </si>
  <si>
    <r>
      <t xml:space="preserve">- Đơn giá trên là đơn giá hoàn thiện, </t>
    </r>
    <r>
      <rPr>
        <i/>
        <sz val="13"/>
        <color rgb="FFFF0000"/>
        <rFont val="Times New Roman"/>
        <family val="1"/>
      </rPr>
      <t>Đã bao gồm VAT, bao gồm chi phí vận chuyển và chi phí lắp đặt, thiết bị và biện pháp thi công cho các hệ cửa.</t>
    </r>
    <r>
      <rPr>
        <sz val="13"/>
        <color rgb="FF000000"/>
        <rFont val="Times New Roman"/>
        <family val="1"/>
      </rPr>
      <t xml:space="preserve">
</t>
    </r>
  </si>
  <si>
    <t>Kính gửi: Công ty TNHH đầu tư phát triển quốc tế Hải An</t>
  </si>
  <si>
    <t>Địa chỉ công trình: Du Thuyền TULIP CRUISE</t>
  </si>
  <si>
    <t>00085</t>
  </si>
  <si>
    <t>Hai tỷ không trăm tám mươi hai triệu một trăm chín mươi tư ngàn bảy trăm bốn mươi mốt đồng./</t>
  </si>
  <si>
    <t xml:space="preserve">- Báo giá có hiệu lực trong 7-10 ngày kể từ khi báo giá hoặc đến khi có báo giá mới.
</t>
  </si>
  <si>
    <t>Tổng hợp đồng</t>
  </si>
  <si>
    <t>Chưa đi hàng</t>
  </si>
  <si>
    <t>TT 15% để lắp đặt</t>
  </si>
  <si>
    <t>Tổng cần TT đợt giao T3+4</t>
  </si>
  <si>
    <t>TT 35% hàng đến CT</t>
  </si>
  <si>
    <t>Nội dung</t>
  </si>
  <si>
    <t>Giá trị hàng đã xuất đi</t>
  </si>
  <si>
    <t xml:space="preserve">Để tiến hành lắp đặt TT 15% khối lượng </t>
  </si>
  <si>
    <t>Hàng đến công trình TT 35% khối lượng giao hàng</t>
  </si>
  <si>
    <t>Stt</t>
  </si>
  <si>
    <t>Tổng cộng cần thanh toán (5=3+4)</t>
  </si>
  <si>
    <t>Đã 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</si>
</sst>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00\ _₫_-;\-* #,##0.00\ _₫_-;_-* &quot;-&quot;??\ _₫_-;_-@_-"/>
    <numFmt numFmtId="165" formatCode="_-* #,##0\ _₫_-;\-* #,##0\ _₫_-;_-* &quot;-&quot;??\ _₫_-;_-@_-"/>
    <numFmt numFmtId="166" formatCode="_(* #,##0_);_(* \(#,##0\);_(* &quot;-&quot;??_);_(@_)"/>
  </numFmts>
  <fonts count="22" x14ac:knownFonts="1">
    <font>
      <sz val="11"/>
      <color rgb="FF000000"/>
      <name val="Calibri"/>
    </font>
    <font>
      <b/>
      <sz val="15"/>
      <color rgb="FF000000"/>
      <name val="Times New Roman"/>
      <family val="1"/>
    </font>
    <font>
      <sz val="13"/>
      <color rgb="FF000000"/>
      <name val="Times New Roman"/>
      <family val="1"/>
    </font>
    <font>
      <b/>
      <sz val="13"/>
      <color rgb="FF000000"/>
      <name val="Times New Roman"/>
      <family val="1"/>
    </font>
    <font>
      <sz val="11"/>
      <color rgb="FF0000CC"/>
      <name val="Times New Roman"/>
      <family val="1"/>
    </font>
    <font>
      <sz val="13"/>
      <color rgb="FF0000CC"/>
      <name val="Times New Roman"/>
      <family val="1"/>
    </font>
    <font>
      <sz val="10"/>
      <color rgb="FF0000CC"/>
      <name val="Times New Roman"/>
      <family val="1"/>
    </font>
    <font>
      <b/>
      <sz val="18"/>
      <color rgb="FF000000"/>
      <name val="Times New Roman"/>
      <family val="1"/>
    </font>
    <font>
      <b/>
      <u/>
      <sz val="13"/>
      <color rgb="FF000000"/>
      <name val="Times New Roman"/>
      <family val="1"/>
    </font>
    <font>
      <sz val="13"/>
      <color rgb="FF0066FF"/>
      <name val="Times New Roman"/>
      <family val="1"/>
    </font>
    <font>
      <b/>
      <sz val="12"/>
      <color rgb="FF000000"/>
      <name val="Times New Roman"/>
      <family val="1"/>
    </font>
    <font>
      <sz val="12"/>
      <color rgb="FF000000"/>
      <name val="Times New Roman"/>
      <family val="1"/>
    </font>
    <font>
      <i/>
      <sz val="13"/>
      <color rgb="FFFF0000"/>
      <name val="Times New Roman"/>
      <family val="1"/>
    </font>
    <font>
      <b/>
      <i/>
      <sz val="13"/>
      <color rgb="FF000000"/>
      <name val="Times New Roman"/>
      <family val="1"/>
    </font>
    <font>
      <sz val="13"/>
      <color rgb="FF0000CC"/>
      <name val="Times New Roman"/>
      <family val="1"/>
    </font>
    <font>
      <sz val="11"/>
      <color rgb="FF0000CC"/>
      <name val="Times New Roman"/>
      <family val="1"/>
    </font>
    <font>
      <sz val="13"/>
      <color rgb="FF0000CC"/>
      <name val="Times New Roman"/>
      <family val="1"/>
    </font>
    <font>
      <sz val="11"/>
      <color rgb="FF0000CC"/>
      <name val="Times New Roman"/>
      <family val="1"/>
    </font>
    <font>
      <sz val="11"/>
      <color rgb="FF000000"/>
      <name val="Calibri"/>
      <family val="2"/>
    </font>
    <font>
      <sz val="13"/>
      <color theme="1"/>
      <name val="Times New Roman"/>
      <family val="1"/>
    </font>
    <font>
      <b/>
      <sz val="13"/>
      <color theme="1"/>
      <name val="Times New Roman"/>
      <family val="1"/>
    </font>
    <font>
      <b/>
      <sz val="13"/>
      <color rgb="FFFF0000"/>
      <name val="Times New Roman"/>
      <family val="1"/>
    </font>
  </fonts>
  <fills count="7">
    <fill>
      <patternFill patternType="none"/>
    </fill>
    <fill>
      <patternFill patternType="gray125"/>
    </fill>
    <fill>
      <patternFill patternType="solid">
        <fgColor rgb="FFFFFFFF"/>
        <bgColor rgb="FFFFFFFF"/>
      </patternFill>
    </fill>
    <fill>
      <patternFill patternType="solid">
        <fgColor rgb="FFB8CCE4"/>
        <bgColor rgb="FFFFFFFF"/>
      </patternFill>
    </fill>
    <fill>
      <patternFill patternType="solid">
        <fgColor theme="0"/>
        <bgColor rgb="FFFFFFFF"/>
      </patternFill>
    </fill>
    <fill>
      <patternFill patternType="solid">
        <fgColor theme="0"/>
        <bgColor indexed="64"/>
      </patternFill>
    </fill>
    <fill>
      <patternFill patternType="solid">
        <fgColor rgb="FFFFFF00"/>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43" fontId="18" fillId="0" borderId="0" applyFont="0" applyFill="0" applyBorder="0" applyAlignment="0" applyProtection="0"/>
  </cellStyleXfs>
  <cellXfs count="153">
    <xf numFmtId="0" fontId="0" fillId="0" borderId="0" xfId="0"/>
    <xf numFmtId="0" fontId="1" fillId="0" borderId="0" xfId="0" applyFont="1" applyAlignment="1">
      <alignment vertical="center"/>
    </xf>
    <xf numFmtId="0" fontId="2" fillId="0" borderId="0" xfId="0" applyFont="1" applyAlignment="1">
      <alignment vertical="center"/>
    </xf>
    <xf numFmtId="0" fontId="4" fillId="0" borderId="0" xfId="0" applyFont="1"/>
    <xf numFmtId="0" fontId="5" fillId="0" borderId="0" xfId="0" applyFont="1" applyAlignment="1">
      <alignment vertical="center"/>
    </xf>
    <xf numFmtId="0" fontId="6" fillId="0" borderId="0" xfId="0" applyFont="1"/>
    <xf numFmtId="0" fontId="5" fillId="0" borderId="0" xfId="0" applyFont="1"/>
    <xf numFmtId="164" fontId="5" fillId="0" borderId="0" xfId="0" applyNumberFormat="1" applyFont="1"/>
    <xf numFmtId="0" fontId="5"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vertical="center" wrapText="1"/>
    </xf>
    <xf numFmtId="164" fontId="5" fillId="0" borderId="0" xfId="0" applyNumberFormat="1" applyFont="1" applyAlignment="1">
      <alignment horizontal="center" vertical="center"/>
    </xf>
    <xf numFmtId="0" fontId="5" fillId="0" borderId="0" xfId="0" applyFont="1" applyAlignment="1">
      <alignment horizontal="left" vertical="center" wrapText="1"/>
    </xf>
    <xf numFmtId="0" fontId="4" fillId="0" borderId="0" xfId="0" applyFont="1" applyAlignment="1">
      <alignment horizontal="center"/>
    </xf>
    <xf numFmtId="0" fontId="4" fillId="0" borderId="0" xfId="0" applyFont="1" applyAlignment="1">
      <alignment horizontal="center" vertical="center" wrapText="1"/>
    </xf>
    <xf numFmtId="164" fontId="4" fillId="0" borderId="0" xfId="0" applyNumberFormat="1" applyFont="1"/>
    <xf numFmtId="0" fontId="2" fillId="0" borderId="0" xfId="0" applyFont="1"/>
    <xf numFmtId="0" fontId="2" fillId="0" borderId="0" xfId="0" quotePrefix="1" applyFont="1" applyAlignment="1">
      <alignment horizontal="left" vertical="center"/>
    </xf>
    <xf numFmtId="164" fontId="2" fillId="0" borderId="0" xfId="0" quotePrefix="1" applyNumberFormat="1" applyFont="1" applyAlignment="1">
      <alignment horizontal="left" vertical="center"/>
    </xf>
    <xf numFmtId="0" fontId="2" fillId="2" borderId="0" xfId="0" quotePrefix="1" applyFont="1" applyFill="1" applyAlignment="1">
      <alignment horizontal="left" vertical="center"/>
    </xf>
    <xf numFmtId="14" fontId="2" fillId="3" borderId="1" xfId="0" applyNumberFormat="1" applyFont="1" applyFill="1" applyBorder="1" applyAlignment="1">
      <alignment horizontal="left" vertical="center"/>
    </xf>
    <xf numFmtId="0" fontId="8" fillId="3" borderId="1" xfId="0" quotePrefix="1" applyFont="1" applyFill="1" applyBorder="1" applyAlignment="1">
      <alignment horizontal="left" vertical="center"/>
    </xf>
    <xf numFmtId="0" fontId="9" fillId="0" borderId="0" xfId="0" applyFont="1" applyAlignment="1">
      <alignment horizontal="left" vertical="center"/>
    </xf>
    <xf numFmtId="0" fontId="9" fillId="0" borderId="0" xfId="0" applyFont="1" applyAlignment="1">
      <alignment horizontal="center" vertical="center"/>
    </xf>
    <xf numFmtId="0" fontId="9" fillId="0" borderId="0" xfId="0" applyFont="1" applyAlignment="1">
      <alignment horizontal="center" vertical="center" wrapText="1"/>
    </xf>
    <xf numFmtId="164" fontId="9" fillId="0" borderId="0" xfId="0" applyNumberFormat="1" applyFont="1" applyAlignment="1">
      <alignment horizontal="center" vertical="center"/>
    </xf>
    <xf numFmtId="0" fontId="9" fillId="0" borderId="0" xfId="0" applyFont="1"/>
    <xf numFmtId="0" fontId="9" fillId="0" borderId="0" xfId="0" applyFont="1" applyAlignment="1">
      <alignment horizontal="left" vertical="center" wrapText="1"/>
    </xf>
    <xf numFmtId="0" fontId="5" fillId="2" borderId="0" xfId="0" applyFont="1" applyFill="1" applyAlignment="1">
      <alignment horizontal="center"/>
    </xf>
    <xf numFmtId="165" fontId="1" fillId="0" borderId="0" xfId="0" applyNumberFormat="1" applyFont="1" applyAlignment="1">
      <alignment vertical="center"/>
    </xf>
    <xf numFmtId="165" fontId="2" fillId="0" borderId="0" xfId="0" applyNumberFormat="1" applyFont="1" applyAlignment="1">
      <alignment vertical="center"/>
    </xf>
    <xf numFmtId="165" fontId="2" fillId="3" borderId="1" xfId="0" applyNumberFormat="1" applyFont="1" applyFill="1" applyBorder="1" applyAlignment="1">
      <alignment horizontal="left" vertical="center"/>
    </xf>
    <xf numFmtId="165" fontId="3" fillId="0" borderId="0" xfId="0" applyNumberFormat="1" applyFont="1" applyAlignment="1">
      <alignment vertical="center"/>
    </xf>
    <xf numFmtId="165" fontId="2" fillId="0" borderId="0" xfId="0" quotePrefix="1" applyNumberFormat="1" applyFont="1" applyAlignment="1">
      <alignment horizontal="left" vertical="center"/>
    </xf>
    <xf numFmtId="165" fontId="9" fillId="0" borderId="0" xfId="0" applyNumberFormat="1" applyFont="1" applyAlignment="1">
      <alignment horizontal="center" vertical="center"/>
    </xf>
    <xf numFmtId="165" fontId="5" fillId="0" borderId="0" xfId="0" applyNumberFormat="1" applyFont="1" applyAlignment="1">
      <alignment horizontal="center" vertical="center"/>
    </xf>
    <xf numFmtId="165" fontId="5" fillId="0" borderId="0" xfId="0" applyNumberFormat="1" applyFont="1"/>
    <xf numFmtId="0" fontId="5" fillId="2" borderId="2" xfId="0" applyFont="1" applyFill="1" applyBorder="1" applyAlignment="1">
      <alignment horizontal="center"/>
    </xf>
    <xf numFmtId="0" fontId="2" fillId="0" borderId="0" xfId="0" quotePrefix="1" applyFont="1" applyAlignment="1">
      <alignment horizontal="center" vertical="center" wrapText="1"/>
    </xf>
    <xf numFmtId="0" fontId="5" fillId="2" borderId="3" xfId="0" applyFont="1" applyFill="1" applyBorder="1" applyAlignment="1">
      <alignment horizontal="center"/>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65" fontId="3" fillId="3" borderId="1" xfId="0" applyNumberFormat="1" applyFont="1" applyFill="1" applyBorder="1" applyAlignment="1">
      <alignment vertical="center"/>
    </xf>
    <xf numFmtId="165" fontId="10" fillId="3" borderId="1" xfId="0" applyNumberFormat="1" applyFont="1" applyFill="1" applyBorder="1" applyAlignment="1">
      <alignment horizontal="center" vertical="center" wrapText="1"/>
    </xf>
    <xf numFmtId="166" fontId="10" fillId="3"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164" fontId="11" fillId="0" borderId="1" xfId="0" applyNumberFormat="1" applyFont="1" applyBorder="1" applyAlignment="1">
      <alignment horizontal="center" vertical="center"/>
    </xf>
    <xf numFmtId="165" fontId="11" fillId="2" borderId="1" xfId="0" applyNumberFormat="1" applyFont="1" applyFill="1" applyBorder="1" applyAlignment="1">
      <alignment horizontal="center" vertical="center" wrapText="1"/>
    </xf>
    <xf numFmtId="165" fontId="11" fillId="0" borderId="1" xfId="0" applyNumberFormat="1" applyFont="1" applyBorder="1" applyAlignment="1">
      <alignment vertical="center"/>
    </xf>
    <xf numFmtId="165" fontId="4" fillId="0" borderId="0" xfId="0" applyNumberFormat="1" applyFont="1"/>
    <xf numFmtId="165" fontId="11" fillId="2" borderId="0" xfId="0" applyNumberFormat="1" applyFont="1" applyFill="1" applyAlignment="1">
      <alignment horizontal="center" vertical="center" wrapText="1"/>
    </xf>
    <xf numFmtId="1" fontId="11" fillId="2" borderId="1" xfId="0" applyNumberFormat="1" applyFont="1" applyFill="1" applyBorder="1" applyAlignment="1">
      <alignment horizontal="left" vertical="center" wrapText="1"/>
    </xf>
    <xf numFmtId="0" fontId="4" fillId="0" borderId="0" xfId="0" applyFont="1" applyAlignment="1">
      <alignment horizontal="left" vertical="center" wrapText="1"/>
    </xf>
    <xf numFmtId="165" fontId="11" fillId="4" borderId="1" xfId="0" applyNumberFormat="1" applyFont="1" applyFill="1" applyBorder="1" applyAlignment="1">
      <alignment horizontal="center" vertical="center" wrapText="1"/>
    </xf>
    <xf numFmtId="0" fontId="14" fillId="2" borderId="0" xfId="0" applyFont="1" applyFill="1" applyAlignment="1">
      <alignment horizontal="center"/>
    </xf>
    <xf numFmtId="0" fontId="15" fillId="0" borderId="0" xfId="0" applyFont="1"/>
    <xf numFmtId="1" fontId="11" fillId="2" borderId="6" xfId="0" applyNumberFormat="1" applyFont="1" applyFill="1" applyBorder="1" applyAlignment="1">
      <alignment horizontal="left" vertical="center" wrapText="1"/>
    </xf>
    <xf numFmtId="0" fontId="10" fillId="2" borderId="5" xfId="0" applyFont="1" applyFill="1" applyBorder="1" applyAlignment="1">
      <alignment horizontal="center" vertical="center" wrapText="1"/>
    </xf>
    <xf numFmtId="1" fontId="11" fillId="4" borderId="1" xfId="0" applyNumberFormat="1" applyFont="1" applyFill="1" applyBorder="1" applyAlignment="1">
      <alignment horizontal="left" vertical="center" wrapText="1"/>
    </xf>
    <xf numFmtId="0" fontId="11" fillId="4" borderId="1" xfId="0" applyFont="1" applyFill="1" applyBorder="1" applyAlignment="1">
      <alignment horizontal="center" vertical="center" wrapText="1"/>
    </xf>
    <xf numFmtId="164" fontId="11" fillId="5" borderId="1" xfId="0" applyNumberFormat="1" applyFont="1" applyFill="1" applyBorder="1" applyAlignment="1">
      <alignment horizontal="center" vertical="center"/>
    </xf>
    <xf numFmtId="165" fontId="11" fillId="5" borderId="1" xfId="0" applyNumberFormat="1" applyFont="1" applyFill="1" applyBorder="1" applyAlignment="1">
      <alignment vertical="center"/>
    </xf>
    <xf numFmtId="0" fontId="5" fillId="4" borderId="0" xfId="0" applyFont="1" applyFill="1" applyAlignment="1">
      <alignment horizontal="center"/>
    </xf>
    <xf numFmtId="0" fontId="5" fillId="4" borderId="3" xfId="0" applyFont="1" applyFill="1" applyBorder="1" applyAlignment="1">
      <alignment horizontal="center"/>
    </xf>
    <xf numFmtId="0" fontId="10" fillId="4" borderId="1" xfId="0"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165" fontId="10" fillId="4" borderId="1" xfId="0" applyNumberFormat="1" applyFont="1" applyFill="1" applyBorder="1" applyAlignment="1">
      <alignment horizontal="center" vertical="center" wrapText="1"/>
    </xf>
    <xf numFmtId="166" fontId="10" fillId="4" borderId="1" xfId="0" applyNumberFormat="1" applyFont="1" applyFill="1" applyBorder="1" applyAlignment="1">
      <alignment horizontal="center" vertical="center" wrapText="1"/>
    </xf>
    <xf numFmtId="0" fontId="10" fillId="4" borderId="5" xfId="0" applyFont="1" applyFill="1" applyBorder="1" applyAlignment="1">
      <alignment horizontal="center" vertical="center" wrapText="1"/>
    </xf>
    <xf numFmtId="1" fontId="11" fillId="4" borderId="6" xfId="0" applyNumberFormat="1" applyFont="1" applyFill="1" applyBorder="1" applyAlignment="1">
      <alignment horizontal="left" vertical="center" wrapText="1"/>
    </xf>
    <xf numFmtId="165" fontId="11" fillId="5" borderId="5" xfId="0" applyNumberFormat="1" applyFont="1" applyFill="1" applyBorder="1" applyAlignment="1">
      <alignment vertical="center"/>
    </xf>
    <xf numFmtId="0" fontId="16" fillId="2" borderId="0" xfId="0" applyFont="1" applyFill="1" applyAlignment="1">
      <alignment horizontal="center"/>
    </xf>
    <xf numFmtId="0" fontId="17" fillId="0" borderId="0" xfId="0" applyFont="1"/>
    <xf numFmtId="0" fontId="10" fillId="2"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43" fontId="5" fillId="2" borderId="0" xfId="1" applyFont="1" applyFill="1" applyAlignment="1">
      <alignment horizontal="center"/>
    </xf>
    <xf numFmtId="43" fontId="5" fillId="2" borderId="0" xfId="0" applyNumberFormat="1" applyFont="1" applyFill="1" applyAlignment="1">
      <alignment horizontal="center"/>
    </xf>
    <xf numFmtId="0" fontId="7" fillId="0" borderId="0" xfId="0" applyFont="1" applyAlignment="1">
      <alignment horizontal="center" vertical="center" shrinkToFit="1"/>
    </xf>
    <xf numFmtId="0" fontId="2" fillId="0" borderId="0" xfId="0" applyFont="1" applyAlignment="1">
      <alignment horizontal="left" vertical="center" wrapText="1"/>
    </xf>
    <xf numFmtId="0" fontId="10" fillId="3" borderId="1"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2" fillId="0" borderId="0" xfId="0" quotePrefix="1" applyFont="1" applyAlignment="1">
      <alignment vertical="center" wrapText="1"/>
    </xf>
    <xf numFmtId="0" fontId="3" fillId="0" borderId="0" xfId="0" applyFont="1" applyAlignment="1">
      <alignment horizontal="center" vertical="center"/>
    </xf>
    <xf numFmtId="166" fontId="5" fillId="2" borderId="0" xfId="1" applyNumberFormat="1" applyFont="1" applyFill="1" applyAlignment="1">
      <alignment horizontal="center"/>
    </xf>
    <xf numFmtId="0" fontId="10" fillId="2"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165" fontId="3" fillId="3" borderId="7" xfId="0" applyNumberFormat="1" applyFont="1" applyFill="1" applyBorder="1" applyAlignment="1">
      <alignment vertical="center"/>
    </xf>
    <xf numFmtId="166" fontId="5" fillId="2" borderId="5" xfId="1" applyNumberFormat="1" applyFont="1" applyFill="1" applyBorder="1" applyAlignment="1">
      <alignment horizontal="center"/>
    </xf>
    <xf numFmtId="0" fontId="5" fillId="2" borderId="5" xfId="0" applyFont="1" applyFill="1" applyBorder="1" applyAlignment="1">
      <alignment horizontal="center"/>
    </xf>
    <xf numFmtId="166" fontId="4" fillId="0" borderId="0" xfId="1" applyNumberFormat="1" applyFont="1"/>
    <xf numFmtId="166" fontId="6" fillId="0" borderId="0" xfId="1" applyNumberFormat="1" applyFont="1"/>
    <xf numFmtId="166" fontId="5" fillId="0" borderId="0" xfId="1" applyNumberFormat="1" applyFont="1" applyAlignment="1">
      <alignment vertical="center"/>
    </xf>
    <xf numFmtId="166" fontId="5" fillId="0" borderId="0" xfId="1" applyNumberFormat="1" applyFont="1"/>
    <xf numFmtId="166" fontId="5" fillId="0" borderId="0" xfId="1" applyNumberFormat="1" applyFont="1" applyAlignment="1">
      <alignment horizontal="center"/>
    </xf>
    <xf numFmtId="166" fontId="14" fillId="2" borderId="0" xfId="1" applyNumberFormat="1" applyFont="1" applyFill="1" applyAlignment="1">
      <alignment horizontal="center"/>
    </xf>
    <xf numFmtId="166" fontId="5" fillId="4" borderId="0" xfId="1" applyNumberFormat="1" applyFont="1" applyFill="1" applyAlignment="1">
      <alignment horizontal="center"/>
    </xf>
    <xf numFmtId="166" fontId="16" fillId="2" borderId="0" xfId="1" applyNumberFormat="1" applyFont="1" applyFill="1" applyAlignment="1">
      <alignment horizontal="center"/>
    </xf>
    <xf numFmtId="166" fontId="9" fillId="0" borderId="0" xfId="1" applyNumberFormat="1" applyFont="1" applyAlignment="1">
      <alignment horizontal="left" vertical="center"/>
    </xf>
    <xf numFmtId="166" fontId="9" fillId="0" borderId="0" xfId="1" applyNumberFormat="1" applyFont="1"/>
    <xf numFmtId="166" fontId="2" fillId="0" borderId="0" xfId="1" applyNumberFormat="1" applyFont="1"/>
    <xf numFmtId="166" fontId="19" fillId="2" borderId="5" xfId="1" applyNumberFormat="1" applyFont="1" applyFill="1" applyBorder="1" applyAlignment="1">
      <alignment horizontal="center"/>
    </xf>
    <xf numFmtId="0" fontId="19" fillId="2" borderId="5" xfId="0" applyFont="1" applyFill="1" applyBorder="1" applyAlignment="1">
      <alignment horizontal="center"/>
    </xf>
    <xf numFmtId="166" fontId="20" fillId="2" borderId="5" xfId="1" applyNumberFormat="1" applyFont="1" applyFill="1" applyBorder="1" applyAlignment="1">
      <alignment horizontal="center"/>
    </xf>
    <xf numFmtId="0" fontId="20" fillId="2" borderId="5" xfId="0" applyFont="1" applyFill="1" applyBorder="1" applyAlignment="1">
      <alignment horizontal="center"/>
    </xf>
    <xf numFmtId="0" fontId="20" fillId="2" borderId="5" xfId="0" applyFont="1" applyFill="1" applyBorder="1" applyAlignment="1">
      <alignment horizontal="center" vertical="center"/>
    </xf>
    <xf numFmtId="166" fontId="20" fillId="2" borderId="5" xfId="1" applyNumberFormat="1" applyFont="1" applyFill="1" applyBorder="1" applyAlignment="1">
      <alignment horizontal="center" vertical="center"/>
    </xf>
    <xf numFmtId="166" fontId="20" fillId="2" borderId="5" xfId="0" applyNumberFormat="1" applyFont="1" applyFill="1" applyBorder="1" applyAlignment="1">
      <alignment horizontal="center"/>
    </xf>
    <xf numFmtId="166" fontId="21" fillId="2" borderId="5" xfId="0" applyNumberFormat="1" applyFont="1" applyFill="1" applyBorder="1" applyAlignment="1">
      <alignment horizontal="center"/>
    </xf>
    <xf numFmtId="14" fontId="2" fillId="3" borderId="0" xfId="0" applyNumberFormat="1" applyFont="1" applyFill="1" applyBorder="1" applyAlignment="1">
      <alignment horizontal="left" vertical="center"/>
    </xf>
    <xf numFmtId="0" fontId="8" fillId="3" borderId="0" xfId="0" quotePrefix="1" applyFont="1" applyFill="1" applyBorder="1" applyAlignment="1">
      <alignment horizontal="left" vertical="center"/>
    </xf>
    <xf numFmtId="166" fontId="10" fillId="3" borderId="0" xfId="0" applyNumberFormat="1" applyFont="1" applyFill="1" applyBorder="1" applyAlignment="1">
      <alignment horizontal="center" vertical="center" wrapText="1"/>
    </xf>
    <xf numFmtId="166" fontId="10" fillId="4" borderId="0" xfId="0" applyNumberFormat="1" applyFont="1" applyFill="1" applyBorder="1" applyAlignment="1">
      <alignment horizontal="center" vertical="center" wrapText="1"/>
    </xf>
    <xf numFmtId="165" fontId="11" fillId="0" borderId="0" xfId="0" applyNumberFormat="1" applyFont="1" applyBorder="1" applyAlignment="1">
      <alignment vertical="center"/>
    </xf>
    <xf numFmtId="165" fontId="11" fillId="5" borderId="0" xfId="0" applyNumberFormat="1" applyFont="1" applyFill="1" applyBorder="1" applyAlignment="1">
      <alignment vertical="center"/>
    </xf>
    <xf numFmtId="165" fontId="13" fillId="3" borderId="0" xfId="0" applyNumberFormat="1" applyFont="1" applyFill="1" applyBorder="1" applyAlignment="1">
      <alignment horizontal="center" vertical="center"/>
    </xf>
    <xf numFmtId="0" fontId="5" fillId="2" borderId="0" xfId="0" applyFont="1" applyFill="1" applyBorder="1" applyAlignment="1">
      <alignment horizontal="center"/>
    </xf>
    <xf numFmtId="166" fontId="19" fillId="2" borderId="5" xfId="1" applyNumberFormat="1" applyFont="1" applyFill="1" applyBorder="1" applyAlignment="1">
      <alignment horizontal="left"/>
    </xf>
    <xf numFmtId="43" fontId="19" fillId="2" borderId="5" xfId="0" applyNumberFormat="1" applyFont="1" applyFill="1" applyBorder="1" applyAlignment="1">
      <alignment horizontal="left"/>
    </xf>
    <xf numFmtId="165" fontId="11" fillId="5" borderId="13" xfId="0" applyNumberFormat="1" applyFont="1" applyFill="1" applyBorder="1" applyAlignment="1">
      <alignment vertical="center"/>
    </xf>
    <xf numFmtId="0" fontId="2" fillId="5" borderId="5" xfId="0" quotePrefix="1" applyFont="1" applyFill="1" applyBorder="1" applyAlignment="1">
      <alignment vertical="top" wrapText="1"/>
    </xf>
    <xf numFmtId="0" fontId="2" fillId="5" borderId="5" xfId="0" quotePrefix="1" applyFont="1" applyFill="1" applyBorder="1" applyAlignment="1">
      <alignment vertical="center" wrapText="1"/>
    </xf>
    <xf numFmtId="0" fontId="2" fillId="5" borderId="5" xfId="0" applyFont="1" applyFill="1" applyBorder="1" applyAlignment="1">
      <alignment vertical="center"/>
    </xf>
    <xf numFmtId="165" fontId="10" fillId="5" borderId="5" xfId="0" applyNumberFormat="1" applyFont="1" applyFill="1" applyBorder="1" applyAlignment="1">
      <alignment horizontal="center" vertical="center"/>
    </xf>
    <xf numFmtId="165" fontId="3" fillId="4" borderId="5" xfId="0" applyNumberFormat="1" applyFont="1" applyFill="1" applyBorder="1" applyAlignment="1">
      <alignment horizontal="center" vertical="center"/>
    </xf>
    <xf numFmtId="0" fontId="3" fillId="4" borderId="5" xfId="0" quotePrefix="1" applyFont="1" applyFill="1" applyBorder="1" applyAlignment="1">
      <alignment horizontal="center" vertical="center"/>
    </xf>
    <xf numFmtId="0" fontId="2" fillId="0" borderId="0" xfId="0" quotePrefix="1" applyFont="1" applyAlignment="1">
      <alignment vertical="center" wrapText="1"/>
    </xf>
    <xf numFmtId="0" fontId="3" fillId="0" borderId="0" xfId="0" applyFont="1" applyAlignment="1">
      <alignment horizontal="center" vertical="center"/>
    </xf>
    <xf numFmtId="0" fontId="2" fillId="0" borderId="0" xfId="0" quotePrefix="1" applyFont="1" applyAlignment="1">
      <alignment vertical="top" wrapText="1"/>
    </xf>
    <xf numFmtId="0" fontId="8" fillId="0" borderId="0" xfId="0" applyFont="1" applyAlignment="1">
      <alignment horizontal="left" vertical="center"/>
    </xf>
    <xf numFmtId="0" fontId="10" fillId="6" borderId="7"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3" fillId="3" borderId="1" xfId="0" applyFont="1" applyFill="1" applyBorder="1" applyAlignment="1">
      <alignment horizontal="center" vertical="center" wrapText="1"/>
    </xf>
    <xf numFmtId="165" fontId="13" fillId="3" borderId="1" xfId="0" applyNumberFormat="1" applyFont="1" applyFill="1" applyBorder="1" applyAlignment="1">
      <alignment horizontal="center" vertical="center"/>
    </xf>
    <xf numFmtId="165" fontId="13" fillId="3" borderId="7"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3" fillId="0" borderId="0" xfId="0" applyFont="1" applyAlignment="1">
      <alignment horizontal="left" vertical="center"/>
    </xf>
    <xf numFmtId="0" fontId="2" fillId="0" borderId="0" xfId="0" applyFont="1" applyAlignment="1">
      <alignment horizontal="left" vertical="center" wrapText="1"/>
    </xf>
    <xf numFmtId="164" fontId="10" fillId="3" borderId="1" xfId="0" applyNumberFormat="1" applyFont="1" applyFill="1" applyBorder="1" applyAlignment="1">
      <alignment horizontal="center" vertical="center" wrapText="1"/>
    </xf>
    <xf numFmtId="0" fontId="7" fillId="0" borderId="0" xfId="0" applyFont="1" applyAlignment="1">
      <alignment horizontal="center" vertical="center" shrinkToFit="1"/>
    </xf>
    <xf numFmtId="0" fontId="1" fillId="0" borderId="0" xfId="0" applyFont="1" applyAlignment="1">
      <alignment horizontal="left" vertical="center"/>
    </xf>
    <xf numFmtId="0" fontId="2" fillId="0" borderId="0" xfId="0" applyFont="1" applyAlignment="1">
      <alignment horizontal="left" vertical="center"/>
    </xf>
    <xf numFmtId="0" fontId="10" fillId="2" borderId="10"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628650</xdr:colOff>
      <xdr:row>0</xdr:row>
      <xdr:rowOff>219075</xdr:rowOff>
    </xdr:from>
    <xdr:ext cx="3124200" cy="1238250"/>
    <xdr:pic>
      <xdr:nvPicPr>
        <xdr:cNvPr id="2" name="Picture 1"/>
        <xdr:cNvPicPr>
          <a:picLocks noChangeAspect="1"/>
        </xdr:cNvPicPr>
      </xdr:nvPicPr>
      <xdr:blipFill>
        <a:blip xmlns:r="http://schemas.openxmlformats.org/officeDocument/2006/relationships" r:embed="rId1"/>
        <a:stretch>
          <a:fillRect/>
        </a:stretch>
      </xdr:blipFill>
      <xdr:spPr>
        <a:xfrm>
          <a:off x="8582025" y="219075"/>
          <a:ext cx="3124200" cy="12382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628650</xdr:colOff>
      <xdr:row>0</xdr:row>
      <xdr:rowOff>219075</xdr:rowOff>
    </xdr:from>
    <xdr:ext cx="3124200" cy="1238250"/>
    <xdr:pic>
      <xdr:nvPicPr>
        <xdr:cNvPr id="2" name="Picture 1"/>
        <xdr:cNvPicPr>
          <a:picLocks noChangeAspect="1"/>
        </xdr:cNvPicPr>
      </xdr:nvPicPr>
      <xdr:blipFill>
        <a:blip xmlns:r="http://schemas.openxmlformats.org/officeDocument/2006/relationships" r:embed="rId1"/>
        <a:stretch>
          <a:fillRect/>
        </a:stretch>
      </xdr:blipFill>
      <xdr:spPr>
        <a:xfrm>
          <a:off x="8582025" y="219075"/>
          <a:ext cx="3124200" cy="1238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628650</xdr:colOff>
      <xdr:row>0</xdr:row>
      <xdr:rowOff>219075</xdr:rowOff>
    </xdr:from>
    <xdr:ext cx="3124200" cy="1238250"/>
    <xdr:pic>
      <xdr:nvPicPr>
        <xdr:cNvPr id="2" name="Picture 1"/>
        <xdr:cNvPicPr>
          <a:picLocks noChangeAspect="1"/>
        </xdr:cNvPicPr>
      </xdr:nvPicPr>
      <xdr:blipFill>
        <a:blip xmlns:r="http://schemas.openxmlformats.org/officeDocument/2006/relationships" r:embed="rId1"/>
        <a:stretch>
          <a:fillRect/>
        </a:stretch>
      </xdr:blipFill>
      <xdr:spPr>
        <a:xfrm>
          <a:off x="8582025" y="219075"/>
          <a:ext cx="3124200" cy="1238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T222"/>
  <sheetViews>
    <sheetView showGridLines="0" topLeftCell="A132" zoomScale="85" zoomScaleNormal="85" workbookViewId="0">
      <selection activeCell="N133" sqref="N133"/>
    </sheetView>
  </sheetViews>
  <sheetFormatPr defaultRowHeight="15" x14ac:dyDescent="0.25"/>
  <cols>
    <col min="1" max="1" width="6.28515625" style="3" customWidth="1"/>
    <col min="2" max="2" width="7.42578125" style="13" customWidth="1"/>
    <col min="3" max="3" width="43" style="52" customWidth="1"/>
    <col min="4" max="4" width="14.140625" style="13" customWidth="1"/>
    <col min="5" max="5" width="13.5703125" style="14" customWidth="1"/>
    <col min="6" max="7" width="8" style="3" customWidth="1"/>
    <col min="8" max="8" width="12.5703125" style="15" customWidth="1"/>
    <col min="9" max="9" width="6.28515625" style="3" customWidth="1"/>
    <col min="10" max="10" width="15.28515625" style="49" customWidth="1"/>
    <col min="11" max="11" width="16.140625" style="49" customWidth="1"/>
    <col min="12" max="12" width="22.7109375" style="3" customWidth="1"/>
    <col min="13" max="13" width="7.7109375" style="3" customWidth="1"/>
    <col min="14" max="14" width="52.28515625" style="3" customWidth="1"/>
    <col min="15" max="15" width="22.28515625" style="92" customWidth="1"/>
    <col min="16" max="16" width="19.7109375" style="3" customWidth="1"/>
    <col min="17" max="250" width="8.85546875" style="3" customWidth="1"/>
    <col min="251" max="251" width="3.5703125" style="3" customWidth="1"/>
    <col min="252" max="252" width="0" style="3" hidden="1" customWidth="1"/>
    <col min="253" max="253" width="6.85546875" style="3" customWidth="1"/>
    <col min="254" max="254" width="8.7109375" style="3" customWidth="1"/>
    <col min="255" max="255" width="22.7109375" style="3" customWidth="1"/>
    <col min="256" max="256" width="9.5703125" style="3" customWidth="1"/>
    <col min="257" max="257" width="8.28515625" style="3" customWidth="1"/>
    <col min="258" max="260" width="6.140625" style="3" customWidth="1"/>
    <col min="261" max="261" width="3.7109375" style="3" customWidth="1"/>
    <col min="262" max="262" width="10" style="3" customWidth="1"/>
    <col min="263" max="263" width="10.140625" style="3" customWidth="1"/>
    <col min="264" max="264" width="13.140625" style="3" customWidth="1"/>
    <col min="265" max="267" width="0" style="3" hidden="1" customWidth="1"/>
    <col min="268" max="506" width="8.85546875" style="3" customWidth="1"/>
    <col min="507" max="507" width="3.5703125" style="3" customWidth="1"/>
    <col min="508" max="508" width="0" style="3" hidden="1" customWidth="1"/>
    <col min="509" max="509" width="6.85546875" style="3" customWidth="1"/>
    <col min="510" max="510" width="8.7109375" style="3" customWidth="1"/>
    <col min="511" max="511" width="22.7109375" style="3" customWidth="1"/>
    <col min="512" max="512" width="9.5703125" style="3" customWidth="1"/>
    <col min="513" max="513" width="8.28515625" style="3" customWidth="1"/>
    <col min="514" max="516" width="6.140625" style="3" customWidth="1"/>
    <col min="517" max="517" width="3.7109375" style="3" customWidth="1"/>
    <col min="518" max="518" width="10" style="3" customWidth="1"/>
    <col min="519" max="519" width="10.140625" style="3" customWidth="1"/>
    <col min="520" max="520" width="13.140625" style="3" customWidth="1"/>
    <col min="521" max="523" width="0" style="3" hidden="1" customWidth="1"/>
    <col min="524" max="762" width="8.85546875" style="3" customWidth="1"/>
    <col min="763" max="763" width="3.5703125" style="3" customWidth="1"/>
    <col min="764" max="764" width="0" style="3" hidden="1" customWidth="1"/>
    <col min="765" max="765" width="6.85546875" style="3" customWidth="1"/>
    <col min="766" max="766" width="8.7109375" style="3" customWidth="1"/>
    <col min="767" max="767" width="22.7109375" style="3" customWidth="1"/>
    <col min="768" max="768" width="9.5703125" style="3" customWidth="1"/>
    <col min="769" max="769" width="8.28515625" style="3" customWidth="1"/>
    <col min="770" max="772" width="6.140625" style="3" customWidth="1"/>
    <col min="773" max="773" width="3.7109375" style="3" customWidth="1"/>
    <col min="774" max="774" width="10" style="3" customWidth="1"/>
    <col min="775" max="775" width="10.140625" style="3" customWidth="1"/>
    <col min="776" max="776" width="13.140625" style="3" customWidth="1"/>
    <col min="777" max="779" width="0" style="3" hidden="1" customWidth="1"/>
    <col min="780" max="1018" width="8.85546875" style="3" customWidth="1"/>
    <col min="1019" max="1019" width="3.5703125" style="3" customWidth="1"/>
    <col min="1020" max="1020" width="0" style="3" hidden="1" customWidth="1"/>
    <col min="1021" max="1021" width="6.85546875" style="3" customWidth="1"/>
    <col min="1022" max="1022" width="8.7109375" style="3" customWidth="1"/>
    <col min="1023" max="1023" width="22.7109375" style="3" customWidth="1"/>
    <col min="1024" max="1024" width="9.5703125" style="3" customWidth="1"/>
    <col min="1025" max="1025" width="8.28515625" style="3" customWidth="1"/>
    <col min="1026" max="1028" width="6.140625" style="3" customWidth="1"/>
    <col min="1029" max="1029" width="3.7109375" style="3" customWidth="1"/>
    <col min="1030" max="1030" width="10" style="3" customWidth="1"/>
    <col min="1031" max="1031" width="10.140625" style="3" customWidth="1"/>
    <col min="1032" max="1032" width="13.140625" style="3" customWidth="1"/>
    <col min="1033" max="1035" width="0" style="3" hidden="1" customWidth="1"/>
    <col min="1036" max="1274" width="8.85546875" style="3" customWidth="1"/>
    <col min="1275" max="1275" width="3.5703125" style="3" customWidth="1"/>
    <col min="1276" max="1276" width="0" style="3" hidden="1" customWidth="1"/>
    <col min="1277" max="1277" width="6.85546875" style="3" customWidth="1"/>
    <col min="1278" max="1278" width="8.7109375" style="3" customWidth="1"/>
    <col min="1279" max="1279" width="22.7109375" style="3" customWidth="1"/>
    <col min="1280" max="1280" width="9.5703125" style="3" customWidth="1"/>
    <col min="1281" max="1281" width="8.28515625" style="3" customWidth="1"/>
    <col min="1282" max="1284" width="6.140625" style="3" customWidth="1"/>
    <col min="1285" max="1285" width="3.7109375" style="3" customWidth="1"/>
    <col min="1286" max="1286" width="10" style="3" customWidth="1"/>
    <col min="1287" max="1287" width="10.140625" style="3" customWidth="1"/>
    <col min="1288" max="1288" width="13.140625" style="3" customWidth="1"/>
    <col min="1289" max="1291" width="0" style="3" hidden="1" customWidth="1"/>
    <col min="1292" max="1530" width="8.85546875" style="3" customWidth="1"/>
    <col min="1531" max="1531" width="3.5703125" style="3" customWidth="1"/>
    <col min="1532" max="1532" width="0" style="3" hidden="1" customWidth="1"/>
    <col min="1533" max="1533" width="6.85546875" style="3" customWidth="1"/>
    <col min="1534" max="1534" width="8.7109375" style="3" customWidth="1"/>
    <col min="1535" max="1535" width="22.7109375" style="3" customWidth="1"/>
    <col min="1536" max="1536" width="9.5703125" style="3" customWidth="1"/>
    <col min="1537" max="1537" width="8.28515625" style="3" customWidth="1"/>
    <col min="1538" max="1540" width="6.140625" style="3" customWidth="1"/>
    <col min="1541" max="1541" width="3.7109375" style="3" customWidth="1"/>
    <col min="1542" max="1542" width="10" style="3" customWidth="1"/>
    <col min="1543" max="1543" width="10.140625" style="3" customWidth="1"/>
    <col min="1544" max="1544" width="13.140625" style="3" customWidth="1"/>
    <col min="1545" max="1547" width="0" style="3" hidden="1" customWidth="1"/>
    <col min="1548" max="1786" width="8.85546875" style="3" customWidth="1"/>
    <col min="1787" max="1787" width="3.5703125" style="3" customWidth="1"/>
    <col min="1788" max="1788" width="0" style="3" hidden="1" customWidth="1"/>
    <col min="1789" max="1789" width="6.85546875" style="3" customWidth="1"/>
    <col min="1790" max="1790" width="8.7109375" style="3" customWidth="1"/>
    <col min="1791" max="1791" width="22.7109375" style="3" customWidth="1"/>
    <col min="1792" max="1792" width="9.5703125" style="3" customWidth="1"/>
    <col min="1793" max="1793" width="8.28515625" style="3" customWidth="1"/>
    <col min="1794" max="1796" width="6.140625" style="3" customWidth="1"/>
    <col min="1797" max="1797" width="3.7109375" style="3" customWidth="1"/>
    <col min="1798" max="1798" width="10" style="3" customWidth="1"/>
    <col min="1799" max="1799" width="10.140625" style="3" customWidth="1"/>
    <col min="1800" max="1800" width="13.140625" style="3" customWidth="1"/>
    <col min="1801" max="1803" width="0" style="3" hidden="1" customWidth="1"/>
    <col min="1804" max="2042" width="8.85546875" style="3" customWidth="1"/>
    <col min="2043" max="2043" width="3.5703125" style="3" customWidth="1"/>
    <col min="2044" max="2044" width="0" style="3" hidden="1" customWidth="1"/>
    <col min="2045" max="2045" width="6.85546875" style="3" customWidth="1"/>
    <col min="2046" max="2046" width="8.7109375" style="3" customWidth="1"/>
    <col min="2047" max="2047" width="22.7109375" style="3" customWidth="1"/>
    <col min="2048" max="2048" width="9.5703125" style="3" customWidth="1"/>
    <col min="2049" max="2049" width="8.28515625" style="3" customWidth="1"/>
    <col min="2050" max="2052" width="6.140625" style="3" customWidth="1"/>
    <col min="2053" max="2053" width="3.7109375" style="3" customWidth="1"/>
    <col min="2054" max="2054" width="10" style="3" customWidth="1"/>
    <col min="2055" max="2055" width="10.140625" style="3" customWidth="1"/>
    <col min="2056" max="2056" width="13.140625" style="3" customWidth="1"/>
    <col min="2057" max="2059" width="0" style="3" hidden="1" customWidth="1"/>
    <col min="2060" max="2298" width="8.85546875" style="3" customWidth="1"/>
    <col min="2299" max="2299" width="3.5703125" style="3" customWidth="1"/>
    <col min="2300" max="2300" width="0" style="3" hidden="1" customWidth="1"/>
    <col min="2301" max="2301" width="6.85546875" style="3" customWidth="1"/>
    <col min="2302" max="2302" width="8.7109375" style="3" customWidth="1"/>
    <col min="2303" max="2303" width="22.7109375" style="3" customWidth="1"/>
    <col min="2304" max="2304" width="9.5703125" style="3" customWidth="1"/>
    <col min="2305" max="2305" width="8.28515625" style="3" customWidth="1"/>
    <col min="2306" max="2308" width="6.140625" style="3" customWidth="1"/>
    <col min="2309" max="2309" width="3.7109375" style="3" customWidth="1"/>
    <col min="2310" max="2310" width="10" style="3" customWidth="1"/>
    <col min="2311" max="2311" width="10.140625" style="3" customWidth="1"/>
    <col min="2312" max="2312" width="13.140625" style="3" customWidth="1"/>
    <col min="2313" max="2315" width="0" style="3" hidden="1" customWidth="1"/>
    <col min="2316" max="2554" width="8.85546875" style="3" customWidth="1"/>
    <col min="2555" max="2555" width="3.5703125" style="3" customWidth="1"/>
    <col min="2556" max="2556" width="0" style="3" hidden="1" customWidth="1"/>
    <col min="2557" max="2557" width="6.85546875" style="3" customWidth="1"/>
    <col min="2558" max="2558" width="8.7109375" style="3" customWidth="1"/>
    <col min="2559" max="2559" width="22.7109375" style="3" customWidth="1"/>
    <col min="2560" max="2560" width="9.5703125" style="3" customWidth="1"/>
    <col min="2561" max="2561" width="8.28515625" style="3" customWidth="1"/>
    <col min="2562" max="2564" width="6.140625" style="3" customWidth="1"/>
    <col min="2565" max="2565" width="3.7109375" style="3" customWidth="1"/>
    <col min="2566" max="2566" width="10" style="3" customWidth="1"/>
    <col min="2567" max="2567" width="10.140625" style="3" customWidth="1"/>
    <col min="2568" max="2568" width="13.140625" style="3" customWidth="1"/>
    <col min="2569" max="2571" width="0" style="3" hidden="1" customWidth="1"/>
    <col min="2572" max="2810" width="8.85546875" style="3" customWidth="1"/>
    <col min="2811" max="2811" width="3.5703125" style="3" customWidth="1"/>
    <col min="2812" max="2812" width="0" style="3" hidden="1" customWidth="1"/>
    <col min="2813" max="2813" width="6.85546875" style="3" customWidth="1"/>
    <col min="2814" max="2814" width="8.7109375" style="3" customWidth="1"/>
    <col min="2815" max="2815" width="22.7109375" style="3" customWidth="1"/>
    <col min="2816" max="2816" width="9.5703125" style="3" customWidth="1"/>
    <col min="2817" max="2817" width="8.28515625" style="3" customWidth="1"/>
    <col min="2818" max="2820" width="6.140625" style="3" customWidth="1"/>
    <col min="2821" max="2821" width="3.7109375" style="3" customWidth="1"/>
    <col min="2822" max="2822" width="10" style="3" customWidth="1"/>
    <col min="2823" max="2823" width="10.140625" style="3" customWidth="1"/>
    <col min="2824" max="2824" width="13.140625" style="3" customWidth="1"/>
    <col min="2825" max="2827" width="0" style="3" hidden="1" customWidth="1"/>
    <col min="2828" max="3066" width="8.85546875" style="3" customWidth="1"/>
    <col min="3067" max="3067" width="3.5703125" style="3" customWidth="1"/>
    <col min="3068" max="3068" width="0" style="3" hidden="1" customWidth="1"/>
    <col min="3069" max="3069" width="6.85546875" style="3" customWidth="1"/>
    <col min="3070" max="3070" width="8.7109375" style="3" customWidth="1"/>
    <col min="3071" max="3071" width="22.7109375" style="3" customWidth="1"/>
    <col min="3072" max="3072" width="9.5703125" style="3" customWidth="1"/>
    <col min="3073" max="3073" width="8.28515625" style="3" customWidth="1"/>
    <col min="3074" max="3076" width="6.140625" style="3" customWidth="1"/>
    <col min="3077" max="3077" width="3.7109375" style="3" customWidth="1"/>
    <col min="3078" max="3078" width="10" style="3" customWidth="1"/>
    <col min="3079" max="3079" width="10.140625" style="3" customWidth="1"/>
    <col min="3080" max="3080" width="13.140625" style="3" customWidth="1"/>
    <col min="3081" max="3083" width="0" style="3" hidden="1" customWidth="1"/>
    <col min="3084" max="3322" width="8.85546875" style="3" customWidth="1"/>
    <col min="3323" max="3323" width="3.5703125" style="3" customWidth="1"/>
    <col min="3324" max="3324" width="0" style="3" hidden="1" customWidth="1"/>
    <col min="3325" max="3325" width="6.85546875" style="3" customWidth="1"/>
    <col min="3326" max="3326" width="8.7109375" style="3" customWidth="1"/>
    <col min="3327" max="3327" width="22.7109375" style="3" customWidth="1"/>
    <col min="3328" max="3328" width="9.5703125" style="3" customWidth="1"/>
    <col min="3329" max="3329" width="8.28515625" style="3" customWidth="1"/>
    <col min="3330" max="3332" width="6.140625" style="3" customWidth="1"/>
    <col min="3333" max="3333" width="3.7109375" style="3" customWidth="1"/>
    <col min="3334" max="3334" width="10" style="3" customWidth="1"/>
    <col min="3335" max="3335" width="10.140625" style="3" customWidth="1"/>
    <col min="3336" max="3336" width="13.140625" style="3" customWidth="1"/>
    <col min="3337" max="3339" width="0" style="3" hidden="1" customWidth="1"/>
    <col min="3340" max="3578" width="8.85546875" style="3" customWidth="1"/>
    <col min="3579" max="3579" width="3.5703125" style="3" customWidth="1"/>
    <col min="3580" max="3580" width="0" style="3" hidden="1" customWidth="1"/>
    <col min="3581" max="3581" width="6.85546875" style="3" customWidth="1"/>
    <col min="3582" max="3582" width="8.7109375" style="3" customWidth="1"/>
    <col min="3583" max="3583" width="22.7109375" style="3" customWidth="1"/>
    <col min="3584" max="3584" width="9.5703125" style="3" customWidth="1"/>
    <col min="3585" max="3585" width="8.28515625" style="3" customWidth="1"/>
    <col min="3586" max="3588" width="6.140625" style="3" customWidth="1"/>
    <col min="3589" max="3589" width="3.7109375" style="3" customWidth="1"/>
    <col min="3590" max="3590" width="10" style="3" customWidth="1"/>
    <col min="3591" max="3591" width="10.140625" style="3" customWidth="1"/>
    <col min="3592" max="3592" width="13.140625" style="3" customWidth="1"/>
    <col min="3593" max="3595" width="0" style="3" hidden="1" customWidth="1"/>
    <col min="3596" max="3834" width="8.85546875" style="3" customWidth="1"/>
    <col min="3835" max="3835" width="3.5703125" style="3" customWidth="1"/>
    <col min="3836" max="3836" width="0" style="3" hidden="1" customWidth="1"/>
    <col min="3837" max="3837" width="6.85546875" style="3" customWidth="1"/>
    <col min="3838" max="3838" width="8.7109375" style="3" customWidth="1"/>
    <col min="3839" max="3839" width="22.7109375" style="3" customWidth="1"/>
    <col min="3840" max="3840" width="9.5703125" style="3" customWidth="1"/>
    <col min="3841" max="3841" width="8.28515625" style="3" customWidth="1"/>
    <col min="3842" max="3844" width="6.140625" style="3" customWidth="1"/>
    <col min="3845" max="3845" width="3.7109375" style="3" customWidth="1"/>
    <col min="3846" max="3846" width="10" style="3" customWidth="1"/>
    <col min="3847" max="3847" width="10.140625" style="3" customWidth="1"/>
    <col min="3848" max="3848" width="13.140625" style="3" customWidth="1"/>
    <col min="3849" max="3851" width="0" style="3" hidden="1" customWidth="1"/>
    <col min="3852" max="4090" width="8.85546875" style="3" customWidth="1"/>
    <col min="4091" max="4091" width="3.5703125" style="3" customWidth="1"/>
    <col min="4092" max="4092" width="0" style="3" hidden="1" customWidth="1"/>
    <col min="4093" max="4093" width="6.85546875" style="3" customWidth="1"/>
    <col min="4094" max="4094" width="8.7109375" style="3" customWidth="1"/>
    <col min="4095" max="4095" width="22.7109375" style="3" customWidth="1"/>
    <col min="4096" max="4096" width="9.5703125" style="3" customWidth="1"/>
    <col min="4097" max="4097" width="8.28515625" style="3" customWidth="1"/>
    <col min="4098" max="4100" width="6.140625" style="3" customWidth="1"/>
    <col min="4101" max="4101" width="3.7109375" style="3" customWidth="1"/>
    <col min="4102" max="4102" width="10" style="3" customWidth="1"/>
    <col min="4103" max="4103" width="10.140625" style="3" customWidth="1"/>
    <col min="4104" max="4104" width="13.140625" style="3" customWidth="1"/>
    <col min="4105" max="4107" width="0" style="3" hidden="1" customWidth="1"/>
    <col min="4108" max="4346" width="8.85546875" style="3" customWidth="1"/>
    <col min="4347" max="4347" width="3.5703125" style="3" customWidth="1"/>
    <col min="4348" max="4348" width="0" style="3" hidden="1" customWidth="1"/>
    <col min="4349" max="4349" width="6.85546875" style="3" customWidth="1"/>
    <col min="4350" max="4350" width="8.7109375" style="3" customWidth="1"/>
    <col min="4351" max="4351" width="22.7109375" style="3" customWidth="1"/>
    <col min="4352" max="4352" width="9.5703125" style="3" customWidth="1"/>
    <col min="4353" max="4353" width="8.28515625" style="3" customWidth="1"/>
    <col min="4354" max="4356" width="6.140625" style="3" customWidth="1"/>
    <col min="4357" max="4357" width="3.7109375" style="3" customWidth="1"/>
    <col min="4358" max="4358" width="10" style="3" customWidth="1"/>
    <col min="4359" max="4359" width="10.140625" style="3" customWidth="1"/>
    <col min="4360" max="4360" width="13.140625" style="3" customWidth="1"/>
    <col min="4361" max="4363" width="0" style="3" hidden="1" customWidth="1"/>
    <col min="4364" max="4602" width="8.85546875" style="3" customWidth="1"/>
    <col min="4603" max="4603" width="3.5703125" style="3" customWidth="1"/>
    <col min="4604" max="4604" width="0" style="3" hidden="1" customWidth="1"/>
    <col min="4605" max="4605" width="6.85546875" style="3" customWidth="1"/>
    <col min="4606" max="4606" width="8.7109375" style="3" customWidth="1"/>
    <col min="4607" max="4607" width="22.7109375" style="3" customWidth="1"/>
    <col min="4608" max="4608" width="9.5703125" style="3" customWidth="1"/>
    <col min="4609" max="4609" width="8.28515625" style="3" customWidth="1"/>
    <col min="4610" max="4612" width="6.140625" style="3" customWidth="1"/>
    <col min="4613" max="4613" width="3.7109375" style="3" customWidth="1"/>
    <col min="4614" max="4614" width="10" style="3" customWidth="1"/>
    <col min="4615" max="4615" width="10.140625" style="3" customWidth="1"/>
    <col min="4616" max="4616" width="13.140625" style="3" customWidth="1"/>
    <col min="4617" max="4619" width="0" style="3" hidden="1" customWidth="1"/>
    <col min="4620" max="4858" width="8.85546875" style="3" customWidth="1"/>
    <col min="4859" max="4859" width="3.5703125" style="3" customWidth="1"/>
    <col min="4860" max="4860" width="0" style="3" hidden="1" customWidth="1"/>
    <col min="4861" max="4861" width="6.85546875" style="3" customWidth="1"/>
    <col min="4862" max="4862" width="8.7109375" style="3" customWidth="1"/>
    <col min="4863" max="4863" width="22.7109375" style="3" customWidth="1"/>
    <col min="4864" max="4864" width="9.5703125" style="3" customWidth="1"/>
    <col min="4865" max="4865" width="8.28515625" style="3" customWidth="1"/>
    <col min="4866" max="4868" width="6.140625" style="3" customWidth="1"/>
    <col min="4869" max="4869" width="3.7109375" style="3" customWidth="1"/>
    <col min="4870" max="4870" width="10" style="3" customWidth="1"/>
    <col min="4871" max="4871" width="10.140625" style="3" customWidth="1"/>
    <col min="4872" max="4872" width="13.140625" style="3" customWidth="1"/>
    <col min="4873" max="4875" width="0" style="3" hidden="1" customWidth="1"/>
    <col min="4876" max="5114" width="8.85546875" style="3" customWidth="1"/>
    <col min="5115" max="5115" width="3.5703125" style="3" customWidth="1"/>
    <col min="5116" max="5116" width="0" style="3" hidden="1" customWidth="1"/>
    <col min="5117" max="5117" width="6.85546875" style="3" customWidth="1"/>
    <col min="5118" max="5118" width="8.7109375" style="3" customWidth="1"/>
    <col min="5119" max="5119" width="22.7109375" style="3" customWidth="1"/>
    <col min="5120" max="5120" width="9.5703125" style="3" customWidth="1"/>
    <col min="5121" max="5121" width="8.28515625" style="3" customWidth="1"/>
    <col min="5122" max="5124" width="6.140625" style="3" customWidth="1"/>
    <col min="5125" max="5125" width="3.7109375" style="3" customWidth="1"/>
    <col min="5126" max="5126" width="10" style="3" customWidth="1"/>
    <col min="5127" max="5127" width="10.140625" style="3" customWidth="1"/>
    <col min="5128" max="5128" width="13.140625" style="3" customWidth="1"/>
    <col min="5129" max="5131" width="0" style="3" hidden="1" customWidth="1"/>
    <col min="5132" max="5370" width="8.85546875" style="3" customWidth="1"/>
    <col min="5371" max="5371" width="3.5703125" style="3" customWidth="1"/>
    <col min="5372" max="5372" width="0" style="3" hidden="1" customWidth="1"/>
    <col min="5373" max="5373" width="6.85546875" style="3" customWidth="1"/>
    <col min="5374" max="5374" width="8.7109375" style="3" customWidth="1"/>
    <col min="5375" max="5375" width="22.7109375" style="3" customWidth="1"/>
    <col min="5376" max="5376" width="9.5703125" style="3" customWidth="1"/>
    <col min="5377" max="5377" width="8.28515625" style="3" customWidth="1"/>
    <col min="5378" max="5380" width="6.140625" style="3" customWidth="1"/>
    <col min="5381" max="5381" width="3.7109375" style="3" customWidth="1"/>
    <col min="5382" max="5382" width="10" style="3" customWidth="1"/>
    <col min="5383" max="5383" width="10.140625" style="3" customWidth="1"/>
    <col min="5384" max="5384" width="13.140625" style="3" customWidth="1"/>
    <col min="5385" max="5387" width="0" style="3" hidden="1" customWidth="1"/>
    <col min="5388" max="5626" width="8.85546875" style="3" customWidth="1"/>
    <col min="5627" max="5627" width="3.5703125" style="3" customWidth="1"/>
    <col min="5628" max="5628" width="0" style="3" hidden="1" customWidth="1"/>
    <col min="5629" max="5629" width="6.85546875" style="3" customWidth="1"/>
    <col min="5630" max="5630" width="8.7109375" style="3" customWidth="1"/>
    <col min="5631" max="5631" width="22.7109375" style="3" customWidth="1"/>
    <col min="5632" max="5632" width="9.5703125" style="3" customWidth="1"/>
    <col min="5633" max="5633" width="8.28515625" style="3" customWidth="1"/>
    <col min="5634" max="5636" width="6.140625" style="3" customWidth="1"/>
    <col min="5637" max="5637" width="3.7109375" style="3" customWidth="1"/>
    <col min="5638" max="5638" width="10" style="3" customWidth="1"/>
    <col min="5639" max="5639" width="10.140625" style="3" customWidth="1"/>
    <col min="5640" max="5640" width="13.140625" style="3" customWidth="1"/>
    <col min="5641" max="5643" width="0" style="3" hidden="1" customWidth="1"/>
    <col min="5644" max="5882" width="8.85546875" style="3" customWidth="1"/>
    <col min="5883" max="5883" width="3.5703125" style="3" customWidth="1"/>
    <col min="5884" max="5884" width="0" style="3" hidden="1" customWidth="1"/>
    <col min="5885" max="5885" width="6.85546875" style="3" customWidth="1"/>
    <col min="5886" max="5886" width="8.7109375" style="3" customWidth="1"/>
    <col min="5887" max="5887" width="22.7109375" style="3" customWidth="1"/>
    <col min="5888" max="5888" width="9.5703125" style="3" customWidth="1"/>
    <col min="5889" max="5889" width="8.28515625" style="3" customWidth="1"/>
    <col min="5890" max="5892" width="6.140625" style="3" customWidth="1"/>
    <col min="5893" max="5893" width="3.7109375" style="3" customWidth="1"/>
    <col min="5894" max="5894" width="10" style="3" customWidth="1"/>
    <col min="5895" max="5895" width="10.140625" style="3" customWidth="1"/>
    <col min="5896" max="5896" width="13.140625" style="3" customWidth="1"/>
    <col min="5897" max="5899" width="0" style="3" hidden="1" customWidth="1"/>
    <col min="5900" max="6138" width="8.85546875" style="3" customWidth="1"/>
    <col min="6139" max="6139" width="3.5703125" style="3" customWidth="1"/>
    <col min="6140" max="6140" width="0" style="3" hidden="1" customWidth="1"/>
    <col min="6141" max="6141" width="6.85546875" style="3" customWidth="1"/>
    <col min="6142" max="6142" width="8.7109375" style="3" customWidth="1"/>
    <col min="6143" max="6143" width="22.7109375" style="3" customWidth="1"/>
    <col min="6144" max="6144" width="9.5703125" style="3" customWidth="1"/>
    <col min="6145" max="6145" width="8.28515625" style="3" customWidth="1"/>
    <col min="6146" max="6148" width="6.140625" style="3" customWidth="1"/>
    <col min="6149" max="6149" width="3.7109375" style="3" customWidth="1"/>
    <col min="6150" max="6150" width="10" style="3" customWidth="1"/>
    <col min="6151" max="6151" width="10.140625" style="3" customWidth="1"/>
    <col min="6152" max="6152" width="13.140625" style="3" customWidth="1"/>
    <col min="6153" max="6155" width="0" style="3" hidden="1" customWidth="1"/>
    <col min="6156" max="6394" width="8.85546875" style="3" customWidth="1"/>
    <col min="6395" max="6395" width="3.5703125" style="3" customWidth="1"/>
    <col min="6396" max="6396" width="0" style="3" hidden="1" customWidth="1"/>
    <col min="6397" max="6397" width="6.85546875" style="3" customWidth="1"/>
    <col min="6398" max="6398" width="8.7109375" style="3" customWidth="1"/>
    <col min="6399" max="6399" width="22.7109375" style="3" customWidth="1"/>
    <col min="6400" max="6400" width="9.5703125" style="3" customWidth="1"/>
    <col min="6401" max="6401" width="8.28515625" style="3" customWidth="1"/>
    <col min="6402" max="6404" width="6.140625" style="3" customWidth="1"/>
    <col min="6405" max="6405" width="3.7109375" style="3" customWidth="1"/>
    <col min="6406" max="6406" width="10" style="3" customWidth="1"/>
    <col min="6407" max="6407" width="10.140625" style="3" customWidth="1"/>
    <col min="6408" max="6408" width="13.140625" style="3" customWidth="1"/>
    <col min="6409" max="6411" width="0" style="3" hidden="1" customWidth="1"/>
    <col min="6412" max="6650" width="8.85546875" style="3" customWidth="1"/>
    <col min="6651" max="6651" width="3.5703125" style="3" customWidth="1"/>
    <col min="6652" max="6652" width="0" style="3" hidden="1" customWidth="1"/>
    <col min="6653" max="6653" width="6.85546875" style="3" customWidth="1"/>
    <col min="6654" max="6654" width="8.7109375" style="3" customWidth="1"/>
    <col min="6655" max="6655" width="22.7109375" style="3" customWidth="1"/>
    <col min="6656" max="6656" width="9.5703125" style="3" customWidth="1"/>
    <col min="6657" max="6657" width="8.28515625" style="3" customWidth="1"/>
    <col min="6658" max="6660" width="6.140625" style="3" customWidth="1"/>
    <col min="6661" max="6661" width="3.7109375" style="3" customWidth="1"/>
    <col min="6662" max="6662" width="10" style="3" customWidth="1"/>
    <col min="6663" max="6663" width="10.140625" style="3" customWidth="1"/>
    <col min="6664" max="6664" width="13.140625" style="3" customWidth="1"/>
    <col min="6665" max="6667" width="0" style="3" hidden="1" customWidth="1"/>
    <col min="6668" max="6906" width="8.85546875" style="3" customWidth="1"/>
    <col min="6907" max="6907" width="3.5703125" style="3" customWidth="1"/>
    <col min="6908" max="6908" width="0" style="3" hidden="1" customWidth="1"/>
    <col min="6909" max="6909" width="6.85546875" style="3" customWidth="1"/>
    <col min="6910" max="6910" width="8.7109375" style="3" customWidth="1"/>
    <col min="6911" max="6911" width="22.7109375" style="3" customWidth="1"/>
    <col min="6912" max="6912" width="9.5703125" style="3" customWidth="1"/>
    <col min="6913" max="6913" width="8.28515625" style="3" customWidth="1"/>
    <col min="6914" max="6916" width="6.140625" style="3" customWidth="1"/>
    <col min="6917" max="6917" width="3.7109375" style="3" customWidth="1"/>
    <col min="6918" max="6918" width="10" style="3" customWidth="1"/>
    <col min="6919" max="6919" width="10.140625" style="3" customWidth="1"/>
    <col min="6920" max="6920" width="13.140625" style="3" customWidth="1"/>
    <col min="6921" max="6923" width="0" style="3" hidden="1" customWidth="1"/>
    <col min="6924" max="7162" width="8.85546875" style="3" customWidth="1"/>
    <col min="7163" max="7163" width="3.5703125" style="3" customWidth="1"/>
    <col min="7164" max="7164" width="0" style="3" hidden="1" customWidth="1"/>
    <col min="7165" max="7165" width="6.85546875" style="3" customWidth="1"/>
    <col min="7166" max="7166" width="8.7109375" style="3" customWidth="1"/>
    <col min="7167" max="7167" width="22.7109375" style="3" customWidth="1"/>
    <col min="7168" max="7168" width="9.5703125" style="3" customWidth="1"/>
    <col min="7169" max="7169" width="8.28515625" style="3" customWidth="1"/>
    <col min="7170" max="7172" width="6.140625" style="3" customWidth="1"/>
    <col min="7173" max="7173" width="3.7109375" style="3" customWidth="1"/>
    <col min="7174" max="7174" width="10" style="3" customWidth="1"/>
    <col min="7175" max="7175" width="10.140625" style="3" customWidth="1"/>
    <col min="7176" max="7176" width="13.140625" style="3" customWidth="1"/>
    <col min="7177" max="7179" width="0" style="3" hidden="1" customWidth="1"/>
    <col min="7180" max="7418" width="8.85546875" style="3" customWidth="1"/>
    <col min="7419" max="7419" width="3.5703125" style="3" customWidth="1"/>
    <col min="7420" max="7420" width="0" style="3" hidden="1" customWidth="1"/>
    <col min="7421" max="7421" width="6.85546875" style="3" customWidth="1"/>
    <col min="7422" max="7422" width="8.7109375" style="3" customWidth="1"/>
    <col min="7423" max="7423" width="22.7109375" style="3" customWidth="1"/>
    <col min="7424" max="7424" width="9.5703125" style="3" customWidth="1"/>
    <col min="7425" max="7425" width="8.28515625" style="3" customWidth="1"/>
    <col min="7426" max="7428" width="6.140625" style="3" customWidth="1"/>
    <col min="7429" max="7429" width="3.7109375" style="3" customWidth="1"/>
    <col min="7430" max="7430" width="10" style="3" customWidth="1"/>
    <col min="7431" max="7431" width="10.140625" style="3" customWidth="1"/>
    <col min="7432" max="7432" width="13.140625" style="3" customWidth="1"/>
    <col min="7433" max="7435" width="0" style="3" hidden="1" customWidth="1"/>
    <col min="7436" max="7674" width="8.85546875" style="3" customWidth="1"/>
    <col min="7675" max="7675" width="3.5703125" style="3" customWidth="1"/>
    <col min="7676" max="7676" width="0" style="3" hidden="1" customWidth="1"/>
    <col min="7677" max="7677" width="6.85546875" style="3" customWidth="1"/>
    <col min="7678" max="7678" width="8.7109375" style="3" customWidth="1"/>
    <col min="7679" max="7679" width="22.7109375" style="3" customWidth="1"/>
    <col min="7680" max="7680" width="9.5703125" style="3" customWidth="1"/>
    <col min="7681" max="7681" width="8.28515625" style="3" customWidth="1"/>
    <col min="7682" max="7684" width="6.140625" style="3" customWidth="1"/>
    <col min="7685" max="7685" width="3.7109375" style="3" customWidth="1"/>
    <col min="7686" max="7686" width="10" style="3" customWidth="1"/>
    <col min="7687" max="7687" width="10.140625" style="3" customWidth="1"/>
    <col min="7688" max="7688" width="13.140625" style="3" customWidth="1"/>
    <col min="7689" max="7691" width="0" style="3" hidden="1" customWidth="1"/>
    <col min="7692" max="7930" width="8.85546875" style="3" customWidth="1"/>
    <col min="7931" max="7931" width="3.5703125" style="3" customWidth="1"/>
    <col min="7932" max="7932" width="0" style="3" hidden="1" customWidth="1"/>
    <col min="7933" max="7933" width="6.85546875" style="3" customWidth="1"/>
    <col min="7934" max="7934" width="8.7109375" style="3" customWidth="1"/>
    <col min="7935" max="7935" width="22.7109375" style="3" customWidth="1"/>
    <col min="7936" max="7936" width="9.5703125" style="3" customWidth="1"/>
    <col min="7937" max="7937" width="8.28515625" style="3" customWidth="1"/>
    <col min="7938" max="7940" width="6.140625" style="3" customWidth="1"/>
    <col min="7941" max="7941" width="3.7109375" style="3" customWidth="1"/>
    <col min="7942" max="7942" width="10" style="3" customWidth="1"/>
    <col min="7943" max="7943" width="10.140625" style="3" customWidth="1"/>
    <col min="7944" max="7944" width="13.140625" style="3" customWidth="1"/>
    <col min="7945" max="7947" width="0" style="3" hidden="1" customWidth="1"/>
    <col min="7948" max="8186" width="8.85546875" style="3" customWidth="1"/>
    <col min="8187" max="8187" width="3.5703125" style="3" customWidth="1"/>
    <col min="8188" max="8188" width="0" style="3" hidden="1" customWidth="1"/>
    <col min="8189" max="8189" width="6.85546875" style="3" customWidth="1"/>
    <col min="8190" max="8190" width="8.7109375" style="3" customWidth="1"/>
    <col min="8191" max="8191" width="22.7109375" style="3" customWidth="1"/>
    <col min="8192" max="8192" width="9.5703125" style="3" customWidth="1"/>
    <col min="8193" max="8193" width="8.28515625" style="3" customWidth="1"/>
    <col min="8194" max="8196" width="6.140625" style="3" customWidth="1"/>
    <col min="8197" max="8197" width="3.7109375" style="3" customWidth="1"/>
    <col min="8198" max="8198" width="10" style="3" customWidth="1"/>
    <col min="8199" max="8199" width="10.140625" style="3" customWidth="1"/>
    <col min="8200" max="8200" width="13.140625" style="3" customWidth="1"/>
    <col min="8201" max="8203" width="0" style="3" hidden="1" customWidth="1"/>
    <col min="8204" max="8442" width="8.85546875" style="3" customWidth="1"/>
    <col min="8443" max="8443" width="3.5703125" style="3" customWidth="1"/>
    <col min="8444" max="8444" width="0" style="3" hidden="1" customWidth="1"/>
    <col min="8445" max="8445" width="6.85546875" style="3" customWidth="1"/>
    <col min="8446" max="8446" width="8.7109375" style="3" customWidth="1"/>
    <col min="8447" max="8447" width="22.7109375" style="3" customWidth="1"/>
    <col min="8448" max="8448" width="9.5703125" style="3" customWidth="1"/>
    <col min="8449" max="8449" width="8.28515625" style="3" customWidth="1"/>
    <col min="8450" max="8452" width="6.140625" style="3" customWidth="1"/>
    <col min="8453" max="8453" width="3.7109375" style="3" customWidth="1"/>
    <col min="8454" max="8454" width="10" style="3" customWidth="1"/>
    <col min="8455" max="8455" width="10.140625" style="3" customWidth="1"/>
    <col min="8456" max="8456" width="13.140625" style="3" customWidth="1"/>
    <col min="8457" max="8459" width="0" style="3" hidden="1" customWidth="1"/>
    <col min="8460" max="8698" width="8.85546875" style="3" customWidth="1"/>
    <col min="8699" max="8699" width="3.5703125" style="3" customWidth="1"/>
    <col min="8700" max="8700" width="0" style="3" hidden="1" customWidth="1"/>
    <col min="8701" max="8701" width="6.85546875" style="3" customWidth="1"/>
    <col min="8702" max="8702" width="8.7109375" style="3" customWidth="1"/>
    <col min="8703" max="8703" width="22.7109375" style="3" customWidth="1"/>
    <col min="8704" max="8704" width="9.5703125" style="3" customWidth="1"/>
    <col min="8705" max="8705" width="8.28515625" style="3" customWidth="1"/>
    <col min="8706" max="8708" width="6.140625" style="3" customWidth="1"/>
    <col min="8709" max="8709" width="3.7109375" style="3" customWidth="1"/>
    <col min="8710" max="8710" width="10" style="3" customWidth="1"/>
    <col min="8711" max="8711" width="10.140625" style="3" customWidth="1"/>
    <col min="8712" max="8712" width="13.140625" style="3" customWidth="1"/>
    <col min="8713" max="8715" width="0" style="3" hidden="1" customWidth="1"/>
    <col min="8716" max="8954" width="8.85546875" style="3" customWidth="1"/>
    <col min="8955" max="8955" width="3.5703125" style="3" customWidth="1"/>
    <col min="8956" max="8956" width="0" style="3" hidden="1" customWidth="1"/>
    <col min="8957" max="8957" width="6.85546875" style="3" customWidth="1"/>
    <col min="8958" max="8958" width="8.7109375" style="3" customWidth="1"/>
    <col min="8959" max="8959" width="22.7109375" style="3" customWidth="1"/>
    <col min="8960" max="8960" width="9.5703125" style="3" customWidth="1"/>
    <col min="8961" max="8961" width="8.28515625" style="3" customWidth="1"/>
    <col min="8962" max="8964" width="6.140625" style="3" customWidth="1"/>
    <col min="8965" max="8965" width="3.7109375" style="3" customWidth="1"/>
    <col min="8966" max="8966" width="10" style="3" customWidth="1"/>
    <col min="8967" max="8967" width="10.140625" style="3" customWidth="1"/>
    <col min="8968" max="8968" width="13.140625" style="3" customWidth="1"/>
    <col min="8969" max="8971" width="0" style="3" hidden="1" customWidth="1"/>
    <col min="8972" max="9210" width="8.85546875" style="3" customWidth="1"/>
    <col min="9211" max="9211" width="3.5703125" style="3" customWidth="1"/>
    <col min="9212" max="9212" width="0" style="3" hidden="1" customWidth="1"/>
    <col min="9213" max="9213" width="6.85546875" style="3" customWidth="1"/>
    <col min="9214" max="9214" width="8.7109375" style="3" customWidth="1"/>
    <col min="9215" max="9215" width="22.7109375" style="3" customWidth="1"/>
    <col min="9216" max="9216" width="9.5703125" style="3" customWidth="1"/>
    <col min="9217" max="9217" width="8.28515625" style="3" customWidth="1"/>
    <col min="9218" max="9220" width="6.140625" style="3" customWidth="1"/>
    <col min="9221" max="9221" width="3.7109375" style="3" customWidth="1"/>
    <col min="9222" max="9222" width="10" style="3" customWidth="1"/>
    <col min="9223" max="9223" width="10.140625" style="3" customWidth="1"/>
    <col min="9224" max="9224" width="13.140625" style="3" customWidth="1"/>
    <col min="9225" max="9227" width="0" style="3" hidden="1" customWidth="1"/>
    <col min="9228" max="9466" width="8.85546875" style="3" customWidth="1"/>
    <col min="9467" max="9467" width="3.5703125" style="3" customWidth="1"/>
    <col min="9468" max="9468" width="0" style="3" hidden="1" customWidth="1"/>
    <col min="9469" max="9469" width="6.85546875" style="3" customWidth="1"/>
    <col min="9470" max="9470" width="8.7109375" style="3" customWidth="1"/>
    <col min="9471" max="9471" width="22.7109375" style="3" customWidth="1"/>
    <col min="9472" max="9472" width="9.5703125" style="3" customWidth="1"/>
    <col min="9473" max="9473" width="8.28515625" style="3" customWidth="1"/>
    <col min="9474" max="9476" width="6.140625" style="3" customWidth="1"/>
    <col min="9477" max="9477" width="3.7109375" style="3" customWidth="1"/>
    <col min="9478" max="9478" width="10" style="3" customWidth="1"/>
    <col min="9479" max="9479" width="10.140625" style="3" customWidth="1"/>
    <col min="9480" max="9480" width="13.140625" style="3" customWidth="1"/>
    <col min="9481" max="9483" width="0" style="3" hidden="1" customWidth="1"/>
    <col min="9484" max="9722" width="8.85546875" style="3" customWidth="1"/>
    <col min="9723" max="9723" width="3.5703125" style="3" customWidth="1"/>
    <col min="9724" max="9724" width="0" style="3" hidden="1" customWidth="1"/>
    <col min="9725" max="9725" width="6.85546875" style="3" customWidth="1"/>
    <col min="9726" max="9726" width="8.7109375" style="3" customWidth="1"/>
    <col min="9727" max="9727" width="22.7109375" style="3" customWidth="1"/>
    <col min="9728" max="9728" width="9.5703125" style="3" customWidth="1"/>
    <col min="9729" max="9729" width="8.28515625" style="3" customWidth="1"/>
    <col min="9730" max="9732" width="6.140625" style="3" customWidth="1"/>
    <col min="9733" max="9733" width="3.7109375" style="3" customWidth="1"/>
    <col min="9734" max="9734" width="10" style="3" customWidth="1"/>
    <col min="9735" max="9735" width="10.140625" style="3" customWidth="1"/>
    <col min="9736" max="9736" width="13.140625" style="3" customWidth="1"/>
    <col min="9737" max="9739" width="0" style="3" hidden="1" customWidth="1"/>
    <col min="9740" max="9978" width="8.85546875" style="3" customWidth="1"/>
    <col min="9979" max="9979" width="3.5703125" style="3" customWidth="1"/>
    <col min="9980" max="9980" width="0" style="3" hidden="1" customWidth="1"/>
    <col min="9981" max="9981" width="6.85546875" style="3" customWidth="1"/>
    <col min="9982" max="9982" width="8.7109375" style="3" customWidth="1"/>
    <col min="9983" max="9983" width="22.7109375" style="3" customWidth="1"/>
    <col min="9984" max="9984" width="9.5703125" style="3" customWidth="1"/>
    <col min="9985" max="9985" width="8.28515625" style="3" customWidth="1"/>
    <col min="9986" max="9988" width="6.140625" style="3" customWidth="1"/>
    <col min="9989" max="9989" width="3.7109375" style="3" customWidth="1"/>
    <col min="9990" max="9990" width="10" style="3" customWidth="1"/>
    <col min="9991" max="9991" width="10.140625" style="3" customWidth="1"/>
    <col min="9992" max="9992" width="13.140625" style="3" customWidth="1"/>
    <col min="9993" max="9995" width="0" style="3" hidden="1" customWidth="1"/>
    <col min="9996" max="10234" width="8.85546875" style="3" customWidth="1"/>
    <col min="10235" max="10235" width="3.5703125" style="3" customWidth="1"/>
    <col min="10236" max="10236" width="0" style="3" hidden="1" customWidth="1"/>
    <col min="10237" max="10237" width="6.85546875" style="3" customWidth="1"/>
    <col min="10238" max="10238" width="8.7109375" style="3" customWidth="1"/>
    <col min="10239" max="10239" width="22.7109375" style="3" customWidth="1"/>
    <col min="10240" max="10240" width="9.5703125" style="3" customWidth="1"/>
    <col min="10241" max="10241" width="8.28515625" style="3" customWidth="1"/>
    <col min="10242" max="10244" width="6.140625" style="3" customWidth="1"/>
    <col min="10245" max="10245" width="3.7109375" style="3" customWidth="1"/>
    <col min="10246" max="10246" width="10" style="3" customWidth="1"/>
    <col min="10247" max="10247" width="10.140625" style="3" customWidth="1"/>
    <col min="10248" max="10248" width="13.140625" style="3" customWidth="1"/>
    <col min="10249" max="10251" width="0" style="3" hidden="1" customWidth="1"/>
    <col min="10252" max="10490" width="8.85546875" style="3" customWidth="1"/>
    <col min="10491" max="10491" width="3.5703125" style="3" customWidth="1"/>
    <col min="10492" max="10492" width="0" style="3" hidden="1" customWidth="1"/>
    <col min="10493" max="10493" width="6.85546875" style="3" customWidth="1"/>
    <col min="10494" max="10494" width="8.7109375" style="3" customWidth="1"/>
    <col min="10495" max="10495" width="22.7109375" style="3" customWidth="1"/>
    <col min="10496" max="10496" width="9.5703125" style="3" customWidth="1"/>
    <col min="10497" max="10497" width="8.28515625" style="3" customWidth="1"/>
    <col min="10498" max="10500" width="6.140625" style="3" customWidth="1"/>
    <col min="10501" max="10501" width="3.7109375" style="3" customWidth="1"/>
    <col min="10502" max="10502" width="10" style="3" customWidth="1"/>
    <col min="10503" max="10503" width="10.140625" style="3" customWidth="1"/>
    <col min="10504" max="10504" width="13.140625" style="3" customWidth="1"/>
    <col min="10505" max="10507" width="0" style="3" hidden="1" customWidth="1"/>
    <col min="10508" max="10746" width="8.85546875" style="3" customWidth="1"/>
    <col min="10747" max="10747" width="3.5703125" style="3" customWidth="1"/>
    <col min="10748" max="10748" width="0" style="3" hidden="1" customWidth="1"/>
    <col min="10749" max="10749" width="6.85546875" style="3" customWidth="1"/>
    <col min="10750" max="10750" width="8.7109375" style="3" customWidth="1"/>
    <col min="10751" max="10751" width="22.7109375" style="3" customWidth="1"/>
    <col min="10752" max="10752" width="9.5703125" style="3" customWidth="1"/>
    <col min="10753" max="10753" width="8.28515625" style="3" customWidth="1"/>
    <col min="10754" max="10756" width="6.140625" style="3" customWidth="1"/>
    <col min="10757" max="10757" width="3.7109375" style="3" customWidth="1"/>
    <col min="10758" max="10758" width="10" style="3" customWidth="1"/>
    <col min="10759" max="10759" width="10.140625" style="3" customWidth="1"/>
    <col min="10760" max="10760" width="13.140625" style="3" customWidth="1"/>
    <col min="10761" max="10763" width="0" style="3" hidden="1" customWidth="1"/>
    <col min="10764" max="11002" width="8.85546875" style="3" customWidth="1"/>
    <col min="11003" max="11003" width="3.5703125" style="3" customWidth="1"/>
    <col min="11004" max="11004" width="0" style="3" hidden="1" customWidth="1"/>
    <col min="11005" max="11005" width="6.85546875" style="3" customWidth="1"/>
    <col min="11006" max="11006" width="8.7109375" style="3" customWidth="1"/>
    <col min="11007" max="11007" width="22.7109375" style="3" customWidth="1"/>
    <col min="11008" max="11008" width="9.5703125" style="3" customWidth="1"/>
    <col min="11009" max="11009" width="8.28515625" style="3" customWidth="1"/>
    <col min="11010" max="11012" width="6.140625" style="3" customWidth="1"/>
    <col min="11013" max="11013" width="3.7109375" style="3" customWidth="1"/>
    <col min="11014" max="11014" width="10" style="3" customWidth="1"/>
    <col min="11015" max="11015" width="10.140625" style="3" customWidth="1"/>
    <col min="11016" max="11016" width="13.140625" style="3" customWidth="1"/>
    <col min="11017" max="11019" width="0" style="3" hidden="1" customWidth="1"/>
    <col min="11020" max="11258" width="8.85546875" style="3" customWidth="1"/>
    <col min="11259" max="11259" width="3.5703125" style="3" customWidth="1"/>
    <col min="11260" max="11260" width="0" style="3" hidden="1" customWidth="1"/>
    <col min="11261" max="11261" width="6.85546875" style="3" customWidth="1"/>
    <col min="11262" max="11262" width="8.7109375" style="3" customWidth="1"/>
    <col min="11263" max="11263" width="22.7109375" style="3" customWidth="1"/>
    <col min="11264" max="11264" width="9.5703125" style="3" customWidth="1"/>
    <col min="11265" max="11265" width="8.28515625" style="3" customWidth="1"/>
    <col min="11266" max="11268" width="6.140625" style="3" customWidth="1"/>
    <col min="11269" max="11269" width="3.7109375" style="3" customWidth="1"/>
    <col min="11270" max="11270" width="10" style="3" customWidth="1"/>
    <col min="11271" max="11271" width="10.140625" style="3" customWidth="1"/>
    <col min="11272" max="11272" width="13.140625" style="3" customWidth="1"/>
    <col min="11273" max="11275" width="0" style="3" hidden="1" customWidth="1"/>
    <col min="11276" max="11514" width="8.85546875" style="3" customWidth="1"/>
    <col min="11515" max="11515" width="3.5703125" style="3" customWidth="1"/>
    <col min="11516" max="11516" width="0" style="3" hidden="1" customWidth="1"/>
    <col min="11517" max="11517" width="6.85546875" style="3" customWidth="1"/>
    <col min="11518" max="11518" width="8.7109375" style="3" customWidth="1"/>
    <col min="11519" max="11519" width="22.7109375" style="3" customWidth="1"/>
    <col min="11520" max="11520" width="9.5703125" style="3" customWidth="1"/>
    <col min="11521" max="11521" width="8.28515625" style="3" customWidth="1"/>
    <col min="11522" max="11524" width="6.140625" style="3" customWidth="1"/>
    <col min="11525" max="11525" width="3.7109375" style="3" customWidth="1"/>
    <col min="11526" max="11526" width="10" style="3" customWidth="1"/>
    <col min="11527" max="11527" width="10.140625" style="3" customWidth="1"/>
    <col min="11528" max="11528" width="13.140625" style="3" customWidth="1"/>
    <col min="11529" max="11531" width="0" style="3" hidden="1" customWidth="1"/>
    <col min="11532" max="11770" width="8.85546875" style="3" customWidth="1"/>
    <col min="11771" max="11771" width="3.5703125" style="3" customWidth="1"/>
    <col min="11772" max="11772" width="0" style="3" hidden="1" customWidth="1"/>
    <col min="11773" max="11773" width="6.85546875" style="3" customWidth="1"/>
    <col min="11774" max="11774" width="8.7109375" style="3" customWidth="1"/>
    <col min="11775" max="11775" width="22.7109375" style="3" customWidth="1"/>
    <col min="11776" max="11776" width="9.5703125" style="3" customWidth="1"/>
    <col min="11777" max="11777" width="8.28515625" style="3" customWidth="1"/>
    <col min="11778" max="11780" width="6.140625" style="3" customWidth="1"/>
    <col min="11781" max="11781" width="3.7109375" style="3" customWidth="1"/>
    <col min="11782" max="11782" width="10" style="3" customWidth="1"/>
    <col min="11783" max="11783" width="10.140625" style="3" customWidth="1"/>
    <col min="11784" max="11784" width="13.140625" style="3" customWidth="1"/>
    <col min="11785" max="11787" width="0" style="3" hidden="1" customWidth="1"/>
    <col min="11788" max="12026" width="8.85546875" style="3" customWidth="1"/>
    <col min="12027" max="12027" width="3.5703125" style="3" customWidth="1"/>
    <col min="12028" max="12028" width="0" style="3" hidden="1" customWidth="1"/>
    <col min="12029" max="12029" width="6.85546875" style="3" customWidth="1"/>
    <col min="12030" max="12030" width="8.7109375" style="3" customWidth="1"/>
    <col min="12031" max="12031" width="22.7109375" style="3" customWidth="1"/>
    <col min="12032" max="12032" width="9.5703125" style="3" customWidth="1"/>
    <col min="12033" max="12033" width="8.28515625" style="3" customWidth="1"/>
    <col min="12034" max="12036" width="6.140625" style="3" customWidth="1"/>
    <col min="12037" max="12037" width="3.7109375" style="3" customWidth="1"/>
    <col min="12038" max="12038" width="10" style="3" customWidth="1"/>
    <col min="12039" max="12039" width="10.140625" style="3" customWidth="1"/>
    <col min="12040" max="12040" width="13.140625" style="3" customWidth="1"/>
    <col min="12041" max="12043" width="0" style="3" hidden="1" customWidth="1"/>
    <col min="12044" max="12282" width="8.85546875" style="3" customWidth="1"/>
    <col min="12283" max="12283" width="3.5703125" style="3" customWidth="1"/>
    <col min="12284" max="12284" width="0" style="3" hidden="1" customWidth="1"/>
    <col min="12285" max="12285" width="6.85546875" style="3" customWidth="1"/>
    <col min="12286" max="12286" width="8.7109375" style="3" customWidth="1"/>
    <col min="12287" max="12287" width="22.7109375" style="3" customWidth="1"/>
    <col min="12288" max="12288" width="9.5703125" style="3" customWidth="1"/>
    <col min="12289" max="12289" width="8.28515625" style="3" customWidth="1"/>
    <col min="12290" max="12292" width="6.140625" style="3" customWidth="1"/>
    <col min="12293" max="12293" width="3.7109375" style="3" customWidth="1"/>
    <col min="12294" max="12294" width="10" style="3" customWidth="1"/>
    <col min="12295" max="12295" width="10.140625" style="3" customWidth="1"/>
    <col min="12296" max="12296" width="13.140625" style="3" customWidth="1"/>
    <col min="12297" max="12299" width="0" style="3" hidden="1" customWidth="1"/>
    <col min="12300" max="12538" width="8.85546875" style="3" customWidth="1"/>
    <col min="12539" max="12539" width="3.5703125" style="3" customWidth="1"/>
    <col min="12540" max="12540" width="0" style="3" hidden="1" customWidth="1"/>
    <col min="12541" max="12541" width="6.85546875" style="3" customWidth="1"/>
    <col min="12542" max="12542" width="8.7109375" style="3" customWidth="1"/>
    <col min="12543" max="12543" width="22.7109375" style="3" customWidth="1"/>
    <col min="12544" max="12544" width="9.5703125" style="3" customWidth="1"/>
    <col min="12545" max="12545" width="8.28515625" style="3" customWidth="1"/>
    <col min="12546" max="12548" width="6.140625" style="3" customWidth="1"/>
    <col min="12549" max="12549" width="3.7109375" style="3" customWidth="1"/>
    <col min="12550" max="12550" width="10" style="3" customWidth="1"/>
    <col min="12551" max="12551" width="10.140625" style="3" customWidth="1"/>
    <col min="12552" max="12552" width="13.140625" style="3" customWidth="1"/>
    <col min="12553" max="12555" width="0" style="3" hidden="1" customWidth="1"/>
    <col min="12556" max="12794" width="8.85546875" style="3" customWidth="1"/>
    <col min="12795" max="12795" width="3.5703125" style="3" customWidth="1"/>
    <col min="12796" max="12796" width="0" style="3" hidden="1" customWidth="1"/>
    <col min="12797" max="12797" width="6.85546875" style="3" customWidth="1"/>
    <col min="12798" max="12798" width="8.7109375" style="3" customWidth="1"/>
    <col min="12799" max="12799" width="22.7109375" style="3" customWidth="1"/>
    <col min="12800" max="12800" width="9.5703125" style="3" customWidth="1"/>
    <col min="12801" max="12801" width="8.28515625" style="3" customWidth="1"/>
    <col min="12802" max="12804" width="6.140625" style="3" customWidth="1"/>
    <col min="12805" max="12805" width="3.7109375" style="3" customWidth="1"/>
    <col min="12806" max="12806" width="10" style="3" customWidth="1"/>
    <col min="12807" max="12807" width="10.140625" style="3" customWidth="1"/>
    <col min="12808" max="12808" width="13.140625" style="3" customWidth="1"/>
    <col min="12809" max="12811" width="0" style="3" hidden="1" customWidth="1"/>
    <col min="12812" max="13050" width="8.85546875" style="3" customWidth="1"/>
    <col min="13051" max="13051" width="3.5703125" style="3" customWidth="1"/>
    <col min="13052" max="13052" width="0" style="3" hidden="1" customWidth="1"/>
    <col min="13053" max="13053" width="6.85546875" style="3" customWidth="1"/>
    <col min="13054" max="13054" width="8.7109375" style="3" customWidth="1"/>
    <col min="13055" max="13055" width="22.7109375" style="3" customWidth="1"/>
    <col min="13056" max="13056" width="9.5703125" style="3" customWidth="1"/>
    <col min="13057" max="13057" width="8.28515625" style="3" customWidth="1"/>
    <col min="13058" max="13060" width="6.140625" style="3" customWidth="1"/>
    <col min="13061" max="13061" width="3.7109375" style="3" customWidth="1"/>
    <col min="13062" max="13062" width="10" style="3" customWidth="1"/>
    <col min="13063" max="13063" width="10.140625" style="3" customWidth="1"/>
    <col min="13064" max="13064" width="13.140625" style="3" customWidth="1"/>
    <col min="13065" max="13067" width="0" style="3" hidden="1" customWidth="1"/>
    <col min="13068" max="13306" width="8.85546875" style="3" customWidth="1"/>
    <col min="13307" max="13307" width="3.5703125" style="3" customWidth="1"/>
    <col min="13308" max="13308" width="0" style="3" hidden="1" customWidth="1"/>
    <col min="13309" max="13309" width="6.85546875" style="3" customWidth="1"/>
    <col min="13310" max="13310" width="8.7109375" style="3" customWidth="1"/>
    <col min="13311" max="13311" width="22.7109375" style="3" customWidth="1"/>
    <col min="13312" max="13312" width="9.5703125" style="3" customWidth="1"/>
    <col min="13313" max="13313" width="8.28515625" style="3" customWidth="1"/>
    <col min="13314" max="13316" width="6.140625" style="3" customWidth="1"/>
    <col min="13317" max="13317" width="3.7109375" style="3" customWidth="1"/>
    <col min="13318" max="13318" width="10" style="3" customWidth="1"/>
    <col min="13319" max="13319" width="10.140625" style="3" customWidth="1"/>
    <col min="13320" max="13320" width="13.140625" style="3" customWidth="1"/>
    <col min="13321" max="13323" width="0" style="3" hidden="1" customWidth="1"/>
    <col min="13324" max="13562" width="8.85546875" style="3" customWidth="1"/>
    <col min="13563" max="13563" width="3.5703125" style="3" customWidth="1"/>
    <col min="13564" max="13564" width="0" style="3" hidden="1" customWidth="1"/>
    <col min="13565" max="13565" width="6.85546875" style="3" customWidth="1"/>
    <col min="13566" max="13566" width="8.7109375" style="3" customWidth="1"/>
    <col min="13567" max="13567" width="22.7109375" style="3" customWidth="1"/>
    <col min="13568" max="13568" width="9.5703125" style="3" customWidth="1"/>
    <col min="13569" max="13569" width="8.28515625" style="3" customWidth="1"/>
    <col min="13570" max="13572" width="6.140625" style="3" customWidth="1"/>
    <col min="13573" max="13573" width="3.7109375" style="3" customWidth="1"/>
    <col min="13574" max="13574" width="10" style="3" customWidth="1"/>
    <col min="13575" max="13575" width="10.140625" style="3" customWidth="1"/>
    <col min="13576" max="13576" width="13.140625" style="3" customWidth="1"/>
    <col min="13577" max="13579" width="0" style="3" hidden="1" customWidth="1"/>
    <col min="13580" max="13818" width="8.85546875" style="3" customWidth="1"/>
    <col min="13819" max="13819" width="3.5703125" style="3" customWidth="1"/>
    <col min="13820" max="13820" width="0" style="3" hidden="1" customWidth="1"/>
    <col min="13821" max="13821" width="6.85546875" style="3" customWidth="1"/>
    <col min="13822" max="13822" width="8.7109375" style="3" customWidth="1"/>
    <col min="13823" max="13823" width="22.7109375" style="3" customWidth="1"/>
    <col min="13824" max="13824" width="9.5703125" style="3" customWidth="1"/>
    <col min="13825" max="13825" width="8.28515625" style="3" customWidth="1"/>
    <col min="13826" max="13828" width="6.140625" style="3" customWidth="1"/>
    <col min="13829" max="13829" width="3.7109375" style="3" customWidth="1"/>
    <col min="13830" max="13830" width="10" style="3" customWidth="1"/>
    <col min="13831" max="13831" width="10.140625" style="3" customWidth="1"/>
    <col min="13832" max="13832" width="13.140625" style="3" customWidth="1"/>
    <col min="13833" max="13835" width="0" style="3" hidden="1" customWidth="1"/>
    <col min="13836" max="14074" width="8.85546875" style="3" customWidth="1"/>
    <col min="14075" max="14075" width="3.5703125" style="3" customWidth="1"/>
    <col min="14076" max="14076" width="0" style="3" hidden="1" customWidth="1"/>
    <col min="14077" max="14077" width="6.85546875" style="3" customWidth="1"/>
    <col min="14078" max="14078" width="8.7109375" style="3" customWidth="1"/>
    <col min="14079" max="14079" width="22.7109375" style="3" customWidth="1"/>
    <col min="14080" max="14080" width="9.5703125" style="3" customWidth="1"/>
    <col min="14081" max="14081" width="8.28515625" style="3" customWidth="1"/>
    <col min="14082" max="14084" width="6.140625" style="3" customWidth="1"/>
    <col min="14085" max="14085" width="3.7109375" style="3" customWidth="1"/>
    <col min="14086" max="14086" width="10" style="3" customWidth="1"/>
    <col min="14087" max="14087" width="10.140625" style="3" customWidth="1"/>
    <col min="14088" max="14088" width="13.140625" style="3" customWidth="1"/>
    <col min="14089" max="14091" width="0" style="3" hidden="1" customWidth="1"/>
    <col min="14092" max="14330" width="8.85546875" style="3" customWidth="1"/>
    <col min="14331" max="14331" width="3.5703125" style="3" customWidth="1"/>
    <col min="14332" max="14332" width="0" style="3" hidden="1" customWidth="1"/>
    <col min="14333" max="14333" width="6.85546875" style="3" customWidth="1"/>
    <col min="14334" max="14334" width="8.7109375" style="3" customWidth="1"/>
    <col min="14335" max="14335" width="22.7109375" style="3" customWidth="1"/>
    <col min="14336" max="14336" width="9.5703125" style="3" customWidth="1"/>
    <col min="14337" max="14337" width="8.28515625" style="3" customWidth="1"/>
    <col min="14338" max="14340" width="6.140625" style="3" customWidth="1"/>
    <col min="14341" max="14341" width="3.7109375" style="3" customWidth="1"/>
    <col min="14342" max="14342" width="10" style="3" customWidth="1"/>
    <col min="14343" max="14343" width="10.140625" style="3" customWidth="1"/>
    <col min="14344" max="14344" width="13.140625" style="3" customWidth="1"/>
    <col min="14345" max="14347" width="0" style="3" hidden="1" customWidth="1"/>
    <col min="14348" max="14586" width="8.85546875" style="3" customWidth="1"/>
    <col min="14587" max="14587" width="3.5703125" style="3" customWidth="1"/>
    <col min="14588" max="14588" width="0" style="3" hidden="1" customWidth="1"/>
    <col min="14589" max="14589" width="6.85546875" style="3" customWidth="1"/>
    <col min="14590" max="14590" width="8.7109375" style="3" customWidth="1"/>
    <col min="14591" max="14591" width="22.7109375" style="3" customWidth="1"/>
    <col min="14592" max="14592" width="9.5703125" style="3" customWidth="1"/>
    <col min="14593" max="14593" width="8.28515625" style="3" customWidth="1"/>
    <col min="14594" max="14596" width="6.140625" style="3" customWidth="1"/>
    <col min="14597" max="14597" width="3.7109375" style="3" customWidth="1"/>
    <col min="14598" max="14598" width="10" style="3" customWidth="1"/>
    <col min="14599" max="14599" width="10.140625" style="3" customWidth="1"/>
    <col min="14600" max="14600" width="13.140625" style="3" customWidth="1"/>
    <col min="14601" max="14603" width="0" style="3" hidden="1" customWidth="1"/>
    <col min="14604" max="14842" width="8.85546875" style="3" customWidth="1"/>
    <col min="14843" max="14843" width="3.5703125" style="3" customWidth="1"/>
    <col min="14844" max="14844" width="0" style="3" hidden="1" customWidth="1"/>
    <col min="14845" max="14845" width="6.85546875" style="3" customWidth="1"/>
    <col min="14846" max="14846" width="8.7109375" style="3" customWidth="1"/>
    <col min="14847" max="14847" width="22.7109375" style="3" customWidth="1"/>
    <col min="14848" max="14848" width="9.5703125" style="3" customWidth="1"/>
    <col min="14849" max="14849" width="8.28515625" style="3" customWidth="1"/>
    <col min="14850" max="14852" width="6.140625" style="3" customWidth="1"/>
    <col min="14853" max="14853" width="3.7109375" style="3" customWidth="1"/>
    <col min="14854" max="14854" width="10" style="3" customWidth="1"/>
    <col min="14855" max="14855" width="10.140625" style="3" customWidth="1"/>
    <col min="14856" max="14856" width="13.140625" style="3" customWidth="1"/>
    <col min="14857" max="14859" width="0" style="3" hidden="1" customWidth="1"/>
    <col min="14860" max="15098" width="8.85546875" style="3" customWidth="1"/>
    <col min="15099" max="15099" width="3.5703125" style="3" customWidth="1"/>
    <col min="15100" max="15100" width="0" style="3" hidden="1" customWidth="1"/>
    <col min="15101" max="15101" width="6.85546875" style="3" customWidth="1"/>
    <col min="15102" max="15102" width="8.7109375" style="3" customWidth="1"/>
    <col min="15103" max="15103" width="22.7109375" style="3" customWidth="1"/>
    <col min="15104" max="15104" width="9.5703125" style="3" customWidth="1"/>
    <col min="15105" max="15105" width="8.28515625" style="3" customWidth="1"/>
    <col min="15106" max="15108" width="6.140625" style="3" customWidth="1"/>
    <col min="15109" max="15109" width="3.7109375" style="3" customWidth="1"/>
    <col min="15110" max="15110" width="10" style="3" customWidth="1"/>
    <col min="15111" max="15111" width="10.140625" style="3" customWidth="1"/>
    <col min="15112" max="15112" width="13.140625" style="3" customWidth="1"/>
    <col min="15113" max="15115" width="0" style="3" hidden="1" customWidth="1"/>
    <col min="15116" max="15354" width="8.85546875" style="3" customWidth="1"/>
    <col min="15355" max="15355" width="3.5703125" style="3" customWidth="1"/>
    <col min="15356" max="15356" width="0" style="3" hidden="1" customWidth="1"/>
    <col min="15357" max="15357" width="6.85546875" style="3" customWidth="1"/>
    <col min="15358" max="15358" width="8.7109375" style="3" customWidth="1"/>
    <col min="15359" max="15359" width="22.7109375" style="3" customWidth="1"/>
    <col min="15360" max="15360" width="9.5703125" style="3" customWidth="1"/>
    <col min="15361" max="15361" width="8.28515625" style="3" customWidth="1"/>
    <col min="15362" max="15364" width="6.140625" style="3" customWidth="1"/>
    <col min="15365" max="15365" width="3.7109375" style="3" customWidth="1"/>
    <col min="15366" max="15366" width="10" style="3" customWidth="1"/>
    <col min="15367" max="15367" width="10.140625" style="3" customWidth="1"/>
    <col min="15368" max="15368" width="13.140625" style="3" customWidth="1"/>
    <col min="15369" max="15371" width="0" style="3" hidden="1" customWidth="1"/>
    <col min="15372" max="15610" width="8.85546875" style="3" customWidth="1"/>
    <col min="15611" max="15611" width="3.5703125" style="3" customWidth="1"/>
    <col min="15612" max="15612" width="0" style="3" hidden="1" customWidth="1"/>
    <col min="15613" max="15613" width="6.85546875" style="3" customWidth="1"/>
    <col min="15614" max="15614" width="8.7109375" style="3" customWidth="1"/>
    <col min="15615" max="15615" width="22.7109375" style="3" customWidth="1"/>
    <col min="15616" max="15616" width="9.5703125" style="3" customWidth="1"/>
    <col min="15617" max="15617" width="8.28515625" style="3" customWidth="1"/>
    <col min="15618" max="15620" width="6.140625" style="3" customWidth="1"/>
    <col min="15621" max="15621" width="3.7109375" style="3" customWidth="1"/>
    <col min="15622" max="15622" width="10" style="3" customWidth="1"/>
    <col min="15623" max="15623" width="10.140625" style="3" customWidth="1"/>
    <col min="15624" max="15624" width="13.140625" style="3" customWidth="1"/>
    <col min="15625" max="15627" width="0" style="3" hidden="1" customWidth="1"/>
    <col min="15628" max="15866" width="8.85546875" style="3" customWidth="1"/>
    <col min="15867" max="15867" width="3.5703125" style="3" customWidth="1"/>
    <col min="15868" max="15868" width="0" style="3" hidden="1" customWidth="1"/>
    <col min="15869" max="15869" width="6.85546875" style="3" customWidth="1"/>
    <col min="15870" max="15870" width="8.7109375" style="3" customWidth="1"/>
    <col min="15871" max="15871" width="22.7109375" style="3" customWidth="1"/>
    <col min="15872" max="15872" width="9.5703125" style="3" customWidth="1"/>
    <col min="15873" max="15873" width="8.28515625" style="3" customWidth="1"/>
    <col min="15874" max="15876" width="6.140625" style="3" customWidth="1"/>
    <col min="15877" max="15877" width="3.7109375" style="3" customWidth="1"/>
    <col min="15878" max="15878" width="10" style="3" customWidth="1"/>
    <col min="15879" max="15879" width="10.140625" style="3" customWidth="1"/>
    <col min="15880" max="15880" width="13.140625" style="3" customWidth="1"/>
    <col min="15881" max="15883" width="0" style="3" hidden="1" customWidth="1"/>
    <col min="15884" max="16122" width="8.85546875" style="3" customWidth="1"/>
    <col min="16123" max="16123" width="3.5703125" style="3" customWidth="1"/>
    <col min="16124" max="16124" width="0" style="3" hidden="1" customWidth="1"/>
    <col min="16125" max="16125" width="6.85546875" style="3" customWidth="1"/>
    <col min="16126" max="16126" width="8.7109375" style="3" customWidth="1"/>
    <col min="16127" max="16127" width="22.7109375" style="3" customWidth="1"/>
    <col min="16128" max="16128" width="9.5703125" style="3" customWidth="1"/>
    <col min="16129" max="16129" width="8.28515625" style="3" customWidth="1"/>
    <col min="16130" max="16132" width="6.140625" style="3" customWidth="1"/>
    <col min="16133" max="16133" width="3.7109375" style="3" customWidth="1"/>
    <col min="16134" max="16134" width="10" style="3" customWidth="1"/>
    <col min="16135" max="16135" width="10.140625" style="3" customWidth="1"/>
    <col min="16136" max="16136" width="13.140625" style="3" customWidth="1"/>
    <col min="16137" max="16139" width="0" style="3" hidden="1" customWidth="1"/>
    <col min="16140" max="16140" width="8.85546875" style="3" customWidth="1"/>
  </cols>
  <sheetData>
    <row r="1" spans="1:16140" ht="24" customHeight="1" x14ac:dyDescent="0.25">
      <c r="A1" s="147" t="s">
        <v>0</v>
      </c>
      <c r="B1" s="147"/>
      <c r="C1" s="147"/>
      <c r="D1" s="147"/>
      <c r="E1" s="147"/>
      <c r="F1" s="147"/>
      <c r="G1" s="147"/>
      <c r="H1" s="147"/>
      <c r="I1" s="147"/>
      <c r="J1" s="147"/>
      <c r="K1" s="29"/>
      <c r="L1" s="1"/>
      <c r="M1" s="1"/>
    </row>
    <row r="2" spans="1:16140" ht="19.5" customHeight="1" x14ac:dyDescent="0.25">
      <c r="A2" s="148" t="s">
        <v>1</v>
      </c>
      <c r="B2" s="148"/>
      <c r="C2" s="148"/>
      <c r="D2" s="148"/>
      <c r="E2" s="148"/>
      <c r="F2" s="148"/>
      <c r="G2" s="148"/>
      <c r="H2" s="148"/>
      <c r="I2" s="148"/>
      <c r="J2" s="148"/>
      <c r="K2" s="30"/>
      <c r="L2" s="2"/>
      <c r="M2" s="2"/>
    </row>
    <row r="3" spans="1:16140" ht="19.5" customHeight="1" x14ac:dyDescent="0.25">
      <c r="A3" s="148" t="s">
        <v>2</v>
      </c>
      <c r="B3" s="148"/>
      <c r="C3" s="148"/>
      <c r="D3" s="148"/>
      <c r="E3" s="148"/>
      <c r="F3" s="148"/>
      <c r="G3" s="148"/>
      <c r="H3" s="148"/>
      <c r="I3" s="148"/>
      <c r="J3" s="148"/>
      <c r="K3" s="30"/>
      <c r="L3" s="2"/>
      <c r="M3" s="2"/>
    </row>
    <row r="4" spans="1:16140" ht="19.5" customHeight="1" x14ac:dyDescent="0.25">
      <c r="A4" s="148" t="s">
        <v>3</v>
      </c>
      <c r="B4" s="148"/>
      <c r="C4" s="148"/>
      <c r="D4" s="148"/>
      <c r="E4" s="148"/>
      <c r="F4" s="148"/>
      <c r="G4" s="148"/>
      <c r="H4" s="148"/>
      <c r="I4" s="148"/>
      <c r="J4" s="148"/>
      <c r="K4" s="30"/>
      <c r="L4" s="2"/>
      <c r="M4" s="2"/>
    </row>
    <row r="5" spans="1:16140" ht="22.5" customHeight="1" x14ac:dyDescent="0.25">
      <c r="A5" s="148" t="s">
        <v>4</v>
      </c>
      <c r="B5" s="148"/>
      <c r="C5" s="148"/>
      <c r="D5" s="148"/>
      <c r="E5" s="148"/>
      <c r="F5" s="148"/>
      <c r="G5" s="148"/>
      <c r="H5" s="148"/>
      <c r="I5" s="148"/>
      <c r="J5" s="148"/>
      <c r="K5" s="30"/>
      <c r="L5" s="2"/>
      <c r="M5" s="2"/>
    </row>
    <row r="6" spans="1:16140" s="5" customFormat="1" ht="30" customHeight="1" x14ac:dyDescent="0.2">
      <c r="A6" s="146" t="s">
        <v>5</v>
      </c>
      <c r="B6" s="146"/>
      <c r="C6" s="146"/>
      <c r="D6" s="146"/>
      <c r="E6" s="146"/>
      <c r="F6" s="146"/>
      <c r="G6" s="146"/>
      <c r="H6" s="146"/>
      <c r="I6" s="146"/>
      <c r="J6" s="146"/>
      <c r="K6" s="146"/>
      <c r="L6" s="146"/>
      <c r="M6" s="78"/>
      <c r="O6" s="93"/>
    </row>
    <row r="7" spans="1:16140" s="4" customFormat="1" ht="19.5" customHeight="1" x14ac:dyDescent="0.25">
      <c r="A7" s="143" t="s">
        <v>210</v>
      </c>
      <c r="B7" s="143"/>
      <c r="C7" s="143"/>
      <c r="D7" s="143"/>
      <c r="E7" s="143"/>
      <c r="F7" s="143" t="s">
        <v>6</v>
      </c>
      <c r="G7" s="143"/>
      <c r="H7" s="143"/>
      <c r="I7" s="143"/>
      <c r="J7" s="32"/>
      <c r="K7" s="31" t="s">
        <v>7</v>
      </c>
      <c r="L7" s="20" t="s">
        <v>208</v>
      </c>
      <c r="M7" s="111"/>
      <c r="O7" s="94"/>
    </row>
    <row r="8" spans="1:16140" s="4" customFormat="1" ht="19.5" customHeight="1" x14ac:dyDescent="0.25">
      <c r="A8" s="143" t="s">
        <v>211</v>
      </c>
      <c r="B8" s="143"/>
      <c r="C8" s="143"/>
      <c r="D8" s="143"/>
      <c r="E8" s="143"/>
      <c r="F8" s="143" t="s">
        <v>8</v>
      </c>
      <c r="G8" s="143"/>
      <c r="H8" s="143"/>
      <c r="I8" s="143"/>
      <c r="J8" s="32"/>
      <c r="K8" s="31" t="s">
        <v>9</v>
      </c>
      <c r="L8" s="21" t="s">
        <v>212</v>
      </c>
      <c r="M8" s="112"/>
      <c r="O8" s="94"/>
    </row>
    <row r="9" spans="1:16140" s="6" customFormat="1" ht="37.5" customHeight="1" x14ac:dyDescent="0.25">
      <c r="A9" s="144" t="s">
        <v>10</v>
      </c>
      <c r="B9" s="144"/>
      <c r="C9" s="144"/>
      <c r="D9" s="144"/>
      <c r="E9" s="144"/>
      <c r="F9" s="144"/>
      <c r="G9" s="144"/>
      <c r="H9" s="144"/>
      <c r="I9" s="144"/>
      <c r="J9" s="144"/>
      <c r="K9" s="144"/>
      <c r="L9" s="144"/>
      <c r="M9" s="79"/>
      <c r="O9" s="95"/>
    </row>
    <row r="10" spans="1:16140" s="6" customFormat="1" ht="36.75" customHeight="1" x14ac:dyDescent="0.25">
      <c r="A10" s="142" t="s">
        <v>11</v>
      </c>
      <c r="B10" s="142" t="s">
        <v>12</v>
      </c>
      <c r="C10" s="142" t="s">
        <v>13</v>
      </c>
      <c r="D10" s="142"/>
      <c r="E10" s="142"/>
      <c r="F10" s="142" t="s">
        <v>14</v>
      </c>
      <c r="G10" s="142"/>
      <c r="H10" s="145" t="s">
        <v>15</v>
      </c>
      <c r="I10" s="142" t="s">
        <v>16</v>
      </c>
      <c r="J10" s="43" t="s">
        <v>17</v>
      </c>
      <c r="K10" s="43" t="s">
        <v>18</v>
      </c>
      <c r="L10" s="44" t="s">
        <v>19</v>
      </c>
      <c r="M10" s="113"/>
      <c r="O10" s="95"/>
    </row>
    <row r="11" spans="1:16140" s="8" customFormat="1" ht="36.75" customHeight="1" x14ac:dyDescent="0.25">
      <c r="A11" s="142"/>
      <c r="B11" s="142"/>
      <c r="C11" s="80" t="s">
        <v>20</v>
      </c>
      <c r="D11" s="80" t="s">
        <v>21</v>
      </c>
      <c r="E11" s="80" t="s">
        <v>18</v>
      </c>
      <c r="F11" s="80" t="s">
        <v>22</v>
      </c>
      <c r="G11" s="80" t="s">
        <v>23</v>
      </c>
      <c r="H11" s="145"/>
      <c r="I11" s="142"/>
      <c r="J11" s="43" t="s">
        <v>24</v>
      </c>
      <c r="K11" s="43" t="s">
        <v>25</v>
      </c>
      <c r="L11" s="44" t="s">
        <v>26</v>
      </c>
      <c r="M11" s="113"/>
      <c r="O11" s="96"/>
    </row>
    <row r="12" spans="1:16140" s="8" customFormat="1" ht="27" customHeight="1" x14ac:dyDescent="0.25">
      <c r="A12" s="132" t="s">
        <v>86</v>
      </c>
      <c r="B12" s="133"/>
      <c r="C12" s="133"/>
      <c r="D12" s="133"/>
      <c r="E12" s="134"/>
      <c r="F12" s="64"/>
      <c r="G12" s="64"/>
      <c r="H12" s="65"/>
      <c r="I12" s="64"/>
      <c r="J12" s="66"/>
      <c r="K12" s="66"/>
      <c r="L12" s="67"/>
      <c r="M12" s="114"/>
      <c r="O12" s="96"/>
    </row>
    <row r="13" spans="1:16140" s="39" customFormat="1" ht="150.75" customHeight="1" x14ac:dyDescent="0.25">
      <c r="A13" s="81">
        <v>1</v>
      </c>
      <c r="B13" s="81" t="s">
        <v>87</v>
      </c>
      <c r="C13" s="51" t="s">
        <v>47</v>
      </c>
      <c r="D13" s="45" t="s">
        <v>39</v>
      </c>
      <c r="E13" s="45" t="s">
        <v>38</v>
      </c>
      <c r="F13" s="45">
        <v>4758</v>
      </c>
      <c r="G13" s="45">
        <v>2050</v>
      </c>
      <c r="H13" s="46">
        <f t="shared" ref="H13:H15" si="0">F13*G13/10^6</f>
        <v>9.7538999999999998</v>
      </c>
      <c r="I13" s="45">
        <v>1</v>
      </c>
      <c r="J13" s="53">
        <v>3060000</v>
      </c>
      <c r="K13" s="47">
        <v>3761000</v>
      </c>
      <c r="L13" s="48">
        <f t="shared" ref="L13:L15" si="1">IF(H13&lt;&gt;0,J13*H13*I13+K13*I13,IF(J13&lt;&gt;0,G13*I13*J13,I13*K13))</f>
        <v>33607934</v>
      </c>
      <c r="M13" s="115"/>
      <c r="N13" s="28"/>
      <c r="O13" s="85"/>
      <c r="P13" s="28"/>
      <c r="Q13" s="28"/>
      <c r="R13" s="28"/>
      <c r="S13" s="28"/>
      <c r="T13" s="28"/>
      <c r="U13" s="28"/>
      <c r="V13" s="28"/>
      <c r="W13" s="28"/>
      <c r="X13" s="28"/>
      <c r="Y13" s="28"/>
      <c r="Z13" s="28"/>
      <c r="AA13" s="28"/>
      <c r="AB13" s="28"/>
      <c r="AC13" s="28"/>
      <c r="AD13" s="28"/>
      <c r="AE13" s="28"/>
      <c r="AF13" s="28"/>
      <c r="AG13" s="28"/>
      <c r="AH13" s="28"/>
      <c r="AI13" s="28"/>
    </row>
    <row r="14" spans="1:16140" s="3" customFormat="1" ht="150.75" customHeight="1" x14ac:dyDescent="0.25">
      <c r="A14" s="81">
        <v>2</v>
      </c>
      <c r="B14" s="81" t="s">
        <v>88</v>
      </c>
      <c r="C14" s="51" t="s">
        <v>50</v>
      </c>
      <c r="D14" s="45" t="s">
        <v>39</v>
      </c>
      <c r="E14" s="45" t="s">
        <v>38</v>
      </c>
      <c r="F14" s="45">
        <v>900</v>
      </c>
      <c r="G14" s="45">
        <v>1500</v>
      </c>
      <c r="H14" s="46">
        <f t="shared" si="0"/>
        <v>1.35</v>
      </c>
      <c r="I14" s="45">
        <v>1</v>
      </c>
      <c r="J14" s="53">
        <v>3613000</v>
      </c>
      <c r="K14" s="47">
        <v>1629000</v>
      </c>
      <c r="L14" s="48">
        <f t="shared" si="1"/>
        <v>6506550</v>
      </c>
      <c r="M14" s="115"/>
      <c r="N14" s="28"/>
      <c r="O14" s="85"/>
      <c r="P14" s="28"/>
      <c r="Q14" s="28"/>
      <c r="R14" s="28"/>
      <c r="S14" s="28"/>
      <c r="T14" s="28"/>
      <c r="U14" s="28"/>
      <c r="V14" s="28"/>
      <c r="W14" s="28"/>
      <c r="X14" s="28"/>
      <c r="Y14" s="28"/>
      <c r="Z14" s="28"/>
      <c r="AA14" s="28"/>
      <c r="AB14" s="28"/>
      <c r="AC14" s="28"/>
      <c r="AD14" s="28"/>
      <c r="AE14" s="28"/>
      <c r="AF14" s="28"/>
      <c r="AG14" s="28"/>
    </row>
    <row r="15" spans="1:16140" ht="156.75" customHeight="1" x14ac:dyDescent="0.25">
      <c r="A15" s="81">
        <v>3</v>
      </c>
      <c r="B15" s="81" t="s">
        <v>89</v>
      </c>
      <c r="C15" s="51" t="s">
        <v>40</v>
      </c>
      <c r="D15" s="45" t="s">
        <v>39</v>
      </c>
      <c r="E15" s="45" t="s">
        <v>38</v>
      </c>
      <c r="F15" s="45">
        <v>1000</v>
      </c>
      <c r="G15" s="45">
        <v>1950</v>
      </c>
      <c r="H15" s="46">
        <f t="shared" si="0"/>
        <v>1.95</v>
      </c>
      <c r="I15" s="45">
        <v>1</v>
      </c>
      <c r="J15" s="53">
        <v>3396000</v>
      </c>
      <c r="K15" s="47">
        <v>1819000</v>
      </c>
      <c r="L15" s="48">
        <f t="shared" si="1"/>
        <v>8441200</v>
      </c>
      <c r="M15" s="115"/>
      <c r="N15" s="54"/>
      <c r="O15" s="97"/>
      <c r="P15" s="54"/>
      <c r="Q15" s="54"/>
      <c r="R15" s="54"/>
      <c r="S15" s="54"/>
      <c r="T15" s="54"/>
      <c r="U15" s="54"/>
      <c r="V15" s="54"/>
      <c r="W15" s="54"/>
      <c r="X15" s="54"/>
      <c r="Y15" s="54"/>
      <c r="Z15" s="54"/>
      <c r="AA15" s="54"/>
      <c r="AB15" s="54"/>
      <c r="AC15" s="54"/>
      <c r="AD15" s="54"/>
      <c r="AE15" s="54"/>
      <c r="AF15" s="54"/>
      <c r="AG15" s="54"/>
      <c r="AH15" s="54"/>
      <c r="AI15" s="54"/>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c r="HT15" s="55"/>
      <c r="HU15" s="55"/>
      <c r="HV15" s="55"/>
      <c r="HW15" s="55"/>
      <c r="HX15" s="55"/>
      <c r="HY15" s="55"/>
      <c r="HZ15" s="55"/>
      <c r="IA15" s="55"/>
      <c r="IB15" s="55"/>
      <c r="IC15" s="55"/>
      <c r="ID15" s="55"/>
      <c r="IE15" s="55"/>
      <c r="IF15" s="55"/>
      <c r="IG15" s="55"/>
      <c r="IH15" s="55"/>
      <c r="II15" s="55"/>
      <c r="IJ15" s="55"/>
      <c r="IK15" s="55"/>
      <c r="IL15" s="55"/>
      <c r="IM15" s="55"/>
      <c r="IN15" s="55"/>
      <c r="IO15" s="55"/>
      <c r="IP15" s="55"/>
      <c r="IQ15" s="55"/>
      <c r="IR15" s="55"/>
      <c r="IS15" s="55"/>
      <c r="IT15" s="55"/>
      <c r="IU15" s="55"/>
      <c r="IV15" s="55"/>
      <c r="IW15" s="55"/>
      <c r="IX15" s="55"/>
      <c r="IY15" s="55"/>
      <c r="IZ15" s="55"/>
      <c r="JA15" s="55"/>
      <c r="JB15" s="55"/>
      <c r="JC15" s="55"/>
      <c r="JD15" s="55"/>
      <c r="JE15" s="55"/>
      <c r="JF15" s="55"/>
      <c r="JG15" s="55"/>
      <c r="JH15" s="55"/>
      <c r="JI15" s="55"/>
      <c r="JJ15" s="55"/>
      <c r="JK15" s="55"/>
      <c r="JL15" s="55"/>
      <c r="JM15" s="55"/>
      <c r="JN15" s="55"/>
      <c r="JO15" s="55"/>
      <c r="JP15" s="55"/>
      <c r="JQ15" s="55"/>
      <c r="JR15" s="55"/>
      <c r="JS15" s="55"/>
      <c r="JT15" s="55"/>
      <c r="JU15" s="55"/>
      <c r="JV15" s="55"/>
      <c r="JW15" s="55"/>
      <c r="JX15" s="55"/>
      <c r="JY15" s="55"/>
      <c r="JZ15" s="55"/>
      <c r="KA15" s="55"/>
      <c r="KB15" s="55"/>
      <c r="KC15" s="55"/>
      <c r="KD15" s="55"/>
      <c r="KE15" s="55"/>
      <c r="KF15" s="55"/>
      <c r="KG15" s="55"/>
      <c r="KH15" s="55"/>
      <c r="KI15" s="55"/>
      <c r="KJ15" s="55"/>
      <c r="KK15" s="55"/>
      <c r="KL15" s="55"/>
      <c r="KM15" s="55"/>
      <c r="KN15" s="55"/>
      <c r="KO15" s="55"/>
      <c r="KP15" s="55"/>
      <c r="KQ15" s="55"/>
      <c r="KR15" s="55"/>
      <c r="KS15" s="55"/>
      <c r="KT15" s="55"/>
      <c r="KU15" s="55"/>
      <c r="KV15" s="55"/>
      <c r="KW15" s="55"/>
      <c r="KX15" s="55"/>
      <c r="KY15" s="55"/>
      <c r="KZ15" s="55"/>
      <c r="LA15" s="55"/>
      <c r="LB15" s="55"/>
      <c r="LC15" s="55"/>
      <c r="LD15" s="55"/>
      <c r="LE15" s="55"/>
      <c r="LF15" s="55"/>
      <c r="LG15" s="55"/>
      <c r="LH15" s="55"/>
      <c r="LI15" s="55"/>
      <c r="LJ15" s="55"/>
      <c r="LK15" s="55"/>
      <c r="LL15" s="55"/>
      <c r="LM15" s="55"/>
      <c r="LN15" s="55"/>
      <c r="LO15" s="55"/>
      <c r="LP15" s="55"/>
      <c r="LQ15" s="55"/>
      <c r="LR15" s="55"/>
      <c r="LS15" s="55"/>
      <c r="LT15" s="55"/>
      <c r="LU15" s="55"/>
      <c r="LV15" s="55"/>
      <c r="LW15" s="55"/>
      <c r="LX15" s="55"/>
      <c r="LY15" s="55"/>
      <c r="LZ15" s="55"/>
      <c r="MA15" s="55"/>
      <c r="MB15" s="55"/>
      <c r="MC15" s="55"/>
      <c r="MD15" s="55"/>
      <c r="ME15" s="55"/>
      <c r="MF15" s="55"/>
      <c r="MG15" s="55"/>
      <c r="MH15" s="55"/>
      <c r="MI15" s="55"/>
      <c r="MJ15" s="55"/>
      <c r="MK15" s="55"/>
      <c r="ML15" s="55"/>
      <c r="MM15" s="55"/>
      <c r="MN15" s="55"/>
      <c r="MO15" s="55"/>
      <c r="MP15" s="55"/>
      <c r="MQ15" s="55"/>
      <c r="MR15" s="55"/>
      <c r="MS15" s="55"/>
      <c r="MT15" s="55"/>
      <c r="MU15" s="55"/>
      <c r="MV15" s="55"/>
      <c r="MW15" s="55"/>
      <c r="MX15" s="55"/>
      <c r="MY15" s="55"/>
      <c r="MZ15" s="55"/>
      <c r="NA15" s="55"/>
      <c r="NB15" s="55"/>
      <c r="NC15" s="55"/>
      <c r="ND15" s="55"/>
      <c r="NE15" s="55"/>
      <c r="NF15" s="55"/>
      <c r="NG15" s="55"/>
      <c r="NH15" s="55"/>
      <c r="NI15" s="55"/>
      <c r="NJ15" s="55"/>
      <c r="NK15" s="55"/>
      <c r="NL15" s="55"/>
      <c r="NM15" s="55"/>
      <c r="NN15" s="55"/>
      <c r="NO15" s="55"/>
      <c r="NP15" s="55"/>
      <c r="NQ15" s="55"/>
      <c r="NR15" s="55"/>
      <c r="NS15" s="55"/>
      <c r="NT15" s="55"/>
      <c r="NU15" s="55"/>
      <c r="NV15" s="55"/>
      <c r="NW15" s="55"/>
      <c r="NX15" s="55"/>
      <c r="NY15" s="55"/>
      <c r="NZ15" s="55"/>
      <c r="OA15" s="55"/>
      <c r="OB15" s="55"/>
      <c r="OC15" s="55"/>
      <c r="OD15" s="55"/>
      <c r="OE15" s="55"/>
      <c r="OF15" s="55"/>
      <c r="OG15" s="55"/>
      <c r="OH15" s="55"/>
      <c r="OI15" s="55"/>
      <c r="OJ15" s="55"/>
      <c r="OK15" s="55"/>
      <c r="OL15" s="55"/>
      <c r="OM15" s="55"/>
      <c r="ON15" s="55"/>
      <c r="OO15" s="55"/>
      <c r="OP15" s="55"/>
      <c r="OQ15" s="55"/>
      <c r="OR15" s="55"/>
      <c r="OS15" s="55"/>
      <c r="OT15" s="55"/>
      <c r="OU15" s="55"/>
      <c r="OV15" s="55"/>
      <c r="OW15" s="55"/>
      <c r="OX15" s="55"/>
      <c r="OY15" s="55"/>
      <c r="OZ15" s="55"/>
      <c r="PA15" s="55"/>
      <c r="PB15" s="55"/>
      <c r="PC15" s="55"/>
      <c r="PD15" s="55"/>
      <c r="PE15" s="55"/>
      <c r="PF15" s="55"/>
      <c r="PG15" s="55"/>
      <c r="PH15" s="55"/>
      <c r="PI15" s="55"/>
      <c r="PJ15" s="55"/>
      <c r="PK15" s="55"/>
      <c r="PL15" s="55"/>
      <c r="PM15" s="55"/>
      <c r="PN15" s="55"/>
      <c r="PO15" s="55"/>
      <c r="PP15" s="55"/>
      <c r="PQ15" s="55"/>
      <c r="PR15" s="55"/>
      <c r="PS15" s="55"/>
      <c r="PT15" s="55"/>
      <c r="PU15" s="55"/>
      <c r="PV15" s="55"/>
      <c r="PW15" s="55"/>
      <c r="PX15" s="55"/>
      <c r="PY15" s="55"/>
      <c r="PZ15" s="55"/>
      <c r="QA15" s="55"/>
      <c r="QB15" s="55"/>
      <c r="QC15" s="55"/>
      <c r="QD15" s="55"/>
      <c r="QE15" s="55"/>
      <c r="QF15" s="55"/>
      <c r="QG15" s="55"/>
      <c r="QH15" s="55"/>
      <c r="QI15" s="55"/>
      <c r="QJ15" s="55"/>
      <c r="QK15" s="55"/>
      <c r="QL15" s="55"/>
      <c r="QM15" s="55"/>
      <c r="QN15" s="55"/>
      <c r="QO15" s="55"/>
      <c r="QP15" s="55"/>
      <c r="QQ15" s="55"/>
      <c r="QR15" s="55"/>
      <c r="QS15" s="55"/>
      <c r="QT15" s="55"/>
      <c r="QU15" s="55"/>
      <c r="QV15" s="55"/>
      <c r="QW15" s="55"/>
      <c r="QX15" s="55"/>
      <c r="QY15" s="55"/>
      <c r="QZ15" s="55"/>
      <c r="RA15" s="55"/>
      <c r="RB15" s="55"/>
      <c r="RC15" s="55"/>
      <c r="RD15" s="55"/>
      <c r="RE15" s="55"/>
      <c r="RF15" s="55"/>
      <c r="RG15" s="55"/>
      <c r="RH15" s="55"/>
      <c r="RI15" s="55"/>
      <c r="RJ15" s="55"/>
      <c r="RK15" s="55"/>
      <c r="RL15" s="55"/>
      <c r="RM15" s="55"/>
      <c r="RN15" s="55"/>
      <c r="RO15" s="55"/>
      <c r="RP15" s="55"/>
      <c r="RQ15" s="55"/>
      <c r="RR15" s="55"/>
      <c r="RS15" s="55"/>
      <c r="RT15" s="55"/>
      <c r="RU15" s="55"/>
      <c r="RV15" s="55"/>
      <c r="RW15" s="55"/>
      <c r="RX15" s="55"/>
      <c r="RY15" s="55"/>
      <c r="RZ15" s="55"/>
      <c r="SA15" s="55"/>
      <c r="SB15" s="55"/>
      <c r="SC15" s="55"/>
      <c r="SD15" s="55"/>
      <c r="SE15" s="55"/>
      <c r="SF15" s="55"/>
      <c r="SG15" s="55"/>
      <c r="SH15" s="55"/>
      <c r="SI15" s="55"/>
      <c r="SJ15" s="55"/>
      <c r="SK15" s="55"/>
      <c r="SL15" s="55"/>
      <c r="SM15" s="55"/>
      <c r="SN15" s="55"/>
      <c r="SO15" s="55"/>
      <c r="SP15" s="55"/>
      <c r="SQ15" s="55"/>
      <c r="SR15" s="55"/>
      <c r="SS15" s="55"/>
      <c r="ST15" s="55"/>
      <c r="SU15" s="55"/>
      <c r="SV15" s="55"/>
      <c r="SW15" s="55"/>
      <c r="SX15" s="55"/>
      <c r="SY15" s="55"/>
      <c r="SZ15" s="55"/>
      <c r="TA15" s="55"/>
      <c r="TB15" s="55"/>
      <c r="TC15" s="55"/>
      <c r="TD15" s="55"/>
      <c r="TE15" s="55"/>
      <c r="TF15" s="55"/>
      <c r="TG15" s="55"/>
      <c r="TH15" s="55"/>
      <c r="TI15" s="55"/>
      <c r="TJ15" s="55"/>
      <c r="TK15" s="55"/>
      <c r="TL15" s="55"/>
      <c r="TM15" s="55"/>
      <c r="TN15" s="55"/>
      <c r="TO15" s="55"/>
      <c r="TP15" s="55"/>
      <c r="TQ15" s="55"/>
      <c r="TR15" s="55"/>
      <c r="TS15" s="55"/>
      <c r="TT15" s="55"/>
      <c r="TU15" s="55"/>
      <c r="TV15" s="55"/>
      <c r="TW15" s="55"/>
      <c r="TX15" s="55"/>
      <c r="TY15" s="55"/>
      <c r="TZ15" s="55"/>
      <c r="UA15" s="55"/>
      <c r="UB15" s="55"/>
      <c r="UC15" s="55"/>
      <c r="UD15" s="55"/>
      <c r="UE15" s="55"/>
      <c r="UF15" s="55"/>
      <c r="UG15" s="55"/>
      <c r="UH15" s="55"/>
      <c r="UI15" s="55"/>
      <c r="UJ15" s="55"/>
      <c r="UK15" s="55"/>
      <c r="UL15" s="55"/>
      <c r="UM15" s="55"/>
      <c r="UN15" s="55"/>
      <c r="UO15" s="55"/>
      <c r="UP15" s="55"/>
      <c r="UQ15" s="55"/>
      <c r="UR15" s="55"/>
      <c r="US15" s="55"/>
      <c r="UT15" s="55"/>
      <c r="UU15" s="55"/>
      <c r="UV15" s="55"/>
      <c r="UW15" s="55"/>
      <c r="UX15" s="55"/>
      <c r="UY15" s="55"/>
      <c r="UZ15" s="55"/>
      <c r="VA15" s="55"/>
      <c r="VB15" s="55"/>
      <c r="VC15" s="55"/>
      <c r="VD15" s="55"/>
      <c r="VE15" s="55"/>
      <c r="VF15" s="55"/>
      <c r="VG15" s="55"/>
      <c r="VH15" s="55"/>
      <c r="VI15" s="55"/>
      <c r="VJ15" s="55"/>
      <c r="VK15" s="55"/>
      <c r="VL15" s="55"/>
      <c r="VM15" s="55"/>
      <c r="VN15" s="55"/>
      <c r="VO15" s="55"/>
      <c r="VP15" s="55"/>
      <c r="VQ15" s="55"/>
      <c r="VR15" s="55"/>
      <c r="VS15" s="55"/>
      <c r="VT15" s="55"/>
      <c r="VU15" s="55"/>
      <c r="VV15" s="55"/>
      <c r="VW15" s="55"/>
      <c r="VX15" s="55"/>
      <c r="VY15" s="55"/>
      <c r="VZ15" s="55"/>
      <c r="WA15" s="55"/>
      <c r="WB15" s="55"/>
      <c r="WC15" s="55"/>
      <c r="WD15" s="55"/>
      <c r="WE15" s="55"/>
      <c r="WF15" s="55"/>
      <c r="WG15" s="55"/>
      <c r="WH15" s="55"/>
      <c r="WI15" s="55"/>
      <c r="WJ15" s="55"/>
      <c r="WK15" s="55"/>
      <c r="WL15" s="55"/>
      <c r="WM15" s="55"/>
      <c r="WN15" s="55"/>
      <c r="WO15" s="55"/>
      <c r="WP15" s="55"/>
      <c r="WQ15" s="55"/>
      <c r="WR15" s="55"/>
      <c r="WS15" s="55"/>
      <c r="WT15" s="55"/>
      <c r="WU15" s="55"/>
      <c r="WV15" s="55"/>
      <c r="WW15" s="55"/>
      <c r="WX15" s="55"/>
      <c r="WY15" s="55"/>
      <c r="WZ15" s="55"/>
      <c r="XA15" s="55"/>
      <c r="XB15" s="55"/>
      <c r="XC15" s="55"/>
      <c r="XD15" s="55"/>
      <c r="XE15" s="55"/>
      <c r="XF15" s="55"/>
      <c r="XG15" s="55"/>
      <c r="XH15" s="55"/>
      <c r="XI15" s="55"/>
      <c r="XJ15" s="55"/>
      <c r="XK15" s="55"/>
      <c r="XL15" s="55"/>
      <c r="XM15" s="55"/>
      <c r="XN15" s="55"/>
      <c r="XO15" s="55"/>
      <c r="XP15" s="55"/>
      <c r="XQ15" s="55"/>
      <c r="XR15" s="55"/>
      <c r="XS15" s="55"/>
      <c r="XT15" s="55"/>
      <c r="XU15" s="55"/>
      <c r="XV15" s="55"/>
      <c r="XW15" s="55"/>
      <c r="XX15" s="55"/>
      <c r="XY15" s="55"/>
      <c r="XZ15" s="55"/>
      <c r="YA15" s="55"/>
      <c r="YB15" s="55"/>
      <c r="YC15" s="55"/>
      <c r="YD15" s="55"/>
      <c r="YE15" s="55"/>
      <c r="YF15" s="55"/>
      <c r="YG15" s="55"/>
      <c r="YH15" s="55"/>
      <c r="YI15" s="55"/>
      <c r="YJ15" s="55"/>
      <c r="YK15" s="55"/>
      <c r="YL15" s="55"/>
      <c r="YM15" s="55"/>
      <c r="YN15" s="55"/>
      <c r="YO15" s="55"/>
      <c r="YP15" s="55"/>
      <c r="YQ15" s="55"/>
      <c r="YR15" s="55"/>
      <c r="YS15" s="55"/>
      <c r="YT15" s="55"/>
      <c r="YU15" s="55"/>
      <c r="YV15" s="55"/>
      <c r="YW15" s="55"/>
      <c r="YX15" s="55"/>
      <c r="YY15" s="55"/>
      <c r="YZ15" s="55"/>
      <c r="ZA15" s="55"/>
      <c r="ZB15" s="55"/>
      <c r="ZC15" s="55"/>
      <c r="ZD15" s="55"/>
      <c r="ZE15" s="55"/>
      <c r="ZF15" s="55"/>
      <c r="ZG15" s="55"/>
      <c r="ZH15" s="55"/>
      <c r="ZI15" s="55"/>
      <c r="ZJ15" s="55"/>
      <c r="ZK15" s="55"/>
      <c r="ZL15" s="55"/>
      <c r="ZM15" s="55"/>
      <c r="ZN15" s="55"/>
      <c r="ZO15" s="55"/>
      <c r="ZP15" s="55"/>
      <c r="ZQ15" s="55"/>
      <c r="ZR15" s="55"/>
      <c r="ZS15" s="55"/>
      <c r="ZT15" s="55"/>
      <c r="ZU15" s="55"/>
      <c r="ZV15" s="55"/>
      <c r="ZW15" s="55"/>
      <c r="ZX15" s="55"/>
      <c r="ZY15" s="55"/>
      <c r="ZZ15" s="55"/>
      <c r="AAA15" s="55"/>
      <c r="AAB15" s="55"/>
      <c r="AAC15" s="55"/>
      <c r="AAD15" s="55"/>
      <c r="AAE15" s="55"/>
      <c r="AAF15" s="55"/>
      <c r="AAG15" s="55"/>
      <c r="AAH15" s="55"/>
      <c r="AAI15" s="55"/>
      <c r="AAJ15" s="55"/>
      <c r="AAK15" s="55"/>
      <c r="AAL15" s="55"/>
      <c r="AAM15" s="55"/>
      <c r="AAN15" s="55"/>
      <c r="AAO15" s="55"/>
      <c r="AAP15" s="55"/>
      <c r="AAQ15" s="55"/>
      <c r="AAR15" s="55"/>
      <c r="AAS15" s="55"/>
      <c r="AAT15" s="55"/>
      <c r="AAU15" s="55"/>
      <c r="AAV15" s="55"/>
      <c r="AAW15" s="55"/>
      <c r="AAX15" s="55"/>
      <c r="AAY15" s="55"/>
      <c r="AAZ15" s="55"/>
      <c r="ABA15" s="55"/>
      <c r="ABB15" s="55"/>
      <c r="ABC15" s="55"/>
      <c r="ABD15" s="55"/>
      <c r="ABE15" s="55"/>
      <c r="ABF15" s="55"/>
      <c r="ABG15" s="55"/>
      <c r="ABH15" s="55"/>
      <c r="ABI15" s="55"/>
      <c r="ABJ15" s="55"/>
      <c r="ABK15" s="55"/>
      <c r="ABL15" s="55"/>
      <c r="ABM15" s="55"/>
      <c r="ABN15" s="55"/>
      <c r="ABO15" s="55"/>
      <c r="ABP15" s="55"/>
      <c r="ABQ15" s="55"/>
      <c r="ABR15" s="55"/>
      <c r="ABS15" s="55"/>
      <c r="ABT15" s="55"/>
      <c r="ABU15" s="55"/>
      <c r="ABV15" s="55"/>
      <c r="ABW15" s="55"/>
      <c r="ABX15" s="55"/>
      <c r="ABY15" s="55"/>
      <c r="ABZ15" s="55"/>
      <c r="ACA15" s="55"/>
      <c r="ACB15" s="55"/>
      <c r="ACC15" s="55"/>
      <c r="ACD15" s="55"/>
      <c r="ACE15" s="55"/>
      <c r="ACF15" s="55"/>
      <c r="ACG15" s="55"/>
      <c r="ACH15" s="55"/>
      <c r="ACI15" s="55"/>
      <c r="ACJ15" s="55"/>
      <c r="ACK15" s="55"/>
      <c r="ACL15" s="55"/>
      <c r="ACM15" s="55"/>
      <c r="ACN15" s="55"/>
      <c r="ACO15" s="55"/>
      <c r="ACP15" s="55"/>
      <c r="ACQ15" s="55"/>
      <c r="ACR15" s="55"/>
      <c r="ACS15" s="55"/>
      <c r="ACT15" s="55"/>
      <c r="ACU15" s="55"/>
      <c r="ACV15" s="55"/>
      <c r="ACW15" s="55"/>
      <c r="ACX15" s="55"/>
      <c r="ACY15" s="55"/>
      <c r="ACZ15" s="55"/>
      <c r="ADA15" s="55"/>
      <c r="ADB15" s="55"/>
      <c r="ADC15" s="55"/>
      <c r="ADD15" s="55"/>
      <c r="ADE15" s="55"/>
      <c r="ADF15" s="55"/>
      <c r="ADG15" s="55"/>
      <c r="ADH15" s="55"/>
      <c r="ADI15" s="55"/>
      <c r="ADJ15" s="55"/>
      <c r="ADK15" s="55"/>
      <c r="ADL15" s="55"/>
      <c r="ADM15" s="55"/>
      <c r="ADN15" s="55"/>
      <c r="ADO15" s="55"/>
      <c r="ADP15" s="55"/>
      <c r="ADQ15" s="55"/>
      <c r="ADR15" s="55"/>
      <c r="ADS15" s="55"/>
      <c r="ADT15" s="55"/>
      <c r="ADU15" s="55"/>
      <c r="ADV15" s="55"/>
      <c r="ADW15" s="55"/>
      <c r="ADX15" s="55"/>
      <c r="ADY15" s="55"/>
      <c r="ADZ15" s="55"/>
      <c r="AEA15" s="55"/>
      <c r="AEB15" s="55"/>
      <c r="AEC15" s="55"/>
      <c r="AED15" s="55"/>
      <c r="AEE15" s="55"/>
      <c r="AEF15" s="55"/>
      <c r="AEG15" s="55"/>
      <c r="AEH15" s="55"/>
      <c r="AEI15" s="55"/>
      <c r="AEJ15" s="55"/>
      <c r="AEK15" s="55"/>
      <c r="AEL15" s="55"/>
      <c r="AEM15" s="55"/>
      <c r="AEN15" s="55"/>
      <c r="AEO15" s="55"/>
      <c r="AEP15" s="55"/>
      <c r="AEQ15" s="55"/>
      <c r="AER15" s="55"/>
      <c r="AES15" s="55"/>
      <c r="AET15" s="55"/>
      <c r="AEU15" s="55"/>
      <c r="AEV15" s="55"/>
      <c r="AEW15" s="55"/>
      <c r="AEX15" s="55"/>
      <c r="AEY15" s="55"/>
      <c r="AEZ15" s="55"/>
      <c r="AFA15" s="55"/>
      <c r="AFB15" s="55"/>
      <c r="AFC15" s="55"/>
      <c r="AFD15" s="55"/>
      <c r="AFE15" s="55"/>
      <c r="AFF15" s="55"/>
      <c r="AFG15" s="55"/>
      <c r="AFH15" s="55"/>
      <c r="AFI15" s="55"/>
      <c r="AFJ15" s="55"/>
      <c r="AFK15" s="55"/>
      <c r="AFL15" s="55"/>
      <c r="AFM15" s="55"/>
      <c r="AFN15" s="55"/>
      <c r="AFO15" s="55"/>
      <c r="AFP15" s="55"/>
      <c r="AFQ15" s="55"/>
      <c r="AFR15" s="55"/>
      <c r="AFS15" s="55"/>
      <c r="AFT15" s="55"/>
      <c r="AFU15" s="55"/>
      <c r="AFV15" s="55"/>
      <c r="AFW15" s="55"/>
      <c r="AFX15" s="55"/>
      <c r="AFY15" s="55"/>
      <c r="AFZ15" s="55"/>
      <c r="AGA15" s="55"/>
      <c r="AGB15" s="55"/>
      <c r="AGC15" s="55"/>
      <c r="AGD15" s="55"/>
      <c r="AGE15" s="55"/>
      <c r="AGF15" s="55"/>
      <c r="AGG15" s="55"/>
      <c r="AGH15" s="55"/>
      <c r="AGI15" s="55"/>
      <c r="AGJ15" s="55"/>
      <c r="AGK15" s="55"/>
      <c r="AGL15" s="55"/>
      <c r="AGM15" s="55"/>
      <c r="AGN15" s="55"/>
      <c r="AGO15" s="55"/>
      <c r="AGP15" s="55"/>
      <c r="AGQ15" s="55"/>
      <c r="AGR15" s="55"/>
      <c r="AGS15" s="55"/>
      <c r="AGT15" s="55"/>
      <c r="AGU15" s="55"/>
      <c r="AGV15" s="55"/>
      <c r="AGW15" s="55"/>
      <c r="AGX15" s="55"/>
      <c r="AGY15" s="55"/>
      <c r="AGZ15" s="55"/>
      <c r="AHA15" s="55"/>
      <c r="AHB15" s="55"/>
      <c r="AHC15" s="55"/>
      <c r="AHD15" s="55"/>
      <c r="AHE15" s="55"/>
      <c r="AHF15" s="55"/>
      <c r="AHG15" s="55"/>
      <c r="AHH15" s="55"/>
      <c r="AHI15" s="55"/>
      <c r="AHJ15" s="55"/>
      <c r="AHK15" s="55"/>
      <c r="AHL15" s="55"/>
      <c r="AHM15" s="55"/>
      <c r="AHN15" s="55"/>
      <c r="AHO15" s="55"/>
      <c r="AHP15" s="55"/>
      <c r="AHQ15" s="55"/>
      <c r="AHR15" s="55"/>
      <c r="AHS15" s="55"/>
      <c r="AHT15" s="55"/>
      <c r="AHU15" s="55"/>
      <c r="AHV15" s="55"/>
      <c r="AHW15" s="55"/>
      <c r="AHX15" s="55"/>
      <c r="AHY15" s="55"/>
      <c r="AHZ15" s="55"/>
      <c r="AIA15" s="55"/>
      <c r="AIB15" s="55"/>
      <c r="AIC15" s="55"/>
      <c r="AID15" s="55"/>
      <c r="AIE15" s="55"/>
      <c r="AIF15" s="55"/>
      <c r="AIG15" s="55"/>
      <c r="AIH15" s="55"/>
      <c r="AII15" s="55"/>
      <c r="AIJ15" s="55"/>
      <c r="AIK15" s="55"/>
      <c r="AIL15" s="55"/>
      <c r="AIM15" s="55"/>
      <c r="AIN15" s="55"/>
      <c r="AIO15" s="55"/>
      <c r="AIP15" s="55"/>
      <c r="AIQ15" s="55"/>
      <c r="AIR15" s="55"/>
      <c r="AIS15" s="55"/>
      <c r="AIT15" s="55"/>
      <c r="AIU15" s="55"/>
      <c r="AIV15" s="55"/>
      <c r="AIW15" s="55"/>
      <c r="AIX15" s="55"/>
      <c r="AIY15" s="55"/>
      <c r="AIZ15" s="55"/>
      <c r="AJA15" s="55"/>
      <c r="AJB15" s="55"/>
      <c r="AJC15" s="55"/>
      <c r="AJD15" s="55"/>
      <c r="AJE15" s="55"/>
      <c r="AJF15" s="55"/>
      <c r="AJG15" s="55"/>
      <c r="AJH15" s="55"/>
      <c r="AJI15" s="55"/>
      <c r="AJJ15" s="55"/>
      <c r="AJK15" s="55"/>
      <c r="AJL15" s="55"/>
      <c r="AJM15" s="55"/>
      <c r="AJN15" s="55"/>
      <c r="AJO15" s="55"/>
      <c r="AJP15" s="55"/>
      <c r="AJQ15" s="55"/>
      <c r="AJR15" s="55"/>
      <c r="AJS15" s="55"/>
      <c r="AJT15" s="55"/>
      <c r="AJU15" s="55"/>
      <c r="AJV15" s="55"/>
      <c r="AJW15" s="55"/>
      <c r="AJX15" s="55"/>
      <c r="AJY15" s="55"/>
      <c r="AJZ15" s="55"/>
      <c r="AKA15" s="55"/>
      <c r="AKB15" s="55"/>
      <c r="AKC15" s="55"/>
      <c r="AKD15" s="55"/>
      <c r="AKE15" s="55"/>
      <c r="AKF15" s="55"/>
      <c r="AKG15" s="55"/>
      <c r="AKH15" s="55"/>
      <c r="AKI15" s="55"/>
      <c r="AKJ15" s="55"/>
      <c r="AKK15" s="55"/>
      <c r="AKL15" s="55"/>
      <c r="AKM15" s="55"/>
      <c r="AKN15" s="55"/>
      <c r="AKO15" s="55"/>
      <c r="AKP15" s="55"/>
      <c r="AKQ15" s="55"/>
      <c r="AKR15" s="55"/>
      <c r="AKS15" s="55"/>
      <c r="AKT15" s="55"/>
      <c r="AKU15" s="55"/>
      <c r="AKV15" s="55"/>
      <c r="AKW15" s="55"/>
      <c r="AKX15" s="55"/>
      <c r="AKY15" s="55"/>
      <c r="AKZ15" s="55"/>
      <c r="ALA15" s="55"/>
      <c r="ALB15" s="55"/>
      <c r="ALC15" s="55"/>
      <c r="ALD15" s="55"/>
      <c r="ALE15" s="55"/>
      <c r="ALF15" s="55"/>
      <c r="ALG15" s="55"/>
      <c r="ALH15" s="55"/>
      <c r="ALI15" s="55"/>
      <c r="ALJ15" s="55"/>
      <c r="ALK15" s="55"/>
      <c r="ALL15" s="55"/>
      <c r="ALM15" s="55"/>
      <c r="ALN15" s="55"/>
      <c r="ALO15" s="55"/>
      <c r="ALP15" s="55"/>
      <c r="ALQ15" s="55"/>
      <c r="ALR15" s="55"/>
      <c r="ALS15" s="55"/>
      <c r="ALT15" s="55"/>
      <c r="ALU15" s="55"/>
      <c r="ALV15" s="55"/>
      <c r="ALW15" s="55"/>
      <c r="ALX15" s="55"/>
      <c r="ALY15" s="55"/>
      <c r="ALZ15" s="55"/>
      <c r="AMA15" s="55"/>
      <c r="AMB15" s="55"/>
      <c r="AMC15" s="55"/>
      <c r="AMD15" s="55"/>
      <c r="AME15" s="55"/>
      <c r="AMF15" s="55"/>
      <c r="AMG15" s="55"/>
      <c r="AMH15" s="55"/>
      <c r="AMI15" s="55"/>
      <c r="AMJ15" s="55"/>
      <c r="AMK15" s="55"/>
      <c r="AML15" s="55"/>
      <c r="AMM15" s="55"/>
      <c r="AMN15" s="55"/>
      <c r="AMO15" s="55"/>
      <c r="AMP15" s="55"/>
      <c r="AMQ15" s="55"/>
      <c r="AMR15" s="55"/>
      <c r="AMS15" s="55"/>
      <c r="AMT15" s="55"/>
      <c r="AMU15" s="55"/>
      <c r="AMV15" s="55"/>
      <c r="AMW15" s="55"/>
      <c r="AMX15" s="55"/>
      <c r="AMY15" s="55"/>
      <c r="AMZ15" s="55"/>
      <c r="ANA15" s="55"/>
      <c r="ANB15" s="55"/>
      <c r="ANC15" s="55"/>
      <c r="AND15" s="55"/>
      <c r="ANE15" s="55"/>
      <c r="ANF15" s="55"/>
      <c r="ANG15" s="55"/>
      <c r="ANH15" s="55"/>
      <c r="ANI15" s="55"/>
      <c r="ANJ15" s="55"/>
      <c r="ANK15" s="55"/>
      <c r="ANL15" s="55"/>
      <c r="ANM15" s="55"/>
      <c r="ANN15" s="55"/>
      <c r="ANO15" s="55"/>
      <c r="ANP15" s="55"/>
      <c r="ANQ15" s="55"/>
      <c r="ANR15" s="55"/>
      <c r="ANS15" s="55"/>
      <c r="ANT15" s="55"/>
      <c r="ANU15" s="55"/>
      <c r="ANV15" s="55"/>
      <c r="ANW15" s="55"/>
      <c r="ANX15" s="55"/>
      <c r="ANY15" s="55"/>
      <c r="ANZ15" s="55"/>
      <c r="AOA15" s="55"/>
      <c r="AOB15" s="55"/>
      <c r="AOC15" s="55"/>
      <c r="AOD15" s="55"/>
      <c r="AOE15" s="55"/>
      <c r="AOF15" s="55"/>
      <c r="AOG15" s="55"/>
      <c r="AOH15" s="55"/>
      <c r="AOI15" s="55"/>
      <c r="AOJ15" s="55"/>
      <c r="AOK15" s="55"/>
      <c r="AOL15" s="55"/>
      <c r="AOM15" s="55"/>
      <c r="AON15" s="55"/>
      <c r="AOO15" s="55"/>
      <c r="AOP15" s="55"/>
      <c r="AOQ15" s="55"/>
      <c r="AOR15" s="55"/>
      <c r="AOS15" s="55"/>
      <c r="AOT15" s="55"/>
      <c r="AOU15" s="55"/>
      <c r="AOV15" s="55"/>
      <c r="AOW15" s="55"/>
      <c r="AOX15" s="55"/>
      <c r="AOY15" s="55"/>
      <c r="AOZ15" s="55"/>
      <c r="APA15" s="55"/>
      <c r="APB15" s="55"/>
      <c r="APC15" s="55"/>
      <c r="APD15" s="55"/>
      <c r="APE15" s="55"/>
      <c r="APF15" s="55"/>
      <c r="APG15" s="55"/>
      <c r="APH15" s="55"/>
      <c r="API15" s="55"/>
      <c r="APJ15" s="55"/>
      <c r="APK15" s="55"/>
      <c r="APL15" s="55"/>
      <c r="APM15" s="55"/>
      <c r="APN15" s="55"/>
      <c r="APO15" s="55"/>
      <c r="APP15" s="55"/>
      <c r="APQ15" s="55"/>
      <c r="APR15" s="55"/>
      <c r="APS15" s="55"/>
      <c r="APT15" s="55"/>
      <c r="APU15" s="55"/>
      <c r="APV15" s="55"/>
      <c r="APW15" s="55"/>
      <c r="APX15" s="55"/>
      <c r="APY15" s="55"/>
      <c r="APZ15" s="55"/>
      <c r="AQA15" s="55"/>
      <c r="AQB15" s="55"/>
      <c r="AQC15" s="55"/>
      <c r="AQD15" s="55"/>
      <c r="AQE15" s="55"/>
      <c r="AQF15" s="55"/>
      <c r="AQG15" s="55"/>
      <c r="AQH15" s="55"/>
      <c r="AQI15" s="55"/>
      <c r="AQJ15" s="55"/>
      <c r="AQK15" s="55"/>
      <c r="AQL15" s="55"/>
      <c r="AQM15" s="55"/>
      <c r="AQN15" s="55"/>
      <c r="AQO15" s="55"/>
      <c r="AQP15" s="55"/>
      <c r="AQQ15" s="55"/>
      <c r="AQR15" s="55"/>
      <c r="AQS15" s="55"/>
      <c r="AQT15" s="55"/>
      <c r="AQU15" s="55"/>
      <c r="AQV15" s="55"/>
      <c r="AQW15" s="55"/>
      <c r="AQX15" s="55"/>
      <c r="AQY15" s="55"/>
      <c r="AQZ15" s="55"/>
      <c r="ARA15" s="55"/>
      <c r="ARB15" s="55"/>
      <c r="ARC15" s="55"/>
      <c r="ARD15" s="55"/>
      <c r="ARE15" s="55"/>
      <c r="ARF15" s="55"/>
      <c r="ARG15" s="55"/>
      <c r="ARH15" s="55"/>
      <c r="ARI15" s="55"/>
      <c r="ARJ15" s="55"/>
      <c r="ARK15" s="55"/>
      <c r="ARL15" s="55"/>
      <c r="ARM15" s="55"/>
      <c r="ARN15" s="55"/>
      <c r="ARO15" s="55"/>
      <c r="ARP15" s="55"/>
      <c r="ARQ15" s="55"/>
      <c r="ARR15" s="55"/>
      <c r="ARS15" s="55"/>
      <c r="ART15" s="55"/>
      <c r="ARU15" s="55"/>
      <c r="ARV15" s="55"/>
      <c r="ARW15" s="55"/>
      <c r="ARX15" s="55"/>
      <c r="ARY15" s="55"/>
      <c r="ARZ15" s="55"/>
      <c r="ASA15" s="55"/>
      <c r="ASB15" s="55"/>
      <c r="ASC15" s="55"/>
      <c r="ASD15" s="55"/>
      <c r="ASE15" s="55"/>
      <c r="ASF15" s="55"/>
      <c r="ASG15" s="55"/>
      <c r="ASH15" s="55"/>
      <c r="ASI15" s="55"/>
      <c r="ASJ15" s="55"/>
      <c r="ASK15" s="55"/>
      <c r="ASL15" s="55"/>
      <c r="ASM15" s="55"/>
      <c r="ASN15" s="55"/>
      <c r="ASO15" s="55"/>
      <c r="ASP15" s="55"/>
      <c r="ASQ15" s="55"/>
      <c r="ASR15" s="55"/>
      <c r="ASS15" s="55"/>
      <c r="AST15" s="55"/>
      <c r="ASU15" s="55"/>
      <c r="ASV15" s="55"/>
      <c r="ASW15" s="55"/>
      <c r="ASX15" s="55"/>
      <c r="ASY15" s="55"/>
      <c r="ASZ15" s="55"/>
      <c r="ATA15" s="55"/>
      <c r="ATB15" s="55"/>
      <c r="ATC15" s="55"/>
      <c r="ATD15" s="55"/>
      <c r="ATE15" s="55"/>
      <c r="ATF15" s="55"/>
      <c r="ATG15" s="55"/>
      <c r="ATH15" s="55"/>
      <c r="ATI15" s="55"/>
      <c r="ATJ15" s="55"/>
      <c r="ATK15" s="55"/>
      <c r="ATL15" s="55"/>
      <c r="ATM15" s="55"/>
      <c r="ATN15" s="55"/>
      <c r="ATO15" s="55"/>
      <c r="ATP15" s="55"/>
      <c r="ATQ15" s="55"/>
      <c r="ATR15" s="55"/>
      <c r="ATS15" s="55"/>
      <c r="ATT15" s="55"/>
      <c r="ATU15" s="55"/>
      <c r="ATV15" s="55"/>
      <c r="ATW15" s="55"/>
      <c r="ATX15" s="55"/>
      <c r="ATY15" s="55"/>
      <c r="ATZ15" s="55"/>
      <c r="AUA15" s="55"/>
      <c r="AUB15" s="55"/>
      <c r="AUC15" s="55"/>
      <c r="AUD15" s="55"/>
      <c r="AUE15" s="55"/>
      <c r="AUF15" s="55"/>
      <c r="AUG15" s="55"/>
      <c r="AUH15" s="55"/>
      <c r="AUI15" s="55"/>
      <c r="AUJ15" s="55"/>
      <c r="AUK15" s="55"/>
      <c r="AUL15" s="55"/>
      <c r="AUM15" s="55"/>
      <c r="AUN15" s="55"/>
      <c r="AUO15" s="55"/>
      <c r="AUP15" s="55"/>
      <c r="AUQ15" s="55"/>
      <c r="AUR15" s="55"/>
      <c r="AUS15" s="55"/>
      <c r="AUT15" s="55"/>
      <c r="AUU15" s="55"/>
      <c r="AUV15" s="55"/>
      <c r="AUW15" s="55"/>
      <c r="AUX15" s="55"/>
      <c r="AUY15" s="55"/>
      <c r="AUZ15" s="55"/>
      <c r="AVA15" s="55"/>
      <c r="AVB15" s="55"/>
      <c r="AVC15" s="55"/>
      <c r="AVD15" s="55"/>
      <c r="AVE15" s="55"/>
      <c r="AVF15" s="55"/>
      <c r="AVG15" s="55"/>
      <c r="AVH15" s="55"/>
      <c r="AVI15" s="55"/>
      <c r="AVJ15" s="55"/>
      <c r="AVK15" s="55"/>
      <c r="AVL15" s="55"/>
      <c r="AVM15" s="55"/>
      <c r="AVN15" s="55"/>
      <c r="AVO15" s="55"/>
      <c r="AVP15" s="55"/>
      <c r="AVQ15" s="55"/>
      <c r="AVR15" s="55"/>
      <c r="AVS15" s="55"/>
      <c r="AVT15" s="55"/>
      <c r="AVU15" s="55"/>
      <c r="AVV15" s="55"/>
      <c r="AVW15" s="55"/>
      <c r="AVX15" s="55"/>
      <c r="AVY15" s="55"/>
      <c r="AVZ15" s="55"/>
      <c r="AWA15" s="55"/>
      <c r="AWB15" s="55"/>
      <c r="AWC15" s="55"/>
      <c r="AWD15" s="55"/>
      <c r="AWE15" s="55"/>
      <c r="AWF15" s="55"/>
      <c r="AWG15" s="55"/>
      <c r="AWH15" s="55"/>
      <c r="AWI15" s="55"/>
      <c r="AWJ15" s="55"/>
      <c r="AWK15" s="55"/>
      <c r="AWL15" s="55"/>
      <c r="AWM15" s="55"/>
      <c r="AWN15" s="55"/>
      <c r="AWO15" s="55"/>
      <c r="AWP15" s="55"/>
      <c r="AWQ15" s="55"/>
      <c r="AWR15" s="55"/>
      <c r="AWS15" s="55"/>
      <c r="AWT15" s="55"/>
      <c r="AWU15" s="55"/>
      <c r="AWV15" s="55"/>
      <c r="AWW15" s="55"/>
      <c r="AWX15" s="55"/>
      <c r="AWY15" s="55"/>
      <c r="AWZ15" s="55"/>
      <c r="AXA15" s="55"/>
      <c r="AXB15" s="55"/>
      <c r="AXC15" s="55"/>
      <c r="AXD15" s="55"/>
      <c r="AXE15" s="55"/>
      <c r="AXF15" s="55"/>
      <c r="AXG15" s="55"/>
      <c r="AXH15" s="55"/>
      <c r="AXI15" s="55"/>
      <c r="AXJ15" s="55"/>
      <c r="AXK15" s="55"/>
      <c r="AXL15" s="55"/>
      <c r="AXM15" s="55"/>
      <c r="AXN15" s="55"/>
      <c r="AXO15" s="55"/>
      <c r="AXP15" s="55"/>
      <c r="AXQ15" s="55"/>
      <c r="AXR15" s="55"/>
      <c r="AXS15" s="55"/>
      <c r="AXT15" s="55"/>
      <c r="AXU15" s="55"/>
      <c r="AXV15" s="55"/>
      <c r="AXW15" s="55"/>
      <c r="AXX15" s="55"/>
      <c r="AXY15" s="55"/>
      <c r="AXZ15" s="55"/>
      <c r="AYA15" s="55"/>
      <c r="AYB15" s="55"/>
      <c r="AYC15" s="55"/>
      <c r="AYD15" s="55"/>
      <c r="AYE15" s="55"/>
      <c r="AYF15" s="55"/>
      <c r="AYG15" s="55"/>
      <c r="AYH15" s="55"/>
      <c r="AYI15" s="55"/>
      <c r="AYJ15" s="55"/>
      <c r="AYK15" s="55"/>
      <c r="AYL15" s="55"/>
      <c r="AYM15" s="55"/>
      <c r="AYN15" s="55"/>
      <c r="AYO15" s="55"/>
      <c r="AYP15" s="55"/>
      <c r="AYQ15" s="55"/>
      <c r="AYR15" s="55"/>
      <c r="AYS15" s="55"/>
      <c r="AYT15" s="55"/>
      <c r="AYU15" s="55"/>
      <c r="AYV15" s="55"/>
      <c r="AYW15" s="55"/>
      <c r="AYX15" s="55"/>
      <c r="AYY15" s="55"/>
      <c r="AYZ15" s="55"/>
      <c r="AZA15" s="55"/>
      <c r="AZB15" s="55"/>
      <c r="AZC15" s="55"/>
      <c r="AZD15" s="55"/>
      <c r="AZE15" s="55"/>
      <c r="AZF15" s="55"/>
      <c r="AZG15" s="55"/>
      <c r="AZH15" s="55"/>
      <c r="AZI15" s="55"/>
      <c r="AZJ15" s="55"/>
      <c r="AZK15" s="55"/>
      <c r="AZL15" s="55"/>
      <c r="AZM15" s="55"/>
      <c r="AZN15" s="55"/>
      <c r="AZO15" s="55"/>
      <c r="AZP15" s="55"/>
      <c r="AZQ15" s="55"/>
      <c r="AZR15" s="55"/>
      <c r="AZS15" s="55"/>
      <c r="AZT15" s="55"/>
      <c r="AZU15" s="55"/>
      <c r="AZV15" s="55"/>
      <c r="AZW15" s="55"/>
      <c r="AZX15" s="55"/>
      <c r="AZY15" s="55"/>
      <c r="AZZ15" s="55"/>
      <c r="BAA15" s="55"/>
      <c r="BAB15" s="55"/>
      <c r="BAC15" s="55"/>
      <c r="BAD15" s="55"/>
      <c r="BAE15" s="55"/>
      <c r="BAF15" s="55"/>
      <c r="BAG15" s="55"/>
      <c r="BAH15" s="55"/>
      <c r="BAI15" s="55"/>
      <c r="BAJ15" s="55"/>
      <c r="BAK15" s="55"/>
      <c r="BAL15" s="55"/>
      <c r="BAM15" s="55"/>
      <c r="BAN15" s="55"/>
      <c r="BAO15" s="55"/>
      <c r="BAP15" s="55"/>
      <c r="BAQ15" s="55"/>
      <c r="BAR15" s="55"/>
      <c r="BAS15" s="55"/>
      <c r="BAT15" s="55"/>
      <c r="BAU15" s="55"/>
      <c r="BAV15" s="55"/>
      <c r="BAW15" s="55"/>
      <c r="BAX15" s="55"/>
      <c r="BAY15" s="55"/>
      <c r="BAZ15" s="55"/>
      <c r="BBA15" s="55"/>
      <c r="BBB15" s="55"/>
      <c r="BBC15" s="55"/>
      <c r="BBD15" s="55"/>
      <c r="BBE15" s="55"/>
      <c r="BBF15" s="55"/>
      <c r="BBG15" s="55"/>
      <c r="BBH15" s="55"/>
      <c r="BBI15" s="55"/>
      <c r="BBJ15" s="55"/>
      <c r="BBK15" s="55"/>
      <c r="BBL15" s="55"/>
      <c r="BBM15" s="55"/>
      <c r="BBN15" s="55"/>
      <c r="BBO15" s="55"/>
      <c r="BBP15" s="55"/>
      <c r="BBQ15" s="55"/>
      <c r="BBR15" s="55"/>
      <c r="BBS15" s="55"/>
      <c r="BBT15" s="55"/>
      <c r="BBU15" s="55"/>
      <c r="BBV15" s="55"/>
      <c r="BBW15" s="55"/>
      <c r="BBX15" s="55"/>
      <c r="BBY15" s="55"/>
      <c r="BBZ15" s="55"/>
      <c r="BCA15" s="55"/>
      <c r="BCB15" s="55"/>
      <c r="BCC15" s="55"/>
      <c r="BCD15" s="55"/>
      <c r="BCE15" s="55"/>
      <c r="BCF15" s="55"/>
      <c r="BCG15" s="55"/>
      <c r="BCH15" s="55"/>
      <c r="BCI15" s="55"/>
      <c r="BCJ15" s="55"/>
      <c r="BCK15" s="55"/>
      <c r="BCL15" s="55"/>
      <c r="BCM15" s="55"/>
      <c r="BCN15" s="55"/>
      <c r="BCO15" s="55"/>
      <c r="BCP15" s="55"/>
      <c r="BCQ15" s="55"/>
      <c r="BCR15" s="55"/>
      <c r="BCS15" s="55"/>
      <c r="BCT15" s="55"/>
      <c r="BCU15" s="55"/>
      <c r="BCV15" s="55"/>
      <c r="BCW15" s="55"/>
      <c r="BCX15" s="55"/>
      <c r="BCY15" s="55"/>
      <c r="BCZ15" s="55"/>
      <c r="BDA15" s="55"/>
      <c r="BDB15" s="55"/>
      <c r="BDC15" s="55"/>
      <c r="BDD15" s="55"/>
      <c r="BDE15" s="55"/>
      <c r="BDF15" s="55"/>
      <c r="BDG15" s="55"/>
      <c r="BDH15" s="55"/>
      <c r="BDI15" s="55"/>
      <c r="BDJ15" s="55"/>
      <c r="BDK15" s="55"/>
      <c r="BDL15" s="55"/>
      <c r="BDM15" s="55"/>
      <c r="BDN15" s="55"/>
      <c r="BDO15" s="55"/>
      <c r="BDP15" s="55"/>
      <c r="BDQ15" s="55"/>
      <c r="BDR15" s="55"/>
      <c r="BDS15" s="55"/>
      <c r="BDT15" s="55"/>
      <c r="BDU15" s="55"/>
      <c r="BDV15" s="55"/>
      <c r="BDW15" s="55"/>
      <c r="BDX15" s="55"/>
      <c r="BDY15" s="55"/>
      <c r="BDZ15" s="55"/>
      <c r="BEA15" s="55"/>
      <c r="BEB15" s="55"/>
      <c r="BEC15" s="55"/>
      <c r="BED15" s="55"/>
      <c r="BEE15" s="55"/>
      <c r="BEF15" s="55"/>
      <c r="BEG15" s="55"/>
      <c r="BEH15" s="55"/>
      <c r="BEI15" s="55"/>
      <c r="BEJ15" s="55"/>
      <c r="BEK15" s="55"/>
      <c r="BEL15" s="55"/>
      <c r="BEM15" s="55"/>
      <c r="BEN15" s="55"/>
      <c r="BEO15" s="55"/>
      <c r="BEP15" s="55"/>
      <c r="BEQ15" s="55"/>
      <c r="BER15" s="55"/>
      <c r="BES15" s="55"/>
      <c r="BET15" s="55"/>
      <c r="BEU15" s="55"/>
      <c r="BEV15" s="55"/>
      <c r="BEW15" s="55"/>
      <c r="BEX15" s="55"/>
      <c r="BEY15" s="55"/>
      <c r="BEZ15" s="55"/>
      <c r="BFA15" s="55"/>
      <c r="BFB15" s="55"/>
      <c r="BFC15" s="55"/>
      <c r="BFD15" s="55"/>
      <c r="BFE15" s="55"/>
      <c r="BFF15" s="55"/>
      <c r="BFG15" s="55"/>
      <c r="BFH15" s="55"/>
      <c r="BFI15" s="55"/>
      <c r="BFJ15" s="55"/>
      <c r="BFK15" s="55"/>
      <c r="BFL15" s="55"/>
      <c r="BFM15" s="55"/>
      <c r="BFN15" s="55"/>
      <c r="BFO15" s="55"/>
      <c r="BFP15" s="55"/>
      <c r="BFQ15" s="55"/>
      <c r="BFR15" s="55"/>
      <c r="BFS15" s="55"/>
      <c r="BFT15" s="55"/>
      <c r="BFU15" s="55"/>
      <c r="BFV15" s="55"/>
      <c r="BFW15" s="55"/>
      <c r="BFX15" s="55"/>
      <c r="BFY15" s="55"/>
      <c r="BFZ15" s="55"/>
      <c r="BGA15" s="55"/>
      <c r="BGB15" s="55"/>
      <c r="BGC15" s="55"/>
      <c r="BGD15" s="55"/>
      <c r="BGE15" s="55"/>
      <c r="BGF15" s="55"/>
      <c r="BGG15" s="55"/>
      <c r="BGH15" s="55"/>
      <c r="BGI15" s="55"/>
      <c r="BGJ15" s="55"/>
      <c r="BGK15" s="55"/>
      <c r="BGL15" s="55"/>
      <c r="BGM15" s="55"/>
      <c r="BGN15" s="55"/>
      <c r="BGO15" s="55"/>
      <c r="BGP15" s="55"/>
      <c r="BGQ15" s="55"/>
      <c r="BGR15" s="55"/>
      <c r="BGS15" s="55"/>
      <c r="BGT15" s="55"/>
      <c r="BGU15" s="55"/>
      <c r="BGV15" s="55"/>
      <c r="BGW15" s="55"/>
      <c r="BGX15" s="55"/>
      <c r="BGY15" s="55"/>
      <c r="BGZ15" s="55"/>
      <c r="BHA15" s="55"/>
      <c r="BHB15" s="55"/>
      <c r="BHC15" s="55"/>
      <c r="BHD15" s="55"/>
      <c r="BHE15" s="55"/>
      <c r="BHF15" s="55"/>
      <c r="BHG15" s="55"/>
      <c r="BHH15" s="55"/>
      <c r="BHI15" s="55"/>
      <c r="BHJ15" s="55"/>
      <c r="BHK15" s="55"/>
      <c r="BHL15" s="55"/>
      <c r="BHM15" s="55"/>
      <c r="BHN15" s="55"/>
      <c r="BHO15" s="55"/>
      <c r="BHP15" s="55"/>
      <c r="BHQ15" s="55"/>
      <c r="BHR15" s="55"/>
      <c r="BHS15" s="55"/>
      <c r="BHT15" s="55"/>
      <c r="BHU15" s="55"/>
      <c r="BHV15" s="55"/>
      <c r="BHW15" s="55"/>
      <c r="BHX15" s="55"/>
      <c r="BHY15" s="55"/>
      <c r="BHZ15" s="55"/>
      <c r="BIA15" s="55"/>
      <c r="BIB15" s="55"/>
      <c r="BIC15" s="55"/>
      <c r="BID15" s="55"/>
      <c r="BIE15" s="55"/>
      <c r="BIF15" s="55"/>
      <c r="BIG15" s="55"/>
      <c r="BIH15" s="55"/>
      <c r="BII15" s="55"/>
      <c r="BIJ15" s="55"/>
      <c r="BIK15" s="55"/>
      <c r="BIL15" s="55"/>
      <c r="BIM15" s="55"/>
      <c r="BIN15" s="55"/>
      <c r="BIO15" s="55"/>
      <c r="BIP15" s="55"/>
      <c r="BIQ15" s="55"/>
      <c r="BIR15" s="55"/>
      <c r="BIS15" s="55"/>
      <c r="BIT15" s="55"/>
      <c r="BIU15" s="55"/>
      <c r="BIV15" s="55"/>
      <c r="BIW15" s="55"/>
      <c r="BIX15" s="55"/>
      <c r="BIY15" s="55"/>
      <c r="BIZ15" s="55"/>
      <c r="BJA15" s="55"/>
      <c r="BJB15" s="55"/>
      <c r="BJC15" s="55"/>
      <c r="BJD15" s="55"/>
      <c r="BJE15" s="55"/>
      <c r="BJF15" s="55"/>
      <c r="BJG15" s="55"/>
      <c r="BJH15" s="55"/>
      <c r="BJI15" s="55"/>
      <c r="BJJ15" s="55"/>
      <c r="BJK15" s="55"/>
      <c r="BJL15" s="55"/>
      <c r="BJM15" s="55"/>
      <c r="BJN15" s="55"/>
      <c r="BJO15" s="55"/>
      <c r="BJP15" s="55"/>
      <c r="BJQ15" s="55"/>
      <c r="BJR15" s="55"/>
      <c r="BJS15" s="55"/>
      <c r="BJT15" s="55"/>
      <c r="BJU15" s="55"/>
      <c r="BJV15" s="55"/>
      <c r="BJW15" s="55"/>
      <c r="BJX15" s="55"/>
      <c r="BJY15" s="55"/>
      <c r="BJZ15" s="55"/>
      <c r="BKA15" s="55"/>
      <c r="BKB15" s="55"/>
      <c r="BKC15" s="55"/>
      <c r="BKD15" s="55"/>
      <c r="BKE15" s="55"/>
      <c r="BKF15" s="55"/>
      <c r="BKG15" s="55"/>
      <c r="BKH15" s="55"/>
      <c r="BKI15" s="55"/>
      <c r="BKJ15" s="55"/>
      <c r="BKK15" s="55"/>
      <c r="BKL15" s="55"/>
      <c r="BKM15" s="55"/>
      <c r="BKN15" s="55"/>
      <c r="BKO15" s="55"/>
      <c r="BKP15" s="55"/>
      <c r="BKQ15" s="55"/>
      <c r="BKR15" s="55"/>
      <c r="BKS15" s="55"/>
      <c r="BKT15" s="55"/>
      <c r="BKU15" s="55"/>
      <c r="BKV15" s="55"/>
      <c r="BKW15" s="55"/>
      <c r="BKX15" s="55"/>
      <c r="BKY15" s="55"/>
      <c r="BKZ15" s="55"/>
      <c r="BLA15" s="55"/>
      <c r="BLB15" s="55"/>
      <c r="BLC15" s="55"/>
      <c r="BLD15" s="55"/>
      <c r="BLE15" s="55"/>
      <c r="BLF15" s="55"/>
      <c r="BLG15" s="55"/>
      <c r="BLH15" s="55"/>
      <c r="BLI15" s="55"/>
      <c r="BLJ15" s="55"/>
      <c r="BLK15" s="55"/>
      <c r="BLL15" s="55"/>
      <c r="BLM15" s="55"/>
      <c r="BLN15" s="55"/>
      <c r="BLO15" s="55"/>
      <c r="BLP15" s="55"/>
      <c r="BLQ15" s="55"/>
      <c r="BLR15" s="55"/>
      <c r="BLS15" s="55"/>
      <c r="BLT15" s="55"/>
      <c r="BLU15" s="55"/>
      <c r="BLV15" s="55"/>
      <c r="BLW15" s="55"/>
      <c r="BLX15" s="55"/>
      <c r="BLY15" s="55"/>
      <c r="BLZ15" s="55"/>
      <c r="BMA15" s="55"/>
      <c r="BMB15" s="55"/>
      <c r="BMC15" s="55"/>
      <c r="BMD15" s="55"/>
      <c r="BME15" s="55"/>
      <c r="BMF15" s="55"/>
      <c r="BMG15" s="55"/>
      <c r="BMH15" s="55"/>
      <c r="BMI15" s="55"/>
      <c r="BMJ15" s="55"/>
      <c r="BMK15" s="55"/>
      <c r="BML15" s="55"/>
      <c r="BMM15" s="55"/>
      <c r="BMN15" s="55"/>
      <c r="BMO15" s="55"/>
      <c r="BMP15" s="55"/>
      <c r="BMQ15" s="55"/>
      <c r="BMR15" s="55"/>
      <c r="BMS15" s="55"/>
      <c r="BMT15" s="55"/>
      <c r="BMU15" s="55"/>
      <c r="BMV15" s="55"/>
      <c r="BMW15" s="55"/>
      <c r="BMX15" s="55"/>
      <c r="BMY15" s="55"/>
      <c r="BMZ15" s="55"/>
      <c r="BNA15" s="55"/>
      <c r="BNB15" s="55"/>
      <c r="BNC15" s="55"/>
      <c r="BND15" s="55"/>
      <c r="BNE15" s="55"/>
      <c r="BNF15" s="55"/>
      <c r="BNG15" s="55"/>
      <c r="BNH15" s="55"/>
      <c r="BNI15" s="55"/>
      <c r="BNJ15" s="55"/>
      <c r="BNK15" s="55"/>
      <c r="BNL15" s="55"/>
      <c r="BNM15" s="55"/>
      <c r="BNN15" s="55"/>
      <c r="BNO15" s="55"/>
      <c r="BNP15" s="55"/>
      <c r="BNQ15" s="55"/>
      <c r="BNR15" s="55"/>
      <c r="BNS15" s="55"/>
      <c r="BNT15" s="55"/>
      <c r="BNU15" s="55"/>
      <c r="BNV15" s="55"/>
      <c r="BNW15" s="55"/>
      <c r="BNX15" s="55"/>
      <c r="BNY15" s="55"/>
      <c r="BNZ15" s="55"/>
      <c r="BOA15" s="55"/>
      <c r="BOB15" s="55"/>
      <c r="BOC15" s="55"/>
      <c r="BOD15" s="55"/>
      <c r="BOE15" s="55"/>
      <c r="BOF15" s="55"/>
      <c r="BOG15" s="55"/>
      <c r="BOH15" s="55"/>
      <c r="BOI15" s="55"/>
      <c r="BOJ15" s="55"/>
      <c r="BOK15" s="55"/>
      <c r="BOL15" s="55"/>
      <c r="BOM15" s="55"/>
      <c r="BON15" s="55"/>
      <c r="BOO15" s="55"/>
      <c r="BOP15" s="55"/>
      <c r="BOQ15" s="55"/>
      <c r="BOR15" s="55"/>
      <c r="BOS15" s="55"/>
      <c r="BOT15" s="55"/>
      <c r="BOU15" s="55"/>
      <c r="BOV15" s="55"/>
      <c r="BOW15" s="55"/>
      <c r="BOX15" s="55"/>
      <c r="BOY15" s="55"/>
      <c r="BOZ15" s="55"/>
      <c r="BPA15" s="55"/>
      <c r="BPB15" s="55"/>
      <c r="BPC15" s="55"/>
      <c r="BPD15" s="55"/>
      <c r="BPE15" s="55"/>
      <c r="BPF15" s="55"/>
      <c r="BPG15" s="55"/>
      <c r="BPH15" s="55"/>
      <c r="BPI15" s="55"/>
      <c r="BPJ15" s="55"/>
      <c r="BPK15" s="55"/>
      <c r="BPL15" s="55"/>
      <c r="BPM15" s="55"/>
      <c r="BPN15" s="55"/>
      <c r="BPO15" s="55"/>
      <c r="BPP15" s="55"/>
      <c r="BPQ15" s="55"/>
      <c r="BPR15" s="55"/>
      <c r="BPS15" s="55"/>
      <c r="BPT15" s="55"/>
      <c r="BPU15" s="55"/>
      <c r="BPV15" s="55"/>
      <c r="BPW15" s="55"/>
      <c r="BPX15" s="55"/>
      <c r="BPY15" s="55"/>
      <c r="BPZ15" s="55"/>
      <c r="BQA15" s="55"/>
      <c r="BQB15" s="55"/>
      <c r="BQC15" s="55"/>
      <c r="BQD15" s="55"/>
      <c r="BQE15" s="55"/>
      <c r="BQF15" s="55"/>
      <c r="BQG15" s="55"/>
      <c r="BQH15" s="55"/>
      <c r="BQI15" s="55"/>
      <c r="BQJ15" s="55"/>
      <c r="BQK15" s="55"/>
      <c r="BQL15" s="55"/>
      <c r="BQM15" s="55"/>
      <c r="BQN15" s="55"/>
      <c r="BQO15" s="55"/>
      <c r="BQP15" s="55"/>
      <c r="BQQ15" s="55"/>
      <c r="BQR15" s="55"/>
      <c r="BQS15" s="55"/>
      <c r="BQT15" s="55"/>
      <c r="BQU15" s="55"/>
      <c r="BQV15" s="55"/>
      <c r="BQW15" s="55"/>
      <c r="BQX15" s="55"/>
      <c r="BQY15" s="55"/>
      <c r="BQZ15" s="55"/>
      <c r="BRA15" s="55"/>
      <c r="BRB15" s="55"/>
      <c r="BRC15" s="55"/>
      <c r="BRD15" s="55"/>
      <c r="BRE15" s="55"/>
      <c r="BRF15" s="55"/>
      <c r="BRG15" s="55"/>
      <c r="BRH15" s="55"/>
      <c r="BRI15" s="55"/>
      <c r="BRJ15" s="55"/>
      <c r="BRK15" s="55"/>
      <c r="BRL15" s="55"/>
      <c r="BRM15" s="55"/>
      <c r="BRN15" s="55"/>
      <c r="BRO15" s="55"/>
      <c r="BRP15" s="55"/>
      <c r="BRQ15" s="55"/>
      <c r="BRR15" s="55"/>
      <c r="BRS15" s="55"/>
      <c r="BRT15" s="55"/>
      <c r="BRU15" s="55"/>
      <c r="BRV15" s="55"/>
      <c r="BRW15" s="55"/>
      <c r="BRX15" s="55"/>
      <c r="BRY15" s="55"/>
      <c r="BRZ15" s="55"/>
      <c r="BSA15" s="55"/>
      <c r="BSB15" s="55"/>
      <c r="BSC15" s="55"/>
      <c r="BSD15" s="55"/>
      <c r="BSE15" s="55"/>
      <c r="BSF15" s="55"/>
      <c r="BSG15" s="55"/>
      <c r="BSH15" s="55"/>
      <c r="BSI15" s="55"/>
      <c r="BSJ15" s="55"/>
      <c r="BSK15" s="55"/>
      <c r="BSL15" s="55"/>
      <c r="BSM15" s="55"/>
      <c r="BSN15" s="55"/>
      <c r="BSO15" s="55"/>
      <c r="BSP15" s="55"/>
      <c r="BSQ15" s="55"/>
      <c r="BSR15" s="55"/>
      <c r="BSS15" s="55"/>
      <c r="BST15" s="55"/>
      <c r="BSU15" s="55"/>
      <c r="BSV15" s="55"/>
      <c r="BSW15" s="55"/>
      <c r="BSX15" s="55"/>
      <c r="BSY15" s="55"/>
      <c r="BSZ15" s="55"/>
      <c r="BTA15" s="55"/>
      <c r="BTB15" s="55"/>
      <c r="BTC15" s="55"/>
      <c r="BTD15" s="55"/>
      <c r="BTE15" s="55"/>
      <c r="BTF15" s="55"/>
      <c r="BTG15" s="55"/>
      <c r="BTH15" s="55"/>
      <c r="BTI15" s="55"/>
      <c r="BTJ15" s="55"/>
      <c r="BTK15" s="55"/>
      <c r="BTL15" s="55"/>
      <c r="BTM15" s="55"/>
      <c r="BTN15" s="55"/>
      <c r="BTO15" s="55"/>
      <c r="BTP15" s="55"/>
      <c r="BTQ15" s="55"/>
      <c r="BTR15" s="55"/>
      <c r="BTS15" s="55"/>
      <c r="BTT15" s="55"/>
      <c r="BTU15" s="55"/>
      <c r="BTV15" s="55"/>
      <c r="BTW15" s="55"/>
      <c r="BTX15" s="55"/>
      <c r="BTY15" s="55"/>
      <c r="BTZ15" s="55"/>
      <c r="BUA15" s="55"/>
      <c r="BUB15" s="55"/>
      <c r="BUC15" s="55"/>
      <c r="BUD15" s="55"/>
      <c r="BUE15" s="55"/>
      <c r="BUF15" s="55"/>
      <c r="BUG15" s="55"/>
      <c r="BUH15" s="55"/>
      <c r="BUI15" s="55"/>
      <c r="BUJ15" s="55"/>
      <c r="BUK15" s="55"/>
      <c r="BUL15" s="55"/>
      <c r="BUM15" s="55"/>
      <c r="BUN15" s="55"/>
      <c r="BUO15" s="55"/>
      <c r="BUP15" s="55"/>
      <c r="BUQ15" s="55"/>
      <c r="BUR15" s="55"/>
      <c r="BUS15" s="55"/>
      <c r="BUT15" s="55"/>
      <c r="BUU15" s="55"/>
      <c r="BUV15" s="55"/>
      <c r="BUW15" s="55"/>
      <c r="BUX15" s="55"/>
      <c r="BUY15" s="55"/>
      <c r="BUZ15" s="55"/>
      <c r="BVA15" s="55"/>
      <c r="BVB15" s="55"/>
      <c r="BVC15" s="55"/>
      <c r="BVD15" s="55"/>
      <c r="BVE15" s="55"/>
      <c r="BVF15" s="55"/>
      <c r="BVG15" s="55"/>
      <c r="BVH15" s="55"/>
      <c r="BVI15" s="55"/>
      <c r="BVJ15" s="55"/>
      <c r="BVK15" s="55"/>
      <c r="BVL15" s="55"/>
      <c r="BVM15" s="55"/>
      <c r="BVN15" s="55"/>
      <c r="BVO15" s="55"/>
      <c r="BVP15" s="55"/>
      <c r="BVQ15" s="55"/>
      <c r="BVR15" s="55"/>
      <c r="BVS15" s="55"/>
      <c r="BVT15" s="55"/>
      <c r="BVU15" s="55"/>
      <c r="BVV15" s="55"/>
      <c r="BVW15" s="55"/>
      <c r="BVX15" s="55"/>
      <c r="BVY15" s="55"/>
      <c r="BVZ15" s="55"/>
      <c r="BWA15" s="55"/>
      <c r="BWB15" s="55"/>
      <c r="BWC15" s="55"/>
      <c r="BWD15" s="55"/>
      <c r="BWE15" s="55"/>
      <c r="BWF15" s="55"/>
      <c r="BWG15" s="55"/>
      <c r="BWH15" s="55"/>
      <c r="BWI15" s="55"/>
      <c r="BWJ15" s="55"/>
      <c r="BWK15" s="55"/>
      <c r="BWL15" s="55"/>
      <c r="BWM15" s="55"/>
      <c r="BWN15" s="55"/>
      <c r="BWO15" s="55"/>
      <c r="BWP15" s="55"/>
      <c r="BWQ15" s="55"/>
      <c r="BWR15" s="55"/>
      <c r="BWS15" s="55"/>
      <c r="BWT15" s="55"/>
      <c r="BWU15" s="55"/>
      <c r="BWV15" s="55"/>
      <c r="BWW15" s="55"/>
      <c r="BWX15" s="55"/>
      <c r="BWY15" s="55"/>
      <c r="BWZ15" s="55"/>
      <c r="BXA15" s="55"/>
      <c r="BXB15" s="55"/>
      <c r="BXC15" s="55"/>
      <c r="BXD15" s="55"/>
      <c r="BXE15" s="55"/>
      <c r="BXF15" s="55"/>
      <c r="BXG15" s="55"/>
      <c r="BXH15" s="55"/>
      <c r="BXI15" s="55"/>
      <c r="BXJ15" s="55"/>
      <c r="BXK15" s="55"/>
      <c r="BXL15" s="55"/>
      <c r="BXM15" s="55"/>
      <c r="BXN15" s="55"/>
      <c r="BXO15" s="55"/>
      <c r="BXP15" s="55"/>
      <c r="BXQ15" s="55"/>
      <c r="BXR15" s="55"/>
      <c r="BXS15" s="55"/>
      <c r="BXT15" s="55"/>
      <c r="BXU15" s="55"/>
      <c r="BXV15" s="55"/>
      <c r="BXW15" s="55"/>
      <c r="BXX15" s="55"/>
      <c r="BXY15" s="55"/>
      <c r="BXZ15" s="55"/>
      <c r="BYA15" s="55"/>
      <c r="BYB15" s="55"/>
      <c r="BYC15" s="55"/>
      <c r="BYD15" s="55"/>
      <c r="BYE15" s="55"/>
      <c r="BYF15" s="55"/>
      <c r="BYG15" s="55"/>
      <c r="BYH15" s="55"/>
      <c r="BYI15" s="55"/>
      <c r="BYJ15" s="55"/>
      <c r="BYK15" s="55"/>
      <c r="BYL15" s="55"/>
      <c r="BYM15" s="55"/>
      <c r="BYN15" s="55"/>
      <c r="BYO15" s="55"/>
      <c r="BYP15" s="55"/>
      <c r="BYQ15" s="55"/>
      <c r="BYR15" s="55"/>
      <c r="BYS15" s="55"/>
      <c r="BYT15" s="55"/>
      <c r="BYU15" s="55"/>
      <c r="BYV15" s="55"/>
      <c r="BYW15" s="55"/>
      <c r="BYX15" s="55"/>
      <c r="BYY15" s="55"/>
      <c r="BYZ15" s="55"/>
      <c r="BZA15" s="55"/>
      <c r="BZB15" s="55"/>
      <c r="BZC15" s="55"/>
      <c r="BZD15" s="55"/>
      <c r="BZE15" s="55"/>
      <c r="BZF15" s="55"/>
      <c r="BZG15" s="55"/>
      <c r="BZH15" s="55"/>
      <c r="BZI15" s="55"/>
      <c r="BZJ15" s="55"/>
      <c r="BZK15" s="55"/>
      <c r="BZL15" s="55"/>
      <c r="BZM15" s="55"/>
      <c r="BZN15" s="55"/>
      <c r="BZO15" s="55"/>
      <c r="BZP15" s="55"/>
      <c r="BZQ15" s="55"/>
      <c r="BZR15" s="55"/>
      <c r="BZS15" s="55"/>
      <c r="BZT15" s="55"/>
      <c r="BZU15" s="55"/>
      <c r="BZV15" s="55"/>
      <c r="BZW15" s="55"/>
      <c r="BZX15" s="55"/>
      <c r="BZY15" s="55"/>
      <c r="BZZ15" s="55"/>
      <c r="CAA15" s="55"/>
      <c r="CAB15" s="55"/>
      <c r="CAC15" s="55"/>
      <c r="CAD15" s="55"/>
      <c r="CAE15" s="55"/>
      <c r="CAF15" s="55"/>
      <c r="CAG15" s="55"/>
      <c r="CAH15" s="55"/>
      <c r="CAI15" s="55"/>
      <c r="CAJ15" s="55"/>
      <c r="CAK15" s="55"/>
      <c r="CAL15" s="55"/>
      <c r="CAM15" s="55"/>
      <c r="CAN15" s="55"/>
      <c r="CAO15" s="55"/>
      <c r="CAP15" s="55"/>
      <c r="CAQ15" s="55"/>
      <c r="CAR15" s="55"/>
      <c r="CAS15" s="55"/>
      <c r="CAT15" s="55"/>
      <c r="CAU15" s="55"/>
      <c r="CAV15" s="55"/>
      <c r="CAW15" s="55"/>
      <c r="CAX15" s="55"/>
      <c r="CAY15" s="55"/>
      <c r="CAZ15" s="55"/>
      <c r="CBA15" s="55"/>
      <c r="CBB15" s="55"/>
      <c r="CBC15" s="55"/>
      <c r="CBD15" s="55"/>
      <c r="CBE15" s="55"/>
      <c r="CBF15" s="55"/>
      <c r="CBG15" s="55"/>
      <c r="CBH15" s="55"/>
      <c r="CBI15" s="55"/>
      <c r="CBJ15" s="55"/>
      <c r="CBK15" s="55"/>
      <c r="CBL15" s="55"/>
      <c r="CBM15" s="55"/>
      <c r="CBN15" s="55"/>
      <c r="CBO15" s="55"/>
      <c r="CBP15" s="55"/>
      <c r="CBQ15" s="55"/>
      <c r="CBR15" s="55"/>
      <c r="CBS15" s="55"/>
      <c r="CBT15" s="55"/>
      <c r="CBU15" s="55"/>
      <c r="CBV15" s="55"/>
      <c r="CBW15" s="55"/>
      <c r="CBX15" s="55"/>
      <c r="CBY15" s="55"/>
      <c r="CBZ15" s="55"/>
      <c r="CCA15" s="55"/>
      <c r="CCB15" s="55"/>
      <c r="CCC15" s="55"/>
      <c r="CCD15" s="55"/>
      <c r="CCE15" s="55"/>
      <c r="CCF15" s="55"/>
      <c r="CCG15" s="55"/>
      <c r="CCH15" s="55"/>
      <c r="CCI15" s="55"/>
      <c r="CCJ15" s="55"/>
      <c r="CCK15" s="55"/>
      <c r="CCL15" s="55"/>
      <c r="CCM15" s="55"/>
      <c r="CCN15" s="55"/>
      <c r="CCO15" s="55"/>
      <c r="CCP15" s="55"/>
      <c r="CCQ15" s="55"/>
      <c r="CCR15" s="55"/>
      <c r="CCS15" s="55"/>
      <c r="CCT15" s="55"/>
      <c r="CCU15" s="55"/>
      <c r="CCV15" s="55"/>
      <c r="CCW15" s="55"/>
      <c r="CCX15" s="55"/>
      <c r="CCY15" s="55"/>
      <c r="CCZ15" s="55"/>
      <c r="CDA15" s="55"/>
      <c r="CDB15" s="55"/>
      <c r="CDC15" s="55"/>
      <c r="CDD15" s="55"/>
      <c r="CDE15" s="55"/>
      <c r="CDF15" s="55"/>
      <c r="CDG15" s="55"/>
      <c r="CDH15" s="55"/>
      <c r="CDI15" s="55"/>
      <c r="CDJ15" s="55"/>
      <c r="CDK15" s="55"/>
      <c r="CDL15" s="55"/>
      <c r="CDM15" s="55"/>
      <c r="CDN15" s="55"/>
      <c r="CDO15" s="55"/>
      <c r="CDP15" s="55"/>
      <c r="CDQ15" s="55"/>
      <c r="CDR15" s="55"/>
      <c r="CDS15" s="55"/>
      <c r="CDT15" s="55"/>
      <c r="CDU15" s="55"/>
      <c r="CDV15" s="55"/>
      <c r="CDW15" s="55"/>
      <c r="CDX15" s="55"/>
      <c r="CDY15" s="55"/>
      <c r="CDZ15" s="55"/>
      <c r="CEA15" s="55"/>
      <c r="CEB15" s="55"/>
      <c r="CEC15" s="55"/>
      <c r="CED15" s="55"/>
      <c r="CEE15" s="55"/>
      <c r="CEF15" s="55"/>
      <c r="CEG15" s="55"/>
      <c r="CEH15" s="55"/>
      <c r="CEI15" s="55"/>
      <c r="CEJ15" s="55"/>
      <c r="CEK15" s="55"/>
      <c r="CEL15" s="55"/>
      <c r="CEM15" s="55"/>
      <c r="CEN15" s="55"/>
      <c r="CEO15" s="55"/>
      <c r="CEP15" s="55"/>
      <c r="CEQ15" s="55"/>
      <c r="CER15" s="55"/>
      <c r="CES15" s="55"/>
      <c r="CET15" s="55"/>
      <c r="CEU15" s="55"/>
      <c r="CEV15" s="55"/>
      <c r="CEW15" s="55"/>
      <c r="CEX15" s="55"/>
      <c r="CEY15" s="55"/>
      <c r="CEZ15" s="55"/>
      <c r="CFA15" s="55"/>
      <c r="CFB15" s="55"/>
      <c r="CFC15" s="55"/>
      <c r="CFD15" s="55"/>
      <c r="CFE15" s="55"/>
      <c r="CFF15" s="55"/>
      <c r="CFG15" s="55"/>
      <c r="CFH15" s="55"/>
      <c r="CFI15" s="55"/>
      <c r="CFJ15" s="55"/>
      <c r="CFK15" s="55"/>
      <c r="CFL15" s="55"/>
      <c r="CFM15" s="55"/>
      <c r="CFN15" s="55"/>
      <c r="CFO15" s="55"/>
      <c r="CFP15" s="55"/>
      <c r="CFQ15" s="55"/>
      <c r="CFR15" s="55"/>
      <c r="CFS15" s="55"/>
      <c r="CFT15" s="55"/>
      <c r="CFU15" s="55"/>
      <c r="CFV15" s="55"/>
      <c r="CFW15" s="55"/>
      <c r="CFX15" s="55"/>
      <c r="CFY15" s="55"/>
      <c r="CFZ15" s="55"/>
      <c r="CGA15" s="55"/>
      <c r="CGB15" s="55"/>
      <c r="CGC15" s="55"/>
      <c r="CGD15" s="55"/>
      <c r="CGE15" s="55"/>
      <c r="CGF15" s="55"/>
      <c r="CGG15" s="55"/>
      <c r="CGH15" s="55"/>
      <c r="CGI15" s="55"/>
      <c r="CGJ15" s="55"/>
      <c r="CGK15" s="55"/>
      <c r="CGL15" s="55"/>
      <c r="CGM15" s="55"/>
      <c r="CGN15" s="55"/>
      <c r="CGO15" s="55"/>
      <c r="CGP15" s="55"/>
      <c r="CGQ15" s="55"/>
      <c r="CGR15" s="55"/>
      <c r="CGS15" s="55"/>
      <c r="CGT15" s="55"/>
      <c r="CGU15" s="55"/>
      <c r="CGV15" s="55"/>
      <c r="CGW15" s="55"/>
      <c r="CGX15" s="55"/>
      <c r="CGY15" s="55"/>
      <c r="CGZ15" s="55"/>
      <c r="CHA15" s="55"/>
      <c r="CHB15" s="55"/>
      <c r="CHC15" s="55"/>
      <c r="CHD15" s="55"/>
      <c r="CHE15" s="55"/>
      <c r="CHF15" s="55"/>
      <c r="CHG15" s="55"/>
      <c r="CHH15" s="55"/>
      <c r="CHI15" s="55"/>
      <c r="CHJ15" s="55"/>
      <c r="CHK15" s="55"/>
      <c r="CHL15" s="55"/>
      <c r="CHM15" s="55"/>
      <c r="CHN15" s="55"/>
      <c r="CHO15" s="55"/>
      <c r="CHP15" s="55"/>
      <c r="CHQ15" s="55"/>
      <c r="CHR15" s="55"/>
      <c r="CHS15" s="55"/>
      <c r="CHT15" s="55"/>
      <c r="CHU15" s="55"/>
      <c r="CHV15" s="55"/>
      <c r="CHW15" s="55"/>
      <c r="CHX15" s="55"/>
      <c r="CHY15" s="55"/>
      <c r="CHZ15" s="55"/>
      <c r="CIA15" s="55"/>
      <c r="CIB15" s="55"/>
      <c r="CIC15" s="55"/>
      <c r="CID15" s="55"/>
      <c r="CIE15" s="55"/>
      <c r="CIF15" s="55"/>
      <c r="CIG15" s="55"/>
      <c r="CIH15" s="55"/>
      <c r="CII15" s="55"/>
      <c r="CIJ15" s="55"/>
      <c r="CIK15" s="55"/>
      <c r="CIL15" s="55"/>
      <c r="CIM15" s="55"/>
      <c r="CIN15" s="55"/>
      <c r="CIO15" s="55"/>
      <c r="CIP15" s="55"/>
      <c r="CIQ15" s="55"/>
      <c r="CIR15" s="55"/>
      <c r="CIS15" s="55"/>
      <c r="CIT15" s="55"/>
      <c r="CIU15" s="55"/>
      <c r="CIV15" s="55"/>
      <c r="CIW15" s="55"/>
      <c r="CIX15" s="55"/>
      <c r="CIY15" s="55"/>
      <c r="CIZ15" s="55"/>
      <c r="CJA15" s="55"/>
      <c r="CJB15" s="55"/>
      <c r="CJC15" s="55"/>
      <c r="CJD15" s="55"/>
      <c r="CJE15" s="55"/>
      <c r="CJF15" s="55"/>
      <c r="CJG15" s="55"/>
      <c r="CJH15" s="55"/>
      <c r="CJI15" s="55"/>
      <c r="CJJ15" s="55"/>
      <c r="CJK15" s="55"/>
      <c r="CJL15" s="55"/>
      <c r="CJM15" s="55"/>
      <c r="CJN15" s="55"/>
      <c r="CJO15" s="55"/>
      <c r="CJP15" s="55"/>
      <c r="CJQ15" s="55"/>
      <c r="CJR15" s="55"/>
      <c r="CJS15" s="55"/>
      <c r="CJT15" s="55"/>
      <c r="CJU15" s="55"/>
      <c r="CJV15" s="55"/>
      <c r="CJW15" s="55"/>
      <c r="CJX15" s="55"/>
      <c r="CJY15" s="55"/>
      <c r="CJZ15" s="55"/>
      <c r="CKA15" s="55"/>
      <c r="CKB15" s="55"/>
      <c r="CKC15" s="55"/>
      <c r="CKD15" s="55"/>
      <c r="CKE15" s="55"/>
      <c r="CKF15" s="55"/>
      <c r="CKG15" s="55"/>
      <c r="CKH15" s="55"/>
      <c r="CKI15" s="55"/>
      <c r="CKJ15" s="55"/>
      <c r="CKK15" s="55"/>
      <c r="CKL15" s="55"/>
      <c r="CKM15" s="55"/>
      <c r="CKN15" s="55"/>
      <c r="CKO15" s="55"/>
      <c r="CKP15" s="55"/>
      <c r="CKQ15" s="55"/>
      <c r="CKR15" s="55"/>
      <c r="CKS15" s="55"/>
      <c r="CKT15" s="55"/>
      <c r="CKU15" s="55"/>
      <c r="CKV15" s="55"/>
      <c r="CKW15" s="55"/>
      <c r="CKX15" s="55"/>
      <c r="CKY15" s="55"/>
      <c r="CKZ15" s="55"/>
      <c r="CLA15" s="55"/>
      <c r="CLB15" s="55"/>
      <c r="CLC15" s="55"/>
      <c r="CLD15" s="55"/>
      <c r="CLE15" s="55"/>
      <c r="CLF15" s="55"/>
      <c r="CLG15" s="55"/>
      <c r="CLH15" s="55"/>
      <c r="CLI15" s="55"/>
      <c r="CLJ15" s="55"/>
      <c r="CLK15" s="55"/>
      <c r="CLL15" s="55"/>
      <c r="CLM15" s="55"/>
      <c r="CLN15" s="55"/>
      <c r="CLO15" s="55"/>
      <c r="CLP15" s="55"/>
      <c r="CLQ15" s="55"/>
      <c r="CLR15" s="55"/>
      <c r="CLS15" s="55"/>
      <c r="CLT15" s="55"/>
      <c r="CLU15" s="55"/>
      <c r="CLV15" s="55"/>
      <c r="CLW15" s="55"/>
      <c r="CLX15" s="55"/>
      <c r="CLY15" s="55"/>
      <c r="CLZ15" s="55"/>
      <c r="CMA15" s="55"/>
      <c r="CMB15" s="55"/>
      <c r="CMC15" s="55"/>
      <c r="CMD15" s="55"/>
      <c r="CME15" s="55"/>
      <c r="CMF15" s="55"/>
      <c r="CMG15" s="55"/>
      <c r="CMH15" s="55"/>
      <c r="CMI15" s="55"/>
      <c r="CMJ15" s="55"/>
      <c r="CMK15" s="55"/>
      <c r="CML15" s="55"/>
      <c r="CMM15" s="55"/>
      <c r="CMN15" s="55"/>
      <c r="CMO15" s="55"/>
      <c r="CMP15" s="55"/>
      <c r="CMQ15" s="55"/>
      <c r="CMR15" s="55"/>
      <c r="CMS15" s="55"/>
      <c r="CMT15" s="55"/>
      <c r="CMU15" s="55"/>
      <c r="CMV15" s="55"/>
      <c r="CMW15" s="55"/>
      <c r="CMX15" s="55"/>
      <c r="CMY15" s="55"/>
      <c r="CMZ15" s="55"/>
      <c r="CNA15" s="55"/>
      <c r="CNB15" s="55"/>
      <c r="CNC15" s="55"/>
      <c r="CND15" s="55"/>
      <c r="CNE15" s="55"/>
      <c r="CNF15" s="55"/>
      <c r="CNG15" s="55"/>
      <c r="CNH15" s="55"/>
      <c r="CNI15" s="55"/>
      <c r="CNJ15" s="55"/>
      <c r="CNK15" s="55"/>
      <c r="CNL15" s="55"/>
      <c r="CNM15" s="55"/>
      <c r="CNN15" s="55"/>
      <c r="CNO15" s="55"/>
      <c r="CNP15" s="55"/>
      <c r="CNQ15" s="55"/>
      <c r="CNR15" s="55"/>
      <c r="CNS15" s="55"/>
      <c r="CNT15" s="55"/>
      <c r="CNU15" s="55"/>
      <c r="CNV15" s="55"/>
      <c r="CNW15" s="55"/>
      <c r="CNX15" s="55"/>
      <c r="CNY15" s="55"/>
      <c r="CNZ15" s="55"/>
      <c r="COA15" s="55"/>
      <c r="COB15" s="55"/>
      <c r="COC15" s="55"/>
      <c r="COD15" s="55"/>
      <c r="COE15" s="55"/>
      <c r="COF15" s="55"/>
      <c r="COG15" s="55"/>
      <c r="COH15" s="55"/>
      <c r="COI15" s="55"/>
      <c r="COJ15" s="55"/>
      <c r="COK15" s="55"/>
      <c r="COL15" s="55"/>
      <c r="COM15" s="55"/>
      <c r="CON15" s="55"/>
      <c r="COO15" s="55"/>
      <c r="COP15" s="55"/>
      <c r="COQ15" s="55"/>
      <c r="COR15" s="55"/>
      <c r="COS15" s="55"/>
      <c r="COT15" s="55"/>
      <c r="COU15" s="55"/>
      <c r="COV15" s="55"/>
      <c r="COW15" s="55"/>
      <c r="COX15" s="55"/>
      <c r="COY15" s="55"/>
      <c r="COZ15" s="55"/>
      <c r="CPA15" s="55"/>
      <c r="CPB15" s="55"/>
      <c r="CPC15" s="55"/>
      <c r="CPD15" s="55"/>
      <c r="CPE15" s="55"/>
      <c r="CPF15" s="55"/>
      <c r="CPG15" s="55"/>
      <c r="CPH15" s="55"/>
      <c r="CPI15" s="55"/>
      <c r="CPJ15" s="55"/>
      <c r="CPK15" s="55"/>
      <c r="CPL15" s="55"/>
      <c r="CPM15" s="55"/>
      <c r="CPN15" s="55"/>
      <c r="CPO15" s="55"/>
      <c r="CPP15" s="55"/>
      <c r="CPQ15" s="55"/>
      <c r="CPR15" s="55"/>
      <c r="CPS15" s="55"/>
      <c r="CPT15" s="55"/>
      <c r="CPU15" s="55"/>
      <c r="CPV15" s="55"/>
      <c r="CPW15" s="55"/>
      <c r="CPX15" s="55"/>
      <c r="CPY15" s="55"/>
      <c r="CPZ15" s="55"/>
      <c r="CQA15" s="55"/>
      <c r="CQB15" s="55"/>
      <c r="CQC15" s="55"/>
      <c r="CQD15" s="55"/>
      <c r="CQE15" s="55"/>
      <c r="CQF15" s="55"/>
      <c r="CQG15" s="55"/>
      <c r="CQH15" s="55"/>
      <c r="CQI15" s="55"/>
      <c r="CQJ15" s="55"/>
      <c r="CQK15" s="55"/>
      <c r="CQL15" s="55"/>
      <c r="CQM15" s="55"/>
      <c r="CQN15" s="55"/>
      <c r="CQO15" s="55"/>
      <c r="CQP15" s="55"/>
      <c r="CQQ15" s="55"/>
      <c r="CQR15" s="55"/>
      <c r="CQS15" s="55"/>
      <c r="CQT15" s="55"/>
      <c r="CQU15" s="55"/>
      <c r="CQV15" s="55"/>
      <c r="CQW15" s="55"/>
      <c r="CQX15" s="55"/>
      <c r="CQY15" s="55"/>
      <c r="CQZ15" s="55"/>
      <c r="CRA15" s="55"/>
      <c r="CRB15" s="55"/>
      <c r="CRC15" s="55"/>
      <c r="CRD15" s="55"/>
      <c r="CRE15" s="55"/>
      <c r="CRF15" s="55"/>
      <c r="CRG15" s="55"/>
      <c r="CRH15" s="55"/>
      <c r="CRI15" s="55"/>
      <c r="CRJ15" s="55"/>
      <c r="CRK15" s="55"/>
      <c r="CRL15" s="55"/>
      <c r="CRM15" s="55"/>
      <c r="CRN15" s="55"/>
      <c r="CRO15" s="55"/>
      <c r="CRP15" s="55"/>
      <c r="CRQ15" s="55"/>
      <c r="CRR15" s="55"/>
      <c r="CRS15" s="55"/>
      <c r="CRT15" s="55"/>
      <c r="CRU15" s="55"/>
      <c r="CRV15" s="55"/>
      <c r="CRW15" s="55"/>
      <c r="CRX15" s="55"/>
      <c r="CRY15" s="55"/>
      <c r="CRZ15" s="55"/>
      <c r="CSA15" s="55"/>
      <c r="CSB15" s="55"/>
      <c r="CSC15" s="55"/>
      <c r="CSD15" s="55"/>
      <c r="CSE15" s="55"/>
      <c r="CSF15" s="55"/>
      <c r="CSG15" s="55"/>
      <c r="CSH15" s="55"/>
      <c r="CSI15" s="55"/>
      <c r="CSJ15" s="55"/>
      <c r="CSK15" s="55"/>
      <c r="CSL15" s="55"/>
      <c r="CSM15" s="55"/>
      <c r="CSN15" s="55"/>
      <c r="CSO15" s="55"/>
      <c r="CSP15" s="55"/>
      <c r="CSQ15" s="55"/>
      <c r="CSR15" s="55"/>
      <c r="CSS15" s="55"/>
      <c r="CST15" s="55"/>
      <c r="CSU15" s="55"/>
      <c r="CSV15" s="55"/>
      <c r="CSW15" s="55"/>
      <c r="CSX15" s="55"/>
      <c r="CSY15" s="55"/>
      <c r="CSZ15" s="55"/>
      <c r="CTA15" s="55"/>
      <c r="CTB15" s="55"/>
      <c r="CTC15" s="55"/>
      <c r="CTD15" s="55"/>
      <c r="CTE15" s="55"/>
      <c r="CTF15" s="55"/>
      <c r="CTG15" s="55"/>
      <c r="CTH15" s="55"/>
      <c r="CTI15" s="55"/>
      <c r="CTJ15" s="55"/>
      <c r="CTK15" s="55"/>
      <c r="CTL15" s="55"/>
      <c r="CTM15" s="55"/>
      <c r="CTN15" s="55"/>
      <c r="CTO15" s="55"/>
      <c r="CTP15" s="55"/>
      <c r="CTQ15" s="55"/>
      <c r="CTR15" s="55"/>
      <c r="CTS15" s="55"/>
      <c r="CTT15" s="55"/>
      <c r="CTU15" s="55"/>
      <c r="CTV15" s="55"/>
      <c r="CTW15" s="55"/>
      <c r="CTX15" s="55"/>
      <c r="CTY15" s="55"/>
      <c r="CTZ15" s="55"/>
      <c r="CUA15" s="55"/>
      <c r="CUB15" s="55"/>
      <c r="CUC15" s="55"/>
      <c r="CUD15" s="55"/>
      <c r="CUE15" s="55"/>
      <c r="CUF15" s="55"/>
      <c r="CUG15" s="55"/>
      <c r="CUH15" s="55"/>
      <c r="CUI15" s="55"/>
      <c r="CUJ15" s="55"/>
      <c r="CUK15" s="55"/>
      <c r="CUL15" s="55"/>
      <c r="CUM15" s="55"/>
      <c r="CUN15" s="55"/>
      <c r="CUO15" s="55"/>
      <c r="CUP15" s="55"/>
      <c r="CUQ15" s="55"/>
      <c r="CUR15" s="55"/>
      <c r="CUS15" s="55"/>
      <c r="CUT15" s="55"/>
      <c r="CUU15" s="55"/>
      <c r="CUV15" s="55"/>
      <c r="CUW15" s="55"/>
      <c r="CUX15" s="55"/>
      <c r="CUY15" s="55"/>
      <c r="CUZ15" s="55"/>
      <c r="CVA15" s="55"/>
      <c r="CVB15" s="55"/>
      <c r="CVC15" s="55"/>
      <c r="CVD15" s="55"/>
      <c r="CVE15" s="55"/>
      <c r="CVF15" s="55"/>
      <c r="CVG15" s="55"/>
      <c r="CVH15" s="55"/>
      <c r="CVI15" s="55"/>
      <c r="CVJ15" s="55"/>
      <c r="CVK15" s="55"/>
      <c r="CVL15" s="55"/>
      <c r="CVM15" s="55"/>
      <c r="CVN15" s="55"/>
      <c r="CVO15" s="55"/>
      <c r="CVP15" s="55"/>
      <c r="CVQ15" s="55"/>
      <c r="CVR15" s="55"/>
      <c r="CVS15" s="55"/>
      <c r="CVT15" s="55"/>
      <c r="CVU15" s="55"/>
      <c r="CVV15" s="55"/>
      <c r="CVW15" s="55"/>
      <c r="CVX15" s="55"/>
      <c r="CVY15" s="55"/>
      <c r="CVZ15" s="55"/>
      <c r="CWA15" s="55"/>
      <c r="CWB15" s="55"/>
      <c r="CWC15" s="55"/>
      <c r="CWD15" s="55"/>
      <c r="CWE15" s="55"/>
      <c r="CWF15" s="55"/>
      <c r="CWG15" s="55"/>
      <c r="CWH15" s="55"/>
      <c r="CWI15" s="55"/>
      <c r="CWJ15" s="55"/>
      <c r="CWK15" s="55"/>
      <c r="CWL15" s="55"/>
      <c r="CWM15" s="55"/>
      <c r="CWN15" s="55"/>
      <c r="CWO15" s="55"/>
      <c r="CWP15" s="55"/>
      <c r="CWQ15" s="55"/>
      <c r="CWR15" s="55"/>
      <c r="CWS15" s="55"/>
      <c r="CWT15" s="55"/>
      <c r="CWU15" s="55"/>
      <c r="CWV15" s="55"/>
      <c r="CWW15" s="55"/>
      <c r="CWX15" s="55"/>
      <c r="CWY15" s="55"/>
      <c r="CWZ15" s="55"/>
      <c r="CXA15" s="55"/>
      <c r="CXB15" s="55"/>
      <c r="CXC15" s="55"/>
      <c r="CXD15" s="55"/>
      <c r="CXE15" s="55"/>
      <c r="CXF15" s="55"/>
      <c r="CXG15" s="55"/>
      <c r="CXH15" s="55"/>
      <c r="CXI15" s="55"/>
      <c r="CXJ15" s="55"/>
      <c r="CXK15" s="55"/>
      <c r="CXL15" s="55"/>
      <c r="CXM15" s="55"/>
      <c r="CXN15" s="55"/>
      <c r="CXO15" s="55"/>
      <c r="CXP15" s="55"/>
      <c r="CXQ15" s="55"/>
      <c r="CXR15" s="55"/>
      <c r="CXS15" s="55"/>
      <c r="CXT15" s="55"/>
      <c r="CXU15" s="55"/>
      <c r="CXV15" s="55"/>
      <c r="CXW15" s="55"/>
      <c r="CXX15" s="55"/>
      <c r="CXY15" s="55"/>
      <c r="CXZ15" s="55"/>
      <c r="CYA15" s="55"/>
      <c r="CYB15" s="55"/>
      <c r="CYC15" s="55"/>
      <c r="CYD15" s="55"/>
      <c r="CYE15" s="55"/>
      <c r="CYF15" s="55"/>
      <c r="CYG15" s="55"/>
      <c r="CYH15" s="55"/>
      <c r="CYI15" s="55"/>
      <c r="CYJ15" s="55"/>
      <c r="CYK15" s="55"/>
      <c r="CYL15" s="55"/>
      <c r="CYM15" s="55"/>
      <c r="CYN15" s="55"/>
      <c r="CYO15" s="55"/>
      <c r="CYP15" s="55"/>
      <c r="CYQ15" s="55"/>
      <c r="CYR15" s="55"/>
      <c r="CYS15" s="55"/>
      <c r="CYT15" s="55"/>
      <c r="CYU15" s="55"/>
      <c r="CYV15" s="55"/>
      <c r="CYW15" s="55"/>
      <c r="CYX15" s="55"/>
      <c r="CYY15" s="55"/>
      <c r="CYZ15" s="55"/>
      <c r="CZA15" s="55"/>
      <c r="CZB15" s="55"/>
      <c r="CZC15" s="55"/>
      <c r="CZD15" s="55"/>
      <c r="CZE15" s="55"/>
      <c r="CZF15" s="55"/>
      <c r="CZG15" s="55"/>
      <c r="CZH15" s="55"/>
      <c r="CZI15" s="55"/>
      <c r="CZJ15" s="55"/>
      <c r="CZK15" s="55"/>
      <c r="CZL15" s="55"/>
      <c r="CZM15" s="55"/>
      <c r="CZN15" s="55"/>
      <c r="CZO15" s="55"/>
      <c r="CZP15" s="55"/>
      <c r="CZQ15" s="55"/>
      <c r="CZR15" s="55"/>
      <c r="CZS15" s="55"/>
      <c r="CZT15" s="55"/>
      <c r="CZU15" s="55"/>
      <c r="CZV15" s="55"/>
      <c r="CZW15" s="55"/>
      <c r="CZX15" s="55"/>
      <c r="CZY15" s="55"/>
      <c r="CZZ15" s="55"/>
      <c r="DAA15" s="55"/>
      <c r="DAB15" s="55"/>
      <c r="DAC15" s="55"/>
      <c r="DAD15" s="55"/>
      <c r="DAE15" s="55"/>
      <c r="DAF15" s="55"/>
      <c r="DAG15" s="55"/>
      <c r="DAH15" s="55"/>
      <c r="DAI15" s="55"/>
      <c r="DAJ15" s="55"/>
      <c r="DAK15" s="55"/>
      <c r="DAL15" s="55"/>
      <c r="DAM15" s="55"/>
      <c r="DAN15" s="55"/>
      <c r="DAO15" s="55"/>
      <c r="DAP15" s="55"/>
      <c r="DAQ15" s="55"/>
      <c r="DAR15" s="55"/>
      <c r="DAS15" s="55"/>
      <c r="DAT15" s="55"/>
      <c r="DAU15" s="55"/>
      <c r="DAV15" s="55"/>
      <c r="DAW15" s="55"/>
      <c r="DAX15" s="55"/>
      <c r="DAY15" s="55"/>
      <c r="DAZ15" s="55"/>
      <c r="DBA15" s="55"/>
      <c r="DBB15" s="55"/>
      <c r="DBC15" s="55"/>
      <c r="DBD15" s="55"/>
      <c r="DBE15" s="55"/>
      <c r="DBF15" s="55"/>
      <c r="DBG15" s="55"/>
      <c r="DBH15" s="55"/>
      <c r="DBI15" s="55"/>
      <c r="DBJ15" s="55"/>
      <c r="DBK15" s="55"/>
      <c r="DBL15" s="55"/>
      <c r="DBM15" s="55"/>
      <c r="DBN15" s="55"/>
      <c r="DBO15" s="55"/>
      <c r="DBP15" s="55"/>
      <c r="DBQ15" s="55"/>
      <c r="DBR15" s="55"/>
      <c r="DBS15" s="55"/>
      <c r="DBT15" s="55"/>
      <c r="DBU15" s="55"/>
      <c r="DBV15" s="55"/>
      <c r="DBW15" s="55"/>
      <c r="DBX15" s="55"/>
      <c r="DBY15" s="55"/>
      <c r="DBZ15" s="55"/>
      <c r="DCA15" s="55"/>
      <c r="DCB15" s="55"/>
      <c r="DCC15" s="55"/>
      <c r="DCD15" s="55"/>
      <c r="DCE15" s="55"/>
      <c r="DCF15" s="55"/>
      <c r="DCG15" s="55"/>
      <c r="DCH15" s="55"/>
      <c r="DCI15" s="55"/>
      <c r="DCJ15" s="55"/>
      <c r="DCK15" s="55"/>
      <c r="DCL15" s="55"/>
      <c r="DCM15" s="55"/>
      <c r="DCN15" s="55"/>
      <c r="DCO15" s="55"/>
      <c r="DCP15" s="55"/>
      <c r="DCQ15" s="55"/>
      <c r="DCR15" s="55"/>
      <c r="DCS15" s="55"/>
      <c r="DCT15" s="55"/>
      <c r="DCU15" s="55"/>
      <c r="DCV15" s="55"/>
      <c r="DCW15" s="55"/>
      <c r="DCX15" s="55"/>
      <c r="DCY15" s="55"/>
      <c r="DCZ15" s="55"/>
      <c r="DDA15" s="55"/>
      <c r="DDB15" s="55"/>
      <c r="DDC15" s="55"/>
      <c r="DDD15" s="55"/>
      <c r="DDE15" s="55"/>
      <c r="DDF15" s="55"/>
      <c r="DDG15" s="55"/>
      <c r="DDH15" s="55"/>
      <c r="DDI15" s="55"/>
      <c r="DDJ15" s="55"/>
      <c r="DDK15" s="55"/>
      <c r="DDL15" s="55"/>
      <c r="DDM15" s="55"/>
      <c r="DDN15" s="55"/>
      <c r="DDO15" s="55"/>
      <c r="DDP15" s="55"/>
      <c r="DDQ15" s="55"/>
      <c r="DDR15" s="55"/>
      <c r="DDS15" s="55"/>
      <c r="DDT15" s="55"/>
      <c r="DDU15" s="55"/>
      <c r="DDV15" s="55"/>
      <c r="DDW15" s="55"/>
      <c r="DDX15" s="55"/>
      <c r="DDY15" s="55"/>
      <c r="DDZ15" s="55"/>
      <c r="DEA15" s="55"/>
      <c r="DEB15" s="55"/>
      <c r="DEC15" s="55"/>
      <c r="DED15" s="55"/>
      <c r="DEE15" s="55"/>
      <c r="DEF15" s="55"/>
      <c r="DEG15" s="55"/>
      <c r="DEH15" s="55"/>
      <c r="DEI15" s="55"/>
      <c r="DEJ15" s="55"/>
      <c r="DEK15" s="55"/>
      <c r="DEL15" s="55"/>
      <c r="DEM15" s="55"/>
      <c r="DEN15" s="55"/>
      <c r="DEO15" s="55"/>
      <c r="DEP15" s="55"/>
      <c r="DEQ15" s="55"/>
      <c r="DER15" s="55"/>
      <c r="DES15" s="55"/>
      <c r="DET15" s="55"/>
      <c r="DEU15" s="55"/>
      <c r="DEV15" s="55"/>
      <c r="DEW15" s="55"/>
      <c r="DEX15" s="55"/>
      <c r="DEY15" s="55"/>
      <c r="DEZ15" s="55"/>
      <c r="DFA15" s="55"/>
      <c r="DFB15" s="55"/>
      <c r="DFC15" s="55"/>
      <c r="DFD15" s="55"/>
      <c r="DFE15" s="55"/>
      <c r="DFF15" s="55"/>
      <c r="DFG15" s="55"/>
      <c r="DFH15" s="55"/>
      <c r="DFI15" s="55"/>
      <c r="DFJ15" s="55"/>
      <c r="DFK15" s="55"/>
      <c r="DFL15" s="55"/>
      <c r="DFM15" s="55"/>
      <c r="DFN15" s="55"/>
      <c r="DFO15" s="55"/>
      <c r="DFP15" s="55"/>
      <c r="DFQ15" s="55"/>
      <c r="DFR15" s="55"/>
      <c r="DFS15" s="55"/>
      <c r="DFT15" s="55"/>
      <c r="DFU15" s="55"/>
      <c r="DFV15" s="55"/>
      <c r="DFW15" s="55"/>
      <c r="DFX15" s="55"/>
      <c r="DFY15" s="55"/>
      <c r="DFZ15" s="55"/>
      <c r="DGA15" s="55"/>
      <c r="DGB15" s="55"/>
      <c r="DGC15" s="55"/>
      <c r="DGD15" s="55"/>
      <c r="DGE15" s="55"/>
      <c r="DGF15" s="55"/>
      <c r="DGG15" s="55"/>
      <c r="DGH15" s="55"/>
      <c r="DGI15" s="55"/>
      <c r="DGJ15" s="55"/>
      <c r="DGK15" s="55"/>
      <c r="DGL15" s="55"/>
      <c r="DGM15" s="55"/>
      <c r="DGN15" s="55"/>
      <c r="DGO15" s="55"/>
      <c r="DGP15" s="55"/>
      <c r="DGQ15" s="55"/>
      <c r="DGR15" s="55"/>
      <c r="DGS15" s="55"/>
      <c r="DGT15" s="55"/>
      <c r="DGU15" s="55"/>
      <c r="DGV15" s="55"/>
      <c r="DGW15" s="55"/>
      <c r="DGX15" s="55"/>
      <c r="DGY15" s="55"/>
      <c r="DGZ15" s="55"/>
      <c r="DHA15" s="55"/>
      <c r="DHB15" s="55"/>
      <c r="DHC15" s="55"/>
      <c r="DHD15" s="55"/>
      <c r="DHE15" s="55"/>
      <c r="DHF15" s="55"/>
      <c r="DHG15" s="55"/>
      <c r="DHH15" s="55"/>
      <c r="DHI15" s="55"/>
      <c r="DHJ15" s="55"/>
      <c r="DHK15" s="55"/>
      <c r="DHL15" s="55"/>
      <c r="DHM15" s="55"/>
      <c r="DHN15" s="55"/>
      <c r="DHO15" s="55"/>
      <c r="DHP15" s="55"/>
      <c r="DHQ15" s="55"/>
      <c r="DHR15" s="55"/>
      <c r="DHS15" s="55"/>
      <c r="DHT15" s="55"/>
      <c r="DHU15" s="55"/>
      <c r="DHV15" s="55"/>
      <c r="DHW15" s="55"/>
      <c r="DHX15" s="55"/>
      <c r="DHY15" s="55"/>
      <c r="DHZ15" s="55"/>
      <c r="DIA15" s="55"/>
      <c r="DIB15" s="55"/>
      <c r="DIC15" s="55"/>
      <c r="DID15" s="55"/>
      <c r="DIE15" s="55"/>
      <c r="DIF15" s="55"/>
      <c r="DIG15" s="55"/>
      <c r="DIH15" s="55"/>
      <c r="DII15" s="55"/>
      <c r="DIJ15" s="55"/>
      <c r="DIK15" s="55"/>
      <c r="DIL15" s="55"/>
      <c r="DIM15" s="55"/>
      <c r="DIN15" s="55"/>
      <c r="DIO15" s="55"/>
      <c r="DIP15" s="55"/>
      <c r="DIQ15" s="55"/>
      <c r="DIR15" s="55"/>
      <c r="DIS15" s="55"/>
      <c r="DIT15" s="55"/>
      <c r="DIU15" s="55"/>
      <c r="DIV15" s="55"/>
      <c r="DIW15" s="55"/>
      <c r="DIX15" s="55"/>
      <c r="DIY15" s="55"/>
      <c r="DIZ15" s="55"/>
      <c r="DJA15" s="55"/>
      <c r="DJB15" s="55"/>
      <c r="DJC15" s="55"/>
      <c r="DJD15" s="55"/>
      <c r="DJE15" s="55"/>
      <c r="DJF15" s="55"/>
      <c r="DJG15" s="55"/>
      <c r="DJH15" s="55"/>
      <c r="DJI15" s="55"/>
      <c r="DJJ15" s="55"/>
      <c r="DJK15" s="55"/>
      <c r="DJL15" s="55"/>
      <c r="DJM15" s="55"/>
      <c r="DJN15" s="55"/>
      <c r="DJO15" s="55"/>
      <c r="DJP15" s="55"/>
      <c r="DJQ15" s="55"/>
      <c r="DJR15" s="55"/>
      <c r="DJS15" s="55"/>
      <c r="DJT15" s="55"/>
      <c r="DJU15" s="55"/>
      <c r="DJV15" s="55"/>
      <c r="DJW15" s="55"/>
      <c r="DJX15" s="55"/>
      <c r="DJY15" s="55"/>
      <c r="DJZ15" s="55"/>
      <c r="DKA15" s="55"/>
      <c r="DKB15" s="55"/>
      <c r="DKC15" s="55"/>
      <c r="DKD15" s="55"/>
      <c r="DKE15" s="55"/>
      <c r="DKF15" s="55"/>
      <c r="DKG15" s="55"/>
      <c r="DKH15" s="55"/>
      <c r="DKI15" s="55"/>
      <c r="DKJ15" s="55"/>
      <c r="DKK15" s="55"/>
      <c r="DKL15" s="55"/>
      <c r="DKM15" s="55"/>
      <c r="DKN15" s="55"/>
      <c r="DKO15" s="55"/>
      <c r="DKP15" s="55"/>
      <c r="DKQ15" s="55"/>
      <c r="DKR15" s="55"/>
      <c r="DKS15" s="55"/>
      <c r="DKT15" s="55"/>
      <c r="DKU15" s="55"/>
      <c r="DKV15" s="55"/>
      <c r="DKW15" s="55"/>
      <c r="DKX15" s="55"/>
      <c r="DKY15" s="55"/>
      <c r="DKZ15" s="55"/>
      <c r="DLA15" s="55"/>
      <c r="DLB15" s="55"/>
      <c r="DLC15" s="55"/>
      <c r="DLD15" s="55"/>
      <c r="DLE15" s="55"/>
      <c r="DLF15" s="55"/>
      <c r="DLG15" s="55"/>
      <c r="DLH15" s="55"/>
      <c r="DLI15" s="55"/>
      <c r="DLJ15" s="55"/>
      <c r="DLK15" s="55"/>
      <c r="DLL15" s="55"/>
      <c r="DLM15" s="55"/>
      <c r="DLN15" s="55"/>
      <c r="DLO15" s="55"/>
      <c r="DLP15" s="55"/>
      <c r="DLQ15" s="55"/>
      <c r="DLR15" s="55"/>
      <c r="DLS15" s="55"/>
      <c r="DLT15" s="55"/>
      <c r="DLU15" s="55"/>
      <c r="DLV15" s="55"/>
      <c r="DLW15" s="55"/>
      <c r="DLX15" s="55"/>
      <c r="DLY15" s="55"/>
      <c r="DLZ15" s="55"/>
      <c r="DMA15" s="55"/>
      <c r="DMB15" s="55"/>
      <c r="DMC15" s="55"/>
      <c r="DMD15" s="55"/>
      <c r="DME15" s="55"/>
      <c r="DMF15" s="55"/>
      <c r="DMG15" s="55"/>
      <c r="DMH15" s="55"/>
      <c r="DMI15" s="55"/>
      <c r="DMJ15" s="55"/>
      <c r="DMK15" s="55"/>
      <c r="DML15" s="55"/>
      <c r="DMM15" s="55"/>
      <c r="DMN15" s="55"/>
      <c r="DMO15" s="55"/>
      <c r="DMP15" s="55"/>
      <c r="DMQ15" s="55"/>
      <c r="DMR15" s="55"/>
      <c r="DMS15" s="55"/>
      <c r="DMT15" s="55"/>
      <c r="DMU15" s="55"/>
      <c r="DMV15" s="55"/>
      <c r="DMW15" s="55"/>
      <c r="DMX15" s="55"/>
      <c r="DMY15" s="55"/>
      <c r="DMZ15" s="55"/>
      <c r="DNA15" s="55"/>
      <c r="DNB15" s="55"/>
      <c r="DNC15" s="55"/>
      <c r="DND15" s="55"/>
      <c r="DNE15" s="55"/>
      <c r="DNF15" s="55"/>
      <c r="DNG15" s="55"/>
      <c r="DNH15" s="55"/>
      <c r="DNI15" s="55"/>
      <c r="DNJ15" s="55"/>
      <c r="DNK15" s="55"/>
      <c r="DNL15" s="55"/>
      <c r="DNM15" s="55"/>
      <c r="DNN15" s="55"/>
      <c r="DNO15" s="55"/>
      <c r="DNP15" s="55"/>
      <c r="DNQ15" s="55"/>
      <c r="DNR15" s="55"/>
      <c r="DNS15" s="55"/>
      <c r="DNT15" s="55"/>
      <c r="DNU15" s="55"/>
      <c r="DNV15" s="55"/>
      <c r="DNW15" s="55"/>
      <c r="DNX15" s="55"/>
      <c r="DNY15" s="55"/>
      <c r="DNZ15" s="55"/>
      <c r="DOA15" s="55"/>
      <c r="DOB15" s="55"/>
      <c r="DOC15" s="55"/>
      <c r="DOD15" s="55"/>
      <c r="DOE15" s="55"/>
      <c r="DOF15" s="55"/>
      <c r="DOG15" s="55"/>
      <c r="DOH15" s="55"/>
      <c r="DOI15" s="55"/>
      <c r="DOJ15" s="55"/>
      <c r="DOK15" s="55"/>
      <c r="DOL15" s="55"/>
      <c r="DOM15" s="55"/>
      <c r="DON15" s="55"/>
      <c r="DOO15" s="55"/>
      <c r="DOP15" s="55"/>
      <c r="DOQ15" s="55"/>
      <c r="DOR15" s="55"/>
      <c r="DOS15" s="55"/>
      <c r="DOT15" s="55"/>
      <c r="DOU15" s="55"/>
      <c r="DOV15" s="55"/>
      <c r="DOW15" s="55"/>
      <c r="DOX15" s="55"/>
      <c r="DOY15" s="55"/>
      <c r="DOZ15" s="55"/>
      <c r="DPA15" s="55"/>
      <c r="DPB15" s="55"/>
      <c r="DPC15" s="55"/>
      <c r="DPD15" s="55"/>
      <c r="DPE15" s="55"/>
      <c r="DPF15" s="55"/>
      <c r="DPG15" s="55"/>
      <c r="DPH15" s="55"/>
      <c r="DPI15" s="55"/>
      <c r="DPJ15" s="55"/>
      <c r="DPK15" s="55"/>
      <c r="DPL15" s="55"/>
      <c r="DPM15" s="55"/>
      <c r="DPN15" s="55"/>
      <c r="DPO15" s="55"/>
      <c r="DPP15" s="55"/>
      <c r="DPQ15" s="55"/>
      <c r="DPR15" s="55"/>
      <c r="DPS15" s="55"/>
      <c r="DPT15" s="55"/>
      <c r="DPU15" s="55"/>
      <c r="DPV15" s="55"/>
      <c r="DPW15" s="55"/>
      <c r="DPX15" s="55"/>
      <c r="DPY15" s="55"/>
      <c r="DPZ15" s="55"/>
      <c r="DQA15" s="55"/>
      <c r="DQB15" s="55"/>
      <c r="DQC15" s="55"/>
      <c r="DQD15" s="55"/>
      <c r="DQE15" s="55"/>
      <c r="DQF15" s="55"/>
      <c r="DQG15" s="55"/>
      <c r="DQH15" s="55"/>
      <c r="DQI15" s="55"/>
      <c r="DQJ15" s="55"/>
      <c r="DQK15" s="55"/>
      <c r="DQL15" s="55"/>
      <c r="DQM15" s="55"/>
      <c r="DQN15" s="55"/>
      <c r="DQO15" s="55"/>
      <c r="DQP15" s="55"/>
      <c r="DQQ15" s="55"/>
      <c r="DQR15" s="55"/>
      <c r="DQS15" s="55"/>
      <c r="DQT15" s="55"/>
      <c r="DQU15" s="55"/>
      <c r="DQV15" s="55"/>
      <c r="DQW15" s="55"/>
      <c r="DQX15" s="55"/>
      <c r="DQY15" s="55"/>
      <c r="DQZ15" s="55"/>
      <c r="DRA15" s="55"/>
      <c r="DRB15" s="55"/>
      <c r="DRC15" s="55"/>
      <c r="DRD15" s="55"/>
      <c r="DRE15" s="55"/>
      <c r="DRF15" s="55"/>
      <c r="DRG15" s="55"/>
      <c r="DRH15" s="55"/>
      <c r="DRI15" s="55"/>
      <c r="DRJ15" s="55"/>
      <c r="DRK15" s="55"/>
      <c r="DRL15" s="55"/>
      <c r="DRM15" s="55"/>
      <c r="DRN15" s="55"/>
      <c r="DRO15" s="55"/>
      <c r="DRP15" s="55"/>
      <c r="DRQ15" s="55"/>
      <c r="DRR15" s="55"/>
      <c r="DRS15" s="55"/>
      <c r="DRT15" s="55"/>
      <c r="DRU15" s="55"/>
      <c r="DRV15" s="55"/>
      <c r="DRW15" s="55"/>
      <c r="DRX15" s="55"/>
      <c r="DRY15" s="55"/>
      <c r="DRZ15" s="55"/>
      <c r="DSA15" s="55"/>
      <c r="DSB15" s="55"/>
      <c r="DSC15" s="55"/>
      <c r="DSD15" s="55"/>
      <c r="DSE15" s="55"/>
      <c r="DSF15" s="55"/>
      <c r="DSG15" s="55"/>
      <c r="DSH15" s="55"/>
      <c r="DSI15" s="55"/>
      <c r="DSJ15" s="55"/>
      <c r="DSK15" s="55"/>
      <c r="DSL15" s="55"/>
      <c r="DSM15" s="55"/>
      <c r="DSN15" s="55"/>
      <c r="DSO15" s="55"/>
      <c r="DSP15" s="55"/>
      <c r="DSQ15" s="55"/>
      <c r="DSR15" s="55"/>
      <c r="DSS15" s="55"/>
      <c r="DST15" s="55"/>
      <c r="DSU15" s="55"/>
      <c r="DSV15" s="55"/>
      <c r="DSW15" s="55"/>
      <c r="DSX15" s="55"/>
      <c r="DSY15" s="55"/>
      <c r="DSZ15" s="55"/>
      <c r="DTA15" s="55"/>
      <c r="DTB15" s="55"/>
      <c r="DTC15" s="55"/>
      <c r="DTD15" s="55"/>
      <c r="DTE15" s="55"/>
      <c r="DTF15" s="55"/>
      <c r="DTG15" s="55"/>
      <c r="DTH15" s="55"/>
      <c r="DTI15" s="55"/>
      <c r="DTJ15" s="55"/>
      <c r="DTK15" s="55"/>
      <c r="DTL15" s="55"/>
      <c r="DTM15" s="55"/>
      <c r="DTN15" s="55"/>
      <c r="DTO15" s="55"/>
      <c r="DTP15" s="55"/>
      <c r="DTQ15" s="55"/>
      <c r="DTR15" s="55"/>
      <c r="DTS15" s="55"/>
      <c r="DTT15" s="55"/>
      <c r="DTU15" s="55"/>
      <c r="DTV15" s="55"/>
      <c r="DTW15" s="55"/>
      <c r="DTX15" s="55"/>
      <c r="DTY15" s="55"/>
      <c r="DTZ15" s="55"/>
      <c r="DUA15" s="55"/>
      <c r="DUB15" s="55"/>
      <c r="DUC15" s="55"/>
      <c r="DUD15" s="55"/>
      <c r="DUE15" s="55"/>
      <c r="DUF15" s="55"/>
      <c r="DUG15" s="55"/>
      <c r="DUH15" s="55"/>
      <c r="DUI15" s="55"/>
      <c r="DUJ15" s="55"/>
      <c r="DUK15" s="55"/>
      <c r="DUL15" s="55"/>
      <c r="DUM15" s="55"/>
      <c r="DUN15" s="55"/>
      <c r="DUO15" s="55"/>
      <c r="DUP15" s="55"/>
      <c r="DUQ15" s="55"/>
      <c r="DUR15" s="55"/>
      <c r="DUS15" s="55"/>
      <c r="DUT15" s="55"/>
      <c r="DUU15" s="55"/>
      <c r="DUV15" s="55"/>
      <c r="DUW15" s="55"/>
      <c r="DUX15" s="55"/>
      <c r="DUY15" s="55"/>
      <c r="DUZ15" s="55"/>
      <c r="DVA15" s="55"/>
      <c r="DVB15" s="55"/>
      <c r="DVC15" s="55"/>
      <c r="DVD15" s="55"/>
      <c r="DVE15" s="55"/>
      <c r="DVF15" s="55"/>
      <c r="DVG15" s="55"/>
      <c r="DVH15" s="55"/>
      <c r="DVI15" s="55"/>
      <c r="DVJ15" s="55"/>
      <c r="DVK15" s="55"/>
      <c r="DVL15" s="55"/>
      <c r="DVM15" s="55"/>
      <c r="DVN15" s="55"/>
      <c r="DVO15" s="55"/>
      <c r="DVP15" s="55"/>
      <c r="DVQ15" s="55"/>
      <c r="DVR15" s="55"/>
      <c r="DVS15" s="55"/>
      <c r="DVT15" s="55"/>
      <c r="DVU15" s="55"/>
      <c r="DVV15" s="55"/>
      <c r="DVW15" s="55"/>
      <c r="DVX15" s="55"/>
      <c r="DVY15" s="55"/>
      <c r="DVZ15" s="55"/>
      <c r="DWA15" s="55"/>
      <c r="DWB15" s="55"/>
      <c r="DWC15" s="55"/>
      <c r="DWD15" s="55"/>
      <c r="DWE15" s="55"/>
      <c r="DWF15" s="55"/>
      <c r="DWG15" s="55"/>
      <c r="DWH15" s="55"/>
      <c r="DWI15" s="55"/>
      <c r="DWJ15" s="55"/>
      <c r="DWK15" s="55"/>
      <c r="DWL15" s="55"/>
      <c r="DWM15" s="55"/>
      <c r="DWN15" s="55"/>
      <c r="DWO15" s="55"/>
      <c r="DWP15" s="55"/>
      <c r="DWQ15" s="55"/>
      <c r="DWR15" s="55"/>
      <c r="DWS15" s="55"/>
      <c r="DWT15" s="55"/>
      <c r="DWU15" s="55"/>
      <c r="DWV15" s="55"/>
      <c r="DWW15" s="55"/>
      <c r="DWX15" s="55"/>
      <c r="DWY15" s="55"/>
      <c r="DWZ15" s="55"/>
      <c r="DXA15" s="55"/>
      <c r="DXB15" s="55"/>
      <c r="DXC15" s="55"/>
      <c r="DXD15" s="55"/>
      <c r="DXE15" s="55"/>
      <c r="DXF15" s="55"/>
      <c r="DXG15" s="55"/>
      <c r="DXH15" s="55"/>
      <c r="DXI15" s="55"/>
      <c r="DXJ15" s="55"/>
      <c r="DXK15" s="55"/>
      <c r="DXL15" s="55"/>
      <c r="DXM15" s="55"/>
      <c r="DXN15" s="55"/>
      <c r="DXO15" s="55"/>
      <c r="DXP15" s="55"/>
      <c r="DXQ15" s="55"/>
      <c r="DXR15" s="55"/>
      <c r="DXS15" s="55"/>
      <c r="DXT15" s="55"/>
      <c r="DXU15" s="55"/>
      <c r="DXV15" s="55"/>
      <c r="DXW15" s="55"/>
      <c r="DXX15" s="55"/>
      <c r="DXY15" s="55"/>
      <c r="DXZ15" s="55"/>
      <c r="DYA15" s="55"/>
      <c r="DYB15" s="55"/>
      <c r="DYC15" s="55"/>
      <c r="DYD15" s="55"/>
      <c r="DYE15" s="55"/>
      <c r="DYF15" s="55"/>
      <c r="DYG15" s="55"/>
      <c r="DYH15" s="55"/>
      <c r="DYI15" s="55"/>
      <c r="DYJ15" s="55"/>
      <c r="DYK15" s="55"/>
      <c r="DYL15" s="55"/>
      <c r="DYM15" s="55"/>
      <c r="DYN15" s="55"/>
      <c r="DYO15" s="55"/>
      <c r="DYP15" s="55"/>
      <c r="DYQ15" s="55"/>
      <c r="DYR15" s="55"/>
      <c r="DYS15" s="55"/>
      <c r="DYT15" s="55"/>
      <c r="DYU15" s="55"/>
      <c r="DYV15" s="55"/>
      <c r="DYW15" s="55"/>
      <c r="DYX15" s="55"/>
      <c r="DYY15" s="55"/>
      <c r="DYZ15" s="55"/>
      <c r="DZA15" s="55"/>
      <c r="DZB15" s="55"/>
      <c r="DZC15" s="55"/>
      <c r="DZD15" s="55"/>
      <c r="DZE15" s="55"/>
      <c r="DZF15" s="55"/>
      <c r="DZG15" s="55"/>
      <c r="DZH15" s="55"/>
      <c r="DZI15" s="55"/>
      <c r="DZJ15" s="55"/>
      <c r="DZK15" s="55"/>
      <c r="DZL15" s="55"/>
      <c r="DZM15" s="55"/>
      <c r="DZN15" s="55"/>
      <c r="DZO15" s="55"/>
      <c r="DZP15" s="55"/>
      <c r="DZQ15" s="55"/>
      <c r="DZR15" s="55"/>
      <c r="DZS15" s="55"/>
      <c r="DZT15" s="55"/>
      <c r="DZU15" s="55"/>
      <c r="DZV15" s="55"/>
      <c r="DZW15" s="55"/>
      <c r="DZX15" s="55"/>
      <c r="DZY15" s="55"/>
      <c r="DZZ15" s="55"/>
      <c r="EAA15" s="55"/>
      <c r="EAB15" s="55"/>
      <c r="EAC15" s="55"/>
      <c r="EAD15" s="55"/>
      <c r="EAE15" s="55"/>
      <c r="EAF15" s="55"/>
      <c r="EAG15" s="55"/>
      <c r="EAH15" s="55"/>
      <c r="EAI15" s="55"/>
      <c r="EAJ15" s="55"/>
      <c r="EAK15" s="55"/>
      <c r="EAL15" s="55"/>
      <c r="EAM15" s="55"/>
      <c r="EAN15" s="55"/>
      <c r="EAO15" s="55"/>
      <c r="EAP15" s="55"/>
      <c r="EAQ15" s="55"/>
      <c r="EAR15" s="55"/>
      <c r="EAS15" s="55"/>
      <c r="EAT15" s="55"/>
      <c r="EAU15" s="55"/>
      <c r="EAV15" s="55"/>
      <c r="EAW15" s="55"/>
      <c r="EAX15" s="55"/>
      <c r="EAY15" s="55"/>
      <c r="EAZ15" s="55"/>
      <c r="EBA15" s="55"/>
      <c r="EBB15" s="55"/>
      <c r="EBC15" s="55"/>
      <c r="EBD15" s="55"/>
      <c r="EBE15" s="55"/>
      <c r="EBF15" s="55"/>
      <c r="EBG15" s="55"/>
      <c r="EBH15" s="55"/>
      <c r="EBI15" s="55"/>
      <c r="EBJ15" s="55"/>
      <c r="EBK15" s="55"/>
      <c r="EBL15" s="55"/>
      <c r="EBM15" s="55"/>
      <c r="EBN15" s="55"/>
      <c r="EBO15" s="55"/>
      <c r="EBP15" s="55"/>
      <c r="EBQ15" s="55"/>
      <c r="EBR15" s="55"/>
      <c r="EBS15" s="55"/>
      <c r="EBT15" s="55"/>
      <c r="EBU15" s="55"/>
      <c r="EBV15" s="55"/>
      <c r="EBW15" s="55"/>
      <c r="EBX15" s="55"/>
      <c r="EBY15" s="55"/>
      <c r="EBZ15" s="55"/>
      <c r="ECA15" s="55"/>
      <c r="ECB15" s="55"/>
      <c r="ECC15" s="55"/>
      <c r="ECD15" s="55"/>
      <c r="ECE15" s="55"/>
      <c r="ECF15" s="55"/>
      <c r="ECG15" s="55"/>
      <c r="ECH15" s="55"/>
      <c r="ECI15" s="55"/>
      <c r="ECJ15" s="55"/>
      <c r="ECK15" s="55"/>
      <c r="ECL15" s="55"/>
      <c r="ECM15" s="55"/>
      <c r="ECN15" s="55"/>
      <c r="ECO15" s="55"/>
      <c r="ECP15" s="55"/>
      <c r="ECQ15" s="55"/>
      <c r="ECR15" s="55"/>
      <c r="ECS15" s="55"/>
      <c r="ECT15" s="55"/>
      <c r="ECU15" s="55"/>
      <c r="ECV15" s="55"/>
      <c r="ECW15" s="55"/>
      <c r="ECX15" s="55"/>
      <c r="ECY15" s="55"/>
      <c r="ECZ15" s="55"/>
      <c r="EDA15" s="55"/>
      <c r="EDB15" s="55"/>
      <c r="EDC15" s="55"/>
      <c r="EDD15" s="55"/>
      <c r="EDE15" s="55"/>
      <c r="EDF15" s="55"/>
      <c r="EDG15" s="55"/>
      <c r="EDH15" s="55"/>
      <c r="EDI15" s="55"/>
      <c r="EDJ15" s="55"/>
      <c r="EDK15" s="55"/>
      <c r="EDL15" s="55"/>
      <c r="EDM15" s="55"/>
      <c r="EDN15" s="55"/>
      <c r="EDO15" s="55"/>
      <c r="EDP15" s="55"/>
      <c r="EDQ15" s="55"/>
      <c r="EDR15" s="55"/>
      <c r="EDS15" s="55"/>
      <c r="EDT15" s="55"/>
      <c r="EDU15" s="55"/>
      <c r="EDV15" s="55"/>
      <c r="EDW15" s="55"/>
      <c r="EDX15" s="55"/>
      <c r="EDY15" s="55"/>
      <c r="EDZ15" s="55"/>
      <c r="EEA15" s="55"/>
      <c r="EEB15" s="55"/>
      <c r="EEC15" s="55"/>
      <c r="EED15" s="55"/>
      <c r="EEE15" s="55"/>
      <c r="EEF15" s="55"/>
      <c r="EEG15" s="55"/>
      <c r="EEH15" s="55"/>
      <c r="EEI15" s="55"/>
      <c r="EEJ15" s="55"/>
      <c r="EEK15" s="55"/>
      <c r="EEL15" s="55"/>
      <c r="EEM15" s="55"/>
      <c r="EEN15" s="55"/>
      <c r="EEO15" s="55"/>
      <c r="EEP15" s="55"/>
      <c r="EEQ15" s="55"/>
      <c r="EER15" s="55"/>
      <c r="EES15" s="55"/>
      <c r="EET15" s="55"/>
      <c r="EEU15" s="55"/>
      <c r="EEV15" s="55"/>
      <c r="EEW15" s="55"/>
      <c r="EEX15" s="55"/>
      <c r="EEY15" s="55"/>
      <c r="EEZ15" s="55"/>
      <c r="EFA15" s="55"/>
      <c r="EFB15" s="55"/>
      <c r="EFC15" s="55"/>
      <c r="EFD15" s="55"/>
      <c r="EFE15" s="55"/>
      <c r="EFF15" s="55"/>
      <c r="EFG15" s="55"/>
      <c r="EFH15" s="55"/>
      <c r="EFI15" s="55"/>
      <c r="EFJ15" s="55"/>
      <c r="EFK15" s="55"/>
      <c r="EFL15" s="55"/>
      <c r="EFM15" s="55"/>
      <c r="EFN15" s="55"/>
      <c r="EFO15" s="55"/>
      <c r="EFP15" s="55"/>
      <c r="EFQ15" s="55"/>
      <c r="EFR15" s="55"/>
      <c r="EFS15" s="55"/>
      <c r="EFT15" s="55"/>
      <c r="EFU15" s="55"/>
      <c r="EFV15" s="55"/>
      <c r="EFW15" s="55"/>
      <c r="EFX15" s="55"/>
      <c r="EFY15" s="55"/>
      <c r="EFZ15" s="55"/>
      <c r="EGA15" s="55"/>
      <c r="EGB15" s="55"/>
      <c r="EGC15" s="55"/>
      <c r="EGD15" s="55"/>
      <c r="EGE15" s="55"/>
      <c r="EGF15" s="55"/>
      <c r="EGG15" s="55"/>
      <c r="EGH15" s="55"/>
      <c r="EGI15" s="55"/>
      <c r="EGJ15" s="55"/>
      <c r="EGK15" s="55"/>
      <c r="EGL15" s="55"/>
      <c r="EGM15" s="55"/>
      <c r="EGN15" s="55"/>
      <c r="EGO15" s="55"/>
      <c r="EGP15" s="55"/>
      <c r="EGQ15" s="55"/>
      <c r="EGR15" s="55"/>
      <c r="EGS15" s="55"/>
      <c r="EGT15" s="55"/>
      <c r="EGU15" s="55"/>
      <c r="EGV15" s="55"/>
      <c r="EGW15" s="55"/>
      <c r="EGX15" s="55"/>
      <c r="EGY15" s="55"/>
      <c r="EGZ15" s="55"/>
      <c r="EHA15" s="55"/>
      <c r="EHB15" s="55"/>
      <c r="EHC15" s="55"/>
      <c r="EHD15" s="55"/>
      <c r="EHE15" s="55"/>
      <c r="EHF15" s="55"/>
      <c r="EHG15" s="55"/>
      <c r="EHH15" s="55"/>
      <c r="EHI15" s="55"/>
      <c r="EHJ15" s="55"/>
      <c r="EHK15" s="55"/>
      <c r="EHL15" s="55"/>
      <c r="EHM15" s="55"/>
      <c r="EHN15" s="55"/>
      <c r="EHO15" s="55"/>
      <c r="EHP15" s="55"/>
      <c r="EHQ15" s="55"/>
      <c r="EHR15" s="55"/>
      <c r="EHS15" s="55"/>
      <c r="EHT15" s="55"/>
      <c r="EHU15" s="55"/>
      <c r="EHV15" s="55"/>
      <c r="EHW15" s="55"/>
      <c r="EHX15" s="55"/>
      <c r="EHY15" s="55"/>
      <c r="EHZ15" s="55"/>
      <c r="EIA15" s="55"/>
      <c r="EIB15" s="55"/>
      <c r="EIC15" s="55"/>
      <c r="EID15" s="55"/>
      <c r="EIE15" s="55"/>
      <c r="EIF15" s="55"/>
      <c r="EIG15" s="55"/>
      <c r="EIH15" s="55"/>
      <c r="EII15" s="55"/>
      <c r="EIJ15" s="55"/>
      <c r="EIK15" s="55"/>
      <c r="EIL15" s="55"/>
      <c r="EIM15" s="55"/>
      <c r="EIN15" s="55"/>
      <c r="EIO15" s="55"/>
      <c r="EIP15" s="55"/>
      <c r="EIQ15" s="55"/>
      <c r="EIR15" s="55"/>
      <c r="EIS15" s="55"/>
      <c r="EIT15" s="55"/>
      <c r="EIU15" s="55"/>
      <c r="EIV15" s="55"/>
      <c r="EIW15" s="55"/>
      <c r="EIX15" s="55"/>
      <c r="EIY15" s="55"/>
      <c r="EIZ15" s="55"/>
      <c r="EJA15" s="55"/>
      <c r="EJB15" s="55"/>
      <c r="EJC15" s="55"/>
      <c r="EJD15" s="55"/>
      <c r="EJE15" s="55"/>
      <c r="EJF15" s="55"/>
      <c r="EJG15" s="55"/>
      <c r="EJH15" s="55"/>
      <c r="EJI15" s="55"/>
      <c r="EJJ15" s="55"/>
      <c r="EJK15" s="55"/>
      <c r="EJL15" s="55"/>
      <c r="EJM15" s="55"/>
      <c r="EJN15" s="55"/>
      <c r="EJO15" s="55"/>
      <c r="EJP15" s="55"/>
      <c r="EJQ15" s="55"/>
      <c r="EJR15" s="55"/>
      <c r="EJS15" s="55"/>
      <c r="EJT15" s="55"/>
      <c r="EJU15" s="55"/>
      <c r="EJV15" s="55"/>
      <c r="EJW15" s="55"/>
      <c r="EJX15" s="55"/>
      <c r="EJY15" s="55"/>
      <c r="EJZ15" s="55"/>
      <c r="EKA15" s="55"/>
      <c r="EKB15" s="55"/>
      <c r="EKC15" s="55"/>
      <c r="EKD15" s="55"/>
      <c r="EKE15" s="55"/>
      <c r="EKF15" s="55"/>
      <c r="EKG15" s="55"/>
      <c r="EKH15" s="55"/>
      <c r="EKI15" s="55"/>
      <c r="EKJ15" s="55"/>
      <c r="EKK15" s="55"/>
      <c r="EKL15" s="55"/>
      <c r="EKM15" s="55"/>
      <c r="EKN15" s="55"/>
      <c r="EKO15" s="55"/>
      <c r="EKP15" s="55"/>
      <c r="EKQ15" s="55"/>
      <c r="EKR15" s="55"/>
      <c r="EKS15" s="55"/>
      <c r="EKT15" s="55"/>
      <c r="EKU15" s="55"/>
      <c r="EKV15" s="55"/>
      <c r="EKW15" s="55"/>
      <c r="EKX15" s="55"/>
      <c r="EKY15" s="55"/>
      <c r="EKZ15" s="55"/>
      <c r="ELA15" s="55"/>
      <c r="ELB15" s="55"/>
      <c r="ELC15" s="55"/>
      <c r="ELD15" s="55"/>
      <c r="ELE15" s="55"/>
      <c r="ELF15" s="55"/>
      <c r="ELG15" s="55"/>
      <c r="ELH15" s="55"/>
      <c r="ELI15" s="55"/>
      <c r="ELJ15" s="55"/>
      <c r="ELK15" s="55"/>
      <c r="ELL15" s="55"/>
      <c r="ELM15" s="55"/>
      <c r="ELN15" s="55"/>
      <c r="ELO15" s="55"/>
      <c r="ELP15" s="55"/>
      <c r="ELQ15" s="55"/>
      <c r="ELR15" s="55"/>
      <c r="ELS15" s="55"/>
      <c r="ELT15" s="55"/>
      <c r="ELU15" s="55"/>
      <c r="ELV15" s="55"/>
      <c r="ELW15" s="55"/>
      <c r="ELX15" s="55"/>
      <c r="ELY15" s="55"/>
      <c r="ELZ15" s="55"/>
      <c r="EMA15" s="55"/>
      <c r="EMB15" s="55"/>
      <c r="EMC15" s="55"/>
      <c r="EMD15" s="55"/>
      <c r="EME15" s="55"/>
      <c r="EMF15" s="55"/>
      <c r="EMG15" s="55"/>
      <c r="EMH15" s="55"/>
      <c r="EMI15" s="55"/>
      <c r="EMJ15" s="55"/>
      <c r="EMK15" s="55"/>
      <c r="EML15" s="55"/>
      <c r="EMM15" s="55"/>
      <c r="EMN15" s="55"/>
      <c r="EMO15" s="55"/>
      <c r="EMP15" s="55"/>
      <c r="EMQ15" s="55"/>
      <c r="EMR15" s="55"/>
      <c r="EMS15" s="55"/>
      <c r="EMT15" s="55"/>
      <c r="EMU15" s="55"/>
      <c r="EMV15" s="55"/>
      <c r="EMW15" s="55"/>
      <c r="EMX15" s="55"/>
      <c r="EMY15" s="55"/>
      <c r="EMZ15" s="55"/>
      <c r="ENA15" s="55"/>
      <c r="ENB15" s="55"/>
      <c r="ENC15" s="55"/>
      <c r="END15" s="55"/>
      <c r="ENE15" s="55"/>
      <c r="ENF15" s="55"/>
      <c r="ENG15" s="55"/>
      <c r="ENH15" s="55"/>
      <c r="ENI15" s="55"/>
      <c r="ENJ15" s="55"/>
      <c r="ENK15" s="55"/>
      <c r="ENL15" s="55"/>
      <c r="ENM15" s="55"/>
      <c r="ENN15" s="55"/>
      <c r="ENO15" s="55"/>
      <c r="ENP15" s="55"/>
      <c r="ENQ15" s="55"/>
      <c r="ENR15" s="55"/>
      <c r="ENS15" s="55"/>
      <c r="ENT15" s="55"/>
      <c r="ENU15" s="55"/>
      <c r="ENV15" s="55"/>
      <c r="ENW15" s="55"/>
      <c r="ENX15" s="55"/>
      <c r="ENY15" s="55"/>
      <c r="ENZ15" s="55"/>
      <c r="EOA15" s="55"/>
      <c r="EOB15" s="55"/>
      <c r="EOC15" s="55"/>
      <c r="EOD15" s="55"/>
      <c r="EOE15" s="55"/>
      <c r="EOF15" s="55"/>
      <c r="EOG15" s="55"/>
      <c r="EOH15" s="55"/>
      <c r="EOI15" s="55"/>
      <c r="EOJ15" s="55"/>
      <c r="EOK15" s="55"/>
      <c r="EOL15" s="55"/>
      <c r="EOM15" s="55"/>
      <c r="EON15" s="55"/>
      <c r="EOO15" s="55"/>
      <c r="EOP15" s="55"/>
      <c r="EOQ15" s="55"/>
      <c r="EOR15" s="55"/>
      <c r="EOS15" s="55"/>
      <c r="EOT15" s="55"/>
      <c r="EOU15" s="55"/>
      <c r="EOV15" s="55"/>
      <c r="EOW15" s="55"/>
      <c r="EOX15" s="55"/>
      <c r="EOY15" s="55"/>
      <c r="EOZ15" s="55"/>
      <c r="EPA15" s="55"/>
      <c r="EPB15" s="55"/>
      <c r="EPC15" s="55"/>
      <c r="EPD15" s="55"/>
      <c r="EPE15" s="55"/>
      <c r="EPF15" s="55"/>
      <c r="EPG15" s="55"/>
      <c r="EPH15" s="55"/>
      <c r="EPI15" s="55"/>
      <c r="EPJ15" s="55"/>
      <c r="EPK15" s="55"/>
      <c r="EPL15" s="55"/>
      <c r="EPM15" s="55"/>
      <c r="EPN15" s="55"/>
      <c r="EPO15" s="55"/>
      <c r="EPP15" s="55"/>
      <c r="EPQ15" s="55"/>
      <c r="EPR15" s="55"/>
      <c r="EPS15" s="55"/>
      <c r="EPT15" s="55"/>
      <c r="EPU15" s="55"/>
      <c r="EPV15" s="55"/>
      <c r="EPW15" s="55"/>
      <c r="EPX15" s="55"/>
      <c r="EPY15" s="55"/>
      <c r="EPZ15" s="55"/>
      <c r="EQA15" s="55"/>
      <c r="EQB15" s="55"/>
      <c r="EQC15" s="55"/>
      <c r="EQD15" s="55"/>
      <c r="EQE15" s="55"/>
      <c r="EQF15" s="55"/>
      <c r="EQG15" s="55"/>
      <c r="EQH15" s="55"/>
      <c r="EQI15" s="55"/>
      <c r="EQJ15" s="55"/>
      <c r="EQK15" s="55"/>
      <c r="EQL15" s="55"/>
      <c r="EQM15" s="55"/>
      <c r="EQN15" s="55"/>
      <c r="EQO15" s="55"/>
      <c r="EQP15" s="55"/>
      <c r="EQQ15" s="55"/>
      <c r="EQR15" s="55"/>
      <c r="EQS15" s="55"/>
      <c r="EQT15" s="55"/>
      <c r="EQU15" s="55"/>
      <c r="EQV15" s="55"/>
      <c r="EQW15" s="55"/>
      <c r="EQX15" s="55"/>
      <c r="EQY15" s="55"/>
      <c r="EQZ15" s="55"/>
      <c r="ERA15" s="55"/>
      <c r="ERB15" s="55"/>
      <c r="ERC15" s="55"/>
      <c r="ERD15" s="55"/>
      <c r="ERE15" s="55"/>
      <c r="ERF15" s="55"/>
      <c r="ERG15" s="55"/>
      <c r="ERH15" s="55"/>
      <c r="ERI15" s="55"/>
      <c r="ERJ15" s="55"/>
      <c r="ERK15" s="55"/>
      <c r="ERL15" s="55"/>
      <c r="ERM15" s="55"/>
      <c r="ERN15" s="55"/>
      <c r="ERO15" s="55"/>
      <c r="ERP15" s="55"/>
      <c r="ERQ15" s="55"/>
      <c r="ERR15" s="55"/>
      <c r="ERS15" s="55"/>
      <c r="ERT15" s="55"/>
      <c r="ERU15" s="55"/>
      <c r="ERV15" s="55"/>
      <c r="ERW15" s="55"/>
      <c r="ERX15" s="55"/>
      <c r="ERY15" s="55"/>
      <c r="ERZ15" s="55"/>
      <c r="ESA15" s="55"/>
      <c r="ESB15" s="55"/>
      <c r="ESC15" s="55"/>
      <c r="ESD15" s="55"/>
      <c r="ESE15" s="55"/>
      <c r="ESF15" s="55"/>
      <c r="ESG15" s="55"/>
      <c r="ESH15" s="55"/>
      <c r="ESI15" s="55"/>
      <c r="ESJ15" s="55"/>
      <c r="ESK15" s="55"/>
      <c r="ESL15" s="55"/>
      <c r="ESM15" s="55"/>
      <c r="ESN15" s="55"/>
      <c r="ESO15" s="55"/>
      <c r="ESP15" s="55"/>
      <c r="ESQ15" s="55"/>
      <c r="ESR15" s="55"/>
      <c r="ESS15" s="55"/>
      <c r="EST15" s="55"/>
      <c r="ESU15" s="55"/>
      <c r="ESV15" s="55"/>
      <c r="ESW15" s="55"/>
      <c r="ESX15" s="55"/>
      <c r="ESY15" s="55"/>
      <c r="ESZ15" s="55"/>
      <c r="ETA15" s="55"/>
      <c r="ETB15" s="55"/>
      <c r="ETC15" s="55"/>
      <c r="ETD15" s="55"/>
      <c r="ETE15" s="55"/>
      <c r="ETF15" s="55"/>
      <c r="ETG15" s="55"/>
      <c r="ETH15" s="55"/>
      <c r="ETI15" s="55"/>
      <c r="ETJ15" s="55"/>
      <c r="ETK15" s="55"/>
      <c r="ETL15" s="55"/>
      <c r="ETM15" s="55"/>
      <c r="ETN15" s="55"/>
      <c r="ETO15" s="55"/>
      <c r="ETP15" s="55"/>
      <c r="ETQ15" s="55"/>
      <c r="ETR15" s="55"/>
      <c r="ETS15" s="55"/>
      <c r="ETT15" s="55"/>
      <c r="ETU15" s="55"/>
      <c r="ETV15" s="55"/>
      <c r="ETW15" s="55"/>
      <c r="ETX15" s="55"/>
      <c r="ETY15" s="55"/>
      <c r="ETZ15" s="55"/>
      <c r="EUA15" s="55"/>
      <c r="EUB15" s="55"/>
      <c r="EUC15" s="55"/>
      <c r="EUD15" s="55"/>
      <c r="EUE15" s="55"/>
      <c r="EUF15" s="55"/>
      <c r="EUG15" s="55"/>
      <c r="EUH15" s="55"/>
      <c r="EUI15" s="55"/>
      <c r="EUJ15" s="55"/>
      <c r="EUK15" s="55"/>
      <c r="EUL15" s="55"/>
      <c r="EUM15" s="55"/>
      <c r="EUN15" s="55"/>
      <c r="EUO15" s="55"/>
      <c r="EUP15" s="55"/>
      <c r="EUQ15" s="55"/>
      <c r="EUR15" s="55"/>
      <c r="EUS15" s="55"/>
      <c r="EUT15" s="55"/>
      <c r="EUU15" s="55"/>
      <c r="EUV15" s="55"/>
      <c r="EUW15" s="55"/>
      <c r="EUX15" s="55"/>
      <c r="EUY15" s="55"/>
      <c r="EUZ15" s="55"/>
      <c r="EVA15" s="55"/>
      <c r="EVB15" s="55"/>
      <c r="EVC15" s="55"/>
      <c r="EVD15" s="55"/>
      <c r="EVE15" s="55"/>
      <c r="EVF15" s="55"/>
      <c r="EVG15" s="55"/>
      <c r="EVH15" s="55"/>
      <c r="EVI15" s="55"/>
      <c r="EVJ15" s="55"/>
      <c r="EVK15" s="55"/>
      <c r="EVL15" s="55"/>
      <c r="EVM15" s="55"/>
      <c r="EVN15" s="55"/>
      <c r="EVO15" s="55"/>
      <c r="EVP15" s="55"/>
      <c r="EVQ15" s="55"/>
      <c r="EVR15" s="55"/>
      <c r="EVS15" s="55"/>
      <c r="EVT15" s="55"/>
      <c r="EVU15" s="55"/>
      <c r="EVV15" s="55"/>
      <c r="EVW15" s="55"/>
      <c r="EVX15" s="55"/>
      <c r="EVY15" s="55"/>
      <c r="EVZ15" s="55"/>
      <c r="EWA15" s="55"/>
      <c r="EWB15" s="55"/>
      <c r="EWC15" s="55"/>
      <c r="EWD15" s="55"/>
      <c r="EWE15" s="55"/>
      <c r="EWF15" s="55"/>
      <c r="EWG15" s="55"/>
      <c r="EWH15" s="55"/>
      <c r="EWI15" s="55"/>
      <c r="EWJ15" s="55"/>
      <c r="EWK15" s="55"/>
      <c r="EWL15" s="55"/>
      <c r="EWM15" s="55"/>
      <c r="EWN15" s="55"/>
      <c r="EWO15" s="55"/>
      <c r="EWP15" s="55"/>
      <c r="EWQ15" s="55"/>
      <c r="EWR15" s="55"/>
      <c r="EWS15" s="55"/>
      <c r="EWT15" s="55"/>
      <c r="EWU15" s="55"/>
      <c r="EWV15" s="55"/>
      <c r="EWW15" s="55"/>
      <c r="EWX15" s="55"/>
      <c r="EWY15" s="55"/>
      <c r="EWZ15" s="55"/>
      <c r="EXA15" s="55"/>
      <c r="EXB15" s="55"/>
      <c r="EXC15" s="55"/>
      <c r="EXD15" s="55"/>
      <c r="EXE15" s="55"/>
      <c r="EXF15" s="55"/>
      <c r="EXG15" s="55"/>
      <c r="EXH15" s="55"/>
      <c r="EXI15" s="55"/>
      <c r="EXJ15" s="55"/>
      <c r="EXK15" s="55"/>
      <c r="EXL15" s="55"/>
      <c r="EXM15" s="55"/>
      <c r="EXN15" s="55"/>
      <c r="EXO15" s="55"/>
      <c r="EXP15" s="55"/>
      <c r="EXQ15" s="55"/>
      <c r="EXR15" s="55"/>
      <c r="EXS15" s="55"/>
      <c r="EXT15" s="55"/>
      <c r="EXU15" s="55"/>
      <c r="EXV15" s="55"/>
      <c r="EXW15" s="55"/>
      <c r="EXX15" s="55"/>
      <c r="EXY15" s="55"/>
      <c r="EXZ15" s="55"/>
      <c r="EYA15" s="55"/>
      <c r="EYB15" s="55"/>
      <c r="EYC15" s="55"/>
      <c r="EYD15" s="55"/>
      <c r="EYE15" s="55"/>
      <c r="EYF15" s="55"/>
      <c r="EYG15" s="55"/>
      <c r="EYH15" s="55"/>
      <c r="EYI15" s="55"/>
      <c r="EYJ15" s="55"/>
      <c r="EYK15" s="55"/>
      <c r="EYL15" s="55"/>
      <c r="EYM15" s="55"/>
      <c r="EYN15" s="55"/>
      <c r="EYO15" s="55"/>
      <c r="EYP15" s="55"/>
      <c r="EYQ15" s="55"/>
      <c r="EYR15" s="55"/>
      <c r="EYS15" s="55"/>
      <c r="EYT15" s="55"/>
      <c r="EYU15" s="55"/>
      <c r="EYV15" s="55"/>
      <c r="EYW15" s="55"/>
      <c r="EYX15" s="55"/>
      <c r="EYY15" s="55"/>
      <c r="EYZ15" s="55"/>
      <c r="EZA15" s="55"/>
      <c r="EZB15" s="55"/>
      <c r="EZC15" s="55"/>
      <c r="EZD15" s="55"/>
      <c r="EZE15" s="55"/>
      <c r="EZF15" s="55"/>
      <c r="EZG15" s="55"/>
      <c r="EZH15" s="55"/>
      <c r="EZI15" s="55"/>
      <c r="EZJ15" s="55"/>
      <c r="EZK15" s="55"/>
      <c r="EZL15" s="55"/>
      <c r="EZM15" s="55"/>
      <c r="EZN15" s="55"/>
      <c r="EZO15" s="55"/>
      <c r="EZP15" s="55"/>
      <c r="EZQ15" s="55"/>
      <c r="EZR15" s="55"/>
      <c r="EZS15" s="55"/>
      <c r="EZT15" s="55"/>
      <c r="EZU15" s="55"/>
      <c r="EZV15" s="55"/>
      <c r="EZW15" s="55"/>
      <c r="EZX15" s="55"/>
      <c r="EZY15" s="55"/>
      <c r="EZZ15" s="55"/>
      <c r="FAA15" s="55"/>
      <c r="FAB15" s="55"/>
      <c r="FAC15" s="55"/>
      <c r="FAD15" s="55"/>
      <c r="FAE15" s="55"/>
      <c r="FAF15" s="55"/>
      <c r="FAG15" s="55"/>
      <c r="FAH15" s="55"/>
      <c r="FAI15" s="55"/>
      <c r="FAJ15" s="55"/>
      <c r="FAK15" s="55"/>
      <c r="FAL15" s="55"/>
      <c r="FAM15" s="55"/>
      <c r="FAN15" s="55"/>
      <c r="FAO15" s="55"/>
      <c r="FAP15" s="55"/>
      <c r="FAQ15" s="55"/>
      <c r="FAR15" s="55"/>
      <c r="FAS15" s="55"/>
      <c r="FAT15" s="55"/>
      <c r="FAU15" s="55"/>
      <c r="FAV15" s="55"/>
      <c r="FAW15" s="55"/>
      <c r="FAX15" s="55"/>
      <c r="FAY15" s="55"/>
      <c r="FAZ15" s="55"/>
      <c r="FBA15" s="55"/>
      <c r="FBB15" s="55"/>
      <c r="FBC15" s="55"/>
      <c r="FBD15" s="55"/>
      <c r="FBE15" s="55"/>
      <c r="FBF15" s="55"/>
      <c r="FBG15" s="55"/>
      <c r="FBH15" s="55"/>
      <c r="FBI15" s="55"/>
      <c r="FBJ15" s="55"/>
      <c r="FBK15" s="55"/>
      <c r="FBL15" s="55"/>
      <c r="FBM15" s="55"/>
      <c r="FBN15" s="55"/>
      <c r="FBO15" s="55"/>
      <c r="FBP15" s="55"/>
      <c r="FBQ15" s="55"/>
      <c r="FBR15" s="55"/>
      <c r="FBS15" s="55"/>
      <c r="FBT15" s="55"/>
      <c r="FBU15" s="55"/>
      <c r="FBV15" s="55"/>
      <c r="FBW15" s="55"/>
      <c r="FBX15" s="55"/>
      <c r="FBY15" s="55"/>
      <c r="FBZ15" s="55"/>
      <c r="FCA15" s="55"/>
      <c r="FCB15" s="55"/>
      <c r="FCC15" s="55"/>
      <c r="FCD15" s="55"/>
      <c r="FCE15" s="55"/>
      <c r="FCF15" s="55"/>
      <c r="FCG15" s="55"/>
      <c r="FCH15" s="55"/>
      <c r="FCI15" s="55"/>
      <c r="FCJ15" s="55"/>
      <c r="FCK15" s="55"/>
      <c r="FCL15" s="55"/>
      <c r="FCM15" s="55"/>
      <c r="FCN15" s="55"/>
      <c r="FCO15" s="55"/>
      <c r="FCP15" s="55"/>
      <c r="FCQ15" s="55"/>
      <c r="FCR15" s="55"/>
      <c r="FCS15" s="55"/>
      <c r="FCT15" s="55"/>
      <c r="FCU15" s="55"/>
      <c r="FCV15" s="55"/>
      <c r="FCW15" s="55"/>
      <c r="FCX15" s="55"/>
      <c r="FCY15" s="55"/>
      <c r="FCZ15" s="55"/>
      <c r="FDA15" s="55"/>
      <c r="FDB15" s="55"/>
      <c r="FDC15" s="55"/>
      <c r="FDD15" s="55"/>
      <c r="FDE15" s="55"/>
      <c r="FDF15" s="55"/>
      <c r="FDG15" s="55"/>
      <c r="FDH15" s="55"/>
      <c r="FDI15" s="55"/>
      <c r="FDJ15" s="55"/>
      <c r="FDK15" s="55"/>
      <c r="FDL15" s="55"/>
      <c r="FDM15" s="55"/>
      <c r="FDN15" s="55"/>
      <c r="FDO15" s="55"/>
      <c r="FDP15" s="55"/>
      <c r="FDQ15" s="55"/>
      <c r="FDR15" s="55"/>
      <c r="FDS15" s="55"/>
      <c r="FDT15" s="55"/>
      <c r="FDU15" s="55"/>
      <c r="FDV15" s="55"/>
      <c r="FDW15" s="55"/>
      <c r="FDX15" s="55"/>
      <c r="FDY15" s="55"/>
      <c r="FDZ15" s="55"/>
      <c r="FEA15" s="55"/>
      <c r="FEB15" s="55"/>
      <c r="FEC15" s="55"/>
      <c r="FED15" s="55"/>
      <c r="FEE15" s="55"/>
      <c r="FEF15" s="55"/>
      <c r="FEG15" s="55"/>
      <c r="FEH15" s="55"/>
      <c r="FEI15" s="55"/>
      <c r="FEJ15" s="55"/>
      <c r="FEK15" s="55"/>
      <c r="FEL15" s="55"/>
      <c r="FEM15" s="55"/>
      <c r="FEN15" s="55"/>
      <c r="FEO15" s="55"/>
      <c r="FEP15" s="55"/>
      <c r="FEQ15" s="55"/>
      <c r="FER15" s="55"/>
      <c r="FES15" s="55"/>
      <c r="FET15" s="55"/>
      <c r="FEU15" s="55"/>
      <c r="FEV15" s="55"/>
      <c r="FEW15" s="55"/>
      <c r="FEX15" s="55"/>
      <c r="FEY15" s="55"/>
      <c r="FEZ15" s="55"/>
      <c r="FFA15" s="55"/>
      <c r="FFB15" s="55"/>
      <c r="FFC15" s="55"/>
      <c r="FFD15" s="55"/>
      <c r="FFE15" s="55"/>
      <c r="FFF15" s="55"/>
      <c r="FFG15" s="55"/>
      <c r="FFH15" s="55"/>
      <c r="FFI15" s="55"/>
      <c r="FFJ15" s="55"/>
      <c r="FFK15" s="55"/>
      <c r="FFL15" s="55"/>
      <c r="FFM15" s="55"/>
      <c r="FFN15" s="55"/>
      <c r="FFO15" s="55"/>
      <c r="FFP15" s="55"/>
      <c r="FFQ15" s="55"/>
      <c r="FFR15" s="55"/>
      <c r="FFS15" s="55"/>
      <c r="FFT15" s="55"/>
      <c r="FFU15" s="55"/>
      <c r="FFV15" s="55"/>
      <c r="FFW15" s="55"/>
      <c r="FFX15" s="55"/>
      <c r="FFY15" s="55"/>
      <c r="FFZ15" s="55"/>
      <c r="FGA15" s="55"/>
      <c r="FGB15" s="55"/>
      <c r="FGC15" s="55"/>
      <c r="FGD15" s="55"/>
      <c r="FGE15" s="55"/>
      <c r="FGF15" s="55"/>
      <c r="FGG15" s="55"/>
      <c r="FGH15" s="55"/>
      <c r="FGI15" s="55"/>
      <c r="FGJ15" s="55"/>
      <c r="FGK15" s="55"/>
      <c r="FGL15" s="55"/>
      <c r="FGM15" s="55"/>
      <c r="FGN15" s="55"/>
      <c r="FGO15" s="55"/>
      <c r="FGP15" s="55"/>
      <c r="FGQ15" s="55"/>
      <c r="FGR15" s="55"/>
      <c r="FGS15" s="55"/>
      <c r="FGT15" s="55"/>
      <c r="FGU15" s="55"/>
      <c r="FGV15" s="55"/>
      <c r="FGW15" s="55"/>
      <c r="FGX15" s="55"/>
      <c r="FGY15" s="55"/>
      <c r="FGZ15" s="55"/>
      <c r="FHA15" s="55"/>
      <c r="FHB15" s="55"/>
      <c r="FHC15" s="55"/>
      <c r="FHD15" s="55"/>
      <c r="FHE15" s="55"/>
      <c r="FHF15" s="55"/>
      <c r="FHG15" s="55"/>
      <c r="FHH15" s="55"/>
      <c r="FHI15" s="55"/>
      <c r="FHJ15" s="55"/>
      <c r="FHK15" s="55"/>
      <c r="FHL15" s="55"/>
      <c r="FHM15" s="55"/>
      <c r="FHN15" s="55"/>
      <c r="FHO15" s="55"/>
      <c r="FHP15" s="55"/>
      <c r="FHQ15" s="55"/>
      <c r="FHR15" s="55"/>
      <c r="FHS15" s="55"/>
      <c r="FHT15" s="55"/>
      <c r="FHU15" s="55"/>
      <c r="FHV15" s="55"/>
      <c r="FHW15" s="55"/>
      <c r="FHX15" s="55"/>
      <c r="FHY15" s="55"/>
      <c r="FHZ15" s="55"/>
      <c r="FIA15" s="55"/>
      <c r="FIB15" s="55"/>
      <c r="FIC15" s="55"/>
      <c r="FID15" s="55"/>
      <c r="FIE15" s="55"/>
      <c r="FIF15" s="55"/>
      <c r="FIG15" s="55"/>
      <c r="FIH15" s="55"/>
      <c r="FII15" s="55"/>
      <c r="FIJ15" s="55"/>
      <c r="FIK15" s="55"/>
      <c r="FIL15" s="55"/>
      <c r="FIM15" s="55"/>
      <c r="FIN15" s="55"/>
      <c r="FIO15" s="55"/>
      <c r="FIP15" s="55"/>
      <c r="FIQ15" s="55"/>
      <c r="FIR15" s="55"/>
      <c r="FIS15" s="55"/>
      <c r="FIT15" s="55"/>
      <c r="FIU15" s="55"/>
      <c r="FIV15" s="55"/>
      <c r="FIW15" s="55"/>
      <c r="FIX15" s="55"/>
      <c r="FIY15" s="55"/>
      <c r="FIZ15" s="55"/>
      <c r="FJA15" s="55"/>
      <c r="FJB15" s="55"/>
      <c r="FJC15" s="55"/>
      <c r="FJD15" s="55"/>
      <c r="FJE15" s="55"/>
      <c r="FJF15" s="55"/>
      <c r="FJG15" s="55"/>
      <c r="FJH15" s="55"/>
      <c r="FJI15" s="55"/>
      <c r="FJJ15" s="55"/>
      <c r="FJK15" s="55"/>
      <c r="FJL15" s="55"/>
      <c r="FJM15" s="55"/>
      <c r="FJN15" s="55"/>
      <c r="FJO15" s="55"/>
      <c r="FJP15" s="55"/>
      <c r="FJQ15" s="55"/>
      <c r="FJR15" s="55"/>
      <c r="FJS15" s="55"/>
      <c r="FJT15" s="55"/>
      <c r="FJU15" s="55"/>
      <c r="FJV15" s="55"/>
      <c r="FJW15" s="55"/>
      <c r="FJX15" s="55"/>
      <c r="FJY15" s="55"/>
      <c r="FJZ15" s="55"/>
      <c r="FKA15" s="55"/>
      <c r="FKB15" s="55"/>
      <c r="FKC15" s="55"/>
      <c r="FKD15" s="55"/>
      <c r="FKE15" s="55"/>
      <c r="FKF15" s="55"/>
      <c r="FKG15" s="55"/>
      <c r="FKH15" s="55"/>
      <c r="FKI15" s="55"/>
      <c r="FKJ15" s="55"/>
      <c r="FKK15" s="55"/>
      <c r="FKL15" s="55"/>
      <c r="FKM15" s="55"/>
      <c r="FKN15" s="55"/>
      <c r="FKO15" s="55"/>
      <c r="FKP15" s="55"/>
      <c r="FKQ15" s="55"/>
      <c r="FKR15" s="55"/>
      <c r="FKS15" s="55"/>
      <c r="FKT15" s="55"/>
      <c r="FKU15" s="55"/>
      <c r="FKV15" s="55"/>
      <c r="FKW15" s="55"/>
      <c r="FKX15" s="55"/>
      <c r="FKY15" s="55"/>
      <c r="FKZ15" s="55"/>
      <c r="FLA15" s="55"/>
      <c r="FLB15" s="55"/>
      <c r="FLC15" s="55"/>
      <c r="FLD15" s="55"/>
      <c r="FLE15" s="55"/>
      <c r="FLF15" s="55"/>
      <c r="FLG15" s="55"/>
      <c r="FLH15" s="55"/>
      <c r="FLI15" s="55"/>
      <c r="FLJ15" s="55"/>
      <c r="FLK15" s="55"/>
      <c r="FLL15" s="55"/>
      <c r="FLM15" s="55"/>
      <c r="FLN15" s="55"/>
      <c r="FLO15" s="55"/>
      <c r="FLP15" s="55"/>
      <c r="FLQ15" s="55"/>
      <c r="FLR15" s="55"/>
      <c r="FLS15" s="55"/>
      <c r="FLT15" s="55"/>
      <c r="FLU15" s="55"/>
      <c r="FLV15" s="55"/>
      <c r="FLW15" s="55"/>
      <c r="FLX15" s="55"/>
      <c r="FLY15" s="55"/>
      <c r="FLZ15" s="55"/>
      <c r="FMA15" s="55"/>
      <c r="FMB15" s="55"/>
      <c r="FMC15" s="55"/>
      <c r="FMD15" s="55"/>
      <c r="FME15" s="55"/>
      <c r="FMF15" s="55"/>
      <c r="FMG15" s="55"/>
      <c r="FMH15" s="55"/>
      <c r="FMI15" s="55"/>
      <c r="FMJ15" s="55"/>
      <c r="FMK15" s="55"/>
      <c r="FML15" s="55"/>
      <c r="FMM15" s="55"/>
      <c r="FMN15" s="55"/>
      <c r="FMO15" s="55"/>
      <c r="FMP15" s="55"/>
      <c r="FMQ15" s="55"/>
      <c r="FMR15" s="55"/>
      <c r="FMS15" s="55"/>
      <c r="FMT15" s="55"/>
      <c r="FMU15" s="55"/>
      <c r="FMV15" s="55"/>
      <c r="FMW15" s="55"/>
      <c r="FMX15" s="55"/>
      <c r="FMY15" s="55"/>
      <c r="FMZ15" s="55"/>
      <c r="FNA15" s="55"/>
      <c r="FNB15" s="55"/>
      <c r="FNC15" s="55"/>
      <c r="FND15" s="55"/>
      <c r="FNE15" s="55"/>
      <c r="FNF15" s="55"/>
      <c r="FNG15" s="55"/>
      <c r="FNH15" s="55"/>
      <c r="FNI15" s="55"/>
      <c r="FNJ15" s="55"/>
      <c r="FNK15" s="55"/>
      <c r="FNL15" s="55"/>
      <c r="FNM15" s="55"/>
      <c r="FNN15" s="55"/>
      <c r="FNO15" s="55"/>
      <c r="FNP15" s="55"/>
      <c r="FNQ15" s="55"/>
      <c r="FNR15" s="55"/>
      <c r="FNS15" s="55"/>
      <c r="FNT15" s="55"/>
      <c r="FNU15" s="55"/>
      <c r="FNV15" s="55"/>
      <c r="FNW15" s="55"/>
      <c r="FNX15" s="55"/>
      <c r="FNY15" s="55"/>
      <c r="FNZ15" s="55"/>
      <c r="FOA15" s="55"/>
      <c r="FOB15" s="55"/>
      <c r="FOC15" s="55"/>
      <c r="FOD15" s="55"/>
      <c r="FOE15" s="55"/>
      <c r="FOF15" s="55"/>
      <c r="FOG15" s="55"/>
      <c r="FOH15" s="55"/>
      <c r="FOI15" s="55"/>
      <c r="FOJ15" s="55"/>
      <c r="FOK15" s="55"/>
      <c r="FOL15" s="55"/>
      <c r="FOM15" s="55"/>
      <c r="FON15" s="55"/>
      <c r="FOO15" s="55"/>
      <c r="FOP15" s="55"/>
      <c r="FOQ15" s="55"/>
      <c r="FOR15" s="55"/>
      <c r="FOS15" s="55"/>
      <c r="FOT15" s="55"/>
      <c r="FOU15" s="55"/>
      <c r="FOV15" s="55"/>
      <c r="FOW15" s="55"/>
      <c r="FOX15" s="55"/>
      <c r="FOY15" s="55"/>
      <c r="FOZ15" s="55"/>
      <c r="FPA15" s="55"/>
      <c r="FPB15" s="55"/>
      <c r="FPC15" s="55"/>
      <c r="FPD15" s="55"/>
      <c r="FPE15" s="55"/>
      <c r="FPF15" s="55"/>
      <c r="FPG15" s="55"/>
      <c r="FPH15" s="55"/>
      <c r="FPI15" s="55"/>
      <c r="FPJ15" s="55"/>
      <c r="FPK15" s="55"/>
      <c r="FPL15" s="55"/>
      <c r="FPM15" s="55"/>
      <c r="FPN15" s="55"/>
      <c r="FPO15" s="55"/>
      <c r="FPP15" s="55"/>
      <c r="FPQ15" s="55"/>
      <c r="FPR15" s="55"/>
      <c r="FPS15" s="55"/>
      <c r="FPT15" s="55"/>
      <c r="FPU15" s="55"/>
      <c r="FPV15" s="55"/>
      <c r="FPW15" s="55"/>
      <c r="FPX15" s="55"/>
      <c r="FPY15" s="55"/>
      <c r="FPZ15" s="55"/>
      <c r="FQA15" s="55"/>
      <c r="FQB15" s="55"/>
      <c r="FQC15" s="55"/>
      <c r="FQD15" s="55"/>
      <c r="FQE15" s="55"/>
      <c r="FQF15" s="55"/>
      <c r="FQG15" s="55"/>
      <c r="FQH15" s="55"/>
      <c r="FQI15" s="55"/>
      <c r="FQJ15" s="55"/>
      <c r="FQK15" s="55"/>
      <c r="FQL15" s="55"/>
      <c r="FQM15" s="55"/>
      <c r="FQN15" s="55"/>
      <c r="FQO15" s="55"/>
      <c r="FQP15" s="55"/>
      <c r="FQQ15" s="55"/>
      <c r="FQR15" s="55"/>
      <c r="FQS15" s="55"/>
      <c r="FQT15" s="55"/>
      <c r="FQU15" s="55"/>
      <c r="FQV15" s="55"/>
      <c r="FQW15" s="55"/>
      <c r="FQX15" s="55"/>
      <c r="FQY15" s="55"/>
      <c r="FQZ15" s="55"/>
      <c r="FRA15" s="55"/>
      <c r="FRB15" s="55"/>
      <c r="FRC15" s="55"/>
      <c r="FRD15" s="55"/>
      <c r="FRE15" s="55"/>
      <c r="FRF15" s="55"/>
      <c r="FRG15" s="55"/>
      <c r="FRH15" s="55"/>
      <c r="FRI15" s="55"/>
      <c r="FRJ15" s="55"/>
      <c r="FRK15" s="55"/>
      <c r="FRL15" s="55"/>
      <c r="FRM15" s="55"/>
      <c r="FRN15" s="55"/>
      <c r="FRO15" s="55"/>
      <c r="FRP15" s="55"/>
      <c r="FRQ15" s="55"/>
      <c r="FRR15" s="55"/>
      <c r="FRS15" s="55"/>
      <c r="FRT15" s="55"/>
      <c r="FRU15" s="55"/>
      <c r="FRV15" s="55"/>
      <c r="FRW15" s="55"/>
      <c r="FRX15" s="55"/>
      <c r="FRY15" s="55"/>
      <c r="FRZ15" s="55"/>
      <c r="FSA15" s="55"/>
      <c r="FSB15" s="55"/>
      <c r="FSC15" s="55"/>
      <c r="FSD15" s="55"/>
      <c r="FSE15" s="55"/>
      <c r="FSF15" s="55"/>
      <c r="FSG15" s="55"/>
      <c r="FSH15" s="55"/>
      <c r="FSI15" s="55"/>
      <c r="FSJ15" s="55"/>
      <c r="FSK15" s="55"/>
      <c r="FSL15" s="55"/>
      <c r="FSM15" s="55"/>
      <c r="FSN15" s="55"/>
      <c r="FSO15" s="55"/>
      <c r="FSP15" s="55"/>
      <c r="FSQ15" s="55"/>
      <c r="FSR15" s="55"/>
      <c r="FSS15" s="55"/>
      <c r="FST15" s="55"/>
      <c r="FSU15" s="55"/>
      <c r="FSV15" s="55"/>
      <c r="FSW15" s="55"/>
      <c r="FSX15" s="55"/>
      <c r="FSY15" s="55"/>
      <c r="FSZ15" s="55"/>
      <c r="FTA15" s="55"/>
      <c r="FTB15" s="55"/>
      <c r="FTC15" s="55"/>
      <c r="FTD15" s="55"/>
      <c r="FTE15" s="55"/>
      <c r="FTF15" s="55"/>
      <c r="FTG15" s="55"/>
      <c r="FTH15" s="55"/>
      <c r="FTI15" s="55"/>
      <c r="FTJ15" s="55"/>
      <c r="FTK15" s="55"/>
      <c r="FTL15" s="55"/>
      <c r="FTM15" s="55"/>
      <c r="FTN15" s="55"/>
      <c r="FTO15" s="55"/>
      <c r="FTP15" s="55"/>
      <c r="FTQ15" s="55"/>
      <c r="FTR15" s="55"/>
      <c r="FTS15" s="55"/>
      <c r="FTT15" s="55"/>
      <c r="FTU15" s="55"/>
      <c r="FTV15" s="55"/>
      <c r="FTW15" s="55"/>
      <c r="FTX15" s="55"/>
      <c r="FTY15" s="55"/>
      <c r="FTZ15" s="55"/>
      <c r="FUA15" s="55"/>
      <c r="FUB15" s="55"/>
      <c r="FUC15" s="55"/>
      <c r="FUD15" s="55"/>
      <c r="FUE15" s="55"/>
      <c r="FUF15" s="55"/>
      <c r="FUG15" s="55"/>
      <c r="FUH15" s="55"/>
      <c r="FUI15" s="55"/>
      <c r="FUJ15" s="55"/>
      <c r="FUK15" s="55"/>
      <c r="FUL15" s="55"/>
      <c r="FUM15" s="55"/>
      <c r="FUN15" s="55"/>
      <c r="FUO15" s="55"/>
      <c r="FUP15" s="55"/>
      <c r="FUQ15" s="55"/>
      <c r="FUR15" s="55"/>
      <c r="FUS15" s="55"/>
      <c r="FUT15" s="55"/>
      <c r="FUU15" s="55"/>
      <c r="FUV15" s="55"/>
      <c r="FUW15" s="55"/>
      <c r="FUX15" s="55"/>
      <c r="FUY15" s="55"/>
      <c r="FUZ15" s="55"/>
      <c r="FVA15" s="55"/>
      <c r="FVB15" s="55"/>
      <c r="FVC15" s="55"/>
      <c r="FVD15" s="55"/>
      <c r="FVE15" s="55"/>
      <c r="FVF15" s="55"/>
      <c r="FVG15" s="55"/>
      <c r="FVH15" s="55"/>
      <c r="FVI15" s="55"/>
      <c r="FVJ15" s="55"/>
      <c r="FVK15" s="55"/>
      <c r="FVL15" s="55"/>
      <c r="FVM15" s="55"/>
      <c r="FVN15" s="55"/>
      <c r="FVO15" s="55"/>
      <c r="FVP15" s="55"/>
      <c r="FVQ15" s="55"/>
      <c r="FVR15" s="55"/>
      <c r="FVS15" s="55"/>
      <c r="FVT15" s="55"/>
      <c r="FVU15" s="55"/>
      <c r="FVV15" s="55"/>
      <c r="FVW15" s="55"/>
      <c r="FVX15" s="55"/>
      <c r="FVY15" s="55"/>
      <c r="FVZ15" s="55"/>
      <c r="FWA15" s="55"/>
      <c r="FWB15" s="55"/>
      <c r="FWC15" s="55"/>
      <c r="FWD15" s="55"/>
      <c r="FWE15" s="55"/>
      <c r="FWF15" s="55"/>
      <c r="FWG15" s="55"/>
      <c r="FWH15" s="55"/>
      <c r="FWI15" s="55"/>
      <c r="FWJ15" s="55"/>
      <c r="FWK15" s="55"/>
      <c r="FWL15" s="55"/>
      <c r="FWM15" s="55"/>
      <c r="FWN15" s="55"/>
      <c r="FWO15" s="55"/>
      <c r="FWP15" s="55"/>
      <c r="FWQ15" s="55"/>
      <c r="FWR15" s="55"/>
      <c r="FWS15" s="55"/>
      <c r="FWT15" s="55"/>
      <c r="FWU15" s="55"/>
      <c r="FWV15" s="55"/>
      <c r="FWW15" s="55"/>
      <c r="FWX15" s="55"/>
      <c r="FWY15" s="55"/>
      <c r="FWZ15" s="55"/>
      <c r="FXA15" s="55"/>
      <c r="FXB15" s="55"/>
      <c r="FXC15" s="55"/>
      <c r="FXD15" s="55"/>
      <c r="FXE15" s="55"/>
      <c r="FXF15" s="55"/>
      <c r="FXG15" s="55"/>
      <c r="FXH15" s="55"/>
      <c r="FXI15" s="55"/>
      <c r="FXJ15" s="55"/>
      <c r="FXK15" s="55"/>
      <c r="FXL15" s="55"/>
      <c r="FXM15" s="55"/>
      <c r="FXN15" s="55"/>
      <c r="FXO15" s="55"/>
      <c r="FXP15" s="55"/>
      <c r="FXQ15" s="55"/>
      <c r="FXR15" s="55"/>
      <c r="FXS15" s="55"/>
      <c r="FXT15" s="55"/>
      <c r="FXU15" s="55"/>
      <c r="FXV15" s="55"/>
      <c r="FXW15" s="55"/>
      <c r="FXX15" s="55"/>
      <c r="FXY15" s="55"/>
      <c r="FXZ15" s="55"/>
      <c r="FYA15" s="55"/>
      <c r="FYB15" s="55"/>
      <c r="FYC15" s="55"/>
      <c r="FYD15" s="55"/>
      <c r="FYE15" s="55"/>
      <c r="FYF15" s="55"/>
      <c r="FYG15" s="55"/>
      <c r="FYH15" s="55"/>
      <c r="FYI15" s="55"/>
      <c r="FYJ15" s="55"/>
      <c r="FYK15" s="55"/>
      <c r="FYL15" s="55"/>
      <c r="FYM15" s="55"/>
      <c r="FYN15" s="55"/>
      <c r="FYO15" s="55"/>
      <c r="FYP15" s="55"/>
      <c r="FYQ15" s="55"/>
      <c r="FYR15" s="55"/>
      <c r="FYS15" s="55"/>
      <c r="FYT15" s="55"/>
      <c r="FYU15" s="55"/>
      <c r="FYV15" s="55"/>
      <c r="FYW15" s="55"/>
      <c r="FYX15" s="55"/>
      <c r="FYY15" s="55"/>
      <c r="FYZ15" s="55"/>
      <c r="FZA15" s="55"/>
      <c r="FZB15" s="55"/>
      <c r="FZC15" s="55"/>
      <c r="FZD15" s="55"/>
      <c r="FZE15" s="55"/>
      <c r="FZF15" s="55"/>
      <c r="FZG15" s="55"/>
      <c r="FZH15" s="55"/>
      <c r="FZI15" s="55"/>
      <c r="FZJ15" s="55"/>
      <c r="FZK15" s="55"/>
      <c r="FZL15" s="55"/>
      <c r="FZM15" s="55"/>
      <c r="FZN15" s="55"/>
      <c r="FZO15" s="55"/>
      <c r="FZP15" s="55"/>
      <c r="FZQ15" s="55"/>
      <c r="FZR15" s="55"/>
      <c r="FZS15" s="55"/>
      <c r="FZT15" s="55"/>
      <c r="FZU15" s="55"/>
      <c r="FZV15" s="55"/>
      <c r="FZW15" s="55"/>
      <c r="FZX15" s="55"/>
      <c r="FZY15" s="55"/>
      <c r="FZZ15" s="55"/>
      <c r="GAA15" s="55"/>
      <c r="GAB15" s="55"/>
      <c r="GAC15" s="55"/>
      <c r="GAD15" s="55"/>
      <c r="GAE15" s="55"/>
      <c r="GAF15" s="55"/>
      <c r="GAG15" s="55"/>
      <c r="GAH15" s="55"/>
      <c r="GAI15" s="55"/>
      <c r="GAJ15" s="55"/>
      <c r="GAK15" s="55"/>
      <c r="GAL15" s="55"/>
      <c r="GAM15" s="55"/>
      <c r="GAN15" s="55"/>
      <c r="GAO15" s="55"/>
      <c r="GAP15" s="55"/>
      <c r="GAQ15" s="55"/>
      <c r="GAR15" s="55"/>
      <c r="GAS15" s="55"/>
      <c r="GAT15" s="55"/>
      <c r="GAU15" s="55"/>
      <c r="GAV15" s="55"/>
      <c r="GAW15" s="55"/>
      <c r="GAX15" s="55"/>
      <c r="GAY15" s="55"/>
      <c r="GAZ15" s="55"/>
      <c r="GBA15" s="55"/>
      <c r="GBB15" s="55"/>
      <c r="GBC15" s="55"/>
      <c r="GBD15" s="55"/>
      <c r="GBE15" s="55"/>
      <c r="GBF15" s="55"/>
      <c r="GBG15" s="55"/>
      <c r="GBH15" s="55"/>
      <c r="GBI15" s="55"/>
      <c r="GBJ15" s="55"/>
      <c r="GBK15" s="55"/>
      <c r="GBL15" s="55"/>
      <c r="GBM15" s="55"/>
      <c r="GBN15" s="55"/>
      <c r="GBO15" s="55"/>
      <c r="GBP15" s="55"/>
      <c r="GBQ15" s="55"/>
      <c r="GBR15" s="55"/>
      <c r="GBS15" s="55"/>
      <c r="GBT15" s="55"/>
      <c r="GBU15" s="55"/>
      <c r="GBV15" s="55"/>
      <c r="GBW15" s="55"/>
      <c r="GBX15" s="55"/>
      <c r="GBY15" s="55"/>
      <c r="GBZ15" s="55"/>
      <c r="GCA15" s="55"/>
      <c r="GCB15" s="55"/>
      <c r="GCC15" s="55"/>
      <c r="GCD15" s="55"/>
      <c r="GCE15" s="55"/>
      <c r="GCF15" s="55"/>
      <c r="GCG15" s="55"/>
      <c r="GCH15" s="55"/>
      <c r="GCI15" s="55"/>
      <c r="GCJ15" s="55"/>
      <c r="GCK15" s="55"/>
      <c r="GCL15" s="55"/>
      <c r="GCM15" s="55"/>
      <c r="GCN15" s="55"/>
      <c r="GCO15" s="55"/>
      <c r="GCP15" s="55"/>
      <c r="GCQ15" s="55"/>
      <c r="GCR15" s="55"/>
      <c r="GCS15" s="55"/>
      <c r="GCT15" s="55"/>
      <c r="GCU15" s="55"/>
      <c r="GCV15" s="55"/>
      <c r="GCW15" s="55"/>
      <c r="GCX15" s="55"/>
      <c r="GCY15" s="55"/>
      <c r="GCZ15" s="55"/>
      <c r="GDA15" s="55"/>
      <c r="GDB15" s="55"/>
      <c r="GDC15" s="55"/>
      <c r="GDD15" s="55"/>
      <c r="GDE15" s="55"/>
      <c r="GDF15" s="55"/>
      <c r="GDG15" s="55"/>
      <c r="GDH15" s="55"/>
      <c r="GDI15" s="55"/>
      <c r="GDJ15" s="55"/>
      <c r="GDK15" s="55"/>
      <c r="GDL15" s="55"/>
      <c r="GDM15" s="55"/>
      <c r="GDN15" s="55"/>
      <c r="GDO15" s="55"/>
      <c r="GDP15" s="55"/>
      <c r="GDQ15" s="55"/>
      <c r="GDR15" s="55"/>
      <c r="GDS15" s="55"/>
      <c r="GDT15" s="55"/>
      <c r="GDU15" s="55"/>
      <c r="GDV15" s="55"/>
      <c r="GDW15" s="55"/>
      <c r="GDX15" s="55"/>
      <c r="GDY15" s="55"/>
      <c r="GDZ15" s="55"/>
      <c r="GEA15" s="55"/>
      <c r="GEB15" s="55"/>
      <c r="GEC15" s="55"/>
      <c r="GED15" s="55"/>
      <c r="GEE15" s="55"/>
      <c r="GEF15" s="55"/>
      <c r="GEG15" s="55"/>
      <c r="GEH15" s="55"/>
      <c r="GEI15" s="55"/>
      <c r="GEJ15" s="55"/>
      <c r="GEK15" s="55"/>
      <c r="GEL15" s="55"/>
      <c r="GEM15" s="55"/>
      <c r="GEN15" s="55"/>
      <c r="GEO15" s="55"/>
      <c r="GEP15" s="55"/>
      <c r="GEQ15" s="55"/>
      <c r="GER15" s="55"/>
      <c r="GES15" s="55"/>
      <c r="GET15" s="55"/>
      <c r="GEU15" s="55"/>
      <c r="GEV15" s="55"/>
      <c r="GEW15" s="55"/>
      <c r="GEX15" s="55"/>
      <c r="GEY15" s="55"/>
      <c r="GEZ15" s="55"/>
      <c r="GFA15" s="55"/>
      <c r="GFB15" s="55"/>
      <c r="GFC15" s="55"/>
      <c r="GFD15" s="55"/>
      <c r="GFE15" s="55"/>
      <c r="GFF15" s="55"/>
      <c r="GFG15" s="55"/>
      <c r="GFH15" s="55"/>
      <c r="GFI15" s="55"/>
      <c r="GFJ15" s="55"/>
      <c r="GFK15" s="55"/>
      <c r="GFL15" s="55"/>
      <c r="GFM15" s="55"/>
      <c r="GFN15" s="55"/>
      <c r="GFO15" s="55"/>
      <c r="GFP15" s="55"/>
      <c r="GFQ15" s="55"/>
      <c r="GFR15" s="55"/>
      <c r="GFS15" s="55"/>
      <c r="GFT15" s="55"/>
      <c r="GFU15" s="55"/>
      <c r="GFV15" s="55"/>
      <c r="GFW15" s="55"/>
      <c r="GFX15" s="55"/>
      <c r="GFY15" s="55"/>
      <c r="GFZ15" s="55"/>
      <c r="GGA15" s="55"/>
      <c r="GGB15" s="55"/>
      <c r="GGC15" s="55"/>
      <c r="GGD15" s="55"/>
      <c r="GGE15" s="55"/>
      <c r="GGF15" s="55"/>
      <c r="GGG15" s="55"/>
      <c r="GGH15" s="55"/>
      <c r="GGI15" s="55"/>
      <c r="GGJ15" s="55"/>
      <c r="GGK15" s="55"/>
      <c r="GGL15" s="55"/>
      <c r="GGM15" s="55"/>
      <c r="GGN15" s="55"/>
      <c r="GGO15" s="55"/>
      <c r="GGP15" s="55"/>
      <c r="GGQ15" s="55"/>
      <c r="GGR15" s="55"/>
      <c r="GGS15" s="55"/>
      <c r="GGT15" s="55"/>
      <c r="GGU15" s="55"/>
      <c r="GGV15" s="55"/>
      <c r="GGW15" s="55"/>
      <c r="GGX15" s="55"/>
      <c r="GGY15" s="55"/>
      <c r="GGZ15" s="55"/>
      <c r="GHA15" s="55"/>
      <c r="GHB15" s="55"/>
      <c r="GHC15" s="55"/>
      <c r="GHD15" s="55"/>
      <c r="GHE15" s="55"/>
      <c r="GHF15" s="55"/>
      <c r="GHG15" s="55"/>
      <c r="GHH15" s="55"/>
      <c r="GHI15" s="55"/>
      <c r="GHJ15" s="55"/>
      <c r="GHK15" s="55"/>
      <c r="GHL15" s="55"/>
      <c r="GHM15" s="55"/>
      <c r="GHN15" s="55"/>
      <c r="GHO15" s="55"/>
      <c r="GHP15" s="55"/>
      <c r="GHQ15" s="55"/>
      <c r="GHR15" s="55"/>
      <c r="GHS15" s="55"/>
      <c r="GHT15" s="55"/>
      <c r="GHU15" s="55"/>
      <c r="GHV15" s="55"/>
      <c r="GHW15" s="55"/>
      <c r="GHX15" s="55"/>
      <c r="GHY15" s="55"/>
      <c r="GHZ15" s="55"/>
      <c r="GIA15" s="55"/>
      <c r="GIB15" s="55"/>
      <c r="GIC15" s="55"/>
      <c r="GID15" s="55"/>
      <c r="GIE15" s="55"/>
      <c r="GIF15" s="55"/>
      <c r="GIG15" s="55"/>
      <c r="GIH15" s="55"/>
      <c r="GII15" s="55"/>
      <c r="GIJ15" s="55"/>
      <c r="GIK15" s="55"/>
      <c r="GIL15" s="55"/>
      <c r="GIM15" s="55"/>
      <c r="GIN15" s="55"/>
      <c r="GIO15" s="55"/>
      <c r="GIP15" s="55"/>
      <c r="GIQ15" s="55"/>
      <c r="GIR15" s="55"/>
      <c r="GIS15" s="55"/>
      <c r="GIT15" s="55"/>
      <c r="GIU15" s="55"/>
      <c r="GIV15" s="55"/>
      <c r="GIW15" s="55"/>
      <c r="GIX15" s="55"/>
      <c r="GIY15" s="55"/>
      <c r="GIZ15" s="55"/>
      <c r="GJA15" s="55"/>
      <c r="GJB15" s="55"/>
      <c r="GJC15" s="55"/>
      <c r="GJD15" s="55"/>
      <c r="GJE15" s="55"/>
      <c r="GJF15" s="55"/>
      <c r="GJG15" s="55"/>
      <c r="GJH15" s="55"/>
      <c r="GJI15" s="55"/>
      <c r="GJJ15" s="55"/>
      <c r="GJK15" s="55"/>
      <c r="GJL15" s="55"/>
      <c r="GJM15" s="55"/>
      <c r="GJN15" s="55"/>
      <c r="GJO15" s="55"/>
      <c r="GJP15" s="55"/>
      <c r="GJQ15" s="55"/>
      <c r="GJR15" s="55"/>
      <c r="GJS15" s="55"/>
      <c r="GJT15" s="55"/>
      <c r="GJU15" s="55"/>
      <c r="GJV15" s="55"/>
      <c r="GJW15" s="55"/>
      <c r="GJX15" s="55"/>
      <c r="GJY15" s="55"/>
      <c r="GJZ15" s="55"/>
      <c r="GKA15" s="55"/>
      <c r="GKB15" s="55"/>
      <c r="GKC15" s="55"/>
      <c r="GKD15" s="55"/>
      <c r="GKE15" s="55"/>
      <c r="GKF15" s="55"/>
      <c r="GKG15" s="55"/>
      <c r="GKH15" s="55"/>
      <c r="GKI15" s="55"/>
      <c r="GKJ15" s="55"/>
      <c r="GKK15" s="55"/>
      <c r="GKL15" s="55"/>
      <c r="GKM15" s="55"/>
      <c r="GKN15" s="55"/>
      <c r="GKO15" s="55"/>
      <c r="GKP15" s="55"/>
      <c r="GKQ15" s="55"/>
      <c r="GKR15" s="55"/>
      <c r="GKS15" s="55"/>
      <c r="GKT15" s="55"/>
      <c r="GKU15" s="55"/>
      <c r="GKV15" s="55"/>
      <c r="GKW15" s="55"/>
      <c r="GKX15" s="55"/>
      <c r="GKY15" s="55"/>
      <c r="GKZ15" s="55"/>
      <c r="GLA15" s="55"/>
      <c r="GLB15" s="55"/>
      <c r="GLC15" s="55"/>
      <c r="GLD15" s="55"/>
      <c r="GLE15" s="55"/>
      <c r="GLF15" s="55"/>
      <c r="GLG15" s="55"/>
      <c r="GLH15" s="55"/>
      <c r="GLI15" s="55"/>
      <c r="GLJ15" s="55"/>
      <c r="GLK15" s="55"/>
      <c r="GLL15" s="55"/>
      <c r="GLM15" s="55"/>
      <c r="GLN15" s="55"/>
      <c r="GLO15" s="55"/>
      <c r="GLP15" s="55"/>
      <c r="GLQ15" s="55"/>
      <c r="GLR15" s="55"/>
      <c r="GLS15" s="55"/>
      <c r="GLT15" s="55"/>
      <c r="GLU15" s="55"/>
      <c r="GLV15" s="55"/>
      <c r="GLW15" s="55"/>
      <c r="GLX15" s="55"/>
      <c r="GLY15" s="55"/>
      <c r="GLZ15" s="55"/>
      <c r="GMA15" s="55"/>
      <c r="GMB15" s="55"/>
      <c r="GMC15" s="55"/>
      <c r="GMD15" s="55"/>
      <c r="GME15" s="55"/>
      <c r="GMF15" s="55"/>
      <c r="GMG15" s="55"/>
      <c r="GMH15" s="55"/>
      <c r="GMI15" s="55"/>
      <c r="GMJ15" s="55"/>
      <c r="GMK15" s="55"/>
      <c r="GML15" s="55"/>
      <c r="GMM15" s="55"/>
      <c r="GMN15" s="55"/>
      <c r="GMO15" s="55"/>
      <c r="GMP15" s="55"/>
      <c r="GMQ15" s="55"/>
      <c r="GMR15" s="55"/>
      <c r="GMS15" s="55"/>
      <c r="GMT15" s="55"/>
      <c r="GMU15" s="55"/>
      <c r="GMV15" s="55"/>
      <c r="GMW15" s="55"/>
      <c r="GMX15" s="55"/>
      <c r="GMY15" s="55"/>
      <c r="GMZ15" s="55"/>
      <c r="GNA15" s="55"/>
      <c r="GNB15" s="55"/>
      <c r="GNC15" s="55"/>
      <c r="GND15" s="55"/>
      <c r="GNE15" s="55"/>
      <c r="GNF15" s="55"/>
      <c r="GNG15" s="55"/>
      <c r="GNH15" s="55"/>
      <c r="GNI15" s="55"/>
      <c r="GNJ15" s="55"/>
      <c r="GNK15" s="55"/>
      <c r="GNL15" s="55"/>
      <c r="GNM15" s="55"/>
      <c r="GNN15" s="55"/>
      <c r="GNO15" s="55"/>
      <c r="GNP15" s="55"/>
      <c r="GNQ15" s="55"/>
      <c r="GNR15" s="55"/>
      <c r="GNS15" s="55"/>
      <c r="GNT15" s="55"/>
      <c r="GNU15" s="55"/>
      <c r="GNV15" s="55"/>
      <c r="GNW15" s="55"/>
      <c r="GNX15" s="55"/>
      <c r="GNY15" s="55"/>
      <c r="GNZ15" s="55"/>
      <c r="GOA15" s="55"/>
      <c r="GOB15" s="55"/>
      <c r="GOC15" s="55"/>
      <c r="GOD15" s="55"/>
      <c r="GOE15" s="55"/>
      <c r="GOF15" s="55"/>
      <c r="GOG15" s="55"/>
      <c r="GOH15" s="55"/>
      <c r="GOI15" s="55"/>
      <c r="GOJ15" s="55"/>
      <c r="GOK15" s="55"/>
      <c r="GOL15" s="55"/>
      <c r="GOM15" s="55"/>
      <c r="GON15" s="55"/>
      <c r="GOO15" s="55"/>
      <c r="GOP15" s="55"/>
      <c r="GOQ15" s="55"/>
      <c r="GOR15" s="55"/>
      <c r="GOS15" s="55"/>
      <c r="GOT15" s="55"/>
      <c r="GOU15" s="55"/>
      <c r="GOV15" s="55"/>
      <c r="GOW15" s="55"/>
      <c r="GOX15" s="55"/>
      <c r="GOY15" s="55"/>
      <c r="GOZ15" s="55"/>
      <c r="GPA15" s="55"/>
      <c r="GPB15" s="55"/>
      <c r="GPC15" s="55"/>
      <c r="GPD15" s="55"/>
      <c r="GPE15" s="55"/>
      <c r="GPF15" s="55"/>
      <c r="GPG15" s="55"/>
      <c r="GPH15" s="55"/>
      <c r="GPI15" s="55"/>
      <c r="GPJ15" s="55"/>
      <c r="GPK15" s="55"/>
      <c r="GPL15" s="55"/>
      <c r="GPM15" s="55"/>
      <c r="GPN15" s="55"/>
      <c r="GPO15" s="55"/>
      <c r="GPP15" s="55"/>
      <c r="GPQ15" s="55"/>
      <c r="GPR15" s="55"/>
      <c r="GPS15" s="55"/>
      <c r="GPT15" s="55"/>
      <c r="GPU15" s="55"/>
      <c r="GPV15" s="55"/>
      <c r="GPW15" s="55"/>
      <c r="GPX15" s="55"/>
      <c r="GPY15" s="55"/>
      <c r="GPZ15" s="55"/>
      <c r="GQA15" s="55"/>
      <c r="GQB15" s="55"/>
      <c r="GQC15" s="55"/>
      <c r="GQD15" s="55"/>
      <c r="GQE15" s="55"/>
      <c r="GQF15" s="55"/>
      <c r="GQG15" s="55"/>
      <c r="GQH15" s="55"/>
      <c r="GQI15" s="55"/>
      <c r="GQJ15" s="55"/>
      <c r="GQK15" s="55"/>
      <c r="GQL15" s="55"/>
      <c r="GQM15" s="55"/>
      <c r="GQN15" s="55"/>
      <c r="GQO15" s="55"/>
      <c r="GQP15" s="55"/>
      <c r="GQQ15" s="55"/>
      <c r="GQR15" s="55"/>
      <c r="GQS15" s="55"/>
      <c r="GQT15" s="55"/>
      <c r="GQU15" s="55"/>
      <c r="GQV15" s="55"/>
      <c r="GQW15" s="55"/>
      <c r="GQX15" s="55"/>
      <c r="GQY15" s="55"/>
      <c r="GQZ15" s="55"/>
      <c r="GRA15" s="55"/>
      <c r="GRB15" s="55"/>
      <c r="GRC15" s="55"/>
      <c r="GRD15" s="55"/>
      <c r="GRE15" s="55"/>
      <c r="GRF15" s="55"/>
      <c r="GRG15" s="55"/>
      <c r="GRH15" s="55"/>
      <c r="GRI15" s="55"/>
      <c r="GRJ15" s="55"/>
      <c r="GRK15" s="55"/>
      <c r="GRL15" s="55"/>
      <c r="GRM15" s="55"/>
      <c r="GRN15" s="55"/>
      <c r="GRO15" s="55"/>
      <c r="GRP15" s="55"/>
      <c r="GRQ15" s="55"/>
      <c r="GRR15" s="55"/>
      <c r="GRS15" s="55"/>
      <c r="GRT15" s="55"/>
      <c r="GRU15" s="55"/>
      <c r="GRV15" s="55"/>
      <c r="GRW15" s="55"/>
      <c r="GRX15" s="55"/>
      <c r="GRY15" s="55"/>
      <c r="GRZ15" s="55"/>
      <c r="GSA15" s="55"/>
      <c r="GSB15" s="55"/>
      <c r="GSC15" s="55"/>
      <c r="GSD15" s="55"/>
      <c r="GSE15" s="55"/>
      <c r="GSF15" s="55"/>
      <c r="GSG15" s="55"/>
      <c r="GSH15" s="55"/>
      <c r="GSI15" s="55"/>
      <c r="GSJ15" s="55"/>
      <c r="GSK15" s="55"/>
      <c r="GSL15" s="55"/>
      <c r="GSM15" s="55"/>
      <c r="GSN15" s="55"/>
      <c r="GSO15" s="55"/>
      <c r="GSP15" s="55"/>
      <c r="GSQ15" s="55"/>
      <c r="GSR15" s="55"/>
      <c r="GSS15" s="55"/>
      <c r="GST15" s="55"/>
      <c r="GSU15" s="55"/>
      <c r="GSV15" s="55"/>
      <c r="GSW15" s="55"/>
      <c r="GSX15" s="55"/>
      <c r="GSY15" s="55"/>
      <c r="GSZ15" s="55"/>
      <c r="GTA15" s="55"/>
      <c r="GTB15" s="55"/>
      <c r="GTC15" s="55"/>
      <c r="GTD15" s="55"/>
      <c r="GTE15" s="55"/>
      <c r="GTF15" s="55"/>
      <c r="GTG15" s="55"/>
      <c r="GTH15" s="55"/>
      <c r="GTI15" s="55"/>
      <c r="GTJ15" s="55"/>
      <c r="GTK15" s="55"/>
      <c r="GTL15" s="55"/>
      <c r="GTM15" s="55"/>
      <c r="GTN15" s="55"/>
      <c r="GTO15" s="55"/>
      <c r="GTP15" s="55"/>
      <c r="GTQ15" s="55"/>
      <c r="GTR15" s="55"/>
      <c r="GTS15" s="55"/>
      <c r="GTT15" s="55"/>
      <c r="GTU15" s="55"/>
      <c r="GTV15" s="55"/>
      <c r="GTW15" s="55"/>
      <c r="GTX15" s="55"/>
      <c r="GTY15" s="55"/>
      <c r="GTZ15" s="55"/>
      <c r="GUA15" s="55"/>
      <c r="GUB15" s="55"/>
      <c r="GUC15" s="55"/>
      <c r="GUD15" s="55"/>
      <c r="GUE15" s="55"/>
      <c r="GUF15" s="55"/>
      <c r="GUG15" s="55"/>
      <c r="GUH15" s="55"/>
      <c r="GUI15" s="55"/>
      <c r="GUJ15" s="55"/>
      <c r="GUK15" s="55"/>
      <c r="GUL15" s="55"/>
      <c r="GUM15" s="55"/>
      <c r="GUN15" s="55"/>
      <c r="GUO15" s="55"/>
      <c r="GUP15" s="55"/>
      <c r="GUQ15" s="55"/>
      <c r="GUR15" s="55"/>
      <c r="GUS15" s="55"/>
      <c r="GUT15" s="55"/>
      <c r="GUU15" s="55"/>
      <c r="GUV15" s="55"/>
      <c r="GUW15" s="55"/>
      <c r="GUX15" s="55"/>
      <c r="GUY15" s="55"/>
      <c r="GUZ15" s="55"/>
      <c r="GVA15" s="55"/>
      <c r="GVB15" s="55"/>
      <c r="GVC15" s="55"/>
      <c r="GVD15" s="55"/>
      <c r="GVE15" s="55"/>
      <c r="GVF15" s="55"/>
      <c r="GVG15" s="55"/>
      <c r="GVH15" s="55"/>
      <c r="GVI15" s="55"/>
      <c r="GVJ15" s="55"/>
      <c r="GVK15" s="55"/>
      <c r="GVL15" s="55"/>
      <c r="GVM15" s="55"/>
      <c r="GVN15" s="55"/>
      <c r="GVO15" s="55"/>
      <c r="GVP15" s="55"/>
      <c r="GVQ15" s="55"/>
      <c r="GVR15" s="55"/>
      <c r="GVS15" s="55"/>
      <c r="GVT15" s="55"/>
      <c r="GVU15" s="55"/>
      <c r="GVV15" s="55"/>
      <c r="GVW15" s="55"/>
      <c r="GVX15" s="55"/>
      <c r="GVY15" s="55"/>
      <c r="GVZ15" s="55"/>
      <c r="GWA15" s="55"/>
      <c r="GWB15" s="55"/>
      <c r="GWC15" s="55"/>
      <c r="GWD15" s="55"/>
      <c r="GWE15" s="55"/>
      <c r="GWF15" s="55"/>
      <c r="GWG15" s="55"/>
      <c r="GWH15" s="55"/>
      <c r="GWI15" s="55"/>
      <c r="GWJ15" s="55"/>
      <c r="GWK15" s="55"/>
      <c r="GWL15" s="55"/>
      <c r="GWM15" s="55"/>
      <c r="GWN15" s="55"/>
      <c r="GWO15" s="55"/>
      <c r="GWP15" s="55"/>
      <c r="GWQ15" s="55"/>
      <c r="GWR15" s="55"/>
      <c r="GWS15" s="55"/>
      <c r="GWT15" s="55"/>
      <c r="GWU15" s="55"/>
      <c r="GWV15" s="55"/>
      <c r="GWW15" s="55"/>
      <c r="GWX15" s="55"/>
      <c r="GWY15" s="55"/>
      <c r="GWZ15" s="55"/>
      <c r="GXA15" s="55"/>
      <c r="GXB15" s="55"/>
      <c r="GXC15" s="55"/>
      <c r="GXD15" s="55"/>
      <c r="GXE15" s="55"/>
      <c r="GXF15" s="55"/>
      <c r="GXG15" s="55"/>
      <c r="GXH15" s="55"/>
      <c r="GXI15" s="55"/>
      <c r="GXJ15" s="55"/>
      <c r="GXK15" s="55"/>
      <c r="GXL15" s="55"/>
      <c r="GXM15" s="55"/>
      <c r="GXN15" s="55"/>
      <c r="GXO15" s="55"/>
      <c r="GXP15" s="55"/>
      <c r="GXQ15" s="55"/>
      <c r="GXR15" s="55"/>
      <c r="GXS15" s="55"/>
      <c r="GXT15" s="55"/>
      <c r="GXU15" s="55"/>
      <c r="GXV15" s="55"/>
      <c r="GXW15" s="55"/>
      <c r="GXX15" s="55"/>
      <c r="GXY15" s="55"/>
      <c r="GXZ15" s="55"/>
      <c r="GYA15" s="55"/>
      <c r="GYB15" s="55"/>
      <c r="GYC15" s="55"/>
      <c r="GYD15" s="55"/>
      <c r="GYE15" s="55"/>
      <c r="GYF15" s="55"/>
      <c r="GYG15" s="55"/>
      <c r="GYH15" s="55"/>
      <c r="GYI15" s="55"/>
      <c r="GYJ15" s="55"/>
      <c r="GYK15" s="55"/>
      <c r="GYL15" s="55"/>
      <c r="GYM15" s="55"/>
      <c r="GYN15" s="55"/>
      <c r="GYO15" s="55"/>
      <c r="GYP15" s="55"/>
      <c r="GYQ15" s="55"/>
      <c r="GYR15" s="55"/>
      <c r="GYS15" s="55"/>
      <c r="GYT15" s="55"/>
      <c r="GYU15" s="55"/>
      <c r="GYV15" s="55"/>
      <c r="GYW15" s="55"/>
      <c r="GYX15" s="55"/>
      <c r="GYY15" s="55"/>
      <c r="GYZ15" s="55"/>
      <c r="GZA15" s="55"/>
      <c r="GZB15" s="55"/>
      <c r="GZC15" s="55"/>
      <c r="GZD15" s="55"/>
      <c r="GZE15" s="55"/>
      <c r="GZF15" s="55"/>
      <c r="GZG15" s="55"/>
      <c r="GZH15" s="55"/>
      <c r="GZI15" s="55"/>
      <c r="GZJ15" s="55"/>
      <c r="GZK15" s="55"/>
      <c r="GZL15" s="55"/>
      <c r="GZM15" s="55"/>
      <c r="GZN15" s="55"/>
      <c r="GZO15" s="55"/>
      <c r="GZP15" s="55"/>
      <c r="GZQ15" s="55"/>
      <c r="GZR15" s="55"/>
      <c r="GZS15" s="55"/>
      <c r="GZT15" s="55"/>
      <c r="GZU15" s="55"/>
      <c r="GZV15" s="55"/>
      <c r="GZW15" s="55"/>
      <c r="GZX15" s="55"/>
      <c r="GZY15" s="55"/>
      <c r="GZZ15" s="55"/>
      <c r="HAA15" s="55"/>
      <c r="HAB15" s="55"/>
      <c r="HAC15" s="55"/>
      <c r="HAD15" s="55"/>
      <c r="HAE15" s="55"/>
      <c r="HAF15" s="55"/>
      <c r="HAG15" s="55"/>
      <c r="HAH15" s="55"/>
      <c r="HAI15" s="55"/>
      <c r="HAJ15" s="55"/>
      <c r="HAK15" s="55"/>
      <c r="HAL15" s="55"/>
      <c r="HAM15" s="55"/>
      <c r="HAN15" s="55"/>
      <c r="HAO15" s="55"/>
      <c r="HAP15" s="55"/>
      <c r="HAQ15" s="55"/>
      <c r="HAR15" s="55"/>
      <c r="HAS15" s="55"/>
      <c r="HAT15" s="55"/>
      <c r="HAU15" s="55"/>
      <c r="HAV15" s="55"/>
      <c r="HAW15" s="55"/>
      <c r="HAX15" s="55"/>
      <c r="HAY15" s="55"/>
      <c r="HAZ15" s="55"/>
      <c r="HBA15" s="55"/>
      <c r="HBB15" s="55"/>
      <c r="HBC15" s="55"/>
      <c r="HBD15" s="55"/>
      <c r="HBE15" s="55"/>
      <c r="HBF15" s="55"/>
      <c r="HBG15" s="55"/>
      <c r="HBH15" s="55"/>
      <c r="HBI15" s="55"/>
      <c r="HBJ15" s="55"/>
      <c r="HBK15" s="55"/>
      <c r="HBL15" s="55"/>
      <c r="HBM15" s="55"/>
      <c r="HBN15" s="55"/>
      <c r="HBO15" s="55"/>
      <c r="HBP15" s="55"/>
      <c r="HBQ15" s="55"/>
      <c r="HBR15" s="55"/>
      <c r="HBS15" s="55"/>
      <c r="HBT15" s="55"/>
      <c r="HBU15" s="55"/>
      <c r="HBV15" s="55"/>
      <c r="HBW15" s="55"/>
      <c r="HBX15" s="55"/>
      <c r="HBY15" s="55"/>
      <c r="HBZ15" s="55"/>
      <c r="HCA15" s="55"/>
      <c r="HCB15" s="55"/>
      <c r="HCC15" s="55"/>
      <c r="HCD15" s="55"/>
      <c r="HCE15" s="55"/>
      <c r="HCF15" s="55"/>
      <c r="HCG15" s="55"/>
      <c r="HCH15" s="55"/>
      <c r="HCI15" s="55"/>
      <c r="HCJ15" s="55"/>
      <c r="HCK15" s="55"/>
      <c r="HCL15" s="55"/>
      <c r="HCM15" s="55"/>
      <c r="HCN15" s="55"/>
      <c r="HCO15" s="55"/>
      <c r="HCP15" s="55"/>
      <c r="HCQ15" s="55"/>
      <c r="HCR15" s="55"/>
      <c r="HCS15" s="55"/>
      <c r="HCT15" s="55"/>
      <c r="HCU15" s="55"/>
      <c r="HCV15" s="55"/>
      <c r="HCW15" s="55"/>
      <c r="HCX15" s="55"/>
      <c r="HCY15" s="55"/>
      <c r="HCZ15" s="55"/>
      <c r="HDA15" s="55"/>
      <c r="HDB15" s="55"/>
      <c r="HDC15" s="55"/>
      <c r="HDD15" s="55"/>
      <c r="HDE15" s="55"/>
      <c r="HDF15" s="55"/>
      <c r="HDG15" s="55"/>
      <c r="HDH15" s="55"/>
      <c r="HDI15" s="55"/>
      <c r="HDJ15" s="55"/>
      <c r="HDK15" s="55"/>
      <c r="HDL15" s="55"/>
      <c r="HDM15" s="55"/>
      <c r="HDN15" s="55"/>
      <c r="HDO15" s="55"/>
      <c r="HDP15" s="55"/>
      <c r="HDQ15" s="55"/>
      <c r="HDR15" s="55"/>
      <c r="HDS15" s="55"/>
      <c r="HDT15" s="55"/>
      <c r="HDU15" s="55"/>
      <c r="HDV15" s="55"/>
      <c r="HDW15" s="55"/>
      <c r="HDX15" s="55"/>
      <c r="HDY15" s="55"/>
      <c r="HDZ15" s="55"/>
      <c r="HEA15" s="55"/>
      <c r="HEB15" s="55"/>
      <c r="HEC15" s="55"/>
      <c r="HED15" s="55"/>
      <c r="HEE15" s="55"/>
      <c r="HEF15" s="55"/>
      <c r="HEG15" s="55"/>
      <c r="HEH15" s="55"/>
      <c r="HEI15" s="55"/>
      <c r="HEJ15" s="55"/>
      <c r="HEK15" s="55"/>
      <c r="HEL15" s="55"/>
      <c r="HEM15" s="55"/>
      <c r="HEN15" s="55"/>
      <c r="HEO15" s="55"/>
      <c r="HEP15" s="55"/>
      <c r="HEQ15" s="55"/>
      <c r="HER15" s="55"/>
      <c r="HES15" s="55"/>
      <c r="HET15" s="55"/>
      <c r="HEU15" s="55"/>
      <c r="HEV15" s="55"/>
      <c r="HEW15" s="55"/>
      <c r="HEX15" s="55"/>
      <c r="HEY15" s="55"/>
      <c r="HEZ15" s="55"/>
      <c r="HFA15" s="55"/>
      <c r="HFB15" s="55"/>
      <c r="HFC15" s="55"/>
      <c r="HFD15" s="55"/>
      <c r="HFE15" s="55"/>
      <c r="HFF15" s="55"/>
      <c r="HFG15" s="55"/>
      <c r="HFH15" s="55"/>
      <c r="HFI15" s="55"/>
      <c r="HFJ15" s="55"/>
      <c r="HFK15" s="55"/>
      <c r="HFL15" s="55"/>
      <c r="HFM15" s="55"/>
      <c r="HFN15" s="55"/>
      <c r="HFO15" s="55"/>
      <c r="HFP15" s="55"/>
      <c r="HFQ15" s="55"/>
      <c r="HFR15" s="55"/>
      <c r="HFS15" s="55"/>
      <c r="HFT15" s="55"/>
      <c r="HFU15" s="55"/>
      <c r="HFV15" s="55"/>
      <c r="HFW15" s="55"/>
      <c r="HFX15" s="55"/>
      <c r="HFY15" s="55"/>
      <c r="HFZ15" s="55"/>
      <c r="HGA15" s="55"/>
      <c r="HGB15" s="55"/>
      <c r="HGC15" s="55"/>
      <c r="HGD15" s="55"/>
      <c r="HGE15" s="55"/>
      <c r="HGF15" s="55"/>
      <c r="HGG15" s="55"/>
      <c r="HGH15" s="55"/>
      <c r="HGI15" s="55"/>
      <c r="HGJ15" s="55"/>
      <c r="HGK15" s="55"/>
      <c r="HGL15" s="55"/>
      <c r="HGM15" s="55"/>
      <c r="HGN15" s="55"/>
      <c r="HGO15" s="55"/>
      <c r="HGP15" s="55"/>
      <c r="HGQ15" s="55"/>
      <c r="HGR15" s="55"/>
      <c r="HGS15" s="55"/>
      <c r="HGT15" s="55"/>
      <c r="HGU15" s="55"/>
      <c r="HGV15" s="55"/>
      <c r="HGW15" s="55"/>
      <c r="HGX15" s="55"/>
      <c r="HGY15" s="55"/>
      <c r="HGZ15" s="55"/>
      <c r="HHA15" s="55"/>
      <c r="HHB15" s="55"/>
      <c r="HHC15" s="55"/>
      <c r="HHD15" s="55"/>
      <c r="HHE15" s="55"/>
      <c r="HHF15" s="55"/>
      <c r="HHG15" s="55"/>
      <c r="HHH15" s="55"/>
      <c r="HHI15" s="55"/>
      <c r="HHJ15" s="55"/>
      <c r="HHK15" s="55"/>
      <c r="HHL15" s="55"/>
      <c r="HHM15" s="55"/>
      <c r="HHN15" s="55"/>
      <c r="HHO15" s="55"/>
      <c r="HHP15" s="55"/>
      <c r="HHQ15" s="55"/>
      <c r="HHR15" s="55"/>
      <c r="HHS15" s="55"/>
      <c r="HHT15" s="55"/>
      <c r="HHU15" s="55"/>
      <c r="HHV15" s="55"/>
      <c r="HHW15" s="55"/>
      <c r="HHX15" s="55"/>
      <c r="HHY15" s="55"/>
      <c r="HHZ15" s="55"/>
      <c r="HIA15" s="55"/>
      <c r="HIB15" s="55"/>
      <c r="HIC15" s="55"/>
      <c r="HID15" s="55"/>
      <c r="HIE15" s="55"/>
      <c r="HIF15" s="55"/>
      <c r="HIG15" s="55"/>
      <c r="HIH15" s="55"/>
      <c r="HII15" s="55"/>
      <c r="HIJ15" s="55"/>
      <c r="HIK15" s="55"/>
      <c r="HIL15" s="55"/>
      <c r="HIM15" s="55"/>
      <c r="HIN15" s="55"/>
      <c r="HIO15" s="55"/>
      <c r="HIP15" s="55"/>
      <c r="HIQ15" s="55"/>
      <c r="HIR15" s="55"/>
      <c r="HIS15" s="55"/>
      <c r="HIT15" s="55"/>
      <c r="HIU15" s="55"/>
      <c r="HIV15" s="55"/>
      <c r="HIW15" s="55"/>
      <c r="HIX15" s="55"/>
      <c r="HIY15" s="55"/>
      <c r="HIZ15" s="55"/>
      <c r="HJA15" s="55"/>
      <c r="HJB15" s="55"/>
      <c r="HJC15" s="55"/>
      <c r="HJD15" s="55"/>
      <c r="HJE15" s="55"/>
      <c r="HJF15" s="55"/>
      <c r="HJG15" s="55"/>
      <c r="HJH15" s="55"/>
      <c r="HJI15" s="55"/>
      <c r="HJJ15" s="55"/>
      <c r="HJK15" s="55"/>
      <c r="HJL15" s="55"/>
      <c r="HJM15" s="55"/>
      <c r="HJN15" s="55"/>
      <c r="HJO15" s="55"/>
      <c r="HJP15" s="55"/>
      <c r="HJQ15" s="55"/>
      <c r="HJR15" s="55"/>
      <c r="HJS15" s="55"/>
      <c r="HJT15" s="55"/>
      <c r="HJU15" s="55"/>
      <c r="HJV15" s="55"/>
      <c r="HJW15" s="55"/>
      <c r="HJX15" s="55"/>
      <c r="HJY15" s="55"/>
      <c r="HJZ15" s="55"/>
      <c r="HKA15" s="55"/>
      <c r="HKB15" s="55"/>
      <c r="HKC15" s="55"/>
      <c r="HKD15" s="55"/>
      <c r="HKE15" s="55"/>
      <c r="HKF15" s="55"/>
      <c r="HKG15" s="55"/>
      <c r="HKH15" s="55"/>
      <c r="HKI15" s="55"/>
      <c r="HKJ15" s="55"/>
      <c r="HKK15" s="55"/>
      <c r="HKL15" s="55"/>
      <c r="HKM15" s="55"/>
      <c r="HKN15" s="55"/>
      <c r="HKO15" s="55"/>
      <c r="HKP15" s="55"/>
      <c r="HKQ15" s="55"/>
      <c r="HKR15" s="55"/>
      <c r="HKS15" s="55"/>
      <c r="HKT15" s="55"/>
      <c r="HKU15" s="55"/>
      <c r="HKV15" s="55"/>
      <c r="HKW15" s="55"/>
      <c r="HKX15" s="55"/>
      <c r="HKY15" s="55"/>
      <c r="HKZ15" s="55"/>
      <c r="HLA15" s="55"/>
      <c r="HLB15" s="55"/>
      <c r="HLC15" s="55"/>
      <c r="HLD15" s="55"/>
      <c r="HLE15" s="55"/>
      <c r="HLF15" s="55"/>
      <c r="HLG15" s="55"/>
      <c r="HLH15" s="55"/>
      <c r="HLI15" s="55"/>
      <c r="HLJ15" s="55"/>
      <c r="HLK15" s="55"/>
      <c r="HLL15" s="55"/>
      <c r="HLM15" s="55"/>
      <c r="HLN15" s="55"/>
      <c r="HLO15" s="55"/>
      <c r="HLP15" s="55"/>
      <c r="HLQ15" s="55"/>
      <c r="HLR15" s="55"/>
      <c r="HLS15" s="55"/>
      <c r="HLT15" s="55"/>
      <c r="HLU15" s="55"/>
      <c r="HLV15" s="55"/>
      <c r="HLW15" s="55"/>
      <c r="HLX15" s="55"/>
      <c r="HLY15" s="55"/>
      <c r="HLZ15" s="55"/>
      <c r="HMA15" s="55"/>
      <c r="HMB15" s="55"/>
      <c r="HMC15" s="55"/>
      <c r="HMD15" s="55"/>
      <c r="HME15" s="55"/>
      <c r="HMF15" s="55"/>
      <c r="HMG15" s="55"/>
      <c r="HMH15" s="55"/>
      <c r="HMI15" s="55"/>
      <c r="HMJ15" s="55"/>
      <c r="HMK15" s="55"/>
      <c r="HML15" s="55"/>
      <c r="HMM15" s="55"/>
      <c r="HMN15" s="55"/>
      <c r="HMO15" s="55"/>
      <c r="HMP15" s="55"/>
      <c r="HMQ15" s="55"/>
      <c r="HMR15" s="55"/>
      <c r="HMS15" s="55"/>
      <c r="HMT15" s="55"/>
      <c r="HMU15" s="55"/>
      <c r="HMV15" s="55"/>
      <c r="HMW15" s="55"/>
      <c r="HMX15" s="55"/>
      <c r="HMY15" s="55"/>
      <c r="HMZ15" s="55"/>
      <c r="HNA15" s="55"/>
      <c r="HNB15" s="55"/>
      <c r="HNC15" s="55"/>
      <c r="HND15" s="55"/>
      <c r="HNE15" s="55"/>
      <c r="HNF15" s="55"/>
      <c r="HNG15" s="55"/>
      <c r="HNH15" s="55"/>
      <c r="HNI15" s="55"/>
      <c r="HNJ15" s="55"/>
      <c r="HNK15" s="55"/>
      <c r="HNL15" s="55"/>
      <c r="HNM15" s="55"/>
      <c r="HNN15" s="55"/>
      <c r="HNO15" s="55"/>
      <c r="HNP15" s="55"/>
      <c r="HNQ15" s="55"/>
      <c r="HNR15" s="55"/>
      <c r="HNS15" s="55"/>
      <c r="HNT15" s="55"/>
      <c r="HNU15" s="55"/>
      <c r="HNV15" s="55"/>
      <c r="HNW15" s="55"/>
      <c r="HNX15" s="55"/>
      <c r="HNY15" s="55"/>
      <c r="HNZ15" s="55"/>
      <c r="HOA15" s="55"/>
      <c r="HOB15" s="55"/>
      <c r="HOC15" s="55"/>
      <c r="HOD15" s="55"/>
      <c r="HOE15" s="55"/>
      <c r="HOF15" s="55"/>
      <c r="HOG15" s="55"/>
      <c r="HOH15" s="55"/>
      <c r="HOI15" s="55"/>
      <c r="HOJ15" s="55"/>
      <c r="HOK15" s="55"/>
      <c r="HOL15" s="55"/>
      <c r="HOM15" s="55"/>
      <c r="HON15" s="55"/>
      <c r="HOO15" s="55"/>
      <c r="HOP15" s="55"/>
      <c r="HOQ15" s="55"/>
      <c r="HOR15" s="55"/>
      <c r="HOS15" s="55"/>
      <c r="HOT15" s="55"/>
      <c r="HOU15" s="55"/>
      <c r="HOV15" s="55"/>
      <c r="HOW15" s="55"/>
      <c r="HOX15" s="55"/>
      <c r="HOY15" s="55"/>
      <c r="HOZ15" s="55"/>
      <c r="HPA15" s="55"/>
      <c r="HPB15" s="55"/>
      <c r="HPC15" s="55"/>
      <c r="HPD15" s="55"/>
      <c r="HPE15" s="55"/>
      <c r="HPF15" s="55"/>
      <c r="HPG15" s="55"/>
      <c r="HPH15" s="55"/>
      <c r="HPI15" s="55"/>
      <c r="HPJ15" s="55"/>
      <c r="HPK15" s="55"/>
      <c r="HPL15" s="55"/>
      <c r="HPM15" s="55"/>
      <c r="HPN15" s="55"/>
      <c r="HPO15" s="55"/>
      <c r="HPP15" s="55"/>
      <c r="HPQ15" s="55"/>
      <c r="HPR15" s="55"/>
      <c r="HPS15" s="55"/>
      <c r="HPT15" s="55"/>
      <c r="HPU15" s="55"/>
      <c r="HPV15" s="55"/>
      <c r="HPW15" s="55"/>
      <c r="HPX15" s="55"/>
      <c r="HPY15" s="55"/>
      <c r="HPZ15" s="55"/>
      <c r="HQA15" s="55"/>
      <c r="HQB15" s="55"/>
      <c r="HQC15" s="55"/>
      <c r="HQD15" s="55"/>
      <c r="HQE15" s="55"/>
      <c r="HQF15" s="55"/>
      <c r="HQG15" s="55"/>
      <c r="HQH15" s="55"/>
      <c r="HQI15" s="55"/>
      <c r="HQJ15" s="55"/>
      <c r="HQK15" s="55"/>
      <c r="HQL15" s="55"/>
      <c r="HQM15" s="55"/>
      <c r="HQN15" s="55"/>
      <c r="HQO15" s="55"/>
      <c r="HQP15" s="55"/>
      <c r="HQQ15" s="55"/>
      <c r="HQR15" s="55"/>
      <c r="HQS15" s="55"/>
      <c r="HQT15" s="55"/>
      <c r="HQU15" s="55"/>
      <c r="HQV15" s="55"/>
      <c r="HQW15" s="55"/>
      <c r="HQX15" s="55"/>
      <c r="HQY15" s="55"/>
      <c r="HQZ15" s="55"/>
      <c r="HRA15" s="55"/>
      <c r="HRB15" s="55"/>
      <c r="HRC15" s="55"/>
      <c r="HRD15" s="55"/>
      <c r="HRE15" s="55"/>
      <c r="HRF15" s="55"/>
      <c r="HRG15" s="55"/>
      <c r="HRH15" s="55"/>
      <c r="HRI15" s="55"/>
      <c r="HRJ15" s="55"/>
      <c r="HRK15" s="55"/>
      <c r="HRL15" s="55"/>
      <c r="HRM15" s="55"/>
      <c r="HRN15" s="55"/>
      <c r="HRO15" s="55"/>
      <c r="HRP15" s="55"/>
      <c r="HRQ15" s="55"/>
      <c r="HRR15" s="55"/>
      <c r="HRS15" s="55"/>
      <c r="HRT15" s="55"/>
      <c r="HRU15" s="55"/>
      <c r="HRV15" s="55"/>
      <c r="HRW15" s="55"/>
      <c r="HRX15" s="55"/>
      <c r="HRY15" s="55"/>
      <c r="HRZ15" s="55"/>
      <c r="HSA15" s="55"/>
      <c r="HSB15" s="55"/>
      <c r="HSC15" s="55"/>
      <c r="HSD15" s="55"/>
      <c r="HSE15" s="55"/>
      <c r="HSF15" s="55"/>
      <c r="HSG15" s="55"/>
      <c r="HSH15" s="55"/>
      <c r="HSI15" s="55"/>
      <c r="HSJ15" s="55"/>
      <c r="HSK15" s="55"/>
      <c r="HSL15" s="55"/>
      <c r="HSM15" s="55"/>
      <c r="HSN15" s="55"/>
      <c r="HSO15" s="55"/>
      <c r="HSP15" s="55"/>
      <c r="HSQ15" s="55"/>
      <c r="HSR15" s="55"/>
      <c r="HSS15" s="55"/>
      <c r="HST15" s="55"/>
      <c r="HSU15" s="55"/>
      <c r="HSV15" s="55"/>
      <c r="HSW15" s="55"/>
      <c r="HSX15" s="55"/>
      <c r="HSY15" s="55"/>
      <c r="HSZ15" s="55"/>
      <c r="HTA15" s="55"/>
      <c r="HTB15" s="55"/>
      <c r="HTC15" s="55"/>
      <c r="HTD15" s="55"/>
      <c r="HTE15" s="55"/>
      <c r="HTF15" s="55"/>
      <c r="HTG15" s="55"/>
      <c r="HTH15" s="55"/>
      <c r="HTI15" s="55"/>
      <c r="HTJ15" s="55"/>
      <c r="HTK15" s="55"/>
      <c r="HTL15" s="55"/>
      <c r="HTM15" s="55"/>
      <c r="HTN15" s="55"/>
      <c r="HTO15" s="55"/>
      <c r="HTP15" s="55"/>
      <c r="HTQ15" s="55"/>
      <c r="HTR15" s="55"/>
      <c r="HTS15" s="55"/>
      <c r="HTT15" s="55"/>
      <c r="HTU15" s="55"/>
      <c r="HTV15" s="55"/>
      <c r="HTW15" s="55"/>
      <c r="HTX15" s="55"/>
      <c r="HTY15" s="55"/>
      <c r="HTZ15" s="55"/>
      <c r="HUA15" s="55"/>
      <c r="HUB15" s="55"/>
      <c r="HUC15" s="55"/>
      <c r="HUD15" s="55"/>
      <c r="HUE15" s="55"/>
      <c r="HUF15" s="55"/>
      <c r="HUG15" s="55"/>
      <c r="HUH15" s="55"/>
      <c r="HUI15" s="55"/>
      <c r="HUJ15" s="55"/>
      <c r="HUK15" s="55"/>
      <c r="HUL15" s="55"/>
      <c r="HUM15" s="55"/>
      <c r="HUN15" s="55"/>
      <c r="HUO15" s="55"/>
      <c r="HUP15" s="55"/>
      <c r="HUQ15" s="55"/>
      <c r="HUR15" s="55"/>
      <c r="HUS15" s="55"/>
      <c r="HUT15" s="55"/>
      <c r="HUU15" s="55"/>
      <c r="HUV15" s="55"/>
      <c r="HUW15" s="55"/>
      <c r="HUX15" s="55"/>
      <c r="HUY15" s="55"/>
      <c r="HUZ15" s="55"/>
      <c r="HVA15" s="55"/>
      <c r="HVB15" s="55"/>
      <c r="HVC15" s="55"/>
      <c r="HVD15" s="55"/>
      <c r="HVE15" s="55"/>
      <c r="HVF15" s="55"/>
      <c r="HVG15" s="55"/>
      <c r="HVH15" s="55"/>
      <c r="HVI15" s="55"/>
      <c r="HVJ15" s="55"/>
      <c r="HVK15" s="55"/>
      <c r="HVL15" s="55"/>
      <c r="HVM15" s="55"/>
      <c r="HVN15" s="55"/>
      <c r="HVO15" s="55"/>
      <c r="HVP15" s="55"/>
      <c r="HVQ15" s="55"/>
      <c r="HVR15" s="55"/>
      <c r="HVS15" s="55"/>
      <c r="HVT15" s="55"/>
      <c r="HVU15" s="55"/>
      <c r="HVV15" s="55"/>
      <c r="HVW15" s="55"/>
      <c r="HVX15" s="55"/>
      <c r="HVY15" s="55"/>
      <c r="HVZ15" s="55"/>
      <c r="HWA15" s="55"/>
      <c r="HWB15" s="55"/>
      <c r="HWC15" s="55"/>
      <c r="HWD15" s="55"/>
      <c r="HWE15" s="55"/>
      <c r="HWF15" s="55"/>
      <c r="HWG15" s="55"/>
      <c r="HWH15" s="55"/>
      <c r="HWI15" s="55"/>
      <c r="HWJ15" s="55"/>
      <c r="HWK15" s="55"/>
      <c r="HWL15" s="55"/>
      <c r="HWM15" s="55"/>
      <c r="HWN15" s="55"/>
      <c r="HWO15" s="55"/>
      <c r="HWP15" s="55"/>
      <c r="HWQ15" s="55"/>
      <c r="HWR15" s="55"/>
      <c r="HWS15" s="55"/>
      <c r="HWT15" s="55"/>
      <c r="HWU15" s="55"/>
      <c r="HWV15" s="55"/>
      <c r="HWW15" s="55"/>
      <c r="HWX15" s="55"/>
      <c r="HWY15" s="55"/>
      <c r="HWZ15" s="55"/>
      <c r="HXA15" s="55"/>
      <c r="HXB15" s="55"/>
      <c r="HXC15" s="55"/>
      <c r="HXD15" s="55"/>
      <c r="HXE15" s="55"/>
      <c r="HXF15" s="55"/>
      <c r="HXG15" s="55"/>
      <c r="HXH15" s="55"/>
      <c r="HXI15" s="55"/>
      <c r="HXJ15" s="55"/>
      <c r="HXK15" s="55"/>
      <c r="HXL15" s="55"/>
      <c r="HXM15" s="55"/>
      <c r="HXN15" s="55"/>
      <c r="HXO15" s="55"/>
      <c r="HXP15" s="55"/>
      <c r="HXQ15" s="55"/>
      <c r="HXR15" s="55"/>
      <c r="HXS15" s="55"/>
      <c r="HXT15" s="55"/>
      <c r="HXU15" s="55"/>
      <c r="HXV15" s="55"/>
      <c r="HXW15" s="55"/>
      <c r="HXX15" s="55"/>
      <c r="HXY15" s="55"/>
      <c r="HXZ15" s="55"/>
      <c r="HYA15" s="55"/>
      <c r="HYB15" s="55"/>
      <c r="HYC15" s="55"/>
      <c r="HYD15" s="55"/>
      <c r="HYE15" s="55"/>
      <c r="HYF15" s="55"/>
      <c r="HYG15" s="55"/>
      <c r="HYH15" s="55"/>
      <c r="HYI15" s="55"/>
      <c r="HYJ15" s="55"/>
      <c r="HYK15" s="55"/>
      <c r="HYL15" s="55"/>
      <c r="HYM15" s="55"/>
      <c r="HYN15" s="55"/>
      <c r="HYO15" s="55"/>
      <c r="HYP15" s="55"/>
      <c r="HYQ15" s="55"/>
      <c r="HYR15" s="55"/>
      <c r="HYS15" s="55"/>
      <c r="HYT15" s="55"/>
      <c r="HYU15" s="55"/>
      <c r="HYV15" s="55"/>
      <c r="HYW15" s="55"/>
      <c r="HYX15" s="55"/>
      <c r="HYY15" s="55"/>
      <c r="HYZ15" s="55"/>
      <c r="HZA15" s="55"/>
      <c r="HZB15" s="55"/>
      <c r="HZC15" s="55"/>
      <c r="HZD15" s="55"/>
      <c r="HZE15" s="55"/>
      <c r="HZF15" s="55"/>
      <c r="HZG15" s="55"/>
      <c r="HZH15" s="55"/>
      <c r="HZI15" s="55"/>
      <c r="HZJ15" s="55"/>
      <c r="HZK15" s="55"/>
      <c r="HZL15" s="55"/>
      <c r="HZM15" s="55"/>
      <c r="HZN15" s="55"/>
      <c r="HZO15" s="55"/>
      <c r="HZP15" s="55"/>
      <c r="HZQ15" s="55"/>
      <c r="HZR15" s="55"/>
      <c r="HZS15" s="55"/>
      <c r="HZT15" s="55"/>
      <c r="HZU15" s="55"/>
      <c r="HZV15" s="55"/>
      <c r="HZW15" s="55"/>
      <c r="HZX15" s="55"/>
      <c r="HZY15" s="55"/>
      <c r="HZZ15" s="55"/>
      <c r="IAA15" s="55"/>
      <c r="IAB15" s="55"/>
      <c r="IAC15" s="55"/>
      <c r="IAD15" s="55"/>
      <c r="IAE15" s="55"/>
      <c r="IAF15" s="55"/>
      <c r="IAG15" s="55"/>
      <c r="IAH15" s="55"/>
      <c r="IAI15" s="55"/>
      <c r="IAJ15" s="55"/>
      <c r="IAK15" s="55"/>
      <c r="IAL15" s="55"/>
      <c r="IAM15" s="55"/>
      <c r="IAN15" s="55"/>
      <c r="IAO15" s="55"/>
      <c r="IAP15" s="55"/>
      <c r="IAQ15" s="55"/>
      <c r="IAR15" s="55"/>
      <c r="IAS15" s="55"/>
      <c r="IAT15" s="55"/>
      <c r="IAU15" s="55"/>
      <c r="IAV15" s="55"/>
      <c r="IAW15" s="55"/>
      <c r="IAX15" s="55"/>
      <c r="IAY15" s="55"/>
      <c r="IAZ15" s="55"/>
      <c r="IBA15" s="55"/>
      <c r="IBB15" s="55"/>
      <c r="IBC15" s="55"/>
      <c r="IBD15" s="55"/>
      <c r="IBE15" s="55"/>
      <c r="IBF15" s="55"/>
      <c r="IBG15" s="55"/>
      <c r="IBH15" s="55"/>
      <c r="IBI15" s="55"/>
      <c r="IBJ15" s="55"/>
      <c r="IBK15" s="55"/>
      <c r="IBL15" s="55"/>
      <c r="IBM15" s="55"/>
      <c r="IBN15" s="55"/>
      <c r="IBO15" s="55"/>
      <c r="IBP15" s="55"/>
      <c r="IBQ15" s="55"/>
      <c r="IBR15" s="55"/>
      <c r="IBS15" s="55"/>
      <c r="IBT15" s="55"/>
      <c r="IBU15" s="55"/>
      <c r="IBV15" s="55"/>
      <c r="IBW15" s="55"/>
      <c r="IBX15" s="55"/>
      <c r="IBY15" s="55"/>
      <c r="IBZ15" s="55"/>
      <c r="ICA15" s="55"/>
      <c r="ICB15" s="55"/>
      <c r="ICC15" s="55"/>
      <c r="ICD15" s="55"/>
      <c r="ICE15" s="55"/>
      <c r="ICF15" s="55"/>
      <c r="ICG15" s="55"/>
      <c r="ICH15" s="55"/>
      <c r="ICI15" s="55"/>
      <c r="ICJ15" s="55"/>
      <c r="ICK15" s="55"/>
      <c r="ICL15" s="55"/>
      <c r="ICM15" s="55"/>
      <c r="ICN15" s="55"/>
      <c r="ICO15" s="55"/>
      <c r="ICP15" s="55"/>
      <c r="ICQ15" s="55"/>
      <c r="ICR15" s="55"/>
      <c r="ICS15" s="55"/>
      <c r="ICT15" s="55"/>
      <c r="ICU15" s="55"/>
      <c r="ICV15" s="55"/>
      <c r="ICW15" s="55"/>
      <c r="ICX15" s="55"/>
      <c r="ICY15" s="55"/>
      <c r="ICZ15" s="55"/>
      <c r="IDA15" s="55"/>
      <c r="IDB15" s="55"/>
      <c r="IDC15" s="55"/>
      <c r="IDD15" s="55"/>
      <c r="IDE15" s="55"/>
      <c r="IDF15" s="55"/>
      <c r="IDG15" s="55"/>
      <c r="IDH15" s="55"/>
      <c r="IDI15" s="55"/>
      <c r="IDJ15" s="55"/>
      <c r="IDK15" s="55"/>
      <c r="IDL15" s="55"/>
      <c r="IDM15" s="55"/>
      <c r="IDN15" s="55"/>
      <c r="IDO15" s="55"/>
      <c r="IDP15" s="55"/>
      <c r="IDQ15" s="55"/>
      <c r="IDR15" s="55"/>
      <c r="IDS15" s="55"/>
      <c r="IDT15" s="55"/>
      <c r="IDU15" s="55"/>
      <c r="IDV15" s="55"/>
      <c r="IDW15" s="55"/>
      <c r="IDX15" s="55"/>
      <c r="IDY15" s="55"/>
      <c r="IDZ15" s="55"/>
      <c r="IEA15" s="55"/>
      <c r="IEB15" s="55"/>
      <c r="IEC15" s="55"/>
      <c r="IED15" s="55"/>
      <c r="IEE15" s="55"/>
      <c r="IEF15" s="55"/>
      <c r="IEG15" s="55"/>
      <c r="IEH15" s="55"/>
      <c r="IEI15" s="55"/>
      <c r="IEJ15" s="55"/>
      <c r="IEK15" s="55"/>
      <c r="IEL15" s="55"/>
      <c r="IEM15" s="55"/>
      <c r="IEN15" s="55"/>
      <c r="IEO15" s="55"/>
      <c r="IEP15" s="55"/>
      <c r="IEQ15" s="55"/>
      <c r="IER15" s="55"/>
      <c r="IES15" s="55"/>
      <c r="IET15" s="55"/>
      <c r="IEU15" s="55"/>
      <c r="IEV15" s="55"/>
      <c r="IEW15" s="55"/>
      <c r="IEX15" s="55"/>
      <c r="IEY15" s="55"/>
      <c r="IEZ15" s="55"/>
      <c r="IFA15" s="55"/>
      <c r="IFB15" s="55"/>
      <c r="IFC15" s="55"/>
      <c r="IFD15" s="55"/>
      <c r="IFE15" s="55"/>
      <c r="IFF15" s="55"/>
      <c r="IFG15" s="55"/>
      <c r="IFH15" s="55"/>
      <c r="IFI15" s="55"/>
      <c r="IFJ15" s="55"/>
      <c r="IFK15" s="55"/>
      <c r="IFL15" s="55"/>
      <c r="IFM15" s="55"/>
      <c r="IFN15" s="55"/>
      <c r="IFO15" s="55"/>
      <c r="IFP15" s="55"/>
      <c r="IFQ15" s="55"/>
      <c r="IFR15" s="55"/>
      <c r="IFS15" s="55"/>
      <c r="IFT15" s="55"/>
      <c r="IFU15" s="55"/>
      <c r="IFV15" s="55"/>
      <c r="IFW15" s="55"/>
      <c r="IFX15" s="55"/>
      <c r="IFY15" s="55"/>
      <c r="IFZ15" s="55"/>
      <c r="IGA15" s="55"/>
      <c r="IGB15" s="55"/>
      <c r="IGC15" s="55"/>
      <c r="IGD15" s="55"/>
      <c r="IGE15" s="55"/>
      <c r="IGF15" s="55"/>
      <c r="IGG15" s="55"/>
      <c r="IGH15" s="55"/>
      <c r="IGI15" s="55"/>
      <c r="IGJ15" s="55"/>
      <c r="IGK15" s="55"/>
      <c r="IGL15" s="55"/>
      <c r="IGM15" s="55"/>
      <c r="IGN15" s="55"/>
      <c r="IGO15" s="55"/>
      <c r="IGP15" s="55"/>
      <c r="IGQ15" s="55"/>
      <c r="IGR15" s="55"/>
      <c r="IGS15" s="55"/>
      <c r="IGT15" s="55"/>
      <c r="IGU15" s="55"/>
      <c r="IGV15" s="55"/>
      <c r="IGW15" s="55"/>
      <c r="IGX15" s="55"/>
      <c r="IGY15" s="55"/>
      <c r="IGZ15" s="55"/>
      <c r="IHA15" s="55"/>
      <c r="IHB15" s="55"/>
      <c r="IHC15" s="55"/>
      <c r="IHD15" s="55"/>
      <c r="IHE15" s="55"/>
      <c r="IHF15" s="55"/>
      <c r="IHG15" s="55"/>
      <c r="IHH15" s="55"/>
      <c r="IHI15" s="55"/>
      <c r="IHJ15" s="55"/>
      <c r="IHK15" s="55"/>
      <c r="IHL15" s="55"/>
      <c r="IHM15" s="55"/>
      <c r="IHN15" s="55"/>
      <c r="IHO15" s="55"/>
      <c r="IHP15" s="55"/>
      <c r="IHQ15" s="55"/>
      <c r="IHR15" s="55"/>
      <c r="IHS15" s="55"/>
      <c r="IHT15" s="55"/>
      <c r="IHU15" s="55"/>
      <c r="IHV15" s="55"/>
      <c r="IHW15" s="55"/>
      <c r="IHX15" s="55"/>
      <c r="IHY15" s="55"/>
      <c r="IHZ15" s="55"/>
      <c r="IIA15" s="55"/>
      <c r="IIB15" s="55"/>
      <c r="IIC15" s="55"/>
      <c r="IID15" s="55"/>
      <c r="IIE15" s="55"/>
      <c r="IIF15" s="55"/>
      <c r="IIG15" s="55"/>
      <c r="IIH15" s="55"/>
      <c r="III15" s="55"/>
      <c r="IIJ15" s="55"/>
      <c r="IIK15" s="55"/>
      <c r="IIL15" s="55"/>
      <c r="IIM15" s="55"/>
      <c r="IIN15" s="55"/>
      <c r="IIO15" s="55"/>
      <c r="IIP15" s="55"/>
      <c r="IIQ15" s="55"/>
      <c r="IIR15" s="55"/>
      <c r="IIS15" s="55"/>
      <c r="IIT15" s="55"/>
      <c r="IIU15" s="55"/>
      <c r="IIV15" s="55"/>
      <c r="IIW15" s="55"/>
      <c r="IIX15" s="55"/>
      <c r="IIY15" s="55"/>
      <c r="IIZ15" s="55"/>
      <c r="IJA15" s="55"/>
      <c r="IJB15" s="55"/>
      <c r="IJC15" s="55"/>
      <c r="IJD15" s="55"/>
      <c r="IJE15" s="55"/>
      <c r="IJF15" s="55"/>
      <c r="IJG15" s="55"/>
      <c r="IJH15" s="55"/>
      <c r="IJI15" s="55"/>
      <c r="IJJ15" s="55"/>
      <c r="IJK15" s="55"/>
      <c r="IJL15" s="55"/>
      <c r="IJM15" s="55"/>
      <c r="IJN15" s="55"/>
      <c r="IJO15" s="55"/>
      <c r="IJP15" s="55"/>
      <c r="IJQ15" s="55"/>
      <c r="IJR15" s="55"/>
      <c r="IJS15" s="55"/>
      <c r="IJT15" s="55"/>
      <c r="IJU15" s="55"/>
      <c r="IJV15" s="55"/>
      <c r="IJW15" s="55"/>
      <c r="IJX15" s="55"/>
      <c r="IJY15" s="55"/>
      <c r="IJZ15" s="55"/>
      <c r="IKA15" s="55"/>
      <c r="IKB15" s="55"/>
      <c r="IKC15" s="55"/>
      <c r="IKD15" s="55"/>
      <c r="IKE15" s="55"/>
      <c r="IKF15" s="55"/>
      <c r="IKG15" s="55"/>
      <c r="IKH15" s="55"/>
      <c r="IKI15" s="55"/>
      <c r="IKJ15" s="55"/>
      <c r="IKK15" s="55"/>
      <c r="IKL15" s="55"/>
      <c r="IKM15" s="55"/>
      <c r="IKN15" s="55"/>
      <c r="IKO15" s="55"/>
      <c r="IKP15" s="55"/>
      <c r="IKQ15" s="55"/>
      <c r="IKR15" s="55"/>
      <c r="IKS15" s="55"/>
      <c r="IKT15" s="55"/>
      <c r="IKU15" s="55"/>
      <c r="IKV15" s="55"/>
      <c r="IKW15" s="55"/>
      <c r="IKX15" s="55"/>
      <c r="IKY15" s="55"/>
      <c r="IKZ15" s="55"/>
      <c r="ILA15" s="55"/>
      <c r="ILB15" s="55"/>
      <c r="ILC15" s="55"/>
      <c r="ILD15" s="55"/>
      <c r="ILE15" s="55"/>
      <c r="ILF15" s="55"/>
      <c r="ILG15" s="55"/>
      <c r="ILH15" s="55"/>
      <c r="ILI15" s="55"/>
      <c r="ILJ15" s="55"/>
      <c r="ILK15" s="55"/>
      <c r="ILL15" s="55"/>
      <c r="ILM15" s="55"/>
      <c r="ILN15" s="55"/>
      <c r="ILO15" s="55"/>
      <c r="ILP15" s="55"/>
      <c r="ILQ15" s="55"/>
      <c r="ILR15" s="55"/>
      <c r="ILS15" s="55"/>
      <c r="ILT15" s="55"/>
      <c r="ILU15" s="55"/>
      <c r="ILV15" s="55"/>
      <c r="ILW15" s="55"/>
      <c r="ILX15" s="55"/>
      <c r="ILY15" s="55"/>
      <c r="ILZ15" s="55"/>
      <c r="IMA15" s="55"/>
      <c r="IMB15" s="55"/>
      <c r="IMC15" s="55"/>
      <c r="IMD15" s="55"/>
      <c r="IME15" s="55"/>
      <c r="IMF15" s="55"/>
      <c r="IMG15" s="55"/>
      <c r="IMH15" s="55"/>
      <c r="IMI15" s="55"/>
      <c r="IMJ15" s="55"/>
      <c r="IMK15" s="55"/>
      <c r="IML15" s="55"/>
      <c r="IMM15" s="55"/>
      <c r="IMN15" s="55"/>
      <c r="IMO15" s="55"/>
      <c r="IMP15" s="55"/>
      <c r="IMQ15" s="55"/>
      <c r="IMR15" s="55"/>
      <c r="IMS15" s="55"/>
      <c r="IMT15" s="55"/>
      <c r="IMU15" s="55"/>
      <c r="IMV15" s="55"/>
      <c r="IMW15" s="55"/>
      <c r="IMX15" s="55"/>
      <c r="IMY15" s="55"/>
      <c r="IMZ15" s="55"/>
      <c r="INA15" s="55"/>
      <c r="INB15" s="55"/>
      <c r="INC15" s="55"/>
      <c r="IND15" s="55"/>
      <c r="INE15" s="55"/>
      <c r="INF15" s="55"/>
      <c r="ING15" s="55"/>
      <c r="INH15" s="55"/>
      <c r="INI15" s="55"/>
      <c r="INJ15" s="55"/>
      <c r="INK15" s="55"/>
      <c r="INL15" s="55"/>
      <c r="INM15" s="55"/>
      <c r="INN15" s="55"/>
      <c r="INO15" s="55"/>
      <c r="INP15" s="55"/>
      <c r="INQ15" s="55"/>
      <c r="INR15" s="55"/>
      <c r="INS15" s="55"/>
      <c r="INT15" s="55"/>
      <c r="INU15" s="55"/>
      <c r="INV15" s="55"/>
      <c r="INW15" s="55"/>
      <c r="INX15" s="55"/>
      <c r="INY15" s="55"/>
      <c r="INZ15" s="55"/>
      <c r="IOA15" s="55"/>
      <c r="IOB15" s="55"/>
      <c r="IOC15" s="55"/>
      <c r="IOD15" s="55"/>
      <c r="IOE15" s="55"/>
      <c r="IOF15" s="55"/>
      <c r="IOG15" s="55"/>
      <c r="IOH15" s="55"/>
      <c r="IOI15" s="55"/>
      <c r="IOJ15" s="55"/>
      <c r="IOK15" s="55"/>
      <c r="IOL15" s="55"/>
      <c r="IOM15" s="55"/>
      <c r="ION15" s="55"/>
      <c r="IOO15" s="55"/>
      <c r="IOP15" s="55"/>
      <c r="IOQ15" s="55"/>
      <c r="IOR15" s="55"/>
      <c r="IOS15" s="55"/>
      <c r="IOT15" s="55"/>
      <c r="IOU15" s="55"/>
      <c r="IOV15" s="55"/>
      <c r="IOW15" s="55"/>
      <c r="IOX15" s="55"/>
      <c r="IOY15" s="55"/>
      <c r="IOZ15" s="55"/>
      <c r="IPA15" s="55"/>
      <c r="IPB15" s="55"/>
      <c r="IPC15" s="55"/>
      <c r="IPD15" s="55"/>
      <c r="IPE15" s="55"/>
      <c r="IPF15" s="55"/>
      <c r="IPG15" s="55"/>
      <c r="IPH15" s="55"/>
      <c r="IPI15" s="55"/>
      <c r="IPJ15" s="55"/>
      <c r="IPK15" s="55"/>
      <c r="IPL15" s="55"/>
      <c r="IPM15" s="55"/>
      <c r="IPN15" s="55"/>
      <c r="IPO15" s="55"/>
      <c r="IPP15" s="55"/>
      <c r="IPQ15" s="55"/>
      <c r="IPR15" s="55"/>
      <c r="IPS15" s="55"/>
      <c r="IPT15" s="55"/>
      <c r="IPU15" s="55"/>
      <c r="IPV15" s="55"/>
      <c r="IPW15" s="55"/>
      <c r="IPX15" s="55"/>
      <c r="IPY15" s="55"/>
      <c r="IPZ15" s="55"/>
      <c r="IQA15" s="55"/>
      <c r="IQB15" s="55"/>
      <c r="IQC15" s="55"/>
      <c r="IQD15" s="55"/>
      <c r="IQE15" s="55"/>
      <c r="IQF15" s="55"/>
      <c r="IQG15" s="55"/>
      <c r="IQH15" s="55"/>
      <c r="IQI15" s="55"/>
      <c r="IQJ15" s="55"/>
      <c r="IQK15" s="55"/>
      <c r="IQL15" s="55"/>
      <c r="IQM15" s="55"/>
      <c r="IQN15" s="55"/>
      <c r="IQO15" s="55"/>
      <c r="IQP15" s="55"/>
      <c r="IQQ15" s="55"/>
      <c r="IQR15" s="55"/>
      <c r="IQS15" s="55"/>
      <c r="IQT15" s="55"/>
      <c r="IQU15" s="55"/>
      <c r="IQV15" s="55"/>
      <c r="IQW15" s="55"/>
      <c r="IQX15" s="55"/>
      <c r="IQY15" s="55"/>
      <c r="IQZ15" s="55"/>
      <c r="IRA15" s="55"/>
      <c r="IRB15" s="55"/>
      <c r="IRC15" s="55"/>
      <c r="IRD15" s="55"/>
      <c r="IRE15" s="55"/>
      <c r="IRF15" s="55"/>
      <c r="IRG15" s="55"/>
      <c r="IRH15" s="55"/>
      <c r="IRI15" s="55"/>
      <c r="IRJ15" s="55"/>
      <c r="IRK15" s="55"/>
      <c r="IRL15" s="55"/>
      <c r="IRM15" s="55"/>
      <c r="IRN15" s="55"/>
      <c r="IRO15" s="55"/>
      <c r="IRP15" s="55"/>
      <c r="IRQ15" s="55"/>
      <c r="IRR15" s="55"/>
      <c r="IRS15" s="55"/>
      <c r="IRT15" s="55"/>
      <c r="IRU15" s="55"/>
      <c r="IRV15" s="55"/>
      <c r="IRW15" s="55"/>
      <c r="IRX15" s="55"/>
      <c r="IRY15" s="55"/>
      <c r="IRZ15" s="55"/>
      <c r="ISA15" s="55"/>
      <c r="ISB15" s="55"/>
      <c r="ISC15" s="55"/>
      <c r="ISD15" s="55"/>
      <c r="ISE15" s="55"/>
      <c r="ISF15" s="55"/>
      <c r="ISG15" s="55"/>
      <c r="ISH15" s="55"/>
      <c r="ISI15" s="55"/>
      <c r="ISJ15" s="55"/>
      <c r="ISK15" s="55"/>
      <c r="ISL15" s="55"/>
      <c r="ISM15" s="55"/>
      <c r="ISN15" s="55"/>
      <c r="ISO15" s="55"/>
      <c r="ISP15" s="55"/>
      <c r="ISQ15" s="55"/>
      <c r="ISR15" s="55"/>
      <c r="ISS15" s="55"/>
      <c r="IST15" s="55"/>
      <c r="ISU15" s="55"/>
      <c r="ISV15" s="55"/>
      <c r="ISW15" s="55"/>
      <c r="ISX15" s="55"/>
      <c r="ISY15" s="55"/>
      <c r="ISZ15" s="55"/>
      <c r="ITA15" s="55"/>
      <c r="ITB15" s="55"/>
      <c r="ITC15" s="55"/>
      <c r="ITD15" s="55"/>
      <c r="ITE15" s="55"/>
      <c r="ITF15" s="55"/>
      <c r="ITG15" s="55"/>
      <c r="ITH15" s="55"/>
      <c r="ITI15" s="55"/>
      <c r="ITJ15" s="55"/>
      <c r="ITK15" s="55"/>
      <c r="ITL15" s="55"/>
      <c r="ITM15" s="55"/>
      <c r="ITN15" s="55"/>
      <c r="ITO15" s="55"/>
      <c r="ITP15" s="55"/>
      <c r="ITQ15" s="55"/>
      <c r="ITR15" s="55"/>
      <c r="ITS15" s="55"/>
      <c r="ITT15" s="55"/>
      <c r="ITU15" s="55"/>
      <c r="ITV15" s="55"/>
      <c r="ITW15" s="55"/>
      <c r="ITX15" s="55"/>
      <c r="ITY15" s="55"/>
      <c r="ITZ15" s="55"/>
      <c r="IUA15" s="55"/>
      <c r="IUB15" s="55"/>
      <c r="IUC15" s="55"/>
      <c r="IUD15" s="55"/>
      <c r="IUE15" s="55"/>
      <c r="IUF15" s="55"/>
      <c r="IUG15" s="55"/>
      <c r="IUH15" s="55"/>
      <c r="IUI15" s="55"/>
      <c r="IUJ15" s="55"/>
      <c r="IUK15" s="55"/>
      <c r="IUL15" s="55"/>
      <c r="IUM15" s="55"/>
      <c r="IUN15" s="55"/>
      <c r="IUO15" s="55"/>
      <c r="IUP15" s="55"/>
      <c r="IUQ15" s="55"/>
      <c r="IUR15" s="55"/>
      <c r="IUS15" s="55"/>
      <c r="IUT15" s="55"/>
      <c r="IUU15" s="55"/>
      <c r="IUV15" s="55"/>
      <c r="IUW15" s="55"/>
      <c r="IUX15" s="55"/>
      <c r="IUY15" s="55"/>
      <c r="IUZ15" s="55"/>
      <c r="IVA15" s="55"/>
      <c r="IVB15" s="55"/>
      <c r="IVC15" s="55"/>
      <c r="IVD15" s="55"/>
      <c r="IVE15" s="55"/>
      <c r="IVF15" s="55"/>
      <c r="IVG15" s="55"/>
      <c r="IVH15" s="55"/>
      <c r="IVI15" s="55"/>
      <c r="IVJ15" s="55"/>
      <c r="IVK15" s="55"/>
      <c r="IVL15" s="55"/>
      <c r="IVM15" s="55"/>
      <c r="IVN15" s="55"/>
      <c r="IVO15" s="55"/>
      <c r="IVP15" s="55"/>
      <c r="IVQ15" s="55"/>
      <c r="IVR15" s="55"/>
      <c r="IVS15" s="55"/>
      <c r="IVT15" s="55"/>
      <c r="IVU15" s="55"/>
      <c r="IVV15" s="55"/>
      <c r="IVW15" s="55"/>
      <c r="IVX15" s="55"/>
      <c r="IVY15" s="55"/>
      <c r="IVZ15" s="55"/>
      <c r="IWA15" s="55"/>
      <c r="IWB15" s="55"/>
      <c r="IWC15" s="55"/>
      <c r="IWD15" s="55"/>
      <c r="IWE15" s="55"/>
      <c r="IWF15" s="55"/>
      <c r="IWG15" s="55"/>
      <c r="IWH15" s="55"/>
      <c r="IWI15" s="55"/>
      <c r="IWJ15" s="55"/>
      <c r="IWK15" s="55"/>
      <c r="IWL15" s="55"/>
      <c r="IWM15" s="55"/>
      <c r="IWN15" s="55"/>
      <c r="IWO15" s="55"/>
      <c r="IWP15" s="55"/>
      <c r="IWQ15" s="55"/>
      <c r="IWR15" s="55"/>
      <c r="IWS15" s="55"/>
      <c r="IWT15" s="55"/>
      <c r="IWU15" s="55"/>
      <c r="IWV15" s="55"/>
      <c r="IWW15" s="55"/>
      <c r="IWX15" s="55"/>
      <c r="IWY15" s="55"/>
      <c r="IWZ15" s="55"/>
      <c r="IXA15" s="55"/>
      <c r="IXB15" s="55"/>
      <c r="IXC15" s="55"/>
      <c r="IXD15" s="55"/>
      <c r="IXE15" s="55"/>
      <c r="IXF15" s="55"/>
      <c r="IXG15" s="55"/>
      <c r="IXH15" s="55"/>
      <c r="IXI15" s="55"/>
      <c r="IXJ15" s="55"/>
      <c r="IXK15" s="55"/>
      <c r="IXL15" s="55"/>
      <c r="IXM15" s="55"/>
      <c r="IXN15" s="55"/>
      <c r="IXO15" s="55"/>
      <c r="IXP15" s="55"/>
      <c r="IXQ15" s="55"/>
      <c r="IXR15" s="55"/>
      <c r="IXS15" s="55"/>
      <c r="IXT15" s="55"/>
      <c r="IXU15" s="55"/>
      <c r="IXV15" s="55"/>
      <c r="IXW15" s="55"/>
      <c r="IXX15" s="55"/>
      <c r="IXY15" s="55"/>
      <c r="IXZ15" s="55"/>
      <c r="IYA15" s="55"/>
      <c r="IYB15" s="55"/>
      <c r="IYC15" s="55"/>
      <c r="IYD15" s="55"/>
      <c r="IYE15" s="55"/>
      <c r="IYF15" s="55"/>
      <c r="IYG15" s="55"/>
      <c r="IYH15" s="55"/>
      <c r="IYI15" s="55"/>
      <c r="IYJ15" s="55"/>
      <c r="IYK15" s="55"/>
      <c r="IYL15" s="55"/>
      <c r="IYM15" s="55"/>
      <c r="IYN15" s="55"/>
      <c r="IYO15" s="55"/>
      <c r="IYP15" s="55"/>
      <c r="IYQ15" s="55"/>
      <c r="IYR15" s="55"/>
      <c r="IYS15" s="55"/>
      <c r="IYT15" s="55"/>
      <c r="IYU15" s="55"/>
      <c r="IYV15" s="55"/>
      <c r="IYW15" s="55"/>
      <c r="IYX15" s="55"/>
      <c r="IYY15" s="55"/>
      <c r="IYZ15" s="55"/>
      <c r="IZA15" s="55"/>
      <c r="IZB15" s="55"/>
      <c r="IZC15" s="55"/>
      <c r="IZD15" s="55"/>
      <c r="IZE15" s="55"/>
      <c r="IZF15" s="55"/>
      <c r="IZG15" s="55"/>
      <c r="IZH15" s="55"/>
      <c r="IZI15" s="55"/>
      <c r="IZJ15" s="55"/>
      <c r="IZK15" s="55"/>
      <c r="IZL15" s="55"/>
      <c r="IZM15" s="55"/>
      <c r="IZN15" s="55"/>
      <c r="IZO15" s="55"/>
      <c r="IZP15" s="55"/>
      <c r="IZQ15" s="55"/>
      <c r="IZR15" s="55"/>
      <c r="IZS15" s="55"/>
      <c r="IZT15" s="55"/>
      <c r="IZU15" s="55"/>
      <c r="IZV15" s="55"/>
      <c r="IZW15" s="55"/>
      <c r="IZX15" s="55"/>
      <c r="IZY15" s="55"/>
      <c r="IZZ15" s="55"/>
      <c r="JAA15" s="55"/>
      <c r="JAB15" s="55"/>
      <c r="JAC15" s="55"/>
      <c r="JAD15" s="55"/>
      <c r="JAE15" s="55"/>
      <c r="JAF15" s="55"/>
      <c r="JAG15" s="55"/>
      <c r="JAH15" s="55"/>
      <c r="JAI15" s="55"/>
      <c r="JAJ15" s="55"/>
      <c r="JAK15" s="55"/>
      <c r="JAL15" s="55"/>
      <c r="JAM15" s="55"/>
      <c r="JAN15" s="55"/>
      <c r="JAO15" s="55"/>
      <c r="JAP15" s="55"/>
      <c r="JAQ15" s="55"/>
      <c r="JAR15" s="55"/>
      <c r="JAS15" s="55"/>
      <c r="JAT15" s="55"/>
      <c r="JAU15" s="55"/>
      <c r="JAV15" s="55"/>
      <c r="JAW15" s="55"/>
      <c r="JAX15" s="55"/>
      <c r="JAY15" s="55"/>
      <c r="JAZ15" s="55"/>
      <c r="JBA15" s="55"/>
      <c r="JBB15" s="55"/>
      <c r="JBC15" s="55"/>
      <c r="JBD15" s="55"/>
      <c r="JBE15" s="55"/>
      <c r="JBF15" s="55"/>
      <c r="JBG15" s="55"/>
      <c r="JBH15" s="55"/>
      <c r="JBI15" s="55"/>
      <c r="JBJ15" s="55"/>
      <c r="JBK15" s="55"/>
      <c r="JBL15" s="55"/>
      <c r="JBM15" s="55"/>
      <c r="JBN15" s="55"/>
      <c r="JBO15" s="55"/>
      <c r="JBP15" s="55"/>
      <c r="JBQ15" s="55"/>
      <c r="JBR15" s="55"/>
      <c r="JBS15" s="55"/>
      <c r="JBT15" s="55"/>
      <c r="JBU15" s="55"/>
      <c r="JBV15" s="55"/>
      <c r="JBW15" s="55"/>
      <c r="JBX15" s="55"/>
      <c r="JBY15" s="55"/>
      <c r="JBZ15" s="55"/>
      <c r="JCA15" s="55"/>
      <c r="JCB15" s="55"/>
      <c r="JCC15" s="55"/>
      <c r="JCD15" s="55"/>
      <c r="JCE15" s="55"/>
      <c r="JCF15" s="55"/>
      <c r="JCG15" s="55"/>
      <c r="JCH15" s="55"/>
      <c r="JCI15" s="55"/>
      <c r="JCJ15" s="55"/>
      <c r="JCK15" s="55"/>
      <c r="JCL15" s="55"/>
      <c r="JCM15" s="55"/>
      <c r="JCN15" s="55"/>
      <c r="JCO15" s="55"/>
      <c r="JCP15" s="55"/>
      <c r="JCQ15" s="55"/>
      <c r="JCR15" s="55"/>
      <c r="JCS15" s="55"/>
      <c r="JCT15" s="55"/>
      <c r="JCU15" s="55"/>
      <c r="JCV15" s="55"/>
      <c r="JCW15" s="55"/>
      <c r="JCX15" s="55"/>
      <c r="JCY15" s="55"/>
      <c r="JCZ15" s="55"/>
      <c r="JDA15" s="55"/>
      <c r="JDB15" s="55"/>
      <c r="JDC15" s="55"/>
      <c r="JDD15" s="55"/>
      <c r="JDE15" s="55"/>
      <c r="JDF15" s="55"/>
      <c r="JDG15" s="55"/>
      <c r="JDH15" s="55"/>
      <c r="JDI15" s="55"/>
      <c r="JDJ15" s="55"/>
      <c r="JDK15" s="55"/>
      <c r="JDL15" s="55"/>
      <c r="JDM15" s="55"/>
      <c r="JDN15" s="55"/>
      <c r="JDO15" s="55"/>
      <c r="JDP15" s="55"/>
      <c r="JDQ15" s="55"/>
      <c r="JDR15" s="55"/>
      <c r="JDS15" s="55"/>
      <c r="JDT15" s="55"/>
      <c r="JDU15" s="55"/>
      <c r="JDV15" s="55"/>
      <c r="JDW15" s="55"/>
      <c r="JDX15" s="55"/>
      <c r="JDY15" s="55"/>
      <c r="JDZ15" s="55"/>
      <c r="JEA15" s="55"/>
      <c r="JEB15" s="55"/>
      <c r="JEC15" s="55"/>
      <c r="JED15" s="55"/>
      <c r="JEE15" s="55"/>
      <c r="JEF15" s="55"/>
      <c r="JEG15" s="55"/>
      <c r="JEH15" s="55"/>
      <c r="JEI15" s="55"/>
      <c r="JEJ15" s="55"/>
      <c r="JEK15" s="55"/>
      <c r="JEL15" s="55"/>
      <c r="JEM15" s="55"/>
      <c r="JEN15" s="55"/>
      <c r="JEO15" s="55"/>
      <c r="JEP15" s="55"/>
      <c r="JEQ15" s="55"/>
      <c r="JER15" s="55"/>
      <c r="JES15" s="55"/>
      <c r="JET15" s="55"/>
      <c r="JEU15" s="55"/>
      <c r="JEV15" s="55"/>
      <c r="JEW15" s="55"/>
      <c r="JEX15" s="55"/>
      <c r="JEY15" s="55"/>
      <c r="JEZ15" s="55"/>
      <c r="JFA15" s="55"/>
      <c r="JFB15" s="55"/>
      <c r="JFC15" s="55"/>
      <c r="JFD15" s="55"/>
      <c r="JFE15" s="55"/>
      <c r="JFF15" s="55"/>
      <c r="JFG15" s="55"/>
      <c r="JFH15" s="55"/>
      <c r="JFI15" s="55"/>
      <c r="JFJ15" s="55"/>
      <c r="JFK15" s="55"/>
      <c r="JFL15" s="55"/>
      <c r="JFM15" s="55"/>
      <c r="JFN15" s="55"/>
      <c r="JFO15" s="55"/>
      <c r="JFP15" s="55"/>
      <c r="JFQ15" s="55"/>
      <c r="JFR15" s="55"/>
      <c r="JFS15" s="55"/>
      <c r="JFT15" s="55"/>
      <c r="JFU15" s="55"/>
      <c r="JFV15" s="55"/>
      <c r="JFW15" s="55"/>
      <c r="JFX15" s="55"/>
      <c r="JFY15" s="55"/>
      <c r="JFZ15" s="55"/>
      <c r="JGA15" s="55"/>
      <c r="JGB15" s="55"/>
      <c r="JGC15" s="55"/>
      <c r="JGD15" s="55"/>
      <c r="JGE15" s="55"/>
      <c r="JGF15" s="55"/>
      <c r="JGG15" s="55"/>
      <c r="JGH15" s="55"/>
      <c r="JGI15" s="55"/>
      <c r="JGJ15" s="55"/>
      <c r="JGK15" s="55"/>
      <c r="JGL15" s="55"/>
      <c r="JGM15" s="55"/>
      <c r="JGN15" s="55"/>
      <c r="JGO15" s="55"/>
      <c r="JGP15" s="55"/>
      <c r="JGQ15" s="55"/>
      <c r="JGR15" s="55"/>
      <c r="JGS15" s="55"/>
      <c r="JGT15" s="55"/>
      <c r="JGU15" s="55"/>
      <c r="JGV15" s="55"/>
      <c r="JGW15" s="55"/>
      <c r="JGX15" s="55"/>
      <c r="JGY15" s="55"/>
      <c r="JGZ15" s="55"/>
      <c r="JHA15" s="55"/>
      <c r="JHB15" s="55"/>
      <c r="JHC15" s="55"/>
      <c r="JHD15" s="55"/>
      <c r="JHE15" s="55"/>
      <c r="JHF15" s="55"/>
      <c r="JHG15" s="55"/>
      <c r="JHH15" s="55"/>
      <c r="JHI15" s="55"/>
      <c r="JHJ15" s="55"/>
      <c r="JHK15" s="55"/>
      <c r="JHL15" s="55"/>
      <c r="JHM15" s="55"/>
      <c r="JHN15" s="55"/>
      <c r="JHO15" s="55"/>
      <c r="JHP15" s="55"/>
      <c r="JHQ15" s="55"/>
      <c r="JHR15" s="55"/>
      <c r="JHS15" s="55"/>
      <c r="JHT15" s="55"/>
      <c r="JHU15" s="55"/>
      <c r="JHV15" s="55"/>
      <c r="JHW15" s="55"/>
      <c r="JHX15" s="55"/>
      <c r="JHY15" s="55"/>
      <c r="JHZ15" s="55"/>
      <c r="JIA15" s="55"/>
      <c r="JIB15" s="55"/>
      <c r="JIC15" s="55"/>
      <c r="JID15" s="55"/>
      <c r="JIE15" s="55"/>
      <c r="JIF15" s="55"/>
      <c r="JIG15" s="55"/>
      <c r="JIH15" s="55"/>
      <c r="JII15" s="55"/>
      <c r="JIJ15" s="55"/>
      <c r="JIK15" s="55"/>
      <c r="JIL15" s="55"/>
      <c r="JIM15" s="55"/>
      <c r="JIN15" s="55"/>
      <c r="JIO15" s="55"/>
      <c r="JIP15" s="55"/>
      <c r="JIQ15" s="55"/>
      <c r="JIR15" s="55"/>
      <c r="JIS15" s="55"/>
      <c r="JIT15" s="55"/>
      <c r="JIU15" s="55"/>
      <c r="JIV15" s="55"/>
      <c r="JIW15" s="55"/>
      <c r="JIX15" s="55"/>
      <c r="JIY15" s="55"/>
      <c r="JIZ15" s="55"/>
      <c r="JJA15" s="55"/>
      <c r="JJB15" s="55"/>
      <c r="JJC15" s="55"/>
      <c r="JJD15" s="55"/>
      <c r="JJE15" s="55"/>
      <c r="JJF15" s="55"/>
      <c r="JJG15" s="55"/>
      <c r="JJH15" s="55"/>
      <c r="JJI15" s="55"/>
      <c r="JJJ15" s="55"/>
      <c r="JJK15" s="55"/>
      <c r="JJL15" s="55"/>
      <c r="JJM15" s="55"/>
      <c r="JJN15" s="55"/>
      <c r="JJO15" s="55"/>
      <c r="JJP15" s="55"/>
      <c r="JJQ15" s="55"/>
      <c r="JJR15" s="55"/>
      <c r="JJS15" s="55"/>
      <c r="JJT15" s="55"/>
      <c r="JJU15" s="55"/>
      <c r="JJV15" s="55"/>
      <c r="JJW15" s="55"/>
      <c r="JJX15" s="55"/>
      <c r="JJY15" s="55"/>
      <c r="JJZ15" s="55"/>
      <c r="JKA15" s="55"/>
      <c r="JKB15" s="55"/>
      <c r="JKC15" s="55"/>
      <c r="JKD15" s="55"/>
      <c r="JKE15" s="55"/>
      <c r="JKF15" s="55"/>
      <c r="JKG15" s="55"/>
      <c r="JKH15" s="55"/>
      <c r="JKI15" s="55"/>
      <c r="JKJ15" s="55"/>
      <c r="JKK15" s="55"/>
      <c r="JKL15" s="55"/>
      <c r="JKM15" s="55"/>
      <c r="JKN15" s="55"/>
      <c r="JKO15" s="55"/>
      <c r="JKP15" s="55"/>
      <c r="JKQ15" s="55"/>
      <c r="JKR15" s="55"/>
      <c r="JKS15" s="55"/>
      <c r="JKT15" s="55"/>
      <c r="JKU15" s="55"/>
      <c r="JKV15" s="55"/>
      <c r="JKW15" s="55"/>
      <c r="JKX15" s="55"/>
      <c r="JKY15" s="55"/>
      <c r="JKZ15" s="55"/>
      <c r="JLA15" s="55"/>
      <c r="JLB15" s="55"/>
      <c r="JLC15" s="55"/>
      <c r="JLD15" s="55"/>
      <c r="JLE15" s="55"/>
      <c r="JLF15" s="55"/>
      <c r="JLG15" s="55"/>
      <c r="JLH15" s="55"/>
      <c r="JLI15" s="55"/>
      <c r="JLJ15" s="55"/>
      <c r="JLK15" s="55"/>
      <c r="JLL15" s="55"/>
      <c r="JLM15" s="55"/>
      <c r="JLN15" s="55"/>
      <c r="JLO15" s="55"/>
      <c r="JLP15" s="55"/>
      <c r="JLQ15" s="55"/>
      <c r="JLR15" s="55"/>
      <c r="JLS15" s="55"/>
      <c r="JLT15" s="55"/>
      <c r="JLU15" s="55"/>
      <c r="JLV15" s="55"/>
      <c r="JLW15" s="55"/>
      <c r="JLX15" s="55"/>
      <c r="JLY15" s="55"/>
      <c r="JLZ15" s="55"/>
      <c r="JMA15" s="55"/>
      <c r="JMB15" s="55"/>
      <c r="JMC15" s="55"/>
      <c r="JMD15" s="55"/>
      <c r="JME15" s="55"/>
      <c r="JMF15" s="55"/>
      <c r="JMG15" s="55"/>
      <c r="JMH15" s="55"/>
      <c r="JMI15" s="55"/>
      <c r="JMJ15" s="55"/>
      <c r="JMK15" s="55"/>
      <c r="JML15" s="55"/>
      <c r="JMM15" s="55"/>
      <c r="JMN15" s="55"/>
      <c r="JMO15" s="55"/>
      <c r="JMP15" s="55"/>
      <c r="JMQ15" s="55"/>
      <c r="JMR15" s="55"/>
      <c r="JMS15" s="55"/>
      <c r="JMT15" s="55"/>
      <c r="JMU15" s="55"/>
      <c r="JMV15" s="55"/>
      <c r="JMW15" s="55"/>
      <c r="JMX15" s="55"/>
      <c r="JMY15" s="55"/>
      <c r="JMZ15" s="55"/>
      <c r="JNA15" s="55"/>
      <c r="JNB15" s="55"/>
      <c r="JNC15" s="55"/>
      <c r="JND15" s="55"/>
      <c r="JNE15" s="55"/>
      <c r="JNF15" s="55"/>
      <c r="JNG15" s="55"/>
      <c r="JNH15" s="55"/>
      <c r="JNI15" s="55"/>
      <c r="JNJ15" s="55"/>
      <c r="JNK15" s="55"/>
      <c r="JNL15" s="55"/>
      <c r="JNM15" s="55"/>
      <c r="JNN15" s="55"/>
      <c r="JNO15" s="55"/>
      <c r="JNP15" s="55"/>
      <c r="JNQ15" s="55"/>
      <c r="JNR15" s="55"/>
      <c r="JNS15" s="55"/>
      <c r="JNT15" s="55"/>
      <c r="JNU15" s="55"/>
      <c r="JNV15" s="55"/>
      <c r="JNW15" s="55"/>
      <c r="JNX15" s="55"/>
      <c r="JNY15" s="55"/>
      <c r="JNZ15" s="55"/>
      <c r="JOA15" s="55"/>
      <c r="JOB15" s="55"/>
      <c r="JOC15" s="55"/>
      <c r="JOD15" s="55"/>
      <c r="JOE15" s="55"/>
      <c r="JOF15" s="55"/>
      <c r="JOG15" s="55"/>
      <c r="JOH15" s="55"/>
      <c r="JOI15" s="55"/>
      <c r="JOJ15" s="55"/>
      <c r="JOK15" s="55"/>
      <c r="JOL15" s="55"/>
      <c r="JOM15" s="55"/>
      <c r="JON15" s="55"/>
      <c r="JOO15" s="55"/>
      <c r="JOP15" s="55"/>
      <c r="JOQ15" s="55"/>
      <c r="JOR15" s="55"/>
      <c r="JOS15" s="55"/>
      <c r="JOT15" s="55"/>
      <c r="JOU15" s="55"/>
      <c r="JOV15" s="55"/>
      <c r="JOW15" s="55"/>
      <c r="JOX15" s="55"/>
      <c r="JOY15" s="55"/>
      <c r="JOZ15" s="55"/>
      <c r="JPA15" s="55"/>
      <c r="JPB15" s="55"/>
      <c r="JPC15" s="55"/>
      <c r="JPD15" s="55"/>
      <c r="JPE15" s="55"/>
      <c r="JPF15" s="55"/>
      <c r="JPG15" s="55"/>
      <c r="JPH15" s="55"/>
      <c r="JPI15" s="55"/>
      <c r="JPJ15" s="55"/>
      <c r="JPK15" s="55"/>
      <c r="JPL15" s="55"/>
      <c r="JPM15" s="55"/>
      <c r="JPN15" s="55"/>
      <c r="JPO15" s="55"/>
      <c r="JPP15" s="55"/>
      <c r="JPQ15" s="55"/>
      <c r="JPR15" s="55"/>
      <c r="JPS15" s="55"/>
      <c r="JPT15" s="55"/>
      <c r="JPU15" s="55"/>
      <c r="JPV15" s="55"/>
      <c r="JPW15" s="55"/>
      <c r="JPX15" s="55"/>
      <c r="JPY15" s="55"/>
      <c r="JPZ15" s="55"/>
      <c r="JQA15" s="55"/>
      <c r="JQB15" s="55"/>
      <c r="JQC15" s="55"/>
      <c r="JQD15" s="55"/>
      <c r="JQE15" s="55"/>
      <c r="JQF15" s="55"/>
      <c r="JQG15" s="55"/>
      <c r="JQH15" s="55"/>
      <c r="JQI15" s="55"/>
      <c r="JQJ15" s="55"/>
      <c r="JQK15" s="55"/>
      <c r="JQL15" s="55"/>
      <c r="JQM15" s="55"/>
      <c r="JQN15" s="55"/>
      <c r="JQO15" s="55"/>
      <c r="JQP15" s="55"/>
      <c r="JQQ15" s="55"/>
      <c r="JQR15" s="55"/>
      <c r="JQS15" s="55"/>
      <c r="JQT15" s="55"/>
      <c r="JQU15" s="55"/>
      <c r="JQV15" s="55"/>
      <c r="JQW15" s="55"/>
      <c r="JQX15" s="55"/>
      <c r="JQY15" s="55"/>
      <c r="JQZ15" s="55"/>
      <c r="JRA15" s="55"/>
      <c r="JRB15" s="55"/>
      <c r="JRC15" s="55"/>
      <c r="JRD15" s="55"/>
      <c r="JRE15" s="55"/>
      <c r="JRF15" s="55"/>
      <c r="JRG15" s="55"/>
      <c r="JRH15" s="55"/>
      <c r="JRI15" s="55"/>
      <c r="JRJ15" s="55"/>
      <c r="JRK15" s="55"/>
      <c r="JRL15" s="55"/>
      <c r="JRM15" s="55"/>
      <c r="JRN15" s="55"/>
      <c r="JRO15" s="55"/>
      <c r="JRP15" s="55"/>
      <c r="JRQ15" s="55"/>
      <c r="JRR15" s="55"/>
      <c r="JRS15" s="55"/>
      <c r="JRT15" s="55"/>
      <c r="JRU15" s="55"/>
      <c r="JRV15" s="55"/>
      <c r="JRW15" s="55"/>
      <c r="JRX15" s="55"/>
      <c r="JRY15" s="55"/>
      <c r="JRZ15" s="55"/>
      <c r="JSA15" s="55"/>
      <c r="JSB15" s="55"/>
      <c r="JSC15" s="55"/>
      <c r="JSD15" s="55"/>
      <c r="JSE15" s="55"/>
      <c r="JSF15" s="55"/>
      <c r="JSG15" s="55"/>
      <c r="JSH15" s="55"/>
      <c r="JSI15" s="55"/>
      <c r="JSJ15" s="55"/>
      <c r="JSK15" s="55"/>
      <c r="JSL15" s="55"/>
      <c r="JSM15" s="55"/>
      <c r="JSN15" s="55"/>
      <c r="JSO15" s="55"/>
      <c r="JSP15" s="55"/>
      <c r="JSQ15" s="55"/>
      <c r="JSR15" s="55"/>
      <c r="JSS15" s="55"/>
      <c r="JST15" s="55"/>
      <c r="JSU15" s="55"/>
      <c r="JSV15" s="55"/>
      <c r="JSW15" s="55"/>
      <c r="JSX15" s="55"/>
      <c r="JSY15" s="55"/>
      <c r="JSZ15" s="55"/>
      <c r="JTA15" s="55"/>
      <c r="JTB15" s="55"/>
      <c r="JTC15" s="55"/>
      <c r="JTD15" s="55"/>
      <c r="JTE15" s="55"/>
      <c r="JTF15" s="55"/>
      <c r="JTG15" s="55"/>
      <c r="JTH15" s="55"/>
      <c r="JTI15" s="55"/>
      <c r="JTJ15" s="55"/>
      <c r="JTK15" s="55"/>
      <c r="JTL15" s="55"/>
      <c r="JTM15" s="55"/>
      <c r="JTN15" s="55"/>
      <c r="JTO15" s="55"/>
      <c r="JTP15" s="55"/>
      <c r="JTQ15" s="55"/>
      <c r="JTR15" s="55"/>
      <c r="JTS15" s="55"/>
      <c r="JTT15" s="55"/>
      <c r="JTU15" s="55"/>
      <c r="JTV15" s="55"/>
      <c r="JTW15" s="55"/>
      <c r="JTX15" s="55"/>
      <c r="JTY15" s="55"/>
      <c r="JTZ15" s="55"/>
      <c r="JUA15" s="55"/>
      <c r="JUB15" s="55"/>
      <c r="JUC15" s="55"/>
      <c r="JUD15" s="55"/>
      <c r="JUE15" s="55"/>
      <c r="JUF15" s="55"/>
      <c r="JUG15" s="55"/>
      <c r="JUH15" s="55"/>
      <c r="JUI15" s="55"/>
      <c r="JUJ15" s="55"/>
      <c r="JUK15" s="55"/>
      <c r="JUL15" s="55"/>
      <c r="JUM15" s="55"/>
      <c r="JUN15" s="55"/>
      <c r="JUO15" s="55"/>
      <c r="JUP15" s="55"/>
      <c r="JUQ15" s="55"/>
      <c r="JUR15" s="55"/>
      <c r="JUS15" s="55"/>
      <c r="JUT15" s="55"/>
      <c r="JUU15" s="55"/>
      <c r="JUV15" s="55"/>
      <c r="JUW15" s="55"/>
      <c r="JUX15" s="55"/>
      <c r="JUY15" s="55"/>
      <c r="JUZ15" s="55"/>
      <c r="JVA15" s="55"/>
      <c r="JVB15" s="55"/>
      <c r="JVC15" s="55"/>
      <c r="JVD15" s="55"/>
      <c r="JVE15" s="55"/>
      <c r="JVF15" s="55"/>
      <c r="JVG15" s="55"/>
      <c r="JVH15" s="55"/>
      <c r="JVI15" s="55"/>
      <c r="JVJ15" s="55"/>
      <c r="JVK15" s="55"/>
      <c r="JVL15" s="55"/>
      <c r="JVM15" s="55"/>
      <c r="JVN15" s="55"/>
      <c r="JVO15" s="55"/>
      <c r="JVP15" s="55"/>
      <c r="JVQ15" s="55"/>
      <c r="JVR15" s="55"/>
      <c r="JVS15" s="55"/>
      <c r="JVT15" s="55"/>
      <c r="JVU15" s="55"/>
      <c r="JVV15" s="55"/>
      <c r="JVW15" s="55"/>
      <c r="JVX15" s="55"/>
      <c r="JVY15" s="55"/>
      <c r="JVZ15" s="55"/>
      <c r="JWA15" s="55"/>
      <c r="JWB15" s="55"/>
      <c r="JWC15" s="55"/>
      <c r="JWD15" s="55"/>
      <c r="JWE15" s="55"/>
      <c r="JWF15" s="55"/>
      <c r="JWG15" s="55"/>
      <c r="JWH15" s="55"/>
      <c r="JWI15" s="55"/>
      <c r="JWJ15" s="55"/>
      <c r="JWK15" s="55"/>
      <c r="JWL15" s="55"/>
      <c r="JWM15" s="55"/>
      <c r="JWN15" s="55"/>
      <c r="JWO15" s="55"/>
      <c r="JWP15" s="55"/>
      <c r="JWQ15" s="55"/>
      <c r="JWR15" s="55"/>
      <c r="JWS15" s="55"/>
      <c r="JWT15" s="55"/>
      <c r="JWU15" s="55"/>
      <c r="JWV15" s="55"/>
      <c r="JWW15" s="55"/>
      <c r="JWX15" s="55"/>
      <c r="JWY15" s="55"/>
      <c r="JWZ15" s="55"/>
      <c r="JXA15" s="55"/>
      <c r="JXB15" s="55"/>
      <c r="JXC15" s="55"/>
      <c r="JXD15" s="55"/>
      <c r="JXE15" s="55"/>
      <c r="JXF15" s="55"/>
      <c r="JXG15" s="55"/>
      <c r="JXH15" s="55"/>
      <c r="JXI15" s="55"/>
      <c r="JXJ15" s="55"/>
      <c r="JXK15" s="55"/>
      <c r="JXL15" s="55"/>
      <c r="JXM15" s="55"/>
      <c r="JXN15" s="55"/>
      <c r="JXO15" s="55"/>
      <c r="JXP15" s="55"/>
      <c r="JXQ15" s="55"/>
      <c r="JXR15" s="55"/>
      <c r="JXS15" s="55"/>
      <c r="JXT15" s="55"/>
      <c r="JXU15" s="55"/>
      <c r="JXV15" s="55"/>
      <c r="JXW15" s="55"/>
      <c r="JXX15" s="55"/>
      <c r="JXY15" s="55"/>
      <c r="JXZ15" s="55"/>
      <c r="JYA15" s="55"/>
      <c r="JYB15" s="55"/>
      <c r="JYC15" s="55"/>
      <c r="JYD15" s="55"/>
      <c r="JYE15" s="55"/>
      <c r="JYF15" s="55"/>
      <c r="JYG15" s="55"/>
      <c r="JYH15" s="55"/>
      <c r="JYI15" s="55"/>
      <c r="JYJ15" s="55"/>
      <c r="JYK15" s="55"/>
      <c r="JYL15" s="55"/>
      <c r="JYM15" s="55"/>
      <c r="JYN15" s="55"/>
      <c r="JYO15" s="55"/>
      <c r="JYP15" s="55"/>
      <c r="JYQ15" s="55"/>
      <c r="JYR15" s="55"/>
      <c r="JYS15" s="55"/>
      <c r="JYT15" s="55"/>
      <c r="JYU15" s="55"/>
      <c r="JYV15" s="55"/>
      <c r="JYW15" s="55"/>
      <c r="JYX15" s="55"/>
      <c r="JYY15" s="55"/>
      <c r="JYZ15" s="55"/>
      <c r="JZA15" s="55"/>
      <c r="JZB15" s="55"/>
      <c r="JZC15" s="55"/>
      <c r="JZD15" s="55"/>
      <c r="JZE15" s="55"/>
      <c r="JZF15" s="55"/>
      <c r="JZG15" s="55"/>
      <c r="JZH15" s="55"/>
      <c r="JZI15" s="55"/>
      <c r="JZJ15" s="55"/>
      <c r="JZK15" s="55"/>
      <c r="JZL15" s="55"/>
      <c r="JZM15" s="55"/>
      <c r="JZN15" s="55"/>
      <c r="JZO15" s="55"/>
      <c r="JZP15" s="55"/>
      <c r="JZQ15" s="55"/>
      <c r="JZR15" s="55"/>
      <c r="JZS15" s="55"/>
      <c r="JZT15" s="55"/>
      <c r="JZU15" s="55"/>
      <c r="JZV15" s="55"/>
      <c r="JZW15" s="55"/>
      <c r="JZX15" s="55"/>
      <c r="JZY15" s="55"/>
      <c r="JZZ15" s="55"/>
      <c r="KAA15" s="55"/>
      <c r="KAB15" s="55"/>
      <c r="KAC15" s="55"/>
      <c r="KAD15" s="55"/>
      <c r="KAE15" s="55"/>
      <c r="KAF15" s="55"/>
      <c r="KAG15" s="55"/>
      <c r="KAH15" s="55"/>
      <c r="KAI15" s="55"/>
      <c r="KAJ15" s="55"/>
      <c r="KAK15" s="55"/>
      <c r="KAL15" s="55"/>
      <c r="KAM15" s="55"/>
      <c r="KAN15" s="55"/>
      <c r="KAO15" s="55"/>
      <c r="KAP15" s="55"/>
      <c r="KAQ15" s="55"/>
      <c r="KAR15" s="55"/>
      <c r="KAS15" s="55"/>
      <c r="KAT15" s="55"/>
      <c r="KAU15" s="55"/>
      <c r="KAV15" s="55"/>
      <c r="KAW15" s="55"/>
      <c r="KAX15" s="55"/>
      <c r="KAY15" s="55"/>
      <c r="KAZ15" s="55"/>
      <c r="KBA15" s="55"/>
      <c r="KBB15" s="55"/>
      <c r="KBC15" s="55"/>
      <c r="KBD15" s="55"/>
      <c r="KBE15" s="55"/>
      <c r="KBF15" s="55"/>
      <c r="KBG15" s="55"/>
      <c r="KBH15" s="55"/>
      <c r="KBI15" s="55"/>
      <c r="KBJ15" s="55"/>
      <c r="KBK15" s="55"/>
      <c r="KBL15" s="55"/>
      <c r="KBM15" s="55"/>
      <c r="KBN15" s="55"/>
      <c r="KBO15" s="55"/>
      <c r="KBP15" s="55"/>
      <c r="KBQ15" s="55"/>
      <c r="KBR15" s="55"/>
      <c r="KBS15" s="55"/>
      <c r="KBT15" s="55"/>
      <c r="KBU15" s="55"/>
      <c r="KBV15" s="55"/>
      <c r="KBW15" s="55"/>
      <c r="KBX15" s="55"/>
      <c r="KBY15" s="55"/>
      <c r="KBZ15" s="55"/>
      <c r="KCA15" s="55"/>
      <c r="KCB15" s="55"/>
      <c r="KCC15" s="55"/>
      <c r="KCD15" s="55"/>
      <c r="KCE15" s="55"/>
      <c r="KCF15" s="55"/>
      <c r="KCG15" s="55"/>
      <c r="KCH15" s="55"/>
      <c r="KCI15" s="55"/>
      <c r="KCJ15" s="55"/>
      <c r="KCK15" s="55"/>
      <c r="KCL15" s="55"/>
      <c r="KCM15" s="55"/>
      <c r="KCN15" s="55"/>
      <c r="KCO15" s="55"/>
      <c r="KCP15" s="55"/>
      <c r="KCQ15" s="55"/>
      <c r="KCR15" s="55"/>
      <c r="KCS15" s="55"/>
      <c r="KCT15" s="55"/>
      <c r="KCU15" s="55"/>
      <c r="KCV15" s="55"/>
      <c r="KCW15" s="55"/>
      <c r="KCX15" s="55"/>
      <c r="KCY15" s="55"/>
      <c r="KCZ15" s="55"/>
      <c r="KDA15" s="55"/>
      <c r="KDB15" s="55"/>
      <c r="KDC15" s="55"/>
      <c r="KDD15" s="55"/>
      <c r="KDE15" s="55"/>
      <c r="KDF15" s="55"/>
      <c r="KDG15" s="55"/>
      <c r="KDH15" s="55"/>
      <c r="KDI15" s="55"/>
      <c r="KDJ15" s="55"/>
      <c r="KDK15" s="55"/>
      <c r="KDL15" s="55"/>
      <c r="KDM15" s="55"/>
      <c r="KDN15" s="55"/>
      <c r="KDO15" s="55"/>
      <c r="KDP15" s="55"/>
      <c r="KDQ15" s="55"/>
      <c r="KDR15" s="55"/>
      <c r="KDS15" s="55"/>
      <c r="KDT15" s="55"/>
      <c r="KDU15" s="55"/>
      <c r="KDV15" s="55"/>
      <c r="KDW15" s="55"/>
      <c r="KDX15" s="55"/>
      <c r="KDY15" s="55"/>
      <c r="KDZ15" s="55"/>
      <c r="KEA15" s="55"/>
      <c r="KEB15" s="55"/>
      <c r="KEC15" s="55"/>
      <c r="KED15" s="55"/>
      <c r="KEE15" s="55"/>
      <c r="KEF15" s="55"/>
      <c r="KEG15" s="55"/>
      <c r="KEH15" s="55"/>
      <c r="KEI15" s="55"/>
      <c r="KEJ15" s="55"/>
      <c r="KEK15" s="55"/>
      <c r="KEL15" s="55"/>
      <c r="KEM15" s="55"/>
      <c r="KEN15" s="55"/>
      <c r="KEO15" s="55"/>
      <c r="KEP15" s="55"/>
      <c r="KEQ15" s="55"/>
      <c r="KER15" s="55"/>
      <c r="KES15" s="55"/>
      <c r="KET15" s="55"/>
      <c r="KEU15" s="55"/>
      <c r="KEV15" s="55"/>
      <c r="KEW15" s="55"/>
      <c r="KEX15" s="55"/>
      <c r="KEY15" s="55"/>
      <c r="KEZ15" s="55"/>
      <c r="KFA15" s="55"/>
      <c r="KFB15" s="55"/>
      <c r="KFC15" s="55"/>
      <c r="KFD15" s="55"/>
      <c r="KFE15" s="55"/>
      <c r="KFF15" s="55"/>
      <c r="KFG15" s="55"/>
      <c r="KFH15" s="55"/>
      <c r="KFI15" s="55"/>
      <c r="KFJ15" s="55"/>
      <c r="KFK15" s="55"/>
      <c r="KFL15" s="55"/>
      <c r="KFM15" s="55"/>
      <c r="KFN15" s="55"/>
      <c r="KFO15" s="55"/>
      <c r="KFP15" s="55"/>
      <c r="KFQ15" s="55"/>
      <c r="KFR15" s="55"/>
      <c r="KFS15" s="55"/>
      <c r="KFT15" s="55"/>
      <c r="KFU15" s="55"/>
      <c r="KFV15" s="55"/>
      <c r="KFW15" s="55"/>
      <c r="KFX15" s="55"/>
      <c r="KFY15" s="55"/>
      <c r="KFZ15" s="55"/>
      <c r="KGA15" s="55"/>
      <c r="KGB15" s="55"/>
      <c r="KGC15" s="55"/>
      <c r="KGD15" s="55"/>
      <c r="KGE15" s="55"/>
      <c r="KGF15" s="55"/>
      <c r="KGG15" s="55"/>
      <c r="KGH15" s="55"/>
      <c r="KGI15" s="55"/>
      <c r="KGJ15" s="55"/>
      <c r="KGK15" s="55"/>
      <c r="KGL15" s="55"/>
      <c r="KGM15" s="55"/>
      <c r="KGN15" s="55"/>
      <c r="KGO15" s="55"/>
      <c r="KGP15" s="55"/>
      <c r="KGQ15" s="55"/>
      <c r="KGR15" s="55"/>
      <c r="KGS15" s="55"/>
      <c r="KGT15" s="55"/>
      <c r="KGU15" s="55"/>
      <c r="KGV15" s="55"/>
      <c r="KGW15" s="55"/>
      <c r="KGX15" s="55"/>
      <c r="KGY15" s="55"/>
      <c r="KGZ15" s="55"/>
      <c r="KHA15" s="55"/>
      <c r="KHB15" s="55"/>
      <c r="KHC15" s="55"/>
      <c r="KHD15" s="55"/>
      <c r="KHE15" s="55"/>
      <c r="KHF15" s="55"/>
      <c r="KHG15" s="55"/>
      <c r="KHH15" s="55"/>
      <c r="KHI15" s="55"/>
      <c r="KHJ15" s="55"/>
      <c r="KHK15" s="55"/>
      <c r="KHL15" s="55"/>
      <c r="KHM15" s="55"/>
      <c r="KHN15" s="55"/>
      <c r="KHO15" s="55"/>
      <c r="KHP15" s="55"/>
      <c r="KHQ15" s="55"/>
      <c r="KHR15" s="55"/>
      <c r="KHS15" s="55"/>
      <c r="KHT15" s="55"/>
      <c r="KHU15" s="55"/>
      <c r="KHV15" s="55"/>
      <c r="KHW15" s="55"/>
      <c r="KHX15" s="55"/>
      <c r="KHY15" s="55"/>
      <c r="KHZ15" s="55"/>
      <c r="KIA15" s="55"/>
      <c r="KIB15" s="55"/>
      <c r="KIC15" s="55"/>
      <c r="KID15" s="55"/>
      <c r="KIE15" s="55"/>
      <c r="KIF15" s="55"/>
      <c r="KIG15" s="55"/>
      <c r="KIH15" s="55"/>
      <c r="KII15" s="55"/>
      <c r="KIJ15" s="55"/>
      <c r="KIK15" s="55"/>
      <c r="KIL15" s="55"/>
      <c r="KIM15" s="55"/>
      <c r="KIN15" s="55"/>
      <c r="KIO15" s="55"/>
      <c r="KIP15" s="55"/>
      <c r="KIQ15" s="55"/>
      <c r="KIR15" s="55"/>
      <c r="KIS15" s="55"/>
      <c r="KIT15" s="55"/>
      <c r="KIU15" s="55"/>
      <c r="KIV15" s="55"/>
      <c r="KIW15" s="55"/>
      <c r="KIX15" s="55"/>
      <c r="KIY15" s="55"/>
      <c r="KIZ15" s="55"/>
      <c r="KJA15" s="55"/>
      <c r="KJB15" s="55"/>
      <c r="KJC15" s="55"/>
      <c r="KJD15" s="55"/>
      <c r="KJE15" s="55"/>
      <c r="KJF15" s="55"/>
      <c r="KJG15" s="55"/>
      <c r="KJH15" s="55"/>
      <c r="KJI15" s="55"/>
      <c r="KJJ15" s="55"/>
      <c r="KJK15" s="55"/>
      <c r="KJL15" s="55"/>
      <c r="KJM15" s="55"/>
      <c r="KJN15" s="55"/>
      <c r="KJO15" s="55"/>
      <c r="KJP15" s="55"/>
      <c r="KJQ15" s="55"/>
      <c r="KJR15" s="55"/>
      <c r="KJS15" s="55"/>
      <c r="KJT15" s="55"/>
      <c r="KJU15" s="55"/>
      <c r="KJV15" s="55"/>
      <c r="KJW15" s="55"/>
      <c r="KJX15" s="55"/>
      <c r="KJY15" s="55"/>
      <c r="KJZ15" s="55"/>
      <c r="KKA15" s="55"/>
      <c r="KKB15" s="55"/>
      <c r="KKC15" s="55"/>
      <c r="KKD15" s="55"/>
      <c r="KKE15" s="55"/>
      <c r="KKF15" s="55"/>
      <c r="KKG15" s="55"/>
      <c r="KKH15" s="55"/>
      <c r="KKI15" s="55"/>
      <c r="KKJ15" s="55"/>
      <c r="KKK15" s="55"/>
      <c r="KKL15" s="55"/>
      <c r="KKM15" s="55"/>
      <c r="KKN15" s="55"/>
      <c r="KKO15" s="55"/>
      <c r="KKP15" s="55"/>
      <c r="KKQ15" s="55"/>
      <c r="KKR15" s="55"/>
      <c r="KKS15" s="55"/>
      <c r="KKT15" s="55"/>
      <c r="KKU15" s="55"/>
      <c r="KKV15" s="55"/>
      <c r="KKW15" s="55"/>
      <c r="KKX15" s="55"/>
      <c r="KKY15" s="55"/>
      <c r="KKZ15" s="55"/>
      <c r="KLA15" s="55"/>
      <c r="KLB15" s="55"/>
      <c r="KLC15" s="55"/>
      <c r="KLD15" s="55"/>
      <c r="KLE15" s="55"/>
      <c r="KLF15" s="55"/>
      <c r="KLG15" s="55"/>
      <c r="KLH15" s="55"/>
      <c r="KLI15" s="55"/>
      <c r="KLJ15" s="55"/>
      <c r="KLK15" s="55"/>
      <c r="KLL15" s="55"/>
      <c r="KLM15" s="55"/>
      <c r="KLN15" s="55"/>
      <c r="KLO15" s="55"/>
      <c r="KLP15" s="55"/>
      <c r="KLQ15" s="55"/>
      <c r="KLR15" s="55"/>
      <c r="KLS15" s="55"/>
      <c r="KLT15" s="55"/>
      <c r="KLU15" s="55"/>
      <c r="KLV15" s="55"/>
      <c r="KLW15" s="55"/>
      <c r="KLX15" s="55"/>
      <c r="KLY15" s="55"/>
      <c r="KLZ15" s="55"/>
      <c r="KMA15" s="55"/>
      <c r="KMB15" s="55"/>
      <c r="KMC15" s="55"/>
      <c r="KMD15" s="55"/>
      <c r="KME15" s="55"/>
      <c r="KMF15" s="55"/>
      <c r="KMG15" s="55"/>
      <c r="KMH15" s="55"/>
      <c r="KMI15" s="55"/>
      <c r="KMJ15" s="55"/>
      <c r="KMK15" s="55"/>
      <c r="KML15" s="55"/>
      <c r="KMM15" s="55"/>
      <c r="KMN15" s="55"/>
      <c r="KMO15" s="55"/>
      <c r="KMP15" s="55"/>
      <c r="KMQ15" s="55"/>
      <c r="KMR15" s="55"/>
      <c r="KMS15" s="55"/>
      <c r="KMT15" s="55"/>
      <c r="KMU15" s="55"/>
      <c r="KMV15" s="55"/>
      <c r="KMW15" s="55"/>
      <c r="KMX15" s="55"/>
      <c r="KMY15" s="55"/>
      <c r="KMZ15" s="55"/>
      <c r="KNA15" s="55"/>
      <c r="KNB15" s="55"/>
      <c r="KNC15" s="55"/>
      <c r="KND15" s="55"/>
      <c r="KNE15" s="55"/>
      <c r="KNF15" s="55"/>
      <c r="KNG15" s="55"/>
      <c r="KNH15" s="55"/>
      <c r="KNI15" s="55"/>
      <c r="KNJ15" s="55"/>
      <c r="KNK15" s="55"/>
      <c r="KNL15" s="55"/>
      <c r="KNM15" s="55"/>
      <c r="KNN15" s="55"/>
      <c r="KNO15" s="55"/>
      <c r="KNP15" s="55"/>
      <c r="KNQ15" s="55"/>
      <c r="KNR15" s="55"/>
      <c r="KNS15" s="55"/>
      <c r="KNT15" s="55"/>
      <c r="KNU15" s="55"/>
      <c r="KNV15" s="55"/>
      <c r="KNW15" s="55"/>
      <c r="KNX15" s="55"/>
      <c r="KNY15" s="55"/>
      <c r="KNZ15" s="55"/>
      <c r="KOA15" s="55"/>
      <c r="KOB15" s="55"/>
      <c r="KOC15" s="55"/>
      <c r="KOD15" s="55"/>
      <c r="KOE15" s="55"/>
      <c r="KOF15" s="55"/>
      <c r="KOG15" s="55"/>
      <c r="KOH15" s="55"/>
      <c r="KOI15" s="55"/>
      <c r="KOJ15" s="55"/>
      <c r="KOK15" s="55"/>
      <c r="KOL15" s="55"/>
      <c r="KOM15" s="55"/>
      <c r="KON15" s="55"/>
      <c r="KOO15" s="55"/>
      <c r="KOP15" s="55"/>
      <c r="KOQ15" s="55"/>
      <c r="KOR15" s="55"/>
      <c r="KOS15" s="55"/>
      <c r="KOT15" s="55"/>
      <c r="KOU15" s="55"/>
      <c r="KOV15" s="55"/>
      <c r="KOW15" s="55"/>
      <c r="KOX15" s="55"/>
      <c r="KOY15" s="55"/>
      <c r="KOZ15" s="55"/>
      <c r="KPA15" s="55"/>
      <c r="KPB15" s="55"/>
      <c r="KPC15" s="55"/>
      <c r="KPD15" s="55"/>
      <c r="KPE15" s="55"/>
      <c r="KPF15" s="55"/>
      <c r="KPG15" s="55"/>
      <c r="KPH15" s="55"/>
      <c r="KPI15" s="55"/>
      <c r="KPJ15" s="55"/>
      <c r="KPK15" s="55"/>
      <c r="KPL15" s="55"/>
      <c r="KPM15" s="55"/>
      <c r="KPN15" s="55"/>
      <c r="KPO15" s="55"/>
      <c r="KPP15" s="55"/>
      <c r="KPQ15" s="55"/>
      <c r="KPR15" s="55"/>
      <c r="KPS15" s="55"/>
      <c r="KPT15" s="55"/>
      <c r="KPU15" s="55"/>
      <c r="KPV15" s="55"/>
      <c r="KPW15" s="55"/>
      <c r="KPX15" s="55"/>
      <c r="KPY15" s="55"/>
      <c r="KPZ15" s="55"/>
      <c r="KQA15" s="55"/>
      <c r="KQB15" s="55"/>
      <c r="KQC15" s="55"/>
      <c r="KQD15" s="55"/>
      <c r="KQE15" s="55"/>
      <c r="KQF15" s="55"/>
      <c r="KQG15" s="55"/>
      <c r="KQH15" s="55"/>
      <c r="KQI15" s="55"/>
      <c r="KQJ15" s="55"/>
      <c r="KQK15" s="55"/>
      <c r="KQL15" s="55"/>
      <c r="KQM15" s="55"/>
      <c r="KQN15" s="55"/>
      <c r="KQO15" s="55"/>
      <c r="KQP15" s="55"/>
      <c r="KQQ15" s="55"/>
      <c r="KQR15" s="55"/>
      <c r="KQS15" s="55"/>
      <c r="KQT15" s="55"/>
      <c r="KQU15" s="55"/>
      <c r="KQV15" s="55"/>
      <c r="KQW15" s="55"/>
      <c r="KQX15" s="55"/>
      <c r="KQY15" s="55"/>
      <c r="KQZ15" s="55"/>
      <c r="KRA15" s="55"/>
      <c r="KRB15" s="55"/>
      <c r="KRC15" s="55"/>
      <c r="KRD15" s="55"/>
      <c r="KRE15" s="55"/>
      <c r="KRF15" s="55"/>
      <c r="KRG15" s="55"/>
      <c r="KRH15" s="55"/>
      <c r="KRI15" s="55"/>
      <c r="KRJ15" s="55"/>
      <c r="KRK15" s="55"/>
      <c r="KRL15" s="55"/>
      <c r="KRM15" s="55"/>
      <c r="KRN15" s="55"/>
      <c r="KRO15" s="55"/>
      <c r="KRP15" s="55"/>
      <c r="KRQ15" s="55"/>
      <c r="KRR15" s="55"/>
      <c r="KRS15" s="55"/>
      <c r="KRT15" s="55"/>
      <c r="KRU15" s="55"/>
      <c r="KRV15" s="55"/>
      <c r="KRW15" s="55"/>
      <c r="KRX15" s="55"/>
      <c r="KRY15" s="55"/>
      <c r="KRZ15" s="55"/>
      <c r="KSA15" s="55"/>
      <c r="KSB15" s="55"/>
      <c r="KSC15" s="55"/>
      <c r="KSD15" s="55"/>
      <c r="KSE15" s="55"/>
      <c r="KSF15" s="55"/>
      <c r="KSG15" s="55"/>
      <c r="KSH15" s="55"/>
      <c r="KSI15" s="55"/>
      <c r="KSJ15" s="55"/>
      <c r="KSK15" s="55"/>
      <c r="KSL15" s="55"/>
      <c r="KSM15" s="55"/>
      <c r="KSN15" s="55"/>
      <c r="KSO15" s="55"/>
      <c r="KSP15" s="55"/>
      <c r="KSQ15" s="55"/>
      <c r="KSR15" s="55"/>
      <c r="KSS15" s="55"/>
      <c r="KST15" s="55"/>
      <c r="KSU15" s="55"/>
      <c r="KSV15" s="55"/>
      <c r="KSW15" s="55"/>
      <c r="KSX15" s="55"/>
      <c r="KSY15" s="55"/>
      <c r="KSZ15" s="55"/>
      <c r="KTA15" s="55"/>
      <c r="KTB15" s="55"/>
      <c r="KTC15" s="55"/>
      <c r="KTD15" s="55"/>
      <c r="KTE15" s="55"/>
      <c r="KTF15" s="55"/>
      <c r="KTG15" s="55"/>
      <c r="KTH15" s="55"/>
      <c r="KTI15" s="55"/>
      <c r="KTJ15" s="55"/>
      <c r="KTK15" s="55"/>
      <c r="KTL15" s="55"/>
      <c r="KTM15" s="55"/>
      <c r="KTN15" s="55"/>
      <c r="KTO15" s="55"/>
      <c r="KTP15" s="55"/>
      <c r="KTQ15" s="55"/>
      <c r="KTR15" s="55"/>
      <c r="KTS15" s="55"/>
      <c r="KTT15" s="55"/>
      <c r="KTU15" s="55"/>
      <c r="KTV15" s="55"/>
      <c r="KTW15" s="55"/>
      <c r="KTX15" s="55"/>
      <c r="KTY15" s="55"/>
      <c r="KTZ15" s="55"/>
      <c r="KUA15" s="55"/>
      <c r="KUB15" s="55"/>
      <c r="KUC15" s="55"/>
      <c r="KUD15" s="55"/>
      <c r="KUE15" s="55"/>
      <c r="KUF15" s="55"/>
      <c r="KUG15" s="55"/>
      <c r="KUH15" s="55"/>
      <c r="KUI15" s="55"/>
      <c r="KUJ15" s="55"/>
      <c r="KUK15" s="55"/>
      <c r="KUL15" s="55"/>
      <c r="KUM15" s="55"/>
      <c r="KUN15" s="55"/>
      <c r="KUO15" s="55"/>
      <c r="KUP15" s="55"/>
      <c r="KUQ15" s="55"/>
      <c r="KUR15" s="55"/>
      <c r="KUS15" s="55"/>
      <c r="KUT15" s="55"/>
      <c r="KUU15" s="55"/>
      <c r="KUV15" s="55"/>
      <c r="KUW15" s="55"/>
      <c r="KUX15" s="55"/>
      <c r="KUY15" s="55"/>
      <c r="KUZ15" s="55"/>
      <c r="KVA15" s="55"/>
      <c r="KVB15" s="55"/>
      <c r="KVC15" s="55"/>
      <c r="KVD15" s="55"/>
      <c r="KVE15" s="55"/>
      <c r="KVF15" s="55"/>
      <c r="KVG15" s="55"/>
      <c r="KVH15" s="55"/>
      <c r="KVI15" s="55"/>
      <c r="KVJ15" s="55"/>
      <c r="KVK15" s="55"/>
      <c r="KVL15" s="55"/>
      <c r="KVM15" s="55"/>
      <c r="KVN15" s="55"/>
      <c r="KVO15" s="55"/>
      <c r="KVP15" s="55"/>
      <c r="KVQ15" s="55"/>
      <c r="KVR15" s="55"/>
      <c r="KVS15" s="55"/>
      <c r="KVT15" s="55"/>
      <c r="KVU15" s="55"/>
      <c r="KVV15" s="55"/>
      <c r="KVW15" s="55"/>
      <c r="KVX15" s="55"/>
      <c r="KVY15" s="55"/>
      <c r="KVZ15" s="55"/>
      <c r="KWA15" s="55"/>
      <c r="KWB15" s="55"/>
      <c r="KWC15" s="55"/>
      <c r="KWD15" s="55"/>
      <c r="KWE15" s="55"/>
      <c r="KWF15" s="55"/>
      <c r="KWG15" s="55"/>
      <c r="KWH15" s="55"/>
      <c r="KWI15" s="55"/>
      <c r="KWJ15" s="55"/>
      <c r="KWK15" s="55"/>
      <c r="KWL15" s="55"/>
      <c r="KWM15" s="55"/>
      <c r="KWN15" s="55"/>
      <c r="KWO15" s="55"/>
      <c r="KWP15" s="55"/>
      <c r="KWQ15" s="55"/>
      <c r="KWR15" s="55"/>
      <c r="KWS15" s="55"/>
      <c r="KWT15" s="55"/>
      <c r="KWU15" s="55"/>
      <c r="KWV15" s="55"/>
      <c r="KWW15" s="55"/>
      <c r="KWX15" s="55"/>
      <c r="KWY15" s="55"/>
      <c r="KWZ15" s="55"/>
      <c r="KXA15" s="55"/>
      <c r="KXB15" s="55"/>
      <c r="KXC15" s="55"/>
      <c r="KXD15" s="55"/>
      <c r="KXE15" s="55"/>
      <c r="KXF15" s="55"/>
      <c r="KXG15" s="55"/>
      <c r="KXH15" s="55"/>
      <c r="KXI15" s="55"/>
      <c r="KXJ15" s="55"/>
      <c r="KXK15" s="55"/>
      <c r="KXL15" s="55"/>
      <c r="KXM15" s="55"/>
      <c r="KXN15" s="55"/>
      <c r="KXO15" s="55"/>
      <c r="KXP15" s="55"/>
      <c r="KXQ15" s="55"/>
      <c r="KXR15" s="55"/>
      <c r="KXS15" s="55"/>
      <c r="KXT15" s="55"/>
      <c r="KXU15" s="55"/>
      <c r="KXV15" s="55"/>
      <c r="KXW15" s="55"/>
      <c r="KXX15" s="55"/>
      <c r="KXY15" s="55"/>
      <c r="KXZ15" s="55"/>
      <c r="KYA15" s="55"/>
      <c r="KYB15" s="55"/>
      <c r="KYC15" s="55"/>
      <c r="KYD15" s="55"/>
      <c r="KYE15" s="55"/>
      <c r="KYF15" s="55"/>
      <c r="KYG15" s="55"/>
      <c r="KYH15" s="55"/>
      <c r="KYI15" s="55"/>
      <c r="KYJ15" s="55"/>
      <c r="KYK15" s="55"/>
      <c r="KYL15" s="55"/>
      <c r="KYM15" s="55"/>
      <c r="KYN15" s="55"/>
      <c r="KYO15" s="55"/>
      <c r="KYP15" s="55"/>
      <c r="KYQ15" s="55"/>
      <c r="KYR15" s="55"/>
      <c r="KYS15" s="55"/>
      <c r="KYT15" s="55"/>
      <c r="KYU15" s="55"/>
      <c r="KYV15" s="55"/>
      <c r="KYW15" s="55"/>
      <c r="KYX15" s="55"/>
      <c r="KYY15" s="55"/>
      <c r="KYZ15" s="55"/>
      <c r="KZA15" s="55"/>
      <c r="KZB15" s="55"/>
      <c r="KZC15" s="55"/>
      <c r="KZD15" s="55"/>
      <c r="KZE15" s="55"/>
      <c r="KZF15" s="55"/>
      <c r="KZG15" s="55"/>
      <c r="KZH15" s="55"/>
      <c r="KZI15" s="55"/>
      <c r="KZJ15" s="55"/>
      <c r="KZK15" s="55"/>
      <c r="KZL15" s="55"/>
      <c r="KZM15" s="55"/>
      <c r="KZN15" s="55"/>
      <c r="KZO15" s="55"/>
      <c r="KZP15" s="55"/>
      <c r="KZQ15" s="55"/>
      <c r="KZR15" s="55"/>
      <c r="KZS15" s="55"/>
      <c r="KZT15" s="55"/>
      <c r="KZU15" s="55"/>
      <c r="KZV15" s="55"/>
      <c r="KZW15" s="55"/>
      <c r="KZX15" s="55"/>
      <c r="KZY15" s="55"/>
      <c r="KZZ15" s="55"/>
      <c r="LAA15" s="55"/>
      <c r="LAB15" s="55"/>
      <c r="LAC15" s="55"/>
      <c r="LAD15" s="55"/>
      <c r="LAE15" s="55"/>
      <c r="LAF15" s="55"/>
      <c r="LAG15" s="55"/>
      <c r="LAH15" s="55"/>
      <c r="LAI15" s="55"/>
      <c r="LAJ15" s="55"/>
      <c r="LAK15" s="55"/>
      <c r="LAL15" s="55"/>
      <c r="LAM15" s="55"/>
      <c r="LAN15" s="55"/>
      <c r="LAO15" s="55"/>
      <c r="LAP15" s="55"/>
      <c r="LAQ15" s="55"/>
      <c r="LAR15" s="55"/>
      <c r="LAS15" s="55"/>
      <c r="LAT15" s="55"/>
      <c r="LAU15" s="55"/>
      <c r="LAV15" s="55"/>
      <c r="LAW15" s="55"/>
      <c r="LAX15" s="55"/>
      <c r="LAY15" s="55"/>
      <c r="LAZ15" s="55"/>
      <c r="LBA15" s="55"/>
      <c r="LBB15" s="55"/>
      <c r="LBC15" s="55"/>
      <c r="LBD15" s="55"/>
      <c r="LBE15" s="55"/>
      <c r="LBF15" s="55"/>
      <c r="LBG15" s="55"/>
      <c r="LBH15" s="55"/>
      <c r="LBI15" s="55"/>
      <c r="LBJ15" s="55"/>
      <c r="LBK15" s="55"/>
      <c r="LBL15" s="55"/>
      <c r="LBM15" s="55"/>
      <c r="LBN15" s="55"/>
      <c r="LBO15" s="55"/>
      <c r="LBP15" s="55"/>
      <c r="LBQ15" s="55"/>
      <c r="LBR15" s="55"/>
      <c r="LBS15" s="55"/>
      <c r="LBT15" s="55"/>
      <c r="LBU15" s="55"/>
      <c r="LBV15" s="55"/>
      <c r="LBW15" s="55"/>
      <c r="LBX15" s="55"/>
      <c r="LBY15" s="55"/>
      <c r="LBZ15" s="55"/>
      <c r="LCA15" s="55"/>
      <c r="LCB15" s="55"/>
      <c r="LCC15" s="55"/>
      <c r="LCD15" s="55"/>
      <c r="LCE15" s="55"/>
      <c r="LCF15" s="55"/>
      <c r="LCG15" s="55"/>
      <c r="LCH15" s="55"/>
      <c r="LCI15" s="55"/>
      <c r="LCJ15" s="55"/>
      <c r="LCK15" s="55"/>
      <c r="LCL15" s="55"/>
      <c r="LCM15" s="55"/>
      <c r="LCN15" s="55"/>
      <c r="LCO15" s="55"/>
      <c r="LCP15" s="55"/>
      <c r="LCQ15" s="55"/>
      <c r="LCR15" s="55"/>
      <c r="LCS15" s="55"/>
      <c r="LCT15" s="55"/>
      <c r="LCU15" s="55"/>
      <c r="LCV15" s="55"/>
      <c r="LCW15" s="55"/>
      <c r="LCX15" s="55"/>
      <c r="LCY15" s="55"/>
      <c r="LCZ15" s="55"/>
      <c r="LDA15" s="55"/>
      <c r="LDB15" s="55"/>
      <c r="LDC15" s="55"/>
      <c r="LDD15" s="55"/>
      <c r="LDE15" s="55"/>
      <c r="LDF15" s="55"/>
      <c r="LDG15" s="55"/>
      <c r="LDH15" s="55"/>
      <c r="LDI15" s="55"/>
      <c r="LDJ15" s="55"/>
      <c r="LDK15" s="55"/>
      <c r="LDL15" s="55"/>
      <c r="LDM15" s="55"/>
      <c r="LDN15" s="55"/>
      <c r="LDO15" s="55"/>
      <c r="LDP15" s="55"/>
      <c r="LDQ15" s="55"/>
      <c r="LDR15" s="55"/>
      <c r="LDS15" s="55"/>
      <c r="LDT15" s="55"/>
      <c r="LDU15" s="55"/>
      <c r="LDV15" s="55"/>
      <c r="LDW15" s="55"/>
      <c r="LDX15" s="55"/>
      <c r="LDY15" s="55"/>
      <c r="LDZ15" s="55"/>
      <c r="LEA15" s="55"/>
      <c r="LEB15" s="55"/>
      <c r="LEC15" s="55"/>
      <c r="LED15" s="55"/>
      <c r="LEE15" s="55"/>
      <c r="LEF15" s="55"/>
      <c r="LEG15" s="55"/>
      <c r="LEH15" s="55"/>
      <c r="LEI15" s="55"/>
      <c r="LEJ15" s="55"/>
      <c r="LEK15" s="55"/>
      <c r="LEL15" s="55"/>
      <c r="LEM15" s="55"/>
      <c r="LEN15" s="55"/>
      <c r="LEO15" s="55"/>
      <c r="LEP15" s="55"/>
      <c r="LEQ15" s="55"/>
      <c r="LER15" s="55"/>
      <c r="LES15" s="55"/>
      <c r="LET15" s="55"/>
      <c r="LEU15" s="55"/>
      <c r="LEV15" s="55"/>
      <c r="LEW15" s="55"/>
      <c r="LEX15" s="55"/>
      <c r="LEY15" s="55"/>
      <c r="LEZ15" s="55"/>
      <c r="LFA15" s="55"/>
      <c r="LFB15" s="55"/>
      <c r="LFC15" s="55"/>
      <c r="LFD15" s="55"/>
      <c r="LFE15" s="55"/>
      <c r="LFF15" s="55"/>
      <c r="LFG15" s="55"/>
      <c r="LFH15" s="55"/>
      <c r="LFI15" s="55"/>
      <c r="LFJ15" s="55"/>
      <c r="LFK15" s="55"/>
      <c r="LFL15" s="55"/>
      <c r="LFM15" s="55"/>
      <c r="LFN15" s="55"/>
      <c r="LFO15" s="55"/>
      <c r="LFP15" s="55"/>
      <c r="LFQ15" s="55"/>
      <c r="LFR15" s="55"/>
      <c r="LFS15" s="55"/>
      <c r="LFT15" s="55"/>
      <c r="LFU15" s="55"/>
      <c r="LFV15" s="55"/>
      <c r="LFW15" s="55"/>
      <c r="LFX15" s="55"/>
      <c r="LFY15" s="55"/>
      <c r="LFZ15" s="55"/>
      <c r="LGA15" s="55"/>
      <c r="LGB15" s="55"/>
      <c r="LGC15" s="55"/>
      <c r="LGD15" s="55"/>
      <c r="LGE15" s="55"/>
      <c r="LGF15" s="55"/>
      <c r="LGG15" s="55"/>
      <c r="LGH15" s="55"/>
      <c r="LGI15" s="55"/>
      <c r="LGJ15" s="55"/>
      <c r="LGK15" s="55"/>
      <c r="LGL15" s="55"/>
      <c r="LGM15" s="55"/>
      <c r="LGN15" s="55"/>
      <c r="LGO15" s="55"/>
      <c r="LGP15" s="55"/>
      <c r="LGQ15" s="55"/>
      <c r="LGR15" s="55"/>
      <c r="LGS15" s="55"/>
      <c r="LGT15" s="55"/>
      <c r="LGU15" s="55"/>
      <c r="LGV15" s="55"/>
      <c r="LGW15" s="55"/>
      <c r="LGX15" s="55"/>
      <c r="LGY15" s="55"/>
      <c r="LGZ15" s="55"/>
      <c r="LHA15" s="55"/>
      <c r="LHB15" s="55"/>
      <c r="LHC15" s="55"/>
      <c r="LHD15" s="55"/>
      <c r="LHE15" s="55"/>
      <c r="LHF15" s="55"/>
      <c r="LHG15" s="55"/>
      <c r="LHH15" s="55"/>
      <c r="LHI15" s="55"/>
      <c r="LHJ15" s="55"/>
      <c r="LHK15" s="55"/>
      <c r="LHL15" s="55"/>
      <c r="LHM15" s="55"/>
      <c r="LHN15" s="55"/>
      <c r="LHO15" s="55"/>
      <c r="LHP15" s="55"/>
      <c r="LHQ15" s="55"/>
      <c r="LHR15" s="55"/>
      <c r="LHS15" s="55"/>
      <c r="LHT15" s="55"/>
      <c r="LHU15" s="55"/>
      <c r="LHV15" s="55"/>
      <c r="LHW15" s="55"/>
      <c r="LHX15" s="55"/>
      <c r="LHY15" s="55"/>
      <c r="LHZ15" s="55"/>
      <c r="LIA15" s="55"/>
      <c r="LIB15" s="55"/>
      <c r="LIC15" s="55"/>
      <c r="LID15" s="55"/>
      <c r="LIE15" s="55"/>
      <c r="LIF15" s="55"/>
      <c r="LIG15" s="55"/>
      <c r="LIH15" s="55"/>
      <c r="LII15" s="55"/>
      <c r="LIJ15" s="55"/>
      <c r="LIK15" s="55"/>
      <c r="LIL15" s="55"/>
      <c r="LIM15" s="55"/>
      <c r="LIN15" s="55"/>
      <c r="LIO15" s="55"/>
      <c r="LIP15" s="55"/>
      <c r="LIQ15" s="55"/>
      <c r="LIR15" s="55"/>
      <c r="LIS15" s="55"/>
      <c r="LIT15" s="55"/>
      <c r="LIU15" s="55"/>
      <c r="LIV15" s="55"/>
      <c r="LIW15" s="55"/>
      <c r="LIX15" s="55"/>
      <c r="LIY15" s="55"/>
      <c r="LIZ15" s="55"/>
      <c r="LJA15" s="55"/>
      <c r="LJB15" s="55"/>
      <c r="LJC15" s="55"/>
      <c r="LJD15" s="55"/>
      <c r="LJE15" s="55"/>
      <c r="LJF15" s="55"/>
      <c r="LJG15" s="55"/>
      <c r="LJH15" s="55"/>
      <c r="LJI15" s="55"/>
      <c r="LJJ15" s="55"/>
      <c r="LJK15" s="55"/>
      <c r="LJL15" s="55"/>
      <c r="LJM15" s="55"/>
      <c r="LJN15" s="55"/>
      <c r="LJO15" s="55"/>
      <c r="LJP15" s="55"/>
      <c r="LJQ15" s="55"/>
      <c r="LJR15" s="55"/>
      <c r="LJS15" s="55"/>
      <c r="LJT15" s="55"/>
      <c r="LJU15" s="55"/>
      <c r="LJV15" s="55"/>
      <c r="LJW15" s="55"/>
      <c r="LJX15" s="55"/>
      <c r="LJY15" s="55"/>
      <c r="LJZ15" s="55"/>
      <c r="LKA15" s="55"/>
      <c r="LKB15" s="55"/>
      <c r="LKC15" s="55"/>
      <c r="LKD15" s="55"/>
      <c r="LKE15" s="55"/>
      <c r="LKF15" s="55"/>
      <c r="LKG15" s="55"/>
      <c r="LKH15" s="55"/>
      <c r="LKI15" s="55"/>
      <c r="LKJ15" s="55"/>
      <c r="LKK15" s="55"/>
      <c r="LKL15" s="55"/>
      <c r="LKM15" s="55"/>
      <c r="LKN15" s="55"/>
      <c r="LKO15" s="55"/>
      <c r="LKP15" s="55"/>
      <c r="LKQ15" s="55"/>
      <c r="LKR15" s="55"/>
      <c r="LKS15" s="55"/>
      <c r="LKT15" s="55"/>
      <c r="LKU15" s="55"/>
      <c r="LKV15" s="55"/>
      <c r="LKW15" s="55"/>
      <c r="LKX15" s="55"/>
      <c r="LKY15" s="55"/>
      <c r="LKZ15" s="55"/>
      <c r="LLA15" s="55"/>
      <c r="LLB15" s="55"/>
      <c r="LLC15" s="55"/>
      <c r="LLD15" s="55"/>
      <c r="LLE15" s="55"/>
      <c r="LLF15" s="55"/>
      <c r="LLG15" s="55"/>
      <c r="LLH15" s="55"/>
      <c r="LLI15" s="55"/>
      <c r="LLJ15" s="55"/>
      <c r="LLK15" s="55"/>
      <c r="LLL15" s="55"/>
      <c r="LLM15" s="55"/>
      <c r="LLN15" s="55"/>
      <c r="LLO15" s="55"/>
      <c r="LLP15" s="55"/>
      <c r="LLQ15" s="55"/>
      <c r="LLR15" s="55"/>
      <c r="LLS15" s="55"/>
      <c r="LLT15" s="55"/>
      <c r="LLU15" s="55"/>
      <c r="LLV15" s="55"/>
      <c r="LLW15" s="55"/>
      <c r="LLX15" s="55"/>
      <c r="LLY15" s="55"/>
      <c r="LLZ15" s="55"/>
      <c r="LMA15" s="55"/>
      <c r="LMB15" s="55"/>
      <c r="LMC15" s="55"/>
      <c r="LMD15" s="55"/>
      <c r="LME15" s="55"/>
      <c r="LMF15" s="55"/>
      <c r="LMG15" s="55"/>
      <c r="LMH15" s="55"/>
      <c r="LMI15" s="55"/>
      <c r="LMJ15" s="55"/>
      <c r="LMK15" s="55"/>
      <c r="LML15" s="55"/>
      <c r="LMM15" s="55"/>
      <c r="LMN15" s="55"/>
      <c r="LMO15" s="55"/>
      <c r="LMP15" s="55"/>
      <c r="LMQ15" s="55"/>
      <c r="LMR15" s="55"/>
      <c r="LMS15" s="55"/>
      <c r="LMT15" s="55"/>
      <c r="LMU15" s="55"/>
      <c r="LMV15" s="55"/>
      <c r="LMW15" s="55"/>
      <c r="LMX15" s="55"/>
      <c r="LMY15" s="55"/>
      <c r="LMZ15" s="55"/>
      <c r="LNA15" s="55"/>
      <c r="LNB15" s="55"/>
      <c r="LNC15" s="55"/>
      <c r="LND15" s="55"/>
      <c r="LNE15" s="55"/>
      <c r="LNF15" s="55"/>
      <c r="LNG15" s="55"/>
      <c r="LNH15" s="55"/>
      <c r="LNI15" s="55"/>
      <c r="LNJ15" s="55"/>
      <c r="LNK15" s="55"/>
      <c r="LNL15" s="55"/>
      <c r="LNM15" s="55"/>
      <c r="LNN15" s="55"/>
      <c r="LNO15" s="55"/>
      <c r="LNP15" s="55"/>
      <c r="LNQ15" s="55"/>
      <c r="LNR15" s="55"/>
      <c r="LNS15" s="55"/>
      <c r="LNT15" s="55"/>
      <c r="LNU15" s="55"/>
      <c r="LNV15" s="55"/>
      <c r="LNW15" s="55"/>
      <c r="LNX15" s="55"/>
      <c r="LNY15" s="55"/>
      <c r="LNZ15" s="55"/>
      <c r="LOA15" s="55"/>
      <c r="LOB15" s="55"/>
      <c r="LOC15" s="55"/>
      <c r="LOD15" s="55"/>
      <c r="LOE15" s="55"/>
      <c r="LOF15" s="55"/>
      <c r="LOG15" s="55"/>
      <c r="LOH15" s="55"/>
      <c r="LOI15" s="55"/>
      <c r="LOJ15" s="55"/>
      <c r="LOK15" s="55"/>
      <c r="LOL15" s="55"/>
      <c r="LOM15" s="55"/>
      <c r="LON15" s="55"/>
      <c r="LOO15" s="55"/>
      <c r="LOP15" s="55"/>
      <c r="LOQ15" s="55"/>
      <c r="LOR15" s="55"/>
      <c r="LOS15" s="55"/>
      <c r="LOT15" s="55"/>
      <c r="LOU15" s="55"/>
      <c r="LOV15" s="55"/>
      <c r="LOW15" s="55"/>
      <c r="LOX15" s="55"/>
      <c r="LOY15" s="55"/>
      <c r="LOZ15" s="55"/>
      <c r="LPA15" s="55"/>
      <c r="LPB15" s="55"/>
      <c r="LPC15" s="55"/>
      <c r="LPD15" s="55"/>
      <c r="LPE15" s="55"/>
      <c r="LPF15" s="55"/>
      <c r="LPG15" s="55"/>
      <c r="LPH15" s="55"/>
      <c r="LPI15" s="55"/>
      <c r="LPJ15" s="55"/>
      <c r="LPK15" s="55"/>
      <c r="LPL15" s="55"/>
      <c r="LPM15" s="55"/>
      <c r="LPN15" s="55"/>
      <c r="LPO15" s="55"/>
      <c r="LPP15" s="55"/>
      <c r="LPQ15" s="55"/>
      <c r="LPR15" s="55"/>
      <c r="LPS15" s="55"/>
      <c r="LPT15" s="55"/>
      <c r="LPU15" s="55"/>
      <c r="LPV15" s="55"/>
      <c r="LPW15" s="55"/>
      <c r="LPX15" s="55"/>
      <c r="LPY15" s="55"/>
      <c r="LPZ15" s="55"/>
      <c r="LQA15" s="55"/>
      <c r="LQB15" s="55"/>
      <c r="LQC15" s="55"/>
      <c r="LQD15" s="55"/>
      <c r="LQE15" s="55"/>
      <c r="LQF15" s="55"/>
      <c r="LQG15" s="55"/>
      <c r="LQH15" s="55"/>
      <c r="LQI15" s="55"/>
      <c r="LQJ15" s="55"/>
      <c r="LQK15" s="55"/>
      <c r="LQL15" s="55"/>
      <c r="LQM15" s="55"/>
      <c r="LQN15" s="55"/>
      <c r="LQO15" s="55"/>
      <c r="LQP15" s="55"/>
      <c r="LQQ15" s="55"/>
      <c r="LQR15" s="55"/>
      <c r="LQS15" s="55"/>
      <c r="LQT15" s="55"/>
      <c r="LQU15" s="55"/>
      <c r="LQV15" s="55"/>
      <c r="LQW15" s="55"/>
      <c r="LQX15" s="55"/>
      <c r="LQY15" s="55"/>
      <c r="LQZ15" s="55"/>
      <c r="LRA15" s="55"/>
      <c r="LRB15" s="55"/>
      <c r="LRC15" s="55"/>
      <c r="LRD15" s="55"/>
      <c r="LRE15" s="55"/>
      <c r="LRF15" s="55"/>
      <c r="LRG15" s="55"/>
      <c r="LRH15" s="55"/>
      <c r="LRI15" s="55"/>
      <c r="LRJ15" s="55"/>
      <c r="LRK15" s="55"/>
      <c r="LRL15" s="55"/>
      <c r="LRM15" s="55"/>
      <c r="LRN15" s="55"/>
      <c r="LRO15" s="55"/>
      <c r="LRP15" s="55"/>
      <c r="LRQ15" s="55"/>
      <c r="LRR15" s="55"/>
      <c r="LRS15" s="55"/>
      <c r="LRT15" s="55"/>
      <c r="LRU15" s="55"/>
      <c r="LRV15" s="55"/>
      <c r="LRW15" s="55"/>
      <c r="LRX15" s="55"/>
      <c r="LRY15" s="55"/>
      <c r="LRZ15" s="55"/>
      <c r="LSA15" s="55"/>
      <c r="LSB15" s="55"/>
      <c r="LSC15" s="55"/>
      <c r="LSD15" s="55"/>
      <c r="LSE15" s="55"/>
      <c r="LSF15" s="55"/>
      <c r="LSG15" s="55"/>
      <c r="LSH15" s="55"/>
      <c r="LSI15" s="55"/>
      <c r="LSJ15" s="55"/>
      <c r="LSK15" s="55"/>
      <c r="LSL15" s="55"/>
      <c r="LSM15" s="55"/>
      <c r="LSN15" s="55"/>
      <c r="LSO15" s="55"/>
      <c r="LSP15" s="55"/>
      <c r="LSQ15" s="55"/>
      <c r="LSR15" s="55"/>
      <c r="LSS15" s="55"/>
      <c r="LST15" s="55"/>
      <c r="LSU15" s="55"/>
      <c r="LSV15" s="55"/>
      <c r="LSW15" s="55"/>
      <c r="LSX15" s="55"/>
      <c r="LSY15" s="55"/>
      <c r="LSZ15" s="55"/>
      <c r="LTA15" s="55"/>
      <c r="LTB15" s="55"/>
      <c r="LTC15" s="55"/>
      <c r="LTD15" s="55"/>
      <c r="LTE15" s="55"/>
      <c r="LTF15" s="55"/>
      <c r="LTG15" s="55"/>
      <c r="LTH15" s="55"/>
      <c r="LTI15" s="55"/>
      <c r="LTJ15" s="55"/>
      <c r="LTK15" s="55"/>
      <c r="LTL15" s="55"/>
      <c r="LTM15" s="55"/>
      <c r="LTN15" s="55"/>
      <c r="LTO15" s="55"/>
      <c r="LTP15" s="55"/>
      <c r="LTQ15" s="55"/>
      <c r="LTR15" s="55"/>
      <c r="LTS15" s="55"/>
      <c r="LTT15" s="55"/>
      <c r="LTU15" s="55"/>
      <c r="LTV15" s="55"/>
      <c r="LTW15" s="55"/>
      <c r="LTX15" s="55"/>
      <c r="LTY15" s="55"/>
      <c r="LTZ15" s="55"/>
      <c r="LUA15" s="55"/>
      <c r="LUB15" s="55"/>
      <c r="LUC15" s="55"/>
      <c r="LUD15" s="55"/>
      <c r="LUE15" s="55"/>
      <c r="LUF15" s="55"/>
      <c r="LUG15" s="55"/>
      <c r="LUH15" s="55"/>
      <c r="LUI15" s="55"/>
      <c r="LUJ15" s="55"/>
      <c r="LUK15" s="55"/>
      <c r="LUL15" s="55"/>
      <c r="LUM15" s="55"/>
      <c r="LUN15" s="55"/>
      <c r="LUO15" s="55"/>
      <c r="LUP15" s="55"/>
      <c r="LUQ15" s="55"/>
      <c r="LUR15" s="55"/>
      <c r="LUS15" s="55"/>
      <c r="LUT15" s="55"/>
      <c r="LUU15" s="55"/>
      <c r="LUV15" s="55"/>
      <c r="LUW15" s="55"/>
      <c r="LUX15" s="55"/>
      <c r="LUY15" s="55"/>
      <c r="LUZ15" s="55"/>
      <c r="LVA15" s="55"/>
      <c r="LVB15" s="55"/>
      <c r="LVC15" s="55"/>
      <c r="LVD15" s="55"/>
      <c r="LVE15" s="55"/>
      <c r="LVF15" s="55"/>
      <c r="LVG15" s="55"/>
      <c r="LVH15" s="55"/>
      <c r="LVI15" s="55"/>
      <c r="LVJ15" s="55"/>
      <c r="LVK15" s="55"/>
      <c r="LVL15" s="55"/>
      <c r="LVM15" s="55"/>
      <c r="LVN15" s="55"/>
      <c r="LVO15" s="55"/>
      <c r="LVP15" s="55"/>
      <c r="LVQ15" s="55"/>
      <c r="LVR15" s="55"/>
      <c r="LVS15" s="55"/>
      <c r="LVT15" s="55"/>
      <c r="LVU15" s="55"/>
      <c r="LVV15" s="55"/>
      <c r="LVW15" s="55"/>
      <c r="LVX15" s="55"/>
      <c r="LVY15" s="55"/>
      <c r="LVZ15" s="55"/>
      <c r="LWA15" s="55"/>
      <c r="LWB15" s="55"/>
      <c r="LWC15" s="55"/>
      <c r="LWD15" s="55"/>
      <c r="LWE15" s="55"/>
      <c r="LWF15" s="55"/>
      <c r="LWG15" s="55"/>
      <c r="LWH15" s="55"/>
      <c r="LWI15" s="55"/>
      <c r="LWJ15" s="55"/>
      <c r="LWK15" s="55"/>
      <c r="LWL15" s="55"/>
      <c r="LWM15" s="55"/>
      <c r="LWN15" s="55"/>
      <c r="LWO15" s="55"/>
      <c r="LWP15" s="55"/>
      <c r="LWQ15" s="55"/>
      <c r="LWR15" s="55"/>
      <c r="LWS15" s="55"/>
      <c r="LWT15" s="55"/>
      <c r="LWU15" s="55"/>
      <c r="LWV15" s="55"/>
      <c r="LWW15" s="55"/>
      <c r="LWX15" s="55"/>
      <c r="LWY15" s="55"/>
      <c r="LWZ15" s="55"/>
      <c r="LXA15" s="55"/>
      <c r="LXB15" s="55"/>
      <c r="LXC15" s="55"/>
      <c r="LXD15" s="55"/>
      <c r="LXE15" s="55"/>
      <c r="LXF15" s="55"/>
      <c r="LXG15" s="55"/>
      <c r="LXH15" s="55"/>
      <c r="LXI15" s="55"/>
      <c r="LXJ15" s="55"/>
      <c r="LXK15" s="55"/>
      <c r="LXL15" s="55"/>
      <c r="LXM15" s="55"/>
      <c r="LXN15" s="55"/>
      <c r="LXO15" s="55"/>
      <c r="LXP15" s="55"/>
      <c r="LXQ15" s="55"/>
      <c r="LXR15" s="55"/>
      <c r="LXS15" s="55"/>
      <c r="LXT15" s="55"/>
      <c r="LXU15" s="55"/>
      <c r="LXV15" s="55"/>
      <c r="LXW15" s="55"/>
      <c r="LXX15" s="55"/>
      <c r="LXY15" s="55"/>
      <c r="LXZ15" s="55"/>
      <c r="LYA15" s="55"/>
      <c r="LYB15" s="55"/>
      <c r="LYC15" s="55"/>
      <c r="LYD15" s="55"/>
      <c r="LYE15" s="55"/>
      <c r="LYF15" s="55"/>
      <c r="LYG15" s="55"/>
      <c r="LYH15" s="55"/>
      <c r="LYI15" s="55"/>
      <c r="LYJ15" s="55"/>
      <c r="LYK15" s="55"/>
      <c r="LYL15" s="55"/>
      <c r="LYM15" s="55"/>
      <c r="LYN15" s="55"/>
      <c r="LYO15" s="55"/>
      <c r="LYP15" s="55"/>
      <c r="LYQ15" s="55"/>
      <c r="LYR15" s="55"/>
      <c r="LYS15" s="55"/>
      <c r="LYT15" s="55"/>
      <c r="LYU15" s="55"/>
      <c r="LYV15" s="55"/>
      <c r="LYW15" s="55"/>
      <c r="LYX15" s="55"/>
      <c r="LYY15" s="55"/>
      <c r="LYZ15" s="55"/>
      <c r="LZA15" s="55"/>
      <c r="LZB15" s="55"/>
      <c r="LZC15" s="55"/>
      <c r="LZD15" s="55"/>
      <c r="LZE15" s="55"/>
      <c r="LZF15" s="55"/>
      <c r="LZG15" s="55"/>
      <c r="LZH15" s="55"/>
      <c r="LZI15" s="55"/>
      <c r="LZJ15" s="55"/>
      <c r="LZK15" s="55"/>
      <c r="LZL15" s="55"/>
      <c r="LZM15" s="55"/>
      <c r="LZN15" s="55"/>
      <c r="LZO15" s="55"/>
      <c r="LZP15" s="55"/>
      <c r="LZQ15" s="55"/>
      <c r="LZR15" s="55"/>
      <c r="LZS15" s="55"/>
      <c r="LZT15" s="55"/>
      <c r="LZU15" s="55"/>
      <c r="LZV15" s="55"/>
      <c r="LZW15" s="55"/>
      <c r="LZX15" s="55"/>
      <c r="LZY15" s="55"/>
      <c r="LZZ15" s="55"/>
      <c r="MAA15" s="55"/>
      <c r="MAB15" s="55"/>
      <c r="MAC15" s="55"/>
      <c r="MAD15" s="55"/>
      <c r="MAE15" s="55"/>
      <c r="MAF15" s="55"/>
      <c r="MAG15" s="55"/>
      <c r="MAH15" s="55"/>
      <c r="MAI15" s="55"/>
      <c r="MAJ15" s="55"/>
      <c r="MAK15" s="55"/>
      <c r="MAL15" s="55"/>
      <c r="MAM15" s="55"/>
      <c r="MAN15" s="55"/>
      <c r="MAO15" s="55"/>
      <c r="MAP15" s="55"/>
      <c r="MAQ15" s="55"/>
      <c r="MAR15" s="55"/>
      <c r="MAS15" s="55"/>
      <c r="MAT15" s="55"/>
      <c r="MAU15" s="55"/>
      <c r="MAV15" s="55"/>
      <c r="MAW15" s="55"/>
      <c r="MAX15" s="55"/>
      <c r="MAY15" s="55"/>
      <c r="MAZ15" s="55"/>
      <c r="MBA15" s="55"/>
      <c r="MBB15" s="55"/>
      <c r="MBC15" s="55"/>
      <c r="MBD15" s="55"/>
      <c r="MBE15" s="55"/>
      <c r="MBF15" s="55"/>
      <c r="MBG15" s="55"/>
      <c r="MBH15" s="55"/>
      <c r="MBI15" s="55"/>
      <c r="MBJ15" s="55"/>
      <c r="MBK15" s="55"/>
      <c r="MBL15" s="55"/>
      <c r="MBM15" s="55"/>
      <c r="MBN15" s="55"/>
      <c r="MBO15" s="55"/>
      <c r="MBP15" s="55"/>
      <c r="MBQ15" s="55"/>
      <c r="MBR15" s="55"/>
      <c r="MBS15" s="55"/>
      <c r="MBT15" s="55"/>
      <c r="MBU15" s="55"/>
      <c r="MBV15" s="55"/>
      <c r="MBW15" s="55"/>
      <c r="MBX15" s="55"/>
      <c r="MBY15" s="55"/>
      <c r="MBZ15" s="55"/>
      <c r="MCA15" s="55"/>
      <c r="MCB15" s="55"/>
      <c r="MCC15" s="55"/>
      <c r="MCD15" s="55"/>
      <c r="MCE15" s="55"/>
      <c r="MCF15" s="55"/>
      <c r="MCG15" s="55"/>
      <c r="MCH15" s="55"/>
      <c r="MCI15" s="55"/>
      <c r="MCJ15" s="55"/>
      <c r="MCK15" s="55"/>
      <c r="MCL15" s="55"/>
      <c r="MCM15" s="55"/>
      <c r="MCN15" s="55"/>
      <c r="MCO15" s="55"/>
      <c r="MCP15" s="55"/>
      <c r="MCQ15" s="55"/>
      <c r="MCR15" s="55"/>
      <c r="MCS15" s="55"/>
      <c r="MCT15" s="55"/>
      <c r="MCU15" s="55"/>
      <c r="MCV15" s="55"/>
      <c r="MCW15" s="55"/>
      <c r="MCX15" s="55"/>
      <c r="MCY15" s="55"/>
      <c r="MCZ15" s="55"/>
      <c r="MDA15" s="55"/>
      <c r="MDB15" s="55"/>
      <c r="MDC15" s="55"/>
      <c r="MDD15" s="55"/>
      <c r="MDE15" s="55"/>
      <c r="MDF15" s="55"/>
      <c r="MDG15" s="55"/>
      <c r="MDH15" s="55"/>
      <c r="MDI15" s="55"/>
      <c r="MDJ15" s="55"/>
      <c r="MDK15" s="55"/>
      <c r="MDL15" s="55"/>
      <c r="MDM15" s="55"/>
      <c r="MDN15" s="55"/>
      <c r="MDO15" s="55"/>
      <c r="MDP15" s="55"/>
      <c r="MDQ15" s="55"/>
      <c r="MDR15" s="55"/>
      <c r="MDS15" s="55"/>
      <c r="MDT15" s="55"/>
      <c r="MDU15" s="55"/>
      <c r="MDV15" s="55"/>
      <c r="MDW15" s="55"/>
      <c r="MDX15" s="55"/>
      <c r="MDY15" s="55"/>
      <c r="MDZ15" s="55"/>
      <c r="MEA15" s="55"/>
      <c r="MEB15" s="55"/>
      <c r="MEC15" s="55"/>
      <c r="MED15" s="55"/>
      <c r="MEE15" s="55"/>
      <c r="MEF15" s="55"/>
      <c r="MEG15" s="55"/>
      <c r="MEH15" s="55"/>
      <c r="MEI15" s="55"/>
      <c r="MEJ15" s="55"/>
      <c r="MEK15" s="55"/>
      <c r="MEL15" s="55"/>
      <c r="MEM15" s="55"/>
      <c r="MEN15" s="55"/>
      <c r="MEO15" s="55"/>
      <c r="MEP15" s="55"/>
      <c r="MEQ15" s="55"/>
      <c r="MER15" s="55"/>
      <c r="MES15" s="55"/>
      <c r="MET15" s="55"/>
      <c r="MEU15" s="55"/>
      <c r="MEV15" s="55"/>
      <c r="MEW15" s="55"/>
      <c r="MEX15" s="55"/>
      <c r="MEY15" s="55"/>
      <c r="MEZ15" s="55"/>
      <c r="MFA15" s="55"/>
      <c r="MFB15" s="55"/>
      <c r="MFC15" s="55"/>
      <c r="MFD15" s="55"/>
      <c r="MFE15" s="55"/>
      <c r="MFF15" s="55"/>
      <c r="MFG15" s="55"/>
      <c r="MFH15" s="55"/>
      <c r="MFI15" s="55"/>
      <c r="MFJ15" s="55"/>
      <c r="MFK15" s="55"/>
      <c r="MFL15" s="55"/>
      <c r="MFM15" s="55"/>
      <c r="MFN15" s="55"/>
      <c r="MFO15" s="55"/>
      <c r="MFP15" s="55"/>
      <c r="MFQ15" s="55"/>
      <c r="MFR15" s="55"/>
      <c r="MFS15" s="55"/>
      <c r="MFT15" s="55"/>
      <c r="MFU15" s="55"/>
      <c r="MFV15" s="55"/>
      <c r="MFW15" s="55"/>
      <c r="MFX15" s="55"/>
      <c r="MFY15" s="55"/>
      <c r="MFZ15" s="55"/>
      <c r="MGA15" s="55"/>
      <c r="MGB15" s="55"/>
      <c r="MGC15" s="55"/>
      <c r="MGD15" s="55"/>
      <c r="MGE15" s="55"/>
      <c r="MGF15" s="55"/>
      <c r="MGG15" s="55"/>
      <c r="MGH15" s="55"/>
      <c r="MGI15" s="55"/>
      <c r="MGJ15" s="55"/>
      <c r="MGK15" s="55"/>
      <c r="MGL15" s="55"/>
      <c r="MGM15" s="55"/>
      <c r="MGN15" s="55"/>
      <c r="MGO15" s="55"/>
      <c r="MGP15" s="55"/>
      <c r="MGQ15" s="55"/>
      <c r="MGR15" s="55"/>
      <c r="MGS15" s="55"/>
      <c r="MGT15" s="55"/>
      <c r="MGU15" s="55"/>
      <c r="MGV15" s="55"/>
      <c r="MGW15" s="55"/>
      <c r="MGX15" s="55"/>
      <c r="MGY15" s="55"/>
      <c r="MGZ15" s="55"/>
      <c r="MHA15" s="55"/>
      <c r="MHB15" s="55"/>
      <c r="MHC15" s="55"/>
      <c r="MHD15" s="55"/>
      <c r="MHE15" s="55"/>
      <c r="MHF15" s="55"/>
      <c r="MHG15" s="55"/>
      <c r="MHH15" s="55"/>
      <c r="MHI15" s="55"/>
      <c r="MHJ15" s="55"/>
      <c r="MHK15" s="55"/>
      <c r="MHL15" s="55"/>
      <c r="MHM15" s="55"/>
      <c r="MHN15" s="55"/>
      <c r="MHO15" s="55"/>
      <c r="MHP15" s="55"/>
      <c r="MHQ15" s="55"/>
      <c r="MHR15" s="55"/>
      <c r="MHS15" s="55"/>
      <c r="MHT15" s="55"/>
      <c r="MHU15" s="55"/>
      <c r="MHV15" s="55"/>
      <c r="MHW15" s="55"/>
      <c r="MHX15" s="55"/>
      <c r="MHY15" s="55"/>
      <c r="MHZ15" s="55"/>
      <c r="MIA15" s="55"/>
      <c r="MIB15" s="55"/>
      <c r="MIC15" s="55"/>
      <c r="MID15" s="55"/>
      <c r="MIE15" s="55"/>
      <c r="MIF15" s="55"/>
      <c r="MIG15" s="55"/>
      <c r="MIH15" s="55"/>
      <c r="MII15" s="55"/>
      <c r="MIJ15" s="55"/>
      <c r="MIK15" s="55"/>
      <c r="MIL15" s="55"/>
      <c r="MIM15" s="55"/>
      <c r="MIN15" s="55"/>
      <c r="MIO15" s="55"/>
      <c r="MIP15" s="55"/>
      <c r="MIQ15" s="55"/>
      <c r="MIR15" s="55"/>
      <c r="MIS15" s="55"/>
      <c r="MIT15" s="55"/>
      <c r="MIU15" s="55"/>
      <c r="MIV15" s="55"/>
      <c r="MIW15" s="55"/>
      <c r="MIX15" s="55"/>
      <c r="MIY15" s="55"/>
      <c r="MIZ15" s="55"/>
      <c r="MJA15" s="55"/>
      <c r="MJB15" s="55"/>
      <c r="MJC15" s="55"/>
      <c r="MJD15" s="55"/>
      <c r="MJE15" s="55"/>
      <c r="MJF15" s="55"/>
      <c r="MJG15" s="55"/>
      <c r="MJH15" s="55"/>
      <c r="MJI15" s="55"/>
      <c r="MJJ15" s="55"/>
      <c r="MJK15" s="55"/>
      <c r="MJL15" s="55"/>
      <c r="MJM15" s="55"/>
      <c r="MJN15" s="55"/>
      <c r="MJO15" s="55"/>
      <c r="MJP15" s="55"/>
      <c r="MJQ15" s="55"/>
      <c r="MJR15" s="55"/>
      <c r="MJS15" s="55"/>
      <c r="MJT15" s="55"/>
      <c r="MJU15" s="55"/>
      <c r="MJV15" s="55"/>
      <c r="MJW15" s="55"/>
      <c r="MJX15" s="55"/>
      <c r="MJY15" s="55"/>
      <c r="MJZ15" s="55"/>
      <c r="MKA15" s="55"/>
      <c r="MKB15" s="55"/>
      <c r="MKC15" s="55"/>
      <c r="MKD15" s="55"/>
      <c r="MKE15" s="55"/>
      <c r="MKF15" s="55"/>
      <c r="MKG15" s="55"/>
      <c r="MKH15" s="55"/>
      <c r="MKI15" s="55"/>
      <c r="MKJ15" s="55"/>
      <c r="MKK15" s="55"/>
      <c r="MKL15" s="55"/>
      <c r="MKM15" s="55"/>
      <c r="MKN15" s="55"/>
      <c r="MKO15" s="55"/>
      <c r="MKP15" s="55"/>
      <c r="MKQ15" s="55"/>
      <c r="MKR15" s="55"/>
      <c r="MKS15" s="55"/>
      <c r="MKT15" s="55"/>
      <c r="MKU15" s="55"/>
      <c r="MKV15" s="55"/>
      <c r="MKW15" s="55"/>
      <c r="MKX15" s="55"/>
      <c r="MKY15" s="55"/>
      <c r="MKZ15" s="55"/>
      <c r="MLA15" s="55"/>
      <c r="MLB15" s="55"/>
      <c r="MLC15" s="55"/>
      <c r="MLD15" s="55"/>
      <c r="MLE15" s="55"/>
      <c r="MLF15" s="55"/>
      <c r="MLG15" s="55"/>
      <c r="MLH15" s="55"/>
      <c r="MLI15" s="55"/>
      <c r="MLJ15" s="55"/>
      <c r="MLK15" s="55"/>
      <c r="MLL15" s="55"/>
      <c r="MLM15" s="55"/>
      <c r="MLN15" s="55"/>
      <c r="MLO15" s="55"/>
      <c r="MLP15" s="55"/>
      <c r="MLQ15" s="55"/>
      <c r="MLR15" s="55"/>
      <c r="MLS15" s="55"/>
      <c r="MLT15" s="55"/>
      <c r="MLU15" s="55"/>
      <c r="MLV15" s="55"/>
      <c r="MLW15" s="55"/>
      <c r="MLX15" s="55"/>
      <c r="MLY15" s="55"/>
      <c r="MLZ15" s="55"/>
      <c r="MMA15" s="55"/>
      <c r="MMB15" s="55"/>
      <c r="MMC15" s="55"/>
      <c r="MMD15" s="55"/>
      <c r="MME15" s="55"/>
      <c r="MMF15" s="55"/>
      <c r="MMG15" s="55"/>
      <c r="MMH15" s="55"/>
      <c r="MMI15" s="55"/>
      <c r="MMJ15" s="55"/>
      <c r="MMK15" s="55"/>
      <c r="MML15" s="55"/>
      <c r="MMM15" s="55"/>
      <c r="MMN15" s="55"/>
      <c r="MMO15" s="55"/>
      <c r="MMP15" s="55"/>
      <c r="MMQ15" s="55"/>
      <c r="MMR15" s="55"/>
      <c r="MMS15" s="55"/>
      <c r="MMT15" s="55"/>
      <c r="MMU15" s="55"/>
      <c r="MMV15" s="55"/>
      <c r="MMW15" s="55"/>
      <c r="MMX15" s="55"/>
      <c r="MMY15" s="55"/>
      <c r="MMZ15" s="55"/>
      <c r="MNA15" s="55"/>
      <c r="MNB15" s="55"/>
      <c r="MNC15" s="55"/>
      <c r="MND15" s="55"/>
      <c r="MNE15" s="55"/>
      <c r="MNF15" s="55"/>
      <c r="MNG15" s="55"/>
      <c r="MNH15" s="55"/>
      <c r="MNI15" s="55"/>
      <c r="MNJ15" s="55"/>
      <c r="MNK15" s="55"/>
      <c r="MNL15" s="55"/>
      <c r="MNM15" s="55"/>
      <c r="MNN15" s="55"/>
      <c r="MNO15" s="55"/>
      <c r="MNP15" s="55"/>
      <c r="MNQ15" s="55"/>
      <c r="MNR15" s="55"/>
      <c r="MNS15" s="55"/>
      <c r="MNT15" s="55"/>
      <c r="MNU15" s="55"/>
      <c r="MNV15" s="55"/>
      <c r="MNW15" s="55"/>
      <c r="MNX15" s="55"/>
      <c r="MNY15" s="55"/>
      <c r="MNZ15" s="55"/>
      <c r="MOA15" s="55"/>
      <c r="MOB15" s="55"/>
      <c r="MOC15" s="55"/>
      <c r="MOD15" s="55"/>
      <c r="MOE15" s="55"/>
      <c r="MOF15" s="55"/>
      <c r="MOG15" s="55"/>
      <c r="MOH15" s="55"/>
      <c r="MOI15" s="55"/>
      <c r="MOJ15" s="55"/>
      <c r="MOK15" s="55"/>
      <c r="MOL15" s="55"/>
      <c r="MOM15" s="55"/>
      <c r="MON15" s="55"/>
      <c r="MOO15" s="55"/>
      <c r="MOP15" s="55"/>
      <c r="MOQ15" s="55"/>
      <c r="MOR15" s="55"/>
      <c r="MOS15" s="55"/>
      <c r="MOT15" s="55"/>
      <c r="MOU15" s="55"/>
      <c r="MOV15" s="55"/>
      <c r="MOW15" s="55"/>
      <c r="MOX15" s="55"/>
      <c r="MOY15" s="55"/>
      <c r="MOZ15" s="55"/>
      <c r="MPA15" s="55"/>
      <c r="MPB15" s="55"/>
      <c r="MPC15" s="55"/>
      <c r="MPD15" s="55"/>
      <c r="MPE15" s="55"/>
      <c r="MPF15" s="55"/>
      <c r="MPG15" s="55"/>
      <c r="MPH15" s="55"/>
      <c r="MPI15" s="55"/>
      <c r="MPJ15" s="55"/>
      <c r="MPK15" s="55"/>
      <c r="MPL15" s="55"/>
      <c r="MPM15" s="55"/>
      <c r="MPN15" s="55"/>
      <c r="MPO15" s="55"/>
      <c r="MPP15" s="55"/>
      <c r="MPQ15" s="55"/>
      <c r="MPR15" s="55"/>
      <c r="MPS15" s="55"/>
      <c r="MPT15" s="55"/>
      <c r="MPU15" s="55"/>
      <c r="MPV15" s="55"/>
      <c r="MPW15" s="55"/>
      <c r="MPX15" s="55"/>
      <c r="MPY15" s="55"/>
      <c r="MPZ15" s="55"/>
      <c r="MQA15" s="55"/>
      <c r="MQB15" s="55"/>
      <c r="MQC15" s="55"/>
      <c r="MQD15" s="55"/>
      <c r="MQE15" s="55"/>
      <c r="MQF15" s="55"/>
      <c r="MQG15" s="55"/>
      <c r="MQH15" s="55"/>
      <c r="MQI15" s="55"/>
      <c r="MQJ15" s="55"/>
      <c r="MQK15" s="55"/>
      <c r="MQL15" s="55"/>
      <c r="MQM15" s="55"/>
      <c r="MQN15" s="55"/>
      <c r="MQO15" s="55"/>
      <c r="MQP15" s="55"/>
      <c r="MQQ15" s="55"/>
      <c r="MQR15" s="55"/>
      <c r="MQS15" s="55"/>
      <c r="MQT15" s="55"/>
      <c r="MQU15" s="55"/>
      <c r="MQV15" s="55"/>
      <c r="MQW15" s="55"/>
      <c r="MQX15" s="55"/>
      <c r="MQY15" s="55"/>
      <c r="MQZ15" s="55"/>
      <c r="MRA15" s="55"/>
      <c r="MRB15" s="55"/>
      <c r="MRC15" s="55"/>
      <c r="MRD15" s="55"/>
      <c r="MRE15" s="55"/>
      <c r="MRF15" s="55"/>
      <c r="MRG15" s="55"/>
      <c r="MRH15" s="55"/>
      <c r="MRI15" s="55"/>
      <c r="MRJ15" s="55"/>
      <c r="MRK15" s="55"/>
      <c r="MRL15" s="55"/>
      <c r="MRM15" s="55"/>
      <c r="MRN15" s="55"/>
      <c r="MRO15" s="55"/>
      <c r="MRP15" s="55"/>
      <c r="MRQ15" s="55"/>
      <c r="MRR15" s="55"/>
      <c r="MRS15" s="55"/>
      <c r="MRT15" s="55"/>
      <c r="MRU15" s="55"/>
      <c r="MRV15" s="55"/>
      <c r="MRW15" s="55"/>
      <c r="MRX15" s="55"/>
      <c r="MRY15" s="55"/>
      <c r="MRZ15" s="55"/>
      <c r="MSA15" s="55"/>
      <c r="MSB15" s="55"/>
      <c r="MSC15" s="55"/>
      <c r="MSD15" s="55"/>
      <c r="MSE15" s="55"/>
      <c r="MSF15" s="55"/>
      <c r="MSG15" s="55"/>
      <c r="MSH15" s="55"/>
      <c r="MSI15" s="55"/>
      <c r="MSJ15" s="55"/>
      <c r="MSK15" s="55"/>
      <c r="MSL15" s="55"/>
      <c r="MSM15" s="55"/>
      <c r="MSN15" s="55"/>
      <c r="MSO15" s="55"/>
      <c r="MSP15" s="55"/>
      <c r="MSQ15" s="55"/>
      <c r="MSR15" s="55"/>
      <c r="MSS15" s="55"/>
      <c r="MST15" s="55"/>
      <c r="MSU15" s="55"/>
      <c r="MSV15" s="55"/>
      <c r="MSW15" s="55"/>
      <c r="MSX15" s="55"/>
      <c r="MSY15" s="55"/>
      <c r="MSZ15" s="55"/>
      <c r="MTA15" s="55"/>
      <c r="MTB15" s="55"/>
      <c r="MTC15" s="55"/>
      <c r="MTD15" s="55"/>
      <c r="MTE15" s="55"/>
      <c r="MTF15" s="55"/>
      <c r="MTG15" s="55"/>
      <c r="MTH15" s="55"/>
      <c r="MTI15" s="55"/>
      <c r="MTJ15" s="55"/>
      <c r="MTK15" s="55"/>
      <c r="MTL15" s="55"/>
      <c r="MTM15" s="55"/>
      <c r="MTN15" s="55"/>
      <c r="MTO15" s="55"/>
      <c r="MTP15" s="55"/>
      <c r="MTQ15" s="55"/>
      <c r="MTR15" s="55"/>
      <c r="MTS15" s="55"/>
      <c r="MTT15" s="55"/>
      <c r="MTU15" s="55"/>
      <c r="MTV15" s="55"/>
      <c r="MTW15" s="55"/>
      <c r="MTX15" s="55"/>
      <c r="MTY15" s="55"/>
      <c r="MTZ15" s="55"/>
      <c r="MUA15" s="55"/>
      <c r="MUB15" s="55"/>
      <c r="MUC15" s="55"/>
      <c r="MUD15" s="55"/>
      <c r="MUE15" s="55"/>
      <c r="MUF15" s="55"/>
      <c r="MUG15" s="55"/>
      <c r="MUH15" s="55"/>
      <c r="MUI15" s="55"/>
      <c r="MUJ15" s="55"/>
      <c r="MUK15" s="55"/>
      <c r="MUL15" s="55"/>
      <c r="MUM15" s="55"/>
      <c r="MUN15" s="55"/>
      <c r="MUO15" s="55"/>
      <c r="MUP15" s="55"/>
      <c r="MUQ15" s="55"/>
      <c r="MUR15" s="55"/>
      <c r="MUS15" s="55"/>
      <c r="MUT15" s="55"/>
      <c r="MUU15" s="55"/>
      <c r="MUV15" s="55"/>
      <c r="MUW15" s="55"/>
      <c r="MUX15" s="55"/>
      <c r="MUY15" s="55"/>
      <c r="MUZ15" s="55"/>
      <c r="MVA15" s="55"/>
      <c r="MVB15" s="55"/>
      <c r="MVC15" s="55"/>
      <c r="MVD15" s="55"/>
      <c r="MVE15" s="55"/>
      <c r="MVF15" s="55"/>
      <c r="MVG15" s="55"/>
      <c r="MVH15" s="55"/>
      <c r="MVI15" s="55"/>
      <c r="MVJ15" s="55"/>
      <c r="MVK15" s="55"/>
      <c r="MVL15" s="55"/>
      <c r="MVM15" s="55"/>
      <c r="MVN15" s="55"/>
      <c r="MVO15" s="55"/>
      <c r="MVP15" s="55"/>
      <c r="MVQ15" s="55"/>
      <c r="MVR15" s="55"/>
      <c r="MVS15" s="55"/>
      <c r="MVT15" s="55"/>
      <c r="MVU15" s="55"/>
      <c r="MVV15" s="55"/>
      <c r="MVW15" s="55"/>
      <c r="MVX15" s="55"/>
      <c r="MVY15" s="55"/>
      <c r="MVZ15" s="55"/>
      <c r="MWA15" s="55"/>
      <c r="MWB15" s="55"/>
      <c r="MWC15" s="55"/>
      <c r="MWD15" s="55"/>
      <c r="MWE15" s="55"/>
      <c r="MWF15" s="55"/>
      <c r="MWG15" s="55"/>
      <c r="MWH15" s="55"/>
      <c r="MWI15" s="55"/>
      <c r="MWJ15" s="55"/>
      <c r="MWK15" s="55"/>
      <c r="MWL15" s="55"/>
      <c r="MWM15" s="55"/>
      <c r="MWN15" s="55"/>
      <c r="MWO15" s="55"/>
      <c r="MWP15" s="55"/>
      <c r="MWQ15" s="55"/>
      <c r="MWR15" s="55"/>
      <c r="MWS15" s="55"/>
      <c r="MWT15" s="55"/>
      <c r="MWU15" s="55"/>
      <c r="MWV15" s="55"/>
      <c r="MWW15" s="55"/>
      <c r="MWX15" s="55"/>
      <c r="MWY15" s="55"/>
      <c r="MWZ15" s="55"/>
      <c r="MXA15" s="55"/>
      <c r="MXB15" s="55"/>
      <c r="MXC15" s="55"/>
      <c r="MXD15" s="55"/>
      <c r="MXE15" s="55"/>
      <c r="MXF15" s="55"/>
      <c r="MXG15" s="55"/>
      <c r="MXH15" s="55"/>
      <c r="MXI15" s="55"/>
      <c r="MXJ15" s="55"/>
      <c r="MXK15" s="55"/>
      <c r="MXL15" s="55"/>
      <c r="MXM15" s="55"/>
      <c r="MXN15" s="55"/>
      <c r="MXO15" s="55"/>
      <c r="MXP15" s="55"/>
      <c r="MXQ15" s="55"/>
      <c r="MXR15" s="55"/>
      <c r="MXS15" s="55"/>
      <c r="MXT15" s="55"/>
      <c r="MXU15" s="55"/>
      <c r="MXV15" s="55"/>
      <c r="MXW15" s="55"/>
      <c r="MXX15" s="55"/>
      <c r="MXY15" s="55"/>
      <c r="MXZ15" s="55"/>
      <c r="MYA15" s="55"/>
      <c r="MYB15" s="55"/>
      <c r="MYC15" s="55"/>
      <c r="MYD15" s="55"/>
      <c r="MYE15" s="55"/>
      <c r="MYF15" s="55"/>
      <c r="MYG15" s="55"/>
      <c r="MYH15" s="55"/>
      <c r="MYI15" s="55"/>
      <c r="MYJ15" s="55"/>
      <c r="MYK15" s="55"/>
      <c r="MYL15" s="55"/>
      <c r="MYM15" s="55"/>
      <c r="MYN15" s="55"/>
      <c r="MYO15" s="55"/>
      <c r="MYP15" s="55"/>
      <c r="MYQ15" s="55"/>
      <c r="MYR15" s="55"/>
      <c r="MYS15" s="55"/>
      <c r="MYT15" s="55"/>
      <c r="MYU15" s="55"/>
      <c r="MYV15" s="55"/>
      <c r="MYW15" s="55"/>
      <c r="MYX15" s="55"/>
      <c r="MYY15" s="55"/>
      <c r="MYZ15" s="55"/>
      <c r="MZA15" s="55"/>
      <c r="MZB15" s="55"/>
      <c r="MZC15" s="55"/>
      <c r="MZD15" s="55"/>
      <c r="MZE15" s="55"/>
      <c r="MZF15" s="55"/>
      <c r="MZG15" s="55"/>
      <c r="MZH15" s="55"/>
      <c r="MZI15" s="55"/>
      <c r="MZJ15" s="55"/>
      <c r="MZK15" s="55"/>
      <c r="MZL15" s="55"/>
      <c r="MZM15" s="55"/>
      <c r="MZN15" s="55"/>
      <c r="MZO15" s="55"/>
      <c r="MZP15" s="55"/>
      <c r="MZQ15" s="55"/>
      <c r="MZR15" s="55"/>
      <c r="MZS15" s="55"/>
      <c r="MZT15" s="55"/>
      <c r="MZU15" s="55"/>
      <c r="MZV15" s="55"/>
      <c r="MZW15" s="55"/>
      <c r="MZX15" s="55"/>
      <c r="MZY15" s="55"/>
      <c r="MZZ15" s="55"/>
      <c r="NAA15" s="55"/>
      <c r="NAB15" s="55"/>
      <c r="NAC15" s="55"/>
      <c r="NAD15" s="55"/>
      <c r="NAE15" s="55"/>
      <c r="NAF15" s="55"/>
      <c r="NAG15" s="55"/>
      <c r="NAH15" s="55"/>
      <c r="NAI15" s="55"/>
      <c r="NAJ15" s="55"/>
      <c r="NAK15" s="55"/>
      <c r="NAL15" s="55"/>
      <c r="NAM15" s="55"/>
      <c r="NAN15" s="55"/>
      <c r="NAO15" s="55"/>
      <c r="NAP15" s="55"/>
      <c r="NAQ15" s="55"/>
      <c r="NAR15" s="55"/>
      <c r="NAS15" s="55"/>
      <c r="NAT15" s="55"/>
      <c r="NAU15" s="55"/>
      <c r="NAV15" s="55"/>
      <c r="NAW15" s="55"/>
      <c r="NAX15" s="55"/>
      <c r="NAY15" s="55"/>
      <c r="NAZ15" s="55"/>
      <c r="NBA15" s="55"/>
      <c r="NBB15" s="55"/>
      <c r="NBC15" s="55"/>
      <c r="NBD15" s="55"/>
      <c r="NBE15" s="55"/>
      <c r="NBF15" s="55"/>
      <c r="NBG15" s="55"/>
      <c r="NBH15" s="55"/>
      <c r="NBI15" s="55"/>
      <c r="NBJ15" s="55"/>
      <c r="NBK15" s="55"/>
      <c r="NBL15" s="55"/>
      <c r="NBM15" s="55"/>
      <c r="NBN15" s="55"/>
      <c r="NBO15" s="55"/>
      <c r="NBP15" s="55"/>
      <c r="NBQ15" s="55"/>
      <c r="NBR15" s="55"/>
      <c r="NBS15" s="55"/>
      <c r="NBT15" s="55"/>
      <c r="NBU15" s="55"/>
      <c r="NBV15" s="55"/>
      <c r="NBW15" s="55"/>
      <c r="NBX15" s="55"/>
      <c r="NBY15" s="55"/>
      <c r="NBZ15" s="55"/>
      <c r="NCA15" s="55"/>
      <c r="NCB15" s="55"/>
      <c r="NCC15" s="55"/>
      <c r="NCD15" s="55"/>
      <c r="NCE15" s="55"/>
      <c r="NCF15" s="55"/>
      <c r="NCG15" s="55"/>
      <c r="NCH15" s="55"/>
      <c r="NCI15" s="55"/>
      <c r="NCJ15" s="55"/>
      <c r="NCK15" s="55"/>
      <c r="NCL15" s="55"/>
      <c r="NCM15" s="55"/>
      <c r="NCN15" s="55"/>
      <c r="NCO15" s="55"/>
      <c r="NCP15" s="55"/>
      <c r="NCQ15" s="55"/>
      <c r="NCR15" s="55"/>
      <c r="NCS15" s="55"/>
      <c r="NCT15" s="55"/>
      <c r="NCU15" s="55"/>
      <c r="NCV15" s="55"/>
      <c r="NCW15" s="55"/>
      <c r="NCX15" s="55"/>
      <c r="NCY15" s="55"/>
      <c r="NCZ15" s="55"/>
      <c r="NDA15" s="55"/>
      <c r="NDB15" s="55"/>
      <c r="NDC15" s="55"/>
      <c r="NDD15" s="55"/>
      <c r="NDE15" s="55"/>
      <c r="NDF15" s="55"/>
      <c r="NDG15" s="55"/>
      <c r="NDH15" s="55"/>
      <c r="NDI15" s="55"/>
      <c r="NDJ15" s="55"/>
      <c r="NDK15" s="55"/>
      <c r="NDL15" s="55"/>
      <c r="NDM15" s="55"/>
      <c r="NDN15" s="55"/>
      <c r="NDO15" s="55"/>
      <c r="NDP15" s="55"/>
      <c r="NDQ15" s="55"/>
      <c r="NDR15" s="55"/>
      <c r="NDS15" s="55"/>
      <c r="NDT15" s="55"/>
      <c r="NDU15" s="55"/>
      <c r="NDV15" s="55"/>
      <c r="NDW15" s="55"/>
      <c r="NDX15" s="55"/>
      <c r="NDY15" s="55"/>
      <c r="NDZ15" s="55"/>
      <c r="NEA15" s="55"/>
      <c r="NEB15" s="55"/>
      <c r="NEC15" s="55"/>
      <c r="NED15" s="55"/>
      <c r="NEE15" s="55"/>
      <c r="NEF15" s="55"/>
      <c r="NEG15" s="55"/>
      <c r="NEH15" s="55"/>
      <c r="NEI15" s="55"/>
      <c r="NEJ15" s="55"/>
      <c r="NEK15" s="55"/>
      <c r="NEL15" s="55"/>
      <c r="NEM15" s="55"/>
      <c r="NEN15" s="55"/>
      <c r="NEO15" s="55"/>
      <c r="NEP15" s="55"/>
      <c r="NEQ15" s="55"/>
      <c r="NER15" s="55"/>
      <c r="NES15" s="55"/>
      <c r="NET15" s="55"/>
      <c r="NEU15" s="55"/>
      <c r="NEV15" s="55"/>
      <c r="NEW15" s="55"/>
      <c r="NEX15" s="55"/>
      <c r="NEY15" s="55"/>
      <c r="NEZ15" s="55"/>
      <c r="NFA15" s="55"/>
      <c r="NFB15" s="55"/>
      <c r="NFC15" s="55"/>
      <c r="NFD15" s="55"/>
      <c r="NFE15" s="55"/>
      <c r="NFF15" s="55"/>
      <c r="NFG15" s="55"/>
      <c r="NFH15" s="55"/>
      <c r="NFI15" s="55"/>
      <c r="NFJ15" s="55"/>
      <c r="NFK15" s="55"/>
      <c r="NFL15" s="55"/>
      <c r="NFM15" s="55"/>
      <c r="NFN15" s="55"/>
      <c r="NFO15" s="55"/>
      <c r="NFP15" s="55"/>
      <c r="NFQ15" s="55"/>
      <c r="NFR15" s="55"/>
      <c r="NFS15" s="55"/>
      <c r="NFT15" s="55"/>
      <c r="NFU15" s="55"/>
      <c r="NFV15" s="55"/>
      <c r="NFW15" s="55"/>
      <c r="NFX15" s="55"/>
      <c r="NFY15" s="55"/>
      <c r="NFZ15" s="55"/>
      <c r="NGA15" s="55"/>
      <c r="NGB15" s="55"/>
      <c r="NGC15" s="55"/>
      <c r="NGD15" s="55"/>
      <c r="NGE15" s="55"/>
      <c r="NGF15" s="55"/>
      <c r="NGG15" s="55"/>
      <c r="NGH15" s="55"/>
      <c r="NGI15" s="55"/>
      <c r="NGJ15" s="55"/>
      <c r="NGK15" s="55"/>
      <c r="NGL15" s="55"/>
      <c r="NGM15" s="55"/>
      <c r="NGN15" s="55"/>
      <c r="NGO15" s="55"/>
      <c r="NGP15" s="55"/>
      <c r="NGQ15" s="55"/>
      <c r="NGR15" s="55"/>
      <c r="NGS15" s="55"/>
      <c r="NGT15" s="55"/>
      <c r="NGU15" s="55"/>
      <c r="NGV15" s="55"/>
      <c r="NGW15" s="55"/>
      <c r="NGX15" s="55"/>
      <c r="NGY15" s="55"/>
      <c r="NGZ15" s="55"/>
      <c r="NHA15" s="55"/>
      <c r="NHB15" s="55"/>
      <c r="NHC15" s="55"/>
      <c r="NHD15" s="55"/>
      <c r="NHE15" s="55"/>
      <c r="NHF15" s="55"/>
      <c r="NHG15" s="55"/>
      <c r="NHH15" s="55"/>
      <c r="NHI15" s="55"/>
      <c r="NHJ15" s="55"/>
      <c r="NHK15" s="55"/>
      <c r="NHL15" s="55"/>
      <c r="NHM15" s="55"/>
      <c r="NHN15" s="55"/>
      <c r="NHO15" s="55"/>
      <c r="NHP15" s="55"/>
      <c r="NHQ15" s="55"/>
      <c r="NHR15" s="55"/>
      <c r="NHS15" s="55"/>
      <c r="NHT15" s="55"/>
      <c r="NHU15" s="55"/>
      <c r="NHV15" s="55"/>
      <c r="NHW15" s="55"/>
      <c r="NHX15" s="55"/>
      <c r="NHY15" s="55"/>
      <c r="NHZ15" s="55"/>
      <c r="NIA15" s="55"/>
      <c r="NIB15" s="55"/>
      <c r="NIC15" s="55"/>
      <c r="NID15" s="55"/>
      <c r="NIE15" s="55"/>
      <c r="NIF15" s="55"/>
      <c r="NIG15" s="55"/>
      <c r="NIH15" s="55"/>
      <c r="NII15" s="55"/>
      <c r="NIJ15" s="55"/>
      <c r="NIK15" s="55"/>
      <c r="NIL15" s="55"/>
      <c r="NIM15" s="55"/>
      <c r="NIN15" s="55"/>
      <c r="NIO15" s="55"/>
      <c r="NIP15" s="55"/>
      <c r="NIQ15" s="55"/>
      <c r="NIR15" s="55"/>
      <c r="NIS15" s="55"/>
      <c r="NIT15" s="55"/>
      <c r="NIU15" s="55"/>
      <c r="NIV15" s="55"/>
      <c r="NIW15" s="55"/>
      <c r="NIX15" s="55"/>
      <c r="NIY15" s="55"/>
      <c r="NIZ15" s="55"/>
      <c r="NJA15" s="55"/>
      <c r="NJB15" s="55"/>
      <c r="NJC15" s="55"/>
      <c r="NJD15" s="55"/>
      <c r="NJE15" s="55"/>
      <c r="NJF15" s="55"/>
      <c r="NJG15" s="55"/>
      <c r="NJH15" s="55"/>
      <c r="NJI15" s="55"/>
      <c r="NJJ15" s="55"/>
      <c r="NJK15" s="55"/>
      <c r="NJL15" s="55"/>
      <c r="NJM15" s="55"/>
      <c r="NJN15" s="55"/>
      <c r="NJO15" s="55"/>
      <c r="NJP15" s="55"/>
      <c r="NJQ15" s="55"/>
      <c r="NJR15" s="55"/>
      <c r="NJS15" s="55"/>
      <c r="NJT15" s="55"/>
      <c r="NJU15" s="55"/>
      <c r="NJV15" s="55"/>
      <c r="NJW15" s="55"/>
      <c r="NJX15" s="55"/>
      <c r="NJY15" s="55"/>
      <c r="NJZ15" s="55"/>
      <c r="NKA15" s="55"/>
      <c r="NKB15" s="55"/>
      <c r="NKC15" s="55"/>
      <c r="NKD15" s="55"/>
      <c r="NKE15" s="55"/>
      <c r="NKF15" s="55"/>
      <c r="NKG15" s="55"/>
      <c r="NKH15" s="55"/>
      <c r="NKI15" s="55"/>
      <c r="NKJ15" s="55"/>
      <c r="NKK15" s="55"/>
      <c r="NKL15" s="55"/>
      <c r="NKM15" s="55"/>
      <c r="NKN15" s="55"/>
      <c r="NKO15" s="55"/>
      <c r="NKP15" s="55"/>
      <c r="NKQ15" s="55"/>
      <c r="NKR15" s="55"/>
      <c r="NKS15" s="55"/>
      <c r="NKT15" s="55"/>
      <c r="NKU15" s="55"/>
      <c r="NKV15" s="55"/>
      <c r="NKW15" s="55"/>
      <c r="NKX15" s="55"/>
      <c r="NKY15" s="55"/>
      <c r="NKZ15" s="55"/>
      <c r="NLA15" s="55"/>
      <c r="NLB15" s="55"/>
      <c r="NLC15" s="55"/>
      <c r="NLD15" s="55"/>
      <c r="NLE15" s="55"/>
      <c r="NLF15" s="55"/>
      <c r="NLG15" s="55"/>
      <c r="NLH15" s="55"/>
      <c r="NLI15" s="55"/>
      <c r="NLJ15" s="55"/>
      <c r="NLK15" s="55"/>
      <c r="NLL15" s="55"/>
      <c r="NLM15" s="55"/>
      <c r="NLN15" s="55"/>
      <c r="NLO15" s="55"/>
      <c r="NLP15" s="55"/>
      <c r="NLQ15" s="55"/>
      <c r="NLR15" s="55"/>
      <c r="NLS15" s="55"/>
      <c r="NLT15" s="55"/>
      <c r="NLU15" s="55"/>
      <c r="NLV15" s="55"/>
      <c r="NLW15" s="55"/>
      <c r="NLX15" s="55"/>
      <c r="NLY15" s="55"/>
      <c r="NLZ15" s="55"/>
      <c r="NMA15" s="55"/>
      <c r="NMB15" s="55"/>
      <c r="NMC15" s="55"/>
      <c r="NMD15" s="55"/>
      <c r="NME15" s="55"/>
      <c r="NMF15" s="55"/>
      <c r="NMG15" s="55"/>
      <c r="NMH15" s="55"/>
      <c r="NMI15" s="55"/>
      <c r="NMJ15" s="55"/>
      <c r="NMK15" s="55"/>
      <c r="NML15" s="55"/>
      <c r="NMM15" s="55"/>
      <c r="NMN15" s="55"/>
      <c r="NMO15" s="55"/>
      <c r="NMP15" s="55"/>
      <c r="NMQ15" s="55"/>
      <c r="NMR15" s="55"/>
      <c r="NMS15" s="55"/>
      <c r="NMT15" s="55"/>
      <c r="NMU15" s="55"/>
      <c r="NMV15" s="55"/>
      <c r="NMW15" s="55"/>
      <c r="NMX15" s="55"/>
      <c r="NMY15" s="55"/>
      <c r="NMZ15" s="55"/>
      <c r="NNA15" s="55"/>
      <c r="NNB15" s="55"/>
      <c r="NNC15" s="55"/>
      <c r="NND15" s="55"/>
      <c r="NNE15" s="55"/>
      <c r="NNF15" s="55"/>
      <c r="NNG15" s="55"/>
      <c r="NNH15" s="55"/>
      <c r="NNI15" s="55"/>
      <c r="NNJ15" s="55"/>
      <c r="NNK15" s="55"/>
      <c r="NNL15" s="55"/>
      <c r="NNM15" s="55"/>
      <c r="NNN15" s="55"/>
      <c r="NNO15" s="55"/>
      <c r="NNP15" s="55"/>
      <c r="NNQ15" s="55"/>
      <c r="NNR15" s="55"/>
      <c r="NNS15" s="55"/>
      <c r="NNT15" s="55"/>
      <c r="NNU15" s="55"/>
      <c r="NNV15" s="55"/>
      <c r="NNW15" s="55"/>
      <c r="NNX15" s="55"/>
      <c r="NNY15" s="55"/>
      <c r="NNZ15" s="55"/>
      <c r="NOA15" s="55"/>
      <c r="NOB15" s="55"/>
      <c r="NOC15" s="55"/>
      <c r="NOD15" s="55"/>
      <c r="NOE15" s="55"/>
      <c r="NOF15" s="55"/>
      <c r="NOG15" s="55"/>
      <c r="NOH15" s="55"/>
      <c r="NOI15" s="55"/>
      <c r="NOJ15" s="55"/>
      <c r="NOK15" s="55"/>
      <c r="NOL15" s="55"/>
      <c r="NOM15" s="55"/>
      <c r="NON15" s="55"/>
      <c r="NOO15" s="55"/>
      <c r="NOP15" s="55"/>
      <c r="NOQ15" s="55"/>
      <c r="NOR15" s="55"/>
      <c r="NOS15" s="55"/>
      <c r="NOT15" s="55"/>
      <c r="NOU15" s="55"/>
      <c r="NOV15" s="55"/>
      <c r="NOW15" s="55"/>
      <c r="NOX15" s="55"/>
      <c r="NOY15" s="55"/>
      <c r="NOZ15" s="55"/>
      <c r="NPA15" s="55"/>
      <c r="NPB15" s="55"/>
      <c r="NPC15" s="55"/>
      <c r="NPD15" s="55"/>
      <c r="NPE15" s="55"/>
      <c r="NPF15" s="55"/>
      <c r="NPG15" s="55"/>
      <c r="NPH15" s="55"/>
      <c r="NPI15" s="55"/>
      <c r="NPJ15" s="55"/>
      <c r="NPK15" s="55"/>
      <c r="NPL15" s="55"/>
      <c r="NPM15" s="55"/>
      <c r="NPN15" s="55"/>
      <c r="NPO15" s="55"/>
      <c r="NPP15" s="55"/>
      <c r="NPQ15" s="55"/>
      <c r="NPR15" s="55"/>
      <c r="NPS15" s="55"/>
      <c r="NPT15" s="55"/>
      <c r="NPU15" s="55"/>
      <c r="NPV15" s="55"/>
      <c r="NPW15" s="55"/>
      <c r="NPX15" s="55"/>
      <c r="NPY15" s="55"/>
      <c r="NPZ15" s="55"/>
      <c r="NQA15" s="55"/>
      <c r="NQB15" s="55"/>
      <c r="NQC15" s="55"/>
      <c r="NQD15" s="55"/>
      <c r="NQE15" s="55"/>
      <c r="NQF15" s="55"/>
      <c r="NQG15" s="55"/>
      <c r="NQH15" s="55"/>
      <c r="NQI15" s="55"/>
      <c r="NQJ15" s="55"/>
      <c r="NQK15" s="55"/>
      <c r="NQL15" s="55"/>
      <c r="NQM15" s="55"/>
      <c r="NQN15" s="55"/>
      <c r="NQO15" s="55"/>
      <c r="NQP15" s="55"/>
      <c r="NQQ15" s="55"/>
      <c r="NQR15" s="55"/>
      <c r="NQS15" s="55"/>
      <c r="NQT15" s="55"/>
      <c r="NQU15" s="55"/>
      <c r="NQV15" s="55"/>
      <c r="NQW15" s="55"/>
      <c r="NQX15" s="55"/>
      <c r="NQY15" s="55"/>
      <c r="NQZ15" s="55"/>
      <c r="NRA15" s="55"/>
      <c r="NRB15" s="55"/>
      <c r="NRC15" s="55"/>
      <c r="NRD15" s="55"/>
      <c r="NRE15" s="55"/>
      <c r="NRF15" s="55"/>
      <c r="NRG15" s="55"/>
      <c r="NRH15" s="55"/>
      <c r="NRI15" s="55"/>
      <c r="NRJ15" s="55"/>
      <c r="NRK15" s="55"/>
      <c r="NRL15" s="55"/>
      <c r="NRM15" s="55"/>
      <c r="NRN15" s="55"/>
      <c r="NRO15" s="55"/>
      <c r="NRP15" s="55"/>
      <c r="NRQ15" s="55"/>
      <c r="NRR15" s="55"/>
      <c r="NRS15" s="55"/>
      <c r="NRT15" s="55"/>
      <c r="NRU15" s="55"/>
      <c r="NRV15" s="55"/>
      <c r="NRW15" s="55"/>
      <c r="NRX15" s="55"/>
      <c r="NRY15" s="55"/>
      <c r="NRZ15" s="55"/>
      <c r="NSA15" s="55"/>
      <c r="NSB15" s="55"/>
      <c r="NSC15" s="55"/>
      <c r="NSD15" s="55"/>
      <c r="NSE15" s="55"/>
      <c r="NSF15" s="55"/>
      <c r="NSG15" s="55"/>
      <c r="NSH15" s="55"/>
      <c r="NSI15" s="55"/>
      <c r="NSJ15" s="55"/>
      <c r="NSK15" s="55"/>
      <c r="NSL15" s="55"/>
      <c r="NSM15" s="55"/>
      <c r="NSN15" s="55"/>
      <c r="NSO15" s="55"/>
      <c r="NSP15" s="55"/>
      <c r="NSQ15" s="55"/>
      <c r="NSR15" s="55"/>
      <c r="NSS15" s="55"/>
      <c r="NST15" s="55"/>
      <c r="NSU15" s="55"/>
      <c r="NSV15" s="55"/>
      <c r="NSW15" s="55"/>
      <c r="NSX15" s="55"/>
      <c r="NSY15" s="55"/>
      <c r="NSZ15" s="55"/>
      <c r="NTA15" s="55"/>
      <c r="NTB15" s="55"/>
      <c r="NTC15" s="55"/>
      <c r="NTD15" s="55"/>
      <c r="NTE15" s="55"/>
      <c r="NTF15" s="55"/>
      <c r="NTG15" s="55"/>
      <c r="NTH15" s="55"/>
      <c r="NTI15" s="55"/>
      <c r="NTJ15" s="55"/>
      <c r="NTK15" s="55"/>
      <c r="NTL15" s="55"/>
      <c r="NTM15" s="55"/>
      <c r="NTN15" s="55"/>
      <c r="NTO15" s="55"/>
      <c r="NTP15" s="55"/>
      <c r="NTQ15" s="55"/>
      <c r="NTR15" s="55"/>
      <c r="NTS15" s="55"/>
      <c r="NTT15" s="55"/>
      <c r="NTU15" s="55"/>
      <c r="NTV15" s="55"/>
      <c r="NTW15" s="55"/>
      <c r="NTX15" s="55"/>
      <c r="NTY15" s="55"/>
      <c r="NTZ15" s="55"/>
      <c r="NUA15" s="55"/>
      <c r="NUB15" s="55"/>
      <c r="NUC15" s="55"/>
      <c r="NUD15" s="55"/>
      <c r="NUE15" s="55"/>
      <c r="NUF15" s="55"/>
      <c r="NUG15" s="55"/>
      <c r="NUH15" s="55"/>
      <c r="NUI15" s="55"/>
      <c r="NUJ15" s="55"/>
      <c r="NUK15" s="55"/>
      <c r="NUL15" s="55"/>
      <c r="NUM15" s="55"/>
      <c r="NUN15" s="55"/>
      <c r="NUO15" s="55"/>
      <c r="NUP15" s="55"/>
      <c r="NUQ15" s="55"/>
      <c r="NUR15" s="55"/>
      <c r="NUS15" s="55"/>
      <c r="NUT15" s="55"/>
      <c r="NUU15" s="55"/>
      <c r="NUV15" s="55"/>
      <c r="NUW15" s="55"/>
      <c r="NUX15" s="55"/>
      <c r="NUY15" s="55"/>
      <c r="NUZ15" s="55"/>
      <c r="NVA15" s="55"/>
      <c r="NVB15" s="55"/>
      <c r="NVC15" s="55"/>
      <c r="NVD15" s="55"/>
      <c r="NVE15" s="55"/>
      <c r="NVF15" s="55"/>
      <c r="NVG15" s="55"/>
      <c r="NVH15" s="55"/>
      <c r="NVI15" s="55"/>
      <c r="NVJ15" s="55"/>
      <c r="NVK15" s="55"/>
      <c r="NVL15" s="55"/>
      <c r="NVM15" s="55"/>
      <c r="NVN15" s="55"/>
      <c r="NVO15" s="55"/>
      <c r="NVP15" s="55"/>
      <c r="NVQ15" s="55"/>
      <c r="NVR15" s="55"/>
      <c r="NVS15" s="55"/>
      <c r="NVT15" s="55"/>
      <c r="NVU15" s="55"/>
      <c r="NVV15" s="55"/>
      <c r="NVW15" s="55"/>
      <c r="NVX15" s="55"/>
      <c r="NVY15" s="55"/>
      <c r="NVZ15" s="55"/>
      <c r="NWA15" s="55"/>
      <c r="NWB15" s="55"/>
      <c r="NWC15" s="55"/>
      <c r="NWD15" s="55"/>
      <c r="NWE15" s="55"/>
      <c r="NWF15" s="55"/>
      <c r="NWG15" s="55"/>
      <c r="NWH15" s="55"/>
      <c r="NWI15" s="55"/>
      <c r="NWJ15" s="55"/>
      <c r="NWK15" s="55"/>
      <c r="NWL15" s="55"/>
      <c r="NWM15" s="55"/>
      <c r="NWN15" s="55"/>
      <c r="NWO15" s="55"/>
      <c r="NWP15" s="55"/>
      <c r="NWQ15" s="55"/>
      <c r="NWR15" s="55"/>
      <c r="NWS15" s="55"/>
      <c r="NWT15" s="55"/>
      <c r="NWU15" s="55"/>
      <c r="NWV15" s="55"/>
      <c r="NWW15" s="55"/>
      <c r="NWX15" s="55"/>
      <c r="NWY15" s="55"/>
      <c r="NWZ15" s="55"/>
      <c r="NXA15" s="55"/>
      <c r="NXB15" s="55"/>
      <c r="NXC15" s="55"/>
      <c r="NXD15" s="55"/>
      <c r="NXE15" s="55"/>
      <c r="NXF15" s="55"/>
      <c r="NXG15" s="55"/>
      <c r="NXH15" s="55"/>
      <c r="NXI15" s="55"/>
      <c r="NXJ15" s="55"/>
      <c r="NXK15" s="55"/>
      <c r="NXL15" s="55"/>
      <c r="NXM15" s="55"/>
      <c r="NXN15" s="55"/>
      <c r="NXO15" s="55"/>
      <c r="NXP15" s="55"/>
      <c r="NXQ15" s="55"/>
      <c r="NXR15" s="55"/>
      <c r="NXS15" s="55"/>
      <c r="NXT15" s="55"/>
      <c r="NXU15" s="55"/>
      <c r="NXV15" s="55"/>
      <c r="NXW15" s="55"/>
      <c r="NXX15" s="55"/>
      <c r="NXY15" s="55"/>
      <c r="NXZ15" s="55"/>
      <c r="NYA15" s="55"/>
      <c r="NYB15" s="55"/>
      <c r="NYC15" s="55"/>
      <c r="NYD15" s="55"/>
      <c r="NYE15" s="55"/>
      <c r="NYF15" s="55"/>
      <c r="NYG15" s="55"/>
      <c r="NYH15" s="55"/>
      <c r="NYI15" s="55"/>
      <c r="NYJ15" s="55"/>
      <c r="NYK15" s="55"/>
      <c r="NYL15" s="55"/>
      <c r="NYM15" s="55"/>
      <c r="NYN15" s="55"/>
      <c r="NYO15" s="55"/>
      <c r="NYP15" s="55"/>
      <c r="NYQ15" s="55"/>
      <c r="NYR15" s="55"/>
      <c r="NYS15" s="55"/>
      <c r="NYT15" s="55"/>
      <c r="NYU15" s="55"/>
      <c r="NYV15" s="55"/>
      <c r="NYW15" s="55"/>
      <c r="NYX15" s="55"/>
      <c r="NYY15" s="55"/>
      <c r="NYZ15" s="55"/>
      <c r="NZA15" s="55"/>
      <c r="NZB15" s="55"/>
      <c r="NZC15" s="55"/>
      <c r="NZD15" s="55"/>
      <c r="NZE15" s="55"/>
      <c r="NZF15" s="55"/>
      <c r="NZG15" s="55"/>
      <c r="NZH15" s="55"/>
      <c r="NZI15" s="55"/>
      <c r="NZJ15" s="55"/>
      <c r="NZK15" s="55"/>
      <c r="NZL15" s="55"/>
      <c r="NZM15" s="55"/>
      <c r="NZN15" s="55"/>
      <c r="NZO15" s="55"/>
      <c r="NZP15" s="55"/>
      <c r="NZQ15" s="55"/>
      <c r="NZR15" s="55"/>
      <c r="NZS15" s="55"/>
      <c r="NZT15" s="55"/>
      <c r="NZU15" s="55"/>
      <c r="NZV15" s="55"/>
      <c r="NZW15" s="55"/>
      <c r="NZX15" s="55"/>
      <c r="NZY15" s="55"/>
      <c r="NZZ15" s="55"/>
      <c r="OAA15" s="55"/>
      <c r="OAB15" s="55"/>
      <c r="OAC15" s="55"/>
      <c r="OAD15" s="55"/>
      <c r="OAE15" s="55"/>
      <c r="OAF15" s="55"/>
      <c r="OAG15" s="55"/>
      <c r="OAH15" s="55"/>
      <c r="OAI15" s="55"/>
      <c r="OAJ15" s="55"/>
      <c r="OAK15" s="55"/>
      <c r="OAL15" s="55"/>
      <c r="OAM15" s="55"/>
      <c r="OAN15" s="55"/>
      <c r="OAO15" s="55"/>
      <c r="OAP15" s="55"/>
      <c r="OAQ15" s="55"/>
      <c r="OAR15" s="55"/>
      <c r="OAS15" s="55"/>
      <c r="OAT15" s="55"/>
      <c r="OAU15" s="55"/>
      <c r="OAV15" s="55"/>
      <c r="OAW15" s="55"/>
      <c r="OAX15" s="55"/>
      <c r="OAY15" s="55"/>
      <c r="OAZ15" s="55"/>
      <c r="OBA15" s="55"/>
      <c r="OBB15" s="55"/>
      <c r="OBC15" s="55"/>
      <c r="OBD15" s="55"/>
      <c r="OBE15" s="55"/>
      <c r="OBF15" s="55"/>
      <c r="OBG15" s="55"/>
      <c r="OBH15" s="55"/>
      <c r="OBI15" s="55"/>
      <c r="OBJ15" s="55"/>
      <c r="OBK15" s="55"/>
      <c r="OBL15" s="55"/>
      <c r="OBM15" s="55"/>
      <c r="OBN15" s="55"/>
      <c r="OBO15" s="55"/>
      <c r="OBP15" s="55"/>
      <c r="OBQ15" s="55"/>
      <c r="OBR15" s="55"/>
      <c r="OBS15" s="55"/>
      <c r="OBT15" s="55"/>
      <c r="OBU15" s="55"/>
      <c r="OBV15" s="55"/>
      <c r="OBW15" s="55"/>
      <c r="OBX15" s="55"/>
      <c r="OBY15" s="55"/>
      <c r="OBZ15" s="55"/>
      <c r="OCA15" s="55"/>
      <c r="OCB15" s="55"/>
      <c r="OCC15" s="55"/>
      <c r="OCD15" s="55"/>
      <c r="OCE15" s="55"/>
      <c r="OCF15" s="55"/>
      <c r="OCG15" s="55"/>
      <c r="OCH15" s="55"/>
      <c r="OCI15" s="55"/>
      <c r="OCJ15" s="55"/>
      <c r="OCK15" s="55"/>
      <c r="OCL15" s="55"/>
      <c r="OCM15" s="55"/>
      <c r="OCN15" s="55"/>
      <c r="OCO15" s="55"/>
      <c r="OCP15" s="55"/>
      <c r="OCQ15" s="55"/>
      <c r="OCR15" s="55"/>
      <c r="OCS15" s="55"/>
      <c r="OCT15" s="55"/>
      <c r="OCU15" s="55"/>
      <c r="OCV15" s="55"/>
      <c r="OCW15" s="55"/>
      <c r="OCX15" s="55"/>
      <c r="OCY15" s="55"/>
      <c r="OCZ15" s="55"/>
      <c r="ODA15" s="55"/>
      <c r="ODB15" s="55"/>
      <c r="ODC15" s="55"/>
      <c r="ODD15" s="55"/>
      <c r="ODE15" s="55"/>
      <c r="ODF15" s="55"/>
      <c r="ODG15" s="55"/>
      <c r="ODH15" s="55"/>
      <c r="ODI15" s="55"/>
      <c r="ODJ15" s="55"/>
      <c r="ODK15" s="55"/>
      <c r="ODL15" s="55"/>
      <c r="ODM15" s="55"/>
      <c r="ODN15" s="55"/>
      <c r="ODO15" s="55"/>
      <c r="ODP15" s="55"/>
      <c r="ODQ15" s="55"/>
      <c r="ODR15" s="55"/>
      <c r="ODS15" s="55"/>
      <c r="ODT15" s="55"/>
      <c r="ODU15" s="55"/>
      <c r="ODV15" s="55"/>
      <c r="ODW15" s="55"/>
      <c r="ODX15" s="55"/>
      <c r="ODY15" s="55"/>
      <c r="ODZ15" s="55"/>
      <c r="OEA15" s="55"/>
      <c r="OEB15" s="55"/>
      <c r="OEC15" s="55"/>
      <c r="OED15" s="55"/>
      <c r="OEE15" s="55"/>
      <c r="OEF15" s="55"/>
      <c r="OEG15" s="55"/>
      <c r="OEH15" s="55"/>
      <c r="OEI15" s="55"/>
      <c r="OEJ15" s="55"/>
      <c r="OEK15" s="55"/>
      <c r="OEL15" s="55"/>
      <c r="OEM15" s="55"/>
      <c r="OEN15" s="55"/>
      <c r="OEO15" s="55"/>
      <c r="OEP15" s="55"/>
      <c r="OEQ15" s="55"/>
      <c r="OER15" s="55"/>
      <c r="OES15" s="55"/>
      <c r="OET15" s="55"/>
      <c r="OEU15" s="55"/>
      <c r="OEV15" s="55"/>
      <c r="OEW15" s="55"/>
      <c r="OEX15" s="55"/>
      <c r="OEY15" s="55"/>
      <c r="OEZ15" s="55"/>
      <c r="OFA15" s="55"/>
      <c r="OFB15" s="55"/>
      <c r="OFC15" s="55"/>
      <c r="OFD15" s="55"/>
      <c r="OFE15" s="55"/>
      <c r="OFF15" s="55"/>
      <c r="OFG15" s="55"/>
      <c r="OFH15" s="55"/>
      <c r="OFI15" s="55"/>
      <c r="OFJ15" s="55"/>
      <c r="OFK15" s="55"/>
      <c r="OFL15" s="55"/>
      <c r="OFM15" s="55"/>
      <c r="OFN15" s="55"/>
      <c r="OFO15" s="55"/>
      <c r="OFP15" s="55"/>
      <c r="OFQ15" s="55"/>
      <c r="OFR15" s="55"/>
      <c r="OFS15" s="55"/>
      <c r="OFT15" s="55"/>
      <c r="OFU15" s="55"/>
      <c r="OFV15" s="55"/>
      <c r="OFW15" s="55"/>
      <c r="OFX15" s="55"/>
      <c r="OFY15" s="55"/>
      <c r="OFZ15" s="55"/>
      <c r="OGA15" s="55"/>
      <c r="OGB15" s="55"/>
      <c r="OGC15" s="55"/>
      <c r="OGD15" s="55"/>
      <c r="OGE15" s="55"/>
      <c r="OGF15" s="55"/>
      <c r="OGG15" s="55"/>
      <c r="OGH15" s="55"/>
      <c r="OGI15" s="55"/>
      <c r="OGJ15" s="55"/>
      <c r="OGK15" s="55"/>
      <c r="OGL15" s="55"/>
      <c r="OGM15" s="55"/>
      <c r="OGN15" s="55"/>
      <c r="OGO15" s="55"/>
      <c r="OGP15" s="55"/>
      <c r="OGQ15" s="55"/>
      <c r="OGR15" s="55"/>
      <c r="OGS15" s="55"/>
      <c r="OGT15" s="55"/>
      <c r="OGU15" s="55"/>
      <c r="OGV15" s="55"/>
      <c r="OGW15" s="55"/>
      <c r="OGX15" s="55"/>
      <c r="OGY15" s="55"/>
      <c r="OGZ15" s="55"/>
      <c r="OHA15" s="55"/>
      <c r="OHB15" s="55"/>
      <c r="OHC15" s="55"/>
      <c r="OHD15" s="55"/>
      <c r="OHE15" s="55"/>
      <c r="OHF15" s="55"/>
      <c r="OHG15" s="55"/>
      <c r="OHH15" s="55"/>
      <c r="OHI15" s="55"/>
      <c r="OHJ15" s="55"/>
      <c r="OHK15" s="55"/>
      <c r="OHL15" s="55"/>
      <c r="OHM15" s="55"/>
      <c r="OHN15" s="55"/>
      <c r="OHO15" s="55"/>
      <c r="OHP15" s="55"/>
      <c r="OHQ15" s="55"/>
      <c r="OHR15" s="55"/>
      <c r="OHS15" s="55"/>
      <c r="OHT15" s="55"/>
      <c r="OHU15" s="55"/>
      <c r="OHV15" s="55"/>
      <c r="OHW15" s="55"/>
      <c r="OHX15" s="55"/>
      <c r="OHY15" s="55"/>
      <c r="OHZ15" s="55"/>
      <c r="OIA15" s="55"/>
      <c r="OIB15" s="55"/>
      <c r="OIC15" s="55"/>
      <c r="OID15" s="55"/>
      <c r="OIE15" s="55"/>
      <c r="OIF15" s="55"/>
      <c r="OIG15" s="55"/>
      <c r="OIH15" s="55"/>
      <c r="OII15" s="55"/>
      <c r="OIJ15" s="55"/>
      <c r="OIK15" s="55"/>
      <c r="OIL15" s="55"/>
      <c r="OIM15" s="55"/>
      <c r="OIN15" s="55"/>
      <c r="OIO15" s="55"/>
      <c r="OIP15" s="55"/>
      <c r="OIQ15" s="55"/>
      <c r="OIR15" s="55"/>
      <c r="OIS15" s="55"/>
      <c r="OIT15" s="55"/>
      <c r="OIU15" s="55"/>
      <c r="OIV15" s="55"/>
      <c r="OIW15" s="55"/>
      <c r="OIX15" s="55"/>
      <c r="OIY15" s="55"/>
      <c r="OIZ15" s="55"/>
      <c r="OJA15" s="55"/>
      <c r="OJB15" s="55"/>
      <c r="OJC15" s="55"/>
      <c r="OJD15" s="55"/>
      <c r="OJE15" s="55"/>
      <c r="OJF15" s="55"/>
      <c r="OJG15" s="55"/>
      <c r="OJH15" s="55"/>
      <c r="OJI15" s="55"/>
      <c r="OJJ15" s="55"/>
      <c r="OJK15" s="55"/>
      <c r="OJL15" s="55"/>
      <c r="OJM15" s="55"/>
      <c r="OJN15" s="55"/>
      <c r="OJO15" s="55"/>
      <c r="OJP15" s="55"/>
      <c r="OJQ15" s="55"/>
      <c r="OJR15" s="55"/>
      <c r="OJS15" s="55"/>
      <c r="OJT15" s="55"/>
      <c r="OJU15" s="55"/>
      <c r="OJV15" s="55"/>
      <c r="OJW15" s="55"/>
      <c r="OJX15" s="55"/>
      <c r="OJY15" s="55"/>
      <c r="OJZ15" s="55"/>
      <c r="OKA15" s="55"/>
      <c r="OKB15" s="55"/>
      <c r="OKC15" s="55"/>
      <c r="OKD15" s="55"/>
      <c r="OKE15" s="55"/>
      <c r="OKF15" s="55"/>
      <c r="OKG15" s="55"/>
      <c r="OKH15" s="55"/>
      <c r="OKI15" s="55"/>
      <c r="OKJ15" s="55"/>
      <c r="OKK15" s="55"/>
      <c r="OKL15" s="55"/>
      <c r="OKM15" s="55"/>
      <c r="OKN15" s="55"/>
      <c r="OKO15" s="55"/>
      <c r="OKP15" s="55"/>
      <c r="OKQ15" s="55"/>
      <c r="OKR15" s="55"/>
      <c r="OKS15" s="55"/>
      <c r="OKT15" s="55"/>
      <c r="OKU15" s="55"/>
      <c r="OKV15" s="55"/>
      <c r="OKW15" s="55"/>
      <c r="OKX15" s="55"/>
      <c r="OKY15" s="55"/>
      <c r="OKZ15" s="55"/>
      <c r="OLA15" s="55"/>
      <c r="OLB15" s="55"/>
      <c r="OLC15" s="55"/>
      <c r="OLD15" s="55"/>
      <c r="OLE15" s="55"/>
      <c r="OLF15" s="55"/>
      <c r="OLG15" s="55"/>
      <c r="OLH15" s="55"/>
      <c r="OLI15" s="55"/>
      <c r="OLJ15" s="55"/>
      <c r="OLK15" s="55"/>
      <c r="OLL15" s="55"/>
      <c r="OLM15" s="55"/>
      <c r="OLN15" s="55"/>
      <c r="OLO15" s="55"/>
      <c r="OLP15" s="55"/>
      <c r="OLQ15" s="55"/>
      <c r="OLR15" s="55"/>
      <c r="OLS15" s="55"/>
      <c r="OLT15" s="55"/>
      <c r="OLU15" s="55"/>
      <c r="OLV15" s="55"/>
      <c r="OLW15" s="55"/>
      <c r="OLX15" s="55"/>
      <c r="OLY15" s="55"/>
      <c r="OLZ15" s="55"/>
      <c r="OMA15" s="55"/>
      <c r="OMB15" s="55"/>
      <c r="OMC15" s="55"/>
      <c r="OMD15" s="55"/>
      <c r="OME15" s="55"/>
      <c r="OMF15" s="55"/>
      <c r="OMG15" s="55"/>
      <c r="OMH15" s="55"/>
      <c r="OMI15" s="55"/>
      <c r="OMJ15" s="55"/>
      <c r="OMK15" s="55"/>
      <c r="OML15" s="55"/>
      <c r="OMM15" s="55"/>
      <c r="OMN15" s="55"/>
      <c r="OMO15" s="55"/>
      <c r="OMP15" s="55"/>
      <c r="OMQ15" s="55"/>
      <c r="OMR15" s="55"/>
      <c r="OMS15" s="55"/>
      <c r="OMT15" s="55"/>
      <c r="OMU15" s="55"/>
      <c r="OMV15" s="55"/>
      <c r="OMW15" s="55"/>
      <c r="OMX15" s="55"/>
      <c r="OMY15" s="55"/>
      <c r="OMZ15" s="55"/>
      <c r="ONA15" s="55"/>
      <c r="ONB15" s="55"/>
      <c r="ONC15" s="55"/>
      <c r="OND15" s="55"/>
      <c r="ONE15" s="55"/>
      <c r="ONF15" s="55"/>
      <c r="ONG15" s="55"/>
      <c r="ONH15" s="55"/>
      <c r="ONI15" s="55"/>
      <c r="ONJ15" s="55"/>
      <c r="ONK15" s="55"/>
      <c r="ONL15" s="55"/>
      <c r="ONM15" s="55"/>
      <c r="ONN15" s="55"/>
      <c r="ONO15" s="55"/>
      <c r="ONP15" s="55"/>
      <c r="ONQ15" s="55"/>
      <c r="ONR15" s="55"/>
      <c r="ONS15" s="55"/>
      <c r="ONT15" s="55"/>
      <c r="ONU15" s="55"/>
      <c r="ONV15" s="55"/>
      <c r="ONW15" s="55"/>
      <c r="ONX15" s="55"/>
      <c r="ONY15" s="55"/>
      <c r="ONZ15" s="55"/>
      <c r="OOA15" s="55"/>
      <c r="OOB15" s="55"/>
      <c r="OOC15" s="55"/>
      <c r="OOD15" s="55"/>
      <c r="OOE15" s="55"/>
      <c r="OOF15" s="55"/>
      <c r="OOG15" s="55"/>
      <c r="OOH15" s="55"/>
      <c r="OOI15" s="55"/>
      <c r="OOJ15" s="55"/>
      <c r="OOK15" s="55"/>
      <c r="OOL15" s="55"/>
      <c r="OOM15" s="55"/>
      <c r="OON15" s="55"/>
      <c r="OOO15" s="55"/>
      <c r="OOP15" s="55"/>
      <c r="OOQ15" s="55"/>
      <c r="OOR15" s="55"/>
      <c r="OOS15" s="55"/>
      <c r="OOT15" s="55"/>
      <c r="OOU15" s="55"/>
      <c r="OOV15" s="55"/>
      <c r="OOW15" s="55"/>
      <c r="OOX15" s="55"/>
      <c r="OOY15" s="55"/>
      <c r="OOZ15" s="55"/>
      <c r="OPA15" s="55"/>
      <c r="OPB15" s="55"/>
      <c r="OPC15" s="55"/>
      <c r="OPD15" s="55"/>
      <c r="OPE15" s="55"/>
      <c r="OPF15" s="55"/>
      <c r="OPG15" s="55"/>
      <c r="OPH15" s="55"/>
      <c r="OPI15" s="55"/>
      <c r="OPJ15" s="55"/>
      <c r="OPK15" s="55"/>
      <c r="OPL15" s="55"/>
      <c r="OPM15" s="55"/>
      <c r="OPN15" s="55"/>
      <c r="OPO15" s="55"/>
      <c r="OPP15" s="55"/>
      <c r="OPQ15" s="55"/>
      <c r="OPR15" s="55"/>
      <c r="OPS15" s="55"/>
      <c r="OPT15" s="55"/>
      <c r="OPU15" s="55"/>
      <c r="OPV15" s="55"/>
      <c r="OPW15" s="55"/>
      <c r="OPX15" s="55"/>
      <c r="OPY15" s="55"/>
      <c r="OPZ15" s="55"/>
      <c r="OQA15" s="55"/>
      <c r="OQB15" s="55"/>
      <c r="OQC15" s="55"/>
      <c r="OQD15" s="55"/>
      <c r="OQE15" s="55"/>
      <c r="OQF15" s="55"/>
      <c r="OQG15" s="55"/>
      <c r="OQH15" s="55"/>
      <c r="OQI15" s="55"/>
      <c r="OQJ15" s="55"/>
      <c r="OQK15" s="55"/>
      <c r="OQL15" s="55"/>
      <c r="OQM15" s="55"/>
      <c r="OQN15" s="55"/>
      <c r="OQO15" s="55"/>
      <c r="OQP15" s="55"/>
      <c r="OQQ15" s="55"/>
      <c r="OQR15" s="55"/>
      <c r="OQS15" s="55"/>
      <c r="OQT15" s="55"/>
      <c r="OQU15" s="55"/>
      <c r="OQV15" s="55"/>
      <c r="OQW15" s="55"/>
      <c r="OQX15" s="55"/>
      <c r="OQY15" s="55"/>
      <c r="OQZ15" s="55"/>
      <c r="ORA15" s="55"/>
      <c r="ORB15" s="55"/>
      <c r="ORC15" s="55"/>
      <c r="ORD15" s="55"/>
      <c r="ORE15" s="55"/>
      <c r="ORF15" s="55"/>
      <c r="ORG15" s="55"/>
      <c r="ORH15" s="55"/>
      <c r="ORI15" s="55"/>
      <c r="ORJ15" s="55"/>
      <c r="ORK15" s="55"/>
      <c r="ORL15" s="55"/>
      <c r="ORM15" s="55"/>
      <c r="ORN15" s="55"/>
      <c r="ORO15" s="55"/>
      <c r="ORP15" s="55"/>
      <c r="ORQ15" s="55"/>
      <c r="ORR15" s="55"/>
      <c r="ORS15" s="55"/>
      <c r="ORT15" s="55"/>
      <c r="ORU15" s="55"/>
      <c r="ORV15" s="55"/>
      <c r="ORW15" s="55"/>
      <c r="ORX15" s="55"/>
      <c r="ORY15" s="55"/>
      <c r="ORZ15" s="55"/>
      <c r="OSA15" s="55"/>
      <c r="OSB15" s="55"/>
      <c r="OSC15" s="55"/>
      <c r="OSD15" s="55"/>
      <c r="OSE15" s="55"/>
      <c r="OSF15" s="55"/>
      <c r="OSG15" s="55"/>
      <c r="OSH15" s="55"/>
      <c r="OSI15" s="55"/>
      <c r="OSJ15" s="55"/>
      <c r="OSK15" s="55"/>
      <c r="OSL15" s="55"/>
      <c r="OSM15" s="55"/>
      <c r="OSN15" s="55"/>
      <c r="OSO15" s="55"/>
      <c r="OSP15" s="55"/>
      <c r="OSQ15" s="55"/>
      <c r="OSR15" s="55"/>
      <c r="OSS15" s="55"/>
      <c r="OST15" s="55"/>
      <c r="OSU15" s="55"/>
      <c r="OSV15" s="55"/>
      <c r="OSW15" s="55"/>
      <c r="OSX15" s="55"/>
      <c r="OSY15" s="55"/>
      <c r="OSZ15" s="55"/>
      <c r="OTA15" s="55"/>
      <c r="OTB15" s="55"/>
      <c r="OTC15" s="55"/>
      <c r="OTD15" s="55"/>
      <c r="OTE15" s="55"/>
      <c r="OTF15" s="55"/>
      <c r="OTG15" s="55"/>
      <c r="OTH15" s="55"/>
      <c r="OTI15" s="55"/>
      <c r="OTJ15" s="55"/>
      <c r="OTK15" s="55"/>
      <c r="OTL15" s="55"/>
      <c r="OTM15" s="55"/>
      <c r="OTN15" s="55"/>
      <c r="OTO15" s="55"/>
      <c r="OTP15" s="55"/>
      <c r="OTQ15" s="55"/>
      <c r="OTR15" s="55"/>
      <c r="OTS15" s="55"/>
      <c r="OTT15" s="55"/>
      <c r="OTU15" s="55"/>
      <c r="OTV15" s="55"/>
      <c r="OTW15" s="55"/>
      <c r="OTX15" s="55"/>
      <c r="OTY15" s="55"/>
      <c r="OTZ15" s="55"/>
      <c r="OUA15" s="55"/>
      <c r="OUB15" s="55"/>
      <c r="OUC15" s="55"/>
      <c r="OUD15" s="55"/>
      <c r="OUE15" s="55"/>
      <c r="OUF15" s="55"/>
      <c r="OUG15" s="55"/>
      <c r="OUH15" s="55"/>
      <c r="OUI15" s="55"/>
      <c r="OUJ15" s="55"/>
      <c r="OUK15" s="55"/>
      <c r="OUL15" s="55"/>
      <c r="OUM15" s="55"/>
      <c r="OUN15" s="55"/>
      <c r="OUO15" s="55"/>
      <c r="OUP15" s="55"/>
      <c r="OUQ15" s="55"/>
      <c r="OUR15" s="55"/>
      <c r="OUS15" s="55"/>
      <c r="OUT15" s="55"/>
      <c r="OUU15" s="55"/>
      <c r="OUV15" s="55"/>
      <c r="OUW15" s="55"/>
      <c r="OUX15" s="55"/>
      <c r="OUY15" s="55"/>
      <c r="OUZ15" s="55"/>
      <c r="OVA15" s="55"/>
      <c r="OVB15" s="55"/>
      <c r="OVC15" s="55"/>
      <c r="OVD15" s="55"/>
      <c r="OVE15" s="55"/>
      <c r="OVF15" s="55"/>
      <c r="OVG15" s="55"/>
      <c r="OVH15" s="55"/>
      <c r="OVI15" s="55"/>
      <c r="OVJ15" s="55"/>
      <c r="OVK15" s="55"/>
      <c r="OVL15" s="55"/>
      <c r="OVM15" s="55"/>
      <c r="OVN15" s="55"/>
      <c r="OVO15" s="55"/>
      <c r="OVP15" s="55"/>
      <c r="OVQ15" s="55"/>
      <c r="OVR15" s="55"/>
      <c r="OVS15" s="55"/>
      <c r="OVT15" s="55"/>
      <c r="OVU15" s="55"/>
      <c r="OVV15" s="55"/>
      <c r="OVW15" s="55"/>
      <c r="OVX15" s="55"/>
      <c r="OVY15" s="55"/>
      <c r="OVZ15" s="55"/>
      <c r="OWA15" s="55"/>
      <c r="OWB15" s="55"/>
      <c r="OWC15" s="55"/>
      <c r="OWD15" s="55"/>
      <c r="OWE15" s="55"/>
      <c r="OWF15" s="55"/>
      <c r="OWG15" s="55"/>
      <c r="OWH15" s="55"/>
      <c r="OWI15" s="55"/>
      <c r="OWJ15" s="55"/>
      <c r="OWK15" s="55"/>
      <c r="OWL15" s="55"/>
      <c r="OWM15" s="55"/>
      <c r="OWN15" s="55"/>
      <c r="OWO15" s="55"/>
      <c r="OWP15" s="55"/>
      <c r="OWQ15" s="55"/>
      <c r="OWR15" s="55"/>
      <c r="OWS15" s="55"/>
      <c r="OWT15" s="55"/>
      <c r="OWU15" s="55"/>
      <c r="OWV15" s="55"/>
      <c r="OWW15" s="55"/>
      <c r="OWX15" s="55"/>
      <c r="OWY15" s="55"/>
      <c r="OWZ15" s="55"/>
      <c r="OXA15" s="55"/>
      <c r="OXB15" s="55"/>
      <c r="OXC15" s="55"/>
      <c r="OXD15" s="55"/>
      <c r="OXE15" s="55"/>
      <c r="OXF15" s="55"/>
      <c r="OXG15" s="55"/>
      <c r="OXH15" s="55"/>
      <c r="OXI15" s="55"/>
      <c r="OXJ15" s="55"/>
      <c r="OXK15" s="55"/>
      <c r="OXL15" s="55"/>
      <c r="OXM15" s="55"/>
      <c r="OXN15" s="55"/>
      <c r="OXO15" s="55"/>
      <c r="OXP15" s="55"/>
      <c r="OXQ15" s="55"/>
      <c r="OXR15" s="55"/>
      <c r="OXS15" s="55"/>
      <c r="OXT15" s="55"/>
      <c r="OXU15" s="55"/>
      <c r="OXV15" s="55"/>
      <c r="OXW15" s="55"/>
      <c r="OXX15" s="55"/>
      <c r="OXY15" s="55"/>
      <c r="OXZ15" s="55"/>
      <c r="OYA15" s="55"/>
      <c r="OYB15" s="55"/>
      <c r="OYC15" s="55"/>
      <c r="OYD15" s="55"/>
      <c r="OYE15" s="55"/>
      <c r="OYF15" s="55"/>
      <c r="OYG15" s="55"/>
      <c r="OYH15" s="55"/>
      <c r="OYI15" s="55"/>
      <c r="OYJ15" s="55"/>
      <c r="OYK15" s="55"/>
      <c r="OYL15" s="55"/>
      <c r="OYM15" s="55"/>
      <c r="OYN15" s="55"/>
      <c r="OYO15" s="55"/>
      <c r="OYP15" s="55"/>
      <c r="OYQ15" s="55"/>
      <c r="OYR15" s="55"/>
      <c r="OYS15" s="55"/>
      <c r="OYT15" s="55"/>
      <c r="OYU15" s="55"/>
      <c r="OYV15" s="55"/>
      <c r="OYW15" s="55"/>
      <c r="OYX15" s="55"/>
      <c r="OYY15" s="55"/>
      <c r="OYZ15" s="55"/>
      <c r="OZA15" s="55"/>
      <c r="OZB15" s="55"/>
      <c r="OZC15" s="55"/>
      <c r="OZD15" s="55"/>
      <c r="OZE15" s="55"/>
      <c r="OZF15" s="55"/>
      <c r="OZG15" s="55"/>
      <c r="OZH15" s="55"/>
      <c r="OZI15" s="55"/>
      <c r="OZJ15" s="55"/>
      <c r="OZK15" s="55"/>
      <c r="OZL15" s="55"/>
      <c r="OZM15" s="55"/>
      <c r="OZN15" s="55"/>
      <c r="OZO15" s="55"/>
      <c r="OZP15" s="55"/>
      <c r="OZQ15" s="55"/>
      <c r="OZR15" s="55"/>
      <c r="OZS15" s="55"/>
      <c r="OZT15" s="55"/>
      <c r="OZU15" s="55"/>
      <c r="OZV15" s="55"/>
      <c r="OZW15" s="55"/>
      <c r="OZX15" s="55"/>
      <c r="OZY15" s="55"/>
      <c r="OZZ15" s="55"/>
      <c r="PAA15" s="55"/>
      <c r="PAB15" s="55"/>
      <c r="PAC15" s="55"/>
      <c r="PAD15" s="55"/>
      <c r="PAE15" s="55"/>
      <c r="PAF15" s="55"/>
      <c r="PAG15" s="55"/>
      <c r="PAH15" s="55"/>
      <c r="PAI15" s="55"/>
      <c r="PAJ15" s="55"/>
      <c r="PAK15" s="55"/>
      <c r="PAL15" s="55"/>
      <c r="PAM15" s="55"/>
      <c r="PAN15" s="55"/>
      <c r="PAO15" s="55"/>
      <c r="PAP15" s="55"/>
      <c r="PAQ15" s="55"/>
      <c r="PAR15" s="55"/>
      <c r="PAS15" s="55"/>
      <c r="PAT15" s="55"/>
      <c r="PAU15" s="55"/>
      <c r="PAV15" s="55"/>
      <c r="PAW15" s="55"/>
      <c r="PAX15" s="55"/>
      <c r="PAY15" s="55"/>
      <c r="PAZ15" s="55"/>
      <c r="PBA15" s="55"/>
      <c r="PBB15" s="55"/>
      <c r="PBC15" s="55"/>
      <c r="PBD15" s="55"/>
      <c r="PBE15" s="55"/>
      <c r="PBF15" s="55"/>
      <c r="PBG15" s="55"/>
      <c r="PBH15" s="55"/>
      <c r="PBI15" s="55"/>
      <c r="PBJ15" s="55"/>
      <c r="PBK15" s="55"/>
      <c r="PBL15" s="55"/>
      <c r="PBM15" s="55"/>
      <c r="PBN15" s="55"/>
      <c r="PBO15" s="55"/>
      <c r="PBP15" s="55"/>
      <c r="PBQ15" s="55"/>
      <c r="PBR15" s="55"/>
      <c r="PBS15" s="55"/>
      <c r="PBT15" s="55"/>
      <c r="PBU15" s="55"/>
      <c r="PBV15" s="55"/>
      <c r="PBW15" s="55"/>
      <c r="PBX15" s="55"/>
      <c r="PBY15" s="55"/>
      <c r="PBZ15" s="55"/>
      <c r="PCA15" s="55"/>
      <c r="PCB15" s="55"/>
      <c r="PCC15" s="55"/>
      <c r="PCD15" s="55"/>
      <c r="PCE15" s="55"/>
      <c r="PCF15" s="55"/>
      <c r="PCG15" s="55"/>
      <c r="PCH15" s="55"/>
      <c r="PCI15" s="55"/>
      <c r="PCJ15" s="55"/>
      <c r="PCK15" s="55"/>
      <c r="PCL15" s="55"/>
      <c r="PCM15" s="55"/>
      <c r="PCN15" s="55"/>
      <c r="PCO15" s="55"/>
      <c r="PCP15" s="55"/>
      <c r="PCQ15" s="55"/>
      <c r="PCR15" s="55"/>
      <c r="PCS15" s="55"/>
      <c r="PCT15" s="55"/>
      <c r="PCU15" s="55"/>
      <c r="PCV15" s="55"/>
      <c r="PCW15" s="55"/>
      <c r="PCX15" s="55"/>
      <c r="PCY15" s="55"/>
      <c r="PCZ15" s="55"/>
      <c r="PDA15" s="55"/>
      <c r="PDB15" s="55"/>
      <c r="PDC15" s="55"/>
      <c r="PDD15" s="55"/>
      <c r="PDE15" s="55"/>
      <c r="PDF15" s="55"/>
      <c r="PDG15" s="55"/>
      <c r="PDH15" s="55"/>
      <c r="PDI15" s="55"/>
      <c r="PDJ15" s="55"/>
      <c r="PDK15" s="55"/>
      <c r="PDL15" s="55"/>
      <c r="PDM15" s="55"/>
      <c r="PDN15" s="55"/>
      <c r="PDO15" s="55"/>
      <c r="PDP15" s="55"/>
      <c r="PDQ15" s="55"/>
      <c r="PDR15" s="55"/>
      <c r="PDS15" s="55"/>
      <c r="PDT15" s="55"/>
      <c r="PDU15" s="55"/>
      <c r="PDV15" s="55"/>
      <c r="PDW15" s="55"/>
      <c r="PDX15" s="55"/>
      <c r="PDY15" s="55"/>
      <c r="PDZ15" s="55"/>
      <c r="PEA15" s="55"/>
      <c r="PEB15" s="55"/>
      <c r="PEC15" s="55"/>
      <c r="PED15" s="55"/>
      <c r="PEE15" s="55"/>
      <c r="PEF15" s="55"/>
      <c r="PEG15" s="55"/>
      <c r="PEH15" s="55"/>
      <c r="PEI15" s="55"/>
      <c r="PEJ15" s="55"/>
      <c r="PEK15" s="55"/>
      <c r="PEL15" s="55"/>
      <c r="PEM15" s="55"/>
      <c r="PEN15" s="55"/>
      <c r="PEO15" s="55"/>
      <c r="PEP15" s="55"/>
      <c r="PEQ15" s="55"/>
      <c r="PER15" s="55"/>
      <c r="PES15" s="55"/>
      <c r="PET15" s="55"/>
      <c r="PEU15" s="55"/>
      <c r="PEV15" s="55"/>
      <c r="PEW15" s="55"/>
      <c r="PEX15" s="55"/>
      <c r="PEY15" s="55"/>
      <c r="PEZ15" s="55"/>
      <c r="PFA15" s="55"/>
      <c r="PFB15" s="55"/>
      <c r="PFC15" s="55"/>
      <c r="PFD15" s="55"/>
      <c r="PFE15" s="55"/>
      <c r="PFF15" s="55"/>
      <c r="PFG15" s="55"/>
      <c r="PFH15" s="55"/>
      <c r="PFI15" s="55"/>
      <c r="PFJ15" s="55"/>
      <c r="PFK15" s="55"/>
      <c r="PFL15" s="55"/>
      <c r="PFM15" s="55"/>
      <c r="PFN15" s="55"/>
      <c r="PFO15" s="55"/>
      <c r="PFP15" s="55"/>
      <c r="PFQ15" s="55"/>
      <c r="PFR15" s="55"/>
      <c r="PFS15" s="55"/>
      <c r="PFT15" s="55"/>
      <c r="PFU15" s="55"/>
      <c r="PFV15" s="55"/>
      <c r="PFW15" s="55"/>
      <c r="PFX15" s="55"/>
      <c r="PFY15" s="55"/>
      <c r="PFZ15" s="55"/>
      <c r="PGA15" s="55"/>
      <c r="PGB15" s="55"/>
      <c r="PGC15" s="55"/>
      <c r="PGD15" s="55"/>
      <c r="PGE15" s="55"/>
      <c r="PGF15" s="55"/>
      <c r="PGG15" s="55"/>
      <c r="PGH15" s="55"/>
      <c r="PGI15" s="55"/>
      <c r="PGJ15" s="55"/>
      <c r="PGK15" s="55"/>
      <c r="PGL15" s="55"/>
      <c r="PGM15" s="55"/>
      <c r="PGN15" s="55"/>
      <c r="PGO15" s="55"/>
      <c r="PGP15" s="55"/>
      <c r="PGQ15" s="55"/>
      <c r="PGR15" s="55"/>
      <c r="PGS15" s="55"/>
      <c r="PGT15" s="55"/>
      <c r="PGU15" s="55"/>
      <c r="PGV15" s="55"/>
      <c r="PGW15" s="55"/>
      <c r="PGX15" s="55"/>
      <c r="PGY15" s="55"/>
      <c r="PGZ15" s="55"/>
      <c r="PHA15" s="55"/>
      <c r="PHB15" s="55"/>
      <c r="PHC15" s="55"/>
      <c r="PHD15" s="55"/>
      <c r="PHE15" s="55"/>
      <c r="PHF15" s="55"/>
      <c r="PHG15" s="55"/>
      <c r="PHH15" s="55"/>
      <c r="PHI15" s="55"/>
      <c r="PHJ15" s="55"/>
      <c r="PHK15" s="55"/>
      <c r="PHL15" s="55"/>
      <c r="PHM15" s="55"/>
      <c r="PHN15" s="55"/>
      <c r="PHO15" s="55"/>
      <c r="PHP15" s="55"/>
      <c r="PHQ15" s="55"/>
      <c r="PHR15" s="55"/>
      <c r="PHS15" s="55"/>
      <c r="PHT15" s="55"/>
      <c r="PHU15" s="55"/>
      <c r="PHV15" s="55"/>
      <c r="PHW15" s="55"/>
      <c r="PHX15" s="55"/>
      <c r="PHY15" s="55"/>
      <c r="PHZ15" s="55"/>
      <c r="PIA15" s="55"/>
      <c r="PIB15" s="55"/>
      <c r="PIC15" s="55"/>
      <c r="PID15" s="55"/>
      <c r="PIE15" s="55"/>
      <c r="PIF15" s="55"/>
      <c r="PIG15" s="55"/>
      <c r="PIH15" s="55"/>
      <c r="PII15" s="55"/>
      <c r="PIJ15" s="55"/>
      <c r="PIK15" s="55"/>
      <c r="PIL15" s="55"/>
      <c r="PIM15" s="55"/>
      <c r="PIN15" s="55"/>
      <c r="PIO15" s="55"/>
      <c r="PIP15" s="55"/>
      <c r="PIQ15" s="55"/>
      <c r="PIR15" s="55"/>
      <c r="PIS15" s="55"/>
      <c r="PIT15" s="55"/>
      <c r="PIU15" s="55"/>
      <c r="PIV15" s="55"/>
      <c r="PIW15" s="55"/>
      <c r="PIX15" s="55"/>
      <c r="PIY15" s="55"/>
      <c r="PIZ15" s="55"/>
      <c r="PJA15" s="55"/>
      <c r="PJB15" s="55"/>
      <c r="PJC15" s="55"/>
      <c r="PJD15" s="55"/>
      <c r="PJE15" s="55"/>
      <c r="PJF15" s="55"/>
      <c r="PJG15" s="55"/>
      <c r="PJH15" s="55"/>
      <c r="PJI15" s="55"/>
      <c r="PJJ15" s="55"/>
      <c r="PJK15" s="55"/>
      <c r="PJL15" s="55"/>
      <c r="PJM15" s="55"/>
      <c r="PJN15" s="55"/>
      <c r="PJO15" s="55"/>
      <c r="PJP15" s="55"/>
      <c r="PJQ15" s="55"/>
      <c r="PJR15" s="55"/>
      <c r="PJS15" s="55"/>
      <c r="PJT15" s="55"/>
      <c r="PJU15" s="55"/>
      <c r="PJV15" s="55"/>
      <c r="PJW15" s="55"/>
      <c r="PJX15" s="55"/>
      <c r="PJY15" s="55"/>
      <c r="PJZ15" s="55"/>
      <c r="PKA15" s="55"/>
      <c r="PKB15" s="55"/>
      <c r="PKC15" s="55"/>
      <c r="PKD15" s="55"/>
      <c r="PKE15" s="55"/>
      <c r="PKF15" s="55"/>
      <c r="PKG15" s="55"/>
      <c r="PKH15" s="55"/>
      <c r="PKI15" s="55"/>
      <c r="PKJ15" s="55"/>
      <c r="PKK15" s="55"/>
      <c r="PKL15" s="55"/>
      <c r="PKM15" s="55"/>
      <c r="PKN15" s="55"/>
      <c r="PKO15" s="55"/>
      <c r="PKP15" s="55"/>
      <c r="PKQ15" s="55"/>
      <c r="PKR15" s="55"/>
      <c r="PKS15" s="55"/>
      <c r="PKT15" s="55"/>
      <c r="PKU15" s="55"/>
      <c r="PKV15" s="55"/>
      <c r="PKW15" s="55"/>
      <c r="PKX15" s="55"/>
      <c r="PKY15" s="55"/>
      <c r="PKZ15" s="55"/>
      <c r="PLA15" s="55"/>
      <c r="PLB15" s="55"/>
      <c r="PLC15" s="55"/>
      <c r="PLD15" s="55"/>
      <c r="PLE15" s="55"/>
      <c r="PLF15" s="55"/>
      <c r="PLG15" s="55"/>
      <c r="PLH15" s="55"/>
      <c r="PLI15" s="55"/>
      <c r="PLJ15" s="55"/>
      <c r="PLK15" s="55"/>
      <c r="PLL15" s="55"/>
      <c r="PLM15" s="55"/>
      <c r="PLN15" s="55"/>
      <c r="PLO15" s="55"/>
      <c r="PLP15" s="55"/>
      <c r="PLQ15" s="55"/>
      <c r="PLR15" s="55"/>
      <c r="PLS15" s="55"/>
      <c r="PLT15" s="55"/>
      <c r="PLU15" s="55"/>
      <c r="PLV15" s="55"/>
      <c r="PLW15" s="55"/>
      <c r="PLX15" s="55"/>
      <c r="PLY15" s="55"/>
      <c r="PLZ15" s="55"/>
      <c r="PMA15" s="55"/>
      <c r="PMB15" s="55"/>
      <c r="PMC15" s="55"/>
      <c r="PMD15" s="55"/>
      <c r="PME15" s="55"/>
      <c r="PMF15" s="55"/>
      <c r="PMG15" s="55"/>
      <c r="PMH15" s="55"/>
      <c r="PMI15" s="55"/>
      <c r="PMJ15" s="55"/>
      <c r="PMK15" s="55"/>
      <c r="PML15" s="55"/>
      <c r="PMM15" s="55"/>
      <c r="PMN15" s="55"/>
      <c r="PMO15" s="55"/>
      <c r="PMP15" s="55"/>
      <c r="PMQ15" s="55"/>
      <c r="PMR15" s="55"/>
      <c r="PMS15" s="55"/>
      <c r="PMT15" s="55"/>
      <c r="PMU15" s="55"/>
      <c r="PMV15" s="55"/>
      <c r="PMW15" s="55"/>
      <c r="PMX15" s="55"/>
      <c r="PMY15" s="55"/>
      <c r="PMZ15" s="55"/>
      <c r="PNA15" s="55"/>
      <c r="PNB15" s="55"/>
      <c r="PNC15" s="55"/>
      <c r="PND15" s="55"/>
      <c r="PNE15" s="55"/>
      <c r="PNF15" s="55"/>
      <c r="PNG15" s="55"/>
      <c r="PNH15" s="55"/>
      <c r="PNI15" s="55"/>
      <c r="PNJ15" s="55"/>
      <c r="PNK15" s="55"/>
      <c r="PNL15" s="55"/>
      <c r="PNM15" s="55"/>
      <c r="PNN15" s="55"/>
      <c r="PNO15" s="55"/>
      <c r="PNP15" s="55"/>
      <c r="PNQ15" s="55"/>
      <c r="PNR15" s="55"/>
      <c r="PNS15" s="55"/>
      <c r="PNT15" s="55"/>
      <c r="PNU15" s="55"/>
      <c r="PNV15" s="55"/>
      <c r="PNW15" s="55"/>
      <c r="PNX15" s="55"/>
      <c r="PNY15" s="55"/>
      <c r="PNZ15" s="55"/>
      <c r="POA15" s="55"/>
      <c r="POB15" s="55"/>
      <c r="POC15" s="55"/>
      <c r="POD15" s="55"/>
      <c r="POE15" s="55"/>
      <c r="POF15" s="55"/>
      <c r="POG15" s="55"/>
      <c r="POH15" s="55"/>
      <c r="POI15" s="55"/>
      <c r="POJ15" s="55"/>
      <c r="POK15" s="55"/>
      <c r="POL15" s="55"/>
      <c r="POM15" s="55"/>
      <c r="PON15" s="55"/>
      <c r="POO15" s="55"/>
      <c r="POP15" s="55"/>
      <c r="POQ15" s="55"/>
      <c r="POR15" s="55"/>
      <c r="POS15" s="55"/>
      <c r="POT15" s="55"/>
      <c r="POU15" s="55"/>
      <c r="POV15" s="55"/>
      <c r="POW15" s="55"/>
      <c r="POX15" s="55"/>
      <c r="POY15" s="55"/>
      <c r="POZ15" s="55"/>
      <c r="PPA15" s="55"/>
      <c r="PPB15" s="55"/>
      <c r="PPC15" s="55"/>
      <c r="PPD15" s="55"/>
      <c r="PPE15" s="55"/>
      <c r="PPF15" s="55"/>
      <c r="PPG15" s="55"/>
      <c r="PPH15" s="55"/>
      <c r="PPI15" s="55"/>
      <c r="PPJ15" s="55"/>
      <c r="PPK15" s="55"/>
      <c r="PPL15" s="55"/>
      <c r="PPM15" s="55"/>
      <c r="PPN15" s="55"/>
      <c r="PPO15" s="55"/>
      <c r="PPP15" s="55"/>
      <c r="PPQ15" s="55"/>
      <c r="PPR15" s="55"/>
      <c r="PPS15" s="55"/>
      <c r="PPT15" s="55"/>
      <c r="PPU15" s="55"/>
      <c r="PPV15" s="55"/>
      <c r="PPW15" s="55"/>
      <c r="PPX15" s="55"/>
      <c r="PPY15" s="55"/>
      <c r="PPZ15" s="55"/>
      <c r="PQA15" s="55"/>
      <c r="PQB15" s="55"/>
      <c r="PQC15" s="55"/>
      <c r="PQD15" s="55"/>
      <c r="PQE15" s="55"/>
      <c r="PQF15" s="55"/>
      <c r="PQG15" s="55"/>
      <c r="PQH15" s="55"/>
      <c r="PQI15" s="55"/>
      <c r="PQJ15" s="55"/>
      <c r="PQK15" s="55"/>
      <c r="PQL15" s="55"/>
      <c r="PQM15" s="55"/>
      <c r="PQN15" s="55"/>
      <c r="PQO15" s="55"/>
      <c r="PQP15" s="55"/>
      <c r="PQQ15" s="55"/>
      <c r="PQR15" s="55"/>
      <c r="PQS15" s="55"/>
      <c r="PQT15" s="55"/>
      <c r="PQU15" s="55"/>
      <c r="PQV15" s="55"/>
      <c r="PQW15" s="55"/>
      <c r="PQX15" s="55"/>
      <c r="PQY15" s="55"/>
      <c r="PQZ15" s="55"/>
      <c r="PRA15" s="55"/>
      <c r="PRB15" s="55"/>
      <c r="PRC15" s="55"/>
      <c r="PRD15" s="55"/>
      <c r="PRE15" s="55"/>
      <c r="PRF15" s="55"/>
      <c r="PRG15" s="55"/>
      <c r="PRH15" s="55"/>
      <c r="PRI15" s="55"/>
      <c r="PRJ15" s="55"/>
      <c r="PRK15" s="55"/>
      <c r="PRL15" s="55"/>
      <c r="PRM15" s="55"/>
      <c r="PRN15" s="55"/>
      <c r="PRO15" s="55"/>
      <c r="PRP15" s="55"/>
      <c r="PRQ15" s="55"/>
      <c r="PRR15" s="55"/>
      <c r="PRS15" s="55"/>
      <c r="PRT15" s="55"/>
      <c r="PRU15" s="55"/>
      <c r="PRV15" s="55"/>
      <c r="PRW15" s="55"/>
      <c r="PRX15" s="55"/>
      <c r="PRY15" s="55"/>
      <c r="PRZ15" s="55"/>
      <c r="PSA15" s="55"/>
      <c r="PSB15" s="55"/>
      <c r="PSC15" s="55"/>
      <c r="PSD15" s="55"/>
      <c r="PSE15" s="55"/>
      <c r="PSF15" s="55"/>
      <c r="PSG15" s="55"/>
      <c r="PSH15" s="55"/>
      <c r="PSI15" s="55"/>
      <c r="PSJ15" s="55"/>
      <c r="PSK15" s="55"/>
      <c r="PSL15" s="55"/>
      <c r="PSM15" s="55"/>
      <c r="PSN15" s="55"/>
      <c r="PSO15" s="55"/>
      <c r="PSP15" s="55"/>
      <c r="PSQ15" s="55"/>
      <c r="PSR15" s="55"/>
      <c r="PSS15" s="55"/>
      <c r="PST15" s="55"/>
      <c r="PSU15" s="55"/>
      <c r="PSV15" s="55"/>
      <c r="PSW15" s="55"/>
      <c r="PSX15" s="55"/>
      <c r="PSY15" s="55"/>
      <c r="PSZ15" s="55"/>
      <c r="PTA15" s="55"/>
      <c r="PTB15" s="55"/>
      <c r="PTC15" s="55"/>
      <c r="PTD15" s="55"/>
      <c r="PTE15" s="55"/>
      <c r="PTF15" s="55"/>
      <c r="PTG15" s="55"/>
      <c r="PTH15" s="55"/>
      <c r="PTI15" s="55"/>
      <c r="PTJ15" s="55"/>
      <c r="PTK15" s="55"/>
      <c r="PTL15" s="55"/>
      <c r="PTM15" s="55"/>
      <c r="PTN15" s="55"/>
      <c r="PTO15" s="55"/>
      <c r="PTP15" s="55"/>
      <c r="PTQ15" s="55"/>
      <c r="PTR15" s="55"/>
      <c r="PTS15" s="55"/>
      <c r="PTT15" s="55"/>
      <c r="PTU15" s="55"/>
      <c r="PTV15" s="55"/>
      <c r="PTW15" s="55"/>
      <c r="PTX15" s="55"/>
      <c r="PTY15" s="55"/>
      <c r="PTZ15" s="55"/>
      <c r="PUA15" s="55"/>
      <c r="PUB15" s="55"/>
      <c r="PUC15" s="55"/>
      <c r="PUD15" s="55"/>
      <c r="PUE15" s="55"/>
      <c r="PUF15" s="55"/>
      <c r="PUG15" s="55"/>
      <c r="PUH15" s="55"/>
      <c r="PUI15" s="55"/>
      <c r="PUJ15" s="55"/>
      <c r="PUK15" s="55"/>
      <c r="PUL15" s="55"/>
      <c r="PUM15" s="55"/>
      <c r="PUN15" s="55"/>
      <c r="PUO15" s="55"/>
      <c r="PUP15" s="55"/>
      <c r="PUQ15" s="55"/>
      <c r="PUR15" s="55"/>
      <c r="PUS15" s="55"/>
      <c r="PUT15" s="55"/>
      <c r="PUU15" s="55"/>
      <c r="PUV15" s="55"/>
      <c r="PUW15" s="55"/>
      <c r="PUX15" s="55"/>
      <c r="PUY15" s="55"/>
      <c r="PUZ15" s="55"/>
      <c r="PVA15" s="55"/>
      <c r="PVB15" s="55"/>
      <c r="PVC15" s="55"/>
      <c r="PVD15" s="55"/>
      <c r="PVE15" s="55"/>
      <c r="PVF15" s="55"/>
      <c r="PVG15" s="55"/>
      <c r="PVH15" s="55"/>
      <c r="PVI15" s="55"/>
      <c r="PVJ15" s="55"/>
      <c r="PVK15" s="55"/>
      <c r="PVL15" s="55"/>
      <c r="PVM15" s="55"/>
      <c r="PVN15" s="55"/>
      <c r="PVO15" s="55"/>
      <c r="PVP15" s="55"/>
      <c r="PVQ15" s="55"/>
      <c r="PVR15" s="55"/>
      <c r="PVS15" s="55"/>
      <c r="PVT15" s="55"/>
      <c r="PVU15" s="55"/>
      <c r="PVV15" s="55"/>
      <c r="PVW15" s="55"/>
      <c r="PVX15" s="55"/>
      <c r="PVY15" s="55"/>
      <c r="PVZ15" s="55"/>
      <c r="PWA15" s="55"/>
      <c r="PWB15" s="55"/>
      <c r="PWC15" s="55"/>
      <c r="PWD15" s="55"/>
      <c r="PWE15" s="55"/>
      <c r="PWF15" s="55"/>
      <c r="PWG15" s="55"/>
      <c r="PWH15" s="55"/>
      <c r="PWI15" s="55"/>
      <c r="PWJ15" s="55"/>
      <c r="PWK15" s="55"/>
      <c r="PWL15" s="55"/>
      <c r="PWM15" s="55"/>
      <c r="PWN15" s="55"/>
      <c r="PWO15" s="55"/>
      <c r="PWP15" s="55"/>
      <c r="PWQ15" s="55"/>
      <c r="PWR15" s="55"/>
      <c r="PWS15" s="55"/>
      <c r="PWT15" s="55"/>
      <c r="PWU15" s="55"/>
      <c r="PWV15" s="55"/>
      <c r="PWW15" s="55"/>
      <c r="PWX15" s="55"/>
      <c r="PWY15" s="55"/>
      <c r="PWZ15" s="55"/>
      <c r="PXA15" s="55"/>
      <c r="PXB15" s="55"/>
      <c r="PXC15" s="55"/>
      <c r="PXD15" s="55"/>
      <c r="PXE15" s="55"/>
      <c r="PXF15" s="55"/>
      <c r="PXG15" s="55"/>
      <c r="PXH15" s="55"/>
      <c r="PXI15" s="55"/>
      <c r="PXJ15" s="55"/>
      <c r="PXK15" s="55"/>
      <c r="PXL15" s="55"/>
      <c r="PXM15" s="55"/>
      <c r="PXN15" s="55"/>
      <c r="PXO15" s="55"/>
      <c r="PXP15" s="55"/>
      <c r="PXQ15" s="55"/>
      <c r="PXR15" s="55"/>
      <c r="PXS15" s="55"/>
      <c r="PXT15" s="55"/>
      <c r="PXU15" s="55"/>
      <c r="PXV15" s="55"/>
      <c r="PXW15" s="55"/>
      <c r="PXX15" s="55"/>
      <c r="PXY15" s="55"/>
      <c r="PXZ15" s="55"/>
      <c r="PYA15" s="55"/>
      <c r="PYB15" s="55"/>
      <c r="PYC15" s="55"/>
      <c r="PYD15" s="55"/>
      <c r="PYE15" s="55"/>
      <c r="PYF15" s="55"/>
      <c r="PYG15" s="55"/>
      <c r="PYH15" s="55"/>
      <c r="PYI15" s="55"/>
      <c r="PYJ15" s="55"/>
      <c r="PYK15" s="55"/>
      <c r="PYL15" s="55"/>
      <c r="PYM15" s="55"/>
      <c r="PYN15" s="55"/>
      <c r="PYO15" s="55"/>
      <c r="PYP15" s="55"/>
      <c r="PYQ15" s="55"/>
      <c r="PYR15" s="55"/>
      <c r="PYS15" s="55"/>
      <c r="PYT15" s="55"/>
      <c r="PYU15" s="55"/>
      <c r="PYV15" s="55"/>
      <c r="PYW15" s="55"/>
      <c r="PYX15" s="55"/>
      <c r="PYY15" s="55"/>
      <c r="PYZ15" s="55"/>
      <c r="PZA15" s="55"/>
      <c r="PZB15" s="55"/>
      <c r="PZC15" s="55"/>
      <c r="PZD15" s="55"/>
      <c r="PZE15" s="55"/>
      <c r="PZF15" s="55"/>
      <c r="PZG15" s="55"/>
      <c r="PZH15" s="55"/>
      <c r="PZI15" s="55"/>
      <c r="PZJ15" s="55"/>
      <c r="PZK15" s="55"/>
      <c r="PZL15" s="55"/>
      <c r="PZM15" s="55"/>
      <c r="PZN15" s="55"/>
      <c r="PZO15" s="55"/>
      <c r="PZP15" s="55"/>
      <c r="PZQ15" s="55"/>
      <c r="PZR15" s="55"/>
      <c r="PZS15" s="55"/>
      <c r="PZT15" s="55"/>
      <c r="PZU15" s="55"/>
      <c r="PZV15" s="55"/>
      <c r="PZW15" s="55"/>
      <c r="PZX15" s="55"/>
      <c r="PZY15" s="55"/>
      <c r="PZZ15" s="55"/>
      <c r="QAA15" s="55"/>
      <c r="QAB15" s="55"/>
      <c r="QAC15" s="55"/>
      <c r="QAD15" s="55"/>
      <c r="QAE15" s="55"/>
      <c r="QAF15" s="55"/>
      <c r="QAG15" s="55"/>
      <c r="QAH15" s="55"/>
      <c r="QAI15" s="55"/>
      <c r="QAJ15" s="55"/>
      <c r="QAK15" s="55"/>
      <c r="QAL15" s="55"/>
      <c r="QAM15" s="55"/>
      <c r="QAN15" s="55"/>
      <c r="QAO15" s="55"/>
      <c r="QAP15" s="55"/>
      <c r="QAQ15" s="55"/>
      <c r="QAR15" s="55"/>
      <c r="QAS15" s="55"/>
      <c r="QAT15" s="55"/>
      <c r="QAU15" s="55"/>
      <c r="QAV15" s="55"/>
      <c r="QAW15" s="55"/>
      <c r="QAX15" s="55"/>
      <c r="QAY15" s="55"/>
      <c r="QAZ15" s="55"/>
      <c r="QBA15" s="55"/>
      <c r="QBB15" s="55"/>
      <c r="QBC15" s="55"/>
      <c r="QBD15" s="55"/>
      <c r="QBE15" s="55"/>
      <c r="QBF15" s="55"/>
      <c r="QBG15" s="55"/>
      <c r="QBH15" s="55"/>
      <c r="QBI15" s="55"/>
      <c r="QBJ15" s="55"/>
      <c r="QBK15" s="55"/>
      <c r="QBL15" s="55"/>
      <c r="QBM15" s="55"/>
      <c r="QBN15" s="55"/>
      <c r="QBO15" s="55"/>
      <c r="QBP15" s="55"/>
      <c r="QBQ15" s="55"/>
      <c r="QBR15" s="55"/>
      <c r="QBS15" s="55"/>
      <c r="QBT15" s="55"/>
      <c r="QBU15" s="55"/>
      <c r="QBV15" s="55"/>
      <c r="QBW15" s="55"/>
      <c r="QBX15" s="55"/>
      <c r="QBY15" s="55"/>
      <c r="QBZ15" s="55"/>
      <c r="QCA15" s="55"/>
      <c r="QCB15" s="55"/>
      <c r="QCC15" s="55"/>
      <c r="QCD15" s="55"/>
      <c r="QCE15" s="55"/>
      <c r="QCF15" s="55"/>
      <c r="QCG15" s="55"/>
      <c r="QCH15" s="55"/>
      <c r="QCI15" s="55"/>
      <c r="QCJ15" s="55"/>
      <c r="QCK15" s="55"/>
      <c r="QCL15" s="55"/>
      <c r="QCM15" s="55"/>
      <c r="QCN15" s="55"/>
      <c r="QCO15" s="55"/>
      <c r="QCP15" s="55"/>
      <c r="QCQ15" s="55"/>
      <c r="QCR15" s="55"/>
      <c r="QCS15" s="55"/>
      <c r="QCT15" s="55"/>
      <c r="QCU15" s="55"/>
      <c r="QCV15" s="55"/>
      <c r="QCW15" s="55"/>
      <c r="QCX15" s="55"/>
      <c r="QCY15" s="55"/>
      <c r="QCZ15" s="55"/>
      <c r="QDA15" s="55"/>
      <c r="QDB15" s="55"/>
      <c r="QDC15" s="55"/>
      <c r="QDD15" s="55"/>
      <c r="QDE15" s="55"/>
      <c r="QDF15" s="55"/>
      <c r="QDG15" s="55"/>
      <c r="QDH15" s="55"/>
      <c r="QDI15" s="55"/>
      <c r="QDJ15" s="55"/>
      <c r="QDK15" s="55"/>
      <c r="QDL15" s="55"/>
      <c r="QDM15" s="55"/>
      <c r="QDN15" s="55"/>
      <c r="QDO15" s="55"/>
      <c r="QDP15" s="55"/>
      <c r="QDQ15" s="55"/>
      <c r="QDR15" s="55"/>
      <c r="QDS15" s="55"/>
      <c r="QDT15" s="55"/>
      <c r="QDU15" s="55"/>
      <c r="QDV15" s="55"/>
      <c r="QDW15" s="55"/>
      <c r="QDX15" s="55"/>
      <c r="QDY15" s="55"/>
      <c r="QDZ15" s="55"/>
      <c r="QEA15" s="55"/>
      <c r="QEB15" s="55"/>
      <c r="QEC15" s="55"/>
      <c r="QED15" s="55"/>
      <c r="QEE15" s="55"/>
      <c r="QEF15" s="55"/>
      <c r="QEG15" s="55"/>
      <c r="QEH15" s="55"/>
      <c r="QEI15" s="55"/>
      <c r="QEJ15" s="55"/>
      <c r="QEK15" s="55"/>
      <c r="QEL15" s="55"/>
      <c r="QEM15" s="55"/>
      <c r="QEN15" s="55"/>
      <c r="QEO15" s="55"/>
      <c r="QEP15" s="55"/>
      <c r="QEQ15" s="55"/>
      <c r="QER15" s="55"/>
      <c r="QES15" s="55"/>
      <c r="QET15" s="55"/>
      <c r="QEU15" s="55"/>
      <c r="QEV15" s="55"/>
      <c r="QEW15" s="55"/>
      <c r="QEX15" s="55"/>
      <c r="QEY15" s="55"/>
      <c r="QEZ15" s="55"/>
      <c r="QFA15" s="55"/>
      <c r="QFB15" s="55"/>
      <c r="QFC15" s="55"/>
      <c r="QFD15" s="55"/>
      <c r="QFE15" s="55"/>
      <c r="QFF15" s="55"/>
      <c r="QFG15" s="55"/>
      <c r="QFH15" s="55"/>
      <c r="QFI15" s="55"/>
      <c r="QFJ15" s="55"/>
      <c r="QFK15" s="55"/>
      <c r="QFL15" s="55"/>
      <c r="QFM15" s="55"/>
      <c r="QFN15" s="55"/>
      <c r="QFO15" s="55"/>
      <c r="QFP15" s="55"/>
      <c r="QFQ15" s="55"/>
      <c r="QFR15" s="55"/>
      <c r="QFS15" s="55"/>
      <c r="QFT15" s="55"/>
      <c r="QFU15" s="55"/>
      <c r="QFV15" s="55"/>
      <c r="QFW15" s="55"/>
      <c r="QFX15" s="55"/>
      <c r="QFY15" s="55"/>
      <c r="QFZ15" s="55"/>
      <c r="QGA15" s="55"/>
      <c r="QGB15" s="55"/>
      <c r="QGC15" s="55"/>
      <c r="QGD15" s="55"/>
      <c r="QGE15" s="55"/>
      <c r="QGF15" s="55"/>
      <c r="QGG15" s="55"/>
      <c r="QGH15" s="55"/>
      <c r="QGI15" s="55"/>
      <c r="QGJ15" s="55"/>
      <c r="QGK15" s="55"/>
      <c r="QGL15" s="55"/>
      <c r="QGM15" s="55"/>
      <c r="QGN15" s="55"/>
      <c r="QGO15" s="55"/>
      <c r="QGP15" s="55"/>
      <c r="QGQ15" s="55"/>
      <c r="QGR15" s="55"/>
      <c r="QGS15" s="55"/>
      <c r="QGT15" s="55"/>
      <c r="QGU15" s="55"/>
      <c r="QGV15" s="55"/>
      <c r="QGW15" s="55"/>
      <c r="QGX15" s="55"/>
      <c r="QGY15" s="55"/>
      <c r="QGZ15" s="55"/>
      <c r="QHA15" s="55"/>
      <c r="QHB15" s="55"/>
      <c r="QHC15" s="55"/>
      <c r="QHD15" s="55"/>
      <c r="QHE15" s="55"/>
      <c r="QHF15" s="55"/>
      <c r="QHG15" s="55"/>
      <c r="QHH15" s="55"/>
      <c r="QHI15" s="55"/>
      <c r="QHJ15" s="55"/>
      <c r="QHK15" s="55"/>
      <c r="QHL15" s="55"/>
      <c r="QHM15" s="55"/>
      <c r="QHN15" s="55"/>
      <c r="QHO15" s="55"/>
      <c r="QHP15" s="55"/>
      <c r="QHQ15" s="55"/>
      <c r="QHR15" s="55"/>
      <c r="QHS15" s="55"/>
      <c r="QHT15" s="55"/>
      <c r="QHU15" s="55"/>
      <c r="QHV15" s="55"/>
      <c r="QHW15" s="55"/>
      <c r="QHX15" s="55"/>
      <c r="QHY15" s="55"/>
      <c r="QHZ15" s="55"/>
      <c r="QIA15" s="55"/>
      <c r="QIB15" s="55"/>
      <c r="QIC15" s="55"/>
      <c r="QID15" s="55"/>
      <c r="QIE15" s="55"/>
      <c r="QIF15" s="55"/>
      <c r="QIG15" s="55"/>
      <c r="QIH15" s="55"/>
      <c r="QII15" s="55"/>
      <c r="QIJ15" s="55"/>
      <c r="QIK15" s="55"/>
      <c r="QIL15" s="55"/>
      <c r="QIM15" s="55"/>
      <c r="QIN15" s="55"/>
      <c r="QIO15" s="55"/>
      <c r="QIP15" s="55"/>
      <c r="QIQ15" s="55"/>
      <c r="QIR15" s="55"/>
      <c r="QIS15" s="55"/>
      <c r="QIT15" s="55"/>
      <c r="QIU15" s="55"/>
      <c r="QIV15" s="55"/>
      <c r="QIW15" s="55"/>
      <c r="QIX15" s="55"/>
      <c r="QIY15" s="55"/>
      <c r="QIZ15" s="55"/>
      <c r="QJA15" s="55"/>
      <c r="QJB15" s="55"/>
      <c r="QJC15" s="55"/>
      <c r="QJD15" s="55"/>
      <c r="QJE15" s="55"/>
      <c r="QJF15" s="55"/>
      <c r="QJG15" s="55"/>
      <c r="QJH15" s="55"/>
      <c r="QJI15" s="55"/>
      <c r="QJJ15" s="55"/>
      <c r="QJK15" s="55"/>
      <c r="QJL15" s="55"/>
      <c r="QJM15" s="55"/>
      <c r="QJN15" s="55"/>
      <c r="QJO15" s="55"/>
      <c r="QJP15" s="55"/>
      <c r="QJQ15" s="55"/>
      <c r="QJR15" s="55"/>
      <c r="QJS15" s="55"/>
      <c r="QJT15" s="55"/>
      <c r="QJU15" s="55"/>
      <c r="QJV15" s="55"/>
      <c r="QJW15" s="55"/>
      <c r="QJX15" s="55"/>
      <c r="QJY15" s="55"/>
      <c r="QJZ15" s="55"/>
      <c r="QKA15" s="55"/>
      <c r="QKB15" s="55"/>
      <c r="QKC15" s="55"/>
      <c r="QKD15" s="55"/>
      <c r="QKE15" s="55"/>
      <c r="QKF15" s="55"/>
      <c r="QKG15" s="55"/>
      <c r="QKH15" s="55"/>
      <c r="QKI15" s="55"/>
      <c r="QKJ15" s="55"/>
      <c r="QKK15" s="55"/>
      <c r="QKL15" s="55"/>
      <c r="QKM15" s="55"/>
      <c r="QKN15" s="55"/>
      <c r="QKO15" s="55"/>
      <c r="QKP15" s="55"/>
      <c r="QKQ15" s="55"/>
      <c r="QKR15" s="55"/>
      <c r="QKS15" s="55"/>
      <c r="QKT15" s="55"/>
      <c r="QKU15" s="55"/>
      <c r="QKV15" s="55"/>
      <c r="QKW15" s="55"/>
      <c r="QKX15" s="55"/>
      <c r="QKY15" s="55"/>
      <c r="QKZ15" s="55"/>
      <c r="QLA15" s="55"/>
      <c r="QLB15" s="55"/>
      <c r="QLC15" s="55"/>
      <c r="QLD15" s="55"/>
      <c r="QLE15" s="55"/>
      <c r="QLF15" s="55"/>
      <c r="QLG15" s="55"/>
      <c r="QLH15" s="55"/>
      <c r="QLI15" s="55"/>
      <c r="QLJ15" s="55"/>
      <c r="QLK15" s="55"/>
      <c r="QLL15" s="55"/>
      <c r="QLM15" s="55"/>
      <c r="QLN15" s="55"/>
      <c r="QLO15" s="55"/>
      <c r="QLP15" s="55"/>
      <c r="QLQ15" s="55"/>
      <c r="QLR15" s="55"/>
      <c r="QLS15" s="55"/>
      <c r="QLT15" s="55"/>
      <c r="QLU15" s="55"/>
      <c r="QLV15" s="55"/>
      <c r="QLW15" s="55"/>
      <c r="QLX15" s="55"/>
      <c r="QLY15" s="55"/>
      <c r="QLZ15" s="55"/>
      <c r="QMA15" s="55"/>
      <c r="QMB15" s="55"/>
      <c r="QMC15" s="55"/>
      <c r="QMD15" s="55"/>
      <c r="QME15" s="55"/>
      <c r="QMF15" s="55"/>
      <c r="QMG15" s="55"/>
      <c r="QMH15" s="55"/>
      <c r="QMI15" s="55"/>
      <c r="QMJ15" s="55"/>
      <c r="QMK15" s="55"/>
      <c r="QML15" s="55"/>
      <c r="QMM15" s="55"/>
      <c r="QMN15" s="55"/>
      <c r="QMO15" s="55"/>
      <c r="QMP15" s="55"/>
      <c r="QMQ15" s="55"/>
      <c r="QMR15" s="55"/>
      <c r="QMS15" s="55"/>
      <c r="QMT15" s="55"/>
      <c r="QMU15" s="55"/>
      <c r="QMV15" s="55"/>
      <c r="QMW15" s="55"/>
      <c r="QMX15" s="55"/>
      <c r="QMY15" s="55"/>
      <c r="QMZ15" s="55"/>
      <c r="QNA15" s="55"/>
      <c r="QNB15" s="55"/>
      <c r="QNC15" s="55"/>
      <c r="QND15" s="55"/>
      <c r="QNE15" s="55"/>
      <c r="QNF15" s="55"/>
      <c r="QNG15" s="55"/>
      <c r="QNH15" s="55"/>
      <c r="QNI15" s="55"/>
      <c r="QNJ15" s="55"/>
      <c r="QNK15" s="55"/>
      <c r="QNL15" s="55"/>
      <c r="QNM15" s="55"/>
      <c r="QNN15" s="55"/>
      <c r="QNO15" s="55"/>
      <c r="QNP15" s="55"/>
      <c r="QNQ15" s="55"/>
      <c r="QNR15" s="55"/>
      <c r="QNS15" s="55"/>
      <c r="QNT15" s="55"/>
      <c r="QNU15" s="55"/>
      <c r="QNV15" s="55"/>
      <c r="QNW15" s="55"/>
      <c r="QNX15" s="55"/>
      <c r="QNY15" s="55"/>
      <c r="QNZ15" s="55"/>
      <c r="QOA15" s="55"/>
      <c r="QOB15" s="55"/>
      <c r="QOC15" s="55"/>
      <c r="QOD15" s="55"/>
      <c r="QOE15" s="55"/>
      <c r="QOF15" s="55"/>
      <c r="QOG15" s="55"/>
      <c r="QOH15" s="55"/>
      <c r="QOI15" s="55"/>
      <c r="QOJ15" s="55"/>
      <c r="QOK15" s="55"/>
      <c r="QOL15" s="55"/>
      <c r="QOM15" s="55"/>
      <c r="QON15" s="55"/>
      <c r="QOO15" s="55"/>
      <c r="QOP15" s="55"/>
      <c r="QOQ15" s="55"/>
      <c r="QOR15" s="55"/>
      <c r="QOS15" s="55"/>
      <c r="QOT15" s="55"/>
      <c r="QOU15" s="55"/>
      <c r="QOV15" s="55"/>
      <c r="QOW15" s="55"/>
      <c r="QOX15" s="55"/>
      <c r="QOY15" s="55"/>
      <c r="QOZ15" s="55"/>
      <c r="QPA15" s="55"/>
      <c r="QPB15" s="55"/>
      <c r="QPC15" s="55"/>
      <c r="QPD15" s="55"/>
      <c r="QPE15" s="55"/>
      <c r="QPF15" s="55"/>
      <c r="QPG15" s="55"/>
      <c r="QPH15" s="55"/>
      <c r="QPI15" s="55"/>
      <c r="QPJ15" s="55"/>
      <c r="QPK15" s="55"/>
      <c r="QPL15" s="55"/>
      <c r="QPM15" s="55"/>
      <c r="QPN15" s="55"/>
      <c r="QPO15" s="55"/>
      <c r="QPP15" s="55"/>
      <c r="QPQ15" s="55"/>
      <c r="QPR15" s="55"/>
      <c r="QPS15" s="55"/>
      <c r="QPT15" s="55"/>
      <c r="QPU15" s="55"/>
      <c r="QPV15" s="55"/>
      <c r="QPW15" s="55"/>
      <c r="QPX15" s="55"/>
      <c r="QPY15" s="55"/>
      <c r="QPZ15" s="55"/>
      <c r="QQA15" s="55"/>
      <c r="QQB15" s="55"/>
      <c r="QQC15" s="55"/>
      <c r="QQD15" s="55"/>
      <c r="QQE15" s="55"/>
      <c r="QQF15" s="55"/>
      <c r="QQG15" s="55"/>
      <c r="QQH15" s="55"/>
      <c r="QQI15" s="55"/>
      <c r="QQJ15" s="55"/>
      <c r="QQK15" s="55"/>
      <c r="QQL15" s="55"/>
      <c r="QQM15" s="55"/>
      <c r="QQN15" s="55"/>
      <c r="QQO15" s="55"/>
      <c r="QQP15" s="55"/>
      <c r="QQQ15" s="55"/>
      <c r="QQR15" s="55"/>
      <c r="QQS15" s="55"/>
      <c r="QQT15" s="55"/>
      <c r="QQU15" s="55"/>
      <c r="QQV15" s="55"/>
      <c r="QQW15" s="55"/>
      <c r="QQX15" s="55"/>
      <c r="QQY15" s="55"/>
      <c r="QQZ15" s="55"/>
      <c r="QRA15" s="55"/>
      <c r="QRB15" s="55"/>
      <c r="QRC15" s="55"/>
      <c r="QRD15" s="55"/>
      <c r="QRE15" s="55"/>
      <c r="QRF15" s="55"/>
      <c r="QRG15" s="55"/>
      <c r="QRH15" s="55"/>
      <c r="QRI15" s="55"/>
      <c r="QRJ15" s="55"/>
      <c r="QRK15" s="55"/>
      <c r="QRL15" s="55"/>
      <c r="QRM15" s="55"/>
      <c r="QRN15" s="55"/>
      <c r="QRO15" s="55"/>
      <c r="QRP15" s="55"/>
      <c r="QRQ15" s="55"/>
      <c r="QRR15" s="55"/>
      <c r="QRS15" s="55"/>
      <c r="QRT15" s="55"/>
      <c r="QRU15" s="55"/>
      <c r="QRV15" s="55"/>
      <c r="QRW15" s="55"/>
      <c r="QRX15" s="55"/>
      <c r="QRY15" s="55"/>
      <c r="QRZ15" s="55"/>
      <c r="QSA15" s="55"/>
      <c r="QSB15" s="55"/>
      <c r="QSC15" s="55"/>
      <c r="QSD15" s="55"/>
      <c r="QSE15" s="55"/>
      <c r="QSF15" s="55"/>
      <c r="QSG15" s="55"/>
      <c r="QSH15" s="55"/>
      <c r="QSI15" s="55"/>
      <c r="QSJ15" s="55"/>
      <c r="QSK15" s="55"/>
      <c r="QSL15" s="55"/>
      <c r="QSM15" s="55"/>
      <c r="QSN15" s="55"/>
      <c r="QSO15" s="55"/>
      <c r="QSP15" s="55"/>
      <c r="QSQ15" s="55"/>
      <c r="QSR15" s="55"/>
      <c r="QSS15" s="55"/>
      <c r="QST15" s="55"/>
      <c r="QSU15" s="55"/>
      <c r="QSV15" s="55"/>
      <c r="QSW15" s="55"/>
      <c r="QSX15" s="55"/>
      <c r="QSY15" s="55"/>
      <c r="QSZ15" s="55"/>
      <c r="QTA15" s="55"/>
      <c r="QTB15" s="55"/>
      <c r="QTC15" s="55"/>
      <c r="QTD15" s="55"/>
      <c r="QTE15" s="55"/>
      <c r="QTF15" s="55"/>
      <c r="QTG15" s="55"/>
      <c r="QTH15" s="55"/>
      <c r="QTI15" s="55"/>
      <c r="QTJ15" s="55"/>
      <c r="QTK15" s="55"/>
      <c r="QTL15" s="55"/>
      <c r="QTM15" s="55"/>
      <c r="QTN15" s="55"/>
      <c r="QTO15" s="55"/>
      <c r="QTP15" s="55"/>
      <c r="QTQ15" s="55"/>
      <c r="QTR15" s="55"/>
      <c r="QTS15" s="55"/>
      <c r="QTT15" s="55"/>
      <c r="QTU15" s="55"/>
      <c r="QTV15" s="55"/>
      <c r="QTW15" s="55"/>
      <c r="QTX15" s="55"/>
      <c r="QTY15" s="55"/>
      <c r="QTZ15" s="55"/>
      <c r="QUA15" s="55"/>
      <c r="QUB15" s="55"/>
      <c r="QUC15" s="55"/>
      <c r="QUD15" s="55"/>
      <c r="QUE15" s="55"/>
      <c r="QUF15" s="55"/>
      <c r="QUG15" s="55"/>
      <c r="QUH15" s="55"/>
      <c r="QUI15" s="55"/>
      <c r="QUJ15" s="55"/>
      <c r="QUK15" s="55"/>
      <c r="QUL15" s="55"/>
      <c r="QUM15" s="55"/>
      <c r="QUN15" s="55"/>
      <c r="QUO15" s="55"/>
      <c r="QUP15" s="55"/>
      <c r="QUQ15" s="55"/>
      <c r="QUR15" s="55"/>
      <c r="QUS15" s="55"/>
      <c r="QUT15" s="55"/>
      <c r="QUU15" s="55"/>
      <c r="QUV15" s="55"/>
      <c r="QUW15" s="55"/>
      <c r="QUX15" s="55"/>
      <c r="QUY15" s="55"/>
      <c r="QUZ15" s="55"/>
      <c r="QVA15" s="55"/>
      <c r="QVB15" s="55"/>
      <c r="QVC15" s="55"/>
      <c r="QVD15" s="55"/>
      <c r="QVE15" s="55"/>
      <c r="QVF15" s="55"/>
      <c r="QVG15" s="55"/>
      <c r="QVH15" s="55"/>
      <c r="QVI15" s="55"/>
      <c r="QVJ15" s="55"/>
      <c r="QVK15" s="55"/>
      <c r="QVL15" s="55"/>
      <c r="QVM15" s="55"/>
      <c r="QVN15" s="55"/>
      <c r="QVO15" s="55"/>
      <c r="QVP15" s="55"/>
      <c r="QVQ15" s="55"/>
      <c r="QVR15" s="55"/>
      <c r="QVS15" s="55"/>
      <c r="QVT15" s="55"/>
      <c r="QVU15" s="55"/>
      <c r="QVV15" s="55"/>
      <c r="QVW15" s="55"/>
      <c r="QVX15" s="55"/>
      <c r="QVY15" s="55"/>
      <c r="QVZ15" s="55"/>
      <c r="QWA15" s="55"/>
      <c r="QWB15" s="55"/>
      <c r="QWC15" s="55"/>
      <c r="QWD15" s="55"/>
      <c r="QWE15" s="55"/>
      <c r="QWF15" s="55"/>
      <c r="QWG15" s="55"/>
      <c r="QWH15" s="55"/>
      <c r="QWI15" s="55"/>
      <c r="QWJ15" s="55"/>
      <c r="QWK15" s="55"/>
      <c r="QWL15" s="55"/>
      <c r="QWM15" s="55"/>
      <c r="QWN15" s="55"/>
      <c r="QWO15" s="55"/>
      <c r="QWP15" s="55"/>
      <c r="QWQ15" s="55"/>
      <c r="QWR15" s="55"/>
      <c r="QWS15" s="55"/>
      <c r="QWT15" s="55"/>
      <c r="QWU15" s="55"/>
      <c r="QWV15" s="55"/>
      <c r="QWW15" s="55"/>
      <c r="QWX15" s="55"/>
      <c r="QWY15" s="55"/>
      <c r="QWZ15" s="55"/>
      <c r="QXA15" s="55"/>
      <c r="QXB15" s="55"/>
      <c r="QXC15" s="55"/>
      <c r="QXD15" s="55"/>
      <c r="QXE15" s="55"/>
      <c r="QXF15" s="55"/>
      <c r="QXG15" s="55"/>
      <c r="QXH15" s="55"/>
      <c r="QXI15" s="55"/>
      <c r="QXJ15" s="55"/>
      <c r="QXK15" s="55"/>
      <c r="QXL15" s="55"/>
      <c r="QXM15" s="55"/>
      <c r="QXN15" s="55"/>
      <c r="QXO15" s="55"/>
      <c r="QXP15" s="55"/>
      <c r="QXQ15" s="55"/>
      <c r="QXR15" s="55"/>
      <c r="QXS15" s="55"/>
      <c r="QXT15" s="55"/>
      <c r="QXU15" s="55"/>
      <c r="QXV15" s="55"/>
      <c r="QXW15" s="55"/>
      <c r="QXX15" s="55"/>
      <c r="QXY15" s="55"/>
      <c r="QXZ15" s="55"/>
      <c r="QYA15" s="55"/>
      <c r="QYB15" s="55"/>
      <c r="QYC15" s="55"/>
      <c r="QYD15" s="55"/>
      <c r="QYE15" s="55"/>
      <c r="QYF15" s="55"/>
      <c r="QYG15" s="55"/>
      <c r="QYH15" s="55"/>
      <c r="QYI15" s="55"/>
      <c r="QYJ15" s="55"/>
      <c r="QYK15" s="55"/>
      <c r="QYL15" s="55"/>
      <c r="QYM15" s="55"/>
      <c r="QYN15" s="55"/>
      <c r="QYO15" s="55"/>
      <c r="QYP15" s="55"/>
      <c r="QYQ15" s="55"/>
      <c r="QYR15" s="55"/>
      <c r="QYS15" s="55"/>
      <c r="QYT15" s="55"/>
      <c r="QYU15" s="55"/>
      <c r="QYV15" s="55"/>
      <c r="QYW15" s="55"/>
      <c r="QYX15" s="55"/>
      <c r="QYY15" s="55"/>
      <c r="QYZ15" s="55"/>
      <c r="QZA15" s="55"/>
      <c r="QZB15" s="55"/>
      <c r="QZC15" s="55"/>
      <c r="QZD15" s="55"/>
      <c r="QZE15" s="55"/>
      <c r="QZF15" s="55"/>
      <c r="QZG15" s="55"/>
      <c r="QZH15" s="55"/>
      <c r="QZI15" s="55"/>
      <c r="QZJ15" s="55"/>
      <c r="QZK15" s="55"/>
      <c r="QZL15" s="55"/>
      <c r="QZM15" s="55"/>
      <c r="QZN15" s="55"/>
      <c r="QZO15" s="55"/>
      <c r="QZP15" s="55"/>
      <c r="QZQ15" s="55"/>
      <c r="QZR15" s="55"/>
      <c r="QZS15" s="55"/>
      <c r="QZT15" s="55"/>
      <c r="QZU15" s="55"/>
      <c r="QZV15" s="55"/>
      <c r="QZW15" s="55"/>
      <c r="QZX15" s="55"/>
      <c r="QZY15" s="55"/>
      <c r="QZZ15" s="55"/>
      <c r="RAA15" s="55"/>
      <c r="RAB15" s="55"/>
      <c r="RAC15" s="55"/>
      <c r="RAD15" s="55"/>
      <c r="RAE15" s="55"/>
      <c r="RAF15" s="55"/>
      <c r="RAG15" s="55"/>
      <c r="RAH15" s="55"/>
      <c r="RAI15" s="55"/>
      <c r="RAJ15" s="55"/>
      <c r="RAK15" s="55"/>
      <c r="RAL15" s="55"/>
      <c r="RAM15" s="55"/>
      <c r="RAN15" s="55"/>
      <c r="RAO15" s="55"/>
      <c r="RAP15" s="55"/>
      <c r="RAQ15" s="55"/>
      <c r="RAR15" s="55"/>
      <c r="RAS15" s="55"/>
      <c r="RAT15" s="55"/>
      <c r="RAU15" s="55"/>
      <c r="RAV15" s="55"/>
      <c r="RAW15" s="55"/>
      <c r="RAX15" s="55"/>
      <c r="RAY15" s="55"/>
      <c r="RAZ15" s="55"/>
      <c r="RBA15" s="55"/>
      <c r="RBB15" s="55"/>
      <c r="RBC15" s="55"/>
      <c r="RBD15" s="55"/>
      <c r="RBE15" s="55"/>
      <c r="RBF15" s="55"/>
      <c r="RBG15" s="55"/>
      <c r="RBH15" s="55"/>
      <c r="RBI15" s="55"/>
      <c r="RBJ15" s="55"/>
      <c r="RBK15" s="55"/>
      <c r="RBL15" s="55"/>
      <c r="RBM15" s="55"/>
      <c r="RBN15" s="55"/>
      <c r="RBO15" s="55"/>
      <c r="RBP15" s="55"/>
      <c r="RBQ15" s="55"/>
      <c r="RBR15" s="55"/>
      <c r="RBS15" s="55"/>
      <c r="RBT15" s="55"/>
      <c r="RBU15" s="55"/>
      <c r="RBV15" s="55"/>
      <c r="RBW15" s="55"/>
      <c r="RBX15" s="55"/>
      <c r="RBY15" s="55"/>
      <c r="RBZ15" s="55"/>
      <c r="RCA15" s="55"/>
      <c r="RCB15" s="55"/>
      <c r="RCC15" s="55"/>
      <c r="RCD15" s="55"/>
      <c r="RCE15" s="55"/>
      <c r="RCF15" s="55"/>
      <c r="RCG15" s="55"/>
      <c r="RCH15" s="55"/>
      <c r="RCI15" s="55"/>
      <c r="RCJ15" s="55"/>
      <c r="RCK15" s="55"/>
      <c r="RCL15" s="55"/>
      <c r="RCM15" s="55"/>
      <c r="RCN15" s="55"/>
      <c r="RCO15" s="55"/>
      <c r="RCP15" s="55"/>
      <c r="RCQ15" s="55"/>
      <c r="RCR15" s="55"/>
      <c r="RCS15" s="55"/>
      <c r="RCT15" s="55"/>
      <c r="RCU15" s="55"/>
      <c r="RCV15" s="55"/>
      <c r="RCW15" s="55"/>
      <c r="RCX15" s="55"/>
      <c r="RCY15" s="55"/>
      <c r="RCZ15" s="55"/>
      <c r="RDA15" s="55"/>
      <c r="RDB15" s="55"/>
      <c r="RDC15" s="55"/>
      <c r="RDD15" s="55"/>
      <c r="RDE15" s="55"/>
      <c r="RDF15" s="55"/>
      <c r="RDG15" s="55"/>
      <c r="RDH15" s="55"/>
      <c r="RDI15" s="55"/>
      <c r="RDJ15" s="55"/>
      <c r="RDK15" s="55"/>
      <c r="RDL15" s="55"/>
      <c r="RDM15" s="55"/>
      <c r="RDN15" s="55"/>
      <c r="RDO15" s="55"/>
      <c r="RDP15" s="55"/>
      <c r="RDQ15" s="55"/>
      <c r="RDR15" s="55"/>
      <c r="RDS15" s="55"/>
      <c r="RDT15" s="55"/>
      <c r="RDU15" s="55"/>
      <c r="RDV15" s="55"/>
      <c r="RDW15" s="55"/>
      <c r="RDX15" s="55"/>
      <c r="RDY15" s="55"/>
      <c r="RDZ15" s="55"/>
      <c r="REA15" s="55"/>
      <c r="REB15" s="55"/>
      <c r="REC15" s="55"/>
      <c r="RED15" s="55"/>
      <c r="REE15" s="55"/>
      <c r="REF15" s="55"/>
      <c r="REG15" s="55"/>
      <c r="REH15" s="55"/>
      <c r="REI15" s="55"/>
      <c r="REJ15" s="55"/>
      <c r="REK15" s="55"/>
      <c r="REL15" s="55"/>
      <c r="REM15" s="55"/>
      <c r="REN15" s="55"/>
      <c r="REO15" s="55"/>
      <c r="REP15" s="55"/>
      <c r="REQ15" s="55"/>
      <c r="RER15" s="55"/>
      <c r="RES15" s="55"/>
      <c r="RET15" s="55"/>
      <c r="REU15" s="55"/>
      <c r="REV15" s="55"/>
      <c r="REW15" s="55"/>
      <c r="REX15" s="55"/>
      <c r="REY15" s="55"/>
      <c r="REZ15" s="55"/>
      <c r="RFA15" s="55"/>
      <c r="RFB15" s="55"/>
      <c r="RFC15" s="55"/>
      <c r="RFD15" s="55"/>
      <c r="RFE15" s="55"/>
      <c r="RFF15" s="55"/>
      <c r="RFG15" s="55"/>
      <c r="RFH15" s="55"/>
      <c r="RFI15" s="55"/>
      <c r="RFJ15" s="55"/>
      <c r="RFK15" s="55"/>
      <c r="RFL15" s="55"/>
      <c r="RFM15" s="55"/>
      <c r="RFN15" s="55"/>
      <c r="RFO15" s="55"/>
      <c r="RFP15" s="55"/>
      <c r="RFQ15" s="55"/>
      <c r="RFR15" s="55"/>
      <c r="RFS15" s="55"/>
      <c r="RFT15" s="55"/>
      <c r="RFU15" s="55"/>
      <c r="RFV15" s="55"/>
      <c r="RFW15" s="55"/>
      <c r="RFX15" s="55"/>
      <c r="RFY15" s="55"/>
      <c r="RFZ15" s="55"/>
      <c r="RGA15" s="55"/>
      <c r="RGB15" s="55"/>
      <c r="RGC15" s="55"/>
      <c r="RGD15" s="55"/>
      <c r="RGE15" s="55"/>
      <c r="RGF15" s="55"/>
      <c r="RGG15" s="55"/>
      <c r="RGH15" s="55"/>
      <c r="RGI15" s="55"/>
      <c r="RGJ15" s="55"/>
      <c r="RGK15" s="55"/>
      <c r="RGL15" s="55"/>
      <c r="RGM15" s="55"/>
      <c r="RGN15" s="55"/>
      <c r="RGO15" s="55"/>
      <c r="RGP15" s="55"/>
      <c r="RGQ15" s="55"/>
      <c r="RGR15" s="55"/>
      <c r="RGS15" s="55"/>
      <c r="RGT15" s="55"/>
      <c r="RGU15" s="55"/>
      <c r="RGV15" s="55"/>
      <c r="RGW15" s="55"/>
      <c r="RGX15" s="55"/>
      <c r="RGY15" s="55"/>
      <c r="RGZ15" s="55"/>
      <c r="RHA15" s="55"/>
      <c r="RHB15" s="55"/>
      <c r="RHC15" s="55"/>
      <c r="RHD15" s="55"/>
      <c r="RHE15" s="55"/>
      <c r="RHF15" s="55"/>
      <c r="RHG15" s="55"/>
      <c r="RHH15" s="55"/>
      <c r="RHI15" s="55"/>
      <c r="RHJ15" s="55"/>
      <c r="RHK15" s="55"/>
      <c r="RHL15" s="55"/>
      <c r="RHM15" s="55"/>
      <c r="RHN15" s="55"/>
      <c r="RHO15" s="55"/>
      <c r="RHP15" s="55"/>
      <c r="RHQ15" s="55"/>
      <c r="RHR15" s="55"/>
      <c r="RHS15" s="55"/>
      <c r="RHT15" s="55"/>
      <c r="RHU15" s="55"/>
      <c r="RHV15" s="55"/>
      <c r="RHW15" s="55"/>
      <c r="RHX15" s="55"/>
      <c r="RHY15" s="55"/>
      <c r="RHZ15" s="55"/>
      <c r="RIA15" s="55"/>
      <c r="RIB15" s="55"/>
      <c r="RIC15" s="55"/>
      <c r="RID15" s="55"/>
      <c r="RIE15" s="55"/>
      <c r="RIF15" s="55"/>
      <c r="RIG15" s="55"/>
      <c r="RIH15" s="55"/>
      <c r="RII15" s="55"/>
      <c r="RIJ15" s="55"/>
      <c r="RIK15" s="55"/>
      <c r="RIL15" s="55"/>
      <c r="RIM15" s="55"/>
      <c r="RIN15" s="55"/>
      <c r="RIO15" s="55"/>
      <c r="RIP15" s="55"/>
      <c r="RIQ15" s="55"/>
      <c r="RIR15" s="55"/>
      <c r="RIS15" s="55"/>
      <c r="RIT15" s="55"/>
      <c r="RIU15" s="55"/>
      <c r="RIV15" s="55"/>
      <c r="RIW15" s="55"/>
      <c r="RIX15" s="55"/>
      <c r="RIY15" s="55"/>
      <c r="RIZ15" s="55"/>
      <c r="RJA15" s="55"/>
      <c r="RJB15" s="55"/>
      <c r="RJC15" s="55"/>
      <c r="RJD15" s="55"/>
      <c r="RJE15" s="55"/>
      <c r="RJF15" s="55"/>
      <c r="RJG15" s="55"/>
      <c r="RJH15" s="55"/>
      <c r="RJI15" s="55"/>
      <c r="RJJ15" s="55"/>
      <c r="RJK15" s="55"/>
      <c r="RJL15" s="55"/>
      <c r="RJM15" s="55"/>
      <c r="RJN15" s="55"/>
      <c r="RJO15" s="55"/>
      <c r="RJP15" s="55"/>
      <c r="RJQ15" s="55"/>
      <c r="RJR15" s="55"/>
      <c r="RJS15" s="55"/>
      <c r="RJT15" s="55"/>
      <c r="RJU15" s="55"/>
      <c r="RJV15" s="55"/>
      <c r="RJW15" s="55"/>
      <c r="RJX15" s="55"/>
      <c r="RJY15" s="55"/>
      <c r="RJZ15" s="55"/>
      <c r="RKA15" s="55"/>
      <c r="RKB15" s="55"/>
      <c r="RKC15" s="55"/>
      <c r="RKD15" s="55"/>
      <c r="RKE15" s="55"/>
      <c r="RKF15" s="55"/>
      <c r="RKG15" s="55"/>
      <c r="RKH15" s="55"/>
      <c r="RKI15" s="55"/>
      <c r="RKJ15" s="55"/>
      <c r="RKK15" s="55"/>
      <c r="RKL15" s="55"/>
      <c r="RKM15" s="55"/>
      <c r="RKN15" s="55"/>
      <c r="RKO15" s="55"/>
      <c r="RKP15" s="55"/>
      <c r="RKQ15" s="55"/>
      <c r="RKR15" s="55"/>
      <c r="RKS15" s="55"/>
      <c r="RKT15" s="55"/>
      <c r="RKU15" s="55"/>
      <c r="RKV15" s="55"/>
      <c r="RKW15" s="55"/>
      <c r="RKX15" s="55"/>
      <c r="RKY15" s="55"/>
      <c r="RKZ15" s="55"/>
      <c r="RLA15" s="55"/>
      <c r="RLB15" s="55"/>
      <c r="RLC15" s="55"/>
      <c r="RLD15" s="55"/>
      <c r="RLE15" s="55"/>
      <c r="RLF15" s="55"/>
      <c r="RLG15" s="55"/>
      <c r="RLH15" s="55"/>
      <c r="RLI15" s="55"/>
      <c r="RLJ15" s="55"/>
      <c r="RLK15" s="55"/>
      <c r="RLL15" s="55"/>
      <c r="RLM15" s="55"/>
      <c r="RLN15" s="55"/>
      <c r="RLO15" s="55"/>
      <c r="RLP15" s="55"/>
      <c r="RLQ15" s="55"/>
      <c r="RLR15" s="55"/>
      <c r="RLS15" s="55"/>
      <c r="RLT15" s="55"/>
      <c r="RLU15" s="55"/>
      <c r="RLV15" s="55"/>
      <c r="RLW15" s="55"/>
      <c r="RLX15" s="55"/>
      <c r="RLY15" s="55"/>
      <c r="RLZ15" s="55"/>
      <c r="RMA15" s="55"/>
      <c r="RMB15" s="55"/>
      <c r="RMC15" s="55"/>
      <c r="RMD15" s="55"/>
      <c r="RME15" s="55"/>
      <c r="RMF15" s="55"/>
      <c r="RMG15" s="55"/>
      <c r="RMH15" s="55"/>
      <c r="RMI15" s="55"/>
      <c r="RMJ15" s="55"/>
      <c r="RMK15" s="55"/>
      <c r="RML15" s="55"/>
      <c r="RMM15" s="55"/>
      <c r="RMN15" s="55"/>
      <c r="RMO15" s="55"/>
      <c r="RMP15" s="55"/>
      <c r="RMQ15" s="55"/>
      <c r="RMR15" s="55"/>
      <c r="RMS15" s="55"/>
      <c r="RMT15" s="55"/>
      <c r="RMU15" s="55"/>
      <c r="RMV15" s="55"/>
      <c r="RMW15" s="55"/>
      <c r="RMX15" s="55"/>
      <c r="RMY15" s="55"/>
      <c r="RMZ15" s="55"/>
      <c r="RNA15" s="55"/>
      <c r="RNB15" s="55"/>
      <c r="RNC15" s="55"/>
      <c r="RND15" s="55"/>
      <c r="RNE15" s="55"/>
      <c r="RNF15" s="55"/>
      <c r="RNG15" s="55"/>
      <c r="RNH15" s="55"/>
      <c r="RNI15" s="55"/>
      <c r="RNJ15" s="55"/>
      <c r="RNK15" s="55"/>
      <c r="RNL15" s="55"/>
      <c r="RNM15" s="55"/>
      <c r="RNN15" s="55"/>
      <c r="RNO15" s="55"/>
      <c r="RNP15" s="55"/>
      <c r="RNQ15" s="55"/>
      <c r="RNR15" s="55"/>
      <c r="RNS15" s="55"/>
      <c r="RNT15" s="55"/>
      <c r="RNU15" s="55"/>
      <c r="RNV15" s="55"/>
      <c r="RNW15" s="55"/>
      <c r="RNX15" s="55"/>
      <c r="RNY15" s="55"/>
      <c r="RNZ15" s="55"/>
      <c r="ROA15" s="55"/>
      <c r="ROB15" s="55"/>
      <c r="ROC15" s="55"/>
      <c r="ROD15" s="55"/>
      <c r="ROE15" s="55"/>
      <c r="ROF15" s="55"/>
      <c r="ROG15" s="55"/>
      <c r="ROH15" s="55"/>
      <c r="ROI15" s="55"/>
      <c r="ROJ15" s="55"/>
      <c r="ROK15" s="55"/>
      <c r="ROL15" s="55"/>
      <c r="ROM15" s="55"/>
      <c r="RON15" s="55"/>
      <c r="ROO15" s="55"/>
      <c r="ROP15" s="55"/>
      <c r="ROQ15" s="55"/>
      <c r="ROR15" s="55"/>
      <c r="ROS15" s="55"/>
      <c r="ROT15" s="55"/>
      <c r="ROU15" s="55"/>
      <c r="ROV15" s="55"/>
      <c r="ROW15" s="55"/>
      <c r="ROX15" s="55"/>
      <c r="ROY15" s="55"/>
      <c r="ROZ15" s="55"/>
      <c r="RPA15" s="55"/>
      <c r="RPB15" s="55"/>
      <c r="RPC15" s="55"/>
      <c r="RPD15" s="55"/>
      <c r="RPE15" s="55"/>
      <c r="RPF15" s="55"/>
      <c r="RPG15" s="55"/>
      <c r="RPH15" s="55"/>
      <c r="RPI15" s="55"/>
      <c r="RPJ15" s="55"/>
      <c r="RPK15" s="55"/>
      <c r="RPL15" s="55"/>
      <c r="RPM15" s="55"/>
      <c r="RPN15" s="55"/>
      <c r="RPO15" s="55"/>
      <c r="RPP15" s="55"/>
      <c r="RPQ15" s="55"/>
      <c r="RPR15" s="55"/>
      <c r="RPS15" s="55"/>
      <c r="RPT15" s="55"/>
      <c r="RPU15" s="55"/>
      <c r="RPV15" s="55"/>
      <c r="RPW15" s="55"/>
      <c r="RPX15" s="55"/>
      <c r="RPY15" s="55"/>
      <c r="RPZ15" s="55"/>
      <c r="RQA15" s="55"/>
      <c r="RQB15" s="55"/>
      <c r="RQC15" s="55"/>
      <c r="RQD15" s="55"/>
      <c r="RQE15" s="55"/>
      <c r="RQF15" s="55"/>
      <c r="RQG15" s="55"/>
      <c r="RQH15" s="55"/>
      <c r="RQI15" s="55"/>
      <c r="RQJ15" s="55"/>
      <c r="RQK15" s="55"/>
      <c r="RQL15" s="55"/>
      <c r="RQM15" s="55"/>
      <c r="RQN15" s="55"/>
      <c r="RQO15" s="55"/>
      <c r="RQP15" s="55"/>
      <c r="RQQ15" s="55"/>
      <c r="RQR15" s="55"/>
      <c r="RQS15" s="55"/>
      <c r="RQT15" s="55"/>
      <c r="RQU15" s="55"/>
      <c r="RQV15" s="55"/>
      <c r="RQW15" s="55"/>
      <c r="RQX15" s="55"/>
      <c r="RQY15" s="55"/>
      <c r="RQZ15" s="55"/>
      <c r="RRA15" s="55"/>
      <c r="RRB15" s="55"/>
      <c r="RRC15" s="55"/>
      <c r="RRD15" s="55"/>
      <c r="RRE15" s="55"/>
      <c r="RRF15" s="55"/>
      <c r="RRG15" s="55"/>
      <c r="RRH15" s="55"/>
      <c r="RRI15" s="55"/>
      <c r="RRJ15" s="55"/>
      <c r="RRK15" s="55"/>
      <c r="RRL15" s="55"/>
      <c r="RRM15" s="55"/>
      <c r="RRN15" s="55"/>
      <c r="RRO15" s="55"/>
      <c r="RRP15" s="55"/>
      <c r="RRQ15" s="55"/>
      <c r="RRR15" s="55"/>
      <c r="RRS15" s="55"/>
      <c r="RRT15" s="55"/>
      <c r="RRU15" s="55"/>
      <c r="RRV15" s="55"/>
      <c r="RRW15" s="55"/>
      <c r="RRX15" s="55"/>
      <c r="RRY15" s="55"/>
      <c r="RRZ15" s="55"/>
      <c r="RSA15" s="55"/>
      <c r="RSB15" s="55"/>
      <c r="RSC15" s="55"/>
      <c r="RSD15" s="55"/>
      <c r="RSE15" s="55"/>
      <c r="RSF15" s="55"/>
      <c r="RSG15" s="55"/>
      <c r="RSH15" s="55"/>
      <c r="RSI15" s="55"/>
      <c r="RSJ15" s="55"/>
      <c r="RSK15" s="55"/>
      <c r="RSL15" s="55"/>
      <c r="RSM15" s="55"/>
      <c r="RSN15" s="55"/>
      <c r="RSO15" s="55"/>
      <c r="RSP15" s="55"/>
      <c r="RSQ15" s="55"/>
      <c r="RSR15" s="55"/>
      <c r="RSS15" s="55"/>
      <c r="RST15" s="55"/>
      <c r="RSU15" s="55"/>
      <c r="RSV15" s="55"/>
      <c r="RSW15" s="55"/>
      <c r="RSX15" s="55"/>
      <c r="RSY15" s="55"/>
      <c r="RSZ15" s="55"/>
      <c r="RTA15" s="55"/>
      <c r="RTB15" s="55"/>
      <c r="RTC15" s="55"/>
      <c r="RTD15" s="55"/>
      <c r="RTE15" s="55"/>
      <c r="RTF15" s="55"/>
      <c r="RTG15" s="55"/>
      <c r="RTH15" s="55"/>
      <c r="RTI15" s="55"/>
      <c r="RTJ15" s="55"/>
      <c r="RTK15" s="55"/>
      <c r="RTL15" s="55"/>
      <c r="RTM15" s="55"/>
      <c r="RTN15" s="55"/>
      <c r="RTO15" s="55"/>
      <c r="RTP15" s="55"/>
      <c r="RTQ15" s="55"/>
      <c r="RTR15" s="55"/>
      <c r="RTS15" s="55"/>
      <c r="RTT15" s="55"/>
      <c r="RTU15" s="55"/>
      <c r="RTV15" s="55"/>
      <c r="RTW15" s="55"/>
      <c r="RTX15" s="55"/>
      <c r="RTY15" s="55"/>
      <c r="RTZ15" s="55"/>
      <c r="RUA15" s="55"/>
      <c r="RUB15" s="55"/>
      <c r="RUC15" s="55"/>
      <c r="RUD15" s="55"/>
      <c r="RUE15" s="55"/>
      <c r="RUF15" s="55"/>
      <c r="RUG15" s="55"/>
      <c r="RUH15" s="55"/>
      <c r="RUI15" s="55"/>
      <c r="RUJ15" s="55"/>
      <c r="RUK15" s="55"/>
      <c r="RUL15" s="55"/>
      <c r="RUM15" s="55"/>
      <c r="RUN15" s="55"/>
      <c r="RUO15" s="55"/>
      <c r="RUP15" s="55"/>
      <c r="RUQ15" s="55"/>
      <c r="RUR15" s="55"/>
      <c r="RUS15" s="55"/>
      <c r="RUT15" s="55"/>
      <c r="RUU15" s="55"/>
      <c r="RUV15" s="55"/>
      <c r="RUW15" s="55"/>
      <c r="RUX15" s="55"/>
      <c r="RUY15" s="55"/>
      <c r="RUZ15" s="55"/>
      <c r="RVA15" s="55"/>
      <c r="RVB15" s="55"/>
      <c r="RVC15" s="55"/>
      <c r="RVD15" s="55"/>
      <c r="RVE15" s="55"/>
      <c r="RVF15" s="55"/>
      <c r="RVG15" s="55"/>
      <c r="RVH15" s="55"/>
      <c r="RVI15" s="55"/>
      <c r="RVJ15" s="55"/>
      <c r="RVK15" s="55"/>
      <c r="RVL15" s="55"/>
      <c r="RVM15" s="55"/>
      <c r="RVN15" s="55"/>
      <c r="RVO15" s="55"/>
      <c r="RVP15" s="55"/>
      <c r="RVQ15" s="55"/>
      <c r="RVR15" s="55"/>
      <c r="RVS15" s="55"/>
      <c r="RVT15" s="55"/>
      <c r="RVU15" s="55"/>
      <c r="RVV15" s="55"/>
      <c r="RVW15" s="55"/>
      <c r="RVX15" s="55"/>
      <c r="RVY15" s="55"/>
      <c r="RVZ15" s="55"/>
      <c r="RWA15" s="55"/>
      <c r="RWB15" s="55"/>
      <c r="RWC15" s="55"/>
      <c r="RWD15" s="55"/>
      <c r="RWE15" s="55"/>
      <c r="RWF15" s="55"/>
      <c r="RWG15" s="55"/>
      <c r="RWH15" s="55"/>
      <c r="RWI15" s="55"/>
      <c r="RWJ15" s="55"/>
      <c r="RWK15" s="55"/>
      <c r="RWL15" s="55"/>
      <c r="RWM15" s="55"/>
      <c r="RWN15" s="55"/>
      <c r="RWO15" s="55"/>
      <c r="RWP15" s="55"/>
      <c r="RWQ15" s="55"/>
      <c r="RWR15" s="55"/>
      <c r="RWS15" s="55"/>
      <c r="RWT15" s="55"/>
      <c r="RWU15" s="55"/>
      <c r="RWV15" s="55"/>
      <c r="RWW15" s="55"/>
      <c r="RWX15" s="55"/>
      <c r="RWY15" s="55"/>
      <c r="RWZ15" s="55"/>
      <c r="RXA15" s="55"/>
      <c r="RXB15" s="55"/>
      <c r="RXC15" s="55"/>
      <c r="RXD15" s="55"/>
      <c r="RXE15" s="55"/>
      <c r="RXF15" s="55"/>
      <c r="RXG15" s="55"/>
      <c r="RXH15" s="55"/>
      <c r="RXI15" s="55"/>
      <c r="RXJ15" s="55"/>
      <c r="RXK15" s="55"/>
      <c r="RXL15" s="55"/>
      <c r="RXM15" s="55"/>
      <c r="RXN15" s="55"/>
      <c r="RXO15" s="55"/>
      <c r="RXP15" s="55"/>
      <c r="RXQ15" s="55"/>
      <c r="RXR15" s="55"/>
      <c r="RXS15" s="55"/>
      <c r="RXT15" s="55"/>
      <c r="RXU15" s="55"/>
      <c r="RXV15" s="55"/>
      <c r="RXW15" s="55"/>
      <c r="RXX15" s="55"/>
      <c r="RXY15" s="55"/>
      <c r="RXZ15" s="55"/>
      <c r="RYA15" s="55"/>
      <c r="RYB15" s="55"/>
      <c r="RYC15" s="55"/>
      <c r="RYD15" s="55"/>
      <c r="RYE15" s="55"/>
      <c r="RYF15" s="55"/>
      <c r="RYG15" s="55"/>
      <c r="RYH15" s="55"/>
      <c r="RYI15" s="55"/>
      <c r="RYJ15" s="55"/>
      <c r="RYK15" s="55"/>
      <c r="RYL15" s="55"/>
      <c r="RYM15" s="55"/>
      <c r="RYN15" s="55"/>
      <c r="RYO15" s="55"/>
      <c r="RYP15" s="55"/>
      <c r="RYQ15" s="55"/>
      <c r="RYR15" s="55"/>
      <c r="RYS15" s="55"/>
      <c r="RYT15" s="55"/>
      <c r="RYU15" s="55"/>
      <c r="RYV15" s="55"/>
      <c r="RYW15" s="55"/>
      <c r="RYX15" s="55"/>
      <c r="RYY15" s="55"/>
      <c r="RYZ15" s="55"/>
      <c r="RZA15" s="55"/>
      <c r="RZB15" s="55"/>
      <c r="RZC15" s="55"/>
      <c r="RZD15" s="55"/>
      <c r="RZE15" s="55"/>
      <c r="RZF15" s="55"/>
      <c r="RZG15" s="55"/>
      <c r="RZH15" s="55"/>
      <c r="RZI15" s="55"/>
      <c r="RZJ15" s="55"/>
      <c r="RZK15" s="55"/>
      <c r="RZL15" s="55"/>
      <c r="RZM15" s="55"/>
      <c r="RZN15" s="55"/>
      <c r="RZO15" s="55"/>
      <c r="RZP15" s="55"/>
      <c r="RZQ15" s="55"/>
      <c r="RZR15" s="55"/>
      <c r="RZS15" s="55"/>
      <c r="RZT15" s="55"/>
      <c r="RZU15" s="55"/>
      <c r="RZV15" s="55"/>
      <c r="RZW15" s="55"/>
      <c r="RZX15" s="55"/>
      <c r="RZY15" s="55"/>
      <c r="RZZ15" s="55"/>
      <c r="SAA15" s="55"/>
      <c r="SAB15" s="55"/>
      <c r="SAC15" s="55"/>
      <c r="SAD15" s="55"/>
      <c r="SAE15" s="55"/>
      <c r="SAF15" s="55"/>
      <c r="SAG15" s="55"/>
      <c r="SAH15" s="55"/>
      <c r="SAI15" s="55"/>
      <c r="SAJ15" s="55"/>
      <c r="SAK15" s="55"/>
      <c r="SAL15" s="55"/>
      <c r="SAM15" s="55"/>
      <c r="SAN15" s="55"/>
      <c r="SAO15" s="55"/>
      <c r="SAP15" s="55"/>
      <c r="SAQ15" s="55"/>
      <c r="SAR15" s="55"/>
      <c r="SAS15" s="55"/>
      <c r="SAT15" s="55"/>
      <c r="SAU15" s="55"/>
      <c r="SAV15" s="55"/>
      <c r="SAW15" s="55"/>
      <c r="SAX15" s="55"/>
      <c r="SAY15" s="55"/>
      <c r="SAZ15" s="55"/>
      <c r="SBA15" s="55"/>
      <c r="SBB15" s="55"/>
      <c r="SBC15" s="55"/>
      <c r="SBD15" s="55"/>
      <c r="SBE15" s="55"/>
      <c r="SBF15" s="55"/>
      <c r="SBG15" s="55"/>
      <c r="SBH15" s="55"/>
      <c r="SBI15" s="55"/>
      <c r="SBJ15" s="55"/>
      <c r="SBK15" s="55"/>
      <c r="SBL15" s="55"/>
      <c r="SBM15" s="55"/>
      <c r="SBN15" s="55"/>
      <c r="SBO15" s="55"/>
      <c r="SBP15" s="55"/>
      <c r="SBQ15" s="55"/>
      <c r="SBR15" s="55"/>
      <c r="SBS15" s="55"/>
      <c r="SBT15" s="55"/>
      <c r="SBU15" s="55"/>
      <c r="SBV15" s="55"/>
      <c r="SBW15" s="55"/>
      <c r="SBX15" s="55"/>
      <c r="SBY15" s="55"/>
      <c r="SBZ15" s="55"/>
      <c r="SCA15" s="55"/>
      <c r="SCB15" s="55"/>
      <c r="SCC15" s="55"/>
      <c r="SCD15" s="55"/>
      <c r="SCE15" s="55"/>
      <c r="SCF15" s="55"/>
      <c r="SCG15" s="55"/>
      <c r="SCH15" s="55"/>
      <c r="SCI15" s="55"/>
      <c r="SCJ15" s="55"/>
      <c r="SCK15" s="55"/>
      <c r="SCL15" s="55"/>
      <c r="SCM15" s="55"/>
      <c r="SCN15" s="55"/>
      <c r="SCO15" s="55"/>
      <c r="SCP15" s="55"/>
      <c r="SCQ15" s="55"/>
      <c r="SCR15" s="55"/>
      <c r="SCS15" s="55"/>
      <c r="SCT15" s="55"/>
      <c r="SCU15" s="55"/>
      <c r="SCV15" s="55"/>
      <c r="SCW15" s="55"/>
      <c r="SCX15" s="55"/>
      <c r="SCY15" s="55"/>
      <c r="SCZ15" s="55"/>
      <c r="SDA15" s="55"/>
      <c r="SDB15" s="55"/>
      <c r="SDC15" s="55"/>
      <c r="SDD15" s="55"/>
      <c r="SDE15" s="55"/>
      <c r="SDF15" s="55"/>
      <c r="SDG15" s="55"/>
      <c r="SDH15" s="55"/>
      <c r="SDI15" s="55"/>
      <c r="SDJ15" s="55"/>
      <c r="SDK15" s="55"/>
      <c r="SDL15" s="55"/>
      <c r="SDM15" s="55"/>
      <c r="SDN15" s="55"/>
      <c r="SDO15" s="55"/>
      <c r="SDP15" s="55"/>
      <c r="SDQ15" s="55"/>
      <c r="SDR15" s="55"/>
      <c r="SDS15" s="55"/>
      <c r="SDT15" s="55"/>
      <c r="SDU15" s="55"/>
      <c r="SDV15" s="55"/>
      <c r="SDW15" s="55"/>
      <c r="SDX15" s="55"/>
      <c r="SDY15" s="55"/>
      <c r="SDZ15" s="55"/>
      <c r="SEA15" s="55"/>
      <c r="SEB15" s="55"/>
      <c r="SEC15" s="55"/>
      <c r="SED15" s="55"/>
      <c r="SEE15" s="55"/>
      <c r="SEF15" s="55"/>
      <c r="SEG15" s="55"/>
      <c r="SEH15" s="55"/>
      <c r="SEI15" s="55"/>
      <c r="SEJ15" s="55"/>
      <c r="SEK15" s="55"/>
      <c r="SEL15" s="55"/>
      <c r="SEM15" s="55"/>
      <c r="SEN15" s="55"/>
      <c r="SEO15" s="55"/>
      <c r="SEP15" s="55"/>
      <c r="SEQ15" s="55"/>
      <c r="SER15" s="55"/>
      <c r="SES15" s="55"/>
      <c r="SET15" s="55"/>
      <c r="SEU15" s="55"/>
      <c r="SEV15" s="55"/>
      <c r="SEW15" s="55"/>
      <c r="SEX15" s="55"/>
      <c r="SEY15" s="55"/>
      <c r="SEZ15" s="55"/>
      <c r="SFA15" s="55"/>
      <c r="SFB15" s="55"/>
      <c r="SFC15" s="55"/>
      <c r="SFD15" s="55"/>
      <c r="SFE15" s="55"/>
      <c r="SFF15" s="55"/>
      <c r="SFG15" s="55"/>
      <c r="SFH15" s="55"/>
      <c r="SFI15" s="55"/>
      <c r="SFJ15" s="55"/>
      <c r="SFK15" s="55"/>
      <c r="SFL15" s="55"/>
      <c r="SFM15" s="55"/>
      <c r="SFN15" s="55"/>
      <c r="SFO15" s="55"/>
      <c r="SFP15" s="55"/>
      <c r="SFQ15" s="55"/>
      <c r="SFR15" s="55"/>
      <c r="SFS15" s="55"/>
      <c r="SFT15" s="55"/>
      <c r="SFU15" s="55"/>
      <c r="SFV15" s="55"/>
      <c r="SFW15" s="55"/>
      <c r="SFX15" s="55"/>
      <c r="SFY15" s="55"/>
      <c r="SFZ15" s="55"/>
      <c r="SGA15" s="55"/>
      <c r="SGB15" s="55"/>
      <c r="SGC15" s="55"/>
      <c r="SGD15" s="55"/>
      <c r="SGE15" s="55"/>
      <c r="SGF15" s="55"/>
      <c r="SGG15" s="55"/>
      <c r="SGH15" s="55"/>
      <c r="SGI15" s="55"/>
      <c r="SGJ15" s="55"/>
      <c r="SGK15" s="55"/>
      <c r="SGL15" s="55"/>
      <c r="SGM15" s="55"/>
      <c r="SGN15" s="55"/>
      <c r="SGO15" s="55"/>
      <c r="SGP15" s="55"/>
      <c r="SGQ15" s="55"/>
      <c r="SGR15" s="55"/>
      <c r="SGS15" s="55"/>
      <c r="SGT15" s="55"/>
      <c r="SGU15" s="55"/>
      <c r="SGV15" s="55"/>
      <c r="SGW15" s="55"/>
      <c r="SGX15" s="55"/>
      <c r="SGY15" s="55"/>
      <c r="SGZ15" s="55"/>
      <c r="SHA15" s="55"/>
      <c r="SHB15" s="55"/>
      <c r="SHC15" s="55"/>
      <c r="SHD15" s="55"/>
      <c r="SHE15" s="55"/>
      <c r="SHF15" s="55"/>
      <c r="SHG15" s="55"/>
      <c r="SHH15" s="55"/>
      <c r="SHI15" s="55"/>
      <c r="SHJ15" s="55"/>
      <c r="SHK15" s="55"/>
      <c r="SHL15" s="55"/>
      <c r="SHM15" s="55"/>
      <c r="SHN15" s="55"/>
      <c r="SHO15" s="55"/>
      <c r="SHP15" s="55"/>
      <c r="SHQ15" s="55"/>
      <c r="SHR15" s="55"/>
      <c r="SHS15" s="55"/>
      <c r="SHT15" s="55"/>
      <c r="SHU15" s="55"/>
      <c r="SHV15" s="55"/>
      <c r="SHW15" s="55"/>
      <c r="SHX15" s="55"/>
      <c r="SHY15" s="55"/>
      <c r="SHZ15" s="55"/>
      <c r="SIA15" s="55"/>
      <c r="SIB15" s="55"/>
      <c r="SIC15" s="55"/>
      <c r="SID15" s="55"/>
      <c r="SIE15" s="55"/>
      <c r="SIF15" s="55"/>
      <c r="SIG15" s="55"/>
      <c r="SIH15" s="55"/>
      <c r="SII15" s="55"/>
      <c r="SIJ15" s="55"/>
      <c r="SIK15" s="55"/>
      <c r="SIL15" s="55"/>
      <c r="SIM15" s="55"/>
      <c r="SIN15" s="55"/>
      <c r="SIO15" s="55"/>
      <c r="SIP15" s="55"/>
      <c r="SIQ15" s="55"/>
      <c r="SIR15" s="55"/>
      <c r="SIS15" s="55"/>
      <c r="SIT15" s="55"/>
      <c r="SIU15" s="55"/>
      <c r="SIV15" s="55"/>
      <c r="SIW15" s="55"/>
      <c r="SIX15" s="55"/>
      <c r="SIY15" s="55"/>
      <c r="SIZ15" s="55"/>
      <c r="SJA15" s="55"/>
      <c r="SJB15" s="55"/>
      <c r="SJC15" s="55"/>
      <c r="SJD15" s="55"/>
      <c r="SJE15" s="55"/>
      <c r="SJF15" s="55"/>
      <c r="SJG15" s="55"/>
      <c r="SJH15" s="55"/>
      <c r="SJI15" s="55"/>
      <c r="SJJ15" s="55"/>
      <c r="SJK15" s="55"/>
      <c r="SJL15" s="55"/>
      <c r="SJM15" s="55"/>
      <c r="SJN15" s="55"/>
      <c r="SJO15" s="55"/>
      <c r="SJP15" s="55"/>
      <c r="SJQ15" s="55"/>
      <c r="SJR15" s="55"/>
      <c r="SJS15" s="55"/>
      <c r="SJT15" s="55"/>
      <c r="SJU15" s="55"/>
      <c r="SJV15" s="55"/>
      <c r="SJW15" s="55"/>
      <c r="SJX15" s="55"/>
      <c r="SJY15" s="55"/>
      <c r="SJZ15" s="55"/>
      <c r="SKA15" s="55"/>
      <c r="SKB15" s="55"/>
      <c r="SKC15" s="55"/>
      <c r="SKD15" s="55"/>
      <c r="SKE15" s="55"/>
      <c r="SKF15" s="55"/>
      <c r="SKG15" s="55"/>
      <c r="SKH15" s="55"/>
      <c r="SKI15" s="55"/>
      <c r="SKJ15" s="55"/>
      <c r="SKK15" s="55"/>
      <c r="SKL15" s="55"/>
      <c r="SKM15" s="55"/>
      <c r="SKN15" s="55"/>
      <c r="SKO15" s="55"/>
      <c r="SKP15" s="55"/>
      <c r="SKQ15" s="55"/>
      <c r="SKR15" s="55"/>
      <c r="SKS15" s="55"/>
      <c r="SKT15" s="55"/>
      <c r="SKU15" s="55"/>
      <c r="SKV15" s="55"/>
      <c r="SKW15" s="55"/>
      <c r="SKX15" s="55"/>
      <c r="SKY15" s="55"/>
      <c r="SKZ15" s="55"/>
      <c r="SLA15" s="55"/>
      <c r="SLB15" s="55"/>
      <c r="SLC15" s="55"/>
      <c r="SLD15" s="55"/>
      <c r="SLE15" s="55"/>
      <c r="SLF15" s="55"/>
      <c r="SLG15" s="55"/>
      <c r="SLH15" s="55"/>
      <c r="SLI15" s="55"/>
      <c r="SLJ15" s="55"/>
      <c r="SLK15" s="55"/>
      <c r="SLL15" s="55"/>
      <c r="SLM15" s="55"/>
      <c r="SLN15" s="55"/>
      <c r="SLO15" s="55"/>
      <c r="SLP15" s="55"/>
      <c r="SLQ15" s="55"/>
      <c r="SLR15" s="55"/>
      <c r="SLS15" s="55"/>
      <c r="SLT15" s="55"/>
      <c r="SLU15" s="55"/>
      <c r="SLV15" s="55"/>
      <c r="SLW15" s="55"/>
      <c r="SLX15" s="55"/>
      <c r="SLY15" s="55"/>
      <c r="SLZ15" s="55"/>
      <c r="SMA15" s="55"/>
      <c r="SMB15" s="55"/>
      <c r="SMC15" s="55"/>
      <c r="SMD15" s="55"/>
      <c r="SME15" s="55"/>
      <c r="SMF15" s="55"/>
      <c r="SMG15" s="55"/>
      <c r="SMH15" s="55"/>
      <c r="SMI15" s="55"/>
      <c r="SMJ15" s="55"/>
      <c r="SMK15" s="55"/>
      <c r="SML15" s="55"/>
      <c r="SMM15" s="55"/>
      <c r="SMN15" s="55"/>
      <c r="SMO15" s="55"/>
      <c r="SMP15" s="55"/>
      <c r="SMQ15" s="55"/>
      <c r="SMR15" s="55"/>
      <c r="SMS15" s="55"/>
      <c r="SMT15" s="55"/>
      <c r="SMU15" s="55"/>
      <c r="SMV15" s="55"/>
      <c r="SMW15" s="55"/>
      <c r="SMX15" s="55"/>
      <c r="SMY15" s="55"/>
      <c r="SMZ15" s="55"/>
      <c r="SNA15" s="55"/>
      <c r="SNB15" s="55"/>
      <c r="SNC15" s="55"/>
      <c r="SND15" s="55"/>
      <c r="SNE15" s="55"/>
      <c r="SNF15" s="55"/>
      <c r="SNG15" s="55"/>
      <c r="SNH15" s="55"/>
      <c r="SNI15" s="55"/>
      <c r="SNJ15" s="55"/>
      <c r="SNK15" s="55"/>
      <c r="SNL15" s="55"/>
      <c r="SNM15" s="55"/>
      <c r="SNN15" s="55"/>
      <c r="SNO15" s="55"/>
      <c r="SNP15" s="55"/>
      <c r="SNQ15" s="55"/>
      <c r="SNR15" s="55"/>
      <c r="SNS15" s="55"/>
      <c r="SNT15" s="55"/>
      <c r="SNU15" s="55"/>
      <c r="SNV15" s="55"/>
      <c r="SNW15" s="55"/>
      <c r="SNX15" s="55"/>
      <c r="SNY15" s="55"/>
      <c r="SNZ15" s="55"/>
      <c r="SOA15" s="55"/>
      <c r="SOB15" s="55"/>
      <c r="SOC15" s="55"/>
      <c r="SOD15" s="55"/>
      <c r="SOE15" s="55"/>
      <c r="SOF15" s="55"/>
      <c r="SOG15" s="55"/>
      <c r="SOH15" s="55"/>
      <c r="SOI15" s="55"/>
      <c r="SOJ15" s="55"/>
      <c r="SOK15" s="55"/>
      <c r="SOL15" s="55"/>
      <c r="SOM15" s="55"/>
      <c r="SON15" s="55"/>
      <c r="SOO15" s="55"/>
      <c r="SOP15" s="55"/>
      <c r="SOQ15" s="55"/>
      <c r="SOR15" s="55"/>
      <c r="SOS15" s="55"/>
      <c r="SOT15" s="55"/>
      <c r="SOU15" s="55"/>
      <c r="SOV15" s="55"/>
      <c r="SOW15" s="55"/>
      <c r="SOX15" s="55"/>
      <c r="SOY15" s="55"/>
      <c r="SOZ15" s="55"/>
      <c r="SPA15" s="55"/>
      <c r="SPB15" s="55"/>
      <c r="SPC15" s="55"/>
      <c r="SPD15" s="55"/>
      <c r="SPE15" s="55"/>
      <c r="SPF15" s="55"/>
      <c r="SPG15" s="55"/>
      <c r="SPH15" s="55"/>
      <c r="SPI15" s="55"/>
      <c r="SPJ15" s="55"/>
      <c r="SPK15" s="55"/>
      <c r="SPL15" s="55"/>
      <c r="SPM15" s="55"/>
      <c r="SPN15" s="55"/>
      <c r="SPO15" s="55"/>
      <c r="SPP15" s="55"/>
      <c r="SPQ15" s="55"/>
      <c r="SPR15" s="55"/>
      <c r="SPS15" s="55"/>
      <c r="SPT15" s="55"/>
      <c r="SPU15" s="55"/>
      <c r="SPV15" s="55"/>
      <c r="SPW15" s="55"/>
      <c r="SPX15" s="55"/>
      <c r="SPY15" s="55"/>
      <c r="SPZ15" s="55"/>
      <c r="SQA15" s="55"/>
      <c r="SQB15" s="55"/>
      <c r="SQC15" s="55"/>
      <c r="SQD15" s="55"/>
      <c r="SQE15" s="55"/>
      <c r="SQF15" s="55"/>
      <c r="SQG15" s="55"/>
      <c r="SQH15" s="55"/>
      <c r="SQI15" s="55"/>
      <c r="SQJ15" s="55"/>
      <c r="SQK15" s="55"/>
      <c r="SQL15" s="55"/>
      <c r="SQM15" s="55"/>
      <c r="SQN15" s="55"/>
      <c r="SQO15" s="55"/>
      <c r="SQP15" s="55"/>
      <c r="SQQ15" s="55"/>
      <c r="SQR15" s="55"/>
      <c r="SQS15" s="55"/>
      <c r="SQT15" s="55"/>
      <c r="SQU15" s="55"/>
      <c r="SQV15" s="55"/>
      <c r="SQW15" s="55"/>
      <c r="SQX15" s="55"/>
      <c r="SQY15" s="55"/>
      <c r="SQZ15" s="55"/>
      <c r="SRA15" s="55"/>
      <c r="SRB15" s="55"/>
      <c r="SRC15" s="55"/>
      <c r="SRD15" s="55"/>
      <c r="SRE15" s="55"/>
      <c r="SRF15" s="55"/>
      <c r="SRG15" s="55"/>
      <c r="SRH15" s="55"/>
      <c r="SRI15" s="55"/>
      <c r="SRJ15" s="55"/>
      <c r="SRK15" s="55"/>
      <c r="SRL15" s="55"/>
      <c r="SRM15" s="55"/>
      <c r="SRN15" s="55"/>
      <c r="SRO15" s="55"/>
      <c r="SRP15" s="55"/>
      <c r="SRQ15" s="55"/>
      <c r="SRR15" s="55"/>
      <c r="SRS15" s="55"/>
      <c r="SRT15" s="55"/>
      <c r="SRU15" s="55"/>
      <c r="SRV15" s="55"/>
      <c r="SRW15" s="55"/>
      <c r="SRX15" s="55"/>
      <c r="SRY15" s="55"/>
      <c r="SRZ15" s="55"/>
      <c r="SSA15" s="55"/>
      <c r="SSB15" s="55"/>
      <c r="SSC15" s="55"/>
      <c r="SSD15" s="55"/>
      <c r="SSE15" s="55"/>
      <c r="SSF15" s="55"/>
      <c r="SSG15" s="55"/>
      <c r="SSH15" s="55"/>
      <c r="SSI15" s="55"/>
      <c r="SSJ15" s="55"/>
      <c r="SSK15" s="55"/>
      <c r="SSL15" s="55"/>
      <c r="SSM15" s="55"/>
      <c r="SSN15" s="55"/>
      <c r="SSO15" s="55"/>
      <c r="SSP15" s="55"/>
      <c r="SSQ15" s="55"/>
      <c r="SSR15" s="55"/>
      <c r="SSS15" s="55"/>
      <c r="SST15" s="55"/>
      <c r="SSU15" s="55"/>
      <c r="SSV15" s="55"/>
      <c r="SSW15" s="55"/>
      <c r="SSX15" s="55"/>
      <c r="SSY15" s="55"/>
      <c r="SSZ15" s="55"/>
      <c r="STA15" s="55"/>
      <c r="STB15" s="55"/>
      <c r="STC15" s="55"/>
      <c r="STD15" s="55"/>
      <c r="STE15" s="55"/>
      <c r="STF15" s="55"/>
      <c r="STG15" s="55"/>
      <c r="STH15" s="55"/>
      <c r="STI15" s="55"/>
      <c r="STJ15" s="55"/>
      <c r="STK15" s="55"/>
      <c r="STL15" s="55"/>
      <c r="STM15" s="55"/>
      <c r="STN15" s="55"/>
      <c r="STO15" s="55"/>
      <c r="STP15" s="55"/>
      <c r="STQ15" s="55"/>
      <c r="STR15" s="55"/>
      <c r="STS15" s="55"/>
      <c r="STT15" s="55"/>
      <c r="STU15" s="55"/>
      <c r="STV15" s="55"/>
      <c r="STW15" s="55"/>
      <c r="STX15" s="55"/>
      <c r="STY15" s="55"/>
      <c r="STZ15" s="55"/>
      <c r="SUA15" s="55"/>
      <c r="SUB15" s="55"/>
      <c r="SUC15" s="55"/>
      <c r="SUD15" s="55"/>
      <c r="SUE15" s="55"/>
      <c r="SUF15" s="55"/>
      <c r="SUG15" s="55"/>
      <c r="SUH15" s="55"/>
      <c r="SUI15" s="55"/>
      <c r="SUJ15" s="55"/>
      <c r="SUK15" s="55"/>
      <c r="SUL15" s="55"/>
      <c r="SUM15" s="55"/>
      <c r="SUN15" s="55"/>
      <c r="SUO15" s="55"/>
      <c r="SUP15" s="55"/>
      <c r="SUQ15" s="55"/>
      <c r="SUR15" s="55"/>
      <c r="SUS15" s="55"/>
      <c r="SUT15" s="55"/>
      <c r="SUU15" s="55"/>
      <c r="SUV15" s="55"/>
      <c r="SUW15" s="55"/>
      <c r="SUX15" s="55"/>
      <c r="SUY15" s="55"/>
      <c r="SUZ15" s="55"/>
      <c r="SVA15" s="55"/>
      <c r="SVB15" s="55"/>
      <c r="SVC15" s="55"/>
      <c r="SVD15" s="55"/>
      <c r="SVE15" s="55"/>
      <c r="SVF15" s="55"/>
      <c r="SVG15" s="55"/>
      <c r="SVH15" s="55"/>
      <c r="SVI15" s="55"/>
      <c r="SVJ15" s="55"/>
      <c r="SVK15" s="55"/>
      <c r="SVL15" s="55"/>
      <c r="SVM15" s="55"/>
      <c r="SVN15" s="55"/>
      <c r="SVO15" s="55"/>
      <c r="SVP15" s="55"/>
      <c r="SVQ15" s="55"/>
      <c r="SVR15" s="55"/>
      <c r="SVS15" s="55"/>
      <c r="SVT15" s="55"/>
      <c r="SVU15" s="55"/>
      <c r="SVV15" s="55"/>
      <c r="SVW15" s="55"/>
      <c r="SVX15" s="55"/>
      <c r="SVY15" s="55"/>
      <c r="SVZ15" s="55"/>
      <c r="SWA15" s="55"/>
      <c r="SWB15" s="55"/>
      <c r="SWC15" s="55"/>
      <c r="SWD15" s="55"/>
      <c r="SWE15" s="55"/>
      <c r="SWF15" s="55"/>
      <c r="SWG15" s="55"/>
      <c r="SWH15" s="55"/>
      <c r="SWI15" s="55"/>
      <c r="SWJ15" s="55"/>
      <c r="SWK15" s="55"/>
      <c r="SWL15" s="55"/>
      <c r="SWM15" s="55"/>
      <c r="SWN15" s="55"/>
      <c r="SWO15" s="55"/>
      <c r="SWP15" s="55"/>
      <c r="SWQ15" s="55"/>
      <c r="SWR15" s="55"/>
      <c r="SWS15" s="55"/>
      <c r="SWT15" s="55"/>
      <c r="SWU15" s="55"/>
      <c r="SWV15" s="55"/>
      <c r="SWW15" s="55"/>
      <c r="SWX15" s="55"/>
      <c r="SWY15" s="55"/>
      <c r="SWZ15" s="55"/>
      <c r="SXA15" s="55"/>
      <c r="SXB15" s="55"/>
      <c r="SXC15" s="55"/>
      <c r="SXD15" s="55"/>
      <c r="SXE15" s="55"/>
      <c r="SXF15" s="55"/>
      <c r="SXG15" s="55"/>
      <c r="SXH15" s="55"/>
      <c r="SXI15" s="55"/>
      <c r="SXJ15" s="55"/>
      <c r="SXK15" s="55"/>
      <c r="SXL15" s="55"/>
      <c r="SXM15" s="55"/>
      <c r="SXN15" s="55"/>
      <c r="SXO15" s="55"/>
      <c r="SXP15" s="55"/>
      <c r="SXQ15" s="55"/>
      <c r="SXR15" s="55"/>
      <c r="SXS15" s="55"/>
      <c r="SXT15" s="55"/>
      <c r="SXU15" s="55"/>
      <c r="SXV15" s="55"/>
      <c r="SXW15" s="55"/>
      <c r="SXX15" s="55"/>
      <c r="SXY15" s="55"/>
      <c r="SXZ15" s="55"/>
      <c r="SYA15" s="55"/>
      <c r="SYB15" s="55"/>
      <c r="SYC15" s="55"/>
      <c r="SYD15" s="55"/>
      <c r="SYE15" s="55"/>
      <c r="SYF15" s="55"/>
      <c r="SYG15" s="55"/>
      <c r="SYH15" s="55"/>
      <c r="SYI15" s="55"/>
      <c r="SYJ15" s="55"/>
      <c r="SYK15" s="55"/>
      <c r="SYL15" s="55"/>
      <c r="SYM15" s="55"/>
      <c r="SYN15" s="55"/>
      <c r="SYO15" s="55"/>
      <c r="SYP15" s="55"/>
      <c r="SYQ15" s="55"/>
      <c r="SYR15" s="55"/>
      <c r="SYS15" s="55"/>
      <c r="SYT15" s="55"/>
      <c r="SYU15" s="55"/>
      <c r="SYV15" s="55"/>
      <c r="SYW15" s="55"/>
      <c r="SYX15" s="55"/>
      <c r="SYY15" s="55"/>
      <c r="SYZ15" s="55"/>
      <c r="SZA15" s="55"/>
      <c r="SZB15" s="55"/>
      <c r="SZC15" s="55"/>
      <c r="SZD15" s="55"/>
      <c r="SZE15" s="55"/>
      <c r="SZF15" s="55"/>
      <c r="SZG15" s="55"/>
      <c r="SZH15" s="55"/>
      <c r="SZI15" s="55"/>
      <c r="SZJ15" s="55"/>
      <c r="SZK15" s="55"/>
      <c r="SZL15" s="55"/>
      <c r="SZM15" s="55"/>
      <c r="SZN15" s="55"/>
      <c r="SZO15" s="55"/>
      <c r="SZP15" s="55"/>
      <c r="SZQ15" s="55"/>
      <c r="SZR15" s="55"/>
      <c r="SZS15" s="55"/>
      <c r="SZT15" s="55"/>
      <c r="SZU15" s="55"/>
      <c r="SZV15" s="55"/>
      <c r="SZW15" s="55"/>
      <c r="SZX15" s="55"/>
      <c r="SZY15" s="55"/>
      <c r="SZZ15" s="55"/>
      <c r="TAA15" s="55"/>
      <c r="TAB15" s="55"/>
      <c r="TAC15" s="55"/>
      <c r="TAD15" s="55"/>
      <c r="TAE15" s="55"/>
      <c r="TAF15" s="55"/>
      <c r="TAG15" s="55"/>
      <c r="TAH15" s="55"/>
      <c r="TAI15" s="55"/>
      <c r="TAJ15" s="55"/>
      <c r="TAK15" s="55"/>
      <c r="TAL15" s="55"/>
      <c r="TAM15" s="55"/>
      <c r="TAN15" s="55"/>
      <c r="TAO15" s="55"/>
      <c r="TAP15" s="55"/>
      <c r="TAQ15" s="55"/>
      <c r="TAR15" s="55"/>
      <c r="TAS15" s="55"/>
      <c r="TAT15" s="55"/>
      <c r="TAU15" s="55"/>
      <c r="TAV15" s="55"/>
      <c r="TAW15" s="55"/>
      <c r="TAX15" s="55"/>
      <c r="TAY15" s="55"/>
      <c r="TAZ15" s="55"/>
      <c r="TBA15" s="55"/>
      <c r="TBB15" s="55"/>
      <c r="TBC15" s="55"/>
      <c r="TBD15" s="55"/>
      <c r="TBE15" s="55"/>
      <c r="TBF15" s="55"/>
      <c r="TBG15" s="55"/>
      <c r="TBH15" s="55"/>
      <c r="TBI15" s="55"/>
      <c r="TBJ15" s="55"/>
      <c r="TBK15" s="55"/>
      <c r="TBL15" s="55"/>
      <c r="TBM15" s="55"/>
      <c r="TBN15" s="55"/>
      <c r="TBO15" s="55"/>
      <c r="TBP15" s="55"/>
      <c r="TBQ15" s="55"/>
      <c r="TBR15" s="55"/>
      <c r="TBS15" s="55"/>
      <c r="TBT15" s="55"/>
      <c r="TBU15" s="55"/>
      <c r="TBV15" s="55"/>
      <c r="TBW15" s="55"/>
      <c r="TBX15" s="55"/>
      <c r="TBY15" s="55"/>
      <c r="TBZ15" s="55"/>
      <c r="TCA15" s="55"/>
      <c r="TCB15" s="55"/>
      <c r="TCC15" s="55"/>
      <c r="TCD15" s="55"/>
      <c r="TCE15" s="55"/>
      <c r="TCF15" s="55"/>
      <c r="TCG15" s="55"/>
      <c r="TCH15" s="55"/>
      <c r="TCI15" s="55"/>
      <c r="TCJ15" s="55"/>
      <c r="TCK15" s="55"/>
      <c r="TCL15" s="55"/>
      <c r="TCM15" s="55"/>
      <c r="TCN15" s="55"/>
      <c r="TCO15" s="55"/>
      <c r="TCP15" s="55"/>
      <c r="TCQ15" s="55"/>
      <c r="TCR15" s="55"/>
      <c r="TCS15" s="55"/>
      <c r="TCT15" s="55"/>
      <c r="TCU15" s="55"/>
      <c r="TCV15" s="55"/>
      <c r="TCW15" s="55"/>
      <c r="TCX15" s="55"/>
      <c r="TCY15" s="55"/>
      <c r="TCZ15" s="55"/>
      <c r="TDA15" s="55"/>
      <c r="TDB15" s="55"/>
      <c r="TDC15" s="55"/>
      <c r="TDD15" s="55"/>
      <c r="TDE15" s="55"/>
      <c r="TDF15" s="55"/>
      <c r="TDG15" s="55"/>
      <c r="TDH15" s="55"/>
      <c r="TDI15" s="55"/>
      <c r="TDJ15" s="55"/>
      <c r="TDK15" s="55"/>
      <c r="TDL15" s="55"/>
      <c r="TDM15" s="55"/>
      <c r="TDN15" s="55"/>
      <c r="TDO15" s="55"/>
      <c r="TDP15" s="55"/>
      <c r="TDQ15" s="55"/>
      <c r="TDR15" s="55"/>
      <c r="TDS15" s="55"/>
      <c r="TDT15" s="55"/>
      <c r="TDU15" s="55"/>
      <c r="TDV15" s="55"/>
      <c r="TDW15" s="55"/>
      <c r="TDX15" s="55"/>
      <c r="TDY15" s="55"/>
      <c r="TDZ15" s="55"/>
      <c r="TEA15" s="55"/>
      <c r="TEB15" s="55"/>
      <c r="TEC15" s="55"/>
      <c r="TED15" s="55"/>
      <c r="TEE15" s="55"/>
      <c r="TEF15" s="55"/>
      <c r="TEG15" s="55"/>
      <c r="TEH15" s="55"/>
      <c r="TEI15" s="55"/>
      <c r="TEJ15" s="55"/>
      <c r="TEK15" s="55"/>
      <c r="TEL15" s="55"/>
      <c r="TEM15" s="55"/>
      <c r="TEN15" s="55"/>
      <c r="TEO15" s="55"/>
      <c r="TEP15" s="55"/>
      <c r="TEQ15" s="55"/>
      <c r="TER15" s="55"/>
      <c r="TES15" s="55"/>
      <c r="TET15" s="55"/>
      <c r="TEU15" s="55"/>
      <c r="TEV15" s="55"/>
      <c r="TEW15" s="55"/>
      <c r="TEX15" s="55"/>
      <c r="TEY15" s="55"/>
      <c r="TEZ15" s="55"/>
      <c r="TFA15" s="55"/>
      <c r="TFB15" s="55"/>
      <c r="TFC15" s="55"/>
      <c r="TFD15" s="55"/>
      <c r="TFE15" s="55"/>
      <c r="TFF15" s="55"/>
      <c r="TFG15" s="55"/>
      <c r="TFH15" s="55"/>
      <c r="TFI15" s="55"/>
      <c r="TFJ15" s="55"/>
      <c r="TFK15" s="55"/>
      <c r="TFL15" s="55"/>
      <c r="TFM15" s="55"/>
      <c r="TFN15" s="55"/>
      <c r="TFO15" s="55"/>
      <c r="TFP15" s="55"/>
      <c r="TFQ15" s="55"/>
      <c r="TFR15" s="55"/>
      <c r="TFS15" s="55"/>
      <c r="TFT15" s="55"/>
      <c r="TFU15" s="55"/>
      <c r="TFV15" s="55"/>
      <c r="TFW15" s="55"/>
      <c r="TFX15" s="55"/>
      <c r="TFY15" s="55"/>
      <c r="TFZ15" s="55"/>
      <c r="TGA15" s="55"/>
      <c r="TGB15" s="55"/>
      <c r="TGC15" s="55"/>
      <c r="TGD15" s="55"/>
      <c r="TGE15" s="55"/>
      <c r="TGF15" s="55"/>
      <c r="TGG15" s="55"/>
      <c r="TGH15" s="55"/>
      <c r="TGI15" s="55"/>
      <c r="TGJ15" s="55"/>
      <c r="TGK15" s="55"/>
      <c r="TGL15" s="55"/>
      <c r="TGM15" s="55"/>
      <c r="TGN15" s="55"/>
      <c r="TGO15" s="55"/>
      <c r="TGP15" s="55"/>
      <c r="TGQ15" s="55"/>
      <c r="TGR15" s="55"/>
      <c r="TGS15" s="55"/>
      <c r="TGT15" s="55"/>
      <c r="TGU15" s="55"/>
      <c r="TGV15" s="55"/>
      <c r="TGW15" s="55"/>
      <c r="TGX15" s="55"/>
      <c r="TGY15" s="55"/>
      <c r="TGZ15" s="55"/>
      <c r="THA15" s="55"/>
      <c r="THB15" s="55"/>
      <c r="THC15" s="55"/>
      <c r="THD15" s="55"/>
      <c r="THE15" s="55"/>
      <c r="THF15" s="55"/>
      <c r="THG15" s="55"/>
      <c r="THH15" s="55"/>
      <c r="THI15" s="55"/>
      <c r="THJ15" s="55"/>
      <c r="THK15" s="55"/>
      <c r="THL15" s="55"/>
      <c r="THM15" s="55"/>
      <c r="THN15" s="55"/>
      <c r="THO15" s="55"/>
      <c r="THP15" s="55"/>
      <c r="THQ15" s="55"/>
      <c r="THR15" s="55"/>
      <c r="THS15" s="55"/>
      <c r="THT15" s="55"/>
      <c r="THU15" s="55"/>
      <c r="THV15" s="55"/>
      <c r="THW15" s="55"/>
      <c r="THX15" s="55"/>
      <c r="THY15" s="55"/>
      <c r="THZ15" s="55"/>
      <c r="TIA15" s="55"/>
      <c r="TIB15" s="55"/>
      <c r="TIC15" s="55"/>
      <c r="TID15" s="55"/>
      <c r="TIE15" s="55"/>
      <c r="TIF15" s="55"/>
      <c r="TIG15" s="55"/>
      <c r="TIH15" s="55"/>
      <c r="TII15" s="55"/>
      <c r="TIJ15" s="55"/>
      <c r="TIK15" s="55"/>
      <c r="TIL15" s="55"/>
      <c r="TIM15" s="55"/>
      <c r="TIN15" s="55"/>
      <c r="TIO15" s="55"/>
      <c r="TIP15" s="55"/>
      <c r="TIQ15" s="55"/>
      <c r="TIR15" s="55"/>
      <c r="TIS15" s="55"/>
      <c r="TIT15" s="55"/>
      <c r="TIU15" s="55"/>
      <c r="TIV15" s="55"/>
      <c r="TIW15" s="55"/>
      <c r="TIX15" s="55"/>
      <c r="TIY15" s="55"/>
      <c r="TIZ15" s="55"/>
      <c r="TJA15" s="55"/>
      <c r="TJB15" s="55"/>
      <c r="TJC15" s="55"/>
      <c r="TJD15" s="55"/>
      <c r="TJE15" s="55"/>
      <c r="TJF15" s="55"/>
      <c r="TJG15" s="55"/>
      <c r="TJH15" s="55"/>
      <c r="TJI15" s="55"/>
      <c r="TJJ15" s="55"/>
      <c r="TJK15" s="55"/>
      <c r="TJL15" s="55"/>
      <c r="TJM15" s="55"/>
      <c r="TJN15" s="55"/>
      <c r="TJO15" s="55"/>
      <c r="TJP15" s="55"/>
      <c r="TJQ15" s="55"/>
      <c r="TJR15" s="55"/>
      <c r="TJS15" s="55"/>
      <c r="TJT15" s="55"/>
      <c r="TJU15" s="55"/>
      <c r="TJV15" s="55"/>
      <c r="TJW15" s="55"/>
      <c r="TJX15" s="55"/>
      <c r="TJY15" s="55"/>
      <c r="TJZ15" s="55"/>
      <c r="TKA15" s="55"/>
      <c r="TKB15" s="55"/>
      <c r="TKC15" s="55"/>
      <c r="TKD15" s="55"/>
      <c r="TKE15" s="55"/>
      <c r="TKF15" s="55"/>
      <c r="TKG15" s="55"/>
      <c r="TKH15" s="55"/>
      <c r="TKI15" s="55"/>
      <c r="TKJ15" s="55"/>
      <c r="TKK15" s="55"/>
      <c r="TKL15" s="55"/>
      <c r="TKM15" s="55"/>
      <c r="TKN15" s="55"/>
      <c r="TKO15" s="55"/>
      <c r="TKP15" s="55"/>
      <c r="TKQ15" s="55"/>
      <c r="TKR15" s="55"/>
      <c r="TKS15" s="55"/>
      <c r="TKT15" s="55"/>
      <c r="TKU15" s="55"/>
      <c r="TKV15" s="55"/>
      <c r="TKW15" s="55"/>
      <c r="TKX15" s="55"/>
      <c r="TKY15" s="55"/>
      <c r="TKZ15" s="55"/>
      <c r="TLA15" s="55"/>
      <c r="TLB15" s="55"/>
      <c r="TLC15" s="55"/>
      <c r="TLD15" s="55"/>
      <c r="TLE15" s="55"/>
      <c r="TLF15" s="55"/>
      <c r="TLG15" s="55"/>
      <c r="TLH15" s="55"/>
      <c r="TLI15" s="55"/>
      <c r="TLJ15" s="55"/>
      <c r="TLK15" s="55"/>
      <c r="TLL15" s="55"/>
      <c r="TLM15" s="55"/>
      <c r="TLN15" s="55"/>
      <c r="TLO15" s="55"/>
      <c r="TLP15" s="55"/>
      <c r="TLQ15" s="55"/>
      <c r="TLR15" s="55"/>
      <c r="TLS15" s="55"/>
      <c r="TLT15" s="55"/>
      <c r="TLU15" s="55"/>
      <c r="TLV15" s="55"/>
      <c r="TLW15" s="55"/>
      <c r="TLX15" s="55"/>
      <c r="TLY15" s="55"/>
      <c r="TLZ15" s="55"/>
      <c r="TMA15" s="55"/>
      <c r="TMB15" s="55"/>
      <c r="TMC15" s="55"/>
      <c r="TMD15" s="55"/>
      <c r="TME15" s="55"/>
      <c r="TMF15" s="55"/>
      <c r="TMG15" s="55"/>
      <c r="TMH15" s="55"/>
      <c r="TMI15" s="55"/>
      <c r="TMJ15" s="55"/>
      <c r="TMK15" s="55"/>
      <c r="TML15" s="55"/>
      <c r="TMM15" s="55"/>
      <c r="TMN15" s="55"/>
      <c r="TMO15" s="55"/>
      <c r="TMP15" s="55"/>
      <c r="TMQ15" s="55"/>
      <c r="TMR15" s="55"/>
      <c r="TMS15" s="55"/>
      <c r="TMT15" s="55"/>
      <c r="TMU15" s="55"/>
      <c r="TMV15" s="55"/>
      <c r="TMW15" s="55"/>
      <c r="TMX15" s="55"/>
      <c r="TMY15" s="55"/>
      <c r="TMZ15" s="55"/>
      <c r="TNA15" s="55"/>
      <c r="TNB15" s="55"/>
      <c r="TNC15" s="55"/>
      <c r="TND15" s="55"/>
      <c r="TNE15" s="55"/>
      <c r="TNF15" s="55"/>
      <c r="TNG15" s="55"/>
      <c r="TNH15" s="55"/>
      <c r="TNI15" s="55"/>
      <c r="TNJ15" s="55"/>
      <c r="TNK15" s="55"/>
      <c r="TNL15" s="55"/>
      <c r="TNM15" s="55"/>
      <c r="TNN15" s="55"/>
      <c r="TNO15" s="55"/>
      <c r="TNP15" s="55"/>
      <c r="TNQ15" s="55"/>
      <c r="TNR15" s="55"/>
      <c r="TNS15" s="55"/>
      <c r="TNT15" s="55"/>
      <c r="TNU15" s="55"/>
      <c r="TNV15" s="55"/>
      <c r="TNW15" s="55"/>
      <c r="TNX15" s="55"/>
      <c r="TNY15" s="55"/>
      <c r="TNZ15" s="55"/>
      <c r="TOA15" s="55"/>
      <c r="TOB15" s="55"/>
      <c r="TOC15" s="55"/>
      <c r="TOD15" s="55"/>
      <c r="TOE15" s="55"/>
      <c r="TOF15" s="55"/>
      <c r="TOG15" s="55"/>
      <c r="TOH15" s="55"/>
      <c r="TOI15" s="55"/>
      <c r="TOJ15" s="55"/>
      <c r="TOK15" s="55"/>
      <c r="TOL15" s="55"/>
      <c r="TOM15" s="55"/>
      <c r="TON15" s="55"/>
      <c r="TOO15" s="55"/>
      <c r="TOP15" s="55"/>
      <c r="TOQ15" s="55"/>
      <c r="TOR15" s="55"/>
      <c r="TOS15" s="55"/>
      <c r="TOT15" s="55"/>
      <c r="TOU15" s="55"/>
      <c r="TOV15" s="55"/>
      <c r="TOW15" s="55"/>
      <c r="TOX15" s="55"/>
      <c r="TOY15" s="55"/>
      <c r="TOZ15" s="55"/>
      <c r="TPA15" s="55"/>
      <c r="TPB15" s="55"/>
      <c r="TPC15" s="55"/>
      <c r="TPD15" s="55"/>
      <c r="TPE15" s="55"/>
      <c r="TPF15" s="55"/>
      <c r="TPG15" s="55"/>
      <c r="TPH15" s="55"/>
      <c r="TPI15" s="55"/>
      <c r="TPJ15" s="55"/>
      <c r="TPK15" s="55"/>
      <c r="TPL15" s="55"/>
      <c r="TPM15" s="55"/>
      <c r="TPN15" s="55"/>
      <c r="TPO15" s="55"/>
      <c r="TPP15" s="55"/>
      <c r="TPQ15" s="55"/>
      <c r="TPR15" s="55"/>
      <c r="TPS15" s="55"/>
      <c r="TPT15" s="55"/>
      <c r="TPU15" s="55"/>
      <c r="TPV15" s="55"/>
      <c r="TPW15" s="55"/>
      <c r="TPX15" s="55"/>
      <c r="TPY15" s="55"/>
      <c r="TPZ15" s="55"/>
      <c r="TQA15" s="55"/>
      <c r="TQB15" s="55"/>
      <c r="TQC15" s="55"/>
      <c r="TQD15" s="55"/>
      <c r="TQE15" s="55"/>
      <c r="TQF15" s="55"/>
      <c r="TQG15" s="55"/>
      <c r="TQH15" s="55"/>
      <c r="TQI15" s="55"/>
      <c r="TQJ15" s="55"/>
      <c r="TQK15" s="55"/>
      <c r="TQL15" s="55"/>
      <c r="TQM15" s="55"/>
      <c r="TQN15" s="55"/>
      <c r="TQO15" s="55"/>
      <c r="TQP15" s="55"/>
      <c r="TQQ15" s="55"/>
      <c r="TQR15" s="55"/>
      <c r="TQS15" s="55"/>
      <c r="TQT15" s="55"/>
      <c r="TQU15" s="55"/>
      <c r="TQV15" s="55"/>
      <c r="TQW15" s="55"/>
      <c r="TQX15" s="55"/>
      <c r="TQY15" s="55"/>
      <c r="TQZ15" s="55"/>
      <c r="TRA15" s="55"/>
      <c r="TRB15" s="55"/>
      <c r="TRC15" s="55"/>
      <c r="TRD15" s="55"/>
      <c r="TRE15" s="55"/>
      <c r="TRF15" s="55"/>
      <c r="TRG15" s="55"/>
      <c r="TRH15" s="55"/>
      <c r="TRI15" s="55"/>
      <c r="TRJ15" s="55"/>
      <c r="TRK15" s="55"/>
      <c r="TRL15" s="55"/>
      <c r="TRM15" s="55"/>
      <c r="TRN15" s="55"/>
      <c r="TRO15" s="55"/>
      <c r="TRP15" s="55"/>
      <c r="TRQ15" s="55"/>
      <c r="TRR15" s="55"/>
      <c r="TRS15" s="55"/>
      <c r="TRT15" s="55"/>
      <c r="TRU15" s="55"/>
      <c r="TRV15" s="55"/>
      <c r="TRW15" s="55"/>
      <c r="TRX15" s="55"/>
      <c r="TRY15" s="55"/>
      <c r="TRZ15" s="55"/>
      <c r="TSA15" s="55"/>
      <c r="TSB15" s="55"/>
      <c r="TSC15" s="55"/>
      <c r="TSD15" s="55"/>
      <c r="TSE15" s="55"/>
      <c r="TSF15" s="55"/>
      <c r="TSG15" s="55"/>
      <c r="TSH15" s="55"/>
      <c r="TSI15" s="55"/>
      <c r="TSJ15" s="55"/>
      <c r="TSK15" s="55"/>
      <c r="TSL15" s="55"/>
      <c r="TSM15" s="55"/>
      <c r="TSN15" s="55"/>
      <c r="TSO15" s="55"/>
      <c r="TSP15" s="55"/>
      <c r="TSQ15" s="55"/>
      <c r="TSR15" s="55"/>
      <c r="TSS15" s="55"/>
      <c r="TST15" s="55"/>
      <c r="TSU15" s="55"/>
      <c r="TSV15" s="55"/>
      <c r="TSW15" s="55"/>
      <c r="TSX15" s="55"/>
      <c r="TSY15" s="55"/>
      <c r="TSZ15" s="55"/>
      <c r="TTA15" s="55"/>
      <c r="TTB15" s="55"/>
      <c r="TTC15" s="55"/>
      <c r="TTD15" s="55"/>
      <c r="TTE15" s="55"/>
      <c r="TTF15" s="55"/>
      <c r="TTG15" s="55"/>
      <c r="TTH15" s="55"/>
      <c r="TTI15" s="55"/>
      <c r="TTJ15" s="55"/>
      <c r="TTK15" s="55"/>
      <c r="TTL15" s="55"/>
      <c r="TTM15" s="55"/>
      <c r="TTN15" s="55"/>
      <c r="TTO15" s="55"/>
      <c r="TTP15" s="55"/>
      <c r="TTQ15" s="55"/>
      <c r="TTR15" s="55"/>
      <c r="TTS15" s="55"/>
      <c r="TTT15" s="55"/>
      <c r="TTU15" s="55"/>
      <c r="TTV15" s="55"/>
      <c r="TTW15" s="55"/>
      <c r="TTX15" s="55"/>
      <c r="TTY15" s="55"/>
      <c r="TTZ15" s="55"/>
      <c r="TUA15" s="55"/>
      <c r="TUB15" s="55"/>
      <c r="TUC15" s="55"/>
      <c r="TUD15" s="55"/>
      <c r="TUE15" s="55"/>
      <c r="TUF15" s="55"/>
      <c r="TUG15" s="55"/>
      <c r="TUH15" s="55"/>
      <c r="TUI15" s="55"/>
      <c r="TUJ15" s="55"/>
      <c r="TUK15" s="55"/>
      <c r="TUL15" s="55"/>
      <c r="TUM15" s="55"/>
      <c r="TUN15" s="55"/>
      <c r="TUO15" s="55"/>
      <c r="TUP15" s="55"/>
      <c r="TUQ15" s="55"/>
      <c r="TUR15" s="55"/>
      <c r="TUS15" s="55"/>
      <c r="TUT15" s="55"/>
      <c r="TUU15" s="55"/>
      <c r="TUV15" s="55"/>
      <c r="TUW15" s="55"/>
      <c r="TUX15" s="55"/>
      <c r="TUY15" s="55"/>
      <c r="TUZ15" s="55"/>
      <c r="TVA15" s="55"/>
      <c r="TVB15" s="55"/>
      <c r="TVC15" s="55"/>
      <c r="TVD15" s="55"/>
      <c r="TVE15" s="55"/>
      <c r="TVF15" s="55"/>
      <c r="TVG15" s="55"/>
      <c r="TVH15" s="55"/>
      <c r="TVI15" s="55"/>
      <c r="TVJ15" s="55"/>
      <c r="TVK15" s="55"/>
      <c r="TVL15" s="55"/>
      <c r="TVM15" s="55"/>
      <c r="TVN15" s="55"/>
      <c r="TVO15" s="55"/>
      <c r="TVP15" s="55"/>
      <c r="TVQ15" s="55"/>
      <c r="TVR15" s="55"/>
      <c r="TVS15" s="55"/>
      <c r="TVT15" s="55"/>
      <c r="TVU15" s="55"/>
      <c r="TVV15" s="55"/>
      <c r="TVW15" s="55"/>
      <c r="TVX15" s="55"/>
      <c r="TVY15" s="55"/>
      <c r="TVZ15" s="55"/>
      <c r="TWA15" s="55"/>
      <c r="TWB15" s="55"/>
      <c r="TWC15" s="55"/>
      <c r="TWD15" s="55"/>
      <c r="TWE15" s="55"/>
      <c r="TWF15" s="55"/>
      <c r="TWG15" s="55"/>
      <c r="TWH15" s="55"/>
      <c r="TWI15" s="55"/>
      <c r="TWJ15" s="55"/>
      <c r="TWK15" s="55"/>
      <c r="TWL15" s="55"/>
      <c r="TWM15" s="55"/>
      <c r="TWN15" s="55"/>
      <c r="TWO15" s="55"/>
      <c r="TWP15" s="55"/>
      <c r="TWQ15" s="55"/>
      <c r="TWR15" s="55"/>
      <c r="TWS15" s="55"/>
      <c r="TWT15" s="55"/>
      <c r="TWU15" s="55"/>
      <c r="TWV15" s="55"/>
      <c r="TWW15" s="55"/>
      <c r="TWX15" s="55"/>
      <c r="TWY15" s="55"/>
      <c r="TWZ15" s="55"/>
      <c r="TXA15" s="55"/>
      <c r="TXB15" s="55"/>
      <c r="TXC15" s="55"/>
      <c r="TXD15" s="55"/>
      <c r="TXE15" s="55"/>
      <c r="TXF15" s="55"/>
      <c r="TXG15" s="55"/>
      <c r="TXH15" s="55"/>
      <c r="TXI15" s="55"/>
      <c r="TXJ15" s="55"/>
      <c r="TXK15" s="55"/>
      <c r="TXL15" s="55"/>
      <c r="TXM15" s="55"/>
      <c r="TXN15" s="55"/>
      <c r="TXO15" s="55"/>
      <c r="TXP15" s="55"/>
      <c r="TXQ15" s="55"/>
      <c r="TXR15" s="55"/>
      <c r="TXS15" s="55"/>
      <c r="TXT15" s="55"/>
      <c r="TXU15" s="55"/>
      <c r="TXV15" s="55"/>
      <c r="TXW15" s="55"/>
      <c r="TXX15" s="55"/>
      <c r="TXY15" s="55"/>
      <c r="TXZ15" s="55"/>
      <c r="TYA15" s="55"/>
      <c r="TYB15" s="55"/>
      <c r="TYC15" s="55"/>
      <c r="TYD15" s="55"/>
      <c r="TYE15" s="55"/>
      <c r="TYF15" s="55"/>
      <c r="TYG15" s="55"/>
      <c r="TYH15" s="55"/>
      <c r="TYI15" s="55"/>
      <c r="TYJ15" s="55"/>
      <c r="TYK15" s="55"/>
      <c r="TYL15" s="55"/>
      <c r="TYM15" s="55"/>
      <c r="TYN15" s="55"/>
      <c r="TYO15" s="55"/>
      <c r="TYP15" s="55"/>
      <c r="TYQ15" s="55"/>
      <c r="TYR15" s="55"/>
      <c r="TYS15" s="55"/>
      <c r="TYT15" s="55"/>
      <c r="TYU15" s="55"/>
      <c r="TYV15" s="55"/>
      <c r="TYW15" s="55"/>
      <c r="TYX15" s="55"/>
      <c r="TYY15" s="55"/>
      <c r="TYZ15" s="55"/>
      <c r="TZA15" s="55"/>
      <c r="TZB15" s="55"/>
      <c r="TZC15" s="55"/>
      <c r="TZD15" s="55"/>
      <c r="TZE15" s="55"/>
      <c r="TZF15" s="55"/>
      <c r="TZG15" s="55"/>
      <c r="TZH15" s="55"/>
      <c r="TZI15" s="55"/>
      <c r="TZJ15" s="55"/>
      <c r="TZK15" s="55"/>
      <c r="TZL15" s="55"/>
      <c r="TZM15" s="55"/>
      <c r="TZN15" s="55"/>
      <c r="TZO15" s="55"/>
      <c r="TZP15" s="55"/>
      <c r="TZQ15" s="55"/>
      <c r="TZR15" s="55"/>
      <c r="TZS15" s="55"/>
      <c r="TZT15" s="55"/>
      <c r="TZU15" s="55"/>
      <c r="TZV15" s="55"/>
      <c r="TZW15" s="55"/>
      <c r="TZX15" s="55"/>
      <c r="TZY15" s="55"/>
      <c r="TZZ15" s="55"/>
      <c r="UAA15" s="55"/>
      <c r="UAB15" s="55"/>
      <c r="UAC15" s="55"/>
      <c r="UAD15" s="55"/>
      <c r="UAE15" s="55"/>
      <c r="UAF15" s="55"/>
      <c r="UAG15" s="55"/>
      <c r="UAH15" s="55"/>
      <c r="UAI15" s="55"/>
      <c r="UAJ15" s="55"/>
      <c r="UAK15" s="55"/>
      <c r="UAL15" s="55"/>
      <c r="UAM15" s="55"/>
      <c r="UAN15" s="55"/>
      <c r="UAO15" s="55"/>
      <c r="UAP15" s="55"/>
      <c r="UAQ15" s="55"/>
      <c r="UAR15" s="55"/>
      <c r="UAS15" s="55"/>
      <c r="UAT15" s="55"/>
      <c r="UAU15" s="55"/>
      <c r="UAV15" s="55"/>
      <c r="UAW15" s="55"/>
      <c r="UAX15" s="55"/>
      <c r="UAY15" s="55"/>
      <c r="UAZ15" s="55"/>
      <c r="UBA15" s="55"/>
      <c r="UBB15" s="55"/>
      <c r="UBC15" s="55"/>
      <c r="UBD15" s="55"/>
      <c r="UBE15" s="55"/>
      <c r="UBF15" s="55"/>
      <c r="UBG15" s="55"/>
      <c r="UBH15" s="55"/>
      <c r="UBI15" s="55"/>
      <c r="UBJ15" s="55"/>
      <c r="UBK15" s="55"/>
      <c r="UBL15" s="55"/>
      <c r="UBM15" s="55"/>
      <c r="UBN15" s="55"/>
      <c r="UBO15" s="55"/>
      <c r="UBP15" s="55"/>
      <c r="UBQ15" s="55"/>
      <c r="UBR15" s="55"/>
      <c r="UBS15" s="55"/>
      <c r="UBT15" s="55"/>
      <c r="UBU15" s="55"/>
      <c r="UBV15" s="55"/>
      <c r="UBW15" s="55"/>
      <c r="UBX15" s="55"/>
      <c r="UBY15" s="55"/>
      <c r="UBZ15" s="55"/>
      <c r="UCA15" s="55"/>
      <c r="UCB15" s="55"/>
      <c r="UCC15" s="55"/>
      <c r="UCD15" s="55"/>
      <c r="UCE15" s="55"/>
      <c r="UCF15" s="55"/>
      <c r="UCG15" s="55"/>
      <c r="UCH15" s="55"/>
      <c r="UCI15" s="55"/>
      <c r="UCJ15" s="55"/>
      <c r="UCK15" s="55"/>
      <c r="UCL15" s="55"/>
      <c r="UCM15" s="55"/>
      <c r="UCN15" s="55"/>
      <c r="UCO15" s="55"/>
      <c r="UCP15" s="55"/>
      <c r="UCQ15" s="55"/>
      <c r="UCR15" s="55"/>
      <c r="UCS15" s="55"/>
      <c r="UCT15" s="55"/>
      <c r="UCU15" s="55"/>
      <c r="UCV15" s="55"/>
      <c r="UCW15" s="55"/>
      <c r="UCX15" s="55"/>
      <c r="UCY15" s="55"/>
      <c r="UCZ15" s="55"/>
      <c r="UDA15" s="55"/>
      <c r="UDB15" s="55"/>
      <c r="UDC15" s="55"/>
      <c r="UDD15" s="55"/>
      <c r="UDE15" s="55"/>
      <c r="UDF15" s="55"/>
      <c r="UDG15" s="55"/>
      <c r="UDH15" s="55"/>
      <c r="UDI15" s="55"/>
      <c r="UDJ15" s="55"/>
      <c r="UDK15" s="55"/>
      <c r="UDL15" s="55"/>
      <c r="UDM15" s="55"/>
      <c r="UDN15" s="55"/>
      <c r="UDO15" s="55"/>
      <c r="UDP15" s="55"/>
      <c r="UDQ15" s="55"/>
      <c r="UDR15" s="55"/>
      <c r="UDS15" s="55"/>
      <c r="UDT15" s="55"/>
      <c r="UDU15" s="55"/>
      <c r="UDV15" s="55"/>
      <c r="UDW15" s="55"/>
      <c r="UDX15" s="55"/>
      <c r="UDY15" s="55"/>
      <c r="UDZ15" s="55"/>
      <c r="UEA15" s="55"/>
      <c r="UEB15" s="55"/>
      <c r="UEC15" s="55"/>
      <c r="UED15" s="55"/>
      <c r="UEE15" s="55"/>
      <c r="UEF15" s="55"/>
      <c r="UEG15" s="55"/>
      <c r="UEH15" s="55"/>
      <c r="UEI15" s="55"/>
      <c r="UEJ15" s="55"/>
      <c r="UEK15" s="55"/>
      <c r="UEL15" s="55"/>
      <c r="UEM15" s="55"/>
      <c r="UEN15" s="55"/>
      <c r="UEO15" s="55"/>
      <c r="UEP15" s="55"/>
      <c r="UEQ15" s="55"/>
      <c r="UER15" s="55"/>
      <c r="UES15" s="55"/>
      <c r="UET15" s="55"/>
      <c r="UEU15" s="55"/>
      <c r="UEV15" s="55"/>
      <c r="UEW15" s="55"/>
      <c r="UEX15" s="55"/>
      <c r="UEY15" s="55"/>
      <c r="UEZ15" s="55"/>
      <c r="UFA15" s="55"/>
      <c r="UFB15" s="55"/>
      <c r="UFC15" s="55"/>
      <c r="UFD15" s="55"/>
      <c r="UFE15" s="55"/>
      <c r="UFF15" s="55"/>
      <c r="UFG15" s="55"/>
      <c r="UFH15" s="55"/>
      <c r="UFI15" s="55"/>
      <c r="UFJ15" s="55"/>
      <c r="UFK15" s="55"/>
      <c r="UFL15" s="55"/>
      <c r="UFM15" s="55"/>
      <c r="UFN15" s="55"/>
      <c r="UFO15" s="55"/>
      <c r="UFP15" s="55"/>
      <c r="UFQ15" s="55"/>
      <c r="UFR15" s="55"/>
      <c r="UFS15" s="55"/>
      <c r="UFT15" s="55"/>
      <c r="UFU15" s="55"/>
      <c r="UFV15" s="55"/>
      <c r="UFW15" s="55"/>
      <c r="UFX15" s="55"/>
      <c r="UFY15" s="55"/>
      <c r="UFZ15" s="55"/>
      <c r="UGA15" s="55"/>
      <c r="UGB15" s="55"/>
      <c r="UGC15" s="55"/>
      <c r="UGD15" s="55"/>
      <c r="UGE15" s="55"/>
      <c r="UGF15" s="55"/>
      <c r="UGG15" s="55"/>
      <c r="UGH15" s="55"/>
      <c r="UGI15" s="55"/>
      <c r="UGJ15" s="55"/>
      <c r="UGK15" s="55"/>
      <c r="UGL15" s="55"/>
      <c r="UGM15" s="55"/>
      <c r="UGN15" s="55"/>
      <c r="UGO15" s="55"/>
      <c r="UGP15" s="55"/>
      <c r="UGQ15" s="55"/>
      <c r="UGR15" s="55"/>
      <c r="UGS15" s="55"/>
      <c r="UGT15" s="55"/>
      <c r="UGU15" s="55"/>
      <c r="UGV15" s="55"/>
      <c r="UGW15" s="55"/>
      <c r="UGX15" s="55"/>
      <c r="UGY15" s="55"/>
      <c r="UGZ15" s="55"/>
      <c r="UHA15" s="55"/>
      <c r="UHB15" s="55"/>
      <c r="UHC15" s="55"/>
      <c r="UHD15" s="55"/>
      <c r="UHE15" s="55"/>
      <c r="UHF15" s="55"/>
      <c r="UHG15" s="55"/>
      <c r="UHH15" s="55"/>
      <c r="UHI15" s="55"/>
      <c r="UHJ15" s="55"/>
      <c r="UHK15" s="55"/>
      <c r="UHL15" s="55"/>
      <c r="UHM15" s="55"/>
      <c r="UHN15" s="55"/>
      <c r="UHO15" s="55"/>
      <c r="UHP15" s="55"/>
      <c r="UHQ15" s="55"/>
      <c r="UHR15" s="55"/>
      <c r="UHS15" s="55"/>
      <c r="UHT15" s="55"/>
      <c r="UHU15" s="55"/>
      <c r="UHV15" s="55"/>
      <c r="UHW15" s="55"/>
      <c r="UHX15" s="55"/>
      <c r="UHY15" s="55"/>
      <c r="UHZ15" s="55"/>
      <c r="UIA15" s="55"/>
      <c r="UIB15" s="55"/>
      <c r="UIC15" s="55"/>
      <c r="UID15" s="55"/>
      <c r="UIE15" s="55"/>
      <c r="UIF15" s="55"/>
      <c r="UIG15" s="55"/>
      <c r="UIH15" s="55"/>
      <c r="UII15" s="55"/>
      <c r="UIJ15" s="55"/>
      <c r="UIK15" s="55"/>
      <c r="UIL15" s="55"/>
      <c r="UIM15" s="55"/>
      <c r="UIN15" s="55"/>
      <c r="UIO15" s="55"/>
      <c r="UIP15" s="55"/>
      <c r="UIQ15" s="55"/>
      <c r="UIR15" s="55"/>
      <c r="UIS15" s="55"/>
      <c r="UIT15" s="55"/>
      <c r="UIU15" s="55"/>
      <c r="UIV15" s="55"/>
      <c r="UIW15" s="55"/>
      <c r="UIX15" s="55"/>
      <c r="UIY15" s="55"/>
      <c r="UIZ15" s="55"/>
      <c r="UJA15" s="55"/>
      <c r="UJB15" s="55"/>
      <c r="UJC15" s="55"/>
      <c r="UJD15" s="55"/>
      <c r="UJE15" s="55"/>
      <c r="UJF15" s="55"/>
      <c r="UJG15" s="55"/>
      <c r="UJH15" s="55"/>
      <c r="UJI15" s="55"/>
      <c r="UJJ15" s="55"/>
      <c r="UJK15" s="55"/>
      <c r="UJL15" s="55"/>
      <c r="UJM15" s="55"/>
      <c r="UJN15" s="55"/>
      <c r="UJO15" s="55"/>
      <c r="UJP15" s="55"/>
      <c r="UJQ15" s="55"/>
      <c r="UJR15" s="55"/>
      <c r="UJS15" s="55"/>
      <c r="UJT15" s="55"/>
      <c r="UJU15" s="55"/>
      <c r="UJV15" s="55"/>
      <c r="UJW15" s="55"/>
      <c r="UJX15" s="55"/>
      <c r="UJY15" s="55"/>
      <c r="UJZ15" s="55"/>
      <c r="UKA15" s="55"/>
      <c r="UKB15" s="55"/>
      <c r="UKC15" s="55"/>
      <c r="UKD15" s="55"/>
      <c r="UKE15" s="55"/>
      <c r="UKF15" s="55"/>
      <c r="UKG15" s="55"/>
      <c r="UKH15" s="55"/>
      <c r="UKI15" s="55"/>
      <c r="UKJ15" s="55"/>
      <c r="UKK15" s="55"/>
      <c r="UKL15" s="55"/>
      <c r="UKM15" s="55"/>
      <c r="UKN15" s="55"/>
      <c r="UKO15" s="55"/>
      <c r="UKP15" s="55"/>
      <c r="UKQ15" s="55"/>
      <c r="UKR15" s="55"/>
      <c r="UKS15" s="55"/>
      <c r="UKT15" s="55"/>
      <c r="UKU15" s="55"/>
      <c r="UKV15" s="55"/>
      <c r="UKW15" s="55"/>
      <c r="UKX15" s="55"/>
      <c r="UKY15" s="55"/>
      <c r="UKZ15" s="55"/>
      <c r="ULA15" s="55"/>
      <c r="ULB15" s="55"/>
      <c r="ULC15" s="55"/>
      <c r="ULD15" s="55"/>
      <c r="ULE15" s="55"/>
      <c r="ULF15" s="55"/>
      <c r="ULG15" s="55"/>
      <c r="ULH15" s="55"/>
      <c r="ULI15" s="55"/>
      <c r="ULJ15" s="55"/>
      <c r="ULK15" s="55"/>
      <c r="ULL15" s="55"/>
      <c r="ULM15" s="55"/>
      <c r="ULN15" s="55"/>
      <c r="ULO15" s="55"/>
      <c r="ULP15" s="55"/>
      <c r="ULQ15" s="55"/>
      <c r="ULR15" s="55"/>
      <c r="ULS15" s="55"/>
      <c r="ULT15" s="55"/>
      <c r="ULU15" s="55"/>
      <c r="ULV15" s="55"/>
      <c r="ULW15" s="55"/>
      <c r="ULX15" s="55"/>
      <c r="ULY15" s="55"/>
      <c r="ULZ15" s="55"/>
      <c r="UMA15" s="55"/>
      <c r="UMB15" s="55"/>
      <c r="UMC15" s="55"/>
      <c r="UMD15" s="55"/>
      <c r="UME15" s="55"/>
      <c r="UMF15" s="55"/>
      <c r="UMG15" s="55"/>
      <c r="UMH15" s="55"/>
      <c r="UMI15" s="55"/>
      <c r="UMJ15" s="55"/>
      <c r="UMK15" s="55"/>
      <c r="UML15" s="55"/>
      <c r="UMM15" s="55"/>
      <c r="UMN15" s="55"/>
      <c r="UMO15" s="55"/>
      <c r="UMP15" s="55"/>
      <c r="UMQ15" s="55"/>
      <c r="UMR15" s="55"/>
      <c r="UMS15" s="55"/>
      <c r="UMT15" s="55"/>
      <c r="UMU15" s="55"/>
      <c r="UMV15" s="55"/>
      <c r="UMW15" s="55"/>
      <c r="UMX15" s="55"/>
      <c r="UMY15" s="55"/>
      <c r="UMZ15" s="55"/>
      <c r="UNA15" s="55"/>
      <c r="UNB15" s="55"/>
      <c r="UNC15" s="55"/>
      <c r="UND15" s="55"/>
      <c r="UNE15" s="55"/>
      <c r="UNF15" s="55"/>
      <c r="UNG15" s="55"/>
      <c r="UNH15" s="55"/>
      <c r="UNI15" s="55"/>
      <c r="UNJ15" s="55"/>
      <c r="UNK15" s="55"/>
      <c r="UNL15" s="55"/>
      <c r="UNM15" s="55"/>
      <c r="UNN15" s="55"/>
      <c r="UNO15" s="55"/>
      <c r="UNP15" s="55"/>
      <c r="UNQ15" s="55"/>
      <c r="UNR15" s="55"/>
      <c r="UNS15" s="55"/>
      <c r="UNT15" s="55"/>
      <c r="UNU15" s="55"/>
      <c r="UNV15" s="55"/>
      <c r="UNW15" s="55"/>
      <c r="UNX15" s="55"/>
      <c r="UNY15" s="55"/>
      <c r="UNZ15" s="55"/>
      <c r="UOA15" s="55"/>
      <c r="UOB15" s="55"/>
      <c r="UOC15" s="55"/>
      <c r="UOD15" s="55"/>
      <c r="UOE15" s="55"/>
      <c r="UOF15" s="55"/>
      <c r="UOG15" s="55"/>
      <c r="UOH15" s="55"/>
      <c r="UOI15" s="55"/>
      <c r="UOJ15" s="55"/>
      <c r="UOK15" s="55"/>
      <c r="UOL15" s="55"/>
      <c r="UOM15" s="55"/>
      <c r="UON15" s="55"/>
      <c r="UOO15" s="55"/>
      <c r="UOP15" s="55"/>
      <c r="UOQ15" s="55"/>
      <c r="UOR15" s="55"/>
      <c r="UOS15" s="55"/>
      <c r="UOT15" s="55"/>
      <c r="UOU15" s="55"/>
      <c r="UOV15" s="55"/>
      <c r="UOW15" s="55"/>
      <c r="UOX15" s="55"/>
      <c r="UOY15" s="55"/>
      <c r="UOZ15" s="55"/>
      <c r="UPA15" s="55"/>
      <c r="UPB15" s="55"/>
      <c r="UPC15" s="55"/>
      <c r="UPD15" s="55"/>
      <c r="UPE15" s="55"/>
      <c r="UPF15" s="55"/>
      <c r="UPG15" s="55"/>
      <c r="UPH15" s="55"/>
      <c r="UPI15" s="55"/>
      <c r="UPJ15" s="55"/>
      <c r="UPK15" s="55"/>
      <c r="UPL15" s="55"/>
      <c r="UPM15" s="55"/>
      <c r="UPN15" s="55"/>
      <c r="UPO15" s="55"/>
      <c r="UPP15" s="55"/>
      <c r="UPQ15" s="55"/>
      <c r="UPR15" s="55"/>
      <c r="UPS15" s="55"/>
      <c r="UPT15" s="55"/>
      <c r="UPU15" s="55"/>
      <c r="UPV15" s="55"/>
      <c r="UPW15" s="55"/>
      <c r="UPX15" s="55"/>
      <c r="UPY15" s="55"/>
      <c r="UPZ15" s="55"/>
      <c r="UQA15" s="55"/>
      <c r="UQB15" s="55"/>
      <c r="UQC15" s="55"/>
      <c r="UQD15" s="55"/>
      <c r="UQE15" s="55"/>
      <c r="UQF15" s="55"/>
      <c r="UQG15" s="55"/>
      <c r="UQH15" s="55"/>
      <c r="UQI15" s="55"/>
      <c r="UQJ15" s="55"/>
      <c r="UQK15" s="55"/>
      <c r="UQL15" s="55"/>
      <c r="UQM15" s="55"/>
      <c r="UQN15" s="55"/>
      <c r="UQO15" s="55"/>
      <c r="UQP15" s="55"/>
      <c r="UQQ15" s="55"/>
      <c r="UQR15" s="55"/>
      <c r="UQS15" s="55"/>
      <c r="UQT15" s="55"/>
      <c r="UQU15" s="55"/>
      <c r="UQV15" s="55"/>
      <c r="UQW15" s="55"/>
      <c r="UQX15" s="55"/>
      <c r="UQY15" s="55"/>
      <c r="UQZ15" s="55"/>
      <c r="URA15" s="55"/>
      <c r="URB15" s="55"/>
      <c r="URC15" s="55"/>
      <c r="URD15" s="55"/>
      <c r="URE15" s="55"/>
      <c r="URF15" s="55"/>
      <c r="URG15" s="55"/>
      <c r="URH15" s="55"/>
      <c r="URI15" s="55"/>
      <c r="URJ15" s="55"/>
      <c r="URK15" s="55"/>
      <c r="URL15" s="55"/>
      <c r="URM15" s="55"/>
      <c r="URN15" s="55"/>
      <c r="URO15" s="55"/>
      <c r="URP15" s="55"/>
      <c r="URQ15" s="55"/>
      <c r="URR15" s="55"/>
      <c r="URS15" s="55"/>
      <c r="URT15" s="55"/>
      <c r="URU15" s="55"/>
      <c r="URV15" s="55"/>
      <c r="URW15" s="55"/>
      <c r="URX15" s="55"/>
      <c r="URY15" s="55"/>
      <c r="URZ15" s="55"/>
      <c r="USA15" s="55"/>
      <c r="USB15" s="55"/>
      <c r="USC15" s="55"/>
      <c r="USD15" s="55"/>
      <c r="USE15" s="55"/>
      <c r="USF15" s="55"/>
      <c r="USG15" s="55"/>
      <c r="USH15" s="55"/>
      <c r="USI15" s="55"/>
      <c r="USJ15" s="55"/>
      <c r="USK15" s="55"/>
      <c r="USL15" s="55"/>
      <c r="USM15" s="55"/>
      <c r="USN15" s="55"/>
      <c r="USO15" s="55"/>
      <c r="USP15" s="55"/>
      <c r="USQ15" s="55"/>
      <c r="USR15" s="55"/>
      <c r="USS15" s="55"/>
      <c r="UST15" s="55"/>
      <c r="USU15" s="55"/>
      <c r="USV15" s="55"/>
      <c r="USW15" s="55"/>
      <c r="USX15" s="55"/>
      <c r="USY15" s="55"/>
      <c r="USZ15" s="55"/>
      <c r="UTA15" s="55"/>
      <c r="UTB15" s="55"/>
      <c r="UTC15" s="55"/>
      <c r="UTD15" s="55"/>
      <c r="UTE15" s="55"/>
      <c r="UTF15" s="55"/>
      <c r="UTG15" s="55"/>
      <c r="UTH15" s="55"/>
      <c r="UTI15" s="55"/>
      <c r="UTJ15" s="55"/>
      <c r="UTK15" s="55"/>
      <c r="UTL15" s="55"/>
      <c r="UTM15" s="55"/>
      <c r="UTN15" s="55"/>
      <c r="UTO15" s="55"/>
      <c r="UTP15" s="55"/>
      <c r="UTQ15" s="55"/>
      <c r="UTR15" s="55"/>
      <c r="UTS15" s="55"/>
      <c r="UTT15" s="55"/>
      <c r="UTU15" s="55"/>
      <c r="UTV15" s="55"/>
      <c r="UTW15" s="55"/>
      <c r="UTX15" s="55"/>
      <c r="UTY15" s="55"/>
      <c r="UTZ15" s="55"/>
      <c r="UUA15" s="55"/>
      <c r="UUB15" s="55"/>
      <c r="UUC15" s="55"/>
      <c r="UUD15" s="55"/>
      <c r="UUE15" s="55"/>
      <c r="UUF15" s="55"/>
      <c r="UUG15" s="55"/>
      <c r="UUH15" s="55"/>
      <c r="UUI15" s="55"/>
      <c r="UUJ15" s="55"/>
      <c r="UUK15" s="55"/>
      <c r="UUL15" s="55"/>
      <c r="UUM15" s="55"/>
      <c r="UUN15" s="55"/>
      <c r="UUO15" s="55"/>
      <c r="UUP15" s="55"/>
      <c r="UUQ15" s="55"/>
      <c r="UUR15" s="55"/>
      <c r="UUS15" s="55"/>
      <c r="UUT15" s="55"/>
      <c r="UUU15" s="55"/>
      <c r="UUV15" s="55"/>
      <c r="UUW15" s="55"/>
      <c r="UUX15" s="55"/>
      <c r="UUY15" s="55"/>
      <c r="UUZ15" s="55"/>
      <c r="UVA15" s="55"/>
      <c r="UVB15" s="55"/>
      <c r="UVC15" s="55"/>
      <c r="UVD15" s="55"/>
      <c r="UVE15" s="55"/>
      <c r="UVF15" s="55"/>
      <c r="UVG15" s="55"/>
      <c r="UVH15" s="55"/>
      <c r="UVI15" s="55"/>
      <c r="UVJ15" s="55"/>
      <c r="UVK15" s="55"/>
      <c r="UVL15" s="55"/>
      <c r="UVM15" s="55"/>
      <c r="UVN15" s="55"/>
      <c r="UVO15" s="55"/>
      <c r="UVP15" s="55"/>
      <c r="UVQ15" s="55"/>
      <c r="UVR15" s="55"/>
      <c r="UVS15" s="55"/>
      <c r="UVT15" s="55"/>
      <c r="UVU15" s="55"/>
      <c r="UVV15" s="55"/>
      <c r="UVW15" s="55"/>
      <c r="UVX15" s="55"/>
      <c r="UVY15" s="55"/>
      <c r="UVZ15" s="55"/>
      <c r="UWA15" s="55"/>
      <c r="UWB15" s="55"/>
      <c r="UWC15" s="55"/>
      <c r="UWD15" s="55"/>
      <c r="UWE15" s="55"/>
      <c r="UWF15" s="55"/>
      <c r="UWG15" s="55"/>
      <c r="UWH15" s="55"/>
      <c r="UWI15" s="55"/>
      <c r="UWJ15" s="55"/>
      <c r="UWK15" s="55"/>
      <c r="UWL15" s="55"/>
      <c r="UWM15" s="55"/>
      <c r="UWN15" s="55"/>
      <c r="UWO15" s="55"/>
      <c r="UWP15" s="55"/>
      <c r="UWQ15" s="55"/>
      <c r="UWR15" s="55"/>
      <c r="UWS15" s="55"/>
      <c r="UWT15" s="55"/>
      <c r="UWU15" s="55"/>
      <c r="UWV15" s="55"/>
      <c r="UWW15" s="55"/>
      <c r="UWX15" s="55"/>
      <c r="UWY15" s="55"/>
      <c r="UWZ15" s="55"/>
      <c r="UXA15" s="55"/>
      <c r="UXB15" s="55"/>
      <c r="UXC15" s="55"/>
      <c r="UXD15" s="55"/>
      <c r="UXE15" s="55"/>
      <c r="UXF15" s="55"/>
      <c r="UXG15" s="55"/>
      <c r="UXH15" s="55"/>
      <c r="UXI15" s="55"/>
      <c r="UXJ15" s="55"/>
      <c r="UXK15" s="55"/>
      <c r="UXL15" s="55"/>
      <c r="UXM15" s="55"/>
      <c r="UXN15" s="55"/>
      <c r="UXO15" s="55"/>
      <c r="UXP15" s="55"/>
      <c r="UXQ15" s="55"/>
      <c r="UXR15" s="55"/>
      <c r="UXS15" s="55"/>
      <c r="UXT15" s="55"/>
      <c r="UXU15" s="55"/>
      <c r="UXV15" s="55"/>
      <c r="UXW15" s="55"/>
      <c r="UXX15" s="55"/>
      <c r="UXY15" s="55"/>
      <c r="UXZ15" s="55"/>
      <c r="UYA15" s="55"/>
      <c r="UYB15" s="55"/>
      <c r="UYC15" s="55"/>
      <c r="UYD15" s="55"/>
      <c r="UYE15" s="55"/>
      <c r="UYF15" s="55"/>
      <c r="UYG15" s="55"/>
      <c r="UYH15" s="55"/>
      <c r="UYI15" s="55"/>
      <c r="UYJ15" s="55"/>
      <c r="UYK15" s="55"/>
      <c r="UYL15" s="55"/>
      <c r="UYM15" s="55"/>
      <c r="UYN15" s="55"/>
      <c r="UYO15" s="55"/>
      <c r="UYP15" s="55"/>
      <c r="UYQ15" s="55"/>
      <c r="UYR15" s="55"/>
      <c r="UYS15" s="55"/>
      <c r="UYT15" s="55"/>
      <c r="UYU15" s="55"/>
      <c r="UYV15" s="55"/>
      <c r="UYW15" s="55"/>
      <c r="UYX15" s="55"/>
      <c r="UYY15" s="55"/>
      <c r="UYZ15" s="55"/>
      <c r="UZA15" s="55"/>
      <c r="UZB15" s="55"/>
      <c r="UZC15" s="55"/>
      <c r="UZD15" s="55"/>
      <c r="UZE15" s="55"/>
      <c r="UZF15" s="55"/>
      <c r="UZG15" s="55"/>
      <c r="UZH15" s="55"/>
      <c r="UZI15" s="55"/>
      <c r="UZJ15" s="55"/>
      <c r="UZK15" s="55"/>
      <c r="UZL15" s="55"/>
      <c r="UZM15" s="55"/>
      <c r="UZN15" s="55"/>
      <c r="UZO15" s="55"/>
      <c r="UZP15" s="55"/>
      <c r="UZQ15" s="55"/>
      <c r="UZR15" s="55"/>
      <c r="UZS15" s="55"/>
      <c r="UZT15" s="55"/>
      <c r="UZU15" s="55"/>
      <c r="UZV15" s="55"/>
      <c r="UZW15" s="55"/>
      <c r="UZX15" s="55"/>
      <c r="UZY15" s="55"/>
      <c r="UZZ15" s="55"/>
      <c r="VAA15" s="55"/>
      <c r="VAB15" s="55"/>
      <c r="VAC15" s="55"/>
      <c r="VAD15" s="55"/>
      <c r="VAE15" s="55"/>
      <c r="VAF15" s="55"/>
      <c r="VAG15" s="55"/>
      <c r="VAH15" s="55"/>
      <c r="VAI15" s="55"/>
      <c r="VAJ15" s="55"/>
      <c r="VAK15" s="55"/>
      <c r="VAL15" s="55"/>
      <c r="VAM15" s="55"/>
      <c r="VAN15" s="55"/>
      <c r="VAO15" s="55"/>
      <c r="VAP15" s="55"/>
      <c r="VAQ15" s="55"/>
      <c r="VAR15" s="55"/>
      <c r="VAS15" s="55"/>
      <c r="VAT15" s="55"/>
      <c r="VAU15" s="55"/>
      <c r="VAV15" s="55"/>
      <c r="VAW15" s="55"/>
      <c r="VAX15" s="55"/>
      <c r="VAY15" s="55"/>
      <c r="VAZ15" s="55"/>
      <c r="VBA15" s="55"/>
      <c r="VBB15" s="55"/>
      <c r="VBC15" s="55"/>
      <c r="VBD15" s="55"/>
      <c r="VBE15" s="55"/>
      <c r="VBF15" s="55"/>
      <c r="VBG15" s="55"/>
      <c r="VBH15" s="55"/>
      <c r="VBI15" s="55"/>
      <c r="VBJ15" s="55"/>
      <c r="VBK15" s="55"/>
      <c r="VBL15" s="55"/>
      <c r="VBM15" s="55"/>
      <c r="VBN15" s="55"/>
      <c r="VBO15" s="55"/>
      <c r="VBP15" s="55"/>
      <c r="VBQ15" s="55"/>
      <c r="VBR15" s="55"/>
      <c r="VBS15" s="55"/>
      <c r="VBT15" s="55"/>
      <c r="VBU15" s="55"/>
      <c r="VBV15" s="55"/>
      <c r="VBW15" s="55"/>
      <c r="VBX15" s="55"/>
      <c r="VBY15" s="55"/>
      <c r="VBZ15" s="55"/>
      <c r="VCA15" s="55"/>
      <c r="VCB15" s="55"/>
      <c r="VCC15" s="55"/>
      <c r="VCD15" s="55"/>
      <c r="VCE15" s="55"/>
      <c r="VCF15" s="55"/>
      <c r="VCG15" s="55"/>
      <c r="VCH15" s="55"/>
      <c r="VCI15" s="55"/>
      <c r="VCJ15" s="55"/>
      <c r="VCK15" s="55"/>
      <c r="VCL15" s="55"/>
      <c r="VCM15" s="55"/>
      <c r="VCN15" s="55"/>
      <c r="VCO15" s="55"/>
      <c r="VCP15" s="55"/>
      <c r="VCQ15" s="55"/>
      <c r="VCR15" s="55"/>
      <c r="VCS15" s="55"/>
      <c r="VCT15" s="55"/>
      <c r="VCU15" s="55"/>
      <c r="VCV15" s="55"/>
      <c r="VCW15" s="55"/>
      <c r="VCX15" s="55"/>
      <c r="VCY15" s="55"/>
      <c r="VCZ15" s="55"/>
      <c r="VDA15" s="55"/>
      <c r="VDB15" s="55"/>
      <c r="VDC15" s="55"/>
      <c r="VDD15" s="55"/>
      <c r="VDE15" s="55"/>
      <c r="VDF15" s="55"/>
      <c r="VDG15" s="55"/>
      <c r="VDH15" s="55"/>
      <c r="VDI15" s="55"/>
      <c r="VDJ15" s="55"/>
      <c r="VDK15" s="55"/>
      <c r="VDL15" s="55"/>
      <c r="VDM15" s="55"/>
      <c r="VDN15" s="55"/>
      <c r="VDO15" s="55"/>
      <c r="VDP15" s="55"/>
      <c r="VDQ15" s="55"/>
      <c r="VDR15" s="55"/>
      <c r="VDS15" s="55"/>
      <c r="VDT15" s="55"/>
      <c r="VDU15" s="55"/>
      <c r="VDV15" s="55"/>
      <c r="VDW15" s="55"/>
      <c r="VDX15" s="55"/>
      <c r="VDY15" s="55"/>
      <c r="VDZ15" s="55"/>
      <c r="VEA15" s="55"/>
      <c r="VEB15" s="55"/>
      <c r="VEC15" s="55"/>
      <c r="VED15" s="55"/>
      <c r="VEE15" s="55"/>
      <c r="VEF15" s="55"/>
      <c r="VEG15" s="55"/>
      <c r="VEH15" s="55"/>
      <c r="VEI15" s="55"/>
      <c r="VEJ15" s="55"/>
      <c r="VEK15" s="55"/>
      <c r="VEL15" s="55"/>
      <c r="VEM15" s="55"/>
      <c r="VEN15" s="55"/>
      <c r="VEO15" s="55"/>
      <c r="VEP15" s="55"/>
      <c r="VEQ15" s="55"/>
      <c r="VER15" s="55"/>
      <c r="VES15" s="55"/>
      <c r="VET15" s="55"/>
      <c r="VEU15" s="55"/>
      <c r="VEV15" s="55"/>
      <c r="VEW15" s="55"/>
      <c r="VEX15" s="55"/>
      <c r="VEY15" s="55"/>
      <c r="VEZ15" s="55"/>
      <c r="VFA15" s="55"/>
      <c r="VFB15" s="55"/>
      <c r="VFC15" s="55"/>
      <c r="VFD15" s="55"/>
      <c r="VFE15" s="55"/>
      <c r="VFF15" s="55"/>
      <c r="VFG15" s="55"/>
      <c r="VFH15" s="55"/>
      <c r="VFI15" s="55"/>
      <c r="VFJ15" s="55"/>
      <c r="VFK15" s="55"/>
      <c r="VFL15" s="55"/>
      <c r="VFM15" s="55"/>
      <c r="VFN15" s="55"/>
      <c r="VFO15" s="55"/>
      <c r="VFP15" s="55"/>
      <c r="VFQ15" s="55"/>
      <c r="VFR15" s="55"/>
      <c r="VFS15" s="55"/>
      <c r="VFT15" s="55"/>
      <c r="VFU15" s="55"/>
      <c r="VFV15" s="55"/>
      <c r="VFW15" s="55"/>
      <c r="VFX15" s="55"/>
      <c r="VFY15" s="55"/>
      <c r="VFZ15" s="55"/>
      <c r="VGA15" s="55"/>
      <c r="VGB15" s="55"/>
      <c r="VGC15" s="55"/>
      <c r="VGD15" s="55"/>
      <c r="VGE15" s="55"/>
      <c r="VGF15" s="55"/>
      <c r="VGG15" s="55"/>
      <c r="VGH15" s="55"/>
      <c r="VGI15" s="55"/>
      <c r="VGJ15" s="55"/>
      <c r="VGK15" s="55"/>
      <c r="VGL15" s="55"/>
      <c r="VGM15" s="55"/>
      <c r="VGN15" s="55"/>
      <c r="VGO15" s="55"/>
      <c r="VGP15" s="55"/>
      <c r="VGQ15" s="55"/>
      <c r="VGR15" s="55"/>
      <c r="VGS15" s="55"/>
      <c r="VGT15" s="55"/>
      <c r="VGU15" s="55"/>
      <c r="VGV15" s="55"/>
      <c r="VGW15" s="55"/>
      <c r="VGX15" s="55"/>
      <c r="VGY15" s="55"/>
      <c r="VGZ15" s="55"/>
      <c r="VHA15" s="55"/>
      <c r="VHB15" s="55"/>
      <c r="VHC15" s="55"/>
      <c r="VHD15" s="55"/>
      <c r="VHE15" s="55"/>
      <c r="VHF15" s="55"/>
      <c r="VHG15" s="55"/>
      <c r="VHH15" s="55"/>
      <c r="VHI15" s="55"/>
      <c r="VHJ15" s="55"/>
      <c r="VHK15" s="55"/>
      <c r="VHL15" s="55"/>
      <c r="VHM15" s="55"/>
      <c r="VHN15" s="55"/>
      <c r="VHO15" s="55"/>
      <c r="VHP15" s="55"/>
      <c r="VHQ15" s="55"/>
      <c r="VHR15" s="55"/>
      <c r="VHS15" s="55"/>
      <c r="VHT15" s="55"/>
      <c r="VHU15" s="55"/>
      <c r="VHV15" s="55"/>
      <c r="VHW15" s="55"/>
      <c r="VHX15" s="55"/>
      <c r="VHY15" s="55"/>
      <c r="VHZ15" s="55"/>
      <c r="VIA15" s="55"/>
      <c r="VIB15" s="55"/>
      <c r="VIC15" s="55"/>
      <c r="VID15" s="55"/>
      <c r="VIE15" s="55"/>
      <c r="VIF15" s="55"/>
      <c r="VIG15" s="55"/>
      <c r="VIH15" s="55"/>
      <c r="VII15" s="55"/>
      <c r="VIJ15" s="55"/>
      <c r="VIK15" s="55"/>
      <c r="VIL15" s="55"/>
      <c r="VIM15" s="55"/>
      <c r="VIN15" s="55"/>
      <c r="VIO15" s="55"/>
      <c r="VIP15" s="55"/>
      <c r="VIQ15" s="55"/>
      <c r="VIR15" s="55"/>
      <c r="VIS15" s="55"/>
      <c r="VIT15" s="55"/>
      <c r="VIU15" s="55"/>
      <c r="VIV15" s="55"/>
      <c r="VIW15" s="55"/>
      <c r="VIX15" s="55"/>
      <c r="VIY15" s="55"/>
      <c r="VIZ15" s="55"/>
      <c r="VJA15" s="55"/>
      <c r="VJB15" s="55"/>
      <c r="VJC15" s="55"/>
      <c r="VJD15" s="55"/>
      <c r="VJE15" s="55"/>
      <c r="VJF15" s="55"/>
      <c r="VJG15" s="55"/>
      <c r="VJH15" s="55"/>
      <c r="VJI15" s="55"/>
      <c r="VJJ15" s="55"/>
      <c r="VJK15" s="55"/>
      <c r="VJL15" s="55"/>
      <c r="VJM15" s="55"/>
      <c r="VJN15" s="55"/>
      <c r="VJO15" s="55"/>
      <c r="VJP15" s="55"/>
      <c r="VJQ15" s="55"/>
      <c r="VJR15" s="55"/>
      <c r="VJS15" s="55"/>
      <c r="VJT15" s="55"/>
      <c r="VJU15" s="55"/>
      <c r="VJV15" s="55"/>
      <c r="VJW15" s="55"/>
      <c r="VJX15" s="55"/>
      <c r="VJY15" s="55"/>
      <c r="VJZ15" s="55"/>
      <c r="VKA15" s="55"/>
      <c r="VKB15" s="55"/>
      <c r="VKC15" s="55"/>
      <c r="VKD15" s="55"/>
      <c r="VKE15" s="55"/>
      <c r="VKF15" s="55"/>
      <c r="VKG15" s="55"/>
      <c r="VKH15" s="55"/>
      <c r="VKI15" s="55"/>
      <c r="VKJ15" s="55"/>
      <c r="VKK15" s="55"/>
      <c r="VKL15" s="55"/>
      <c r="VKM15" s="55"/>
      <c r="VKN15" s="55"/>
      <c r="VKO15" s="55"/>
      <c r="VKP15" s="55"/>
      <c r="VKQ15" s="55"/>
      <c r="VKR15" s="55"/>
      <c r="VKS15" s="55"/>
      <c r="VKT15" s="55"/>
      <c r="VKU15" s="55"/>
      <c r="VKV15" s="55"/>
      <c r="VKW15" s="55"/>
      <c r="VKX15" s="55"/>
      <c r="VKY15" s="55"/>
      <c r="VKZ15" s="55"/>
      <c r="VLA15" s="55"/>
      <c r="VLB15" s="55"/>
      <c r="VLC15" s="55"/>
      <c r="VLD15" s="55"/>
      <c r="VLE15" s="55"/>
      <c r="VLF15" s="55"/>
      <c r="VLG15" s="55"/>
      <c r="VLH15" s="55"/>
      <c r="VLI15" s="55"/>
      <c r="VLJ15" s="55"/>
      <c r="VLK15" s="55"/>
      <c r="VLL15" s="55"/>
      <c r="VLM15" s="55"/>
      <c r="VLN15" s="55"/>
      <c r="VLO15" s="55"/>
      <c r="VLP15" s="55"/>
      <c r="VLQ15" s="55"/>
      <c r="VLR15" s="55"/>
      <c r="VLS15" s="55"/>
      <c r="VLT15" s="55"/>
      <c r="VLU15" s="55"/>
      <c r="VLV15" s="55"/>
      <c r="VLW15" s="55"/>
      <c r="VLX15" s="55"/>
      <c r="VLY15" s="55"/>
      <c r="VLZ15" s="55"/>
      <c r="VMA15" s="55"/>
      <c r="VMB15" s="55"/>
      <c r="VMC15" s="55"/>
      <c r="VMD15" s="55"/>
      <c r="VME15" s="55"/>
      <c r="VMF15" s="55"/>
      <c r="VMG15" s="55"/>
      <c r="VMH15" s="55"/>
      <c r="VMI15" s="55"/>
      <c r="VMJ15" s="55"/>
      <c r="VMK15" s="55"/>
      <c r="VML15" s="55"/>
      <c r="VMM15" s="55"/>
      <c r="VMN15" s="55"/>
      <c r="VMO15" s="55"/>
      <c r="VMP15" s="55"/>
      <c r="VMQ15" s="55"/>
      <c r="VMR15" s="55"/>
      <c r="VMS15" s="55"/>
      <c r="VMT15" s="55"/>
      <c r="VMU15" s="55"/>
      <c r="VMV15" s="55"/>
      <c r="VMW15" s="55"/>
      <c r="VMX15" s="55"/>
      <c r="VMY15" s="55"/>
      <c r="VMZ15" s="55"/>
      <c r="VNA15" s="55"/>
      <c r="VNB15" s="55"/>
      <c r="VNC15" s="55"/>
      <c r="VND15" s="55"/>
      <c r="VNE15" s="55"/>
      <c r="VNF15" s="55"/>
      <c r="VNG15" s="55"/>
      <c r="VNH15" s="55"/>
      <c r="VNI15" s="55"/>
      <c r="VNJ15" s="55"/>
      <c r="VNK15" s="55"/>
      <c r="VNL15" s="55"/>
      <c r="VNM15" s="55"/>
      <c r="VNN15" s="55"/>
      <c r="VNO15" s="55"/>
      <c r="VNP15" s="55"/>
      <c r="VNQ15" s="55"/>
      <c r="VNR15" s="55"/>
      <c r="VNS15" s="55"/>
      <c r="VNT15" s="55"/>
      <c r="VNU15" s="55"/>
      <c r="VNV15" s="55"/>
      <c r="VNW15" s="55"/>
      <c r="VNX15" s="55"/>
      <c r="VNY15" s="55"/>
      <c r="VNZ15" s="55"/>
      <c r="VOA15" s="55"/>
      <c r="VOB15" s="55"/>
      <c r="VOC15" s="55"/>
      <c r="VOD15" s="55"/>
      <c r="VOE15" s="55"/>
      <c r="VOF15" s="55"/>
      <c r="VOG15" s="55"/>
      <c r="VOH15" s="55"/>
      <c r="VOI15" s="55"/>
      <c r="VOJ15" s="55"/>
      <c r="VOK15" s="55"/>
      <c r="VOL15" s="55"/>
      <c r="VOM15" s="55"/>
      <c r="VON15" s="55"/>
      <c r="VOO15" s="55"/>
      <c r="VOP15" s="55"/>
      <c r="VOQ15" s="55"/>
      <c r="VOR15" s="55"/>
      <c r="VOS15" s="55"/>
      <c r="VOT15" s="55"/>
      <c r="VOU15" s="55"/>
      <c r="VOV15" s="55"/>
      <c r="VOW15" s="55"/>
      <c r="VOX15" s="55"/>
      <c r="VOY15" s="55"/>
      <c r="VOZ15" s="55"/>
      <c r="VPA15" s="55"/>
      <c r="VPB15" s="55"/>
      <c r="VPC15" s="55"/>
      <c r="VPD15" s="55"/>
      <c r="VPE15" s="55"/>
      <c r="VPF15" s="55"/>
      <c r="VPG15" s="55"/>
      <c r="VPH15" s="55"/>
      <c r="VPI15" s="55"/>
      <c r="VPJ15" s="55"/>
      <c r="VPK15" s="55"/>
      <c r="VPL15" s="55"/>
      <c r="VPM15" s="55"/>
      <c r="VPN15" s="55"/>
      <c r="VPO15" s="55"/>
      <c r="VPP15" s="55"/>
      <c r="VPQ15" s="55"/>
      <c r="VPR15" s="55"/>
      <c r="VPS15" s="55"/>
      <c r="VPT15" s="55"/>
      <c r="VPU15" s="55"/>
      <c r="VPV15" s="55"/>
      <c r="VPW15" s="55"/>
      <c r="VPX15" s="55"/>
      <c r="VPY15" s="55"/>
      <c r="VPZ15" s="55"/>
      <c r="VQA15" s="55"/>
      <c r="VQB15" s="55"/>
      <c r="VQC15" s="55"/>
      <c r="VQD15" s="55"/>
      <c r="VQE15" s="55"/>
      <c r="VQF15" s="55"/>
      <c r="VQG15" s="55"/>
      <c r="VQH15" s="55"/>
      <c r="VQI15" s="55"/>
      <c r="VQJ15" s="55"/>
      <c r="VQK15" s="55"/>
      <c r="VQL15" s="55"/>
      <c r="VQM15" s="55"/>
      <c r="VQN15" s="55"/>
      <c r="VQO15" s="55"/>
      <c r="VQP15" s="55"/>
      <c r="VQQ15" s="55"/>
      <c r="VQR15" s="55"/>
      <c r="VQS15" s="55"/>
      <c r="VQT15" s="55"/>
      <c r="VQU15" s="55"/>
      <c r="VQV15" s="55"/>
      <c r="VQW15" s="55"/>
      <c r="VQX15" s="55"/>
      <c r="VQY15" s="55"/>
      <c r="VQZ15" s="55"/>
      <c r="VRA15" s="55"/>
      <c r="VRB15" s="55"/>
      <c r="VRC15" s="55"/>
      <c r="VRD15" s="55"/>
      <c r="VRE15" s="55"/>
      <c r="VRF15" s="55"/>
      <c r="VRG15" s="55"/>
      <c r="VRH15" s="55"/>
      <c r="VRI15" s="55"/>
      <c r="VRJ15" s="55"/>
      <c r="VRK15" s="55"/>
      <c r="VRL15" s="55"/>
      <c r="VRM15" s="55"/>
      <c r="VRN15" s="55"/>
      <c r="VRO15" s="55"/>
      <c r="VRP15" s="55"/>
      <c r="VRQ15" s="55"/>
      <c r="VRR15" s="55"/>
      <c r="VRS15" s="55"/>
      <c r="VRT15" s="55"/>
      <c r="VRU15" s="55"/>
      <c r="VRV15" s="55"/>
      <c r="VRW15" s="55"/>
      <c r="VRX15" s="55"/>
      <c r="VRY15" s="55"/>
      <c r="VRZ15" s="55"/>
      <c r="VSA15" s="55"/>
      <c r="VSB15" s="55"/>
      <c r="VSC15" s="55"/>
      <c r="VSD15" s="55"/>
      <c r="VSE15" s="55"/>
      <c r="VSF15" s="55"/>
      <c r="VSG15" s="55"/>
      <c r="VSH15" s="55"/>
      <c r="VSI15" s="55"/>
      <c r="VSJ15" s="55"/>
      <c r="VSK15" s="55"/>
      <c r="VSL15" s="55"/>
      <c r="VSM15" s="55"/>
      <c r="VSN15" s="55"/>
      <c r="VSO15" s="55"/>
      <c r="VSP15" s="55"/>
      <c r="VSQ15" s="55"/>
      <c r="VSR15" s="55"/>
      <c r="VSS15" s="55"/>
      <c r="VST15" s="55"/>
      <c r="VSU15" s="55"/>
      <c r="VSV15" s="55"/>
      <c r="VSW15" s="55"/>
      <c r="VSX15" s="55"/>
      <c r="VSY15" s="55"/>
      <c r="VSZ15" s="55"/>
      <c r="VTA15" s="55"/>
      <c r="VTB15" s="55"/>
      <c r="VTC15" s="55"/>
      <c r="VTD15" s="55"/>
      <c r="VTE15" s="55"/>
      <c r="VTF15" s="55"/>
      <c r="VTG15" s="55"/>
      <c r="VTH15" s="55"/>
      <c r="VTI15" s="55"/>
      <c r="VTJ15" s="55"/>
      <c r="VTK15" s="55"/>
      <c r="VTL15" s="55"/>
      <c r="VTM15" s="55"/>
      <c r="VTN15" s="55"/>
      <c r="VTO15" s="55"/>
      <c r="VTP15" s="55"/>
      <c r="VTQ15" s="55"/>
      <c r="VTR15" s="55"/>
      <c r="VTS15" s="55"/>
      <c r="VTT15" s="55"/>
      <c r="VTU15" s="55"/>
      <c r="VTV15" s="55"/>
      <c r="VTW15" s="55"/>
      <c r="VTX15" s="55"/>
      <c r="VTY15" s="55"/>
      <c r="VTZ15" s="55"/>
      <c r="VUA15" s="55"/>
      <c r="VUB15" s="55"/>
      <c r="VUC15" s="55"/>
      <c r="VUD15" s="55"/>
      <c r="VUE15" s="55"/>
      <c r="VUF15" s="55"/>
      <c r="VUG15" s="55"/>
      <c r="VUH15" s="55"/>
      <c r="VUI15" s="55"/>
      <c r="VUJ15" s="55"/>
      <c r="VUK15" s="55"/>
      <c r="VUL15" s="55"/>
      <c r="VUM15" s="55"/>
      <c r="VUN15" s="55"/>
      <c r="VUO15" s="55"/>
      <c r="VUP15" s="55"/>
      <c r="VUQ15" s="55"/>
      <c r="VUR15" s="55"/>
      <c r="VUS15" s="55"/>
      <c r="VUT15" s="55"/>
      <c r="VUU15" s="55"/>
      <c r="VUV15" s="55"/>
      <c r="VUW15" s="55"/>
      <c r="VUX15" s="55"/>
      <c r="VUY15" s="55"/>
      <c r="VUZ15" s="55"/>
      <c r="VVA15" s="55"/>
      <c r="VVB15" s="55"/>
      <c r="VVC15" s="55"/>
      <c r="VVD15" s="55"/>
      <c r="VVE15" s="55"/>
      <c r="VVF15" s="55"/>
      <c r="VVG15" s="55"/>
      <c r="VVH15" s="55"/>
      <c r="VVI15" s="55"/>
      <c r="VVJ15" s="55"/>
      <c r="VVK15" s="55"/>
      <c r="VVL15" s="55"/>
      <c r="VVM15" s="55"/>
      <c r="VVN15" s="55"/>
      <c r="VVO15" s="55"/>
      <c r="VVP15" s="55"/>
      <c r="VVQ15" s="55"/>
      <c r="VVR15" s="55"/>
      <c r="VVS15" s="55"/>
      <c r="VVT15" s="55"/>
      <c r="VVU15" s="55"/>
      <c r="VVV15" s="55"/>
      <c r="VVW15" s="55"/>
      <c r="VVX15" s="55"/>
      <c r="VVY15" s="55"/>
      <c r="VVZ15" s="55"/>
      <c r="VWA15" s="55"/>
      <c r="VWB15" s="55"/>
      <c r="VWC15" s="55"/>
      <c r="VWD15" s="55"/>
      <c r="VWE15" s="55"/>
      <c r="VWF15" s="55"/>
      <c r="VWG15" s="55"/>
      <c r="VWH15" s="55"/>
      <c r="VWI15" s="55"/>
      <c r="VWJ15" s="55"/>
      <c r="VWK15" s="55"/>
      <c r="VWL15" s="55"/>
      <c r="VWM15" s="55"/>
      <c r="VWN15" s="55"/>
      <c r="VWO15" s="55"/>
      <c r="VWP15" s="55"/>
      <c r="VWQ15" s="55"/>
      <c r="VWR15" s="55"/>
      <c r="VWS15" s="55"/>
      <c r="VWT15" s="55"/>
      <c r="VWU15" s="55"/>
      <c r="VWV15" s="55"/>
      <c r="VWW15" s="55"/>
      <c r="VWX15" s="55"/>
      <c r="VWY15" s="55"/>
      <c r="VWZ15" s="55"/>
      <c r="VXA15" s="55"/>
      <c r="VXB15" s="55"/>
      <c r="VXC15" s="55"/>
      <c r="VXD15" s="55"/>
      <c r="VXE15" s="55"/>
      <c r="VXF15" s="55"/>
      <c r="VXG15" s="55"/>
      <c r="VXH15" s="55"/>
      <c r="VXI15" s="55"/>
      <c r="VXJ15" s="55"/>
      <c r="VXK15" s="55"/>
      <c r="VXL15" s="55"/>
      <c r="VXM15" s="55"/>
      <c r="VXN15" s="55"/>
      <c r="VXO15" s="55"/>
      <c r="VXP15" s="55"/>
      <c r="VXQ15" s="55"/>
      <c r="VXR15" s="55"/>
      <c r="VXS15" s="55"/>
      <c r="VXT15" s="55"/>
      <c r="VXU15" s="55"/>
      <c r="VXV15" s="55"/>
      <c r="VXW15" s="55"/>
      <c r="VXX15" s="55"/>
      <c r="VXY15" s="55"/>
      <c r="VXZ15" s="55"/>
      <c r="VYA15" s="55"/>
      <c r="VYB15" s="55"/>
      <c r="VYC15" s="55"/>
      <c r="VYD15" s="55"/>
      <c r="VYE15" s="55"/>
      <c r="VYF15" s="55"/>
      <c r="VYG15" s="55"/>
      <c r="VYH15" s="55"/>
      <c r="VYI15" s="55"/>
      <c r="VYJ15" s="55"/>
      <c r="VYK15" s="55"/>
      <c r="VYL15" s="55"/>
      <c r="VYM15" s="55"/>
      <c r="VYN15" s="55"/>
      <c r="VYO15" s="55"/>
      <c r="VYP15" s="55"/>
      <c r="VYQ15" s="55"/>
      <c r="VYR15" s="55"/>
      <c r="VYS15" s="55"/>
      <c r="VYT15" s="55"/>
      <c r="VYU15" s="55"/>
      <c r="VYV15" s="55"/>
      <c r="VYW15" s="55"/>
      <c r="VYX15" s="55"/>
      <c r="VYY15" s="55"/>
      <c r="VYZ15" s="55"/>
      <c r="VZA15" s="55"/>
      <c r="VZB15" s="55"/>
      <c r="VZC15" s="55"/>
      <c r="VZD15" s="55"/>
      <c r="VZE15" s="55"/>
      <c r="VZF15" s="55"/>
      <c r="VZG15" s="55"/>
      <c r="VZH15" s="55"/>
      <c r="VZI15" s="55"/>
      <c r="VZJ15" s="55"/>
      <c r="VZK15" s="55"/>
      <c r="VZL15" s="55"/>
      <c r="VZM15" s="55"/>
      <c r="VZN15" s="55"/>
      <c r="VZO15" s="55"/>
      <c r="VZP15" s="55"/>
      <c r="VZQ15" s="55"/>
      <c r="VZR15" s="55"/>
      <c r="VZS15" s="55"/>
      <c r="VZT15" s="55"/>
      <c r="VZU15" s="55"/>
      <c r="VZV15" s="55"/>
      <c r="VZW15" s="55"/>
      <c r="VZX15" s="55"/>
      <c r="VZY15" s="55"/>
      <c r="VZZ15" s="55"/>
      <c r="WAA15" s="55"/>
      <c r="WAB15" s="55"/>
      <c r="WAC15" s="55"/>
      <c r="WAD15" s="55"/>
      <c r="WAE15" s="55"/>
      <c r="WAF15" s="55"/>
      <c r="WAG15" s="55"/>
      <c r="WAH15" s="55"/>
      <c r="WAI15" s="55"/>
      <c r="WAJ15" s="55"/>
      <c r="WAK15" s="55"/>
      <c r="WAL15" s="55"/>
      <c r="WAM15" s="55"/>
      <c r="WAN15" s="55"/>
      <c r="WAO15" s="55"/>
      <c r="WAP15" s="55"/>
      <c r="WAQ15" s="55"/>
      <c r="WAR15" s="55"/>
      <c r="WAS15" s="55"/>
      <c r="WAT15" s="55"/>
      <c r="WAU15" s="55"/>
      <c r="WAV15" s="55"/>
      <c r="WAW15" s="55"/>
      <c r="WAX15" s="55"/>
      <c r="WAY15" s="55"/>
      <c r="WAZ15" s="55"/>
      <c r="WBA15" s="55"/>
      <c r="WBB15" s="55"/>
      <c r="WBC15" s="55"/>
      <c r="WBD15" s="55"/>
      <c r="WBE15" s="55"/>
      <c r="WBF15" s="55"/>
      <c r="WBG15" s="55"/>
      <c r="WBH15" s="55"/>
      <c r="WBI15" s="55"/>
      <c r="WBJ15" s="55"/>
      <c r="WBK15" s="55"/>
      <c r="WBL15" s="55"/>
      <c r="WBM15" s="55"/>
      <c r="WBN15" s="55"/>
      <c r="WBO15" s="55"/>
      <c r="WBP15" s="55"/>
      <c r="WBQ15" s="55"/>
      <c r="WBR15" s="55"/>
      <c r="WBS15" s="55"/>
      <c r="WBT15" s="55"/>
      <c r="WBU15" s="55"/>
      <c r="WBV15" s="55"/>
      <c r="WBW15" s="55"/>
      <c r="WBX15" s="55"/>
      <c r="WBY15" s="55"/>
      <c r="WBZ15" s="55"/>
      <c r="WCA15" s="55"/>
      <c r="WCB15" s="55"/>
      <c r="WCC15" s="55"/>
      <c r="WCD15" s="55"/>
      <c r="WCE15" s="55"/>
      <c r="WCF15" s="55"/>
      <c r="WCG15" s="55"/>
      <c r="WCH15" s="55"/>
      <c r="WCI15" s="55"/>
      <c r="WCJ15" s="55"/>
      <c r="WCK15" s="55"/>
      <c r="WCL15" s="55"/>
      <c r="WCM15" s="55"/>
      <c r="WCN15" s="55"/>
      <c r="WCO15" s="55"/>
      <c r="WCP15" s="55"/>
      <c r="WCQ15" s="55"/>
      <c r="WCR15" s="55"/>
      <c r="WCS15" s="55"/>
      <c r="WCT15" s="55"/>
      <c r="WCU15" s="55"/>
      <c r="WCV15" s="55"/>
      <c r="WCW15" s="55"/>
      <c r="WCX15" s="55"/>
      <c r="WCY15" s="55"/>
      <c r="WCZ15" s="55"/>
      <c r="WDA15" s="55"/>
      <c r="WDB15" s="55"/>
      <c r="WDC15" s="55"/>
      <c r="WDD15" s="55"/>
      <c r="WDE15" s="55"/>
      <c r="WDF15" s="55"/>
      <c r="WDG15" s="55"/>
      <c r="WDH15" s="55"/>
      <c r="WDI15" s="55"/>
      <c r="WDJ15" s="55"/>
      <c r="WDK15" s="55"/>
      <c r="WDL15" s="55"/>
      <c r="WDM15" s="55"/>
      <c r="WDN15" s="55"/>
      <c r="WDO15" s="55"/>
      <c r="WDP15" s="55"/>
      <c r="WDQ15" s="55"/>
      <c r="WDR15" s="55"/>
      <c r="WDS15" s="55"/>
      <c r="WDT15" s="55"/>
      <c r="WDU15" s="55"/>
      <c r="WDV15" s="55"/>
      <c r="WDW15" s="55"/>
      <c r="WDX15" s="55"/>
      <c r="WDY15" s="55"/>
      <c r="WDZ15" s="55"/>
      <c r="WEA15" s="55"/>
      <c r="WEB15" s="55"/>
      <c r="WEC15" s="55"/>
      <c r="WED15" s="55"/>
      <c r="WEE15" s="55"/>
      <c r="WEF15" s="55"/>
      <c r="WEG15" s="55"/>
      <c r="WEH15" s="55"/>
      <c r="WEI15" s="55"/>
      <c r="WEJ15" s="55"/>
      <c r="WEK15" s="55"/>
      <c r="WEL15" s="55"/>
      <c r="WEM15" s="55"/>
      <c r="WEN15" s="55"/>
      <c r="WEO15" s="55"/>
      <c r="WEP15" s="55"/>
      <c r="WEQ15" s="55"/>
      <c r="WER15" s="55"/>
      <c r="WES15" s="55"/>
      <c r="WET15" s="55"/>
      <c r="WEU15" s="55"/>
      <c r="WEV15" s="55"/>
      <c r="WEW15" s="55"/>
      <c r="WEX15" s="55"/>
      <c r="WEY15" s="55"/>
      <c r="WEZ15" s="55"/>
      <c r="WFA15" s="55"/>
      <c r="WFB15" s="55"/>
      <c r="WFC15" s="55"/>
      <c r="WFD15" s="55"/>
      <c r="WFE15" s="55"/>
      <c r="WFF15" s="55"/>
      <c r="WFG15" s="55"/>
      <c r="WFH15" s="55"/>
      <c r="WFI15" s="55"/>
      <c r="WFJ15" s="55"/>
      <c r="WFK15" s="55"/>
      <c r="WFL15" s="55"/>
      <c r="WFM15" s="55"/>
      <c r="WFN15" s="55"/>
      <c r="WFO15" s="55"/>
      <c r="WFP15" s="55"/>
      <c r="WFQ15" s="55"/>
      <c r="WFR15" s="55"/>
      <c r="WFS15" s="55"/>
      <c r="WFT15" s="55"/>
      <c r="WFU15" s="55"/>
      <c r="WFV15" s="55"/>
      <c r="WFW15" s="55"/>
      <c r="WFX15" s="55"/>
      <c r="WFY15" s="55"/>
      <c r="WFZ15" s="55"/>
      <c r="WGA15" s="55"/>
      <c r="WGB15" s="55"/>
      <c r="WGC15" s="55"/>
      <c r="WGD15" s="55"/>
      <c r="WGE15" s="55"/>
      <c r="WGF15" s="55"/>
      <c r="WGG15" s="55"/>
      <c r="WGH15" s="55"/>
      <c r="WGI15" s="55"/>
      <c r="WGJ15" s="55"/>
      <c r="WGK15" s="55"/>
      <c r="WGL15" s="55"/>
      <c r="WGM15" s="55"/>
      <c r="WGN15" s="55"/>
      <c r="WGO15" s="55"/>
      <c r="WGP15" s="55"/>
      <c r="WGQ15" s="55"/>
      <c r="WGR15" s="55"/>
      <c r="WGS15" s="55"/>
      <c r="WGT15" s="55"/>
      <c r="WGU15" s="55"/>
      <c r="WGV15" s="55"/>
      <c r="WGW15" s="55"/>
      <c r="WGX15" s="55"/>
      <c r="WGY15" s="55"/>
      <c r="WGZ15" s="55"/>
      <c r="WHA15" s="55"/>
      <c r="WHB15" s="55"/>
      <c r="WHC15" s="55"/>
      <c r="WHD15" s="55"/>
      <c r="WHE15" s="55"/>
      <c r="WHF15" s="55"/>
      <c r="WHG15" s="55"/>
      <c r="WHH15" s="55"/>
      <c r="WHI15" s="55"/>
      <c r="WHJ15" s="55"/>
      <c r="WHK15" s="55"/>
      <c r="WHL15" s="55"/>
      <c r="WHM15" s="55"/>
      <c r="WHN15" s="55"/>
      <c r="WHO15" s="55"/>
      <c r="WHP15" s="55"/>
      <c r="WHQ15" s="55"/>
      <c r="WHR15" s="55"/>
      <c r="WHS15" s="55"/>
      <c r="WHT15" s="55"/>
      <c r="WHU15" s="55"/>
      <c r="WHV15" s="55"/>
      <c r="WHW15" s="55"/>
      <c r="WHX15" s="55"/>
      <c r="WHY15" s="55"/>
      <c r="WHZ15" s="55"/>
      <c r="WIA15" s="55"/>
      <c r="WIB15" s="55"/>
      <c r="WIC15" s="55"/>
      <c r="WID15" s="55"/>
      <c r="WIE15" s="55"/>
      <c r="WIF15" s="55"/>
      <c r="WIG15" s="55"/>
      <c r="WIH15" s="55"/>
      <c r="WII15" s="55"/>
      <c r="WIJ15" s="55"/>
      <c r="WIK15" s="55"/>
      <c r="WIL15" s="55"/>
      <c r="WIM15" s="55"/>
      <c r="WIN15" s="55"/>
      <c r="WIO15" s="55"/>
      <c r="WIP15" s="55"/>
      <c r="WIQ15" s="55"/>
      <c r="WIR15" s="55"/>
      <c r="WIS15" s="55"/>
      <c r="WIT15" s="55"/>
      <c r="WIU15" s="55"/>
      <c r="WIV15" s="55"/>
      <c r="WIW15" s="55"/>
      <c r="WIX15" s="55"/>
      <c r="WIY15" s="55"/>
      <c r="WIZ15" s="55"/>
      <c r="WJA15" s="55"/>
      <c r="WJB15" s="55"/>
      <c r="WJC15" s="55"/>
      <c r="WJD15" s="55"/>
      <c r="WJE15" s="55"/>
      <c r="WJF15" s="55"/>
      <c r="WJG15" s="55"/>
      <c r="WJH15" s="55"/>
      <c r="WJI15" s="55"/>
      <c r="WJJ15" s="55"/>
      <c r="WJK15" s="55"/>
      <c r="WJL15" s="55"/>
      <c r="WJM15" s="55"/>
      <c r="WJN15" s="55"/>
      <c r="WJO15" s="55"/>
      <c r="WJP15" s="55"/>
      <c r="WJQ15" s="55"/>
      <c r="WJR15" s="55"/>
      <c r="WJS15" s="55"/>
      <c r="WJT15" s="55"/>
      <c r="WJU15" s="55"/>
      <c r="WJV15" s="55"/>
      <c r="WJW15" s="55"/>
      <c r="WJX15" s="55"/>
      <c r="WJY15" s="55"/>
      <c r="WJZ15" s="55"/>
      <c r="WKA15" s="55"/>
      <c r="WKB15" s="55"/>
      <c r="WKC15" s="55"/>
      <c r="WKD15" s="55"/>
      <c r="WKE15" s="55"/>
      <c r="WKF15" s="55"/>
      <c r="WKG15" s="55"/>
      <c r="WKH15" s="55"/>
      <c r="WKI15" s="55"/>
      <c r="WKJ15" s="55"/>
      <c r="WKK15" s="55"/>
      <c r="WKL15" s="55"/>
      <c r="WKM15" s="55"/>
      <c r="WKN15" s="55"/>
      <c r="WKO15" s="55"/>
      <c r="WKP15" s="55"/>
      <c r="WKQ15" s="55"/>
      <c r="WKR15" s="55"/>
      <c r="WKS15" s="55"/>
      <c r="WKT15" s="55"/>
      <c r="WKU15" s="55"/>
      <c r="WKV15" s="55"/>
      <c r="WKW15" s="55"/>
      <c r="WKX15" s="55"/>
      <c r="WKY15" s="55"/>
      <c r="WKZ15" s="55"/>
      <c r="WLA15" s="55"/>
      <c r="WLB15" s="55"/>
      <c r="WLC15" s="55"/>
      <c r="WLD15" s="55"/>
      <c r="WLE15" s="55"/>
      <c r="WLF15" s="55"/>
      <c r="WLG15" s="55"/>
      <c r="WLH15" s="55"/>
      <c r="WLI15" s="55"/>
      <c r="WLJ15" s="55"/>
      <c r="WLK15" s="55"/>
      <c r="WLL15" s="55"/>
      <c r="WLM15" s="55"/>
      <c r="WLN15" s="55"/>
      <c r="WLO15" s="55"/>
      <c r="WLP15" s="55"/>
      <c r="WLQ15" s="55"/>
      <c r="WLR15" s="55"/>
      <c r="WLS15" s="55"/>
      <c r="WLT15" s="55"/>
      <c r="WLU15" s="55"/>
      <c r="WLV15" s="55"/>
      <c r="WLW15" s="55"/>
      <c r="WLX15" s="55"/>
      <c r="WLY15" s="55"/>
      <c r="WLZ15" s="55"/>
      <c r="WMA15" s="55"/>
      <c r="WMB15" s="55"/>
      <c r="WMC15" s="55"/>
      <c r="WMD15" s="55"/>
      <c r="WME15" s="55"/>
      <c r="WMF15" s="55"/>
      <c r="WMG15" s="55"/>
      <c r="WMH15" s="55"/>
      <c r="WMI15" s="55"/>
      <c r="WMJ15" s="55"/>
      <c r="WMK15" s="55"/>
      <c r="WML15" s="55"/>
      <c r="WMM15" s="55"/>
      <c r="WMN15" s="55"/>
      <c r="WMO15" s="55"/>
      <c r="WMP15" s="55"/>
      <c r="WMQ15" s="55"/>
      <c r="WMR15" s="55"/>
      <c r="WMS15" s="55"/>
      <c r="WMT15" s="55"/>
      <c r="WMU15" s="55"/>
      <c r="WMV15" s="55"/>
      <c r="WMW15" s="55"/>
      <c r="WMX15" s="55"/>
      <c r="WMY15" s="55"/>
      <c r="WMZ15" s="55"/>
      <c r="WNA15" s="55"/>
      <c r="WNB15" s="55"/>
      <c r="WNC15" s="55"/>
      <c r="WND15" s="55"/>
      <c r="WNE15" s="55"/>
      <c r="WNF15" s="55"/>
      <c r="WNG15" s="55"/>
      <c r="WNH15" s="55"/>
      <c r="WNI15" s="55"/>
      <c r="WNJ15" s="55"/>
      <c r="WNK15" s="55"/>
      <c r="WNL15" s="55"/>
      <c r="WNM15" s="55"/>
      <c r="WNN15" s="55"/>
      <c r="WNO15" s="55"/>
      <c r="WNP15" s="55"/>
      <c r="WNQ15" s="55"/>
      <c r="WNR15" s="55"/>
      <c r="WNS15" s="55"/>
      <c r="WNT15" s="55"/>
      <c r="WNU15" s="55"/>
      <c r="WNV15" s="55"/>
      <c r="WNW15" s="55"/>
      <c r="WNX15" s="55"/>
      <c r="WNY15" s="55"/>
      <c r="WNZ15" s="55"/>
      <c r="WOA15" s="55"/>
      <c r="WOB15" s="55"/>
      <c r="WOC15" s="55"/>
      <c r="WOD15" s="55"/>
      <c r="WOE15" s="55"/>
      <c r="WOF15" s="55"/>
      <c r="WOG15" s="55"/>
      <c r="WOH15" s="55"/>
      <c r="WOI15" s="55"/>
      <c r="WOJ15" s="55"/>
      <c r="WOK15" s="55"/>
      <c r="WOL15" s="55"/>
      <c r="WOM15" s="55"/>
      <c r="WON15" s="55"/>
      <c r="WOO15" s="55"/>
      <c r="WOP15" s="55"/>
      <c r="WOQ15" s="55"/>
      <c r="WOR15" s="55"/>
      <c r="WOS15" s="55"/>
      <c r="WOT15" s="55"/>
      <c r="WOU15" s="55"/>
      <c r="WOV15" s="55"/>
      <c r="WOW15" s="55"/>
      <c r="WOX15" s="55"/>
      <c r="WOY15" s="55"/>
      <c r="WOZ15" s="55"/>
      <c r="WPA15" s="55"/>
      <c r="WPB15" s="55"/>
      <c r="WPC15" s="55"/>
      <c r="WPD15" s="55"/>
      <c r="WPE15" s="55"/>
      <c r="WPF15" s="55"/>
      <c r="WPG15" s="55"/>
      <c r="WPH15" s="55"/>
      <c r="WPI15" s="55"/>
      <c r="WPJ15" s="55"/>
      <c r="WPK15" s="55"/>
      <c r="WPL15" s="55"/>
      <c r="WPM15" s="55"/>
      <c r="WPN15" s="55"/>
      <c r="WPO15" s="55"/>
      <c r="WPP15" s="55"/>
      <c r="WPQ15" s="55"/>
      <c r="WPR15" s="55"/>
      <c r="WPS15" s="55"/>
      <c r="WPT15" s="55"/>
      <c r="WPU15" s="55"/>
      <c r="WPV15" s="55"/>
      <c r="WPW15" s="55"/>
      <c r="WPX15" s="55"/>
      <c r="WPY15" s="55"/>
      <c r="WPZ15" s="55"/>
      <c r="WQA15" s="55"/>
      <c r="WQB15" s="55"/>
      <c r="WQC15" s="55"/>
      <c r="WQD15" s="55"/>
      <c r="WQE15" s="55"/>
      <c r="WQF15" s="55"/>
      <c r="WQG15" s="55"/>
      <c r="WQH15" s="55"/>
      <c r="WQI15" s="55"/>
      <c r="WQJ15" s="55"/>
      <c r="WQK15" s="55"/>
      <c r="WQL15" s="55"/>
      <c r="WQM15" s="55"/>
      <c r="WQN15" s="55"/>
      <c r="WQO15" s="55"/>
      <c r="WQP15" s="55"/>
      <c r="WQQ15" s="55"/>
      <c r="WQR15" s="55"/>
      <c r="WQS15" s="55"/>
      <c r="WQT15" s="55"/>
      <c r="WQU15" s="55"/>
      <c r="WQV15" s="55"/>
      <c r="WQW15" s="55"/>
      <c r="WQX15" s="55"/>
      <c r="WQY15" s="55"/>
      <c r="WQZ15" s="55"/>
      <c r="WRA15" s="55"/>
      <c r="WRB15" s="55"/>
      <c r="WRC15" s="55"/>
      <c r="WRD15" s="55"/>
      <c r="WRE15" s="55"/>
      <c r="WRF15" s="55"/>
      <c r="WRG15" s="55"/>
      <c r="WRH15" s="55"/>
      <c r="WRI15" s="55"/>
      <c r="WRJ15" s="55"/>
      <c r="WRK15" s="55"/>
      <c r="WRL15" s="55"/>
      <c r="WRM15" s="55"/>
      <c r="WRN15" s="55"/>
      <c r="WRO15" s="55"/>
      <c r="WRP15" s="55"/>
      <c r="WRQ15" s="55"/>
      <c r="WRR15" s="55"/>
      <c r="WRS15" s="55"/>
      <c r="WRT15" s="55"/>
      <c r="WRU15" s="55"/>
      <c r="WRV15" s="55"/>
      <c r="WRW15" s="55"/>
      <c r="WRX15" s="55"/>
      <c r="WRY15" s="55"/>
      <c r="WRZ15" s="55"/>
      <c r="WSA15" s="55"/>
      <c r="WSB15" s="55"/>
      <c r="WSC15" s="55"/>
      <c r="WSD15" s="55"/>
      <c r="WSE15" s="55"/>
      <c r="WSF15" s="55"/>
      <c r="WSG15" s="55"/>
      <c r="WSH15" s="55"/>
      <c r="WSI15" s="55"/>
      <c r="WSJ15" s="55"/>
      <c r="WSK15" s="55"/>
      <c r="WSL15" s="55"/>
      <c r="WSM15" s="55"/>
      <c r="WSN15" s="55"/>
      <c r="WSO15" s="55"/>
      <c r="WSP15" s="55"/>
      <c r="WSQ15" s="55"/>
      <c r="WSR15" s="55"/>
      <c r="WSS15" s="55"/>
      <c r="WST15" s="55"/>
      <c r="WSU15" s="55"/>
      <c r="WSV15" s="55"/>
      <c r="WSW15" s="55"/>
      <c r="WSX15" s="55"/>
      <c r="WSY15" s="55"/>
      <c r="WSZ15" s="55"/>
      <c r="WTA15" s="55"/>
      <c r="WTB15" s="55"/>
      <c r="WTC15" s="55"/>
      <c r="WTD15" s="55"/>
      <c r="WTE15" s="55"/>
      <c r="WTF15" s="55"/>
      <c r="WTG15" s="55"/>
      <c r="WTH15" s="55"/>
      <c r="WTI15" s="55"/>
      <c r="WTJ15" s="55"/>
      <c r="WTK15" s="55"/>
      <c r="WTL15" s="55"/>
      <c r="WTM15" s="55"/>
      <c r="WTN15" s="55"/>
      <c r="WTO15" s="55"/>
      <c r="WTP15" s="55"/>
      <c r="WTQ15" s="55"/>
      <c r="WTR15" s="55"/>
      <c r="WTS15" s="55"/>
      <c r="WTT15" s="55"/>
      <c r="WTU15" s="55"/>
      <c r="WTV15" s="55"/>
      <c r="WTW15" s="55"/>
      <c r="WTX15" s="55"/>
      <c r="WTY15" s="55"/>
      <c r="WTZ15" s="55"/>
      <c r="WUA15" s="55"/>
      <c r="WUB15" s="55"/>
      <c r="WUC15" s="55"/>
      <c r="WUD15" s="55"/>
      <c r="WUE15" s="55"/>
      <c r="WUF15" s="55"/>
      <c r="WUG15" s="55"/>
      <c r="WUH15" s="55"/>
      <c r="WUI15" s="55"/>
      <c r="WUJ15" s="55"/>
      <c r="WUK15" s="55"/>
      <c r="WUL15" s="55"/>
      <c r="WUM15" s="55"/>
      <c r="WUN15" s="55"/>
      <c r="WUO15" s="55"/>
      <c r="WUP15" s="55"/>
      <c r="WUQ15" s="55"/>
      <c r="WUR15" s="55"/>
      <c r="WUS15" s="55"/>
      <c r="WUT15" s="55"/>
      <c r="WUU15" s="55"/>
      <c r="WUV15" s="55"/>
      <c r="WUW15" s="55"/>
      <c r="WUX15" s="55"/>
      <c r="WUY15" s="55"/>
      <c r="WUZ15" s="55"/>
      <c r="WVA15" s="55"/>
      <c r="WVB15" s="55"/>
      <c r="WVC15" s="55"/>
      <c r="WVD15" s="55"/>
      <c r="WVE15" s="55"/>
      <c r="WVF15" s="55"/>
      <c r="WVG15" s="55"/>
      <c r="WVH15" s="55"/>
      <c r="WVI15" s="55"/>
      <c r="WVJ15" s="55"/>
      <c r="WVK15" s="55"/>
      <c r="WVL15" s="55"/>
      <c r="WVM15" s="55"/>
      <c r="WVN15" s="55"/>
      <c r="WVO15" s="55"/>
      <c r="WVP15" s="55"/>
      <c r="WVQ15" s="55"/>
      <c r="WVR15" s="55"/>
      <c r="WVS15" s="55"/>
      <c r="WVT15" s="55"/>
    </row>
    <row r="16" spans="1:16140" ht="144" customHeight="1" x14ac:dyDescent="0.25">
      <c r="A16" s="81">
        <v>4</v>
      </c>
      <c r="B16" s="81" t="s">
        <v>90</v>
      </c>
      <c r="C16" s="51" t="s">
        <v>42</v>
      </c>
      <c r="D16" s="45" t="s">
        <v>39</v>
      </c>
      <c r="E16" s="45"/>
      <c r="F16" s="45">
        <v>1450</v>
      </c>
      <c r="G16" s="45">
        <v>2055</v>
      </c>
      <c r="H16" s="46">
        <f>F16*G16/10^6</f>
        <v>2.9797500000000001</v>
      </c>
      <c r="I16" s="45">
        <v>1</v>
      </c>
      <c r="J16" s="53">
        <v>2262000</v>
      </c>
      <c r="K16" s="47"/>
      <c r="L16" s="48">
        <f>IF(H16&lt;&gt;0,J16*H16*I16+K16*I16,IF(J16&lt;&gt;0,G16*I16*J16,I16*K16))</f>
        <v>6740194.5</v>
      </c>
      <c r="M16" s="115"/>
      <c r="N16" s="28"/>
      <c r="O16" s="85"/>
      <c r="P16" s="28"/>
      <c r="Q16" s="28"/>
      <c r="R16" s="28"/>
      <c r="S16" s="28"/>
      <c r="T16" s="28"/>
      <c r="U16" s="28"/>
      <c r="V16" s="28"/>
      <c r="W16" s="28"/>
      <c r="X16" s="28"/>
      <c r="Y16" s="28"/>
      <c r="Z16" s="28"/>
      <c r="AA16" s="28"/>
      <c r="AB16" s="28"/>
      <c r="AC16" s="28"/>
      <c r="AD16" s="28"/>
      <c r="AE16" s="28"/>
      <c r="AF16" s="28"/>
      <c r="AG16" s="28"/>
      <c r="AH16" s="28"/>
      <c r="AI16" s="28"/>
    </row>
    <row r="17" spans="1:35" s="63" customFormat="1" ht="150.75" customHeight="1" x14ac:dyDescent="0.25">
      <c r="A17" s="81">
        <v>5</v>
      </c>
      <c r="B17" s="82" t="s">
        <v>91</v>
      </c>
      <c r="C17" s="58" t="s">
        <v>53</v>
      </c>
      <c r="D17" s="59" t="s">
        <v>39</v>
      </c>
      <c r="E17" s="59" t="s">
        <v>38</v>
      </c>
      <c r="F17" s="59">
        <v>5740</v>
      </c>
      <c r="G17" s="59">
        <v>1852</v>
      </c>
      <c r="H17" s="60">
        <f t="shared" ref="H17" si="2">F17*G17/10^6</f>
        <v>10.63048</v>
      </c>
      <c r="I17" s="45">
        <v>1</v>
      </c>
      <c r="J17" s="53">
        <v>3008000</v>
      </c>
      <c r="K17" s="47">
        <v>4007000</v>
      </c>
      <c r="L17" s="61">
        <f t="shared" ref="L17" si="3">IF(H17&lt;&gt;0,J17*H17*I17+K17*I17,IF(J17&lt;&gt;0,G17*I17*J17,I17*K17))</f>
        <v>35983483.840000004</v>
      </c>
      <c r="M17" s="116"/>
      <c r="N17" s="62"/>
      <c r="O17" s="98"/>
      <c r="P17" s="62"/>
      <c r="Q17" s="62"/>
      <c r="R17" s="62"/>
      <c r="S17" s="62"/>
      <c r="T17" s="62"/>
      <c r="U17" s="62"/>
      <c r="V17" s="62"/>
      <c r="W17" s="62"/>
      <c r="X17" s="62"/>
      <c r="Y17" s="62"/>
      <c r="Z17" s="62"/>
      <c r="AA17" s="62"/>
      <c r="AB17" s="62"/>
      <c r="AC17" s="62"/>
      <c r="AD17" s="62"/>
      <c r="AE17" s="62"/>
      <c r="AF17" s="62"/>
      <c r="AG17" s="62"/>
      <c r="AH17" s="62"/>
      <c r="AI17" s="62"/>
    </row>
    <row r="18" spans="1:35" ht="156" customHeight="1" x14ac:dyDescent="0.25">
      <c r="A18" s="81">
        <v>6</v>
      </c>
      <c r="B18" s="81" t="s">
        <v>92</v>
      </c>
      <c r="C18" s="51" t="s">
        <v>40</v>
      </c>
      <c r="D18" s="45" t="s">
        <v>39</v>
      </c>
      <c r="E18" s="45" t="s">
        <v>38</v>
      </c>
      <c r="F18" s="45">
        <v>885</v>
      </c>
      <c r="G18" s="45">
        <v>2150</v>
      </c>
      <c r="H18" s="46">
        <f>F18*G18/10^6</f>
        <v>1.9027499999999999</v>
      </c>
      <c r="I18" s="45">
        <v>1</v>
      </c>
      <c r="J18" s="53">
        <v>3422000</v>
      </c>
      <c r="K18" s="47">
        <v>1819000</v>
      </c>
      <c r="L18" s="48">
        <f>IF(H18&lt;&gt;0,J18*H18*I18+K18*I18,IF(J18&lt;&gt;0,G18*I18*J18,I18*K18))</f>
        <v>8330210.5</v>
      </c>
      <c r="M18" s="115"/>
      <c r="N18" s="28"/>
      <c r="O18" s="85"/>
      <c r="P18" s="28"/>
      <c r="Q18" s="28"/>
      <c r="R18" s="28"/>
      <c r="S18" s="28"/>
      <c r="T18" s="28"/>
      <c r="U18" s="28"/>
      <c r="V18" s="28"/>
      <c r="W18" s="28"/>
      <c r="X18" s="28"/>
      <c r="Y18" s="28"/>
      <c r="Z18" s="28"/>
      <c r="AA18" s="28"/>
      <c r="AB18" s="28"/>
      <c r="AC18" s="28"/>
      <c r="AD18" s="28"/>
      <c r="AE18" s="28"/>
      <c r="AF18" s="28"/>
      <c r="AG18" s="28"/>
      <c r="AH18" s="28"/>
      <c r="AI18" s="28"/>
    </row>
    <row r="19" spans="1:35" ht="156" customHeight="1" x14ac:dyDescent="0.25">
      <c r="A19" s="81">
        <v>7</v>
      </c>
      <c r="B19" s="81" t="s">
        <v>93</v>
      </c>
      <c r="C19" s="51" t="s">
        <v>40</v>
      </c>
      <c r="D19" s="45" t="s">
        <v>39</v>
      </c>
      <c r="E19" s="45" t="s">
        <v>38</v>
      </c>
      <c r="F19" s="45">
        <v>875</v>
      </c>
      <c r="G19" s="45">
        <v>2070</v>
      </c>
      <c r="H19" s="46">
        <f>F19*G19/10^6</f>
        <v>1.81125</v>
      </c>
      <c r="I19" s="45">
        <v>1</v>
      </c>
      <c r="J19" s="53">
        <v>3457000</v>
      </c>
      <c r="K19" s="47">
        <v>1819000</v>
      </c>
      <c r="L19" s="48">
        <f>IF(H19&lt;&gt;0,J19*H19*I19+K19*I19,IF(J19&lt;&gt;0,G19*I19*J19,I19*K19))</f>
        <v>8080491.25</v>
      </c>
      <c r="M19" s="115"/>
      <c r="N19" s="28"/>
      <c r="O19" s="85"/>
      <c r="P19" s="28"/>
      <c r="Q19" s="28"/>
      <c r="R19" s="28"/>
      <c r="S19" s="28"/>
      <c r="T19" s="28"/>
      <c r="U19" s="28"/>
      <c r="V19" s="28"/>
      <c r="W19" s="28"/>
      <c r="X19" s="28"/>
      <c r="Y19" s="28"/>
      <c r="Z19" s="28"/>
      <c r="AA19" s="28"/>
      <c r="AB19" s="28"/>
      <c r="AC19" s="28"/>
      <c r="AD19" s="28"/>
      <c r="AE19" s="28"/>
      <c r="AF19" s="28"/>
      <c r="AG19" s="28"/>
      <c r="AH19" s="28"/>
      <c r="AI19" s="28"/>
    </row>
    <row r="20" spans="1:35" ht="156" customHeight="1" x14ac:dyDescent="0.25">
      <c r="A20" s="81">
        <v>8</v>
      </c>
      <c r="B20" s="81" t="s">
        <v>94</v>
      </c>
      <c r="C20" s="51" t="s">
        <v>40</v>
      </c>
      <c r="D20" s="45" t="s">
        <v>39</v>
      </c>
      <c r="E20" s="45" t="s">
        <v>38</v>
      </c>
      <c r="F20" s="45">
        <v>790</v>
      </c>
      <c r="G20" s="45">
        <v>2070</v>
      </c>
      <c r="H20" s="46">
        <f>F20*G20/10^6</f>
        <v>1.6353</v>
      </c>
      <c r="I20" s="45">
        <v>1</v>
      </c>
      <c r="J20" s="53">
        <v>3590000</v>
      </c>
      <c r="K20" s="47">
        <v>1819000</v>
      </c>
      <c r="L20" s="48">
        <f>IF(H20&lt;&gt;0,J20*H20*I20+K20*I20,IF(J20&lt;&gt;0,G20*I20*J20,I20*K20))</f>
        <v>7689727</v>
      </c>
      <c r="M20" s="115"/>
      <c r="N20" s="28"/>
      <c r="O20" s="85"/>
      <c r="P20" s="28"/>
      <c r="Q20" s="28"/>
      <c r="R20" s="28"/>
      <c r="S20" s="28"/>
      <c r="T20" s="28"/>
      <c r="U20" s="28"/>
      <c r="V20" s="28"/>
      <c r="W20" s="28"/>
      <c r="X20" s="28"/>
      <c r="Y20" s="28"/>
      <c r="Z20" s="28"/>
      <c r="AA20" s="28"/>
      <c r="AB20" s="28"/>
      <c r="AC20" s="28"/>
      <c r="AD20" s="28"/>
      <c r="AE20" s="28"/>
      <c r="AF20" s="28"/>
      <c r="AG20" s="28"/>
      <c r="AH20" s="28"/>
      <c r="AI20" s="28"/>
    </row>
    <row r="21" spans="1:35" s="3" customFormat="1" ht="138" customHeight="1" x14ac:dyDescent="0.25">
      <c r="A21" s="81">
        <v>9</v>
      </c>
      <c r="B21" s="57" t="s">
        <v>95</v>
      </c>
      <c r="C21" s="56" t="s">
        <v>41</v>
      </c>
      <c r="D21" s="45" t="s">
        <v>39</v>
      </c>
      <c r="E21" s="45" t="s">
        <v>38</v>
      </c>
      <c r="F21" s="45">
        <v>3186</v>
      </c>
      <c r="G21" s="45">
        <v>1843</v>
      </c>
      <c r="H21" s="46">
        <f t="shared" ref="H21" si="4">F21*G21/10^6</f>
        <v>5.8717980000000001</v>
      </c>
      <c r="I21" s="45">
        <v>1</v>
      </c>
      <c r="J21" s="53">
        <v>2963000</v>
      </c>
      <c r="K21" s="47">
        <v>1850000</v>
      </c>
      <c r="L21" s="48">
        <f t="shared" ref="L21" si="5">IF(H21&lt;&gt;0,J21*H21*I21+K21*I21,IF(J21&lt;&gt;0,G21*I21*J21,I21*K21))</f>
        <v>19248137.473999999</v>
      </c>
      <c r="M21" s="115"/>
      <c r="N21" s="28"/>
      <c r="O21" s="85"/>
      <c r="P21" s="28"/>
      <c r="Q21" s="28"/>
      <c r="R21" s="28"/>
      <c r="S21" s="28"/>
      <c r="T21" s="28"/>
      <c r="U21" s="28"/>
      <c r="V21" s="28"/>
      <c r="W21" s="28"/>
      <c r="X21" s="28"/>
      <c r="Y21" s="28"/>
      <c r="Z21" s="28"/>
      <c r="AA21" s="28"/>
      <c r="AB21" s="28"/>
      <c r="AC21" s="28"/>
      <c r="AD21" s="28"/>
      <c r="AE21" s="28"/>
      <c r="AF21" s="28"/>
      <c r="AG21" s="28"/>
      <c r="AH21" s="28"/>
      <c r="AI21" s="28"/>
    </row>
    <row r="22" spans="1:35" ht="144" customHeight="1" x14ac:dyDescent="0.25">
      <c r="A22" s="81">
        <v>10</v>
      </c>
      <c r="B22" s="81" t="s">
        <v>96</v>
      </c>
      <c r="C22" s="51" t="s">
        <v>42</v>
      </c>
      <c r="D22" s="45" t="s">
        <v>39</v>
      </c>
      <c r="E22" s="45"/>
      <c r="F22" s="45">
        <v>1447</v>
      </c>
      <c r="G22" s="45">
        <v>1850</v>
      </c>
      <c r="H22" s="46">
        <f>F22*G22/10^6</f>
        <v>2.6769500000000002</v>
      </c>
      <c r="I22" s="45">
        <v>1</v>
      </c>
      <c r="J22" s="53">
        <v>2284000</v>
      </c>
      <c r="K22" s="47"/>
      <c r="L22" s="48">
        <f>IF(H22&lt;&gt;0,J22*H22*I22+K22*I22,IF(J22&lt;&gt;0,G22*I22*J22,I22*K22))</f>
        <v>6114153.8000000007</v>
      </c>
      <c r="M22" s="115"/>
      <c r="N22" s="28"/>
      <c r="O22" s="85"/>
      <c r="P22" s="28"/>
      <c r="Q22" s="28"/>
      <c r="R22" s="28"/>
      <c r="S22" s="28"/>
      <c r="T22" s="28"/>
      <c r="U22" s="28"/>
      <c r="V22" s="28"/>
      <c r="W22" s="28"/>
      <c r="X22" s="28"/>
      <c r="Y22" s="28"/>
      <c r="Z22" s="28"/>
      <c r="AA22" s="28"/>
      <c r="AB22" s="28"/>
      <c r="AC22" s="28"/>
      <c r="AD22" s="28"/>
      <c r="AE22" s="28"/>
      <c r="AF22" s="28"/>
      <c r="AG22" s="28"/>
      <c r="AH22" s="28"/>
      <c r="AI22" s="28"/>
    </row>
    <row r="23" spans="1:35" ht="144" customHeight="1" x14ac:dyDescent="0.25">
      <c r="A23" s="81">
        <v>11</v>
      </c>
      <c r="B23" s="81" t="s">
        <v>97</v>
      </c>
      <c r="C23" s="51" t="s">
        <v>42</v>
      </c>
      <c r="D23" s="45" t="s">
        <v>39</v>
      </c>
      <c r="E23" s="45"/>
      <c r="F23" s="45">
        <v>1447</v>
      </c>
      <c r="G23" s="45">
        <v>1840</v>
      </c>
      <c r="H23" s="46">
        <f>F23*G23/10^6</f>
        <v>2.66248</v>
      </c>
      <c r="I23" s="45">
        <v>1</v>
      </c>
      <c r="J23" s="53">
        <v>2286000</v>
      </c>
      <c r="K23" s="47"/>
      <c r="L23" s="48">
        <f>IF(H23&lt;&gt;0,J23*H23*I23+K23*I23,IF(J23&lt;&gt;0,G23*I23*J23,I23*K23))</f>
        <v>6086429.2800000003</v>
      </c>
      <c r="M23" s="115"/>
      <c r="N23" s="28"/>
      <c r="O23" s="85"/>
      <c r="P23" s="28"/>
      <c r="Q23" s="28"/>
      <c r="R23" s="28"/>
      <c r="S23" s="28"/>
      <c r="T23" s="28"/>
      <c r="U23" s="28"/>
      <c r="V23" s="28"/>
      <c r="W23" s="28"/>
      <c r="X23" s="28"/>
      <c r="Y23" s="28"/>
      <c r="Z23" s="28"/>
      <c r="AA23" s="28"/>
      <c r="AB23" s="28"/>
      <c r="AC23" s="28"/>
      <c r="AD23" s="28"/>
      <c r="AE23" s="28"/>
      <c r="AF23" s="28"/>
      <c r="AG23" s="28"/>
      <c r="AH23" s="28"/>
      <c r="AI23" s="28"/>
    </row>
    <row r="24" spans="1:35" s="3" customFormat="1" ht="138" customHeight="1" x14ac:dyDescent="0.25">
      <c r="A24" s="81">
        <v>12</v>
      </c>
      <c r="B24" s="57" t="s">
        <v>98</v>
      </c>
      <c r="C24" s="56" t="s">
        <v>41</v>
      </c>
      <c r="D24" s="45" t="s">
        <v>39</v>
      </c>
      <c r="E24" s="45" t="s">
        <v>38</v>
      </c>
      <c r="F24" s="45">
        <v>3188</v>
      </c>
      <c r="G24" s="45">
        <v>1840</v>
      </c>
      <c r="H24" s="46">
        <f t="shared" ref="H24:H25" si="6">F24*G24/10^6</f>
        <v>5.86592</v>
      </c>
      <c r="I24" s="45">
        <v>1</v>
      </c>
      <c r="J24" s="53">
        <v>2965000</v>
      </c>
      <c r="K24" s="47">
        <v>1850000</v>
      </c>
      <c r="L24" s="48">
        <f t="shared" ref="L24:L25" si="7">IF(H24&lt;&gt;0,J24*H24*I24+K24*I24,IF(J24&lt;&gt;0,G24*I24*J24,I24*K24))</f>
        <v>19242452.800000001</v>
      </c>
      <c r="M24" s="115"/>
      <c r="N24" s="28"/>
      <c r="O24" s="85"/>
      <c r="P24" s="28"/>
      <c r="Q24" s="28"/>
      <c r="R24" s="28"/>
      <c r="S24" s="28"/>
      <c r="T24" s="28"/>
      <c r="U24" s="28"/>
      <c r="V24" s="28"/>
      <c r="W24" s="28"/>
      <c r="X24" s="28"/>
      <c r="Y24" s="28"/>
      <c r="Z24" s="28"/>
      <c r="AA24" s="28"/>
      <c r="AB24" s="28"/>
      <c r="AC24" s="28"/>
      <c r="AD24" s="28"/>
      <c r="AE24" s="28"/>
      <c r="AF24" s="28"/>
      <c r="AG24" s="28"/>
      <c r="AH24" s="28"/>
      <c r="AI24" s="28"/>
    </row>
    <row r="25" spans="1:35" s="3" customFormat="1" ht="138" customHeight="1" x14ac:dyDescent="0.25">
      <c r="A25" s="81">
        <v>13</v>
      </c>
      <c r="B25" s="57" t="s">
        <v>99</v>
      </c>
      <c r="C25" s="56" t="s">
        <v>41</v>
      </c>
      <c r="D25" s="45" t="s">
        <v>39</v>
      </c>
      <c r="E25" s="45" t="s">
        <v>38</v>
      </c>
      <c r="F25" s="45">
        <v>3206</v>
      </c>
      <c r="G25" s="45">
        <v>1837</v>
      </c>
      <c r="H25" s="46">
        <f t="shared" si="6"/>
        <v>5.8894219999999997</v>
      </c>
      <c r="I25" s="45">
        <v>1</v>
      </c>
      <c r="J25" s="53">
        <v>2963000</v>
      </c>
      <c r="K25" s="47">
        <v>1850000</v>
      </c>
      <c r="L25" s="48">
        <f t="shared" si="7"/>
        <v>19300357.386</v>
      </c>
      <c r="M25" s="115"/>
      <c r="N25" s="28"/>
      <c r="O25" s="85"/>
      <c r="P25" s="28"/>
      <c r="Q25" s="28"/>
      <c r="R25" s="28"/>
      <c r="S25" s="28"/>
      <c r="T25" s="28"/>
      <c r="U25" s="28"/>
      <c r="V25" s="28"/>
      <c r="W25" s="28"/>
      <c r="X25" s="28"/>
      <c r="Y25" s="28"/>
      <c r="Z25" s="28"/>
      <c r="AA25" s="28"/>
      <c r="AB25" s="28"/>
      <c r="AC25" s="28"/>
      <c r="AD25" s="28"/>
      <c r="AE25" s="28"/>
      <c r="AF25" s="28"/>
      <c r="AG25" s="28"/>
      <c r="AH25" s="28"/>
      <c r="AI25" s="28"/>
    </row>
    <row r="26" spans="1:35" ht="144" customHeight="1" x14ac:dyDescent="0.25">
      <c r="A26" s="81">
        <v>14</v>
      </c>
      <c r="B26" s="81" t="s">
        <v>100</v>
      </c>
      <c r="C26" s="51" t="s">
        <v>42</v>
      </c>
      <c r="D26" s="45" t="s">
        <v>39</v>
      </c>
      <c r="E26" s="45"/>
      <c r="F26" s="45">
        <v>1442</v>
      </c>
      <c r="G26" s="45">
        <v>1828</v>
      </c>
      <c r="H26" s="46">
        <f>F26*G26/10^6</f>
        <v>2.6359759999999999</v>
      </c>
      <c r="I26" s="45">
        <v>1</v>
      </c>
      <c r="J26" s="53">
        <v>2287000</v>
      </c>
      <c r="K26" s="47"/>
      <c r="L26" s="48">
        <f>IF(H26&lt;&gt;0,J26*H26*I26+K26*I26,IF(J26&lt;&gt;0,G26*I26*J26,I26*K26))</f>
        <v>6028477.1119999997</v>
      </c>
      <c r="M26" s="115"/>
      <c r="N26" s="28"/>
      <c r="O26" s="85"/>
      <c r="P26" s="28"/>
      <c r="Q26" s="28"/>
      <c r="R26" s="28"/>
      <c r="S26" s="28"/>
      <c r="T26" s="28"/>
      <c r="U26" s="28"/>
      <c r="V26" s="28"/>
      <c r="W26" s="28"/>
      <c r="X26" s="28"/>
      <c r="Y26" s="28"/>
      <c r="Z26" s="28"/>
      <c r="AA26" s="28"/>
      <c r="AB26" s="28"/>
      <c r="AC26" s="28"/>
      <c r="AD26" s="28"/>
      <c r="AE26" s="28"/>
      <c r="AF26" s="28"/>
      <c r="AG26" s="28"/>
      <c r="AH26" s="28"/>
      <c r="AI26" s="28"/>
    </row>
    <row r="27" spans="1:35" ht="144" customHeight="1" x14ac:dyDescent="0.25">
      <c r="A27" s="81">
        <v>15</v>
      </c>
      <c r="B27" s="81" t="s">
        <v>101</v>
      </c>
      <c r="C27" s="51" t="s">
        <v>42</v>
      </c>
      <c r="D27" s="45" t="s">
        <v>39</v>
      </c>
      <c r="E27" s="45"/>
      <c r="F27" s="45">
        <v>1452</v>
      </c>
      <c r="G27" s="45">
        <v>1850</v>
      </c>
      <c r="H27" s="46">
        <f>F27*G27/10^6</f>
        <v>2.6861999999999999</v>
      </c>
      <c r="I27" s="45">
        <v>1</v>
      </c>
      <c r="J27" s="53">
        <v>2284000</v>
      </c>
      <c r="K27" s="47"/>
      <c r="L27" s="48">
        <f>IF(H27&lt;&gt;0,J27*H27*I27+K27*I27,IF(J27&lt;&gt;0,G27*I27*J27,I27*K27))</f>
        <v>6135280.7999999998</v>
      </c>
      <c r="M27" s="115"/>
      <c r="N27" s="28"/>
      <c r="O27" s="85"/>
      <c r="P27" s="28"/>
      <c r="Q27" s="28"/>
      <c r="R27" s="28"/>
      <c r="S27" s="28"/>
      <c r="T27" s="28"/>
      <c r="U27" s="28"/>
      <c r="V27" s="28"/>
      <c r="W27" s="28"/>
      <c r="X27" s="28"/>
      <c r="Y27" s="28"/>
      <c r="Z27" s="28"/>
      <c r="AA27" s="28"/>
      <c r="AB27" s="28"/>
      <c r="AC27" s="28"/>
      <c r="AD27" s="28"/>
      <c r="AE27" s="28"/>
      <c r="AF27" s="28"/>
      <c r="AG27" s="28"/>
      <c r="AH27" s="28"/>
      <c r="AI27" s="28"/>
    </row>
    <row r="28" spans="1:35" s="3" customFormat="1" ht="138" customHeight="1" x14ac:dyDescent="0.25">
      <c r="A28" s="81">
        <v>16</v>
      </c>
      <c r="B28" s="57" t="s">
        <v>102</v>
      </c>
      <c r="C28" s="56" t="s">
        <v>41</v>
      </c>
      <c r="D28" s="45" t="s">
        <v>39</v>
      </c>
      <c r="E28" s="45" t="s">
        <v>38</v>
      </c>
      <c r="F28" s="45">
        <v>2923</v>
      </c>
      <c r="G28" s="45">
        <v>1852</v>
      </c>
      <c r="H28" s="46">
        <f t="shared" ref="H28:H29" si="8">F28*G28/10^6</f>
        <v>5.4133959999999997</v>
      </c>
      <c r="I28" s="45">
        <v>1</v>
      </c>
      <c r="J28" s="53">
        <v>3007000</v>
      </c>
      <c r="K28" s="47">
        <v>1850000</v>
      </c>
      <c r="L28" s="48">
        <f t="shared" ref="L28:L29" si="9">IF(H28&lt;&gt;0,J28*H28*I28+K28*I28,IF(J28&lt;&gt;0,G28*I28*J28,I28*K28))</f>
        <v>18128081.772</v>
      </c>
      <c r="M28" s="115"/>
      <c r="N28" s="28"/>
      <c r="O28" s="85"/>
      <c r="P28" s="28"/>
      <c r="Q28" s="28"/>
      <c r="R28" s="28"/>
      <c r="S28" s="28"/>
      <c r="T28" s="28"/>
      <c r="U28" s="28"/>
      <c r="V28" s="28"/>
      <c r="W28" s="28"/>
      <c r="X28" s="28"/>
      <c r="Y28" s="28"/>
      <c r="Z28" s="28"/>
      <c r="AA28" s="28"/>
      <c r="AB28" s="28"/>
      <c r="AC28" s="28"/>
      <c r="AD28" s="28"/>
      <c r="AE28" s="28"/>
      <c r="AF28" s="28"/>
      <c r="AG28" s="28"/>
      <c r="AH28" s="28"/>
      <c r="AI28" s="28"/>
    </row>
    <row r="29" spans="1:35" s="3" customFormat="1" ht="138" customHeight="1" x14ac:dyDescent="0.25">
      <c r="A29" s="81">
        <v>17</v>
      </c>
      <c r="B29" s="57" t="s">
        <v>103</v>
      </c>
      <c r="C29" s="56" t="s">
        <v>41</v>
      </c>
      <c r="D29" s="45" t="s">
        <v>39</v>
      </c>
      <c r="E29" s="45" t="s">
        <v>38</v>
      </c>
      <c r="F29" s="45">
        <v>2928</v>
      </c>
      <c r="G29" s="45">
        <v>1850</v>
      </c>
      <c r="H29" s="46">
        <f t="shared" si="8"/>
        <v>5.4168000000000003</v>
      </c>
      <c r="I29" s="45">
        <v>1</v>
      </c>
      <c r="J29" s="53">
        <v>3007000</v>
      </c>
      <c r="K29" s="47">
        <v>1850000</v>
      </c>
      <c r="L29" s="48">
        <f t="shared" si="9"/>
        <v>18138317.600000001</v>
      </c>
      <c r="M29" s="115"/>
      <c r="N29" s="28"/>
      <c r="O29" s="85"/>
      <c r="P29" s="28"/>
      <c r="Q29" s="28"/>
      <c r="R29" s="28"/>
      <c r="S29" s="28"/>
      <c r="T29" s="28"/>
      <c r="U29" s="28"/>
      <c r="V29" s="28"/>
      <c r="W29" s="28"/>
      <c r="X29" s="28"/>
      <c r="Y29" s="28"/>
      <c r="Z29" s="28"/>
      <c r="AA29" s="28"/>
      <c r="AB29" s="28"/>
      <c r="AC29" s="28"/>
      <c r="AD29" s="28"/>
      <c r="AE29" s="28"/>
      <c r="AF29" s="28"/>
      <c r="AG29" s="28"/>
      <c r="AH29" s="28"/>
      <c r="AI29" s="28"/>
    </row>
    <row r="30" spans="1:35" ht="144" customHeight="1" x14ac:dyDescent="0.25">
      <c r="A30" s="81">
        <v>18</v>
      </c>
      <c r="B30" s="81" t="s">
        <v>104</v>
      </c>
      <c r="C30" s="51" t="s">
        <v>42</v>
      </c>
      <c r="D30" s="45" t="s">
        <v>39</v>
      </c>
      <c r="E30" s="45"/>
      <c r="F30" s="45">
        <v>1440</v>
      </c>
      <c r="G30" s="45">
        <v>1836</v>
      </c>
      <c r="H30" s="46">
        <f>F30*G30/10^6</f>
        <v>2.64384</v>
      </c>
      <c r="I30" s="45">
        <v>1</v>
      </c>
      <c r="J30" s="53">
        <v>2287000</v>
      </c>
      <c r="K30" s="47"/>
      <c r="L30" s="48">
        <f>IF(H30&lt;&gt;0,J30*H30*I30+K30*I30,IF(J30&lt;&gt;0,G30*I30*J30,I30*K30))</f>
        <v>6046462.0800000001</v>
      </c>
      <c r="M30" s="115"/>
      <c r="N30" s="28"/>
      <c r="O30" s="85"/>
      <c r="P30" s="28"/>
      <c r="Q30" s="28"/>
      <c r="R30" s="28"/>
      <c r="S30" s="28"/>
      <c r="T30" s="28"/>
      <c r="U30" s="28"/>
      <c r="V30" s="28"/>
      <c r="W30" s="28"/>
      <c r="X30" s="28"/>
      <c r="Y30" s="28"/>
      <c r="Z30" s="28"/>
      <c r="AA30" s="28"/>
      <c r="AB30" s="28"/>
      <c r="AC30" s="28"/>
      <c r="AD30" s="28"/>
      <c r="AE30" s="28"/>
      <c r="AF30" s="28"/>
      <c r="AG30" s="28"/>
      <c r="AH30" s="28"/>
      <c r="AI30" s="28"/>
    </row>
    <row r="31" spans="1:35" ht="144" customHeight="1" x14ac:dyDescent="0.25">
      <c r="A31" s="81">
        <v>19</v>
      </c>
      <c r="B31" s="81" t="s">
        <v>105</v>
      </c>
      <c r="C31" s="51" t="s">
        <v>42</v>
      </c>
      <c r="D31" s="45" t="s">
        <v>39</v>
      </c>
      <c r="E31" s="45"/>
      <c r="F31" s="45">
        <v>1445</v>
      </c>
      <c r="G31" s="45">
        <v>1848</v>
      </c>
      <c r="H31" s="46">
        <f>F31*G31/10^6</f>
        <v>2.6703600000000001</v>
      </c>
      <c r="I31" s="45">
        <v>1</v>
      </c>
      <c r="J31" s="53">
        <v>2286000</v>
      </c>
      <c r="K31" s="47"/>
      <c r="L31" s="48">
        <f>IF(H31&lt;&gt;0,J31*H31*I31+K31*I31,IF(J31&lt;&gt;0,G31*I31*J31,I31*K31))</f>
        <v>6104442.96</v>
      </c>
      <c r="M31" s="115"/>
      <c r="N31" s="28"/>
      <c r="O31" s="85"/>
      <c r="P31" s="28"/>
      <c r="Q31" s="28"/>
      <c r="R31" s="28"/>
      <c r="S31" s="28"/>
      <c r="T31" s="28"/>
      <c r="U31" s="28"/>
      <c r="V31" s="28"/>
      <c r="W31" s="28"/>
      <c r="X31" s="28"/>
      <c r="Y31" s="28"/>
      <c r="Z31" s="28"/>
      <c r="AA31" s="28"/>
      <c r="AB31" s="28"/>
      <c r="AC31" s="28"/>
      <c r="AD31" s="28"/>
      <c r="AE31" s="28"/>
      <c r="AF31" s="28"/>
      <c r="AG31" s="28"/>
      <c r="AH31" s="28"/>
      <c r="AI31" s="28"/>
    </row>
    <row r="32" spans="1:35" s="3" customFormat="1" ht="138" customHeight="1" x14ac:dyDescent="0.25">
      <c r="A32" s="81">
        <v>20</v>
      </c>
      <c r="B32" s="57" t="s">
        <v>106</v>
      </c>
      <c r="C32" s="56" t="s">
        <v>41</v>
      </c>
      <c r="D32" s="45" t="s">
        <v>39</v>
      </c>
      <c r="E32" s="45" t="s">
        <v>38</v>
      </c>
      <c r="F32" s="45">
        <v>2927</v>
      </c>
      <c r="G32" s="45">
        <v>1847</v>
      </c>
      <c r="H32" s="46">
        <f t="shared" ref="H32:H33" si="10">F32*G32/10^6</f>
        <v>5.4061690000000002</v>
      </c>
      <c r="I32" s="45">
        <v>1</v>
      </c>
      <c r="J32" s="53">
        <v>3008000</v>
      </c>
      <c r="K32" s="47">
        <v>1850000</v>
      </c>
      <c r="L32" s="48">
        <f t="shared" ref="L32:L33" si="11">IF(H32&lt;&gt;0,J32*H32*I32+K32*I32,IF(J32&lt;&gt;0,G32*I32*J32,I32*K32))</f>
        <v>18111756.351999998</v>
      </c>
      <c r="M32" s="115"/>
      <c r="N32" s="28"/>
      <c r="O32" s="85"/>
      <c r="P32" s="28"/>
      <c r="Q32" s="28"/>
      <c r="R32" s="28"/>
      <c r="S32" s="28"/>
      <c r="T32" s="28"/>
      <c r="U32" s="28"/>
      <c r="V32" s="28"/>
      <c r="W32" s="28"/>
      <c r="X32" s="28"/>
      <c r="Y32" s="28"/>
      <c r="Z32" s="28"/>
      <c r="AA32" s="28"/>
      <c r="AB32" s="28"/>
      <c r="AC32" s="28"/>
      <c r="AD32" s="28"/>
      <c r="AE32" s="28"/>
      <c r="AF32" s="28"/>
      <c r="AG32" s="28"/>
      <c r="AH32" s="28"/>
      <c r="AI32" s="28"/>
    </row>
    <row r="33" spans="1:35" s="3" customFormat="1" ht="138" customHeight="1" x14ac:dyDescent="0.25">
      <c r="A33" s="81">
        <v>21</v>
      </c>
      <c r="B33" s="57" t="s">
        <v>107</v>
      </c>
      <c r="C33" s="56" t="s">
        <v>41</v>
      </c>
      <c r="D33" s="45" t="s">
        <v>39</v>
      </c>
      <c r="E33" s="45" t="s">
        <v>38</v>
      </c>
      <c r="F33" s="45">
        <v>2932</v>
      </c>
      <c r="G33" s="45">
        <v>1852</v>
      </c>
      <c r="H33" s="46">
        <f t="shared" si="10"/>
        <v>5.4300639999999998</v>
      </c>
      <c r="I33" s="45">
        <v>1</v>
      </c>
      <c r="J33" s="53">
        <v>3005000</v>
      </c>
      <c r="K33" s="47">
        <v>1850000</v>
      </c>
      <c r="L33" s="48">
        <f t="shared" si="11"/>
        <v>18167342.32</v>
      </c>
      <c r="M33" s="115"/>
      <c r="N33" s="28"/>
      <c r="O33" s="85"/>
      <c r="P33" s="28"/>
      <c r="Q33" s="28"/>
      <c r="R33" s="28"/>
      <c r="S33" s="28"/>
      <c r="T33" s="28"/>
      <c r="U33" s="28"/>
      <c r="V33" s="28"/>
      <c r="W33" s="28"/>
      <c r="X33" s="28"/>
      <c r="Y33" s="28"/>
      <c r="Z33" s="28"/>
      <c r="AA33" s="28"/>
      <c r="AB33" s="28"/>
      <c r="AC33" s="28"/>
      <c r="AD33" s="28"/>
      <c r="AE33" s="28"/>
      <c r="AF33" s="28"/>
      <c r="AG33" s="28"/>
      <c r="AH33" s="28"/>
      <c r="AI33" s="28"/>
    </row>
    <row r="34" spans="1:35" ht="144" customHeight="1" x14ac:dyDescent="0.25">
      <c r="A34" s="81">
        <v>22</v>
      </c>
      <c r="B34" s="81" t="s">
        <v>108</v>
      </c>
      <c r="C34" s="51" t="s">
        <v>42</v>
      </c>
      <c r="D34" s="45" t="s">
        <v>39</v>
      </c>
      <c r="E34" s="45"/>
      <c r="F34" s="45">
        <v>1450</v>
      </c>
      <c r="G34" s="45">
        <v>1850</v>
      </c>
      <c r="H34" s="46">
        <f>F34*G34/10^6</f>
        <v>2.6825000000000001</v>
      </c>
      <c r="I34" s="45">
        <v>1</v>
      </c>
      <c r="J34" s="53">
        <v>2284000</v>
      </c>
      <c r="K34" s="47"/>
      <c r="L34" s="48">
        <f>IF(H34&lt;&gt;0,J34*H34*I34+K34*I34,IF(J34&lt;&gt;0,G34*I34*J34,I34*K34))</f>
        <v>6126830</v>
      </c>
      <c r="M34" s="115"/>
      <c r="N34" s="28"/>
      <c r="O34" s="85"/>
      <c r="P34" s="28"/>
      <c r="Q34" s="28"/>
      <c r="R34" s="28"/>
      <c r="S34" s="28"/>
      <c r="T34" s="28"/>
      <c r="U34" s="28"/>
      <c r="V34" s="28"/>
      <c r="W34" s="28"/>
      <c r="X34" s="28"/>
      <c r="Y34" s="28"/>
      <c r="Z34" s="28"/>
      <c r="AA34" s="28"/>
      <c r="AB34" s="28"/>
      <c r="AC34" s="28"/>
      <c r="AD34" s="28"/>
      <c r="AE34" s="28"/>
      <c r="AF34" s="28"/>
      <c r="AG34" s="28"/>
      <c r="AH34" s="28"/>
      <c r="AI34" s="28"/>
    </row>
    <row r="35" spans="1:35" ht="156" customHeight="1" x14ac:dyDescent="0.25">
      <c r="A35" s="81">
        <v>23</v>
      </c>
      <c r="B35" s="81" t="s">
        <v>109</v>
      </c>
      <c r="C35" s="51" t="s">
        <v>40</v>
      </c>
      <c r="D35" s="45" t="s">
        <v>39</v>
      </c>
      <c r="E35" s="45" t="s">
        <v>38</v>
      </c>
      <c r="F35" s="45">
        <v>890</v>
      </c>
      <c r="G35" s="45">
        <v>1890</v>
      </c>
      <c r="H35" s="46">
        <f>F35*G35/10^6</f>
        <v>1.6820999999999999</v>
      </c>
      <c r="I35" s="45">
        <v>1</v>
      </c>
      <c r="J35" s="53">
        <v>3483000</v>
      </c>
      <c r="K35" s="47">
        <v>1819000</v>
      </c>
      <c r="L35" s="48">
        <f>IF(H35&lt;&gt;0,J35*H35*I35+K35*I35,IF(J35&lt;&gt;0,G35*I35*J35,I35*K35))</f>
        <v>7677754.2999999998</v>
      </c>
      <c r="M35" s="115"/>
      <c r="N35" s="28"/>
      <c r="O35" s="85"/>
      <c r="P35" s="28"/>
      <c r="Q35" s="28"/>
      <c r="R35" s="28"/>
      <c r="S35" s="28"/>
      <c r="T35" s="28"/>
      <c r="U35" s="28"/>
      <c r="V35" s="28"/>
      <c r="W35" s="28"/>
      <c r="X35" s="28"/>
      <c r="Y35" s="28"/>
      <c r="Z35" s="28"/>
      <c r="AA35" s="28"/>
      <c r="AB35" s="28"/>
      <c r="AC35" s="28"/>
      <c r="AD35" s="28"/>
      <c r="AE35" s="28"/>
      <c r="AF35" s="28"/>
      <c r="AG35" s="28"/>
      <c r="AH35" s="28"/>
      <c r="AI35" s="28"/>
    </row>
    <row r="36" spans="1:35" ht="144" customHeight="1" x14ac:dyDescent="0.25">
      <c r="A36" s="81">
        <v>24</v>
      </c>
      <c r="B36" s="81" t="s">
        <v>110</v>
      </c>
      <c r="C36" s="51" t="s">
        <v>42</v>
      </c>
      <c r="D36" s="45" t="s">
        <v>39</v>
      </c>
      <c r="E36" s="45"/>
      <c r="F36" s="45">
        <v>1440</v>
      </c>
      <c r="G36" s="45">
        <v>1840</v>
      </c>
      <c r="H36" s="46">
        <f>F36*G36/10^6</f>
        <v>2.6496</v>
      </c>
      <c r="I36" s="45">
        <v>1</v>
      </c>
      <c r="J36" s="53">
        <v>2287000</v>
      </c>
      <c r="K36" s="47"/>
      <c r="L36" s="48">
        <f>IF(H36&lt;&gt;0,J36*H36*I36+K36*I36,IF(J36&lt;&gt;0,G36*I36*J36,I36*K36))</f>
        <v>6059635.2000000002</v>
      </c>
      <c r="M36" s="115"/>
      <c r="N36" s="28"/>
      <c r="O36" s="85"/>
      <c r="P36" s="28"/>
      <c r="Q36" s="28"/>
      <c r="R36" s="28"/>
      <c r="S36" s="28"/>
      <c r="T36" s="28"/>
      <c r="U36" s="28"/>
      <c r="V36" s="28"/>
      <c r="W36" s="28"/>
      <c r="X36" s="28"/>
      <c r="Y36" s="28"/>
      <c r="Z36" s="28"/>
      <c r="AA36" s="28"/>
      <c r="AB36" s="28"/>
      <c r="AC36" s="28"/>
      <c r="AD36" s="28"/>
      <c r="AE36" s="28"/>
      <c r="AF36" s="28"/>
      <c r="AG36" s="28"/>
      <c r="AH36" s="28"/>
      <c r="AI36" s="28"/>
    </row>
    <row r="37" spans="1:35" s="3" customFormat="1" ht="138" customHeight="1" x14ac:dyDescent="0.25">
      <c r="A37" s="81">
        <v>25</v>
      </c>
      <c r="B37" s="57" t="s">
        <v>111</v>
      </c>
      <c r="C37" s="56" t="s">
        <v>41</v>
      </c>
      <c r="D37" s="45" t="s">
        <v>39</v>
      </c>
      <c r="E37" s="45" t="s">
        <v>38</v>
      </c>
      <c r="F37" s="45">
        <v>3205</v>
      </c>
      <c r="G37" s="45">
        <v>1848</v>
      </c>
      <c r="H37" s="46">
        <f t="shared" ref="H37:H38" si="12">F37*G37/10^6</f>
        <v>5.9228399999999999</v>
      </c>
      <c r="I37" s="45">
        <v>1</v>
      </c>
      <c r="J37" s="53">
        <v>2959000</v>
      </c>
      <c r="K37" s="47">
        <v>1850000</v>
      </c>
      <c r="L37" s="48">
        <f t="shared" ref="L37:L38" si="13">IF(H37&lt;&gt;0,J37*H37*I37+K37*I37,IF(J37&lt;&gt;0,G37*I37*J37,I37*K37))</f>
        <v>19375683.559999999</v>
      </c>
      <c r="M37" s="115"/>
      <c r="N37" s="28"/>
      <c r="O37" s="85"/>
      <c r="P37" s="28"/>
      <c r="Q37" s="28"/>
      <c r="R37" s="28"/>
      <c r="S37" s="28"/>
      <c r="T37" s="28"/>
      <c r="U37" s="28"/>
      <c r="V37" s="28"/>
      <c r="W37" s="28"/>
      <c r="X37" s="28"/>
      <c r="Y37" s="28"/>
      <c r="Z37" s="28"/>
      <c r="AA37" s="28"/>
      <c r="AB37" s="28"/>
      <c r="AC37" s="28"/>
      <c r="AD37" s="28"/>
      <c r="AE37" s="28"/>
      <c r="AF37" s="28"/>
      <c r="AG37" s="28"/>
      <c r="AH37" s="28"/>
      <c r="AI37" s="28"/>
    </row>
    <row r="38" spans="1:35" s="3" customFormat="1" ht="138" customHeight="1" x14ac:dyDescent="0.25">
      <c r="A38" s="81">
        <v>26</v>
      </c>
      <c r="B38" s="57" t="s">
        <v>112</v>
      </c>
      <c r="C38" s="56" t="s">
        <v>41</v>
      </c>
      <c r="D38" s="45" t="s">
        <v>39</v>
      </c>
      <c r="E38" s="45" t="s">
        <v>38</v>
      </c>
      <c r="F38" s="45">
        <v>3170</v>
      </c>
      <c r="G38" s="45">
        <v>1850</v>
      </c>
      <c r="H38" s="46">
        <f t="shared" si="12"/>
        <v>5.8644999999999996</v>
      </c>
      <c r="I38" s="45">
        <v>1</v>
      </c>
      <c r="J38" s="53">
        <v>2965000</v>
      </c>
      <c r="K38" s="47">
        <v>1850000</v>
      </c>
      <c r="L38" s="48">
        <f t="shared" si="13"/>
        <v>19238242.5</v>
      </c>
      <c r="M38" s="115"/>
      <c r="N38" s="28"/>
      <c r="O38" s="85"/>
      <c r="P38" s="28"/>
      <c r="Q38" s="28"/>
      <c r="R38" s="28"/>
      <c r="S38" s="28"/>
      <c r="T38" s="28"/>
      <c r="U38" s="28"/>
      <c r="V38" s="28"/>
      <c r="W38" s="28"/>
      <c r="X38" s="28"/>
      <c r="Y38" s="28"/>
      <c r="Z38" s="28"/>
      <c r="AA38" s="28"/>
      <c r="AB38" s="28"/>
      <c r="AC38" s="28"/>
      <c r="AD38" s="28"/>
      <c r="AE38" s="28"/>
      <c r="AF38" s="28"/>
      <c r="AG38" s="28"/>
      <c r="AH38" s="28"/>
      <c r="AI38" s="28"/>
    </row>
    <row r="39" spans="1:35" ht="144" customHeight="1" x14ac:dyDescent="0.25">
      <c r="A39" s="81">
        <v>27</v>
      </c>
      <c r="B39" s="81" t="s">
        <v>113</v>
      </c>
      <c r="C39" s="51" t="s">
        <v>42</v>
      </c>
      <c r="D39" s="45" t="s">
        <v>39</v>
      </c>
      <c r="E39" s="45"/>
      <c r="F39" s="45">
        <v>1438</v>
      </c>
      <c r="G39" s="45">
        <v>1850</v>
      </c>
      <c r="H39" s="46">
        <f>F39*G39/10^6</f>
        <v>2.6602999999999999</v>
      </c>
      <c r="I39" s="45">
        <v>1</v>
      </c>
      <c r="J39" s="53">
        <v>2286000</v>
      </c>
      <c r="K39" s="47"/>
      <c r="L39" s="48">
        <f>IF(H39&lt;&gt;0,J39*H39*I39+K39*I39,IF(J39&lt;&gt;0,G39*I39*J39,I39*K39))</f>
        <v>6081445.7999999998</v>
      </c>
      <c r="M39" s="115"/>
      <c r="N39" s="28"/>
      <c r="O39" s="85"/>
      <c r="P39" s="28"/>
      <c r="Q39" s="28"/>
      <c r="R39" s="28"/>
      <c r="S39" s="28"/>
      <c r="T39" s="28"/>
      <c r="U39" s="28"/>
      <c r="V39" s="28"/>
      <c r="W39" s="28"/>
      <c r="X39" s="28"/>
      <c r="Y39" s="28"/>
      <c r="Z39" s="28"/>
      <c r="AA39" s="28"/>
      <c r="AB39" s="28"/>
      <c r="AC39" s="28"/>
      <c r="AD39" s="28"/>
      <c r="AE39" s="28"/>
      <c r="AF39" s="28"/>
      <c r="AG39" s="28"/>
      <c r="AH39" s="28"/>
      <c r="AI39" s="28"/>
    </row>
    <row r="40" spans="1:35" ht="144" customHeight="1" x14ac:dyDescent="0.25">
      <c r="A40" s="81">
        <v>28</v>
      </c>
      <c r="B40" s="81" t="s">
        <v>114</v>
      </c>
      <c r="C40" s="51" t="s">
        <v>42</v>
      </c>
      <c r="D40" s="45" t="s">
        <v>39</v>
      </c>
      <c r="E40" s="45"/>
      <c r="F40" s="45">
        <v>1446</v>
      </c>
      <c r="G40" s="45">
        <v>1842</v>
      </c>
      <c r="H40" s="46">
        <f>F40*G40/10^6</f>
        <v>2.663532</v>
      </c>
      <c r="I40" s="45">
        <v>1</v>
      </c>
      <c r="J40" s="53">
        <v>2286000</v>
      </c>
      <c r="K40" s="47"/>
      <c r="L40" s="48">
        <f>IF(H40&lt;&gt;0,J40*H40*I40+K40*I40,IF(J40&lt;&gt;0,G40*I40*J40,I40*K40))</f>
        <v>6088834.1519999998</v>
      </c>
      <c r="M40" s="115"/>
      <c r="N40" s="28"/>
      <c r="O40" s="85"/>
      <c r="P40" s="28"/>
      <c r="Q40" s="28"/>
      <c r="R40" s="28"/>
      <c r="S40" s="28"/>
      <c r="T40" s="28"/>
      <c r="U40" s="28"/>
      <c r="V40" s="28"/>
      <c r="W40" s="28"/>
      <c r="X40" s="28"/>
      <c r="Y40" s="28"/>
      <c r="Z40" s="28"/>
      <c r="AA40" s="28"/>
      <c r="AB40" s="28"/>
      <c r="AC40" s="28"/>
      <c r="AD40" s="28"/>
      <c r="AE40" s="28"/>
      <c r="AF40" s="28"/>
      <c r="AG40" s="28"/>
      <c r="AH40" s="28"/>
      <c r="AI40" s="28"/>
    </row>
    <row r="41" spans="1:35" s="3" customFormat="1" ht="138" customHeight="1" x14ac:dyDescent="0.25">
      <c r="A41" s="81">
        <v>29</v>
      </c>
      <c r="B41" s="57" t="s">
        <v>115</v>
      </c>
      <c r="C41" s="56" t="s">
        <v>41</v>
      </c>
      <c r="D41" s="45" t="s">
        <v>39</v>
      </c>
      <c r="E41" s="45" t="s">
        <v>38</v>
      </c>
      <c r="F41" s="45">
        <v>3205</v>
      </c>
      <c r="G41" s="45">
        <v>1843</v>
      </c>
      <c r="H41" s="46">
        <f t="shared" ref="H41:H43" si="14">F41*G41/10^6</f>
        <v>5.9068149999999999</v>
      </c>
      <c r="I41" s="45">
        <v>1</v>
      </c>
      <c r="J41" s="53">
        <v>2962000</v>
      </c>
      <c r="K41" s="47">
        <v>1850000</v>
      </c>
      <c r="L41" s="48">
        <f t="shared" ref="L41:L43" si="15">IF(H41&lt;&gt;0,J41*H41*I41+K41*I41,IF(J41&lt;&gt;0,G41*I41*J41,I41*K41))</f>
        <v>19345986.030000001</v>
      </c>
      <c r="M41" s="115"/>
      <c r="N41" s="28"/>
      <c r="O41" s="85"/>
      <c r="P41" s="28"/>
      <c r="Q41" s="28"/>
      <c r="R41" s="28"/>
      <c r="S41" s="28"/>
      <c r="T41" s="28"/>
      <c r="U41" s="28"/>
      <c r="V41" s="28"/>
      <c r="W41" s="28"/>
      <c r="X41" s="28"/>
      <c r="Y41" s="28"/>
      <c r="Z41" s="28"/>
      <c r="AA41" s="28"/>
      <c r="AB41" s="28"/>
      <c r="AC41" s="28"/>
      <c r="AD41" s="28"/>
      <c r="AE41" s="28"/>
      <c r="AF41" s="28"/>
      <c r="AG41" s="28"/>
      <c r="AH41" s="28"/>
      <c r="AI41" s="28"/>
    </row>
    <row r="42" spans="1:35" s="63" customFormat="1" ht="150.75" customHeight="1" x14ac:dyDescent="0.25">
      <c r="A42" s="81">
        <v>30</v>
      </c>
      <c r="B42" s="57" t="s">
        <v>116</v>
      </c>
      <c r="C42" s="58" t="s">
        <v>53</v>
      </c>
      <c r="D42" s="59" t="s">
        <v>39</v>
      </c>
      <c r="E42" s="59" t="s">
        <v>38</v>
      </c>
      <c r="F42" s="59">
        <v>4053</v>
      </c>
      <c r="G42" s="59">
        <v>1845</v>
      </c>
      <c r="H42" s="60">
        <f t="shared" si="14"/>
        <v>7.4777849999999999</v>
      </c>
      <c r="I42" s="45">
        <v>1</v>
      </c>
      <c r="J42" s="53">
        <v>3235000</v>
      </c>
      <c r="K42" s="47">
        <v>4007000</v>
      </c>
      <c r="L42" s="61">
        <f t="shared" si="15"/>
        <v>28197634.475000001</v>
      </c>
      <c r="M42" s="116"/>
      <c r="N42" s="62"/>
      <c r="O42" s="98"/>
      <c r="P42" s="62"/>
      <c r="Q42" s="62"/>
      <c r="R42" s="62"/>
      <c r="S42" s="62"/>
      <c r="T42" s="62"/>
      <c r="U42" s="62"/>
      <c r="V42" s="62"/>
      <c r="W42" s="62"/>
      <c r="X42" s="62"/>
      <c r="Y42" s="62"/>
      <c r="Z42" s="62"/>
      <c r="AA42" s="62"/>
      <c r="AB42" s="62"/>
      <c r="AC42" s="62"/>
      <c r="AD42" s="62"/>
      <c r="AE42" s="62"/>
      <c r="AF42" s="62"/>
      <c r="AG42" s="62"/>
      <c r="AH42" s="62"/>
      <c r="AI42" s="62"/>
    </row>
    <row r="43" spans="1:35" s="63" customFormat="1" ht="150.75" customHeight="1" x14ac:dyDescent="0.25">
      <c r="A43" s="81">
        <v>31</v>
      </c>
      <c r="B43" s="57" t="s">
        <v>117</v>
      </c>
      <c r="C43" s="58" t="s">
        <v>53</v>
      </c>
      <c r="D43" s="59" t="s">
        <v>39</v>
      </c>
      <c r="E43" s="59" t="s">
        <v>38</v>
      </c>
      <c r="F43" s="59">
        <v>5744</v>
      </c>
      <c r="G43" s="59">
        <v>1852</v>
      </c>
      <c r="H43" s="60">
        <f t="shared" si="14"/>
        <v>10.637888</v>
      </c>
      <c r="I43" s="45">
        <v>1</v>
      </c>
      <c r="J43" s="53">
        <v>3008000</v>
      </c>
      <c r="K43" s="47">
        <v>4007000</v>
      </c>
      <c r="L43" s="61">
        <f t="shared" si="15"/>
        <v>36005767.104000002</v>
      </c>
      <c r="M43" s="116"/>
      <c r="N43" s="62"/>
      <c r="O43" s="98"/>
      <c r="P43" s="62"/>
      <c r="Q43" s="62"/>
      <c r="R43" s="62"/>
      <c r="S43" s="62"/>
      <c r="T43" s="62"/>
      <c r="U43" s="62"/>
      <c r="V43" s="62"/>
      <c r="W43" s="62"/>
      <c r="X43" s="62"/>
      <c r="Y43" s="62"/>
      <c r="Z43" s="62"/>
      <c r="AA43" s="62"/>
      <c r="AB43" s="62"/>
      <c r="AC43" s="62"/>
      <c r="AD43" s="62"/>
      <c r="AE43" s="62"/>
      <c r="AF43" s="62"/>
      <c r="AG43" s="62"/>
      <c r="AH43" s="62"/>
      <c r="AI43" s="62"/>
    </row>
    <row r="44" spans="1:35" ht="156" customHeight="1" x14ac:dyDescent="0.25">
      <c r="A44" s="81">
        <v>32</v>
      </c>
      <c r="B44" s="81" t="s">
        <v>118</v>
      </c>
      <c r="C44" s="51" t="s">
        <v>40</v>
      </c>
      <c r="D44" s="45" t="s">
        <v>39</v>
      </c>
      <c r="E44" s="45" t="s">
        <v>38</v>
      </c>
      <c r="F44" s="45">
        <v>858</v>
      </c>
      <c r="G44" s="45">
        <v>1856</v>
      </c>
      <c r="H44" s="46">
        <f>F44*G44/10^6</f>
        <v>1.5924480000000001</v>
      </c>
      <c r="I44" s="45">
        <v>1</v>
      </c>
      <c r="J44" s="53">
        <v>3539000</v>
      </c>
      <c r="K44" s="47">
        <v>1819000</v>
      </c>
      <c r="L44" s="48">
        <f>IF(H44&lt;&gt;0,J44*H44*I44+K44*I44,IF(J44&lt;&gt;0,G44*I44*J44,I44*K44))</f>
        <v>7454673.4720000001</v>
      </c>
      <c r="M44" s="115"/>
      <c r="N44" s="28"/>
      <c r="O44" s="85"/>
      <c r="P44" s="28"/>
      <c r="Q44" s="28"/>
      <c r="R44" s="28"/>
      <c r="S44" s="28"/>
      <c r="T44" s="28"/>
      <c r="U44" s="28"/>
      <c r="V44" s="28"/>
      <c r="W44" s="28"/>
      <c r="X44" s="28"/>
      <c r="Y44" s="28"/>
      <c r="Z44" s="28"/>
      <c r="AA44" s="28"/>
      <c r="AB44" s="28"/>
      <c r="AC44" s="28"/>
      <c r="AD44" s="28"/>
      <c r="AE44" s="28"/>
      <c r="AF44" s="28"/>
      <c r="AG44" s="28"/>
      <c r="AH44" s="28"/>
      <c r="AI44" s="28"/>
    </row>
    <row r="45" spans="1:35" ht="156" customHeight="1" x14ac:dyDescent="0.25">
      <c r="A45" s="81">
        <v>33</v>
      </c>
      <c r="B45" s="81" t="s">
        <v>119</v>
      </c>
      <c r="C45" s="51" t="s">
        <v>40</v>
      </c>
      <c r="D45" s="45" t="s">
        <v>39</v>
      </c>
      <c r="E45" s="45" t="s">
        <v>38</v>
      </c>
      <c r="F45" s="45">
        <v>850</v>
      </c>
      <c r="G45" s="45">
        <v>2085</v>
      </c>
      <c r="H45" s="46">
        <f>F45*G45/10^6</f>
        <v>1.7722500000000001</v>
      </c>
      <c r="I45" s="45">
        <v>1</v>
      </c>
      <c r="J45" s="53">
        <v>3489000</v>
      </c>
      <c r="K45" s="47">
        <v>1819000</v>
      </c>
      <c r="L45" s="48">
        <f>IF(H45&lt;&gt;0,J45*H45*I45+K45*I45,IF(J45&lt;&gt;0,G45*I45*J45,I45*K45))</f>
        <v>8002380.25</v>
      </c>
      <c r="M45" s="115"/>
      <c r="N45" s="28"/>
      <c r="O45" s="85"/>
      <c r="P45" s="28"/>
      <c r="Q45" s="28"/>
      <c r="R45" s="28"/>
      <c r="S45" s="28"/>
      <c r="T45" s="28"/>
      <c r="U45" s="28"/>
      <c r="V45" s="28"/>
      <c r="W45" s="28"/>
      <c r="X45" s="28"/>
      <c r="Y45" s="28"/>
      <c r="Z45" s="28"/>
      <c r="AA45" s="28"/>
      <c r="AB45" s="28"/>
      <c r="AC45" s="28"/>
      <c r="AD45" s="28"/>
      <c r="AE45" s="28"/>
      <c r="AF45" s="28"/>
      <c r="AG45" s="28"/>
      <c r="AH45" s="28"/>
      <c r="AI45" s="28"/>
    </row>
    <row r="46" spans="1:35" ht="156" customHeight="1" x14ac:dyDescent="0.25">
      <c r="A46" s="81">
        <v>34</v>
      </c>
      <c r="B46" s="81" t="s">
        <v>120</v>
      </c>
      <c r="C46" s="51" t="s">
        <v>40</v>
      </c>
      <c r="D46" s="45" t="s">
        <v>39</v>
      </c>
      <c r="E46" s="45" t="s">
        <v>38</v>
      </c>
      <c r="F46" s="45">
        <v>1000</v>
      </c>
      <c r="G46" s="45">
        <v>2000</v>
      </c>
      <c r="H46" s="46">
        <f>F46*G46/10^6</f>
        <v>2</v>
      </c>
      <c r="I46" s="45">
        <v>1</v>
      </c>
      <c r="J46" s="53">
        <v>3383000</v>
      </c>
      <c r="K46" s="47">
        <v>1819000</v>
      </c>
      <c r="L46" s="48">
        <f>IF(H46&lt;&gt;0,J46*H46*I46+K46*I46,IF(J46&lt;&gt;0,G46*I46*J46,I46*K46))</f>
        <v>8585000</v>
      </c>
      <c r="M46" s="115"/>
      <c r="N46" s="28"/>
      <c r="O46" s="85"/>
      <c r="P46" s="28"/>
      <c r="Q46" s="28"/>
      <c r="R46" s="28"/>
      <c r="S46" s="28"/>
      <c r="T46" s="28"/>
      <c r="U46" s="28"/>
      <c r="V46" s="28"/>
      <c r="W46" s="28"/>
      <c r="X46" s="28"/>
      <c r="Y46" s="28"/>
      <c r="Z46" s="28"/>
      <c r="AA46" s="28"/>
      <c r="AB46" s="28"/>
      <c r="AC46" s="28"/>
      <c r="AD46" s="28"/>
      <c r="AE46" s="28"/>
      <c r="AF46" s="28"/>
      <c r="AG46" s="28"/>
      <c r="AH46" s="28"/>
      <c r="AI46" s="28"/>
    </row>
    <row r="47" spans="1:35" ht="156" customHeight="1" x14ac:dyDescent="0.25">
      <c r="A47" s="81">
        <v>35</v>
      </c>
      <c r="B47" s="81" t="s">
        <v>121</v>
      </c>
      <c r="C47" s="51" t="s">
        <v>50</v>
      </c>
      <c r="D47" s="45" t="s">
        <v>39</v>
      </c>
      <c r="E47" s="45" t="s">
        <v>38</v>
      </c>
      <c r="F47" s="45">
        <v>900</v>
      </c>
      <c r="G47" s="45">
        <v>1500</v>
      </c>
      <c r="H47" s="46">
        <f>F47*G47/10^6</f>
        <v>1.35</v>
      </c>
      <c r="I47" s="45">
        <v>1</v>
      </c>
      <c r="J47" s="53">
        <v>3613000</v>
      </c>
      <c r="K47" s="47">
        <v>1629000</v>
      </c>
      <c r="L47" s="48">
        <f>IF(H47&lt;&gt;0,J47*H47*I47+K47*I47,IF(J47&lt;&gt;0,G47*I47*J47,I47*K47))</f>
        <v>6506550</v>
      </c>
      <c r="M47" s="115"/>
      <c r="N47" s="28"/>
      <c r="O47" s="85"/>
      <c r="P47" s="28"/>
      <c r="Q47" s="28"/>
      <c r="R47" s="28"/>
      <c r="S47" s="28"/>
      <c r="T47" s="28"/>
      <c r="U47" s="28"/>
      <c r="V47" s="28"/>
      <c r="W47" s="28"/>
      <c r="X47" s="28"/>
      <c r="Y47" s="28"/>
      <c r="Z47" s="28"/>
      <c r="AA47" s="28"/>
      <c r="AB47" s="28"/>
      <c r="AC47" s="28"/>
      <c r="AD47" s="28"/>
      <c r="AE47" s="28"/>
      <c r="AF47" s="28"/>
      <c r="AG47" s="28"/>
      <c r="AH47" s="28"/>
      <c r="AI47" s="28"/>
    </row>
    <row r="48" spans="1:35" ht="144" customHeight="1" x14ac:dyDescent="0.25">
      <c r="A48" s="81">
        <v>36</v>
      </c>
      <c r="B48" s="81" t="s">
        <v>122</v>
      </c>
      <c r="C48" s="51" t="s">
        <v>42</v>
      </c>
      <c r="D48" s="45" t="s">
        <v>39</v>
      </c>
      <c r="E48" s="45"/>
      <c r="F48" s="45">
        <v>1454</v>
      </c>
      <c r="G48" s="45">
        <v>2050</v>
      </c>
      <c r="H48" s="46">
        <f>F48*G48/10^6</f>
        <v>2.9807000000000001</v>
      </c>
      <c r="I48" s="45">
        <v>1</v>
      </c>
      <c r="J48" s="53">
        <v>2259000</v>
      </c>
      <c r="K48" s="47"/>
      <c r="L48" s="48">
        <f>IF(H48&lt;&gt;0,J48*H48*I48+K48*I48,IF(J48&lt;&gt;0,G48*I48*J48,I48*K48))</f>
        <v>6733401.3000000007</v>
      </c>
      <c r="M48" s="115"/>
      <c r="N48" s="28"/>
      <c r="O48" s="85"/>
      <c r="P48" s="28"/>
      <c r="Q48" s="28"/>
      <c r="R48" s="28"/>
      <c r="S48" s="28"/>
      <c r="T48" s="28"/>
      <c r="U48" s="28"/>
      <c r="V48" s="28"/>
      <c r="W48" s="28"/>
      <c r="X48" s="28"/>
      <c r="Y48" s="28"/>
      <c r="Z48" s="28"/>
      <c r="AA48" s="28"/>
      <c r="AB48" s="28"/>
      <c r="AC48" s="28"/>
      <c r="AD48" s="28"/>
      <c r="AE48" s="28"/>
      <c r="AF48" s="28"/>
      <c r="AG48" s="28"/>
      <c r="AH48" s="28"/>
      <c r="AI48" s="28"/>
    </row>
    <row r="49" spans="1:35 16139:16140" s="8" customFormat="1" ht="31.5" customHeight="1" x14ac:dyDescent="0.25">
      <c r="A49" s="132" t="s">
        <v>85</v>
      </c>
      <c r="B49" s="133"/>
      <c r="C49" s="133"/>
      <c r="D49" s="133"/>
      <c r="E49" s="134"/>
      <c r="F49" s="64"/>
      <c r="G49" s="64"/>
      <c r="H49" s="65"/>
      <c r="I49" s="45"/>
      <c r="J49" s="53"/>
      <c r="K49" s="47"/>
      <c r="L49" s="67"/>
      <c r="M49" s="114"/>
      <c r="O49" s="96"/>
    </row>
    <row r="50" spans="1:35 16139:16140" s="3" customFormat="1" ht="138" customHeight="1" x14ac:dyDescent="0.25">
      <c r="A50" s="81">
        <v>37</v>
      </c>
      <c r="B50" s="57" t="s">
        <v>48</v>
      </c>
      <c r="C50" s="56" t="s">
        <v>41</v>
      </c>
      <c r="D50" s="45" t="s">
        <v>39</v>
      </c>
      <c r="E50" s="45" t="s">
        <v>38</v>
      </c>
      <c r="F50" s="45">
        <v>3747</v>
      </c>
      <c r="G50" s="45">
        <v>1950</v>
      </c>
      <c r="H50" s="46">
        <f t="shared" ref="H50" si="16">F50*G50/10^6</f>
        <v>7.3066500000000003</v>
      </c>
      <c r="I50" s="45">
        <v>1</v>
      </c>
      <c r="J50" s="53">
        <v>2854000</v>
      </c>
      <c r="K50" s="47">
        <v>1850000</v>
      </c>
      <c r="L50" s="48">
        <f t="shared" ref="L50" si="17">IF(H50&lt;&gt;0,J50*H50*I50+K50*I50,IF(J50&lt;&gt;0,G50*I50*J50,I50*K50))</f>
        <v>22703179.100000001</v>
      </c>
      <c r="M50" s="115"/>
      <c r="N50" s="28"/>
      <c r="O50" s="85"/>
      <c r="P50" s="28"/>
      <c r="Q50" s="28"/>
      <c r="R50" s="28"/>
      <c r="S50" s="28"/>
      <c r="T50" s="28"/>
      <c r="U50" s="28"/>
      <c r="V50" s="28"/>
      <c r="W50" s="28"/>
      <c r="X50" s="28"/>
      <c r="Y50" s="28"/>
      <c r="Z50" s="28"/>
      <c r="AA50" s="28"/>
      <c r="AB50" s="28"/>
      <c r="AC50" s="28"/>
      <c r="AD50" s="28"/>
      <c r="AE50" s="28"/>
      <c r="AF50" s="28"/>
      <c r="AG50" s="28"/>
      <c r="AH50" s="28"/>
      <c r="AI50" s="28"/>
    </row>
    <row r="51" spans="1:35 16139:16140" ht="144" customHeight="1" x14ac:dyDescent="0.25">
      <c r="A51" s="81">
        <v>38</v>
      </c>
      <c r="B51" s="81" t="s">
        <v>49</v>
      </c>
      <c r="C51" s="51" t="s">
        <v>42</v>
      </c>
      <c r="D51" s="45" t="s">
        <v>39</v>
      </c>
      <c r="E51" s="45"/>
      <c r="F51" s="45">
        <v>2100</v>
      </c>
      <c r="G51" s="45">
        <v>1400</v>
      </c>
      <c r="H51" s="46">
        <f>F51*G51/10^6</f>
        <v>2.94</v>
      </c>
      <c r="I51" s="45">
        <v>1</v>
      </c>
      <c r="J51" s="53">
        <v>2265000</v>
      </c>
      <c r="K51" s="47"/>
      <c r="L51" s="48">
        <f>IF(H51&lt;&gt;0,J51*H51*I51+K51*I51,IF(J51&lt;&gt;0,G51*I51*J51,I51*K51))</f>
        <v>6659100</v>
      </c>
      <c r="M51" s="115"/>
      <c r="N51" s="28"/>
      <c r="O51" s="85"/>
      <c r="P51" s="28"/>
      <c r="Q51" s="28"/>
      <c r="R51" s="28"/>
      <c r="S51" s="28"/>
      <c r="T51" s="28"/>
      <c r="U51" s="28"/>
      <c r="V51" s="28"/>
      <c r="W51" s="28"/>
      <c r="X51" s="28"/>
      <c r="Y51" s="28"/>
      <c r="Z51" s="28"/>
      <c r="AA51" s="28"/>
      <c r="AB51" s="28"/>
      <c r="AC51" s="28"/>
      <c r="AD51" s="28"/>
      <c r="AE51" s="28"/>
      <c r="AF51" s="28"/>
      <c r="AG51" s="28"/>
      <c r="AH51" s="28"/>
      <c r="AI51" s="28"/>
    </row>
    <row r="52" spans="1:35 16139:16140" ht="144" customHeight="1" x14ac:dyDescent="0.25">
      <c r="A52" s="81">
        <v>39</v>
      </c>
      <c r="B52" s="81" t="s">
        <v>51</v>
      </c>
      <c r="C52" s="51" t="s">
        <v>42</v>
      </c>
      <c r="D52" s="45" t="s">
        <v>45</v>
      </c>
      <c r="E52" s="45"/>
      <c r="F52" s="45">
        <v>2360</v>
      </c>
      <c r="G52" s="45">
        <v>1950</v>
      </c>
      <c r="H52" s="46">
        <f>F52*G52/10^6</f>
        <v>4.6020000000000003</v>
      </c>
      <c r="I52" s="45">
        <v>1</v>
      </c>
      <c r="J52" s="53">
        <v>2256000</v>
      </c>
      <c r="K52" s="47"/>
      <c r="L52" s="48">
        <f>IF(H52&lt;&gt;0,J52*H52*I52+K52*I52,IF(J52&lt;&gt;0,G52*I52*J52,I52*K52))</f>
        <v>10382112</v>
      </c>
      <c r="M52" s="115"/>
      <c r="N52" s="28"/>
      <c r="O52" s="85"/>
      <c r="P52" s="28"/>
      <c r="Q52" s="28"/>
      <c r="R52" s="28"/>
      <c r="S52" s="28"/>
      <c r="T52" s="28"/>
      <c r="U52" s="28"/>
      <c r="V52" s="28"/>
      <c r="W52" s="28"/>
      <c r="X52" s="28"/>
      <c r="Y52" s="28"/>
      <c r="Z52" s="28"/>
      <c r="AA52" s="28"/>
      <c r="AB52" s="28"/>
      <c r="AC52" s="28"/>
      <c r="AD52" s="28"/>
      <c r="AE52" s="28"/>
      <c r="AF52" s="28"/>
      <c r="AG52" s="28"/>
      <c r="AH52" s="28"/>
      <c r="AI52" s="28"/>
    </row>
    <row r="53" spans="1:35 16139:16140" s="3" customFormat="1" ht="138" customHeight="1" x14ac:dyDescent="0.25">
      <c r="A53" s="81">
        <v>40</v>
      </c>
      <c r="B53" s="57" t="s">
        <v>52</v>
      </c>
      <c r="C53" s="56" t="s">
        <v>41</v>
      </c>
      <c r="D53" s="45" t="s">
        <v>39</v>
      </c>
      <c r="E53" s="45" t="s">
        <v>38</v>
      </c>
      <c r="F53" s="45">
        <v>2935</v>
      </c>
      <c r="G53" s="45">
        <v>1954</v>
      </c>
      <c r="H53" s="46">
        <f t="shared" ref="H53" si="18">F53*G53/10^6</f>
        <v>5.7349899999999998</v>
      </c>
      <c r="I53" s="45">
        <v>1</v>
      </c>
      <c r="J53" s="53">
        <v>2973000</v>
      </c>
      <c r="K53" s="47">
        <v>1850000</v>
      </c>
      <c r="L53" s="48">
        <f t="shared" ref="L53" si="19">IF(H53&lt;&gt;0,J53*H53*I53+K53*I53,IF(J53&lt;&gt;0,G53*I53*J53,I53*K53))</f>
        <v>18900125.27</v>
      </c>
      <c r="M53" s="115"/>
      <c r="N53" s="28"/>
      <c r="O53" s="85"/>
      <c r="P53" s="28"/>
      <c r="Q53" s="28"/>
      <c r="R53" s="28"/>
      <c r="S53" s="28"/>
      <c r="T53" s="28"/>
      <c r="U53" s="28"/>
      <c r="V53" s="28"/>
      <c r="W53" s="28"/>
      <c r="X53" s="28"/>
      <c r="Y53" s="28"/>
      <c r="Z53" s="28"/>
      <c r="AA53" s="28"/>
      <c r="AB53" s="28"/>
      <c r="AC53" s="28"/>
      <c r="AD53" s="28"/>
      <c r="AE53" s="28"/>
      <c r="AF53" s="28"/>
      <c r="AG53" s="28"/>
      <c r="AH53" s="28"/>
      <c r="AI53" s="28"/>
    </row>
    <row r="54" spans="1:35 16139:16140" ht="144" customHeight="1" x14ac:dyDescent="0.25">
      <c r="A54" s="81">
        <v>41</v>
      </c>
      <c r="B54" s="81" t="s">
        <v>54</v>
      </c>
      <c r="C54" s="51" t="s">
        <v>42</v>
      </c>
      <c r="D54" s="45" t="s">
        <v>39</v>
      </c>
      <c r="E54" s="45"/>
      <c r="F54" s="45">
        <v>1455</v>
      </c>
      <c r="G54" s="45">
        <v>1950</v>
      </c>
      <c r="H54" s="46">
        <f>F54*G54/10^6</f>
        <v>2.83725</v>
      </c>
      <c r="I54" s="45">
        <v>1</v>
      </c>
      <c r="J54" s="53">
        <v>2272000</v>
      </c>
      <c r="K54" s="47"/>
      <c r="L54" s="48">
        <f>IF(H54&lt;&gt;0,J54*H54*I54+K54*I54,IF(J54&lt;&gt;0,G54*I54*J54,I54*K54))</f>
        <v>6446232</v>
      </c>
      <c r="M54" s="115"/>
      <c r="N54" s="28"/>
      <c r="O54" s="85"/>
      <c r="P54" s="28"/>
      <c r="Q54" s="28"/>
      <c r="R54" s="28"/>
      <c r="S54" s="28"/>
      <c r="T54" s="28"/>
      <c r="U54" s="28"/>
      <c r="V54" s="28"/>
      <c r="W54" s="28"/>
      <c r="X54" s="28"/>
      <c r="Y54" s="28"/>
      <c r="Z54" s="28"/>
      <c r="AA54" s="28"/>
      <c r="AB54" s="28"/>
      <c r="AC54" s="28"/>
      <c r="AD54" s="28"/>
      <c r="AE54" s="28"/>
      <c r="AF54" s="28"/>
      <c r="AG54" s="28"/>
      <c r="AH54" s="28"/>
      <c r="AI54" s="28"/>
    </row>
    <row r="55" spans="1:35 16139:16140" ht="144" customHeight="1" x14ac:dyDescent="0.25">
      <c r="A55" s="81">
        <v>42</v>
      </c>
      <c r="B55" s="81" t="s">
        <v>55</v>
      </c>
      <c r="C55" s="51" t="s">
        <v>42</v>
      </c>
      <c r="D55" s="45" t="s">
        <v>39</v>
      </c>
      <c r="E55" s="45"/>
      <c r="F55" s="45">
        <v>1452</v>
      </c>
      <c r="G55" s="45">
        <v>1955</v>
      </c>
      <c r="H55" s="46">
        <f>F55*G55/10^6</f>
        <v>2.83866</v>
      </c>
      <c r="I55" s="45">
        <v>1</v>
      </c>
      <c r="J55" s="53">
        <v>2272000</v>
      </c>
      <c r="K55" s="47"/>
      <c r="L55" s="48">
        <f>IF(H55&lt;&gt;0,J55*H55*I55+K55*I55,IF(J55&lt;&gt;0,G55*I55*J55,I55*K55))</f>
        <v>6449435.5199999996</v>
      </c>
      <c r="M55" s="115"/>
      <c r="N55" s="28"/>
      <c r="O55" s="85"/>
      <c r="P55" s="28"/>
      <c r="Q55" s="28"/>
      <c r="R55" s="28"/>
      <c r="S55" s="28"/>
      <c r="T55" s="28"/>
      <c r="U55" s="28"/>
      <c r="V55" s="28"/>
      <c r="W55" s="28"/>
      <c r="X55" s="28"/>
      <c r="Y55" s="28"/>
      <c r="Z55" s="28"/>
      <c r="AA55" s="28"/>
      <c r="AB55" s="28"/>
      <c r="AC55" s="28"/>
      <c r="AD55" s="28"/>
      <c r="AE55" s="28"/>
      <c r="AF55" s="28"/>
      <c r="AG55" s="28"/>
      <c r="AH55" s="28"/>
      <c r="AI55" s="28"/>
    </row>
    <row r="56" spans="1:35 16139:16140" s="3" customFormat="1" ht="138" customHeight="1" x14ac:dyDescent="0.25">
      <c r="A56" s="81">
        <v>43</v>
      </c>
      <c r="B56" s="57" t="s">
        <v>56</v>
      </c>
      <c r="C56" s="56" t="s">
        <v>41</v>
      </c>
      <c r="D56" s="45" t="s">
        <v>39</v>
      </c>
      <c r="E56" s="45" t="s">
        <v>38</v>
      </c>
      <c r="F56" s="45">
        <v>3200</v>
      </c>
      <c r="G56" s="45">
        <v>1947</v>
      </c>
      <c r="H56" s="46">
        <f t="shared" ref="H56:H58" si="20">F56*G56/10^6</f>
        <v>6.2304000000000004</v>
      </c>
      <c r="I56" s="45">
        <v>1</v>
      </c>
      <c r="J56" s="53">
        <v>2930000</v>
      </c>
      <c r="K56" s="47">
        <v>1850000</v>
      </c>
      <c r="L56" s="48">
        <f t="shared" ref="L56:L58" si="21">IF(H56&lt;&gt;0,J56*H56*I56+K56*I56,IF(J56&lt;&gt;0,G56*I56*J56,I56*K56))</f>
        <v>20105072</v>
      </c>
      <c r="M56" s="115"/>
      <c r="N56" s="28"/>
      <c r="O56" s="85"/>
      <c r="P56" s="28"/>
      <c r="Q56" s="28"/>
      <c r="R56" s="28"/>
      <c r="S56" s="28"/>
      <c r="T56" s="28"/>
      <c r="U56" s="28"/>
      <c r="V56" s="28"/>
      <c r="W56" s="28"/>
      <c r="X56" s="28"/>
      <c r="Y56" s="28"/>
      <c r="Z56" s="28"/>
      <c r="AA56" s="28"/>
      <c r="AB56" s="28"/>
      <c r="AC56" s="28"/>
      <c r="AD56" s="28"/>
      <c r="AE56" s="28"/>
      <c r="AF56" s="28"/>
      <c r="AG56" s="28"/>
      <c r="AH56" s="28"/>
      <c r="AI56" s="28"/>
    </row>
    <row r="57" spans="1:35 16139:16140" ht="150.75" customHeight="1" x14ac:dyDescent="0.25">
      <c r="A57" s="81">
        <v>44</v>
      </c>
      <c r="B57" s="81" t="s">
        <v>57</v>
      </c>
      <c r="C57" s="51" t="s">
        <v>46</v>
      </c>
      <c r="D57" s="45" t="s">
        <v>39</v>
      </c>
      <c r="E57" s="45" t="s">
        <v>38</v>
      </c>
      <c r="F57" s="45">
        <v>2096</v>
      </c>
      <c r="G57" s="45">
        <v>1950</v>
      </c>
      <c r="H57" s="46">
        <f t="shared" si="20"/>
        <v>4.0872000000000002</v>
      </c>
      <c r="I57" s="45">
        <v>1</v>
      </c>
      <c r="J57" s="53">
        <v>3200000</v>
      </c>
      <c r="K57" s="47">
        <v>1624000</v>
      </c>
      <c r="L57" s="48">
        <f t="shared" si="21"/>
        <v>14703040</v>
      </c>
      <c r="M57" s="115"/>
      <c r="N57" s="28"/>
      <c r="O57" s="85"/>
      <c r="P57" s="28"/>
      <c r="Q57" s="28"/>
      <c r="R57" s="28"/>
      <c r="S57" s="28"/>
      <c r="T57" s="28"/>
      <c r="U57" s="28"/>
      <c r="V57" s="28"/>
      <c r="W57" s="28"/>
      <c r="X57" s="28"/>
      <c r="Y57" s="28"/>
      <c r="Z57" s="28"/>
      <c r="AA57" s="28"/>
      <c r="AB57" s="28"/>
      <c r="AC57" s="28"/>
      <c r="AD57" s="28"/>
      <c r="AE57" s="28"/>
      <c r="AF57" s="28"/>
      <c r="AG57" s="28"/>
      <c r="WVS57"/>
      <c r="WVT57"/>
    </row>
    <row r="58" spans="1:35 16139:16140" s="3" customFormat="1" ht="138" customHeight="1" x14ac:dyDescent="0.25">
      <c r="A58" s="81">
        <v>45</v>
      </c>
      <c r="B58" s="57" t="s">
        <v>58</v>
      </c>
      <c r="C58" s="56" t="s">
        <v>41</v>
      </c>
      <c r="D58" s="45" t="s">
        <v>39</v>
      </c>
      <c r="E58" s="45" t="s">
        <v>38</v>
      </c>
      <c r="F58" s="45">
        <v>3204</v>
      </c>
      <c r="G58" s="45">
        <v>1950</v>
      </c>
      <c r="H58" s="46">
        <f t="shared" si="20"/>
        <v>6.2477999999999998</v>
      </c>
      <c r="I58" s="45">
        <v>1</v>
      </c>
      <c r="J58" s="53">
        <v>2928000</v>
      </c>
      <c r="K58" s="47">
        <v>1850000</v>
      </c>
      <c r="L58" s="48">
        <f t="shared" si="21"/>
        <v>20143558.399999999</v>
      </c>
      <c r="M58" s="115"/>
      <c r="N58" s="28"/>
      <c r="O58" s="85"/>
      <c r="P58" s="28"/>
      <c r="Q58" s="28"/>
      <c r="R58" s="28"/>
      <c r="S58" s="28"/>
      <c r="T58" s="28"/>
      <c r="U58" s="28"/>
      <c r="V58" s="28"/>
      <c r="W58" s="28"/>
      <c r="X58" s="28"/>
      <c r="Y58" s="28"/>
      <c r="Z58" s="28"/>
      <c r="AA58" s="28"/>
      <c r="AB58" s="28"/>
      <c r="AC58" s="28"/>
      <c r="AD58" s="28"/>
      <c r="AE58" s="28"/>
      <c r="AF58" s="28"/>
      <c r="AG58" s="28"/>
      <c r="AH58" s="28"/>
      <c r="AI58" s="28"/>
    </row>
    <row r="59" spans="1:35 16139:16140" ht="144" customHeight="1" x14ac:dyDescent="0.25">
      <c r="A59" s="81">
        <v>46</v>
      </c>
      <c r="B59" s="81" t="s">
        <v>59</v>
      </c>
      <c r="C59" s="51" t="s">
        <v>42</v>
      </c>
      <c r="D59" s="45" t="s">
        <v>39</v>
      </c>
      <c r="E59" s="45"/>
      <c r="F59" s="45">
        <v>1450</v>
      </c>
      <c r="G59" s="45">
        <v>1950</v>
      </c>
      <c r="H59" s="46">
        <f>F59*G59/10^6</f>
        <v>2.8275000000000001</v>
      </c>
      <c r="I59" s="45">
        <v>1</v>
      </c>
      <c r="J59" s="53">
        <v>2273000</v>
      </c>
      <c r="K59" s="47"/>
      <c r="L59" s="48">
        <f>IF(H59&lt;&gt;0,J59*H59*I59+K59*I59,IF(J59&lt;&gt;0,G59*I59*J59,I59*K59))</f>
        <v>6426907.5</v>
      </c>
      <c r="M59" s="115"/>
      <c r="N59" s="28"/>
      <c r="O59" s="85"/>
      <c r="P59" s="28"/>
      <c r="Q59" s="28"/>
      <c r="R59" s="28"/>
      <c r="S59" s="28"/>
      <c r="T59" s="28"/>
      <c r="U59" s="28"/>
      <c r="V59" s="28"/>
      <c r="W59" s="28"/>
      <c r="X59" s="28"/>
      <c r="Y59" s="28"/>
      <c r="Z59" s="28"/>
      <c r="AA59" s="28"/>
      <c r="AB59" s="28"/>
      <c r="AC59" s="28"/>
      <c r="AD59" s="28"/>
      <c r="AE59" s="28"/>
      <c r="AF59" s="28"/>
      <c r="AG59" s="28"/>
      <c r="AH59" s="28"/>
      <c r="AI59" s="28"/>
    </row>
    <row r="60" spans="1:35 16139:16140" ht="144" customHeight="1" x14ac:dyDescent="0.25">
      <c r="A60" s="81">
        <v>47</v>
      </c>
      <c r="B60" s="81" t="s">
        <v>60</v>
      </c>
      <c r="C60" s="51" t="s">
        <v>42</v>
      </c>
      <c r="D60" s="45" t="s">
        <v>39</v>
      </c>
      <c r="E60" s="45"/>
      <c r="F60" s="45">
        <v>1450</v>
      </c>
      <c r="G60" s="45">
        <v>1947</v>
      </c>
      <c r="H60" s="46">
        <f>F60*G60/10^6</f>
        <v>2.82315</v>
      </c>
      <c r="I60" s="45">
        <v>1</v>
      </c>
      <c r="J60" s="53">
        <v>2273000</v>
      </c>
      <c r="K60" s="47"/>
      <c r="L60" s="48">
        <f>IF(H60&lt;&gt;0,J60*H60*I60+K60*I60,IF(J60&lt;&gt;0,G60*I60*J60,I60*K60))</f>
        <v>6417019.9500000002</v>
      </c>
      <c r="M60" s="115"/>
      <c r="N60" s="28"/>
      <c r="O60" s="85"/>
      <c r="P60" s="28"/>
      <c r="Q60" s="28"/>
      <c r="R60" s="28"/>
      <c r="S60" s="28"/>
      <c r="T60" s="28"/>
      <c r="U60" s="28"/>
      <c r="V60" s="28"/>
      <c r="W60" s="28"/>
      <c r="X60" s="28"/>
      <c r="Y60" s="28"/>
      <c r="Z60" s="28"/>
      <c r="AA60" s="28"/>
      <c r="AB60" s="28"/>
      <c r="AC60" s="28"/>
      <c r="AD60" s="28"/>
      <c r="AE60" s="28"/>
      <c r="AF60" s="28"/>
      <c r="AG60" s="28"/>
      <c r="AH60" s="28"/>
      <c r="AI60" s="28"/>
    </row>
    <row r="61" spans="1:35 16139:16140" s="3" customFormat="1" ht="138" customHeight="1" x14ac:dyDescent="0.25">
      <c r="A61" s="81">
        <v>48</v>
      </c>
      <c r="B61" s="57" t="s">
        <v>61</v>
      </c>
      <c r="C61" s="56" t="s">
        <v>41</v>
      </c>
      <c r="D61" s="45" t="s">
        <v>39</v>
      </c>
      <c r="E61" s="45" t="s">
        <v>38</v>
      </c>
      <c r="F61" s="45">
        <v>3200</v>
      </c>
      <c r="G61" s="45">
        <v>1950</v>
      </c>
      <c r="H61" s="46">
        <f t="shared" ref="H61:H62" si="22">F61*G61/10^6</f>
        <v>6.24</v>
      </c>
      <c r="I61" s="45">
        <v>1</v>
      </c>
      <c r="J61" s="53">
        <v>2930000</v>
      </c>
      <c r="K61" s="47">
        <v>1850000</v>
      </c>
      <c r="L61" s="48">
        <f t="shared" ref="L61:L62" si="23">IF(H61&lt;&gt;0,J61*H61*I61+K61*I61,IF(J61&lt;&gt;0,G61*I61*J61,I61*K61))</f>
        <v>20133200</v>
      </c>
      <c r="M61" s="115"/>
      <c r="N61" s="28"/>
      <c r="O61" s="85"/>
      <c r="P61" s="28"/>
      <c r="Q61" s="28"/>
      <c r="R61" s="28"/>
      <c r="S61" s="28"/>
      <c r="T61" s="28"/>
      <c r="U61" s="28"/>
      <c r="V61" s="28"/>
      <c r="W61" s="28"/>
      <c r="X61" s="28"/>
      <c r="Y61" s="28"/>
      <c r="Z61" s="28"/>
      <c r="AA61" s="28"/>
      <c r="AB61" s="28"/>
      <c r="AC61" s="28"/>
      <c r="AD61" s="28"/>
      <c r="AE61" s="28"/>
      <c r="AF61" s="28"/>
      <c r="AG61" s="28"/>
      <c r="AH61" s="28"/>
      <c r="AI61" s="28"/>
    </row>
    <row r="62" spans="1:35 16139:16140" s="3" customFormat="1" ht="138" customHeight="1" x14ac:dyDescent="0.25">
      <c r="A62" s="81">
        <v>49</v>
      </c>
      <c r="B62" s="57" t="s">
        <v>62</v>
      </c>
      <c r="C62" s="56" t="s">
        <v>41</v>
      </c>
      <c r="D62" s="45" t="s">
        <v>39</v>
      </c>
      <c r="E62" s="45" t="s">
        <v>38</v>
      </c>
      <c r="F62" s="45">
        <v>3205</v>
      </c>
      <c r="G62" s="45">
        <v>1950</v>
      </c>
      <c r="H62" s="46">
        <f t="shared" si="22"/>
        <v>6.2497499999999997</v>
      </c>
      <c r="I62" s="45">
        <v>1</v>
      </c>
      <c r="J62" s="53">
        <v>2928000</v>
      </c>
      <c r="K62" s="47">
        <v>1850000</v>
      </c>
      <c r="L62" s="48">
        <f t="shared" si="23"/>
        <v>20149268</v>
      </c>
      <c r="M62" s="115"/>
      <c r="N62" s="28"/>
      <c r="O62" s="85"/>
      <c r="P62" s="28"/>
      <c r="Q62" s="28"/>
      <c r="R62" s="28"/>
      <c r="S62" s="28"/>
      <c r="T62" s="28"/>
      <c r="U62" s="28"/>
      <c r="V62" s="28"/>
      <c r="W62" s="28"/>
      <c r="X62" s="28"/>
      <c r="Y62" s="28"/>
      <c r="Z62" s="28"/>
      <c r="AA62" s="28"/>
      <c r="AB62" s="28"/>
      <c r="AC62" s="28"/>
      <c r="AD62" s="28"/>
      <c r="AE62" s="28"/>
      <c r="AF62" s="28"/>
      <c r="AG62" s="28"/>
      <c r="AH62" s="28"/>
      <c r="AI62" s="28"/>
    </row>
    <row r="63" spans="1:35 16139:16140" ht="144" customHeight="1" x14ac:dyDescent="0.25">
      <c r="A63" s="81">
        <v>50</v>
      </c>
      <c r="B63" s="81" t="s">
        <v>63</v>
      </c>
      <c r="C63" s="51" t="s">
        <v>42</v>
      </c>
      <c r="D63" s="45" t="s">
        <v>39</v>
      </c>
      <c r="E63" s="45"/>
      <c r="F63" s="45">
        <v>1450</v>
      </c>
      <c r="G63" s="45">
        <v>1950</v>
      </c>
      <c r="H63" s="46">
        <f>F63*G63/10^6</f>
        <v>2.8275000000000001</v>
      </c>
      <c r="I63" s="45">
        <v>1</v>
      </c>
      <c r="J63" s="53">
        <v>2273000</v>
      </c>
      <c r="K63" s="47"/>
      <c r="L63" s="48">
        <f>IF(H63&lt;&gt;0,J63*H63*I63+K63*I63,IF(J63&lt;&gt;0,G63*I63*J63,I63*K63))</f>
        <v>6426907.5</v>
      </c>
      <c r="M63" s="115"/>
      <c r="N63" s="28"/>
      <c r="O63" s="85"/>
      <c r="P63" s="28"/>
      <c r="Q63" s="28"/>
      <c r="R63" s="28"/>
      <c r="S63" s="28"/>
      <c r="T63" s="28"/>
      <c r="U63" s="28"/>
      <c r="V63" s="28"/>
      <c r="W63" s="28"/>
      <c r="X63" s="28"/>
      <c r="Y63" s="28"/>
      <c r="Z63" s="28"/>
      <c r="AA63" s="28"/>
      <c r="AB63" s="28"/>
      <c r="AC63" s="28"/>
      <c r="AD63" s="28"/>
      <c r="AE63" s="28"/>
      <c r="AF63" s="28"/>
      <c r="AG63" s="28"/>
      <c r="AH63" s="28"/>
      <c r="AI63" s="28"/>
    </row>
    <row r="64" spans="1:35 16139:16140" ht="144" customHeight="1" x14ac:dyDescent="0.25">
      <c r="A64" s="81">
        <v>51</v>
      </c>
      <c r="B64" s="81" t="s">
        <v>64</v>
      </c>
      <c r="C64" s="51" t="s">
        <v>42</v>
      </c>
      <c r="D64" s="45" t="s">
        <v>39</v>
      </c>
      <c r="E64" s="45"/>
      <c r="F64" s="45">
        <v>1450</v>
      </c>
      <c r="G64" s="45">
        <v>1950</v>
      </c>
      <c r="H64" s="46">
        <f>F64*G64/10^6</f>
        <v>2.8275000000000001</v>
      </c>
      <c r="I64" s="45">
        <v>1</v>
      </c>
      <c r="J64" s="53">
        <v>2273000</v>
      </c>
      <c r="K64" s="47"/>
      <c r="L64" s="48">
        <f>IF(H64&lt;&gt;0,J64*H64*I64+K64*I64,IF(J64&lt;&gt;0,G64*I64*J64,I64*K64))</f>
        <v>6426907.5</v>
      </c>
      <c r="M64" s="115"/>
      <c r="N64" s="28"/>
      <c r="O64" s="85"/>
      <c r="P64" s="28"/>
      <c r="Q64" s="28"/>
      <c r="R64" s="28"/>
      <c r="S64" s="28"/>
      <c r="T64" s="28"/>
      <c r="U64" s="28"/>
      <c r="V64" s="28"/>
      <c r="W64" s="28"/>
      <c r="X64" s="28"/>
      <c r="Y64" s="28"/>
      <c r="Z64" s="28"/>
      <c r="AA64" s="28"/>
      <c r="AB64" s="28"/>
      <c r="AC64" s="28"/>
      <c r="AD64" s="28"/>
      <c r="AE64" s="28"/>
      <c r="AF64" s="28"/>
      <c r="AG64" s="28"/>
      <c r="AH64" s="28"/>
      <c r="AI64" s="28"/>
    </row>
    <row r="65" spans="1:35" s="3" customFormat="1" ht="138" customHeight="1" x14ac:dyDescent="0.25">
      <c r="A65" s="81">
        <v>52</v>
      </c>
      <c r="B65" s="57" t="s">
        <v>65</v>
      </c>
      <c r="C65" s="56" t="s">
        <v>41</v>
      </c>
      <c r="D65" s="45" t="s">
        <v>39</v>
      </c>
      <c r="E65" s="45" t="s">
        <v>38</v>
      </c>
      <c r="F65" s="45">
        <v>2927</v>
      </c>
      <c r="G65" s="45">
        <v>1950</v>
      </c>
      <c r="H65" s="46">
        <f t="shared" ref="H65:H66" si="24">F65*G65/10^6</f>
        <v>5.7076500000000001</v>
      </c>
      <c r="I65" s="45">
        <v>1</v>
      </c>
      <c r="J65" s="53">
        <v>2976000</v>
      </c>
      <c r="K65" s="47">
        <v>1850000</v>
      </c>
      <c r="L65" s="48">
        <f t="shared" ref="L65:L66" si="25">IF(H65&lt;&gt;0,J65*H65*I65+K65*I65,IF(J65&lt;&gt;0,G65*I65*J65,I65*K65))</f>
        <v>18835966.399999999</v>
      </c>
      <c r="M65" s="115"/>
      <c r="N65" s="28"/>
      <c r="O65" s="85"/>
      <c r="P65" s="28"/>
      <c r="Q65" s="28"/>
      <c r="R65" s="28"/>
      <c r="S65" s="28"/>
      <c r="T65" s="28"/>
      <c r="U65" s="28"/>
      <c r="V65" s="28"/>
      <c r="W65" s="28"/>
      <c r="X65" s="28"/>
      <c r="Y65" s="28"/>
      <c r="Z65" s="28"/>
      <c r="AA65" s="28"/>
      <c r="AB65" s="28"/>
      <c r="AC65" s="28"/>
      <c r="AD65" s="28"/>
      <c r="AE65" s="28"/>
      <c r="AF65" s="28"/>
      <c r="AG65" s="28"/>
      <c r="AH65" s="28"/>
      <c r="AI65" s="28"/>
    </row>
    <row r="66" spans="1:35" s="3" customFormat="1" ht="138" customHeight="1" x14ac:dyDescent="0.25">
      <c r="A66" s="81">
        <v>53</v>
      </c>
      <c r="B66" s="57" t="s">
        <v>66</v>
      </c>
      <c r="C66" s="56" t="s">
        <v>41</v>
      </c>
      <c r="D66" s="45" t="s">
        <v>39</v>
      </c>
      <c r="E66" s="45" t="s">
        <v>38</v>
      </c>
      <c r="F66" s="45">
        <v>2922</v>
      </c>
      <c r="G66" s="45">
        <v>1947</v>
      </c>
      <c r="H66" s="46">
        <f t="shared" si="24"/>
        <v>5.6891340000000001</v>
      </c>
      <c r="I66" s="45">
        <v>1</v>
      </c>
      <c r="J66" s="53">
        <v>2977000</v>
      </c>
      <c r="K66" s="47">
        <v>1850000</v>
      </c>
      <c r="L66" s="48">
        <f t="shared" si="25"/>
        <v>18786551.918000001</v>
      </c>
      <c r="M66" s="115"/>
      <c r="N66" s="28"/>
      <c r="O66" s="85"/>
      <c r="P66" s="28"/>
      <c r="Q66" s="28"/>
      <c r="R66" s="28"/>
      <c r="S66" s="28"/>
      <c r="T66" s="28"/>
      <c r="U66" s="28"/>
      <c r="V66" s="28"/>
      <c r="W66" s="28"/>
      <c r="X66" s="28"/>
      <c r="Y66" s="28"/>
      <c r="Z66" s="28"/>
      <c r="AA66" s="28"/>
      <c r="AB66" s="28"/>
      <c r="AC66" s="28"/>
      <c r="AD66" s="28"/>
      <c r="AE66" s="28"/>
      <c r="AF66" s="28"/>
      <c r="AG66" s="28"/>
      <c r="AH66" s="28"/>
      <c r="AI66" s="28"/>
    </row>
    <row r="67" spans="1:35" ht="144" customHeight="1" x14ac:dyDescent="0.25">
      <c r="A67" s="81">
        <v>54</v>
      </c>
      <c r="B67" s="81" t="s">
        <v>67</v>
      </c>
      <c r="C67" s="51" t="s">
        <v>42</v>
      </c>
      <c r="D67" s="45" t="s">
        <v>39</v>
      </c>
      <c r="E67" s="45"/>
      <c r="F67" s="45">
        <v>1452</v>
      </c>
      <c r="G67" s="45">
        <v>1947</v>
      </c>
      <c r="H67" s="46">
        <f>F67*G67/10^6</f>
        <v>2.8270439999999999</v>
      </c>
      <c r="I67" s="45">
        <v>1</v>
      </c>
      <c r="J67" s="53">
        <v>2272000</v>
      </c>
      <c r="K67" s="47"/>
      <c r="L67" s="48">
        <f>IF(H67&lt;&gt;0,J67*H67*I67+K67*I67,IF(J67&lt;&gt;0,G67*I67*J67,I67*K67))</f>
        <v>6423043.9679999994</v>
      </c>
      <c r="M67" s="115"/>
      <c r="N67" s="28"/>
      <c r="O67" s="85"/>
      <c r="P67" s="28"/>
      <c r="Q67" s="28"/>
      <c r="R67" s="28"/>
      <c r="S67" s="28"/>
      <c r="T67" s="28"/>
      <c r="U67" s="28"/>
      <c r="V67" s="28"/>
      <c r="W67" s="28"/>
      <c r="X67" s="28"/>
      <c r="Y67" s="28"/>
      <c r="Z67" s="28"/>
      <c r="AA67" s="28"/>
      <c r="AB67" s="28"/>
      <c r="AC67" s="28"/>
      <c r="AD67" s="28"/>
      <c r="AE67" s="28"/>
      <c r="AF67" s="28"/>
      <c r="AG67" s="28"/>
      <c r="AH67" s="28"/>
      <c r="AI67" s="28"/>
    </row>
    <row r="68" spans="1:35" ht="144" customHeight="1" x14ac:dyDescent="0.25">
      <c r="A68" s="81">
        <v>55</v>
      </c>
      <c r="B68" s="81" t="s">
        <v>68</v>
      </c>
      <c r="C68" s="51" t="s">
        <v>42</v>
      </c>
      <c r="D68" s="45" t="s">
        <v>39</v>
      </c>
      <c r="E68" s="45"/>
      <c r="F68" s="45">
        <v>1452</v>
      </c>
      <c r="G68" s="45">
        <v>1945</v>
      </c>
      <c r="H68" s="46">
        <f>F68*G68/10^6</f>
        <v>2.8241399999999999</v>
      </c>
      <c r="I68" s="45">
        <v>1</v>
      </c>
      <c r="J68" s="53">
        <v>2273000</v>
      </c>
      <c r="K68" s="47"/>
      <c r="L68" s="48">
        <f>IF(H68&lt;&gt;0,J68*H68*I68+K68*I68,IF(J68&lt;&gt;0,G68*I68*J68,I68*K68))</f>
        <v>6419270.2199999997</v>
      </c>
      <c r="M68" s="115"/>
      <c r="N68" s="28"/>
      <c r="O68" s="85"/>
      <c r="P68" s="28"/>
      <c r="Q68" s="28"/>
      <c r="R68" s="28"/>
      <c r="S68" s="28"/>
      <c r="T68" s="28"/>
      <c r="U68" s="28"/>
      <c r="V68" s="28"/>
      <c r="W68" s="28"/>
      <c r="X68" s="28"/>
      <c r="Y68" s="28"/>
      <c r="Z68" s="28"/>
      <c r="AA68" s="28"/>
      <c r="AB68" s="28"/>
      <c r="AC68" s="28"/>
      <c r="AD68" s="28"/>
      <c r="AE68" s="28"/>
      <c r="AF68" s="28"/>
      <c r="AG68" s="28"/>
      <c r="AH68" s="28"/>
      <c r="AI68" s="28"/>
    </row>
    <row r="69" spans="1:35" s="3" customFormat="1" ht="138" customHeight="1" x14ac:dyDescent="0.25">
      <c r="A69" s="81">
        <v>56</v>
      </c>
      <c r="B69" s="57" t="s">
        <v>69</v>
      </c>
      <c r="C69" s="56" t="s">
        <v>41</v>
      </c>
      <c r="D69" s="45" t="s">
        <v>39</v>
      </c>
      <c r="E69" s="45" t="s">
        <v>38</v>
      </c>
      <c r="F69" s="45">
        <v>2932</v>
      </c>
      <c r="G69" s="45">
        <v>1945</v>
      </c>
      <c r="H69" s="46">
        <f t="shared" ref="H69:H70" si="26">F69*G69/10^6</f>
        <v>5.7027400000000004</v>
      </c>
      <c r="I69" s="45">
        <v>1</v>
      </c>
      <c r="J69" s="53">
        <v>2976000</v>
      </c>
      <c r="K69" s="47">
        <v>1850000</v>
      </c>
      <c r="L69" s="48">
        <f t="shared" ref="L69:L70" si="27">IF(H69&lt;&gt;0,J69*H69*I69+K69*I69,IF(J69&lt;&gt;0,G69*I69*J69,I69*K69))</f>
        <v>18821354.240000002</v>
      </c>
      <c r="M69" s="115"/>
      <c r="N69" s="28"/>
      <c r="O69" s="85"/>
      <c r="P69" s="28"/>
      <c r="Q69" s="28"/>
      <c r="R69" s="28"/>
      <c r="S69" s="28"/>
      <c r="T69" s="28"/>
      <c r="U69" s="28"/>
      <c r="V69" s="28"/>
      <c r="W69" s="28"/>
      <c r="X69" s="28"/>
      <c r="Y69" s="28"/>
      <c r="Z69" s="28"/>
      <c r="AA69" s="28"/>
      <c r="AB69" s="28"/>
      <c r="AC69" s="28"/>
      <c r="AD69" s="28"/>
      <c r="AE69" s="28"/>
      <c r="AF69" s="28"/>
      <c r="AG69" s="28"/>
      <c r="AH69" s="28"/>
      <c r="AI69" s="28"/>
    </row>
    <row r="70" spans="1:35" s="3" customFormat="1" ht="138" customHeight="1" x14ac:dyDescent="0.25">
      <c r="A70" s="81">
        <v>57</v>
      </c>
      <c r="B70" s="57" t="s">
        <v>70</v>
      </c>
      <c r="C70" s="56" t="s">
        <v>41</v>
      </c>
      <c r="D70" s="45" t="s">
        <v>39</v>
      </c>
      <c r="E70" s="45" t="s">
        <v>38</v>
      </c>
      <c r="F70" s="45">
        <v>2921</v>
      </c>
      <c r="G70" s="45">
        <v>1952</v>
      </c>
      <c r="H70" s="46">
        <f t="shared" si="26"/>
        <v>5.7017920000000002</v>
      </c>
      <c r="I70" s="45">
        <v>1</v>
      </c>
      <c r="J70" s="53">
        <v>2976000</v>
      </c>
      <c r="K70" s="47">
        <v>1850000</v>
      </c>
      <c r="L70" s="48">
        <f t="shared" si="27"/>
        <v>18818532.992000002</v>
      </c>
      <c r="M70" s="115"/>
      <c r="N70" s="28"/>
      <c r="O70" s="85"/>
      <c r="P70" s="28"/>
      <c r="Q70" s="28"/>
      <c r="R70" s="28"/>
      <c r="S70" s="28"/>
      <c r="T70" s="28"/>
      <c r="U70" s="28"/>
      <c r="V70" s="28"/>
      <c r="W70" s="28"/>
      <c r="X70" s="28"/>
      <c r="Y70" s="28"/>
      <c r="Z70" s="28"/>
      <c r="AA70" s="28"/>
      <c r="AB70" s="28"/>
      <c r="AC70" s="28"/>
      <c r="AD70" s="28"/>
      <c r="AE70" s="28"/>
      <c r="AF70" s="28"/>
      <c r="AG70" s="28"/>
      <c r="AH70" s="28"/>
      <c r="AI70" s="28"/>
    </row>
    <row r="71" spans="1:35" ht="144" customHeight="1" x14ac:dyDescent="0.25">
      <c r="A71" s="81">
        <v>58</v>
      </c>
      <c r="B71" s="81" t="s">
        <v>71</v>
      </c>
      <c r="C71" s="51" t="s">
        <v>42</v>
      </c>
      <c r="D71" s="45" t="s">
        <v>39</v>
      </c>
      <c r="E71" s="45"/>
      <c r="F71" s="45">
        <v>1428</v>
      </c>
      <c r="G71" s="45">
        <v>1950</v>
      </c>
      <c r="H71" s="46">
        <f>F71*G71/10^6</f>
        <v>2.7846000000000002</v>
      </c>
      <c r="I71" s="45">
        <v>1</v>
      </c>
      <c r="J71" s="53">
        <v>2276000</v>
      </c>
      <c r="K71" s="47"/>
      <c r="L71" s="48">
        <f>IF(H71&lt;&gt;0,J71*H71*I71+K71*I71,IF(J71&lt;&gt;0,G71*I71*J71,I71*K71))</f>
        <v>6337749.6000000006</v>
      </c>
      <c r="M71" s="115"/>
      <c r="N71" s="28"/>
      <c r="O71" s="85"/>
      <c r="P71" s="28"/>
      <c r="Q71" s="28"/>
      <c r="R71" s="28"/>
      <c r="S71" s="28"/>
      <c r="T71" s="28"/>
      <c r="U71" s="28"/>
      <c r="V71" s="28"/>
      <c r="W71" s="28"/>
      <c r="X71" s="28"/>
      <c r="Y71" s="28"/>
      <c r="Z71" s="28"/>
      <c r="AA71" s="28"/>
      <c r="AB71" s="28"/>
      <c r="AC71" s="28"/>
      <c r="AD71" s="28"/>
      <c r="AE71" s="28"/>
      <c r="AF71" s="28"/>
      <c r="AG71" s="28"/>
      <c r="AH71" s="28"/>
      <c r="AI71" s="28"/>
    </row>
    <row r="72" spans="1:35" ht="144" customHeight="1" x14ac:dyDescent="0.25">
      <c r="A72" s="81">
        <v>59</v>
      </c>
      <c r="B72" s="81" t="s">
        <v>72</v>
      </c>
      <c r="C72" s="51" t="s">
        <v>42</v>
      </c>
      <c r="D72" s="45" t="s">
        <v>39</v>
      </c>
      <c r="E72" s="45"/>
      <c r="F72" s="45">
        <v>1454</v>
      </c>
      <c r="G72" s="45">
        <v>1948</v>
      </c>
      <c r="H72" s="46">
        <f>F72*G72/10^6</f>
        <v>2.832392</v>
      </c>
      <c r="I72" s="45">
        <v>1</v>
      </c>
      <c r="J72" s="53">
        <v>2272000</v>
      </c>
      <c r="K72" s="47"/>
      <c r="L72" s="48">
        <f>IF(H72&lt;&gt;0,J72*H72*I72+K72*I72,IF(J72&lt;&gt;0,G72*I72*J72,I72*K72))</f>
        <v>6435194.6239999998</v>
      </c>
      <c r="M72" s="115"/>
      <c r="N72" s="28"/>
      <c r="O72" s="85"/>
      <c r="P72" s="28"/>
      <c r="Q72" s="28"/>
      <c r="R72" s="28"/>
      <c r="S72" s="28"/>
      <c r="T72" s="28"/>
      <c r="U72" s="28"/>
      <c r="V72" s="28"/>
      <c r="W72" s="28"/>
      <c r="X72" s="28"/>
      <c r="Y72" s="28"/>
      <c r="Z72" s="28"/>
      <c r="AA72" s="28"/>
      <c r="AB72" s="28"/>
      <c r="AC72" s="28"/>
      <c r="AD72" s="28"/>
      <c r="AE72" s="28"/>
      <c r="AF72" s="28"/>
      <c r="AG72" s="28"/>
      <c r="AH72" s="28"/>
      <c r="AI72" s="28"/>
    </row>
    <row r="73" spans="1:35" s="3" customFormat="1" ht="138" customHeight="1" x14ac:dyDescent="0.25">
      <c r="A73" s="81">
        <v>60</v>
      </c>
      <c r="B73" s="57" t="s">
        <v>73</v>
      </c>
      <c r="C73" s="56" t="s">
        <v>41</v>
      </c>
      <c r="D73" s="45" t="s">
        <v>39</v>
      </c>
      <c r="E73" s="45" t="s">
        <v>38</v>
      </c>
      <c r="F73" s="45">
        <v>3198</v>
      </c>
      <c r="G73" s="45">
        <v>1952</v>
      </c>
      <c r="H73" s="46">
        <f t="shared" ref="H73:H74" si="28">F73*G73/10^6</f>
        <v>6.242496</v>
      </c>
      <c r="I73" s="45">
        <v>1</v>
      </c>
      <c r="J73" s="53">
        <v>2928000</v>
      </c>
      <c r="K73" s="47">
        <v>1850000</v>
      </c>
      <c r="L73" s="48">
        <f t="shared" ref="L73:L74" si="29">IF(H73&lt;&gt;0,J73*H73*I73+K73*I73,IF(J73&lt;&gt;0,G73*I73*J73,I73*K73))</f>
        <v>20128028.287999999</v>
      </c>
      <c r="M73" s="115"/>
      <c r="N73" s="28"/>
      <c r="O73" s="85"/>
      <c r="P73" s="28"/>
      <c r="Q73" s="28"/>
      <c r="R73" s="28"/>
      <c r="S73" s="28"/>
      <c r="T73" s="28"/>
      <c r="U73" s="28"/>
      <c r="V73" s="28"/>
      <c r="W73" s="28"/>
      <c r="X73" s="28"/>
      <c r="Y73" s="28"/>
      <c r="Z73" s="28"/>
      <c r="AA73" s="28"/>
      <c r="AB73" s="28"/>
      <c r="AC73" s="28"/>
      <c r="AD73" s="28"/>
      <c r="AE73" s="28"/>
      <c r="AF73" s="28"/>
      <c r="AG73" s="28"/>
      <c r="AH73" s="28"/>
      <c r="AI73" s="28"/>
    </row>
    <row r="74" spans="1:35" s="3" customFormat="1" ht="138" customHeight="1" x14ac:dyDescent="0.25">
      <c r="A74" s="81">
        <v>61</v>
      </c>
      <c r="B74" s="57" t="s">
        <v>74</v>
      </c>
      <c r="C74" s="56" t="s">
        <v>41</v>
      </c>
      <c r="D74" s="45" t="s">
        <v>39</v>
      </c>
      <c r="E74" s="45" t="s">
        <v>38</v>
      </c>
      <c r="F74" s="45">
        <v>3232</v>
      </c>
      <c r="G74" s="45">
        <v>1952</v>
      </c>
      <c r="H74" s="46">
        <f t="shared" si="28"/>
        <v>6.3088639999999998</v>
      </c>
      <c r="I74" s="45">
        <v>1</v>
      </c>
      <c r="J74" s="53">
        <v>2923000</v>
      </c>
      <c r="K74" s="47">
        <v>1850000</v>
      </c>
      <c r="L74" s="48">
        <f t="shared" si="29"/>
        <v>20290809.471999999</v>
      </c>
      <c r="M74" s="115"/>
      <c r="N74" s="28"/>
      <c r="O74" s="85"/>
      <c r="P74" s="28"/>
      <c r="Q74" s="28"/>
      <c r="R74" s="28"/>
      <c r="S74" s="28"/>
      <c r="T74" s="28"/>
      <c r="U74" s="28"/>
      <c r="V74" s="28"/>
      <c r="W74" s="28"/>
      <c r="X74" s="28"/>
      <c r="Y74" s="28"/>
      <c r="Z74" s="28"/>
      <c r="AA74" s="28"/>
      <c r="AB74" s="28"/>
      <c r="AC74" s="28"/>
      <c r="AD74" s="28"/>
      <c r="AE74" s="28"/>
      <c r="AF74" s="28"/>
      <c r="AG74" s="28"/>
      <c r="AH74" s="28"/>
      <c r="AI74" s="28"/>
    </row>
    <row r="75" spans="1:35" ht="144" customHeight="1" x14ac:dyDescent="0.25">
      <c r="A75" s="81">
        <v>62</v>
      </c>
      <c r="B75" s="81" t="s">
        <v>75</v>
      </c>
      <c r="C75" s="51" t="s">
        <v>42</v>
      </c>
      <c r="D75" s="45" t="s">
        <v>39</v>
      </c>
      <c r="E75" s="45"/>
      <c r="F75" s="45">
        <v>1450</v>
      </c>
      <c r="G75" s="45">
        <v>1945</v>
      </c>
      <c r="H75" s="46">
        <f>F75*G75/10^6</f>
        <v>2.8202500000000001</v>
      </c>
      <c r="I75" s="45">
        <v>1</v>
      </c>
      <c r="J75" s="53">
        <v>2273000</v>
      </c>
      <c r="K75" s="47"/>
      <c r="L75" s="48">
        <f>IF(H75&lt;&gt;0,J75*H75*I75+K75*I75,IF(J75&lt;&gt;0,G75*I75*J75,I75*K75))</f>
        <v>6410428.25</v>
      </c>
      <c r="M75" s="115"/>
      <c r="N75" s="28"/>
      <c r="O75" s="85"/>
      <c r="P75" s="28"/>
      <c r="Q75" s="28"/>
      <c r="R75" s="28"/>
      <c r="S75" s="28"/>
      <c r="T75" s="28"/>
      <c r="U75" s="28"/>
      <c r="V75" s="28"/>
      <c r="W75" s="28"/>
      <c r="X75" s="28"/>
      <c r="Y75" s="28"/>
      <c r="Z75" s="28"/>
      <c r="AA75" s="28"/>
      <c r="AB75" s="28"/>
      <c r="AC75" s="28"/>
      <c r="AD75" s="28"/>
      <c r="AE75" s="28"/>
      <c r="AF75" s="28"/>
      <c r="AG75" s="28"/>
      <c r="AH75" s="28"/>
      <c r="AI75" s="28"/>
    </row>
    <row r="76" spans="1:35" ht="144" customHeight="1" x14ac:dyDescent="0.25">
      <c r="A76" s="81">
        <v>63</v>
      </c>
      <c r="B76" s="81" t="s">
        <v>76</v>
      </c>
      <c r="C76" s="51" t="s">
        <v>42</v>
      </c>
      <c r="D76" s="45" t="s">
        <v>39</v>
      </c>
      <c r="E76" s="45"/>
      <c r="F76" s="45">
        <v>1450</v>
      </c>
      <c r="G76" s="45">
        <v>1950</v>
      </c>
      <c r="H76" s="46">
        <f>F76*G76/10^6</f>
        <v>2.8275000000000001</v>
      </c>
      <c r="I76" s="45">
        <v>1</v>
      </c>
      <c r="J76" s="53">
        <v>2273000</v>
      </c>
      <c r="K76" s="47"/>
      <c r="L76" s="48">
        <f>IF(H76&lt;&gt;0,J76*H76*I76+K76*I76,IF(J76&lt;&gt;0,G76*I76*J76,I76*K76))</f>
        <v>6426907.5</v>
      </c>
      <c r="M76" s="115"/>
      <c r="N76" s="28"/>
      <c r="O76" s="85"/>
      <c r="P76" s="28"/>
      <c r="Q76" s="28"/>
      <c r="R76" s="28"/>
      <c r="S76" s="28"/>
      <c r="T76" s="28"/>
      <c r="U76" s="28"/>
      <c r="V76" s="28"/>
      <c r="W76" s="28"/>
      <c r="X76" s="28"/>
      <c r="Y76" s="28"/>
      <c r="Z76" s="28"/>
      <c r="AA76" s="28"/>
      <c r="AB76" s="28"/>
      <c r="AC76" s="28"/>
      <c r="AD76" s="28"/>
      <c r="AE76" s="28"/>
      <c r="AF76" s="28"/>
      <c r="AG76" s="28"/>
      <c r="AH76" s="28"/>
      <c r="AI76" s="28"/>
    </row>
    <row r="77" spans="1:35" s="3" customFormat="1" ht="138" customHeight="1" x14ac:dyDescent="0.25">
      <c r="A77" s="81">
        <v>64</v>
      </c>
      <c r="B77" s="57" t="s">
        <v>77</v>
      </c>
      <c r="C77" s="56" t="s">
        <v>41</v>
      </c>
      <c r="D77" s="45" t="s">
        <v>39</v>
      </c>
      <c r="E77" s="45" t="s">
        <v>38</v>
      </c>
      <c r="F77" s="45">
        <v>3210</v>
      </c>
      <c r="G77" s="45">
        <v>1950</v>
      </c>
      <c r="H77" s="46">
        <f t="shared" ref="H77:H79" si="30">F77*G77/10^6</f>
        <v>6.2595000000000001</v>
      </c>
      <c r="I77" s="45">
        <v>1</v>
      </c>
      <c r="J77" s="53">
        <v>2928000</v>
      </c>
      <c r="K77" s="47">
        <v>1850000</v>
      </c>
      <c r="L77" s="48">
        <f t="shared" ref="L77:L79" si="31">IF(H77&lt;&gt;0,J77*H77*I77+K77*I77,IF(J77&lt;&gt;0,G77*I77*J77,I77*K77))</f>
        <v>20177816</v>
      </c>
      <c r="M77" s="115"/>
      <c r="N77" s="28"/>
      <c r="O77" s="85"/>
      <c r="P77" s="28"/>
      <c r="Q77" s="28"/>
      <c r="R77" s="28"/>
      <c r="S77" s="28"/>
      <c r="T77" s="28"/>
      <c r="U77" s="28"/>
      <c r="V77" s="28"/>
      <c r="W77" s="28"/>
      <c r="X77" s="28"/>
      <c r="Y77" s="28"/>
      <c r="Z77" s="28"/>
      <c r="AA77" s="28"/>
      <c r="AB77" s="28"/>
      <c r="AC77" s="28"/>
      <c r="AD77" s="28"/>
      <c r="AE77" s="28"/>
      <c r="AF77" s="28"/>
      <c r="AG77" s="28"/>
      <c r="AH77" s="28"/>
      <c r="AI77" s="28"/>
    </row>
    <row r="78" spans="1:35" s="3" customFormat="1" ht="138" customHeight="1" x14ac:dyDescent="0.25">
      <c r="A78" s="81">
        <v>65</v>
      </c>
      <c r="B78" s="57" t="s">
        <v>78</v>
      </c>
      <c r="C78" s="56" t="s">
        <v>41</v>
      </c>
      <c r="D78" s="45" t="s">
        <v>39</v>
      </c>
      <c r="E78" s="45" t="s">
        <v>38</v>
      </c>
      <c r="F78" s="45">
        <v>2850</v>
      </c>
      <c r="G78" s="45">
        <v>1950</v>
      </c>
      <c r="H78" s="46">
        <f t="shared" si="30"/>
        <v>5.5575000000000001</v>
      </c>
      <c r="I78" s="45">
        <v>1</v>
      </c>
      <c r="J78" s="53">
        <v>2991000</v>
      </c>
      <c r="K78" s="47">
        <v>1850000</v>
      </c>
      <c r="L78" s="48">
        <f t="shared" si="31"/>
        <v>18472482.5</v>
      </c>
      <c r="M78" s="115"/>
      <c r="N78" s="28"/>
      <c r="O78" s="85"/>
      <c r="P78" s="28"/>
      <c r="Q78" s="28"/>
      <c r="R78" s="28"/>
      <c r="S78" s="28"/>
      <c r="T78" s="28"/>
      <c r="U78" s="28"/>
      <c r="V78" s="28"/>
      <c r="W78" s="28"/>
      <c r="X78" s="28"/>
      <c r="Y78" s="28"/>
      <c r="Z78" s="28"/>
      <c r="AA78" s="28"/>
      <c r="AB78" s="28"/>
      <c r="AC78" s="28"/>
      <c r="AD78" s="28"/>
      <c r="AE78" s="28"/>
      <c r="AF78" s="28"/>
      <c r="AG78" s="28"/>
      <c r="AH78" s="28"/>
      <c r="AI78" s="28"/>
    </row>
    <row r="79" spans="1:35" s="3" customFormat="1" ht="138" customHeight="1" x14ac:dyDescent="0.25">
      <c r="A79" s="81">
        <v>66</v>
      </c>
      <c r="B79" s="57" t="s">
        <v>79</v>
      </c>
      <c r="C79" s="56" t="s">
        <v>41</v>
      </c>
      <c r="D79" s="45" t="s">
        <v>39</v>
      </c>
      <c r="E79" s="45" t="s">
        <v>38</v>
      </c>
      <c r="F79" s="45">
        <v>3203</v>
      </c>
      <c r="G79" s="45">
        <v>1948</v>
      </c>
      <c r="H79" s="46">
        <f t="shared" si="30"/>
        <v>6.2394439999999998</v>
      </c>
      <c r="I79" s="45">
        <v>1</v>
      </c>
      <c r="J79" s="53">
        <v>2930000</v>
      </c>
      <c r="K79" s="47">
        <v>1850000</v>
      </c>
      <c r="L79" s="48">
        <f t="shared" si="31"/>
        <v>20131570.919999998</v>
      </c>
      <c r="M79" s="115"/>
      <c r="N79" s="28"/>
      <c r="O79" s="85"/>
      <c r="P79" s="28"/>
      <c r="Q79" s="28"/>
      <c r="R79" s="28"/>
      <c r="S79" s="28"/>
      <c r="T79" s="28"/>
      <c r="U79" s="28"/>
      <c r="V79" s="28"/>
      <c r="W79" s="28"/>
      <c r="X79" s="28"/>
      <c r="Y79" s="28"/>
      <c r="Z79" s="28"/>
      <c r="AA79" s="28"/>
      <c r="AB79" s="28"/>
      <c r="AC79" s="28"/>
      <c r="AD79" s="28"/>
      <c r="AE79" s="28"/>
      <c r="AF79" s="28"/>
      <c r="AG79" s="28"/>
      <c r="AH79" s="28"/>
      <c r="AI79" s="28"/>
    </row>
    <row r="80" spans="1:35" ht="144" customHeight="1" x14ac:dyDescent="0.25">
      <c r="A80" s="81">
        <v>67</v>
      </c>
      <c r="B80" s="81" t="s">
        <v>80</v>
      </c>
      <c r="C80" s="51" t="s">
        <v>42</v>
      </c>
      <c r="D80" s="45" t="s">
        <v>39</v>
      </c>
      <c r="E80" s="45"/>
      <c r="F80" s="45">
        <v>1453</v>
      </c>
      <c r="G80" s="45">
        <v>1950</v>
      </c>
      <c r="H80" s="46">
        <f>F80*G80/10^6</f>
        <v>2.8333499999999998</v>
      </c>
      <c r="I80" s="45">
        <v>1</v>
      </c>
      <c r="J80" s="53">
        <v>2272000</v>
      </c>
      <c r="K80" s="47"/>
      <c r="L80" s="48">
        <f>IF(H80&lt;&gt;0,J80*H80*I80+K80*I80,IF(J80&lt;&gt;0,G80*I80*J80,I80*K80))</f>
        <v>6437371.1999999993</v>
      </c>
      <c r="M80" s="115"/>
      <c r="N80" s="28"/>
      <c r="O80" s="85"/>
      <c r="P80" s="28"/>
      <c r="Q80" s="28"/>
      <c r="R80" s="28"/>
      <c r="S80" s="28"/>
      <c r="T80" s="28"/>
      <c r="U80" s="28"/>
      <c r="V80" s="28"/>
      <c r="W80" s="28"/>
      <c r="X80" s="28"/>
      <c r="Y80" s="28"/>
      <c r="Z80" s="28"/>
      <c r="AA80" s="28"/>
      <c r="AB80" s="28"/>
      <c r="AC80" s="28"/>
      <c r="AD80" s="28"/>
      <c r="AE80" s="28"/>
      <c r="AF80" s="28"/>
      <c r="AG80" s="28"/>
      <c r="AH80" s="28"/>
      <c r="AI80" s="28"/>
    </row>
    <row r="81" spans="1:35 16139:16140" ht="144" customHeight="1" x14ac:dyDescent="0.25">
      <c r="A81" s="81">
        <v>68</v>
      </c>
      <c r="B81" s="81" t="s">
        <v>81</v>
      </c>
      <c r="C81" s="51" t="s">
        <v>42</v>
      </c>
      <c r="D81" s="45" t="s">
        <v>39</v>
      </c>
      <c r="E81" s="45"/>
      <c r="F81" s="45">
        <v>1454</v>
      </c>
      <c r="G81" s="45">
        <v>1948</v>
      </c>
      <c r="H81" s="46">
        <f>F81*G81/10^6</f>
        <v>2.832392</v>
      </c>
      <c r="I81" s="45">
        <v>1</v>
      </c>
      <c r="J81" s="53">
        <v>2272000</v>
      </c>
      <c r="K81" s="47"/>
      <c r="L81" s="48">
        <f>IF(H81&lt;&gt;0,J81*H81*I81+K81*I81,IF(J81&lt;&gt;0,G81*I81*J81,I81*K81))</f>
        <v>6435194.6239999998</v>
      </c>
      <c r="M81" s="115"/>
      <c r="N81" s="28"/>
      <c r="O81" s="85"/>
      <c r="P81" s="28"/>
      <c r="Q81" s="28"/>
      <c r="R81" s="28"/>
      <c r="S81" s="28"/>
      <c r="T81" s="28"/>
      <c r="U81" s="28"/>
      <c r="V81" s="28"/>
      <c r="W81" s="28"/>
      <c r="X81" s="28"/>
      <c r="Y81" s="28"/>
      <c r="Z81" s="28"/>
      <c r="AA81" s="28"/>
      <c r="AB81" s="28"/>
      <c r="AC81" s="28"/>
      <c r="AD81" s="28"/>
      <c r="AE81" s="28"/>
      <c r="AF81" s="28"/>
      <c r="AG81" s="28"/>
      <c r="AH81" s="28"/>
      <c r="AI81" s="28"/>
    </row>
    <row r="82" spans="1:35 16139:16140" s="3" customFormat="1" ht="138" customHeight="1" x14ac:dyDescent="0.25">
      <c r="A82" s="81">
        <v>69</v>
      </c>
      <c r="B82" s="57" t="s">
        <v>82</v>
      </c>
      <c r="C82" s="56" t="s">
        <v>41</v>
      </c>
      <c r="D82" s="45" t="s">
        <v>39</v>
      </c>
      <c r="E82" s="45" t="s">
        <v>38</v>
      </c>
      <c r="F82" s="45">
        <v>2940</v>
      </c>
      <c r="G82" s="45">
        <v>1948</v>
      </c>
      <c r="H82" s="46">
        <f t="shared" ref="H82" si="32">F82*G82/10^6</f>
        <v>5.7271200000000002</v>
      </c>
      <c r="I82" s="45">
        <v>1</v>
      </c>
      <c r="J82" s="53">
        <v>2975000</v>
      </c>
      <c r="K82" s="47">
        <v>1850000</v>
      </c>
      <c r="L82" s="48">
        <f t="shared" ref="L82" si="33">IF(H82&lt;&gt;0,J82*H82*I82+K82*I82,IF(J82&lt;&gt;0,G82*I82*J82,I82*K82))</f>
        <v>18888182</v>
      </c>
      <c r="M82" s="115"/>
      <c r="N82" s="28"/>
      <c r="O82" s="85"/>
      <c r="P82" s="28"/>
      <c r="Q82" s="28"/>
      <c r="R82" s="28"/>
      <c r="S82" s="28"/>
      <c r="T82" s="28"/>
      <c r="U82" s="28"/>
      <c r="V82" s="28"/>
      <c r="W82" s="28"/>
      <c r="X82" s="28"/>
      <c r="Y82" s="28"/>
      <c r="Z82" s="28"/>
      <c r="AA82" s="28"/>
      <c r="AB82" s="28"/>
      <c r="AC82" s="28"/>
      <c r="AD82" s="28"/>
      <c r="AE82" s="28"/>
      <c r="AF82" s="28"/>
      <c r="AG82" s="28"/>
      <c r="AH82" s="28"/>
      <c r="AI82" s="28"/>
    </row>
    <row r="83" spans="1:35 16139:16140" ht="144" customHeight="1" x14ac:dyDescent="0.25">
      <c r="A83" s="81">
        <v>70</v>
      </c>
      <c r="B83" s="81" t="s">
        <v>83</v>
      </c>
      <c r="C83" s="51" t="s">
        <v>42</v>
      </c>
      <c r="D83" s="45" t="s">
        <v>45</v>
      </c>
      <c r="E83" s="45"/>
      <c r="F83" s="45">
        <v>2353</v>
      </c>
      <c r="G83" s="45">
        <v>1953</v>
      </c>
      <c r="H83" s="46">
        <f>F83*G83/10^6</f>
        <v>4.5954090000000001</v>
      </c>
      <c r="I83" s="45">
        <v>1</v>
      </c>
      <c r="J83" s="53">
        <v>2256000</v>
      </c>
      <c r="K83" s="47"/>
      <c r="L83" s="48">
        <f>IF(H83&lt;&gt;0,J83*H83*I83+K83*I83,IF(J83&lt;&gt;0,G83*I83*J83,I83*K83))</f>
        <v>10367242.704</v>
      </c>
      <c r="M83" s="115"/>
      <c r="N83" s="28"/>
      <c r="O83" s="85"/>
      <c r="P83" s="28"/>
      <c r="Q83" s="28"/>
      <c r="R83" s="28"/>
      <c r="S83" s="28"/>
      <c r="T83" s="28"/>
      <c r="U83" s="28"/>
      <c r="V83" s="28"/>
      <c r="W83" s="28"/>
      <c r="X83" s="28"/>
      <c r="Y83" s="28"/>
      <c r="Z83" s="28"/>
      <c r="AA83" s="28"/>
      <c r="AB83" s="28"/>
      <c r="AC83" s="28"/>
      <c r="AD83" s="28"/>
      <c r="AE83" s="28"/>
      <c r="AF83" s="28"/>
      <c r="AG83" s="28"/>
      <c r="AH83" s="28"/>
      <c r="AI83" s="28"/>
    </row>
    <row r="84" spans="1:35 16139:16140" ht="144" customHeight="1" x14ac:dyDescent="0.25">
      <c r="A84" s="81">
        <v>71</v>
      </c>
      <c r="B84" s="81" t="s">
        <v>84</v>
      </c>
      <c r="C84" s="51" t="s">
        <v>42</v>
      </c>
      <c r="D84" s="45" t="s">
        <v>39</v>
      </c>
      <c r="E84" s="45"/>
      <c r="F84" s="45">
        <v>2090</v>
      </c>
      <c r="G84" s="45">
        <v>1396</v>
      </c>
      <c r="H84" s="46">
        <f>F84*G84/10^6</f>
        <v>2.91764</v>
      </c>
      <c r="I84" s="45">
        <v>1</v>
      </c>
      <c r="J84" s="53">
        <v>2266000</v>
      </c>
      <c r="K84" s="47"/>
      <c r="L84" s="48">
        <f>IF(H84&lt;&gt;0,J84*H84*I84+K84*I84,IF(J84&lt;&gt;0,G84*I84*J84,I84*K84))</f>
        <v>6611372.2400000002</v>
      </c>
      <c r="M84" s="115"/>
      <c r="N84" s="28"/>
      <c r="O84" s="85"/>
      <c r="P84" s="28"/>
      <c r="Q84" s="28"/>
      <c r="R84" s="28"/>
      <c r="S84" s="28"/>
      <c r="T84" s="28"/>
      <c r="U84" s="28"/>
      <c r="V84" s="28"/>
      <c r="W84" s="28"/>
      <c r="X84" s="28"/>
      <c r="Y84" s="28"/>
      <c r="Z84" s="28"/>
      <c r="AA84" s="28"/>
      <c r="AB84" s="28"/>
      <c r="AC84" s="28"/>
      <c r="AD84" s="28"/>
      <c r="AE84" s="28"/>
      <c r="AF84" s="28"/>
      <c r="AG84" s="28"/>
      <c r="AH84" s="28"/>
      <c r="AI84" s="28"/>
    </row>
    <row r="85" spans="1:35 16139:16140" s="3" customFormat="1" ht="138" customHeight="1" x14ac:dyDescent="0.25">
      <c r="A85" s="81">
        <v>72</v>
      </c>
      <c r="B85" s="57" t="s">
        <v>123</v>
      </c>
      <c r="C85" s="56" t="s">
        <v>41</v>
      </c>
      <c r="D85" s="45" t="s">
        <v>39</v>
      </c>
      <c r="E85" s="45" t="s">
        <v>38</v>
      </c>
      <c r="F85" s="45">
        <v>3756</v>
      </c>
      <c r="G85" s="45">
        <v>1947</v>
      </c>
      <c r="H85" s="46">
        <f t="shared" ref="H85" si="34">F85*G85/10^6</f>
        <v>7.312932</v>
      </c>
      <c r="I85" s="45">
        <v>1</v>
      </c>
      <c r="J85" s="53">
        <v>2854000</v>
      </c>
      <c r="K85" s="47">
        <v>1850000</v>
      </c>
      <c r="L85" s="48">
        <f t="shared" ref="L85" si="35">IF(H85&lt;&gt;0,J85*H85*I85+K85*I85,IF(J85&lt;&gt;0,G85*I85*J85,I85*K85))</f>
        <v>22721107.927999999</v>
      </c>
      <c r="M85" s="115"/>
      <c r="N85" s="28"/>
      <c r="O85" s="85"/>
      <c r="P85" s="28"/>
      <c r="Q85" s="28"/>
      <c r="R85" s="28"/>
      <c r="S85" s="28"/>
      <c r="T85" s="28"/>
      <c r="U85" s="28"/>
      <c r="V85" s="28"/>
      <c r="W85" s="28"/>
      <c r="X85" s="28"/>
      <c r="Y85" s="28"/>
      <c r="Z85" s="28"/>
      <c r="AA85" s="28"/>
      <c r="AB85" s="28"/>
      <c r="AC85" s="28"/>
      <c r="AD85" s="28"/>
      <c r="AE85" s="28"/>
      <c r="AF85" s="28"/>
      <c r="AG85" s="28"/>
      <c r="AH85" s="28"/>
      <c r="AI85" s="28"/>
    </row>
    <row r="86" spans="1:35 16139:16140" s="8" customFormat="1" ht="31.5" customHeight="1" x14ac:dyDescent="0.25">
      <c r="A86" s="132" t="s">
        <v>124</v>
      </c>
      <c r="B86" s="133"/>
      <c r="C86" s="133"/>
      <c r="D86" s="133"/>
      <c r="E86" s="134"/>
      <c r="F86" s="64"/>
      <c r="G86" s="64"/>
      <c r="H86" s="65"/>
      <c r="I86" s="45"/>
      <c r="J86" s="53"/>
      <c r="K86" s="47"/>
      <c r="L86" s="67"/>
      <c r="M86" s="114"/>
      <c r="O86" s="96"/>
    </row>
    <row r="87" spans="1:35 16139:16140" s="39" customFormat="1" ht="156" customHeight="1" x14ac:dyDescent="0.25">
      <c r="A87" s="81">
        <v>73</v>
      </c>
      <c r="B87" s="81" t="s">
        <v>125</v>
      </c>
      <c r="C87" s="51" t="s">
        <v>43</v>
      </c>
      <c r="D87" s="45" t="s">
        <v>39</v>
      </c>
      <c r="E87" s="45" t="s">
        <v>38</v>
      </c>
      <c r="F87" s="45">
        <v>3753</v>
      </c>
      <c r="G87" s="45">
        <v>1950</v>
      </c>
      <c r="H87" s="46">
        <f t="shared" ref="H87:H88" si="36">F87*G87/10^6</f>
        <v>7.3183499999999997</v>
      </c>
      <c r="I87" s="45">
        <v>1</v>
      </c>
      <c r="J87" s="53">
        <v>3018000</v>
      </c>
      <c r="K87" s="47">
        <v>2020000</v>
      </c>
      <c r="L87" s="48">
        <f t="shared" ref="L87:L88" si="37">IF(H87&lt;&gt;0,J87*H87*I87+K87*I87,IF(J87&lt;&gt;0,G87*I87*J87,I87*K87))</f>
        <v>24106780.300000001</v>
      </c>
      <c r="M87" s="115"/>
      <c r="N87" s="28"/>
      <c r="O87" s="85"/>
      <c r="P87" s="28"/>
      <c r="Q87" s="28"/>
      <c r="R87" s="28"/>
      <c r="S87" s="28"/>
      <c r="T87" s="28"/>
      <c r="U87" s="28"/>
      <c r="V87" s="28"/>
      <c r="W87" s="28"/>
      <c r="X87" s="28"/>
      <c r="Y87" s="28"/>
      <c r="Z87" s="28"/>
      <c r="AA87" s="28"/>
      <c r="AB87" s="28"/>
      <c r="AC87" s="28"/>
      <c r="AD87" s="28"/>
      <c r="AE87" s="28"/>
      <c r="AF87" s="28"/>
      <c r="AG87" s="28"/>
      <c r="AH87" s="28"/>
      <c r="AI87" s="28"/>
    </row>
    <row r="88" spans="1:35 16139:16140" ht="147" customHeight="1" x14ac:dyDescent="0.25">
      <c r="A88" s="81">
        <v>74</v>
      </c>
      <c r="B88" s="81" t="s">
        <v>126</v>
      </c>
      <c r="C88" s="51" t="s">
        <v>42</v>
      </c>
      <c r="D88" s="45" t="s">
        <v>44</v>
      </c>
      <c r="E88" s="45"/>
      <c r="F88" s="45">
        <v>2545</v>
      </c>
      <c r="G88" s="45">
        <v>1410</v>
      </c>
      <c r="H88" s="46">
        <f t="shared" si="36"/>
        <v>3.5884499999999999</v>
      </c>
      <c r="I88" s="45">
        <v>1</v>
      </c>
      <c r="J88" s="53">
        <v>1942000</v>
      </c>
      <c r="K88" s="47"/>
      <c r="L88" s="48">
        <f t="shared" si="37"/>
        <v>6968769.8999999994</v>
      </c>
      <c r="M88" s="115"/>
      <c r="N88" s="28"/>
      <c r="O88" s="85"/>
      <c r="P88" s="28"/>
      <c r="Q88" s="28"/>
      <c r="R88" s="28"/>
      <c r="S88" s="28"/>
      <c r="T88" s="28"/>
      <c r="U88" s="28"/>
      <c r="V88" s="28"/>
      <c r="W88" s="28"/>
      <c r="X88" s="28"/>
      <c r="Y88" s="28"/>
      <c r="Z88" s="28"/>
      <c r="AA88" s="28"/>
      <c r="AB88" s="28"/>
      <c r="AC88" s="28"/>
      <c r="AD88" s="28"/>
      <c r="AE88" s="28"/>
      <c r="AF88" s="28"/>
      <c r="AG88" s="28"/>
      <c r="AH88" s="28"/>
      <c r="AI88" s="28"/>
    </row>
    <row r="89" spans="1:35 16139:16140" ht="144" customHeight="1" x14ac:dyDescent="0.25">
      <c r="A89" s="81">
        <v>75</v>
      </c>
      <c r="B89" s="81" t="s">
        <v>127</v>
      </c>
      <c r="C89" s="51" t="s">
        <v>42</v>
      </c>
      <c r="D89" s="45" t="s">
        <v>45</v>
      </c>
      <c r="E89" s="45"/>
      <c r="F89" s="45">
        <v>2880</v>
      </c>
      <c r="G89" s="45">
        <v>1943</v>
      </c>
      <c r="H89" s="46">
        <f>F89*G89/10^6</f>
        <v>5.5958399999999999</v>
      </c>
      <c r="I89" s="45">
        <v>1</v>
      </c>
      <c r="J89" s="53">
        <v>2232000</v>
      </c>
      <c r="K89" s="47"/>
      <c r="L89" s="48">
        <f>IF(H89&lt;&gt;0,J89*H89*I89+K89*I89,IF(J89&lt;&gt;0,G89*I89*J89,I89*K89))</f>
        <v>12489914.879999999</v>
      </c>
      <c r="M89" s="115"/>
      <c r="N89" s="28"/>
      <c r="O89" s="85"/>
      <c r="P89" s="28"/>
      <c r="Q89" s="28"/>
      <c r="R89" s="28"/>
      <c r="S89" s="28"/>
      <c r="T89" s="28"/>
      <c r="U89" s="28"/>
      <c r="V89" s="28"/>
      <c r="W89" s="28"/>
      <c r="X89" s="28"/>
      <c r="Y89" s="28"/>
      <c r="Z89" s="28"/>
      <c r="AA89" s="28"/>
      <c r="AB89" s="28"/>
      <c r="AC89" s="28"/>
      <c r="AD89" s="28"/>
      <c r="AE89" s="28"/>
      <c r="AF89" s="28"/>
      <c r="AG89" s="28"/>
      <c r="AH89" s="28"/>
      <c r="AI89" s="28"/>
    </row>
    <row r="90" spans="1:35 16139:16140" ht="144" customHeight="1" x14ac:dyDescent="0.25">
      <c r="A90" s="81">
        <v>76</v>
      </c>
      <c r="B90" s="81" t="s">
        <v>128</v>
      </c>
      <c r="C90" s="51" t="s">
        <v>42</v>
      </c>
      <c r="D90" s="45" t="s">
        <v>39</v>
      </c>
      <c r="E90" s="45"/>
      <c r="F90" s="45">
        <v>1450</v>
      </c>
      <c r="G90" s="45">
        <v>1950</v>
      </c>
      <c r="H90" s="46">
        <f>F90*G90/10^6</f>
        <v>2.8275000000000001</v>
      </c>
      <c r="I90" s="45">
        <v>1</v>
      </c>
      <c r="J90" s="53">
        <v>2273000</v>
      </c>
      <c r="K90" s="47"/>
      <c r="L90" s="48">
        <f>IF(H90&lt;&gt;0,J90*H90*I90+K90*I90,IF(J90&lt;&gt;0,G90*I90*J90,I90*K90))</f>
        <v>6426907.5</v>
      </c>
      <c r="M90" s="115"/>
      <c r="N90" s="28"/>
      <c r="O90" s="85"/>
      <c r="P90" s="28"/>
      <c r="Q90" s="28"/>
      <c r="R90" s="28"/>
      <c r="S90" s="28"/>
      <c r="T90" s="28"/>
      <c r="U90" s="28"/>
      <c r="V90" s="28"/>
      <c r="W90" s="28"/>
      <c r="X90" s="28"/>
      <c r="Y90" s="28"/>
      <c r="Z90" s="28"/>
      <c r="AA90" s="28"/>
      <c r="AB90" s="28"/>
      <c r="AC90" s="28"/>
      <c r="AD90" s="28"/>
      <c r="AE90" s="28"/>
      <c r="AF90" s="28"/>
      <c r="AG90" s="28"/>
      <c r="AH90" s="28"/>
      <c r="AI90" s="28"/>
    </row>
    <row r="91" spans="1:35 16139:16140" ht="156" customHeight="1" x14ac:dyDescent="0.25">
      <c r="A91" s="81">
        <v>77</v>
      </c>
      <c r="B91" s="81" t="s">
        <v>129</v>
      </c>
      <c r="C91" s="51" t="s">
        <v>41</v>
      </c>
      <c r="D91" s="45" t="s">
        <v>39</v>
      </c>
      <c r="E91" s="45" t="s">
        <v>38</v>
      </c>
      <c r="F91" s="45">
        <v>3202</v>
      </c>
      <c r="G91" s="45">
        <v>1952</v>
      </c>
      <c r="H91" s="46">
        <f>F91*G91/10^6</f>
        <v>6.2503039999999999</v>
      </c>
      <c r="I91" s="45">
        <v>1</v>
      </c>
      <c r="J91" s="53">
        <v>2928000</v>
      </c>
      <c r="K91" s="47">
        <v>1850000</v>
      </c>
      <c r="L91" s="48">
        <f>IF(H91&lt;&gt;0,J91*H91*I91+K91*I91,IF(J91&lt;&gt;0,G91*I91*J91,I91*K91))</f>
        <v>20150890.112</v>
      </c>
      <c r="M91" s="115"/>
      <c r="N91" s="28"/>
      <c r="O91" s="85"/>
      <c r="P91" s="28"/>
      <c r="Q91" s="28"/>
      <c r="R91" s="28"/>
      <c r="S91" s="28"/>
      <c r="T91" s="28"/>
      <c r="U91" s="28"/>
      <c r="V91" s="28"/>
      <c r="W91" s="28"/>
      <c r="X91" s="28"/>
      <c r="Y91" s="28"/>
      <c r="Z91" s="28"/>
      <c r="AA91" s="28"/>
      <c r="AB91" s="28"/>
      <c r="AC91" s="28"/>
      <c r="AD91" s="28"/>
      <c r="AE91" s="28"/>
      <c r="AF91" s="28"/>
      <c r="AG91" s="28"/>
      <c r="AH91" s="28"/>
      <c r="AI91" s="28"/>
    </row>
    <row r="92" spans="1:35 16139:16140" ht="150.75" customHeight="1" x14ac:dyDescent="0.25">
      <c r="A92" s="81">
        <v>78</v>
      </c>
      <c r="B92" s="81" t="s">
        <v>130</v>
      </c>
      <c r="C92" s="51" t="s">
        <v>46</v>
      </c>
      <c r="D92" s="45" t="s">
        <v>39</v>
      </c>
      <c r="E92" s="45" t="s">
        <v>38</v>
      </c>
      <c r="F92" s="45">
        <v>2806</v>
      </c>
      <c r="G92" s="45">
        <v>1960</v>
      </c>
      <c r="H92" s="46">
        <f t="shared" ref="H92:H120" si="38">F92*G92/10^6</f>
        <v>5.4997600000000002</v>
      </c>
      <c r="I92" s="45">
        <v>1</v>
      </c>
      <c r="J92" s="53">
        <v>2963000</v>
      </c>
      <c r="K92" s="47">
        <v>1624000</v>
      </c>
      <c r="L92" s="48">
        <f t="shared" ref="L92:L120" si="39">IF(H92&lt;&gt;0,J92*H92*I92+K92*I92,IF(J92&lt;&gt;0,G92*I92*J92,I92*K92))</f>
        <v>17919788.880000003</v>
      </c>
      <c r="M92" s="115"/>
      <c r="N92" s="28"/>
      <c r="O92" s="85"/>
      <c r="P92" s="28"/>
      <c r="Q92" s="28"/>
      <c r="R92" s="28"/>
      <c r="S92" s="28"/>
      <c r="T92" s="28"/>
      <c r="U92" s="28"/>
      <c r="V92" s="28"/>
      <c r="W92" s="28"/>
      <c r="X92" s="28"/>
      <c r="Y92" s="28"/>
      <c r="Z92" s="28"/>
      <c r="AA92" s="28"/>
      <c r="AB92" s="28"/>
      <c r="AC92" s="28"/>
      <c r="AD92" s="28"/>
      <c r="AE92" s="28"/>
      <c r="AF92" s="28"/>
      <c r="AG92" s="28"/>
      <c r="WVS92"/>
      <c r="WVT92"/>
    </row>
    <row r="93" spans="1:35 16139:16140" ht="156" customHeight="1" x14ac:dyDescent="0.25">
      <c r="A93" s="81">
        <v>79</v>
      </c>
      <c r="B93" s="81" t="s">
        <v>131</v>
      </c>
      <c r="C93" s="51" t="s">
        <v>41</v>
      </c>
      <c r="D93" s="45" t="s">
        <v>39</v>
      </c>
      <c r="E93" s="45" t="s">
        <v>38</v>
      </c>
      <c r="F93" s="45">
        <v>3203</v>
      </c>
      <c r="G93" s="45">
        <v>1950</v>
      </c>
      <c r="H93" s="46">
        <f t="shared" si="38"/>
        <v>6.2458499999999999</v>
      </c>
      <c r="I93" s="45">
        <v>1</v>
      </c>
      <c r="J93" s="53">
        <v>2928000</v>
      </c>
      <c r="K93" s="47">
        <v>1850000</v>
      </c>
      <c r="L93" s="48">
        <f t="shared" si="39"/>
        <v>20137848.800000001</v>
      </c>
      <c r="M93" s="115"/>
      <c r="N93" s="28"/>
      <c r="O93" s="85"/>
      <c r="P93" s="28"/>
      <c r="Q93" s="28"/>
      <c r="R93" s="28"/>
      <c r="S93" s="28"/>
      <c r="T93" s="28"/>
      <c r="U93" s="28"/>
      <c r="V93" s="28"/>
      <c r="W93" s="28"/>
      <c r="X93" s="28"/>
      <c r="Y93" s="28"/>
      <c r="Z93" s="28"/>
      <c r="AA93" s="28"/>
      <c r="AB93" s="28"/>
      <c r="AC93" s="28"/>
      <c r="AD93" s="28"/>
      <c r="AE93" s="28"/>
      <c r="AF93" s="28"/>
      <c r="AG93" s="28"/>
      <c r="AH93" s="28"/>
      <c r="AI93" s="28"/>
    </row>
    <row r="94" spans="1:35 16139:16140" ht="144" customHeight="1" x14ac:dyDescent="0.25">
      <c r="A94" s="81">
        <v>80</v>
      </c>
      <c r="B94" s="81" t="s">
        <v>132</v>
      </c>
      <c r="C94" s="51" t="s">
        <v>42</v>
      </c>
      <c r="D94" s="45" t="s">
        <v>39</v>
      </c>
      <c r="E94" s="45"/>
      <c r="F94" s="45">
        <v>1477</v>
      </c>
      <c r="G94" s="45">
        <v>1950</v>
      </c>
      <c r="H94" s="46">
        <f t="shared" si="38"/>
        <v>2.88015</v>
      </c>
      <c r="I94" s="45">
        <v>1</v>
      </c>
      <c r="J94" s="53">
        <v>2266000</v>
      </c>
      <c r="K94" s="47"/>
      <c r="L94" s="48">
        <f t="shared" si="39"/>
        <v>6526419.9000000004</v>
      </c>
      <c r="M94" s="115"/>
      <c r="N94" s="28"/>
      <c r="O94" s="85"/>
      <c r="P94" s="28"/>
      <c r="Q94" s="28"/>
      <c r="R94" s="28"/>
      <c r="S94" s="28"/>
      <c r="T94" s="28"/>
      <c r="U94" s="28"/>
      <c r="V94" s="28"/>
      <c r="W94" s="28"/>
      <c r="X94" s="28"/>
      <c r="Y94" s="28"/>
      <c r="Z94" s="28"/>
      <c r="AA94" s="28"/>
      <c r="AB94" s="28"/>
      <c r="AC94" s="28"/>
      <c r="AD94" s="28"/>
      <c r="AE94" s="28"/>
      <c r="AF94" s="28"/>
      <c r="AG94" s="28"/>
      <c r="AH94" s="28"/>
      <c r="AI94" s="28"/>
    </row>
    <row r="95" spans="1:35 16139:16140" ht="144" customHeight="1" x14ac:dyDescent="0.25">
      <c r="A95" s="81">
        <v>81</v>
      </c>
      <c r="B95" s="81" t="s">
        <v>133</v>
      </c>
      <c r="C95" s="51" t="s">
        <v>42</v>
      </c>
      <c r="D95" s="45" t="s">
        <v>39</v>
      </c>
      <c r="E95" s="45"/>
      <c r="F95" s="45">
        <v>1450</v>
      </c>
      <c r="G95" s="45">
        <v>1950</v>
      </c>
      <c r="H95" s="46">
        <f t="shared" si="38"/>
        <v>2.8275000000000001</v>
      </c>
      <c r="I95" s="45">
        <v>1</v>
      </c>
      <c r="J95" s="53">
        <v>2273000</v>
      </c>
      <c r="K95" s="47"/>
      <c r="L95" s="48">
        <f t="shared" si="39"/>
        <v>6426907.5</v>
      </c>
      <c r="M95" s="115"/>
      <c r="N95" s="28"/>
      <c r="O95" s="85"/>
      <c r="P95" s="28"/>
      <c r="Q95" s="28"/>
      <c r="R95" s="28"/>
      <c r="S95" s="28"/>
      <c r="T95" s="28"/>
      <c r="U95" s="28"/>
      <c r="V95" s="28"/>
      <c r="W95" s="28"/>
      <c r="X95" s="28"/>
      <c r="Y95" s="28"/>
      <c r="Z95" s="28"/>
      <c r="AA95" s="28"/>
      <c r="AB95" s="28"/>
      <c r="AC95" s="28"/>
      <c r="AD95" s="28"/>
      <c r="AE95" s="28"/>
      <c r="AF95" s="28"/>
      <c r="AG95" s="28"/>
      <c r="AH95" s="28"/>
      <c r="AI95" s="28"/>
    </row>
    <row r="96" spans="1:35 16139:16140" ht="156" customHeight="1" x14ac:dyDescent="0.25">
      <c r="A96" s="81">
        <v>82</v>
      </c>
      <c r="B96" s="81" t="s">
        <v>134</v>
      </c>
      <c r="C96" s="51" t="s">
        <v>41</v>
      </c>
      <c r="D96" s="45" t="s">
        <v>39</v>
      </c>
      <c r="E96" s="45" t="s">
        <v>38</v>
      </c>
      <c r="F96" s="45">
        <v>3205</v>
      </c>
      <c r="G96" s="45">
        <v>1950</v>
      </c>
      <c r="H96" s="46">
        <f t="shared" si="38"/>
        <v>6.2497499999999997</v>
      </c>
      <c r="I96" s="45">
        <v>1</v>
      </c>
      <c r="J96" s="53">
        <v>2928000</v>
      </c>
      <c r="K96" s="47">
        <v>1850000</v>
      </c>
      <c r="L96" s="48">
        <f t="shared" si="39"/>
        <v>20149268</v>
      </c>
      <c r="M96" s="115"/>
      <c r="N96" s="28"/>
      <c r="O96" s="85"/>
      <c r="P96" s="28"/>
      <c r="Q96" s="28"/>
      <c r="R96" s="28"/>
      <c r="S96" s="28"/>
      <c r="T96" s="28"/>
      <c r="U96" s="28"/>
      <c r="V96" s="28"/>
      <c r="W96" s="28"/>
      <c r="X96" s="28"/>
      <c r="Y96" s="28"/>
      <c r="Z96" s="28"/>
      <c r="AA96" s="28"/>
      <c r="AB96" s="28"/>
      <c r="AC96" s="28"/>
      <c r="AD96" s="28"/>
      <c r="AE96" s="28"/>
      <c r="AF96" s="28"/>
      <c r="AG96" s="28"/>
      <c r="AH96" s="28"/>
      <c r="AI96" s="28"/>
    </row>
    <row r="97" spans="1:35" ht="156" customHeight="1" x14ac:dyDescent="0.25">
      <c r="A97" s="81">
        <v>83</v>
      </c>
      <c r="B97" s="81" t="s">
        <v>135</v>
      </c>
      <c r="C97" s="51" t="s">
        <v>41</v>
      </c>
      <c r="D97" s="45" t="s">
        <v>39</v>
      </c>
      <c r="E97" s="45" t="s">
        <v>38</v>
      </c>
      <c r="F97" s="45">
        <v>3185</v>
      </c>
      <c r="G97" s="45">
        <v>1955</v>
      </c>
      <c r="H97" s="46">
        <f t="shared" si="38"/>
        <v>6.2266750000000002</v>
      </c>
      <c r="I97" s="45">
        <v>1</v>
      </c>
      <c r="J97" s="53">
        <v>2930000</v>
      </c>
      <c r="K97" s="47">
        <v>1850000</v>
      </c>
      <c r="L97" s="48">
        <f t="shared" si="39"/>
        <v>20094157.75</v>
      </c>
      <c r="M97" s="115"/>
      <c r="N97" s="28"/>
      <c r="O97" s="85"/>
      <c r="P97" s="28"/>
      <c r="Q97" s="28"/>
      <c r="R97" s="28"/>
      <c r="S97" s="28"/>
      <c r="T97" s="28"/>
      <c r="U97" s="28"/>
      <c r="V97" s="28"/>
      <c r="W97" s="28"/>
      <c r="X97" s="28"/>
      <c r="Y97" s="28"/>
      <c r="Z97" s="28"/>
      <c r="AA97" s="28"/>
      <c r="AB97" s="28"/>
      <c r="AC97" s="28"/>
      <c r="AD97" s="28"/>
      <c r="AE97" s="28"/>
      <c r="AF97" s="28"/>
      <c r="AG97" s="28"/>
      <c r="AH97" s="28"/>
      <c r="AI97" s="28"/>
    </row>
    <row r="98" spans="1:35" ht="144" customHeight="1" x14ac:dyDescent="0.25">
      <c r="A98" s="81">
        <v>84</v>
      </c>
      <c r="B98" s="57" t="s">
        <v>136</v>
      </c>
      <c r="C98" s="56" t="s">
        <v>42</v>
      </c>
      <c r="D98" s="45" t="s">
        <v>39</v>
      </c>
      <c r="E98" s="45"/>
      <c r="F98" s="45">
        <v>1453</v>
      </c>
      <c r="G98" s="45">
        <v>1950</v>
      </c>
      <c r="H98" s="46">
        <f t="shared" si="38"/>
        <v>2.8333499999999998</v>
      </c>
      <c r="I98" s="45">
        <v>1</v>
      </c>
      <c r="J98" s="53">
        <v>2272000</v>
      </c>
      <c r="K98" s="47"/>
      <c r="L98" s="48">
        <f t="shared" si="39"/>
        <v>6437371.1999999993</v>
      </c>
      <c r="M98" s="115"/>
      <c r="N98" s="28"/>
      <c r="O98" s="85"/>
      <c r="P98" s="28"/>
      <c r="Q98" s="28"/>
      <c r="R98" s="28"/>
      <c r="S98" s="28"/>
      <c r="T98" s="28"/>
      <c r="U98" s="28"/>
      <c r="V98" s="28"/>
      <c r="W98" s="28"/>
      <c r="X98" s="28"/>
      <c r="Y98" s="28"/>
      <c r="Z98" s="28"/>
      <c r="AA98" s="28"/>
      <c r="AB98" s="28"/>
      <c r="AC98" s="28"/>
      <c r="AD98" s="28"/>
      <c r="AE98" s="28"/>
      <c r="AF98" s="28"/>
      <c r="AG98" s="28"/>
      <c r="AH98" s="28"/>
      <c r="AI98" s="28"/>
    </row>
    <row r="99" spans="1:35" ht="144" customHeight="1" x14ac:dyDescent="0.25">
      <c r="A99" s="81">
        <v>85</v>
      </c>
      <c r="B99" s="57" t="s">
        <v>137</v>
      </c>
      <c r="C99" s="56" t="s">
        <v>42</v>
      </c>
      <c r="D99" s="45" t="s">
        <v>39</v>
      </c>
      <c r="E99" s="45"/>
      <c r="F99" s="45">
        <v>1455</v>
      </c>
      <c r="G99" s="45">
        <v>1950</v>
      </c>
      <c r="H99" s="46">
        <f t="shared" si="38"/>
        <v>2.83725</v>
      </c>
      <c r="I99" s="45">
        <v>1</v>
      </c>
      <c r="J99" s="53">
        <v>2272000</v>
      </c>
      <c r="K99" s="47"/>
      <c r="L99" s="48">
        <f t="shared" si="39"/>
        <v>6446232</v>
      </c>
      <c r="M99" s="115"/>
      <c r="N99" s="28"/>
      <c r="O99" s="85"/>
      <c r="P99" s="28"/>
      <c r="Q99" s="28"/>
      <c r="R99" s="28"/>
      <c r="S99" s="28"/>
      <c r="T99" s="28"/>
      <c r="U99" s="28"/>
      <c r="V99" s="28"/>
      <c r="W99" s="28"/>
      <c r="X99" s="28"/>
      <c r="Y99" s="28"/>
      <c r="Z99" s="28"/>
      <c r="AA99" s="28"/>
      <c r="AB99" s="28"/>
      <c r="AC99" s="28"/>
      <c r="AD99" s="28"/>
      <c r="AE99" s="28"/>
      <c r="AF99" s="28"/>
      <c r="AG99" s="28"/>
      <c r="AH99" s="28"/>
      <c r="AI99" s="28"/>
    </row>
    <row r="100" spans="1:35" ht="156" customHeight="1" x14ac:dyDescent="0.25">
      <c r="A100" s="81">
        <v>86</v>
      </c>
      <c r="B100" s="57" t="s">
        <v>138</v>
      </c>
      <c r="C100" s="56" t="s">
        <v>41</v>
      </c>
      <c r="D100" s="45" t="s">
        <v>39</v>
      </c>
      <c r="E100" s="45" t="s">
        <v>38</v>
      </c>
      <c r="F100" s="45">
        <v>2945</v>
      </c>
      <c r="G100" s="45">
        <v>1942</v>
      </c>
      <c r="H100" s="46">
        <f t="shared" si="38"/>
        <v>5.7191900000000002</v>
      </c>
      <c r="I100" s="45">
        <v>1</v>
      </c>
      <c r="J100" s="53">
        <v>2975000</v>
      </c>
      <c r="K100" s="47">
        <v>1850000</v>
      </c>
      <c r="L100" s="48">
        <f t="shared" si="39"/>
        <v>18864590.25</v>
      </c>
      <c r="M100" s="115"/>
      <c r="N100" s="28"/>
      <c r="O100" s="85"/>
      <c r="P100" s="28"/>
      <c r="Q100" s="28"/>
      <c r="R100" s="28"/>
      <c r="S100" s="28"/>
      <c r="T100" s="28"/>
      <c r="U100" s="28"/>
      <c r="V100" s="28"/>
      <c r="W100" s="28"/>
      <c r="X100" s="28"/>
      <c r="Y100" s="28"/>
      <c r="Z100" s="28"/>
      <c r="AA100" s="28"/>
      <c r="AB100" s="28"/>
      <c r="AC100" s="28"/>
      <c r="AD100" s="28"/>
      <c r="AE100" s="28"/>
      <c r="AF100" s="28"/>
      <c r="AG100" s="28"/>
      <c r="AH100" s="28"/>
      <c r="AI100" s="28"/>
    </row>
    <row r="101" spans="1:35" ht="156" customHeight="1" x14ac:dyDescent="0.25">
      <c r="A101" s="81">
        <v>87</v>
      </c>
      <c r="B101" s="68" t="s">
        <v>139</v>
      </c>
      <c r="C101" s="56" t="s">
        <v>42</v>
      </c>
      <c r="D101" s="45" t="s">
        <v>39</v>
      </c>
      <c r="E101" s="45"/>
      <c r="F101" s="45">
        <v>3322</v>
      </c>
      <c r="G101" s="45">
        <v>1953</v>
      </c>
      <c r="H101" s="46">
        <f t="shared" si="38"/>
        <v>6.4878660000000004</v>
      </c>
      <c r="I101" s="45">
        <v>1</v>
      </c>
      <c r="J101" s="53">
        <v>2144000</v>
      </c>
      <c r="K101" s="47"/>
      <c r="L101" s="48">
        <f t="shared" si="39"/>
        <v>13909984.704</v>
      </c>
      <c r="M101" s="115"/>
      <c r="N101" s="28"/>
      <c r="O101" s="85"/>
      <c r="P101" s="28"/>
      <c r="Q101" s="28"/>
      <c r="R101" s="28"/>
      <c r="S101" s="28"/>
      <c r="T101" s="28"/>
      <c r="U101" s="28"/>
      <c r="V101" s="28"/>
      <c r="W101" s="28"/>
      <c r="X101" s="28"/>
      <c r="Y101" s="28"/>
      <c r="Z101" s="28"/>
      <c r="AA101" s="28"/>
      <c r="AB101" s="28"/>
      <c r="AC101" s="28"/>
      <c r="AD101" s="28"/>
      <c r="AE101" s="28"/>
      <c r="AF101" s="28"/>
      <c r="AG101" s="28"/>
      <c r="AH101" s="28"/>
      <c r="AI101" s="28"/>
    </row>
    <row r="102" spans="1:35" ht="144" customHeight="1" x14ac:dyDescent="0.25">
      <c r="A102" s="81">
        <v>88</v>
      </c>
      <c r="B102" s="57" t="s">
        <v>140</v>
      </c>
      <c r="C102" s="56" t="s">
        <v>42</v>
      </c>
      <c r="D102" s="45" t="s">
        <v>39</v>
      </c>
      <c r="E102" s="45"/>
      <c r="F102" s="45">
        <v>1245</v>
      </c>
      <c r="G102" s="45">
        <v>1950</v>
      </c>
      <c r="H102" s="46">
        <f t="shared" si="38"/>
        <v>2.4277500000000001</v>
      </c>
      <c r="I102" s="45">
        <v>1</v>
      </c>
      <c r="J102" s="53">
        <v>2318000</v>
      </c>
      <c r="K102" s="47"/>
      <c r="L102" s="48">
        <f t="shared" si="39"/>
        <v>5627524.5</v>
      </c>
      <c r="M102" s="115"/>
      <c r="N102" s="28"/>
      <c r="O102" s="85"/>
      <c r="P102" s="28"/>
      <c r="Q102" s="28"/>
      <c r="R102" s="28"/>
      <c r="S102" s="28"/>
      <c r="T102" s="28"/>
      <c r="U102" s="28"/>
      <c r="V102" s="28"/>
      <c r="W102" s="28"/>
      <c r="X102" s="28"/>
      <c r="Y102" s="28"/>
      <c r="Z102" s="28"/>
      <c r="AA102" s="28"/>
      <c r="AB102" s="28"/>
      <c r="AC102" s="28"/>
      <c r="AD102" s="28"/>
      <c r="AE102" s="28"/>
      <c r="AF102" s="28"/>
      <c r="AG102" s="28"/>
      <c r="AH102" s="28"/>
      <c r="AI102" s="28"/>
    </row>
    <row r="103" spans="1:35" ht="156" customHeight="1" x14ac:dyDescent="0.25">
      <c r="A103" s="81">
        <v>89</v>
      </c>
      <c r="B103" s="57" t="s">
        <v>141</v>
      </c>
      <c r="C103" s="56" t="s">
        <v>41</v>
      </c>
      <c r="D103" s="45" t="s">
        <v>39</v>
      </c>
      <c r="E103" s="45" t="s">
        <v>38</v>
      </c>
      <c r="F103" s="45">
        <v>1950</v>
      </c>
      <c r="G103" s="45">
        <v>1950</v>
      </c>
      <c r="H103" s="46">
        <f t="shared" si="38"/>
        <v>3.8025000000000002</v>
      </c>
      <c r="I103" s="45">
        <v>1</v>
      </c>
      <c r="J103" s="53">
        <v>3236000</v>
      </c>
      <c r="K103" s="47">
        <v>1850000</v>
      </c>
      <c r="L103" s="48">
        <f t="shared" si="39"/>
        <v>14154890</v>
      </c>
      <c r="M103" s="115"/>
      <c r="N103" s="28"/>
      <c r="O103" s="85"/>
      <c r="P103" s="28"/>
      <c r="Q103" s="28"/>
      <c r="R103" s="28"/>
      <c r="S103" s="28"/>
      <c r="T103" s="28"/>
      <c r="U103" s="28"/>
      <c r="V103" s="28"/>
      <c r="W103" s="28"/>
      <c r="X103" s="28"/>
      <c r="Y103" s="28"/>
      <c r="Z103" s="28"/>
      <c r="AA103" s="28"/>
      <c r="AB103" s="28"/>
      <c r="AC103" s="28"/>
      <c r="AD103" s="28"/>
      <c r="AE103" s="28"/>
      <c r="AF103" s="28"/>
      <c r="AG103" s="28"/>
      <c r="AH103" s="28"/>
      <c r="AI103" s="28"/>
    </row>
    <row r="104" spans="1:35" ht="156" customHeight="1" x14ac:dyDescent="0.25">
      <c r="A104" s="81">
        <v>90</v>
      </c>
      <c r="B104" s="57" t="s">
        <v>142</v>
      </c>
      <c r="C104" s="56" t="s">
        <v>41</v>
      </c>
      <c r="D104" s="45" t="s">
        <v>39</v>
      </c>
      <c r="E104" s="45" t="s">
        <v>38</v>
      </c>
      <c r="F104" s="45">
        <v>1952</v>
      </c>
      <c r="G104" s="45">
        <v>1947</v>
      </c>
      <c r="H104" s="46">
        <f t="shared" si="38"/>
        <v>3.8005439999999999</v>
      </c>
      <c r="I104" s="45">
        <v>1</v>
      </c>
      <c r="J104" s="53">
        <v>3236000</v>
      </c>
      <c r="K104" s="47">
        <v>1850000</v>
      </c>
      <c r="L104" s="48">
        <f t="shared" si="39"/>
        <v>14148560.384</v>
      </c>
      <c r="M104" s="115"/>
      <c r="N104" s="28"/>
      <c r="O104" s="85"/>
      <c r="P104" s="28"/>
      <c r="Q104" s="28"/>
      <c r="R104" s="28"/>
      <c r="S104" s="28"/>
      <c r="T104" s="28"/>
      <c r="U104" s="28"/>
      <c r="V104" s="28"/>
      <c r="W104" s="28"/>
      <c r="X104" s="28"/>
      <c r="Y104" s="28"/>
      <c r="Z104" s="28"/>
      <c r="AA104" s="28"/>
      <c r="AB104" s="28"/>
      <c r="AC104" s="28"/>
      <c r="AD104" s="28"/>
      <c r="AE104" s="28"/>
      <c r="AF104" s="28"/>
      <c r="AG104" s="28"/>
      <c r="AH104" s="28"/>
      <c r="AI104" s="28"/>
    </row>
    <row r="105" spans="1:35" ht="144" customHeight="1" x14ac:dyDescent="0.25">
      <c r="A105" s="81">
        <v>91</v>
      </c>
      <c r="B105" s="57" t="s">
        <v>143</v>
      </c>
      <c r="C105" s="56" t="s">
        <v>42</v>
      </c>
      <c r="D105" s="45" t="s">
        <v>39</v>
      </c>
      <c r="E105" s="45"/>
      <c r="F105" s="45">
        <v>1248</v>
      </c>
      <c r="G105" s="45">
        <v>1950</v>
      </c>
      <c r="H105" s="46">
        <f t="shared" si="38"/>
        <v>2.4336000000000002</v>
      </c>
      <c r="I105" s="45">
        <v>1</v>
      </c>
      <c r="J105" s="53">
        <v>2318000</v>
      </c>
      <c r="K105" s="47"/>
      <c r="L105" s="48">
        <f t="shared" si="39"/>
        <v>5641084.8000000007</v>
      </c>
      <c r="M105" s="115"/>
      <c r="N105" s="28"/>
      <c r="O105" s="85"/>
      <c r="P105" s="28"/>
      <c r="Q105" s="28"/>
      <c r="R105" s="28"/>
      <c r="S105" s="28"/>
      <c r="T105" s="28"/>
      <c r="U105" s="28"/>
      <c r="V105" s="28"/>
      <c r="W105" s="28"/>
      <c r="X105" s="28"/>
      <c r="Y105" s="28"/>
      <c r="Z105" s="28"/>
      <c r="AA105" s="28"/>
      <c r="AB105" s="28"/>
      <c r="AC105" s="28"/>
      <c r="AD105" s="28"/>
      <c r="AE105" s="28"/>
      <c r="AF105" s="28"/>
      <c r="AG105" s="28"/>
      <c r="AH105" s="28"/>
      <c r="AI105" s="28"/>
    </row>
    <row r="106" spans="1:35" ht="156" customHeight="1" x14ac:dyDescent="0.25">
      <c r="A106" s="81">
        <v>92</v>
      </c>
      <c r="B106" s="68" t="s">
        <v>144</v>
      </c>
      <c r="C106" s="56" t="s">
        <v>42</v>
      </c>
      <c r="D106" s="45" t="s">
        <v>39</v>
      </c>
      <c r="E106" s="45"/>
      <c r="F106" s="45">
        <v>3325</v>
      </c>
      <c r="G106" s="45">
        <v>1950</v>
      </c>
      <c r="H106" s="46">
        <f t="shared" si="38"/>
        <v>6.4837499999999997</v>
      </c>
      <c r="I106" s="45">
        <v>1</v>
      </c>
      <c r="J106" s="53">
        <v>2144000</v>
      </c>
      <c r="K106" s="47"/>
      <c r="L106" s="48">
        <f t="shared" si="39"/>
        <v>13901160</v>
      </c>
      <c r="M106" s="115"/>
      <c r="N106" s="28"/>
      <c r="O106" s="85"/>
      <c r="P106" s="28"/>
      <c r="Q106" s="28"/>
      <c r="R106" s="28"/>
      <c r="S106" s="28"/>
      <c r="T106" s="28"/>
      <c r="U106" s="28"/>
      <c r="V106" s="28"/>
      <c r="W106" s="28"/>
      <c r="X106" s="28"/>
      <c r="Y106" s="28"/>
      <c r="Z106" s="28"/>
      <c r="AA106" s="28"/>
      <c r="AB106" s="28"/>
      <c r="AC106" s="28"/>
      <c r="AD106" s="28"/>
      <c r="AE106" s="28"/>
      <c r="AF106" s="28"/>
      <c r="AG106" s="28"/>
      <c r="AH106" s="28"/>
      <c r="AI106" s="28"/>
    </row>
    <row r="107" spans="1:35" ht="156" customHeight="1" x14ac:dyDescent="0.25">
      <c r="A107" s="81">
        <v>93</v>
      </c>
      <c r="B107" s="57" t="s">
        <v>145</v>
      </c>
      <c r="C107" s="56" t="s">
        <v>41</v>
      </c>
      <c r="D107" s="45" t="s">
        <v>39</v>
      </c>
      <c r="E107" s="45" t="s">
        <v>38</v>
      </c>
      <c r="F107" s="45">
        <v>2945</v>
      </c>
      <c r="G107" s="45">
        <v>1948</v>
      </c>
      <c r="H107" s="46">
        <f t="shared" si="38"/>
        <v>5.7368600000000001</v>
      </c>
      <c r="I107" s="45">
        <v>1</v>
      </c>
      <c r="J107" s="53">
        <v>2973000</v>
      </c>
      <c r="K107" s="47">
        <v>1850000</v>
      </c>
      <c r="L107" s="48">
        <f t="shared" si="39"/>
        <v>18905684.780000001</v>
      </c>
      <c r="M107" s="115"/>
      <c r="N107" s="28"/>
      <c r="O107" s="85"/>
      <c r="P107" s="28"/>
      <c r="Q107" s="28"/>
      <c r="R107" s="28"/>
      <c r="S107" s="28"/>
      <c r="T107" s="28"/>
      <c r="U107" s="28"/>
      <c r="V107" s="28"/>
      <c r="W107" s="28"/>
      <c r="X107" s="28"/>
      <c r="Y107" s="28"/>
      <c r="Z107" s="28"/>
      <c r="AA107" s="28"/>
      <c r="AB107" s="28"/>
      <c r="AC107" s="28"/>
      <c r="AD107" s="28"/>
      <c r="AE107" s="28"/>
      <c r="AF107" s="28"/>
      <c r="AG107" s="28"/>
      <c r="AH107" s="28"/>
      <c r="AI107" s="28"/>
    </row>
    <row r="108" spans="1:35" ht="144" customHeight="1" x14ac:dyDescent="0.25">
      <c r="A108" s="81">
        <v>94</v>
      </c>
      <c r="B108" s="57" t="s">
        <v>146</v>
      </c>
      <c r="C108" s="56" t="s">
        <v>42</v>
      </c>
      <c r="D108" s="45" t="s">
        <v>39</v>
      </c>
      <c r="E108" s="45"/>
      <c r="F108" s="45">
        <v>1450</v>
      </c>
      <c r="G108" s="45">
        <v>1950</v>
      </c>
      <c r="H108" s="46">
        <f t="shared" si="38"/>
        <v>2.8275000000000001</v>
      </c>
      <c r="I108" s="45">
        <v>1</v>
      </c>
      <c r="J108" s="53">
        <v>2273000</v>
      </c>
      <c r="K108" s="47"/>
      <c r="L108" s="48">
        <f t="shared" si="39"/>
        <v>6426907.5</v>
      </c>
      <c r="M108" s="115"/>
      <c r="N108" s="28"/>
      <c r="O108" s="85"/>
      <c r="P108" s="28"/>
      <c r="Q108" s="28"/>
      <c r="R108" s="28"/>
      <c r="S108" s="28"/>
      <c r="T108" s="28"/>
      <c r="U108" s="28"/>
      <c r="V108" s="28"/>
      <c r="W108" s="28"/>
      <c r="X108" s="28"/>
      <c r="Y108" s="28"/>
      <c r="Z108" s="28"/>
      <c r="AA108" s="28"/>
      <c r="AB108" s="28"/>
      <c r="AC108" s="28"/>
      <c r="AD108" s="28"/>
      <c r="AE108" s="28"/>
      <c r="AF108" s="28"/>
      <c r="AG108" s="28"/>
      <c r="AH108" s="28"/>
      <c r="AI108" s="28"/>
    </row>
    <row r="109" spans="1:35" ht="144" customHeight="1" x14ac:dyDescent="0.25">
      <c r="A109" s="81">
        <v>95</v>
      </c>
      <c r="B109" s="57" t="s">
        <v>147</v>
      </c>
      <c r="C109" s="56" t="s">
        <v>42</v>
      </c>
      <c r="D109" s="45" t="s">
        <v>39</v>
      </c>
      <c r="E109" s="45"/>
      <c r="F109" s="45">
        <v>1455</v>
      </c>
      <c r="G109" s="45">
        <v>1950</v>
      </c>
      <c r="H109" s="46">
        <f t="shared" si="38"/>
        <v>2.83725</v>
      </c>
      <c r="I109" s="45">
        <v>1</v>
      </c>
      <c r="J109" s="53">
        <v>2272000</v>
      </c>
      <c r="K109" s="47"/>
      <c r="L109" s="48">
        <f t="shared" si="39"/>
        <v>6446232</v>
      </c>
      <c r="M109" s="115"/>
      <c r="N109" s="28"/>
      <c r="O109" s="85"/>
      <c r="P109" s="28"/>
      <c r="Q109" s="28"/>
      <c r="R109" s="28"/>
      <c r="S109" s="28"/>
      <c r="T109" s="28"/>
      <c r="U109" s="28"/>
      <c r="V109" s="28"/>
      <c r="W109" s="28"/>
      <c r="X109" s="28"/>
      <c r="Y109" s="28"/>
      <c r="Z109" s="28"/>
      <c r="AA109" s="28"/>
      <c r="AB109" s="28"/>
      <c r="AC109" s="28"/>
      <c r="AD109" s="28"/>
      <c r="AE109" s="28"/>
      <c r="AF109" s="28"/>
      <c r="AG109" s="28"/>
      <c r="AH109" s="28"/>
      <c r="AI109" s="28"/>
    </row>
    <row r="110" spans="1:35" ht="156" customHeight="1" x14ac:dyDescent="0.25">
      <c r="A110" s="81">
        <v>96</v>
      </c>
      <c r="B110" s="57" t="s">
        <v>148</v>
      </c>
      <c r="C110" s="56" t="s">
        <v>41</v>
      </c>
      <c r="D110" s="45" t="s">
        <v>39</v>
      </c>
      <c r="E110" s="45" t="s">
        <v>38</v>
      </c>
      <c r="F110" s="45">
        <v>3203</v>
      </c>
      <c r="G110" s="45">
        <v>1947</v>
      </c>
      <c r="H110" s="46">
        <f t="shared" si="38"/>
        <v>6.2362409999999997</v>
      </c>
      <c r="I110" s="45">
        <v>1</v>
      </c>
      <c r="J110" s="53">
        <v>2930000</v>
      </c>
      <c r="K110" s="47">
        <v>1850000</v>
      </c>
      <c r="L110" s="48">
        <f t="shared" si="39"/>
        <v>20122186.129999999</v>
      </c>
      <c r="M110" s="115"/>
      <c r="N110" s="28"/>
      <c r="O110" s="85"/>
      <c r="P110" s="28"/>
      <c r="Q110" s="28"/>
      <c r="R110" s="28"/>
      <c r="S110" s="28"/>
      <c r="T110" s="28"/>
      <c r="U110" s="28"/>
      <c r="V110" s="28"/>
      <c r="W110" s="28"/>
      <c r="X110" s="28"/>
      <c r="Y110" s="28"/>
      <c r="Z110" s="28"/>
      <c r="AA110" s="28"/>
      <c r="AB110" s="28"/>
      <c r="AC110" s="28"/>
      <c r="AD110" s="28"/>
      <c r="AE110" s="28"/>
      <c r="AF110" s="28"/>
      <c r="AG110" s="28"/>
      <c r="AH110" s="28"/>
      <c r="AI110" s="28"/>
    </row>
    <row r="111" spans="1:35" ht="156" customHeight="1" x14ac:dyDescent="0.25">
      <c r="A111" s="81">
        <v>97</v>
      </c>
      <c r="B111" s="57" t="s">
        <v>149</v>
      </c>
      <c r="C111" s="56" t="s">
        <v>41</v>
      </c>
      <c r="D111" s="45" t="s">
        <v>39</v>
      </c>
      <c r="E111" s="45" t="s">
        <v>38</v>
      </c>
      <c r="F111" s="45">
        <v>3205</v>
      </c>
      <c r="G111" s="45">
        <v>1952</v>
      </c>
      <c r="H111" s="46">
        <f t="shared" si="38"/>
        <v>6.2561600000000004</v>
      </c>
      <c r="I111" s="45">
        <v>1</v>
      </c>
      <c r="J111" s="53">
        <v>2928000</v>
      </c>
      <c r="K111" s="47">
        <v>1850000</v>
      </c>
      <c r="L111" s="48">
        <f t="shared" si="39"/>
        <v>20168036.48</v>
      </c>
      <c r="M111" s="115"/>
      <c r="N111" s="28"/>
      <c r="O111" s="85"/>
      <c r="P111" s="28"/>
      <c r="Q111" s="28"/>
      <c r="R111" s="28"/>
      <c r="S111" s="28"/>
      <c r="T111" s="28"/>
      <c r="U111" s="28"/>
      <c r="V111" s="28"/>
      <c r="W111" s="28"/>
      <c r="X111" s="28"/>
      <c r="Y111" s="28"/>
      <c r="Z111" s="28"/>
      <c r="AA111" s="28"/>
      <c r="AB111" s="28"/>
      <c r="AC111" s="28"/>
      <c r="AD111" s="28"/>
      <c r="AE111" s="28"/>
      <c r="AF111" s="28"/>
      <c r="AG111" s="28"/>
      <c r="AH111" s="28"/>
      <c r="AI111" s="28"/>
    </row>
    <row r="112" spans="1:35" ht="144" customHeight="1" x14ac:dyDescent="0.25">
      <c r="A112" s="81">
        <v>98</v>
      </c>
      <c r="B112" s="57" t="s">
        <v>150</v>
      </c>
      <c r="C112" s="56" t="s">
        <v>42</v>
      </c>
      <c r="D112" s="45" t="s">
        <v>39</v>
      </c>
      <c r="E112" s="45"/>
      <c r="F112" s="45">
        <v>1450</v>
      </c>
      <c r="G112" s="45">
        <v>1950</v>
      </c>
      <c r="H112" s="46">
        <f t="shared" si="38"/>
        <v>2.8275000000000001</v>
      </c>
      <c r="I112" s="45">
        <v>1</v>
      </c>
      <c r="J112" s="53">
        <v>2273000</v>
      </c>
      <c r="K112" s="47"/>
      <c r="L112" s="48">
        <f t="shared" si="39"/>
        <v>6426907.5</v>
      </c>
      <c r="M112" s="115"/>
      <c r="N112" s="28"/>
      <c r="O112" s="85"/>
      <c r="P112" s="28"/>
      <c r="Q112" s="28"/>
      <c r="R112" s="28"/>
      <c r="S112" s="28"/>
      <c r="T112" s="28"/>
      <c r="U112" s="28"/>
      <c r="V112" s="28"/>
      <c r="W112" s="28"/>
      <c r="X112" s="28"/>
      <c r="Y112" s="28"/>
      <c r="Z112" s="28"/>
      <c r="AA112" s="28"/>
      <c r="AB112" s="28"/>
      <c r="AC112" s="28"/>
      <c r="AD112" s="28"/>
      <c r="AE112" s="28"/>
      <c r="AF112" s="28"/>
      <c r="AG112" s="28"/>
      <c r="AH112" s="28"/>
      <c r="AI112" s="28"/>
    </row>
    <row r="113" spans="1:16140" ht="144" customHeight="1" x14ac:dyDescent="0.25">
      <c r="A113" s="81">
        <v>99</v>
      </c>
      <c r="B113" s="57" t="s">
        <v>151</v>
      </c>
      <c r="C113" s="56" t="s">
        <v>42</v>
      </c>
      <c r="D113" s="45" t="s">
        <v>39</v>
      </c>
      <c r="E113" s="45"/>
      <c r="F113" s="45">
        <v>1450</v>
      </c>
      <c r="G113" s="45">
        <v>1950</v>
      </c>
      <c r="H113" s="46">
        <f t="shared" si="38"/>
        <v>2.8275000000000001</v>
      </c>
      <c r="I113" s="45">
        <v>1</v>
      </c>
      <c r="J113" s="53">
        <v>2273000</v>
      </c>
      <c r="K113" s="47"/>
      <c r="L113" s="48">
        <f t="shared" si="39"/>
        <v>6426907.5</v>
      </c>
      <c r="M113" s="115"/>
      <c r="N113" s="28"/>
      <c r="O113" s="85"/>
      <c r="P113" s="28"/>
      <c r="Q113" s="28"/>
      <c r="R113" s="28"/>
      <c r="S113" s="28"/>
      <c r="T113" s="28"/>
      <c r="U113" s="28"/>
      <c r="V113" s="28"/>
      <c r="W113" s="28"/>
      <c r="X113" s="28"/>
      <c r="Y113" s="28"/>
      <c r="Z113" s="28"/>
      <c r="AA113" s="28"/>
      <c r="AB113" s="28"/>
      <c r="AC113" s="28"/>
      <c r="AD113" s="28"/>
      <c r="AE113" s="28"/>
      <c r="AF113" s="28"/>
      <c r="AG113" s="28"/>
      <c r="AH113" s="28"/>
      <c r="AI113" s="28"/>
    </row>
    <row r="114" spans="1:16140" ht="156" customHeight="1" x14ac:dyDescent="0.25">
      <c r="A114" s="81">
        <v>100</v>
      </c>
      <c r="B114" s="57" t="s">
        <v>152</v>
      </c>
      <c r="C114" s="56" t="s">
        <v>41</v>
      </c>
      <c r="D114" s="45" t="s">
        <v>39</v>
      </c>
      <c r="E114" s="45" t="s">
        <v>38</v>
      </c>
      <c r="F114" s="45">
        <v>3200</v>
      </c>
      <c r="G114" s="45">
        <v>1952</v>
      </c>
      <c r="H114" s="46">
        <f t="shared" si="38"/>
        <v>6.2464000000000004</v>
      </c>
      <c r="I114" s="45">
        <v>1</v>
      </c>
      <c r="J114" s="53">
        <v>2928000</v>
      </c>
      <c r="K114" s="47">
        <v>1850000</v>
      </c>
      <c r="L114" s="48">
        <f t="shared" si="39"/>
        <v>20139459.200000003</v>
      </c>
      <c r="M114" s="115"/>
      <c r="N114" s="28"/>
      <c r="O114" s="85"/>
      <c r="P114" s="28"/>
      <c r="Q114" s="28"/>
      <c r="R114" s="28"/>
      <c r="S114" s="28"/>
      <c r="T114" s="28"/>
      <c r="U114" s="28"/>
      <c r="V114" s="28"/>
      <c r="W114" s="28"/>
      <c r="X114" s="28"/>
      <c r="Y114" s="28"/>
      <c r="Z114" s="28"/>
      <c r="AA114" s="28"/>
      <c r="AB114" s="28"/>
      <c r="AC114" s="28"/>
      <c r="AD114" s="28"/>
      <c r="AE114" s="28"/>
      <c r="AF114" s="28"/>
      <c r="AG114" s="28"/>
      <c r="AH114" s="28"/>
      <c r="AI114" s="28"/>
    </row>
    <row r="115" spans="1:16140" ht="156" customHeight="1" x14ac:dyDescent="0.25">
      <c r="A115" s="81">
        <v>101</v>
      </c>
      <c r="B115" s="57" t="s">
        <v>153</v>
      </c>
      <c r="C115" s="56" t="s">
        <v>41</v>
      </c>
      <c r="D115" s="45" t="s">
        <v>39</v>
      </c>
      <c r="E115" s="45" t="s">
        <v>38</v>
      </c>
      <c r="F115" s="45">
        <v>2860</v>
      </c>
      <c r="G115" s="45">
        <v>1955</v>
      </c>
      <c r="H115" s="46">
        <f t="shared" si="38"/>
        <v>5.5913000000000004</v>
      </c>
      <c r="I115" s="45">
        <v>1</v>
      </c>
      <c r="J115" s="53">
        <v>2987000</v>
      </c>
      <c r="K115" s="47">
        <v>1850000</v>
      </c>
      <c r="L115" s="48">
        <f t="shared" si="39"/>
        <v>18551213.100000001</v>
      </c>
      <c r="M115" s="115"/>
      <c r="N115" s="28"/>
      <c r="O115" s="85"/>
      <c r="P115" s="28"/>
      <c r="Q115" s="28"/>
      <c r="R115" s="28"/>
      <c r="S115" s="28"/>
      <c r="T115" s="28"/>
      <c r="U115" s="28"/>
      <c r="V115" s="28"/>
      <c r="W115" s="28"/>
      <c r="X115" s="28"/>
      <c r="Y115" s="28"/>
      <c r="Z115" s="28"/>
      <c r="AA115" s="28"/>
      <c r="AB115" s="28"/>
      <c r="AC115" s="28"/>
      <c r="AD115" s="28"/>
      <c r="AE115" s="28"/>
      <c r="AF115" s="28"/>
      <c r="AG115" s="28"/>
      <c r="AH115" s="28"/>
      <c r="AI115" s="28"/>
    </row>
    <row r="116" spans="1:16140" ht="156" customHeight="1" x14ac:dyDescent="0.25">
      <c r="A116" s="81">
        <v>102</v>
      </c>
      <c r="B116" s="57" t="s">
        <v>154</v>
      </c>
      <c r="C116" s="56" t="s">
        <v>41</v>
      </c>
      <c r="D116" s="45" t="s">
        <v>39</v>
      </c>
      <c r="E116" s="45" t="s">
        <v>38</v>
      </c>
      <c r="F116" s="45">
        <v>3200</v>
      </c>
      <c r="G116" s="45">
        <v>1950</v>
      </c>
      <c r="H116" s="46">
        <f t="shared" si="38"/>
        <v>6.24</v>
      </c>
      <c r="I116" s="45">
        <v>1</v>
      </c>
      <c r="J116" s="53">
        <v>2930000</v>
      </c>
      <c r="K116" s="47">
        <v>1850000</v>
      </c>
      <c r="L116" s="48">
        <f t="shared" si="39"/>
        <v>20133200</v>
      </c>
      <c r="M116" s="115"/>
      <c r="N116" s="28"/>
      <c r="O116" s="85"/>
      <c r="P116" s="28"/>
      <c r="Q116" s="28"/>
      <c r="R116" s="28"/>
      <c r="S116" s="28"/>
      <c r="T116" s="28"/>
      <c r="U116" s="28"/>
      <c r="V116" s="28"/>
      <c r="W116" s="28"/>
      <c r="X116" s="28"/>
      <c r="Y116" s="28"/>
      <c r="Z116" s="28"/>
      <c r="AA116" s="28"/>
      <c r="AB116" s="28"/>
      <c r="AC116" s="28"/>
      <c r="AD116" s="28"/>
      <c r="AE116" s="28"/>
      <c r="AF116" s="28"/>
      <c r="AG116" s="28"/>
      <c r="AH116" s="28"/>
      <c r="AI116" s="28"/>
    </row>
    <row r="117" spans="1:16140" ht="144" customHeight="1" x14ac:dyDescent="0.25">
      <c r="A117" s="81">
        <v>103</v>
      </c>
      <c r="B117" s="57" t="s">
        <v>155</v>
      </c>
      <c r="C117" s="56" t="s">
        <v>42</v>
      </c>
      <c r="D117" s="45" t="s">
        <v>39</v>
      </c>
      <c r="E117" s="45"/>
      <c r="F117" s="45">
        <v>1450</v>
      </c>
      <c r="G117" s="45">
        <v>1947</v>
      </c>
      <c r="H117" s="46">
        <f t="shared" si="38"/>
        <v>2.82315</v>
      </c>
      <c r="I117" s="45">
        <v>1</v>
      </c>
      <c r="J117" s="53">
        <v>2273000</v>
      </c>
      <c r="K117" s="47"/>
      <c r="L117" s="48">
        <f t="shared" si="39"/>
        <v>6417019.9500000002</v>
      </c>
      <c r="M117" s="115"/>
      <c r="N117" s="28"/>
      <c r="O117" s="85"/>
      <c r="P117" s="28"/>
      <c r="Q117" s="28"/>
      <c r="R117" s="28"/>
      <c r="S117" s="28"/>
      <c r="T117" s="28"/>
      <c r="U117" s="28"/>
      <c r="V117" s="28"/>
      <c r="W117" s="28"/>
      <c r="X117" s="28"/>
      <c r="Y117" s="28"/>
      <c r="Z117" s="28"/>
      <c r="AA117" s="28"/>
      <c r="AB117" s="28"/>
      <c r="AC117" s="28"/>
      <c r="AD117" s="28"/>
      <c r="AE117" s="28"/>
      <c r="AF117" s="28"/>
      <c r="AG117" s="28"/>
      <c r="AH117" s="28"/>
      <c r="AI117" s="28"/>
    </row>
    <row r="118" spans="1:16140" ht="144" customHeight="1" x14ac:dyDescent="0.25">
      <c r="A118" s="81">
        <v>104</v>
      </c>
      <c r="B118" s="57" t="s">
        <v>156</v>
      </c>
      <c r="C118" s="56" t="s">
        <v>42</v>
      </c>
      <c r="D118" s="45" t="s">
        <v>45</v>
      </c>
      <c r="E118" s="45"/>
      <c r="F118" s="45">
        <v>2895</v>
      </c>
      <c r="G118" s="45">
        <v>1940</v>
      </c>
      <c r="H118" s="46">
        <f t="shared" si="38"/>
        <v>5.6162999999999998</v>
      </c>
      <c r="I118" s="45">
        <v>1</v>
      </c>
      <c r="J118" s="53">
        <v>2229000</v>
      </c>
      <c r="K118" s="47"/>
      <c r="L118" s="48">
        <f t="shared" si="39"/>
        <v>12518732.699999999</v>
      </c>
      <c r="M118" s="115"/>
      <c r="N118" s="28"/>
      <c r="O118" s="85"/>
      <c r="P118" s="28"/>
      <c r="Q118" s="28"/>
      <c r="R118" s="28"/>
      <c r="S118" s="28"/>
      <c r="T118" s="28"/>
      <c r="U118" s="28"/>
      <c r="V118" s="28"/>
      <c r="W118" s="28"/>
      <c r="X118" s="28"/>
      <c r="Y118" s="28"/>
      <c r="Z118" s="28"/>
      <c r="AA118" s="28"/>
      <c r="AB118" s="28"/>
      <c r="AC118" s="28"/>
      <c r="AD118" s="28"/>
      <c r="AE118" s="28"/>
      <c r="AF118" s="28"/>
      <c r="AG118" s="28"/>
      <c r="AH118" s="28"/>
      <c r="AI118" s="28"/>
    </row>
    <row r="119" spans="1:16140" ht="144" customHeight="1" x14ac:dyDescent="0.25">
      <c r="A119" s="81">
        <v>105</v>
      </c>
      <c r="B119" s="57" t="s">
        <v>157</v>
      </c>
      <c r="C119" s="56" t="s">
        <v>42</v>
      </c>
      <c r="D119" s="45" t="s">
        <v>39</v>
      </c>
      <c r="E119" s="45"/>
      <c r="F119" s="45">
        <v>2550</v>
      </c>
      <c r="G119" s="45">
        <v>1410</v>
      </c>
      <c r="H119" s="46">
        <f t="shared" si="38"/>
        <v>3.5954999999999999</v>
      </c>
      <c r="I119" s="45">
        <v>1</v>
      </c>
      <c r="J119" s="53">
        <v>2231000</v>
      </c>
      <c r="K119" s="47"/>
      <c r="L119" s="48">
        <f t="shared" si="39"/>
        <v>8021560.5</v>
      </c>
      <c r="M119" s="115"/>
      <c r="N119" s="28"/>
      <c r="O119" s="85"/>
      <c r="P119" s="28"/>
      <c r="Q119" s="28"/>
      <c r="R119" s="28"/>
      <c r="S119" s="28"/>
      <c r="T119" s="28"/>
      <c r="U119" s="28"/>
      <c r="V119" s="28"/>
      <c r="W119" s="28"/>
      <c r="X119" s="28"/>
      <c r="Y119" s="28"/>
      <c r="Z119" s="28"/>
      <c r="AA119" s="28"/>
      <c r="AB119" s="28"/>
      <c r="AC119" s="28"/>
      <c r="AD119" s="28"/>
      <c r="AE119" s="28"/>
      <c r="AF119" s="28"/>
      <c r="AG119" s="28"/>
      <c r="AH119" s="28"/>
      <c r="AI119" s="28"/>
    </row>
    <row r="120" spans="1:16140" ht="144" customHeight="1" x14ac:dyDescent="0.25">
      <c r="A120" s="81">
        <v>106</v>
      </c>
      <c r="B120" s="57" t="s">
        <v>158</v>
      </c>
      <c r="C120" s="51" t="s">
        <v>43</v>
      </c>
      <c r="D120" s="45" t="s">
        <v>39</v>
      </c>
      <c r="E120" s="45" t="s">
        <v>38</v>
      </c>
      <c r="F120" s="45">
        <v>3752</v>
      </c>
      <c r="G120" s="45">
        <v>1950</v>
      </c>
      <c r="H120" s="46">
        <f t="shared" si="38"/>
        <v>7.3163999999999998</v>
      </c>
      <c r="I120" s="45">
        <v>1</v>
      </c>
      <c r="J120" s="53">
        <v>3018000</v>
      </c>
      <c r="K120" s="47">
        <v>2020000</v>
      </c>
      <c r="L120" s="48">
        <f t="shared" si="39"/>
        <v>24100895.199999999</v>
      </c>
      <c r="M120" s="115"/>
      <c r="N120" s="28"/>
      <c r="O120" s="85"/>
      <c r="P120" s="28"/>
      <c r="Q120" s="28"/>
      <c r="R120" s="28"/>
      <c r="S120" s="28"/>
      <c r="T120" s="28"/>
      <c r="U120" s="28"/>
      <c r="V120" s="28"/>
      <c r="W120" s="28"/>
      <c r="X120" s="28"/>
      <c r="Y120" s="28"/>
      <c r="Z120" s="28"/>
      <c r="AA120" s="28"/>
      <c r="AB120" s="28"/>
      <c r="AC120" s="28"/>
      <c r="AD120" s="28"/>
      <c r="AE120" s="28"/>
      <c r="AF120" s="28"/>
      <c r="AG120" s="28"/>
      <c r="AH120" s="28"/>
      <c r="AI120" s="28"/>
    </row>
    <row r="121" spans="1:16140" s="8" customFormat="1" ht="31.5" customHeight="1" x14ac:dyDescent="0.25">
      <c r="A121" s="132" t="s">
        <v>189</v>
      </c>
      <c r="B121" s="133"/>
      <c r="C121" s="133"/>
      <c r="D121" s="133"/>
      <c r="E121" s="134"/>
      <c r="F121" s="64"/>
      <c r="G121" s="64"/>
      <c r="H121" s="65"/>
      <c r="I121" s="45"/>
      <c r="J121" s="53"/>
      <c r="K121" s="47"/>
      <c r="L121" s="67"/>
      <c r="M121" s="114"/>
      <c r="O121" s="96"/>
    </row>
    <row r="122" spans="1:16140" s="3" customFormat="1" ht="159" customHeight="1" x14ac:dyDescent="0.25">
      <c r="A122" s="81">
        <v>138</v>
      </c>
      <c r="B122" s="81" t="s">
        <v>190</v>
      </c>
      <c r="C122" s="51" t="s">
        <v>40</v>
      </c>
      <c r="D122" s="45" t="s">
        <v>39</v>
      </c>
      <c r="E122" s="45" t="s">
        <v>38</v>
      </c>
      <c r="F122" s="45">
        <v>897</v>
      </c>
      <c r="G122" s="45">
        <v>1995</v>
      </c>
      <c r="H122" s="46">
        <f t="shared" ref="H122:H123" si="40">F122*G122/10^6</f>
        <v>1.789515</v>
      </c>
      <c r="I122" s="45">
        <v>1</v>
      </c>
      <c r="J122" s="53">
        <v>3445000</v>
      </c>
      <c r="K122" s="47">
        <v>1819000</v>
      </c>
      <c r="L122" s="48">
        <f t="shared" ref="L122:L123" si="41">IF(H122&lt;&gt;0,J122*H122*I122+K122*I122,IF(J122&lt;&gt;0,G122*I122*J122,I122*K122))</f>
        <v>7983879.1749999998</v>
      </c>
      <c r="M122" s="115"/>
      <c r="N122" s="28"/>
      <c r="O122" s="85"/>
      <c r="P122" s="28"/>
      <c r="Q122" s="28"/>
      <c r="R122" s="28"/>
      <c r="S122" s="28"/>
      <c r="T122" s="28"/>
      <c r="U122" s="28"/>
      <c r="V122" s="28"/>
      <c r="W122" s="28"/>
      <c r="X122" s="28"/>
      <c r="Y122" s="28"/>
      <c r="Z122" s="28"/>
      <c r="AA122" s="28"/>
      <c r="AB122" s="28"/>
      <c r="AC122" s="28"/>
      <c r="AD122" s="28"/>
      <c r="AE122" s="28"/>
      <c r="AF122" s="28"/>
      <c r="AG122" s="28"/>
    </row>
    <row r="123" spans="1:16140" s="3" customFormat="1" ht="159" customHeight="1" x14ac:dyDescent="0.25">
      <c r="A123" s="81">
        <v>139</v>
      </c>
      <c r="B123" s="81" t="s">
        <v>191</v>
      </c>
      <c r="C123" s="51" t="s">
        <v>40</v>
      </c>
      <c r="D123" s="45" t="s">
        <v>39</v>
      </c>
      <c r="E123" s="45" t="s">
        <v>38</v>
      </c>
      <c r="F123" s="45">
        <v>897</v>
      </c>
      <c r="G123" s="45">
        <v>1995</v>
      </c>
      <c r="H123" s="46">
        <f t="shared" si="40"/>
        <v>1.789515</v>
      </c>
      <c r="I123" s="45">
        <v>1</v>
      </c>
      <c r="J123" s="53">
        <v>3445000</v>
      </c>
      <c r="K123" s="47">
        <v>1819000</v>
      </c>
      <c r="L123" s="48">
        <f t="shared" si="41"/>
        <v>7983879.1749999998</v>
      </c>
      <c r="M123" s="115"/>
      <c r="N123" s="28"/>
      <c r="O123" s="85"/>
      <c r="P123" s="28"/>
      <c r="Q123" s="28"/>
      <c r="R123" s="28"/>
      <c r="S123" s="28"/>
      <c r="T123" s="28"/>
      <c r="U123" s="28"/>
      <c r="V123" s="28"/>
      <c r="W123" s="28"/>
      <c r="X123" s="28"/>
      <c r="Y123" s="28"/>
      <c r="Z123" s="28"/>
      <c r="AA123" s="28"/>
      <c r="AB123" s="28"/>
      <c r="AC123" s="28"/>
      <c r="AD123" s="28"/>
      <c r="AE123" s="28"/>
      <c r="AF123" s="28"/>
      <c r="AG123" s="28"/>
    </row>
    <row r="124" spans="1:16140" ht="146.25" customHeight="1" x14ac:dyDescent="0.25">
      <c r="A124" s="135">
        <v>140</v>
      </c>
      <c r="B124" s="137" t="s">
        <v>192</v>
      </c>
      <c r="C124" s="58" t="s">
        <v>42</v>
      </c>
      <c r="D124" s="45" t="s">
        <v>207</v>
      </c>
      <c r="E124" s="45"/>
      <c r="F124" s="45">
        <v>1617</v>
      </c>
      <c r="G124" s="45">
        <v>1245</v>
      </c>
      <c r="H124" s="46">
        <f>F124*G124/10^6</f>
        <v>2.0131649999999999</v>
      </c>
      <c r="I124" s="45">
        <v>1</v>
      </c>
      <c r="J124" s="53">
        <v>4185000</v>
      </c>
      <c r="K124" s="47"/>
      <c r="L124" s="48">
        <f>IF(H124&lt;&gt;0,J124*H124*I124+K124*I124,IF(J124&lt;&gt;0,G124*I124*J124,I124*K124))</f>
        <v>8425095.5250000004</v>
      </c>
      <c r="M124" s="115"/>
      <c r="N124" s="28"/>
      <c r="O124" s="85"/>
      <c r="P124" s="28"/>
      <c r="Q124" s="28"/>
      <c r="R124" s="28"/>
      <c r="S124" s="28"/>
      <c r="T124" s="28"/>
      <c r="U124" s="28"/>
      <c r="V124" s="28"/>
      <c r="W124" s="28"/>
      <c r="X124" s="28"/>
      <c r="Y124" s="28"/>
      <c r="Z124" s="28"/>
      <c r="AA124" s="28"/>
      <c r="AB124" s="28"/>
      <c r="AC124" s="28"/>
      <c r="AD124" s="28"/>
      <c r="AE124" s="28"/>
      <c r="AF124" s="28"/>
      <c r="AG124" s="28"/>
      <c r="AH124" s="28"/>
      <c r="AI124" s="28"/>
    </row>
    <row r="125" spans="1:16140" ht="30.75" customHeight="1" x14ac:dyDescent="0.25">
      <c r="A125" s="136"/>
      <c r="B125" s="138"/>
      <c r="C125" s="69" t="s">
        <v>201</v>
      </c>
      <c r="D125" s="59"/>
      <c r="E125" s="59"/>
      <c r="F125" s="59">
        <f>1617+1000</f>
        <v>2617</v>
      </c>
      <c r="G125" s="59"/>
      <c r="H125" s="60">
        <f t="shared" ref="H125:H134" si="42">F125*G125/10^6</f>
        <v>0</v>
      </c>
      <c r="I125" s="59">
        <v>1</v>
      </c>
      <c r="J125" s="53">
        <v>550000</v>
      </c>
      <c r="K125" s="47"/>
      <c r="L125" s="70">
        <f>F125*I125*J125/1000</f>
        <v>1439350</v>
      </c>
      <c r="M125" s="116"/>
      <c r="N125" s="71"/>
      <c r="O125" s="99"/>
      <c r="P125" s="71"/>
      <c r="Q125" s="71"/>
      <c r="R125" s="71"/>
      <c r="S125" s="71"/>
      <c r="T125" s="71"/>
      <c r="U125" s="71"/>
      <c r="V125" s="71"/>
      <c r="W125" s="71"/>
      <c r="X125" s="71"/>
      <c r="Y125" s="71"/>
      <c r="Z125" s="71"/>
      <c r="AA125" s="71"/>
      <c r="AB125" s="71"/>
      <c r="AC125" s="71"/>
      <c r="AD125" s="71"/>
      <c r="AE125" s="71"/>
      <c r="AF125" s="71"/>
      <c r="AG125" s="71"/>
      <c r="AH125" s="71"/>
      <c r="AI125" s="71"/>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c r="CW125" s="72"/>
      <c r="CX125" s="72"/>
      <c r="CY125" s="72"/>
      <c r="CZ125" s="72"/>
      <c r="DA125" s="72"/>
      <c r="DB125" s="72"/>
      <c r="DC125" s="72"/>
      <c r="DD125" s="72"/>
      <c r="DE125" s="72"/>
      <c r="DF125" s="72"/>
      <c r="DG125" s="72"/>
      <c r="DH125" s="72"/>
      <c r="DI125" s="72"/>
      <c r="DJ125" s="72"/>
      <c r="DK125" s="72"/>
      <c r="DL125" s="72"/>
      <c r="DM125" s="72"/>
      <c r="DN125" s="72"/>
      <c r="DO125" s="72"/>
      <c r="DP125" s="72"/>
      <c r="DQ125" s="72"/>
      <c r="DR125" s="72"/>
      <c r="DS125" s="72"/>
      <c r="DT125" s="72"/>
      <c r="DU125" s="72"/>
      <c r="DV125" s="72"/>
      <c r="DW125" s="72"/>
      <c r="DX125" s="72"/>
      <c r="DY125" s="72"/>
      <c r="DZ125" s="72"/>
      <c r="EA125" s="72"/>
      <c r="EB125" s="72"/>
      <c r="EC125" s="72"/>
      <c r="ED125" s="72"/>
      <c r="EE125" s="72"/>
      <c r="EF125" s="72"/>
      <c r="EG125" s="72"/>
      <c r="EH125" s="72"/>
      <c r="EI125" s="72"/>
      <c r="EJ125" s="72"/>
      <c r="EK125" s="72"/>
      <c r="EL125" s="72"/>
      <c r="EM125" s="72"/>
      <c r="EN125" s="72"/>
      <c r="EO125" s="72"/>
      <c r="EP125" s="72"/>
      <c r="EQ125" s="72"/>
      <c r="ER125" s="72"/>
      <c r="ES125" s="72"/>
      <c r="ET125" s="72"/>
      <c r="EU125" s="72"/>
      <c r="EV125" s="72"/>
      <c r="EW125" s="72"/>
      <c r="EX125" s="72"/>
      <c r="EY125" s="72"/>
      <c r="EZ125" s="72"/>
      <c r="FA125" s="72"/>
      <c r="FB125" s="72"/>
      <c r="FC125" s="72"/>
      <c r="FD125" s="72"/>
      <c r="FE125" s="72"/>
      <c r="FF125" s="72"/>
      <c r="FG125" s="72"/>
      <c r="FH125" s="72"/>
      <c r="FI125" s="72"/>
      <c r="FJ125" s="72"/>
      <c r="FK125" s="72"/>
      <c r="FL125" s="72"/>
      <c r="FM125" s="72"/>
      <c r="FN125" s="72"/>
      <c r="FO125" s="72"/>
      <c r="FP125" s="72"/>
      <c r="FQ125" s="72"/>
      <c r="FR125" s="72"/>
      <c r="FS125" s="72"/>
      <c r="FT125" s="72"/>
      <c r="FU125" s="72"/>
      <c r="FV125" s="72"/>
      <c r="FW125" s="72"/>
      <c r="FX125" s="72"/>
      <c r="FY125" s="72"/>
      <c r="FZ125" s="72"/>
      <c r="GA125" s="72"/>
      <c r="GB125" s="72"/>
      <c r="GC125" s="72"/>
      <c r="GD125" s="72"/>
      <c r="GE125" s="72"/>
      <c r="GF125" s="72"/>
      <c r="GG125" s="72"/>
      <c r="GH125" s="72"/>
      <c r="GI125" s="72"/>
      <c r="GJ125" s="72"/>
      <c r="GK125" s="72"/>
      <c r="GL125" s="72"/>
      <c r="GM125" s="72"/>
      <c r="GN125" s="72"/>
      <c r="GO125" s="72"/>
      <c r="GP125" s="72"/>
      <c r="GQ125" s="72"/>
      <c r="GR125" s="72"/>
      <c r="GS125" s="72"/>
      <c r="GT125" s="72"/>
      <c r="GU125" s="72"/>
      <c r="GV125" s="72"/>
      <c r="GW125" s="72"/>
      <c r="GX125" s="72"/>
      <c r="GY125" s="72"/>
      <c r="GZ125" s="72"/>
      <c r="HA125" s="72"/>
      <c r="HB125" s="72"/>
      <c r="HC125" s="72"/>
      <c r="HD125" s="72"/>
      <c r="HE125" s="72"/>
      <c r="HF125" s="72"/>
      <c r="HG125" s="72"/>
      <c r="HH125" s="72"/>
      <c r="HI125" s="72"/>
      <c r="HJ125" s="72"/>
      <c r="HK125" s="72"/>
      <c r="HL125" s="72"/>
      <c r="HM125" s="72"/>
      <c r="HN125" s="72"/>
      <c r="HO125" s="72"/>
      <c r="HP125" s="72"/>
      <c r="HQ125" s="72"/>
      <c r="HR125" s="72"/>
      <c r="HS125" s="72"/>
      <c r="HT125" s="72"/>
      <c r="HU125" s="72"/>
      <c r="HV125" s="72"/>
      <c r="HW125" s="72"/>
      <c r="HX125" s="72"/>
      <c r="HY125" s="72"/>
      <c r="HZ125" s="72"/>
      <c r="IA125" s="72"/>
      <c r="IB125" s="72"/>
      <c r="IC125" s="72"/>
      <c r="ID125" s="72"/>
      <c r="IE125" s="72"/>
      <c r="IF125" s="72"/>
      <c r="IG125" s="72"/>
      <c r="IH125" s="72"/>
      <c r="II125" s="72"/>
      <c r="IJ125" s="72"/>
      <c r="IK125" s="72"/>
      <c r="IL125" s="72"/>
      <c r="IM125" s="72"/>
      <c r="IN125" s="72"/>
      <c r="IO125" s="72"/>
      <c r="IP125" s="72"/>
      <c r="IQ125" s="72"/>
      <c r="IR125" s="72"/>
      <c r="IS125" s="72"/>
      <c r="IT125" s="72"/>
      <c r="IU125" s="72"/>
      <c r="IV125" s="72"/>
      <c r="IW125" s="72"/>
      <c r="IX125" s="72"/>
      <c r="IY125" s="72"/>
      <c r="IZ125" s="72"/>
      <c r="JA125" s="72"/>
      <c r="JB125" s="72"/>
      <c r="JC125" s="72"/>
      <c r="JD125" s="72"/>
      <c r="JE125" s="72"/>
      <c r="JF125" s="72"/>
      <c r="JG125" s="72"/>
      <c r="JH125" s="72"/>
      <c r="JI125" s="72"/>
      <c r="JJ125" s="72"/>
      <c r="JK125" s="72"/>
      <c r="JL125" s="72"/>
      <c r="JM125" s="72"/>
      <c r="JN125" s="72"/>
      <c r="JO125" s="72"/>
      <c r="JP125" s="72"/>
      <c r="JQ125" s="72"/>
      <c r="JR125" s="72"/>
      <c r="JS125" s="72"/>
      <c r="JT125" s="72"/>
      <c r="JU125" s="72"/>
      <c r="JV125" s="72"/>
      <c r="JW125" s="72"/>
      <c r="JX125" s="72"/>
      <c r="JY125" s="72"/>
      <c r="JZ125" s="72"/>
      <c r="KA125" s="72"/>
      <c r="KB125" s="72"/>
      <c r="KC125" s="72"/>
      <c r="KD125" s="72"/>
      <c r="KE125" s="72"/>
      <c r="KF125" s="72"/>
      <c r="KG125" s="72"/>
      <c r="KH125" s="72"/>
      <c r="KI125" s="72"/>
      <c r="KJ125" s="72"/>
      <c r="KK125" s="72"/>
      <c r="KL125" s="72"/>
      <c r="KM125" s="72"/>
      <c r="KN125" s="72"/>
      <c r="KO125" s="72"/>
      <c r="KP125" s="72"/>
      <c r="KQ125" s="72"/>
      <c r="KR125" s="72"/>
      <c r="KS125" s="72"/>
      <c r="KT125" s="72"/>
      <c r="KU125" s="72"/>
      <c r="KV125" s="72"/>
      <c r="KW125" s="72"/>
      <c r="KX125" s="72"/>
      <c r="KY125" s="72"/>
      <c r="KZ125" s="72"/>
      <c r="LA125" s="72"/>
      <c r="LB125" s="72"/>
      <c r="LC125" s="72"/>
      <c r="LD125" s="72"/>
      <c r="LE125" s="72"/>
      <c r="LF125" s="72"/>
      <c r="LG125" s="72"/>
      <c r="LH125" s="72"/>
      <c r="LI125" s="72"/>
      <c r="LJ125" s="72"/>
      <c r="LK125" s="72"/>
      <c r="LL125" s="72"/>
      <c r="LM125" s="72"/>
      <c r="LN125" s="72"/>
      <c r="LO125" s="72"/>
      <c r="LP125" s="72"/>
      <c r="LQ125" s="72"/>
      <c r="LR125" s="72"/>
      <c r="LS125" s="72"/>
      <c r="LT125" s="72"/>
      <c r="LU125" s="72"/>
      <c r="LV125" s="72"/>
      <c r="LW125" s="72"/>
      <c r="LX125" s="72"/>
      <c r="LY125" s="72"/>
      <c r="LZ125" s="72"/>
      <c r="MA125" s="72"/>
      <c r="MB125" s="72"/>
      <c r="MC125" s="72"/>
      <c r="MD125" s="72"/>
      <c r="ME125" s="72"/>
      <c r="MF125" s="72"/>
      <c r="MG125" s="72"/>
      <c r="MH125" s="72"/>
      <c r="MI125" s="72"/>
      <c r="MJ125" s="72"/>
      <c r="MK125" s="72"/>
      <c r="ML125" s="72"/>
      <c r="MM125" s="72"/>
      <c r="MN125" s="72"/>
      <c r="MO125" s="72"/>
      <c r="MP125" s="72"/>
      <c r="MQ125" s="72"/>
      <c r="MR125" s="72"/>
      <c r="MS125" s="72"/>
      <c r="MT125" s="72"/>
      <c r="MU125" s="72"/>
      <c r="MV125" s="72"/>
      <c r="MW125" s="72"/>
      <c r="MX125" s="72"/>
      <c r="MY125" s="72"/>
      <c r="MZ125" s="72"/>
      <c r="NA125" s="72"/>
      <c r="NB125" s="72"/>
      <c r="NC125" s="72"/>
      <c r="ND125" s="72"/>
      <c r="NE125" s="72"/>
      <c r="NF125" s="72"/>
      <c r="NG125" s="72"/>
      <c r="NH125" s="72"/>
      <c r="NI125" s="72"/>
      <c r="NJ125" s="72"/>
      <c r="NK125" s="72"/>
      <c r="NL125" s="72"/>
      <c r="NM125" s="72"/>
      <c r="NN125" s="72"/>
      <c r="NO125" s="72"/>
      <c r="NP125" s="72"/>
      <c r="NQ125" s="72"/>
      <c r="NR125" s="72"/>
      <c r="NS125" s="72"/>
      <c r="NT125" s="72"/>
      <c r="NU125" s="72"/>
      <c r="NV125" s="72"/>
      <c r="NW125" s="72"/>
      <c r="NX125" s="72"/>
      <c r="NY125" s="72"/>
      <c r="NZ125" s="72"/>
      <c r="OA125" s="72"/>
      <c r="OB125" s="72"/>
      <c r="OC125" s="72"/>
      <c r="OD125" s="72"/>
      <c r="OE125" s="72"/>
      <c r="OF125" s="72"/>
      <c r="OG125" s="72"/>
      <c r="OH125" s="72"/>
      <c r="OI125" s="72"/>
      <c r="OJ125" s="72"/>
      <c r="OK125" s="72"/>
      <c r="OL125" s="72"/>
      <c r="OM125" s="72"/>
      <c r="ON125" s="72"/>
      <c r="OO125" s="72"/>
      <c r="OP125" s="72"/>
      <c r="OQ125" s="72"/>
      <c r="OR125" s="72"/>
      <c r="OS125" s="72"/>
      <c r="OT125" s="72"/>
      <c r="OU125" s="72"/>
      <c r="OV125" s="72"/>
      <c r="OW125" s="72"/>
      <c r="OX125" s="72"/>
      <c r="OY125" s="72"/>
      <c r="OZ125" s="72"/>
      <c r="PA125" s="72"/>
      <c r="PB125" s="72"/>
      <c r="PC125" s="72"/>
      <c r="PD125" s="72"/>
      <c r="PE125" s="72"/>
      <c r="PF125" s="72"/>
      <c r="PG125" s="72"/>
      <c r="PH125" s="72"/>
      <c r="PI125" s="72"/>
      <c r="PJ125" s="72"/>
      <c r="PK125" s="72"/>
      <c r="PL125" s="72"/>
      <c r="PM125" s="72"/>
      <c r="PN125" s="72"/>
      <c r="PO125" s="72"/>
      <c r="PP125" s="72"/>
      <c r="PQ125" s="72"/>
      <c r="PR125" s="72"/>
      <c r="PS125" s="72"/>
      <c r="PT125" s="72"/>
      <c r="PU125" s="72"/>
      <c r="PV125" s="72"/>
      <c r="PW125" s="72"/>
      <c r="PX125" s="72"/>
      <c r="PY125" s="72"/>
      <c r="PZ125" s="72"/>
      <c r="QA125" s="72"/>
      <c r="QB125" s="72"/>
      <c r="QC125" s="72"/>
      <c r="QD125" s="72"/>
      <c r="QE125" s="72"/>
      <c r="QF125" s="72"/>
      <c r="QG125" s="72"/>
      <c r="QH125" s="72"/>
      <c r="QI125" s="72"/>
      <c r="QJ125" s="72"/>
      <c r="QK125" s="72"/>
      <c r="QL125" s="72"/>
      <c r="QM125" s="72"/>
      <c r="QN125" s="72"/>
      <c r="QO125" s="72"/>
      <c r="QP125" s="72"/>
      <c r="QQ125" s="72"/>
      <c r="QR125" s="72"/>
      <c r="QS125" s="72"/>
      <c r="QT125" s="72"/>
      <c r="QU125" s="72"/>
      <c r="QV125" s="72"/>
      <c r="QW125" s="72"/>
      <c r="QX125" s="72"/>
      <c r="QY125" s="72"/>
      <c r="QZ125" s="72"/>
      <c r="RA125" s="72"/>
      <c r="RB125" s="72"/>
      <c r="RC125" s="72"/>
      <c r="RD125" s="72"/>
      <c r="RE125" s="72"/>
      <c r="RF125" s="72"/>
      <c r="RG125" s="72"/>
      <c r="RH125" s="72"/>
      <c r="RI125" s="72"/>
      <c r="RJ125" s="72"/>
      <c r="RK125" s="72"/>
      <c r="RL125" s="72"/>
      <c r="RM125" s="72"/>
      <c r="RN125" s="72"/>
      <c r="RO125" s="72"/>
      <c r="RP125" s="72"/>
      <c r="RQ125" s="72"/>
      <c r="RR125" s="72"/>
      <c r="RS125" s="72"/>
      <c r="RT125" s="72"/>
      <c r="RU125" s="72"/>
      <c r="RV125" s="72"/>
      <c r="RW125" s="72"/>
      <c r="RX125" s="72"/>
      <c r="RY125" s="72"/>
      <c r="RZ125" s="72"/>
      <c r="SA125" s="72"/>
      <c r="SB125" s="72"/>
      <c r="SC125" s="72"/>
      <c r="SD125" s="72"/>
      <c r="SE125" s="72"/>
      <c r="SF125" s="72"/>
      <c r="SG125" s="72"/>
      <c r="SH125" s="72"/>
      <c r="SI125" s="72"/>
      <c r="SJ125" s="72"/>
      <c r="SK125" s="72"/>
      <c r="SL125" s="72"/>
      <c r="SM125" s="72"/>
      <c r="SN125" s="72"/>
      <c r="SO125" s="72"/>
      <c r="SP125" s="72"/>
      <c r="SQ125" s="72"/>
      <c r="SR125" s="72"/>
      <c r="SS125" s="72"/>
      <c r="ST125" s="72"/>
      <c r="SU125" s="72"/>
      <c r="SV125" s="72"/>
      <c r="SW125" s="72"/>
      <c r="SX125" s="72"/>
      <c r="SY125" s="72"/>
      <c r="SZ125" s="72"/>
      <c r="TA125" s="72"/>
      <c r="TB125" s="72"/>
      <c r="TC125" s="72"/>
      <c r="TD125" s="72"/>
      <c r="TE125" s="72"/>
      <c r="TF125" s="72"/>
      <c r="TG125" s="72"/>
      <c r="TH125" s="72"/>
      <c r="TI125" s="72"/>
      <c r="TJ125" s="72"/>
      <c r="TK125" s="72"/>
      <c r="TL125" s="72"/>
      <c r="TM125" s="72"/>
      <c r="TN125" s="72"/>
      <c r="TO125" s="72"/>
      <c r="TP125" s="72"/>
      <c r="TQ125" s="72"/>
      <c r="TR125" s="72"/>
      <c r="TS125" s="72"/>
      <c r="TT125" s="72"/>
      <c r="TU125" s="72"/>
      <c r="TV125" s="72"/>
      <c r="TW125" s="72"/>
      <c r="TX125" s="72"/>
      <c r="TY125" s="72"/>
      <c r="TZ125" s="72"/>
      <c r="UA125" s="72"/>
      <c r="UB125" s="72"/>
      <c r="UC125" s="72"/>
      <c r="UD125" s="72"/>
      <c r="UE125" s="72"/>
      <c r="UF125" s="72"/>
      <c r="UG125" s="72"/>
      <c r="UH125" s="72"/>
      <c r="UI125" s="72"/>
      <c r="UJ125" s="72"/>
      <c r="UK125" s="72"/>
      <c r="UL125" s="72"/>
      <c r="UM125" s="72"/>
      <c r="UN125" s="72"/>
      <c r="UO125" s="72"/>
      <c r="UP125" s="72"/>
      <c r="UQ125" s="72"/>
      <c r="UR125" s="72"/>
      <c r="US125" s="72"/>
      <c r="UT125" s="72"/>
      <c r="UU125" s="72"/>
      <c r="UV125" s="72"/>
      <c r="UW125" s="72"/>
      <c r="UX125" s="72"/>
      <c r="UY125" s="72"/>
      <c r="UZ125" s="72"/>
      <c r="VA125" s="72"/>
      <c r="VB125" s="72"/>
      <c r="VC125" s="72"/>
      <c r="VD125" s="72"/>
      <c r="VE125" s="72"/>
      <c r="VF125" s="72"/>
      <c r="VG125" s="72"/>
      <c r="VH125" s="72"/>
      <c r="VI125" s="72"/>
      <c r="VJ125" s="72"/>
      <c r="VK125" s="72"/>
      <c r="VL125" s="72"/>
      <c r="VM125" s="72"/>
      <c r="VN125" s="72"/>
      <c r="VO125" s="72"/>
      <c r="VP125" s="72"/>
      <c r="VQ125" s="72"/>
      <c r="VR125" s="72"/>
      <c r="VS125" s="72"/>
      <c r="VT125" s="72"/>
      <c r="VU125" s="72"/>
      <c r="VV125" s="72"/>
      <c r="VW125" s="72"/>
      <c r="VX125" s="72"/>
      <c r="VY125" s="72"/>
      <c r="VZ125" s="72"/>
      <c r="WA125" s="72"/>
      <c r="WB125" s="72"/>
      <c r="WC125" s="72"/>
      <c r="WD125" s="72"/>
      <c r="WE125" s="72"/>
      <c r="WF125" s="72"/>
      <c r="WG125" s="72"/>
      <c r="WH125" s="72"/>
      <c r="WI125" s="72"/>
      <c r="WJ125" s="72"/>
      <c r="WK125" s="72"/>
      <c r="WL125" s="72"/>
      <c r="WM125" s="72"/>
      <c r="WN125" s="72"/>
      <c r="WO125" s="72"/>
      <c r="WP125" s="72"/>
      <c r="WQ125" s="72"/>
      <c r="WR125" s="72"/>
      <c r="WS125" s="72"/>
      <c r="WT125" s="72"/>
      <c r="WU125" s="72"/>
      <c r="WV125" s="72"/>
      <c r="WW125" s="72"/>
      <c r="WX125" s="72"/>
      <c r="WY125" s="72"/>
      <c r="WZ125" s="72"/>
      <c r="XA125" s="72"/>
      <c r="XB125" s="72"/>
      <c r="XC125" s="72"/>
      <c r="XD125" s="72"/>
      <c r="XE125" s="72"/>
      <c r="XF125" s="72"/>
      <c r="XG125" s="72"/>
      <c r="XH125" s="72"/>
      <c r="XI125" s="72"/>
      <c r="XJ125" s="72"/>
      <c r="XK125" s="72"/>
      <c r="XL125" s="72"/>
      <c r="XM125" s="72"/>
      <c r="XN125" s="72"/>
      <c r="XO125" s="72"/>
      <c r="XP125" s="72"/>
      <c r="XQ125" s="72"/>
      <c r="XR125" s="72"/>
      <c r="XS125" s="72"/>
      <c r="XT125" s="72"/>
      <c r="XU125" s="72"/>
      <c r="XV125" s="72"/>
      <c r="XW125" s="72"/>
      <c r="XX125" s="72"/>
      <c r="XY125" s="72"/>
      <c r="XZ125" s="72"/>
      <c r="YA125" s="72"/>
      <c r="YB125" s="72"/>
      <c r="YC125" s="72"/>
      <c r="YD125" s="72"/>
      <c r="YE125" s="72"/>
      <c r="YF125" s="72"/>
      <c r="YG125" s="72"/>
      <c r="YH125" s="72"/>
      <c r="YI125" s="72"/>
      <c r="YJ125" s="72"/>
      <c r="YK125" s="72"/>
      <c r="YL125" s="72"/>
      <c r="YM125" s="72"/>
      <c r="YN125" s="72"/>
      <c r="YO125" s="72"/>
      <c r="YP125" s="72"/>
      <c r="YQ125" s="72"/>
      <c r="YR125" s="72"/>
      <c r="YS125" s="72"/>
      <c r="YT125" s="72"/>
      <c r="YU125" s="72"/>
      <c r="YV125" s="72"/>
      <c r="YW125" s="72"/>
      <c r="YX125" s="72"/>
      <c r="YY125" s="72"/>
      <c r="YZ125" s="72"/>
      <c r="ZA125" s="72"/>
      <c r="ZB125" s="72"/>
      <c r="ZC125" s="72"/>
      <c r="ZD125" s="72"/>
      <c r="ZE125" s="72"/>
      <c r="ZF125" s="72"/>
      <c r="ZG125" s="72"/>
      <c r="ZH125" s="72"/>
      <c r="ZI125" s="72"/>
      <c r="ZJ125" s="72"/>
      <c r="ZK125" s="72"/>
      <c r="ZL125" s="72"/>
      <c r="ZM125" s="72"/>
      <c r="ZN125" s="72"/>
      <c r="ZO125" s="72"/>
      <c r="ZP125" s="72"/>
      <c r="ZQ125" s="72"/>
      <c r="ZR125" s="72"/>
      <c r="ZS125" s="72"/>
      <c r="ZT125" s="72"/>
      <c r="ZU125" s="72"/>
      <c r="ZV125" s="72"/>
      <c r="ZW125" s="72"/>
      <c r="ZX125" s="72"/>
      <c r="ZY125" s="72"/>
      <c r="ZZ125" s="72"/>
      <c r="AAA125" s="72"/>
      <c r="AAB125" s="72"/>
      <c r="AAC125" s="72"/>
      <c r="AAD125" s="72"/>
      <c r="AAE125" s="72"/>
      <c r="AAF125" s="72"/>
      <c r="AAG125" s="72"/>
      <c r="AAH125" s="72"/>
      <c r="AAI125" s="72"/>
      <c r="AAJ125" s="72"/>
      <c r="AAK125" s="72"/>
      <c r="AAL125" s="72"/>
      <c r="AAM125" s="72"/>
      <c r="AAN125" s="72"/>
      <c r="AAO125" s="72"/>
      <c r="AAP125" s="72"/>
      <c r="AAQ125" s="72"/>
      <c r="AAR125" s="72"/>
      <c r="AAS125" s="72"/>
      <c r="AAT125" s="72"/>
      <c r="AAU125" s="72"/>
      <c r="AAV125" s="72"/>
      <c r="AAW125" s="72"/>
      <c r="AAX125" s="72"/>
      <c r="AAY125" s="72"/>
      <c r="AAZ125" s="72"/>
      <c r="ABA125" s="72"/>
      <c r="ABB125" s="72"/>
      <c r="ABC125" s="72"/>
      <c r="ABD125" s="72"/>
      <c r="ABE125" s="72"/>
      <c r="ABF125" s="72"/>
      <c r="ABG125" s="72"/>
      <c r="ABH125" s="72"/>
      <c r="ABI125" s="72"/>
      <c r="ABJ125" s="72"/>
      <c r="ABK125" s="72"/>
      <c r="ABL125" s="72"/>
      <c r="ABM125" s="72"/>
      <c r="ABN125" s="72"/>
      <c r="ABO125" s="72"/>
      <c r="ABP125" s="72"/>
      <c r="ABQ125" s="72"/>
      <c r="ABR125" s="72"/>
      <c r="ABS125" s="72"/>
      <c r="ABT125" s="72"/>
      <c r="ABU125" s="72"/>
      <c r="ABV125" s="72"/>
      <c r="ABW125" s="72"/>
      <c r="ABX125" s="72"/>
      <c r="ABY125" s="72"/>
      <c r="ABZ125" s="72"/>
      <c r="ACA125" s="72"/>
      <c r="ACB125" s="72"/>
      <c r="ACC125" s="72"/>
      <c r="ACD125" s="72"/>
      <c r="ACE125" s="72"/>
      <c r="ACF125" s="72"/>
      <c r="ACG125" s="72"/>
      <c r="ACH125" s="72"/>
      <c r="ACI125" s="72"/>
      <c r="ACJ125" s="72"/>
      <c r="ACK125" s="72"/>
      <c r="ACL125" s="72"/>
      <c r="ACM125" s="72"/>
      <c r="ACN125" s="72"/>
      <c r="ACO125" s="72"/>
      <c r="ACP125" s="72"/>
      <c r="ACQ125" s="72"/>
      <c r="ACR125" s="72"/>
      <c r="ACS125" s="72"/>
      <c r="ACT125" s="72"/>
      <c r="ACU125" s="72"/>
      <c r="ACV125" s="72"/>
      <c r="ACW125" s="72"/>
      <c r="ACX125" s="72"/>
      <c r="ACY125" s="72"/>
      <c r="ACZ125" s="72"/>
      <c r="ADA125" s="72"/>
      <c r="ADB125" s="72"/>
      <c r="ADC125" s="72"/>
      <c r="ADD125" s="72"/>
      <c r="ADE125" s="72"/>
      <c r="ADF125" s="72"/>
      <c r="ADG125" s="72"/>
      <c r="ADH125" s="72"/>
      <c r="ADI125" s="72"/>
      <c r="ADJ125" s="72"/>
      <c r="ADK125" s="72"/>
      <c r="ADL125" s="72"/>
      <c r="ADM125" s="72"/>
      <c r="ADN125" s="72"/>
      <c r="ADO125" s="72"/>
      <c r="ADP125" s="72"/>
      <c r="ADQ125" s="72"/>
      <c r="ADR125" s="72"/>
      <c r="ADS125" s="72"/>
      <c r="ADT125" s="72"/>
      <c r="ADU125" s="72"/>
      <c r="ADV125" s="72"/>
      <c r="ADW125" s="72"/>
      <c r="ADX125" s="72"/>
      <c r="ADY125" s="72"/>
      <c r="ADZ125" s="72"/>
      <c r="AEA125" s="72"/>
      <c r="AEB125" s="72"/>
      <c r="AEC125" s="72"/>
      <c r="AED125" s="72"/>
      <c r="AEE125" s="72"/>
      <c r="AEF125" s="72"/>
      <c r="AEG125" s="72"/>
      <c r="AEH125" s="72"/>
      <c r="AEI125" s="72"/>
      <c r="AEJ125" s="72"/>
      <c r="AEK125" s="72"/>
      <c r="AEL125" s="72"/>
      <c r="AEM125" s="72"/>
      <c r="AEN125" s="72"/>
      <c r="AEO125" s="72"/>
      <c r="AEP125" s="72"/>
      <c r="AEQ125" s="72"/>
      <c r="AER125" s="72"/>
      <c r="AES125" s="72"/>
      <c r="AET125" s="72"/>
      <c r="AEU125" s="72"/>
      <c r="AEV125" s="72"/>
      <c r="AEW125" s="72"/>
      <c r="AEX125" s="72"/>
      <c r="AEY125" s="72"/>
      <c r="AEZ125" s="72"/>
      <c r="AFA125" s="72"/>
      <c r="AFB125" s="72"/>
      <c r="AFC125" s="72"/>
      <c r="AFD125" s="72"/>
      <c r="AFE125" s="72"/>
      <c r="AFF125" s="72"/>
      <c r="AFG125" s="72"/>
      <c r="AFH125" s="72"/>
      <c r="AFI125" s="72"/>
      <c r="AFJ125" s="72"/>
      <c r="AFK125" s="72"/>
      <c r="AFL125" s="72"/>
      <c r="AFM125" s="72"/>
      <c r="AFN125" s="72"/>
      <c r="AFO125" s="72"/>
      <c r="AFP125" s="72"/>
      <c r="AFQ125" s="72"/>
      <c r="AFR125" s="72"/>
      <c r="AFS125" s="72"/>
      <c r="AFT125" s="72"/>
      <c r="AFU125" s="72"/>
      <c r="AFV125" s="72"/>
      <c r="AFW125" s="72"/>
      <c r="AFX125" s="72"/>
      <c r="AFY125" s="72"/>
      <c r="AFZ125" s="72"/>
      <c r="AGA125" s="72"/>
      <c r="AGB125" s="72"/>
      <c r="AGC125" s="72"/>
      <c r="AGD125" s="72"/>
      <c r="AGE125" s="72"/>
      <c r="AGF125" s="72"/>
      <c r="AGG125" s="72"/>
      <c r="AGH125" s="72"/>
      <c r="AGI125" s="72"/>
      <c r="AGJ125" s="72"/>
      <c r="AGK125" s="72"/>
      <c r="AGL125" s="72"/>
      <c r="AGM125" s="72"/>
      <c r="AGN125" s="72"/>
      <c r="AGO125" s="72"/>
      <c r="AGP125" s="72"/>
      <c r="AGQ125" s="72"/>
      <c r="AGR125" s="72"/>
      <c r="AGS125" s="72"/>
      <c r="AGT125" s="72"/>
      <c r="AGU125" s="72"/>
      <c r="AGV125" s="72"/>
      <c r="AGW125" s="72"/>
      <c r="AGX125" s="72"/>
      <c r="AGY125" s="72"/>
      <c r="AGZ125" s="72"/>
      <c r="AHA125" s="72"/>
      <c r="AHB125" s="72"/>
      <c r="AHC125" s="72"/>
      <c r="AHD125" s="72"/>
      <c r="AHE125" s="72"/>
      <c r="AHF125" s="72"/>
      <c r="AHG125" s="72"/>
      <c r="AHH125" s="72"/>
      <c r="AHI125" s="72"/>
      <c r="AHJ125" s="72"/>
      <c r="AHK125" s="72"/>
      <c r="AHL125" s="72"/>
      <c r="AHM125" s="72"/>
      <c r="AHN125" s="72"/>
      <c r="AHO125" s="72"/>
      <c r="AHP125" s="72"/>
      <c r="AHQ125" s="72"/>
      <c r="AHR125" s="72"/>
      <c r="AHS125" s="72"/>
      <c r="AHT125" s="72"/>
      <c r="AHU125" s="72"/>
      <c r="AHV125" s="72"/>
      <c r="AHW125" s="72"/>
      <c r="AHX125" s="72"/>
      <c r="AHY125" s="72"/>
      <c r="AHZ125" s="72"/>
      <c r="AIA125" s="72"/>
      <c r="AIB125" s="72"/>
      <c r="AIC125" s="72"/>
      <c r="AID125" s="72"/>
      <c r="AIE125" s="72"/>
      <c r="AIF125" s="72"/>
      <c r="AIG125" s="72"/>
      <c r="AIH125" s="72"/>
      <c r="AII125" s="72"/>
      <c r="AIJ125" s="72"/>
      <c r="AIK125" s="72"/>
      <c r="AIL125" s="72"/>
      <c r="AIM125" s="72"/>
      <c r="AIN125" s="72"/>
      <c r="AIO125" s="72"/>
      <c r="AIP125" s="72"/>
      <c r="AIQ125" s="72"/>
      <c r="AIR125" s="72"/>
      <c r="AIS125" s="72"/>
      <c r="AIT125" s="72"/>
      <c r="AIU125" s="72"/>
      <c r="AIV125" s="72"/>
      <c r="AIW125" s="72"/>
      <c r="AIX125" s="72"/>
      <c r="AIY125" s="72"/>
      <c r="AIZ125" s="72"/>
      <c r="AJA125" s="72"/>
      <c r="AJB125" s="72"/>
      <c r="AJC125" s="72"/>
      <c r="AJD125" s="72"/>
      <c r="AJE125" s="72"/>
      <c r="AJF125" s="72"/>
      <c r="AJG125" s="72"/>
      <c r="AJH125" s="72"/>
      <c r="AJI125" s="72"/>
      <c r="AJJ125" s="72"/>
      <c r="AJK125" s="72"/>
      <c r="AJL125" s="72"/>
      <c r="AJM125" s="72"/>
      <c r="AJN125" s="72"/>
      <c r="AJO125" s="72"/>
      <c r="AJP125" s="72"/>
      <c r="AJQ125" s="72"/>
      <c r="AJR125" s="72"/>
      <c r="AJS125" s="72"/>
      <c r="AJT125" s="72"/>
      <c r="AJU125" s="72"/>
      <c r="AJV125" s="72"/>
      <c r="AJW125" s="72"/>
      <c r="AJX125" s="72"/>
      <c r="AJY125" s="72"/>
      <c r="AJZ125" s="72"/>
      <c r="AKA125" s="72"/>
      <c r="AKB125" s="72"/>
      <c r="AKC125" s="72"/>
      <c r="AKD125" s="72"/>
      <c r="AKE125" s="72"/>
      <c r="AKF125" s="72"/>
      <c r="AKG125" s="72"/>
      <c r="AKH125" s="72"/>
      <c r="AKI125" s="72"/>
      <c r="AKJ125" s="72"/>
      <c r="AKK125" s="72"/>
      <c r="AKL125" s="72"/>
      <c r="AKM125" s="72"/>
      <c r="AKN125" s="72"/>
      <c r="AKO125" s="72"/>
      <c r="AKP125" s="72"/>
      <c r="AKQ125" s="72"/>
      <c r="AKR125" s="72"/>
      <c r="AKS125" s="72"/>
      <c r="AKT125" s="72"/>
      <c r="AKU125" s="72"/>
      <c r="AKV125" s="72"/>
      <c r="AKW125" s="72"/>
      <c r="AKX125" s="72"/>
      <c r="AKY125" s="72"/>
      <c r="AKZ125" s="72"/>
      <c r="ALA125" s="72"/>
      <c r="ALB125" s="72"/>
      <c r="ALC125" s="72"/>
      <c r="ALD125" s="72"/>
      <c r="ALE125" s="72"/>
      <c r="ALF125" s="72"/>
      <c r="ALG125" s="72"/>
      <c r="ALH125" s="72"/>
      <c r="ALI125" s="72"/>
      <c r="ALJ125" s="72"/>
      <c r="ALK125" s="72"/>
      <c r="ALL125" s="72"/>
      <c r="ALM125" s="72"/>
      <c r="ALN125" s="72"/>
      <c r="ALO125" s="72"/>
      <c r="ALP125" s="72"/>
      <c r="ALQ125" s="72"/>
      <c r="ALR125" s="72"/>
      <c r="ALS125" s="72"/>
      <c r="ALT125" s="72"/>
      <c r="ALU125" s="72"/>
      <c r="ALV125" s="72"/>
      <c r="ALW125" s="72"/>
      <c r="ALX125" s="72"/>
      <c r="ALY125" s="72"/>
      <c r="ALZ125" s="72"/>
      <c r="AMA125" s="72"/>
      <c r="AMB125" s="72"/>
      <c r="AMC125" s="72"/>
      <c r="AMD125" s="72"/>
      <c r="AME125" s="72"/>
      <c r="AMF125" s="72"/>
      <c r="AMG125" s="72"/>
      <c r="AMH125" s="72"/>
      <c r="AMI125" s="72"/>
      <c r="AMJ125" s="72"/>
      <c r="AMK125" s="72"/>
      <c r="AML125" s="72"/>
      <c r="AMM125" s="72"/>
      <c r="AMN125" s="72"/>
      <c r="AMO125" s="72"/>
      <c r="AMP125" s="72"/>
      <c r="AMQ125" s="72"/>
      <c r="AMR125" s="72"/>
      <c r="AMS125" s="72"/>
      <c r="AMT125" s="72"/>
      <c r="AMU125" s="72"/>
      <c r="AMV125" s="72"/>
      <c r="AMW125" s="72"/>
      <c r="AMX125" s="72"/>
      <c r="AMY125" s="72"/>
      <c r="AMZ125" s="72"/>
      <c r="ANA125" s="72"/>
      <c r="ANB125" s="72"/>
      <c r="ANC125" s="72"/>
      <c r="AND125" s="72"/>
      <c r="ANE125" s="72"/>
      <c r="ANF125" s="72"/>
      <c r="ANG125" s="72"/>
      <c r="ANH125" s="72"/>
      <c r="ANI125" s="72"/>
      <c r="ANJ125" s="72"/>
      <c r="ANK125" s="72"/>
      <c r="ANL125" s="72"/>
      <c r="ANM125" s="72"/>
      <c r="ANN125" s="72"/>
      <c r="ANO125" s="72"/>
      <c r="ANP125" s="72"/>
      <c r="ANQ125" s="72"/>
      <c r="ANR125" s="72"/>
      <c r="ANS125" s="72"/>
      <c r="ANT125" s="72"/>
      <c r="ANU125" s="72"/>
      <c r="ANV125" s="72"/>
      <c r="ANW125" s="72"/>
      <c r="ANX125" s="72"/>
      <c r="ANY125" s="72"/>
      <c r="ANZ125" s="72"/>
      <c r="AOA125" s="72"/>
      <c r="AOB125" s="72"/>
      <c r="AOC125" s="72"/>
      <c r="AOD125" s="72"/>
      <c r="AOE125" s="72"/>
      <c r="AOF125" s="72"/>
      <c r="AOG125" s="72"/>
      <c r="AOH125" s="72"/>
      <c r="AOI125" s="72"/>
      <c r="AOJ125" s="72"/>
      <c r="AOK125" s="72"/>
      <c r="AOL125" s="72"/>
      <c r="AOM125" s="72"/>
      <c r="AON125" s="72"/>
      <c r="AOO125" s="72"/>
      <c r="AOP125" s="72"/>
      <c r="AOQ125" s="72"/>
      <c r="AOR125" s="72"/>
      <c r="AOS125" s="72"/>
      <c r="AOT125" s="72"/>
      <c r="AOU125" s="72"/>
      <c r="AOV125" s="72"/>
      <c r="AOW125" s="72"/>
      <c r="AOX125" s="72"/>
      <c r="AOY125" s="72"/>
      <c r="AOZ125" s="72"/>
      <c r="APA125" s="72"/>
      <c r="APB125" s="72"/>
      <c r="APC125" s="72"/>
      <c r="APD125" s="72"/>
      <c r="APE125" s="72"/>
      <c r="APF125" s="72"/>
      <c r="APG125" s="72"/>
      <c r="APH125" s="72"/>
      <c r="API125" s="72"/>
      <c r="APJ125" s="72"/>
      <c r="APK125" s="72"/>
      <c r="APL125" s="72"/>
      <c r="APM125" s="72"/>
      <c r="APN125" s="72"/>
      <c r="APO125" s="72"/>
      <c r="APP125" s="72"/>
      <c r="APQ125" s="72"/>
      <c r="APR125" s="72"/>
      <c r="APS125" s="72"/>
      <c r="APT125" s="72"/>
      <c r="APU125" s="72"/>
      <c r="APV125" s="72"/>
      <c r="APW125" s="72"/>
      <c r="APX125" s="72"/>
      <c r="APY125" s="72"/>
      <c r="APZ125" s="72"/>
      <c r="AQA125" s="72"/>
      <c r="AQB125" s="72"/>
      <c r="AQC125" s="72"/>
      <c r="AQD125" s="72"/>
      <c r="AQE125" s="72"/>
      <c r="AQF125" s="72"/>
      <c r="AQG125" s="72"/>
      <c r="AQH125" s="72"/>
      <c r="AQI125" s="72"/>
      <c r="AQJ125" s="72"/>
      <c r="AQK125" s="72"/>
      <c r="AQL125" s="72"/>
      <c r="AQM125" s="72"/>
      <c r="AQN125" s="72"/>
      <c r="AQO125" s="72"/>
      <c r="AQP125" s="72"/>
      <c r="AQQ125" s="72"/>
      <c r="AQR125" s="72"/>
      <c r="AQS125" s="72"/>
      <c r="AQT125" s="72"/>
      <c r="AQU125" s="72"/>
      <c r="AQV125" s="72"/>
      <c r="AQW125" s="72"/>
      <c r="AQX125" s="72"/>
      <c r="AQY125" s="72"/>
      <c r="AQZ125" s="72"/>
      <c r="ARA125" s="72"/>
      <c r="ARB125" s="72"/>
      <c r="ARC125" s="72"/>
      <c r="ARD125" s="72"/>
      <c r="ARE125" s="72"/>
      <c r="ARF125" s="72"/>
      <c r="ARG125" s="72"/>
      <c r="ARH125" s="72"/>
      <c r="ARI125" s="72"/>
      <c r="ARJ125" s="72"/>
      <c r="ARK125" s="72"/>
      <c r="ARL125" s="72"/>
      <c r="ARM125" s="72"/>
      <c r="ARN125" s="72"/>
      <c r="ARO125" s="72"/>
      <c r="ARP125" s="72"/>
      <c r="ARQ125" s="72"/>
      <c r="ARR125" s="72"/>
      <c r="ARS125" s="72"/>
      <c r="ART125" s="72"/>
      <c r="ARU125" s="72"/>
      <c r="ARV125" s="72"/>
      <c r="ARW125" s="72"/>
      <c r="ARX125" s="72"/>
      <c r="ARY125" s="72"/>
      <c r="ARZ125" s="72"/>
      <c r="ASA125" s="72"/>
      <c r="ASB125" s="72"/>
      <c r="ASC125" s="72"/>
      <c r="ASD125" s="72"/>
      <c r="ASE125" s="72"/>
      <c r="ASF125" s="72"/>
      <c r="ASG125" s="72"/>
      <c r="ASH125" s="72"/>
      <c r="ASI125" s="72"/>
      <c r="ASJ125" s="72"/>
      <c r="ASK125" s="72"/>
      <c r="ASL125" s="72"/>
      <c r="ASM125" s="72"/>
      <c r="ASN125" s="72"/>
      <c r="ASO125" s="72"/>
      <c r="ASP125" s="72"/>
      <c r="ASQ125" s="72"/>
      <c r="ASR125" s="72"/>
      <c r="ASS125" s="72"/>
      <c r="AST125" s="72"/>
      <c r="ASU125" s="72"/>
      <c r="ASV125" s="72"/>
      <c r="ASW125" s="72"/>
      <c r="ASX125" s="72"/>
      <c r="ASY125" s="72"/>
      <c r="ASZ125" s="72"/>
      <c r="ATA125" s="72"/>
      <c r="ATB125" s="72"/>
      <c r="ATC125" s="72"/>
      <c r="ATD125" s="72"/>
      <c r="ATE125" s="72"/>
      <c r="ATF125" s="72"/>
      <c r="ATG125" s="72"/>
      <c r="ATH125" s="72"/>
      <c r="ATI125" s="72"/>
      <c r="ATJ125" s="72"/>
      <c r="ATK125" s="72"/>
      <c r="ATL125" s="72"/>
      <c r="ATM125" s="72"/>
      <c r="ATN125" s="72"/>
      <c r="ATO125" s="72"/>
      <c r="ATP125" s="72"/>
      <c r="ATQ125" s="72"/>
      <c r="ATR125" s="72"/>
      <c r="ATS125" s="72"/>
      <c r="ATT125" s="72"/>
      <c r="ATU125" s="72"/>
      <c r="ATV125" s="72"/>
      <c r="ATW125" s="72"/>
      <c r="ATX125" s="72"/>
      <c r="ATY125" s="72"/>
      <c r="ATZ125" s="72"/>
      <c r="AUA125" s="72"/>
      <c r="AUB125" s="72"/>
      <c r="AUC125" s="72"/>
      <c r="AUD125" s="72"/>
      <c r="AUE125" s="72"/>
      <c r="AUF125" s="72"/>
      <c r="AUG125" s="72"/>
      <c r="AUH125" s="72"/>
      <c r="AUI125" s="72"/>
      <c r="AUJ125" s="72"/>
      <c r="AUK125" s="72"/>
      <c r="AUL125" s="72"/>
      <c r="AUM125" s="72"/>
      <c r="AUN125" s="72"/>
      <c r="AUO125" s="72"/>
      <c r="AUP125" s="72"/>
      <c r="AUQ125" s="72"/>
      <c r="AUR125" s="72"/>
      <c r="AUS125" s="72"/>
      <c r="AUT125" s="72"/>
      <c r="AUU125" s="72"/>
      <c r="AUV125" s="72"/>
      <c r="AUW125" s="72"/>
      <c r="AUX125" s="72"/>
      <c r="AUY125" s="72"/>
      <c r="AUZ125" s="72"/>
      <c r="AVA125" s="72"/>
      <c r="AVB125" s="72"/>
      <c r="AVC125" s="72"/>
      <c r="AVD125" s="72"/>
      <c r="AVE125" s="72"/>
      <c r="AVF125" s="72"/>
      <c r="AVG125" s="72"/>
      <c r="AVH125" s="72"/>
      <c r="AVI125" s="72"/>
      <c r="AVJ125" s="72"/>
      <c r="AVK125" s="72"/>
      <c r="AVL125" s="72"/>
      <c r="AVM125" s="72"/>
      <c r="AVN125" s="72"/>
      <c r="AVO125" s="72"/>
      <c r="AVP125" s="72"/>
      <c r="AVQ125" s="72"/>
      <c r="AVR125" s="72"/>
      <c r="AVS125" s="72"/>
      <c r="AVT125" s="72"/>
      <c r="AVU125" s="72"/>
      <c r="AVV125" s="72"/>
      <c r="AVW125" s="72"/>
      <c r="AVX125" s="72"/>
      <c r="AVY125" s="72"/>
      <c r="AVZ125" s="72"/>
      <c r="AWA125" s="72"/>
      <c r="AWB125" s="72"/>
      <c r="AWC125" s="72"/>
      <c r="AWD125" s="72"/>
      <c r="AWE125" s="72"/>
      <c r="AWF125" s="72"/>
      <c r="AWG125" s="72"/>
      <c r="AWH125" s="72"/>
      <c r="AWI125" s="72"/>
      <c r="AWJ125" s="72"/>
      <c r="AWK125" s="72"/>
      <c r="AWL125" s="72"/>
      <c r="AWM125" s="72"/>
      <c r="AWN125" s="72"/>
      <c r="AWO125" s="72"/>
      <c r="AWP125" s="72"/>
      <c r="AWQ125" s="72"/>
      <c r="AWR125" s="72"/>
      <c r="AWS125" s="72"/>
      <c r="AWT125" s="72"/>
      <c r="AWU125" s="72"/>
      <c r="AWV125" s="72"/>
      <c r="AWW125" s="72"/>
      <c r="AWX125" s="72"/>
      <c r="AWY125" s="72"/>
      <c r="AWZ125" s="72"/>
      <c r="AXA125" s="72"/>
      <c r="AXB125" s="72"/>
      <c r="AXC125" s="72"/>
      <c r="AXD125" s="72"/>
      <c r="AXE125" s="72"/>
      <c r="AXF125" s="72"/>
      <c r="AXG125" s="72"/>
      <c r="AXH125" s="72"/>
      <c r="AXI125" s="72"/>
      <c r="AXJ125" s="72"/>
      <c r="AXK125" s="72"/>
      <c r="AXL125" s="72"/>
      <c r="AXM125" s="72"/>
      <c r="AXN125" s="72"/>
      <c r="AXO125" s="72"/>
      <c r="AXP125" s="72"/>
      <c r="AXQ125" s="72"/>
      <c r="AXR125" s="72"/>
      <c r="AXS125" s="72"/>
      <c r="AXT125" s="72"/>
      <c r="AXU125" s="72"/>
      <c r="AXV125" s="72"/>
      <c r="AXW125" s="72"/>
      <c r="AXX125" s="72"/>
      <c r="AXY125" s="72"/>
      <c r="AXZ125" s="72"/>
      <c r="AYA125" s="72"/>
      <c r="AYB125" s="72"/>
      <c r="AYC125" s="72"/>
      <c r="AYD125" s="72"/>
      <c r="AYE125" s="72"/>
      <c r="AYF125" s="72"/>
      <c r="AYG125" s="72"/>
      <c r="AYH125" s="72"/>
      <c r="AYI125" s="72"/>
      <c r="AYJ125" s="72"/>
      <c r="AYK125" s="72"/>
      <c r="AYL125" s="72"/>
      <c r="AYM125" s="72"/>
      <c r="AYN125" s="72"/>
      <c r="AYO125" s="72"/>
      <c r="AYP125" s="72"/>
      <c r="AYQ125" s="72"/>
      <c r="AYR125" s="72"/>
      <c r="AYS125" s="72"/>
      <c r="AYT125" s="72"/>
      <c r="AYU125" s="72"/>
      <c r="AYV125" s="72"/>
      <c r="AYW125" s="72"/>
      <c r="AYX125" s="72"/>
      <c r="AYY125" s="72"/>
      <c r="AYZ125" s="72"/>
      <c r="AZA125" s="72"/>
      <c r="AZB125" s="72"/>
      <c r="AZC125" s="72"/>
      <c r="AZD125" s="72"/>
      <c r="AZE125" s="72"/>
      <c r="AZF125" s="72"/>
      <c r="AZG125" s="72"/>
      <c r="AZH125" s="72"/>
      <c r="AZI125" s="72"/>
      <c r="AZJ125" s="72"/>
      <c r="AZK125" s="72"/>
      <c r="AZL125" s="72"/>
      <c r="AZM125" s="72"/>
      <c r="AZN125" s="72"/>
      <c r="AZO125" s="72"/>
      <c r="AZP125" s="72"/>
      <c r="AZQ125" s="72"/>
      <c r="AZR125" s="72"/>
      <c r="AZS125" s="72"/>
      <c r="AZT125" s="72"/>
      <c r="AZU125" s="72"/>
      <c r="AZV125" s="72"/>
      <c r="AZW125" s="72"/>
      <c r="AZX125" s="72"/>
      <c r="AZY125" s="72"/>
      <c r="AZZ125" s="72"/>
      <c r="BAA125" s="72"/>
      <c r="BAB125" s="72"/>
      <c r="BAC125" s="72"/>
      <c r="BAD125" s="72"/>
      <c r="BAE125" s="72"/>
      <c r="BAF125" s="72"/>
      <c r="BAG125" s="72"/>
      <c r="BAH125" s="72"/>
      <c r="BAI125" s="72"/>
      <c r="BAJ125" s="72"/>
      <c r="BAK125" s="72"/>
      <c r="BAL125" s="72"/>
      <c r="BAM125" s="72"/>
      <c r="BAN125" s="72"/>
      <c r="BAO125" s="72"/>
      <c r="BAP125" s="72"/>
      <c r="BAQ125" s="72"/>
      <c r="BAR125" s="72"/>
      <c r="BAS125" s="72"/>
      <c r="BAT125" s="72"/>
      <c r="BAU125" s="72"/>
      <c r="BAV125" s="72"/>
      <c r="BAW125" s="72"/>
      <c r="BAX125" s="72"/>
      <c r="BAY125" s="72"/>
      <c r="BAZ125" s="72"/>
      <c r="BBA125" s="72"/>
      <c r="BBB125" s="72"/>
      <c r="BBC125" s="72"/>
      <c r="BBD125" s="72"/>
      <c r="BBE125" s="72"/>
      <c r="BBF125" s="72"/>
      <c r="BBG125" s="72"/>
      <c r="BBH125" s="72"/>
      <c r="BBI125" s="72"/>
      <c r="BBJ125" s="72"/>
      <c r="BBK125" s="72"/>
      <c r="BBL125" s="72"/>
      <c r="BBM125" s="72"/>
      <c r="BBN125" s="72"/>
      <c r="BBO125" s="72"/>
      <c r="BBP125" s="72"/>
      <c r="BBQ125" s="72"/>
      <c r="BBR125" s="72"/>
      <c r="BBS125" s="72"/>
      <c r="BBT125" s="72"/>
      <c r="BBU125" s="72"/>
      <c r="BBV125" s="72"/>
      <c r="BBW125" s="72"/>
      <c r="BBX125" s="72"/>
      <c r="BBY125" s="72"/>
      <c r="BBZ125" s="72"/>
      <c r="BCA125" s="72"/>
      <c r="BCB125" s="72"/>
      <c r="BCC125" s="72"/>
      <c r="BCD125" s="72"/>
      <c r="BCE125" s="72"/>
      <c r="BCF125" s="72"/>
      <c r="BCG125" s="72"/>
      <c r="BCH125" s="72"/>
      <c r="BCI125" s="72"/>
      <c r="BCJ125" s="72"/>
      <c r="BCK125" s="72"/>
      <c r="BCL125" s="72"/>
      <c r="BCM125" s="72"/>
      <c r="BCN125" s="72"/>
      <c r="BCO125" s="72"/>
      <c r="BCP125" s="72"/>
      <c r="BCQ125" s="72"/>
      <c r="BCR125" s="72"/>
      <c r="BCS125" s="72"/>
      <c r="BCT125" s="72"/>
      <c r="BCU125" s="72"/>
      <c r="BCV125" s="72"/>
      <c r="BCW125" s="72"/>
      <c r="BCX125" s="72"/>
      <c r="BCY125" s="72"/>
      <c r="BCZ125" s="72"/>
      <c r="BDA125" s="72"/>
      <c r="BDB125" s="72"/>
      <c r="BDC125" s="72"/>
      <c r="BDD125" s="72"/>
      <c r="BDE125" s="72"/>
      <c r="BDF125" s="72"/>
      <c r="BDG125" s="72"/>
      <c r="BDH125" s="72"/>
      <c r="BDI125" s="72"/>
      <c r="BDJ125" s="72"/>
      <c r="BDK125" s="72"/>
      <c r="BDL125" s="72"/>
      <c r="BDM125" s="72"/>
      <c r="BDN125" s="72"/>
      <c r="BDO125" s="72"/>
      <c r="BDP125" s="72"/>
      <c r="BDQ125" s="72"/>
      <c r="BDR125" s="72"/>
      <c r="BDS125" s="72"/>
      <c r="BDT125" s="72"/>
      <c r="BDU125" s="72"/>
      <c r="BDV125" s="72"/>
      <c r="BDW125" s="72"/>
      <c r="BDX125" s="72"/>
      <c r="BDY125" s="72"/>
      <c r="BDZ125" s="72"/>
      <c r="BEA125" s="72"/>
      <c r="BEB125" s="72"/>
      <c r="BEC125" s="72"/>
      <c r="BED125" s="72"/>
      <c r="BEE125" s="72"/>
      <c r="BEF125" s="72"/>
      <c r="BEG125" s="72"/>
      <c r="BEH125" s="72"/>
      <c r="BEI125" s="72"/>
      <c r="BEJ125" s="72"/>
      <c r="BEK125" s="72"/>
      <c r="BEL125" s="72"/>
      <c r="BEM125" s="72"/>
      <c r="BEN125" s="72"/>
      <c r="BEO125" s="72"/>
      <c r="BEP125" s="72"/>
      <c r="BEQ125" s="72"/>
      <c r="BER125" s="72"/>
      <c r="BES125" s="72"/>
      <c r="BET125" s="72"/>
      <c r="BEU125" s="72"/>
      <c r="BEV125" s="72"/>
      <c r="BEW125" s="72"/>
      <c r="BEX125" s="72"/>
      <c r="BEY125" s="72"/>
      <c r="BEZ125" s="72"/>
      <c r="BFA125" s="72"/>
      <c r="BFB125" s="72"/>
      <c r="BFC125" s="72"/>
      <c r="BFD125" s="72"/>
      <c r="BFE125" s="72"/>
      <c r="BFF125" s="72"/>
      <c r="BFG125" s="72"/>
      <c r="BFH125" s="72"/>
      <c r="BFI125" s="72"/>
      <c r="BFJ125" s="72"/>
      <c r="BFK125" s="72"/>
      <c r="BFL125" s="72"/>
      <c r="BFM125" s="72"/>
      <c r="BFN125" s="72"/>
      <c r="BFO125" s="72"/>
      <c r="BFP125" s="72"/>
      <c r="BFQ125" s="72"/>
      <c r="BFR125" s="72"/>
      <c r="BFS125" s="72"/>
      <c r="BFT125" s="72"/>
      <c r="BFU125" s="72"/>
      <c r="BFV125" s="72"/>
      <c r="BFW125" s="72"/>
      <c r="BFX125" s="72"/>
      <c r="BFY125" s="72"/>
      <c r="BFZ125" s="72"/>
      <c r="BGA125" s="72"/>
      <c r="BGB125" s="72"/>
      <c r="BGC125" s="72"/>
      <c r="BGD125" s="72"/>
      <c r="BGE125" s="72"/>
      <c r="BGF125" s="72"/>
      <c r="BGG125" s="72"/>
      <c r="BGH125" s="72"/>
      <c r="BGI125" s="72"/>
      <c r="BGJ125" s="72"/>
      <c r="BGK125" s="72"/>
      <c r="BGL125" s="72"/>
      <c r="BGM125" s="72"/>
      <c r="BGN125" s="72"/>
      <c r="BGO125" s="72"/>
      <c r="BGP125" s="72"/>
      <c r="BGQ125" s="72"/>
      <c r="BGR125" s="72"/>
      <c r="BGS125" s="72"/>
      <c r="BGT125" s="72"/>
      <c r="BGU125" s="72"/>
      <c r="BGV125" s="72"/>
      <c r="BGW125" s="72"/>
      <c r="BGX125" s="72"/>
      <c r="BGY125" s="72"/>
      <c r="BGZ125" s="72"/>
      <c r="BHA125" s="72"/>
      <c r="BHB125" s="72"/>
      <c r="BHC125" s="72"/>
      <c r="BHD125" s="72"/>
      <c r="BHE125" s="72"/>
      <c r="BHF125" s="72"/>
      <c r="BHG125" s="72"/>
      <c r="BHH125" s="72"/>
      <c r="BHI125" s="72"/>
      <c r="BHJ125" s="72"/>
      <c r="BHK125" s="72"/>
      <c r="BHL125" s="72"/>
      <c r="BHM125" s="72"/>
      <c r="BHN125" s="72"/>
      <c r="BHO125" s="72"/>
      <c r="BHP125" s="72"/>
      <c r="BHQ125" s="72"/>
      <c r="BHR125" s="72"/>
      <c r="BHS125" s="72"/>
      <c r="BHT125" s="72"/>
      <c r="BHU125" s="72"/>
      <c r="BHV125" s="72"/>
      <c r="BHW125" s="72"/>
      <c r="BHX125" s="72"/>
      <c r="BHY125" s="72"/>
      <c r="BHZ125" s="72"/>
      <c r="BIA125" s="72"/>
      <c r="BIB125" s="72"/>
      <c r="BIC125" s="72"/>
      <c r="BID125" s="72"/>
      <c r="BIE125" s="72"/>
      <c r="BIF125" s="72"/>
      <c r="BIG125" s="72"/>
      <c r="BIH125" s="72"/>
      <c r="BII125" s="72"/>
      <c r="BIJ125" s="72"/>
      <c r="BIK125" s="72"/>
      <c r="BIL125" s="72"/>
      <c r="BIM125" s="72"/>
      <c r="BIN125" s="72"/>
      <c r="BIO125" s="72"/>
      <c r="BIP125" s="72"/>
      <c r="BIQ125" s="72"/>
      <c r="BIR125" s="72"/>
      <c r="BIS125" s="72"/>
      <c r="BIT125" s="72"/>
      <c r="BIU125" s="72"/>
      <c r="BIV125" s="72"/>
      <c r="BIW125" s="72"/>
      <c r="BIX125" s="72"/>
      <c r="BIY125" s="72"/>
      <c r="BIZ125" s="72"/>
      <c r="BJA125" s="72"/>
      <c r="BJB125" s="72"/>
      <c r="BJC125" s="72"/>
      <c r="BJD125" s="72"/>
      <c r="BJE125" s="72"/>
      <c r="BJF125" s="72"/>
      <c r="BJG125" s="72"/>
      <c r="BJH125" s="72"/>
      <c r="BJI125" s="72"/>
      <c r="BJJ125" s="72"/>
      <c r="BJK125" s="72"/>
      <c r="BJL125" s="72"/>
      <c r="BJM125" s="72"/>
      <c r="BJN125" s="72"/>
      <c r="BJO125" s="72"/>
      <c r="BJP125" s="72"/>
      <c r="BJQ125" s="72"/>
      <c r="BJR125" s="72"/>
      <c r="BJS125" s="72"/>
      <c r="BJT125" s="72"/>
      <c r="BJU125" s="72"/>
      <c r="BJV125" s="72"/>
      <c r="BJW125" s="72"/>
      <c r="BJX125" s="72"/>
      <c r="BJY125" s="72"/>
      <c r="BJZ125" s="72"/>
      <c r="BKA125" s="72"/>
      <c r="BKB125" s="72"/>
      <c r="BKC125" s="72"/>
      <c r="BKD125" s="72"/>
      <c r="BKE125" s="72"/>
      <c r="BKF125" s="72"/>
      <c r="BKG125" s="72"/>
      <c r="BKH125" s="72"/>
      <c r="BKI125" s="72"/>
      <c r="BKJ125" s="72"/>
      <c r="BKK125" s="72"/>
      <c r="BKL125" s="72"/>
      <c r="BKM125" s="72"/>
      <c r="BKN125" s="72"/>
      <c r="BKO125" s="72"/>
      <c r="BKP125" s="72"/>
      <c r="BKQ125" s="72"/>
      <c r="BKR125" s="72"/>
      <c r="BKS125" s="72"/>
      <c r="BKT125" s="72"/>
      <c r="BKU125" s="72"/>
      <c r="BKV125" s="72"/>
      <c r="BKW125" s="72"/>
      <c r="BKX125" s="72"/>
      <c r="BKY125" s="72"/>
      <c r="BKZ125" s="72"/>
      <c r="BLA125" s="72"/>
      <c r="BLB125" s="72"/>
      <c r="BLC125" s="72"/>
      <c r="BLD125" s="72"/>
      <c r="BLE125" s="72"/>
      <c r="BLF125" s="72"/>
      <c r="BLG125" s="72"/>
      <c r="BLH125" s="72"/>
      <c r="BLI125" s="72"/>
      <c r="BLJ125" s="72"/>
      <c r="BLK125" s="72"/>
      <c r="BLL125" s="72"/>
      <c r="BLM125" s="72"/>
      <c r="BLN125" s="72"/>
      <c r="BLO125" s="72"/>
      <c r="BLP125" s="72"/>
      <c r="BLQ125" s="72"/>
      <c r="BLR125" s="72"/>
      <c r="BLS125" s="72"/>
      <c r="BLT125" s="72"/>
      <c r="BLU125" s="72"/>
      <c r="BLV125" s="72"/>
      <c r="BLW125" s="72"/>
      <c r="BLX125" s="72"/>
      <c r="BLY125" s="72"/>
      <c r="BLZ125" s="72"/>
      <c r="BMA125" s="72"/>
      <c r="BMB125" s="72"/>
      <c r="BMC125" s="72"/>
      <c r="BMD125" s="72"/>
      <c r="BME125" s="72"/>
      <c r="BMF125" s="72"/>
      <c r="BMG125" s="72"/>
      <c r="BMH125" s="72"/>
      <c r="BMI125" s="72"/>
      <c r="BMJ125" s="72"/>
      <c r="BMK125" s="72"/>
      <c r="BML125" s="72"/>
      <c r="BMM125" s="72"/>
      <c r="BMN125" s="72"/>
      <c r="BMO125" s="72"/>
      <c r="BMP125" s="72"/>
      <c r="BMQ125" s="72"/>
      <c r="BMR125" s="72"/>
      <c r="BMS125" s="72"/>
      <c r="BMT125" s="72"/>
      <c r="BMU125" s="72"/>
      <c r="BMV125" s="72"/>
      <c r="BMW125" s="72"/>
      <c r="BMX125" s="72"/>
      <c r="BMY125" s="72"/>
      <c r="BMZ125" s="72"/>
      <c r="BNA125" s="72"/>
      <c r="BNB125" s="72"/>
      <c r="BNC125" s="72"/>
      <c r="BND125" s="72"/>
      <c r="BNE125" s="72"/>
      <c r="BNF125" s="72"/>
      <c r="BNG125" s="72"/>
      <c r="BNH125" s="72"/>
      <c r="BNI125" s="72"/>
      <c r="BNJ125" s="72"/>
      <c r="BNK125" s="72"/>
      <c r="BNL125" s="72"/>
      <c r="BNM125" s="72"/>
      <c r="BNN125" s="72"/>
      <c r="BNO125" s="72"/>
      <c r="BNP125" s="72"/>
      <c r="BNQ125" s="72"/>
      <c r="BNR125" s="72"/>
      <c r="BNS125" s="72"/>
      <c r="BNT125" s="72"/>
      <c r="BNU125" s="72"/>
      <c r="BNV125" s="72"/>
      <c r="BNW125" s="72"/>
      <c r="BNX125" s="72"/>
      <c r="BNY125" s="72"/>
      <c r="BNZ125" s="72"/>
      <c r="BOA125" s="72"/>
      <c r="BOB125" s="72"/>
      <c r="BOC125" s="72"/>
      <c r="BOD125" s="72"/>
      <c r="BOE125" s="72"/>
      <c r="BOF125" s="72"/>
      <c r="BOG125" s="72"/>
      <c r="BOH125" s="72"/>
      <c r="BOI125" s="72"/>
      <c r="BOJ125" s="72"/>
      <c r="BOK125" s="72"/>
      <c r="BOL125" s="72"/>
      <c r="BOM125" s="72"/>
      <c r="BON125" s="72"/>
      <c r="BOO125" s="72"/>
      <c r="BOP125" s="72"/>
      <c r="BOQ125" s="72"/>
      <c r="BOR125" s="72"/>
      <c r="BOS125" s="72"/>
      <c r="BOT125" s="72"/>
      <c r="BOU125" s="72"/>
      <c r="BOV125" s="72"/>
      <c r="BOW125" s="72"/>
      <c r="BOX125" s="72"/>
      <c r="BOY125" s="72"/>
      <c r="BOZ125" s="72"/>
      <c r="BPA125" s="72"/>
      <c r="BPB125" s="72"/>
      <c r="BPC125" s="72"/>
      <c r="BPD125" s="72"/>
      <c r="BPE125" s="72"/>
      <c r="BPF125" s="72"/>
      <c r="BPG125" s="72"/>
      <c r="BPH125" s="72"/>
      <c r="BPI125" s="72"/>
      <c r="BPJ125" s="72"/>
      <c r="BPK125" s="72"/>
      <c r="BPL125" s="72"/>
      <c r="BPM125" s="72"/>
      <c r="BPN125" s="72"/>
      <c r="BPO125" s="72"/>
      <c r="BPP125" s="72"/>
      <c r="BPQ125" s="72"/>
      <c r="BPR125" s="72"/>
      <c r="BPS125" s="72"/>
      <c r="BPT125" s="72"/>
      <c r="BPU125" s="72"/>
      <c r="BPV125" s="72"/>
      <c r="BPW125" s="72"/>
      <c r="BPX125" s="72"/>
      <c r="BPY125" s="72"/>
      <c r="BPZ125" s="72"/>
      <c r="BQA125" s="72"/>
      <c r="BQB125" s="72"/>
      <c r="BQC125" s="72"/>
      <c r="BQD125" s="72"/>
      <c r="BQE125" s="72"/>
      <c r="BQF125" s="72"/>
      <c r="BQG125" s="72"/>
      <c r="BQH125" s="72"/>
      <c r="BQI125" s="72"/>
      <c r="BQJ125" s="72"/>
      <c r="BQK125" s="72"/>
      <c r="BQL125" s="72"/>
      <c r="BQM125" s="72"/>
      <c r="BQN125" s="72"/>
      <c r="BQO125" s="72"/>
      <c r="BQP125" s="72"/>
      <c r="BQQ125" s="72"/>
      <c r="BQR125" s="72"/>
      <c r="BQS125" s="72"/>
      <c r="BQT125" s="72"/>
      <c r="BQU125" s="72"/>
      <c r="BQV125" s="72"/>
      <c r="BQW125" s="72"/>
      <c r="BQX125" s="72"/>
      <c r="BQY125" s="72"/>
      <c r="BQZ125" s="72"/>
      <c r="BRA125" s="72"/>
      <c r="BRB125" s="72"/>
      <c r="BRC125" s="72"/>
      <c r="BRD125" s="72"/>
      <c r="BRE125" s="72"/>
      <c r="BRF125" s="72"/>
      <c r="BRG125" s="72"/>
      <c r="BRH125" s="72"/>
      <c r="BRI125" s="72"/>
      <c r="BRJ125" s="72"/>
      <c r="BRK125" s="72"/>
      <c r="BRL125" s="72"/>
      <c r="BRM125" s="72"/>
      <c r="BRN125" s="72"/>
      <c r="BRO125" s="72"/>
      <c r="BRP125" s="72"/>
      <c r="BRQ125" s="72"/>
      <c r="BRR125" s="72"/>
      <c r="BRS125" s="72"/>
      <c r="BRT125" s="72"/>
      <c r="BRU125" s="72"/>
      <c r="BRV125" s="72"/>
      <c r="BRW125" s="72"/>
      <c r="BRX125" s="72"/>
      <c r="BRY125" s="72"/>
      <c r="BRZ125" s="72"/>
      <c r="BSA125" s="72"/>
      <c r="BSB125" s="72"/>
      <c r="BSC125" s="72"/>
      <c r="BSD125" s="72"/>
      <c r="BSE125" s="72"/>
      <c r="BSF125" s="72"/>
      <c r="BSG125" s="72"/>
      <c r="BSH125" s="72"/>
      <c r="BSI125" s="72"/>
      <c r="BSJ125" s="72"/>
      <c r="BSK125" s="72"/>
      <c r="BSL125" s="72"/>
      <c r="BSM125" s="72"/>
      <c r="BSN125" s="72"/>
      <c r="BSO125" s="72"/>
      <c r="BSP125" s="72"/>
      <c r="BSQ125" s="72"/>
      <c r="BSR125" s="72"/>
      <c r="BSS125" s="72"/>
      <c r="BST125" s="72"/>
      <c r="BSU125" s="72"/>
      <c r="BSV125" s="72"/>
      <c r="BSW125" s="72"/>
      <c r="BSX125" s="72"/>
      <c r="BSY125" s="72"/>
      <c r="BSZ125" s="72"/>
      <c r="BTA125" s="72"/>
      <c r="BTB125" s="72"/>
      <c r="BTC125" s="72"/>
      <c r="BTD125" s="72"/>
      <c r="BTE125" s="72"/>
      <c r="BTF125" s="72"/>
      <c r="BTG125" s="72"/>
      <c r="BTH125" s="72"/>
      <c r="BTI125" s="72"/>
      <c r="BTJ125" s="72"/>
      <c r="BTK125" s="72"/>
      <c r="BTL125" s="72"/>
      <c r="BTM125" s="72"/>
      <c r="BTN125" s="72"/>
      <c r="BTO125" s="72"/>
      <c r="BTP125" s="72"/>
      <c r="BTQ125" s="72"/>
      <c r="BTR125" s="72"/>
      <c r="BTS125" s="72"/>
      <c r="BTT125" s="72"/>
      <c r="BTU125" s="72"/>
      <c r="BTV125" s="72"/>
      <c r="BTW125" s="72"/>
      <c r="BTX125" s="72"/>
      <c r="BTY125" s="72"/>
      <c r="BTZ125" s="72"/>
      <c r="BUA125" s="72"/>
      <c r="BUB125" s="72"/>
      <c r="BUC125" s="72"/>
      <c r="BUD125" s="72"/>
      <c r="BUE125" s="72"/>
      <c r="BUF125" s="72"/>
      <c r="BUG125" s="72"/>
      <c r="BUH125" s="72"/>
      <c r="BUI125" s="72"/>
      <c r="BUJ125" s="72"/>
      <c r="BUK125" s="72"/>
      <c r="BUL125" s="72"/>
      <c r="BUM125" s="72"/>
      <c r="BUN125" s="72"/>
      <c r="BUO125" s="72"/>
      <c r="BUP125" s="72"/>
      <c r="BUQ125" s="72"/>
      <c r="BUR125" s="72"/>
      <c r="BUS125" s="72"/>
      <c r="BUT125" s="72"/>
      <c r="BUU125" s="72"/>
      <c r="BUV125" s="72"/>
      <c r="BUW125" s="72"/>
      <c r="BUX125" s="72"/>
      <c r="BUY125" s="72"/>
      <c r="BUZ125" s="72"/>
      <c r="BVA125" s="72"/>
      <c r="BVB125" s="72"/>
      <c r="BVC125" s="72"/>
      <c r="BVD125" s="72"/>
      <c r="BVE125" s="72"/>
      <c r="BVF125" s="72"/>
      <c r="BVG125" s="72"/>
      <c r="BVH125" s="72"/>
      <c r="BVI125" s="72"/>
      <c r="BVJ125" s="72"/>
      <c r="BVK125" s="72"/>
      <c r="BVL125" s="72"/>
      <c r="BVM125" s="72"/>
      <c r="BVN125" s="72"/>
      <c r="BVO125" s="72"/>
      <c r="BVP125" s="72"/>
      <c r="BVQ125" s="72"/>
      <c r="BVR125" s="72"/>
      <c r="BVS125" s="72"/>
      <c r="BVT125" s="72"/>
      <c r="BVU125" s="72"/>
      <c r="BVV125" s="72"/>
      <c r="BVW125" s="72"/>
      <c r="BVX125" s="72"/>
      <c r="BVY125" s="72"/>
      <c r="BVZ125" s="72"/>
      <c r="BWA125" s="72"/>
      <c r="BWB125" s="72"/>
      <c r="BWC125" s="72"/>
      <c r="BWD125" s="72"/>
      <c r="BWE125" s="72"/>
      <c r="BWF125" s="72"/>
      <c r="BWG125" s="72"/>
      <c r="BWH125" s="72"/>
      <c r="BWI125" s="72"/>
      <c r="BWJ125" s="72"/>
      <c r="BWK125" s="72"/>
      <c r="BWL125" s="72"/>
      <c r="BWM125" s="72"/>
      <c r="BWN125" s="72"/>
      <c r="BWO125" s="72"/>
      <c r="BWP125" s="72"/>
      <c r="BWQ125" s="72"/>
      <c r="BWR125" s="72"/>
      <c r="BWS125" s="72"/>
      <c r="BWT125" s="72"/>
      <c r="BWU125" s="72"/>
      <c r="BWV125" s="72"/>
      <c r="BWW125" s="72"/>
      <c r="BWX125" s="72"/>
      <c r="BWY125" s="72"/>
      <c r="BWZ125" s="72"/>
      <c r="BXA125" s="72"/>
      <c r="BXB125" s="72"/>
      <c r="BXC125" s="72"/>
      <c r="BXD125" s="72"/>
      <c r="BXE125" s="72"/>
      <c r="BXF125" s="72"/>
      <c r="BXG125" s="72"/>
      <c r="BXH125" s="72"/>
      <c r="BXI125" s="72"/>
      <c r="BXJ125" s="72"/>
      <c r="BXK125" s="72"/>
      <c r="BXL125" s="72"/>
      <c r="BXM125" s="72"/>
      <c r="BXN125" s="72"/>
      <c r="BXO125" s="72"/>
      <c r="BXP125" s="72"/>
      <c r="BXQ125" s="72"/>
      <c r="BXR125" s="72"/>
      <c r="BXS125" s="72"/>
      <c r="BXT125" s="72"/>
      <c r="BXU125" s="72"/>
      <c r="BXV125" s="72"/>
      <c r="BXW125" s="72"/>
      <c r="BXX125" s="72"/>
      <c r="BXY125" s="72"/>
      <c r="BXZ125" s="72"/>
      <c r="BYA125" s="72"/>
      <c r="BYB125" s="72"/>
      <c r="BYC125" s="72"/>
      <c r="BYD125" s="72"/>
      <c r="BYE125" s="72"/>
      <c r="BYF125" s="72"/>
      <c r="BYG125" s="72"/>
      <c r="BYH125" s="72"/>
      <c r="BYI125" s="72"/>
      <c r="BYJ125" s="72"/>
      <c r="BYK125" s="72"/>
      <c r="BYL125" s="72"/>
      <c r="BYM125" s="72"/>
      <c r="BYN125" s="72"/>
      <c r="BYO125" s="72"/>
      <c r="BYP125" s="72"/>
      <c r="BYQ125" s="72"/>
      <c r="BYR125" s="72"/>
      <c r="BYS125" s="72"/>
      <c r="BYT125" s="72"/>
      <c r="BYU125" s="72"/>
      <c r="BYV125" s="72"/>
      <c r="BYW125" s="72"/>
      <c r="BYX125" s="72"/>
      <c r="BYY125" s="72"/>
      <c r="BYZ125" s="72"/>
      <c r="BZA125" s="72"/>
      <c r="BZB125" s="72"/>
      <c r="BZC125" s="72"/>
      <c r="BZD125" s="72"/>
      <c r="BZE125" s="72"/>
      <c r="BZF125" s="72"/>
      <c r="BZG125" s="72"/>
      <c r="BZH125" s="72"/>
      <c r="BZI125" s="72"/>
      <c r="BZJ125" s="72"/>
      <c r="BZK125" s="72"/>
      <c r="BZL125" s="72"/>
      <c r="BZM125" s="72"/>
      <c r="BZN125" s="72"/>
      <c r="BZO125" s="72"/>
      <c r="BZP125" s="72"/>
      <c r="BZQ125" s="72"/>
      <c r="BZR125" s="72"/>
      <c r="BZS125" s="72"/>
      <c r="BZT125" s="72"/>
      <c r="BZU125" s="72"/>
      <c r="BZV125" s="72"/>
      <c r="BZW125" s="72"/>
      <c r="BZX125" s="72"/>
      <c r="BZY125" s="72"/>
      <c r="BZZ125" s="72"/>
      <c r="CAA125" s="72"/>
      <c r="CAB125" s="72"/>
      <c r="CAC125" s="72"/>
      <c r="CAD125" s="72"/>
      <c r="CAE125" s="72"/>
      <c r="CAF125" s="72"/>
      <c r="CAG125" s="72"/>
      <c r="CAH125" s="72"/>
      <c r="CAI125" s="72"/>
      <c r="CAJ125" s="72"/>
      <c r="CAK125" s="72"/>
      <c r="CAL125" s="72"/>
      <c r="CAM125" s="72"/>
      <c r="CAN125" s="72"/>
      <c r="CAO125" s="72"/>
      <c r="CAP125" s="72"/>
      <c r="CAQ125" s="72"/>
      <c r="CAR125" s="72"/>
      <c r="CAS125" s="72"/>
      <c r="CAT125" s="72"/>
      <c r="CAU125" s="72"/>
      <c r="CAV125" s="72"/>
      <c r="CAW125" s="72"/>
      <c r="CAX125" s="72"/>
      <c r="CAY125" s="72"/>
      <c r="CAZ125" s="72"/>
      <c r="CBA125" s="72"/>
      <c r="CBB125" s="72"/>
      <c r="CBC125" s="72"/>
      <c r="CBD125" s="72"/>
      <c r="CBE125" s="72"/>
      <c r="CBF125" s="72"/>
      <c r="CBG125" s="72"/>
      <c r="CBH125" s="72"/>
      <c r="CBI125" s="72"/>
      <c r="CBJ125" s="72"/>
      <c r="CBK125" s="72"/>
      <c r="CBL125" s="72"/>
      <c r="CBM125" s="72"/>
      <c r="CBN125" s="72"/>
      <c r="CBO125" s="72"/>
      <c r="CBP125" s="72"/>
      <c r="CBQ125" s="72"/>
      <c r="CBR125" s="72"/>
      <c r="CBS125" s="72"/>
      <c r="CBT125" s="72"/>
      <c r="CBU125" s="72"/>
      <c r="CBV125" s="72"/>
      <c r="CBW125" s="72"/>
      <c r="CBX125" s="72"/>
      <c r="CBY125" s="72"/>
      <c r="CBZ125" s="72"/>
      <c r="CCA125" s="72"/>
      <c r="CCB125" s="72"/>
      <c r="CCC125" s="72"/>
      <c r="CCD125" s="72"/>
      <c r="CCE125" s="72"/>
      <c r="CCF125" s="72"/>
      <c r="CCG125" s="72"/>
      <c r="CCH125" s="72"/>
      <c r="CCI125" s="72"/>
      <c r="CCJ125" s="72"/>
      <c r="CCK125" s="72"/>
      <c r="CCL125" s="72"/>
      <c r="CCM125" s="72"/>
      <c r="CCN125" s="72"/>
      <c r="CCO125" s="72"/>
      <c r="CCP125" s="72"/>
      <c r="CCQ125" s="72"/>
      <c r="CCR125" s="72"/>
      <c r="CCS125" s="72"/>
      <c r="CCT125" s="72"/>
      <c r="CCU125" s="72"/>
      <c r="CCV125" s="72"/>
      <c r="CCW125" s="72"/>
      <c r="CCX125" s="72"/>
      <c r="CCY125" s="72"/>
      <c r="CCZ125" s="72"/>
      <c r="CDA125" s="72"/>
      <c r="CDB125" s="72"/>
      <c r="CDC125" s="72"/>
      <c r="CDD125" s="72"/>
      <c r="CDE125" s="72"/>
      <c r="CDF125" s="72"/>
      <c r="CDG125" s="72"/>
      <c r="CDH125" s="72"/>
      <c r="CDI125" s="72"/>
      <c r="CDJ125" s="72"/>
      <c r="CDK125" s="72"/>
      <c r="CDL125" s="72"/>
      <c r="CDM125" s="72"/>
      <c r="CDN125" s="72"/>
      <c r="CDO125" s="72"/>
      <c r="CDP125" s="72"/>
      <c r="CDQ125" s="72"/>
      <c r="CDR125" s="72"/>
      <c r="CDS125" s="72"/>
      <c r="CDT125" s="72"/>
      <c r="CDU125" s="72"/>
      <c r="CDV125" s="72"/>
      <c r="CDW125" s="72"/>
      <c r="CDX125" s="72"/>
      <c r="CDY125" s="72"/>
      <c r="CDZ125" s="72"/>
      <c r="CEA125" s="72"/>
      <c r="CEB125" s="72"/>
      <c r="CEC125" s="72"/>
      <c r="CED125" s="72"/>
      <c r="CEE125" s="72"/>
      <c r="CEF125" s="72"/>
      <c r="CEG125" s="72"/>
      <c r="CEH125" s="72"/>
      <c r="CEI125" s="72"/>
      <c r="CEJ125" s="72"/>
      <c r="CEK125" s="72"/>
      <c r="CEL125" s="72"/>
      <c r="CEM125" s="72"/>
      <c r="CEN125" s="72"/>
      <c r="CEO125" s="72"/>
      <c r="CEP125" s="72"/>
      <c r="CEQ125" s="72"/>
      <c r="CER125" s="72"/>
      <c r="CES125" s="72"/>
      <c r="CET125" s="72"/>
      <c r="CEU125" s="72"/>
      <c r="CEV125" s="72"/>
      <c r="CEW125" s="72"/>
      <c r="CEX125" s="72"/>
      <c r="CEY125" s="72"/>
      <c r="CEZ125" s="72"/>
      <c r="CFA125" s="72"/>
      <c r="CFB125" s="72"/>
      <c r="CFC125" s="72"/>
      <c r="CFD125" s="72"/>
      <c r="CFE125" s="72"/>
      <c r="CFF125" s="72"/>
      <c r="CFG125" s="72"/>
      <c r="CFH125" s="72"/>
      <c r="CFI125" s="72"/>
      <c r="CFJ125" s="72"/>
      <c r="CFK125" s="72"/>
      <c r="CFL125" s="72"/>
      <c r="CFM125" s="72"/>
      <c r="CFN125" s="72"/>
      <c r="CFO125" s="72"/>
      <c r="CFP125" s="72"/>
      <c r="CFQ125" s="72"/>
      <c r="CFR125" s="72"/>
      <c r="CFS125" s="72"/>
      <c r="CFT125" s="72"/>
      <c r="CFU125" s="72"/>
      <c r="CFV125" s="72"/>
      <c r="CFW125" s="72"/>
      <c r="CFX125" s="72"/>
      <c r="CFY125" s="72"/>
      <c r="CFZ125" s="72"/>
      <c r="CGA125" s="72"/>
      <c r="CGB125" s="72"/>
      <c r="CGC125" s="72"/>
      <c r="CGD125" s="72"/>
      <c r="CGE125" s="72"/>
      <c r="CGF125" s="72"/>
      <c r="CGG125" s="72"/>
      <c r="CGH125" s="72"/>
      <c r="CGI125" s="72"/>
      <c r="CGJ125" s="72"/>
      <c r="CGK125" s="72"/>
      <c r="CGL125" s="72"/>
      <c r="CGM125" s="72"/>
      <c r="CGN125" s="72"/>
      <c r="CGO125" s="72"/>
      <c r="CGP125" s="72"/>
      <c r="CGQ125" s="72"/>
      <c r="CGR125" s="72"/>
      <c r="CGS125" s="72"/>
      <c r="CGT125" s="72"/>
      <c r="CGU125" s="72"/>
      <c r="CGV125" s="72"/>
      <c r="CGW125" s="72"/>
      <c r="CGX125" s="72"/>
      <c r="CGY125" s="72"/>
      <c r="CGZ125" s="72"/>
      <c r="CHA125" s="72"/>
      <c r="CHB125" s="72"/>
      <c r="CHC125" s="72"/>
      <c r="CHD125" s="72"/>
      <c r="CHE125" s="72"/>
      <c r="CHF125" s="72"/>
      <c r="CHG125" s="72"/>
      <c r="CHH125" s="72"/>
      <c r="CHI125" s="72"/>
      <c r="CHJ125" s="72"/>
      <c r="CHK125" s="72"/>
      <c r="CHL125" s="72"/>
      <c r="CHM125" s="72"/>
      <c r="CHN125" s="72"/>
      <c r="CHO125" s="72"/>
      <c r="CHP125" s="72"/>
      <c r="CHQ125" s="72"/>
      <c r="CHR125" s="72"/>
      <c r="CHS125" s="72"/>
      <c r="CHT125" s="72"/>
      <c r="CHU125" s="72"/>
      <c r="CHV125" s="72"/>
      <c r="CHW125" s="72"/>
      <c r="CHX125" s="72"/>
      <c r="CHY125" s="72"/>
      <c r="CHZ125" s="72"/>
      <c r="CIA125" s="72"/>
      <c r="CIB125" s="72"/>
      <c r="CIC125" s="72"/>
      <c r="CID125" s="72"/>
      <c r="CIE125" s="72"/>
      <c r="CIF125" s="72"/>
      <c r="CIG125" s="72"/>
      <c r="CIH125" s="72"/>
      <c r="CII125" s="72"/>
      <c r="CIJ125" s="72"/>
      <c r="CIK125" s="72"/>
      <c r="CIL125" s="72"/>
      <c r="CIM125" s="72"/>
      <c r="CIN125" s="72"/>
      <c r="CIO125" s="72"/>
      <c r="CIP125" s="72"/>
      <c r="CIQ125" s="72"/>
      <c r="CIR125" s="72"/>
      <c r="CIS125" s="72"/>
      <c r="CIT125" s="72"/>
      <c r="CIU125" s="72"/>
      <c r="CIV125" s="72"/>
      <c r="CIW125" s="72"/>
      <c r="CIX125" s="72"/>
      <c r="CIY125" s="72"/>
      <c r="CIZ125" s="72"/>
      <c r="CJA125" s="72"/>
      <c r="CJB125" s="72"/>
      <c r="CJC125" s="72"/>
      <c r="CJD125" s="72"/>
      <c r="CJE125" s="72"/>
      <c r="CJF125" s="72"/>
      <c r="CJG125" s="72"/>
      <c r="CJH125" s="72"/>
      <c r="CJI125" s="72"/>
      <c r="CJJ125" s="72"/>
      <c r="CJK125" s="72"/>
      <c r="CJL125" s="72"/>
      <c r="CJM125" s="72"/>
      <c r="CJN125" s="72"/>
      <c r="CJO125" s="72"/>
      <c r="CJP125" s="72"/>
      <c r="CJQ125" s="72"/>
      <c r="CJR125" s="72"/>
      <c r="CJS125" s="72"/>
      <c r="CJT125" s="72"/>
      <c r="CJU125" s="72"/>
      <c r="CJV125" s="72"/>
      <c r="CJW125" s="72"/>
      <c r="CJX125" s="72"/>
      <c r="CJY125" s="72"/>
      <c r="CJZ125" s="72"/>
      <c r="CKA125" s="72"/>
      <c r="CKB125" s="72"/>
      <c r="CKC125" s="72"/>
      <c r="CKD125" s="72"/>
      <c r="CKE125" s="72"/>
      <c r="CKF125" s="72"/>
      <c r="CKG125" s="72"/>
      <c r="CKH125" s="72"/>
      <c r="CKI125" s="72"/>
      <c r="CKJ125" s="72"/>
      <c r="CKK125" s="72"/>
      <c r="CKL125" s="72"/>
      <c r="CKM125" s="72"/>
      <c r="CKN125" s="72"/>
      <c r="CKO125" s="72"/>
      <c r="CKP125" s="72"/>
      <c r="CKQ125" s="72"/>
      <c r="CKR125" s="72"/>
      <c r="CKS125" s="72"/>
      <c r="CKT125" s="72"/>
      <c r="CKU125" s="72"/>
      <c r="CKV125" s="72"/>
      <c r="CKW125" s="72"/>
      <c r="CKX125" s="72"/>
      <c r="CKY125" s="72"/>
      <c r="CKZ125" s="72"/>
      <c r="CLA125" s="72"/>
      <c r="CLB125" s="72"/>
      <c r="CLC125" s="72"/>
      <c r="CLD125" s="72"/>
      <c r="CLE125" s="72"/>
      <c r="CLF125" s="72"/>
      <c r="CLG125" s="72"/>
      <c r="CLH125" s="72"/>
      <c r="CLI125" s="72"/>
      <c r="CLJ125" s="72"/>
      <c r="CLK125" s="72"/>
      <c r="CLL125" s="72"/>
      <c r="CLM125" s="72"/>
      <c r="CLN125" s="72"/>
      <c r="CLO125" s="72"/>
      <c r="CLP125" s="72"/>
      <c r="CLQ125" s="72"/>
      <c r="CLR125" s="72"/>
      <c r="CLS125" s="72"/>
      <c r="CLT125" s="72"/>
      <c r="CLU125" s="72"/>
      <c r="CLV125" s="72"/>
      <c r="CLW125" s="72"/>
      <c r="CLX125" s="72"/>
      <c r="CLY125" s="72"/>
      <c r="CLZ125" s="72"/>
      <c r="CMA125" s="72"/>
      <c r="CMB125" s="72"/>
      <c r="CMC125" s="72"/>
      <c r="CMD125" s="72"/>
      <c r="CME125" s="72"/>
      <c r="CMF125" s="72"/>
      <c r="CMG125" s="72"/>
      <c r="CMH125" s="72"/>
      <c r="CMI125" s="72"/>
      <c r="CMJ125" s="72"/>
      <c r="CMK125" s="72"/>
      <c r="CML125" s="72"/>
      <c r="CMM125" s="72"/>
      <c r="CMN125" s="72"/>
      <c r="CMO125" s="72"/>
      <c r="CMP125" s="72"/>
      <c r="CMQ125" s="72"/>
      <c r="CMR125" s="72"/>
      <c r="CMS125" s="72"/>
      <c r="CMT125" s="72"/>
      <c r="CMU125" s="72"/>
      <c r="CMV125" s="72"/>
      <c r="CMW125" s="72"/>
      <c r="CMX125" s="72"/>
      <c r="CMY125" s="72"/>
      <c r="CMZ125" s="72"/>
      <c r="CNA125" s="72"/>
      <c r="CNB125" s="72"/>
      <c r="CNC125" s="72"/>
      <c r="CND125" s="72"/>
      <c r="CNE125" s="72"/>
      <c r="CNF125" s="72"/>
      <c r="CNG125" s="72"/>
      <c r="CNH125" s="72"/>
      <c r="CNI125" s="72"/>
      <c r="CNJ125" s="72"/>
      <c r="CNK125" s="72"/>
      <c r="CNL125" s="72"/>
      <c r="CNM125" s="72"/>
      <c r="CNN125" s="72"/>
      <c r="CNO125" s="72"/>
      <c r="CNP125" s="72"/>
      <c r="CNQ125" s="72"/>
      <c r="CNR125" s="72"/>
      <c r="CNS125" s="72"/>
      <c r="CNT125" s="72"/>
      <c r="CNU125" s="72"/>
      <c r="CNV125" s="72"/>
      <c r="CNW125" s="72"/>
      <c r="CNX125" s="72"/>
      <c r="CNY125" s="72"/>
      <c r="CNZ125" s="72"/>
      <c r="COA125" s="72"/>
      <c r="COB125" s="72"/>
      <c r="COC125" s="72"/>
      <c r="COD125" s="72"/>
      <c r="COE125" s="72"/>
      <c r="COF125" s="72"/>
      <c r="COG125" s="72"/>
      <c r="COH125" s="72"/>
      <c r="COI125" s="72"/>
      <c r="COJ125" s="72"/>
      <c r="COK125" s="72"/>
      <c r="COL125" s="72"/>
      <c r="COM125" s="72"/>
      <c r="CON125" s="72"/>
      <c r="COO125" s="72"/>
      <c r="COP125" s="72"/>
      <c r="COQ125" s="72"/>
      <c r="COR125" s="72"/>
      <c r="COS125" s="72"/>
      <c r="COT125" s="72"/>
      <c r="COU125" s="72"/>
      <c r="COV125" s="72"/>
      <c r="COW125" s="72"/>
      <c r="COX125" s="72"/>
      <c r="COY125" s="72"/>
      <c r="COZ125" s="72"/>
      <c r="CPA125" s="72"/>
      <c r="CPB125" s="72"/>
      <c r="CPC125" s="72"/>
      <c r="CPD125" s="72"/>
      <c r="CPE125" s="72"/>
      <c r="CPF125" s="72"/>
      <c r="CPG125" s="72"/>
      <c r="CPH125" s="72"/>
      <c r="CPI125" s="72"/>
      <c r="CPJ125" s="72"/>
      <c r="CPK125" s="72"/>
      <c r="CPL125" s="72"/>
      <c r="CPM125" s="72"/>
      <c r="CPN125" s="72"/>
      <c r="CPO125" s="72"/>
      <c r="CPP125" s="72"/>
      <c r="CPQ125" s="72"/>
      <c r="CPR125" s="72"/>
      <c r="CPS125" s="72"/>
      <c r="CPT125" s="72"/>
      <c r="CPU125" s="72"/>
      <c r="CPV125" s="72"/>
      <c r="CPW125" s="72"/>
      <c r="CPX125" s="72"/>
      <c r="CPY125" s="72"/>
      <c r="CPZ125" s="72"/>
      <c r="CQA125" s="72"/>
      <c r="CQB125" s="72"/>
      <c r="CQC125" s="72"/>
      <c r="CQD125" s="72"/>
      <c r="CQE125" s="72"/>
      <c r="CQF125" s="72"/>
      <c r="CQG125" s="72"/>
      <c r="CQH125" s="72"/>
      <c r="CQI125" s="72"/>
      <c r="CQJ125" s="72"/>
      <c r="CQK125" s="72"/>
      <c r="CQL125" s="72"/>
      <c r="CQM125" s="72"/>
      <c r="CQN125" s="72"/>
      <c r="CQO125" s="72"/>
      <c r="CQP125" s="72"/>
      <c r="CQQ125" s="72"/>
      <c r="CQR125" s="72"/>
      <c r="CQS125" s="72"/>
      <c r="CQT125" s="72"/>
      <c r="CQU125" s="72"/>
      <c r="CQV125" s="72"/>
      <c r="CQW125" s="72"/>
      <c r="CQX125" s="72"/>
      <c r="CQY125" s="72"/>
      <c r="CQZ125" s="72"/>
      <c r="CRA125" s="72"/>
      <c r="CRB125" s="72"/>
      <c r="CRC125" s="72"/>
      <c r="CRD125" s="72"/>
      <c r="CRE125" s="72"/>
      <c r="CRF125" s="72"/>
      <c r="CRG125" s="72"/>
      <c r="CRH125" s="72"/>
      <c r="CRI125" s="72"/>
      <c r="CRJ125" s="72"/>
      <c r="CRK125" s="72"/>
      <c r="CRL125" s="72"/>
      <c r="CRM125" s="72"/>
      <c r="CRN125" s="72"/>
      <c r="CRO125" s="72"/>
      <c r="CRP125" s="72"/>
      <c r="CRQ125" s="72"/>
      <c r="CRR125" s="72"/>
      <c r="CRS125" s="72"/>
      <c r="CRT125" s="72"/>
      <c r="CRU125" s="72"/>
      <c r="CRV125" s="72"/>
      <c r="CRW125" s="72"/>
      <c r="CRX125" s="72"/>
      <c r="CRY125" s="72"/>
      <c r="CRZ125" s="72"/>
      <c r="CSA125" s="72"/>
      <c r="CSB125" s="72"/>
      <c r="CSC125" s="72"/>
      <c r="CSD125" s="72"/>
      <c r="CSE125" s="72"/>
      <c r="CSF125" s="72"/>
      <c r="CSG125" s="72"/>
      <c r="CSH125" s="72"/>
      <c r="CSI125" s="72"/>
      <c r="CSJ125" s="72"/>
      <c r="CSK125" s="72"/>
      <c r="CSL125" s="72"/>
      <c r="CSM125" s="72"/>
      <c r="CSN125" s="72"/>
      <c r="CSO125" s="72"/>
      <c r="CSP125" s="72"/>
      <c r="CSQ125" s="72"/>
      <c r="CSR125" s="72"/>
      <c r="CSS125" s="72"/>
      <c r="CST125" s="72"/>
      <c r="CSU125" s="72"/>
      <c r="CSV125" s="72"/>
      <c r="CSW125" s="72"/>
      <c r="CSX125" s="72"/>
      <c r="CSY125" s="72"/>
      <c r="CSZ125" s="72"/>
      <c r="CTA125" s="72"/>
      <c r="CTB125" s="72"/>
      <c r="CTC125" s="72"/>
      <c r="CTD125" s="72"/>
      <c r="CTE125" s="72"/>
      <c r="CTF125" s="72"/>
      <c r="CTG125" s="72"/>
      <c r="CTH125" s="72"/>
      <c r="CTI125" s="72"/>
      <c r="CTJ125" s="72"/>
      <c r="CTK125" s="72"/>
      <c r="CTL125" s="72"/>
      <c r="CTM125" s="72"/>
      <c r="CTN125" s="72"/>
      <c r="CTO125" s="72"/>
      <c r="CTP125" s="72"/>
      <c r="CTQ125" s="72"/>
      <c r="CTR125" s="72"/>
      <c r="CTS125" s="72"/>
      <c r="CTT125" s="72"/>
      <c r="CTU125" s="72"/>
      <c r="CTV125" s="72"/>
      <c r="CTW125" s="72"/>
      <c r="CTX125" s="72"/>
      <c r="CTY125" s="72"/>
      <c r="CTZ125" s="72"/>
      <c r="CUA125" s="72"/>
      <c r="CUB125" s="72"/>
      <c r="CUC125" s="72"/>
      <c r="CUD125" s="72"/>
      <c r="CUE125" s="72"/>
      <c r="CUF125" s="72"/>
      <c r="CUG125" s="72"/>
      <c r="CUH125" s="72"/>
      <c r="CUI125" s="72"/>
      <c r="CUJ125" s="72"/>
      <c r="CUK125" s="72"/>
      <c r="CUL125" s="72"/>
      <c r="CUM125" s="72"/>
      <c r="CUN125" s="72"/>
      <c r="CUO125" s="72"/>
      <c r="CUP125" s="72"/>
      <c r="CUQ125" s="72"/>
      <c r="CUR125" s="72"/>
      <c r="CUS125" s="72"/>
      <c r="CUT125" s="72"/>
      <c r="CUU125" s="72"/>
      <c r="CUV125" s="72"/>
      <c r="CUW125" s="72"/>
      <c r="CUX125" s="72"/>
      <c r="CUY125" s="72"/>
      <c r="CUZ125" s="72"/>
      <c r="CVA125" s="72"/>
      <c r="CVB125" s="72"/>
      <c r="CVC125" s="72"/>
      <c r="CVD125" s="72"/>
      <c r="CVE125" s="72"/>
      <c r="CVF125" s="72"/>
      <c r="CVG125" s="72"/>
      <c r="CVH125" s="72"/>
      <c r="CVI125" s="72"/>
      <c r="CVJ125" s="72"/>
      <c r="CVK125" s="72"/>
      <c r="CVL125" s="72"/>
      <c r="CVM125" s="72"/>
      <c r="CVN125" s="72"/>
      <c r="CVO125" s="72"/>
      <c r="CVP125" s="72"/>
      <c r="CVQ125" s="72"/>
      <c r="CVR125" s="72"/>
      <c r="CVS125" s="72"/>
      <c r="CVT125" s="72"/>
      <c r="CVU125" s="72"/>
      <c r="CVV125" s="72"/>
      <c r="CVW125" s="72"/>
      <c r="CVX125" s="72"/>
      <c r="CVY125" s="72"/>
      <c r="CVZ125" s="72"/>
      <c r="CWA125" s="72"/>
      <c r="CWB125" s="72"/>
      <c r="CWC125" s="72"/>
      <c r="CWD125" s="72"/>
      <c r="CWE125" s="72"/>
      <c r="CWF125" s="72"/>
      <c r="CWG125" s="72"/>
      <c r="CWH125" s="72"/>
      <c r="CWI125" s="72"/>
      <c r="CWJ125" s="72"/>
      <c r="CWK125" s="72"/>
      <c r="CWL125" s="72"/>
      <c r="CWM125" s="72"/>
      <c r="CWN125" s="72"/>
      <c r="CWO125" s="72"/>
      <c r="CWP125" s="72"/>
      <c r="CWQ125" s="72"/>
      <c r="CWR125" s="72"/>
      <c r="CWS125" s="72"/>
      <c r="CWT125" s="72"/>
      <c r="CWU125" s="72"/>
      <c r="CWV125" s="72"/>
      <c r="CWW125" s="72"/>
      <c r="CWX125" s="72"/>
      <c r="CWY125" s="72"/>
      <c r="CWZ125" s="72"/>
      <c r="CXA125" s="72"/>
      <c r="CXB125" s="72"/>
      <c r="CXC125" s="72"/>
      <c r="CXD125" s="72"/>
      <c r="CXE125" s="72"/>
      <c r="CXF125" s="72"/>
      <c r="CXG125" s="72"/>
      <c r="CXH125" s="72"/>
      <c r="CXI125" s="72"/>
      <c r="CXJ125" s="72"/>
      <c r="CXK125" s="72"/>
      <c r="CXL125" s="72"/>
      <c r="CXM125" s="72"/>
      <c r="CXN125" s="72"/>
      <c r="CXO125" s="72"/>
      <c r="CXP125" s="72"/>
      <c r="CXQ125" s="72"/>
      <c r="CXR125" s="72"/>
      <c r="CXS125" s="72"/>
      <c r="CXT125" s="72"/>
      <c r="CXU125" s="72"/>
      <c r="CXV125" s="72"/>
      <c r="CXW125" s="72"/>
      <c r="CXX125" s="72"/>
      <c r="CXY125" s="72"/>
      <c r="CXZ125" s="72"/>
      <c r="CYA125" s="72"/>
      <c r="CYB125" s="72"/>
      <c r="CYC125" s="72"/>
      <c r="CYD125" s="72"/>
      <c r="CYE125" s="72"/>
      <c r="CYF125" s="72"/>
      <c r="CYG125" s="72"/>
      <c r="CYH125" s="72"/>
      <c r="CYI125" s="72"/>
      <c r="CYJ125" s="72"/>
      <c r="CYK125" s="72"/>
      <c r="CYL125" s="72"/>
      <c r="CYM125" s="72"/>
      <c r="CYN125" s="72"/>
      <c r="CYO125" s="72"/>
      <c r="CYP125" s="72"/>
      <c r="CYQ125" s="72"/>
      <c r="CYR125" s="72"/>
      <c r="CYS125" s="72"/>
      <c r="CYT125" s="72"/>
      <c r="CYU125" s="72"/>
      <c r="CYV125" s="72"/>
      <c r="CYW125" s="72"/>
      <c r="CYX125" s="72"/>
      <c r="CYY125" s="72"/>
      <c r="CYZ125" s="72"/>
      <c r="CZA125" s="72"/>
      <c r="CZB125" s="72"/>
      <c r="CZC125" s="72"/>
      <c r="CZD125" s="72"/>
      <c r="CZE125" s="72"/>
      <c r="CZF125" s="72"/>
      <c r="CZG125" s="72"/>
      <c r="CZH125" s="72"/>
      <c r="CZI125" s="72"/>
      <c r="CZJ125" s="72"/>
      <c r="CZK125" s="72"/>
      <c r="CZL125" s="72"/>
      <c r="CZM125" s="72"/>
      <c r="CZN125" s="72"/>
      <c r="CZO125" s="72"/>
      <c r="CZP125" s="72"/>
      <c r="CZQ125" s="72"/>
      <c r="CZR125" s="72"/>
      <c r="CZS125" s="72"/>
      <c r="CZT125" s="72"/>
      <c r="CZU125" s="72"/>
      <c r="CZV125" s="72"/>
      <c r="CZW125" s="72"/>
      <c r="CZX125" s="72"/>
      <c r="CZY125" s="72"/>
      <c r="CZZ125" s="72"/>
      <c r="DAA125" s="72"/>
      <c r="DAB125" s="72"/>
      <c r="DAC125" s="72"/>
      <c r="DAD125" s="72"/>
      <c r="DAE125" s="72"/>
      <c r="DAF125" s="72"/>
      <c r="DAG125" s="72"/>
      <c r="DAH125" s="72"/>
      <c r="DAI125" s="72"/>
      <c r="DAJ125" s="72"/>
      <c r="DAK125" s="72"/>
      <c r="DAL125" s="72"/>
      <c r="DAM125" s="72"/>
      <c r="DAN125" s="72"/>
      <c r="DAO125" s="72"/>
      <c r="DAP125" s="72"/>
      <c r="DAQ125" s="72"/>
      <c r="DAR125" s="72"/>
      <c r="DAS125" s="72"/>
      <c r="DAT125" s="72"/>
      <c r="DAU125" s="72"/>
      <c r="DAV125" s="72"/>
      <c r="DAW125" s="72"/>
      <c r="DAX125" s="72"/>
      <c r="DAY125" s="72"/>
      <c r="DAZ125" s="72"/>
      <c r="DBA125" s="72"/>
      <c r="DBB125" s="72"/>
      <c r="DBC125" s="72"/>
      <c r="DBD125" s="72"/>
      <c r="DBE125" s="72"/>
      <c r="DBF125" s="72"/>
      <c r="DBG125" s="72"/>
      <c r="DBH125" s="72"/>
      <c r="DBI125" s="72"/>
      <c r="DBJ125" s="72"/>
      <c r="DBK125" s="72"/>
      <c r="DBL125" s="72"/>
      <c r="DBM125" s="72"/>
      <c r="DBN125" s="72"/>
      <c r="DBO125" s="72"/>
      <c r="DBP125" s="72"/>
      <c r="DBQ125" s="72"/>
      <c r="DBR125" s="72"/>
      <c r="DBS125" s="72"/>
      <c r="DBT125" s="72"/>
      <c r="DBU125" s="72"/>
      <c r="DBV125" s="72"/>
      <c r="DBW125" s="72"/>
      <c r="DBX125" s="72"/>
      <c r="DBY125" s="72"/>
      <c r="DBZ125" s="72"/>
      <c r="DCA125" s="72"/>
      <c r="DCB125" s="72"/>
      <c r="DCC125" s="72"/>
      <c r="DCD125" s="72"/>
      <c r="DCE125" s="72"/>
      <c r="DCF125" s="72"/>
      <c r="DCG125" s="72"/>
      <c r="DCH125" s="72"/>
      <c r="DCI125" s="72"/>
      <c r="DCJ125" s="72"/>
      <c r="DCK125" s="72"/>
      <c r="DCL125" s="72"/>
      <c r="DCM125" s="72"/>
      <c r="DCN125" s="72"/>
      <c r="DCO125" s="72"/>
      <c r="DCP125" s="72"/>
      <c r="DCQ125" s="72"/>
      <c r="DCR125" s="72"/>
      <c r="DCS125" s="72"/>
      <c r="DCT125" s="72"/>
      <c r="DCU125" s="72"/>
      <c r="DCV125" s="72"/>
      <c r="DCW125" s="72"/>
      <c r="DCX125" s="72"/>
      <c r="DCY125" s="72"/>
      <c r="DCZ125" s="72"/>
      <c r="DDA125" s="72"/>
      <c r="DDB125" s="72"/>
      <c r="DDC125" s="72"/>
      <c r="DDD125" s="72"/>
      <c r="DDE125" s="72"/>
      <c r="DDF125" s="72"/>
      <c r="DDG125" s="72"/>
      <c r="DDH125" s="72"/>
      <c r="DDI125" s="72"/>
      <c r="DDJ125" s="72"/>
      <c r="DDK125" s="72"/>
      <c r="DDL125" s="72"/>
      <c r="DDM125" s="72"/>
      <c r="DDN125" s="72"/>
      <c r="DDO125" s="72"/>
      <c r="DDP125" s="72"/>
      <c r="DDQ125" s="72"/>
      <c r="DDR125" s="72"/>
      <c r="DDS125" s="72"/>
      <c r="DDT125" s="72"/>
      <c r="DDU125" s="72"/>
      <c r="DDV125" s="72"/>
      <c r="DDW125" s="72"/>
      <c r="DDX125" s="72"/>
      <c r="DDY125" s="72"/>
      <c r="DDZ125" s="72"/>
      <c r="DEA125" s="72"/>
      <c r="DEB125" s="72"/>
      <c r="DEC125" s="72"/>
      <c r="DED125" s="72"/>
      <c r="DEE125" s="72"/>
      <c r="DEF125" s="72"/>
      <c r="DEG125" s="72"/>
      <c r="DEH125" s="72"/>
      <c r="DEI125" s="72"/>
      <c r="DEJ125" s="72"/>
      <c r="DEK125" s="72"/>
      <c r="DEL125" s="72"/>
      <c r="DEM125" s="72"/>
      <c r="DEN125" s="72"/>
      <c r="DEO125" s="72"/>
      <c r="DEP125" s="72"/>
      <c r="DEQ125" s="72"/>
      <c r="DER125" s="72"/>
      <c r="DES125" s="72"/>
      <c r="DET125" s="72"/>
      <c r="DEU125" s="72"/>
      <c r="DEV125" s="72"/>
      <c r="DEW125" s="72"/>
      <c r="DEX125" s="72"/>
      <c r="DEY125" s="72"/>
      <c r="DEZ125" s="72"/>
      <c r="DFA125" s="72"/>
      <c r="DFB125" s="72"/>
      <c r="DFC125" s="72"/>
      <c r="DFD125" s="72"/>
      <c r="DFE125" s="72"/>
      <c r="DFF125" s="72"/>
      <c r="DFG125" s="72"/>
      <c r="DFH125" s="72"/>
      <c r="DFI125" s="72"/>
      <c r="DFJ125" s="72"/>
      <c r="DFK125" s="72"/>
      <c r="DFL125" s="72"/>
      <c r="DFM125" s="72"/>
      <c r="DFN125" s="72"/>
      <c r="DFO125" s="72"/>
      <c r="DFP125" s="72"/>
      <c r="DFQ125" s="72"/>
      <c r="DFR125" s="72"/>
      <c r="DFS125" s="72"/>
      <c r="DFT125" s="72"/>
      <c r="DFU125" s="72"/>
      <c r="DFV125" s="72"/>
      <c r="DFW125" s="72"/>
      <c r="DFX125" s="72"/>
      <c r="DFY125" s="72"/>
      <c r="DFZ125" s="72"/>
      <c r="DGA125" s="72"/>
      <c r="DGB125" s="72"/>
      <c r="DGC125" s="72"/>
      <c r="DGD125" s="72"/>
      <c r="DGE125" s="72"/>
      <c r="DGF125" s="72"/>
      <c r="DGG125" s="72"/>
      <c r="DGH125" s="72"/>
      <c r="DGI125" s="72"/>
      <c r="DGJ125" s="72"/>
      <c r="DGK125" s="72"/>
      <c r="DGL125" s="72"/>
      <c r="DGM125" s="72"/>
      <c r="DGN125" s="72"/>
      <c r="DGO125" s="72"/>
      <c r="DGP125" s="72"/>
      <c r="DGQ125" s="72"/>
      <c r="DGR125" s="72"/>
      <c r="DGS125" s="72"/>
      <c r="DGT125" s="72"/>
      <c r="DGU125" s="72"/>
      <c r="DGV125" s="72"/>
      <c r="DGW125" s="72"/>
      <c r="DGX125" s="72"/>
      <c r="DGY125" s="72"/>
      <c r="DGZ125" s="72"/>
      <c r="DHA125" s="72"/>
      <c r="DHB125" s="72"/>
      <c r="DHC125" s="72"/>
      <c r="DHD125" s="72"/>
      <c r="DHE125" s="72"/>
      <c r="DHF125" s="72"/>
      <c r="DHG125" s="72"/>
      <c r="DHH125" s="72"/>
      <c r="DHI125" s="72"/>
      <c r="DHJ125" s="72"/>
      <c r="DHK125" s="72"/>
      <c r="DHL125" s="72"/>
      <c r="DHM125" s="72"/>
      <c r="DHN125" s="72"/>
      <c r="DHO125" s="72"/>
      <c r="DHP125" s="72"/>
      <c r="DHQ125" s="72"/>
      <c r="DHR125" s="72"/>
      <c r="DHS125" s="72"/>
      <c r="DHT125" s="72"/>
      <c r="DHU125" s="72"/>
      <c r="DHV125" s="72"/>
      <c r="DHW125" s="72"/>
      <c r="DHX125" s="72"/>
      <c r="DHY125" s="72"/>
      <c r="DHZ125" s="72"/>
      <c r="DIA125" s="72"/>
      <c r="DIB125" s="72"/>
      <c r="DIC125" s="72"/>
      <c r="DID125" s="72"/>
      <c r="DIE125" s="72"/>
      <c r="DIF125" s="72"/>
      <c r="DIG125" s="72"/>
      <c r="DIH125" s="72"/>
      <c r="DII125" s="72"/>
      <c r="DIJ125" s="72"/>
      <c r="DIK125" s="72"/>
      <c r="DIL125" s="72"/>
      <c r="DIM125" s="72"/>
      <c r="DIN125" s="72"/>
      <c r="DIO125" s="72"/>
      <c r="DIP125" s="72"/>
      <c r="DIQ125" s="72"/>
      <c r="DIR125" s="72"/>
      <c r="DIS125" s="72"/>
      <c r="DIT125" s="72"/>
      <c r="DIU125" s="72"/>
      <c r="DIV125" s="72"/>
      <c r="DIW125" s="72"/>
      <c r="DIX125" s="72"/>
      <c r="DIY125" s="72"/>
      <c r="DIZ125" s="72"/>
      <c r="DJA125" s="72"/>
      <c r="DJB125" s="72"/>
      <c r="DJC125" s="72"/>
      <c r="DJD125" s="72"/>
      <c r="DJE125" s="72"/>
      <c r="DJF125" s="72"/>
      <c r="DJG125" s="72"/>
      <c r="DJH125" s="72"/>
      <c r="DJI125" s="72"/>
      <c r="DJJ125" s="72"/>
      <c r="DJK125" s="72"/>
      <c r="DJL125" s="72"/>
      <c r="DJM125" s="72"/>
      <c r="DJN125" s="72"/>
      <c r="DJO125" s="72"/>
      <c r="DJP125" s="72"/>
      <c r="DJQ125" s="72"/>
      <c r="DJR125" s="72"/>
      <c r="DJS125" s="72"/>
      <c r="DJT125" s="72"/>
      <c r="DJU125" s="72"/>
      <c r="DJV125" s="72"/>
      <c r="DJW125" s="72"/>
      <c r="DJX125" s="72"/>
      <c r="DJY125" s="72"/>
      <c r="DJZ125" s="72"/>
      <c r="DKA125" s="72"/>
      <c r="DKB125" s="72"/>
      <c r="DKC125" s="72"/>
      <c r="DKD125" s="72"/>
      <c r="DKE125" s="72"/>
      <c r="DKF125" s="72"/>
      <c r="DKG125" s="72"/>
      <c r="DKH125" s="72"/>
      <c r="DKI125" s="72"/>
      <c r="DKJ125" s="72"/>
      <c r="DKK125" s="72"/>
      <c r="DKL125" s="72"/>
      <c r="DKM125" s="72"/>
      <c r="DKN125" s="72"/>
      <c r="DKO125" s="72"/>
      <c r="DKP125" s="72"/>
      <c r="DKQ125" s="72"/>
      <c r="DKR125" s="72"/>
      <c r="DKS125" s="72"/>
      <c r="DKT125" s="72"/>
      <c r="DKU125" s="72"/>
      <c r="DKV125" s="72"/>
      <c r="DKW125" s="72"/>
      <c r="DKX125" s="72"/>
      <c r="DKY125" s="72"/>
      <c r="DKZ125" s="72"/>
      <c r="DLA125" s="72"/>
      <c r="DLB125" s="72"/>
      <c r="DLC125" s="72"/>
      <c r="DLD125" s="72"/>
      <c r="DLE125" s="72"/>
      <c r="DLF125" s="72"/>
      <c r="DLG125" s="72"/>
      <c r="DLH125" s="72"/>
      <c r="DLI125" s="72"/>
      <c r="DLJ125" s="72"/>
      <c r="DLK125" s="72"/>
      <c r="DLL125" s="72"/>
      <c r="DLM125" s="72"/>
      <c r="DLN125" s="72"/>
      <c r="DLO125" s="72"/>
      <c r="DLP125" s="72"/>
      <c r="DLQ125" s="72"/>
      <c r="DLR125" s="72"/>
      <c r="DLS125" s="72"/>
      <c r="DLT125" s="72"/>
      <c r="DLU125" s="72"/>
      <c r="DLV125" s="72"/>
      <c r="DLW125" s="72"/>
      <c r="DLX125" s="72"/>
      <c r="DLY125" s="72"/>
      <c r="DLZ125" s="72"/>
      <c r="DMA125" s="72"/>
      <c r="DMB125" s="72"/>
      <c r="DMC125" s="72"/>
      <c r="DMD125" s="72"/>
      <c r="DME125" s="72"/>
      <c r="DMF125" s="72"/>
      <c r="DMG125" s="72"/>
      <c r="DMH125" s="72"/>
      <c r="DMI125" s="72"/>
      <c r="DMJ125" s="72"/>
      <c r="DMK125" s="72"/>
      <c r="DML125" s="72"/>
      <c r="DMM125" s="72"/>
      <c r="DMN125" s="72"/>
      <c r="DMO125" s="72"/>
      <c r="DMP125" s="72"/>
      <c r="DMQ125" s="72"/>
      <c r="DMR125" s="72"/>
      <c r="DMS125" s="72"/>
      <c r="DMT125" s="72"/>
      <c r="DMU125" s="72"/>
      <c r="DMV125" s="72"/>
      <c r="DMW125" s="72"/>
      <c r="DMX125" s="72"/>
      <c r="DMY125" s="72"/>
      <c r="DMZ125" s="72"/>
      <c r="DNA125" s="72"/>
      <c r="DNB125" s="72"/>
      <c r="DNC125" s="72"/>
      <c r="DND125" s="72"/>
      <c r="DNE125" s="72"/>
      <c r="DNF125" s="72"/>
      <c r="DNG125" s="72"/>
      <c r="DNH125" s="72"/>
      <c r="DNI125" s="72"/>
      <c r="DNJ125" s="72"/>
      <c r="DNK125" s="72"/>
      <c r="DNL125" s="72"/>
      <c r="DNM125" s="72"/>
      <c r="DNN125" s="72"/>
      <c r="DNO125" s="72"/>
      <c r="DNP125" s="72"/>
      <c r="DNQ125" s="72"/>
      <c r="DNR125" s="72"/>
      <c r="DNS125" s="72"/>
      <c r="DNT125" s="72"/>
      <c r="DNU125" s="72"/>
      <c r="DNV125" s="72"/>
      <c r="DNW125" s="72"/>
      <c r="DNX125" s="72"/>
      <c r="DNY125" s="72"/>
      <c r="DNZ125" s="72"/>
      <c r="DOA125" s="72"/>
      <c r="DOB125" s="72"/>
      <c r="DOC125" s="72"/>
      <c r="DOD125" s="72"/>
      <c r="DOE125" s="72"/>
      <c r="DOF125" s="72"/>
      <c r="DOG125" s="72"/>
      <c r="DOH125" s="72"/>
      <c r="DOI125" s="72"/>
      <c r="DOJ125" s="72"/>
      <c r="DOK125" s="72"/>
      <c r="DOL125" s="72"/>
      <c r="DOM125" s="72"/>
      <c r="DON125" s="72"/>
      <c r="DOO125" s="72"/>
      <c r="DOP125" s="72"/>
      <c r="DOQ125" s="72"/>
      <c r="DOR125" s="72"/>
      <c r="DOS125" s="72"/>
      <c r="DOT125" s="72"/>
      <c r="DOU125" s="72"/>
      <c r="DOV125" s="72"/>
      <c r="DOW125" s="72"/>
      <c r="DOX125" s="72"/>
      <c r="DOY125" s="72"/>
      <c r="DOZ125" s="72"/>
      <c r="DPA125" s="72"/>
      <c r="DPB125" s="72"/>
      <c r="DPC125" s="72"/>
      <c r="DPD125" s="72"/>
      <c r="DPE125" s="72"/>
      <c r="DPF125" s="72"/>
      <c r="DPG125" s="72"/>
      <c r="DPH125" s="72"/>
      <c r="DPI125" s="72"/>
      <c r="DPJ125" s="72"/>
      <c r="DPK125" s="72"/>
      <c r="DPL125" s="72"/>
      <c r="DPM125" s="72"/>
      <c r="DPN125" s="72"/>
      <c r="DPO125" s="72"/>
      <c r="DPP125" s="72"/>
      <c r="DPQ125" s="72"/>
      <c r="DPR125" s="72"/>
      <c r="DPS125" s="72"/>
      <c r="DPT125" s="72"/>
      <c r="DPU125" s="72"/>
      <c r="DPV125" s="72"/>
      <c r="DPW125" s="72"/>
      <c r="DPX125" s="72"/>
      <c r="DPY125" s="72"/>
      <c r="DPZ125" s="72"/>
      <c r="DQA125" s="72"/>
      <c r="DQB125" s="72"/>
      <c r="DQC125" s="72"/>
      <c r="DQD125" s="72"/>
      <c r="DQE125" s="72"/>
      <c r="DQF125" s="72"/>
      <c r="DQG125" s="72"/>
      <c r="DQH125" s="72"/>
      <c r="DQI125" s="72"/>
      <c r="DQJ125" s="72"/>
      <c r="DQK125" s="72"/>
      <c r="DQL125" s="72"/>
      <c r="DQM125" s="72"/>
      <c r="DQN125" s="72"/>
      <c r="DQO125" s="72"/>
      <c r="DQP125" s="72"/>
      <c r="DQQ125" s="72"/>
      <c r="DQR125" s="72"/>
      <c r="DQS125" s="72"/>
      <c r="DQT125" s="72"/>
      <c r="DQU125" s="72"/>
      <c r="DQV125" s="72"/>
      <c r="DQW125" s="72"/>
      <c r="DQX125" s="72"/>
      <c r="DQY125" s="72"/>
      <c r="DQZ125" s="72"/>
      <c r="DRA125" s="72"/>
      <c r="DRB125" s="72"/>
      <c r="DRC125" s="72"/>
      <c r="DRD125" s="72"/>
      <c r="DRE125" s="72"/>
      <c r="DRF125" s="72"/>
      <c r="DRG125" s="72"/>
      <c r="DRH125" s="72"/>
      <c r="DRI125" s="72"/>
      <c r="DRJ125" s="72"/>
      <c r="DRK125" s="72"/>
      <c r="DRL125" s="72"/>
      <c r="DRM125" s="72"/>
      <c r="DRN125" s="72"/>
      <c r="DRO125" s="72"/>
      <c r="DRP125" s="72"/>
      <c r="DRQ125" s="72"/>
      <c r="DRR125" s="72"/>
      <c r="DRS125" s="72"/>
      <c r="DRT125" s="72"/>
      <c r="DRU125" s="72"/>
      <c r="DRV125" s="72"/>
      <c r="DRW125" s="72"/>
      <c r="DRX125" s="72"/>
      <c r="DRY125" s="72"/>
      <c r="DRZ125" s="72"/>
      <c r="DSA125" s="72"/>
      <c r="DSB125" s="72"/>
      <c r="DSC125" s="72"/>
      <c r="DSD125" s="72"/>
      <c r="DSE125" s="72"/>
      <c r="DSF125" s="72"/>
      <c r="DSG125" s="72"/>
      <c r="DSH125" s="72"/>
      <c r="DSI125" s="72"/>
      <c r="DSJ125" s="72"/>
      <c r="DSK125" s="72"/>
      <c r="DSL125" s="72"/>
      <c r="DSM125" s="72"/>
      <c r="DSN125" s="72"/>
      <c r="DSO125" s="72"/>
      <c r="DSP125" s="72"/>
      <c r="DSQ125" s="72"/>
      <c r="DSR125" s="72"/>
      <c r="DSS125" s="72"/>
      <c r="DST125" s="72"/>
      <c r="DSU125" s="72"/>
      <c r="DSV125" s="72"/>
      <c r="DSW125" s="72"/>
      <c r="DSX125" s="72"/>
      <c r="DSY125" s="72"/>
      <c r="DSZ125" s="72"/>
      <c r="DTA125" s="72"/>
      <c r="DTB125" s="72"/>
      <c r="DTC125" s="72"/>
      <c r="DTD125" s="72"/>
      <c r="DTE125" s="72"/>
      <c r="DTF125" s="72"/>
      <c r="DTG125" s="72"/>
      <c r="DTH125" s="72"/>
      <c r="DTI125" s="72"/>
      <c r="DTJ125" s="72"/>
      <c r="DTK125" s="72"/>
      <c r="DTL125" s="72"/>
      <c r="DTM125" s="72"/>
      <c r="DTN125" s="72"/>
      <c r="DTO125" s="72"/>
      <c r="DTP125" s="72"/>
      <c r="DTQ125" s="72"/>
      <c r="DTR125" s="72"/>
      <c r="DTS125" s="72"/>
      <c r="DTT125" s="72"/>
      <c r="DTU125" s="72"/>
      <c r="DTV125" s="72"/>
      <c r="DTW125" s="72"/>
      <c r="DTX125" s="72"/>
      <c r="DTY125" s="72"/>
      <c r="DTZ125" s="72"/>
      <c r="DUA125" s="72"/>
      <c r="DUB125" s="72"/>
      <c r="DUC125" s="72"/>
      <c r="DUD125" s="72"/>
      <c r="DUE125" s="72"/>
      <c r="DUF125" s="72"/>
      <c r="DUG125" s="72"/>
      <c r="DUH125" s="72"/>
      <c r="DUI125" s="72"/>
      <c r="DUJ125" s="72"/>
      <c r="DUK125" s="72"/>
      <c r="DUL125" s="72"/>
      <c r="DUM125" s="72"/>
      <c r="DUN125" s="72"/>
      <c r="DUO125" s="72"/>
      <c r="DUP125" s="72"/>
      <c r="DUQ125" s="72"/>
      <c r="DUR125" s="72"/>
      <c r="DUS125" s="72"/>
      <c r="DUT125" s="72"/>
      <c r="DUU125" s="72"/>
      <c r="DUV125" s="72"/>
      <c r="DUW125" s="72"/>
      <c r="DUX125" s="72"/>
      <c r="DUY125" s="72"/>
      <c r="DUZ125" s="72"/>
      <c r="DVA125" s="72"/>
      <c r="DVB125" s="72"/>
      <c r="DVC125" s="72"/>
      <c r="DVD125" s="72"/>
      <c r="DVE125" s="72"/>
      <c r="DVF125" s="72"/>
      <c r="DVG125" s="72"/>
      <c r="DVH125" s="72"/>
      <c r="DVI125" s="72"/>
      <c r="DVJ125" s="72"/>
      <c r="DVK125" s="72"/>
      <c r="DVL125" s="72"/>
      <c r="DVM125" s="72"/>
      <c r="DVN125" s="72"/>
      <c r="DVO125" s="72"/>
      <c r="DVP125" s="72"/>
      <c r="DVQ125" s="72"/>
      <c r="DVR125" s="72"/>
      <c r="DVS125" s="72"/>
      <c r="DVT125" s="72"/>
      <c r="DVU125" s="72"/>
      <c r="DVV125" s="72"/>
      <c r="DVW125" s="72"/>
      <c r="DVX125" s="72"/>
      <c r="DVY125" s="72"/>
      <c r="DVZ125" s="72"/>
      <c r="DWA125" s="72"/>
      <c r="DWB125" s="72"/>
      <c r="DWC125" s="72"/>
      <c r="DWD125" s="72"/>
      <c r="DWE125" s="72"/>
      <c r="DWF125" s="72"/>
      <c r="DWG125" s="72"/>
      <c r="DWH125" s="72"/>
      <c r="DWI125" s="72"/>
      <c r="DWJ125" s="72"/>
      <c r="DWK125" s="72"/>
      <c r="DWL125" s="72"/>
      <c r="DWM125" s="72"/>
      <c r="DWN125" s="72"/>
      <c r="DWO125" s="72"/>
      <c r="DWP125" s="72"/>
      <c r="DWQ125" s="72"/>
      <c r="DWR125" s="72"/>
      <c r="DWS125" s="72"/>
      <c r="DWT125" s="72"/>
      <c r="DWU125" s="72"/>
      <c r="DWV125" s="72"/>
      <c r="DWW125" s="72"/>
      <c r="DWX125" s="72"/>
      <c r="DWY125" s="72"/>
      <c r="DWZ125" s="72"/>
      <c r="DXA125" s="72"/>
      <c r="DXB125" s="72"/>
      <c r="DXC125" s="72"/>
      <c r="DXD125" s="72"/>
      <c r="DXE125" s="72"/>
      <c r="DXF125" s="72"/>
      <c r="DXG125" s="72"/>
      <c r="DXH125" s="72"/>
      <c r="DXI125" s="72"/>
      <c r="DXJ125" s="72"/>
      <c r="DXK125" s="72"/>
      <c r="DXL125" s="72"/>
      <c r="DXM125" s="72"/>
      <c r="DXN125" s="72"/>
      <c r="DXO125" s="72"/>
      <c r="DXP125" s="72"/>
      <c r="DXQ125" s="72"/>
      <c r="DXR125" s="72"/>
      <c r="DXS125" s="72"/>
      <c r="DXT125" s="72"/>
      <c r="DXU125" s="72"/>
      <c r="DXV125" s="72"/>
      <c r="DXW125" s="72"/>
      <c r="DXX125" s="72"/>
      <c r="DXY125" s="72"/>
      <c r="DXZ125" s="72"/>
      <c r="DYA125" s="72"/>
      <c r="DYB125" s="72"/>
      <c r="DYC125" s="72"/>
      <c r="DYD125" s="72"/>
      <c r="DYE125" s="72"/>
      <c r="DYF125" s="72"/>
      <c r="DYG125" s="72"/>
      <c r="DYH125" s="72"/>
      <c r="DYI125" s="72"/>
      <c r="DYJ125" s="72"/>
      <c r="DYK125" s="72"/>
      <c r="DYL125" s="72"/>
      <c r="DYM125" s="72"/>
      <c r="DYN125" s="72"/>
      <c r="DYO125" s="72"/>
      <c r="DYP125" s="72"/>
      <c r="DYQ125" s="72"/>
      <c r="DYR125" s="72"/>
      <c r="DYS125" s="72"/>
      <c r="DYT125" s="72"/>
      <c r="DYU125" s="72"/>
      <c r="DYV125" s="72"/>
      <c r="DYW125" s="72"/>
      <c r="DYX125" s="72"/>
      <c r="DYY125" s="72"/>
      <c r="DYZ125" s="72"/>
      <c r="DZA125" s="72"/>
      <c r="DZB125" s="72"/>
      <c r="DZC125" s="72"/>
      <c r="DZD125" s="72"/>
      <c r="DZE125" s="72"/>
      <c r="DZF125" s="72"/>
      <c r="DZG125" s="72"/>
      <c r="DZH125" s="72"/>
      <c r="DZI125" s="72"/>
      <c r="DZJ125" s="72"/>
      <c r="DZK125" s="72"/>
      <c r="DZL125" s="72"/>
      <c r="DZM125" s="72"/>
      <c r="DZN125" s="72"/>
      <c r="DZO125" s="72"/>
      <c r="DZP125" s="72"/>
      <c r="DZQ125" s="72"/>
      <c r="DZR125" s="72"/>
      <c r="DZS125" s="72"/>
      <c r="DZT125" s="72"/>
      <c r="DZU125" s="72"/>
      <c r="DZV125" s="72"/>
      <c r="DZW125" s="72"/>
      <c r="DZX125" s="72"/>
      <c r="DZY125" s="72"/>
      <c r="DZZ125" s="72"/>
      <c r="EAA125" s="72"/>
      <c r="EAB125" s="72"/>
      <c r="EAC125" s="72"/>
      <c r="EAD125" s="72"/>
      <c r="EAE125" s="72"/>
      <c r="EAF125" s="72"/>
      <c r="EAG125" s="72"/>
      <c r="EAH125" s="72"/>
      <c r="EAI125" s="72"/>
      <c r="EAJ125" s="72"/>
      <c r="EAK125" s="72"/>
      <c r="EAL125" s="72"/>
      <c r="EAM125" s="72"/>
      <c r="EAN125" s="72"/>
      <c r="EAO125" s="72"/>
      <c r="EAP125" s="72"/>
      <c r="EAQ125" s="72"/>
      <c r="EAR125" s="72"/>
      <c r="EAS125" s="72"/>
      <c r="EAT125" s="72"/>
      <c r="EAU125" s="72"/>
      <c r="EAV125" s="72"/>
      <c r="EAW125" s="72"/>
      <c r="EAX125" s="72"/>
      <c r="EAY125" s="72"/>
      <c r="EAZ125" s="72"/>
      <c r="EBA125" s="72"/>
      <c r="EBB125" s="72"/>
      <c r="EBC125" s="72"/>
      <c r="EBD125" s="72"/>
      <c r="EBE125" s="72"/>
      <c r="EBF125" s="72"/>
      <c r="EBG125" s="72"/>
      <c r="EBH125" s="72"/>
      <c r="EBI125" s="72"/>
      <c r="EBJ125" s="72"/>
      <c r="EBK125" s="72"/>
      <c r="EBL125" s="72"/>
      <c r="EBM125" s="72"/>
      <c r="EBN125" s="72"/>
      <c r="EBO125" s="72"/>
      <c r="EBP125" s="72"/>
      <c r="EBQ125" s="72"/>
      <c r="EBR125" s="72"/>
      <c r="EBS125" s="72"/>
      <c r="EBT125" s="72"/>
      <c r="EBU125" s="72"/>
      <c r="EBV125" s="72"/>
      <c r="EBW125" s="72"/>
      <c r="EBX125" s="72"/>
      <c r="EBY125" s="72"/>
      <c r="EBZ125" s="72"/>
      <c r="ECA125" s="72"/>
      <c r="ECB125" s="72"/>
      <c r="ECC125" s="72"/>
      <c r="ECD125" s="72"/>
      <c r="ECE125" s="72"/>
      <c r="ECF125" s="72"/>
      <c r="ECG125" s="72"/>
      <c r="ECH125" s="72"/>
      <c r="ECI125" s="72"/>
      <c r="ECJ125" s="72"/>
      <c r="ECK125" s="72"/>
      <c r="ECL125" s="72"/>
      <c r="ECM125" s="72"/>
      <c r="ECN125" s="72"/>
      <c r="ECO125" s="72"/>
      <c r="ECP125" s="72"/>
      <c r="ECQ125" s="72"/>
      <c r="ECR125" s="72"/>
      <c r="ECS125" s="72"/>
      <c r="ECT125" s="72"/>
      <c r="ECU125" s="72"/>
      <c r="ECV125" s="72"/>
      <c r="ECW125" s="72"/>
      <c r="ECX125" s="72"/>
      <c r="ECY125" s="72"/>
      <c r="ECZ125" s="72"/>
      <c r="EDA125" s="72"/>
      <c r="EDB125" s="72"/>
      <c r="EDC125" s="72"/>
      <c r="EDD125" s="72"/>
      <c r="EDE125" s="72"/>
      <c r="EDF125" s="72"/>
      <c r="EDG125" s="72"/>
      <c r="EDH125" s="72"/>
      <c r="EDI125" s="72"/>
      <c r="EDJ125" s="72"/>
      <c r="EDK125" s="72"/>
      <c r="EDL125" s="72"/>
      <c r="EDM125" s="72"/>
      <c r="EDN125" s="72"/>
      <c r="EDO125" s="72"/>
      <c r="EDP125" s="72"/>
      <c r="EDQ125" s="72"/>
      <c r="EDR125" s="72"/>
      <c r="EDS125" s="72"/>
      <c r="EDT125" s="72"/>
      <c r="EDU125" s="72"/>
      <c r="EDV125" s="72"/>
      <c r="EDW125" s="72"/>
      <c r="EDX125" s="72"/>
      <c r="EDY125" s="72"/>
      <c r="EDZ125" s="72"/>
      <c r="EEA125" s="72"/>
      <c r="EEB125" s="72"/>
      <c r="EEC125" s="72"/>
      <c r="EED125" s="72"/>
      <c r="EEE125" s="72"/>
      <c r="EEF125" s="72"/>
      <c r="EEG125" s="72"/>
      <c r="EEH125" s="72"/>
      <c r="EEI125" s="72"/>
      <c r="EEJ125" s="72"/>
      <c r="EEK125" s="72"/>
      <c r="EEL125" s="72"/>
      <c r="EEM125" s="72"/>
      <c r="EEN125" s="72"/>
      <c r="EEO125" s="72"/>
      <c r="EEP125" s="72"/>
      <c r="EEQ125" s="72"/>
      <c r="EER125" s="72"/>
      <c r="EES125" s="72"/>
      <c r="EET125" s="72"/>
      <c r="EEU125" s="72"/>
      <c r="EEV125" s="72"/>
      <c r="EEW125" s="72"/>
      <c r="EEX125" s="72"/>
      <c r="EEY125" s="72"/>
      <c r="EEZ125" s="72"/>
      <c r="EFA125" s="72"/>
      <c r="EFB125" s="72"/>
      <c r="EFC125" s="72"/>
      <c r="EFD125" s="72"/>
      <c r="EFE125" s="72"/>
      <c r="EFF125" s="72"/>
      <c r="EFG125" s="72"/>
      <c r="EFH125" s="72"/>
      <c r="EFI125" s="72"/>
      <c r="EFJ125" s="72"/>
      <c r="EFK125" s="72"/>
      <c r="EFL125" s="72"/>
      <c r="EFM125" s="72"/>
      <c r="EFN125" s="72"/>
      <c r="EFO125" s="72"/>
      <c r="EFP125" s="72"/>
      <c r="EFQ125" s="72"/>
      <c r="EFR125" s="72"/>
      <c r="EFS125" s="72"/>
      <c r="EFT125" s="72"/>
      <c r="EFU125" s="72"/>
      <c r="EFV125" s="72"/>
      <c r="EFW125" s="72"/>
      <c r="EFX125" s="72"/>
      <c r="EFY125" s="72"/>
      <c r="EFZ125" s="72"/>
      <c r="EGA125" s="72"/>
      <c r="EGB125" s="72"/>
      <c r="EGC125" s="72"/>
      <c r="EGD125" s="72"/>
      <c r="EGE125" s="72"/>
      <c r="EGF125" s="72"/>
      <c r="EGG125" s="72"/>
      <c r="EGH125" s="72"/>
      <c r="EGI125" s="72"/>
      <c r="EGJ125" s="72"/>
      <c r="EGK125" s="72"/>
      <c r="EGL125" s="72"/>
      <c r="EGM125" s="72"/>
      <c r="EGN125" s="72"/>
      <c r="EGO125" s="72"/>
      <c r="EGP125" s="72"/>
      <c r="EGQ125" s="72"/>
      <c r="EGR125" s="72"/>
      <c r="EGS125" s="72"/>
      <c r="EGT125" s="72"/>
      <c r="EGU125" s="72"/>
      <c r="EGV125" s="72"/>
      <c r="EGW125" s="72"/>
      <c r="EGX125" s="72"/>
      <c r="EGY125" s="72"/>
      <c r="EGZ125" s="72"/>
      <c r="EHA125" s="72"/>
      <c r="EHB125" s="72"/>
      <c r="EHC125" s="72"/>
      <c r="EHD125" s="72"/>
      <c r="EHE125" s="72"/>
      <c r="EHF125" s="72"/>
      <c r="EHG125" s="72"/>
      <c r="EHH125" s="72"/>
      <c r="EHI125" s="72"/>
      <c r="EHJ125" s="72"/>
      <c r="EHK125" s="72"/>
      <c r="EHL125" s="72"/>
      <c r="EHM125" s="72"/>
      <c r="EHN125" s="72"/>
      <c r="EHO125" s="72"/>
      <c r="EHP125" s="72"/>
      <c r="EHQ125" s="72"/>
      <c r="EHR125" s="72"/>
      <c r="EHS125" s="72"/>
      <c r="EHT125" s="72"/>
      <c r="EHU125" s="72"/>
      <c r="EHV125" s="72"/>
      <c r="EHW125" s="72"/>
      <c r="EHX125" s="72"/>
      <c r="EHY125" s="72"/>
      <c r="EHZ125" s="72"/>
      <c r="EIA125" s="72"/>
      <c r="EIB125" s="72"/>
      <c r="EIC125" s="72"/>
      <c r="EID125" s="72"/>
      <c r="EIE125" s="72"/>
      <c r="EIF125" s="72"/>
      <c r="EIG125" s="72"/>
      <c r="EIH125" s="72"/>
      <c r="EII125" s="72"/>
      <c r="EIJ125" s="72"/>
      <c r="EIK125" s="72"/>
      <c r="EIL125" s="72"/>
      <c r="EIM125" s="72"/>
      <c r="EIN125" s="72"/>
      <c r="EIO125" s="72"/>
      <c r="EIP125" s="72"/>
      <c r="EIQ125" s="72"/>
      <c r="EIR125" s="72"/>
      <c r="EIS125" s="72"/>
      <c r="EIT125" s="72"/>
      <c r="EIU125" s="72"/>
      <c r="EIV125" s="72"/>
      <c r="EIW125" s="72"/>
      <c r="EIX125" s="72"/>
      <c r="EIY125" s="72"/>
      <c r="EIZ125" s="72"/>
      <c r="EJA125" s="72"/>
      <c r="EJB125" s="72"/>
      <c r="EJC125" s="72"/>
      <c r="EJD125" s="72"/>
      <c r="EJE125" s="72"/>
      <c r="EJF125" s="72"/>
      <c r="EJG125" s="72"/>
      <c r="EJH125" s="72"/>
      <c r="EJI125" s="72"/>
      <c r="EJJ125" s="72"/>
      <c r="EJK125" s="72"/>
      <c r="EJL125" s="72"/>
      <c r="EJM125" s="72"/>
      <c r="EJN125" s="72"/>
      <c r="EJO125" s="72"/>
      <c r="EJP125" s="72"/>
      <c r="EJQ125" s="72"/>
      <c r="EJR125" s="72"/>
      <c r="EJS125" s="72"/>
      <c r="EJT125" s="72"/>
      <c r="EJU125" s="72"/>
      <c r="EJV125" s="72"/>
      <c r="EJW125" s="72"/>
      <c r="EJX125" s="72"/>
      <c r="EJY125" s="72"/>
      <c r="EJZ125" s="72"/>
      <c r="EKA125" s="72"/>
      <c r="EKB125" s="72"/>
      <c r="EKC125" s="72"/>
      <c r="EKD125" s="72"/>
      <c r="EKE125" s="72"/>
      <c r="EKF125" s="72"/>
      <c r="EKG125" s="72"/>
      <c r="EKH125" s="72"/>
      <c r="EKI125" s="72"/>
      <c r="EKJ125" s="72"/>
      <c r="EKK125" s="72"/>
      <c r="EKL125" s="72"/>
      <c r="EKM125" s="72"/>
      <c r="EKN125" s="72"/>
      <c r="EKO125" s="72"/>
      <c r="EKP125" s="72"/>
      <c r="EKQ125" s="72"/>
      <c r="EKR125" s="72"/>
      <c r="EKS125" s="72"/>
      <c r="EKT125" s="72"/>
      <c r="EKU125" s="72"/>
      <c r="EKV125" s="72"/>
      <c r="EKW125" s="72"/>
      <c r="EKX125" s="72"/>
      <c r="EKY125" s="72"/>
      <c r="EKZ125" s="72"/>
      <c r="ELA125" s="72"/>
      <c r="ELB125" s="72"/>
      <c r="ELC125" s="72"/>
      <c r="ELD125" s="72"/>
      <c r="ELE125" s="72"/>
      <c r="ELF125" s="72"/>
      <c r="ELG125" s="72"/>
      <c r="ELH125" s="72"/>
      <c r="ELI125" s="72"/>
      <c r="ELJ125" s="72"/>
      <c r="ELK125" s="72"/>
      <c r="ELL125" s="72"/>
      <c r="ELM125" s="72"/>
      <c r="ELN125" s="72"/>
      <c r="ELO125" s="72"/>
      <c r="ELP125" s="72"/>
      <c r="ELQ125" s="72"/>
      <c r="ELR125" s="72"/>
      <c r="ELS125" s="72"/>
      <c r="ELT125" s="72"/>
      <c r="ELU125" s="72"/>
      <c r="ELV125" s="72"/>
      <c r="ELW125" s="72"/>
      <c r="ELX125" s="72"/>
      <c r="ELY125" s="72"/>
      <c r="ELZ125" s="72"/>
      <c r="EMA125" s="72"/>
      <c r="EMB125" s="72"/>
      <c r="EMC125" s="72"/>
      <c r="EMD125" s="72"/>
      <c r="EME125" s="72"/>
      <c r="EMF125" s="72"/>
      <c r="EMG125" s="72"/>
      <c r="EMH125" s="72"/>
      <c r="EMI125" s="72"/>
      <c r="EMJ125" s="72"/>
      <c r="EMK125" s="72"/>
      <c r="EML125" s="72"/>
      <c r="EMM125" s="72"/>
      <c r="EMN125" s="72"/>
      <c r="EMO125" s="72"/>
      <c r="EMP125" s="72"/>
      <c r="EMQ125" s="72"/>
      <c r="EMR125" s="72"/>
      <c r="EMS125" s="72"/>
      <c r="EMT125" s="72"/>
      <c r="EMU125" s="72"/>
      <c r="EMV125" s="72"/>
      <c r="EMW125" s="72"/>
      <c r="EMX125" s="72"/>
      <c r="EMY125" s="72"/>
      <c r="EMZ125" s="72"/>
      <c r="ENA125" s="72"/>
      <c r="ENB125" s="72"/>
      <c r="ENC125" s="72"/>
      <c r="END125" s="72"/>
      <c r="ENE125" s="72"/>
      <c r="ENF125" s="72"/>
      <c r="ENG125" s="72"/>
      <c r="ENH125" s="72"/>
      <c r="ENI125" s="72"/>
      <c r="ENJ125" s="72"/>
      <c r="ENK125" s="72"/>
      <c r="ENL125" s="72"/>
      <c r="ENM125" s="72"/>
      <c r="ENN125" s="72"/>
      <c r="ENO125" s="72"/>
      <c r="ENP125" s="72"/>
      <c r="ENQ125" s="72"/>
      <c r="ENR125" s="72"/>
      <c r="ENS125" s="72"/>
      <c r="ENT125" s="72"/>
      <c r="ENU125" s="72"/>
      <c r="ENV125" s="72"/>
      <c r="ENW125" s="72"/>
      <c r="ENX125" s="72"/>
      <c r="ENY125" s="72"/>
      <c r="ENZ125" s="72"/>
      <c r="EOA125" s="72"/>
      <c r="EOB125" s="72"/>
      <c r="EOC125" s="72"/>
      <c r="EOD125" s="72"/>
      <c r="EOE125" s="72"/>
      <c r="EOF125" s="72"/>
      <c r="EOG125" s="72"/>
      <c r="EOH125" s="72"/>
      <c r="EOI125" s="72"/>
      <c r="EOJ125" s="72"/>
      <c r="EOK125" s="72"/>
      <c r="EOL125" s="72"/>
      <c r="EOM125" s="72"/>
      <c r="EON125" s="72"/>
      <c r="EOO125" s="72"/>
      <c r="EOP125" s="72"/>
      <c r="EOQ125" s="72"/>
      <c r="EOR125" s="72"/>
      <c r="EOS125" s="72"/>
      <c r="EOT125" s="72"/>
      <c r="EOU125" s="72"/>
      <c r="EOV125" s="72"/>
      <c r="EOW125" s="72"/>
      <c r="EOX125" s="72"/>
      <c r="EOY125" s="72"/>
      <c r="EOZ125" s="72"/>
      <c r="EPA125" s="72"/>
      <c r="EPB125" s="72"/>
      <c r="EPC125" s="72"/>
      <c r="EPD125" s="72"/>
      <c r="EPE125" s="72"/>
      <c r="EPF125" s="72"/>
      <c r="EPG125" s="72"/>
      <c r="EPH125" s="72"/>
      <c r="EPI125" s="72"/>
      <c r="EPJ125" s="72"/>
      <c r="EPK125" s="72"/>
      <c r="EPL125" s="72"/>
      <c r="EPM125" s="72"/>
      <c r="EPN125" s="72"/>
      <c r="EPO125" s="72"/>
      <c r="EPP125" s="72"/>
      <c r="EPQ125" s="72"/>
      <c r="EPR125" s="72"/>
      <c r="EPS125" s="72"/>
      <c r="EPT125" s="72"/>
      <c r="EPU125" s="72"/>
      <c r="EPV125" s="72"/>
      <c r="EPW125" s="72"/>
      <c r="EPX125" s="72"/>
      <c r="EPY125" s="72"/>
      <c r="EPZ125" s="72"/>
      <c r="EQA125" s="72"/>
      <c r="EQB125" s="72"/>
      <c r="EQC125" s="72"/>
      <c r="EQD125" s="72"/>
      <c r="EQE125" s="72"/>
      <c r="EQF125" s="72"/>
      <c r="EQG125" s="72"/>
      <c r="EQH125" s="72"/>
      <c r="EQI125" s="72"/>
      <c r="EQJ125" s="72"/>
      <c r="EQK125" s="72"/>
      <c r="EQL125" s="72"/>
      <c r="EQM125" s="72"/>
      <c r="EQN125" s="72"/>
      <c r="EQO125" s="72"/>
      <c r="EQP125" s="72"/>
      <c r="EQQ125" s="72"/>
      <c r="EQR125" s="72"/>
      <c r="EQS125" s="72"/>
      <c r="EQT125" s="72"/>
      <c r="EQU125" s="72"/>
      <c r="EQV125" s="72"/>
      <c r="EQW125" s="72"/>
      <c r="EQX125" s="72"/>
      <c r="EQY125" s="72"/>
      <c r="EQZ125" s="72"/>
      <c r="ERA125" s="72"/>
      <c r="ERB125" s="72"/>
      <c r="ERC125" s="72"/>
      <c r="ERD125" s="72"/>
      <c r="ERE125" s="72"/>
      <c r="ERF125" s="72"/>
      <c r="ERG125" s="72"/>
      <c r="ERH125" s="72"/>
      <c r="ERI125" s="72"/>
      <c r="ERJ125" s="72"/>
      <c r="ERK125" s="72"/>
      <c r="ERL125" s="72"/>
      <c r="ERM125" s="72"/>
      <c r="ERN125" s="72"/>
      <c r="ERO125" s="72"/>
      <c r="ERP125" s="72"/>
      <c r="ERQ125" s="72"/>
      <c r="ERR125" s="72"/>
      <c r="ERS125" s="72"/>
      <c r="ERT125" s="72"/>
      <c r="ERU125" s="72"/>
      <c r="ERV125" s="72"/>
      <c r="ERW125" s="72"/>
      <c r="ERX125" s="72"/>
      <c r="ERY125" s="72"/>
      <c r="ERZ125" s="72"/>
      <c r="ESA125" s="72"/>
      <c r="ESB125" s="72"/>
      <c r="ESC125" s="72"/>
      <c r="ESD125" s="72"/>
      <c r="ESE125" s="72"/>
      <c r="ESF125" s="72"/>
      <c r="ESG125" s="72"/>
      <c r="ESH125" s="72"/>
      <c r="ESI125" s="72"/>
      <c r="ESJ125" s="72"/>
      <c r="ESK125" s="72"/>
      <c r="ESL125" s="72"/>
      <c r="ESM125" s="72"/>
      <c r="ESN125" s="72"/>
      <c r="ESO125" s="72"/>
      <c r="ESP125" s="72"/>
      <c r="ESQ125" s="72"/>
      <c r="ESR125" s="72"/>
      <c r="ESS125" s="72"/>
      <c r="EST125" s="72"/>
      <c r="ESU125" s="72"/>
      <c r="ESV125" s="72"/>
      <c r="ESW125" s="72"/>
      <c r="ESX125" s="72"/>
      <c r="ESY125" s="72"/>
      <c r="ESZ125" s="72"/>
      <c r="ETA125" s="72"/>
      <c r="ETB125" s="72"/>
      <c r="ETC125" s="72"/>
      <c r="ETD125" s="72"/>
      <c r="ETE125" s="72"/>
      <c r="ETF125" s="72"/>
      <c r="ETG125" s="72"/>
      <c r="ETH125" s="72"/>
      <c r="ETI125" s="72"/>
      <c r="ETJ125" s="72"/>
      <c r="ETK125" s="72"/>
      <c r="ETL125" s="72"/>
      <c r="ETM125" s="72"/>
      <c r="ETN125" s="72"/>
      <c r="ETO125" s="72"/>
      <c r="ETP125" s="72"/>
      <c r="ETQ125" s="72"/>
      <c r="ETR125" s="72"/>
      <c r="ETS125" s="72"/>
      <c r="ETT125" s="72"/>
      <c r="ETU125" s="72"/>
      <c r="ETV125" s="72"/>
      <c r="ETW125" s="72"/>
      <c r="ETX125" s="72"/>
      <c r="ETY125" s="72"/>
      <c r="ETZ125" s="72"/>
      <c r="EUA125" s="72"/>
      <c r="EUB125" s="72"/>
      <c r="EUC125" s="72"/>
      <c r="EUD125" s="72"/>
      <c r="EUE125" s="72"/>
      <c r="EUF125" s="72"/>
      <c r="EUG125" s="72"/>
      <c r="EUH125" s="72"/>
      <c r="EUI125" s="72"/>
      <c r="EUJ125" s="72"/>
      <c r="EUK125" s="72"/>
      <c r="EUL125" s="72"/>
      <c r="EUM125" s="72"/>
      <c r="EUN125" s="72"/>
      <c r="EUO125" s="72"/>
      <c r="EUP125" s="72"/>
      <c r="EUQ125" s="72"/>
      <c r="EUR125" s="72"/>
      <c r="EUS125" s="72"/>
      <c r="EUT125" s="72"/>
      <c r="EUU125" s="72"/>
      <c r="EUV125" s="72"/>
      <c r="EUW125" s="72"/>
      <c r="EUX125" s="72"/>
      <c r="EUY125" s="72"/>
      <c r="EUZ125" s="72"/>
      <c r="EVA125" s="72"/>
      <c r="EVB125" s="72"/>
      <c r="EVC125" s="72"/>
      <c r="EVD125" s="72"/>
      <c r="EVE125" s="72"/>
      <c r="EVF125" s="72"/>
      <c r="EVG125" s="72"/>
      <c r="EVH125" s="72"/>
      <c r="EVI125" s="72"/>
      <c r="EVJ125" s="72"/>
      <c r="EVK125" s="72"/>
      <c r="EVL125" s="72"/>
      <c r="EVM125" s="72"/>
      <c r="EVN125" s="72"/>
      <c r="EVO125" s="72"/>
      <c r="EVP125" s="72"/>
      <c r="EVQ125" s="72"/>
      <c r="EVR125" s="72"/>
      <c r="EVS125" s="72"/>
      <c r="EVT125" s="72"/>
      <c r="EVU125" s="72"/>
      <c r="EVV125" s="72"/>
      <c r="EVW125" s="72"/>
      <c r="EVX125" s="72"/>
      <c r="EVY125" s="72"/>
      <c r="EVZ125" s="72"/>
      <c r="EWA125" s="72"/>
      <c r="EWB125" s="72"/>
      <c r="EWC125" s="72"/>
      <c r="EWD125" s="72"/>
      <c r="EWE125" s="72"/>
      <c r="EWF125" s="72"/>
      <c r="EWG125" s="72"/>
      <c r="EWH125" s="72"/>
      <c r="EWI125" s="72"/>
      <c r="EWJ125" s="72"/>
      <c r="EWK125" s="72"/>
      <c r="EWL125" s="72"/>
      <c r="EWM125" s="72"/>
      <c r="EWN125" s="72"/>
      <c r="EWO125" s="72"/>
      <c r="EWP125" s="72"/>
      <c r="EWQ125" s="72"/>
      <c r="EWR125" s="72"/>
      <c r="EWS125" s="72"/>
      <c r="EWT125" s="72"/>
      <c r="EWU125" s="72"/>
      <c r="EWV125" s="72"/>
      <c r="EWW125" s="72"/>
      <c r="EWX125" s="72"/>
      <c r="EWY125" s="72"/>
      <c r="EWZ125" s="72"/>
      <c r="EXA125" s="72"/>
      <c r="EXB125" s="72"/>
      <c r="EXC125" s="72"/>
      <c r="EXD125" s="72"/>
      <c r="EXE125" s="72"/>
      <c r="EXF125" s="72"/>
      <c r="EXG125" s="72"/>
      <c r="EXH125" s="72"/>
      <c r="EXI125" s="72"/>
      <c r="EXJ125" s="72"/>
      <c r="EXK125" s="72"/>
      <c r="EXL125" s="72"/>
      <c r="EXM125" s="72"/>
      <c r="EXN125" s="72"/>
      <c r="EXO125" s="72"/>
      <c r="EXP125" s="72"/>
      <c r="EXQ125" s="72"/>
      <c r="EXR125" s="72"/>
      <c r="EXS125" s="72"/>
      <c r="EXT125" s="72"/>
      <c r="EXU125" s="72"/>
      <c r="EXV125" s="72"/>
      <c r="EXW125" s="72"/>
      <c r="EXX125" s="72"/>
      <c r="EXY125" s="72"/>
      <c r="EXZ125" s="72"/>
      <c r="EYA125" s="72"/>
      <c r="EYB125" s="72"/>
      <c r="EYC125" s="72"/>
      <c r="EYD125" s="72"/>
      <c r="EYE125" s="72"/>
      <c r="EYF125" s="72"/>
      <c r="EYG125" s="72"/>
      <c r="EYH125" s="72"/>
      <c r="EYI125" s="72"/>
      <c r="EYJ125" s="72"/>
      <c r="EYK125" s="72"/>
      <c r="EYL125" s="72"/>
      <c r="EYM125" s="72"/>
      <c r="EYN125" s="72"/>
      <c r="EYO125" s="72"/>
      <c r="EYP125" s="72"/>
      <c r="EYQ125" s="72"/>
      <c r="EYR125" s="72"/>
      <c r="EYS125" s="72"/>
      <c r="EYT125" s="72"/>
      <c r="EYU125" s="72"/>
      <c r="EYV125" s="72"/>
      <c r="EYW125" s="72"/>
      <c r="EYX125" s="72"/>
      <c r="EYY125" s="72"/>
      <c r="EYZ125" s="72"/>
      <c r="EZA125" s="72"/>
      <c r="EZB125" s="72"/>
      <c r="EZC125" s="72"/>
      <c r="EZD125" s="72"/>
      <c r="EZE125" s="72"/>
      <c r="EZF125" s="72"/>
      <c r="EZG125" s="72"/>
      <c r="EZH125" s="72"/>
      <c r="EZI125" s="72"/>
      <c r="EZJ125" s="72"/>
      <c r="EZK125" s="72"/>
      <c r="EZL125" s="72"/>
      <c r="EZM125" s="72"/>
      <c r="EZN125" s="72"/>
      <c r="EZO125" s="72"/>
      <c r="EZP125" s="72"/>
      <c r="EZQ125" s="72"/>
      <c r="EZR125" s="72"/>
      <c r="EZS125" s="72"/>
      <c r="EZT125" s="72"/>
      <c r="EZU125" s="72"/>
      <c r="EZV125" s="72"/>
      <c r="EZW125" s="72"/>
      <c r="EZX125" s="72"/>
      <c r="EZY125" s="72"/>
      <c r="EZZ125" s="72"/>
      <c r="FAA125" s="72"/>
      <c r="FAB125" s="72"/>
      <c r="FAC125" s="72"/>
      <c r="FAD125" s="72"/>
      <c r="FAE125" s="72"/>
      <c r="FAF125" s="72"/>
      <c r="FAG125" s="72"/>
      <c r="FAH125" s="72"/>
      <c r="FAI125" s="72"/>
      <c r="FAJ125" s="72"/>
      <c r="FAK125" s="72"/>
      <c r="FAL125" s="72"/>
      <c r="FAM125" s="72"/>
      <c r="FAN125" s="72"/>
      <c r="FAO125" s="72"/>
      <c r="FAP125" s="72"/>
      <c r="FAQ125" s="72"/>
      <c r="FAR125" s="72"/>
      <c r="FAS125" s="72"/>
      <c r="FAT125" s="72"/>
      <c r="FAU125" s="72"/>
      <c r="FAV125" s="72"/>
      <c r="FAW125" s="72"/>
      <c r="FAX125" s="72"/>
      <c r="FAY125" s="72"/>
      <c r="FAZ125" s="72"/>
      <c r="FBA125" s="72"/>
      <c r="FBB125" s="72"/>
      <c r="FBC125" s="72"/>
      <c r="FBD125" s="72"/>
      <c r="FBE125" s="72"/>
      <c r="FBF125" s="72"/>
      <c r="FBG125" s="72"/>
      <c r="FBH125" s="72"/>
      <c r="FBI125" s="72"/>
      <c r="FBJ125" s="72"/>
      <c r="FBK125" s="72"/>
      <c r="FBL125" s="72"/>
      <c r="FBM125" s="72"/>
      <c r="FBN125" s="72"/>
      <c r="FBO125" s="72"/>
      <c r="FBP125" s="72"/>
      <c r="FBQ125" s="72"/>
      <c r="FBR125" s="72"/>
      <c r="FBS125" s="72"/>
      <c r="FBT125" s="72"/>
      <c r="FBU125" s="72"/>
      <c r="FBV125" s="72"/>
      <c r="FBW125" s="72"/>
      <c r="FBX125" s="72"/>
      <c r="FBY125" s="72"/>
      <c r="FBZ125" s="72"/>
      <c r="FCA125" s="72"/>
      <c r="FCB125" s="72"/>
      <c r="FCC125" s="72"/>
      <c r="FCD125" s="72"/>
      <c r="FCE125" s="72"/>
      <c r="FCF125" s="72"/>
      <c r="FCG125" s="72"/>
      <c r="FCH125" s="72"/>
      <c r="FCI125" s="72"/>
      <c r="FCJ125" s="72"/>
      <c r="FCK125" s="72"/>
      <c r="FCL125" s="72"/>
      <c r="FCM125" s="72"/>
      <c r="FCN125" s="72"/>
      <c r="FCO125" s="72"/>
      <c r="FCP125" s="72"/>
      <c r="FCQ125" s="72"/>
      <c r="FCR125" s="72"/>
      <c r="FCS125" s="72"/>
      <c r="FCT125" s="72"/>
      <c r="FCU125" s="72"/>
      <c r="FCV125" s="72"/>
      <c r="FCW125" s="72"/>
      <c r="FCX125" s="72"/>
      <c r="FCY125" s="72"/>
      <c r="FCZ125" s="72"/>
      <c r="FDA125" s="72"/>
      <c r="FDB125" s="72"/>
      <c r="FDC125" s="72"/>
      <c r="FDD125" s="72"/>
      <c r="FDE125" s="72"/>
      <c r="FDF125" s="72"/>
      <c r="FDG125" s="72"/>
      <c r="FDH125" s="72"/>
      <c r="FDI125" s="72"/>
      <c r="FDJ125" s="72"/>
      <c r="FDK125" s="72"/>
      <c r="FDL125" s="72"/>
      <c r="FDM125" s="72"/>
      <c r="FDN125" s="72"/>
      <c r="FDO125" s="72"/>
      <c r="FDP125" s="72"/>
      <c r="FDQ125" s="72"/>
      <c r="FDR125" s="72"/>
      <c r="FDS125" s="72"/>
      <c r="FDT125" s="72"/>
      <c r="FDU125" s="72"/>
      <c r="FDV125" s="72"/>
      <c r="FDW125" s="72"/>
      <c r="FDX125" s="72"/>
      <c r="FDY125" s="72"/>
      <c r="FDZ125" s="72"/>
      <c r="FEA125" s="72"/>
      <c r="FEB125" s="72"/>
      <c r="FEC125" s="72"/>
      <c r="FED125" s="72"/>
      <c r="FEE125" s="72"/>
      <c r="FEF125" s="72"/>
      <c r="FEG125" s="72"/>
      <c r="FEH125" s="72"/>
      <c r="FEI125" s="72"/>
      <c r="FEJ125" s="72"/>
      <c r="FEK125" s="72"/>
      <c r="FEL125" s="72"/>
      <c r="FEM125" s="72"/>
      <c r="FEN125" s="72"/>
      <c r="FEO125" s="72"/>
      <c r="FEP125" s="72"/>
      <c r="FEQ125" s="72"/>
      <c r="FER125" s="72"/>
      <c r="FES125" s="72"/>
      <c r="FET125" s="72"/>
      <c r="FEU125" s="72"/>
      <c r="FEV125" s="72"/>
      <c r="FEW125" s="72"/>
      <c r="FEX125" s="72"/>
      <c r="FEY125" s="72"/>
      <c r="FEZ125" s="72"/>
      <c r="FFA125" s="72"/>
      <c r="FFB125" s="72"/>
      <c r="FFC125" s="72"/>
      <c r="FFD125" s="72"/>
      <c r="FFE125" s="72"/>
      <c r="FFF125" s="72"/>
      <c r="FFG125" s="72"/>
      <c r="FFH125" s="72"/>
      <c r="FFI125" s="72"/>
      <c r="FFJ125" s="72"/>
      <c r="FFK125" s="72"/>
      <c r="FFL125" s="72"/>
      <c r="FFM125" s="72"/>
      <c r="FFN125" s="72"/>
      <c r="FFO125" s="72"/>
      <c r="FFP125" s="72"/>
      <c r="FFQ125" s="72"/>
      <c r="FFR125" s="72"/>
      <c r="FFS125" s="72"/>
      <c r="FFT125" s="72"/>
      <c r="FFU125" s="72"/>
      <c r="FFV125" s="72"/>
      <c r="FFW125" s="72"/>
      <c r="FFX125" s="72"/>
      <c r="FFY125" s="72"/>
      <c r="FFZ125" s="72"/>
      <c r="FGA125" s="72"/>
      <c r="FGB125" s="72"/>
      <c r="FGC125" s="72"/>
      <c r="FGD125" s="72"/>
      <c r="FGE125" s="72"/>
      <c r="FGF125" s="72"/>
      <c r="FGG125" s="72"/>
      <c r="FGH125" s="72"/>
      <c r="FGI125" s="72"/>
      <c r="FGJ125" s="72"/>
      <c r="FGK125" s="72"/>
      <c r="FGL125" s="72"/>
      <c r="FGM125" s="72"/>
      <c r="FGN125" s="72"/>
      <c r="FGO125" s="72"/>
      <c r="FGP125" s="72"/>
      <c r="FGQ125" s="72"/>
      <c r="FGR125" s="72"/>
      <c r="FGS125" s="72"/>
      <c r="FGT125" s="72"/>
      <c r="FGU125" s="72"/>
      <c r="FGV125" s="72"/>
      <c r="FGW125" s="72"/>
      <c r="FGX125" s="72"/>
      <c r="FGY125" s="72"/>
      <c r="FGZ125" s="72"/>
      <c r="FHA125" s="72"/>
      <c r="FHB125" s="72"/>
      <c r="FHC125" s="72"/>
      <c r="FHD125" s="72"/>
      <c r="FHE125" s="72"/>
      <c r="FHF125" s="72"/>
      <c r="FHG125" s="72"/>
      <c r="FHH125" s="72"/>
      <c r="FHI125" s="72"/>
      <c r="FHJ125" s="72"/>
      <c r="FHK125" s="72"/>
      <c r="FHL125" s="72"/>
      <c r="FHM125" s="72"/>
      <c r="FHN125" s="72"/>
      <c r="FHO125" s="72"/>
      <c r="FHP125" s="72"/>
      <c r="FHQ125" s="72"/>
      <c r="FHR125" s="72"/>
      <c r="FHS125" s="72"/>
      <c r="FHT125" s="72"/>
      <c r="FHU125" s="72"/>
      <c r="FHV125" s="72"/>
      <c r="FHW125" s="72"/>
      <c r="FHX125" s="72"/>
      <c r="FHY125" s="72"/>
      <c r="FHZ125" s="72"/>
      <c r="FIA125" s="72"/>
      <c r="FIB125" s="72"/>
      <c r="FIC125" s="72"/>
      <c r="FID125" s="72"/>
      <c r="FIE125" s="72"/>
      <c r="FIF125" s="72"/>
      <c r="FIG125" s="72"/>
      <c r="FIH125" s="72"/>
      <c r="FII125" s="72"/>
      <c r="FIJ125" s="72"/>
      <c r="FIK125" s="72"/>
      <c r="FIL125" s="72"/>
      <c r="FIM125" s="72"/>
      <c r="FIN125" s="72"/>
      <c r="FIO125" s="72"/>
      <c r="FIP125" s="72"/>
      <c r="FIQ125" s="72"/>
      <c r="FIR125" s="72"/>
      <c r="FIS125" s="72"/>
      <c r="FIT125" s="72"/>
      <c r="FIU125" s="72"/>
      <c r="FIV125" s="72"/>
      <c r="FIW125" s="72"/>
      <c r="FIX125" s="72"/>
      <c r="FIY125" s="72"/>
      <c r="FIZ125" s="72"/>
      <c r="FJA125" s="72"/>
      <c r="FJB125" s="72"/>
      <c r="FJC125" s="72"/>
      <c r="FJD125" s="72"/>
      <c r="FJE125" s="72"/>
      <c r="FJF125" s="72"/>
      <c r="FJG125" s="72"/>
      <c r="FJH125" s="72"/>
      <c r="FJI125" s="72"/>
      <c r="FJJ125" s="72"/>
      <c r="FJK125" s="72"/>
      <c r="FJL125" s="72"/>
      <c r="FJM125" s="72"/>
      <c r="FJN125" s="72"/>
      <c r="FJO125" s="72"/>
      <c r="FJP125" s="72"/>
      <c r="FJQ125" s="72"/>
      <c r="FJR125" s="72"/>
      <c r="FJS125" s="72"/>
      <c r="FJT125" s="72"/>
      <c r="FJU125" s="72"/>
      <c r="FJV125" s="72"/>
      <c r="FJW125" s="72"/>
      <c r="FJX125" s="72"/>
      <c r="FJY125" s="72"/>
      <c r="FJZ125" s="72"/>
      <c r="FKA125" s="72"/>
      <c r="FKB125" s="72"/>
      <c r="FKC125" s="72"/>
      <c r="FKD125" s="72"/>
      <c r="FKE125" s="72"/>
      <c r="FKF125" s="72"/>
      <c r="FKG125" s="72"/>
      <c r="FKH125" s="72"/>
      <c r="FKI125" s="72"/>
      <c r="FKJ125" s="72"/>
      <c r="FKK125" s="72"/>
      <c r="FKL125" s="72"/>
      <c r="FKM125" s="72"/>
      <c r="FKN125" s="72"/>
      <c r="FKO125" s="72"/>
      <c r="FKP125" s="72"/>
      <c r="FKQ125" s="72"/>
      <c r="FKR125" s="72"/>
      <c r="FKS125" s="72"/>
      <c r="FKT125" s="72"/>
      <c r="FKU125" s="72"/>
      <c r="FKV125" s="72"/>
      <c r="FKW125" s="72"/>
      <c r="FKX125" s="72"/>
      <c r="FKY125" s="72"/>
      <c r="FKZ125" s="72"/>
      <c r="FLA125" s="72"/>
      <c r="FLB125" s="72"/>
      <c r="FLC125" s="72"/>
      <c r="FLD125" s="72"/>
      <c r="FLE125" s="72"/>
      <c r="FLF125" s="72"/>
      <c r="FLG125" s="72"/>
      <c r="FLH125" s="72"/>
      <c r="FLI125" s="72"/>
      <c r="FLJ125" s="72"/>
      <c r="FLK125" s="72"/>
      <c r="FLL125" s="72"/>
      <c r="FLM125" s="72"/>
      <c r="FLN125" s="72"/>
      <c r="FLO125" s="72"/>
      <c r="FLP125" s="72"/>
      <c r="FLQ125" s="72"/>
      <c r="FLR125" s="72"/>
      <c r="FLS125" s="72"/>
      <c r="FLT125" s="72"/>
      <c r="FLU125" s="72"/>
      <c r="FLV125" s="72"/>
      <c r="FLW125" s="72"/>
      <c r="FLX125" s="72"/>
      <c r="FLY125" s="72"/>
      <c r="FLZ125" s="72"/>
      <c r="FMA125" s="72"/>
      <c r="FMB125" s="72"/>
      <c r="FMC125" s="72"/>
      <c r="FMD125" s="72"/>
      <c r="FME125" s="72"/>
      <c r="FMF125" s="72"/>
      <c r="FMG125" s="72"/>
      <c r="FMH125" s="72"/>
      <c r="FMI125" s="72"/>
      <c r="FMJ125" s="72"/>
      <c r="FMK125" s="72"/>
      <c r="FML125" s="72"/>
      <c r="FMM125" s="72"/>
      <c r="FMN125" s="72"/>
      <c r="FMO125" s="72"/>
      <c r="FMP125" s="72"/>
      <c r="FMQ125" s="72"/>
      <c r="FMR125" s="72"/>
      <c r="FMS125" s="72"/>
      <c r="FMT125" s="72"/>
      <c r="FMU125" s="72"/>
      <c r="FMV125" s="72"/>
      <c r="FMW125" s="72"/>
      <c r="FMX125" s="72"/>
      <c r="FMY125" s="72"/>
      <c r="FMZ125" s="72"/>
      <c r="FNA125" s="72"/>
      <c r="FNB125" s="72"/>
      <c r="FNC125" s="72"/>
      <c r="FND125" s="72"/>
      <c r="FNE125" s="72"/>
      <c r="FNF125" s="72"/>
      <c r="FNG125" s="72"/>
      <c r="FNH125" s="72"/>
      <c r="FNI125" s="72"/>
      <c r="FNJ125" s="72"/>
      <c r="FNK125" s="72"/>
      <c r="FNL125" s="72"/>
      <c r="FNM125" s="72"/>
      <c r="FNN125" s="72"/>
      <c r="FNO125" s="72"/>
      <c r="FNP125" s="72"/>
      <c r="FNQ125" s="72"/>
      <c r="FNR125" s="72"/>
      <c r="FNS125" s="72"/>
      <c r="FNT125" s="72"/>
      <c r="FNU125" s="72"/>
      <c r="FNV125" s="72"/>
      <c r="FNW125" s="72"/>
      <c r="FNX125" s="72"/>
      <c r="FNY125" s="72"/>
      <c r="FNZ125" s="72"/>
      <c r="FOA125" s="72"/>
      <c r="FOB125" s="72"/>
      <c r="FOC125" s="72"/>
      <c r="FOD125" s="72"/>
      <c r="FOE125" s="72"/>
      <c r="FOF125" s="72"/>
      <c r="FOG125" s="72"/>
      <c r="FOH125" s="72"/>
      <c r="FOI125" s="72"/>
      <c r="FOJ125" s="72"/>
      <c r="FOK125" s="72"/>
      <c r="FOL125" s="72"/>
      <c r="FOM125" s="72"/>
      <c r="FON125" s="72"/>
      <c r="FOO125" s="72"/>
      <c r="FOP125" s="72"/>
      <c r="FOQ125" s="72"/>
      <c r="FOR125" s="72"/>
      <c r="FOS125" s="72"/>
      <c r="FOT125" s="72"/>
      <c r="FOU125" s="72"/>
      <c r="FOV125" s="72"/>
      <c r="FOW125" s="72"/>
      <c r="FOX125" s="72"/>
      <c r="FOY125" s="72"/>
      <c r="FOZ125" s="72"/>
      <c r="FPA125" s="72"/>
      <c r="FPB125" s="72"/>
      <c r="FPC125" s="72"/>
      <c r="FPD125" s="72"/>
      <c r="FPE125" s="72"/>
      <c r="FPF125" s="72"/>
      <c r="FPG125" s="72"/>
      <c r="FPH125" s="72"/>
      <c r="FPI125" s="72"/>
      <c r="FPJ125" s="72"/>
      <c r="FPK125" s="72"/>
      <c r="FPL125" s="72"/>
      <c r="FPM125" s="72"/>
      <c r="FPN125" s="72"/>
      <c r="FPO125" s="72"/>
      <c r="FPP125" s="72"/>
      <c r="FPQ125" s="72"/>
      <c r="FPR125" s="72"/>
      <c r="FPS125" s="72"/>
      <c r="FPT125" s="72"/>
      <c r="FPU125" s="72"/>
      <c r="FPV125" s="72"/>
      <c r="FPW125" s="72"/>
      <c r="FPX125" s="72"/>
      <c r="FPY125" s="72"/>
      <c r="FPZ125" s="72"/>
      <c r="FQA125" s="72"/>
      <c r="FQB125" s="72"/>
      <c r="FQC125" s="72"/>
      <c r="FQD125" s="72"/>
      <c r="FQE125" s="72"/>
      <c r="FQF125" s="72"/>
      <c r="FQG125" s="72"/>
      <c r="FQH125" s="72"/>
      <c r="FQI125" s="72"/>
      <c r="FQJ125" s="72"/>
      <c r="FQK125" s="72"/>
      <c r="FQL125" s="72"/>
      <c r="FQM125" s="72"/>
      <c r="FQN125" s="72"/>
      <c r="FQO125" s="72"/>
      <c r="FQP125" s="72"/>
      <c r="FQQ125" s="72"/>
      <c r="FQR125" s="72"/>
      <c r="FQS125" s="72"/>
      <c r="FQT125" s="72"/>
      <c r="FQU125" s="72"/>
      <c r="FQV125" s="72"/>
      <c r="FQW125" s="72"/>
      <c r="FQX125" s="72"/>
      <c r="FQY125" s="72"/>
      <c r="FQZ125" s="72"/>
      <c r="FRA125" s="72"/>
      <c r="FRB125" s="72"/>
      <c r="FRC125" s="72"/>
      <c r="FRD125" s="72"/>
      <c r="FRE125" s="72"/>
      <c r="FRF125" s="72"/>
      <c r="FRG125" s="72"/>
      <c r="FRH125" s="72"/>
      <c r="FRI125" s="72"/>
      <c r="FRJ125" s="72"/>
      <c r="FRK125" s="72"/>
      <c r="FRL125" s="72"/>
      <c r="FRM125" s="72"/>
      <c r="FRN125" s="72"/>
      <c r="FRO125" s="72"/>
      <c r="FRP125" s="72"/>
      <c r="FRQ125" s="72"/>
      <c r="FRR125" s="72"/>
      <c r="FRS125" s="72"/>
      <c r="FRT125" s="72"/>
      <c r="FRU125" s="72"/>
      <c r="FRV125" s="72"/>
      <c r="FRW125" s="72"/>
      <c r="FRX125" s="72"/>
      <c r="FRY125" s="72"/>
      <c r="FRZ125" s="72"/>
      <c r="FSA125" s="72"/>
      <c r="FSB125" s="72"/>
      <c r="FSC125" s="72"/>
      <c r="FSD125" s="72"/>
      <c r="FSE125" s="72"/>
      <c r="FSF125" s="72"/>
      <c r="FSG125" s="72"/>
      <c r="FSH125" s="72"/>
      <c r="FSI125" s="72"/>
      <c r="FSJ125" s="72"/>
      <c r="FSK125" s="72"/>
      <c r="FSL125" s="72"/>
      <c r="FSM125" s="72"/>
      <c r="FSN125" s="72"/>
      <c r="FSO125" s="72"/>
      <c r="FSP125" s="72"/>
      <c r="FSQ125" s="72"/>
      <c r="FSR125" s="72"/>
      <c r="FSS125" s="72"/>
      <c r="FST125" s="72"/>
      <c r="FSU125" s="72"/>
      <c r="FSV125" s="72"/>
      <c r="FSW125" s="72"/>
      <c r="FSX125" s="72"/>
      <c r="FSY125" s="72"/>
      <c r="FSZ125" s="72"/>
      <c r="FTA125" s="72"/>
      <c r="FTB125" s="72"/>
      <c r="FTC125" s="72"/>
      <c r="FTD125" s="72"/>
      <c r="FTE125" s="72"/>
      <c r="FTF125" s="72"/>
      <c r="FTG125" s="72"/>
      <c r="FTH125" s="72"/>
      <c r="FTI125" s="72"/>
      <c r="FTJ125" s="72"/>
      <c r="FTK125" s="72"/>
      <c r="FTL125" s="72"/>
      <c r="FTM125" s="72"/>
      <c r="FTN125" s="72"/>
      <c r="FTO125" s="72"/>
      <c r="FTP125" s="72"/>
      <c r="FTQ125" s="72"/>
      <c r="FTR125" s="72"/>
      <c r="FTS125" s="72"/>
      <c r="FTT125" s="72"/>
      <c r="FTU125" s="72"/>
      <c r="FTV125" s="72"/>
      <c r="FTW125" s="72"/>
      <c r="FTX125" s="72"/>
      <c r="FTY125" s="72"/>
      <c r="FTZ125" s="72"/>
      <c r="FUA125" s="72"/>
      <c r="FUB125" s="72"/>
      <c r="FUC125" s="72"/>
      <c r="FUD125" s="72"/>
      <c r="FUE125" s="72"/>
      <c r="FUF125" s="72"/>
      <c r="FUG125" s="72"/>
      <c r="FUH125" s="72"/>
      <c r="FUI125" s="72"/>
      <c r="FUJ125" s="72"/>
      <c r="FUK125" s="72"/>
      <c r="FUL125" s="72"/>
      <c r="FUM125" s="72"/>
      <c r="FUN125" s="72"/>
      <c r="FUO125" s="72"/>
      <c r="FUP125" s="72"/>
      <c r="FUQ125" s="72"/>
      <c r="FUR125" s="72"/>
      <c r="FUS125" s="72"/>
      <c r="FUT125" s="72"/>
      <c r="FUU125" s="72"/>
      <c r="FUV125" s="72"/>
      <c r="FUW125" s="72"/>
      <c r="FUX125" s="72"/>
      <c r="FUY125" s="72"/>
      <c r="FUZ125" s="72"/>
      <c r="FVA125" s="72"/>
      <c r="FVB125" s="72"/>
      <c r="FVC125" s="72"/>
      <c r="FVD125" s="72"/>
      <c r="FVE125" s="72"/>
      <c r="FVF125" s="72"/>
      <c r="FVG125" s="72"/>
      <c r="FVH125" s="72"/>
      <c r="FVI125" s="72"/>
      <c r="FVJ125" s="72"/>
      <c r="FVK125" s="72"/>
      <c r="FVL125" s="72"/>
      <c r="FVM125" s="72"/>
      <c r="FVN125" s="72"/>
      <c r="FVO125" s="72"/>
      <c r="FVP125" s="72"/>
      <c r="FVQ125" s="72"/>
      <c r="FVR125" s="72"/>
      <c r="FVS125" s="72"/>
      <c r="FVT125" s="72"/>
      <c r="FVU125" s="72"/>
      <c r="FVV125" s="72"/>
      <c r="FVW125" s="72"/>
      <c r="FVX125" s="72"/>
      <c r="FVY125" s="72"/>
      <c r="FVZ125" s="72"/>
      <c r="FWA125" s="72"/>
      <c r="FWB125" s="72"/>
      <c r="FWC125" s="72"/>
      <c r="FWD125" s="72"/>
      <c r="FWE125" s="72"/>
      <c r="FWF125" s="72"/>
      <c r="FWG125" s="72"/>
      <c r="FWH125" s="72"/>
      <c r="FWI125" s="72"/>
      <c r="FWJ125" s="72"/>
      <c r="FWK125" s="72"/>
      <c r="FWL125" s="72"/>
      <c r="FWM125" s="72"/>
      <c r="FWN125" s="72"/>
      <c r="FWO125" s="72"/>
      <c r="FWP125" s="72"/>
      <c r="FWQ125" s="72"/>
      <c r="FWR125" s="72"/>
      <c r="FWS125" s="72"/>
      <c r="FWT125" s="72"/>
      <c r="FWU125" s="72"/>
      <c r="FWV125" s="72"/>
      <c r="FWW125" s="72"/>
      <c r="FWX125" s="72"/>
      <c r="FWY125" s="72"/>
      <c r="FWZ125" s="72"/>
      <c r="FXA125" s="72"/>
      <c r="FXB125" s="72"/>
      <c r="FXC125" s="72"/>
      <c r="FXD125" s="72"/>
      <c r="FXE125" s="72"/>
      <c r="FXF125" s="72"/>
      <c r="FXG125" s="72"/>
      <c r="FXH125" s="72"/>
      <c r="FXI125" s="72"/>
      <c r="FXJ125" s="72"/>
      <c r="FXK125" s="72"/>
      <c r="FXL125" s="72"/>
      <c r="FXM125" s="72"/>
      <c r="FXN125" s="72"/>
      <c r="FXO125" s="72"/>
      <c r="FXP125" s="72"/>
      <c r="FXQ125" s="72"/>
      <c r="FXR125" s="72"/>
      <c r="FXS125" s="72"/>
      <c r="FXT125" s="72"/>
      <c r="FXU125" s="72"/>
      <c r="FXV125" s="72"/>
      <c r="FXW125" s="72"/>
      <c r="FXX125" s="72"/>
      <c r="FXY125" s="72"/>
      <c r="FXZ125" s="72"/>
      <c r="FYA125" s="72"/>
      <c r="FYB125" s="72"/>
      <c r="FYC125" s="72"/>
      <c r="FYD125" s="72"/>
      <c r="FYE125" s="72"/>
      <c r="FYF125" s="72"/>
      <c r="FYG125" s="72"/>
      <c r="FYH125" s="72"/>
      <c r="FYI125" s="72"/>
      <c r="FYJ125" s="72"/>
      <c r="FYK125" s="72"/>
      <c r="FYL125" s="72"/>
      <c r="FYM125" s="72"/>
      <c r="FYN125" s="72"/>
      <c r="FYO125" s="72"/>
      <c r="FYP125" s="72"/>
      <c r="FYQ125" s="72"/>
      <c r="FYR125" s="72"/>
      <c r="FYS125" s="72"/>
      <c r="FYT125" s="72"/>
      <c r="FYU125" s="72"/>
      <c r="FYV125" s="72"/>
      <c r="FYW125" s="72"/>
      <c r="FYX125" s="72"/>
      <c r="FYY125" s="72"/>
      <c r="FYZ125" s="72"/>
      <c r="FZA125" s="72"/>
      <c r="FZB125" s="72"/>
      <c r="FZC125" s="72"/>
      <c r="FZD125" s="72"/>
      <c r="FZE125" s="72"/>
      <c r="FZF125" s="72"/>
      <c r="FZG125" s="72"/>
      <c r="FZH125" s="72"/>
      <c r="FZI125" s="72"/>
      <c r="FZJ125" s="72"/>
      <c r="FZK125" s="72"/>
      <c r="FZL125" s="72"/>
      <c r="FZM125" s="72"/>
      <c r="FZN125" s="72"/>
      <c r="FZO125" s="72"/>
      <c r="FZP125" s="72"/>
      <c r="FZQ125" s="72"/>
      <c r="FZR125" s="72"/>
      <c r="FZS125" s="72"/>
      <c r="FZT125" s="72"/>
      <c r="FZU125" s="72"/>
      <c r="FZV125" s="72"/>
      <c r="FZW125" s="72"/>
      <c r="FZX125" s="72"/>
      <c r="FZY125" s="72"/>
      <c r="FZZ125" s="72"/>
      <c r="GAA125" s="72"/>
      <c r="GAB125" s="72"/>
      <c r="GAC125" s="72"/>
      <c r="GAD125" s="72"/>
      <c r="GAE125" s="72"/>
      <c r="GAF125" s="72"/>
      <c r="GAG125" s="72"/>
      <c r="GAH125" s="72"/>
      <c r="GAI125" s="72"/>
      <c r="GAJ125" s="72"/>
      <c r="GAK125" s="72"/>
      <c r="GAL125" s="72"/>
      <c r="GAM125" s="72"/>
      <c r="GAN125" s="72"/>
      <c r="GAO125" s="72"/>
      <c r="GAP125" s="72"/>
      <c r="GAQ125" s="72"/>
      <c r="GAR125" s="72"/>
      <c r="GAS125" s="72"/>
      <c r="GAT125" s="72"/>
      <c r="GAU125" s="72"/>
      <c r="GAV125" s="72"/>
      <c r="GAW125" s="72"/>
      <c r="GAX125" s="72"/>
      <c r="GAY125" s="72"/>
      <c r="GAZ125" s="72"/>
      <c r="GBA125" s="72"/>
      <c r="GBB125" s="72"/>
      <c r="GBC125" s="72"/>
      <c r="GBD125" s="72"/>
      <c r="GBE125" s="72"/>
      <c r="GBF125" s="72"/>
      <c r="GBG125" s="72"/>
      <c r="GBH125" s="72"/>
      <c r="GBI125" s="72"/>
      <c r="GBJ125" s="72"/>
      <c r="GBK125" s="72"/>
      <c r="GBL125" s="72"/>
      <c r="GBM125" s="72"/>
      <c r="GBN125" s="72"/>
      <c r="GBO125" s="72"/>
      <c r="GBP125" s="72"/>
      <c r="GBQ125" s="72"/>
      <c r="GBR125" s="72"/>
      <c r="GBS125" s="72"/>
      <c r="GBT125" s="72"/>
      <c r="GBU125" s="72"/>
      <c r="GBV125" s="72"/>
      <c r="GBW125" s="72"/>
      <c r="GBX125" s="72"/>
      <c r="GBY125" s="72"/>
      <c r="GBZ125" s="72"/>
      <c r="GCA125" s="72"/>
      <c r="GCB125" s="72"/>
      <c r="GCC125" s="72"/>
      <c r="GCD125" s="72"/>
      <c r="GCE125" s="72"/>
      <c r="GCF125" s="72"/>
      <c r="GCG125" s="72"/>
      <c r="GCH125" s="72"/>
      <c r="GCI125" s="72"/>
      <c r="GCJ125" s="72"/>
      <c r="GCK125" s="72"/>
      <c r="GCL125" s="72"/>
      <c r="GCM125" s="72"/>
      <c r="GCN125" s="72"/>
      <c r="GCO125" s="72"/>
      <c r="GCP125" s="72"/>
      <c r="GCQ125" s="72"/>
      <c r="GCR125" s="72"/>
      <c r="GCS125" s="72"/>
      <c r="GCT125" s="72"/>
      <c r="GCU125" s="72"/>
      <c r="GCV125" s="72"/>
      <c r="GCW125" s="72"/>
      <c r="GCX125" s="72"/>
      <c r="GCY125" s="72"/>
      <c r="GCZ125" s="72"/>
      <c r="GDA125" s="72"/>
      <c r="GDB125" s="72"/>
      <c r="GDC125" s="72"/>
      <c r="GDD125" s="72"/>
      <c r="GDE125" s="72"/>
      <c r="GDF125" s="72"/>
      <c r="GDG125" s="72"/>
      <c r="GDH125" s="72"/>
      <c r="GDI125" s="72"/>
      <c r="GDJ125" s="72"/>
      <c r="GDK125" s="72"/>
      <c r="GDL125" s="72"/>
      <c r="GDM125" s="72"/>
      <c r="GDN125" s="72"/>
      <c r="GDO125" s="72"/>
      <c r="GDP125" s="72"/>
      <c r="GDQ125" s="72"/>
      <c r="GDR125" s="72"/>
      <c r="GDS125" s="72"/>
      <c r="GDT125" s="72"/>
      <c r="GDU125" s="72"/>
      <c r="GDV125" s="72"/>
      <c r="GDW125" s="72"/>
      <c r="GDX125" s="72"/>
      <c r="GDY125" s="72"/>
      <c r="GDZ125" s="72"/>
      <c r="GEA125" s="72"/>
      <c r="GEB125" s="72"/>
      <c r="GEC125" s="72"/>
      <c r="GED125" s="72"/>
      <c r="GEE125" s="72"/>
      <c r="GEF125" s="72"/>
      <c r="GEG125" s="72"/>
      <c r="GEH125" s="72"/>
      <c r="GEI125" s="72"/>
      <c r="GEJ125" s="72"/>
      <c r="GEK125" s="72"/>
      <c r="GEL125" s="72"/>
      <c r="GEM125" s="72"/>
      <c r="GEN125" s="72"/>
      <c r="GEO125" s="72"/>
      <c r="GEP125" s="72"/>
      <c r="GEQ125" s="72"/>
      <c r="GER125" s="72"/>
      <c r="GES125" s="72"/>
      <c r="GET125" s="72"/>
      <c r="GEU125" s="72"/>
      <c r="GEV125" s="72"/>
      <c r="GEW125" s="72"/>
      <c r="GEX125" s="72"/>
      <c r="GEY125" s="72"/>
      <c r="GEZ125" s="72"/>
      <c r="GFA125" s="72"/>
      <c r="GFB125" s="72"/>
      <c r="GFC125" s="72"/>
      <c r="GFD125" s="72"/>
      <c r="GFE125" s="72"/>
      <c r="GFF125" s="72"/>
      <c r="GFG125" s="72"/>
      <c r="GFH125" s="72"/>
      <c r="GFI125" s="72"/>
      <c r="GFJ125" s="72"/>
      <c r="GFK125" s="72"/>
      <c r="GFL125" s="72"/>
      <c r="GFM125" s="72"/>
      <c r="GFN125" s="72"/>
      <c r="GFO125" s="72"/>
      <c r="GFP125" s="72"/>
      <c r="GFQ125" s="72"/>
      <c r="GFR125" s="72"/>
      <c r="GFS125" s="72"/>
      <c r="GFT125" s="72"/>
      <c r="GFU125" s="72"/>
      <c r="GFV125" s="72"/>
      <c r="GFW125" s="72"/>
      <c r="GFX125" s="72"/>
      <c r="GFY125" s="72"/>
      <c r="GFZ125" s="72"/>
      <c r="GGA125" s="72"/>
      <c r="GGB125" s="72"/>
      <c r="GGC125" s="72"/>
      <c r="GGD125" s="72"/>
      <c r="GGE125" s="72"/>
      <c r="GGF125" s="72"/>
      <c r="GGG125" s="72"/>
      <c r="GGH125" s="72"/>
      <c r="GGI125" s="72"/>
      <c r="GGJ125" s="72"/>
      <c r="GGK125" s="72"/>
      <c r="GGL125" s="72"/>
      <c r="GGM125" s="72"/>
      <c r="GGN125" s="72"/>
      <c r="GGO125" s="72"/>
      <c r="GGP125" s="72"/>
      <c r="GGQ125" s="72"/>
      <c r="GGR125" s="72"/>
      <c r="GGS125" s="72"/>
      <c r="GGT125" s="72"/>
      <c r="GGU125" s="72"/>
      <c r="GGV125" s="72"/>
      <c r="GGW125" s="72"/>
      <c r="GGX125" s="72"/>
      <c r="GGY125" s="72"/>
      <c r="GGZ125" s="72"/>
      <c r="GHA125" s="72"/>
      <c r="GHB125" s="72"/>
      <c r="GHC125" s="72"/>
      <c r="GHD125" s="72"/>
      <c r="GHE125" s="72"/>
      <c r="GHF125" s="72"/>
      <c r="GHG125" s="72"/>
      <c r="GHH125" s="72"/>
      <c r="GHI125" s="72"/>
      <c r="GHJ125" s="72"/>
      <c r="GHK125" s="72"/>
      <c r="GHL125" s="72"/>
      <c r="GHM125" s="72"/>
      <c r="GHN125" s="72"/>
      <c r="GHO125" s="72"/>
      <c r="GHP125" s="72"/>
      <c r="GHQ125" s="72"/>
      <c r="GHR125" s="72"/>
      <c r="GHS125" s="72"/>
      <c r="GHT125" s="72"/>
      <c r="GHU125" s="72"/>
      <c r="GHV125" s="72"/>
      <c r="GHW125" s="72"/>
      <c r="GHX125" s="72"/>
      <c r="GHY125" s="72"/>
      <c r="GHZ125" s="72"/>
      <c r="GIA125" s="72"/>
      <c r="GIB125" s="72"/>
      <c r="GIC125" s="72"/>
      <c r="GID125" s="72"/>
      <c r="GIE125" s="72"/>
      <c r="GIF125" s="72"/>
      <c r="GIG125" s="72"/>
      <c r="GIH125" s="72"/>
      <c r="GII125" s="72"/>
      <c r="GIJ125" s="72"/>
      <c r="GIK125" s="72"/>
      <c r="GIL125" s="72"/>
      <c r="GIM125" s="72"/>
      <c r="GIN125" s="72"/>
      <c r="GIO125" s="72"/>
      <c r="GIP125" s="72"/>
      <c r="GIQ125" s="72"/>
      <c r="GIR125" s="72"/>
      <c r="GIS125" s="72"/>
      <c r="GIT125" s="72"/>
      <c r="GIU125" s="72"/>
      <c r="GIV125" s="72"/>
      <c r="GIW125" s="72"/>
      <c r="GIX125" s="72"/>
      <c r="GIY125" s="72"/>
      <c r="GIZ125" s="72"/>
      <c r="GJA125" s="72"/>
      <c r="GJB125" s="72"/>
      <c r="GJC125" s="72"/>
      <c r="GJD125" s="72"/>
      <c r="GJE125" s="72"/>
      <c r="GJF125" s="72"/>
      <c r="GJG125" s="72"/>
      <c r="GJH125" s="72"/>
      <c r="GJI125" s="72"/>
      <c r="GJJ125" s="72"/>
      <c r="GJK125" s="72"/>
      <c r="GJL125" s="72"/>
      <c r="GJM125" s="72"/>
      <c r="GJN125" s="72"/>
      <c r="GJO125" s="72"/>
      <c r="GJP125" s="72"/>
      <c r="GJQ125" s="72"/>
      <c r="GJR125" s="72"/>
      <c r="GJS125" s="72"/>
      <c r="GJT125" s="72"/>
      <c r="GJU125" s="72"/>
      <c r="GJV125" s="72"/>
      <c r="GJW125" s="72"/>
      <c r="GJX125" s="72"/>
      <c r="GJY125" s="72"/>
      <c r="GJZ125" s="72"/>
      <c r="GKA125" s="72"/>
      <c r="GKB125" s="72"/>
      <c r="GKC125" s="72"/>
      <c r="GKD125" s="72"/>
      <c r="GKE125" s="72"/>
      <c r="GKF125" s="72"/>
      <c r="GKG125" s="72"/>
      <c r="GKH125" s="72"/>
      <c r="GKI125" s="72"/>
      <c r="GKJ125" s="72"/>
      <c r="GKK125" s="72"/>
      <c r="GKL125" s="72"/>
      <c r="GKM125" s="72"/>
      <c r="GKN125" s="72"/>
      <c r="GKO125" s="72"/>
      <c r="GKP125" s="72"/>
      <c r="GKQ125" s="72"/>
      <c r="GKR125" s="72"/>
      <c r="GKS125" s="72"/>
      <c r="GKT125" s="72"/>
      <c r="GKU125" s="72"/>
      <c r="GKV125" s="72"/>
      <c r="GKW125" s="72"/>
      <c r="GKX125" s="72"/>
      <c r="GKY125" s="72"/>
      <c r="GKZ125" s="72"/>
      <c r="GLA125" s="72"/>
      <c r="GLB125" s="72"/>
      <c r="GLC125" s="72"/>
      <c r="GLD125" s="72"/>
      <c r="GLE125" s="72"/>
      <c r="GLF125" s="72"/>
      <c r="GLG125" s="72"/>
      <c r="GLH125" s="72"/>
      <c r="GLI125" s="72"/>
      <c r="GLJ125" s="72"/>
      <c r="GLK125" s="72"/>
      <c r="GLL125" s="72"/>
      <c r="GLM125" s="72"/>
      <c r="GLN125" s="72"/>
      <c r="GLO125" s="72"/>
      <c r="GLP125" s="72"/>
      <c r="GLQ125" s="72"/>
      <c r="GLR125" s="72"/>
      <c r="GLS125" s="72"/>
      <c r="GLT125" s="72"/>
      <c r="GLU125" s="72"/>
      <c r="GLV125" s="72"/>
      <c r="GLW125" s="72"/>
      <c r="GLX125" s="72"/>
      <c r="GLY125" s="72"/>
      <c r="GLZ125" s="72"/>
      <c r="GMA125" s="72"/>
      <c r="GMB125" s="72"/>
      <c r="GMC125" s="72"/>
      <c r="GMD125" s="72"/>
      <c r="GME125" s="72"/>
      <c r="GMF125" s="72"/>
      <c r="GMG125" s="72"/>
      <c r="GMH125" s="72"/>
      <c r="GMI125" s="72"/>
      <c r="GMJ125" s="72"/>
      <c r="GMK125" s="72"/>
      <c r="GML125" s="72"/>
      <c r="GMM125" s="72"/>
      <c r="GMN125" s="72"/>
      <c r="GMO125" s="72"/>
      <c r="GMP125" s="72"/>
      <c r="GMQ125" s="72"/>
      <c r="GMR125" s="72"/>
      <c r="GMS125" s="72"/>
      <c r="GMT125" s="72"/>
      <c r="GMU125" s="72"/>
      <c r="GMV125" s="72"/>
      <c r="GMW125" s="72"/>
      <c r="GMX125" s="72"/>
      <c r="GMY125" s="72"/>
      <c r="GMZ125" s="72"/>
      <c r="GNA125" s="72"/>
      <c r="GNB125" s="72"/>
      <c r="GNC125" s="72"/>
      <c r="GND125" s="72"/>
      <c r="GNE125" s="72"/>
      <c r="GNF125" s="72"/>
      <c r="GNG125" s="72"/>
      <c r="GNH125" s="72"/>
      <c r="GNI125" s="72"/>
      <c r="GNJ125" s="72"/>
      <c r="GNK125" s="72"/>
      <c r="GNL125" s="72"/>
      <c r="GNM125" s="72"/>
      <c r="GNN125" s="72"/>
      <c r="GNO125" s="72"/>
      <c r="GNP125" s="72"/>
      <c r="GNQ125" s="72"/>
      <c r="GNR125" s="72"/>
      <c r="GNS125" s="72"/>
      <c r="GNT125" s="72"/>
      <c r="GNU125" s="72"/>
      <c r="GNV125" s="72"/>
      <c r="GNW125" s="72"/>
      <c r="GNX125" s="72"/>
      <c r="GNY125" s="72"/>
      <c r="GNZ125" s="72"/>
      <c r="GOA125" s="72"/>
      <c r="GOB125" s="72"/>
      <c r="GOC125" s="72"/>
      <c r="GOD125" s="72"/>
      <c r="GOE125" s="72"/>
      <c r="GOF125" s="72"/>
      <c r="GOG125" s="72"/>
      <c r="GOH125" s="72"/>
      <c r="GOI125" s="72"/>
      <c r="GOJ125" s="72"/>
      <c r="GOK125" s="72"/>
      <c r="GOL125" s="72"/>
      <c r="GOM125" s="72"/>
      <c r="GON125" s="72"/>
      <c r="GOO125" s="72"/>
      <c r="GOP125" s="72"/>
      <c r="GOQ125" s="72"/>
      <c r="GOR125" s="72"/>
      <c r="GOS125" s="72"/>
      <c r="GOT125" s="72"/>
      <c r="GOU125" s="72"/>
      <c r="GOV125" s="72"/>
      <c r="GOW125" s="72"/>
      <c r="GOX125" s="72"/>
      <c r="GOY125" s="72"/>
      <c r="GOZ125" s="72"/>
      <c r="GPA125" s="72"/>
      <c r="GPB125" s="72"/>
      <c r="GPC125" s="72"/>
      <c r="GPD125" s="72"/>
      <c r="GPE125" s="72"/>
      <c r="GPF125" s="72"/>
      <c r="GPG125" s="72"/>
      <c r="GPH125" s="72"/>
      <c r="GPI125" s="72"/>
      <c r="GPJ125" s="72"/>
      <c r="GPK125" s="72"/>
      <c r="GPL125" s="72"/>
      <c r="GPM125" s="72"/>
      <c r="GPN125" s="72"/>
      <c r="GPO125" s="72"/>
      <c r="GPP125" s="72"/>
      <c r="GPQ125" s="72"/>
      <c r="GPR125" s="72"/>
      <c r="GPS125" s="72"/>
      <c r="GPT125" s="72"/>
      <c r="GPU125" s="72"/>
      <c r="GPV125" s="72"/>
      <c r="GPW125" s="72"/>
      <c r="GPX125" s="72"/>
      <c r="GPY125" s="72"/>
      <c r="GPZ125" s="72"/>
      <c r="GQA125" s="72"/>
      <c r="GQB125" s="72"/>
      <c r="GQC125" s="72"/>
      <c r="GQD125" s="72"/>
      <c r="GQE125" s="72"/>
      <c r="GQF125" s="72"/>
      <c r="GQG125" s="72"/>
      <c r="GQH125" s="72"/>
      <c r="GQI125" s="72"/>
      <c r="GQJ125" s="72"/>
      <c r="GQK125" s="72"/>
      <c r="GQL125" s="72"/>
      <c r="GQM125" s="72"/>
      <c r="GQN125" s="72"/>
      <c r="GQO125" s="72"/>
      <c r="GQP125" s="72"/>
      <c r="GQQ125" s="72"/>
      <c r="GQR125" s="72"/>
      <c r="GQS125" s="72"/>
      <c r="GQT125" s="72"/>
      <c r="GQU125" s="72"/>
      <c r="GQV125" s="72"/>
      <c r="GQW125" s="72"/>
      <c r="GQX125" s="72"/>
      <c r="GQY125" s="72"/>
      <c r="GQZ125" s="72"/>
      <c r="GRA125" s="72"/>
      <c r="GRB125" s="72"/>
      <c r="GRC125" s="72"/>
      <c r="GRD125" s="72"/>
      <c r="GRE125" s="72"/>
      <c r="GRF125" s="72"/>
      <c r="GRG125" s="72"/>
      <c r="GRH125" s="72"/>
      <c r="GRI125" s="72"/>
      <c r="GRJ125" s="72"/>
      <c r="GRK125" s="72"/>
      <c r="GRL125" s="72"/>
      <c r="GRM125" s="72"/>
      <c r="GRN125" s="72"/>
      <c r="GRO125" s="72"/>
      <c r="GRP125" s="72"/>
      <c r="GRQ125" s="72"/>
      <c r="GRR125" s="72"/>
      <c r="GRS125" s="72"/>
      <c r="GRT125" s="72"/>
      <c r="GRU125" s="72"/>
      <c r="GRV125" s="72"/>
      <c r="GRW125" s="72"/>
      <c r="GRX125" s="72"/>
      <c r="GRY125" s="72"/>
      <c r="GRZ125" s="72"/>
      <c r="GSA125" s="72"/>
      <c r="GSB125" s="72"/>
      <c r="GSC125" s="72"/>
      <c r="GSD125" s="72"/>
      <c r="GSE125" s="72"/>
      <c r="GSF125" s="72"/>
      <c r="GSG125" s="72"/>
      <c r="GSH125" s="72"/>
      <c r="GSI125" s="72"/>
      <c r="GSJ125" s="72"/>
      <c r="GSK125" s="72"/>
      <c r="GSL125" s="72"/>
      <c r="GSM125" s="72"/>
      <c r="GSN125" s="72"/>
      <c r="GSO125" s="72"/>
      <c r="GSP125" s="72"/>
      <c r="GSQ125" s="72"/>
      <c r="GSR125" s="72"/>
      <c r="GSS125" s="72"/>
      <c r="GST125" s="72"/>
      <c r="GSU125" s="72"/>
      <c r="GSV125" s="72"/>
      <c r="GSW125" s="72"/>
      <c r="GSX125" s="72"/>
      <c r="GSY125" s="72"/>
      <c r="GSZ125" s="72"/>
      <c r="GTA125" s="72"/>
      <c r="GTB125" s="72"/>
      <c r="GTC125" s="72"/>
      <c r="GTD125" s="72"/>
      <c r="GTE125" s="72"/>
      <c r="GTF125" s="72"/>
      <c r="GTG125" s="72"/>
      <c r="GTH125" s="72"/>
      <c r="GTI125" s="72"/>
      <c r="GTJ125" s="72"/>
      <c r="GTK125" s="72"/>
      <c r="GTL125" s="72"/>
      <c r="GTM125" s="72"/>
      <c r="GTN125" s="72"/>
      <c r="GTO125" s="72"/>
      <c r="GTP125" s="72"/>
      <c r="GTQ125" s="72"/>
      <c r="GTR125" s="72"/>
      <c r="GTS125" s="72"/>
      <c r="GTT125" s="72"/>
      <c r="GTU125" s="72"/>
      <c r="GTV125" s="72"/>
      <c r="GTW125" s="72"/>
      <c r="GTX125" s="72"/>
      <c r="GTY125" s="72"/>
      <c r="GTZ125" s="72"/>
      <c r="GUA125" s="72"/>
      <c r="GUB125" s="72"/>
      <c r="GUC125" s="72"/>
      <c r="GUD125" s="72"/>
      <c r="GUE125" s="72"/>
      <c r="GUF125" s="72"/>
      <c r="GUG125" s="72"/>
      <c r="GUH125" s="72"/>
      <c r="GUI125" s="72"/>
      <c r="GUJ125" s="72"/>
      <c r="GUK125" s="72"/>
      <c r="GUL125" s="72"/>
      <c r="GUM125" s="72"/>
      <c r="GUN125" s="72"/>
      <c r="GUO125" s="72"/>
      <c r="GUP125" s="72"/>
      <c r="GUQ125" s="72"/>
      <c r="GUR125" s="72"/>
      <c r="GUS125" s="72"/>
      <c r="GUT125" s="72"/>
      <c r="GUU125" s="72"/>
      <c r="GUV125" s="72"/>
      <c r="GUW125" s="72"/>
      <c r="GUX125" s="72"/>
      <c r="GUY125" s="72"/>
      <c r="GUZ125" s="72"/>
      <c r="GVA125" s="72"/>
      <c r="GVB125" s="72"/>
      <c r="GVC125" s="72"/>
      <c r="GVD125" s="72"/>
      <c r="GVE125" s="72"/>
      <c r="GVF125" s="72"/>
      <c r="GVG125" s="72"/>
      <c r="GVH125" s="72"/>
      <c r="GVI125" s="72"/>
      <c r="GVJ125" s="72"/>
      <c r="GVK125" s="72"/>
      <c r="GVL125" s="72"/>
      <c r="GVM125" s="72"/>
      <c r="GVN125" s="72"/>
      <c r="GVO125" s="72"/>
      <c r="GVP125" s="72"/>
      <c r="GVQ125" s="72"/>
      <c r="GVR125" s="72"/>
      <c r="GVS125" s="72"/>
      <c r="GVT125" s="72"/>
      <c r="GVU125" s="72"/>
      <c r="GVV125" s="72"/>
      <c r="GVW125" s="72"/>
      <c r="GVX125" s="72"/>
      <c r="GVY125" s="72"/>
      <c r="GVZ125" s="72"/>
      <c r="GWA125" s="72"/>
      <c r="GWB125" s="72"/>
      <c r="GWC125" s="72"/>
      <c r="GWD125" s="72"/>
      <c r="GWE125" s="72"/>
      <c r="GWF125" s="72"/>
      <c r="GWG125" s="72"/>
      <c r="GWH125" s="72"/>
      <c r="GWI125" s="72"/>
      <c r="GWJ125" s="72"/>
      <c r="GWK125" s="72"/>
      <c r="GWL125" s="72"/>
      <c r="GWM125" s="72"/>
      <c r="GWN125" s="72"/>
      <c r="GWO125" s="72"/>
      <c r="GWP125" s="72"/>
      <c r="GWQ125" s="72"/>
      <c r="GWR125" s="72"/>
      <c r="GWS125" s="72"/>
      <c r="GWT125" s="72"/>
      <c r="GWU125" s="72"/>
      <c r="GWV125" s="72"/>
      <c r="GWW125" s="72"/>
      <c r="GWX125" s="72"/>
      <c r="GWY125" s="72"/>
      <c r="GWZ125" s="72"/>
      <c r="GXA125" s="72"/>
      <c r="GXB125" s="72"/>
      <c r="GXC125" s="72"/>
      <c r="GXD125" s="72"/>
      <c r="GXE125" s="72"/>
      <c r="GXF125" s="72"/>
      <c r="GXG125" s="72"/>
      <c r="GXH125" s="72"/>
      <c r="GXI125" s="72"/>
      <c r="GXJ125" s="72"/>
      <c r="GXK125" s="72"/>
      <c r="GXL125" s="72"/>
      <c r="GXM125" s="72"/>
      <c r="GXN125" s="72"/>
      <c r="GXO125" s="72"/>
      <c r="GXP125" s="72"/>
      <c r="GXQ125" s="72"/>
      <c r="GXR125" s="72"/>
      <c r="GXS125" s="72"/>
      <c r="GXT125" s="72"/>
      <c r="GXU125" s="72"/>
      <c r="GXV125" s="72"/>
      <c r="GXW125" s="72"/>
      <c r="GXX125" s="72"/>
      <c r="GXY125" s="72"/>
      <c r="GXZ125" s="72"/>
      <c r="GYA125" s="72"/>
      <c r="GYB125" s="72"/>
      <c r="GYC125" s="72"/>
      <c r="GYD125" s="72"/>
      <c r="GYE125" s="72"/>
      <c r="GYF125" s="72"/>
      <c r="GYG125" s="72"/>
      <c r="GYH125" s="72"/>
      <c r="GYI125" s="72"/>
      <c r="GYJ125" s="72"/>
      <c r="GYK125" s="72"/>
      <c r="GYL125" s="72"/>
      <c r="GYM125" s="72"/>
      <c r="GYN125" s="72"/>
      <c r="GYO125" s="72"/>
      <c r="GYP125" s="72"/>
      <c r="GYQ125" s="72"/>
      <c r="GYR125" s="72"/>
      <c r="GYS125" s="72"/>
      <c r="GYT125" s="72"/>
      <c r="GYU125" s="72"/>
      <c r="GYV125" s="72"/>
      <c r="GYW125" s="72"/>
      <c r="GYX125" s="72"/>
      <c r="GYY125" s="72"/>
      <c r="GYZ125" s="72"/>
      <c r="GZA125" s="72"/>
      <c r="GZB125" s="72"/>
      <c r="GZC125" s="72"/>
      <c r="GZD125" s="72"/>
      <c r="GZE125" s="72"/>
      <c r="GZF125" s="72"/>
      <c r="GZG125" s="72"/>
      <c r="GZH125" s="72"/>
      <c r="GZI125" s="72"/>
      <c r="GZJ125" s="72"/>
      <c r="GZK125" s="72"/>
      <c r="GZL125" s="72"/>
      <c r="GZM125" s="72"/>
      <c r="GZN125" s="72"/>
      <c r="GZO125" s="72"/>
      <c r="GZP125" s="72"/>
      <c r="GZQ125" s="72"/>
      <c r="GZR125" s="72"/>
      <c r="GZS125" s="72"/>
      <c r="GZT125" s="72"/>
      <c r="GZU125" s="72"/>
      <c r="GZV125" s="72"/>
      <c r="GZW125" s="72"/>
      <c r="GZX125" s="72"/>
      <c r="GZY125" s="72"/>
      <c r="GZZ125" s="72"/>
      <c r="HAA125" s="72"/>
      <c r="HAB125" s="72"/>
      <c r="HAC125" s="72"/>
      <c r="HAD125" s="72"/>
      <c r="HAE125" s="72"/>
      <c r="HAF125" s="72"/>
      <c r="HAG125" s="72"/>
      <c r="HAH125" s="72"/>
      <c r="HAI125" s="72"/>
      <c r="HAJ125" s="72"/>
      <c r="HAK125" s="72"/>
      <c r="HAL125" s="72"/>
      <c r="HAM125" s="72"/>
      <c r="HAN125" s="72"/>
      <c r="HAO125" s="72"/>
      <c r="HAP125" s="72"/>
      <c r="HAQ125" s="72"/>
      <c r="HAR125" s="72"/>
      <c r="HAS125" s="72"/>
      <c r="HAT125" s="72"/>
      <c r="HAU125" s="72"/>
      <c r="HAV125" s="72"/>
      <c r="HAW125" s="72"/>
      <c r="HAX125" s="72"/>
      <c r="HAY125" s="72"/>
      <c r="HAZ125" s="72"/>
      <c r="HBA125" s="72"/>
      <c r="HBB125" s="72"/>
      <c r="HBC125" s="72"/>
      <c r="HBD125" s="72"/>
      <c r="HBE125" s="72"/>
      <c r="HBF125" s="72"/>
      <c r="HBG125" s="72"/>
      <c r="HBH125" s="72"/>
      <c r="HBI125" s="72"/>
      <c r="HBJ125" s="72"/>
      <c r="HBK125" s="72"/>
      <c r="HBL125" s="72"/>
      <c r="HBM125" s="72"/>
      <c r="HBN125" s="72"/>
      <c r="HBO125" s="72"/>
      <c r="HBP125" s="72"/>
      <c r="HBQ125" s="72"/>
      <c r="HBR125" s="72"/>
      <c r="HBS125" s="72"/>
      <c r="HBT125" s="72"/>
      <c r="HBU125" s="72"/>
      <c r="HBV125" s="72"/>
      <c r="HBW125" s="72"/>
      <c r="HBX125" s="72"/>
      <c r="HBY125" s="72"/>
      <c r="HBZ125" s="72"/>
      <c r="HCA125" s="72"/>
      <c r="HCB125" s="72"/>
      <c r="HCC125" s="72"/>
      <c r="HCD125" s="72"/>
      <c r="HCE125" s="72"/>
      <c r="HCF125" s="72"/>
      <c r="HCG125" s="72"/>
      <c r="HCH125" s="72"/>
      <c r="HCI125" s="72"/>
      <c r="HCJ125" s="72"/>
      <c r="HCK125" s="72"/>
      <c r="HCL125" s="72"/>
      <c r="HCM125" s="72"/>
      <c r="HCN125" s="72"/>
      <c r="HCO125" s="72"/>
      <c r="HCP125" s="72"/>
      <c r="HCQ125" s="72"/>
      <c r="HCR125" s="72"/>
      <c r="HCS125" s="72"/>
      <c r="HCT125" s="72"/>
      <c r="HCU125" s="72"/>
      <c r="HCV125" s="72"/>
      <c r="HCW125" s="72"/>
      <c r="HCX125" s="72"/>
      <c r="HCY125" s="72"/>
      <c r="HCZ125" s="72"/>
      <c r="HDA125" s="72"/>
      <c r="HDB125" s="72"/>
      <c r="HDC125" s="72"/>
      <c r="HDD125" s="72"/>
      <c r="HDE125" s="72"/>
      <c r="HDF125" s="72"/>
      <c r="HDG125" s="72"/>
      <c r="HDH125" s="72"/>
      <c r="HDI125" s="72"/>
      <c r="HDJ125" s="72"/>
      <c r="HDK125" s="72"/>
      <c r="HDL125" s="72"/>
      <c r="HDM125" s="72"/>
      <c r="HDN125" s="72"/>
      <c r="HDO125" s="72"/>
      <c r="HDP125" s="72"/>
      <c r="HDQ125" s="72"/>
      <c r="HDR125" s="72"/>
      <c r="HDS125" s="72"/>
      <c r="HDT125" s="72"/>
      <c r="HDU125" s="72"/>
      <c r="HDV125" s="72"/>
      <c r="HDW125" s="72"/>
      <c r="HDX125" s="72"/>
      <c r="HDY125" s="72"/>
      <c r="HDZ125" s="72"/>
      <c r="HEA125" s="72"/>
      <c r="HEB125" s="72"/>
      <c r="HEC125" s="72"/>
      <c r="HED125" s="72"/>
      <c r="HEE125" s="72"/>
      <c r="HEF125" s="72"/>
      <c r="HEG125" s="72"/>
      <c r="HEH125" s="72"/>
      <c r="HEI125" s="72"/>
      <c r="HEJ125" s="72"/>
      <c r="HEK125" s="72"/>
      <c r="HEL125" s="72"/>
      <c r="HEM125" s="72"/>
      <c r="HEN125" s="72"/>
      <c r="HEO125" s="72"/>
      <c r="HEP125" s="72"/>
      <c r="HEQ125" s="72"/>
      <c r="HER125" s="72"/>
      <c r="HES125" s="72"/>
      <c r="HET125" s="72"/>
      <c r="HEU125" s="72"/>
      <c r="HEV125" s="72"/>
      <c r="HEW125" s="72"/>
      <c r="HEX125" s="72"/>
      <c r="HEY125" s="72"/>
      <c r="HEZ125" s="72"/>
      <c r="HFA125" s="72"/>
      <c r="HFB125" s="72"/>
      <c r="HFC125" s="72"/>
      <c r="HFD125" s="72"/>
      <c r="HFE125" s="72"/>
      <c r="HFF125" s="72"/>
      <c r="HFG125" s="72"/>
      <c r="HFH125" s="72"/>
      <c r="HFI125" s="72"/>
      <c r="HFJ125" s="72"/>
      <c r="HFK125" s="72"/>
      <c r="HFL125" s="72"/>
      <c r="HFM125" s="72"/>
      <c r="HFN125" s="72"/>
      <c r="HFO125" s="72"/>
      <c r="HFP125" s="72"/>
      <c r="HFQ125" s="72"/>
      <c r="HFR125" s="72"/>
      <c r="HFS125" s="72"/>
      <c r="HFT125" s="72"/>
      <c r="HFU125" s="72"/>
      <c r="HFV125" s="72"/>
      <c r="HFW125" s="72"/>
      <c r="HFX125" s="72"/>
      <c r="HFY125" s="72"/>
      <c r="HFZ125" s="72"/>
      <c r="HGA125" s="72"/>
      <c r="HGB125" s="72"/>
      <c r="HGC125" s="72"/>
      <c r="HGD125" s="72"/>
      <c r="HGE125" s="72"/>
      <c r="HGF125" s="72"/>
      <c r="HGG125" s="72"/>
      <c r="HGH125" s="72"/>
      <c r="HGI125" s="72"/>
      <c r="HGJ125" s="72"/>
      <c r="HGK125" s="72"/>
      <c r="HGL125" s="72"/>
      <c r="HGM125" s="72"/>
      <c r="HGN125" s="72"/>
      <c r="HGO125" s="72"/>
      <c r="HGP125" s="72"/>
      <c r="HGQ125" s="72"/>
      <c r="HGR125" s="72"/>
      <c r="HGS125" s="72"/>
      <c r="HGT125" s="72"/>
      <c r="HGU125" s="72"/>
      <c r="HGV125" s="72"/>
      <c r="HGW125" s="72"/>
      <c r="HGX125" s="72"/>
      <c r="HGY125" s="72"/>
      <c r="HGZ125" s="72"/>
      <c r="HHA125" s="72"/>
      <c r="HHB125" s="72"/>
      <c r="HHC125" s="72"/>
      <c r="HHD125" s="72"/>
      <c r="HHE125" s="72"/>
      <c r="HHF125" s="72"/>
      <c r="HHG125" s="72"/>
      <c r="HHH125" s="72"/>
      <c r="HHI125" s="72"/>
      <c r="HHJ125" s="72"/>
      <c r="HHK125" s="72"/>
      <c r="HHL125" s="72"/>
      <c r="HHM125" s="72"/>
      <c r="HHN125" s="72"/>
      <c r="HHO125" s="72"/>
      <c r="HHP125" s="72"/>
      <c r="HHQ125" s="72"/>
      <c r="HHR125" s="72"/>
      <c r="HHS125" s="72"/>
      <c r="HHT125" s="72"/>
      <c r="HHU125" s="72"/>
      <c r="HHV125" s="72"/>
      <c r="HHW125" s="72"/>
      <c r="HHX125" s="72"/>
      <c r="HHY125" s="72"/>
      <c r="HHZ125" s="72"/>
      <c r="HIA125" s="72"/>
      <c r="HIB125" s="72"/>
      <c r="HIC125" s="72"/>
      <c r="HID125" s="72"/>
      <c r="HIE125" s="72"/>
      <c r="HIF125" s="72"/>
      <c r="HIG125" s="72"/>
      <c r="HIH125" s="72"/>
      <c r="HII125" s="72"/>
      <c r="HIJ125" s="72"/>
      <c r="HIK125" s="72"/>
      <c r="HIL125" s="72"/>
      <c r="HIM125" s="72"/>
      <c r="HIN125" s="72"/>
      <c r="HIO125" s="72"/>
      <c r="HIP125" s="72"/>
      <c r="HIQ125" s="72"/>
      <c r="HIR125" s="72"/>
      <c r="HIS125" s="72"/>
      <c r="HIT125" s="72"/>
      <c r="HIU125" s="72"/>
      <c r="HIV125" s="72"/>
      <c r="HIW125" s="72"/>
      <c r="HIX125" s="72"/>
      <c r="HIY125" s="72"/>
      <c r="HIZ125" s="72"/>
      <c r="HJA125" s="72"/>
      <c r="HJB125" s="72"/>
      <c r="HJC125" s="72"/>
      <c r="HJD125" s="72"/>
      <c r="HJE125" s="72"/>
      <c r="HJF125" s="72"/>
      <c r="HJG125" s="72"/>
      <c r="HJH125" s="72"/>
      <c r="HJI125" s="72"/>
      <c r="HJJ125" s="72"/>
      <c r="HJK125" s="72"/>
      <c r="HJL125" s="72"/>
      <c r="HJM125" s="72"/>
      <c r="HJN125" s="72"/>
      <c r="HJO125" s="72"/>
      <c r="HJP125" s="72"/>
      <c r="HJQ125" s="72"/>
      <c r="HJR125" s="72"/>
      <c r="HJS125" s="72"/>
      <c r="HJT125" s="72"/>
      <c r="HJU125" s="72"/>
      <c r="HJV125" s="72"/>
      <c r="HJW125" s="72"/>
      <c r="HJX125" s="72"/>
      <c r="HJY125" s="72"/>
      <c r="HJZ125" s="72"/>
      <c r="HKA125" s="72"/>
      <c r="HKB125" s="72"/>
      <c r="HKC125" s="72"/>
      <c r="HKD125" s="72"/>
      <c r="HKE125" s="72"/>
      <c r="HKF125" s="72"/>
      <c r="HKG125" s="72"/>
      <c r="HKH125" s="72"/>
      <c r="HKI125" s="72"/>
      <c r="HKJ125" s="72"/>
      <c r="HKK125" s="72"/>
      <c r="HKL125" s="72"/>
      <c r="HKM125" s="72"/>
      <c r="HKN125" s="72"/>
      <c r="HKO125" s="72"/>
      <c r="HKP125" s="72"/>
      <c r="HKQ125" s="72"/>
      <c r="HKR125" s="72"/>
      <c r="HKS125" s="72"/>
      <c r="HKT125" s="72"/>
      <c r="HKU125" s="72"/>
      <c r="HKV125" s="72"/>
      <c r="HKW125" s="72"/>
      <c r="HKX125" s="72"/>
      <c r="HKY125" s="72"/>
      <c r="HKZ125" s="72"/>
      <c r="HLA125" s="72"/>
      <c r="HLB125" s="72"/>
      <c r="HLC125" s="72"/>
      <c r="HLD125" s="72"/>
      <c r="HLE125" s="72"/>
      <c r="HLF125" s="72"/>
      <c r="HLG125" s="72"/>
      <c r="HLH125" s="72"/>
      <c r="HLI125" s="72"/>
      <c r="HLJ125" s="72"/>
      <c r="HLK125" s="72"/>
      <c r="HLL125" s="72"/>
      <c r="HLM125" s="72"/>
      <c r="HLN125" s="72"/>
      <c r="HLO125" s="72"/>
      <c r="HLP125" s="72"/>
      <c r="HLQ125" s="72"/>
      <c r="HLR125" s="72"/>
      <c r="HLS125" s="72"/>
      <c r="HLT125" s="72"/>
      <c r="HLU125" s="72"/>
      <c r="HLV125" s="72"/>
      <c r="HLW125" s="72"/>
      <c r="HLX125" s="72"/>
      <c r="HLY125" s="72"/>
      <c r="HLZ125" s="72"/>
      <c r="HMA125" s="72"/>
      <c r="HMB125" s="72"/>
      <c r="HMC125" s="72"/>
      <c r="HMD125" s="72"/>
      <c r="HME125" s="72"/>
      <c r="HMF125" s="72"/>
      <c r="HMG125" s="72"/>
      <c r="HMH125" s="72"/>
      <c r="HMI125" s="72"/>
      <c r="HMJ125" s="72"/>
      <c r="HMK125" s="72"/>
      <c r="HML125" s="72"/>
      <c r="HMM125" s="72"/>
      <c r="HMN125" s="72"/>
      <c r="HMO125" s="72"/>
      <c r="HMP125" s="72"/>
      <c r="HMQ125" s="72"/>
      <c r="HMR125" s="72"/>
      <c r="HMS125" s="72"/>
      <c r="HMT125" s="72"/>
      <c r="HMU125" s="72"/>
      <c r="HMV125" s="72"/>
      <c r="HMW125" s="72"/>
      <c r="HMX125" s="72"/>
      <c r="HMY125" s="72"/>
      <c r="HMZ125" s="72"/>
      <c r="HNA125" s="72"/>
      <c r="HNB125" s="72"/>
      <c r="HNC125" s="72"/>
      <c r="HND125" s="72"/>
      <c r="HNE125" s="72"/>
      <c r="HNF125" s="72"/>
      <c r="HNG125" s="72"/>
      <c r="HNH125" s="72"/>
      <c r="HNI125" s="72"/>
      <c r="HNJ125" s="72"/>
      <c r="HNK125" s="72"/>
      <c r="HNL125" s="72"/>
      <c r="HNM125" s="72"/>
      <c r="HNN125" s="72"/>
      <c r="HNO125" s="72"/>
      <c r="HNP125" s="72"/>
      <c r="HNQ125" s="72"/>
      <c r="HNR125" s="72"/>
      <c r="HNS125" s="72"/>
      <c r="HNT125" s="72"/>
      <c r="HNU125" s="72"/>
      <c r="HNV125" s="72"/>
      <c r="HNW125" s="72"/>
      <c r="HNX125" s="72"/>
      <c r="HNY125" s="72"/>
      <c r="HNZ125" s="72"/>
      <c r="HOA125" s="72"/>
      <c r="HOB125" s="72"/>
      <c r="HOC125" s="72"/>
      <c r="HOD125" s="72"/>
      <c r="HOE125" s="72"/>
      <c r="HOF125" s="72"/>
      <c r="HOG125" s="72"/>
      <c r="HOH125" s="72"/>
      <c r="HOI125" s="72"/>
      <c r="HOJ125" s="72"/>
      <c r="HOK125" s="72"/>
      <c r="HOL125" s="72"/>
      <c r="HOM125" s="72"/>
      <c r="HON125" s="72"/>
      <c r="HOO125" s="72"/>
      <c r="HOP125" s="72"/>
      <c r="HOQ125" s="72"/>
      <c r="HOR125" s="72"/>
      <c r="HOS125" s="72"/>
      <c r="HOT125" s="72"/>
      <c r="HOU125" s="72"/>
      <c r="HOV125" s="72"/>
      <c r="HOW125" s="72"/>
      <c r="HOX125" s="72"/>
      <c r="HOY125" s="72"/>
      <c r="HOZ125" s="72"/>
      <c r="HPA125" s="72"/>
      <c r="HPB125" s="72"/>
      <c r="HPC125" s="72"/>
      <c r="HPD125" s="72"/>
      <c r="HPE125" s="72"/>
      <c r="HPF125" s="72"/>
      <c r="HPG125" s="72"/>
      <c r="HPH125" s="72"/>
      <c r="HPI125" s="72"/>
      <c r="HPJ125" s="72"/>
      <c r="HPK125" s="72"/>
      <c r="HPL125" s="72"/>
      <c r="HPM125" s="72"/>
      <c r="HPN125" s="72"/>
      <c r="HPO125" s="72"/>
      <c r="HPP125" s="72"/>
      <c r="HPQ125" s="72"/>
      <c r="HPR125" s="72"/>
      <c r="HPS125" s="72"/>
      <c r="HPT125" s="72"/>
      <c r="HPU125" s="72"/>
      <c r="HPV125" s="72"/>
      <c r="HPW125" s="72"/>
      <c r="HPX125" s="72"/>
      <c r="HPY125" s="72"/>
      <c r="HPZ125" s="72"/>
      <c r="HQA125" s="72"/>
      <c r="HQB125" s="72"/>
      <c r="HQC125" s="72"/>
      <c r="HQD125" s="72"/>
      <c r="HQE125" s="72"/>
      <c r="HQF125" s="72"/>
      <c r="HQG125" s="72"/>
      <c r="HQH125" s="72"/>
      <c r="HQI125" s="72"/>
      <c r="HQJ125" s="72"/>
      <c r="HQK125" s="72"/>
      <c r="HQL125" s="72"/>
      <c r="HQM125" s="72"/>
      <c r="HQN125" s="72"/>
      <c r="HQO125" s="72"/>
      <c r="HQP125" s="72"/>
      <c r="HQQ125" s="72"/>
      <c r="HQR125" s="72"/>
      <c r="HQS125" s="72"/>
      <c r="HQT125" s="72"/>
      <c r="HQU125" s="72"/>
      <c r="HQV125" s="72"/>
      <c r="HQW125" s="72"/>
      <c r="HQX125" s="72"/>
      <c r="HQY125" s="72"/>
      <c r="HQZ125" s="72"/>
      <c r="HRA125" s="72"/>
      <c r="HRB125" s="72"/>
      <c r="HRC125" s="72"/>
      <c r="HRD125" s="72"/>
      <c r="HRE125" s="72"/>
      <c r="HRF125" s="72"/>
      <c r="HRG125" s="72"/>
      <c r="HRH125" s="72"/>
      <c r="HRI125" s="72"/>
      <c r="HRJ125" s="72"/>
      <c r="HRK125" s="72"/>
      <c r="HRL125" s="72"/>
      <c r="HRM125" s="72"/>
      <c r="HRN125" s="72"/>
      <c r="HRO125" s="72"/>
      <c r="HRP125" s="72"/>
      <c r="HRQ125" s="72"/>
      <c r="HRR125" s="72"/>
      <c r="HRS125" s="72"/>
      <c r="HRT125" s="72"/>
      <c r="HRU125" s="72"/>
      <c r="HRV125" s="72"/>
      <c r="HRW125" s="72"/>
      <c r="HRX125" s="72"/>
      <c r="HRY125" s="72"/>
      <c r="HRZ125" s="72"/>
      <c r="HSA125" s="72"/>
      <c r="HSB125" s="72"/>
      <c r="HSC125" s="72"/>
      <c r="HSD125" s="72"/>
      <c r="HSE125" s="72"/>
      <c r="HSF125" s="72"/>
      <c r="HSG125" s="72"/>
      <c r="HSH125" s="72"/>
      <c r="HSI125" s="72"/>
      <c r="HSJ125" s="72"/>
      <c r="HSK125" s="72"/>
      <c r="HSL125" s="72"/>
      <c r="HSM125" s="72"/>
      <c r="HSN125" s="72"/>
      <c r="HSO125" s="72"/>
      <c r="HSP125" s="72"/>
      <c r="HSQ125" s="72"/>
      <c r="HSR125" s="72"/>
      <c r="HSS125" s="72"/>
      <c r="HST125" s="72"/>
      <c r="HSU125" s="72"/>
      <c r="HSV125" s="72"/>
      <c r="HSW125" s="72"/>
      <c r="HSX125" s="72"/>
      <c r="HSY125" s="72"/>
      <c r="HSZ125" s="72"/>
      <c r="HTA125" s="72"/>
      <c r="HTB125" s="72"/>
      <c r="HTC125" s="72"/>
      <c r="HTD125" s="72"/>
      <c r="HTE125" s="72"/>
      <c r="HTF125" s="72"/>
      <c r="HTG125" s="72"/>
      <c r="HTH125" s="72"/>
      <c r="HTI125" s="72"/>
      <c r="HTJ125" s="72"/>
      <c r="HTK125" s="72"/>
      <c r="HTL125" s="72"/>
      <c r="HTM125" s="72"/>
      <c r="HTN125" s="72"/>
      <c r="HTO125" s="72"/>
      <c r="HTP125" s="72"/>
      <c r="HTQ125" s="72"/>
      <c r="HTR125" s="72"/>
      <c r="HTS125" s="72"/>
      <c r="HTT125" s="72"/>
      <c r="HTU125" s="72"/>
      <c r="HTV125" s="72"/>
      <c r="HTW125" s="72"/>
      <c r="HTX125" s="72"/>
      <c r="HTY125" s="72"/>
      <c r="HTZ125" s="72"/>
      <c r="HUA125" s="72"/>
      <c r="HUB125" s="72"/>
      <c r="HUC125" s="72"/>
      <c r="HUD125" s="72"/>
      <c r="HUE125" s="72"/>
      <c r="HUF125" s="72"/>
      <c r="HUG125" s="72"/>
      <c r="HUH125" s="72"/>
      <c r="HUI125" s="72"/>
      <c r="HUJ125" s="72"/>
      <c r="HUK125" s="72"/>
      <c r="HUL125" s="72"/>
      <c r="HUM125" s="72"/>
      <c r="HUN125" s="72"/>
      <c r="HUO125" s="72"/>
      <c r="HUP125" s="72"/>
      <c r="HUQ125" s="72"/>
      <c r="HUR125" s="72"/>
      <c r="HUS125" s="72"/>
      <c r="HUT125" s="72"/>
      <c r="HUU125" s="72"/>
      <c r="HUV125" s="72"/>
      <c r="HUW125" s="72"/>
      <c r="HUX125" s="72"/>
      <c r="HUY125" s="72"/>
      <c r="HUZ125" s="72"/>
      <c r="HVA125" s="72"/>
      <c r="HVB125" s="72"/>
      <c r="HVC125" s="72"/>
      <c r="HVD125" s="72"/>
      <c r="HVE125" s="72"/>
      <c r="HVF125" s="72"/>
      <c r="HVG125" s="72"/>
      <c r="HVH125" s="72"/>
      <c r="HVI125" s="72"/>
      <c r="HVJ125" s="72"/>
      <c r="HVK125" s="72"/>
      <c r="HVL125" s="72"/>
      <c r="HVM125" s="72"/>
      <c r="HVN125" s="72"/>
      <c r="HVO125" s="72"/>
      <c r="HVP125" s="72"/>
      <c r="HVQ125" s="72"/>
      <c r="HVR125" s="72"/>
      <c r="HVS125" s="72"/>
      <c r="HVT125" s="72"/>
      <c r="HVU125" s="72"/>
      <c r="HVV125" s="72"/>
      <c r="HVW125" s="72"/>
      <c r="HVX125" s="72"/>
      <c r="HVY125" s="72"/>
      <c r="HVZ125" s="72"/>
      <c r="HWA125" s="72"/>
      <c r="HWB125" s="72"/>
      <c r="HWC125" s="72"/>
      <c r="HWD125" s="72"/>
      <c r="HWE125" s="72"/>
      <c r="HWF125" s="72"/>
      <c r="HWG125" s="72"/>
      <c r="HWH125" s="72"/>
      <c r="HWI125" s="72"/>
      <c r="HWJ125" s="72"/>
      <c r="HWK125" s="72"/>
      <c r="HWL125" s="72"/>
      <c r="HWM125" s="72"/>
      <c r="HWN125" s="72"/>
      <c r="HWO125" s="72"/>
      <c r="HWP125" s="72"/>
      <c r="HWQ125" s="72"/>
      <c r="HWR125" s="72"/>
      <c r="HWS125" s="72"/>
      <c r="HWT125" s="72"/>
      <c r="HWU125" s="72"/>
      <c r="HWV125" s="72"/>
      <c r="HWW125" s="72"/>
      <c r="HWX125" s="72"/>
      <c r="HWY125" s="72"/>
      <c r="HWZ125" s="72"/>
      <c r="HXA125" s="72"/>
      <c r="HXB125" s="72"/>
      <c r="HXC125" s="72"/>
      <c r="HXD125" s="72"/>
      <c r="HXE125" s="72"/>
      <c r="HXF125" s="72"/>
      <c r="HXG125" s="72"/>
      <c r="HXH125" s="72"/>
      <c r="HXI125" s="72"/>
      <c r="HXJ125" s="72"/>
      <c r="HXK125" s="72"/>
      <c r="HXL125" s="72"/>
      <c r="HXM125" s="72"/>
      <c r="HXN125" s="72"/>
      <c r="HXO125" s="72"/>
      <c r="HXP125" s="72"/>
      <c r="HXQ125" s="72"/>
      <c r="HXR125" s="72"/>
      <c r="HXS125" s="72"/>
      <c r="HXT125" s="72"/>
      <c r="HXU125" s="72"/>
      <c r="HXV125" s="72"/>
      <c r="HXW125" s="72"/>
      <c r="HXX125" s="72"/>
      <c r="HXY125" s="72"/>
      <c r="HXZ125" s="72"/>
      <c r="HYA125" s="72"/>
      <c r="HYB125" s="72"/>
      <c r="HYC125" s="72"/>
      <c r="HYD125" s="72"/>
      <c r="HYE125" s="72"/>
      <c r="HYF125" s="72"/>
      <c r="HYG125" s="72"/>
      <c r="HYH125" s="72"/>
      <c r="HYI125" s="72"/>
      <c r="HYJ125" s="72"/>
      <c r="HYK125" s="72"/>
      <c r="HYL125" s="72"/>
      <c r="HYM125" s="72"/>
      <c r="HYN125" s="72"/>
      <c r="HYO125" s="72"/>
      <c r="HYP125" s="72"/>
      <c r="HYQ125" s="72"/>
      <c r="HYR125" s="72"/>
      <c r="HYS125" s="72"/>
      <c r="HYT125" s="72"/>
      <c r="HYU125" s="72"/>
      <c r="HYV125" s="72"/>
      <c r="HYW125" s="72"/>
      <c r="HYX125" s="72"/>
      <c r="HYY125" s="72"/>
      <c r="HYZ125" s="72"/>
      <c r="HZA125" s="72"/>
      <c r="HZB125" s="72"/>
      <c r="HZC125" s="72"/>
      <c r="HZD125" s="72"/>
      <c r="HZE125" s="72"/>
      <c r="HZF125" s="72"/>
      <c r="HZG125" s="72"/>
      <c r="HZH125" s="72"/>
      <c r="HZI125" s="72"/>
      <c r="HZJ125" s="72"/>
      <c r="HZK125" s="72"/>
      <c r="HZL125" s="72"/>
      <c r="HZM125" s="72"/>
      <c r="HZN125" s="72"/>
      <c r="HZO125" s="72"/>
      <c r="HZP125" s="72"/>
      <c r="HZQ125" s="72"/>
      <c r="HZR125" s="72"/>
      <c r="HZS125" s="72"/>
      <c r="HZT125" s="72"/>
      <c r="HZU125" s="72"/>
      <c r="HZV125" s="72"/>
      <c r="HZW125" s="72"/>
      <c r="HZX125" s="72"/>
      <c r="HZY125" s="72"/>
      <c r="HZZ125" s="72"/>
      <c r="IAA125" s="72"/>
      <c r="IAB125" s="72"/>
      <c r="IAC125" s="72"/>
      <c r="IAD125" s="72"/>
      <c r="IAE125" s="72"/>
      <c r="IAF125" s="72"/>
      <c r="IAG125" s="72"/>
      <c r="IAH125" s="72"/>
      <c r="IAI125" s="72"/>
      <c r="IAJ125" s="72"/>
      <c r="IAK125" s="72"/>
      <c r="IAL125" s="72"/>
      <c r="IAM125" s="72"/>
      <c r="IAN125" s="72"/>
      <c r="IAO125" s="72"/>
      <c r="IAP125" s="72"/>
      <c r="IAQ125" s="72"/>
      <c r="IAR125" s="72"/>
      <c r="IAS125" s="72"/>
      <c r="IAT125" s="72"/>
      <c r="IAU125" s="72"/>
      <c r="IAV125" s="72"/>
      <c r="IAW125" s="72"/>
      <c r="IAX125" s="72"/>
      <c r="IAY125" s="72"/>
      <c r="IAZ125" s="72"/>
      <c r="IBA125" s="72"/>
      <c r="IBB125" s="72"/>
      <c r="IBC125" s="72"/>
      <c r="IBD125" s="72"/>
      <c r="IBE125" s="72"/>
      <c r="IBF125" s="72"/>
      <c r="IBG125" s="72"/>
      <c r="IBH125" s="72"/>
      <c r="IBI125" s="72"/>
      <c r="IBJ125" s="72"/>
      <c r="IBK125" s="72"/>
      <c r="IBL125" s="72"/>
      <c r="IBM125" s="72"/>
      <c r="IBN125" s="72"/>
      <c r="IBO125" s="72"/>
      <c r="IBP125" s="72"/>
      <c r="IBQ125" s="72"/>
      <c r="IBR125" s="72"/>
      <c r="IBS125" s="72"/>
      <c r="IBT125" s="72"/>
      <c r="IBU125" s="72"/>
      <c r="IBV125" s="72"/>
      <c r="IBW125" s="72"/>
      <c r="IBX125" s="72"/>
      <c r="IBY125" s="72"/>
      <c r="IBZ125" s="72"/>
      <c r="ICA125" s="72"/>
      <c r="ICB125" s="72"/>
      <c r="ICC125" s="72"/>
      <c r="ICD125" s="72"/>
      <c r="ICE125" s="72"/>
      <c r="ICF125" s="72"/>
      <c r="ICG125" s="72"/>
      <c r="ICH125" s="72"/>
      <c r="ICI125" s="72"/>
      <c r="ICJ125" s="72"/>
      <c r="ICK125" s="72"/>
      <c r="ICL125" s="72"/>
      <c r="ICM125" s="72"/>
      <c r="ICN125" s="72"/>
      <c r="ICO125" s="72"/>
      <c r="ICP125" s="72"/>
      <c r="ICQ125" s="72"/>
      <c r="ICR125" s="72"/>
      <c r="ICS125" s="72"/>
      <c r="ICT125" s="72"/>
      <c r="ICU125" s="72"/>
      <c r="ICV125" s="72"/>
      <c r="ICW125" s="72"/>
      <c r="ICX125" s="72"/>
      <c r="ICY125" s="72"/>
      <c r="ICZ125" s="72"/>
      <c r="IDA125" s="72"/>
      <c r="IDB125" s="72"/>
      <c r="IDC125" s="72"/>
      <c r="IDD125" s="72"/>
      <c r="IDE125" s="72"/>
      <c r="IDF125" s="72"/>
      <c r="IDG125" s="72"/>
      <c r="IDH125" s="72"/>
      <c r="IDI125" s="72"/>
      <c r="IDJ125" s="72"/>
      <c r="IDK125" s="72"/>
      <c r="IDL125" s="72"/>
      <c r="IDM125" s="72"/>
      <c r="IDN125" s="72"/>
      <c r="IDO125" s="72"/>
      <c r="IDP125" s="72"/>
      <c r="IDQ125" s="72"/>
      <c r="IDR125" s="72"/>
      <c r="IDS125" s="72"/>
      <c r="IDT125" s="72"/>
      <c r="IDU125" s="72"/>
      <c r="IDV125" s="72"/>
      <c r="IDW125" s="72"/>
      <c r="IDX125" s="72"/>
      <c r="IDY125" s="72"/>
      <c r="IDZ125" s="72"/>
      <c r="IEA125" s="72"/>
      <c r="IEB125" s="72"/>
      <c r="IEC125" s="72"/>
      <c r="IED125" s="72"/>
      <c r="IEE125" s="72"/>
      <c r="IEF125" s="72"/>
      <c r="IEG125" s="72"/>
      <c r="IEH125" s="72"/>
      <c r="IEI125" s="72"/>
      <c r="IEJ125" s="72"/>
      <c r="IEK125" s="72"/>
      <c r="IEL125" s="72"/>
      <c r="IEM125" s="72"/>
      <c r="IEN125" s="72"/>
      <c r="IEO125" s="72"/>
      <c r="IEP125" s="72"/>
      <c r="IEQ125" s="72"/>
      <c r="IER125" s="72"/>
      <c r="IES125" s="72"/>
      <c r="IET125" s="72"/>
      <c r="IEU125" s="72"/>
      <c r="IEV125" s="72"/>
      <c r="IEW125" s="72"/>
      <c r="IEX125" s="72"/>
      <c r="IEY125" s="72"/>
      <c r="IEZ125" s="72"/>
      <c r="IFA125" s="72"/>
      <c r="IFB125" s="72"/>
      <c r="IFC125" s="72"/>
      <c r="IFD125" s="72"/>
      <c r="IFE125" s="72"/>
      <c r="IFF125" s="72"/>
      <c r="IFG125" s="72"/>
      <c r="IFH125" s="72"/>
      <c r="IFI125" s="72"/>
      <c r="IFJ125" s="72"/>
      <c r="IFK125" s="72"/>
      <c r="IFL125" s="72"/>
      <c r="IFM125" s="72"/>
      <c r="IFN125" s="72"/>
      <c r="IFO125" s="72"/>
      <c r="IFP125" s="72"/>
      <c r="IFQ125" s="72"/>
      <c r="IFR125" s="72"/>
      <c r="IFS125" s="72"/>
      <c r="IFT125" s="72"/>
      <c r="IFU125" s="72"/>
      <c r="IFV125" s="72"/>
      <c r="IFW125" s="72"/>
      <c r="IFX125" s="72"/>
      <c r="IFY125" s="72"/>
      <c r="IFZ125" s="72"/>
      <c r="IGA125" s="72"/>
      <c r="IGB125" s="72"/>
      <c r="IGC125" s="72"/>
      <c r="IGD125" s="72"/>
      <c r="IGE125" s="72"/>
      <c r="IGF125" s="72"/>
      <c r="IGG125" s="72"/>
      <c r="IGH125" s="72"/>
      <c r="IGI125" s="72"/>
      <c r="IGJ125" s="72"/>
      <c r="IGK125" s="72"/>
      <c r="IGL125" s="72"/>
      <c r="IGM125" s="72"/>
      <c r="IGN125" s="72"/>
      <c r="IGO125" s="72"/>
      <c r="IGP125" s="72"/>
      <c r="IGQ125" s="72"/>
      <c r="IGR125" s="72"/>
      <c r="IGS125" s="72"/>
      <c r="IGT125" s="72"/>
      <c r="IGU125" s="72"/>
      <c r="IGV125" s="72"/>
      <c r="IGW125" s="72"/>
      <c r="IGX125" s="72"/>
      <c r="IGY125" s="72"/>
      <c r="IGZ125" s="72"/>
      <c r="IHA125" s="72"/>
      <c r="IHB125" s="72"/>
      <c r="IHC125" s="72"/>
      <c r="IHD125" s="72"/>
      <c r="IHE125" s="72"/>
      <c r="IHF125" s="72"/>
      <c r="IHG125" s="72"/>
      <c r="IHH125" s="72"/>
      <c r="IHI125" s="72"/>
      <c r="IHJ125" s="72"/>
      <c r="IHK125" s="72"/>
      <c r="IHL125" s="72"/>
      <c r="IHM125" s="72"/>
      <c r="IHN125" s="72"/>
      <c r="IHO125" s="72"/>
      <c r="IHP125" s="72"/>
      <c r="IHQ125" s="72"/>
      <c r="IHR125" s="72"/>
      <c r="IHS125" s="72"/>
      <c r="IHT125" s="72"/>
      <c r="IHU125" s="72"/>
      <c r="IHV125" s="72"/>
      <c r="IHW125" s="72"/>
      <c r="IHX125" s="72"/>
      <c r="IHY125" s="72"/>
      <c r="IHZ125" s="72"/>
      <c r="IIA125" s="72"/>
      <c r="IIB125" s="72"/>
      <c r="IIC125" s="72"/>
      <c r="IID125" s="72"/>
      <c r="IIE125" s="72"/>
      <c r="IIF125" s="72"/>
      <c r="IIG125" s="72"/>
      <c r="IIH125" s="72"/>
      <c r="III125" s="72"/>
      <c r="IIJ125" s="72"/>
      <c r="IIK125" s="72"/>
      <c r="IIL125" s="72"/>
      <c r="IIM125" s="72"/>
      <c r="IIN125" s="72"/>
      <c r="IIO125" s="72"/>
      <c r="IIP125" s="72"/>
      <c r="IIQ125" s="72"/>
      <c r="IIR125" s="72"/>
      <c r="IIS125" s="72"/>
      <c r="IIT125" s="72"/>
      <c r="IIU125" s="72"/>
      <c r="IIV125" s="72"/>
      <c r="IIW125" s="72"/>
      <c r="IIX125" s="72"/>
      <c r="IIY125" s="72"/>
      <c r="IIZ125" s="72"/>
      <c r="IJA125" s="72"/>
      <c r="IJB125" s="72"/>
      <c r="IJC125" s="72"/>
      <c r="IJD125" s="72"/>
      <c r="IJE125" s="72"/>
      <c r="IJF125" s="72"/>
      <c r="IJG125" s="72"/>
      <c r="IJH125" s="72"/>
      <c r="IJI125" s="72"/>
      <c r="IJJ125" s="72"/>
      <c r="IJK125" s="72"/>
      <c r="IJL125" s="72"/>
      <c r="IJM125" s="72"/>
      <c r="IJN125" s="72"/>
      <c r="IJO125" s="72"/>
      <c r="IJP125" s="72"/>
      <c r="IJQ125" s="72"/>
      <c r="IJR125" s="72"/>
      <c r="IJS125" s="72"/>
      <c r="IJT125" s="72"/>
      <c r="IJU125" s="72"/>
      <c r="IJV125" s="72"/>
      <c r="IJW125" s="72"/>
      <c r="IJX125" s="72"/>
      <c r="IJY125" s="72"/>
      <c r="IJZ125" s="72"/>
      <c r="IKA125" s="72"/>
      <c r="IKB125" s="72"/>
      <c r="IKC125" s="72"/>
      <c r="IKD125" s="72"/>
      <c r="IKE125" s="72"/>
      <c r="IKF125" s="72"/>
      <c r="IKG125" s="72"/>
      <c r="IKH125" s="72"/>
      <c r="IKI125" s="72"/>
      <c r="IKJ125" s="72"/>
      <c r="IKK125" s="72"/>
      <c r="IKL125" s="72"/>
      <c r="IKM125" s="72"/>
      <c r="IKN125" s="72"/>
      <c r="IKO125" s="72"/>
      <c r="IKP125" s="72"/>
      <c r="IKQ125" s="72"/>
      <c r="IKR125" s="72"/>
      <c r="IKS125" s="72"/>
      <c r="IKT125" s="72"/>
      <c r="IKU125" s="72"/>
      <c r="IKV125" s="72"/>
      <c r="IKW125" s="72"/>
      <c r="IKX125" s="72"/>
      <c r="IKY125" s="72"/>
      <c r="IKZ125" s="72"/>
      <c r="ILA125" s="72"/>
      <c r="ILB125" s="72"/>
      <c r="ILC125" s="72"/>
      <c r="ILD125" s="72"/>
      <c r="ILE125" s="72"/>
      <c r="ILF125" s="72"/>
      <c r="ILG125" s="72"/>
      <c r="ILH125" s="72"/>
      <c r="ILI125" s="72"/>
      <c r="ILJ125" s="72"/>
      <c r="ILK125" s="72"/>
      <c r="ILL125" s="72"/>
      <c r="ILM125" s="72"/>
      <c r="ILN125" s="72"/>
      <c r="ILO125" s="72"/>
      <c r="ILP125" s="72"/>
      <c r="ILQ125" s="72"/>
      <c r="ILR125" s="72"/>
      <c r="ILS125" s="72"/>
      <c r="ILT125" s="72"/>
      <c r="ILU125" s="72"/>
      <c r="ILV125" s="72"/>
      <c r="ILW125" s="72"/>
      <c r="ILX125" s="72"/>
      <c r="ILY125" s="72"/>
      <c r="ILZ125" s="72"/>
      <c r="IMA125" s="72"/>
      <c r="IMB125" s="72"/>
      <c r="IMC125" s="72"/>
      <c r="IMD125" s="72"/>
      <c r="IME125" s="72"/>
      <c r="IMF125" s="72"/>
      <c r="IMG125" s="72"/>
      <c r="IMH125" s="72"/>
      <c r="IMI125" s="72"/>
      <c r="IMJ125" s="72"/>
      <c r="IMK125" s="72"/>
      <c r="IML125" s="72"/>
      <c r="IMM125" s="72"/>
      <c r="IMN125" s="72"/>
      <c r="IMO125" s="72"/>
      <c r="IMP125" s="72"/>
      <c r="IMQ125" s="72"/>
      <c r="IMR125" s="72"/>
      <c r="IMS125" s="72"/>
      <c r="IMT125" s="72"/>
      <c r="IMU125" s="72"/>
      <c r="IMV125" s="72"/>
      <c r="IMW125" s="72"/>
      <c r="IMX125" s="72"/>
      <c r="IMY125" s="72"/>
      <c r="IMZ125" s="72"/>
      <c r="INA125" s="72"/>
      <c r="INB125" s="72"/>
      <c r="INC125" s="72"/>
      <c r="IND125" s="72"/>
      <c r="INE125" s="72"/>
      <c r="INF125" s="72"/>
      <c r="ING125" s="72"/>
      <c r="INH125" s="72"/>
      <c r="INI125" s="72"/>
      <c r="INJ125" s="72"/>
      <c r="INK125" s="72"/>
      <c r="INL125" s="72"/>
      <c r="INM125" s="72"/>
      <c r="INN125" s="72"/>
      <c r="INO125" s="72"/>
      <c r="INP125" s="72"/>
      <c r="INQ125" s="72"/>
      <c r="INR125" s="72"/>
      <c r="INS125" s="72"/>
      <c r="INT125" s="72"/>
      <c r="INU125" s="72"/>
      <c r="INV125" s="72"/>
      <c r="INW125" s="72"/>
      <c r="INX125" s="72"/>
      <c r="INY125" s="72"/>
      <c r="INZ125" s="72"/>
      <c r="IOA125" s="72"/>
      <c r="IOB125" s="72"/>
      <c r="IOC125" s="72"/>
      <c r="IOD125" s="72"/>
      <c r="IOE125" s="72"/>
      <c r="IOF125" s="72"/>
      <c r="IOG125" s="72"/>
      <c r="IOH125" s="72"/>
      <c r="IOI125" s="72"/>
      <c r="IOJ125" s="72"/>
      <c r="IOK125" s="72"/>
      <c r="IOL125" s="72"/>
      <c r="IOM125" s="72"/>
      <c r="ION125" s="72"/>
      <c r="IOO125" s="72"/>
      <c r="IOP125" s="72"/>
      <c r="IOQ125" s="72"/>
      <c r="IOR125" s="72"/>
      <c r="IOS125" s="72"/>
      <c r="IOT125" s="72"/>
      <c r="IOU125" s="72"/>
      <c r="IOV125" s="72"/>
      <c r="IOW125" s="72"/>
      <c r="IOX125" s="72"/>
      <c r="IOY125" s="72"/>
      <c r="IOZ125" s="72"/>
      <c r="IPA125" s="72"/>
      <c r="IPB125" s="72"/>
      <c r="IPC125" s="72"/>
      <c r="IPD125" s="72"/>
      <c r="IPE125" s="72"/>
      <c r="IPF125" s="72"/>
      <c r="IPG125" s="72"/>
      <c r="IPH125" s="72"/>
      <c r="IPI125" s="72"/>
      <c r="IPJ125" s="72"/>
      <c r="IPK125" s="72"/>
      <c r="IPL125" s="72"/>
      <c r="IPM125" s="72"/>
      <c r="IPN125" s="72"/>
      <c r="IPO125" s="72"/>
      <c r="IPP125" s="72"/>
      <c r="IPQ125" s="72"/>
      <c r="IPR125" s="72"/>
      <c r="IPS125" s="72"/>
      <c r="IPT125" s="72"/>
      <c r="IPU125" s="72"/>
      <c r="IPV125" s="72"/>
      <c r="IPW125" s="72"/>
      <c r="IPX125" s="72"/>
      <c r="IPY125" s="72"/>
      <c r="IPZ125" s="72"/>
      <c r="IQA125" s="72"/>
      <c r="IQB125" s="72"/>
      <c r="IQC125" s="72"/>
      <c r="IQD125" s="72"/>
      <c r="IQE125" s="72"/>
      <c r="IQF125" s="72"/>
      <c r="IQG125" s="72"/>
      <c r="IQH125" s="72"/>
      <c r="IQI125" s="72"/>
      <c r="IQJ125" s="72"/>
      <c r="IQK125" s="72"/>
      <c r="IQL125" s="72"/>
      <c r="IQM125" s="72"/>
      <c r="IQN125" s="72"/>
      <c r="IQO125" s="72"/>
      <c r="IQP125" s="72"/>
      <c r="IQQ125" s="72"/>
      <c r="IQR125" s="72"/>
      <c r="IQS125" s="72"/>
      <c r="IQT125" s="72"/>
      <c r="IQU125" s="72"/>
      <c r="IQV125" s="72"/>
      <c r="IQW125" s="72"/>
      <c r="IQX125" s="72"/>
      <c r="IQY125" s="72"/>
      <c r="IQZ125" s="72"/>
      <c r="IRA125" s="72"/>
      <c r="IRB125" s="72"/>
      <c r="IRC125" s="72"/>
      <c r="IRD125" s="72"/>
      <c r="IRE125" s="72"/>
      <c r="IRF125" s="72"/>
      <c r="IRG125" s="72"/>
      <c r="IRH125" s="72"/>
      <c r="IRI125" s="72"/>
      <c r="IRJ125" s="72"/>
      <c r="IRK125" s="72"/>
      <c r="IRL125" s="72"/>
      <c r="IRM125" s="72"/>
      <c r="IRN125" s="72"/>
      <c r="IRO125" s="72"/>
      <c r="IRP125" s="72"/>
      <c r="IRQ125" s="72"/>
      <c r="IRR125" s="72"/>
      <c r="IRS125" s="72"/>
      <c r="IRT125" s="72"/>
      <c r="IRU125" s="72"/>
      <c r="IRV125" s="72"/>
      <c r="IRW125" s="72"/>
      <c r="IRX125" s="72"/>
      <c r="IRY125" s="72"/>
      <c r="IRZ125" s="72"/>
      <c r="ISA125" s="72"/>
      <c r="ISB125" s="72"/>
      <c r="ISC125" s="72"/>
      <c r="ISD125" s="72"/>
      <c r="ISE125" s="72"/>
      <c r="ISF125" s="72"/>
      <c r="ISG125" s="72"/>
      <c r="ISH125" s="72"/>
      <c r="ISI125" s="72"/>
      <c r="ISJ125" s="72"/>
      <c r="ISK125" s="72"/>
      <c r="ISL125" s="72"/>
      <c r="ISM125" s="72"/>
      <c r="ISN125" s="72"/>
      <c r="ISO125" s="72"/>
      <c r="ISP125" s="72"/>
      <c r="ISQ125" s="72"/>
      <c r="ISR125" s="72"/>
      <c r="ISS125" s="72"/>
      <c r="IST125" s="72"/>
      <c r="ISU125" s="72"/>
      <c r="ISV125" s="72"/>
      <c r="ISW125" s="72"/>
      <c r="ISX125" s="72"/>
      <c r="ISY125" s="72"/>
      <c r="ISZ125" s="72"/>
      <c r="ITA125" s="72"/>
      <c r="ITB125" s="72"/>
      <c r="ITC125" s="72"/>
      <c r="ITD125" s="72"/>
      <c r="ITE125" s="72"/>
      <c r="ITF125" s="72"/>
      <c r="ITG125" s="72"/>
      <c r="ITH125" s="72"/>
      <c r="ITI125" s="72"/>
      <c r="ITJ125" s="72"/>
      <c r="ITK125" s="72"/>
      <c r="ITL125" s="72"/>
      <c r="ITM125" s="72"/>
      <c r="ITN125" s="72"/>
      <c r="ITO125" s="72"/>
      <c r="ITP125" s="72"/>
      <c r="ITQ125" s="72"/>
      <c r="ITR125" s="72"/>
      <c r="ITS125" s="72"/>
      <c r="ITT125" s="72"/>
      <c r="ITU125" s="72"/>
      <c r="ITV125" s="72"/>
      <c r="ITW125" s="72"/>
      <c r="ITX125" s="72"/>
      <c r="ITY125" s="72"/>
      <c r="ITZ125" s="72"/>
      <c r="IUA125" s="72"/>
      <c r="IUB125" s="72"/>
      <c r="IUC125" s="72"/>
      <c r="IUD125" s="72"/>
      <c r="IUE125" s="72"/>
      <c r="IUF125" s="72"/>
      <c r="IUG125" s="72"/>
      <c r="IUH125" s="72"/>
      <c r="IUI125" s="72"/>
      <c r="IUJ125" s="72"/>
      <c r="IUK125" s="72"/>
      <c r="IUL125" s="72"/>
      <c r="IUM125" s="72"/>
      <c r="IUN125" s="72"/>
      <c r="IUO125" s="72"/>
      <c r="IUP125" s="72"/>
      <c r="IUQ125" s="72"/>
      <c r="IUR125" s="72"/>
      <c r="IUS125" s="72"/>
      <c r="IUT125" s="72"/>
      <c r="IUU125" s="72"/>
      <c r="IUV125" s="72"/>
      <c r="IUW125" s="72"/>
      <c r="IUX125" s="72"/>
      <c r="IUY125" s="72"/>
      <c r="IUZ125" s="72"/>
      <c r="IVA125" s="72"/>
      <c r="IVB125" s="72"/>
      <c r="IVC125" s="72"/>
      <c r="IVD125" s="72"/>
      <c r="IVE125" s="72"/>
      <c r="IVF125" s="72"/>
      <c r="IVG125" s="72"/>
      <c r="IVH125" s="72"/>
      <c r="IVI125" s="72"/>
      <c r="IVJ125" s="72"/>
      <c r="IVK125" s="72"/>
      <c r="IVL125" s="72"/>
      <c r="IVM125" s="72"/>
      <c r="IVN125" s="72"/>
      <c r="IVO125" s="72"/>
      <c r="IVP125" s="72"/>
      <c r="IVQ125" s="72"/>
      <c r="IVR125" s="72"/>
      <c r="IVS125" s="72"/>
      <c r="IVT125" s="72"/>
      <c r="IVU125" s="72"/>
      <c r="IVV125" s="72"/>
      <c r="IVW125" s="72"/>
      <c r="IVX125" s="72"/>
      <c r="IVY125" s="72"/>
      <c r="IVZ125" s="72"/>
      <c r="IWA125" s="72"/>
      <c r="IWB125" s="72"/>
      <c r="IWC125" s="72"/>
      <c r="IWD125" s="72"/>
      <c r="IWE125" s="72"/>
      <c r="IWF125" s="72"/>
      <c r="IWG125" s="72"/>
      <c r="IWH125" s="72"/>
      <c r="IWI125" s="72"/>
      <c r="IWJ125" s="72"/>
      <c r="IWK125" s="72"/>
      <c r="IWL125" s="72"/>
      <c r="IWM125" s="72"/>
      <c r="IWN125" s="72"/>
      <c r="IWO125" s="72"/>
      <c r="IWP125" s="72"/>
      <c r="IWQ125" s="72"/>
      <c r="IWR125" s="72"/>
      <c r="IWS125" s="72"/>
      <c r="IWT125" s="72"/>
      <c r="IWU125" s="72"/>
      <c r="IWV125" s="72"/>
      <c r="IWW125" s="72"/>
      <c r="IWX125" s="72"/>
      <c r="IWY125" s="72"/>
      <c r="IWZ125" s="72"/>
      <c r="IXA125" s="72"/>
      <c r="IXB125" s="72"/>
      <c r="IXC125" s="72"/>
      <c r="IXD125" s="72"/>
      <c r="IXE125" s="72"/>
      <c r="IXF125" s="72"/>
      <c r="IXG125" s="72"/>
      <c r="IXH125" s="72"/>
      <c r="IXI125" s="72"/>
      <c r="IXJ125" s="72"/>
      <c r="IXK125" s="72"/>
      <c r="IXL125" s="72"/>
      <c r="IXM125" s="72"/>
      <c r="IXN125" s="72"/>
      <c r="IXO125" s="72"/>
      <c r="IXP125" s="72"/>
      <c r="IXQ125" s="72"/>
      <c r="IXR125" s="72"/>
      <c r="IXS125" s="72"/>
      <c r="IXT125" s="72"/>
      <c r="IXU125" s="72"/>
      <c r="IXV125" s="72"/>
      <c r="IXW125" s="72"/>
      <c r="IXX125" s="72"/>
      <c r="IXY125" s="72"/>
      <c r="IXZ125" s="72"/>
      <c r="IYA125" s="72"/>
      <c r="IYB125" s="72"/>
      <c r="IYC125" s="72"/>
      <c r="IYD125" s="72"/>
      <c r="IYE125" s="72"/>
      <c r="IYF125" s="72"/>
      <c r="IYG125" s="72"/>
      <c r="IYH125" s="72"/>
      <c r="IYI125" s="72"/>
      <c r="IYJ125" s="72"/>
      <c r="IYK125" s="72"/>
      <c r="IYL125" s="72"/>
      <c r="IYM125" s="72"/>
      <c r="IYN125" s="72"/>
      <c r="IYO125" s="72"/>
      <c r="IYP125" s="72"/>
      <c r="IYQ125" s="72"/>
      <c r="IYR125" s="72"/>
      <c r="IYS125" s="72"/>
      <c r="IYT125" s="72"/>
      <c r="IYU125" s="72"/>
      <c r="IYV125" s="72"/>
      <c r="IYW125" s="72"/>
      <c r="IYX125" s="72"/>
      <c r="IYY125" s="72"/>
      <c r="IYZ125" s="72"/>
      <c r="IZA125" s="72"/>
      <c r="IZB125" s="72"/>
      <c r="IZC125" s="72"/>
      <c r="IZD125" s="72"/>
      <c r="IZE125" s="72"/>
      <c r="IZF125" s="72"/>
      <c r="IZG125" s="72"/>
      <c r="IZH125" s="72"/>
      <c r="IZI125" s="72"/>
      <c r="IZJ125" s="72"/>
      <c r="IZK125" s="72"/>
      <c r="IZL125" s="72"/>
      <c r="IZM125" s="72"/>
      <c r="IZN125" s="72"/>
      <c r="IZO125" s="72"/>
      <c r="IZP125" s="72"/>
      <c r="IZQ125" s="72"/>
      <c r="IZR125" s="72"/>
      <c r="IZS125" s="72"/>
      <c r="IZT125" s="72"/>
      <c r="IZU125" s="72"/>
      <c r="IZV125" s="72"/>
      <c r="IZW125" s="72"/>
      <c r="IZX125" s="72"/>
      <c r="IZY125" s="72"/>
      <c r="IZZ125" s="72"/>
      <c r="JAA125" s="72"/>
      <c r="JAB125" s="72"/>
      <c r="JAC125" s="72"/>
      <c r="JAD125" s="72"/>
      <c r="JAE125" s="72"/>
      <c r="JAF125" s="72"/>
      <c r="JAG125" s="72"/>
      <c r="JAH125" s="72"/>
      <c r="JAI125" s="72"/>
      <c r="JAJ125" s="72"/>
      <c r="JAK125" s="72"/>
      <c r="JAL125" s="72"/>
      <c r="JAM125" s="72"/>
      <c r="JAN125" s="72"/>
      <c r="JAO125" s="72"/>
      <c r="JAP125" s="72"/>
      <c r="JAQ125" s="72"/>
      <c r="JAR125" s="72"/>
      <c r="JAS125" s="72"/>
      <c r="JAT125" s="72"/>
      <c r="JAU125" s="72"/>
      <c r="JAV125" s="72"/>
      <c r="JAW125" s="72"/>
      <c r="JAX125" s="72"/>
      <c r="JAY125" s="72"/>
      <c r="JAZ125" s="72"/>
      <c r="JBA125" s="72"/>
      <c r="JBB125" s="72"/>
      <c r="JBC125" s="72"/>
      <c r="JBD125" s="72"/>
      <c r="JBE125" s="72"/>
      <c r="JBF125" s="72"/>
      <c r="JBG125" s="72"/>
      <c r="JBH125" s="72"/>
      <c r="JBI125" s="72"/>
      <c r="JBJ125" s="72"/>
      <c r="JBK125" s="72"/>
      <c r="JBL125" s="72"/>
      <c r="JBM125" s="72"/>
      <c r="JBN125" s="72"/>
      <c r="JBO125" s="72"/>
      <c r="JBP125" s="72"/>
      <c r="JBQ125" s="72"/>
      <c r="JBR125" s="72"/>
      <c r="JBS125" s="72"/>
      <c r="JBT125" s="72"/>
      <c r="JBU125" s="72"/>
      <c r="JBV125" s="72"/>
      <c r="JBW125" s="72"/>
      <c r="JBX125" s="72"/>
      <c r="JBY125" s="72"/>
      <c r="JBZ125" s="72"/>
      <c r="JCA125" s="72"/>
      <c r="JCB125" s="72"/>
      <c r="JCC125" s="72"/>
      <c r="JCD125" s="72"/>
      <c r="JCE125" s="72"/>
      <c r="JCF125" s="72"/>
      <c r="JCG125" s="72"/>
      <c r="JCH125" s="72"/>
      <c r="JCI125" s="72"/>
      <c r="JCJ125" s="72"/>
      <c r="JCK125" s="72"/>
      <c r="JCL125" s="72"/>
      <c r="JCM125" s="72"/>
      <c r="JCN125" s="72"/>
      <c r="JCO125" s="72"/>
      <c r="JCP125" s="72"/>
      <c r="JCQ125" s="72"/>
      <c r="JCR125" s="72"/>
      <c r="JCS125" s="72"/>
      <c r="JCT125" s="72"/>
      <c r="JCU125" s="72"/>
      <c r="JCV125" s="72"/>
      <c r="JCW125" s="72"/>
      <c r="JCX125" s="72"/>
      <c r="JCY125" s="72"/>
      <c r="JCZ125" s="72"/>
      <c r="JDA125" s="72"/>
      <c r="JDB125" s="72"/>
      <c r="JDC125" s="72"/>
      <c r="JDD125" s="72"/>
      <c r="JDE125" s="72"/>
      <c r="JDF125" s="72"/>
      <c r="JDG125" s="72"/>
      <c r="JDH125" s="72"/>
      <c r="JDI125" s="72"/>
      <c r="JDJ125" s="72"/>
      <c r="JDK125" s="72"/>
      <c r="JDL125" s="72"/>
      <c r="JDM125" s="72"/>
      <c r="JDN125" s="72"/>
      <c r="JDO125" s="72"/>
      <c r="JDP125" s="72"/>
      <c r="JDQ125" s="72"/>
      <c r="JDR125" s="72"/>
      <c r="JDS125" s="72"/>
      <c r="JDT125" s="72"/>
      <c r="JDU125" s="72"/>
      <c r="JDV125" s="72"/>
      <c r="JDW125" s="72"/>
      <c r="JDX125" s="72"/>
      <c r="JDY125" s="72"/>
      <c r="JDZ125" s="72"/>
      <c r="JEA125" s="72"/>
      <c r="JEB125" s="72"/>
      <c r="JEC125" s="72"/>
      <c r="JED125" s="72"/>
      <c r="JEE125" s="72"/>
      <c r="JEF125" s="72"/>
      <c r="JEG125" s="72"/>
      <c r="JEH125" s="72"/>
      <c r="JEI125" s="72"/>
      <c r="JEJ125" s="72"/>
      <c r="JEK125" s="72"/>
      <c r="JEL125" s="72"/>
      <c r="JEM125" s="72"/>
      <c r="JEN125" s="72"/>
      <c r="JEO125" s="72"/>
      <c r="JEP125" s="72"/>
      <c r="JEQ125" s="72"/>
      <c r="JER125" s="72"/>
      <c r="JES125" s="72"/>
      <c r="JET125" s="72"/>
      <c r="JEU125" s="72"/>
      <c r="JEV125" s="72"/>
      <c r="JEW125" s="72"/>
      <c r="JEX125" s="72"/>
      <c r="JEY125" s="72"/>
      <c r="JEZ125" s="72"/>
      <c r="JFA125" s="72"/>
      <c r="JFB125" s="72"/>
      <c r="JFC125" s="72"/>
      <c r="JFD125" s="72"/>
      <c r="JFE125" s="72"/>
      <c r="JFF125" s="72"/>
      <c r="JFG125" s="72"/>
      <c r="JFH125" s="72"/>
      <c r="JFI125" s="72"/>
      <c r="JFJ125" s="72"/>
      <c r="JFK125" s="72"/>
      <c r="JFL125" s="72"/>
      <c r="JFM125" s="72"/>
      <c r="JFN125" s="72"/>
      <c r="JFO125" s="72"/>
      <c r="JFP125" s="72"/>
      <c r="JFQ125" s="72"/>
      <c r="JFR125" s="72"/>
      <c r="JFS125" s="72"/>
      <c r="JFT125" s="72"/>
      <c r="JFU125" s="72"/>
      <c r="JFV125" s="72"/>
      <c r="JFW125" s="72"/>
      <c r="JFX125" s="72"/>
      <c r="JFY125" s="72"/>
      <c r="JFZ125" s="72"/>
      <c r="JGA125" s="72"/>
      <c r="JGB125" s="72"/>
      <c r="JGC125" s="72"/>
      <c r="JGD125" s="72"/>
      <c r="JGE125" s="72"/>
      <c r="JGF125" s="72"/>
      <c r="JGG125" s="72"/>
      <c r="JGH125" s="72"/>
      <c r="JGI125" s="72"/>
      <c r="JGJ125" s="72"/>
      <c r="JGK125" s="72"/>
      <c r="JGL125" s="72"/>
      <c r="JGM125" s="72"/>
      <c r="JGN125" s="72"/>
      <c r="JGO125" s="72"/>
      <c r="JGP125" s="72"/>
      <c r="JGQ125" s="72"/>
      <c r="JGR125" s="72"/>
      <c r="JGS125" s="72"/>
      <c r="JGT125" s="72"/>
      <c r="JGU125" s="72"/>
      <c r="JGV125" s="72"/>
      <c r="JGW125" s="72"/>
      <c r="JGX125" s="72"/>
      <c r="JGY125" s="72"/>
      <c r="JGZ125" s="72"/>
      <c r="JHA125" s="72"/>
      <c r="JHB125" s="72"/>
      <c r="JHC125" s="72"/>
      <c r="JHD125" s="72"/>
      <c r="JHE125" s="72"/>
      <c r="JHF125" s="72"/>
      <c r="JHG125" s="72"/>
      <c r="JHH125" s="72"/>
      <c r="JHI125" s="72"/>
      <c r="JHJ125" s="72"/>
      <c r="JHK125" s="72"/>
      <c r="JHL125" s="72"/>
      <c r="JHM125" s="72"/>
      <c r="JHN125" s="72"/>
      <c r="JHO125" s="72"/>
      <c r="JHP125" s="72"/>
      <c r="JHQ125" s="72"/>
      <c r="JHR125" s="72"/>
      <c r="JHS125" s="72"/>
      <c r="JHT125" s="72"/>
      <c r="JHU125" s="72"/>
      <c r="JHV125" s="72"/>
      <c r="JHW125" s="72"/>
      <c r="JHX125" s="72"/>
      <c r="JHY125" s="72"/>
      <c r="JHZ125" s="72"/>
      <c r="JIA125" s="72"/>
      <c r="JIB125" s="72"/>
      <c r="JIC125" s="72"/>
      <c r="JID125" s="72"/>
      <c r="JIE125" s="72"/>
      <c r="JIF125" s="72"/>
      <c r="JIG125" s="72"/>
      <c r="JIH125" s="72"/>
      <c r="JII125" s="72"/>
      <c r="JIJ125" s="72"/>
      <c r="JIK125" s="72"/>
      <c r="JIL125" s="72"/>
      <c r="JIM125" s="72"/>
      <c r="JIN125" s="72"/>
      <c r="JIO125" s="72"/>
      <c r="JIP125" s="72"/>
      <c r="JIQ125" s="72"/>
      <c r="JIR125" s="72"/>
      <c r="JIS125" s="72"/>
      <c r="JIT125" s="72"/>
      <c r="JIU125" s="72"/>
      <c r="JIV125" s="72"/>
      <c r="JIW125" s="72"/>
      <c r="JIX125" s="72"/>
      <c r="JIY125" s="72"/>
      <c r="JIZ125" s="72"/>
      <c r="JJA125" s="72"/>
      <c r="JJB125" s="72"/>
      <c r="JJC125" s="72"/>
      <c r="JJD125" s="72"/>
      <c r="JJE125" s="72"/>
      <c r="JJF125" s="72"/>
      <c r="JJG125" s="72"/>
      <c r="JJH125" s="72"/>
      <c r="JJI125" s="72"/>
      <c r="JJJ125" s="72"/>
      <c r="JJK125" s="72"/>
      <c r="JJL125" s="72"/>
      <c r="JJM125" s="72"/>
      <c r="JJN125" s="72"/>
      <c r="JJO125" s="72"/>
      <c r="JJP125" s="72"/>
      <c r="JJQ125" s="72"/>
      <c r="JJR125" s="72"/>
      <c r="JJS125" s="72"/>
      <c r="JJT125" s="72"/>
      <c r="JJU125" s="72"/>
      <c r="JJV125" s="72"/>
      <c r="JJW125" s="72"/>
      <c r="JJX125" s="72"/>
      <c r="JJY125" s="72"/>
      <c r="JJZ125" s="72"/>
      <c r="JKA125" s="72"/>
      <c r="JKB125" s="72"/>
      <c r="JKC125" s="72"/>
      <c r="JKD125" s="72"/>
      <c r="JKE125" s="72"/>
      <c r="JKF125" s="72"/>
      <c r="JKG125" s="72"/>
      <c r="JKH125" s="72"/>
      <c r="JKI125" s="72"/>
      <c r="JKJ125" s="72"/>
      <c r="JKK125" s="72"/>
      <c r="JKL125" s="72"/>
      <c r="JKM125" s="72"/>
      <c r="JKN125" s="72"/>
      <c r="JKO125" s="72"/>
      <c r="JKP125" s="72"/>
      <c r="JKQ125" s="72"/>
      <c r="JKR125" s="72"/>
      <c r="JKS125" s="72"/>
      <c r="JKT125" s="72"/>
      <c r="JKU125" s="72"/>
      <c r="JKV125" s="72"/>
      <c r="JKW125" s="72"/>
      <c r="JKX125" s="72"/>
      <c r="JKY125" s="72"/>
      <c r="JKZ125" s="72"/>
      <c r="JLA125" s="72"/>
      <c r="JLB125" s="72"/>
      <c r="JLC125" s="72"/>
      <c r="JLD125" s="72"/>
      <c r="JLE125" s="72"/>
      <c r="JLF125" s="72"/>
      <c r="JLG125" s="72"/>
      <c r="JLH125" s="72"/>
      <c r="JLI125" s="72"/>
      <c r="JLJ125" s="72"/>
      <c r="JLK125" s="72"/>
      <c r="JLL125" s="72"/>
      <c r="JLM125" s="72"/>
      <c r="JLN125" s="72"/>
      <c r="JLO125" s="72"/>
      <c r="JLP125" s="72"/>
      <c r="JLQ125" s="72"/>
      <c r="JLR125" s="72"/>
      <c r="JLS125" s="72"/>
      <c r="JLT125" s="72"/>
      <c r="JLU125" s="72"/>
      <c r="JLV125" s="72"/>
      <c r="JLW125" s="72"/>
      <c r="JLX125" s="72"/>
      <c r="JLY125" s="72"/>
      <c r="JLZ125" s="72"/>
      <c r="JMA125" s="72"/>
      <c r="JMB125" s="72"/>
      <c r="JMC125" s="72"/>
      <c r="JMD125" s="72"/>
      <c r="JME125" s="72"/>
      <c r="JMF125" s="72"/>
      <c r="JMG125" s="72"/>
      <c r="JMH125" s="72"/>
      <c r="JMI125" s="72"/>
      <c r="JMJ125" s="72"/>
      <c r="JMK125" s="72"/>
      <c r="JML125" s="72"/>
      <c r="JMM125" s="72"/>
      <c r="JMN125" s="72"/>
      <c r="JMO125" s="72"/>
      <c r="JMP125" s="72"/>
      <c r="JMQ125" s="72"/>
      <c r="JMR125" s="72"/>
      <c r="JMS125" s="72"/>
      <c r="JMT125" s="72"/>
      <c r="JMU125" s="72"/>
      <c r="JMV125" s="72"/>
      <c r="JMW125" s="72"/>
      <c r="JMX125" s="72"/>
      <c r="JMY125" s="72"/>
      <c r="JMZ125" s="72"/>
      <c r="JNA125" s="72"/>
      <c r="JNB125" s="72"/>
      <c r="JNC125" s="72"/>
      <c r="JND125" s="72"/>
      <c r="JNE125" s="72"/>
      <c r="JNF125" s="72"/>
      <c r="JNG125" s="72"/>
      <c r="JNH125" s="72"/>
      <c r="JNI125" s="72"/>
      <c r="JNJ125" s="72"/>
      <c r="JNK125" s="72"/>
      <c r="JNL125" s="72"/>
      <c r="JNM125" s="72"/>
      <c r="JNN125" s="72"/>
      <c r="JNO125" s="72"/>
      <c r="JNP125" s="72"/>
      <c r="JNQ125" s="72"/>
      <c r="JNR125" s="72"/>
      <c r="JNS125" s="72"/>
      <c r="JNT125" s="72"/>
      <c r="JNU125" s="72"/>
      <c r="JNV125" s="72"/>
      <c r="JNW125" s="72"/>
      <c r="JNX125" s="72"/>
      <c r="JNY125" s="72"/>
      <c r="JNZ125" s="72"/>
      <c r="JOA125" s="72"/>
      <c r="JOB125" s="72"/>
      <c r="JOC125" s="72"/>
      <c r="JOD125" s="72"/>
      <c r="JOE125" s="72"/>
      <c r="JOF125" s="72"/>
      <c r="JOG125" s="72"/>
      <c r="JOH125" s="72"/>
      <c r="JOI125" s="72"/>
      <c r="JOJ125" s="72"/>
      <c r="JOK125" s="72"/>
      <c r="JOL125" s="72"/>
      <c r="JOM125" s="72"/>
      <c r="JON125" s="72"/>
      <c r="JOO125" s="72"/>
      <c r="JOP125" s="72"/>
      <c r="JOQ125" s="72"/>
      <c r="JOR125" s="72"/>
      <c r="JOS125" s="72"/>
      <c r="JOT125" s="72"/>
      <c r="JOU125" s="72"/>
      <c r="JOV125" s="72"/>
      <c r="JOW125" s="72"/>
      <c r="JOX125" s="72"/>
      <c r="JOY125" s="72"/>
      <c r="JOZ125" s="72"/>
      <c r="JPA125" s="72"/>
      <c r="JPB125" s="72"/>
      <c r="JPC125" s="72"/>
      <c r="JPD125" s="72"/>
      <c r="JPE125" s="72"/>
      <c r="JPF125" s="72"/>
      <c r="JPG125" s="72"/>
      <c r="JPH125" s="72"/>
      <c r="JPI125" s="72"/>
      <c r="JPJ125" s="72"/>
      <c r="JPK125" s="72"/>
      <c r="JPL125" s="72"/>
      <c r="JPM125" s="72"/>
      <c r="JPN125" s="72"/>
      <c r="JPO125" s="72"/>
      <c r="JPP125" s="72"/>
      <c r="JPQ125" s="72"/>
      <c r="JPR125" s="72"/>
      <c r="JPS125" s="72"/>
      <c r="JPT125" s="72"/>
      <c r="JPU125" s="72"/>
      <c r="JPV125" s="72"/>
      <c r="JPW125" s="72"/>
      <c r="JPX125" s="72"/>
      <c r="JPY125" s="72"/>
      <c r="JPZ125" s="72"/>
      <c r="JQA125" s="72"/>
      <c r="JQB125" s="72"/>
      <c r="JQC125" s="72"/>
      <c r="JQD125" s="72"/>
      <c r="JQE125" s="72"/>
      <c r="JQF125" s="72"/>
      <c r="JQG125" s="72"/>
      <c r="JQH125" s="72"/>
      <c r="JQI125" s="72"/>
      <c r="JQJ125" s="72"/>
      <c r="JQK125" s="72"/>
      <c r="JQL125" s="72"/>
      <c r="JQM125" s="72"/>
      <c r="JQN125" s="72"/>
      <c r="JQO125" s="72"/>
      <c r="JQP125" s="72"/>
      <c r="JQQ125" s="72"/>
      <c r="JQR125" s="72"/>
      <c r="JQS125" s="72"/>
      <c r="JQT125" s="72"/>
      <c r="JQU125" s="72"/>
      <c r="JQV125" s="72"/>
      <c r="JQW125" s="72"/>
      <c r="JQX125" s="72"/>
      <c r="JQY125" s="72"/>
      <c r="JQZ125" s="72"/>
      <c r="JRA125" s="72"/>
      <c r="JRB125" s="72"/>
      <c r="JRC125" s="72"/>
      <c r="JRD125" s="72"/>
      <c r="JRE125" s="72"/>
      <c r="JRF125" s="72"/>
      <c r="JRG125" s="72"/>
      <c r="JRH125" s="72"/>
      <c r="JRI125" s="72"/>
      <c r="JRJ125" s="72"/>
      <c r="JRK125" s="72"/>
      <c r="JRL125" s="72"/>
      <c r="JRM125" s="72"/>
      <c r="JRN125" s="72"/>
      <c r="JRO125" s="72"/>
      <c r="JRP125" s="72"/>
      <c r="JRQ125" s="72"/>
      <c r="JRR125" s="72"/>
      <c r="JRS125" s="72"/>
      <c r="JRT125" s="72"/>
      <c r="JRU125" s="72"/>
      <c r="JRV125" s="72"/>
      <c r="JRW125" s="72"/>
      <c r="JRX125" s="72"/>
      <c r="JRY125" s="72"/>
      <c r="JRZ125" s="72"/>
      <c r="JSA125" s="72"/>
      <c r="JSB125" s="72"/>
      <c r="JSC125" s="72"/>
      <c r="JSD125" s="72"/>
      <c r="JSE125" s="72"/>
      <c r="JSF125" s="72"/>
      <c r="JSG125" s="72"/>
      <c r="JSH125" s="72"/>
      <c r="JSI125" s="72"/>
      <c r="JSJ125" s="72"/>
      <c r="JSK125" s="72"/>
      <c r="JSL125" s="72"/>
      <c r="JSM125" s="72"/>
      <c r="JSN125" s="72"/>
      <c r="JSO125" s="72"/>
      <c r="JSP125" s="72"/>
      <c r="JSQ125" s="72"/>
      <c r="JSR125" s="72"/>
      <c r="JSS125" s="72"/>
      <c r="JST125" s="72"/>
      <c r="JSU125" s="72"/>
      <c r="JSV125" s="72"/>
      <c r="JSW125" s="72"/>
      <c r="JSX125" s="72"/>
      <c r="JSY125" s="72"/>
      <c r="JSZ125" s="72"/>
      <c r="JTA125" s="72"/>
      <c r="JTB125" s="72"/>
      <c r="JTC125" s="72"/>
      <c r="JTD125" s="72"/>
      <c r="JTE125" s="72"/>
      <c r="JTF125" s="72"/>
      <c r="JTG125" s="72"/>
      <c r="JTH125" s="72"/>
      <c r="JTI125" s="72"/>
      <c r="JTJ125" s="72"/>
      <c r="JTK125" s="72"/>
      <c r="JTL125" s="72"/>
      <c r="JTM125" s="72"/>
      <c r="JTN125" s="72"/>
      <c r="JTO125" s="72"/>
      <c r="JTP125" s="72"/>
      <c r="JTQ125" s="72"/>
      <c r="JTR125" s="72"/>
      <c r="JTS125" s="72"/>
      <c r="JTT125" s="72"/>
      <c r="JTU125" s="72"/>
      <c r="JTV125" s="72"/>
      <c r="JTW125" s="72"/>
      <c r="JTX125" s="72"/>
      <c r="JTY125" s="72"/>
      <c r="JTZ125" s="72"/>
      <c r="JUA125" s="72"/>
      <c r="JUB125" s="72"/>
      <c r="JUC125" s="72"/>
      <c r="JUD125" s="72"/>
      <c r="JUE125" s="72"/>
      <c r="JUF125" s="72"/>
      <c r="JUG125" s="72"/>
      <c r="JUH125" s="72"/>
      <c r="JUI125" s="72"/>
      <c r="JUJ125" s="72"/>
      <c r="JUK125" s="72"/>
      <c r="JUL125" s="72"/>
      <c r="JUM125" s="72"/>
      <c r="JUN125" s="72"/>
      <c r="JUO125" s="72"/>
      <c r="JUP125" s="72"/>
      <c r="JUQ125" s="72"/>
      <c r="JUR125" s="72"/>
      <c r="JUS125" s="72"/>
      <c r="JUT125" s="72"/>
      <c r="JUU125" s="72"/>
      <c r="JUV125" s="72"/>
      <c r="JUW125" s="72"/>
      <c r="JUX125" s="72"/>
      <c r="JUY125" s="72"/>
      <c r="JUZ125" s="72"/>
      <c r="JVA125" s="72"/>
      <c r="JVB125" s="72"/>
      <c r="JVC125" s="72"/>
      <c r="JVD125" s="72"/>
      <c r="JVE125" s="72"/>
      <c r="JVF125" s="72"/>
      <c r="JVG125" s="72"/>
      <c r="JVH125" s="72"/>
      <c r="JVI125" s="72"/>
      <c r="JVJ125" s="72"/>
      <c r="JVK125" s="72"/>
      <c r="JVL125" s="72"/>
      <c r="JVM125" s="72"/>
      <c r="JVN125" s="72"/>
      <c r="JVO125" s="72"/>
      <c r="JVP125" s="72"/>
      <c r="JVQ125" s="72"/>
      <c r="JVR125" s="72"/>
      <c r="JVS125" s="72"/>
      <c r="JVT125" s="72"/>
      <c r="JVU125" s="72"/>
      <c r="JVV125" s="72"/>
      <c r="JVW125" s="72"/>
      <c r="JVX125" s="72"/>
      <c r="JVY125" s="72"/>
      <c r="JVZ125" s="72"/>
      <c r="JWA125" s="72"/>
      <c r="JWB125" s="72"/>
      <c r="JWC125" s="72"/>
      <c r="JWD125" s="72"/>
      <c r="JWE125" s="72"/>
      <c r="JWF125" s="72"/>
      <c r="JWG125" s="72"/>
      <c r="JWH125" s="72"/>
      <c r="JWI125" s="72"/>
      <c r="JWJ125" s="72"/>
      <c r="JWK125" s="72"/>
      <c r="JWL125" s="72"/>
      <c r="JWM125" s="72"/>
      <c r="JWN125" s="72"/>
      <c r="JWO125" s="72"/>
      <c r="JWP125" s="72"/>
      <c r="JWQ125" s="72"/>
      <c r="JWR125" s="72"/>
      <c r="JWS125" s="72"/>
      <c r="JWT125" s="72"/>
      <c r="JWU125" s="72"/>
      <c r="JWV125" s="72"/>
      <c r="JWW125" s="72"/>
      <c r="JWX125" s="72"/>
      <c r="JWY125" s="72"/>
      <c r="JWZ125" s="72"/>
      <c r="JXA125" s="72"/>
      <c r="JXB125" s="72"/>
      <c r="JXC125" s="72"/>
      <c r="JXD125" s="72"/>
      <c r="JXE125" s="72"/>
      <c r="JXF125" s="72"/>
      <c r="JXG125" s="72"/>
      <c r="JXH125" s="72"/>
      <c r="JXI125" s="72"/>
      <c r="JXJ125" s="72"/>
      <c r="JXK125" s="72"/>
      <c r="JXL125" s="72"/>
      <c r="JXM125" s="72"/>
      <c r="JXN125" s="72"/>
      <c r="JXO125" s="72"/>
      <c r="JXP125" s="72"/>
      <c r="JXQ125" s="72"/>
      <c r="JXR125" s="72"/>
      <c r="JXS125" s="72"/>
      <c r="JXT125" s="72"/>
      <c r="JXU125" s="72"/>
      <c r="JXV125" s="72"/>
      <c r="JXW125" s="72"/>
      <c r="JXX125" s="72"/>
      <c r="JXY125" s="72"/>
      <c r="JXZ125" s="72"/>
      <c r="JYA125" s="72"/>
      <c r="JYB125" s="72"/>
      <c r="JYC125" s="72"/>
      <c r="JYD125" s="72"/>
      <c r="JYE125" s="72"/>
      <c r="JYF125" s="72"/>
      <c r="JYG125" s="72"/>
      <c r="JYH125" s="72"/>
      <c r="JYI125" s="72"/>
      <c r="JYJ125" s="72"/>
      <c r="JYK125" s="72"/>
      <c r="JYL125" s="72"/>
      <c r="JYM125" s="72"/>
      <c r="JYN125" s="72"/>
      <c r="JYO125" s="72"/>
      <c r="JYP125" s="72"/>
      <c r="JYQ125" s="72"/>
      <c r="JYR125" s="72"/>
      <c r="JYS125" s="72"/>
      <c r="JYT125" s="72"/>
      <c r="JYU125" s="72"/>
      <c r="JYV125" s="72"/>
      <c r="JYW125" s="72"/>
      <c r="JYX125" s="72"/>
      <c r="JYY125" s="72"/>
      <c r="JYZ125" s="72"/>
      <c r="JZA125" s="72"/>
      <c r="JZB125" s="72"/>
      <c r="JZC125" s="72"/>
      <c r="JZD125" s="72"/>
      <c r="JZE125" s="72"/>
      <c r="JZF125" s="72"/>
      <c r="JZG125" s="72"/>
      <c r="JZH125" s="72"/>
      <c r="JZI125" s="72"/>
      <c r="JZJ125" s="72"/>
      <c r="JZK125" s="72"/>
      <c r="JZL125" s="72"/>
      <c r="JZM125" s="72"/>
      <c r="JZN125" s="72"/>
      <c r="JZO125" s="72"/>
      <c r="JZP125" s="72"/>
      <c r="JZQ125" s="72"/>
      <c r="JZR125" s="72"/>
      <c r="JZS125" s="72"/>
      <c r="JZT125" s="72"/>
      <c r="JZU125" s="72"/>
      <c r="JZV125" s="72"/>
      <c r="JZW125" s="72"/>
      <c r="JZX125" s="72"/>
      <c r="JZY125" s="72"/>
      <c r="JZZ125" s="72"/>
      <c r="KAA125" s="72"/>
      <c r="KAB125" s="72"/>
      <c r="KAC125" s="72"/>
      <c r="KAD125" s="72"/>
      <c r="KAE125" s="72"/>
      <c r="KAF125" s="72"/>
      <c r="KAG125" s="72"/>
      <c r="KAH125" s="72"/>
      <c r="KAI125" s="72"/>
      <c r="KAJ125" s="72"/>
      <c r="KAK125" s="72"/>
      <c r="KAL125" s="72"/>
      <c r="KAM125" s="72"/>
      <c r="KAN125" s="72"/>
      <c r="KAO125" s="72"/>
      <c r="KAP125" s="72"/>
      <c r="KAQ125" s="72"/>
      <c r="KAR125" s="72"/>
      <c r="KAS125" s="72"/>
      <c r="KAT125" s="72"/>
      <c r="KAU125" s="72"/>
      <c r="KAV125" s="72"/>
      <c r="KAW125" s="72"/>
      <c r="KAX125" s="72"/>
      <c r="KAY125" s="72"/>
      <c r="KAZ125" s="72"/>
      <c r="KBA125" s="72"/>
      <c r="KBB125" s="72"/>
      <c r="KBC125" s="72"/>
      <c r="KBD125" s="72"/>
      <c r="KBE125" s="72"/>
      <c r="KBF125" s="72"/>
      <c r="KBG125" s="72"/>
      <c r="KBH125" s="72"/>
      <c r="KBI125" s="72"/>
      <c r="KBJ125" s="72"/>
      <c r="KBK125" s="72"/>
      <c r="KBL125" s="72"/>
      <c r="KBM125" s="72"/>
      <c r="KBN125" s="72"/>
      <c r="KBO125" s="72"/>
      <c r="KBP125" s="72"/>
      <c r="KBQ125" s="72"/>
      <c r="KBR125" s="72"/>
      <c r="KBS125" s="72"/>
      <c r="KBT125" s="72"/>
      <c r="KBU125" s="72"/>
      <c r="KBV125" s="72"/>
      <c r="KBW125" s="72"/>
      <c r="KBX125" s="72"/>
      <c r="KBY125" s="72"/>
      <c r="KBZ125" s="72"/>
      <c r="KCA125" s="72"/>
      <c r="KCB125" s="72"/>
      <c r="KCC125" s="72"/>
      <c r="KCD125" s="72"/>
      <c r="KCE125" s="72"/>
      <c r="KCF125" s="72"/>
      <c r="KCG125" s="72"/>
      <c r="KCH125" s="72"/>
      <c r="KCI125" s="72"/>
      <c r="KCJ125" s="72"/>
      <c r="KCK125" s="72"/>
      <c r="KCL125" s="72"/>
      <c r="KCM125" s="72"/>
      <c r="KCN125" s="72"/>
      <c r="KCO125" s="72"/>
      <c r="KCP125" s="72"/>
      <c r="KCQ125" s="72"/>
      <c r="KCR125" s="72"/>
      <c r="KCS125" s="72"/>
      <c r="KCT125" s="72"/>
      <c r="KCU125" s="72"/>
      <c r="KCV125" s="72"/>
      <c r="KCW125" s="72"/>
      <c r="KCX125" s="72"/>
      <c r="KCY125" s="72"/>
      <c r="KCZ125" s="72"/>
      <c r="KDA125" s="72"/>
      <c r="KDB125" s="72"/>
      <c r="KDC125" s="72"/>
      <c r="KDD125" s="72"/>
      <c r="KDE125" s="72"/>
      <c r="KDF125" s="72"/>
      <c r="KDG125" s="72"/>
      <c r="KDH125" s="72"/>
      <c r="KDI125" s="72"/>
      <c r="KDJ125" s="72"/>
      <c r="KDK125" s="72"/>
      <c r="KDL125" s="72"/>
      <c r="KDM125" s="72"/>
      <c r="KDN125" s="72"/>
      <c r="KDO125" s="72"/>
      <c r="KDP125" s="72"/>
      <c r="KDQ125" s="72"/>
      <c r="KDR125" s="72"/>
      <c r="KDS125" s="72"/>
      <c r="KDT125" s="72"/>
      <c r="KDU125" s="72"/>
      <c r="KDV125" s="72"/>
      <c r="KDW125" s="72"/>
      <c r="KDX125" s="72"/>
      <c r="KDY125" s="72"/>
      <c r="KDZ125" s="72"/>
      <c r="KEA125" s="72"/>
      <c r="KEB125" s="72"/>
      <c r="KEC125" s="72"/>
      <c r="KED125" s="72"/>
      <c r="KEE125" s="72"/>
      <c r="KEF125" s="72"/>
      <c r="KEG125" s="72"/>
      <c r="KEH125" s="72"/>
      <c r="KEI125" s="72"/>
      <c r="KEJ125" s="72"/>
      <c r="KEK125" s="72"/>
      <c r="KEL125" s="72"/>
      <c r="KEM125" s="72"/>
      <c r="KEN125" s="72"/>
      <c r="KEO125" s="72"/>
      <c r="KEP125" s="72"/>
      <c r="KEQ125" s="72"/>
      <c r="KER125" s="72"/>
      <c r="KES125" s="72"/>
      <c r="KET125" s="72"/>
      <c r="KEU125" s="72"/>
      <c r="KEV125" s="72"/>
      <c r="KEW125" s="72"/>
      <c r="KEX125" s="72"/>
      <c r="KEY125" s="72"/>
      <c r="KEZ125" s="72"/>
      <c r="KFA125" s="72"/>
      <c r="KFB125" s="72"/>
      <c r="KFC125" s="72"/>
      <c r="KFD125" s="72"/>
      <c r="KFE125" s="72"/>
      <c r="KFF125" s="72"/>
      <c r="KFG125" s="72"/>
      <c r="KFH125" s="72"/>
      <c r="KFI125" s="72"/>
      <c r="KFJ125" s="72"/>
      <c r="KFK125" s="72"/>
      <c r="KFL125" s="72"/>
      <c r="KFM125" s="72"/>
      <c r="KFN125" s="72"/>
      <c r="KFO125" s="72"/>
      <c r="KFP125" s="72"/>
      <c r="KFQ125" s="72"/>
      <c r="KFR125" s="72"/>
      <c r="KFS125" s="72"/>
      <c r="KFT125" s="72"/>
      <c r="KFU125" s="72"/>
      <c r="KFV125" s="72"/>
      <c r="KFW125" s="72"/>
      <c r="KFX125" s="72"/>
      <c r="KFY125" s="72"/>
      <c r="KFZ125" s="72"/>
      <c r="KGA125" s="72"/>
      <c r="KGB125" s="72"/>
      <c r="KGC125" s="72"/>
      <c r="KGD125" s="72"/>
      <c r="KGE125" s="72"/>
      <c r="KGF125" s="72"/>
      <c r="KGG125" s="72"/>
      <c r="KGH125" s="72"/>
      <c r="KGI125" s="72"/>
      <c r="KGJ125" s="72"/>
      <c r="KGK125" s="72"/>
      <c r="KGL125" s="72"/>
      <c r="KGM125" s="72"/>
      <c r="KGN125" s="72"/>
      <c r="KGO125" s="72"/>
      <c r="KGP125" s="72"/>
      <c r="KGQ125" s="72"/>
      <c r="KGR125" s="72"/>
      <c r="KGS125" s="72"/>
      <c r="KGT125" s="72"/>
      <c r="KGU125" s="72"/>
      <c r="KGV125" s="72"/>
      <c r="KGW125" s="72"/>
      <c r="KGX125" s="72"/>
      <c r="KGY125" s="72"/>
      <c r="KGZ125" s="72"/>
      <c r="KHA125" s="72"/>
      <c r="KHB125" s="72"/>
      <c r="KHC125" s="72"/>
      <c r="KHD125" s="72"/>
      <c r="KHE125" s="72"/>
      <c r="KHF125" s="72"/>
      <c r="KHG125" s="72"/>
      <c r="KHH125" s="72"/>
      <c r="KHI125" s="72"/>
      <c r="KHJ125" s="72"/>
      <c r="KHK125" s="72"/>
      <c r="KHL125" s="72"/>
      <c r="KHM125" s="72"/>
      <c r="KHN125" s="72"/>
      <c r="KHO125" s="72"/>
      <c r="KHP125" s="72"/>
      <c r="KHQ125" s="72"/>
      <c r="KHR125" s="72"/>
      <c r="KHS125" s="72"/>
      <c r="KHT125" s="72"/>
      <c r="KHU125" s="72"/>
      <c r="KHV125" s="72"/>
      <c r="KHW125" s="72"/>
      <c r="KHX125" s="72"/>
      <c r="KHY125" s="72"/>
      <c r="KHZ125" s="72"/>
      <c r="KIA125" s="72"/>
      <c r="KIB125" s="72"/>
      <c r="KIC125" s="72"/>
      <c r="KID125" s="72"/>
      <c r="KIE125" s="72"/>
      <c r="KIF125" s="72"/>
      <c r="KIG125" s="72"/>
      <c r="KIH125" s="72"/>
      <c r="KII125" s="72"/>
      <c r="KIJ125" s="72"/>
      <c r="KIK125" s="72"/>
      <c r="KIL125" s="72"/>
      <c r="KIM125" s="72"/>
      <c r="KIN125" s="72"/>
      <c r="KIO125" s="72"/>
      <c r="KIP125" s="72"/>
      <c r="KIQ125" s="72"/>
      <c r="KIR125" s="72"/>
      <c r="KIS125" s="72"/>
      <c r="KIT125" s="72"/>
      <c r="KIU125" s="72"/>
      <c r="KIV125" s="72"/>
      <c r="KIW125" s="72"/>
      <c r="KIX125" s="72"/>
      <c r="KIY125" s="72"/>
      <c r="KIZ125" s="72"/>
      <c r="KJA125" s="72"/>
      <c r="KJB125" s="72"/>
      <c r="KJC125" s="72"/>
      <c r="KJD125" s="72"/>
      <c r="KJE125" s="72"/>
      <c r="KJF125" s="72"/>
      <c r="KJG125" s="72"/>
      <c r="KJH125" s="72"/>
      <c r="KJI125" s="72"/>
      <c r="KJJ125" s="72"/>
      <c r="KJK125" s="72"/>
      <c r="KJL125" s="72"/>
      <c r="KJM125" s="72"/>
      <c r="KJN125" s="72"/>
      <c r="KJO125" s="72"/>
      <c r="KJP125" s="72"/>
      <c r="KJQ125" s="72"/>
      <c r="KJR125" s="72"/>
      <c r="KJS125" s="72"/>
      <c r="KJT125" s="72"/>
      <c r="KJU125" s="72"/>
      <c r="KJV125" s="72"/>
      <c r="KJW125" s="72"/>
      <c r="KJX125" s="72"/>
      <c r="KJY125" s="72"/>
      <c r="KJZ125" s="72"/>
      <c r="KKA125" s="72"/>
      <c r="KKB125" s="72"/>
      <c r="KKC125" s="72"/>
      <c r="KKD125" s="72"/>
      <c r="KKE125" s="72"/>
      <c r="KKF125" s="72"/>
      <c r="KKG125" s="72"/>
      <c r="KKH125" s="72"/>
      <c r="KKI125" s="72"/>
      <c r="KKJ125" s="72"/>
      <c r="KKK125" s="72"/>
      <c r="KKL125" s="72"/>
      <c r="KKM125" s="72"/>
      <c r="KKN125" s="72"/>
      <c r="KKO125" s="72"/>
      <c r="KKP125" s="72"/>
      <c r="KKQ125" s="72"/>
      <c r="KKR125" s="72"/>
      <c r="KKS125" s="72"/>
      <c r="KKT125" s="72"/>
      <c r="KKU125" s="72"/>
      <c r="KKV125" s="72"/>
      <c r="KKW125" s="72"/>
      <c r="KKX125" s="72"/>
      <c r="KKY125" s="72"/>
      <c r="KKZ125" s="72"/>
      <c r="KLA125" s="72"/>
      <c r="KLB125" s="72"/>
      <c r="KLC125" s="72"/>
      <c r="KLD125" s="72"/>
      <c r="KLE125" s="72"/>
      <c r="KLF125" s="72"/>
      <c r="KLG125" s="72"/>
      <c r="KLH125" s="72"/>
      <c r="KLI125" s="72"/>
      <c r="KLJ125" s="72"/>
      <c r="KLK125" s="72"/>
      <c r="KLL125" s="72"/>
      <c r="KLM125" s="72"/>
      <c r="KLN125" s="72"/>
      <c r="KLO125" s="72"/>
      <c r="KLP125" s="72"/>
      <c r="KLQ125" s="72"/>
      <c r="KLR125" s="72"/>
      <c r="KLS125" s="72"/>
      <c r="KLT125" s="72"/>
      <c r="KLU125" s="72"/>
      <c r="KLV125" s="72"/>
      <c r="KLW125" s="72"/>
      <c r="KLX125" s="72"/>
      <c r="KLY125" s="72"/>
      <c r="KLZ125" s="72"/>
      <c r="KMA125" s="72"/>
      <c r="KMB125" s="72"/>
      <c r="KMC125" s="72"/>
      <c r="KMD125" s="72"/>
      <c r="KME125" s="72"/>
      <c r="KMF125" s="72"/>
      <c r="KMG125" s="72"/>
      <c r="KMH125" s="72"/>
      <c r="KMI125" s="72"/>
      <c r="KMJ125" s="72"/>
      <c r="KMK125" s="72"/>
      <c r="KML125" s="72"/>
      <c r="KMM125" s="72"/>
      <c r="KMN125" s="72"/>
      <c r="KMO125" s="72"/>
      <c r="KMP125" s="72"/>
      <c r="KMQ125" s="72"/>
      <c r="KMR125" s="72"/>
      <c r="KMS125" s="72"/>
      <c r="KMT125" s="72"/>
      <c r="KMU125" s="72"/>
      <c r="KMV125" s="72"/>
      <c r="KMW125" s="72"/>
      <c r="KMX125" s="72"/>
      <c r="KMY125" s="72"/>
      <c r="KMZ125" s="72"/>
      <c r="KNA125" s="72"/>
      <c r="KNB125" s="72"/>
      <c r="KNC125" s="72"/>
      <c r="KND125" s="72"/>
      <c r="KNE125" s="72"/>
      <c r="KNF125" s="72"/>
      <c r="KNG125" s="72"/>
      <c r="KNH125" s="72"/>
      <c r="KNI125" s="72"/>
      <c r="KNJ125" s="72"/>
      <c r="KNK125" s="72"/>
      <c r="KNL125" s="72"/>
      <c r="KNM125" s="72"/>
      <c r="KNN125" s="72"/>
      <c r="KNO125" s="72"/>
      <c r="KNP125" s="72"/>
      <c r="KNQ125" s="72"/>
      <c r="KNR125" s="72"/>
      <c r="KNS125" s="72"/>
      <c r="KNT125" s="72"/>
      <c r="KNU125" s="72"/>
      <c r="KNV125" s="72"/>
      <c r="KNW125" s="72"/>
      <c r="KNX125" s="72"/>
      <c r="KNY125" s="72"/>
      <c r="KNZ125" s="72"/>
      <c r="KOA125" s="72"/>
      <c r="KOB125" s="72"/>
      <c r="KOC125" s="72"/>
      <c r="KOD125" s="72"/>
      <c r="KOE125" s="72"/>
      <c r="KOF125" s="72"/>
      <c r="KOG125" s="72"/>
      <c r="KOH125" s="72"/>
      <c r="KOI125" s="72"/>
      <c r="KOJ125" s="72"/>
      <c r="KOK125" s="72"/>
      <c r="KOL125" s="72"/>
      <c r="KOM125" s="72"/>
      <c r="KON125" s="72"/>
      <c r="KOO125" s="72"/>
      <c r="KOP125" s="72"/>
      <c r="KOQ125" s="72"/>
      <c r="KOR125" s="72"/>
      <c r="KOS125" s="72"/>
      <c r="KOT125" s="72"/>
      <c r="KOU125" s="72"/>
      <c r="KOV125" s="72"/>
      <c r="KOW125" s="72"/>
      <c r="KOX125" s="72"/>
      <c r="KOY125" s="72"/>
      <c r="KOZ125" s="72"/>
      <c r="KPA125" s="72"/>
      <c r="KPB125" s="72"/>
      <c r="KPC125" s="72"/>
      <c r="KPD125" s="72"/>
      <c r="KPE125" s="72"/>
      <c r="KPF125" s="72"/>
      <c r="KPG125" s="72"/>
      <c r="KPH125" s="72"/>
      <c r="KPI125" s="72"/>
      <c r="KPJ125" s="72"/>
      <c r="KPK125" s="72"/>
      <c r="KPL125" s="72"/>
      <c r="KPM125" s="72"/>
      <c r="KPN125" s="72"/>
      <c r="KPO125" s="72"/>
      <c r="KPP125" s="72"/>
      <c r="KPQ125" s="72"/>
      <c r="KPR125" s="72"/>
      <c r="KPS125" s="72"/>
      <c r="KPT125" s="72"/>
      <c r="KPU125" s="72"/>
      <c r="KPV125" s="72"/>
      <c r="KPW125" s="72"/>
      <c r="KPX125" s="72"/>
      <c r="KPY125" s="72"/>
      <c r="KPZ125" s="72"/>
      <c r="KQA125" s="72"/>
      <c r="KQB125" s="72"/>
      <c r="KQC125" s="72"/>
      <c r="KQD125" s="72"/>
      <c r="KQE125" s="72"/>
      <c r="KQF125" s="72"/>
      <c r="KQG125" s="72"/>
      <c r="KQH125" s="72"/>
      <c r="KQI125" s="72"/>
      <c r="KQJ125" s="72"/>
      <c r="KQK125" s="72"/>
      <c r="KQL125" s="72"/>
      <c r="KQM125" s="72"/>
      <c r="KQN125" s="72"/>
      <c r="KQO125" s="72"/>
      <c r="KQP125" s="72"/>
      <c r="KQQ125" s="72"/>
      <c r="KQR125" s="72"/>
      <c r="KQS125" s="72"/>
      <c r="KQT125" s="72"/>
      <c r="KQU125" s="72"/>
      <c r="KQV125" s="72"/>
      <c r="KQW125" s="72"/>
      <c r="KQX125" s="72"/>
      <c r="KQY125" s="72"/>
      <c r="KQZ125" s="72"/>
      <c r="KRA125" s="72"/>
      <c r="KRB125" s="72"/>
      <c r="KRC125" s="72"/>
      <c r="KRD125" s="72"/>
      <c r="KRE125" s="72"/>
      <c r="KRF125" s="72"/>
      <c r="KRG125" s="72"/>
      <c r="KRH125" s="72"/>
      <c r="KRI125" s="72"/>
      <c r="KRJ125" s="72"/>
      <c r="KRK125" s="72"/>
      <c r="KRL125" s="72"/>
      <c r="KRM125" s="72"/>
      <c r="KRN125" s="72"/>
      <c r="KRO125" s="72"/>
      <c r="KRP125" s="72"/>
      <c r="KRQ125" s="72"/>
      <c r="KRR125" s="72"/>
      <c r="KRS125" s="72"/>
      <c r="KRT125" s="72"/>
      <c r="KRU125" s="72"/>
      <c r="KRV125" s="72"/>
      <c r="KRW125" s="72"/>
      <c r="KRX125" s="72"/>
      <c r="KRY125" s="72"/>
      <c r="KRZ125" s="72"/>
      <c r="KSA125" s="72"/>
      <c r="KSB125" s="72"/>
      <c r="KSC125" s="72"/>
      <c r="KSD125" s="72"/>
      <c r="KSE125" s="72"/>
      <c r="KSF125" s="72"/>
      <c r="KSG125" s="72"/>
      <c r="KSH125" s="72"/>
      <c r="KSI125" s="72"/>
      <c r="KSJ125" s="72"/>
      <c r="KSK125" s="72"/>
      <c r="KSL125" s="72"/>
      <c r="KSM125" s="72"/>
      <c r="KSN125" s="72"/>
      <c r="KSO125" s="72"/>
      <c r="KSP125" s="72"/>
      <c r="KSQ125" s="72"/>
      <c r="KSR125" s="72"/>
      <c r="KSS125" s="72"/>
      <c r="KST125" s="72"/>
      <c r="KSU125" s="72"/>
      <c r="KSV125" s="72"/>
      <c r="KSW125" s="72"/>
      <c r="KSX125" s="72"/>
      <c r="KSY125" s="72"/>
      <c r="KSZ125" s="72"/>
      <c r="KTA125" s="72"/>
      <c r="KTB125" s="72"/>
      <c r="KTC125" s="72"/>
      <c r="KTD125" s="72"/>
      <c r="KTE125" s="72"/>
      <c r="KTF125" s="72"/>
      <c r="KTG125" s="72"/>
      <c r="KTH125" s="72"/>
      <c r="KTI125" s="72"/>
      <c r="KTJ125" s="72"/>
      <c r="KTK125" s="72"/>
      <c r="KTL125" s="72"/>
      <c r="KTM125" s="72"/>
      <c r="KTN125" s="72"/>
      <c r="KTO125" s="72"/>
      <c r="KTP125" s="72"/>
      <c r="KTQ125" s="72"/>
      <c r="KTR125" s="72"/>
      <c r="KTS125" s="72"/>
      <c r="KTT125" s="72"/>
      <c r="KTU125" s="72"/>
      <c r="KTV125" s="72"/>
      <c r="KTW125" s="72"/>
      <c r="KTX125" s="72"/>
      <c r="KTY125" s="72"/>
      <c r="KTZ125" s="72"/>
      <c r="KUA125" s="72"/>
      <c r="KUB125" s="72"/>
      <c r="KUC125" s="72"/>
      <c r="KUD125" s="72"/>
      <c r="KUE125" s="72"/>
      <c r="KUF125" s="72"/>
      <c r="KUG125" s="72"/>
      <c r="KUH125" s="72"/>
      <c r="KUI125" s="72"/>
      <c r="KUJ125" s="72"/>
      <c r="KUK125" s="72"/>
      <c r="KUL125" s="72"/>
      <c r="KUM125" s="72"/>
      <c r="KUN125" s="72"/>
      <c r="KUO125" s="72"/>
      <c r="KUP125" s="72"/>
      <c r="KUQ125" s="72"/>
      <c r="KUR125" s="72"/>
      <c r="KUS125" s="72"/>
      <c r="KUT125" s="72"/>
      <c r="KUU125" s="72"/>
      <c r="KUV125" s="72"/>
      <c r="KUW125" s="72"/>
      <c r="KUX125" s="72"/>
      <c r="KUY125" s="72"/>
      <c r="KUZ125" s="72"/>
      <c r="KVA125" s="72"/>
      <c r="KVB125" s="72"/>
      <c r="KVC125" s="72"/>
      <c r="KVD125" s="72"/>
      <c r="KVE125" s="72"/>
      <c r="KVF125" s="72"/>
      <c r="KVG125" s="72"/>
      <c r="KVH125" s="72"/>
      <c r="KVI125" s="72"/>
      <c r="KVJ125" s="72"/>
      <c r="KVK125" s="72"/>
      <c r="KVL125" s="72"/>
      <c r="KVM125" s="72"/>
      <c r="KVN125" s="72"/>
      <c r="KVO125" s="72"/>
      <c r="KVP125" s="72"/>
      <c r="KVQ125" s="72"/>
      <c r="KVR125" s="72"/>
      <c r="KVS125" s="72"/>
      <c r="KVT125" s="72"/>
      <c r="KVU125" s="72"/>
      <c r="KVV125" s="72"/>
      <c r="KVW125" s="72"/>
      <c r="KVX125" s="72"/>
      <c r="KVY125" s="72"/>
      <c r="KVZ125" s="72"/>
      <c r="KWA125" s="72"/>
      <c r="KWB125" s="72"/>
      <c r="KWC125" s="72"/>
      <c r="KWD125" s="72"/>
      <c r="KWE125" s="72"/>
      <c r="KWF125" s="72"/>
      <c r="KWG125" s="72"/>
      <c r="KWH125" s="72"/>
      <c r="KWI125" s="72"/>
      <c r="KWJ125" s="72"/>
      <c r="KWK125" s="72"/>
      <c r="KWL125" s="72"/>
      <c r="KWM125" s="72"/>
      <c r="KWN125" s="72"/>
      <c r="KWO125" s="72"/>
      <c r="KWP125" s="72"/>
      <c r="KWQ125" s="72"/>
      <c r="KWR125" s="72"/>
      <c r="KWS125" s="72"/>
      <c r="KWT125" s="72"/>
      <c r="KWU125" s="72"/>
      <c r="KWV125" s="72"/>
      <c r="KWW125" s="72"/>
      <c r="KWX125" s="72"/>
      <c r="KWY125" s="72"/>
      <c r="KWZ125" s="72"/>
      <c r="KXA125" s="72"/>
      <c r="KXB125" s="72"/>
      <c r="KXC125" s="72"/>
      <c r="KXD125" s="72"/>
      <c r="KXE125" s="72"/>
      <c r="KXF125" s="72"/>
      <c r="KXG125" s="72"/>
      <c r="KXH125" s="72"/>
      <c r="KXI125" s="72"/>
      <c r="KXJ125" s="72"/>
      <c r="KXK125" s="72"/>
      <c r="KXL125" s="72"/>
      <c r="KXM125" s="72"/>
      <c r="KXN125" s="72"/>
      <c r="KXO125" s="72"/>
      <c r="KXP125" s="72"/>
      <c r="KXQ125" s="72"/>
      <c r="KXR125" s="72"/>
      <c r="KXS125" s="72"/>
      <c r="KXT125" s="72"/>
      <c r="KXU125" s="72"/>
      <c r="KXV125" s="72"/>
      <c r="KXW125" s="72"/>
      <c r="KXX125" s="72"/>
      <c r="KXY125" s="72"/>
      <c r="KXZ125" s="72"/>
      <c r="KYA125" s="72"/>
      <c r="KYB125" s="72"/>
      <c r="KYC125" s="72"/>
      <c r="KYD125" s="72"/>
      <c r="KYE125" s="72"/>
      <c r="KYF125" s="72"/>
      <c r="KYG125" s="72"/>
      <c r="KYH125" s="72"/>
      <c r="KYI125" s="72"/>
      <c r="KYJ125" s="72"/>
      <c r="KYK125" s="72"/>
      <c r="KYL125" s="72"/>
      <c r="KYM125" s="72"/>
      <c r="KYN125" s="72"/>
      <c r="KYO125" s="72"/>
      <c r="KYP125" s="72"/>
      <c r="KYQ125" s="72"/>
      <c r="KYR125" s="72"/>
      <c r="KYS125" s="72"/>
      <c r="KYT125" s="72"/>
      <c r="KYU125" s="72"/>
      <c r="KYV125" s="72"/>
      <c r="KYW125" s="72"/>
      <c r="KYX125" s="72"/>
      <c r="KYY125" s="72"/>
      <c r="KYZ125" s="72"/>
      <c r="KZA125" s="72"/>
      <c r="KZB125" s="72"/>
      <c r="KZC125" s="72"/>
      <c r="KZD125" s="72"/>
      <c r="KZE125" s="72"/>
      <c r="KZF125" s="72"/>
      <c r="KZG125" s="72"/>
      <c r="KZH125" s="72"/>
      <c r="KZI125" s="72"/>
      <c r="KZJ125" s="72"/>
      <c r="KZK125" s="72"/>
      <c r="KZL125" s="72"/>
      <c r="KZM125" s="72"/>
      <c r="KZN125" s="72"/>
      <c r="KZO125" s="72"/>
      <c r="KZP125" s="72"/>
      <c r="KZQ125" s="72"/>
      <c r="KZR125" s="72"/>
      <c r="KZS125" s="72"/>
      <c r="KZT125" s="72"/>
      <c r="KZU125" s="72"/>
      <c r="KZV125" s="72"/>
      <c r="KZW125" s="72"/>
      <c r="KZX125" s="72"/>
      <c r="KZY125" s="72"/>
      <c r="KZZ125" s="72"/>
      <c r="LAA125" s="72"/>
      <c r="LAB125" s="72"/>
      <c r="LAC125" s="72"/>
      <c r="LAD125" s="72"/>
      <c r="LAE125" s="72"/>
      <c r="LAF125" s="72"/>
      <c r="LAG125" s="72"/>
      <c r="LAH125" s="72"/>
      <c r="LAI125" s="72"/>
      <c r="LAJ125" s="72"/>
      <c r="LAK125" s="72"/>
      <c r="LAL125" s="72"/>
      <c r="LAM125" s="72"/>
      <c r="LAN125" s="72"/>
      <c r="LAO125" s="72"/>
      <c r="LAP125" s="72"/>
      <c r="LAQ125" s="72"/>
      <c r="LAR125" s="72"/>
      <c r="LAS125" s="72"/>
      <c r="LAT125" s="72"/>
      <c r="LAU125" s="72"/>
      <c r="LAV125" s="72"/>
      <c r="LAW125" s="72"/>
      <c r="LAX125" s="72"/>
      <c r="LAY125" s="72"/>
      <c r="LAZ125" s="72"/>
      <c r="LBA125" s="72"/>
      <c r="LBB125" s="72"/>
      <c r="LBC125" s="72"/>
      <c r="LBD125" s="72"/>
      <c r="LBE125" s="72"/>
      <c r="LBF125" s="72"/>
      <c r="LBG125" s="72"/>
      <c r="LBH125" s="72"/>
      <c r="LBI125" s="72"/>
      <c r="LBJ125" s="72"/>
      <c r="LBK125" s="72"/>
      <c r="LBL125" s="72"/>
      <c r="LBM125" s="72"/>
      <c r="LBN125" s="72"/>
      <c r="LBO125" s="72"/>
      <c r="LBP125" s="72"/>
      <c r="LBQ125" s="72"/>
      <c r="LBR125" s="72"/>
      <c r="LBS125" s="72"/>
      <c r="LBT125" s="72"/>
      <c r="LBU125" s="72"/>
      <c r="LBV125" s="72"/>
      <c r="LBW125" s="72"/>
      <c r="LBX125" s="72"/>
      <c r="LBY125" s="72"/>
      <c r="LBZ125" s="72"/>
      <c r="LCA125" s="72"/>
      <c r="LCB125" s="72"/>
      <c r="LCC125" s="72"/>
      <c r="LCD125" s="72"/>
      <c r="LCE125" s="72"/>
      <c r="LCF125" s="72"/>
      <c r="LCG125" s="72"/>
      <c r="LCH125" s="72"/>
      <c r="LCI125" s="72"/>
      <c r="LCJ125" s="72"/>
      <c r="LCK125" s="72"/>
      <c r="LCL125" s="72"/>
      <c r="LCM125" s="72"/>
      <c r="LCN125" s="72"/>
      <c r="LCO125" s="72"/>
      <c r="LCP125" s="72"/>
      <c r="LCQ125" s="72"/>
      <c r="LCR125" s="72"/>
      <c r="LCS125" s="72"/>
      <c r="LCT125" s="72"/>
      <c r="LCU125" s="72"/>
      <c r="LCV125" s="72"/>
      <c r="LCW125" s="72"/>
      <c r="LCX125" s="72"/>
      <c r="LCY125" s="72"/>
      <c r="LCZ125" s="72"/>
      <c r="LDA125" s="72"/>
      <c r="LDB125" s="72"/>
      <c r="LDC125" s="72"/>
      <c r="LDD125" s="72"/>
      <c r="LDE125" s="72"/>
      <c r="LDF125" s="72"/>
      <c r="LDG125" s="72"/>
      <c r="LDH125" s="72"/>
      <c r="LDI125" s="72"/>
      <c r="LDJ125" s="72"/>
      <c r="LDK125" s="72"/>
      <c r="LDL125" s="72"/>
      <c r="LDM125" s="72"/>
      <c r="LDN125" s="72"/>
      <c r="LDO125" s="72"/>
      <c r="LDP125" s="72"/>
      <c r="LDQ125" s="72"/>
      <c r="LDR125" s="72"/>
      <c r="LDS125" s="72"/>
      <c r="LDT125" s="72"/>
      <c r="LDU125" s="72"/>
      <c r="LDV125" s="72"/>
      <c r="LDW125" s="72"/>
      <c r="LDX125" s="72"/>
      <c r="LDY125" s="72"/>
      <c r="LDZ125" s="72"/>
      <c r="LEA125" s="72"/>
      <c r="LEB125" s="72"/>
      <c r="LEC125" s="72"/>
      <c r="LED125" s="72"/>
      <c r="LEE125" s="72"/>
      <c r="LEF125" s="72"/>
      <c r="LEG125" s="72"/>
      <c r="LEH125" s="72"/>
      <c r="LEI125" s="72"/>
      <c r="LEJ125" s="72"/>
      <c r="LEK125" s="72"/>
      <c r="LEL125" s="72"/>
      <c r="LEM125" s="72"/>
      <c r="LEN125" s="72"/>
      <c r="LEO125" s="72"/>
      <c r="LEP125" s="72"/>
      <c r="LEQ125" s="72"/>
      <c r="LER125" s="72"/>
      <c r="LES125" s="72"/>
      <c r="LET125" s="72"/>
      <c r="LEU125" s="72"/>
      <c r="LEV125" s="72"/>
      <c r="LEW125" s="72"/>
      <c r="LEX125" s="72"/>
      <c r="LEY125" s="72"/>
      <c r="LEZ125" s="72"/>
      <c r="LFA125" s="72"/>
      <c r="LFB125" s="72"/>
      <c r="LFC125" s="72"/>
      <c r="LFD125" s="72"/>
      <c r="LFE125" s="72"/>
      <c r="LFF125" s="72"/>
      <c r="LFG125" s="72"/>
      <c r="LFH125" s="72"/>
      <c r="LFI125" s="72"/>
      <c r="LFJ125" s="72"/>
      <c r="LFK125" s="72"/>
      <c r="LFL125" s="72"/>
      <c r="LFM125" s="72"/>
      <c r="LFN125" s="72"/>
      <c r="LFO125" s="72"/>
      <c r="LFP125" s="72"/>
      <c r="LFQ125" s="72"/>
      <c r="LFR125" s="72"/>
      <c r="LFS125" s="72"/>
      <c r="LFT125" s="72"/>
      <c r="LFU125" s="72"/>
      <c r="LFV125" s="72"/>
      <c r="LFW125" s="72"/>
      <c r="LFX125" s="72"/>
      <c r="LFY125" s="72"/>
      <c r="LFZ125" s="72"/>
      <c r="LGA125" s="72"/>
      <c r="LGB125" s="72"/>
      <c r="LGC125" s="72"/>
      <c r="LGD125" s="72"/>
      <c r="LGE125" s="72"/>
      <c r="LGF125" s="72"/>
      <c r="LGG125" s="72"/>
      <c r="LGH125" s="72"/>
      <c r="LGI125" s="72"/>
      <c r="LGJ125" s="72"/>
      <c r="LGK125" s="72"/>
      <c r="LGL125" s="72"/>
      <c r="LGM125" s="72"/>
      <c r="LGN125" s="72"/>
      <c r="LGO125" s="72"/>
      <c r="LGP125" s="72"/>
      <c r="LGQ125" s="72"/>
      <c r="LGR125" s="72"/>
      <c r="LGS125" s="72"/>
      <c r="LGT125" s="72"/>
      <c r="LGU125" s="72"/>
      <c r="LGV125" s="72"/>
      <c r="LGW125" s="72"/>
      <c r="LGX125" s="72"/>
      <c r="LGY125" s="72"/>
      <c r="LGZ125" s="72"/>
      <c r="LHA125" s="72"/>
      <c r="LHB125" s="72"/>
      <c r="LHC125" s="72"/>
      <c r="LHD125" s="72"/>
      <c r="LHE125" s="72"/>
      <c r="LHF125" s="72"/>
      <c r="LHG125" s="72"/>
      <c r="LHH125" s="72"/>
      <c r="LHI125" s="72"/>
      <c r="LHJ125" s="72"/>
      <c r="LHK125" s="72"/>
      <c r="LHL125" s="72"/>
      <c r="LHM125" s="72"/>
      <c r="LHN125" s="72"/>
      <c r="LHO125" s="72"/>
      <c r="LHP125" s="72"/>
      <c r="LHQ125" s="72"/>
      <c r="LHR125" s="72"/>
      <c r="LHS125" s="72"/>
      <c r="LHT125" s="72"/>
      <c r="LHU125" s="72"/>
      <c r="LHV125" s="72"/>
      <c r="LHW125" s="72"/>
      <c r="LHX125" s="72"/>
      <c r="LHY125" s="72"/>
      <c r="LHZ125" s="72"/>
      <c r="LIA125" s="72"/>
      <c r="LIB125" s="72"/>
      <c r="LIC125" s="72"/>
      <c r="LID125" s="72"/>
      <c r="LIE125" s="72"/>
      <c r="LIF125" s="72"/>
      <c r="LIG125" s="72"/>
      <c r="LIH125" s="72"/>
      <c r="LII125" s="72"/>
      <c r="LIJ125" s="72"/>
      <c r="LIK125" s="72"/>
      <c r="LIL125" s="72"/>
      <c r="LIM125" s="72"/>
      <c r="LIN125" s="72"/>
      <c r="LIO125" s="72"/>
      <c r="LIP125" s="72"/>
      <c r="LIQ125" s="72"/>
      <c r="LIR125" s="72"/>
      <c r="LIS125" s="72"/>
      <c r="LIT125" s="72"/>
      <c r="LIU125" s="72"/>
      <c r="LIV125" s="72"/>
      <c r="LIW125" s="72"/>
      <c r="LIX125" s="72"/>
      <c r="LIY125" s="72"/>
      <c r="LIZ125" s="72"/>
      <c r="LJA125" s="72"/>
      <c r="LJB125" s="72"/>
      <c r="LJC125" s="72"/>
      <c r="LJD125" s="72"/>
      <c r="LJE125" s="72"/>
      <c r="LJF125" s="72"/>
      <c r="LJG125" s="72"/>
      <c r="LJH125" s="72"/>
      <c r="LJI125" s="72"/>
      <c r="LJJ125" s="72"/>
      <c r="LJK125" s="72"/>
      <c r="LJL125" s="72"/>
      <c r="LJM125" s="72"/>
      <c r="LJN125" s="72"/>
      <c r="LJO125" s="72"/>
      <c r="LJP125" s="72"/>
      <c r="LJQ125" s="72"/>
      <c r="LJR125" s="72"/>
      <c r="LJS125" s="72"/>
      <c r="LJT125" s="72"/>
      <c r="LJU125" s="72"/>
      <c r="LJV125" s="72"/>
      <c r="LJW125" s="72"/>
      <c r="LJX125" s="72"/>
      <c r="LJY125" s="72"/>
      <c r="LJZ125" s="72"/>
      <c r="LKA125" s="72"/>
      <c r="LKB125" s="72"/>
      <c r="LKC125" s="72"/>
      <c r="LKD125" s="72"/>
      <c r="LKE125" s="72"/>
      <c r="LKF125" s="72"/>
      <c r="LKG125" s="72"/>
      <c r="LKH125" s="72"/>
      <c r="LKI125" s="72"/>
      <c r="LKJ125" s="72"/>
      <c r="LKK125" s="72"/>
      <c r="LKL125" s="72"/>
      <c r="LKM125" s="72"/>
      <c r="LKN125" s="72"/>
      <c r="LKO125" s="72"/>
      <c r="LKP125" s="72"/>
      <c r="LKQ125" s="72"/>
      <c r="LKR125" s="72"/>
      <c r="LKS125" s="72"/>
      <c r="LKT125" s="72"/>
      <c r="LKU125" s="72"/>
      <c r="LKV125" s="72"/>
      <c r="LKW125" s="72"/>
      <c r="LKX125" s="72"/>
      <c r="LKY125" s="72"/>
      <c r="LKZ125" s="72"/>
      <c r="LLA125" s="72"/>
      <c r="LLB125" s="72"/>
      <c r="LLC125" s="72"/>
      <c r="LLD125" s="72"/>
      <c r="LLE125" s="72"/>
      <c r="LLF125" s="72"/>
      <c r="LLG125" s="72"/>
      <c r="LLH125" s="72"/>
      <c r="LLI125" s="72"/>
      <c r="LLJ125" s="72"/>
      <c r="LLK125" s="72"/>
      <c r="LLL125" s="72"/>
      <c r="LLM125" s="72"/>
      <c r="LLN125" s="72"/>
      <c r="LLO125" s="72"/>
      <c r="LLP125" s="72"/>
      <c r="LLQ125" s="72"/>
      <c r="LLR125" s="72"/>
      <c r="LLS125" s="72"/>
      <c r="LLT125" s="72"/>
      <c r="LLU125" s="72"/>
      <c r="LLV125" s="72"/>
      <c r="LLW125" s="72"/>
      <c r="LLX125" s="72"/>
      <c r="LLY125" s="72"/>
      <c r="LLZ125" s="72"/>
      <c r="LMA125" s="72"/>
      <c r="LMB125" s="72"/>
      <c r="LMC125" s="72"/>
      <c r="LMD125" s="72"/>
      <c r="LME125" s="72"/>
      <c r="LMF125" s="72"/>
      <c r="LMG125" s="72"/>
      <c r="LMH125" s="72"/>
      <c r="LMI125" s="72"/>
      <c r="LMJ125" s="72"/>
      <c r="LMK125" s="72"/>
      <c r="LML125" s="72"/>
      <c r="LMM125" s="72"/>
      <c r="LMN125" s="72"/>
      <c r="LMO125" s="72"/>
      <c r="LMP125" s="72"/>
      <c r="LMQ125" s="72"/>
      <c r="LMR125" s="72"/>
      <c r="LMS125" s="72"/>
      <c r="LMT125" s="72"/>
      <c r="LMU125" s="72"/>
      <c r="LMV125" s="72"/>
      <c r="LMW125" s="72"/>
      <c r="LMX125" s="72"/>
      <c r="LMY125" s="72"/>
      <c r="LMZ125" s="72"/>
      <c r="LNA125" s="72"/>
      <c r="LNB125" s="72"/>
      <c r="LNC125" s="72"/>
      <c r="LND125" s="72"/>
      <c r="LNE125" s="72"/>
      <c r="LNF125" s="72"/>
      <c r="LNG125" s="72"/>
      <c r="LNH125" s="72"/>
      <c r="LNI125" s="72"/>
      <c r="LNJ125" s="72"/>
      <c r="LNK125" s="72"/>
      <c r="LNL125" s="72"/>
      <c r="LNM125" s="72"/>
      <c r="LNN125" s="72"/>
      <c r="LNO125" s="72"/>
      <c r="LNP125" s="72"/>
      <c r="LNQ125" s="72"/>
      <c r="LNR125" s="72"/>
      <c r="LNS125" s="72"/>
      <c r="LNT125" s="72"/>
      <c r="LNU125" s="72"/>
      <c r="LNV125" s="72"/>
      <c r="LNW125" s="72"/>
      <c r="LNX125" s="72"/>
      <c r="LNY125" s="72"/>
      <c r="LNZ125" s="72"/>
      <c r="LOA125" s="72"/>
      <c r="LOB125" s="72"/>
      <c r="LOC125" s="72"/>
      <c r="LOD125" s="72"/>
      <c r="LOE125" s="72"/>
      <c r="LOF125" s="72"/>
      <c r="LOG125" s="72"/>
      <c r="LOH125" s="72"/>
      <c r="LOI125" s="72"/>
      <c r="LOJ125" s="72"/>
      <c r="LOK125" s="72"/>
      <c r="LOL125" s="72"/>
      <c r="LOM125" s="72"/>
      <c r="LON125" s="72"/>
      <c r="LOO125" s="72"/>
      <c r="LOP125" s="72"/>
      <c r="LOQ125" s="72"/>
      <c r="LOR125" s="72"/>
      <c r="LOS125" s="72"/>
      <c r="LOT125" s="72"/>
      <c r="LOU125" s="72"/>
      <c r="LOV125" s="72"/>
      <c r="LOW125" s="72"/>
      <c r="LOX125" s="72"/>
      <c r="LOY125" s="72"/>
      <c r="LOZ125" s="72"/>
      <c r="LPA125" s="72"/>
      <c r="LPB125" s="72"/>
      <c r="LPC125" s="72"/>
      <c r="LPD125" s="72"/>
      <c r="LPE125" s="72"/>
      <c r="LPF125" s="72"/>
      <c r="LPG125" s="72"/>
      <c r="LPH125" s="72"/>
      <c r="LPI125" s="72"/>
      <c r="LPJ125" s="72"/>
      <c r="LPK125" s="72"/>
      <c r="LPL125" s="72"/>
      <c r="LPM125" s="72"/>
      <c r="LPN125" s="72"/>
      <c r="LPO125" s="72"/>
      <c r="LPP125" s="72"/>
      <c r="LPQ125" s="72"/>
      <c r="LPR125" s="72"/>
      <c r="LPS125" s="72"/>
      <c r="LPT125" s="72"/>
      <c r="LPU125" s="72"/>
      <c r="LPV125" s="72"/>
      <c r="LPW125" s="72"/>
      <c r="LPX125" s="72"/>
      <c r="LPY125" s="72"/>
      <c r="LPZ125" s="72"/>
      <c r="LQA125" s="72"/>
      <c r="LQB125" s="72"/>
      <c r="LQC125" s="72"/>
      <c r="LQD125" s="72"/>
      <c r="LQE125" s="72"/>
      <c r="LQF125" s="72"/>
      <c r="LQG125" s="72"/>
      <c r="LQH125" s="72"/>
      <c r="LQI125" s="72"/>
      <c r="LQJ125" s="72"/>
      <c r="LQK125" s="72"/>
      <c r="LQL125" s="72"/>
      <c r="LQM125" s="72"/>
      <c r="LQN125" s="72"/>
      <c r="LQO125" s="72"/>
      <c r="LQP125" s="72"/>
      <c r="LQQ125" s="72"/>
      <c r="LQR125" s="72"/>
      <c r="LQS125" s="72"/>
      <c r="LQT125" s="72"/>
      <c r="LQU125" s="72"/>
      <c r="LQV125" s="72"/>
      <c r="LQW125" s="72"/>
      <c r="LQX125" s="72"/>
      <c r="LQY125" s="72"/>
      <c r="LQZ125" s="72"/>
      <c r="LRA125" s="72"/>
      <c r="LRB125" s="72"/>
      <c r="LRC125" s="72"/>
      <c r="LRD125" s="72"/>
      <c r="LRE125" s="72"/>
      <c r="LRF125" s="72"/>
      <c r="LRG125" s="72"/>
      <c r="LRH125" s="72"/>
      <c r="LRI125" s="72"/>
      <c r="LRJ125" s="72"/>
      <c r="LRK125" s="72"/>
      <c r="LRL125" s="72"/>
      <c r="LRM125" s="72"/>
      <c r="LRN125" s="72"/>
      <c r="LRO125" s="72"/>
      <c r="LRP125" s="72"/>
      <c r="LRQ125" s="72"/>
      <c r="LRR125" s="72"/>
      <c r="LRS125" s="72"/>
      <c r="LRT125" s="72"/>
      <c r="LRU125" s="72"/>
      <c r="LRV125" s="72"/>
      <c r="LRW125" s="72"/>
      <c r="LRX125" s="72"/>
      <c r="LRY125" s="72"/>
      <c r="LRZ125" s="72"/>
      <c r="LSA125" s="72"/>
      <c r="LSB125" s="72"/>
      <c r="LSC125" s="72"/>
      <c r="LSD125" s="72"/>
      <c r="LSE125" s="72"/>
      <c r="LSF125" s="72"/>
      <c r="LSG125" s="72"/>
      <c r="LSH125" s="72"/>
      <c r="LSI125" s="72"/>
      <c r="LSJ125" s="72"/>
      <c r="LSK125" s="72"/>
      <c r="LSL125" s="72"/>
      <c r="LSM125" s="72"/>
      <c r="LSN125" s="72"/>
      <c r="LSO125" s="72"/>
      <c r="LSP125" s="72"/>
      <c r="LSQ125" s="72"/>
      <c r="LSR125" s="72"/>
      <c r="LSS125" s="72"/>
      <c r="LST125" s="72"/>
      <c r="LSU125" s="72"/>
      <c r="LSV125" s="72"/>
      <c r="LSW125" s="72"/>
      <c r="LSX125" s="72"/>
      <c r="LSY125" s="72"/>
      <c r="LSZ125" s="72"/>
      <c r="LTA125" s="72"/>
      <c r="LTB125" s="72"/>
      <c r="LTC125" s="72"/>
      <c r="LTD125" s="72"/>
      <c r="LTE125" s="72"/>
      <c r="LTF125" s="72"/>
      <c r="LTG125" s="72"/>
      <c r="LTH125" s="72"/>
      <c r="LTI125" s="72"/>
      <c r="LTJ125" s="72"/>
      <c r="LTK125" s="72"/>
      <c r="LTL125" s="72"/>
      <c r="LTM125" s="72"/>
      <c r="LTN125" s="72"/>
      <c r="LTO125" s="72"/>
      <c r="LTP125" s="72"/>
      <c r="LTQ125" s="72"/>
      <c r="LTR125" s="72"/>
      <c r="LTS125" s="72"/>
      <c r="LTT125" s="72"/>
      <c r="LTU125" s="72"/>
      <c r="LTV125" s="72"/>
      <c r="LTW125" s="72"/>
      <c r="LTX125" s="72"/>
      <c r="LTY125" s="72"/>
      <c r="LTZ125" s="72"/>
      <c r="LUA125" s="72"/>
      <c r="LUB125" s="72"/>
      <c r="LUC125" s="72"/>
      <c r="LUD125" s="72"/>
      <c r="LUE125" s="72"/>
      <c r="LUF125" s="72"/>
      <c r="LUG125" s="72"/>
      <c r="LUH125" s="72"/>
      <c r="LUI125" s="72"/>
      <c r="LUJ125" s="72"/>
      <c r="LUK125" s="72"/>
      <c r="LUL125" s="72"/>
      <c r="LUM125" s="72"/>
      <c r="LUN125" s="72"/>
      <c r="LUO125" s="72"/>
      <c r="LUP125" s="72"/>
      <c r="LUQ125" s="72"/>
      <c r="LUR125" s="72"/>
      <c r="LUS125" s="72"/>
      <c r="LUT125" s="72"/>
      <c r="LUU125" s="72"/>
      <c r="LUV125" s="72"/>
      <c r="LUW125" s="72"/>
      <c r="LUX125" s="72"/>
      <c r="LUY125" s="72"/>
      <c r="LUZ125" s="72"/>
      <c r="LVA125" s="72"/>
      <c r="LVB125" s="72"/>
      <c r="LVC125" s="72"/>
      <c r="LVD125" s="72"/>
      <c r="LVE125" s="72"/>
      <c r="LVF125" s="72"/>
      <c r="LVG125" s="72"/>
      <c r="LVH125" s="72"/>
      <c r="LVI125" s="72"/>
      <c r="LVJ125" s="72"/>
      <c r="LVK125" s="72"/>
      <c r="LVL125" s="72"/>
      <c r="LVM125" s="72"/>
      <c r="LVN125" s="72"/>
      <c r="LVO125" s="72"/>
      <c r="LVP125" s="72"/>
      <c r="LVQ125" s="72"/>
      <c r="LVR125" s="72"/>
      <c r="LVS125" s="72"/>
      <c r="LVT125" s="72"/>
      <c r="LVU125" s="72"/>
      <c r="LVV125" s="72"/>
      <c r="LVW125" s="72"/>
      <c r="LVX125" s="72"/>
      <c r="LVY125" s="72"/>
      <c r="LVZ125" s="72"/>
      <c r="LWA125" s="72"/>
      <c r="LWB125" s="72"/>
      <c r="LWC125" s="72"/>
      <c r="LWD125" s="72"/>
      <c r="LWE125" s="72"/>
      <c r="LWF125" s="72"/>
      <c r="LWG125" s="72"/>
      <c r="LWH125" s="72"/>
      <c r="LWI125" s="72"/>
      <c r="LWJ125" s="72"/>
      <c r="LWK125" s="72"/>
      <c r="LWL125" s="72"/>
      <c r="LWM125" s="72"/>
      <c r="LWN125" s="72"/>
      <c r="LWO125" s="72"/>
      <c r="LWP125" s="72"/>
      <c r="LWQ125" s="72"/>
      <c r="LWR125" s="72"/>
      <c r="LWS125" s="72"/>
      <c r="LWT125" s="72"/>
      <c r="LWU125" s="72"/>
      <c r="LWV125" s="72"/>
      <c r="LWW125" s="72"/>
      <c r="LWX125" s="72"/>
      <c r="LWY125" s="72"/>
      <c r="LWZ125" s="72"/>
      <c r="LXA125" s="72"/>
      <c r="LXB125" s="72"/>
      <c r="LXC125" s="72"/>
      <c r="LXD125" s="72"/>
      <c r="LXE125" s="72"/>
      <c r="LXF125" s="72"/>
      <c r="LXG125" s="72"/>
      <c r="LXH125" s="72"/>
      <c r="LXI125" s="72"/>
      <c r="LXJ125" s="72"/>
      <c r="LXK125" s="72"/>
      <c r="LXL125" s="72"/>
      <c r="LXM125" s="72"/>
      <c r="LXN125" s="72"/>
      <c r="LXO125" s="72"/>
      <c r="LXP125" s="72"/>
      <c r="LXQ125" s="72"/>
      <c r="LXR125" s="72"/>
      <c r="LXS125" s="72"/>
      <c r="LXT125" s="72"/>
      <c r="LXU125" s="72"/>
      <c r="LXV125" s="72"/>
      <c r="LXW125" s="72"/>
      <c r="LXX125" s="72"/>
      <c r="LXY125" s="72"/>
      <c r="LXZ125" s="72"/>
      <c r="LYA125" s="72"/>
      <c r="LYB125" s="72"/>
      <c r="LYC125" s="72"/>
      <c r="LYD125" s="72"/>
      <c r="LYE125" s="72"/>
      <c r="LYF125" s="72"/>
      <c r="LYG125" s="72"/>
      <c r="LYH125" s="72"/>
      <c r="LYI125" s="72"/>
      <c r="LYJ125" s="72"/>
      <c r="LYK125" s="72"/>
      <c r="LYL125" s="72"/>
      <c r="LYM125" s="72"/>
      <c r="LYN125" s="72"/>
      <c r="LYO125" s="72"/>
      <c r="LYP125" s="72"/>
      <c r="LYQ125" s="72"/>
      <c r="LYR125" s="72"/>
      <c r="LYS125" s="72"/>
      <c r="LYT125" s="72"/>
      <c r="LYU125" s="72"/>
      <c r="LYV125" s="72"/>
      <c r="LYW125" s="72"/>
      <c r="LYX125" s="72"/>
      <c r="LYY125" s="72"/>
      <c r="LYZ125" s="72"/>
      <c r="LZA125" s="72"/>
      <c r="LZB125" s="72"/>
      <c r="LZC125" s="72"/>
      <c r="LZD125" s="72"/>
      <c r="LZE125" s="72"/>
      <c r="LZF125" s="72"/>
      <c r="LZG125" s="72"/>
      <c r="LZH125" s="72"/>
      <c r="LZI125" s="72"/>
      <c r="LZJ125" s="72"/>
      <c r="LZK125" s="72"/>
      <c r="LZL125" s="72"/>
      <c r="LZM125" s="72"/>
      <c r="LZN125" s="72"/>
      <c r="LZO125" s="72"/>
      <c r="LZP125" s="72"/>
      <c r="LZQ125" s="72"/>
      <c r="LZR125" s="72"/>
      <c r="LZS125" s="72"/>
      <c r="LZT125" s="72"/>
      <c r="LZU125" s="72"/>
      <c r="LZV125" s="72"/>
      <c r="LZW125" s="72"/>
      <c r="LZX125" s="72"/>
      <c r="LZY125" s="72"/>
      <c r="LZZ125" s="72"/>
      <c r="MAA125" s="72"/>
      <c r="MAB125" s="72"/>
      <c r="MAC125" s="72"/>
      <c r="MAD125" s="72"/>
      <c r="MAE125" s="72"/>
      <c r="MAF125" s="72"/>
      <c r="MAG125" s="72"/>
      <c r="MAH125" s="72"/>
      <c r="MAI125" s="72"/>
      <c r="MAJ125" s="72"/>
      <c r="MAK125" s="72"/>
      <c r="MAL125" s="72"/>
      <c r="MAM125" s="72"/>
      <c r="MAN125" s="72"/>
      <c r="MAO125" s="72"/>
      <c r="MAP125" s="72"/>
      <c r="MAQ125" s="72"/>
      <c r="MAR125" s="72"/>
      <c r="MAS125" s="72"/>
      <c r="MAT125" s="72"/>
      <c r="MAU125" s="72"/>
      <c r="MAV125" s="72"/>
      <c r="MAW125" s="72"/>
      <c r="MAX125" s="72"/>
      <c r="MAY125" s="72"/>
      <c r="MAZ125" s="72"/>
      <c r="MBA125" s="72"/>
      <c r="MBB125" s="72"/>
      <c r="MBC125" s="72"/>
      <c r="MBD125" s="72"/>
      <c r="MBE125" s="72"/>
      <c r="MBF125" s="72"/>
      <c r="MBG125" s="72"/>
      <c r="MBH125" s="72"/>
      <c r="MBI125" s="72"/>
      <c r="MBJ125" s="72"/>
      <c r="MBK125" s="72"/>
      <c r="MBL125" s="72"/>
      <c r="MBM125" s="72"/>
      <c r="MBN125" s="72"/>
      <c r="MBO125" s="72"/>
      <c r="MBP125" s="72"/>
      <c r="MBQ125" s="72"/>
      <c r="MBR125" s="72"/>
      <c r="MBS125" s="72"/>
      <c r="MBT125" s="72"/>
      <c r="MBU125" s="72"/>
      <c r="MBV125" s="72"/>
      <c r="MBW125" s="72"/>
      <c r="MBX125" s="72"/>
      <c r="MBY125" s="72"/>
      <c r="MBZ125" s="72"/>
      <c r="MCA125" s="72"/>
      <c r="MCB125" s="72"/>
      <c r="MCC125" s="72"/>
      <c r="MCD125" s="72"/>
      <c r="MCE125" s="72"/>
      <c r="MCF125" s="72"/>
      <c r="MCG125" s="72"/>
      <c r="MCH125" s="72"/>
      <c r="MCI125" s="72"/>
      <c r="MCJ125" s="72"/>
      <c r="MCK125" s="72"/>
      <c r="MCL125" s="72"/>
      <c r="MCM125" s="72"/>
      <c r="MCN125" s="72"/>
      <c r="MCO125" s="72"/>
      <c r="MCP125" s="72"/>
      <c r="MCQ125" s="72"/>
      <c r="MCR125" s="72"/>
      <c r="MCS125" s="72"/>
      <c r="MCT125" s="72"/>
      <c r="MCU125" s="72"/>
      <c r="MCV125" s="72"/>
      <c r="MCW125" s="72"/>
      <c r="MCX125" s="72"/>
      <c r="MCY125" s="72"/>
      <c r="MCZ125" s="72"/>
      <c r="MDA125" s="72"/>
      <c r="MDB125" s="72"/>
      <c r="MDC125" s="72"/>
      <c r="MDD125" s="72"/>
      <c r="MDE125" s="72"/>
      <c r="MDF125" s="72"/>
      <c r="MDG125" s="72"/>
      <c r="MDH125" s="72"/>
      <c r="MDI125" s="72"/>
      <c r="MDJ125" s="72"/>
      <c r="MDK125" s="72"/>
      <c r="MDL125" s="72"/>
      <c r="MDM125" s="72"/>
      <c r="MDN125" s="72"/>
      <c r="MDO125" s="72"/>
      <c r="MDP125" s="72"/>
      <c r="MDQ125" s="72"/>
      <c r="MDR125" s="72"/>
      <c r="MDS125" s="72"/>
      <c r="MDT125" s="72"/>
      <c r="MDU125" s="72"/>
      <c r="MDV125" s="72"/>
      <c r="MDW125" s="72"/>
      <c r="MDX125" s="72"/>
      <c r="MDY125" s="72"/>
      <c r="MDZ125" s="72"/>
      <c r="MEA125" s="72"/>
      <c r="MEB125" s="72"/>
      <c r="MEC125" s="72"/>
      <c r="MED125" s="72"/>
      <c r="MEE125" s="72"/>
      <c r="MEF125" s="72"/>
      <c r="MEG125" s="72"/>
      <c r="MEH125" s="72"/>
      <c r="MEI125" s="72"/>
      <c r="MEJ125" s="72"/>
      <c r="MEK125" s="72"/>
      <c r="MEL125" s="72"/>
      <c r="MEM125" s="72"/>
      <c r="MEN125" s="72"/>
      <c r="MEO125" s="72"/>
      <c r="MEP125" s="72"/>
      <c r="MEQ125" s="72"/>
      <c r="MER125" s="72"/>
      <c r="MES125" s="72"/>
      <c r="MET125" s="72"/>
      <c r="MEU125" s="72"/>
      <c r="MEV125" s="72"/>
      <c r="MEW125" s="72"/>
      <c r="MEX125" s="72"/>
      <c r="MEY125" s="72"/>
      <c r="MEZ125" s="72"/>
      <c r="MFA125" s="72"/>
      <c r="MFB125" s="72"/>
      <c r="MFC125" s="72"/>
      <c r="MFD125" s="72"/>
      <c r="MFE125" s="72"/>
      <c r="MFF125" s="72"/>
      <c r="MFG125" s="72"/>
      <c r="MFH125" s="72"/>
      <c r="MFI125" s="72"/>
      <c r="MFJ125" s="72"/>
      <c r="MFK125" s="72"/>
      <c r="MFL125" s="72"/>
      <c r="MFM125" s="72"/>
      <c r="MFN125" s="72"/>
      <c r="MFO125" s="72"/>
      <c r="MFP125" s="72"/>
      <c r="MFQ125" s="72"/>
      <c r="MFR125" s="72"/>
      <c r="MFS125" s="72"/>
      <c r="MFT125" s="72"/>
      <c r="MFU125" s="72"/>
      <c r="MFV125" s="72"/>
      <c r="MFW125" s="72"/>
      <c r="MFX125" s="72"/>
      <c r="MFY125" s="72"/>
      <c r="MFZ125" s="72"/>
      <c r="MGA125" s="72"/>
      <c r="MGB125" s="72"/>
      <c r="MGC125" s="72"/>
      <c r="MGD125" s="72"/>
      <c r="MGE125" s="72"/>
      <c r="MGF125" s="72"/>
      <c r="MGG125" s="72"/>
      <c r="MGH125" s="72"/>
      <c r="MGI125" s="72"/>
      <c r="MGJ125" s="72"/>
      <c r="MGK125" s="72"/>
      <c r="MGL125" s="72"/>
      <c r="MGM125" s="72"/>
      <c r="MGN125" s="72"/>
      <c r="MGO125" s="72"/>
      <c r="MGP125" s="72"/>
      <c r="MGQ125" s="72"/>
      <c r="MGR125" s="72"/>
      <c r="MGS125" s="72"/>
      <c r="MGT125" s="72"/>
      <c r="MGU125" s="72"/>
      <c r="MGV125" s="72"/>
      <c r="MGW125" s="72"/>
      <c r="MGX125" s="72"/>
      <c r="MGY125" s="72"/>
      <c r="MGZ125" s="72"/>
      <c r="MHA125" s="72"/>
      <c r="MHB125" s="72"/>
      <c r="MHC125" s="72"/>
      <c r="MHD125" s="72"/>
      <c r="MHE125" s="72"/>
      <c r="MHF125" s="72"/>
      <c r="MHG125" s="72"/>
      <c r="MHH125" s="72"/>
      <c r="MHI125" s="72"/>
      <c r="MHJ125" s="72"/>
      <c r="MHK125" s="72"/>
      <c r="MHL125" s="72"/>
      <c r="MHM125" s="72"/>
      <c r="MHN125" s="72"/>
      <c r="MHO125" s="72"/>
      <c r="MHP125" s="72"/>
      <c r="MHQ125" s="72"/>
      <c r="MHR125" s="72"/>
      <c r="MHS125" s="72"/>
      <c r="MHT125" s="72"/>
      <c r="MHU125" s="72"/>
      <c r="MHV125" s="72"/>
      <c r="MHW125" s="72"/>
      <c r="MHX125" s="72"/>
      <c r="MHY125" s="72"/>
      <c r="MHZ125" s="72"/>
      <c r="MIA125" s="72"/>
      <c r="MIB125" s="72"/>
      <c r="MIC125" s="72"/>
      <c r="MID125" s="72"/>
      <c r="MIE125" s="72"/>
      <c r="MIF125" s="72"/>
      <c r="MIG125" s="72"/>
      <c r="MIH125" s="72"/>
      <c r="MII125" s="72"/>
      <c r="MIJ125" s="72"/>
      <c r="MIK125" s="72"/>
      <c r="MIL125" s="72"/>
      <c r="MIM125" s="72"/>
      <c r="MIN125" s="72"/>
      <c r="MIO125" s="72"/>
      <c r="MIP125" s="72"/>
      <c r="MIQ125" s="72"/>
      <c r="MIR125" s="72"/>
      <c r="MIS125" s="72"/>
      <c r="MIT125" s="72"/>
      <c r="MIU125" s="72"/>
      <c r="MIV125" s="72"/>
      <c r="MIW125" s="72"/>
      <c r="MIX125" s="72"/>
      <c r="MIY125" s="72"/>
      <c r="MIZ125" s="72"/>
      <c r="MJA125" s="72"/>
      <c r="MJB125" s="72"/>
      <c r="MJC125" s="72"/>
      <c r="MJD125" s="72"/>
      <c r="MJE125" s="72"/>
      <c r="MJF125" s="72"/>
      <c r="MJG125" s="72"/>
      <c r="MJH125" s="72"/>
      <c r="MJI125" s="72"/>
      <c r="MJJ125" s="72"/>
      <c r="MJK125" s="72"/>
      <c r="MJL125" s="72"/>
      <c r="MJM125" s="72"/>
      <c r="MJN125" s="72"/>
      <c r="MJO125" s="72"/>
      <c r="MJP125" s="72"/>
      <c r="MJQ125" s="72"/>
      <c r="MJR125" s="72"/>
      <c r="MJS125" s="72"/>
      <c r="MJT125" s="72"/>
      <c r="MJU125" s="72"/>
      <c r="MJV125" s="72"/>
      <c r="MJW125" s="72"/>
      <c r="MJX125" s="72"/>
      <c r="MJY125" s="72"/>
      <c r="MJZ125" s="72"/>
      <c r="MKA125" s="72"/>
      <c r="MKB125" s="72"/>
      <c r="MKC125" s="72"/>
      <c r="MKD125" s="72"/>
      <c r="MKE125" s="72"/>
      <c r="MKF125" s="72"/>
      <c r="MKG125" s="72"/>
      <c r="MKH125" s="72"/>
      <c r="MKI125" s="72"/>
      <c r="MKJ125" s="72"/>
      <c r="MKK125" s="72"/>
      <c r="MKL125" s="72"/>
      <c r="MKM125" s="72"/>
      <c r="MKN125" s="72"/>
      <c r="MKO125" s="72"/>
      <c r="MKP125" s="72"/>
      <c r="MKQ125" s="72"/>
      <c r="MKR125" s="72"/>
      <c r="MKS125" s="72"/>
      <c r="MKT125" s="72"/>
      <c r="MKU125" s="72"/>
      <c r="MKV125" s="72"/>
      <c r="MKW125" s="72"/>
      <c r="MKX125" s="72"/>
      <c r="MKY125" s="72"/>
      <c r="MKZ125" s="72"/>
      <c r="MLA125" s="72"/>
      <c r="MLB125" s="72"/>
      <c r="MLC125" s="72"/>
      <c r="MLD125" s="72"/>
      <c r="MLE125" s="72"/>
      <c r="MLF125" s="72"/>
      <c r="MLG125" s="72"/>
      <c r="MLH125" s="72"/>
      <c r="MLI125" s="72"/>
      <c r="MLJ125" s="72"/>
      <c r="MLK125" s="72"/>
      <c r="MLL125" s="72"/>
      <c r="MLM125" s="72"/>
      <c r="MLN125" s="72"/>
      <c r="MLO125" s="72"/>
      <c r="MLP125" s="72"/>
      <c r="MLQ125" s="72"/>
      <c r="MLR125" s="72"/>
      <c r="MLS125" s="72"/>
      <c r="MLT125" s="72"/>
      <c r="MLU125" s="72"/>
      <c r="MLV125" s="72"/>
      <c r="MLW125" s="72"/>
      <c r="MLX125" s="72"/>
      <c r="MLY125" s="72"/>
      <c r="MLZ125" s="72"/>
      <c r="MMA125" s="72"/>
      <c r="MMB125" s="72"/>
      <c r="MMC125" s="72"/>
      <c r="MMD125" s="72"/>
      <c r="MME125" s="72"/>
      <c r="MMF125" s="72"/>
      <c r="MMG125" s="72"/>
      <c r="MMH125" s="72"/>
      <c r="MMI125" s="72"/>
      <c r="MMJ125" s="72"/>
      <c r="MMK125" s="72"/>
      <c r="MML125" s="72"/>
      <c r="MMM125" s="72"/>
      <c r="MMN125" s="72"/>
      <c r="MMO125" s="72"/>
      <c r="MMP125" s="72"/>
      <c r="MMQ125" s="72"/>
      <c r="MMR125" s="72"/>
      <c r="MMS125" s="72"/>
      <c r="MMT125" s="72"/>
      <c r="MMU125" s="72"/>
      <c r="MMV125" s="72"/>
      <c r="MMW125" s="72"/>
      <c r="MMX125" s="72"/>
      <c r="MMY125" s="72"/>
      <c r="MMZ125" s="72"/>
      <c r="MNA125" s="72"/>
      <c r="MNB125" s="72"/>
      <c r="MNC125" s="72"/>
      <c r="MND125" s="72"/>
      <c r="MNE125" s="72"/>
      <c r="MNF125" s="72"/>
      <c r="MNG125" s="72"/>
      <c r="MNH125" s="72"/>
      <c r="MNI125" s="72"/>
      <c r="MNJ125" s="72"/>
      <c r="MNK125" s="72"/>
      <c r="MNL125" s="72"/>
      <c r="MNM125" s="72"/>
      <c r="MNN125" s="72"/>
      <c r="MNO125" s="72"/>
      <c r="MNP125" s="72"/>
      <c r="MNQ125" s="72"/>
      <c r="MNR125" s="72"/>
      <c r="MNS125" s="72"/>
      <c r="MNT125" s="72"/>
      <c r="MNU125" s="72"/>
      <c r="MNV125" s="72"/>
      <c r="MNW125" s="72"/>
      <c r="MNX125" s="72"/>
      <c r="MNY125" s="72"/>
      <c r="MNZ125" s="72"/>
      <c r="MOA125" s="72"/>
      <c r="MOB125" s="72"/>
      <c r="MOC125" s="72"/>
      <c r="MOD125" s="72"/>
      <c r="MOE125" s="72"/>
      <c r="MOF125" s="72"/>
      <c r="MOG125" s="72"/>
      <c r="MOH125" s="72"/>
      <c r="MOI125" s="72"/>
      <c r="MOJ125" s="72"/>
      <c r="MOK125" s="72"/>
      <c r="MOL125" s="72"/>
      <c r="MOM125" s="72"/>
      <c r="MON125" s="72"/>
      <c r="MOO125" s="72"/>
      <c r="MOP125" s="72"/>
      <c r="MOQ125" s="72"/>
      <c r="MOR125" s="72"/>
      <c r="MOS125" s="72"/>
      <c r="MOT125" s="72"/>
      <c r="MOU125" s="72"/>
      <c r="MOV125" s="72"/>
      <c r="MOW125" s="72"/>
      <c r="MOX125" s="72"/>
      <c r="MOY125" s="72"/>
      <c r="MOZ125" s="72"/>
      <c r="MPA125" s="72"/>
      <c r="MPB125" s="72"/>
      <c r="MPC125" s="72"/>
      <c r="MPD125" s="72"/>
      <c r="MPE125" s="72"/>
      <c r="MPF125" s="72"/>
      <c r="MPG125" s="72"/>
      <c r="MPH125" s="72"/>
      <c r="MPI125" s="72"/>
      <c r="MPJ125" s="72"/>
      <c r="MPK125" s="72"/>
      <c r="MPL125" s="72"/>
      <c r="MPM125" s="72"/>
      <c r="MPN125" s="72"/>
      <c r="MPO125" s="72"/>
      <c r="MPP125" s="72"/>
      <c r="MPQ125" s="72"/>
      <c r="MPR125" s="72"/>
      <c r="MPS125" s="72"/>
      <c r="MPT125" s="72"/>
      <c r="MPU125" s="72"/>
      <c r="MPV125" s="72"/>
      <c r="MPW125" s="72"/>
      <c r="MPX125" s="72"/>
      <c r="MPY125" s="72"/>
      <c r="MPZ125" s="72"/>
      <c r="MQA125" s="72"/>
      <c r="MQB125" s="72"/>
      <c r="MQC125" s="72"/>
      <c r="MQD125" s="72"/>
      <c r="MQE125" s="72"/>
      <c r="MQF125" s="72"/>
      <c r="MQG125" s="72"/>
      <c r="MQH125" s="72"/>
      <c r="MQI125" s="72"/>
      <c r="MQJ125" s="72"/>
      <c r="MQK125" s="72"/>
      <c r="MQL125" s="72"/>
      <c r="MQM125" s="72"/>
      <c r="MQN125" s="72"/>
      <c r="MQO125" s="72"/>
      <c r="MQP125" s="72"/>
      <c r="MQQ125" s="72"/>
      <c r="MQR125" s="72"/>
      <c r="MQS125" s="72"/>
      <c r="MQT125" s="72"/>
      <c r="MQU125" s="72"/>
      <c r="MQV125" s="72"/>
      <c r="MQW125" s="72"/>
      <c r="MQX125" s="72"/>
      <c r="MQY125" s="72"/>
      <c r="MQZ125" s="72"/>
      <c r="MRA125" s="72"/>
      <c r="MRB125" s="72"/>
      <c r="MRC125" s="72"/>
      <c r="MRD125" s="72"/>
      <c r="MRE125" s="72"/>
      <c r="MRF125" s="72"/>
      <c r="MRG125" s="72"/>
      <c r="MRH125" s="72"/>
      <c r="MRI125" s="72"/>
      <c r="MRJ125" s="72"/>
      <c r="MRK125" s="72"/>
      <c r="MRL125" s="72"/>
      <c r="MRM125" s="72"/>
      <c r="MRN125" s="72"/>
      <c r="MRO125" s="72"/>
      <c r="MRP125" s="72"/>
      <c r="MRQ125" s="72"/>
      <c r="MRR125" s="72"/>
      <c r="MRS125" s="72"/>
      <c r="MRT125" s="72"/>
      <c r="MRU125" s="72"/>
      <c r="MRV125" s="72"/>
      <c r="MRW125" s="72"/>
      <c r="MRX125" s="72"/>
      <c r="MRY125" s="72"/>
      <c r="MRZ125" s="72"/>
      <c r="MSA125" s="72"/>
      <c r="MSB125" s="72"/>
      <c r="MSC125" s="72"/>
      <c r="MSD125" s="72"/>
      <c r="MSE125" s="72"/>
      <c r="MSF125" s="72"/>
      <c r="MSG125" s="72"/>
      <c r="MSH125" s="72"/>
      <c r="MSI125" s="72"/>
      <c r="MSJ125" s="72"/>
      <c r="MSK125" s="72"/>
      <c r="MSL125" s="72"/>
      <c r="MSM125" s="72"/>
      <c r="MSN125" s="72"/>
      <c r="MSO125" s="72"/>
      <c r="MSP125" s="72"/>
      <c r="MSQ125" s="72"/>
      <c r="MSR125" s="72"/>
      <c r="MSS125" s="72"/>
      <c r="MST125" s="72"/>
      <c r="MSU125" s="72"/>
      <c r="MSV125" s="72"/>
      <c r="MSW125" s="72"/>
      <c r="MSX125" s="72"/>
      <c r="MSY125" s="72"/>
      <c r="MSZ125" s="72"/>
      <c r="MTA125" s="72"/>
      <c r="MTB125" s="72"/>
      <c r="MTC125" s="72"/>
      <c r="MTD125" s="72"/>
      <c r="MTE125" s="72"/>
      <c r="MTF125" s="72"/>
      <c r="MTG125" s="72"/>
      <c r="MTH125" s="72"/>
      <c r="MTI125" s="72"/>
      <c r="MTJ125" s="72"/>
      <c r="MTK125" s="72"/>
      <c r="MTL125" s="72"/>
      <c r="MTM125" s="72"/>
      <c r="MTN125" s="72"/>
      <c r="MTO125" s="72"/>
      <c r="MTP125" s="72"/>
      <c r="MTQ125" s="72"/>
      <c r="MTR125" s="72"/>
      <c r="MTS125" s="72"/>
      <c r="MTT125" s="72"/>
      <c r="MTU125" s="72"/>
      <c r="MTV125" s="72"/>
      <c r="MTW125" s="72"/>
      <c r="MTX125" s="72"/>
      <c r="MTY125" s="72"/>
      <c r="MTZ125" s="72"/>
      <c r="MUA125" s="72"/>
      <c r="MUB125" s="72"/>
      <c r="MUC125" s="72"/>
      <c r="MUD125" s="72"/>
      <c r="MUE125" s="72"/>
      <c r="MUF125" s="72"/>
      <c r="MUG125" s="72"/>
      <c r="MUH125" s="72"/>
      <c r="MUI125" s="72"/>
      <c r="MUJ125" s="72"/>
      <c r="MUK125" s="72"/>
      <c r="MUL125" s="72"/>
      <c r="MUM125" s="72"/>
      <c r="MUN125" s="72"/>
      <c r="MUO125" s="72"/>
      <c r="MUP125" s="72"/>
      <c r="MUQ125" s="72"/>
      <c r="MUR125" s="72"/>
      <c r="MUS125" s="72"/>
      <c r="MUT125" s="72"/>
      <c r="MUU125" s="72"/>
      <c r="MUV125" s="72"/>
      <c r="MUW125" s="72"/>
      <c r="MUX125" s="72"/>
      <c r="MUY125" s="72"/>
      <c r="MUZ125" s="72"/>
      <c r="MVA125" s="72"/>
      <c r="MVB125" s="72"/>
      <c r="MVC125" s="72"/>
      <c r="MVD125" s="72"/>
      <c r="MVE125" s="72"/>
      <c r="MVF125" s="72"/>
      <c r="MVG125" s="72"/>
      <c r="MVH125" s="72"/>
      <c r="MVI125" s="72"/>
      <c r="MVJ125" s="72"/>
      <c r="MVK125" s="72"/>
      <c r="MVL125" s="72"/>
      <c r="MVM125" s="72"/>
      <c r="MVN125" s="72"/>
      <c r="MVO125" s="72"/>
      <c r="MVP125" s="72"/>
      <c r="MVQ125" s="72"/>
      <c r="MVR125" s="72"/>
      <c r="MVS125" s="72"/>
      <c r="MVT125" s="72"/>
      <c r="MVU125" s="72"/>
      <c r="MVV125" s="72"/>
      <c r="MVW125" s="72"/>
      <c r="MVX125" s="72"/>
      <c r="MVY125" s="72"/>
      <c r="MVZ125" s="72"/>
      <c r="MWA125" s="72"/>
      <c r="MWB125" s="72"/>
      <c r="MWC125" s="72"/>
      <c r="MWD125" s="72"/>
      <c r="MWE125" s="72"/>
      <c r="MWF125" s="72"/>
      <c r="MWG125" s="72"/>
      <c r="MWH125" s="72"/>
      <c r="MWI125" s="72"/>
      <c r="MWJ125" s="72"/>
      <c r="MWK125" s="72"/>
      <c r="MWL125" s="72"/>
      <c r="MWM125" s="72"/>
      <c r="MWN125" s="72"/>
      <c r="MWO125" s="72"/>
      <c r="MWP125" s="72"/>
      <c r="MWQ125" s="72"/>
      <c r="MWR125" s="72"/>
      <c r="MWS125" s="72"/>
      <c r="MWT125" s="72"/>
      <c r="MWU125" s="72"/>
      <c r="MWV125" s="72"/>
      <c r="MWW125" s="72"/>
      <c r="MWX125" s="72"/>
      <c r="MWY125" s="72"/>
      <c r="MWZ125" s="72"/>
      <c r="MXA125" s="72"/>
      <c r="MXB125" s="72"/>
      <c r="MXC125" s="72"/>
      <c r="MXD125" s="72"/>
      <c r="MXE125" s="72"/>
      <c r="MXF125" s="72"/>
      <c r="MXG125" s="72"/>
      <c r="MXH125" s="72"/>
      <c r="MXI125" s="72"/>
      <c r="MXJ125" s="72"/>
      <c r="MXK125" s="72"/>
      <c r="MXL125" s="72"/>
      <c r="MXM125" s="72"/>
      <c r="MXN125" s="72"/>
      <c r="MXO125" s="72"/>
      <c r="MXP125" s="72"/>
      <c r="MXQ125" s="72"/>
      <c r="MXR125" s="72"/>
      <c r="MXS125" s="72"/>
      <c r="MXT125" s="72"/>
      <c r="MXU125" s="72"/>
      <c r="MXV125" s="72"/>
      <c r="MXW125" s="72"/>
      <c r="MXX125" s="72"/>
      <c r="MXY125" s="72"/>
      <c r="MXZ125" s="72"/>
      <c r="MYA125" s="72"/>
      <c r="MYB125" s="72"/>
      <c r="MYC125" s="72"/>
      <c r="MYD125" s="72"/>
      <c r="MYE125" s="72"/>
      <c r="MYF125" s="72"/>
      <c r="MYG125" s="72"/>
      <c r="MYH125" s="72"/>
      <c r="MYI125" s="72"/>
      <c r="MYJ125" s="72"/>
      <c r="MYK125" s="72"/>
      <c r="MYL125" s="72"/>
      <c r="MYM125" s="72"/>
      <c r="MYN125" s="72"/>
      <c r="MYO125" s="72"/>
      <c r="MYP125" s="72"/>
      <c r="MYQ125" s="72"/>
      <c r="MYR125" s="72"/>
      <c r="MYS125" s="72"/>
      <c r="MYT125" s="72"/>
      <c r="MYU125" s="72"/>
      <c r="MYV125" s="72"/>
      <c r="MYW125" s="72"/>
      <c r="MYX125" s="72"/>
      <c r="MYY125" s="72"/>
      <c r="MYZ125" s="72"/>
      <c r="MZA125" s="72"/>
      <c r="MZB125" s="72"/>
      <c r="MZC125" s="72"/>
      <c r="MZD125" s="72"/>
      <c r="MZE125" s="72"/>
      <c r="MZF125" s="72"/>
      <c r="MZG125" s="72"/>
      <c r="MZH125" s="72"/>
      <c r="MZI125" s="72"/>
      <c r="MZJ125" s="72"/>
      <c r="MZK125" s="72"/>
      <c r="MZL125" s="72"/>
      <c r="MZM125" s="72"/>
      <c r="MZN125" s="72"/>
      <c r="MZO125" s="72"/>
      <c r="MZP125" s="72"/>
      <c r="MZQ125" s="72"/>
      <c r="MZR125" s="72"/>
      <c r="MZS125" s="72"/>
      <c r="MZT125" s="72"/>
      <c r="MZU125" s="72"/>
      <c r="MZV125" s="72"/>
      <c r="MZW125" s="72"/>
      <c r="MZX125" s="72"/>
      <c r="MZY125" s="72"/>
      <c r="MZZ125" s="72"/>
      <c r="NAA125" s="72"/>
      <c r="NAB125" s="72"/>
      <c r="NAC125" s="72"/>
      <c r="NAD125" s="72"/>
      <c r="NAE125" s="72"/>
      <c r="NAF125" s="72"/>
      <c r="NAG125" s="72"/>
      <c r="NAH125" s="72"/>
      <c r="NAI125" s="72"/>
      <c r="NAJ125" s="72"/>
      <c r="NAK125" s="72"/>
      <c r="NAL125" s="72"/>
      <c r="NAM125" s="72"/>
      <c r="NAN125" s="72"/>
      <c r="NAO125" s="72"/>
      <c r="NAP125" s="72"/>
      <c r="NAQ125" s="72"/>
      <c r="NAR125" s="72"/>
      <c r="NAS125" s="72"/>
      <c r="NAT125" s="72"/>
      <c r="NAU125" s="72"/>
      <c r="NAV125" s="72"/>
      <c r="NAW125" s="72"/>
      <c r="NAX125" s="72"/>
      <c r="NAY125" s="72"/>
      <c r="NAZ125" s="72"/>
      <c r="NBA125" s="72"/>
      <c r="NBB125" s="72"/>
      <c r="NBC125" s="72"/>
      <c r="NBD125" s="72"/>
      <c r="NBE125" s="72"/>
      <c r="NBF125" s="72"/>
      <c r="NBG125" s="72"/>
      <c r="NBH125" s="72"/>
      <c r="NBI125" s="72"/>
      <c r="NBJ125" s="72"/>
      <c r="NBK125" s="72"/>
      <c r="NBL125" s="72"/>
      <c r="NBM125" s="72"/>
      <c r="NBN125" s="72"/>
      <c r="NBO125" s="72"/>
      <c r="NBP125" s="72"/>
      <c r="NBQ125" s="72"/>
      <c r="NBR125" s="72"/>
      <c r="NBS125" s="72"/>
      <c r="NBT125" s="72"/>
      <c r="NBU125" s="72"/>
      <c r="NBV125" s="72"/>
      <c r="NBW125" s="72"/>
      <c r="NBX125" s="72"/>
      <c r="NBY125" s="72"/>
      <c r="NBZ125" s="72"/>
      <c r="NCA125" s="72"/>
      <c r="NCB125" s="72"/>
      <c r="NCC125" s="72"/>
      <c r="NCD125" s="72"/>
      <c r="NCE125" s="72"/>
      <c r="NCF125" s="72"/>
      <c r="NCG125" s="72"/>
      <c r="NCH125" s="72"/>
      <c r="NCI125" s="72"/>
      <c r="NCJ125" s="72"/>
      <c r="NCK125" s="72"/>
      <c r="NCL125" s="72"/>
      <c r="NCM125" s="72"/>
      <c r="NCN125" s="72"/>
      <c r="NCO125" s="72"/>
      <c r="NCP125" s="72"/>
      <c r="NCQ125" s="72"/>
      <c r="NCR125" s="72"/>
      <c r="NCS125" s="72"/>
      <c r="NCT125" s="72"/>
      <c r="NCU125" s="72"/>
      <c r="NCV125" s="72"/>
      <c r="NCW125" s="72"/>
      <c r="NCX125" s="72"/>
      <c r="NCY125" s="72"/>
      <c r="NCZ125" s="72"/>
      <c r="NDA125" s="72"/>
      <c r="NDB125" s="72"/>
      <c r="NDC125" s="72"/>
      <c r="NDD125" s="72"/>
      <c r="NDE125" s="72"/>
      <c r="NDF125" s="72"/>
      <c r="NDG125" s="72"/>
      <c r="NDH125" s="72"/>
      <c r="NDI125" s="72"/>
      <c r="NDJ125" s="72"/>
      <c r="NDK125" s="72"/>
      <c r="NDL125" s="72"/>
      <c r="NDM125" s="72"/>
      <c r="NDN125" s="72"/>
      <c r="NDO125" s="72"/>
      <c r="NDP125" s="72"/>
      <c r="NDQ125" s="72"/>
      <c r="NDR125" s="72"/>
      <c r="NDS125" s="72"/>
      <c r="NDT125" s="72"/>
      <c r="NDU125" s="72"/>
      <c r="NDV125" s="72"/>
      <c r="NDW125" s="72"/>
      <c r="NDX125" s="72"/>
      <c r="NDY125" s="72"/>
      <c r="NDZ125" s="72"/>
      <c r="NEA125" s="72"/>
      <c r="NEB125" s="72"/>
      <c r="NEC125" s="72"/>
      <c r="NED125" s="72"/>
      <c r="NEE125" s="72"/>
      <c r="NEF125" s="72"/>
      <c r="NEG125" s="72"/>
      <c r="NEH125" s="72"/>
      <c r="NEI125" s="72"/>
      <c r="NEJ125" s="72"/>
      <c r="NEK125" s="72"/>
      <c r="NEL125" s="72"/>
      <c r="NEM125" s="72"/>
      <c r="NEN125" s="72"/>
      <c r="NEO125" s="72"/>
      <c r="NEP125" s="72"/>
      <c r="NEQ125" s="72"/>
      <c r="NER125" s="72"/>
      <c r="NES125" s="72"/>
      <c r="NET125" s="72"/>
      <c r="NEU125" s="72"/>
      <c r="NEV125" s="72"/>
      <c r="NEW125" s="72"/>
      <c r="NEX125" s="72"/>
      <c r="NEY125" s="72"/>
      <c r="NEZ125" s="72"/>
      <c r="NFA125" s="72"/>
      <c r="NFB125" s="72"/>
      <c r="NFC125" s="72"/>
      <c r="NFD125" s="72"/>
      <c r="NFE125" s="72"/>
      <c r="NFF125" s="72"/>
      <c r="NFG125" s="72"/>
      <c r="NFH125" s="72"/>
      <c r="NFI125" s="72"/>
      <c r="NFJ125" s="72"/>
      <c r="NFK125" s="72"/>
      <c r="NFL125" s="72"/>
      <c r="NFM125" s="72"/>
      <c r="NFN125" s="72"/>
      <c r="NFO125" s="72"/>
      <c r="NFP125" s="72"/>
      <c r="NFQ125" s="72"/>
      <c r="NFR125" s="72"/>
      <c r="NFS125" s="72"/>
      <c r="NFT125" s="72"/>
      <c r="NFU125" s="72"/>
      <c r="NFV125" s="72"/>
      <c r="NFW125" s="72"/>
      <c r="NFX125" s="72"/>
      <c r="NFY125" s="72"/>
      <c r="NFZ125" s="72"/>
      <c r="NGA125" s="72"/>
      <c r="NGB125" s="72"/>
      <c r="NGC125" s="72"/>
      <c r="NGD125" s="72"/>
      <c r="NGE125" s="72"/>
      <c r="NGF125" s="72"/>
      <c r="NGG125" s="72"/>
      <c r="NGH125" s="72"/>
      <c r="NGI125" s="72"/>
      <c r="NGJ125" s="72"/>
      <c r="NGK125" s="72"/>
      <c r="NGL125" s="72"/>
      <c r="NGM125" s="72"/>
      <c r="NGN125" s="72"/>
      <c r="NGO125" s="72"/>
      <c r="NGP125" s="72"/>
      <c r="NGQ125" s="72"/>
      <c r="NGR125" s="72"/>
      <c r="NGS125" s="72"/>
      <c r="NGT125" s="72"/>
      <c r="NGU125" s="72"/>
      <c r="NGV125" s="72"/>
      <c r="NGW125" s="72"/>
      <c r="NGX125" s="72"/>
      <c r="NGY125" s="72"/>
      <c r="NGZ125" s="72"/>
      <c r="NHA125" s="72"/>
      <c r="NHB125" s="72"/>
      <c r="NHC125" s="72"/>
      <c r="NHD125" s="72"/>
      <c r="NHE125" s="72"/>
      <c r="NHF125" s="72"/>
      <c r="NHG125" s="72"/>
      <c r="NHH125" s="72"/>
      <c r="NHI125" s="72"/>
      <c r="NHJ125" s="72"/>
      <c r="NHK125" s="72"/>
      <c r="NHL125" s="72"/>
      <c r="NHM125" s="72"/>
      <c r="NHN125" s="72"/>
      <c r="NHO125" s="72"/>
      <c r="NHP125" s="72"/>
      <c r="NHQ125" s="72"/>
      <c r="NHR125" s="72"/>
      <c r="NHS125" s="72"/>
      <c r="NHT125" s="72"/>
      <c r="NHU125" s="72"/>
      <c r="NHV125" s="72"/>
      <c r="NHW125" s="72"/>
      <c r="NHX125" s="72"/>
      <c r="NHY125" s="72"/>
      <c r="NHZ125" s="72"/>
      <c r="NIA125" s="72"/>
      <c r="NIB125" s="72"/>
      <c r="NIC125" s="72"/>
      <c r="NID125" s="72"/>
      <c r="NIE125" s="72"/>
      <c r="NIF125" s="72"/>
      <c r="NIG125" s="72"/>
      <c r="NIH125" s="72"/>
      <c r="NII125" s="72"/>
      <c r="NIJ125" s="72"/>
      <c r="NIK125" s="72"/>
      <c r="NIL125" s="72"/>
      <c r="NIM125" s="72"/>
      <c r="NIN125" s="72"/>
      <c r="NIO125" s="72"/>
      <c r="NIP125" s="72"/>
      <c r="NIQ125" s="72"/>
      <c r="NIR125" s="72"/>
      <c r="NIS125" s="72"/>
      <c r="NIT125" s="72"/>
      <c r="NIU125" s="72"/>
      <c r="NIV125" s="72"/>
      <c r="NIW125" s="72"/>
      <c r="NIX125" s="72"/>
      <c r="NIY125" s="72"/>
      <c r="NIZ125" s="72"/>
      <c r="NJA125" s="72"/>
      <c r="NJB125" s="72"/>
      <c r="NJC125" s="72"/>
      <c r="NJD125" s="72"/>
      <c r="NJE125" s="72"/>
      <c r="NJF125" s="72"/>
      <c r="NJG125" s="72"/>
      <c r="NJH125" s="72"/>
      <c r="NJI125" s="72"/>
      <c r="NJJ125" s="72"/>
      <c r="NJK125" s="72"/>
      <c r="NJL125" s="72"/>
      <c r="NJM125" s="72"/>
      <c r="NJN125" s="72"/>
      <c r="NJO125" s="72"/>
      <c r="NJP125" s="72"/>
      <c r="NJQ125" s="72"/>
      <c r="NJR125" s="72"/>
      <c r="NJS125" s="72"/>
      <c r="NJT125" s="72"/>
      <c r="NJU125" s="72"/>
      <c r="NJV125" s="72"/>
      <c r="NJW125" s="72"/>
      <c r="NJX125" s="72"/>
      <c r="NJY125" s="72"/>
      <c r="NJZ125" s="72"/>
      <c r="NKA125" s="72"/>
      <c r="NKB125" s="72"/>
      <c r="NKC125" s="72"/>
      <c r="NKD125" s="72"/>
      <c r="NKE125" s="72"/>
      <c r="NKF125" s="72"/>
      <c r="NKG125" s="72"/>
      <c r="NKH125" s="72"/>
      <c r="NKI125" s="72"/>
      <c r="NKJ125" s="72"/>
      <c r="NKK125" s="72"/>
      <c r="NKL125" s="72"/>
      <c r="NKM125" s="72"/>
      <c r="NKN125" s="72"/>
      <c r="NKO125" s="72"/>
      <c r="NKP125" s="72"/>
      <c r="NKQ125" s="72"/>
      <c r="NKR125" s="72"/>
      <c r="NKS125" s="72"/>
      <c r="NKT125" s="72"/>
      <c r="NKU125" s="72"/>
      <c r="NKV125" s="72"/>
      <c r="NKW125" s="72"/>
      <c r="NKX125" s="72"/>
      <c r="NKY125" s="72"/>
      <c r="NKZ125" s="72"/>
      <c r="NLA125" s="72"/>
      <c r="NLB125" s="72"/>
      <c r="NLC125" s="72"/>
      <c r="NLD125" s="72"/>
      <c r="NLE125" s="72"/>
      <c r="NLF125" s="72"/>
      <c r="NLG125" s="72"/>
      <c r="NLH125" s="72"/>
      <c r="NLI125" s="72"/>
      <c r="NLJ125" s="72"/>
      <c r="NLK125" s="72"/>
      <c r="NLL125" s="72"/>
      <c r="NLM125" s="72"/>
      <c r="NLN125" s="72"/>
      <c r="NLO125" s="72"/>
      <c r="NLP125" s="72"/>
      <c r="NLQ125" s="72"/>
      <c r="NLR125" s="72"/>
      <c r="NLS125" s="72"/>
      <c r="NLT125" s="72"/>
      <c r="NLU125" s="72"/>
      <c r="NLV125" s="72"/>
      <c r="NLW125" s="72"/>
      <c r="NLX125" s="72"/>
      <c r="NLY125" s="72"/>
      <c r="NLZ125" s="72"/>
      <c r="NMA125" s="72"/>
      <c r="NMB125" s="72"/>
      <c r="NMC125" s="72"/>
      <c r="NMD125" s="72"/>
      <c r="NME125" s="72"/>
      <c r="NMF125" s="72"/>
      <c r="NMG125" s="72"/>
      <c r="NMH125" s="72"/>
      <c r="NMI125" s="72"/>
      <c r="NMJ125" s="72"/>
      <c r="NMK125" s="72"/>
      <c r="NML125" s="72"/>
      <c r="NMM125" s="72"/>
      <c r="NMN125" s="72"/>
      <c r="NMO125" s="72"/>
      <c r="NMP125" s="72"/>
      <c r="NMQ125" s="72"/>
      <c r="NMR125" s="72"/>
      <c r="NMS125" s="72"/>
      <c r="NMT125" s="72"/>
      <c r="NMU125" s="72"/>
      <c r="NMV125" s="72"/>
      <c r="NMW125" s="72"/>
      <c r="NMX125" s="72"/>
      <c r="NMY125" s="72"/>
      <c r="NMZ125" s="72"/>
      <c r="NNA125" s="72"/>
      <c r="NNB125" s="72"/>
      <c r="NNC125" s="72"/>
      <c r="NND125" s="72"/>
      <c r="NNE125" s="72"/>
      <c r="NNF125" s="72"/>
      <c r="NNG125" s="72"/>
      <c r="NNH125" s="72"/>
      <c r="NNI125" s="72"/>
      <c r="NNJ125" s="72"/>
      <c r="NNK125" s="72"/>
      <c r="NNL125" s="72"/>
      <c r="NNM125" s="72"/>
      <c r="NNN125" s="72"/>
      <c r="NNO125" s="72"/>
      <c r="NNP125" s="72"/>
      <c r="NNQ125" s="72"/>
      <c r="NNR125" s="72"/>
      <c r="NNS125" s="72"/>
      <c r="NNT125" s="72"/>
      <c r="NNU125" s="72"/>
      <c r="NNV125" s="72"/>
      <c r="NNW125" s="72"/>
      <c r="NNX125" s="72"/>
      <c r="NNY125" s="72"/>
      <c r="NNZ125" s="72"/>
      <c r="NOA125" s="72"/>
      <c r="NOB125" s="72"/>
      <c r="NOC125" s="72"/>
      <c r="NOD125" s="72"/>
      <c r="NOE125" s="72"/>
      <c r="NOF125" s="72"/>
      <c r="NOG125" s="72"/>
      <c r="NOH125" s="72"/>
      <c r="NOI125" s="72"/>
      <c r="NOJ125" s="72"/>
      <c r="NOK125" s="72"/>
      <c r="NOL125" s="72"/>
      <c r="NOM125" s="72"/>
      <c r="NON125" s="72"/>
      <c r="NOO125" s="72"/>
      <c r="NOP125" s="72"/>
      <c r="NOQ125" s="72"/>
      <c r="NOR125" s="72"/>
      <c r="NOS125" s="72"/>
      <c r="NOT125" s="72"/>
      <c r="NOU125" s="72"/>
      <c r="NOV125" s="72"/>
      <c r="NOW125" s="72"/>
      <c r="NOX125" s="72"/>
      <c r="NOY125" s="72"/>
      <c r="NOZ125" s="72"/>
      <c r="NPA125" s="72"/>
      <c r="NPB125" s="72"/>
      <c r="NPC125" s="72"/>
      <c r="NPD125" s="72"/>
      <c r="NPE125" s="72"/>
      <c r="NPF125" s="72"/>
      <c r="NPG125" s="72"/>
      <c r="NPH125" s="72"/>
      <c r="NPI125" s="72"/>
      <c r="NPJ125" s="72"/>
      <c r="NPK125" s="72"/>
      <c r="NPL125" s="72"/>
      <c r="NPM125" s="72"/>
      <c r="NPN125" s="72"/>
      <c r="NPO125" s="72"/>
      <c r="NPP125" s="72"/>
      <c r="NPQ125" s="72"/>
      <c r="NPR125" s="72"/>
      <c r="NPS125" s="72"/>
      <c r="NPT125" s="72"/>
      <c r="NPU125" s="72"/>
      <c r="NPV125" s="72"/>
      <c r="NPW125" s="72"/>
      <c r="NPX125" s="72"/>
      <c r="NPY125" s="72"/>
      <c r="NPZ125" s="72"/>
      <c r="NQA125" s="72"/>
      <c r="NQB125" s="72"/>
      <c r="NQC125" s="72"/>
      <c r="NQD125" s="72"/>
      <c r="NQE125" s="72"/>
      <c r="NQF125" s="72"/>
      <c r="NQG125" s="72"/>
      <c r="NQH125" s="72"/>
      <c r="NQI125" s="72"/>
      <c r="NQJ125" s="72"/>
      <c r="NQK125" s="72"/>
      <c r="NQL125" s="72"/>
      <c r="NQM125" s="72"/>
      <c r="NQN125" s="72"/>
      <c r="NQO125" s="72"/>
      <c r="NQP125" s="72"/>
      <c r="NQQ125" s="72"/>
      <c r="NQR125" s="72"/>
      <c r="NQS125" s="72"/>
      <c r="NQT125" s="72"/>
      <c r="NQU125" s="72"/>
      <c r="NQV125" s="72"/>
      <c r="NQW125" s="72"/>
      <c r="NQX125" s="72"/>
      <c r="NQY125" s="72"/>
      <c r="NQZ125" s="72"/>
      <c r="NRA125" s="72"/>
      <c r="NRB125" s="72"/>
      <c r="NRC125" s="72"/>
      <c r="NRD125" s="72"/>
      <c r="NRE125" s="72"/>
      <c r="NRF125" s="72"/>
      <c r="NRG125" s="72"/>
      <c r="NRH125" s="72"/>
      <c r="NRI125" s="72"/>
      <c r="NRJ125" s="72"/>
      <c r="NRK125" s="72"/>
      <c r="NRL125" s="72"/>
      <c r="NRM125" s="72"/>
      <c r="NRN125" s="72"/>
      <c r="NRO125" s="72"/>
      <c r="NRP125" s="72"/>
      <c r="NRQ125" s="72"/>
      <c r="NRR125" s="72"/>
      <c r="NRS125" s="72"/>
      <c r="NRT125" s="72"/>
      <c r="NRU125" s="72"/>
      <c r="NRV125" s="72"/>
      <c r="NRW125" s="72"/>
      <c r="NRX125" s="72"/>
      <c r="NRY125" s="72"/>
      <c r="NRZ125" s="72"/>
      <c r="NSA125" s="72"/>
      <c r="NSB125" s="72"/>
      <c r="NSC125" s="72"/>
      <c r="NSD125" s="72"/>
      <c r="NSE125" s="72"/>
      <c r="NSF125" s="72"/>
      <c r="NSG125" s="72"/>
      <c r="NSH125" s="72"/>
      <c r="NSI125" s="72"/>
      <c r="NSJ125" s="72"/>
      <c r="NSK125" s="72"/>
      <c r="NSL125" s="72"/>
      <c r="NSM125" s="72"/>
      <c r="NSN125" s="72"/>
      <c r="NSO125" s="72"/>
      <c r="NSP125" s="72"/>
      <c r="NSQ125" s="72"/>
      <c r="NSR125" s="72"/>
      <c r="NSS125" s="72"/>
      <c r="NST125" s="72"/>
      <c r="NSU125" s="72"/>
      <c r="NSV125" s="72"/>
      <c r="NSW125" s="72"/>
      <c r="NSX125" s="72"/>
      <c r="NSY125" s="72"/>
      <c r="NSZ125" s="72"/>
      <c r="NTA125" s="72"/>
      <c r="NTB125" s="72"/>
      <c r="NTC125" s="72"/>
      <c r="NTD125" s="72"/>
      <c r="NTE125" s="72"/>
      <c r="NTF125" s="72"/>
      <c r="NTG125" s="72"/>
      <c r="NTH125" s="72"/>
      <c r="NTI125" s="72"/>
      <c r="NTJ125" s="72"/>
      <c r="NTK125" s="72"/>
      <c r="NTL125" s="72"/>
      <c r="NTM125" s="72"/>
      <c r="NTN125" s="72"/>
      <c r="NTO125" s="72"/>
      <c r="NTP125" s="72"/>
      <c r="NTQ125" s="72"/>
      <c r="NTR125" s="72"/>
      <c r="NTS125" s="72"/>
      <c r="NTT125" s="72"/>
      <c r="NTU125" s="72"/>
      <c r="NTV125" s="72"/>
      <c r="NTW125" s="72"/>
      <c r="NTX125" s="72"/>
      <c r="NTY125" s="72"/>
      <c r="NTZ125" s="72"/>
      <c r="NUA125" s="72"/>
      <c r="NUB125" s="72"/>
      <c r="NUC125" s="72"/>
      <c r="NUD125" s="72"/>
      <c r="NUE125" s="72"/>
      <c r="NUF125" s="72"/>
      <c r="NUG125" s="72"/>
      <c r="NUH125" s="72"/>
      <c r="NUI125" s="72"/>
      <c r="NUJ125" s="72"/>
      <c r="NUK125" s="72"/>
      <c r="NUL125" s="72"/>
      <c r="NUM125" s="72"/>
      <c r="NUN125" s="72"/>
      <c r="NUO125" s="72"/>
      <c r="NUP125" s="72"/>
      <c r="NUQ125" s="72"/>
      <c r="NUR125" s="72"/>
      <c r="NUS125" s="72"/>
      <c r="NUT125" s="72"/>
      <c r="NUU125" s="72"/>
      <c r="NUV125" s="72"/>
      <c r="NUW125" s="72"/>
      <c r="NUX125" s="72"/>
      <c r="NUY125" s="72"/>
      <c r="NUZ125" s="72"/>
      <c r="NVA125" s="72"/>
      <c r="NVB125" s="72"/>
      <c r="NVC125" s="72"/>
      <c r="NVD125" s="72"/>
      <c r="NVE125" s="72"/>
      <c r="NVF125" s="72"/>
      <c r="NVG125" s="72"/>
      <c r="NVH125" s="72"/>
      <c r="NVI125" s="72"/>
      <c r="NVJ125" s="72"/>
      <c r="NVK125" s="72"/>
      <c r="NVL125" s="72"/>
      <c r="NVM125" s="72"/>
      <c r="NVN125" s="72"/>
      <c r="NVO125" s="72"/>
      <c r="NVP125" s="72"/>
      <c r="NVQ125" s="72"/>
      <c r="NVR125" s="72"/>
      <c r="NVS125" s="72"/>
      <c r="NVT125" s="72"/>
      <c r="NVU125" s="72"/>
      <c r="NVV125" s="72"/>
      <c r="NVW125" s="72"/>
      <c r="NVX125" s="72"/>
      <c r="NVY125" s="72"/>
      <c r="NVZ125" s="72"/>
      <c r="NWA125" s="72"/>
      <c r="NWB125" s="72"/>
      <c r="NWC125" s="72"/>
      <c r="NWD125" s="72"/>
      <c r="NWE125" s="72"/>
      <c r="NWF125" s="72"/>
      <c r="NWG125" s="72"/>
      <c r="NWH125" s="72"/>
      <c r="NWI125" s="72"/>
      <c r="NWJ125" s="72"/>
      <c r="NWK125" s="72"/>
      <c r="NWL125" s="72"/>
      <c r="NWM125" s="72"/>
      <c r="NWN125" s="72"/>
      <c r="NWO125" s="72"/>
      <c r="NWP125" s="72"/>
      <c r="NWQ125" s="72"/>
      <c r="NWR125" s="72"/>
      <c r="NWS125" s="72"/>
      <c r="NWT125" s="72"/>
      <c r="NWU125" s="72"/>
      <c r="NWV125" s="72"/>
      <c r="NWW125" s="72"/>
      <c r="NWX125" s="72"/>
      <c r="NWY125" s="72"/>
      <c r="NWZ125" s="72"/>
      <c r="NXA125" s="72"/>
      <c r="NXB125" s="72"/>
      <c r="NXC125" s="72"/>
      <c r="NXD125" s="72"/>
      <c r="NXE125" s="72"/>
      <c r="NXF125" s="72"/>
      <c r="NXG125" s="72"/>
      <c r="NXH125" s="72"/>
      <c r="NXI125" s="72"/>
      <c r="NXJ125" s="72"/>
      <c r="NXK125" s="72"/>
      <c r="NXL125" s="72"/>
      <c r="NXM125" s="72"/>
      <c r="NXN125" s="72"/>
      <c r="NXO125" s="72"/>
      <c r="NXP125" s="72"/>
      <c r="NXQ125" s="72"/>
      <c r="NXR125" s="72"/>
      <c r="NXS125" s="72"/>
      <c r="NXT125" s="72"/>
      <c r="NXU125" s="72"/>
      <c r="NXV125" s="72"/>
      <c r="NXW125" s="72"/>
      <c r="NXX125" s="72"/>
      <c r="NXY125" s="72"/>
      <c r="NXZ125" s="72"/>
      <c r="NYA125" s="72"/>
      <c r="NYB125" s="72"/>
      <c r="NYC125" s="72"/>
      <c r="NYD125" s="72"/>
      <c r="NYE125" s="72"/>
      <c r="NYF125" s="72"/>
      <c r="NYG125" s="72"/>
      <c r="NYH125" s="72"/>
      <c r="NYI125" s="72"/>
      <c r="NYJ125" s="72"/>
      <c r="NYK125" s="72"/>
      <c r="NYL125" s="72"/>
      <c r="NYM125" s="72"/>
      <c r="NYN125" s="72"/>
      <c r="NYO125" s="72"/>
      <c r="NYP125" s="72"/>
      <c r="NYQ125" s="72"/>
      <c r="NYR125" s="72"/>
      <c r="NYS125" s="72"/>
      <c r="NYT125" s="72"/>
      <c r="NYU125" s="72"/>
      <c r="NYV125" s="72"/>
      <c r="NYW125" s="72"/>
      <c r="NYX125" s="72"/>
      <c r="NYY125" s="72"/>
      <c r="NYZ125" s="72"/>
      <c r="NZA125" s="72"/>
      <c r="NZB125" s="72"/>
      <c r="NZC125" s="72"/>
      <c r="NZD125" s="72"/>
      <c r="NZE125" s="72"/>
      <c r="NZF125" s="72"/>
      <c r="NZG125" s="72"/>
      <c r="NZH125" s="72"/>
      <c r="NZI125" s="72"/>
      <c r="NZJ125" s="72"/>
      <c r="NZK125" s="72"/>
      <c r="NZL125" s="72"/>
      <c r="NZM125" s="72"/>
      <c r="NZN125" s="72"/>
      <c r="NZO125" s="72"/>
      <c r="NZP125" s="72"/>
      <c r="NZQ125" s="72"/>
      <c r="NZR125" s="72"/>
      <c r="NZS125" s="72"/>
      <c r="NZT125" s="72"/>
      <c r="NZU125" s="72"/>
      <c r="NZV125" s="72"/>
      <c r="NZW125" s="72"/>
      <c r="NZX125" s="72"/>
      <c r="NZY125" s="72"/>
      <c r="NZZ125" s="72"/>
      <c r="OAA125" s="72"/>
      <c r="OAB125" s="72"/>
      <c r="OAC125" s="72"/>
      <c r="OAD125" s="72"/>
      <c r="OAE125" s="72"/>
      <c r="OAF125" s="72"/>
      <c r="OAG125" s="72"/>
      <c r="OAH125" s="72"/>
      <c r="OAI125" s="72"/>
      <c r="OAJ125" s="72"/>
      <c r="OAK125" s="72"/>
      <c r="OAL125" s="72"/>
      <c r="OAM125" s="72"/>
      <c r="OAN125" s="72"/>
      <c r="OAO125" s="72"/>
      <c r="OAP125" s="72"/>
      <c r="OAQ125" s="72"/>
      <c r="OAR125" s="72"/>
      <c r="OAS125" s="72"/>
      <c r="OAT125" s="72"/>
      <c r="OAU125" s="72"/>
      <c r="OAV125" s="72"/>
      <c r="OAW125" s="72"/>
      <c r="OAX125" s="72"/>
      <c r="OAY125" s="72"/>
      <c r="OAZ125" s="72"/>
      <c r="OBA125" s="72"/>
      <c r="OBB125" s="72"/>
      <c r="OBC125" s="72"/>
      <c r="OBD125" s="72"/>
      <c r="OBE125" s="72"/>
      <c r="OBF125" s="72"/>
      <c r="OBG125" s="72"/>
      <c r="OBH125" s="72"/>
      <c r="OBI125" s="72"/>
      <c r="OBJ125" s="72"/>
      <c r="OBK125" s="72"/>
      <c r="OBL125" s="72"/>
      <c r="OBM125" s="72"/>
      <c r="OBN125" s="72"/>
      <c r="OBO125" s="72"/>
      <c r="OBP125" s="72"/>
      <c r="OBQ125" s="72"/>
      <c r="OBR125" s="72"/>
      <c r="OBS125" s="72"/>
      <c r="OBT125" s="72"/>
      <c r="OBU125" s="72"/>
      <c r="OBV125" s="72"/>
      <c r="OBW125" s="72"/>
      <c r="OBX125" s="72"/>
      <c r="OBY125" s="72"/>
      <c r="OBZ125" s="72"/>
      <c r="OCA125" s="72"/>
      <c r="OCB125" s="72"/>
      <c r="OCC125" s="72"/>
      <c r="OCD125" s="72"/>
      <c r="OCE125" s="72"/>
      <c r="OCF125" s="72"/>
      <c r="OCG125" s="72"/>
      <c r="OCH125" s="72"/>
      <c r="OCI125" s="72"/>
      <c r="OCJ125" s="72"/>
      <c r="OCK125" s="72"/>
      <c r="OCL125" s="72"/>
      <c r="OCM125" s="72"/>
      <c r="OCN125" s="72"/>
      <c r="OCO125" s="72"/>
      <c r="OCP125" s="72"/>
      <c r="OCQ125" s="72"/>
      <c r="OCR125" s="72"/>
      <c r="OCS125" s="72"/>
      <c r="OCT125" s="72"/>
      <c r="OCU125" s="72"/>
      <c r="OCV125" s="72"/>
      <c r="OCW125" s="72"/>
      <c r="OCX125" s="72"/>
      <c r="OCY125" s="72"/>
      <c r="OCZ125" s="72"/>
      <c r="ODA125" s="72"/>
      <c r="ODB125" s="72"/>
      <c r="ODC125" s="72"/>
      <c r="ODD125" s="72"/>
      <c r="ODE125" s="72"/>
      <c r="ODF125" s="72"/>
      <c r="ODG125" s="72"/>
      <c r="ODH125" s="72"/>
      <c r="ODI125" s="72"/>
      <c r="ODJ125" s="72"/>
      <c r="ODK125" s="72"/>
      <c r="ODL125" s="72"/>
      <c r="ODM125" s="72"/>
      <c r="ODN125" s="72"/>
      <c r="ODO125" s="72"/>
      <c r="ODP125" s="72"/>
      <c r="ODQ125" s="72"/>
      <c r="ODR125" s="72"/>
      <c r="ODS125" s="72"/>
      <c r="ODT125" s="72"/>
      <c r="ODU125" s="72"/>
      <c r="ODV125" s="72"/>
      <c r="ODW125" s="72"/>
      <c r="ODX125" s="72"/>
      <c r="ODY125" s="72"/>
      <c r="ODZ125" s="72"/>
      <c r="OEA125" s="72"/>
      <c r="OEB125" s="72"/>
      <c r="OEC125" s="72"/>
      <c r="OED125" s="72"/>
      <c r="OEE125" s="72"/>
      <c r="OEF125" s="72"/>
      <c r="OEG125" s="72"/>
      <c r="OEH125" s="72"/>
      <c r="OEI125" s="72"/>
      <c r="OEJ125" s="72"/>
      <c r="OEK125" s="72"/>
      <c r="OEL125" s="72"/>
      <c r="OEM125" s="72"/>
      <c r="OEN125" s="72"/>
      <c r="OEO125" s="72"/>
      <c r="OEP125" s="72"/>
      <c r="OEQ125" s="72"/>
      <c r="OER125" s="72"/>
      <c r="OES125" s="72"/>
      <c r="OET125" s="72"/>
      <c r="OEU125" s="72"/>
      <c r="OEV125" s="72"/>
      <c r="OEW125" s="72"/>
      <c r="OEX125" s="72"/>
      <c r="OEY125" s="72"/>
      <c r="OEZ125" s="72"/>
      <c r="OFA125" s="72"/>
      <c r="OFB125" s="72"/>
      <c r="OFC125" s="72"/>
      <c r="OFD125" s="72"/>
      <c r="OFE125" s="72"/>
      <c r="OFF125" s="72"/>
      <c r="OFG125" s="72"/>
      <c r="OFH125" s="72"/>
      <c r="OFI125" s="72"/>
      <c r="OFJ125" s="72"/>
      <c r="OFK125" s="72"/>
      <c r="OFL125" s="72"/>
      <c r="OFM125" s="72"/>
      <c r="OFN125" s="72"/>
      <c r="OFO125" s="72"/>
      <c r="OFP125" s="72"/>
      <c r="OFQ125" s="72"/>
      <c r="OFR125" s="72"/>
      <c r="OFS125" s="72"/>
      <c r="OFT125" s="72"/>
      <c r="OFU125" s="72"/>
      <c r="OFV125" s="72"/>
      <c r="OFW125" s="72"/>
      <c r="OFX125" s="72"/>
      <c r="OFY125" s="72"/>
      <c r="OFZ125" s="72"/>
      <c r="OGA125" s="72"/>
      <c r="OGB125" s="72"/>
      <c r="OGC125" s="72"/>
      <c r="OGD125" s="72"/>
      <c r="OGE125" s="72"/>
      <c r="OGF125" s="72"/>
      <c r="OGG125" s="72"/>
      <c r="OGH125" s="72"/>
      <c r="OGI125" s="72"/>
      <c r="OGJ125" s="72"/>
      <c r="OGK125" s="72"/>
      <c r="OGL125" s="72"/>
      <c r="OGM125" s="72"/>
      <c r="OGN125" s="72"/>
      <c r="OGO125" s="72"/>
      <c r="OGP125" s="72"/>
      <c r="OGQ125" s="72"/>
      <c r="OGR125" s="72"/>
      <c r="OGS125" s="72"/>
      <c r="OGT125" s="72"/>
      <c r="OGU125" s="72"/>
      <c r="OGV125" s="72"/>
      <c r="OGW125" s="72"/>
      <c r="OGX125" s="72"/>
      <c r="OGY125" s="72"/>
      <c r="OGZ125" s="72"/>
      <c r="OHA125" s="72"/>
      <c r="OHB125" s="72"/>
      <c r="OHC125" s="72"/>
      <c r="OHD125" s="72"/>
      <c r="OHE125" s="72"/>
      <c r="OHF125" s="72"/>
      <c r="OHG125" s="72"/>
      <c r="OHH125" s="72"/>
      <c r="OHI125" s="72"/>
      <c r="OHJ125" s="72"/>
      <c r="OHK125" s="72"/>
      <c r="OHL125" s="72"/>
      <c r="OHM125" s="72"/>
      <c r="OHN125" s="72"/>
      <c r="OHO125" s="72"/>
      <c r="OHP125" s="72"/>
      <c r="OHQ125" s="72"/>
      <c r="OHR125" s="72"/>
      <c r="OHS125" s="72"/>
      <c r="OHT125" s="72"/>
      <c r="OHU125" s="72"/>
      <c r="OHV125" s="72"/>
      <c r="OHW125" s="72"/>
      <c r="OHX125" s="72"/>
      <c r="OHY125" s="72"/>
      <c r="OHZ125" s="72"/>
      <c r="OIA125" s="72"/>
      <c r="OIB125" s="72"/>
      <c r="OIC125" s="72"/>
      <c r="OID125" s="72"/>
      <c r="OIE125" s="72"/>
      <c r="OIF125" s="72"/>
      <c r="OIG125" s="72"/>
      <c r="OIH125" s="72"/>
      <c r="OII125" s="72"/>
      <c r="OIJ125" s="72"/>
      <c r="OIK125" s="72"/>
      <c r="OIL125" s="72"/>
      <c r="OIM125" s="72"/>
      <c r="OIN125" s="72"/>
      <c r="OIO125" s="72"/>
      <c r="OIP125" s="72"/>
      <c r="OIQ125" s="72"/>
      <c r="OIR125" s="72"/>
      <c r="OIS125" s="72"/>
      <c r="OIT125" s="72"/>
      <c r="OIU125" s="72"/>
      <c r="OIV125" s="72"/>
      <c r="OIW125" s="72"/>
      <c r="OIX125" s="72"/>
      <c r="OIY125" s="72"/>
      <c r="OIZ125" s="72"/>
      <c r="OJA125" s="72"/>
      <c r="OJB125" s="72"/>
      <c r="OJC125" s="72"/>
      <c r="OJD125" s="72"/>
      <c r="OJE125" s="72"/>
      <c r="OJF125" s="72"/>
      <c r="OJG125" s="72"/>
      <c r="OJH125" s="72"/>
      <c r="OJI125" s="72"/>
      <c r="OJJ125" s="72"/>
      <c r="OJK125" s="72"/>
      <c r="OJL125" s="72"/>
      <c r="OJM125" s="72"/>
      <c r="OJN125" s="72"/>
      <c r="OJO125" s="72"/>
      <c r="OJP125" s="72"/>
      <c r="OJQ125" s="72"/>
      <c r="OJR125" s="72"/>
      <c r="OJS125" s="72"/>
      <c r="OJT125" s="72"/>
      <c r="OJU125" s="72"/>
      <c r="OJV125" s="72"/>
      <c r="OJW125" s="72"/>
      <c r="OJX125" s="72"/>
      <c r="OJY125" s="72"/>
      <c r="OJZ125" s="72"/>
      <c r="OKA125" s="72"/>
      <c r="OKB125" s="72"/>
      <c r="OKC125" s="72"/>
      <c r="OKD125" s="72"/>
      <c r="OKE125" s="72"/>
      <c r="OKF125" s="72"/>
      <c r="OKG125" s="72"/>
      <c r="OKH125" s="72"/>
      <c r="OKI125" s="72"/>
      <c r="OKJ125" s="72"/>
      <c r="OKK125" s="72"/>
      <c r="OKL125" s="72"/>
      <c r="OKM125" s="72"/>
      <c r="OKN125" s="72"/>
      <c r="OKO125" s="72"/>
      <c r="OKP125" s="72"/>
      <c r="OKQ125" s="72"/>
      <c r="OKR125" s="72"/>
      <c r="OKS125" s="72"/>
      <c r="OKT125" s="72"/>
      <c r="OKU125" s="72"/>
      <c r="OKV125" s="72"/>
      <c r="OKW125" s="72"/>
      <c r="OKX125" s="72"/>
      <c r="OKY125" s="72"/>
      <c r="OKZ125" s="72"/>
      <c r="OLA125" s="72"/>
      <c r="OLB125" s="72"/>
      <c r="OLC125" s="72"/>
      <c r="OLD125" s="72"/>
      <c r="OLE125" s="72"/>
      <c r="OLF125" s="72"/>
      <c r="OLG125" s="72"/>
      <c r="OLH125" s="72"/>
      <c r="OLI125" s="72"/>
      <c r="OLJ125" s="72"/>
      <c r="OLK125" s="72"/>
      <c r="OLL125" s="72"/>
      <c r="OLM125" s="72"/>
      <c r="OLN125" s="72"/>
      <c r="OLO125" s="72"/>
      <c r="OLP125" s="72"/>
      <c r="OLQ125" s="72"/>
      <c r="OLR125" s="72"/>
      <c r="OLS125" s="72"/>
      <c r="OLT125" s="72"/>
      <c r="OLU125" s="72"/>
      <c r="OLV125" s="72"/>
      <c r="OLW125" s="72"/>
      <c r="OLX125" s="72"/>
      <c r="OLY125" s="72"/>
      <c r="OLZ125" s="72"/>
      <c r="OMA125" s="72"/>
      <c r="OMB125" s="72"/>
      <c r="OMC125" s="72"/>
      <c r="OMD125" s="72"/>
      <c r="OME125" s="72"/>
      <c r="OMF125" s="72"/>
      <c r="OMG125" s="72"/>
      <c r="OMH125" s="72"/>
      <c r="OMI125" s="72"/>
      <c r="OMJ125" s="72"/>
      <c r="OMK125" s="72"/>
      <c r="OML125" s="72"/>
      <c r="OMM125" s="72"/>
      <c r="OMN125" s="72"/>
      <c r="OMO125" s="72"/>
      <c r="OMP125" s="72"/>
      <c r="OMQ125" s="72"/>
      <c r="OMR125" s="72"/>
      <c r="OMS125" s="72"/>
      <c r="OMT125" s="72"/>
      <c r="OMU125" s="72"/>
      <c r="OMV125" s="72"/>
      <c r="OMW125" s="72"/>
      <c r="OMX125" s="72"/>
      <c r="OMY125" s="72"/>
      <c r="OMZ125" s="72"/>
      <c r="ONA125" s="72"/>
      <c r="ONB125" s="72"/>
      <c r="ONC125" s="72"/>
      <c r="OND125" s="72"/>
      <c r="ONE125" s="72"/>
      <c r="ONF125" s="72"/>
      <c r="ONG125" s="72"/>
      <c r="ONH125" s="72"/>
      <c r="ONI125" s="72"/>
      <c r="ONJ125" s="72"/>
      <c r="ONK125" s="72"/>
      <c r="ONL125" s="72"/>
      <c r="ONM125" s="72"/>
      <c r="ONN125" s="72"/>
      <c r="ONO125" s="72"/>
      <c r="ONP125" s="72"/>
      <c r="ONQ125" s="72"/>
      <c r="ONR125" s="72"/>
      <c r="ONS125" s="72"/>
      <c r="ONT125" s="72"/>
      <c r="ONU125" s="72"/>
      <c r="ONV125" s="72"/>
      <c r="ONW125" s="72"/>
      <c r="ONX125" s="72"/>
      <c r="ONY125" s="72"/>
      <c r="ONZ125" s="72"/>
      <c r="OOA125" s="72"/>
      <c r="OOB125" s="72"/>
      <c r="OOC125" s="72"/>
      <c r="OOD125" s="72"/>
      <c r="OOE125" s="72"/>
      <c r="OOF125" s="72"/>
      <c r="OOG125" s="72"/>
      <c r="OOH125" s="72"/>
      <c r="OOI125" s="72"/>
      <c r="OOJ125" s="72"/>
      <c r="OOK125" s="72"/>
      <c r="OOL125" s="72"/>
      <c r="OOM125" s="72"/>
      <c r="OON125" s="72"/>
      <c r="OOO125" s="72"/>
      <c r="OOP125" s="72"/>
      <c r="OOQ125" s="72"/>
      <c r="OOR125" s="72"/>
      <c r="OOS125" s="72"/>
      <c r="OOT125" s="72"/>
      <c r="OOU125" s="72"/>
      <c r="OOV125" s="72"/>
      <c r="OOW125" s="72"/>
      <c r="OOX125" s="72"/>
      <c r="OOY125" s="72"/>
      <c r="OOZ125" s="72"/>
      <c r="OPA125" s="72"/>
      <c r="OPB125" s="72"/>
      <c r="OPC125" s="72"/>
      <c r="OPD125" s="72"/>
      <c r="OPE125" s="72"/>
      <c r="OPF125" s="72"/>
      <c r="OPG125" s="72"/>
      <c r="OPH125" s="72"/>
      <c r="OPI125" s="72"/>
      <c r="OPJ125" s="72"/>
      <c r="OPK125" s="72"/>
      <c r="OPL125" s="72"/>
      <c r="OPM125" s="72"/>
      <c r="OPN125" s="72"/>
      <c r="OPO125" s="72"/>
      <c r="OPP125" s="72"/>
      <c r="OPQ125" s="72"/>
      <c r="OPR125" s="72"/>
      <c r="OPS125" s="72"/>
      <c r="OPT125" s="72"/>
      <c r="OPU125" s="72"/>
      <c r="OPV125" s="72"/>
      <c r="OPW125" s="72"/>
      <c r="OPX125" s="72"/>
      <c r="OPY125" s="72"/>
      <c r="OPZ125" s="72"/>
      <c r="OQA125" s="72"/>
      <c r="OQB125" s="72"/>
      <c r="OQC125" s="72"/>
      <c r="OQD125" s="72"/>
      <c r="OQE125" s="72"/>
      <c r="OQF125" s="72"/>
      <c r="OQG125" s="72"/>
      <c r="OQH125" s="72"/>
      <c r="OQI125" s="72"/>
      <c r="OQJ125" s="72"/>
      <c r="OQK125" s="72"/>
      <c r="OQL125" s="72"/>
      <c r="OQM125" s="72"/>
      <c r="OQN125" s="72"/>
      <c r="OQO125" s="72"/>
      <c r="OQP125" s="72"/>
      <c r="OQQ125" s="72"/>
      <c r="OQR125" s="72"/>
      <c r="OQS125" s="72"/>
      <c r="OQT125" s="72"/>
      <c r="OQU125" s="72"/>
      <c r="OQV125" s="72"/>
      <c r="OQW125" s="72"/>
      <c r="OQX125" s="72"/>
      <c r="OQY125" s="72"/>
      <c r="OQZ125" s="72"/>
      <c r="ORA125" s="72"/>
      <c r="ORB125" s="72"/>
      <c r="ORC125" s="72"/>
      <c r="ORD125" s="72"/>
      <c r="ORE125" s="72"/>
      <c r="ORF125" s="72"/>
      <c r="ORG125" s="72"/>
      <c r="ORH125" s="72"/>
      <c r="ORI125" s="72"/>
      <c r="ORJ125" s="72"/>
      <c r="ORK125" s="72"/>
      <c r="ORL125" s="72"/>
      <c r="ORM125" s="72"/>
      <c r="ORN125" s="72"/>
      <c r="ORO125" s="72"/>
      <c r="ORP125" s="72"/>
      <c r="ORQ125" s="72"/>
      <c r="ORR125" s="72"/>
      <c r="ORS125" s="72"/>
      <c r="ORT125" s="72"/>
      <c r="ORU125" s="72"/>
      <c r="ORV125" s="72"/>
      <c r="ORW125" s="72"/>
      <c r="ORX125" s="72"/>
      <c r="ORY125" s="72"/>
      <c r="ORZ125" s="72"/>
      <c r="OSA125" s="72"/>
      <c r="OSB125" s="72"/>
      <c r="OSC125" s="72"/>
      <c r="OSD125" s="72"/>
      <c r="OSE125" s="72"/>
      <c r="OSF125" s="72"/>
      <c r="OSG125" s="72"/>
      <c r="OSH125" s="72"/>
      <c r="OSI125" s="72"/>
      <c r="OSJ125" s="72"/>
      <c r="OSK125" s="72"/>
      <c r="OSL125" s="72"/>
      <c r="OSM125" s="72"/>
      <c r="OSN125" s="72"/>
      <c r="OSO125" s="72"/>
      <c r="OSP125" s="72"/>
      <c r="OSQ125" s="72"/>
      <c r="OSR125" s="72"/>
      <c r="OSS125" s="72"/>
      <c r="OST125" s="72"/>
      <c r="OSU125" s="72"/>
      <c r="OSV125" s="72"/>
      <c r="OSW125" s="72"/>
      <c r="OSX125" s="72"/>
      <c r="OSY125" s="72"/>
      <c r="OSZ125" s="72"/>
      <c r="OTA125" s="72"/>
      <c r="OTB125" s="72"/>
      <c r="OTC125" s="72"/>
      <c r="OTD125" s="72"/>
      <c r="OTE125" s="72"/>
      <c r="OTF125" s="72"/>
      <c r="OTG125" s="72"/>
      <c r="OTH125" s="72"/>
      <c r="OTI125" s="72"/>
      <c r="OTJ125" s="72"/>
      <c r="OTK125" s="72"/>
      <c r="OTL125" s="72"/>
      <c r="OTM125" s="72"/>
      <c r="OTN125" s="72"/>
      <c r="OTO125" s="72"/>
      <c r="OTP125" s="72"/>
      <c r="OTQ125" s="72"/>
      <c r="OTR125" s="72"/>
      <c r="OTS125" s="72"/>
      <c r="OTT125" s="72"/>
      <c r="OTU125" s="72"/>
      <c r="OTV125" s="72"/>
      <c r="OTW125" s="72"/>
      <c r="OTX125" s="72"/>
      <c r="OTY125" s="72"/>
      <c r="OTZ125" s="72"/>
      <c r="OUA125" s="72"/>
      <c r="OUB125" s="72"/>
      <c r="OUC125" s="72"/>
      <c r="OUD125" s="72"/>
      <c r="OUE125" s="72"/>
      <c r="OUF125" s="72"/>
      <c r="OUG125" s="72"/>
      <c r="OUH125" s="72"/>
      <c r="OUI125" s="72"/>
      <c r="OUJ125" s="72"/>
      <c r="OUK125" s="72"/>
      <c r="OUL125" s="72"/>
      <c r="OUM125" s="72"/>
      <c r="OUN125" s="72"/>
      <c r="OUO125" s="72"/>
      <c r="OUP125" s="72"/>
      <c r="OUQ125" s="72"/>
      <c r="OUR125" s="72"/>
      <c r="OUS125" s="72"/>
      <c r="OUT125" s="72"/>
      <c r="OUU125" s="72"/>
      <c r="OUV125" s="72"/>
      <c r="OUW125" s="72"/>
      <c r="OUX125" s="72"/>
      <c r="OUY125" s="72"/>
      <c r="OUZ125" s="72"/>
      <c r="OVA125" s="72"/>
      <c r="OVB125" s="72"/>
      <c r="OVC125" s="72"/>
      <c r="OVD125" s="72"/>
      <c r="OVE125" s="72"/>
      <c r="OVF125" s="72"/>
      <c r="OVG125" s="72"/>
      <c r="OVH125" s="72"/>
      <c r="OVI125" s="72"/>
      <c r="OVJ125" s="72"/>
      <c r="OVK125" s="72"/>
      <c r="OVL125" s="72"/>
      <c r="OVM125" s="72"/>
      <c r="OVN125" s="72"/>
      <c r="OVO125" s="72"/>
      <c r="OVP125" s="72"/>
      <c r="OVQ125" s="72"/>
      <c r="OVR125" s="72"/>
      <c r="OVS125" s="72"/>
      <c r="OVT125" s="72"/>
      <c r="OVU125" s="72"/>
      <c r="OVV125" s="72"/>
      <c r="OVW125" s="72"/>
      <c r="OVX125" s="72"/>
      <c r="OVY125" s="72"/>
      <c r="OVZ125" s="72"/>
      <c r="OWA125" s="72"/>
      <c r="OWB125" s="72"/>
      <c r="OWC125" s="72"/>
      <c r="OWD125" s="72"/>
      <c r="OWE125" s="72"/>
      <c r="OWF125" s="72"/>
      <c r="OWG125" s="72"/>
      <c r="OWH125" s="72"/>
      <c r="OWI125" s="72"/>
      <c r="OWJ125" s="72"/>
      <c r="OWK125" s="72"/>
      <c r="OWL125" s="72"/>
      <c r="OWM125" s="72"/>
      <c r="OWN125" s="72"/>
      <c r="OWO125" s="72"/>
      <c r="OWP125" s="72"/>
      <c r="OWQ125" s="72"/>
      <c r="OWR125" s="72"/>
      <c r="OWS125" s="72"/>
      <c r="OWT125" s="72"/>
      <c r="OWU125" s="72"/>
      <c r="OWV125" s="72"/>
      <c r="OWW125" s="72"/>
      <c r="OWX125" s="72"/>
      <c r="OWY125" s="72"/>
      <c r="OWZ125" s="72"/>
      <c r="OXA125" s="72"/>
      <c r="OXB125" s="72"/>
      <c r="OXC125" s="72"/>
      <c r="OXD125" s="72"/>
      <c r="OXE125" s="72"/>
      <c r="OXF125" s="72"/>
      <c r="OXG125" s="72"/>
      <c r="OXH125" s="72"/>
      <c r="OXI125" s="72"/>
      <c r="OXJ125" s="72"/>
      <c r="OXK125" s="72"/>
      <c r="OXL125" s="72"/>
      <c r="OXM125" s="72"/>
      <c r="OXN125" s="72"/>
      <c r="OXO125" s="72"/>
      <c r="OXP125" s="72"/>
      <c r="OXQ125" s="72"/>
      <c r="OXR125" s="72"/>
      <c r="OXS125" s="72"/>
      <c r="OXT125" s="72"/>
      <c r="OXU125" s="72"/>
      <c r="OXV125" s="72"/>
      <c r="OXW125" s="72"/>
      <c r="OXX125" s="72"/>
      <c r="OXY125" s="72"/>
      <c r="OXZ125" s="72"/>
      <c r="OYA125" s="72"/>
      <c r="OYB125" s="72"/>
      <c r="OYC125" s="72"/>
      <c r="OYD125" s="72"/>
      <c r="OYE125" s="72"/>
      <c r="OYF125" s="72"/>
      <c r="OYG125" s="72"/>
      <c r="OYH125" s="72"/>
      <c r="OYI125" s="72"/>
      <c r="OYJ125" s="72"/>
      <c r="OYK125" s="72"/>
      <c r="OYL125" s="72"/>
      <c r="OYM125" s="72"/>
      <c r="OYN125" s="72"/>
      <c r="OYO125" s="72"/>
      <c r="OYP125" s="72"/>
      <c r="OYQ125" s="72"/>
      <c r="OYR125" s="72"/>
      <c r="OYS125" s="72"/>
      <c r="OYT125" s="72"/>
      <c r="OYU125" s="72"/>
      <c r="OYV125" s="72"/>
      <c r="OYW125" s="72"/>
      <c r="OYX125" s="72"/>
      <c r="OYY125" s="72"/>
      <c r="OYZ125" s="72"/>
      <c r="OZA125" s="72"/>
      <c r="OZB125" s="72"/>
      <c r="OZC125" s="72"/>
      <c r="OZD125" s="72"/>
      <c r="OZE125" s="72"/>
      <c r="OZF125" s="72"/>
      <c r="OZG125" s="72"/>
      <c r="OZH125" s="72"/>
      <c r="OZI125" s="72"/>
      <c r="OZJ125" s="72"/>
      <c r="OZK125" s="72"/>
      <c r="OZL125" s="72"/>
      <c r="OZM125" s="72"/>
      <c r="OZN125" s="72"/>
      <c r="OZO125" s="72"/>
      <c r="OZP125" s="72"/>
      <c r="OZQ125" s="72"/>
      <c r="OZR125" s="72"/>
      <c r="OZS125" s="72"/>
      <c r="OZT125" s="72"/>
      <c r="OZU125" s="72"/>
      <c r="OZV125" s="72"/>
      <c r="OZW125" s="72"/>
      <c r="OZX125" s="72"/>
      <c r="OZY125" s="72"/>
      <c r="OZZ125" s="72"/>
      <c r="PAA125" s="72"/>
      <c r="PAB125" s="72"/>
      <c r="PAC125" s="72"/>
      <c r="PAD125" s="72"/>
      <c r="PAE125" s="72"/>
      <c r="PAF125" s="72"/>
      <c r="PAG125" s="72"/>
      <c r="PAH125" s="72"/>
      <c r="PAI125" s="72"/>
      <c r="PAJ125" s="72"/>
      <c r="PAK125" s="72"/>
      <c r="PAL125" s="72"/>
      <c r="PAM125" s="72"/>
      <c r="PAN125" s="72"/>
      <c r="PAO125" s="72"/>
      <c r="PAP125" s="72"/>
      <c r="PAQ125" s="72"/>
      <c r="PAR125" s="72"/>
      <c r="PAS125" s="72"/>
      <c r="PAT125" s="72"/>
      <c r="PAU125" s="72"/>
      <c r="PAV125" s="72"/>
      <c r="PAW125" s="72"/>
      <c r="PAX125" s="72"/>
      <c r="PAY125" s="72"/>
      <c r="PAZ125" s="72"/>
      <c r="PBA125" s="72"/>
      <c r="PBB125" s="72"/>
      <c r="PBC125" s="72"/>
      <c r="PBD125" s="72"/>
      <c r="PBE125" s="72"/>
      <c r="PBF125" s="72"/>
      <c r="PBG125" s="72"/>
      <c r="PBH125" s="72"/>
      <c r="PBI125" s="72"/>
      <c r="PBJ125" s="72"/>
      <c r="PBK125" s="72"/>
      <c r="PBL125" s="72"/>
      <c r="PBM125" s="72"/>
      <c r="PBN125" s="72"/>
      <c r="PBO125" s="72"/>
      <c r="PBP125" s="72"/>
      <c r="PBQ125" s="72"/>
      <c r="PBR125" s="72"/>
      <c r="PBS125" s="72"/>
      <c r="PBT125" s="72"/>
      <c r="PBU125" s="72"/>
      <c r="PBV125" s="72"/>
      <c r="PBW125" s="72"/>
      <c r="PBX125" s="72"/>
      <c r="PBY125" s="72"/>
      <c r="PBZ125" s="72"/>
      <c r="PCA125" s="72"/>
      <c r="PCB125" s="72"/>
      <c r="PCC125" s="72"/>
      <c r="PCD125" s="72"/>
      <c r="PCE125" s="72"/>
      <c r="PCF125" s="72"/>
      <c r="PCG125" s="72"/>
      <c r="PCH125" s="72"/>
      <c r="PCI125" s="72"/>
      <c r="PCJ125" s="72"/>
      <c r="PCK125" s="72"/>
      <c r="PCL125" s="72"/>
      <c r="PCM125" s="72"/>
      <c r="PCN125" s="72"/>
      <c r="PCO125" s="72"/>
      <c r="PCP125" s="72"/>
      <c r="PCQ125" s="72"/>
      <c r="PCR125" s="72"/>
      <c r="PCS125" s="72"/>
      <c r="PCT125" s="72"/>
      <c r="PCU125" s="72"/>
      <c r="PCV125" s="72"/>
      <c r="PCW125" s="72"/>
      <c r="PCX125" s="72"/>
      <c r="PCY125" s="72"/>
      <c r="PCZ125" s="72"/>
      <c r="PDA125" s="72"/>
      <c r="PDB125" s="72"/>
      <c r="PDC125" s="72"/>
      <c r="PDD125" s="72"/>
      <c r="PDE125" s="72"/>
      <c r="PDF125" s="72"/>
      <c r="PDG125" s="72"/>
      <c r="PDH125" s="72"/>
      <c r="PDI125" s="72"/>
      <c r="PDJ125" s="72"/>
      <c r="PDK125" s="72"/>
      <c r="PDL125" s="72"/>
      <c r="PDM125" s="72"/>
      <c r="PDN125" s="72"/>
      <c r="PDO125" s="72"/>
      <c r="PDP125" s="72"/>
      <c r="PDQ125" s="72"/>
      <c r="PDR125" s="72"/>
      <c r="PDS125" s="72"/>
      <c r="PDT125" s="72"/>
      <c r="PDU125" s="72"/>
      <c r="PDV125" s="72"/>
      <c r="PDW125" s="72"/>
      <c r="PDX125" s="72"/>
      <c r="PDY125" s="72"/>
      <c r="PDZ125" s="72"/>
      <c r="PEA125" s="72"/>
      <c r="PEB125" s="72"/>
      <c r="PEC125" s="72"/>
      <c r="PED125" s="72"/>
      <c r="PEE125" s="72"/>
      <c r="PEF125" s="72"/>
      <c r="PEG125" s="72"/>
      <c r="PEH125" s="72"/>
      <c r="PEI125" s="72"/>
      <c r="PEJ125" s="72"/>
      <c r="PEK125" s="72"/>
      <c r="PEL125" s="72"/>
      <c r="PEM125" s="72"/>
      <c r="PEN125" s="72"/>
      <c r="PEO125" s="72"/>
      <c r="PEP125" s="72"/>
      <c r="PEQ125" s="72"/>
      <c r="PER125" s="72"/>
      <c r="PES125" s="72"/>
      <c r="PET125" s="72"/>
      <c r="PEU125" s="72"/>
      <c r="PEV125" s="72"/>
      <c r="PEW125" s="72"/>
      <c r="PEX125" s="72"/>
      <c r="PEY125" s="72"/>
      <c r="PEZ125" s="72"/>
      <c r="PFA125" s="72"/>
      <c r="PFB125" s="72"/>
      <c r="PFC125" s="72"/>
      <c r="PFD125" s="72"/>
      <c r="PFE125" s="72"/>
      <c r="PFF125" s="72"/>
      <c r="PFG125" s="72"/>
      <c r="PFH125" s="72"/>
      <c r="PFI125" s="72"/>
      <c r="PFJ125" s="72"/>
      <c r="PFK125" s="72"/>
      <c r="PFL125" s="72"/>
      <c r="PFM125" s="72"/>
      <c r="PFN125" s="72"/>
      <c r="PFO125" s="72"/>
      <c r="PFP125" s="72"/>
      <c r="PFQ125" s="72"/>
      <c r="PFR125" s="72"/>
      <c r="PFS125" s="72"/>
      <c r="PFT125" s="72"/>
      <c r="PFU125" s="72"/>
      <c r="PFV125" s="72"/>
      <c r="PFW125" s="72"/>
      <c r="PFX125" s="72"/>
      <c r="PFY125" s="72"/>
      <c r="PFZ125" s="72"/>
      <c r="PGA125" s="72"/>
      <c r="PGB125" s="72"/>
      <c r="PGC125" s="72"/>
      <c r="PGD125" s="72"/>
      <c r="PGE125" s="72"/>
      <c r="PGF125" s="72"/>
      <c r="PGG125" s="72"/>
      <c r="PGH125" s="72"/>
      <c r="PGI125" s="72"/>
      <c r="PGJ125" s="72"/>
      <c r="PGK125" s="72"/>
      <c r="PGL125" s="72"/>
      <c r="PGM125" s="72"/>
      <c r="PGN125" s="72"/>
      <c r="PGO125" s="72"/>
      <c r="PGP125" s="72"/>
      <c r="PGQ125" s="72"/>
      <c r="PGR125" s="72"/>
      <c r="PGS125" s="72"/>
      <c r="PGT125" s="72"/>
      <c r="PGU125" s="72"/>
      <c r="PGV125" s="72"/>
      <c r="PGW125" s="72"/>
      <c r="PGX125" s="72"/>
      <c r="PGY125" s="72"/>
      <c r="PGZ125" s="72"/>
      <c r="PHA125" s="72"/>
      <c r="PHB125" s="72"/>
      <c r="PHC125" s="72"/>
      <c r="PHD125" s="72"/>
      <c r="PHE125" s="72"/>
      <c r="PHF125" s="72"/>
      <c r="PHG125" s="72"/>
      <c r="PHH125" s="72"/>
      <c r="PHI125" s="72"/>
      <c r="PHJ125" s="72"/>
      <c r="PHK125" s="72"/>
      <c r="PHL125" s="72"/>
      <c r="PHM125" s="72"/>
      <c r="PHN125" s="72"/>
      <c r="PHO125" s="72"/>
      <c r="PHP125" s="72"/>
      <c r="PHQ125" s="72"/>
      <c r="PHR125" s="72"/>
      <c r="PHS125" s="72"/>
      <c r="PHT125" s="72"/>
      <c r="PHU125" s="72"/>
      <c r="PHV125" s="72"/>
      <c r="PHW125" s="72"/>
      <c r="PHX125" s="72"/>
      <c r="PHY125" s="72"/>
      <c r="PHZ125" s="72"/>
      <c r="PIA125" s="72"/>
      <c r="PIB125" s="72"/>
      <c r="PIC125" s="72"/>
      <c r="PID125" s="72"/>
      <c r="PIE125" s="72"/>
      <c r="PIF125" s="72"/>
      <c r="PIG125" s="72"/>
      <c r="PIH125" s="72"/>
      <c r="PII125" s="72"/>
      <c r="PIJ125" s="72"/>
      <c r="PIK125" s="72"/>
      <c r="PIL125" s="72"/>
      <c r="PIM125" s="72"/>
      <c r="PIN125" s="72"/>
      <c r="PIO125" s="72"/>
      <c r="PIP125" s="72"/>
      <c r="PIQ125" s="72"/>
      <c r="PIR125" s="72"/>
      <c r="PIS125" s="72"/>
      <c r="PIT125" s="72"/>
      <c r="PIU125" s="72"/>
      <c r="PIV125" s="72"/>
      <c r="PIW125" s="72"/>
      <c r="PIX125" s="72"/>
      <c r="PIY125" s="72"/>
      <c r="PIZ125" s="72"/>
      <c r="PJA125" s="72"/>
      <c r="PJB125" s="72"/>
      <c r="PJC125" s="72"/>
      <c r="PJD125" s="72"/>
      <c r="PJE125" s="72"/>
      <c r="PJF125" s="72"/>
      <c r="PJG125" s="72"/>
      <c r="PJH125" s="72"/>
      <c r="PJI125" s="72"/>
      <c r="PJJ125" s="72"/>
      <c r="PJK125" s="72"/>
      <c r="PJL125" s="72"/>
      <c r="PJM125" s="72"/>
      <c r="PJN125" s="72"/>
      <c r="PJO125" s="72"/>
      <c r="PJP125" s="72"/>
      <c r="PJQ125" s="72"/>
      <c r="PJR125" s="72"/>
      <c r="PJS125" s="72"/>
      <c r="PJT125" s="72"/>
      <c r="PJU125" s="72"/>
      <c r="PJV125" s="72"/>
      <c r="PJW125" s="72"/>
      <c r="PJX125" s="72"/>
      <c r="PJY125" s="72"/>
      <c r="PJZ125" s="72"/>
      <c r="PKA125" s="72"/>
      <c r="PKB125" s="72"/>
      <c r="PKC125" s="72"/>
      <c r="PKD125" s="72"/>
      <c r="PKE125" s="72"/>
      <c r="PKF125" s="72"/>
      <c r="PKG125" s="72"/>
      <c r="PKH125" s="72"/>
      <c r="PKI125" s="72"/>
      <c r="PKJ125" s="72"/>
      <c r="PKK125" s="72"/>
      <c r="PKL125" s="72"/>
      <c r="PKM125" s="72"/>
      <c r="PKN125" s="72"/>
      <c r="PKO125" s="72"/>
      <c r="PKP125" s="72"/>
      <c r="PKQ125" s="72"/>
      <c r="PKR125" s="72"/>
      <c r="PKS125" s="72"/>
      <c r="PKT125" s="72"/>
      <c r="PKU125" s="72"/>
      <c r="PKV125" s="72"/>
      <c r="PKW125" s="72"/>
      <c r="PKX125" s="72"/>
      <c r="PKY125" s="72"/>
      <c r="PKZ125" s="72"/>
      <c r="PLA125" s="72"/>
      <c r="PLB125" s="72"/>
      <c r="PLC125" s="72"/>
      <c r="PLD125" s="72"/>
      <c r="PLE125" s="72"/>
      <c r="PLF125" s="72"/>
      <c r="PLG125" s="72"/>
      <c r="PLH125" s="72"/>
      <c r="PLI125" s="72"/>
      <c r="PLJ125" s="72"/>
      <c r="PLK125" s="72"/>
      <c r="PLL125" s="72"/>
      <c r="PLM125" s="72"/>
      <c r="PLN125" s="72"/>
      <c r="PLO125" s="72"/>
      <c r="PLP125" s="72"/>
      <c r="PLQ125" s="72"/>
      <c r="PLR125" s="72"/>
      <c r="PLS125" s="72"/>
      <c r="PLT125" s="72"/>
      <c r="PLU125" s="72"/>
      <c r="PLV125" s="72"/>
      <c r="PLW125" s="72"/>
      <c r="PLX125" s="72"/>
      <c r="PLY125" s="72"/>
      <c r="PLZ125" s="72"/>
      <c r="PMA125" s="72"/>
      <c r="PMB125" s="72"/>
      <c r="PMC125" s="72"/>
      <c r="PMD125" s="72"/>
      <c r="PME125" s="72"/>
      <c r="PMF125" s="72"/>
      <c r="PMG125" s="72"/>
      <c r="PMH125" s="72"/>
      <c r="PMI125" s="72"/>
      <c r="PMJ125" s="72"/>
      <c r="PMK125" s="72"/>
      <c r="PML125" s="72"/>
      <c r="PMM125" s="72"/>
      <c r="PMN125" s="72"/>
      <c r="PMO125" s="72"/>
      <c r="PMP125" s="72"/>
      <c r="PMQ125" s="72"/>
      <c r="PMR125" s="72"/>
      <c r="PMS125" s="72"/>
      <c r="PMT125" s="72"/>
      <c r="PMU125" s="72"/>
      <c r="PMV125" s="72"/>
      <c r="PMW125" s="72"/>
      <c r="PMX125" s="72"/>
      <c r="PMY125" s="72"/>
      <c r="PMZ125" s="72"/>
      <c r="PNA125" s="72"/>
      <c r="PNB125" s="72"/>
      <c r="PNC125" s="72"/>
      <c r="PND125" s="72"/>
      <c r="PNE125" s="72"/>
      <c r="PNF125" s="72"/>
      <c r="PNG125" s="72"/>
      <c r="PNH125" s="72"/>
      <c r="PNI125" s="72"/>
      <c r="PNJ125" s="72"/>
      <c r="PNK125" s="72"/>
      <c r="PNL125" s="72"/>
      <c r="PNM125" s="72"/>
      <c r="PNN125" s="72"/>
      <c r="PNO125" s="72"/>
      <c r="PNP125" s="72"/>
      <c r="PNQ125" s="72"/>
      <c r="PNR125" s="72"/>
      <c r="PNS125" s="72"/>
      <c r="PNT125" s="72"/>
      <c r="PNU125" s="72"/>
      <c r="PNV125" s="72"/>
      <c r="PNW125" s="72"/>
      <c r="PNX125" s="72"/>
      <c r="PNY125" s="72"/>
      <c r="PNZ125" s="72"/>
      <c r="POA125" s="72"/>
      <c r="POB125" s="72"/>
      <c r="POC125" s="72"/>
      <c r="POD125" s="72"/>
      <c r="POE125" s="72"/>
      <c r="POF125" s="72"/>
      <c r="POG125" s="72"/>
      <c r="POH125" s="72"/>
      <c r="POI125" s="72"/>
      <c r="POJ125" s="72"/>
      <c r="POK125" s="72"/>
      <c r="POL125" s="72"/>
      <c r="POM125" s="72"/>
      <c r="PON125" s="72"/>
      <c r="POO125" s="72"/>
      <c r="POP125" s="72"/>
      <c r="POQ125" s="72"/>
      <c r="POR125" s="72"/>
      <c r="POS125" s="72"/>
      <c r="POT125" s="72"/>
      <c r="POU125" s="72"/>
      <c r="POV125" s="72"/>
      <c r="POW125" s="72"/>
      <c r="POX125" s="72"/>
      <c r="POY125" s="72"/>
      <c r="POZ125" s="72"/>
      <c r="PPA125" s="72"/>
      <c r="PPB125" s="72"/>
      <c r="PPC125" s="72"/>
      <c r="PPD125" s="72"/>
      <c r="PPE125" s="72"/>
      <c r="PPF125" s="72"/>
      <c r="PPG125" s="72"/>
      <c r="PPH125" s="72"/>
      <c r="PPI125" s="72"/>
      <c r="PPJ125" s="72"/>
      <c r="PPK125" s="72"/>
      <c r="PPL125" s="72"/>
      <c r="PPM125" s="72"/>
      <c r="PPN125" s="72"/>
      <c r="PPO125" s="72"/>
      <c r="PPP125" s="72"/>
      <c r="PPQ125" s="72"/>
      <c r="PPR125" s="72"/>
      <c r="PPS125" s="72"/>
      <c r="PPT125" s="72"/>
      <c r="PPU125" s="72"/>
      <c r="PPV125" s="72"/>
      <c r="PPW125" s="72"/>
      <c r="PPX125" s="72"/>
      <c r="PPY125" s="72"/>
      <c r="PPZ125" s="72"/>
      <c r="PQA125" s="72"/>
      <c r="PQB125" s="72"/>
      <c r="PQC125" s="72"/>
      <c r="PQD125" s="72"/>
      <c r="PQE125" s="72"/>
      <c r="PQF125" s="72"/>
      <c r="PQG125" s="72"/>
      <c r="PQH125" s="72"/>
      <c r="PQI125" s="72"/>
      <c r="PQJ125" s="72"/>
      <c r="PQK125" s="72"/>
      <c r="PQL125" s="72"/>
      <c r="PQM125" s="72"/>
      <c r="PQN125" s="72"/>
      <c r="PQO125" s="72"/>
      <c r="PQP125" s="72"/>
      <c r="PQQ125" s="72"/>
      <c r="PQR125" s="72"/>
      <c r="PQS125" s="72"/>
      <c r="PQT125" s="72"/>
      <c r="PQU125" s="72"/>
      <c r="PQV125" s="72"/>
      <c r="PQW125" s="72"/>
      <c r="PQX125" s="72"/>
      <c r="PQY125" s="72"/>
      <c r="PQZ125" s="72"/>
      <c r="PRA125" s="72"/>
      <c r="PRB125" s="72"/>
      <c r="PRC125" s="72"/>
      <c r="PRD125" s="72"/>
      <c r="PRE125" s="72"/>
      <c r="PRF125" s="72"/>
      <c r="PRG125" s="72"/>
      <c r="PRH125" s="72"/>
      <c r="PRI125" s="72"/>
      <c r="PRJ125" s="72"/>
      <c r="PRK125" s="72"/>
      <c r="PRL125" s="72"/>
      <c r="PRM125" s="72"/>
      <c r="PRN125" s="72"/>
      <c r="PRO125" s="72"/>
      <c r="PRP125" s="72"/>
      <c r="PRQ125" s="72"/>
      <c r="PRR125" s="72"/>
      <c r="PRS125" s="72"/>
      <c r="PRT125" s="72"/>
      <c r="PRU125" s="72"/>
      <c r="PRV125" s="72"/>
      <c r="PRW125" s="72"/>
      <c r="PRX125" s="72"/>
      <c r="PRY125" s="72"/>
      <c r="PRZ125" s="72"/>
      <c r="PSA125" s="72"/>
      <c r="PSB125" s="72"/>
      <c r="PSC125" s="72"/>
      <c r="PSD125" s="72"/>
      <c r="PSE125" s="72"/>
      <c r="PSF125" s="72"/>
      <c r="PSG125" s="72"/>
      <c r="PSH125" s="72"/>
      <c r="PSI125" s="72"/>
      <c r="PSJ125" s="72"/>
      <c r="PSK125" s="72"/>
      <c r="PSL125" s="72"/>
      <c r="PSM125" s="72"/>
      <c r="PSN125" s="72"/>
      <c r="PSO125" s="72"/>
      <c r="PSP125" s="72"/>
      <c r="PSQ125" s="72"/>
      <c r="PSR125" s="72"/>
      <c r="PSS125" s="72"/>
      <c r="PST125" s="72"/>
      <c r="PSU125" s="72"/>
      <c r="PSV125" s="72"/>
      <c r="PSW125" s="72"/>
      <c r="PSX125" s="72"/>
      <c r="PSY125" s="72"/>
      <c r="PSZ125" s="72"/>
      <c r="PTA125" s="72"/>
      <c r="PTB125" s="72"/>
      <c r="PTC125" s="72"/>
      <c r="PTD125" s="72"/>
      <c r="PTE125" s="72"/>
      <c r="PTF125" s="72"/>
      <c r="PTG125" s="72"/>
      <c r="PTH125" s="72"/>
      <c r="PTI125" s="72"/>
      <c r="PTJ125" s="72"/>
      <c r="PTK125" s="72"/>
      <c r="PTL125" s="72"/>
      <c r="PTM125" s="72"/>
      <c r="PTN125" s="72"/>
      <c r="PTO125" s="72"/>
      <c r="PTP125" s="72"/>
      <c r="PTQ125" s="72"/>
      <c r="PTR125" s="72"/>
      <c r="PTS125" s="72"/>
      <c r="PTT125" s="72"/>
      <c r="PTU125" s="72"/>
      <c r="PTV125" s="72"/>
      <c r="PTW125" s="72"/>
      <c r="PTX125" s="72"/>
      <c r="PTY125" s="72"/>
      <c r="PTZ125" s="72"/>
      <c r="PUA125" s="72"/>
      <c r="PUB125" s="72"/>
      <c r="PUC125" s="72"/>
      <c r="PUD125" s="72"/>
      <c r="PUE125" s="72"/>
      <c r="PUF125" s="72"/>
      <c r="PUG125" s="72"/>
      <c r="PUH125" s="72"/>
      <c r="PUI125" s="72"/>
      <c r="PUJ125" s="72"/>
      <c r="PUK125" s="72"/>
      <c r="PUL125" s="72"/>
      <c r="PUM125" s="72"/>
      <c r="PUN125" s="72"/>
      <c r="PUO125" s="72"/>
      <c r="PUP125" s="72"/>
      <c r="PUQ125" s="72"/>
      <c r="PUR125" s="72"/>
      <c r="PUS125" s="72"/>
      <c r="PUT125" s="72"/>
      <c r="PUU125" s="72"/>
      <c r="PUV125" s="72"/>
      <c r="PUW125" s="72"/>
      <c r="PUX125" s="72"/>
      <c r="PUY125" s="72"/>
      <c r="PUZ125" s="72"/>
      <c r="PVA125" s="72"/>
      <c r="PVB125" s="72"/>
      <c r="PVC125" s="72"/>
      <c r="PVD125" s="72"/>
      <c r="PVE125" s="72"/>
      <c r="PVF125" s="72"/>
      <c r="PVG125" s="72"/>
      <c r="PVH125" s="72"/>
      <c r="PVI125" s="72"/>
      <c r="PVJ125" s="72"/>
      <c r="PVK125" s="72"/>
      <c r="PVL125" s="72"/>
      <c r="PVM125" s="72"/>
      <c r="PVN125" s="72"/>
      <c r="PVO125" s="72"/>
      <c r="PVP125" s="72"/>
      <c r="PVQ125" s="72"/>
      <c r="PVR125" s="72"/>
      <c r="PVS125" s="72"/>
      <c r="PVT125" s="72"/>
      <c r="PVU125" s="72"/>
      <c r="PVV125" s="72"/>
      <c r="PVW125" s="72"/>
      <c r="PVX125" s="72"/>
      <c r="PVY125" s="72"/>
      <c r="PVZ125" s="72"/>
      <c r="PWA125" s="72"/>
      <c r="PWB125" s="72"/>
      <c r="PWC125" s="72"/>
      <c r="PWD125" s="72"/>
      <c r="PWE125" s="72"/>
      <c r="PWF125" s="72"/>
      <c r="PWG125" s="72"/>
      <c r="PWH125" s="72"/>
      <c r="PWI125" s="72"/>
      <c r="PWJ125" s="72"/>
      <c r="PWK125" s="72"/>
      <c r="PWL125" s="72"/>
      <c r="PWM125" s="72"/>
      <c r="PWN125" s="72"/>
      <c r="PWO125" s="72"/>
      <c r="PWP125" s="72"/>
      <c r="PWQ125" s="72"/>
      <c r="PWR125" s="72"/>
      <c r="PWS125" s="72"/>
      <c r="PWT125" s="72"/>
      <c r="PWU125" s="72"/>
      <c r="PWV125" s="72"/>
      <c r="PWW125" s="72"/>
      <c r="PWX125" s="72"/>
      <c r="PWY125" s="72"/>
      <c r="PWZ125" s="72"/>
      <c r="PXA125" s="72"/>
      <c r="PXB125" s="72"/>
      <c r="PXC125" s="72"/>
      <c r="PXD125" s="72"/>
      <c r="PXE125" s="72"/>
      <c r="PXF125" s="72"/>
      <c r="PXG125" s="72"/>
      <c r="PXH125" s="72"/>
      <c r="PXI125" s="72"/>
      <c r="PXJ125" s="72"/>
      <c r="PXK125" s="72"/>
      <c r="PXL125" s="72"/>
      <c r="PXM125" s="72"/>
      <c r="PXN125" s="72"/>
      <c r="PXO125" s="72"/>
      <c r="PXP125" s="72"/>
      <c r="PXQ125" s="72"/>
      <c r="PXR125" s="72"/>
      <c r="PXS125" s="72"/>
      <c r="PXT125" s="72"/>
      <c r="PXU125" s="72"/>
      <c r="PXV125" s="72"/>
      <c r="PXW125" s="72"/>
      <c r="PXX125" s="72"/>
      <c r="PXY125" s="72"/>
      <c r="PXZ125" s="72"/>
      <c r="PYA125" s="72"/>
      <c r="PYB125" s="72"/>
      <c r="PYC125" s="72"/>
      <c r="PYD125" s="72"/>
      <c r="PYE125" s="72"/>
      <c r="PYF125" s="72"/>
      <c r="PYG125" s="72"/>
      <c r="PYH125" s="72"/>
      <c r="PYI125" s="72"/>
      <c r="PYJ125" s="72"/>
      <c r="PYK125" s="72"/>
      <c r="PYL125" s="72"/>
      <c r="PYM125" s="72"/>
      <c r="PYN125" s="72"/>
      <c r="PYO125" s="72"/>
      <c r="PYP125" s="72"/>
      <c r="PYQ125" s="72"/>
      <c r="PYR125" s="72"/>
      <c r="PYS125" s="72"/>
      <c r="PYT125" s="72"/>
      <c r="PYU125" s="72"/>
      <c r="PYV125" s="72"/>
      <c r="PYW125" s="72"/>
      <c r="PYX125" s="72"/>
      <c r="PYY125" s="72"/>
      <c r="PYZ125" s="72"/>
      <c r="PZA125" s="72"/>
      <c r="PZB125" s="72"/>
      <c r="PZC125" s="72"/>
      <c r="PZD125" s="72"/>
      <c r="PZE125" s="72"/>
      <c r="PZF125" s="72"/>
      <c r="PZG125" s="72"/>
      <c r="PZH125" s="72"/>
      <c r="PZI125" s="72"/>
      <c r="PZJ125" s="72"/>
      <c r="PZK125" s="72"/>
      <c r="PZL125" s="72"/>
      <c r="PZM125" s="72"/>
      <c r="PZN125" s="72"/>
      <c r="PZO125" s="72"/>
      <c r="PZP125" s="72"/>
      <c r="PZQ125" s="72"/>
      <c r="PZR125" s="72"/>
      <c r="PZS125" s="72"/>
      <c r="PZT125" s="72"/>
      <c r="PZU125" s="72"/>
      <c r="PZV125" s="72"/>
      <c r="PZW125" s="72"/>
      <c r="PZX125" s="72"/>
      <c r="PZY125" s="72"/>
      <c r="PZZ125" s="72"/>
      <c r="QAA125" s="72"/>
      <c r="QAB125" s="72"/>
      <c r="QAC125" s="72"/>
      <c r="QAD125" s="72"/>
      <c r="QAE125" s="72"/>
      <c r="QAF125" s="72"/>
      <c r="QAG125" s="72"/>
      <c r="QAH125" s="72"/>
      <c r="QAI125" s="72"/>
      <c r="QAJ125" s="72"/>
      <c r="QAK125" s="72"/>
      <c r="QAL125" s="72"/>
      <c r="QAM125" s="72"/>
      <c r="QAN125" s="72"/>
      <c r="QAO125" s="72"/>
      <c r="QAP125" s="72"/>
      <c r="QAQ125" s="72"/>
      <c r="QAR125" s="72"/>
      <c r="QAS125" s="72"/>
      <c r="QAT125" s="72"/>
      <c r="QAU125" s="72"/>
      <c r="QAV125" s="72"/>
      <c r="QAW125" s="72"/>
      <c r="QAX125" s="72"/>
      <c r="QAY125" s="72"/>
      <c r="QAZ125" s="72"/>
      <c r="QBA125" s="72"/>
      <c r="QBB125" s="72"/>
      <c r="QBC125" s="72"/>
      <c r="QBD125" s="72"/>
      <c r="QBE125" s="72"/>
      <c r="QBF125" s="72"/>
      <c r="QBG125" s="72"/>
      <c r="QBH125" s="72"/>
      <c r="QBI125" s="72"/>
      <c r="QBJ125" s="72"/>
      <c r="QBK125" s="72"/>
      <c r="QBL125" s="72"/>
      <c r="QBM125" s="72"/>
      <c r="QBN125" s="72"/>
      <c r="QBO125" s="72"/>
      <c r="QBP125" s="72"/>
      <c r="QBQ125" s="72"/>
      <c r="QBR125" s="72"/>
      <c r="QBS125" s="72"/>
      <c r="QBT125" s="72"/>
      <c r="QBU125" s="72"/>
      <c r="QBV125" s="72"/>
      <c r="QBW125" s="72"/>
      <c r="QBX125" s="72"/>
      <c r="QBY125" s="72"/>
      <c r="QBZ125" s="72"/>
      <c r="QCA125" s="72"/>
      <c r="QCB125" s="72"/>
      <c r="QCC125" s="72"/>
      <c r="QCD125" s="72"/>
      <c r="QCE125" s="72"/>
      <c r="QCF125" s="72"/>
      <c r="QCG125" s="72"/>
      <c r="QCH125" s="72"/>
      <c r="QCI125" s="72"/>
      <c r="QCJ125" s="72"/>
      <c r="QCK125" s="72"/>
      <c r="QCL125" s="72"/>
      <c r="QCM125" s="72"/>
      <c r="QCN125" s="72"/>
      <c r="QCO125" s="72"/>
      <c r="QCP125" s="72"/>
      <c r="QCQ125" s="72"/>
      <c r="QCR125" s="72"/>
      <c r="QCS125" s="72"/>
      <c r="QCT125" s="72"/>
      <c r="QCU125" s="72"/>
      <c r="QCV125" s="72"/>
      <c r="QCW125" s="72"/>
      <c r="QCX125" s="72"/>
      <c r="QCY125" s="72"/>
      <c r="QCZ125" s="72"/>
      <c r="QDA125" s="72"/>
      <c r="QDB125" s="72"/>
      <c r="QDC125" s="72"/>
      <c r="QDD125" s="72"/>
      <c r="QDE125" s="72"/>
      <c r="QDF125" s="72"/>
      <c r="QDG125" s="72"/>
      <c r="QDH125" s="72"/>
      <c r="QDI125" s="72"/>
      <c r="QDJ125" s="72"/>
      <c r="QDK125" s="72"/>
      <c r="QDL125" s="72"/>
      <c r="QDM125" s="72"/>
      <c r="QDN125" s="72"/>
      <c r="QDO125" s="72"/>
      <c r="QDP125" s="72"/>
      <c r="QDQ125" s="72"/>
      <c r="QDR125" s="72"/>
      <c r="QDS125" s="72"/>
      <c r="QDT125" s="72"/>
      <c r="QDU125" s="72"/>
      <c r="QDV125" s="72"/>
      <c r="QDW125" s="72"/>
      <c r="QDX125" s="72"/>
      <c r="QDY125" s="72"/>
      <c r="QDZ125" s="72"/>
      <c r="QEA125" s="72"/>
      <c r="QEB125" s="72"/>
      <c r="QEC125" s="72"/>
      <c r="QED125" s="72"/>
      <c r="QEE125" s="72"/>
      <c r="QEF125" s="72"/>
      <c r="QEG125" s="72"/>
      <c r="QEH125" s="72"/>
      <c r="QEI125" s="72"/>
      <c r="QEJ125" s="72"/>
      <c r="QEK125" s="72"/>
      <c r="QEL125" s="72"/>
      <c r="QEM125" s="72"/>
      <c r="QEN125" s="72"/>
      <c r="QEO125" s="72"/>
      <c r="QEP125" s="72"/>
      <c r="QEQ125" s="72"/>
      <c r="QER125" s="72"/>
      <c r="QES125" s="72"/>
      <c r="QET125" s="72"/>
      <c r="QEU125" s="72"/>
      <c r="QEV125" s="72"/>
      <c r="QEW125" s="72"/>
      <c r="QEX125" s="72"/>
      <c r="QEY125" s="72"/>
      <c r="QEZ125" s="72"/>
      <c r="QFA125" s="72"/>
      <c r="QFB125" s="72"/>
      <c r="QFC125" s="72"/>
      <c r="QFD125" s="72"/>
      <c r="QFE125" s="72"/>
      <c r="QFF125" s="72"/>
      <c r="QFG125" s="72"/>
      <c r="QFH125" s="72"/>
      <c r="QFI125" s="72"/>
      <c r="QFJ125" s="72"/>
      <c r="QFK125" s="72"/>
      <c r="QFL125" s="72"/>
      <c r="QFM125" s="72"/>
      <c r="QFN125" s="72"/>
      <c r="QFO125" s="72"/>
      <c r="QFP125" s="72"/>
      <c r="QFQ125" s="72"/>
      <c r="QFR125" s="72"/>
      <c r="QFS125" s="72"/>
      <c r="QFT125" s="72"/>
      <c r="QFU125" s="72"/>
      <c r="QFV125" s="72"/>
      <c r="QFW125" s="72"/>
      <c r="QFX125" s="72"/>
      <c r="QFY125" s="72"/>
      <c r="QFZ125" s="72"/>
      <c r="QGA125" s="72"/>
      <c r="QGB125" s="72"/>
      <c r="QGC125" s="72"/>
      <c r="QGD125" s="72"/>
      <c r="QGE125" s="72"/>
      <c r="QGF125" s="72"/>
      <c r="QGG125" s="72"/>
      <c r="QGH125" s="72"/>
      <c r="QGI125" s="72"/>
      <c r="QGJ125" s="72"/>
      <c r="QGK125" s="72"/>
      <c r="QGL125" s="72"/>
      <c r="QGM125" s="72"/>
      <c r="QGN125" s="72"/>
      <c r="QGO125" s="72"/>
      <c r="QGP125" s="72"/>
      <c r="QGQ125" s="72"/>
      <c r="QGR125" s="72"/>
      <c r="QGS125" s="72"/>
      <c r="QGT125" s="72"/>
      <c r="QGU125" s="72"/>
      <c r="QGV125" s="72"/>
      <c r="QGW125" s="72"/>
      <c r="QGX125" s="72"/>
      <c r="QGY125" s="72"/>
      <c r="QGZ125" s="72"/>
      <c r="QHA125" s="72"/>
      <c r="QHB125" s="72"/>
      <c r="QHC125" s="72"/>
      <c r="QHD125" s="72"/>
      <c r="QHE125" s="72"/>
      <c r="QHF125" s="72"/>
      <c r="QHG125" s="72"/>
      <c r="QHH125" s="72"/>
      <c r="QHI125" s="72"/>
      <c r="QHJ125" s="72"/>
      <c r="QHK125" s="72"/>
      <c r="QHL125" s="72"/>
      <c r="QHM125" s="72"/>
      <c r="QHN125" s="72"/>
      <c r="QHO125" s="72"/>
      <c r="QHP125" s="72"/>
      <c r="QHQ125" s="72"/>
      <c r="QHR125" s="72"/>
      <c r="QHS125" s="72"/>
      <c r="QHT125" s="72"/>
      <c r="QHU125" s="72"/>
      <c r="QHV125" s="72"/>
      <c r="QHW125" s="72"/>
      <c r="QHX125" s="72"/>
      <c r="QHY125" s="72"/>
      <c r="QHZ125" s="72"/>
      <c r="QIA125" s="72"/>
      <c r="QIB125" s="72"/>
      <c r="QIC125" s="72"/>
      <c r="QID125" s="72"/>
      <c r="QIE125" s="72"/>
      <c r="QIF125" s="72"/>
      <c r="QIG125" s="72"/>
      <c r="QIH125" s="72"/>
      <c r="QII125" s="72"/>
      <c r="QIJ125" s="72"/>
      <c r="QIK125" s="72"/>
      <c r="QIL125" s="72"/>
      <c r="QIM125" s="72"/>
      <c r="QIN125" s="72"/>
      <c r="QIO125" s="72"/>
      <c r="QIP125" s="72"/>
      <c r="QIQ125" s="72"/>
      <c r="QIR125" s="72"/>
      <c r="QIS125" s="72"/>
      <c r="QIT125" s="72"/>
      <c r="QIU125" s="72"/>
      <c r="QIV125" s="72"/>
      <c r="QIW125" s="72"/>
      <c r="QIX125" s="72"/>
      <c r="QIY125" s="72"/>
      <c r="QIZ125" s="72"/>
      <c r="QJA125" s="72"/>
      <c r="QJB125" s="72"/>
      <c r="QJC125" s="72"/>
      <c r="QJD125" s="72"/>
      <c r="QJE125" s="72"/>
      <c r="QJF125" s="72"/>
      <c r="QJG125" s="72"/>
      <c r="QJH125" s="72"/>
      <c r="QJI125" s="72"/>
      <c r="QJJ125" s="72"/>
      <c r="QJK125" s="72"/>
      <c r="QJL125" s="72"/>
      <c r="QJM125" s="72"/>
      <c r="QJN125" s="72"/>
      <c r="QJO125" s="72"/>
      <c r="QJP125" s="72"/>
      <c r="QJQ125" s="72"/>
      <c r="QJR125" s="72"/>
      <c r="QJS125" s="72"/>
      <c r="QJT125" s="72"/>
      <c r="QJU125" s="72"/>
      <c r="QJV125" s="72"/>
      <c r="QJW125" s="72"/>
      <c r="QJX125" s="72"/>
      <c r="QJY125" s="72"/>
      <c r="QJZ125" s="72"/>
      <c r="QKA125" s="72"/>
      <c r="QKB125" s="72"/>
      <c r="QKC125" s="72"/>
      <c r="QKD125" s="72"/>
      <c r="QKE125" s="72"/>
      <c r="QKF125" s="72"/>
      <c r="QKG125" s="72"/>
      <c r="QKH125" s="72"/>
      <c r="QKI125" s="72"/>
      <c r="QKJ125" s="72"/>
      <c r="QKK125" s="72"/>
      <c r="QKL125" s="72"/>
      <c r="QKM125" s="72"/>
      <c r="QKN125" s="72"/>
      <c r="QKO125" s="72"/>
      <c r="QKP125" s="72"/>
      <c r="QKQ125" s="72"/>
      <c r="QKR125" s="72"/>
      <c r="QKS125" s="72"/>
      <c r="QKT125" s="72"/>
      <c r="QKU125" s="72"/>
      <c r="QKV125" s="72"/>
      <c r="QKW125" s="72"/>
      <c r="QKX125" s="72"/>
      <c r="QKY125" s="72"/>
      <c r="QKZ125" s="72"/>
      <c r="QLA125" s="72"/>
      <c r="QLB125" s="72"/>
      <c r="QLC125" s="72"/>
      <c r="QLD125" s="72"/>
      <c r="QLE125" s="72"/>
      <c r="QLF125" s="72"/>
      <c r="QLG125" s="72"/>
      <c r="QLH125" s="72"/>
      <c r="QLI125" s="72"/>
      <c r="QLJ125" s="72"/>
      <c r="QLK125" s="72"/>
      <c r="QLL125" s="72"/>
      <c r="QLM125" s="72"/>
      <c r="QLN125" s="72"/>
      <c r="QLO125" s="72"/>
      <c r="QLP125" s="72"/>
      <c r="QLQ125" s="72"/>
      <c r="QLR125" s="72"/>
      <c r="QLS125" s="72"/>
      <c r="QLT125" s="72"/>
      <c r="QLU125" s="72"/>
      <c r="QLV125" s="72"/>
      <c r="QLW125" s="72"/>
      <c r="QLX125" s="72"/>
      <c r="QLY125" s="72"/>
      <c r="QLZ125" s="72"/>
      <c r="QMA125" s="72"/>
      <c r="QMB125" s="72"/>
      <c r="QMC125" s="72"/>
      <c r="QMD125" s="72"/>
      <c r="QME125" s="72"/>
      <c r="QMF125" s="72"/>
      <c r="QMG125" s="72"/>
      <c r="QMH125" s="72"/>
      <c r="QMI125" s="72"/>
      <c r="QMJ125" s="72"/>
      <c r="QMK125" s="72"/>
      <c r="QML125" s="72"/>
      <c r="QMM125" s="72"/>
      <c r="QMN125" s="72"/>
      <c r="QMO125" s="72"/>
      <c r="QMP125" s="72"/>
      <c r="QMQ125" s="72"/>
      <c r="QMR125" s="72"/>
      <c r="QMS125" s="72"/>
      <c r="QMT125" s="72"/>
      <c r="QMU125" s="72"/>
      <c r="QMV125" s="72"/>
      <c r="QMW125" s="72"/>
      <c r="QMX125" s="72"/>
      <c r="QMY125" s="72"/>
      <c r="QMZ125" s="72"/>
      <c r="QNA125" s="72"/>
      <c r="QNB125" s="72"/>
      <c r="QNC125" s="72"/>
      <c r="QND125" s="72"/>
      <c r="QNE125" s="72"/>
      <c r="QNF125" s="72"/>
      <c r="QNG125" s="72"/>
      <c r="QNH125" s="72"/>
      <c r="QNI125" s="72"/>
      <c r="QNJ125" s="72"/>
      <c r="QNK125" s="72"/>
      <c r="QNL125" s="72"/>
      <c r="QNM125" s="72"/>
      <c r="QNN125" s="72"/>
      <c r="QNO125" s="72"/>
      <c r="QNP125" s="72"/>
      <c r="QNQ125" s="72"/>
      <c r="QNR125" s="72"/>
      <c r="QNS125" s="72"/>
      <c r="QNT125" s="72"/>
      <c r="QNU125" s="72"/>
      <c r="QNV125" s="72"/>
      <c r="QNW125" s="72"/>
      <c r="QNX125" s="72"/>
      <c r="QNY125" s="72"/>
      <c r="QNZ125" s="72"/>
      <c r="QOA125" s="72"/>
      <c r="QOB125" s="72"/>
      <c r="QOC125" s="72"/>
      <c r="QOD125" s="72"/>
      <c r="QOE125" s="72"/>
      <c r="QOF125" s="72"/>
      <c r="QOG125" s="72"/>
      <c r="QOH125" s="72"/>
      <c r="QOI125" s="72"/>
      <c r="QOJ125" s="72"/>
      <c r="QOK125" s="72"/>
      <c r="QOL125" s="72"/>
      <c r="QOM125" s="72"/>
      <c r="QON125" s="72"/>
      <c r="QOO125" s="72"/>
      <c r="QOP125" s="72"/>
      <c r="QOQ125" s="72"/>
      <c r="QOR125" s="72"/>
      <c r="QOS125" s="72"/>
      <c r="QOT125" s="72"/>
      <c r="QOU125" s="72"/>
      <c r="QOV125" s="72"/>
      <c r="QOW125" s="72"/>
      <c r="QOX125" s="72"/>
      <c r="QOY125" s="72"/>
      <c r="QOZ125" s="72"/>
      <c r="QPA125" s="72"/>
      <c r="QPB125" s="72"/>
      <c r="QPC125" s="72"/>
      <c r="QPD125" s="72"/>
      <c r="QPE125" s="72"/>
      <c r="QPF125" s="72"/>
      <c r="QPG125" s="72"/>
      <c r="QPH125" s="72"/>
      <c r="QPI125" s="72"/>
      <c r="QPJ125" s="72"/>
      <c r="QPK125" s="72"/>
      <c r="QPL125" s="72"/>
      <c r="QPM125" s="72"/>
      <c r="QPN125" s="72"/>
      <c r="QPO125" s="72"/>
      <c r="QPP125" s="72"/>
      <c r="QPQ125" s="72"/>
      <c r="QPR125" s="72"/>
      <c r="QPS125" s="72"/>
      <c r="QPT125" s="72"/>
      <c r="QPU125" s="72"/>
      <c r="QPV125" s="72"/>
      <c r="QPW125" s="72"/>
      <c r="QPX125" s="72"/>
      <c r="QPY125" s="72"/>
      <c r="QPZ125" s="72"/>
      <c r="QQA125" s="72"/>
      <c r="QQB125" s="72"/>
      <c r="QQC125" s="72"/>
      <c r="QQD125" s="72"/>
      <c r="QQE125" s="72"/>
      <c r="QQF125" s="72"/>
      <c r="QQG125" s="72"/>
      <c r="QQH125" s="72"/>
      <c r="QQI125" s="72"/>
      <c r="QQJ125" s="72"/>
      <c r="QQK125" s="72"/>
      <c r="QQL125" s="72"/>
      <c r="QQM125" s="72"/>
      <c r="QQN125" s="72"/>
      <c r="QQO125" s="72"/>
      <c r="QQP125" s="72"/>
      <c r="QQQ125" s="72"/>
      <c r="QQR125" s="72"/>
      <c r="QQS125" s="72"/>
      <c r="QQT125" s="72"/>
      <c r="QQU125" s="72"/>
      <c r="QQV125" s="72"/>
      <c r="QQW125" s="72"/>
      <c r="QQX125" s="72"/>
      <c r="QQY125" s="72"/>
      <c r="QQZ125" s="72"/>
      <c r="QRA125" s="72"/>
      <c r="QRB125" s="72"/>
      <c r="QRC125" s="72"/>
      <c r="QRD125" s="72"/>
      <c r="QRE125" s="72"/>
      <c r="QRF125" s="72"/>
      <c r="QRG125" s="72"/>
      <c r="QRH125" s="72"/>
      <c r="QRI125" s="72"/>
      <c r="QRJ125" s="72"/>
      <c r="QRK125" s="72"/>
      <c r="QRL125" s="72"/>
      <c r="QRM125" s="72"/>
      <c r="QRN125" s="72"/>
      <c r="QRO125" s="72"/>
      <c r="QRP125" s="72"/>
      <c r="QRQ125" s="72"/>
      <c r="QRR125" s="72"/>
      <c r="QRS125" s="72"/>
      <c r="QRT125" s="72"/>
      <c r="QRU125" s="72"/>
      <c r="QRV125" s="72"/>
      <c r="QRW125" s="72"/>
      <c r="QRX125" s="72"/>
      <c r="QRY125" s="72"/>
      <c r="QRZ125" s="72"/>
      <c r="QSA125" s="72"/>
      <c r="QSB125" s="72"/>
      <c r="QSC125" s="72"/>
      <c r="QSD125" s="72"/>
      <c r="QSE125" s="72"/>
      <c r="QSF125" s="72"/>
      <c r="QSG125" s="72"/>
      <c r="QSH125" s="72"/>
      <c r="QSI125" s="72"/>
      <c r="QSJ125" s="72"/>
      <c r="QSK125" s="72"/>
      <c r="QSL125" s="72"/>
      <c r="QSM125" s="72"/>
      <c r="QSN125" s="72"/>
      <c r="QSO125" s="72"/>
      <c r="QSP125" s="72"/>
      <c r="QSQ125" s="72"/>
      <c r="QSR125" s="72"/>
      <c r="QSS125" s="72"/>
      <c r="QST125" s="72"/>
      <c r="QSU125" s="72"/>
      <c r="QSV125" s="72"/>
      <c r="QSW125" s="72"/>
      <c r="QSX125" s="72"/>
      <c r="QSY125" s="72"/>
      <c r="QSZ125" s="72"/>
      <c r="QTA125" s="72"/>
      <c r="QTB125" s="72"/>
      <c r="QTC125" s="72"/>
      <c r="QTD125" s="72"/>
      <c r="QTE125" s="72"/>
      <c r="QTF125" s="72"/>
      <c r="QTG125" s="72"/>
      <c r="QTH125" s="72"/>
      <c r="QTI125" s="72"/>
      <c r="QTJ125" s="72"/>
      <c r="QTK125" s="72"/>
      <c r="QTL125" s="72"/>
      <c r="QTM125" s="72"/>
      <c r="QTN125" s="72"/>
      <c r="QTO125" s="72"/>
      <c r="QTP125" s="72"/>
      <c r="QTQ125" s="72"/>
      <c r="QTR125" s="72"/>
      <c r="QTS125" s="72"/>
      <c r="QTT125" s="72"/>
      <c r="QTU125" s="72"/>
      <c r="QTV125" s="72"/>
      <c r="QTW125" s="72"/>
      <c r="QTX125" s="72"/>
      <c r="QTY125" s="72"/>
      <c r="QTZ125" s="72"/>
      <c r="QUA125" s="72"/>
      <c r="QUB125" s="72"/>
      <c r="QUC125" s="72"/>
      <c r="QUD125" s="72"/>
      <c r="QUE125" s="72"/>
      <c r="QUF125" s="72"/>
      <c r="QUG125" s="72"/>
      <c r="QUH125" s="72"/>
      <c r="QUI125" s="72"/>
      <c r="QUJ125" s="72"/>
      <c r="QUK125" s="72"/>
      <c r="QUL125" s="72"/>
      <c r="QUM125" s="72"/>
      <c r="QUN125" s="72"/>
      <c r="QUO125" s="72"/>
      <c r="QUP125" s="72"/>
      <c r="QUQ125" s="72"/>
      <c r="QUR125" s="72"/>
      <c r="QUS125" s="72"/>
      <c r="QUT125" s="72"/>
      <c r="QUU125" s="72"/>
      <c r="QUV125" s="72"/>
      <c r="QUW125" s="72"/>
      <c r="QUX125" s="72"/>
      <c r="QUY125" s="72"/>
      <c r="QUZ125" s="72"/>
      <c r="QVA125" s="72"/>
      <c r="QVB125" s="72"/>
      <c r="QVC125" s="72"/>
      <c r="QVD125" s="72"/>
      <c r="QVE125" s="72"/>
      <c r="QVF125" s="72"/>
      <c r="QVG125" s="72"/>
      <c r="QVH125" s="72"/>
      <c r="QVI125" s="72"/>
      <c r="QVJ125" s="72"/>
      <c r="QVK125" s="72"/>
      <c r="QVL125" s="72"/>
      <c r="QVM125" s="72"/>
      <c r="QVN125" s="72"/>
      <c r="QVO125" s="72"/>
      <c r="QVP125" s="72"/>
      <c r="QVQ125" s="72"/>
      <c r="QVR125" s="72"/>
      <c r="QVS125" s="72"/>
      <c r="QVT125" s="72"/>
      <c r="QVU125" s="72"/>
      <c r="QVV125" s="72"/>
      <c r="QVW125" s="72"/>
      <c r="QVX125" s="72"/>
      <c r="QVY125" s="72"/>
      <c r="QVZ125" s="72"/>
      <c r="QWA125" s="72"/>
      <c r="QWB125" s="72"/>
      <c r="QWC125" s="72"/>
      <c r="QWD125" s="72"/>
      <c r="QWE125" s="72"/>
      <c r="QWF125" s="72"/>
      <c r="QWG125" s="72"/>
      <c r="QWH125" s="72"/>
      <c r="QWI125" s="72"/>
      <c r="QWJ125" s="72"/>
      <c r="QWK125" s="72"/>
      <c r="QWL125" s="72"/>
      <c r="QWM125" s="72"/>
      <c r="QWN125" s="72"/>
      <c r="QWO125" s="72"/>
      <c r="QWP125" s="72"/>
      <c r="QWQ125" s="72"/>
      <c r="QWR125" s="72"/>
      <c r="QWS125" s="72"/>
      <c r="QWT125" s="72"/>
      <c r="QWU125" s="72"/>
      <c r="QWV125" s="72"/>
      <c r="QWW125" s="72"/>
      <c r="QWX125" s="72"/>
      <c r="QWY125" s="72"/>
      <c r="QWZ125" s="72"/>
      <c r="QXA125" s="72"/>
      <c r="QXB125" s="72"/>
      <c r="QXC125" s="72"/>
      <c r="QXD125" s="72"/>
      <c r="QXE125" s="72"/>
      <c r="QXF125" s="72"/>
      <c r="QXG125" s="72"/>
      <c r="QXH125" s="72"/>
      <c r="QXI125" s="72"/>
      <c r="QXJ125" s="72"/>
      <c r="QXK125" s="72"/>
      <c r="QXL125" s="72"/>
      <c r="QXM125" s="72"/>
      <c r="QXN125" s="72"/>
      <c r="QXO125" s="72"/>
      <c r="QXP125" s="72"/>
      <c r="QXQ125" s="72"/>
      <c r="QXR125" s="72"/>
      <c r="QXS125" s="72"/>
      <c r="QXT125" s="72"/>
      <c r="QXU125" s="72"/>
      <c r="QXV125" s="72"/>
      <c r="QXW125" s="72"/>
      <c r="QXX125" s="72"/>
      <c r="QXY125" s="72"/>
      <c r="QXZ125" s="72"/>
      <c r="QYA125" s="72"/>
      <c r="QYB125" s="72"/>
      <c r="QYC125" s="72"/>
      <c r="QYD125" s="72"/>
      <c r="QYE125" s="72"/>
      <c r="QYF125" s="72"/>
      <c r="QYG125" s="72"/>
      <c r="QYH125" s="72"/>
      <c r="QYI125" s="72"/>
      <c r="QYJ125" s="72"/>
      <c r="QYK125" s="72"/>
      <c r="QYL125" s="72"/>
      <c r="QYM125" s="72"/>
      <c r="QYN125" s="72"/>
      <c r="QYO125" s="72"/>
      <c r="QYP125" s="72"/>
      <c r="QYQ125" s="72"/>
      <c r="QYR125" s="72"/>
      <c r="QYS125" s="72"/>
      <c r="QYT125" s="72"/>
      <c r="QYU125" s="72"/>
      <c r="QYV125" s="72"/>
      <c r="QYW125" s="72"/>
      <c r="QYX125" s="72"/>
      <c r="QYY125" s="72"/>
      <c r="QYZ125" s="72"/>
      <c r="QZA125" s="72"/>
      <c r="QZB125" s="72"/>
      <c r="QZC125" s="72"/>
      <c r="QZD125" s="72"/>
      <c r="QZE125" s="72"/>
      <c r="QZF125" s="72"/>
      <c r="QZG125" s="72"/>
      <c r="QZH125" s="72"/>
      <c r="QZI125" s="72"/>
      <c r="QZJ125" s="72"/>
      <c r="QZK125" s="72"/>
      <c r="QZL125" s="72"/>
      <c r="QZM125" s="72"/>
      <c r="QZN125" s="72"/>
      <c r="QZO125" s="72"/>
      <c r="QZP125" s="72"/>
      <c r="QZQ125" s="72"/>
      <c r="QZR125" s="72"/>
      <c r="QZS125" s="72"/>
      <c r="QZT125" s="72"/>
      <c r="QZU125" s="72"/>
      <c r="QZV125" s="72"/>
      <c r="QZW125" s="72"/>
      <c r="QZX125" s="72"/>
      <c r="QZY125" s="72"/>
      <c r="QZZ125" s="72"/>
      <c r="RAA125" s="72"/>
      <c r="RAB125" s="72"/>
      <c r="RAC125" s="72"/>
      <c r="RAD125" s="72"/>
      <c r="RAE125" s="72"/>
      <c r="RAF125" s="72"/>
      <c r="RAG125" s="72"/>
      <c r="RAH125" s="72"/>
      <c r="RAI125" s="72"/>
      <c r="RAJ125" s="72"/>
      <c r="RAK125" s="72"/>
      <c r="RAL125" s="72"/>
      <c r="RAM125" s="72"/>
      <c r="RAN125" s="72"/>
      <c r="RAO125" s="72"/>
      <c r="RAP125" s="72"/>
      <c r="RAQ125" s="72"/>
      <c r="RAR125" s="72"/>
      <c r="RAS125" s="72"/>
      <c r="RAT125" s="72"/>
      <c r="RAU125" s="72"/>
      <c r="RAV125" s="72"/>
      <c r="RAW125" s="72"/>
      <c r="RAX125" s="72"/>
      <c r="RAY125" s="72"/>
      <c r="RAZ125" s="72"/>
      <c r="RBA125" s="72"/>
      <c r="RBB125" s="72"/>
      <c r="RBC125" s="72"/>
      <c r="RBD125" s="72"/>
      <c r="RBE125" s="72"/>
      <c r="RBF125" s="72"/>
      <c r="RBG125" s="72"/>
      <c r="RBH125" s="72"/>
      <c r="RBI125" s="72"/>
      <c r="RBJ125" s="72"/>
      <c r="RBK125" s="72"/>
      <c r="RBL125" s="72"/>
      <c r="RBM125" s="72"/>
      <c r="RBN125" s="72"/>
      <c r="RBO125" s="72"/>
      <c r="RBP125" s="72"/>
      <c r="RBQ125" s="72"/>
      <c r="RBR125" s="72"/>
      <c r="RBS125" s="72"/>
      <c r="RBT125" s="72"/>
      <c r="RBU125" s="72"/>
      <c r="RBV125" s="72"/>
      <c r="RBW125" s="72"/>
      <c r="RBX125" s="72"/>
      <c r="RBY125" s="72"/>
      <c r="RBZ125" s="72"/>
      <c r="RCA125" s="72"/>
      <c r="RCB125" s="72"/>
      <c r="RCC125" s="72"/>
      <c r="RCD125" s="72"/>
      <c r="RCE125" s="72"/>
      <c r="RCF125" s="72"/>
      <c r="RCG125" s="72"/>
      <c r="RCH125" s="72"/>
      <c r="RCI125" s="72"/>
      <c r="RCJ125" s="72"/>
      <c r="RCK125" s="72"/>
      <c r="RCL125" s="72"/>
      <c r="RCM125" s="72"/>
      <c r="RCN125" s="72"/>
      <c r="RCO125" s="72"/>
      <c r="RCP125" s="72"/>
      <c r="RCQ125" s="72"/>
      <c r="RCR125" s="72"/>
      <c r="RCS125" s="72"/>
      <c r="RCT125" s="72"/>
      <c r="RCU125" s="72"/>
      <c r="RCV125" s="72"/>
      <c r="RCW125" s="72"/>
      <c r="RCX125" s="72"/>
      <c r="RCY125" s="72"/>
      <c r="RCZ125" s="72"/>
      <c r="RDA125" s="72"/>
      <c r="RDB125" s="72"/>
      <c r="RDC125" s="72"/>
      <c r="RDD125" s="72"/>
      <c r="RDE125" s="72"/>
      <c r="RDF125" s="72"/>
      <c r="RDG125" s="72"/>
      <c r="RDH125" s="72"/>
      <c r="RDI125" s="72"/>
      <c r="RDJ125" s="72"/>
      <c r="RDK125" s="72"/>
      <c r="RDL125" s="72"/>
      <c r="RDM125" s="72"/>
      <c r="RDN125" s="72"/>
      <c r="RDO125" s="72"/>
      <c r="RDP125" s="72"/>
      <c r="RDQ125" s="72"/>
      <c r="RDR125" s="72"/>
      <c r="RDS125" s="72"/>
      <c r="RDT125" s="72"/>
      <c r="RDU125" s="72"/>
      <c r="RDV125" s="72"/>
      <c r="RDW125" s="72"/>
      <c r="RDX125" s="72"/>
      <c r="RDY125" s="72"/>
      <c r="RDZ125" s="72"/>
      <c r="REA125" s="72"/>
      <c r="REB125" s="72"/>
      <c r="REC125" s="72"/>
      <c r="RED125" s="72"/>
      <c r="REE125" s="72"/>
      <c r="REF125" s="72"/>
      <c r="REG125" s="72"/>
      <c r="REH125" s="72"/>
      <c r="REI125" s="72"/>
      <c r="REJ125" s="72"/>
      <c r="REK125" s="72"/>
      <c r="REL125" s="72"/>
      <c r="REM125" s="72"/>
      <c r="REN125" s="72"/>
      <c r="REO125" s="72"/>
      <c r="REP125" s="72"/>
      <c r="REQ125" s="72"/>
      <c r="RER125" s="72"/>
      <c r="RES125" s="72"/>
      <c r="RET125" s="72"/>
      <c r="REU125" s="72"/>
      <c r="REV125" s="72"/>
      <c r="REW125" s="72"/>
      <c r="REX125" s="72"/>
      <c r="REY125" s="72"/>
      <c r="REZ125" s="72"/>
      <c r="RFA125" s="72"/>
      <c r="RFB125" s="72"/>
      <c r="RFC125" s="72"/>
      <c r="RFD125" s="72"/>
      <c r="RFE125" s="72"/>
      <c r="RFF125" s="72"/>
      <c r="RFG125" s="72"/>
      <c r="RFH125" s="72"/>
      <c r="RFI125" s="72"/>
      <c r="RFJ125" s="72"/>
      <c r="RFK125" s="72"/>
      <c r="RFL125" s="72"/>
      <c r="RFM125" s="72"/>
      <c r="RFN125" s="72"/>
      <c r="RFO125" s="72"/>
      <c r="RFP125" s="72"/>
      <c r="RFQ125" s="72"/>
      <c r="RFR125" s="72"/>
      <c r="RFS125" s="72"/>
      <c r="RFT125" s="72"/>
      <c r="RFU125" s="72"/>
      <c r="RFV125" s="72"/>
      <c r="RFW125" s="72"/>
      <c r="RFX125" s="72"/>
      <c r="RFY125" s="72"/>
      <c r="RFZ125" s="72"/>
      <c r="RGA125" s="72"/>
      <c r="RGB125" s="72"/>
      <c r="RGC125" s="72"/>
      <c r="RGD125" s="72"/>
      <c r="RGE125" s="72"/>
      <c r="RGF125" s="72"/>
      <c r="RGG125" s="72"/>
      <c r="RGH125" s="72"/>
      <c r="RGI125" s="72"/>
      <c r="RGJ125" s="72"/>
      <c r="RGK125" s="72"/>
      <c r="RGL125" s="72"/>
      <c r="RGM125" s="72"/>
      <c r="RGN125" s="72"/>
      <c r="RGO125" s="72"/>
      <c r="RGP125" s="72"/>
      <c r="RGQ125" s="72"/>
      <c r="RGR125" s="72"/>
      <c r="RGS125" s="72"/>
      <c r="RGT125" s="72"/>
      <c r="RGU125" s="72"/>
      <c r="RGV125" s="72"/>
      <c r="RGW125" s="72"/>
      <c r="RGX125" s="72"/>
      <c r="RGY125" s="72"/>
      <c r="RGZ125" s="72"/>
      <c r="RHA125" s="72"/>
      <c r="RHB125" s="72"/>
      <c r="RHC125" s="72"/>
      <c r="RHD125" s="72"/>
      <c r="RHE125" s="72"/>
      <c r="RHF125" s="72"/>
      <c r="RHG125" s="72"/>
      <c r="RHH125" s="72"/>
      <c r="RHI125" s="72"/>
      <c r="RHJ125" s="72"/>
      <c r="RHK125" s="72"/>
      <c r="RHL125" s="72"/>
      <c r="RHM125" s="72"/>
      <c r="RHN125" s="72"/>
      <c r="RHO125" s="72"/>
      <c r="RHP125" s="72"/>
      <c r="RHQ125" s="72"/>
      <c r="RHR125" s="72"/>
      <c r="RHS125" s="72"/>
      <c r="RHT125" s="72"/>
      <c r="RHU125" s="72"/>
      <c r="RHV125" s="72"/>
      <c r="RHW125" s="72"/>
      <c r="RHX125" s="72"/>
      <c r="RHY125" s="72"/>
      <c r="RHZ125" s="72"/>
      <c r="RIA125" s="72"/>
      <c r="RIB125" s="72"/>
      <c r="RIC125" s="72"/>
      <c r="RID125" s="72"/>
      <c r="RIE125" s="72"/>
      <c r="RIF125" s="72"/>
      <c r="RIG125" s="72"/>
      <c r="RIH125" s="72"/>
      <c r="RII125" s="72"/>
      <c r="RIJ125" s="72"/>
      <c r="RIK125" s="72"/>
      <c r="RIL125" s="72"/>
      <c r="RIM125" s="72"/>
      <c r="RIN125" s="72"/>
      <c r="RIO125" s="72"/>
      <c r="RIP125" s="72"/>
      <c r="RIQ125" s="72"/>
      <c r="RIR125" s="72"/>
      <c r="RIS125" s="72"/>
      <c r="RIT125" s="72"/>
      <c r="RIU125" s="72"/>
      <c r="RIV125" s="72"/>
      <c r="RIW125" s="72"/>
      <c r="RIX125" s="72"/>
      <c r="RIY125" s="72"/>
      <c r="RIZ125" s="72"/>
      <c r="RJA125" s="72"/>
      <c r="RJB125" s="72"/>
      <c r="RJC125" s="72"/>
      <c r="RJD125" s="72"/>
      <c r="RJE125" s="72"/>
      <c r="RJF125" s="72"/>
      <c r="RJG125" s="72"/>
      <c r="RJH125" s="72"/>
      <c r="RJI125" s="72"/>
      <c r="RJJ125" s="72"/>
      <c r="RJK125" s="72"/>
      <c r="RJL125" s="72"/>
      <c r="RJM125" s="72"/>
      <c r="RJN125" s="72"/>
      <c r="RJO125" s="72"/>
      <c r="RJP125" s="72"/>
      <c r="RJQ125" s="72"/>
      <c r="RJR125" s="72"/>
      <c r="RJS125" s="72"/>
      <c r="RJT125" s="72"/>
      <c r="RJU125" s="72"/>
      <c r="RJV125" s="72"/>
      <c r="RJW125" s="72"/>
      <c r="RJX125" s="72"/>
      <c r="RJY125" s="72"/>
      <c r="RJZ125" s="72"/>
      <c r="RKA125" s="72"/>
      <c r="RKB125" s="72"/>
      <c r="RKC125" s="72"/>
      <c r="RKD125" s="72"/>
      <c r="RKE125" s="72"/>
      <c r="RKF125" s="72"/>
      <c r="RKG125" s="72"/>
      <c r="RKH125" s="72"/>
      <c r="RKI125" s="72"/>
      <c r="RKJ125" s="72"/>
      <c r="RKK125" s="72"/>
      <c r="RKL125" s="72"/>
      <c r="RKM125" s="72"/>
      <c r="RKN125" s="72"/>
      <c r="RKO125" s="72"/>
      <c r="RKP125" s="72"/>
      <c r="RKQ125" s="72"/>
      <c r="RKR125" s="72"/>
      <c r="RKS125" s="72"/>
      <c r="RKT125" s="72"/>
      <c r="RKU125" s="72"/>
      <c r="RKV125" s="72"/>
      <c r="RKW125" s="72"/>
      <c r="RKX125" s="72"/>
      <c r="RKY125" s="72"/>
      <c r="RKZ125" s="72"/>
      <c r="RLA125" s="72"/>
      <c r="RLB125" s="72"/>
      <c r="RLC125" s="72"/>
      <c r="RLD125" s="72"/>
      <c r="RLE125" s="72"/>
      <c r="RLF125" s="72"/>
      <c r="RLG125" s="72"/>
      <c r="RLH125" s="72"/>
      <c r="RLI125" s="72"/>
      <c r="RLJ125" s="72"/>
      <c r="RLK125" s="72"/>
      <c r="RLL125" s="72"/>
      <c r="RLM125" s="72"/>
      <c r="RLN125" s="72"/>
      <c r="RLO125" s="72"/>
      <c r="RLP125" s="72"/>
      <c r="RLQ125" s="72"/>
      <c r="RLR125" s="72"/>
      <c r="RLS125" s="72"/>
      <c r="RLT125" s="72"/>
      <c r="RLU125" s="72"/>
      <c r="RLV125" s="72"/>
      <c r="RLW125" s="72"/>
      <c r="RLX125" s="72"/>
      <c r="RLY125" s="72"/>
      <c r="RLZ125" s="72"/>
      <c r="RMA125" s="72"/>
      <c r="RMB125" s="72"/>
      <c r="RMC125" s="72"/>
      <c r="RMD125" s="72"/>
      <c r="RME125" s="72"/>
      <c r="RMF125" s="72"/>
      <c r="RMG125" s="72"/>
      <c r="RMH125" s="72"/>
      <c r="RMI125" s="72"/>
      <c r="RMJ125" s="72"/>
      <c r="RMK125" s="72"/>
      <c r="RML125" s="72"/>
      <c r="RMM125" s="72"/>
      <c r="RMN125" s="72"/>
      <c r="RMO125" s="72"/>
      <c r="RMP125" s="72"/>
      <c r="RMQ125" s="72"/>
      <c r="RMR125" s="72"/>
      <c r="RMS125" s="72"/>
      <c r="RMT125" s="72"/>
      <c r="RMU125" s="72"/>
      <c r="RMV125" s="72"/>
      <c r="RMW125" s="72"/>
      <c r="RMX125" s="72"/>
      <c r="RMY125" s="72"/>
      <c r="RMZ125" s="72"/>
      <c r="RNA125" s="72"/>
      <c r="RNB125" s="72"/>
      <c r="RNC125" s="72"/>
      <c r="RND125" s="72"/>
      <c r="RNE125" s="72"/>
      <c r="RNF125" s="72"/>
      <c r="RNG125" s="72"/>
      <c r="RNH125" s="72"/>
      <c r="RNI125" s="72"/>
      <c r="RNJ125" s="72"/>
      <c r="RNK125" s="72"/>
      <c r="RNL125" s="72"/>
      <c r="RNM125" s="72"/>
      <c r="RNN125" s="72"/>
      <c r="RNO125" s="72"/>
      <c r="RNP125" s="72"/>
      <c r="RNQ125" s="72"/>
      <c r="RNR125" s="72"/>
      <c r="RNS125" s="72"/>
      <c r="RNT125" s="72"/>
      <c r="RNU125" s="72"/>
      <c r="RNV125" s="72"/>
      <c r="RNW125" s="72"/>
      <c r="RNX125" s="72"/>
      <c r="RNY125" s="72"/>
      <c r="RNZ125" s="72"/>
      <c r="ROA125" s="72"/>
      <c r="ROB125" s="72"/>
      <c r="ROC125" s="72"/>
      <c r="ROD125" s="72"/>
      <c r="ROE125" s="72"/>
      <c r="ROF125" s="72"/>
      <c r="ROG125" s="72"/>
      <c r="ROH125" s="72"/>
      <c r="ROI125" s="72"/>
      <c r="ROJ125" s="72"/>
      <c r="ROK125" s="72"/>
      <c r="ROL125" s="72"/>
      <c r="ROM125" s="72"/>
      <c r="RON125" s="72"/>
      <c r="ROO125" s="72"/>
      <c r="ROP125" s="72"/>
      <c r="ROQ125" s="72"/>
      <c r="ROR125" s="72"/>
      <c r="ROS125" s="72"/>
      <c r="ROT125" s="72"/>
      <c r="ROU125" s="72"/>
      <c r="ROV125" s="72"/>
      <c r="ROW125" s="72"/>
      <c r="ROX125" s="72"/>
      <c r="ROY125" s="72"/>
      <c r="ROZ125" s="72"/>
      <c r="RPA125" s="72"/>
      <c r="RPB125" s="72"/>
      <c r="RPC125" s="72"/>
      <c r="RPD125" s="72"/>
      <c r="RPE125" s="72"/>
      <c r="RPF125" s="72"/>
      <c r="RPG125" s="72"/>
      <c r="RPH125" s="72"/>
      <c r="RPI125" s="72"/>
      <c r="RPJ125" s="72"/>
      <c r="RPK125" s="72"/>
      <c r="RPL125" s="72"/>
      <c r="RPM125" s="72"/>
      <c r="RPN125" s="72"/>
      <c r="RPO125" s="72"/>
      <c r="RPP125" s="72"/>
      <c r="RPQ125" s="72"/>
      <c r="RPR125" s="72"/>
      <c r="RPS125" s="72"/>
      <c r="RPT125" s="72"/>
      <c r="RPU125" s="72"/>
      <c r="RPV125" s="72"/>
      <c r="RPW125" s="72"/>
      <c r="RPX125" s="72"/>
      <c r="RPY125" s="72"/>
      <c r="RPZ125" s="72"/>
      <c r="RQA125" s="72"/>
      <c r="RQB125" s="72"/>
      <c r="RQC125" s="72"/>
      <c r="RQD125" s="72"/>
      <c r="RQE125" s="72"/>
      <c r="RQF125" s="72"/>
      <c r="RQG125" s="72"/>
      <c r="RQH125" s="72"/>
      <c r="RQI125" s="72"/>
      <c r="RQJ125" s="72"/>
      <c r="RQK125" s="72"/>
      <c r="RQL125" s="72"/>
      <c r="RQM125" s="72"/>
      <c r="RQN125" s="72"/>
      <c r="RQO125" s="72"/>
      <c r="RQP125" s="72"/>
      <c r="RQQ125" s="72"/>
      <c r="RQR125" s="72"/>
      <c r="RQS125" s="72"/>
      <c r="RQT125" s="72"/>
      <c r="RQU125" s="72"/>
      <c r="RQV125" s="72"/>
      <c r="RQW125" s="72"/>
      <c r="RQX125" s="72"/>
      <c r="RQY125" s="72"/>
      <c r="RQZ125" s="72"/>
      <c r="RRA125" s="72"/>
      <c r="RRB125" s="72"/>
      <c r="RRC125" s="72"/>
      <c r="RRD125" s="72"/>
      <c r="RRE125" s="72"/>
      <c r="RRF125" s="72"/>
      <c r="RRG125" s="72"/>
      <c r="RRH125" s="72"/>
      <c r="RRI125" s="72"/>
      <c r="RRJ125" s="72"/>
      <c r="RRK125" s="72"/>
      <c r="RRL125" s="72"/>
      <c r="RRM125" s="72"/>
      <c r="RRN125" s="72"/>
      <c r="RRO125" s="72"/>
      <c r="RRP125" s="72"/>
      <c r="RRQ125" s="72"/>
      <c r="RRR125" s="72"/>
      <c r="RRS125" s="72"/>
      <c r="RRT125" s="72"/>
      <c r="RRU125" s="72"/>
      <c r="RRV125" s="72"/>
      <c r="RRW125" s="72"/>
      <c r="RRX125" s="72"/>
      <c r="RRY125" s="72"/>
      <c r="RRZ125" s="72"/>
      <c r="RSA125" s="72"/>
      <c r="RSB125" s="72"/>
      <c r="RSC125" s="72"/>
      <c r="RSD125" s="72"/>
      <c r="RSE125" s="72"/>
      <c r="RSF125" s="72"/>
      <c r="RSG125" s="72"/>
      <c r="RSH125" s="72"/>
      <c r="RSI125" s="72"/>
      <c r="RSJ125" s="72"/>
      <c r="RSK125" s="72"/>
      <c r="RSL125" s="72"/>
      <c r="RSM125" s="72"/>
      <c r="RSN125" s="72"/>
      <c r="RSO125" s="72"/>
      <c r="RSP125" s="72"/>
      <c r="RSQ125" s="72"/>
      <c r="RSR125" s="72"/>
      <c r="RSS125" s="72"/>
      <c r="RST125" s="72"/>
      <c r="RSU125" s="72"/>
      <c r="RSV125" s="72"/>
      <c r="RSW125" s="72"/>
      <c r="RSX125" s="72"/>
      <c r="RSY125" s="72"/>
      <c r="RSZ125" s="72"/>
      <c r="RTA125" s="72"/>
      <c r="RTB125" s="72"/>
      <c r="RTC125" s="72"/>
      <c r="RTD125" s="72"/>
      <c r="RTE125" s="72"/>
      <c r="RTF125" s="72"/>
      <c r="RTG125" s="72"/>
      <c r="RTH125" s="72"/>
      <c r="RTI125" s="72"/>
      <c r="RTJ125" s="72"/>
      <c r="RTK125" s="72"/>
      <c r="RTL125" s="72"/>
      <c r="RTM125" s="72"/>
      <c r="RTN125" s="72"/>
      <c r="RTO125" s="72"/>
      <c r="RTP125" s="72"/>
      <c r="RTQ125" s="72"/>
      <c r="RTR125" s="72"/>
      <c r="RTS125" s="72"/>
      <c r="RTT125" s="72"/>
      <c r="RTU125" s="72"/>
      <c r="RTV125" s="72"/>
      <c r="RTW125" s="72"/>
      <c r="RTX125" s="72"/>
      <c r="RTY125" s="72"/>
      <c r="RTZ125" s="72"/>
      <c r="RUA125" s="72"/>
      <c r="RUB125" s="72"/>
      <c r="RUC125" s="72"/>
      <c r="RUD125" s="72"/>
      <c r="RUE125" s="72"/>
      <c r="RUF125" s="72"/>
      <c r="RUG125" s="72"/>
      <c r="RUH125" s="72"/>
      <c r="RUI125" s="72"/>
      <c r="RUJ125" s="72"/>
      <c r="RUK125" s="72"/>
      <c r="RUL125" s="72"/>
      <c r="RUM125" s="72"/>
      <c r="RUN125" s="72"/>
      <c r="RUO125" s="72"/>
      <c r="RUP125" s="72"/>
      <c r="RUQ125" s="72"/>
      <c r="RUR125" s="72"/>
      <c r="RUS125" s="72"/>
      <c r="RUT125" s="72"/>
      <c r="RUU125" s="72"/>
      <c r="RUV125" s="72"/>
      <c r="RUW125" s="72"/>
      <c r="RUX125" s="72"/>
      <c r="RUY125" s="72"/>
      <c r="RUZ125" s="72"/>
      <c r="RVA125" s="72"/>
      <c r="RVB125" s="72"/>
      <c r="RVC125" s="72"/>
      <c r="RVD125" s="72"/>
      <c r="RVE125" s="72"/>
      <c r="RVF125" s="72"/>
      <c r="RVG125" s="72"/>
      <c r="RVH125" s="72"/>
      <c r="RVI125" s="72"/>
      <c r="RVJ125" s="72"/>
      <c r="RVK125" s="72"/>
      <c r="RVL125" s="72"/>
      <c r="RVM125" s="72"/>
      <c r="RVN125" s="72"/>
      <c r="RVO125" s="72"/>
      <c r="RVP125" s="72"/>
      <c r="RVQ125" s="72"/>
      <c r="RVR125" s="72"/>
      <c r="RVS125" s="72"/>
      <c r="RVT125" s="72"/>
      <c r="RVU125" s="72"/>
      <c r="RVV125" s="72"/>
      <c r="RVW125" s="72"/>
      <c r="RVX125" s="72"/>
      <c r="RVY125" s="72"/>
      <c r="RVZ125" s="72"/>
      <c r="RWA125" s="72"/>
      <c r="RWB125" s="72"/>
      <c r="RWC125" s="72"/>
      <c r="RWD125" s="72"/>
      <c r="RWE125" s="72"/>
      <c r="RWF125" s="72"/>
      <c r="RWG125" s="72"/>
      <c r="RWH125" s="72"/>
      <c r="RWI125" s="72"/>
      <c r="RWJ125" s="72"/>
      <c r="RWK125" s="72"/>
      <c r="RWL125" s="72"/>
      <c r="RWM125" s="72"/>
      <c r="RWN125" s="72"/>
      <c r="RWO125" s="72"/>
      <c r="RWP125" s="72"/>
      <c r="RWQ125" s="72"/>
      <c r="RWR125" s="72"/>
      <c r="RWS125" s="72"/>
      <c r="RWT125" s="72"/>
      <c r="RWU125" s="72"/>
      <c r="RWV125" s="72"/>
      <c r="RWW125" s="72"/>
      <c r="RWX125" s="72"/>
      <c r="RWY125" s="72"/>
      <c r="RWZ125" s="72"/>
      <c r="RXA125" s="72"/>
      <c r="RXB125" s="72"/>
      <c r="RXC125" s="72"/>
      <c r="RXD125" s="72"/>
      <c r="RXE125" s="72"/>
      <c r="RXF125" s="72"/>
      <c r="RXG125" s="72"/>
      <c r="RXH125" s="72"/>
      <c r="RXI125" s="72"/>
      <c r="RXJ125" s="72"/>
      <c r="RXK125" s="72"/>
      <c r="RXL125" s="72"/>
      <c r="RXM125" s="72"/>
      <c r="RXN125" s="72"/>
      <c r="RXO125" s="72"/>
      <c r="RXP125" s="72"/>
      <c r="RXQ125" s="72"/>
      <c r="RXR125" s="72"/>
      <c r="RXS125" s="72"/>
      <c r="RXT125" s="72"/>
      <c r="RXU125" s="72"/>
      <c r="RXV125" s="72"/>
      <c r="RXW125" s="72"/>
      <c r="RXX125" s="72"/>
      <c r="RXY125" s="72"/>
      <c r="RXZ125" s="72"/>
      <c r="RYA125" s="72"/>
      <c r="RYB125" s="72"/>
      <c r="RYC125" s="72"/>
      <c r="RYD125" s="72"/>
      <c r="RYE125" s="72"/>
      <c r="RYF125" s="72"/>
      <c r="RYG125" s="72"/>
      <c r="RYH125" s="72"/>
      <c r="RYI125" s="72"/>
      <c r="RYJ125" s="72"/>
      <c r="RYK125" s="72"/>
      <c r="RYL125" s="72"/>
      <c r="RYM125" s="72"/>
      <c r="RYN125" s="72"/>
      <c r="RYO125" s="72"/>
      <c r="RYP125" s="72"/>
      <c r="RYQ125" s="72"/>
      <c r="RYR125" s="72"/>
      <c r="RYS125" s="72"/>
      <c r="RYT125" s="72"/>
      <c r="RYU125" s="72"/>
      <c r="RYV125" s="72"/>
      <c r="RYW125" s="72"/>
      <c r="RYX125" s="72"/>
      <c r="RYY125" s="72"/>
      <c r="RYZ125" s="72"/>
      <c r="RZA125" s="72"/>
      <c r="RZB125" s="72"/>
      <c r="RZC125" s="72"/>
      <c r="RZD125" s="72"/>
      <c r="RZE125" s="72"/>
      <c r="RZF125" s="72"/>
      <c r="RZG125" s="72"/>
      <c r="RZH125" s="72"/>
      <c r="RZI125" s="72"/>
      <c r="RZJ125" s="72"/>
      <c r="RZK125" s="72"/>
      <c r="RZL125" s="72"/>
      <c r="RZM125" s="72"/>
      <c r="RZN125" s="72"/>
      <c r="RZO125" s="72"/>
      <c r="RZP125" s="72"/>
      <c r="RZQ125" s="72"/>
      <c r="RZR125" s="72"/>
      <c r="RZS125" s="72"/>
      <c r="RZT125" s="72"/>
      <c r="RZU125" s="72"/>
      <c r="RZV125" s="72"/>
      <c r="RZW125" s="72"/>
      <c r="RZX125" s="72"/>
      <c r="RZY125" s="72"/>
      <c r="RZZ125" s="72"/>
      <c r="SAA125" s="72"/>
      <c r="SAB125" s="72"/>
      <c r="SAC125" s="72"/>
      <c r="SAD125" s="72"/>
      <c r="SAE125" s="72"/>
      <c r="SAF125" s="72"/>
      <c r="SAG125" s="72"/>
      <c r="SAH125" s="72"/>
      <c r="SAI125" s="72"/>
      <c r="SAJ125" s="72"/>
      <c r="SAK125" s="72"/>
      <c r="SAL125" s="72"/>
      <c r="SAM125" s="72"/>
      <c r="SAN125" s="72"/>
      <c r="SAO125" s="72"/>
      <c r="SAP125" s="72"/>
      <c r="SAQ125" s="72"/>
      <c r="SAR125" s="72"/>
      <c r="SAS125" s="72"/>
      <c r="SAT125" s="72"/>
      <c r="SAU125" s="72"/>
      <c r="SAV125" s="72"/>
      <c r="SAW125" s="72"/>
      <c r="SAX125" s="72"/>
      <c r="SAY125" s="72"/>
      <c r="SAZ125" s="72"/>
      <c r="SBA125" s="72"/>
      <c r="SBB125" s="72"/>
      <c r="SBC125" s="72"/>
      <c r="SBD125" s="72"/>
      <c r="SBE125" s="72"/>
      <c r="SBF125" s="72"/>
      <c r="SBG125" s="72"/>
      <c r="SBH125" s="72"/>
      <c r="SBI125" s="72"/>
      <c r="SBJ125" s="72"/>
      <c r="SBK125" s="72"/>
      <c r="SBL125" s="72"/>
      <c r="SBM125" s="72"/>
      <c r="SBN125" s="72"/>
      <c r="SBO125" s="72"/>
      <c r="SBP125" s="72"/>
      <c r="SBQ125" s="72"/>
      <c r="SBR125" s="72"/>
      <c r="SBS125" s="72"/>
      <c r="SBT125" s="72"/>
      <c r="SBU125" s="72"/>
      <c r="SBV125" s="72"/>
      <c r="SBW125" s="72"/>
      <c r="SBX125" s="72"/>
      <c r="SBY125" s="72"/>
      <c r="SBZ125" s="72"/>
      <c r="SCA125" s="72"/>
      <c r="SCB125" s="72"/>
      <c r="SCC125" s="72"/>
      <c r="SCD125" s="72"/>
      <c r="SCE125" s="72"/>
      <c r="SCF125" s="72"/>
      <c r="SCG125" s="72"/>
      <c r="SCH125" s="72"/>
      <c r="SCI125" s="72"/>
      <c r="SCJ125" s="72"/>
      <c r="SCK125" s="72"/>
      <c r="SCL125" s="72"/>
      <c r="SCM125" s="72"/>
      <c r="SCN125" s="72"/>
      <c r="SCO125" s="72"/>
      <c r="SCP125" s="72"/>
      <c r="SCQ125" s="72"/>
      <c r="SCR125" s="72"/>
      <c r="SCS125" s="72"/>
      <c r="SCT125" s="72"/>
      <c r="SCU125" s="72"/>
      <c r="SCV125" s="72"/>
      <c r="SCW125" s="72"/>
      <c r="SCX125" s="72"/>
      <c r="SCY125" s="72"/>
      <c r="SCZ125" s="72"/>
      <c r="SDA125" s="72"/>
      <c r="SDB125" s="72"/>
      <c r="SDC125" s="72"/>
      <c r="SDD125" s="72"/>
      <c r="SDE125" s="72"/>
      <c r="SDF125" s="72"/>
      <c r="SDG125" s="72"/>
      <c r="SDH125" s="72"/>
      <c r="SDI125" s="72"/>
      <c r="SDJ125" s="72"/>
      <c r="SDK125" s="72"/>
      <c r="SDL125" s="72"/>
      <c r="SDM125" s="72"/>
      <c r="SDN125" s="72"/>
      <c r="SDO125" s="72"/>
      <c r="SDP125" s="72"/>
      <c r="SDQ125" s="72"/>
      <c r="SDR125" s="72"/>
      <c r="SDS125" s="72"/>
      <c r="SDT125" s="72"/>
      <c r="SDU125" s="72"/>
      <c r="SDV125" s="72"/>
      <c r="SDW125" s="72"/>
      <c r="SDX125" s="72"/>
      <c r="SDY125" s="72"/>
      <c r="SDZ125" s="72"/>
      <c r="SEA125" s="72"/>
      <c r="SEB125" s="72"/>
      <c r="SEC125" s="72"/>
      <c r="SED125" s="72"/>
      <c r="SEE125" s="72"/>
      <c r="SEF125" s="72"/>
      <c r="SEG125" s="72"/>
      <c r="SEH125" s="72"/>
      <c r="SEI125" s="72"/>
      <c r="SEJ125" s="72"/>
      <c r="SEK125" s="72"/>
      <c r="SEL125" s="72"/>
      <c r="SEM125" s="72"/>
      <c r="SEN125" s="72"/>
      <c r="SEO125" s="72"/>
      <c r="SEP125" s="72"/>
      <c r="SEQ125" s="72"/>
      <c r="SER125" s="72"/>
      <c r="SES125" s="72"/>
      <c r="SET125" s="72"/>
      <c r="SEU125" s="72"/>
      <c r="SEV125" s="72"/>
      <c r="SEW125" s="72"/>
      <c r="SEX125" s="72"/>
      <c r="SEY125" s="72"/>
      <c r="SEZ125" s="72"/>
      <c r="SFA125" s="72"/>
      <c r="SFB125" s="72"/>
      <c r="SFC125" s="72"/>
      <c r="SFD125" s="72"/>
      <c r="SFE125" s="72"/>
      <c r="SFF125" s="72"/>
      <c r="SFG125" s="72"/>
      <c r="SFH125" s="72"/>
      <c r="SFI125" s="72"/>
      <c r="SFJ125" s="72"/>
      <c r="SFK125" s="72"/>
      <c r="SFL125" s="72"/>
      <c r="SFM125" s="72"/>
      <c r="SFN125" s="72"/>
      <c r="SFO125" s="72"/>
      <c r="SFP125" s="72"/>
      <c r="SFQ125" s="72"/>
      <c r="SFR125" s="72"/>
      <c r="SFS125" s="72"/>
      <c r="SFT125" s="72"/>
      <c r="SFU125" s="72"/>
      <c r="SFV125" s="72"/>
      <c r="SFW125" s="72"/>
      <c r="SFX125" s="72"/>
      <c r="SFY125" s="72"/>
      <c r="SFZ125" s="72"/>
      <c r="SGA125" s="72"/>
      <c r="SGB125" s="72"/>
      <c r="SGC125" s="72"/>
      <c r="SGD125" s="72"/>
      <c r="SGE125" s="72"/>
      <c r="SGF125" s="72"/>
      <c r="SGG125" s="72"/>
      <c r="SGH125" s="72"/>
      <c r="SGI125" s="72"/>
      <c r="SGJ125" s="72"/>
      <c r="SGK125" s="72"/>
      <c r="SGL125" s="72"/>
      <c r="SGM125" s="72"/>
      <c r="SGN125" s="72"/>
      <c r="SGO125" s="72"/>
      <c r="SGP125" s="72"/>
      <c r="SGQ125" s="72"/>
      <c r="SGR125" s="72"/>
      <c r="SGS125" s="72"/>
      <c r="SGT125" s="72"/>
      <c r="SGU125" s="72"/>
      <c r="SGV125" s="72"/>
      <c r="SGW125" s="72"/>
      <c r="SGX125" s="72"/>
      <c r="SGY125" s="72"/>
      <c r="SGZ125" s="72"/>
      <c r="SHA125" s="72"/>
      <c r="SHB125" s="72"/>
      <c r="SHC125" s="72"/>
      <c r="SHD125" s="72"/>
      <c r="SHE125" s="72"/>
      <c r="SHF125" s="72"/>
      <c r="SHG125" s="72"/>
      <c r="SHH125" s="72"/>
      <c r="SHI125" s="72"/>
      <c r="SHJ125" s="72"/>
      <c r="SHK125" s="72"/>
      <c r="SHL125" s="72"/>
      <c r="SHM125" s="72"/>
      <c r="SHN125" s="72"/>
      <c r="SHO125" s="72"/>
      <c r="SHP125" s="72"/>
      <c r="SHQ125" s="72"/>
      <c r="SHR125" s="72"/>
      <c r="SHS125" s="72"/>
      <c r="SHT125" s="72"/>
      <c r="SHU125" s="72"/>
      <c r="SHV125" s="72"/>
      <c r="SHW125" s="72"/>
      <c r="SHX125" s="72"/>
      <c r="SHY125" s="72"/>
      <c r="SHZ125" s="72"/>
      <c r="SIA125" s="72"/>
      <c r="SIB125" s="72"/>
      <c r="SIC125" s="72"/>
      <c r="SID125" s="72"/>
      <c r="SIE125" s="72"/>
      <c r="SIF125" s="72"/>
      <c r="SIG125" s="72"/>
      <c r="SIH125" s="72"/>
      <c r="SII125" s="72"/>
      <c r="SIJ125" s="72"/>
      <c r="SIK125" s="72"/>
      <c r="SIL125" s="72"/>
      <c r="SIM125" s="72"/>
      <c r="SIN125" s="72"/>
      <c r="SIO125" s="72"/>
      <c r="SIP125" s="72"/>
      <c r="SIQ125" s="72"/>
      <c r="SIR125" s="72"/>
      <c r="SIS125" s="72"/>
      <c r="SIT125" s="72"/>
      <c r="SIU125" s="72"/>
      <c r="SIV125" s="72"/>
      <c r="SIW125" s="72"/>
      <c r="SIX125" s="72"/>
      <c r="SIY125" s="72"/>
      <c r="SIZ125" s="72"/>
      <c r="SJA125" s="72"/>
      <c r="SJB125" s="72"/>
      <c r="SJC125" s="72"/>
      <c r="SJD125" s="72"/>
      <c r="SJE125" s="72"/>
      <c r="SJF125" s="72"/>
      <c r="SJG125" s="72"/>
      <c r="SJH125" s="72"/>
      <c r="SJI125" s="72"/>
      <c r="SJJ125" s="72"/>
      <c r="SJK125" s="72"/>
      <c r="SJL125" s="72"/>
      <c r="SJM125" s="72"/>
      <c r="SJN125" s="72"/>
      <c r="SJO125" s="72"/>
      <c r="SJP125" s="72"/>
      <c r="SJQ125" s="72"/>
      <c r="SJR125" s="72"/>
      <c r="SJS125" s="72"/>
      <c r="SJT125" s="72"/>
      <c r="SJU125" s="72"/>
      <c r="SJV125" s="72"/>
      <c r="SJW125" s="72"/>
      <c r="SJX125" s="72"/>
      <c r="SJY125" s="72"/>
      <c r="SJZ125" s="72"/>
      <c r="SKA125" s="72"/>
      <c r="SKB125" s="72"/>
      <c r="SKC125" s="72"/>
      <c r="SKD125" s="72"/>
      <c r="SKE125" s="72"/>
      <c r="SKF125" s="72"/>
      <c r="SKG125" s="72"/>
      <c r="SKH125" s="72"/>
      <c r="SKI125" s="72"/>
      <c r="SKJ125" s="72"/>
      <c r="SKK125" s="72"/>
      <c r="SKL125" s="72"/>
      <c r="SKM125" s="72"/>
      <c r="SKN125" s="72"/>
      <c r="SKO125" s="72"/>
      <c r="SKP125" s="72"/>
      <c r="SKQ125" s="72"/>
      <c r="SKR125" s="72"/>
      <c r="SKS125" s="72"/>
      <c r="SKT125" s="72"/>
      <c r="SKU125" s="72"/>
      <c r="SKV125" s="72"/>
      <c r="SKW125" s="72"/>
      <c r="SKX125" s="72"/>
      <c r="SKY125" s="72"/>
      <c r="SKZ125" s="72"/>
      <c r="SLA125" s="72"/>
      <c r="SLB125" s="72"/>
      <c r="SLC125" s="72"/>
      <c r="SLD125" s="72"/>
      <c r="SLE125" s="72"/>
      <c r="SLF125" s="72"/>
      <c r="SLG125" s="72"/>
      <c r="SLH125" s="72"/>
      <c r="SLI125" s="72"/>
      <c r="SLJ125" s="72"/>
      <c r="SLK125" s="72"/>
      <c r="SLL125" s="72"/>
      <c r="SLM125" s="72"/>
      <c r="SLN125" s="72"/>
      <c r="SLO125" s="72"/>
      <c r="SLP125" s="72"/>
      <c r="SLQ125" s="72"/>
      <c r="SLR125" s="72"/>
      <c r="SLS125" s="72"/>
      <c r="SLT125" s="72"/>
      <c r="SLU125" s="72"/>
      <c r="SLV125" s="72"/>
      <c r="SLW125" s="72"/>
      <c r="SLX125" s="72"/>
      <c r="SLY125" s="72"/>
      <c r="SLZ125" s="72"/>
      <c r="SMA125" s="72"/>
      <c r="SMB125" s="72"/>
      <c r="SMC125" s="72"/>
      <c r="SMD125" s="72"/>
      <c r="SME125" s="72"/>
      <c r="SMF125" s="72"/>
      <c r="SMG125" s="72"/>
      <c r="SMH125" s="72"/>
      <c r="SMI125" s="72"/>
      <c r="SMJ125" s="72"/>
      <c r="SMK125" s="72"/>
      <c r="SML125" s="72"/>
      <c r="SMM125" s="72"/>
      <c r="SMN125" s="72"/>
      <c r="SMO125" s="72"/>
      <c r="SMP125" s="72"/>
      <c r="SMQ125" s="72"/>
      <c r="SMR125" s="72"/>
      <c r="SMS125" s="72"/>
      <c r="SMT125" s="72"/>
      <c r="SMU125" s="72"/>
      <c r="SMV125" s="72"/>
      <c r="SMW125" s="72"/>
      <c r="SMX125" s="72"/>
      <c r="SMY125" s="72"/>
      <c r="SMZ125" s="72"/>
      <c r="SNA125" s="72"/>
      <c r="SNB125" s="72"/>
      <c r="SNC125" s="72"/>
      <c r="SND125" s="72"/>
      <c r="SNE125" s="72"/>
      <c r="SNF125" s="72"/>
      <c r="SNG125" s="72"/>
      <c r="SNH125" s="72"/>
      <c r="SNI125" s="72"/>
      <c r="SNJ125" s="72"/>
      <c r="SNK125" s="72"/>
      <c r="SNL125" s="72"/>
      <c r="SNM125" s="72"/>
      <c r="SNN125" s="72"/>
      <c r="SNO125" s="72"/>
      <c r="SNP125" s="72"/>
      <c r="SNQ125" s="72"/>
      <c r="SNR125" s="72"/>
      <c r="SNS125" s="72"/>
      <c r="SNT125" s="72"/>
      <c r="SNU125" s="72"/>
      <c r="SNV125" s="72"/>
      <c r="SNW125" s="72"/>
      <c r="SNX125" s="72"/>
      <c r="SNY125" s="72"/>
      <c r="SNZ125" s="72"/>
      <c r="SOA125" s="72"/>
      <c r="SOB125" s="72"/>
      <c r="SOC125" s="72"/>
      <c r="SOD125" s="72"/>
      <c r="SOE125" s="72"/>
      <c r="SOF125" s="72"/>
      <c r="SOG125" s="72"/>
      <c r="SOH125" s="72"/>
      <c r="SOI125" s="72"/>
      <c r="SOJ125" s="72"/>
      <c r="SOK125" s="72"/>
      <c r="SOL125" s="72"/>
      <c r="SOM125" s="72"/>
      <c r="SON125" s="72"/>
      <c r="SOO125" s="72"/>
      <c r="SOP125" s="72"/>
      <c r="SOQ125" s="72"/>
      <c r="SOR125" s="72"/>
      <c r="SOS125" s="72"/>
      <c r="SOT125" s="72"/>
      <c r="SOU125" s="72"/>
      <c r="SOV125" s="72"/>
      <c r="SOW125" s="72"/>
      <c r="SOX125" s="72"/>
      <c r="SOY125" s="72"/>
      <c r="SOZ125" s="72"/>
      <c r="SPA125" s="72"/>
      <c r="SPB125" s="72"/>
      <c r="SPC125" s="72"/>
      <c r="SPD125" s="72"/>
      <c r="SPE125" s="72"/>
      <c r="SPF125" s="72"/>
      <c r="SPG125" s="72"/>
      <c r="SPH125" s="72"/>
      <c r="SPI125" s="72"/>
      <c r="SPJ125" s="72"/>
      <c r="SPK125" s="72"/>
      <c r="SPL125" s="72"/>
      <c r="SPM125" s="72"/>
      <c r="SPN125" s="72"/>
      <c r="SPO125" s="72"/>
      <c r="SPP125" s="72"/>
      <c r="SPQ125" s="72"/>
      <c r="SPR125" s="72"/>
      <c r="SPS125" s="72"/>
      <c r="SPT125" s="72"/>
      <c r="SPU125" s="72"/>
      <c r="SPV125" s="72"/>
      <c r="SPW125" s="72"/>
      <c r="SPX125" s="72"/>
      <c r="SPY125" s="72"/>
      <c r="SPZ125" s="72"/>
      <c r="SQA125" s="72"/>
      <c r="SQB125" s="72"/>
      <c r="SQC125" s="72"/>
      <c r="SQD125" s="72"/>
      <c r="SQE125" s="72"/>
      <c r="SQF125" s="72"/>
      <c r="SQG125" s="72"/>
      <c r="SQH125" s="72"/>
      <c r="SQI125" s="72"/>
      <c r="SQJ125" s="72"/>
      <c r="SQK125" s="72"/>
      <c r="SQL125" s="72"/>
      <c r="SQM125" s="72"/>
      <c r="SQN125" s="72"/>
      <c r="SQO125" s="72"/>
      <c r="SQP125" s="72"/>
      <c r="SQQ125" s="72"/>
      <c r="SQR125" s="72"/>
      <c r="SQS125" s="72"/>
      <c r="SQT125" s="72"/>
      <c r="SQU125" s="72"/>
      <c r="SQV125" s="72"/>
      <c r="SQW125" s="72"/>
      <c r="SQX125" s="72"/>
      <c r="SQY125" s="72"/>
      <c r="SQZ125" s="72"/>
      <c r="SRA125" s="72"/>
      <c r="SRB125" s="72"/>
      <c r="SRC125" s="72"/>
      <c r="SRD125" s="72"/>
      <c r="SRE125" s="72"/>
      <c r="SRF125" s="72"/>
      <c r="SRG125" s="72"/>
      <c r="SRH125" s="72"/>
      <c r="SRI125" s="72"/>
      <c r="SRJ125" s="72"/>
      <c r="SRK125" s="72"/>
      <c r="SRL125" s="72"/>
      <c r="SRM125" s="72"/>
      <c r="SRN125" s="72"/>
      <c r="SRO125" s="72"/>
      <c r="SRP125" s="72"/>
      <c r="SRQ125" s="72"/>
      <c r="SRR125" s="72"/>
      <c r="SRS125" s="72"/>
      <c r="SRT125" s="72"/>
      <c r="SRU125" s="72"/>
      <c r="SRV125" s="72"/>
      <c r="SRW125" s="72"/>
      <c r="SRX125" s="72"/>
      <c r="SRY125" s="72"/>
      <c r="SRZ125" s="72"/>
      <c r="SSA125" s="72"/>
      <c r="SSB125" s="72"/>
      <c r="SSC125" s="72"/>
      <c r="SSD125" s="72"/>
      <c r="SSE125" s="72"/>
      <c r="SSF125" s="72"/>
      <c r="SSG125" s="72"/>
      <c r="SSH125" s="72"/>
      <c r="SSI125" s="72"/>
      <c r="SSJ125" s="72"/>
      <c r="SSK125" s="72"/>
      <c r="SSL125" s="72"/>
      <c r="SSM125" s="72"/>
      <c r="SSN125" s="72"/>
      <c r="SSO125" s="72"/>
      <c r="SSP125" s="72"/>
      <c r="SSQ125" s="72"/>
      <c r="SSR125" s="72"/>
      <c r="SSS125" s="72"/>
      <c r="SST125" s="72"/>
      <c r="SSU125" s="72"/>
      <c r="SSV125" s="72"/>
      <c r="SSW125" s="72"/>
      <c r="SSX125" s="72"/>
      <c r="SSY125" s="72"/>
      <c r="SSZ125" s="72"/>
      <c r="STA125" s="72"/>
      <c r="STB125" s="72"/>
      <c r="STC125" s="72"/>
      <c r="STD125" s="72"/>
      <c r="STE125" s="72"/>
      <c r="STF125" s="72"/>
      <c r="STG125" s="72"/>
      <c r="STH125" s="72"/>
      <c r="STI125" s="72"/>
      <c r="STJ125" s="72"/>
      <c r="STK125" s="72"/>
      <c r="STL125" s="72"/>
      <c r="STM125" s="72"/>
      <c r="STN125" s="72"/>
      <c r="STO125" s="72"/>
      <c r="STP125" s="72"/>
      <c r="STQ125" s="72"/>
      <c r="STR125" s="72"/>
      <c r="STS125" s="72"/>
      <c r="STT125" s="72"/>
      <c r="STU125" s="72"/>
      <c r="STV125" s="72"/>
      <c r="STW125" s="72"/>
      <c r="STX125" s="72"/>
      <c r="STY125" s="72"/>
      <c r="STZ125" s="72"/>
      <c r="SUA125" s="72"/>
      <c r="SUB125" s="72"/>
      <c r="SUC125" s="72"/>
      <c r="SUD125" s="72"/>
      <c r="SUE125" s="72"/>
      <c r="SUF125" s="72"/>
      <c r="SUG125" s="72"/>
      <c r="SUH125" s="72"/>
      <c r="SUI125" s="72"/>
      <c r="SUJ125" s="72"/>
      <c r="SUK125" s="72"/>
      <c r="SUL125" s="72"/>
      <c r="SUM125" s="72"/>
      <c r="SUN125" s="72"/>
      <c r="SUO125" s="72"/>
      <c r="SUP125" s="72"/>
      <c r="SUQ125" s="72"/>
      <c r="SUR125" s="72"/>
      <c r="SUS125" s="72"/>
      <c r="SUT125" s="72"/>
      <c r="SUU125" s="72"/>
      <c r="SUV125" s="72"/>
      <c r="SUW125" s="72"/>
      <c r="SUX125" s="72"/>
      <c r="SUY125" s="72"/>
      <c r="SUZ125" s="72"/>
      <c r="SVA125" s="72"/>
      <c r="SVB125" s="72"/>
      <c r="SVC125" s="72"/>
      <c r="SVD125" s="72"/>
      <c r="SVE125" s="72"/>
      <c r="SVF125" s="72"/>
      <c r="SVG125" s="72"/>
      <c r="SVH125" s="72"/>
      <c r="SVI125" s="72"/>
      <c r="SVJ125" s="72"/>
      <c r="SVK125" s="72"/>
      <c r="SVL125" s="72"/>
      <c r="SVM125" s="72"/>
      <c r="SVN125" s="72"/>
      <c r="SVO125" s="72"/>
      <c r="SVP125" s="72"/>
      <c r="SVQ125" s="72"/>
      <c r="SVR125" s="72"/>
      <c r="SVS125" s="72"/>
      <c r="SVT125" s="72"/>
      <c r="SVU125" s="72"/>
      <c r="SVV125" s="72"/>
      <c r="SVW125" s="72"/>
      <c r="SVX125" s="72"/>
      <c r="SVY125" s="72"/>
      <c r="SVZ125" s="72"/>
      <c r="SWA125" s="72"/>
      <c r="SWB125" s="72"/>
      <c r="SWC125" s="72"/>
      <c r="SWD125" s="72"/>
      <c r="SWE125" s="72"/>
      <c r="SWF125" s="72"/>
      <c r="SWG125" s="72"/>
      <c r="SWH125" s="72"/>
      <c r="SWI125" s="72"/>
      <c r="SWJ125" s="72"/>
      <c r="SWK125" s="72"/>
      <c r="SWL125" s="72"/>
      <c r="SWM125" s="72"/>
      <c r="SWN125" s="72"/>
      <c r="SWO125" s="72"/>
      <c r="SWP125" s="72"/>
      <c r="SWQ125" s="72"/>
      <c r="SWR125" s="72"/>
      <c r="SWS125" s="72"/>
      <c r="SWT125" s="72"/>
      <c r="SWU125" s="72"/>
      <c r="SWV125" s="72"/>
      <c r="SWW125" s="72"/>
      <c r="SWX125" s="72"/>
      <c r="SWY125" s="72"/>
      <c r="SWZ125" s="72"/>
      <c r="SXA125" s="72"/>
      <c r="SXB125" s="72"/>
      <c r="SXC125" s="72"/>
      <c r="SXD125" s="72"/>
      <c r="SXE125" s="72"/>
      <c r="SXF125" s="72"/>
      <c r="SXG125" s="72"/>
      <c r="SXH125" s="72"/>
      <c r="SXI125" s="72"/>
      <c r="SXJ125" s="72"/>
      <c r="SXK125" s="72"/>
      <c r="SXL125" s="72"/>
      <c r="SXM125" s="72"/>
      <c r="SXN125" s="72"/>
      <c r="SXO125" s="72"/>
      <c r="SXP125" s="72"/>
      <c r="SXQ125" s="72"/>
      <c r="SXR125" s="72"/>
      <c r="SXS125" s="72"/>
      <c r="SXT125" s="72"/>
      <c r="SXU125" s="72"/>
      <c r="SXV125" s="72"/>
      <c r="SXW125" s="72"/>
      <c r="SXX125" s="72"/>
      <c r="SXY125" s="72"/>
      <c r="SXZ125" s="72"/>
      <c r="SYA125" s="72"/>
      <c r="SYB125" s="72"/>
      <c r="SYC125" s="72"/>
      <c r="SYD125" s="72"/>
      <c r="SYE125" s="72"/>
      <c r="SYF125" s="72"/>
      <c r="SYG125" s="72"/>
      <c r="SYH125" s="72"/>
      <c r="SYI125" s="72"/>
      <c r="SYJ125" s="72"/>
      <c r="SYK125" s="72"/>
      <c r="SYL125" s="72"/>
      <c r="SYM125" s="72"/>
      <c r="SYN125" s="72"/>
      <c r="SYO125" s="72"/>
      <c r="SYP125" s="72"/>
      <c r="SYQ125" s="72"/>
      <c r="SYR125" s="72"/>
      <c r="SYS125" s="72"/>
      <c r="SYT125" s="72"/>
      <c r="SYU125" s="72"/>
      <c r="SYV125" s="72"/>
      <c r="SYW125" s="72"/>
      <c r="SYX125" s="72"/>
      <c r="SYY125" s="72"/>
      <c r="SYZ125" s="72"/>
      <c r="SZA125" s="72"/>
      <c r="SZB125" s="72"/>
      <c r="SZC125" s="72"/>
      <c r="SZD125" s="72"/>
      <c r="SZE125" s="72"/>
      <c r="SZF125" s="72"/>
      <c r="SZG125" s="72"/>
      <c r="SZH125" s="72"/>
      <c r="SZI125" s="72"/>
      <c r="SZJ125" s="72"/>
      <c r="SZK125" s="72"/>
      <c r="SZL125" s="72"/>
      <c r="SZM125" s="72"/>
      <c r="SZN125" s="72"/>
      <c r="SZO125" s="72"/>
      <c r="SZP125" s="72"/>
      <c r="SZQ125" s="72"/>
      <c r="SZR125" s="72"/>
      <c r="SZS125" s="72"/>
      <c r="SZT125" s="72"/>
      <c r="SZU125" s="72"/>
      <c r="SZV125" s="72"/>
      <c r="SZW125" s="72"/>
      <c r="SZX125" s="72"/>
      <c r="SZY125" s="72"/>
      <c r="SZZ125" s="72"/>
      <c r="TAA125" s="72"/>
      <c r="TAB125" s="72"/>
      <c r="TAC125" s="72"/>
      <c r="TAD125" s="72"/>
      <c r="TAE125" s="72"/>
      <c r="TAF125" s="72"/>
      <c r="TAG125" s="72"/>
      <c r="TAH125" s="72"/>
      <c r="TAI125" s="72"/>
      <c r="TAJ125" s="72"/>
      <c r="TAK125" s="72"/>
      <c r="TAL125" s="72"/>
      <c r="TAM125" s="72"/>
      <c r="TAN125" s="72"/>
      <c r="TAO125" s="72"/>
      <c r="TAP125" s="72"/>
      <c r="TAQ125" s="72"/>
      <c r="TAR125" s="72"/>
      <c r="TAS125" s="72"/>
      <c r="TAT125" s="72"/>
      <c r="TAU125" s="72"/>
      <c r="TAV125" s="72"/>
      <c r="TAW125" s="72"/>
      <c r="TAX125" s="72"/>
      <c r="TAY125" s="72"/>
      <c r="TAZ125" s="72"/>
      <c r="TBA125" s="72"/>
      <c r="TBB125" s="72"/>
      <c r="TBC125" s="72"/>
      <c r="TBD125" s="72"/>
      <c r="TBE125" s="72"/>
      <c r="TBF125" s="72"/>
      <c r="TBG125" s="72"/>
      <c r="TBH125" s="72"/>
      <c r="TBI125" s="72"/>
      <c r="TBJ125" s="72"/>
      <c r="TBK125" s="72"/>
      <c r="TBL125" s="72"/>
      <c r="TBM125" s="72"/>
      <c r="TBN125" s="72"/>
      <c r="TBO125" s="72"/>
      <c r="TBP125" s="72"/>
      <c r="TBQ125" s="72"/>
      <c r="TBR125" s="72"/>
      <c r="TBS125" s="72"/>
      <c r="TBT125" s="72"/>
      <c r="TBU125" s="72"/>
      <c r="TBV125" s="72"/>
      <c r="TBW125" s="72"/>
      <c r="TBX125" s="72"/>
      <c r="TBY125" s="72"/>
      <c r="TBZ125" s="72"/>
      <c r="TCA125" s="72"/>
      <c r="TCB125" s="72"/>
      <c r="TCC125" s="72"/>
      <c r="TCD125" s="72"/>
      <c r="TCE125" s="72"/>
      <c r="TCF125" s="72"/>
      <c r="TCG125" s="72"/>
      <c r="TCH125" s="72"/>
      <c r="TCI125" s="72"/>
      <c r="TCJ125" s="72"/>
      <c r="TCK125" s="72"/>
      <c r="TCL125" s="72"/>
      <c r="TCM125" s="72"/>
      <c r="TCN125" s="72"/>
      <c r="TCO125" s="72"/>
      <c r="TCP125" s="72"/>
      <c r="TCQ125" s="72"/>
      <c r="TCR125" s="72"/>
      <c r="TCS125" s="72"/>
      <c r="TCT125" s="72"/>
      <c r="TCU125" s="72"/>
      <c r="TCV125" s="72"/>
      <c r="TCW125" s="72"/>
      <c r="TCX125" s="72"/>
      <c r="TCY125" s="72"/>
      <c r="TCZ125" s="72"/>
      <c r="TDA125" s="72"/>
      <c r="TDB125" s="72"/>
      <c r="TDC125" s="72"/>
      <c r="TDD125" s="72"/>
      <c r="TDE125" s="72"/>
      <c r="TDF125" s="72"/>
      <c r="TDG125" s="72"/>
      <c r="TDH125" s="72"/>
      <c r="TDI125" s="72"/>
      <c r="TDJ125" s="72"/>
      <c r="TDK125" s="72"/>
      <c r="TDL125" s="72"/>
      <c r="TDM125" s="72"/>
      <c r="TDN125" s="72"/>
      <c r="TDO125" s="72"/>
      <c r="TDP125" s="72"/>
      <c r="TDQ125" s="72"/>
      <c r="TDR125" s="72"/>
      <c r="TDS125" s="72"/>
      <c r="TDT125" s="72"/>
      <c r="TDU125" s="72"/>
      <c r="TDV125" s="72"/>
      <c r="TDW125" s="72"/>
      <c r="TDX125" s="72"/>
      <c r="TDY125" s="72"/>
      <c r="TDZ125" s="72"/>
      <c r="TEA125" s="72"/>
      <c r="TEB125" s="72"/>
      <c r="TEC125" s="72"/>
      <c r="TED125" s="72"/>
      <c r="TEE125" s="72"/>
      <c r="TEF125" s="72"/>
      <c r="TEG125" s="72"/>
      <c r="TEH125" s="72"/>
      <c r="TEI125" s="72"/>
      <c r="TEJ125" s="72"/>
      <c r="TEK125" s="72"/>
      <c r="TEL125" s="72"/>
      <c r="TEM125" s="72"/>
      <c r="TEN125" s="72"/>
      <c r="TEO125" s="72"/>
      <c r="TEP125" s="72"/>
      <c r="TEQ125" s="72"/>
      <c r="TER125" s="72"/>
      <c r="TES125" s="72"/>
      <c r="TET125" s="72"/>
      <c r="TEU125" s="72"/>
      <c r="TEV125" s="72"/>
      <c r="TEW125" s="72"/>
      <c r="TEX125" s="72"/>
      <c r="TEY125" s="72"/>
      <c r="TEZ125" s="72"/>
      <c r="TFA125" s="72"/>
      <c r="TFB125" s="72"/>
      <c r="TFC125" s="72"/>
      <c r="TFD125" s="72"/>
      <c r="TFE125" s="72"/>
      <c r="TFF125" s="72"/>
      <c r="TFG125" s="72"/>
      <c r="TFH125" s="72"/>
      <c r="TFI125" s="72"/>
      <c r="TFJ125" s="72"/>
      <c r="TFK125" s="72"/>
      <c r="TFL125" s="72"/>
      <c r="TFM125" s="72"/>
      <c r="TFN125" s="72"/>
      <c r="TFO125" s="72"/>
      <c r="TFP125" s="72"/>
      <c r="TFQ125" s="72"/>
      <c r="TFR125" s="72"/>
      <c r="TFS125" s="72"/>
      <c r="TFT125" s="72"/>
      <c r="TFU125" s="72"/>
      <c r="TFV125" s="72"/>
      <c r="TFW125" s="72"/>
      <c r="TFX125" s="72"/>
      <c r="TFY125" s="72"/>
      <c r="TFZ125" s="72"/>
      <c r="TGA125" s="72"/>
      <c r="TGB125" s="72"/>
      <c r="TGC125" s="72"/>
      <c r="TGD125" s="72"/>
      <c r="TGE125" s="72"/>
      <c r="TGF125" s="72"/>
      <c r="TGG125" s="72"/>
      <c r="TGH125" s="72"/>
      <c r="TGI125" s="72"/>
      <c r="TGJ125" s="72"/>
      <c r="TGK125" s="72"/>
      <c r="TGL125" s="72"/>
      <c r="TGM125" s="72"/>
      <c r="TGN125" s="72"/>
      <c r="TGO125" s="72"/>
      <c r="TGP125" s="72"/>
      <c r="TGQ125" s="72"/>
      <c r="TGR125" s="72"/>
      <c r="TGS125" s="72"/>
      <c r="TGT125" s="72"/>
      <c r="TGU125" s="72"/>
      <c r="TGV125" s="72"/>
      <c r="TGW125" s="72"/>
      <c r="TGX125" s="72"/>
      <c r="TGY125" s="72"/>
      <c r="TGZ125" s="72"/>
      <c r="THA125" s="72"/>
      <c r="THB125" s="72"/>
      <c r="THC125" s="72"/>
      <c r="THD125" s="72"/>
      <c r="THE125" s="72"/>
      <c r="THF125" s="72"/>
      <c r="THG125" s="72"/>
      <c r="THH125" s="72"/>
      <c r="THI125" s="72"/>
      <c r="THJ125" s="72"/>
      <c r="THK125" s="72"/>
      <c r="THL125" s="72"/>
      <c r="THM125" s="72"/>
      <c r="THN125" s="72"/>
      <c r="THO125" s="72"/>
      <c r="THP125" s="72"/>
      <c r="THQ125" s="72"/>
      <c r="THR125" s="72"/>
      <c r="THS125" s="72"/>
      <c r="THT125" s="72"/>
      <c r="THU125" s="72"/>
      <c r="THV125" s="72"/>
      <c r="THW125" s="72"/>
      <c r="THX125" s="72"/>
      <c r="THY125" s="72"/>
      <c r="THZ125" s="72"/>
      <c r="TIA125" s="72"/>
      <c r="TIB125" s="72"/>
      <c r="TIC125" s="72"/>
      <c r="TID125" s="72"/>
      <c r="TIE125" s="72"/>
      <c r="TIF125" s="72"/>
      <c r="TIG125" s="72"/>
      <c r="TIH125" s="72"/>
      <c r="TII125" s="72"/>
      <c r="TIJ125" s="72"/>
      <c r="TIK125" s="72"/>
      <c r="TIL125" s="72"/>
      <c r="TIM125" s="72"/>
      <c r="TIN125" s="72"/>
      <c r="TIO125" s="72"/>
      <c r="TIP125" s="72"/>
      <c r="TIQ125" s="72"/>
      <c r="TIR125" s="72"/>
      <c r="TIS125" s="72"/>
      <c r="TIT125" s="72"/>
      <c r="TIU125" s="72"/>
      <c r="TIV125" s="72"/>
      <c r="TIW125" s="72"/>
      <c r="TIX125" s="72"/>
      <c r="TIY125" s="72"/>
      <c r="TIZ125" s="72"/>
      <c r="TJA125" s="72"/>
      <c r="TJB125" s="72"/>
      <c r="TJC125" s="72"/>
      <c r="TJD125" s="72"/>
      <c r="TJE125" s="72"/>
      <c r="TJF125" s="72"/>
      <c r="TJG125" s="72"/>
      <c r="TJH125" s="72"/>
      <c r="TJI125" s="72"/>
      <c r="TJJ125" s="72"/>
      <c r="TJK125" s="72"/>
      <c r="TJL125" s="72"/>
      <c r="TJM125" s="72"/>
      <c r="TJN125" s="72"/>
      <c r="TJO125" s="72"/>
      <c r="TJP125" s="72"/>
      <c r="TJQ125" s="72"/>
      <c r="TJR125" s="72"/>
      <c r="TJS125" s="72"/>
      <c r="TJT125" s="72"/>
      <c r="TJU125" s="72"/>
      <c r="TJV125" s="72"/>
      <c r="TJW125" s="72"/>
      <c r="TJX125" s="72"/>
      <c r="TJY125" s="72"/>
      <c r="TJZ125" s="72"/>
      <c r="TKA125" s="72"/>
      <c r="TKB125" s="72"/>
      <c r="TKC125" s="72"/>
      <c r="TKD125" s="72"/>
      <c r="TKE125" s="72"/>
      <c r="TKF125" s="72"/>
      <c r="TKG125" s="72"/>
      <c r="TKH125" s="72"/>
      <c r="TKI125" s="72"/>
      <c r="TKJ125" s="72"/>
      <c r="TKK125" s="72"/>
      <c r="TKL125" s="72"/>
      <c r="TKM125" s="72"/>
      <c r="TKN125" s="72"/>
      <c r="TKO125" s="72"/>
      <c r="TKP125" s="72"/>
      <c r="TKQ125" s="72"/>
      <c r="TKR125" s="72"/>
      <c r="TKS125" s="72"/>
      <c r="TKT125" s="72"/>
      <c r="TKU125" s="72"/>
      <c r="TKV125" s="72"/>
      <c r="TKW125" s="72"/>
      <c r="TKX125" s="72"/>
      <c r="TKY125" s="72"/>
      <c r="TKZ125" s="72"/>
      <c r="TLA125" s="72"/>
      <c r="TLB125" s="72"/>
      <c r="TLC125" s="72"/>
      <c r="TLD125" s="72"/>
      <c r="TLE125" s="72"/>
      <c r="TLF125" s="72"/>
      <c r="TLG125" s="72"/>
      <c r="TLH125" s="72"/>
      <c r="TLI125" s="72"/>
      <c r="TLJ125" s="72"/>
      <c r="TLK125" s="72"/>
      <c r="TLL125" s="72"/>
      <c r="TLM125" s="72"/>
      <c r="TLN125" s="72"/>
      <c r="TLO125" s="72"/>
      <c r="TLP125" s="72"/>
      <c r="TLQ125" s="72"/>
      <c r="TLR125" s="72"/>
      <c r="TLS125" s="72"/>
      <c r="TLT125" s="72"/>
      <c r="TLU125" s="72"/>
      <c r="TLV125" s="72"/>
      <c r="TLW125" s="72"/>
      <c r="TLX125" s="72"/>
      <c r="TLY125" s="72"/>
      <c r="TLZ125" s="72"/>
      <c r="TMA125" s="72"/>
      <c r="TMB125" s="72"/>
      <c r="TMC125" s="72"/>
      <c r="TMD125" s="72"/>
      <c r="TME125" s="72"/>
      <c r="TMF125" s="72"/>
      <c r="TMG125" s="72"/>
      <c r="TMH125" s="72"/>
      <c r="TMI125" s="72"/>
      <c r="TMJ125" s="72"/>
      <c r="TMK125" s="72"/>
      <c r="TML125" s="72"/>
      <c r="TMM125" s="72"/>
      <c r="TMN125" s="72"/>
      <c r="TMO125" s="72"/>
      <c r="TMP125" s="72"/>
      <c r="TMQ125" s="72"/>
      <c r="TMR125" s="72"/>
      <c r="TMS125" s="72"/>
      <c r="TMT125" s="72"/>
      <c r="TMU125" s="72"/>
      <c r="TMV125" s="72"/>
      <c r="TMW125" s="72"/>
      <c r="TMX125" s="72"/>
      <c r="TMY125" s="72"/>
      <c r="TMZ125" s="72"/>
      <c r="TNA125" s="72"/>
      <c r="TNB125" s="72"/>
      <c r="TNC125" s="72"/>
      <c r="TND125" s="72"/>
      <c r="TNE125" s="72"/>
      <c r="TNF125" s="72"/>
      <c r="TNG125" s="72"/>
      <c r="TNH125" s="72"/>
      <c r="TNI125" s="72"/>
      <c r="TNJ125" s="72"/>
      <c r="TNK125" s="72"/>
      <c r="TNL125" s="72"/>
      <c r="TNM125" s="72"/>
      <c r="TNN125" s="72"/>
      <c r="TNO125" s="72"/>
      <c r="TNP125" s="72"/>
      <c r="TNQ125" s="72"/>
      <c r="TNR125" s="72"/>
      <c r="TNS125" s="72"/>
      <c r="TNT125" s="72"/>
      <c r="TNU125" s="72"/>
      <c r="TNV125" s="72"/>
      <c r="TNW125" s="72"/>
      <c r="TNX125" s="72"/>
      <c r="TNY125" s="72"/>
      <c r="TNZ125" s="72"/>
      <c r="TOA125" s="72"/>
      <c r="TOB125" s="72"/>
      <c r="TOC125" s="72"/>
      <c r="TOD125" s="72"/>
      <c r="TOE125" s="72"/>
      <c r="TOF125" s="72"/>
      <c r="TOG125" s="72"/>
      <c r="TOH125" s="72"/>
      <c r="TOI125" s="72"/>
      <c r="TOJ125" s="72"/>
      <c r="TOK125" s="72"/>
      <c r="TOL125" s="72"/>
      <c r="TOM125" s="72"/>
      <c r="TON125" s="72"/>
      <c r="TOO125" s="72"/>
      <c r="TOP125" s="72"/>
      <c r="TOQ125" s="72"/>
      <c r="TOR125" s="72"/>
      <c r="TOS125" s="72"/>
      <c r="TOT125" s="72"/>
      <c r="TOU125" s="72"/>
      <c r="TOV125" s="72"/>
      <c r="TOW125" s="72"/>
      <c r="TOX125" s="72"/>
      <c r="TOY125" s="72"/>
      <c r="TOZ125" s="72"/>
      <c r="TPA125" s="72"/>
      <c r="TPB125" s="72"/>
      <c r="TPC125" s="72"/>
      <c r="TPD125" s="72"/>
      <c r="TPE125" s="72"/>
      <c r="TPF125" s="72"/>
      <c r="TPG125" s="72"/>
      <c r="TPH125" s="72"/>
      <c r="TPI125" s="72"/>
      <c r="TPJ125" s="72"/>
      <c r="TPK125" s="72"/>
      <c r="TPL125" s="72"/>
      <c r="TPM125" s="72"/>
      <c r="TPN125" s="72"/>
      <c r="TPO125" s="72"/>
      <c r="TPP125" s="72"/>
      <c r="TPQ125" s="72"/>
      <c r="TPR125" s="72"/>
      <c r="TPS125" s="72"/>
      <c r="TPT125" s="72"/>
      <c r="TPU125" s="72"/>
      <c r="TPV125" s="72"/>
      <c r="TPW125" s="72"/>
      <c r="TPX125" s="72"/>
      <c r="TPY125" s="72"/>
      <c r="TPZ125" s="72"/>
      <c r="TQA125" s="72"/>
      <c r="TQB125" s="72"/>
      <c r="TQC125" s="72"/>
      <c r="TQD125" s="72"/>
      <c r="TQE125" s="72"/>
      <c r="TQF125" s="72"/>
      <c r="TQG125" s="72"/>
      <c r="TQH125" s="72"/>
      <c r="TQI125" s="72"/>
      <c r="TQJ125" s="72"/>
      <c r="TQK125" s="72"/>
      <c r="TQL125" s="72"/>
      <c r="TQM125" s="72"/>
      <c r="TQN125" s="72"/>
      <c r="TQO125" s="72"/>
      <c r="TQP125" s="72"/>
      <c r="TQQ125" s="72"/>
      <c r="TQR125" s="72"/>
      <c r="TQS125" s="72"/>
      <c r="TQT125" s="72"/>
      <c r="TQU125" s="72"/>
      <c r="TQV125" s="72"/>
      <c r="TQW125" s="72"/>
      <c r="TQX125" s="72"/>
      <c r="TQY125" s="72"/>
      <c r="TQZ125" s="72"/>
      <c r="TRA125" s="72"/>
      <c r="TRB125" s="72"/>
      <c r="TRC125" s="72"/>
      <c r="TRD125" s="72"/>
      <c r="TRE125" s="72"/>
      <c r="TRF125" s="72"/>
      <c r="TRG125" s="72"/>
      <c r="TRH125" s="72"/>
      <c r="TRI125" s="72"/>
      <c r="TRJ125" s="72"/>
      <c r="TRK125" s="72"/>
      <c r="TRL125" s="72"/>
      <c r="TRM125" s="72"/>
      <c r="TRN125" s="72"/>
      <c r="TRO125" s="72"/>
      <c r="TRP125" s="72"/>
      <c r="TRQ125" s="72"/>
      <c r="TRR125" s="72"/>
      <c r="TRS125" s="72"/>
      <c r="TRT125" s="72"/>
      <c r="TRU125" s="72"/>
      <c r="TRV125" s="72"/>
      <c r="TRW125" s="72"/>
      <c r="TRX125" s="72"/>
      <c r="TRY125" s="72"/>
      <c r="TRZ125" s="72"/>
      <c r="TSA125" s="72"/>
      <c r="TSB125" s="72"/>
      <c r="TSC125" s="72"/>
      <c r="TSD125" s="72"/>
      <c r="TSE125" s="72"/>
      <c r="TSF125" s="72"/>
      <c r="TSG125" s="72"/>
      <c r="TSH125" s="72"/>
      <c r="TSI125" s="72"/>
      <c r="TSJ125" s="72"/>
      <c r="TSK125" s="72"/>
      <c r="TSL125" s="72"/>
      <c r="TSM125" s="72"/>
      <c r="TSN125" s="72"/>
      <c r="TSO125" s="72"/>
      <c r="TSP125" s="72"/>
      <c r="TSQ125" s="72"/>
      <c r="TSR125" s="72"/>
      <c r="TSS125" s="72"/>
      <c r="TST125" s="72"/>
      <c r="TSU125" s="72"/>
      <c r="TSV125" s="72"/>
      <c r="TSW125" s="72"/>
      <c r="TSX125" s="72"/>
      <c r="TSY125" s="72"/>
      <c r="TSZ125" s="72"/>
      <c r="TTA125" s="72"/>
      <c r="TTB125" s="72"/>
      <c r="TTC125" s="72"/>
      <c r="TTD125" s="72"/>
      <c r="TTE125" s="72"/>
      <c r="TTF125" s="72"/>
      <c r="TTG125" s="72"/>
      <c r="TTH125" s="72"/>
      <c r="TTI125" s="72"/>
      <c r="TTJ125" s="72"/>
      <c r="TTK125" s="72"/>
      <c r="TTL125" s="72"/>
      <c r="TTM125" s="72"/>
      <c r="TTN125" s="72"/>
      <c r="TTO125" s="72"/>
      <c r="TTP125" s="72"/>
      <c r="TTQ125" s="72"/>
      <c r="TTR125" s="72"/>
      <c r="TTS125" s="72"/>
      <c r="TTT125" s="72"/>
      <c r="TTU125" s="72"/>
      <c r="TTV125" s="72"/>
      <c r="TTW125" s="72"/>
      <c r="TTX125" s="72"/>
      <c r="TTY125" s="72"/>
      <c r="TTZ125" s="72"/>
      <c r="TUA125" s="72"/>
      <c r="TUB125" s="72"/>
      <c r="TUC125" s="72"/>
      <c r="TUD125" s="72"/>
      <c r="TUE125" s="72"/>
      <c r="TUF125" s="72"/>
      <c r="TUG125" s="72"/>
      <c r="TUH125" s="72"/>
      <c r="TUI125" s="72"/>
      <c r="TUJ125" s="72"/>
      <c r="TUK125" s="72"/>
      <c r="TUL125" s="72"/>
      <c r="TUM125" s="72"/>
      <c r="TUN125" s="72"/>
      <c r="TUO125" s="72"/>
      <c r="TUP125" s="72"/>
      <c r="TUQ125" s="72"/>
      <c r="TUR125" s="72"/>
      <c r="TUS125" s="72"/>
      <c r="TUT125" s="72"/>
      <c r="TUU125" s="72"/>
      <c r="TUV125" s="72"/>
      <c r="TUW125" s="72"/>
      <c r="TUX125" s="72"/>
      <c r="TUY125" s="72"/>
      <c r="TUZ125" s="72"/>
      <c r="TVA125" s="72"/>
      <c r="TVB125" s="72"/>
      <c r="TVC125" s="72"/>
      <c r="TVD125" s="72"/>
      <c r="TVE125" s="72"/>
      <c r="TVF125" s="72"/>
      <c r="TVG125" s="72"/>
      <c r="TVH125" s="72"/>
      <c r="TVI125" s="72"/>
      <c r="TVJ125" s="72"/>
      <c r="TVK125" s="72"/>
      <c r="TVL125" s="72"/>
      <c r="TVM125" s="72"/>
      <c r="TVN125" s="72"/>
      <c r="TVO125" s="72"/>
      <c r="TVP125" s="72"/>
      <c r="TVQ125" s="72"/>
      <c r="TVR125" s="72"/>
      <c r="TVS125" s="72"/>
      <c r="TVT125" s="72"/>
      <c r="TVU125" s="72"/>
      <c r="TVV125" s="72"/>
      <c r="TVW125" s="72"/>
      <c r="TVX125" s="72"/>
      <c r="TVY125" s="72"/>
      <c r="TVZ125" s="72"/>
      <c r="TWA125" s="72"/>
      <c r="TWB125" s="72"/>
      <c r="TWC125" s="72"/>
      <c r="TWD125" s="72"/>
      <c r="TWE125" s="72"/>
      <c r="TWF125" s="72"/>
      <c r="TWG125" s="72"/>
      <c r="TWH125" s="72"/>
      <c r="TWI125" s="72"/>
      <c r="TWJ125" s="72"/>
      <c r="TWK125" s="72"/>
      <c r="TWL125" s="72"/>
      <c r="TWM125" s="72"/>
      <c r="TWN125" s="72"/>
      <c r="TWO125" s="72"/>
      <c r="TWP125" s="72"/>
      <c r="TWQ125" s="72"/>
      <c r="TWR125" s="72"/>
      <c r="TWS125" s="72"/>
      <c r="TWT125" s="72"/>
      <c r="TWU125" s="72"/>
      <c r="TWV125" s="72"/>
      <c r="TWW125" s="72"/>
      <c r="TWX125" s="72"/>
      <c r="TWY125" s="72"/>
      <c r="TWZ125" s="72"/>
      <c r="TXA125" s="72"/>
      <c r="TXB125" s="72"/>
      <c r="TXC125" s="72"/>
      <c r="TXD125" s="72"/>
      <c r="TXE125" s="72"/>
      <c r="TXF125" s="72"/>
      <c r="TXG125" s="72"/>
      <c r="TXH125" s="72"/>
      <c r="TXI125" s="72"/>
      <c r="TXJ125" s="72"/>
      <c r="TXK125" s="72"/>
      <c r="TXL125" s="72"/>
      <c r="TXM125" s="72"/>
      <c r="TXN125" s="72"/>
      <c r="TXO125" s="72"/>
      <c r="TXP125" s="72"/>
      <c r="TXQ125" s="72"/>
      <c r="TXR125" s="72"/>
      <c r="TXS125" s="72"/>
      <c r="TXT125" s="72"/>
      <c r="TXU125" s="72"/>
      <c r="TXV125" s="72"/>
      <c r="TXW125" s="72"/>
      <c r="TXX125" s="72"/>
      <c r="TXY125" s="72"/>
      <c r="TXZ125" s="72"/>
      <c r="TYA125" s="72"/>
      <c r="TYB125" s="72"/>
      <c r="TYC125" s="72"/>
      <c r="TYD125" s="72"/>
      <c r="TYE125" s="72"/>
      <c r="TYF125" s="72"/>
      <c r="TYG125" s="72"/>
      <c r="TYH125" s="72"/>
      <c r="TYI125" s="72"/>
      <c r="TYJ125" s="72"/>
      <c r="TYK125" s="72"/>
      <c r="TYL125" s="72"/>
      <c r="TYM125" s="72"/>
      <c r="TYN125" s="72"/>
      <c r="TYO125" s="72"/>
      <c r="TYP125" s="72"/>
      <c r="TYQ125" s="72"/>
      <c r="TYR125" s="72"/>
      <c r="TYS125" s="72"/>
      <c r="TYT125" s="72"/>
      <c r="TYU125" s="72"/>
      <c r="TYV125" s="72"/>
      <c r="TYW125" s="72"/>
      <c r="TYX125" s="72"/>
      <c r="TYY125" s="72"/>
      <c r="TYZ125" s="72"/>
      <c r="TZA125" s="72"/>
      <c r="TZB125" s="72"/>
      <c r="TZC125" s="72"/>
      <c r="TZD125" s="72"/>
      <c r="TZE125" s="72"/>
      <c r="TZF125" s="72"/>
      <c r="TZG125" s="72"/>
      <c r="TZH125" s="72"/>
      <c r="TZI125" s="72"/>
      <c r="TZJ125" s="72"/>
      <c r="TZK125" s="72"/>
      <c r="TZL125" s="72"/>
      <c r="TZM125" s="72"/>
      <c r="TZN125" s="72"/>
      <c r="TZO125" s="72"/>
      <c r="TZP125" s="72"/>
      <c r="TZQ125" s="72"/>
      <c r="TZR125" s="72"/>
      <c r="TZS125" s="72"/>
      <c r="TZT125" s="72"/>
      <c r="TZU125" s="72"/>
      <c r="TZV125" s="72"/>
      <c r="TZW125" s="72"/>
      <c r="TZX125" s="72"/>
      <c r="TZY125" s="72"/>
      <c r="TZZ125" s="72"/>
      <c r="UAA125" s="72"/>
      <c r="UAB125" s="72"/>
      <c r="UAC125" s="72"/>
      <c r="UAD125" s="72"/>
      <c r="UAE125" s="72"/>
      <c r="UAF125" s="72"/>
      <c r="UAG125" s="72"/>
      <c r="UAH125" s="72"/>
      <c r="UAI125" s="72"/>
      <c r="UAJ125" s="72"/>
      <c r="UAK125" s="72"/>
      <c r="UAL125" s="72"/>
      <c r="UAM125" s="72"/>
      <c r="UAN125" s="72"/>
      <c r="UAO125" s="72"/>
      <c r="UAP125" s="72"/>
      <c r="UAQ125" s="72"/>
      <c r="UAR125" s="72"/>
      <c r="UAS125" s="72"/>
      <c r="UAT125" s="72"/>
      <c r="UAU125" s="72"/>
      <c r="UAV125" s="72"/>
      <c r="UAW125" s="72"/>
      <c r="UAX125" s="72"/>
      <c r="UAY125" s="72"/>
      <c r="UAZ125" s="72"/>
      <c r="UBA125" s="72"/>
      <c r="UBB125" s="72"/>
      <c r="UBC125" s="72"/>
      <c r="UBD125" s="72"/>
      <c r="UBE125" s="72"/>
      <c r="UBF125" s="72"/>
      <c r="UBG125" s="72"/>
      <c r="UBH125" s="72"/>
      <c r="UBI125" s="72"/>
      <c r="UBJ125" s="72"/>
      <c r="UBK125" s="72"/>
      <c r="UBL125" s="72"/>
      <c r="UBM125" s="72"/>
      <c r="UBN125" s="72"/>
      <c r="UBO125" s="72"/>
      <c r="UBP125" s="72"/>
      <c r="UBQ125" s="72"/>
      <c r="UBR125" s="72"/>
      <c r="UBS125" s="72"/>
      <c r="UBT125" s="72"/>
      <c r="UBU125" s="72"/>
      <c r="UBV125" s="72"/>
      <c r="UBW125" s="72"/>
      <c r="UBX125" s="72"/>
      <c r="UBY125" s="72"/>
      <c r="UBZ125" s="72"/>
      <c r="UCA125" s="72"/>
      <c r="UCB125" s="72"/>
      <c r="UCC125" s="72"/>
      <c r="UCD125" s="72"/>
      <c r="UCE125" s="72"/>
      <c r="UCF125" s="72"/>
      <c r="UCG125" s="72"/>
      <c r="UCH125" s="72"/>
      <c r="UCI125" s="72"/>
      <c r="UCJ125" s="72"/>
      <c r="UCK125" s="72"/>
      <c r="UCL125" s="72"/>
      <c r="UCM125" s="72"/>
      <c r="UCN125" s="72"/>
      <c r="UCO125" s="72"/>
      <c r="UCP125" s="72"/>
      <c r="UCQ125" s="72"/>
      <c r="UCR125" s="72"/>
      <c r="UCS125" s="72"/>
      <c r="UCT125" s="72"/>
      <c r="UCU125" s="72"/>
      <c r="UCV125" s="72"/>
      <c r="UCW125" s="72"/>
      <c r="UCX125" s="72"/>
      <c r="UCY125" s="72"/>
      <c r="UCZ125" s="72"/>
      <c r="UDA125" s="72"/>
      <c r="UDB125" s="72"/>
      <c r="UDC125" s="72"/>
      <c r="UDD125" s="72"/>
      <c r="UDE125" s="72"/>
      <c r="UDF125" s="72"/>
      <c r="UDG125" s="72"/>
      <c r="UDH125" s="72"/>
      <c r="UDI125" s="72"/>
      <c r="UDJ125" s="72"/>
      <c r="UDK125" s="72"/>
      <c r="UDL125" s="72"/>
      <c r="UDM125" s="72"/>
      <c r="UDN125" s="72"/>
      <c r="UDO125" s="72"/>
      <c r="UDP125" s="72"/>
      <c r="UDQ125" s="72"/>
      <c r="UDR125" s="72"/>
      <c r="UDS125" s="72"/>
      <c r="UDT125" s="72"/>
      <c r="UDU125" s="72"/>
      <c r="UDV125" s="72"/>
      <c r="UDW125" s="72"/>
      <c r="UDX125" s="72"/>
      <c r="UDY125" s="72"/>
      <c r="UDZ125" s="72"/>
      <c r="UEA125" s="72"/>
      <c r="UEB125" s="72"/>
      <c r="UEC125" s="72"/>
      <c r="UED125" s="72"/>
      <c r="UEE125" s="72"/>
      <c r="UEF125" s="72"/>
      <c r="UEG125" s="72"/>
      <c r="UEH125" s="72"/>
      <c r="UEI125" s="72"/>
      <c r="UEJ125" s="72"/>
      <c r="UEK125" s="72"/>
      <c r="UEL125" s="72"/>
      <c r="UEM125" s="72"/>
      <c r="UEN125" s="72"/>
      <c r="UEO125" s="72"/>
      <c r="UEP125" s="72"/>
      <c r="UEQ125" s="72"/>
      <c r="UER125" s="72"/>
      <c r="UES125" s="72"/>
      <c r="UET125" s="72"/>
      <c r="UEU125" s="72"/>
      <c r="UEV125" s="72"/>
      <c r="UEW125" s="72"/>
      <c r="UEX125" s="72"/>
      <c r="UEY125" s="72"/>
      <c r="UEZ125" s="72"/>
      <c r="UFA125" s="72"/>
      <c r="UFB125" s="72"/>
      <c r="UFC125" s="72"/>
      <c r="UFD125" s="72"/>
      <c r="UFE125" s="72"/>
      <c r="UFF125" s="72"/>
      <c r="UFG125" s="72"/>
      <c r="UFH125" s="72"/>
      <c r="UFI125" s="72"/>
      <c r="UFJ125" s="72"/>
      <c r="UFK125" s="72"/>
      <c r="UFL125" s="72"/>
      <c r="UFM125" s="72"/>
      <c r="UFN125" s="72"/>
      <c r="UFO125" s="72"/>
      <c r="UFP125" s="72"/>
      <c r="UFQ125" s="72"/>
      <c r="UFR125" s="72"/>
      <c r="UFS125" s="72"/>
      <c r="UFT125" s="72"/>
      <c r="UFU125" s="72"/>
      <c r="UFV125" s="72"/>
      <c r="UFW125" s="72"/>
      <c r="UFX125" s="72"/>
      <c r="UFY125" s="72"/>
      <c r="UFZ125" s="72"/>
      <c r="UGA125" s="72"/>
      <c r="UGB125" s="72"/>
      <c r="UGC125" s="72"/>
      <c r="UGD125" s="72"/>
      <c r="UGE125" s="72"/>
      <c r="UGF125" s="72"/>
      <c r="UGG125" s="72"/>
      <c r="UGH125" s="72"/>
      <c r="UGI125" s="72"/>
      <c r="UGJ125" s="72"/>
      <c r="UGK125" s="72"/>
      <c r="UGL125" s="72"/>
      <c r="UGM125" s="72"/>
      <c r="UGN125" s="72"/>
      <c r="UGO125" s="72"/>
      <c r="UGP125" s="72"/>
      <c r="UGQ125" s="72"/>
      <c r="UGR125" s="72"/>
      <c r="UGS125" s="72"/>
      <c r="UGT125" s="72"/>
      <c r="UGU125" s="72"/>
      <c r="UGV125" s="72"/>
      <c r="UGW125" s="72"/>
      <c r="UGX125" s="72"/>
      <c r="UGY125" s="72"/>
      <c r="UGZ125" s="72"/>
      <c r="UHA125" s="72"/>
      <c r="UHB125" s="72"/>
      <c r="UHC125" s="72"/>
      <c r="UHD125" s="72"/>
      <c r="UHE125" s="72"/>
      <c r="UHF125" s="72"/>
      <c r="UHG125" s="72"/>
      <c r="UHH125" s="72"/>
      <c r="UHI125" s="72"/>
      <c r="UHJ125" s="72"/>
      <c r="UHK125" s="72"/>
      <c r="UHL125" s="72"/>
      <c r="UHM125" s="72"/>
      <c r="UHN125" s="72"/>
      <c r="UHO125" s="72"/>
      <c r="UHP125" s="72"/>
      <c r="UHQ125" s="72"/>
      <c r="UHR125" s="72"/>
      <c r="UHS125" s="72"/>
      <c r="UHT125" s="72"/>
      <c r="UHU125" s="72"/>
      <c r="UHV125" s="72"/>
      <c r="UHW125" s="72"/>
      <c r="UHX125" s="72"/>
      <c r="UHY125" s="72"/>
      <c r="UHZ125" s="72"/>
      <c r="UIA125" s="72"/>
      <c r="UIB125" s="72"/>
      <c r="UIC125" s="72"/>
      <c r="UID125" s="72"/>
      <c r="UIE125" s="72"/>
      <c r="UIF125" s="72"/>
      <c r="UIG125" s="72"/>
      <c r="UIH125" s="72"/>
      <c r="UII125" s="72"/>
      <c r="UIJ125" s="72"/>
      <c r="UIK125" s="72"/>
      <c r="UIL125" s="72"/>
      <c r="UIM125" s="72"/>
      <c r="UIN125" s="72"/>
      <c r="UIO125" s="72"/>
      <c r="UIP125" s="72"/>
      <c r="UIQ125" s="72"/>
      <c r="UIR125" s="72"/>
      <c r="UIS125" s="72"/>
      <c r="UIT125" s="72"/>
      <c r="UIU125" s="72"/>
      <c r="UIV125" s="72"/>
      <c r="UIW125" s="72"/>
      <c r="UIX125" s="72"/>
      <c r="UIY125" s="72"/>
      <c r="UIZ125" s="72"/>
      <c r="UJA125" s="72"/>
      <c r="UJB125" s="72"/>
      <c r="UJC125" s="72"/>
      <c r="UJD125" s="72"/>
      <c r="UJE125" s="72"/>
      <c r="UJF125" s="72"/>
      <c r="UJG125" s="72"/>
      <c r="UJH125" s="72"/>
      <c r="UJI125" s="72"/>
      <c r="UJJ125" s="72"/>
      <c r="UJK125" s="72"/>
      <c r="UJL125" s="72"/>
      <c r="UJM125" s="72"/>
      <c r="UJN125" s="72"/>
      <c r="UJO125" s="72"/>
      <c r="UJP125" s="72"/>
      <c r="UJQ125" s="72"/>
      <c r="UJR125" s="72"/>
      <c r="UJS125" s="72"/>
      <c r="UJT125" s="72"/>
      <c r="UJU125" s="72"/>
      <c r="UJV125" s="72"/>
      <c r="UJW125" s="72"/>
      <c r="UJX125" s="72"/>
      <c r="UJY125" s="72"/>
      <c r="UJZ125" s="72"/>
      <c r="UKA125" s="72"/>
      <c r="UKB125" s="72"/>
      <c r="UKC125" s="72"/>
      <c r="UKD125" s="72"/>
      <c r="UKE125" s="72"/>
      <c r="UKF125" s="72"/>
      <c r="UKG125" s="72"/>
      <c r="UKH125" s="72"/>
      <c r="UKI125" s="72"/>
      <c r="UKJ125" s="72"/>
      <c r="UKK125" s="72"/>
      <c r="UKL125" s="72"/>
      <c r="UKM125" s="72"/>
      <c r="UKN125" s="72"/>
      <c r="UKO125" s="72"/>
      <c r="UKP125" s="72"/>
      <c r="UKQ125" s="72"/>
      <c r="UKR125" s="72"/>
      <c r="UKS125" s="72"/>
      <c r="UKT125" s="72"/>
      <c r="UKU125" s="72"/>
      <c r="UKV125" s="72"/>
      <c r="UKW125" s="72"/>
      <c r="UKX125" s="72"/>
      <c r="UKY125" s="72"/>
      <c r="UKZ125" s="72"/>
      <c r="ULA125" s="72"/>
      <c r="ULB125" s="72"/>
      <c r="ULC125" s="72"/>
      <c r="ULD125" s="72"/>
      <c r="ULE125" s="72"/>
      <c r="ULF125" s="72"/>
      <c r="ULG125" s="72"/>
      <c r="ULH125" s="72"/>
      <c r="ULI125" s="72"/>
      <c r="ULJ125" s="72"/>
      <c r="ULK125" s="72"/>
      <c r="ULL125" s="72"/>
      <c r="ULM125" s="72"/>
      <c r="ULN125" s="72"/>
      <c r="ULO125" s="72"/>
      <c r="ULP125" s="72"/>
      <c r="ULQ125" s="72"/>
      <c r="ULR125" s="72"/>
      <c r="ULS125" s="72"/>
      <c r="ULT125" s="72"/>
      <c r="ULU125" s="72"/>
      <c r="ULV125" s="72"/>
      <c r="ULW125" s="72"/>
      <c r="ULX125" s="72"/>
      <c r="ULY125" s="72"/>
      <c r="ULZ125" s="72"/>
      <c r="UMA125" s="72"/>
      <c r="UMB125" s="72"/>
      <c r="UMC125" s="72"/>
      <c r="UMD125" s="72"/>
      <c r="UME125" s="72"/>
      <c r="UMF125" s="72"/>
      <c r="UMG125" s="72"/>
      <c r="UMH125" s="72"/>
      <c r="UMI125" s="72"/>
      <c r="UMJ125" s="72"/>
      <c r="UMK125" s="72"/>
      <c r="UML125" s="72"/>
      <c r="UMM125" s="72"/>
      <c r="UMN125" s="72"/>
      <c r="UMO125" s="72"/>
      <c r="UMP125" s="72"/>
      <c r="UMQ125" s="72"/>
      <c r="UMR125" s="72"/>
      <c r="UMS125" s="72"/>
      <c r="UMT125" s="72"/>
      <c r="UMU125" s="72"/>
      <c r="UMV125" s="72"/>
      <c r="UMW125" s="72"/>
      <c r="UMX125" s="72"/>
      <c r="UMY125" s="72"/>
      <c r="UMZ125" s="72"/>
      <c r="UNA125" s="72"/>
      <c r="UNB125" s="72"/>
      <c r="UNC125" s="72"/>
      <c r="UND125" s="72"/>
      <c r="UNE125" s="72"/>
      <c r="UNF125" s="72"/>
      <c r="UNG125" s="72"/>
      <c r="UNH125" s="72"/>
      <c r="UNI125" s="72"/>
      <c r="UNJ125" s="72"/>
      <c r="UNK125" s="72"/>
      <c r="UNL125" s="72"/>
      <c r="UNM125" s="72"/>
      <c r="UNN125" s="72"/>
      <c r="UNO125" s="72"/>
      <c r="UNP125" s="72"/>
      <c r="UNQ125" s="72"/>
      <c r="UNR125" s="72"/>
      <c r="UNS125" s="72"/>
      <c r="UNT125" s="72"/>
      <c r="UNU125" s="72"/>
      <c r="UNV125" s="72"/>
      <c r="UNW125" s="72"/>
      <c r="UNX125" s="72"/>
      <c r="UNY125" s="72"/>
      <c r="UNZ125" s="72"/>
      <c r="UOA125" s="72"/>
      <c r="UOB125" s="72"/>
      <c r="UOC125" s="72"/>
      <c r="UOD125" s="72"/>
      <c r="UOE125" s="72"/>
      <c r="UOF125" s="72"/>
      <c r="UOG125" s="72"/>
      <c r="UOH125" s="72"/>
      <c r="UOI125" s="72"/>
      <c r="UOJ125" s="72"/>
      <c r="UOK125" s="72"/>
      <c r="UOL125" s="72"/>
      <c r="UOM125" s="72"/>
      <c r="UON125" s="72"/>
      <c r="UOO125" s="72"/>
      <c r="UOP125" s="72"/>
      <c r="UOQ125" s="72"/>
      <c r="UOR125" s="72"/>
      <c r="UOS125" s="72"/>
      <c r="UOT125" s="72"/>
      <c r="UOU125" s="72"/>
      <c r="UOV125" s="72"/>
      <c r="UOW125" s="72"/>
      <c r="UOX125" s="72"/>
      <c r="UOY125" s="72"/>
      <c r="UOZ125" s="72"/>
      <c r="UPA125" s="72"/>
      <c r="UPB125" s="72"/>
      <c r="UPC125" s="72"/>
      <c r="UPD125" s="72"/>
      <c r="UPE125" s="72"/>
      <c r="UPF125" s="72"/>
      <c r="UPG125" s="72"/>
      <c r="UPH125" s="72"/>
      <c r="UPI125" s="72"/>
      <c r="UPJ125" s="72"/>
      <c r="UPK125" s="72"/>
      <c r="UPL125" s="72"/>
      <c r="UPM125" s="72"/>
      <c r="UPN125" s="72"/>
      <c r="UPO125" s="72"/>
      <c r="UPP125" s="72"/>
      <c r="UPQ125" s="72"/>
      <c r="UPR125" s="72"/>
      <c r="UPS125" s="72"/>
      <c r="UPT125" s="72"/>
      <c r="UPU125" s="72"/>
      <c r="UPV125" s="72"/>
      <c r="UPW125" s="72"/>
      <c r="UPX125" s="72"/>
      <c r="UPY125" s="72"/>
      <c r="UPZ125" s="72"/>
      <c r="UQA125" s="72"/>
      <c r="UQB125" s="72"/>
      <c r="UQC125" s="72"/>
      <c r="UQD125" s="72"/>
      <c r="UQE125" s="72"/>
      <c r="UQF125" s="72"/>
      <c r="UQG125" s="72"/>
      <c r="UQH125" s="72"/>
      <c r="UQI125" s="72"/>
      <c r="UQJ125" s="72"/>
      <c r="UQK125" s="72"/>
      <c r="UQL125" s="72"/>
      <c r="UQM125" s="72"/>
      <c r="UQN125" s="72"/>
      <c r="UQO125" s="72"/>
      <c r="UQP125" s="72"/>
      <c r="UQQ125" s="72"/>
      <c r="UQR125" s="72"/>
      <c r="UQS125" s="72"/>
      <c r="UQT125" s="72"/>
      <c r="UQU125" s="72"/>
      <c r="UQV125" s="72"/>
      <c r="UQW125" s="72"/>
      <c r="UQX125" s="72"/>
      <c r="UQY125" s="72"/>
      <c r="UQZ125" s="72"/>
      <c r="URA125" s="72"/>
      <c r="URB125" s="72"/>
      <c r="URC125" s="72"/>
      <c r="URD125" s="72"/>
      <c r="URE125" s="72"/>
      <c r="URF125" s="72"/>
      <c r="URG125" s="72"/>
      <c r="URH125" s="72"/>
      <c r="URI125" s="72"/>
      <c r="URJ125" s="72"/>
      <c r="URK125" s="72"/>
      <c r="URL125" s="72"/>
      <c r="URM125" s="72"/>
      <c r="URN125" s="72"/>
      <c r="URO125" s="72"/>
      <c r="URP125" s="72"/>
      <c r="URQ125" s="72"/>
      <c r="URR125" s="72"/>
      <c r="URS125" s="72"/>
      <c r="URT125" s="72"/>
      <c r="URU125" s="72"/>
      <c r="URV125" s="72"/>
      <c r="URW125" s="72"/>
      <c r="URX125" s="72"/>
      <c r="URY125" s="72"/>
      <c r="URZ125" s="72"/>
      <c r="USA125" s="72"/>
      <c r="USB125" s="72"/>
      <c r="USC125" s="72"/>
      <c r="USD125" s="72"/>
      <c r="USE125" s="72"/>
      <c r="USF125" s="72"/>
      <c r="USG125" s="72"/>
      <c r="USH125" s="72"/>
      <c r="USI125" s="72"/>
      <c r="USJ125" s="72"/>
      <c r="USK125" s="72"/>
      <c r="USL125" s="72"/>
      <c r="USM125" s="72"/>
      <c r="USN125" s="72"/>
      <c r="USO125" s="72"/>
      <c r="USP125" s="72"/>
      <c r="USQ125" s="72"/>
      <c r="USR125" s="72"/>
      <c r="USS125" s="72"/>
      <c r="UST125" s="72"/>
      <c r="USU125" s="72"/>
      <c r="USV125" s="72"/>
      <c r="USW125" s="72"/>
      <c r="USX125" s="72"/>
      <c r="USY125" s="72"/>
      <c r="USZ125" s="72"/>
      <c r="UTA125" s="72"/>
      <c r="UTB125" s="72"/>
      <c r="UTC125" s="72"/>
      <c r="UTD125" s="72"/>
      <c r="UTE125" s="72"/>
      <c r="UTF125" s="72"/>
      <c r="UTG125" s="72"/>
      <c r="UTH125" s="72"/>
      <c r="UTI125" s="72"/>
      <c r="UTJ125" s="72"/>
      <c r="UTK125" s="72"/>
      <c r="UTL125" s="72"/>
      <c r="UTM125" s="72"/>
      <c r="UTN125" s="72"/>
      <c r="UTO125" s="72"/>
      <c r="UTP125" s="72"/>
      <c r="UTQ125" s="72"/>
      <c r="UTR125" s="72"/>
      <c r="UTS125" s="72"/>
      <c r="UTT125" s="72"/>
      <c r="UTU125" s="72"/>
      <c r="UTV125" s="72"/>
      <c r="UTW125" s="72"/>
      <c r="UTX125" s="72"/>
      <c r="UTY125" s="72"/>
      <c r="UTZ125" s="72"/>
      <c r="UUA125" s="72"/>
      <c r="UUB125" s="72"/>
      <c r="UUC125" s="72"/>
      <c r="UUD125" s="72"/>
      <c r="UUE125" s="72"/>
      <c r="UUF125" s="72"/>
      <c r="UUG125" s="72"/>
      <c r="UUH125" s="72"/>
      <c r="UUI125" s="72"/>
      <c r="UUJ125" s="72"/>
      <c r="UUK125" s="72"/>
      <c r="UUL125" s="72"/>
      <c r="UUM125" s="72"/>
      <c r="UUN125" s="72"/>
      <c r="UUO125" s="72"/>
      <c r="UUP125" s="72"/>
      <c r="UUQ125" s="72"/>
      <c r="UUR125" s="72"/>
      <c r="UUS125" s="72"/>
      <c r="UUT125" s="72"/>
      <c r="UUU125" s="72"/>
      <c r="UUV125" s="72"/>
      <c r="UUW125" s="72"/>
      <c r="UUX125" s="72"/>
      <c r="UUY125" s="72"/>
      <c r="UUZ125" s="72"/>
      <c r="UVA125" s="72"/>
      <c r="UVB125" s="72"/>
      <c r="UVC125" s="72"/>
      <c r="UVD125" s="72"/>
      <c r="UVE125" s="72"/>
      <c r="UVF125" s="72"/>
      <c r="UVG125" s="72"/>
      <c r="UVH125" s="72"/>
      <c r="UVI125" s="72"/>
      <c r="UVJ125" s="72"/>
      <c r="UVK125" s="72"/>
      <c r="UVL125" s="72"/>
      <c r="UVM125" s="72"/>
      <c r="UVN125" s="72"/>
      <c r="UVO125" s="72"/>
      <c r="UVP125" s="72"/>
      <c r="UVQ125" s="72"/>
      <c r="UVR125" s="72"/>
      <c r="UVS125" s="72"/>
      <c r="UVT125" s="72"/>
      <c r="UVU125" s="72"/>
      <c r="UVV125" s="72"/>
      <c r="UVW125" s="72"/>
      <c r="UVX125" s="72"/>
      <c r="UVY125" s="72"/>
      <c r="UVZ125" s="72"/>
      <c r="UWA125" s="72"/>
      <c r="UWB125" s="72"/>
      <c r="UWC125" s="72"/>
      <c r="UWD125" s="72"/>
      <c r="UWE125" s="72"/>
      <c r="UWF125" s="72"/>
      <c r="UWG125" s="72"/>
      <c r="UWH125" s="72"/>
      <c r="UWI125" s="72"/>
      <c r="UWJ125" s="72"/>
      <c r="UWK125" s="72"/>
      <c r="UWL125" s="72"/>
      <c r="UWM125" s="72"/>
      <c r="UWN125" s="72"/>
      <c r="UWO125" s="72"/>
      <c r="UWP125" s="72"/>
      <c r="UWQ125" s="72"/>
      <c r="UWR125" s="72"/>
      <c r="UWS125" s="72"/>
      <c r="UWT125" s="72"/>
      <c r="UWU125" s="72"/>
      <c r="UWV125" s="72"/>
      <c r="UWW125" s="72"/>
      <c r="UWX125" s="72"/>
      <c r="UWY125" s="72"/>
      <c r="UWZ125" s="72"/>
      <c r="UXA125" s="72"/>
      <c r="UXB125" s="72"/>
      <c r="UXC125" s="72"/>
      <c r="UXD125" s="72"/>
      <c r="UXE125" s="72"/>
      <c r="UXF125" s="72"/>
      <c r="UXG125" s="72"/>
      <c r="UXH125" s="72"/>
      <c r="UXI125" s="72"/>
      <c r="UXJ125" s="72"/>
      <c r="UXK125" s="72"/>
      <c r="UXL125" s="72"/>
      <c r="UXM125" s="72"/>
      <c r="UXN125" s="72"/>
      <c r="UXO125" s="72"/>
      <c r="UXP125" s="72"/>
      <c r="UXQ125" s="72"/>
      <c r="UXR125" s="72"/>
      <c r="UXS125" s="72"/>
      <c r="UXT125" s="72"/>
      <c r="UXU125" s="72"/>
      <c r="UXV125" s="72"/>
      <c r="UXW125" s="72"/>
      <c r="UXX125" s="72"/>
      <c r="UXY125" s="72"/>
      <c r="UXZ125" s="72"/>
      <c r="UYA125" s="72"/>
      <c r="UYB125" s="72"/>
      <c r="UYC125" s="72"/>
      <c r="UYD125" s="72"/>
      <c r="UYE125" s="72"/>
      <c r="UYF125" s="72"/>
      <c r="UYG125" s="72"/>
      <c r="UYH125" s="72"/>
      <c r="UYI125" s="72"/>
      <c r="UYJ125" s="72"/>
      <c r="UYK125" s="72"/>
      <c r="UYL125" s="72"/>
      <c r="UYM125" s="72"/>
      <c r="UYN125" s="72"/>
      <c r="UYO125" s="72"/>
      <c r="UYP125" s="72"/>
      <c r="UYQ125" s="72"/>
      <c r="UYR125" s="72"/>
      <c r="UYS125" s="72"/>
      <c r="UYT125" s="72"/>
      <c r="UYU125" s="72"/>
      <c r="UYV125" s="72"/>
      <c r="UYW125" s="72"/>
      <c r="UYX125" s="72"/>
      <c r="UYY125" s="72"/>
      <c r="UYZ125" s="72"/>
      <c r="UZA125" s="72"/>
      <c r="UZB125" s="72"/>
      <c r="UZC125" s="72"/>
      <c r="UZD125" s="72"/>
      <c r="UZE125" s="72"/>
      <c r="UZF125" s="72"/>
      <c r="UZG125" s="72"/>
      <c r="UZH125" s="72"/>
      <c r="UZI125" s="72"/>
      <c r="UZJ125" s="72"/>
      <c r="UZK125" s="72"/>
      <c r="UZL125" s="72"/>
      <c r="UZM125" s="72"/>
      <c r="UZN125" s="72"/>
      <c r="UZO125" s="72"/>
      <c r="UZP125" s="72"/>
      <c r="UZQ125" s="72"/>
      <c r="UZR125" s="72"/>
      <c r="UZS125" s="72"/>
      <c r="UZT125" s="72"/>
      <c r="UZU125" s="72"/>
      <c r="UZV125" s="72"/>
      <c r="UZW125" s="72"/>
      <c r="UZX125" s="72"/>
      <c r="UZY125" s="72"/>
      <c r="UZZ125" s="72"/>
      <c r="VAA125" s="72"/>
      <c r="VAB125" s="72"/>
      <c r="VAC125" s="72"/>
      <c r="VAD125" s="72"/>
      <c r="VAE125" s="72"/>
      <c r="VAF125" s="72"/>
      <c r="VAG125" s="72"/>
      <c r="VAH125" s="72"/>
      <c r="VAI125" s="72"/>
      <c r="VAJ125" s="72"/>
      <c r="VAK125" s="72"/>
      <c r="VAL125" s="72"/>
      <c r="VAM125" s="72"/>
      <c r="VAN125" s="72"/>
      <c r="VAO125" s="72"/>
      <c r="VAP125" s="72"/>
      <c r="VAQ125" s="72"/>
      <c r="VAR125" s="72"/>
      <c r="VAS125" s="72"/>
      <c r="VAT125" s="72"/>
      <c r="VAU125" s="72"/>
      <c r="VAV125" s="72"/>
      <c r="VAW125" s="72"/>
      <c r="VAX125" s="72"/>
      <c r="VAY125" s="72"/>
      <c r="VAZ125" s="72"/>
      <c r="VBA125" s="72"/>
      <c r="VBB125" s="72"/>
      <c r="VBC125" s="72"/>
      <c r="VBD125" s="72"/>
      <c r="VBE125" s="72"/>
      <c r="VBF125" s="72"/>
      <c r="VBG125" s="72"/>
      <c r="VBH125" s="72"/>
      <c r="VBI125" s="72"/>
      <c r="VBJ125" s="72"/>
      <c r="VBK125" s="72"/>
      <c r="VBL125" s="72"/>
      <c r="VBM125" s="72"/>
      <c r="VBN125" s="72"/>
      <c r="VBO125" s="72"/>
      <c r="VBP125" s="72"/>
      <c r="VBQ125" s="72"/>
      <c r="VBR125" s="72"/>
      <c r="VBS125" s="72"/>
      <c r="VBT125" s="72"/>
      <c r="VBU125" s="72"/>
      <c r="VBV125" s="72"/>
      <c r="VBW125" s="72"/>
      <c r="VBX125" s="72"/>
      <c r="VBY125" s="72"/>
      <c r="VBZ125" s="72"/>
      <c r="VCA125" s="72"/>
      <c r="VCB125" s="72"/>
      <c r="VCC125" s="72"/>
      <c r="VCD125" s="72"/>
      <c r="VCE125" s="72"/>
      <c r="VCF125" s="72"/>
      <c r="VCG125" s="72"/>
      <c r="VCH125" s="72"/>
      <c r="VCI125" s="72"/>
      <c r="VCJ125" s="72"/>
      <c r="VCK125" s="72"/>
      <c r="VCL125" s="72"/>
      <c r="VCM125" s="72"/>
      <c r="VCN125" s="72"/>
      <c r="VCO125" s="72"/>
      <c r="VCP125" s="72"/>
      <c r="VCQ125" s="72"/>
      <c r="VCR125" s="72"/>
      <c r="VCS125" s="72"/>
      <c r="VCT125" s="72"/>
      <c r="VCU125" s="72"/>
      <c r="VCV125" s="72"/>
      <c r="VCW125" s="72"/>
      <c r="VCX125" s="72"/>
      <c r="VCY125" s="72"/>
      <c r="VCZ125" s="72"/>
      <c r="VDA125" s="72"/>
      <c r="VDB125" s="72"/>
      <c r="VDC125" s="72"/>
      <c r="VDD125" s="72"/>
      <c r="VDE125" s="72"/>
      <c r="VDF125" s="72"/>
      <c r="VDG125" s="72"/>
      <c r="VDH125" s="72"/>
      <c r="VDI125" s="72"/>
      <c r="VDJ125" s="72"/>
      <c r="VDK125" s="72"/>
      <c r="VDL125" s="72"/>
      <c r="VDM125" s="72"/>
      <c r="VDN125" s="72"/>
      <c r="VDO125" s="72"/>
      <c r="VDP125" s="72"/>
      <c r="VDQ125" s="72"/>
      <c r="VDR125" s="72"/>
      <c r="VDS125" s="72"/>
      <c r="VDT125" s="72"/>
      <c r="VDU125" s="72"/>
      <c r="VDV125" s="72"/>
      <c r="VDW125" s="72"/>
      <c r="VDX125" s="72"/>
      <c r="VDY125" s="72"/>
      <c r="VDZ125" s="72"/>
      <c r="VEA125" s="72"/>
      <c r="VEB125" s="72"/>
      <c r="VEC125" s="72"/>
      <c r="VED125" s="72"/>
      <c r="VEE125" s="72"/>
      <c r="VEF125" s="72"/>
      <c r="VEG125" s="72"/>
      <c r="VEH125" s="72"/>
      <c r="VEI125" s="72"/>
      <c r="VEJ125" s="72"/>
      <c r="VEK125" s="72"/>
      <c r="VEL125" s="72"/>
      <c r="VEM125" s="72"/>
      <c r="VEN125" s="72"/>
      <c r="VEO125" s="72"/>
      <c r="VEP125" s="72"/>
      <c r="VEQ125" s="72"/>
      <c r="VER125" s="72"/>
      <c r="VES125" s="72"/>
      <c r="VET125" s="72"/>
      <c r="VEU125" s="72"/>
      <c r="VEV125" s="72"/>
      <c r="VEW125" s="72"/>
      <c r="VEX125" s="72"/>
      <c r="VEY125" s="72"/>
      <c r="VEZ125" s="72"/>
      <c r="VFA125" s="72"/>
      <c r="VFB125" s="72"/>
      <c r="VFC125" s="72"/>
      <c r="VFD125" s="72"/>
      <c r="VFE125" s="72"/>
      <c r="VFF125" s="72"/>
      <c r="VFG125" s="72"/>
      <c r="VFH125" s="72"/>
      <c r="VFI125" s="72"/>
      <c r="VFJ125" s="72"/>
      <c r="VFK125" s="72"/>
      <c r="VFL125" s="72"/>
      <c r="VFM125" s="72"/>
      <c r="VFN125" s="72"/>
      <c r="VFO125" s="72"/>
      <c r="VFP125" s="72"/>
      <c r="VFQ125" s="72"/>
      <c r="VFR125" s="72"/>
      <c r="VFS125" s="72"/>
      <c r="VFT125" s="72"/>
      <c r="VFU125" s="72"/>
      <c r="VFV125" s="72"/>
      <c r="VFW125" s="72"/>
      <c r="VFX125" s="72"/>
      <c r="VFY125" s="72"/>
      <c r="VFZ125" s="72"/>
      <c r="VGA125" s="72"/>
      <c r="VGB125" s="72"/>
      <c r="VGC125" s="72"/>
      <c r="VGD125" s="72"/>
      <c r="VGE125" s="72"/>
      <c r="VGF125" s="72"/>
      <c r="VGG125" s="72"/>
      <c r="VGH125" s="72"/>
      <c r="VGI125" s="72"/>
      <c r="VGJ125" s="72"/>
      <c r="VGK125" s="72"/>
      <c r="VGL125" s="72"/>
      <c r="VGM125" s="72"/>
      <c r="VGN125" s="72"/>
      <c r="VGO125" s="72"/>
      <c r="VGP125" s="72"/>
      <c r="VGQ125" s="72"/>
      <c r="VGR125" s="72"/>
      <c r="VGS125" s="72"/>
      <c r="VGT125" s="72"/>
      <c r="VGU125" s="72"/>
      <c r="VGV125" s="72"/>
      <c r="VGW125" s="72"/>
      <c r="VGX125" s="72"/>
      <c r="VGY125" s="72"/>
      <c r="VGZ125" s="72"/>
      <c r="VHA125" s="72"/>
      <c r="VHB125" s="72"/>
      <c r="VHC125" s="72"/>
      <c r="VHD125" s="72"/>
      <c r="VHE125" s="72"/>
      <c r="VHF125" s="72"/>
      <c r="VHG125" s="72"/>
      <c r="VHH125" s="72"/>
      <c r="VHI125" s="72"/>
      <c r="VHJ125" s="72"/>
      <c r="VHK125" s="72"/>
      <c r="VHL125" s="72"/>
      <c r="VHM125" s="72"/>
      <c r="VHN125" s="72"/>
      <c r="VHO125" s="72"/>
      <c r="VHP125" s="72"/>
      <c r="VHQ125" s="72"/>
      <c r="VHR125" s="72"/>
      <c r="VHS125" s="72"/>
      <c r="VHT125" s="72"/>
      <c r="VHU125" s="72"/>
      <c r="VHV125" s="72"/>
      <c r="VHW125" s="72"/>
      <c r="VHX125" s="72"/>
      <c r="VHY125" s="72"/>
      <c r="VHZ125" s="72"/>
      <c r="VIA125" s="72"/>
      <c r="VIB125" s="72"/>
      <c r="VIC125" s="72"/>
      <c r="VID125" s="72"/>
      <c r="VIE125" s="72"/>
      <c r="VIF125" s="72"/>
      <c r="VIG125" s="72"/>
      <c r="VIH125" s="72"/>
      <c r="VII125" s="72"/>
      <c r="VIJ125" s="72"/>
      <c r="VIK125" s="72"/>
      <c r="VIL125" s="72"/>
      <c r="VIM125" s="72"/>
      <c r="VIN125" s="72"/>
      <c r="VIO125" s="72"/>
      <c r="VIP125" s="72"/>
      <c r="VIQ125" s="72"/>
      <c r="VIR125" s="72"/>
      <c r="VIS125" s="72"/>
      <c r="VIT125" s="72"/>
      <c r="VIU125" s="72"/>
      <c r="VIV125" s="72"/>
      <c r="VIW125" s="72"/>
      <c r="VIX125" s="72"/>
      <c r="VIY125" s="72"/>
      <c r="VIZ125" s="72"/>
      <c r="VJA125" s="72"/>
      <c r="VJB125" s="72"/>
      <c r="VJC125" s="72"/>
      <c r="VJD125" s="72"/>
      <c r="VJE125" s="72"/>
      <c r="VJF125" s="72"/>
      <c r="VJG125" s="72"/>
      <c r="VJH125" s="72"/>
      <c r="VJI125" s="72"/>
      <c r="VJJ125" s="72"/>
      <c r="VJK125" s="72"/>
      <c r="VJL125" s="72"/>
      <c r="VJM125" s="72"/>
      <c r="VJN125" s="72"/>
      <c r="VJO125" s="72"/>
      <c r="VJP125" s="72"/>
      <c r="VJQ125" s="72"/>
      <c r="VJR125" s="72"/>
      <c r="VJS125" s="72"/>
      <c r="VJT125" s="72"/>
      <c r="VJU125" s="72"/>
      <c r="VJV125" s="72"/>
      <c r="VJW125" s="72"/>
      <c r="VJX125" s="72"/>
      <c r="VJY125" s="72"/>
      <c r="VJZ125" s="72"/>
      <c r="VKA125" s="72"/>
      <c r="VKB125" s="72"/>
      <c r="VKC125" s="72"/>
      <c r="VKD125" s="72"/>
      <c r="VKE125" s="72"/>
      <c r="VKF125" s="72"/>
      <c r="VKG125" s="72"/>
      <c r="VKH125" s="72"/>
      <c r="VKI125" s="72"/>
      <c r="VKJ125" s="72"/>
      <c r="VKK125" s="72"/>
      <c r="VKL125" s="72"/>
      <c r="VKM125" s="72"/>
      <c r="VKN125" s="72"/>
      <c r="VKO125" s="72"/>
      <c r="VKP125" s="72"/>
      <c r="VKQ125" s="72"/>
      <c r="VKR125" s="72"/>
      <c r="VKS125" s="72"/>
      <c r="VKT125" s="72"/>
      <c r="VKU125" s="72"/>
      <c r="VKV125" s="72"/>
      <c r="VKW125" s="72"/>
      <c r="VKX125" s="72"/>
      <c r="VKY125" s="72"/>
      <c r="VKZ125" s="72"/>
      <c r="VLA125" s="72"/>
      <c r="VLB125" s="72"/>
      <c r="VLC125" s="72"/>
      <c r="VLD125" s="72"/>
      <c r="VLE125" s="72"/>
      <c r="VLF125" s="72"/>
      <c r="VLG125" s="72"/>
      <c r="VLH125" s="72"/>
      <c r="VLI125" s="72"/>
      <c r="VLJ125" s="72"/>
      <c r="VLK125" s="72"/>
      <c r="VLL125" s="72"/>
      <c r="VLM125" s="72"/>
      <c r="VLN125" s="72"/>
      <c r="VLO125" s="72"/>
      <c r="VLP125" s="72"/>
      <c r="VLQ125" s="72"/>
      <c r="VLR125" s="72"/>
      <c r="VLS125" s="72"/>
      <c r="VLT125" s="72"/>
      <c r="VLU125" s="72"/>
      <c r="VLV125" s="72"/>
      <c r="VLW125" s="72"/>
      <c r="VLX125" s="72"/>
      <c r="VLY125" s="72"/>
      <c r="VLZ125" s="72"/>
      <c r="VMA125" s="72"/>
      <c r="VMB125" s="72"/>
      <c r="VMC125" s="72"/>
      <c r="VMD125" s="72"/>
      <c r="VME125" s="72"/>
      <c r="VMF125" s="72"/>
      <c r="VMG125" s="72"/>
      <c r="VMH125" s="72"/>
      <c r="VMI125" s="72"/>
      <c r="VMJ125" s="72"/>
      <c r="VMK125" s="72"/>
      <c r="VML125" s="72"/>
      <c r="VMM125" s="72"/>
      <c r="VMN125" s="72"/>
      <c r="VMO125" s="72"/>
      <c r="VMP125" s="72"/>
      <c r="VMQ125" s="72"/>
      <c r="VMR125" s="72"/>
      <c r="VMS125" s="72"/>
      <c r="VMT125" s="72"/>
      <c r="VMU125" s="72"/>
      <c r="VMV125" s="72"/>
      <c r="VMW125" s="72"/>
      <c r="VMX125" s="72"/>
      <c r="VMY125" s="72"/>
      <c r="VMZ125" s="72"/>
      <c r="VNA125" s="72"/>
      <c r="VNB125" s="72"/>
      <c r="VNC125" s="72"/>
      <c r="VND125" s="72"/>
      <c r="VNE125" s="72"/>
      <c r="VNF125" s="72"/>
      <c r="VNG125" s="72"/>
      <c r="VNH125" s="72"/>
      <c r="VNI125" s="72"/>
      <c r="VNJ125" s="72"/>
      <c r="VNK125" s="72"/>
      <c r="VNL125" s="72"/>
      <c r="VNM125" s="72"/>
      <c r="VNN125" s="72"/>
      <c r="VNO125" s="72"/>
      <c r="VNP125" s="72"/>
      <c r="VNQ125" s="72"/>
      <c r="VNR125" s="72"/>
      <c r="VNS125" s="72"/>
      <c r="VNT125" s="72"/>
      <c r="VNU125" s="72"/>
      <c r="VNV125" s="72"/>
      <c r="VNW125" s="72"/>
      <c r="VNX125" s="72"/>
      <c r="VNY125" s="72"/>
      <c r="VNZ125" s="72"/>
      <c r="VOA125" s="72"/>
      <c r="VOB125" s="72"/>
      <c r="VOC125" s="72"/>
      <c r="VOD125" s="72"/>
      <c r="VOE125" s="72"/>
      <c r="VOF125" s="72"/>
      <c r="VOG125" s="72"/>
      <c r="VOH125" s="72"/>
      <c r="VOI125" s="72"/>
      <c r="VOJ125" s="72"/>
      <c r="VOK125" s="72"/>
      <c r="VOL125" s="72"/>
      <c r="VOM125" s="72"/>
      <c r="VON125" s="72"/>
      <c r="VOO125" s="72"/>
      <c r="VOP125" s="72"/>
      <c r="VOQ125" s="72"/>
      <c r="VOR125" s="72"/>
      <c r="VOS125" s="72"/>
      <c r="VOT125" s="72"/>
      <c r="VOU125" s="72"/>
      <c r="VOV125" s="72"/>
      <c r="VOW125" s="72"/>
      <c r="VOX125" s="72"/>
      <c r="VOY125" s="72"/>
      <c r="VOZ125" s="72"/>
      <c r="VPA125" s="72"/>
      <c r="VPB125" s="72"/>
      <c r="VPC125" s="72"/>
      <c r="VPD125" s="72"/>
      <c r="VPE125" s="72"/>
      <c r="VPF125" s="72"/>
      <c r="VPG125" s="72"/>
      <c r="VPH125" s="72"/>
      <c r="VPI125" s="72"/>
      <c r="VPJ125" s="72"/>
      <c r="VPK125" s="72"/>
      <c r="VPL125" s="72"/>
      <c r="VPM125" s="72"/>
      <c r="VPN125" s="72"/>
      <c r="VPO125" s="72"/>
      <c r="VPP125" s="72"/>
      <c r="VPQ125" s="72"/>
      <c r="VPR125" s="72"/>
      <c r="VPS125" s="72"/>
      <c r="VPT125" s="72"/>
      <c r="VPU125" s="72"/>
      <c r="VPV125" s="72"/>
      <c r="VPW125" s="72"/>
      <c r="VPX125" s="72"/>
      <c r="VPY125" s="72"/>
      <c r="VPZ125" s="72"/>
      <c r="VQA125" s="72"/>
      <c r="VQB125" s="72"/>
      <c r="VQC125" s="72"/>
      <c r="VQD125" s="72"/>
      <c r="VQE125" s="72"/>
      <c r="VQF125" s="72"/>
      <c r="VQG125" s="72"/>
      <c r="VQH125" s="72"/>
      <c r="VQI125" s="72"/>
      <c r="VQJ125" s="72"/>
      <c r="VQK125" s="72"/>
      <c r="VQL125" s="72"/>
      <c r="VQM125" s="72"/>
      <c r="VQN125" s="72"/>
      <c r="VQO125" s="72"/>
      <c r="VQP125" s="72"/>
      <c r="VQQ125" s="72"/>
      <c r="VQR125" s="72"/>
      <c r="VQS125" s="72"/>
      <c r="VQT125" s="72"/>
      <c r="VQU125" s="72"/>
      <c r="VQV125" s="72"/>
      <c r="VQW125" s="72"/>
      <c r="VQX125" s="72"/>
      <c r="VQY125" s="72"/>
      <c r="VQZ125" s="72"/>
      <c r="VRA125" s="72"/>
      <c r="VRB125" s="72"/>
      <c r="VRC125" s="72"/>
      <c r="VRD125" s="72"/>
      <c r="VRE125" s="72"/>
      <c r="VRF125" s="72"/>
      <c r="VRG125" s="72"/>
      <c r="VRH125" s="72"/>
      <c r="VRI125" s="72"/>
      <c r="VRJ125" s="72"/>
      <c r="VRK125" s="72"/>
      <c r="VRL125" s="72"/>
      <c r="VRM125" s="72"/>
      <c r="VRN125" s="72"/>
      <c r="VRO125" s="72"/>
      <c r="VRP125" s="72"/>
      <c r="VRQ125" s="72"/>
      <c r="VRR125" s="72"/>
      <c r="VRS125" s="72"/>
      <c r="VRT125" s="72"/>
      <c r="VRU125" s="72"/>
      <c r="VRV125" s="72"/>
      <c r="VRW125" s="72"/>
      <c r="VRX125" s="72"/>
      <c r="VRY125" s="72"/>
      <c r="VRZ125" s="72"/>
      <c r="VSA125" s="72"/>
      <c r="VSB125" s="72"/>
      <c r="VSC125" s="72"/>
      <c r="VSD125" s="72"/>
      <c r="VSE125" s="72"/>
      <c r="VSF125" s="72"/>
      <c r="VSG125" s="72"/>
      <c r="VSH125" s="72"/>
      <c r="VSI125" s="72"/>
      <c r="VSJ125" s="72"/>
      <c r="VSK125" s="72"/>
      <c r="VSL125" s="72"/>
      <c r="VSM125" s="72"/>
      <c r="VSN125" s="72"/>
      <c r="VSO125" s="72"/>
      <c r="VSP125" s="72"/>
      <c r="VSQ125" s="72"/>
      <c r="VSR125" s="72"/>
      <c r="VSS125" s="72"/>
      <c r="VST125" s="72"/>
      <c r="VSU125" s="72"/>
      <c r="VSV125" s="72"/>
      <c r="VSW125" s="72"/>
      <c r="VSX125" s="72"/>
      <c r="VSY125" s="72"/>
      <c r="VSZ125" s="72"/>
      <c r="VTA125" s="72"/>
      <c r="VTB125" s="72"/>
      <c r="VTC125" s="72"/>
      <c r="VTD125" s="72"/>
      <c r="VTE125" s="72"/>
      <c r="VTF125" s="72"/>
      <c r="VTG125" s="72"/>
      <c r="VTH125" s="72"/>
      <c r="VTI125" s="72"/>
      <c r="VTJ125" s="72"/>
      <c r="VTK125" s="72"/>
      <c r="VTL125" s="72"/>
      <c r="VTM125" s="72"/>
      <c r="VTN125" s="72"/>
      <c r="VTO125" s="72"/>
      <c r="VTP125" s="72"/>
      <c r="VTQ125" s="72"/>
      <c r="VTR125" s="72"/>
      <c r="VTS125" s="72"/>
      <c r="VTT125" s="72"/>
      <c r="VTU125" s="72"/>
      <c r="VTV125" s="72"/>
      <c r="VTW125" s="72"/>
      <c r="VTX125" s="72"/>
      <c r="VTY125" s="72"/>
      <c r="VTZ125" s="72"/>
      <c r="VUA125" s="72"/>
      <c r="VUB125" s="72"/>
      <c r="VUC125" s="72"/>
      <c r="VUD125" s="72"/>
      <c r="VUE125" s="72"/>
      <c r="VUF125" s="72"/>
      <c r="VUG125" s="72"/>
      <c r="VUH125" s="72"/>
      <c r="VUI125" s="72"/>
      <c r="VUJ125" s="72"/>
      <c r="VUK125" s="72"/>
      <c r="VUL125" s="72"/>
      <c r="VUM125" s="72"/>
      <c r="VUN125" s="72"/>
      <c r="VUO125" s="72"/>
      <c r="VUP125" s="72"/>
      <c r="VUQ125" s="72"/>
      <c r="VUR125" s="72"/>
      <c r="VUS125" s="72"/>
      <c r="VUT125" s="72"/>
      <c r="VUU125" s="72"/>
      <c r="VUV125" s="72"/>
      <c r="VUW125" s="72"/>
      <c r="VUX125" s="72"/>
      <c r="VUY125" s="72"/>
      <c r="VUZ125" s="72"/>
      <c r="VVA125" s="72"/>
      <c r="VVB125" s="72"/>
      <c r="VVC125" s="72"/>
      <c r="VVD125" s="72"/>
      <c r="VVE125" s="72"/>
      <c r="VVF125" s="72"/>
      <c r="VVG125" s="72"/>
      <c r="VVH125" s="72"/>
      <c r="VVI125" s="72"/>
      <c r="VVJ125" s="72"/>
      <c r="VVK125" s="72"/>
      <c r="VVL125" s="72"/>
      <c r="VVM125" s="72"/>
      <c r="VVN125" s="72"/>
      <c r="VVO125" s="72"/>
      <c r="VVP125" s="72"/>
      <c r="VVQ125" s="72"/>
      <c r="VVR125" s="72"/>
      <c r="VVS125" s="72"/>
      <c r="VVT125" s="72"/>
      <c r="VVU125" s="72"/>
      <c r="VVV125" s="72"/>
      <c r="VVW125" s="72"/>
      <c r="VVX125" s="72"/>
      <c r="VVY125" s="72"/>
      <c r="VVZ125" s="72"/>
      <c r="VWA125" s="72"/>
      <c r="VWB125" s="72"/>
      <c r="VWC125" s="72"/>
      <c r="VWD125" s="72"/>
      <c r="VWE125" s="72"/>
      <c r="VWF125" s="72"/>
      <c r="VWG125" s="72"/>
      <c r="VWH125" s="72"/>
      <c r="VWI125" s="72"/>
      <c r="VWJ125" s="72"/>
      <c r="VWK125" s="72"/>
      <c r="VWL125" s="72"/>
      <c r="VWM125" s="72"/>
      <c r="VWN125" s="72"/>
      <c r="VWO125" s="72"/>
      <c r="VWP125" s="72"/>
      <c r="VWQ125" s="72"/>
      <c r="VWR125" s="72"/>
      <c r="VWS125" s="72"/>
      <c r="VWT125" s="72"/>
      <c r="VWU125" s="72"/>
      <c r="VWV125" s="72"/>
      <c r="VWW125" s="72"/>
      <c r="VWX125" s="72"/>
      <c r="VWY125" s="72"/>
      <c r="VWZ125" s="72"/>
      <c r="VXA125" s="72"/>
      <c r="VXB125" s="72"/>
      <c r="VXC125" s="72"/>
      <c r="VXD125" s="72"/>
      <c r="VXE125" s="72"/>
      <c r="VXF125" s="72"/>
      <c r="VXG125" s="72"/>
      <c r="VXH125" s="72"/>
      <c r="VXI125" s="72"/>
      <c r="VXJ125" s="72"/>
      <c r="VXK125" s="72"/>
      <c r="VXL125" s="72"/>
      <c r="VXM125" s="72"/>
      <c r="VXN125" s="72"/>
      <c r="VXO125" s="72"/>
      <c r="VXP125" s="72"/>
      <c r="VXQ125" s="72"/>
      <c r="VXR125" s="72"/>
      <c r="VXS125" s="72"/>
      <c r="VXT125" s="72"/>
      <c r="VXU125" s="72"/>
      <c r="VXV125" s="72"/>
      <c r="VXW125" s="72"/>
      <c r="VXX125" s="72"/>
      <c r="VXY125" s="72"/>
      <c r="VXZ125" s="72"/>
      <c r="VYA125" s="72"/>
      <c r="VYB125" s="72"/>
      <c r="VYC125" s="72"/>
      <c r="VYD125" s="72"/>
      <c r="VYE125" s="72"/>
      <c r="VYF125" s="72"/>
      <c r="VYG125" s="72"/>
      <c r="VYH125" s="72"/>
      <c r="VYI125" s="72"/>
      <c r="VYJ125" s="72"/>
      <c r="VYK125" s="72"/>
      <c r="VYL125" s="72"/>
      <c r="VYM125" s="72"/>
      <c r="VYN125" s="72"/>
      <c r="VYO125" s="72"/>
      <c r="VYP125" s="72"/>
      <c r="VYQ125" s="72"/>
      <c r="VYR125" s="72"/>
      <c r="VYS125" s="72"/>
      <c r="VYT125" s="72"/>
      <c r="VYU125" s="72"/>
      <c r="VYV125" s="72"/>
      <c r="VYW125" s="72"/>
      <c r="VYX125" s="72"/>
      <c r="VYY125" s="72"/>
      <c r="VYZ125" s="72"/>
      <c r="VZA125" s="72"/>
      <c r="VZB125" s="72"/>
      <c r="VZC125" s="72"/>
      <c r="VZD125" s="72"/>
      <c r="VZE125" s="72"/>
      <c r="VZF125" s="72"/>
      <c r="VZG125" s="72"/>
      <c r="VZH125" s="72"/>
      <c r="VZI125" s="72"/>
      <c r="VZJ125" s="72"/>
      <c r="VZK125" s="72"/>
      <c r="VZL125" s="72"/>
      <c r="VZM125" s="72"/>
      <c r="VZN125" s="72"/>
      <c r="VZO125" s="72"/>
      <c r="VZP125" s="72"/>
      <c r="VZQ125" s="72"/>
      <c r="VZR125" s="72"/>
      <c r="VZS125" s="72"/>
      <c r="VZT125" s="72"/>
      <c r="VZU125" s="72"/>
      <c r="VZV125" s="72"/>
      <c r="VZW125" s="72"/>
      <c r="VZX125" s="72"/>
      <c r="VZY125" s="72"/>
      <c r="VZZ125" s="72"/>
      <c r="WAA125" s="72"/>
      <c r="WAB125" s="72"/>
      <c r="WAC125" s="72"/>
      <c r="WAD125" s="72"/>
      <c r="WAE125" s="72"/>
      <c r="WAF125" s="72"/>
      <c r="WAG125" s="72"/>
      <c r="WAH125" s="72"/>
      <c r="WAI125" s="72"/>
      <c r="WAJ125" s="72"/>
      <c r="WAK125" s="72"/>
      <c r="WAL125" s="72"/>
      <c r="WAM125" s="72"/>
      <c r="WAN125" s="72"/>
      <c r="WAO125" s="72"/>
      <c r="WAP125" s="72"/>
      <c r="WAQ125" s="72"/>
      <c r="WAR125" s="72"/>
      <c r="WAS125" s="72"/>
      <c r="WAT125" s="72"/>
      <c r="WAU125" s="72"/>
      <c r="WAV125" s="72"/>
      <c r="WAW125" s="72"/>
      <c r="WAX125" s="72"/>
      <c r="WAY125" s="72"/>
      <c r="WAZ125" s="72"/>
      <c r="WBA125" s="72"/>
      <c r="WBB125" s="72"/>
      <c r="WBC125" s="72"/>
      <c r="WBD125" s="72"/>
      <c r="WBE125" s="72"/>
      <c r="WBF125" s="72"/>
      <c r="WBG125" s="72"/>
      <c r="WBH125" s="72"/>
      <c r="WBI125" s="72"/>
      <c r="WBJ125" s="72"/>
      <c r="WBK125" s="72"/>
      <c r="WBL125" s="72"/>
      <c r="WBM125" s="72"/>
      <c r="WBN125" s="72"/>
      <c r="WBO125" s="72"/>
      <c r="WBP125" s="72"/>
      <c r="WBQ125" s="72"/>
      <c r="WBR125" s="72"/>
      <c r="WBS125" s="72"/>
      <c r="WBT125" s="72"/>
      <c r="WBU125" s="72"/>
      <c r="WBV125" s="72"/>
      <c r="WBW125" s="72"/>
      <c r="WBX125" s="72"/>
      <c r="WBY125" s="72"/>
      <c r="WBZ125" s="72"/>
      <c r="WCA125" s="72"/>
      <c r="WCB125" s="72"/>
      <c r="WCC125" s="72"/>
      <c r="WCD125" s="72"/>
      <c r="WCE125" s="72"/>
      <c r="WCF125" s="72"/>
      <c r="WCG125" s="72"/>
      <c r="WCH125" s="72"/>
      <c r="WCI125" s="72"/>
      <c r="WCJ125" s="72"/>
      <c r="WCK125" s="72"/>
      <c r="WCL125" s="72"/>
      <c r="WCM125" s="72"/>
      <c r="WCN125" s="72"/>
      <c r="WCO125" s="72"/>
      <c r="WCP125" s="72"/>
      <c r="WCQ125" s="72"/>
      <c r="WCR125" s="72"/>
      <c r="WCS125" s="72"/>
      <c r="WCT125" s="72"/>
      <c r="WCU125" s="72"/>
      <c r="WCV125" s="72"/>
      <c r="WCW125" s="72"/>
      <c r="WCX125" s="72"/>
      <c r="WCY125" s="72"/>
      <c r="WCZ125" s="72"/>
      <c r="WDA125" s="72"/>
      <c r="WDB125" s="72"/>
      <c r="WDC125" s="72"/>
      <c r="WDD125" s="72"/>
      <c r="WDE125" s="72"/>
      <c r="WDF125" s="72"/>
      <c r="WDG125" s="72"/>
      <c r="WDH125" s="72"/>
      <c r="WDI125" s="72"/>
      <c r="WDJ125" s="72"/>
      <c r="WDK125" s="72"/>
      <c r="WDL125" s="72"/>
      <c r="WDM125" s="72"/>
      <c r="WDN125" s="72"/>
      <c r="WDO125" s="72"/>
      <c r="WDP125" s="72"/>
      <c r="WDQ125" s="72"/>
      <c r="WDR125" s="72"/>
      <c r="WDS125" s="72"/>
      <c r="WDT125" s="72"/>
      <c r="WDU125" s="72"/>
      <c r="WDV125" s="72"/>
      <c r="WDW125" s="72"/>
      <c r="WDX125" s="72"/>
      <c r="WDY125" s="72"/>
      <c r="WDZ125" s="72"/>
      <c r="WEA125" s="72"/>
      <c r="WEB125" s="72"/>
      <c r="WEC125" s="72"/>
      <c r="WED125" s="72"/>
      <c r="WEE125" s="72"/>
      <c r="WEF125" s="72"/>
      <c r="WEG125" s="72"/>
      <c r="WEH125" s="72"/>
      <c r="WEI125" s="72"/>
      <c r="WEJ125" s="72"/>
      <c r="WEK125" s="72"/>
      <c r="WEL125" s="72"/>
      <c r="WEM125" s="72"/>
      <c r="WEN125" s="72"/>
      <c r="WEO125" s="72"/>
      <c r="WEP125" s="72"/>
      <c r="WEQ125" s="72"/>
      <c r="WER125" s="72"/>
      <c r="WES125" s="72"/>
      <c r="WET125" s="72"/>
      <c r="WEU125" s="72"/>
      <c r="WEV125" s="72"/>
      <c r="WEW125" s="72"/>
      <c r="WEX125" s="72"/>
      <c r="WEY125" s="72"/>
      <c r="WEZ125" s="72"/>
      <c r="WFA125" s="72"/>
      <c r="WFB125" s="72"/>
      <c r="WFC125" s="72"/>
      <c r="WFD125" s="72"/>
      <c r="WFE125" s="72"/>
      <c r="WFF125" s="72"/>
      <c r="WFG125" s="72"/>
      <c r="WFH125" s="72"/>
      <c r="WFI125" s="72"/>
      <c r="WFJ125" s="72"/>
      <c r="WFK125" s="72"/>
      <c r="WFL125" s="72"/>
      <c r="WFM125" s="72"/>
      <c r="WFN125" s="72"/>
      <c r="WFO125" s="72"/>
      <c r="WFP125" s="72"/>
      <c r="WFQ125" s="72"/>
      <c r="WFR125" s="72"/>
      <c r="WFS125" s="72"/>
      <c r="WFT125" s="72"/>
      <c r="WFU125" s="72"/>
      <c r="WFV125" s="72"/>
      <c r="WFW125" s="72"/>
      <c r="WFX125" s="72"/>
      <c r="WFY125" s="72"/>
      <c r="WFZ125" s="72"/>
      <c r="WGA125" s="72"/>
      <c r="WGB125" s="72"/>
      <c r="WGC125" s="72"/>
      <c r="WGD125" s="72"/>
      <c r="WGE125" s="72"/>
      <c r="WGF125" s="72"/>
      <c r="WGG125" s="72"/>
      <c r="WGH125" s="72"/>
      <c r="WGI125" s="72"/>
      <c r="WGJ125" s="72"/>
      <c r="WGK125" s="72"/>
      <c r="WGL125" s="72"/>
      <c r="WGM125" s="72"/>
      <c r="WGN125" s="72"/>
      <c r="WGO125" s="72"/>
      <c r="WGP125" s="72"/>
      <c r="WGQ125" s="72"/>
      <c r="WGR125" s="72"/>
      <c r="WGS125" s="72"/>
      <c r="WGT125" s="72"/>
      <c r="WGU125" s="72"/>
      <c r="WGV125" s="72"/>
      <c r="WGW125" s="72"/>
      <c r="WGX125" s="72"/>
      <c r="WGY125" s="72"/>
      <c r="WGZ125" s="72"/>
      <c r="WHA125" s="72"/>
      <c r="WHB125" s="72"/>
      <c r="WHC125" s="72"/>
      <c r="WHD125" s="72"/>
      <c r="WHE125" s="72"/>
      <c r="WHF125" s="72"/>
      <c r="WHG125" s="72"/>
      <c r="WHH125" s="72"/>
      <c r="WHI125" s="72"/>
      <c r="WHJ125" s="72"/>
      <c r="WHK125" s="72"/>
      <c r="WHL125" s="72"/>
      <c r="WHM125" s="72"/>
      <c r="WHN125" s="72"/>
      <c r="WHO125" s="72"/>
      <c r="WHP125" s="72"/>
      <c r="WHQ125" s="72"/>
      <c r="WHR125" s="72"/>
      <c r="WHS125" s="72"/>
      <c r="WHT125" s="72"/>
      <c r="WHU125" s="72"/>
      <c r="WHV125" s="72"/>
      <c r="WHW125" s="72"/>
      <c r="WHX125" s="72"/>
      <c r="WHY125" s="72"/>
      <c r="WHZ125" s="72"/>
      <c r="WIA125" s="72"/>
      <c r="WIB125" s="72"/>
      <c r="WIC125" s="72"/>
      <c r="WID125" s="72"/>
      <c r="WIE125" s="72"/>
      <c r="WIF125" s="72"/>
      <c r="WIG125" s="72"/>
      <c r="WIH125" s="72"/>
      <c r="WII125" s="72"/>
      <c r="WIJ125" s="72"/>
      <c r="WIK125" s="72"/>
      <c r="WIL125" s="72"/>
      <c r="WIM125" s="72"/>
      <c r="WIN125" s="72"/>
      <c r="WIO125" s="72"/>
      <c r="WIP125" s="72"/>
      <c r="WIQ125" s="72"/>
      <c r="WIR125" s="72"/>
      <c r="WIS125" s="72"/>
      <c r="WIT125" s="72"/>
      <c r="WIU125" s="72"/>
      <c r="WIV125" s="72"/>
      <c r="WIW125" s="72"/>
      <c r="WIX125" s="72"/>
      <c r="WIY125" s="72"/>
      <c r="WIZ125" s="72"/>
      <c r="WJA125" s="72"/>
      <c r="WJB125" s="72"/>
      <c r="WJC125" s="72"/>
      <c r="WJD125" s="72"/>
      <c r="WJE125" s="72"/>
      <c r="WJF125" s="72"/>
      <c r="WJG125" s="72"/>
      <c r="WJH125" s="72"/>
      <c r="WJI125" s="72"/>
      <c r="WJJ125" s="72"/>
      <c r="WJK125" s="72"/>
      <c r="WJL125" s="72"/>
      <c r="WJM125" s="72"/>
      <c r="WJN125" s="72"/>
      <c r="WJO125" s="72"/>
      <c r="WJP125" s="72"/>
      <c r="WJQ125" s="72"/>
      <c r="WJR125" s="72"/>
      <c r="WJS125" s="72"/>
      <c r="WJT125" s="72"/>
      <c r="WJU125" s="72"/>
      <c r="WJV125" s="72"/>
      <c r="WJW125" s="72"/>
      <c r="WJX125" s="72"/>
      <c r="WJY125" s="72"/>
      <c r="WJZ125" s="72"/>
      <c r="WKA125" s="72"/>
      <c r="WKB125" s="72"/>
      <c r="WKC125" s="72"/>
      <c r="WKD125" s="72"/>
      <c r="WKE125" s="72"/>
      <c r="WKF125" s="72"/>
      <c r="WKG125" s="72"/>
      <c r="WKH125" s="72"/>
      <c r="WKI125" s="72"/>
      <c r="WKJ125" s="72"/>
      <c r="WKK125" s="72"/>
      <c r="WKL125" s="72"/>
      <c r="WKM125" s="72"/>
      <c r="WKN125" s="72"/>
      <c r="WKO125" s="72"/>
      <c r="WKP125" s="72"/>
      <c r="WKQ125" s="72"/>
      <c r="WKR125" s="72"/>
      <c r="WKS125" s="72"/>
      <c r="WKT125" s="72"/>
      <c r="WKU125" s="72"/>
      <c r="WKV125" s="72"/>
      <c r="WKW125" s="72"/>
      <c r="WKX125" s="72"/>
      <c r="WKY125" s="72"/>
      <c r="WKZ125" s="72"/>
      <c r="WLA125" s="72"/>
      <c r="WLB125" s="72"/>
      <c r="WLC125" s="72"/>
      <c r="WLD125" s="72"/>
      <c r="WLE125" s="72"/>
      <c r="WLF125" s="72"/>
      <c r="WLG125" s="72"/>
      <c r="WLH125" s="72"/>
      <c r="WLI125" s="72"/>
      <c r="WLJ125" s="72"/>
      <c r="WLK125" s="72"/>
      <c r="WLL125" s="72"/>
      <c r="WLM125" s="72"/>
      <c r="WLN125" s="72"/>
      <c r="WLO125" s="72"/>
      <c r="WLP125" s="72"/>
      <c r="WLQ125" s="72"/>
      <c r="WLR125" s="72"/>
      <c r="WLS125" s="72"/>
      <c r="WLT125" s="72"/>
      <c r="WLU125" s="72"/>
      <c r="WLV125" s="72"/>
      <c r="WLW125" s="72"/>
      <c r="WLX125" s="72"/>
      <c r="WLY125" s="72"/>
      <c r="WLZ125" s="72"/>
      <c r="WMA125" s="72"/>
      <c r="WMB125" s="72"/>
      <c r="WMC125" s="72"/>
      <c r="WMD125" s="72"/>
      <c r="WME125" s="72"/>
      <c r="WMF125" s="72"/>
      <c r="WMG125" s="72"/>
      <c r="WMH125" s="72"/>
      <c r="WMI125" s="72"/>
      <c r="WMJ125" s="72"/>
      <c r="WMK125" s="72"/>
      <c r="WML125" s="72"/>
      <c r="WMM125" s="72"/>
      <c r="WMN125" s="72"/>
      <c r="WMO125" s="72"/>
      <c r="WMP125" s="72"/>
      <c r="WMQ125" s="72"/>
      <c r="WMR125" s="72"/>
      <c r="WMS125" s="72"/>
      <c r="WMT125" s="72"/>
      <c r="WMU125" s="72"/>
      <c r="WMV125" s="72"/>
      <c r="WMW125" s="72"/>
      <c r="WMX125" s="72"/>
      <c r="WMY125" s="72"/>
      <c r="WMZ125" s="72"/>
      <c r="WNA125" s="72"/>
      <c r="WNB125" s="72"/>
      <c r="WNC125" s="72"/>
      <c r="WND125" s="72"/>
      <c r="WNE125" s="72"/>
      <c r="WNF125" s="72"/>
      <c r="WNG125" s="72"/>
      <c r="WNH125" s="72"/>
      <c r="WNI125" s="72"/>
      <c r="WNJ125" s="72"/>
      <c r="WNK125" s="72"/>
      <c r="WNL125" s="72"/>
      <c r="WNM125" s="72"/>
      <c r="WNN125" s="72"/>
      <c r="WNO125" s="72"/>
      <c r="WNP125" s="72"/>
      <c r="WNQ125" s="72"/>
      <c r="WNR125" s="72"/>
      <c r="WNS125" s="72"/>
      <c r="WNT125" s="72"/>
      <c r="WNU125" s="72"/>
      <c r="WNV125" s="72"/>
      <c r="WNW125" s="72"/>
      <c r="WNX125" s="72"/>
      <c r="WNY125" s="72"/>
      <c r="WNZ125" s="72"/>
      <c r="WOA125" s="72"/>
      <c r="WOB125" s="72"/>
      <c r="WOC125" s="72"/>
      <c r="WOD125" s="72"/>
      <c r="WOE125" s="72"/>
      <c r="WOF125" s="72"/>
      <c r="WOG125" s="72"/>
      <c r="WOH125" s="72"/>
      <c r="WOI125" s="72"/>
      <c r="WOJ125" s="72"/>
      <c r="WOK125" s="72"/>
      <c r="WOL125" s="72"/>
      <c r="WOM125" s="72"/>
      <c r="WON125" s="72"/>
      <c r="WOO125" s="72"/>
      <c r="WOP125" s="72"/>
      <c r="WOQ125" s="72"/>
      <c r="WOR125" s="72"/>
      <c r="WOS125" s="72"/>
      <c r="WOT125" s="72"/>
      <c r="WOU125" s="72"/>
      <c r="WOV125" s="72"/>
      <c r="WOW125" s="72"/>
      <c r="WOX125" s="72"/>
      <c r="WOY125" s="72"/>
      <c r="WOZ125" s="72"/>
      <c r="WPA125" s="72"/>
      <c r="WPB125" s="72"/>
      <c r="WPC125" s="72"/>
      <c r="WPD125" s="72"/>
      <c r="WPE125" s="72"/>
      <c r="WPF125" s="72"/>
      <c r="WPG125" s="72"/>
      <c r="WPH125" s="72"/>
      <c r="WPI125" s="72"/>
      <c r="WPJ125" s="72"/>
      <c r="WPK125" s="72"/>
      <c r="WPL125" s="72"/>
      <c r="WPM125" s="72"/>
      <c r="WPN125" s="72"/>
      <c r="WPO125" s="72"/>
      <c r="WPP125" s="72"/>
      <c r="WPQ125" s="72"/>
      <c r="WPR125" s="72"/>
      <c r="WPS125" s="72"/>
      <c r="WPT125" s="72"/>
      <c r="WPU125" s="72"/>
      <c r="WPV125" s="72"/>
      <c r="WPW125" s="72"/>
      <c r="WPX125" s="72"/>
      <c r="WPY125" s="72"/>
      <c r="WPZ125" s="72"/>
      <c r="WQA125" s="72"/>
      <c r="WQB125" s="72"/>
      <c r="WQC125" s="72"/>
      <c r="WQD125" s="72"/>
      <c r="WQE125" s="72"/>
      <c r="WQF125" s="72"/>
      <c r="WQG125" s="72"/>
      <c r="WQH125" s="72"/>
      <c r="WQI125" s="72"/>
      <c r="WQJ125" s="72"/>
      <c r="WQK125" s="72"/>
      <c r="WQL125" s="72"/>
      <c r="WQM125" s="72"/>
      <c r="WQN125" s="72"/>
      <c r="WQO125" s="72"/>
      <c r="WQP125" s="72"/>
      <c r="WQQ125" s="72"/>
      <c r="WQR125" s="72"/>
      <c r="WQS125" s="72"/>
      <c r="WQT125" s="72"/>
      <c r="WQU125" s="72"/>
      <c r="WQV125" s="72"/>
      <c r="WQW125" s="72"/>
      <c r="WQX125" s="72"/>
      <c r="WQY125" s="72"/>
      <c r="WQZ125" s="72"/>
      <c r="WRA125" s="72"/>
      <c r="WRB125" s="72"/>
      <c r="WRC125" s="72"/>
      <c r="WRD125" s="72"/>
      <c r="WRE125" s="72"/>
      <c r="WRF125" s="72"/>
      <c r="WRG125" s="72"/>
      <c r="WRH125" s="72"/>
      <c r="WRI125" s="72"/>
      <c r="WRJ125" s="72"/>
      <c r="WRK125" s="72"/>
      <c r="WRL125" s="72"/>
      <c r="WRM125" s="72"/>
      <c r="WRN125" s="72"/>
      <c r="WRO125" s="72"/>
      <c r="WRP125" s="72"/>
      <c r="WRQ125" s="72"/>
      <c r="WRR125" s="72"/>
      <c r="WRS125" s="72"/>
      <c r="WRT125" s="72"/>
      <c r="WRU125" s="72"/>
      <c r="WRV125" s="72"/>
      <c r="WRW125" s="72"/>
      <c r="WRX125" s="72"/>
      <c r="WRY125" s="72"/>
      <c r="WRZ125" s="72"/>
      <c r="WSA125" s="72"/>
      <c r="WSB125" s="72"/>
      <c r="WSC125" s="72"/>
      <c r="WSD125" s="72"/>
      <c r="WSE125" s="72"/>
      <c r="WSF125" s="72"/>
      <c r="WSG125" s="72"/>
      <c r="WSH125" s="72"/>
      <c r="WSI125" s="72"/>
      <c r="WSJ125" s="72"/>
      <c r="WSK125" s="72"/>
      <c r="WSL125" s="72"/>
      <c r="WSM125" s="72"/>
      <c r="WSN125" s="72"/>
      <c r="WSO125" s="72"/>
      <c r="WSP125" s="72"/>
      <c r="WSQ125" s="72"/>
      <c r="WSR125" s="72"/>
      <c r="WSS125" s="72"/>
      <c r="WST125" s="72"/>
      <c r="WSU125" s="72"/>
      <c r="WSV125" s="72"/>
      <c r="WSW125" s="72"/>
      <c r="WSX125" s="72"/>
      <c r="WSY125" s="72"/>
      <c r="WSZ125" s="72"/>
      <c r="WTA125" s="72"/>
      <c r="WTB125" s="72"/>
      <c r="WTC125" s="72"/>
      <c r="WTD125" s="72"/>
      <c r="WTE125" s="72"/>
      <c r="WTF125" s="72"/>
      <c r="WTG125" s="72"/>
      <c r="WTH125" s="72"/>
      <c r="WTI125" s="72"/>
      <c r="WTJ125" s="72"/>
      <c r="WTK125" s="72"/>
      <c r="WTL125" s="72"/>
      <c r="WTM125" s="72"/>
      <c r="WTN125" s="72"/>
      <c r="WTO125" s="72"/>
      <c r="WTP125" s="72"/>
      <c r="WTQ125" s="72"/>
      <c r="WTR125" s="72"/>
      <c r="WTS125" s="72"/>
      <c r="WTT125" s="72"/>
      <c r="WTU125" s="72"/>
      <c r="WTV125" s="72"/>
      <c r="WTW125" s="72"/>
      <c r="WTX125" s="72"/>
      <c r="WTY125" s="72"/>
      <c r="WTZ125" s="72"/>
      <c r="WUA125" s="72"/>
      <c r="WUB125" s="72"/>
      <c r="WUC125" s="72"/>
      <c r="WUD125" s="72"/>
      <c r="WUE125" s="72"/>
      <c r="WUF125" s="72"/>
      <c r="WUG125" s="72"/>
      <c r="WUH125" s="72"/>
      <c r="WUI125" s="72"/>
      <c r="WUJ125" s="72"/>
      <c r="WUK125" s="72"/>
      <c r="WUL125" s="72"/>
      <c r="WUM125" s="72"/>
      <c r="WUN125" s="72"/>
      <c r="WUO125" s="72"/>
      <c r="WUP125" s="72"/>
      <c r="WUQ125" s="72"/>
      <c r="WUR125" s="72"/>
      <c r="WUS125" s="72"/>
      <c r="WUT125" s="72"/>
      <c r="WUU125" s="72"/>
      <c r="WUV125" s="72"/>
      <c r="WUW125" s="72"/>
      <c r="WUX125" s="72"/>
      <c r="WUY125" s="72"/>
      <c r="WUZ125" s="72"/>
      <c r="WVA125" s="72"/>
      <c r="WVB125" s="72"/>
      <c r="WVC125" s="72"/>
      <c r="WVD125" s="72"/>
      <c r="WVE125" s="72"/>
      <c r="WVF125" s="72"/>
      <c r="WVG125" s="72"/>
      <c r="WVH125" s="72"/>
      <c r="WVI125" s="72"/>
      <c r="WVJ125" s="72"/>
      <c r="WVK125" s="72"/>
      <c r="WVL125" s="72"/>
      <c r="WVM125" s="72"/>
      <c r="WVN125" s="72"/>
      <c r="WVO125" s="72"/>
      <c r="WVP125" s="72"/>
      <c r="WVQ125" s="72"/>
      <c r="WVR125" s="72"/>
      <c r="WVS125" s="72"/>
      <c r="WVT125" s="72"/>
    </row>
    <row r="126" spans="1:16140" ht="147" customHeight="1" x14ac:dyDescent="0.25">
      <c r="A126" s="81">
        <v>141</v>
      </c>
      <c r="B126" s="81" t="s">
        <v>193</v>
      </c>
      <c r="C126" s="51" t="s">
        <v>42</v>
      </c>
      <c r="D126" s="45" t="s">
        <v>39</v>
      </c>
      <c r="E126" s="45"/>
      <c r="F126" s="45">
        <v>995</v>
      </c>
      <c r="G126" s="45">
        <v>1245</v>
      </c>
      <c r="H126" s="46">
        <f t="shared" si="42"/>
        <v>1.238775</v>
      </c>
      <c r="I126" s="45">
        <v>1</v>
      </c>
      <c r="J126" s="53">
        <v>2534000</v>
      </c>
      <c r="K126" s="47"/>
      <c r="L126" s="48">
        <f t="shared" ref="L126:L133" si="43">IF(H126&lt;&gt;0,J126*H126*I126+K126*I126,IF(J126&lt;&gt;0,G126*I126*J126,I126*K126))</f>
        <v>3139055.85</v>
      </c>
      <c r="M126" s="115"/>
      <c r="N126" s="28"/>
      <c r="O126" s="85"/>
      <c r="P126" s="28"/>
      <c r="Q126" s="28"/>
      <c r="R126" s="28"/>
      <c r="S126" s="28"/>
      <c r="T126" s="28"/>
      <c r="U126" s="28"/>
      <c r="V126" s="28"/>
      <c r="W126" s="28"/>
      <c r="X126" s="28"/>
      <c r="Y126" s="28"/>
      <c r="Z126" s="28"/>
      <c r="AA126" s="28"/>
      <c r="AB126" s="28"/>
      <c r="AC126" s="28"/>
      <c r="AD126" s="28"/>
      <c r="AE126" s="28"/>
      <c r="AF126" s="28"/>
      <c r="AG126" s="28"/>
      <c r="AH126" s="28"/>
      <c r="AI126" s="28"/>
    </row>
    <row r="127" spans="1:16140" ht="147" customHeight="1" x14ac:dyDescent="0.25">
      <c r="A127" s="81">
        <v>142</v>
      </c>
      <c r="B127" s="81" t="s">
        <v>194</v>
      </c>
      <c r="C127" s="51" t="s">
        <v>42</v>
      </c>
      <c r="D127" s="45" t="s">
        <v>39</v>
      </c>
      <c r="E127" s="45"/>
      <c r="F127" s="45">
        <v>1595</v>
      </c>
      <c r="G127" s="45">
        <v>1245</v>
      </c>
      <c r="H127" s="46">
        <f t="shared" si="42"/>
        <v>1.9857750000000001</v>
      </c>
      <c r="I127" s="45">
        <v>1</v>
      </c>
      <c r="J127" s="53">
        <v>2368000</v>
      </c>
      <c r="K127" s="47"/>
      <c r="L127" s="48">
        <f t="shared" si="43"/>
        <v>4702315.2</v>
      </c>
      <c r="M127" s="115"/>
      <c r="N127" s="28"/>
      <c r="O127" s="85"/>
      <c r="P127" s="28"/>
      <c r="Q127" s="28"/>
      <c r="R127" s="28"/>
      <c r="S127" s="28"/>
      <c r="T127" s="28"/>
      <c r="U127" s="28"/>
      <c r="V127" s="28"/>
      <c r="W127" s="28"/>
      <c r="X127" s="28"/>
      <c r="Y127" s="28"/>
      <c r="Z127" s="28"/>
      <c r="AA127" s="28"/>
      <c r="AB127" s="28"/>
      <c r="AC127" s="28"/>
      <c r="AD127" s="28"/>
      <c r="AE127" s="28"/>
      <c r="AF127" s="28"/>
      <c r="AG127" s="28"/>
      <c r="AH127" s="28"/>
      <c r="AI127" s="28"/>
    </row>
    <row r="128" spans="1:16140" ht="147" customHeight="1" x14ac:dyDescent="0.25">
      <c r="A128" s="81">
        <v>143</v>
      </c>
      <c r="B128" s="81" t="s">
        <v>195</v>
      </c>
      <c r="C128" s="51" t="s">
        <v>42</v>
      </c>
      <c r="D128" s="45" t="s">
        <v>39</v>
      </c>
      <c r="E128" s="45"/>
      <c r="F128" s="45">
        <v>1000</v>
      </c>
      <c r="G128" s="45">
        <v>1245</v>
      </c>
      <c r="H128" s="46">
        <f t="shared" si="42"/>
        <v>1.2450000000000001</v>
      </c>
      <c r="I128" s="45">
        <v>1</v>
      </c>
      <c r="J128" s="53">
        <v>2532000</v>
      </c>
      <c r="K128" s="47"/>
      <c r="L128" s="48">
        <f t="shared" si="43"/>
        <v>3152340.0000000005</v>
      </c>
      <c r="M128" s="115"/>
      <c r="N128" s="28"/>
      <c r="O128" s="85"/>
      <c r="P128" s="28"/>
      <c r="Q128" s="28"/>
      <c r="R128" s="28"/>
      <c r="S128" s="28"/>
      <c r="T128" s="28"/>
      <c r="U128" s="28"/>
      <c r="V128" s="28"/>
      <c r="W128" s="28"/>
      <c r="X128" s="28"/>
      <c r="Y128" s="28"/>
      <c r="Z128" s="28"/>
      <c r="AA128" s="28"/>
      <c r="AB128" s="28"/>
      <c r="AC128" s="28"/>
      <c r="AD128" s="28"/>
      <c r="AE128" s="28"/>
      <c r="AF128" s="28"/>
      <c r="AG128" s="28"/>
      <c r="AH128" s="28"/>
      <c r="AI128" s="28"/>
    </row>
    <row r="129" spans="1:16140" ht="147" customHeight="1" x14ac:dyDescent="0.25">
      <c r="A129" s="135">
        <v>144</v>
      </c>
      <c r="B129" s="135" t="s">
        <v>196</v>
      </c>
      <c r="C129" s="51" t="s">
        <v>42</v>
      </c>
      <c r="D129" s="45" t="s">
        <v>207</v>
      </c>
      <c r="E129" s="45"/>
      <c r="F129" s="45">
        <v>1617</v>
      </c>
      <c r="G129" s="45">
        <v>1245</v>
      </c>
      <c r="H129" s="46">
        <f t="shared" si="42"/>
        <v>2.0131649999999999</v>
      </c>
      <c r="I129" s="45">
        <v>1</v>
      </c>
      <c r="J129" s="53">
        <v>4185000</v>
      </c>
      <c r="K129" s="47"/>
      <c r="L129" s="48">
        <f t="shared" si="43"/>
        <v>8425095.5250000004</v>
      </c>
      <c r="M129" s="115"/>
      <c r="N129" s="28"/>
      <c r="O129" s="85"/>
      <c r="P129" s="28"/>
      <c r="Q129" s="28"/>
      <c r="R129" s="28"/>
      <c r="S129" s="28"/>
      <c r="T129" s="28"/>
      <c r="U129" s="28"/>
      <c r="V129" s="28"/>
      <c r="W129" s="28"/>
      <c r="X129" s="28"/>
      <c r="Y129" s="28"/>
      <c r="Z129" s="28"/>
      <c r="AA129" s="28"/>
      <c r="AB129" s="28"/>
      <c r="AC129" s="28"/>
      <c r="AD129" s="28"/>
      <c r="AE129" s="28"/>
      <c r="AF129" s="28"/>
      <c r="AG129" s="28"/>
      <c r="AH129" s="28"/>
      <c r="AI129" s="28"/>
    </row>
    <row r="130" spans="1:16140" ht="30.75" customHeight="1" x14ac:dyDescent="0.25">
      <c r="A130" s="136"/>
      <c r="B130" s="136"/>
      <c r="C130" s="69" t="s">
        <v>201</v>
      </c>
      <c r="D130" s="59"/>
      <c r="E130" s="59"/>
      <c r="F130" s="59">
        <f>1617+1000</f>
        <v>2617</v>
      </c>
      <c r="G130" s="59"/>
      <c r="H130" s="60">
        <f t="shared" si="42"/>
        <v>0</v>
      </c>
      <c r="I130" s="59">
        <v>1</v>
      </c>
      <c r="J130" s="53">
        <v>550000</v>
      </c>
      <c r="K130" s="47"/>
      <c r="L130" s="70">
        <f>F130*I130*J130/1000</f>
        <v>1439350</v>
      </c>
      <c r="M130" s="116"/>
      <c r="N130" s="71"/>
      <c r="O130" s="99"/>
      <c r="P130" s="71"/>
      <c r="Q130" s="71"/>
      <c r="R130" s="71"/>
      <c r="S130" s="71"/>
      <c r="T130" s="71"/>
      <c r="U130" s="71"/>
      <c r="V130" s="71"/>
      <c r="W130" s="71"/>
      <c r="X130" s="71"/>
      <c r="Y130" s="71"/>
      <c r="Z130" s="71"/>
      <c r="AA130" s="71"/>
      <c r="AB130" s="71"/>
      <c r="AC130" s="71"/>
      <c r="AD130" s="71"/>
      <c r="AE130" s="71"/>
      <c r="AF130" s="71"/>
      <c r="AG130" s="71"/>
      <c r="AH130" s="71"/>
      <c r="AI130" s="71"/>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c r="DU130" s="72"/>
      <c r="DV130" s="72"/>
      <c r="DW130" s="72"/>
      <c r="DX130" s="72"/>
      <c r="DY130" s="72"/>
      <c r="DZ130" s="72"/>
      <c r="EA130" s="72"/>
      <c r="EB130" s="72"/>
      <c r="EC130" s="72"/>
      <c r="ED130" s="72"/>
      <c r="EE130" s="72"/>
      <c r="EF130" s="72"/>
      <c r="EG130" s="72"/>
      <c r="EH130" s="72"/>
      <c r="EI130" s="72"/>
      <c r="EJ130" s="72"/>
      <c r="EK130" s="72"/>
      <c r="EL130" s="72"/>
      <c r="EM130" s="72"/>
      <c r="EN130" s="72"/>
      <c r="EO130" s="72"/>
      <c r="EP130" s="72"/>
      <c r="EQ130" s="72"/>
      <c r="ER130" s="72"/>
      <c r="ES130" s="72"/>
      <c r="ET130" s="72"/>
      <c r="EU130" s="72"/>
      <c r="EV130" s="72"/>
      <c r="EW130" s="72"/>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c r="HE130" s="72"/>
      <c r="HF130" s="72"/>
      <c r="HG130" s="72"/>
      <c r="HH130" s="72"/>
      <c r="HI130" s="72"/>
      <c r="HJ130" s="72"/>
      <c r="HK130" s="72"/>
      <c r="HL130" s="72"/>
      <c r="HM130" s="72"/>
      <c r="HN130" s="72"/>
      <c r="HO130" s="72"/>
      <c r="HP130" s="72"/>
      <c r="HQ130" s="72"/>
      <c r="HR130" s="72"/>
      <c r="HS130" s="72"/>
      <c r="HT130" s="72"/>
      <c r="HU130" s="72"/>
      <c r="HV130" s="72"/>
      <c r="HW130" s="72"/>
      <c r="HX130" s="72"/>
      <c r="HY130" s="72"/>
      <c r="HZ130" s="72"/>
      <c r="IA130" s="72"/>
      <c r="IB130" s="72"/>
      <c r="IC130" s="72"/>
      <c r="ID130" s="72"/>
      <c r="IE130" s="72"/>
      <c r="IF130" s="72"/>
      <c r="IG130" s="72"/>
      <c r="IH130" s="72"/>
      <c r="II130" s="72"/>
      <c r="IJ130" s="72"/>
      <c r="IK130" s="72"/>
      <c r="IL130" s="72"/>
      <c r="IM130" s="72"/>
      <c r="IN130" s="72"/>
      <c r="IO130" s="72"/>
      <c r="IP130" s="72"/>
      <c r="IQ130" s="72"/>
      <c r="IR130" s="72"/>
      <c r="IS130" s="72"/>
      <c r="IT130" s="72"/>
      <c r="IU130" s="72"/>
      <c r="IV130" s="72"/>
      <c r="IW130" s="72"/>
      <c r="IX130" s="72"/>
      <c r="IY130" s="72"/>
      <c r="IZ130" s="72"/>
      <c r="JA130" s="72"/>
      <c r="JB130" s="72"/>
      <c r="JC130" s="72"/>
      <c r="JD130" s="72"/>
      <c r="JE130" s="72"/>
      <c r="JF130" s="72"/>
      <c r="JG130" s="72"/>
      <c r="JH130" s="72"/>
      <c r="JI130" s="72"/>
      <c r="JJ130" s="72"/>
      <c r="JK130" s="72"/>
      <c r="JL130" s="72"/>
      <c r="JM130" s="72"/>
      <c r="JN130" s="72"/>
      <c r="JO130" s="72"/>
      <c r="JP130" s="72"/>
      <c r="JQ130" s="72"/>
      <c r="JR130" s="72"/>
      <c r="JS130" s="72"/>
      <c r="JT130" s="72"/>
      <c r="JU130" s="72"/>
      <c r="JV130" s="72"/>
      <c r="JW130" s="72"/>
      <c r="JX130" s="72"/>
      <c r="JY130" s="72"/>
      <c r="JZ130" s="72"/>
      <c r="KA130" s="72"/>
      <c r="KB130" s="72"/>
      <c r="KC130" s="72"/>
      <c r="KD130" s="72"/>
      <c r="KE130" s="72"/>
      <c r="KF130" s="72"/>
      <c r="KG130" s="72"/>
      <c r="KH130" s="72"/>
      <c r="KI130" s="72"/>
      <c r="KJ130" s="72"/>
      <c r="KK130" s="72"/>
      <c r="KL130" s="72"/>
      <c r="KM130" s="72"/>
      <c r="KN130" s="72"/>
      <c r="KO130" s="72"/>
      <c r="KP130" s="72"/>
      <c r="KQ130" s="72"/>
      <c r="KR130" s="72"/>
      <c r="KS130" s="72"/>
      <c r="KT130" s="72"/>
      <c r="KU130" s="72"/>
      <c r="KV130" s="72"/>
      <c r="KW130" s="72"/>
      <c r="KX130" s="72"/>
      <c r="KY130" s="72"/>
      <c r="KZ130" s="72"/>
      <c r="LA130" s="72"/>
      <c r="LB130" s="72"/>
      <c r="LC130" s="72"/>
      <c r="LD130" s="72"/>
      <c r="LE130" s="72"/>
      <c r="LF130" s="72"/>
      <c r="LG130" s="72"/>
      <c r="LH130" s="72"/>
      <c r="LI130" s="72"/>
      <c r="LJ130" s="72"/>
      <c r="LK130" s="72"/>
      <c r="LL130" s="72"/>
      <c r="LM130" s="72"/>
      <c r="LN130" s="72"/>
      <c r="LO130" s="72"/>
      <c r="LP130" s="72"/>
      <c r="LQ130" s="72"/>
      <c r="LR130" s="72"/>
      <c r="LS130" s="72"/>
      <c r="LT130" s="72"/>
      <c r="LU130" s="72"/>
      <c r="LV130" s="72"/>
      <c r="LW130" s="72"/>
      <c r="LX130" s="72"/>
      <c r="LY130" s="72"/>
      <c r="LZ130" s="72"/>
      <c r="MA130" s="72"/>
      <c r="MB130" s="72"/>
      <c r="MC130" s="72"/>
      <c r="MD130" s="72"/>
      <c r="ME130" s="72"/>
      <c r="MF130" s="72"/>
      <c r="MG130" s="72"/>
      <c r="MH130" s="72"/>
      <c r="MI130" s="72"/>
      <c r="MJ130" s="72"/>
      <c r="MK130" s="72"/>
      <c r="ML130" s="72"/>
      <c r="MM130" s="72"/>
      <c r="MN130" s="72"/>
      <c r="MO130" s="72"/>
      <c r="MP130" s="72"/>
      <c r="MQ130" s="72"/>
      <c r="MR130" s="72"/>
      <c r="MS130" s="72"/>
      <c r="MT130" s="72"/>
      <c r="MU130" s="72"/>
      <c r="MV130" s="72"/>
      <c r="MW130" s="72"/>
      <c r="MX130" s="72"/>
      <c r="MY130" s="72"/>
      <c r="MZ130" s="72"/>
      <c r="NA130" s="72"/>
      <c r="NB130" s="72"/>
      <c r="NC130" s="72"/>
      <c r="ND130" s="72"/>
      <c r="NE130" s="72"/>
      <c r="NF130" s="72"/>
      <c r="NG130" s="72"/>
      <c r="NH130" s="72"/>
      <c r="NI130" s="72"/>
      <c r="NJ130" s="72"/>
      <c r="NK130" s="72"/>
      <c r="NL130" s="72"/>
      <c r="NM130" s="72"/>
      <c r="NN130" s="72"/>
      <c r="NO130" s="72"/>
      <c r="NP130" s="72"/>
      <c r="NQ130" s="72"/>
      <c r="NR130" s="72"/>
      <c r="NS130" s="72"/>
      <c r="NT130" s="72"/>
      <c r="NU130" s="72"/>
      <c r="NV130" s="72"/>
      <c r="NW130" s="72"/>
      <c r="NX130" s="72"/>
      <c r="NY130" s="72"/>
      <c r="NZ130" s="72"/>
      <c r="OA130" s="72"/>
      <c r="OB130" s="72"/>
      <c r="OC130" s="72"/>
      <c r="OD130" s="72"/>
      <c r="OE130" s="72"/>
      <c r="OF130" s="72"/>
      <c r="OG130" s="72"/>
      <c r="OH130" s="72"/>
      <c r="OI130" s="72"/>
      <c r="OJ130" s="72"/>
      <c r="OK130" s="72"/>
      <c r="OL130" s="72"/>
      <c r="OM130" s="72"/>
      <c r="ON130" s="72"/>
      <c r="OO130" s="72"/>
      <c r="OP130" s="72"/>
      <c r="OQ130" s="72"/>
      <c r="OR130" s="72"/>
      <c r="OS130" s="72"/>
      <c r="OT130" s="72"/>
      <c r="OU130" s="72"/>
      <c r="OV130" s="72"/>
      <c r="OW130" s="72"/>
      <c r="OX130" s="72"/>
      <c r="OY130" s="72"/>
      <c r="OZ130" s="72"/>
      <c r="PA130" s="72"/>
      <c r="PB130" s="72"/>
      <c r="PC130" s="72"/>
      <c r="PD130" s="72"/>
      <c r="PE130" s="72"/>
      <c r="PF130" s="72"/>
      <c r="PG130" s="72"/>
      <c r="PH130" s="72"/>
      <c r="PI130" s="72"/>
      <c r="PJ130" s="72"/>
      <c r="PK130" s="72"/>
      <c r="PL130" s="72"/>
      <c r="PM130" s="72"/>
      <c r="PN130" s="72"/>
      <c r="PO130" s="72"/>
      <c r="PP130" s="72"/>
      <c r="PQ130" s="72"/>
      <c r="PR130" s="72"/>
      <c r="PS130" s="72"/>
      <c r="PT130" s="72"/>
      <c r="PU130" s="72"/>
      <c r="PV130" s="72"/>
      <c r="PW130" s="72"/>
      <c r="PX130" s="72"/>
      <c r="PY130" s="72"/>
      <c r="PZ130" s="72"/>
      <c r="QA130" s="72"/>
      <c r="QB130" s="72"/>
      <c r="QC130" s="72"/>
      <c r="QD130" s="72"/>
      <c r="QE130" s="72"/>
      <c r="QF130" s="72"/>
      <c r="QG130" s="72"/>
      <c r="QH130" s="72"/>
      <c r="QI130" s="72"/>
      <c r="QJ130" s="72"/>
      <c r="QK130" s="72"/>
      <c r="QL130" s="72"/>
      <c r="QM130" s="72"/>
      <c r="QN130" s="72"/>
      <c r="QO130" s="72"/>
      <c r="QP130" s="72"/>
      <c r="QQ130" s="72"/>
      <c r="QR130" s="72"/>
      <c r="QS130" s="72"/>
      <c r="QT130" s="72"/>
      <c r="QU130" s="72"/>
      <c r="QV130" s="72"/>
      <c r="QW130" s="72"/>
      <c r="QX130" s="72"/>
      <c r="QY130" s="72"/>
      <c r="QZ130" s="72"/>
      <c r="RA130" s="72"/>
      <c r="RB130" s="72"/>
      <c r="RC130" s="72"/>
      <c r="RD130" s="72"/>
      <c r="RE130" s="72"/>
      <c r="RF130" s="72"/>
      <c r="RG130" s="72"/>
      <c r="RH130" s="72"/>
      <c r="RI130" s="72"/>
      <c r="RJ130" s="72"/>
      <c r="RK130" s="72"/>
      <c r="RL130" s="72"/>
      <c r="RM130" s="72"/>
      <c r="RN130" s="72"/>
      <c r="RO130" s="72"/>
      <c r="RP130" s="72"/>
      <c r="RQ130" s="72"/>
      <c r="RR130" s="72"/>
      <c r="RS130" s="72"/>
      <c r="RT130" s="72"/>
      <c r="RU130" s="72"/>
      <c r="RV130" s="72"/>
      <c r="RW130" s="72"/>
      <c r="RX130" s="72"/>
      <c r="RY130" s="72"/>
      <c r="RZ130" s="72"/>
      <c r="SA130" s="72"/>
      <c r="SB130" s="72"/>
      <c r="SC130" s="72"/>
      <c r="SD130" s="72"/>
      <c r="SE130" s="72"/>
      <c r="SF130" s="72"/>
      <c r="SG130" s="72"/>
      <c r="SH130" s="72"/>
      <c r="SI130" s="72"/>
      <c r="SJ130" s="72"/>
      <c r="SK130" s="72"/>
      <c r="SL130" s="72"/>
      <c r="SM130" s="72"/>
      <c r="SN130" s="72"/>
      <c r="SO130" s="72"/>
      <c r="SP130" s="72"/>
      <c r="SQ130" s="72"/>
      <c r="SR130" s="72"/>
      <c r="SS130" s="72"/>
      <c r="ST130" s="72"/>
      <c r="SU130" s="72"/>
      <c r="SV130" s="72"/>
      <c r="SW130" s="72"/>
      <c r="SX130" s="72"/>
      <c r="SY130" s="72"/>
      <c r="SZ130" s="72"/>
      <c r="TA130" s="72"/>
      <c r="TB130" s="72"/>
      <c r="TC130" s="72"/>
      <c r="TD130" s="72"/>
      <c r="TE130" s="72"/>
      <c r="TF130" s="72"/>
      <c r="TG130" s="72"/>
      <c r="TH130" s="72"/>
      <c r="TI130" s="72"/>
      <c r="TJ130" s="72"/>
      <c r="TK130" s="72"/>
      <c r="TL130" s="72"/>
      <c r="TM130" s="72"/>
      <c r="TN130" s="72"/>
      <c r="TO130" s="72"/>
      <c r="TP130" s="72"/>
      <c r="TQ130" s="72"/>
      <c r="TR130" s="72"/>
      <c r="TS130" s="72"/>
      <c r="TT130" s="72"/>
      <c r="TU130" s="72"/>
      <c r="TV130" s="72"/>
      <c r="TW130" s="72"/>
      <c r="TX130" s="72"/>
      <c r="TY130" s="72"/>
      <c r="TZ130" s="72"/>
      <c r="UA130" s="72"/>
      <c r="UB130" s="72"/>
      <c r="UC130" s="72"/>
      <c r="UD130" s="72"/>
      <c r="UE130" s="72"/>
      <c r="UF130" s="72"/>
      <c r="UG130" s="72"/>
      <c r="UH130" s="72"/>
      <c r="UI130" s="72"/>
      <c r="UJ130" s="72"/>
      <c r="UK130" s="72"/>
      <c r="UL130" s="72"/>
      <c r="UM130" s="72"/>
      <c r="UN130" s="72"/>
      <c r="UO130" s="72"/>
      <c r="UP130" s="72"/>
      <c r="UQ130" s="72"/>
      <c r="UR130" s="72"/>
      <c r="US130" s="72"/>
      <c r="UT130" s="72"/>
      <c r="UU130" s="72"/>
      <c r="UV130" s="72"/>
      <c r="UW130" s="72"/>
      <c r="UX130" s="72"/>
      <c r="UY130" s="72"/>
      <c r="UZ130" s="72"/>
      <c r="VA130" s="72"/>
      <c r="VB130" s="72"/>
      <c r="VC130" s="72"/>
      <c r="VD130" s="72"/>
      <c r="VE130" s="72"/>
      <c r="VF130" s="72"/>
      <c r="VG130" s="72"/>
      <c r="VH130" s="72"/>
      <c r="VI130" s="72"/>
      <c r="VJ130" s="72"/>
      <c r="VK130" s="72"/>
      <c r="VL130" s="72"/>
      <c r="VM130" s="72"/>
      <c r="VN130" s="72"/>
      <c r="VO130" s="72"/>
      <c r="VP130" s="72"/>
      <c r="VQ130" s="72"/>
      <c r="VR130" s="72"/>
      <c r="VS130" s="72"/>
      <c r="VT130" s="72"/>
      <c r="VU130" s="72"/>
      <c r="VV130" s="72"/>
      <c r="VW130" s="72"/>
      <c r="VX130" s="72"/>
      <c r="VY130" s="72"/>
      <c r="VZ130" s="72"/>
      <c r="WA130" s="72"/>
      <c r="WB130" s="72"/>
      <c r="WC130" s="72"/>
      <c r="WD130" s="72"/>
      <c r="WE130" s="72"/>
      <c r="WF130" s="72"/>
      <c r="WG130" s="72"/>
      <c r="WH130" s="72"/>
      <c r="WI130" s="72"/>
      <c r="WJ130" s="72"/>
      <c r="WK130" s="72"/>
      <c r="WL130" s="72"/>
      <c r="WM130" s="72"/>
      <c r="WN130" s="72"/>
      <c r="WO130" s="72"/>
      <c r="WP130" s="72"/>
      <c r="WQ130" s="72"/>
      <c r="WR130" s="72"/>
      <c r="WS130" s="72"/>
      <c r="WT130" s="72"/>
      <c r="WU130" s="72"/>
      <c r="WV130" s="72"/>
      <c r="WW130" s="72"/>
      <c r="WX130" s="72"/>
      <c r="WY130" s="72"/>
      <c r="WZ130" s="72"/>
      <c r="XA130" s="72"/>
      <c r="XB130" s="72"/>
      <c r="XC130" s="72"/>
      <c r="XD130" s="72"/>
      <c r="XE130" s="72"/>
      <c r="XF130" s="72"/>
      <c r="XG130" s="72"/>
      <c r="XH130" s="72"/>
      <c r="XI130" s="72"/>
      <c r="XJ130" s="72"/>
      <c r="XK130" s="72"/>
      <c r="XL130" s="72"/>
      <c r="XM130" s="72"/>
      <c r="XN130" s="72"/>
      <c r="XO130" s="72"/>
      <c r="XP130" s="72"/>
      <c r="XQ130" s="72"/>
      <c r="XR130" s="72"/>
      <c r="XS130" s="72"/>
      <c r="XT130" s="72"/>
      <c r="XU130" s="72"/>
      <c r="XV130" s="72"/>
      <c r="XW130" s="72"/>
      <c r="XX130" s="72"/>
      <c r="XY130" s="72"/>
      <c r="XZ130" s="72"/>
      <c r="YA130" s="72"/>
      <c r="YB130" s="72"/>
      <c r="YC130" s="72"/>
      <c r="YD130" s="72"/>
      <c r="YE130" s="72"/>
      <c r="YF130" s="72"/>
      <c r="YG130" s="72"/>
      <c r="YH130" s="72"/>
      <c r="YI130" s="72"/>
      <c r="YJ130" s="72"/>
      <c r="YK130" s="72"/>
      <c r="YL130" s="72"/>
      <c r="YM130" s="72"/>
      <c r="YN130" s="72"/>
      <c r="YO130" s="72"/>
      <c r="YP130" s="72"/>
      <c r="YQ130" s="72"/>
      <c r="YR130" s="72"/>
      <c r="YS130" s="72"/>
      <c r="YT130" s="72"/>
      <c r="YU130" s="72"/>
      <c r="YV130" s="72"/>
      <c r="YW130" s="72"/>
      <c r="YX130" s="72"/>
      <c r="YY130" s="72"/>
      <c r="YZ130" s="72"/>
      <c r="ZA130" s="72"/>
      <c r="ZB130" s="72"/>
      <c r="ZC130" s="72"/>
      <c r="ZD130" s="72"/>
      <c r="ZE130" s="72"/>
      <c r="ZF130" s="72"/>
      <c r="ZG130" s="72"/>
      <c r="ZH130" s="72"/>
      <c r="ZI130" s="72"/>
      <c r="ZJ130" s="72"/>
      <c r="ZK130" s="72"/>
      <c r="ZL130" s="72"/>
      <c r="ZM130" s="72"/>
      <c r="ZN130" s="72"/>
      <c r="ZO130" s="72"/>
      <c r="ZP130" s="72"/>
      <c r="ZQ130" s="72"/>
      <c r="ZR130" s="72"/>
      <c r="ZS130" s="72"/>
      <c r="ZT130" s="72"/>
      <c r="ZU130" s="72"/>
      <c r="ZV130" s="72"/>
      <c r="ZW130" s="72"/>
      <c r="ZX130" s="72"/>
      <c r="ZY130" s="72"/>
      <c r="ZZ130" s="72"/>
      <c r="AAA130" s="72"/>
      <c r="AAB130" s="72"/>
      <c r="AAC130" s="72"/>
      <c r="AAD130" s="72"/>
      <c r="AAE130" s="72"/>
      <c r="AAF130" s="72"/>
      <c r="AAG130" s="72"/>
      <c r="AAH130" s="72"/>
      <c r="AAI130" s="72"/>
      <c r="AAJ130" s="72"/>
      <c r="AAK130" s="72"/>
      <c r="AAL130" s="72"/>
      <c r="AAM130" s="72"/>
      <c r="AAN130" s="72"/>
      <c r="AAO130" s="72"/>
      <c r="AAP130" s="72"/>
      <c r="AAQ130" s="72"/>
      <c r="AAR130" s="72"/>
      <c r="AAS130" s="72"/>
      <c r="AAT130" s="72"/>
      <c r="AAU130" s="72"/>
      <c r="AAV130" s="72"/>
      <c r="AAW130" s="72"/>
      <c r="AAX130" s="72"/>
      <c r="AAY130" s="72"/>
      <c r="AAZ130" s="72"/>
      <c r="ABA130" s="72"/>
      <c r="ABB130" s="72"/>
      <c r="ABC130" s="72"/>
      <c r="ABD130" s="72"/>
      <c r="ABE130" s="72"/>
      <c r="ABF130" s="72"/>
      <c r="ABG130" s="72"/>
      <c r="ABH130" s="72"/>
      <c r="ABI130" s="72"/>
      <c r="ABJ130" s="72"/>
      <c r="ABK130" s="72"/>
      <c r="ABL130" s="72"/>
      <c r="ABM130" s="72"/>
      <c r="ABN130" s="72"/>
      <c r="ABO130" s="72"/>
      <c r="ABP130" s="72"/>
      <c r="ABQ130" s="72"/>
      <c r="ABR130" s="72"/>
      <c r="ABS130" s="72"/>
      <c r="ABT130" s="72"/>
      <c r="ABU130" s="72"/>
      <c r="ABV130" s="72"/>
      <c r="ABW130" s="72"/>
      <c r="ABX130" s="72"/>
      <c r="ABY130" s="72"/>
      <c r="ABZ130" s="72"/>
      <c r="ACA130" s="72"/>
      <c r="ACB130" s="72"/>
      <c r="ACC130" s="72"/>
      <c r="ACD130" s="72"/>
      <c r="ACE130" s="72"/>
      <c r="ACF130" s="72"/>
      <c r="ACG130" s="72"/>
      <c r="ACH130" s="72"/>
      <c r="ACI130" s="72"/>
      <c r="ACJ130" s="72"/>
      <c r="ACK130" s="72"/>
      <c r="ACL130" s="72"/>
      <c r="ACM130" s="72"/>
      <c r="ACN130" s="72"/>
      <c r="ACO130" s="72"/>
      <c r="ACP130" s="72"/>
      <c r="ACQ130" s="72"/>
      <c r="ACR130" s="72"/>
      <c r="ACS130" s="72"/>
      <c r="ACT130" s="72"/>
      <c r="ACU130" s="72"/>
      <c r="ACV130" s="72"/>
      <c r="ACW130" s="72"/>
      <c r="ACX130" s="72"/>
      <c r="ACY130" s="72"/>
      <c r="ACZ130" s="72"/>
      <c r="ADA130" s="72"/>
      <c r="ADB130" s="72"/>
      <c r="ADC130" s="72"/>
      <c r="ADD130" s="72"/>
      <c r="ADE130" s="72"/>
      <c r="ADF130" s="72"/>
      <c r="ADG130" s="72"/>
      <c r="ADH130" s="72"/>
      <c r="ADI130" s="72"/>
      <c r="ADJ130" s="72"/>
      <c r="ADK130" s="72"/>
      <c r="ADL130" s="72"/>
      <c r="ADM130" s="72"/>
      <c r="ADN130" s="72"/>
      <c r="ADO130" s="72"/>
      <c r="ADP130" s="72"/>
      <c r="ADQ130" s="72"/>
      <c r="ADR130" s="72"/>
      <c r="ADS130" s="72"/>
      <c r="ADT130" s="72"/>
      <c r="ADU130" s="72"/>
      <c r="ADV130" s="72"/>
      <c r="ADW130" s="72"/>
      <c r="ADX130" s="72"/>
      <c r="ADY130" s="72"/>
      <c r="ADZ130" s="72"/>
      <c r="AEA130" s="72"/>
      <c r="AEB130" s="72"/>
      <c r="AEC130" s="72"/>
      <c r="AED130" s="72"/>
      <c r="AEE130" s="72"/>
      <c r="AEF130" s="72"/>
      <c r="AEG130" s="72"/>
      <c r="AEH130" s="72"/>
      <c r="AEI130" s="72"/>
      <c r="AEJ130" s="72"/>
      <c r="AEK130" s="72"/>
      <c r="AEL130" s="72"/>
      <c r="AEM130" s="72"/>
      <c r="AEN130" s="72"/>
      <c r="AEO130" s="72"/>
      <c r="AEP130" s="72"/>
      <c r="AEQ130" s="72"/>
      <c r="AER130" s="72"/>
      <c r="AES130" s="72"/>
      <c r="AET130" s="72"/>
      <c r="AEU130" s="72"/>
      <c r="AEV130" s="72"/>
      <c r="AEW130" s="72"/>
      <c r="AEX130" s="72"/>
      <c r="AEY130" s="72"/>
      <c r="AEZ130" s="72"/>
      <c r="AFA130" s="72"/>
      <c r="AFB130" s="72"/>
      <c r="AFC130" s="72"/>
      <c r="AFD130" s="72"/>
      <c r="AFE130" s="72"/>
      <c r="AFF130" s="72"/>
      <c r="AFG130" s="72"/>
      <c r="AFH130" s="72"/>
      <c r="AFI130" s="72"/>
      <c r="AFJ130" s="72"/>
      <c r="AFK130" s="72"/>
      <c r="AFL130" s="72"/>
      <c r="AFM130" s="72"/>
      <c r="AFN130" s="72"/>
      <c r="AFO130" s="72"/>
      <c r="AFP130" s="72"/>
      <c r="AFQ130" s="72"/>
      <c r="AFR130" s="72"/>
      <c r="AFS130" s="72"/>
      <c r="AFT130" s="72"/>
      <c r="AFU130" s="72"/>
      <c r="AFV130" s="72"/>
      <c r="AFW130" s="72"/>
      <c r="AFX130" s="72"/>
      <c r="AFY130" s="72"/>
      <c r="AFZ130" s="72"/>
      <c r="AGA130" s="72"/>
      <c r="AGB130" s="72"/>
      <c r="AGC130" s="72"/>
      <c r="AGD130" s="72"/>
      <c r="AGE130" s="72"/>
      <c r="AGF130" s="72"/>
      <c r="AGG130" s="72"/>
      <c r="AGH130" s="72"/>
      <c r="AGI130" s="72"/>
      <c r="AGJ130" s="72"/>
      <c r="AGK130" s="72"/>
      <c r="AGL130" s="72"/>
      <c r="AGM130" s="72"/>
      <c r="AGN130" s="72"/>
      <c r="AGO130" s="72"/>
      <c r="AGP130" s="72"/>
      <c r="AGQ130" s="72"/>
      <c r="AGR130" s="72"/>
      <c r="AGS130" s="72"/>
      <c r="AGT130" s="72"/>
      <c r="AGU130" s="72"/>
      <c r="AGV130" s="72"/>
      <c r="AGW130" s="72"/>
      <c r="AGX130" s="72"/>
      <c r="AGY130" s="72"/>
      <c r="AGZ130" s="72"/>
      <c r="AHA130" s="72"/>
      <c r="AHB130" s="72"/>
      <c r="AHC130" s="72"/>
      <c r="AHD130" s="72"/>
      <c r="AHE130" s="72"/>
      <c r="AHF130" s="72"/>
      <c r="AHG130" s="72"/>
      <c r="AHH130" s="72"/>
      <c r="AHI130" s="72"/>
      <c r="AHJ130" s="72"/>
      <c r="AHK130" s="72"/>
      <c r="AHL130" s="72"/>
      <c r="AHM130" s="72"/>
      <c r="AHN130" s="72"/>
      <c r="AHO130" s="72"/>
      <c r="AHP130" s="72"/>
      <c r="AHQ130" s="72"/>
      <c r="AHR130" s="72"/>
      <c r="AHS130" s="72"/>
      <c r="AHT130" s="72"/>
      <c r="AHU130" s="72"/>
      <c r="AHV130" s="72"/>
      <c r="AHW130" s="72"/>
      <c r="AHX130" s="72"/>
      <c r="AHY130" s="72"/>
      <c r="AHZ130" s="72"/>
      <c r="AIA130" s="72"/>
      <c r="AIB130" s="72"/>
      <c r="AIC130" s="72"/>
      <c r="AID130" s="72"/>
      <c r="AIE130" s="72"/>
      <c r="AIF130" s="72"/>
      <c r="AIG130" s="72"/>
      <c r="AIH130" s="72"/>
      <c r="AII130" s="72"/>
      <c r="AIJ130" s="72"/>
      <c r="AIK130" s="72"/>
      <c r="AIL130" s="72"/>
      <c r="AIM130" s="72"/>
      <c r="AIN130" s="72"/>
      <c r="AIO130" s="72"/>
      <c r="AIP130" s="72"/>
      <c r="AIQ130" s="72"/>
      <c r="AIR130" s="72"/>
      <c r="AIS130" s="72"/>
      <c r="AIT130" s="72"/>
      <c r="AIU130" s="72"/>
      <c r="AIV130" s="72"/>
      <c r="AIW130" s="72"/>
      <c r="AIX130" s="72"/>
      <c r="AIY130" s="72"/>
      <c r="AIZ130" s="72"/>
      <c r="AJA130" s="72"/>
      <c r="AJB130" s="72"/>
      <c r="AJC130" s="72"/>
      <c r="AJD130" s="72"/>
      <c r="AJE130" s="72"/>
      <c r="AJF130" s="72"/>
      <c r="AJG130" s="72"/>
      <c r="AJH130" s="72"/>
      <c r="AJI130" s="72"/>
      <c r="AJJ130" s="72"/>
      <c r="AJK130" s="72"/>
      <c r="AJL130" s="72"/>
      <c r="AJM130" s="72"/>
      <c r="AJN130" s="72"/>
      <c r="AJO130" s="72"/>
      <c r="AJP130" s="72"/>
      <c r="AJQ130" s="72"/>
      <c r="AJR130" s="72"/>
      <c r="AJS130" s="72"/>
      <c r="AJT130" s="72"/>
      <c r="AJU130" s="72"/>
      <c r="AJV130" s="72"/>
      <c r="AJW130" s="72"/>
      <c r="AJX130" s="72"/>
      <c r="AJY130" s="72"/>
      <c r="AJZ130" s="72"/>
      <c r="AKA130" s="72"/>
      <c r="AKB130" s="72"/>
      <c r="AKC130" s="72"/>
      <c r="AKD130" s="72"/>
      <c r="AKE130" s="72"/>
      <c r="AKF130" s="72"/>
      <c r="AKG130" s="72"/>
      <c r="AKH130" s="72"/>
      <c r="AKI130" s="72"/>
      <c r="AKJ130" s="72"/>
      <c r="AKK130" s="72"/>
      <c r="AKL130" s="72"/>
      <c r="AKM130" s="72"/>
      <c r="AKN130" s="72"/>
      <c r="AKO130" s="72"/>
      <c r="AKP130" s="72"/>
      <c r="AKQ130" s="72"/>
      <c r="AKR130" s="72"/>
      <c r="AKS130" s="72"/>
      <c r="AKT130" s="72"/>
      <c r="AKU130" s="72"/>
      <c r="AKV130" s="72"/>
      <c r="AKW130" s="72"/>
      <c r="AKX130" s="72"/>
      <c r="AKY130" s="72"/>
      <c r="AKZ130" s="72"/>
      <c r="ALA130" s="72"/>
      <c r="ALB130" s="72"/>
      <c r="ALC130" s="72"/>
      <c r="ALD130" s="72"/>
      <c r="ALE130" s="72"/>
      <c r="ALF130" s="72"/>
      <c r="ALG130" s="72"/>
      <c r="ALH130" s="72"/>
      <c r="ALI130" s="72"/>
      <c r="ALJ130" s="72"/>
      <c r="ALK130" s="72"/>
      <c r="ALL130" s="72"/>
      <c r="ALM130" s="72"/>
      <c r="ALN130" s="72"/>
      <c r="ALO130" s="72"/>
      <c r="ALP130" s="72"/>
      <c r="ALQ130" s="72"/>
      <c r="ALR130" s="72"/>
      <c r="ALS130" s="72"/>
      <c r="ALT130" s="72"/>
      <c r="ALU130" s="72"/>
      <c r="ALV130" s="72"/>
      <c r="ALW130" s="72"/>
      <c r="ALX130" s="72"/>
      <c r="ALY130" s="72"/>
      <c r="ALZ130" s="72"/>
      <c r="AMA130" s="72"/>
      <c r="AMB130" s="72"/>
      <c r="AMC130" s="72"/>
      <c r="AMD130" s="72"/>
      <c r="AME130" s="72"/>
      <c r="AMF130" s="72"/>
      <c r="AMG130" s="72"/>
      <c r="AMH130" s="72"/>
      <c r="AMI130" s="72"/>
      <c r="AMJ130" s="72"/>
      <c r="AMK130" s="72"/>
      <c r="AML130" s="72"/>
      <c r="AMM130" s="72"/>
      <c r="AMN130" s="72"/>
      <c r="AMO130" s="72"/>
      <c r="AMP130" s="72"/>
      <c r="AMQ130" s="72"/>
      <c r="AMR130" s="72"/>
      <c r="AMS130" s="72"/>
      <c r="AMT130" s="72"/>
      <c r="AMU130" s="72"/>
      <c r="AMV130" s="72"/>
      <c r="AMW130" s="72"/>
      <c r="AMX130" s="72"/>
      <c r="AMY130" s="72"/>
      <c r="AMZ130" s="72"/>
      <c r="ANA130" s="72"/>
      <c r="ANB130" s="72"/>
      <c r="ANC130" s="72"/>
      <c r="AND130" s="72"/>
      <c r="ANE130" s="72"/>
      <c r="ANF130" s="72"/>
      <c r="ANG130" s="72"/>
      <c r="ANH130" s="72"/>
      <c r="ANI130" s="72"/>
      <c r="ANJ130" s="72"/>
      <c r="ANK130" s="72"/>
      <c r="ANL130" s="72"/>
      <c r="ANM130" s="72"/>
      <c r="ANN130" s="72"/>
      <c r="ANO130" s="72"/>
      <c r="ANP130" s="72"/>
      <c r="ANQ130" s="72"/>
      <c r="ANR130" s="72"/>
      <c r="ANS130" s="72"/>
      <c r="ANT130" s="72"/>
      <c r="ANU130" s="72"/>
      <c r="ANV130" s="72"/>
      <c r="ANW130" s="72"/>
      <c r="ANX130" s="72"/>
      <c r="ANY130" s="72"/>
      <c r="ANZ130" s="72"/>
      <c r="AOA130" s="72"/>
      <c r="AOB130" s="72"/>
      <c r="AOC130" s="72"/>
      <c r="AOD130" s="72"/>
      <c r="AOE130" s="72"/>
      <c r="AOF130" s="72"/>
      <c r="AOG130" s="72"/>
      <c r="AOH130" s="72"/>
      <c r="AOI130" s="72"/>
      <c r="AOJ130" s="72"/>
      <c r="AOK130" s="72"/>
      <c r="AOL130" s="72"/>
      <c r="AOM130" s="72"/>
      <c r="AON130" s="72"/>
      <c r="AOO130" s="72"/>
      <c r="AOP130" s="72"/>
      <c r="AOQ130" s="72"/>
      <c r="AOR130" s="72"/>
      <c r="AOS130" s="72"/>
      <c r="AOT130" s="72"/>
      <c r="AOU130" s="72"/>
      <c r="AOV130" s="72"/>
      <c r="AOW130" s="72"/>
      <c r="AOX130" s="72"/>
      <c r="AOY130" s="72"/>
      <c r="AOZ130" s="72"/>
      <c r="APA130" s="72"/>
      <c r="APB130" s="72"/>
      <c r="APC130" s="72"/>
      <c r="APD130" s="72"/>
      <c r="APE130" s="72"/>
      <c r="APF130" s="72"/>
      <c r="APG130" s="72"/>
      <c r="APH130" s="72"/>
      <c r="API130" s="72"/>
      <c r="APJ130" s="72"/>
      <c r="APK130" s="72"/>
      <c r="APL130" s="72"/>
      <c r="APM130" s="72"/>
      <c r="APN130" s="72"/>
      <c r="APO130" s="72"/>
      <c r="APP130" s="72"/>
      <c r="APQ130" s="72"/>
      <c r="APR130" s="72"/>
      <c r="APS130" s="72"/>
      <c r="APT130" s="72"/>
      <c r="APU130" s="72"/>
      <c r="APV130" s="72"/>
      <c r="APW130" s="72"/>
      <c r="APX130" s="72"/>
      <c r="APY130" s="72"/>
      <c r="APZ130" s="72"/>
      <c r="AQA130" s="72"/>
      <c r="AQB130" s="72"/>
      <c r="AQC130" s="72"/>
      <c r="AQD130" s="72"/>
      <c r="AQE130" s="72"/>
      <c r="AQF130" s="72"/>
      <c r="AQG130" s="72"/>
      <c r="AQH130" s="72"/>
      <c r="AQI130" s="72"/>
      <c r="AQJ130" s="72"/>
      <c r="AQK130" s="72"/>
      <c r="AQL130" s="72"/>
      <c r="AQM130" s="72"/>
      <c r="AQN130" s="72"/>
      <c r="AQO130" s="72"/>
      <c r="AQP130" s="72"/>
      <c r="AQQ130" s="72"/>
      <c r="AQR130" s="72"/>
      <c r="AQS130" s="72"/>
      <c r="AQT130" s="72"/>
      <c r="AQU130" s="72"/>
      <c r="AQV130" s="72"/>
      <c r="AQW130" s="72"/>
      <c r="AQX130" s="72"/>
      <c r="AQY130" s="72"/>
      <c r="AQZ130" s="72"/>
      <c r="ARA130" s="72"/>
      <c r="ARB130" s="72"/>
      <c r="ARC130" s="72"/>
      <c r="ARD130" s="72"/>
      <c r="ARE130" s="72"/>
      <c r="ARF130" s="72"/>
      <c r="ARG130" s="72"/>
      <c r="ARH130" s="72"/>
      <c r="ARI130" s="72"/>
      <c r="ARJ130" s="72"/>
      <c r="ARK130" s="72"/>
      <c r="ARL130" s="72"/>
      <c r="ARM130" s="72"/>
      <c r="ARN130" s="72"/>
      <c r="ARO130" s="72"/>
      <c r="ARP130" s="72"/>
      <c r="ARQ130" s="72"/>
      <c r="ARR130" s="72"/>
      <c r="ARS130" s="72"/>
      <c r="ART130" s="72"/>
      <c r="ARU130" s="72"/>
      <c r="ARV130" s="72"/>
      <c r="ARW130" s="72"/>
      <c r="ARX130" s="72"/>
      <c r="ARY130" s="72"/>
      <c r="ARZ130" s="72"/>
      <c r="ASA130" s="72"/>
      <c r="ASB130" s="72"/>
      <c r="ASC130" s="72"/>
      <c r="ASD130" s="72"/>
      <c r="ASE130" s="72"/>
      <c r="ASF130" s="72"/>
      <c r="ASG130" s="72"/>
      <c r="ASH130" s="72"/>
      <c r="ASI130" s="72"/>
      <c r="ASJ130" s="72"/>
      <c r="ASK130" s="72"/>
      <c r="ASL130" s="72"/>
      <c r="ASM130" s="72"/>
      <c r="ASN130" s="72"/>
      <c r="ASO130" s="72"/>
      <c r="ASP130" s="72"/>
      <c r="ASQ130" s="72"/>
      <c r="ASR130" s="72"/>
      <c r="ASS130" s="72"/>
      <c r="AST130" s="72"/>
      <c r="ASU130" s="72"/>
      <c r="ASV130" s="72"/>
      <c r="ASW130" s="72"/>
      <c r="ASX130" s="72"/>
      <c r="ASY130" s="72"/>
      <c r="ASZ130" s="72"/>
      <c r="ATA130" s="72"/>
      <c r="ATB130" s="72"/>
      <c r="ATC130" s="72"/>
      <c r="ATD130" s="72"/>
      <c r="ATE130" s="72"/>
      <c r="ATF130" s="72"/>
      <c r="ATG130" s="72"/>
      <c r="ATH130" s="72"/>
      <c r="ATI130" s="72"/>
      <c r="ATJ130" s="72"/>
      <c r="ATK130" s="72"/>
      <c r="ATL130" s="72"/>
      <c r="ATM130" s="72"/>
      <c r="ATN130" s="72"/>
      <c r="ATO130" s="72"/>
      <c r="ATP130" s="72"/>
      <c r="ATQ130" s="72"/>
      <c r="ATR130" s="72"/>
      <c r="ATS130" s="72"/>
      <c r="ATT130" s="72"/>
      <c r="ATU130" s="72"/>
      <c r="ATV130" s="72"/>
      <c r="ATW130" s="72"/>
      <c r="ATX130" s="72"/>
      <c r="ATY130" s="72"/>
      <c r="ATZ130" s="72"/>
      <c r="AUA130" s="72"/>
      <c r="AUB130" s="72"/>
      <c r="AUC130" s="72"/>
      <c r="AUD130" s="72"/>
      <c r="AUE130" s="72"/>
      <c r="AUF130" s="72"/>
      <c r="AUG130" s="72"/>
      <c r="AUH130" s="72"/>
      <c r="AUI130" s="72"/>
      <c r="AUJ130" s="72"/>
      <c r="AUK130" s="72"/>
      <c r="AUL130" s="72"/>
      <c r="AUM130" s="72"/>
      <c r="AUN130" s="72"/>
      <c r="AUO130" s="72"/>
      <c r="AUP130" s="72"/>
      <c r="AUQ130" s="72"/>
      <c r="AUR130" s="72"/>
      <c r="AUS130" s="72"/>
      <c r="AUT130" s="72"/>
      <c r="AUU130" s="72"/>
      <c r="AUV130" s="72"/>
      <c r="AUW130" s="72"/>
      <c r="AUX130" s="72"/>
      <c r="AUY130" s="72"/>
      <c r="AUZ130" s="72"/>
      <c r="AVA130" s="72"/>
      <c r="AVB130" s="72"/>
      <c r="AVC130" s="72"/>
      <c r="AVD130" s="72"/>
      <c r="AVE130" s="72"/>
      <c r="AVF130" s="72"/>
      <c r="AVG130" s="72"/>
      <c r="AVH130" s="72"/>
      <c r="AVI130" s="72"/>
      <c r="AVJ130" s="72"/>
      <c r="AVK130" s="72"/>
      <c r="AVL130" s="72"/>
      <c r="AVM130" s="72"/>
      <c r="AVN130" s="72"/>
      <c r="AVO130" s="72"/>
      <c r="AVP130" s="72"/>
      <c r="AVQ130" s="72"/>
      <c r="AVR130" s="72"/>
      <c r="AVS130" s="72"/>
      <c r="AVT130" s="72"/>
      <c r="AVU130" s="72"/>
      <c r="AVV130" s="72"/>
      <c r="AVW130" s="72"/>
      <c r="AVX130" s="72"/>
      <c r="AVY130" s="72"/>
      <c r="AVZ130" s="72"/>
      <c r="AWA130" s="72"/>
      <c r="AWB130" s="72"/>
      <c r="AWC130" s="72"/>
      <c r="AWD130" s="72"/>
      <c r="AWE130" s="72"/>
      <c r="AWF130" s="72"/>
      <c r="AWG130" s="72"/>
      <c r="AWH130" s="72"/>
      <c r="AWI130" s="72"/>
      <c r="AWJ130" s="72"/>
      <c r="AWK130" s="72"/>
      <c r="AWL130" s="72"/>
      <c r="AWM130" s="72"/>
      <c r="AWN130" s="72"/>
      <c r="AWO130" s="72"/>
      <c r="AWP130" s="72"/>
      <c r="AWQ130" s="72"/>
      <c r="AWR130" s="72"/>
      <c r="AWS130" s="72"/>
      <c r="AWT130" s="72"/>
      <c r="AWU130" s="72"/>
      <c r="AWV130" s="72"/>
      <c r="AWW130" s="72"/>
      <c r="AWX130" s="72"/>
      <c r="AWY130" s="72"/>
      <c r="AWZ130" s="72"/>
      <c r="AXA130" s="72"/>
      <c r="AXB130" s="72"/>
      <c r="AXC130" s="72"/>
      <c r="AXD130" s="72"/>
      <c r="AXE130" s="72"/>
      <c r="AXF130" s="72"/>
      <c r="AXG130" s="72"/>
      <c r="AXH130" s="72"/>
      <c r="AXI130" s="72"/>
      <c r="AXJ130" s="72"/>
      <c r="AXK130" s="72"/>
      <c r="AXL130" s="72"/>
      <c r="AXM130" s="72"/>
      <c r="AXN130" s="72"/>
      <c r="AXO130" s="72"/>
      <c r="AXP130" s="72"/>
      <c r="AXQ130" s="72"/>
      <c r="AXR130" s="72"/>
      <c r="AXS130" s="72"/>
      <c r="AXT130" s="72"/>
      <c r="AXU130" s="72"/>
      <c r="AXV130" s="72"/>
      <c r="AXW130" s="72"/>
      <c r="AXX130" s="72"/>
      <c r="AXY130" s="72"/>
      <c r="AXZ130" s="72"/>
      <c r="AYA130" s="72"/>
      <c r="AYB130" s="72"/>
      <c r="AYC130" s="72"/>
      <c r="AYD130" s="72"/>
      <c r="AYE130" s="72"/>
      <c r="AYF130" s="72"/>
      <c r="AYG130" s="72"/>
      <c r="AYH130" s="72"/>
      <c r="AYI130" s="72"/>
      <c r="AYJ130" s="72"/>
      <c r="AYK130" s="72"/>
      <c r="AYL130" s="72"/>
      <c r="AYM130" s="72"/>
      <c r="AYN130" s="72"/>
      <c r="AYO130" s="72"/>
      <c r="AYP130" s="72"/>
      <c r="AYQ130" s="72"/>
      <c r="AYR130" s="72"/>
      <c r="AYS130" s="72"/>
      <c r="AYT130" s="72"/>
      <c r="AYU130" s="72"/>
      <c r="AYV130" s="72"/>
      <c r="AYW130" s="72"/>
      <c r="AYX130" s="72"/>
      <c r="AYY130" s="72"/>
      <c r="AYZ130" s="72"/>
      <c r="AZA130" s="72"/>
      <c r="AZB130" s="72"/>
      <c r="AZC130" s="72"/>
      <c r="AZD130" s="72"/>
      <c r="AZE130" s="72"/>
      <c r="AZF130" s="72"/>
      <c r="AZG130" s="72"/>
      <c r="AZH130" s="72"/>
      <c r="AZI130" s="72"/>
      <c r="AZJ130" s="72"/>
      <c r="AZK130" s="72"/>
      <c r="AZL130" s="72"/>
      <c r="AZM130" s="72"/>
      <c r="AZN130" s="72"/>
      <c r="AZO130" s="72"/>
      <c r="AZP130" s="72"/>
      <c r="AZQ130" s="72"/>
      <c r="AZR130" s="72"/>
      <c r="AZS130" s="72"/>
      <c r="AZT130" s="72"/>
      <c r="AZU130" s="72"/>
      <c r="AZV130" s="72"/>
      <c r="AZW130" s="72"/>
      <c r="AZX130" s="72"/>
      <c r="AZY130" s="72"/>
      <c r="AZZ130" s="72"/>
      <c r="BAA130" s="72"/>
      <c r="BAB130" s="72"/>
      <c r="BAC130" s="72"/>
      <c r="BAD130" s="72"/>
      <c r="BAE130" s="72"/>
      <c r="BAF130" s="72"/>
      <c r="BAG130" s="72"/>
      <c r="BAH130" s="72"/>
      <c r="BAI130" s="72"/>
      <c r="BAJ130" s="72"/>
      <c r="BAK130" s="72"/>
      <c r="BAL130" s="72"/>
      <c r="BAM130" s="72"/>
      <c r="BAN130" s="72"/>
      <c r="BAO130" s="72"/>
      <c r="BAP130" s="72"/>
      <c r="BAQ130" s="72"/>
      <c r="BAR130" s="72"/>
      <c r="BAS130" s="72"/>
      <c r="BAT130" s="72"/>
      <c r="BAU130" s="72"/>
      <c r="BAV130" s="72"/>
      <c r="BAW130" s="72"/>
      <c r="BAX130" s="72"/>
      <c r="BAY130" s="72"/>
      <c r="BAZ130" s="72"/>
      <c r="BBA130" s="72"/>
      <c r="BBB130" s="72"/>
      <c r="BBC130" s="72"/>
      <c r="BBD130" s="72"/>
      <c r="BBE130" s="72"/>
      <c r="BBF130" s="72"/>
      <c r="BBG130" s="72"/>
      <c r="BBH130" s="72"/>
      <c r="BBI130" s="72"/>
      <c r="BBJ130" s="72"/>
      <c r="BBK130" s="72"/>
      <c r="BBL130" s="72"/>
      <c r="BBM130" s="72"/>
      <c r="BBN130" s="72"/>
      <c r="BBO130" s="72"/>
      <c r="BBP130" s="72"/>
      <c r="BBQ130" s="72"/>
      <c r="BBR130" s="72"/>
      <c r="BBS130" s="72"/>
      <c r="BBT130" s="72"/>
      <c r="BBU130" s="72"/>
      <c r="BBV130" s="72"/>
      <c r="BBW130" s="72"/>
      <c r="BBX130" s="72"/>
      <c r="BBY130" s="72"/>
      <c r="BBZ130" s="72"/>
      <c r="BCA130" s="72"/>
      <c r="BCB130" s="72"/>
      <c r="BCC130" s="72"/>
      <c r="BCD130" s="72"/>
      <c r="BCE130" s="72"/>
      <c r="BCF130" s="72"/>
      <c r="BCG130" s="72"/>
      <c r="BCH130" s="72"/>
      <c r="BCI130" s="72"/>
      <c r="BCJ130" s="72"/>
      <c r="BCK130" s="72"/>
      <c r="BCL130" s="72"/>
      <c r="BCM130" s="72"/>
      <c r="BCN130" s="72"/>
      <c r="BCO130" s="72"/>
      <c r="BCP130" s="72"/>
      <c r="BCQ130" s="72"/>
      <c r="BCR130" s="72"/>
      <c r="BCS130" s="72"/>
      <c r="BCT130" s="72"/>
      <c r="BCU130" s="72"/>
      <c r="BCV130" s="72"/>
      <c r="BCW130" s="72"/>
      <c r="BCX130" s="72"/>
      <c r="BCY130" s="72"/>
      <c r="BCZ130" s="72"/>
      <c r="BDA130" s="72"/>
      <c r="BDB130" s="72"/>
      <c r="BDC130" s="72"/>
      <c r="BDD130" s="72"/>
      <c r="BDE130" s="72"/>
      <c r="BDF130" s="72"/>
      <c r="BDG130" s="72"/>
      <c r="BDH130" s="72"/>
      <c r="BDI130" s="72"/>
      <c r="BDJ130" s="72"/>
      <c r="BDK130" s="72"/>
      <c r="BDL130" s="72"/>
      <c r="BDM130" s="72"/>
      <c r="BDN130" s="72"/>
      <c r="BDO130" s="72"/>
      <c r="BDP130" s="72"/>
      <c r="BDQ130" s="72"/>
      <c r="BDR130" s="72"/>
      <c r="BDS130" s="72"/>
      <c r="BDT130" s="72"/>
      <c r="BDU130" s="72"/>
      <c r="BDV130" s="72"/>
      <c r="BDW130" s="72"/>
      <c r="BDX130" s="72"/>
      <c r="BDY130" s="72"/>
      <c r="BDZ130" s="72"/>
      <c r="BEA130" s="72"/>
      <c r="BEB130" s="72"/>
      <c r="BEC130" s="72"/>
      <c r="BED130" s="72"/>
      <c r="BEE130" s="72"/>
      <c r="BEF130" s="72"/>
      <c r="BEG130" s="72"/>
      <c r="BEH130" s="72"/>
      <c r="BEI130" s="72"/>
      <c r="BEJ130" s="72"/>
      <c r="BEK130" s="72"/>
      <c r="BEL130" s="72"/>
      <c r="BEM130" s="72"/>
      <c r="BEN130" s="72"/>
      <c r="BEO130" s="72"/>
      <c r="BEP130" s="72"/>
      <c r="BEQ130" s="72"/>
      <c r="BER130" s="72"/>
      <c r="BES130" s="72"/>
      <c r="BET130" s="72"/>
      <c r="BEU130" s="72"/>
      <c r="BEV130" s="72"/>
      <c r="BEW130" s="72"/>
      <c r="BEX130" s="72"/>
      <c r="BEY130" s="72"/>
      <c r="BEZ130" s="72"/>
      <c r="BFA130" s="72"/>
      <c r="BFB130" s="72"/>
      <c r="BFC130" s="72"/>
      <c r="BFD130" s="72"/>
      <c r="BFE130" s="72"/>
      <c r="BFF130" s="72"/>
      <c r="BFG130" s="72"/>
      <c r="BFH130" s="72"/>
      <c r="BFI130" s="72"/>
      <c r="BFJ130" s="72"/>
      <c r="BFK130" s="72"/>
      <c r="BFL130" s="72"/>
      <c r="BFM130" s="72"/>
      <c r="BFN130" s="72"/>
      <c r="BFO130" s="72"/>
      <c r="BFP130" s="72"/>
      <c r="BFQ130" s="72"/>
      <c r="BFR130" s="72"/>
      <c r="BFS130" s="72"/>
      <c r="BFT130" s="72"/>
      <c r="BFU130" s="72"/>
      <c r="BFV130" s="72"/>
      <c r="BFW130" s="72"/>
      <c r="BFX130" s="72"/>
      <c r="BFY130" s="72"/>
      <c r="BFZ130" s="72"/>
      <c r="BGA130" s="72"/>
      <c r="BGB130" s="72"/>
      <c r="BGC130" s="72"/>
      <c r="BGD130" s="72"/>
      <c r="BGE130" s="72"/>
      <c r="BGF130" s="72"/>
      <c r="BGG130" s="72"/>
      <c r="BGH130" s="72"/>
      <c r="BGI130" s="72"/>
      <c r="BGJ130" s="72"/>
      <c r="BGK130" s="72"/>
      <c r="BGL130" s="72"/>
      <c r="BGM130" s="72"/>
      <c r="BGN130" s="72"/>
      <c r="BGO130" s="72"/>
      <c r="BGP130" s="72"/>
      <c r="BGQ130" s="72"/>
      <c r="BGR130" s="72"/>
      <c r="BGS130" s="72"/>
      <c r="BGT130" s="72"/>
      <c r="BGU130" s="72"/>
      <c r="BGV130" s="72"/>
      <c r="BGW130" s="72"/>
      <c r="BGX130" s="72"/>
      <c r="BGY130" s="72"/>
      <c r="BGZ130" s="72"/>
      <c r="BHA130" s="72"/>
      <c r="BHB130" s="72"/>
      <c r="BHC130" s="72"/>
      <c r="BHD130" s="72"/>
      <c r="BHE130" s="72"/>
      <c r="BHF130" s="72"/>
      <c r="BHG130" s="72"/>
      <c r="BHH130" s="72"/>
      <c r="BHI130" s="72"/>
      <c r="BHJ130" s="72"/>
      <c r="BHK130" s="72"/>
      <c r="BHL130" s="72"/>
      <c r="BHM130" s="72"/>
      <c r="BHN130" s="72"/>
      <c r="BHO130" s="72"/>
      <c r="BHP130" s="72"/>
      <c r="BHQ130" s="72"/>
      <c r="BHR130" s="72"/>
      <c r="BHS130" s="72"/>
      <c r="BHT130" s="72"/>
      <c r="BHU130" s="72"/>
      <c r="BHV130" s="72"/>
      <c r="BHW130" s="72"/>
      <c r="BHX130" s="72"/>
      <c r="BHY130" s="72"/>
      <c r="BHZ130" s="72"/>
      <c r="BIA130" s="72"/>
      <c r="BIB130" s="72"/>
      <c r="BIC130" s="72"/>
      <c r="BID130" s="72"/>
      <c r="BIE130" s="72"/>
      <c r="BIF130" s="72"/>
      <c r="BIG130" s="72"/>
      <c r="BIH130" s="72"/>
      <c r="BII130" s="72"/>
      <c r="BIJ130" s="72"/>
      <c r="BIK130" s="72"/>
      <c r="BIL130" s="72"/>
      <c r="BIM130" s="72"/>
      <c r="BIN130" s="72"/>
      <c r="BIO130" s="72"/>
      <c r="BIP130" s="72"/>
      <c r="BIQ130" s="72"/>
      <c r="BIR130" s="72"/>
      <c r="BIS130" s="72"/>
      <c r="BIT130" s="72"/>
      <c r="BIU130" s="72"/>
      <c r="BIV130" s="72"/>
      <c r="BIW130" s="72"/>
      <c r="BIX130" s="72"/>
      <c r="BIY130" s="72"/>
      <c r="BIZ130" s="72"/>
      <c r="BJA130" s="72"/>
      <c r="BJB130" s="72"/>
      <c r="BJC130" s="72"/>
      <c r="BJD130" s="72"/>
      <c r="BJE130" s="72"/>
      <c r="BJF130" s="72"/>
      <c r="BJG130" s="72"/>
      <c r="BJH130" s="72"/>
      <c r="BJI130" s="72"/>
      <c r="BJJ130" s="72"/>
      <c r="BJK130" s="72"/>
      <c r="BJL130" s="72"/>
      <c r="BJM130" s="72"/>
      <c r="BJN130" s="72"/>
      <c r="BJO130" s="72"/>
      <c r="BJP130" s="72"/>
      <c r="BJQ130" s="72"/>
      <c r="BJR130" s="72"/>
      <c r="BJS130" s="72"/>
      <c r="BJT130" s="72"/>
      <c r="BJU130" s="72"/>
      <c r="BJV130" s="72"/>
      <c r="BJW130" s="72"/>
      <c r="BJX130" s="72"/>
      <c r="BJY130" s="72"/>
      <c r="BJZ130" s="72"/>
      <c r="BKA130" s="72"/>
      <c r="BKB130" s="72"/>
      <c r="BKC130" s="72"/>
      <c r="BKD130" s="72"/>
      <c r="BKE130" s="72"/>
      <c r="BKF130" s="72"/>
      <c r="BKG130" s="72"/>
      <c r="BKH130" s="72"/>
      <c r="BKI130" s="72"/>
      <c r="BKJ130" s="72"/>
      <c r="BKK130" s="72"/>
      <c r="BKL130" s="72"/>
      <c r="BKM130" s="72"/>
      <c r="BKN130" s="72"/>
      <c r="BKO130" s="72"/>
      <c r="BKP130" s="72"/>
      <c r="BKQ130" s="72"/>
      <c r="BKR130" s="72"/>
      <c r="BKS130" s="72"/>
      <c r="BKT130" s="72"/>
      <c r="BKU130" s="72"/>
      <c r="BKV130" s="72"/>
      <c r="BKW130" s="72"/>
      <c r="BKX130" s="72"/>
      <c r="BKY130" s="72"/>
      <c r="BKZ130" s="72"/>
      <c r="BLA130" s="72"/>
      <c r="BLB130" s="72"/>
      <c r="BLC130" s="72"/>
      <c r="BLD130" s="72"/>
      <c r="BLE130" s="72"/>
      <c r="BLF130" s="72"/>
      <c r="BLG130" s="72"/>
      <c r="BLH130" s="72"/>
      <c r="BLI130" s="72"/>
      <c r="BLJ130" s="72"/>
      <c r="BLK130" s="72"/>
      <c r="BLL130" s="72"/>
      <c r="BLM130" s="72"/>
      <c r="BLN130" s="72"/>
      <c r="BLO130" s="72"/>
      <c r="BLP130" s="72"/>
      <c r="BLQ130" s="72"/>
      <c r="BLR130" s="72"/>
      <c r="BLS130" s="72"/>
      <c r="BLT130" s="72"/>
      <c r="BLU130" s="72"/>
      <c r="BLV130" s="72"/>
      <c r="BLW130" s="72"/>
      <c r="BLX130" s="72"/>
      <c r="BLY130" s="72"/>
      <c r="BLZ130" s="72"/>
      <c r="BMA130" s="72"/>
      <c r="BMB130" s="72"/>
      <c r="BMC130" s="72"/>
      <c r="BMD130" s="72"/>
      <c r="BME130" s="72"/>
      <c r="BMF130" s="72"/>
      <c r="BMG130" s="72"/>
      <c r="BMH130" s="72"/>
      <c r="BMI130" s="72"/>
      <c r="BMJ130" s="72"/>
      <c r="BMK130" s="72"/>
      <c r="BML130" s="72"/>
      <c r="BMM130" s="72"/>
      <c r="BMN130" s="72"/>
      <c r="BMO130" s="72"/>
      <c r="BMP130" s="72"/>
      <c r="BMQ130" s="72"/>
      <c r="BMR130" s="72"/>
      <c r="BMS130" s="72"/>
      <c r="BMT130" s="72"/>
      <c r="BMU130" s="72"/>
      <c r="BMV130" s="72"/>
      <c r="BMW130" s="72"/>
      <c r="BMX130" s="72"/>
      <c r="BMY130" s="72"/>
      <c r="BMZ130" s="72"/>
      <c r="BNA130" s="72"/>
      <c r="BNB130" s="72"/>
      <c r="BNC130" s="72"/>
      <c r="BND130" s="72"/>
      <c r="BNE130" s="72"/>
      <c r="BNF130" s="72"/>
      <c r="BNG130" s="72"/>
      <c r="BNH130" s="72"/>
      <c r="BNI130" s="72"/>
      <c r="BNJ130" s="72"/>
      <c r="BNK130" s="72"/>
      <c r="BNL130" s="72"/>
      <c r="BNM130" s="72"/>
      <c r="BNN130" s="72"/>
      <c r="BNO130" s="72"/>
      <c r="BNP130" s="72"/>
      <c r="BNQ130" s="72"/>
      <c r="BNR130" s="72"/>
      <c r="BNS130" s="72"/>
      <c r="BNT130" s="72"/>
      <c r="BNU130" s="72"/>
      <c r="BNV130" s="72"/>
      <c r="BNW130" s="72"/>
      <c r="BNX130" s="72"/>
      <c r="BNY130" s="72"/>
      <c r="BNZ130" s="72"/>
      <c r="BOA130" s="72"/>
      <c r="BOB130" s="72"/>
      <c r="BOC130" s="72"/>
      <c r="BOD130" s="72"/>
      <c r="BOE130" s="72"/>
      <c r="BOF130" s="72"/>
      <c r="BOG130" s="72"/>
      <c r="BOH130" s="72"/>
      <c r="BOI130" s="72"/>
      <c r="BOJ130" s="72"/>
      <c r="BOK130" s="72"/>
      <c r="BOL130" s="72"/>
      <c r="BOM130" s="72"/>
      <c r="BON130" s="72"/>
      <c r="BOO130" s="72"/>
      <c r="BOP130" s="72"/>
      <c r="BOQ130" s="72"/>
      <c r="BOR130" s="72"/>
      <c r="BOS130" s="72"/>
      <c r="BOT130" s="72"/>
      <c r="BOU130" s="72"/>
      <c r="BOV130" s="72"/>
      <c r="BOW130" s="72"/>
      <c r="BOX130" s="72"/>
      <c r="BOY130" s="72"/>
      <c r="BOZ130" s="72"/>
      <c r="BPA130" s="72"/>
      <c r="BPB130" s="72"/>
      <c r="BPC130" s="72"/>
      <c r="BPD130" s="72"/>
      <c r="BPE130" s="72"/>
      <c r="BPF130" s="72"/>
      <c r="BPG130" s="72"/>
      <c r="BPH130" s="72"/>
      <c r="BPI130" s="72"/>
      <c r="BPJ130" s="72"/>
      <c r="BPK130" s="72"/>
      <c r="BPL130" s="72"/>
      <c r="BPM130" s="72"/>
      <c r="BPN130" s="72"/>
      <c r="BPO130" s="72"/>
      <c r="BPP130" s="72"/>
      <c r="BPQ130" s="72"/>
      <c r="BPR130" s="72"/>
      <c r="BPS130" s="72"/>
      <c r="BPT130" s="72"/>
      <c r="BPU130" s="72"/>
      <c r="BPV130" s="72"/>
      <c r="BPW130" s="72"/>
      <c r="BPX130" s="72"/>
      <c r="BPY130" s="72"/>
      <c r="BPZ130" s="72"/>
      <c r="BQA130" s="72"/>
      <c r="BQB130" s="72"/>
      <c r="BQC130" s="72"/>
      <c r="BQD130" s="72"/>
      <c r="BQE130" s="72"/>
      <c r="BQF130" s="72"/>
      <c r="BQG130" s="72"/>
      <c r="BQH130" s="72"/>
      <c r="BQI130" s="72"/>
      <c r="BQJ130" s="72"/>
      <c r="BQK130" s="72"/>
      <c r="BQL130" s="72"/>
      <c r="BQM130" s="72"/>
      <c r="BQN130" s="72"/>
      <c r="BQO130" s="72"/>
      <c r="BQP130" s="72"/>
      <c r="BQQ130" s="72"/>
      <c r="BQR130" s="72"/>
      <c r="BQS130" s="72"/>
      <c r="BQT130" s="72"/>
      <c r="BQU130" s="72"/>
      <c r="BQV130" s="72"/>
      <c r="BQW130" s="72"/>
      <c r="BQX130" s="72"/>
      <c r="BQY130" s="72"/>
      <c r="BQZ130" s="72"/>
      <c r="BRA130" s="72"/>
      <c r="BRB130" s="72"/>
      <c r="BRC130" s="72"/>
      <c r="BRD130" s="72"/>
      <c r="BRE130" s="72"/>
      <c r="BRF130" s="72"/>
      <c r="BRG130" s="72"/>
      <c r="BRH130" s="72"/>
      <c r="BRI130" s="72"/>
      <c r="BRJ130" s="72"/>
      <c r="BRK130" s="72"/>
      <c r="BRL130" s="72"/>
      <c r="BRM130" s="72"/>
      <c r="BRN130" s="72"/>
      <c r="BRO130" s="72"/>
      <c r="BRP130" s="72"/>
      <c r="BRQ130" s="72"/>
      <c r="BRR130" s="72"/>
      <c r="BRS130" s="72"/>
      <c r="BRT130" s="72"/>
      <c r="BRU130" s="72"/>
      <c r="BRV130" s="72"/>
      <c r="BRW130" s="72"/>
      <c r="BRX130" s="72"/>
      <c r="BRY130" s="72"/>
      <c r="BRZ130" s="72"/>
      <c r="BSA130" s="72"/>
      <c r="BSB130" s="72"/>
      <c r="BSC130" s="72"/>
      <c r="BSD130" s="72"/>
      <c r="BSE130" s="72"/>
      <c r="BSF130" s="72"/>
      <c r="BSG130" s="72"/>
      <c r="BSH130" s="72"/>
      <c r="BSI130" s="72"/>
      <c r="BSJ130" s="72"/>
      <c r="BSK130" s="72"/>
      <c r="BSL130" s="72"/>
      <c r="BSM130" s="72"/>
      <c r="BSN130" s="72"/>
      <c r="BSO130" s="72"/>
      <c r="BSP130" s="72"/>
      <c r="BSQ130" s="72"/>
      <c r="BSR130" s="72"/>
      <c r="BSS130" s="72"/>
      <c r="BST130" s="72"/>
      <c r="BSU130" s="72"/>
      <c r="BSV130" s="72"/>
      <c r="BSW130" s="72"/>
      <c r="BSX130" s="72"/>
      <c r="BSY130" s="72"/>
      <c r="BSZ130" s="72"/>
      <c r="BTA130" s="72"/>
      <c r="BTB130" s="72"/>
      <c r="BTC130" s="72"/>
      <c r="BTD130" s="72"/>
      <c r="BTE130" s="72"/>
      <c r="BTF130" s="72"/>
      <c r="BTG130" s="72"/>
      <c r="BTH130" s="72"/>
      <c r="BTI130" s="72"/>
      <c r="BTJ130" s="72"/>
      <c r="BTK130" s="72"/>
      <c r="BTL130" s="72"/>
      <c r="BTM130" s="72"/>
      <c r="BTN130" s="72"/>
      <c r="BTO130" s="72"/>
      <c r="BTP130" s="72"/>
      <c r="BTQ130" s="72"/>
      <c r="BTR130" s="72"/>
      <c r="BTS130" s="72"/>
      <c r="BTT130" s="72"/>
      <c r="BTU130" s="72"/>
      <c r="BTV130" s="72"/>
      <c r="BTW130" s="72"/>
      <c r="BTX130" s="72"/>
      <c r="BTY130" s="72"/>
      <c r="BTZ130" s="72"/>
      <c r="BUA130" s="72"/>
      <c r="BUB130" s="72"/>
      <c r="BUC130" s="72"/>
      <c r="BUD130" s="72"/>
      <c r="BUE130" s="72"/>
      <c r="BUF130" s="72"/>
      <c r="BUG130" s="72"/>
      <c r="BUH130" s="72"/>
      <c r="BUI130" s="72"/>
      <c r="BUJ130" s="72"/>
      <c r="BUK130" s="72"/>
      <c r="BUL130" s="72"/>
      <c r="BUM130" s="72"/>
      <c r="BUN130" s="72"/>
      <c r="BUO130" s="72"/>
      <c r="BUP130" s="72"/>
      <c r="BUQ130" s="72"/>
      <c r="BUR130" s="72"/>
      <c r="BUS130" s="72"/>
      <c r="BUT130" s="72"/>
      <c r="BUU130" s="72"/>
      <c r="BUV130" s="72"/>
      <c r="BUW130" s="72"/>
      <c r="BUX130" s="72"/>
      <c r="BUY130" s="72"/>
      <c r="BUZ130" s="72"/>
      <c r="BVA130" s="72"/>
      <c r="BVB130" s="72"/>
      <c r="BVC130" s="72"/>
      <c r="BVD130" s="72"/>
      <c r="BVE130" s="72"/>
      <c r="BVF130" s="72"/>
      <c r="BVG130" s="72"/>
      <c r="BVH130" s="72"/>
      <c r="BVI130" s="72"/>
      <c r="BVJ130" s="72"/>
      <c r="BVK130" s="72"/>
      <c r="BVL130" s="72"/>
      <c r="BVM130" s="72"/>
      <c r="BVN130" s="72"/>
      <c r="BVO130" s="72"/>
      <c r="BVP130" s="72"/>
      <c r="BVQ130" s="72"/>
      <c r="BVR130" s="72"/>
      <c r="BVS130" s="72"/>
      <c r="BVT130" s="72"/>
      <c r="BVU130" s="72"/>
      <c r="BVV130" s="72"/>
      <c r="BVW130" s="72"/>
      <c r="BVX130" s="72"/>
      <c r="BVY130" s="72"/>
      <c r="BVZ130" s="72"/>
      <c r="BWA130" s="72"/>
      <c r="BWB130" s="72"/>
      <c r="BWC130" s="72"/>
      <c r="BWD130" s="72"/>
      <c r="BWE130" s="72"/>
      <c r="BWF130" s="72"/>
      <c r="BWG130" s="72"/>
      <c r="BWH130" s="72"/>
      <c r="BWI130" s="72"/>
      <c r="BWJ130" s="72"/>
      <c r="BWK130" s="72"/>
      <c r="BWL130" s="72"/>
      <c r="BWM130" s="72"/>
      <c r="BWN130" s="72"/>
      <c r="BWO130" s="72"/>
      <c r="BWP130" s="72"/>
      <c r="BWQ130" s="72"/>
      <c r="BWR130" s="72"/>
      <c r="BWS130" s="72"/>
      <c r="BWT130" s="72"/>
      <c r="BWU130" s="72"/>
      <c r="BWV130" s="72"/>
      <c r="BWW130" s="72"/>
      <c r="BWX130" s="72"/>
      <c r="BWY130" s="72"/>
      <c r="BWZ130" s="72"/>
      <c r="BXA130" s="72"/>
      <c r="BXB130" s="72"/>
      <c r="BXC130" s="72"/>
      <c r="BXD130" s="72"/>
      <c r="BXE130" s="72"/>
      <c r="BXF130" s="72"/>
      <c r="BXG130" s="72"/>
      <c r="BXH130" s="72"/>
      <c r="BXI130" s="72"/>
      <c r="BXJ130" s="72"/>
      <c r="BXK130" s="72"/>
      <c r="BXL130" s="72"/>
      <c r="BXM130" s="72"/>
      <c r="BXN130" s="72"/>
      <c r="BXO130" s="72"/>
      <c r="BXP130" s="72"/>
      <c r="BXQ130" s="72"/>
      <c r="BXR130" s="72"/>
      <c r="BXS130" s="72"/>
      <c r="BXT130" s="72"/>
      <c r="BXU130" s="72"/>
      <c r="BXV130" s="72"/>
      <c r="BXW130" s="72"/>
      <c r="BXX130" s="72"/>
      <c r="BXY130" s="72"/>
      <c r="BXZ130" s="72"/>
      <c r="BYA130" s="72"/>
      <c r="BYB130" s="72"/>
      <c r="BYC130" s="72"/>
      <c r="BYD130" s="72"/>
      <c r="BYE130" s="72"/>
      <c r="BYF130" s="72"/>
      <c r="BYG130" s="72"/>
      <c r="BYH130" s="72"/>
      <c r="BYI130" s="72"/>
      <c r="BYJ130" s="72"/>
      <c r="BYK130" s="72"/>
      <c r="BYL130" s="72"/>
      <c r="BYM130" s="72"/>
      <c r="BYN130" s="72"/>
      <c r="BYO130" s="72"/>
      <c r="BYP130" s="72"/>
      <c r="BYQ130" s="72"/>
      <c r="BYR130" s="72"/>
      <c r="BYS130" s="72"/>
      <c r="BYT130" s="72"/>
      <c r="BYU130" s="72"/>
      <c r="BYV130" s="72"/>
      <c r="BYW130" s="72"/>
      <c r="BYX130" s="72"/>
      <c r="BYY130" s="72"/>
      <c r="BYZ130" s="72"/>
      <c r="BZA130" s="72"/>
      <c r="BZB130" s="72"/>
      <c r="BZC130" s="72"/>
      <c r="BZD130" s="72"/>
      <c r="BZE130" s="72"/>
      <c r="BZF130" s="72"/>
      <c r="BZG130" s="72"/>
      <c r="BZH130" s="72"/>
      <c r="BZI130" s="72"/>
      <c r="BZJ130" s="72"/>
      <c r="BZK130" s="72"/>
      <c r="BZL130" s="72"/>
      <c r="BZM130" s="72"/>
      <c r="BZN130" s="72"/>
      <c r="BZO130" s="72"/>
      <c r="BZP130" s="72"/>
      <c r="BZQ130" s="72"/>
      <c r="BZR130" s="72"/>
      <c r="BZS130" s="72"/>
      <c r="BZT130" s="72"/>
      <c r="BZU130" s="72"/>
      <c r="BZV130" s="72"/>
      <c r="BZW130" s="72"/>
      <c r="BZX130" s="72"/>
      <c r="BZY130" s="72"/>
      <c r="BZZ130" s="72"/>
      <c r="CAA130" s="72"/>
      <c r="CAB130" s="72"/>
      <c r="CAC130" s="72"/>
      <c r="CAD130" s="72"/>
      <c r="CAE130" s="72"/>
      <c r="CAF130" s="72"/>
      <c r="CAG130" s="72"/>
      <c r="CAH130" s="72"/>
      <c r="CAI130" s="72"/>
      <c r="CAJ130" s="72"/>
      <c r="CAK130" s="72"/>
      <c r="CAL130" s="72"/>
      <c r="CAM130" s="72"/>
      <c r="CAN130" s="72"/>
      <c r="CAO130" s="72"/>
      <c r="CAP130" s="72"/>
      <c r="CAQ130" s="72"/>
      <c r="CAR130" s="72"/>
      <c r="CAS130" s="72"/>
      <c r="CAT130" s="72"/>
      <c r="CAU130" s="72"/>
      <c r="CAV130" s="72"/>
      <c r="CAW130" s="72"/>
      <c r="CAX130" s="72"/>
      <c r="CAY130" s="72"/>
      <c r="CAZ130" s="72"/>
      <c r="CBA130" s="72"/>
      <c r="CBB130" s="72"/>
      <c r="CBC130" s="72"/>
      <c r="CBD130" s="72"/>
      <c r="CBE130" s="72"/>
      <c r="CBF130" s="72"/>
      <c r="CBG130" s="72"/>
      <c r="CBH130" s="72"/>
      <c r="CBI130" s="72"/>
      <c r="CBJ130" s="72"/>
      <c r="CBK130" s="72"/>
      <c r="CBL130" s="72"/>
      <c r="CBM130" s="72"/>
      <c r="CBN130" s="72"/>
      <c r="CBO130" s="72"/>
      <c r="CBP130" s="72"/>
      <c r="CBQ130" s="72"/>
      <c r="CBR130" s="72"/>
      <c r="CBS130" s="72"/>
      <c r="CBT130" s="72"/>
      <c r="CBU130" s="72"/>
      <c r="CBV130" s="72"/>
      <c r="CBW130" s="72"/>
      <c r="CBX130" s="72"/>
      <c r="CBY130" s="72"/>
      <c r="CBZ130" s="72"/>
      <c r="CCA130" s="72"/>
      <c r="CCB130" s="72"/>
      <c r="CCC130" s="72"/>
      <c r="CCD130" s="72"/>
      <c r="CCE130" s="72"/>
      <c r="CCF130" s="72"/>
      <c r="CCG130" s="72"/>
      <c r="CCH130" s="72"/>
      <c r="CCI130" s="72"/>
      <c r="CCJ130" s="72"/>
      <c r="CCK130" s="72"/>
      <c r="CCL130" s="72"/>
      <c r="CCM130" s="72"/>
      <c r="CCN130" s="72"/>
      <c r="CCO130" s="72"/>
      <c r="CCP130" s="72"/>
      <c r="CCQ130" s="72"/>
      <c r="CCR130" s="72"/>
      <c r="CCS130" s="72"/>
      <c r="CCT130" s="72"/>
      <c r="CCU130" s="72"/>
      <c r="CCV130" s="72"/>
      <c r="CCW130" s="72"/>
      <c r="CCX130" s="72"/>
      <c r="CCY130" s="72"/>
      <c r="CCZ130" s="72"/>
      <c r="CDA130" s="72"/>
      <c r="CDB130" s="72"/>
      <c r="CDC130" s="72"/>
      <c r="CDD130" s="72"/>
      <c r="CDE130" s="72"/>
      <c r="CDF130" s="72"/>
      <c r="CDG130" s="72"/>
      <c r="CDH130" s="72"/>
      <c r="CDI130" s="72"/>
      <c r="CDJ130" s="72"/>
      <c r="CDK130" s="72"/>
      <c r="CDL130" s="72"/>
      <c r="CDM130" s="72"/>
      <c r="CDN130" s="72"/>
      <c r="CDO130" s="72"/>
      <c r="CDP130" s="72"/>
      <c r="CDQ130" s="72"/>
      <c r="CDR130" s="72"/>
      <c r="CDS130" s="72"/>
      <c r="CDT130" s="72"/>
      <c r="CDU130" s="72"/>
      <c r="CDV130" s="72"/>
      <c r="CDW130" s="72"/>
      <c r="CDX130" s="72"/>
      <c r="CDY130" s="72"/>
      <c r="CDZ130" s="72"/>
      <c r="CEA130" s="72"/>
      <c r="CEB130" s="72"/>
      <c r="CEC130" s="72"/>
      <c r="CED130" s="72"/>
      <c r="CEE130" s="72"/>
      <c r="CEF130" s="72"/>
      <c r="CEG130" s="72"/>
      <c r="CEH130" s="72"/>
      <c r="CEI130" s="72"/>
      <c r="CEJ130" s="72"/>
      <c r="CEK130" s="72"/>
      <c r="CEL130" s="72"/>
      <c r="CEM130" s="72"/>
      <c r="CEN130" s="72"/>
      <c r="CEO130" s="72"/>
      <c r="CEP130" s="72"/>
      <c r="CEQ130" s="72"/>
      <c r="CER130" s="72"/>
      <c r="CES130" s="72"/>
      <c r="CET130" s="72"/>
      <c r="CEU130" s="72"/>
      <c r="CEV130" s="72"/>
      <c r="CEW130" s="72"/>
      <c r="CEX130" s="72"/>
      <c r="CEY130" s="72"/>
      <c r="CEZ130" s="72"/>
      <c r="CFA130" s="72"/>
      <c r="CFB130" s="72"/>
      <c r="CFC130" s="72"/>
      <c r="CFD130" s="72"/>
      <c r="CFE130" s="72"/>
      <c r="CFF130" s="72"/>
      <c r="CFG130" s="72"/>
      <c r="CFH130" s="72"/>
      <c r="CFI130" s="72"/>
      <c r="CFJ130" s="72"/>
      <c r="CFK130" s="72"/>
      <c r="CFL130" s="72"/>
      <c r="CFM130" s="72"/>
      <c r="CFN130" s="72"/>
      <c r="CFO130" s="72"/>
      <c r="CFP130" s="72"/>
      <c r="CFQ130" s="72"/>
      <c r="CFR130" s="72"/>
      <c r="CFS130" s="72"/>
      <c r="CFT130" s="72"/>
      <c r="CFU130" s="72"/>
      <c r="CFV130" s="72"/>
      <c r="CFW130" s="72"/>
      <c r="CFX130" s="72"/>
      <c r="CFY130" s="72"/>
      <c r="CFZ130" s="72"/>
      <c r="CGA130" s="72"/>
      <c r="CGB130" s="72"/>
      <c r="CGC130" s="72"/>
      <c r="CGD130" s="72"/>
      <c r="CGE130" s="72"/>
      <c r="CGF130" s="72"/>
      <c r="CGG130" s="72"/>
      <c r="CGH130" s="72"/>
      <c r="CGI130" s="72"/>
      <c r="CGJ130" s="72"/>
      <c r="CGK130" s="72"/>
      <c r="CGL130" s="72"/>
      <c r="CGM130" s="72"/>
      <c r="CGN130" s="72"/>
      <c r="CGO130" s="72"/>
      <c r="CGP130" s="72"/>
      <c r="CGQ130" s="72"/>
      <c r="CGR130" s="72"/>
      <c r="CGS130" s="72"/>
      <c r="CGT130" s="72"/>
      <c r="CGU130" s="72"/>
      <c r="CGV130" s="72"/>
      <c r="CGW130" s="72"/>
      <c r="CGX130" s="72"/>
      <c r="CGY130" s="72"/>
      <c r="CGZ130" s="72"/>
      <c r="CHA130" s="72"/>
      <c r="CHB130" s="72"/>
      <c r="CHC130" s="72"/>
      <c r="CHD130" s="72"/>
      <c r="CHE130" s="72"/>
      <c r="CHF130" s="72"/>
      <c r="CHG130" s="72"/>
      <c r="CHH130" s="72"/>
      <c r="CHI130" s="72"/>
      <c r="CHJ130" s="72"/>
      <c r="CHK130" s="72"/>
      <c r="CHL130" s="72"/>
      <c r="CHM130" s="72"/>
      <c r="CHN130" s="72"/>
      <c r="CHO130" s="72"/>
      <c r="CHP130" s="72"/>
      <c r="CHQ130" s="72"/>
      <c r="CHR130" s="72"/>
      <c r="CHS130" s="72"/>
      <c r="CHT130" s="72"/>
      <c r="CHU130" s="72"/>
      <c r="CHV130" s="72"/>
      <c r="CHW130" s="72"/>
      <c r="CHX130" s="72"/>
      <c r="CHY130" s="72"/>
      <c r="CHZ130" s="72"/>
      <c r="CIA130" s="72"/>
      <c r="CIB130" s="72"/>
      <c r="CIC130" s="72"/>
      <c r="CID130" s="72"/>
      <c r="CIE130" s="72"/>
      <c r="CIF130" s="72"/>
      <c r="CIG130" s="72"/>
      <c r="CIH130" s="72"/>
      <c r="CII130" s="72"/>
      <c r="CIJ130" s="72"/>
      <c r="CIK130" s="72"/>
      <c r="CIL130" s="72"/>
      <c r="CIM130" s="72"/>
      <c r="CIN130" s="72"/>
      <c r="CIO130" s="72"/>
      <c r="CIP130" s="72"/>
      <c r="CIQ130" s="72"/>
      <c r="CIR130" s="72"/>
      <c r="CIS130" s="72"/>
      <c r="CIT130" s="72"/>
      <c r="CIU130" s="72"/>
      <c r="CIV130" s="72"/>
      <c r="CIW130" s="72"/>
      <c r="CIX130" s="72"/>
      <c r="CIY130" s="72"/>
      <c r="CIZ130" s="72"/>
      <c r="CJA130" s="72"/>
      <c r="CJB130" s="72"/>
      <c r="CJC130" s="72"/>
      <c r="CJD130" s="72"/>
      <c r="CJE130" s="72"/>
      <c r="CJF130" s="72"/>
      <c r="CJG130" s="72"/>
      <c r="CJH130" s="72"/>
      <c r="CJI130" s="72"/>
      <c r="CJJ130" s="72"/>
      <c r="CJK130" s="72"/>
      <c r="CJL130" s="72"/>
      <c r="CJM130" s="72"/>
      <c r="CJN130" s="72"/>
      <c r="CJO130" s="72"/>
      <c r="CJP130" s="72"/>
      <c r="CJQ130" s="72"/>
      <c r="CJR130" s="72"/>
      <c r="CJS130" s="72"/>
      <c r="CJT130" s="72"/>
      <c r="CJU130" s="72"/>
      <c r="CJV130" s="72"/>
      <c r="CJW130" s="72"/>
      <c r="CJX130" s="72"/>
      <c r="CJY130" s="72"/>
      <c r="CJZ130" s="72"/>
      <c r="CKA130" s="72"/>
      <c r="CKB130" s="72"/>
      <c r="CKC130" s="72"/>
      <c r="CKD130" s="72"/>
      <c r="CKE130" s="72"/>
      <c r="CKF130" s="72"/>
      <c r="CKG130" s="72"/>
      <c r="CKH130" s="72"/>
      <c r="CKI130" s="72"/>
      <c r="CKJ130" s="72"/>
      <c r="CKK130" s="72"/>
      <c r="CKL130" s="72"/>
      <c r="CKM130" s="72"/>
      <c r="CKN130" s="72"/>
      <c r="CKO130" s="72"/>
      <c r="CKP130" s="72"/>
      <c r="CKQ130" s="72"/>
      <c r="CKR130" s="72"/>
      <c r="CKS130" s="72"/>
      <c r="CKT130" s="72"/>
      <c r="CKU130" s="72"/>
      <c r="CKV130" s="72"/>
      <c r="CKW130" s="72"/>
      <c r="CKX130" s="72"/>
      <c r="CKY130" s="72"/>
      <c r="CKZ130" s="72"/>
      <c r="CLA130" s="72"/>
      <c r="CLB130" s="72"/>
      <c r="CLC130" s="72"/>
      <c r="CLD130" s="72"/>
      <c r="CLE130" s="72"/>
      <c r="CLF130" s="72"/>
      <c r="CLG130" s="72"/>
      <c r="CLH130" s="72"/>
      <c r="CLI130" s="72"/>
      <c r="CLJ130" s="72"/>
      <c r="CLK130" s="72"/>
      <c r="CLL130" s="72"/>
      <c r="CLM130" s="72"/>
      <c r="CLN130" s="72"/>
      <c r="CLO130" s="72"/>
      <c r="CLP130" s="72"/>
      <c r="CLQ130" s="72"/>
      <c r="CLR130" s="72"/>
      <c r="CLS130" s="72"/>
      <c r="CLT130" s="72"/>
      <c r="CLU130" s="72"/>
      <c r="CLV130" s="72"/>
      <c r="CLW130" s="72"/>
      <c r="CLX130" s="72"/>
      <c r="CLY130" s="72"/>
      <c r="CLZ130" s="72"/>
      <c r="CMA130" s="72"/>
      <c r="CMB130" s="72"/>
      <c r="CMC130" s="72"/>
      <c r="CMD130" s="72"/>
      <c r="CME130" s="72"/>
      <c r="CMF130" s="72"/>
      <c r="CMG130" s="72"/>
      <c r="CMH130" s="72"/>
      <c r="CMI130" s="72"/>
      <c r="CMJ130" s="72"/>
      <c r="CMK130" s="72"/>
      <c r="CML130" s="72"/>
      <c r="CMM130" s="72"/>
      <c r="CMN130" s="72"/>
      <c r="CMO130" s="72"/>
      <c r="CMP130" s="72"/>
      <c r="CMQ130" s="72"/>
      <c r="CMR130" s="72"/>
      <c r="CMS130" s="72"/>
      <c r="CMT130" s="72"/>
      <c r="CMU130" s="72"/>
      <c r="CMV130" s="72"/>
      <c r="CMW130" s="72"/>
      <c r="CMX130" s="72"/>
      <c r="CMY130" s="72"/>
      <c r="CMZ130" s="72"/>
      <c r="CNA130" s="72"/>
      <c r="CNB130" s="72"/>
      <c r="CNC130" s="72"/>
      <c r="CND130" s="72"/>
      <c r="CNE130" s="72"/>
      <c r="CNF130" s="72"/>
      <c r="CNG130" s="72"/>
      <c r="CNH130" s="72"/>
      <c r="CNI130" s="72"/>
      <c r="CNJ130" s="72"/>
      <c r="CNK130" s="72"/>
      <c r="CNL130" s="72"/>
      <c r="CNM130" s="72"/>
      <c r="CNN130" s="72"/>
      <c r="CNO130" s="72"/>
      <c r="CNP130" s="72"/>
      <c r="CNQ130" s="72"/>
      <c r="CNR130" s="72"/>
      <c r="CNS130" s="72"/>
      <c r="CNT130" s="72"/>
      <c r="CNU130" s="72"/>
      <c r="CNV130" s="72"/>
      <c r="CNW130" s="72"/>
      <c r="CNX130" s="72"/>
      <c r="CNY130" s="72"/>
      <c r="CNZ130" s="72"/>
      <c r="COA130" s="72"/>
      <c r="COB130" s="72"/>
      <c r="COC130" s="72"/>
      <c r="COD130" s="72"/>
      <c r="COE130" s="72"/>
      <c r="COF130" s="72"/>
      <c r="COG130" s="72"/>
      <c r="COH130" s="72"/>
      <c r="COI130" s="72"/>
      <c r="COJ130" s="72"/>
      <c r="COK130" s="72"/>
      <c r="COL130" s="72"/>
      <c r="COM130" s="72"/>
      <c r="CON130" s="72"/>
      <c r="COO130" s="72"/>
      <c r="COP130" s="72"/>
      <c r="COQ130" s="72"/>
      <c r="COR130" s="72"/>
      <c r="COS130" s="72"/>
      <c r="COT130" s="72"/>
      <c r="COU130" s="72"/>
      <c r="COV130" s="72"/>
      <c r="COW130" s="72"/>
      <c r="COX130" s="72"/>
      <c r="COY130" s="72"/>
      <c r="COZ130" s="72"/>
      <c r="CPA130" s="72"/>
      <c r="CPB130" s="72"/>
      <c r="CPC130" s="72"/>
      <c r="CPD130" s="72"/>
      <c r="CPE130" s="72"/>
      <c r="CPF130" s="72"/>
      <c r="CPG130" s="72"/>
      <c r="CPH130" s="72"/>
      <c r="CPI130" s="72"/>
      <c r="CPJ130" s="72"/>
      <c r="CPK130" s="72"/>
      <c r="CPL130" s="72"/>
      <c r="CPM130" s="72"/>
      <c r="CPN130" s="72"/>
      <c r="CPO130" s="72"/>
      <c r="CPP130" s="72"/>
      <c r="CPQ130" s="72"/>
      <c r="CPR130" s="72"/>
      <c r="CPS130" s="72"/>
      <c r="CPT130" s="72"/>
      <c r="CPU130" s="72"/>
      <c r="CPV130" s="72"/>
      <c r="CPW130" s="72"/>
      <c r="CPX130" s="72"/>
      <c r="CPY130" s="72"/>
      <c r="CPZ130" s="72"/>
      <c r="CQA130" s="72"/>
      <c r="CQB130" s="72"/>
      <c r="CQC130" s="72"/>
      <c r="CQD130" s="72"/>
      <c r="CQE130" s="72"/>
      <c r="CQF130" s="72"/>
      <c r="CQG130" s="72"/>
      <c r="CQH130" s="72"/>
      <c r="CQI130" s="72"/>
      <c r="CQJ130" s="72"/>
      <c r="CQK130" s="72"/>
      <c r="CQL130" s="72"/>
      <c r="CQM130" s="72"/>
      <c r="CQN130" s="72"/>
      <c r="CQO130" s="72"/>
      <c r="CQP130" s="72"/>
      <c r="CQQ130" s="72"/>
      <c r="CQR130" s="72"/>
      <c r="CQS130" s="72"/>
      <c r="CQT130" s="72"/>
      <c r="CQU130" s="72"/>
      <c r="CQV130" s="72"/>
      <c r="CQW130" s="72"/>
      <c r="CQX130" s="72"/>
      <c r="CQY130" s="72"/>
      <c r="CQZ130" s="72"/>
      <c r="CRA130" s="72"/>
      <c r="CRB130" s="72"/>
      <c r="CRC130" s="72"/>
      <c r="CRD130" s="72"/>
      <c r="CRE130" s="72"/>
      <c r="CRF130" s="72"/>
      <c r="CRG130" s="72"/>
      <c r="CRH130" s="72"/>
      <c r="CRI130" s="72"/>
      <c r="CRJ130" s="72"/>
      <c r="CRK130" s="72"/>
      <c r="CRL130" s="72"/>
      <c r="CRM130" s="72"/>
      <c r="CRN130" s="72"/>
      <c r="CRO130" s="72"/>
      <c r="CRP130" s="72"/>
      <c r="CRQ130" s="72"/>
      <c r="CRR130" s="72"/>
      <c r="CRS130" s="72"/>
      <c r="CRT130" s="72"/>
      <c r="CRU130" s="72"/>
      <c r="CRV130" s="72"/>
      <c r="CRW130" s="72"/>
      <c r="CRX130" s="72"/>
      <c r="CRY130" s="72"/>
      <c r="CRZ130" s="72"/>
      <c r="CSA130" s="72"/>
      <c r="CSB130" s="72"/>
      <c r="CSC130" s="72"/>
      <c r="CSD130" s="72"/>
      <c r="CSE130" s="72"/>
      <c r="CSF130" s="72"/>
      <c r="CSG130" s="72"/>
      <c r="CSH130" s="72"/>
      <c r="CSI130" s="72"/>
      <c r="CSJ130" s="72"/>
      <c r="CSK130" s="72"/>
      <c r="CSL130" s="72"/>
      <c r="CSM130" s="72"/>
      <c r="CSN130" s="72"/>
      <c r="CSO130" s="72"/>
      <c r="CSP130" s="72"/>
      <c r="CSQ130" s="72"/>
      <c r="CSR130" s="72"/>
      <c r="CSS130" s="72"/>
      <c r="CST130" s="72"/>
      <c r="CSU130" s="72"/>
      <c r="CSV130" s="72"/>
      <c r="CSW130" s="72"/>
      <c r="CSX130" s="72"/>
      <c r="CSY130" s="72"/>
      <c r="CSZ130" s="72"/>
      <c r="CTA130" s="72"/>
      <c r="CTB130" s="72"/>
      <c r="CTC130" s="72"/>
      <c r="CTD130" s="72"/>
      <c r="CTE130" s="72"/>
      <c r="CTF130" s="72"/>
      <c r="CTG130" s="72"/>
      <c r="CTH130" s="72"/>
      <c r="CTI130" s="72"/>
      <c r="CTJ130" s="72"/>
      <c r="CTK130" s="72"/>
      <c r="CTL130" s="72"/>
      <c r="CTM130" s="72"/>
      <c r="CTN130" s="72"/>
      <c r="CTO130" s="72"/>
      <c r="CTP130" s="72"/>
      <c r="CTQ130" s="72"/>
      <c r="CTR130" s="72"/>
      <c r="CTS130" s="72"/>
      <c r="CTT130" s="72"/>
      <c r="CTU130" s="72"/>
      <c r="CTV130" s="72"/>
      <c r="CTW130" s="72"/>
      <c r="CTX130" s="72"/>
      <c r="CTY130" s="72"/>
      <c r="CTZ130" s="72"/>
      <c r="CUA130" s="72"/>
      <c r="CUB130" s="72"/>
      <c r="CUC130" s="72"/>
      <c r="CUD130" s="72"/>
      <c r="CUE130" s="72"/>
      <c r="CUF130" s="72"/>
      <c r="CUG130" s="72"/>
      <c r="CUH130" s="72"/>
      <c r="CUI130" s="72"/>
      <c r="CUJ130" s="72"/>
      <c r="CUK130" s="72"/>
      <c r="CUL130" s="72"/>
      <c r="CUM130" s="72"/>
      <c r="CUN130" s="72"/>
      <c r="CUO130" s="72"/>
      <c r="CUP130" s="72"/>
      <c r="CUQ130" s="72"/>
      <c r="CUR130" s="72"/>
      <c r="CUS130" s="72"/>
      <c r="CUT130" s="72"/>
      <c r="CUU130" s="72"/>
      <c r="CUV130" s="72"/>
      <c r="CUW130" s="72"/>
      <c r="CUX130" s="72"/>
      <c r="CUY130" s="72"/>
      <c r="CUZ130" s="72"/>
      <c r="CVA130" s="72"/>
      <c r="CVB130" s="72"/>
      <c r="CVC130" s="72"/>
      <c r="CVD130" s="72"/>
      <c r="CVE130" s="72"/>
      <c r="CVF130" s="72"/>
      <c r="CVG130" s="72"/>
      <c r="CVH130" s="72"/>
      <c r="CVI130" s="72"/>
      <c r="CVJ130" s="72"/>
      <c r="CVK130" s="72"/>
      <c r="CVL130" s="72"/>
      <c r="CVM130" s="72"/>
      <c r="CVN130" s="72"/>
      <c r="CVO130" s="72"/>
      <c r="CVP130" s="72"/>
      <c r="CVQ130" s="72"/>
      <c r="CVR130" s="72"/>
      <c r="CVS130" s="72"/>
      <c r="CVT130" s="72"/>
      <c r="CVU130" s="72"/>
      <c r="CVV130" s="72"/>
      <c r="CVW130" s="72"/>
      <c r="CVX130" s="72"/>
      <c r="CVY130" s="72"/>
      <c r="CVZ130" s="72"/>
      <c r="CWA130" s="72"/>
      <c r="CWB130" s="72"/>
      <c r="CWC130" s="72"/>
      <c r="CWD130" s="72"/>
      <c r="CWE130" s="72"/>
      <c r="CWF130" s="72"/>
      <c r="CWG130" s="72"/>
      <c r="CWH130" s="72"/>
      <c r="CWI130" s="72"/>
      <c r="CWJ130" s="72"/>
      <c r="CWK130" s="72"/>
      <c r="CWL130" s="72"/>
      <c r="CWM130" s="72"/>
      <c r="CWN130" s="72"/>
      <c r="CWO130" s="72"/>
      <c r="CWP130" s="72"/>
      <c r="CWQ130" s="72"/>
      <c r="CWR130" s="72"/>
      <c r="CWS130" s="72"/>
      <c r="CWT130" s="72"/>
      <c r="CWU130" s="72"/>
      <c r="CWV130" s="72"/>
      <c r="CWW130" s="72"/>
      <c r="CWX130" s="72"/>
      <c r="CWY130" s="72"/>
      <c r="CWZ130" s="72"/>
      <c r="CXA130" s="72"/>
      <c r="CXB130" s="72"/>
      <c r="CXC130" s="72"/>
      <c r="CXD130" s="72"/>
      <c r="CXE130" s="72"/>
      <c r="CXF130" s="72"/>
      <c r="CXG130" s="72"/>
      <c r="CXH130" s="72"/>
      <c r="CXI130" s="72"/>
      <c r="CXJ130" s="72"/>
      <c r="CXK130" s="72"/>
      <c r="CXL130" s="72"/>
      <c r="CXM130" s="72"/>
      <c r="CXN130" s="72"/>
      <c r="CXO130" s="72"/>
      <c r="CXP130" s="72"/>
      <c r="CXQ130" s="72"/>
      <c r="CXR130" s="72"/>
      <c r="CXS130" s="72"/>
      <c r="CXT130" s="72"/>
      <c r="CXU130" s="72"/>
      <c r="CXV130" s="72"/>
      <c r="CXW130" s="72"/>
      <c r="CXX130" s="72"/>
      <c r="CXY130" s="72"/>
      <c r="CXZ130" s="72"/>
      <c r="CYA130" s="72"/>
      <c r="CYB130" s="72"/>
      <c r="CYC130" s="72"/>
      <c r="CYD130" s="72"/>
      <c r="CYE130" s="72"/>
      <c r="CYF130" s="72"/>
      <c r="CYG130" s="72"/>
      <c r="CYH130" s="72"/>
      <c r="CYI130" s="72"/>
      <c r="CYJ130" s="72"/>
      <c r="CYK130" s="72"/>
      <c r="CYL130" s="72"/>
      <c r="CYM130" s="72"/>
      <c r="CYN130" s="72"/>
      <c r="CYO130" s="72"/>
      <c r="CYP130" s="72"/>
      <c r="CYQ130" s="72"/>
      <c r="CYR130" s="72"/>
      <c r="CYS130" s="72"/>
      <c r="CYT130" s="72"/>
      <c r="CYU130" s="72"/>
      <c r="CYV130" s="72"/>
      <c r="CYW130" s="72"/>
      <c r="CYX130" s="72"/>
      <c r="CYY130" s="72"/>
      <c r="CYZ130" s="72"/>
      <c r="CZA130" s="72"/>
      <c r="CZB130" s="72"/>
      <c r="CZC130" s="72"/>
      <c r="CZD130" s="72"/>
      <c r="CZE130" s="72"/>
      <c r="CZF130" s="72"/>
      <c r="CZG130" s="72"/>
      <c r="CZH130" s="72"/>
      <c r="CZI130" s="72"/>
      <c r="CZJ130" s="72"/>
      <c r="CZK130" s="72"/>
      <c r="CZL130" s="72"/>
      <c r="CZM130" s="72"/>
      <c r="CZN130" s="72"/>
      <c r="CZO130" s="72"/>
      <c r="CZP130" s="72"/>
      <c r="CZQ130" s="72"/>
      <c r="CZR130" s="72"/>
      <c r="CZS130" s="72"/>
      <c r="CZT130" s="72"/>
      <c r="CZU130" s="72"/>
      <c r="CZV130" s="72"/>
      <c r="CZW130" s="72"/>
      <c r="CZX130" s="72"/>
      <c r="CZY130" s="72"/>
      <c r="CZZ130" s="72"/>
      <c r="DAA130" s="72"/>
      <c r="DAB130" s="72"/>
      <c r="DAC130" s="72"/>
      <c r="DAD130" s="72"/>
      <c r="DAE130" s="72"/>
      <c r="DAF130" s="72"/>
      <c r="DAG130" s="72"/>
      <c r="DAH130" s="72"/>
      <c r="DAI130" s="72"/>
      <c r="DAJ130" s="72"/>
      <c r="DAK130" s="72"/>
      <c r="DAL130" s="72"/>
      <c r="DAM130" s="72"/>
      <c r="DAN130" s="72"/>
      <c r="DAO130" s="72"/>
      <c r="DAP130" s="72"/>
      <c r="DAQ130" s="72"/>
      <c r="DAR130" s="72"/>
      <c r="DAS130" s="72"/>
      <c r="DAT130" s="72"/>
      <c r="DAU130" s="72"/>
      <c r="DAV130" s="72"/>
      <c r="DAW130" s="72"/>
      <c r="DAX130" s="72"/>
      <c r="DAY130" s="72"/>
      <c r="DAZ130" s="72"/>
      <c r="DBA130" s="72"/>
      <c r="DBB130" s="72"/>
      <c r="DBC130" s="72"/>
      <c r="DBD130" s="72"/>
      <c r="DBE130" s="72"/>
      <c r="DBF130" s="72"/>
      <c r="DBG130" s="72"/>
      <c r="DBH130" s="72"/>
      <c r="DBI130" s="72"/>
      <c r="DBJ130" s="72"/>
      <c r="DBK130" s="72"/>
      <c r="DBL130" s="72"/>
      <c r="DBM130" s="72"/>
      <c r="DBN130" s="72"/>
      <c r="DBO130" s="72"/>
      <c r="DBP130" s="72"/>
      <c r="DBQ130" s="72"/>
      <c r="DBR130" s="72"/>
      <c r="DBS130" s="72"/>
      <c r="DBT130" s="72"/>
      <c r="DBU130" s="72"/>
      <c r="DBV130" s="72"/>
      <c r="DBW130" s="72"/>
      <c r="DBX130" s="72"/>
      <c r="DBY130" s="72"/>
      <c r="DBZ130" s="72"/>
      <c r="DCA130" s="72"/>
      <c r="DCB130" s="72"/>
      <c r="DCC130" s="72"/>
      <c r="DCD130" s="72"/>
      <c r="DCE130" s="72"/>
      <c r="DCF130" s="72"/>
      <c r="DCG130" s="72"/>
      <c r="DCH130" s="72"/>
      <c r="DCI130" s="72"/>
      <c r="DCJ130" s="72"/>
      <c r="DCK130" s="72"/>
      <c r="DCL130" s="72"/>
      <c r="DCM130" s="72"/>
      <c r="DCN130" s="72"/>
      <c r="DCO130" s="72"/>
      <c r="DCP130" s="72"/>
      <c r="DCQ130" s="72"/>
      <c r="DCR130" s="72"/>
      <c r="DCS130" s="72"/>
      <c r="DCT130" s="72"/>
      <c r="DCU130" s="72"/>
      <c r="DCV130" s="72"/>
      <c r="DCW130" s="72"/>
      <c r="DCX130" s="72"/>
      <c r="DCY130" s="72"/>
      <c r="DCZ130" s="72"/>
      <c r="DDA130" s="72"/>
      <c r="DDB130" s="72"/>
      <c r="DDC130" s="72"/>
      <c r="DDD130" s="72"/>
      <c r="DDE130" s="72"/>
      <c r="DDF130" s="72"/>
      <c r="DDG130" s="72"/>
      <c r="DDH130" s="72"/>
      <c r="DDI130" s="72"/>
      <c r="DDJ130" s="72"/>
      <c r="DDK130" s="72"/>
      <c r="DDL130" s="72"/>
      <c r="DDM130" s="72"/>
      <c r="DDN130" s="72"/>
      <c r="DDO130" s="72"/>
      <c r="DDP130" s="72"/>
      <c r="DDQ130" s="72"/>
      <c r="DDR130" s="72"/>
      <c r="DDS130" s="72"/>
      <c r="DDT130" s="72"/>
      <c r="DDU130" s="72"/>
      <c r="DDV130" s="72"/>
      <c r="DDW130" s="72"/>
      <c r="DDX130" s="72"/>
      <c r="DDY130" s="72"/>
      <c r="DDZ130" s="72"/>
      <c r="DEA130" s="72"/>
      <c r="DEB130" s="72"/>
      <c r="DEC130" s="72"/>
      <c r="DED130" s="72"/>
      <c r="DEE130" s="72"/>
      <c r="DEF130" s="72"/>
      <c r="DEG130" s="72"/>
      <c r="DEH130" s="72"/>
      <c r="DEI130" s="72"/>
      <c r="DEJ130" s="72"/>
      <c r="DEK130" s="72"/>
      <c r="DEL130" s="72"/>
      <c r="DEM130" s="72"/>
      <c r="DEN130" s="72"/>
      <c r="DEO130" s="72"/>
      <c r="DEP130" s="72"/>
      <c r="DEQ130" s="72"/>
      <c r="DER130" s="72"/>
      <c r="DES130" s="72"/>
      <c r="DET130" s="72"/>
      <c r="DEU130" s="72"/>
      <c r="DEV130" s="72"/>
      <c r="DEW130" s="72"/>
      <c r="DEX130" s="72"/>
      <c r="DEY130" s="72"/>
      <c r="DEZ130" s="72"/>
      <c r="DFA130" s="72"/>
      <c r="DFB130" s="72"/>
      <c r="DFC130" s="72"/>
      <c r="DFD130" s="72"/>
      <c r="DFE130" s="72"/>
      <c r="DFF130" s="72"/>
      <c r="DFG130" s="72"/>
      <c r="DFH130" s="72"/>
      <c r="DFI130" s="72"/>
      <c r="DFJ130" s="72"/>
      <c r="DFK130" s="72"/>
      <c r="DFL130" s="72"/>
      <c r="DFM130" s="72"/>
      <c r="DFN130" s="72"/>
      <c r="DFO130" s="72"/>
      <c r="DFP130" s="72"/>
      <c r="DFQ130" s="72"/>
      <c r="DFR130" s="72"/>
      <c r="DFS130" s="72"/>
      <c r="DFT130" s="72"/>
      <c r="DFU130" s="72"/>
      <c r="DFV130" s="72"/>
      <c r="DFW130" s="72"/>
      <c r="DFX130" s="72"/>
      <c r="DFY130" s="72"/>
      <c r="DFZ130" s="72"/>
      <c r="DGA130" s="72"/>
      <c r="DGB130" s="72"/>
      <c r="DGC130" s="72"/>
      <c r="DGD130" s="72"/>
      <c r="DGE130" s="72"/>
      <c r="DGF130" s="72"/>
      <c r="DGG130" s="72"/>
      <c r="DGH130" s="72"/>
      <c r="DGI130" s="72"/>
      <c r="DGJ130" s="72"/>
      <c r="DGK130" s="72"/>
      <c r="DGL130" s="72"/>
      <c r="DGM130" s="72"/>
      <c r="DGN130" s="72"/>
      <c r="DGO130" s="72"/>
      <c r="DGP130" s="72"/>
      <c r="DGQ130" s="72"/>
      <c r="DGR130" s="72"/>
      <c r="DGS130" s="72"/>
      <c r="DGT130" s="72"/>
      <c r="DGU130" s="72"/>
      <c r="DGV130" s="72"/>
      <c r="DGW130" s="72"/>
      <c r="DGX130" s="72"/>
      <c r="DGY130" s="72"/>
      <c r="DGZ130" s="72"/>
      <c r="DHA130" s="72"/>
      <c r="DHB130" s="72"/>
      <c r="DHC130" s="72"/>
      <c r="DHD130" s="72"/>
      <c r="DHE130" s="72"/>
      <c r="DHF130" s="72"/>
      <c r="DHG130" s="72"/>
      <c r="DHH130" s="72"/>
      <c r="DHI130" s="72"/>
      <c r="DHJ130" s="72"/>
      <c r="DHK130" s="72"/>
      <c r="DHL130" s="72"/>
      <c r="DHM130" s="72"/>
      <c r="DHN130" s="72"/>
      <c r="DHO130" s="72"/>
      <c r="DHP130" s="72"/>
      <c r="DHQ130" s="72"/>
      <c r="DHR130" s="72"/>
      <c r="DHS130" s="72"/>
      <c r="DHT130" s="72"/>
      <c r="DHU130" s="72"/>
      <c r="DHV130" s="72"/>
      <c r="DHW130" s="72"/>
      <c r="DHX130" s="72"/>
      <c r="DHY130" s="72"/>
      <c r="DHZ130" s="72"/>
      <c r="DIA130" s="72"/>
      <c r="DIB130" s="72"/>
      <c r="DIC130" s="72"/>
      <c r="DID130" s="72"/>
      <c r="DIE130" s="72"/>
      <c r="DIF130" s="72"/>
      <c r="DIG130" s="72"/>
      <c r="DIH130" s="72"/>
      <c r="DII130" s="72"/>
      <c r="DIJ130" s="72"/>
      <c r="DIK130" s="72"/>
      <c r="DIL130" s="72"/>
      <c r="DIM130" s="72"/>
      <c r="DIN130" s="72"/>
      <c r="DIO130" s="72"/>
      <c r="DIP130" s="72"/>
      <c r="DIQ130" s="72"/>
      <c r="DIR130" s="72"/>
      <c r="DIS130" s="72"/>
      <c r="DIT130" s="72"/>
      <c r="DIU130" s="72"/>
      <c r="DIV130" s="72"/>
      <c r="DIW130" s="72"/>
      <c r="DIX130" s="72"/>
      <c r="DIY130" s="72"/>
      <c r="DIZ130" s="72"/>
      <c r="DJA130" s="72"/>
      <c r="DJB130" s="72"/>
      <c r="DJC130" s="72"/>
      <c r="DJD130" s="72"/>
      <c r="DJE130" s="72"/>
      <c r="DJF130" s="72"/>
      <c r="DJG130" s="72"/>
      <c r="DJH130" s="72"/>
      <c r="DJI130" s="72"/>
      <c r="DJJ130" s="72"/>
      <c r="DJK130" s="72"/>
      <c r="DJL130" s="72"/>
      <c r="DJM130" s="72"/>
      <c r="DJN130" s="72"/>
      <c r="DJO130" s="72"/>
      <c r="DJP130" s="72"/>
      <c r="DJQ130" s="72"/>
      <c r="DJR130" s="72"/>
      <c r="DJS130" s="72"/>
      <c r="DJT130" s="72"/>
      <c r="DJU130" s="72"/>
      <c r="DJV130" s="72"/>
      <c r="DJW130" s="72"/>
      <c r="DJX130" s="72"/>
      <c r="DJY130" s="72"/>
      <c r="DJZ130" s="72"/>
      <c r="DKA130" s="72"/>
      <c r="DKB130" s="72"/>
      <c r="DKC130" s="72"/>
      <c r="DKD130" s="72"/>
      <c r="DKE130" s="72"/>
      <c r="DKF130" s="72"/>
      <c r="DKG130" s="72"/>
      <c r="DKH130" s="72"/>
      <c r="DKI130" s="72"/>
      <c r="DKJ130" s="72"/>
      <c r="DKK130" s="72"/>
      <c r="DKL130" s="72"/>
      <c r="DKM130" s="72"/>
      <c r="DKN130" s="72"/>
      <c r="DKO130" s="72"/>
      <c r="DKP130" s="72"/>
      <c r="DKQ130" s="72"/>
      <c r="DKR130" s="72"/>
      <c r="DKS130" s="72"/>
      <c r="DKT130" s="72"/>
      <c r="DKU130" s="72"/>
      <c r="DKV130" s="72"/>
      <c r="DKW130" s="72"/>
      <c r="DKX130" s="72"/>
      <c r="DKY130" s="72"/>
      <c r="DKZ130" s="72"/>
      <c r="DLA130" s="72"/>
      <c r="DLB130" s="72"/>
      <c r="DLC130" s="72"/>
      <c r="DLD130" s="72"/>
      <c r="DLE130" s="72"/>
      <c r="DLF130" s="72"/>
      <c r="DLG130" s="72"/>
      <c r="DLH130" s="72"/>
      <c r="DLI130" s="72"/>
      <c r="DLJ130" s="72"/>
      <c r="DLK130" s="72"/>
      <c r="DLL130" s="72"/>
      <c r="DLM130" s="72"/>
      <c r="DLN130" s="72"/>
      <c r="DLO130" s="72"/>
      <c r="DLP130" s="72"/>
      <c r="DLQ130" s="72"/>
      <c r="DLR130" s="72"/>
      <c r="DLS130" s="72"/>
      <c r="DLT130" s="72"/>
      <c r="DLU130" s="72"/>
      <c r="DLV130" s="72"/>
      <c r="DLW130" s="72"/>
      <c r="DLX130" s="72"/>
      <c r="DLY130" s="72"/>
      <c r="DLZ130" s="72"/>
      <c r="DMA130" s="72"/>
      <c r="DMB130" s="72"/>
      <c r="DMC130" s="72"/>
      <c r="DMD130" s="72"/>
      <c r="DME130" s="72"/>
      <c r="DMF130" s="72"/>
      <c r="DMG130" s="72"/>
      <c r="DMH130" s="72"/>
      <c r="DMI130" s="72"/>
      <c r="DMJ130" s="72"/>
      <c r="DMK130" s="72"/>
      <c r="DML130" s="72"/>
      <c r="DMM130" s="72"/>
      <c r="DMN130" s="72"/>
      <c r="DMO130" s="72"/>
      <c r="DMP130" s="72"/>
      <c r="DMQ130" s="72"/>
      <c r="DMR130" s="72"/>
      <c r="DMS130" s="72"/>
      <c r="DMT130" s="72"/>
      <c r="DMU130" s="72"/>
      <c r="DMV130" s="72"/>
      <c r="DMW130" s="72"/>
      <c r="DMX130" s="72"/>
      <c r="DMY130" s="72"/>
      <c r="DMZ130" s="72"/>
      <c r="DNA130" s="72"/>
      <c r="DNB130" s="72"/>
      <c r="DNC130" s="72"/>
      <c r="DND130" s="72"/>
      <c r="DNE130" s="72"/>
      <c r="DNF130" s="72"/>
      <c r="DNG130" s="72"/>
      <c r="DNH130" s="72"/>
      <c r="DNI130" s="72"/>
      <c r="DNJ130" s="72"/>
      <c r="DNK130" s="72"/>
      <c r="DNL130" s="72"/>
      <c r="DNM130" s="72"/>
      <c r="DNN130" s="72"/>
      <c r="DNO130" s="72"/>
      <c r="DNP130" s="72"/>
      <c r="DNQ130" s="72"/>
      <c r="DNR130" s="72"/>
      <c r="DNS130" s="72"/>
      <c r="DNT130" s="72"/>
      <c r="DNU130" s="72"/>
      <c r="DNV130" s="72"/>
      <c r="DNW130" s="72"/>
      <c r="DNX130" s="72"/>
      <c r="DNY130" s="72"/>
      <c r="DNZ130" s="72"/>
      <c r="DOA130" s="72"/>
      <c r="DOB130" s="72"/>
      <c r="DOC130" s="72"/>
      <c r="DOD130" s="72"/>
      <c r="DOE130" s="72"/>
      <c r="DOF130" s="72"/>
      <c r="DOG130" s="72"/>
      <c r="DOH130" s="72"/>
      <c r="DOI130" s="72"/>
      <c r="DOJ130" s="72"/>
      <c r="DOK130" s="72"/>
      <c r="DOL130" s="72"/>
      <c r="DOM130" s="72"/>
      <c r="DON130" s="72"/>
      <c r="DOO130" s="72"/>
      <c r="DOP130" s="72"/>
      <c r="DOQ130" s="72"/>
      <c r="DOR130" s="72"/>
      <c r="DOS130" s="72"/>
      <c r="DOT130" s="72"/>
      <c r="DOU130" s="72"/>
      <c r="DOV130" s="72"/>
      <c r="DOW130" s="72"/>
      <c r="DOX130" s="72"/>
      <c r="DOY130" s="72"/>
      <c r="DOZ130" s="72"/>
      <c r="DPA130" s="72"/>
      <c r="DPB130" s="72"/>
      <c r="DPC130" s="72"/>
      <c r="DPD130" s="72"/>
      <c r="DPE130" s="72"/>
      <c r="DPF130" s="72"/>
      <c r="DPG130" s="72"/>
      <c r="DPH130" s="72"/>
      <c r="DPI130" s="72"/>
      <c r="DPJ130" s="72"/>
      <c r="DPK130" s="72"/>
      <c r="DPL130" s="72"/>
      <c r="DPM130" s="72"/>
      <c r="DPN130" s="72"/>
      <c r="DPO130" s="72"/>
      <c r="DPP130" s="72"/>
      <c r="DPQ130" s="72"/>
      <c r="DPR130" s="72"/>
      <c r="DPS130" s="72"/>
      <c r="DPT130" s="72"/>
      <c r="DPU130" s="72"/>
      <c r="DPV130" s="72"/>
      <c r="DPW130" s="72"/>
      <c r="DPX130" s="72"/>
      <c r="DPY130" s="72"/>
      <c r="DPZ130" s="72"/>
      <c r="DQA130" s="72"/>
      <c r="DQB130" s="72"/>
      <c r="DQC130" s="72"/>
      <c r="DQD130" s="72"/>
      <c r="DQE130" s="72"/>
      <c r="DQF130" s="72"/>
      <c r="DQG130" s="72"/>
      <c r="DQH130" s="72"/>
      <c r="DQI130" s="72"/>
      <c r="DQJ130" s="72"/>
      <c r="DQK130" s="72"/>
      <c r="DQL130" s="72"/>
      <c r="DQM130" s="72"/>
      <c r="DQN130" s="72"/>
      <c r="DQO130" s="72"/>
      <c r="DQP130" s="72"/>
      <c r="DQQ130" s="72"/>
      <c r="DQR130" s="72"/>
      <c r="DQS130" s="72"/>
      <c r="DQT130" s="72"/>
      <c r="DQU130" s="72"/>
      <c r="DQV130" s="72"/>
      <c r="DQW130" s="72"/>
      <c r="DQX130" s="72"/>
      <c r="DQY130" s="72"/>
      <c r="DQZ130" s="72"/>
      <c r="DRA130" s="72"/>
      <c r="DRB130" s="72"/>
      <c r="DRC130" s="72"/>
      <c r="DRD130" s="72"/>
      <c r="DRE130" s="72"/>
      <c r="DRF130" s="72"/>
      <c r="DRG130" s="72"/>
      <c r="DRH130" s="72"/>
      <c r="DRI130" s="72"/>
      <c r="DRJ130" s="72"/>
      <c r="DRK130" s="72"/>
      <c r="DRL130" s="72"/>
      <c r="DRM130" s="72"/>
      <c r="DRN130" s="72"/>
      <c r="DRO130" s="72"/>
      <c r="DRP130" s="72"/>
      <c r="DRQ130" s="72"/>
      <c r="DRR130" s="72"/>
      <c r="DRS130" s="72"/>
      <c r="DRT130" s="72"/>
      <c r="DRU130" s="72"/>
      <c r="DRV130" s="72"/>
      <c r="DRW130" s="72"/>
      <c r="DRX130" s="72"/>
      <c r="DRY130" s="72"/>
      <c r="DRZ130" s="72"/>
      <c r="DSA130" s="72"/>
      <c r="DSB130" s="72"/>
      <c r="DSC130" s="72"/>
      <c r="DSD130" s="72"/>
      <c r="DSE130" s="72"/>
      <c r="DSF130" s="72"/>
      <c r="DSG130" s="72"/>
      <c r="DSH130" s="72"/>
      <c r="DSI130" s="72"/>
      <c r="DSJ130" s="72"/>
      <c r="DSK130" s="72"/>
      <c r="DSL130" s="72"/>
      <c r="DSM130" s="72"/>
      <c r="DSN130" s="72"/>
      <c r="DSO130" s="72"/>
      <c r="DSP130" s="72"/>
      <c r="DSQ130" s="72"/>
      <c r="DSR130" s="72"/>
      <c r="DSS130" s="72"/>
      <c r="DST130" s="72"/>
      <c r="DSU130" s="72"/>
      <c r="DSV130" s="72"/>
      <c r="DSW130" s="72"/>
      <c r="DSX130" s="72"/>
      <c r="DSY130" s="72"/>
      <c r="DSZ130" s="72"/>
      <c r="DTA130" s="72"/>
      <c r="DTB130" s="72"/>
      <c r="DTC130" s="72"/>
      <c r="DTD130" s="72"/>
      <c r="DTE130" s="72"/>
      <c r="DTF130" s="72"/>
      <c r="DTG130" s="72"/>
      <c r="DTH130" s="72"/>
      <c r="DTI130" s="72"/>
      <c r="DTJ130" s="72"/>
      <c r="DTK130" s="72"/>
      <c r="DTL130" s="72"/>
      <c r="DTM130" s="72"/>
      <c r="DTN130" s="72"/>
      <c r="DTO130" s="72"/>
      <c r="DTP130" s="72"/>
      <c r="DTQ130" s="72"/>
      <c r="DTR130" s="72"/>
      <c r="DTS130" s="72"/>
      <c r="DTT130" s="72"/>
      <c r="DTU130" s="72"/>
      <c r="DTV130" s="72"/>
      <c r="DTW130" s="72"/>
      <c r="DTX130" s="72"/>
      <c r="DTY130" s="72"/>
      <c r="DTZ130" s="72"/>
      <c r="DUA130" s="72"/>
      <c r="DUB130" s="72"/>
      <c r="DUC130" s="72"/>
      <c r="DUD130" s="72"/>
      <c r="DUE130" s="72"/>
      <c r="DUF130" s="72"/>
      <c r="DUG130" s="72"/>
      <c r="DUH130" s="72"/>
      <c r="DUI130" s="72"/>
      <c r="DUJ130" s="72"/>
      <c r="DUK130" s="72"/>
      <c r="DUL130" s="72"/>
      <c r="DUM130" s="72"/>
      <c r="DUN130" s="72"/>
      <c r="DUO130" s="72"/>
      <c r="DUP130" s="72"/>
      <c r="DUQ130" s="72"/>
      <c r="DUR130" s="72"/>
      <c r="DUS130" s="72"/>
      <c r="DUT130" s="72"/>
      <c r="DUU130" s="72"/>
      <c r="DUV130" s="72"/>
      <c r="DUW130" s="72"/>
      <c r="DUX130" s="72"/>
      <c r="DUY130" s="72"/>
      <c r="DUZ130" s="72"/>
      <c r="DVA130" s="72"/>
      <c r="DVB130" s="72"/>
      <c r="DVC130" s="72"/>
      <c r="DVD130" s="72"/>
      <c r="DVE130" s="72"/>
      <c r="DVF130" s="72"/>
      <c r="DVG130" s="72"/>
      <c r="DVH130" s="72"/>
      <c r="DVI130" s="72"/>
      <c r="DVJ130" s="72"/>
      <c r="DVK130" s="72"/>
      <c r="DVL130" s="72"/>
      <c r="DVM130" s="72"/>
      <c r="DVN130" s="72"/>
      <c r="DVO130" s="72"/>
      <c r="DVP130" s="72"/>
      <c r="DVQ130" s="72"/>
      <c r="DVR130" s="72"/>
      <c r="DVS130" s="72"/>
      <c r="DVT130" s="72"/>
      <c r="DVU130" s="72"/>
      <c r="DVV130" s="72"/>
      <c r="DVW130" s="72"/>
      <c r="DVX130" s="72"/>
      <c r="DVY130" s="72"/>
      <c r="DVZ130" s="72"/>
      <c r="DWA130" s="72"/>
      <c r="DWB130" s="72"/>
      <c r="DWC130" s="72"/>
      <c r="DWD130" s="72"/>
      <c r="DWE130" s="72"/>
      <c r="DWF130" s="72"/>
      <c r="DWG130" s="72"/>
      <c r="DWH130" s="72"/>
      <c r="DWI130" s="72"/>
      <c r="DWJ130" s="72"/>
      <c r="DWK130" s="72"/>
      <c r="DWL130" s="72"/>
      <c r="DWM130" s="72"/>
      <c r="DWN130" s="72"/>
      <c r="DWO130" s="72"/>
      <c r="DWP130" s="72"/>
      <c r="DWQ130" s="72"/>
      <c r="DWR130" s="72"/>
      <c r="DWS130" s="72"/>
      <c r="DWT130" s="72"/>
      <c r="DWU130" s="72"/>
      <c r="DWV130" s="72"/>
      <c r="DWW130" s="72"/>
      <c r="DWX130" s="72"/>
      <c r="DWY130" s="72"/>
      <c r="DWZ130" s="72"/>
      <c r="DXA130" s="72"/>
      <c r="DXB130" s="72"/>
      <c r="DXC130" s="72"/>
      <c r="DXD130" s="72"/>
      <c r="DXE130" s="72"/>
      <c r="DXF130" s="72"/>
      <c r="DXG130" s="72"/>
      <c r="DXH130" s="72"/>
      <c r="DXI130" s="72"/>
      <c r="DXJ130" s="72"/>
      <c r="DXK130" s="72"/>
      <c r="DXL130" s="72"/>
      <c r="DXM130" s="72"/>
      <c r="DXN130" s="72"/>
      <c r="DXO130" s="72"/>
      <c r="DXP130" s="72"/>
      <c r="DXQ130" s="72"/>
      <c r="DXR130" s="72"/>
      <c r="DXS130" s="72"/>
      <c r="DXT130" s="72"/>
      <c r="DXU130" s="72"/>
      <c r="DXV130" s="72"/>
      <c r="DXW130" s="72"/>
      <c r="DXX130" s="72"/>
      <c r="DXY130" s="72"/>
      <c r="DXZ130" s="72"/>
      <c r="DYA130" s="72"/>
      <c r="DYB130" s="72"/>
      <c r="DYC130" s="72"/>
      <c r="DYD130" s="72"/>
      <c r="DYE130" s="72"/>
      <c r="DYF130" s="72"/>
      <c r="DYG130" s="72"/>
      <c r="DYH130" s="72"/>
      <c r="DYI130" s="72"/>
      <c r="DYJ130" s="72"/>
      <c r="DYK130" s="72"/>
      <c r="DYL130" s="72"/>
      <c r="DYM130" s="72"/>
      <c r="DYN130" s="72"/>
      <c r="DYO130" s="72"/>
      <c r="DYP130" s="72"/>
      <c r="DYQ130" s="72"/>
      <c r="DYR130" s="72"/>
      <c r="DYS130" s="72"/>
      <c r="DYT130" s="72"/>
      <c r="DYU130" s="72"/>
      <c r="DYV130" s="72"/>
      <c r="DYW130" s="72"/>
      <c r="DYX130" s="72"/>
      <c r="DYY130" s="72"/>
      <c r="DYZ130" s="72"/>
      <c r="DZA130" s="72"/>
      <c r="DZB130" s="72"/>
      <c r="DZC130" s="72"/>
      <c r="DZD130" s="72"/>
      <c r="DZE130" s="72"/>
      <c r="DZF130" s="72"/>
      <c r="DZG130" s="72"/>
      <c r="DZH130" s="72"/>
      <c r="DZI130" s="72"/>
      <c r="DZJ130" s="72"/>
      <c r="DZK130" s="72"/>
      <c r="DZL130" s="72"/>
      <c r="DZM130" s="72"/>
      <c r="DZN130" s="72"/>
      <c r="DZO130" s="72"/>
      <c r="DZP130" s="72"/>
      <c r="DZQ130" s="72"/>
      <c r="DZR130" s="72"/>
      <c r="DZS130" s="72"/>
      <c r="DZT130" s="72"/>
      <c r="DZU130" s="72"/>
      <c r="DZV130" s="72"/>
      <c r="DZW130" s="72"/>
      <c r="DZX130" s="72"/>
      <c r="DZY130" s="72"/>
      <c r="DZZ130" s="72"/>
      <c r="EAA130" s="72"/>
      <c r="EAB130" s="72"/>
      <c r="EAC130" s="72"/>
      <c r="EAD130" s="72"/>
      <c r="EAE130" s="72"/>
      <c r="EAF130" s="72"/>
      <c r="EAG130" s="72"/>
      <c r="EAH130" s="72"/>
      <c r="EAI130" s="72"/>
      <c r="EAJ130" s="72"/>
      <c r="EAK130" s="72"/>
      <c r="EAL130" s="72"/>
      <c r="EAM130" s="72"/>
      <c r="EAN130" s="72"/>
      <c r="EAO130" s="72"/>
      <c r="EAP130" s="72"/>
      <c r="EAQ130" s="72"/>
      <c r="EAR130" s="72"/>
      <c r="EAS130" s="72"/>
      <c r="EAT130" s="72"/>
      <c r="EAU130" s="72"/>
      <c r="EAV130" s="72"/>
      <c r="EAW130" s="72"/>
      <c r="EAX130" s="72"/>
      <c r="EAY130" s="72"/>
      <c r="EAZ130" s="72"/>
      <c r="EBA130" s="72"/>
      <c r="EBB130" s="72"/>
      <c r="EBC130" s="72"/>
      <c r="EBD130" s="72"/>
      <c r="EBE130" s="72"/>
      <c r="EBF130" s="72"/>
      <c r="EBG130" s="72"/>
      <c r="EBH130" s="72"/>
      <c r="EBI130" s="72"/>
      <c r="EBJ130" s="72"/>
      <c r="EBK130" s="72"/>
      <c r="EBL130" s="72"/>
      <c r="EBM130" s="72"/>
      <c r="EBN130" s="72"/>
      <c r="EBO130" s="72"/>
      <c r="EBP130" s="72"/>
      <c r="EBQ130" s="72"/>
      <c r="EBR130" s="72"/>
      <c r="EBS130" s="72"/>
      <c r="EBT130" s="72"/>
      <c r="EBU130" s="72"/>
      <c r="EBV130" s="72"/>
      <c r="EBW130" s="72"/>
      <c r="EBX130" s="72"/>
      <c r="EBY130" s="72"/>
      <c r="EBZ130" s="72"/>
      <c r="ECA130" s="72"/>
      <c r="ECB130" s="72"/>
      <c r="ECC130" s="72"/>
      <c r="ECD130" s="72"/>
      <c r="ECE130" s="72"/>
      <c r="ECF130" s="72"/>
      <c r="ECG130" s="72"/>
      <c r="ECH130" s="72"/>
      <c r="ECI130" s="72"/>
      <c r="ECJ130" s="72"/>
      <c r="ECK130" s="72"/>
      <c r="ECL130" s="72"/>
      <c r="ECM130" s="72"/>
      <c r="ECN130" s="72"/>
      <c r="ECO130" s="72"/>
      <c r="ECP130" s="72"/>
      <c r="ECQ130" s="72"/>
      <c r="ECR130" s="72"/>
      <c r="ECS130" s="72"/>
      <c r="ECT130" s="72"/>
      <c r="ECU130" s="72"/>
      <c r="ECV130" s="72"/>
      <c r="ECW130" s="72"/>
      <c r="ECX130" s="72"/>
      <c r="ECY130" s="72"/>
      <c r="ECZ130" s="72"/>
      <c r="EDA130" s="72"/>
      <c r="EDB130" s="72"/>
      <c r="EDC130" s="72"/>
      <c r="EDD130" s="72"/>
      <c r="EDE130" s="72"/>
      <c r="EDF130" s="72"/>
      <c r="EDG130" s="72"/>
      <c r="EDH130" s="72"/>
      <c r="EDI130" s="72"/>
      <c r="EDJ130" s="72"/>
      <c r="EDK130" s="72"/>
      <c r="EDL130" s="72"/>
      <c r="EDM130" s="72"/>
      <c r="EDN130" s="72"/>
      <c r="EDO130" s="72"/>
      <c r="EDP130" s="72"/>
      <c r="EDQ130" s="72"/>
      <c r="EDR130" s="72"/>
      <c r="EDS130" s="72"/>
      <c r="EDT130" s="72"/>
      <c r="EDU130" s="72"/>
      <c r="EDV130" s="72"/>
      <c r="EDW130" s="72"/>
      <c r="EDX130" s="72"/>
      <c r="EDY130" s="72"/>
      <c r="EDZ130" s="72"/>
      <c r="EEA130" s="72"/>
      <c r="EEB130" s="72"/>
      <c r="EEC130" s="72"/>
      <c r="EED130" s="72"/>
      <c r="EEE130" s="72"/>
      <c r="EEF130" s="72"/>
      <c r="EEG130" s="72"/>
      <c r="EEH130" s="72"/>
      <c r="EEI130" s="72"/>
      <c r="EEJ130" s="72"/>
      <c r="EEK130" s="72"/>
      <c r="EEL130" s="72"/>
      <c r="EEM130" s="72"/>
      <c r="EEN130" s="72"/>
      <c r="EEO130" s="72"/>
      <c r="EEP130" s="72"/>
      <c r="EEQ130" s="72"/>
      <c r="EER130" s="72"/>
      <c r="EES130" s="72"/>
      <c r="EET130" s="72"/>
      <c r="EEU130" s="72"/>
      <c r="EEV130" s="72"/>
      <c r="EEW130" s="72"/>
      <c r="EEX130" s="72"/>
      <c r="EEY130" s="72"/>
      <c r="EEZ130" s="72"/>
      <c r="EFA130" s="72"/>
      <c r="EFB130" s="72"/>
      <c r="EFC130" s="72"/>
      <c r="EFD130" s="72"/>
      <c r="EFE130" s="72"/>
      <c r="EFF130" s="72"/>
      <c r="EFG130" s="72"/>
      <c r="EFH130" s="72"/>
      <c r="EFI130" s="72"/>
      <c r="EFJ130" s="72"/>
      <c r="EFK130" s="72"/>
      <c r="EFL130" s="72"/>
      <c r="EFM130" s="72"/>
      <c r="EFN130" s="72"/>
      <c r="EFO130" s="72"/>
      <c r="EFP130" s="72"/>
      <c r="EFQ130" s="72"/>
      <c r="EFR130" s="72"/>
      <c r="EFS130" s="72"/>
      <c r="EFT130" s="72"/>
      <c r="EFU130" s="72"/>
      <c r="EFV130" s="72"/>
      <c r="EFW130" s="72"/>
      <c r="EFX130" s="72"/>
      <c r="EFY130" s="72"/>
      <c r="EFZ130" s="72"/>
      <c r="EGA130" s="72"/>
      <c r="EGB130" s="72"/>
      <c r="EGC130" s="72"/>
      <c r="EGD130" s="72"/>
      <c r="EGE130" s="72"/>
      <c r="EGF130" s="72"/>
      <c r="EGG130" s="72"/>
      <c r="EGH130" s="72"/>
      <c r="EGI130" s="72"/>
      <c r="EGJ130" s="72"/>
      <c r="EGK130" s="72"/>
      <c r="EGL130" s="72"/>
      <c r="EGM130" s="72"/>
      <c r="EGN130" s="72"/>
      <c r="EGO130" s="72"/>
      <c r="EGP130" s="72"/>
      <c r="EGQ130" s="72"/>
      <c r="EGR130" s="72"/>
      <c r="EGS130" s="72"/>
      <c r="EGT130" s="72"/>
      <c r="EGU130" s="72"/>
      <c r="EGV130" s="72"/>
      <c r="EGW130" s="72"/>
      <c r="EGX130" s="72"/>
      <c r="EGY130" s="72"/>
      <c r="EGZ130" s="72"/>
      <c r="EHA130" s="72"/>
      <c r="EHB130" s="72"/>
      <c r="EHC130" s="72"/>
      <c r="EHD130" s="72"/>
      <c r="EHE130" s="72"/>
      <c r="EHF130" s="72"/>
      <c r="EHG130" s="72"/>
      <c r="EHH130" s="72"/>
      <c r="EHI130" s="72"/>
      <c r="EHJ130" s="72"/>
      <c r="EHK130" s="72"/>
      <c r="EHL130" s="72"/>
      <c r="EHM130" s="72"/>
      <c r="EHN130" s="72"/>
      <c r="EHO130" s="72"/>
      <c r="EHP130" s="72"/>
      <c r="EHQ130" s="72"/>
      <c r="EHR130" s="72"/>
      <c r="EHS130" s="72"/>
      <c r="EHT130" s="72"/>
      <c r="EHU130" s="72"/>
      <c r="EHV130" s="72"/>
      <c r="EHW130" s="72"/>
      <c r="EHX130" s="72"/>
      <c r="EHY130" s="72"/>
      <c r="EHZ130" s="72"/>
      <c r="EIA130" s="72"/>
      <c r="EIB130" s="72"/>
      <c r="EIC130" s="72"/>
      <c r="EID130" s="72"/>
      <c r="EIE130" s="72"/>
      <c r="EIF130" s="72"/>
      <c r="EIG130" s="72"/>
      <c r="EIH130" s="72"/>
      <c r="EII130" s="72"/>
      <c r="EIJ130" s="72"/>
      <c r="EIK130" s="72"/>
      <c r="EIL130" s="72"/>
      <c r="EIM130" s="72"/>
      <c r="EIN130" s="72"/>
      <c r="EIO130" s="72"/>
      <c r="EIP130" s="72"/>
      <c r="EIQ130" s="72"/>
      <c r="EIR130" s="72"/>
      <c r="EIS130" s="72"/>
      <c r="EIT130" s="72"/>
      <c r="EIU130" s="72"/>
      <c r="EIV130" s="72"/>
      <c r="EIW130" s="72"/>
      <c r="EIX130" s="72"/>
      <c r="EIY130" s="72"/>
      <c r="EIZ130" s="72"/>
      <c r="EJA130" s="72"/>
      <c r="EJB130" s="72"/>
      <c r="EJC130" s="72"/>
      <c r="EJD130" s="72"/>
      <c r="EJE130" s="72"/>
      <c r="EJF130" s="72"/>
      <c r="EJG130" s="72"/>
      <c r="EJH130" s="72"/>
      <c r="EJI130" s="72"/>
      <c r="EJJ130" s="72"/>
      <c r="EJK130" s="72"/>
      <c r="EJL130" s="72"/>
      <c r="EJM130" s="72"/>
      <c r="EJN130" s="72"/>
      <c r="EJO130" s="72"/>
      <c r="EJP130" s="72"/>
      <c r="EJQ130" s="72"/>
      <c r="EJR130" s="72"/>
      <c r="EJS130" s="72"/>
      <c r="EJT130" s="72"/>
      <c r="EJU130" s="72"/>
      <c r="EJV130" s="72"/>
      <c r="EJW130" s="72"/>
      <c r="EJX130" s="72"/>
      <c r="EJY130" s="72"/>
      <c r="EJZ130" s="72"/>
      <c r="EKA130" s="72"/>
      <c r="EKB130" s="72"/>
      <c r="EKC130" s="72"/>
      <c r="EKD130" s="72"/>
      <c r="EKE130" s="72"/>
      <c r="EKF130" s="72"/>
      <c r="EKG130" s="72"/>
      <c r="EKH130" s="72"/>
      <c r="EKI130" s="72"/>
      <c r="EKJ130" s="72"/>
      <c r="EKK130" s="72"/>
      <c r="EKL130" s="72"/>
      <c r="EKM130" s="72"/>
      <c r="EKN130" s="72"/>
      <c r="EKO130" s="72"/>
      <c r="EKP130" s="72"/>
      <c r="EKQ130" s="72"/>
      <c r="EKR130" s="72"/>
      <c r="EKS130" s="72"/>
      <c r="EKT130" s="72"/>
      <c r="EKU130" s="72"/>
      <c r="EKV130" s="72"/>
      <c r="EKW130" s="72"/>
      <c r="EKX130" s="72"/>
      <c r="EKY130" s="72"/>
      <c r="EKZ130" s="72"/>
      <c r="ELA130" s="72"/>
      <c r="ELB130" s="72"/>
      <c r="ELC130" s="72"/>
      <c r="ELD130" s="72"/>
      <c r="ELE130" s="72"/>
      <c r="ELF130" s="72"/>
      <c r="ELG130" s="72"/>
      <c r="ELH130" s="72"/>
      <c r="ELI130" s="72"/>
      <c r="ELJ130" s="72"/>
      <c r="ELK130" s="72"/>
      <c r="ELL130" s="72"/>
      <c r="ELM130" s="72"/>
      <c r="ELN130" s="72"/>
      <c r="ELO130" s="72"/>
      <c r="ELP130" s="72"/>
      <c r="ELQ130" s="72"/>
      <c r="ELR130" s="72"/>
      <c r="ELS130" s="72"/>
      <c r="ELT130" s="72"/>
      <c r="ELU130" s="72"/>
      <c r="ELV130" s="72"/>
      <c r="ELW130" s="72"/>
      <c r="ELX130" s="72"/>
      <c r="ELY130" s="72"/>
      <c r="ELZ130" s="72"/>
      <c r="EMA130" s="72"/>
      <c r="EMB130" s="72"/>
      <c r="EMC130" s="72"/>
      <c r="EMD130" s="72"/>
      <c r="EME130" s="72"/>
      <c r="EMF130" s="72"/>
      <c r="EMG130" s="72"/>
      <c r="EMH130" s="72"/>
      <c r="EMI130" s="72"/>
      <c r="EMJ130" s="72"/>
      <c r="EMK130" s="72"/>
      <c r="EML130" s="72"/>
      <c r="EMM130" s="72"/>
      <c r="EMN130" s="72"/>
      <c r="EMO130" s="72"/>
      <c r="EMP130" s="72"/>
      <c r="EMQ130" s="72"/>
      <c r="EMR130" s="72"/>
      <c r="EMS130" s="72"/>
      <c r="EMT130" s="72"/>
      <c r="EMU130" s="72"/>
      <c r="EMV130" s="72"/>
      <c r="EMW130" s="72"/>
      <c r="EMX130" s="72"/>
      <c r="EMY130" s="72"/>
      <c r="EMZ130" s="72"/>
      <c r="ENA130" s="72"/>
      <c r="ENB130" s="72"/>
      <c r="ENC130" s="72"/>
      <c r="END130" s="72"/>
      <c r="ENE130" s="72"/>
      <c r="ENF130" s="72"/>
      <c r="ENG130" s="72"/>
      <c r="ENH130" s="72"/>
      <c r="ENI130" s="72"/>
      <c r="ENJ130" s="72"/>
      <c r="ENK130" s="72"/>
      <c r="ENL130" s="72"/>
      <c r="ENM130" s="72"/>
      <c r="ENN130" s="72"/>
      <c r="ENO130" s="72"/>
      <c r="ENP130" s="72"/>
      <c r="ENQ130" s="72"/>
      <c r="ENR130" s="72"/>
      <c r="ENS130" s="72"/>
      <c r="ENT130" s="72"/>
      <c r="ENU130" s="72"/>
      <c r="ENV130" s="72"/>
      <c r="ENW130" s="72"/>
      <c r="ENX130" s="72"/>
      <c r="ENY130" s="72"/>
      <c r="ENZ130" s="72"/>
      <c r="EOA130" s="72"/>
      <c r="EOB130" s="72"/>
      <c r="EOC130" s="72"/>
      <c r="EOD130" s="72"/>
      <c r="EOE130" s="72"/>
      <c r="EOF130" s="72"/>
      <c r="EOG130" s="72"/>
      <c r="EOH130" s="72"/>
      <c r="EOI130" s="72"/>
      <c r="EOJ130" s="72"/>
      <c r="EOK130" s="72"/>
      <c r="EOL130" s="72"/>
      <c r="EOM130" s="72"/>
      <c r="EON130" s="72"/>
      <c r="EOO130" s="72"/>
      <c r="EOP130" s="72"/>
      <c r="EOQ130" s="72"/>
      <c r="EOR130" s="72"/>
      <c r="EOS130" s="72"/>
      <c r="EOT130" s="72"/>
      <c r="EOU130" s="72"/>
      <c r="EOV130" s="72"/>
      <c r="EOW130" s="72"/>
      <c r="EOX130" s="72"/>
      <c r="EOY130" s="72"/>
      <c r="EOZ130" s="72"/>
      <c r="EPA130" s="72"/>
      <c r="EPB130" s="72"/>
      <c r="EPC130" s="72"/>
      <c r="EPD130" s="72"/>
      <c r="EPE130" s="72"/>
      <c r="EPF130" s="72"/>
      <c r="EPG130" s="72"/>
      <c r="EPH130" s="72"/>
      <c r="EPI130" s="72"/>
      <c r="EPJ130" s="72"/>
      <c r="EPK130" s="72"/>
      <c r="EPL130" s="72"/>
      <c r="EPM130" s="72"/>
      <c r="EPN130" s="72"/>
      <c r="EPO130" s="72"/>
      <c r="EPP130" s="72"/>
      <c r="EPQ130" s="72"/>
      <c r="EPR130" s="72"/>
      <c r="EPS130" s="72"/>
      <c r="EPT130" s="72"/>
      <c r="EPU130" s="72"/>
      <c r="EPV130" s="72"/>
      <c r="EPW130" s="72"/>
      <c r="EPX130" s="72"/>
      <c r="EPY130" s="72"/>
      <c r="EPZ130" s="72"/>
      <c r="EQA130" s="72"/>
      <c r="EQB130" s="72"/>
      <c r="EQC130" s="72"/>
      <c r="EQD130" s="72"/>
      <c r="EQE130" s="72"/>
      <c r="EQF130" s="72"/>
      <c r="EQG130" s="72"/>
      <c r="EQH130" s="72"/>
      <c r="EQI130" s="72"/>
      <c r="EQJ130" s="72"/>
      <c r="EQK130" s="72"/>
      <c r="EQL130" s="72"/>
      <c r="EQM130" s="72"/>
      <c r="EQN130" s="72"/>
      <c r="EQO130" s="72"/>
      <c r="EQP130" s="72"/>
      <c r="EQQ130" s="72"/>
      <c r="EQR130" s="72"/>
      <c r="EQS130" s="72"/>
      <c r="EQT130" s="72"/>
      <c r="EQU130" s="72"/>
      <c r="EQV130" s="72"/>
      <c r="EQW130" s="72"/>
      <c r="EQX130" s="72"/>
      <c r="EQY130" s="72"/>
      <c r="EQZ130" s="72"/>
      <c r="ERA130" s="72"/>
      <c r="ERB130" s="72"/>
      <c r="ERC130" s="72"/>
      <c r="ERD130" s="72"/>
      <c r="ERE130" s="72"/>
      <c r="ERF130" s="72"/>
      <c r="ERG130" s="72"/>
      <c r="ERH130" s="72"/>
      <c r="ERI130" s="72"/>
      <c r="ERJ130" s="72"/>
      <c r="ERK130" s="72"/>
      <c r="ERL130" s="72"/>
      <c r="ERM130" s="72"/>
      <c r="ERN130" s="72"/>
      <c r="ERO130" s="72"/>
      <c r="ERP130" s="72"/>
      <c r="ERQ130" s="72"/>
      <c r="ERR130" s="72"/>
      <c r="ERS130" s="72"/>
      <c r="ERT130" s="72"/>
      <c r="ERU130" s="72"/>
      <c r="ERV130" s="72"/>
      <c r="ERW130" s="72"/>
      <c r="ERX130" s="72"/>
      <c r="ERY130" s="72"/>
      <c r="ERZ130" s="72"/>
      <c r="ESA130" s="72"/>
      <c r="ESB130" s="72"/>
      <c r="ESC130" s="72"/>
      <c r="ESD130" s="72"/>
      <c r="ESE130" s="72"/>
      <c r="ESF130" s="72"/>
      <c r="ESG130" s="72"/>
      <c r="ESH130" s="72"/>
      <c r="ESI130" s="72"/>
      <c r="ESJ130" s="72"/>
      <c r="ESK130" s="72"/>
      <c r="ESL130" s="72"/>
      <c r="ESM130" s="72"/>
      <c r="ESN130" s="72"/>
      <c r="ESO130" s="72"/>
      <c r="ESP130" s="72"/>
      <c r="ESQ130" s="72"/>
      <c r="ESR130" s="72"/>
      <c r="ESS130" s="72"/>
      <c r="EST130" s="72"/>
      <c r="ESU130" s="72"/>
      <c r="ESV130" s="72"/>
      <c r="ESW130" s="72"/>
      <c r="ESX130" s="72"/>
      <c r="ESY130" s="72"/>
      <c r="ESZ130" s="72"/>
      <c r="ETA130" s="72"/>
      <c r="ETB130" s="72"/>
      <c r="ETC130" s="72"/>
      <c r="ETD130" s="72"/>
      <c r="ETE130" s="72"/>
      <c r="ETF130" s="72"/>
      <c r="ETG130" s="72"/>
      <c r="ETH130" s="72"/>
      <c r="ETI130" s="72"/>
      <c r="ETJ130" s="72"/>
      <c r="ETK130" s="72"/>
      <c r="ETL130" s="72"/>
      <c r="ETM130" s="72"/>
      <c r="ETN130" s="72"/>
      <c r="ETO130" s="72"/>
      <c r="ETP130" s="72"/>
      <c r="ETQ130" s="72"/>
      <c r="ETR130" s="72"/>
      <c r="ETS130" s="72"/>
      <c r="ETT130" s="72"/>
      <c r="ETU130" s="72"/>
      <c r="ETV130" s="72"/>
      <c r="ETW130" s="72"/>
      <c r="ETX130" s="72"/>
      <c r="ETY130" s="72"/>
      <c r="ETZ130" s="72"/>
      <c r="EUA130" s="72"/>
      <c r="EUB130" s="72"/>
      <c r="EUC130" s="72"/>
      <c r="EUD130" s="72"/>
      <c r="EUE130" s="72"/>
      <c r="EUF130" s="72"/>
      <c r="EUG130" s="72"/>
      <c r="EUH130" s="72"/>
      <c r="EUI130" s="72"/>
      <c r="EUJ130" s="72"/>
      <c r="EUK130" s="72"/>
      <c r="EUL130" s="72"/>
      <c r="EUM130" s="72"/>
      <c r="EUN130" s="72"/>
      <c r="EUO130" s="72"/>
      <c r="EUP130" s="72"/>
      <c r="EUQ130" s="72"/>
      <c r="EUR130" s="72"/>
      <c r="EUS130" s="72"/>
      <c r="EUT130" s="72"/>
      <c r="EUU130" s="72"/>
      <c r="EUV130" s="72"/>
      <c r="EUW130" s="72"/>
      <c r="EUX130" s="72"/>
      <c r="EUY130" s="72"/>
      <c r="EUZ130" s="72"/>
      <c r="EVA130" s="72"/>
      <c r="EVB130" s="72"/>
      <c r="EVC130" s="72"/>
      <c r="EVD130" s="72"/>
      <c r="EVE130" s="72"/>
      <c r="EVF130" s="72"/>
      <c r="EVG130" s="72"/>
      <c r="EVH130" s="72"/>
      <c r="EVI130" s="72"/>
      <c r="EVJ130" s="72"/>
      <c r="EVK130" s="72"/>
      <c r="EVL130" s="72"/>
      <c r="EVM130" s="72"/>
      <c r="EVN130" s="72"/>
      <c r="EVO130" s="72"/>
      <c r="EVP130" s="72"/>
      <c r="EVQ130" s="72"/>
      <c r="EVR130" s="72"/>
      <c r="EVS130" s="72"/>
      <c r="EVT130" s="72"/>
      <c r="EVU130" s="72"/>
      <c r="EVV130" s="72"/>
      <c r="EVW130" s="72"/>
      <c r="EVX130" s="72"/>
      <c r="EVY130" s="72"/>
      <c r="EVZ130" s="72"/>
      <c r="EWA130" s="72"/>
      <c r="EWB130" s="72"/>
      <c r="EWC130" s="72"/>
      <c r="EWD130" s="72"/>
      <c r="EWE130" s="72"/>
      <c r="EWF130" s="72"/>
      <c r="EWG130" s="72"/>
      <c r="EWH130" s="72"/>
      <c r="EWI130" s="72"/>
      <c r="EWJ130" s="72"/>
      <c r="EWK130" s="72"/>
      <c r="EWL130" s="72"/>
      <c r="EWM130" s="72"/>
      <c r="EWN130" s="72"/>
      <c r="EWO130" s="72"/>
      <c r="EWP130" s="72"/>
      <c r="EWQ130" s="72"/>
      <c r="EWR130" s="72"/>
      <c r="EWS130" s="72"/>
      <c r="EWT130" s="72"/>
      <c r="EWU130" s="72"/>
      <c r="EWV130" s="72"/>
      <c r="EWW130" s="72"/>
      <c r="EWX130" s="72"/>
      <c r="EWY130" s="72"/>
      <c r="EWZ130" s="72"/>
      <c r="EXA130" s="72"/>
      <c r="EXB130" s="72"/>
      <c r="EXC130" s="72"/>
      <c r="EXD130" s="72"/>
      <c r="EXE130" s="72"/>
      <c r="EXF130" s="72"/>
      <c r="EXG130" s="72"/>
      <c r="EXH130" s="72"/>
      <c r="EXI130" s="72"/>
      <c r="EXJ130" s="72"/>
      <c r="EXK130" s="72"/>
      <c r="EXL130" s="72"/>
      <c r="EXM130" s="72"/>
      <c r="EXN130" s="72"/>
      <c r="EXO130" s="72"/>
      <c r="EXP130" s="72"/>
      <c r="EXQ130" s="72"/>
      <c r="EXR130" s="72"/>
      <c r="EXS130" s="72"/>
      <c r="EXT130" s="72"/>
      <c r="EXU130" s="72"/>
      <c r="EXV130" s="72"/>
      <c r="EXW130" s="72"/>
      <c r="EXX130" s="72"/>
      <c r="EXY130" s="72"/>
      <c r="EXZ130" s="72"/>
      <c r="EYA130" s="72"/>
      <c r="EYB130" s="72"/>
      <c r="EYC130" s="72"/>
      <c r="EYD130" s="72"/>
      <c r="EYE130" s="72"/>
      <c r="EYF130" s="72"/>
      <c r="EYG130" s="72"/>
      <c r="EYH130" s="72"/>
      <c r="EYI130" s="72"/>
      <c r="EYJ130" s="72"/>
      <c r="EYK130" s="72"/>
      <c r="EYL130" s="72"/>
      <c r="EYM130" s="72"/>
      <c r="EYN130" s="72"/>
      <c r="EYO130" s="72"/>
      <c r="EYP130" s="72"/>
      <c r="EYQ130" s="72"/>
      <c r="EYR130" s="72"/>
      <c r="EYS130" s="72"/>
      <c r="EYT130" s="72"/>
      <c r="EYU130" s="72"/>
      <c r="EYV130" s="72"/>
      <c r="EYW130" s="72"/>
      <c r="EYX130" s="72"/>
      <c r="EYY130" s="72"/>
      <c r="EYZ130" s="72"/>
      <c r="EZA130" s="72"/>
      <c r="EZB130" s="72"/>
      <c r="EZC130" s="72"/>
      <c r="EZD130" s="72"/>
      <c r="EZE130" s="72"/>
      <c r="EZF130" s="72"/>
      <c r="EZG130" s="72"/>
      <c r="EZH130" s="72"/>
      <c r="EZI130" s="72"/>
      <c r="EZJ130" s="72"/>
      <c r="EZK130" s="72"/>
      <c r="EZL130" s="72"/>
      <c r="EZM130" s="72"/>
      <c r="EZN130" s="72"/>
      <c r="EZO130" s="72"/>
      <c r="EZP130" s="72"/>
      <c r="EZQ130" s="72"/>
      <c r="EZR130" s="72"/>
      <c r="EZS130" s="72"/>
      <c r="EZT130" s="72"/>
      <c r="EZU130" s="72"/>
      <c r="EZV130" s="72"/>
      <c r="EZW130" s="72"/>
      <c r="EZX130" s="72"/>
      <c r="EZY130" s="72"/>
      <c r="EZZ130" s="72"/>
      <c r="FAA130" s="72"/>
      <c r="FAB130" s="72"/>
      <c r="FAC130" s="72"/>
      <c r="FAD130" s="72"/>
      <c r="FAE130" s="72"/>
      <c r="FAF130" s="72"/>
      <c r="FAG130" s="72"/>
      <c r="FAH130" s="72"/>
      <c r="FAI130" s="72"/>
      <c r="FAJ130" s="72"/>
      <c r="FAK130" s="72"/>
      <c r="FAL130" s="72"/>
      <c r="FAM130" s="72"/>
      <c r="FAN130" s="72"/>
      <c r="FAO130" s="72"/>
      <c r="FAP130" s="72"/>
      <c r="FAQ130" s="72"/>
      <c r="FAR130" s="72"/>
      <c r="FAS130" s="72"/>
      <c r="FAT130" s="72"/>
      <c r="FAU130" s="72"/>
      <c r="FAV130" s="72"/>
      <c r="FAW130" s="72"/>
      <c r="FAX130" s="72"/>
      <c r="FAY130" s="72"/>
      <c r="FAZ130" s="72"/>
      <c r="FBA130" s="72"/>
      <c r="FBB130" s="72"/>
      <c r="FBC130" s="72"/>
      <c r="FBD130" s="72"/>
      <c r="FBE130" s="72"/>
      <c r="FBF130" s="72"/>
      <c r="FBG130" s="72"/>
      <c r="FBH130" s="72"/>
      <c r="FBI130" s="72"/>
      <c r="FBJ130" s="72"/>
      <c r="FBK130" s="72"/>
      <c r="FBL130" s="72"/>
      <c r="FBM130" s="72"/>
      <c r="FBN130" s="72"/>
      <c r="FBO130" s="72"/>
      <c r="FBP130" s="72"/>
      <c r="FBQ130" s="72"/>
      <c r="FBR130" s="72"/>
      <c r="FBS130" s="72"/>
      <c r="FBT130" s="72"/>
      <c r="FBU130" s="72"/>
      <c r="FBV130" s="72"/>
      <c r="FBW130" s="72"/>
      <c r="FBX130" s="72"/>
      <c r="FBY130" s="72"/>
      <c r="FBZ130" s="72"/>
      <c r="FCA130" s="72"/>
      <c r="FCB130" s="72"/>
      <c r="FCC130" s="72"/>
      <c r="FCD130" s="72"/>
      <c r="FCE130" s="72"/>
      <c r="FCF130" s="72"/>
      <c r="FCG130" s="72"/>
      <c r="FCH130" s="72"/>
      <c r="FCI130" s="72"/>
      <c r="FCJ130" s="72"/>
      <c r="FCK130" s="72"/>
      <c r="FCL130" s="72"/>
      <c r="FCM130" s="72"/>
      <c r="FCN130" s="72"/>
      <c r="FCO130" s="72"/>
      <c r="FCP130" s="72"/>
      <c r="FCQ130" s="72"/>
      <c r="FCR130" s="72"/>
      <c r="FCS130" s="72"/>
      <c r="FCT130" s="72"/>
      <c r="FCU130" s="72"/>
      <c r="FCV130" s="72"/>
      <c r="FCW130" s="72"/>
      <c r="FCX130" s="72"/>
      <c r="FCY130" s="72"/>
      <c r="FCZ130" s="72"/>
      <c r="FDA130" s="72"/>
      <c r="FDB130" s="72"/>
      <c r="FDC130" s="72"/>
      <c r="FDD130" s="72"/>
      <c r="FDE130" s="72"/>
      <c r="FDF130" s="72"/>
      <c r="FDG130" s="72"/>
      <c r="FDH130" s="72"/>
      <c r="FDI130" s="72"/>
      <c r="FDJ130" s="72"/>
      <c r="FDK130" s="72"/>
      <c r="FDL130" s="72"/>
      <c r="FDM130" s="72"/>
      <c r="FDN130" s="72"/>
      <c r="FDO130" s="72"/>
      <c r="FDP130" s="72"/>
      <c r="FDQ130" s="72"/>
      <c r="FDR130" s="72"/>
      <c r="FDS130" s="72"/>
      <c r="FDT130" s="72"/>
      <c r="FDU130" s="72"/>
      <c r="FDV130" s="72"/>
      <c r="FDW130" s="72"/>
      <c r="FDX130" s="72"/>
      <c r="FDY130" s="72"/>
      <c r="FDZ130" s="72"/>
      <c r="FEA130" s="72"/>
      <c r="FEB130" s="72"/>
      <c r="FEC130" s="72"/>
      <c r="FED130" s="72"/>
      <c r="FEE130" s="72"/>
      <c r="FEF130" s="72"/>
      <c r="FEG130" s="72"/>
      <c r="FEH130" s="72"/>
      <c r="FEI130" s="72"/>
      <c r="FEJ130" s="72"/>
      <c r="FEK130" s="72"/>
      <c r="FEL130" s="72"/>
      <c r="FEM130" s="72"/>
      <c r="FEN130" s="72"/>
      <c r="FEO130" s="72"/>
      <c r="FEP130" s="72"/>
      <c r="FEQ130" s="72"/>
      <c r="FER130" s="72"/>
      <c r="FES130" s="72"/>
      <c r="FET130" s="72"/>
      <c r="FEU130" s="72"/>
      <c r="FEV130" s="72"/>
      <c r="FEW130" s="72"/>
      <c r="FEX130" s="72"/>
      <c r="FEY130" s="72"/>
      <c r="FEZ130" s="72"/>
      <c r="FFA130" s="72"/>
      <c r="FFB130" s="72"/>
      <c r="FFC130" s="72"/>
      <c r="FFD130" s="72"/>
      <c r="FFE130" s="72"/>
      <c r="FFF130" s="72"/>
      <c r="FFG130" s="72"/>
      <c r="FFH130" s="72"/>
      <c r="FFI130" s="72"/>
      <c r="FFJ130" s="72"/>
      <c r="FFK130" s="72"/>
      <c r="FFL130" s="72"/>
      <c r="FFM130" s="72"/>
      <c r="FFN130" s="72"/>
      <c r="FFO130" s="72"/>
      <c r="FFP130" s="72"/>
      <c r="FFQ130" s="72"/>
      <c r="FFR130" s="72"/>
      <c r="FFS130" s="72"/>
      <c r="FFT130" s="72"/>
      <c r="FFU130" s="72"/>
      <c r="FFV130" s="72"/>
      <c r="FFW130" s="72"/>
      <c r="FFX130" s="72"/>
      <c r="FFY130" s="72"/>
      <c r="FFZ130" s="72"/>
      <c r="FGA130" s="72"/>
      <c r="FGB130" s="72"/>
      <c r="FGC130" s="72"/>
      <c r="FGD130" s="72"/>
      <c r="FGE130" s="72"/>
      <c r="FGF130" s="72"/>
      <c r="FGG130" s="72"/>
      <c r="FGH130" s="72"/>
      <c r="FGI130" s="72"/>
      <c r="FGJ130" s="72"/>
      <c r="FGK130" s="72"/>
      <c r="FGL130" s="72"/>
      <c r="FGM130" s="72"/>
      <c r="FGN130" s="72"/>
      <c r="FGO130" s="72"/>
      <c r="FGP130" s="72"/>
      <c r="FGQ130" s="72"/>
      <c r="FGR130" s="72"/>
      <c r="FGS130" s="72"/>
      <c r="FGT130" s="72"/>
      <c r="FGU130" s="72"/>
      <c r="FGV130" s="72"/>
      <c r="FGW130" s="72"/>
      <c r="FGX130" s="72"/>
      <c r="FGY130" s="72"/>
      <c r="FGZ130" s="72"/>
      <c r="FHA130" s="72"/>
      <c r="FHB130" s="72"/>
      <c r="FHC130" s="72"/>
      <c r="FHD130" s="72"/>
      <c r="FHE130" s="72"/>
      <c r="FHF130" s="72"/>
      <c r="FHG130" s="72"/>
      <c r="FHH130" s="72"/>
      <c r="FHI130" s="72"/>
      <c r="FHJ130" s="72"/>
      <c r="FHK130" s="72"/>
      <c r="FHL130" s="72"/>
      <c r="FHM130" s="72"/>
      <c r="FHN130" s="72"/>
      <c r="FHO130" s="72"/>
      <c r="FHP130" s="72"/>
      <c r="FHQ130" s="72"/>
      <c r="FHR130" s="72"/>
      <c r="FHS130" s="72"/>
      <c r="FHT130" s="72"/>
      <c r="FHU130" s="72"/>
      <c r="FHV130" s="72"/>
      <c r="FHW130" s="72"/>
      <c r="FHX130" s="72"/>
      <c r="FHY130" s="72"/>
      <c r="FHZ130" s="72"/>
      <c r="FIA130" s="72"/>
      <c r="FIB130" s="72"/>
      <c r="FIC130" s="72"/>
      <c r="FID130" s="72"/>
      <c r="FIE130" s="72"/>
      <c r="FIF130" s="72"/>
      <c r="FIG130" s="72"/>
      <c r="FIH130" s="72"/>
      <c r="FII130" s="72"/>
      <c r="FIJ130" s="72"/>
      <c r="FIK130" s="72"/>
      <c r="FIL130" s="72"/>
      <c r="FIM130" s="72"/>
      <c r="FIN130" s="72"/>
      <c r="FIO130" s="72"/>
      <c r="FIP130" s="72"/>
      <c r="FIQ130" s="72"/>
      <c r="FIR130" s="72"/>
      <c r="FIS130" s="72"/>
      <c r="FIT130" s="72"/>
      <c r="FIU130" s="72"/>
      <c r="FIV130" s="72"/>
      <c r="FIW130" s="72"/>
      <c r="FIX130" s="72"/>
      <c r="FIY130" s="72"/>
      <c r="FIZ130" s="72"/>
      <c r="FJA130" s="72"/>
      <c r="FJB130" s="72"/>
      <c r="FJC130" s="72"/>
      <c r="FJD130" s="72"/>
      <c r="FJE130" s="72"/>
      <c r="FJF130" s="72"/>
      <c r="FJG130" s="72"/>
      <c r="FJH130" s="72"/>
      <c r="FJI130" s="72"/>
      <c r="FJJ130" s="72"/>
      <c r="FJK130" s="72"/>
      <c r="FJL130" s="72"/>
      <c r="FJM130" s="72"/>
      <c r="FJN130" s="72"/>
      <c r="FJO130" s="72"/>
      <c r="FJP130" s="72"/>
      <c r="FJQ130" s="72"/>
      <c r="FJR130" s="72"/>
      <c r="FJS130" s="72"/>
      <c r="FJT130" s="72"/>
      <c r="FJU130" s="72"/>
      <c r="FJV130" s="72"/>
      <c r="FJW130" s="72"/>
      <c r="FJX130" s="72"/>
      <c r="FJY130" s="72"/>
      <c r="FJZ130" s="72"/>
      <c r="FKA130" s="72"/>
      <c r="FKB130" s="72"/>
      <c r="FKC130" s="72"/>
      <c r="FKD130" s="72"/>
      <c r="FKE130" s="72"/>
      <c r="FKF130" s="72"/>
      <c r="FKG130" s="72"/>
      <c r="FKH130" s="72"/>
      <c r="FKI130" s="72"/>
      <c r="FKJ130" s="72"/>
      <c r="FKK130" s="72"/>
      <c r="FKL130" s="72"/>
      <c r="FKM130" s="72"/>
      <c r="FKN130" s="72"/>
      <c r="FKO130" s="72"/>
      <c r="FKP130" s="72"/>
      <c r="FKQ130" s="72"/>
      <c r="FKR130" s="72"/>
      <c r="FKS130" s="72"/>
      <c r="FKT130" s="72"/>
      <c r="FKU130" s="72"/>
      <c r="FKV130" s="72"/>
      <c r="FKW130" s="72"/>
      <c r="FKX130" s="72"/>
      <c r="FKY130" s="72"/>
      <c r="FKZ130" s="72"/>
      <c r="FLA130" s="72"/>
      <c r="FLB130" s="72"/>
      <c r="FLC130" s="72"/>
      <c r="FLD130" s="72"/>
      <c r="FLE130" s="72"/>
      <c r="FLF130" s="72"/>
      <c r="FLG130" s="72"/>
      <c r="FLH130" s="72"/>
      <c r="FLI130" s="72"/>
      <c r="FLJ130" s="72"/>
      <c r="FLK130" s="72"/>
      <c r="FLL130" s="72"/>
      <c r="FLM130" s="72"/>
      <c r="FLN130" s="72"/>
      <c r="FLO130" s="72"/>
      <c r="FLP130" s="72"/>
      <c r="FLQ130" s="72"/>
      <c r="FLR130" s="72"/>
      <c r="FLS130" s="72"/>
      <c r="FLT130" s="72"/>
      <c r="FLU130" s="72"/>
      <c r="FLV130" s="72"/>
      <c r="FLW130" s="72"/>
      <c r="FLX130" s="72"/>
      <c r="FLY130" s="72"/>
      <c r="FLZ130" s="72"/>
      <c r="FMA130" s="72"/>
      <c r="FMB130" s="72"/>
      <c r="FMC130" s="72"/>
      <c r="FMD130" s="72"/>
      <c r="FME130" s="72"/>
      <c r="FMF130" s="72"/>
      <c r="FMG130" s="72"/>
      <c r="FMH130" s="72"/>
      <c r="FMI130" s="72"/>
      <c r="FMJ130" s="72"/>
      <c r="FMK130" s="72"/>
      <c r="FML130" s="72"/>
      <c r="FMM130" s="72"/>
      <c r="FMN130" s="72"/>
      <c r="FMO130" s="72"/>
      <c r="FMP130" s="72"/>
      <c r="FMQ130" s="72"/>
      <c r="FMR130" s="72"/>
      <c r="FMS130" s="72"/>
      <c r="FMT130" s="72"/>
      <c r="FMU130" s="72"/>
      <c r="FMV130" s="72"/>
      <c r="FMW130" s="72"/>
      <c r="FMX130" s="72"/>
      <c r="FMY130" s="72"/>
      <c r="FMZ130" s="72"/>
      <c r="FNA130" s="72"/>
      <c r="FNB130" s="72"/>
      <c r="FNC130" s="72"/>
      <c r="FND130" s="72"/>
      <c r="FNE130" s="72"/>
      <c r="FNF130" s="72"/>
      <c r="FNG130" s="72"/>
      <c r="FNH130" s="72"/>
      <c r="FNI130" s="72"/>
      <c r="FNJ130" s="72"/>
      <c r="FNK130" s="72"/>
      <c r="FNL130" s="72"/>
      <c r="FNM130" s="72"/>
      <c r="FNN130" s="72"/>
      <c r="FNO130" s="72"/>
      <c r="FNP130" s="72"/>
      <c r="FNQ130" s="72"/>
      <c r="FNR130" s="72"/>
      <c r="FNS130" s="72"/>
      <c r="FNT130" s="72"/>
      <c r="FNU130" s="72"/>
      <c r="FNV130" s="72"/>
      <c r="FNW130" s="72"/>
      <c r="FNX130" s="72"/>
      <c r="FNY130" s="72"/>
      <c r="FNZ130" s="72"/>
      <c r="FOA130" s="72"/>
      <c r="FOB130" s="72"/>
      <c r="FOC130" s="72"/>
      <c r="FOD130" s="72"/>
      <c r="FOE130" s="72"/>
      <c r="FOF130" s="72"/>
      <c r="FOG130" s="72"/>
      <c r="FOH130" s="72"/>
      <c r="FOI130" s="72"/>
      <c r="FOJ130" s="72"/>
      <c r="FOK130" s="72"/>
      <c r="FOL130" s="72"/>
      <c r="FOM130" s="72"/>
      <c r="FON130" s="72"/>
      <c r="FOO130" s="72"/>
      <c r="FOP130" s="72"/>
      <c r="FOQ130" s="72"/>
      <c r="FOR130" s="72"/>
      <c r="FOS130" s="72"/>
      <c r="FOT130" s="72"/>
      <c r="FOU130" s="72"/>
      <c r="FOV130" s="72"/>
      <c r="FOW130" s="72"/>
      <c r="FOX130" s="72"/>
      <c r="FOY130" s="72"/>
      <c r="FOZ130" s="72"/>
      <c r="FPA130" s="72"/>
      <c r="FPB130" s="72"/>
      <c r="FPC130" s="72"/>
      <c r="FPD130" s="72"/>
      <c r="FPE130" s="72"/>
      <c r="FPF130" s="72"/>
      <c r="FPG130" s="72"/>
      <c r="FPH130" s="72"/>
      <c r="FPI130" s="72"/>
      <c r="FPJ130" s="72"/>
      <c r="FPK130" s="72"/>
      <c r="FPL130" s="72"/>
      <c r="FPM130" s="72"/>
      <c r="FPN130" s="72"/>
      <c r="FPO130" s="72"/>
      <c r="FPP130" s="72"/>
      <c r="FPQ130" s="72"/>
      <c r="FPR130" s="72"/>
      <c r="FPS130" s="72"/>
      <c r="FPT130" s="72"/>
      <c r="FPU130" s="72"/>
      <c r="FPV130" s="72"/>
      <c r="FPW130" s="72"/>
      <c r="FPX130" s="72"/>
      <c r="FPY130" s="72"/>
      <c r="FPZ130" s="72"/>
      <c r="FQA130" s="72"/>
      <c r="FQB130" s="72"/>
      <c r="FQC130" s="72"/>
      <c r="FQD130" s="72"/>
      <c r="FQE130" s="72"/>
      <c r="FQF130" s="72"/>
      <c r="FQG130" s="72"/>
      <c r="FQH130" s="72"/>
      <c r="FQI130" s="72"/>
      <c r="FQJ130" s="72"/>
      <c r="FQK130" s="72"/>
      <c r="FQL130" s="72"/>
      <c r="FQM130" s="72"/>
      <c r="FQN130" s="72"/>
      <c r="FQO130" s="72"/>
      <c r="FQP130" s="72"/>
      <c r="FQQ130" s="72"/>
      <c r="FQR130" s="72"/>
      <c r="FQS130" s="72"/>
      <c r="FQT130" s="72"/>
      <c r="FQU130" s="72"/>
      <c r="FQV130" s="72"/>
      <c r="FQW130" s="72"/>
      <c r="FQX130" s="72"/>
      <c r="FQY130" s="72"/>
      <c r="FQZ130" s="72"/>
      <c r="FRA130" s="72"/>
      <c r="FRB130" s="72"/>
      <c r="FRC130" s="72"/>
      <c r="FRD130" s="72"/>
      <c r="FRE130" s="72"/>
      <c r="FRF130" s="72"/>
      <c r="FRG130" s="72"/>
      <c r="FRH130" s="72"/>
      <c r="FRI130" s="72"/>
      <c r="FRJ130" s="72"/>
      <c r="FRK130" s="72"/>
      <c r="FRL130" s="72"/>
      <c r="FRM130" s="72"/>
      <c r="FRN130" s="72"/>
      <c r="FRO130" s="72"/>
      <c r="FRP130" s="72"/>
      <c r="FRQ130" s="72"/>
      <c r="FRR130" s="72"/>
      <c r="FRS130" s="72"/>
      <c r="FRT130" s="72"/>
      <c r="FRU130" s="72"/>
      <c r="FRV130" s="72"/>
      <c r="FRW130" s="72"/>
      <c r="FRX130" s="72"/>
      <c r="FRY130" s="72"/>
      <c r="FRZ130" s="72"/>
      <c r="FSA130" s="72"/>
      <c r="FSB130" s="72"/>
      <c r="FSC130" s="72"/>
      <c r="FSD130" s="72"/>
      <c r="FSE130" s="72"/>
      <c r="FSF130" s="72"/>
      <c r="FSG130" s="72"/>
      <c r="FSH130" s="72"/>
      <c r="FSI130" s="72"/>
      <c r="FSJ130" s="72"/>
      <c r="FSK130" s="72"/>
      <c r="FSL130" s="72"/>
      <c r="FSM130" s="72"/>
      <c r="FSN130" s="72"/>
      <c r="FSO130" s="72"/>
      <c r="FSP130" s="72"/>
      <c r="FSQ130" s="72"/>
      <c r="FSR130" s="72"/>
      <c r="FSS130" s="72"/>
      <c r="FST130" s="72"/>
      <c r="FSU130" s="72"/>
      <c r="FSV130" s="72"/>
      <c r="FSW130" s="72"/>
      <c r="FSX130" s="72"/>
      <c r="FSY130" s="72"/>
      <c r="FSZ130" s="72"/>
      <c r="FTA130" s="72"/>
      <c r="FTB130" s="72"/>
      <c r="FTC130" s="72"/>
      <c r="FTD130" s="72"/>
      <c r="FTE130" s="72"/>
      <c r="FTF130" s="72"/>
      <c r="FTG130" s="72"/>
      <c r="FTH130" s="72"/>
      <c r="FTI130" s="72"/>
      <c r="FTJ130" s="72"/>
      <c r="FTK130" s="72"/>
      <c r="FTL130" s="72"/>
      <c r="FTM130" s="72"/>
      <c r="FTN130" s="72"/>
      <c r="FTO130" s="72"/>
      <c r="FTP130" s="72"/>
      <c r="FTQ130" s="72"/>
      <c r="FTR130" s="72"/>
      <c r="FTS130" s="72"/>
      <c r="FTT130" s="72"/>
      <c r="FTU130" s="72"/>
      <c r="FTV130" s="72"/>
      <c r="FTW130" s="72"/>
      <c r="FTX130" s="72"/>
      <c r="FTY130" s="72"/>
      <c r="FTZ130" s="72"/>
      <c r="FUA130" s="72"/>
      <c r="FUB130" s="72"/>
      <c r="FUC130" s="72"/>
      <c r="FUD130" s="72"/>
      <c r="FUE130" s="72"/>
      <c r="FUF130" s="72"/>
      <c r="FUG130" s="72"/>
      <c r="FUH130" s="72"/>
      <c r="FUI130" s="72"/>
      <c r="FUJ130" s="72"/>
      <c r="FUK130" s="72"/>
      <c r="FUL130" s="72"/>
      <c r="FUM130" s="72"/>
      <c r="FUN130" s="72"/>
      <c r="FUO130" s="72"/>
      <c r="FUP130" s="72"/>
      <c r="FUQ130" s="72"/>
      <c r="FUR130" s="72"/>
      <c r="FUS130" s="72"/>
      <c r="FUT130" s="72"/>
      <c r="FUU130" s="72"/>
      <c r="FUV130" s="72"/>
      <c r="FUW130" s="72"/>
      <c r="FUX130" s="72"/>
      <c r="FUY130" s="72"/>
      <c r="FUZ130" s="72"/>
      <c r="FVA130" s="72"/>
      <c r="FVB130" s="72"/>
      <c r="FVC130" s="72"/>
      <c r="FVD130" s="72"/>
      <c r="FVE130" s="72"/>
      <c r="FVF130" s="72"/>
      <c r="FVG130" s="72"/>
      <c r="FVH130" s="72"/>
      <c r="FVI130" s="72"/>
      <c r="FVJ130" s="72"/>
      <c r="FVK130" s="72"/>
      <c r="FVL130" s="72"/>
      <c r="FVM130" s="72"/>
      <c r="FVN130" s="72"/>
      <c r="FVO130" s="72"/>
      <c r="FVP130" s="72"/>
      <c r="FVQ130" s="72"/>
      <c r="FVR130" s="72"/>
      <c r="FVS130" s="72"/>
      <c r="FVT130" s="72"/>
      <c r="FVU130" s="72"/>
      <c r="FVV130" s="72"/>
      <c r="FVW130" s="72"/>
      <c r="FVX130" s="72"/>
      <c r="FVY130" s="72"/>
      <c r="FVZ130" s="72"/>
      <c r="FWA130" s="72"/>
      <c r="FWB130" s="72"/>
      <c r="FWC130" s="72"/>
      <c r="FWD130" s="72"/>
      <c r="FWE130" s="72"/>
      <c r="FWF130" s="72"/>
      <c r="FWG130" s="72"/>
      <c r="FWH130" s="72"/>
      <c r="FWI130" s="72"/>
      <c r="FWJ130" s="72"/>
      <c r="FWK130" s="72"/>
      <c r="FWL130" s="72"/>
      <c r="FWM130" s="72"/>
      <c r="FWN130" s="72"/>
      <c r="FWO130" s="72"/>
      <c r="FWP130" s="72"/>
      <c r="FWQ130" s="72"/>
      <c r="FWR130" s="72"/>
      <c r="FWS130" s="72"/>
      <c r="FWT130" s="72"/>
      <c r="FWU130" s="72"/>
      <c r="FWV130" s="72"/>
      <c r="FWW130" s="72"/>
      <c r="FWX130" s="72"/>
      <c r="FWY130" s="72"/>
      <c r="FWZ130" s="72"/>
      <c r="FXA130" s="72"/>
      <c r="FXB130" s="72"/>
      <c r="FXC130" s="72"/>
      <c r="FXD130" s="72"/>
      <c r="FXE130" s="72"/>
      <c r="FXF130" s="72"/>
      <c r="FXG130" s="72"/>
      <c r="FXH130" s="72"/>
      <c r="FXI130" s="72"/>
      <c r="FXJ130" s="72"/>
      <c r="FXK130" s="72"/>
      <c r="FXL130" s="72"/>
      <c r="FXM130" s="72"/>
      <c r="FXN130" s="72"/>
      <c r="FXO130" s="72"/>
      <c r="FXP130" s="72"/>
      <c r="FXQ130" s="72"/>
      <c r="FXR130" s="72"/>
      <c r="FXS130" s="72"/>
      <c r="FXT130" s="72"/>
      <c r="FXU130" s="72"/>
      <c r="FXV130" s="72"/>
      <c r="FXW130" s="72"/>
      <c r="FXX130" s="72"/>
      <c r="FXY130" s="72"/>
      <c r="FXZ130" s="72"/>
      <c r="FYA130" s="72"/>
      <c r="FYB130" s="72"/>
      <c r="FYC130" s="72"/>
      <c r="FYD130" s="72"/>
      <c r="FYE130" s="72"/>
      <c r="FYF130" s="72"/>
      <c r="FYG130" s="72"/>
      <c r="FYH130" s="72"/>
      <c r="FYI130" s="72"/>
      <c r="FYJ130" s="72"/>
      <c r="FYK130" s="72"/>
      <c r="FYL130" s="72"/>
      <c r="FYM130" s="72"/>
      <c r="FYN130" s="72"/>
      <c r="FYO130" s="72"/>
      <c r="FYP130" s="72"/>
      <c r="FYQ130" s="72"/>
      <c r="FYR130" s="72"/>
      <c r="FYS130" s="72"/>
      <c r="FYT130" s="72"/>
      <c r="FYU130" s="72"/>
      <c r="FYV130" s="72"/>
      <c r="FYW130" s="72"/>
      <c r="FYX130" s="72"/>
      <c r="FYY130" s="72"/>
      <c r="FYZ130" s="72"/>
      <c r="FZA130" s="72"/>
      <c r="FZB130" s="72"/>
      <c r="FZC130" s="72"/>
      <c r="FZD130" s="72"/>
      <c r="FZE130" s="72"/>
      <c r="FZF130" s="72"/>
      <c r="FZG130" s="72"/>
      <c r="FZH130" s="72"/>
      <c r="FZI130" s="72"/>
      <c r="FZJ130" s="72"/>
      <c r="FZK130" s="72"/>
      <c r="FZL130" s="72"/>
      <c r="FZM130" s="72"/>
      <c r="FZN130" s="72"/>
      <c r="FZO130" s="72"/>
      <c r="FZP130" s="72"/>
      <c r="FZQ130" s="72"/>
      <c r="FZR130" s="72"/>
      <c r="FZS130" s="72"/>
      <c r="FZT130" s="72"/>
      <c r="FZU130" s="72"/>
      <c r="FZV130" s="72"/>
      <c r="FZW130" s="72"/>
      <c r="FZX130" s="72"/>
      <c r="FZY130" s="72"/>
      <c r="FZZ130" s="72"/>
      <c r="GAA130" s="72"/>
      <c r="GAB130" s="72"/>
      <c r="GAC130" s="72"/>
      <c r="GAD130" s="72"/>
      <c r="GAE130" s="72"/>
      <c r="GAF130" s="72"/>
      <c r="GAG130" s="72"/>
      <c r="GAH130" s="72"/>
      <c r="GAI130" s="72"/>
      <c r="GAJ130" s="72"/>
      <c r="GAK130" s="72"/>
      <c r="GAL130" s="72"/>
      <c r="GAM130" s="72"/>
      <c r="GAN130" s="72"/>
      <c r="GAO130" s="72"/>
      <c r="GAP130" s="72"/>
      <c r="GAQ130" s="72"/>
      <c r="GAR130" s="72"/>
      <c r="GAS130" s="72"/>
      <c r="GAT130" s="72"/>
      <c r="GAU130" s="72"/>
      <c r="GAV130" s="72"/>
      <c r="GAW130" s="72"/>
      <c r="GAX130" s="72"/>
      <c r="GAY130" s="72"/>
      <c r="GAZ130" s="72"/>
      <c r="GBA130" s="72"/>
      <c r="GBB130" s="72"/>
      <c r="GBC130" s="72"/>
      <c r="GBD130" s="72"/>
      <c r="GBE130" s="72"/>
      <c r="GBF130" s="72"/>
      <c r="GBG130" s="72"/>
      <c r="GBH130" s="72"/>
      <c r="GBI130" s="72"/>
      <c r="GBJ130" s="72"/>
      <c r="GBK130" s="72"/>
      <c r="GBL130" s="72"/>
      <c r="GBM130" s="72"/>
      <c r="GBN130" s="72"/>
      <c r="GBO130" s="72"/>
      <c r="GBP130" s="72"/>
      <c r="GBQ130" s="72"/>
      <c r="GBR130" s="72"/>
      <c r="GBS130" s="72"/>
      <c r="GBT130" s="72"/>
      <c r="GBU130" s="72"/>
      <c r="GBV130" s="72"/>
      <c r="GBW130" s="72"/>
      <c r="GBX130" s="72"/>
      <c r="GBY130" s="72"/>
      <c r="GBZ130" s="72"/>
      <c r="GCA130" s="72"/>
      <c r="GCB130" s="72"/>
      <c r="GCC130" s="72"/>
      <c r="GCD130" s="72"/>
      <c r="GCE130" s="72"/>
      <c r="GCF130" s="72"/>
      <c r="GCG130" s="72"/>
      <c r="GCH130" s="72"/>
      <c r="GCI130" s="72"/>
      <c r="GCJ130" s="72"/>
      <c r="GCK130" s="72"/>
      <c r="GCL130" s="72"/>
      <c r="GCM130" s="72"/>
      <c r="GCN130" s="72"/>
      <c r="GCO130" s="72"/>
      <c r="GCP130" s="72"/>
      <c r="GCQ130" s="72"/>
      <c r="GCR130" s="72"/>
      <c r="GCS130" s="72"/>
      <c r="GCT130" s="72"/>
      <c r="GCU130" s="72"/>
      <c r="GCV130" s="72"/>
      <c r="GCW130" s="72"/>
      <c r="GCX130" s="72"/>
      <c r="GCY130" s="72"/>
      <c r="GCZ130" s="72"/>
      <c r="GDA130" s="72"/>
      <c r="GDB130" s="72"/>
      <c r="GDC130" s="72"/>
      <c r="GDD130" s="72"/>
      <c r="GDE130" s="72"/>
      <c r="GDF130" s="72"/>
      <c r="GDG130" s="72"/>
      <c r="GDH130" s="72"/>
      <c r="GDI130" s="72"/>
      <c r="GDJ130" s="72"/>
      <c r="GDK130" s="72"/>
      <c r="GDL130" s="72"/>
      <c r="GDM130" s="72"/>
      <c r="GDN130" s="72"/>
      <c r="GDO130" s="72"/>
      <c r="GDP130" s="72"/>
      <c r="GDQ130" s="72"/>
      <c r="GDR130" s="72"/>
      <c r="GDS130" s="72"/>
      <c r="GDT130" s="72"/>
      <c r="GDU130" s="72"/>
      <c r="GDV130" s="72"/>
      <c r="GDW130" s="72"/>
      <c r="GDX130" s="72"/>
      <c r="GDY130" s="72"/>
      <c r="GDZ130" s="72"/>
      <c r="GEA130" s="72"/>
      <c r="GEB130" s="72"/>
      <c r="GEC130" s="72"/>
      <c r="GED130" s="72"/>
      <c r="GEE130" s="72"/>
      <c r="GEF130" s="72"/>
      <c r="GEG130" s="72"/>
      <c r="GEH130" s="72"/>
      <c r="GEI130" s="72"/>
      <c r="GEJ130" s="72"/>
      <c r="GEK130" s="72"/>
      <c r="GEL130" s="72"/>
      <c r="GEM130" s="72"/>
      <c r="GEN130" s="72"/>
      <c r="GEO130" s="72"/>
      <c r="GEP130" s="72"/>
      <c r="GEQ130" s="72"/>
      <c r="GER130" s="72"/>
      <c r="GES130" s="72"/>
      <c r="GET130" s="72"/>
      <c r="GEU130" s="72"/>
      <c r="GEV130" s="72"/>
      <c r="GEW130" s="72"/>
      <c r="GEX130" s="72"/>
      <c r="GEY130" s="72"/>
      <c r="GEZ130" s="72"/>
      <c r="GFA130" s="72"/>
      <c r="GFB130" s="72"/>
      <c r="GFC130" s="72"/>
      <c r="GFD130" s="72"/>
      <c r="GFE130" s="72"/>
      <c r="GFF130" s="72"/>
      <c r="GFG130" s="72"/>
      <c r="GFH130" s="72"/>
      <c r="GFI130" s="72"/>
      <c r="GFJ130" s="72"/>
      <c r="GFK130" s="72"/>
      <c r="GFL130" s="72"/>
      <c r="GFM130" s="72"/>
      <c r="GFN130" s="72"/>
      <c r="GFO130" s="72"/>
      <c r="GFP130" s="72"/>
      <c r="GFQ130" s="72"/>
      <c r="GFR130" s="72"/>
      <c r="GFS130" s="72"/>
      <c r="GFT130" s="72"/>
      <c r="GFU130" s="72"/>
      <c r="GFV130" s="72"/>
      <c r="GFW130" s="72"/>
      <c r="GFX130" s="72"/>
      <c r="GFY130" s="72"/>
      <c r="GFZ130" s="72"/>
      <c r="GGA130" s="72"/>
      <c r="GGB130" s="72"/>
      <c r="GGC130" s="72"/>
      <c r="GGD130" s="72"/>
      <c r="GGE130" s="72"/>
      <c r="GGF130" s="72"/>
      <c r="GGG130" s="72"/>
      <c r="GGH130" s="72"/>
      <c r="GGI130" s="72"/>
      <c r="GGJ130" s="72"/>
      <c r="GGK130" s="72"/>
      <c r="GGL130" s="72"/>
      <c r="GGM130" s="72"/>
      <c r="GGN130" s="72"/>
      <c r="GGO130" s="72"/>
      <c r="GGP130" s="72"/>
      <c r="GGQ130" s="72"/>
      <c r="GGR130" s="72"/>
      <c r="GGS130" s="72"/>
      <c r="GGT130" s="72"/>
      <c r="GGU130" s="72"/>
      <c r="GGV130" s="72"/>
      <c r="GGW130" s="72"/>
      <c r="GGX130" s="72"/>
      <c r="GGY130" s="72"/>
      <c r="GGZ130" s="72"/>
      <c r="GHA130" s="72"/>
      <c r="GHB130" s="72"/>
      <c r="GHC130" s="72"/>
      <c r="GHD130" s="72"/>
      <c r="GHE130" s="72"/>
      <c r="GHF130" s="72"/>
      <c r="GHG130" s="72"/>
      <c r="GHH130" s="72"/>
      <c r="GHI130" s="72"/>
      <c r="GHJ130" s="72"/>
      <c r="GHK130" s="72"/>
      <c r="GHL130" s="72"/>
      <c r="GHM130" s="72"/>
      <c r="GHN130" s="72"/>
      <c r="GHO130" s="72"/>
      <c r="GHP130" s="72"/>
      <c r="GHQ130" s="72"/>
      <c r="GHR130" s="72"/>
      <c r="GHS130" s="72"/>
      <c r="GHT130" s="72"/>
      <c r="GHU130" s="72"/>
      <c r="GHV130" s="72"/>
      <c r="GHW130" s="72"/>
      <c r="GHX130" s="72"/>
      <c r="GHY130" s="72"/>
      <c r="GHZ130" s="72"/>
      <c r="GIA130" s="72"/>
      <c r="GIB130" s="72"/>
      <c r="GIC130" s="72"/>
      <c r="GID130" s="72"/>
      <c r="GIE130" s="72"/>
      <c r="GIF130" s="72"/>
      <c r="GIG130" s="72"/>
      <c r="GIH130" s="72"/>
      <c r="GII130" s="72"/>
      <c r="GIJ130" s="72"/>
      <c r="GIK130" s="72"/>
      <c r="GIL130" s="72"/>
      <c r="GIM130" s="72"/>
      <c r="GIN130" s="72"/>
      <c r="GIO130" s="72"/>
      <c r="GIP130" s="72"/>
      <c r="GIQ130" s="72"/>
      <c r="GIR130" s="72"/>
      <c r="GIS130" s="72"/>
      <c r="GIT130" s="72"/>
      <c r="GIU130" s="72"/>
      <c r="GIV130" s="72"/>
      <c r="GIW130" s="72"/>
      <c r="GIX130" s="72"/>
      <c r="GIY130" s="72"/>
      <c r="GIZ130" s="72"/>
      <c r="GJA130" s="72"/>
      <c r="GJB130" s="72"/>
      <c r="GJC130" s="72"/>
      <c r="GJD130" s="72"/>
      <c r="GJE130" s="72"/>
      <c r="GJF130" s="72"/>
      <c r="GJG130" s="72"/>
      <c r="GJH130" s="72"/>
      <c r="GJI130" s="72"/>
      <c r="GJJ130" s="72"/>
      <c r="GJK130" s="72"/>
      <c r="GJL130" s="72"/>
      <c r="GJM130" s="72"/>
      <c r="GJN130" s="72"/>
      <c r="GJO130" s="72"/>
      <c r="GJP130" s="72"/>
      <c r="GJQ130" s="72"/>
      <c r="GJR130" s="72"/>
      <c r="GJS130" s="72"/>
      <c r="GJT130" s="72"/>
      <c r="GJU130" s="72"/>
      <c r="GJV130" s="72"/>
      <c r="GJW130" s="72"/>
      <c r="GJX130" s="72"/>
      <c r="GJY130" s="72"/>
      <c r="GJZ130" s="72"/>
      <c r="GKA130" s="72"/>
      <c r="GKB130" s="72"/>
      <c r="GKC130" s="72"/>
      <c r="GKD130" s="72"/>
      <c r="GKE130" s="72"/>
      <c r="GKF130" s="72"/>
      <c r="GKG130" s="72"/>
      <c r="GKH130" s="72"/>
      <c r="GKI130" s="72"/>
      <c r="GKJ130" s="72"/>
      <c r="GKK130" s="72"/>
      <c r="GKL130" s="72"/>
      <c r="GKM130" s="72"/>
      <c r="GKN130" s="72"/>
      <c r="GKO130" s="72"/>
      <c r="GKP130" s="72"/>
      <c r="GKQ130" s="72"/>
      <c r="GKR130" s="72"/>
      <c r="GKS130" s="72"/>
      <c r="GKT130" s="72"/>
      <c r="GKU130" s="72"/>
      <c r="GKV130" s="72"/>
      <c r="GKW130" s="72"/>
      <c r="GKX130" s="72"/>
      <c r="GKY130" s="72"/>
      <c r="GKZ130" s="72"/>
      <c r="GLA130" s="72"/>
      <c r="GLB130" s="72"/>
      <c r="GLC130" s="72"/>
      <c r="GLD130" s="72"/>
      <c r="GLE130" s="72"/>
      <c r="GLF130" s="72"/>
      <c r="GLG130" s="72"/>
      <c r="GLH130" s="72"/>
      <c r="GLI130" s="72"/>
      <c r="GLJ130" s="72"/>
      <c r="GLK130" s="72"/>
      <c r="GLL130" s="72"/>
      <c r="GLM130" s="72"/>
      <c r="GLN130" s="72"/>
      <c r="GLO130" s="72"/>
      <c r="GLP130" s="72"/>
      <c r="GLQ130" s="72"/>
      <c r="GLR130" s="72"/>
      <c r="GLS130" s="72"/>
      <c r="GLT130" s="72"/>
      <c r="GLU130" s="72"/>
      <c r="GLV130" s="72"/>
      <c r="GLW130" s="72"/>
      <c r="GLX130" s="72"/>
      <c r="GLY130" s="72"/>
      <c r="GLZ130" s="72"/>
      <c r="GMA130" s="72"/>
      <c r="GMB130" s="72"/>
      <c r="GMC130" s="72"/>
      <c r="GMD130" s="72"/>
      <c r="GME130" s="72"/>
      <c r="GMF130" s="72"/>
      <c r="GMG130" s="72"/>
      <c r="GMH130" s="72"/>
      <c r="GMI130" s="72"/>
      <c r="GMJ130" s="72"/>
      <c r="GMK130" s="72"/>
      <c r="GML130" s="72"/>
      <c r="GMM130" s="72"/>
      <c r="GMN130" s="72"/>
      <c r="GMO130" s="72"/>
      <c r="GMP130" s="72"/>
      <c r="GMQ130" s="72"/>
      <c r="GMR130" s="72"/>
      <c r="GMS130" s="72"/>
      <c r="GMT130" s="72"/>
      <c r="GMU130" s="72"/>
      <c r="GMV130" s="72"/>
      <c r="GMW130" s="72"/>
      <c r="GMX130" s="72"/>
      <c r="GMY130" s="72"/>
      <c r="GMZ130" s="72"/>
      <c r="GNA130" s="72"/>
      <c r="GNB130" s="72"/>
      <c r="GNC130" s="72"/>
      <c r="GND130" s="72"/>
      <c r="GNE130" s="72"/>
      <c r="GNF130" s="72"/>
      <c r="GNG130" s="72"/>
      <c r="GNH130" s="72"/>
      <c r="GNI130" s="72"/>
      <c r="GNJ130" s="72"/>
      <c r="GNK130" s="72"/>
      <c r="GNL130" s="72"/>
      <c r="GNM130" s="72"/>
      <c r="GNN130" s="72"/>
      <c r="GNO130" s="72"/>
      <c r="GNP130" s="72"/>
      <c r="GNQ130" s="72"/>
      <c r="GNR130" s="72"/>
      <c r="GNS130" s="72"/>
      <c r="GNT130" s="72"/>
      <c r="GNU130" s="72"/>
      <c r="GNV130" s="72"/>
      <c r="GNW130" s="72"/>
      <c r="GNX130" s="72"/>
      <c r="GNY130" s="72"/>
      <c r="GNZ130" s="72"/>
      <c r="GOA130" s="72"/>
      <c r="GOB130" s="72"/>
      <c r="GOC130" s="72"/>
      <c r="GOD130" s="72"/>
      <c r="GOE130" s="72"/>
      <c r="GOF130" s="72"/>
      <c r="GOG130" s="72"/>
      <c r="GOH130" s="72"/>
      <c r="GOI130" s="72"/>
      <c r="GOJ130" s="72"/>
      <c r="GOK130" s="72"/>
      <c r="GOL130" s="72"/>
      <c r="GOM130" s="72"/>
      <c r="GON130" s="72"/>
      <c r="GOO130" s="72"/>
      <c r="GOP130" s="72"/>
      <c r="GOQ130" s="72"/>
      <c r="GOR130" s="72"/>
      <c r="GOS130" s="72"/>
      <c r="GOT130" s="72"/>
      <c r="GOU130" s="72"/>
      <c r="GOV130" s="72"/>
      <c r="GOW130" s="72"/>
      <c r="GOX130" s="72"/>
      <c r="GOY130" s="72"/>
      <c r="GOZ130" s="72"/>
      <c r="GPA130" s="72"/>
      <c r="GPB130" s="72"/>
      <c r="GPC130" s="72"/>
      <c r="GPD130" s="72"/>
      <c r="GPE130" s="72"/>
      <c r="GPF130" s="72"/>
      <c r="GPG130" s="72"/>
      <c r="GPH130" s="72"/>
      <c r="GPI130" s="72"/>
      <c r="GPJ130" s="72"/>
      <c r="GPK130" s="72"/>
      <c r="GPL130" s="72"/>
      <c r="GPM130" s="72"/>
      <c r="GPN130" s="72"/>
      <c r="GPO130" s="72"/>
      <c r="GPP130" s="72"/>
      <c r="GPQ130" s="72"/>
      <c r="GPR130" s="72"/>
      <c r="GPS130" s="72"/>
      <c r="GPT130" s="72"/>
      <c r="GPU130" s="72"/>
      <c r="GPV130" s="72"/>
      <c r="GPW130" s="72"/>
      <c r="GPX130" s="72"/>
      <c r="GPY130" s="72"/>
      <c r="GPZ130" s="72"/>
      <c r="GQA130" s="72"/>
      <c r="GQB130" s="72"/>
      <c r="GQC130" s="72"/>
      <c r="GQD130" s="72"/>
      <c r="GQE130" s="72"/>
      <c r="GQF130" s="72"/>
      <c r="GQG130" s="72"/>
      <c r="GQH130" s="72"/>
      <c r="GQI130" s="72"/>
      <c r="GQJ130" s="72"/>
      <c r="GQK130" s="72"/>
      <c r="GQL130" s="72"/>
      <c r="GQM130" s="72"/>
      <c r="GQN130" s="72"/>
      <c r="GQO130" s="72"/>
      <c r="GQP130" s="72"/>
      <c r="GQQ130" s="72"/>
      <c r="GQR130" s="72"/>
      <c r="GQS130" s="72"/>
      <c r="GQT130" s="72"/>
      <c r="GQU130" s="72"/>
      <c r="GQV130" s="72"/>
      <c r="GQW130" s="72"/>
      <c r="GQX130" s="72"/>
      <c r="GQY130" s="72"/>
      <c r="GQZ130" s="72"/>
      <c r="GRA130" s="72"/>
      <c r="GRB130" s="72"/>
      <c r="GRC130" s="72"/>
      <c r="GRD130" s="72"/>
      <c r="GRE130" s="72"/>
      <c r="GRF130" s="72"/>
      <c r="GRG130" s="72"/>
      <c r="GRH130" s="72"/>
      <c r="GRI130" s="72"/>
      <c r="GRJ130" s="72"/>
      <c r="GRK130" s="72"/>
      <c r="GRL130" s="72"/>
      <c r="GRM130" s="72"/>
      <c r="GRN130" s="72"/>
      <c r="GRO130" s="72"/>
      <c r="GRP130" s="72"/>
      <c r="GRQ130" s="72"/>
      <c r="GRR130" s="72"/>
      <c r="GRS130" s="72"/>
      <c r="GRT130" s="72"/>
      <c r="GRU130" s="72"/>
      <c r="GRV130" s="72"/>
      <c r="GRW130" s="72"/>
      <c r="GRX130" s="72"/>
      <c r="GRY130" s="72"/>
      <c r="GRZ130" s="72"/>
      <c r="GSA130" s="72"/>
      <c r="GSB130" s="72"/>
      <c r="GSC130" s="72"/>
      <c r="GSD130" s="72"/>
      <c r="GSE130" s="72"/>
      <c r="GSF130" s="72"/>
      <c r="GSG130" s="72"/>
      <c r="GSH130" s="72"/>
      <c r="GSI130" s="72"/>
      <c r="GSJ130" s="72"/>
      <c r="GSK130" s="72"/>
      <c r="GSL130" s="72"/>
      <c r="GSM130" s="72"/>
      <c r="GSN130" s="72"/>
      <c r="GSO130" s="72"/>
      <c r="GSP130" s="72"/>
      <c r="GSQ130" s="72"/>
      <c r="GSR130" s="72"/>
      <c r="GSS130" s="72"/>
      <c r="GST130" s="72"/>
      <c r="GSU130" s="72"/>
      <c r="GSV130" s="72"/>
      <c r="GSW130" s="72"/>
      <c r="GSX130" s="72"/>
      <c r="GSY130" s="72"/>
      <c r="GSZ130" s="72"/>
      <c r="GTA130" s="72"/>
      <c r="GTB130" s="72"/>
      <c r="GTC130" s="72"/>
      <c r="GTD130" s="72"/>
      <c r="GTE130" s="72"/>
      <c r="GTF130" s="72"/>
      <c r="GTG130" s="72"/>
      <c r="GTH130" s="72"/>
      <c r="GTI130" s="72"/>
      <c r="GTJ130" s="72"/>
      <c r="GTK130" s="72"/>
      <c r="GTL130" s="72"/>
      <c r="GTM130" s="72"/>
      <c r="GTN130" s="72"/>
      <c r="GTO130" s="72"/>
      <c r="GTP130" s="72"/>
      <c r="GTQ130" s="72"/>
      <c r="GTR130" s="72"/>
      <c r="GTS130" s="72"/>
      <c r="GTT130" s="72"/>
      <c r="GTU130" s="72"/>
      <c r="GTV130" s="72"/>
      <c r="GTW130" s="72"/>
      <c r="GTX130" s="72"/>
      <c r="GTY130" s="72"/>
      <c r="GTZ130" s="72"/>
      <c r="GUA130" s="72"/>
      <c r="GUB130" s="72"/>
      <c r="GUC130" s="72"/>
      <c r="GUD130" s="72"/>
      <c r="GUE130" s="72"/>
      <c r="GUF130" s="72"/>
      <c r="GUG130" s="72"/>
      <c r="GUH130" s="72"/>
      <c r="GUI130" s="72"/>
      <c r="GUJ130" s="72"/>
      <c r="GUK130" s="72"/>
      <c r="GUL130" s="72"/>
      <c r="GUM130" s="72"/>
      <c r="GUN130" s="72"/>
      <c r="GUO130" s="72"/>
      <c r="GUP130" s="72"/>
      <c r="GUQ130" s="72"/>
      <c r="GUR130" s="72"/>
      <c r="GUS130" s="72"/>
      <c r="GUT130" s="72"/>
      <c r="GUU130" s="72"/>
      <c r="GUV130" s="72"/>
      <c r="GUW130" s="72"/>
      <c r="GUX130" s="72"/>
      <c r="GUY130" s="72"/>
      <c r="GUZ130" s="72"/>
      <c r="GVA130" s="72"/>
      <c r="GVB130" s="72"/>
      <c r="GVC130" s="72"/>
      <c r="GVD130" s="72"/>
      <c r="GVE130" s="72"/>
      <c r="GVF130" s="72"/>
      <c r="GVG130" s="72"/>
      <c r="GVH130" s="72"/>
      <c r="GVI130" s="72"/>
      <c r="GVJ130" s="72"/>
      <c r="GVK130" s="72"/>
      <c r="GVL130" s="72"/>
      <c r="GVM130" s="72"/>
      <c r="GVN130" s="72"/>
      <c r="GVO130" s="72"/>
      <c r="GVP130" s="72"/>
      <c r="GVQ130" s="72"/>
      <c r="GVR130" s="72"/>
      <c r="GVS130" s="72"/>
      <c r="GVT130" s="72"/>
      <c r="GVU130" s="72"/>
      <c r="GVV130" s="72"/>
      <c r="GVW130" s="72"/>
      <c r="GVX130" s="72"/>
      <c r="GVY130" s="72"/>
      <c r="GVZ130" s="72"/>
      <c r="GWA130" s="72"/>
      <c r="GWB130" s="72"/>
      <c r="GWC130" s="72"/>
      <c r="GWD130" s="72"/>
      <c r="GWE130" s="72"/>
      <c r="GWF130" s="72"/>
      <c r="GWG130" s="72"/>
      <c r="GWH130" s="72"/>
      <c r="GWI130" s="72"/>
      <c r="GWJ130" s="72"/>
      <c r="GWK130" s="72"/>
      <c r="GWL130" s="72"/>
      <c r="GWM130" s="72"/>
      <c r="GWN130" s="72"/>
      <c r="GWO130" s="72"/>
      <c r="GWP130" s="72"/>
      <c r="GWQ130" s="72"/>
      <c r="GWR130" s="72"/>
      <c r="GWS130" s="72"/>
      <c r="GWT130" s="72"/>
      <c r="GWU130" s="72"/>
      <c r="GWV130" s="72"/>
      <c r="GWW130" s="72"/>
      <c r="GWX130" s="72"/>
      <c r="GWY130" s="72"/>
      <c r="GWZ130" s="72"/>
      <c r="GXA130" s="72"/>
      <c r="GXB130" s="72"/>
      <c r="GXC130" s="72"/>
      <c r="GXD130" s="72"/>
      <c r="GXE130" s="72"/>
      <c r="GXF130" s="72"/>
      <c r="GXG130" s="72"/>
      <c r="GXH130" s="72"/>
      <c r="GXI130" s="72"/>
      <c r="GXJ130" s="72"/>
      <c r="GXK130" s="72"/>
      <c r="GXL130" s="72"/>
      <c r="GXM130" s="72"/>
      <c r="GXN130" s="72"/>
      <c r="GXO130" s="72"/>
      <c r="GXP130" s="72"/>
      <c r="GXQ130" s="72"/>
      <c r="GXR130" s="72"/>
      <c r="GXS130" s="72"/>
      <c r="GXT130" s="72"/>
      <c r="GXU130" s="72"/>
      <c r="GXV130" s="72"/>
      <c r="GXW130" s="72"/>
      <c r="GXX130" s="72"/>
      <c r="GXY130" s="72"/>
      <c r="GXZ130" s="72"/>
      <c r="GYA130" s="72"/>
      <c r="GYB130" s="72"/>
      <c r="GYC130" s="72"/>
      <c r="GYD130" s="72"/>
      <c r="GYE130" s="72"/>
      <c r="GYF130" s="72"/>
      <c r="GYG130" s="72"/>
      <c r="GYH130" s="72"/>
      <c r="GYI130" s="72"/>
      <c r="GYJ130" s="72"/>
      <c r="GYK130" s="72"/>
      <c r="GYL130" s="72"/>
      <c r="GYM130" s="72"/>
      <c r="GYN130" s="72"/>
      <c r="GYO130" s="72"/>
      <c r="GYP130" s="72"/>
      <c r="GYQ130" s="72"/>
      <c r="GYR130" s="72"/>
      <c r="GYS130" s="72"/>
      <c r="GYT130" s="72"/>
      <c r="GYU130" s="72"/>
      <c r="GYV130" s="72"/>
      <c r="GYW130" s="72"/>
      <c r="GYX130" s="72"/>
      <c r="GYY130" s="72"/>
      <c r="GYZ130" s="72"/>
      <c r="GZA130" s="72"/>
      <c r="GZB130" s="72"/>
      <c r="GZC130" s="72"/>
      <c r="GZD130" s="72"/>
      <c r="GZE130" s="72"/>
      <c r="GZF130" s="72"/>
      <c r="GZG130" s="72"/>
      <c r="GZH130" s="72"/>
      <c r="GZI130" s="72"/>
      <c r="GZJ130" s="72"/>
      <c r="GZK130" s="72"/>
      <c r="GZL130" s="72"/>
      <c r="GZM130" s="72"/>
      <c r="GZN130" s="72"/>
      <c r="GZO130" s="72"/>
      <c r="GZP130" s="72"/>
      <c r="GZQ130" s="72"/>
      <c r="GZR130" s="72"/>
      <c r="GZS130" s="72"/>
      <c r="GZT130" s="72"/>
      <c r="GZU130" s="72"/>
      <c r="GZV130" s="72"/>
      <c r="GZW130" s="72"/>
      <c r="GZX130" s="72"/>
      <c r="GZY130" s="72"/>
      <c r="GZZ130" s="72"/>
      <c r="HAA130" s="72"/>
      <c r="HAB130" s="72"/>
      <c r="HAC130" s="72"/>
      <c r="HAD130" s="72"/>
      <c r="HAE130" s="72"/>
      <c r="HAF130" s="72"/>
      <c r="HAG130" s="72"/>
      <c r="HAH130" s="72"/>
      <c r="HAI130" s="72"/>
      <c r="HAJ130" s="72"/>
      <c r="HAK130" s="72"/>
      <c r="HAL130" s="72"/>
      <c r="HAM130" s="72"/>
      <c r="HAN130" s="72"/>
      <c r="HAO130" s="72"/>
      <c r="HAP130" s="72"/>
      <c r="HAQ130" s="72"/>
      <c r="HAR130" s="72"/>
      <c r="HAS130" s="72"/>
      <c r="HAT130" s="72"/>
      <c r="HAU130" s="72"/>
      <c r="HAV130" s="72"/>
      <c r="HAW130" s="72"/>
      <c r="HAX130" s="72"/>
      <c r="HAY130" s="72"/>
      <c r="HAZ130" s="72"/>
      <c r="HBA130" s="72"/>
      <c r="HBB130" s="72"/>
      <c r="HBC130" s="72"/>
      <c r="HBD130" s="72"/>
      <c r="HBE130" s="72"/>
      <c r="HBF130" s="72"/>
      <c r="HBG130" s="72"/>
      <c r="HBH130" s="72"/>
      <c r="HBI130" s="72"/>
      <c r="HBJ130" s="72"/>
      <c r="HBK130" s="72"/>
      <c r="HBL130" s="72"/>
      <c r="HBM130" s="72"/>
      <c r="HBN130" s="72"/>
      <c r="HBO130" s="72"/>
      <c r="HBP130" s="72"/>
      <c r="HBQ130" s="72"/>
      <c r="HBR130" s="72"/>
      <c r="HBS130" s="72"/>
      <c r="HBT130" s="72"/>
      <c r="HBU130" s="72"/>
      <c r="HBV130" s="72"/>
      <c r="HBW130" s="72"/>
      <c r="HBX130" s="72"/>
      <c r="HBY130" s="72"/>
      <c r="HBZ130" s="72"/>
      <c r="HCA130" s="72"/>
      <c r="HCB130" s="72"/>
      <c r="HCC130" s="72"/>
      <c r="HCD130" s="72"/>
      <c r="HCE130" s="72"/>
      <c r="HCF130" s="72"/>
      <c r="HCG130" s="72"/>
      <c r="HCH130" s="72"/>
      <c r="HCI130" s="72"/>
      <c r="HCJ130" s="72"/>
      <c r="HCK130" s="72"/>
      <c r="HCL130" s="72"/>
      <c r="HCM130" s="72"/>
      <c r="HCN130" s="72"/>
      <c r="HCO130" s="72"/>
      <c r="HCP130" s="72"/>
      <c r="HCQ130" s="72"/>
      <c r="HCR130" s="72"/>
      <c r="HCS130" s="72"/>
      <c r="HCT130" s="72"/>
      <c r="HCU130" s="72"/>
      <c r="HCV130" s="72"/>
      <c r="HCW130" s="72"/>
      <c r="HCX130" s="72"/>
      <c r="HCY130" s="72"/>
      <c r="HCZ130" s="72"/>
      <c r="HDA130" s="72"/>
      <c r="HDB130" s="72"/>
      <c r="HDC130" s="72"/>
      <c r="HDD130" s="72"/>
      <c r="HDE130" s="72"/>
      <c r="HDF130" s="72"/>
      <c r="HDG130" s="72"/>
      <c r="HDH130" s="72"/>
      <c r="HDI130" s="72"/>
      <c r="HDJ130" s="72"/>
      <c r="HDK130" s="72"/>
      <c r="HDL130" s="72"/>
      <c r="HDM130" s="72"/>
      <c r="HDN130" s="72"/>
      <c r="HDO130" s="72"/>
      <c r="HDP130" s="72"/>
      <c r="HDQ130" s="72"/>
      <c r="HDR130" s="72"/>
      <c r="HDS130" s="72"/>
      <c r="HDT130" s="72"/>
      <c r="HDU130" s="72"/>
      <c r="HDV130" s="72"/>
      <c r="HDW130" s="72"/>
      <c r="HDX130" s="72"/>
      <c r="HDY130" s="72"/>
      <c r="HDZ130" s="72"/>
      <c r="HEA130" s="72"/>
      <c r="HEB130" s="72"/>
      <c r="HEC130" s="72"/>
      <c r="HED130" s="72"/>
      <c r="HEE130" s="72"/>
      <c r="HEF130" s="72"/>
      <c r="HEG130" s="72"/>
      <c r="HEH130" s="72"/>
      <c r="HEI130" s="72"/>
      <c r="HEJ130" s="72"/>
      <c r="HEK130" s="72"/>
      <c r="HEL130" s="72"/>
      <c r="HEM130" s="72"/>
      <c r="HEN130" s="72"/>
      <c r="HEO130" s="72"/>
      <c r="HEP130" s="72"/>
      <c r="HEQ130" s="72"/>
      <c r="HER130" s="72"/>
      <c r="HES130" s="72"/>
      <c r="HET130" s="72"/>
      <c r="HEU130" s="72"/>
      <c r="HEV130" s="72"/>
      <c r="HEW130" s="72"/>
      <c r="HEX130" s="72"/>
      <c r="HEY130" s="72"/>
      <c r="HEZ130" s="72"/>
      <c r="HFA130" s="72"/>
      <c r="HFB130" s="72"/>
      <c r="HFC130" s="72"/>
      <c r="HFD130" s="72"/>
      <c r="HFE130" s="72"/>
      <c r="HFF130" s="72"/>
      <c r="HFG130" s="72"/>
      <c r="HFH130" s="72"/>
      <c r="HFI130" s="72"/>
      <c r="HFJ130" s="72"/>
      <c r="HFK130" s="72"/>
      <c r="HFL130" s="72"/>
      <c r="HFM130" s="72"/>
      <c r="HFN130" s="72"/>
      <c r="HFO130" s="72"/>
      <c r="HFP130" s="72"/>
      <c r="HFQ130" s="72"/>
      <c r="HFR130" s="72"/>
      <c r="HFS130" s="72"/>
      <c r="HFT130" s="72"/>
      <c r="HFU130" s="72"/>
      <c r="HFV130" s="72"/>
      <c r="HFW130" s="72"/>
      <c r="HFX130" s="72"/>
      <c r="HFY130" s="72"/>
      <c r="HFZ130" s="72"/>
      <c r="HGA130" s="72"/>
      <c r="HGB130" s="72"/>
      <c r="HGC130" s="72"/>
      <c r="HGD130" s="72"/>
      <c r="HGE130" s="72"/>
      <c r="HGF130" s="72"/>
      <c r="HGG130" s="72"/>
      <c r="HGH130" s="72"/>
      <c r="HGI130" s="72"/>
      <c r="HGJ130" s="72"/>
      <c r="HGK130" s="72"/>
      <c r="HGL130" s="72"/>
      <c r="HGM130" s="72"/>
      <c r="HGN130" s="72"/>
      <c r="HGO130" s="72"/>
      <c r="HGP130" s="72"/>
      <c r="HGQ130" s="72"/>
      <c r="HGR130" s="72"/>
      <c r="HGS130" s="72"/>
      <c r="HGT130" s="72"/>
      <c r="HGU130" s="72"/>
      <c r="HGV130" s="72"/>
      <c r="HGW130" s="72"/>
      <c r="HGX130" s="72"/>
      <c r="HGY130" s="72"/>
      <c r="HGZ130" s="72"/>
      <c r="HHA130" s="72"/>
      <c r="HHB130" s="72"/>
      <c r="HHC130" s="72"/>
      <c r="HHD130" s="72"/>
      <c r="HHE130" s="72"/>
      <c r="HHF130" s="72"/>
      <c r="HHG130" s="72"/>
      <c r="HHH130" s="72"/>
      <c r="HHI130" s="72"/>
      <c r="HHJ130" s="72"/>
      <c r="HHK130" s="72"/>
      <c r="HHL130" s="72"/>
      <c r="HHM130" s="72"/>
      <c r="HHN130" s="72"/>
      <c r="HHO130" s="72"/>
      <c r="HHP130" s="72"/>
      <c r="HHQ130" s="72"/>
      <c r="HHR130" s="72"/>
      <c r="HHS130" s="72"/>
      <c r="HHT130" s="72"/>
      <c r="HHU130" s="72"/>
      <c r="HHV130" s="72"/>
      <c r="HHW130" s="72"/>
      <c r="HHX130" s="72"/>
      <c r="HHY130" s="72"/>
      <c r="HHZ130" s="72"/>
      <c r="HIA130" s="72"/>
      <c r="HIB130" s="72"/>
      <c r="HIC130" s="72"/>
      <c r="HID130" s="72"/>
      <c r="HIE130" s="72"/>
      <c r="HIF130" s="72"/>
      <c r="HIG130" s="72"/>
      <c r="HIH130" s="72"/>
      <c r="HII130" s="72"/>
      <c r="HIJ130" s="72"/>
      <c r="HIK130" s="72"/>
      <c r="HIL130" s="72"/>
      <c r="HIM130" s="72"/>
      <c r="HIN130" s="72"/>
      <c r="HIO130" s="72"/>
      <c r="HIP130" s="72"/>
      <c r="HIQ130" s="72"/>
      <c r="HIR130" s="72"/>
      <c r="HIS130" s="72"/>
      <c r="HIT130" s="72"/>
      <c r="HIU130" s="72"/>
      <c r="HIV130" s="72"/>
      <c r="HIW130" s="72"/>
      <c r="HIX130" s="72"/>
      <c r="HIY130" s="72"/>
      <c r="HIZ130" s="72"/>
      <c r="HJA130" s="72"/>
      <c r="HJB130" s="72"/>
      <c r="HJC130" s="72"/>
      <c r="HJD130" s="72"/>
      <c r="HJE130" s="72"/>
      <c r="HJF130" s="72"/>
      <c r="HJG130" s="72"/>
      <c r="HJH130" s="72"/>
      <c r="HJI130" s="72"/>
      <c r="HJJ130" s="72"/>
      <c r="HJK130" s="72"/>
      <c r="HJL130" s="72"/>
      <c r="HJM130" s="72"/>
      <c r="HJN130" s="72"/>
      <c r="HJO130" s="72"/>
      <c r="HJP130" s="72"/>
      <c r="HJQ130" s="72"/>
      <c r="HJR130" s="72"/>
      <c r="HJS130" s="72"/>
      <c r="HJT130" s="72"/>
      <c r="HJU130" s="72"/>
      <c r="HJV130" s="72"/>
      <c r="HJW130" s="72"/>
      <c r="HJX130" s="72"/>
      <c r="HJY130" s="72"/>
      <c r="HJZ130" s="72"/>
      <c r="HKA130" s="72"/>
      <c r="HKB130" s="72"/>
      <c r="HKC130" s="72"/>
      <c r="HKD130" s="72"/>
      <c r="HKE130" s="72"/>
      <c r="HKF130" s="72"/>
      <c r="HKG130" s="72"/>
      <c r="HKH130" s="72"/>
      <c r="HKI130" s="72"/>
      <c r="HKJ130" s="72"/>
      <c r="HKK130" s="72"/>
      <c r="HKL130" s="72"/>
      <c r="HKM130" s="72"/>
      <c r="HKN130" s="72"/>
      <c r="HKO130" s="72"/>
      <c r="HKP130" s="72"/>
      <c r="HKQ130" s="72"/>
      <c r="HKR130" s="72"/>
      <c r="HKS130" s="72"/>
      <c r="HKT130" s="72"/>
      <c r="HKU130" s="72"/>
      <c r="HKV130" s="72"/>
      <c r="HKW130" s="72"/>
      <c r="HKX130" s="72"/>
      <c r="HKY130" s="72"/>
      <c r="HKZ130" s="72"/>
      <c r="HLA130" s="72"/>
      <c r="HLB130" s="72"/>
      <c r="HLC130" s="72"/>
      <c r="HLD130" s="72"/>
      <c r="HLE130" s="72"/>
      <c r="HLF130" s="72"/>
      <c r="HLG130" s="72"/>
      <c r="HLH130" s="72"/>
      <c r="HLI130" s="72"/>
      <c r="HLJ130" s="72"/>
      <c r="HLK130" s="72"/>
      <c r="HLL130" s="72"/>
      <c r="HLM130" s="72"/>
      <c r="HLN130" s="72"/>
      <c r="HLO130" s="72"/>
      <c r="HLP130" s="72"/>
      <c r="HLQ130" s="72"/>
      <c r="HLR130" s="72"/>
      <c r="HLS130" s="72"/>
      <c r="HLT130" s="72"/>
      <c r="HLU130" s="72"/>
      <c r="HLV130" s="72"/>
      <c r="HLW130" s="72"/>
      <c r="HLX130" s="72"/>
      <c r="HLY130" s="72"/>
      <c r="HLZ130" s="72"/>
      <c r="HMA130" s="72"/>
      <c r="HMB130" s="72"/>
      <c r="HMC130" s="72"/>
      <c r="HMD130" s="72"/>
      <c r="HME130" s="72"/>
      <c r="HMF130" s="72"/>
      <c r="HMG130" s="72"/>
      <c r="HMH130" s="72"/>
      <c r="HMI130" s="72"/>
      <c r="HMJ130" s="72"/>
      <c r="HMK130" s="72"/>
      <c r="HML130" s="72"/>
      <c r="HMM130" s="72"/>
      <c r="HMN130" s="72"/>
      <c r="HMO130" s="72"/>
      <c r="HMP130" s="72"/>
      <c r="HMQ130" s="72"/>
      <c r="HMR130" s="72"/>
      <c r="HMS130" s="72"/>
      <c r="HMT130" s="72"/>
      <c r="HMU130" s="72"/>
      <c r="HMV130" s="72"/>
      <c r="HMW130" s="72"/>
      <c r="HMX130" s="72"/>
      <c r="HMY130" s="72"/>
      <c r="HMZ130" s="72"/>
      <c r="HNA130" s="72"/>
      <c r="HNB130" s="72"/>
      <c r="HNC130" s="72"/>
      <c r="HND130" s="72"/>
      <c r="HNE130" s="72"/>
      <c r="HNF130" s="72"/>
      <c r="HNG130" s="72"/>
      <c r="HNH130" s="72"/>
      <c r="HNI130" s="72"/>
      <c r="HNJ130" s="72"/>
      <c r="HNK130" s="72"/>
      <c r="HNL130" s="72"/>
      <c r="HNM130" s="72"/>
      <c r="HNN130" s="72"/>
      <c r="HNO130" s="72"/>
      <c r="HNP130" s="72"/>
      <c r="HNQ130" s="72"/>
      <c r="HNR130" s="72"/>
      <c r="HNS130" s="72"/>
      <c r="HNT130" s="72"/>
      <c r="HNU130" s="72"/>
      <c r="HNV130" s="72"/>
      <c r="HNW130" s="72"/>
      <c r="HNX130" s="72"/>
      <c r="HNY130" s="72"/>
      <c r="HNZ130" s="72"/>
      <c r="HOA130" s="72"/>
      <c r="HOB130" s="72"/>
      <c r="HOC130" s="72"/>
      <c r="HOD130" s="72"/>
      <c r="HOE130" s="72"/>
      <c r="HOF130" s="72"/>
      <c r="HOG130" s="72"/>
      <c r="HOH130" s="72"/>
      <c r="HOI130" s="72"/>
      <c r="HOJ130" s="72"/>
      <c r="HOK130" s="72"/>
      <c r="HOL130" s="72"/>
      <c r="HOM130" s="72"/>
      <c r="HON130" s="72"/>
      <c r="HOO130" s="72"/>
      <c r="HOP130" s="72"/>
      <c r="HOQ130" s="72"/>
      <c r="HOR130" s="72"/>
      <c r="HOS130" s="72"/>
      <c r="HOT130" s="72"/>
      <c r="HOU130" s="72"/>
      <c r="HOV130" s="72"/>
      <c r="HOW130" s="72"/>
      <c r="HOX130" s="72"/>
      <c r="HOY130" s="72"/>
      <c r="HOZ130" s="72"/>
      <c r="HPA130" s="72"/>
      <c r="HPB130" s="72"/>
      <c r="HPC130" s="72"/>
      <c r="HPD130" s="72"/>
      <c r="HPE130" s="72"/>
      <c r="HPF130" s="72"/>
      <c r="HPG130" s="72"/>
      <c r="HPH130" s="72"/>
      <c r="HPI130" s="72"/>
      <c r="HPJ130" s="72"/>
      <c r="HPK130" s="72"/>
      <c r="HPL130" s="72"/>
      <c r="HPM130" s="72"/>
      <c r="HPN130" s="72"/>
      <c r="HPO130" s="72"/>
      <c r="HPP130" s="72"/>
      <c r="HPQ130" s="72"/>
      <c r="HPR130" s="72"/>
      <c r="HPS130" s="72"/>
      <c r="HPT130" s="72"/>
      <c r="HPU130" s="72"/>
      <c r="HPV130" s="72"/>
      <c r="HPW130" s="72"/>
      <c r="HPX130" s="72"/>
      <c r="HPY130" s="72"/>
      <c r="HPZ130" s="72"/>
      <c r="HQA130" s="72"/>
      <c r="HQB130" s="72"/>
      <c r="HQC130" s="72"/>
      <c r="HQD130" s="72"/>
      <c r="HQE130" s="72"/>
      <c r="HQF130" s="72"/>
      <c r="HQG130" s="72"/>
      <c r="HQH130" s="72"/>
      <c r="HQI130" s="72"/>
      <c r="HQJ130" s="72"/>
      <c r="HQK130" s="72"/>
      <c r="HQL130" s="72"/>
      <c r="HQM130" s="72"/>
      <c r="HQN130" s="72"/>
      <c r="HQO130" s="72"/>
      <c r="HQP130" s="72"/>
      <c r="HQQ130" s="72"/>
      <c r="HQR130" s="72"/>
      <c r="HQS130" s="72"/>
      <c r="HQT130" s="72"/>
      <c r="HQU130" s="72"/>
      <c r="HQV130" s="72"/>
      <c r="HQW130" s="72"/>
      <c r="HQX130" s="72"/>
      <c r="HQY130" s="72"/>
      <c r="HQZ130" s="72"/>
      <c r="HRA130" s="72"/>
      <c r="HRB130" s="72"/>
      <c r="HRC130" s="72"/>
      <c r="HRD130" s="72"/>
      <c r="HRE130" s="72"/>
      <c r="HRF130" s="72"/>
      <c r="HRG130" s="72"/>
      <c r="HRH130" s="72"/>
      <c r="HRI130" s="72"/>
      <c r="HRJ130" s="72"/>
      <c r="HRK130" s="72"/>
      <c r="HRL130" s="72"/>
      <c r="HRM130" s="72"/>
      <c r="HRN130" s="72"/>
      <c r="HRO130" s="72"/>
      <c r="HRP130" s="72"/>
      <c r="HRQ130" s="72"/>
      <c r="HRR130" s="72"/>
      <c r="HRS130" s="72"/>
      <c r="HRT130" s="72"/>
      <c r="HRU130" s="72"/>
      <c r="HRV130" s="72"/>
      <c r="HRW130" s="72"/>
      <c r="HRX130" s="72"/>
      <c r="HRY130" s="72"/>
      <c r="HRZ130" s="72"/>
      <c r="HSA130" s="72"/>
      <c r="HSB130" s="72"/>
      <c r="HSC130" s="72"/>
      <c r="HSD130" s="72"/>
      <c r="HSE130" s="72"/>
      <c r="HSF130" s="72"/>
      <c r="HSG130" s="72"/>
      <c r="HSH130" s="72"/>
      <c r="HSI130" s="72"/>
      <c r="HSJ130" s="72"/>
      <c r="HSK130" s="72"/>
      <c r="HSL130" s="72"/>
      <c r="HSM130" s="72"/>
      <c r="HSN130" s="72"/>
      <c r="HSO130" s="72"/>
      <c r="HSP130" s="72"/>
      <c r="HSQ130" s="72"/>
      <c r="HSR130" s="72"/>
      <c r="HSS130" s="72"/>
      <c r="HST130" s="72"/>
      <c r="HSU130" s="72"/>
      <c r="HSV130" s="72"/>
      <c r="HSW130" s="72"/>
      <c r="HSX130" s="72"/>
      <c r="HSY130" s="72"/>
      <c r="HSZ130" s="72"/>
      <c r="HTA130" s="72"/>
      <c r="HTB130" s="72"/>
      <c r="HTC130" s="72"/>
      <c r="HTD130" s="72"/>
      <c r="HTE130" s="72"/>
      <c r="HTF130" s="72"/>
      <c r="HTG130" s="72"/>
      <c r="HTH130" s="72"/>
      <c r="HTI130" s="72"/>
      <c r="HTJ130" s="72"/>
      <c r="HTK130" s="72"/>
      <c r="HTL130" s="72"/>
      <c r="HTM130" s="72"/>
      <c r="HTN130" s="72"/>
      <c r="HTO130" s="72"/>
      <c r="HTP130" s="72"/>
      <c r="HTQ130" s="72"/>
      <c r="HTR130" s="72"/>
      <c r="HTS130" s="72"/>
      <c r="HTT130" s="72"/>
      <c r="HTU130" s="72"/>
      <c r="HTV130" s="72"/>
      <c r="HTW130" s="72"/>
      <c r="HTX130" s="72"/>
      <c r="HTY130" s="72"/>
      <c r="HTZ130" s="72"/>
      <c r="HUA130" s="72"/>
      <c r="HUB130" s="72"/>
      <c r="HUC130" s="72"/>
      <c r="HUD130" s="72"/>
      <c r="HUE130" s="72"/>
      <c r="HUF130" s="72"/>
      <c r="HUG130" s="72"/>
      <c r="HUH130" s="72"/>
      <c r="HUI130" s="72"/>
      <c r="HUJ130" s="72"/>
      <c r="HUK130" s="72"/>
      <c r="HUL130" s="72"/>
      <c r="HUM130" s="72"/>
      <c r="HUN130" s="72"/>
      <c r="HUO130" s="72"/>
      <c r="HUP130" s="72"/>
      <c r="HUQ130" s="72"/>
      <c r="HUR130" s="72"/>
      <c r="HUS130" s="72"/>
      <c r="HUT130" s="72"/>
      <c r="HUU130" s="72"/>
      <c r="HUV130" s="72"/>
      <c r="HUW130" s="72"/>
      <c r="HUX130" s="72"/>
      <c r="HUY130" s="72"/>
      <c r="HUZ130" s="72"/>
      <c r="HVA130" s="72"/>
      <c r="HVB130" s="72"/>
      <c r="HVC130" s="72"/>
      <c r="HVD130" s="72"/>
      <c r="HVE130" s="72"/>
      <c r="HVF130" s="72"/>
      <c r="HVG130" s="72"/>
      <c r="HVH130" s="72"/>
      <c r="HVI130" s="72"/>
      <c r="HVJ130" s="72"/>
      <c r="HVK130" s="72"/>
      <c r="HVL130" s="72"/>
      <c r="HVM130" s="72"/>
      <c r="HVN130" s="72"/>
      <c r="HVO130" s="72"/>
      <c r="HVP130" s="72"/>
      <c r="HVQ130" s="72"/>
      <c r="HVR130" s="72"/>
      <c r="HVS130" s="72"/>
      <c r="HVT130" s="72"/>
      <c r="HVU130" s="72"/>
      <c r="HVV130" s="72"/>
      <c r="HVW130" s="72"/>
      <c r="HVX130" s="72"/>
      <c r="HVY130" s="72"/>
      <c r="HVZ130" s="72"/>
      <c r="HWA130" s="72"/>
      <c r="HWB130" s="72"/>
      <c r="HWC130" s="72"/>
      <c r="HWD130" s="72"/>
      <c r="HWE130" s="72"/>
      <c r="HWF130" s="72"/>
      <c r="HWG130" s="72"/>
      <c r="HWH130" s="72"/>
      <c r="HWI130" s="72"/>
      <c r="HWJ130" s="72"/>
      <c r="HWK130" s="72"/>
      <c r="HWL130" s="72"/>
      <c r="HWM130" s="72"/>
      <c r="HWN130" s="72"/>
      <c r="HWO130" s="72"/>
      <c r="HWP130" s="72"/>
      <c r="HWQ130" s="72"/>
      <c r="HWR130" s="72"/>
      <c r="HWS130" s="72"/>
      <c r="HWT130" s="72"/>
      <c r="HWU130" s="72"/>
      <c r="HWV130" s="72"/>
      <c r="HWW130" s="72"/>
      <c r="HWX130" s="72"/>
      <c r="HWY130" s="72"/>
      <c r="HWZ130" s="72"/>
      <c r="HXA130" s="72"/>
      <c r="HXB130" s="72"/>
      <c r="HXC130" s="72"/>
      <c r="HXD130" s="72"/>
      <c r="HXE130" s="72"/>
      <c r="HXF130" s="72"/>
      <c r="HXG130" s="72"/>
      <c r="HXH130" s="72"/>
      <c r="HXI130" s="72"/>
      <c r="HXJ130" s="72"/>
      <c r="HXK130" s="72"/>
      <c r="HXL130" s="72"/>
      <c r="HXM130" s="72"/>
      <c r="HXN130" s="72"/>
      <c r="HXO130" s="72"/>
      <c r="HXP130" s="72"/>
      <c r="HXQ130" s="72"/>
      <c r="HXR130" s="72"/>
      <c r="HXS130" s="72"/>
      <c r="HXT130" s="72"/>
      <c r="HXU130" s="72"/>
      <c r="HXV130" s="72"/>
      <c r="HXW130" s="72"/>
      <c r="HXX130" s="72"/>
      <c r="HXY130" s="72"/>
      <c r="HXZ130" s="72"/>
      <c r="HYA130" s="72"/>
      <c r="HYB130" s="72"/>
      <c r="HYC130" s="72"/>
      <c r="HYD130" s="72"/>
      <c r="HYE130" s="72"/>
      <c r="HYF130" s="72"/>
      <c r="HYG130" s="72"/>
      <c r="HYH130" s="72"/>
      <c r="HYI130" s="72"/>
      <c r="HYJ130" s="72"/>
      <c r="HYK130" s="72"/>
      <c r="HYL130" s="72"/>
      <c r="HYM130" s="72"/>
      <c r="HYN130" s="72"/>
      <c r="HYO130" s="72"/>
      <c r="HYP130" s="72"/>
      <c r="HYQ130" s="72"/>
      <c r="HYR130" s="72"/>
      <c r="HYS130" s="72"/>
      <c r="HYT130" s="72"/>
      <c r="HYU130" s="72"/>
      <c r="HYV130" s="72"/>
      <c r="HYW130" s="72"/>
      <c r="HYX130" s="72"/>
      <c r="HYY130" s="72"/>
      <c r="HYZ130" s="72"/>
      <c r="HZA130" s="72"/>
      <c r="HZB130" s="72"/>
      <c r="HZC130" s="72"/>
      <c r="HZD130" s="72"/>
      <c r="HZE130" s="72"/>
      <c r="HZF130" s="72"/>
      <c r="HZG130" s="72"/>
      <c r="HZH130" s="72"/>
      <c r="HZI130" s="72"/>
      <c r="HZJ130" s="72"/>
      <c r="HZK130" s="72"/>
      <c r="HZL130" s="72"/>
      <c r="HZM130" s="72"/>
      <c r="HZN130" s="72"/>
      <c r="HZO130" s="72"/>
      <c r="HZP130" s="72"/>
      <c r="HZQ130" s="72"/>
      <c r="HZR130" s="72"/>
      <c r="HZS130" s="72"/>
      <c r="HZT130" s="72"/>
      <c r="HZU130" s="72"/>
      <c r="HZV130" s="72"/>
      <c r="HZW130" s="72"/>
      <c r="HZX130" s="72"/>
      <c r="HZY130" s="72"/>
      <c r="HZZ130" s="72"/>
      <c r="IAA130" s="72"/>
      <c r="IAB130" s="72"/>
      <c r="IAC130" s="72"/>
      <c r="IAD130" s="72"/>
      <c r="IAE130" s="72"/>
      <c r="IAF130" s="72"/>
      <c r="IAG130" s="72"/>
      <c r="IAH130" s="72"/>
      <c r="IAI130" s="72"/>
      <c r="IAJ130" s="72"/>
      <c r="IAK130" s="72"/>
      <c r="IAL130" s="72"/>
      <c r="IAM130" s="72"/>
      <c r="IAN130" s="72"/>
      <c r="IAO130" s="72"/>
      <c r="IAP130" s="72"/>
      <c r="IAQ130" s="72"/>
      <c r="IAR130" s="72"/>
      <c r="IAS130" s="72"/>
      <c r="IAT130" s="72"/>
      <c r="IAU130" s="72"/>
      <c r="IAV130" s="72"/>
      <c r="IAW130" s="72"/>
      <c r="IAX130" s="72"/>
      <c r="IAY130" s="72"/>
      <c r="IAZ130" s="72"/>
      <c r="IBA130" s="72"/>
      <c r="IBB130" s="72"/>
      <c r="IBC130" s="72"/>
      <c r="IBD130" s="72"/>
      <c r="IBE130" s="72"/>
      <c r="IBF130" s="72"/>
      <c r="IBG130" s="72"/>
      <c r="IBH130" s="72"/>
      <c r="IBI130" s="72"/>
      <c r="IBJ130" s="72"/>
      <c r="IBK130" s="72"/>
      <c r="IBL130" s="72"/>
      <c r="IBM130" s="72"/>
      <c r="IBN130" s="72"/>
      <c r="IBO130" s="72"/>
      <c r="IBP130" s="72"/>
      <c r="IBQ130" s="72"/>
      <c r="IBR130" s="72"/>
      <c r="IBS130" s="72"/>
      <c r="IBT130" s="72"/>
      <c r="IBU130" s="72"/>
      <c r="IBV130" s="72"/>
      <c r="IBW130" s="72"/>
      <c r="IBX130" s="72"/>
      <c r="IBY130" s="72"/>
      <c r="IBZ130" s="72"/>
      <c r="ICA130" s="72"/>
      <c r="ICB130" s="72"/>
      <c r="ICC130" s="72"/>
      <c r="ICD130" s="72"/>
      <c r="ICE130" s="72"/>
      <c r="ICF130" s="72"/>
      <c r="ICG130" s="72"/>
      <c r="ICH130" s="72"/>
      <c r="ICI130" s="72"/>
      <c r="ICJ130" s="72"/>
      <c r="ICK130" s="72"/>
      <c r="ICL130" s="72"/>
      <c r="ICM130" s="72"/>
      <c r="ICN130" s="72"/>
      <c r="ICO130" s="72"/>
      <c r="ICP130" s="72"/>
      <c r="ICQ130" s="72"/>
      <c r="ICR130" s="72"/>
      <c r="ICS130" s="72"/>
      <c r="ICT130" s="72"/>
      <c r="ICU130" s="72"/>
      <c r="ICV130" s="72"/>
      <c r="ICW130" s="72"/>
      <c r="ICX130" s="72"/>
      <c r="ICY130" s="72"/>
      <c r="ICZ130" s="72"/>
      <c r="IDA130" s="72"/>
      <c r="IDB130" s="72"/>
      <c r="IDC130" s="72"/>
      <c r="IDD130" s="72"/>
      <c r="IDE130" s="72"/>
      <c r="IDF130" s="72"/>
      <c r="IDG130" s="72"/>
      <c r="IDH130" s="72"/>
      <c r="IDI130" s="72"/>
      <c r="IDJ130" s="72"/>
      <c r="IDK130" s="72"/>
      <c r="IDL130" s="72"/>
      <c r="IDM130" s="72"/>
      <c r="IDN130" s="72"/>
      <c r="IDO130" s="72"/>
      <c r="IDP130" s="72"/>
      <c r="IDQ130" s="72"/>
      <c r="IDR130" s="72"/>
      <c r="IDS130" s="72"/>
      <c r="IDT130" s="72"/>
      <c r="IDU130" s="72"/>
      <c r="IDV130" s="72"/>
      <c r="IDW130" s="72"/>
      <c r="IDX130" s="72"/>
      <c r="IDY130" s="72"/>
      <c r="IDZ130" s="72"/>
      <c r="IEA130" s="72"/>
      <c r="IEB130" s="72"/>
      <c r="IEC130" s="72"/>
      <c r="IED130" s="72"/>
      <c r="IEE130" s="72"/>
      <c r="IEF130" s="72"/>
      <c r="IEG130" s="72"/>
      <c r="IEH130" s="72"/>
      <c r="IEI130" s="72"/>
      <c r="IEJ130" s="72"/>
      <c r="IEK130" s="72"/>
      <c r="IEL130" s="72"/>
      <c r="IEM130" s="72"/>
      <c r="IEN130" s="72"/>
      <c r="IEO130" s="72"/>
      <c r="IEP130" s="72"/>
      <c r="IEQ130" s="72"/>
      <c r="IER130" s="72"/>
      <c r="IES130" s="72"/>
      <c r="IET130" s="72"/>
      <c r="IEU130" s="72"/>
      <c r="IEV130" s="72"/>
      <c r="IEW130" s="72"/>
      <c r="IEX130" s="72"/>
      <c r="IEY130" s="72"/>
      <c r="IEZ130" s="72"/>
      <c r="IFA130" s="72"/>
      <c r="IFB130" s="72"/>
      <c r="IFC130" s="72"/>
      <c r="IFD130" s="72"/>
      <c r="IFE130" s="72"/>
      <c r="IFF130" s="72"/>
      <c r="IFG130" s="72"/>
      <c r="IFH130" s="72"/>
      <c r="IFI130" s="72"/>
      <c r="IFJ130" s="72"/>
      <c r="IFK130" s="72"/>
      <c r="IFL130" s="72"/>
      <c r="IFM130" s="72"/>
      <c r="IFN130" s="72"/>
      <c r="IFO130" s="72"/>
      <c r="IFP130" s="72"/>
      <c r="IFQ130" s="72"/>
      <c r="IFR130" s="72"/>
      <c r="IFS130" s="72"/>
      <c r="IFT130" s="72"/>
      <c r="IFU130" s="72"/>
      <c r="IFV130" s="72"/>
      <c r="IFW130" s="72"/>
      <c r="IFX130" s="72"/>
      <c r="IFY130" s="72"/>
      <c r="IFZ130" s="72"/>
      <c r="IGA130" s="72"/>
      <c r="IGB130" s="72"/>
      <c r="IGC130" s="72"/>
      <c r="IGD130" s="72"/>
      <c r="IGE130" s="72"/>
      <c r="IGF130" s="72"/>
      <c r="IGG130" s="72"/>
      <c r="IGH130" s="72"/>
      <c r="IGI130" s="72"/>
      <c r="IGJ130" s="72"/>
      <c r="IGK130" s="72"/>
      <c r="IGL130" s="72"/>
      <c r="IGM130" s="72"/>
      <c r="IGN130" s="72"/>
      <c r="IGO130" s="72"/>
      <c r="IGP130" s="72"/>
      <c r="IGQ130" s="72"/>
      <c r="IGR130" s="72"/>
      <c r="IGS130" s="72"/>
      <c r="IGT130" s="72"/>
      <c r="IGU130" s="72"/>
      <c r="IGV130" s="72"/>
      <c r="IGW130" s="72"/>
      <c r="IGX130" s="72"/>
      <c r="IGY130" s="72"/>
      <c r="IGZ130" s="72"/>
      <c r="IHA130" s="72"/>
      <c r="IHB130" s="72"/>
      <c r="IHC130" s="72"/>
      <c r="IHD130" s="72"/>
      <c r="IHE130" s="72"/>
      <c r="IHF130" s="72"/>
      <c r="IHG130" s="72"/>
      <c r="IHH130" s="72"/>
      <c r="IHI130" s="72"/>
      <c r="IHJ130" s="72"/>
      <c r="IHK130" s="72"/>
      <c r="IHL130" s="72"/>
      <c r="IHM130" s="72"/>
      <c r="IHN130" s="72"/>
      <c r="IHO130" s="72"/>
      <c r="IHP130" s="72"/>
      <c r="IHQ130" s="72"/>
      <c r="IHR130" s="72"/>
      <c r="IHS130" s="72"/>
      <c r="IHT130" s="72"/>
      <c r="IHU130" s="72"/>
      <c r="IHV130" s="72"/>
      <c r="IHW130" s="72"/>
      <c r="IHX130" s="72"/>
      <c r="IHY130" s="72"/>
      <c r="IHZ130" s="72"/>
      <c r="IIA130" s="72"/>
      <c r="IIB130" s="72"/>
      <c r="IIC130" s="72"/>
      <c r="IID130" s="72"/>
      <c r="IIE130" s="72"/>
      <c r="IIF130" s="72"/>
      <c r="IIG130" s="72"/>
      <c r="IIH130" s="72"/>
      <c r="III130" s="72"/>
      <c r="IIJ130" s="72"/>
      <c r="IIK130" s="72"/>
      <c r="IIL130" s="72"/>
      <c r="IIM130" s="72"/>
      <c r="IIN130" s="72"/>
      <c r="IIO130" s="72"/>
      <c r="IIP130" s="72"/>
      <c r="IIQ130" s="72"/>
      <c r="IIR130" s="72"/>
      <c r="IIS130" s="72"/>
      <c r="IIT130" s="72"/>
      <c r="IIU130" s="72"/>
      <c r="IIV130" s="72"/>
      <c r="IIW130" s="72"/>
      <c r="IIX130" s="72"/>
      <c r="IIY130" s="72"/>
      <c r="IIZ130" s="72"/>
      <c r="IJA130" s="72"/>
      <c r="IJB130" s="72"/>
      <c r="IJC130" s="72"/>
      <c r="IJD130" s="72"/>
      <c r="IJE130" s="72"/>
      <c r="IJF130" s="72"/>
      <c r="IJG130" s="72"/>
      <c r="IJH130" s="72"/>
      <c r="IJI130" s="72"/>
      <c r="IJJ130" s="72"/>
      <c r="IJK130" s="72"/>
      <c r="IJL130" s="72"/>
      <c r="IJM130" s="72"/>
      <c r="IJN130" s="72"/>
      <c r="IJO130" s="72"/>
      <c r="IJP130" s="72"/>
      <c r="IJQ130" s="72"/>
      <c r="IJR130" s="72"/>
      <c r="IJS130" s="72"/>
      <c r="IJT130" s="72"/>
      <c r="IJU130" s="72"/>
      <c r="IJV130" s="72"/>
      <c r="IJW130" s="72"/>
      <c r="IJX130" s="72"/>
      <c r="IJY130" s="72"/>
      <c r="IJZ130" s="72"/>
      <c r="IKA130" s="72"/>
      <c r="IKB130" s="72"/>
      <c r="IKC130" s="72"/>
      <c r="IKD130" s="72"/>
      <c r="IKE130" s="72"/>
      <c r="IKF130" s="72"/>
      <c r="IKG130" s="72"/>
      <c r="IKH130" s="72"/>
      <c r="IKI130" s="72"/>
      <c r="IKJ130" s="72"/>
      <c r="IKK130" s="72"/>
      <c r="IKL130" s="72"/>
      <c r="IKM130" s="72"/>
      <c r="IKN130" s="72"/>
      <c r="IKO130" s="72"/>
      <c r="IKP130" s="72"/>
      <c r="IKQ130" s="72"/>
      <c r="IKR130" s="72"/>
      <c r="IKS130" s="72"/>
      <c r="IKT130" s="72"/>
      <c r="IKU130" s="72"/>
      <c r="IKV130" s="72"/>
      <c r="IKW130" s="72"/>
      <c r="IKX130" s="72"/>
      <c r="IKY130" s="72"/>
      <c r="IKZ130" s="72"/>
      <c r="ILA130" s="72"/>
      <c r="ILB130" s="72"/>
      <c r="ILC130" s="72"/>
      <c r="ILD130" s="72"/>
      <c r="ILE130" s="72"/>
      <c r="ILF130" s="72"/>
      <c r="ILG130" s="72"/>
      <c r="ILH130" s="72"/>
      <c r="ILI130" s="72"/>
      <c r="ILJ130" s="72"/>
      <c r="ILK130" s="72"/>
      <c r="ILL130" s="72"/>
      <c r="ILM130" s="72"/>
      <c r="ILN130" s="72"/>
      <c r="ILO130" s="72"/>
      <c r="ILP130" s="72"/>
      <c r="ILQ130" s="72"/>
      <c r="ILR130" s="72"/>
      <c r="ILS130" s="72"/>
      <c r="ILT130" s="72"/>
      <c r="ILU130" s="72"/>
      <c r="ILV130" s="72"/>
      <c r="ILW130" s="72"/>
      <c r="ILX130" s="72"/>
      <c r="ILY130" s="72"/>
      <c r="ILZ130" s="72"/>
      <c r="IMA130" s="72"/>
      <c r="IMB130" s="72"/>
      <c r="IMC130" s="72"/>
      <c r="IMD130" s="72"/>
      <c r="IME130" s="72"/>
      <c r="IMF130" s="72"/>
      <c r="IMG130" s="72"/>
      <c r="IMH130" s="72"/>
      <c r="IMI130" s="72"/>
      <c r="IMJ130" s="72"/>
      <c r="IMK130" s="72"/>
      <c r="IML130" s="72"/>
      <c r="IMM130" s="72"/>
      <c r="IMN130" s="72"/>
      <c r="IMO130" s="72"/>
      <c r="IMP130" s="72"/>
      <c r="IMQ130" s="72"/>
      <c r="IMR130" s="72"/>
      <c r="IMS130" s="72"/>
      <c r="IMT130" s="72"/>
      <c r="IMU130" s="72"/>
      <c r="IMV130" s="72"/>
      <c r="IMW130" s="72"/>
      <c r="IMX130" s="72"/>
      <c r="IMY130" s="72"/>
      <c r="IMZ130" s="72"/>
      <c r="INA130" s="72"/>
      <c r="INB130" s="72"/>
      <c r="INC130" s="72"/>
      <c r="IND130" s="72"/>
      <c r="INE130" s="72"/>
      <c r="INF130" s="72"/>
      <c r="ING130" s="72"/>
      <c r="INH130" s="72"/>
      <c r="INI130" s="72"/>
      <c r="INJ130" s="72"/>
      <c r="INK130" s="72"/>
      <c r="INL130" s="72"/>
      <c r="INM130" s="72"/>
      <c r="INN130" s="72"/>
      <c r="INO130" s="72"/>
      <c r="INP130" s="72"/>
      <c r="INQ130" s="72"/>
      <c r="INR130" s="72"/>
      <c r="INS130" s="72"/>
      <c r="INT130" s="72"/>
      <c r="INU130" s="72"/>
      <c r="INV130" s="72"/>
      <c r="INW130" s="72"/>
      <c r="INX130" s="72"/>
      <c r="INY130" s="72"/>
      <c r="INZ130" s="72"/>
      <c r="IOA130" s="72"/>
      <c r="IOB130" s="72"/>
      <c r="IOC130" s="72"/>
      <c r="IOD130" s="72"/>
      <c r="IOE130" s="72"/>
      <c r="IOF130" s="72"/>
      <c r="IOG130" s="72"/>
      <c r="IOH130" s="72"/>
      <c r="IOI130" s="72"/>
      <c r="IOJ130" s="72"/>
      <c r="IOK130" s="72"/>
      <c r="IOL130" s="72"/>
      <c r="IOM130" s="72"/>
      <c r="ION130" s="72"/>
      <c r="IOO130" s="72"/>
      <c r="IOP130" s="72"/>
      <c r="IOQ130" s="72"/>
      <c r="IOR130" s="72"/>
      <c r="IOS130" s="72"/>
      <c r="IOT130" s="72"/>
      <c r="IOU130" s="72"/>
      <c r="IOV130" s="72"/>
      <c r="IOW130" s="72"/>
      <c r="IOX130" s="72"/>
      <c r="IOY130" s="72"/>
      <c r="IOZ130" s="72"/>
      <c r="IPA130" s="72"/>
      <c r="IPB130" s="72"/>
      <c r="IPC130" s="72"/>
      <c r="IPD130" s="72"/>
      <c r="IPE130" s="72"/>
      <c r="IPF130" s="72"/>
      <c r="IPG130" s="72"/>
      <c r="IPH130" s="72"/>
      <c r="IPI130" s="72"/>
      <c r="IPJ130" s="72"/>
      <c r="IPK130" s="72"/>
      <c r="IPL130" s="72"/>
      <c r="IPM130" s="72"/>
      <c r="IPN130" s="72"/>
      <c r="IPO130" s="72"/>
      <c r="IPP130" s="72"/>
      <c r="IPQ130" s="72"/>
      <c r="IPR130" s="72"/>
      <c r="IPS130" s="72"/>
      <c r="IPT130" s="72"/>
      <c r="IPU130" s="72"/>
      <c r="IPV130" s="72"/>
      <c r="IPW130" s="72"/>
      <c r="IPX130" s="72"/>
      <c r="IPY130" s="72"/>
      <c r="IPZ130" s="72"/>
      <c r="IQA130" s="72"/>
      <c r="IQB130" s="72"/>
      <c r="IQC130" s="72"/>
      <c r="IQD130" s="72"/>
      <c r="IQE130" s="72"/>
      <c r="IQF130" s="72"/>
      <c r="IQG130" s="72"/>
      <c r="IQH130" s="72"/>
      <c r="IQI130" s="72"/>
      <c r="IQJ130" s="72"/>
      <c r="IQK130" s="72"/>
      <c r="IQL130" s="72"/>
      <c r="IQM130" s="72"/>
      <c r="IQN130" s="72"/>
      <c r="IQO130" s="72"/>
      <c r="IQP130" s="72"/>
      <c r="IQQ130" s="72"/>
      <c r="IQR130" s="72"/>
      <c r="IQS130" s="72"/>
      <c r="IQT130" s="72"/>
      <c r="IQU130" s="72"/>
      <c r="IQV130" s="72"/>
      <c r="IQW130" s="72"/>
      <c r="IQX130" s="72"/>
      <c r="IQY130" s="72"/>
      <c r="IQZ130" s="72"/>
      <c r="IRA130" s="72"/>
      <c r="IRB130" s="72"/>
      <c r="IRC130" s="72"/>
      <c r="IRD130" s="72"/>
      <c r="IRE130" s="72"/>
      <c r="IRF130" s="72"/>
      <c r="IRG130" s="72"/>
      <c r="IRH130" s="72"/>
      <c r="IRI130" s="72"/>
      <c r="IRJ130" s="72"/>
      <c r="IRK130" s="72"/>
      <c r="IRL130" s="72"/>
      <c r="IRM130" s="72"/>
      <c r="IRN130" s="72"/>
      <c r="IRO130" s="72"/>
      <c r="IRP130" s="72"/>
      <c r="IRQ130" s="72"/>
      <c r="IRR130" s="72"/>
      <c r="IRS130" s="72"/>
      <c r="IRT130" s="72"/>
      <c r="IRU130" s="72"/>
      <c r="IRV130" s="72"/>
      <c r="IRW130" s="72"/>
      <c r="IRX130" s="72"/>
      <c r="IRY130" s="72"/>
      <c r="IRZ130" s="72"/>
      <c r="ISA130" s="72"/>
      <c r="ISB130" s="72"/>
      <c r="ISC130" s="72"/>
      <c r="ISD130" s="72"/>
      <c r="ISE130" s="72"/>
      <c r="ISF130" s="72"/>
      <c r="ISG130" s="72"/>
      <c r="ISH130" s="72"/>
      <c r="ISI130" s="72"/>
      <c r="ISJ130" s="72"/>
      <c r="ISK130" s="72"/>
      <c r="ISL130" s="72"/>
      <c r="ISM130" s="72"/>
      <c r="ISN130" s="72"/>
      <c r="ISO130" s="72"/>
      <c r="ISP130" s="72"/>
      <c r="ISQ130" s="72"/>
      <c r="ISR130" s="72"/>
      <c r="ISS130" s="72"/>
      <c r="IST130" s="72"/>
      <c r="ISU130" s="72"/>
      <c r="ISV130" s="72"/>
      <c r="ISW130" s="72"/>
      <c r="ISX130" s="72"/>
      <c r="ISY130" s="72"/>
      <c r="ISZ130" s="72"/>
      <c r="ITA130" s="72"/>
      <c r="ITB130" s="72"/>
      <c r="ITC130" s="72"/>
      <c r="ITD130" s="72"/>
      <c r="ITE130" s="72"/>
      <c r="ITF130" s="72"/>
      <c r="ITG130" s="72"/>
      <c r="ITH130" s="72"/>
      <c r="ITI130" s="72"/>
      <c r="ITJ130" s="72"/>
      <c r="ITK130" s="72"/>
      <c r="ITL130" s="72"/>
      <c r="ITM130" s="72"/>
      <c r="ITN130" s="72"/>
      <c r="ITO130" s="72"/>
      <c r="ITP130" s="72"/>
      <c r="ITQ130" s="72"/>
      <c r="ITR130" s="72"/>
      <c r="ITS130" s="72"/>
      <c r="ITT130" s="72"/>
      <c r="ITU130" s="72"/>
      <c r="ITV130" s="72"/>
      <c r="ITW130" s="72"/>
      <c r="ITX130" s="72"/>
      <c r="ITY130" s="72"/>
      <c r="ITZ130" s="72"/>
      <c r="IUA130" s="72"/>
      <c r="IUB130" s="72"/>
      <c r="IUC130" s="72"/>
      <c r="IUD130" s="72"/>
      <c r="IUE130" s="72"/>
      <c r="IUF130" s="72"/>
      <c r="IUG130" s="72"/>
      <c r="IUH130" s="72"/>
      <c r="IUI130" s="72"/>
      <c r="IUJ130" s="72"/>
      <c r="IUK130" s="72"/>
      <c r="IUL130" s="72"/>
      <c r="IUM130" s="72"/>
      <c r="IUN130" s="72"/>
      <c r="IUO130" s="72"/>
      <c r="IUP130" s="72"/>
      <c r="IUQ130" s="72"/>
      <c r="IUR130" s="72"/>
      <c r="IUS130" s="72"/>
      <c r="IUT130" s="72"/>
      <c r="IUU130" s="72"/>
      <c r="IUV130" s="72"/>
      <c r="IUW130" s="72"/>
      <c r="IUX130" s="72"/>
      <c r="IUY130" s="72"/>
      <c r="IUZ130" s="72"/>
      <c r="IVA130" s="72"/>
      <c r="IVB130" s="72"/>
      <c r="IVC130" s="72"/>
      <c r="IVD130" s="72"/>
      <c r="IVE130" s="72"/>
      <c r="IVF130" s="72"/>
      <c r="IVG130" s="72"/>
      <c r="IVH130" s="72"/>
      <c r="IVI130" s="72"/>
      <c r="IVJ130" s="72"/>
      <c r="IVK130" s="72"/>
      <c r="IVL130" s="72"/>
      <c r="IVM130" s="72"/>
      <c r="IVN130" s="72"/>
      <c r="IVO130" s="72"/>
      <c r="IVP130" s="72"/>
      <c r="IVQ130" s="72"/>
      <c r="IVR130" s="72"/>
      <c r="IVS130" s="72"/>
      <c r="IVT130" s="72"/>
      <c r="IVU130" s="72"/>
      <c r="IVV130" s="72"/>
      <c r="IVW130" s="72"/>
      <c r="IVX130" s="72"/>
      <c r="IVY130" s="72"/>
      <c r="IVZ130" s="72"/>
      <c r="IWA130" s="72"/>
      <c r="IWB130" s="72"/>
      <c r="IWC130" s="72"/>
      <c r="IWD130" s="72"/>
      <c r="IWE130" s="72"/>
      <c r="IWF130" s="72"/>
      <c r="IWG130" s="72"/>
      <c r="IWH130" s="72"/>
      <c r="IWI130" s="72"/>
      <c r="IWJ130" s="72"/>
      <c r="IWK130" s="72"/>
      <c r="IWL130" s="72"/>
      <c r="IWM130" s="72"/>
      <c r="IWN130" s="72"/>
      <c r="IWO130" s="72"/>
      <c r="IWP130" s="72"/>
      <c r="IWQ130" s="72"/>
      <c r="IWR130" s="72"/>
      <c r="IWS130" s="72"/>
      <c r="IWT130" s="72"/>
      <c r="IWU130" s="72"/>
      <c r="IWV130" s="72"/>
      <c r="IWW130" s="72"/>
      <c r="IWX130" s="72"/>
      <c r="IWY130" s="72"/>
      <c r="IWZ130" s="72"/>
      <c r="IXA130" s="72"/>
      <c r="IXB130" s="72"/>
      <c r="IXC130" s="72"/>
      <c r="IXD130" s="72"/>
      <c r="IXE130" s="72"/>
      <c r="IXF130" s="72"/>
      <c r="IXG130" s="72"/>
      <c r="IXH130" s="72"/>
      <c r="IXI130" s="72"/>
      <c r="IXJ130" s="72"/>
      <c r="IXK130" s="72"/>
      <c r="IXL130" s="72"/>
      <c r="IXM130" s="72"/>
      <c r="IXN130" s="72"/>
      <c r="IXO130" s="72"/>
      <c r="IXP130" s="72"/>
      <c r="IXQ130" s="72"/>
      <c r="IXR130" s="72"/>
      <c r="IXS130" s="72"/>
      <c r="IXT130" s="72"/>
      <c r="IXU130" s="72"/>
      <c r="IXV130" s="72"/>
      <c r="IXW130" s="72"/>
      <c r="IXX130" s="72"/>
      <c r="IXY130" s="72"/>
      <c r="IXZ130" s="72"/>
      <c r="IYA130" s="72"/>
      <c r="IYB130" s="72"/>
      <c r="IYC130" s="72"/>
      <c r="IYD130" s="72"/>
      <c r="IYE130" s="72"/>
      <c r="IYF130" s="72"/>
      <c r="IYG130" s="72"/>
      <c r="IYH130" s="72"/>
      <c r="IYI130" s="72"/>
      <c r="IYJ130" s="72"/>
      <c r="IYK130" s="72"/>
      <c r="IYL130" s="72"/>
      <c r="IYM130" s="72"/>
      <c r="IYN130" s="72"/>
      <c r="IYO130" s="72"/>
      <c r="IYP130" s="72"/>
      <c r="IYQ130" s="72"/>
      <c r="IYR130" s="72"/>
      <c r="IYS130" s="72"/>
      <c r="IYT130" s="72"/>
      <c r="IYU130" s="72"/>
      <c r="IYV130" s="72"/>
      <c r="IYW130" s="72"/>
      <c r="IYX130" s="72"/>
      <c r="IYY130" s="72"/>
      <c r="IYZ130" s="72"/>
      <c r="IZA130" s="72"/>
      <c r="IZB130" s="72"/>
      <c r="IZC130" s="72"/>
      <c r="IZD130" s="72"/>
      <c r="IZE130" s="72"/>
      <c r="IZF130" s="72"/>
      <c r="IZG130" s="72"/>
      <c r="IZH130" s="72"/>
      <c r="IZI130" s="72"/>
      <c r="IZJ130" s="72"/>
      <c r="IZK130" s="72"/>
      <c r="IZL130" s="72"/>
      <c r="IZM130" s="72"/>
      <c r="IZN130" s="72"/>
      <c r="IZO130" s="72"/>
      <c r="IZP130" s="72"/>
      <c r="IZQ130" s="72"/>
      <c r="IZR130" s="72"/>
      <c r="IZS130" s="72"/>
      <c r="IZT130" s="72"/>
      <c r="IZU130" s="72"/>
      <c r="IZV130" s="72"/>
      <c r="IZW130" s="72"/>
      <c r="IZX130" s="72"/>
      <c r="IZY130" s="72"/>
      <c r="IZZ130" s="72"/>
      <c r="JAA130" s="72"/>
      <c r="JAB130" s="72"/>
      <c r="JAC130" s="72"/>
      <c r="JAD130" s="72"/>
      <c r="JAE130" s="72"/>
      <c r="JAF130" s="72"/>
      <c r="JAG130" s="72"/>
      <c r="JAH130" s="72"/>
      <c r="JAI130" s="72"/>
      <c r="JAJ130" s="72"/>
      <c r="JAK130" s="72"/>
      <c r="JAL130" s="72"/>
      <c r="JAM130" s="72"/>
      <c r="JAN130" s="72"/>
      <c r="JAO130" s="72"/>
      <c r="JAP130" s="72"/>
      <c r="JAQ130" s="72"/>
      <c r="JAR130" s="72"/>
      <c r="JAS130" s="72"/>
      <c r="JAT130" s="72"/>
      <c r="JAU130" s="72"/>
      <c r="JAV130" s="72"/>
      <c r="JAW130" s="72"/>
      <c r="JAX130" s="72"/>
      <c r="JAY130" s="72"/>
      <c r="JAZ130" s="72"/>
      <c r="JBA130" s="72"/>
      <c r="JBB130" s="72"/>
      <c r="JBC130" s="72"/>
      <c r="JBD130" s="72"/>
      <c r="JBE130" s="72"/>
      <c r="JBF130" s="72"/>
      <c r="JBG130" s="72"/>
      <c r="JBH130" s="72"/>
      <c r="JBI130" s="72"/>
      <c r="JBJ130" s="72"/>
      <c r="JBK130" s="72"/>
      <c r="JBL130" s="72"/>
      <c r="JBM130" s="72"/>
      <c r="JBN130" s="72"/>
      <c r="JBO130" s="72"/>
      <c r="JBP130" s="72"/>
      <c r="JBQ130" s="72"/>
      <c r="JBR130" s="72"/>
      <c r="JBS130" s="72"/>
      <c r="JBT130" s="72"/>
      <c r="JBU130" s="72"/>
      <c r="JBV130" s="72"/>
      <c r="JBW130" s="72"/>
      <c r="JBX130" s="72"/>
      <c r="JBY130" s="72"/>
      <c r="JBZ130" s="72"/>
      <c r="JCA130" s="72"/>
      <c r="JCB130" s="72"/>
      <c r="JCC130" s="72"/>
      <c r="JCD130" s="72"/>
      <c r="JCE130" s="72"/>
      <c r="JCF130" s="72"/>
      <c r="JCG130" s="72"/>
      <c r="JCH130" s="72"/>
      <c r="JCI130" s="72"/>
      <c r="JCJ130" s="72"/>
      <c r="JCK130" s="72"/>
      <c r="JCL130" s="72"/>
      <c r="JCM130" s="72"/>
      <c r="JCN130" s="72"/>
      <c r="JCO130" s="72"/>
      <c r="JCP130" s="72"/>
      <c r="JCQ130" s="72"/>
      <c r="JCR130" s="72"/>
      <c r="JCS130" s="72"/>
      <c r="JCT130" s="72"/>
      <c r="JCU130" s="72"/>
      <c r="JCV130" s="72"/>
      <c r="JCW130" s="72"/>
      <c r="JCX130" s="72"/>
      <c r="JCY130" s="72"/>
      <c r="JCZ130" s="72"/>
      <c r="JDA130" s="72"/>
      <c r="JDB130" s="72"/>
      <c r="JDC130" s="72"/>
      <c r="JDD130" s="72"/>
      <c r="JDE130" s="72"/>
      <c r="JDF130" s="72"/>
      <c r="JDG130" s="72"/>
      <c r="JDH130" s="72"/>
      <c r="JDI130" s="72"/>
      <c r="JDJ130" s="72"/>
      <c r="JDK130" s="72"/>
      <c r="JDL130" s="72"/>
      <c r="JDM130" s="72"/>
      <c r="JDN130" s="72"/>
      <c r="JDO130" s="72"/>
      <c r="JDP130" s="72"/>
      <c r="JDQ130" s="72"/>
      <c r="JDR130" s="72"/>
      <c r="JDS130" s="72"/>
      <c r="JDT130" s="72"/>
      <c r="JDU130" s="72"/>
      <c r="JDV130" s="72"/>
      <c r="JDW130" s="72"/>
      <c r="JDX130" s="72"/>
      <c r="JDY130" s="72"/>
      <c r="JDZ130" s="72"/>
      <c r="JEA130" s="72"/>
      <c r="JEB130" s="72"/>
      <c r="JEC130" s="72"/>
      <c r="JED130" s="72"/>
      <c r="JEE130" s="72"/>
      <c r="JEF130" s="72"/>
      <c r="JEG130" s="72"/>
      <c r="JEH130" s="72"/>
      <c r="JEI130" s="72"/>
      <c r="JEJ130" s="72"/>
      <c r="JEK130" s="72"/>
      <c r="JEL130" s="72"/>
      <c r="JEM130" s="72"/>
      <c r="JEN130" s="72"/>
      <c r="JEO130" s="72"/>
      <c r="JEP130" s="72"/>
      <c r="JEQ130" s="72"/>
      <c r="JER130" s="72"/>
      <c r="JES130" s="72"/>
      <c r="JET130" s="72"/>
      <c r="JEU130" s="72"/>
      <c r="JEV130" s="72"/>
      <c r="JEW130" s="72"/>
      <c r="JEX130" s="72"/>
      <c r="JEY130" s="72"/>
      <c r="JEZ130" s="72"/>
      <c r="JFA130" s="72"/>
      <c r="JFB130" s="72"/>
      <c r="JFC130" s="72"/>
      <c r="JFD130" s="72"/>
      <c r="JFE130" s="72"/>
      <c r="JFF130" s="72"/>
      <c r="JFG130" s="72"/>
      <c r="JFH130" s="72"/>
      <c r="JFI130" s="72"/>
      <c r="JFJ130" s="72"/>
      <c r="JFK130" s="72"/>
      <c r="JFL130" s="72"/>
      <c r="JFM130" s="72"/>
      <c r="JFN130" s="72"/>
      <c r="JFO130" s="72"/>
      <c r="JFP130" s="72"/>
      <c r="JFQ130" s="72"/>
      <c r="JFR130" s="72"/>
      <c r="JFS130" s="72"/>
      <c r="JFT130" s="72"/>
      <c r="JFU130" s="72"/>
      <c r="JFV130" s="72"/>
      <c r="JFW130" s="72"/>
      <c r="JFX130" s="72"/>
      <c r="JFY130" s="72"/>
      <c r="JFZ130" s="72"/>
      <c r="JGA130" s="72"/>
      <c r="JGB130" s="72"/>
      <c r="JGC130" s="72"/>
      <c r="JGD130" s="72"/>
      <c r="JGE130" s="72"/>
      <c r="JGF130" s="72"/>
      <c r="JGG130" s="72"/>
      <c r="JGH130" s="72"/>
      <c r="JGI130" s="72"/>
      <c r="JGJ130" s="72"/>
      <c r="JGK130" s="72"/>
      <c r="JGL130" s="72"/>
      <c r="JGM130" s="72"/>
      <c r="JGN130" s="72"/>
      <c r="JGO130" s="72"/>
      <c r="JGP130" s="72"/>
      <c r="JGQ130" s="72"/>
      <c r="JGR130" s="72"/>
      <c r="JGS130" s="72"/>
      <c r="JGT130" s="72"/>
      <c r="JGU130" s="72"/>
      <c r="JGV130" s="72"/>
      <c r="JGW130" s="72"/>
      <c r="JGX130" s="72"/>
      <c r="JGY130" s="72"/>
      <c r="JGZ130" s="72"/>
      <c r="JHA130" s="72"/>
      <c r="JHB130" s="72"/>
      <c r="JHC130" s="72"/>
      <c r="JHD130" s="72"/>
      <c r="JHE130" s="72"/>
      <c r="JHF130" s="72"/>
      <c r="JHG130" s="72"/>
      <c r="JHH130" s="72"/>
      <c r="JHI130" s="72"/>
      <c r="JHJ130" s="72"/>
      <c r="JHK130" s="72"/>
      <c r="JHL130" s="72"/>
      <c r="JHM130" s="72"/>
      <c r="JHN130" s="72"/>
      <c r="JHO130" s="72"/>
      <c r="JHP130" s="72"/>
      <c r="JHQ130" s="72"/>
      <c r="JHR130" s="72"/>
      <c r="JHS130" s="72"/>
      <c r="JHT130" s="72"/>
      <c r="JHU130" s="72"/>
      <c r="JHV130" s="72"/>
      <c r="JHW130" s="72"/>
      <c r="JHX130" s="72"/>
      <c r="JHY130" s="72"/>
      <c r="JHZ130" s="72"/>
      <c r="JIA130" s="72"/>
      <c r="JIB130" s="72"/>
      <c r="JIC130" s="72"/>
      <c r="JID130" s="72"/>
      <c r="JIE130" s="72"/>
      <c r="JIF130" s="72"/>
      <c r="JIG130" s="72"/>
      <c r="JIH130" s="72"/>
      <c r="JII130" s="72"/>
      <c r="JIJ130" s="72"/>
      <c r="JIK130" s="72"/>
      <c r="JIL130" s="72"/>
      <c r="JIM130" s="72"/>
      <c r="JIN130" s="72"/>
      <c r="JIO130" s="72"/>
      <c r="JIP130" s="72"/>
      <c r="JIQ130" s="72"/>
      <c r="JIR130" s="72"/>
      <c r="JIS130" s="72"/>
      <c r="JIT130" s="72"/>
      <c r="JIU130" s="72"/>
      <c r="JIV130" s="72"/>
      <c r="JIW130" s="72"/>
      <c r="JIX130" s="72"/>
      <c r="JIY130" s="72"/>
      <c r="JIZ130" s="72"/>
      <c r="JJA130" s="72"/>
      <c r="JJB130" s="72"/>
      <c r="JJC130" s="72"/>
      <c r="JJD130" s="72"/>
      <c r="JJE130" s="72"/>
      <c r="JJF130" s="72"/>
      <c r="JJG130" s="72"/>
      <c r="JJH130" s="72"/>
      <c r="JJI130" s="72"/>
      <c r="JJJ130" s="72"/>
      <c r="JJK130" s="72"/>
      <c r="JJL130" s="72"/>
      <c r="JJM130" s="72"/>
      <c r="JJN130" s="72"/>
      <c r="JJO130" s="72"/>
      <c r="JJP130" s="72"/>
      <c r="JJQ130" s="72"/>
      <c r="JJR130" s="72"/>
      <c r="JJS130" s="72"/>
      <c r="JJT130" s="72"/>
      <c r="JJU130" s="72"/>
      <c r="JJV130" s="72"/>
      <c r="JJW130" s="72"/>
      <c r="JJX130" s="72"/>
      <c r="JJY130" s="72"/>
      <c r="JJZ130" s="72"/>
      <c r="JKA130" s="72"/>
      <c r="JKB130" s="72"/>
      <c r="JKC130" s="72"/>
      <c r="JKD130" s="72"/>
      <c r="JKE130" s="72"/>
      <c r="JKF130" s="72"/>
      <c r="JKG130" s="72"/>
      <c r="JKH130" s="72"/>
      <c r="JKI130" s="72"/>
      <c r="JKJ130" s="72"/>
      <c r="JKK130" s="72"/>
      <c r="JKL130" s="72"/>
      <c r="JKM130" s="72"/>
      <c r="JKN130" s="72"/>
      <c r="JKO130" s="72"/>
      <c r="JKP130" s="72"/>
      <c r="JKQ130" s="72"/>
      <c r="JKR130" s="72"/>
      <c r="JKS130" s="72"/>
      <c r="JKT130" s="72"/>
      <c r="JKU130" s="72"/>
      <c r="JKV130" s="72"/>
      <c r="JKW130" s="72"/>
      <c r="JKX130" s="72"/>
      <c r="JKY130" s="72"/>
      <c r="JKZ130" s="72"/>
      <c r="JLA130" s="72"/>
      <c r="JLB130" s="72"/>
      <c r="JLC130" s="72"/>
      <c r="JLD130" s="72"/>
      <c r="JLE130" s="72"/>
      <c r="JLF130" s="72"/>
      <c r="JLG130" s="72"/>
      <c r="JLH130" s="72"/>
      <c r="JLI130" s="72"/>
      <c r="JLJ130" s="72"/>
      <c r="JLK130" s="72"/>
      <c r="JLL130" s="72"/>
      <c r="JLM130" s="72"/>
      <c r="JLN130" s="72"/>
      <c r="JLO130" s="72"/>
      <c r="JLP130" s="72"/>
      <c r="JLQ130" s="72"/>
      <c r="JLR130" s="72"/>
      <c r="JLS130" s="72"/>
      <c r="JLT130" s="72"/>
      <c r="JLU130" s="72"/>
      <c r="JLV130" s="72"/>
      <c r="JLW130" s="72"/>
      <c r="JLX130" s="72"/>
      <c r="JLY130" s="72"/>
      <c r="JLZ130" s="72"/>
      <c r="JMA130" s="72"/>
      <c r="JMB130" s="72"/>
      <c r="JMC130" s="72"/>
      <c r="JMD130" s="72"/>
      <c r="JME130" s="72"/>
      <c r="JMF130" s="72"/>
      <c r="JMG130" s="72"/>
      <c r="JMH130" s="72"/>
      <c r="JMI130" s="72"/>
      <c r="JMJ130" s="72"/>
      <c r="JMK130" s="72"/>
      <c r="JML130" s="72"/>
      <c r="JMM130" s="72"/>
      <c r="JMN130" s="72"/>
      <c r="JMO130" s="72"/>
      <c r="JMP130" s="72"/>
      <c r="JMQ130" s="72"/>
      <c r="JMR130" s="72"/>
      <c r="JMS130" s="72"/>
      <c r="JMT130" s="72"/>
      <c r="JMU130" s="72"/>
      <c r="JMV130" s="72"/>
      <c r="JMW130" s="72"/>
      <c r="JMX130" s="72"/>
      <c r="JMY130" s="72"/>
      <c r="JMZ130" s="72"/>
      <c r="JNA130" s="72"/>
      <c r="JNB130" s="72"/>
      <c r="JNC130" s="72"/>
      <c r="JND130" s="72"/>
      <c r="JNE130" s="72"/>
      <c r="JNF130" s="72"/>
      <c r="JNG130" s="72"/>
      <c r="JNH130" s="72"/>
      <c r="JNI130" s="72"/>
      <c r="JNJ130" s="72"/>
      <c r="JNK130" s="72"/>
      <c r="JNL130" s="72"/>
      <c r="JNM130" s="72"/>
      <c r="JNN130" s="72"/>
      <c r="JNO130" s="72"/>
      <c r="JNP130" s="72"/>
      <c r="JNQ130" s="72"/>
      <c r="JNR130" s="72"/>
      <c r="JNS130" s="72"/>
      <c r="JNT130" s="72"/>
      <c r="JNU130" s="72"/>
      <c r="JNV130" s="72"/>
      <c r="JNW130" s="72"/>
      <c r="JNX130" s="72"/>
      <c r="JNY130" s="72"/>
      <c r="JNZ130" s="72"/>
      <c r="JOA130" s="72"/>
      <c r="JOB130" s="72"/>
      <c r="JOC130" s="72"/>
      <c r="JOD130" s="72"/>
      <c r="JOE130" s="72"/>
      <c r="JOF130" s="72"/>
      <c r="JOG130" s="72"/>
      <c r="JOH130" s="72"/>
      <c r="JOI130" s="72"/>
      <c r="JOJ130" s="72"/>
      <c r="JOK130" s="72"/>
      <c r="JOL130" s="72"/>
      <c r="JOM130" s="72"/>
      <c r="JON130" s="72"/>
      <c r="JOO130" s="72"/>
      <c r="JOP130" s="72"/>
      <c r="JOQ130" s="72"/>
      <c r="JOR130" s="72"/>
      <c r="JOS130" s="72"/>
      <c r="JOT130" s="72"/>
      <c r="JOU130" s="72"/>
      <c r="JOV130" s="72"/>
      <c r="JOW130" s="72"/>
      <c r="JOX130" s="72"/>
      <c r="JOY130" s="72"/>
      <c r="JOZ130" s="72"/>
      <c r="JPA130" s="72"/>
      <c r="JPB130" s="72"/>
      <c r="JPC130" s="72"/>
      <c r="JPD130" s="72"/>
      <c r="JPE130" s="72"/>
      <c r="JPF130" s="72"/>
      <c r="JPG130" s="72"/>
      <c r="JPH130" s="72"/>
      <c r="JPI130" s="72"/>
      <c r="JPJ130" s="72"/>
      <c r="JPK130" s="72"/>
      <c r="JPL130" s="72"/>
      <c r="JPM130" s="72"/>
      <c r="JPN130" s="72"/>
      <c r="JPO130" s="72"/>
      <c r="JPP130" s="72"/>
      <c r="JPQ130" s="72"/>
      <c r="JPR130" s="72"/>
      <c r="JPS130" s="72"/>
      <c r="JPT130" s="72"/>
      <c r="JPU130" s="72"/>
      <c r="JPV130" s="72"/>
      <c r="JPW130" s="72"/>
      <c r="JPX130" s="72"/>
      <c r="JPY130" s="72"/>
      <c r="JPZ130" s="72"/>
      <c r="JQA130" s="72"/>
      <c r="JQB130" s="72"/>
      <c r="JQC130" s="72"/>
      <c r="JQD130" s="72"/>
      <c r="JQE130" s="72"/>
      <c r="JQF130" s="72"/>
      <c r="JQG130" s="72"/>
      <c r="JQH130" s="72"/>
      <c r="JQI130" s="72"/>
      <c r="JQJ130" s="72"/>
      <c r="JQK130" s="72"/>
      <c r="JQL130" s="72"/>
      <c r="JQM130" s="72"/>
      <c r="JQN130" s="72"/>
      <c r="JQO130" s="72"/>
      <c r="JQP130" s="72"/>
      <c r="JQQ130" s="72"/>
      <c r="JQR130" s="72"/>
      <c r="JQS130" s="72"/>
      <c r="JQT130" s="72"/>
      <c r="JQU130" s="72"/>
      <c r="JQV130" s="72"/>
      <c r="JQW130" s="72"/>
      <c r="JQX130" s="72"/>
      <c r="JQY130" s="72"/>
      <c r="JQZ130" s="72"/>
      <c r="JRA130" s="72"/>
      <c r="JRB130" s="72"/>
      <c r="JRC130" s="72"/>
      <c r="JRD130" s="72"/>
      <c r="JRE130" s="72"/>
      <c r="JRF130" s="72"/>
      <c r="JRG130" s="72"/>
      <c r="JRH130" s="72"/>
      <c r="JRI130" s="72"/>
      <c r="JRJ130" s="72"/>
      <c r="JRK130" s="72"/>
      <c r="JRL130" s="72"/>
      <c r="JRM130" s="72"/>
      <c r="JRN130" s="72"/>
      <c r="JRO130" s="72"/>
      <c r="JRP130" s="72"/>
      <c r="JRQ130" s="72"/>
      <c r="JRR130" s="72"/>
      <c r="JRS130" s="72"/>
      <c r="JRT130" s="72"/>
      <c r="JRU130" s="72"/>
      <c r="JRV130" s="72"/>
      <c r="JRW130" s="72"/>
      <c r="JRX130" s="72"/>
      <c r="JRY130" s="72"/>
      <c r="JRZ130" s="72"/>
      <c r="JSA130" s="72"/>
      <c r="JSB130" s="72"/>
      <c r="JSC130" s="72"/>
      <c r="JSD130" s="72"/>
      <c r="JSE130" s="72"/>
      <c r="JSF130" s="72"/>
      <c r="JSG130" s="72"/>
      <c r="JSH130" s="72"/>
      <c r="JSI130" s="72"/>
      <c r="JSJ130" s="72"/>
      <c r="JSK130" s="72"/>
      <c r="JSL130" s="72"/>
      <c r="JSM130" s="72"/>
      <c r="JSN130" s="72"/>
      <c r="JSO130" s="72"/>
      <c r="JSP130" s="72"/>
      <c r="JSQ130" s="72"/>
      <c r="JSR130" s="72"/>
      <c r="JSS130" s="72"/>
      <c r="JST130" s="72"/>
      <c r="JSU130" s="72"/>
      <c r="JSV130" s="72"/>
      <c r="JSW130" s="72"/>
      <c r="JSX130" s="72"/>
      <c r="JSY130" s="72"/>
      <c r="JSZ130" s="72"/>
      <c r="JTA130" s="72"/>
      <c r="JTB130" s="72"/>
      <c r="JTC130" s="72"/>
      <c r="JTD130" s="72"/>
      <c r="JTE130" s="72"/>
      <c r="JTF130" s="72"/>
      <c r="JTG130" s="72"/>
      <c r="JTH130" s="72"/>
      <c r="JTI130" s="72"/>
      <c r="JTJ130" s="72"/>
      <c r="JTK130" s="72"/>
      <c r="JTL130" s="72"/>
      <c r="JTM130" s="72"/>
      <c r="JTN130" s="72"/>
      <c r="JTO130" s="72"/>
      <c r="JTP130" s="72"/>
      <c r="JTQ130" s="72"/>
      <c r="JTR130" s="72"/>
      <c r="JTS130" s="72"/>
      <c r="JTT130" s="72"/>
      <c r="JTU130" s="72"/>
      <c r="JTV130" s="72"/>
      <c r="JTW130" s="72"/>
      <c r="JTX130" s="72"/>
      <c r="JTY130" s="72"/>
      <c r="JTZ130" s="72"/>
      <c r="JUA130" s="72"/>
      <c r="JUB130" s="72"/>
      <c r="JUC130" s="72"/>
      <c r="JUD130" s="72"/>
      <c r="JUE130" s="72"/>
      <c r="JUF130" s="72"/>
      <c r="JUG130" s="72"/>
      <c r="JUH130" s="72"/>
      <c r="JUI130" s="72"/>
      <c r="JUJ130" s="72"/>
      <c r="JUK130" s="72"/>
      <c r="JUL130" s="72"/>
      <c r="JUM130" s="72"/>
      <c r="JUN130" s="72"/>
      <c r="JUO130" s="72"/>
      <c r="JUP130" s="72"/>
      <c r="JUQ130" s="72"/>
      <c r="JUR130" s="72"/>
      <c r="JUS130" s="72"/>
      <c r="JUT130" s="72"/>
      <c r="JUU130" s="72"/>
      <c r="JUV130" s="72"/>
      <c r="JUW130" s="72"/>
      <c r="JUX130" s="72"/>
      <c r="JUY130" s="72"/>
      <c r="JUZ130" s="72"/>
      <c r="JVA130" s="72"/>
      <c r="JVB130" s="72"/>
      <c r="JVC130" s="72"/>
      <c r="JVD130" s="72"/>
      <c r="JVE130" s="72"/>
      <c r="JVF130" s="72"/>
      <c r="JVG130" s="72"/>
      <c r="JVH130" s="72"/>
      <c r="JVI130" s="72"/>
      <c r="JVJ130" s="72"/>
      <c r="JVK130" s="72"/>
      <c r="JVL130" s="72"/>
      <c r="JVM130" s="72"/>
      <c r="JVN130" s="72"/>
      <c r="JVO130" s="72"/>
      <c r="JVP130" s="72"/>
      <c r="JVQ130" s="72"/>
      <c r="JVR130" s="72"/>
      <c r="JVS130" s="72"/>
      <c r="JVT130" s="72"/>
      <c r="JVU130" s="72"/>
      <c r="JVV130" s="72"/>
      <c r="JVW130" s="72"/>
      <c r="JVX130" s="72"/>
      <c r="JVY130" s="72"/>
      <c r="JVZ130" s="72"/>
      <c r="JWA130" s="72"/>
      <c r="JWB130" s="72"/>
      <c r="JWC130" s="72"/>
      <c r="JWD130" s="72"/>
      <c r="JWE130" s="72"/>
      <c r="JWF130" s="72"/>
      <c r="JWG130" s="72"/>
      <c r="JWH130" s="72"/>
      <c r="JWI130" s="72"/>
      <c r="JWJ130" s="72"/>
      <c r="JWK130" s="72"/>
      <c r="JWL130" s="72"/>
      <c r="JWM130" s="72"/>
      <c r="JWN130" s="72"/>
      <c r="JWO130" s="72"/>
      <c r="JWP130" s="72"/>
      <c r="JWQ130" s="72"/>
      <c r="JWR130" s="72"/>
      <c r="JWS130" s="72"/>
      <c r="JWT130" s="72"/>
      <c r="JWU130" s="72"/>
      <c r="JWV130" s="72"/>
      <c r="JWW130" s="72"/>
      <c r="JWX130" s="72"/>
      <c r="JWY130" s="72"/>
      <c r="JWZ130" s="72"/>
      <c r="JXA130" s="72"/>
      <c r="JXB130" s="72"/>
      <c r="JXC130" s="72"/>
      <c r="JXD130" s="72"/>
      <c r="JXE130" s="72"/>
      <c r="JXF130" s="72"/>
      <c r="JXG130" s="72"/>
      <c r="JXH130" s="72"/>
      <c r="JXI130" s="72"/>
      <c r="JXJ130" s="72"/>
      <c r="JXK130" s="72"/>
      <c r="JXL130" s="72"/>
      <c r="JXM130" s="72"/>
      <c r="JXN130" s="72"/>
      <c r="JXO130" s="72"/>
      <c r="JXP130" s="72"/>
      <c r="JXQ130" s="72"/>
      <c r="JXR130" s="72"/>
      <c r="JXS130" s="72"/>
      <c r="JXT130" s="72"/>
      <c r="JXU130" s="72"/>
      <c r="JXV130" s="72"/>
      <c r="JXW130" s="72"/>
      <c r="JXX130" s="72"/>
      <c r="JXY130" s="72"/>
      <c r="JXZ130" s="72"/>
      <c r="JYA130" s="72"/>
      <c r="JYB130" s="72"/>
      <c r="JYC130" s="72"/>
      <c r="JYD130" s="72"/>
      <c r="JYE130" s="72"/>
      <c r="JYF130" s="72"/>
      <c r="JYG130" s="72"/>
      <c r="JYH130" s="72"/>
      <c r="JYI130" s="72"/>
      <c r="JYJ130" s="72"/>
      <c r="JYK130" s="72"/>
      <c r="JYL130" s="72"/>
      <c r="JYM130" s="72"/>
      <c r="JYN130" s="72"/>
      <c r="JYO130" s="72"/>
      <c r="JYP130" s="72"/>
      <c r="JYQ130" s="72"/>
      <c r="JYR130" s="72"/>
      <c r="JYS130" s="72"/>
      <c r="JYT130" s="72"/>
      <c r="JYU130" s="72"/>
      <c r="JYV130" s="72"/>
      <c r="JYW130" s="72"/>
      <c r="JYX130" s="72"/>
      <c r="JYY130" s="72"/>
      <c r="JYZ130" s="72"/>
      <c r="JZA130" s="72"/>
      <c r="JZB130" s="72"/>
      <c r="JZC130" s="72"/>
      <c r="JZD130" s="72"/>
      <c r="JZE130" s="72"/>
      <c r="JZF130" s="72"/>
      <c r="JZG130" s="72"/>
      <c r="JZH130" s="72"/>
      <c r="JZI130" s="72"/>
      <c r="JZJ130" s="72"/>
      <c r="JZK130" s="72"/>
      <c r="JZL130" s="72"/>
      <c r="JZM130" s="72"/>
      <c r="JZN130" s="72"/>
      <c r="JZO130" s="72"/>
      <c r="JZP130" s="72"/>
      <c r="JZQ130" s="72"/>
      <c r="JZR130" s="72"/>
      <c r="JZS130" s="72"/>
      <c r="JZT130" s="72"/>
      <c r="JZU130" s="72"/>
      <c r="JZV130" s="72"/>
      <c r="JZW130" s="72"/>
      <c r="JZX130" s="72"/>
      <c r="JZY130" s="72"/>
      <c r="JZZ130" s="72"/>
      <c r="KAA130" s="72"/>
      <c r="KAB130" s="72"/>
      <c r="KAC130" s="72"/>
      <c r="KAD130" s="72"/>
      <c r="KAE130" s="72"/>
      <c r="KAF130" s="72"/>
      <c r="KAG130" s="72"/>
      <c r="KAH130" s="72"/>
      <c r="KAI130" s="72"/>
      <c r="KAJ130" s="72"/>
      <c r="KAK130" s="72"/>
      <c r="KAL130" s="72"/>
      <c r="KAM130" s="72"/>
      <c r="KAN130" s="72"/>
      <c r="KAO130" s="72"/>
      <c r="KAP130" s="72"/>
      <c r="KAQ130" s="72"/>
      <c r="KAR130" s="72"/>
      <c r="KAS130" s="72"/>
      <c r="KAT130" s="72"/>
      <c r="KAU130" s="72"/>
      <c r="KAV130" s="72"/>
      <c r="KAW130" s="72"/>
      <c r="KAX130" s="72"/>
      <c r="KAY130" s="72"/>
      <c r="KAZ130" s="72"/>
      <c r="KBA130" s="72"/>
      <c r="KBB130" s="72"/>
      <c r="KBC130" s="72"/>
      <c r="KBD130" s="72"/>
      <c r="KBE130" s="72"/>
      <c r="KBF130" s="72"/>
      <c r="KBG130" s="72"/>
      <c r="KBH130" s="72"/>
      <c r="KBI130" s="72"/>
      <c r="KBJ130" s="72"/>
      <c r="KBK130" s="72"/>
      <c r="KBL130" s="72"/>
      <c r="KBM130" s="72"/>
      <c r="KBN130" s="72"/>
      <c r="KBO130" s="72"/>
      <c r="KBP130" s="72"/>
      <c r="KBQ130" s="72"/>
      <c r="KBR130" s="72"/>
      <c r="KBS130" s="72"/>
      <c r="KBT130" s="72"/>
      <c r="KBU130" s="72"/>
      <c r="KBV130" s="72"/>
      <c r="KBW130" s="72"/>
      <c r="KBX130" s="72"/>
      <c r="KBY130" s="72"/>
      <c r="KBZ130" s="72"/>
      <c r="KCA130" s="72"/>
      <c r="KCB130" s="72"/>
      <c r="KCC130" s="72"/>
      <c r="KCD130" s="72"/>
      <c r="KCE130" s="72"/>
      <c r="KCF130" s="72"/>
      <c r="KCG130" s="72"/>
      <c r="KCH130" s="72"/>
      <c r="KCI130" s="72"/>
      <c r="KCJ130" s="72"/>
      <c r="KCK130" s="72"/>
      <c r="KCL130" s="72"/>
      <c r="KCM130" s="72"/>
      <c r="KCN130" s="72"/>
      <c r="KCO130" s="72"/>
      <c r="KCP130" s="72"/>
      <c r="KCQ130" s="72"/>
      <c r="KCR130" s="72"/>
      <c r="KCS130" s="72"/>
      <c r="KCT130" s="72"/>
      <c r="KCU130" s="72"/>
      <c r="KCV130" s="72"/>
      <c r="KCW130" s="72"/>
      <c r="KCX130" s="72"/>
      <c r="KCY130" s="72"/>
      <c r="KCZ130" s="72"/>
      <c r="KDA130" s="72"/>
      <c r="KDB130" s="72"/>
      <c r="KDC130" s="72"/>
      <c r="KDD130" s="72"/>
      <c r="KDE130" s="72"/>
      <c r="KDF130" s="72"/>
      <c r="KDG130" s="72"/>
      <c r="KDH130" s="72"/>
      <c r="KDI130" s="72"/>
      <c r="KDJ130" s="72"/>
      <c r="KDK130" s="72"/>
      <c r="KDL130" s="72"/>
      <c r="KDM130" s="72"/>
      <c r="KDN130" s="72"/>
      <c r="KDO130" s="72"/>
      <c r="KDP130" s="72"/>
      <c r="KDQ130" s="72"/>
      <c r="KDR130" s="72"/>
      <c r="KDS130" s="72"/>
      <c r="KDT130" s="72"/>
      <c r="KDU130" s="72"/>
      <c r="KDV130" s="72"/>
      <c r="KDW130" s="72"/>
      <c r="KDX130" s="72"/>
      <c r="KDY130" s="72"/>
      <c r="KDZ130" s="72"/>
      <c r="KEA130" s="72"/>
      <c r="KEB130" s="72"/>
      <c r="KEC130" s="72"/>
      <c r="KED130" s="72"/>
      <c r="KEE130" s="72"/>
      <c r="KEF130" s="72"/>
      <c r="KEG130" s="72"/>
      <c r="KEH130" s="72"/>
      <c r="KEI130" s="72"/>
      <c r="KEJ130" s="72"/>
      <c r="KEK130" s="72"/>
      <c r="KEL130" s="72"/>
      <c r="KEM130" s="72"/>
      <c r="KEN130" s="72"/>
      <c r="KEO130" s="72"/>
      <c r="KEP130" s="72"/>
      <c r="KEQ130" s="72"/>
      <c r="KER130" s="72"/>
      <c r="KES130" s="72"/>
      <c r="KET130" s="72"/>
      <c r="KEU130" s="72"/>
      <c r="KEV130" s="72"/>
      <c r="KEW130" s="72"/>
      <c r="KEX130" s="72"/>
      <c r="KEY130" s="72"/>
      <c r="KEZ130" s="72"/>
      <c r="KFA130" s="72"/>
      <c r="KFB130" s="72"/>
      <c r="KFC130" s="72"/>
      <c r="KFD130" s="72"/>
      <c r="KFE130" s="72"/>
      <c r="KFF130" s="72"/>
      <c r="KFG130" s="72"/>
      <c r="KFH130" s="72"/>
      <c r="KFI130" s="72"/>
      <c r="KFJ130" s="72"/>
      <c r="KFK130" s="72"/>
      <c r="KFL130" s="72"/>
      <c r="KFM130" s="72"/>
      <c r="KFN130" s="72"/>
      <c r="KFO130" s="72"/>
      <c r="KFP130" s="72"/>
      <c r="KFQ130" s="72"/>
      <c r="KFR130" s="72"/>
      <c r="KFS130" s="72"/>
      <c r="KFT130" s="72"/>
      <c r="KFU130" s="72"/>
      <c r="KFV130" s="72"/>
      <c r="KFW130" s="72"/>
      <c r="KFX130" s="72"/>
      <c r="KFY130" s="72"/>
      <c r="KFZ130" s="72"/>
      <c r="KGA130" s="72"/>
      <c r="KGB130" s="72"/>
      <c r="KGC130" s="72"/>
      <c r="KGD130" s="72"/>
      <c r="KGE130" s="72"/>
      <c r="KGF130" s="72"/>
      <c r="KGG130" s="72"/>
      <c r="KGH130" s="72"/>
      <c r="KGI130" s="72"/>
      <c r="KGJ130" s="72"/>
      <c r="KGK130" s="72"/>
      <c r="KGL130" s="72"/>
      <c r="KGM130" s="72"/>
      <c r="KGN130" s="72"/>
      <c r="KGO130" s="72"/>
      <c r="KGP130" s="72"/>
      <c r="KGQ130" s="72"/>
      <c r="KGR130" s="72"/>
      <c r="KGS130" s="72"/>
      <c r="KGT130" s="72"/>
      <c r="KGU130" s="72"/>
      <c r="KGV130" s="72"/>
      <c r="KGW130" s="72"/>
      <c r="KGX130" s="72"/>
      <c r="KGY130" s="72"/>
      <c r="KGZ130" s="72"/>
      <c r="KHA130" s="72"/>
      <c r="KHB130" s="72"/>
      <c r="KHC130" s="72"/>
      <c r="KHD130" s="72"/>
      <c r="KHE130" s="72"/>
      <c r="KHF130" s="72"/>
      <c r="KHG130" s="72"/>
      <c r="KHH130" s="72"/>
      <c r="KHI130" s="72"/>
      <c r="KHJ130" s="72"/>
      <c r="KHK130" s="72"/>
      <c r="KHL130" s="72"/>
      <c r="KHM130" s="72"/>
      <c r="KHN130" s="72"/>
      <c r="KHO130" s="72"/>
      <c r="KHP130" s="72"/>
      <c r="KHQ130" s="72"/>
      <c r="KHR130" s="72"/>
      <c r="KHS130" s="72"/>
      <c r="KHT130" s="72"/>
      <c r="KHU130" s="72"/>
      <c r="KHV130" s="72"/>
      <c r="KHW130" s="72"/>
      <c r="KHX130" s="72"/>
      <c r="KHY130" s="72"/>
      <c r="KHZ130" s="72"/>
      <c r="KIA130" s="72"/>
      <c r="KIB130" s="72"/>
      <c r="KIC130" s="72"/>
      <c r="KID130" s="72"/>
      <c r="KIE130" s="72"/>
      <c r="KIF130" s="72"/>
      <c r="KIG130" s="72"/>
      <c r="KIH130" s="72"/>
      <c r="KII130" s="72"/>
      <c r="KIJ130" s="72"/>
      <c r="KIK130" s="72"/>
      <c r="KIL130" s="72"/>
      <c r="KIM130" s="72"/>
      <c r="KIN130" s="72"/>
      <c r="KIO130" s="72"/>
      <c r="KIP130" s="72"/>
      <c r="KIQ130" s="72"/>
      <c r="KIR130" s="72"/>
      <c r="KIS130" s="72"/>
      <c r="KIT130" s="72"/>
      <c r="KIU130" s="72"/>
      <c r="KIV130" s="72"/>
      <c r="KIW130" s="72"/>
      <c r="KIX130" s="72"/>
      <c r="KIY130" s="72"/>
      <c r="KIZ130" s="72"/>
      <c r="KJA130" s="72"/>
      <c r="KJB130" s="72"/>
      <c r="KJC130" s="72"/>
      <c r="KJD130" s="72"/>
      <c r="KJE130" s="72"/>
      <c r="KJF130" s="72"/>
      <c r="KJG130" s="72"/>
      <c r="KJH130" s="72"/>
      <c r="KJI130" s="72"/>
      <c r="KJJ130" s="72"/>
      <c r="KJK130" s="72"/>
      <c r="KJL130" s="72"/>
      <c r="KJM130" s="72"/>
      <c r="KJN130" s="72"/>
      <c r="KJO130" s="72"/>
      <c r="KJP130" s="72"/>
      <c r="KJQ130" s="72"/>
      <c r="KJR130" s="72"/>
      <c r="KJS130" s="72"/>
      <c r="KJT130" s="72"/>
      <c r="KJU130" s="72"/>
      <c r="KJV130" s="72"/>
      <c r="KJW130" s="72"/>
      <c r="KJX130" s="72"/>
      <c r="KJY130" s="72"/>
      <c r="KJZ130" s="72"/>
      <c r="KKA130" s="72"/>
      <c r="KKB130" s="72"/>
      <c r="KKC130" s="72"/>
      <c r="KKD130" s="72"/>
      <c r="KKE130" s="72"/>
      <c r="KKF130" s="72"/>
      <c r="KKG130" s="72"/>
      <c r="KKH130" s="72"/>
      <c r="KKI130" s="72"/>
      <c r="KKJ130" s="72"/>
      <c r="KKK130" s="72"/>
      <c r="KKL130" s="72"/>
      <c r="KKM130" s="72"/>
      <c r="KKN130" s="72"/>
      <c r="KKO130" s="72"/>
      <c r="KKP130" s="72"/>
      <c r="KKQ130" s="72"/>
      <c r="KKR130" s="72"/>
      <c r="KKS130" s="72"/>
      <c r="KKT130" s="72"/>
      <c r="KKU130" s="72"/>
      <c r="KKV130" s="72"/>
      <c r="KKW130" s="72"/>
      <c r="KKX130" s="72"/>
      <c r="KKY130" s="72"/>
      <c r="KKZ130" s="72"/>
      <c r="KLA130" s="72"/>
      <c r="KLB130" s="72"/>
      <c r="KLC130" s="72"/>
      <c r="KLD130" s="72"/>
      <c r="KLE130" s="72"/>
      <c r="KLF130" s="72"/>
      <c r="KLG130" s="72"/>
      <c r="KLH130" s="72"/>
      <c r="KLI130" s="72"/>
      <c r="KLJ130" s="72"/>
      <c r="KLK130" s="72"/>
      <c r="KLL130" s="72"/>
      <c r="KLM130" s="72"/>
      <c r="KLN130" s="72"/>
      <c r="KLO130" s="72"/>
      <c r="KLP130" s="72"/>
      <c r="KLQ130" s="72"/>
      <c r="KLR130" s="72"/>
      <c r="KLS130" s="72"/>
      <c r="KLT130" s="72"/>
      <c r="KLU130" s="72"/>
      <c r="KLV130" s="72"/>
      <c r="KLW130" s="72"/>
      <c r="KLX130" s="72"/>
      <c r="KLY130" s="72"/>
      <c r="KLZ130" s="72"/>
      <c r="KMA130" s="72"/>
      <c r="KMB130" s="72"/>
      <c r="KMC130" s="72"/>
      <c r="KMD130" s="72"/>
      <c r="KME130" s="72"/>
      <c r="KMF130" s="72"/>
      <c r="KMG130" s="72"/>
      <c r="KMH130" s="72"/>
      <c r="KMI130" s="72"/>
      <c r="KMJ130" s="72"/>
      <c r="KMK130" s="72"/>
      <c r="KML130" s="72"/>
      <c r="KMM130" s="72"/>
      <c r="KMN130" s="72"/>
      <c r="KMO130" s="72"/>
      <c r="KMP130" s="72"/>
      <c r="KMQ130" s="72"/>
      <c r="KMR130" s="72"/>
      <c r="KMS130" s="72"/>
      <c r="KMT130" s="72"/>
      <c r="KMU130" s="72"/>
      <c r="KMV130" s="72"/>
      <c r="KMW130" s="72"/>
      <c r="KMX130" s="72"/>
      <c r="KMY130" s="72"/>
      <c r="KMZ130" s="72"/>
      <c r="KNA130" s="72"/>
      <c r="KNB130" s="72"/>
      <c r="KNC130" s="72"/>
      <c r="KND130" s="72"/>
      <c r="KNE130" s="72"/>
      <c r="KNF130" s="72"/>
      <c r="KNG130" s="72"/>
      <c r="KNH130" s="72"/>
      <c r="KNI130" s="72"/>
      <c r="KNJ130" s="72"/>
      <c r="KNK130" s="72"/>
      <c r="KNL130" s="72"/>
      <c r="KNM130" s="72"/>
      <c r="KNN130" s="72"/>
      <c r="KNO130" s="72"/>
      <c r="KNP130" s="72"/>
      <c r="KNQ130" s="72"/>
      <c r="KNR130" s="72"/>
      <c r="KNS130" s="72"/>
      <c r="KNT130" s="72"/>
      <c r="KNU130" s="72"/>
      <c r="KNV130" s="72"/>
      <c r="KNW130" s="72"/>
      <c r="KNX130" s="72"/>
      <c r="KNY130" s="72"/>
      <c r="KNZ130" s="72"/>
      <c r="KOA130" s="72"/>
      <c r="KOB130" s="72"/>
      <c r="KOC130" s="72"/>
      <c r="KOD130" s="72"/>
      <c r="KOE130" s="72"/>
      <c r="KOF130" s="72"/>
      <c r="KOG130" s="72"/>
      <c r="KOH130" s="72"/>
      <c r="KOI130" s="72"/>
      <c r="KOJ130" s="72"/>
      <c r="KOK130" s="72"/>
      <c r="KOL130" s="72"/>
      <c r="KOM130" s="72"/>
      <c r="KON130" s="72"/>
      <c r="KOO130" s="72"/>
      <c r="KOP130" s="72"/>
      <c r="KOQ130" s="72"/>
      <c r="KOR130" s="72"/>
      <c r="KOS130" s="72"/>
      <c r="KOT130" s="72"/>
      <c r="KOU130" s="72"/>
      <c r="KOV130" s="72"/>
      <c r="KOW130" s="72"/>
      <c r="KOX130" s="72"/>
      <c r="KOY130" s="72"/>
      <c r="KOZ130" s="72"/>
      <c r="KPA130" s="72"/>
      <c r="KPB130" s="72"/>
      <c r="KPC130" s="72"/>
      <c r="KPD130" s="72"/>
      <c r="KPE130" s="72"/>
      <c r="KPF130" s="72"/>
      <c r="KPG130" s="72"/>
      <c r="KPH130" s="72"/>
      <c r="KPI130" s="72"/>
      <c r="KPJ130" s="72"/>
      <c r="KPK130" s="72"/>
      <c r="KPL130" s="72"/>
      <c r="KPM130" s="72"/>
      <c r="KPN130" s="72"/>
      <c r="KPO130" s="72"/>
      <c r="KPP130" s="72"/>
      <c r="KPQ130" s="72"/>
      <c r="KPR130" s="72"/>
      <c r="KPS130" s="72"/>
      <c r="KPT130" s="72"/>
      <c r="KPU130" s="72"/>
      <c r="KPV130" s="72"/>
      <c r="KPW130" s="72"/>
      <c r="KPX130" s="72"/>
      <c r="KPY130" s="72"/>
      <c r="KPZ130" s="72"/>
      <c r="KQA130" s="72"/>
      <c r="KQB130" s="72"/>
      <c r="KQC130" s="72"/>
      <c r="KQD130" s="72"/>
      <c r="KQE130" s="72"/>
      <c r="KQF130" s="72"/>
      <c r="KQG130" s="72"/>
      <c r="KQH130" s="72"/>
      <c r="KQI130" s="72"/>
      <c r="KQJ130" s="72"/>
      <c r="KQK130" s="72"/>
      <c r="KQL130" s="72"/>
      <c r="KQM130" s="72"/>
      <c r="KQN130" s="72"/>
      <c r="KQO130" s="72"/>
      <c r="KQP130" s="72"/>
      <c r="KQQ130" s="72"/>
      <c r="KQR130" s="72"/>
      <c r="KQS130" s="72"/>
      <c r="KQT130" s="72"/>
      <c r="KQU130" s="72"/>
      <c r="KQV130" s="72"/>
      <c r="KQW130" s="72"/>
      <c r="KQX130" s="72"/>
      <c r="KQY130" s="72"/>
      <c r="KQZ130" s="72"/>
      <c r="KRA130" s="72"/>
      <c r="KRB130" s="72"/>
      <c r="KRC130" s="72"/>
      <c r="KRD130" s="72"/>
      <c r="KRE130" s="72"/>
      <c r="KRF130" s="72"/>
      <c r="KRG130" s="72"/>
      <c r="KRH130" s="72"/>
      <c r="KRI130" s="72"/>
      <c r="KRJ130" s="72"/>
      <c r="KRK130" s="72"/>
      <c r="KRL130" s="72"/>
      <c r="KRM130" s="72"/>
      <c r="KRN130" s="72"/>
      <c r="KRO130" s="72"/>
      <c r="KRP130" s="72"/>
      <c r="KRQ130" s="72"/>
      <c r="KRR130" s="72"/>
      <c r="KRS130" s="72"/>
      <c r="KRT130" s="72"/>
      <c r="KRU130" s="72"/>
      <c r="KRV130" s="72"/>
      <c r="KRW130" s="72"/>
      <c r="KRX130" s="72"/>
      <c r="KRY130" s="72"/>
      <c r="KRZ130" s="72"/>
      <c r="KSA130" s="72"/>
      <c r="KSB130" s="72"/>
      <c r="KSC130" s="72"/>
      <c r="KSD130" s="72"/>
      <c r="KSE130" s="72"/>
      <c r="KSF130" s="72"/>
      <c r="KSG130" s="72"/>
      <c r="KSH130" s="72"/>
      <c r="KSI130" s="72"/>
      <c r="KSJ130" s="72"/>
      <c r="KSK130" s="72"/>
      <c r="KSL130" s="72"/>
      <c r="KSM130" s="72"/>
      <c r="KSN130" s="72"/>
      <c r="KSO130" s="72"/>
      <c r="KSP130" s="72"/>
      <c r="KSQ130" s="72"/>
      <c r="KSR130" s="72"/>
      <c r="KSS130" s="72"/>
      <c r="KST130" s="72"/>
      <c r="KSU130" s="72"/>
      <c r="KSV130" s="72"/>
      <c r="KSW130" s="72"/>
      <c r="KSX130" s="72"/>
      <c r="KSY130" s="72"/>
      <c r="KSZ130" s="72"/>
      <c r="KTA130" s="72"/>
      <c r="KTB130" s="72"/>
      <c r="KTC130" s="72"/>
      <c r="KTD130" s="72"/>
      <c r="KTE130" s="72"/>
      <c r="KTF130" s="72"/>
      <c r="KTG130" s="72"/>
      <c r="KTH130" s="72"/>
      <c r="KTI130" s="72"/>
      <c r="KTJ130" s="72"/>
      <c r="KTK130" s="72"/>
      <c r="KTL130" s="72"/>
      <c r="KTM130" s="72"/>
      <c r="KTN130" s="72"/>
      <c r="KTO130" s="72"/>
      <c r="KTP130" s="72"/>
      <c r="KTQ130" s="72"/>
      <c r="KTR130" s="72"/>
      <c r="KTS130" s="72"/>
      <c r="KTT130" s="72"/>
      <c r="KTU130" s="72"/>
      <c r="KTV130" s="72"/>
      <c r="KTW130" s="72"/>
      <c r="KTX130" s="72"/>
      <c r="KTY130" s="72"/>
      <c r="KTZ130" s="72"/>
      <c r="KUA130" s="72"/>
      <c r="KUB130" s="72"/>
      <c r="KUC130" s="72"/>
      <c r="KUD130" s="72"/>
      <c r="KUE130" s="72"/>
      <c r="KUF130" s="72"/>
      <c r="KUG130" s="72"/>
      <c r="KUH130" s="72"/>
      <c r="KUI130" s="72"/>
      <c r="KUJ130" s="72"/>
      <c r="KUK130" s="72"/>
      <c r="KUL130" s="72"/>
      <c r="KUM130" s="72"/>
      <c r="KUN130" s="72"/>
      <c r="KUO130" s="72"/>
      <c r="KUP130" s="72"/>
      <c r="KUQ130" s="72"/>
      <c r="KUR130" s="72"/>
      <c r="KUS130" s="72"/>
      <c r="KUT130" s="72"/>
      <c r="KUU130" s="72"/>
      <c r="KUV130" s="72"/>
      <c r="KUW130" s="72"/>
      <c r="KUX130" s="72"/>
      <c r="KUY130" s="72"/>
      <c r="KUZ130" s="72"/>
      <c r="KVA130" s="72"/>
      <c r="KVB130" s="72"/>
      <c r="KVC130" s="72"/>
      <c r="KVD130" s="72"/>
      <c r="KVE130" s="72"/>
      <c r="KVF130" s="72"/>
      <c r="KVG130" s="72"/>
      <c r="KVH130" s="72"/>
      <c r="KVI130" s="72"/>
      <c r="KVJ130" s="72"/>
      <c r="KVK130" s="72"/>
      <c r="KVL130" s="72"/>
      <c r="KVM130" s="72"/>
      <c r="KVN130" s="72"/>
      <c r="KVO130" s="72"/>
      <c r="KVP130" s="72"/>
      <c r="KVQ130" s="72"/>
      <c r="KVR130" s="72"/>
      <c r="KVS130" s="72"/>
      <c r="KVT130" s="72"/>
      <c r="KVU130" s="72"/>
      <c r="KVV130" s="72"/>
      <c r="KVW130" s="72"/>
      <c r="KVX130" s="72"/>
      <c r="KVY130" s="72"/>
      <c r="KVZ130" s="72"/>
      <c r="KWA130" s="72"/>
      <c r="KWB130" s="72"/>
      <c r="KWC130" s="72"/>
      <c r="KWD130" s="72"/>
      <c r="KWE130" s="72"/>
      <c r="KWF130" s="72"/>
      <c r="KWG130" s="72"/>
      <c r="KWH130" s="72"/>
      <c r="KWI130" s="72"/>
      <c r="KWJ130" s="72"/>
      <c r="KWK130" s="72"/>
      <c r="KWL130" s="72"/>
      <c r="KWM130" s="72"/>
      <c r="KWN130" s="72"/>
      <c r="KWO130" s="72"/>
      <c r="KWP130" s="72"/>
      <c r="KWQ130" s="72"/>
      <c r="KWR130" s="72"/>
      <c r="KWS130" s="72"/>
      <c r="KWT130" s="72"/>
      <c r="KWU130" s="72"/>
      <c r="KWV130" s="72"/>
      <c r="KWW130" s="72"/>
      <c r="KWX130" s="72"/>
      <c r="KWY130" s="72"/>
      <c r="KWZ130" s="72"/>
      <c r="KXA130" s="72"/>
      <c r="KXB130" s="72"/>
      <c r="KXC130" s="72"/>
      <c r="KXD130" s="72"/>
      <c r="KXE130" s="72"/>
      <c r="KXF130" s="72"/>
      <c r="KXG130" s="72"/>
      <c r="KXH130" s="72"/>
      <c r="KXI130" s="72"/>
      <c r="KXJ130" s="72"/>
      <c r="KXK130" s="72"/>
      <c r="KXL130" s="72"/>
      <c r="KXM130" s="72"/>
      <c r="KXN130" s="72"/>
      <c r="KXO130" s="72"/>
      <c r="KXP130" s="72"/>
      <c r="KXQ130" s="72"/>
      <c r="KXR130" s="72"/>
      <c r="KXS130" s="72"/>
      <c r="KXT130" s="72"/>
      <c r="KXU130" s="72"/>
      <c r="KXV130" s="72"/>
      <c r="KXW130" s="72"/>
      <c r="KXX130" s="72"/>
      <c r="KXY130" s="72"/>
      <c r="KXZ130" s="72"/>
      <c r="KYA130" s="72"/>
      <c r="KYB130" s="72"/>
      <c r="KYC130" s="72"/>
      <c r="KYD130" s="72"/>
      <c r="KYE130" s="72"/>
      <c r="KYF130" s="72"/>
      <c r="KYG130" s="72"/>
      <c r="KYH130" s="72"/>
      <c r="KYI130" s="72"/>
      <c r="KYJ130" s="72"/>
      <c r="KYK130" s="72"/>
      <c r="KYL130" s="72"/>
      <c r="KYM130" s="72"/>
      <c r="KYN130" s="72"/>
      <c r="KYO130" s="72"/>
      <c r="KYP130" s="72"/>
      <c r="KYQ130" s="72"/>
      <c r="KYR130" s="72"/>
      <c r="KYS130" s="72"/>
      <c r="KYT130" s="72"/>
      <c r="KYU130" s="72"/>
      <c r="KYV130" s="72"/>
      <c r="KYW130" s="72"/>
      <c r="KYX130" s="72"/>
      <c r="KYY130" s="72"/>
      <c r="KYZ130" s="72"/>
      <c r="KZA130" s="72"/>
      <c r="KZB130" s="72"/>
      <c r="KZC130" s="72"/>
      <c r="KZD130" s="72"/>
      <c r="KZE130" s="72"/>
      <c r="KZF130" s="72"/>
      <c r="KZG130" s="72"/>
      <c r="KZH130" s="72"/>
      <c r="KZI130" s="72"/>
      <c r="KZJ130" s="72"/>
      <c r="KZK130" s="72"/>
      <c r="KZL130" s="72"/>
      <c r="KZM130" s="72"/>
      <c r="KZN130" s="72"/>
      <c r="KZO130" s="72"/>
      <c r="KZP130" s="72"/>
      <c r="KZQ130" s="72"/>
      <c r="KZR130" s="72"/>
      <c r="KZS130" s="72"/>
      <c r="KZT130" s="72"/>
      <c r="KZU130" s="72"/>
      <c r="KZV130" s="72"/>
      <c r="KZW130" s="72"/>
      <c r="KZX130" s="72"/>
      <c r="KZY130" s="72"/>
      <c r="KZZ130" s="72"/>
      <c r="LAA130" s="72"/>
      <c r="LAB130" s="72"/>
      <c r="LAC130" s="72"/>
      <c r="LAD130" s="72"/>
      <c r="LAE130" s="72"/>
      <c r="LAF130" s="72"/>
      <c r="LAG130" s="72"/>
      <c r="LAH130" s="72"/>
      <c r="LAI130" s="72"/>
      <c r="LAJ130" s="72"/>
      <c r="LAK130" s="72"/>
      <c r="LAL130" s="72"/>
      <c r="LAM130" s="72"/>
      <c r="LAN130" s="72"/>
      <c r="LAO130" s="72"/>
      <c r="LAP130" s="72"/>
      <c r="LAQ130" s="72"/>
      <c r="LAR130" s="72"/>
      <c r="LAS130" s="72"/>
      <c r="LAT130" s="72"/>
      <c r="LAU130" s="72"/>
      <c r="LAV130" s="72"/>
      <c r="LAW130" s="72"/>
      <c r="LAX130" s="72"/>
      <c r="LAY130" s="72"/>
      <c r="LAZ130" s="72"/>
      <c r="LBA130" s="72"/>
      <c r="LBB130" s="72"/>
      <c r="LBC130" s="72"/>
      <c r="LBD130" s="72"/>
      <c r="LBE130" s="72"/>
      <c r="LBF130" s="72"/>
      <c r="LBG130" s="72"/>
      <c r="LBH130" s="72"/>
      <c r="LBI130" s="72"/>
      <c r="LBJ130" s="72"/>
      <c r="LBK130" s="72"/>
      <c r="LBL130" s="72"/>
      <c r="LBM130" s="72"/>
      <c r="LBN130" s="72"/>
      <c r="LBO130" s="72"/>
      <c r="LBP130" s="72"/>
      <c r="LBQ130" s="72"/>
      <c r="LBR130" s="72"/>
      <c r="LBS130" s="72"/>
      <c r="LBT130" s="72"/>
      <c r="LBU130" s="72"/>
      <c r="LBV130" s="72"/>
      <c r="LBW130" s="72"/>
      <c r="LBX130" s="72"/>
      <c r="LBY130" s="72"/>
      <c r="LBZ130" s="72"/>
      <c r="LCA130" s="72"/>
      <c r="LCB130" s="72"/>
      <c r="LCC130" s="72"/>
      <c r="LCD130" s="72"/>
      <c r="LCE130" s="72"/>
      <c r="LCF130" s="72"/>
      <c r="LCG130" s="72"/>
      <c r="LCH130" s="72"/>
      <c r="LCI130" s="72"/>
      <c r="LCJ130" s="72"/>
      <c r="LCK130" s="72"/>
      <c r="LCL130" s="72"/>
      <c r="LCM130" s="72"/>
      <c r="LCN130" s="72"/>
      <c r="LCO130" s="72"/>
      <c r="LCP130" s="72"/>
      <c r="LCQ130" s="72"/>
      <c r="LCR130" s="72"/>
      <c r="LCS130" s="72"/>
      <c r="LCT130" s="72"/>
      <c r="LCU130" s="72"/>
      <c r="LCV130" s="72"/>
      <c r="LCW130" s="72"/>
      <c r="LCX130" s="72"/>
      <c r="LCY130" s="72"/>
      <c r="LCZ130" s="72"/>
      <c r="LDA130" s="72"/>
      <c r="LDB130" s="72"/>
      <c r="LDC130" s="72"/>
      <c r="LDD130" s="72"/>
      <c r="LDE130" s="72"/>
      <c r="LDF130" s="72"/>
      <c r="LDG130" s="72"/>
      <c r="LDH130" s="72"/>
      <c r="LDI130" s="72"/>
      <c r="LDJ130" s="72"/>
      <c r="LDK130" s="72"/>
      <c r="LDL130" s="72"/>
      <c r="LDM130" s="72"/>
      <c r="LDN130" s="72"/>
      <c r="LDO130" s="72"/>
      <c r="LDP130" s="72"/>
      <c r="LDQ130" s="72"/>
      <c r="LDR130" s="72"/>
      <c r="LDS130" s="72"/>
      <c r="LDT130" s="72"/>
      <c r="LDU130" s="72"/>
      <c r="LDV130" s="72"/>
      <c r="LDW130" s="72"/>
      <c r="LDX130" s="72"/>
      <c r="LDY130" s="72"/>
      <c r="LDZ130" s="72"/>
      <c r="LEA130" s="72"/>
      <c r="LEB130" s="72"/>
      <c r="LEC130" s="72"/>
      <c r="LED130" s="72"/>
      <c r="LEE130" s="72"/>
      <c r="LEF130" s="72"/>
      <c r="LEG130" s="72"/>
      <c r="LEH130" s="72"/>
      <c r="LEI130" s="72"/>
      <c r="LEJ130" s="72"/>
      <c r="LEK130" s="72"/>
      <c r="LEL130" s="72"/>
      <c r="LEM130" s="72"/>
      <c r="LEN130" s="72"/>
      <c r="LEO130" s="72"/>
      <c r="LEP130" s="72"/>
      <c r="LEQ130" s="72"/>
      <c r="LER130" s="72"/>
      <c r="LES130" s="72"/>
      <c r="LET130" s="72"/>
      <c r="LEU130" s="72"/>
      <c r="LEV130" s="72"/>
      <c r="LEW130" s="72"/>
      <c r="LEX130" s="72"/>
      <c r="LEY130" s="72"/>
      <c r="LEZ130" s="72"/>
      <c r="LFA130" s="72"/>
      <c r="LFB130" s="72"/>
      <c r="LFC130" s="72"/>
      <c r="LFD130" s="72"/>
      <c r="LFE130" s="72"/>
      <c r="LFF130" s="72"/>
      <c r="LFG130" s="72"/>
      <c r="LFH130" s="72"/>
      <c r="LFI130" s="72"/>
      <c r="LFJ130" s="72"/>
      <c r="LFK130" s="72"/>
      <c r="LFL130" s="72"/>
      <c r="LFM130" s="72"/>
      <c r="LFN130" s="72"/>
      <c r="LFO130" s="72"/>
      <c r="LFP130" s="72"/>
      <c r="LFQ130" s="72"/>
      <c r="LFR130" s="72"/>
      <c r="LFS130" s="72"/>
      <c r="LFT130" s="72"/>
      <c r="LFU130" s="72"/>
      <c r="LFV130" s="72"/>
      <c r="LFW130" s="72"/>
      <c r="LFX130" s="72"/>
      <c r="LFY130" s="72"/>
      <c r="LFZ130" s="72"/>
      <c r="LGA130" s="72"/>
      <c r="LGB130" s="72"/>
      <c r="LGC130" s="72"/>
      <c r="LGD130" s="72"/>
      <c r="LGE130" s="72"/>
      <c r="LGF130" s="72"/>
      <c r="LGG130" s="72"/>
      <c r="LGH130" s="72"/>
      <c r="LGI130" s="72"/>
      <c r="LGJ130" s="72"/>
      <c r="LGK130" s="72"/>
      <c r="LGL130" s="72"/>
      <c r="LGM130" s="72"/>
      <c r="LGN130" s="72"/>
      <c r="LGO130" s="72"/>
      <c r="LGP130" s="72"/>
      <c r="LGQ130" s="72"/>
      <c r="LGR130" s="72"/>
      <c r="LGS130" s="72"/>
      <c r="LGT130" s="72"/>
      <c r="LGU130" s="72"/>
      <c r="LGV130" s="72"/>
      <c r="LGW130" s="72"/>
      <c r="LGX130" s="72"/>
      <c r="LGY130" s="72"/>
      <c r="LGZ130" s="72"/>
      <c r="LHA130" s="72"/>
      <c r="LHB130" s="72"/>
      <c r="LHC130" s="72"/>
      <c r="LHD130" s="72"/>
      <c r="LHE130" s="72"/>
      <c r="LHF130" s="72"/>
      <c r="LHG130" s="72"/>
      <c r="LHH130" s="72"/>
      <c r="LHI130" s="72"/>
      <c r="LHJ130" s="72"/>
      <c r="LHK130" s="72"/>
      <c r="LHL130" s="72"/>
      <c r="LHM130" s="72"/>
      <c r="LHN130" s="72"/>
      <c r="LHO130" s="72"/>
      <c r="LHP130" s="72"/>
      <c r="LHQ130" s="72"/>
      <c r="LHR130" s="72"/>
      <c r="LHS130" s="72"/>
      <c r="LHT130" s="72"/>
      <c r="LHU130" s="72"/>
      <c r="LHV130" s="72"/>
      <c r="LHW130" s="72"/>
      <c r="LHX130" s="72"/>
      <c r="LHY130" s="72"/>
      <c r="LHZ130" s="72"/>
      <c r="LIA130" s="72"/>
      <c r="LIB130" s="72"/>
      <c r="LIC130" s="72"/>
      <c r="LID130" s="72"/>
      <c r="LIE130" s="72"/>
      <c r="LIF130" s="72"/>
      <c r="LIG130" s="72"/>
      <c r="LIH130" s="72"/>
      <c r="LII130" s="72"/>
      <c r="LIJ130" s="72"/>
      <c r="LIK130" s="72"/>
      <c r="LIL130" s="72"/>
      <c r="LIM130" s="72"/>
      <c r="LIN130" s="72"/>
      <c r="LIO130" s="72"/>
      <c r="LIP130" s="72"/>
      <c r="LIQ130" s="72"/>
      <c r="LIR130" s="72"/>
      <c r="LIS130" s="72"/>
      <c r="LIT130" s="72"/>
      <c r="LIU130" s="72"/>
      <c r="LIV130" s="72"/>
      <c r="LIW130" s="72"/>
      <c r="LIX130" s="72"/>
      <c r="LIY130" s="72"/>
      <c r="LIZ130" s="72"/>
      <c r="LJA130" s="72"/>
      <c r="LJB130" s="72"/>
      <c r="LJC130" s="72"/>
      <c r="LJD130" s="72"/>
      <c r="LJE130" s="72"/>
      <c r="LJF130" s="72"/>
      <c r="LJG130" s="72"/>
      <c r="LJH130" s="72"/>
      <c r="LJI130" s="72"/>
      <c r="LJJ130" s="72"/>
      <c r="LJK130" s="72"/>
      <c r="LJL130" s="72"/>
      <c r="LJM130" s="72"/>
      <c r="LJN130" s="72"/>
      <c r="LJO130" s="72"/>
      <c r="LJP130" s="72"/>
      <c r="LJQ130" s="72"/>
      <c r="LJR130" s="72"/>
      <c r="LJS130" s="72"/>
      <c r="LJT130" s="72"/>
      <c r="LJU130" s="72"/>
      <c r="LJV130" s="72"/>
      <c r="LJW130" s="72"/>
      <c r="LJX130" s="72"/>
      <c r="LJY130" s="72"/>
      <c r="LJZ130" s="72"/>
      <c r="LKA130" s="72"/>
      <c r="LKB130" s="72"/>
      <c r="LKC130" s="72"/>
      <c r="LKD130" s="72"/>
      <c r="LKE130" s="72"/>
      <c r="LKF130" s="72"/>
      <c r="LKG130" s="72"/>
      <c r="LKH130" s="72"/>
      <c r="LKI130" s="72"/>
      <c r="LKJ130" s="72"/>
      <c r="LKK130" s="72"/>
      <c r="LKL130" s="72"/>
      <c r="LKM130" s="72"/>
      <c r="LKN130" s="72"/>
      <c r="LKO130" s="72"/>
      <c r="LKP130" s="72"/>
      <c r="LKQ130" s="72"/>
      <c r="LKR130" s="72"/>
      <c r="LKS130" s="72"/>
      <c r="LKT130" s="72"/>
      <c r="LKU130" s="72"/>
      <c r="LKV130" s="72"/>
      <c r="LKW130" s="72"/>
      <c r="LKX130" s="72"/>
      <c r="LKY130" s="72"/>
      <c r="LKZ130" s="72"/>
      <c r="LLA130" s="72"/>
      <c r="LLB130" s="72"/>
      <c r="LLC130" s="72"/>
      <c r="LLD130" s="72"/>
      <c r="LLE130" s="72"/>
      <c r="LLF130" s="72"/>
      <c r="LLG130" s="72"/>
      <c r="LLH130" s="72"/>
      <c r="LLI130" s="72"/>
      <c r="LLJ130" s="72"/>
      <c r="LLK130" s="72"/>
      <c r="LLL130" s="72"/>
      <c r="LLM130" s="72"/>
      <c r="LLN130" s="72"/>
      <c r="LLO130" s="72"/>
      <c r="LLP130" s="72"/>
      <c r="LLQ130" s="72"/>
      <c r="LLR130" s="72"/>
      <c r="LLS130" s="72"/>
      <c r="LLT130" s="72"/>
      <c r="LLU130" s="72"/>
      <c r="LLV130" s="72"/>
      <c r="LLW130" s="72"/>
      <c r="LLX130" s="72"/>
      <c r="LLY130" s="72"/>
      <c r="LLZ130" s="72"/>
      <c r="LMA130" s="72"/>
      <c r="LMB130" s="72"/>
      <c r="LMC130" s="72"/>
      <c r="LMD130" s="72"/>
      <c r="LME130" s="72"/>
      <c r="LMF130" s="72"/>
      <c r="LMG130" s="72"/>
      <c r="LMH130" s="72"/>
      <c r="LMI130" s="72"/>
      <c r="LMJ130" s="72"/>
      <c r="LMK130" s="72"/>
      <c r="LML130" s="72"/>
      <c r="LMM130" s="72"/>
      <c r="LMN130" s="72"/>
      <c r="LMO130" s="72"/>
      <c r="LMP130" s="72"/>
      <c r="LMQ130" s="72"/>
      <c r="LMR130" s="72"/>
      <c r="LMS130" s="72"/>
      <c r="LMT130" s="72"/>
      <c r="LMU130" s="72"/>
      <c r="LMV130" s="72"/>
      <c r="LMW130" s="72"/>
      <c r="LMX130" s="72"/>
      <c r="LMY130" s="72"/>
      <c r="LMZ130" s="72"/>
      <c r="LNA130" s="72"/>
      <c r="LNB130" s="72"/>
      <c r="LNC130" s="72"/>
      <c r="LND130" s="72"/>
      <c r="LNE130" s="72"/>
      <c r="LNF130" s="72"/>
      <c r="LNG130" s="72"/>
      <c r="LNH130" s="72"/>
      <c r="LNI130" s="72"/>
      <c r="LNJ130" s="72"/>
      <c r="LNK130" s="72"/>
      <c r="LNL130" s="72"/>
      <c r="LNM130" s="72"/>
      <c r="LNN130" s="72"/>
      <c r="LNO130" s="72"/>
      <c r="LNP130" s="72"/>
      <c r="LNQ130" s="72"/>
      <c r="LNR130" s="72"/>
      <c r="LNS130" s="72"/>
      <c r="LNT130" s="72"/>
      <c r="LNU130" s="72"/>
      <c r="LNV130" s="72"/>
      <c r="LNW130" s="72"/>
      <c r="LNX130" s="72"/>
      <c r="LNY130" s="72"/>
      <c r="LNZ130" s="72"/>
      <c r="LOA130" s="72"/>
      <c r="LOB130" s="72"/>
      <c r="LOC130" s="72"/>
      <c r="LOD130" s="72"/>
      <c r="LOE130" s="72"/>
      <c r="LOF130" s="72"/>
      <c r="LOG130" s="72"/>
      <c r="LOH130" s="72"/>
      <c r="LOI130" s="72"/>
      <c r="LOJ130" s="72"/>
      <c r="LOK130" s="72"/>
      <c r="LOL130" s="72"/>
      <c r="LOM130" s="72"/>
      <c r="LON130" s="72"/>
      <c r="LOO130" s="72"/>
      <c r="LOP130" s="72"/>
      <c r="LOQ130" s="72"/>
      <c r="LOR130" s="72"/>
      <c r="LOS130" s="72"/>
      <c r="LOT130" s="72"/>
      <c r="LOU130" s="72"/>
      <c r="LOV130" s="72"/>
      <c r="LOW130" s="72"/>
      <c r="LOX130" s="72"/>
      <c r="LOY130" s="72"/>
      <c r="LOZ130" s="72"/>
      <c r="LPA130" s="72"/>
      <c r="LPB130" s="72"/>
      <c r="LPC130" s="72"/>
      <c r="LPD130" s="72"/>
      <c r="LPE130" s="72"/>
      <c r="LPF130" s="72"/>
      <c r="LPG130" s="72"/>
      <c r="LPH130" s="72"/>
      <c r="LPI130" s="72"/>
      <c r="LPJ130" s="72"/>
      <c r="LPK130" s="72"/>
      <c r="LPL130" s="72"/>
      <c r="LPM130" s="72"/>
      <c r="LPN130" s="72"/>
      <c r="LPO130" s="72"/>
      <c r="LPP130" s="72"/>
      <c r="LPQ130" s="72"/>
      <c r="LPR130" s="72"/>
      <c r="LPS130" s="72"/>
      <c r="LPT130" s="72"/>
      <c r="LPU130" s="72"/>
      <c r="LPV130" s="72"/>
      <c r="LPW130" s="72"/>
      <c r="LPX130" s="72"/>
      <c r="LPY130" s="72"/>
      <c r="LPZ130" s="72"/>
      <c r="LQA130" s="72"/>
      <c r="LQB130" s="72"/>
      <c r="LQC130" s="72"/>
      <c r="LQD130" s="72"/>
      <c r="LQE130" s="72"/>
      <c r="LQF130" s="72"/>
      <c r="LQG130" s="72"/>
      <c r="LQH130" s="72"/>
      <c r="LQI130" s="72"/>
      <c r="LQJ130" s="72"/>
      <c r="LQK130" s="72"/>
      <c r="LQL130" s="72"/>
      <c r="LQM130" s="72"/>
      <c r="LQN130" s="72"/>
      <c r="LQO130" s="72"/>
      <c r="LQP130" s="72"/>
      <c r="LQQ130" s="72"/>
      <c r="LQR130" s="72"/>
      <c r="LQS130" s="72"/>
      <c r="LQT130" s="72"/>
      <c r="LQU130" s="72"/>
      <c r="LQV130" s="72"/>
      <c r="LQW130" s="72"/>
      <c r="LQX130" s="72"/>
      <c r="LQY130" s="72"/>
      <c r="LQZ130" s="72"/>
      <c r="LRA130" s="72"/>
      <c r="LRB130" s="72"/>
      <c r="LRC130" s="72"/>
      <c r="LRD130" s="72"/>
      <c r="LRE130" s="72"/>
      <c r="LRF130" s="72"/>
      <c r="LRG130" s="72"/>
      <c r="LRH130" s="72"/>
      <c r="LRI130" s="72"/>
      <c r="LRJ130" s="72"/>
      <c r="LRK130" s="72"/>
      <c r="LRL130" s="72"/>
      <c r="LRM130" s="72"/>
      <c r="LRN130" s="72"/>
      <c r="LRO130" s="72"/>
      <c r="LRP130" s="72"/>
      <c r="LRQ130" s="72"/>
      <c r="LRR130" s="72"/>
      <c r="LRS130" s="72"/>
      <c r="LRT130" s="72"/>
      <c r="LRU130" s="72"/>
      <c r="LRV130" s="72"/>
      <c r="LRW130" s="72"/>
      <c r="LRX130" s="72"/>
      <c r="LRY130" s="72"/>
      <c r="LRZ130" s="72"/>
      <c r="LSA130" s="72"/>
      <c r="LSB130" s="72"/>
      <c r="LSC130" s="72"/>
      <c r="LSD130" s="72"/>
      <c r="LSE130" s="72"/>
      <c r="LSF130" s="72"/>
      <c r="LSG130" s="72"/>
      <c r="LSH130" s="72"/>
      <c r="LSI130" s="72"/>
      <c r="LSJ130" s="72"/>
      <c r="LSK130" s="72"/>
      <c r="LSL130" s="72"/>
      <c r="LSM130" s="72"/>
      <c r="LSN130" s="72"/>
      <c r="LSO130" s="72"/>
      <c r="LSP130" s="72"/>
      <c r="LSQ130" s="72"/>
      <c r="LSR130" s="72"/>
      <c r="LSS130" s="72"/>
      <c r="LST130" s="72"/>
      <c r="LSU130" s="72"/>
      <c r="LSV130" s="72"/>
      <c r="LSW130" s="72"/>
      <c r="LSX130" s="72"/>
      <c r="LSY130" s="72"/>
      <c r="LSZ130" s="72"/>
      <c r="LTA130" s="72"/>
      <c r="LTB130" s="72"/>
      <c r="LTC130" s="72"/>
      <c r="LTD130" s="72"/>
      <c r="LTE130" s="72"/>
      <c r="LTF130" s="72"/>
      <c r="LTG130" s="72"/>
      <c r="LTH130" s="72"/>
      <c r="LTI130" s="72"/>
      <c r="LTJ130" s="72"/>
      <c r="LTK130" s="72"/>
      <c r="LTL130" s="72"/>
      <c r="LTM130" s="72"/>
      <c r="LTN130" s="72"/>
      <c r="LTO130" s="72"/>
      <c r="LTP130" s="72"/>
      <c r="LTQ130" s="72"/>
      <c r="LTR130" s="72"/>
      <c r="LTS130" s="72"/>
      <c r="LTT130" s="72"/>
      <c r="LTU130" s="72"/>
      <c r="LTV130" s="72"/>
      <c r="LTW130" s="72"/>
      <c r="LTX130" s="72"/>
      <c r="LTY130" s="72"/>
      <c r="LTZ130" s="72"/>
      <c r="LUA130" s="72"/>
      <c r="LUB130" s="72"/>
      <c r="LUC130" s="72"/>
      <c r="LUD130" s="72"/>
      <c r="LUE130" s="72"/>
      <c r="LUF130" s="72"/>
      <c r="LUG130" s="72"/>
      <c r="LUH130" s="72"/>
      <c r="LUI130" s="72"/>
      <c r="LUJ130" s="72"/>
      <c r="LUK130" s="72"/>
      <c r="LUL130" s="72"/>
      <c r="LUM130" s="72"/>
      <c r="LUN130" s="72"/>
      <c r="LUO130" s="72"/>
      <c r="LUP130" s="72"/>
      <c r="LUQ130" s="72"/>
      <c r="LUR130" s="72"/>
      <c r="LUS130" s="72"/>
      <c r="LUT130" s="72"/>
      <c r="LUU130" s="72"/>
      <c r="LUV130" s="72"/>
      <c r="LUW130" s="72"/>
      <c r="LUX130" s="72"/>
      <c r="LUY130" s="72"/>
      <c r="LUZ130" s="72"/>
      <c r="LVA130" s="72"/>
      <c r="LVB130" s="72"/>
      <c r="LVC130" s="72"/>
      <c r="LVD130" s="72"/>
      <c r="LVE130" s="72"/>
      <c r="LVF130" s="72"/>
      <c r="LVG130" s="72"/>
      <c r="LVH130" s="72"/>
      <c r="LVI130" s="72"/>
      <c r="LVJ130" s="72"/>
      <c r="LVK130" s="72"/>
      <c r="LVL130" s="72"/>
      <c r="LVM130" s="72"/>
      <c r="LVN130" s="72"/>
      <c r="LVO130" s="72"/>
      <c r="LVP130" s="72"/>
      <c r="LVQ130" s="72"/>
      <c r="LVR130" s="72"/>
      <c r="LVS130" s="72"/>
      <c r="LVT130" s="72"/>
      <c r="LVU130" s="72"/>
      <c r="LVV130" s="72"/>
      <c r="LVW130" s="72"/>
      <c r="LVX130" s="72"/>
      <c r="LVY130" s="72"/>
      <c r="LVZ130" s="72"/>
      <c r="LWA130" s="72"/>
      <c r="LWB130" s="72"/>
      <c r="LWC130" s="72"/>
      <c r="LWD130" s="72"/>
      <c r="LWE130" s="72"/>
      <c r="LWF130" s="72"/>
      <c r="LWG130" s="72"/>
      <c r="LWH130" s="72"/>
      <c r="LWI130" s="72"/>
      <c r="LWJ130" s="72"/>
      <c r="LWK130" s="72"/>
      <c r="LWL130" s="72"/>
      <c r="LWM130" s="72"/>
      <c r="LWN130" s="72"/>
      <c r="LWO130" s="72"/>
      <c r="LWP130" s="72"/>
      <c r="LWQ130" s="72"/>
      <c r="LWR130" s="72"/>
      <c r="LWS130" s="72"/>
      <c r="LWT130" s="72"/>
      <c r="LWU130" s="72"/>
      <c r="LWV130" s="72"/>
      <c r="LWW130" s="72"/>
      <c r="LWX130" s="72"/>
      <c r="LWY130" s="72"/>
      <c r="LWZ130" s="72"/>
      <c r="LXA130" s="72"/>
      <c r="LXB130" s="72"/>
      <c r="LXC130" s="72"/>
      <c r="LXD130" s="72"/>
      <c r="LXE130" s="72"/>
      <c r="LXF130" s="72"/>
      <c r="LXG130" s="72"/>
      <c r="LXH130" s="72"/>
      <c r="LXI130" s="72"/>
      <c r="LXJ130" s="72"/>
      <c r="LXK130" s="72"/>
      <c r="LXL130" s="72"/>
      <c r="LXM130" s="72"/>
      <c r="LXN130" s="72"/>
      <c r="LXO130" s="72"/>
      <c r="LXP130" s="72"/>
      <c r="LXQ130" s="72"/>
      <c r="LXR130" s="72"/>
      <c r="LXS130" s="72"/>
      <c r="LXT130" s="72"/>
      <c r="LXU130" s="72"/>
      <c r="LXV130" s="72"/>
      <c r="LXW130" s="72"/>
      <c r="LXX130" s="72"/>
      <c r="LXY130" s="72"/>
      <c r="LXZ130" s="72"/>
      <c r="LYA130" s="72"/>
      <c r="LYB130" s="72"/>
      <c r="LYC130" s="72"/>
      <c r="LYD130" s="72"/>
      <c r="LYE130" s="72"/>
      <c r="LYF130" s="72"/>
      <c r="LYG130" s="72"/>
      <c r="LYH130" s="72"/>
      <c r="LYI130" s="72"/>
      <c r="LYJ130" s="72"/>
      <c r="LYK130" s="72"/>
      <c r="LYL130" s="72"/>
      <c r="LYM130" s="72"/>
      <c r="LYN130" s="72"/>
      <c r="LYO130" s="72"/>
      <c r="LYP130" s="72"/>
      <c r="LYQ130" s="72"/>
      <c r="LYR130" s="72"/>
      <c r="LYS130" s="72"/>
      <c r="LYT130" s="72"/>
      <c r="LYU130" s="72"/>
      <c r="LYV130" s="72"/>
      <c r="LYW130" s="72"/>
      <c r="LYX130" s="72"/>
      <c r="LYY130" s="72"/>
      <c r="LYZ130" s="72"/>
      <c r="LZA130" s="72"/>
      <c r="LZB130" s="72"/>
      <c r="LZC130" s="72"/>
      <c r="LZD130" s="72"/>
      <c r="LZE130" s="72"/>
      <c r="LZF130" s="72"/>
      <c r="LZG130" s="72"/>
      <c r="LZH130" s="72"/>
      <c r="LZI130" s="72"/>
      <c r="LZJ130" s="72"/>
      <c r="LZK130" s="72"/>
      <c r="LZL130" s="72"/>
      <c r="LZM130" s="72"/>
      <c r="LZN130" s="72"/>
      <c r="LZO130" s="72"/>
      <c r="LZP130" s="72"/>
      <c r="LZQ130" s="72"/>
      <c r="LZR130" s="72"/>
      <c r="LZS130" s="72"/>
      <c r="LZT130" s="72"/>
      <c r="LZU130" s="72"/>
      <c r="LZV130" s="72"/>
      <c r="LZW130" s="72"/>
      <c r="LZX130" s="72"/>
      <c r="LZY130" s="72"/>
      <c r="LZZ130" s="72"/>
      <c r="MAA130" s="72"/>
      <c r="MAB130" s="72"/>
      <c r="MAC130" s="72"/>
      <c r="MAD130" s="72"/>
      <c r="MAE130" s="72"/>
      <c r="MAF130" s="72"/>
      <c r="MAG130" s="72"/>
      <c r="MAH130" s="72"/>
      <c r="MAI130" s="72"/>
      <c r="MAJ130" s="72"/>
      <c r="MAK130" s="72"/>
      <c r="MAL130" s="72"/>
      <c r="MAM130" s="72"/>
      <c r="MAN130" s="72"/>
      <c r="MAO130" s="72"/>
      <c r="MAP130" s="72"/>
      <c r="MAQ130" s="72"/>
      <c r="MAR130" s="72"/>
      <c r="MAS130" s="72"/>
      <c r="MAT130" s="72"/>
      <c r="MAU130" s="72"/>
      <c r="MAV130" s="72"/>
      <c r="MAW130" s="72"/>
      <c r="MAX130" s="72"/>
      <c r="MAY130" s="72"/>
      <c r="MAZ130" s="72"/>
      <c r="MBA130" s="72"/>
      <c r="MBB130" s="72"/>
      <c r="MBC130" s="72"/>
      <c r="MBD130" s="72"/>
      <c r="MBE130" s="72"/>
      <c r="MBF130" s="72"/>
      <c r="MBG130" s="72"/>
      <c r="MBH130" s="72"/>
      <c r="MBI130" s="72"/>
      <c r="MBJ130" s="72"/>
      <c r="MBK130" s="72"/>
      <c r="MBL130" s="72"/>
      <c r="MBM130" s="72"/>
      <c r="MBN130" s="72"/>
      <c r="MBO130" s="72"/>
      <c r="MBP130" s="72"/>
      <c r="MBQ130" s="72"/>
      <c r="MBR130" s="72"/>
      <c r="MBS130" s="72"/>
      <c r="MBT130" s="72"/>
      <c r="MBU130" s="72"/>
      <c r="MBV130" s="72"/>
      <c r="MBW130" s="72"/>
      <c r="MBX130" s="72"/>
      <c r="MBY130" s="72"/>
      <c r="MBZ130" s="72"/>
      <c r="MCA130" s="72"/>
      <c r="MCB130" s="72"/>
      <c r="MCC130" s="72"/>
      <c r="MCD130" s="72"/>
      <c r="MCE130" s="72"/>
      <c r="MCF130" s="72"/>
      <c r="MCG130" s="72"/>
      <c r="MCH130" s="72"/>
      <c r="MCI130" s="72"/>
      <c r="MCJ130" s="72"/>
      <c r="MCK130" s="72"/>
      <c r="MCL130" s="72"/>
      <c r="MCM130" s="72"/>
      <c r="MCN130" s="72"/>
      <c r="MCO130" s="72"/>
      <c r="MCP130" s="72"/>
      <c r="MCQ130" s="72"/>
      <c r="MCR130" s="72"/>
      <c r="MCS130" s="72"/>
      <c r="MCT130" s="72"/>
      <c r="MCU130" s="72"/>
      <c r="MCV130" s="72"/>
      <c r="MCW130" s="72"/>
      <c r="MCX130" s="72"/>
      <c r="MCY130" s="72"/>
      <c r="MCZ130" s="72"/>
      <c r="MDA130" s="72"/>
      <c r="MDB130" s="72"/>
      <c r="MDC130" s="72"/>
      <c r="MDD130" s="72"/>
      <c r="MDE130" s="72"/>
      <c r="MDF130" s="72"/>
      <c r="MDG130" s="72"/>
      <c r="MDH130" s="72"/>
      <c r="MDI130" s="72"/>
      <c r="MDJ130" s="72"/>
      <c r="MDK130" s="72"/>
      <c r="MDL130" s="72"/>
      <c r="MDM130" s="72"/>
      <c r="MDN130" s="72"/>
      <c r="MDO130" s="72"/>
      <c r="MDP130" s="72"/>
      <c r="MDQ130" s="72"/>
      <c r="MDR130" s="72"/>
      <c r="MDS130" s="72"/>
      <c r="MDT130" s="72"/>
      <c r="MDU130" s="72"/>
      <c r="MDV130" s="72"/>
      <c r="MDW130" s="72"/>
      <c r="MDX130" s="72"/>
      <c r="MDY130" s="72"/>
      <c r="MDZ130" s="72"/>
      <c r="MEA130" s="72"/>
      <c r="MEB130" s="72"/>
      <c r="MEC130" s="72"/>
      <c r="MED130" s="72"/>
      <c r="MEE130" s="72"/>
      <c r="MEF130" s="72"/>
      <c r="MEG130" s="72"/>
      <c r="MEH130" s="72"/>
      <c r="MEI130" s="72"/>
      <c r="MEJ130" s="72"/>
      <c r="MEK130" s="72"/>
      <c r="MEL130" s="72"/>
      <c r="MEM130" s="72"/>
      <c r="MEN130" s="72"/>
      <c r="MEO130" s="72"/>
      <c r="MEP130" s="72"/>
      <c r="MEQ130" s="72"/>
      <c r="MER130" s="72"/>
      <c r="MES130" s="72"/>
      <c r="MET130" s="72"/>
      <c r="MEU130" s="72"/>
      <c r="MEV130" s="72"/>
      <c r="MEW130" s="72"/>
      <c r="MEX130" s="72"/>
      <c r="MEY130" s="72"/>
      <c r="MEZ130" s="72"/>
      <c r="MFA130" s="72"/>
      <c r="MFB130" s="72"/>
      <c r="MFC130" s="72"/>
      <c r="MFD130" s="72"/>
      <c r="MFE130" s="72"/>
      <c r="MFF130" s="72"/>
      <c r="MFG130" s="72"/>
      <c r="MFH130" s="72"/>
      <c r="MFI130" s="72"/>
      <c r="MFJ130" s="72"/>
      <c r="MFK130" s="72"/>
      <c r="MFL130" s="72"/>
      <c r="MFM130" s="72"/>
      <c r="MFN130" s="72"/>
      <c r="MFO130" s="72"/>
      <c r="MFP130" s="72"/>
      <c r="MFQ130" s="72"/>
      <c r="MFR130" s="72"/>
      <c r="MFS130" s="72"/>
      <c r="MFT130" s="72"/>
      <c r="MFU130" s="72"/>
      <c r="MFV130" s="72"/>
      <c r="MFW130" s="72"/>
      <c r="MFX130" s="72"/>
      <c r="MFY130" s="72"/>
      <c r="MFZ130" s="72"/>
      <c r="MGA130" s="72"/>
      <c r="MGB130" s="72"/>
      <c r="MGC130" s="72"/>
      <c r="MGD130" s="72"/>
      <c r="MGE130" s="72"/>
      <c r="MGF130" s="72"/>
      <c r="MGG130" s="72"/>
      <c r="MGH130" s="72"/>
      <c r="MGI130" s="72"/>
      <c r="MGJ130" s="72"/>
      <c r="MGK130" s="72"/>
      <c r="MGL130" s="72"/>
      <c r="MGM130" s="72"/>
      <c r="MGN130" s="72"/>
      <c r="MGO130" s="72"/>
      <c r="MGP130" s="72"/>
      <c r="MGQ130" s="72"/>
      <c r="MGR130" s="72"/>
      <c r="MGS130" s="72"/>
      <c r="MGT130" s="72"/>
      <c r="MGU130" s="72"/>
      <c r="MGV130" s="72"/>
      <c r="MGW130" s="72"/>
      <c r="MGX130" s="72"/>
      <c r="MGY130" s="72"/>
      <c r="MGZ130" s="72"/>
      <c r="MHA130" s="72"/>
      <c r="MHB130" s="72"/>
      <c r="MHC130" s="72"/>
      <c r="MHD130" s="72"/>
      <c r="MHE130" s="72"/>
      <c r="MHF130" s="72"/>
      <c r="MHG130" s="72"/>
      <c r="MHH130" s="72"/>
      <c r="MHI130" s="72"/>
      <c r="MHJ130" s="72"/>
      <c r="MHK130" s="72"/>
      <c r="MHL130" s="72"/>
      <c r="MHM130" s="72"/>
      <c r="MHN130" s="72"/>
      <c r="MHO130" s="72"/>
      <c r="MHP130" s="72"/>
      <c r="MHQ130" s="72"/>
      <c r="MHR130" s="72"/>
      <c r="MHS130" s="72"/>
      <c r="MHT130" s="72"/>
      <c r="MHU130" s="72"/>
      <c r="MHV130" s="72"/>
      <c r="MHW130" s="72"/>
      <c r="MHX130" s="72"/>
      <c r="MHY130" s="72"/>
      <c r="MHZ130" s="72"/>
      <c r="MIA130" s="72"/>
      <c r="MIB130" s="72"/>
      <c r="MIC130" s="72"/>
      <c r="MID130" s="72"/>
      <c r="MIE130" s="72"/>
      <c r="MIF130" s="72"/>
      <c r="MIG130" s="72"/>
      <c r="MIH130" s="72"/>
      <c r="MII130" s="72"/>
      <c r="MIJ130" s="72"/>
      <c r="MIK130" s="72"/>
      <c r="MIL130" s="72"/>
      <c r="MIM130" s="72"/>
      <c r="MIN130" s="72"/>
      <c r="MIO130" s="72"/>
      <c r="MIP130" s="72"/>
      <c r="MIQ130" s="72"/>
      <c r="MIR130" s="72"/>
      <c r="MIS130" s="72"/>
      <c r="MIT130" s="72"/>
      <c r="MIU130" s="72"/>
      <c r="MIV130" s="72"/>
      <c r="MIW130" s="72"/>
      <c r="MIX130" s="72"/>
      <c r="MIY130" s="72"/>
      <c r="MIZ130" s="72"/>
      <c r="MJA130" s="72"/>
      <c r="MJB130" s="72"/>
      <c r="MJC130" s="72"/>
      <c r="MJD130" s="72"/>
      <c r="MJE130" s="72"/>
      <c r="MJF130" s="72"/>
      <c r="MJG130" s="72"/>
      <c r="MJH130" s="72"/>
      <c r="MJI130" s="72"/>
      <c r="MJJ130" s="72"/>
      <c r="MJK130" s="72"/>
      <c r="MJL130" s="72"/>
      <c r="MJM130" s="72"/>
      <c r="MJN130" s="72"/>
      <c r="MJO130" s="72"/>
      <c r="MJP130" s="72"/>
      <c r="MJQ130" s="72"/>
      <c r="MJR130" s="72"/>
      <c r="MJS130" s="72"/>
      <c r="MJT130" s="72"/>
      <c r="MJU130" s="72"/>
      <c r="MJV130" s="72"/>
      <c r="MJW130" s="72"/>
      <c r="MJX130" s="72"/>
      <c r="MJY130" s="72"/>
      <c r="MJZ130" s="72"/>
      <c r="MKA130" s="72"/>
      <c r="MKB130" s="72"/>
      <c r="MKC130" s="72"/>
      <c r="MKD130" s="72"/>
      <c r="MKE130" s="72"/>
      <c r="MKF130" s="72"/>
      <c r="MKG130" s="72"/>
      <c r="MKH130" s="72"/>
      <c r="MKI130" s="72"/>
      <c r="MKJ130" s="72"/>
      <c r="MKK130" s="72"/>
      <c r="MKL130" s="72"/>
      <c r="MKM130" s="72"/>
      <c r="MKN130" s="72"/>
      <c r="MKO130" s="72"/>
      <c r="MKP130" s="72"/>
      <c r="MKQ130" s="72"/>
      <c r="MKR130" s="72"/>
      <c r="MKS130" s="72"/>
      <c r="MKT130" s="72"/>
      <c r="MKU130" s="72"/>
      <c r="MKV130" s="72"/>
      <c r="MKW130" s="72"/>
      <c r="MKX130" s="72"/>
      <c r="MKY130" s="72"/>
      <c r="MKZ130" s="72"/>
      <c r="MLA130" s="72"/>
      <c r="MLB130" s="72"/>
      <c r="MLC130" s="72"/>
      <c r="MLD130" s="72"/>
      <c r="MLE130" s="72"/>
      <c r="MLF130" s="72"/>
      <c r="MLG130" s="72"/>
      <c r="MLH130" s="72"/>
      <c r="MLI130" s="72"/>
      <c r="MLJ130" s="72"/>
      <c r="MLK130" s="72"/>
      <c r="MLL130" s="72"/>
      <c r="MLM130" s="72"/>
      <c r="MLN130" s="72"/>
      <c r="MLO130" s="72"/>
      <c r="MLP130" s="72"/>
      <c r="MLQ130" s="72"/>
      <c r="MLR130" s="72"/>
      <c r="MLS130" s="72"/>
      <c r="MLT130" s="72"/>
      <c r="MLU130" s="72"/>
      <c r="MLV130" s="72"/>
      <c r="MLW130" s="72"/>
      <c r="MLX130" s="72"/>
      <c r="MLY130" s="72"/>
      <c r="MLZ130" s="72"/>
      <c r="MMA130" s="72"/>
      <c r="MMB130" s="72"/>
      <c r="MMC130" s="72"/>
      <c r="MMD130" s="72"/>
      <c r="MME130" s="72"/>
      <c r="MMF130" s="72"/>
      <c r="MMG130" s="72"/>
      <c r="MMH130" s="72"/>
      <c r="MMI130" s="72"/>
      <c r="MMJ130" s="72"/>
      <c r="MMK130" s="72"/>
      <c r="MML130" s="72"/>
      <c r="MMM130" s="72"/>
      <c r="MMN130" s="72"/>
      <c r="MMO130" s="72"/>
      <c r="MMP130" s="72"/>
      <c r="MMQ130" s="72"/>
      <c r="MMR130" s="72"/>
      <c r="MMS130" s="72"/>
      <c r="MMT130" s="72"/>
      <c r="MMU130" s="72"/>
      <c r="MMV130" s="72"/>
      <c r="MMW130" s="72"/>
      <c r="MMX130" s="72"/>
      <c r="MMY130" s="72"/>
      <c r="MMZ130" s="72"/>
      <c r="MNA130" s="72"/>
      <c r="MNB130" s="72"/>
      <c r="MNC130" s="72"/>
      <c r="MND130" s="72"/>
      <c r="MNE130" s="72"/>
      <c r="MNF130" s="72"/>
      <c r="MNG130" s="72"/>
      <c r="MNH130" s="72"/>
      <c r="MNI130" s="72"/>
      <c r="MNJ130" s="72"/>
      <c r="MNK130" s="72"/>
      <c r="MNL130" s="72"/>
      <c r="MNM130" s="72"/>
      <c r="MNN130" s="72"/>
      <c r="MNO130" s="72"/>
      <c r="MNP130" s="72"/>
      <c r="MNQ130" s="72"/>
      <c r="MNR130" s="72"/>
      <c r="MNS130" s="72"/>
      <c r="MNT130" s="72"/>
      <c r="MNU130" s="72"/>
      <c r="MNV130" s="72"/>
      <c r="MNW130" s="72"/>
      <c r="MNX130" s="72"/>
      <c r="MNY130" s="72"/>
      <c r="MNZ130" s="72"/>
      <c r="MOA130" s="72"/>
      <c r="MOB130" s="72"/>
      <c r="MOC130" s="72"/>
      <c r="MOD130" s="72"/>
      <c r="MOE130" s="72"/>
      <c r="MOF130" s="72"/>
      <c r="MOG130" s="72"/>
      <c r="MOH130" s="72"/>
      <c r="MOI130" s="72"/>
      <c r="MOJ130" s="72"/>
      <c r="MOK130" s="72"/>
      <c r="MOL130" s="72"/>
      <c r="MOM130" s="72"/>
      <c r="MON130" s="72"/>
      <c r="MOO130" s="72"/>
      <c r="MOP130" s="72"/>
      <c r="MOQ130" s="72"/>
      <c r="MOR130" s="72"/>
      <c r="MOS130" s="72"/>
      <c r="MOT130" s="72"/>
      <c r="MOU130" s="72"/>
      <c r="MOV130" s="72"/>
      <c r="MOW130" s="72"/>
      <c r="MOX130" s="72"/>
      <c r="MOY130" s="72"/>
      <c r="MOZ130" s="72"/>
      <c r="MPA130" s="72"/>
      <c r="MPB130" s="72"/>
      <c r="MPC130" s="72"/>
      <c r="MPD130" s="72"/>
      <c r="MPE130" s="72"/>
      <c r="MPF130" s="72"/>
      <c r="MPG130" s="72"/>
      <c r="MPH130" s="72"/>
      <c r="MPI130" s="72"/>
      <c r="MPJ130" s="72"/>
      <c r="MPK130" s="72"/>
      <c r="MPL130" s="72"/>
      <c r="MPM130" s="72"/>
      <c r="MPN130" s="72"/>
      <c r="MPO130" s="72"/>
      <c r="MPP130" s="72"/>
      <c r="MPQ130" s="72"/>
      <c r="MPR130" s="72"/>
      <c r="MPS130" s="72"/>
      <c r="MPT130" s="72"/>
      <c r="MPU130" s="72"/>
      <c r="MPV130" s="72"/>
      <c r="MPW130" s="72"/>
      <c r="MPX130" s="72"/>
      <c r="MPY130" s="72"/>
      <c r="MPZ130" s="72"/>
      <c r="MQA130" s="72"/>
      <c r="MQB130" s="72"/>
      <c r="MQC130" s="72"/>
      <c r="MQD130" s="72"/>
      <c r="MQE130" s="72"/>
      <c r="MQF130" s="72"/>
      <c r="MQG130" s="72"/>
      <c r="MQH130" s="72"/>
      <c r="MQI130" s="72"/>
      <c r="MQJ130" s="72"/>
      <c r="MQK130" s="72"/>
      <c r="MQL130" s="72"/>
      <c r="MQM130" s="72"/>
      <c r="MQN130" s="72"/>
      <c r="MQO130" s="72"/>
      <c r="MQP130" s="72"/>
      <c r="MQQ130" s="72"/>
      <c r="MQR130" s="72"/>
      <c r="MQS130" s="72"/>
      <c r="MQT130" s="72"/>
      <c r="MQU130" s="72"/>
      <c r="MQV130" s="72"/>
      <c r="MQW130" s="72"/>
      <c r="MQX130" s="72"/>
      <c r="MQY130" s="72"/>
      <c r="MQZ130" s="72"/>
      <c r="MRA130" s="72"/>
      <c r="MRB130" s="72"/>
      <c r="MRC130" s="72"/>
      <c r="MRD130" s="72"/>
      <c r="MRE130" s="72"/>
      <c r="MRF130" s="72"/>
      <c r="MRG130" s="72"/>
      <c r="MRH130" s="72"/>
      <c r="MRI130" s="72"/>
      <c r="MRJ130" s="72"/>
      <c r="MRK130" s="72"/>
      <c r="MRL130" s="72"/>
      <c r="MRM130" s="72"/>
      <c r="MRN130" s="72"/>
      <c r="MRO130" s="72"/>
      <c r="MRP130" s="72"/>
      <c r="MRQ130" s="72"/>
      <c r="MRR130" s="72"/>
      <c r="MRS130" s="72"/>
      <c r="MRT130" s="72"/>
      <c r="MRU130" s="72"/>
      <c r="MRV130" s="72"/>
      <c r="MRW130" s="72"/>
      <c r="MRX130" s="72"/>
      <c r="MRY130" s="72"/>
      <c r="MRZ130" s="72"/>
      <c r="MSA130" s="72"/>
      <c r="MSB130" s="72"/>
      <c r="MSC130" s="72"/>
      <c r="MSD130" s="72"/>
      <c r="MSE130" s="72"/>
      <c r="MSF130" s="72"/>
      <c r="MSG130" s="72"/>
      <c r="MSH130" s="72"/>
      <c r="MSI130" s="72"/>
      <c r="MSJ130" s="72"/>
      <c r="MSK130" s="72"/>
      <c r="MSL130" s="72"/>
      <c r="MSM130" s="72"/>
      <c r="MSN130" s="72"/>
      <c r="MSO130" s="72"/>
      <c r="MSP130" s="72"/>
      <c r="MSQ130" s="72"/>
      <c r="MSR130" s="72"/>
      <c r="MSS130" s="72"/>
      <c r="MST130" s="72"/>
      <c r="MSU130" s="72"/>
      <c r="MSV130" s="72"/>
      <c r="MSW130" s="72"/>
      <c r="MSX130" s="72"/>
      <c r="MSY130" s="72"/>
      <c r="MSZ130" s="72"/>
      <c r="MTA130" s="72"/>
      <c r="MTB130" s="72"/>
      <c r="MTC130" s="72"/>
      <c r="MTD130" s="72"/>
      <c r="MTE130" s="72"/>
      <c r="MTF130" s="72"/>
      <c r="MTG130" s="72"/>
      <c r="MTH130" s="72"/>
      <c r="MTI130" s="72"/>
      <c r="MTJ130" s="72"/>
      <c r="MTK130" s="72"/>
      <c r="MTL130" s="72"/>
      <c r="MTM130" s="72"/>
      <c r="MTN130" s="72"/>
      <c r="MTO130" s="72"/>
      <c r="MTP130" s="72"/>
      <c r="MTQ130" s="72"/>
      <c r="MTR130" s="72"/>
      <c r="MTS130" s="72"/>
      <c r="MTT130" s="72"/>
      <c r="MTU130" s="72"/>
      <c r="MTV130" s="72"/>
      <c r="MTW130" s="72"/>
      <c r="MTX130" s="72"/>
      <c r="MTY130" s="72"/>
      <c r="MTZ130" s="72"/>
      <c r="MUA130" s="72"/>
      <c r="MUB130" s="72"/>
      <c r="MUC130" s="72"/>
      <c r="MUD130" s="72"/>
      <c r="MUE130" s="72"/>
      <c r="MUF130" s="72"/>
      <c r="MUG130" s="72"/>
      <c r="MUH130" s="72"/>
      <c r="MUI130" s="72"/>
      <c r="MUJ130" s="72"/>
      <c r="MUK130" s="72"/>
      <c r="MUL130" s="72"/>
      <c r="MUM130" s="72"/>
      <c r="MUN130" s="72"/>
      <c r="MUO130" s="72"/>
      <c r="MUP130" s="72"/>
      <c r="MUQ130" s="72"/>
      <c r="MUR130" s="72"/>
      <c r="MUS130" s="72"/>
      <c r="MUT130" s="72"/>
      <c r="MUU130" s="72"/>
      <c r="MUV130" s="72"/>
      <c r="MUW130" s="72"/>
      <c r="MUX130" s="72"/>
      <c r="MUY130" s="72"/>
      <c r="MUZ130" s="72"/>
      <c r="MVA130" s="72"/>
      <c r="MVB130" s="72"/>
      <c r="MVC130" s="72"/>
      <c r="MVD130" s="72"/>
      <c r="MVE130" s="72"/>
      <c r="MVF130" s="72"/>
      <c r="MVG130" s="72"/>
      <c r="MVH130" s="72"/>
      <c r="MVI130" s="72"/>
      <c r="MVJ130" s="72"/>
      <c r="MVK130" s="72"/>
      <c r="MVL130" s="72"/>
      <c r="MVM130" s="72"/>
      <c r="MVN130" s="72"/>
      <c r="MVO130" s="72"/>
      <c r="MVP130" s="72"/>
      <c r="MVQ130" s="72"/>
      <c r="MVR130" s="72"/>
      <c r="MVS130" s="72"/>
      <c r="MVT130" s="72"/>
      <c r="MVU130" s="72"/>
      <c r="MVV130" s="72"/>
      <c r="MVW130" s="72"/>
      <c r="MVX130" s="72"/>
      <c r="MVY130" s="72"/>
      <c r="MVZ130" s="72"/>
      <c r="MWA130" s="72"/>
      <c r="MWB130" s="72"/>
      <c r="MWC130" s="72"/>
      <c r="MWD130" s="72"/>
      <c r="MWE130" s="72"/>
      <c r="MWF130" s="72"/>
      <c r="MWG130" s="72"/>
      <c r="MWH130" s="72"/>
      <c r="MWI130" s="72"/>
      <c r="MWJ130" s="72"/>
      <c r="MWK130" s="72"/>
      <c r="MWL130" s="72"/>
      <c r="MWM130" s="72"/>
      <c r="MWN130" s="72"/>
      <c r="MWO130" s="72"/>
      <c r="MWP130" s="72"/>
      <c r="MWQ130" s="72"/>
      <c r="MWR130" s="72"/>
      <c r="MWS130" s="72"/>
      <c r="MWT130" s="72"/>
      <c r="MWU130" s="72"/>
      <c r="MWV130" s="72"/>
      <c r="MWW130" s="72"/>
      <c r="MWX130" s="72"/>
      <c r="MWY130" s="72"/>
      <c r="MWZ130" s="72"/>
      <c r="MXA130" s="72"/>
      <c r="MXB130" s="72"/>
      <c r="MXC130" s="72"/>
      <c r="MXD130" s="72"/>
      <c r="MXE130" s="72"/>
      <c r="MXF130" s="72"/>
      <c r="MXG130" s="72"/>
      <c r="MXH130" s="72"/>
      <c r="MXI130" s="72"/>
      <c r="MXJ130" s="72"/>
      <c r="MXK130" s="72"/>
      <c r="MXL130" s="72"/>
      <c r="MXM130" s="72"/>
      <c r="MXN130" s="72"/>
      <c r="MXO130" s="72"/>
      <c r="MXP130" s="72"/>
      <c r="MXQ130" s="72"/>
      <c r="MXR130" s="72"/>
      <c r="MXS130" s="72"/>
      <c r="MXT130" s="72"/>
      <c r="MXU130" s="72"/>
      <c r="MXV130" s="72"/>
      <c r="MXW130" s="72"/>
      <c r="MXX130" s="72"/>
      <c r="MXY130" s="72"/>
      <c r="MXZ130" s="72"/>
      <c r="MYA130" s="72"/>
      <c r="MYB130" s="72"/>
      <c r="MYC130" s="72"/>
      <c r="MYD130" s="72"/>
      <c r="MYE130" s="72"/>
      <c r="MYF130" s="72"/>
      <c r="MYG130" s="72"/>
      <c r="MYH130" s="72"/>
      <c r="MYI130" s="72"/>
      <c r="MYJ130" s="72"/>
      <c r="MYK130" s="72"/>
      <c r="MYL130" s="72"/>
      <c r="MYM130" s="72"/>
      <c r="MYN130" s="72"/>
      <c r="MYO130" s="72"/>
      <c r="MYP130" s="72"/>
      <c r="MYQ130" s="72"/>
      <c r="MYR130" s="72"/>
      <c r="MYS130" s="72"/>
      <c r="MYT130" s="72"/>
      <c r="MYU130" s="72"/>
      <c r="MYV130" s="72"/>
      <c r="MYW130" s="72"/>
      <c r="MYX130" s="72"/>
      <c r="MYY130" s="72"/>
      <c r="MYZ130" s="72"/>
      <c r="MZA130" s="72"/>
      <c r="MZB130" s="72"/>
      <c r="MZC130" s="72"/>
      <c r="MZD130" s="72"/>
      <c r="MZE130" s="72"/>
      <c r="MZF130" s="72"/>
      <c r="MZG130" s="72"/>
      <c r="MZH130" s="72"/>
      <c r="MZI130" s="72"/>
      <c r="MZJ130" s="72"/>
      <c r="MZK130" s="72"/>
      <c r="MZL130" s="72"/>
      <c r="MZM130" s="72"/>
      <c r="MZN130" s="72"/>
      <c r="MZO130" s="72"/>
      <c r="MZP130" s="72"/>
      <c r="MZQ130" s="72"/>
      <c r="MZR130" s="72"/>
      <c r="MZS130" s="72"/>
      <c r="MZT130" s="72"/>
      <c r="MZU130" s="72"/>
      <c r="MZV130" s="72"/>
      <c r="MZW130" s="72"/>
      <c r="MZX130" s="72"/>
      <c r="MZY130" s="72"/>
      <c r="MZZ130" s="72"/>
      <c r="NAA130" s="72"/>
      <c r="NAB130" s="72"/>
      <c r="NAC130" s="72"/>
      <c r="NAD130" s="72"/>
      <c r="NAE130" s="72"/>
      <c r="NAF130" s="72"/>
      <c r="NAG130" s="72"/>
      <c r="NAH130" s="72"/>
      <c r="NAI130" s="72"/>
      <c r="NAJ130" s="72"/>
      <c r="NAK130" s="72"/>
      <c r="NAL130" s="72"/>
      <c r="NAM130" s="72"/>
      <c r="NAN130" s="72"/>
      <c r="NAO130" s="72"/>
      <c r="NAP130" s="72"/>
      <c r="NAQ130" s="72"/>
      <c r="NAR130" s="72"/>
      <c r="NAS130" s="72"/>
      <c r="NAT130" s="72"/>
      <c r="NAU130" s="72"/>
      <c r="NAV130" s="72"/>
      <c r="NAW130" s="72"/>
      <c r="NAX130" s="72"/>
      <c r="NAY130" s="72"/>
      <c r="NAZ130" s="72"/>
      <c r="NBA130" s="72"/>
      <c r="NBB130" s="72"/>
      <c r="NBC130" s="72"/>
      <c r="NBD130" s="72"/>
      <c r="NBE130" s="72"/>
      <c r="NBF130" s="72"/>
      <c r="NBG130" s="72"/>
      <c r="NBH130" s="72"/>
      <c r="NBI130" s="72"/>
      <c r="NBJ130" s="72"/>
      <c r="NBK130" s="72"/>
      <c r="NBL130" s="72"/>
      <c r="NBM130" s="72"/>
      <c r="NBN130" s="72"/>
      <c r="NBO130" s="72"/>
      <c r="NBP130" s="72"/>
      <c r="NBQ130" s="72"/>
      <c r="NBR130" s="72"/>
      <c r="NBS130" s="72"/>
      <c r="NBT130" s="72"/>
      <c r="NBU130" s="72"/>
      <c r="NBV130" s="72"/>
      <c r="NBW130" s="72"/>
      <c r="NBX130" s="72"/>
      <c r="NBY130" s="72"/>
      <c r="NBZ130" s="72"/>
      <c r="NCA130" s="72"/>
      <c r="NCB130" s="72"/>
      <c r="NCC130" s="72"/>
      <c r="NCD130" s="72"/>
      <c r="NCE130" s="72"/>
      <c r="NCF130" s="72"/>
      <c r="NCG130" s="72"/>
      <c r="NCH130" s="72"/>
      <c r="NCI130" s="72"/>
      <c r="NCJ130" s="72"/>
      <c r="NCK130" s="72"/>
      <c r="NCL130" s="72"/>
      <c r="NCM130" s="72"/>
      <c r="NCN130" s="72"/>
      <c r="NCO130" s="72"/>
      <c r="NCP130" s="72"/>
      <c r="NCQ130" s="72"/>
      <c r="NCR130" s="72"/>
      <c r="NCS130" s="72"/>
      <c r="NCT130" s="72"/>
      <c r="NCU130" s="72"/>
      <c r="NCV130" s="72"/>
      <c r="NCW130" s="72"/>
      <c r="NCX130" s="72"/>
      <c r="NCY130" s="72"/>
      <c r="NCZ130" s="72"/>
      <c r="NDA130" s="72"/>
      <c r="NDB130" s="72"/>
      <c r="NDC130" s="72"/>
      <c r="NDD130" s="72"/>
      <c r="NDE130" s="72"/>
      <c r="NDF130" s="72"/>
      <c r="NDG130" s="72"/>
      <c r="NDH130" s="72"/>
      <c r="NDI130" s="72"/>
      <c r="NDJ130" s="72"/>
      <c r="NDK130" s="72"/>
      <c r="NDL130" s="72"/>
      <c r="NDM130" s="72"/>
      <c r="NDN130" s="72"/>
      <c r="NDO130" s="72"/>
      <c r="NDP130" s="72"/>
      <c r="NDQ130" s="72"/>
      <c r="NDR130" s="72"/>
      <c r="NDS130" s="72"/>
      <c r="NDT130" s="72"/>
      <c r="NDU130" s="72"/>
      <c r="NDV130" s="72"/>
      <c r="NDW130" s="72"/>
      <c r="NDX130" s="72"/>
      <c r="NDY130" s="72"/>
      <c r="NDZ130" s="72"/>
      <c r="NEA130" s="72"/>
      <c r="NEB130" s="72"/>
      <c r="NEC130" s="72"/>
      <c r="NED130" s="72"/>
      <c r="NEE130" s="72"/>
      <c r="NEF130" s="72"/>
      <c r="NEG130" s="72"/>
      <c r="NEH130" s="72"/>
      <c r="NEI130" s="72"/>
      <c r="NEJ130" s="72"/>
      <c r="NEK130" s="72"/>
      <c r="NEL130" s="72"/>
      <c r="NEM130" s="72"/>
      <c r="NEN130" s="72"/>
      <c r="NEO130" s="72"/>
      <c r="NEP130" s="72"/>
      <c r="NEQ130" s="72"/>
      <c r="NER130" s="72"/>
      <c r="NES130" s="72"/>
      <c r="NET130" s="72"/>
      <c r="NEU130" s="72"/>
      <c r="NEV130" s="72"/>
      <c r="NEW130" s="72"/>
      <c r="NEX130" s="72"/>
      <c r="NEY130" s="72"/>
      <c r="NEZ130" s="72"/>
      <c r="NFA130" s="72"/>
      <c r="NFB130" s="72"/>
      <c r="NFC130" s="72"/>
      <c r="NFD130" s="72"/>
      <c r="NFE130" s="72"/>
      <c r="NFF130" s="72"/>
      <c r="NFG130" s="72"/>
      <c r="NFH130" s="72"/>
      <c r="NFI130" s="72"/>
      <c r="NFJ130" s="72"/>
      <c r="NFK130" s="72"/>
      <c r="NFL130" s="72"/>
      <c r="NFM130" s="72"/>
      <c r="NFN130" s="72"/>
      <c r="NFO130" s="72"/>
      <c r="NFP130" s="72"/>
      <c r="NFQ130" s="72"/>
      <c r="NFR130" s="72"/>
      <c r="NFS130" s="72"/>
      <c r="NFT130" s="72"/>
      <c r="NFU130" s="72"/>
      <c r="NFV130" s="72"/>
      <c r="NFW130" s="72"/>
      <c r="NFX130" s="72"/>
      <c r="NFY130" s="72"/>
      <c r="NFZ130" s="72"/>
      <c r="NGA130" s="72"/>
      <c r="NGB130" s="72"/>
      <c r="NGC130" s="72"/>
      <c r="NGD130" s="72"/>
      <c r="NGE130" s="72"/>
      <c r="NGF130" s="72"/>
      <c r="NGG130" s="72"/>
      <c r="NGH130" s="72"/>
      <c r="NGI130" s="72"/>
      <c r="NGJ130" s="72"/>
      <c r="NGK130" s="72"/>
      <c r="NGL130" s="72"/>
      <c r="NGM130" s="72"/>
      <c r="NGN130" s="72"/>
      <c r="NGO130" s="72"/>
      <c r="NGP130" s="72"/>
      <c r="NGQ130" s="72"/>
      <c r="NGR130" s="72"/>
      <c r="NGS130" s="72"/>
      <c r="NGT130" s="72"/>
      <c r="NGU130" s="72"/>
      <c r="NGV130" s="72"/>
      <c r="NGW130" s="72"/>
      <c r="NGX130" s="72"/>
      <c r="NGY130" s="72"/>
      <c r="NGZ130" s="72"/>
      <c r="NHA130" s="72"/>
      <c r="NHB130" s="72"/>
      <c r="NHC130" s="72"/>
      <c r="NHD130" s="72"/>
      <c r="NHE130" s="72"/>
      <c r="NHF130" s="72"/>
      <c r="NHG130" s="72"/>
      <c r="NHH130" s="72"/>
      <c r="NHI130" s="72"/>
      <c r="NHJ130" s="72"/>
      <c r="NHK130" s="72"/>
      <c r="NHL130" s="72"/>
      <c r="NHM130" s="72"/>
      <c r="NHN130" s="72"/>
      <c r="NHO130" s="72"/>
      <c r="NHP130" s="72"/>
      <c r="NHQ130" s="72"/>
      <c r="NHR130" s="72"/>
      <c r="NHS130" s="72"/>
      <c r="NHT130" s="72"/>
      <c r="NHU130" s="72"/>
      <c r="NHV130" s="72"/>
      <c r="NHW130" s="72"/>
      <c r="NHX130" s="72"/>
      <c r="NHY130" s="72"/>
      <c r="NHZ130" s="72"/>
      <c r="NIA130" s="72"/>
      <c r="NIB130" s="72"/>
      <c r="NIC130" s="72"/>
      <c r="NID130" s="72"/>
      <c r="NIE130" s="72"/>
      <c r="NIF130" s="72"/>
      <c r="NIG130" s="72"/>
      <c r="NIH130" s="72"/>
      <c r="NII130" s="72"/>
      <c r="NIJ130" s="72"/>
      <c r="NIK130" s="72"/>
      <c r="NIL130" s="72"/>
      <c r="NIM130" s="72"/>
      <c r="NIN130" s="72"/>
      <c r="NIO130" s="72"/>
      <c r="NIP130" s="72"/>
      <c r="NIQ130" s="72"/>
      <c r="NIR130" s="72"/>
      <c r="NIS130" s="72"/>
      <c r="NIT130" s="72"/>
      <c r="NIU130" s="72"/>
      <c r="NIV130" s="72"/>
      <c r="NIW130" s="72"/>
      <c r="NIX130" s="72"/>
      <c r="NIY130" s="72"/>
      <c r="NIZ130" s="72"/>
      <c r="NJA130" s="72"/>
      <c r="NJB130" s="72"/>
      <c r="NJC130" s="72"/>
      <c r="NJD130" s="72"/>
      <c r="NJE130" s="72"/>
      <c r="NJF130" s="72"/>
      <c r="NJG130" s="72"/>
      <c r="NJH130" s="72"/>
      <c r="NJI130" s="72"/>
      <c r="NJJ130" s="72"/>
      <c r="NJK130" s="72"/>
      <c r="NJL130" s="72"/>
      <c r="NJM130" s="72"/>
      <c r="NJN130" s="72"/>
      <c r="NJO130" s="72"/>
      <c r="NJP130" s="72"/>
      <c r="NJQ130" s="72"/>
      <c r="NJR130" s="72"/>
      <c r="NJS130" s="72"/>
      <c r="NJT130" s="72"/>
      <c r="NJU130" s="72"/>
      <c r="NJV130" s="72"/>
      <c r="NJW130" s="72"/>
      <c r="NJX130" s="72"/>
      <c r="NJY130" s="72"/>
      <c r="NJZ130" s="72"/>
      <c r="NKA130" s="72"/>
      <c r="NKB130" s="72"/>
      <c r="NKC130" s="72"/>
      <c r="NKD130" s="72"/>
      <c r="NKE130" s="72"/>
      <c r="NKF130" s="72"/>
      <c r="NKG130" s="72"/>
      <c r="NKH130" s="72"/>
      <c r="NKI130" s="72"/>
      <c r="NKJ130" s="72"/>
      <c r="NKK130" s="72"/>
      <c r="NKL130" s="72"/>
      <c r="NKM130" s="72"/>
      <c r="NKN130" s="72"/>
      <c r="NKO130" s="72"/>
      <c r="NKP130" s="72"/>
      <c r="NKQ130" s="72"/>
      <c r="NKR130" s="72"/>
      <c r="NKS130" s="72"/>
      <c r="NKT130" s="72"/>
      <c r="NKU130" s="72"/>
      <c r="NKV130" s="72"/>
      <c r="NKW130" s="72"/>
      <c r="NKX130" s="72"/>
      <c r="NKY130" s="72"/>
      <c r="NKZ130" s="72"/>
      <c r="NLA130" s="72"/>
      <c r="NLB130" s="72"/>
      <c r="NLC130" s="72"/>
      <c r="NLD130" s="72"/>
      <c r="NLE130" s="72"/>
      <c r="NLF130" s="72"/>
      <c r="NLG130" s="72"/>
      <c r="NLH130" s="72"/>
      <c r="NLI130" s="72"/>
      <c r="NLJ130" s="72"/>
      <c r="NLK130" s="72"/>
      <c r="NLL130" s="72"/>
      <c r="NLM130" s="72"/>
      <c r="NLN130" s="72"/>
      <c r="NLO130" s="72"/>
      <c r="NLP130" s="72"/>
      <c r="NLQ130" s="72"/>
      <c r="NLR130" s="72"/>
      <c r="NLS130" s="72"/>
      <c r="NLT130" s="72"/>
      <c r="NLU130" s="72"/>
      <c r="NLV130" s="72"/>
      <c r="NLW130" s="72"/>
      <c r="NLX130" s="72"/>
      <c r="NLY130" s="72"/>
      <c r="NLZ130" s="72"/>
      <c r="NMA130" s="72"/>
      <c r="NMB130" s="72"/>
      <c r="NMC130" s="72"/>
      <c r="NMD130" s="72"/>
      <c r="NME130" s="72"/>
      <c r="NMF130" s="72"/>
      <c r="NMG130" s="72"/>
      <c r="NMH130" s="72"/>
      <c r="NMI130" s="72"/>
      <c r="NMJ130" s="72"/>
      <c r="NMK130" s="72"/>
      <c r="NML130" s="72"/>
      <c r="NMM130" s="72"/>
      <c r="NMN130" s="72"/>
      <c r="NMO130" s="72"/>
      <c r="NMP130" s="72"/>
      <c r="NMQ130" s="72"/>
      <c r="NMR130" s="72"/>
      <c r="NMS130" s="72"/>
      <c r="NMT130" s="72"/>
      <c r="NMU130" s="72"/>
      <c r="NMV130" s="72"/>
      <c r="NMW130" s="72"/>
      <c r="NMX130" s="72"/>
      <c r="NMY130" s="72"/>
      <c r="NMZ130" s="72"/>
      <c r="NNA130" s="72"/>
      <c r="NNB130" s="72"/>
      <c r="NNC130" s="72"/>
      <c r="NND130" s="72"/>
      <c r="NNE130" s="72"/>
      <c r="NNF130" s="72"/>
      <c r="NNG130" s="72"/>
      <c r="NNH130" s="72"/>
      <c r="NNI130" s="72"/>
      <c r="NNJ130" s="72"/>
      <c r="NNK130" s="72"/>
      <c r="NNL130" s="72"/>
      <c r="NNM130" s="72"/>
      <c r="NNN130" s="72"/>
      <c r="NNO130" s="72"/>
      <c r="NNP130" s="72"/>
      <c r="NNQ130" s="72"/>
      <c r="NNR130" s="72"/>
      <c r="NNS130" s="72"/>
      <c r="NNT130" s="72"/>
      <c r="NNU130" s="72"/>
      <c r="NNV130" s="72"/>
      <c r="NNW130" s="72"/>
      <c r="NNX130" s="72"/>
      <c r="NNY130" s="72"/>
      <c r="NNZ130" s="72"/>
      <c r="NOA130" s="72"/>
      <c r="NOB130" s="72"/>
      <c r="NOC130" s="72"/>
      <c r="NOD130" s="72"/>
      <c r="NOE130" s="72"/>
      <c r="NOF130" s="72"/>
      <c r="NOG130" s="72"/>
      <c r="NOH130" s="72"/>
      <c r="NOI130" s="72"/>
      <c r="NOJ130" s="72"/>
      <c r="NOK130" s="72"/>
      <c r="NOL130" s="72"/>
      <c r="NOM130" s="72"/>
      <c r="NON130" s="72"/>
      <c r="NOO130" s="72"/>
      <c r="NOP130" s="72"/>
      <c r="NOQ130" s="72"/>
      <c r="NOR130" s="72"/>
      <c r="NOS130" s="72"/>
      <c r="NOT130" s="72"/>
      <c r="NOU130" s="72"/>
      <c r="NOV130" s="72"/>
      <c r="NOW130" s="72"/>
      <c r="NOX130" s="72"/>
      <c r="NOY130" s="72"/>
      <c r="NOZ130" s="72"/>
      <c r="NPA130" s="72"/>
      <c r="NPB130" s="72"/>
      <c r="NPC130" s="72"/>
      <c r="NPD130" s="72"/>
      <c r="NPE130" s="72"/>
      <c r="NPF130" s="72"/>
      <c r="NPG130" s="72"/>
      <c r="NPH130" s="72"/>
      <c r="NPI130" s="72"/>
      <c r="NPJ130" s="72"/>
      <c r="NPK130" s="72"/>
      <c r="NPL130" s="72"/>
      <c r="NPM130" s="72"/>
      <c r="NPN130" s="72"/>
      <c r="NPO130" s="72"/>
      <c r="NPP130" s="72"/>
      <c r="NPQ130" s="72"/>
      <c r="NPR130" s="72"/>
      <c r="NPS130" s="72"/>
      <c r="NPT130" s="72"/>
      <c r="NPU130" s="72"/>
      <c r="NPV130" s="72"/>
      <c r="NPW130" s="72"/>
      <c r="NPX130" s="72"/>
      <c r="NPY130" s="72"/>
      <c r="NPZ130" s="72"/>
      <c r="NQA130" s="72"/>
      <c r="NQB130" s="72"/>
      <c r="NQC130" s="72"/>
      <c r="NQD130" s="72"/>
      <c r="NQE130" s="72"/>
      <c r="NQF130" s="72"/>
      <c r="NQG130" s="72"/>
      <c r="NQH130" s="72"/>
      <c r="NQI130" s="72"/>
      <c r="NQJ130" s="72"/>
      <c r="NQK130" s="72"/>
      <c r="NQL130" s="72"/>
      <c r="NQM130" s="72"/>
      <c r="NQN130" s="72"/>
      <c r="NQO130" s="72"/>
      <c r="NQP130" s="72"/>
      <c r="NQQ130" s="72"/>
      <c r="NQR130" s="72"/>
      <c r="NQS130" s="72"/>
      <c r="NQT130" s="72"/>
      <c r="NQU130" s="72"/>
      <c r="NQV130" s="72"/>
      <c r="NQW130" s="72"/>
      <c r="NQX130" s="72"/>
      <c r="NQY130" s="72"/>
      <c r="NQZ130" s="72"/>
      <c r="NRA130" s="72"/>
      <c r="NRB130" s="72"/>
      <c r="NRC130" s="72"/>
      <c r="NRD130" s="72"/>
      <c r="NRE130" s="72"/>
      <c r="NRF130" s="72"/>
      <c r="NRG130" s="72"/>
      <c r="NRH130" s="72"/>
      <c r="NRI130" s="72"/>
      <c r="NRJ130" s="72"/>
      <c r="NRK130" s="72"/>
      <c r="NRL130" s="72"/>
      <c r="NRM130" s="72"/>
      <c r="NRN130" s="72"/>
      <c r="NRO130" s="72"/>
      <c r="NRP130" s="72"/>
      <c r="NRQ130" s="72"/>
      <c r="NRR130" s="72"/>
      <c r="NRS130" s="72"/>
      <c r="NRT130" s="72"/>
      <c r="NRU130" s="72"/>
      <c r="NRV130" s="72"/>
      <c r="NRW130" s="72"/>
      <c r="NRX130" s="72"/>
      <c r="NRY130" s="72"/>
      <c r="NRZ130" s="72"/>
      <c r="NSA130" s="72"/>
      <c r="NSB130" s="72"/>
      <c r="NSC130" s="72"/>
      <c r="NSD130" s="72"/>
      <c r="NSE130" s="72"/>
      <c r="NSF130" s="72"/>
      <c r="NSG130" s="72"/>
      <c r="NSH130" s="72"/>
      <c r="NSI130" s="72"/>
      <c r="NSJ130" s="72"/>
      <c r="NSK130" s="72"/>
      <c r="NSL130" s="72"/>
      <c r="NSM130" s="72"/>
      <c r="NSN130" s="72"/>
      <c r="NSO130" s="72"/>
      <c r="NSP130" s="72"/>
      <c r="NSQ130" s="72"/>
      <c r="NSR130" s="72"/>
      <c r="NSS130" s="72"/>
      <c r="NST130" s="72"/>
      <c r="NSU130" s="72"/>
      <c r="NSV130" s="72"/>
      <c r="NSW130" s="72"/>
      <c r="NSX130" s="72"/>
      <c r="NSY130" s="72"/>
      <c r="NSZ130" s="72"/>
      <c r="NTA130" s="72"/>
      <c r="NTB130" s="72"/>
      <c r="NTC130" s="72"/>
      <c r="NTD130" s="72"/>
      <c r="NTE130" s="72"/>
      <c r="NTF130" s="72"/>
      <c r="NTG130" s="72"/>
      <c r="NTH130" s="72"/>
      <c r="NTI130" s="72"/>
      <c r="NTJ130" s="72"/>
      <c r="NTK130" s="72"/>
      <c r="NTL130" s="72"/>
      <c r="NTM130" s="72"/>
      <c r="NTN130" s="72"/>
      <c r="NTO130" s="72"/>
      <c r="NTP130" s="72"/>
      <c r="NTQ130" s="72"/>
      <c r="NTR130" s="72"/>
      <c r="NTS130" s="72"/>
      <c r="NTT130" s="72"/>
      <c r="NTU130" s="72"/>
      <c r="NTV130" s="72"/>
      <c r="NTW130" s="72"/>
      <c r="NTX130" s="72"/>
      <c r="NTY130" s="72"/>
      <c r="NTZ130" s="72"/>
      <c r="NUA130" s="72"/>
      <c r="NUB130" s="72"/>
      <c r="NUC130" s="72"/>
      <c r="NUD130" s="72"/>
      <c r="NUE130" s="72"/>
      <c r="NUF130" s="72"/>
      <c r="NUG130" s="72"/>
      <c r="NUH130" s="72"/>
      <c r="NUI130" s="72"/>
      <c r="NUJ130" s="72"/>
      <c r="NUK130" s="72"/>
      <c r="NUL130" s="72"/>
      <c r="NUM130" s="72"/>
      <c r="NUN130" s="72"/>
      <c r="NUO130" s="72"/>
      <c r="NUP130" s="72"/>
      <c r="NUQ130" s="72"/>
      <c r="NUR130" s="72"/>
      <c r="NUS130" s="72"/>
      <c r="NUT130" s="72"/>
      <c r="NUU130" s="72"/>
      <c r="NUV130" s="72"/>
      <c r="NUW130" s="72"/>
      <c r="NUX130" s="72"/>
      <c r="NUY130" s="72"/>
      <c r="NUZ130" s="72"/>
      <c r="NVA130" s="72"/>
      <c r="NVB130" s="72"/>
      <c r="NVC130" s="72"/>
      <c r="NVD130" s="72"/>
      <c r="NVE130" s="72"/>
      <c r="NVF130" s="72"/>
      <c r="NVG130" s="72"/>
      <c r="NVH130" s="72"/>
      <c r="NVI130" s="72"/>
      <c r="NVJ130" s="72"/>
      <c r="NVK130" s="72"/>
      <c r="NVL130" s="72"/>
      <c r="NVM130" s="72"/>
      <c r="NVN130" s="72"/>
      <c r="NVO130" s="72"/>
      <c r="NVP130" s="72"/>
      <c r="NVQ130" s="72"/>
      <c r="NVR130" s="72"/>
      <c r="NVS130" s="72"/>
      <c r="NVT130" s="72"/>
      <c r="NVU130" s="72"/>
      <c r="NVV130" s="72"/>
      <c r="NVW130" s="72"/>
      <c r="NVX130" s="72"/>
      <c r="NVY130" s="72"/>
      <c r="NVZ130" s="72"/>
      <c r="NWA130" s="72"/>
      <c r="NWB130" s="72"/>
      <c r="NWC130" s="72"/>
      <c r="NWD130" s="72"/>
      <c r="NWE130" s="72"/>
      <c r="NWF130" s="72"/>
      <c r="NWG130" s="72"/>
      <c r="NWH130" s="72"/>
      <c r="NWI130" s="72"/>
      <c r="NWJ130" s="72"/>
      <c r="NWK130" s="72"/>
      <c r="NWL130" s="72"/>
      <c r="NWM130" s="72"/>
      <c r="NWN130" s="72"/>
      <c r="NWO130" s="72"/>
      <c r="NWP130" s="72"/>
      <c r="NWQ130" s="72"/>
      <c r="NWR130" s="72"/>
      <c r="NWS130" s="72"/>
      <c r="NWT130" s="72"/>
      <c r="NWU130" s="72"/>
      <c r="NWV130" s="72"/>
      <c r="NWW130" s="72"/>
      <c r="NWX130" s="72"/>
      <c r="NWY130" s="72"/>
      <c r="NWZ130" s="72"/>
      <c r="NXA130" s="72"/>
      <c r="NXB130" s="72"/>
      <c r="NXC130" s="72"/>
      <c r="NXD130" s="72"/>
      <c r="NXE130" s="72"/>
      <c r="NXF130" s="72"/>
      <c r="NXG130" s="72"/>
      <c r="NXH130" s="72"/>
      <c r="NXI130" s="72"/>
      <c r="NXJ130" s="72"/>
      <c r="NXK130" s="72"/>
      <c r="NXL130" s="72"/>
      <c r="NXM130" s="72"/>
      <c r="NXN130" s="72"/>
      <c r="NXO130" s="72"/>
      <c r="NXP130" s="72"/>
      <c r="NXQ130" s="72"/>
      <c r="NXR130" s="72"/>
      <c r="NXS130" s="72"/>
      <c r="NXT130" s="72"/>
      <c r="NXU130" s="72"/>
      <c r="NXV130" s="72"/>
      <c r="NXW130" s="72"/>
      <c r="NXX130" s="72"/>
      <c r="NXY130" s="72"/>
      <c r="NXZ130" s="72"/>
      <c r="NYA130" s="72"/>
      <c r="NYB130" s="72"/>
      <c r="NYC130" s="72"/>
      <c r="NYD130" s="72"/>
      <c r="NYE130" s="72"/>
      <c r="NYF130" s="72"/>
      <c r="NYG130" s="72"/>
      <c r="NYH130" s="72"/>
      <c r="NYI130" s="72"/>
      <c r="NYJ130" s="72"/>
      <c r="NYK130" s="72"/>
      <c r="NYL130" s="72"/>
      <c r="NYM130" s="72"/>
      <c r="NYN130" s="72"/>
      <c r="NYO130" s="72"/>
      <c r="NYP130" s="72"/>
      <c r="NYQ130" s="72"/>
      <c r="NYR130" s="72"/>
      <c r="NYS130" s="72"/>
      <c r="NYT130" s="72"/>
      <c r="NYU130" s="72"/>
      <c r="NYV130" s="72"/>
      <c r="NYW130" s="72"/>
      <c r="NYX130" s="72"/>
      <c r="NYY130" s="72"/>
      <c r="NYZ130" s="72"/>
      <c r="NZA130" s="72"/>
      <c r="NZB130" s="72"/>
      <c r="NZC130" s="72"/>
      <c r="NZD130" s="72"/>
      <c r="NZE130" s="72"/>
      <c r="NZF130" s="72"/>
      <c r="NZG130" s="72"/>
      <c r="NZH130" s="72"/>
      <c r="NZI130" s="72"/>
      <c r="NZJ130" s="72"/>
      <c r="NZK130" s="72"/>
      <c r="NZL130" s="72"/>
      <c r="NZM130" s="72"/>
      <c r="NZN130" s="72"/>
      <c r="NZO130" s="72"/>
      <c r="NZP130" s="72"/>
      <c r="NZQ130" s="72"/>
      <c r="NZR130" s="72"/>
      <c r="NZS130" s="72"/>
      <c r="NZT130" s="72"/>
      <c r="NZU130" s="72"/>
      <c r="NZV130" s="72"/>
      <c r="NZW130" s="72"/>
      <c r="NZX130" s="72"/>
      <c r="NZY130" s="72"/>
      <c r="NZZ130" s="72"/>
      <c r="OAA130" s="72"/>
      <c r="OAB130" s="72"/>
      <c r="OAC130" s="72"/>
      <c r="OAD130" s="72"/>
      <c r="OAE130" s="72"/>
      <c r="OAF130" s="72"/>
      <c r="OAG130" s="72"/>
      <c r="OAH130" s="72"/>
      <c r="OAI130" s="72"/>
      <c r="OAJ130" s="72"/>
      <c r="OAK130" s="72"/>
      <c r="OAL130" s="72"/>
      <c r="OAM130" s="72"/>
      <c r="OAN130" s="72"/>
      <c r="OAO130" s="72"/>
      <c r="OAP130" s="72"/>
      <c r="OAQ130" s="72"/>
      <c r="OAR130" s="72"/>
      <c r="OAS130" s="72"/>
      <c r="OAT130" s="72"/>
      <c r="OAU130" s="72"/>
      <c r="OAV130" s="72"/>
      <c r="OAW130" s="72"/>
      <c r="OAX130" s="72"/>
      <c r="OAY130" s="72"/>
      <c r="OAZ130" s="72"/>
      <c r="OBA130" s="72"/>
      <c r="OBB130" s="72"/>
      <c r="OBC130" s="72"/>
      <c r="OBD130" s="72"/>
      <c r="OBE130" s="72"/>
      <c r="OBF130" s="72"/>
      <c r="OBG130" s="72"/>
      <c r="OBH130" s="72"/>
      <c r="OBI130" s="72"/>
      <c r="OBJ130" s="72"/>
      <c r="OBK130" s="72"/>
      <c r="OBL130" s="72"/>
      <c r="OBM130" s="72"/>
      <c r="OBN130" s="72"/>
      <c r="OBO130" s="72"/>
      <c r="OBP130" s="72"/>
      <c r="OBQ130" s="72"/>
      <c r="OBR130" s="72"/>
      <c r="OBS130" s="72"/>
      <c r="OBT130" s="72"/>
      <c r="OBU130" s="72"/>
      <c r="OBV130" s="72"/>
      <c r="OBW130" s="72"/>
      <c r="OBX130" s="72"/>
      <c r="OBY130" s="72"/>
      <c r="OBZ130" s="72"/>
      <c r="OCA130" s="72"/>
      <c r="OCB130" s="72"/>
      <c r="OCC130" s="72"/>
      <c r="OCD130" s="72"/>
      <c r="OCE130" s="72"/>
      <c r="OCF130" s="72"/>
      <c r="OCG130" s="72"/>
      <c r="OCH130" s="72"/>
      <c r="OCI130" s="72"/>
      <c r="OCJ130" s="72"/>
      <c r="OCK130" s="72"/>
      <c r="OCL130" s="72"/>
      <c r="OCM130" s="72"/>
      <c r="OCN130" s="72"/>
      <c r="OCO130" s="72"/>
      <c r="OCP130" s="72"/>
      <c r="OCQ130" s="72"/>
      <c r="OCR130" s="72"/>
      <c r="OCS130" s="72"/>
      <c r="OCT130" s="72"/>
      <c r="OCU130" s="72"/>
      <c r="OCV130" s="72"/>
      <c r="OCW130" s="72"/>
      <c r="OCX130" s="72"/>
      <c r="OCY130" s="72"/>
      <c r="OCZ130" s="72"/>
      <c r="ODA130" s="72"/>
      <c r="ODB130" s="72"/>
      <c r="ODC130" s="72"/>
      <c r="ODD130" s="72"/>
      <c r="ODE130" s="72"/>
      <c r="ODF130" s="72"/>
      <c r="ODG130" s="72"/>
      <c r="ODH130" s="72"/>
      <c r="ODI130" s="72"/>
      <c r="ODJ130" s="72"/>
      <c r="ODK130" s="72"/>
      <c r="ODL130" s="72"/>
      <c r="ODM130" s="72"/>
      <c r="ODN130" s="72"/>
      <c r="ODO130" s="72"/>
      <c r="ODP130" s="72"/>
      <c r="ODQ130" s="72"/>
      <c r="ODR130" s="72"/>
      <c r="ODS130" s="72"/>
      <c r="ODT130" s="72"/>
      <c r="ODU130" s="72"/>
      <c r="ODV130" s="72"/>
      <c r="ODW130" s="72"/>
      <c r="ODX130" s="72"/>
      <c r="ODY130" s="72"/>
      <c r="ODZ130" s="72"/>
      <c r="OEA130" s="72"/>
      <c r="OEB130" s="72"/>
      <c r="OEC130" s="72"/>
      <c r="OED130" s="72"/>
      <c r="OEE130" s="72"/>
      <c r="OEF130" s="72"/>
      <c r="OEG130" s="72"/>
      <c r="OEH130" s="72"/>
      <c r="OEI130" s="72"/>
      <c r="OEJ130" s="72"/>
      <c r="OEK130" s="72"/>
      <c r="OEL130" s="72"/>
      <c r="OEM130" s="72"/>
      <c r="OEN130" s="72"/>
      <c r="OEO130" s="72"/>
      <c r="OEP130" s="72"/>
      <c r="OEQ130" s="72"/>
      <c r="OER130" s="72"/>
      <c r="OES130" s="72"/>
      <c r="OET130" s="72"/>
      <c r="OEU130" s="72"/>
      <c r="OEV130" s="72"/>
      <c r="OEW130" s="72"/>
      <c r="OEX130" s="72"/>
      <c r="OEY130" s="72"/>
      <c r="OEZ130" s="72"/>
      <c r="OFA130" s="72"/>
      <c r="OFB130" s="72"/>
      <c r="OFC130" s="72"/>
      <c r="OFD130" s="72"/>
      <c r="OFE130" s="72"/>
      <c r="OFF130" s="72"/>
      <c r="OFG130" s="72"/>
      <c r="OFH130" s="72"/>
      <c r="OFI130" s="72"/>
      <c r="OFJ130" s="72"/>
      <c r="OFK130" s="72"/>
      <c r="OFL130" s="72"/>
      <c r="OFM130" s="72"/>
      <c r="OFN130" s="72"/>
      <c r="OFO130" s="72"/>
      <c r="OFP130" s="72"/>
      <c r="OFQ130" s="72"/>
      <c r="OFR130" s="72"/>
      <c r="OFS130" s="72"/>
      <c r="OFT130" s="72"/>
      <c r="OFU130" s="72"/>
      <c r="OFV130" s="72"/>
      <c r="OFW130" s="72"/>
      <c r="OFX130" s="72"/>
      <c r="OFY130" s="72"/>
      <c r="OFZ130" s="72"/>
      <c r="OGA130" s="72"/>
      <c r="OGB130" s="72"/>
      <c r="OGC130" s="72"/>
      <c r="OGD130" s="72"/>
      <c r="OGE130" s="72"/>
      <c r="OGF130" s="72"/>
      <c r="OGG130" s="72"/>
      <c r="OGH130" s="72"/>
      <c r="OGI130" s="72"/>
      <c r="OGJ130" s="72"/>
      <c r="OGK130" s="72"/>
      <c r="OGL130" s="72"/>
      <c r="OGM130" s="72"/>
      <c r="OGN130" s="72"/>
      <c r="OGO130" s="72"/>
      <c r="OGP130" s="72"/>
      <c r="OGQ130" s="72"/>
      <c r="OGR130" s="72"/>
      <c r="OGS130" s="72"/>
      <c r="OGT130" s="72"/>
      <c r="OGU130" s="72"/>
      <c r="OGV130" s="72"/>
      <c r="OGW130" s="72"/>
      <c r="OGX130" s="72"/>
      <c r="OGY130" s="72"/>
      <c r="OGZ130" s="72"/>
      <c r="OHA130" s="72"/>
      <c r="OHB130" s="72"/>
      <c r="OHC130" s="72"/>
      <c r="OHD130" s="72"/>
      <c r="OHE130" s="72"/>
      <c r="OHF130" s="72"/>
      <c r="OHG130" s="72"/>
      <c r="OHH130" s="72"/>
      <c r="OHI130" s="72"/>
      <c r="OHJ130" s="72"/>
      <c r="OHK130" s="72"/>
      <c r="OHL130" s="72"/>
      <c r="OHM130" s="72"/>
      <c r="OHN130" s="72"/>
      <c r="OHO130" s="72"/>
      <c r="OHP130" s="72"/>
      <c r="OHQ130" s="72"/>
      <c r="OHR130" s="72"/>
      <c r="OHS130" s="72"/>
      <c r="OHT130" s="72"/>
      <c r="OHU130" s="72"/>
      <c r="OHV130" s="72"/>
      <c r="OHW130" s="72"/>
      <c r="OHX130" s="72"/>
      <c r="OHY130" s="72"/>
      <c r="OHZ130" s="72"/>
      <c r="OIA130" s="72"/>
      <c r="OIB130" s="72"/>
      <c r="OIC130" s="72"/>
      <c r="OID130" s="72"/>
      <c r="OIE130" s="72"/>
      <c r="OIF130" s="72"/>
      <c r="OIG130" s="72"/>
      <c r="OIH130" s="72"/>
      <c r="OII130" s="72"/>
      <c r="OIJ130" s="72"/>
      <c r="OIK130" s="72"/>
      <c r="OIL130" s="72"/>
      <c r="OIM130" s="72"/>
      <c r="OIN130" s="72"/>
      <c r="OIO130" s="72"/>
      <c r="OIP130" s="72"/>
      <c r="OIQ130" s="72"/>
      <c r="OIR130" s="72"/>
      <c r="OIS130" s="72"/>
      <c r="OIT130" s="72"/>
      <c r="OIU130" s="72"/>
      <c r="OIV130" s="72"/>
      <c r="OIW130" s="72"/>
      <c r="OIX130" s="72"/>
      <c r="OIY130" s="72"/>
      <c r="OIZ130" s="72"/>
      <c r="OJA130" s="72"/>
      <c r="OJB130" s="72"/>
      <c r="OJC130" s="72"/>
      <c r="OJD130" s="72"/>
      <c r="OJE130" s="72"/>
      <c r="OJF130" s="72"/>
      <c r="OJG130" s="72"/>
      <c r="OJH130" s="72"/>
      <c r="OJI130" s="72"/>
      <c r="OJJ130" s="72"/>
      <c r="OJK130" s="72"/>
      <c r="OJL130" s="72"/>
      <c r="OJM130" s="72"/>
      <c r="OJN130" s="72"/>
      <c r="OJO130" s="72"/>
      <c r="OJP130" s="72"/>
      <c r="OJQ130" s="72"/>
      <c r="OJR130" s="72"/>
      <c r="OJS130" s="72"/>
      <c r="OJT130" s="72"/>
      <c r="OJU130" s="72"/>
      <c r="OJV130" s="72"/>
      <c r="OJW130" s="72"/>
      <c r="OJX130" s="72"/>
      <c r="OJY130" s="72"/>
      <c r="OJZ130" s="72"/>
      <c r="OKA130" s="72"/>
      <c r="OKB130" s="72"/>
      <c r="OKC130" s="72"/>
      <c r="OKD130" s="72"/>
      <c r="OKE130" s="72"/>
      <c r="OKF130" s="72"/>
      <c r="OKG130" s="72"/>
      <c r="OKH130" s="72"/>
      <c r="OKI130" s="72"/>
      <c r="OKJ130" s="72"/>
      <c r="OKK130" s="72"/>
      <c r="OKL130" s="72"/>
      <c r="OKM130" s="72"/>
      <c r="OKN130" s="72"/>
      <c r="OKO130" s="72"/>
      <c r="OKP130" s="72"/>
      <c r="OKQ130" s="72"/>
      <c r="OKR130" s="72"/>
      <c r="OKS130" s="72"/>
      <c r="OKT130" s="72"/>
      <c r="OKU130" s="72"/>
      <c r="OKV130" s="72"/>
      <c r="OKW130" s="72"/>
      <c r="OKX130" s="72"/>
      <c r="OKY130" s="72"/>
      <c r="OKZ130" s="72"/>
      <c r="OLA130" s="72"/>
      <c r="OLB130" s="72"/>
      <c r="OLC130" s="72"/>
      <c r="OLD130" s="72"/>
      <c r="OLE130" s="72"/>
      <c r="OLF130" s="72"/>
      <c r="OLG130" s="72"/>
      <c r="OLH130" s="72"/>
      <c r="OLI130" s="72"/>
      <c r="OLJ130" s="72"/>
      <c r="OLK130" s="72"/>
      <c r="OLL130" s="72"/>
      <c r="OLM130" s="72"/>
      <c r="OLN130" s="72"/>
      <c r="OLO130" s="72"/>
      <c r="OLP130" s="72"/>
      <c r="OLQ130" s="72"/>
      <c r="OLR130" s="72"/>
      <c r="OLS130" s="72"/>
      <c r="OLT130" s="72"/>
      <c r="OLU130" s="72"/>
      <c r="OLV130" s="72"/>
      <c r="OLW130" s="72"/>
      <c r="OLX130" s="72"/>
      <c r="OLY130" s="72"/>
      <c r="OLZ130" s="72"/>
      <c r="OMA130" s="72"/>
      <c r="OMB130" s="72"/>
      <c r="OMC130" s="72"/>
      <c r="OMD130" s="72"/>
      <c r="OME130" s="72"/>
      <c r="OMF130" s="72"/>
      <c r="OMG130" s="72"/>
      <c r="OMH130" s="72"/>
      <c r="OMI130" s="72"/>
      <c r="OMJ130" s="72"/>
      <c r="OMK130" s="72"/>
      <c r="OML130" s="72"/>
      <c r="OMM130" s="72"/>
      <c r="OMN130" s="72"/>
      <c r="OMO130" s="72"/>
      <c r="OMP130" s="72"/>
      <c r="OMQ130" s="72"/>
      <c r="OMR130" s="72"/>
      <c r="OMS130" s="72"/>
      <c r="OMT130" s="72"/>
      <c r="OMU130" s="72"/>
      <c r="OMV130" s="72"/>
      <c r="OMW130" s="72"/>
      <c r="OMX130" s="72"/>
      <c r="OMY130" s="72"/>
      <c r="OMZ130" s="72"/>
      <c r="ONA130" s="72"/>
      <c r="ONB130" s="72"/>
      <c r="ONC130" s="72"/>
      <c r="OND130" s="72"/>
      <c r="ONE130" s="72"/>
      <c r="ONF130" s="72"/>
      <c r="ONG130" s="72"/>
      <c r="ONH130" s="72"/>
      <c r="ONI130" s="72"/>
      <c r="ONJ130" s="72"/>
      <c r="ONK130" s="72"/>
      <c r="ONL130" s="72"/>
      <c r="ONM130" s="72"/>
      <c r="ONN130" s="72"/>
      <c r="ONO130" s="72"/>
      <c r="ONP130" s="72"/>
      <c r="ONQ130" s="72"/>
      <c r="ONR130" s="72"/>
      <c r="ONS130" s="72"/>
      <c r="ONT130" s="72"/>
      <c r="ONU130" s="72"/>
      <c r="ONV130" s="72"/>
      <c r="ONW130" s="72"/>
      <c r="ONX130" s="72"/>
      <c r="ONY130" s="72"/>
      <c r="ONZ130" s="72"/>
      <c r="OOA130" s="72"/>
      <c r="OOB130" s="72"/>
      <c r="OOC130" s="72"/>
      <c r="OOD130" s="72"/>
      <c r="OOE130" s="72"/>
      <c r="OOF130" s="72"/>
      <c r="OOG130" s="72"/>
      <c r="OOH130" s="72"/>
      <c r="OOI130" s="72"/>
      <c r="OOJ130" s="72"/>
      <c r="OOK130" s="72"/>
      <c r="OOL130" s="72"/>
      <c r="OOM130" s="72"/>
      <c r="OON130" s="72"/>
      <c r="OOO130" s="72"/>
      <c r="OOP130" s="72"/>
      <c r="OOQ130" s="72"/>
      <c r="OOR130" s="72"/>
      <c r="OOS130" s="72"/>
      <c r="OOT130" s="72"/>
      <c r="OOU130" s="72"/>
      <c r="OOV130" s="72"/>
      <c r="OOW130" s="72"/>
      <c r="OOX130" s="72"/>
      <c r="OOY130" s="72"/>
      <c r="OOZ130" s="72"/>
      <c r="OPA130" s="72"/>
      <c r="OPB130" s="72"/>
      <c r="OPC130" s="72"/>
      <c r="OPD130" s="72"/>
      <c r="OPE130" s="72"/>
      <c r="OPF130" s="72"/>
      <c r="OPG130" s="72"/>
      <c r="OPH130" s="72"/>
      <c r="OPI130" s="72"/>
      <c r="OPJ130" s="72"/>
      <c r="OPK130" s="72"/>
      <c r="OPL130" s="72"/>
      <c r="OPM130" s="72"/>
      <c r="OPN130" s="72"/>
      <c r="OPO130" s="72"/>
      <c r="OPP130" s="72"/>
      <c r="OPQ130" s="72"/>
      <c r="OPR130" s="72"/>
      <c r="OPS130" s="72"/>
      <c r="OPT130" s="72"/>
      <c r="OPU130" s="72"/>
      <c r="OPV130" s="72"/>
      <c r="OPW130" s="72"/>
      <c r="OPX130" s="72"/>
      <c r="OPY130" s="72"/>
      <c r="OPZ130" s="72"/>
      <c r="OQA130" s="72"/>
      <c r="OQB130" s="72"/>
      <c r="OQC130" s="72"/>
      <c r="OQD130" s="72"/>
      <c r="OQE130" s="72"/>
      <c r="OQF130" s="72"/>
      <c r="OQG130" s="72"/>
      <c r="OQH130" s="72"/>
      <c r="OQI130" s="72"/>
      <c r="OQJ130" s="72"/>
      <c r="OQK130" s="72"/>
      <c r="OQL130" s="72"/>
      <c r="OQM130" s="72"/>
      <c r="OQN130" s="72"/>
      <c r="OQO130" s="72"/>
      <c r="OQP130" s="72"/>
      <c r="OQQ130" s="72"/>
      <c r="OQR130" s="72"/>
      <c r="OQS130" s="72"/>
      <c r="OQT130" s="72"/>
      <c r="OQU130" s="72"/>
      <c r="OQV130" s="72"/>
      <c r="OQW130" s="72"/>
      <c r="OQX130" s="72"/>
      <c r="OQY130" s="72"/>
      <c r="OQZ130" s="72"/>
      <c r="ORA130" s="72"/>
      <c r="ORB130" s="72"/>
      <c r="ORC130" s="72"/>
      <c r="ORD130" s="72"/>
      <c r="ORE130" s="72"/>
      <c r="ORF130" s="72"/>
      <c r="ORG130" s="72"/>
      <c r="ORH130" s="72"/>
      <c r="ORI130" s="72"/>
      <c r="ORJ130" s="72"/>
      <c r="ORK130" s="72"/>
      <c r="ORL130" s="72"/>
      <c r="ORM130" s="72"/>
      <c r="ORN130" s="72"/>
      <c r="ORO130" s="72"/>
      <c r="ORP130" s="72"/>
      <c r="ORQ130" s="72"/>
      <c r="ORR130" s="72"/>
      <c r="ORS130" s="72"/>
      <c r="ORT130" s="72"/>
      <c r="ORU130" s="72"/>
      <c r="ORV130" s="72"/>
      <c r="ORW130" s="72"/>
      <c r="ORX130" s="72"/>
      <c r="ORY130" s="72"/>
      <c r="ORZ130" s="72"/>
      <c r="OSA130" s="72"/>
      <c r="OSB130" s="72"/>
      <c r="OSC130" s="72"/>
      <c r="OSD130" s="72"/>
      <c r="OSE130" s="72"/>
      <c r="OSF130" s="72"/>
      <c r="OSG130" s="72"/>
      <c r="OSH130" s="72"/>
      <c r="OSI130" s="72"/>
      <c r="OSJ130" s="72"/>
      <c r="OSK130" s="72"/>
      <c r="OSL130" s="72"/>
      <c r="OSM130" s="72"/>
      <c r="OSN130" s="72"/>
      <c r="OSO130" s="72"/>
      <c r="OSP130" s="72"/>
      <c r="OSQ130" s="72"/>
      <c r="OSR130" s="72"/>
      <c r="OSS130" s="72"/>
      <c r="OST130" s="72"/>
      <c r="OSU130" s="72"/>
      <c r="OSV130" s="72"/>
      <c r="OSW130" s="72"/>
      <c r="OSX130" s="72"/>
      <c r="OSY130" s="72"/>
      <c r="OSZ130" s="72"/>
      <c r="OTA130" s="72"/>
      <c r="OTB130" s="72"/>
      <c r="OTC130" s="72"/>
      <c r="OTD130" s="72"/>
      <c r="OTE130" s="72"/>
      <c r="OTF130" s="72"/>
      <c r="OTG130" s="72"/>
      <c r="OTH130" s="72"/>
      <c r="OTI130" s="72"/>
      <c r="OTJ130" s="72"/>
      <c r="OTK130" s="72"/>
      <c r="OTL130" s="72"/>
      <c r="OTM130" s="72"/>
      <c r="OTN130" s="72"/>
      <c r="OTO130" s="72"/>
      <c r="OTP130" s="72"/>
      <c r="OTQ130" s="72"/>
      <c r="OTR130" s="72"/>
      <c r="OTS130" s="72"/>
      <c r="OTT130" s="72"/>
      <c r="OTU130" s="72"/>
      <c r="OTV130" s="72"/>
      <c r="OTW130" s="72"/>
      <c r="OTX130" s="72"/>
      <c r="OTY130" s="72"/>
      <c r="OTZ130" s="72"/>
      <c r="OUA130" s="72"/>
      <c r="OUB130" s="72"/>
      <c r="OUC130" s="72"/>
      <c r="OUD130" s="72"/>
      <c r="OUE130" s="72"/>
      <c r="OUF130" s="72"/>
      <c r="OUG130" s="72"/>
      <c r="OUH130" s="72"/>
      <c r="OUI130" s="72"/>
      <c r="OUJ130" s="72"/>
      <c r="OUK130" s="72"/>
      <c r="OUL130" s="72"/>
      <c r="OUM130" s="72"/>
      <c r="OUN130" s="72"/>
      <c r="OUO130" s="72"/>
      <c r="OUP130" s="72"/>
      <c r="OUQ130" s="72"/>
      <c r="OUR130" s="72"/>
      <c r="OUS130" s="72"/>
      <c r="OUT130" s="72"/>
      <c r="OUU130" s="72"/>
      <c r="OUV130" s="72"/>
      <c r="OUW130" s="72"/>
      <c r="OUX130" s="72"/>
      <c r="OUY130" s="72"/>
      <c r="OUZ130" s="72"/>
      <c r="OVA130" s="72"/>
      <c r="OVB130" s="72"/>
      <c r="OVC130" s="72"/>
      <c r="OVD130" s="72"/>
      <c r="OVE130" s="72"/>
      <c r="OVF130" s="72"/>
      <c r="OVG130" s="72"/>
      <c r="OVH130" s="72"/>
      <c r="OVI130" s="72"/>
      <c r="OVJ130" s="72"/>
      <c r="OVK130" s="72"/>
      <c r="OVL130" s="72"/>
      <c r="OVM130" s="72"/>
      <c r="OVN130" s="72"/>
      <c r="OVO130" s="72"/>
      <c r="OVP130" s="72"/>
      <c r="OVQ130" s="72"/>
      <c r="OVR130" s="72"/>
      <c r="OVS130" s="72"/>
      <c r="OVT130" s="72"/>
      <c r="OVU130" s="72"/>
      <c r="OVV130" s="72"/>
      <c r="OVW130" s="72"/>
      <c r="OVX130" s="72"/>
      <c r="OVY130" s="72"/>
      <c r="OVZ130" s="72"/>
      <c r="OWA130" s="72"/>
      <c r="OWB130" s="72"/>
      <c r="OWC130" s="72"/>
      <c r="OWD130" s="72"/>
      <c r="OWE130" s="72"/>
      <c r="OWF130" s="72"/>
      <c r="OWG130" s="72"/>
      <c r="OWH130" s="72"/>
      <c r="OWI130" s="72"/>
      <c r="OWJ130" s="72"/>
      <c r="OWK130" s="72"/>
      <c r="OWL130" s="72"/>
      <c r="OWM130" s="72"/>
      <c r="OWN130" s="72"/>
      <c r="OWO130" s="72"/>
      <c r="OWP130" s="72"/>
      <c r="OWQ130" s="72"/>
      <c r="OWR130" s="72"/>
      <c r="OWS130" s="72"/>
      <c r="OWT130" s="72"/>
      <c r="OWU130" s="72"/>
      <c r="OWV130" s="72"/>
      <c r="OWW130" s="72"/>
      <c r="OWX130" s="72"/>
      <c r="OWY130" s="72"/>
      <c r="OWZ130" s="72"/>
      <c r="OXA130" s="72"/>
      <c r="OXB130" s="72"/>
      <c r="OXC130" s="72"/>
      <c r="OXD130" s="72"/>
      <c r="OXE130" s="72"/>
      <c r="OXF130" s="72"/>
      <c r="OXG130" s="72"/>
      <c r="OXH130" s="72"/>
      <c r="OXI130" s="72"/>
      <c r="OXJ130" s="72"/>
      <c r="OXK130" s="72"/>
      <c r="OXL130" s="72"/>
      <c r="OXM130" s="72"/>
      <c r="OXN130" s="72"/>
      <c r="OXO130" s="72"/>
      <c r="OXP130" s="72"/>
      <c r="OXQ130" s="72"/>
      <c r="OXR130" s="72"/>
      <c r="OXS130" s="72"/>
      <c r="OXT130" s="72"/>
      <c r="OXU130" s="72"/>
      <c r="OXV130" s="72"/>
      <c r="OXW130" s="72"/>
      <c r="OXX130" s="72"/>
      <c r="OXY130" s="72"/>
      <c r="OXZ130" s="72"/>
      <c r="OYA130" s="72"/>
      <c r="OYB130" s="72"/>
      <c r="OYC130" s="72"/>
      <c r="OYD130" s="72"/>
      <c r="OYE130" s="72"/>
      <c r="OYF130" s="72"/>
      <c r="OYG130" s="72"/>
      <c r="OYH130" s="72"/>
      <c r="OYI130" s="72"/>
      <c r="OYJ130" s="72"/>
      <c r="OYK130" s="72"/>
      <c r="OYL130" s="72"/>
      <c r="OYM130" s="72"/>
      <c r="OYN130" s="72"/>
      <c r="OYO130" s="72"/>
      <c r="OYP130" s="72"/>
      <c r="OYQ130" s="72"/>
      <c r="OYR130" s="72"/>
      <c r="OYS130" s="72"/>
      <c r="OYT130" s="72"/>
      <c r="OYU130" s="72"/>
      <c r="OYV130" s="72"/>
      <c r="OYW130" s="72"/>
      <c r="OYX130" s="72"/>
      <c r="OYY130" s="72"/>
      <c r="OYZ130" s="72"/>
      <c r="OZA130" s="72"/>
      <c r="OZB130" s="72"/>
      <c r="OZC130" s="72"/>
      <c r="OZD130" s="72"/>
      <c r="OZE130" s="72"/>
      <c r="OZF130" s="72"/>
      <c r="OZG130" s="72"/>
      <c r="OZH130" s="72"/>
      <c r="OZI130" s="72"/>
      <c r="OZJ130" s="72"/>
      <c r="OZK130" s="72"/>
      <c r="OZL130" s="72"/>
      <c r="OZM130" s="72"/>
      <c r="OZN130" s="72"/>
      <c r="OZO130" s="72"/>
      <c r="OZP130" s="72"/>
      <c r="OZQ130" s="72"/>
      <c r="OZR130" s="72"/>
      <c r="OZS130" s="72"/>
      <c r="OZT130" s="72"/>
      <c r="OZU130" s="72"/>
      <c r="OZV130" s="72"/>
      <c r="OZW130" s="72"/>
      <c r="OZX130" s="72"/>
      <c r="OZY130" s="72"/>
      <c r="OZZ130" s="72"/>
      <c r="PAA130" s="72"/>
      <c r="PAB130" s="72"/>
      <c r="PAC130" s="72"/>
      <c r="PAD130" s="72"/>
      <c r="PAE130" s="72"/>
      <c r="PAF130" s="72"/>
      <c r="PAG130" s="72"/>
      <c r="PAH130" s="72"/>
      <c r="PAI130" s="72"/>
      <c r="PAJ130" s="72"/>
      <c r="PAK130" s="72"/>
      <c r="PAL130" s="72"/>
      <c r="PAM130" s="72"/>
      <c r="PAN130" s="72"/>
      <c r="PAO130" s="72"/>
      <c r="PAP130" s="72"/>
      <c r="PAQ130" s="72"/>
      <c r="PAR130" s="72"/>
      <c r="PAS130" s="72"/>
      <c r="PAT130" s="72"/>
      <c r="PAU130" s="72"/>
      <c r="PAV130" s="72"/>
      <c r="PAW130" s="72"/>
      <c r="PAX130" s="72"/>
      <c r="PAY130" s="72"/>
      <c r="PAZ130" s="72"/>
      <c r="PBA130" s="72"/>
      <c r="PBB130" s="72"/>
      <c r="PBC130" s="72"/>
      <c r="PBD130" s="72"/>
      <c r="PBE130" s="72"/>
      <c r="PBF130" s="72"/>
      <c r="PBG130" s="72"/>
      <c r="PBH130" s="72"/>
      <c r="PBI130" s="72"/>
      <c r="PBJ130" s="72"/>
      <c r="PBK130" s="72"/>
      <c r="PBL130" s="72"/>
      <c r="PBM130" s="72"/>
      <c r="PBN130" s="72"/>
      <c r="PBO130" s="72"/>
      <c r="PBP130" s="72"/>
      <c r="PBQ130" s="72"/>
      <c r="PBR130" s="72"/>
      <c r="PBS130" s="72"/>
      <c r="PBT130" s="72"/>
      <c r="PBU130" s="72"/>
      <c r="PBV130" s="72"/>
      <c r="PBW130" s="72"/>
      <c r="PBX130" s="72"/>
      <c r="PBY130" s="72"/>
      <c r="PBZ130" s="72"/>
      <c r="PCA130" s="72"/>
      <c r="PCB130" s="72"/>
      <c r="PCC130" s="72"/>
      <c r="PCD130" s="72"/>
      <c r="PCE130" s="72"/>
      <c r="PCF130" s="72"/>
      <c r="PCG130" s="72"/>
      <c r="PCH130" s="72"/>
      <c r="PCI130" s="72"/>
      <c r="PCJ130" s="72"/>
      <c r="PCK130" s="72"/>
      <c r="PCL130" s="72"/>
      <c r="PCM130" s="72"/>
      <c r="PCN130" s="72"/>
      <c r="PCO130" s="72"/>
      <c r="PCP130" s="72"/>
      <c r="PCQ130" s="72"/>
      <c r="PCR130" s="72"/>
      <c r="PCS130" s="72"/>
      <c r="PCT130" s="72"/>
      <c r="PCU130" s="72"/>
      <c r="PCV130" s="72"/>
      <c r="PCW130" s="72"/>
      <c r="PCX130" s="72"/>
      <c r="PCY130" s="72"/>
      <c r="PCZ130" s="72"/>
      <c r="PDA130" s="72"/>
      <c r="PDB130" s="72"/>
      <c r="PDC130" s="72"/>
      <c r="PDD130" s="72"/>
      <c r="PDE130" s="72"/>
      <c r="PDF130" s="72"/>
      <c r="PDG130" s="72"/>
      <c r="PDH130" s="72"/>
      <c r="PDI130" s="72"/>
      <c r="PDJ130" s="72"/>
      <c r="PDK130" s="72"/>
      <c r="PDL130" s="72"/>
      <c r="PDM130" s="72"/>
      <c r="PDN130" s="72"/>
      <c r="PDO130" s="72"/>
      <c r="PDP130" s="72"/>
      <c r="PDQ130" s="72"/>
      <c r="PDR130" s="72"/>
      <c r="PDS130" s="72"/>
      <c r="PDT130" s="72"/>
      <c r="PDU130" s="72"/>
      <c r="PDV130" s="72"/>
      <c r="PDW130" s="72"/>
      <c r="PDX130" s="72"/>
      <c r="PDY130" s="72"/>
      <c r="PDZ130" s="72"/>
      <c r="PEA130" s="72"/>
      <c r="PEB130" s="72"/>
      <c r="PEC130" s="72"/>
      <c r="PED130" s="72"/>
      <c r="PEE130" s="72"/>
      <c r="PEF130" s="72"/>
      <c r="PEG130" s="72"/>
      <c r="PEH130" s="72"/>
      <c r="PEI130" s="72"/>
      <c r="PEJ130" s="72"/>
      <c r="PEK130" s="72"/>
      <c r="PEL130" s="72"/>
      <c r="PEM130" s="72"/>
      <c r="PEN130" s="72"/>
      <c r="PEO130" s="72"/>
      <c r="PEP130" s="72"/>
      <c r="PEQ130" s="72"/>
      <c r="PER130" s="72"/>
      <c r="PES130" s="72"/>
      <c r="PET130" s="72"/>
      <c r="PEU130" s="72"/>
      <c r="PEV130" s="72"/>
      <c r="PEW130" s="72"/>
      <c r="PEX130" s="72"/>
      <c r="PEY130" s="72"/>
      <c r="PEZ130" s="72"/>
      <c r="PFA130" s="72"/>
      <c r="PFB130" s="72"/>
      <c r="PFC130" s="72"/>
      <c r="PFD130" s="72"/>
      <c r="PFE130" s="72"/>
      <c r="PFF130" s="72"/>
      <c r="PFG130" s="72"/>
      <c r="PFH130" s="72"/>
      <c r="PFI130" s="72"/>
      <c r="PFJ130" s="72"/>
      <c r="PFK130" s="72"/>
      <c r="PFL130" s="72"/>
      <c r="PFM130" s="72"/>
      <c r="PFN130" s="72"/>
      <c r="PFO130" s="72"/>
      <c r="PFP130" s="72"/>
      <c r="PFQ130" s="72"/>
      <c r="PFR130" s="72"/>
      <c r="PFS130" s="72"/>
      <c r="PFT130" s="72"/>
      <c r="PFU130" s="72"/>
      <c r="PFV130" s="72"/>
      <c r="PFW130" s="72"/>
      <c r="PFX130" s="72"/>
      <c r="PFY130" s="72"/>
      <c r="PFZ130" s="72"/>
      <c r="PGA130" s="72"/>
      <c r="PGB130" s="72"/>
      <c r="PGC130" s="72"/>
      <c r="PGD130" s="72"/>
      <c r="PGE130" s="72"/>
      <c r="PGF130" s="72"/>
      <c r="PGG130" s="72"/>
      <c r="PGH130" s="72"/>
      <c r="PGI130" s="72"/>
      <c r="PGJ130" s="72"/>
      <c r="PGK130" s="72"/>
      <c r="PGL130" s="72"/>
      <c r="PGM130" s="72"/>
      <c r="PGN130" s="72"/>
      <c r="PGO130" s="72"/>
      <c r="PGP130" s="72"/>
      <c r="PGQ130" s="72"/>
      <c r="PGR130" s="72"/>
      <c r="PGS130" s="72"/>
      <c r="PGT130" s="72"/>
      <c r="PGU130" s="72"/>
      <c r="PGV130" s="72"/>
      <c r="PGW130" s="72"/>
      <c r="PGX130" s="72"/>
      <c r="PGY130" s="72"/>
      <c r="PGZ130" s="72"/>
      <c r="PHA130" s="72"/>
      <c r="PHB130" s="72"/>
      <c r="PHC130" s="72"/>
      <c r="PHD130" s="72"/>
      <c r="PHE130" s="72"/>
      <c r="PHF130" s="72"/>
      <c r="PHG130" s="72"/>
      <c r="PHH130" s="72"/>
      <c r="PHI130" s="72"/>
      <c r="PHJ130" s="72"/>
      <c r="PHK130" s="72"/>
      <c r="PHL130" s="72"/>
      <c r="PHM130" s="72"/>
      <c r="PHN130" s="72"/>
      <c r="PHO130" s="72"/>
      <c r="PHP130" s="72"/>
      <c r="PHQ130" s="72"/>
      <c r="PHR130" s="72"/>
      <c r="PHS130" s="72"/>
      <c r="PHT130" s="72"/>
      <c r="PHU130" s="72"/>
      <c r="PHV130" s="72"/>
      <c r="PHW130" s="72"/>
      <c r="PHX130" s="72"/>
      <c r="PHY130" s="72"/>
      <c r="PHZ130" s="72"/>
      <c r="PIA130" s="72"/>
      <c r="PIB130" s="72"/>
      <c r="PIC130" s="72"/>
      <c r="PID130" s="72"/>
      <c r="PIE130" s="72"/>
      <c r="PIF130" s="72"/>
      <c r="PIG130" s="72"/>
      <c r="PIH130" s="72"/>
      <c r="PII130" s="72"/>
      <c r="PIJ130" s="72"/>
      <c r="PIK130" s="72"/>
      <c r="PIL130" s="72"/>
      <c r="PIM130" s="72"/>
      <c r="PIN130" s="72"/>
      <c r="PIO130" s="72"/>
      <c r="PIP130" s="72"/>
      <c r="PIQ130" s="72"/>
      <c r="PIR130" s="72"/>
      <c r="PIS130" s="72"/>
      <c r="PIT130" s="72"/>
      <c r="PIU130" s="72"/>
      <c r="PIV130" s="72"/>
      <c r="PIW130" s="72"/>
      <c r="PIX130" s="72"/>
      <c r="PIY130" s="72"/>
      <c r="PIZ130" s="72"/>
      <c r="PJA130" s="72"/>
      <c r="PJB130" s="72"/>
      <c r="PJC130" s="72"/>
      <c r="PJD130" s="72"/>
      <c r="PJE130" s="72"/>
      <c r="PJF130" s="72"/>
      <c r="PJG130" s="72"/>
      <c r="PJH130" s="72"/>
      <c r="PJI130" s="72"/>
      <c r="PJJ130" s="72"/>
      <c r="PJK130" s="72"/>
      <c r="PJL130" s="72"/>
      <c r="PJM130" s="72"/>
      <c r="PJN130" s="72"/>
      <c r="PJO130" s="72"/>
      <c r="PJP130" s="72"/>
      <c r="PJQ130" s="72"/>
      <c r="PJR130" s="72"/>
      <c r="PJS130" s="72"/>
      <c r="PJT130" s="72"/>
      <c r="PJU130" s="72"/>
      <c r="PJV130" s="72"/>
      <c r="PJW130" s="72"/>
      <c r="PJX130" s="72"/>
      <c r="PJY130" s="72"/>
      <c r="PJZ130" s="72"/>
      <c r="PKA130" s="72"/>
      <c r="PKB130" s="72"/>
      <c r="PKC130" s="72"/>
      <c r="PKD130" s="72"/>
      <c r="PKE130" s="72"/>
      <c r="PKF130" s="72"/>
      <c r="PKG130" s="72"/>
      <c r="PKH130" s="72"/>
      <c r="PKI130" s="72"/>
      <c r="PKJ130" s="72"/>
      <c r="PKK130" s="72"/>
      <c r="PKL130" s="72"/>
      <c r="PKM130" s="72"/>
      <c r="PKN130" s="72"/>
      <c r="PKO130" s="72"/>
      <c r="PKP130" s="72"/>
      <c r="PKQ130" s="72"/>
      <c r="PKR130" s="72"/>
      <c r="PKS130" s="72"/>
      <c r="PKT130" s="72"/>
      <c r="PKU130" s="72"/>
      <c r="PKV130" s="72"/>
      <c r="PKW130" s="72"/>
      <c r="PKX130" s="72"/>
      <c r="PKY130" s="72"/>
      <c r="PKZ130" s="72"/>
      <c r="PLA130" s="72"/>
      <c r="PLB130" s="72"/>
      <c r="PLC130" s="72"/>
      <c r="PLD130" s="72"/>
      <c r="PLE130" s="72"/>
      <c r="PLF130" s="72"/>
      <c r="PLG130" s="72"/>
      <c r="PLH130" s="72"/>
      <c r="PLI130" s="72"/>
      <c r="PLJ130" s="72"/>
      <c r="PLK130" s="72"/>
      <c r="PLL130" s="72"/>
      <c r="PLM130" s="72"/>
      <c r="PLN130" s="72"/>
      <c r="PLO130" s="72"/>
      <c r="PLP130" s="72"/>
      <c r="PLQ130" s="72"/>
      <c r="PLR130" s="72"/>
      <c r="PLS130" s="72"/>
      <c r="PLT130" s="72"/>
      <c r="PLU130" s="72"/>
      <c r="PLV130" s="72"/>
      <c r="PLW130" s="72"/>
      <c r="PLX130" s="72"/>
      <c r="PLY130" s="72"/>
      <c r="PLZ130" s="72"/>
      <c r="PMA130" s="72"/>
      <c r="PMB130" s="72"/>
      <c r="PMC130" s="72"/>
      <c r="PMD130" s="72"/>
      <c r="PME130" s="72"/>
      <c r="PMF130" s="72"/>
      <c r="PMG130" s="72"/>
      <c r="PMH130" s="72"/>
      <c r="PMI130" s="72"/>
      <c r="PMJ130" s="72"/>
      <c r="PMK130" s="72"/>
      <c r="PML130" s="72"/>
      <c r="PMM130" s="72"/>
      <c r="PMN130" s="72"/>
      <c r="PMO130" s="72"/>
      <c r="PMP130" s="72"/>
      <c r="PMQ130" s="72"/>
      <c r="PMR130" s="72"/>
      <c r="PMS130" s="72"/>
      <c r="PMT130" s="72"/>
      <c r="PMU130" s="72"/>
      <c r="PMV130" s="72"/>
      <c r="PMW130" s="72"/>
      <c r="PMX130" s="72"/>
      <c r="PMY130" s="72"/>
      <c r="PMZ130" s="72"/>
      <c r="PNA130" s="72"/>
      <c r="PNB130" s="72"/>
      <c r="PNC130" s="72"/>
      <c r="PND130" s="72"/>
      <c r="PNE130" s="72"/>
      <c r="PNF130" s="72"/>
      <c r="PNG130" s="72"/>
      <c r="PNH130" s="72"/>
      <c r="PNI130" s="72"/>
      <c r="PNJ130" s="72"/>
      <c r="PNK130" s="72"/>
      <c r="PNL130" s="72"/>
      <c r="PNM130" s="72"/>
      <c r="PNN130" s="72"/>
      <c r="PNO130" s="72"/>
      <c r="PNP130" s="72"/>
      <c r="PNQ130" s="72"/>
      <c r="PNR130" s="72"/>
      <c r="PNS130" s="72"/>
      <c r="PNT130" s="72"/>
      <c r="PNU130" s="72"/>
      <c r="PNV130" s="72"/>
      <c r="PNW130" s="72"/>
      <c r="PNX130" s="72"/>
      <c r="PNY130" s="72"/>
      <c r="PNZ130" s="72"/>
      <c r="POA130" s="72"/>
      <c r="POB130" s="72"/>
      <c r="POC130" s="72"/>
      <c r="POD130" s="72"/>
      <c r="POE130" s="72"/>
      <c r="POF130" s="72"/>
      <c r="POG130" s="72"/>
      <c r="POH130" s="72"/>
      <c r="POI130" s="72"/>
      <c r="POJ130" s="72"/>
      <c r="POK130" s="72"/>
      <c r="POL130" s="72"/>
      <c r="POM130" s="72"/>
      <c r="PON130" s="72"/>
      <c r="POO130" s="72"/>
      <c r="POP130" s="72"/>
      <c r="POQ130" s="72"/>
      <c r="POR130" s="72"/>
      <c r="POS130" s="72"/>
      <c r="POT130" s="72"/>
      <c r="POU130" s="72"/>
      <c r="POV130" s="72"/>
      <c r="POW130" s="72"/>
      <c r="POX130" s="72"/>
      <c r="POY130" s="72"/>
      <c r="POZ130" s="72"/>
      <c r="PPA130" s="72"/>
      <c r="PPB130" s="72"/>
      <c r="PPC130" s="72"/>
      <c r="PPD130" s="72"/>
      <c r="PPE130" s="72"/>
      <c r="PPF130" s="72"/>
      <c r="PPG130" s="72"/>
      <c r="PPH130" s="72"/>
      <c r="PPI130" s="72"/>
      <c r="PPJ130" s="72"/>
      <c r="PPK130" s="72"/>
      <c r="PPL130" s="72"/>
      <c r="PPM130" s="72"/>
      <c r="PPN130" s="72"/>
      <c r="PPO130" s="72"/>
      <c r="PPP130" s="72"/>
      <c r="PPQ130" s="72"/>
      <c r="PPR130" s="72"/>
      <c r="PPS130" s="72"/>
      <c r="PPT130" s="72"/>
      <c r="PPU130" s="72"/>
      <c r="PPV130" s="72"/>
      <c r="PPW130" s="72"/>
      <c r="PPX130" s="72"/>
      <c r="PPY130" s="72"/>
      <c r="PPZ130" s="72"/>
      <c r="PQA130" s="72"/>
      <c r="PQB130" s="72"/>
      <c r="PQC130" s="72"/>
      <c r="PQD130" s="72"/>
      <c r="PQE130" s="72"/>
      <c r="PQF130" s="72"/>
      <c r="PQG130" s="72"/>
      <c r="PQH130" s="72"/>
      <c r="PQI130" s="72"/>
      <c r="PQJ130" s="72"/>
      <c r="PQK130" s="72"/>
      <c r="PQL130" s="72"/>
      <c r="PQM130" s="72"/>
      <c r="PQN130" s="72"/>
      <c r="PQO130" s="72"/>
      <c r="PQP130" s="72"/>
      <c r="PQQ130" s="72"/>
      <c r="PQR130" s="72"/>
      <c r="PQS130" s="72"/>
      <c r="PQT130" s="72"/>
      <c r="PQU130" s="72"/>
      <c r="PQV130" s="72"/>
      <c r="PQW130" s="72"/>
      <c r="PQX130" s="72"/>
      <c r="PQY130" s="72"/>
      <c r="PQZ130" s="72"/>
      <c r="PRA130" s="72"/>
      <c r="PRB130" s="72"/>
      <c r="PRC130" s="72"/>
      <c r="PRD130" s="72"/>
      <c r="PRE130" s="72"/>
      <c r="PRF130" s="72"/>
      <c r="PRG130" s="72"/>
      <c r="PRH130" s="72"/>
      <c r="PRI130" s="72"/>
      <c r="PRJ130" s="72"/>
      <c r="PRK130" s="72"/>
      <c r="PRL130" s="72"/>
      <c r="PRM130" s="72"/>
      <c r="PRN130" s="72"/>
      <c r="PRO130" s="72"/>
      <c r="PRP130" s="72"/>
      <c r="PRQ130" s="72"/>
      <c r="PRR130" s="72"/>
      <c r="PRS130" s="72"/>
      <c r="PRT130" s="72"/>
      <c r="PRU130" s="72"/>
      <c r="PRV130" s="72"/>
      <c r="PRW130" s="72"/>
      <c r="PRX130" s="72"/>
      <c r="PRY130" s="72"/>
      <c r="PRZ130" s="72"/>
      <c r="PSA130" s="72"/>
      <c r="PSB130" s="72"/>
      <c r="PSC130" s="72"/>
      <c r="PSD130" s="72"/>
      <c r="PSE130" s="72"/>
      <c r="PSF130" s="72"/>
      <c r="PSG130" s="72"/>
      <c r="PSH130" s="72"/>
      <c r="PSI130" s="72"/>
      <c r="PSJ130" s="72"/>
      <c r="PSK130" s="72"/>
      <c r="PSL130" s="72"/>
      <c r="PSM130" s="72"/>
      <c r="PSN130" s="72"/>
      <c r="PSO130" s="72"/>
      <c r="PSP130" s="72"/>
      <c r="PSQ130" s="72"/>
      <c r="PSR130" s="72"/>
      <c r="PSS130" s="72"/>
      <c r="PST130" s="72"/>
      <c r="PSU130" s="72"/>
      <c r="PSV130" s="72"/>
      <c r="PSW130" s="72"/>
      <c r="PSX130" s="72"/>
      <c r="PSY130" s="72"/>
      <c r="PSZ130" s="72"/>
      <c r="PTA130" s="72"/>
      <c r="PTB130" s="72"/>
      <c r="PTC130" s="72"/>
      <c r="PTD130" s="72"/>
      <c r="PTE130" s="72"/>
      <c r="PTF130" s="72"/>
      <c r="PTG130" s="72"/>
      <c r="PTH130" s="72"/>
      <c r="PTI130" s="72"/>
      <c r="PTJ130" s="72"/>
      <c r="PTK130" s="72"/>
      <c r="PTL130" s="72"/>
      <c r="PTM130" s="72"/>
      <c r="PTN130" s="72"/>
      <c r="PTO130" s="72"/>
      <c r="PTP130" s="72"/>
      <c r="PTQ130" s="72"/>
      <c r="PTR130" s="72"/>
      <c r="PTS130" s="72"/>
      <c r="PTT130" s="72"/>
      <c r="PTU130" s="72"/>
      <c r="PTV130" s="72"/>
      <c r="PTW130" s="72"/>
      <c r="PTX130" s="72"/>
      <c r="PTY130" s="72"/>
      <c r="PTZ130" s="72"/>
      <c r="PUA130" s="72"/>
      <c r="PUB130" s="72"/>
      <c r="PUC130" s="72"/>
      <c r="PUD130" s="72"/>
      <c r="PUE130" s="72"/>
      <c r="PUF130" s="72"/>
      <c r="PUG130" s="72"/>
      <c r="PUH130" s="72"/>
      <c r="PUI130" s="72"/>
      <c r="PUJ130" s="72"/>
      <c r="PUK130" s="72"/>
      <c r="PUL130" s="72"/>
      <c r="PUM130" s="72"/>
      <c r="PUN130" s="72"/>
      <c r="PUO130" s="72"/>
      <c r="PUP130" s="72"/>
      <c r="PUQ130" s="72"/>
      <c r="PUR130" s="72"/>
      <c r="PUS130" s="72"/>
      <c r="PUT130" s="72"/>
      <c r="PUU130" s="72"/>
      <c r="PUV130" s="72"/>
      <c r="PUW130" s="72"/>
      <c r="PUX130" s="72"/>
      <c r="PUY130" s="72"/>
      <c r="PUZ130" s="72"/>
      <c r="PVA130" s="72"/>
      <c r="PVB130" s="72"/>
      <c r="PVC130" s="72"/>
      <c r="PVD130" s="72"/>
      <c r="PVE130" s="72"/>
      <c r="PVF130" s="72"/>
      <c r="PVG130" s="72"/>
      <c r="PVH130" s="72"/>
      <c r="PVI130" s="72"/>
      <c r="PVJ130" s="72"/>
      <c r="PVK130" s="72"/>
      <c r="PVL130" s="72"/>
      <c r="PVM130" s="72"/>
      <c r="PVN130" s="72"/>
      <c r="PVO130" s="72"/>
      <c r="PVP130" s="72"/>
      <c r="PVQ130" s="72"/>
      <c r="PVR130" s="72"/>
      <c r="PVS130" s="72"/>
      <c r="PVT130" s="72"/>
      <c r="PVU130" s="72"/>
      <c r="PVV130" s="72"/>
      <c r="PVW130" s="72"/>
      <c r="PVX130" s="72"/>
      <c r="PVY130" s="72"/>
      <c r="PVZ130" s="72"/>
      <c r="PWA130" s="72"/>
      <c r="PWB130" s="72"/>
      <c r="PWC130" s="72"/>
      <c r="PWD130" s="72"/>
      <c r="PWE130" s="72"/>
      <c r="PWF130" s="72"/>
      <c r="PWG130" s="72"/>
      <c r="PWH130" s="72"/>
      <c r="PWI130" s="72"/>
      <c r="PWJ130" s="72"/>
      <c r="PWK130" s="72"/>
      <c r="PWL130" s="72"/>
      <c r="PWM130" s="72"/>
      <c r="PWN130" s="72"/>
      <c r="PWO130" s="72"/>
      <c r="PWP130" s="72"/>
      <c r="PWQ130" s="72"/>
      <c r="PWR130" s="72"/>
      <c r="PWS130" s="72"/>
      <c r="PWT130" s="72"/>
      <c r="PWU130" s="72"/>
      <c r="PWV130" s="72"/>
      <c r="PWW130" s="72"/>
      <c r="PWX130" s="72"/>
      <c r="PWY130" s="72"/>
      <c r="PWZ130" s="72"/>
      <c r="PXA130" s="72"/>
      <c r="PXB130" s="72"/>
      <c r="PXC130" s="72"/>
      <c r="PXD130" s="72"/>
      <c r="PXE130" s="72"/>
      <c r="PXF130" s="72"/>
      <c r="PXG130" s="72"/>
      <c r="PXH130" s="72"/>
      <c r="PXI130" s="72"/>
      <c r="PXJ130" s="72"/>
      <c r="PXK130" s="72"/>
      <c r="PXL130" s="72"/>
      <c r="PXM130" s="72"/>
      <c r="PXN130" s="72"/>
      <c r="PXO130" s="72"/>
      <c r="PXP130" s="72"/>
      <c r="PXQ130" s="72"/>
      <c r="PXR130" s="72"/>
      <c r="PXS130" s="72"/>
      <c r="PXT130" s="72"/>
      <c r="PXU130" s="72"/>
      <c r="PXV130" s="72"/>
      <c r="PXW130" s="72"/>
      <c r="PXX130" s="72"/>
      <c r="PXY130" s="72"/>
      <c r="PXZ130" s="72"/>
      <c r="PYA130" s="72"/>
      <c r="PYB130" s="72"/>
      <c r="PYC130" s="72"/>
      <c r="PYD130" s="72"/>
      <c r="PYE130" s="72"/>
      <c r="PYF130" s="72"/>
      <c r="PYG130" s="72"/>
      <c r="PYH130" s="72"/>
      <c r="PYI130" s="72"/>
      <c r="PYJ130" s="72"/>
      <c r="PYK130" s="72"/>
      <c r="PYL130" s="72"/>
      <c r="PYM130" s="72"/>
      <c r="PYN130" s="72"/>
      <c r="PYO130" s="72"/>
      <c r="PYP130" s="72"/>
      <c r="PYQ130" s="72"/>
      <c r="PYR130" s="72"/>
      <c r="PYS130" s="72"/>
      <c r="PYT130" s="72"/>
      <c r="PYU130" s="72"/>
      <c r="PYV130" s="72"/>
      <c r="PYW130" s="72"/>
      <c r="PYX130" s="72"/>
      <c r="PYY130" s="72"/>
      <c r="PYZ130" s="72"/>
      <c r="PZA130" s="72"/>
      <c r="PZB130" s="72"/>
      <c r="PZC130" s="72"/>
      <c r="PZD130" s="72"/>
      <c r="PZE130" s="72"/>
      <c r="PZF130" s="72"/>
      <c r="PZG130" s="72"/>
      <c r="PZH130" s="72"/>
      <c r="PZI130" s="72"/>
      <c r="PZJ130" s="72"/>
      <c r="PZK130" s="72"/>
      <c r="PZL130" s="72"/>
      <c r="PZM130" s="72"/>
      <c r="PZN130" s="72"/>
      <c r="PZO130" s="72"/>
      <c r="PZP130" s="72"/>
      <c r="PZQ130" s="72"/>
      <c r="PZR130" s="72"/>
      <c r="PZS130" s="72"/>
      <c r="PZT130" s="72"/>
      <c r="PZU130" s="72"/>
      <c r="PZV130" s="72"/>
      <c r="PZW130" s="72"/>
      <c r="PZX130" s="72"/>
      <c r="PZY130" s="72"/>
      <c r="PZZ130" s="72"/>
      <c r="QAA130" s="72"/>
      <c r="QAB130" s="72"/>
      <c r="QAC130" s="72"/>
      <c r="QAD130" s="72"/>
      <c r="QAE130" s="72"/>
      <c r="QAF130" s="72"/>
      <c r="QAG130" s="72"/>
      <c r="QAH130" s="72"/>
      <c r="QAI130" s="72"/>
      <c r="QAJ130" s="72"/>
      <c r="QAK130" s="72"/>
      <c r="QAL130" s="72"/>
      <c r="QAM130" s="72"/>
      <c r="QAN130" s="72"/>
      <c r="QAO130" s="72"/>
      <c r="QAP130" s="72"/>
      <c r="QAQ130" s="72"/>
      <c r="QAR130" s="72"/>
      <c r="QAS130" s="72"/>
      <c r="QAT130" s="72"/>
      <c r="QAU130" s="72"/>
      <c r="QAV130" s="72"/>
      <c r="QAW130" s="72"/>
      <c r="QAX130" s="72"/>
      <c r="QAY130" s="72"/>
      <c r="QAZ130" s="72"/>
      <c r="QBA130" s="72"/>
      <c r="QBB130" s="72"/>
      <c r="QBC130" s="72"/>
      <c r="QBD130" s="72"/>
      <c r="QBE130" s="72"/>
      <c r="QBF130" s="72"/>
      <c r="QBG130" s="72"/>
      <c r="QBH130" s="72"/>
      <c r="QBI130" s="72"/>
      <c r="QBJ130" s="72"/>
      <c r="QBK130" s="72"/>
      <c r="QBL130" s="72"/>
      <c r="QBM130" s="72"/>
      <c r="QBN130" s="72"/>
      <c r="QBO130" s="72"/>
      <c r="QBP130" s="72"/>
      <c r="QBQ130" s="72"/>
      <c r="QBR130" s="72"/>
      <c r="QBS130" s="72"/>
      <c r="QBT130" s="72"/>
      <c r="QBU130" s="72"/>
      <c r="QBV130" s="72"/>
      <c r="QBW130" s="72"/>
      <c r="QBX130" s="72"/>
      <c r="QBY130" s="72"/>
      <c r="QBZ130" s="72"/>
      <c r="QCA130" s="72"/>
      <c r="QCB130" s="72"/>
      <c r="QCC130" s="72"/>
      <c r="QCD130" s="72"/>
      <c r="QCE130" s="72"/>
      <c r="QCF130" s="72"/>
      <c r="QCG130" s="72"/>
      <c r="QCH130" s="72"/>
      <c r="QCI130" s="72"/>
      <c r="QCJ130" s="72"/>
      <c r="QCK130" s="72"/>
      <c r="QCL130" s="72"/>
      <c r="QCM130" s="72"/>
      <c r="QCN130" s="72"/>
      <c r="QCO130" s="72"/>
      <c r="QCP130" s="72"/>
      <c r="QCQ130" s="72"/>
      <c r="QCR130" s="72"/>
      <c r="QCS130" s="72"/>
      <c r="QCT130" s="72"/>
      <c r="QCU130" s="72"/>
      <c r="QCV130" s="72"/>
      <c r="QCW130" s="72"/>
      <c r="QCX130" s="72"/>
      <c r="QCY130" s="72"/>
      <c r="QCZ130" s="72"/>
      <c r="QDA130" s="72"/>
      <c r="QDB130" s="72"/>
      <c r="QDC130" s="72"/>
      <c r="QDD130" s="72"/>
      <c r="QDE130" s="72"/>
      <c r="QDF130" s="72"/>
      <c r="QDG130" s="72"/>
      <c r="QDH130" s="72"/>
      <c r="QDI130" s="72"/>
      <c r="QDJ130" s="72"/>
      <c r="QDK130" s="72"/>
      <c r="QDL130" s="72"/>
      <c r="QDM130" s="72"/>
      <c r="QDN130" s="72"/>
      <c r="QDO130" s="72"/>
      <c r="QDP130" s="72"/>
      <c r="QDQ130" s="72"/>
      <c r="QDR130" s="72"/>
      <c r="QDS130" s="72"/>
      <c r="QDT130" s="72"/>
      <c r="QDU130" s="72"/>
      <c r="QDV130" s="72"/>
      <c r="QDW130" s="72"/>
      <c r="QDX130" s="72"/>
      <c r="QDY130" s="72"/>
      <c r="QDZ130" s="72"/>
      <c r="QEA130" s="72"/>
      <c r="QEB130" s="72"/>
      <c r="QEC130" s="72"/>
      <c r="QED130" s="72"/>
      <c r="QEE130" s="72"/>
      <c r="QEF130" s="72"/>
      <c r="QEG130" s="72"/>
      <c r="QEH130" s="72"/>
      <c r="QEI130" s="72"/>
      <c r="QEJ130" s="72"/>
      <c r="QEK130" s="72"/>
      <c r="QEL130" s="72"/>
      <c r="QEM130" s="72"/>
      <c r="QEN130" s="72"/>
      <c r="QEO130" s="72"/>
      <c r="QEP130" s="72"/>
      <c r="QEQ130" s="72"/>
      <c r="QER130" s="72"/>
      <c r="QES130" s="72"/>
      <c r="QET130" s="72"/>
      <c r="QEU130" s="72"/>
      <c r="QEV130" s="72"/>
      <c r="QEW130" s="72"/>
      <c r="QEX130" s="72"/>
      <c r="QEY130" s="72"/>
      <c r="QEZ130" s="72"/>
      <c r="QFA130" s="72"/>
      <c r="QFB130" s="72"/>
      <c r="QFC130" s="72"/>
      <c r="QFD130" s="72"/>
      <c r="QFE130" s="72"/>
      <c r="QFF130" s="72"/>
      <c r="QFG130" s="72"/>
      <c r="QFH130" s="72"/>
      <c r="QFI130" s="72"/>
      <c r="QFJ130" s="72"/>
      <c r="QFK130" s="72"/>
      <c r="QFL130" s="72"/>
      <c r="QFM130" s="72"/>
      <c r="QFN130" s="72"/>
      <c r="QFO130" s="72"/>
      <c r="QFP130" s="72"/>
      <c r="QFQ130" s="72"/>
      <c r="QFR130" s="72"/>
      <c r="QFS130" s="72"/>
      <c r="QFT130" s="72"/>
      <c r="QFU130" s="72"/>
      <c r="QFV130" s="72"/>
      <c r="QFW130" s="72"/>
      <c r="QFX130" s="72"/>
      <c r="QFY130" s="72"/>
      <c r="QFZ130" s="72"/>
      <c r="QGA130" s="72"/>
      <c r="QGB130" s="72"/>
      <c r="QGC130" s="72"/>
      <c r="QGD130" s="72"/>
      <c r="QGE130" s="72"/>
      <c r="QGF130" s="72"/>
      <c r="QGG130" s="72"/>
      <c r="QGH130" s="72"/>
      <c r="QGI130" s="72"/>
      <c r="QGJ130" s="72"/>
      <c r="QGK130" s="72"/>
      <c r="QGL130" s="72"/>
      <c r="QGM130" s="72"/>
      <c r="QGN130" s="72"/>
      <c r="QGO130" s="72"/>
      <c r="QGP130" s="72"/>
      <c r="QGQ130" s="72"/>
      <c r="QGR130" s="72"/>
      <c r="QGS130" s="72"/>
      <c r="QGT130" s="72"/>
      <c r="QGU130" s="72"/>
      <c r="QGV130" s="72"/>
      <c r="QGW130" s="72"/>
      <c r="QGX130" s="72"/>
      <c r="QGY130" s="72"/>
      <c r="QGZ130" s="72"/>
      <c r="QHA130" s="72"/>
      <c r="QHB130" s="72"/>
      <c r="QHC130" s="72"/>
      <c r="QHD130" s="72"/>
      <c r="QHE130" s="72"/>
      <c r="QHF130" s="72"/>
      <c r="QHG130" s="72"/>
      <c r="QHH130" s="72"/>
      <c r="QHI130" s="72"/>
      <c r="QHJ130" s="72"/>
      <c r="QHK130" s="72"/>
      <c r="QHL130" s="72"/>
      <c r="QHM130" s="72"/>
      <c r="QHN130" s="72"/>
      <c r="QHO130" s="72"/>
      <c r="QHP130" s="72"/>
      <c r="QHQ130" s="72"/>
      <c r="QHR130" s="72"/>
      <c r="QHS130" s="72"/>
      <c r="QHT130" s="72"/>
      <c r="QHU130" s="72"/>
      <c r="QHV130" s="72"/>
      <c r="QHW130" s="72"/>
      <c r="QHX130" s="72"/>
      <c r="QHY130" s="72"/>
      <c r="QHZ130" s="72"/>
      <c r="QIA130" s="72"/>
      <c r="QIB130" s="72"/>
      <c r="QIC130" s="72"/>
      <c r="QID130" s="72"/>
      <c r="QIE130" s="72"/>
      <c r="QIF130" s="72"/>
      <c r="QIG130" s="72"/>
      <c r="QIH130" s="72"/>
      <c r="QII130" s="72"/>
      <c r="QIJ130" s="72"/>
      <c r="QIK130" s="72"/>
      <c r="QIL130" s="72"/>
      <c r="QIM130" s="72"/>
      <c r="QIN130" s="72"/>
      <c r="QIO130" s="72"/>
      <c r="QIP130" s="72"/>
      <c r="QIQ130" s="72"/>
      <c r="QIR130" s="72"/>
      <c r="QIS130" s="72"/>
      <c r="QIT130" s="72"/>
      <c r="QIU130" s="72"/>
      <c r="QIV130" s="72"/>
      <c r="QIW130" s="72"/>
      <c r="QIX130" s="72"/>
      <c r="QIY130" s="72"/>
      <c r="QIZ130" s="72"/>
      <c r="QJA130" s="72"/>
      <c r="QJB130" s="72"/>
      <c r="QJC130" s="72"/>
      <c r="QJD130" s="72"/>
      <c r="QJE130" s="72"/>
      <c r="QJF130" s="72"/>
      <c r="QJG130" s="72"/>
      <c r="QJH130" s="72"/>
      <c r="QJI130" s="72"/>
      <c r="QJJ130" s="72"/>
      <c r="QJK130" s="72"/>
      <c r="QJL130" s="72"/>
      <c r="QJM130" s="72"/>
      <c r="QJN130" s="72"/>
      <c r="QJO130" s="72"/>
      <c r="QJP130" s="72"/>
      <c r="QJQ130" s="72"/>
      <c r="QJR130" s="72"/>
      <c r="QJS130" s="72"/>
      <c r="QJT130" s="72"/>
      <c r="QJU130" s="72"/>
      <c r="QJV130" s="72"/>
      <c r="QJW130" s="72"/>
      <c r="QJX130" s="72"/>
      <c r="QJY130" s="72"/>
      <c r="QJZ130" s="72"/>
      <c r="QKA130" s="72"/>
      <c r="QKB130" s="72"/>
      <c r="QKC130" s="72"/>
      <c r="QKD130" s="72"/>
      <c r="QKE130" s="72"/>
      <c r="QKF130" s="72"/>
      <c r="QKG130" s="72"/>
      <c r="QKH130" s="72"/>
      <c r="QKI130" s="72"/>
      <c r="QKJ130" s="72"/>
      <c r="QKK130" s="72"/>
      <c r="QKL130" s="72"/>
      <c r="QKM130" s="72"/>
      <c r="QKN130" s="72"/>
      <c r="QKO130" s="72"/>
      <c r="QKP130" s="72"/>
      <c r="QKQ130" s="72"/>
      <c r="QKR130" s="72"/>
      <c r="QKS130" s="72"/>
      <c r="QKT130" s="72"/>
      <c r="QKU130" s="72"/>
      <c r="QKV130" s="72"/>
      <c r="QKW130" s="72"/>
      <c r="QKX130" s="72"/>
      <c r="QKY130" s="72"/>
      <c r="QKZ130" s="72"/>
      <c r="QLA130" s="72"/>
      <c r="QLB130" s="72"/>
      <c r="QLC130" s="72"/>
      <c r="QLD130" s="72"/>
      <c r="QLE130" s="72"/>
      <c r="QLF130" s="72"/>
      <c r="QLG130" s="72"/>
      <c r="QLH130" s="72"/>
      <c r="QLI130" s="72"/>
      <c r="QLJ130" s="72"/>
      <c r="QLK130" s="72"/>
      <c r="QLL130" s="72"/>
      <c r="QLM130" s="72"/>
      <c r="QLN130" s="72"/>
      <c r="QLO130" s="72"/>
      <c r="QLP130" s="72"/>
      <c r="QLQ130" s="72"/>
      <c r="QLR130" s="72"/>
      <c r="QLS130" s="72"/>
      <c r="QLT130" s="72"/>
      <c r="QLU130" s="72"/>
      <c r="QLV130" s="72"/>
      <c r="QLW130" s="72"/>
      <c r="QLX130" s="72"/>
      <c r="QLY130" s="72"/>
      <c r="QLZ130" s="72"/>
      <c r="QMA130" s="72"/>
      <c r="QMB130" s="72"/>
      <c r="QMC130" s="72"/>
      <c r="QMD130" s="72"/>
      <c r="QME130" s="72"/>
      <c r="QMF130" s="72"/>
      <c r="QMG130" s="72"/>
      <c r="QMH130" s="72"/>
      <c r="QMI130" s="72"/>
      <c r="QMJ130" s="72"/>
      <c r="QMK130" s="72"/>
      <c r="QML130" s="72"/>
      <c r="QMM130" s="72"/>
      <c r="QMN130" s="72"/>
      <c r="QMO130" s="72"/>
      <c r="QMP130" s="72"/>
      <c r="QMQ130" s="72"/>
      <c r="QMR130" s="72"/>
      <c r="QMS130" s="72"/>
      <c r="QMT130" s="72"/>
      <c r="QMU130" s="72"/>
      <c r="QMV130" s="72"/>
      <c r="QMW130" s="72"/>
      <c r="QMX130" s="72"/>
      <c r="QMY130" s="72"/>
      <c r="QMZ130" s="72"/>
      <c r="QNA130" s="72"/>
      <c r="QNB130" s="72"/>
      <c r="QNC130" s="72"/>
      <c r="QND130" s="72"/>
      <c r="QNE130" s="72"/>
      <c r="QNF130" s="72"/>
      <c r="QNG130" s="72"/>
      <c r="QNH130" s="72"/>
      <c r="QNI130" s="72"/>
      <c r="QNJ130" s="72"/>
      <c r="QNK130" s="72"/>
      <c r="QNL130" s="72"/>
      <c r="QNM130" s="72"/>
      <c r="QNN130" s="72"/>
      <c r="QNO130" s="72"/>
      <c r="QNP130" s="72"/>
      <c r="QNQ130" s="72"/>
      <c r="QNR130" s="72"/>
      <c r="QNS130" s="72"/>
      <c r="QNT130" s="72"/>
      <c r="QNU130" s="72"/>
      <c r="QNV130" s="72"/>
      <c r="QNW130" s="72"/>
      <c r="QNX130" s="72"/>
      <c r="QNY130" s="72"/>
      <c r="QNZ130" s="72"/>
      <c r="QOA130" s="72"/>
      <c r="QOB130" s="72"/>
      <c r="QOC130" s="72"/>
      <c r="QOD130" s="72"/>
      <c r="QOE130" s="72"/>
      <c r="QOF130" s="72"/>
      <c r="QOG130" s="72"/>
      <c r="QOH130" s="72"/>
      <c r="QOI130" s="72"/>
      <c r="QOJ130" s="72"/>
      <c r="QOK130" s="72"/>
      <c r="QOL130" s="72"/>
      <c r="QOM130" s="72"/>
      <c r="QON130" s="72"/>
      <c r="QOO130" s="72"/>
      <c r="QOP130" s="72"/>
      <c r="QOQ130" s="72"/>
      <c r="QOR130" s="72"/>
      <c r="QOS130" s="72"/>
      <c r="QOT130" s="72"/>
      <c r="QOU130" s="72"/>
      <c r="QOV130" s="72"/>
      <c r="QOW130" s="72"/>
      <c r="QOX130" s="72"/>
      <c r="QOY130" s="72"/>
      <c r="QOZ130" s="72"/>
      <c r="QPA130" s="72"/>
      <c r="QPB130" s="72"/>
      <c r="QPC130" s="72"/>
      <c r="QPD130" s="72"/>
      <c r="QPE130" s="72"/>
      <c r="QPF130" s="72"/>
      <c r="QPG130" s="72"/>
      <c r="QPH130" s="72"/>
      <c r="QPI130" s="72"/>
      <c r="QPJ130" s="72"/>
      <c r="QPK130" s="72"/>
      <c r="QPL130" s="72"/>
      <c r="QPM130" s="72"/>
      <c r="QPN130" s="72"/>
      <c r="QPO130" s="72"/>
      <c r="QPP130" s="72"/>
      <c r="QPQ130" s="72"/>
      <c r="QPR130" s="72"/>
      <c r="QPS130" s="72"/>
      <c r="QPT130" s="72"/>
      <c r="QPU130" s="72"/>
      <c r="QPV130" s="72"/>
      <c r="QPW130" s="72"/>
      <c r="QPX130" s="72"/>
      <c r="QPY130" s="72"/>
      <c r="QPZ130" s="72"/>
      <c r="QQA130" s="72"/>
      <c r="QQB130" s="72"/>
      <c r="QQC130" s="72"/>
      <c r="QQD130" s="72"/>
      <c r="QQE130" s="72"/>
      <c r="QQF130" s="72"/>
      <c r="QQG130" s="72"/>
      <c r="QQH130" s="72"/>
      <c r="QQI130" s="72"/>
      <c r="QQJ130" s="72"/>
      <c r="QQK130" s="72"/>
      <c r="QQL130" s="72"/>
      <c r="QQM130" s="72"/>
      <c r="QQN130" s="72"/>
      <c r="QQO130" s="72"/>
      <c r="QQP130" s="72"/>
      <c r="QQQ130" s="72"/>
      <c r="QQR130" s="72"/>
      <c r="QQS130" s="72"/>
      <c r="QQT130" s="72"/>
      <c r="QQU130" s="72"/>
      <c r="QQV130" s="72"/>
      <c r="QQW130" s="72"/>
      <c r="QQX130" s="72"/>
      <c r="QQY130" s="72"/>
      <c r="QQZ130" s="72"/>
      <c r="QRA130" s="72"/>
      <c r="QRB130" s="72"/>
      <c r="QRC130" s="72"/>
      <c r="QRD130" s="72"/>
      <c r="QRE130" s="72"/>
      <c r="QRF130" s="72"/>
      <c r="QRG130" s="72"/>
      <c r="QRH130" s="72"/>
      <c r="QRI130" s="72"/>
      <c r="QRJ130" s="72"/>
      <c r="QRK130" s="72"/>
      <c r="QRL130" s="72"/>
      <c r="QRM130" s="72"/>
      <c r="QRN130" s="72"/>
      <c r="QRO130" s="72"/>
      <c r="QRP130" s="72"/>
      <c r="QRQ130" s="72"/>
      <c r="QRR130" s="72"/>
      <c r="QRS130" s="72"/>
      <c r="QRT130" s="72"/>
      <c r="QRU130" s="72"/>
      <c r="QRV130" s="72"/>
      <c r="QRW130" s="72"/>
      <c r="QRX130" s="72"/>
      <c r="QRY130" s="72"/>
      <c r="QRZ130" s="72"/>
      <c r="QSA130" s="72"/>
      <c r="QSB130" s="72"/>
      <c r="QSC130" s="72"/>
      <c r="QSD130" s="72"/>
      <c r="QSE130" s="72"/>
      <c r="QSF130" s="72"/>
      <c r="QSG130" s="72"/>
      <c r="QSH130" s="72"/>
      <c r="QSI130" s="72"/>
      <c r="QSJ130" s="72"/>
      <c r="QSK130" s="72"/>
      <c r="QSL130" s="72"/>
      <c r="QSM130" s="72"/>
      <c r="QSN130" s="72"/>
      <c r="QSO130" s="72"/>
      <c r="QSP130" s="72"/>
      <c r="QSQ130" s="72"/>
      <c r="QSR130" s="72"/>
      <c r="QSS130" s="72"/>
      <c r="QST130" s="72"/>
      <c r="QSU130" s="72"/>
      <c r="QSV130" s="72"/>
      <c r="QSW130" s="72"/>
      <c r="QSX130" s="72"/>
      <c r="QSY130" s="72"/>
      <c r="QSZ130" s="72"/>
      <c r="QTA130" s="72"/>
      <c r="QTB130" s="72"/>
      <c r="QTC130" s="72"/>
      <c r="QTD130" s="72"/>
      <c r="QTE130" s="72"/>
      <c r="QTF130" s="72"/>
      <c r="QTG130" s="72"/>
      <c r="QTH130" s="72"/>
      <c r="QTI130" s="72"/>
      <c r="QTJ130" s="72"/>
      <c r="QTK130" s="72"/>
      <c r="QTL130" s="72"/>
      <c r="QTM130" s="72"/>
      <c r="QTN130" s="72"/>
      <c r="QTO130" s="72"/>
      <c r="QTP130" s="72"/>
      <c r="QTQ130" s="72"/>
      <c r="QTR130" s="72"/>
      <c r="QTS130" s="72"/>
      <c r="QTT130" s="72"/>
      <c r="QTU130" s="72"/>
      <c r="QTV130" s="72"/>
      <c r="QTW130" s="72"/>
      <c r="QTX130" s="72"/>
      <c r="QTY130" s="72"/>
      <c r="QTZ130" s="72"/>
      <c r="QUA130" s="72"/>
      <c r="QUB130" s="72"/>
      <c r="QUC130" s="72"/>
      <c r="QUD130" s="72"/>
      <c r="QUE130" s="72"/>
      <c r="QUF130" s="72"/>
      <c r="QUG130" s="72"/>
      <c r="QUH130" s="72"/>
      <c r="QUI130" s="72"/>
      <c r="QUJ130" s="72"/>
      <c r="QUK130" s="72"/>
      <c r="QUL130" s="72"/>
      <c r="QUM130" s="72"/>
      <c r="QUN130" s="72"/>
      <c r="QUO130" s="72"/>
      <c r="QUP130" s="72"/>
      <c r="QUQ130" s="72"/>
      <c r="QUR130" s="72"/>
      <c r="QUS130" s="72"/>
      <c r="QUT130" s="72"/>
      <c r="QUU130" s="72"/>
      <c r="QUV130" s="72"/>
      <c r="QUW130" s="72"/>
      <c r="QUX130" s="72"/>
      <c r="QUY130" s="72"/>
      <c r="QUZ130" s="72"/>
      <c r="QVA130" s="72"/>
      <c r="QVB130" s="72"/>
      <c r="QVC130" s="72"/>
      <c r="QVD130" s="72"/>
      <c r="QVE130" s="72"/>
      <c r="QVF130" s="72"/>
      <c r="QVG130" s="72"/>
      <c r="QVH130" s="72"/>
      <c r="QVI130" s="72"/>
      <c r="QVJ130" s="72"/>
      <c r="QVK130" s="72"/>
      <c r="QVL130" s="72"/>
      <c r="QVM130" s="72"/>
      <c r="QVN130" s="72"/>
      <c r="QVO130" s="72"/>
      <c r="QVP130" s="72"/>
      <c r="QVQ130" s="72"/>
      <c r="QVR130" s="72"/>
      <c r="QVS130" s="72"/>
      <c r="QVT130" s="72"/>
      <c r="QVU130" s="72"/>
      <c r="QVV130" s="72"/>
      <c r="QVW130" s="72"/>
      <c r="QVX130" s="72"/>
      <c r="QVY130" s="72"/>
      <c r="QVZ130" s="72"/>
      <c r="QWA130" s="72"/>
      <c r="QWB130" s="72"/>
      <c r="QWC130" s="72"/>
      <c r="QWD130" s="72"/>
      <c r="QWE130" s="72"/>
      <c r="QWF130" s="72"/>
      <c r="QWG130" s="72"/>
      <c r="QWH130" s="72"/>
      <c r="QWI130" s="72"/>
      <c r="QWJ130" s="72"/>
      <c r="QWK130" s="72"/>
      <c r="QWL130" s="72"/>
      <c r="QWM130" s="72"/>
      <c r="QWN130" s="72"/>
      <c r="QWO130" s="72"/>
      <c r="QWP130" s="72"/>
      <c r="QWQ130" s="72"/>
      <c r="QWR130" s="72"/>
      <c r="QWS130" s="72"/>
      <c r="QWT130" s="72"/>
      <c r="QWU130" s="72"/>
      <c r="QWV130" s="72"/>
      <c r="QWW130" s="72"/>
      <c r="QWX130" s="72"/>
      <c r="QWY130" s="72"/>
      <c r="QWZ130" s="72"/>
      <c r="QXA130" s="72"/>
      <c r="QXB130" s="72"/>
      <c r="QXC130" s="72"/>
      <c r="QXD130" s="72"/>
      <c r="QXE130" s="72"/>
      <c r="QXF130" s="72"/>
      <c r="QXG130" s="72"/>
      <c r="QXH130" s="72"/>
      <c r="QXI130" s="72"/>
      <c r="QXJ130" s="72"/>
      <c r="QXK130" s="72"/>
      <c r="QXL130" s="72"/>
      <c r="QXM130" s="72"/>
      <c r="QXN130" s="72"/>
      <c r="QXO130" s="72"/>
      <c r="QXP130" s="72"/>
      <c r="QXQ130" s="72"/>
      <c r="QXR130" s="72"/>
      <c r="QXS130" s="72"/>
      <c r="QXT130" s="72"/>
      <c r="QXU130" s="72"/>
      <c r="QXV130" s="72"/>
      <c r="QXW130" s="72"/>
      <c r="QXX130" s="72"/>
      <c r="QXY130" s="72"/>
      <c r="QXZ130" s="72"/>
      <c r="QYA130" s="72"/>
      <c r="QYB130" s="72"/>
      <c r="QYC130" s="72"/>
      <c r="QYD130" s="72"/>
      <c r="QYE130" s="72"/>
      <c r="QYF130" s="72"/>
      <c r="QYG130" s="72"/>
      <c r="QYH130" s="72"/>
      <c r="QYI130" s="72"/>
      <c r="QYJ130" s="72"/>
      <c r="QYK130" s="72"/>
      <c r="QYL130" s="72"/>
      <c r="QYM130" s="72"/>
      <c r="QYN130" s="72"/>
      <c r="QYO130" s="72"/>
      <c r="QYP130" s="72"/>
      <c r="QYQ130" s="72"/>
      <c r="QYR130" s="72"/>
      <c r="QYS130" s="72"/>
      <c r="QYT130" s="72"/>
      <c r="QYU130" s="72"/>
      <c r="QYV130" s="72"/>
      <c r="QYW130" s="72"/>
      <c r="QYX130" s="72"/>
      <c r="QYY130" s="72"/>
      <c r="QYZ130" s="72"/>
      <c r="QZA130" s="72"/>
      <c r="QZB130" s="72"/>
      <c r="QZC130" s="72"/>
      <c r="QZD130" s="72"/>
      <c r="QZE130" s="72"/>
      <c r="QZF130" s="72"/>
      <c r="QZG130" s="72"/>
      <c r="QZH130" s="72"/>
      <c r="QZI130" s="72"/>
      <c r="QZJ130" s="72"/>
      <c r="QZK130" s="72"/>
      <c r="QZL130" s="72"/>
      <c r="QZM130" s="72"/>
      <c r="QZN130" s="72"/>
      <c r="QZO130" s="72"/>
      <c r="QZP130" s="72"/>
      <c r="QZQ130" s="72"/>
      <c r="QZR130" s="72"/>
      <c r="QZS130" s="72"/>
      <c r="QZT130" s="72"/>
      <c r="QZU130" s="72"/>
      <c r="QZV130" s="72"/>
      <c r="QZW130" s="72"/>
      <c r="QZX130" s="72"/>
      <c r="QZY130" s="72"/>
      <c r="QZZ130" s="72"/>
      <c r="RAA130" s="72"/>
      <c r="RAB130" s="72"/>
      <c r="RAC130" s="72"/>
      <c r="RAD130" s="72"/>
      <c r="RAE130" s="72"/>
      <c r="RAF130" s="72"/>
      <c r="RAG130" s="72"/>
      <c r="RAH130" s="72"/>
      <c r="RAI130" s="72"/>
      <c r="RAJ130" s="72"/>
      <c r="RAK130" s="72"/>
      <c r="RAL130" s="72"/>
      <c r="RAM130" s="72"/>
      <c r="RAN130" s="72"/>
      <c r="RAO130" s="72"/>
      <c r="RAP130" s="72"/>
      <c r="RAQ130" s="72"/>
      <c r="RAR130" s="72"/>
      <c r="RAS130" s="72"/>
      <c r="RAT130" s="72"/>
      <c r="RAU130" s="72"/>
      <c r="RAV130" s="72"/>
      <c r="RAW130" s="72"/>
      <c r="RAX130" s="72"/>
      <c r="RAY130" s="72"/>
      <c r="RAZ130" s="72"/>
      <c r="RBA130" s="72"/>
      <c r="RBB130" s="72"/>
      <c r="RBC130" s="72"/>
      <c r="RBD130" s="72"/>
      <c r="RBE130" s="72"/>
      <c r="RBF130" s="72"/>
      <c r="RBG130" s="72"/>
      <c r="RBH130" s="72"/>
      <c r="RBI130" s="72"/>
      <c r="RBJ130" s="72"/>
      <c r="RBK130" s="72"/>
      <c r="RBL130" s="72"/>
      <c r="RBM130" s="72"/>
      <c r="RBN130" s="72"/>
      <c r="RBO130" s="72"/>
      <c r="RBP130" s="72"/>
      <c r="RBQ130" s="72"/>
      <c r="RBR130" s="72"/>
      <c r="RBS130" s="72"/>
      <c r="RBT130" s="72"/>
      <c r="RBU130" s="72"/>
      <c r="RBV130" s="72"/>
      <c r="RBW130" s="72"/>
      <c r="RBX130" s="72"/>
      <c r="RBY130" s="72"/>
      <c r="RBZ130" s="72"/>
      <c r="RCA130" s="72"/>
      <c r="RCB130" s="72"/>
      <c r="RCC130" s="72"/>
      <c r="RCD130" s="72"/>
      <c r="RCE130" s="72"/>
      <c r="RCF130" s="72"/>
      <c r="RCG130" s="72"/>
      <c r="RCH130" s="72"/>
      <c r="RCI130" s="72"/>
      <c r="RCJ130" s="72"/>
      <c r="RCK130" s="72"/>
      <c r="RCL130" s="72"/>
      <c r="RCM130" s="72"/>
      <c r="RCN130" s="72"/>
      <c r="RCO130" s="72"/>
      <c r="RCP130" s="72"/>
      <c r="RCQ130" s="72"/>
      <c r="RCR130" s="72"/>
      <c r="RCS130" s="72"/>
      <c r="RCT130" s="72"/>
      <c r="RCU130" s="72"/>
      <c r="RCV130" s="72"/>
      <c r="RCW130" s="72"/>
      <c r="RCX130" s="72"/>
      <c r="RCY130" s="72"/>
      <c r="RCZ130" s="72"/>
      <c r="RDA130" s="72"/>
      <c r="RDB130" s="72"/>
      <c r="RDC130" s="72"/>
      <c r="RDD130" s="72"/>
      <c r="RDE130" s="72"/>
      <c r="RDF130" s="72"/>
      <c r="RDG130" s="72"/>
      <c r="RDH130" s="72"/>
      <c r="RDI130" s="72"/>
      <c r="RDJ130" s="72"/>
      <c r="RDK130" s="72"/>
      <c r="RDL130" s="72"/>
      <c r="RDM130" s="72"/>
      <c r="RDN130" s="72"/>
      <c r="RDO130" s="72"/>
      <c r="RDP130" s="72"/>
      <c r="RDQ130" s="72"/>
      <c r="RDR130" s="72"/>
      <c r="RDS130" s="72"/>
      <c r="RDT130" s="72"/>
      <c r="RDU130" s="72"/>
      <c r="RDV130" s="72"/>
      <c r="RDW130" s="72"/>
      <c r="RDX130" s="72"/>
      <c r="RDY130" s="72"/>
      <c r="RDZ130" s="72"/>
      <c r="REA130" s="72"/>
      <c r="REB130" s="72"/>
      <c r="REC130" s="72"/>
      <c r="RED130" s="72"/>
      <c r="REE130" s="72"/>
      <c r="REF130" s="72"/>
      <c r="REG130" s="72"/>
      <c r="REH130" s="72"/>
      <c r="REI130" s="72"/>
      <c r="REJ130" s="72"/>
      <c r="REK130" s="72"/>
      <c r="REL130" s="72"/>
      <c r="REM130" s="72"/>
      <c r="REN130" s="72"/>
      <c r="REO130" s="72"/>
      <c r="REP130" s="72"/>
      <c r="REQ130" s="72"/>
      <c r="RER130" s="72"/>
      <c r="RES130" s="72"/>
      <c r="RET130" s="72"/>
      <c r="REU130" s="72"/>
      <c r="REV130" s="72"/>
      <c r="REW130" s="72"/>
      <c r="REX130" s="72"/>
      <c r="REY130" s="72"/>
      <c r="REZ130" s="72"/>
      <c r="RFA130" s="72"/>
      <c r="RFB130" s="72"/>
      <c r="RFC130" s="72"/>
      <c r="RFD130" s="72"/>
      <c r="RFE130" s="72"/>
      <c r="RFF130" s="72"/>
      <c r="RFG130" s="72"/>
      <c r="RFH130" s="72"/>
      <c r="RFI130" s="72"/>
      <c r="RFJ130" s="72"/>
      <c r="RFK130" s="72"/>
      <c r="RFL130" s="72"/>
      <c r="RFM130" s="72"/>
      <c r="RFN130" s="72"/>
      <c r="RFO130" s="72"/>
      <c r="RFP130" s="72"/>
      <c r="RFQ130" s="72"/>
      <c r="RFR130" s="72"/>
      <c r="RFS130" s="72"/>
      <c r="RFT130" s="72"/>
      <c r="RFU130" s="72"/>
      <c r="RFV130" s="72"/>
      <c r="RFW130" s="72"/>
      <c r="RFX130" s="72"/>
      <c r="RFY130" s="72"/>
      <c r="RFZ130" s="72"/>
      <c r="RGA130" s="72"/>
      <c r="RGB130" s="72"/>
      <c r="RGC130" s="72"/>
      <c r="RGD130" s="72"/>
      <c r="RGE130" s="72"/>
      <c r="RGF130" s="72"/>
      <c r="RGG130" s="72"/>
      <c r="RGH130" s="72"/>
      <c r="RGI130" s="72"/>
      <c r="RGJ130" s="72"/>
      <c r="RGK130" s="72"/>
      <c r="RGL130" s="72"/>
      <c r="RGM130" s="72"/>
      <c r="RGN130" s="72"/>
      <c r="RGO130" s="72"/>
      <c r="RGP130" s="72"/>
      <c r="RGQ130" s="72"/>
      <c r="RGR130" s="72"/>
      <c r="RGS130" s="72"/>
      <c r="RGT130" s="72"/>
      <c r="RGU130" s="72"/>
      <c r="RGV130" s="72"/>
      <c r="RGW130" s="72"/>
      <c r="RGX130" s="72"/>
      <c r="RGY130" s="72"/>
      <c r="RGZ130" s="72"/>
      <c r="RHA130" s="72"/>
      <c r="RHB130" s="72"/>
      <c r="RHC130" s="72"/>
      <c r="RHD130" s="72"/>
      <c r="RHE130" s="72"/>
      <c r="RHF130" s="72"/>
      <c r="RHG130" s="72"/>
      <c r="RHH130" s="72"/>
      <c r="RHI130" s="72"/>
      <c r="RHJ130" s="72"/>
      <c r="RHK130" s="72"/>
      <c r="RHL130" s="72"/>
      <c r="RHM130" s="72"/>
      <c r="RHN130" s="72"/>
      <c r="RHO130" s="72"/>
      <c r="RHP130" s="72"/>
      <c r="RHQ130" s="72"/>
      <c r="RHR130" s="72"/>
      <c r="RHS130" s="72"/>
      <c r="RHT130" s="72"/>
      <c r="RHU130" s="72"/>
      <c r="RHV130" s="72"/>
      <c r="RHW130" s="72"/>
      <c r="RHX130" s="72"/>
      <c r="RHY130" s="72"/>
      <c r="RHZ130" s="72"/>
      <c r="RIA130" s="72"/>
      <c r="RIB130" s="72"/>
      <c r="RIC130" s="72"/>
      <c r="RID130" s="72"/>
      <c r="RIE130" s="72"/>
      <c r="RIF130" s="72"/>
      <c r="RIG130" s="72"/>
      <c r="RIH130" s="72"/>
      <c r="RII130" s="72"/>
      <c r="RIJ130" s="72"/>
      <c r="RIK130" s="72"/>
      <c r="RIL130" s="72"/>
      <c r="RIM130" s="72"/>
      <c r="RIN130" s="72"/>
      <c r="RIO130" s="72"/>
      <c r="RIP130" s="72"/>
      <c r="RIQ130" s="72"/>
      <c r="RIR130" s="72"/>
      <c r="RIS130" s="72"/>
      <c r="RIT130" s="72"/>
      <c r="RIU130" s="72"/>
      <c r="RIV130" s="72"/>
      <c r="RIW130" s="72"/>
      <c r="RIX130" s="72"/>
      <c r="RIY130" s="72"/>
      <c r="RIZ130" s="72"/>
      <c r="RJA130" s="72"/>
      <c r="RJB130" s="72"/>
      <c r="RJC130" s="72"/>
      <c r="RJD130" s="72"/>
      <c r="RJE130" s="72"/>
      <c r="RJF130" s="72"/>
      <c r="RJG130" s="72"/>
      <c r="RJH130" s="72"/>
      <c r="RJI130" s="72"/>
      <c r="RJJ130" s="72"/>
      <c r="RJK130" s="72"/>
      <c r="RJL130" s="72"/>
      <c r="RJM130" s="72"/>
      <c r="RJN130" s="72"/>
      <c r="RJO130" s="72"/>
      <c r="RJP130" s="72"/>
      <c r="RJQ130" s="72"/>
      <c r="RJR130" s="72"/>
      <c r="RJS130" s="72"/>
      <c r="RJT130" s="72"/>
      <c r="RJU130" s="72"/>
      <c r="RJV130" s="72"/>
      <c r="RJW130" s="72"/>
      <c r="RJX130" s="72"/>
      <c r="RJY130" s="72"/>
      <c r="RJZ130" s="72"/>
      <c r="RKA130" s="72"/>
      <c r="RKB130" s="72"/>
      <c r="RKC130" s="72"/>
      <c r="RKD130" s="72"/>
      <c r="RKE130" s="72"/>
      <c r="RKF130" s="72"/>
      <c r="RKG130" s="72"/>
      <c r="RKH130" s="72"/>
      <c r="RKI130" s="72"/>
      <c r="RKJ130" s="72"/>
      <c r="RKK130" s="72"/>
      <c r="RKL130" s="72"/>
      <c r="RKM130" s="72"/>
      <c r="RKN130" s="72"/>
      <c r="RKO130" s="72"/>
      <c r="RKP130" s="72"/>
      <c r="RKQ130" s="72"/>
      <c r="RKR130" s="72"/>
      <c r="RKS130" s="72"/>
      <c r="RKT130" s="72"/>
      <c r="RKU130" s="72"/>
      <c r="RKV130" s="72"/>
      <c r="RKW130" s="72"/>
      <c r="RKX130" s="72"/>
      <c r="RKY130" s="72"/>
      <c r="RKZ130" s="72"/>
      <c r="RLA130" s="72"/>
      <c r="RLB130" s="72"/>
      <c r="RLC130" s="72"/>
      <c r="RLD130" s="72"/>
      <c r="RLE130" s="72"/>
      <c r="RLF130" s="72"/>
      <c r="RLG130" s="72"/>
      <c r="RLH130" s="72"/>
      <c r="RLI130" s="72"/>
      <c r="RLJ130" s="72"/>
      <c r="RLK130" s="72"/>
      <c r="RLL130" s="72"/>
      <c r="RLM130" s="72"/>
      <c r="RLN130" s="72"/>
      <c r="RLO130" s="72"/>
      <c r="RLP130" s="72"/>
      <c r="RLQ130" s="72"/>
      <c r="RLR130" s="72"/>
      <c r="RLS130" s="72"/>
      <c r="RLT130" s="72"/>
      <c r="RLU130" s="72"/>
      <c r="RLV130" s="72"/>
      <c r="RLW130" s="72"/>
      <c r="RLX130" s="72"/>
      <c r="RLY130" s="72"/>
      <c r="RLZ130" s="72"/>
      <c r="RMA130" s="72"/>
      <c r="RMB130" s="72"/>
      <c r="RMC130" s="72"/>
      <c r="RMD130" s="72"/>
      <c r="RME130" s="72"/>
      <c r="RMF130" s="72"/>
      <c r="RMG130" s="72"/>
      <c r="RMH130" s="72"/>
      <c r="RMI130" s="72"/>
      <c r="RMJ130" s="72"/>
      <c r="RMK130" s="72"/>
      <c r="RML130" s="72"/>
      <c r="RMM130" s="72"/>
      <c r="RMN130" s="72"/>
      <c r="RMO130" s="72"/>
      <c r="RMP130" s="72"/>
      <c r="RMQ130" s="72"/>
      <c r="RMR130" s="72"/>
      <c r="RMS130" s="72"/>
      <c r="RMT130" s="72"/>
      <c r="RMU130" s="72"/>
      <c r="RMV130" s="72"/>
      <c r="RMW130" s="72"/>
      <c r="RMX130" s="72"/>
      <c r="RMY130" s="72"/>
      <c r="RMZ130" s="72"/>
      <c r="RNA130" s="72"/>
      <c r="RNB130" s="72"/>
      <c r="RNC130" s="72"/>
      <c r="RND130" s="72"/>
      <c r="RNE130" s="72"/>
      <c r="RNF130" s="72"/>
      <c r="RNG130" s="72"/>
      <c r="RNH130" s="72"/>
      <c r="RNI130" s="72"/>
      <c r="RNJ130" s="72"/>
      <c r="RNK130" s="72"/>
      <c r="RNL130" s="72"/>
      <c r="RNM130" s="72"/>
      <c r="RNN130" s="72"/>
      <c r="RNO130" s="72"/>
      <c r="RNP130" s="72"/>
      <c r="RNQ130" s="72"/>
      <c r="RNR130" s="72"/>
      <c r="RNS130" s="72"/>
      <c r="RNT130" s="72"/>
      <c r="RNU130" s="72"/>
      <c r="RNV130" s="72"/>
      <c r="RNW130" s="72"/>
      <c r="RNX130" s="72"/>
      <c r="RNY130" s="72"/>
      <c r="RNZ130" s="72"/>
      <c r="ROA130" s="72"/>
      <c r="ROB130" s="72"/>
      <c r="ROC130" s="72"/>
      <c r="ROD130" s="72"/>
      <c r="ROE130" s="72"/>
      <c r="ROF130" s="72"/>
      <c r="ROG130" s="72"/>
      <c r="ROH130" s="72"/>
      <c r="ROI130" s="72"/>
      <c r="ROJ130" s="72"/>
      <c r="ROK130" s="72"/>
      <c r="ROL130" s="72"/>
      <c r="ROM130" s="72"/>
      <c r="RON130" s="72"/>
      <c r="ROO130" s="72"/>
      <c r="ROP130" s="72"/>
      <c r="ROQ130" s="72"/>
      <c r="ROR130" s="72"/>
      <c r="ROS130" s="72"/>
      <c r="ROT130" s="72"/>
      <c r="ROU130" s="72"/>
      <c r="ROV130" s="72"/>
      <c r="ROW130" s="72"/>
      <c r="ROX130" s="72"/>
      <c r="ROY130" s="72"/>
      <c r="ROZ130" s="72"/>
      <c r="RPA130" s="72"/>
      <c r="RPB130" s="72"/>
      <c r="RPC130" s="72"/>
      <c r="RPD130" s="72"/>
      <c r="RPE130" s="72"/>
      <c r="RPF130" s="72"/>
      <c r="RPG130" s="72"/>
      <c r="RPH130" s="72"/>
      <c r="RPI130" s="72"/>
      <c r="RPJ130" s="72"/>
      <c r="RPK130" s="72"/>
      <c r="RPL130" s="72"/>
      <c r="RPM130" s="72"/>
      <c r="RPN130" s="72"/>
      <c r="RPO130" s="72"/>
      <c r="RPP130" s="72"/>
      <c r="RPQ130" s="72"/>
      <c r="RPR130" s="72"/>
      <c r="RPS130" s="72"/>
      <c r="RPT130" s="72"/>
      <c r="RPU130" s="72"/>
      <c r="RPV130" s="72"/>
      <c r="RPW130" s="72"/>
      <c r="RPX130" s="72"/>
      <c r="RPY130" s="72"/>
      <c r="RPZ130" s="72"/>
      <c r="RQA130" s="72"/>
      <c r="RQB130" s="72"/>
      <c r="RQC130" s="72"/>
      <c r="RQD130" s="72"/>
      <c r="RQE130" s="72"/>
      <c r="RQF130" s="72"/>
      <c r="RQG130" s="72"/>
      <c r="RQH130" s="72"/>
      <c r="RQI130" s="72"/>
      <c r="RQJ130" s="72"/>
      <c r="RQK130" s="72"/>
      <c r="RQL130" s="72"/>
      <c r="RQM130" s="72"/>
      <c r="RQN130" s="72"/>
      <c r="RQO130" s="72"/>
      <c r="RQP130" s="72"/>
      <c r="RQQ130" s="72"/>
      <c r="RQR130" s="72"/>
      <c r="RQS130" s="72"/>
      <c r="RQT130" s="72"/>
      <c r="RQU130" s="72"/>
      <c r="RQV130" s="72"/>
      <c r="RQW130" s="72"/>
      <c r="RQX130" s="72"/>
      <c r="RQY130" s="72"/>
      <c r="RQZ130" s="72"/>
      <c r="RRA130" s="72"/>
      <c r="RRB130" s="72"/>
      <c r="RRC130" s="72"/>
      <c r="RRD130" s="72"/>
      <c r="RRE130" s="72"/>
      <c r="RRF130" s="72"/>
      <c r="RRG130" s="72"/>
      <c r="RRH130" s="72"/>
      <c r="RRI130" s="72"/>
      <c r="RRJ130" s="72"/>
      <c r="RRK130" s="72"/>
      <c r="RRL130" s="72"/>
      <c r="RRM130" s="72"/>
      <c r="RRN130" s="72"/>
      <c r="RRO130" s="72"/>
      <c r="RRP130" s="72"/>
      <c r="RRQ130" s="72"/>
      <c r="RRR130" s="72"/>
      <c r="RRS130" s="72"/>
      <c r="RRT130" s="72"/>
      <c r="RRU130" s="72"/>
      <c r="RRV130" s="72"/>
      <c r="RRW130" s="72"/>
      <c r="RRX130" s="72"/>
      <c r="RRY130" s="72"/>
      <c r="RRZ130" s="72"/>
      <c r="RSA130" s="72"/>
      <c r="RSB130" s="72"/>
      <c r="RSC130" s="72"/>
      <c r="RSD130" s="72"/>
      <c r="RSE130" s="72"/>
      <c r="RSF130" s="72"/>
      <c r="RSG130" s="72"/>
      <c r="RSH130" s="72"/>
      <c r="RSI130" s="72"/>
      <c r="RSJ130" s="72"/>
      <c r="RSK130" s="72"/>
      <c r="RSL130" s="72"/>
      <c r="RSM130" s="72"/>
      <c r="RSN130" s="72"/>
      <c r="RSO130" s="72"/>
      <c r="RSP130" s="72"/>
      <c r="RSQ130" s="72"/>
      <c r="RSR130" s="72"/>
      <c r="RSS130" s="72"/>
      <c r="RST130" s="72"/>
      <c r="RSU130" s="72"/>
      <c r="RSV130" s="72"/>
      <c r="RSW130" s="72"/>
      <c r="RSX130" s="72"/>
      <c r="RSY130" s="72"/>
      <c r="RSZ130" s="72"/>
      <c r="RTA130" s="72"/>
      <c r="RTB130" s="72"/>
      <c r="RTC130" s="72"/>
      <c r="RTD130" s="72"/>
      <c r="RTE130" s="72"/>
      <c r="RTF130" s="72"/>
      <c r="RTG130" s="72"/>
      <c r="RTH130" s="72"/>
      <c r="RTI130" s="72"/>
      <c r="RTJ130" s="72"/>
      <c r="RTK130" s="72"/>
      <c r="RTL130" s="72"/>
      <c r="RTM130" s="72"/>
      <c r="RTN130" s="72"/>
      <c r="RTO130" s="72"/>
      <c r="RTP130" s="72"/>
      <c r="RTQ130" s="72"/>
      <c r="RTR130" s="72"/>
      <c r="RTS130" s="72"/>
      <c r="RTT130" s="72"/>
      <c r="RTU130" s="72"/>
      <c r="RTV130" s="72"/>
      <c r="RTW130" s="72"/>
      <c r="RTX130" s="72"/>
      <c r="RTY130" s="72"/>
      <c r="RTZ130" s="72"/>
      <c r="RUA130" s="72"/>
      <c r="RUB130" s="72"/>
      <c r="RUC130" s="72"/>
      <c r="RUD130" s="72"/>
      <c r="RUE130" s="72"/>
      <c r="RUF130" s="72"/>
      <c r="RUG130" s="72"/>
      <c r="RUH130" s="72"/>
      <c r="RUI130" s="72"/>
      <c r="RUJ130" s="72"/>
      <c r="RUK130" s="72"/>
      <c r="RUL130" s="72"/>
      <c r="RUM130" s="72"/>
      <c r="RUN130" s="72"/>
      <c r="RUO130" s="72"/>
      <c r="RUP130" s="72"/>
      <c r="RUQ130" s="72"/>
      <c r="RUR130" s="72"/>
      <c r="RUS130" s="72"/>
      <c r="RUT130" s="72"/>
      <c r="RUU130" s="72"/>
      <c r="RUV130" s="72"/>
      <c r="RUW130" s="72"/>
      <c r="RUX130" s="72"/>
      <c r="RUY130" s="72"/>
      <c r="RUZ130" s="72"/>
      <c r="RVA130" s="72"/>
      <c r="RVB130" s="72"/>
      <c r="RVC130" s="72"/>
      <c r="RVD130" s="72"/>
      <c r="RVE130" s="72"/>
      <c r="RVF130" s="72"/>
      <c r="RVG130" s="72"/>
      <c r="RVH130" s="72"/>
      <c r="RVI130" s="72"/>
      <c r="RVJ130" s="72"/>
      <c r="RVK130" s="72"/>
      <c r="RVL130" s="72"/>
      <c r="RVM130" s="72"/>
      <c r="RVN130" s="72"/>
      <c r="RVO130" s="72"/>
      <c r="RVP130" s="72"/>
      <c r="RVQ130" s="72"/>
      <c r="RVR130" s="72"/>
      <c r="RVS130" s="72"/>
      <c r="RVT130" s="72"/>
      <c r="RVU130" s="72"/>
      <c r="RVV130" s="72"/>
      <c r="RVW130" s="72"/>
      <c r="RVX130" s="72"/>
      <c r="RVY130" s="72"/>
      <c r="RVZ130" s="72"/>
      <c r="RWA130" s="72"/>
      <c r="RWB130" s="72"/>
      <c r="RWC130" s="72"/>
      <c r="RWD130" s="72"/>
      <c r="RWE130" s="72"/>
      <c r="RWF130" s="72"/>
      <c r="RWG130" s="72"/>
      <c r="RWH130" s="72"/>
      <c r="RWI130" s="72"/>
      <c r="RWJ130" s="72"/>
      <c r="RWK130" s="72"/>
      <c r="RWL130" s="72"/>
      <c r="RWM130" s="72"/>
      <c r="RWN130" s="72"/>
      <c r="RWO130" s="72"/>
      <c r="RWP130" s="72"/>
      <c r="RWQ130" s="72"/>
      <c r="RWR130" s="72"/>
      <c r="RWS130" s="72"/>
      <c r="RWT130" s="72"/>
      <c r="RWU130" s="72"/>
      <c r="RWV130" s="72"/>
      <c r="RWW130" s="72"/>
      <c r="RWX130" s="72"/>
      <c r="RWY130" s="72"/>
      <c r="RWZ130" s="72"/>
      <c r="RXA130" s="72"/>
      <c r="RXB130" s="72"/>
      <c r="RXC130" s="72"/>
      <c r="RXD130" s="72"/>
      <c r="RXE130" s="72"/>
      <c r="RXF130" s="72"/>
      <c r="RXG130" s="72"/>
      <c r="RXH130" s="72"/>
      <c r="RXI130" s="72"/>
      <c r="RXJ130" s="72"/>
      <c r="RXK130" s="72"/>
      <c r="RXL130" s="72"/>
      <c r="RXM130" s="72"/>
      <c r="RXN130" s="72"/>
      <c r="RXO130" s="72"/>
      <c r="RXP130" s="72"/>
      <c r="RXQ130" s="72"/>
      <c r="RXR130" s="72"/>
      <c r="RXS130" s="72"/>
      <c r="RXT130" s="72"/>
      <c r="RXU130" s="72"/>
      <c r="RXV130" s="72"/>
      <c r="RXW130" s="72"/>
      <c r="RXX130" s="72"/>
      <c r="RXY130" s="72"/>
      <c r="RXZ130" s="72"/>
      <c r="RYA130" s="72"/>
      <c r="RYB130" s="72"/>
      <c r="RYC130" s="72"/>
      <c r="RYD130" s="72"/>
      <c r="RYE130" s="72"/>
      <c r="RYF130" s="72"/>
      <c r="RYG130" s="72"/>
      <c r="RYH130" s="72"/>
      <c r="RYI130" s="72"/>
      <c r="RYJ130" s="72"/>
      <c r="RYK130" s="72"/>
      <c r="RYL130" s="72"/>
      <c r="RYM130" s="72"/>
      <c r="RYN130" s="72"/>
      <c r="RYO130" s="72"/>
      <c r="RYP130" s="72"/>
      <c r="RYQ130" s="72"/>
      <c r="RYR130" s="72"/>
      <c r="RYS130" s="72"/>
      <c r="RYT130" s="72"/>
      <c r="RYU130" s="72"/>
      <c r="RYV130" s="72"/>
      <c r="RYW130" s="72"/>
      <c r="RYX130" s="72"/>
      <c r="RYY130" s="72"/>
      <c r="RYZ130" s="72"/>
      <c r="RZA130" s="72"/>
      <c r="RZB130" s="72"/>
      <c r="RZC130" s="72"/>
      <c r="RZD130" s="72"/>
      <c r="RZE130" s="72"/>
      <c r="RZF130" s="72"/>
      <c r="RZG130" s="72"/>
      <c r="RZH130" s="72"/>
      <c r="RZI130" s="72"/>
      <c r="RZJ130" s="72"/>
      <c r="RZK130" s="72"/>
      <c r="RZL130" s="72"/>
      <c r="RZM130" s="72"/>
      <c r="RZN130" s="72"/>
      <c r="RZO130" s="72"/>
      <c r="RZP130" s="72"/>
      <c r="RZQ130" s="72"/>
      <c r="RZR130" s="72"/>
      <c r="RZS130" s="72"/>
      <c r="RZT130" s="72"/>
      <c r="RZU130" s="72"/>
      <c r="RZV130" s="72"/>
      <c r="RZW130" s="72"/>
      <c r="RZX130" s="72"/>
      <c r="RZY130" s="72"/>
      <c r="RZZ130" s="72"/>
      <c r="SAA130" s="72"/>
      <c r="SAB130" s="72"/>
      <c r="SAC130" s="72"/>
      <c r="SAD130" s="72"/>
      <c r="SAE130" s="72"/>
      <c r="SAF130" s="72"/>
      <c r="SAG130" s="72"/>
      <c r="SAH130" s="72"/>
      <c r="SAI130" s="72"/>
      <c r="SAJ130" s="72"/>
      <c r="SAK130" s="72"/>
      <c r="SAL130" s="72"/>
      <c r="SAM130" s="72"/>
      <c r="SAN130" s="72"/>
      <c r="SAO130" s="72"/>
      <c r="SAP130" s="72"/>
      <c r="SAQ130" s="72"/>
      <c r="SAR130" s="72"/>
      <c r="SAS130" s="72"/>
      <c r="SAT130" s="72"/>
      <c r="SAU130" s="72"/>
      <c r="SAV130" s="72"/>
      <c r="SAW130" s="72"/>
      <c r="SAX130" s="72"/>
      <c r="SAY130" s="72"/>
      <c r="SAZ130" s="72"/>
      <c r="SBA130" s="72"/>
      <c r="SBB130" s="72"/>
      <c r="SBC130" s="72"/>
      <c r="SBD130" s="72"/>
      <c r="SBE130" s="72"/>
      <c r="SBF130" s="72"/>
      <c r="SBG130" s="72"/>
      <c r="SBH130" s="72"/>
      <c r="SBI130" s="72"/>
      <c r="SBJ130" s="72"/>
      <c r="SBK130" s="72"/>
      <c r="SBL130" s="72"/>
      <c r="SBM130" s="72"/>
      <c r="SBN130" s="72"/>
      <c r="SBO130" s="72"/>
      <c r="SBP130" s="72"/>
      <c r="SBQ130" s="72"/>
      <c r="SBR130" s="72"/>
      <c r="SBS130" s="72"/>
      <c r="SBT130" s="72"/>
      <c r="SBU130" s="72"/>
      <c r="SBV130" s="72"/>
      <c r="SBW130" s="72"/>
      <c r="SBX130" s="72"/>
      <c r="SBY130" s="72"/>
      <c r="SBZ130" s="72"/>
      <c r="SCA130" s="72"/>
      <c r="SCB130" s="72"/>
      <c r="SCC130" s="72"/>
      <c r="SCD130" s="72"/>
      <c r="SCE130" s="72"/>
      <c r="SCF130" s="72"/>
      <c r="SCG130" s="72"/>
      <c r="SCH130" s="72"/>
      <c r="SCI130" s="72"/>
      <c r="SCJ130" s="72"/>
      <c r="SCK130" s="72"/>
      <c r="SCL130" s="72"/>
      <c r="SCM130" s="72"/>
      <c r="SCN130" s="72"/>
      <c r="SCO130" s="72"/>
      <c r="SCP130" s="72"/>
      <c r="SCQ130" s="72"/>
      <c r="SCR130" s="72"/>
      <c r="SCS130" s="72"/>
      <c r="SCT130" s="72"/>
      <c r="SCU130" s="72"/>
      <c r="SCV130" s="72"/>
      <c r="SCW130" s="72"/>
      <c r="SCX130" s="72"/>
      <c r="SCY130" s="72"/>
      <c r="SCZ130" s="72"/>
      <c r="SDA130" s="72"/>
      <c r="SDB130" s="72"/>
      <c r="SDC130" s="72"/>
      <c r="SDD130" s="72"/>
      <c r="SDE130" s="72"/>
      <c r="SDF130" s="72"/>
      <c r="SDG130" s="72"/>
      <c r="SDH130" s="72"/>
      <c r="SDI130" s="72"/>
      <c r="SDJ130" s="72"/>
      <c r="SDK130" s="72"/>
      <c r="SDL130" s="72"/>
      <c r="SDM130" s="72"/>
      <c r="SDN130" s="72"/>
      <c r="SDO130" s="72"/>
      <c r="SDP130" s="72"/>
      <c r="SDQ130" s="72"/>
      <c r="SDR130" s="72"/>
      <c r="SDS130" s="72"/>
      <c r="SDT130" s="72"/>
      <c r="SDU130" s="72"/>
      <c r="SDV130" s="72"/>
      <c r="SDW130" s="72"/>
      <c r="SDX130" s="72"/>
      <c r="SDY130" s="72"/>
      <c r="SDZ130" s="72"/>
      <c r="SEA130" s="72"/>
      <c r="SEB130" s="72"/>
      <c r="SEC130" s="72"/>
      <c r="SED130" s="72"/>
      <c r="SEE130" s="72"/>
      <c r="SEF130" s="72"/>
      <c r="SEG130" s="72"/>
      <c r="SEH130" s="72"/>
      <c r="SEI130" s="72"/>
      <c r="SEJ130" s="72"/>
      <c r="SEK130" s="72"/>
      <c r="SEL130" s="72"/>
      <c r="SEM130" s="72"/>
      <c r="SEN130" s="72"/>
      <c r="SEO130" s="72"/>
      <c r="SEP130" s="72"/>
      <c r="SEQ130" s="72"/>
      <c r="SER130" s="72"/>
      <c r="SES130" s="72"/>
      <c r="SET130" s="72"/>
      <c r="SEU130" s="72"/>
      <c r="SEV130" s="72"/>
      <c r="SEW130" s="72"/>
      <c r="SEX130" s="72"/>
      <c r="SEY130" s="72"/>
      <c r="SEZ130" s="72"/>
      <c r="SFA130" s="72"/>
      <c r="SFB130" s="72"/>
      <c r="SFC130" s="72"/>
      <c r="SFD130" s="72"/>
      <c r="SFE130" s="72"/>
      <c r="SFF130" s="72"/>
      <c r="SFG130" s="72"/>
      <c r="SFH130" s="72"/>
      <c r="SFI130" s="72"/>
      <c r="SFJ130" s="72"/>
      <c r="SFK130" s="72"/>
      <c r="SFL130" s="72"/>
      <c r="SFM130" s="72"/>
      <c r="SFN130" s="72"/>
      <c r="SFO130" s="72"/>
      <c r="SFP130" s="72"/>
      <c r="SFQ130" s="72"/>
      <c r="SFR130" s="72"/>
      <c r="SFS130" s="72"/>
      <c r="SFT130" s="72"/>
      <c r="SFU130" s="72"/>
      <c r="SFV130" s="72"/>
      <c r="SFW130" s="72"/>
      <c r="SFX130" s="72"/>
      <c r="SFY130" s="72"/>
      <c r="SFZ130" s="72"/>
      <c r="SGA130" s="72"/>
      <c r="SGB130" s="72"/>
      <c r="SGC130" s="72"/>
      <c r="SGD130" s="72"/>
      <c r="SGE130" s="72"/>
      <c r="SGF130" s="72"/>
      <c r="SGG130" s="72"/>
      <c r="SGH130" s="72"/>
      <c r="SGI130" s="72"/>
      <c r="SGJ130" s="72"/>
      <c r="SGK130" s="72"/>
      <c r="SGL130" s="72"/>
      <c r="SGM130" s="72"/>
      <c r="SGN130" s="72"/>
      <c r="SGO130" s="72"/>
      <c r="SGP130" s="72"/>
      <c r="SGQ130" s="72"/>
      <c r="SGR130" s="72"/>
      <c r="SGS130" s="72"/>
      <c r="SGT130" s="72"/>
      <c r="SGU130" s="72"/>
      <c r="SGV130" s="72"/>
      <c r="SGW130" s="72"/>
      <c r="SGX130" s="72"/>
      <c r="SGY130" s="72"/>
      <c r="SGZ130" s="72"/>
      <c r="SHA130" s="72"/>
      <c r="SHB130" s="72"/>
      <c r="SHC130" s="72"/>
      <c r="SHD130" s="72"/>
      <c r="SHE130" s="72"/>
      <c r="SHF130" s="72"/>
      <c r="SHG130" s="72"/>
      <c r="SHH130" s="72"/>
      <c r="SHI130" s="72"/>
      <c r="SHJ130" s="72"/>
      <c r="SHK130" s="72"/>
      <c r="SHL130" s="72"/>
      <c r="SHM130" s="72"/>
      <c r="SHN130" s="72"/>
      <c r="SHO130" s="72"/>
      <c r="SHP130" s="72"/>
      <c r="SHQ130" s="72"/>
      <c r="SHR130" s="72"/>
      <c r="SHS130" s="72"/>
      <c r="SHT130" s="72"/>
      <c r="SHU130" s="72"/>
      <c r="SHV130" s="72"/>
      <c r="SHW130" s="72"/>
      <c r="SHX130" s="72"/>
      <c r="SHY130" s="72"/>
      <c r="SHZ130" s="72"/>
      <c r="SIA130" s="72"/>
      <c r="SIB130" s="72"/>
      <c r="SIC130" s="72"/>
      <c r="SID130" s="72"/>
      <c r="SIE130" s="72"/>
      <c r="SIF130" s="72"/>
      <c r="SIG130" s="72"/>
      <c r="SIH130" s="72"/>
      <c r="SII130" s="72"/>
      <c r="SIJ130" s="72"/>
      <c r="SIK130" s="72"/>
      <c r="SIL130" s="72"/>
      <c r="SIM130" s="72"/>
      <c r="SIN130" s="72"/>
      <c r="SIO130" s="72"/>
      <c r="SIP130" s="72"/>
      <c r="SIQ130" s="72"/>
      <c r="SIR130" s="72"/>
      <c r="SIS130" s="72"/>
      <c r="SIT130" s="72"/>
      <c r="SIU130" s="72"/>
      <c r="SIV130" s="72"/>
      <c r="SIW130" s="72"/>
      <c r="SIX130" s="72"/>
      <c r="SIY130" s="72"/>
      <c r="SIZ130" s="72"/>
      <c r="SJA130" s="72"/>
      <c r="SJB130" s="72"/>
      <c r="SJC130" s="72"/>
      <c r="SJD130" s="72"/>
      <c r="SJE130" s="72"/>
      <c r="SJF130" s="72"/>
      <c r="SJG130" s="72"/>
      <c r="SJH130" s="72"/>
      <c r="SJI130" s="72"/>
      <c r="SJJ130" s="72"/>
      <c r="SJK130" s="72"/>
      <c r="SJL130" s="72"/>
      <c r="SJM130" s="72"/>
      <c r="SJN130" s="72"/>
      <c r="SJO130" s="72"/>
      <c r="SJP130" s="72"/>
      <c r="SJQ130" s="72"/>
      <c r="SJR130" s="72"/>
      <c r="SJS130" s="72"/>
      <c r="SJT130" s="72"/>
      <c r="SJU130" s="72"/>
      <c r="SJV130" s="72"/>
      <c r="SJW130" s="72"/>
      <c r="SJX130" s="72"/>
      <c r="SJY130" s="72"/>
      <c r="SJZ130" s="72"/>
      <c r="SKA130" s="72"/>
      <c r="SKB130" s="72"/>
      <c r="SKC130" s="72"/>
      <c r="SKD130" s="72"/>
      <c r="SKE130" s="72"/>
      <c r="SKF130" s="72"/>
      <c r="SKG130" s="72"/>
      <c r="SKH130" s="72"/>
      <c r="SKI130" s="72"/>
      <c r="SKJ130" s="72"/>
      <c r="SKK130" s="72"/>
      <c r="SKL130" s="72"/>
      <c r="SKM130" s="72"/>
      <c r="SKN130" s="72"/>
      <c r="SKO130" s="72"/>
      <c r="SKP130" s="72"/>
      <c r="SKQ130" s="72"/>
      <c r="SKR130" s="72"/>
      <c r="SKS130" s="72"/>
      <c r="SKT130" s="72"/>
      <c r="SKU130" s="72"/>
      <c r="SKV130" s="72"/>
      <c r="SKW130" s="72"/>
      <c r="SKX130" s="72"/>
      <c r="SKY130" s="72"/>
      <c r="SKZ130" s="72"/>
      <c r="SLA130" s="72"/>
      <c r="SLB130" s="72"/>
      <c r="SLC130" s="72"/>
      <c r="SLD130" s="72"/>
      <c r="SLE130" s="72"/>
      <c r="SLF130" s="72"/>
      <c r="SLG130" s="72"/>
      <c r="SLH130" s="72"/>
      <c r="SLI130" s="72"/>
      <c r="SLJ130" s="72"/>
      <c r="SLK130" s="72"/>
      <c r="SLL130" s="72"/>
      <c r="SLM130" s="72"/>
      <c r="SLN130" s="72"/>
      <c r="SLO130" s="72"/>
      <c r="SLP130" s="72"/>
      <c r="SLQ130" s="72"/>
      <c r="SLR130" s="72"/>
      <c r="SLS130" s="72"/>
      <c r="SLT130" s="72"/>
      <c r="SLU130" s="72"/>
      <c r="SLV130" s="72"/>
      <c r="SLW130" s="72"/>
      <c r="SLX130" s="72"/>
      <c r="SLY130" s="72"/>
      <c r="SLZ130" s="72"/>
      <c r="SMA130" s="72"/>
      <c r="SMB130" s="72"/>
      <c r="SMC130" s="72"/>
      <c r="SMD130" s="72"/>
      <c r="SME130" s="72"/>
      <c r="SMF130" s="72"/>
      <c r="SMG130" s="72"/>
      <c r="SMH130" s="72"/>
      <c r="SMI130" s="72"/>
      <c r="SMJ130" s="72"/>
      <c r="SMK130" s="72"/>
      <c r="SML130" s="72"/>
      <c r="SMM130" s="72"/>
      <c r="SMN130" s="72"/>
      <c r="SMO130" s="72"/>
      <c r="SMP130" s="72"/>
      <c r="SMQ130" s="72"/>
      <c r="SMR130" s="72"/>
      <c r="SMS130" s="72"/>
      <c r="SMT130" s="72"/>
      <c r="SMU130" s="72"/>
      <c r="SMV130" s="72"/>
      <c r="SMW130" s="72"/>
      <c r="SMX130" s="72"/>
      <c r="SMY130" s="72"/>
      <c r="SMZ130" s="72"/>
      <c r="SNA130" s="72"/>
      <c r="SNB130" s="72"/>
      <c r="SNC130" s="72"/>
      <c r="SND130" s="72"/>
      <c r="SNE130" s="72"/>
      <c r="SNF130" s="72"/>
      <c r="SNG130" s="72"/>
      <c r="SNH130" s="72"/>
      <c r="SNI130" s="72"/>
      <c r="SNJ130" s="72"/>
      <c r="SNK130" s="72"/>
      <c r="SNL130" s="72"/>
      <c r="SNM130" s="72"/>
      <c r="SNN130" s="72"/>
      <c r="SNO130" s="72"/>
      <c r="SNP130" s="72"/>
      <c r="SNQ130" s="72"/>
      <c r="SNR130" s="72"/>
      <c r="SNS130" s="72"/>
      <c r="SNT130" s="72"/>
      <c r="SNU130" s="72"/>
      <c r="SNV130" s="72"/>
      <c r="SNW130" s="72"/>
      <c r="SNX130" s="72"/>
      <c r="SNY130" s="72"/>
      <c r="SNZ130" s="72"/>
      <c r="SOA130" s="72"/>
      <c r="SOB130" s="72"/>
      <c r="SOC130" s="72"/>
      <c r="SOD130" s="72"/>
      <c r="SOE130" s="72"/>
      <c r="SOF130" s="72"/>
      <c r="SOG130" s="72"/>
      <c r="SOH130" s="72"/>
      <c r="SOI130" s="72"/>
      <c r="SOJ130" s="72"/>
      <c r="SOK130" s="72"/>
      <c r="SOL130" s="72"/>
      <c r="SOM130" s="72"/>
      <c r="SON130" s="72"/>
      <c r="SOO130" s="72"/>
      <c r="SOP130" s="72"/>
      <c r="SOQ130" s="72"/>
      <c r="SOR130" s="72"/>
      <c r="SOS130" s="72"/>
      <c r="SOT130" s="72"/>
      <c r="SOU130" s="72"/>
      <c r="SOV130" s="72"/>
      <c r="SOW130" s="72"/>
      <c r="SOX130" s="72"/>
      <c r="SOY130" s="72"/>
      <c r="SOZ130" s="72"/>
      <c r="SPA130" s="72"/>
      <c r="SPB130" s="72"/>
      <c r="SPC130" s="72"/>
      <c r="SPD130" s="72"/>
      <c r="SPE130" s="72"/>
      <c r="SPF130" s="72"/>
      <c r="SPG130" s="72"/>
      <c r="SPH130" s="72"/>
      <c r="SPI130" s="72"/>
      <c r="SPJ130" s="72"/>
      <c r="SPK130" s="72"/>
      <c r="SPL130" s="72"/>
      <c r="SPM130" s="72"/>
      <c r="SPN130" s="72"/>
      <c r="SPO130" s="72"/>
      <c r="SPP130" s="72"/>
      <c r="SPQ130" s="72"/>
      <c r="SPR130" s="72"/>
      <c r="SPS130" s="72"/>
      <c r="SPT130" s="72"/>
      <c r="SPU130" s="72"/>
      <c r="SPV130" s="72"/>
      <c r="SPW130" s="72"/>
      <c r="SPX130" s="72"/>
      <c r="SPY130" s="72"/>
      <c r="SPZ130" s="72"/>
      <c r="SQA130" s="72"/>
      <c r="SQB130" s="72"/>
      <c r="SQC130" s="72"/>
      <c r="SQD130" s="72"/>
      <c r="SQE130" s="72"/>
      <c r="SQF130" s="72"/>
      <c r="SQG130" s="72"/>
      <c r="SQH130" s="72"/>
      <c r="SQI130" s="72"/>
      <c r="SQJ130" s="72"/>
      <c r="SQK130" s="72"/>
      <c r="SQL130" s="72"/>
      <c r="SQM130" s="72"/>
      <c r="SQN130" s="72"/>
      <c r="SQO130" s="72"/>
      <c r="SQP130" s="72"/>
      <c r="SQQ130" s="72"/>
      <c r="SQR130" s="72"/>
      <c r="SQS130" s="72"/>
      <c r="SQT130" s="72"/>
      <c r="SQU130" s="72"/>
      <c r="SQV130" s="72"/>
      <c r="SQW130" s="72"/>
      <c r="SQX130" s="72"/>
      <c r="SQY130" s="72"/>
      <c r="SQZ130" s="72"/>
      <c r="SRA130" s="72"/>
      <c r="SRB130" s="72"/>
      <c r="SRC130" s="72"/>
      <c r="SRD130" s="72"/>
      <c r="SRE130" s="72"/>
      <c r="SRF130" s="72"/>
      <c r="SRG130" s="72"/>
      <c r="SRH130" s="72"/>
      <c r="SRI130" s="72"/>
      <c r="SRJ130" s="72"/>
      <c r="SRK130" s="72"/>
      <c r="SRL130" s="72"/>
      <c r="SRM130" s="72"/>
      <c r="SRN130" s="72"/>
      <c r="SRO130" s="72"/>
      <c r="SRP130" s="72"/>
      <c r="SRQ130" s="72"/>
      <c r="SRR130" s="72"/>
      <c r="SRS130" s="72"/>
      <c r="SRT130" s="72"/>
      <c r="SRU130" s="72"/>
      <c r="SRV130" s="72"/>
      <c r="SRW130" s="72"/>
      <c r="SRX130" s="72"/>
      <c r="SRY130" s="72"/>
      <c r="SRZ130" s="72"/>
      <c r="SSA130" s="72"/>
      <c r="SSB130" s="72"/>
      <c r="SSC130" s="72"/>
      <c r="SSD130" s="72"/>
      <c r="SSE130" s="72"/>
      <c r="SSF130" s="72"/>
      <c r="SSG130" s="72"/>
      <c r="SSH130" s="72"/>
      <c r="SSI130" s="72"/>
      <c r="SSJ130" s="72"/>
      <c r="SSK130" s="72"/>
      <c r="SSL130" s="72"/>
      <c r="SSM130" s="72"/>
      <c r="SSN130" s="72"/>
      <c r="SSO130" s="72"/>
      <c r="SSP130" s="72"/>
      <c r="SSQ130" s="72"/>
      <c r="SSR130" s="72"/>
      <c r="SSS130" s="72"/>
      <c r="SST130" s="72"/>
      <c r="SSU130" s="72"/>
      <c r="SSV130" s="72"/>
      <c r="SSW130" s="72"/>
      <c r="SSX130" s="72"/>
      <c r="SSY130" s="72"/>
      <c r="SSZ130" s="72"/>
      <c r="STA130" s="72"/>
      <c r="STB130" s="72"/>
      <c r="STC130" s="72"/>
      <c r="STD130" s="72"/>
      <c r="STE130" s="72"/>
      <c r="STF130" s="72"/>
      <c r="STG130" s="72"/>
      <c r="STH130" s="72"/>
      <c r="STI130" s="72"/>
      <c r="STJ130" s="72"/>
      <c r="STK130" s="72"/>
      <c r="STL130" s="72"/>
      <c r="STM130" s="72"/>
      <c r="STN130" s="72"/>
      <c r="STO130" s="72"/>
      <c r="STP130" s="72"/>
      <c r="STQ130" s="72"/>
      <c r="STR130" s="72"/>
      <c r="STS130" s="72"/>
      <c r="STT130" s="72"/>
      <c r="STU130" s="72"/>
      <c r="STV130" s="72"/>
      <c r="STW130" s="72"/>
      <c r="STX130" s="72"/>
      <c r="STY130" s="72"/>
      <c r="STZ130" s="72"/>
      <c r="SUA130" s="72"/>
      <c r="SUB130" s="72"/>
      <c r="SUC130" s="72"/>
      <c r="SUD130" s="72"/>
      <c r="SUE130" s="72"/>
      <c r="SUF130" s="72"/>
      <c r="SUG130" s="72"/>
      <c r="SUH130" s="72"/>
      <c r="SUI130" s="72"/>
      <c r="SUJ130" s="72"/>
      <c r="SUK130" s="72"/>
      <c r="SUL130" s="72"/>
      <c r="SUM130" s="72"/>
      <c r="SUN130" s="72"/>
      <c r="SUO130" s="72"/>
      <c r="SUP130" s="72"/>
      <c r="SUQ130" s="72"/>
      <c r="SUR130" s="72"/>
      <c r="SUS130" s="72"/>
      <c r="SUT130" s="72"/>
      <c r="SUU130" s="72"/>
      <c r="SUV130" s="72"/>
      <c r="SUW130" s="72"/>
      <c r="SUX130" s="72"/>
      <c r="SUY130" s="72"/>
      <c r="SUZ130" s="72"/>
      <c r="SVA130" s="72"/>
      <c r="SVB130" s="72"/>
      <c r="SVC130" s="72"/>
      <c r="SVD130" s="72"/>
      <c r="SVE130" s="72"/>
      <c r="SVF130" s="72"/>
      <c r="SVG130" s="72"/>
      <c r="SVH130" s="72"/>
      <c r="SVI130" s="72"/>
      <c r="SVJ130" s="72"/>
      <c r="SVK130" s="72"/>
      <c r="SVL130" s="72"/>
      <c r="SVM130" s="72"/>
      <c r="SVN130" s="72"/>
      <c r="SVO130" s="72"/>
      <c r="SVP130" s="72"/>
      <c r="SVQ130" s="72"/>
      <c r="SVR130" s="72"/>
      <c r="SVS130" s="72"/>
      <c r="SVT130" s="72"/>
      <c r="SVU130" s="72"/>
      <c r="SVV130" s="72"/>
      <c r="SVW130" s="72"/>
      <c r="SVX130" s="72"/>
      <c r="SVY130" s="72"/>
      <c r="SVZ130" s="72"/>
      <c r="SWA130" s="72"/>
      <c r="SWB130" s="72"/>
      <c r="SWC130" s="72"/>
      <c r="SWD130" s="72"/>
      <c r="SWE130" s="72"/>
      <c r="SWF130" s="72"/>
      <c r="SWG130" s="72"/>
      <c r="SWH130" s="72"/>
      <c r="SWI130" s="72"/>
      <c r="SWJ130" s="72"/>
      <c r="SWK130" s="72"/>
      <c r="SWL130" s="72"/>
      <c r="SWM130" s="72"/>
      <c r="SWN130" s="72"/>
      <c r="SWO130" s="72"/>
      <c r="SWP130" s="72"/>
      <c r="SWQ130" s="72"/>
      <c r="SWR130" s="72"/>
      <c r="SWS130" s="72"/>
      <c r="SWT130" s="72"/>
      <c r="SWU130" s="72"/>
      <c r="SWV130" s="72"/>
      <c r="SWW130" s="72"/>
      <c r="SWX130" s="72"/>
      <c r="SWY130" s="72"/>
      <c r="SWZ130" s="72"/>
      <c r="SXA130" s="72"/>
      <c r="SXB130" s="72"/>
      <c r="SXC130" s="72"/>
      <c r="SXD130" s="72"/>
      <c r="SXE130" s="72"/>
      <c r="SXF130" s="72"/>
      <c r="SXG130" s="72"/>
      <c r="SXH130" s="72"/>
      <c r="SXI130" s="72"/>
      <c r="SXJ130" s="72"/>
      <c r="SXK130" s="72"/>
      <c r="SXL130" s="72"/>
      <c r="SXM130" s="72"/>
      <c r="SXN130" s="72"/>
      <c r="SXO130" s="72"/>
      <c r="SXP130" s="72"/>
      <c r="SXQ130" s="72"/>
      <c r="SXR130" s="72"/>
      <c r="SXS130" s="72"/>
      <c r="SXT130" s="72"/>
      <c r="SXU130" s="72"/>
      <c r="SXV130" s="72"/>
      <c r="SXW130" s="72"/>
      <c r="SXX130" s="72"/>
      <c r="SXY130" s="72"/>
      <c r="SXZ130" s="72"/>
      <c r="SYA130" s="72"/>
      <c r="SYB130" s="72"/>
      <c r="SYC130" s="72"/>
      <c r="SYD130" s="72"/>
      <c r="SYE130" s="72"/>
      <c r="SYF130" s="72"/>
      <c r="SYG130" s="72"/>
      <c r="SYH130" s="72"/>
      <c r="SYI130" s="72"/>
      <c r="SYJ130" s="72"/>
      <c r="SYK130" s="72"/>
      <c r="SYL130" s="72"/>
      <c r="SYM130" s="72"/>
      <c r="SYN130" s="72"/>
      <c r="SYO130" s="72"/>
      <c r="SYP130" s="72"/>
      <c r="SYQ130" s="72"/>
      <c r="SYR130" s="72"/>
      <c r="SYS130" s="72"/>
      <c r="SYT130" s="72"/>
      <c r="SYU130" s="72"/>
      <c r="SYV130" s="72"/>
      <c r="SYW130" s="72"/>
      <c r="SYX130" s="72"/>
      <c r="SYY130" s="72"/>
      <c r="SYZ130" s="72"/>
      <c r="SZA130" s="72"/>
      <c r="SZB130" s="72"/>
      <c r="SZC130" s="72"/>
      <c r="SZD130" s="72"/>
      <c r="SZE130" s="72"/>
      <c r="SZF130" s="72"/>
      <c r="SZG130" s="72"/>
      <c r="SZH130" s="72"/>
      <c r="SZI130" s="72"/>
      <c r="SZJ130" s="72"/>
      <c r="SZK130" s="72"/>
      <c r="SZL130" s="72"/>
      <c r="SZM130" s="72"/>
      <c r="SZN130" s="72"/>
      <c r="SZO130" s="72"/>
      <c r="SZP130" s="72"/>
      <c r="SZQ130" s="72"/>
      <c r="SZR130" s="72"/>
      <c r="SZS130" s="72"/>
      <c r="SZT130" s="72"/>
      <c r="SZU130" s="72"/>
      <c r="SZV130" s="72"/>
      <c r="SZW130" s="72"/>
      <c r="SZX130" s="72"/>
      <c r="SZY130" s="72"/>
      <c r="SZZ130" s="72"/>
      <c r="TAA130" s="72"/>
      <c r="TAB130" s="72"/>
      <c r="TAC130" s="72"/>
      <c r="TAD130" s="72"/>
      <c r="TAE130" s="72"/>
      <c r="TAF130" s="72"/>
      <c r="TAG130" s="72"/>
      <c r="TAH130" s="72"/>
      <c r="TAI130" s="72"/>
      <c r="TAJ130" s="72"/>
      <c r="TAK130" s="72"/>
      <c r="TAL130" s="72"/>
      <c r="TAM130" s="72"/>
      <c r="TAN130" s="72"/>
      <c r="TAO130" s="72"/>
      <c r="TAP130" s="72"/>
      <c r="TAQ130" s="72"/>
      <c r="TAR130" s="72"/>
      <c r="TAS130" s="72"/>
      <c r="TAT130" s="72"/>
      <c r="TAU130" s="72"/>
      <c r="TAV130" s="72"/>
      <c r="TAW130" s="72"/>
      <c r="TAX130" s="72"/>
      <c r="TAY130" s="72"/>
      <c r="TAZ130" s="72"/>
      <c r="TBA130" s="72"/>
      <c r="TBB130" s="72"/>
      <c r="TBC130" s="72"/>
      <c r="TBD130" s="72"/>
      <c r="TBE130" s="72"/>
      <c r="TBF130" s="72"/>
      <c r="TBG130" s="72"/>
      <c r="TBH130" s="72"/>
      <c r="TBI130" s="72"/>
      <c r="TBJ130" s="72"/>
      <c r="TBK130" s="72"/>
      <c r="TBL130" s="72"/>
      <c r="TBM130" s="72"/>
      <c r="TBN130" s="72"/>
      <c r="TBO130" s="72"/>
      <c r="TBP130" s="72"/>
      <c r="TBQ130" s="72"/>
      <c r="TBR130" s="72"/>
      <c r="TBS130" s="72"/>
      <c r="TBT130" s="72"/>
      <c r="TBU130" s="72"/>
      <c r="TBV130" s="72"/>
      <c r="TBW130" s="72"/>
      <c r="TBX130" s="72"/>
      <c r="TBY130" s="72"/>
      <c r="TBZ130" s="72"/>
      <c r="TCA130" s="72"/>
      <c r="TCB130" s="72"/>
      <c r="TCC130" s="72"/>
      <c r="TCD130" s="72"/>
      <c r="TCE130" s="72"/>
      <c r="TCF130" s="72"/>
      <c r="TCG130" s="72"/>
      <c r="TCH130" s="72"/>
      <c r="TCI130" s="72"/>
      <c r="TCJ130" s="72"/>
      <c r="TCK130" s="72"/>
      <c r="TCL130" s="72"/>
      <c r="TCM130" s="72"/>
      <c r="TCN130" s="72"/>
      <c r="TCO130" s="72"/>
      <c r="TCP130" s="72"/>
      <c r="TCQ130" s="72"/>
      <c r="TCR130" s="72"/>
      <c r="TCS130" s="72"/>
      <c r="TCT130" s="72"/>
      <c r="TCU130" s="72"/>
      <c r="TCV130" s="72"/>
      <c r="TCW130" s="72"/>
      <c r="TCX130" s="72"/>
      <c r="TCY130" s="72"/>
      <c r="TCZ130" s="72"/>
      <c r="TDA130" s="72"/>
      <c r="TDB130" s="72"/>
      <c r="TDC130" s="72"/>
      <c r="TDD130" s="72"/>
      <c r="TDE130" s="72"/>
      <c r="TDF130" s="72"/>
      <c r="TDG130" s="72"/>
      <c r="TDH130" s="72"/>
      <c r="TDI130" s="72"/>
      <c r="TDJ130" s="72"/>
      <c r="TDK130" s="72"/>
      <c r="TDL130" s="72"/>
      <c r="TDM130" s="72"/>
      <c r="TDN130" s="72"/>
      <c r="TDO130" s="72"/>
      <c r="TDP130" s="72"/>
      <c r="TDQ130" s="72"/>
      <c r="TDR130" s="72"/>
      <c r="TDS130" s="72"/>
      <c r="TDT130" s="72"/>
      <c r="TDU130" s="72"/>
      <c r="TDV130" s="72"/>
      <c r="TDW130" s="72"/>
      <c r="TDX130" s="72"/>
      <c r="TDY130" s="72"/>
      <c r="TDZ130" s="72"/>
      <c r="TEA130" s="72"/>
      <c r="TEB130" s="72"/>
      <c r="TEC130" s="72"/>
      <c r="TED130" s="72"/>
      <c r="TEE130" s="72"/>
      <c r="TEF130" s="72"/>
      <c r="TEG130" s="72"/>
      <c r="TEH130" s="72"/>
      <c r="TEI130" s="72"/>
      <c r="TEJ130" s="72"/>
      <c r="TEK130" s="72"/>
      <c r="TEL130" s="72"/>
      <c r="TEM130" s="72"/>
      <c r="TEN130" s="72"/>
      <c r="TEO130" s="72"/>
      <c r="TEP130" s="72"/>
      <c r="TEQ130" s="72"/>
      <c r="TER130" s="72"/>
      <c r="TES130" s="72"/>
      <c r="TET130" s="72"/>
      <c r="TEU130" s="72"/>
      <c r="TEV130" s="72"/>
      <c r="TEW130" s="72"/>
      <c r="TEX130" s="72"/>
      <c r="TEY130" s="72"/>
      <c r="TEZ130" s="72"/>
      <c r="TFA130" s="72"/>
      <c r="TFB130" s="72"/>
      <c r="TFC130" s="72"/>
      <c r="TFD130" s="72"/>
      <c r="TFE130" s="72"/>
      <c r="TFF130" s="72"/>
      <c r="TFG130" s="72"/>
      <c r="TFH130" s="72"/>
      <c r="TFI130" s="72"/>
      <c r="TFJ130" s="72"/>
      <c r="TFK130" s="72"/>
      <c r="TFL130" s="72"/>
      <c r="TFM130" s="72"/>
      <c r="TFN130" s="72"/>
      <c r="TFO130" s="72"/>
      <c r="TFP130" s="72"/>
      <c r="TFQ130" s="72"/>
      <c r="TFR130" s="72"/>
      <c r="TFS130" s="72"/>
      <c r="TFT130" s="72"/>
      <c r="TFU130" s="72"/>
      <c r="TFV130" s="72"/>
      <c r="TFW130" s="72"/>
      <c r="TFX130" s="72"/>
      <c r="TFY130" s="72"/>
      <c r="TFZ130" s="72"/>
      <c r="TGA130" s="72"/>
      <c r="TGB130" s="72"/>
      <c r="TGC130" s="72"/>
      <c r="TGD130" s="72"/>
      <c r="TGE130" s="72"/>
      <c r="TGF130" s="72"/>
      <c r="TGG130" s="72"/>
      <c r="TGH130" s="72"/>
      <c r="TGI130" s="72"/>
      <c r="TGJ130" s="72"/>
      <c r="TGK130" s="72"/>
      <c r="TGL130" s="72"/>
      <c r="TGM130" s="72"/>
      <c r="TGN130" s="72"/>
      <c r="TGO130" s="72"/>
      <c r="TGP130" s="72"/>
      <c r="TGQ130" s="72"/>
      <c r="TGR130" s="72"/>
      <c r="TGS130" s="72"/>
      <c r="TGT130" s="72"/>
      <c r="TGU130" s="72"/>
      <c r="TGV130" s="72"/>
      <c r="TGW130" s="72"/>
      <c r="TGX130" s="72"/>
      <c r="TGY130" s="72"/>
      <c r="TGZ130" s="72"/>
      <c r="THA130" s="72"/>
      <c r="THB130" s="72"/>
      <c r="THC130" s="72"/>
      <c r="THD130" s="72"/>
      <c r="THE130" s="72"/>
      <c r="THF130" s="72"/>
      <c r="THG130" s="72"/>
      <c r="THH130" s="72"/>
      <c r="THI130" s="72"/>
      <c r="THJ130" s="72"/>
      <c r="THK130" s="72"/>
      <c r="THL130" s="72"/>
      <c r="THM130" s="72"/>
      <c r="THN130" s="72"/>
      <c r="THO130" s="72"/>
      <c r="THP130" s="72"/>
      <c r="THQ130" s="72"/>
      <c r="THR130" s="72"/>
      <c r="THS130" s="72"/>
      <c r="THT130" s="72"/>
      <c r="THU130" s="72"/>
      <c r="THV130" s="72"/>
      <c r="THW130" s="72"/>
      <c r="THX130" s="72"/>
      <c r="THY130" s="72"/>
      <c r="THZ130" s="72"/>
      <c r="TIA130" s="72"/>
      <c r="TIB130" s="72"/>
      <c r="TIC130" s="72"/>
      <c r="TID130" s="72"/>
      <c r="TIE130" s="72"/>
      <c r="TIF130" s="72"/>
      <c r="TIG130" s="72"/>
      <c r="TIH130" s="72"/>
      <c r="TII130" s="72"/>
      <c r="TIJ130" s="72"/>
      <c r="TIK130" s="72"/>
      <c r="TIL130" s="72"/>
      <c r="TIM130" s="72"/>
      <c r="TIN130" s="72"/>
      <c r="TIO130" s="72"/>
      <c r="TIP130" s="72"/>
      <c r="TIQ130" s="72"/>
      <c r="TIR130" s="72"/>
      <c r="TIS130" s="72"/>
      <c r="TIT130" s="72"/>
      <c r="TIU130" s="72"/>
      <c r="TIV130" s="72"/>
      <c r="TIW130" s="72"/>
      <c r="TIX130" s="72"/>
      <c r="TIY130" s="72"/>
      <c r="TIZ130" s="72"/>
      <c r="TJA130" s="72"/>
      <c r="TJB130" s="72"/>
      <c r="TJC130" s="72"/>
      <c r="TJD130" s="72"/>
      <c r="TJE130" s="72"/>
      <c r="TJF130" s="72"/>
      <c r="TJG130" s="72"/>
      <c r="TJH130" s="72"/>
      <c r="TJI130" s="72"/>
      <c r="TJJ130" s="72"/>
      <c r="TJK130" s="72"/>
      <c r="TJL130" s="72"/>
      <c r="TJM130" s="72"/>
      <c r="TJN130" s="72"/>
      <c r="TJO130" s="72"/>
      <c r="TJP130" s="72"/>
      <c r="TJQ130" s="72"/>
      <c r="TJR130" s="72"/>
      <c r="TJS130" s="72"/>
      <c r="TJT130" s="72"/>
      <c r="TJU130" s="72"/>
      <c r="TJV130" s="72"/>
      <c r="TJW130" s="72"/>
      <c r="TJX130" s="72"/>
      <c r="TJY130" s="72"/>
      <c r="TJZ130" s="72"/>
      <c r="TKA130" s="72"/>
      <c r="TKB130" s="72"/>
      <c r="TKC130" s="72"/>
      <c r="TKD130" s="72"/>
      <c r="TKE130" s="72"/>
      <c r="TKF130" s="72"/>
      <c r="TKG130" s="72"/>
      <c r="TKH130" s="72"/>
      <c r="TKI130" s="72"/>
      <c r="TKJ130" s="72"/>
      <c r="TKK130" s="72"/>
      <c r="TKL130" s="72"/>
      <c r="TKM130" s="72"/>
      <c r="TKN130" s="72"/>
      <c r="TKO130" s="72"/>
      <c r="TKP130" s="72"/>
      <c r="TKQ130" s="72"/>
      <c r="TKR130" s="72"/>
      <c r="TKS130" s="72"/>
      <c r="TKT130" s="72"/>
      <c r="TKU130" s="72"/>
      <c r="TKV130" s="72"/>
      <c r="TKW130" s="72"/>
      <c r="TKX130" s="72"/>
      <c r="TKY130" s="72"/>
      <c r="TKZ130" s="72"/>
      <c r="TLA130" s="72"/>
      <c r="TLB130" s="72"/>
      <c r="TLC130" s="72"/>
      <c r="TLD130" s="72"/>
      <c r="TLE130" s="72"/>
      <c r="TLF130" s="72"/>
      <c r="TLG130" s="72"/>
      <c r="TLH130" s="72"/>
      <c r="TLI130" s="72"/>
      <c r="TLJ130" s="72"/>
      <c r="TLK130" s="72"/>
      <c r="TLL130" s="72"/>
      <c r="TLM130" s="72"/>
      <c r="TLN130" s="72"/>
      <c r="TLO130" s="72"/>
      <c r="TLP130" s="72"/>
      <c r="TLQ130" s="72"/>
      <c r="TLR130" s="72"/>
      <c r="TLS130" s="72"/>
      <c r="TLT130" s="72"/>
      <c r="TLU130" s="72"/>
      <c r="TLV130" s="72"/>
      <c r="TLW130" s="72"/>
      <c r="TLX130" s="72"/>
      <c r="TLY130" s="72"/>
      <c r="TLZ130" s="72"/>
      <c r="TMA130" s="72"/>
      <c r="TMB130" s="72"/>
      <c r="TMC130" s="72"/>
      <c r="TMD130" s="72"/>
      <c r="TME130" s="72"/>
      <c r="TMF130" s="72"/>
      <c r="TMG130" s="72"/>
      <c r="TMH130" s="72"/>
      <c r="TMI130" s="72"/>
      <c r="TMJ130" s="72"/>
      <c r="TMK130" s="72"/>
      <c r="TML130" s="72"/>
      <c r="TMM130" s="72"/>
      <c r="TMN130" s="72"/>
      <c r="TMO130" s="72"/>
      <c r="TMP130" s="72"/>
      <c r="TMQ130" s="72"/>
      <c r="TMR130" s="72"/>
      <c r="TMS130" s="72"/>
      <c r="TMT130" s="72"/>
      <c r="TMU130" s="72"/>
      <c r="TMV130" s="72"/>
      <c r="TMW130" s="72"/>
      <c r="TMX130" s="72"/>
      <c r="TMY130" s="72"/>
      <c r="TMZ130" s="72"/>
      <c r="TNA130" s="72"/>
      <c r="TNB130" s="72"/>
      <c r="TNC130" s="72"/>
      <c r="TND130" s="72"/>
      <c r="TNE130" s="72"/>
      <c r="TNF130" s="72"/>
      <c r="TNG130" s="72"/>
      <c r="TNH130" s="72"/>
      <c r="TNI130" s="72"/>
      <c r="TNJ130" s="72"/>
      <c r="TNK130" s="72"/>
      <c r="TNL130" s="72"/>
      <c r="TNM130" s="72"/>
      <c r="TNN130" s="72"/>
      <c r="TNO130" s="72"/>
      <c r="TNP130" s="72"/>
      <c r="TNQ130" s="72"/>
      <c r="TNR130" s="72"/>
      <c r="TNS130" s="72"/>
      <c r="TNT130" s="72"/>
      <c r="TNU130" s="72"/>
      <c r="TNV130" s="72"/>
      <c r="TNW130" s="72"/>
      <c r="TNX130" s="72"/>
      <c r="TNY130" s="72"/>
      <c r="TNZ130" s="72"/>
      <c r="TOA130" s="72"/>
      <c r="TOB130" s="72"/>
      <c r="TOC130" s="72"/>
      <c r="TOD130" s="72"/>
      <c r="TOE130" s="72"/>
      <c r="TOF130" s="72"/>
      <c r="TOG130" s="72"/>
      <c r="TOH130" s="72"/>
      <c r="TOI130" s="72"/>
      <c r="TOJ130" s="72"/>
      <c r="TOK130" s="72"/>
      <c r="TOL130" s="72"/>
      <c r="TOM130" s="72"/>
      <c r="TON130" s="72"/>
      <c r="TOO130" s="72"/>
      <c r="TOP130" s="72"/>
      <c r="TOQ130" s="72"/>
      <c r="TOR130" s="72"/>
      <c r="TOS130" s="72"/>
      <c r="TOT130" s="72"/>
      <c r="TOU130" s="72"/>
      <c r="TOV130" s="72"/>
      <c r="TOW130" s="72"/>
      <c r="TOX130" s="72"/>
      <c r="TOY130" s="72"/>
      <c r="TOZ130" s="72"/>
      <c r="TPA130" s="72"/>
      <c r="TPB130" s="72"/>
      <c r="TPC130" s="72"/>
      <c r="TPD130" s="72"/>
      <c r="TPE130" s="72"/>
      <c r="TPF130" s="72"/>
      <c r="TPG130" s="72"/>
      <c r="TPH130" s="72"/>
      <c r="TPI130" s="72"/>
      <c r="TPJ130" s="72"/>
      <c r="TPK130" s="72"/>
      <c r="TPL130" s="72"/>
      <c r="TPM130" s="72"/>
      <c r="TPN130" s="72"/>
      <c r="TPO130" s="72"/>
      <c r="TPP130" s="72"/>
      <c r="TPQ130" s="72"/>
      <c r="TPR130" s="72"/>
      <c r="TPS130" s="72"/>
      <c r="TPT130" s="72"/>
      <c r="TPU130" s="72"/>
      <c r="TPV130" s="72"/>
      <c r="TPW130" s="72"/>
      <c r="TPX130" s="72"/>
      <c r="TPY130" s="72"/>
      <c r="TPZ130" s="72"/>
      <c r="TQA130" s="72"/>
      <c r="TQB130" s="72"/>
      <c r="TQC130" s="72"/>
      <c r="TQD130" s="72"/>
      <c r="TQE130" s="72"/>
      <c r="TQF130" s="72"/>
      <c r="TQG130" s="72"/>
      <c r="TQH130" s="72"/>
      <c r="TQI130" s="72"/>
      <c r="TQJ130" s="72"/>
      <c r="TQK130" s="72"/>
      <c r="TQL130" s="72"/>
      <c r="TQM130" s="72"/>
      <c r="TQN130" s="72"/>
      <c r="TQO130" s="72"/>
      <c r="TQP130" s="72"/>
      <c r="TQQ130" s="72"/>
      <c r="TQR130" s="72"/>
      <c r="TQS130" s="72"/>
      <c r="TQT130" s="72"/>
      <c r="TQU130" s="72"/>
      <c r="TQV130" s="72"/>
      <c r="TQW130" s="72"/>
      <c r="TQX130" s="72"/>
      <c r="TQY130" s="72"/>
      <c r="TQZ130" s="72"/>
      <c r="TRA130" s="72"/>
      <c r="TRB130" s="72"/>
      <c r="TRC130" s="72"/>
      <c r="TRD130" s="72"/>
      <c r="TRE130" s="72"/>
      <c r="TRF130" s="72"/>
      <c r="TRG130" s="72"/>
      <c r="TRH130" s="72"/>
      <c r="TRI130" s="72"/>
      <c r="TRJ130" s="72"/>
      <c r="TRK130" s="72"/>
      <c r="TRL130" s="72"/>
      <c r="TRM130" s="72"/>
      <c r="TRN130" s="72"/>
      <c r="TRO130" s="72"/>
      <c r="TRP130" s="72"/>
      <c r="TRQ130" s="72"/>
      <c r="TRR130" s="72"/>
      <c r="TRS130" s="72"/>
      <c r="TRT130" s="72"/>
      <c r="TRU130" s="72"/>
      <c r="TRV130" s="72"/>
      <c r="TRW130" s="72"/>
      <c r="TRX130" s="72"/>
      <c r="TRY130" s="72"/>
      <c r="TRZ130" s="72"/>
      <c r="TSA130" s="72"/>
      <c r="TSB130" s="72"/>
      <c r="TSC130" s="72"/>
      <c r="TSD130" s="72"/>
      <c r="TSE130" s="72"/>
      <c r="TSF130" s="72"/>
      <c r="TSG130" s="72"/>
      <c r="TSH130" s="72"/>
      <c r="TSI130" s="72"/>
      <c r="TSJ130" s="72"/>
      <c r="TSK130" s="72"/>
      <c r="TSL130" s="72"/>
      <c r="TSM130" s="72"/>
      <c r="TSN130" s="72"/>
      <c r="TSO130" s="72"/>
      <c r="TSP130" s="72"/>
      <c r="TSQ130" s="72"/>
      <c r="TSR130" s="72"/>
      <c r="TSS130" s="72"/>
      <c r="TST130" s="72"/>
      <c r="TSU130" s="72"/>
      <c r="TSV130" s="72"/>
      <c r="TSW130" s="72"/>
      <c r="TSX130" s="72"/>
      <c r="TSY130" s="72"/>
      <c r="TSZ130" s="72"/>
      <c r="TTA130" s="72"/>
      <c r="TTB130" s="72"/>
      <c r="TTC130" s="72"/>
      <c r="TTD130" s="72"/>
      <c r="TTE130" s="72"/>
      <c r="TTF130" s="72"/>
      <c r="TTG130" s="72"/>
      <c r="TTH130" s="72"/>
      <c r="TTI130" s="72"/>
      <c r="TTJ130" s="72"/>
      <c r="TTK130" s="72"/>
      <c r="TTL130" s="72"/>
      <c r="TTM130" s="72"/>
      <c r="TTN130" s="72"/>
      <c r="TTO130" s="72"/>
      <c r="TTP130" s="72"/>
      <c r="TTQ130" s="72"/>
      <c r="TTR130" s="72"/>
      <c r="TTS130" s="72"/>
      <c r="TTT130" s="72"/>
      <c r="TTU130" s="72"/>
      <c r="TTV130" s="72"/>
      <c r="TTW130" s="72"/>
      <c r="TTX130" s="72"/>
      <c r="TTY130" s="72"/>
      <c r="TTZ130" s="72"/>
      <c r="TUA130" s="72"/>
      <c r="TUB130" s="72"/>
      <c r="TUC130" s="72"/>
      <c r="TUD130" s="72"/>
      <c r="TUE130" s="72"/>
      <c r="TUF130" s="72"/>
      <c r="TUG130" s="72"/>
      <c r="TUH130" s="72"/>
      <c r="TUI130" s="72"/>
      <c r="TUJ130" s="72"/>
      <c r="TUK130" s="72"/>
      <c r="TUL130" s="72"/>
      <c r="TUM130" s="72"/>
      <c r="TUN130" s="72"/>
      <c r="TUO130" s="72"/>
      <c r="TUP130" s="72"/>
      <c r="TUQ130" s="72"/>
      <c r="TUR130" s="72"/>
      <c r="TUS130" s="72"/>
      <c r="TUT130" s="72"/>
      <c r="TUU130" s="72"/>
      <c r="TUV130" s="72"/>
      <c r="TUW130" s="72"/>
      <c r="TUX130" s="72"/>
      <c r="TUY130" s="72"/>
      <c r="TUZ130" s="72"/>
      <c r="TVA130" s="72"/>
      <c r="TVB130" s="72"/>
      <c r="TVC130" s="72"/>
      <c r="TVD130" s="72"/>
      <c r="TVE130" s="72"/>
      <c r="TVF130" s="72"/>
      <c r="TVG130" s="72"/>
      <c r="TVH130" s="72"/>
      <c r="TVI130" s="72"/>
      <c r="TVJ130" s="72"/>
      <c r="TVK130" s="72"/>
      <c r="TVL130" s="72"/>
      <c r="TVM130" s="72"/>
      <c r="TVN130" s="72"/>
      <c r="TVO130" s="72"/>
      <c r="TVP130" s="72"/>
      <c r="TVQ130" s="72"/>
      <c r="TVR130" s="72"/>
      <c r="TVS130" s="72"/>
      <c r="TVT130" s="72"/>
      <c r="TVU130" s="72"/>
      <c r="TVV130" s="72"/>
      <c r="TVW130" s="72"/>
      <c r="TVX130" s="72"/>
      <c r="TVY130" s="72"/>
      <c r="TVZ130" s="72"/>
      <c r="TWA130" s="72"/>
      <c r="TWB130" s="72"/>
      <c r="TWC130" s="72"/>
      <c r="TWD130" s="72"/>
      <c r="TWE130" s="72"/>
      <c r="TWF130" s="72"/>
      <c r="TWG130" s="72"/>
      <c r="TWH130" s="72"/>
      <c r="TWI130" s="72"/>
      <c r="TWJ130" s="72"/>
      <c r="TWK130" s="72"/>
      <c r="TWL130" s="72"/>
      <c r="TWM130" s="72"/>
      <c r="TWN130" s="72"/>
      <c r="TWO130" s="72"/>
      <c r="TWP130" s="72"/>
      <c r="TWQ130" s="72"/>
      <c r="TWR130" s="72"/>
      <c r="TWS130" s="72"/>
      <c r="TWT130" s="72"/>
      <c r="TWU130" s="72"/>
      <c r="TWV130" s="72"/>
      <c r="TWW130" s="72"/>
      <c r="TWX130" s="72"/>
      <c r="TWY130" s="72"/>
      <c r="TWZ130" s="72"/>
      <c r="TXA130" s="72"/>
      <c r="TXB130" s="72"/>
      <c r="TXC130" s="72"/>
      <c r="TXD130" s="72"/>
      <c r="TXE130" s="72"/>
      <c r="TXF130" s="72"/>
      <c r="TXG130" s="72"/>
      <c r="TXH130" s="72"/>
      <c r="TXI130" s="72"/>
      <c r="TXJ130" s="72"/>
      <c r="TXK130" s="72"/>
      <c r="TXL130" s="72"/>
      <c r="TXM130" s="72"/>
      <c r="TXN130" s="72"/>
      <c r="TXO130" s="72"/>
      <c r="TXP130" s="72"/>
      <c r="TXQ130" s="72"/>
      <c r="TXR130" s="72"/>
      <c r="TXS130" s="72"/>
      <c r="TXT130" s="72"/>
      <c r="TXU130" s="72"/>
      <c r="TXV130" s="72"/>
      <c r="TXW130" s="72"/>
      <c r="TXX130" s="72"/>
      <c r="TXY130" s="72"/>
      <c r="TXZ130" s="72"/>
      <c r="TYA130" s="72"/>
      <c r="TYB130" s="72"/>
      <c r="TYC130" s="72"/>
      <c r="TYD130" s="72"/>
      <c r="TYE130" s="72"/>
      <c r="TYF130" s="72"/>
      <c r="TYG130" s="72"/>
      <c r="TYH130" s="72"/>
      <c r="TYI130" s="72"/>
      <c r="TYJ130" s="72"/>
      <c r="TYK130" s="72"/>
      <c r="TYL130" s="72"/>
      <c r="TYM130" s="72"/>
      <c r="TYN130" s="72"/>
      <c r="TYO130" s="72"/>
      <c r="TYP130" s="72"/>
      <c r="TYQ130" s="72"/>
      <c r="TYR130" s="72"/>
      <c r="TYS130" s="72"/>
      <c r="TYT130" s="72"/>
      <c r="TYU130" s="72"/>
      <c r="TYV130" s="72"/>
      <c r="TYW130" s="72"/>
      <c r="TYX130" s="72"/>
      <c r="TYY130" s="72"/>
      <c r="TYZ130" s="72"/>
      <c r="TZA130" s="72"/>
      <c r="TZB130" s="72"/>
      <c r="TZC130" s="72"/>
      <c r="TZD130" s="72"/>
      <c r="TZE130" s="72"/>
      <c r="TZF130" s="72"/>
      <c r="TZG130" s="72"/>
      <c r="TZH130" s="72"/>
      <c r="TZI130" s="72"/>
      <c r="TZJ130" s="72"/>
      <c r="TZK130" s="72"/>
      <c r="TZL130" s="72"/>
      <c r="TZM130" s="72"/>
      <c r="TZN130" s="72"/>
      <c r="TZO130" s="72"/>
      <c r="TZP130" s="72"/>
      <c r="TZQ130" s="72"/>
      <c r="TZR130" s="72"/>
      <c r="TZS130" s="72"/>
      <c r="TZT130" s="72"/>
      <c r="TZU130" s="72"/>
      <c r="TZV130" s="72"/>
      <c r="TZW130" s="72"/>
      <c r="TZX130" s="72"/>
      <c r="TZY130" s="72"/>
      <c r="TZZ130" s="72"/>
      <c r="UAA130" s="72"/>
      <c r="UAB130" s="72"/>
      <c r="UAC130" s="72"/>
      <c r="UAD130" s="72"/>
      <c r="UAE130" s="72"/>
      <c r="UAF130" s="72"/>
      <c r="UAG130" s="72"/>
      <c r="UAH130" s="72"/>
      <c r="UAI130" s="72"/>
      <c r="UAJ130" s="72"/>
      <c r="UAK130" s="72"/>
      <c r="UAL130" s="72"/>
      <c r="UAM130" s="72"/>
      <c r="UAN130" s="72"/>
      <c r="UAO130" s="72"/>
      <c r="UAP130" s="72"/>
      <c r="UAQ130" s="72"/>
      <c r="UAR130" s="72"/>
      <c r="UAS130" s="72"/>
      <c r="UAT130" s="72"/>
      <c r="UAU130" s="72"/>
      <c r="UAV130" s="72"/>
      <c r="UAW130" s="72"/>
      <c r="UAX130" s="72"/>
      <c r="UAY130" s="72"/>
      <c r="UAZ130" s="72"/>
      <c r="UBA130" s="72"/>
      <c r="UBB130" s="72"/>
      <c r="UBC130" s="72"/>
      <c r="UBD130" s="72"/>
      <c r="UBE130" s="72"/>
      <c r="UBF130" s="72"/>
      <c r="UBG130" s="72"/>
      <c r="UBH130" s="72"/>
      <c r="UBI130" s="72"/>
      <c r="UBJ130" s="72"/>
      <c r="UBK130" s="72"/>
      <c r="UBL130" s="72"/>
      <c r="UBM130" s="72"/>
      <c r="UBN130" s="72"/>
      <c r="UBO130" s="72"/>
      <c r="UBP130" s="72"/>
      <c r="UBQ130" s="72"/>
      <c r="UBR130" s="72"/>
      <c r="UBS130" s="72"/>
      <c r="UBT130" s="72"/>
      <c r="UBU130" s="72"/>
      <c r="UBV130" s="72"/>
      <c r="UBW130" s="72"/>
      <c r="UBX130" s="72"/>
      <c r="UBY130" s="72"/>
      <c r="UBZ130" s="72"/>
      <c r="UCA130" s="72"/>
      <c r="UCB130" s="72"/>
      <c r="UCC130" s="72"/>
      <c r="UCD130" s="72"/>
      <c r="UCE130" s="72"/>
      <c r="UCF130" s="72"/>
      <c r="UCG130" s="72"/>
      <c r="UCH130" s="72"/>
      <c r="UCI130" s="72"/>
      <c r="UCJ130" s="72"/>
      <c r="UCK130" s="72"/>
      <c r="UCL130" s="72"/>
      <c r="UCM130" s="72"/>
      <c r="UCN130" s="72"/>
      <c r="UCO130" s="72"/>
      <c r="UCP130" s="72"/>
      <c r="UCQ130" s="72"/>
      <c r="UCR130" s="72"/>
      <c r="UCS130" s="72"/>
      <c r="UCT130" s="72"/>
      <c r="UCU130" s="72"/>
      <c r="UCV130" s="72"/>
      <c r="UCW130" s="72"/>
      <c r="UCX130" s="72"/>
      <c r="UCY130" s="72"/>
      <c r="UCZ130" s="72"/>
      <c r="UDA130" s="72"/>
      <c r="UDB130" s="72"/>
      <c r="UDC130" s="72"/>
      <c r="UDD130" s="72"/>
      <c r="UDE130" s="72"/>
      <c r="UDF130" s="72"/>
      <c r="UDG130" s="72"/>
      <c r="UDH130" s="72"/>
      <c r="UDI130" s="72"/>
      <c r="UDJ130" s="72"/>
      <c r="UDK130" s="72"/>
      <c r="UDL130" s="72"/>
      <c r="UDM130" s="72"/>
      <c r="UDN130" s="72"/>
      <c r="UDO130" s="72"/>
      <c r="UDP130" s="72"/>
      <c r="UDQ130" s="72"/>
      <c r="UDR130" s="72"/>
      <c r="UDS130" s="72"/>
      <c r="UDT130" s="72"/>
      <c r="UDU130" s="72"/>
      <c r="UDV130" s="72"/>
      <c r="UDW130" s="72"/>
      <c r="UDX130" s="72"/>
      <c r="UDY130" s="72"/>
      <c r="UDZ130" s="72"/>
      <c r="UEA130" s="72"/>
      <c r="UEB130" s="72"/>
      <c r="UEC130" s="72"/>
      <c r="UED130" s="72"/>
      <c r="UEE130" s="72"/>
      <c r="UEF130" s="72"/>
      <c r="UEG130" s="72"/>
      <c r="UEH130" s="72"/>
      <c r="UEI130" s="72"/>
      <c r="UEJ130" s="72"/>
      <c r="UEK130" s="72"/>
      <c r="UEL130" s="72"/>
      <c r="UEM130" s="72"/>
      <c r="UEN130" s="72"/>
      <c r="UEO130" s="72"/>
      <c r="UEP130" s="72"/>
      <c r="UEQ130" s="72"/>
      <c r="UER130" s="72"/>
      <c r="UES130" s="72"/>
      <c r="UET130" s="72"/>
      <c r="UEU130" s="72"/>
      <c r="UEV130" s="72"/>
      <c r="UEW130" s="72"/>
      <c r="UEX130" s="72"/>
      <c r="UEY130" s="72"/>
      <c r="UEZ130" s="72"/>
      <c r="UFA130" s="72"/>
      <c r="UFB130" s="72"/>
      <c r="UFC130" s="72"/>
      <c r="UFD130" s="72"/>
      <c r="UFE130" s="72"/>
      <c r="UFF130" s="72"/>
      <c r="UFG130" s="72"/>
      <c r="UFH130" s="72"/>
      <c r="UFI130" s="72"/>
      <c r="UFJ130" s="72"/>
      <c r="UFK130" s="72"/>
      <c r="UFL130" s="72"/>
      <c r="UFM130" s="72"/>
      <c r="UFN130" s="72"/>
      <c r="UFO130" s="72"/>
      <c r="UFP130" s="72"/>
      <c r="UFQ130" s="72"/>
      <c r="UFR130" s="72"/>
      <c r="UFS130" s="72"/>
      <c r="UFT130" s="72"/>
      <c r="UFU130" s="72"/>
      <c r="UFV130" s="72"/>
      <c r="UFW130" s="72"/>
      <c r="UFX130" s="72"/>
      <c r="UFY130" s="72"/>
      <c r="UFZ130" s="72"/>
      <c r="UGA130" s="72"/>
      <c r="UGB130" s="72"/>
      <c r="UGC130" s="72"/>
      <c r="UGD130" s="72"/>
      <c r="UGE130" s="72"/>
      <c r="UGF130" s="72"/>
      <c r="UGG130" s="72"/>
      <c r="UGH130" s="72"/>
      <c r="UGI130" s="72"/>
      <c r="UGJ130" s="72"/>
      <c r="UGK130" s="72"/>
      <c r="UGL130" s="72"/>
      <c r="UGM130" s="72"/>
      <c r="UGN130" s="72"/>
      <c r="UGO130" s="72"/>
      <c r="UGP130" s="72"/>
      <c r="UGQ130" s="72"/>
      <c r="UGR130" s="72"/>
      <c r="UGS130" s="72"/>
      <c r="UGT130" s="72"/>
      <c r="UGU130" s="72"/>
      <c r="UGV130" s="72"/>
      <c r="UGW130" s="72"/>
      <c r="UGX130" s="72"/>
      <c r="UGY130" s="72"/>
      <c r="UGZ130" s="72"/>
      <c r="UHA130" s="72"/>
      <c r="UHB130" s="72"/>
      <c r="UHC130" s="72"/>
      <c r="UHD130" s="72"/>
      <c r="UHE130" s="72"/>
      <c r="UHF130" s="72"/>
      <c r="UHG130" s="72"/>
      <c r="UHH130" s="72"/>
      <c r="UHI130" s="72"/>
      <c r="UHJ130" s="72"/>
      <c r="UHK130" s="72"/>
      <c r="UHL130" s="72"/>
      <c r="UHM130" s="72"/>
      <c r="UHN130" s="72"/>
      <c r="UHO130" s="72"/>
      <c r="UHP130" s="72"/>
      <c r="UHQ130" s="72"/>
      <c r="UHR130" s="72"/>
      <c r="UHS130" s="72"/>
      <c r="UHT130" s="72"/>
      <c r="UHU130" s="72"/>
      <c r="UHV130" s="72"/>
      <c r="UHW130" s="72"/>
      <c r="UHX130" s="72"/>
      <c r="UHY130" s="72"/>
      <c r="UHZ130" s="72"/>
      <c r="UIA130" s="72"/>
      <c r="UIB130" s="72"/>
      <c r="UIC130" s="72"/>
      <c r="UID130" s="72"/>
      <c r="UIE130" s="72"/>
      <c r="UIF130" s="72"/>
      <c r="UIG130" s="72"/>
      <c r="UIH130" s="72"/>
      <c r="UII130" s="72"/>
      <c r="UIJ130" s="72"/>
      <c r="UIK130" s="72"/>
      <c r="UIL130" s="72"/>
      <c r="UIM130" s="72"/>
      <c r="UIN130" s="72"/>
      <c r="UIO130" s="72"/>
      <c r="UIP130" s="72"/>
      <c r="UIQ130" s="72"/>
      <c r="UIR130" s="72"/>
      <c r="UIS130" s="72"/>
      <c r="UIT130" s="72"/>
      <c r="UIU130" s="72"/>
      <c r="UIV130" s="72"/>
      <c r="UIW130" s="72"/>
      <c r="UIX130" s="72"/>
      <c r="UIY130" s="72"/>
      <c r="UIZ130" s="72"/>
      <c r="UJA130" s="72"/>
      <c r="UJB130" s="72"/>
      <c r="UJC130" s="72"/>
      <c r="UJD130" s="72"/>
      <c r="UJE130" s="72"/>
      <c r="UJF130" s="72"/>
      <c r="UJG130" s="72"/>
      <c r="UJH130" s="72"/>
      <c r="UJI130" s="72"/>
      <c r="UJJ130" s="72"/>
      <c r="UJK130" s="72"/>
      <c r="UJL130" s="72"/>
      <c r="UJM130" s="72"/>
      <c r="UJN130" s="72"/>
      <c r="UJO130" s="72"/>
      <c r="UJP130" s="72"/>
      <c r="UJQ130" s="72"/>
      <c r="UJR130" s="72"/>
      <c r="UJS130" s="72"/>
      <c r="UJT130" s="72"/>
      <c r="UJU130" s="72"/>
      <c r="UJV130" s="72"/>
      <c r="UJW130" s="72"/>
      <c r="UJX130" s="72"/>
      <c r="UJY130" s="72"/>
      <c r="UJZ130" s="72"/>
      <c r="UKA130" s="72"/>
      <c r="UKB130" s="72"/>
      <c r="UKC130" s="72"/>
      <c r="UKD130" s="72"/>
      <c r="UKE130" s="72"/>
      <c r="UKF130" s="72"/>
      <c r="UKG130" s="72"/>
      <c r="UKH130" s="72"/>
      <c r="UKI130" s="72"/>
      <c r="UKJ130" s="72"/>
      <c r="UKK130" s="72"/>
      <c r="UKL130" s="72"/>
      <c r="UKM130" s="72"/>
      <c r="UKN130" s="72"/>
      <c r="UKO130" s="72"/>
      <c r="UKP130" s="72"/>
      <c r="UKQ130" s="72"/>
      <c r="UKR130" s="72"/>
      <c r="UKS130" s="72"/>
      <c r="UKT130" s="72"/>
      <c r="UKU130" s="72"/>
      <c r="UKV130" s="72"/>
      <c r="UKW130" s="72"/>
      <c r="UKX130" s="72"/>
      <c r="UKY130" s="72"/>
      <c r="UKZ130" s="72"/>
      <c r="ULA130" s="72"/>
      <c r="ULB130" s="72"/>
      <c r="ULC130" s="72"/>
      <c r="ULD130" s="72"/>
      <c r="ULE130" s="72"/>
      <c r="ULF130" s="72"/>
      <c r="ULG130" s="72"/>
      <c r="ULH130" s="72"/>
      <c r="ULI130" s="72"/>
      <c r="ULJ130" s="72"/>
      <c r="ULK130" s="72"/>
      <c r="ULL130" s="72"/>
      <c r="ULM130" s="72"/>
      <c r="ULN130" s="72"/>
      <c r="ULO130" s="72"/>
      <c r="ULP130" s="72"/>
      <c r="ULQ130" s="72"/>
      <c r="ULR130" s="72"/>
      <c r="ULS130" s="72"/>
      <c r="ULT130" s="72"/>
      <c r="ULU130" s="72"/>
      <c r="ULV130" s="72"/>
      <c r="ULW130" s="72"/>
      <c r="ULX130" s="72"/>
      <c r="ULY130" s="72"/>
      <c r="ULZ130" s="72"/>
      <c r="UMA130" s="72"/>
      <c r="UMB130" s="72"/>
      <c r="UMC130" s="72"/>
      <c r="UMD130" s="72"/>
      <c r="UME130" s="72"/>
      <c r="UMF130" s="72"/>
      <c r="UMG130" s="72"/>
      <c r="UMH130" s="72"/>
      <c r="UMI130" s="72"/>
      <c r="UMJ130" s="72"/>
      <c r="UMK130" s="72"/>
      <c r="UML130" s="72"/>
      <c r="UMM130" s="72"/>
      <c r="UMN130" s="72"/>
      <c r="UMO130" s="72"/>
      <c r="UMP130" s="72"/>
      <c r="UMQ130" s="72"/>
      <c r="UMR130" s="72"/>
      <c r="UMS130" s="72"/>
      <c r="UMT130" s="72"/>
      <c r="UMU130" s="72"/>
      <c r="UMV130" s="72"/>
      <c r="UMW130" s="72"/>
      <c r="UMX130" s="72"/>
      <c r="UMY130" s="72"/>
      <c r="UMZ130" s="72"/>
      <c r="UNA130" s="72"/>
      <c r="UNB130" s="72"/>
      <c r="UNC130" s="72"/>
      <c r="UND130" s="72"/>
      <c r="UNE130" s="72"/>
      <c r="UNF130" s="72"/>
      <c r="UNG130" s="72"/>
      <c r="UNH130" s="72"/>
      <c r="UNI130" s="72"/>
      <c r="UNJ130" s="72"/>
      <c r="UNK130" s="72"/>
      <c r="UNL130" s="72"/>
      <c r="UNM130" s="72"/>
      <c r="UNN130" s="72"/>
      <c r="UNO130" s="72"/>
      <c r="UNP130" s="72"/>
      <c r="UNQ130" s="72"/>
      <c r="UNR130" s="72"/>
      <c r="UNS130" s="72"/>
      <c r="UNT130" s="72"/>
      <c r="UNU130" s="72"/>
      <c r="UNV130" s="72"/>
      <c r="UNW130" s="72"/>
      <c r="UNX130" s="72"/>
      <c r="UNY130" s="72"/>
      <c r="UNZ130" s="72"/>
      <c r="UOA130" s="72"/>
      <c r="UOB130" s="72"/>
      <c r="UOC130" s="72"/>
      <c r="UOD130" s="72"/>
      <c r="UOE130" s="72"/>
      <c r="UOF130" s="72"/>
      <c r="UOG130" s="72"/>
      <c r="UOH130" s="72"/>
      <c r="UOI130" s="72"/>
      <c r="UOJ130" s="72"/>
      <c r="UOK130" s="72"/>
      <c r="UOL130" s="72"/>
      <c r="UOM130" s="72"/>
      <c r="UON130" s="72"/>
      <c r="UOO130" s="72"/>
      <c r="UOP130" s="72"/>
      <c r="UOQ130" s="72"/>
      <c r="UOR130" s="72"/>
      <c r="UOS130" s="72"/>
      <c r="UOT130" s="72"/>
      <c r="UOU130" s="72"/>
      <c r="UOV130" s="72"/>
      <c r="UOW130" s="72"/>
      <c r="UOX130" s="72"/>
      <c r="UOY130" s="72"/>
      <c r="UOZ130" s="72"/>
      <c r="UPA130" s="72"/>
      <c r="UPB130" s="72"/>
      <c r="UPC130" s="72"/>
      <c r="UPD130" s="72"/>
      <c r="UPE130" s="72"/>
      <c r="UPF130" s="72"/>
      <c r="UPG130" s="72"/>
      <c r="UPH130" s="72"/>
      <c r="UPI130" s="72"/>
      <c r="UPJ130" s="72"/>
      <c r="UPK130" s="72"/>
      <c r="UPL130" s="72"/>
      <c r="UPM130" s="72"/>
      <c r="UPN130" s="72"/>
      <c r="UPO130" s="72"/>
      <c r="UPP130" s="72"/>
      <c r="UPQ130" s="72"/>
      <c r="UPR130" s="72"/>
      <c r="UPS130" s="72"/>
      <c r="UPT130" s="72"/>
      <c r="UPU130" s="72"/>
      <c r="UPV130" s="72"/>
      <c r="UPW130" s="72"/>
      <c r="UPX130" s="72"/>
      <c r="UPY130" s="72"/>
      <c r="UPZ130" s="72"/>
      <c r="UQA130" s="72"/>
      <c r="UQB130" s="72"/>
      <c r="UQC130" s="72"/>
      <c r="UQD130" s="72"/>
      <c r="UQE130" s="72"/>
      <c r="UQF130" s="72"/>
      <c r="UQG130" s="72"/>
      <c r="UQH130" s="72"/>
      <c r="UQI130" s="72"/>
      <c r="UQJ130" s="72"/>
      <c r="UQK130" s="72"/>
      <c r="UQL130" s="72"/>
      <c r="UQM130" s="72"/>
      <c r="UQN130" s="72"/>
      <c r="UQO130" s="72"/>
      <c r="UQP130" s="72"/>
      <c r="UQQ130" s="72"/>
      <c r="UQR130" s="72"/>
      <c r="UQS130" s="72"/>
      <c r="UQT130" s="72"/>
      <c r="UQU130" s="72"/>
      <c r="UQV130" s="72"/>
      <c r="UQW130" s="72"/>
      <c r="UQX130" s="72"/>
      <c r="UQY130" s="72"/>
      <c r="UQZ130" s="72"/>
      <c r="URA130" s="72"/>
      <c r="URB130" s="72"/>
      <c r="URC130" s="72"/>
      <c r="URD130" s="72"/>
      <c r="URE130" s="72"/>
      <c r="URF130" s="72"/>
      <c r="URG130" s="72"/>
      <c r="URH130" s="72"/>
      <c r="URI130" s="72"/>
      <c r="URJ130" s="72"/>
      <c r="URK130" s="72"/>
      <c r="URL130" s="72"/>
      <c r="URM130" s="72"/>
      <c r="URN130" s="72"/>
      <c r="URO130" s="72"/>
      <c r="URP130" s="72"/>
      <c r="URQ130" s="72"/>
      <c r="URR130" s="72"/>
      <c r="URS130" s="72"/>
      <c r="URT130" s="72"/>
      <c r="URU130" s="72"/>
      <c r="URV130" s="72"/>
      <c r="URW130" s="72"/>
      <c r="URX130" s="72"/>
      <c r="URY130" s="72"/>
      <c r="URZ130" s="72"/>
      <c r="USA130" s="72"/>
      <c r="USB130" s="72"/>
      <c r="USC130" s="72"/>
      <c r="USD130" s="72"/>
      <c r="USE130" s="72"/>
      <c r="USF130" s="72"/>
      <c r="USG130" s="72"/>
      <c r="USH130" s="72"/>
      <c r="USI130" s="72"/>
      <c r="USJ130" s="72"/>
      <c r="USK130" s="72"/>
      <c r="USL130" s="72"/>
      <c r="USM130" s="72"/>
      <c r="USN130" s="72"/>
      <c r="USO130" s="72"/>
      <c r="USP130" s="72"/>
      <c r="USQ130" s="72"/>
      <c r="USR130" s="72"/>
      <c r="USS130" s="72"/>
      <c r="UST130" s="72"/>
      <c r="USU130" s="72"/>
      <c r="USV130" s="72"/>
      <c r="USW130" s="72"/>
      <c r="USX130" s="72"/>
      <c r="USY130" s="72"/>
      <c r="USZ130" s="72"/>
      <c r="UTA130" s="72"/>
      <c r="UTB130" s="72"/>
      <c r="UTC130" s="72"/>
      <c r="UTD130" s="72"/>
      <c r="UTE130" s="72"/>
      <c r="UTF130" s="72"/>
      <c r="UTG130" s="72"/>
      <c r="UTH130" s="72"/>
      <c r="UTI130" s="72"/>
      <c r="UTJ130" s="72"/>
      <c r="UTK130" s="72"/>
      <c r="UTL130" s="72"/>
      <c r="UTM130" s="72"/>
      <c r="UTN130" s="72"/>
      <c r="UTO130" s="72"/>
      <c r="UTP130" s="72"/>
      <c r="UTQ130" s="72"/>
      <c r="UTR130" s="72"/>
      <c r="UTS130" s="72"/>
      <c r="UTT130" s="72"/>
      <c r="UTU130" s="72"/>
      <c r="UTV130" s="72"/>
      <c r="UTW130" s="72"/>
      <c r="UTX130" s="72"/>
      <c r="UTY130" s="72"/>
      <c r="UTZ130" s="72"/>
      <c r="UUA130" s="72"/>
      <c r="UUB130" s="72"/>
      <c r="UUC130" s="72"/>
      <c r="UUD130" s="72"/>
      <c r="UUE130" s="72"/>
      <c r="UUF130" s="72"/>
      <c r="UUG130" s="72"/>
      <c r="UUH130" s="72"/>
      <c r="UUI130" s="72"/>
      <c r="UUJ130" s="72"/>
      <c r="UUK130" s="72"/>
      <c r="UUL130" s="72"/>
      <c r="UUM130" s="72"/>
      <c r="UUN130" s="72"/>
      <c r="UUO130" s="72"/>
      <c r="UUP130" s="72"/>
      <c r="UUQ130" s="72"/>
      <c r="UUR130" s="72"/>
      <c r="UUS130" s="72"/>
      <c r="UUT130" s="72"/>
      <c r="UUU130" s="72"/>
      <c r="UUV130" s="72"/>
      <c r="UUW130" s="72"/>
      <c r="UUX130" s="72"/>
      <c r="UUY130" s="72"/>
      <c r="UUZ130" s="72"/>
      <c r="UVA130" s="72"/>
      <c r="UVB130" s="72"/>
      <c r="UVC130" s="72"/>
      <c r="UVD130" s="72"/>
      <c r="UVE130" s="72"/>
      <c r="UVF130" s="72"/>
      <c r="UVG130" s="72"/>
      <c r="UVH130" s="72"/>
      <c r="UVI130" s="72"/>
      <c r="UVJ130" s="72"/>
      <c r="UVK130" s="72"/>
      <c r="UVL130" s="72"/>
      <c r="UVM130" s="72"/>
      <c r="UVN130" s="72"/>
      <c r="UVO130" s="72"/>
      <c r="UVP130" s="72"/>
      <c r="UVQ130" s="72"/>
      <c r="UVR130" s="72"/>
      <c r="UVS130" s="72"/>
      <c r="UVT130" s="72"/>
      <c r="UVU130" s="72"/>
      <c r="UVV130" s="72"/>
      <c r="UVW130" s="72"/>
      <c r="UVX130" s="72"/>
      <c r="UVY130" s="72"/>
      <c r="UVZ130" s="72"/>
      <c r="UWA130" s="72"/>
      <c r="UWB130" s="72"/>
      <c r="UWC130" s="72"/>
      <c r="UWD130" s="72"/>
      <c r="UWE130" s="72"/>
      <c r="UWF130" s="72"/>
      <c r="UWG130" s="72"/>
      <c r="UWH130" s="72"/>
      <c r="UWI130" s="72"/>
      <c r="UWJ130" s="72"/>
      <c r="UWK130" s="72"/>
      <c r="UWL130" s="72"/>
      <c r="UWM130" s="72"/>
      <c r="UWN130" s="72"/>
      <c r="UWO130" s="72"/>
      <c r="UWP130" s="72"/>
      <c r="UWQ130" s="72"/>
      <c r="UWR130" s="72"/>
      <c r="UWS130" s="72"/>
      <c r="UWT130" s="72"/>
      <c r="UWU130" s="72"/>
      <c r="UWV130" s="72"/>
      <c r="UWW130" s="72"/>
      <c r="UWX130" s="72"/>
      <c r="UWY130" s="72"/>
      <c r="UWZ130" s="72"/>
      <c r="UXA130" s="72"/>
      <c r="UXB130" s="72"/>
      <c r="UXC130" s="72"/>
      <c r="UXD130" s="72"/>
      <c r="UXE130" s="72"/>
      <c r="UXF130" s="72"/>
      <c r="UXG130" s="72"/>
      <c r="UXH130" s="72"/>
      <c r="UXI130" s="72"/>
      <c r="UXJ130" s="72"/>
      <c r="UXK130" s="72"/>
      <c r="UXL130" s="72"/>
      <c r="UXM130" s="72"/>
      <c r="UXN130" s="72"/>
      <c r="UXO130" s="72"/>
      <c r="UXP130" s="72"/>
      <c r="UXQ130" s="72"/>
      <c r="UXR130" s="72"/>
      <c r="UXS130" s="72"/>
      <c r="UXT130" s="72"/>
      <c r="UXU130" s="72"/>
      <c r="UXV130" s="72"/>
      <c r="UXW130" s="72"/>
      <c r="UXX130" s="72"/>
      <c r="UXY130" s="72"/>
      <c r="UXZ130" s="72"/>
      <c r="UYA130" s="72"/>
      <c r="UYB130" s="72"/>
      <c r="UYC130" s="72"/>
      <c r="UYD130" s="72"/>
      <c r="UYE130" s="72"/>
      <c r="UYF130" s="72"/>
      <c r="UYG130" s="72"/>
      <c r="UYH130" s="72"/>
      <c r="UYI130" s="72"/>
      <c r="UYJ130" s="72"/>
      <c r="UYK130" s="72"/>
      <c r="UYL130" s="72"/>
      <c r="UYM130" s="72"/>
      <c r="UYN130" s="72"/>
      <c r="UYO130" s="72"/>
      <c r="UYP130" s="72"/>
      <c r="UYQ130" s="72"/>
      <c r="UYR130" s="72"/>
      <c r="UYS130" s="72"/>
      <c r="UYT130" s="72"/>
      <c r="UYU130" s="72"/>
      <c r="UYV130" s="72"/>
      <c r="UYW130" s="72"/>
      <c r="UYX130" s="72"/>
      <c r="UYY130" s="72"/>
      <c r="UYZ130" s="72"/>
      <c r="UZA130" s="72"/>
      <c r="UZB130" s="72"/>
      <c r="UZC130" s="72"/>
      <c r="UZD130" s="72"/>
      <c r="UZE130" s="72"/>
      <c r="UZF130" s="72"/>
      <c r="UZG130" s="72"/>
      <c r="UZH130" s="72"/>
      <c r="UZI130" s="72"/>
      <c r="UZJ130" s="72"/>
      <c r="UZK130" s="72"/>
      <c r="UZL130" s="72"/>
      <c r="UZM130" s="72"/>
      <c r="UZN130" s="72"/>
      <c r="UZO130" s="72"/>
      <c r="UZP130" s="72"/>
      <c r="UZQ130" s="72"/>
      <c r="UZR130" s="72"/>
      <c r="UZS130" s="72"/>
      <c r="UZT130" s="72"/>
      <c r="UZU130" s="72"/>
      <c r="UZV130" s="72"/>
      <c r="UZW130" s="72"/>
      <c r="UZX130" s="72"/>
      <c r="UZY130" s="72"/>
      <c r="UZZ130" s="72"/>
      <c r="VAA130" s="72"/>
      <c r="VAB130" s="72"/>
      <c r="VAC130" s="72"/>
      <c r="VAD130" s="72"/>
      <c r="VAE130" s="72"/>
      <c r="VAF130" s="72"/>
      <c r="VAG130" s="72"/>
      <c r="VAH130" s="72"/>
      <c r="VAI130" s="72"/>
      <c r="VAJ130" s="72"/>
      <c r="VAK130" s="72"/>
      <c r="VAL130" s="72"/>
      <c r="VAM130" s="72"/>
      <c r="VAN130" s="72"/>
      <c r="VAO130" s="72"/>
      <c r="VAP130" s="72"/>
      <c r="VAQ130" s="72"/>
      <c r="VAR130" s="72"/>
      <c r="VAS130" s="72"/>
      <c r="VAT130" s="72"/>
      <c r="VAU130" s="72"/>
      <c r="VAV130" s="72"/>
      <c r="VAW130" s="72"/>
      <c r="VAX130" s="72"/>
      <c r="VAY130" s="72"/>
      <c r="VAZ130" s="72"/>
      <c r="VBA130" s="72"/>
      <c r="VBB130" s="72"/>
      <c r="VBC130" s="72"/>
      <c r="VBD130" s="72"/>
      <c r="VBE130" s="72"/>
      <c r="VBF130" s="72"/>
      <c r="VBG130" s="72"/>
      <c r="VBH130" s="72"/>
      <c r="VBI130" s="72"/>
      <c r="VBJ130" s="72"/>
      <c r="VBK130" s="72"/>
      <c r="VBL130" s="72"/>
      <c r="VBM130" s="72"/>
      <c r="VBN130" s="72"/>
      <c r="VBO130" s="72"/>
      <c r="VBP130" s="72"/>
      <c r="VBQ130" s="72"/>
      <c r="VBR130" s="72"/>
      <c r="VBS130" s="72"/>
      <c r="VBT130" s="72"/>
      <c r="VBU130" s="72"/>
      <c r="VBV130" s="72"/>
      <c r="VBW130" s="72"/>
      <c r="VBX130" s="72"/>
      <c r="VBY130" s="72"/>
      <c r="VBZ130" s="72"/>
      <c r="VCA130" s="72"/>
      <c r="VCB130" s="72"/>
      <c r="VCC130" s="72"/>
      <c r="VCD130" s="72"/>
      <c r="VCE130" s="72"/>
      <c r="VCF130" s="72"/>
      <c r="VCG130" s="72"/>
      <c r="VCH130" s="72"/>
      <c r="VCI130" s="72"/>
      <c r="VCJ130" s="72"/>
      <c r="VCK130" s="72"/>
      <c r="VCL130" s="72"/>
      <c r="VCM130" s="72"/>
      <c r="VCN130" s="72"/>
      <c r="VCO130" s="72"/>
      <c r="VCP130" s="72"/>
      <c r="VCQ130" s="72"/>
      <c r="VCR130" s="72"/>
      <c r="VCS130" s="72"/>
      <c r="VCT130" s="72"/>
      <c r="VCU130" s="72"/>
      <c r="VCV130" s="72"/>
      <c r="VCW130" s="72"/>
      <c r="VCX130" s="72"/>
      <c r="VCY130" s="72"/>
      <c r="VCZ130" s="72"/>
      <c r="VDA130" s="72"/>
      <c r="VDB130" s="72"/>
      <c r="VDC130" s="72"/>
      <c r="VDD130" s="72"/>
      <c r="VDE130" s="72"/>
      <c r="VDF130" s="72"/>
      <c r="VDG130" s="72"/>
      <c r="VDH130" s="72"/>
      <c r="VDI130" s="72"/>
      <c r="VDJ130" s="72"/>
      <c r="VDK130" s="72"/>
      <c r="VDL130" s="72"/>
      <c r="VDM130" s="72"/>
      <c r="VDN130" s="72"/>
      <c r="VDO130" s="72"/>
      <c r="VDP130" s="72"/>
      <c r="VDQ130" s="72"/>
      <c r="VDR130" s="72"/>
      <c r="VDS130" s="72"/>
      <c r="VDT130" s="72"/>
      <c r="VDU130" s="72"/>
      <c r="VDV130" s="72"/>
      <c r="VDW130" s="72"/>
      <c r="VDX130" s="72"/>
      <c r="VDY130" s="72"/>
      <c r="VDZ130" s="72"/>
      <c r="VEA130" s="72"/>
      <c r="VEB130" s="72"/>
      <c r="VEC130" s="72"/>
      <c r="VED130" s="72"/>
      <c r="VEE130" s="72"/>
      <c r="VEF130" s="72"/>
      <c r="VEG130" s="72"/>
      <c r="VEH130" s="72"/>
      <c r="VEI130" s="72"/>
      <c r="VEJ130" s="72"/>
      <c r="VEK130" s="72"/>
      <c r="VEL130" s="72"/>
      <c r="VEM130" s="72"/>
      <c r="VEN130" s="72"/>
      <c r="VEO130" s="72"/>
      <c r="VEP130" s="72"/>
      <c r="VEQ130" s="72"/>
      <c r="VER130" s="72"/>
      <c r="VES130" s="72"/>
      <c r="VET130" s="72"/>
      <c r="VEU130" s="72"/>
      <c r="VEV130" s="72"/>
      <c r="VEW130" s="72"/>
      <c r="VEX130" s="72"/>
      <c r="VEY130" s="72"/>
      <c r="VEZ130" s="72"/>
      <c r="VFA130" s="72"/>
      <c r="VFB130" s="72"/>
      <c r="VFC130" s="72"/>
      <c r="VFD130" s="72"/>
      <c r="VFE130" s="72"/>
      <c r="VFF130" s="72"/>
      <c r="VFG130" s="72"/>
      <c r="VFH130" s="72"/>
      <c r="VFI130" s="72"/>
      <c r="VFJ130" s="72"/>
      <c r="VFK130" s="72"/>
      <c r="VFL130" s="72"/>
      <c r="VFM130" s="72"/>
      <c r="VFN130" s="72"/>
      <c r="VFO130" s="72"/>
      <c r="VFP130" s="72"/>
      <c r="VFQ130" s="72"/>
      <c r="VFR130" s="72"/>
      <c r="VFS130" s="72"/>
      <c r="VFT130" s="72"/>
      <c r="VFU130" s="72"/>
      <c r="VFV130" s="72"/>
      <c r="VFW130" s="72"/>
      <c r="VFX130" s="72"/>
      <c r="VFY130" s="72"/>
      <c r="VFZ130" s="72"/>
      <c r="VGA130" s="72"/>
      <c r="VGB130" s="72"/>
      <c r="VGC130" s="72"/>
      <c r="VGD130" s="72"/>
      <c r="VGE130" s="72"/>
      <c r="VGF130" s="72"/>
      <c r="VGG130" s="72"/>
      <c r="VGH130" s="72"/>
      <c r="VGI130" s="72"/>
      <c r="VGJ130" s="72"/>
      <c r="VGK130" s="72"/>
      <c r="VGL130" s="72"/>
      <c r="VGM130" s="72"/>
      <c r="VGN130" s="72"/>
      <c r="VGO130" s="72"/>
      <c r="VGP130" s="72"/>
      <c r="VGQ130" s="72"/>
      <c r="VGR130" s="72"/>
      <c r="VGS130" s="72"/>
      <c r="VGT130" s="72"/>
      <c r="VGU130" s="72"/>
      <c r="VGV130" s="72"/>
      <c r="VGW130" s="72"/>
      <c r="VGX130" s="72"/>
      <c r="VGY130" s="72"/>
      <c r="VGZ130" s="72"/>
      <c r="VHA130" s="72"/>
      <c r="VHB130" s="72"/>
      <c r="VHC130" s="72"/>
      <c r="VHD130" s="72"/>
      <c r="VHE130" s="72"/>
      <c r="VHF130" s="72"/>
      <c r="VHG130" s="72"/>
      <c r="VHH130" s="72"/>
      <c r="VHI130" s="72"/>
      <c r="VHJ130" s="72"/>
      <c r="VHK130" s="72"/>
      <c r="VHL130" s="72"/>
      <c r="VHM130" s="72"/>
      <c r="VHN130" s="72"/>
      <c r="VHO130" s="72"/>
      <c r="VHP130" s="72"/>
      <c r="VHQ130" s="72"/>
      <c r="VHR130" s="72"/>
      <c r="VHS130" s="72"/>
      <c r="VHT130" s="72"/>
      <c r="VHU130" s="72"/>
      <c r="VHV130" s="72"/>
      <c r="VHW130" s="72"/>
      <c r="VHX130" s="72"/>
      <c r="VHY130" s="72"/>
      <c r="VHZ130" s="72"/>
      <c r="VIA130" s="72"/>
      <c r="VIB130" s="72"/>
      <c r="VIC130" s="72"/>
      <c r="VID130" s="72"/>
      <c r="VIE130" s="72"/>
      <c r="VIF130" s="72"/>
      <c r="VIG130" s="72"/>
      <c r="VIH130" s="72"/>
      <c r="VII130" s="72"/>
      <c r="VIJ130" s="72"/>
      <c r="VIK130" s="72"/>
      <c r="VIL130" s="72"/>
      <c r="VIM130" s="72"/>
      <c r="VIN130" s="72"/>
      <c r="VIO130" s="72"/>
      <c r="VIP130" s="72"/>
      <c r="VIQ130" s="72"/>
      <c r="VIR130" s="72"/>
      <c r="VIS130" s="72"/>
      <c r="VIT130" s="72"/>
      <c r="VIU130" s="72"/>
      <c r="VIV130" s="72"/>
      <c r="VIW130" s="72"/>
      <c r="VIX130" s="72"/>
      <c r="VIY130" s="72"/>
      <c r="VIZ130" s="72"/>
      <c r="VJA130" s="72"/>
      <c r="VJB130" s="72"/>
      <c r="VJC130" s="72"/>
      <c r="VJD130" s="72"/>
      <c r="VJE130" s="72"/>
      <c r="VJF130" s="72"/>
      <c r="VJG130" s="72"/>
      <c r="VJH130" s="72"/>
      <c r="VJI130" s="72"/>
      <c r="VJJ130" s="72"/>
      <c r="VJK130" s="72"/>
      <c r="VJL130" s="72"/>
      <c r="VJM130" s="72"/>
      <c r="VJN130" s="72"/>
      <c r="VJO130" s="72"/>
      <c r="VJP130" s="72"/>
      <c r="VJQ130" s="72"/>
      <c r="VJR130" s="72"/>
      <c r="VJS130" s="72"/>
      <c r="VJT130" s="72"/>
      <c r="VJU130" s="72"/>
      <c r="VJV130" s="72"/>
      <c r="VJW130" s="72"/>
      <c r="VJX130" s="72"/>
      <c r="VJY130" s="72"/>
      <c r="VJZ130" s="72"/>
      <c r="VKA130" s="72"/>
      <c r="VKB130" s="72"/>
      <c r="VKC130" s="72"/>
      <c r="VKD130" s="72"/>
      <c r="VKE130" s="72"/>
      <c r="VKF130" s="72"/>
      <c r="VKG130" s="72"/>
      <c r="VKH130" s="72"/>
      <c r="VKI130" s="72"/>
      <c r="VKJ130" s="72"/>
      <c r="VKK130" s="72"/>
      <c r="VKL130" s="72"/>
      <c r="VKM130" s="72"/>
      <c r="VKN130" s="72"/>
      <c r="VKO130" s="72"/>
      <c r="VKP130" s="72"/>
      <c r="VKQ130" s="72"/>
      <c r="VKR130" s="72"/>
      <c r="VKS130" s="72"/>
      <c r="VKT130" s="72"/>
      <c r="VKU130" s="72"/>
      <c r="VKV130" s="72"/>
      <c r="VKW130" s="72"/>
      <c r="VKX130" s="72"/>
      <c r="VKY130" s="72"/>
      <c r="VKZ130" s="72"/>
      <c r="VLA130" s="72"/>
      <c r="VLB130" s="72"/>
      <c r="VLC130" s="72"/>
      <c r="VLD130" s="72"/>
      <c r="VLE130" s="72"/>
      <c r="VLF130" s="72"/>
      <c r="VLG130" s="72"/>
      <c r="VLH130" s="72"/>
      <c r="VLI130" s="72"/>
      <c r="VLJ130" s="72"/>
      <c r="VLK130" s="72"/>
      <c r="VLL130" s="72"/>
      <c r="VLM130" s="72"/>
      <c r="VLN130" s="72"/>
      <c r="VLO130" s="72"/>
      <c r="VLP130" s="72"/>
      <c r="VLQ130" s="72"/>
      <c r="VLR130" s="72"/>
      <c r="VLS130" s="72"/>
      <c r="VLT130" s="72"/>
      <c r="VLU130" s="72"/>
      <c r="VLV130" s="72"/>
      <c r="VLW130" s="72"/>
      <c r="VLX130" s="72"/>
      <c r="VLY130" s="72"/>
      <c r="VLZ130" s="72"/>
      <c r="VMA130" s="72"/>
      <c r="VMB130" s="72"/>
      <c r="VMC130" s="72"/>
      <c r="VMD130" s="72"/>
      <c r="VME130" s="72"/>
      <c r="VMF130" s="72"/>
      <c r="VMG130" s="72"/>
      <c r="VMH130" s="72"/>
      <c r="VMI130" s="72"/>
      <c r="VMJ130" s="72"/>
      <c r="VMK130" s="72"/>
      <c r="VML130" s="72"/>
      <c r="VMM130" s="72"/>
      <c r="VMN130" s="72"/>
      <c r="VMO130" s="72"/>
      <c r="VMP130" s="72"/>
      <c r="VMQ130" s="72"/>
      <c r="VMR130" s="72"/>
      <c r="VMS130" s="72"/>
      <c r="VMT130" s="72"/>
      <c r="VMU130" s="72"/>
      <c r="VMV130" s="72"/>
      <c r="VMW130" s="72"/>
      <c r="VMX130" s="72"/>
      <c r="VMY130" s="72"/>
      <c r="VMZ130" s="72"/>
      <c r="VNA130" s="72"/>
      <c r="VNB130" s="72"/>
      <c r="VNC130" s="72"/>
      <c r="VND130" s="72"/>
      <c r="VNE130" s="72"/>
      <c r="VNF130" s="72"/>
      <c r="VNG130" s="72"/>
      <c r="VNH130" s="72"/>
      <c r="VNI130" s="72"/>
      <c r="VNJ130" s="72"/>
      <c r="VNK130" s="72"/>
      <c r="VNL130" s="72"/>
      <c r="VNM130" s="72"/>
      <c r="VNN130" s="72"/>
      <c r="VNO130" s="72"/>
      <c r="VNP130" s="72"/>
      <c r="VNQ130" s="72"/>
      <c r="VNR130" s="72"/>
      <c r="VNS130" s="72"/>
      <c r="VNT130" s="72"/>
      <c r="VNU130" s="72"/>
      <c r="VNV130" s="72"/>
      <c r="VNW130" s="72"/>
      <c r="VNX130" s="72"/>
      <c r="VNY130" s="72"/>
      <c r="VNZ130" s="72"/>
      <c r="VOA130" s="72"/>
      <c r="VOB130" s="72"/>
      <c r="VOC130" s="72"/>
      <c r="VOD130" s="72"/>
      <c r="VOE130" s="72"/>
      <c r="VOF130" s="72"/>
      <c r="VOG130" s="72"/>
      <c r="VOH130" s="72"/>
      <c r="VOI130" s="72"/>
      <c r="VOJ130" s="72"/>
      <c r="VOK130" s="72"/>
      <c r="VOL130" s="72"/>
      <c r="VOM130" s="72"/>
      <c r="VON130" s="72"/>
      <c r="VOO130" s="72"/>
      <c r="VOP130" s="72"/>
      <c r="VOQ130" s="72"/>
      <c r="VOR130" s="72"/>
      <c r="VOS130" s="72"/>
      <c r="VOT130" s="72"/>
      <c r="VOU130" s="72"/>
      <c r="VOV130" s="72"/>
      <c r="VOW130" s="72"/>
      <c r="VOX130" s="72"/>
      <c r="VOY130" s="72"/>
      <c r="VOZ130" s="72"/>
      <c r="VPA130" s="72"/>
      <c r="VPB130" s="72"/>
      <c r="VPC130" s="72"/>
      <c r="VPD130" s="72"/>
      <c r="VPE130" s="72"/>
      <c r="VPF130" s="72"/>
      <c r="VPG130" s="72"/>
      <c r="VPH130" s="72"/>
      <c r="VPI130" s="72"/>
      <c r="VPJ130" s="72"/>
      <c r="VPK130" s="72"/>
      <c r="VPL130" s="72"/>
      <c r="VPM130" s="72"/>
      <c r="VPN130" s="72"/>
      <c r="VPO130" s="72"/>
      <c r="VPP130" s="72"/>
      <c r="VPQ130" s="72"/>
      <c r="VPR130" s="72"/>
      <c r="VPS130" s="72"/>
      <c r="VPT130" s="72"/>
      <c r="VPU130" s="72"/>
      <c r="VPV130" s="72"/>
      <c r="VPW130" s="72"/>
      <c r="VPX130" s="72"/>
      <c r="VPY130" s="72"/>
      <c r="VPZ130" s="72"/>
      <c r="VQA130" s="72"/>
      <c r="VQB130" s="72"/>
      <c r="VQC130" s="72"/>
      <c r="VQD130" s="72"/>
      <c r="VQE130" s="72"/>
      <c r="VQF130" s="72"/>
      <c r="VQG130" s="72"/>
      <c r="VQH130" s="72"/>
      <c r="VQI130" s="72"/>
      <c r="VQJ130" s="72"/>
      <c r="VQK130" s="72"/>
      <c r="VQL130" s="72"/>
      <c r="VQM130" s="72"/>
      <c r="VQN130" s="72"/>
      <c r="VQO130" s="72"/>
      <c r="VQP130" s="72"/>
      <c r="VQQ130" s="72"/>
      <c r="VQR130" s="72"/>
      <c r="VQS130" s="72"/>
      <c r="VQT130" s="72"/>
      <c r="VQU130" s="72"/>
      <c r="VQV130" s="72"/>
      <c r="VQW130" s="72"/>
      <c r="VQX130" s="72"/>
      <c r="VQY130" s="72"/>
      <c r="VQZ130" s="72"/>
      <c r="VRA130" s="72"/>
      <c r="VRB130" s="72"/>
      <c r="VRC130" s="72"/>
      <c r="VRD130" s="72"/>
      <c r="VRE130" s="72"/>
      <c r="VRF130" s="72"/>
      <c r="VRG130" s="72"/>
      <c r="VRH130" s="72"/>
      <c r="VRI130" s="72"/>
      <c r="VRJ130" s="72"/>
      <c r="VRK130" s="72"/>
      <c r="VRL130" s="72"/>
      <c r="VRM130" s="72"/>
      <c r="VRN130" s="72"/>
      <c r="VRO130" s="72"/>
      <c r="VRP130" s="72"/>
      <c r="VRQ130" s="72"/>
      <c r="VRR130" s="72"/>
      <c r="VRS130" s="72"/>
      <c r="VRT130" s="72"/>
      <c r="VRU130" s="72"/>
      <c r="VRV130" s="72"/>
      <c r="VRW130" s="72"/>
      <c r="VRX130" s="72"/>
      <c r="VRY130" s="72"/>
      <c r="VRZ130" s="72"/>
      <c r="VSA130" s="72"/>
      <c r="VSB130" s="72"/>
      <c r="VSC130" s="72"/>
      <c r="VSD130" s="72"/>
      <c r="VSE130" s="72"/>
      <c r="VSF130" s="72"/>
      <c r="VSG130" s="72"/>
      <c r="VSH130" s="72"/>
      <c r="VSI130" s="72"/>
      <c r="VSJ130" s="72"/>
      <c r="VSK130" s="72"/>
      <c r="VSL130" s="72"/>
      <c r="VSM130" s="72"/>
      <c r="VSN130" s="72"/>
      <c r="VSO130" s="72"/>
      <c r="VSP130" s="72"/>
      <c r="VSQ130" s="72"/>
      <c r="VSR130" s="72"/>
      <c r="VSS130" s="72"/>
      <c r="VST130" s="72"/>
      <c r="VSU130" s="72"/>
      <c r="VSV130" s="72"/>
      <c r="VSW130" s="72"/>
      <c r="VSX130" s="72"/>
      <c r="VSY130" s="72"/>
      <c r="VSZ130" s="72"/>
      <c r="VTA130" s="72"/>
      <c r="VTB130" s="72"/>
      <c r="VTC130" s="72"/>
      <c r="VTD130" s="72"/>
      <c r="VTE130" s="72"/>
      <c r="VTF130" s="72"/>
      <c r="VTG130" s="72"/>
      <c r="VTH130" s="72"/>
      <c r="VTI130" s="72"/>
      <c r="VTJ130" s="72"/>
      <c r="VTK130" s="72"/>
      <c r="VTL130" s="72"/>
      <c r="VTM130" s="72"/>
      <c r="VTN130" s="72"/>
      <c r="VTO130" s="72"/>
      <c r="VTP130" s="72"/>
      <c r="VTQ130" s="72"/>
      <c r="VTR130" s="72"/>
      <c r="VTS130" s="72"/>
      <c r="VTT130" s="72"/>
      <c r="VTU130" s="72"/>
      <c r="VTV130" s="72"/>
      <c r="VTW130" s="72"/>
      <c r="VTX130" s="72"/>
      <c r="VTY130" s="72"/>
      <c r="VTZ130" s="72"/>
      <c r="VUA130" s="72"/>
      <c r="VUB130" s="72"/>
      <c r="VUC130" s="72"/>
      <c r="VUD130" s="72"/>
      <c r="VUE130" s="72"/>
      <c r="VUF130" s="72"/>
      <c r="VUG130" s="72"/>
      <c r="VUH130" s="72"/>
      <c r="VUI130" s="72"/>
      <c r="VUJ130" s="72"/>
      <c r="VUK130" s="72"/>
      <c r="VUL130" s="72"/>
      <c r="VUM130" s="72"/>
      <c r="VUN130" s="72"/>
      <c r="VUO130" s="72"/>
      <c r="VUP130" s="72"/>
      <c r="VUQ130" s="72"/>
      <c r="VUR130" s="72"/>
      <c r="VUS130" s="72"/>
      <c r="VUT130" s="72"/>
      <c r="VUU130" s="72"/>
      <c r="VUV130" s="72"/>
      <c r="VUW130" s="72"/>
      <c r="VUX130" s="72"/>
      <c r="VUY130" s="72"/>
      <c r="VUZ130" s="72"/>
      <c r="VVA130" s="72"/>
      <c r="VVB130" s="72"/>
      <c r="VVC130" s="72"/>
      <c r="VVD130" s="72"/>
      <c r="VVE130" s="72"/>
      <c r="VVF130" s="72"/>
      <c r="VVG130" s="72"/>
      <c r="VVH130" s="72"/>
      <c r="VVI130" s="72"/>
      <c r="VVJ130" s="72"/>
      <c r="VVK130" s="72"/>
      <c r="VVL130" s="72"/>
      <c r="VVM130" s="72"/>
      <c r="VVN130" s="72"/>
      <c r="VVO130" s="72"/>
      <c r="VVP130" s="72"/>
      <c r="VVQ130" s="72"/>
      <c r="VVR130" s="72"/>
      <c r="VVS130" s="72"/>
      <c r="VVT130" s="72"/>
      <c r="VVU130" s="72"/>
      <c r="VVV130" s="72"/>
      <c r="VVW130" s="72"/>
      <c r="VVX130" s="72"/>
      <c r="VVY130" s="72"/>
      <c r="VVZ130" s="72"/>
      <c r="VWA130" s="72"/>
      <c r="VWB130" s="72"/>
      <c r="VWC130" s="72"/>
      <c r="VWD130" s="72"/>
      <c r="VWE130" s="72"/>
      <c r="VWF130" s="72"/>
      <c r="VWG130" s="72"/>
      <c r="VWH130" s="72"/>
      <c r="VWI130" s="72"/>
      <c r="VWJ130" s="72"/>
      <c r="VWK130" s="72"/>
      <c r="VWL130" s="72"/>
      <c r="VWM130" s="72"/>
      <c r="VWN130" s="72"/>
      <c r="VWO130" s="72"/>
      <c r="VWP130" s="72"/>
      <c r="VWQ130" s="72"/>
      <c r="VWR130" s="72"/>
      <c r="VWS130" s="72"/>
      <c r="VWT130" s="72"/>
      <c r="VWU130" s="72"/>
      <c r="VWV130" s="72"/>
      <c r="VWW130" s="72"/>
      <c r="VWX130" s="72"/>
      <c r="VWY130" s="72"/>
      <c r="VWZ130" s="72"/>
      <c r="VXA130" s="72"/>
      <c r="VXB130" s="72"/>
      <c r="VXC130" s="72"/>
      <c r="VXD130" s="72"/>
      <c r="VXE130" s="72"/>
      <c r="VXF130" s="72"/>
      <c r="VXG130" s="72"/>
      <c r="VXH130" s="72"/>
      <c r="VXI130" s="72"/>
      <c r="VXJ130" s="72"/>
      <c r="VXK130" s="72"/>
      <c r="VXL130" s="72"/>
      <c r="VXM130" s="72"/>
      <c r="VXN130" s="72"/>
      <c r="VXO130" s="72"/>
      <c r="VXP130" s="72"/>
      <c r="VXQ130" s="72"/>
      <c r="VXR130" s="72"/>
      <c r="VXS130" s="72"/>
      <c r="VXT130" s="72"/>
      <c r="VXU130" s="72"/>
      <c r="VXV130" s="72"/>
      <c r="VXW130" s="72"/>
      <c r="VXX130" s="72"/>
      <c r="VXY130" s="72"/>
      <c r="VXZ130" s="72"/>
      <c r="VYA130" s="72"/>
      <c r="VYB130" s="72"/>
      <c r="VYC130" s="72"/>
      <c r="VYD130" s="72"/>
      <c r="VYE130" s="72"/>
      <c r="VYF130" s="72"/>
      <c r="VYG130" s="72"/>
      <c r="VYH130" s="72"/>
      <c r="VYI130" s="72"/>
      <c r="VYJ130" s="72"/>
      <c r="VYK130" s="72"/>
      <c r="VYL130" s="72"/>
      <c r="VYM130" s="72"/>
      <c r="VYN130" s="72"/>
      <c r="VYO130" s="72"/>
      <c r="VYP130" s="72"/>
      <c r="VYQ130" s="72"/>
      <c r="VYR130" s="72"/>
      <c r="VYS130" s="72"/>
      <c r="VYT130" s="72"/>
      <c r="VYU130" s="72"/>
      <c r="VYV130" s="72"/>
      <c r="VYW130" s="72"/>
      <c r="VYX130" s="72"/>
      <c r="VYY130" s="72"/>
      <c r="VYZ130" s="72"/>
      <c r="VZA130" s="72"/>
      <c r="VZB130" s="72"/>
      <c r="VZC130" s="72"/>
      <c r="VZD130" s="72"/>
      <c r="VZE130" s="72"/>
      <c r="VZF130" s="72"/>
      <c r="VZG130" s="72"/>
      <c r="VZH130" s="72"/>
      <c r="VZI130" s="72"/>
      <c r="VZJ130" s="72"/>
      <c r="VZK130" s="72"/>
      <c r="VZL130" s="72"/>
      <c r="VZM130" s="72"/>
      <c r="VZN130" s="72"/>
      <c r="VZO130" s="72"/>
      <c r="VZP130" s="72"/>
      <c r="VZQ130" s="72"/>
      <c r="VZR130" s="72"/>
      <c r="VZS130" s="72"/>
      <c r="VZT130" s="72"/>
      <c r="VZU130" s="72"/>
      <c r="VZV130" s="72"/>
      <c r="VZW130" s="72"/>
      <c r="VZX130" s="72"/>
      <c r="VZY130" s="72"/>
      <c r="VZZ130" s="72"/>
      <c r="WAA130" s="72"/>
      <c r="WAB130" s="72"/>
      <c r="WAC130" s="72"/>
      <c r="WAD130" s="72"/>
      <c r="WAE130" s="72"/>
      <c r="WAF130" s="72"/>
      <c r="WAG130" s="72"/>
      <c r="WAH130" s="72"/>
      <c r="WAI130" s="72"/>
      <c r="WAJ130" s="72"/>
      <c r="WAK130" s="72"/>
      <c r="WAL130" s="72"/>
      <c r="WAM130" s="72"/>
      <c r="WAN130" s="72"/>
      <c r="WAO130" s="72"/>
      <c r="WAP130" s="72"/>
      <c r="WAQ130" s="72"/>
      <c r="WAR130" s="72"/>
      <c r="WAS130" s="72"/>
      <c r="WAT130" s="72"/>
      <c r="WAU130" s="72"/>
      <c r="WAV130" s="72"/>
      <c r="WAW130" s="72"/>
      <c r="WAX130" s="72"/>
      <c r="WAY130" s="72"/>
      <c r="WAZ130" s="72"/>
      <c r="WBA130" s="72"/>
      <c r="WBB130" s="72"/>
      <c r="WBC130" s="72"/>
      <c r="WBD130" s="72"/>
      <c r="WBE130" s="72"/>
      <c r="WBF130" s="72"/>
      <c r="WBG130" s="72"/>
      <c r="WBH130" s="72"/>
      <c r="WBI130" s="72"/>
      <c r="WBJ130" s="72"/>
      <c r="WBK130" s="72"/>
      <c r="WBL130" s="72"/>
      <c r="WBM130" s="72"/>
      <c r="WBN130" s="72"/>
      <c r="WBO130" s="72"/>
      <c r="WBP130" s="72"/>
      <c r="WBQ130" s="72"/>
      <c r="WBR130" s="72"/>
      <c r="WBS130" s="72"/>
      <c r="WBT130" s="72"/>
      <c r="WBU130" s="72"/>
      <c r="WBV130" s="72"/>
      <c r="WBW130" s="72"/>
      <c r="WBX130" s="72"/>
      <c r="WBY130" s="72"/>
      <c r="WBZ130" s="72"/>
      <c r="WCA130" s="72"/>
      <c r="WCB130" s="72"/>
      <c r="WCC130" s="72"/>
      <c r="WCD130" s="72"/>
      <c r="WCE130" s="72"/>
      <c r="WCF130" s="72"/>
      <c r="WCG130" s="72"/>
      <c r="WCH130" s="72"/>
      <c r="WCI130" s="72"/>
      <c r="WCJ130" s="72"/>
      <c r="WCK130" s="72"/>
      <c r="WCL130" s="72"/>
      <c r="WCM130" s="72"/>
      <c r="WCN130" s="72"/>
      <c r="WCO130" s="72"/>
      <c r="WCP130" s="72"/>
      <c r="WCQ130" s="72"/>
      <c r="WCR130" s="72"/>
      <c r="WCS130" s="72"/>
      <c r="WCT130" s="72"/>
      <c r="WCU130" s="72"/>
      <c r="WCV130" s="72"/>
      <c r="WCW130" s="72"/>
      <c r="WCX130" s="72"/>
      <c r="WCY130" s="72"/>
      <c r="WCZ130" s="72"/>
      <c r="WDA130" s="72"/>
      <c r="WDB130" s="72"/>
      <c r="WDC130" s="72"/>
      <c r="WDD130" s="72"/>
      <c r="WDE130" s="72"/>
      <c r="WDF130" s="72"/>
      <c r="WDG130" s="72"/>
      <c r="WDH130" s="72"/>
      <c r="WDI130" s="72"/>
      <c r="WDJ130" s="72"/>
      <c r="WDK130" s="72"/>
      <c r="WDL130" s="72"/>
      <c r="WDM130" s="72"/>
      <c r="WDN130" s="72"/>
      <c r="WDO130" s="72"/>
      <c r="WDP130" s="72"/>
      <c r="WDQ130" s="72"/>
      <c r="WDR130" s="72"/>
      <c r="WDS130" s="72"/>
      <c r="WDT130" s="72"/>
      <c r="WDU130" s="72"/>
      <c r="WDV130" s="72"/>
      <c r="WDW130" s="72"/>
      <c r="WDX130" s="72"/>
      <c r="WDY130" s="72"/>
      <c r="WDZ130" s="72"/>
      <c r="WEA130" s="72"/>
      <c r="WEB130" s="72"/>
      <c r="WEC130" s="72"/>
      <c r="WED130" s="72"/>
      <c r="WEE130" s="72"/>
      <c r="WEF130" s="72"/>
      <c r="WEG130" s="72"/>
      <c r="WEH130" s="72"/>
      <c r="WEI130" s="72"/>
      <c r="WEJ130" s="72"/>
      <c r="WEK130" s="72"/>
      <c r="WEL130" s="72"/>
      <c r="WEM130" s="72"/>
      <c r="WEN130" s="72"/>
      <c r="WEO130" s="72"/>
      <c r="WEP130" s="72"/>
      <c r="WEQ130" s="72"/>
      <c r="WER130" s="72"/>
      <c r="WES130" s="72"/>
      <c r="WET130" s="72"/>
      <c r="WEU130" s="72"/>
      <c r="WEV130" s="72"/>
      <c r="WEW130" s="72"/>
      <c r="WEX130" s="72"/>
      <c r="WEY130" s="72"/>
      <c r="WEZ130" s="72"/>
      <c r="WFA130" s="72"/>
      <c r="WFB130" s="72"/>
      <c r="WFC130" s="72"/>
      <c r="WFD130" s="72"/>
      <c r="WFE130" s="72"/>
      <c r="WFF130" s="72"/>
      <c r="WFG130" s="72"/>
      <c r="WFH130" s="72"/>
      <c r="WFI130" s="72"/>
      <c r="WFJ130" s="72"/>
      <c r="WFK130" s="72"/>
      <c r="WFL130" s="72"/>
      <c r="WFM130" s="72"/>
      <c r="WFN130" s="72"/>
      <c r="WFO130" s="72"/>
      <c r="WFP130" s="72"/>
      <c r="WFQ130" s="72"/>
      <c r="WFR130" s="72"/>
      <c r="WFS130" s="72"/>
      <c r="WFT130" s="72"/>
      <c r="WFU130" s="72"/>
      <c r="WFV130" s="72"/>
      <c r="WFW130" s="72"/>
      <c r="WFX130" s="72"/>
      <c r="WFY130" s="72"/>
      <c r="WFZ130" s="72"/>
      <c r="WGA130" s="72"/>
      <c r="WGB130" s="72"/>
      <c r="WGC130" s="72"/>
      <c r="WGD130" s="72"/>
      <c r="WGE130" s="72"/>
      <c r="WGF130" s="72"/>
      <c r="WGG130" s="72"/>
      <c r="WGH130" s="72"/>
      <c r="WGI130" s="72"/>
      <c r="WGJ130" s="72"/>
      <c r="WGK130" s="72"/>
      <c r="WGL130" s="72"/>
      <c r="WGM130" s="72"/>
      <c r="WGN130" s="72"/>
      <c r="WGO130" s="72"/>
      <c r="WGP130" s="72"/>
      <c r="WGQ130" s="72"/>
      <c r="WGR130" s="72"/>
      <c r="WGS130" s="72"/>
      <c r="WGT130" s="72"/>
      <c r="WGU130" s="72"/>
      <c r="WGV130" s="72"/>
      <c r="WGW130" s="72"/>
      <c r="WGX130" s="72"/>
      <c r="WGY130" s="72"/>
      <c r="WGZ130" s="72"/>
      <c r="WHA130" s="72"/>
      <c r="WHB130" s="72"/>
      <c r="WHC130" s="72"/>
      <c r="WHD130" s="72"/>
      <c r="WHE130" s="72"/>
      <c r="WHF130" s="72"/>
      <c r="WHG130" s="72"/>
      <c r="WHH130" s="72"/>
      <c r="WHI130" s="72"/>
      <c r="WHJ130" s="72"/>
      <c r="WHK130" s="72"/>
      <c r="WHL130" s="72"/>
      <c r="WHM130" s="72"/>
      <c r="WHN130" s="72"/>
      <c r="WHO130" s="72"/>
      <c r="WHP130" s="72"/>
      <c r="WHQ130" s="72"/>
      <c r="WHR130" s="72"/>
      <c r="WHS130" s="72"/>
      <c r="WHT130" s="72"/>
      <c r="WHU130" s="72"/>
      <c r="WHV130" s="72"/>
      <c r="WHW130" s="72"/>
      <c r="WHX130" s="72"/>
      <c r="WHY130" s="72"/>
      <c r="WHZ130" s="72"/>
      <c r="WIA130" s="72"/>
      <c r="WIB130" s="72"/>
      <c r="WIC130" s="72"/>
      <c r="WID130" s="72"/>
      <c r="WIE130" s="72"/>
      <c r="WIF130" s="72"/>
      <c r="WIG130" s="72"/>
      <c r="WIH130" s="72"/>
      <c r="WII130" s="72"/>
      <c r="WIJ130" s="72"/>
      <c r="WIK130" s="72"/>
      <c r="WIL130" s="72"/>
      <c r="WIM130" s="72"/>
      <c r="WIN130" s="72"/>
      <c r="WIO130" s="72"/>
      <c r="WIP130" s="72"/>
      <c r="WIQ130" s="72"/>
      <c r="WIR130" s="72"/>
      <c r="WIS130" s="72"/>
      <c r="WIT130" s="72"/>
      <c r="WIU130" s="72"/>
      <c r="WIV130" s="72"/>
      <c r="WIW130" s="72"/>
      <c r="WIX130" s="72"/>
      <c r="WIY130" s="72"/>
      <c r="WIZ130" s="72"/>
      <c r="WJA130" s="72"/>
      <c r="WJB130" s="72"/>
      <c r="WJC130" s="72"/>
      <c r="WJD130" s="72"/>
      <c r="WJE130" s="72"/>
      <c r="WJF130" s="72"/>
      <c r="WJG130" s="72"/>
      <c r="WJH130" s="72"/>
      <c r="WJI130" s="72"/>
      <c r="WJJ130" s="72"/>
      <c r="WJK130" s="72"/>
      <c r="WJL130" s="72"/>
      <c r="WJM130" s="72"/>
      <c r="WJN130" s="72"/>
      <c r="WJO130" s="72"/>
      <c r="WJP130" s="72"/>
      <c r="WJQ130" s="72"/>
      <c r="WJR130" s="72"/>
      <c r="WJS130" s="72"/>
      <c r="WJT130" s="72"/>
      <c r="WJU130" s="72"/>
      <c r="WJV130" s="72"/>
      <c r="WJW130" s="72"/>
      <c r="WJX130" s="72"/>
      <c r="WJY130" s="72"/>
      <c r="WJZ130" s="72"/>
      <c r="WKA130" s="72"/>
      <c r="WKB130" s="72"/>
      <c r="WKC130" s="72"/>
      <c r="WKD130" s="72"/>
      <c r="WKE130" s="72"/>
      <c r="WKF130" s="72"/>
      <c r="WKG130" s="72"/>
      <c r="WKH130" s="72"/>
      <c r="WKI130" s="72"/>
      <c r="WKJ130" s="72"/>
      <c r="WKK130" s="72"/>
      <c r="WKL130" s="72"/>
      <c r="WKM130" s="72"/>
      <c r="WKN130" s="72"/>
      <c r="WKO130" s="72"/>
      <c r="WKP130" s="72"/>
      <c r="WKQ130" s="72"/>
      <c r="WKR130" s="72"/>
      <c r="WKS130" s="72"/>
      <c r="WKT130" s="72"/>
      <c r="WKU130" s="72"/>
      <c r="WKV130" s="72"/>
      <c r="WKW130" s="72"/>
      <c r="WKX130" s="72"/>
      <c r="WKY130" s="72"/>
      <c r="WKZ130" s="72"/>
      <c r="WLA130" s="72"/>
      <c r="WLB130" s="72"/>
      <c r="WLC130" s="72"/>
      <c r="WLD130" s="72"/>
      <c r="WLE130" s="72"/>
      <c r="WLF130" s="72"/>
      <c r="WLG130" s="72"/>
      <c r="WLH130" s="72"/>
      <c r="WLI130" s="72"/>
      <c r="WLJ130" s="72"/>
      <c r="WLK130" s="72"/>
      <c r="WLL130" s="72"/>
      <c r="WLM130" s="72"/>
      <c r="WLN130" s="72"/>
      <c r="WLO130" s="72"/>
      <c r="WLP130" s="72"/>
      <c r="WLQ130" s="72"/>
      <c r="WLR130" s="72"/>
      <c r="WLS130" s="72"/>
      <c r="WLT130" s="72"/>
      <c r="WLU130" s="72"/>
      <c r="WLV130" s="72"/>
      <c r="WLW130" s="72"/>
      <c r="WLX130" s="72"/>
      <c r="WLY130" s="72"/>
      <c r="WLZ130" s="72"/>
      <c r="WMA130" s="72"/>
      <c r="WMB130" s="72"/>
      <c r="WMC130" s="72"/>
      <c r="WMD130" s="72"/>
      <c r="WME130" s="72"/>
      <c r="WMF130" s="72"/>
      <c r="WMG130" s="72"/>
      <c r="WMH130" s="72"/>
      <c r="WMI130" s="72"/>
      <c r="WMJ130" s="72"/>
      <c r="WMK130" s="72"/>
      <c r="WML130" s="72"/>
      <c r="WMM130" s="72"/>
      <c r="WMN130" s="72"/>
      <c r="WMO130" s="72"/>
      <c r="WMP130" s="72"/>
      <c r="WMQ130" s="72"/>
      <c r="WMR130" s="72"/>
      <c r="WMS130" s="72"/>
      <c r="WMT130" s="72"/>
      <c r="WMU130" s="72"/>
      <c r="WMV130" s="72"/>
      <c r="WMW130" s="72"/>
      <c r="WMX130" s="72"/>
      <c r="WMY130" s="72"/>
      <c r="WMZ130" s="72"/>
      <c r="WNA130" s="72"/>
      <c r="WNB130" s="72"/>
      <c r="WNC130" s="72"/>
      <c r="WND130" s="72"/>
      <c r="WNE130" s="72"/>
      <c r="WNF130" s="72"/>
      <c r="WNG130" s="72"/>
      <c r="WNH130" s="72"/>
      <c r="WNI130" s="72"/>
      <c r="WNJ130" s="72"/>
      <c r="WNK130" s="72"/>
      <c r="WNL130" s="72"/>
      <c r="WNM130" s="72"/>
      <c r="WNN130" s="72"/>
      <c r="WNO130" s="72"/>
      <c r="WNP130" s="72"/>
      <c r="WNQ130" s="72"/>
      <c r="WNR130" s="72"/>
      <c r="WNS130" s="72"/>
      <c r="WNT130" s="72"/>
      <c r="WNU130" s="72"/>
      <c r="WNV130" s="72"/>
      <c r="WNW130" s="72"/>
      <c r="WNX130" s="72"/>
      <c r="WNY130" s="72"/>
      <c r="WNZ130" s="72"/>
      <c r="WOA130" s="72"/>
      <c r="WOB130" s="72"/>
      <c r="WOC130" s="72"/>
      <c r="WOD130" s="72"/>
      <c r="WOE130" s="72"/>
      <c r="WOF130" s="72"/>
      <c r="WOG130" s="72"/>
      <c r="WOH130" s="72"/>
      <c r="WOI130" s="72"/>
      <c r="WOJ130" s="72"/>
      <c r="WOK130" s="72"/>
      <c r="WOL130" s="72"/>
      <c r="WOM130" s="72"/>
      <c r="WON130" s="72"/>
      <c r="WOO130" s="72"/>
      <c r="WOP130" s="72"/>
      <c r="WOQ130" s="72"/>
      <c r="WOR130" s="72"/>
      <c r="WOS130" s="72"/>
      <c r="WOT130" s="72"/>
      <c r="WOU130" s="72"/>
      <c r="WOV130" s="72"/>
      <c r="WOW130" s="72"/>
      <c r="WOX130" s="72"/>
      <c r="WOY130" s="72"/>
      <c r="WOZ130" s="72"/>
      <c r="WPA130" s="72"/>
      <c r="WPB130" s="72"/>
      <c r="WPC130" s="72"/>
      <c r="WPD130" s="72"/>
      <c r="WPE130" s="72"/>
      <c r="WPF130" s="72"/>
      <c r="WPG130" s="72"/>
      <c r="WPH130" s="72"/>
      <c r="WPI130" s="72"/>
      <c r="WPJ130" s="72"/>
      <c r="WPK130" s="72"/>
      <c r="WPL130" s="72"/>
      <c r="WPM130" s="72"/>
      <c r="WPN130" s="72"/>
      <c r="WPO130" s="72"/>
      <c r="WPP130" s="72"/>
      <c r="WPQ130" s="72"/>
      <c r="WPR130" s="72"/>
      <c r="WPS130" s="72"/>
      <c r="WPT130" s="72"/>
      <c r="WPU130" s="72"/>
      <c r="WPV130" s="72"/>
      <c r="WPW130" s="72"/>
      <c r="WPX130" s="72"/>
      <c r="WPY130" s="72"/>
      <c r="WPZ130" s="72"/>
      <c r="WQA130" s="72"/>
      <c r="WQB130" s="72"/>
      <c r="WQC130" s="72"/>
      <c r="WQD130" s="72"/>
      <c r="WQE130" s="72"/>
      <c r="WQF130" s="72"/>
      <c r="WQG130" s="72"/>
      <c r="WQH130" s="72"/>
      <c r="WQI130" s="72"/>
      <c r="WQJ130" s="72"/>
      <c r="WQK130" s="72"/>
      <c r="WQL130" s="72"/>
      <c r="WQM130" s="72"/>
      <c r="WQN130" s="72"/>
      <c r="WQO130" s="72"/>
      <c r="WQP130" s="72"/>
      <c r="WQQ130" s="72"/>
      <c r="WQR130" s="72"/>
      <c r="WQS130" s="72"/>
      <c r="WQT130" s="72"/>
      <c r="WQU130" s="72"/>
      <c r="WQV130" s="72"/>
      <c r="WQW130" s="72"/>
      <c r="WQX130" s="72"/>
      <c r="WQY130" s="72"/>
      <c r="WQZ130" s="72"/>
      <c r="WRA130" s="72"/>
      <c r="WRB130" s="72"/>
      <c r="WRC130" s="72"/>
      <c r="WRD130" s="72"/>
      <c r="WRE130" s="72"/>
      <c r="WRF130" s="72"/>
      <c r="WRG130" s="72"/>
      <c r="WRH130" s="72"/>
      <c r="WRI130" s="72"/>
      <c r="WRJ130" s="72"/>
      <c r="WRK130" s="72"/>
      <c r="WRL130" s="72"/>
      <c r="WRM130" s="72"/>
      <c r="WRN130" s="72"/>
      <c r="WRO130" s="72"/>
      <c r="WRP130" s="72"/>
      <c r="WRQ130" s="72"/>
      <c r="WRR130" s="72"/>
      <c r="WRS130" s="72"/>
      <c r="WRT130" s="72"/>
      <c r="WRU130" s="72"/>
      <c r="WRV130" s="72"/>
      <c r="WRW130" s="72"/>
      <c r="WRX130" s="72"/>
      <c r="WRY130" s="72"/>
      <c r="WRZ130" s="72"/>
      <c r="WSA130" s="72"/>
      <c r="WSB130" s="72"/>
      <c r="WSC130" s="72"/>
      <c r="WSD130" s="72"/>
      <c r="WSE130" s="72"/>
      <c r="WSF130" s="72"/>
      <c r="WSG130" s="72"/>
      <c r="WSH130" s="72"/>
      <c r="WSI130" s="72"/>
      <c r="WSJ130" s="72"/>
      <c r="WSK130" s="72"/>
      <c r="WSL130" s="72"/>
      <c r="WSM130" s="72"/>
      <c r="WSN130" s="72"/>
      <c r="WSO130" s="72"/>
      <c r="WSP130" s="72"/>
      <c r="WSQ130" s="72"/>
      <c r="WSR130" s="72"/>
      <c r="WSS130" s="72"/>
      <c r="WST130" s="72"/>
      <c r="WSU130" s="72"/>
      <c r="WSV130" s="72"/>
      <c r="WSW130" s="72"/>
      <c r="WSX130" s="72"/>
      <c r="WSY130" s="72"/>
      <c r="WSZ130" s="72"/>
      <c r="WTA130" s="72"/>
      <c r="WTB130" s="72"/>
      <c r="WTC130" s="72"/>
      <c r="WTD130" s="72"/>
      <c r="WTE130" s="72"/>
      <c r="WTF130" s="72"/>
      <c r="WTG130" s="72"/>
      <c r="WTH130" s="72"/>
      <c r="WTI130" s="72"/>
      <c r="WTJ130" s="72"/>
      <c r="WTK130" s="72"/>
      <c r="WTL130" s="72"/>
      <c r="WTM130" s="72"/>
      <c r="WTN130" s="72"/>
      <c r="WTO130" s="72"/>
      <c r="WTP130" s="72"/>
      <c r="WTQ130" s="72"/>
      <c r="WTR130" s="72"/>
      <c r="WTS130" s="72"/>
      <c r="WTT130" s="72"/>
      <c r="WTU130" s="72"/>
      <c r="WTV130" s="72"/>
      <c r="WTW130" s="72"/>
      <c r="WTX130" s="72"/>
      <c r="WTY130" s="72"/>
      <c r="WTZ130" s="72"/>
      <c r="WUA130" s="72"/>
      <c r="WUB130" s="72"/>
      <c r="WUC130" s="72"/>
      <c r="WUD130" s="72"/>
      <c r="WUE130" s="72"/>
      <c r="WUF130" s="72"/>
      <c r="WUG130" s="72"/>
      <c r="WUH130" s="72"/>
      <c r="WUI130" s="72"/>
      <c r="WUJ130" s="72"/>
      <c r="WUK130" s="72"/>
      <c r="WUL130" s="72"/>
      <c r="WUM130" s="72"/>
      <c r="WUN130" s="72"/>
      <c r="WUO130" s="72"/>
      <c r="WUP130" s="72"/>
      <c r="WUQ130" s="72"/>
      <c r="WUR130" s="72"/>
      <c r="WUS130" s="72"/>
      <c r="WUT130" s="72"/>
      <c r="WUU130" s="72"/>
      <c r="WUV130" s="72"/>
      <c r="WUW130" s="72"/>
      <c r="WUX130" s="72"/>
      <c r="WUY130" s="72"/>
      <c r="WUZ130" s="72"/>
      <c r="WVA130" s="72"/>
      <c r="WVB130" s="72"/>
      <c r="WVC130" s="72"/>
      <c r="WVD130" s="72"/>
      <c r="WVE130" s="72"/>
      <c r="WVF130" s="72"/>
      <c r="WVG130" s="72"/>
      <c r="WVH130" s="72"/>
      <c r="WVI130" s="72"/>
      <c r="WVJ130" s="72"/>
      <c r="WVK130" s="72"/>
      <c r="WVL130" s="72"/>
      <c r="WVM130" s="72"/>
      <c r="WVN130" s="72"/>
      <c r="WVO130" s="72"/>
      <c r="WVP130" s="72"/>
      <c r="WVQ130" s="72"/>
      <c r="WVR130" s="72"/>
      <c r="WVS130" s="72"/>
      <c r="WVT130" s="72"/>
    </row>
    <row r="131" spans="1:16140" s="3" customFormat="1" ht="159" customHeight="1" x14ac:dyDescent="0.25">
      <c r="A131" s="81">
        <v>145</v>
      </c>
      <c r="B131" s="81" t="s">
        <v>197</v>
      </c>
      <c r="C131" s="51" t="s">
        <v>40</v>
      </c>
      <c r="D131" s="45" t="s">
        <v>39</v>
      </c>
      <c r="E131" s="45" t="s">
        <v>38</v>
      </c>
      <c r="F131" s="45">
        <v>897</v>
      </c>
      <c r="G131" s="45">
        <v>1995</v>
      </c>
      <c r="H131" s="46">
        <f t="shared" si="42"/>
        <v>1.789515</v>
      </c>
      <c r="I131" s="45">
        <v>1</v>
      </c>
      <c r="J131" s="53">
        <v>3445000</v>
      </c>
      <c r="K131" s="47">
        <v>1819000</v>
      </c>
      <c r="L131" s="48">
        <f t="shared" si="43"/>
        <v>7983879.1749999998</v>
      </c>
      <c r="M131" s="115"/>
      <c r="N131" s="28"/>
      <c r="O131" s="85"/>
      <c r="P131" s="28"/>
      <c r="Q131" s="28"/>
      <c r="R131" s="28"/>
      <c r="S131" s="28"/>
      <c r="T131" s="28"/>
      <c r="U131" s="28"/>
      <c r="V131" s="28"/>
      <c r="W131" s="28"/>
      <c r="X131" s="28"/>
      <c r="Y131" s="28"/>
      <c r="Z131" s="28"/>
      <c r="AA131" s="28"/>
      <c r="AB131" s="28"/>
      <c r="AC131" s="28"/>
      <c r="AD131" s="28"/>
      <c r="AE131" s="28"/>
      <c r="AF131" s="28"/>
      <c r="AG131" s="28"/>
    </row>
    <row r="132" spans="1:16140" s="3" customFormat="1" ht="159" customHeight="1" x14ac:dyDescent="0.25">
      <c r="A132" s="81">
        <v>146</v>
      </c>
      <c r="B132" s="81" t="s">
        <v>198</v>
      </c>
      <c r="C132" s="51" t="s">
        <v>40</v>
      </c>
      <c r="D132" s="45" t="s">
        <v>39</v>
      </c>
      <c r="E132" s="45" t="s">
        <v>38</v>
      </c>
      <c r="F132" s="45">
        <v>897</v>
      </c>
      <c r="G132" s="45">
        <v>1995</v>
      </c>
      <c r="H132" s="46">
        <f t="shared" si="42"/>
        <v>1.789515</v>
      </c>
      <c r="I132" s="45">
        <v>1</v>
      </c>
      <c r="J132" s="53">
        <v>3445000</v>
      </c>
      <c r="K132" s="47">
        <v>1819000</v>
      </c>
      <c r="L132" s="48">
        <f t="shared" si="43"/>
        <v>7983879.1749999998</v>
      </c>
      <c r="M132" s="115"/>
      <c r="N132" s="28"/>
      <c r="O132" s="85"/>
      <c r="P132" s="28"/>
      <c r="Q132" s="28"/>
      <c r="R132" s="28"/>
      <c r="S132" s="28"/>
      <c r="T132" s="28"/>
      <c r="U132" s="28"/>
      <c r="V132" s="28"/>
      <c r="W132" s="28"/>
      <c r="X132" s="28"/>
      <c r="Y132" s="28"/>
      <c r="Z132" s="28"/>
      <c r="AA132" s="28"/>
      <c r="AB132" s="28"/>
      <c r="AC132" s="28"/>
      <c r="AD132" s="28"/>
      <c r="AE132" s="28"/>
      <c r="AF132" s="28"/>
      <c r="AG132" s="28"/>
    </row>
    <row r="133" spans="1:16140" ht="147" customHeight="1" x14ac:dyDescent="0.25">
      <c r="A133" s="135">
        <v>147</v>
      </c>
      <c r="B133" s="135" t="s">
        <v>204</v>
      </c>
      <c r="C133" s="51" t="s">
        <v>205</v>
      </c>
      <c r="D133" s="45" t="s">
        <v>206</v>
      </c>
      <c r="E133" s="45"/>
      <c r="F133" s="45">
        <v>6000</v>
      </c>
      <c r="G133" s="45">
        <v>1500</v>
      </c>
      <c r="H133" s="46">
        <f t="shared" si="42"/>
        <v>9</v>
      </c>
      <c r="I133" s="45">
        <v>2</v>
      </c>
      <c r="J133" s="53">
        <v>2808000</v>
      </c>
      <c r="K133" s="47"/>
      <c r="L133" s="48">
        <f t="shared" si="43"/>
        <v>50544000</v>
      </c>
      <c r="M133" s="115"/>
      <c r="N133" s="28"/>
      <c r="O133" s="85"/>
      <c r="P133" s="28"/>
      <c r="Q133" s="28"/>
      <c r="R133" s="28"/>
      <c r="S133" s="28"/>
      <c r="T133" s="28"/>
      <c r="U133" s="28"/>
      <c r="V133" s="28"/>
      <c r="W133" s="28"/>
      <c r="X133" s="28"/>
      <c r="Y133" s="28"/>
      <c r="Z133" s="28"/>
      <c r="AA133" s="28"/>
      <c r="AB133" s="28"/>
      <c r="AC133" s="28"/>
      <c r="AD133" s="28"/>
      <c r="AE133" s="28"/>
      <c r="AF133" s="28"/>
      <c r="AG133" s="28"/>
      <c r="AH133" s="28"/>
      <c r="AI133" s="28"/>
    </row>
    <row r="134" spans="1:16140" ht="30.75" customHeight="1" x14ac:dyDescent="0.25">
      <c r="A134" s="136"/>
      <c r="B134" s="136"/>
      <c r="C134" s="69" t="s">
        <v>201</v>
      </c>
      <c r="D134" s="59"/>
      <c r="E134" s="59"/>
      <c r="F134" s="59">
        <f>6000*2</f>
        <v>12000</v>
      </c>
      <c r="G134" s="59"/>
      <c r="H134" s="60">
        <f t="shared" si="42"/>
        <v>0</v>
      </c>
      <c r="I134" s="59">
        <v>2</v>
      </c>
      <c r="J134" s="53">
        <v>550000</v>
      </c>
      <c r="K134" s="47"/>
      <c r="L134" s="121">
        <f>F134*I134*J134/1000</f>
        <v>13200000</v>
      </c>
      <c r="M134" s="125" t="s">
        <v>224</v>
      </c>
      <c r="N134" s="107" t="s">
        <v>220</v>
      </c>
      <c r="O134" s="108" t="s">
        <v>19</v>
      </c>
      <c r="P134" s="107" t="s">
        <v>226</v>
      </c>
      <c r="Q134" s="71"/>
      <c r="R134" s="71"/>
      <c r="S134" s="71"/>
      <c r="T134" s="71"/>
      <c r="U134" s="71"/>
      <c r="V134" s="71"/>
      <c r="W134" s="71"/>
      <c r="X134" s="71"/>
      <c r="Y134" s="71"/>
      <c r="Z134" s="71"/>
      <c r="AA134" s="71"/>
      <c r="AB134" s="71"/>
      <c r="AC134" s="71"/>
      <c r="AD134" s="71"/>
      <c r="AE134" s="71"/>
      <c r="AF134" s="71"/>
      <c r="AG134" s="71"/>
      <c r="AH134" s="71"/>
      <c r="AI134" s="71"/>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c r="DU134" s="72"/>
      <c r="DV134" s="72"/>
      <c r="DW134" s="72"/>
      <c r="DX134" s="72"/>
      <c r="DY134" s="72"/>
      <c r="DZ134" s="72"/>
      <c r="EA134" s="72"/>
      <c r="EB134" s="72"/>
      <c r="EC134" s="72"/>
      <c r="ED134" s="72"/>
      <c r="EE134" s="72"/>
      <c r="EF134" s="72"/>
      <c r="EG134" s="72"/>
      <c r="EH134" s="72"/>
      <c r="EI134" s="72"/>
      <c r="EJ134" s="72"/>
      <c r="EK134" s="72"/>
      <c r="EL134" s="72"/>
      <c r="EM134" s="72"/>
      <c r="EN134" s="72"/>
      <c r="EO134" s="72"/>
      <c r="EP134" s="72"/>
      <c r="EQ134" s="72"/>
      <c r="ER134" s="72"/>
      <c r="ES134" s="72"/>
      <c r="ET134" s="72"/>
      <c r="EU134" s="72"/>
      <c r="EV134" s="72"/>
      <c r="EW134" s="72"/>
      <c r="EX134" s="72"/>
      <c r="EY134" s="72"/>
      <c r="EZ134" s="72"/>
      <c r="FA134" s="72"/>
      <c r="FB134" s="72"/>
      <c r="FC134" s="72"/>
      <c r="FD134" s="72"/>
      <c r="FE134" s="72"/>
      <c r="FF134" s="72"/>
      <c r="FG134" s="72"/>
      <c r="FH134" s="72"/>
      <c r="FI134" s="72"/>
      <c r="FJ134" s="72"/>
      <c r="FK134" s="72"/>
      <c r="FL134" s="72"/>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c r="HJ134" s="72"/>
      <c r="HK134" s="72"/>
      <c r="HL134" s="72"/>
      <c r="HM134" s="72"/>
      <c r="HN134" s="72"/>
      <c r="HO134" s="72"/>
      <c r="HP134" s="72"/>
      <c r="HQ134" s="72"/>
      <c r="HR134" s="72"/>
      <c r="HS134" s="72"/>
      <c r="HT134" s="72"/>
      <c r="HU134" s="72"/>
      <c r="HV134" s="72"/>
      <c r="HW134" s="72"/>
      <c r="HX134" s="72"/>
      <c r="HY134" s="72"/>
      <c r="HZ134" s="72"/>
      <c r="IA134" s="72"/>
      <c r="IB134" s="72"/>
      <c r="IC134" s="72"/>
      <c r="ID134" s="72"/>
      <c r="IE134" s="72"/>
      <c r="IF134" s="72"/>
      <c r="IG134" s="72"/>
      <c r="IH134" s="72"/>
      <c r="II134" s="72"/>
      <c r="IJ134" s="72"/>
      <c r="IK134" s="72"/>
      <c r="IL134" s="72"/>
      <c r="IM134" s="72"/>
      <c r="IN134" s="72"/>
      <c r="IO134" s="72"/>
      <c r="IP134" s="72"/>
      <c r="IQ134" s="72"/>
      <c r="IR134" s="72"/>
      <c r="IS134" s="72"/>
      <c r="IT134" s="72"/>
      <c r="IU134" s="72"/>
      <c r="IV134" s="72"/>
      <c r="IW134" s="72"/>
      <c r="IX134" s="72"/>
      <c r="IY134" s="72"/>
      <c r="IZ134" s="72"/>
      <c r="JA134" s="72"/>
      <c r="JB134" s="72"/>
      <c r="JC134" s="72"/>
      <c r="JD134" s="72"/>
      <c r="JE134" s="72"/>
      <c r="JF134" s="72"/>
      <c r="JG134" s="72"/>
      <c r="JH134" s="72"/>
      <c r="JI134" s="72"/>
      <c r="JJ134" s="72"/>
      <c r="JK134" s="72"/>
      <c r="JL134" s="72"/>
      <c r="JM134" s="72"/>
      <c r="JN134" s="72"/>
      <c r="JO134" s="72"/>
      <c r="JP134" s="72"/>
      <c r="JQ134" s="72"/>
      <c r="JR134" s="72"/>
      <c r="JS134" s="72"/>
      <c r="JT134" s="72"/>
      <c r="JU134" s="72"/>
      <c r="JV134" s="72"/>
      <c r="JW134" s="72"/>
      <c r="JX134" s="72"/>
      <c r="JY134" s="72"/>
      <c r="JZ134" s="72"/>
      <c r="KA134" s="72"/>
      <c r="KB134" s="72"/>
      <c r="KC134" s="72"/>
      <c r="KD134" s="72"/>
      <c r="KE134" s="72"/>
      <c r="KF134" s="72"/>
      <c r="KG134" s="72"/>
      <c r="KH134" s="72"/>
      <c r="KI134" s="72"/>
      <c r="KJ134" s="72"/>
      <c r="KK134" s="72"/>
      <c r="KL134" s="72"/>
      <c r="KM134" s="72"/>
      <c r="KN134" s="72"/>
      <c r="KO134" s="72"/>
      <c r="KP134" s="72"/>
      <c r="KQ134" s="72"/>
      <c r="KR134" s="72"/>
      <c r="KS134" s="72"/>
      <c r="KT134" s="72"/>
      <c r="KU134" s="72"/>
      <c r="KV134" s="72"/>
      <c r="KW134" s="72"/>
      <c r="KX134" s="72"/>
      <c r="KY134" s="72"/>
      <c r="KZ134" s="72"/>
      <c r="LA134" s="72"/>
      <c r="LB134" s="72"/>
      <c r="LC134" s="72"/>
      <c r="LD134" s="72"/>
      <c r="LE134" s="72"/>
      <c r="LF134" s="72"/>
      <c r="LG134" s="72"/>
      <c r="LH134" s="72"/>
      <c r="LI134" s="72"/>
      <c r="LJ134" s="72"/>
      <c r="LK134" s="72"/>
      <c r="LL134" s="72"/>
      <c r="LM134" s="72"/>
      <c r="LN134" s="72"/>
      <c r="LO134" s="72"/>
      <c r="LP134" s="72"/>
      <c r="LQ134" s="72"/>
      <c r="LR134" s="72"/>
      <c r="LS134" s="72"/>
      <c r="LT134" s="72"/>
      <c r="LU134" s="72"/>
      <c r="LV134" s="72"/>
      <c r="LW134" s="72"/>
      <c r="LX134" s="72"/>
      <c r="LY134" s="72"/>
      <c r="LZ134" s="72"/>
      <c r="MA134" s="72"/>
      <c r="MB134" s="72"/>
      <c r="MC134" s="72"/>
      <c r="MD134" s="72"/>
      <c r="ME134" s="72"/>
      <c r="MF134" s="72"/>
      <c r="MG134" s="72"/>
      <c r="MH134" s="72"/>
      <c r="MI134" s="72"/>
      <c r="MJ134" s="72"/>
      <c r="MK134" s="72"/>
      <c r="ML134" s="72"/>
      <c r="MM134" s="72"/>
      <c r="MN134" s="72"/>
      <c r="MO134" s="72"/>
      <c r="MP134" s="72"/>
      <c r="MQ134" s="72"/>
      <c r="MR134" s="72"/>
      <c r="MS134" s="72"/>
      <c r="MT134" s="72"/>
      <c r="MU134" s="72"/>
      <c r="MV134" s="72"/>
      <c r="MW134" s="72"/>
      <c r="MX134" s="72"/>
      <c r="MY134" s="72"/>
      <c r="MZ134" s="72"/>
      <c r="NA134" s="72"/>
      <c r="NB134" s="72"/>
      <c r="NC134" s="72"/>
      <c r="ND134" s="72"/>
      <c r="NE134" s="72"/>
      <c r="NF134" s="72"/>
      <c r="NG134" s="72"/>
      <c r="NH134" s="72"/>
      <c r="NI134" s="72"/>
      <c r="NJ134" s="72"/>
      <c r="NK134" s="72"/>
      <c r="NL134" s="72"/>
      <c r="NM134" s="72"/>
      <c r="NN134" s="72"/>
      <c r="NO134" s="72"/>
      <c r="NP134" s="72"/>
      <c r="NQ134" s="72"/>
      <c r="NR134" s="72"/>
      <c r="NS134" s="72"/>
      <c r="NT134" s="72"/>
      <c r="NU134" s="72"/>
      <c r="NV134" s="72"/>
      <c r="NW134" s="72"/>
      <c r="NX134" s="72"/>
      <c r="NY134" s="72"/>
      <c r="NZ134" s="72"/>
      <c r="OA134" s="72"/>
      <c r="OB134" s="72"/>
      <c r="OC134" s="72"/>
      <c r="OD134" s="72"/>
      <c r="OE134" s="72"/>
      <c r="OF134" s="72"/>
      <c r="OG134" s="72"/>
      <c r="OH134" s="72"/>
      <c r="OI134" s="72"/>
      <c r="OJ134" s="72"/>
      <c r="OK134" s="72"/>
      <c r="OL134" s="72"/>
      <c r="OM134" s="72"/>
      <c r="ON134" s="72"/>
      <c r="OO134" s="72"/>
      <c r="OP134" s="72"/>
      <c r="OQ134" s="72"/>
      <c r="OR134" s="72"/>
      <c r="OS134" s="72"/>
      <c r="OT134" s="72"/>
      <c r="OU134" s="72"/>
      <c r="OV134" s="72"/>
      <c r="OW134" s="72"/>
      <c r="OX134" s="72"/>
      <c r="OY134" s="72"/>
      <c r="OZ134" s="72"/>
      <c r="PA134" s="72"/>
      <c r="PB134" s="72"/>
      <c r="PC134" s="72"/>
      <c r="PD134" s="72"/>
      <c r="PE134" s="72"/>
      <c r="PF134" s="72"/>
      <c r="PG134" s="72"/>
      <c r="PH134" s="72"/>
      <c r="PI134" s="72"/>
      <c r="PJ134" s="72"/>
      <c r="PK134" s="72"/>
      <c r="PL134" s="72"/>
      <c r="PM134" s="72"/>
      <c r="PN134" s="72"/>
      <c r="PO134" s="72"/>
      <c r="PP134" s="72"/>
      <c r="PQ134" s="72"/>
      <c r="PR134" s="72"/>
      <c r="PS134" s="72"/>
      <c r="PT134" s="72"/>
      <c r="PU134" s="72"/>
      <c r="PV134" s="72"/>
      <c r="PW134" s="72"/>
      <c r="PX134" s="72"/>
      <c r="PY134" s="72"/>
      <c r="PZ134" s="72"/>
      <c r="QA134" s="72"/>
      <c r="QB134" s="72"/>
      <c r="QC134" s="72"/>
      <c r="QD134" s="72"/>
      <c r="QE134" s="72"/>
      <c r="QF134" s="72"/>
      <c r="QG134" s="72"/>
      <c r="QH134" s="72"/>
      <c r="QI134" s="72"/>
      <c r="QJ134" s="72"/>
      <c r="QK134" s="72"/>
      <c r="QL134" s="72"/>
      <c r="QM134" s="72"/>
      <c r="QN134" s="72"/>
      <c r="QO134" s="72"/>
      <c r="QP134" s="72"/>
      <c r="QQ134" s="72"/>
      <c r="QR134" s="72"/>
      <c r="QS134" s="72"/>
      <c r="QT134" s="72"/>
      <c r="QU134" s="72"/>
      <c r="QV134" s="72"/>
      <c r="QW134" s="72"/>
      <c r="QX134" s="72"/>
      <c r="QY134" s="72"/>
      <c r="QZ134" s="72"/>
      <c r="RA134" s="72"/>
      <c r="RB134" s="72"/>
      <c r="RC134" s="72"/>
      <c r="RD134" s="72"/>
      <c r="RE134" s="72"/>
      <c r="RF134" s="72"/>
      <c r="RG134" s="72"/>
      <c r="RH134" s="72"/>
      <c r="RI134" s="72"/>
      <c r="RJ134" s="72"/>
      <c r="RK134" s="72"/>
      <c r="RL134" s="72"/>
      <c r="RM134" s="72"/>
      <c r="RN134" s="72"/>
      <c r="RO134" s="72"/>
      <c r="RP134" s="72"/>
      <c r="RQ134" s="72"/>
      <c r="RR134" s="72"/>
      <c r="RS134" s="72"/>
      <c r="RT134" s="72"/>
      <c r="RU134" s="72"/>
      <c r="RV134" s="72"/>
      <c r="RW134" s="72"/>
      <c r="RX134" s="72"/>
      <c r="RY134" s="72"/>
      <c r="RZ134" s="72"/>
      <c r="SA134" s="72"/>
      <c r="SB134" s="72"/>
      <c r="SC134" s="72"/>
      <c r="SD134" s="72"/>
      <c r="SE134" s="72"/>
      <c r="SF134" s="72"/>
      <c r="SG134" s="72"/>
      <c r="SH134" s="72"/>
      <c r="SI134" s="72"/>
      <c r="SJ134" s="72"/>
      <c r="SK134" s="72"/>
      <c r="SL134" s="72"/>
      <c r="SM134" s="72"/>
      <c r="SN134" s="72"/>
      <c r="SO134" s="72"/>
      <c r="SP134" s="72"/>
      <c r="SQ134" s="72"/>
      <c r="SR134" s="72"/>
      <c r="SS134" s="72"/>
      <c r="ST134" s="72"/>
      <c r="SU134" s="72"/>
      <c r="SV134" s="72"/>
      <c r="SW134" s="72"/>
      <c r="SX134" s="72"/>
      <c r="SY134" s="72"/>
      <c r="SZ134" s="72"/>
      <c r="TA134" s="72"/>
      <c r="TB134" s="72"/>
      <c r="TC134" s="72"/>
      <c r="TD134" s="72"/>
      <c r="TE134" s="72"/>
      <c r="TF134" s="72"/>
      <c r="TG134" s="72"/>
      <c r="TH134" s="72"/>
      <c r="TI134" s="72"/>
      <c r="TJ134" s="72"/>
      <c r="TK134" s="72"/>
      <c r="TL134" s="72"/>
      <c r="TM134" s="72"/>
      <c r="TN134" s="72"/>
      <c r="TO134" s="72"/>
      <c r="TP134" s="72"/>
      <c r="TQ134" s="72"/>
      <c r="TR134" s="72"/>
      <c r="TS134" s="72"/>
      <c r="TT134" s="72"/>
      <c r="TU134" s="72"/>
      <c r="TV134" s="72"/>
      <c r="TW134" s="72"/>
      <c r="TX134" s="72"/>
      <c r="TY134" s="72"/>
      <c r="TZ134" s="72"/>
      <c r="UA134" s="72"/>
      <c r="UB134" s="72"/>
      <c r="UC134" s="72"/>
      <c r="UD134" s="72"/>
      <c r="UE134" s="72"/>
      <c r="UF134" s="72"/>
      <c r="UG134" s="72"/>
      <c r="UH134" s="72"/>
      <c r="UI134" s="72"/>
      <c r="UJ134" s="72"/>
      <c r="UK134" s="72"/>
      <c r="UL134" s="72"/>
      <c r="UM134" s="72"/>
      <c r="UN134" s="72"/>
      <c r="UO134" s="72"/>
      <c r="UP134" s="72"/>
      <c r="UQ134" s="72"/>
      <c r="UR134" s="72"/>
      <c r="US134" s="72"/>
      <c r="UT134" s="72"/>
      <c r="UU134" s="72"/>
      <c r="UV134" s="72"/>
      <c r="UW134" s="72"/>
      <c r="UX134" s="72"/>
      <c r="UY134" s="72"/>
      <c r="UZ134" s="72"/>
      <c r="VA134" s="72"/>
      <c r="VB134" s="72"/>
      <c r="VC134" s="72"/>
      <c r="VD134" s="72"/>
      <c r="VE134" s="72"/>
      <c r="VF134" s="72"/>
      <c r="VG134" s="72"/>
      <c r="VH134" s="72"/>
      <c r="VI134" s="72"/>
      <c r="VJ134" s="72"/>
      <c r="VK134" s="72"/>
      <c r="VL134" s="72"/>
      <c r="VM134" s="72"/>
      <c r="VN134" s="72"/>
      <c r="VO134" s="72"/>
      <c r="VP134" s="72"/>
      <c r="VQ134" s="72"/>
      <c r="VR134" s="72"/>
      <c r="VS134" s="72"/>
      <c r="VT134" s="72"/>
      <c r="VU134" s="72"/>
      <c r="VV134" s="72"/>
      <c r="VW134" s="72"/>
      <c r="VX134" s="72"/>
      <c r="VY134" s="72"/>
      <c r="VZ134" s="72"/>
      <c r="WA134" s="72"/>
      <c r="WB134" s="72"/>
      <c r="WC134" s="72"/>
      <c r="WD134" s="72"/>
      <c r="WE134" s="72"/>
      <c r="WF134" s="72"/>
      <c r="WG134" s="72"/>
      <c r="WH134" s="72"/>
      <c r="WI134" s="72"/>
      <c r="WJ134" s="72"/>
      <c r="WK134" s="72"/>
      <c r="WL134" s="72"/>
      <c r="WM134" s="72"/>
      <c r="WN134" s="72"/>
      <c r="WO134" s="72"/>
      <c r="WP134" s="72"/>
      <c r="WQ134" s="72"/>
      <c r="WR134" s="72"/>
      <c r="WS134" s="72"/>
      <c r="WT134" s="72"/>
      <c r="WU134" s="72"/>
      <c r="WV134" s="72"/>
      <c r="WW134" s="72"/>
      <c r="WX134" s="72"/>
      <c r="WY134" s="72"/>
      <c r="WZ134" s="72"/>
      <c r="XA134" s="72"/>
      <c r="XB134" s="72"/>
      <c r="XC134" s="72"/>
      <c r="XD134" s="72"/>
      <c r="XE134" s="72"/>
      <c r="XF134" s="72"/>
      <c r="XG134" s="72"/>
      <c r="XH134" s="72"/>
      <c r="XI134" s="72"/>
      <c r="XJ134" s="72"/>
      <c r="XK134" s="72"/>
      <c r="XL134" s="72"/>
      <c r="XM134" s="72"/>
      <c r="XN134" s="72"/>
      <c r="XO134" s="72"/>
      <c r="XP134" s="72"/>
      <c r="XQ134" s="72"/>
      <c r="XR134" s="72"/>
      <c r="XS134" s="72"/>
      <c r="XT134" s="72"/>
      <c r="XU134" s="72"/>
      <c r="XV134" s="72"/>
      <c r="XW134" s="72"/>
      <c r="XX134" s="72"/>
      <c r="XY134" s="72"/>
      <c r="XZ134" s="72"/>
      <c r="YA134" s="72"/>
      <c r="YB134" s="72"/>
      <c r="YC134" s="72"/>
      <c r="YD134" s="72"/>
      <c r="YE134" s="72"/>
      <c r="YF134" s="72"/>
      <c r="YG134" s="72"/>
      <c r="YH134" s="72"/>
      <c r="YI134" s="72"/>
      <c r="YJ134" s="72"/>
      <c r="YK134" s="72"/>
      <c r="YL134" s="72"/>
      <c r="YM134" s="72"/>
      <c r="YN134" s="72"/>
      <c r="YO134" s="72"/>
      <c r="YP134" s="72"/>
      <c r="YQ134" s="72"/>
      <c r="YR134" s="72"/>
      <c r="YS134" s="72"/>
      <c r="YT134" s="72"/>
      <c r="YU134" s="72"/>
      <c r="YV134" s="72"/>
      <c r="YW134" s="72"/>
      <c r="YX134" s="72"/>
      <c r="YY134" s="72"/>
      <c r="YZ134" s="72"/>
      <c r="ZA134" s="72"/>
      <c r="ZB134" s="72"/>
      <c r="ZC134" s="72"/>
      <c r="ZD134" s="72"/>
      <c r="ZE134" s="72"/>
      <c r="ZF134" s="72"/>
      <c r="ZG134" s="72"/>
      <c r="ZH134" s="72"/>
      <c r="ZI134" s="72"/>
      <c r="ZJ134" s="72"/>
      <c r="ZK134" s="72"/>
      <c r="ZL134" s="72"/>
      <c r="ZM134" s="72"/>
      <c r="ZN134" s="72"/>
      <c r="ZO134" s="72"/>
      <c r="ZP134" s="72"/>
      <c r="ZQ134" s="72"/>
      <c r="ZR134" s="72"/>
      <c r="ZS134" s="72"/>
      <c r="ZT134" s="72"/>
      <c r="ZU134" s="72"/>
      <c r="ZV134" s="72"/>
      <c r="ZW134" s="72"/>
      <c r="ZX134" s="72"/>
      <c r="ZY134" s="72"/>
      <c r="ZZ134" s="72"/>
      <c r="AAA134" s="72"/>
      <c r="AAB134" s="72"/>
      <c r="AAC134" s="72"/>
      <c r="AAD134" s="72"/>
      <c r="AAE134" s="72"/>
      <c r="AAF134" s="72"/>
      <c r="AAG134" s="72"/>
      <c r="AAH134" s="72"/>
      <c r="AAI134" s="72"/>
      <c r="AAJ134" s="72"/>
      <c r="AAK134" s="72"/>
      <c r="AAL134" s="72"/>
      <c r="AAM134" s="72"/>
      <c r="AAN134" s="72"/>
      <c r="AAO134" s="72"/>
      <c r="AAP134" s="72"/>
      <c r="AAQ134" s="72"/>
      <c r="AAR134" s="72"/>
      <c r="AAS134" s="72"/>
      <c r="AAT134" s="72"/>
      <c r="AAU134" s="72"/>
      <c r="AAV134" s="72"/>
      <c r="AAW134" s="72"/>
      <c r="AAX134" s="72"/>
      <c r="AAY134" s="72"/>
      <c r="AAZ134" s="72"/>
      <c r="ABA134" s="72"/>
      <c r="ABB134" s="72"/>
      <c r="ABC134" s="72"/>
      <c r="ABD134" s="72"/>
      <c r="ABE134" s="72"/>
      <c r="ABF134" s="72"/>
      <c r="ABG134" s="72"/>
      <c r="ABH134" s="72"/>
      <c r="ABI134" s="72"/>
      <c r="ABJ134" s="72"/>
      <c r="ABK134" s="72"/>
      <c r="ABL134" s="72"/>
      <c r="ABM134" s="72"/>
      <c r="ABN134" s="72"/>
      <c r="ABO134" s="72"/>
      <c r="ABP134" s="72"/>
      <c r="ABQ134" s="72"/>
      <c r="ABR134" s="72"/>
      <c r="ABS134" s="72"/>
      <c r="ABT134" s="72"/>
      <c r="ABU134" s="72"/>
      <c r="ABV134" s="72"/>
      <c r="ABW134" s="72"/>
      <c r="ABX134" s="72"/>
      <c r="ABY134" s="72"/>
      <c r="ABZ134" s="72"/>
      <c r="ACA134" s="72"/>
      <c r="ACB134" s="72"/>
      <c r="ACC134" s="72"/>
      <c r="ACD134" s="72"/>
      <c r="ACE134" s="72"/>
      <c r="ACF134" s="72"/>
      <c r="ACG134" s="72"/>
      <c r="ACH134" s="72"/>
      <c r="ACI134" s="72"/>
      <c r="ACJ134" s="72"/>
      <c r="ACK134" s="72"/>
      <c r="ACL134" s="72"/>
      <c r="ACM134" s="72"/>
      <c r="ACN134" s="72"/>
      <c r="ACO134" s="72"/>
      <c r="ACP134" s="72"/>
      <c r="ACQ134" s="72"/>
      <c r="ACR134" s="72"/>
      <c r="ACS134" s="72"/>
      <c r="ACT134" s="72"/>
      <c r="ACU134" s="72"/>
      <c r="ACV134" s="72"/>
      <c r="ACW134" s="72"/>
      <c r="ACX134" s="72"/>
      <c r="ACY134" s="72"/>
      <c r="ACZ134" s="72"/>
      <c r="ADA134" s="72"/>
      <c r="ADB134" s="72"/>
      <c r="ADC134" s="72"/>
      <c r="ADD134" s="72"/>
      <c r="ADE134" s="72"/>
      <c r="ADF134" s="72"/>
      <c r="ADG134" s="72"/>
      <c r="ADH134" s="72"/>
      <c r="ADI134" s="72"/>
      <c r="ADJ134" s="72"/>
      <c r="ADK134" s="72"/>
      <c r="ADL134" s="72"/>
      <c r="ADM134" s="72"/>
      <c r="ADN134" s="72"/>
      <c r="ADO134" s="72"/>
      <c r="ADP134" s="72"/>
      <c r="ADQ134" s="72"/>
      <c r="ADR134" s="72"/>
      <c r="ADS134" s="72"/>
      <c r="ADT134" s="72"/>
      <c r="ADU134" s="72"/>
      <c r="ADV134" s="72"/>
      <c r="ADW134" s="72"/>
      <c r="ADX134" s="72"/>
      <c r="ADY134" s="72"/>
      <c r="ADZ134" s="72"/>
      <c r="AEA134" s="72"/>
      <c r="AEB134" s="72"/>
      <c r="AEC134" s="72"/>
      <c r="AED134" s="72"/>
      <c r="AEE134" s="72"/>
      <c r="AEF134" s="72"/>
      <c r="AEG134" s="72"/>
      <c r="AEH134" s="72"/>
      <c r="AEI134" s="72"/>
      <c r="AEJ134" s="72"/>
      <c r="AEK134" s="72"/>
      <c r="AEL134" s="72"/>
      <c r="AEM134" s="72"/>
      <c r="AEN134" s="72"/>
      <c r="AEO134" s="72"/>
      <c r="AEP134" s="72"/>
      <c r="AEQ134" s="72"/>
      <c r="AER134" s="72"/>
      <c r="AES134" s="72"/>
      <c r="AET134" s="72"/>
      <c r="AEU134" s="72"/>
      <c r="AEV134" s="72"/>
      <c r="AEW134" s="72"/>
      <c r="AEX134" s="72"/>
      <c r="AEY134" s="72"/>
      <c r="AEZ134" s="72"/>
      <c r="AFA134" s="72"/>
      <c r="AFB134" s="72"/>
      <c r="AFC134" s="72"/>
      <c r="AFD134" s="72"/>
      <c r="AFE134" s="72"/>
      <c r="AFF134" s="72"/>
      <c r="AFG134" s="72"/>
      <c r="AFH134" s="72"/>
      <c r="AFI134" s="72"/>
      <c r="AFJ134" s="72"/>
      <c r="AFK134" s="72"/>
      <c r="AFL134" s="72"/>
      <c r="AFM134" s="72"/>
      <c r="AFN134" s="72"/>
      <c r="AFO134" s="72"/>
      <c r="AFP134" s="72"/>
      <c r="AFQ134" s="72"/>
      <c r="AFR134" s="72"/>
      <c r="AFS134" s="72"/>
      <c r="AFT134" s="72"/>
      <c r="AFU134" s="72"/>
      <c r="AFV134" s="72"/>
      <c r="AFW134" s="72"/>
      <c r="AFX134" s="72"/>
      <c r="AFY134" s="72"/>
      <c r="AFZ134" s="72"/>
      <c r="AGA134" s="72"/>
      <c r="AGB134" s="72"/>
      <c r="AGC134" s="72"/>
      <c r="AGD134" s="72"/>
      <c r="AGE134" s="72"/>
      <c r="AGF134" s="72"/>
      <c r="AGG134" s="72"/>
      <c r="AGH134" s="72"/>
      <c r="AGI134" s="72"/>
      <c r="AGJ134" s="72"/>
      <c r="AGK134" s="72"/>
      <c r="AGL134" s="72"/>
      <c r="AGM134" s="72"/>
      <c r="AGN134" s="72"/>
      <c r="AGO134" s="72"/>
      <c r="AGP134" s="72"/>
      <c r="AGQ134" s="72"/>
      <c r="AGR134" s="72"/>
      <c r="AGS134" s="72"/>
      <c r="AGT134" s="72"/>
      <c r="AGU134" s="72"/>
      <c r="AGV134" s="72"/>
      <c r="AGW134" s="72"/>
      <c r="AGX134" s="72"/>
      <c r="AGY134" s="72"/>
      <c r="AGZ134" s="72"/>
      <c r="AHA134" s="72"/>
      <c r="AHB134" s="72"/>
      <c r="AHC134" s="72"/>
      <c r="AHD134" s="72"/>
      <c r="AHE134" s="72"/>
      <c r="AHF134" s="72"/>
      <c r="AHG134" s="72"/>
      <c r="AHH134" s="72"/>
      <c r="AHI134" s="72"/>
      <c r="AHJ134" s="72"/>
      <c r="AHK134" s="72"/>
      <c r="AHL134" s="72"/>
      <c r="AHM134" s="72"/>
      <c r="AHN134" s="72"/>
      <c r="AHO134" s="72"/>
      <c r="AHP134" s="72"/>
      <c r="AHQ134" s="72"/>
      <c r="AHR134" s="72"/>
      <c r="AHS134" s="72"/>
      <c r="AHT134" s="72"/>
      <c r="AHU134" s="72"/>
      <c r="AHV134" s="72"/>
      <c r="AHW134" s="72"/>
      <c r="AHX134" s="72"/>
      <c r="AHY134" s="72"/>
      <c r="AHZ134" s="72"/>
      <c r="AIA134" s="72"/>
      <c r="AIB134" s="72"/>
      <c r="AIC134" s="72"/>
      <c r="AID134" s="72"/>
      <c r="AIE134" s="72"/>
      <c r="AIF134" s="72"/>
      <c r="AIG134" s="72"/>
      <c r="AIH134" s="72"/>
      <c r="AII134" s="72"/>
      <c r="AIJ134" s="72"/>
      <c r="AIK134" s="72"/>
      <c r="AIL134" s="72"/>
      <c r="AIM134" s="72"/>
      <c r="AIN134" s="72"/>
      <c r="AIO134" s="72"/>
      <c r="AIP134" s="72"/>
      <c r="AIQ134" s="72"/>
      <c r="AIR134" s="72"/>
      <c r="AIS134" s="72"/>
      <c r="AIT134" s="72"/>
      <c r="AIU134" s="72"/>
      <c r="AIV134" s="72"/>
      <c r="AIW134" s="72"/>
      <c r="AIX134" s="72"/>
      <c r="AIY134" s="72"/>
      <c r="AIZ134" s="72"/>
      <c r="AJA134" s="72"/>
      <c r="AJB134" s="72"/>
      <c r="AJC134" s="72"/>
      <c r="AJD134" s="72"/>
      <c r="AJE134" s="72"/>
      <c r="AJF134" s="72"/>
      <c r="AJG134" s="72"/>
      <c r="AJH134" s="72"/>
      <c r="AJI134" s="72"/>
      <c r="AJJ134" s="72"/>
      <c r="AJK134" s="72"/>
      <c r="AJL134" s="72"/>
      <c r="AJM134" s="72"/>
      <c r="AJN134" s="72"/>
      <c r="AJO134" s="72"/>
      <c r="AJP134" s="72"/>
      <c r="AJQ134" s="72"/>
      <c r="AJR134" s="72"/>
      <c r="AJS134" s="72"/>
      <c r="AJT134" s="72"/>
      <c r="AJU134" s="72"/>
      <c r="AJV134" s="72"/>
      <c r="AJW134" s="72"/>
      <c r="AJX134" s="72"/>
      <c r="AJY134" s="72"/>
      <c r="AJZ134" s="72"/>
      <c r="AKA134" s="72"/>
      <c r="AKB134" s="72"/>
      <c r="AKC134" s="72"/>
      <c r="AKD134" s="72"/>
      <c r="AKE134" s="72"/>
      <c r="AKF134" s="72"/>
      <c r="AKG134" s="72"/>
      <c r="AKH134" s="72"/>
      <c r="AKI134" s="72"/>
      <c r="AKJ134" s="72"/>
      <c r="AKK134" s="72"/>
      <c r="AKL134" s="72"/>
      <c r="AKM134" s="72"/>
      <c r="AKN134" s="72"/>
      <c r="AKO134" s="72"/>
      <c r="AKP134" s="72"/>
      <c r="AKQ134" s="72"/>
      <c r="AKR134" s="72"/>
      <c r="AKS134" s="72"/>
      <c r="AKT134" s="72"/>
      <c r="AKU134" s="72"/>
      <c r="AKV134" s="72"/>
      <c r="AKW134" s="72"/>
      <c r="AKX134" s="72"/>
      <c r="AKY134" s="72"/>
      <c r="AKZ134" s="72"/>
      <c r="ALA134" s="72"/>
      <c r="ALB134" s="72"/>
      <c r="ALC134" s="72"/>
      <c r="ALD134" s="72"/>
      <c r="ALE134" s="72"/>
      <c r="ALF134" s="72"/>
      <c r="ALG134" s="72"/>
      <c r="ALH134" s="72"/>
      <c r="ALI134" s="72"/>
      <c r="ALJ134" s="72"/>
      <c r="ALK134" s="72"/>
      <c r="ALL134" s="72"/>
      <c r="ALM134" s="72"/>
      <c r="ALN134" s="72"/>
      <c r="ALO134" s="72"/>
      <c r="ALP134" s="72"/>
      <c r="ALQ134" s="72"/>
      <c r="ALR134" s="72"/>
      <c r="ALS134" s="72"/>
      <c r="ALT134" s="72"/>
      <c r="ALU134" s="72"/>
      <c r="ALV134" s="72"/>
      <c r="ALW134" s="72"/>
      <c r="ALX134" s="72"/>
      <c r="ALY134" s="72"/>
      <c r="ALZ134" s="72"/>
      <c r="AMA134" s="72"/>
      <c r="AMB134" s="72"/>
      <c r="AMC134" s="72"/>
      <c r="AMD134" s="72"/>
      <c r="AME134" s="72"/>
      <c r="AMF134" s="72"/>
      <c r="AMG134" s="72"/>
      <c r="AMH134" s="72"/>
      <c r="AMI134" s="72"/>
      <c r="AMJ134" s="72"/>
      <c r="AMK134" s="72"/>
      <c r="AML134" s="72"/>
      <c r="AMM134" s="72"/>
      <c r="AMN134" s="72"/>
      <c r="AMO134" s="72"/>
      <c r="AMP134" s="72"/>
      <c r="AMQ134" s="72"/>
      <c r="AMR134" s="72"/>
      <c r="AMS134" s="72"/>
      <c r="AMT134" s="72"/>
      <c r="AMU134" s="72"/>
      <c r="AMV134" s="72"/>
      <c r="AMW134" s="72"/>
      <c r="AMX134" s="72"/>
      <c r="AMY134" s="72"/>
      <c r="AMZ134" s="72"/>
      <c r="ANA134" s="72"/>
      <c r="ANB134" s="72"/>
      <c r="ANC134" s="72"/>
      <c r="AND134" s="72"/>
      <c r="ANE134" s="72"/>
      <c r="ANF134" s="72"/>
      <c r="ANG134" s="72"/>
      <c r="ANH134" s="72"/>
      <c r="ANI134" s="72"/>
      <c r="ANJ134" s="72"/>
      <c r="ANK134" s="72"/>
      <c r="ANL134" s="72"/>
      <c r="ANM134" s="72"/>
      <c r="ANN134" s="72"/>
      <c r="ANO134" s="72"/>
      <c r="ANP134" s="72"/>
      <c r="ANQ134" s="72"/>
      <c r="ANR134" s="72"/>
      <c r="ANS134" s="72"/>
      <c r="ANT134" s="72"/>
      <c r="ANU134" s="72"/>
      <c r="ANV134" s="72"/>
      <c r="ANW134" s="72"/>
      <c r="ANX134" s="72"/>
      <c r="ANY134" s="72"/>
      <c r="ANZ134" s="72"/>
      <c r="AOA134" s="72"/>
      <c r="AOB134" s="72"/>
      <c r="AOC134" s="72"/>
      <c r="AOD134" s="72"/>
      <c r="AOE134" s="72"/>
      <c r="AOF134" s="72"/>
      <c r="AOG134" s="72"/>
      <c r="AOH134" s="72"/>
      <c r="AOI134" s="72"/>
      <c r="AOJ134" s="72"/>
      <c r="AOK134" s="72"/>
      <c r="AOL134" s="72"/>
      <c r="AOM134" s="72"/>
      <c r="AON134" s="72"/>
      <c r="AOO134" s="72"/>
      <c r="AOP134" s="72"/>
      <c r="AOQ134" s="72"/>
      <c r="AOR134" s="72"/>
      <c r="AOS134" s="72"/>
      <c r="AOT134" s="72"/>
      <c r="AOU134" s="72"/>
      <c r="AOV134" s="72"/>
      <c r="AOW134" s="72"/>
      <c r="AOX134" s="72"/>
      <c r="AOY134" s="72"/>
      <c r="AOZ134" s="72"/>
      <c r="APA134" s="72"/>
      <c r="APB134" s="72"/>
      <c r="APC134" s="72"/>
      <c r="APD134" s="72"/>
      <c r="APE134" s="72"/>
      <c r="APF134" s="72"/>
      <c r="APG134" s="72"/>
      <c r="APH134" s="72"/>
      <c r="API134" s="72"/>
      <c r="APJ134" s="72"/>
      <c r="APK134" s="72"/>
      <c r="APL134" s="72"/>
      <c r="APM134" s="72"/>
      <c r="APN134" s="72"/>
      <c r="APO134" s="72"/>
      <c r="APP134" s="72"/>
      <c r="APQ134" s="72"/>
      <c r="APR134" s="72"/>
      <c r="APS134" s="72"/>
      <c r="APT134" s="72"/>
      <c r="APU134" s="72"/>
      <c r="APV134" s="72"/>
      <c r="APW134" s="72"/>
      <c r="APX134" s="72"/>
      <c r="APY134" s="72"/>
      <c r="APZ134" s="72"/>
      <c r="AQA134" s="72"/>
      <c r="AQB134" s="72"/>
      <c r="AQC134" s="72"/>
      <c r="AQD134" s="72"/>
      <c r="AQE134" s="72"/>
      <c r="AQF134" s="72"/>
      <c r="AQG134" s="72"/>
      <c r="AQH134" s="72"/>
      <c r="AQI134" s="72"/>
      <c r="AQJ134" s="72"/>
      <c r="AQK134" s="72"/>
      <c r="AQL134" s="72"/>
      <c r="AQM134" s="72"/>
      <c r="AQN134" s="72"/>
      <c r="AQO134" s="72"/>
      <c r="AQP134" s="72"/>
      <c r="AQQ134" s="72"/>
      <c r="AQR134" s="72"/>
      <c r="AQS134" s="72"/>
      <c r="AQT134" s="72"/>
      <c r="AQU134" s="72"/>
      <c r="AQV134" s="72"/>
      <c r="AQW134" s="72"/>
      <c r="AQX134" s="72"/>
      <c r="AQY134" s="72"/>
      <c r="AQZ134" s="72"/>
      <c r="ARA134" s="72"/>
      <c r="ARB134" s="72"/>
      <c r="ARC134" s="72"/>
      <c r="ARD134" s="72"/>
      <c r="ARE134" s="72"/>
      <c r="ARF134" s="72"/>
      <c r="ARG134" s="72"/>
      <c r="ARH134" s="72"/>
      <c r="ARI134" s="72"/>
      <c r="ARJ134" s="72"/>
      <c r="ARK134" s="72"/>
      <c r="ARL134" s="72"/>
      <c r="ARM134" s="72"/>
      <c r="ARN134" s="72"/>
      <c r="ARO134" s="72"/>
      <c r="ARP134" s="72"/>
      <c r="ARQ134" s="72"/>
      <c r="ARR134" s="72"/>
      <c r="ARS134" s="72"/>
      <c r="ART134" s="72"/>
      <c r="ARU134" s="72"/>
      <c r="ARV134" s="72"/>
      <c r="ARW134" s="72"/>
      <c r="ARX134" s="72"/>
      <c r="ARY134" s="72"/>
      <c r="ARZ134" s="72"/>
      <c r="ASA134" s="72"/>
      <c r="ASB134" s="72"/>
      <c r="ASC134" s="72"/>
      <c r="ASD134" s="72"/>
      <c r="ASE134" s="72"/>
      <c r="ASF134" s="72"/>
      <c r="ASG134" s="72"/>
      <c r="ASH134" s="72"/>
      <c r="ASI134" s="72"/>
      <c r="ASJ134" s="72"/>
      <c r="ASK134" s="72"/>
      <c r="ASL134" s="72"/>
      <c r="ASM134" s="72"/>
      <c r="ASN134" s="72"/>
      <c r="ASO134" s="72"/>
      <c r="ASP134" s="72"/>
      <c r="ASQ134" s="72"/>
      <c r="ASR134" s="72"/>
      <c r="ASS134" s="72"/>
      <c r="AST134" s="72"/>
      <c r="ASU134" s="72"/>
      <c r="ASV134" s="72"/>
      <c r="ASW134" s="72"/>
      <c r="ASX134" s="72"/>
      <c r="ASY134" s="72"/>
      <c r="ASZ134" s="72"/>
      <c r="ATA134" s="72"/>
      <c r="ATB134" s="72"/>
      <c r="ATC134" s="72"/>
      <c r="ATD134" s="72"/>
      <c r="ATE134" s="72"/>
      <c r="ATF134" s="72"/>
      <c r="ATG134" s="72"/>
      <c r="ATH134" s="72"/>
      <c r="ATI134" s="72"/>
      <c r="ATJ134" s="72"/>
      <c r="ATK134" s="72"/>
      <c r="ATL134" s="72"/>
      <c r="ATM134" s="72"/>
      <c r="ATN134" s="72"/>
      <c r="ATO134" s="72"/>
      <c r="ATP134" s="72"/>
      <c r="ATQ134" s="72"/>
      <c r="ATR134" s="72"/>
      <c r="ATS134" s="72"/>
      <c r="ATT134" s="72"/>
      <c r="ATU134" s="72"/>
      <c r="ATV134" s="72"/>
      <c r="ATW134" s="72"/>
      <c r="ATX134" s="72"/>
      <c r="ATY134" s="72"/>
      <c r="ATZ134" s="72"/>
      <c r="AUA134" s="72"/>
      <c r="AUB134" s="72"/>
      <c r="AUC134" s="72"/>
      <c r="AUD134" s="72"/>
      <c r="AUE134" s="72"/>
      <c r="AUF134" s="72"/>
      <c r="AUG134" s="72"/>
      <c r="AUH134" s="72"/>
      <c r="AUI134" s="72"/>
      <c r="AUJ134" s="72"/>
      <c r="AUK134" s="72"/>
      <c r="AUL134" s="72"/>
      <c r="AUM134" s="72"/>
      <c r="AUN134" s="72"/>
      <c r="AUO134" s="72"/>
      <c r="AUP134" s="72"/>
      <c r="AUQ134" s="72"/>
      <c r="AUR134" s="72"/>
      <c r="AUS134" s="72"/>
      <c r="AUT134" s="72"/>
      <c r="AUU134" s="72"/>
      <c r="AUV134" s="72"/>
      <c r="AUW134" s="72"/>
      <c r="AUX134" s="72"/>
      <c r="AUY134" s="72"/>
      <c r="AUZ134" s="72"/>
      <c r="AVA134" s="72"/>
      <c r="AVB134" s="72"/>
      <c r="AVC134" s="72"/>
      <c r="AVD134" s="72"/>
      <c r="AVE134" s="72"/>
      <c r="AVF134" s="72"/>
      <c r="AVG134" s="72"/>
      <c r="AVH134" s="72"/>
      <c r="AVI134" s="72"/>
      <c r="AVJ134" s="72"/>
      <c r="AVK134" s="72"/>
      <c r="AVL134" s="72"/>
      <c r="AVM134" s="72"/>
      <c r="AVN134" s="72"/>
      <c r="AVO134" s="72"/>
      <c r="AVP134" s="72"/>
      <c r="AVQ134" s="72"/>
      <c r="AVR134" s="72"/>
      <c r="AVS134" s="72"/>
      <c r="AVT134" s="72"/>
      <c r="AVU134" s="72"/>
      <c r="AVV134" s="72"/>
      <c r="AVW134" s="72"/>
      <c r="AVX134" s="72"/>
      <c r="AVY134" s="72"/>
      <c r="AVZ134" s="72"/>
      <c r="AWA134" s="72"/>
      <c r="AWB134" s="72"/>
      <c r="AWC134" s="72"/>
      <c r="AWD134" s="72"/>
      <c r="AWE134" s="72"/>
      <c r="AWF134" s="72"/>
      <c r="AWG134" s="72"/>
      <c r="AWH134" s="72"/>
      <c r="AWI134" s="72"/>
      <c r="AWJ134" s="72"/>
      <c r="AWK134" s="72"/>
      <c r="AWL134" s="72"/>
      <c r="AWM134" s="72"/>
      <c r="AWN134" s="72"/>
      <c r="AWO134" s="72"/>
      <c r="AWP134" s="72"/>
      <c r="AWQ134" s="72"/>
      <c r="AWR134" s="72"/>
      <c r="AWS134" s="72"/>
      <c r="AWT134" s="72"/>
      <c r="AWU134" s="72"/>
      <c r="AWV134" s="72"/>
      <c r="AWW134" s="72"/>
      <c r="AWX134" s="72"/>
      <c r="AWY134" s="72"/>
      <c r="AWZ134" s="72"/>
      <c r="AXA134" s="72"/>
      <c r="AXB134" s="72"/>
      <c r="AXC134" s="72"/>
      <c r="AXD134" s="72"/>
      <c r="AXE134" s="72"/>
      <c r="AXF134" s="72"/>
      <c r="AXG134" s="72"/>
      <c r="AXH134" s="72"/>
      <c r="AXI134" s="72"/>
      <c r="AXJ134" s="72"/>
      <c r="AXK134" s="72"/>
      <c r="AXL134" s="72"/>
      <c r="AXM134" s="72"/>
      <c r="AXN134" s="72"/>
      <c r="AXO134" s="72"/>
      <c r="AXP134" s="72"/>
      <c r="AXQ134" s="72"/>
      <c r="AXR134" s="72"/>
      <c r="AXS134" s="72"/>
      <c r="AXT134" s="72"/>
      <c r="AXU134" s="72"/>
      <c r="AXV134" s="72"/>
      <c r="AXW134" s="72"/>
      <c r="AXX134" s="72"/>
      <c r="AXY134" s="72"/>
      <c r="AXZ134" s="72"/>
      <c r="AYA134" s="72"/>
      <c r="AYB134" s="72"/>
      <c r="AYC134" s="72"/>
      <c r="AYD134" s="72"/>
      <c r="AYE134" s="72"/>
      <c r="AYF134" s="72"/>
      <c r="AYG134" s="72"/>
      <c r="AYH134" s="72"/>
      <c r="AYI134" s="72"/>
      <c r="AYJ134" s="72"/>
      <c r="AYK134" s="72"/>
      <c r="AYL134" s="72"/>
      <c r="AYM134" s="72"/>
      <c r="AYN134" s="72"/>
      <c r="AYO134" s="72"/>
      <c r="AYP134" s="72"/>
      <c r="AYQ134" s="72"/>
      <c r="AYR134" s="72"/>
      <c r="AYS134" s="72"/>
      <c r="AYT134" s="72"/>
      <c r="AYU134" s="72"/>
      <c r="AYV134" s="72"/>
      <c r="AYW134" s="72"/>
      <c r="AYX134" s="72"/>
      <c r="AYY134" s="72"/>
      <c r="AYZ134" s="72"/>
      <c r="AZA134" s="72"/>
      <c r="AZB134" s="72"/>
      <c r="AZC134" s="72"/>
      <c r="AZD134" s="72"/>
      <c r="AZE134" s="72"/>
      <c r="AZF134" s="72"/>
      <c r="AZG134" s="72"/>
      <c r="AZH134" s="72"/>
      <c r="AZI134" s="72"/>
      <c r="AZJ134" s="72"/>
      <c r="AZK134" s="72"/>
      <c r="AZL134" s="72"/>
      <c r="AZM134" s="72"/>
      <c r="AZN134" s="72"/>
      <c r="AZO134" s="72"/>
      <c r="AZP134" s="72"/>
      <c r="AZQ134" s="72"/>
      <c r="AZR134" s="72"/>
      <c r="AZS134" s="72"/>
      <c r="AZT134" s="72"/>
      <c r="AZU134" s="72"/>
      <c r="AZV134" s="72"/>
      <c r="AZW134" s="72"/>
      <c r="AZX134" s="72"/>
      <c r="AZY134" s="72"/>
      <c r="AZZ134" s="72"/>
      <c r="BAA134" s="72"/>
      <c r="BAB134" s="72"/>
      <c r="BAC134" s="72"/>
      <c r="BAD134" s="72"/>
      <c r="BAE134" s="72"/>
      <c r="BAF134" s="72"/>
      <c r="BAG134" s="72"/>
      <c r="BAH134" s="72"/>
      <c r="BAI134" s="72"/>
      <c r="BAJ134" s="72"/>
      <c r="BAK134" s="72"/>
      <c r="BAL134" s="72"/>
      <c r="BAM134" s="72"/>
      <c r="BAN134" s="72"/>
      <c r="BAO134" s="72"/>
      <c r="BAP134" s="72"/>
      <c r="BAQ134" s="72"/>
      <c r="BAR134" s="72"/>
      <c r="BAS134" s="72"/>
      <c r="BAT134" s="72"/>
      <c r="BAU134" s="72"/>
      <c r="BAV134" s="72"/>
      <c r="BAW134" s="72"/>
      <c r="BAX134" s="72"/>
      <c r="BAY134" s="72"/>
      <c r="BAZ134" s="72"/>
      <c r="BBA134" s="72"/>
      <c r="BBB134" s="72"/>
      <c r="BBC134" s="72"/>
      <c r="BBD134" s="72"/>
      <c r="BBE134" s="72"/>
      <c r="BBF134" s="72"/>
      <c r="BBG134" s="72"/>
      <c r="BBH134" s="72"/>
      <c r="BBI134" s="72"/>
      <c r="BBJ134" s="72"/>
      <c r="BBK134" s="72"/>
      <c r="BBL134" s="72"/>
      <c r="BBM134" s="72"/>
      <c r="BBN134" s="72"/>
      <c r="BBO134" s="72"/>
      <c r="BBP134" s="72"/>
      <c r="BBQ134" s="72"/>
      <c r="BBR134" s="72"/>
      <c r="BBS134" s="72"/>
      <c r="BBT134" s="72"/>
      <c r="BBU134" s="72"/>
      <c r="BBV134" s="72"/>
      <c r="BBW134" s="72"/>
      <c r="BBX134" s="72"/>
      <c r="BBY134" s="72"/>
      <c r="BBZ134" s="72"/>
      <c r="BCA134" s="72"/>
      <c r="BCB134" s="72"/>
      <c r="BCC134" s="72"/>
      <c r="BCD134" s="72"/>
      <c r="BCE134" s="72"/>
      <c r="BCF134" s="72"/>
      <c r="BCG134" s="72"/>
      <c r="BCH134" s="72"/>
      <c r="BCI134" s="72"/>
      <c r="BCJ134" s="72"/>
      <c r="BCK134" s="72"/>
      <c r="BCL134" s="72"/>
      <c r="BCM134" s="72"/>
      <c r="BCN134" s="72"/>
      <c r="BCO134" s="72"/>
      <c r="BCP134" s="72"/>
      <c r="BCQ134" s="72"/>
      <c r="BCR134" s="72"/>
      <c r="BCS134" s="72"/>
      <c r="BCT134" s="72"/>
      <c r="BCU134" s="72"/>
      <c r="BCV134" s="72"/>
      <c r="BCW134" s="72"/>
      <c r="BCX134" s="72"/>
      <c r="BCY134" s="72"/>
      <c r="BCZ134" s="72"/>
      <c r="BDA134" s="72"/>
      <c r="BDB134" s="72"/>
      <c r="BDC134" s="72"/>
      <c r="BDD134" s="72"/>
      <c r="BDE134" s="72"/>
      <c r="BDF134" s="72"/>
      <c r="BDG134" s="72"/>
      <c r="BDH134" s="72"/>
      <c r="BDI134" s="72"/>
      <c r="BDJ134" s="72"/>
      <c r="BDK134" s="72"/>
      <c r="BDL134" s="72"/>
      <c r="BDM134" s="72"/>
      <c r="BDN134" s="72"/>
      <c r="BDO134" s="72"/>
      <c r="BDP134" s="72"/>
      <c r="BDQ134" s="72"/>
      <c r="BDR134" s="72"/>
      <c r="BDS134" s="72"/>
      <c r="BDT134" s="72"/>
      <c r="BDU134" s="72"/>
      <c r="BDV134" s="72"/>
      <c r="BDW134" s="72"/>
      <c r="BDX134" s="72"/>
      <c r="BDY134" s="72"/>
      <c r="BDZ134" s="72"/>
      <c r="BEA134" s="72"/>
      <c r="BEB134" s="72"/>
      <c r="BEC134" s="72"/>
      <c r="BED134" s="72"/>
      <c r="BEE134" s="72"/>
      <c r="BEF134" s="72"/>
      <c r="BEG134" s="72"/>
      <c r="BEH134" s="72"/>
      <c r="BEI134" s="72"/>
      <c r="BEJ134" s="72"/>
      <c r="BEK134" s="72"/>
      <c r="BEL134" s="72"/>
      <c r="BEM134" s="72"/>
      <c r="BEN134" s="72"/>
      <c r="BEO134" s="72"/>
      <c r="BEP134" s="72"/>
      <c r="BEQ134" s="72"/>
      <c r="BER134" s="72"/>
      <c r="BES134" s="72"/>
      <c r="BET134" s="72"/>
      <c r="BEU134" s="72"/>
      <c r="BEV134" s="72"/>
      <c r="BEW134" s="72"/>
      <c r="BEX134" s="72"/>
      <c r="BEY134" s="72"/>
      <c r="BEZ134" s="72"/>
      <c r="BFA134" s="72"/>
      <c r="BFB134" s="72"/>
      <c r="BFC134" s="72"/>
      <c r="BFD134" s="72"/>
      <c r="BFE134" s="72"/>
      <c r="BFF134" s="72"/>
      <c r="BFG134" s="72"/>
      <c r="BFH134" s="72"/>
      <c r="BFI134" s="72"/>
      <c r="BFJ134" s="72"/>
      <c r="BFK134" s="72"/>
      <c r="BFL134" s="72"/>
      <c r="BFM134" s="72"/>
      <c r="BFN134" s="72"/>
      <c r="BFO134" s="72"/>
      <c r="BFP134" s="72"/>
      <c r="BFQ134" s="72"/>
      <c r="BFR134" s="72"/>
      <c r="BFS134" s="72"/>
      <c r="BFT134" s="72"/>
      <c r="BFU134" s="72"/>
      <c r="BFV134" s="72"/>
      <c r="BFW134" s="72"/>
      <c r="BFX134" s="72"/>
      <c r="BFY134" s="72"/>
      <c r="BFZ134" s="72"/>
      <c r="BGA134" s="72"/>
      <c r="BGB134" s="72"/>
      <c r="BGC134" s="72"/>
      <c r="BGD134" s="72"/>
      <c r="BGE134" s="72"/>
      <c r="BGF134" s="72"/>
      <c r="BGG134" s="72"/>
      <c r="BGH134" s="72"/>
      <c r="BGI134" s="72"/>
      <c r="BGJ134" s="72"/>
      <c r="BGK134" s="72"/>
      <c r="BGL134" s="72"/>
      <c r="BGM134" s="72"/>
      <c r="BGN134" s="72"/>
      <c r="BGO134" s="72"/>
      <c r="BGP134" s="72"/>
      <c r="BGQ134" s="72"/>
      <c r="BGR134" s="72"/>
      <c r="BGS134" s="72"/>
      <c r="BGT134" s="72"/>
      <c r="BGU134" s="72"/>
      <c r="BGV134" s="72"/>
      <c r="BGW134" s="72"/>
      <c r="BGX134" s="72"/>
      <c r="BGY134" s="72"/>
      <c r="BGZ134" s="72"/>
      <c r="BHA134" s="72"/>
      <c r="BHB134" s="72"/>
      <c r="BHC134" s="72"/>
      <c r="BHD134" s="72"/>
      <c r="BHE134" s="72"/>
      <c r="BHF134" s="72"/>
      <c r="BHG134" s="72"/>
      <c r="BHH134" s="72"/>
      <c r="BHI134" s="72"/>
      <c r="BHJ134" s="72"/>
      <c r="BHK134" s="72"/>
      <c r="BHL134" s="72"/>
      <c r="BHM134" s="72"/>
      <c r="BHN134" s="72"/>
      <c r="BHO134" s="72"/>
      <c r="BHP134" s="72"/>
      <c r="BHQ134" s="72"/>
      <c r="BHR134" s="72"/>
      <c r="BHS134" s="72"/>
      <c r="BHT134" s="72"/>
      <c r="BHU134" s="72"/>
      <c r="BHV134" s="72"/>
      <c r="BHW134" s="72"/>
      <c r="BHX134" s="72"/>
      <c r="BHY134" s="72"/>
      <c r="BHZ134" s="72"/>
      <c r="BIA134" s="72"/>
      <c r="BIB134" s="72"/>
      <c r="BIC134" s="72"/>
      <c r="BID134" s="72"/>
      <c r="BIE134" s="72"/>
      <c r="BIF134" s="72"/>
      <c r="BIG134" s="72"/>
      <c r="BIH134" s="72"/>
      <c r="BII134" s="72"/>
      <c r="BIJ134" s="72"/>
      <c r="BIK134" s="72"/>
      <c r="BIL134" s="72"/>
      <c r="BIM134" s="72"/>
      <c r="BIN134" s="72"/>
      <c r="BIO134" s="72"/>
      <c r="BIP134" s="72"/>
      <c r="BIQ134" s="72"/>
      <c r="BIR134" s="72"/>
      <c r="BIS134" s="72"/>
      <c r="BIT134" s="72"/>
      <c r="BIU134" s="72"/>
      <c r="BIV134" s="72"/>
      <c r="BIW134" s="72"/>
      <c r="BIX134" s="72"/>
      <c r="BIY134" s="72"/>
      <c r="BIZ134" s="72"/>
      <c r="BJA134" s="72"/>
      <c r="BJB134" s="72"/>
      <c r="BJC134" s="72"/>
      <c r="BJD134" s="72"/>
      <c r="BJE134" s="72"/>
      <c r="BJF134" s="72"/>
      <c r="BJG134" s="72"/>
      <c r="BJH134" s="72"/>
      <c r="BJI134" s="72"/>
      <c r="BJJ134" s="72"/>
      <c r="BJK134" s="72"/>
      <c r="BJL134" s="72"/>
      <c r="BJM134" s="72"/>
      <c r="BJN134" s="72"/>
      <c r="BJO134" s="72"/>
      <c r="BJP134" s="72"/>
      <c r="BJQ134" s="72"/>
      <c r="BJR134" s="72"/>
      <c r="BJS134" s="72"/>
      <c r="BJT134" s="72"/>
      <c r="BJU134" s="72"/>
      <c r="BJV134" s="72"/>
      <c r="BJW134" s="72"/>
      <c r="BJX134" s="72"/>
      <c r="BJY134" s="72"/>
      <c r="BJZ134" s="72"/>
      <c r="BKA134" s="72"/>
      <c r="BKB134" s="72"/>
      <c r="BKC134" s="72"/>
      <c r="BKD134" s="72"/>
      <c r="BKE134" s="72"/>
      <c r="BKF134" s="72"/>
      <c r="BKG134" s="72"/>
      <c r="BKH134" s="72"/>
      <c r="BKI134" s="72"/>
      <c r="BKJ134" s="72"/>
      <c r="BKK134" s="72"/>
      <c r="BKL134" s="72"/>
      <c r="BKM134" s="72"/>
      <c r="BKN134" s="72"/>
      <c r="BKO134" s="72"/>
      <c r="BKP134" s="72"/>
      <c r="BKQ134" s="72"/>
      <c r="BKR134" s="72"/>
      <c r="BKS134" s="72"/>
      <c r="BKT134" s="72"/>
      <c r="BKU134" s="72"/>
      <c r="BKV134" s="72"/>
      <c r="BKW134" s="72"/>
      <c r="BKX134" s="72"/>
      <c r="BKY134" s="72"/>
      <c r="BKZ134" s="72"/>
      <c r="BLA134" s="72"/>
      <c r="BLB134" s="72"/>
      <c r="BLC134" s="72"/>
      <c r="BLD134" s="72"/>
      <c r="BLE134" s="72"/>
      <c r="BLF134" s="72"/>
      <c r="BLG134" s="72"/>
      <c r="BLH134" s="72"/>
      <c r="BLI134" s="72"/>
      <c r="BLJ134" s="72"/>
      <c r="BLK134" s="72"/>
      <c r="BLL134" s="72"/>
      <c r="BLM134" s="72"/>
      <c r="BLN134" s="72"/>
      <c r="BLO134" s="72"/>
      <c r="BLP134" s="72"/>
      <c r="BLQ134" s="72"/>
      <c r="BLR134" s="72"/>
      <c r="BLS134" s="72"/>
      <c r="BLT134" s="72"/>
      <c r="BLU134" s="72"/>
      <c r="BLV134" s="72"/>
      <c r="BLW134" s="72"/>
      <c r="BLX134" s="72"/>
      <c r="BLY134" s="72"/>
      <c r="BLZ134" s="72"/>
      <c r="BMA134" s="72"/>
      <c r="BMB134" s="72"/>
      <c r="BMC134" s="72"/>
      <c r="BMD134" s="72"/>
      <c r="BME134" s="72"/>
      <c r="BMF134" s="72"/>
      <c r="BMG134" s="72"/>
      <c r="BMH134" s="72"/>
      <c r="BMI134" s="72"/>
      <c r="BMJ134" s="72"/>
      <c r="BMK134" s="72"/>
      <c r="BML134" s="72"/>
      <c r="BMM134" s="72"/>
      <c r="BMN134" s="72"/>
      <c r="BMO134" s="72"/>
      <c r="BMP134" s="72"/>
      <c r="BMQ134" s="72"/>
      <c r="BMR134" s="72"/>
      <c r="BMS134" s="72"/>
      <c r="BMT134" s="72"/>
      <c r="BMU134" s="72"/>
      <c r="BMV134" s="72"/>
      <c r="BMW134" s="72"/>
      <c r="BMX134" s="72"/>
      <c r="BMY134" s="72"/>
      <c r="BMZ134" s="72"/>
      <c r="BNA134" s="72"/>
      <c r="BNB134" s="72"/>
      <c r="BNC134" s="72"/>
      <c r="BND134" s="72"/>
      <c r="BNE134" s="72"/>
      <c r="BNF134" s="72"/>
      <c r="BNG134" s="72"/>
      <c r="BNH134" s="72"/>
      <c r="BNI134" s="72"/>
      <c r="BNJ134" s="72"/>
      <c r="BNK134" s="72"/>
      <c r="BNL134" s="72"/>
      <c r="BNM134" s="72"/>
      <c r="BNN134" s="72"/>
      <c r="BNO134" s="72"/>
      <c r="BNP134" s="72"/>
      <c r="BNQ134" s="72"/>
      <c r="BNR134" s="72"/>
      <c r="BNS134" s="72"/>
      <c r="BNT134" s="72"/>
      <c r="BNU134" s="72"/>
      <c r="BNV134" s="72"/>
      <c r="BNW134" s="72"/>
      <c r="BNX134" s="72"/>
      <c r="BNY134" s="72"/>
      <c r="BNZ134" s="72"/>
      <c r="BOA134" s="72"/>
      <c r="BOB134" s="72"/>
      <c r="BOC134" s="72"/>
      <c r="BOD134" s="72"/>
      <c r="BOE134" s="72"/>
      <c r="BOF134" s="72"/>
      <c r="BOG134" s="72"/>
      <c r="BOH134" s="72"/>
      <c r="BOI134" s="72"/>
      <c r="BOJ134" s="72"/>
      <c r="BOK134" s="72"/>
      <c r="BOL134" s="72"/>
      <c r="BOM134" s="72"/>
      <c r="BON134" s="72"/>
      <c r="BOO134" s="72"/>
      <c r="BOP134" s="72"/>
      <c r="BOQ134" s="72"/>
      <c r="BOR134" s="72"/>
      <c r="BOS134" s="72"/>
      <c r="BOT134" s="72"/>
      <c r="BOU134" s="72"/>
      <c r="BOV134" s="72"/>
      <c r="BOW134" s="72"/>
      <c r="BOX134" s="72"/>
      <c r="BOY134" s="72"/>
      <c r="BOZ134" s="72"/>
      <c r="BPA134" s="72"/>
      <c r="BPB134" s="72"/>
      <c r="BPC134" s="72"/>
      <c r="BPD134" s="72"/>
      <c r="BPE134" s="72"/>
      <c r="BPF134" s="72"/>
      <c r="BPG134" s="72"/>
      <c r="BPH134" s="72"/>
      <c r="BPI134" s="72"/>
      <c r="BPJ134" s="72"/>
      <c r="BPK134" s="72"/>
      <c r="BPL134" s="72"/>
      <c r="BPM134" s="72"/>
      <c r="BPN134" s="72"/>
      <c r="BPO134" s="72"/>
      <c r="BPP134" s="72"/>
      <c r="BPQ134" s="72"/>
      <c r="BPR134" s="72"/>
      <c r="BPS134" s="72"/>
      <c r="BPT134" s="72"/>
      <c r="BPU134" s="72"/>
      <c r="BPV134" s="72"/>
      <c r="BPW134" s="72"/>
      <c r="BPX134" s="72"/>
      <c r="BPY134" s="72"/>
      <c r="BPZ134" s="72"/>
      <c r="BQA134" s="72"/>
      <c r="BQB134" s="72"/>
      <c r="BQC134" s="72"/>
      <c r="BQD134" s="72"/>
      <c r="BQE134" s="72"/>
      <c r="BQF134" s="72"/>
      <c r="BQG134" s="72"/>
      <c r="BQH134" s="72"/>
      <c r="BQI134" s="72"/>
      <c r="BQJ134" s="72"/>
      <c r="BQK134" s="72"/>
      <c r="BQL134" s="72"/>
      <c r="BQM134" s="72"/>
      <c r="BQN134" s="72"/>
      <c r="BQO134" s="72"/>
      <c r="BQP134" s="72"/>
      <c r="BQQ134" s="72"/>
      <c r="BQR134" s="72"/>
      <c r="BQS134" s="72"/>
      <c r="BQT134" s="72"/>
      <c r="BQU134" s="72"/>
      <c r="BQV134" s="72"/>
      <c r="BQW134" s="72"/>
      <c r="BQX134" s="72"/>
      <c r="BQY134" s="72"/>
      <c r="BQZ134" s="72"/>
      <c r="BRA134" s="72"/>
      <c r="BRB134" s="72"/>
      <c r="BRC134" s="72"/>
      <c r="BRD134" s="72"/>
      <c r="BRE134" s="72"/>
      <c r="BRF134" s="72"/>
      <c r="BRG134" s="72"/>
      <c r="BRH134" s="72"/>
      <c r="BRI134" s="72"/>
      <c r="BRJ134" s="72"/>
      <c r="BRK134" s="72"/>
      <c r="BRL134" s="72"/>
      <c r="BRM134" s="72"/>
      <c r="BRN134" s="72"/>
      <c r="BRO134" s="72"/>
      <c r="BRP134" s="72"/>
      <c r="BRQ134" s="72"/>
      <c r="BRR134" s="72"/>
      <c r="BRS134" s="72"/>
      <c r="BRT134" s="72"/>
      <c r="BRU134" s="72"/>
      <c r="BRV134" s="72"/>
      <c r="BRW134" s="72"/>
      <c r="BRX134" s="72"/>
      <c r="BRY134" s="72"/>
      <c r="BRZ134" s="72"/>
      <c r="BSA134" s="72"/>
      <c r="BSB134" s="72"/>
      <c r="BSC134" s="72"/>
      <c r="BSD134" s="72"/>
      <c r="BSE134" s="72"/>
      <c r="BSF134" s="72"/>
      <c r="BSG134" s="72"/>
      <c r="BSH134" s="72"/>
      <c r="BSI134" s="72"/>
      <c r="BSJ134" s="72"/>
      <c r="BSK134" s="72"/>
      <c r="BSL134" s="72"/>
      <c r="BSM134" s="72"/>
      <c r="BSN134" s="72"/>
      <c r="BSO134" s="72"/>
      <c r="BSP134" s="72"/>
      <c r="BSQ134" s="72"/>
      <c r="BSR134" s="72"/>
      <c r="BSS134" s="72"/>
      <c r="BST134" s="72"/>
      <c r="BSU134" s="72"/>
      <c r="BSV134" s="72"/>
      <c r="BSW134" s="72"/>
      <c r="BSX134" s="72"/>
      <c r="BSY134" s="72"/>
      <c r="BSZ134" s="72"/>
      <c r="BTA134" s="72"/>
      <c r="BTB134" s="72"/>
      <c r="BTC134" s="72"/>
      <c r="BTD134" s="72"/>
      <c r="BTE134" s="72"/>
      <c r="BTF134" s="72"/>
      <c r="BTG134" s="72"/>
      <c r="BTH134" s="72"/>
      <c r="BTI134" s="72"/>
      <c r="BTJ134" s="72"/>
      <c r="BTK134" s="72"/>
      <c r="BTL134" s="72"/>
      <c r="BTM134" s="72"/>
      <c r="BTN134" s="72"/>
      <c r="BTO134" s="72"/>
      <c r="BTP134" s="72"/>
      <c r="BTQ134" s="72"/>
      <c r="BTR134" s="72"/>
      <c r="BTS134" s="72"/>
      <c r="BTT134" s="72"/>
      <c r="BTU134" s="72"/>
      <c r="BTV134" s="72"/>
      <c r="BTW134" s="72"/>
      <c r="BTX134" s="72"/>
      <c r="BTY134" s="72"/>
      <c r="BTZ134" s="72"/>
      <c r="BUA134" s="72"/>
      <c r="BUB134" s="72"/>
      <c r="BUC134" s="72"/>
      <c r="BUD134" s="72"/>
      <c r="BUE134" s="72"/>
      <c r="BUF134" s="72"/>
      <c r="BUG134" s="72"/>
      <c r="BUH134" s="72"/>
      <c r="BUI134" s="72"/>
      <c r="BUJ134" s="72"/>
      <c r="BUK134" s="72"/>
      <c r="BUL134" s="72"/>
      <c r="BUM134" s="72"/>
      <c r="BUN134" s="72"/>
      <c r="BUO134" s="72"/>
      <c r="BUP134" s="72"/>
      <c r="BUQ134" s="72"/>
      <c r="BUR134" s="72"/>
      <c r="BUS134" s="72"/>
      <c r="BUT134" s="72"/>
      <c r="BUU134" s="72"/>
      <c r="BUV134" s="72"/>
      <c r="BUW134" s="72"/>
      <c r="BUX134" s="72"/>
      <c r="BUY134" s="72"/>
      <c r="BUZ134" s="72"/>
      <c r="BVA134" s="72"/>
      <c r="BVB134" s="72"/>
      <c r="BVC134" s="72"/>
      <c r="BVD134" s="72"/>
      <c r="BVE134" s="72"/>
      <c r="BVF134" s="72"/>
      <c r="BVG134" s="72"/>
      <c r="BVH134" s="72"/>
      <c r="BVI134" s="72"/>
      <c r="BVJ134" s="72"/>
      <c r="BVK134" s="72"/>
      <c r="BVL134" s="72"/>
      <c r="BVM134" s="72"/>
      <c r="BVN134" s="72"/>
      <c r="BVO134" s="72"/>
      <c r="BVP134" s="72"/>
      <c r="BVQ134" s="72"/>
      <c r="BVR134" s="72"/>
      <c r="BVS134" s="72"/>
      <c r="BVT134" s="72"/>
      <c r="BVU134" s="72"/>
      <c r="BVV134" s="72"/>
      <c r="BVW134" s="72"/>
      <c r="BVX134" s="72"/>
      <c r="BVY134" s="72"/>
      <c r="BVZ134" s="72"/>
      <c r="BWA134" s="72"/>
      <c r="BWB134" s="72"/>
      <c r="BWC134" s="72"/>
      <c r="BWD134" s="72"/>
      <c r="BWE134" s="72"/>
      <c r="BWF134" s="72"/>
      <c r="BWG134" s="72"/>
      <c r="BWH134" s="72"/>
      <c r="BWI134" s="72"/>
      <c r="BWJ134" s="72"/>
      <c r="BWK134" s="72"/>
      <c r="BWL134" s="72"/>
      <c r="BWM134" s="72"/>
      <c r="BWN134" s="72"/>
      <c r="BWO134" s="72"/>
      <c r="BWP134" s="72"/>
      <c r="BWQ134" s="72"/>
      <c r="BWR134" s="72"/>
      <c r="BWS134" s="72"/>
      <c r="BWT134" s="72"/>
      <c r="BWU134" s="72"/>
      <c r="BWV134" s="72"/>
      <c r="BWW134" s="72"/>
      <c r="BWX134" s="72"/>
      <c r="BWY134" s="72"/>
      <c r="BWZ134" s="72"/>
      <c r="BXA134" s="72"/>
      <c r="BXB134" s="72"/>
      <c r="BXC134" s="72"/>
      <c r="BXD134" s="72"/>
      <c r="BXE134" s="72"/>
      <c r="BXF134" s="72"/>
      <c r="BXG134" s="72"/>
      <c r="BXH134" s="72"/>
      <c r="BXI134" s="72"/>
      <c r="BXJ134" s="72"/>
      <c r="BXK134" s="72"/>
      <c r="BXL134" s="72"/>
      <c r="BXM134" s="72"/>
      <c r="BXN134" s="72"/>
      <c r="BXO134" s="72"/>
      <c r="BXP134" s="72"/>
      <c r="BXQ134" s="72"/>
      <c r="BXR134" s="72"/>
      <c r="BXS134" s="72"/>
      <c r="BXT134" s="72"/>
      <c r="BXU134" s="72"/>
      <c r="BXV134" s="72"/>
      <c r="BXW134" s="72"/>
      <c r="BXX134" s="72"/>
      <c r="BXY134" s="72"/>
      <c r="BXZ134" s="72"/>
      <c r="BYA134" s="72"/>
      <c r="BYB134" s="72"/>
      <c r="BYC134" s="72"/>
      <c r="BYD134" s="72"/>
      <c r="BYE134" s="72"/>
      <c r="BYF134" s="72"/>
      <c r="BYG134" s="72"/>
      <c r="BYH134" s="72"/>
      <c r="BYI134" s="72"/>
      <c r="BYJ134" s="72"/>
      <c r="BYK134" s="72"/>
      <c r="BYL134" s="72"/>
      <c r="BYM134" s="72"/>
      <c r="BYN134" s="72"/>
      <c r="BYO134" s="72"/>
      <c r="BYP134" s="72"/>
      <c r="BYQ134" s="72"/>
      <c r="BYR134" s="72"/>
      <c r="BYS134" s="72"/>
      <c r="BYT134" s="72"/>
      <c r="BYU134" s="72"/>
      <c r="BYV134" s="72"/>
      <c r="BYW134" s="72"/>
      <c r="BYX134" s="72"/>
      <c r="BYY134" s="72"/>
      <c r="BYZ134" s="72"/>
      <c r="BZA134" s="72"/>
      <c r="BZB134" s="72"/>
      <c r="BZC134" s="72"/>
      <c r="BZD134" s="72"/>
      <c r="BZE134" s="72"/>
      <c r="BZF134" s="72"/>
      <c r="BZG134" s="72"/>
      <c r="BZH134" s="72"/>
      <c r="BZI134" s="72"/>
      <c r="BZJ134" s="72"/>
      <c r="BZK134" s="72"/>
      <c r="BZL134" s="72"/>
      <c r="BZM134" s="72"/>
      <c r="BZN134" s="72"/>
      <c r="BZO134" s="72"/>
      <c r="BZP134" s="72"/>
      <c r="BZQ134" s="72"/>
      <c r="BZR134" s="72"/>
      <c r="BZS134" s="72"/>
      <c r="BZT134" s="72"/>
      <c r="BZU134" s="72"/>
      <c r="BZV134" s="72"/>
      <c r="BZW134" s="72"/>
      <c r="BZX134" s="72"/>
      <c r="BZY134" s="72"/>
      <c r="BZZ134" s="72"/>
      <c r="CAA134" s="72"/>
      <c r="CAB134" s="72"/>
      <c r="CAC134" s="72"/>
      <c r="CAD134" s="72"/>
      <c r="CAE134" s="72"/>
      <c r="CAF134" s="72"/>
      <c r="CAG134" s="72"/>
      <c r="CAH134" s="72"/>
      <c r="CAI134" s="72"/>
      <c r="CAJ134" s="72"/>
      <c r="CAK134" s="72"/>
      <c r="CAL134" s="72"/>
      <c r="CAM134" s="72"/>
      <c r="CAN134" s="72"/>
      <c r="CAO134" s="72"/>
      <c r="CAP134" s="72"/>
      <c r="CAQ134" s="72"/>
      <c r="CAR134" s="72"/>
      <c r="CAS134" s="72"/>
      <c r="CAT134" s="72"/>
      <c r="CAU134" s="72"/>
      <c r="CAV134" s="72"/>
      <c r="CAW134" s="72"/>
      <c r="CAX134" s="72"/>
      <c r="CAY134" s="72"/>
      <c r="CAZ134" s="72"/>
      <c r="CBA134" s="72"/>
      <c r="CBB134" s="72"/>
      <c r="CBC134" s="72"/>
      <c r="CBD134" s="72"/>
      <c r="CBE134" s="72"/>
      <c r="CBF134" s="72"/>
      <c r="CBG134" s="72"/>
      <c r="CBH134" s="72"/>
      <c r="CBI134" s="72"/>
      <c r="CBJ134" s="72"/>
      <c r="CBK134" s="72"/>
      <c r="CBL134" s="72"/>
      <c r="CBM134" s="72"/>
      <c r="CBN134" s="72"/>
      <c r="CBO134" s="72"/>
      <c r="CBP134" s="72"/>
      <c r="CBQ134" s="72"/>
      <c r="CBR134" s="72"/>
      <c r="CBS134" s="72"/>
      <c r="CBT134" s="72"/>
      <c r="CBU134" s="72"/>
      <c r="CBV134" s="72"/>
      <c r="CBW134" s="72"/>
      <c r="CBX134" s="72"/>
      <c r="CBY134" s="72"/>
      <c r="CBZ134" s="72"/>
      <c r="CCA134" s="72"/>
      <c r="CCB134" s="72"/>
      <c r="CCC134" s="72"/>
      <c r="CCD134" s="72"/>
      <c r="CCE134" s="72"/>
      <c r="CCF134" s="72"/>
      <c r="CCG134" s="72"/>
      <c r="CCH134" s="72"/>
      <c r="CCI134" s="72"/>
      <c r="CCJ134" s="72"/>
      <c r="CCK134" s="72"/>
      <c r="CCL134" s="72"/>
      <c r="CCM134" s="72"/>
      <c r="CCN134" s="72"/>
      <c r="CCO134" s="72"/>
      <c r="CCP134" s="72"/>
      <c r="CCQ134" s="72"/>
      <c r="CCR134" s="72"/>
      <c r="CCS134" s="72"/>
      <c r="CCT134" s="72"/>
      <c r="CCU134" s="72"/>
      <c r="CCV134" s="72"/>
      <c r="CCW134" s="72"/>
      <c r="CCX134" s="72"/>
      <c r="CCY134" s="72"/>
      <c r="CCZ134" s="72"/>
      <c r="CDA134" s="72"/>
      <c r="CDB134" s="72"/>
      <c r="CDC134" s="72"/>
      <c r="CDD134" s="72"/>
      <c r="CDE134" s="72"/>
      <c r="CDF134" s="72"/>
      <c r="CDG134" s="72"/>
      <c r="CDH134" s="72"/>
      <c r="CDI134" s="72"/>
      <c r="CDJ134" s="72"/>
      <c r="CDK134" s="72"/>
      <c r="CDL134" s="72"/>
      <c r="CDM134" s="72"/>
      <c r="CDN134" s="72"/>
      <c r="CDO134" s="72"/>
      <c r="CDP134" s="72"/>
      <c r="CDQ134" s="72"/>
      <c r="CDR134" s="72"/>
      <c r="CDS134" s="72"/>
      <c r="CDT134" s="72"/>
      <c r="CDU134" s="72"/>
      <c r="CDV134" s="72"/>
      <c r="CDW134" s="72"/>
      <c r="CDX134" s="72"/>
      <c r="CDY134" s="72"/>
      <c r="CDZ134" s="72"/>
      <c r="CEA134" s="72"/>
      <c r="CEB134" s="72"/>
      <c r="CEC134" s="72"/>
      <c r="CED134" s="72"/>
      <c r="CEE134" s="72"/>
      <c r="CEF134" s="72"/>
      <c r="CEG134" s="72"/>
      <c r="CEH134" s="72"/>
      <c r="CEI134" s="72"/>
      <c r="CEJ134" s="72"/>
      <c r="CEK134" s="72"/>
      <c r="CEL134" s="72"/>
      <c r="CEM134" s="72"/>
      <c r="CEN134" s="72"/>
      <c r="CEO134" s="72"/>
      <c r="CEP134" s="72"/>
      <c r="CEQ134" s="72"/>
      <c r="CER134" s="72"/>
      <c r="CES134" s="72"/>
      <c r="CET134" s="72"/>
      <c r="CEU134" s="72"/>
      <c r="CEV134" s="72"/>
      <c r="CEW134" s="72"/>
      <c r="CEX134" s="72"/>
      <c r="CEY134" s="72"/>
      <c r="CEZ134" s="72"/>
      <c r="CFA134" s="72"/>
      <c r="CFB134" s="72"/>
      <c r="CFC134" s="72"/>
      <c r="CFD134" s="72"/>
      <c r="CFE134" s="72"/>
      <c r="CFF134" s="72"/>
      <c r="CFG134" s="72"/>
      <c r="CFH134" s="72"/>
      <c r="CFI134" s="72"/>
      <c r="CFJ134" s="72"/>
      <c r="CFK134" s="72"/>
      <c r="CFL134" s="72"/>
      <c r="CFM134" s="72"/>
      <c r="CFN134" s="72"/>
      <c r="CFO134" s="72"/>
      <c r="CFP134" s="72"/>
      <c r="CFQ134" s="72"/>
      <c r="CFR134" s="72"/>
      <c r="CFS134" s="72"/>
      <c r="CFT134" s="72"/>
      <c r="CFU134" s="72"/>
      <c r="CFV134" s="72"/>
      <c r="CFW134" s="72"/>
      <c r="CFX134" s="72"/>
      <c r="CFY134" s="72"/>
      <c r="CFZ134" s="72"/>
      <c r="CGA134" s="72"/>
      <c r="CGB134" s="72"/>
      <c r="CGC134" s="72"/>
      <c r="CGD134" s="72"/>
      <c r="CGE134" s="72"/>
      <c r="CGF134" s="72"/>
      <c r="CGG134" s="72"/>
      <c r="CGH134" s="72"/>
      <c r="CGI134" s="72"/>
      <c r="CGJ134" s="72"/>
      <c r="CGK134" s="72"/>
      <c r="CGL134" s="72"/>
      <c r="CGM134" s="72"/>
      <c r="CGN134" s="72"/>
      <c r="CGO134" s="72"/>
      <c r="CGP134" s="72"/>
      <c r="CGQ134" s="72"/>
      <c r="CGR134" s="72"/>
      <c r="CGS134" s="72"/>
      <c r="CGT134" s="72"/>
      <c r="CGU134" s="72"/>
      <c r="CGV134" s="72"/>
      <c r="CGW134" s="72"/>
      <c r="CGX134" s="72"/>
      <c r="CGY134" s="72"/>
      <c r="CGZ134" s="72"/>
      <c r="CHA134" s="72"/>
      <c r="CHB134" s="72"/>
      <c r="CHC134" s="72"/>
      <c r="CHD134" s="72"/>
      <c r="CHE134" s="72"/>
      <c r="CHF134" s="72"/>
      <c r="CHG134" s="72"/>
      <c r="CHH134" s="72"/>
      <c r="CHI134" s="72"/>
      <c r="CHJ134" s="72"/>
      <c r="CHK134" s="72"/>
      <c r="CHL134" s="72"/>
      <c r="CHM134" s="72"/>
      <c r="CHN134" s="72"/>
      <c r="CHO134" s="72"/>
      <c r="CHP134" s="72"/>
      <c r="CHQ134" s="72"/>
      <c r="CHR134" s="72"/>
      <c r="CHS134" s="72"/>
      <c r="CHT134" s="72"/>
      <c r="CHU134" s="72"/>
      <c r="CHV134" s="72"/>
      <c r="CHW134" s="72"/>
      <c r="CHX134" s="72"/>
      <c r="CHY134" s="72"/>
      <c r="CHZ134" s="72"/>
      <c r="CIA134" s="72"/>
      <c r="CIB134" s="72"/>
      <c r="CIC134" s="72"/>
      <c r="CID134" s="72"/>
      <c r="CIE134" s="72"/>
      <c r="CIF134" s="72"/>
      <c r="CIG134" s="72"/>
      <c r="CIH134" s="72"/>
      <c r="CII134" s="72"/>
      <c r="CIJ134" s="72"/>
      <c r="CIK134" s="72"/>
      <c r="CIL134" s="72"/>
      <c r="CIM134" s="72"/>
      <c r="CIN134" s="72"/>
      <c r="CIO134" s="72"/>
      <c r="CIP134" s="72"/>
      <c r="CIQ134" s="72"/>
      <c r="CIR134" s="72"/>
      <c r="CIS134" s="72"/>
      <c r="CIT134" s="72"/>
      <c r="CIU134" s="72"/>
      <c r="CIV134" s="72"/>
      <c r="CIW134" s="72"/>
      <c r="CIX134" s="72"/>
      <c r="CIY134" s="72"/>
      <c r="CIZ134" s="72"/>
      <c r="CJA134" s="72"/>
      <c r="CJB134" s="72"/>
      <c r="CJC134" s="72"/>
      <c r="CJD134" s="72"/>
      <c r="CJE134" s="72"/>
      <c r="CJF134" s="72"/>
      <c r="CJG134" s="72"/>
      <c r="CJH134" s="72"/>
      <c r="CJI134" s="72"/>
      <c r="CJJ134" s="72"/>
      <c r="CJK134" s="72"/>
      <c r="CJL134" s="72"/>
      <c r="CJM134" s="72"/>
      <c r="CJN134" s="72"/>
      <c r="CJO134" s="72"/>
      <c r="CJP134" s="72"/>
      <c r="CJQ134" s="72"/>
      <c r="CJR134" s="72"/>
      <c r="CJS134" s="72"/>
      <c r="CJT134" s="72"/>
      <c r="CJU134" s="72"/>
      <c r="CJV134" s="72"/>
      <c r="CJW134" s="72"/>
      <c r="CJX134" s="72"/>
      <c r="CJY134" s="72"/>
      <c r="CJZ134" s="72"/>
      <c r="CKA134" s="72"/>
      <c r="CKB134" s="72"/>
      <c r="CKC134" s="72"/>
      <c r="CKD134" s="72"/>
      <c r="CKE134" s="72"/>
      <c r="CKF134" s="72"/>
      <c r="CKG134" s="72"/>
      <c r="CKH134" s="72"/>
      <c r="CKI134" s="72"/>
      <c r="CKJ134" s="72"/>
      <c r="CKK134" s="72"/>
      <c r="CKL134" s="72"/>
      <c r="CKM134" s="72"/>
      <c r="CKN134" s="72"/>
      <c r="CKO134" s="72"/>
      <c r="CKP134" s="72"/>
      <c r="CKQ134" s="72"/>
      <c r="CKR134" s="72"/>
      <c r="CKS134" s="72"/>
      <c r="CKT134" s="72"/>
      <c r="CKU134" s="72"/>
      <c r="CKV134" s="72"/>
      <c r="CKW134" s="72"/>
      <c r="CKX134" s="72"/>
      <c r="CKY134" s="72"/>
      <c r="CKZ134" s="72"/>
      <c r="CLA134" s="72"/>
      <c r="CLB134" s="72"/>
      <c r="CLC134" s="72"/>
      <c r="CLD134" s="72"/>
      <c r="CLE134" s="72"/>
      <c r="CLF134" s="72"/>
      <c r="CLG134" s="72"/>
      <c r="CLH134" s="72"/>
      <c r="CLI134" s="72"/>
      <c r="CLJ134" s="72"/>
      <c r="CLK134" s="72"/>
      <c r="CLL134" s="72"/>
      <c r="CLM134" s="72"/>
      <c r="CLN134" s="72"/>
      <c r="CLO134" s="72"/>
      <c r="CLP134" s="72"/>
      <c r="CLQ134" s="72"/>
      <c r="CLR134" s="72"/>
      <c r="CLS134" s="72"/>
      <c r="CLT134" s="72"/>
      <c r="CLU134" s="72"/>
      <c r="CLV134" s="72"/>
      <c r="CLW134" s="72"/>
      <c r="CLX134" s="72"/>
      <c r="CLY134" s="72"/>
      <c r="CLZ134" s="72"/>
      <c r="CMA134" s="72"/>
      <c r="CMB134" s="72"/>
      <c r="CMC134" s="72"/>
      <c r="CMD134" s="72"/>
      <c r="CME134" s="72"/>
      <c r="CMF134" s="72"/>
      <c r="CMG134" s="72"/>
      <c r="CMH134" s="72"/>
      <c r="CMI134" s="72"/>
      <c r="CMJ134" s="72"/>
      <c r="CMK134" s="72"/>
      <c r="CML134" s="72"/>
      <c r="CMM134" s="72"/>
      <c r="CMN134" s="72"/>
      <c r="CMO134" s="72"/>
      <c r="CMP134" s="72"/>
      <c r="CMQ134" s="72"/>
      <c r="CMR134" s="72"/>
      <c r="CMS134" s="72"/>
      <c r="CMT134" s="72"/>
      <c r="CMU134" s="72"/>
      <c r="CMV134" s="72"/>
      <c r="CMW134" s="72"/>
      <c r="CMX134" s="72"/>
      <c r="CMY134" s="72"/>
      <c r="CMZ134" s="72"/>
      <c r="CNA134" s="72"/>
      <c r="CNB134" s="72"/>
      <c r="CNC134" s="72"/>
      <c r="CND134" s="72"/>
      <c r="CNE134" s="72"/>
      <c r="CNF134" s="72"/>
      <c r="CNG134" s="72"/>
      <c r="CNH134" s="72"/>
      <c r="CNI134" s="72"/>
      <c r="CNJ134" s="72"/>
      <c r="CNK134" s="72"/>
      <c r="CNL134" s="72"/>
      <c r="CNM134" s="72"/>
      <c r="CNN134" s="72"/>
      <c r="CNO134" s="72"/>
      <c r="CNP134" s="72"/>
      <c r="CNQ134" s="72"/>
      <c r="CNR134" s="72"/>
      <c r="CNS134" s="72"/>
      <c r="CNT134" s="72"/>
      <c r="CNU134" s="72"/>
      <c r="CNV134" s="72"/>
      <c r="CNW134" s="72"/>
      <c r="CNX134" s="72"/>
      <c r="CNY134" s="72"/>
      <c r="CNZ134" s="72"/>
      <c r="COA134" s="72"/>
      <c r="COB134" s="72"/>
      <c r="COC134" s="72"/>
      <c r="COD134" s="72"/>
      <c r="COE134" s="72"/>
      <c r="COF134" s="72"/>
      <c r="COG134" s="72"/>
      <c r="COH134" s="72"/>
      <c r="COI134" s="72"/>
      <c r="COJ134" s="72"/>
      <c r="COK134" s="72"/>
      <c r="COL134" s="72"/>
      <c r="COM134" s="72"/>
      <c r="CON134" s="72"/>
      <c r="COO134" s="72"/>
      <c r="COP134" s="72"/>
      <c r="COQ134" s="72"/>
      <c r="COR134" s="72"/>
      <c r="COS134" s="72"/>
      <c r="COT134" s="72"/>
      <c r="COU134" s="72"/>
      <c r="COV134" s="72"/>
      <c r="COW134" s="72"/>
      <c r="COX134" s="72"/>
      <c r="COY134" s="72"/>
      <c r="COZ134" s="72"/>
      <c r="CPA134" s="72"/>
      <c r="CPB134" s="72"/>
      <c r="CPC134" s="72"/>
      <c r="CPD134" s="72"/>
      <c r="CPE134" s="72"/>
      <c r="CPF134" s="72"/>
      <c r="CPG134" s="72"/>
      <c r="CPH134" s="72"/>
      <c r="CPI134" s="72"/>
      <c r="CPJ134" s="72"/>
      <c r="CPK134" s="72"/>
      <c r="CPL134" s="72"/>
      <c r="CPM134" s="72"/>
      <c r="CPN134" s="72"/>
      <c r="CPO134" s="72"/>
      <c r="CPP134" s="72"/>
      <c r="CPQ134" s="72"/>
      <c r="CPR134" s="72"/>
      <c r="CPS134" s="72"/>
      <c r="CPT134" s="72"/>
      <c r="CPU134" s="72"/>
      <c r="CPV134" s="72"/>
      <c r="CPW134" s="72"/>
      <c r="CPX134" s="72"/>
      <c r="CPY134" s="72"/>
      <c r="CPZ134" s="72"/>
      <c r="CQA134" s="72"/>
      <c r="CQB134" s="72"/>
      <c r="CQC134" s="72"/>
      <c r="CQD134" s="72"/>
      <c r="CQE134" s="72"/>
      <c r="CQF134" s="72"/>
      <c r="CQG134" s="72"/>
      <c r="CQH134" s="72"/>
      <c r="CQI134" s="72"/>
      <c r="CQJ134" s="72"/>
      <c r="CQK134" s="72"/>
      <c r="CQL134" s="72"/>
      <c r="CQM134" s="72"/>
      <c r="CQN134" s="72"/>
      <c r="CQO134" s="72"/>
      <c r="CQP134" s="72"/>
      <c r="CQQ134" s="72"/>
      <c r="CQR134" s="72"/>
      <c r="CQS134" s="72"/>
      <c r="CQT134" s="72"/>
      <c r="CQU134" s="72"/>
      <c r="CQV134" s="72"/>
      <c r="CQW134" s="72"/>
      <c r="CQX134" s="72"/>
      <c r="CQY134" s="72"/>
      <c r="CQZ134" s="72"/>
      <c r="CRA134" s="72"/>
      <c r="CRB134" s="72"/>
      <c r="CRC134" s="72"/>
      <c r="CRD134" s="72"/>
      <c r="CRE134" s="72"/>
      <c r="CRF134" s="72"/>
      <c r="CRG134" s="72"/>
      <c r="CRH134" s="72"/>
      <c r="CRI134" s="72"/>
      <c r="CRJ134" s="72"/>
      <c r="CRK134" s="72"/>
      <c r="CRL134" s="72"/>
      <c r="CRM134" s="72"/>
      <c r="CRN134" s="72"/>
      <c r="CRO134" s="72"/>
      <c r="CRP134" s="72"/>
      <c r="CRQ134" s="72"/>
      <c r="CRR134" s="72"/>
      <c r="CRS134" s="72"/>
      <c r="CRT134" s="72"/>
      <c r="CRU134" s="72"/>
      <c r="CRV134" s="72"/>
      <c r="CRW134" s="72"/>
      <c r="CRX134" s="72"/>
      <c r="CRY134" s="72"/>
      <c r="CRZ134" s="72"/>
      <c r="CSA134" s="72"/>
      <c r="CSB134" s="72"/>
      <c r="CSC134" s="72"/>
      <c r="CSD134" s="72"/>
      <c r="CSE134" s="72"/>
      <c r="CSF134" s="72"/>
      <c r="CSG134" s="72"/>
      <c r="CSH134" s="72"/>
      <c r="CSI134" s="72"/>
      <c r="CSJ134" s="72"/>
      <c r="CSK134" s="72"/>
      <c r="CSL134" s="72"/>
      <c r="CSM134" s="72"/>
      <c r="CSN134" s="72"/>
      <c r="CSO134" s="72"/>
      <c r="CSP134" s="72"/>
      <c r="CSQ134" s="72"/>
      <c r="CSR134" s="72"/>
      <c r="CSS134" s="72"/>
      <c r="CST134" s="72"/>
      <c r="CSU134" s="72"/>
      <c r="CSV134" s="72"/>
      <c r="CSW134" s="72"/>
      <c r="CSX134" s="72"/>
      <c r="CSY134" s="72"/>
      <c r="CSZ134" s="72"/>
      <c r="CTA134" s="72"/>
      <c r="CTB134" s="72"/>
      <c r="CTC134" s="72"/>
      <c r="CTD134" s="72"/>
      <c r="CTE134" s="72"/>
      <c r="CTF134" s="72"/>
      <c r="CTG134" s="72"/>
      <c r="CTH134" s="72"/>
      <c r="CTI134" s="72"/>
      <c r="CTJ134" s="72"/>
      <c r="CTK134" s="72"/>
      <c r="CTL134" s="72"/>
      <c r="CTM134" s="72"/>
      <c r="CTN134" s="72"/>
      <c r="CTO134" s="72"/>
      <c r="CTP134" s="72"/>
      <c r="CTQ134" s="72"/>
      <c r="CTR134" s="72"/>
      <c r="CTS134" s="72"/>
      <c r="CTT134" s="72"/>
      <c r="CTU134" s="72"/>
      <c r="CTV134" s="72"/>
      <c r="CTW134" s="72"/>
      <c r="CTX134" s="72"/>
      <c r="CTY134" s="72"/>
      <c r="CTZ134" s="72"/>
      <c r="CUA134" s="72"/>
      <c r="CUB134" s="72"/>
      <c r="CUC134" s="72"/>
      <c r="CUD134" s="72"/>
      <c r="CUE134" s="72"/>
      <c r="CUF134" s="72"/>
      <c r="CUG134" s="72"/>
      <c r="CUH134" s="72"/>
      <c r="CUI134" s="72"/>
      <c r="CUJ134" s="72"/>
      <c r="CUK134" s="72"/>
      <c r="CUL134" s="72"/>
      <c r="CUM134" s="72"/>
      <c r="CUN134" s="72"/>
      <c r="CUO134" s="72"/>
      <c r="CUP134" s="72"/>
      <c r="CUQ134" s="72"/>
      <c r="CUR134" s="72"/>
      <c r="CUS134" s="72"/>
      <c r="CUT134" s="72"/>
      <c r="CUU134" s="72"/>
      <c r="CUV134" s="72"/>
      <c r="CUW134" s="72"/>
      <c r="CUX134" s="72"/>
      <c r="CUY134" s="72"/>
      <c r="CUZ134" s="72"/>
      <c r="CVA134" s="72"/>
      <c r="CVB134" s="72"/>
      <c r="CVC134" s="72"/>
      <c r="CVD134" s="72"/>
      <c r="CVE134" s="72"/>
      <c r="CVF134" s="72"/>
      <c r="CVG134" s="72"/>
      <c r="CVH134" s="72"/>
      <c r="CVI134" s="72"/>
      <c r="CVJ134" s="72"/>
      <c r="CVK134" s="72"/>
      <c r="CVL134" s="72"/>
      <c r="CVM134" s="72"/>
      <c r="CVN134" s="72"/>
      <c r="CVO134" s="72"/>
      <c r="CVP134" s="72"/>
      <c r="CVQ134" s="72"/>
      <c r="CVR134" s="72"/>
      <c r="CVS134" s="72"/>
      <c r="CVT134" s="72"/>
      <c r="CVU134" s="72"/>
      <c r="CVV134" s="72"/>
      <c r="CVW134" s="72"/>
      <c r="CVX134" s="72"/>
      <c r="CVY134" s="72"/>
      <c r="CVZ134" s="72"/>
      <c r="CWA134" s="72"/>
      <c r="CWB134" s="72"/>
      <c r="CWC134" s="72"/>
      <c r="CWD134" s="72"/>
      <c r="CWE134" s="72"/>
      <c r="CWF134" s="72"/>
      <c r="CWG134" s="72"/>
      <c r="CWH134" s="72"/>
      <c r="CWI134" s="72"/>
      <c r="CWJ134" s="72"/>
      <c r="CWK134" s="72"/>
      <c r="CWL134" s="72"/>
      <c r="CWM134" s="72"/>
      <c r="CWN134" s="72"/>
      <c r="CWO134" s="72"/>
      <c r="CWP134" s="72"/>
      <c r="CWQ134" s="72"/>
      <c r="CWR134" s="72"/>
      <c r="CWS134" s="72"/>
      <c r="CWT134" s="72"/>
      <c r="CWU134" s="72"/>
      <c r="CWV134" s="72"/>
      <c r="CWW134" s="72"/>
      <c r="CWX134" s="72"/>
      <c r="CWY134" s="72"/>
      <c r="CWZ134" s="72"/>
      <c r="CXA134" s="72"/>
      <c r="CXB134" s="72"/>
      <c r="CXC134" s="72"/>
      <c r="CXD134" s="72"/>
      <c r="CXE134" s="72"/>
      <c r="CXF134" s="72"/>
      <c r="CXG134" s="72"/>
      <c r="CXH134" s="72"/>
      <c r="CXI134" s="72"/>
      <c r="CXJ134" s="72"/>
      <c r="CXK134" s="72"/>
      <c r="CXL134" s="72"/>
      <c r="CXM134" s="72"/>
      <c r="CXN134" s="72"/>
      <c r="CXO134" s="72"/>
      <c r="CXP134" s="72"/>
      <c r="CXQ134" s="72"/>
      <c r="CXR134" s="72"/>
      <c r="CXS134" s="72"/>
      <c r="CXT134" s="72"/>
      <c r="CXU134" s="72"/>
      <c r="CXV134" s="72"/>
      <c r="CXW134" s="72"/>
      <c r="CXX134" s="72"/>
      <c r="CXY134" s="72"/>
      <c r="CXZ134" s="72"/>
      <c r="CYA134" s="72"/>
      <c r="CYB134" s="72"/>
      <c r="CYC134" s="72"/>
      <c r="CYD134" s="72"/>
      <c r="CYE134" s="72"/>
      <c r="CYF134" s="72"/>
      <c r="CYG134" s="72"/>
      <c r="CYH134" s="72"/>
      <c r="CYI134" s="72"/>
      <c r="CYJ134" s="72"/>
      <c r="CYK134" s="72"/>
      <c r="CYL134" s="72"/>
      <c r="CYM134" s="72"/>
      <c r="CYN134" s="72"/>
      <c r="CYO134" s="72"/>
      <c r="CYP134" s="72"/>
      <c r="CYQ134" s="72"/>
      <c r="CYR134" s="72"/>
      <c r="CYS134" s="72"/>
      <c r="CYT134" s="72"/>
      <c r="CYU134" s="72"/>
      <c r="CYV134" s="72"/>
      <c r="CYW134" s="72"/>
      <c r="CYX134" s="72"/>
      <c r="CYY134" s="72"/>
      <c r="CYZ134" s="72"/>
      <c r="CZA134" s="72"/>
      <c r="CZB134" s="72"/>
      <c r="CZC134" s="72"/>
      <c r="CZD134" s="72"/>
      <c r="CZE134" s="72"/>
      <c r="CZF134" s="72"/>
      <c r="CZG134" s="72"/>
      <c r="CZH134" s="72"/>
      <c r="CZI134" s="72"/>
      <c r="CZJ134" s="72"/>
      <c r="CZK134" s="72"/>
      <c r="CZL134" s="72"/>
      <c r="CZM134" s="72"/>
      <c r="CZN134" s="72"/>
      <c r="CZO134" s="72"/>
      <c r="CZP134" s="72"/>
      <c r="CZQ134" s="72"/>
      <c r="CZR134" s="72"/>
      <c r="CZS134" s="72"/>
      <c r="CZT134" s="72"/>
      <c r="CZU134" s="72"/>
      <c r="CZV134" s="72"/>
      <c r="CZW134" s="72"/>
      <c r="CZX134" s="72"/>
      <c r="CZY134" s="72"/>
      <c r="CZZ134" s="72"/>
      <c r="DAA134" s="72"/>
      <c r="DAB134" s="72"/>
      <c r="DAC134" s="72"/>
      <c r="DAD134" s="72"/>
      <c r="DAE134" s="72"/>
      <c r="DAF134" s="72"/>
      <c r="DAG134" s="72"/>
      <c r="DAH134" s="72"/>
      <c r="DAI134" s="72"/>
      <c r="DAJ134" s="72"/>
      <c r="DAK134" s="72"/>
      <c r="DAL134" s="72"/>
      <c r="DAM134" s="72"/>
      <c r="DAN134" s="72"/>
      <c r="DAO134" s="72"/>
      <c r="DAP134" s="72"/>
      <c r="DAQ134" s="72"/>
      <c r="DAR134" s="72"/>
      <c r="DAS134" s="72"/>
      <c r="DAT134" s="72"/>
      <c r="DAU134" s="72"/>
      <c r="DAV134" s="72"/>
      <c r="DAW134" s="72"/>
      <c r="DAX134" s="72"/>
      <c r="DAY134" s="72"/>
      <c r="DAZ134" s="72"/>
      <c r="DBA134" s="72"/>
      <c r="DBB134" s="72"/>
      <c r="DBC134" s="72"/>
      <c r="DBD134" s="72"/>
      <c r="DBE134" s="72"/>
      <c r="DBF134" s="72"/>
      <c r="DBG134" s="72"/>
      <c r="DBH134" s="72"/>
      <c r="DBI134" s="72"/>
      <c r="DBJ134" s="72"/>
      <c r="DBK134" s="72"/>
      <c r="DBL134" s="72"/>
      <c r="DBM134" s="72"/>
      <c r="DBN134" s="72"/>
      <c r="DBO134" s="72"/>
      <c r="DBP134" s="72"/>
      <c r="DBQ134" s="72"/>
      <c r="DBR134" s="72"/>
      <c r="DBS134" s="72"/>
      <c r="DBT134" s="72"/>
      <c r="DBU134" s="72"/>
      <c r="DBV134" s="72"/>
      <c r="DBW134" s="72"/>
      <c r="DBX134" s="72"/>
      <c r="DBY134" s="72"/>
      <c r="DBZ134" s="72"/>
      <c r="DCA134" s="72"/>
      <c r="DCB134" s="72"/>
      <c r="DCC134" s="72"/>
      <c r="DCD134" s="72"/>
      <c r="DCE134" s="72"/>
      <c r="DCF134" s="72"/>
      <c r="DCG134" s="72"/>
      <c r="DCH134" s="72"/>
      <c r="DCI134" s="72"/>
      <c r="DCJ134" s="72"/>
      <c r="DCK134" s="72"/>
      <c r="DCL134" s="72"/>
      <c r="DCM134" s="72"/>
      <c r="DCN134" s="72"/>
      <c r="DCO134" s="72"/>
      <c r="DCP134" s="72"/>
      <c r="DCQ134" s="72"/>
      <c r="DCR134" s="72"/>
      <c r="DCS134" s="72"/>
      <c r="DCT134" s="72"/>
      <c r="DCU134" s="72"/>
      <c r="DCV134" s="72"/>
      <c r="DCW134" s="72"/>
      <c r="DCX134" s="72"/>
      <c r="DCY134" s="72"/>
      <c r="DCZ134" s="72"/>
      <c r="DDA134" s="72"/>
      <c r="DDB134" s="72"/>
      <c r="DDC134" s="72"/>
      <c r="DDD134" s="72"/>
      <c r="DDE134" s="72"/>
      <c r="DDF134" s="72"/>
      <c r="DDG134" s="72"/>
      <c r="DDH134" s="72"/>
      <c r="DDI134" s="72"/>
      <c r="DDJ134" s="72"/>
      <c r="DDK134" s="72"/>
      <c r="DDL134" s="72"/>
      <c r="DDM134" s="72"/>
      <c r="DDN134" s="72"/>
      <c r="DDO134" s="72"/>
      <c r="DDP134" s="72"/>
      <c r="DDQ134" s="72"/>
      <c r="DDR134" s="72"/>
      <c r="DDS134" s="72"/>
      <c r="DDT134" s="72"/>
      <c r="DDU134" s="72"/>
      <c r="DDV134" s="72"/>
      <c r="DDW134" s="72"/>
      <c r="DDX134" s="72"/>
      <c r="DDY134" s="72"/>
      <c r="DDZ134" s="72"/>
      <c r="DEA134" s="72"/>
      <c r="DEB134" s="72"/>
      <c r="DEC134" s="72"/>
      <c r="DED134" s="72"/>
      <c r="DEE134" s="72"/>
      <c r="DEF134" s="72"/>
      <c r="DEG134" s="72"/>
      <c r="DEH134" s="72"/>
      <c r="DEI134" s="72"/>
      <c r="DEJ134" s="72"/>
      <c r="DEK134" s="72"/>
      <c r="DEL134" s="72"/>
      <c r="DEM134" s="72"/>
      <c r="DEN134" s="72"/>
      <c r="DEO134" s="72"/>
      <c r="DEP134" s="72"/>
      <c r="DEQ134" s="72"/>
      <c r="DER134" s="72"/>
      <c r="DES134" s="72"/>
      <c r="DET134" s="72"/>
      <c r="DEU134" s="72"/>
      <c r="DEV134" s="72"/>
      <c r="DEW134" s="72"/>
      <c r="DEX134" s="72"/>
      <c r="DEY134" s="72"/>
      <c r="DEZ134" s="72"/>
      <c r="DFA134" s="72"/>
      <c r="DFB134" s="72"/>
      <c r="DFC134" s="72"/>
      <c r="DFD134" s="72"/>
      <c r="DFE134" s="72"/>
      <c r="DFF134" s="72"/>
      <c r="DFG134" s="72"/>
      <c r="DFH134" s="72"/>
      <c r="DFI134" s="72"/>
      <c r="DFJ134" s="72"/>
      <c r="DFK134" s="72"/>
      <c r="DFL134" s="72"/>
      <c r="DFM134" s="72"/>
      <c r="DFN134" s="72"/>
      <c r="DFO134" s="72"/>
      <c r="DFP134" s="72"/>
      <c r="DFQ134" s="72"/>
      <c r="DFR134" s="72"/>
      <c r="DFS134" s="72"/>
      <c r="DFT134" s="72"/>
      <c r="DFU134" s="72"/>
      <c r="DFV134" s="72"/>
      <c r="DFW134" s="72"/>
      <c r="DFX134" s="72"/>
      <c r="DFY134" s="72"/>
      <c r="DFZ134" s="72"/>
      <c r="DGA134" s="72"/>
      <c r="DGB134" s="72"/>
      <c r="DGC134" s="72"/>
      <c r="DGD134" s="72"/>
      <c r="DGE134" s="72"/>
      <c r="DGF134" s="72"/>
      <c r="DGG134" s="72"/>
      <c r="DGH134" s="72"/>
      <c r="DGI134" s="72"/>
      <c r="DGJ134" s="72"/>
      <c r="DGK134" s="72"/>
      <c r="DGL134" s="72"/>
      <c r="DGM134" s="72"/>
      <c r="DGN134" s="72"/>
      <c r="DGO134" s="72"/>
      <c r="DGP134" s="72"/>
      <c r="DGQ134" s="72"/>
      <c r="DGR134" s="72"/>
      <c r="DGS134" s="72"/>
      <c r="DGT134" s="72"/>
      <c r="DGU134" s="72"/>
      <c r="DGV134" s="72"/>
      <c r="DGW134" s="72"/>
      <c r="DGX134" s="72"/>
      <c r="DGY134" s="72"/>
      <c r="DGZ134" s="72"/>
      <c r="DHA134" s="72"/>
      <c r="DHB134" s="72"/>
      <c r="DHC134" s="72"/>
      <c r="DHD134" s="72"/>
      <c r="DHE134" s="72"/>
      <c r="DHF134" s="72"/>
      <c r="DHG134" s="72"/>
      <c r="DHH134" s="72"/>
      <c r="DHI134" s="72"/>
      <c r="DHJ134" s="72"/>
      <c r="DHK134" s="72"/>
      <c r="DHL134" s="72"/>
      <c r="DHM134" s="72"/>
      <c r="DHN134" s="72"/>
      <c r="DHO134" s="72"/>
      <c r="DHP134" s="72"/>
      <c r="DHQ134" s="72"/>
      <c r="DHR134" s="72"/>
      <c r="DHS134" s="72"/>
      <c r="DHT134" s="72"/>
      <c r="DHU134" s="72"/>
      <c r="DHV134" s="72"/>
      <c r="DHW134" s="72"/>
      <c r="DHX134" s="72"/>
      <c r="DHY134" s="72"/>
      <c r="DHZ134" s="72"/>
      <c r="DIA134" s="72"/>
      <c r="DIB134" s="72"/>
      <c r="DIC134" s="72"/>
      <c r="DID134" s="72"/>
      <c r="DIE134" s="72"/>
      <c r="DIF134" s="72"/>
      <c r="DIG134" s="72"/>
      <c r="DIH134" s="72"/>
      <c r="DII134" s="72"/>
      <c r="DIJ134" s="72"/>
      <c r="DIK134" s="72"/>
      <c r="DIL134" s="72"/>
      <c r="DIM134" s="72"/>
      <c r="DIN134" s="72"/>
      <c r="DIO134" s="72"/>
      <c r="DIP134" s="72"/>
      <c r="DIQ134" s="72"/>
      <c r="DIR134" s="72"/>
      <c r="DIS134" s="72"/>
      <c r="DIT134" s="72"/>
      <c r="DIU134" s="72"/>
      <c r="DIV134" s="72"/>
      <c r="DIW134" s="72"/>
      <c r="DIX134" s="72"/>
      <c r="DIY134" s="72"/>
      <c r="DIZ134" s="72"/>
      <c r="DJA134" s="72"/>
      <c r="DJB134" s="72"/>
      <c r="DJC134" s="72"/>
      <c r="DJD134" s="72"/>
      <c r="DJE134" s="72"/>
      <c r="DJF134" s="72"/>
      <c r="DJG134" s="72"/>
      <c r="DJH134" s="72"/>
      <c r="DJI134" s="72"/>
      <c r="DJJ134" s="72"/>
      <c r="DJK134" s="72"/>
      <c r="DJL134" s="72"/>
      <c r="DJM134" s="72"/>
      <c r="DJN134" s="72"/>
      <c r="DJO134" s="72"/>
      <c r="DJP134" s="72"/>
      <c r="DJQ134" s="72"/>
      <c r="DJR134" s="72"/>
      <c r="DJS134" s="72"/>
      <c r="DJT134" s="72"/>
      <c r="DJU134" s="72"/>
      <c r="DJV134" s="72"/>
      <c r="DJW134" s="72"/>
      <c r="DJX134" s="72"/>
      <c r="DJY134" s="72"/>
      <c r="DJZ134" s="72"/>
      <c r="DKA134" s="72"/>
      <c r="DKB134" s="72"/>
      <c r="DKC134" s="72"/>
      <c r="DKD134" s="72"/>
      <c r="DKE134" s="72"/>
      <c r="DKF134" s="72"/>
      <c r="DKG134" s="72"/>
      <c r="DKH134" s="72"/>
      <c r="DKI134" s="72"/>
      <c r="DKJ134" s="72"/>
      <c r="DKK134" s="72"/>
      <c r="DKL134" s="72"/>
      <c r="DKM134" s="72"/>
      <c r="DKN134" s="72"/>
      <c r="DKO134" s="72"/>
      <c r="DKP134" s="72"/>
      <c r="DKQ134" s="72"/>
      <c r="DKR134" s="72"/>
      <c r="DKS134" s="72"/>
      <c r="DKT134" s="72"/>
      <c r="DKU134" s="72"/>
      <c r="DKV134" s="72"/>
      <c r="DKW134" s="72"/>
      <c r="DKX134" s="72"/>
      <c r="DKY134" s="72"/>
      <c r="DKZ134" s="72"/>
      <c r="DLA134" s="72"/>
      <c r="DLB134" s="72"/>
      <c r="DLC134" s="72"/>
      <c r="DLD134" s="72"/>
      <c r="DLE134" s="72"/>
      <c r="DLF134" s="72"/>
      <c r="DLG134" s="72"/>
      <c r="DLH134" s="72"/>
      <c r="DLI134" s="72"/>
      <c r="DLJ134" s="72"/>
      <c r="DLK134" s="72"/>
      <c r="DLL134" s="72"/>
      <c r="DLM134" s="72"/>
      <c r="DLN134" s="72"/>
      <c r="DLO134" s="72"/>
      <c r="DLP134" s="72"/>
      <c r="DLQ134" s="72"/>
      <c r="DLR134" s="72"/>
      <c r="DLS134" s="72"/>
      <c r="DLT134" s="72"/>
      <c r="DLU134" s="72"/>
      <c r="DLV134" s="72"/>
      <c r="DLW134" s="72"/>
      <c r="DLX134" s="72"/>
      <c r="DLY134" s="72"/>
      <c r="DLZ134" s="72"/>
      <c r="DMA134" s="72"/>
      <c r="DMB134" s="72"/>
      <c r="DMC134" s="72"/>
      <c r="DMD134" s="72"/>
      <c r="DME134" s="72"/>
      <c r="DMF134" s="72"/>
      <c r="DMG134" s="72"/>
      <c r="DMH134" s="72"/>
      <c r="DMI134" s="72"/>
      <c r="DMJ134" s="72"/>
      <c r="DMK134" s="72"/>
      <c r="DML134" s="72"/>
      <c r="DMM134" s="72"/>
      <c r="DMN134" s="72"/>
      <c r="DMO134" s="72"/>
      <c r="DMP134" s="72"/>
      <c r="DMQ134" s="72"/>
      <c r="DMR134" s="72"/>
      <c r="DMS134" s="72"/>
      <c r="DMT134" s="72"/>
      <c r="DMU134" s="72"/>
      <c r="DMV134" s="72"/>
      <c r="DMW134" s="72"/>
      <c r="DMX134" s="72"/>
      <c r="DMY134" s="72"/>
      <c r="DMZ134" s="72"/>
      <c r="DNA134" s="72"/>
      <c r="DNB134" s="72"/>
      <c r="DNC134" s="72"/>
      <c r="DND134" s="72"/>
      <c r="DNE134" s="72"/>
      <c r="DNF134" s="72"/>
      <c r="DNG134" s="72"/>
      <c r="DNH134" s="72"/>
      <c r="DNI134" s="72"/>
      <c r="DNJ134" s="72"/>
      <c r="DNK134" s="72"/>
      <c r="DNL134" s="72"/>
      <c r="DNM134" s="72"/>
      <c r="DNN134" s="72"/>
      <c r="DNO134" s="72"/>
      <c r="DNP134" s="72"/>
      <c r="DNQ134" s="72"/>
      <c r="DNR134" s="72"/>
      <c r="DNS134" s="72"/>
      <c r="DNT134" s="72"/>
      <c r="DNU134" s="72"/>
      <c r="DNV134" s="72"/>
      <c r="DNW134" s="72"/>
      <c r="DNX134" s="72"/>
      <c r="DNY134" s="72"/>
      <c r="DNZ134" s="72"/>
      <c r="DOA134" s="72"/>
      <c r="DOB134" s="72"/>
      <c r="DOC134" s="72"/>
      <c r="DOD134" s="72"/>
      <c r="DOE134" s="72"/>
      <c r="DOF134" s="72"/>
      <c r="DOG134" s="72"/>
      <c r="DOH134" s="72"/>
      <c r="DOI134" s="72"/>
      <c r="DOJ134" s="72"/>
      <c r="DOK134" s="72"/>
      <c r="DOL134" s="72"/>
      <c r="DOM134" s="72"/>
      <c r="DON134" s="72"/>
      <c r="DOO134" s="72"/>
      <c r="DOP134" s="72"/>
      <c r="DOQ134" s="72"/>
      <c r="DOR134" s="72"/>
      <c r="DOS134" s="72"/>
      <c r="DOT134" s="72"/>
      <c r="DOU134" s="72"/>
      <c r="DOV134" s="72"/>
      <c r="DOW134" s="72"/>
      <c r="DOX134" s="72"/>
      <c r="DOY134" s="72"/>
      <c r="DOZ134" s="72"/>
      <c r="DPA134" s="72"/>
      <c r="DPB134" s="72"/>
      <c r="DPC134" s="72"/>
      <c r="DPD134" s="72"/>
      <c r="DPE134" s="72"/>
      <c r="DPF134" s="72"/>
      <c r="DPG134" s="72"/>
      <c r="DPH134" s="72"/>
      <c r="DPI134" s="72"/>
      <c r="DPJ134" s="72"/>
      <c r="DPK134" s="72"/>
      <c r="DPL134" s="72"/>
      <c r="DPM134" s="72"/>
      <c r="DPN134" s="72"/>
      <c r="DPO134" s="72"/>
      <c r="DPP134" s="72"/>
      <c r="DPQ134" s="72"/>
      <c r="DPR134" s="72"/>
      <c r="DPS134" s="72"/>
      <c r="DPT134" s="72"/>
      <c r="DPU134" s="72"/>
      <c r="DPV134" s="72"/>
      <c r="DPW134" s="72"/>
      <c r="DPX134" s="72"/>
      <c r="DPY134" s="72"/>
      <c r="DPZ134" s="72"/>
      <c r="DQA134" s="72"/>
      <c r="DQB134" s="72"/>
      <c r="DQC134" s="72"/>
      <c r="DQD134" s="72"/>
      <c r="DQE134" s="72"/>
      <c r="DQF134" s="72"/>
      <c r="DQG134" s="72"/>
      <c r="DQH134" s="72"/>
      <c r="DQI134" s="72"/>
      <c r="DQJ134" s="72"/>
      <c r="DQK134" s="72"/>
      <c r="DQL134" s="72"/>
      <c r="DQM134" s="72"/>
      <c r="DQN134" s="72"/>
      <c r="DQO134" s="72"/>
      <c r="DQP134" s="72"/>
      <c r="DQQ134" s="72"/>
      <c r="DQR134" s="72"/>
      <c r="DQS134" s="72"/>
      <c r="DQT134" s="72"/>
      <c r="DQU134" s="72"/>
      <c r="DQV134" s="72"/>
      <c r="DQW134" s="72"/>
      <c r="DQX134" s="72"/>
      <c r="DQY134" s="72"/>
      <c r="DQZ134" s="72"/>
      <c r="DRA134" s="72"/>
      <c r="DRB134" s="72"/>
      <c r="DRC134" s="72"/>
      <c r="DRD134" s="72"/>
      <c r="DRE134" s="72"/>
      <c r="DRF134" s="72"/>
      <c r="DRG134" s="72"/>
      <c r="DRH134" s="72"/>
      <c r="DRI134" s="72"/>
      <c r="DRJ134" s="72"/>
      <c r="DRK134" s="72"/>
      <c r="DRL134" s="72"/>
      <c r="DRM134" s="72"/>
      <c r="DRN134" s="72"/>
      <c r="DRO134" s="72"/>
      <c r="DRP134" s="72"/>
      <c r="DRQ134" s="72"/>
      <c r="DRR134" s="72"/>
      <c r="DRS134" s="72"/>
      <c r="DRT134" s="72"/>
      <c r="DRU134" s="72"/>
      <c r="DRV134" s="72"/>
      <c r="DRW134" s="72"/>
      <c r="DRX134" s="72"/>
      <c r="DRY134" s="72"/>
      <c r="DRZ134" s="72"/>
      <c r="DSA134" s="72"/>
      <c r="DSB134" s="72"/>
      <c r="DSC134" s="72"/>
      <c r="DSD134" s="72"/>
      <c r="DSE134" s="72"/>
      <c r="DSF134" s="72"/>
      <c r="DSG134" s="72"/>
      <c r="DSH134" s="72"/>
      <c r="DSI134" s="72"/>
      <c r="DSJ134" s="72"/>
      <c r="DSK134" s="72"/>
      <c r="DSL134" s="72"/>
      <c r="DSM134" s="72"/>
      <c r="DSN134" s="72"/>
      <c r="DSO134" s="72"/>
      <c r="DSP134" s="72"/>
      <c r="DSQ134" s="72"/>
      <c r="DSR134" s="72"/>
      <c r="DSS134" s="72"/>
      <c r="DST134" s="72"/>
      <c r="DSU134" s="72"/>
      <c r="DSV134" s="72"/>
      <c r="DSW134" s="72"/>
      <c r="DSX134" s="72"/>
      <c r="DSY134" s="72"/>
      <c r="DSZ134" s="72"/>
      <c r="DTA134" s="72"/>
      <c r="DTB134" s="72"/>
      <c r="DTC134" s="72"/>
      <c r="DTD134" s="72"/>
      <c r="DTE134" s="72"/>
      <c r="DTF134" s="72"/>
      <c r="DTG134" s="72"/>
      <c r="DTH134" s="72"/>
      <c r="DTI134" s="72"/>
      <c r="DTJ134" s="72"/>
      <c r="DTK134" s="72"/>
      <c r="DTL134" s="72"/>
      <c r="DTM134" s="72"/>
      <c r="DTN134" s="72"/>
      <c r="DTO134" s="72"/>
      <c r="DTP134" s="72"/>
      <c r="DTQ134" s="72"/>
      <c r="DTR134" s="72"/>
      <c r="DTS134" s="72"/>
      <c r="DTT134" s="72"/>
      <c r="DTU134" s="72"/>
      <c r="DTV134" s="72"/>
      <c r="DTW134" s="72"/>
      <c r="DTX134" s="72"/>
      <c r="DTY134" s="72"/>
      <c r="DTZ134" s="72"/>
      <c r="DUA134" s="72"/>
      <c r="DUB134" s="72"/>
      <c r="DUC134" s="72"/>
      <c r="DUD134" s="72"/>
      <c r="DUE134" s="72"/>
      <c r="DUF134" s="72"/>
      <c r="DUG134" s="72"/>
      <c r="DUH134" s="72"/>
      <c r="DUI134" s="72"/>
      <c r="DUJ134" s="72"/>
      <c r="DUK134" s="72"/>
      <c r="DUL134" s="72"/>
      <c r="DUM134" s="72"/>
      <c r="DUN134" s="72"/>
      <c r="DUO134" s="72"/>
      <c r="DUP134" s="72"/>
      <c r="DUQ134" s="72"/>
      <c r="DUR134" s="72"/>
      <c r="DUS134" s="72"/>
      <c r="DUT134" s="72"/>
      <c r="DUU134" s="72"/>
      <c r="DUV134" s="72"/>
      <c r="DUW134" s="72"/>
      <c r="DUX134" s="72"/>
      <c r="DUY134" s="72"/>
      <c r="DUZ134" s="72"/>
      <c r="DVA134" s="72"/>
      <c r="DVB134" s="72"/>
      <c r="DVC134" s="72"/>
      <c r="DVD134" s="72"/>
      <c r="DVE134" s="72"/>
      <c r="DVF134" s="72"/>
      <c r="DVG134" s="72"/>
      <c r="DVH134" s="72"/>
      <c r="DVI134" s="72"/>
      <c r="DVJ134" s="72"/>
      <c r="DVK134" s="72"/>
      <c r="DVL134" s="72"/>
      <c r="DVM134" s="72"/>
      <c r="DVN134" s="72"/>
      <c r="DVO134" s="72"/>
      <c r="DVP134" s="72"/>
      <c r="DVQ134" s="72"/>
      <c r="DVR134" s="72"/>
      <c r="DVS134" s="72"/>
      <c r="DVT134" s="72"/>
      <c r="DVU134" s="72"/>
      <c r="DVV134" s="72"/>
      <c r="DVW134" s="72"/>
      <c r="DVX134" s="72"/>
      <c r="DVY134" s="72"/>
      <c r="DVZ134" s="72"/>
      <c r="DWA134" s="72"/>
      <c r="DWB134" s="72"/>
      <c r="DWC134" s="72"/>
      <c r="DWD134" s="72"/>
      <c r="DWE134" s="72"/>
      <c r="DWF134" s="72"/>
      <c r="DWG134" s="72"/>
      <c r="DWH134" s="72"/>
      <c r="DWI134" s="72"/>
      <c r="DWJ134" s="72"/>
      <c r="DWK134" s="72"/>
      <c r="DWL134" s="72"/>
      <c r="DWM134" s="72"/>
      <c r="DWN134" s="72"/>
      <c r="DWO134" s="72"/>
      <c r="DWP134" s="72"/>
      <c r="DWQ134" s="72"/>
      <c r="DWR134" s="72"/>
      <c r="DWS134" s="72"/>
      <c r="DWT134" s="72"/>
      <c r="DWU134" s="72"/>
      <c r="DWV134" s="72"/>
      <c r="DWW134" s="72"/>
      <c r="DWX134" s="72"/>
      <c r="DWY134" s="72"/>
      <c r="DWZ134" s="72"/>
      <c r="DXA134" s="72"/>
      <c r="DXB134" s="72"/>
      <c r="DXC134" s="72"/>
      <c r="DXD134" s="72"/>
      <c r="DXE134" s="72"/>
      <c r="DXF134" s="72"/>
      <c r="DXG134" s="72"/>
      <c r="DXH134" s="72"/>
      <c r="DXI134" s="72"/>
      <c r="DXJ134" s="72"/>
      <c r="DXK134" s="72"/>
      <c r="DXL134" s="72"/>
      <c r="DXM134" s="72"/>
      <c r="DXN134" s="72"/>
      <c r="DXO134" s="72"/>
      <c r="DXP134" s="72"/>
      <c r="DXQ134" s="72"/>
      <c r="DXR134" s="72"/>
      <c r="DXS134" s="72"/>
      <c r="DXT134" s="72"/>
      <c r="DXU134" s="72"/>
      <c r="DXV134" s="72"/>
      <c r="DXW134" s="72"/>
      <c r="DXX134" s="72"/>
      <c r="DXY134" s="72"/>
      <c r="DXZ134" s="72"/>
      <c r="DYA134" s="72"/>
      <c r="DYB134" s="72"/>
      <c r="DYC134" s="72"/>
      <c r="DYD134" s="72"/>
      <c r="DYE134" s="72"/>
      <c r="DYF134" s="72"/>
      <c r="DYG134" s="72"/>
      <c r="DYH134" s="72"/>
      <c r="DYI134" s="72"/>
      <c r="DYJ134" s="72"/>
      <c r="DYK134" s="72"/>
      <c r="DYL134" s="72"/>
      <c r="DYM134" s="72"/>
      <c r="DYN134" s="72"/>
      <c r="DYO134" s="72"/>
      <c r="DYP134" s="72"/>
      <c r="DYQ134" s="72"/>
      <c r="DYR134" s="72"/>
      <c r="DYS134" s="72"/>
      <c r="DYT134" s="72"/>
      <c r="DYU134" s="72"/>
      <c r="DYV134" s="72"/>
      <c r="DYW134" s="72"/>
      <c r="DYX134" s="72"/>
      <c r="DYY134" s="72"/>
      <c r="DYZ134" s="72"/>
      <c r="DZA134" s="72"/>
      <c r="DZB134" s="72"/>
      <c r="DZC134" s="72"/>
      <c r="DZD134" s="72"/>
      <c r="DZE134" s="72"/>
      <c r="DZF134" s="72"/>
      <c r="DZG134" s="72"/>
      <c r="DZH134" s="72"/>
      <c r="DZI134" s="72"/>
      <c r="DZJ134" s="72"/>
      <c r="DZK134" s="72"/>
      <c r="DZL134" s="72"/>
      <c r="DZM134" s="72"/>
      <c r="DZN134" s="72"/>
      <c r="DZO134" s="72"/>
      <c r="DZP134" s="72"/>
      <c r="DZQ134" s="72"/>
      <c r="DZR134" s="72"/>
      <c r="DZS134" s="72"/>
      <c r="DZT134" s="72"/>
      <c r="DZU134" s="72"/>
      <c r="DZV134" s="72"/>
      <c r="DZW134" s="72"/>
      <c r="DZX134" s="72"/>
      <c r="DZY134" s="72"/>
      <c r="DZZ134" s="72"/>
      <c r="EAA134" s="72"/>
      <c r="EAB134" s="72"/>
      <c r="EAC134" s="72"/>
      <c r="EAD134" s="72"/>
      <c r="EAE134" s="72"/>
      <c r="EAF134" s="72"/>
      <c r="EAG134" s="72"/>
      <c r="EAH134" s="72"/>
      <c r="EAI134" s="72"/>
      <c r="EAJ134" s="72"/>
      <c r="EAK134" s="72"/>
      <c r="EAL134" s="72"/>
      <c r="EAM134" s="72"/>
      <c r="EAN134" s="72"/>
      <c r="EAO134" s="72"/>
      <c r="EAP134" s="72"/>
      <c r="EAQ134" s="72"/>
      <c r="EAR134" s="72"/>
      <c r="EAS134" s="72"/>
      <c r="EAT134" s="72"/>
      <c r="EAU134" s="72"/>
      <c r="EAV134" s="72"/>
      <c r="EAW134" s="72"/>
      <c r="EAX134" s="72"/>
      <c r="EAY134" s="72"/>
      <c r="EAZ134" s="72"/>
      <c r="EBA134" s="72"/>
      <c r="EBB134" s="72"/>
      <c r="EBC134" s="72"/>
      <c r="EBD134" s="72"/>
      <c r="EBE134" s="72"/>
      <c r="EBF134" s="72"/>
      <c r="EBG134" s="72"/>
      <c r="EBH134" s="72"/>
      <c r="EBI134" s="72"/>
      <c r="EBJ134" s="72"/>
      <c r="EBK134" s="72"/>
      <c r="EBL134" s="72"/>
      <c r="EBM134" s="72"/>
      <c r="EBN134" s="72"/>
      <c r="EBO134" s="72"/>
      <c r="EBP134" s="72"/>
      <c r="EBQ134" s="72"/>
      <c r="EBR134" s="72"/>
      <c r="EBS134" s="72"/>
      <c r="EBT134" s="72"/>
      <c r="EBU134" s="72"/>
      <c r="EBV134" s="72"/>
      <c r="EBW134" s="72"/>
      <c r="EBX134" s="72"/>
      <c r="EBY134" s="72"/>
      <c r="EBZ134" s="72"/>
      <c r="ECA134" s="72"/>
      <c r="ECB134" s="72"/>
      <c r="ECC134" s="72"/>
      <c r="ECD134" s="72"/>
      <c r="ECE134" s="72"/>
      <c r="ECF134" s="72"/>
      <c r="ECG134" s="72"/>
      <c r="ECH134" s="72"/>
      <c r="ECI134" s="72"/>
      <c r="ECJ134" s="72"/>
      <c r="ECK134" s="72"/>
      <c r="ECL134" s="72"/>
      <c r="ECM134" s="72"/>
      <c r="ECN134" s="72"/>
      <c r="ECO134" s="72"/>
      <c r="ECP134" s="72"/>
      <c r="ECQ134" s="72"/>
      <c r="ECR134" s="72"/>
      <c r="ECS134" s="72"/>
      <c r="ECT134" s="72"/>
      <c r="ECU134" s="72"/>
      <c r="ECV134" s="72"/>
      <c r="ECW134" s="72"/>
      <c r="ECX134" s="72"/>
      <c r="ECY134" s="72"/>
      <c r="ECZ134" s="72"/>
      <c r="EDA134" s="72"/>
      <c r="EDB134" s="72"/>
      <c r="EDC134" s="72"/>
      <c r="EDD134" s="72"/>
      <c r="EDE134" s="72"/>
      <c r="EDF134" s="72"/>
      <c r="EDG134" s="72"/>
      <c r="EDH134" s="72"/>
      <c r="EDI134" s="72"/>
      <c r="EDJ134" s="72"/>
      <c r="EDK134" s="72"/>
      <c r="EDL134" s="72"/>
      <c r="EDM134" s="72"/>
      <c r="EDN134" s="72"/>
      <c r="EDO134" s="72"/>
      <c r="EDP134" s="72"/>
      <c r="EDQ134" s="72"/>
      <c r="EDR134" s="72"/>
      <c r="EDS134" s="72"/>
      <c r="EDT134" s="72"/>
      <c r="EDU134" s="72"/>
      <c r="EDV134" s="72"/>
      <c r="EDW134" s="72"/>
      <c r="EDX134" s="72"/>
      <c r="EDY134" s="72"/>
      <c r="EDZ134" s="72"/>
      <c r="EEA134" s="72"/>
      <c r="EEB134" s="72"/>
      <c r="EEC134" s="72"/>
      <c r="EED134" s="72"/>
      <c r="EEE134" s="72"/>
      <c r="EEF134" s="72"/>
      <c r="EEG134" s="72"/>
      <c r="EEH134" s="72"/>
      <c r="EEI134" s="72"/>
      <c r="EEJ134" s="72"/>
      <c r="EEK134" s="72"/>
      <c r="EEL134" s="72"/>
      <c r="EEM134" s="72"/>
      <c r="EEN134" s="72"/>
      <c r="EEO134" s="72"/>
      <c r="EEP134" s="72"/>
      <c r="EEQ134" s="72"/>
      <c r="EER134" s="72"/>
      <c r="EES134" s="72"/>
      <c r="EET134" s="72"/>
      <c r="EEU134" s="72"/>
      <c r="EEV134" s="72"/>
      <c r="EEW134" s="72"/>
      <c r="EEX134" s="72"/>
      <c r="EEY134" s="72"/>
      <c r="EEZ134" s="72"/>
      <c r="EFA134" s="72"/>
      <c r="EFB134" s="72"/>
      <c r="EFC134" s="72"/>
      <c r="EFD134" s="72"/>
      <c r="EFE134" s="72"/>
      <c r="EFF134" s="72"/>
      <c r="EFG134" s="72"/>
      <c r="EFH134" s="72"/>
      <c r="EFI134" s="72"/>
      <c r="EFJ134" s="72"/>
      <c r="EFK134" s="72"/>
      <c r="EFL134" s="72"/>
      <c r="EFM134" s="72"/>
      <c r="EFN134" s="72"/>
      <c r="EFO134" s="72"/>
      <c r="EFP134" s="72"/>
      <c r="EFQ134" s="72"/>
      <c r="EFR134" s="72"/>
      <c r="EFS134" s="72"/>
      <c r="EFT134" s="72"/>
      <c r="EFU134" s="72"/>
      <c r="EFV134" s="72"/>
      <c r="EFW134" s="72"/>
      <c r="EFX134" s="72"/>
      <c r="EFY134" s="72"/>
      <c r="EFZ134" s="72"/>
      <c r="EGA134" s="72"/>
      <c r="EGB134" s="72"/>
      <c r="EGC134" s="72"/>
      <c r="EGD134" s="72"/>
      <c r="EGE134" s="72"/>
      <c r="EGF134" s="72"/>
      <c r="EGG134" s="72"/>
      <c r="EGH134" s="72"/>
      <c r="EGI134" s="72"/>
      <c r="EGJ134" s="72"/>
      <c r="EGK134" s="72"/>
      <c r="EGL134" s="72"/>
      <c r="EGM134" s="72"/>
      <c r="EGN134" s="72"/>
      <c r="EGO134" s="72"/>
      <c r="EGP134" s="72"/>
      <c r="EGQ134" s="72"/>
      <c r="EGR134" s="72"/>
      <c r="EGS134" s="72"/>
      <c r="EGT134" s="72"/>
      <c r="EGU134" s="72"/>
      <c r="EGV134" s="72"/>
      <c r="EGW134" s="72"/>
      <c r="EGX134" s="72"/>
      <c r="EGY134" s="72"/>
      <c r="EGZ134" s="72"/>
      <c r="EHA134" s="72"/>
      <c r="EHB134" s="72"/>
      <c r="EHC134" s="72"/>
      <c r="EHD134" s="72"/>
      <c r="EHE134" s="72"/>
      <c r="EHF134" s="72"/>
      <c r="EHG134" s="72"/>
      <c r="EHH134" s="72"/>
      <c r="EHI134" s="72"/>
      <c r="EHJ134" s="72"/>
      <c r="EHK134" s="72"/>
      <c r="EHL134" s="72"/>
      <c r="EHM134" s="72"/>
      <c r="EHN134" s="72"/>
      <c r="EHO134" s="72"/>
      <c r="EHP134" s="72"/>
      <c r="EHQ134" s="72"/>
      <c r="EHR134" s="72"/>
      <c r="EHS134" s="72"/>
      <c r="EHT134" s="72"/>
      <c r="EHU134" s="72"/>
      <c r="EHV134" s="72"/>
      <c r="EHW134" s="72"/>
      <c r="EHX134" s="72"/>
      <c r="EHY134" s="72"/>
      <c r="EHZ134" s="72"/>
      <c r="EIA134" s="72"/>
      <c r="EIB134" s="72"/>
      <c r="EIC134" s="72"/>
      <c r="EID134" s="72"/>
      <c r="EIE134" s="72"/>
      <c r="EIF134" s="72"/>
      <c r="EIG134" s="72"/>
      <c r="EIH134" s="72"/>
      <c r="EII134" s="72"/>
      <c r="EIJ134" s="72"/>
      <c r="EIK134" s="72"/>
      <c r="EIL134" s="72"/>
      <c r="EIM134" s="72"/>
      <c r="EIN134" s="72"/>
      <c r="EIO134" s="72"/>
      <c r="EIP134" s="72"/>
      <c r="EIQ134" s="72"/>
      <c r="EIR134" s="72"/>
      <c r="EIS134" s="72"/>
      <c r="EIT134" s="72"/>
      <c r="EIU134" s="72"/>
      <c r="EIV134" s="72"/>
      <c r="EIW134" s="72"/>
      <c r="EIX134" s="72"/>
      <c r="EIY134" s="72"/>
      <c r="EIZ134" s="72"/>
      <c r="EJA134" s="72"/>
      <c r="EJB134" s="72"/>
      <c r="EJC134" s="72"/>
      <c r="EJD134" s="72"/>
      <c r="EJE134" s="72"/>
      <c r="EJF134" s="72"/>
      <c r="EJG134" s="72"/>
      <c r="EJH134" s="72"/>
      <c r="EJI134" s="72"/>
      <c r="EJJ134" s="72"/>
      <c r="EJK134" s="72"/>
      <c r="EJL134" s="72"/>
      <c r="EJM134" s="72"/>
      <c r="EJN134" s="72"/>
      <c r="EJO134" s="72"/>
      <c r="EJP134" s="72"/>
      <c r="EJQ134" s="72"/>
      <c r="EJR134" s="72"/>
      <c r="EJS134" s="72"/>
      <c r="EJT134" s="72"/>
      <c r="EJU134" s="72"/>
      <c r="EJV134" s="72"/>
      <c r="EJW134" s="72"/>
      <c r="EJX134" s="72"/>
      <c r="EJY134" s="72"/>
      <c r="EJZ134" s="72"/>
      <c r="EKA134" s="72"/>
      <c r="EKB134" s="72"/>
      <c r="EKC134" s="72"/>
      <c r="EKD134" s="72"/>
      <c r="EKE134" s="72"/>
      <c r="EKF134" s="72"/>
      <c r="EKG134" s="72"/>
      <c r="EKH134" s="72"/>
      <c r="EKI134" s="72"/>
      <c r="EKJ134" s="72"/>
      <c r="EKK134" s="72"/>
      <c r="EKL134" s="72"/>
      <c r="EKM134" s="72"/>
      <c r="EKN134" s="72"/>
      <c r="EKO134" s="72"/>
      <c r="EKP134" s="72"/>
      <c r="EKQ134" s="72"/>
      <c r="EKR134" s="72"/>
      <c r="EKS134" s="72"/>
      <c r="EKT134" s="72"/>
      <c r="EKU134" s="72"/>
      <c r="EKV134" s="72"/>
      <c r="EKW134" s="72"/>
      <c r="EKX134" s="72"/>
      <c r="EKY134" s="72"/>
      <c r="EKZ134" s="72"/>
      <c r="ELA134" s="72"/>
      <c r="ELB134" s="72"/>
      <c r="ELC134" s="72"/>
      <c r="ELD134" s="72"/>
      <c r="ELE134" s="72"/>
      <c r="ELF134" s="72"/>
      <c r="ELG134" s="72"/>
      <c r="ELH134" s="72"/>
      <c r="ELI134" s="72"/>
      <c r="ELJ134" s="72"/>
      <c r="ELK134" s="72"/>
      <c r="ELL134" s="72"/>
      <c r="ELM134" s="72"/>
      <c r="ELN134" s="72"/>
      <c r="ELO134" s="72"/>
      <c r="ELP134" s="72"/>
      <c r="ELQ134" s="72"/>
      <c r="ELR134" s="72"/>
      <c r="ELS134" s="72"/>
      <c r="ELT134" s="72"/>
      <c r="ELU134" s="72"/>
      <c r="ELV134" s="72"/>
      <c r="ELW134" s="72"/>
      <c r="ELX134" s="72"/>
      <c r="ELY134" s="72"/>
      <c r="ELZ134" s="72"/>
      <c r="EMA134" s="72"/>
      <c r="EMB134" s="72"/>
      <c r="EMC134" s="72"/>
      <c r="EMD134" s="72"/>
      <c r="EME134" s="72"/>
      <c r="EMF134" s="72"/>
      <c r="EMG134" s="72"/>
      <c r="EMH134" s="72"/>
      <c r="EMI134" s="72"/>
      <c r="EMJ134" s="72"/>
      <c r="EMK134" s="72"/>
      <c r="EML134" s="72"/>
      <c r="EMM134" s="72"/>
      <c r="EMN134" s="72"/>
      <c r="EMO134" s="72"/>
      <c r="EMP134" s="72"/>
      <c r="EMQ134" s="72"/>
      <c r="EMR134" s="72"/>
      <c r="EMS134" s="72"/>
      <c r="EMT134" s="72"/>
      <c r="EMU134" s="72"/>
      <c r="EMV134" s="72"/>
      <c r="EMW134" s="72"/>
      <c r="EMX134" s="72"/>
      <c r="EMY134" s="72"/>
      <c r="EMZ134" s="72"/>
      <c r="ENA134" s="72"/>
      <c r="ENB134" s="72"/>
      <c r="ENC134" s="72"/>
      <c r="END134" s="72"/>
      <c r="ENE134" s="72"/>
      <c r="ENF134" s="72"/>
      <c r="ENG134" s="72"/>
      <c r="ENH134" s="72"/>
      <c r="ENI134" s="72"/>
      <c r="ENJ134" s="72"/>
      <c r="ENK134" s="72"/>
      <c r="ENL134" s="72"/>
      <c r="ENM134" s="72"/>
      <c r="ENN134" s="72"/>
      <c r="ENO134" s="72"/>
      <c r="ENP134" s="72"/>
      <c r="ENQ134" s="72"/>
      <c r="ENR134" s="72"/>
      <c r="ENS134" s="72"/>
      <c r="ENT134" s="72"/>
      <c r="ENU134" s="72"/>
      <c r="ENV134" s="72"/>
      <c r="ENW134" s="72"/>
      <c r="ENX134" s="72"/>
      <c r="ENY134" s="72"/>
      <c r="ENZ134" s="72"/>
      <c r="EOA134" s="72"/>
      <c r="EOB134" s="72"/>
      <c r="EOC134" s="72"/>
      <c r="EOD134" s="72"/>
      <c r="EOE134" s="72"/>
      <c r="EOF134" s="72"/>
      <c r="EOG134" s="72"/>
      <c r="EOH134" s="72"/>
      <c r="EOI134" s="72"/>
      <c r="EOJ134" s="72"/>
      <c r="EOK134" s="72"/>
      <c r="EOL134" s="72"/>
      <c r="EOM134" s="72"/>
      <c r="EON134" s="72"/>
      <c r="EOO134" s="72"/>
      <c r="EOP134" s="72"/>
      <c r="EOQ134" s="72"/>
      <c r="EOR134" s="72"/>
      <c r="EOS134" s="72"/>
      <c r="EOT134" s="72"/>
      <c r="EOU134" s="72"/>
      <c r="EOV134" s="72"/>
      <c r="EOW134" s="72"/>
      <c r="EOX134" s="72"/>
      <c r="EOY134" s="72"/>
      <c r="EOZ134" s="72"/>
      <c r="EPA134" s="72"/>
      <c r="EPB134" s="72"/>
      <c r="EPC134" s="72"/>
      <c r="EPD134" s="72"/>
      <c r="EPE134" s="72"/>
      <c r="EPF134" s="72"/>
      <c r="EPG134" s="72"/>
      <c r="EPH134" s="72"/>
      <c r="EPI134" s="72"/>
      <c r="EPJ134" s="72"/>
      <c r="EPK134" s="72"/>
      <c r="EPL134" s="72"/>
      <c r="EPM134" s="72"/>
      <c r="EPN134" s="72"/>
      <c r="EPO134" s="72"/>
      <c r="EPP134" s="72"/>
      <c r="EPQ134" s="72"/>
      <c r="EPR134" s="72"/>
      <c r="EPS134" s="72"/>
      <c r="EPT134" s="72"/>
      <c r="EPU134" s="72"/>
      <c r="EPV134" s="72"/>
      <c r="EPW134" s="72"/>
      <c r="EPX134" s="72"/>
      <c r="EPY134" s="72"/>
      <c r="EPZ134" s="72"/>
      <c r="EQA134" s="72"/>
      <c r="EQB134" s="72"/>
      <c r="EQC134" s="72"/>
      <c r="EQD134" s="72"/>
      <c r="EQE134" s="72"/>
      <c r="EQF134" s="72"/>
      <c r="EQG134" s="72"/>
      <c r="EQH134" s="72"/>
      <c r="EQI134" s="72"/>
      <c r="EQJ134" s="72"/>
      <c r="EQK134" s="72"/>
      <c r="EQL134" s="72"/>
      <c r="EQM134" s="72"/>
      <c r="EQN134" s="72"/>
      <c r="EQO134" s="72"/>
      <c r="EQP134" s="72"/>
      <c r="EQQ134" s="72"/>
      <c r="EQR134" s="72"/>
      <c r="EQS134" s="72"/>
      <c r="EQT134" s="72"/>
      <c r="EQU134" s="72"/>
      <c r="EQV134" s="72"/>
      <c r="EQW134" s="72"/>
      <c r="EQX134" s="72"/>
      <c r="EQY134" s="72"/>
      <c r="EQZ134" s="72"/>
      <c r="ERA134" s="72"/>
      <c r="ERB134" s="72"/>
      <c r="ERC134" s="72"/>
      <c r="ERD134" s="72"/>
      <c r="ERE134" s="72"/>
      <c r="ERF134" s="72"/>
      <c r="ERG134" s="72"/>
      <c r="ERH134" s="72"/>
      <c r="ERI134" s="72"/>
      <c r="ERJ134" s="72"/>
      <c r="ERK134" s="72"/>
      <c r="ERL134" s="72"/>
      <c r="ERM134" s="72"/>
      <c r="ERN134" s="72"/>
      <c r="ERO134" s="72"/>
      <c r="ERP134" s="72"/>
      <c r="ERQ134" s="72"/>
      <c r="ERR134" s="72"/>
      <c r="ERS134" s="72"/>
      <c r="ERT134" s="72"/>
      <c r="ERU134" s="72"/>
      <c r="ERV134" s="72"/>
      <c r="ERW134" s="72"/>
      <c r="ERX134" s="72"/>
      <c r="ERY134" s="72"/>
      <c r="ERZ134" s="72"/>
      <c r="ESA134" s="72"/>
      <c r="ESB134" s="72"/>
      <c r="ESC134" s="72"/>
      <c r="ESD134" s="72"/>
      <c r="ESE134" s="72"/>
      <c r="ESF134" s="72"/>
      <c r="ESG134" s="72"/>
      <c r="ESH134" s="72"/>
      <c r="ESI134" s="72"/>
      <c r="ESJ134" s="72"/>
      <c r="ESK134" s="72"/>
      <c r="ESL134" s="72"/>
      <c r="ESM134" s="72"/>
      <c r="ESN134" s="72"/>
      <c r="ESO134" s="72"/>
      <c r="ESP134" s="72"/>
      <c r="ESQ134" s="72"/>
      <c r="ESR134" s="72"/>
      <c r="ESS134" s="72"/>
      <c r="EST134" s="72"/>
      <c r="ESU134" s="72"/>
      <c r="ESV134" s="72"/>
      <c r="ESW134" s="72"/>
      <c r="ESX134" s="72"/>
      <c r="ESY134" s="72"/>
      <c r="ESZ134" s="72"/>
      <c r="ETA134" s="72"/>
      <c r="ETB134" s="72"/>
      <c r="ETC134" s="72"/>
      <c r="ETD134" s="72"/>
      <c r="ETE134" s="72"/>
      <c r="ETF134" s="72"/>
      <c r="ETG134" s="72"/>
      <c r="ETH134" s="72"/>
      <c r="ETI134" s="72"/>
      <c r="ETJ134" s="72"/>
      <c r="ETK134" s="72"/>
      <c r="ETL134" s="72"/>
      <c r="ETM134" s="72"/>
      <c r="ETN134" s="72"/>
      <c r="ETO134" s="72"/>
      <c r="ETP134" s="72"/>
      <c r="ETQ134" s="72"/>
      <c r="ETR134" s="72"/>
      <c r="ETS134" s="72"/>
      <c r="ETT134" s="72"/>
      <c r="ETU134" s="72"/>
      <c r="ETV134" s="72"/>
      <c r="ETW134" s="72"/>
      <c r="ETX134" s="72"/>
      <c r="ETY134" s="72"/>
      <c r="ETZ134" s="72"/>
      <c r="EUA134" s="72"/>
      <c r="EUB134" s="72"/>
      <c r="EUC134" s="72"/>
      <c r="EUD134" s="72"/>
      <c r="EUE134" s="72"/>
      <c r="EUF134" s="72"/>
      <c r="EUG134" s="72"/>
      <c r="EUH134" s="72"/>
      <c r="EUI134" s="72"/>
      <c r="EUJ134" s="72"/>
      <c r="EUK134" s="72"/>
      <c r="EUL134" s="72"/>
      <c r="EUM134" s="72"/>
      <c r="EUN134" s="72"/>
      <c r="EUO134" s="72"/>
      <c r="EUP134" s="72"/>
      <c r="EUQ134" s="72"/>
      <c r="EUR134" s="72"/>
      <c r="EUS134" s="72"/>
      <c r="EUT134" s="72"/>
      <c r="EUU134" s="72"/>
      <c r="EUV134" s="72"/>
      <c r="EUW134" s="72"/>
      <c r="EUX134" s="72"/>
      <c r="EUY134" s="72"/>
      <c r="EUZ134" s="72"/>
      <c r="EVA134" s="72"/>
      <c r="EVB134" s="72"/>
      <c r="EVC134" s="72"/>
      <c r="EVD134" s="72"/>
      <c r="EVE134" s="72"/>
      <c r="EVF134" s="72"/>
      <c r="EVG134" s="72"/>
      <c r="EVH134" s="72"/>
      <c r="EVI134" s="72"/>
      <c r="EVJ134" s="72"/>
      <c r="EVK134" s="72"/>
      <c r="EVL134" s="72"/>
      <c r="EVM134" s="72"/>
      <c r="EVN134" s="72"/>
      <c r="EVO134" s="72"/>
      <c r="EVP134" s="72"/>
      <c r="EVQ134" s="72"/>
      <c r="EVR134" s="72"/>
      <c r="EVS134" s="72"/>
      <c r="EVT134" s="72"/>
      <c r="EVU134" s="72"/>
      <c r="EVV134" s="72"/>
      <c r="EVW134" s="72"/>
      <c r="EVX134" s="72"/>
      <c r="EVY134" s="72"/>
      <c r="EVZ134" s="72"/>
      <c r="EWA134" s="72"/>
      <c r="EWB134" s="72"/>
      <c r="EWC134" s="72"/>
      <c r="EWD134" s="72"/>
      <c r="EWE134" s="72"/>
      <c r="EWF134" s="72"/>
      <c r="EWG134" s="72"/>
      <c r="EWH134" s="72"/>
      <c r="EWI134" s="72"/>
      <c r="EWJ134" s="72"/>
      <c r="EWK134" s="72"/>
      <c r="EWL134" s="72"/>
      <c r="EWM134" s="72"/>
      <c r="EWN134" s="72"/>
      <c r="EWO134" s="72"/>
      <c r="EWP134" s="72"/>
      <c r="EWQ134" s="72"/>
      <c r="EWR134" s="72"/>
      <c r="EWS134" s="72"/>
      <c r="EWT134" s="72"/>
      <c r="EWU134" s="72"/>
      <c r="EWV134" s="72"/>
      <c r="EWW134" s="72"/>
      <c r="EWX134" s="72"/>
      <c r="EWY134" s="72"/>
      <c r="EWZ134" s="72"/>
      <c r="EXA134" s="72"/>
      <c r="EXB134" s="72"/>
      <c r="EXC134" s="72"/>
      <c r="EXD134" s="72"/>
      <c r="EXE134" s="72"/>
      <c r="EXF134" s="72"/>
      <c r="EXG134" s="72"/>
      <c r="EXH134" s="72"/>
      <c r="EXI134" s="72"/>
      <c r="EXJ134" s="72"/>
      <c r="EXK134" s="72"/>
      <c r="EXL134" s="72"/>
      <c r="EXM134" s="72"/>
      <c r="EXN134" s="72"/>
      <c r="EXO134" s="72"/>
      <c r="EXP134" s="72"/>
      <c r="EXQ134" s="72"/>
      <c r="EXR134" s="72"/>
      <c r="EXS134" s="72"/>
      <c r="EXT134" s="72"/>
      <c r="EXU134" s="72"/>
      <c r="EXV134" s="72"/>
      <c r="EXW134" s="72"/>
      <c r="EXX134" s="72"/>
      <c r="EXY134" s="72"/>
      <c r="EXZ134" s="72"/>
      <c r="EYA134" s="72"/>
      <c r="EYB134" s="72"/>
      <c r="EYC134" s="72"/>
      <c r="EYD134" s="72"/>
      <c r="EYE134" s="72"/>
      <c r="EYF134" s="72"/>
      <c r="EYG134" s="72"/>
      <c r="EYH134" s="72"/>
      <c r="EYI134" s="72"/>
      <c r="EYJ134" s="72"/>
      <c r="EYK134" s="72"/>
      <c r="EYL134" s="72"/>
      <c r="EYM134" s="72"/>
      <c r="EYN134" s="72"/>
      <c r="EYO134" s="72"/>
      <c r="EYP134" s="72"/>
      <c r="EYQ134" s="72"/>
      <c r="EYR134" s="72"/>
      <c r="EYS134" s="72"/>
      <c r="EYT134" s="72"/>
      <c r="EYU134" s="72"/>
      <c r="EYV134" s="72"/>
      <c r="EYW134" s="72"/>
      <c r="EYX134" s="72"/>
      <c r="EYY134" s="72"/>
      <c r="EYZ134" s="72"/>
      <c r="EZA134" s="72"/>
      <c r="EZB134" s="72"/>
      <c r="EZC134" s="72"/>
      <c r="EZD134" s="72"/>
      <c r="EZE134" s="72"/>
      <c r="EZF134" s="72"/>
      <c r="EZG134" s="72"/>
      <c r="EZH134" s="72"/>
      <c r="EZI134" s="72"/>
      <c r="EZJ134" s="72"/>
      <c r="EZK134" s="72"/>
      <c r="EZL134" s="72"/>
      <c r="EZM134" s="72"/>
      <c r="EZN134" s="72"/>
      <c r="EZO134" s="72"/>
      <c r="EZP134" s="72"/>
      <c r="EZQ134" s="72"/>
      <c r="EZR134" s="72"/>
      <c r="EZS134" s="72"/>
      <c r="EZT134" s="72"/>
      <c r="EZU134" s="72"/>
      <c r="EZV134" s="72"/>
      <c r="EZW134" s="72"/>
      <c r="EZX134" s="72"/>
      <c r="EZY134" s="72"/>
      <c r="EZZ134" s="72"/>
      <c r="FAA134" s="72"/>
      <c r="FAB134" s="72"/>
      <c r="FAC134" s="72"/>
      <c r="FAD134" s="72"/>
      <c r="FAE134" s="72"/>
      <c r="FAF134" s="72"/>
      <c r="FAG134" s="72"/>
      <c r="FAH134" s="72"/>
      <c r="FAI134" s="72"/>
      <c r="FAJ134" s="72"/>
      <c r="FAK134" s="72"/>
      <c r="FAL134" s="72"/>
      <c r="FAM134" s="72"/>
      <c r="FAN134" s="72"/>
      <c r="FAO134" s="72"/>
      <c r="FAP134" s="72"/>
      <c r="FAQ134" s="72"/>
      <c r="FAR134" s="72"/>
      <c r="FAS134" s="72"/>
      <c r="FAT134" s="72"/>
      <c r="FAU134" s="72"/>
      <c r="FAV134" s="72"/>
      <c r="FAW134" s="72"/>
      <c r="FAX134" s="72"/>
      <c r="FAY134" s="72"/>
      <c r="FAZ134" s="72"/>
      <c r="FBA134" s="72"/>
      <c r="FBB134" s="72"/>
      <c r="FBC134" s="72"/>
      <c r="FBD134" s="72"/>
      <c r="FBE134" s="72"/>
      <c r="FBF134" s="72"/>
      <c r="FBG134" s="72"/>
      <c r="FBH134" s="72"/>
      <c r="FBI134" s="72"/>
      <c r="FBJ134" s="72"/>
      <c r="FBK134" s="72"/>
      <c r="FBL134" s="72"/>
      <c r="FBM134" s="72"/>
      <c r="FBN134" s="72"/>
      <c r="FBO134" s="72"/>
      <c r="FBP134" s="72"/>
      <c r="FBQ134" s="72"/>
      <c r="FBR134" s="72"/>
      <c r="FBS134" s="72"/>
      <c r="FBT134" s="72"/>
      <c r="FBU134" s="72"/>
      <c r="FBV134" s="72"/>
      <c r="FBW134" s="72"/>
      <c r="FBX134" s="72"/>
      <c r="FBY134" s="72"/>
      <c r="FBZ134" s="72"/>
      <c r="FCA134" s="72"/>
      <c r="FCB134" s="72"/>
      <c r="FCC134" s="72"/>
      <c r="FCD134" s="72"/>
      <c r="FCE134" s="72"/>
      <c r="FCF134" s="72"/>
      <c r="FCG134" s="72"/>
      <c r="FCH134" s="72"/>
      <c r="FCI134" s="72"/>
      <c r="FCJ134" s="72"/>
      <c r="FCK134" s="72"/>
      <c r="FCL134" s="72"/>
      <c r="FCM134" s="72"/>
      <c r="FCN134" s="72"/>
      <c r="FCO134" s="72"/>
      <c r="FCP134" s="72"/>
      <c r="FCQ134" s="72"/>
      <c r="FCR134" s="72"/>
      <c r="FCS134" s="72"/>
      <c r="FCT134" s="72"/>
      <c r="FCU134" s="72"/>
      <c r="FCV134" s="72"/>
      <c r="FCW134" s="72"/>
      <c r="FCX134" s="72"/>
      <c r="FCY134" s="72"/>
      <c r="FCZ134" s="72"/>
      <c r="FDA134" s="72"/>
      <c r="FDB134" s="72"/>
      <c r="FDC134" s="72"/>
      <c r="FDD134" s="72"/>
      <c r="FDE134" s="72"/>
      <c r="FDF134" s="72"/>
      <c r="FDG134" s="72"/>
      <c r="FDH134" s="72"/>
      <c r="FDI134" s="72"/>
      <c r="FDJ134" s="72"/>
      <c r="FDK134" s="72"/>
      <c r="FDL134" s="72"/>
      <c r="FDM134" s="72"/>
      <c r="FDN134" s="72"/>
      <c r="FDO134" s="72"/>
      <c r="FDP134" s="72"/>
      <c r="FDQ134" s="72"/>
      <c r="FDR134" s="72"/>
      <c r="FDS134" s="72"/>
      <c r="FDT134" s="72"/>
      <c r="FDU134" s="72"/>
      <c r="FDV134" s="72"/>
      <c r="FDW134" s="72"/>
      <c r="FDX134" s="72"/>
      <c r="FDY134" s="72"/>
      <c r="FDZ134" s="72"/>
      <c r="FEA134" s="72"/>
      <c r="FEB134" s="72"/>
      <c r="FEC134" s="72"/>
      <c r="FED134" s="72"/>
      <c r="FEE134" s="72"/>
      <c r="FEF134" s="72"/>
      <c r="FEG134" s="72"/>
      <c r="FEH134" s="72"/>
      <c r="FEI134" s="72"/>
      <c r="FEJ134" s="72"/>
      <c r="FEK134" s="72"/>
      <c r="FEL134" s="72"/>
      <c r="FEM134" s="72"/>
      <c r="FEN134" s="72"/>
      <c r="FEO134" s="72"/>
      <c r="FEP134" s="72"/>
      <c r="FEQ134" s="72"/>
      <c r="FER134" s="72"/>
      <c r="FES134" s="72"/>
      <c r="FET134" s="72"/>
      <c r="FEU134" s="72"/>
      <c r="FEV134" s="72"/>
      <c r="FEW134" s="72"/>
      <c r="FEX134" s="72"/>
      <c r="FEY134" s="72"/>
      <c r="FEZ134" s="72"/>
      <c r="FFA134" s="72"/>
      <c r="FFB134" s="72"/>
      <c r="FFC134" s="72"/>
      <c r="FFD134" s="72"/>
      <c r="FFE134" s="72"/>
      <c r="FFF134" s="72"/>
      <c r="FFG134" s="72"/>
      <c r="FFH134" s="72"/>
      <c r="FFI134" s="72"/>
      <c r="FFJ134" s="72"/>
      <c r="FFK134" s="72"/>
      <c r="FFL134" s="72"/>
      <c r="FFM134" s="72"/>
      <c r="FFN134" s="72"/>
      <c r="FFO134" s="72"/>
      <c r="FFP134" s="72"/>
      <c r="FFQ134" s="72"/>
      <c r="FFR134" s="72"/>
      <c r="FFS134" s="72"/>
      <c r="FFT134" s="72"/>
      <c r="FFU134" s="72"/>
      <c r="FFV134" s="72"/>
      <c r="FFW134" s="72"/>
      <c r="FFX134" s="72"/>
      <c r="FFY134" s="72"/>
      <c r="FFZ134" s="72"/>
      <c r="FGA134" s="72"/>
      <c r="FGB134" s="72"/>
      <c r="FGC134" s="72"/>
      <c r="FGD134" s="72"/>
      <c r="FGE134" s="72"/>
      <c r="FGF134" s="72"/>
      <c r="FGG134" s="72"/>
      <c r="FGH134" s="72"/>
      <c r="FGI134" s="72"/>
      <c r="FGJ134" s="72"/>
      <c r="FGK134" s="72"/>
      <c r="FGL134" s="72"/>
      <c r="FGM134" s="72"/>
      <c r="FGN134" s="72"/>
      <c r="FGO134" s="72"/>
      <c r="FGP134" s="72"/>
      <c r="FGQ134" s="72"/>
      <c r="FGR134" s="72"/>
      <c r="FGS134" s="72"/>
      <c r="FGT134" s="72"/>
      <c r="FGU134" s="72"/>
      <c r="FGV134" s="72"/>
      <c r="FGW134" s="72"/>
      <c r="FGX134" s="72"/>
      <c r="FGY134" s="72"/>
      <c r="FGZ134" s="72"/>
      <c r="FHA134" s="72"/>
      <c r="FHB134" s="72"/>
      <c r="FHC134" s="72"/>
      <c r="FHD134" s="72"/>
      <c r="FHE134" s="72"/>
      <c r="FHF134" s="72"/>
      <c r="FHG134" s="72"/>
      <c r="FHH134" s="72"/>
      <c r="FHI134" s="72"/>
      <c r="FHJ134" s="72"/>
      <c r="FHK134" s="72"/>
      <c r="FHL134" s="72"/>
      <c r="FHM134" s="72"/>
      <c r="FHN134" s="72"/>
      <c r="FHO134" s="72"/>
      <c r="FHP134" s="72"/>
      <c r="FHQ134" s="72"/>
      <c r="FHR134" s="72"/>
      <c r="FHS134" s="72"/>
      <c r="FHT134" s="72"/>
      <c r="FHU134" s="72"/>
      <c r="FHV134" s="72"/>
      <c r="FHW134" s="72"/>
      <c r="FHX134" s="72"/>
      <c r="FHY134" s="72"/>
      <c r="FHZ134" s="72"/>
      <c r="FIA134" s="72"/>
      <c r="FIB134" s="72"/>
      <c r="FIC134" s="72"/>
      <c r="FID134" s="72"/>
      <c r="FIE134" s="72"/>
      <c r="FIF134" s="72"/>
      <c r="FIG134" s="72"/>
      <c r="FIH134" s="72"/>
      <c r="FII134" s="72"/>
      <c r="FIJ134" s="72"/>
      <c r="FIK134" s="72"/>
      <c r="FIL134" s="72"/>
      <c r="FIM134" s="72"/>
      <c r="FIN134" s="72"/>
      <c r="FIO134" s="72"/>
      <c r="FIP134" s="72"/>
      <c r="FIQ134" s="72"/>
      <c r="FIR134" s="72"/>
      <c r="FIS134" s="72"/>
      <c r="FIT134" s="72"/>
      <c r="FIU134" s="72"/>
      <c r="FIV134" s="72"/>
      <c r="FIW134" s="72"/>
      <c r="FIX134" s="72"/>
      <c r="FIY134" s="72"/>
      <c r="FIZ134" s="72"/>
      <c r="FJA134" s="72"/>
      <c r="FJB134" s="72"/>
      <c r="FJC134" s="72"/>
      <c r="FJD134" s="72"/>
      <c r="FJE134" s="72"/>
      <c r="FJF134" s="72"/>
      <c r="FJG134" s="72"/>
      <c r="FJH134" s="72"/>
      <c r="FJI134" s="72"/>
      <c r="FJJ134" s="72"/>
      <c r="FJK134" s="72"/>
      <c r="FJL134" s="72"/>
      <c r="FJM134" s="72"/>
      <c r="FJN134" s="72"/>
      <c r="FJO134" s="72"/>
      <c r="FJP134" s="72"/>
      <c r="FJQ134" s="72"/>
      <c r="FJR134" s="72"/>
      <c r="FJS134" s="72"/>
      <c r="FJT134" s="72"/>
      <c r="FJU134" s="72"/>
      <c r="FJV134" s="72"/>
      <c r="FJW134" s="72"/>
      <c r="FJX134" s="72"/>
      <c r="FJY134" s="72"/>
      <c r="FJZ134" s="72"/>
      <c r="FKA134" s="72"/>
      <c r="FKB134" s="72"/>
      <c r="FKC134" s="72"/>
      <c r="FKD134" s="72"/>
      <c r="FKE134" s="72"/>
      <c r="FKF134" s="72"/>
      <c r="FKG134" s="72"/>
      <c r="FKH134" s="72"/>
      <c r="FKI134" s="72"/>
      <c r="FKJ134" s="72"/>
      <c r="FKK134" s="72"/>
      <c r="FKL134" s="72"/>
      <c r="FKM134" s="72"/>
      <c r="FKN134" s="72"/>
      <c r="FKO134" s="72"/>
      <c r="FKP134" s="72"/>
      <c r="FKQ134" s="72"/>
      <c r="FKR134" s="72"/>
      <c r="FKS134" s="72"/>
      <c r="FKT134" s="72"/>
      <c r="FKU134" s="72"/>
      <c r="FKV134" s="72"/>
      <c r="FKW134" s="72"/>
      <c r="FKX134" s="72"/>
      <c r="FKY134" s="72"/>
      <c r="FKZ134" s="72"/>
      <c r="FLA134" s="72"/>
      <c r="FLB134" s="72"/>
      <c r="FLC134" s="72"/>
      <c r="FLD134" s="72"/>
      <c r="FLE134" s="72"/>
      <c r="FLF134" s="72"/>
      <c r="FLG134" s="72"/>
      <c r="FLH134" s="72"/>
      <c r="FLI134" s="72"/>
      <c r="FLJ134" s="72"/>
      <c r="FLK134" s="72"/>
      <c r="FLL134" s="72"/>
      <c r="FLM134" s="72"/>
      <c r="FLN134" s="72"/>
      <c r="FLO134" s="72"/>
      <c r="FLP134" s="72"/>
      <c r="FLQ134" s="72"/>
      <c r="FLR134" s="72"/>
      <c r="FLS134" s="72"/>
      <c r="FLT134" s="72"/>
      <c r="FLU134" s="72"/>
      <c r="FLV134" s="72"/>
      <c r="FLW134" s="72"/>
      <c r="FLX134" s="72"/>
      <c r="FLY134" s="72"/>
      <c r="FLZ134" s="72"/>
      <c r="FMA134" s="72"/>
      <c r="FMB134" s="72"/>
      <c r="FMC134" s="72"/>
      <c r="FMD134" s="72"/>
      <c r="FME134" s="72"/>
      <c r="FMF134" s="72"/>
      <c r="FMG134" s="72"/>
      <c r="FMH134" s="72"/>
      <c r="FMI134" s="72"/>
      <c r="FMJ134" s="72"/>
      <c r="FMK134" s="72"/>
      <c r="FML134" s="72"/>
      <c r="FMM134" s="72"/>
      <c r="FMN134" s="72"/>
      <c r="FMO134" s="72"/>
      <c r="FMP134" s="72"/>
      <c r="FMQ134" s="72"/>
      <c r="FMR134" s="72"/>
      <c r="FMS134" s="72"/>
      <c r="FMT134" s="72"/>
      <c r="FMU134" s="72"/>
      <c r="FMV134" s="72"/>
      <c r="FMW134" s="72"/>
      <c r="FMX134" s="72"/>
      <c r="FMY134" s="72"/>
      <c r="FMZ134" s="72"/>
      <c r="FNA134" s="72"/>
      <c r="FNB134" s="72"/>
      <c r="FNC134" s="72"/>
      <c r="FND134" s="72"/>
      <c r="FNE134" s="72"/>
      <c r="FNF134" s="72"/>
      <c r="FNG134" s="72"/>
      <c r="FNH134" s="72"/>
      <c r="FNI134" s="72"/>
      <c r="FNJ134" s="72"/>
      <c r="FNK134" s="72"/>
      <c r="FNL134" s="72"/>
      <c r="FNM134" s="72"/>
      <c r="FNN134" s="72"/>
      <c r="FNO134" s="72"/>
      <c r="FNP134" s="72"/>
      <c r="FNQ134" s="72"/>
      <c r="FNR134" s="72"/>
      <c r="FNS134" s="72"/>
      <c r="FNT134" s="72"/>
      <c r="FNU134" s="72"/>
      <c r="FNV134" s="72"/>
      <c r="FNW134" s="72"/>
      <c r="FNX134" s="72"/>
      <c r="FNY134" s="72"/>
      <c r="FNZ134" s="72"/>
      <c r="FOA134" s="72"/>
      <c r="FOB134" s="72"/>
      <c r="FOC134" s="72"/>
      <c r="FOD134" s="72"/>
      <c r="FOE134" s="72"/>
      <c r="FOF134" s="72"/>
      <c r="FOG134" s="72"/>
      <c r="FOH134" s="72"/>
      <c r="FOI134" s="72"/>
      <c r="FOJ134" s="72"/>
      <c r="FOK134" s="72"/>
      <c r="FOL134" s="72"/>
      <c r="FOM134" s="72"/>
      <c r="FON134" s="72"/>
      <c r="FOO134" s="72"/>
      <c r="FOP134" s="72"/>
      <c r="FOQ134" s="72"/>
      <c r="FOR134" s="72"/>
      <c r="FOS134" s="72"/>
      <c r="FOT134" s="72"/>
      <c r="FOU134" s="72"/>
      <c r="FOV134" s="72"/>
      <c r="FOW134" s="72"/>
      <c r="FOX134" s="72"/>
      <c r="FOY134" s="72"/>
      <c r="FOZ134" s="72"/>
      <c r="FPA134" s="72"/>
      <c r="FPB134" s="72"/>
      <c r="FPC134" s="72"/>
      <c r="FPD134" s="72"/>
      <c r="FPE134" s="72"/>
      <c r="FPF134" s="72"/>
      <c r="FPG134" s="72"/>
      <c r="FPH134" s="72"/>
      <c r="FPI134" s="72"/>
      <c r="FPJ134" s="72"/>
      <c r="FPK134" s="72"/>
      <c r="FPL134" s="72"/>
      <c r="FPM134" s="72"/>
      <c r="FPN134" s="72"/>
      <c r="FPO134" s="72"/>
      <c r="FPP134" s="72"/>
      <c r="FPQ134" s="72"/>
      <c r="FPR134" s="72"/>
      <c r="FPS134" s="72"/>
      <c r="FPT134" s="72"/>
      <c r="FPU134" s="72"/>
      <c r="FPV134" s="72"/>
      <c r="FPW134" s="72"/>
      <c r="FPX134" s="72"/>
      <c r="FPY134" s="72"/>
      <c r="FPZ134" s="72"/>
      <c r="FQA134" s="72"/>
      <c r="FQB134" s="72"/>
      <c r="FQC134" s="72"/>
      <c r="FQD134" s="72"/>
      <c r="FQE134" s="72"/>
      <c r="FQF134" s="72"/>
      <c r="FQG134" s="72"/>
      <c r="FQH134" s="72"/>
      <c r="FQI134" s="72"/>
      <c r="FQJ134" s="72"/>
      <c r="FQK134" s="72"/>
      <c r="FQL134" s="72"/>
      <c r="FQM134" s="72"/>
      <c r="FQN134" s="72"/>
      <c r="FQO134" s="72"/>
      <c r="FQP134" s="72"/>
      <c r="FQQ134" s="72"/>
      <c r="FQR134" s="72"/>
      <c r="FQS134" s="72"/>
      <c r="FQT134" s="72"/>
      <c r="FQU134" s="72"/>
      <c r="FQV134" s="72"/>
      <c r="FQW134" s="72"/>
      <c r="FQX134" s="72"/>
      <c r="FQY134" s="72"/>
      <c r="FQZ134" s="72"/>
      <c r="FRA134" s="72"/>
      <c r="FRB134" s="72"/>
      <c r="FRC134" s="72"/>
      <c r="FRD134" s="72"/>
      <c r="FRE134" s="72"/>
      <c r="FRF134" s="72"/>
      <c r="FRG134" s="72"/>
      <c r="FRH134" s="72"/>
      <c r="FRI134" s="72"/>
      <c r="FRJ134" s="72"/>
      <c r="FRK134" s="72"/>
      <c r="FRL134" s="72"/>
      <c r="FRM134" s="72"/>
      <c r="FRN134" s="72"/>
      <c r="FRO134" s="72"/>
      <c r="FRP134" s="72"/>
      <c r="FRQ134" s="72"/>
      <c r="FRR134" s="72"/>
      <c r="FRS134" s="72"/>
      <c r="FRT134" s="72"/>
      <c r="FRU134" s="72"/>
      <c r="FRV134" s="72"/>
      <c r="FRW134" s="72"/>
      <c r="FRX134" s="72"/>
      <c r="FRY134" s="72"/>
      <c r="FRZ134" s="72"/>
      <c r="FSA134" s="72"/>
      <c r="FSB134" s="72"/>
      <c r="FSC134" s="72"/>
      <c r="FSD134" s="72"/>
      <c r="FSE134" s="72"/>
      <c r="FSF134" s="72"/>
      <c r="FSG134" s="72"/>
      <c r="FSH134" s="72"/>
      <c r="FSI134" s="72"/>
      <c r="FSJ134" s="72"/>
      <c r="FSK134" s="72"/>
      <c r="FSL134" s="72"/>
      <c r="FSM134" s="72"/>
      <c r="FSN134" s="72"/>
      <c r="FSO134" s="72"/>
      <c r="FSP134" s="72"/>
      <c r="FSQ134" s="72"/>
      <c r="FSR134" s="72"/>
      <c r="FSS134" s="72"/>
      <c r="FST134" s="72"/>
      <c r="FSU134" s="72"/>
      <c r="FSV134" s="72"/>
      <c r="FSW134" s="72"/>
      <c r="FSX134" s="72"/>
      <c r="FSY134" s="72"/>
      <c r="FSZ134" s="72"/>
      <c r="FTA134" s="72"/>
      <c r="FTB134" s="72"/>
      <c r="FTC134" s="72"/>
      <c r="FTD134" s="72"/>
      <c r="FTE134" s="72"/>
      <c r="FTF134" s="72"/>
      <c r="FTG134" s="72"/>
      <c r="FTH134" s="72"/>
      <c r="FTI134" s="72"/>
      <c r="FTJ134" s="72"/>
      <c r="FTK134" s="72"/>
      <c r="FTL134" s="72"/>
      <c r="FTM134" s="72"/>
      <c r="FTN134" s="72"/>
      <c r="FTO134" s="72"/>
      <c r="FTP134" s="72"/>
      <c r="FTQ134" s="72"/>
      <c r="FTR134" s="72"/>
      <c r="FTS134" s="72"/>
      <c r="FTT134" s="72"/>
      <c r="FTU134" s="72"/>
      <c r="FTV134" s="72"/>
      <c r="FTW134" s="72"/>
      <c r="FTX134" s="72"/>
      <c r="FTY134" s="72"/>
      <c r="FTZ134" s="72"/>
      <c r="FUA134" s="72"/>
      <c r="FUB134" s="72"/>
      <c r="FUC134" s="72"/>
      <c r="FUD134" s="72"/>
      <c r="FUE134" s="72"/>
      <c r="FUF134" s="72"/>
      <c r="FUG134" s="72"/>
      <c r="FUH134" s="72"/>
      <c r="FUI134" s="72"/>
      <c r="FUJ134" s="72"/>
      <c r="FUK134" s="72"/>
      <c r="FUL134" s="72"/>
      <c r="FUM134" s="72"/>
      <c r="FUN134" s="72"/>
      <c r="FUO134" s="72"/>
      <c r="FUP134" s="72"/>
      <c r="FUQ134" s="72"/>
      <c r="FUR134" s="72"/>
      <c r="FUS134" s="72"/>
      <c r="FUT134" s="72"/>
      <c r="FUU134" s="72"/>
      <c r="FUV134" s="72"/>
      <c r="FUW134" s="72"/>
      <c r="FUX134" s="72"/>
      <c r="FUY134" s="72"/>
      <c r="FUZ134" s="72"/>
      <c r="FVA134" s="72"/>
      <c r="FVB134" s="72"/>
      <c r="FVC134" s="72"/>
      <c r="FVD134" s="72"/>
      <c r="FVE134" s="72"/>
      <c r="FVF134" s="72"/>
      <c r="FVG134" s="72"/>
      <c r="FVH134" s="72"/>
      <c r="FVI134" s="72"/>
      <c r="FVJ134" s="72"/>
      <c r="FVK134" s="72"/>
      <c r="FVL134" s="72"/>
      <c r="FVM134" s="72"/>
      <c r="FVN134" s="72"/>
      <c r="FVO134" s="72"/>
      <c r="FVP134" s="72"/>
      <c r="FVQ134" s="72"/>
      <c r="FVR134" s="72"/>
      <c r="FVS134" s="72"/>
      <c r="FVT134" s="72"/>
      <c r="FVU134" s="72"/>
      <c r="FVV134" s="72"/>
      <c r="FVW134" s="72"/>
      <c r="FVX134" s="72"/>
      <c r="FVY134" s="72"/>
      <c r="FVZ134" s="72"/>
      <c r="FWA134" s="72"/>
      <c r="FWB134" s="72"/>
      <c r="FWC134" s="72"/>
      <c r="FWD134" s="72"/>
      <c r="FWE134" s="72"/>
      <c r="FWF134" s="72"/>
      <c r="FWG134" s="72"/>
      <c r="FWH134" s="72"/>
      <c r="FWI134" s="72"/>
      <c r="FWJ134" s="72"/>
      <c r="FWK134" s="72"/>
      <c r="FWL134" s="72"/>
      <c r="FWM134" s="72"/>
      <c r="FWN134" s="72"/>
      <c r="FWO134" s="72"/>
      <c r="FWP134" s="72"/>
      <c r="FWQ134" s="72"/>
      <c r="FWR134" s="72"/>
      <c r="FWS134" s="72"/>
      <c r="FWT134" s="72"/>
      <c r="FWU134" s="72"/>
      <c r="FWV134" s="72"/>
      <c r="FWW134" s="72"/>
      <c r="FWX134" s="72"/>
      <c r="FWY134" s="72"/>
      <c r="FWZ134" s="72"/>
      <c r="FXA134" s="72"/>
      <c r="FXB134" s="72"/>
      <c r="FXC134" s="72"/>
      <c r="FXD134" s="72"/>
      <c r="FXE134" s="72"/>
      <c r="FXF134" s="72"/>
      <c r="FXG134" s="72"/>
      <c r="FXH134" s="72"/>
      <c r="FXI134" s="72"/>
      <c r="FXJ134" s="72"/>
      <c r="FXK134" s="72"/>
      <c r="FXL134" s="72"/>
      <c r="FXM134" s="72"/>
      <c r="FXN134" s="72"/>
      <c r="FXO134" s="72"/>
      <c r="FXP134" s="72"/>
      <c r="FXQ134" s="72"/>
      <c r="FXR134" s="72"/>
      <c r="FXS134" s="72"/>
      <c r="FXT134" s="72"/>
      <c r="FXU134" s="72"/>
      <c r="FXV134" s="72"/>
      <c r="FXW134" s="72"/>
      <c r="FXX134" s="72"/>
      <c r="FXY134" s="72"/>
      <c r="FXZ134" s="72"/>
      <c r="FYA134" s="72"/>
      <c r="FYB134" s="72"/>
      <c r="FYC134" s="72"/>
      <c r="FYD134" s="72"/>
      <c r="FYE134" s="72"/>
      <c r="FYF134" s="72"/>
      <c r="FYG134" s="72"/>
      <c r="FYH134" s="72"/>
      <c r="FYI134" s="72"/>
      <c r="FYJ134" s="72"/>
      <c r="FYK134" s="72"/>
      <c r="FYL134" s="72"/>
      <c r="FYM134" s="72"/>
      <c r="FYN134" s="72"/>
      <c r="FYO134" s="72"/>
      <c r="FYP134" s="72"/>
      <c r="FYQ134" s="72"/>
      <c r="FYR134" s="72"/>
      <c r="FYS134" s="72"/>
      <c r="FYT134" s="72"/>
      <c r="FYU134" s="72"/>
      <c r="FYV134" s="72"/>
      <c r="FYW134" s="72"/>
      <c r="FYX134" s="72"/>
      <c r="FYY134" s="72"/>
      <c r="FYZ134" s="72"/>
      <c r="FZA134" s="72"/>
      <c r="FZB134" s="72"/>
      <c r="FZC134" s="72"/>
      <c r="FZD134" s="72"/>
      <c r="FZE134" s="72"/>
      <c r="FZF134" s="72"/>
      <c r="FZG134" s="72"/>
      <c r="FZH134" s="72"/>
      <c r="FZI134" s="72"/>
      <c r="FZJ134" s="72"/>
      <c r="FZK134" s="72"/>
      <c r="FZL134" s="72"/>
      <c r="FZM134" s="72"/>
      <c r="FZN134" s="72"/>
      <c r="FZO134" s="72"/>
      <c r="FZP134" s="72"/>
      <c r="FZQ134" s="72"/>
      <c r="FZR134" s="72"/>
      <c r="FZS134" s="72"/>
      <c r="FZT134" s="72"/>
      <c r="FZU134" s="72"/>
      <c r="FZV134" s="72"/>
      <c r="FZW134" s="72"/>
      <c r="FZX134" s="72"/>
      <c r="FZY134" s="72"/>
      <c r="FZZ134" s="72"/>
      <c r="GAA134" s="72"/>
      <c r="GAB134" s="72"/>
      <c r="GAC134" s="72"/>
      <c r="GAD134" s="72"/>
      <c r="GAE134" s="72"/>
      <c r="GAF134" s="72"/>
      <c r="GAG134" s="72"/>
      <c r="GAH134" s="72"/>
      <c r="GAI134" s="72"/>
      <c r="GAJ134" s="72"/>
      <c r="GAK134" s="72"/>
      <c r="GAL134" s="72"/>
      <c r="GAM134" s="72"/>
      <c r="GAN134" s="72"/>
      <c r="GAO134" s="72"/>
      <c r="GAP134" s="72"/>
      <c r="GAQ134" s="72"/>
      <c r="GAR134" s="72"/>
      <c r="GAS134" s="72"/>
      <c r="GAT134" s="72"/>
      <c r="GAU134" s="72"/>
      <c r="GAV134" s="72"/>
      <c r="GAW134" s="72"/>
      <c r="GAX134" s="72"/>
      <c r="GAY134" s="72"/>
      <c r="GAZ134" s="72"/>
      <c r="GBA134" s="72"/>
      <c r="GBB134" s="72"/>
      <c r="GBC134" s="72"/>
      <c r="GBD134" s="72"/>
      <c r="GBE134" s="72"/>
      <c r="GBF134" s="72"/>
      <c r="GBG134" s="72"/>
      <c r="GBH134" s="72"/>
      <c r="GBI134" s="72"/>
      <c r="GBJ134" s="72"/>
      <c r="GBK134" s="72"/>
      <c r="GBL134" s="72"/>
      <c r="GBM134" s="72"/>
      <c r="GBN134" s="72"/>
      <c r="GBO134" s="72"/>
      <c r="GBP134" s="72"/>
      <c r="GBQ134" s="72"/>
      <c r="GBR134" s="72"/>
      <c r="GBS134" s="72"/>
      <c r="GBT134" s="72"/>
      <c r="GBU134" s="72"/>
      <c r="GBV134" s="72"/>
      <c r="GBW134" s="72"/>
      <c r="GBX134" s="72"/>
      <c r="GBY134" s="72"/>
      <c r="GBZ134" s="72"/>
      <c r="GCA134" s="72"/>
      <c r="GCB134" s="72"/>
      <c r="GCC134" s="72"/>
      <c r="GCD134" s="72"/>
      <c r="GCE134" s="72"/>
      <c r="GCF134" s="72"/>
      <c r="GCG134" s="72"/>
      <c r="GCH134" s="72"/>
      <c r="GCI134" s="72"/>
      <c r="GCJ134" s="72"/>
      <c r="GCK134" s="72"/>
      <c r="GCL134" s="72"/>
      <c r="GCM134" s="72"/>
      <c r="GCN134" s="72"/>
      <c r="GCO134" s="72"/>
      <c r="GCP134" s="72"/>
      <c r="GCQ134" s="72"/>
      <c r="GCR134" s="72"/>
      <c r="GCS134" s="72"/>
      <c r="GCT134" s="72"/>
      <c r="GCU134" s="72"/>
      <c r="GCV134" s="72"/>
      <c r="GCW134" s="72"/>
      <c r="GCX134" s="72"/>
      <c r="GCY134" s="72"/>
      <c r="GCZ134" s="72"/>
      <c r="GDA134" s="72"/>
      <c r="GDB134" s="72"/>
      <c r="GDC134" s="72"/>
      <c r="GDD134" s="72"/>
      <c r="GDE134" s="72"/>
      <c r="GDF134" s="72"/>
      <c r="GDG134" s="72"/>
      <c r="GDH134" s="72"/>
      <c r="GDI134" s="72"/>
      <c r="GDJ134" s="72"/>
      <c r="GDK134" s="72"/>
      <c r="GDL134" s="72"/>
      <c r="GDM134" s="72"/>
      <c r="GDN134" s="72"/>
      <c r="GDO134" s="72"/>
      <c r="GDP134" s="72"/>
      <c r="GDQ134" s="72"/>
      <c r="GDR134" s="72"/>
      <c r="GDS134" s="72"/>
      <c r="GDT134" s="72"/>
      <c r="GDU134" s="72"/>
      <c r="GDV134" s="72"/>
      <c r="GDW134" s="72"/>
      <c r="GDX134" s="72"/>
      <c r="GDY134" s="72"/>
      <c r="GDZ134" s="72"/>
      <c r="GEA134" s="72"/>
      <c r="GEB134" s="72"/>
      <c r="GEC134" s="72"/>
      <c r="GED134" s="72"/>
      <c r="GEE134" s="72"/>
      <c r="GEF134" s="72"/>
      <c r="GEG134" s="72"/>
      <c r="GEH134" s="72"/>
      <c r="GEI134" s="72"/>
      <c r="GEJ134" s="72"/>
      <c r="GEK134" s="72"/>
      <c r="GEL134" s="72"/>
      <c r="GEM134" s="72"/>
      <c r="GEN134" s="72"/>
      <c r="GEO134" s="72"/>
      <c r="GEP134" s="72"/>
      <c r="GEQ134" s="72"/>
      <c r="GER134" s="72"/>
      <c r="GES134" s="72"/>
      <c r="GET134" s="72"/>
      <c r="GEU134" s="72"/>
      <c r="GEV134" s="72"/>
      <c r="GEW134" s="72"/>
      <c r="GEX134" s="72"/>
      <c r="GEY134" s="72"/>
      <c r="GEZ134" s="72"/>
      <c r="GFA134" s="72"/>
      <c r="GFB134" s="72"/>
      <c r="GFC134" s="72"/>
      <c r="GFD134" s="72"/>
      <c r="GFE134" s="72"/>
      <c r="GFF134" s="72"/>
      <c r="GFG134" s="72"/>
      <c r="GFH134" s="72"/>
      <c r="GFI134" s="72"/>
      <c r="GFJ134" s="72"/>
      <c r="GFK134" s="72"/>
      <c r="GFL134" s="72"/>
      <c r="GFM134" s="72"/>
      <c r="GFN134" s="72"/>
      <c r="GFO134" s="72"/>
      <c r="GFP134" s="72"/>
      <c r="GFQ134" s="72"/>
      <c r="GFR134" s="72"/>
      <c r="GFS134" s="72"/>
      <c r="GFT134" s="72"/>
      <c r="GFU134" s="72"/>
      <c r="GFV134" s="72"/>
      <c r="GFW134" s="72"/>
      <c r="GFX134" s="72"/>
      <c r="GFY134" s="72"/>
      <c r="GFZ134" s="72"/>
      <c r="GGA134" s="72"/>
      <c r="GGB134" s="72"/>
      <c r="GGC134" s="72"/>
      <c r="GGD134" s="72"/>
      <c r="GGE134" s="72"/>
      <c r="GGF134" s="72"/>
      <c r="GGG134" s="72"/>
      <c r="GGH134" s="72"/>
      <c r="GGI134" s="72"/>
      <c r="GGJ134" s="72"/>
      <c r="GGK134" s="72"/>
      <c r="GGL134" s="72"/>
      <c r="GGM134" s="72"/>
      <c r="GGN134" s="72"/>
      <c r="GGO134" s="72"/>
      <c r="GGP134" s="72"/>
      <c r="GGQ134" s="72"/>
      <c r="GGR134" s="72"/>
      <c r="GGS134" s="72"/>
      <c r="GGT134" s="72"/>
      <c r="GGU134" s="72"/>
      <c r="GGV134" s="72"/>
      <c r="GGW134" s="72"/>
      <c r="GGX134" s="72"/>
      <c r="GGY134" s="72"/>
      <c r="GGZ134" s="72"/>
      <c r="GHA134" s="72"/>
      <c r="GHB134" s="72"/>
      <c r="GHC134" s="72"/>
      <c r="GHD134" s="72"/>
      <c r="GHE134" s="72"/>
      <c r="GHF134" s="72"/>
      <c r="GHG134" s="72"/>
      <c r="GHH134" s="72"/>
      <c r="GHI134" s="72"/>
      <c r="GHJ134" s="72"/>
      <c r="GHK134" s="72"/>
      <c r="GHL134" s="72"/>
      <c r="GHM134" s="72"/>
      <c r="GHN134" s="72"/>
      <c r="GHO134" s="72"/>
      <c r="GHP134" s="72"/>
      <c r="GHQ134" s="72"/>
      <c r="GHR134" s="72"/>
      <c r="GHS134" s="72"/>
      <c r="GHT134" s="72"/>
      <c r="GHU134" s="72"/>
      <c r="GHV134" s="72"/>
      <c r="GHW134" s="72"/>
      <c r="GHX134" s="72"/>
      <c r="GHY134" s="72"/>
      <c r="GHZ134" s="72"/>
      <c r="GIA134" s="72"/>
      <c r="GIB134" s="72"/>
      <c r="GIC134" s="72"/>
      <c r="GID134" s="72"/>
      <c r="GIE134" s="72"/>
      <c r="GIF134" s="72"/>
      <c r="GIG134" s="72"/>
      <c r="GIH134" s="72"/>
      <c r="GII134" s="72"/>
      <c r="GIJ134" s="72"/>
      <c r="GIK134" s="72"/>
      <c r="GIL134" s="72"/>
      <c r="GIM134" s="72"/>
      <c r="GIN134" s="72"/>
      <c r="GIO134" s="72"/>
      <c r="GIP134" s="72"/>
      <c r="GIQ134" s="72"/>
      <c r="GIR134" s="72"/>
      <c r="GIS134" s="72"/>
      <c r="GIT134" s="72"/>
      <c r="GIU134" s="72"/>
      <c r="GIV134" s="72"/>
      <c r="GIW134" s="72"/>
      <c r="GIX134" s="72"/>
      <c r="GIY134" s="72"/>
      <c r="GIZ134" s="72"/>
      <c r="GJA134" s="72"/>
      <c r="GJB134" s="72"/>
      <c r="GJC134" s="72"/>
      <c r="GJD134" s="72"/>
      <c r="GJE134" s="72"/>
      <c r="GJF134" s="72"/>
      <c r="GJG134" s="72"/>
      <c r="GJH134" s="72"/>
      <c r="GJI134" s="72"/>
      <c r="GJJ134" s="72"/>
      <c r="GJK134" s="72"/>
      <c r="GJL134" s="72"/>
      <c r="GJM134" s="72"/>
      <c r="GJN134" s="72"/>
      <c r="GJO134" s="72"/>
      <c r="GJP134" s="72"/>
      <c r="GJQ134" s="72"/>
      <c r="GJR134" s="72"/>
      <c r="GJS134" s="72"/>
      <c r="GJT134" s="72"/>
      <c r="GJU134" s="72"/>
      <c r="GJV134" s="72"/>
      <c r="GJW134" s="72"/>
      <c r="GJX134" s="72"/>
      <c r="GJY134" s="72"/>
      <c r="GJZ134" s="72"/>
      <c r="GKA134" s="72"/>
      <c r="GKB134" s="72"/>
      <c r="GKC134" s="72"/>
      <c r="GKD134" s="72"/>
      <c r="GKE134" s="72"/>
      <c r="GKF134" s="72"/>
      <c r="GKG134" s="72"/>
      <c r="GKH134" s="72"/>
      <c r="GKI134" s="72"/>
      <c r="GKJ134" s="72"/>
      <c r="GKK134" s="72"/>
      <c r="GKL134" s="72"/>
      <c r="GKM134" s="72"/>
      <c r="GKN134" s="72"/>
      <c r="GKO134" s="72"/>
      <c r="GKP134" s="72"/>
      <c r="GKQ134" s="72"/>
      <c r="GKR134" s="72"/>
      <c r="GKS134" s="72"/>
      <c r="GKT134" s="72"/>
      <c r="GKU134" s="72"/>
      <c r="GKV134" s="72"/>
      <c r="GKW134" s="72"/>
      <c r="GKX134" s="72"/>
      <c r="GKY134" s="72"/>
      <c r="GKZ134" s="72"/>
      <c r="GLA134" s="72"/>
      <c r="GLB134" s="72"/>
      <c r="GLC134" s="72"/>
      <c r="GLD134" s="72"/>
      <c r="GLE134" s="72"/>
      <c r="GLF134" s="72"/>
      <c r="GLG134" s="72"/>
      <c r="GLH134" s="72"/>
      <c r="GLI134" s="72"/>
      <c r="GLJ134" s="72"/>
      <c r="GLK134" s="72"/>
      <c r="GLL134" s="72"/>
      <c r="GLM134" s="72"/>
      <c r="GLN134" s="72"/>
      <c r="GLO134" s="72"/>
      <c r="GLP134" s="72"/>
      <c r="GLQ134" s="72"/>
      <c r="GLR134" s="72"/>
      <c r="GLS134" s="72"/>
      <c r="GLT134" s="72"/>
      <c r="GLU134" s="72"/>
      <c r="GLV134" s="72"/>
      <c r="GLW134" s="72"/>
      <c r="GLX134" s="72"/>
      <c r="GLY134" s="72"/>
      <c r="GLZ134" s="72"/>
      <c r="GMA134" s="72"/>
      <c r="GMB134" s="72"/>
      <c r="GMC134" s="72"/>
      <c r="GMD134" s="72"/>
      <c r="GME134" s="72"/>
      <c r="GMF134" s="72"/>
      <c r="GMG134" s="72"/>
      <c r="GMH134" s="72"/>
      <c r="GMI134" s="72"/>
      <c r="GMJ134" s="72"/>
      <c r="GMK134" s="72"/>
      <c r="GML134" s="72"/>
      <c r="GMM134" s="72"/>
      <c r="GMN134" s="72"/>
      <c r="GMO134" s="72"/>
      <c r="GMP134" s="72"/>
      <c r="GMQ134" s="72"/>
      <c r="GMR134" s="72"/>
      <c r="GMS134" s="72"/>
      <c r="GMT134" s="72"/>
      <c r="GMU134" s="72"/>
      <c r="GMV134" s="72"/>
      <c r="GMW134" s="72"/>
      <c r="GMX134" s="72"/>
      <c r="GMY134" s="72"/>
      <c r="GMZ134" s="72"/>
      <c r="GNA134" s="72"/>
      <c r="GNB134" s="72"/>
      <c r="GNC134" s="72"/>
      <c r="GND134" s="72"/>
      <c r="GNE134" s="72"/>
      <c r="GNF134" s="72"/>
      <c r="GNG134" s="72"/>
      <c r="GNH134" s="72"/>
      <c r="GNI134" s="72"/>
      <c r="GNJ134" s="72"/>
      <c r="GNK134" s="72"/>
      <c r="GNL134" s="72"/>
      <c r="GNM134" s="72"/>
      <c r="GNN134" s="72"/>
      <c r="GNO134" s="72"/>
      <c r="GNP134" s="72"/>
      <c r="GNQ134" s="72"/>
      <c r="GNR134" s="72"/>
      <c r="GNS134" s="72"/>
      <c r="GNT134" s="72"/>
      <c r="GNU134" s="72"/>
      <c r="GNV134" s="72"/>
      <c r="GNW134" s="72"/>
      <c r="GNX134" s="72"/>
      <c r="GNY134" s="72"/>
      <c r="GNZ134" s="72"/>
      <c r="GOA134" s="72"/>
      <c r="GOB134" s="72"/>
      <c r="GOC134" s="72"/>
      <c r="GOD134" s="72"/>
      <c r="GOE134" s="72"/>
      <c r="GOF134" s="72"/>
      <c r="GOG134" s="72"/>
      <c r="GOH134" s="72"/>
      <c r="GOI134" s="72"/>
      <c r="GOJ134" s="72"/>
      <c r="GOK134" s="72"/>
      <c r="GOL134" s="72"/>
      <c r="GOM134" s="72"/>
      <c r="GON134" s="72"/>
      <c r="GOO134" s="72"/>
      <c r="GOP134" s="72"/>
      <c r="GOQ134" s="72"/>
      <c r="GOR134" s="72"/>
      <c r="GOS134" s="72"/>
      <c r="GOT134" s="72"/>
      <c r="GOU134" s="72"/>
      <c r="GOV134" s="72"/>
      <c r="GOW134" s="72"/>
      <c r="GOX134" s="72"/>
      <c r="GOY134" s="72"/>
      <c r="GOZ134" s="72"/>
      <c r="GPA134" s="72"/>
      <c r="GPB134" s="72"/>
      <c r="GPC134" s="72"/>
      <c r="GPD134" s="72"/>
      <c r="GPE134" s="72"/>
      <c r="GPF134" s="72"/>
      <c r="GPG134" s="72"/>
      <c r="GPH134" s="72"/>
      <c r="GPI134" s="72"/>
      <c r="GPJ134" s="72"/>
      <c r="GPK134" s="72"/>
      <c r="GPL134" s="72"/>
      <c r="GPM134" s="72"/>
      <c r="GPN134" s="72"/>
      <c r="GPO134" s="72"/>
      <c r="GPP134" s="72"/>
      <c r="GPQ134" s="72"/>
      <c r="GPR134" s="72"/>
      <c r="GPS134" s="72"/>
      <c r="GPT134" s="72"/>
      <c r="GPU134" s="72"/>
      <c r="GPV134" s="72"/>
      <c r="GPW134" s="72"/>
      <c r="GPX134" s="72"/>
      <c r="GPY134" s="72"/>
      <c r="GPZ134" s="72"/>
      <c r="GQA134" s="72"/>
      <c r="GQB134" s="72"/>
      <c r="GQC134" s="72"/>
      <c r="GQD134" s="72"/>
      <c r="GQE134" s="72"/>
      <c r="GQF134" s="72"/>
      <c r="GQG134" s="72"/>
      <c r="GQH134" s="72"/>
      <c r="GQI134" s="72"/>
      <c r="GQJ134" s="72"/>
      <c r="GQK134" s="72"/>
      <c r="GQL134" s="72"/>
      <c r="GQM134" s="72"/>
      <c r="GQN134" s="72"/>
      <c r="GQO134" s="72"/>
      <c r="GQP134" s="72"/>
      <c r="GQQ134" s="72"/>
      <c r="GQR134" s="72"/>
      <c r="GQS134" s="72"/>
      <c r="GQT134" s="72"/>
      <c r="GQU134" s="72"/>
      <c r="GQV134" s="72"/>
      <c r="GQW134" s="72"/>
      <c r="GQX134" s="72"/>
      <c r="GQY134" s="72"/>
      <c r="GQZ134" s="72"/>
      <c r="GRA134" s="72"/>
      <c r="GRB134" s="72"/>
      <c r="GRC134" s="72"/>
      <c r="GRD134" s="72"/>
      <c r="GRE134" s="72"/>
      <c r="GRF134" s="72"/>
      <c r="GRG134" s="72"/>
      <c r="GRH134" s="72"/>
      <c r="GRI134" s="72"/>
      <c r="GRJ134" s="72"/>
      <c r="GRK134" s="72"/>
      <c r="GRL134" s="72"/>
      <c r="GRM134" s="72"/>
      <c r="GRN134" s="72"/>
      <c r="GRO134" s="72"/>
      <c r="GRP134" s="72"/>
      <c r="GRQ134" s="72"/>
      <c r="GRR134" s="72"/>
      <c r="GRS134" s="72"/>
      <c r="GRT134" s="72"/>
      <c r="GRU134" s="72"/>
      <c r="GRV134" s="72"/>
      <c r="GRW134" s="72"/>
      <c r="GRX134" s="72"/>
      <c r="GRY134" s="72"/>
      <c r="GRZ134" s="72"/>
      <c r="GSA134" s="72"/>
      <c r="GSB134" s="72"/>
      <c r="GSC134" s="72"/>
      <c r="GSD134" s="72"/>
      <c r="GSE134" s="72"/>
      <c r="GSF134" s="72"/>
      <c r="GSG134" s="72"/>
      <c r="GSH134" s="72"/>
      <c r="GSI134" s="72"/>
      <c r="GSJ134" s="72"/>
      <c r="GSK134" s="72"/>
      <c r="GSL134" s="72"/>
      <c r="GSM134" s="72"/>
      <c r="GSN134" s="72"/>
      <c r="GSO134" s="72"/>
      <c r="GSP134" s="72"/>
      <c r="GSQ134" s="72"/>
      <c r="GSR134" s="72"/>
      <c r="GSS134" s="72"/>
      <c r="GST134" s="72"/>
      <c r="GSU134" s="72"/>
      <c r="GSV134" s="72"/>
      <c r="GSW134" s="72"/>
      <c r="GSX134" s="72"/>
      <c r="GSY134" s="72"/>
      <c r="GSZ134" s="72"/>
      <c r="GTA134" s="72"/>
      <c r="GTB134" s="72"/>
      <c r="GTC134" s="72"/>
      <c r="GTD134" s="72"/>
      <c r="GTE134" s="72"/>
      <c r="GTF134" s="72"/>
      <c r="GTG134" s="72"/>
      <c r="GTH134" s="72"/>
      <c r="GTI134" s="72"/>
      <c r="GTJ134" s="72"/>
      <c r="GTK134" s="72"/>
      <c r="GTL134" s="72"/>
      <c r="GTM134" s="72"/>
      <c r="GTN134" s="72"/>
      <c r="GTO134" s="72"/>
      <c r="GTP134" s="72"/>
      <c r="GTQ134" s="72"/>
      <c r="GTR134" s="72"/>
      <c r="GTS134" s="72"/>
      <c r="GTT134" s="72"/>
      <c r="GTU134" s="72"/>
      <c r="GTV134" s="72"/>
      <c r="GTW134" s="72"/>
      <c r="GTX134" s="72"/>
      <c r="GTY134" s="72"/>
      <c r="GTZ134" s="72"/>
      <c r="GUA134" s="72"/>
      <c r="GUB134" s="72"/>
      <c r="GUC134" s="72"/>
      <c r="GUD134" s="72"/>
      <c r="GUE134" s="72"/>
      <c r="GUF134" s="72"/>
      <c r="GUG134" s="72"/>
      <c r="GUH134" s="72"/>
      <c r="GUI134" s="72"/>
      <c r="GUJ134" s="72"/>
      <c r="GUK134" s="72"/>
      <c r="GUL134" s="72"/>
      <c r="GUM134" s="72"/>
      <c r="GUN134" s="72"/>
      <c r="GUO134" s="72"/>
      <c r="GUP134" s="72"/>
      <c r="GUQ134" s="72"/>
      <c r="GUR134" s="72"/>
      <c r="GUS134" s="72"/>
      <c r="GUT134" s="72"/>
      <c r="GUU134" s="72"/>
      <c r="GUV134" s="72"/>
      <c r="GUW134" s="72"/>
      <c r="GUX134" s="72"/>
      <c r="GUY134" s="72"/>
      <c r="GUZ134" s="72"/>
      <c r="GVA134" s="72"/>
      <c r="GVB134" s="72"/>
      <c r="GVC134" s="72"/>
      <c r="GVD134" s="72"/>
      <c r="GVE134" s="72"/>
      <c r="GVF134" s="72"/>
      <c r="GVG134" s="72"/>
      <c r="GVH134" s="72"/>
      <c r="GVI134" s="72"/>
      <c r="GVJ134" s="72"/>
      <c r="GVK134" s="72"/>
      <c r="GVL134" s="72"/>
      <c r="GVM134" s="72"/>
      <c r="GVN134" s="72"/>
      <c r="GVO134" s="72"/>
      <c r="GVP134" s="72"/>
      <c r="GVQ134" s="72"/>
      <c r="GVR134" s="72"/>
      <c r="GVS134" s="72"/>
      <c r="GVT134" s="72"/>
      <c r="GVU134" s="72"/>
      <c r="GVV134" s="72"/>
      <c r="GVW134" s="72"/>
      <c r="GVX134" s="72"/>
      <c r="GVY134" s="72"/>
      <c r="GVZ134" s="72"/>
      <c r="GWA134" s="72"/>
      <c r="GWB134" s="72"/>
      <c r="GWC134" s="72"/>
      <c r="GWD134" s="72"/>
      <c r="GWE134" s="72"/>
      <c r="GWF134" s="72"/>
      <c r="GWG134" s="72"/>
      <c r="GWH134" s="72"/>
      <c r="GWI134" s="72"/>
      <c r="GWJ134" s="72"/>
      <c r="GWK134" s="72"/>
      <c r="GWL134" s="72"/>
      <c r="GWM134" s="72"/>
      <c r="GWN134" s="72"/>
      <c r="GWO134" s="72"/>
      <c r="GWP134" s="72"/>
      <c r="GWQ134" s="72"/>
      <c r="GWR134" s="72"/>
      <c r="GWS134" s="72"/>
      <c r="GWT134" s="72"/>
      <c r="GWU134" s="72"/>
      <c r="GWV134" s="72"/>
      <c r="GWW134" s="72"/>
      <c r="GWX134" s="72"/>
      <c r="GWY134" s="72"/>
      <c r="GWZ134" s="72"/>
      <c r="GXA134" s="72"/>
      <c r="GXB134" s="72"/>
      <c r="GXC134" s="72"/>
      <c r="GXD134" s="72"/>
      <c r="GXE134" s="72"/>
      <c r="GXF134" s="72"/>
      <c r="GXG134" s="72"/>
      <c r="GXH134" s="72"/>
      <c r="GXI134" s="72"/>
      <c r="GXJ134" s="72"/>
      <c r="GXK134" s="72"/>
      <c r="GXL134" s="72"/>
      <c r="GXM134" s="72"/>
      <c r="GXN134" s="72"/>
      <c r="GXO134" s="72"/>
      <c r="GXP134" s="72"/>
      <c r="GXQ134" s="72"/>
      <c r="GXR134" s="72"/>
      <c r="GXS134" s="72"/>
      <c r="GXT134" s="72"/>
      <c r="GXU134" s="72"/>
      <c r="GXV134" s="72"/>
      <c r="GXW134" s="72"/>
      <c r="GXX134" s="72"/>
      <c r="GXY134" s="72"/>
      <c r="GXZ134" s="72"/>
      <c r="GYA134" s="72"/>
      <c r="GYB134" s="72"/>
      <c r="GYC134" s="72"/>
      <c r="GYD134" s="72"/>
      <c r="GYE134" s="72"/>
      <c r="GYF134" s="72"/>
      <c r="GYG134" s="72"/>
      <c r="GYH134" s="72"/>
      <c r="GYI134" s="72"/>
      <c r="GYJ134" s="72"/>
      <c r="GYK134" s="72"/>
      <c r="GYL134" s="72"/>
      <c r="GYM134" s="72"/>
      <c r="GYN134" s="72"/>
      <c r="GYO134" s="72"/>
      <c r="GYP134" s="72"/>
      <c r="GYQ134" s="72"/>
      <c r="GYR134" s="72"/>
      <c r="GYS134" s="72"/>
      <c r="GYT134" s="72"/>
      <c r="GYU134" s="72"/>
      <c r="GYV134" s="72"/>
      <c r="GYW134" s="72"/>
      <c r="GYX134" s="72"/>
      <c r="GYY134" s="72"/>
      <c r="GYZ134" s="72"/>
      <c r="GZA134" s="72"/>
      <c r="GZB134" s="72"/>
      <c r="GZC134" s="72"/>
      <c r="GZD134" s="72"/>
      <c r="GZE134" s="72"/>
      <c r="GZF134" s="72"/>
      <c r="GZG134" s="72"/>
      <c r="GZH134" s="72"/>
      <c r="GZI134" s="72"/>
      <c r="GZJ134" s="72"/>
      <c r="GZK134" s="72"/>
      <c r="GZL134" s="72"/>
      <c r="GZM134" s="72"/>
      <c r="GZN134" s="72"/>
      <c r="GZO134" s="72"/>
      <c r="GZP134" s="72"/>
      <c r="GZQ134" s="72"/>
      <c r="GZR134" s="72"/>
      <c r="GZS134" s="72"/>
      <c r="GZT134" s="72"/>
      <c r="GZU134" s="72"/>
      <c r="GZV134" s="72"/>
      <c r="GZW134" s="72"/>
      <c r="GZX134" s="72"/>
      <c r="GZY134" s="72"/>
      <c r="GZZ134" s="72"/>
      <c r="HAA134" s="72"/>
      <c r="HAB134" s="72"/>
      <c r="HAC134" s="72"/>
      <c r="HAD134" s="72"/>
      <c r="HAE134" s="72"/>
      <c r="HAF134" s="72"/>
      <c r="HAG134" s="72"/>
      <c r="HAH134" s="72"/>
      <c r="HAI134" s="72"/>
      <c r="HAJ134" s="72"/>
      <c r="HAK134" s="72"/>
      <c r="HAL134" s="72"/>
      <c r="HAM134" s="72"/>
      <c r="HAN134" s="72"/>
      <c r="HAO134" s="72"/>
      <c r="HAP134" s="72"/>
      <c r="HAQ134" s="72"/>
      <c r="HAR134" s="72"/>
      <c r="HAS134" s="72"/>
      <c r="HAT134" s="72"/>
      <c r="HAU134" s="72"/>
      <c r="HAV134" s="72"/>
      <c r="HAW134" s="72"/>
      <c r="HAX134" s="72"/>
      <c r="HAY134" s="72"/>
      <c r="HAZ134" s="72"/>
      <c r="HBA134" s="72"/>
      <c r="HBB134" s="72"/>
      <c r="HBC134" s="72"/>
      <c r="HBD134" s="72"/>
      <c r="HBE134" s="72"/>
      <c r="HBF134" s="72"/>
      <c r="HBG134" s="72"/>
      <c r="HBH134" s="72"/>
      <c r="HBI134" s="72"/>
      <c r="HBJ134" s="72"/>
      <c r="HBK134" s="72"/>
      <c r="HBL134" s="72"/>
      <c r="HBM134" s="72"/>
      <c r="HBN134" s="72"/>
      <c r="HBO134" s="72"/>
      <c r="HBP134" s="72"/>
      <c r="HBQ134" s="72"/>
      <c r="HBR134" s="72"/>
      <c r="HBS134" s="72"/>
      <c r="HBT134" s="72"/>
      <c r="HBU134" s="72"/>
      <c r="HBV134" s="72"/>
      <c r="HBW134" s="72"/>
      <c r="HBX134" s="72"/>
      <c r="HBY134" s="72"/>
      <c r="HBZ134" s="72"/>
      <c r="HCA134" s="72"/>
      <c r="HCB134" s="72"/>
      <c r="HCC134" s="72"/>
      <c r="HCD134" s="72"/>
      <c r="HCE134" s="72"/>
      <c r="HCF134" s="72"/>
      <c r="HCG134" s="72"/>
      <c r="HCH134" s="72"/>
      <c r="HCI134" s="72"/>
      <c r="HCJ134" s="72"/>
      <c r="HCK134" s="72"/>
      <c r="HCL134" s="72"/>
      <c r="HCM134" s="72"/>
      <c r="HCN134" s="72"/>
      <c r="HCO134" s="72"/>
      <c r="HCP134" s="72"/>
      <c r="HCQ134" s="72"/>
      <c r="HCR134" s="72"/>
      <c r="HCS134" s="72"/>
      <c r="HCT134" s="72"/>
      <c r="HCU134" s="72"/>
      <c r="HCV134" s="72"/>
      <c r="HCW134" s="72"/>
      <c r="HCX134" s="72"/>
      <c r="HCY134" s="72"/>
      <c r="HCZ134" s="72"/>
      <c r="HDA134" s="72"/>
      <c r="HDB134" s="72"/>
      <c r="HDC134" s="72"/>
      <c r="HDD134" s="72"/>
      <c r="HDE134" s="72"/>
      <c r="HDF134" s="72"/>
      <c r="HDG134" s="72"/>
      <c r="HDH134" s="72"/>
      <c r="HDI134" s="72"/>
      <c r="HDJ134" s="72"/>
      <c r="HDK134" s="72"/>
      <c r="HDL134" s="72"/>
      <c r="HDM134" s="72"/>
      <c r="HDN134" s="72"/>
      <c r="HDO134" s="72"/>
      <c r="HDP134" s="72"/>
      <c r="HDQ134" s="72"/>
      <c r="HDR134" s="72"/>
      <c r="HDS134" s="72"/>
      <c r="HDT134" s="72"/>
      <c r="HDU134" s="72"/>
      <c r="HDV134" s="72"/>
      <c r="HDW134" s="72"/>
      <c r="HDX134" s="72"/>
      <c r="HDY134" s="72"/>
      <c r="HDZ134" s="72"/>
      <c r="HEA134" s="72"/>
      <c r="HEB134" s="72"/>
      <c r="HEC134" s="72"/>
      <c r="HED134" s="72"/>
      <c r="HEE134" s="72"/>
      <c r="HEF134" s="72"/>
      <c r="HEG134" s="72"/>
      <c r="HEH134" s="72"/>
      <c r="HEI134" s="72"/>
      <c r="HEJ134" s="72"/>
      <c r="HEK134" s="72"/>
      <c r="HEL134" s="72"/>
      <c r="HEM134" s="72"/>
      <c r="HEN134" s="72"/>
      <c r="HEO134" s="72"/>
      <c r="HEP134" s="72"/>
      <c r="HEQ134" s="72"/>
      <c r="HER134" s="72"/>
      <c r="HES134" s="72"/>
      <c r="HET134" s="72"/>
      <c r="HEU134" s="72"/>
      <c r="HEV134" s="72"/>
      <c r="HEW134" s="72"/>
      <c r="HEX134" s="72"/>
      <c r="HEY134" s="72"/>
      <c r="HEZ134" s="72"/>
      <c r="HFA134" s="72"/>
      <c r="HFB134" s="72"/>
      <c r="HFC134" s="72"/>
      <c r="HFD134" s="72"/>
      <c r="HFE134" s="72"/>
      <c r="HFF134" s="72"/>
      <c r="HFG134" s="72"/>
      <c r="HFH134" s="72"/>
      <c r="HFI134" s="72"/>
      <c r="HFJ134" s="72"/>
      <c r="HFK134" s="72"/>
      <c r="HFL134" s="72"/>
      <c r="HFM134" s="72"/>
      <c r="HFN134" s="72"/>
      <c r="HFO134" s="72"/>
      <c r="HFP134" s="72"/>
      <c r="HFQ134" s="72"/>
      <c r="HFR134" s="72"/>
      <c r="HFS134" s="72"/>
      <c r="HFT134" s="72"/>
      <c r="HFU134" s="72"/>
      <c r="HFV134" s="72"/>
      <c r="HFW134" s="72"/>
      <c r="HFX134" s="72"/>
      <c r="HFY134" s="72"/>
      <c r="HFZ134" s="72"/>
      <c r="HGA134" s="72"/>
      <c r="HGB134" s="72"/>
      <c r="HGC134" s="72"/>
      <c r="HGD134" s="72"/>
      <c r="HGE134" s="72"/>
      <c r="HGF134" s="72"/>
      <c r="HGG134" s="72"/>
      <c r="HGH134" s="72"/>
      <c r="HGI134" s="72"/>
      <c r="HGJ134" s="72"/>
      <c r="HGK134" s="72"/>
      <c r="HGL134" s="72"/>
      <c r="HGM134" s="72"/>
      <c r="HGN134" s="72"/>
      <c r="HGO134" s="72"/>
      <c r="HGP134" s="72"/>
      <c r="HGQ134" s="72"/>
      <c r="HGR134" s="72"/>
      <c r="HGS134" s="72"/>
      <c r="HGT134" s="72"/>
      <c r="HGU134" s="72"/>
      <c r="HGV134" s="72"/>
      <c r="HGW134" s="72"/>
      <c r="HGX134" s="72"/>
      <c r="HGY134" s="72"/>
      <c r="HGZ134" s="72"/>
      <c r="HHA134" s="72"/>
      <c r="HHB134" s="72"/>
      <c r="HHC134" s="72"/>
      <c r="HHD134" s="72"/>
      <c r="HHE134" s="72"/>
      <c r="HHF134" s="72"/>
      <c r="HHG134" s="72"/>
      <c r="HHH134" s="72"/>
      <c r="HHI134" s="72"/>
      <c r="HHJ134" s="72"/>
      <c r="HHK134" s="72"/>
      <c r="HHL134" s="72"/>
      <c r="HHM134" s="72"/>
      <c r="HHN134" s="72"/>
      <c r="HHO134" s="72"/>
      <c r="HHP134" s="72"/>
      <c r="HHQ134" s="72"/>
      <c r="HHR134" s="72"/>
      <c r="HHS134" s="72"/>
      <c r="HHT134" s="72"/>
      <c r="HHU134" s="72"/>
      <c r="HHV134" s="72"/>
      <c r="HHW134" s="72"/>
      <c r="HHX134" s="72"/>
      <c r="HHY134" s="72"/>
      <c r="HHZ134" s="72"/>
      <c r="HIA134" s="72"/>
      <c r="HIB134" s="72"/>
      <c r="HIC134" s="72"/>
      <c r="HID134" s="72"/>
      <c r="HIE134" s="72"/>
      <c r="HIF134" s="72"/>
      <c r="HIG134" s="72"/>
      <c r="HIH134" s="72"/>
      <c r="HII134" s="72"/>
      <c r="HIJ134" s="72"/>
      <c r="HIK134" s="72"/>
      <c r="HIL134" s="72"/>
      <c r="HIM134" s="72"/>
      <c r="HIN134" s="72"/>
      <c r="HIO134" s="72"/>
      <c r="HIP134" s="72"/>
      <c r="HIQ134" s="72"/>
      <c r="HIR134" s="72"/>
      <c r="HIS134" s="72"/>
      <c r="HIT134" s="72"/>
      <c r="HIU134" s="72"/>
      <c r="HIV134" s="72"/>
      <c r="HIW134" s="72"/>
      <c r="HIX134" s="72"/>
      <c r="HIY134" s="72"/>
      <c r="HIZ134" s="72"/>
      <c r="HJA134" s="72"/>
      <c r="HJB134" s="72"/>
      <c r="HJC134" s="72"/>
      <c r="HJD134" s="72"/>
      <c r="HJE134" s="72"/>
      <c r="HJF134" s="72"/>
      <c r="HJG134" s="72"/>
      <c r="HJH134" s="72"/>
      <c r="HJI134" s="72"/>
      <c r="HJJ134" s="72"/>
      <c r="HJK134" s="72"/>
      <c r="HJL134" s="72"/>
      <c r="HJM134" s="72"/>
      <c r="HJN134" s="72"/>
      <c r="HJO134" s="72"/>
      <c r="HJP134" s="72"/>
      <c r="HJQ134" s="72"/>
      <c r="HJR134" s="72"/>
      <c r="HJS134" s="72"/>
      <c r="HJT134" s="72"/>
      <c r="HJU134" s="72"/>
      <c r="HJV134" s="72"/>
      <c r="HJW134" s="72"/>
      <c r="HJX134" s="72"/>
      <c r="HJY134" s="72"/>
      <c r="HJZ134" s="72"/>
      <c r="HKA134" s="72"/>
      <c r="HKB134" s="72"/>
      <c r="HKC134" s="72"/>
      <c r="HKD134" s="72"/>
      <c r="HKE134" s="72"/>
      <c r="HKF134" s="72"/>
      <c r="HKG134" s="72"/>
      <c r="HKH134" s="72"/>
      <c r="HKI134" s="72"/>
      <c r="HKJ134" s="72"/>
      <c r="HKK134" s="72"/>
      <c r="HKL134" s="72"/>
      <c r="HKM134" s="72"/>
      <c r="HKN134" s="72"/>
      <c r="HKO134" s="72"/>
      <c r="HKP134" s="72"/>
      <c r="HKQ134" s="72"/>
      <c r="HKR134" s="72"/>
      <c r="HKS134" s="72"/>
      <c r="HKT134" s="72"/>
      <c r="HKU134" s="72"/>
      <c r="HKV134" s="72"/>
      <c r="HKW134" s="72"/>
      <c r="HKX134" s="72"/>
      <c r="HKY134" s="72"/>
      <c r="HKZ134" s="72"/>
      <c r="HLA134" s="72"/>
      <c r="HLB134" s="72"/>
      <c r="HLC134" s="72"/>
      <c r="HLD134" s="72"/>
      <c r="HLE134" s="72"/>
      <c r="HLF134" s="72"/>
      <c r="HLG134" s="72"/>
      <c r="HLH134" s="72"/>
      <c r="HLI134" s="72"/>
      <c r="HLJ134" s="72"/>
      <c r="HLK134" s="72"/>
      <c r="HLL134" s="72"/>
      <c r="HLM134" s="72"/>
      <c r="HLN134" s="72"/>
      <c r="HLO134" s="72"/>
      <c r="HLP134" s="72"/>
      <c r="HLQ134" s="72"/>
      <c r="HLR134" s="72"/>
      <c r="HLS134" s="72"/>
      <c r="HLT134" s="72"/>
      <c r="HLU134" s="72"/>
      <c r="HLV134" s="72"/>
      <c r="HLW134" s="72"/>
      <c r="HLX134" s="72"/>
      <c r="HLY134" s="72"/>
      <c r="HLZ134" s="72"/>
      <c r="HMA134" s="72"/>
      <c r="HMB134" s="72"/>
      <c r="HMC134" s="72"/>
      <c r="HMD134" s="72"/>
      <c r="HME134" s="72"/>
      <c r="HMF134" s="72"/>
      <c r="HMG134" s="72"/>
      <c r="HMH134" s="72"/>
      <c r="HMI134" s="72"/>
      <c r="HMJ134" s="72"/>
      <c r="HMK134" s="72"/>
      <c r="HML134" s="72"/>
      <c r="HMM134" s="72"/>
      <c r="HMN134" s="72"/>
      <c r="HMO134" s="72"/>
      <c r="HMP134" s="72"/>
      <c r="HMQ134" s="72"/>
      <c r="HMR134" s="72"/>
      <c r="HMS134" s="72"/>
      <c r="HMT134" s="72"/>
      <c r="HMU134" s="72"/>
      <c r="HMV134" s="72"/>
      <c r="HMW134" s="72"/>
      <c r="HMX134" s="72"/>
      <c r="HMY134" s="72"/>
      <c r="HMZ134" s="72"/>
      <c r="HNA134" s="72"/>
      <c r="HNB134" s="72"/>
      <c r="HNC134" s="72"/>
      <c r="HND134" s="72"/>
      <c r="HNE134" s="72"/>
      <c r="HNF134" s="72"/>
      <c r="HNG134" s="72"/>
      <c r="HNH134" s="72"/>
      <c r="HNI134" s="72"/>
      <c r="HNJ134" s="72"/>
      <c r="HNK134" s="72"/>
      <c r="HNL134" s="72"/>
      <c r="HNM134" s="72"/>
      <c r="HNN134" s="72"/>
      <c r="HNO134" s="72"/>
      <c r="HNP134" s="72"/>
      <c r="HNQ134" s="72"/>
      <c r="HNR134" s="72"/>
      <c r="HNS134" s="72"/>
      <c r="HNT134" s="72"/>
      <c r="HNU134" s="72"/>
      <c r="HNV134" s="72"/>
      <c r="HNW134" s="72"/>
      <c r="HNX134" s="72"/>
      <c r="HNY134" s="72"/>
      <c r="HNZ134" s="72"/>
      <c r="HOA134" s="72"/>
      <c r="HOB134" s="72"/>
      <c r="HOC134" s="72"/>
      <c r="HOD134" s="72"/>
      <c r="HOE134" s="72"/>
      <c r="HOF134" s="72"/>
      <c r="HOG134" s="72"/>
      <c r="HOH134" s="72"/>
      <c r="HOI134" s="72"/>
      <c r="HOJ134" s="72"/>
      <c r="HOK134" s="72"/>
      <c r="HOL134" s="72"/>
      <c r="HOM134" s="72"/>
      <c r="HON134" s="72"/>
      <c r="HOO134" s="72"/>
      <c r="HOP134" s="72"/>
      <c r="HOQ134" s="72"/>
      <c r="HOR134" s="72"/>
      <c r="HOS134" s="72"/>
      <c r="HOT134" s="72"/>
      <c r="HOU134" s="72"/>
      <c r="HOV134" s="72"/>
      <c r="HOW134" s="72"/>
      <c r="HOX134" s="72"/>
      <c r="HOY134" s="72"/>
      <c r="HOZ134" s="72"/>
      <c r="HPA134" s="72"/>
      <c r="HPB134" s="72"/>
      <c r="HPC134" s="72"/>
      <c r="HPD134" s="72"/>
      <c r="HPE134" s="72"/>
      <c r="HPF134" s="72"/>
      <c r="HPG134" s="72"/>
      <c r="HPH134" s="72"/>
      <c r="HPI134" s="72"/>
      <c r="HPJ134" s="72"/>
      <c r="HPK134" s="72"/>
      <c r="HPL134" s="72"/>
      <c r="HPM134" s="72"/>
      <c r="HPN134" s="72"/>
      <c r="HPO134" s="72"/>
      <c r="HPP134" s="72"/>
      <c r="HPQ134" s="72"/>
      <c r="HPR134" s="72"/>
      <c r="HPS134" s="72"/>
      <c r="HPT134" s="72"/>
      <c r="HPU134" s="72"/>
      <c r="HPV134" s="72"/>
      <c r="HPW134" s="72"/>
      <c r="HPX134" s="72"/>
      <c r="HPY134" s="72"/>
      <c r="HPZ134" s="72"/>
      <c r="HQA134" s="72"/>
      <c r="HQB134" s="72"/>
      <c r="HQC134" s="72"/>
      <c r="HQD134" s="72"/>
      <c r="HQE134" s="72"/>
      <c r="HQF134" s="72"/>
      <c r="HQG134" s="72"/>
      <c r="HQH134" s="72"/>
      <c r="HQI134" s="72"/>
      <c r="HQJ134" s="72"/>
      <c r="HQK134" s="72"/>
      <c r="HQL134" s="72"/>
      <c r="HQM134" s="72"/>
      <c r="HQN134" s="72"/>
      <c r="HQO134" s="72"/>
      <c r="HQP134" s="72"/>
      <c r="HQQ134" s="72"/>
      <c r="HQR134" s="72"/>
      <c r="HQS134" s="72"/>
      <c r="HQT134" s="72"/>
      <c r="HQU134" s="72"/>
      <c r="HQV134" s="72"/>
      <c r="HQW134" s="72"/>
      <c r="HQX134" s="72"/>
      <c r="HQY134" s="72"/>
      <c r="HQZ134" s="72"/>
      <c r="HRA134" s="72"/>
      <c r="HRB134" s="72"/>
      <c r="HRC134" s="72"/>
      <c r="HRD134" s="72"/>
      <c r="HRE134" s="72"/>
      <c r="HRF134" s="72"/>
      <c r="HRG134" s="72"/>
      <c r="HRH134" s="72"/>
      <c r="HRI134" s="72"/>
      <c r="HRJ134" s="72"/>
      <c r="HRK134" s="72"/>
      <c r="HRL134" s="72"/>
      <c r="HRM134" s="72"/>
      <c r="HRN134" s="72"/>
      <c r="HRO134" s="72"/>
      <c r="HRP134" s="72"/>
      <c r="HRQ134" s="72"/>
      <c r="HRR134" s="72"/>
      <c r="HRS134" s="72"/>
      <c r="HRT134" s="72"/>
      <c r="HRU134" s="72"/>
      <c r="HRV134" s="72"/>
      <c r="HRW134" s="72"/>
      <c r="HRX134" s="72"/>
      <c r="HRY134" s="72"/>
      <c r="HRZ134" s="72"/>
      <c r="HSA134" s="72"/>
      <c r="HSB134" s="72"/>
      <c r="HSC134" s="72"/>
      <c r="HSD134" s="72"/>
      <c r="HSE134" s="72"/>
      <c r="HSF134" s="72"/>
      <c r="HSG134" s="72"/>
      <c r="HSH134" s="72"/>
      <c r="HSI134" s="72"/>
      <c r="HSJ134" s="72"/>
      <c r="HSK134" s="72"/>
      <c r="HSL134" s="72"/>
      <c r="HSM134" s="72"/>
      <c r="HSN134" s="72"/>
      <c r="HSO134" s="72"/>
      <c r="HSP134" s="72"/>
      <c r="HSQ134" s="72"/>
      <c r="HSR134" s="72"/>
      <c r="HSS134" s="72"/>
      <c r="HST134" s="72"/>
      <c r="HSU134" s="72"/>
      <c r="HSV134" s="72"/>
      <c r="HSW134" s="72"/>
      <c r="HSX134" s="72"/>
      <c r="HSY134" s="72"/>
      <c r="HSZ134" s="72"/>
      <c r="HTA134" s="72"/>
      <c r="HTB134" s="72"/>
      <c r="HTC134" s="72"/>
      <c r="HTD134" s="72"/>
      <c r="HTE134" s="72"/>
      <c r="HTF134" s="72"/>
      <c r="HTG134" s="72"/>
      <c r="HTH134" s="72"/>
      <c r="HTI134" s="72"/>
      <c r="HTJ134" s="72"/>
      <c r="HTK134" s="72"/>
      <c r="HTL134" s="72"/>
      <c r="HTM134" s="72"/>
      <c r="HTN134" s="72"/>
      <c r="HTO134" s="72"/>
      <c r="HTP134" s="72"/>
      <c r="HTQ134" s="72"/>
      <c r="HTR134" s="72"/>
      <c r="HTS134" s="72"/>
      <c r="HTT134" s="72"/>
      <c r="HTU134" s="72"/>
      <c r="HTV134" s="72"/>
      <c r="HTW134" s="72"/>
      <c r="HTX134" s="72"/>
      <c r="HTY134" s="72"/>
      <c r="HTZ134" s="72"/>
      <c r="HUA134" s="72"/>
      <c r="HUB134" s="72"/>
      <c r="HUC134" s="72"/>
      <c r="HUD134" s="72"/>
      <c r="HUE134" s="72"/>
      <c r="HUF134" s="72"/>
      <c r="HUG134" s="72"/>
      <c r="HUH134" s="72"/>
      <c r="HUI134" s="72"/>
      <c r="HUJ134" s="72"/>
      <c r="HUK134" s="72"/>
      <c r="HUL134" s="72"/>
      <c r="HUM134" s="72"/>
      <c r="HUN134" s="72"/>
      <c r="HUO134" s="72"/>
      <c r="HUP134" s="72"/>
      <c r="HUQ134" s="72"/>
      <c r="HUR134" s="72"/>
      <c r="HUS134" s="72"/>
      <c r="HUT134" s="72"/>
      <c r="HUU134" s="72"/>
      <c r="HUV134" s="72"/>
      <c r="HUW134" s="72"/>
      <c r="HUX134" s="72"/>
      <c r="HUY134" s="72"/>
      <c r="HUZ134" s="72"/>
      <c r="HVA134" s="72"/>
      <c r="HVB134" s="72"/>
      <c r="HVC134" s="72"/>
      <c r="HVD134" s="72"/>
      <c r="HVE134" s="72"/>
      <c r="HVF134" s="72"/>
      <c r="HVG134" s="72"/>
      <c r="HVH134" s="72"/>
      <c r="HVI134" s="72"/>
      <c r="HVJ134" s="72"/>
      <c r="HVK134" s="72"/>
      <c r="HVL134" s="72"/>
      <c r="HVM134" s="72"/>
      <c r="HVN134" s="72"/>
      <c r="HVO134" s="72"/>
      <c r="HVP134" s="72"/>
      <c r="HVQ134" s="72"/>
      <c r="HVR134" s="72"/>
      <c r="HVS134" s="72"/>
      <c r="HVT134" s="72"/>
      <c r="HVU134" s="72"/>
      <c r="HVV134" s="72"/>
      <c r="HVW134" s="72"/>
      <c r="HVX134" s="72"/>
      <c r="HVY134" s="72"/>
      <c r="HVZ134" s="72"/>
      <c r="HWA134" s="72"/>
      <c r="HWB134" s="72"/>
      <c r="HWC134" s="72"/>
      <c r="HWD134" s="72"/>
      <c r="HWE134" s="72"/>
      <c r="HWF134" s="72"/>
      <c r="HWG134" s="72"/>
      <c r="HWH134" s="72"/>
      <c r="HWI134" s="72"/>
      <c r="HWJ134" s="72"/>
      <c r="HWK134" s="72"/>
      <c r="HWL134" s="72"/>
      <c r="HWM134" s="72"/>
      <c r="HWN134" s="72"/>
      <c r="HWO134" s="72"/>
      <c r="HWP134" s="72"/>
      <c r="HWQ134" s="72"/>
      <c r="HWR134" s="72"/>
      <c r="HWS134" s="72"/>
      <c r="HWT134" s="72"/>
      <c r="HWU134" s="72"/>
      <c r="HWV134" s="72"/>
      <c r="HWW134" s="72"/>
      <c r="HWX134" s="72"/>
      <c r="HWY134" s="72"/>
      <c r="HWZ134" s="72"/>
      <c r="HXA134" s="72"/>
      <c r="HXB134" s="72"/>
      <c r="HXC134" s="72"/>
      <c r="HXD134" s="72"/>
      <c r="HXE134" s="72"/>
      <c r="HXF134" s="72"/>
      <c r="HXG134" s="72"/>
      <c r="HXH134" s="72"/>
      <c r="HXI134" s="72"/>
      <c r="HXJ134" s="72"/>
      <c r="HXK134" s="72"/>
      <c r="HXL134" s="72"/>
      <c r="HXM134" s="72"/>
      <c r="HXN134" s="72"/>
      <c r="HXO134" s="72"/>
      <c r="HXP134" s="72"/>
      <c r="HXQ134" s="72"/>
      <c r="HXR134" s="72"/>
      <c r="HXS134" s="72"/>
      <c r="HXT134" s="72"/>
      <c r="HXU134" s="72"/>
      <c r="HXV134" s="72"/>
      <c r="HXW134" s="72"/>
      <c r="HXX134" s="72"/>
      <c r="HXY134" s="72"/>
      <c r="HXZ134" s="72"/>
      <c r="HYA134" s="72"/>
      <c r="HYB134" s="72"/>
      <c r="HYC134" s="72"/>
      <c r="HYD134" s="72"/>
      <c r="HYE134" s="72"/>
      <c r="HYF134" s="72"/>
      <c r="HYG134" s="72"/>
      <c r="HYH134" s="72"/>
      <c r="HYI134" s="72"/>
      <c r="HYJ134" s="72"/>
      <c r="HYK134" s="72"/>
      <c r="HYL134" s="72"/>
      <c r="HYM134" s="72"/>
      <c r="HYN134" s="72"/>
      <c r="HYO134" s="72"/>
      <c r="HYP134" s="72"/>
      <c r="HYQ134" s="72"/>
      <c r="HYR134" s="72"/>
      <c r="HYS134" s="72"/>
      <c r="HYT134" s="72"/>
      <c r="HYU134" s="72"/>
      <c r="HYV134" s="72"/>
      <c r="HYW134" s="72"/>
      <c r="HYX134" s="72"/>
      <c r="HYY134" s="72"/>
      <c r="HYZ134" s="72"/>
      <c r="HZA134" s="72"/>
      <c r="HZB134" s="72"/>
      <c r="HZC134" s="72"/>
      <c r="HZD134" s="72"/>
      <c r="HZE134" s="72"/>
      <c r="HZF134" s="72"/>
      <c r="HZG134" s="72"/>
      <c r="HZH134" s="72"/>
      <c r="HZI134" s="72"/>
      <c r="HZJ134" s="72"/>
      <c r="HZK134" s="72"/>
      <c r="HZL134" s="72"/>
      <c r="HZM134" s="72"/>
      <c r="HZN134" s="72"/>
      <c r="HZO134" s="72"/>
      <c r="HZP134" s="72"/>
      <c r="HZQ134" s="72"/>
      <c r="HZR134" s="72"/>
      <c r="HZS134" s="72"/>
      <c r="HZT134" s="72"/>
      <c r="HZU134" s="72"/>
      <c r="HZV134" s="72"/>
      <c r="HZW134" s="72"/>
      <c r="HZX134" s="72"/>
      <c r="HZY134" s="72"/>
      <c r="HZZ134" s="72"/>
      <c r="IAA134" s="72"/>
      <c r="IAB134" s="72"/>
      <c r="IAC134" s="72"/>
      <c r="IAD134" s="72"/>
      <c r="IAE134" s="72"/>
      <c r="IAF134" s="72"/>
      <c r="IAG134" s="72"/>
      <c r="IAH134" s="72"/>
      <c r="IAI134" s="72"/>
      <c r="IAJ134" s="72"/>
      <c r="IAK134" s="72"/>
      <c r="IAL134" s="72"/>
      <c r="IAM134" s="72"/>
      <c r="IAN134" s="72"/>
      <c r="IAO134" s="72"/>
      <c r="IAP134" s="72"/>
      <c r="IAQ134" s="72"/>
      <c r="IAR134" s="72"/>
      <c r="IAS134" s="72"/>
      <c r="IAT134" s="72"/>
      <c r="IAU134" s="72"/>
      <c r="IAV134" s="72"/>
      <c r="IAW134" s="72"/>
      <c r="IAX134" s="72"/>
      <c r="IAY134" s="72"/>
      <c r="IAZ134" s="72"/>
      <c r="IBA134" s="72"/>
      <c r="IBB134" s="72"/>
      <c r="IBC134" s="72"/>
      <c r="IBD134" s="72"/>
      <c r="IBE134" s="72"/>
      <c r="IBF134" s="72"/>
      <c r="IBG134" s="72"/>
      <c r="IBH134" s="72"/>
      <c r="IBI134" s="72"/>
      <c r="IBJ134" s="72"/>
      <c r="IBK134" s="72"/>
      <c r="IBL134" s="72"/>
      <c r="IBM134" s="72"/>
      <c r="IBN134" s="72"/>
      <c r="IBO134" s="72"/>
      <c r="IBP134" s="72"/>
      <c r="IBQ134" s="72"/>
      <c r="IBR134" s="72"/>
      <c r="IBS134" s="72"/>
      <c r="IBT134" s="72"/>
      <c r="IBU134" s="72"/>
      <c r="IBV134" s="72"/>
      <c r="IBW134" s="72"/>
      <c r="IBX134" s="72"/>
      <c r="IBY134" s="72"/>
      <c r="IBZ134" s="72"/>
      <c r="ICA134" s="72"/>
      <c r="ICB134" s="72"/>
      <c r="ICC134" s="72"/>
      <c r="ICD134" s="72"/>
      <c r="ICE134" s="72"/>
      <c r="ICF134" s="72"/>
      <c r="ICG134" s="72"/>
      <c r="ICH134" s="72"/>
      <c r="ICI134" s="72"/>
      <c r="ICJ134" s="72"/>
      <c r="ICK134" s="72"/>
      <c r="ICL134" s="72"/>
      <c r="ICM134" s="72"/>
      <c r="ICN134" s="72"/>
      <c r="ICO134" s="72"/>
      <c r="ICP134" s="72"/>
      <c r="ICQ134" s="72"/>
      <c r="ICR134" s="72"/>
      <c r="ICS134" s="72"/>
      <c r="ICT134" s="72"/>
      <c r="ICU134" s="72"/>
      <c r="ICV134" s="72"/>
      <c r="ICW134" s="72"/>
      <c r="ICX134" s="72"/>
      <c r="ICY134" s="72"/>
      <c r="ICZ134" s="72"/>
      <c r="IDA134" s="72"/>
      <c r="IDB134" s="72"/>
      <c r="IDC134" s="72"/>
      <c r="IDD134" s="72"/>
      <c r="IDE134" s="72"/>
      <c r="IDF134" s="72"/>
      <c r="IDG134" s="72"/>
      <c r="IDH134" s="72"/>
      <c r="IDI134" s="72"/>
      <c r="IDJ134" s="72"/>
      <c r="IDK134" s="72"/>
      <c r="IDL134" s="72"/>
      <c r="IDM134" s="72"/>
      <c r="IDN134" s="72"/>
      <c r="IDO134" s="72"/>
      <c r="IDP134" s="72"/>
      <c r="IDQ134" s="72"/>
      <c r="IDR134" s="72"/>
      <c r="IDS134" s="72"/>
      <c r="IDT134" s="72"/>
      <c r="IDU134" s="72"/>
      <c r="IDV134" s="72"/>
      <c r="IDW134" s="72"/>
      <c r="IDX134" s="72"/>
      <c r="IDY134" s="72"/>
      <c r="IDZ134" s="72"/>
      <c r="IEA134" s="72"/>
      <c r="IEB134" s="72"/>
      <c r="IEC134" s="72"/>
      <c r="IED134" s="72"/>
      <c r="IEE134" s="72"/>
      <c r="IEF134" s="72"/>
      <c r="IEG134" s="72"/>
      <c r="IEH134" s="72"/>
      <c r="IEI134" s="72"/>
      <c r="IEJ134" s="72"/>
      <c r="IEK134" s="72"/>
      <c r="IEL134" s="72"/>
      <c r="IEM134" s="72"/>
      <c r="IEN134" s="72"/>
      <c r="IEO134" s="72"/>
      <c r="IEP134" s="72"/>
      <c r="IEQ134" s="72"/>
      <c r="IER134" s="72"/>
      <c r="IES134" s="72"/>
      <c r="IET134" s="72"/>
      <c r="IEU134" s="72"/>
      <c r="IEV134" s="72"/>
      <c r="IEW134" s="72"/>
      <c r="IEX134" s="72"/>
      <c r="IEY134" s="72"/>
      <c r="IEZ134" s="72"/>
      <c r="IFA134" s="72"/>
      <c r="IFB134" s="72"/>
      <c r="IFC134" s="72"/>
      <c r="IFD134" s="72"/>
      <c r="IFE134" s="72"/>
      <c r="IFF134" s="72"/>
      <c r="IFG134" s="72"/>
      <c r="IFH134" s="72"/>
      <c r="IFI134" s="72"/>
      <c r="IFJ134" s="72"/>
      <c r="IFK134" s="72"/>
      <c r="IFL134" s="72"/>
      <c r="IFM134" s="72"/>
      <c r="IFN134" s="72"/>
      <c r="IFO134" s="72"/>
      <c r="IFP134" s="72"/>
      <c r="IFQ134" s="72"/>
      <c r="IFR134" s="72"/>
      <c r="IFS134" s="72"/>
      <c r="IFT134" s="72"/>
      <c r="IFU134" s="72"/>
      <c r="IFV134" s="72"/>
      <c r="IFW134" s="72"/>
      <c r="IFX134" s="72"/>
      <c r="IFY134" s="72"/>
      <c r="IFZ134" s="72"/>
      <c r="IGA134" s="72"/>
      <c r="IGB134" s="72"/>
      <c r="IGC134" s="72"/>
      <c r="IGD134" s="72"/>
      <c r="IGE134" s="72"/>
      <c r="IGF134" s="72"/>
      <c r="IGG134" s="72"/>
      <c r="IGH134" s="72"/>
      <c r="IGI134" s="72"/>
      <c r="IGJ134" s="72"/>
      <c r="IGK134" s="72"/>
      <c r="IGL134" s="72"/>
      <c r="IGM134" s="72"/>
      <c r="IGN134" s="72"/>
      <c r="IGO134" s="72"/>
      <c r="IGP134" s="72"/>
      <c r="IGQ134" s="72"/>
      <c r="IGR134" s="72"/>
      <c r="IGS134" s="72"/>
      <c r="IGT134" s="72"/>
      <c r="IGU134" s="72"/>
      <c r="IGV134" s="72"/>
      <c r="IGW134" s="72"/>
      <c r="IGX134" s="72"/>
      <c r="IGY134" s="72"/>
      <c r="IGZ134" s="72"/>
      <c r="IHA134" s="72"/>
      <c r="IHB134" s="72"/>
      <c r="IHC134" s="72"/>
      <c r="IHD134" s="72"/>
      <c r="IHE134" s="72"/>
      <c r="IHF134" s="72"/>
      <c r="IHG134" s="72"/>
      <c r="IHH134" s="72"/>
      <c r="IHI134" s="72"/>
      <c r="IHJ134" s="72"/>
      <c r="IHK134" s="72"/>
      <c r="IHL134" s="72"/>
      <c r="IHM134" s="72"/>
      <c r="IHN134" s="72"/>
      <c r="IHO134" s="72"/>
      <c r="IHP134" s="72"/>
      <c r="IHQ134" s="72"/>
      <c r="IHR134" s="72"/>
      <c r="IHS134" s="72"/>
      <c r="IHT134" s="72"/>
      <c r="IHU134" s="72"/>
      <c r="IHV134" s="72"/>
      <c r="IHW134" s="72"/>
      <c r="IHX134" s="72"/>
      <c r="IHY134" s="72"/>
      <c r="IHZ134" s="72"/>
      <c r="IIA134" s="72"/>
      <c r="IIB134" s="72"/>
      <c r="IIC134" s="72"/>
      <c r="IID134" s="72"/>
      <c r="IIE134" s="72"/>
      <c r="IIF134" s="72"/>
      <c r="IIG134" s="72"/>
      <c r="IIH134" s="72"/>
      <c r="III134" s="72"/>
      <c r="IIJ134" s="72"/>
      <c r="IIK134" s="72"/>
      <c r="IIL134" s="72"/>
      <c r="IIM134" s="72"/>
      <c r="IIN134" s="72"/>
      <c r="IIO134" s="72"/>
      <c r="IIP134" s="72"/>
      <c r="IIQ134" s="72"/>
      <c r="IIR134" s="72"/>
      <c r="IIS134" s="72"/>
      <c r="IIT134" s="72"/>
      <c r="IIU134" s="72"/>
      <c r="IIV134" s="72"/>
      <c r="IIW134" s="72"/>
      <c r="IIX134" s="72"/>
      <c r="IIY134" s="72"/>
      <c r="IIZ134" s="72"/>
      <c r="IJA134" s="72"/>
      <c r="IJB134" s="72"/>
      <c r="IJC134" s="72"/>
      <c r="IJD134" s="72"/>
      <c r="IJE134" s="72"/>
      <c r="IJF134" s="72"/>
      <c r="IJG134" s="72"/>
      <c r="IJH134" s="72"/>
      <c r="IJI134" s="72"/>
      <c r="IJJ134" s="72"/>
      <c r="IJK134" s="72"/>
      <c r="IJL134" s="72"/>
      <c r="IJM134" s="72"/>
      <c r="IJN134" s="72"/>
      <c r="IJO134" s="72"/>
      <c r="IJP134" s="72"/>
      <c r="IJQ134" s="72"/>
      <c r="IJR134" s="72"/>
      <c r="IJS134" s="72"/>
      <c r="IJT134" s="72"/>
      <c r="IJU134" s="72"/>
      <c r="IJV134" s="72"/>
      <c r="IJW134" s="72"/>
      <c r="IJX134" s="72"/>
      <c r="IJY134" s="72"/>
      <c r="IJZ134" s="72"/>
      <c r="IKA134" s="72"/>
      <c r="IKB134" s="72"/>
      <c r="IKC134" s="72"/>
      <c r="IKD134" s="72"/>
      <c r="IKE134" s="72"/>
      <c r="IKF134" s="72"/>
      <c r="IKG134" s="72"/>
      <c r="IKH134" s="72"/>
      <c r="IKI134" s="72"/>
      <c r="IKJ134" s="72"/>
      <c r="IKK134" s="72"/>
      <c r="IKL134" s="72"/>
      <c r="IKM134" s="72"/>
      <c r="IKN134" s="72"/>
      <c r="IKO134" s="72"/>
      <c r="IKP134" s="72"/>
      <c r="IKQ134" s="72"/>
      <c r="IKR134" s="72"/>
      <c r="IKS134" s="72"/>
      <c r="IKT134" s="72"/>
      <c r="IKU134" s="72"/>
      <c r="IKV134" s="72"/>
      <c r="IKW134" s="72"/>
      <c r="IKX134" s="72"/>
      <c r="IKY134" s="72"/>
      <c r="IKZ134" s="72"/>
      <c r="ILA134" s="72"/>
      <c r="ILB134" s="72"/>
      <c r="ILC134" s="72"/>
      <c r="ILD134" s="72"/>
      <c r="ILE134" s="72"/>
      <c r="ILF134" s="72"/>
      <c r="ILG134" s="72"/>
      <c r="ILH134" s="72"/>
      <c r="ILI134" s="72"/>
      <c r="ILJ134" s="72"/>
      <c r="ILK134" s="72"/>
      <c r="ILL134" s="72"/>
      <c r="ILM134" s="72"/>
      <c r="ILN134" s="72"/>
      <c r="ILO134" s="72"/>
      <c r="ILP134" s="72"/>
      <c r="ILQ134" s="72"/>
      <c r="ILR134" s="72"/>
      <c r="ILS134" s="72"/>
      <c r="ILT134" s="72"/>
      <c r="ILU134" s="72"/>
      <c r="ILV134" s="72"/>
      <c r="ILW134" s="72"/>
      <c r="ILX134" s="72"/>
      <c r="ILY134" s="72"/>
      <c r="ILZ134" s="72"/>
      <c r="IMA134" s="72"/>
      <c r="IMB134" s="72"/>
      <c r="IMC134" s="72"/>
      <c r="IMD134" s="72"/>
      <c r="IME134" s="72"/>
      <c r="IMF134" s="72"/>
      <c r="IMG134" s="72"/>
      <c r="IMH134" s="72"/>
      <c r="IMI134" s="72"/>
      <c r="IMJ134" s="72"/>
      <c r="IMK134" s="72"/>
      <c r="IML134" s="72"/>
      <c r="IMM134" s="72"/>
      <c r="IMN134" s="72"/>
      <c r="IMO134" s="72"/>
      <c r="IMP134" s="72"/>
      <c r="IMQ134" s="72"/>
      <c r="IMR134" s="72"/>
      <c r="IMS134" s="72"/>
      <c r="IMT134" s="72"/>
      <c r="IMU134" s="72"/>
      <c r="IMV134" s="72"/>
      <c r="IMW134" s="72"/>
      <c r="IMX134" s="72"/>
      <c r="IMY134" s="72"/>
      <c r="IMZ134" s="72"/>
      <c r="INA134" s="72"/>
      <c r="INB134" s="72"/>
      <c r="INC134" s="72"/>
      <c r="IND134" s="72"/>
      <c r="INE134" s="72"/>
      <c r="INF134" s="72"/>
      <c r="ING134" s="72"/>
      <c r="INH134" s="72"/>
      <c r="INI134" s="72"/>
      <c r="INJ134" s="72"/>
      <c r="INK134" s="72"/>
      <c r="INL134" s="72"/>
      <c r="INM134" s="72"/>
      <c r="INN134" s="72"/>
      <c r="INO134" s="72"/>
      <c r="INP134" s="72"/>
      <c r="INQ134" s="72"/>
      <c r="INR134" s="72"/>
      <c r="INS134" s="72"/>
      <c r="INT134" s="72"/>
      <c r="INU134" s="72"/>
      <c r="INV134" s="72"/>
      <c r="INW134" s="72"/>
      <c r="INX134" s="72"/>
      <c r="INY134" s="72"/>
      <c r="INZ134" s="72"/>
      <c r="IOA134" s="72"/>
      <c r="IOB134" s="72"/>
      <c r="IOC134" s="72"/>
      <c r="IOD134" s="72"/>
      <c r="IOE134" s="72"/>
      <c r="IOF134" s="72"/>
      <c r="IOG134" s="72"/>
      <c r="IOH134" s="72"/>
      <c r="IOI134" s="72"/>
      <c r="IOJ134" s="72"/>
      <c r="IOK134" s="72"/>
      <c r="IOL134" s="72"/>
      <c r="IOM134" s="72"/>
      <c r="ION134" s="72"/>
      <c r="IOO134" s="72"/>
      <c r="IOP134" s="72"/>
      <c r="IOQ134" s="72"/>
      <c r="IOR134" s="72"/>
      <c r="IOS134" s="72"/>
      <c r="IOT134" s="72"/>
      <c r="IOU134" s="72"/>
      <c r="IOV134" s="72"/>
      <c r="IOW134" s="72"/>
      <c r="IOX134" s="72"/>
      <c r="IOY134" s="72"/>
      <c r="IOZ134" s="72"/>
      <c r="IPA134" s="72"/>
      <c r="IPB134" s="72"/>
      <c r="IPC134" s="72"/>
      <c r="IPD134" s="72"/>
      <c r="IPE134" s="72"/>
      <c r="IPF134" s="72"/>
      <c r="IPG134" s="72"/>
      <c r="IPH134" s="72"/>
      <c r="IPI134" s="72"/>
      <c r="IPJ134" s="72"/>
      <c r="IPK134" s="72"/>
      <c r="IPL134" s="72"/>
      <c r="IPM134" s="72"/>
      <c r="IPN134" s="72"/>
      <c r="IPO134" s="72"/>
      <c r="IPP134" s="72"/>
      <c r="IPQ134" s="72"/>
      <c r="IPR134" s="72"/>
      <c r="IPS134" s="72"/>
      <c r="IPT134" s="72"/>
      <c r="IPU134" s="72"/>
      <c r="IPV134" s="72"/>
      <c r="IPW134" s="72"/>
      <c r="IPX134" s="72"/>
      <c r="IPY134" s="72"/>
      <c r="IPZ134" s="72"/>
      <c r="IQA134" s="72"/>
      <c r="IQB134" s="72"/>
      <c r="IQC134" s="72"/>
      <c r="IQD134" s="72"/>
      <c r="IQE134" s="72"/>
      <c r="IQF134" s="72"/>
      <c r="IQG134" s="72"/>
      <c r="IQH134" s="72"/>
      <c r="IQI134" s="72"/>
      <c r="IQJ134" s="72"/>
      <c r="IQK134" s="72"/>
      <c r="IQL134" s="72"/>
      <c r="IQM134" s="72"/>
      <c r="IQN134" s="72"/>
      <c r="IQO134" s="72"/>
      <c r="IQP134" s="72"/>
      <c r="IQQ134" s="72"/>
      <c r="IQR134" s="72"/>
      <c r="IQS134" s="72"/>
      <c r="IQT134" s="72"/>
      <c r="IQU134" s="72"/>
      <c r="IQV134" s="72"/>
      <c r="IQW134" s="72"/>
      <c r="IQX134" s="72"/>
      <c r="IQY134" s="72"/>
      <c r="IQZ134" s="72"/>
      <c r="IRA134" s="72"/>
      <c r="IRB134" s="72"/>
      <c r="IRC134" s="72"/>
      <c r="IRD134" s="72"/>
      <c r="IRE134" s="72"/>
      <c r="IRF134" s="72"/>
      <c r="IRG134" s="72"/>
      <c r="IRH134" s="72"/>
      <c r="IRI134" s="72"/>
      <c r="IRJ134" s="72"/>
      <c r="IRK134" s="72"/>
      <c r="IRL134" s="72"/>
      <c r="IRM134" s="72"/>
      <c r="IRN134" s="72"/>
      <c r="IRO134" s="72"/>
      <c r="IRP134" s="72"/>
      <c r="IRQ134" s="72"/>
      <c r="IRR134" s="72"/>
      <c r="IRS134" s="72"/>
      <c r="IRT134" s="72"/>
      <c r="IRU134" s="72"/>
      <c r="IRV134" s="72"/>
      <c r="IRW134" s="72"/>
      <c r="IRX134" s="72"/>
      <c r="IRY134" s="72"/>
      <c r="IRZ134" s="72"/>
      <c r="ISA134" s="72"/>
      <c r="ISB134" s="72"/>
      <c r="ISC134" s="72"/>
      <c r="ISD134" s="72"/>
      <c r="ISE134" s="72"/>
      <c r="ISF134" s="72"/>
      <c r="ISG134" s="72"/>
      <c r="ISH134" s="72"/>
      <c r="ISI134" s="72"/>
      <c r="ISJ134" s="72"/>
      <c r="ISK134" s="72"/>
      <c r="ISL134" s="72"/>
      <c r="ISM134" s="72"/>
      <c r="ISN134" s="72"/>
      <c r="ISO134" s="72"/>
      <c r="ISP134" s="72"/>
      <c r="ISQ134" s="72"/>
      <c r="ISR134" s="72"/>
      <c r="ISS134" s="72"/>
      <c r="IST134" s="72"/>
      <c r="ISU134" s="72"/>
      <c r="ISV134" s="72"/>
      <c r="ISW134" s="72"/>
      <c r="ISX134" s="72"/>
      <c r="ISY134" s="72"/>
      <c r="ISZ134" s="72"/>
      <c r="ITA134" s="72"/>
      <c r="ITB134" s="72"/>
      <c r="ITC134" s="72"/>
      <c r="ITD134" s="72"/>
      <c r="ITE134" s="72"/>
      <c r="ITF134" s="72"/>
      <c r="ITG134" s="72"/>
      <c r="ITH134" s="72"/>
      <c r="ITI134" s="72"/>
      <c r="ITJ134" s="72"/>
      <c r="ITK134" s="72"/>
      <c r="ITL134" s="72"/>
      <c r="ITM134" s="72"/>
      <c r="ITN134" s="72"/>
      <c r="ITO134" s="72"/>
      <c r="ITP134" s="72"/>
      <c r="ITQ134" s="72"/>
      <c r="ITR134" s="72"/>
      <c r="ITS134" s="72"/>
      <c r="ITT134" s="72"/>
      <c r="ITU134" s="72"/>
      <c r="ITV134" s="72"/>
      <c r="ITW134" s="72"/>
      <c r="ITX134" s="72"/>
      <c r="ITY134" s="72"/>
      <c r="ITZ134" s="72"/>
      <c r="IUA134" s="72"/>
      <c r="IUB134" s="72"/>
      <c r="IUC134" s="72"/>
      <c r="IUD134" s="72"/>
      <c r="IUE134" s="72"/>
      <c r="IUF134" s="72"/>
      <c r="IUG134" s="72"/>
      <c r="IUH134" s="72"/>
      <c r="IUI134" s="72"/>
      <c r="IUJ134" s="72"/>
      <c r="IUK134" s="72"/>
      <c r="IUL134" s="72"/>
      <c r="IUM134" s="72"/>
      <c r="IUN134" s="72"/>
      <c r="IUO134" s="72"/>
      <c r="IUP134" s="72"/>
      <c r="IUQ134" s="72"/>
      <c r="IUR134" s="72"/>
      <c r="IUS134" s="72"/>
      <c r="IUT134" s="72"/>
      <c r="IUU134" s="72"/>
      <c r="IUV134" s="72"/>
      <c r="IUW134" s="72"/>
      <c r="IUX134" s="72"/>
      <c r="IUY134" s="72"/>
      <c r="IUZ134" s="72"/>
      <c r="IVA134" s="72"/>
      <c r="IVB134" s="72"/>
      <c r="IVC134" s="72"/>
      <c r="IVD134" s="72"/>
      <c r="IVE134" s="72"/>
      <c r="IVF134" s="72"/>
      <c r="IVG134" s="72"/>
      <c r="IVH134" s="72"/>
      <c r="IVI134" s="72"/>
      <c r="IVJ134" s="72"/>
      <c r="IVK134" s="72"/>
      <c r="IVL134" s="72"/>
      <c r="IVM134" s="72"/>
      <c r="IVN134" s="72"/>
      <c r="IVO134" s="72"/>
      <c r="IVP134" s="72"/>
      <c r="IVQ134" s="72"/>
      <c r="IVR134" s="72"/>
      <c r="IVS134" s="72"/>
      <c r="IVT134" s="72"/>
      <c r="IVU134" s="72"/>
      <c r="IVV134" s="72"/>
      <c r="IVW134" s="72"/>
      <c r="IVX134" s="72"/>
      <c r="IVY134" s="72"/>
      <c r="IVZ134" s="72"/>
      <c r="IWA134" s="72"/>
      <c r="IWB134" s="72"/>
      <c r="IWC134" s="72"/>
      <c r="IWD134" s="72"/>
      <c r="IWE134" s="72"/>
      <c r="IWF134" s="72"/>
      <c r="IWG134" s="72"/>
      <c r="IWH134" s="72"/>
      <c r="IWI134" s="72"/>
      <c r="IWJ134" s="72"/>
      <c r="IWK134" s="72"/>
      <c r="IWL134" s="72"/>
      <c r="IWM134" s="72"/>
      <c r="IWN134" s="72"/>
      <c r="IWO134" s="72"/>
      <c r="IWP134" s="72"/>
      <c r="IWQ134" s="72"/>
      <c r="IWR134" s="72"/>
      <c r="IWS134" s="72"/>
      <c r="IWT134" s="72"/>
      <c r="IWU134" s="72"/>
      <c r="IWV134" s="72"/>
      <c r="IWW134" s="72"/>
      <c r="IWX134" s="72"/>
      <c r="IWY134" s="72"/>
      <c r="IWZ134" s="72"/>
      <c r="IXA134" s="72"/>
      <c r="IXB134" s="72"/>
      <c r="IXC134" s="72"/>
      <c r="IXD134" s="72"/>
      <c r="IXE134" s="72"/>
      <c r="IXF134" s="72"/>
      <c r="IXG134" s="72"/>
      <c r="IXH134" s="72"/>
      <c r="IXI134" s="72"/>
      <c r="IXJ134" s="72"/>
      <c r="IXK134" s="72"/>
      <c r="IXL134" s="72"/>
      <c r="IXM134" s="72"/>
      <c r="IXN134" s="72"/>
      <c r="IXO134" s="72"/>
      <c r="IXP134" s="72"/>
      <c r="IXQ134" s="72"/>
      <c r="IXR134" s="72"/>
      <c r="IXS134" s="72"/>
      <c r="IXT134" s="72"/>
      <c r="IXU134" s="72"/>
      <c r="IXV134" s="72"/>
      <c r="IXW134" s="72"/>
      <c r="IXX134" s="72"/>
      <c r="IXY134" s="72"/>
      <c r="IXZ134" s="72"/>
      <c r="IYA134" s="72"/>
      <c r="IYB134" s="72"/>
      <c r="IYC134" s="72"/>
      <c r="IYD134" s="72"/>
      <c r="IYE134" s="72"/>
      <c r="IYF134" s="72"/>
      <c r="IYG134" s="72"/>
      <c r="IYH134" s="72"/>
      <c r="IYI134" s="72"/>
      <c r="IYJ134" s="72"/>
      <c r="IYK134" s="72"/>
      <c r="IYL134" s="72"/>
      <c r="IYM134" s="72"/>
      <c r="IYN134" s="72"/>
      <c r="IYO134" s="72"/>
      <c r="IYP134" s="72"/>
      <c r="IYQ134" s="72"/>
      <c r="IYR134" s="72"/>
      <c r="IYS134" s="72"/>
      <c r="IYT134" s="72"/>
      <c r="IYU134" s="72"/>
      <c r="IYV134" s="72"/>
      <c r="IYW134" s="72"/>
      <c r="IYX134" s="72"/>
      <c r="IYY134" s="72"/>
      <c r="IYZ134" s="72"/>
      <c r="IZA134" s="72"/>
      <c r="IZB134" s="72"/>
      <c r="IZC134" s="72"/>
      <c r="IZD134" s="72"/>
      <c r="IZE134" s="72"/>
      <c r="IZF134" s="72"/>
      <c r="IZG134" s="72"/>
      <c r="IZH134" s="72"/>
      <c r="IZI134" s="72"/>
      <c r="IZJ134" s="72"/>
      <c r="IZK134" s="72"/>
      <c r="IZL134" s="72"/>
      <c r="IZM134" s="72"/>
      <c r="IZN134" s="72"/>
      <c r="IZO134" s="72"/>
      <c r="IZP134" s="72"/>
      <c r="IZQ134" s="72"/>
      <c r="IZR134" s="72"/>
      <c r="IZS134" s="72"/>
      <c r="IZT134" s="72"/>
      <c r="IZU134" s="72"/>
      <c r="IZV134" s="72"/>
      <c r="IZW134" s="72"/>
      <c r="IZX134" s="72"/>
      <c r="IZY134" s="72"/>
      <c r="IZZ134" s="72"/>
      <c r="JAA134" s="72"/>
      <c r="JAB134" s="72"/>
      <c r="JAC134" s="72"/>
      <c r="JAD134" s="72"/>
      <c r="JAE134" s="72"/>
      <c r="JAF134" s="72"/>
      <c r="JAG134" s="72"/>
      <c r="JAH134" s="72"/>
      <c r="JAI134" s="72"/>
      <c r="JAJ134" s="72"/>
      <c r="JAK134" s="72"/>
      <c r="JAL134" s="72"/>
      <c r="JAM134" s="72"/>
      <c r="JAN134" s="72"/>
      <c r="JAO134" s="72"/>
      <c r="JAP134" s="72"/>
      <c r="JAQ134" s="72"/>
      <c r="JAR134" s="72"/>
      <c r="JAS134" s="72"/>
      <c r="JAT134" s="72"/>
      <c r="JAU134" s="72"/>
      <c r="JAV134" s="72"/>
      <c r="JAW134" s="72"/>
      <c r="JAX134" s="72"/>
      <c r="JAY134" s="72"/>
      <c r="JAZ134" s="72"/>
      <c r="JBA134" s="72"/>
      <c r="JBB134" s="72"/>
      <c r="JBC134" s="72"/>
      <c r="JBD134" s="72"/>
      <c r="JBE134" s="72"/>
      <c r="JBF134" s="72"/>
      <c r="JBG134" s="72"/>
      <c r="JBH134" s="72"/>
      <c r="JBI134" s="72"/>
      <c r="JBJ134" s="72"/>
      <c r="JBK134" s="72"/>
      <c r="JBL134" s="72"/>
      <c r="JBM134" s="72"/>
      <c r="JBN134" s="72"/>
      <c r="JBO134" s="72"/>
      <c r="JBP134" s="72"/>
      <c r="JBQ134" s="72"/>
      <c r="JBR134" s="72"/>
      <c r="JBS134" s="72"/>
      <c r="JBT134" s="72"/>
      <c r="JBU134" s="72"/>
      <c r="JBV134" s="72"/>
      <c r="JBW134" s="72"/>
      <c r="JBX134" s="72"/>
      <c r="JBY134" s="72"/>
      <c r="JBZ134" s="72"/>
      <c r="JCA134" s="72"/>
      <c r="JCB134" s="72"/>
      <c r="JCC134" s="72"/>
      <c r="JCD134" s="72"/>
      <c r="JCE134" s="72"/>
      <c r="JCF134" s="72"/>
      <c r="JCG134" s="72"/>
      <c r="JCH134" s="72"/>
      <c r="JCI134" s="72"/>
      <c r="JCJ134" s="72"/>
      <c r="JCK134" s="72"/>
      <c r="JCL134" s="72"/>
      <c r="JCM134" s="72"/>
      <c r="JCN134" s="72"/>
      <c r="JCO134" s="72"/>
      <c r="JCP134" s="72"/>
      <c r="JCQ134" s="72"/>
      <c r="JCR134" s="72"/>
      <c r="JCS134" s="72"/>
      <c r="JCT134" s="72"/>
      <c r="JCU134" s="72"/>
      <c r="JCV134" s="72"/>
      <c r="JCW134" s="72"/>
      <c r="JCX134" s="72"/>
      <c r="JCY134" s="72"/>
      <c r="JCZ134" s="72"/>
      <c r="JDA134" s="72"/>
      <c r="JDB134" s="72"/>
      <c r="JDC134" s="72"/>
      <c r="JDD134" s="72"/>
      <c r="JDE134" s="72"/>
      <c r="JDF134" s="72"/>
      <c r="JDG134" s="72"/>
      <c r="JDH134" s="72"/>
      <c r="JDI134" s="72"/>
      <c r="JDJ134" s="72"/>
      <c r="JDK134" s="72"/>
      <c r="JDL134" s="72"/>
      <c r="JDM134" s="72"/>
      <c r="JDN134" s="72"/>
      <c r="JDO134" s="72"/>
      <c r="JDP134" s="72"/>
      <c r="JDQ134" s="72"/>
      <c r="JDR134" s="72"/>
      <c r="JDS134" s="72"/>
      <c r="JDT134" s="72"/>
      <c r="JDU134" s="72"/>
      <c r="JDV134" s="72"/>
      <c r="JDW134" s="72"/>
      <c r="JDX134" s="72"/>
      <c r="JDY134" s="72"/>
      <c r="JDZ134" s="72"/>
      <c r="JEA134" s="72"/>
      <c r="JEB134" s="72"/>
      <c r="JEC134" s="72"/>
      <c r="JED134" s="72"/>
      <c r="JEE134" s="72"/>
      <c r="JEF134" s="72"/>
      <c r="JEG134" s="72"/>
      <c r="JEH134" s="72"/>
      <c r="JEI134" s="72"/>
      <c r="JEJ134" s="72"/>
      <c r="JEK134" s="72"/>
      <c r="JEL134" s="72"/>
      <c r="JEM134" s="72"/>
      <c r="JEN134" s="72"/>
      <c r="JEO134" s="72"/>
      <c r="JEP134" s="72"/>
      <c r="JEQ134" s="72"/>
      <c r="JER134" s="72"/>
      <c r="JES134" s="72"/>
      <c r="JET134" s="72"/>
      <c r="JEU134" s="72"/>
      <c r="JEV134" s="72"/>
      <c r="JEW134" s="72"/>
      <c r="JEX134" s="72"/>
      <c r="JEY134" s="72"/>
      <c r="JEZ134" s="72"/>
      <c r="JFA134" s="72"/>
      <c r="JFB134" s="72"/>
      <c r="JFC134" s="72"/>
      <c r="JFD134" s="72"/>
      <c r="JFE134" s="72"/>
      <c r="JFF134" s="72"/>
      <c r="JFG134" s="72"/>
      <c r="JFH134" s="72"/>
      <c r="JFI134" s="72"/>
      <c r="JFJ134" s="72"/>
      <c r="JFK134" s="72"/>
      <c r="JFL134" s="72"/>
      <c r="JFM134" s="72"/>
      <c r="JFN134" s="72"/>
      <c r="JFO134" s="72"/>
      <c r="JFP134" s="72"/>
      <c r="JFQ134" s="72"/>
      <c r="JFR134" s="72"/>
      <c r="JFS134" s="72"/>
      <c r="JFT134" s="72"/>
      <c r="JFU134" s="72"/>
      <c r="JFV134" s="72"/>
      <c r="JFW134" s="72"/>
      <c r="JFX134" s="72"/>
      <c r="JFY134" s="72"/>
      <c r="JFZ134" s="72"/>
      <c r="JGA134" s="72"/>
      <c r="JGB134" s="72"/>
      <c r="JGC134" s="72"/>
      <c r="JGD134" s="72"/>
      <c r="JGE134" s="72"/>
      <c r="JGF134" s="72"/>
      <c r="JGG134" s="72"/>
      <c r="JGH134" s="72"/>
      <c r="JGI134" s="72"/>
      <c r="JGJ134" s="72"/>
      <c r="JGK134" s="72"/>
      <c r="JGL134" s="72"/>
      <c r="JGM134" s="72"/>
      <c r="JGN134" s="72"/>
      <c r="JGO134" s="72"/>
      <c r="JGP134" s="72"/>
      <c r="JGQ134" s="72"/>
      <c r="JGR134" s="72"/>
      <c r="JGS134" s="72"/>
      <c r="JGT134" s="72"/>
      <c r="JGU134" s="72"/>
      <c r="JGV134" s="72"/>
      <c r="JGW134" s="72"/>
      <c r="JGX134" s="72"/>
      <c r="JGY134" s="72"/>
      <c r="JGZ134" s="72"/>
      <c r="JHA134" s="72"/>
      <c r="JHB134" s="72"/>
      <c r="JHC134" s="72"/>
      <c r="JHD134" s="72"/>
      <c r="JHE134" s="72"/>
      <c r="JHF134" s="72"/>
      <c r="JHG134" s="72"/>
      <c r="JHH134" s="72"/>
      <c r="JHI134" s="72"/>
      <c r="JHJ134" s="72"/>
      <c r="JHK134" s="72"/>
      <c r="JHL134" s="72"/>
      <c r="JHM134" s="72"/>
      <c r="JHN134" s="72"/>
      <c r="JHO134" s="72"/>
      <c r="JHP134" s="72"/>
      <c r="JHQ134" s="72"/>
      <c r="JHR134" s="72"/>
      <c r="JHS134" s="72"/>
      <c r="JHT134" s="72"/>
      <c r="JHU134" s="72"/>
      <c r="JHV134" s="72"/>
      <c r="JHW134" s="72"/>
      <c r="JHX134" s="72"/>
      <c r="JHY134" s="72"/>
      <c r="JHZ134" s="72"/>
      <c r="JIA134" s="72"/>
      <c r="JIB134" s="72"/>
      <c r="JIC134" s="72"/>
      <c r="JID134" s="72"/>
      <c r="JIE134" s="72"/>
      <c r="JIF134" s="72"/>
      <c r="JIG134" s="72"/>
      <c r="JIH134" s="72"/>
      <c r="JII134" s="72"/>
      <c r="JIJ134" s="72"/>
      <c r="JIK134" s="72"/>
      <c r="JIL134" s="72"/>
      <c r="JIM134" s="72"/>
      <c r="JIN134" s="72"/>
      <c r="JIO134" s="72"/>
      <c r="JIP134" s="72"/>
      <c r="JIQ134" s="72"/>
      <c r="JIR134" s="72"/>
      <c r="JIS134" s="72"/>
      <c r="JIT134" s="72"/>
      <c r="JIU134" s="72"/>
      <c r="JIV134" s="72"/>
      <c r="JIW134" s="72"/>
      <c r="JIX134" s="72"/>
      <c r="JIY134" s="72"/>
      <c r="JIZ134" s="72"/>
      <c r="JJA134" s="72"/>
      <c r="JJB134" s="72"/>
      <c r="JJC134" s="72"/>
      <c r="JJD134" s="72"/>
      <c r="JJE134" s="72"/>
      <c r="JJF134" s="72"/>
      <c r="JJG134" s="72"/>
      <c r="JJH134" s="72"/>
      <c r="JJI134" s="72"/>
      <c r="JJJ134" s="72"/>
      <c r="JJK134" s="72"/>
      <c r="JJL134" s="72"/>
      <c r="JJM134" s="72"/>
      <c r="JJN134" s="72"/>
      <c r="JJO134" s="72"/>
      <c r="JJP134" s="72"/>
      <c r="JJQ134" s="72"/>
      <c r="JJR134" s="72"/>
      <c r="JJS134" s="72"/>
      <c r="JJT134" s="72"/>
      <c r="JJU134" s="72"/>
      <c r="JJV134" s="72"/>
      <c r="JJW134" s="72"/>
      <c r="JJX134" s="72"/>
      <c r="JJY134" s="72"/>
      <c r="JJZ134" s="72"/>
      <c r="JKA134" s="72"/>
      <c r="JKB134" s="72"/>
      <c r="JKC134" s="72"/>
      <c r="JKD134" s="72"/>
      <c r="JKE134" s="72"/>
      <c r="JKF134" s="72"/>
      <c r="JKG134" s="72"/>
      <c r="JKH134" s="72"/>
      <c r="JKI134" s="72"/>
      <c r="JKJ134" s="72"/>
      <c r="JKK134" s="72"/>
      <c r="JKL134" s="72"/>
      <c r="JKM134" s="72"/>
      <c r="JKN134" s="72"/>
      <c r="JKO134" s="72"/>
      <c r="JKP134" s="72"/>
      <c r="JKQ134" s="72"/>
      <c r="JKR134" s="72"/>
      <c r="JKS134" s="72"/>
      <c r="JKT134" s="72"/>
      <c r="JKU134" s="72"/>
      <c r="JKV134" s="72"/>
      <c r="JKW134" s="72"/>
      <c r="JKX134" s="72"/>
      <c r="JKY134" s="72"/>
      <c r="JKZ134" s="72"/>
      <c r="JLA134" s="72"/>
      <c r="JLB134" s="72"/>
      <c r="JLC134" s="72"/>
      <c r="JLD134" s="72"/>
      <c r="JLE134" s="72"/>
      <c r="JLF134" s="72"/>
      <c r="JLG134" s="72"/>
      <c r="JLH134" s="72"/>
      <c r="JLI134" s="72"/>
      <c r="JLJ134" s="72"/>
      <c r="JLK134" s="72"/>
      <c r="JLL134" s="72"/>
      <c r="JLM134" s="72"/>
      <c r="JLN134" s="72"/>
      <c r="JLO134" s="72"/>
      <c r="JLP134" s="72"/>
      <c r="JLQ134" s="72"/>
      <c r="JLR134" s="72"/>
      <c r="JLS134" s="72"/>
      <c r="JLT134" s="72"/>
      <c r="JLU134" s="72"/>
      <c r="JLV134" s="72"/>
      <c r="JLW134" s="72"/>
      <c r="JLX134" s="72"/>
      <c r="JLY134" s="72"/>
      <c r="JLZ134" s="72"/>
      <c r="JMA134" s="72"/>
      <c r="JMB134" s="72"/>
      <c r="JMC134" s="72"/>
      <c r="JMD134" s="72"/>
      <c r="JME134" s="72"/>
      <c r="JMF134" s="72"/>
      <c r="JMG134" s="72"/>
      <c r="JMH134" s="72"/>
      <c r="JMI134" s="72"/>
      <c r="JMJ134" s="72"/>
      <c r="JMK134" s="72"/>
      <c r="JML134" s="72"/>
      <c r="JMM134" s="72"/>
      <c r="JMN134" s="72"/>
      <c r="JMO134" s="72"/>
      <c r="JMP134" s="72"/>
      <c r="JMQ134" s="72"/>
      <c r="JMR134" s="72"/>
      <c r="JMS134" s="72"/>
      <c r="JMT134" s="72"/>
      <c r="JMU134" s="72"/>
      <c r="JMV134" s="72"/>
      <c r="JMW134" s="72"/>
      <c r="JMX134" s="72"/>
      <c r="JMY134" s="72"/>
      <c r="JMZ134" s="72"/>
      <c r="JNA134" s="72"/>
      <c r="JNB134" s="72"/>
      <c r="JNC134" s="72"/>
      <c r="JND134" s="72"/>
      <c r="JNE134" s="72"/>
      <c r="JNF134" s="72"/>
      <c r="JNG134" s="72"/>
      <c r="JNH134" s="72"/>
      <c r="JNI134" s="72"/>
      <c r="JNJ134" s="72"/>
      <c r="JNK134" s="72"/>
      <c r="JNL134" s="72"/>
      <c r="JNM134" s="72"/>
      <c r="JNN134" s="72"/>
      <c r="JNO134" s="72"/>
      <c r="JNP134" s="72"/>
      <c r="JNQ134" s="72"/>
      <c r="JNR134" s="72"/>
      <c r="JNS134" s="72"/>
      <c r="JNT134" s="72"/>
      <c r="JNU134" s="72"/>
      <c r="JNV134" s="72"/>
      <c r="JNW134" s="72"/>
      <c r="JNX134" s="72"/>
      <c r="JNY134" s="72"/>
      <c r="JNZ134" s="72"/>
      <c r="JOA134" s="72"/>
      <c r="JOB134" s="72"/>
      <c r="JOC134" s="72"/>
      <c r="JOD134" s="72"/>
      <c r="JOE134" s="72"/>
      <c r="JOF134" s="72"/>
      <c r="JOG134" s="72"/>
      <c r="JOH134" s="72"/>
      <c r="JOI134" s="72"/>
      <c r="JOJ134" s="72"/>
      <c r="JOK134" s="72"/>
      <c r="JOL134" s="72"/>
      <c r="JOM134" s="72"/>
      <c r="JON134" s="72"/>
      <c r="JOO134" s="72"/>
      <c r="JOP134" s="72"/>
      <c r="JOQ134" s="72"/>
      <c r="JOR134" s="72"/>
      <c r="JOS134" s="72"/>
      <c r="JOT134" s="72"/>
      <c r="JOU134" s="72"/>
      <c r="JOV134" s="72"/>
      <c r="JOW134" s="72"/>
      <c r="JOX134" s="72"/>
      <c r="JOY134" s="72"/>
      <c r="JOZ134" s="72"/>
      <c r="JPA134" s="72"/>
      <c r="JPB134" s="72"/>
      <c r="JPC134" s="72"/>
      <c r="JPD134" s="72"/>
      <c r="JPE134" s="72"/>
      <c r="JPF134" s="72"/>
      <c r="JPG134" s="72"/>
      <c r="JPH134" s="72"/>
      <c r="JPI134" s="72"/>
      <c r="JPJ134" s="72"/>
      <c r="JPK134" s="72"/>
      <c r="JPL134" s="72"/>
      <c r="JPM134" s="72"/>
      <c r="JPN134" s="72"/>
      <c r="JPO134" s="72"/>
      <c r="JPP134" s="72"/>
      <c r="JPQ134" s="72"/>
      <c r="JPR134" s="72"/>
      <c r="JPS134" s="72"/>
      <c r="JPT134" s="72"/>
      <c r="JPU134" s="72"/>
      <c r="JPV134" s="72"/>
      <c r="JPW134" s="72"/>
      <c r="JPX134" s="72"/>
      <c r="JPY134" s="72"/>
      <c r="JPZ134" s="72"/>
      <c r="JQA134" s="72"/>
      <c r="JQB134" s="72"/>
      <c r="JQC134" s="72"/>
      <c r="JQD134" s="72"/>
      <c r="JQE134" s="72"/>
      <c r="JQF134" s="72"/>
      <c r="JQG134" s="72"/>
      <c r="JQH134" s="72"/>
      <c r="JQI134" s="72"/>
      <c r="JQJ134" s="72"/>
      <c r="JQK134" s="72"/>
      <c r="JQL134" s="72"/>
      <c r="JQM134" s="72"/>
      <c r="JQN134" s="72"/>
      <c r="JQO134" s="72"/>
      <c r="JQP134" s="72"/>
      <c r="JQQ134" s="72"/>
      <c r="JQR134" s="72"/>
      <c r="JQS134" s="72"/>
      <c r="JQT134" s="72"/>
      <c r="JQU134" s="72"/>
      <c r="JQV134" s="72"/>
      <c r="JQW134" s="72"/>
      <c r="JQX134" s="72"/>
      <c r="JQY134" s="72"/>
      <c r="JQZ134" s="72"/>
      <c r="JRA134" s="72"/>
      <c r="JRB134" s="72"/>
      <c r="JRC134" s="72"/>
      <c r="JRD134" s="72"/>
      <c r="JRE134" s="72"/>
      <c r="JRF134" s="72"/>
      <c r="JRG134" s="72"/>
      <c r="JRH134" s="72"/>
      <c r="JRI134" s="72"/>
      <c r="JRJ134" s="72"/>
      <c r="JRK134" s="72"/>
      <c r="JRL134" s="72"/>
      <c r="JRM134" s="72"/>
      <c r="JRN134" s="72"/>
      <c r="JRO134" s="72"/>
      <c r="JRP134" s="72"/>
      <c r="JRQ134" s="72"/>
      <c r="JRR134" s="72"/>
      <c r="JRS134" s="72"/>
      <c r="JRT134" s="72"/>
      <c r="JRU134" s="72"/>
      <c r="JRV134" s="72"/>
      <c r="JRW134" s="72"/>
      <c r="JRX134" s="72"/>
      <c r="JRY134" s="72"/>
      <c r="JRZ134" s="72"/>
      <c r="JSA134" s="72"/>
      <c r="JSB134" s="72"/>
      <c r="JSC134" s="72"/>
      <c r="JSD134" s="72"/>
      <c r="JSE134" s="72"/>
      <c r="JSF134" s="72"/>
      <c r="JSG134" s="72"/>
      <c r="JSH134" s="72"/>
      <c r="JSI134" s="72"/>
      <c r="JSJ134" s="72"/>
      <c r="JSK134" s="72"/>
      <c r="JSL134" s="72"/>
      <c r="JSM134" s="72"/>
      <c r="JSN134" s="72"/>
      <c r="JSO134" s="72"/>
      <c r="JSP134" s="72"/>
      <c r="JSQ134" s="72"/>
      <c r="JSR134" s="72"/>
      <c r="JSS134" s="72"/>
      <c r="JST134" s="72"/>
      <c r="JSU134" s="72"/>
      <c r="JSV134" s="72"/>
      <c r="JSW134" s="72"/>
      <c r="JSX134" s="72"/>
      <c r="JSY134" s="72"/>
      <c r="JSZ134" s="72"/>
      <c r="JTA134" s="72"/>
      <c r="JTB134" s="72"/>
      <c r="JTC134" s="72"/>
      <c r="JTD134" s="72"/>
      <c r="JTE134" s="72"/>
      <c r="JTF134" s="72"/>
      <c r="JTG134" s="72"/>
      <c r="JTH134" s="72"/>
      <c r="JTI134" s="72"/>
      <c r="JTJ134" s="72"/>
      <c r="JTK134" s="72"/>
      <c r="JTL134" s="72"/>
      <c r="JTM134" s="72"/>
      <c r="JTN134" s="72"/>
      <c r="JTO134" s="72"/>
      <c r="JTP134" s="72"/>
      <c r="JTQ134" s="72"/>
      <c r="JTR134" s="72"/>
      <c r="JTS134" s="72"/>
      <c r="JTT134" s="72"/>
      <c r="JTU134" s="72"/>
      <c r="JTV134" s="72"/>
      <c r="JTW134" s="72"/>
      <c r="JTX134" s="72"/>
      <c r="JTY134" s="72"/>
      <c r="JTZ134" s="72"/>
      <c r="JUA134" s="72"/>
      <c r="JUB134" s="72"/>
      <c r="JUC134" s="72"/>
      <c r="JUD134" s="72"/>
      <c r="JUE134" s="72"/>
      <c r="JUF134" s="72"/>
      <c r="JUG134" s="72"/>
      <c r="JUH134" s="72"/>
      <c r="JUI134" s="72"/>
      <c r="JUJ134" s="72"/>
      <c r="JUK134" s="72"/>
      <c r="JUL134" s="72"/>
      <c r="JUM134" s="72"/>
      <c r="JUN134" s="72"/>
      <c r="JUO134" s="72"/>
      <c r="JUP134" s="72"/>
      <c r="JUQ134" s="72"/>
      <c r="JUR134" s="72"/>
      <c r="JUS134" s="72"/>
      <c r="JUT134" s="72"/>
      <c r="JUU134" s="72"/>
      <c r="JUV134" s="72"/>
      <c r="JUW134" s="72"/>
      <c r="JUX134" s="72"/>
      <c r="JUY134" s="72"/>
      <c r="JUZ134" s="72"/>
      <c r="JVA134" s="72"/>
      <c r="JVB134" s="72"/>
      <c r="JVC134" s="72"/>
      <c r="JVD134" s="72"/>
      <c r="JVE134" s="72"/>
      <c r="JVF134" s="72"/>
      <c r="JVG134" s="72"/>
      <c r="JVH134" s="72"/>
      <c r="JVI134" s="72"/>
      <c r="JVJ134" s="72"/>
      <c r="JVK134" s="72"/>
      <c r="JVL134" s="72"/>
      <c r="JVM134" s="72"/>
      <c r="JVN134" s="72"/>
      <c r="JVO134" s="72"/>
      <c r="JVP134" s="72"/>
      <c r="JVQ134" s="72"/>
      <c r="JVR134" s="72"/>
      <c r="JVS134" s="72"/>
      <c r="JVT134" s="72"/>
      <c r="JVU134" s="72"/>
      <c r="JVV134" s="72"/>
      <c r="JVW134" s="72"/>
      <c r="JVX134" s="72"/>
      <c r="JVY134" s="72"/>
      <c r="JVZ134" s="72"/>
      <c r="JWA134" s="72"/>
      <c r="JWB134" s="72"/>
      <c r="JWC134" s="72"/>
      <c r="JWD134" s="72"/>
      <c r="JWE134" s="72"/>
      <c r="JWF134" s="72"/>
      <c r="JWG134" s="72"/>
      <c r="JWH134" s="72"/>
      <c r="JWI134" s="72"/>
      <c r="JWJ134" s="72"/>
      <c r="JWK134" s="72"/>
      <c r="JWL134" s="72"/>
      <c r="JWM134" s="72"/>
      <c r="JWN134" s="72"/>
      <c r="JWO134" s="72"/>
      <c r="JWP134" s="72"/>
      <c r="JWQ134" s="72"/>
      <c r="JWR134" s="72"/>
      <c r="JWS134" s="72"/>
      <c r="JWT134" s="72"/>
      <c r="JWU134" s="72"/>
      <c r="JWV134" s="72"/>
      <c r="JWW134" s="72"/>
      <c r="JWX134" s="72"/>
      <c r="JWY134" s="72"/>
      <c r="JWZ134" s="72"/>
      <c r="JXA134" s="72"/>
      <c r="JXB134" s="72"/>
      <c r="JXC134" s="72"/>
      <c r="JXD134" s="72"/>
      <c r="JXE134" s="72"/>
      <c r="JXF134" s="72"/>
      <c r="JXG134" s="72"/>
      <c r="JXH134" s="72"/>
      <c r="JXI134" s="72"/>
      <c r="JXJ134" s="72"/>
      <c r="JXK134" s="72"/>
      <c r="JXL134" s="72"/>
      <c r="JXM134" s="72"/>
      <c r="JXN134" s="72"/>
      <c r="JXO134" s="72"/>
      <c r="JXP134" s="72"/>
      <c r="JXQ134" s="72"/>
      <c r="JXR134" s="72"/>
      <c r="JXS134" s="72"/>
      <c r="JXT134" s="72"/>
      <c r="JXU134" s="72"/>
      <c r="JXV134" s="72"/>
      <c r="JXW134" s="72"/>
      <c r="JXX134" s="72"/>
      <c r="JXY134" s="72"/>
      <c r="JXZ134" s="72"/>
      <c r="JYA134" s="72"/>
      <c r="JYB134" s="72"/>
      <c r="JYC134" s="72"/>
      <c r="JYD134" s="72"/>
      <c r="JYE134" s="72"/>
      <c r="JYF134" s="72"/>
      <c r="JYG134" s="72"/>
      <c r="JYH134" s="72"/>
      <c r="JYI134" s="72"/>
      <c r="JYJ134" s="72"/>
      <c r="JYK134" s="72"/>
      <c r="JYL134" s="72"/>
      <c r="JYM134" s="72"/>
      <c r="JYN134" s="72"/>
      <c r="JYO134" s="72"/>
      <c r="JYP134" s="72"/>
      <c r="JYQ134" s="72"/>
      <c r="JYR134" s="72"/>
      <c r="JYS134" s="72"/>
      <c r="JYT134" s="72"/>
      <c r="JYU134" s="72"/>
      <c r="JYV134" s="72"/>
      <c r="JYW134" s="72"/>
      <c r="JYX134" s="72"/>
      <c r="JYY134" s="72"/>
      <c r="JYZ134" s="72"/>
      <c r="JZA134" s="72"/>
      <c r="JZB134" s="72"/>
      <c r="JZC134" s="72"/>
      <c r="JZD134" s="72"/>
      <c r="JZE134" s="72"/>
      <c r="JZF134" s="72"/>
      <c r="JZG134" s="72"/>
      <c r="JZH134" s="72"/>
      <c r="JZI134" s="72"/>
      <c r="JZJ134" s="72"/>
      <c r="JZK134" s="72"/>
      <c r="JZL134" s="72"/>
      <c r="JZM134" s="72"/>
      <c r="JZN134" s="72"/>
      <c r="JZO134" s="72"/>
      <c r="JZP134" s="72"/>
      <c r="JZQ134" s="72"/>
      <c r="JZR134" s="72"/>
      <c r="JZS134" s="72"/>
      <c r="JZT134" s="72"/>
      <c r="JZU134" s="72"/>
      <c r="JZV134" s="72"/>
      <c r="JZW134" s="72"/>
      <c r="JZX134" s="72"/>
      <c r="JZY134" s="72"/>
      <c r="JZZ134" s="72"/>
      <c r="KAA134" s="72"/>
      <c r="KAB134" s="72"/>
      <c r="KAC134" s="72"/>
      <c r="KAD134" s="72"/>
      <c r="KAE134" s="72"/>
      <c r="KAF134" s="72"/>
      <c r="KAG134" s="72"/>
      <c r="KAH134" s="72"/>
      <c r="KAI134" s="72"/>
      <c r="KAJ134" s="72"/>
      <c r="KAK134" s="72"/>
      <c r="KAL134" s="72"/>
      <c r="KAM134" s="72"/>
      <c r="KAN134" s="72"/>
      <c r="KAO134" s="72"/>
      <c r="KAP134" s="72"/>
      <c r="KAQ134" s="72"/>
      <c r="KAR134" s="72"/>
      <c r="KAS134" s="72"/>
      <c r="KAT134" s="72"/>
      <c r="KAU134" s="72"/>
      <c r="KAV134" s="72"/>
      <c r="KAW134" s="72"/>
      <c r="KAX134" s="72"/>
      <c r="KAY134" s="72"/>
      <c r="KAZ134" s="72"/>
      <c r="KBA134" s="72"/>
      <c r="KBB134" s="72"/>
      <c r="KBC134" s="72"/>
      <c r="KBD134" s="72"/>
      <c r="KBE134" s="72"/>
      <c r="KBF134" s="72"/>
      <c r="KBG134" s="72"/>
      <c r="KBH134" s="72"/>
      <c r="KBI134" s="72"/>
      <c r="KBJ134" s="72"/>
      <c r="KBK134" s="72"/>
      <c r="KBL134" s="72"/>
      <c r="KBM134" s="72"/>
      <c r="KBN134" s="72"/>
      <c r="KBO134" s="72"/>
      <c r="KBP134" s="72"/>
      <c r="KBQ134" s="72"/>
      <c r="KBR134" s="72"/>
      <c r="KBS134" s="72"/>
      <c r="KBT134" s="72"/>
      <c r="KBU134" s="72"/>
      <c r="KBV134" s="72"/>
      <c r="KBW134" s="72"/>
      <c r="KBX134" s="72"/>
      <c r="KBY134" s="72"/>
      <c r="KBZ134" s="72"/>
      <c r="KCA134" s="72"/>
      <c r="KCB134" s="72"/>
      <c r="KCC134" s="72"/>
      <c r="KCD134" s="72"/>
      <c r="KCE134" s="72"/>
      <c r="KCF134" s="72"/>
      <c r="KCG134" s="72"/>
      <c r="KCH134" s="72"/>
      <c r="KCI134" s="72"/>
      <c r="KCJ134" s="72"/>
      <c r="KCK134" s="72"/>
      <c r="KCL134" s="72"/>
      <c r="KCM134" s="72"/>
      <c r="KCN134" s="72"/>
      <c r="KCO134" s="72"/>
      <c r="KCP134" s="72"/>
      <c r="KCQ134" s="72"/>
      <c r="KCR134" s="72"/>
      <c r="KCS134" s="72"/>
      <c r="KCT134" s="72"/>
      <c r="KCU134" s="72"/>
      <c r="KCV134" s="72"/>
      <c r="KCW134" s="72"/>
      <c r="KCX134" s="72"/>
      <c r="KCY134" s="72"/>
      <c r="KCZ134" s="72"/>
      <c r="KDA134" s="72"/>
      <c r="KDB134" s="72"/>
      <c r="KDC134" s="72"/>
      <c r="KDD134" s="72"/>
      <c r="KDE134" s="72"/>
      <c r="KDF134" s="72"/>
      <c r="KDG134" s="72"/>
      <c r="KDH134" s="72"/>
      <c r="KDI134" s="72"/>
      <c r="KDJ134" s="72"/>
      <c r="KDK134" s="72"/>
      <c r="KDL134" s="72"/>
      <c r="KDM134" s="72"/>
      <c r="KDN134" s="72"/>
      <c r="KDO134" s="72"/>
      <c r="KDP134" s="72"/>
      <c r="KDQ134" s="72"/>
      <c r="KDR134" s="72"/>
      <c r="KDS134" s="72"/>
      <c r="KDT134" s="72"/>
      <c r="KDU134" s="72"/>
      <c r="KDV134" s="72"/>
      <c r="KDW134" s="72"/>
      <c r="KDX134" s="72"/>
      <c r="KDY134" s="72"/>
      <c r="KDZ134" s="72"/>
      <c r="KEA134" s="72"/>
      <c r="KEB134" s="72"/>
      <c r="KEC134" s="72"/>
      <c r="KED134" s="72"/>
      <c r="KEE134" s="72"/>
      <c r="KEF134" s="72"/>
      <c r="KEG134" s="72"/>
      <c r="KEH134" s="72"/>
      <c r="KEI134" s="72"/>
      <c r="KEJ134" s="72"/>
      <c r="KEK134" s="72"/>
      <c r="KEL134" s="72"/>
      <c r="KEM134" s="72"/>
      <c r="KEN134" s="72"/>
      <c r="KEO134" s="72"/>
      <c r="KEP134" s="72"/>
      <c r="KEQ134" s="72"/>
      <c r="KER134" s="72"/>
      <c r="KES134" s="72"/>
      <c r="KET134" s="72"/>
      <c r="KEU134" s="72"/>
      <c r="KEV134" s="72"/>
      <c r="KEW134" s="72"/>
      <c r="KEX134" s="72"/>
      <c r="KEY134" s="72"/>
      <c r="KEZ134" s="72"/>
      <c r="KFA134" s="72"/>
      <c r="KFB134" s="72"/>
      <c r="KFC134" s="72"/>
      <c r="KFD134" s="72"/>
      <c r="KFE134" s="72"/>
      <c r="KFF134" s="72"/>
      <c r="KFG134" s="72"/>
      <c r="KFH134" s="72"/>
      <c r="KFI134" s="72"/>
      <c r="KFJ134" s="72"/>
      <c r="KFK134" s="72"/>
      <c r="KFL134" s="72"/>
      <c r="KFM134" s="72"/>
      <c r="KFN134" s="72"/>
      <c r="KFO134" s="72"/>
      <c r="KFP134" s="72"/>
      <c r="KFQ134" s="72"/>
      <c r="KFR134" s="72"/>
      <c r="KFS134" s="72"/>
      <c r="KFT134" s="72"/>
      <c r="KFU134" s="72"/>
      <c r="KFV134" s="72"/>
      <c r="KFW134" s="72"/>
      <c r="KFX134" s="72"/>
      <c r="KFY134" s="72"/>
      <c r="KFZ134" s="72"/>
      <c r="KGA134" s="72"/>
      <c r="KGB134" s="72"/>
      <c r="KGC134" s="72"/>
      <c r="KGD134" s="72"/>
      <c r="KGE134" s="72"/>
      <c r="KGF134" s="72"/>
      <c r="KGG134" s="72"/>
      <c r="KGH134" s="72"/>
      <c r="KGI134" s="72"/>
      <c r="KGJ134" s="72"/>
      <c r="KGK134" s="72"/>
      <c r="KGL134" s="72"/>
      <c r="KGM134" s="72"/>
      <c r="KGN134" s="72"/>
      <c r="KGO134" s="72"/>
      <c r="KGP134" s="72"/>
      <c r="KGQ134" s="72"/>
      <c r="KGR134" s="72"/>
      <c r="KGS134" s="72"/>
      <c r="KGT134" s="72"/>
      <c r="KGU134" s="72"/>
      <c r="KGV134" s="72"/>
      <c r="KGW134" s="72"/>
      <c r="KGX134" s="72"/>
      <c r="KGY134" s="72"/>
      <c r="KGZ134" s="72"/>
      <c r="KHA134" s="72"/>
      <c r="KHB134" s="72"/>
      <c r="KHC134" s="72"/>
      <c r="KHD134" s="72"/>
      <c r="KHE134" s="72"/>
      <c r="KHF134" s="72"/>
      <c r="KHG134" s="72"/>
      <c r="KHH134" s="72"/>
      <c r="KHI134" s="72"/>
      <c r="KHJ134" s="72"/>
      <c r="KHK134" s="72"/>
      <c r="KHL134" s="72"/>
      <c r="KHM134" s="72"/>
      <c r="KHN134" s="72"/>
      <c r="KHO134" s="72"/>
      <c r="KHP134" s="72"/>
      <c r="KHQ134" s="72"/>
      <c r="KHR134" s="72"/>
      <c r="KHS134" s="72"/>
      <c r="KHT134" s="72"/>
      <c r="KHU134" s="72"/>
      <c r="KHV134" s="72"/>
      <c r="KHW134" s="72"/>
      <c r="KHX134" s="72"/>
      <c r="KHY134" s="72"/>
      <c r="KHZ134" s="72"/>
      <c r="KIA134" s="72"/>
      <c r="KIB134" s="72"/>
      <c r="KIC134" s="72"/>
      <c r="KID134" s="72"/>
      <c r="KIE134" s="72"/>
      <c r="KIF134" s="72"/>
      <c r="KIG134" s="72"/>
      <c r="KIH134" s="72"/>
      <c r="KII134" s="72"/>
      <c r="KIJ134" s="72"/>
      <c r="KIK134" s="72"/>
      <c r="KIL134" s="72"/>
      <c r="KIM134" s="72"/>
      <c r="KIN134" s="72"/>
      <c r="KIO134" s="72"/>
      <c r="KIP134" s="72"/>
      <c r="KIQ134" s="72"/>
      <c r="KIR134" s="72"/>
      <c r="KIS134" s="72"/>
      <c r="KIT134" s="72"/>
      <c r="KIU134" s="72"/>
      <c r="KIV134" s="72"/>
      <c r="KIW134" s="72"/>
      <c r="KIX134" s="72"/>
      <c r="KIY134" s="72"/>
      <c r="KIZ134" s="72"/>
      <c r="KJA134" s="72"/>
      <c r="KJB134" s="72"/>
      <c r="KJC134" s="72"/>
      <c r="KJD134" s="72"/>
      <c r="KJE134" s="72"/>
      <c r="KJF134" s="72"/>
      <c r="KJG134" s="72"/>
      <c r="KJH134" s="72"/>
      <c r="KJI134" s="72"/>
      <c r="KJJ134" s="72"/>
      <c r="KJK134" s="72"/>
      <c r="KJL134" s="72"/>
      <c r="KJM134" s="72"/>
      <c r="KJN134" s="72"/>
      <c r="KJO134" s="72"/>
      <c r="KJP134" s="72"/>
      <c r="KJQ134" s="72"/>
      <c r="KJR134" s="72"/>
      <c r="KJS134" s="72"/>
      <c r="KJT134" s="72"/>
      <c r="KJU134" s="72"/>
      <c r="KJV134" s="72"/>
      <c r="KJW134" s="72"/>
      <c r="KJX134" s="72"/>
      <c r="KJY134" s="72"/>
      <c r="KJZ134" s="72"/>
      <c r="KKA134" s="72"/>
      <c r="KKB134" s="72"/>
      <c r="KKC134" s="72"/>
      <c r="KKD134" s="72"/>
      <c r="KKE134" s="72"/>
      <c r="KKF134" s="72"/>
      <c r="KKG134" s="72"/>
      <c r="KKH134" s="72"/>
      <c r="KKI134" s="72"/>
      <c r="KKJ134" s="72"/>
      <c r="KKK134" s="72"/>
      <c r="KKL134" s="72"/>
      <c r="KKM134" s="72"/>
      <c r="KKN134" s="72"/>
      <c r="KKO134" s="72"/>
      <c r="KKP134" s="72"/>
      <c r="KKQ134" s="72"/>
      <c r="KKR134" s="72"/>
      <c r="KKS134" s="72"/>
      <c r="KKT134" s="72"/>
      <c r="KKU134" s="72"/>
      <c r="KKV134" s="72"/>
      <c r="KKW134" s="72"/>
      <c r="KKX134" s="72"/>
      <c r="KKY134" s="72"/>
      <c r="KKZ134" s="72"/>
      <c r="KLA134" s="72"/>
      <c r="KLB134" s="72"/>
      <c r="KLC134" s="72"/>
      <c r="KLD134" s="72"/>
      <c r="KLE134" s="72"/>
      <c r="KLF134" s="72"/>
      <c r="KLG134" s="72"/>
      <c r="KLH134" s="72"/>
      <c r="KLI134" s="72"/>
      <c r="KLJ134" s="72"/>
      <c r="KLK134" s="72"/>
      <c r="KLL134" s="72"/>
      <c r="KLM134" s="72"/>
      <c r="KLN134" s="72"/>
      <c r="KLO134" s="72"/>
      <c r="KLP134" s="72"/>
      <c r="KLQ134" s="72"/>
      <c r="KLR134" s="72"/>
      <c r="KLS134" s="72"/>
      <c r="KLT134" s="72"/>
      <c r="KLU134" s="72"/>
      <c r="KLV134" s="72"/>
      <c r="KLW134" s="72"/>
      <c r="KLX134" s="72"/>
      <c r="KLY134" s="72"/>
      <c r="KLZ134" s="72"/>
      <c r="KMA134" s="72"/>
      <c r="KMB134" s="72"/>
      <c r="KMC134" s="72"/>
      <c r="KMD134" s="72"/>
      <c r="KME134" s="72"/>
      <c r="KMF134" s="72"/>
      <c r="KMG134" s="72"/>
      <c r="KMH134" s="72"/>
      <c r="KMI134" s="72"/>
      <c r="KMJ134" s="72"/>
      <c r="KMK134" s="72"/>
      <c r="KML134" s="72"/>
      <c r="KMM134" s="72"/>
      <c r="KMN134" s="72"/>
      <c r="KMO134" s="72"/>
      <c r="KMP134" s="72"/>
      <c r="KMQ134" s="72"/>
      <c r="KMR134" s="72"/>
      <c r="KMS134" s="72"/>
      <c r="KMT134" s="72"/>
      <c r="KMU134" s="72"/>
      <c r="KMV134" s="72"/>
      <c r="KMW134" s="72"/>
      <c r="KMX134" s="72"/>
      <c r="KMY134" s="72"/>
      <c r="KMZ134" s="72"/>
      <c r="KNA134" s="72"/>
      <c r="KNB134" s="72"/>
      <c r="KNC134" s="72"/>
      <c r="KND134" s="72"/>
      <c r="KNE134" s="72"/>
      <c r="KNF134" s="72"/>
      <c r="KNG134" s="72"/>
      <c r="KNH134" s="72"/>
      <c r="KNI134" s="72"/>
      <c r="KNJ134" s="72"/>
      <c r="KNK134" s="72"/>
      <c r="KNL134" s="72"/>
      <c r="KNM134" s="72"/>
      <c r="KNN134" s="72"/>
      <c r="KNO134" s="72"/>
      <c r="KNP134" s="72"/>
      <c r="KNQ134" s="72"/>
      <c r="KNR134" s="72"/>
      <c r="KNS134" s="72"/>
      <c r="KNT134" s="72"/>
      <c r="KNU134" s="72"/>
      <c r="KNV134" s="72"/>
      <c r="KNW134" s="72"/>
      <c r="KNX134" s="72"/>
      <c r="KNY134" s="72"/>
      <c r="KNZ134" s="72"/>
      <c r="KOA134" s="72"/>
      <c r="KOB134" s="72"/>
      <c r="KOC134" s="72"/>
      <c r="KOD134" s="72"/>
      <c r="KOE134" s="72"/>
      <c r="KOF134" s="72"/>
      <c r="KOG134" s="72"/>
      <c r="KOH134" s="72"/>
      <c r="KOI134" s="72"/>
      <c r="KOJ134" s="72"/>
      <c r="KOK134" s="72"/>
      <c r="KOL134" s="72"/>
      <c r="KOM134" s="72"/>
      <c r="KON134" s="72"/>
      <c r="KOO134" s="72"/>
      <c r="KOP134" s="72"/>
      <c r="KOQ134" s="72"/>
      <c r="KOR134" s="72"/>
      <c r="KOS134" s="72"/>
      <c r="KOT134" s="72"/>
      <c r="KOU134" s="72"/>
      <c r="KOV134" s="72"/>
      <c r="KOW134" s="72"/>
      <c r="KOX134" s="72"/>
      <c r="KOY134" s="72"/>
      <c r="KOZ134" s="72"/>
      <c r="KPA134" s="72"/>
      <c r="KPB134" s="72"/>
      <c r="KPC134" s="72"/>
      <c r="KPD134" s="72"/>
      <c r="KPE134" s="72"/>
      <c r="KPF134" s="72"/>
      <c r="KPG134" s="72"/>
      <c r="KPH134" s="72"/>
      <c r="KPI134" s="72"/>
      <c r="KPJ134" s="72"/>
      <c r="KPK134" s="72"/>
      <c r="KPL134" s="72"/>
      <c r="KPM134" s="72"/>
      <c r="KPN134" s="72"/>
      <c r="KPO134" s="72"/>
      <c r="KPP134" s="72"/>
      <c r="KPQ134" s="72"/>
      <c r="KPR134" s="72"/>
      <c r="KPS134" s="72"/>
      <c r="KPT134" s="72"/>
      <c r="KPU134" s="72"/>
      <c r="KPV134" s="72"/>
      <c r="KPW134" s="72"/>
      <c r="KPX134" s="72"/>
      <c r="KPY134" s="72"/>
      <c r="KPZ134" s="72"/>
      <c r="KQA134" s="72"/>
      <c r="KQB134" s="72"/>
      <c r="KQC134" s="72"/>
      <c r="KQD134" s="72"/>
      <c r="KQE134" s="72"/>
      <c r="KQF134" s="72"/>
      <c r="KQG134" s="72"/>
      <c r="KQH134" s="72"/>
      <c r="KQI134" s="72"/>
      <c r="KQJ134" s="72"/>
      <c r="KQK134" s="72"/>
      <c r="KQL134" s="72"/>
      <c r="KQM134" s="72"/>
      <c r="KQN134" s="72"/>
      <c r="KQO134" s="72"/>
      <c r="KQP134" s="72"/>
      <c r="KQQ134" s="72"/>
      <c r="KQR134" s="72"/>
      <c r="KQS134" s="72"/>
      <c r="KQT134" s="72"/>
      <c r="KQU134" s="72"/>
      <c r="KQV134" s="72"/>
      <c r="KQW134" s="72"/>
      <c r="KQX134" s="72"/>
      <c r="KQY134" s="72"/>
      <c r="KQZ134" s="72"/>
      <c r="KRA134" s="72"/>
      <c r="KRB134" s="72"/>
      <c r="KRC134" s="72"/>
      <c r="KRD134" s="72"/>
      <c r="KRE134" s="72"/>
      <c r="KRF134" s="72"/>
      <c r="KRG134" s="72"/>
      <c r="KRH134" s="72"/>
      <c r="KRI134" s="72"/>
      <c r="KRJ134" s="72"/>
      <c r="KRK134" s="72"/>
      <c r="KRL134" s="72"/>
      <c r="KRM134" s="72"/>
      <c r="KRN134" s="72"/>
      <c r="KRO134" s="72"/>
      <c r="KRP134" s="72"/>
      <c r="KRQ134" s="72"/>
      <c r="KRR134" s="72"/>
      <c r="KRS134" s="72"/>
      <c r="KRT134" s="72"/>
      <c r="KRU134" s="72"/>
      <c r="KRV134" s="72"/>
      <c r="KRW134" s="72"/>
      <c r="KRX134" s="72"/>
      <c r="KRY134" s="72"/>
      <c r="KRZ134" s="72"/>
      <c r="KSA134" s="72"/>
      <c r="KSB134" s="72"/>
      <c r="KSC134" s="72"/>
      <c r="KSD134" s="72"/>
      <c r="KSE134" s="72"/>
      <c r="KSF134" s="72"/>
      <c r="KSG134" s="72"/>
      <c r="KSH134" s="72"/>
      <c r="KSI134" s="72"/>
      <c r="KSJ134" s="72"/>
      <c r="KSK134" s="72"/>
      <c r="KSL134" s="72"/>
      <c r="KSM134" s="72"/>
      <c r="KSN134" s="72"/>
      <c r="KSO134" s="72"/>
      <c r="KSP134" s="72"/>
      <c r="KSQ134" s="72"/>
      <c r="KSR134" s="72"/>
      <c r="KSS134" s="72"/>
      <c r="KST134" s="72"/>
      <c r="KSU134" s="72"/>
      <c r="KSV134" s="72"/>
      <c r="KSW134" s="72"/>
      <c r="KSX134" s="72"/>
      <c r="KSY134" s="72"/>
      <c r="KSZ134" s="72"/>
      <c r="KTA134" s="72"/>
      <c r="KTB134" s="72"/>
      <c r="KTC134" s="72"/>
      <c r="KTD134" s="72"/>
      <c r="KTE134" s="72"/>
      <c r="KTF134" s="72"/>
      <c r="KTG134" s="72"/>
      <c r="KTH134" s="72"/>
      <c r="KTI134" s="72"/>
      <c r="KTJ134" s="72"/>
      <c r="KTK134" s="72"/>
      <c r="KTL134" s="72"/>
      <c r="KTM134" s="72"/>
      <c r="KTN134" s="72"/>
      <c r="KTO134" s="72"/>
      <c r="KTP134" s="72"/>
      <c r="KTQ134" s="72"/>
      <c r="KTR134" s="72"/>
      <c r="KTS134" s="72"/>
      <c r="KTT134" s="72"/>
      <c r="KTU134" s="72"/>
      <c r="KTV134" s="72"/>
      <c r="KTW134" s="72"/>
      <c r="KTX134" s="72"/>
      <c r="KTY134" s="72"/>
      <c r="KTZ134" s="72"/>
      <c r="KUA134" s="72"/>
      <c r="KUB134" s="72"/>
      <c r="KUC134" s="72"/>
      <c r="KUD134" s="72"/>
      <c r="KUE134" s="72"/>
      <c r="KUF134" s="72"/>
      <c r="KUG134" s="72"/>
      <c r="KUH134" s="72"/>
      <c r="KUI134" s="72"/>
      <c r="KUJ134" s="72"/>
      <c r="KUK134" s="72"/>
      <c r="KUL134" s="72"/>
      <c r="KUM134" s="72"/>
      <c r="KUN134" s="72"/>
      <c r="KUO134" s="72"/>
      <c r="KUP134" s="72"/>
      <c r="KUQ134" s="72"/>
      <c r="KUR134" s="72"/>
      <c r="KUS134" s="72"/>
      <c r="KUT134" s="72"/>
      <c r="KUU134" s="72"/>
      <c r="KUV134" s="72"/>
      <c r="KUW134" s="72"/>
      <c r="KUX134" s="72"/>
      <c r="KUY134" s="72"/>
      <c r="KUZ134" s="72"/>
      <c r="KVA134" s="72"/>
      <c r="KVB134" s="72"/>
      <c r="KVC134" s="72"/>
      <c r="KVD134" s="72"/>
      <c r="KVE134" s="72"/>
      <c r="KVF134" s="72"/>
      <c r="KVG134" s="72"/>
      <c r="KVH134" s="72"/>
      <c r="KVI134" s="72"/>
      <c r="KVJ134" s="72"/>
      <c r="KVK134" s="72"/>
      <c r="KVL134" s="72"/>
      <c r="KVM134" s="72"/>
      <c r="KVN134" s="72"/>
      <c r="KVO134" s="72"/>
      <c r="KVP134" s="72"/>
      <c r="KVQ134" s="72"/>
      <c r="KVR134" s="72"/>
      <c r="KVS134" s="72"/>
      <c r="KVT134" s="72"/>
      <c r="KVU134" s="72"/>
      <c r="KVV134" s="72"/>
      <c r="KVW134" s="72"/>
      <c r="KVX134" s="72"/>
      <c r="KVY134" s="72"/>
      <c r="KVZ134" s="72"/>
      <c r="KWA134" s="72"/>
      <c r="KWB134" s="72"/>
      <c r="KWC134" s="72"/>
      <c r="KWD134" s="72"/>
      <c r="KWE134" s="72"/>
      <c r="KWF134" s="72"/>
      <c r="KWG134" s="72"/>
      <c r="KWH134" s="72"/>
      <c r="KWI134" s="72"/>
      <c r="KWJ134" s="72"/>
      <c r="KWK134" s="72"/>
      <c r="KWL134" s="72"/>
      <c r="KWM134" s="72"/>
      <c r="KWN134" s="72"/>
      <c r="KWO134" s="72"/>
      <c r="KWP134" s="72"/>
      <c r="KWQ134" s="72"/>
      <c r="KWR134" s="72"/>
      <c r="KWS134" s="72"/>
      <c r="KWT134" s="72"/>
      <c r="KWU134" s="72"/>
      <c r="KWV134" s="72"/>
      <c r="KWW134" s="72"/>
      <c r="KWX134" s="72"/>
      <c r="KWY134" s="72"/>
      <c r="KWZ134" s="72"/>
      <c r="KXA134" s="72"/>
      <c r="KXB134" s="72"/>
      <c r="KXC134" s="72"/>
      <c r="KXD134" s="72"/>
      <c r="KXE134" s="72"/>
      <c r="KXF134" s="72"/>
      <c r="KXG134" s="72"/>
      <c r="KXH134" s="72"/>
      <c r="KXI134" s="72"/>
      <c r="KXJ134" s="72"/>
      <c r="KXK134" s="72"/>
      <c r="KXL134" s="72"/>
      <c r="KXM134" s="72"/>
      <c r="KXN134" s="72"/>
      <c r="KXO134" s="72"/>
      <c r="KXP134" s="72"/>
      <c r="KXQ134" s="72"/>
      <c r="KXR134" s="72"/>
      <c r="KXS134" s="72"/>
      <c r="KXT134" s="72"/>
      <c r="KXU134" s="72"/>
      <c r="KXV134" s="72"/>
      <c r="KXW134" s="72"/>
      <c r="KXX134" s="72"/>
      <c r="KXY134" s="72"/>
      <c r="KXZ134" s="72"/>
      <c r="KYA134" s="72"/>
      <c r="KYB134" s="72"/>
      <c r="KYC134" s="72"/>
      <c r="KYD134" s="72"/>
      <c r="KYE134" s="72"/>
      <c r="KYF134" s="72"/>
      <c r="KYG134" s="72"/>
      <c r="KYH134" s="72"/>
      <c r="KYI134" s="72"/>
      <c r="KYJ134" s="72"/>
      <c r="KYK134" s="72"/>
      <c r="KYL134" s="72"/>
      <c r="KYM134" s="72"/>
      <c r="KYN134" s="72"/>
      <c r="KYO134" s="72"/>
      <c r="KYP134" s="72"/>
      <c r="KYQ134" s="72"/>
      <c r="KYR134" s="72"/>
      <c r="KYS134" s="72"/>
      <c r="KYT134" s="72"/>
      <c r="KYU134" s="72"/>
      <c r="KYV134" s="72"/>
      <c r="KYW134" s="72"/>
      <c r="KYX134" s="72"/>
      <c r="KYY134" s="72"/>
      <c r="KYZ134" s="72"/>
      <c r="KZA134" s="72"/>
      <c r="KZB134" s="72"/>
      <c r="KZC134" s="72"/>
      <c r="KZD134" s="72"/>
      <c r="KZE134" s="72"/>
      <c r="KZF134" s="72"/>
      <c r="KZG134" s="72"/>
      <c r="KZH134" s="72"/>
      <c r="KZI134" s="72"/>
      <c r="KZJ134" s="72"/>
      <c r="KZK134" s="72"/>
      <c r="KZL134" s="72"/>
      <c r="KZM134" s="72"/>
      <c r="KZN134" s="72"/>
      <c r="KZO134" s="72"/>
      <c r="KZP134" s="72"/>
      <c r="KZQ134" s="72"/>
      <c r="KZR134" s="72"/>
      <c r="KZS134" s="72"/>
      <c r="KZT134" s="72"/>
      <c r="KZU134" s="72"/>
      <c r="KZV134" s="72"/>
      <c r="KZW134" s="72"/>
      <c r="KZX134" s="72"/>
      <c r="KZY134" s="72"/>
      <c r="KZZ134" s="72"/>
      <c r="LAA134" s="72"/>
      <c r="LAB134" s="72"/>
      <c r="LAC134" s="72"/>
      <c r="LAD134" s="72"/>
      <c r="LAE134" s="72"/>
      <c r="LAF134" s="72"/>
      <c r="LAG134" s="72"/>
      <c r="LAH134" s="72"/>
      <c r="LAI134" s="72"/>
      <c r="LAJ134" s="72"/>
      <c r="LAK134" s="72"/>
      <c r="LAL134" s="72"/>
      <c r="LAM134" s="72"/>
      <c r="LAN134" s="72"/>
      <c r="LAO134" s="72"/>
      <c r="LAP134" s="72"/>
      <c r="LAQ134" s="72"/>
      <c r="LAR134" s="72"/>
      <c r="LAS134" s="72"/>
      <c r="LAT134" s="72"/>
      <c r="LAU134" s="72"/>
      <c r="LAV134" s="72"/>
      <c r="LAW134" s="72"/>
      <c r="LAX134" s="72"/>
      <c r="LAY134" s="72"/>
      <c r="LAZ134" s="72"/>
      <c r="LBA134" s="72"/>
      <c r="LBB134" s="72"/>
      <c r="LBC134" s="72"/>
      <c r="LBD134" s="72"/>
      <c r="LBE134" s="72"/>
      <c r="LBF134" s="72"/>
      <c r="LBG134" s="72"/>
      <c r="LBH134" s="72"/>
      <c r="LBI134" s="72"/>
      <c r="LBJ134" s="72"/>
      <c r="LBK134" s="72"/>
      <c r="LBL134" s="72"/>
      <c r="LBM134" s="72"/>
      <c r="LBN134" s="72"/>
      <c r="LBO134" s="72"/>
      <c r="LBP134" s="72"/>
      <c r="LBQ134" s="72"/>
      <c r="LBR134" s="72"/>
      <c r="LBS134" s="72"/>
      <c r="LBT134" s="72"/>
      <c r="LBU134" s="72"/>
      <c r="LBV134" s="72"/>
      <c r="LBW134" s="72"/>
      <c r="LBX134" s="72"/>
      <c r="LBY134" s="72"/>
      <c r="LBZ134" s="72"/>
      <c r="LCA134" s="72"/>
      <c r="LCB134" s="72"/>
      <c r="LCC134" s="72"/>
      <c r="LCD134" s="72"/>
      <c r="LCE134" s="72"/>
      <c r="LCF134" s="72"/>
      <c r="LCG134" s="72"/>
      <c r="LCH134" s="72"/>
      <c r="LCI134" s="72"/>
      <c r="LCJ134" s="72"/>
      <c r="LCK134" s="72"/>
      <c r="LCL134" s="72"/>
      <c r="LCM134" s="72"/>
      <c r="LCN134" s="72"/>
      <c r="LCO134" s="72"/>
      <c r="LCP134" s="72"/>
      <c r="LCQ134" s="72"/>
      <c r="LCR134" s="72"/>
      <c r="LCS134" s="72"/>
      <c r="LCT134" s="72"/>
      <c r="LCU134" s="72"/>
      <c r="LCV134" s="72"/>
      <c r="LCW134" s="72"/>
      <c r="LCX134" s="72"/>
      <c r="LCY134" s="72"/>
      <c r="LCZ134" s="72"/>
      <c r="LDA134" s="72"/>
      <c r="LDB134" s="72"/>
      <c r="LDC134" s="72"/>
      <c r="LDD134" s="72"/>
      <c r="LDE134" s="72"/>
      <c r="LDF134" s="72"/>
      <c r="LDG134" s="72"/>
      <c r="LDH134" s="72"/>
      <c r="LDI134" s="72"/>
      <c r="LDJ134" s="72"/>
      <c r="LDK134" s="72"/>
      <c r="LDL134" s="72"/>
      <c r="LDM134" s="72"/>
      <c r="LDN134" s="72"/>
      <c r="LDO134" s="72"/>
      <c r="LDP134" s="72"/>
      <c r="LDQ134" s="72"/>
      <c r="LDR134" s="72"/>
      <c r="LDS134" s="72"/>
      <c r="LDT134" s="72"/>
      <c r="LDU134" s="72"/>
      <c r="LDV134" s="72"/>
      <c r="LDW134" s="72"/>
      <c r="LDX134" s="72"/>
      <c r="LDY134" s="72"/>
      <c r="LDZ134" s="72"/>
      <c r="LEA134" s="72"/>
      <c r="LEB134" s="72"/>
      <c r="LEC134" s="72"/>
      <c r="LED134" s="72"/>
      <c r="LEE134" s="72"/>
      <c r="LEF134" s="72"/>
      <c r="LEG134" s="72"/>
      <c r="LEH134" s="72"/>
      <c r="LEI134" s="72"/>
      <c r="LEJ134" s="72"/>
      <c r="LEK134" s="72"/>
      <c r="LEL134" s="72"/>
      <c r="LEM134" s="72"/>
      <c r="LEN134" s="72"/>
      <c r="LEO134" s="72"/>
      <c r="LEP134" s="72"/>
      <c r="LEQ134" s="72"/>
      <c r="LER134" s="72"/>
      <c r="LES134" s="72"/>
      <c r="LET134" s="72"/>
      <c r="LEU134" s="72"/>
      <c r="LEV134" s="72"/>
      <c r="LEW134" s="72"/>
      <c r="LEX134" s="72"/>
      <c r="LEY134" s="72"/>
      <c r="LEZ134" s="72"/>
      <c r="LFA134" s="72"/>
      <c r="LFB134" s="72"/>
      <c r="LFC134" s="72"/>
      <c r="LFD134" s="72"/>
      <c r="LFE134" s="72"/>
      <c r="LFF134" s="72"/>
      <c r="LFG134" s="72"/>
      <c r="LFH134" s="72"/>
      <c r="LFI134" s="72"/>
      <c r="LFJ134" s="72"/>
      <c r="LFK134" s="72"/>
      <c r="LFL134" s="72"/>
      <c r="LFM134" s="72"/>
      <c r="LFN134" s="72"/>
      <c r="LFO134" s="72"/>
      <c r="LFP134" s="72"/>
      <c r="LFQ134" s="72"/>
      <c r="LFR134" s="72"/>
      <c r="LFS134" s="72"/>
      <c r="LFT134" s="72"/>
      <c r="LFU134" s="72"/>
      <c r="LFV134" s="72"/>
      <c r="LFW134" s="72"/>
      <c r="LFX134" s="72"/>
      <c r="LFY134" s="72"/>
      <c r="LFZ134" s="72"/>
      <c r="LGA134" s="72"/>
      <c r="LGB134" s="72"/>
      <c r="LGC134" s="72"/>
      <c r="LGD134" s="72"/>
      <c r="LGE134" s="72"/>
      <c r="LGF134" s="72"/>
      <c r="LGG134" s="72"/>
      <c r="LGH134" s="72"/>
      <c r="LGI134" s="72"/>
      <c r="LGJ134" s="72"/>
      <c r="LGK134" s="72"/>
      <c r="LGL134" s="72"/>
      <c r="LGM134" s="72"/>
      <c r="LGN134" s="72"/>
      <c r="LGO134" s="72"/>
      <c r="LGP134" s="72"/>
      <c r="LGQ134" s="72"/>
      <c r="LGR134" s="72"/>
      <c r="LGS134" s="72"/>
      <c r="LGT134" s="72"/>
      <c r="LGU134" s="72"/>
      <c r="LGV134" s="72"/>
      <c r="LGW134" s="72"/>
      <c r="LGX134" s="72"/>
      <c r="LGY134" s="72"/>
      <c r="LGZ134" s="72"/>
      <c r="LHA134" s="72"/>
      <c r="LHB134" s="72"/>
      <c r="LHC134" s="72"/>
      <c r="LHD134" s="72"/>
      <c r="LHE134" s="72"/>
      <c r="LHF134" s="72"/>
      <c r="LHG134" s="72"/>
      <c r="LHH134" s="72"/>
      <c r="LHI134" s="72"/>
      <c r="LHJ134" s="72"/>
      <c r="LHK134" s="72"/>
      <c r="LHL134" s="72"/>
      <c r="LHM134" s="72"/>
      <c r="LHN134" s="72"/>
      <c r="LHO134" s="72"/>
      <c r="LHP134" s="72"/>
      <c r="LHQ134" s="72"/>
      <c r="LHR134" s="72"/>
      <c r="LHS134" s="72"/>
      <c r="LHT134" s="72"/>
      <c r="LHU134" s="72"/>
      <c r="LHV134" s="72"/>
      <c r="LHW134" s="72"/>
      <c r="LHX134" s="72"/>
      <c r="LHY134" s="72"/>
      <c r="LHZ134" s="72"/>
      <c r="LIA134" s="72"/>
      <c r="LIB134" s="72"/>
      <c r="LIC134" s="72"/>
      <c r="LID134" s="72"/>
      <c r="LIE134" s="72"/>
      <c r="LIF134" s="72"/>
      <c r="LIG134" s="72"/>
      <c r="LIH134" s="72"/>
      <c r="LII134" s="72"/>
      <c r="LIJ134" s="72"/>
      <c r="LIK134" s="72"/>
      <c r="LIL134" s="72"/>
      <c r="LIM134" s="72"/>
      <c r="LIN134" s="72"/>
      <c r="LIO134" s="72"/>
      <c r="LIP134" s="72"/>
      <c r="LIQ134" s="72"/>
      <c r="LIR134" s="72"/>
      <c r="LIS134" s="72"/>
      <c r="LIT134" s="72"/>
      <c r="LIU134" s="72"/>
      <c r="LIV134" s="72"/>
      <c r="LIW134" s="72"/>
      <c r="LIX134" s="72"/>
      <c r="LIY134" s="72"/>
      <c r="LIZ134" s="72"/>
      <c r="LJA134" s="72"/>
      <c r="LJB134" s="72"/>
      <c r="LJC134" s="72"/>
      <c r="LJD134" s="72"/>
      <c r="LJE134" s="72"/>
      <c r="LJF134" s="72"/>
      <c r="LJG134" s="72"/>
      <c r="LJH134" s="72"/>
      <c r="LJI134" s="72"/>
      <c r="LJJ134" s="72"/>
      <c r="LJK134" s="72"/>
      <c r="LJL134" s="72"/>
      <c r="LJM134" s="72"/>
      <c r="LJN134" s="72"/>
      <c r="LJO134" s="72"/>
      <c r="LJP134" s="72"/>
      <c r="LJQ134" s="72"/>
      <c r="LJR134" s="72"/>
      <c r="LJS134" s="72"/>
      <c r="LJT134" s="72"/>
      <c r="LJU134" s="72"/>
      <c r="LJV134" s="72"/>
      <c r="LJW134" s="72"/>
      <c r="LJX134" s="72"/>
      <c r="LJY134" s="72"/>
      <c r="LJZ134" s="72"/>
      <c r="LKA134" s="72"/>
      <c r="LKB134" s="72"/>
      <c r="LKC134" s="72"/>
      <c r="LKD134" s="72"/>
      <c r="LKE134" s="72"/>
      <c r="LKF134" s="72"/>
      <c r="LKG134" s="72"/>
      <c r="LKH134" s="72"/>
      <c r="LKI134" s="72"/>
      <c r="LKJ134" s="72"/>
      <c r="LKK134" s="72"/>
      <c r="LKL134" s="72"/>
      <c r="LKM134" s="72"/>
      <c r="LKN134" s="72"/>
      <c r="LKO134" s="72"/>
      <c r="LKP134" s="72"/>
      <c r="LKQ134" s="72"/>
      <c r="LKR134" s="72"/>
      <c r="LKS134" s="72"/>
      <c r="LKT134" s="72"/>
      <c r="LKU134" s="72"/>
      <c r="LKV134" s="72"/>
      <c r="LKW134" s="72"/>
      <c r="LKX134" s="72"/>
      <c r="LKY134" s="72"/>
      <c r="LKZ134" s="72"/>
      <c r="LLA134" s="72"/>
      <c r="LLB134" s="72"/>
      <c r="LLC134" s="72"/>
      <c r="LLD134" s="72"/>
      <c r="LLE134" s="72"/>
      <c r="LLF134" s="72"/>
      <c r="LLG134" s="72"/>
      <c r="LLH134" s="72"/>
      <c r="LLI134" s="72"/>
      <c r="LLJ134" s="72"/>
      <c r="LLK134" s="72"/>
      <c r="LLL134" s="72"/>
      <c r="LLM134" s="72"/>
      <c r="LLN134" s="72"/>
      <c r="LLO134" s="72"/>
      <c r="LLP134" s="72"/>
      <c r="LLQ134" s="72"/>
      <c r="LLR134" s="72"/>
      <c r="LLS134" s="72"/>
      <c r="LLT134" s="72"/>
      <c r="LLU134" s="72"/>
      <c r="LLV134" s="72"/>
      <c r="LLW134" s="72"/>
      <c r="LLX134" s="72"/>
      <c r="LLY134" s="72"/>
      <c r="LLZ134" s="72"/>
      <c r="LMA134" s="72"/>
      <c r="LMB134" s="72"/>
      <c r="LMC134" s="72"/>
      <c r="LMD134" s="72"/>
      <c r="LME134" s="72"/>
      <c r="LMF134" s="72"/>
      <c r="LMG134" s="72"/>
      <c r="LMH134" s="72"/>
      <c r="LMI134" s="72"/>
      <c r="LMJ134" s="72"/>
      <c r="LMK134" s="72"/>
      <c r="LML134" s="72"/>
      <c r="LMM134" s="72"/>
      <c r="LMN134" s="72"/>
      <c r="LMO134" s="72"/>
      <c r="LMP134" s="72"/>
      <c r="LMQ134" s="72"/>
      <c r="LMR134" s="72"/>
      <c r="LMS134" s="72"/>
      <c r="LMT134" s="72"/>
      <c r="LMU134" s="72"/>
      <c r="LMV134" s="72"/>
      <c r="LMW134" s="72"/>
      <c r="LMX134" s="72"/>
      <c r="LMY134" s="72"/>
      <c r="LMZ134" s="72"/>
      <c r="LNA134" s="72"/>
      <c r="LNB134" s="72"/>
      <c r="LNC134" s="72"/>
      <c r="LND134" s="72"/>
      <c r="LNE134" s="72"/>
      <c r="LNF134" s="72"/>
      <c r="LNG134" s="72"/>
      <c r="LNH134" s="72"/>
      <c r="LNI134" s="72"/>
      <c r="LNJ134" s="72"/>
      <c r="LNK134" s="72"/>
      <c r="LNL134" s="72"/>
      <c r="LNM134" s="72"/>
      <c r="LNN134" s="72"/>
      <c r="LNO134" s="72"/>
      <c r="LNP134" s="72"/>
      <c r="LNQ134" s="72"/>
      <c r="LNR134" s="72"/>
      <c r="LNS134" s="72"/>
      <c r="LNT134" s="72"/>
      <c r="LNU134" s="72"/>
      <c r="LNV134" s="72"/>
      <c r="LNW134" s="72"/>
      <c r="LNX134" s="72"/>
      <c r="LNY134" s="72"/>
      <c r="LNZ134" s="72"/>
      <c r="LOA134" s="72"/>
      <c r="LOB134" s="72"/>
      <c r="LOC134" s="72"/>
      <c r="LOD134" s="72"/>
      <c r="LOE134" s="72"/>
      <c r="LOF134" s="72"/>
      <c r="LOG134" s="72"/>
      <c r="LOH134" s="72"/>
      <c r="LOI134" s="72"/>
      <c r="LOJ134" s="72"/>
      <c r="LOK134" s="72"/>
      <c r="LOL134" s="72"/>
      <c r="LOM134" s="72"/>
      <c r="LON134" s="72"/>
      <c r="LOO134" s="72"/>
      <c r="LOP134" s="72"/>
      <c r="LOQ134" s="72"/>
      <c r="LOR134" s="72"/>
      <c r="LOS134" s="72"/>
      <c r="LOT134" s="72"/>
      <c r="LOU134" s="72"/>
      <c r="LOV134" s="72"/>
      <c r="LOW134" s="72"/>
      <c r="LOX134" s="72"/>
      <c r="LOY134" s="72"/>
      <c r="LOZ134" s="72"/>
      <c r="LPA134" s="72"/>
      <c r="LPB134" s="72"/>
      <c r="LPC134" s="72"/>
      <c r="LPD134" s="72"/>
      <c r="LPE134" s="72"/>
      <c r="LPF134" s="72"/>
      <c r="LPG134" s="72"/>
      <c r="LPH134" s="72"/>
      <c r="LPI134" s="72"/>
      <c r="LPJ134" s="72"/>
      <c r="LPK134" s="72"/>
      <c r="LPL134" s="72"/>
      <c r="LPM134" s="72"/>
      <c r="LPN134" s="72"/>
      <c r="LPO134" s="72"/>
      <c r="LPP134" s="72"/>
      <c r="LPQ134" s="72"/>
      <c r="LPR134" s="72"/>
      <c r="LPS134" s="72"/>
      <c r="LPT134" s="72"/>
      <c r="LPU134" s="72"/>
      <c r="LPV134" s="72"/>
      <c r="LPW134" s="72"/>
      <c r="LPX134" s="72"/>
      <c r="LPY134" s="72"/>
      <c r="LPZ134" s="72"/>
      <c r="LQA134" s="72"/>
      <c r="LQB134" s="72"/>
      <c r="LQC134" s="72"/>
      <c r="LQD134" s="72"/>
      <c r="LQE134" s="72"/>
      <c r="LQF134" s="72"/>
      <c r="LQG134" s="72"/>
      <c r="LQH134" s="72"/>
      <c r="LQI134" s="72"/>
      <c r="LQJ134" s="72"/>
      <c r="LQK134" s="72"/>
      <c r="LQL134" s="72"/>
      <c r="LQM134" s="72"/>
      <c r="LQN134" s="72"/>
      <c r="LQO134" s="72"/>
      <c r="LQP134" s="72"/>
      <c r="LQQ134" s="72"/>
      <c r="LQR134" s="72"/>
      <c r="LQS134" s="72"/>
      <c r="LQT134" s="72"/>
      <c r="LQU134" s="72"/>
      <c r="LQV134" s="72"/>
      <c r="LQW134" s="72"/>
      <c r="LQX134" s="72"/>
      <c r="LQY134" s="72"/>
      <c r="LQZ134" s="72"/>
      <c r="LRA134" s="72"/>
      <c r="LRB134" s="72"/>
      <c r="LRC134" s="72"/>
      <c r="LRD134" s="72"/>
      <c r="LRE134" s="72"/>
      <c r="LRF134" s="72"/>
      <c r="LRG134" s="72"/>
      <c r="LRH134" s="72"/>
      <c r="LRI134" s="72"/>
      <c r="LRJ134" s="72"/>
      <c r="LRK134" s="72"/>
      <c r="LRL134" s="72"/>
      <c r="LRM134" s="72"/>
      <c r="LRN134" s="72"/>
      <c r="LRO134" s="72"/>
      <c r="LRP134" s="72"/>
      <c r="LRQ134" s="72"/>
      <c r="LRR134" s="72"/>
      <c r="LRS134" s="72"/>
      <c r="LRT134" s="72"/>
      <c r="LRU134" s="72"/>
      <c r="LRV134" s="72"/>
      <c r="LRW134" s="72"/>
      <c r="LRX134" s="72"/>
      <c r="LRY134" s="72"/>
      <c r="LRZ134" s="72"/>
      <c r="LSA134" s="72"/>
      <c r="LSB134" s="72"/>
      <c r="LSC134" s="72"/>
      <c r="LSD134" s="72"/>
      <c r="LSE134" s="72"/>
      <c r="LSF134" s="72"/>
      <c r="LSG134" s="72"/>
      <c r="LSH134" s="72"/>
      <c r="LSI134" s="72"/>
      <c r="LSJ134" s="72"/>
      <c r="LSK134" s="72"/>
      <c r="LSL134" s="72"/>
      <c r="LSM134" s="72"/>
      <c r="LSN134" s="72"/>
      <c r="LSO134" s="72"/>
      <c r="LSP134" s="72"/>
      <c r="LSQ134" s="72"/>
      <c r="LSR134" s="72"/>
      <c r="LSS134" s="72"/>
      <c r="LST134" s="72"/>
      <c r="LSU134" s="72"/>
      <c r="LSV134" s="72"/>
      <c r="LSW134" s="72"/>
      <c r="LSX134" s="72"/>
      <c r="LSY134" s="72"/>
      <c r="LSZ134" s="72"/>
      <c r="LTA134" s="72"/>
      <c r="LTB134" s="72"/>
      <c r="LTC134" s="72"/>
      <c r="LTD134" s="72"/>
      <c r="LTE134" s="72"/>
      <c r="LTF134" s="72"/>
      <c r="LTG134" s="72"/>
      <c r="LTH134" s="72"/>
      <c r="LTI134" s="72"/>
      <c r="LTJ134" s="72"/>
      <c r="LTK134" s="72"/>
      <c r="LTL134" s="72"/>
      <c r="LTM134" s="72"/>
      <c r="LTN134" s="72"/>
      <c r="LTO134" s="72"/>
      <c r="LTP134" s="72"/>
      <c r="LTQ134" s="72"/>
      <c r="LTR134" s="72"/>
      <c r="LTS134" s="72"/>
      <c r="LTT134" s="72"/>
      <c r="LTU134" s="72"/>
      <c r="LTV134" s="72"/>
      <c r="LTW134" s="72"/>
      <c r="LTX134" s="72"/>
      <c r="LTY134" s="72"/>
      <c r="LTZ134" s="72"/>
      <c r="LUA134" s="72"/>
      <c r="LUB134" s="72"/>
      <c r="LUC134" s="72"/>
      <c r="LUD134" s="72"/>
      <c r="LUE134" s="72"/>
      <c r="LUF134" s="72"/>
      <c r="LUG134" s="72"/>
      <c r="LUH134" s="72"/>
      <c r="LUI134" s="72"/>
      <c r="LUJ134" s="72"/>
      <c r="LUK134" s="72"/>
      <c r="LUL134" s="72"/>
      <c r="LUM134" s="72"/>
      <c r="LUN134" s="72"/>
      <c r="LUO134" s="72"/>
      <c r="LUP134" s="72"/>
      <c r="LUQ134" s="72"/>
      <c r="LUR134" s="72"/>
      <c r="LUS134" s="72"/>
      <c r="LUT134" s="72"/>
      <c r="LUU134" s="72"/>
      <c r="LUV134" s="72"/>
      <c r="LUW134" s="72"/>
      <c r="LUX134" s="72"/>
      <c r="LUY134" s="72"/>
      <c r="LUZ134" s="72"/>
      <c r="LVA134" s="72"/>
      <c r="LVB134" s="72"/>
      <c r="LVC134" s="72"/>
      <c r="LVD134" s="72"/>
      <c r="LVE134" s="72"/>
      <c r="LVF134" s="72"/>
      <c r="LVG134" s="72"/>
      <c r="LVH134" s="72"/>
      <c r="LVI134" s="72"/>
      <c r="LVJ134" s="72"/>
      <c r="LVK134" s="72"/>
      <c r="LVL134" s="72"/>
      <c r="LVM134" s="72"/>
      <c r="LVN134" s="72"/>
      <c r="LVO134" s="72"/>
      <c r="LVP134" s="72"/>
      <c r="LVQ134" s="72"/>
      <c r="LVR134" s="72"/>
      <c r="LVS134" s="72"/>
      <c r="LVT134" s="72"/>
      <c r="LVU134" s="72"/>
      <c r="LVV134" s="72"/>
      <c r="LVW134" s="72"/>
      <c r="LVX134" s="72"/>
      <c r="LVY134" s="72"/>
      <c r="LVZ134" s="72"/>
      <c r="LWA134" s="72"/>
      <c r="LWB134" s="72"/>
      <c r="LWC134" s="72"/>
      <c r="LWD134" s="72"/>
      <c r="LWE134" s="72"/>
      <c r="LWF134" s="72"/>
      <c r="LWG134" s="72"/>
      <c r="LWH134" s="72"/>
      <c r="LWI134" s="72"/>
      <c r="LWJ134" s="72"/>
      <c r="LWK134" s="72"/>
      <c r="LWL134" s="72"/>
      <c r="LWM134" s="72"/>
      <c r="LWN134" s="72"/>
      <c r="LWO134" s="72"/>
      <c r="LWP134" s="72"/>
      <c r="LWQ134" s="72"/>
      <c r="LWR134" s="72"/>
      <c r="LWS134" s="72"/>
      <c r="LWT134" s="72"/>
      <c r="LWU134" s="72"/>
      <c r="LWV134" s="72"/>
      <c r="LWW134" s="72"/>
      <c r="LWX134" s="72"/>
      <c r="LWY134" s="72"/>
      <c r="LWZ134" s="72"/>
      <c r="LXA134" s="72"/>
      <c r="LXB134" s="72"/>
      <c r="LXC134" s="72"/>
      <c r="LXD134" s="72"/>
      <c r="LXE134" s="72"/>
      <c r="LXF134" s="72"/>
      <c r="LXG134" s="72"/>
      <c r="LXH134" s="72"/>
      <c r="LXI134" s="72"/>
      <c r="LXJ134" s="72"/>
      <c r="LXK134" s="72"/>
      <c r="LXL134" s="72"/>
      <c r="LXM134" s="72"/>
      <c r="LXN134" s="72"/>
      <c r="LXO134" s="72"/>
      <c r="LXP134" s="72"/>
      <c r="LXQ134" s="72"/>
      <c r="LXR134" s="72"/>
      <c r="LXS134" s="72"/>
      <c r="LXT134" s="72"/>
      <c r="LXU134" s="72"/>
      <c r="LXV134" s="72"/>
      <c r="LXW134" s="72"/>
      <c r="LXX134" s="72"/>
      <c r="LXY134" s="72"/>
      <c r="LXZ134" s="72"/>
      <c r="LYA134" s="72"/>
      <c r="LYB134" s="72"/>
      <c r="LYC134" s="72"/>
      <c r="LYD134" s="72"/>
      <c r="LYE134" s="72"/>
      <c r="LYF134" s="72"/>
      <c r="LYG134" s="72"/>
      <c r="LYH134" s="72"/>
      <c r="LYI134" s="72"/>
      <c r="LYJ134" s="72"/>
      <c r="LYK134" s="72"/>
      <c r="LYL134" s="72"/>
      <c r="LYM134" s="72"/>
      <c r="LYN134" s="72"/>
      <c r="LYO134" s="72"/>
      <c r="LYP134" s="72"/>
      <c r="LYQ134" s="72"/>
      <c r="LYR134" s="72"/>
      <c r="LYS134" s="72"/>
      <c r="LYT134" s="72"/>
      <c r="LYU134" s="72"/>
      <c r="LYV134" s="72"/>
      <c r="LYW134" s="72"/>
      <c r="LYX134" s="72"/>
      <c r="LYY134" s="72"/>
      <c r="LYZ134" s="72"/>
      <c r="LZA134" s="72"/>
      <c r="LZB134" s="72"/>
      <c r="LZC134" s="72"/>
      <c r="LZD134" s="72"/>
      <c r="LZE134" s="72"/>
      <c r="LZF134" s="72"/>
      <c r="LZG134" s="72"/>
      <c r="LZH134" s="72"/>
      <c r="LZI134" s="72"/>
      <c r="LZJ134" s="72"/>
      <c r="LZK134" s="72"/>
      <c r="LZL134" s="72"/>
      <c r="LZM134" s="72"/>
      <c r="LZN134" s="72"/>
      <c r="LZO134" s="72"/>
      <c r="LZP134" s="72"/>
      <c r="LZQ134" s="72"/>
      <c r="LZR134" s="72"/>
      <c r="LZS134" s="72"/>
      <c r="LZT134" s="72"/>
      <c r="LZU134" s="72"/>
      <c r="LZV134" s="72"/>
      <c r="LZW134" s="72"/>
      <c r="LZX134" s="72"/>
      <c r="LZY134" s="72"/>
      <c r="LZZ134" s="72"/>
      <c r="MAA134" s="72"/>
      <c r="MAB134" s="72"/>
      <c r="MAC134" s="72"/>
      <c r="MAD134" s="72"/>
      <c r="MAE134" s="72"/>
      <c r="MAF134" s="72"/>
      <c r="MAG134" s="72"/>
      <c r="MAH134" s="72"/>
      <c r="MAI134" s="72"/>
      <c r="MAJ134" s="72"/>
      <c r="MAK134" s="72"/>
      <c r="MAL134" s="72"/>
      <c r="MAM134" s="72"/>
      <c r="MAN134" s="72"/>
      <c r="MAO134" s="72"/>
      <c r="MAP134" s="72"/>
      <c r="MAQ134" s="72"/>
      <c r="MAR134" s="72"/>
      <c r="MAS134" s="72"/>
      <c r="MAT134" s="72"/>
      <c r="MAU134" s="72"/>
      <c r="MAV134" s="72"/>
      <c r="MAW134" s="72"/>
      <c r="MAX134" s="72"/>
      <c r="MAY134" s="72"/>
      <c r="MAZ134" s="72"/>
      <c r="MBA134" s="72"/>
      <c r="MBB134" s="72"/>
      <c r="MBC134" s="72"/>
      <c r="MBD134" s="72"/>
      <c r="MBE134" s="72"/>
      <c r="MBF134" s="72"/>
      <c r="MBG134" s="72"/>
      <c r="MBH134" s="72"/>
      <c r="MBI134" s="72"/>
      <c r="MBJ134" s="72"/>
      <c r="MBK134" s="72"/>
      <c r="MBL134" s="72"/>
      <c r="MBM134" s="72"/>
      <c r="MBN134" s="72"/>
      <c r="MBO134" s="72"/>
      <c r="MBP134" s="72"/>
      <c r="MBQ134" s="72"/>
      <c r="MBR134" s="72"/>
      <c r="MBS134" s="72"/>
      <c r="MBT134" s="72"/>
      <c r="MBU134" s="72"/>
      <c r="MBV134" s="72"/>
      <c r="MBW134" s="72"/>
      <c r="MBX134" s="72"/>
      <c r="MBY134" s="72"/>
      <c r="MBZ134" s="72"/>
      <c r="MCA134" s="72"/>
      <c r="MCB134" s="72"/>
      <c r="MCC134" s="72"/>
      <c r="MCD134" s="72"/>
      <c r="MCE134" s="72"/>
      <c r="MCF134" s="72"/>
      <c r="MCG134" s="72"/>
      <c r="MCH134" s="72"/>
      <c r="MCI134" s="72"/>
      <c r="MCJ134" s="72"/>
      <c r="MCK134" s="72"/>
      <c r="MCL134" s="72"/>
      <c r="MCM134" s="72"/>
      <c r="MCN134" s="72"/>
      <c r="MCO134" s="72"/>
      <c r="MCP134" s="72"/>
      <c r="MCQ134" s="72"/>
      <c r="MCR134" s="72"/>
      <c r="MCS134" s="72"/>
      <c r="MCT134" s="72"/>
      <c r="MCU134" s="72"/>
      <c r="MCV134" s="72"/>
      <c r="MCW134" s="72"/>
      <c r="MCX134" s="72"/>
      <c r="MCY134" s="72"/>
      <c r="MCZ134" s="72"/>
      <c r="MDA134" s="72"/>
      <c r="MDB134" s="72"/>
      <c r="MDC134" s="72"/>
      <c r="MDD134" s="72"/>
      <c r="MDE134" s="72"/>
      <c r="MDF134" s="72"/>
      <c r="MDG134" s="72"/>
      <c r="MDH134" s="72"/>
      <c r="MDI134" s="72"/>
      <c r="MDJ134" s="72"/>
      <c r="MDK134" s="72"/>
      <c r="MDL134" s="72"/>
      <c r="MDM134" s="72"/>
      <c r="MDN134" s="72"/>
      <c r="MDO134" s="72"/>
      <c r="MDP134" s="72"/>
      <c r="MDQ134" s="72"/>
      <c r="MDR134" s="72"/>
      <c r="MDS134" s="72"/>
      <c r="MDT134" s="72"/>
      <c r="MDU134" s="72"/>
      <c r="MDV134" s="72"/>
      <c r="MDW134" s="72"/>
      <c r="MDX134" s="72"/>
      <c r="MDY134" s="72"/>
      <c r="MDZ134" s="72"/>
      <c r="MEA134" s="72"/>
      <c r="MEB134" s="72"/>
      <c r="MEC134" s="72"/>
      <c r="MED134" s="72"/>
      <c r="MEE134" s="72"/>
      <c r="MEF134" s="72"/>
      <c r="MEG134" s="72"/>
      <c r="MEH134" s="72"/>
      <c r="MEI134" s="72"/>
      <c r="MEJ134" s="72"/>
      <c r="MEK134" s="72"/>
      <c r="MEL134" s="72"/>
      <c r="MEM134" s="72"/>
      <c r="MEN134" s="72"/>
      <c r="MEO134" s="72"/>
      <c r="MEP134" s="72"/>
      <c r="MEQ134" s="72"/>
      <c r="MER134" s="72"/>
      <c r="MES134" s="72"/>
      <c r="MET134" s="72"/>
      <c r="MEU134" s="72"/>
      <c r="MEV134" s="72"/>
      <c r="MEW134" s="72"/>
      <c r="MEX134" s="72"/>
      <c r="MEY134" s="72"/>
      <c r="MEZ134" s="72"/>
      <c r="MFA134" s="72"/>
      <c r="MFB134" s="72"/>
      <c r="MFC134" s="72"/>
      <c r="MFD134" s="72"/>
      <c r="MFE134" s="72"/>
      <c r="MFF134" s="72"/>
      <c r="MFG134" s="72"/>
      <c r="MFH134" s="72"/>
      <c r="MFI134" s="72"/>
      <c r="MFJ134" s="72"/>
      <c r="MFK134" s="72"/>
      <c r="MFL134" s="72"/>
      <c r="MFM134" s="72"/>
      <c r="MFN134" s="72"/>
      <c r="MFO134" s="72"/>
      <c r="MFP134" s="72"/>
      <c r="MFQ134" s="72"/>
      <c r="MFR134" s="72"/>
      <c r="MFS134" s="72"/>
      <c r="MFT134" s="72"/>
      <c r="MFU134" s="72"/>
      <c r="MFV134" s="72"/>
      <c r="MFW134" s="72"/>
      <c r="MFX134" s="72"/>
      <c r="MFY134" s="72"/>
      <c r="MFZ134" s="72"/>
      <c r="MGA134" s="72"/>
      <c r="MGB134" s="72"/>
      <c r="MGC134" s="72"/>
      <c r="MGD134" s="72"/>
      <c r="MGE134" s="72"/>
      <c r="MGF134" s="72"/>
      <c r="MGG134" s="72"/>
      <c r="MGH134" s="72"/>
      <c r="MGI134" s="72"/>
      <c r="MGJ134" s="72"/>
      <c r="MGK134" s="72"/>
      <c r="MGL134" s="72"/>
      <c r="MGM134" s="72"/>
      <c r="MGN134" s="72"/>
      <c r="MGO134" s="72"/>
      <c r="MGP134" s="72"/>
      <c r="MGQ134" s="72"/>
      <c r="MGR134" s="72"/>
      <c r="MGS134" s="72"/>
      <c r="MGT134" s="72"/>
      <c r="MGU134" s="72"/>
      <c r="MGV134" s="72"/>
      <c r="MGW134" s="72"/>
      <c r="MGX134" s="72"/>
      <c r="MGY134" s="72"/>
      <c r="MGZ134" s="72"/>
      <c r="MHA134" s="72"/>
      <c r="MHB134" s="72"/>
      <c r="MHC134" s="72"/>
      <c r="MHD134" s="72"/>
      <c r="MHE134" s="72"/>
      <c r="MHF134" s="72"/>
      <c r="MHG134" s="72"/>
      <c r="MHH134" s="72"/>
      <c r="MHI134" s="72"/>
      <c r="MHJ134" s="72"/>
      <c r="MHK134" s="72"/>
      <c r="MHL134" s="72"/>
      <c r="MHM134" s="72"/>
      <c r="MHN134" s="72"/>
      <c r="MHO134" s="72"/>
      <c r="MHP134" s="72"/>
      <c r="MHQ134" s="72"/>
      <c r="MHR134" s="72"/>
      <c r="MHS134" s="72"/>
      <c r="MHT134" s="72"/>
      <c r="MHU134" s="72"/>
      <c r="MHV134" s="72"/>
      <c r="MHW134" s="72"/>
      <c r="MHX134" s="72"/>
      <c r="MHY134" s="72"/>
      <c r="MHZ134" s="72"/>
      <c r="MIA134" s="72"/>
      <c r="MIB134" s="72"/>
      <c r="MIC134" s="72"/>
      <c r="MID134" s="72"/>
      <c r="MIE134" s="72"/>
      <c r="MIF134" s="72"/>
      <c r="MIG134" s="72"/>
      <c r="MIH134" s="72"/>
      <c r="MII134" s="72"/>
      <c r="MIJ134" s="72"/>
      <c r="MIK134" s="72"/>
      <c r="MIL134" s="72"/>
      <c r="MIM134" s="72"/>
      <c r="MIN134" s="72"/>
      <c r="MIO134" s="72"/>
      <c r="MIP134" s="72"/>
      <c r="MIQ134" s="72"/>
      <c r="MIR134" s="72"/>
      <c r="MIS134" s="72"/>
      <c r="MIT134" s="72"/>
      <c r="MIU134" s="72"/>
      <c r="MIV134" s="72"/>
      <c r="MIW134" s="72"/>
      <c r="MIX134" s="72"/>
      <c r="MIY134" s="72"/>
      <c r="MIZ134" s="72"/>
      <c r="MJA134" s="72"/>
      <c r="MJB134" s="72"/>
      <c r="MJC134" s="72"/>
      <c r="MJD134" s="72"/>
      <c r="MJE134" s="72"/>
      <c r="MJF134" s="72"/>
      <c r="MJG134" s="72"/>
      <c r="MJH134" s="72"/>
      <c r="MJI134" s="72"/>
      <c r="MJJ134" s="72"/>
      <c r="MJK134" s="72"/>
      <c r="MJL134" s="72"/>
      <c r="MJM134" s="72"/>
      <c r="MJN134" s="72"/>
      <c r="MJO134" s="72"/>
      <c r="MJP134" s="72"/>
      <c r="MJQ134" s="72"/>
      <c r="MJR134" s="72"/>
      <c r="MJS134" s="72"/>
      <c r="MJT134" s="72"/>
      <c r="MJU134" s="72"/>
      <c r="MJV134" s="72"/>
      <c r="MJW134" s="72"/>
      <c r="MJX134" s="72"/>
      <c r="MJY134" s="72"/>
      <c r="MJZ134" s="72"/>
      <c r="MKA134" s="72"/>
      <c r="MKB134" s="72"/>
      <c r="MKC134" s="72"/>
      <c r="MKD134" s="72"/>
      <c r="MKE134" s="72"/>
      <c r="MKF134" s="72"/>
      <c r="MKG134" s="72"/>
      <c r="MKH134" s="72"/>
      <c r="MKI134" s="72"/>
      <c r="MKJ134" s="72"/>
      <c r="MKK134" s="72"/>
      <c r="MKL134" s="72"/>
      <c r="MKM134" s="72"/>
      <c r="MKN134" s="72"/>
      <c r="MKO134" s="72"/>
      <c r="MKP134" s="72"/>
      <c r="MKQ134" s="72"/>
      <c r="MKR134" s="72"/>
      <c r="MKS134" s="72"/>
      <c r="MKT134" s="72"/>
      <c r="MKU134" s="72"/>
      <c r="MKV134" s="72"/>
      <c r="MKW134" s="72"/>
      <c r="MKX134" s="72"/>
      <c r="MKY134" s="72"/>
      <c r="MKZ134" s="72"/>
      <c r="MLA134" s="72"/>
      <c r="MLB134" s="72"/>
      <c r="MLC134" s="72"/>
      <c r="MLD134" s="72"/>
      <c r="MLE134" s="72"/>
      <c r="MLF134" s="72"/>
      <c r="MLG134" s="72"/>
      <c r="MLH134" s="72"/>
      <c r="MLI134" s="72"/>
      <c r="MLJ134" s="72"/>
      <c r="MLK134" s="72"/>
      <c r="MLL134" s="72"/>
      <c r="MLM134" s="72"/>
      <c r="MLN134" s="72"/>
      <c r="MLO134" s="72"/>
      <c r="MLP134" s="72"/>
      <c r="MLQ134" s="72"/>
      <c r="MLR134" s="72"/>
      <c r="MLS134" s="72"/>
      <c r="MLT134" s="72"/>
      <c r="MLU134" s="72"/>
      <c r="MLV134" s="72"/>
      <c r="MLW134" s="72"/>
      <c r="MLX134" s="72"/>
      <c r="MLY134" s="72"/>
      <c r="MLZ134" s="72"/>
      <c r="MMA134" s="72"/>
      <c r="MMB134" s="72"/>
      <c r="MMC134" s="72"/>
      <c r="MMD134" s="72"/>
      <c r="MME134" s="72"/>
      <c r="MMF134" s="72"/>
      <c r="MMG134" s="72"/>
      <c r="MMH134" s="72"/>
      <c r="MMI134" s="72"/>
      <c r="MMJ134" s="72"/>
      <c r="MMK134" s="72"/>
      <c r="MML134" s="72"/>
      <c r="MMM134" s="72"/>
      <c r="MMN134" s="72"/>
      <c r="MMO134" s="72"/>
      <c r="MMP134" s="72"/>
      <c r="MMQ134" s="72"/>
      <c r="MMR134" s="72"/>
      <c r="MMS134" s="72"/>
      <c r="MMT134" s="72"/>
      <c r="MMU134" s="72"/>
      <c r="MMV134" s="72"/>
      <c r="MMW134" s="72"/>
      <c r="MMX134" s="72"/>
      <c r="MMY134" s="72"/>
      <c r="MMZ134" s="72"/>
      <c r="MNA134" s="72"/>
      <c r="MNB134" s="72"/>
      <c r="MNC134" s="72"/>
      <c r="MND134" s="72"/>
      <c r="MNE134" s="72"/>
      <c r="MNF134" s="72"/>
      <c r="MNG134" s="72"/>
      <c r="MNH134" s="72"/>
      <c r="MNI134" s="72"/>
      <c r="MNJ134" s="72"/>
      <c r="MNK134" s="72"/>
      <c r="MNL134" s="72"/>
      <c r="MNM134" s="72"/>
      <c r="MNN134" s="72"/>
      <c r="MNO134" s="72"/>
      <c r="MNP134" s="72"/>
      <c r="MNQ134" s="72"/>
      <c r="MNR134" s="72"/>
      <c r="MNS134" s="72"/>
      <c r="MNT134" s="72"/>
      <c r="MNU134" s="72"/>
      <c r="MNV134" s="72"/>
      <c r="MNW134" s="72"/>
      <c r="MNX134" s="72"/>
      <c r="MNY134" s="72"/>
      <c r="MNZ134" s="72"/>
      <c r="MOA134" s="72"/>
      <c r="MOB134" s="72"/>
      <c r="MOC134" s="72"/>
      <c r="MOD134" s="72"/>
      <c r="MOE134" s="72"/>
      <c r="MOF134" s="72"/>
      <c r="MOG134" s="72"/>
      <c r="MOH134" s="72"/>
      <c r="MOI134" s="72"/>
      <c r="MOJ134" s="72"/>
      <c r="MOK134" s="72"/>
      <c r="MOL134" s="72"/>
      <c r="MOM134" s="72"/>
      <c r="MON134" s="72"/>
      <c r="MOO134" s="72"/>
      <c r="MOP134" s="72"/>
      <c r="MOQ134" s="72"/>
      <c r="MOR134" s="72"/>
      <c r="MOS134" s="72"/>
      <c r="MOT134" s="72"/>
      <c r="MOU134" s="72"/>
      <c r="MOV134" s="72"/>
      <c r="MOW134" s="72"/>
      <c r="MOX134" s="72"/>
      <c r="MOY134" s="72"/>
      <c r="MOZ134" s="72"/>
      <c r="MPA134" s="72"/>
      <c r="MPB134" s="72"/>
      <c r="MPC134" s="72"/>
      <c r="MPD134" s="72"/>
      <c r="MPE134" s="72"/>
      <c r="MPF134" s="72"/>
      <c r="MPG134" s="72"/>
      <c r="MPH134" s="72"/>
      <c r="MPI134" s="72"/>
      <c r="MPJ134" s="72"/>
      <c r="MPK134" s="72"/>
      <c r="MPL134" s="72"/>
      <c r="MPM134" s="72"/>
      <c r="MPN134" s="72"/>
      <c r="MPO134" s="72"/>
      <c r="MPP134" s="72"/>
      <c r="MPQ134" s="72"/>
      <c r="MPR134" s="72"/>
      <c r="MPS134" s="72"/>
      <c r="MPT134" s="72"/>
      <c r="MPU134" s="72"/>
      <c r="MPV134" s="72"/>
      <c r="MPW134" s="72"/>
      <c r="MPX134" s="72"/>
      <c r="MPY134" s="72"/>
      <c r="MPZ134" s="72"/>
      <c r="MQA134" s="72"/>
      <c r="MQB134" s="72"/>
      <c r="MQC134" s="72"/>
      <c r="MQD134" s="72"/>
      <c r="MQE134" s="72"/>
      <c r="MQF134" s="72"/>
      <c r="MQG134" s="72"/>
      <c r="MQH134" s="72"/>
      <c r="MQI134" s="72"/>
      <c r="MQJ134" s="72"/>
      <c r="MQK134" s="72"/>
      <c r="MQL134" s="72"/>
      <c r="MQM134" s="72"/>
      <c r="MQN134" s="72"/>
      <c r="MQO134" s="72"/>
      <c r="MQP134" s="72"/>
      <c r="MQQ134" s="72"/>
      <c r="MQR134" s="72"/>
      <c r="MQS134" s="72"/>
      <c r="MQT134" s="72"/>
      <c r="MQU134" s="72"/>
      <c r="MQV134" s="72"/>
      <c r="MQW134" s="72"/>
      <c r="MQX134" s="72"/>
      <c r="MQY134" s="72"/>
      <c r="MQZ134" s="72"/>
      <c r="MRA134" s="72"/>
      <c r="MRB134" s="72"/>
      <c r="MRC134" s="72"/>
      <c r="MRD134" s="72"/>
      <c r="MRE134" s="72"/>
      <c r="MRF134" s="72"/>
      <c r="MRG134" s="72"/>
      <c r="MRH134" s="72"/>
      <c r="MRI134" s="72"/>
      <c r="MRJ134" s="72"/>
      <c r="MRK134" s="72"/>
      <c r="MRL134" s="72"/>
      <c r="MRM134" s="72"/>
      <c r="MRN134" s="72"/>
      <c r="MRO134" s="72"/>
      <c r="MRP134" s="72"/>
      <c r="MRQ134" s="72"/>
      <c r="MRR134" s="72"/>
      <c r="MRS134" s="72"/>
      <c r="MRT134" s="72"/>
      <c r="MRU134" s="72"/>
      <c r="MRV134" s="72"/>
      <c r="MRW134" s="72"/>
      <c r="MRX134" s="72"/>
      <c r="MRY134" s="72"/>
      <c r="MRZ134" s="72"/>
      <c r="MSA134" s="72"/>
      <c r="MSB134" s="72"/>
      <c r="MSC134" s="72"/>
      <c r="MSD134" s="72"/>
      <c r="MSE134" s="72"/>
      <c r="MSF134" s="72"/>
      <c r="MSG134" s="72"/>
      <c r="MSH134" s="72"/>
      <c r="MSI134" s="72"/>
      <c r="MSJ134" s="72"/>
      <c r="MSK134" s="72"/>
      <c r="MSL134" s="72"/>
      <c r="MSM134" s="72"/>
      <c r="MSN134" s="72"/>
      <c r="MSO134" s="72"/>
      <c r="MSP134" s="72"/>
      <c r="MSQ134" s="72"/>
      <c r="MSR134" s="72"/>
      <c r="MSS134" s="72"/>
      <c r="MST134" s="72"/>
      <c r="MSU134" s="72"/>
      <c r="MSV134" s="72"/>
      <c r="MSW134" s="72"/>
      <c r="MSX134" s="72"/>
      <c r="MSY134" s="72"/>
      <c r="MSZ134" s="72"/>
      <c r="MTA134" s="72"/>
      <c r="MTB134" s="72"/>
      <c r="MTC134" s="72"/>
      <c r="MTD134" s="72"/>
      <c r="MTE134" s="72"/>
      <c r="MTF134" s="72"/>
      <c r="MTG134" s="72"/>
      <c r="MTH134" s="72"/>
      <c r="MTI134" s="72"/>
      <c r="MTJ134" s="72"/>
      <c r="MTK134" s="72"/>
      <c r="MTL134" s="72"/>
      <c r="MTM134" s="72"/>
      <c r="MTN134" s="72"/>
      <c r="MTO134" s="72"/>
      <c r="MTP134" s="72"/>
      <c r="MTQ134" s="72"/>
      <c r="MTR134" s="72"/>
      <c r="MTS134" s="72"/>
      <c r="MTT134" s="72"/>
      <c r="MTU134" s="72"/>
      <c r="MTV134" s="72"/>
      <c r="MTW134" s="72"/>
      <c r="MTX134" s="72"/>
      <c r="MTY134" s="72"/>
      <c r="MTZ134" s="72"/>
      <c r="MUA134" s="72"/>
      <c r="MUB134" s="72"/>
      <c r="MUC134" s="72"/>
      <c r="MUD134" s="72"/>
      <c r="MUE134" s="72"/>
      <c r="MUF134" s="72"/>
      <c r="MUG134" s="72"/>
      <c r="MUH134" s="72"/>
      <c r="MUI134" s="72"/>
      <c r="MUJ134" s="72"/>
      <c r="MUK134" s="72"/>
      <c r="MUL134" s="72"/>
      <c r="MUM134" s="72"/>
      <c r="MUN134" s="72"/>
      <c r="MUO134" s="72"/>
      <c r="MUP134" s="72"/>
      <c r="MUQ134" s="72"/>
      <c r="MUR134" s="72"/>
      <c r="MUS134" s="72"/>
      <c r="MUT134" s="72"/>
      <c r="MUU134" s="72"/>
      <c r="MUV134" s="72"/>
      <c r="MUW134" s="72"/>
      <c r="MUX134" s="72"/>
      <c r="MUY134" s="72"/>
      <c r="MUZ134" s="72"/>
      <c r="MVA134" s="72"/>
      <c r="MVB134" s="72"/>
      <c r="MVC134" s="72"/>
      <c r="MVD134" s="72"/>
      <c r="MVE134" s="72"/>
      <c r="MVF134" s="72"/>
      <c r="MVG134" s="72"/>
      <c r="MVH134" s="72"/>
      <c r="MVI134" s="72"/>
      <c r="MVJ134" s="72"/>
      <c r="MVK134" s="72"/>
      <c r="MVL134" s="72"/>
      <c r="MVM134" s="72"/>
      <c r="MVN134" s="72"/>
      <c r="MVO134" s="72"/>
      <c r="MVP134" s="72"/>
      <c r="MVQ134" s="72"/>
      <c r="MVR134" s="72"/>
      <c r="MVS134" s="72"/>
      <c r="MVT134" s="72"/>
      <c r="MVU134" s="72"/>
      <c r="MVV134" s="72"/>
      <c r="MVW134" s="72"/>
      <c r="MVX134" s="72"/>
      <c r="MVY134" s="72"/>
      <c r="MVZ134" s="72"/>
      <c r="MWA134" s="72"/>
      <c r="MWB134" s="72"/>
      <c r="MWC134" s="72"/>
      <c r="MWD134" s="72"/>
      <c r="MWE134" s="72"/>
      <c r="MWF134" s="72"/>
      <c r="MWG134" s="72"/>
      <c r="MWH134" s="72"/>
      <c r="MWI134" s="72"/>
      <c r="MWJ134" s="72"/>
      <c r="MWK134" s="72"/>
      <c r="MWL134" s="72"/>
      <c r="MWM134" s="72"/>
      <c r="MWN134" s="72"/>
      <c r="MWO134" s="72"/>
      <c r="MWP134" s="72"/>
      <c r="MWQ134" s="72"/>
      <c r="MWR134" s="72"/>
      <c r="MWS134" s="72"/>
      <c r="MWT134" s="72"/>
      <c r="MWU134" s="72"/>
      <c r="MWV134" s="72"/>
      <c r="MWW134" s="72"/>
      <c r="MWX134" s="72"/>
      <c r="MWY134" s="72"/>
      <c r="MWZ134" s="72"/>
      <c r="MXA134" s="72"/>
      <c r="MXB134" s="72"/>
      <c r="MXC134" s="72"/>
      <c r="MXD134" s="72"/>
      <c r="MXE134" s="72"/>
      <c r="MXF134" s="72"/>
      <c r="MXG134" s="72"/>
      <c r="MXH134" s="72"/>
      <c r="MXI134" s="72"/>
      <c r="MXJ134" s="72"/>
      <c r="MXK134" s="72"/>
      <c r="MXL134" s="72"/>
      <c r="MXM134" s="72"/>
      <c r="MXN134" s="72"/>
      <c r="MXO134" s="72"/>
      <c r="MXP134" s="72"/>
      <c r="MXQ134" s="72"/>
      <c r="MXR134" s="72"/>
      <c r="MXS134" s="72"/>
      <c r="MXT134" s="72"/>
      <c r="MXU134" s="72"/>
      <c r="MXV134" s="72"/>
      <c r="MXW134" s="72"/>
      <c r="MXX134" s="72"/>
      <c r="MXY134" s="72"/>
      <c r="MXZ134" s="72"/>
      <c r="MYA134" s="72"/>
      <c r="MYB134" s="72"/>
      <c r="MYC134" s="72"/>
      <c r="MYD134" s="72"/>
      <c r="MYE134" s="72"/>
      <c r="MYF134" s="72"/>
      <c r="MYG134" s="72"/>
      <c r="MYH134" s="72"/>
      <c r="MYI134" s="72"/>
      <c r="MYJ134" s="72"/>
      <c r="MYK134" s="72"/>
      <c r="MYL134" s="72"/>
      <c r="MYM134" s="72"/>
      <c r="MYN134" s="72"/>
      <c r="MYO134" s="72"/>
      <c r="MYP134" s="72"/>
      <c r="MYQ134" s="72"/>
      <c r="MYR134" s="72"/>
      <c r="MYS134" s="72"/>
      <c r="MYT134" s="72"/>
      <c r="MYU134" s="72"/>
      <c r="MYV134" s="72"/>
      <c r="MYW134" s="72"/>
      <c r="MYX134" s="72"/>
      <c r="MYY134" s="72"/>
      <c r="MYZ134" s="72"/>
      <c r="MZA134" s="72"/>
      <c r="MZB134" s="72"/>
      <c r="MZC134" s="72"/>
      <c r="MZD134" s="72"/>
      <c r="MZE134" s="72"/>
      <c r="MZF134" s="72"/>
      <c r="MZG134" s="72"/>
      <c r="MZH134" s="72"/>
      <c r="MZI134" s="72"/>
      <c r="MZJ134" s="72"/>
      <c r="MZK134" s="72"/>
      <c r="MZL134" s="72"/>
      <c r="MZM134" s="72"/>
      <c r="MZN134" s="72"/>
      <c r="MZO134" s="72"/>
      <c r="MZP134" s="72"/>
      <c r="MZQ134" s="72"/>
      <c r="MZR134" s="72"/>
      <c r="MZS134" s="72"/>
      <c r="MZT134" s="72"/>
      <c r="MZU134" s="72"/>
      <c r="MZV134" s="72"/>
      <c r="MZW134" s="72"/>
      <c r="MZX134" s="72"/>
      <c r="MZY134" s="72"/>
      <c r="MZZ134" s="72"/>
      <c r="NAA134" s="72"/>
      <c r="NAB134" s="72"/>
      <c r="NAC134" s="72"/>
      <c r="NAD134" s="72"/>
      <c r="NAE134" s="72"/>
      <c r="NAF134" s="72"/>
      <c r="NAG134" s="72"/>
      <c r="NAH134" s="72"/>
      <c r="NAI134" s="72"/>
      <c r="NAJ134" s="72"/>
      <c r="NAK134" s="72"/>
      <c r="NAL134" s="72"/>
      <c r="NAM134" s="72"/>
      <c r="NAN134" s="72"/>
      <c r="NAO134" s="72"/>
      <c r="NAP134" s="72"/>
      <c r="NAQ134" s="72"/>
      <c r="NAR134" s="72"/>
      <c r="NAS134" s="72"/>
      <c r="NAT134" s="72"/>
      <c r="NAU134" s="72"/>
      <c r="NAV134" s="72"/>
      <c r="NAW134" s="72"/>
      <c r="NAX134" s="72"/>
      <c r="NAY134" s="72"/>
      <c r="NAZ134" s="72"/>
      <c r="NBA134" s="72"/>
      <c r="NBB134" s="72"/>
      <c r="NBC134" s="72"/>
      <c r="NBD134" s="72"/>
      <c r="NBE134" s="72"/>
      <c r="NBF134" s="72"/>
      <c r="NBG134" s="72"/>
      <c r="NBH134" s="72"/>
      <c r="NBI134" s="72"/>
      <c r="NBJ134" s="72"/>
      <c r="NBK134" s="72"/>
      <c r="NBL134" s="72"/>
      <c r="NBM134" s="72"/>
      <c r="NBN134" s="72"/>
      <c r="NBO134" s="72"/>
      <c r="NBP134" s="72"/>
      <c r="NBQ134" s="72"/>
      <c r="NBR134" s="72"/>
      <c r="NBS134" s="72"/>
      <c r="NBT134" s="72"/>
      <c r="NBU134" s="72"/>
      <c r="NBV134" s="72"/>
      <c r="NBW134" s="72"/>
      <c r="NBX134" s="72"/>
      <c r="NBY134" s="72"/>
      <c r="NBZ134" s="72"/>
      <c r="NCA134" s="72"/>
      <c r="NCB134" s="72"/>
      <c r="NCC134" s="72"/>
      <c r="NCD134" s="72"/>
      <c r="NCE134" s="72"/>
      <c r="NCF134" s="72"/>
      <c r="NCG134" s="72"/>
      <c r="NCH134" s="72"/>
      <c r="NCI134" s="72"/>
      <c r="NCJ134" s="72"/>
      <c r="NCK134" s="72"/>
      <c r="NCL134" s="72"/>
      <c r="NCM134" s="72"/>
      <c r="NCN134" s="72"/>
      <c r="NCO134" s="72"/>
      <c r="NCP134" s="72"/>
      <c r="NCQ134" s="72"/>
      <c r="NCR134" s="72"/>
      <c r="NCS134" s="72"/>
      <c r="NCT134" s="72"/>
      <c r="NCU134" s="72"/>
      <c r="NCV134" s="72"/>
      <c r="NCW134" s="72"/>
      <c r="NCX134" s="72"/>
      <c r="NCY134" s="72"/>
      <c r="NCZ134" s="72"/>
      <c r="NDA134" s="72"/>
      <c r="NDB134" s="72"/>
      <c r="NDC134" s="72"/>
      <c r="NDD134" s="72"/>
      <c r="NDE134" s="72"/>
      <c r="NDF134" s="72"/>
      <c r="NDG134" s="72"/>
      <c r="NDH134" s="72"/>
      <c r="NDI134" s="72"/>
      <c r="NDJ134" s="72"/>
      <c r="NDK134" s="72"/>
      <c r="NDL134" s="72"/>
      <c r="NDM134" s="72"/>
      <c r="NDN134" s="72"/>
      <c r="NDO134" s="72"/>
      <c r="NDP134" s="72"/>
      <c r="NDQ134" s="72"/>
      <c r="NDR134" s="72"/>
      <c r="NDS134" s="72"/>
      <c r="NDT134" s="72"/>
      <c r="NDU134" s="72"/>
      <c r="NDV134" s="72"/>
      <c r="NDW134" s="72"/>
      <c r="NDX134" s="72"/>
      <c r="NDY134" s="72"/>
      <c r="NDZ134" s="72"/>
      <c r="NEA134" s="72"/>
      <c r="NEB134" s="72"/>
      <c r="NEC134" s="72"/>
      <c r="NED134" s="72"/>
      <c r="NEE134" s="72"/>
      <c r="NEF134" s="72"/>
      <c r="NEG134" s="72"/>
      <c r="NEH134" s="72"/>
      <c r="NEI134" s="72"/>
      <c r="NEJ134" s="72"/>
      <c r="NEK134" s="72"/>
      <c r="NEL134" s="72"/>
      <c r="NEM134" s="72"/>
      <c r="NEN134" s="72"/>
      <c r="NEO134" s="72"/>
      <c r="NEP134" s="72"/>
      <c r="NEQ134" s="72"/>
      <c r="NER134" s="72"/>
      <c r="NES134" s="72"/>
      <c r="NET134" s="72"/>
      <c r="NEU134" s="72"/>
      <c r="NEV134" s="72"/>
      <c r="NEW134" s="72"/>
      <c r="NEX134" s="72"/>
      <c r="NEY134" s="72"/>
      <c r="NEZ134" s="72"/>
      <c r="NFA134" s="72"/>
      <c r="NFB134" s="72"/>
      <c r="NFC134" s="72"/>
      <c r="NFD134" s="72"/>
      <c r="NFE134" s="72"/>
      <c r="NFF134" s="72"/>
      <c r="NFG134" s="72"/>
      <c r="NFH134" s="72"/>
      <c r="NFI134" s="72"/>
      <c r="NFJ134" s="72"/>
      <c r="NFK134" s="72"/>
      <c r="NFL134" s="72"/>
      <c r="NFM134" s="72"/>
      <c r="NFN134" s="72"/>
      <c r="NFO134" s="72"/>
      <c r="NFP134" s="72"/>
      <c r="NFQ134" s="72"/>
      <c r="NFR134" s="72"/>
      <c r="NFS134" s="72"/>
      <c r="NFT134" s="72"/>
      <c r="NFU134" s="72"/>
      <c r="NFV134" s="72"/>
      <c r="NFW134" s="72"/>
      <c r="NFX134" s="72"/>
      <c r="NFY134" s="72"/>
      <c r="NFZ134" s="72"/>
      <c r="NGA134" s="72"/>
      <c r="NGB134" s="72"/>
      <c r="NGC134" s="72"/>
      <c r="NGD134" s="72"/>
      <c r="NGE134" s="72"/>
      <c r="NGF134" s="72"/>
      <c r="NGG134" s="72"/>
      <c r="NGH134" s="72"/>
      <c r="NGI134" s="72"/>
      <c r="NGJ134" s="72"/>
      <c r="NGK134" s="72"/>
      <c r="NGL134" s="72"/>
      <c r="NGM134" s="72"/>
      <c r="NGN134" s="72"/>
      <c r="NGO134" s="72"/>
      <c r="NGP134" s="72"/>
      <c r="NGQ134" s="72"/>
      <c r="NGR134" s="72"/>
      <c r="NGS134" s="72"/>
      <c r="NGT134" s="72"/>
      <c r="NGU134" s="72"/>
      <c r="NGV134" s="72"/>
      <c r="NGW134" s="72"/>
      <c r="NGX134" s="72"/>
      <c r="NGY134" s="72"/>
      <c r="NGZ134" s="72"/>
      <c r="NHA134" s="72"/>
      <c r="NHB134" s="72"/>
      <c r="NHC134" s="72"/>
      <c r="NHD134" s="72"/>
      <c r="NHE134" s="72"/>
      <c r="NHF134" s="72"/>
      <c r="NHG134" s="72"/>
      <c r="NHH134" s="72"/>
      <c r="NHI134" s="72"/>
      <c r="NHJ134" s="72"/>
      <c r="NHK134" s="72"/>
      <c r="NHL134" s="72"/>
      <c r="NHM134" s="72"/>
      <c r="NHN134" s="72"/>
      <c r="NHO134" s="72"/>
      <c r="NHP134" s="72"/>
      <c r="NHQ134" s="72"/>
      <c r="NHR134" s="72"/>
      <c r="NHS134" s="72"/>
      <c r="NHT134" s="72"/>
      <c r="NHU134" s="72"/>
      <c r="NHV134" s="72"/>
      <c r="NHW134" s="72"/>
      <c r="NHX134" s="72"/>
      <c r="NHY134" s="72"/>
      <c r="NHZ134" s="72"/>
      <c r="NIA134" s="72"/>
      <c r="NIB134" s="72"/>
      <c r="NIC134" s="72"/>
      <c r="NID134" s="72"/>
      <c r="NIE134" s="72"/>
      <c r="NIF134" s="72"/>
      <c r="NIG134" s="72"/>
      <c r="NIH134" s="72"/>
      <c r="NII134" s="72"/>
      <c r="NIJ134" s="72"/>
      <c r="NIK134" s="72"/>
      <c r="NIL134" s="72"/>
      <c r="NIM134" s="72"/>
      <c r="NIN134" s="72"/>
      <c r="NIO134" s="72"/>
      <c r="NIP134" s="72"/>
      <c r="NIQ134" s="72"/>
      <c r="NIR134" s="72"/>
      <c r="NIS134" s="72"/>
      <c r="NIT134" s="72"/>
      <c r="NIU134" s="72"/>
      <c r="NIV134" s="72"/>
      <c r="NIW134" s="72"/>
      <c r="NIX134" s="72"/>
      <c r="NIY134" s="72"/>
      <c r="NIZ134" s="72"/>
      <c r="NJA134" s="72"/>
      <c r="NJB134" s="72"/>
      <c r="NJC134" s="72"/>
      <c r="NJD134" s="72"/>
      <c r="NJE134" s="72"/>
      <c r="NJF134" s="72"/>
      <c r="NJG134" s="72"/>
      <c r="NJH134" s="72"/>
      <c r="NJI134" s="72"/>
      <c r="NJJ134" s="72"/>
      <c r="NJK134" s="72"/>
      <c r="NJL134" s="72"/>
      <c r="NJM134" s="72"/>
      <c r="NJN134" s="72"/>
      <c r="NJO134" s="72"/>
      <c r="NJP134" s="72"/>
      <c r="NJQ134" s="72"/>
      <c r="NJR134" s="72"/>
      <c r="NJS134" s="72"/>
      <c r="NJT134" s="72"/>
      <c r="NJU134" s="72"/>
      <c r="NJV134" s="72"/>
      <c r="NJW134" s="72"/>
      <c r="NJX134" s="72"/>
      <c r="NJY134" s="72"/>
      <c r="NJZ134" s="72"/>
      <c r="NKA134" s="72"/>
      <c r="NKB134" s="72"/>
      <c r="NKC134" s="72"/>
      <c r="NKD134" s="72"/>
      <c r="NKE134" s="72"/>
      <c r="NKF134" s="72"/>
      <c r="NKG134" s="72"/>
      <c r="NKH134" s="72"/>
      <c r="NKI134" s="72"/>
      <c r="NKJ134" s="72"/>
      <c r="NKK134" s="72"/>
      <c r="NKL134" s="72"/>
      <c r="NKM134" s="72"/>
      <c r="NKN134" s="72"/>
      <c r="NKO134" s="72"/>
      <c r="NKP134" s="72"/>
      <c r="NKQ134" s="72"/>
      <c r="NKR134" s="72"/>
      <c r="NKS134" s="72"/>
      <c r="NKT134" s="72"/>
      <c r="NKU134" s="72"/>
      <c r="NKV134" s="72"/>
      <c r="NKW134" s="72"/>
      <c r="NKX134" s="72"/>
      <c r="NKY134" s="72"/>
      <c r="NKZ134" s="72"/>
      <c r="NLA134" s="72"/>
      <c r="NLB134" s="72"/>
      <c r="NLC134" s="72"/>
      <c r="NLD134" s="72"/>
      <c r="NLE134" s="72"/>
      <c r="NLF134" s="72"/>
      <c r="NLG134" s="72"/>
      <c r="NLH134" s="72"/>
      <c r="NLI134" s="72"/>
      <c r="NLJ134" s="72"/>
      <c r="NLK134" s="72"/>
      <c r="NLL134" s="72"/>
      <c r="NLM134" s="72"/>
      <c r="NLN134" s="72"/>
      <c r="NLO134" s="72"/>
      <c r="NLP134" s="72"/>
      <c r="NLQ134" s="72"/>
      <c r="NLR134" s="72"/>
      <c r="NLS134" s="72"/>
      <c r="NLT134" s="72"/>
      <c r="NLU134" s="72"/>
      <c r="NLV134" s="72"/>
      <c r="NLW134" s="72"/>
      <c r="NLX134" s="72"/>
      <c r="NLY134" s="72"/>
      <c r="NLZ134" s="72"/>
      <c r="NMA134" s="72"/>
      <c r="NMB134" s="72"/>
      <c r="NMC134" s="72"/>
      <c r="NMD134" s="72"/>
      <c r="NME134" s="72"/>
      <c r="NMF134" s="72"/>
      <c r="NMG134" s="72"/>
      <c r="NMH134" s="72"/>
      <c r="NMI134" s="72"/>
      <c r="NMJ134" s="72"/>
      <c r="NMK134" s="72"/>
      <c r="NML134" s="72"/>
      <c r="NMM134" s="72"/>
      <c r="NMN134" s="72"/>
      <c r="NMO134" s="72"/>
      <c r="NMP134" s="72"/>
      <c r="NMQ134" s="72"/>
      <c r="NMR134" s="72"/>
      <c r="NMS134" s="72"/>
      <c r="NMT134" s="72"/>
      <c r="NMU134" s="72"/>
      <c r="NMV134" s="72"/>
      <c r="NMW134" s="72"/>
      <c r="NMX134" s="72"/>
      <c r="NMY134" s="72"/>
      <c r="NMZ134" s="72"/>
      <c r="NNA134" s="72"/>
      <c r="NNB134" s="72"/>
      <c r="NNC134" s="72"/>
      <c r="NND134" s="72"/>
      <c r="NNE134" s="72"/>
      <c r="NNF134" s="72"/>
      <c r="NNG134" s="72"/>
      <c r="NNH134" s="72"/>
      <c r="NNI134" s="72"/>
      <c r="NNJ134" s="72"/>
      <c r="NNK134" s="72"/>
      <c r="NNL134" s="72"/>
      <c r="NNM134" s="72"/>
      <c r="NNN134" s="72"/>
      <c r="NNO134" s="72"/>
      <c r="NNP134" s="72"/>
      <c r="NNQ134" s="72"/>
      <c r="NNR134" s="72"/>
      <c r="NNS134" s="72"/>
      <c r="NNT134" s="72"/>
      <c r="NNU134" s="72"/>
      <c r="NNV134" s="72"/>
      <c r="NNW134" s="72"/>
      <c r="NNX134" s="72"/>
      <c r="NNY134" s="72"/>
      <c r="NNZ134" s="72"/>
      <c r="NOA134" s="72"/>
      <c r="NOB134" s="72"/>
      <c r="NOC134" s="72"/>
      <c r="NOD134" s="72"/>
      <c r="NOE134" s="72"/>
      <c r="NOF134" s="72"/>
      <c r="NOG134" s="72"/>
      <c r="NOH134" s="72"/>
      <c r="NOI134" s="72"/>
      <c r="NOJ134" s="72"/>
      <c r="NOK134" s="72"/>
      <c r="NOL134" s="72"/>
      <c r="NOM134" s="72"/>
      <c r="NON134" s="72"/>
      <c r="NOO134" s="72"/>
      <c r="NOP134" s="72"/>
      <c r="NOQ134" s="72"/>
      <c r="NOR134" s="72"/>
      <c r="NOS134" s="72"/>
      <c r="NOT134" s="72"/>
      <c r="NOU134" s="72"/>
      <c r="NOV134" s="72"/>
      <c r="NOW134" s="72"/>
      <c r="NOX134" s="72"/>
      <c r="NOY134" s="72"/>
      <c r="NOZ134" s="72"/>
      <c r="NPA134" s="72"/>
      <c r="NPB134" s="72"/>
      <c r="NPC134" s="72"/>
      <c r="NPD134" s="72"/>
      <c r="NPE134" s="72"/>
      <c r="NPF134" s="72"/>
      <c r="NPG134" s="72"/>
      <c r="NPH134" s="72"/>
      <c r="NPI134" s="72"/>
      <c r="NPJ134" s="72"/>
      <c r="NPK134" s="72"/>
      <c r="NPL134" s="72"/>
      <c r="NPM134" s="72"/>
      <c r="NPN134" s="72"/>
      <c r="NPO134" s="72"/>
      <c r="NPP134" s="72"/>
      <c r="NPQ134" s="72"/>
      <c r="NPR134" s="72"/>
      <c r="NPS134" s="72"/>
      <c r="NPT134" s="72"/>
      <c r="NPU134" s="72"/>
      <c r="NPV134" s="72"/>
      <c r="NPW134" s="72"/>
      <c r="NPX134" s="72"/>
      <c r="NPY134" s="72"/>
      <c r="NPZ134" s="72"/>
      <c r="NQA134" s="72"/>
      <c r="NQB134" s="72"/>
      <c r="NQC134" s="72"/>
      <c r="NQD134" s="72"/>
      <c r="NQE134" s="72"/>
      <c r="NQF134" s="72"/>
      <c r="NQG134" s="72"/>
      <c r="NQH134" s="72"/>
      <c r="NQI134" s="72"/>
      <c r="NQJ134" s="72"/>
      <c r="NQK134" s="72"/>
      <c r="NQL134" s="72"/>
      <c r="NQM134" s="72"/>
      <c r="NQN134" s="72"/>
      <c r="NQO134" s="72"/>
      <c r="NQP134" s="72"/>
      <c r="NQQ134" s="72"/>
      <c r="NQR134" s="72"/>
      <c r="NQS134" s="72"/>
      <c r="NQT134" s="72"/>
      <c r="NQU134" s="72"/>
      <c r="NQV134" s="72"/>
      <c r="NQW134" s="72"/>
      <c r="NQX134" s="72"/>
      <c r="NQY134" s="72"/>
      <c r="NQZ134" s="72"/>
      <c r="NRA134" s="72"/>
      <c r="NRB134" s="72"/>
      <c r="NRC134" s="72"/>
      <c r="NRD134" s="72"/>
      <c r="NRE134" s="72"/>
      <c r="NRF134" s="72"/>
      <c r="NRG134" s="72"/>
      <c r="NRH134" s="72"/>
      <c r="NRI134" s="72"/>
      <c r="NRJ134" s="72"/>
      <c r="NRK134" s="72"/>
      <c r="NRL134" s="72"/>
      <c r="NRM134" s="72"/>
      <c r="NRN134" s="72"/>
      <c r="NRO134" s="72"/>
      <c r="NRP134" s="72"/>
      <c r="NRQ134" s="72"/>
      <c r="NRR134" s="72"/>
      <c r="NRS134" s="72"/>
      <c r="NRT134" s="72"/>
      <c r="NRU134" s="72"/>
      <c r="NRV134" s="72"/>
      <c r="NRW134" s="72"/>
      <c r="NRX134" s="72"/>
      <c r="NRY134" s="72"/>
      <c r="NRZ134" s="72"/>
      <c r="NSA134" s="72"/>
      <c r="NSB134" s="72"/>
      <c r="NSC134" s="72"/>
      <c r="NSD134" s="72"/>
      <c r="NSE134" s="72"/>
      <c r="NSF134" s="72"/>
      <c r="NSG134" s="72"/>
      <c r="NSH134" s="72"/>
      <c r="NSI134" s="72"/>
      <c r="NSJ134" s="72"/>
      <c r="NSK134" s="72"/>
      <c r="NSL134" s="72"/>
      <c r="NSM134" s="72"/>
      <c r="NSN134" s="72"/>
      <c r="NSO134" s="72"/>
      <c r="NSP134" s="72"/>
      <c r="NSQ134" s="72"/>
      <c r="NSR134" s="72"/>
      <c r="NSS134" s="72"/>
      <c r="NST134" s="72"/>
      <c r="NSU134" s="72"/>
      <c r="NSV134" s="72"/>
      <c r="NSW134" s="72"/>
      <c r="NSX134" s="72"/>
      <c r="NSY134" s="72"/>
      <c r="NSZ134" s="72"/>
      <c r="NTA134" s="72"/>
      <c r="NTB134" s="72"/>
      <c r="NTC134" s="72"/>
      <c r="NTD134" s="72"/>
      <c r="NTE134" s="72"/>
      <c r="NTF134" s="72"/>
      <c r="NTG134" s="72"/>
      <c r="NTH134" s="72"/>
      <c r="NTI134" s="72"/>
      <c r="NTJ134" s="72"/>
      <c r="NTK134" s="72"/>
      <c r="NTL134" s="72"/>
      <c r="NTM134" s="72"/>
      <c r="NTN134" s="72"/>
      <c r="NTO134" s="72"/>
      <c r="NTP134" s="72"/>
      <c r="NTQ134" s="72"/>
      <c r="NTR134" s="72"/>
      <c r="NTS134" s="72"/>
      <c r="NTT134" s="72"/>
      <c r="NTU134" s="72"/>
      <c r="NTV134" s="72"/>
      <c r="NTW134" s="72"/>
      <c r="NTX134" s="72"/>
      <c r="NTY134" s="72"/>
      <c r="NTZ134" s="72"/>
      <c r="NUA134" s="72"/>
      <c r="NUB134" s="72"/>
      <c r="NUC134" s="72"/>
      <c r="NUD134" s="72"/>
      <c r="NUE134" s="72"/>
      <c r="NUF134" s="72"/>
      <c r="NUG134" s="72"/>
      <c r="NUH134" s="72"/>
      <c r="NUI134" s="72"/>
      <c r="NUJ134" s="72"/>
      <c r="NUK134" s="72"/>
      <c r="NUL134" s="72"/>
      <c r="NUM134" s="72"/>
      <c r="NUN134" s="72"/>
      <c r="NUO134" s="72"/>
      <c r="NUP134" s="72"/>
      <c r="NUQ134" s="72"/>
      <c r="NUR134" s="72"/>
      <c r="NUS134" s="72"/>
      <c r="NUT134" s="72"/>
      <c r="NUU134" s="72"/>
      <c r="NUV134" s="72"/>
      <c r="NUW134" s="72"/>
      <c r="NUX134" s="72"/>
      <c r="NUY134" s="72"/>
      <c r="NUZ134" s="72"/>
      <c r="NVA134" s="72"/>
      <c r="NVB134" s="72"/>
      <c r="NVC134" s="72"/>
      <c r="NVD134" s="72"/>
      <c r="NVE134" s="72"/>
      <c r="NVF134" s="72"/>
      <c r="NVG134" s="72"/>
      <c r="NVH134" s="72"/>
      <c r="NVI134" s="72"/>
      <c r="NVJ134" s="72"/>
      <c r="NVK134" s="72"/>
      <c r="NVL134" s="72"/>
      <c r="NVM134" s="72"/>
      <c r="NVN134" s="72"/>
      <c r="NVO134" s="72"/>
      <c r="NVP134" s="72"/>
      <c r="NVQ134" s="72"/>
      <c r="NVR134" s="72"/>
      <c r="NVS134" s="72"/>
      <c r="NVT134" s="72"/>
      <c r="NVU134" s="72"/>
      <c r="NVV134" s="72"/>
      <c r="NVW134" s="72"/>
      <c r="NVX134" s="72"/>
      <c r="NVY134" s="72"/>
      <c r="NVZ134" s="72"/>
      <c r="NWA134" s="72"/>
      <c r="NWB134" s="72"/>
      <c r="NWC134" s="72"/>
      <c r="NWD134" s="72"/>
      <c r="NWE134" s="72"/>
      <c r="NWF134" s="72"/>
      <c r="NWG134" s="72"/>
      <c r="NWH134" s="72"/>
      <c r="NWI134" s="72"/>
      <c r="NWJ134" s="72"/>
      <c r="NWK134" s="72"/>
      <c r="NWL134" s="72"/>
      <c r="NWM134" s="72"/>
      <c r="NWN134" s="72"/>
      <c r="NWO134" s="72"/>
      <c r="NWP134" s="72"/>
      <c r="NWQ134" s="72"/>
      <c r="NWR134" s="72"/>
      <c r="NWS134" s="72"/>
      <c r="NWT134" s="72"/>
      <c r="NWU134" s="72"/>
      <c r="NWV134" s="72"/>
      <c r="NWW134" s="72"/>
      <c r="NWX134" s="72"/>
      <c r="NWY134" s="72"/>
      <c r="NWZ134" s="72"/>
      <c r="NXA134" s="72"/>
      <c r="NXB134" s="72"/>
      <c r="NXC134" s="72"/>
      <c r="NXD134" s="72"/>
      <c r="NXE134" s="72"/>
      <c r="NXF134" s="72"/>
      <c r="NXG134" s="72"/>
      <c r="NXH134" s="72"/>
      <c r="NXI134" s="72"/>
      <c r="NXJ134" s="72"/>
      <c r="NXK134" s="72"/>
      <c r="NXL134" s="72"/>
      <c r="NXM134" s="72"/>
      <c r="NXN134" s="72"/>
      <c r="NXO134" s="72"/>
      <c r="NXP134" s="72"/>
      <c r="NXQ134" s="72"/>
      <c r="NXR134" s="72"/>
      <c r="NXS134" s="72"/>
      <c r="NXT134" s="72"/>
      <c r="NXU134" s="72"/>
      <c r="NXV134" s="72"/>
      <c r="NXW134" s="72"/>
      <c r="NXX134" s="72"/>
      <c r="NXY134" s="72"/>
      <c r="NXZ134" s="72"/>
      <c r="NYA134" s="72"/>
      <c r="NYB134" s="72"/>
      <c r="NYC134" s="72"/>
      <c r="NYD134" s="72"/>
      <c r="NYE134" s="72"/>
      <c r="NYF134" s="72"/>
      <c r="NYG134" s="72"/>
      <c r="NYH134" s="72"/>
      <c r="NYI134" s="72"/>
      <c r="NYJ134" s="72"/>
      <c r="NYK134" s="72"/>
      <c r="NYL134" s="72"/>
      <c r="NYM134" s="72"/>
      <c r="NYN134" s="72"/>
      <c r="NYO134" s="72"/>
      <c r="NYP134" s="72"/>
      <c r="NYQ134" s="72"/>
      <c r="NYR134" s="72"/>
      <c r="NYS134" s="72"/>
      <c r="NYT134" s="72"/>
      <c r="NYU134" s="72"/>
      <c r="NYV134" s="72"/>
      <c r="NYW134" s="72"/>
      <c r="NYX134" s="72"/>
      <c r="NYY134" s="72"/>
      <c r="NYZ134" s="72"/>
      <c r="NZA134" s="72"/>
      <c r="NZB134" s="72"/>
      <c r="NZC134" s="72"/>
      <c r="NZD134" s="72"/>
      <c r="NZE134" s="72"/>
      <c r="NZF134" s="72"/>
      <c r="NZG134" s="72"/>
      <c r="NZH134" s="72"/>
      <c r="NZI134" s="72"/>
      <c r="NZJ134" s="72"/>
      <c r="NZK134" s="72"/>
      <c r="NZL134" s="72"/>
      <c r="NZM134" s="72"/>
      <c r="NZN134" s="72"/>
      <c r="NZO134" s="72"/>
      <c r="NZP134" s="72"/>
      <c r="NZQ134" s="72"/>
      <c r="NZR134" s="72"/>
      <c r="NZS134" s="72"/>
      <c r="NZT134" s="72"/>
      <c r="NZU134" s="72"/>
      <c r="NZV134" s="72"/>
      <c r="NZW134" s="72"/>
      <c r="NZX134" s="72"/>
      <c r="NZY134" s="72"/>
      <c r="NZZ134" s="72"/>
      <c r="OAA134" s="72"/>
      <c r="OAB134" s="72"/>
      <c r="OAC134" s="72"/>
      <c r="OAD134" s="72"/>
      <c r="OAE134" s="72"/>
      <c r="OAF134" s="72"/>
      <c r="OAG134" s="72"/>
      <c r="OAH134" s="72"/>
      <c r="OAI134" s="72"/>
      <c r="OAJ134" s="72"/>
      <c r="OAK134" s="72"/>
      <c r="OAL134" s="72"/>
      <c r="OAM134" s="72"/>
      <c r="OAN134" s="72"/>
      <c r="OAO134" s="72"/>
      <c r="OAP134" s="72"/>
      <c r="OAQ134" s="72"/>
      <c r="OAR134" s="72"/>
      <c r="OAS134" s="72"/>
      <c r="OAT134" s="72"/>
      <c r="OAU134" s="72"/>
      <c r="OAV134" s="72"/>
      <c r="OAW134" s="72"/>
      <c r="OAX134" s="72"/>
      <c r="OAY134" s="72"/>
      <c r="OAZ134" s="72"/>
      <c r="OBA134" s="72"/>
      <c r="OBB134" s="72"/>
      <c r="OBC134" s="72"/>
      <c r="OBD134" s="72"/>
      <c r="OBE134" s="72"/>
      <c r="OBF134" s="72"/>
      <c r="OBG134" s="72"/>
      <c r="OBH134" s="72"/>
      <c r="OBI134" s="72"/>
      <c r="OBJ134" s="72"/>
      <c r="OBK134" s="72"/>
      <c r="OBL134" s="72"/>
      <c r="OBM134" s="72"/>
      <c r="OBN134" s="72"/>
      <c r="OBO134" s="72"/>
      <c r="OBP134" s="72"/>
      <c r="OBQ134" s="72"/>
      <c r="OBR134" s="72"/>
      <c r="OBS134" s="72"/>
      <c r="OBT134" s="72"/>
      <c r="OBU134" s="72"/>
      <c r="OBV134" s="72"/>
      <c r="OBW134" s="72"/>
      <c r="OBX134" s="72"/>
      <c r="OBY134" s="72"/>
      <c r="OBZ134" s="72"/>
      <c r="OCA134" s="72"/>
      <c r="OCB134" s="72"/>
      <c r="OCC134" s="72"/>
      <c r="OCD134" s="72"/>
      <c r="OCE134" s="72"/>
      <c r="OCF134" s="72"/>
      <c r="OCG134" s="72"/>
      <c r="OCH134" s="72"/>
      <c r="OCI134" s="72"/>
      <c r="OCJ134" s="72"/>
      <c r="OCK134" s="72"/>
      <c r="OCL134" s="72"/>
      <c r="OCM134" s="72"/>
      <c r="OCN134" s="72"/>
      <c r="OCO134" s="72"/>
      <c r="OCP134" s="72"/>
      <c r="OCQ134" s="72"/>
      <c r="OCR134" s="72"/>
      <c r="OCS134" s="72"/>
      <c r="OCT134" s="72"/>
      <c r="OCU134" s="72"/>
      <c r="OCV134" s="72"/>
      <c r="OCW134" s="72"/>
      <c r="OCX134" s="72"/>
      <c r="OCY134" s="72"/>
      <c r="OCZ134" s="72"/>
      <c r="ODA134" s="72"/>
      <c r="ODB134" s="72"/>
      <c r="ODC134" s="72"/>
      <c r="ODD134" s="72"/>
      <c r="ODE134" s="72"/>
      <c r="ODF134" s="72"/>
      <c r="ODG134" s="72"/>
      <c r="ODH134" s="72"/>
      <c r="ODI134" s="72"/>
      <c r="ODJ134" s="72"/>
      <c r="ODK134" s="72"/>
      <c r="ODL134" s="72"/>
      <c r="ODM134" s="72"/>
      <c r="ODN134" s="72"/>
      <c r="ODO134" s="72"/>
      <c r="ODP134" s="72"/>
      <c r="ODQ134" s="72"/>
      <c r="ODR134" s="72"/>
      <c r="ODS134" s="72"/>
      <c r="ODT134" s="72"/>
      <c r="ODU134" s="72"/>
      <c r="ODV134" s="72"/>
      <c r="ODW134" s="72"/>
      <c r="ODX134" s="72"/>
      <c r="ODY134" s="72"/>
      <c r="ODZ134" s="72"/>
      <c r="OEA134" s="72"/>
      <c r="OEB134" s="72"/>
      <c r="OEC134" s="72"/>
      <c r="OED134" s="72"/>
      <c r="OEE134" s="72"/>
      <c r="OEF134" s="72"/>
      <c r="OEG134" s="72"/>
      <c r="OEH134" s="72"/>
      <c r="OEI134" s="72"/>
      <c r="OEJ134" s="72"/>
      <c r="OEK134" s="72"/>
      <c r="OEL134" s="72"/>
      <c r="OEM134" s="72"/>
      <c r="OEN134" s="72"/>
      <c r="OEO134" s="72"/>
      <c r="OEP134" s="72"/>
      <c r="OEQ134" s="72"/>
      <c r="OER134" s="72"/>
      <c r="OES134" s="72"/>
      <c r="OET134" s="72"/>
      <c r="OEU134" s="72"/>
      <c r="OEV134" s="72"/>
      <c r="OEW134" s="72"/>
      <c r="OEX134" s="72"/>
      <c r="OEY134" s="72"/>
      <c r="OEZ134" s="72"/>
      <c r="OFA134" s="72"/>
      <c r="OFB134" s="72"/>
      <c r="OFC134" s="72"/>
      <c r="OFD134" s="72"/>
      <c r="OFE134" s="72"/>
      <c r="OFF134" s="72"/>
      <c r="OFG134" s="72"/>
      <c r="OFH134" s="72"/>
      <c r="OFI134" s="72"/>
      <c r="OFJ134" s="72"/>
      <c r="OFK134" s="72"/>
      <c r="OFL134" s="72"/>
      <c r="OFM134" s="72"/>
      <c r="OFN134" s="72"/>
      <c r="OFO134" s="72"/>
      <c r="OFP134" s="72"/>
      <c r="OFQ134" s="72"/>
      <c r="OFR134" s="72"/>
      <c r="OFS134" s="72"/>
      <c r="OFT134" s="72"/>
      <c r="OFU134" s="72"/>
      <c r="OFV134" s="72"/>
      <c r="OFW134" s="72"/>
      <c r="OFX134" s="72"/>
      <c r="OFY134" s="72"/>
      <c r="OFZ134" s="72"/>
      <c r="OGA134" s="72"/>
      <c r="OGB134" s="72"/>
      <c r="OGC134" s="72"/>
      <c r="OGD134" s="72"/>
      <c r="OGE134" s="72"/>
      <c r="OGF134" s="72"/>
      <c r="OGG134" s="72"/>
      <c r="OGH134" s="72"/>
      <c r="OGI134" s="72"/>
      <c r="OGJ134" s="72"/>
      <c r="OGK134" s="72"/>
      <c r="OGL134" s="72"/>
      <c r="OGM134" s="72"/>
      <c r="OGN134" s="72"/>
      <c r="OGO134" s="72"/>
      <c r="OGP134" s="72"/>
      <c r="OGQ134" s="72"/>
      <c r="OGR134" s="72"/>
      <c r="OGS134" s="72"/>
      <c r="OGT134" s="72"/>
      <c r="OGU134" s="72"/>
      <c r="OGV134" s="72"/>
      <c r="OGW134" s="72"/>
      <c r="OGX134" s="72"/>
      <c r="OGY134" s="72"/>
      <c r="OGZ134" s="72"/>
      <c r="OHA134" s="72"/>
      <c r="OHB134" s="72"/>
      <c r="OHC134" s="72"/>
      <c r="OHD134" s="72"/>
      <c r="OHE134" s="72"/>
      <c r="OHF134" s="72"/>
      <c r="OHG134" s="72"/>
      <c r="OHH134" s="72"/>
      <c r="OHI134" s="72"/>
      <c r="OHJ134" s="72"/>
      <c r="OHK134" s="72"/>
      <c r="OHL134" s="72"/>
      <c r="OHM134" s="72"/>
      <c r="OHN134" s="72"/>
      <c r="OHO134" s="72"/>
      <c r="OHP134" s="72"/>
      <c r="OHQ134" s="72"/>
      <c r="OHR134" s="72"/>
      <c r="OHS134" s="72"/>
      <c r="OHT134" s="72"/>
      <c r="OHU134" s="72"/>
      <c r="OHV134" s="72"/>
      <c r="OHW134" s="72"/>
      <c r="OHX134" s="72"/>
      <c r="OHY134" s="72"/>
      <c r="OHZ134" s="72"/>
      <c r="OIA134" s="72"/>
      <c r="OIB134" s="72"/>
      <c r="OIC134" s="72"/>
      <c r="OID134" s="72"/>
      <c r="OIE134" s="72"/>
      <c r="OIF134" s="72"/>
      <c r="OIG134" s="72"/>
      <c r="OIH134" s="72"/>
      <c r="OII134" s="72"/>
      <c r="OIJ134" s="72"/>
      <c r="OIK134" s="72"/>
      <c r="OIL134" s="72"/>
      <c r="OIM134" s="72"/>
      <c r="OIN134" s="72"/>
      <c r="OIO134" s="72"/>
      <c r="OIP134" s="72"/>
      <c r="OIQ134" s="72"/>
      <c r="OIR134" s="72"/>
      <c r="OIS134" s="72"/>
      <c r="OIT134" s="72"/>
      <c r="OIU134" s="72"/>
      <c r="OIV134" s="72"/>
      <c r="OIW134" s="72"/>
      <c r="OIX134" s="72"/>
      <c r="OIY134" s="72"/>
      <c r="OIZ134" s="72"/>
      <c r="OJA134" s="72"/>
      <c r="OJB134" s="72"/>
      <c r="OJC134" s="72"/>
      <c r="OJD134" s="72"/>
      <c r="OJE134" s="72"/>
      <c r="OJF134" s="72"/>
      <c r="OJG134" s="72"/>
      <c r="OJH134" s="72"/>
      <c r="OJI134" s="72"/>
      <c r="OJJ134" s="72"/>
      <c r="OJK134" s="72"/>
      <c r="OJL134" s="72"/>
      <c r="OJM134" s="72"/>
      <c r="OJN134" s="72"/>
      <c r="OJO134" s="72"/>
      <c r="OJP134" s="72"/>
      <c r="OJQ134" s="72"/>
      <c r="OJR134" s="72"/>
      <c r="OJS134" s="72"/>
      <c r="OJT134" s="72"/>
      <c r="OJU134" s="72"/>
      <c r="OJV134" s="72"/>
      <c r="OJW134" s="72"/>
      <c r="OJX134" s="72"/>
      <c r="OJY134" s="72"/>
      <c r="OJZ134" s="72"/>
      <c r="OKA134" s="72"/>
      <c r="OKB134" s="72"/>
      <c r="OKC134" s="72"/>
      <c r="OKD134" s="72"/>
      <c r="OKE134" s="72"/>
      <c r="OKF134" s="72"/>
      <c r="OKG134" s="72"/>
      <c r="OKH134" s="72"/>
      <c r="OKI134" s="72"/>
      <c r="OKJ134" s="72"/>
      <c r="OKK134" s="72"/>
      <c r="OKL134" s="72"/>
      <c r="OKM134" s="72"/>
      <c r="OKN134" s="72"/>
      <c r="OKO134" s="72"/>
      <c r="OKP134" s="72"/>
      <c r="OKQ134" s="72"/>
      <c r="OKR134" s="72"/>
      <c r="OKS134" s="72"/>
      <c r="OKT134" s="72"/>
      <c r="OKU134" s="72"/>
      <c r="OKV134" s="72"/>
      <c r="OKW134" s="72"/>
      <c r="OKX134" s="72"/>
      <c r="OKY134" s="72"/>
      <c r="OKZ134" s="72"/>
      <c r="OLA134" s="72"/>
      <c r="OLB134" s="72"/>
      <c r="OLC134" s="72"/>
      <c r="OLD134" s="72"/>
      <c r="OLE134" s="72"/>
      <c r="OLF134" s="72"/>
      <c r="OLG134" s="72"/>
      <c r="OLH134" s="72"/>
      <c r="OLI134" s="72"/>
      <c r="OLJ134" s="72"/>
      <c r="OLK134" s="72"/>
      <c r="OLL134" s="72"/>
      <c r="OLM134" s="72"/>
      <c r="OLN134" s="72"/>
      <c r="OLO134" s="72"/>
      <c r="OLP134" s="72"/>
      <c r="OLQ134" s="72"/>
      <c r="OLR134" s="72"/>
      <c r="OLS134" s="72"/>
      <c r="OLT134" s="72"/>
      <c r="OLU134" s="72"/>
      <c r="OLV134" s="72"/>
      <c r="OLW134" s="72"/>
      <c r="OLX134" s="72"/>
      <c r="OLY134" s="72"/>
      <c r="OLZ134" s="72"/>
      <c r="OMA134" s="72"/>
      <c r="OMB134" s="72"/>
      <c r="OMC134" s="72"/>
      <c r="OMD134" s="72"/>
      <c r="OME134" s="72"/>
      <c r="OMF134" s="72"/>
      <c r="OMG134" s="72"/>
      <c r="OMH134" s="72"/>
      <c r="OMI134" s="72"/>
      <c r="OMJ134" s="72"/>
      <c r="OMK134" s="72"/>
      <c r="OML134" s="72"/>
      <c r="OMM134" s="72"/>
      <c r="OMN134" s="72"/>
      <c r="OMO134" s="72"/>
      <c r="OMP134" s="72"/>
      <c r="OMQ134" s="72"/>
      <c r="OMR134" s="72"/>
      <c r="OMS134" s="72"/>
      <c r="OMT134" s="72"/>
      <c r="OMU134" s="72"/>
      <c r="OMV134" s="72"/>
      <c r="OMW134" s="72"/>
      <c r="OMX134" s="72"/>
      <c r="OMY134" s="72"/>
      <c r="OMZ134" s="72"/>
      <c r="ONA134" s="72"/>
      <c r="ONB134" s="72"/>
      <c r="ONC134" s="72"/>
      <c r="OND134" s="72"/>
      <c r="ONE134" s="72"/>
      <c r="ONF134" s="72"/>
      <c r="ONG134" s="72"/>
      <c r="ONH134" s="72"/>
      <c r="ONI134" s="72"/>
      <c r="ONJ134" s="72"/>
      <c r="ONK134" s="72"/>
      <c r="ONL134" s="72"/>
      <c r="ONM134" s="72"/>
      <c r="ONN134" s="72"/>
      <c r="ONO134" s="72"/>
      <c r="ONP134" s="72"/>
      <c r="ONQ134" s="72"/>
      <c r="ONR134" s="72"/>
      <c r="ONS134" s="72"/>
      <c r="ONT134" s="72"/>
      <c r="ONU134" s="72"/>
      <c r="ONV134" s="72"/>
      <c r="ONW134" s="72"/>
      <c r="ONX134" s="72"/>
      <c r="ONY134" s="72"/>
      <c r="ONZ134" s="72"/>
      <c r="OOA134" s="72"/>
      <c r="OOB134" s="72"/>
      <c r="OOC134" s="72"/>
      <c r="OOD134" s="72"/>
      <c r="OOE134" s="72"/>
      <c r="OOF134" s="72"/>
      <c r="OOG134" s="72"/>
      <c r="OOH134" s="72"/>
      <c r="OOI134" s="72"/>
      <c r="OOJ134" s="72"/>
      <c r="OOK134" s="72"/>
      <c r="OOL134" s="72"/>
      <c r="OOM134" s="72"/>
      <c r="OON134" s="72"/>
      <c r="OOO134" s="72"/>
      <c r="OOP134" s="72"/>
      <c r="OOQ134" s="72"/>
      <c r="OOR134" s="72"/>
      <c r="OOS134" s="72"/>
      <c r="OOT134" s="72"/>
      <c r="OOU134" s="72"/>
      <c r="OOV134" s="72"/>
      <c r="OOW134" s="72"/>
      <c r="OOX134" s="72"/>
      <c r="OOY134" s="72"/>
      <c r="OOZ134" s="72"/>
      <c r="OPA134" s="72"/>
      <c r="OPB134" s="72"/>
      <c r="OPC134" s="72"/>
      <c r="OPD134" s="72"/>
      <c r="OPE134" s="72"/>
      <c r="OPF134" s="72"/>
      <c r="OPG134" s="72"/>
      <c r="OPH134" s="72"/>
      <c r="OPI134" s="72"/>
      <c r="OPJ134" s="72"/>
      <c r="OPK134" s="72"/>
      <c r="OPL134" s="72"/>
      <c r="OPM134" s="72"/>
      <c r="OPN134" s="72"/>
      <c r="OPO134" s="72"/>
      <c r="OPP134" s="72"/>
      <c r="OPQ134" s="72"/>
      <c r="OPR134" s="72"/>
      <c r="OPS134" s="72"/>
      <c r="OPT134" s="72"/>
      <c r="OPU134" s="72"/>
      <c r="OPV134" s="72"/>
      <c r="OPW134" s="72"/>
      <c r="OPX134" s="72"/>
      <c r="OPY134" s="72"/>
      <c r="OPZ134" s="72"/>
      <c r="OQA134" s="72"/>
      <c r="OQB134" s="72"/>
      <c r="OQC134" s="72"/>
      <c r="OQD134" s="72"/>
      <c r="OQE134" s="72"/>
      <c r="OQF134" s="72"/>
      <c r="OQG134" s="72"/>
      <c r="OQH134" s="72"/>
      <c r="OQI134" s="72"/>
      <c r="OQJ134" s="72"/>
      <c r="OQK134" s="72"/>
      <c r="OQL134" s="72"/>
      <c r="OQM134" s="72"/>
      <c r="OQN134" s="72"/>
      <c r="OQO134" s="72"/>
      <c r="OQP134" s="72"/>
      <c r="OQQ134" s="72"/>
      <c r="OQR134" s="72"/>
      <c r="OQS134" s="72"/>
      <c r="OQT134" s="72"/>
      <c r="OQU134" s="72"/>
      <c r="OQV134" s="72"/>
      <c r="OQW134" s="72"/>
      <c r="OQX134" s="72"/>
      <c r="OQY134" s="72"/>
      <c r="OQZ134" s="72"/>
      <c r="ORA134" s="72"/>
      <c r="ORB134" s="72"/>
      <c r="ORC134" s="72"/>
      <c r="ORD134" s="72"/>
      <c r="ORE134" s="72"/>
      <c r="ORF134" s="72"/>
      <c r="ORG134" s="72"/>
      <c r="ORH134" s="72"/>
      <c r="ORI134" s="72"/>
      <c r="ORJ134" s="72"/>
      <c r="ORK134" s="72"/>
      <c r="ORL134" s="72"/>
      <c r="ORM134" s="72"/>
      <c r="ORN134" s="72"/>
      <c r="ORO134" s="72"/>
      <c r="ORP134" s="72"/>
      <c r="ORQ134" s="72"/>
      <c r="ORR134" s="72"/>
      <c r="ORS134" s="72"/>
      <c r="ORT134" s="72"/>
      <c r="ORU134" s="72"/>
      <c r="ORV134" s="72"/>
      <c r="ORW134" s="72"/>
      <c r="ORX134" s="72"/>
      <c r="ORY134" s="72"/>
      <c r="ORZ134" s="72"/>
      <c r="OSA134" s="72"/>
      <c r="OSB134" s="72"/>
      <c r="OSC134" s="72"/>
      <c r="OSD134" s="72"/>
      <c r="OSE134" s="72"/>
      <c r="OSF134" s="72"/>
      <c r="OSG134" s="72"/>
      <c r="OSH134" s="72"/>
      <c r="OSI134" s="72"/>
      <c r="OSJ134" s="72"/>
      <c r="OSK134" s="72"/>
      <c r="OSL134" s="72"/>
      <c r="OSM134" s="72"/>
      <c r="OSN134" s="72"/>
      <c r="OSO134" s="72"/>
      <c r="OSP134" s="72"/>
      <c r="OSQ134" s="72"/>
      <c r="OSR134" s="72"/>
      <c r="OSS134" s="72"/>
      <c r="OST134" s="72"/>
      <c r="OSU134" s="72"/>
      <c r="OSV134" s="72"/>
      <c r="OSW134" s="72"/>
      <c r="OSX134" s="72"/>
      <c r="OSY134" s="72"/>
      <c r="OSZ134" s="72"/>
      <c r="OTA134" s="72"/>
      <c r="OTB134" s="72"/>
      <c r="OTC134" s="72"/>
      <c r="OTD134" s="72"/>
      <c r="OTE134" s="72"/>
      <c r="OTF134" s="72"/>
      <c r="OTG134" s="72"/>
      <c r="OTH134" s="72"/>
      <c r="OTI134" s="72"/>
      <c r="OTJ134" s="72"/>
      <c r="OTK134" s="72"/>
      <c r="OTL134" s="72"/>
      <c r="OTM134" s="72"/>
      <c r="OTN134" s="72"/>
      <c r="OTO134" s="72"/>
      <c r="OTP134" s="72"/>
      <c r="OTQ134" s="72"/>
      <c r="OTR134" s="72"/>
      <c r="OTS134" s="72"/>
      <c r="OTT134" s="72"/>
      <c r="OTU134" s="72"/>
      <c r="OTV134" s="72"/>
      <c r="OTW134" s="72"/>
      <c r="OTX134" s="72"/>
      <c r="OTY134" s="72"/>
      <c r="OTZ134" s="72"/>
      <c r="OUA134" s="72"/>
      <c r="OUB134" s="72"/>
      <c r="OUC134" s="72"/>
      <c r="OUD134" s="72"/>
      <c r="OUE134" s="72"/>
      <c r="OUF134" s="72"/>
      <c r="OUG134" s="72"/>
      <c r="OUH134" s="72"/>
      <c r="OUI134" s="72"/>
      <c r="OUJ134" s="72"/>
      <c r="OUK134" s="72"/>
      <c r="OUL134" s="72"/>
      <c r="OUM134" s="72"/>
      <c r="OUN134" s="72"/>
      <c r="OUO134" s="72"/>
      <c r="OUP134" s="72"/>
      <c r="OUQ134" s="72"/>
      <c r="OUR134" s="72"/>
      <c r="OUS134" s="72"/>
      <c r="OUT134" s="72"/>
      <c r="OUU134" s="72"/>
      <c r="OUV134" s="72"/>
      <c r="OUW134" s="72"/>
      <c r="OUX134" s="72"/>
      <c r="OUY134" s="72"/>
      <c r="OUZ134" s="72"/>
      <c r="OVA134" s="72"/>
      <c r="OVB134" s="72"/>
      <c r="OVC134" s="72"/>
      <c r="OVD134" s="72"/>
      <c r="OVE134" s="72"/>
      <c r="OVF134" s="72"/>
      <c r="OVG134" s="72"/>
      <c r="OVH134" s="72"/>
      <c r="OVI134" s="72"/>
      <c r="OVJ134" s="72"/>
      <c r="OVK134" s="72"/>
      <c r="OVL134" s="72"/>
      <c r="OVM134" s="72"/>
      <c r="OVN134" s="72"/>
      <c r="OVO134" s="72"/>
      <c r="OVP134" s="72"/>
      <c r="OVQ134" s="72"/>
      <c r="OVR134" s="72"/>
      <c r="OVS134" s="72"/>
      <c r="OVT134" s="72"/>
      <c r="OVU134" s="72"/>
      <c r="OVV134" s="72"/>
      <c r="OVW134" s="72"/>
      <c r="OVX134" s="72"/>
      <c r="OVY134" s="72"/>
      <c r="OVZ134" s="72"/>
      <c r="OWA134" s="72"/>
      <c r="OWB134" s="72"/>
      <c r="OWC134" s="72"/>
      <c r="OWD134" s="72"/>
      <c r="OWE134" s="72"/>
      <c r="OWF134" s="72"/>
      <c r="OWG134" s="72"/>
      <c r="OWH134" s="72"/>
      <c r="OWI134" s="72"/>
      <c r="OWJ134" s="72"/>
      <c r="OWK134" s="72"/>
      <c r="OWL134" s="72"/>
      <c r="OWM134" s="72"/>
      <c r="OWN134" s="72"/>
      <c r="OWO134" s="72"/>
      <c r="OWP134" s="72"/>
      <c r="OWQ134" s="72"/>
      <c r="OWR134" s="72"/>
      <c r="OWS134" s="72"/>
      <c r="OWT134" s="72"/>
      <c r="OWU134" s="72"/>
      <c r="OWV134" s="72"/>
      <c r="OWW134" s="72"/>
      <c r="OWX134" s="72"/>
      <c r="OWY134" s="72"/>
      <c r="OWZ134" s="72"/>
      <c r="OXA134" s="72"/>
      <c r="OXB134" s="72"/>
      <c r="OXC134" s="72"/>
      <c r="OXD134" s="72"/>
      <c r="OXE134" s="72"/>
      <c r="OXF134" s="72"/>
      <c r="OXG134" s="72"/>
      <c r="OXH134" s="72"/>
      <c r="OXI134" s="72"/>
      <c r="OXJ134" s="72"/>
      <c r="OXK134" s="72"/>
      <c r="OXL134" s="72"/>
      <c r="OXM134" s="72"/>
      <c r="OXN134" s="72"/>
      <c r="OXO134" s="72"/>
      <c r="OXP134" s="72"/>
      <c r="OXQ134" s="72"/>
      <c r="OXR134" s="72"/>
      <c r="OXS134" s="72"/>
      <c r="OXT134" s="72"/>
      <c r="OXU134" s="72"/>
      <c r="OXV134" s="72"/>
      <c r="OXW134" s="72"/>
      <c r="OXX134" s="72"/>
      <c r="OXY134" s="72"/>
      <c r="OXZ134" s="72"/>
      <c r="OYA134" s="72"/>
      <c r="OYB134" s="72"/>
      <c r="OYC134" s="72"/>
      <c r="OYD134" s="72"/>
      <c r="OYE134" s="72"/>
      <c r="OYF134" s="72"/>
      <c r="OYG134" s="72"/>
      <c r="OYH134" s="72"/>
      <c r="OYI134" s="72"/>
      <c r="OYJ134" s="72"/>
      <c r="OYK134" s="72"/>
      <c r="OYL134" s="72"/>
      <c r="OYM134" s="72"/>
      <c r="OYN134" s="72"/>
      <c r="OYO134" s="72"/>
      <c r="OYP134" s="72"/>
      <c r="OYQ134" s="72"/>
      <c r="OYR134" s="72"/>
      <c r="OYS134" s="72"/>
      <c r="OYT134" s="72"/>
      <c r="OYU134" s="72"/>
      <c r="OYV134" s="72"/>
      <c r="OYW134" s="72"/>
      <c r="OYX134" s="72"/>
      <c r="OYY134" s="72"/>
      <c r="OYZ134" s="72"/>
      <c r="OZA134" s="72"/>
      <c r="OZB134" s="72"/>
      <c r="OZC134" s="72"/>
      <c r="OZD134" s="72"/>
      <c r="OZE134" s="72"/>
      <c r="OZF134" s="72"/>
      <c r="OZG134" s="72"/>
      <c r="OZH134" s="72"/>
      <c r="OZI134" s="72"/>
      <c r="OZJ134" s="72"/>
      <c r="OZK134" s="72"/>
      <c r="OZL134" s="72"/>
      <c r="OZM134" s="72"/>
      <c r="OZN134" s="72"/>
      <c r="OZO134" s="72"/>
      <c r="OZP134" s="72"/>
      <c r="OZQ134" s="72"/>
      <c r="OZR134" s="72"/>
      <c r="OZS134" s="72"/>
      <c r="OZT134" s="72"/>
      <c r="OZU134" s="72"/>
      <c r="OZV134" s="72"/>
      <c r="OZW134" s="72"/>
      <c r="OZX134" s="72"/>
      <c r="OZY134" s="72"/>
      <c r="OZZ134" s="72"/>
      <c r="PAA134" s="72"/>
      <c r="PAB134" s="72"/>
      <c r="PAC134" s="72"/>
      <c r="PAD134" s="72"/>
      <c r="PAE134" s="72"/>
      <c r="PAF134" s="72"/>
      <c r="PAG134" s="72"/>
      <c r="PAH134" s="72"/>
      <c r="PAI134" s="72"/>
      <c r="PAJ134" s="72"/>
      <c r="PAK134" s="72"/>
      <c r="PAL134" s="72"/>
      <c r="PAM134" s="72"/>
      <c r="PAN134" s="72"/>
      <c r="PAO134" s="72"/>
      <c r="PAP134" s="72"/>
      <c r="PAQ134" s="72"/>
      <c r="PAR134" s="72"/>
      <c r="PAS134" s="72"/>
      <c r="PAT134" s="72"/>
      <c r="PAU134" s="72"/>
      <c r="PAV134" s="72"/>
      <c r="PAW134" s="72"/>
      <c r="PAX134" s="72"/>
      <c r="PAY134" s="72"/>
      <c r="PAZ134" s="72"/>
      <c r="PBA134" s="72"/>
      <c r="PBB134" s="72"/>
      <c r="PBC134" s="72"/>
      <c r="PBD134" s="72"/>
      <c r="PBE134" s="72"/>
      <c r="PBF134" s="72"/>
      <c r="PBG134" s="72"/>
      <c r="PBH134" s="72"/>
      <c r="PBI134" s="72"/>
      <c r="PBJ134" s="72"/>
      <c r="PBK134" s="72"/>
      <c r="PBL134" s="72"/>
      <c r="PBM134" s="72"/>
      <c r="PBN134" s="72"/>
      <c r="PBO134" s="72"/>
      <c r="PBP134" s="72"/>
      <c r="PBQ134" s="72"/>
      <c r="PBR134" s="72"/>
      <c r="PBS134" s="72"/>
      <c r="PBT134" s="72"/>
      <c r="PBU134" s="72"/>
      <c r="PBV134" s="72"/>
      <c r="PBW134" s="72"/>
      <c r="PBX134" s="72"/>
      <c r="PBY134" s="72"/>
      <c r="PBZ134" s="72"/>
      <c r="PCA134" s="72"/>
      <c r="PCB134" s="72"/>
      <c r="PCC134" s="72"/>
      <c r="PCD134" s="72"/>
      <c r="PCE134" s="72"/>
      <c r="PCF134" s="72"/>
      <c r="PCG134" s="72"/>
      <c r="PCH134" s="72"/>
      <c r="PCI134" s="72"/>
      <c r="PCJ134" s="72"/>
      <c r="PCK134" s="72"/>
      <c r="PCL134" s="72"/>
      <c r="PCM134" s="72"/>
      <c r="PCN134" s="72"/>
      <c r="PCO134" s="72"/>
      <c r="PCP134" s="72"/>
      <c r="PCQ134" s="72"/>
      <c r="PCR134" s="72"/>
      <c r="PCS134" s="72"/>
      <c r="PCT134" s="72"/>
      <c r="PCU134" s="72"/>
      <c r="PCV134" s="72"/>
      <c r="PCW134" s="72"/>
      <c r="PCX134" s="72"/>
      <c r="PCY134" s="72"/>
      <c r="PCZ134" s="72"/>
      <c r="PDA134" s="72"/>
      <c r="PDB134" s="72"/>
      <c r="PDC134" s="72"/>
      <c r="PDD134" s="72"/>
      <c r="PDE134" s="72"/>
      <c r="PDF134" s="72"/>
      <c r="PDG134" s="72"/>
      <c r="PDH134" s="72"/>
      <c r="PDI134" s="72"/>
      <c r="PDJ134" s="72"/>
      <c r="PDK134" s="72"/>
      <c r="PDL134" s="72"/>
      <c r="PDM134" s="72"/>
      <c r="PDN134" s="72"/>
      <c r="PDO134" s="72"/>
      <c r="PDP134" s="72"/>
      <c r="PDQ134" s="72"/>
      <c r="PDR134" s="72"/>
      <c r="PDS134" s="72"/>
      <c r="PDT134" s="72"/>
      <c r="PDU134" s="72"/>
      <c r="PDV134" s="72"/>
      <c r="PDW134" s="72"/>
      <c r="PDX134" s="72"/>
      <c r="PDY134" s="72"/>
      <c r="PDZ134" s="72"/>
      <c r="PEA134" s="72"/>
      <c r="PEB134" s="72"/>
      <c r="PEC134" s="72"/>
      <c r="PED134" s="72"/>
      <c r="PEE134" s="72"/>
      <c r="PEF134" s="72"/>
      <c r="PEG134" s="72"/>
      <c r="PEH134" s="72"/>
      <c r="PEI134" s="72"/>
      <c r="PEJ134" s="72"/>
      <c r="PEK134" s="72"/>
      <c r="PEL134" s="72"/>
      <c r="PEM134" s="72"/>
      <c r="PEN134" s="72"/>
      <c r="PEO134" s="72"/>
      <c r="PEP134" s="72"/>
      <c r="PEQ134" s="72"/>
      <c r="PER134" s="72"/>
      <c r="PES134" s="72"/>
      <c r="PET134" s="72"/>
      <c r="PEU134" s="72"/>
      <c r="PEV134" s="72"/>
      <c r="PEW134" s="72"/>
      <c r="PEX134" s="72"/>
      <c r="PEY134" s="72"/>
      <c r="PEZ134" s="72"/>
      <c r="PFA134" s="72"/>
      <c r="PFB134" s="72"/>
      <c r="PFC134" s="72"/>
      <c r="PFD134" s="72"/>
      <c r="PFE134" s="72"/>
      <c r="PFF134" s="72"/>
      <c r="PFG134" s="72"/>
      <c r="PFH134" s="72"/>
      <c r="PFI134" s="72"/>
      <c r="PFJ134" s="72"/>
      <c r="PFK134" s="72"/>
      <c r="PFL134" s="72"/>
      <c r="PFM134" s="72"/>
      <c r="PFN134" s="72"/>
      <c r="PFO134" s="72"/>
      <c r="PFP134" s="72"/>
      <c r="PFQ134" s="72"/>
      <c r="PFR134" s="72"/>
      <c r="PFS134" s="72"/>
      <c r="PFT134" s="72"/>
      <c r="PFU134" s="72"/>
      <c r="PFV134" s="72"/>
      <c r="PFW134" s="72"/>
      <c r="PFX134" s="72"/>
      <c r="PFY134" s="72"/>
      <c r="PFZ134" s="72"/>
      <c r="PGA134" s="72"/>
      <c r="PGB134" s="72"/>
      <c r="PGC134" s="72"/>
      <c r="PGD134" s="72"/>
      <c r="PGE134" s="72"/>
      <c r="PGF134" s="72"/>
      <c r="PGG134" s="72"/>
      <c r="PGH134" s="72"/>
      <c r="PGI134" s="72"/>
      <c r="PGJ134" s="72"/>
      <c r="PGK134" s="72"/>
      <c r="PGL134" s="72"/>
      <c r="PGM134" s="72"/>
      <c r="PGN134" s="72"/>
      <c r="PGO134" s="72"/>
      <c r="PGP134" s="72"/>
      <c r="PGQ134" s="72"/>
      <c r="PGR134" s="72"/>
      <c r="PGS134" s="72"/>
      <c r="PGT134" s="72"/>
      <c r="PGU134" s="72"/>
      <c r="PGV134" s="72"/>
      <c r="PGW134" s="72"/>
      <c r="PGX134" s="72"/>
      <c r="PGY134" s="72"/>
      <c r="PGZ134" s="72"/>
      <c r="PHA134" s="72"/>
      <c r="PHB134" s="72"/>
      <c r="PHC134" s="72"/>
      <c r="PHD134" s="72"/>
      <c r="PHE134" s="72"/>
      <c r="PHF134" s="72"/>
      <c r="PHG134" s="72"/>
      <c r="PHH134" s="72"/>
      <c r="PHI134" s="72"/>
      <c r="PHJ134" s="72"/>
      <c r="PHK134" s="72"/>
      <c r="PHL134" s="72"/>
      <c r="PHM134" s="72"/>
      <c r="PHN134" s="72"/>
      <c r="PHO134" s="72"/>
      <c r="PHP134" s="72"/>
      <c r="PHQ134" s="72"/>
      <c r="PHR134" s="72"/>
      <c r="PHS134" s="72"/>
      <c r="PHT134" s="72"/>
      <c r="PHU134" s="72"/>
      <c r="PHV134" s="72"/>
      <c r="PHW134" s="72"/>
      <c r="PHX134" s="72"/>
      <c r="PHY134" s="72"/>
      <c r="PHZ134" s="72"/>
      <c r="PIA134" s="72"/>
      <c r="PIB134" s="72"/>
      <c r="PIC134" s="72"/>
      <c r="PID134" s="72"/>
      <c r="PIE134" s="72"/>
      <c r="PIF134" s="72"/>
      <c r="PIG134" s="72"/>
      <c r="PIH134" s="72"/>
      <c r="PII134" s="72"/>
      <c r="PIJ134" s="72"/>
      <c r="PIK134" s="72"/>
      <c r="PIL134" s="72"/>
      <c r="PIM134" s="72"/>
      <c r="PIN134" s="72"/>
      <c r="PIO134" s="72"/>
      <c r="PIP134" s="72"/>
      <c r="PIQ134" s="72"/>
      <c r="PIR134" s="72"/>
      <c r="PIS134" s="72"/>
      <c r="PIT134" s="72"/>
      <c r="PIU134" s="72"/>
      <c r="PIV134" s="72"/>
      <c r="PIW134" s="72"/>
      <c r="PIX134" s="72"/>
      <c r="PIY134" s="72"/>
      <c r="PIZ134" s="72"/>
      <c r="PJA134" s="72"/>
      <c r="PJB134" s="72"/>
      <c r="PJC134" s="72"/>
      <c r="PJD134" s="72"/>
      <c r="PJE134" s="72"/>
      <c r="PJF134" s="72"/>
      <c r="PJG134" s="72"/>
      <c r="PJH134" s="72"/>
      <c r="PJI134" s="72"/>
      <c r="PJJ134" s="72"/>
      <c r="PJK134" s="72"/>
      <c r="PJL134" s="72"/>
      <c r="PJM134" s="72"/>
      <c r="PJN134" s="72"/>
      <c r="PJO134" s="72"/>
      <c r="PJP134" s="72"/>
      <c r="PJQ134" s="72"/>
      <c r="PJR134" s="72"/>
      <c r="PJS134" s="72"/>
      <c r="PJT134" s="72"/>
      <c r="PJU134" s="72"/>
      <c r="PJV134" s="72"/>
      <c r="PJW134" s="72"/>
      <c r="PJX134" s="72"/>
      <c r="PJY134" s="72"/>
      <c r="PJZ134" s="72"/>
      <c r="PKA134" s="72"/>
      <c r="PKB134" s="72"/>
      <c r="PKC134" s="72"/>
      <c r="PKD134" s="72"/>
      <c r="PKE134" s="72"/>
      <c r="PKF134" s="72"/>
      <c r="PKG134" s="72"/>
      <c r="PKH134" s="72"/>
      <c r="PKI134" s="72"/>
      <c r="PKJ134" s="72"/>
      <c r="PKK134" s="72"/>
      <c r="PKL134" s="72"/>
      <c r="PKM134" s="72"/>
      <c r="PKN134" s="72"/>
      <c r="PKO134" s="72"/>
      <c r="PKP134" s="72"/>
      <c r="PKQ134" s="72"/>
      <c r="PKR134" s="72"/>
      <c r="PKS134" s="72"/>
      <c r="PKT134" s="72"/>
      <c r="PKU134" s="72"/>
      <c r="PKV134" s="72"/>
      <c r="PKW134" s="72"/>
      <c r="PKX134" s="72"/>
      <c r="PKY134" s="72"/>
      <c r="PKZ134" s="72"/>
      <c r="PLA134" s="72"/>
      <c r="PLB134" s="72"/>
      <c r="PLC134" s="72"/>
      <c r="PLD134" s="72"/>
      <c r="PLE134" s="72"/>
      <c r="PLF134" s="72"/>
      <c r="PLG134" s="72"/>
      <c r="PLH134" s="72"/>
      <c r="PLI134" s="72"/>
      <c r="PLJ134" s="72"/>
      <c r="PLK134" s="72"/>
      <c r="PLL134" s="72"/>
      <c r="PLM134" s="72"/>
      <c r="PLN134" s="72"/>
      <c r="PLO134" s="72"/>
      <c r="PLP134" s="72"/>
      <c r="PLQ134" s="72"/>
      <c r="PLR134" s="72"/>
      <c r="PLS134" s="72"/>
      <c r="PLT134" s="72"/>
      <c r="PLU134" s="72"/>
      <c r="PLV134" s="72"/>
      <c r="PLW134" s="72"/>
      <c r="PLX134" s="72"/>
      <c r="PLY134" s="72"/>
      <c r="PLZ134" s="72"/>
      <c r="PMA134" s="72"/>
      <c r="PMB134" s="72"/>
      <c r="PMC134" s="72"/>
      <c r="PMD134" s="72"/>
      <c r="PME134" s="72"/>
      <c r="PMF134" s="72"/>
      <c r="PMG134" s="72"/>
      <c r="PMH134" s="72"/>
      <c r="PMI134" s="72"/>
      <c r="PMJ134" s="72"/>
      <c r="PMK134" s="72"/>
      <c r="PML134" s="72"/>
      <c r="PMM134" s="72"/>
      <c r="PMN134" s="72"/>
      <c r="PMO134" s="72"/>
      <c r="PMP134" s="72"/>
      <c r="PMQ134" s="72"/>
      <c r="PMR134" s="72"/>
      <c r="PMS134" s="72"/>
      <c r="PMT134" s="72"/>
      <c r="PMU134" s="72"/>
      <c r="PMV134" s="72"/>
      <c r="PMW134" s="72"/>
      <c r="PMX134" s="72"/>
      <c r="PMY134" s="72"/>
      <c r="PMZ134" s="72"/>
      <c r="PNA134" s="72"/>
      <c r="PNB134" s="72"/>
      <c r="PNC134" s="72"/>
      <c r="PND134" s="72"/>
      <c r="PNE134" s="72"/>
      <c r="PNF134" s="72"/>
      <c r="PNG134" s="72"/>
      <c r="PNH134" s="72"/>
      <c r="PNI134" s="72"/>
      <c r="PNJ134" s="72"/>
      <c r="PNK134" s="72"/>
      <c r="PNL134" s="72"/>
      <c r="PNM134" s="72"/>
      <c r="PNN134" s="72"/>
      <c r="PNO134" s="72"/>
      <c r="PNP134" s="72"/>
      <c r="PNQ134" s="72"/>
      <c r="PNR134" s="72"/>
      <c r="PNS134" s="72"/>
      <c r="PNT134" s="72"/>
      <c r="PNU134" s="72"/>
      <c r="PNV134" s="72"/>
      <c r="PNW134" s="72"/>
      <c r="PNX134" s="72"/>
      <c r="PNY134" s="72"/>
      <c r="PNZ134" s="72"/>
      <c r="POA134" s="72"/>
      <c r="POB134" s="72"/>
      <c r="POC134" s="72"/>
      <c r="POD134" s="72"/>
      <c r="POE134" s="72"/>
      <c r="POF134" s="72"/>
      <c r="POG134" s="72"/>
      <c r="POH134" s="72"/>
      <c r="POI134" s="72"/>
      <c r="POJ134" s="72"/>
      <c r="POK134" s="72"/>
      <c r="POL134" s="72"/>
      <c r="POM134" s="72"/>
      <c r="PON134" s="72"/>
      <c r="POO134" s="72"/>
      <c r="POP134" s="72"/>
      <c r="POQ134" s="72"/>
      <c r="POR134" s="72"/>
      <c r="POS134" s="72"/>
      <c r="POT134" s="72"/>
      <c r="POU134" s="72"/>
      <c r="POV134" s="72"/>
      <c r="POW134" s="72"/>
      <c r="POX134" s="72"/>
      <c r="POY134" s="72"/>
      <c r="POZ134" s="72"/>
      <c r="PPA134" s="72"/>
      <c r="PPB134" s="72"/>
      <c r="PPC134" s="72"/>
      <c r="PPD134" s="72"/>
      <c r="PPE134" s="72"/>
      <c r="PPF134" s="72"/>
      <c r="PPG134" s="72"/>
      <c r="PPH134" s="72"/>
      <c r="PPI134" s="72"/>
      <c r="PPJ134" s="72"/>
      <c r="PPK134" s="72"/>
      <c r="PPL134" s="72"/>
      <c r="PPM134" s="72"/>
      <c r="PPN134" s="72"/>
      <c r="PPO134" s="72"/>
      <c r="PPP134" s="72"/>
      <c r="PPQ134" s="72"/>
      <c r="PPR134" s="72"/>
      <c r="PPS134" s="72"/>
      <c r="PPT134" s="72"/>
      <c r="PPU134" s="72"/>
      <c r="PPV134" s="72"/>
      <c r="PPW134" s="72"/>
      <c r="PPX134" s="72"/>
      <c r="PPY134" s="72"/>
      <c r="PPZ134" s="72"/>
      <c r="PQA134" s="72"/>
      <c r="PQB134" s="72"/>
      <c r="PQC134" s="72"/>
      <c r="PQD134" s="72"/>
      <c r="PQE134" s="72"/>
      <c r="PQF134" s="72"/>
      <c r="PQG134" s="72"/>
      <c r="PQH134" s="72"/>
      <c r="PQI134" s="72"/>
      <c r="PQJ134" s="72"/>
      <c r="PQK134" s="72"/>
      <c r="PQL134" s="72"/>
      <c r="PQM134" s="72"/>
      <c r="PQN134" s="72"/>
      <c r="PQO134" s="72"/>
      <c r="PQP134" s="72"/>
      <c r="PQQ134" s="72"/>
      <c r="PQR134" s="72"/>
      <c r="PQS134" s="72"/>
      <c r="PQT134" s="72"/>
      <c r="PQU134" s="72"/>
      <c r="PQV134" s="72"/>
      <c r="PQW134" s="72"/>
      <c r="PQX134" s="72"/>
      <c r="PQY134" s="72"/>
      <c r="PQZ134" s="72"/>
      <c r="PRA134" s="72"/>
      <c r="PRB134" s="72"/>
      <c r="PRC134" s="72"/>
      <c r="PRD134" s="72"/>
      <c r="PRE134" s="72"/>
      <c r="PRF134" s="72"/>
      <c r="PRG134" s="72"/>
      <c r="PRH134" s="72"/>
      <c r="PRI134" s="72"/>
      <c r="PRJ134" s="72"/>
      <c r="PRK134" s="72"/>
      <c r="PRL134" s="72"/>
      <c r="PRM134" s="72"/>
      <c r="PRN134" s="72"/>
      <c r="PRO134" s="72"/>
      <c r="PRP134" s="72"/>
      <c r="PRQ134" s="72"/>
      <c r="PRR134" s="72"/>
      <c r="PRS134" s="72"/>
      <c r="PRT134" s="72"/>
      <c r="PRU134" s="72"/>
      <c r="PRV134" s="72"/>
      <c r="PRW134" s="72"/>
      <c r="PRX134" s="72"/>
      <c r="PRY134" s="72"/>
      <c r="PRZ134" s="72"/>
      <c r="PSA134" s="72"/>
      <c r="PSB134" s="72"/>
      <c r="PSC134" s="72"/>
      <c r="PSD134" s="72"/>
      <c r="PSE134" s="72"/>
      <c r="PSF134" s="72"/>
      <c r="PSG134" s="72"/>
      <c r="PSH134" s="72"/>
      <c r="PSI134" s="72"/>
      <c r="PSJ134" s="72"/>
      <c r="PSK134" s="72"/>
      <c r="PSL134" s="72"/>
      <c r="PSM134" s="72"/>
      <c r="PSN134" s="72"/>
      <c r="PSO134" s="72"/>
      <c r="PSP134" s="72"/>
      <c r="PSQ134" s="72"/>
      <c r="PSR134" s="72"/>
      <c r="PSS134" s="72"/>
      <c r="PST134" s="72"/>
      <c r="PSU134" s="72"/>
      <c r="PSV134" s="72"/>
      <c r="PSW134" s="72"/>
      <c r="PSX134" s="72"/>
      <c r="PSY134" s="72"/>
      <c r="PSZ134" s="72"/>
      <c r="PTA134" s="72"/>
      <c r="PTB134" s="72"/>
      <c r="PTC134" s="72"/>
      <c r="PTD134" s="72"/>
      <c r="PTE134" s="72"/>
      <c r="PTF134" s="72"/>
      <c r="PTG134" s="72"/>
      <c r="PTH134" s="72"/>
      <c r="PTI134" s="72"/>
      <c r="PTJ134" s="72"/>
      <c r="PTK134" s="72"/>
      <c r="PTL134" s="72"/>
      <c r="PTM134" s="72"/>
      <c r="PTN134" s="72"/>
      <c r="PTO134" s="72"/>
      <c r="PTP134" s="72"/>
      <c r="PTQ134" s="72"/>
      <c r="PTR134" s="72"/>
      <c r="PTS134" s="72"/>
      <c r="PTT134" s="72"/>
      <c r="PTU134" s="72"/>
      <c r="PTV134" s="72"/>
      <c r="PTW134" s="72"/>
      <c r="PTX134" s="72"/>
      <c r="PTY134" s="72"/>
      <c r="PTZ134" s="72"/>
      <c r="PUA134" s="72"/>
      <c r="PUB134" s="72"/>
      <c r="PUC134" s="72"/>
      <c r="PUD134" s="72"/>
      <c r="PUE134" s="72"/>
      <c r="PUF134" s="72"/>
      <c r="PUG134" s="72"/>
      <c r="PUH134" s="72"/>
      <c r="PUI134" s="72"/>
      <c r="PUJ134" s="72"/>
      <c r="PUK134" s="72"/>
      <c r="PUL134" s="72"/>
      <c r="PUM134" s="72"/>
      <c r="PUN134" s="72"/>
      <c r="PUO134" s="72"/>
      <c r="PUP134" s="72"/>
      <c r="PUQ134" s="72"/>
      <c r="PUR134" s="72"/>
      <c r="PUS134" s="72"/>
      <c r="PUT134" s="72"/>
      <c r="PUU134" s="72"/>
      <c r="PUV134" s="72"/>
      <c r="PUW134" s="72"/>
      <c r="PUX134" s="72"/>
      <c r="PUY134" s="72"/>
      <c r="PUZ134" s="72"/>
      <c r="PVA134" s="72"/>
      <c r="PVB134" s="72"/>
      <c r="PVC134" s="72"/>
      <c r="PVD134" s="72"/>
      <c r="PVE134" s="72"/>
      <c r="PVF134" s="72"/>
      <c r="PVG134" s="72"/>
      <c r="PVH134" s="72"/>
      <c r="PVI134" s="72"/>
      <c r="PVJ134" s="72"/>
      <c r="PVK134" s="72"/>
      <c r="PVL134" s="72"/>
      <c r="PVM134" s="72"/>
      <c r="PVN134" s="72"/>
      <c r="PVO134" s="72"/>
      <c r="PVP134" s="72"/>
      <c r="PVQ134" s="72"/>
      <c r="PVR134" s="72"/>
      <c r="PVS134" s="72"/>
      <c r="PVT134" s="72"/>
      <c r="PVU134" s="72"/>
      <c r="PVV134" s="72"/>
      <c r="PVW134" s="72"/>
      <c r="PVX134" s="72"/>
      <c r="PVY134" s="72"/>
      <c r="PVZ134" s="72"/>
      <c r="PWA134" s="72"/>
      <c r="PWB134" s="72"/>
      <c r="PWC134" s="72"/>
      <c r="PWD134" s="72"/>
      <c r="PWE134" s="72"/>
      <c r="PWF134" s="72"/>
      <c r="PWG134" s="72"/>
      <c r="PWH134" s="72"/>
      <c r="PWI134" s="72"/>
      <c r="PWJ134" s="72"/>
      <c r="PWK134" s="72"/>
      <c r="PWL134" s="72"/>
      <c r="PWM134" s="72"/>
      <c r="PWN134" s="72"/>
      <c r="PWO134" s="72"/>
      <c r="PWP134" s="72"/>
      <c r="PWQ134" s="72"/>
      <c r="PWR134" s="72"/>
      <c r="PWS134" s="72"/>
      <c r="PWT134" s="72"/>
      <c r="PWU134" s="72"/>
      <c r="PWV134" s="72"/>
      <c r="PWW134" s="72"/>
      <c r="PWX134" s="72"/>
      <c r="PWY134" s="72"/>
      <c r="PWZ134" s="72"/>
      <c r="PXA134" s="72"/>
      <c r="PXB134" s="72"/>
      <c r="PXC134" s="72"/>
      <c r="PXD134" s="72"/>
      <c r="PXE134" s="72"/>
      <c r="PXF134" s="72"/>
      <c r="PXG134" s="72"/>
      <c r="PXH134" s="72"/>
      <c r="PXI134" s="72"/>
      <c r="PXJ134" s="72"/>
      <c r="PXK134" s="72"/>
      <c r="PXL134" s="72"/>
      <c r="PXM134" s="72"/>
      <c r="PXN134" s="72"/>
      <c r="PXO134" s="72"/>
      <c r="PXP134" s="72"/>
      <c r="PXQ134" s="72"/>
      <c r="PXR134" s="72"/>
      <c r="PXS134" s="72"/>
      <c r="PXT134" s="72"/>
      <c r="PXU134" s="72"/>
      <c r="PXV134" s="72"/>
      <c r="PXW134" s="72"/>
      <c r="PXX134" s="72"/>
      <c r="PXY134" s="72"/>
      <c r="PXZ134" s="72"/>
      <c r="PYA134" s="72"/>
      <c r="PYB134" s="72"/>
      <c r="PYC134" s="72"/>
      <c r="PYD134" s="72"/>
      <c r="PYE134" s="72"/>
      <c r="PYF134" s="72"/>
      <c r="PYG134" s="72"/>
      <c r="PYH134" s="72"/>
      <c r="PYI134" s="72"/>
      <c r="PYJ134" s="72"/>
      <c r="PYK134" s="72"/>
      <c r="PYL134" s="72"/>
      <c r="PYM134" s="72"/>
      <c r="PYN134" s="72"/>
      <c r="PYO134" s="72"/>
      <c r="PYP134" s="72"/>
      <c r="PYQ134" s="72"/>
      <c r="PYR134" s="72"/>
      <c r="PYS134" s="72"/>
      <c r="PYT134" s="72"/>
      <c r="PYU134" s="72"/>
      <c r="PYV134" s="72"/>
      <c r="PYW134" s="72"/>
      <c r="PYX134" s="72"/>
      <c r="PYY134" s="72"/>
      <c r="PYZ134" s="72"/>
      <c r="PZA134" s="72"/>
      <c r="PZB134" s="72"/>
      <c r="PZC134" s="72"/>
      <c r="PZD134" s="72"/>
      <c r="PZE134" s="72"/>
      <c r="PZF134" s="72"/>
      <c r="PZG134" s="72"/>
      <c r="PZH134" s="72"/>
      <c r="PZI134" s="72"/>
      <c r="PZJ134" s="72"/>
      <c r="PZK134" s="72"/>
      <c r="PZL134" s="72"/>
      <c r="PZM134" s="72"/>
      <c r="PZN134" s="72"/>
      <c r="PZO134" s="72"/>
      <c r="PZP134" s="72"/>
      <c r="PZQ134" s="72"/>
      <c r="PZR134" s="72"/>
      <c r="PZS134" s="72"/>
      <c r="PZT134" s="72"/>
      <c r="PZU134" s="72"/>
      <c r="PZV134" s="72"/>
      <c r="PZW134" s="72"/>
      <c r="PZX134" s="72"/>
      <c r="PZY134" s="72"/>
      <c r="PZZ134" s="72"/>
      <c r="QAA134" s="72"/>
      <c r="QAB134" s="72"/>
      <c r="QAC134" s="72"/>
      <c r="QAD134" s="72"/>
      <c r="QAE134" s="72"/>
      <c r="QAF134" s="72"/>
      <c r="QAG134" s="72"/>
      <c r="QAH134" s="72"/>
      <c r="QAI134" s="72"/>
      <c r="QAJ134" s="72"/>
      <c r="QAK134" s="72"/>
      <c r="QAL134" s="72"/>
      <c r="QAM134" s="72"/>
      <c r="QAN134" s="72"/>
      <c r="QAO134" s="72"/>
      <c r="QAP134" s="72"/>
      <c r="QAQ134" s="72"/>
      <c r="QAR134" s="72"/>
      <c r="QAS134" s="72"/>
      <c r="QAT134" s="72"/>
      <c r="QAU134" s="72"/>
      <c r="QAV134" s="72"/>
      <c r="QAW134" s="72"/>
      <c r="QAX134" s="72"/>
      <c r="QAY134" s="72"/>
      <c r="QAZ134" s="72"/>
      <c r="QBA134" s="72"/>
      <c r="QBB134" s="72"/>
      <c r="QBC134" s="72"/>
      <c r="QBD134" s="72"/>
      <c r="QBE134" s="72"/>
      <c r="QBF134" s="72"/>
      <c r="QBG134" s="72"/>
      <c r="QBH134" s="72"/>
      <c r="QBI134" s="72"/>
      <c r="QBJ134" s="72"/>
      <c r="QBK134" s="72"/>
      <c r="QBL134" s="72"/>
      <c r="QBM134" s="72"/>
      <c r="QBN134" s="72"/>
      <c r="QBO134" s="72"/>
      <c r="QBP134" s="72"/>
      <c r="QBQ134" s="72"/>
      <c r="QBR134" s="72"/>
      <c r="QBS134" s="72"/>
      <c r="QBT134" s="72"/>
      <c r="QBU134" s="72"/>
      <c r="QBV134" s="72"/>
      <c r="QBW134" s="72"/>
      <c r="QBX134" s="72"/>
      <c r="QBY134" s="72"/>
      <c r="QBZ134" s="72"/>
      <c r="QCA134" s="72"/>
      <c r="QCB134" s="72"/>
      <c r="QCC134" s="72"/>
      <c r="QCD134" s="72"/>
      <c r="QCE134" s="72"/>
      <c r="QCF134" s="72"/>
      <c r="QCG134" s="72"/>
      <c r="QCH134" s="72"/>
      <c r="QCI134" s="72"/>
      <c r="QCJ134" s="72"/>
      <c r="QCK134" s="72"/>
      <c r="QCL134" s="72"/>
      <c r="QCM134" s="72"/>
      <c r="QCN134" s="72"/>
      <c r="QCO134" s="72"/>
      <c r="QCP134" s="72"/>
      <c r="QCQ134" s="72"/>
      <c r="QCR134" s="72"/>
      <c r="QCS134" s="72"/>
      <c r="QCT134" s="72"/>
      <c r="QCU134" s="72"/>
      <c r="QCV134" s="72"/>
      <c r="QCW134" s="72"/>
      <c r="QCX134" s="72"/>
      <c r="QCY134" s="72"/>
      <c r="QCZ134" s="72"/>
      <c r="QDA134" s="72"/>
      <c r="QDB134" s="72"/>
      <c r="QDC134" s="72"/>
      <c r="QDD134" s="72"/>
      <c r="QDE134" s="72"/>
      <c r="QDF134" s="72"/>
      <c r="QDG134" s="72"/>
      <c r="QDH134" s="72"/>
      <c r="QDI134" s="72"/>
      <c r="QDJ134" s="72"/>
      <c r="QDK134" s="72"/>
      <c r="QDL134" s="72"/>
      <c r="QDM134" s="72"/>
      <c r="QDN134" s="72"/>
      <c r="QDO134" s="72"/>
      <c r="QDP134" s="72"/>
      <c r="QDQ134" s="72"/>
      <c r="QDR134" s="72"/>
      <c r="QDS134" s="72"/>
      <c r="QDT134" s="72"/>
      <c r="QDU134" s="72"/>
      <c r="QDV134" s="72"/>
      <c r="QDW134" s="72"/>
      <c r="QDX134" s="72"/>
      <c r="QDY134" s="72"/>
      <c r="QDZ134" s="72"/>
      <c r="QEA134" s="72"/>
      <c r="QEB134" s="72"/>
      <c r="QEC134" s="72"/>
      <c r="QED134" s="72"/>
      <c r="QEE134" s="72"/>
      <c r="QEF134" s="72"/>
      <c r="QEG134" s="72"/>
      <c r="QEH134" s="72"/>
      <c r="QEI134" s="72"/>
      <c r="QEJ134" s="72"/>
      <c r="QEK134" s="72"/>
      <c r="QEL134" s="72"/>
      <c r="QEM134" s="72"/>
      <c r="QEN134" s="72"/>
      <c r="QEO134" s="72"/>
      <c r="QEP134" s="72"/>
      <c r="QEQ134" s="72"/>
      <c r="QER134" s="72"/>
      <c r="QES134" s="72"/>
      <c r="QET134" s="72"/>
      <c r="QEU134" s="72"/>
      <c r="QEV134" s="72"/>
      <c r="QEW134" s="72"/>
      <c r="QEX134" s="72"/>
      <c r="QEY134" s="72"/>
      <c r="QEZ134" s="72"/>
      <c r="QFA134" s="72"/>
      <c r="QFB134" s="72"/>
      <c r="QFC134" s="72"/>
      <c r="QFD134" s="72"/>
      <c r="QFE134" s="72"/>
      <c r="QFF134" s="72"/>
      <c r="QFG134" s="72"/>
      <c r="QFH134" s="72"/>
      <c r="QFI134" s="72"/>
      <c r="QFJ134" s="72"/>
      <c r="QFK134" s="72"/>
      <c r="QFL134" s="72"/>
      <c r="QFM134" s="72"/>
      <c r="QFN134" s="72"/>
      <c r="QFO134" s="72"/>
      <c r="QFP134" s="72"/>
      <c r="QFQ134" s="72"/>
      <c r="QFR134" s="72"/>
      <c r="QFS134" s="72"/>
      <c r="QFT134" s="72"/>
      <c r="QFU134" s="72"/>
      <c r="QFV134" s="72"/>
      <c r="QFW134" s="72"/>
      <c r="QFX134" s="72"/>
      <c r="QFY134" s="72"/>
      <c r="QFZ134" s="72"/>
      <c r="QGA134" s="72"/>
      <c r="QGB134" s="72"/>
      <c r="QGC134" s="72"/>
      <c r="QGD134" s="72"/>
      <c r="QGE134" s="72"/>
      <c r="QGF134" s="72"/>
      <c r="QGG134" s="72"/>
      <c r="QGH134" s="72"/>
      <c r="QGI134" s="72"/>
      <c r="QGJ134" s="72"/>
      <c r="QGK134" s="72"/>
      <c r="QGL134" s="72"/>
      <c r="QGM134" s="72"/>
      <c r="QGN134" s="72"/>
      <c r="QGO134" s="72"/>
      <c r="QGP134" s="72"/>
      <c r="QGQ134" s="72"/>
      <c r="QGR134" s="72"/>
      <c r="QGS134" s="72"/>
      <c r="QGT134" s="72"/>
      <c r="QGU134" s="72"/>
      <c r="QGV134" s="72"/>
      <c r="QGW134" s="72"/>
      <c r="QGX134" s="72"/>
      <c r="QGY134" s="72"/>
      <c r="QGZ134" s="72"/>
      <c r="QHA134" s="72"/>
      <c r="QHB134" s="72"/>
      <c r="QHC134" s="72"/>
      <c r="QHD134" s="72"/>
      <c r="QHE134" s="72"/>
      <c r="QHF134" s="72"/>
      <c r="QHG134" s="72"/>
      <c r="QHH134" s="72"/>
      <c r="QHI134" s="72"/>
      <c r="QHJ134" s="72"/>
      <c r="QHK134" s="72"/>
      <c r="QHL134" s="72"/>
      <c r="QHM134" s="72"/>
      <c r="QHN134" s="72"/>
      <c r="QHO134" s="72"/>
      <c r="QHP134" s="72"/>
      <c r="QHQ134" s="72"/>
      <c r="QHR134" s="72"/>
      <c r="QHS134" s="72"/>
      <c r="QHT134" s="72"/>
      <c r="QHU134" s="72"/>
      <c r="QHV134" s="72"/>
      <c r="QHW134" s="72"/>
      <c r="QHX134" s="72"/>
      <c r="QHY134" s="72"/>
      <c r="QHZ134" s="72"/>
      <c r="QIA134" s="72"/>
      <c r="QIB134" s="72"/>
      <c r="QIC134" s="72"/>
      <c r="QID134" s="72"/>
      <c r="QIE134" s="72"/>
      <c r="QIF134" s="72"/>
      <c r="QIG134" s="72"/>
      <c r="QIH134" s="72"/>
      <c r="QII134" s="72"/>
      <c r="QIJ134" s="72"/>
      <c r="QIK134" s="72"/>
      <c r="QIL134" s="72"/>
      <c r="QIM134" s="72"/>
      <c r="QIN134" s="72"/>
      <c r="QIO134" s="72"/>
      <c r="QIP134" s="72"/>
      <c r="QIQ134" s="72"/>
      <c r="QIR134" s="72"/>
      <c r="QIS134" s="72"/>
      <c r="QIT134" s="72"/>
      <c r="QIU134" s="72"/>
      <c r="QIV134" s="72"/>
      <c r="QIW134" s="72"/>
      <c r="QIX134" s="72"/>
      <c r="QIY134" s="72"/>
      <c r="QIZ134" s="72"/>
      <c r="QJA134" s="72"/>
      <c r="QJB134" s="72"/>
      <c r="QJC134" s="72"/>
      <c r="QJD134" s="72"/>
      <c r="QJE134" s="72"/>
      <c r="QJF134" s="72"/>
      <c r="QJG134" s="72"/>
      <c r="QJH134" s="72"/>
      <c r="QJI134" s="72"/>
      <c r="QJJ134" s="72"/>
      <c r="QJK134" s="72"/>
      <c r="QJL134" s="72"/>
      <c r="QJM134" s="72"/>
      <c r="QJN134" s="72"/>
      <c r="QJO134" s="72"/>
      <c r="QJP134" s="72"/>
      <c r="QJQ134" s="72"/>
      <c r="QJR134" s="72"/>
      <c r="QJS134" s="72"/>
      <c r="QJT134" s="72"/>
      <c r="QJU134" s="72"/>
      <c r="QJV134" s="72"/>
      <c r="QJW134" s="72"/>
      <c r="QJX134" s="72"/>
      <c r="QJY134" s="72"/>
      <c r="QJZ134" s="72"/>
      <c r="QKA134" s="72"/>
      <c r="QKB134" s="72"/>
      <c r="QKC134" s="72"/>
      <c r="QKD134" s="72"/>
      <c r="QKE134" s="72"/>
      <c r="QKF134" s="72"/>
      <c r="QKG134" s="72"/>
      <c r="QKH134" s="72"/>
      <c r="QKI134" s="72"/>
      <c r="QKJ134" s="72"/>
      <c r="QKK134" s="72"/>
      <c r="QKL134" s="72"/>
      <c r="QKM134" s="72"/>
      <c r="QKN134" s="72"/>
      <c r="QKO134" s="72"/>
      <c r="QKP134" s="72"/>
      <c r="QKQ134" s="72"/>
      <c r="QKR134" s="72"/>
      <c r="QKS134" s="72"/>
      <c r="QKT134" s="72"/>
      <c r="QKU134" s="72"/>
      <c r="QKV134" s="72"/>
      <c r="QKW134" s="72"/>
      <c r="QKX134" s="72"/>
      <c r="QKY134" s="72"/>
      <c r="QKZ134" s="72"/>
      <c r="QLA134" s="72"/>
      <c r="QLB134" s="72"/>
      <c r="QLC134" s="72"/>
      <c r="QLD134" s="72"/>
      <c r="QLE134" s="72"/>
      <c r="QLF134" s="72"/>
      <c r="QLG134" s="72"/>
      <c r="QLH134" s="72"/>
      <c r="QLI134" s="72"/>
      <c r="QLJ134" s="72"/>
      <c r="QLK134" s="72"/>
      <c r="QLL134" s="72"/>
      <c r="QLM134" s="72"/>
      <c r="QLN134" s="72"/>
      <c r="QLO134" s="72"/>
      <c r="QLP134" s="72"/>
      <c r="QLQ134" s="72"/>
      <c r="QLR134" s="72"/>
      <c r="QLS134" s="72"/>
      <c r="QLT134" s="72"/>
      <c r="QLU134" s="72"/>
      <c r="QLV134" s="72"/>
      <c r="QLW134" s="72"/>
      <c r="QLX134" s="72"/>
      <c r="QLY134" s="72"/>
      <c r="QLZ134" s="72"/>
      <c r="QMA134" s="72"/>
      <c r="QMB134" s="72"/>
      <c r="QMC134" s="72"/>
      <c r="QMD134" s="72"/>
      <c r="QME134" s="72"/>
      <c r="QMF134" s="72"/>
      <c r="QMG134" s="72"/>
      <c r="QMH134" s="72"/>
      <c r="QMI134" s="72"/>
      <c r="QMJ134" s="72"/>
      <c r="QMK134" s="72"/>
      <c r="QML134" s="72"/>
      <c r="QMM134" s="72"/>
      <c r="QMN134" s="72"/>
      <c r="QMO134" s="72"/>
      <c r="QMP134" s="72"/>
      <c r="QMQ134" s="72"/>
      <c r="QMR134" s="72"/>
      <c r="QMS134" s="72"/>
      <c r="QMT134" s="72"/>
      <c r="QMU134" s="72"/>
      <c r="QMV134" s="72"/>
      <c r="QMW134" s="72"/>
      <c r="QMX134" s="72"/>
      <c r="QMY134" s="72"/>
      <c r="QMZ134" s="72"/>
      <c r="QNA134" s="72"/>
      <c r="QNB134" s="72"/>
      <c r="QNC134" s="72"/>
      <c r="QND134" s="72"/>
      <c r="QNE134" s="72"/>
      <c r="QNF134" s="72"/>
      <c r="QNG134" s="72"/>
      <c r="QNH134" s="72"/>
      <c r="QNI134" s="72"/>
      <c r="QNJ134" s="72"/>
      <c r="QNK134" s="72"/>
      <c r="QNL134" s="72"/>
      <c r="QNM134" s="72"/>
      <c r="QNN134" s="72"/>
      <c r="QNO134" s="72"/>
      <c r="QNP134" s="72"/>
      <c r="QNQ134" s="72"/>
      <c r="QNR134" s="72"/>
      <c r="QNS134" s="72"/>
      <c r="QNT134" s="72"/>
      <c r="QNU134" s="72"/>
      <c r="QNV134" s="72"/>
      <c r="QNW134" s="72"/>
      <c r="QNX134" s="72"/>
      <c r="QNY134" s="72"/>
      <c r="QNZ134" s="72"/>
      <c r="QOA134" s="72"/>
      <c r="QOB134" s="72"/>
      <c r="QOC134" s="72"/>
      <c r="QOD134" s="72"/>
      <c r="QOE134" s="72"/>
      <c r="QOF134" s="72"/>
      <c r="QOG134" s="72"/>
      <c r="QOH134" s="72"/>
      <c r="QOI134" s="72"/>
      <c r="QOJ134" s="72"/>
      <c r="QOK134" s="72"/>
      <c r="QOL134" s="72"/>
      <c r="QOM134" s="72"/>
      <c r="QON134" s="72"/>
      <c r="QOO134" s="72"/>
      <c r="QOP134" s="72"/>
      <c r="QOQ134" s="72"/>
      <c r="QOR134" s="72"/>
      <c r="QOS134" s="72"/>
      <c r="QOT134" s="72"/>
      <c r="QOU134" s="72"/>
      <c r="QOV134" s="72"/>
      <c r="QOW134" s="72"/>
      <c r="QOX134" s="72"/>
      <c r="QOY134" s="72"/>
      <c r="QOZ134" s="72"/>
      <c r="QPA134" s="72"/>
      <c r="QPB134" s="72"/>
      <c r="QPC134" s="72"/>
      <c r="QPD134" s="72"/>
      <c r="QPE134" s="72"/>
      <c r="QPF134" s="72"/>
      <c r="QPG134" s="72"/>
      <c r="QPH134" s="72"/>
      <c r="QPI134" s="72"/>
      <c r="QPJ134" s="72"/>
      <c r="QPK134" s="72"/>
      <c r="QPL134" s="72"/>
      <c r="QPM134" s="72"/>
      <c r="QPN134" s="72"/>
      <c r="QPO134" s="72"/>
      <c r="QPP134" s="72"/>
      <c r="QPQ134" s="72"/>
      <c r="QPR134" s="72"/>
      <c r="QPS134" s="72"/>
      <c r="QPT134" s="72"/>
      <c r="QPU134" s="72"/>
      <c r="QPV134" s="72"/>
      <c r="QPW134" s="72"/>
      <c r="QPX134" s="72"/>
      <c r="QPY134" s="72"/>
      <c r="QPZ134" s="72"/>
      <c r="QQA134" s="72"/>
      <c r="QQB134" s="72"/>
      <c r="QQC134" s="72"/>
      <c r="QQD134" s="72"/>
      <c r="QQE134" s="72"/>
      <c r="QQF134" s="72"/>
      <c r="QQG134" s="72"/>
      <c r="QQH134" s="72"/>
      <c r="QQI134" s="72"/>
      <c r="QQJ134" s="72"/>
      <c r="QQK134" s="72"/>
      <c r="QQL134" s="72"/>
      <c r="QQM134" s="72"/>
      <c r="QQN134" s="72"/>
      <c r="QQO134" s="72"/>
      <c r="QQP134" s="72"/>
      <c r="QQQ134" s="72"/>
      <c r="QQR134" s="72"/>
      <c r="QQS134" s="72"/>
      <c r="QQT134" s="72"/>
      <c r="QQU134" s="72"/>
      <c r="QQV134" s="72"/>
      <c r="QQW134" s="72"/>
      <c r="QQX134" s="72"/>
      <c r="QQY134" s="72"/>
      <c r="QQZ134" s="72"/>
      <c r="QRA134" s="72"/>
      <c r="QRB134" s="72"/>
      <c r="QRC134" s="72"/>
      <c r="QRD134" s="72"/>
      <c r="QRE134" s="72"/>
      <c r="QRF134" s="72"/>
      <c r="QRG134" s="72"/>
      <c r="QRH134" s="72"/>
      <c r="QRI134" s="72"/>
      <c r="QRJ134" s="72"/>
      <c r="QRK134" s="72"/>
      <c r="QRL134" s="72"/>
      <c r="QRM134" s="72"/>
      <c r="QRN134" s="72"/>
      <c r="QRO134" s="72"/>
      <c r="QRP134" s="72"/>
      <c r="QRQ134" s="72"/>
      <c r="QRR134" s="72"/>
      <c r="QRS134" s="72"/>
      <c r="QRT134" s="72"/>
      <c r="QRU134" s="72"/>
      <c r="QRV134" s="72"/>
      <c r="QRW134" s="72"/>
      <c r="QRX134" s="72"/>
      <c r="QRY134" s="72"/>
      <c r="QRZ134" s="72"/>
      <c r="QSA134" s="72"/>
      <c r="QSB134" s="72"/>
      <c r="QSC134" s="72"/>
      <c r="QSD134" s="72"/>
      <c r="QSE134" s="72"/>
      <c r="QSF134" s="72"/>
      <c r="QSG134" s="72"/>
      <c r="QSH134" s="72"/>
      <c r="QSI134" s="72"/>
      <c r="QSJ134" s="72"/>
      <c r="QSK134" s="72"/>
      <c r="QSL134" s="72"/>
      <c r="QSM134" s="72"/>
      <c r="QSN134" s="72"/>
      <c r="QSO134" s="72"/>
      <c r="QSP134" s="72"/>
      <c r="QSQ134" s="72"/>
      <c r="QSR134" s="72"/>
      <c r="QSS134" s="72"/>
      <c r="QST134" s="72"/>
      <c r="QSU134" s="72"/>
      <c r="QSV134" s="72"/>
      <c r="QSW134" s="72"/>
      <c r="QSX134" s="72"/>
      <c r="QSY134" s="72"/>
      <c r="QSZ134" s="72"/>
      <c r="QTA134" s="72"/>
      <c r="QTB134" s="72"/>
      <c r="QTC134" s="72"/>
      <c r="QTD134" s="72"/>
      <c r="QTE134" s="72"/>
      <c r="QTF134" s="72"/>
      <c r="QTG134" s="72"/>
      <c r="QTH134" s="72"/>
      <c r="QTI134" s="72"/>
      <c r="QTJ134" s="72"/>
      <c r="QTK134" s="72"/>
      <c r="QTL134" s="72"/>
      <c r="QTM134" s="72"/>
      <c r="QTN134" s="72"/>
      <c r="QTO134" s="72"/>
      <c r="QTP134" s="72"/>
      <c r="QTQ134" s="72"/>
      <c r="QTR134" s="72"/>
      <c r="QTS134" s="72"/>
      <c r="QTT134" s="72"/>
      <c r="QTU134" s="72"/>
      <c r="QTV134" s="72"/>
      <c r="QTW134" s="72"/>
      <c r="QTX134" s="72"/>
      <c r="QTY134" s="72"/>
      <c r="QTZ134" s="72"/>
      <c r="QUA134" s="72"/>
      <c r="QUB134" s="72"/>
      <c r="QUC134" s="72"/>
      <c r="QUD134" s="72"/>
      <c r="QUE134" s="72"/>
      <c r="QUF134" s="72"/>
      <c r="QUG134" s="72"/>
      <c r="QUH134" s="72"/>
      <c r="QUI134" s="72"/>
      <c r="QUJ134" s="72"/>
      <c r="QUK134" s="72"/>
      <c r="QUL134" s="72"/>
      <c r="QUM134" s="72"/>
      <c r="QUN134" s="72"/>
      <c r="QUO134" s="72"/>
      <c r="QUP134" s="72"/>
      <c r="QUQ134" s="72"/>
      <c r="QUR134" s="72"/>
      <c r="QUS134" s="72"/>
      <c r="QUT134" s="72"/>
      <c r="QUU134" s="72"/>
      <c r="QUV134" s="72"/>
      <c r="QUW134" s="72"/>
      <c r="QUX134" s="72"/>
      <c r="QUY134" s="72"/>
      <c r="QUZ134" s="72"/>
      <c r="QVA134" s="72"/>
      <c r="QVB134" s="72"/>
      <c r="QVC134" s="72"/>
      <c r="QVD134" s="72"/>
      <c r="QVE134" s="72"/>
      <c r="QVF134" s="72"/>
      <c r="QVG134" s="72"/>
      <c r="QVH134" s="72"/>
      <c r="QVI134" s="72"/>
      <c r="QVJ134" s="72"/>
      <c r="QVK134" s="72"/>
      <c r="QVL134" s="72"/>
      <c r="QVM134" s="72"/>
      <c r="QVN134" s="72"/>
      <c r="QVO134" s="72"/>
      <c r="QVP134" s="72"/>
      <c r="QVQ134" s="72"/>
      <c r="QVR134" s="72"/>
      <c r="QVS134" s="72"/>
      <c r="QVT134" s="72"/>
      <c r="QVU134" s="72"/>
      <c r="QVV134" s="72"/>
      <c r="QVW134" s="72"/>
      <c r="QVX134" s="72"/>
      <c r="QVY134" s="72"/>
      <c r="QVZ134" s="72"/>
      <c r="QWA134" s="72"/>
      <c r="QWB134" s="72"/>
      <c r="QWC134" s="72"/>
      <c r="QWD134" s="72"/>
      <c r="QWE134" s="72"/>
      <c r="QWF134" s="72"/>
      <c r="QWG134" s="72"/>
      <c r="QWH134" s="72"/>
      <c r="QWI134" s="72"/>
      <c r="QWJ134" s="72"/>
      <c r="QWK134" s="72"/>
      <c r="QWL134" s="72"/>
      <c r="QWM134" s="72"/>
      <c r="QWN134" s="72"/>
      <c r="QWO134" s="72"/>
      <c r="QWP134" s="72"/>
      <c r="QWQ134" s="72"/>
      <c r="QWR134" s="72"/>
      <c r="QWS134" s="72"/>
      <c r="QWT134" s="72"/>
      <c r="QWU134" s="72"/>
      <c r="QWV134" s="72"/>
      <c r="QWW134" s="72"/>
      <c r="QWX134" s="72"/>
      <c r="QWY134" s="72"/>
      <c r="QWZ134" s="72"/>
      <c r="QXA134" s="72"/>
      <c r="QXB134" s="72"/>
      <c r="QXC134" s="72"/>
      <c r="QXD134" s="72"/>
      <c r="QXE134" s="72"/>
      <c r="QXF134" s="72"/>
      <c r="QXG134" s="72"/>
      <c r="QXH134" s="72"/>
      <c r="QXI134" s="72"/>
      <c r="QXJ134" s="72"/>
      <c r="QXK134" s="72"/>
      <c r="QXL134" s="72"/>
      <c r="QXM134" s="72"/>
      <c r="QXN134" s="72"/>
      <c r="QXO134" s="72"/>
      <c r="QXP134" s="72"/>
      <c r="QXQ134" s="72"/>
      <c r="QXR134" s="72"/>
      <c r="QXS134" s="72"/>
      <c r="QXT134" s="72"/>
      <c r="QXU134" s="72"/>
      <c r="QXV134" s="72"/>
      <c r="QXW134" s="72"/>
      <c r="QXX134" s="72"/>
      <c r="QXY134" s="72"/>
      <c r="QXZ134" s="72"/>
      <c r="QYA134" s="72"/>
      <c r="QYB134" s="72"/>
      <c r="QYC134" s="72"/>
      <c r="QYD134" s="72"/>
      <c r="QYE134" s="72"/>
      <c r="QYF134" s="72"/>
      <c r="QYG134" s="72"/>
      <c r="QYH134" s="72"/>
      <c r="QYI134" s="72"/>
      <c r="QYJ134" s="72"/>
      <c r="QYK134" s="72"/>
      <c r="QYL134" s="72"/>
      <c r="QYM134" s="72"/>
      <c r="QYN134" s="72"/>
      <c r="QYO134" s="72"/>
      <c r="QYP134" s="72"/>
      <c r="QYQ134" s="72"/>
      <c r="QYR134" s="72"/>
      <c r="QYS134" s="72"/>
      <c r="QYT134" s="72"/>
      <c r="QYU134" s="72"/>
      <c r="QYV134" s="72"/>
      <c r="QYW134" s="72"/>
      <c r="QYX134" s="72"/>
      <c r="QYY134" s="72"/>
      <c r="QYZ134" s="72"/>
      <c r="QZA134" s="72"/>
      <c r="QZB134" s="72"/>
      <c r="QZC134" s="72"/>
      <c r="QZD134" s="72"/>
      <c r="QZE134" s="72"/>
      <c r="QZF134" s="72"/>
      <c r="QZG134" s="72"/>
      <c r="QZH134" s="72"/>
      <c r="QZI134" s="72"/>
      <c r="QZJ134" s="72"/>
      <c r="QZK134" s="72"/>
      <c r="QZL134" s="72"/>
      <c r="QZM134" s="72"/>
      <c r="QZN134" s="72"/>
      <c r="QZO134" s="72"/>
      <c r="QZP134" s="72"/>
      <c r="QZQ134" s="72"/>
      <c r="QZR134" s="72"/>
      <c r="QZS134" s="72"/>
      <c r="QZT134" s="72"/>
      <c r="QZU134" s="72"/>
      <c r="QZV134" s="72"/>
      <c r="QZW134" s="72"/>
      <c r="QZX134" s="72"/>
      <c r="QZY134" s="72"/>
      <c r="QZZ134" s="72"/>
      <c r="RAA134" s="72"/>
      <c r="RAB134" s="72"/>
      <c r="RAC134" s="72"/>
      <c r="RAD134" s="72"/>
      <c r="RAE134" s="72"/>
      <c r="RAF134" s="72"/>
      <c r="RAG134" s="72"/>
      <c r="RAH134" s="72"/>
      <c r="RAI134" s="72"/>
      <c r="RAJ134" s="72"/>
      <c r="RAK134" s="72"/>
      <c r="RAL134" s="72"/>
      <c r="RAM134" s="72"/>
      <c r="RAN134" s="72"/>
      <c r="RAO134" s="72"/>
      <c r="RAP134" s="72"/>
      <c r="RAQ134" s="72"/>
      <c r="RAR134" s="72"/>
      <c r="RAS134" s="72"/>
      <c r="RAT134" s="72"/>
      <c r="RAU134" s="72"/>
      <c r="RAV134" s="72"/>
      <c r="RAW134" s="72"/>
      <c r="RAX134" s="72"/>
      <c r="RAY134" s="72"/>
      <c r="RAZ134" s="72"/>
      <c r="RBA134" s="72"/>
      <c r="RBB134" s="72"/>
      <c r="RBC134" s="72"/>
      <c r="RBD134" s="72"/>
      <c r="RBE134" s="72"/>
      <c r="RBF134" s="72"/>
      <c r="RBG134" s="72"/>
      <c r="RBH134" s="72"/>
      <c r="RBI134" s="72"/>
      <c r="RBJ134" s="72"/>
      <c r="RBK134" s="72"/>
      <c r="RBL134" s="72"/>
      <c r="RBM134" s="72"/>
      <c r="RBN134" s="72"/>
      <c r="RBO134" s="72"/>
      <c r="RBP134" s="72"/>
      <c r="RBQ134" s="72"/>
      <c r="RBR134" s="72"/>
      <c r="RBS134" s="72"/>
      <c r="RBT134" s="72"/>
      <c r="RBU134" s="72"/>
      <c r="RBV134" s="72"/>
      <c r="RBW134" s="72"/>
      <c r="RBX134" s="72"/>
      <c r="RBY134" s="72"/>
      <c r="RBZ134" s="72"/>
      <c r="RCA134" s="72"/>
      <c r="RCB134" s="72"/>
      <c r="RCC134" s="72"/>
      <c r="RCD134" s="72"/>
      <c r="RCE134" s="72"/>
      <c r="RCF134" s="72"/>
      <c r="RCG134" s="72"/>
      <c r="RCH134" s="72"/>
      <c r="RCI134" s="72"/>
      <c r="RCJ134" s="72"/>
      <c r="RCK134" s="72"/>
      <c r="RCL134" s="72"/>
      <c r="RCM134" s="72"/>
      <c r="RCN134" s="72"/>
      <c r="RCO134" s="72"/>
      <c r="RCP134" s="72"/>
      <c r="RCQ134" s="72"/>
      <c r="RCR134" s="72"/>
      <c r="RCS134" s="72"/>
      <c r="RCT134" s="72"/>
      <c r="RCU134" s="72"/>
      <c r="RCV134" s="72"/>
      <c r="RCW134" s="72"/>
      <c r="RCX134" s="72"/>
      <c r="RCY134" s="72"/>
      <c r="RCZ134" s="72"/>
      <c r="RDA134" s="72"/>
      <c r="RDB134" s="72"/>
      <c r="RDC134" s="72"/>
      <c r="RDD134" s="72"/>
      <c r="RDE134" s="72"/>
      <c r="RDF134" s="72"/>
      <c r="RDG134" s="72"/>
      <c r="RDH134" s="72"/>
      <c r="RDI134" s="72"/>
      <c r="RDJ134" s="72"/>
      <c r="RDK134" s="72"/>
      <c r="RDL134" s="72"/>
      <c r="RDM134" s="72"/>
      <c r="RDN134" s="72"/>
      <c r="RDO134" s="72"/>
      <c r="RDP134" s="72"/>
      <c r="RDQ134" s="72"/>
      <c r="RDR134" s="72"/>
      <c r="RDS134" s="72"/>
      <c r="RDT134" s="72"/>
      <c r="RDU134" s="72"/>
      <c r="RDV134" s="72"/>
      <c r="RDW134" s="72"/>
      <c r="RDX134" s="72"/>
      <c r="RDY134" s="72"/>
      <c r="RDZ134" s="72"/>
      <c r="REA134" s="72"/>
      <c r="REB134" s="72"/>
      <c r="REC134" s="72"/>
      <c r="RED134" s="72"/>
      <c r="REE134" s="72"/>
      <c r="REF134" s="72"/>
      <c r="REG134" s="72"/>
      <c r="REH134" s="72"/>
      <c r="REI134" s="72"/>
      <c r="REJ134" s="72"/>
      <c r="REK134" s="72"/>
      <c r="REL134" s="72"/>
      <c r="REM134" s="72"/>
      <c r="REN134" s="72"/>
      <c r="REO134" s="72"/>
      <c r="REP134" s="72"/>
      <c r="REQ134" s="72"/>
      <c r="RER134" s="72"/>
      <c r="RES134" s="72"/>
      <c r="RET134" s="72"/>
      <c r="REU134" s="72"/>
      <c r="REV134" s="72"/>
      <c r="REW134" s="72"/>
      <c r="REX134" s="72"/>
      <c r="REY134" s="72"/>
      <c r="REZ134" s="72"/>
      <c r="RFA134" s="72"/>
      <c r="RFB134" s="72"/>
      <c r="RFC134" s="72"/>
      <c r="RFD134" s="72"/>
      <c r="RFE134" s="72"/>
      <c r="RFF134" s="72"/>
      <c r="RFG134" s="72"/>
      <c r="RFH134" s="72"/>
      <c r="RFI134" s="72"/>
      <c r="RFJ134" s="72"/>
      <c r="RFK134" s="72"/>
      <c r="RFL134" s="72"/>
      <c r="RFM134" s="72"/>
      <c r="RFN134" s="72"/>
      <c r="RFO134" s="72"/>
      <c r="RFP134" s="72"/>
      <c r="RFQ134" s="72"/>
      <c r="RFR134" s="72"/>
      <c r="RFS134" s="72"/>
      <c r="RFT134" s="72"/>
      <c r="RFU134" s="72"/>
      <c r="RFV134" s="72"/>
      <c r="RFW134" s="72"/>
      <c r="RFX134" s="72"/>
      <c r="RFY134" s="72"/>
      <c r="RFZ134" s="72"/>
      <c r="RGA134" s="72"/>
      <c r="RGB134" s="72"/>
      <c r="RGC134" s="72"/>
      <c r="RGD134" s="72"/>
      <c r="RGE134" s="72"/>
      <c r="RGF134" s="72"/>
      <c r="RGG134" s="72"/>
      <c r="RGH134" s="72"/>
      <c r="RGI134" s="72"/>
      <c r="RGJ134" s="72"/>
      <c r="RGK134" s="72"/>
      <c r="RGL134" s="72"/>
      <c r="RGM134" s="72"/>
      <c r="RGN134" s="72"/>
      <c r="RGO134" s="72"/>
      <c r="RGP134" s="72"/>
      <c r="RGQ134" s="72"/>
      <c r="RGR134" s="72"/>
      <c r="RGS134" s="72"/>
      <c r="RGT134" s="72"/>
      <c r="RGU134" s="72"/>
      <c r="RGV134" s="72"/>
      <c r="RGW134" s="72"/>
      <c r="RGX134" s="72"/>
      <c r="RGY134" s="72"/>
      <c r="RGZ134" s="72"/>
      <c r="RHA134" s="72"/>
      <c r="RHB134" s="72"/>
      <c r="RHC134" s="72"/>
      <c r="RHD134" s="72"/>
      <c r="RHE134" s="72"/>
      <c r="RHF134" s="72"/>
      <c r="RHG134" s="72"/>
      <c r="RHH134" s="72"/>
      <c r="RHI134" s="72"/>
      <c r="RHJ134" s="72"/>
      <c r="RHK134" s="72"/>
      <c r="RHL134" s="72"/>
      <c r="RHM134" s="72"/>
      <c r="RHN134" s="72"/>
      <c r="RHO134" s="72"/>
      <c r="RHP134" s="72"/>
      <c r="RHQ134" s="72"/>
      <c r="RHR134" s="72"/>
      <c r="RHS134" s="72"/>
      <c r="RHT134" s="72"/>
      <c r="RHU134" s="72"/>
      <c r="RHV134" s="72"/>
      <c r="RHW134" s="72"/>
      <c r="RHX134" s="72"/>
      <c r="RHY134" s="72"/>
      <c r="RHZ134" s="72"/>
      <c r="RIA134" s="72"/>
      <c r="RIB134" s="72"/>
      <c r="RIC134" s="72"/>
      <c r="RID134" s="72"/>
      <c r="RIE134" s="72"/>
      <c r="RIF134" s="72"/>
      <c r="RIG134" s="72"/>
      <c r="RIH134" s="72"/>
      <c r="RII134" s="72"/>
      <c r="RIJ134" s="72"/>
      <c r="RIK134" s="72"/>
      <c r="RIL134" s="72"/>
      <c r="RIM134" s="72"/>
      <c r="RIN134" s="72"/>
      <c r="RIO134" s="72"/>
      <c r="RIP134" s="72"/>
      <c r="RIQ134" s="72"/>
      <c r="RIR134" s="72"/>
      <c r="RIS134" s="72"/>
      <c r="RIT134" s="72"/>
      <c r="RIU134" s="72"/>
      <c r="RIV134" s="72"/>
      <c r="RIW134" s="72"/>
      <c r="RIX134" s="72"/>
      <c r="RIY134" s="72"/>
      <c r="RIZ134" s="72"/>
      <c r="RJA134" s="72"/>
      <c r="RJB134" s="72"/>
      <c r="RJC134" s="72"/>
      <c r="RJD134" s="72"/>
      <c r="RJE134" s="72"/>
      <c r="RJF134" s="72"/>
      <c r="RJG134" s="72"/>
      <c r="RJH134" s="72"/>
      <c r="RJI134" s="72"/>
      <c r="RJJ134" s="72"/>
      <c r="RJK134" s="72"/>
      <c r="RJL134" s="72"/>
      <c r="RJM134" s="72"/>
      <c r="RJN134" s="72"/>
      <c r="RJO134" s="72"/>
      <c r="RJP134" s="72"/>
      <c r="RJQ134" s="72"/>
      <c r="RJR134" s="72"/>
      <c r="RJS134" s="72"/>
      <c r="RJT134" s="72"/>
      <c r="RJU134" s="72"/>
      <c r="RJV134" s="72"/>
      <c r="RJW134" s="72"/>
      <c r="RJX134" s="72"/>
      <c r="RJY134" s="72"/>
      <c r="RJZ134" s="72"/>
      <c r="RKA134" s="72"/>
      <c r="RKB134" s="72"/>
      <c r="RKC134" s="72"/>
      <c r="RKD134" s="72"/>
      <c r="RKE134" s="72"/>
      <c r="RKF134" s="72"/>
      <c r="RKG134" s="72"/>
      <c r="RKH134" s="72"/>
      <c r="RKI134" s="72"/>
      <c r="RKJ134" s="72"/>
      <c r="RKK134" s="72"/>
      <c r="RKL134" s="72"/>
      <c r="RKM134" s="72"/>
      <c r="RKN134" s="72"/>
      <c r="RKO134" s="72"/>
      <c r="RKP134" s="72"/>
      <c r="RKQ134" s="72"/>
      <c r="RKR134" s="72"/>
      <c r="RKS134" s="72"/>
      <c r="RKT134" s="72"/>
      <c r="RKU134" s="72"/>
      <c r="RKV134" s="72"/>
      <c r="RKW134" s="72"/>
      <c r="RKX134" s="72"/>
      <c r="RKY134" s="72"/>
      <c r="RKZ134" s="72"/>
      <c r="RLA134" s="72"/>
      <c r="RLB134" s="72"/>
      <c r="RLC134" s="72"/>
      <c r="RLD134" s="72"/>
      <c r="RLE134" s="72"/>
      <c r="RLF134" s="72"/>
      <c r="RLG134" s="72"/>
      <c r="RLH134" s="72"/>
      <c r="RLI134" s="72"/>
      <c r="RLJ134" s="72"/>
      <c r="RLK134" s="72"/>
      <c r="RLL134" s="72"/>
      <c r="RLM134" s="72"/>
      <c r="RLN134" s="72"/>
      <c r="RLO134" s="72"/>
      <c r="RLP134" s="72"/>
      <c r="RLQ134" s="72"/>
      <c r="RLR134" s="72"/>
      <c r="RLS134" s="72"/>
      <c r="RLT134" s="72"/>
      <c r="RLU134" s="72"/>
      <c r="RLV134" s="72"/>
      <c r="RLW134" s="72"/>
      <c r="RLX134" s="72"/>
      <c r="RLY134" s="72"/>
      <c r="RLZ134" s="72"/>
      <c r="RMA134" s="72"/>
      <c r="RMB134" s="72"/>
      <c r="RMC134" s="72"/>
      <c r="RMD134" s="72"/>
      <c r="RME134" s="72"/>
      <c r="RMF134" s="72"/>
      <c r="RMG134" s="72"/>
      <c r="RMH134" s="72"/>
      <c r="RMI134" s="72"/>
      <c r="RMJ134" s="72"/>
      <c r="RMK134" s="72"/>
      <c r="RML134" s="72"/>
      <c r="RMM134" s="72"/>
      <c r="RMN134" s="72"/>
      <c r="RMO134" s="72"/>
      <c r="RMP134" s="72"/>
      <c r="RMQ134" s="72"/>
      <c r="RMR134" s="72"/>
      <c r="RMS134" s="72"/>
      <c r="RMT134" s="72"/>
      <c r="RMU134" s="72"/>
      <c r="RMV134" s="72"/>
      <c r="RMW134" s="72"/>
      <c r="RMX134" s="72"/>
      <c r="RMY134" s="72"/>
      <c r="RMZ134" s="72"/>
      <c r="RNA134" s="72"/>
      <c r="RNB134" s="72"/>
      <c r="RNC134" s="72"/>
      <c r="RND134" s="72"/>
      <c r="RNE134" s="72"/>
      <c r="RNF134" s="72"/>
      <c r="RNG134" s="72"/>
      <c r="RNH134" s="72"/>
      <c r="RNI134" s="72"/>
      <c r="RNJ134" s="72"/>
      <c r="RNK134" s="72"/>
      <c r="RNL134" s="72"/>
      <c r="RNM134" s="72"/>
      <c r="RNN134" s="72"/>
      <c r="RNO134" s="72"/>
      <c r="RNP134" s="72"/>
      <c r="RNQ134" s="72"/>
      <c r="RNR134" s="72"/>
      <c r="RNS134" s="72"/>
      <c r="RNT134" s="72"/>
      <c r="RNU134" s="72"/>
      <c r="RNV134" s="72"/>
      <c r="RNW134" s="72"/>
      <c r="RNX134" s="72"/>
      <c r="RNY134" s="72"/>
      <c r="RNZ134" s="72"/>
      <c r="ROA134" s="72"/>
      <c r="ROB134" s="72"/>
      <c r="ROC134" s="72"/>
      <c r="ROD134" s="72"/>
      <c r="ROE134" s="72"/>
      <c r="ROF134" s="72"/>
      <c r="ROG134" s="72"/>
      <c r="ROH134" s="72"/>
      <c r="ROI134" s="72"/>
      <c r="ROJ134" s="72"/>
      <c r="ROK134" s="72"/>
      <c r="ROL134" s="72"/>
      <c r="ROM134" s="72"/>
      <c r="RON134" s="72"/>
      <c r="ROO134" s="72"/>
      <c r="ROP134" s="72"/>
      <c r="ROQ134" s="72"/>
      <c r="ROR134" s="72"/>
      <c r="ROS134" s="72"/>
      <c r="ROT134" s="72"/>
      <c r="ROU134" s="72"/>
      <c r="ROV134" s="72"/>
      <c r="ROW134" s="72"/>
      <c r="ROX134" s="72"/>
      <c r="ROY134" s="72"/>
      <c r="ROZ134" s="72"/>
      <c r="RPA134" s="72"/>
      <c r="RPB134" s="72"/>
      <c r="RPC134" s="72"/>
      <c r="RPD134" s="72"/>
      <c r="RPE134" s="72"/>
      <c r="RPF134" s="72"/>
      <c r="RPG134" s="72"/>
      <c r="RPH134" s="72"/>
      <c r="RPI134" s="72"/>
      <c r="RPJ134" s="72"/>
      <c r="RPK134" s="72"/>
      <c r="RPL134" s="72"/>
      <c r="RPM134" s="72"/>
      <c r="RPN134" s="72"/>
      <c r="RPO134" s="72"/>
      <c r="RPP134" s="72"/>
      <c r="RPQ134" s="72"/>
      <c r="RPR134" s="72"/>
      <c r="RPS134" s="72"/>
      <c r="RPT134" s="72"/>
      <c r="RPU134" s="72"/>
      <c r="RPV134" s="72"/>
      <c r="RPW134" s="72"/>
      <c r="RPX134" s="72"/>
      <c r="RPY134" s="72"/>
      <c r="RPZ134" s="72"/>
      <c r="RQA134" s="72"/>
      <c r="RQB134" s="72"/>
      <c r="RQC134" s="72"/>
      <c r="RQD134" s="72"/>
      <c r="RQE134" s="72"/>
      <c r="RQF134" s="72"/>
      <c r="RQG134" s="72"/>
      <c r="RQH134" s="72"/>
      <c r="RQI134" s="72"/>
      <c r="RQJ134" s="72"/>
      <c r="RQK134" s="72"/>
      <c r="RQL134" s="72"/>
      <c r="RQM134" s="72"/>
      <c r="RQN134" s="72"/>
      <c r="RQO134" s="72"/>
      <c r="RQP134" s="72"/>
      <c r="RQQ134" s="72"/>
      <c r="RQR134" s="72"/>
      <c r="RQS134" s="72"/>
      <c r="RQT134" s="72"/>
      <c r="RQU134" s="72"/>
      <c r="RQV134" s="72"/>
      <c r="RQW134" s="72"/>
      <c r="RQX134" s="72"/>
      <c r="RQY134" s="72"/>
      <c r="RQZ134" s="72"/>
      <c r="RRA134" s="72"/>
      <c r="RRB134" s="72"/>
      <c r="RRC134" s="72"/>
      <c r="RRD134" s="72"/>
      <c r="RRE134" s="72"/>
      <c r="RRF134" s="72"/>
      <c r="RRG134" s="72"/>
      <c r="RRH134" s="72"/>
      <c r="RRI134" s="72"/>
      <c r="RRJ134" s="72"/>
      <c r="RRK134" s="72"/>
      <c r="RRL134" s="72"/>
      <c r="RRM134" s="72"/>
      <c r="RRN134" s="72"/>
      <c r="RRO134" s="72"/>
      <c r="RRP134" s="72"/>
      <c r="RRQ134" s="72"/>
      <c r="RRR134" s="72"/>
      <c r="RRS134" s="72"/>
      <c r="RRT134" s="72"/>
      <c r="RRU134" s="72"/>
      <c r="RRV134" s="72"/>
      <c r="RRW134" s="72"/>
      <c r="RRX134" s="72"/>
      <c r="RRY134" s="72"/>
      <c r="RRZ134" s="72"/>
      <c r="RSA134" s="72"/>
      <c r="RSB134" s="72"/>
      <c r="RSC134" s="72"/>
      <c r="RSD134" s="72"/>
      <c r="RSE134" s="72"/>
      <c r="RSF134" s="72"/>
      <c r="RSG134" s="72"/>
      <c r="RSH134" s="72"/>
      <c r="RSI134" s="72"/>
      <c r="RSJ134" s="72"/>
      <c r="RSK134" s="72"/>
      <c r="RSL134" s="72"/>
      <c r="RSM134" s="72"/>
      <c r="RSN134" s="72"/>
      <c r="RSO134" s="72"/>
      <c r="RSP134" s="72"/>
      <c r="RSQ134" s="72"/>
      <c r="RSR134" s="72"/>
      <c r="RSS134" s="72"/>
      <c r="RST134" s="72"/>
      <c r="RSU134" s="72"/>
      <c r="RSV134" s="72"/>
      <c r="RSW134" s="72"/>
      <c r="RSX134" s="72"/>
      <c r="RSY134" s="72"/>
      <c r="RSZ134" s="72"/>
      <c r="RTA134" s="72"/>
      <c r="RTB134" s="72"/>
      <c r="RTC134" s="72"/>
      <c r="RTD134" s="72"/>
      <c r="RTE134" s="72"/>
      <c r="RTF134" s="72"/>
      <c r="RTG134" s="72"/>
      <c r="RTH134" s="72"/>
      <c r="RTI134" s="72"/>
      <c r="RTJ134" s="72"/>
      <c r="RTK134" s="72"/>
      <c r="RTL134" s="72"/>
      <c r="RTM134" s="72"/>
      <c r="RTN134" s="72"/>
      <c r="RTO134" s="72"/>
      <c r="RTP134" s="72"/>
      <c r="RTQ134" s="72"/>
      <c r="RTR134" s="72"/>
      <c r="RTS134" s="72"/>
      <c r="RTT134" s="72"/>
      <c r="RTU134" s="72"/>
      <c r="RTV134" s="72"/>
      <c r="RTW134" s="72"/>
      <c r="RTX134" s="72"/>
      <c r="RTY134" s="72"/>
      <c r="RTZ134" s="72"/>
      <c r="RUA134" s="72"/>
      <c r="RUB134" s="72"/>
      <c r="RUC134" s="72"/>
      <c r="RUD134" s="72"/>
      <c r="RUE134" s="72"/>
      <c r="RUF134" s="72"/>
      <c r="RUG134" s="72"/>
      <c r="RUH134" s="72"/>
      <c r="RUI134" s="72"/>
      <c r="RUJ134" s="72"/>
      <c r="RUK134" s="72"/>
      <c r="RUL134" s="72"/>
      <c r="RUM134" s="72"/>
      <c r="RUN134" s="72"/>
      <c r="RUO134" s="72"/>
      <c r="RUP134" s="72"/>
      <c r="RUQ134" s="72"/>
      <c r="RUR134" s="72"/>
      <c r="RUS134" s="72"/>
      <c r="RUT134" s="72"/>
      <c r="RUU134" s="72"/>
      <c r="RUV134" s="72"/>
      <c r="RUW134" s="72"/>
      <c r="RUX134" s="72"/>
      <c r="RUY134" s="72"/>
      <c r="RUZ134" s="72"/>
      <c r="RVA134" s="72"/>
      <c r="RVB134" s="72"/>
      <c r="RVC134" s="72"/>
      <c r="RVD134" s="72"/>
      <c r="RVE134" s="72"/>
      <c r="RVF134" s="72"/>
      <c r="RVG134" s="72"/>
      <c r="RVH134" s="72"/>
      <c r="RVI134" s="72"/>
      <c r="RVJ134" s="72"/>
      <c r="RVK134" s="72"/>
      <c r="RVL134" s="72"/>
      <c r="RVM134" s="72"/>
      <c r="RVN134" s="72"/>
      <c r="RVO134" s="72"/>
      <c r="RVP134" s="72"/>
      <c r="RVQ134" s="72"/>
      <c r="RVR134" s="72"/>
      <c r="RVS134" s="72"/>
      <c r="RVT134" s="72"/>
      <c r="RVU134" s="72"/>
      <c r="RVV134" s="72"/>
      <c r="RVW134" s="72"/>
      <c r="RVX134" s="72"/>
      <c r="RVY134" s="72"/>
      <c r="RVZ134" s="72"/>
      <c r="RWA134" s="72"/>
      <c r="RWB134" s="72"/>
      <c r="RWC134" s="72"/>
      <c r="RWD134" s="72"/>
      <c r="RWE134" s="72"/>
      <c r="RWF134" s="72"/>
      <c r="RWG134" s="72"/>
      <c r="RWH134" s="72"/>
      <c r="RWI134" s="72"/>
      <c r="RWJ134" s="72"/>
      <c r="RWK134" s="72"/>
      <c r="RWL134" s="72"/>
      <c r="RWM134" s="72"/>
      <c r="RWN134" s="72"/>
      <c r="RWO134" s="72"/>
      <c r="RWP134" s="72"/>
      <c r="RWQ134" s="72"/>
      <c r="RWR134" s="72"/>
      <c r="RWS134" s="72"/>
      <c r="RWT134" s="72"/>
      <c r="RWU134" s="72"/>
      <c r="RWV134" s="72"/>
      <c r="RWW134" s="72"/>
      <c r="RWX134" s="72"/>
      <c r="RWY134" s="72"/>
      <c r="RWZ134" s="72"/>
      <c r="RXA134" s="72"/>
      <c r="RXB134" s="72"/>
      <c r="RXC134" s="72"/>
      <c r="RXD134" s="72"/>
      <c r="RXE134" s="72"/>
      <c r="RXF134" s="72"/>
      <c r="RXG134" s="72"/>
      <c r="RXH134" s="72"/>
      <c r="RXI134" s="72"/>
      <c r="RXJ134" s="72"/>
      <c r="RXK134" s="72"/>
      <c r="RXL134" s="72"/>
      <c r="RXM134" s="72"/>
      <c r="RXN134" s="72"/>
      <c r="RXO134" s="72"/>
      <c r="RXP134" s="72"/>
      <c r="RXQ134" s="72"/>
      <c r="RXR134" s="72"/>
      <c r="RXS134" s="72"/>
      <c r="RXT134" s="72"/>
      <c r="RXU134" s="72"/>
      <c r="RXV134" s="72"/>
      <c r="RXW134" s="72"/>
      <c r="RXX134" s="72"/>
      <c r="RXY134" s="72"/>
      <c r="RXZ134" s="72"/>
      <c r="RYA134" s="72"/>
      <c r="RYB134" s="72"/>
      <c r="RYC134" s="72"/>
      <c r="RYD134" s="72"/>
      <c r="RYE134" s="72"/>
      <c r="RYF134" s="72"/>
      <c r="RYG134" s="72"/>
      <c r="RYH134" s="72"/>
      <c r="RYI134" s="72"/>
      <c r="RYJ134" s="72"/>
      <c r="RYK134" s="72"/>
      <c r="RYL134" s="72"/>
      <c r="RYM134" s="72"/>
      <c r="RYN134" s="72"/>
      <c r="RYO134" s="72"/>
      <c r="RYP134" s="72"/>
      <c r="RYQ134" s="72"/>
      <c r="RYR134" s="72"/>
      <c r="RYS134" s="72"/>
      <c r="RYT134" s="72"/>
      <c r="RYU134" s="72"/>
      <c r="RYV134" s="72"/>
      <c r="RYW134" s="72"/>
      <c r="RYX134" s="72"/>
      <c r="RYY134" s="72"/>
      <c r="RYZ134" s="72"/>
      <c r="RZA134" s="72"/>
      <c r="RZB134" s="72"/>
      <c r="RZC134" s="72"/>
      <c r="RZD134" s="72"/>
      <c r="RZE134" s="72"/>
      <c r="RZF134" s="72"/>
      <c r="RZG134" s="72"/>
      <c r="RZH134" s="72"/>
      <c r="RZI134" s="72"/>
      <c r="RZJ134" s="72"/>
      <c r="RZK134" s="72"/>
      <c r="RZL134" s="72"/>
      <c r="RZM134" s="72"/>
      <c r="RZN134" s="72"/>
      <c r="RZO134" s="72"/>
      <c r="RZP134" s="72"/>
      <c r="RZQ134" s="72"/>
      <c r="RZR134" s="72"/>
      <c r="RZS134" s="72"/>
      <c r="RZT134" s="72"/>
      <c r="RZU134" s="72"/>
      <c r="RZV134" s="72"/>
      <c r="RZW134" s="72"/>
      <c r="RZX134" s="72"/>
      <c r="RZY134" s="72"/>
      <c r="RZZ134" s="72"/>
      <c r="SAA134" s="72"/>
      <c r="SAB134" s="72"/>
      <c r="SAC134" s="72"/>
      <c r="SAD134" s="72"/>
      <c r="SAE134" s="72"/>
      <c r="SAF134" s="72"/>
      <c r="SAG134" s="72"/>
      <c r="SAH134" s="72"/>
      <c r="SAI134" s="72"/>
      <c r="SAJ134" s="72"/>
      <c r="SAK134" s="72"/>
      <c r="SAL134" s="72"/>
      <c r="SAM134" s="72"/>
      <c r="SAN134" s="72"/>
      <c r="SAO134" s="72"/>
      <c r="SAP134" s="72"/>
      <c r="SAQ134" s="72"/>
      <c r="SAR134" s="72"/>
      <c r="SAS134" s="72"/>
      <c r="SAT134" s="72"/>
      <c r="SAU134" s="72"/>
      <c r="SAV134" s="72"/>
      <c r="SAW134" s="72"/>
      <c r="SAX134" s="72"/>
      <c r="SAY134" s="72"/>
      <c r="SAZ134" s="72"/>
      <c r="SBA134" s="72"/>
      <c r="SBB134" s="72"/>
      <c r="SBC134" s="72"/>
      <c r="SBD134" s="72"/>
      <c r="SBE134" s="72"/>
      <c r="SBF134" s="72"/>
      <c r="SBG134" s="72"/>
      <c r="SBH134" s="72"/>
      <c r="SBI134" s="72"/>
      <c r="SBJ134" s="72"/>
      <c r="SBK134" s="72"/>
      <c r="SBL134" s="72"/>
      <c r="SBM134" s="72"/>
      <c r="SBN134" s="72"/>
      <c r="SBO134" s="72"/>
      <c r="SBP134" s="72"/>
      <c r="SBQ134" s="72"/>
      <c r="SBR134" s="72"/>
      <c r="SBS134" s="72"/>
      <c r="SBT134" s="72"/>
      <c r="SBU134" s="72"/>
      <c r="SBV134" s="72"/>
      <c r="SBW134" s="72"/>
      <c r="SBX134" s="72"/>
      <c r="SBY134" s="72"/>
      <c r="SBZ134" s="72"/>
      <c r="SCA134" s="72"/>
      <c r="SCB134" s="72"/>
      <c r="SCC134" s="72"/>
      <c r="SCD134" s="72"/>
      <c r="SCE134" s="72"/>
      <c r="SCF134" s="72"/>
      <c r="SCG134" s="72"/>
      <c r="SCH134" s="72"/>
      <c r="SCI134" s="72"/>
      <c r="SCJ134" s="72"/>
      <c r="SCK134" s="72"/>
      <c r="SCL134" s="72"/>
      <c r="SCM134" s="72"/>
      <c r="SCN134" s="72"/>
      <c r="SCO134" s="72"/>
      <c r="SCP134" s="72"/>
      <c r="SCQ134" s="72"/>
      <c r="SCR134" s="72"/>
      <c r="SCS134" s="72"/>
      <c r="SCT134" s="72"/>
      <c r="SCU134" s="72"/>
      <c r="SCV134" s="72"/>
      <c r="SCW134" s="72"/>
      <c r="SCX134" s="72"/>
      <c r="SCY134" s="72"/>
      <c r="SCZ134" s="72"/>
      <c r="SDA134" s="72"/>
      <c r="SDB134" s="72"/>
      <c r="SDC134" s="72"/>
      <c r="SDD134" s="72"/>
      <c r="SDE134" s="72"/>
      <c r="SDF134" s="72"/>
      <c r="SDG134" s="72"/>
      <c r="SDH134" s="72"/>
      <c r="SDI134" s="72"/>
      <c r="SDJ134" s="72"/>
      <c r="SDK134" s="72"/>
      <c r="SDL134" s="72"/>
      <c r="SDM134" s="72"/>
      <c r="SDN134" s="72"/>
      <c r="SDO134" s="72"/>
      <c r="SDP134" s="72"/>
      <c r="SDQ134" s="72"/>
      <c r="SDR134" s="72"/>
      <c r="SDS134" s="72"/>
      <c r="SDT134" s="72"/>
      <c r="SDU134" s="72"/>
      <c r="SDV134" s="72"/>
      <c r="SDW134" s="72"/>
      <c r="SDX134" s="72"/>
      <c r="SDY134" s="72"/>
      <c r="SDZ134" s="72"/>
      <c r="SEA134" s="72"/>
      <c r="SEB134" s="72"/>
      <c r="SEC134" s="72"/>
      <c r="SED134" s="72"/>
      <c r="SEE134" s="72"/>
      <c r="SEF134" s="72"/>
      <c r="SEG134" s="72"/>
      <c r="SEH134" s="72"/>
      <c r="SEI134" s="72"/>
      <c r="SEJ134" s="72"/>
      <c r="SEK134" s="72"/>
      <c r="SEL134" s="72"/>
      <c r="SEM134" s="72"/>
      <c r="SEN134" s="72"/>
      <c r="SEO134" s="72"/>
      <c r="SEP134" s="72"/>
      <c r="SEQ134" s="72"/>
      <c r="SER134" s="72"/>
      <c r="SES134" s="72"/>
      <c r="SET134" s="72"/>
      <c r="SEU134" s="72"/>
      <c r="SEV134" s="72"/>
      <c r="SEW134" s="72"/>
      <c r="SEX134" s="72"/>
      <c r="SEY134" s="72"/>
      <c r="SEZ134" s="72"/>
      <c r="SFA134" s="72"/>
      <c r="SFB134" s="72"/>
      <c r="SFC134" s="72"/>
      <c r="SFD134" s="72"/>
      <c r="SFE134" s="72"/>
      <c r="SFF134" s="72"/>
      <c r="SFG134" s="72"/>
      <c r="SFH134" s="72"/>
      <c r="SFI134" s="72"/>
      <c r="SFJ134" s="72"/>
      <c r="SFK134" s="72"/>
      <c r="SFL134" s="72"/>
      <c r="SFM134" s="72"/>
      <c r="SFN134" s="72"/>
      <c r="SFO134" s="72"/>
      <c r="SFP134" s="72"/>
      <c r="SFQ134" s="72"/>
      <c r="SFR134" s="72"/>
      <c r="SFS134" s="72"/>
      <c r="SFT134" s="72"/>
      <c r="SFU134" s="72"/>
      <c r="SFV134" s="72"/>
      <c r="SFW134" s="72"/>
      <c r="SFX134" s="72"/>
      <c r="SFY134" s="72"/>
      <c r="SFZ134" s="72"/>
      <c r="SGA134" s="72"/>
      <c r="SGB134" s="72"/>
      <c r="SGC134" s="72"/>
      <c r="SGD134" s="72"/>
      <c r="SGE134" s="72"/>
      <c r="SGF134" s="72"/>
      <c r="SGG134" s="72"/>
      <c r="SGH134" s="72"/>
      <c r="SGI134" s="72"/>
      <c r="SGJ134" s="72"/>
      <c r="SGK134" s="72"/>
      <c r="SGL134" s="72"/>
      <c r="SGM134" s="72"/>
      <c r="SGN134" s="72"/>
      <c r="SGO134" s="72"/>
      <c r="SGP134" s="72"/>
      <c r="SGQ134" s="72"/>
      <c r="SGR134" s="72"/>
      <c r="SGS134" s="72"/>
      <c r="SGT134" s="72"/>
      <c r="SGU134" s="72"/>
      <c r="SGV134" s="72"/>
      <c r="SGW134" s="72"/>
      <c r="SGX134" s="72"/>
      <c r="SGY134" s="72"/>
      <c r="SGZ134" s="72"/>
      <c r="SHA134" s="72"/>
      <c r="SHB134" s="72"/>
      <c r="SHC134" s="72"/>
      <c r="SHD134" s="72"/>
      <c r="SHE134" s="72"/>
      <c r="SHF134" s="72"/>
      <c r="SHG134" s="72"/>
      <c r="SHH134" s="72"/>
      <c r="SHI134" s="72"/>
      <c r="SHJ134" s="72"/>
      <c r="SHK134" s="72"/>
      <c r="SHL134" s="72"/>
      <c r="SHM134" s="72"/>
      <c r="SHN134" s="72"/>
      <c r="SHO134" s="72"/>
      <c r="SHP134" s="72"/>
      <c r="SHQ134" s="72"/>
      <c r="SHR134" s="72"/>
      <c r="SHS134" s="72"/>
      <c r="SHT134" s="72"/>
      <c r="SHU134" s="72"/>
      <c r="SHV134" s="72"/>
      <c r="SHW134" s="72"/>
      <c r="SHX134" s="72"/>
      <c r="SHY134" s="72"/>
      <c r="SHZ134" s="72"/>
      <c r="SIA134" s="72"/>
      <c r="SIB134" s="72"/>
      <c r="SIC134" s="72"/>
      <c r="SID134" s="72"/>
      <c r="SIE134" s="72"/>
      <c r="SIF134" s="72"/>
      <c r="SIG134" s="72"/>
      <c r="SIH134" s="72"/>
      <c r="SII134" s="72"/>
      <c r="SIJ134" s="72"/>
      <c r="SIK134" s="72"/>
      <c r="SIL134" s="72"/>
      <c r="SIM134" s="72"/>
      <c r="SIN134" s="72"/>
      <c r="SIO134" s="72"/>
      <c r="SIP134" s="72"/>
      <c r="SIQ134" s="72"/>
      <c r="SIR134" s="72"/>
      <c r="SIS134" s="72"/>
      <c r="SIT134" s="72"/>
      <c r="SIU134" s="72"/>
      <c r="SIV134" s="72"/>
      <c r="SIW134" s="72"/>
      <c r="SIX134" s="72"/>
      <c r="SIY134" s="72"/>
      <c r="SIZ134" s="72"/>
      <c r="SJA134" s="72"/>
      <c r="SJB134" s="72"/>
      <c r="SJC134" s="72"/>
      <c r="SJD134" s="72"/>
      <c r="SJE134" s="72"/>
      <c r="SJF134" s="72"/>
      <c r="SJG134" s="72"/>
      <c r="SJH134" s="72"/>
      <c r="SJI134" s="72"/>
      <c r="SJJ134" s="72"/>
      <c r="SJK134" s="72"/>
      <c r="SJL134" s="72"/>
      <c r="SJM134" s="72"/>
      <c r="SJN134" s="72"/>
      <c r="SJO134" s="72"/>
      <c r="SJP134" s="72"/>
      <c r="SJQ134" s="72"/>
      <c r="SJR134" s="72"/>
      <c r="SJS134" s="72"/>
      <c r="SJT134" s="72"/>
      <c r="SJU134" s="72"/>
      <c r="SJV134" s="72"/>
      <c r="SJW134" s="72"/>
      <c r="SJX134" s="72"/>
      <c r="SJY134" s="72"/>
      <c r="SJZ134" s="72"/>
      <c r="SKA134" s="72"/>
      <c r="SKB134" s="72"/>
      <c r="SKC134" s="72"/>
      <c r="SKD134" s="72"/>
      <c r="SKE134" s="72"/>
      <c r="SKF134" s="72"/>
      <c r="SKG134" s="72"/>
      <c r="SKH134" s="72"/>
      <c r="SKI134" s="72"/>
      <c r="SKJ134" s="72"/>
      <c r="SKK134" s="72"/>
      <c r="SKL134" s="72"/>
      <c r="SKM134" s="72"/>
      <c r="SKN134" s="72"/>
      <c r="SKO134" s="72"/>
      <c r="SKP134" s="72"/>
      <c r="SKQ134" s="72"/>
      <c r="SKR134" s="72"/>
      <c r="SKS134" s="72"/>
      <c r="SKT134" s="72"/>
      <c r="SKU134" s="72"/>
      <c r="SKV134" s="72"/>
      <c r="SKW134" s="72"/>
      <c r="SKX134" s="72"/>
      <c r="SKY134" s="72"/>
      <c r="SKZ134" s="72"/>
      <c r="SLA134" s="72"/>
      <c r="SLB134" s="72"/>
      <c r="SLC134" s="72"/>
      <c r="SLD134" s="72"/>
      <c r="SLE134" s="72"/>
      <c r="SLF134" s="72"/>
      <c r="SLG134" s="72"/>
      <c r="SLH134" s="72"/>
      <c r="SLI134" s="72"/>
      <c r="SLJ134" s="72"/>
      <c r="SLK134" s="72"/>
      <c r="SLL134" s="72"/>
      <c r="SLM134" s="72"/>
      <c r="SLN134" s="72"/>
      <c r="SLO134" s="72"/>
      <c r="SLP134" s="72"/>
      <c r="SLQ134" s="72"/>
      <c r="SLR134" s="72"/>
      <c r="SLS134" s="72"/>
      <c r="SLT134" s="72"/>
      <c r="SLU134" s="72"/>
      <c r="SLV134" s="72"/>
      <c r="SLW134" s="72"/>
      <c r="SLX134" s="72"/>
      <c r="SLY134" s="72"/>
      <c r="SLZ134" s="72"/>
      <c r="SMA134" s="72"/>
      <c r="SMB134" s="72"/>
      <c r="SMC134" s="72"/>
      <c r="SMD134" s="72"/>
      <c r="SME134" s="72"/>
      <c r="SMF134" s="72"/>
      <c r="SMG134" s="72"/>
      <c r="SMH134" s="72"/>
      <c r="SMI134" s="72"/>
      <c r="SMJ134" s="72"/>
      <c r="SMK134" s="72"/>
      <c r="SML134" s="72"/>
      <c r="SMM134" s="72"/>
      <c r="SMN134" s="72"/>
      <c r="SMO134" s="72"/>
      <c r="SMP134" s="72"/>
      <c r="SMQ134" s="72"/>
      <c r="SMR134" s="72"/>
      <c r="SMS134" s="72"/>
      <c r="SMT134" s="72"/>
      <c r="SMU134" s="72"/>
      <c r="SMV134" s="72"/>
      <c r="SMW134" s="72"/>
      <c r="SMX134" s="72"/>
      <c r="SMY134" s="72"/>
      <c r="SMZ134" s="72"/>
      <c r="SNA134" s="72"/>
      <c r="SNB134" s="72"/>
      <c r="SNC134" s="72"/>
      <c r="SND134" s="72"/>
      <c r="SNE134" s="72"/>
      <c r="SNF134" s="72"/>
      <c r="SNG134" s="72"/>
      <c r="SNH134" s="72"/>
      <c r="SNI134" s="72"/>
      <c r="SNJ134" s="72"/>
      <c r="SNK134" s="72"/>
      <c r="SNL134" s="72"/>
      <c r="SNM134" s="72"/>
      <c r="SNN134" s="72"/>
      <c r="SNO134" s="72"/>
      <c r="SNP134" s="72"/>
      <c r="SNQ134" s="72"/>
      <c r="SNR134" s="72"/>
      <c r="SNS134" s="72"/>
      <c r="SNT134" s="72"/>
      <c r="SNU134" s="72"/>
      <c r="SNV134" s="72"/>
      <c r="SNW134" s="72"/>
      <c r="SNX134" s="72"/>
      <c r="SNY134" s="72"/>
      <c r="SNZ134" s="72"/>
      <c r="SOA134" s="72"/>
      <c r="SOB134" s="72"/>
      <c r="SOC134" s="72"/>
      <c r="SOD134" s="72"/>
      <c r="SOE134" s="72"/>
      <c r="SOF134" s="72"/>
      <c r="SOG134" s="72"/>
      <c r="SOH134" s="72"/>
      <c r="SOI134" s="72"/>
      <c r="SOJ134" s="72"/>
      <c r="SOK134" s="72"/>
      <c r="SOL134" s="72"/>
      <c r="SOM134" s="72"/>
      <c r="SON134" s="72"/>
      <c r="SOO134" s="72"/>
      <c r="SOP134" s="72"/>
      <c r="SOQ134" s="72"/>
      <c r="SOR134" s="72"/>
      <c r="SOS134" s="72"/>
      <c r="SOT134" s="72"/>
      <c r="SOU134" s="72"/>
      <c r="SOV134" s="72"/>
      <c r="SOW134" s="72"/>
      <c r="SOX134" s="72"/>
      <c r="SOY134" s="72"/>
      <c r="SOZ134" s="72"/>
      <c r="SPA134" s="72"/>
      <c r="SPB134" s="72"/>
      <c r="SPC134" s="72"/>
      <c r="SPD134" s="72"/>
      <c r="SPE134" s="72"/>
      <c r="SPF134" s="72"/>
      <c r="SPG134" s="72"/>
      <c r="SPH134" s="72"/>
      <c r="SPI134" s="72"/>
      <c r="SPJ134" s="72"/>
      <c r="SPK134" s="72"/>
      <c r="SPL134" s="72"/>
      <c r="SPM134" s="72"/>
      <c r="SPN134" s="72"/>
      <c r="SPO134" s="72"/>
      <c r="SPP134" s="72"/>
      <c r="SPQ134" s="72"/>
      <c r="SPR134" s="72"/>
      <c r="SPS134" s="72"/>
      <c r="SPT134" s="72"/>
      <c r="SPU134" s="72"/>
      <c r="SPV134" s="72"/>
      <c r="SPW134" s="72"/>
      <c r="SPX134" s="72"/>
      <c r="SPY134" s="72"/>
      <c r="SPZ134" s="72"/>
      <c r="SQA134" s="72"/>
      <c r="SQB134" s="72"/>
      <c r="SQC134" s="72"/>
      <c r="SQD134" s="72"/>
      <c r="SQE134" s="72"/>
      <c r="SQF134" s="72"/>
      <c r="SQG134" s="72"/>
      <c r="SQH134" s="72"/>
      <c r="SQI134" s="72"/>
      <c r="SQJ134" s="72"/>
      <c r="SQK134" s="72"/>
      <c r="SQL134" s="72"/>
      <c r="SQM134" s="72"/>
      <c r="SQN134" s="72"/>
      <c r="SQO134" s="72"/>
      <c r="SQP134" s="72"/>
      <c r="SQQ134" s="72"/>
      <c r="SQR134" s="72"/>
      <c r="SQS134" s="72"/>
      <c r="SQT134" s="72"/>
      <c r="SQU134" s="72"/>
      <c r="SQV134" s="72"/>
      <c r="SQW134" s="72"/>
      <c r="SQX134" s="72"/>
      <c r="SQY134" s="72"/>
      <c r="SQZ134" s="72"/>
      <c r="SRA134" s="72"/>
      <c r="SRB134" s="72"/>
      <c r="SRC134" s="72"/>
      <c r="SRD134" s="72"/>
      <c r="SRE134" s="72"/>
      <c r="SRF134" s="72"/>
      <c r="SRG134" s="72"/>
      <c r="SRH134" s="72"/>
      <c r="SRI134" s="72"/>
      <c r="SRJ134" s="72"/>
      <c r="SRK134" s="72"/>
      <c r="SRL134" s="72"/>
      <c r="SRM134" s="72"/>
      <c r="SRN134" s="72"/>
      <c r="SRO134" s="72"/>
      <c r="SRP134" s="72"/>
      <c r="SRQ134" s="72"/>
      <c r="SRR134" s="72"/>
      <c r="SRS134" s="72"/>
      <c r="SRT134" s="72"/>
      <c r="SRU134" s="72"/>
      <c r="SRV134" s="72"/>
      <c r="SRW134" s="72"/>
      <c r="SRX134" s="72"/>
      <c r="SRY134" s="72"/>
      <c r="SRZ134" s="72"/>
      <c r="SSA134" s="72"/>
      <c r="SSB134" s="72"/>
      <c r="SSC134" s="72"/>
      <c r="SSD134" s="72"/>
      <c r="SSE134" s="72"/>
      <c r="SSF134" s="72"/>
      <c r="SSG134" s="72"/>
      <c r="SSH134" s="72"/>
      <c r="SSI134" s="72"/>
      <c r="SSJ134" s="72"/>
      <c r="SSK134" s="72"/>
      <c r="SSL134" s="72"/>
      <c r="SSM134" s="72"/>
      <c r="SSN134" s="72"/>
      <c r="SSO134" s="72"/>
      <c r="SSP134" s="72"/>
      <c r="SSQ134" s="72"/>
      <c r="SSR134" s="72"/>
      <c r="SSS134" s="72"/>
      <c r="SST134" s="72"/>
      <c r="SSU134" s="72"/>
      <c r="SSV134" s="72"/>
      <c r="SSW134" s="72"/>
      <c r="SSX134" s="72"/>
      <c r="SSY134" s="72"/>
      <c r="SSZ134" s="72"/>
      <c r="STA134" s="72"/>
      <c r="STB134" s="72"/>
      <c r="STC134" s="72"/>
      <c r="STD134" s="72"/>
      <c r="STE134" s="72"/>
      <c r="STF134" s="72"/>
      <c r="STG134" s="72"/>
      <c r="STH134" s="72"/>
      <c r="STI134" s="72"/>
      <c r="STJ134" s="72"/>
      <c r="STK134" s="72"/>
      <c r="STL134" s="72"/>
      <c r="STM134" s="72"/>
      <c r="STN134" s="72"/>
      <c r="STO134" s="72"/>
      <c r="STP134" s="72"/>
      <c r="STQ134" s="72"/>
      <c r="STR134" s="72"/>
      <c r="STS134" s="72"/>
      <c r="STT134" s="72"/>
      <c r="STU134" s="72"/>
      <c r="STV134" s="72"/>
      <c r="STW134" s="72"/>
      <c r="STX134" s="72"/>
      <c r="STY134" s="72"/>
      <c r="STZ134" s="72"/>
      <c r="SUA134" s="72"/>
      <c r="SUB134" s="72"/>
      <c r="SUC134" s="72"/>
      <c r="SUD134" s="72"/>
      <c r="SUE134" s="72"/>
      <c r="SUF134" s="72"/>
      <c r="SUG134" s="72"/>
      <c r="SUH134" s="72"/>
      <c r="SUI134" s="72"/>
      <c r="SUJ134" s="72"/>
      <c r="SUK134" s="72"/>
      <c r="SUL134" s="72"/>
      <c r="SUM134" s="72"/>
      <c r="SUN134" s="72"/>
      <c r="SUO134" s="72"/>
      <c r="SUP134" s="72"/>
      <c r="SUQ134" s="72"/>
      <c r="SUR134" s="72"/>
      <c r="SUS134" s="72"/>
      <c r="SUT134" s="72"/>
      <c r="SUU134" s="72"/>
      <c r="SUV134" s="72"/>
      <c r="SUW134" s="72"/>
      <c r="SUX134" s="72"/>
      <c r="SUY134" s="72"/>
      <c r="SUZ134" s="72"/>
      <c r="SVA134" s="72"/>
      <c r="SVB134" s="72"/>
      <c r="SVC134" s="72"/>
      <c r="SVD134" s="72"/>
      <c r="SVE134" s="72"/>
      <c r="SVF134" s="72"/>
      <c r="SVG134" s="72"/>
      <c r="SVH134" s="72"/>
      <c r="SVI134" s="72"/>
      <c r="SVJ134" s="72"/>
      <c r="SVK134" s="72"/>
      <c r="SVL134" s="72"/>
      <c r="SVM134" s="72"/>
      <c r="SVN134" s="72"/>
      <c r="SVO134" s="72"/>
      <c r="SVP134" s="72"/>
      <c r="SVQ134" s="72"/>
      <c r="SVR134" s="72"/>
      <c r="SVS134" s="72"/>
      <c r="SVT134" s="72"/>
      <c r="SVU134" s="72"/>
      <c r="SVV134" s="72"/>
      <c r="SVW134" s="72"/>
      <c r="SVX134" s="72"/>
      <c r="SVY134" s="72"/>
      <c r="SVZ134" s="72"/>
      <c r="SWA134" s="72"/>
      <c r="SWB134" s="72"/>
      <c r="SWC134" s="72"/>
      <c r="SWD134" s="72"/>
      <c r="SWE134" s="72"/>
      <c r="SWF134" s="72"/>
      <c r="SWG134" s="72"/>
      <c r="SWH134" s="72"/>
      <c r="SWI134" s="72"/>
      <c r="SWJ134" s="72"/>
      <c r="SWK134" s="72"/>
      <c r="SWL134" s="72"/>
      <c r="SWM134" s="72"/>
      <c r="SWN134" s="72"/>
      <c r="SWO134" s="72"/>
      <c r="SWP134" s="72"/>
      <c r="SWQ134" s="72"/>
      <c r="SWR134" s="72"/>
      <c r="SWS134" s="72"/>
      <c r="SWT134" s="72"/>
      <c r="SWU134" s="72"/>
      <c r="SWV134" s="72"/>
      <c r="SWW134" s="72"/>
      <c r="SWX134" s="72"/>
      <c r="SWY134" s="72"/>
      <c r="SWZ134" s="72"/>
      <c r="SXA134" s="72"/>
      <c r="SXB134" s="72"/>
      <c r="SXC134" s="72"/>
      <c r="SXD134" s="72"/>
      <c r="SXE134" s="72"/>
      <c r="SXF134" s="72"/>
      <c r="SXG134" s="72"/>
      <c r="SXH134" s="72"/>
      <c r="SXI134" s="72"/>
      <c r="SXJ134" s="72"/>
      <c r="SXK134" s="72"/>
      <c r="SXL134" s="72"/>
      <c r="SXM134" s="72"/>
      <c r="SXN134" s="72"/>
      <c r="SXO134" s="72"/>
      <c r="SXP134" s="72"/>
      <c r="SXQ134" s="72"/>
      <c r="SXR134" s="72"/>
      <c r="SXS134" s="72"/>
      <c r="SXT134" s="72"/>
      <c r="SXU134" s="72"/>
      <c r="SXV134" s="72"/>
      <c r="SXW134" s="72"/>
      <c r="SXX134" s="72"/>
      <c r="SXY134" s="72"/>
      <c r="SXZ134" s="72"/>
      <c r="SYA134" s="72"/>
      <c r="SYB134" s="72"/>
      <c r="SYC134" s="72"/>
      <c r="SYD134" s="72"/>
      <c r="SYE134" s="72"/>
      <c r="SYF134" s="72"/>
      <c r="SYG134" s="72"/>
      <c r="SYH134" s="72"/>
      <c r="SYI134" s="72"/>
      <c r="SYJ134" s="72"/>
      <c r="SYK134" s="72"/>
      <c r="SYL134" s="72"/>
      <c r="SYM134" s="72"/>
      <c r="SYN134" s="72"/>
      <c r="SYO134" s="72"/>
      <c r="SYP134" s="72"/>
      <c r="SYQ134" s="72"/>
      <c r="SYR134" s="72"/>
      <c r="SYS134" s="72"/>
      <c r="SYT134" s="72"/>
      <c r="SYU134" s="72"/>
      <c r="SYV134" s="72"/>
      <c r="SYW134" s="72"/>
      <c r="SYX134" s="72"/>
      <c r="SYY134" s="72"/>
      <c r="SYZ134" s="72"/>
      <c r="SZA134" s="72"/>
      <c r="SZB134" s="72"/>
      <c r="SZC134" s="72"/>
      <c r="SZD134" s="72"/>
      <c r="SZE134" s="72"/>
      <c r="SZF134" s="72"/>
      <c r="SZG134" s="72"/>
      <c r="SZH134" s="72"/>
      <c r="SZI134" s="72"/>
      <c r="SZJ134" s="72"/>
      <c r="SZK134" s="72"/>
      <c r="SZL134" s="72"/>
      <c r="SZM134" s="72"/>
      <c r="SZN134" s="72"/>
      <c r="SZO134" s="72"/>
      <c r="SZP134" s="72"/>
      <c r="SZQ134" s="72"/>
      <c r="SZR134" s="72"/>
      <c r="SZS134" s="72"/>
      <c r="SZT134" s="72"/>
      <c r="SZU134" s="72"/>
      <c r="SZV134" s="72"/>
      <c r="SZW134" s="72"/>
      <c r="SZX134" s="72"/>
      <c r="SZY134" s="72"/>
      <c r="SZZ134" s="72"/>
      <c r="TAA134" s="72"/>
      <c r="TAB134" s="72"/>
      <c r="TAC134" s="72"/>
      <c r="TAD134" s="72"/>
      <c r="TAE134" s="72"/>
      <c r="TAF134" s="72"/>
      <c r="TAG134" s="72"/>
      <c r="TAH134" s="72"/>
      <c r="TAI134" s="72"/>
      <c r="TAJ134" s="72"/>
      <c r="TAK134" s="72"/>
      <c r="TAL134" s="72"/>
      <c r="TAM134" s="72"/>
      <c r="TAN134" s="72"/>
      <c r="TAO134" s="72"/>
      <c r="TAP134" s="72"/>
      <c r="TAQ134" s="72"/>
      <c r="TAR134" s="72"/>
      <c r="TAS134" s="72"/>
      <c r="TAT134" s="72"/>
      <c r="TAU134" s="72"/>
      <c r="TAV134" s="72"/>
      <c r="TAW134" s="72"/>
      <c r="TAX134" s="72"/>
      <c r="TAY134" s="72"/>
      <c r="TAZ134" s="72"/>
      <c r="TBA134" s="72"/>
      <c r="TBB134" s="72"/>
      <c r="TBC134" s="72"/>
      <c r="TBD134" s="72"/>
      <c r="TBE134" s="72"/>
      <c r="TBF134" s="72"/>
      <c r="TBG134" s="72"/>
      <c r="TBH134" s="72"/>
      <c r="TBI134" s="72"/>
      <c r="TBJ134" s="72"/>
      <c r="TBK134" s="72"/>
      <c r="TBL134" s="72"/>
      <c r="TBM134" s="72"/>
      <c r="TBN134" s="72"/>
      <c r="TBO134" s="72"/>
      <c r="TBP134" s="72"/>
      <c r="TBQ134" s="72"/>
      <c r="TBR134" s="72"/>
      <c r="TBS134" s="72"/>
      <c r="TBT134" s="72"/>
      <c r="TBU134" s="72"/>
      <c r="TBV134" s="72"/>
      <c r="TBW134" s="72"/>
      <c r="TBX134" s="72"/>
      <c r="TBY134" s="72"/>
      <c r="TBZ134" s="72"/>
      <c r="TCA134" s="72"/>
      <c r="TCB134" s="72"/>
      <c r="TCC134" s="72"/>
      <c r="TCD134" s="72"/>
      <c r="TCE134" s="72"/>
      <c r="TCF134" s="72"/>
      <c r="TCG134" s="72"/>
      <c r="TCH134" s="72"/>
      <c r="TCI134" s="72"/>
      <c r="TCJ134" s="72"/>
      <c r="TCK134" s="72"/>
      <c r="TCL134" s="72"/>
      <c r="TCM134" s="72"/>
      <c r="TCN134" s="72"/>
      <c r="TCO134" s="72"/>
      <c r="TCP134" s="72"/>
      <c r="TCQ134" s="72"/>
      <c r="TCR134" s="72"/>
      <c r="TCS134" s="72"/>
      <c r="TCT134" s="72"/>
      <c r="TCU134" s="72"/>
      <c r="TCV134" s="72"/>
      <c r="TCW134" s="72"/>
      <c r="TCX134" s="72"/>
      <c r="TCY134" s="72"/>
      <c r="TCZ134" s="72"/>
      <c r="TDA134" s="72"/>
      <c r="TDB134" s="72"/>
      <c r="TDC134" s="72"/>
      <c r="TDD134" s="72"/>
      <c r="TDE134" s="72"/>
      <c r="TDF134" s="72"/>
      <c r="TDG134" s="72"/>
      <c r="TDH134" s="72"/>
      <c r="TDI134" s="72"/>
      <c r="TDJ134" s="72"/>
      <c r="TDK134" s="72"/>
      <c r="TDL134" s="72"/>
      <c r="TDM134" s="72"/>
      <c r="TDN134" s="72"/>
      <c r="TDO134" s="72"/>
      <c r="TDP134" s="72"/>
      <c r="TDQ134" s="72"/>
      <c r="TDR134" s="72"/>
      <c r="TDS134" s="72"/>
      <c r="TDT134" s="72"/>
      <c r="TDU134" s="72"/>
      <c r="TDV134" s="72"/>
      <c r="TDW134" s="72"/>
      <c r="TDX134" s="72"/>
      <c r="TDY134" s="72"/>
      <c r="TDZ134" s="72"/>
      <c r="TEA134" s="72"/>
      <c r="TEB134" s="72"/>
      <c r="TEC134" s="72"/>
      <c r="TED134" s="72"/>
      <c r="TEE134" s="72"/>
      <c r="TEF134" s="72"/>
      <c r="TEG134" s="72"/>
      <c r="TEH134" s="72"/>
      <c r="TEI134" s="72"/>
      <c r="TEJ134" s="72"/>
      <c r="TEK134" s="72"/>
      <c r="TEL134" s="72"/>
      <c r="TEM134" s="72"/>
      <c r="TEN134" s="72"/>
      <c r="TEO134" s="72"/>
      <c r="TEP134" s="72"/>
      <c r="TEQ134" s="72"/>
      <c r="TER134" s="72"/>
      <c r="TES134" s="72"/>
      <c r="TET134" s="72"/>
      <c r="TEU134" s="72"/>
      <c r="TEV134" s="72"/>
      <c r="TEW134" s="72"/>
      <c r="TEX134" s="72"/>
      <c r="TEY134" s="72"/>
      <c r="TEZ134" s="72"/>
      <c r="TFA134" s="72"/>
      <c r="TFB134" s="72"/>
      <c r="TFC134" s="72"/>
      <c r="TFD134" s="72"/>
      <c r="TFE134" s="72"/>
      <c r="TFF134" s="72"/>
      <c r="TFG134" s="72"/>
      <c r="TFH134" s="72"/>
      <c r="TFI134" s="72"/>
      <c r="TFJ134" s="72"/>
      <c r="TFK134" s="72"/>
      <c r="TFL134" s="72"/>
      <c r="TFM134" s="72"/>
      <c r="TFN134" s="72"/>
      <c r="TFO134" s="72"/>
      <c r="TFP134" s="72"/>
      <c r="TFQ134" s="72"/>
      <c r="TFR134" s="72"/>
      <c r="TFS134" s="72"/>
      <c r="TFT134" s="72"/>
      <c r="TFU134" s="72"/>
      <c r="TFV134" s="72"/>
      <c r="TFW134" s="72"/>
      <c r="TFX134" s="72"/>
      <c r="TFY134" s="72"/>
      <c r="TFZ134" s="72"/>
      <c r="TGA134" s="72"/>
      <c r="TGB134" s="72"/>
      <c r="TGC134" s="72"/>
      <c r="TGD134" s="72"/>
      <c r="TGE134" s="72"/>
      <c r="TGF134" s="72"/>
      <c r="TGG134" s="72"/>
      <c r="TGH134" s="72"/>
      <c r="TGI134" s="72"/>
      <c r="TGJ134" s="72"/>
      <c r="TGK134" s="72"/>
      <c r="TGL134" s="72"/>
      <c r="TGM134" s="72"/>
      <c r="TGN134" s="72"/>
      <c r="TGO134" s="72"/>
      <c r="TGP134" s="72"/>
      <c r="TGQ134" s="72"/>
      <c r="TGR134" s="72"/>
      <c r="TGS134" s="72"/>
      <c r="TGT134" s="72"/>
      <c r="TGU134" s="72"/>
      <c r="TGV134" s="72"/>
      <c r="TGW134" s="72"/>
      <c r="TGX134" s="72"/>
      <c r="TGY134" s="72"/>
      <c r="TGZ134" s="72"/>
      <c r="THA134" s="72"/>
      <c r="THB134" s="72"/>
      <c r="THC134" s="72"/>
      <c r="THD134" s="72"/>
      <c r="THE134" s="72"/>
      <c r="THF134" s="72"/>
      <c r="THG134" s="72"/>
      <c r="THH134" s="72"/>
      <c r="THI134" s="72"/>
      <c r="THJ134" s="72"/>
      <c r="THK134" s="72"/>
      <c r="THL134" s="72"/>
      <c r="THM134" s="72"/>
      <c r="THN134" s="72"/>
      <c r="THO134" s="72"/>
      <c r="THP134" s="72"/>
      <c r="THQ134" s="72"/>
      <c r="THR134" s="72"/>
      <c r="THS134" s="72"/>
      <c r="THT134" s="72"/>
      <c r="THU134" s="72"/>
      <c r="THV134" s="72"/>
      <c r="THW134" s="72"/>
      <c r="THX134" s="72"/>
      <c r="THY134" s="72"/>
      <c r="THZ134" s="72"/>
      <c r="TIA134" s="72"/>
      <c r="TIB134" s="72"/>
      <c r="TIC134" s="72"/>
      <c r="TID134" s="72"/>
      <c r="TIE134" s="72"/>
      <c r="TIF134" s="72"/>
      <c r="TIG134" s="72"/>
      <c r="TIH134" s="72"/>
      <c r="TII134" s="72"/>
      <c r="TIJ134" s="72"/>
      <c r="TIK134" s="72"/>
      <c r="TIL134" s="72"/>
      <c r="TIM134" s="72"/>
      <c r="TIN134" s="72"/>
      <c r="TIO134" s="72"/>
      <c r="TIP134" s="72"/>
      <c r="TIQ134" s="72"/>
      <c r="TIR134" s="72"/>
      <c r="TIS134" s="72"/>
      <c r="TIT134" s="72"/>
      <c r="TIU134" s="72"/>
      <c r="TIV134" s="72"/>
      <c r="TIW134" s="72"/>
      <c r="TIX134" s="72"/>
      <c r="TIY134" s="72"/>
      <c r="TIZ134" s="72"/>
      <c r="TJA134" s="72"/>
      <c r="TJB134" s="72"/>
      <c r="TJC134" s="72"/>
      <c r="TJD134" s="72"/>
      <c r="TJE134" s="72"/>
      <c r="TJF134" s="72"/>
      <c r="TJG134" s="72"/>
      <c r="TJH134" s="72"/>
      <c r="TJI134" s="72"/>
      <c r="TJJ134" s="72"/>
      <c r="TJK134" s="72"/>
      <c r="TJL134" s="72"/>
      <c r="TJM134" s="72"/>
      <c r="TJN134" s="72"/>
      <c r="TJO134" s="72"/>
      <c r="TJP134" s="72"/>
      <c r="TJQ134" s="72"/>
      <c r="TJR134" s="72"/>
      <c r="TJS134" s="72"/>
      <c r="TJT134" s="72"/>
      <c r="TJU134" s="72"/>
      <c r="TJV134" s="72"/>
      <c r="TJW134" s="72"/>
      <c r="TJX134" s="72"/>
      <c r="TJY134" s="72"/>
      <c r="TJZ134" s="72"/>
      <c r="TKA134" s="72"/>
      <c r="TKB134" s="72"/>
      <c r="TKC134" s="72"/>
      <c r="TKD134" s="72"/>
      <c r="TKE134" s="72"/>
      <c r="TKF134" s="72"/>
      <c r="TKG134" s="72"/>
      <c r="TKH134" s="72"/>
      <c r="TKI134" s="72"/>
      <c r="TKJ134" s="72"/>
      <c r="TKK134" s="72"/>
      <c r="TKL134" s="72"/>
      <c r="TKM134" s="72"/>
      <c r="TKN134" s="72"/>
      <c r="TKO134" s="72"/>
      <c r="TKP134" s="72"/>
      <c r="TKQ134" s="72"/>
      <c r="TKR134" s="72"/>
      <c r="TKS134" s="72"/>
      <c r="TKT134" s="72"/>
      <c r="TKU134" s="72"/>
      <c r="TKV134" s="72"/>
      <c r="TKW134" s="72"/>
      <c r="TKX134" s="72"/>
      <c r="TKY134" s="72"/>
      <c r="TKZ134" s="72"/>
      <c r="TLA134" s="72"/>
      <c r="TLB134" s="72"/>
      <c r="TLC134" s="72"/>
      <c r="TLD134" s="72"/>
      <c r="TLE134" s="72"/>
      <c r="TLF134" s="72"/>
      <c r="TLG134" s="72"/>
      <c r="TLH134" s="72"/>
      <c r="TLI134" s="72"/>
      <c r="TLJ134" s="72"/>
      <c r="TLK134" s="72"/>
      <c r="TLL134" s="72"/>
      <c r="TLM134" s="72"/>
      <c r="TLN134" s="72"/>
      <c r="TLO134" s="72"/>
      <c r="TLP134" s="72"/>
      <c r="TLQ134" s="72"/>
      <c r="TLR134" s="72"/>
      <c r="TLS134" s="72"/>
      <c r="TLT134" s="72"/>
      <c r="TLU134" s="72"/>
      <c r="TLV134" s="72"/>
      <c r="TLW134" s="72"/>
      <c r="TLX134" s="72"/>
      <c r="TLY134" s="72"/>
      <c r="TLZ134" s="72"/>
      <c r="TMA134" s="72"/>
      <c r="TMB134" s="72"/>
      <c r="TMC134" s="72"/>
      <c r="TMD134" s="72"/>
      <c r="TME134" s="72"/>
      <c r="TMF134" s="72"/>
      <c r="TMG134" s="72"/>
      <c r="TMH134" s="72"/>
      <c r="TMI134" s="72"/>
      <c r="TMJ134" s="72"/>
      <c r="TMK134" s="72"/>
      <c r="TML134" s="72"/>
      <c r="TMM134" s="72"/>
      <c r="TMN134" s="72"/>
      <c r="TMO134" s="72"/>
      <c r="TMP134" s="72"/>
      <c r="TMQ134" s="72"/>
      <c r="TMR134" s="72"/>
      <c r="TMS134" s="72"/>
      <c r="TMT134" s="72"/>
      <c r="TMU134" s="72"/>
      <c r="TMV134" s="72"/>
      <c r="TMW134" s="72"/>
      <c r="TMX134" s="72"/>
      <c r="TMY134" s="72"/>
      <c r="TMZ134" s="72"/>
      <c r="TNA134" s="72"/>
      <c r="TNB134" s="72"/>
      <c r="TNC134" s="72"/>
      <c r="TND134" s="72"/>
      <c r="TNE134" s="72"/>
      <c r="TNF134" s="72"/>
      <c r="TNG134" s="72"/>
      <c r="TNH134" s="72"/>
      <c r="TNI134" s="72"/>
      <c r="TNJ134" s="72"/>
      <c r="TNK134" s="72"/>
      <c r="TNL134" s="72"/>
      <c r="TNM134" s="72"/>
      <c r="TNN134" s="72"/>
      <c r="TNO134" s="72"/>
      <c r="TNP134" s="72"/>
      <c r="TNQ134" s="72"/>
      <c r="TNR134" s="72"/>
      <c r="TNS134" s="72"/>
      <c r="TNT134" s="72"/>
      <c r="TNU134" s="72"/>
      <c r="TNV134" s="72"/>
      <c r="TNW134" s="72"/>
      <c r="TNX134" s="72"/>
      <c r="TNY134" s="72"/>
      <c r="TNZ134" s="72"/>
      <c r="TOA134" s="72"/>
      <c r="TOB134" s="72"/>
      <c r="TOC134" s="72"/>
      <c r="TOD134" s="72"/>
      <c r="TOE134" s="72"/>
      <c r="TOF134" s="72"/>
      <c r="TOG134" s="72"/>
      <c r="TOH134" s="72"/>
      <c r="TOI134" s="72"/>
      <c r="TOJ134" s="72"/>
      <c r="TOK134" s="72"/>
      <c r="TOL134" s="72"/>
      <c r="TOM134" s="72"/>
      <c r="TON134" s="72"/>
      <c r="TOO134" s="72"/>
      <c r="TOP134" s="72"/>
      <c r="TOQ134" s="72"/>
      <c r="TOR134" s="72"/>
      <c r="TOS134" s="72"/>
      <c r="TOT134" s="72"/>
      <c r="TOU134" s="72"/>
      <c r="TOV134" s="72"/>
      <c r="TOW134" s="72"/>
      <c r="TOX134" s="72"/>
      <c r="TOY134" s="72"/>
      <c r="TOZ134" s="72"/>
      <c r="TPA134" s="72"/>
      <c r="TPB134" s="72"/>
      <c r="TPC134" s="72"/>
      <c r="TPD134" s="72"/>
      <c r="TPE134" s="72"/>
      <c r="TPF134" s="72"/>
      <c r="TPG134" s="72"/>
      <c r="TPH134" s="72"/>
      <c r="TPI134" s="72"/>
      <c r="TPJ134" s="72"/>
      <c r="TPK134" s="72"/>
      <c r="TPL134" s="72"/>
      <c r="TPM134" s="72"/>
      <c r="TPN134" s="72"/>
      <c r="TPO134" s="72"/>
      <c r="TPP134" s="72"/>
      <c r="TPQ134" s="72"/>
      <c r="TPR134" s="72"/>
      <c r="TPS134" s="72"/>
      <c r="TPT134" s="72"/>
      <c r="TPU134" s="72"/>
      <c r="TPV134" s="72"/>
      <c r="TPW134" s="72"/>
      <c r="TPX134" s="72"/>
      <c r="TPY134" s="72"/>
      <c r="TPZ134" s="72"/>
      <c r="TQA134" s="72"/>
      <c r="TQB134" s="72"/>
      <c r="TQC134" s="72"/>
      <c r="TQD134" s="72"/>
      <c r="TQE134" s="72"/>
      <c r="TQF134" s="72"/>
      <c r="TQG134" s="72"/>
      <c r="TQH134" s="72"/>
      <c r="TQI134" s="72"/>
      <c r="TQJ134" s="72"/>
      <c r="TQK134" s="72"/>
      <c r="TQL134" s="72"/>
      <c r="TQM134" s="72"/>
      <c r="TQN134" s="72"/>
      <c r="TQO134" s="72"/>
      <c r="TQP134" s="72"/>
      <c r="TQQ134" s="72"/>
      <c r="TQR134" s="72"/>
      <c r="TQS134" s="72"/>
      <c r="TQT134" s="72"/>
      <c r="TQU134" s="72"/>
      <c r="TQV134" s="72"/>
      <c r="TQW134" s="72"/>
      <c r="TQX134" s="72"/>
      <c r="TQY134" s="72"/>
      <c r="TQZ134" s="72"/>
      <c r="TRA134" s="72"/>
      <c r="TRB134" s="72"/>
      <c r="TRC134" s="72"/>
      <c r="TRD134" s="72"/>
      <c r="TRE134" s="72"/>
      <c r="TRF134" s="72"/>
      <c r="TRG134" s="72"/>
      <c r="TRH134" s="72"/>
      <c r="TRI134" s="72"/>
      <c r="TRJ134" s="72"/>
      <c r="TRK134" s="72"/>
      <c r="TRL134" s="72"/>
      <c r="TRM134" s="72"/>
      <c r="TRN134" s="72"/>
      <c r="TRO134" s="72"/>
      <c r="TRP134" s="72"/>
      <c r="TRQ134" s="72"/>
      <c r="TRR134" s="72"/>
      <c r="TRS134" s="72"/>
      <c r="TRT134" s="72"/>
      <c r="TRU134" s="72"/>
      <c r="TRV134" s="72"/>
      <c r="TRW134" s="72"/>
      <c r="TRX134" s="72"/>
      <c r="TRY134" s="72"/>
      <c r="TRZ134" s="72"/>
      <c r="TSA134" s="72"/>
      <c r="TSB134" s="72"/>
      <c r="TSC134" s="72"/>
      <c r="TSD134" s="72"/>
      <c r="TSE134" s="72"/>
      <c r="TSF134" s="72"/>
      <c r="TSG134" s="72"/>
      <c r="TSH134" s="72"/>
      <c r="TSI134" s="72"/>
      <c r="TSJ134" s="72"/>
      <c r="TSK134" s="72"/>
      <c r="TSL134" s="72"/>
      <c r="TSM134" s="72"/>
      <c r="TSN134" s="72"/>
      <c r="TSO134" s="72"/>
      <c r="TSP134" s="72"/>
      <c r="TSQ134" s="72"/>
      <c r="TSR134" s="72"/>
      <c r="TSS134" s="72"/>
      <c r="TST134" s="72"/>
      <c r="TSU134" s="72"/>
      <c r="TSV134" s="72"/>
      <c r="TSW134" s="72"/>
      <c r="TSX134" s="72"/>
      <c r="TSY134" s="72"/>
      <c r="TSZ134" s="72"/>
      <c r="TTA134" s="72"/>
      <c r="TTB134" s="72"/>
      <c r="TTC134" s="72"/>
      <c r="TTD134" s="72"/>
      <c r="TTE134" s="72"/>
      <c r="TTF134" s="72"/>
      <c r="TTG134" s="72"/>
      <c r="TTH134" s="72"/>
      <c r="TTI134" s="72"/>
      <c r="TTJ134" s="72"/>
      <c r="TTK134" s="72"/>
      <c r="TTL134" s="72"/>
      <c r="TTM134" s="72"/>
      <c r="TTN134" s="72"/>
      <c r="TTO134" s="72"/>
      <c r="TTP134" s="72"/>
      <c r="TTQ134" s="72"/>
      <c r="TTR134" s="72"/>
      <c r="TTS134" s="72"/>
      <c r="TTT134" s="72"/>
      <c r="TTU134" s="72"/>
      <c r="TTV134" s="72"/>
      <c r="TTW134" s="72"/>
      <c r="TTX134" s="72"/>
      <c r="TTY134" s="72"/>
      <c r="TTZ134" s="72"/>
      <c r="TUA134" s="72"/>
      <c r="TUB134" s="72"/>
      <c r="TUC134" s="72"/>
      <c r="TUD134" s="72"/>
      <c r="TUE134" s="72"/>
      <c r="TUF134" s="72"/>
      <c r="TUG134" s="72"/>
      <c r="TUH134" s="72"/>
      <c r="TUI134" s="72"/>
      <c r="TUJ134" s="72"/>
      <c r="TUK134" s="72"/>
      <c r="TUL134" s="72"/>
      <c r="TUM134" s="72"/>
      <c r="TUN134" s="72"/>
      <c r="TUO134" s="72"/>
      <c r="TUP134" s="72"/>
      <c r="TUQ134" s="72"/>
      <c r="TUR134" s="72"/>
      <c r="TUS134" s="72"/>
      <c r="TUT134" s="72"/>
      <c r="TUU134" s="72"/>
      <c r="TUV134" s="72"/>
      <c r="TUW134" s="72"/>
      <c r="TUX134" s="72"/>
      <c r="TUY134" s="72"/>
      <c r="TUZ134" s="72"/>
      <c r="TVA134" s="72"/>
      <c r="TVB134" s="72"/>
      <c r="TVC134" s="72"/>
      <c r="TVD134" s="72"/>
      <c r="TVE134" s="72"/>
      <c r="TVF134" s="72"/>
      <c r="TVG134" s="72"/>
      <c r="TVH134" s="72"/>
      <c r="TVI134" s="72"/>
      <c r="TVJ134" s="72"/>
      <c r="TVK134" s="72"/>
      <c r="TVL134" s="72"/>
      <c r="TVM134" s="72"/>
      <c r="TVN134" s="72"/>
      <c r="TVO134" s="72"/>
      <c r="TVP134" s="72"/>
      <c r="TVQ134" s="72"/>
      <c r="TVR134" s="72"/>
      <c r="TVS134" s="72"/>
      <c r="TVT134" s="72"/>
      <c r="TVU134" s="72"/>
      <c r="TVV134" s="72"/>
      <c r="TVW134" s="72"/>
      <c r="TVX134" s="72"/>
      <c r="TVY134" s="72"/>
      <c r="TVZ134" s="72"/>
      <c r="TWA134" s="72"/>
      <c r="TWB134" s="72"/>
      <c r="TWC134" s="72"/>
      <c r="TWD134" s="72"/>
      <c r="TWE134" s="72"/>
      <c r="TWF134" s="72"/>
      <c r="TWG134" s="72"/>
      <c r="TWH134" s="72"/>
      <c r="TWI134" s="72"/>
      <c r="TWJ134" s="72"/>
      <c r="TWK134" s="72"/>
      <c r="TWL134" s="72"/>
      <c r="TWM134" s="72"/>
      <c r="TWN134" s="72"/>
      <c r="TWO134" s="72"/>
      <c r="TWP134" s="72"/>
      <c r="TWQ134" s="72"/>
      <c r="TWR134" s="72"/>
      <c r="TWS134" s="72"/>
      <c r="TWT134" s="72"/>
      <c r="TWU134" s="72"/>
      <c r="TWV134" s="72"/>
      <c r="TWW134" s="72"/>
      <c r="TWX134" s="72"/>
      <c r="TWY134" s="72"/>
      <c r="TWZ134" s="72"/>
      <c r="TXA134" s="72"/>
      <c r="TXB134" s="72"/>
      <c r="TXC134" s="72"/>
      <c r="TXD134" s="72"/>
      <c r="TXE134" s="72"/>
      <c r="TXF134" s="72"/>
      <c r="TXG134" s="72"/>
      <c r="TXH134" s="72"/>
      <c r="TXI134" s="72"/>
      <c r="TXJ134" s="72"/>
      <c r="TXK134" s="72"/>
      <c r="TXL134" s="72"/>
      <c r="TXM134" s="72"/>
      <c r="TXN134" s="72"/>
      <c r="TXO134" s="72"/>
      <c r="TXP134" s="72"/>
      <c r="TXQ134" s="72"/>
      <c r="TXR134" s="72"/>
      <c r="TXS134" s="72"/>
      <c r="TXT134" s="72"/>
      <c r="TXU134" s="72"/>
      <c r="TXV134" s="72"/>
      <c r="TXW134" s="72"/>
      <c r="TXX134" s="72"/>
      <c r="TXY134" s="72"/>
      <c r="TXZ134" s="72"/>
      <c r="TYA134" s="72"/>
      <c r="TYB134" s="72"/>
      <c r="TYC134" s="72"/>
      <c r="TYD134" s="72"/>
      <c r="TYE134" s="72"/>
      <c r="TYF134" s="72"/>
      <c r="TYG134" s="72"/>
      <c r="TYH134" s="72"/>
      <c r="TYI134" s="72"/>
      <c r="TYJ134" s="72"/>
      <c r="TYK134" s="72"/>
      <c r="TYL134" s="72"/>
      <c r="TYM134" s="72"/>
      <c r="TYN134" s="72"/>
      <c r="TYO134" s="72"/>
      <c r="TYP134" s="72"/>
      <c r="TYQ134" s="72"/>
      <c r="TYR134" s="72"/>
      <c r="TYS134" s="72"/>
      <c r="TYT134" s="72"/>
      <c r="TYU134" s="72"/>
      <c r="TYV134" s="72"/>
      <c r="TYW134" s="72"/>
      <c r="TYX134" s="72"/>
      <c r="TYY134" s="72"/>
      <c r="TYZ134" s="72"/>
      <c r="TZA134" s="72"/>
      <c r="TZB134" s="72"/>
      <c r="TZC134" s="72"/>
      <c r="TZD134" s="72"/>
      <c r="TZE134" s="72"/>
      <c r="TZF134" s="72"/>
      <c r="TZG134" s="72"/>
      <c r="TZH134" s="72"/>
      <c r="TZI134" s="72"/>
      <c r="TZJ134" s="72"/>
      <c r="TZK134" s="72"/>
      <c r="TZL134" s="72"/>
      <c r="TZM134" s="72"/>
      <c r="TZN134" s="72"/>
      <c r="TZO134" s="72"/>
      <c r="TZP134" s="72"/>
      <c r="TZQ134" s="72"/>
      <c r="TZR134" s="72"/>
      <c r="TZS134" s="72"/>
      <c r="TZT134" s="72"/>
      <c r="TZU134" s="72"/>
      <c r="TZV134" s="72"/>
      <c r="TZW134" s="72"/>
      <c r="TZX134" s="72"/>
      <c r="TZY134" s="72"/>
      <c r="TZZ134" s="72"/>
      <c r="UAA134" s="72"/>
      <c r="UAB134" s="72"/>
      <c r="UAC134" s="72"/>
      <c r="UAD134" s="72"/>
      <c r="UAE134" s="72"/>
      <c r="UAF134" s="72"/>
      <c r="UAG134" s="72"/>
      <c r="UAH134" s="72"/>
      <c r="UAI134" s="72"/>
      <c r="UAJ134" s="72"/>
      <c r="UAK134" s="72"/>
      <c r="UAL134" s="72"/>
      <c r="UAM134" s="72"/>
      <c r="UAN134" s="72"/>
      <c r="UAO134" s="72"/>
      <c r="UAP134" s="72"/>
      <c r="UAQ134" s="72"/>
      <c r="UAR134" s="72"/>
      <c r="UAS134" s="72"/>
      <c r="UAT134" s="72"/>
      <c r="UAU134" s="72"/>
      <c r="UAV134" s="72"/>
      <c r="UAW134" s="72"/>
      <c r="UAX134" s="72"/>
      <c r="UAY134" s="72"/>
      <c r="UAZ134" s="72"/>
      <c r="UBA134" s="72"/>
      <c r="UBB134" s="72"/>
      <c r="UBC134" s="72"/>
      <c r="UBD134" s="72"/>
      <c r="UBE134" s="72"/>
      <c r="UBF134" s="72"/>
      <c r="UBG134" s="72"/>
      <c r="UBH134" s="72"/>
      <c r="UBI134" s="72"/>
      <c r="UBJ134" s="72"/>
      <c r="UBK134" s="72"/>
      <c r="UBL134" s="72"/>
      <c r="UBM134" s="72"/>
      <c r="UBN134" s="72"/>
      <c r="UBO134" s="72"/>
      <c r="UBP134" s="72"/>
      <c r="UBQ134" s="72"/>
      <c r="UBR134" s="72"/>
      <c r="UBS134" s="72"/>
      <c r="UBT134" s="72"/>
      <c r="UBU134" s="72"/>
      <c r="UBV134" s="72"/>
      <c r="UBW134" s="72"/>
      <c r="UBX134" s="72"/>
      <c r="UBY134" s="72"/>
      <c r="UBZ134" s="72"/>
      <c r="UCA134" s="72"/>
      <c r="UCB134" s="72"/>
      <c r="UCC134" s="72"/>
      <c r="UCD134" s="72"/>
      <c r="UCE134" s="72"/>
      <c r="UCF134" s="72"/>
      <c r="UCG134" s="72"/>
      <c r="UCH134" s="72"/>
      <c r="UCI134" s="72"/>
      <c r="UCJ134" s="72"/>
      <c r="UCK134" s="72"/>
      <c r="UCL134" s="72"/>
      <c r="UCM134" s="72"/>
      <c r="UCN134" s="72"/>
      <c r="UCO134" s="72"/>
      <c r="UCP134" s="72"/>
      <c r="UCQ134" s="72"/>
      <c r="UCR134" s="72"/>
      <c r="UCS134" s="72"/>
      <c r="UCT134" s="72"/>
      <c r="UCU134" s="72"/>
      <c r="UCV134" s="72"/>
      <c r="UCW134" s="72"/>
      <c r="UCX134" s="72"/>
      <c r="UCY134" s="72"/>
      <c r="UCZ134" s="72"/>
      <c r="UDA134" s="72"/>
      <c r="UDB134" s="72"/>
      <c r="UDC134" s="72"/>
      <c r="UDD134" s="72"/>
      <c r="UDE134" s="72"/>
      <c r="UDF134" s="72"/>
      <c r="UDG134" s="72"/>
      <c r="UDH134" s="72"/>
      <c r="UDI134" s="72"/>
      <c r="UDJ134" s="72"/>
      <c r="UDK134" s="72"/>
      <c r="UDL134" s="72"/>
      <c r="UDM134" s="72"/>
      <c r="UDN134" s="72"/>
      <c r="UDO134" s="72"/>
      <c r="UDP134" s="72"/>
      <c r="UDQ134" s="72"/>
      <c r="UDR134" s="72"/>
      <c r="UDS134" s="72"/>
      <c r="UDT134" s="72"/>
      <c r="UDU134" s="72"/>
      <c r="UDV134" s="72"/>
      <c r="UDW134" s="72"/>
      <c r="UDX134" s="72"/>
      <c r="UDY134" s="72"/>
      <c r="UDZ134" s="72"/>
      <c r="UEA134" s="72"/>
      <c r="UEB134" s="72"/>
      <c r="UEC134" s="72"/>
      <c r="UED134" s="72"/>
      <c r="UEE134" s="72"/>
      <c r="UEF134" s="72"/>
      <c r="UEG134" s="72"/>
      <c r="UEH134" s="72"/>
      <c r="UEI134" s="72"/>
      <c r="UEJ134" s="72"/>
      <c r="UEK134" s="72"/>
      <c r="UEL134" s="72"/>
      <c r="UEM134" s="72"/>
      <c r="UEN134" s="72"/>
      <c r="UEO134" s="72"/>
      <c r="UEP134" s="72"/>
      <c r="UEQ134" s="72"/>
      <c r="UER134" s="72"/>
      <c r="UES134" s="72"/>
      <c r="UET134" s="72"/>
      <c r="UEU134" s="72"/>
      <c r="UEV134" s="72"/>
      <c r="UEW134" s="72"/>
      <c r="UEX134" s="72"/>
      <c r="UEY134" s="72"/>
      <c r="UEZ134" s="72"/>
      <c r="UFA134" s="72"/>
      <c r="UFB134" s="72"/>
      <c r="UFC134" s="72"/>
      <c r="UFD134" s="72"/>
      <c r="UFE134" s="72"/>
      <c r="UFF134" s="72"/>
      <c r="UFG134" s="72"/>
      <c r="UFH134" s="72"/>
      <c r="UFI134" s="72"/>
      <c r="UFJ134" s="72"/>
      <c r="UFK134" s="72"/>
      <c r="UFL134" s="72"/>
      <c r="UFM134" s="72"/>
      <c r="UFN134" s="72"/>
      <c r="UFO134" s="72"/>
      <c r="UFP134" s="72"/>
      <c r="UFQ134" s="72"/>
      <c r="UFR134" s="72"/>
      <c r="UFS134" s="72"/>
      <c r="UFT134" s="72"/>
      <c r="UFU134" s="72"/>
      <c r="UFV134" s="72"/>
      <c r="UFW134" s="72"/>
      <c r="UFX134" s="72"/>
      <c r="UFY134" s="72"/>
      <c r="UFZ134" s="72"/>
      <c r="UGA134" s="72"/>
      <c r="UGB134" s="72"/>
      <c r="UGC134" s="72"/>
      <c r="UGD134" s="72"/>
      <c r="UGE134" s="72"/>
      <c r="UGF134" s="72"/>
      <c r="UGG134" s="72"/>
      <c r="UGH134" s="72"/>
      <c r="UGI134" s="72"/>
      <c r="UGJ134" s="72"/>
      <c r="UGK134" s="72"/>
      <c r="UGL134" s="72"/>
      <c r="UGM134" s="72"/>
      <c r="UGN134" s="72"/>
      <c r="UGO134" s="72"/>
      <c r="UGP134" s="72"/>
      <c r="UGQ134" s="72"/>
      <c r="UGR134" s="72"/>
      <c r="UGS134" s="72"/>
      <c r="UGT134" s="72"/>
      <c r="UGU134" s="72"/>
      <c r="UGV134" s="72"/>
      <c r="UGW134" s="72"/>
      <c r="UGX134" s="72"/>
      <c r="UGY134" s="72"/>
      <c r="UGZ134" s="72"/>
      <c r="UHA134" s="72"/>
      <c r="UHB134" s="72"/>
      <c r="UHC134" s="72"/>
      <c r="UHD134" s="72"/>
      <c r="UHE134" s="72"/>
      <c r="UHF134" s="72"/>
      <c r="UHG134" s="72"/>
      <c r="UHH134" s="72"/>
      <c r="UHI134" s="72"/>
      <c r="UHJ134" s="72"/>
      <c r="UHK134" s="72"/>
      <c r="UHL134" s="72"/>
      <c r="UHM134" s="72"/>
      <c r="UHN134" s="72"/>
      <c r="UHO134" s="72"/>
      <c r="UHP134" s="72"/>
      <c r="UHQ134" s="72"/>
      <c r="UHR134" s="72"/>
      <c r="UHS134" s="72"/>
      <c r="UHT134" s="72"/>
      <c r="UHU134" s="72"/>
      <c r="UHV134" s="72"/>
      <c r="UHW134" s="72"/>
      <c r="UHX134" s="72"/>
      <c r="UHY134" s="72"/>
      <c r="UHZ134" s="72"/>
      <c r="UIA134" s="72"/>
      <c r="UIB134" s="72"/>
      <c r="UIC134" s="72"/>
      <c r="UID134" s="72"/>
      <c r="UIE134" s="72"/>
      <c r="UIF134" s="72"/>
      <c r="UIG134" s="72"/>
      <c r="UIH134" s="72"/>
      <c r="UII134" s="72"/>
      <c r="UIJ134" s="72"/>
      <c r="UIK134" s="72"/>
      <c r="UIL134" s="72"/>
      <c r="UIM134" s="72"/>
      <c r="UIN134" s="72"/>
      <c r="UIO134" s="72"/>
      <c r="UIP134" s="72"/>
      <c r="UIQ134" s="72"/>
      <c r="UIR134" s="72"/>
      <c r="UIS134" s="72"/>
      <c r="UIT134" s="72"/>
      <c r="UIU134" s="72"/>
      <c r="UIV134" s="72"/>
      <c r="UIW134" s="72"/>
      <c r="UIX134" s="72"/>
      <c r="UIY134" s="72"/>
      <c r="UIZ134" s="72"/>
      <c r="UJA134" s="72"/>
      <c r="UJB134" s="72"/>
      <c r="UJC134" s="72"/>
      <c r="UJD134" s="72"/>
      <c r="UJE134" s="72"/>
      <c r="UJF134" s="72"/>
      <c r="UJG134" s="72"/>
      <c r="UJH134" s="72"/>
      <c r="UJI134" s="72"/>
      <c r="UJJ134" s="72"/>
      <c r="UJK134" s="72"/>
      <c r="UJL134" s="72"/>
      <c r="UJM134" s="72"/>
      <c r="UJN134" s="72"/>
      <c r="UJO134" s="72"/>
      <c r="UJP134" s="72"/>
      <c r="UJQ134" s="72"/>
      <c r="UJR134" s="72"/>
      <c r="UJS134" s="72"/>
      <c r="UJT134" s="72"/>
      <c r="UJU134" s="72"/>
      <c r="UJV134" s="72"/>
      <c r="UJW134" s="72"/>
      <c r="UJX134" s="72"/>
      <c r="UJY134" s="72"/>
      <c r="UJZ134" s="72"/>
      <c r="UKA134" s="72"/>
      <c r="UKB134" s="72"/>
      <c r="UKC134" s="72"/>
      <c r="UKD134" s="72"/>
      <c r="UKE134" s="72"/>
      <c r="UKF134" s="72"/>
      <c r="UKG134" s="72"/>
      <c r="UKH134" s="72"/>
      <c r="UKI134" s="72"/>
      <c r="UKJ134" s="72"/>
      <c r="UKK134" s="72"/>
      <c r="UKL134" s="72"/>
      <c r="UKM134" s="72"/>
      <c r="UKN134" s="72"/>
      <c r="UKO134" s="72"/>
      <c r="UKP134" s="72"/>
      <c r="UKQ134" s="72"/>
      <c r="UKR134" s="72"/>
      <c r="UKS134" s="72"/>
      <c r="UKT134" s="72"/>
      <c r="UKU134" s="72"/>
      <c r="UKV134" s="72"/>
      <c r="UKW134" s="72"/>
      <c r="UKX134" s="72"/>
      <c r="UKY134" s="72"/>
      <c r="UKZ134" s="72"/>
      <c r="ULA134" s="72"/>
      <c r="ULB134" s="72"/>
      <c r="ULC134" s="72"/>
      <c r="ULD134" s="72"/>
      <c r="ULE134" s="72"/>
      <c r="ULF134" s="72"/>
      <c r="ULG134" s="72"/>
      <c r="ULH134" s="72"/>
      <c r="ULI134" s="72"/>
      <c r="ULJ134" s="72"/>
      <c r="ULK134" s="72"/>
      <c r="ULL134" s="72"/>
      <c r="ULM134" s="72"/>
      <c r="ULN134" s="72"/>
      <c r="ULO134" s="72"/>
      <c r="ULP134" s="72"/>
      <c r="ULQ134" s="72"/>
      <c r="ULR134" s="72"/>
      <c r="ULS134" s="72"/>
      <c r="ULT134" s="72"/>
      <c r="ULU134" s="72"/>
      <c r="ULV134" s="72"/>
      <c r="ULW134" s="72"/>
      <c r="ULX134" s="72"/>
      <c r="ULY134" s="72"/>
      <c r="ULZ134" s="72"/>
      <c r="UMA134" s="72"/>
      <c r="UMB134" s="72"/>
      <c r="UMC134" s="72"/>
      <c r="UMD134" s="72"/>
      <c r="UME134" s="72"/>
      <c r="UMF134" s="72"/>
      <c r="UMG134" s="72"/>
      <c r="UMH134" s="72"/>
      <c r="UMI134" s="72"/>
      <c r="UMJ134" s="72"/>
      <c r="UMK134" s="72"/>
      <c r="UML134" s="72"/>
      <c r="UMM134" s="72"/>
      <c r="UMN134" s="72"/>
      <c r="UMO134" s="72"/>
      <c r="UMP134" s="72"/>
      <c r="UMQ134" s="72"/>
      <c r="UMR134" s="72"/>
      <c r="UMS134" s="72"/>
      <c r="UMT134" s="72"/>
      <c r="UMU134" s="72"/>
      <c r="UMV134" s="72"/>
      <c r="UMW134" s="72"/>
      <c r="UMX134" s="72"/>
      <c r="UMY134" s="72"/>
      <c r="UMZ134" s="72"/>
      <c r="UNA134" s="72"/>
      <c r="UNB134" s="72"/>
      <c r="UNC134" s="72"/>
      <c r="UND134" s="72"/>
      <c r="UNE134" s="72"/>
      <c r="UNF134" s="72"/>
      <c r="UNG134" s="72"/>
      <c r="UNH134" s="72"/>
      <c r="UNI134" s="72"/>
      <c r="UNJ134" s="72"/>
      <c r="UNK134" s="72"/>
      <c r="UNL134" s="72"/>
      <c r="UNM134" s="72"/>
      <c r="UNN134" s="72"/>
      <c r="UNO134" s="72"/>
      <c r="UNP134" s="72"/>
      <c r="UNQ134" s="72"/>
      <c r="UNR134" s="72"/>
      <c r="UNS134" s="72"/>
      <c r="UNT134" s="72"/>
      <c r="UNU134" s="72"/>
      <c r="UNV134" s="72"/>
      <c r="UNW134" s="72"/>
      <c r="UNX134" s="72"/>
      <c r="UNY134" s="72"/>
      <c r="UNZ134" s="72"/>
      <c r="UOA134" s="72"/>
      <c r="UOB134" s="72"/>
      <c r="UOC134" s="72"/>
      <c r="UOD134" s="72"/>
      <c r="UOE134" s="72"/>
      <c r="UOF134" s="72"/>
      <c r="UOG134" s="72"/>
      <c r="UOH134" s="72"/>
      <c r="UOI134" s="72"/>
      <c r="UOJ134" s="72"/>
      <c r="UOK134" s="72"/>
      <c r="UOL134" s="72"/>
      <c r="UOM134" s="72"/>
      <c r="UON134" s="72"/>
      <c r="UOO134" s="72"/>
      <c r="UOP134" s="72"/>
      <c r="UOQ134" s="72"/>
      <c r="UOR134" s="72"/>
      <c r="UOS134" s="72"/>
      <c r="UOT134" s="72"/>
      <c r="UOU134" s="72"/>
      <c r="UOV134" s="72"/>
      <c r="UOW134" s="72"/>
      <c r="UOX134" s="72"/>
      <c r="UOY134" s="72"/>
      <c r="UOZ134" s="72"/>
      <c r="UPA134" s="72"/>
      <c r="UPB134" s="72"/>
      <c r="UPC134" s="72"/>
      <c r="UPD134" s="72"/>
      <c r="UPE134" s="72"/>
      <c r="UPF134" s="72"/>
      <c r="UPG134" s="72"/>
      <c r="UPH134" s="72"/>
      <c r="UPI134" s="72"/>
      <c r="UPJ134" s="72"/>
      <c r="UPK134" s="72"/>
      <c r="UPL134" s="72"/>
      <c r="UPM134" s="72"/>
      <c r="UPN134" s="72"/>
      <c r="UPO134" s="72"/>
      <c r="UPP134" s="72"/>
      <c r="UPQ134" s="72"/>
      <c r="UPR134" s="72"/>
      <c r="UPS134" s="72"/>
      <c r="UPT134" s="72"/>
      <c r="UPU134" s="72"/>
      <c r="UPV134" s="72"/>
      <c r="UPW134" s="72"/>
      <c r="UPX134" s="72"/>
      <c r="UPY134" s="72"/>
      <c r="UPZ134" s="72"/>
      <c r="UQA134" s="72"/>
      <c r="UQB134" s="72"/>
      <c r="UQC134" s="72"/>
      <c r="UQD134" s="72"/>
      <c r="UQE134" s="72"/>
      <c r="UQF134" s="72"/>
      <c r="UQG134" s="72"/>
      <c r="UQH134" s="72"/>
      <c r="UQI134" s="72"/>
      <c r="UQJ134" s="72"/>
      <c r="UQK134" s="72"/>
      <c r="UQL134" s="72"/>
      <c r="UQM134" s="72"/>
      <c r="UQN134" s="72"/>
      <c r="UQO134" s="72"/>
      <c r="UQP134" s="72"/>
      <c r="UQQ134" s="72"/>
      <c r="UQR134" s="72"/>
      <c r="UQS134" s="72"/>
      <c r="UQT134" s="72"/>
      <c r="UQU134" s="72"/>
      <c r="UQV134" s="72"/>
      <c r="UQW134" s="72"/>
      <c r="UQX134" s="72"/>
      <c r="UQY134" s="72"/>
      <c r="UQZ134" s="72"/>
      <c r="URA134" s="72"/>
      <c r="URB134" s="72"/>
      <c r="URC134" s="72"/>
      <c r="URD134" s="72"/>
      <c r="URE134" s="72"/>
      <c r="URF134" s="72"/>
      <c r="URG134" s="72"/>
      <c r="URH134" s="72"/>
      <c r="URI134" s="72"/>
      <c r="URJ134" s="72"/>
      <c r="URK134" s="72"/>
      <c r="URL134" s="72"/>
      <c r="URM134" s="72"/>
      <c r="URN134" s="72"/>
      <c r="URO134" s="72"/>
      <c r="URP134" s="72"/>
      <c r="URQ134" s="72"/>
      <c r="URR134" s="72"/>
      <c r="URS134" s="72"/>
      <c r="URT134" s="72"/>
      <c r="URU134" s="72"/>
      <c r="URV134" s="72"/>
      <c r="URW134" s="72"/>
      <c r="URX134" s="72"/>
      <c r="URY134" s="72"/>
      <c r="URZ134" s="72"/>
      <c r="USA134" s="72"/>
      <c r="USB134" s="72"/>
      <c r="USC134" s="72"/>
      <c r="USD134" s="72"/>
      <c r="USE134" s="72"/>
      <c r="USF134" s="72"/>
      <c r="USG134" s="72"/>
      <c r="USH134" s="72"/>
      <c r="USI134" s="72"/>
      <c r="USJ134" s="72"/>
      <c r="USK134" s="72"/>
      <c r="USL134" s="72"/>
      <c r="USM134" s="72"/>
      <c r="USN134" s="72"/>
      <c r="USO134" s="72"/>
      <c r="USP134" s="72"/>
      <c r="USQ134" s="72"/>
      <c r="USR134" s="72"/>
      <c r="USS134" s="72"/>
      <c r="UST134" s="72"/>
      <c r="USU134" s="72"/>
      <c r="USV134" s="72"/>
      <c r="USW134" s="72"/>
      <c r="USX134" s="72"/>
      <c r="USY134" s="72"/>
      <c r="USZ134" s="72"/>
      <c r="UTA134" s="72"/>
      <c r="UTB134" s="72"/>
      <c r="UTC134" s="72"/>
      <c r="UTD134" s="72"/>
      <c r="UTE134" s="72"/>
      <c r="UTF134" s="72"/>
      <c r="UTG134" s="72"/>
      <c r="UTH134" s="72"/>
      <c r="UTI134" s="72"/>
      <c r="UTJ134" s="72"/>
      <c r="UTK134" s="72"/>
      <c r="UTL134" s="72"/>
      <c r="UTM134" s="72"/>
      <c r="UTN134" s="72"/>
      <c r="UTO134" s="72"/>
      <c r="UTP134" s="72"/>
      <c r="UTQ134" s="72"/>
      <c r="UTR134" s="72"/>
      <c r="UTS134" s="72"/>
      <c r="UTT134" s="72"/>
      <c r="UTU134" s="72"/>
      <c r="UTV134" s="72"/>
      <c r="UTW134" s="72"/>
      <c r="UTX134" s="72"/>
      <c r="UTY134" s="72"/>
      <c r="UTZ134" s="72"/>
      <c r="UUA134" s="72"/>
      <c r="UUB134" s="72"/>
      <c r="UUC134" s="72"/>
      <c r="UUD134" s="72"/>
      <c r="UUE134" s="72"/>
      <c r="UUF134" s="72"/>
      <c r="UUG134" s="72"/>
      <c r="UUH134" s="72"/>
      <c r="UUI134" s="72"/>
      <c r="UUJ134" s="72"/>
      <c r="UUK134" s="72"/>
      <c r="UUL134" s="72"/>
      <c r="UUM134" s="72"/>
      <c r="UUN134" s="72"/>
      <c r="UUO134" s="72"/>
      <c r="UUP134" s="72"/>
      <c r="UUQ134" s="72"/>
      <c r="UUR134" s="72"/>
      <c r="UUS134" s="72"/>
      <c r="UUT134" s="72"/>
      <c r="UUU134" s="72"/>
      <c r="UUV134" s="72"/>
      <c r="UUW134" s="72"/>
      <c r="UUX134" s="72"/>
      <c r="UUY134" s="72"/>
      <c r="UUZ134" s="72"/>
      <c r="UVA134" s="72"/>
      <c r="UVB134" s="72"/>
      <c r="UVC134" s="72"/>
      <c r="UVD134" s="72"/>
      <c r="UVE134" s="72"/>
      <c r="UVF134" s="72"/>
      <c r="UVG134" s="72"/>
      <c r="UVH134" s="72"/>
      <c r="UVI134" s="72"/>
      <c r="UVJ134" s="72"/>
      <c r="UVK134" s="72"/>
      <c r="UVL134" s="72"/>
      <c r="UVM134" s="72"/>
      <c r="UVN134" s="72"/>
      <c r="UVO134" s="72"/>
      <c r="UVP134" s="72"/>
      <c r="UVQ134" s="72"/>
      <c r="UVR134" s="72"/>
      <c r="UVS134" s="72"/>
      <c r="UVT134" s="72"/>
      <c r="UVU134" s="72"/>
      <c r="UVV134" s="72"/>
      <c r="UVW134" s="72"/>
      <c r="UVX134" s="72"/>
      <c r="UVY134" s="72"/>
      <c r="UVZ134" s="72"/>
      <c r="UWA134" s="72"/>
      <c r="UWB134" s="72"/>
      <c r="UWC134" s="72"/>
      <c r="UWD134" s="72"/>
      <c r="UWE134" s="72"/>
      <c r="UWF134" s="72"/>
      <c r="UWG134" s="72"/>
      <c r="UWH134" s="72"/>
      <c r="UWI134" s="72"/>
      <c r="UWJ134" s="72"/>
      <c r="UWK134" s="72"/>
      <c r="UWL134" s="72"/>
      <c r="UWM134" s="72"/>
      <c r="UWN134" s="72"/>
      <c r="UWO134" s="72"/>
      <c r="UWP134" s="72"/>
      <c r="UWQ134" s="72"/>
      <c r="UWR134" s="72"/>
      <c r="UWS134" s="72"/>
      <c r="UWT134" s="72"/>
      <c r="UWU134" s="72"/>
      <c r="UWV134" s="72"/>
      <c r="UWW134" s="72"/>
      <c r="UWX134" s="72"/>
      <c r="UWY134" s="72"/>
      <c r="UWZ134" s="72"/>
      <c r="UXA134" s="72"/>
      <c r="UXB134" s="72"/>
      <c r="UXC134" s="72"/>
      <c r="UXD134" s="72"/>
      <c r="UXE134" s="72"/>
      <c r="UXF134" s="72"/>
      <c r="UXG134" s="72"/>
      <c r="UXH134" s="72"/>
      <c r="UXI134" s="72"/>
      <c r="UXJ134" s="72"/>
      <c r="UXK134" s="72"/>
      <c r="UXL134" s="72"/>
      <c r="UXM134" s="72"/>
      <c r="UXN134" s="72"/>
      <c r="UXO134" s="72"/>
      <c r="UXP134" s="72"/>
      <c r="UXQ134" s="72"/>
      <c r="UXR134" s="72"/>
      <c r="UXS134" s="72"/>
      <c r="UXT134" s="72"/>
      <c r="UXU134" s="72"/>
      <c r="UXV134" s="72"/>
      <c r="UXW134" s="72"/>
      <c r="UXX134" s="72"/>
      <c r="UXY134" s="72"/>
      <c r="UXZ134" s="72"/>
      <c r="UYA134" s="72"/>
      <c r="UYB134" s="72"/>
      <c r="UYC134" s="72"/>
      <c r="UYD134" s="72"/>
      <c r="UYE134" s="72"/>
      <c r="UYF134" s="72"/>
      <c r="UYG134" s="72"/>
      <c r="UYH134" s="72"/>
      <c r="UYI134" s="72"/>
      <c r="UYJ134" s="72"/>
      <c r="UYK134" s="72"/>
      <c r="UYL134" s="72"/>
      <c r="UYM134" s="72"/>
      <c r="UYN134" s="72"/>
      <c r="UYO134" s="72"/>
      <c r="UYP134" s="72"/>
      <c r="UYQ134" s="72"/>
      <c r="UYR134" s="72"/>
      <c r="UYS134" s="72"/>
      <c r="UYT134" s="72"/>
      <c r="UYU134" s="72"/>
      <c r="UYV134" s="72"/>
      <c r="UYW134" s="72"/>
      <c r="UYX134" s="72"/>
      <c r="UYY134" s="72"/>
      <c r="UYZ134" s="72"/>
      <c r="UZA134" s="72"/>
      <c r="UZB134" s="72"/>
      <c r="UZC134" s="72"/>
      <c r="UZD134" s="72"/>
      <c r="UZE134" s="72"/>
      <c r="UZF134" s="72"/>
      <c r="UZG134" s="72"/>
      <c r="UZH134" s="72"/>
      <c r="UZI134" s="72"/>
      <c r="UZJ134" s="72"/>
      <c r="UZK134" s="72"/>
      <c r="UZL134" s="72"/>
      <c r="UZM134" s="72"/>
      <c r="UZN134" s="72"/>
      <c r="UZO134" s="72"/>
      <c r="UZP134" s="72"/>
      <c r="UZQ134" s="72"/>
      <c r="UZR134" s="72"/>
      <c r="UZS134" s="72"/>
      <c r="UZT134" s="72"/>
      <c r="UZU134" s="72"/>
      <c r="UZV134" s="72"/>
      <c r="UZW134" s="72"/>
      <c r="UZX134" s="72"/>
      <c r="UZY134" s="72"/>
      <c r="UZZ134" s="72"/>
      <c r="VAA134" s="72"/>
      <c r="VAB134" s="72"/>
      <c r="VAC134" s="72"/>
      <c r="VAD134" s="72"/>
      <c r="VAE134" s="72"/>
      <c r="VAF134" s="72"/>
      <c r="VAG134" s="72"/>
      <c r="VAH134" s="72"/>
      <c r="VAI134" s="72"/>
      <c r="VAJ134" s="72"/>
      <c r="VAK134" s="72"/>
      <c r="VAL134" s="72"/>
      <c r="VAM134" s="72"/>
      <c r="VAN134" s="72"/>
      <c r="VAO134" s="72"/>
      <c r="VAP134" s="72"/>
      <c r="VAQ134" s="72"/>
      <c r="VAR134" s="72"/>
      <c r="VAS134" s="72"/>
      <c r="VAT134" s="72"/>
      <c r="VAU134" s="72"/>
      <c r="VAV134" s="72"/>
      <c r="VAW134" s="72"/>
      <c r="VAX134" s="72"/>
      <c r="VAY134" s="72"/>
      <c r="VAZ134" s="72"/>
      <c r="VBA134" s="72"/>
      <c r="VBB134" s="72"/>
      <c r="VBC134" s="72"/>
      <c r="VBD134" s="72"/>
      <c r="VBE134" s="72"/>
      <c r="VBF134" s="72"/>
      <c r="VBG134" s="72"/>
      <c r="VBH134" s="72"/>
      <c r="VBI134" s="72"/>
      <c r="VBJ134" s="72"/>
      <c r="VBK134" s="72"/>
      <c r="VBL134" s="72"/>
      <c r="VBM134" s="72"/>
      <c r="VBN134" s="72"/>
      <c r="VBO134" s="72"/>
      <c r="VBP134" s="72"/>
      <c r="VBQ134" s="72"/>
      <c r="VBR134" s="72"/>
      <c r="VBS134" s="72"/>
      <c r="VBT134" s="72"/>
      <c r="VBU134" s="72"/>
      <c r="VBV134" s="72"/>
      <c r="VBW134" s="72"/>
      <c r="VBX134" s="72"/>
      <c r="VBY134" s="72"/>
      <c r="VBZ134" s="72"/>
      <c r="VCA134" s="72"/>
      <c r="VCB134" s="72"/>
      <c r="VCC134" s="72"/>
      <c r="VCD134" s="72"/>
      <c r="VCE134" s="72"/>
      <c r="VCF134" s="72"/>
      <c r="VCG134" s="72"/>
      <c r="VCH134" s="72"/>
      <c r="VCI134" s="72"/>
      <c r="VCJ134" s="72"/>
      <c r="VCK134" s="72"/>
      <c r="VCL134" s="72"/>
      <c r="VCM134" s="72"/>
      <c r="VCN134" s="72"/>
      <c r="VCO134" s="72"/>
      <c r="VCP134" s="72"/>
      <c r="VCQ134" s="72"/>
      <c r="VCR134" s="72"/>
      <c r="VCS134" s="72"/>
      <c r="VCT134" s="72"/>
      <c r="VCU134" s="72"/>
      <c r="VCV134" s="72"/>
      <c r="VCW134" s="72"/>
      <c r="VCX134" s="72"/>
      <c r="VCY134" s="72"/>
      <c r="VCZ134" s="72"/>
      <c r="VDA134" s="72"/>
      <c r="VDB134" s="72"/>
      <c r="VDC134" s="72"/>
      <c r="VDD134" s="72"/>
      <c r="VDE134" s="72"/>
      <c r="VDF134" s="72"/>
      <c r="VDG134" s="72"/>
      <c r="VDH134" s="72"/>
      <c r="VDI134" s="72"/>
      <c r="VDJ134" s="72"/>
      <c r="VDK134" s="72"/>
      <c r="VDL134" s="72"/>
      <c r="VDM134" s="72"/>
      <c r="VDN134" s="72"/>
      <c r="VDO134" s="72"/>
      <c r="VDP134" s="72"/>
      <c r="VDQ134" s="72"/>
      <c r="VDR134" s="72"/>
      <c r="VDS134" s="72"/>
      <c r="VDT134" s="72"/>
      <c r="VDU134" s="72"/>
      <c r="VDV134" s="72"/>
      <c r="VDW134" s="72"/>
      <c r="VDX134" s="72"/>
      <c r="VDY134" s="72"/>
      <c r="VDZ134" s="72"/>
      <c r="VEA134" s="72"/>
      <c r="VEB134" s="72"/>
      <c r="VEC134" s="72"/>
      <c r="VED134" s="72"/>
      <c r="VEE134" s="72"/>
      <c r="VEF134" s="72"/>
      <c r="VEG134" s="72"/>
      <c r="VEH134" s="72"/>
      <c r="VEI134" s="72"/>
      <c r="VEJ134" s="72"/>
      <c r="VEK134" s="72"/>
      <c r="VEL134" s="72"/>
      <c r="VEM134" s="72"/>
      <c r="VEN134" s="72"/>
      <c r="VEO134" s="72"/>
      <c r="VEP134" s="72"/>
      <c r="VEQ134" s="72"/>
      <c r="VER134" s="72"/>
      <c r="VES134" s="72"/>
      <c r="VET134" s="72"/>
      <c r="VEU134" s="72"/>
      <c r="VEV134" s="72"/>
      <c r="VEW134" s="72"/>
      <c r="VEX134" s="72"/>
      <c r="VEY134" s="72"/>
      <c r="VEZ134" s="72"/>
      <c r="VFA134" s="72"/>
      <c r="VFB134" s="72"/>
      <c r="VFC134" s="72"/>
      <c r="VFD134" s="72"/>
      <c r="VFE134" s="72"/>
      <c r="VFF134" s="72"/>
      <c r="VFG134" s="72"/>
      <c r="VFH134" s="72"/>
      <c r="VFI134" s="72"/>
      <c r="VFJ134" s="72"/>
      <c r="VFK134" s="72"/>
      <c r="VFL134" s="72"/>
      <c r="VFM134" s="72"/>
      <c r="VFN134" s="72"/>
      <c r="VFO134" s="72"/>
      <c r="VFP134" s="72"/>
      <c r="VFQ134" s="72"/>
      <c r="VFR134" s="72"/>
      <c r="VFS134" s="72"/>
      <c r="VFT134" s="72"/>
      <c r="VFU134" s="72"/>
      <c r="VFV134" s="72"/>
      <c r="VFW134" s="72"/>
      <c r="VFX134" s="72"/>
      <c r="VFY134" s="72"/>
      <c r="VFZ134" s="72"/>
      <c r="VGA134" s="72"/>
      <c r="VGB134" s="72"/>
      <c r="VGC134" s="72"/>
      <c r="VGD134" s="72"/>
      <c r="VGE134" s="72"/>
      <c r="VGF134" s="72"/>
      <c r="VGG134" s="72"/>
      <c r="VGH134" s="72"/>
      <c r="VGI134" s="72"/>
      <c r="VGJ134" s="72"/>
      <c r="VGK134" s="72"/>
      <c r="VGL134" s="72"/>
      <c r="VGM134" s="72"/>
      <c r="VGN134" s="72"/>
      <c r="VGO134" s="72"/>
      <c r="VGP134" s="72"/>
      <c r="VGQ134" s="72"/>
      <c r="VGR134" s="72"/>
      <c r="VGS134" s="72"/>
      <c r="VGT134" s="72"/>
      <c r="VGU134" s="72"/>
      <c r="VGV134" s="72"/>
      <c r="VGW134" s="72"/>
      <c r="VGX134" s="72"/>
      <c r="VGY134" s="72"/>
      <c r="VGZ134" s="72"/>
      <c r="VHA134" s="72"/>
      <c r="VHB134" s="72"/>
      <c r="VHC134" s="72"/>
      <c r="VHD134" s="72"/>
      <c r="VHE134" s="72"/>
      <c r="VHF134" s="72"/>
      <c r="VHG134" s="72"/>
      <c r="VHH134" s="72"/>
      <c r="VHI134" s="72"/>
      <c r="VHJ134" s="72"/>
      <c r="VHK134" s="72"/>
      <c r="VHL134" s="72"/>
      <c r="VHM134" s="72"/>
      <c r="VHN134" s="72"/>
      <c r="VHO134" s="72"/>
      <c r="VHP134" s="72"/>
      <c r="VHQ134" s="72"/>
      <c r="VHR134" s="72"/>
      <c r="VHS134" s="72"/>
      <c r="VHT134" s="72"/>
      <c r="VHU134" s="72"/>
      <c r="VHV134" s="72"/>
      <c r="VHW134" s="72"/>
      <c r="VHX134" s="72"/>
      <c r="VHY134" s="72"/>
      <c r="VHZ134" s="72"/>
      <c r="VIA134" s="72"/>
      <c r="VIB134" s="72"/>
      <c r="VIC134" s="72"/>
      <c r="VID134" s="72"/>
      <c r="VIE134" s="72"/>
      <c r="VIF134" s="72"/>
      <c r="VIG134" s="72"/>
      <c r="VIH134" s="72"/>
      <c r="VII134" s="72"/>
      <c r="VIJ134" s="72"/>
      <c r="VIK134" s="72"/>
      <c r="VIL134" s="72"/>
      <c r="VIM134" s="72"/>
      <c r="VIN134" s="72"/>
      <c r="VIO134" s="72"/>
      <c r="VIP134" s="72"/>
      <c r="VIQ134" s="72"/>
      <c r="VIR134" s="72"/>
      <c r="VIS134" s="72"/>
      <c r="VIT134" s="72"/>
      <c r="VIU134" s="72"/>
      <c r="VIV134" s="72"/>
      <c r="VIW134" s="72"/>
      <c r="VIX134" s="72"/>
      <c r="VIY134" s="72"/>
      <c r="VIZ134" s="72"/>
      <c r="VJA134" s="72"/>
      <c r="VJB134" s="72"/>
      <c r="VJC134" s="72"/>
      <c r="VJD134" s="72"/>
      <c r="VJE134" s="72"/>
      <c r="VJF134" s="72"/>
      <c r="VJG134" s="72"/>
      <c r="VJH134" s="72"/>
      <c r="VJI134" s="72"/>
      <c r="VJJ134" s="72"/>
      <c r="VJK134" s="72"/>
      <c r="VJL134" s="72"/>
      <c r="VJM134" s="72"/>
      <c r="VJN134" s="72"/>
      <c r="VJO134" s="72"/>
      <c r="VJP134" s="72"/>
      <c r="VJQ134" s="72"/>
      <c r="VJR134" s="72"/>
      <c r="VJS134" s="72"/>
      <c r="VJT134" s="72"/>
      <c r="VJU134" s="72"/>
      <c r="VJV134" s="72"/>
      <c r="VJW134" s="72"/>
      <c r="VJX134" s="72"/>
      <c r="VJY134" s="72"/>
      <c r="VJZ134" s="72"/>
      <c r="VKA134" s="72"/>
      <c r="VKB134" s="72"/>
      <c r="VKC134" s="72"/>
      <c r="VKD134" s="72"/>
      <c r="VKE134" s="72"/>
      <c r="VKF134" s="72"/>
      <c r="VKG134" s="72"/>
      <c r="VKH134" s="72"/>
      <c r="VKI134" s="72"/>
      <c r="VKJ134" s="72"/>
      <c r="VKK134" s="72"/>
      <c r="VKL134" s="72"/>
      <c r="VKM134" s="72"/>
      <c r="VKN134" s="72"/>
      <c r="VKO134" s="72"/>
      <c r="VKP134" s="72"/>
      <c r="VKQ134" s="72"/>
      <c r="VKR134" s="72"/>
      <c r="VKS134" s="72"/>
      <c r="VKT134" s="72"/>
      <c r="VKU134" s="72"/>
      <c r="VKV134" s="72"/>
      <c r="VKW134" s="72"/>
      <c r="VKX134" s="72"/>
      <c r="VKY134" s="72"/>
      <c r="VKZ134" s="72"/>
      <c r="VLA134" s="72"/>
      <c r="VLB134" s="72"/>
      <c r="VLC134" s="72"/>
      <c r="VLD134" s="72"/>
      <c r="VLE134" s="72"/>
      <c r="VLF134" s="72"/>
      <c r="VLG134" s="72"/>
      <c r="VLH134" s="72"/>
      <c r="VLI134" s="72"/>
      <c r="VLJ134" s="72"/>
      <c r="VLK134" s="72"/>
      <c r="VLL134" s="72"/>
      <c r="VLM134" s="72"/>
      <c r="VLN134" s="72"/>
      <c r="VLO134" s="72"/>
      <c r="VLP134" s="72"/>
      <c r="VLQ134" s="72"/>
      <c r="VLR134" s="72"/>
      <c r="VLS134" s="72"/>
      <c r="VLT134" s="72"/>
      <c r="VLU134" s="72"/>
      <c r="VLV134" s="72"/>
      <c r="VLW134" s="72"/>
      <c r="VLX134" s="72"/>
      <c r="VLY134" s="72"/>
      <c r="VLZ134" s="72"/>
      <c r="VMA134" s="72"/>
      <c r="VMB134" s="72"/>
      <c r="VMC134" s="72"/>
      <c r="VMD134" s="72"/>
      <c r="VME134" s="72"/>
      <c r="VMF134" s="72"/>
      <c r="VMG134" s="72"/>
      <c r="VMH134" s="72"/>
      <c r="VMI134" s="72"/>
      <c r="VMJ134" s="72"/>
      <c r="VMK134" s="72"/>
      <c r="VML134" s="72"/>
      <c r="VMM134" s="72"/>
      <c r="VMN134" s="72"/>
      <c r="VMO134" s="72"/>
      <c r="VMP134" s="72"/>
      <c r="VMQ134" s="72"/>
      <c r="VMR134" s="72"/>
      <c r="VMS134" s="72"/>
      <c r="VMT134" s="72"/>
      <c r="VMU134" s="72"/>
      <c r="VMV134" s="72"/>
      <c r="VMW134" s="72"/>
      <c r="VMX134" s="72"/>
      <c r="VMY134" s="72"/>
      <c r="VMZ134" s="72"/>
      <c r="VNA134" s="72"/>
      <c r="VNB134" s="72"/>
      <c r="VNC134" s="72"/>
      <c r="VND134" s="72"/>
      <c r="VNE134" s="72"/>
      <c r="VNF134" s="72"/>
      <c r="VNG134" s="72"/>
      <c r="VNH134" s="72"/>
      <c r="VNI134" s="72"/>
      <c r="VNJ134" s="72"/>
      <c r="VNK134" s="72"/>
      <c r="VNL134" s="72"/>
      <c r="VNM134" s="72"/>
      <c r="VNN134" s="72"/>
      <c r="VNO134" s="72"/>
      <c r="VNP134" s="72"/>
      <c r="VNQ134" s="72"/>
      <c r="VNR134" s="72"/>
      <c r="VNS134" s="72"/>
      <c r="VNT134" s="72"/>
      <c r="VNU134" s="72"/>
      <c r="VNV134" s="72"/>
      <c r="VNW134" s="72"/>
      <c r="VNX134" s="72"/>
      <c r="VNY134" s="72"/>
      <c r="VNZ134" s="72"/>
      <c r="VOA134" s="72"/>
      <c r="VOB134" s="72"/>
      <c r="VOC134" s="72"/>
      <c r="VOD134" s="72"/>
      <c r="VOE134" s="72"/>
      <c r="VOF134" s="72"/>
      <c r="VOG134" s="72"/>
      <c r="VOH134" s="72"/>
      <c r="VOI134" s="72"/>
      <c r="VOJ134" s="72"/>
      <c r="VOK134" s="72"/>
      <c r="VOL134" s="72"/>
      <c r="VOM134" s="72"/>
      <c r="VON134" s="72"/>
      <c r="VOO134" s="72"/>
      <c r="VOP134" s="72"/>
      <c r="VOQ134" s="72"/>
      <c r="VOR134" s="72"/>
      <c r="VOS134" s="72"/>
      <c r="VOT134" s="72"/>
      <c r="VOU134" s="72"/>
      <c r="VOV134" s="72"/>
      <c r="VOW134" s="72"/>
      <c r="VOX134" s="72"/>
      <c r="VOY134" s="72"/>
      <c r="VOZ134" s="72"/>
      <c r="VPA134" s="72"/>
      <c r="VPB134" s="72"/>
      <c r="VPC134" s="72"/>
      <c r="VPD134" s="72"/>
      <c r="VPE134" s="72"/>
      <c r="VPF134" s="72"/>
      <c r="VPG134" s="72"/>
      <c r="VPH134" s="72"/>
      <c r="VPI134" s="72"/>
      <c r="VPJ134" s="72"/>
      <c r="VPK134" s="72"/>
      <c r="VPL134" s="72"/>
      <c r="VPM134" s="72"/>
      <c r="VPN134" s="72"/>
      <c r="VPO134" s="72"/>
      <c r="VPP134" s="72"/>
      <c r="VPQ134" s="72"/>
      <c r="VPR134" s="72"/>
      <c r="VPS134" s="72"/>
      <c r="VPT134" s="72"/>
      <c r="VPU134" s="72"/>
      <c r="VPV134" s="72"/>
      <c r="VPW134" s="72"/>
      <c r="VPX134" s="72"/>
      <c r="VPY134" s="72"/>
      <c r="VPZ134" s="72"/>
      <c r="VQA134" s="72"/>
      <c r="VQB134" s="72"/>
      <c r="VQC134" s="72"/>
      <c r="VQD134" s="72"/>
      <c r="VQE134" s="72"/>
      <c r="VQF134" s="72"/>
      <c r="VQG134" s="72"/>
      <c r="VQH134" s="72"/>
      <c r="VQI134" s="72"/>
      <c r="VQJ134" s="72"/>
      <c r="VQK134" s="72"/>
      <c r="VQL134" s="72"/>
      <c r="VQM134" s="72"/>
      <c r="VQN134" s="72"/>
      <c r="VQO134" s="72"/>
      <c r="VQP134" s="72"/>
      <c r="VQQ134" s="72"/>
      <c r="VQR134" s="72"/>
      <c r="VQS134" s="72"/>
      <c r="VQT134" s="72"/>
      <c r="VQU134" s="72"/>
      <c r="VQV134" s="72"/>
      <c r="VQW134" s="72"/>
      <c r="VQX134" s="72"/>
      <c r="VQY134" s="72"/>
      <c r="VQZ134" s="72"/>
      <c r="VRA134" s="72"/>
      <c r="VRB134" s="72"/>
      <c r="VRC134" s="72"/>
      <c r="VRD134" s="72"/>
      <c r="VRE134" s="72"/>
      <c r="VRF134" s="72"/>
      <c r="VRG134" s="72"/>
      <c r="VRH134" s="72"/>
      <c r="VRI134" s="72"/>
      <c r="VRJ134" s="72"/>
      <c r="VRK134" s="72"/>
      <c r="VRL134" s="72"/>
      <c r="VRM134" s="72"/>
      <c r="VRN134" s="72"/>
      <c r="VRO134" s="72"/>
      <c r="VRP134" s="72"/>
      <c r="VRQ134" s="72"/>
      <c r="VRR134" s="72"/>
      <c r="VRS134" s="72"/>
      <c r="VRT134" s="72"/>
      <c r="VRU134" s="72"/>
      <c r="VRV134" s="72"/>
      <c r="VRW134" s="72"/>
      <c r="VRX134" s="72"/>
      <c r="VRY134" s="72"/>
      <c r="VRZ134" s="72"/>
      <c r="VSA134" s="72"/>
      <c r="VSB134" s="72"/>
      <c r="VSC134" s="72"/>
      <c r="VSD134" s="72"/>
      <c r="VSE134" s="72"/>
      <c r="VSF134" s="72"/>
      <c r="VSG134" s="72"/>
      <c r="VSH134" s="72"/>
      <c r="VSI134" s="72"/>
      <c r="VSJ134" s="72"/>
      <c r="VSK134" s="72"/>
      <c r="VSL134" s="72"/>
      <c r="VSM134" s="72"/>
      <c r="VSN134" s="72"/>
      <c r="VSO134" s="72"/>
      <c r="VSP134" s="72"/>
      <c r="VSQ134" s="72"/>
      <c r="VSR134" s="72"/>
      <c r="VSS134" s="72"/>
      <c r="VST134" s="72"/>
      <c r="VSU134" s="72"/>
      <c r="VSV134" s="72"/>
      <c r="VSW134" s="72"/>
      <c r="VSX134" s="72"/>
      <c r="VSY134" s="72"/>
      <c r="VSZ134" s="72"/>
      <c r="VTA134" s="72"/>
      <c r="VTB134" s="72"/>
      <c r="VTC134" s="72"/>
      <c r="VTD134" s="72"/>
      <c r="VTE134" s="72"/>
      <c r="VTF134" s="72"/>
      <c r="VTG134" s="72"/>
      <c r="VTH134" s="72"/>
      <c r="VTI134" s="72"/>
      <c r="VTJ134" s="72"/>
      <c r="VTK134" s="72"/>
      <c r="VTL134" s="72"/>
      <c r="VTM134" s="72"/>
      <c r="VTN134" s="72"/>
      <c r="VTO134" s="72"/>
      <c r="VTP134" s="72"/>
      <c r="VTQ134" s="72"/>
      <c r="VTR134" s="72"/>
      <c r="VTS134" s="72"/>
      <c r="VTT134" s="72"/>
      <c r="VTU134" s="72"/>
      <c r="VTV134" s="72"/>
      <c r="VTW134" s="72"/>
      <c r="VTX134" s="72"/>
      <c r="VTY134" s="72"/>
      <c r="VTZ134" s="72"/>
      <c r="VUA134" s="72"/>
      <c r="VUB134" s="72"/>
      <c r="VUC134" s="72"/>
      <c r="VUD134" s="72"/>
      <c r="VUE134" s="72"/>
      <c r="VUF134" s="72"/>
      <c r="VUG134" s="72"/>
      <c r="VUH134" s="72"/>
      <c r="VUI134" s="72"/>
      <c r="VUJ134" s="72"/>
      <c r="VUK134" s="72"/>
      <c r="VUL134" s="72"/>
      <c r="VUM134" s="72"/>
      <c r="VUN134" s="72"/>
      <c r="VUO134" s="72"/>
      <c r="VUP134" s="72"/>
      <c r="VUQ134" s="72"/>
      <c r="VUR134" s="72"/>
      <c r="VUS134" s="72"/>
      <c r="VUT134" s="72"/>
      <c r="VUU134" s="72"/>
      <c r="VUV134" s="72"/>
      <c r="VUW134" s="72"/>
      <c r="VUX134" s="72"/>
      <c r="VUY134" s="72"/>
      <c r="VUZ134" s="72"/>
      <c r="VVA134" s="72"/>
      <c r="VVB134" s="72"/>
      <c r="VVC134" s="72"/>
      <c r="VVD134" s="72"/>
      <c r="VVE134" s="72"/>
      <c r="VVF134" s="72"/>
      <c r="VVG134" s="72"/>
      <c r="VVH134" s="72"/>
      <c r="VVI134" s="72"/>
      <c r="VVJ134" s="72"/>
      <c r="VVK134" s="72"/>
      <c r="VVL134" s="72"/>
      <c r="VVM134" s="72"/>
      <c r="VVN134" s="72"/>
      <c r="VVO134" s="72"/>
      <c r="VVP134" s="72"/>
      <c r="VVQ134" s="72"/>
      <c r="VVR134" s="72"/>
      <c r="VVS134" s="72"/>
      <c r="VVT134" s="72"/>
      <c r="VVU134" s="72"/>
      <c r="VVV134" s="72"/>
      <c r="VVW134" s="72"/>
      <c r="VVX134" s="72"/>
      <c r="VVY134" s="72"/>
      <c r="VVZ134" s="72"/>
      <c r="VWA134" s="72"/>
      <c r="VWB134" s="72"/>
      <c r="VWC134" s="72"/>
      <c r="VWD134" s="72"/>
      <c r="VWE134" s="72"/>
      <c r="VWF134" s="72"/>
      <c r="VWG134" s="72"/>
      <c r="VWH134" s="72"/>
      <c r="VWI134" s="72"/>
      <c r="VWJ134" s="72"/>
      <c r="VWK134" s="72"/>
      <c r="VWL134" s="72"/>
      <c r="VWM134" s="72"/>
      <c r="VWN134" s="72"/>
      <c r="VWO134" s="72"/>
      <c r="VWP134" s="72"/>
      <c r="VWQ134" s="72"/>
      <c r="VWR134" s="72"/>
      <c r="VWS134" s="72"/>
      <c r="VWT134" s="72"/>
      <c r="VWU134" s="72"/>
      <c r="VWV134" s="72"/>
      <c r="VWW134" s="72"/>
      <c r="VWX134" s="72"/>
      <c r="VWY134" s="72"/>
      <c r="VWZ134" s="72"/>
      <c r="VXA134" s="72"/>
      <c r="VXB134" s="72"/>
      <c r="VXC134" s="72"/>
      <c r="VXD134" s="72"/>
      <c r="VXE134" s="72"/>
      <c r="VXF134" s="72"/>
      <c r="VXG134" s="72"/>
      <c r="VXH134" s="72"/>
      <c r="VXI134" s="72"/>
      <c r="VXJ134" s="72"/>
      <c r="VXK134" s="72"/>
      <c r="VXL134" s="72"/>
      <c r="VXM134" s="72"/>
      <c r="VXN134" s="72"/>
      <c r="VXO134" s="72"/>
      <c r="VXP134" s="72"/>
      <c r="VXQ134" s="72"/>
      <c r="VXR134" s="72"/>
      <c r="VXS134" s="72"/>
      <c r="VXT134" s="72"/>
      <c r="VXU134" s="72"/>
      <c r="VXV134" s="72"/>
      <c r="VXW134" s="72"/>
      <c r="VXX134" s="72"/>
      <c r="VXY134" s="72"/>
      <c r="VXZ134" s="72"/>
      <c r="VYA134" s="72"/>
      <c r="VYB134" s="72"/>
      <c r="VYC134" s="72"/>
      <c r="VYD134" s="72"/>
      <c r="VYE134" s="72"/>
      <c r="VYF134" s="72"/>
      <c r="VYG134" s="72"/>
      <c r="VYH134" s="72"/>
      <c r="VYI134" s="72"/>
      <c r="VYJ134" s="72"/>
      <c r="VYK134" s="72"/>
      <c r="VYL134" s="72"/>
      <c r="VYM134" s="72"/>
      <c r="VYN134" s="72"/>
      <c r="VYO134" s="72"/>
      <c r="VYP134" s="72"/>
      <c r="VYQ134" s="72"/>
      <c r="VYR134" s="72"/>
      <c r="VYS134" s="72"/>
      <c r="VYT134" s="72"/>
      <c r="VYU134" s="72"/>
      <c r="VYV134" s="72"/>
      <c r="VYW134" s="72"/>
      <c r="VYX134" s="72"/>
      <c r="VYY134" s="72"/>
      <c r="VYZ134" s="72"/>
      <c r="VZA134" s="72"/>
      <c r="VZB134" s="72"/>
      <c r="VZC134" s="72"/>
      <c r="VZD134" s="72"/>
      <c r="VZE134" s="72"/>
      <c r="VZF134" s="72"/>
      <c r="VZG134" s="72"/>
      <c r="VZH134" s="72"/>
      <c r="VZI134" s="72"/>
      <c r="VZJ134" s="72"/>
      <c r="VZK134" s="72"/>
      <c r="VZL134" s="72"/>
      <c r="VZM134" s="72"/>
      <c r="VZN134" s="72"/>
      <c r="VZO134" s="72"/>
      <c r="VZP134" s="72"/>
      <c r="VZQ134" s="72"/>
      <c r="VZR134" s="72"/>
      <c r="VZS134" s="72"/>
      <c r="VZT134" s="72"/>
      <c r="VZU134" s="72"/>
      <c r="VZV134" s="72"/>
      <c r="VZW134" s="72"/>
      <c r="VZX134" s="72"/>
      <c r="VZY134" s="72"/>
      <c r="VZZ134" s="72"/>
      <c r="WAA134" s="72"/>
      <c r="WAB134" s="72"/>
      <c r="WAC134" s="72"/>
      <c r="WAD134" s="72"/>
      <c r="WAE134" s="72"/>
      <c r="WAF134" s="72"/>
      <c r="WAG134" s="72"/>
      <c r="WAH134" s="72"/>
      <c r="WAI134" s="72"/>
      <c r="WAJ134" s="72"/>
      <c r="WAK134" s="72"/>
      <c r="WAL134" s="72"/>
      <c r="WAM134" s="72"/>
      <c r="WAN134" s="72"/>
      <c r="WAO134" s="72"/>
      <c r="WAP134" s="72"/>
      <c r="WAQ134" s="72"/>
      <c r="WAR134" s="72"/>
      <c r="WAS134" s="72"/>
      <c r="WAT134" s="72"/>
      <c r="WAU134" s="72"/>
      <c r="WAV134" s="72"/>
      <c r="WAW134" s="72"/>
      <c r="WAX134" s="72"/>
      <c r="WAY134" s="72"/>
      <c r="WAZ134" s="72"/>
      <c r="WBA134" s="72"/>
      <c r="WBB134" s="72"/>
      <c r="WBC134" s="72"/>
      <c r="WBD134" s="72"/>
      <c r="WBE134" s="72"/>
      <c r="WBF134" s="72"/>
      <c r="WBG134" s="72"/>
      <c r="WBH134" s="72"/>
      <c r="WBI134" s="72"/>
      <c r="WBJ134" s="72"/>
      <c r="WBK134" s="72"/>
      <c r="WBL134" s="72"/>
      <c r="WBM134" s="72"/>
      <c r="WBN134" s="72"/>
      <c r="WBO134" s="72"/>
      <c r="WBP134" s="72"/>
      <c r="WBQ134" s="72"/>
      <c r="WBR134" s="72"/>
      <c r="WBS134" s="72"/>
      <c r="WBT134" s="72"/>
      <c r="WBU134" s="72"/>
      <c r="WBV134" s="72"/>
      <c r="WBW134" s="72"/>
      <c r="WBX134" s="72"/>
      <c r="WBY134" s="72"/>
      <c r="WBZ134" s="72"/>
      <c r="WCA134" s="72"/>
      <c r="WCB134" s="72"/>
      <c r="WCC134" s="72"/>
      <c r="WCD134" s="72"/>
      <c r="WCE134" s="72"/>
      <c r="WCF134" s="72"/>
      <c r="WCG134" s="72"/>
      <c r="WCH134" s="72"/>
      <c r="WCI134" s="72"/>
      <c r="WCJ134" s="72"/>
      <c r="WCK134" s="72"/>
      <c r="WCL134" s="72"/>
      <c r="WCM134" s="72"/>
      <c r="WCN134" s="72"/>
      <c r="WCO134" s="72"/>
      <c r="WCP134" s="72"/>
      <c r="WCQ134" s="72"/>
      <c r="WCR134" s="72"/>
      <c r="WCS134" s="72"/>
      <c r="WCT134" s="72"/>
      <c r="WCU134" s="72"/>
      <c r="WCV134" s="72"/>
      <c r="WCW134" s="72"/>
      <c r="WCX134" s="72"/>
      <c r="WCY134" s="72"/>
      <c r="WCZ134" s="72"/>
      <c r="WDA134" s="72"/>
      <c r="WDB134" s="72"/>
      <c r="WDC134" s="72"/>
      <c r="WDD134" s="72"/>
      <c r="WDE134" s="72"/>
      <c r="WDF134" s="72"/>
      <c r="WDG134" s="72"/>
      <c r="WDH134" s="72"/>
      <c r="WDI134" s="72"/>
      <c r="WDJ134" s="72"/>
      <c r="WDK134" s="72"/>
      <c r="WDL134" s="72"/>
      <c r="WDM134" s="72"/>
      <c r="WDN134" s="72"/>
      <c r="WDO134" s="72"/>
      <c r="WDP134" s="72"/>
      <c r="WDQ134" s="72"/>
      <c r="WDR134" s="72"/>
      <c r="WDS134" s="72"/>
      <c r="WDT134" s="72"/>
      <c r="WDU134" s="72"/>
      <c r="WDV134" s="72"/>
      <c r="WDW134" s="72"/>
      <c r="WDX134" s="72"/>
      <c r="WDY134" s="72"/>
      <c r="WDZ134" s="72"/>
      <c r="WEA134" s="72"/>
      <c r="WEB134" s="72"/>
      <c r="WEC134" s="72"/>
      <c r="WED134" s="72"/>
      <c r="WEE134" s="72"/>
      <c r="WEF134" s="72"/>
      <c r="WEG134" s="72"/>
      <c r="WEH134" s="72"/>
      <c r="WEI134" s="72"/>
      <c r="WEJ134" s="72"/>
      <c r="WEK134" s="72"/>
      <c r="WEL134" s="72"/>
      <c r="WEM134" s="72"/>
      <c r="WEN134" s="72"/>
      <c r="WEO134" s="72"/>
      <c r="WEP134" s="72"/>
      <c r="WEQ134" s="72"/>
      <c r="WER134" s="72"/>
      <c r="WES134" s="72"/>
      <c r="WET134" s="72"/>
      <c r="WEU134" s="72"/>
      <c r="WEV134" s="72"/>
      <c r="WEW134" s="72"/>
      <c r="WEX134" s="72"/>
      <c r="WEY134" s="72"/>
      <c r="WEZ134" s="72"/>
      <c r="WFA134" s="72"/>
      <c r="WFB134" s="72"/>
      <c r="WFC134" s="72"/>
      <c r="WFD134" s="72"/>
      <c r="WFE134" s="72"/>
      <c r="WFF134" s="72"/>
      <c r="WFG134" s="72"/>
      <c r="WFH134" s="72"/>
      <c r="WFI134" s="72"/>
      <c r="WFJ134" s="72"/>
      <c r="WFK134" s="72"/>
      <c r="WFL134" s="72"/>
      <c r="WFM134" s="72"/>
      <c r="WFN134" s="72"/>
      <c r="WFO134" s="72"/>
      <c r="WFP134" s="72"/>
      <c r="WFQ134" s="72"/>
      <c r="WFR134" s="72"/>
      <c r="WFS134" s="72"/>
      <c r="WFT134" s="72"/>
      <c r="WFU134" s="72"/>
      <c r="WFV134" s="72"/>
      <c r="WFW134" s="72"/>
      <c r="WFX134" s="72"/>
      <c r="WFY134" s="72"/>
      <c r="WFZ134" s="72"/>
      <c r="WGA134" s="72"/>
      <c r="WGB134" s="72"/>
      <c r="WGC134" s="72"/>
      <c r="WGD134" s="72"/>
      <c r="WGE134" s="72"/>
      <c r="WGF134" s="72"/>
      <c r="WGG134" s="72"/>
      <c r="WGH134" s="72"/>
      <c r="WGI134" s="72"/>
      <c r="WGJ134" s="72"/>
      <c r="WGK134" s="72"/>
      <c r="WGL134" s="72"/>
      <c r="WGM134" s="72"/>
      <c r="WGN134" s="72"/>
      <c r="WGO134" s="72"/>
      <c r="WGP134" s="72"/>
      <c r="WGQ134" s="72"/>
      <c r="WGR134" s="72"/>
      <c r="WGS134" s="72"/>
      <c r="WGT134" s="72"/>
      <c r="WGU134" s="72"/>
      <c r="WGV134" s="72"/>
      <c r="WGW134" s="72"/>
      <c r="WGX134" s="72"/>
      <c r="WGY134" s="72"/>
      <c r="WGZ134" s="72"/>
      <c r="WHA134" s="72"/>
      <c r="WHB134" s="72"/>
      <c r="WHC134" s="72"/>
      <c r="WHD134" s="72"/>
      <c r="WHE134" s="72"/>
      <c r="WHF134" s="72"/>
      <c r="WHG134" s="72"/>
      <c r="WHH134" s="72"/>
      <c r="WHI134" s="72"/>
      <c r="WHJ134" s="72"/>
      <c r="WHK134" s="72"/>
      <c r="WHL134" s="72"/>
      <c r="WHM134" s="72"/>
      <c r="WHN134" s="72"/>
      <c r="WHO134" s="72"/>
      <c r="WHP134" s="72"/>
      <c r="WHQ134" s="72"/>
      <c r="WHR134" s="72"/>
      <c r="WHS134" s="72"/>
      <c r="WHT134" s="72"/>
      <c r="WHU134" s="72"/>
      <c r="WHV134" s="72"/>
      <c r="WHW134" s="72"/>
      <c r="WHX134" s="72"/>
      <c r="WHY134" s="72"/>
      <c r="WHZ134" s="72"/>
      <c r="WIA134" s="72"/>
      <c r="WIB134" s="72"/>
      <c r="WIC134" s="72"/>
      <c r="WID134" s="72"/>
      <c r="WIE134" s="72"/>
      <c r="WIF134" s="72"/>
      <c r="WIG134" s="72"/>
      <c r="WIH134" s="72"/>
      <c r="WII134" s="72"/>
      <c r="WIJ134" s="72"/>
      <c r="WIK134" s="72"/>
      <c r="WIL134" s="72"/>
      <c r="WIM134" s="72"/>
      <c r="WIN134" s="72"/>
      <c r="WIO134" s="72"/>
      <c r="WIP134" s="72"/>
      <c r="WIQ134" s="72"/>
      <c r="WIR134" s="72"/>
      <c r="WIS134" s="72"/>
      <c r="WIT134" s="72"/>
      <c r="WIU134" s="72"/>
      <c r="WIV134" s="72"/>
      <c r="WIW134" s="72"/>
      <c r="WIX134" s="72"/>
      <c r="WIY134" s="72"/>
      <c r="WIZ134" s="72"/>
      <c r="WJA134" s="72"/>
      <c r="WJB134" s="72"/>
      <c r="WJC134" s="72"/>
      <c r="WJD134" s="72"/>
      <c r="WJE134" s="72"/>
      <c r="WJF134" s="72"/>
      <c r="WJG134" s="72"/>
      <c r="WJH134" s="72"/>
      <c r="WJI134" s="72"/>
      <c r="WJJ134" s="72"/>
      <c r="WJK134" s="72"/>
      <c r="WJL134" s="72"/>
      <c r="WJM134" s="72"/>
      <c r="WJN134" s="72"/>
      <c r="WJO134" s="72"/>
      <c r="WJP134" s="72"/>
      <c r="WJQ134" s="72"/>
      <c r="WJR134" s="72"/>
      <c r="WJS134" s="72"/>
      <c r="WJT134" s="72"/>
      <c r="WJU134" s="72"/>
      <c r="WJV134" s="72"/>
      <c r="WJW134" s="72"/>
      <c r="WJX134" s="72"/>
      <c r="WJY134" s="72"/>
      <c r="WJZ134" s="72"/>
      <c r="WKA134" s="72"/>
      <c r="WKB134" s="72"/>
      <c r="WKC134" s="72"/>
      <c r="WKD134" s="72"/>
      <c r="WKE134" s="72"/>
      <c r="WKF134" s="72"/>
      <c r="WKG134" s="72"/>
      <c r="WKH134" s="72"/>
      <c r="WKI134" s="72"/>
      <c r="WKJ134" s="72"/>
      <c r="WKK134" s="72"/>
      <c r="WKL134" s="72"/>
      <c r="WKM134" s="72"/>
      <c r="WKN134" s="72"/>
      <c r="WKO134" s="72"/>
      <c r="WKP134" s="72"/>
      <c r="WKQ134" s="72"/>
      <c r="WKR134" s="72"/>
      <c r="WKS134" s="72"/>
      <c r="WKT134" s="72"/>
      <c r="WKU134" s="72"/>
      <c r="WKV134" s="72"/>
      <c r="WKW134" s="72"/>
      <c r="WKX134" s="72"/>
      <c r="WKY134" s="72"/>
      <c r="WKZ134" s="72"/>
      <c r="WLA134" s="72"/>
      <c r="WLB134" s="72"/>
      <c r="WLC134" s="72"/>
      <c r="WLD134" s="72"/>
      <c r="WLE134" s="72"/>
      <c r="WLF134" s="72"/>
      <c r="WLG134" s="72"/>
      <c r="WLH134" s="72"/>
      <c r="WLI134" s="72"/>
      <c r="WLJ134" s="72"/>
      <c r="WLK134" s="72"/>
      <c r="WLL134" s="72"/>
      <c r="WLM134" s="72"/>
      <c r="WLN134" s="72"/>
      <c r="WLO134" s="72"/>
      <c r="WLP134" s="72"/>
      <c r="WLQ134" s="72"/>
      <c r="WLR134" s="72"/>
      <c r="WLS134" s="72"/>
      <c r="WLT134" s="72"/>
      <c r="WLU134" s="72"/>
      <c r="WLV134" s="72"/>
      <c r="WLW134" s="72"/>
      <c r="WLX134" s="72"/>
      <c r="WLY134" s="72"/>
      <c r="WLZ134" s="72"/>
      <c r="WMA134" s="72"/>
      <c r="WMB134" s="72"/>
      <c r="WMC134" s="72"/>
      <c r="WMD134" s="72"/>
      <c r="WME134" s="72"/>
      <c r="WMF134" s="72"/>
      <c r="WMG134" s="72"/>
      <c r="WMH134" s="72"/>
      <c r="WMI134" s="72"/>
      <c r="WMJ134" s="72"/>
      <c r="WMK134" s="72"/>
      <c r="WML134" s="72"/>
      <c r="WMM134" s="72"/>
      <c r="WMN134" s="72"/>
      <c r="WMO134" s="72"/>
      <c r="WMP134" s="72"/>
      <c r="WMQ134" s="72"/>
      <c r="WMR134" s="72"/>
      <c r="WMS134" s="72"/>
      <c r="WMT134" s="72"/>
      <c r="WMU134" s="72"/>
      <c r="WMV134" s="72"/>
      <c r="WMW134" s="72"/>
      <c r="WMX134" s="72"/>
      <c r="WMY134" s="72"/>
      <c r="WMZ134" s="72"/>
      <c r="WNA134" s="72"/>
      <c r="WNB134" s="72"/>
      <c r="WNC134" s="72"/>
      <c r="WND134" s="72"/>
      <c r="WNE134" s="72"/>
      <c r="WNF134" s="72"/>
      <c r="WNG134" s="72"/>
      <c r="WNH134" s="72"/>
      <c r="WNI134" s="72"/>
      <c r="WNJ134" s="72"/>
      <c r="WNK134" s="72"/>
      <c r="WNL134" s="72"/>
      <c r="WNM134" s="72"/>
      <c r="WNN134" s="72"/>
      <c r="WNO134" s="72"/>
      <c r="WNP134" s="72"/>
      <c r="WNQ134" s="72"/>
      <c r="WNR134" s="72"/>
      <c r="WNS134" s="72"/>
      <c r="WNT134" s="72"/>
      <c r="WNU134" s="72"/>
      <c r="WNV134" s="72"/>
      <c r="WNW134" s="72"/>
      <c r="WNX134" s="72"/>
      <c r="WNY134" s="72"/>
      <c r="WNZ134" s="72"/>
      <c r="WOA134" s="72"/>
      <c r="WOB134" s="72"/>
      <c r="WOC134" s="72"/>
      <c r="WOD134" s="72"/>
      <c r="WOE134" s="72"/>
      <c r="WOF134" s="72"/>
      <c r="WOG134" s="72"/>
      <c r="WOH134" s="72"/>
      <c r="WOI134" s="72"/>
      <c r="WOJ134" s="72"/>
      <c r="WOK134" s="72"/>
      <c r="WOL134" s="72"/>
      <c r="WOM134" s="72"/>
      <c r="WON134" s="72"/>
      <c r="WOO134" s="72"/>
      <c r="WOP134" s="72"/>
      <c r="WOQ134" s="72"/>
      <c r="WOR134" s="72"/>
      <c r="WOS134" s="72"/>
      <c r="WOT134" s="72"/>
      <c r="WOU134" s="72"/>
      <c r="WOV134" s="72"/>
      <c r="WOW134" s="72"/>
      <c r="WOX134" s="72"/>
      <c r="WOY134" s="72"/>
      <c r="WOZ134" s="72"/>
      <c r="WPA134" s="72"/>
      <c r="WPB134" s="72"/>
      <c r="WPC134" s="72"/>
      <c r="WPD134" s="72"/>
      <c r="WPE134" s="72"/>
      <c r="WPF134" s="72"/>
      <c r="WPG134" s="72"/>
      <c r="WPH134" s="72"/>
      <c r="WPI134" s="72"/>
      <c r="WPJ134" s="72"/>
      <c r="WPK134" s="72"/>
      <c r="WPL134" s="72"/>
      <c r="WPM134" s="72"/>
      <c r="WPN134" s="72"/>
      <c r="WPO134" s="72"/>
      <c r="WPP134" s="72"/>
      <c r="WPQ134" s="72"/>
      <c r="WPR134" s="72"/>
      <c r="WPS134" s="72"/>
      <c r="WPT134" s="72"/>
      <c r="WPU134" s="72"/>
      <c r="WPV134" s="72"/>
      <c r="WPW134" s="72"/>
      <c r="WPX134" s="72"/>
      <c r="WPY134" s="72"/>
      <c r="WPZ134" s="72"/>
      <c r="WQA134" s="72"/>
      <c r="WQB134" s="72"/>
      <c r="WQC134" s="72"/>
      <c r="WQD134" s="72"/>
      <c r="WQE134" s="72"/>
      <c r="WQF134" s="72"/>
      <c r="WQG134" s="72"/>
      <c r="WQH134" s="72"/>
      <c r="WQI134" s="72"/>
      <c r="WQJ134" s="72"/>
      <c r="WQK134" s="72"/>
      <c r="WQL134" s="72"/>
      <c r="WQM134" s="72"/>
      <c r="WQN134" s="72"/>
      <c r="WQO134" s="72"/>
      <c r="WQP134" s="72"/>
      <c r="WQQ134" s="72"/>
      <c r="WQR134" s="72"/>
      <c r="WQS134" s="72"/>
      <c r="WQT134" s="72"/>
      <c r="WQU134" s="72"/>
      <c r="WQV134" s="72"/>
      <c r="WQW134" s="72"/>
      <c r="WQX134" s="72"/>
      <c r="WQY134" s="72"/>
      <c r="WQZ134" s="72"/>
      <c r="WRA134" s="72"/>
      <c r="WRB134" s="72"/>
      <c r="WRC134" s="72"/>
      <c r="WRD134" s="72"/>
      <c r="WRE134" s="72"/>
      <c r="WRF134" s="72"/>
      <c r="WRG134" s="72"/>
      <c r="WRH134" s="72"/>
      <c r="WRI134" s="72"/>
      <c r="WRJ134" s="72"/>
      <c r="WRK134" s="72"/>
      <c r="WRL134" s="72"/>
      <c r="WRM134" s="72"/>
      <c r="WRN134" s="72"/>
      <c r="WRO134" s="72"/>
      <c r="WRP134" s="72"/>
      <c r="WRQ134" s="72"/>
      <c r="WRR134" s="72"/>
      <c r="WRS134" s="72"/>
      <c r="WRT134" s="72"/>
      <c r="WRU134" s="72"/>
      <c r="WRV134" s="72"/>
      <c r="WRW134" s="72"/>
      <c r="WRX134" s="72"/>
      <c r="WRY134" s="72"/>
      <c r="WRZ134" s="72"/>
      <c r="WSA134" s="72"/>
      <c r="WSB134" s="72"/>
      <c r="WSC134" s="72"/>
      <c r="WSD134" s="72"/>
      <c r="WSE134" s="72"/>
      <c r="WSF134" s="72"/>
      <c r="WSG134" s="72"/>
      <c r="WSH134" s="72"/>
      <c r="WSI134" s="72"/>
      <c r="WSJ134" s="72"/>
      <c r="WSK134" s="72"/>
      <c r="WSL134" s="72"/>
      <c r="WSM134" s="72"/>
      <c r="WSN134" s="72"/>
      <c r="WSO134" s="72"/>
      <c r="WSP134" s="72"/>
      <c r="WSQ134" s="72"/>
      <c r="WSR134" s="72"/>
      <c r="WSS134" s="72"/>
      <c r="WST134" s="72"/>
      <c r="WSU134" s="72"/>
      <c r="WSV134" s="72"/>
      <c r="WSW134" s="72"/>
      <c r="WSX134" s="72"/>
      <c r="WSY134" s="72"/>
      <c r="WSZ134" s="72"/>
      <c r="WTA134" s="72"/>
      <c r="WTB134" s="72"/>
      <c r="WTC134" s="72"/>
      <c r="WTD134" s="72"/>
      <c r="WTE134" s="72"/>
      <c r="WTF134" s="72"/>
      <c r="WTG134" s="72"/>
      <c r="WTH134" s="72"/>
      <c r="WTI134" s="72"/>
      <c r="WTJ134" s="72"/>
      <c r="WTK134" s="72"/>
      <c r="WTL134" s="72"/>
      <c r="WTM134" s="72"/>
      <c r="WTN134" s="72"/>
      <c r="WTO134" s="72"/>
      <c r="WTP134" s="72"/>
      <c r="WTQ134" s="72"/>
      <c r="WTR134" s="72"/>
      <c r="WTS134" s="72"/>
      <c r="WTT134" s="72"/>
      <c r="WTU134" s="72"/>
      <c r="WTV134" s="72"/>
      <c r="WTW134" s="72"/>
      <c r="WTX134" s="72"/>
      <c r="WTY134" s="72"/>
      <c r="WTZ134" s="72"/>
      <c r="WUA134" s="72"/>
      <c r="WUB134" s="72"/>
      <c r="WUC134" s="72"/>
      <c r="WUD134" s="72"/>
      <c r="WUE134" s="72"/>
      <c r="WUF134" s="72"/>
      <c r="WUG134" s="72"/>
      <c r="WUH134" s="72"/>
      <c r="WUI134" s="72"/>
      <c r="WUJ134" s="72"/>
      <c r="WUK134" s="72"/>
      <c r="WUL134" s="72"/>
      <c r="WUM134" s="72"/>
      <c r="WUN134" s="72"/>
      <c r="WUO134" s="72"/>
      <c r="WUP134" s="72"/>
      <c r="WUQ134" s="72"/>
      <c r="WUR134" s="72"/>
      <c r="WUS134" s="72"/>
      <c r="WUT134" s="72"/>
      <c r="WUU134" s="72"/>
      <c r="WUV134" s="72"/>
      <c r="WUW134" s="72"/>
      <c r="WUX134" s="72"/>
      <c r="WUY134" s="72"/>
      <c r="WUZ134" s="72"/>
      <c r="WVA134" s="72"/>
      <c r="WVB134" s="72"/>
      <c r="WVC134" s="72"/>
      <c r="WVD134" s="72"/>
      <c r="WVE134" s="72"/>
      <c r="WVF134" s="72"/>
      <c r="WVG134" s="72"/>
      <c r="WVH134" s="72"/>
      <c r="WVI134" s="72"/>
      <c r="WVJ134" s="72"/>
      <c r="WVK134" s="72"/>
      <c r="WVL134" s="72"/>
      <c r="WVM134" s="72"/>
      <c r="WVN134" s="72"/>
      <c r="WVO134" s="72"/>
      <c r="WVP134" s="72"/>
      <c r="WVQ134" s="72"/>
      <c r="WVR134" s="72"/>
      <c r="WVS134" s="72"/>
      <c r="WVT134" s="72"/>
    </row>
    <row r="135" spans="1:16140" s="28" customFormat="1" ht="27.75" customHeight="1" x14ac:dyDescent="0.25">
      <c r="A135" s="139" t="s">
        <v>27</v>
      </c>
      <c r="B135" s="139"/>
      <c r="C135" s="139"/>
      <c r="D135" s="139"/>
      <c r="E135" s="139"/>
      <c r="F135" s="139"/>
      <c r="G135" s="139"/>
      <c r="H135" s="40">
        <f>SUMPRODUCT(H13:H134,I13:I134)</f>
        <v>501.25823200000002</v>
      </c>
      <c r="I135" s="41"/>
      <c r="J135" s="42"/>
      <c r="K135" s="42"/>
      <c r="L135" s="89">
        <f>SUM(L13:L134)</f>
        <v>1532295655.9970002</v>
      </c>
      <c r="M135" s="126">
        <v>1</v>
      </c>
      <c r="N135" s="119" t="s">
        <v>215</v>
      </c>
      <c r="O135" s="103">
        <f>GKH!L176</f>
        <v>2082194740.5480006</v>
      </c>
      <c r="P135" s="91"/>
    </row>
    <row r="136" spans="1:16140" s="37" customFormat="1" ht="27.75" customHeight="1" x14ac:dyDescent="0.25">
      <c r="A136" s="140" t="s">
        <v>28</v>
      </c>
      <c r="B136" s="140"/>
      <c r="C136" s="140"/>
      <c r="D136" s="140" t="s">
        <v>213</v>
      </c>
      <c r="E136" s="140"/>
      <c r="F136" s="140"/>
      <c r="G136" s="140"/>
      <c r="H136" s="140"/>
      <c r="I136" s="140"/>
      <c r="J136" s="140"/>
      <c r="K136" s="140"/>
      <c r="L136" s="141"/>
      <c r="M136" s="126">
        <v>2</v>
      </c>
      <c r="N136" s="120" t="s">
        <v>221</v>
      </c>
      <c r="O136" s="103">
        <f>L135</f>
        <v>1532295655.9970002</v>
      </c>
      <c r="P136" s="91"/>
      <c r="Q136" s="28"/>
      <c r="R136" s="28"/>
      <c r="S136" s="28"/>
      <c r="T136" s="28"/>
      <c r="U136" s="28"/>
      <c r="V136" s="28"/>
      <c r="W136" s="28"/>
      <c r="X136" s="28"/>
      <c r="Y136" s="28"/>
      <c r="Z136" s="28"/>
      <c r="AA136" s="28"/>
      <c r="AB136" s="28"/>
      <c r="AC136" s="28"/>
      <c r="AD136" s="28"/>
      <c r="AE136" s="28"/>
      <c r="AF136" s="28"/>
      <c r="AG136" s="28"/>
      <c r="AH136" s="28"/>
      <c r="AI136" s="28"/>
    </row>
    <row r="137" spans="1:16140" s="118" customFormat="1" ht="27.75" customHeight="1" x14ac:dyDescent="0.25">
      <c r="A137" s="117"/>
      <c r="B137" s="117"/>
      <c r="C137" s="117"/>
      <c r="D137" s="117"/>
      <c r="E137" s="117"/>
      <c r="F137" s="117"/>
      <c r="G137" s="117"/>
      <c r="H137" s="117"/>
      <c r="I137" s="117"/>
      <c r="J137" s="117"/>
      <c r="K137" s="117"/>
      <c r="L137" s="117"/>
      <c r="M137" s="126">
        <v>3</v>
      </c>
      <c r="N137" s="120" t="s">
        <v>223</v>
      </c>
      <c r="O137" s="103">
        <f>O136*0.35</f>
        <v>536303479.59895003</v>
      </c>
      <c r="P137" s="91"/>
      <c r="Q137" s="28"/>
      <c r="R137" s="28"/>
      <c r="S137" s="28"/>
      <c r="T137" s="28"/>
      <c r="U137" s="28"/>
      <c r="V137" s="28"/>
      <c r="W137" s="28"/>
      <c r="X137" s="28"/>
      <c r="Y137" s="28"/>
      <c r="Z137" s="28"/>
      <c r="AA137" s="28"/>
      <c r="AB137" s="28"/>
      <c r="AC137" s="28"/>
      <c r="AD137" s="28"/>
      <c r="AE137" s="28"/>
      <c r="AF137" s="28"/>
      <c r="AG137" s="28"/>
      <c r="AH137" s="28"/>
      <c r="AI137" s="28"/>
    </row>
    <row r="138" spans="1:16140" s="118" customFormat="1" ht="27.75" customHeight="1" x14ac:dyDescent="0.25">
      <c r="A138" s="117"/>
      <c r="B138" s="117"/>
      <c r="C138" s="117"/>
      <c r="D138" s="117"/>
      <c r="E138" s="117"/>
      <c r="F138" s="117"/>
      <c r="G138" s="117"/>
      <c r="H138" s="117"/>
      <c r="I138" s="117"/>
      <c r="J138" s="117"/>
      <c r="K138" s="117"/>
      <c r="L138" s="117"/>
      <c r="M138" s="126">
        <v>4</v>
      </c>
      <c r="N138" s="120" t="s">
        <v>222</v>
      </c>
      <c r="O138" s="103">
        <f>O136*0.15</f>
        <v>229844348.39955002</v>
      </c>
      <c r="P138" s="91"/>
      <c r="Q138" s="28"/>
      <c r="R138" s="28"/>
      <c r="S138" s="28"/>
      <c r="T138" s="28"/>
      <c r="U138" s="28"/>
      <c r="V138" s="28"/>
      <c r="W138" s="28"/>
      <c r="X138" s="28"/>
      <c r="Y138" s="28"/>
      <c r="Z138" s="28"/>
      <c r="AA138" s="28"/>
      <c r="AB138" s="28"/>
      <c r="AC138" s="28"/>
      <c r="AD138" s="28"/>
      <c r="AE138" s="28"/>
      <c r="AF138" s="28"/>
      <c r="AG138" s="28"/>
      <c r="AH138" s="28"/>
      <c r="AI138" s="28"/>
    </row>
    <row r="139" spans="1:16140" s="28" customFormat="1" ht="27.75" customHeight="1" x14ac:dyDescent="0.25">
      <c r="A139" s="131" t="s">
        <v>29</v>
      </c>
      <c r="B139" s="131"/>
      <c r="C139" s="131"/>
      <c r="D139" s="17"/>
      <c r="E139" s="38"/>
      <c r="F139" s="17"/>
      <c r="G139" s="17"/>
      <c r="H139" s="18"/>
      <c r="I139" s="17"/>
      <c r="J139" s="33"/>
      <c r="K139" s="33"/>
      <c r="L139" s="19"/>
      <c r="M139" s="127">
        <v>5</v>
      </c>
      <c r="N139" s="106" t="s">
        <v>225</v>
      </c>
      <c r="O139" s="105">
        <f>O137+O138</f>
        <v>766147827.99850011</v>
      </c>
      <c r="P139" s="105">
        <v>300000000</v>
      </c>
    </row>
    <row r="140" spans="1:16140" s="28" customFormat="1" ht="27.75" customHeight="1" x14ac:dyDescent="0.25">
      <c r="A140" s="130" t="s">
        <v>209</v>
      </c>
      <c r="B140" s="130"/>
      <c r="C140" s="130"/>
      <c r="D140" s="130"/>
      <c r="E140" s="130"/>
      <c r="F140" s="130"/>
      <c r="G140" s="130"/>
      <c r="H140" s="130"/>
      <c r="I140" s="130"/>
      <c r="J140" s="130"/>
      <c r="K140" s="130"/>
      <c r="L140" s="130"/>
      <c r="M140" s="122"/>
      <c r="N140" s="104"/>
      <c r="O140" s="103"/>
      <c r="P140" s="91"/>
    </row>
    <row r="141" spans="1:16140" s="28" customFormat="1" ht="27.75" customHeight="1" x14ac:dyDescent="0.25">
      <c r="A141" s="128" t="s">
        <v>30</v>
      </c>
      <c r="B141" s="128"/>
      <c r="C141" s="128"/>
      <c r="D141" s="128"/>
      <c r="E141" s="128"/>
      <c r="F141" s="128"/>
      <c r="G141" s="128"/>
      <c r="H141" s="128"/>
      <c r="I141" s="128"/>
      <c r="J141" s="128"/>
      <c r="K141" s="128"/>
      <c r="L141" s="128"/>
      <c r="M141" s="123"/>
      <c r="N141" s="104" t="s">
        <v>216</v>
      </c>
      <c r="O141" s="103">
        <f>O135-O136</f>
        <v>549899084.55100036</v>
      </c>
      <c r="P141" s="91"/>
    </row>
    <row r="142" spans="1:16140" s="28" customFormat="1" ht="27.75" customHeight="1" x14ac:dyDescent="0.25">
      <c r="A142" s="128" t="s">
        <v>31</v>
      </c>
      <c r="B142" s="128"/>
      <c r="C142" s="128"/>
      <c r="D142" s="128"/>
      <c r="E142" s="128"/>
      <c r="F142" s="128"/>
      <c r="G142" s="128"/>
      <c r="H142" s="128"/>
      <c r="I142" s="128"/>
      <c r="J142" s="128"/>
      <c r="K142" s="128"/>
      <c r="L142" s="128"/>
      <c r="M142" s="123"/>
      <c r="N142" s="104" t="s">
        <v>219</v>
      </c>
      <c r="O142" s="103">
        <f>O141*0.35</f>
        <v>192464679.59285012</v>
      </c>
      <c r="P142" s="91"/>
    </row>
    <row r="143" spans="1:16140" s="28" customFormat="1" ht="27.75" customHeight="1" x14ac:dyDescent="0.25">
      <c r="A143" s="130" t="s">
        <v>214</v>
      </c>
      <c r="B143" s="130"/>
      <c r="C143" s="130"/>
      <c r="D143" s="130"/>
      <c r="E143" s="130"/>
      <c r="F143" s="130"/>
      <c r="G143" s="130"/>
      <c r="H143" s="130"/>
      <c r="I143" s="130"/>
      <c r="J143" s="130"/>
      <c r="K143" s="130"/>
      <c r="L143" s="2"/>
      <c r="M143" s="124"/>
      <c r="N143" s="104" t="s">
        <v>217</v>
      </c>
      <c r="O143" s="103">
        <f>O141*0.15</f>
        <v>82484862.682650045</v>
      </c>
      <c r="P143" s="91"/>
    </row>
    <row r="144" spans="1:16140" s="28" customFormat="1" ht="27.75" customHeight="1" x14ac:dyDescent="0.25">
      <c r="A144" s="128" t="s">
        <v>32</v>
      </c>
      <c r="B144" s="128"/>
      <c r="C144" s="128"/>
      <c r="D144" s="128"/>
      <c r="E144" s="128"/>
      <c r="F144" s="128"/>
      <c r="G144" s="128"/>
      <c r="H144" s="128"/>
      <c r="I144" s="128"/>
      <c r="J144" s="128"/>
      <c r="K144" s="128"/>
      <c r="L144" s="2"/>
      <c r="M144" s="124"/>
      <c r="N144" s="106" t="s">
        <v>218</v>
      </c>
      <c r="O144" s="105">
        <f>O143+O142</f>
        <v>274949542.27550018</v>
      </c>
      <c r="P144" s="109">
        <f>O144</f>
        <v>274949542.27550018</v>
      </c>
    </row>
    <row r="145" spans="1:16" s="28" customFormat="1" ht="25.5" customHeight="1" x14ac:dyDescent="0.25">
      <c r="A145" s="128" t="s">
        <v>33</v>
      </c>
      <c r="B145" s="128"/>
      <c r="C145" s="128"/>
      <c r="D145" s="128"/>
      <c r="E145" s="128"/>
      <c r="F145" s="128"/>
      <c r="G145" s="128"/>
      <c r="H145" s="128"/>
      <c r="I145" s="128"/>
      <c r="J145" s="128"/>
      <c r="K145" s="128"/>
      <c r="L145" s="128"/>
      <c r="M145" s="123"/>
      <c r="N145" s="91"/>
      <c r="O145" s="90"/>
      <c r="P145" s="110">
        <f>P144+P139</f>
        <v>574949542.27550018</v>
      </c>
    </row>
    <row r="146" spans="1:16" s="28" customFormat="1" ht="16.899999999999999" customHeight="1" x14ac:dyDescent="0.25">
      <c r="A146" s="128" t="s">
        <v>34</v>
      </c>
      <c r="B146" s="128"/>
      <c r="C146" s="128"/>
      <c r="D146" s="128"/>
      <c r="E146" s="128"/>
      <c r="F146" s="128"/>
      <c r="G146" s="128"/>
      <c r="H146" s="128"/>
      <c r="I146" s="128"/>
      <c r="J146" s="128"/>
      <c r="K146" s="128"/>
      <c r="L146" s="128"/>
      <c r="M146" s="83"/>
      <c r="O146" s="85"/>
    </row>
    <row r="147" spans="1:16" s="28" customFormat="1" ht="25.9" customHeight="1" x14ac:dyDescent="0.25">
      <c r="A147" s="128" t="s">
        <v>200</v>
      </c>
      <c r="B147" s="128"/>
      <c r="C147" s="128"/>
      <c r="D147" s="128"/>
      <c r="E147" s="128"/>
      <c r="F147" s="128"/>
      <c r="G147" s="128"/>
      <c r="H147" s="128"/>
      <c r="I147" s="128"/>
      <c r="J147" s="128"/>
      <c r="K147" s="30"/>
      <c r="L147" s="2"/>
      <c r="M147" s="2"/>
      <c r="O147" s="85"/>
    </row>
    <row r="148" spans="1:16" s="28" customFormat="1" ht="40.9" customHeight="1" x14ac:dyDescent="0.25">
      <c r="A148" s="129" t="s">
        <v>35</v>
      </c>
      <c r="B148" s="129"/>
      <c r="C148" s="129"/>
      <c r="D148" s="129"/>
      <c r="E148" s="129"/>
      <c r="F148" s="129" t="s">
        <v>0</v>
      </c>
      <c r="G148" s="129"/>
      <c r="H148" s="129"/>
      <c r="I148" s="129"/>
      <c r="J148" s="129"/>
      <c r="K148" s="129"/>
      <c r="L148" s="129"/>
      <c r="M148" s="84"/>
      <c r="O148" s="85"/>
    </row>
    <row r="149" spans="1:16" s="28" customFormat="1" ht="120.75" customHeight="1" x14ac:dyDescent="0.25">
      <c r="A149" s="23"/>
      <c r="B149" s="23"/>
      <c r="C149" s="27"/>
      <c r="D149" s="23"/>
      <c r="E149" s="24"/>
      <c r="F149" s="23"/>
      <c r="G149" s="23"/>
      <c r="H149" s="25"/>
      <c r="I149" s="23"/>
      <c r="J149" s="34"/>
      <c r="K149" s="34"/>
      <c r="L149" s="23"/>
      <c r="M149" s="23"/>
      <c r="O149" s="85"/>
    </row>
    <row r="150" spans="1:16" s="28" customFormat="1" ht="120.75" customHeight="1" x14ac:dyDescent="0.25">
      <c r="A150" s="23"/>
      <c r="B150" s="23"/>
      <c r="C150" s="27"/>
      <c r="D150" s="23"/>
      <c r="E150" s="24"/>
      <c r="F150" s="23"/>
      <c r="G150" s="23"/>
      <c r="H150" s="25"/>
      <c r="I150" s="23"/>
      <c r="J150" s="34"/>
      <c r="K150" s="34"/>
      <c r="L150" s="23"/>
      <c r="M150" s="23"/>
      <c r="O150" s="85"/>
    </row>
    <row r="151" spans="1:16" s="28" customFormat="1" ht="120.75" customHeight="1" x14ac:dyDescent="0.25">
      <c r="A151" s="23"/>
      <c r="B151" s="23"/>
      <c r="C151" s="27"/>
      <c r="D151" s="23"/>
      <c r="E151" s="24"/>
      <c r="F151" s="23"/>
      <c r="G151" s="23"/>
      <c r="H151" s="25"/>
      <c r="I151" s="23"/>
      <c r="J151" s="34"/>
      <c r="K151" s="34"/>
      <c r="L151" s="23"/>
      <c r="M151" s="23"/>
      <c r="O151" s="85"/>
    </row>
    <row r="152" spans="1:16" s="28" customFormat="1" ht="120.75" customHeight="1" x14ac:dyDescent="0.25">
      <c r="A152" s="23"/>
      <c r="B152" s="23"/>
      <c r="C152" s="27"/>
      <c r="D152" s="23"/>
      <c r="E152" s="24"/>
      <c r="F152" s="23"/>
      <c r="G152" s="23"/>
      <c r="H152" s="25"/>
      <c r="I152" s="23"/>
      <c r="J152" s="34"/>
      <c r="K152" s="34"/>
      <c r="L152" s="23"/>
      <c r="M152" s="23"/>
      <c r="O152" s="85"/>
    </row>
    <row r="153" spans="1:16" s="28" customFormat="1" ht="120.75" customHeight="1" x14ac:dyDescent="0.25">
      <c r="A153" s="9"/>
      <c r="B153" s="9"/>
      <c r="C153" s="12"/>
      <c r="D153" s="9"/>
      <c r="E153" s="10"/>
      <c r="F153" s="9"/>
      <c r="G153" s="9"/>
      <c r="H153" s="11"/>
      <c r="I153" s="9"/>
      <c r="J153" s="35"/>
      <c r="K153" s="35"/>
      <c r="L153" s="9"/>
      <c r="M153" s="9"/>
      <c r="O153" s="85"/>
    </row>
    <row r="154" spans="1:16" s="28" customFormat="1" ht="120.75" customHeight="1" x14ac:dyDescent="0.25">
      <c r="A154" s="9"/>
      <c r="B154" s="9"/>
      <c r="C154" s="12"/>
      <c r="D154" s="9"/>
      <c r="E154" s="10"/>
      <c r="F154" s="9"/>
      <c r="G154" s="9"/>
      <c r="H154" s="11"/>
      <c r="I154" s="9"/>
      <c r="J154" s="35"/>
      <c r="K154" s="35"/>
      <c r="L154" s="9"/>
      <c r="M154" s="9"/>
      <c r="O154" s="85"/>
    </row>
    <row r="155" spans="1:16" s="28" customFormat="1" ht="120.75" customHeight="1" x14ac:dyDescent="0.25">
      <c r="A155" s="9"/>
      <c r="B155" s="9"/>
      <c r="C155" s="12"/>
      <c r="D155" s="9"/>
      <c r="E155" s="10"/>
      <c r="F155" s="9"/>
      <c r="G155" s="9"/>
      <c r="H155" s="11"/>
      <c r="I155" s="9"/>
      <c r="J155" s="35"/>
      <c r="K155" s="35"/>
      <c r="L155" s="9"/>
      <c r="M155" s="9"/>
      <c r="O155" s="85"/>
    </row>
    <row r="156" spans="1:16" s="6" customFormat="1" ht="30" customHeight="1" x14ac:dyDescent="0.25">
      <c r="A156" s="9"/>
      <c r="B156" s="9"/>
      <c r="C156" s="12"/>
      <c r="D156" s="9"/>
      <c r="E156" s="10"/>
      <c r="F156" s="9"/>
      <c r="G156" s="9"/>
      <c r="H156" s="11"/>
      <c r="I156" s="9"/>
      <c r="J156" s="35"/>
      <c r="K156" s="35"/>
      <c r="L156" s="9"/>
      <c r="M156" s="9"/>
      <c r="O156" s="95"/>
    </row>
    <row r="157" spans="1:16" s="6" customFormat="1" ht="30" customHeight="1" x14ac:dyDescent="0.25">
      <c r="A157" s="9"/>
      <c r="B157" s="9"/>
      <c r="C157" s="12"/>
      <c r="D157" s="9"/>
      <c r="E157" s="10"/>
      <c r="F157" s="9"/>
      <c r="G157" s="9"/>
      <c r="H157" s="11"/>
      <c r="I157" s="9"/>
      <c r="J157" s="35"/>
      <c r="K157" s="35"/>
      <c r="L157" s="9"/>
      <c r="M157" s="9"/>
      <c r="O157" s="95"/>
    </row>
    <row r="158" spans="1:16" s="6" customFormat="1" ht="30" customHeight="1" x14ac:dyDescent="0.25">
      <c r="A158" s="9"/>
      <c r="B158" s="9"/>
      <c r="C158" s="12"/>
      <c r="D158" s="9"/>
      <c r="E158" s="10"/>
      <c r="F158" s="9"/>
      <c r="G158" s="9"/>
      <c r="H158" s="11"/>
      <c r="I158" s="9"/>
      <c r="J158" s="35"/>
      <c r="K158" s="35"/>
      <c r="L158" s="9"/>
      <c r="M158" s="9"/>
      <c r="O158" s="95"/>
    </row>
    <row r="159" spans="1:16" s="6" customFormat="1" ht="30" customHeight="1" x14ac:dyDescent="0.25">
      <c r="A159" s="9"/>
      <c r="B159" s="9"/>
      <c r="C159" s="12"/>
      <c r="D159" s="9"/>
      <c r="E159" s="10"/>
      <c r="F159" s="9"/>
      <c r="G159" s="9"/>
      <c r="H159" s="11"/>
      <c r="I159" s="9"/>
      <c r="J159" s="35"/>
      <c r="K159" s="35"/>
      <c r="L159" s="9"/>
      <c r="M159" s="9"/>
      <c r="O159" s="95"/>
    </row>
    <row r="160" spans="1:16" s="22" customFormat="1" ht="21.75" customHeight="1" x14ac:dyDescent="0.25">
      <c r="A160" s="9"/>
      <c r="B160" s="9"/>
      <c r="C160" s="12"/>
      <c r="D160" s="9"/>
      <c r="E160" s="10"/>
      <c r="F160" s="9"/>
      <c r="G160" s="9"/>
      <c r="H160" s="11"/>
      <c r="I160" s="9"/>
      <c r="J160" s="35"/>
      <c r="K160" s="35"/>
      <c r="L160" s="9"/>
      <c r="M160" s="9"/>
      <c r="O160" s="100"/>
    </row>
    <row r="161" spans="1:15" s="22" customFormat="1" ht="17.25" customHeight="1" x14ac:dyDescent="0.25">
      <c r="A161" s="9"/>
      <c r="B161" s="9"/>
      <c r="C161" s="12"/>
      <c r="D161" s="9"/>
      <c r="E161" s="10"/>
      <c r="F161" s="9"/>
      <c r="G161" s="9"/>
      <c r="H161" s="11"/>
      <c r="I161" s="9"/>
      <c r="J161" s="35"/>
      <c r="K161" s="35"/>
      <c r="L161" s="9"/>
      <c r="M161" s="9"/>
      <c r="O161" s="100"/>
    </row>
    <row r="162" spans="1:15" s="22" customFormat="1" ht="17.25" customHeight="1" x14ac:dyDescent="0.25">
      <c r="A162" s="9"/>
      <c r="B162" s="9"/>
      <c r="C162" s="12"/>
      <c r="D162" s="9"/>
      <c r="E162" s="10"/>
      <c r="F162" s="9"/>
      <c r="G162" s="9"/>
      <c r="H162" s="11"/>
      <c r="I162" s="9"/>
      <c r="J162" s="35"/>
      <c r="K162" s="35"/>
      <c r="L162" s="9"/>
      <c r="M162" s="9"/>
      <c r="O162" s="100"/>
    </row>
    <row r="163" spans="1:15" s="22" customFormat="1" ht="17.25" customHeight="1" x14ac:dyDescent="0.25">
      <c r="A163" s="9"/>
      <c r="B163" s="9"/>
      <c r="C163" s="12"/>
      <c r="D163" s="9"/>
      <c r="E163" s="10"/>
      <c r="F163" s="9"/>
      <c r="G163" s="9"/>
      <c r="H163" s="11"/>
      <c r="I163" s="9"/>
      <c r="J163" s="35"/>
      <c r="K163" s="35"/>
      <c r="L163" s="9"/>
      <c r="M163" s="9"/>
      <c r="O163" s="100"/>
    </row>
    <row r="164" spans="1:15" s="22" customFormat="1" ht="17.25" customHeight="1" x14ac:dyDescent="0.25">
      <c r="A164" s="9"/>
      <c r="B164" s="9"/>
      <c r="C164" s="12"/>
      <c r="D164" s="9"/>
      <c r="E164" s="10"/>
      <c r="F164" s="9"/>
      <c r="G164" s="9"/>
      <c r="H164" s="11"/>
      <c r="I164" s="9"/>
      <c r="J164" s="35"/>
      <c r="K164" s="35"/>
      <c r="L164" s="9"/>
      <c r="M164" s="9"/>
      <c r="O164" s="100"/>
    </row>
    <row r="165" spans="1:15" s="22" customFormat="1" ht="17.25" customHeight="1" x14ac:dyDescent="0.25">
      <c r="A165" s="9"/>
      <c r="B165" s="9"/>
      <c r="C165" s="12"/>
      <c r="D165" s="9"/>
      <c r="E165" s="10"/>
      <c r="F165" s="9"/>
      <c r="G165" s="9"/>
      <c r="H165" s="11"/>
      <c r="I165" s="9"/>
      <c r="J165" s="35"/>
      <c r="K165" s="35"/>
      <c r="L165" s="9"/>
      <c r="M165" s="9"/>
      <c r="O165" s="100"/>
    </row>
    <row r="166" spans="1:15" s="22" customFormat="1" ht="17.25" customHeight="1" x14ac:dyDescent="0.25">
      <c r="A166" s="9"/>
      <c r="B166" s="9"/>
      <c r="C166" s="12"/>
      <c r="D166" s="9"/>
      <c r="E166" s="10"/>
      <c r="F166" s="9"/>
      <c r="G166" s="9"/>
      <c r="H166" s="11"/>
      <c r="I166" s="9"/>
      <c r="J166" s="35"/>
      <c r="K166" s="35"/>
      <c r="L166" s="9"/>
      <c r="M166" s="9"/>
      <c r="O166" s="100"/>
    </row>
    <row r="167" spans="1:15" s="22" customFormat="1" ht="17.25" customHeight="1" x14ac:dyDescent="0.25">
      <c r="A167" s="9"/>
      <c r="B167" s="9"/>
      <c r="C167" s="12"/>
      <c r="D167" s="9"/>
      <c r="E167" s="10"/>
      <c r="F167" s="9"/>
      <c r="G167" s="9"/>
      <c r="H167" s="11"/>
      <c r="I167" s="9"/>
      <c r="J167" s="35"/>
      <c r="K167" s="35"/>
      <c r="L167" s="9"/>
      <c r="M167" s="9"/>
      <c r="O167" s="100"/>
    </row>
    <row r="168" spans="1:15" s="22" customFormat="1" ht="17.25" customHeight="1" x14ac:dyDescent="0.25">
      <c r="A168" s="9"/>
      <c r="B168" s="9"/>
      <c r="C168" s="12"/>
      <c r="D168" s="9"/>
      <c r="E168" s="10"/>
      <c r="F168" s="9"/>
      <c r="G168" s="9"/>
      <c r="H168" s="11"/>
      <c r="I168" s="9"/>
      <c r="J168" s="35"/>
      <c r="K168" s="35"/>
      <c r="L168" s="9"/>
      <c r="M168" s="9"/>
      <c r="O168" s="100"/>
    </row>
    <row r="169" spans="1:15" s="22" customFormat="1" ht="17.25" customHeight="1" x14ac:dyDescent="0.25">
      <c r="A169" s="9"/>
      <c r="B169" s="9"/>
      <c r="C169" s="12"/>
      <c r="D169" s="9"/>
      <c r="E169" s="10"/>
      <c r="F169" s="9"/>
      <c r="G169" s="9"/>
      <c r="H169" s="11"/>
      <c r="I169" s="9"/>
      <c r="J169" s="35"/>
      <c r="K169" s="35"/>
      <c r="L169" s="9"/>
      <c r="M169" s="9"/>
      <c r="O169" s="100"/>
    </row>
    <row r="170" spans="1:15" s="26" customFormat="1" ht="16.5" customHeight="1" x14ac:dyDescent="0.25">
      <c r="A170" s="9"/>
      <c r="B170" s="9"/>
      <c r="C170" s="12"/>
      <c r="D170" s="9"/>
      <c r="E170" s="10"/>
      <c r="F170" s="9"/>
      <c r="G170" s="9"/>
      <c r="H170" s="11"/>
      <c r="I170" s="9"/>
      <c r="J170" s="35"/>
      <c r="K170" s="35"/>
      <c r="L170" s="9"/>
      <c r="M170" s="9"/>
      <c r="O170" s="101"/>
    </row>
    <row r="171" spans="1:15" s="16" customFormat="1" ht="18" customHeight="1" x14ac:dyDescent="0.25">
      <c r="A171" s="9"/>
      <c r="B171" s="9"/>
      <c r="C171" s="12"/>
      <c r="D171" s="9"/>
      <c r="E171" s="10"/>
      <c r="F171" s="9"/>
      <c r="G171" s="9"/>
      <c r="H171" s="11"/>
      <c r="I171" s="9"/>
      <c r="J171" s="35"/>
      <c r="K171" s="35"/>
      <c r="L171" s="9"/>
      <c r="M171" s="9"/>
      <c r="O171" s="102"/>
    </row>
    <row r="172" spans="1:15" s="26" customFormat="1" ht="16.5" customHeight="1" x14ac:dyDescent="0.25">
      <c r="A172" s="9"/>
      <c r="B172" s="9"/>
      <c r="C172" s="12"/>
      <c r="D172" s="9"/>
      <c r="E172" s="10"/>
      <c r="F172" s="9"/>
      <c r="G172" s="9"/>
      <c r="H172" s="11"/>
      <c r="I172" s="9"/>
      <c r="J172" s="35"/>
      <c r="K172" s="35"/>
      <c r="L172" s="9"/>
      <c r="M172" s="9"/>
      <c r="O172" s="101"/>
    </row>
    <row r="173" spans="1:15" s="26" customFormat="1" ht="16.5" customHeight="1" x14ac:dyDescent="0.25">
      <c r="A173" s="9"/>
      <c r="B173" s="9"/>
      <c r="C173" s="12"/>
      <c r="D173" s="9"/>
      <c r="E173" s="10"/>
      <c r="F173" s="9"/>
      <c r="G173" s="9"/>
      <c r="H173" s="11"/>
      <c r="I173" s="9"/>
      <c r="J173" s="35"/>
      <c r="K173" s="35"/>
      <c r="L173" s="9"/>
      <c r="M173" s="9"/>
      <c r="O173" s="101"/>
    </row>
    <row r="174" spans="1:15" s="26" customFormat="1" ht="16.5" customHeight="1" x14ac:dyDescent="0.25">
      <c r="A174" s="9"/>
      <c r="B174" s="9"/>
      <c r="C174" s="12"/>
      <c r="D174" s="9"/>
      <c r="E174" s="10"/>
      <c r="F174" s="9"/>
      <c r="G174" s="9"/>
      <c r="H174" s="11"/>
      <c r="I174" s="9"/>
      <c r="J174" s="35"/>
      <c r="K174" s="35"/>
      <c r="L174" s="9"/>
      <c r="M174" s="9"/>
      <c r="O174" s="101"/>
    </row>
    <row r="175" spans="1:15" s="26" customFormat="1" ht="16.5" customHeight="1" x14ac:dyDescent="0.25">
      <c r="A175" s="9"/>
      <c r="B175" s="9"/>
      <c r="C175" s="12"/>
      <c r="D175" s="9"/>
      <c r="E175" s="10"/>
      <c r="F175" s="9"/>
      <c r="G175" s="9"/>
      <c r="H175" s="11"/>
      <c r="I175" s="9"/>
      <c r="J175" s="35"/>
      <c r="K175" s="35"/>
      <c r="L175" s="9"/>
      <c r="M175" s="9"/>
      <c r="O175" s="101"/>
    </row>
    <row r="176" spans="1:15" s="6" customFormat="1" ht="16.5" customHeight="1" x14ac:dyDescent="0.25">
      <c r="A176" s="9"/>
      <c r="B176" s="9"/>
      <c r="C176" s="12"/>
      <c r="D176" s="9"/>
      <c r="E176" s="10"/>
      <c r="F176" s="9"/>
      <c r="G176" s="9"/>
      <c r="H176" s="11"/>
      <c r="I176" s="9"/>
      <c r="J176" s="35"/>
      <c r="K176" s="35"/>
      <c r="L176" s="9"/>
      <c r="M176" s="9"/>
      <c r="O176" s="95"/>
    </row>
    <row r="177" spans="1:15" s="6" customFormat="1" ht="16.5" customHeight="1" x14ac:dyDescent="0.25">
      <c r="A177" s="9"/>
      <c r="B177" s="9"/>
      <c r="C177" s="12"/>
      <c r="D177" s="9"/>
      <c r="E177" s="10"/>
      <c r="F177" s="9"/>
      <c r="G177" s="9"/>
      <c r="H177" s="11"/>
      <c r="I177" s="9"/>
      <c r="J177" s="35"/>
      <c r="K177" s="35"/>
      <c r="L177" s="9"/>
      <c r="M177" s="9"/>
      <c r="O177" s="95"/>
    </row>
    <row r="178" spans="1:15" s="6" customFormat="1" ht="16.5" customHeight="1" x14ac:dyDescent="0.25">
      <c r="A178" s="9"/>
      <c r="B178" s="9"/>
      <c r="C178" s="12"/>
      <c r="D178" s="9"/>
      <c r="E178" s="10"/>
      <c r="F178" s="9"/>
      <c r="G178" s="9"/>
      <c r="H178" s="11"/>
      <c r="I178" s="9"/>
      <c r="J178" s="35"/>
      <c r="K178" s="35"/>
      <c r="L178" s="9"/>
      <c r="M178" s="9"/>
      <c r="O178" s="95"/>
    </row>
    <row r="179" spans="1:15" s="6" customFormat="1" ht="16.5" customHeight="1" x14ac:dyDescent="0.25">
      <c r="A179" s="9"/>
      <c r="B179" s="9"/>
      <c r="C179" s="12"/>
      <c r="D179" s="9"/>
      <c r="E179" s="10"/>
      <c r="F179" s="9"/>
      <c r="G179" s="9"/>
      <c r="H179" s="11"/>
      <c r="I179" s="9"/>
      <c r="J179" s="35"/>
      <c r="K179" s="35"/>
      <c r="L179" s="9"/>
      <c r="M179" s="9"/>
      <c r="O179" s="95"/>
    </row>
    <row r="180" spans="1:15" s="6" customFormat="1" ht="16.5" customHeight="1" x14ac:dyDescent="0.25">
      <c r="A180" s="9"/>
      <c r="B180" s="9"/>
      <c r="C180" s="12"/>
      <c r="D180" s="9"/>
      <c r="E180" s="10"/>
      <c r="F180" s="9"/>
      <c r="G180" s="9"/>
      <c r="H180" s="11"/>
      <c r="I180" s="9"/>
      <c r="J180" s="35"/>
      <c r="K180" s="35"/>
      <c r="L180" s="9"/>
      <c r="M180" s="9"/>
      <c r="O180" s="95"/>
    </row>
    <row r="181" spans="1:15" s="6" customFormat="1" ht="16.5" customHeight="1" x14ac:dyDescent="0.25">
      <c r="A181" s="9"/>
      <c r="B181" s="9"/>
      <c r="C181" s="12"/>
      <c r="D181" s="9"/>
      <c r="E181" s="10"/>
      <c r="F181" s="9"/>
      <c r="G181" s="9"/>
      <c r="H181" s="11"/>
      <c r="I181" s="9"/>
      <c r="J181" s="35"/>
      <c r="K181" s="35"/>
      <c r="L181" s="9"/>
      <c r="M181" s="9"/>
      <c r="O181" s="95"/>
    </row>
    <row r="182" spans="1:15" s="6" customFormat="1" ht="16.5" customHeight="1" x14ac:dyDescent="0.25">
      <c r="A182" s="9"/>
      <c r="B182" s="9"/>
      <c r="C182" s="12"/>
      <c r="D182" s="9"/>
      <c r="E182" s="10"/>
      <c r="F182" s="9"/>
      <c r="G182" s="9"/>
      <c r="H182" s="11"/>
      <c r="I182" s="9"/>
      <c r="J182" s="35"/>
      <c r="K182" s="35"/>
      <c r="L182" s="9"/>
      <c r="M182" s="9"/>
      <c r="O182" s="95"/>
    </row>
    <row r="183" spans="1:15" s="6" customFormat="1" ht="16.5" customHeight="1" x14ac:dyDescent="0.25">
      <c r="A183" s="9"/>
      <c r="B183" s="9"/>
      <c r="C183" s="12"/>
      <c r="D183" s="9"/>
      <c r="E183" s="10"/>
      <c r="F183" s="9"/>
      <c r="G183" s="9"/>
      <c r="H183" s="11"/>
      <c r="I183" s="9"/>
      <c r="J183" s="35"/>
      <c r="K183" s="35"/>
      <c r="L183" s="9"/>
      <c r="M183" s="9"/>
      <c r="O183" s="95"/>
    </row>
    <row r="184" spans="1:15" s="6" customFormat="1" ht="16.5" customHeight="1" x14ac:dyDescent="0.25">
      <c r="A184" s="9"/>
      <c r="B184" s="9"/>
      <c r="C184" s="12"/>
      <c r="D184" s="9"/>
      <c r="E184" s="10"/>
      <c r="F184" s="9"/>
      <c r="G184" s="9"/>
      <c r="H184" s="11"/>
      <c r="I184" s="9"/>
      <c r="J184" s="35"/>
      <c r="K184" s="35"/>
      <c r="L184" s="9"/>
      <c r="M184" s="9"/>
      <c r="O184" s="95"/>
    </row>
    <row r="185" spans="1:15" s="6" customFormat="1" ht="16.5" customHeight="1" x14ac:dyDescent="0.25">
      <c r="A185" s="9"/>
      <c r="B185" s="9"/>
      <c r="C185" s="12"/>
      <c r="D185" s="9"/>
      <c r="E185" s="10"/>
      <c r="F185" s="9"/>
      <c r="G185" s="9"/>
      <c r="H185" s="11"/>
      <c r="I185" s="9"/>
      <c r="J185" s="35"/>
      <c r="K185" s="35"/>
      <c r="L185" s="9"/>
      <c r="M185" s="9"/>
      <c r="O185" s="95"/>
    </row>
    <row r="186" spans="1:15" s="6" customFormat="1" ht="16.5" customHeight="1" x14ac:dyDescent="0.25">
      <c r="B186" s="8"/>
      <c r="C186" s="12"/>
      <c r="D186" s="8"/>
      <c r="E186" s="10"/>
      <c r="H186" s="7"/>
      <c r="J186" s="36"/>
      <c r="K186" s="36"/>
      <c r="O186" s="95"/>
    </row>
    <row r="187" spans="1:15" s="6" customFormat="1" ht="16.5" customHeight="1" x14ac:dyDescent="0.25">
      <c r="B187" s="8"/>
      <c r="C187" s="12"/>
      <c r="D187" s="8"/>
      <c r="E187" s="10"/>
      <c r="H187" s="7"/>
      <c r="J187" s="36"/>
      <c r="K187" s="36"/>
      <c r="O187" s="95"/>
    </row>
    <row r="188" spans="1:15" s="6" customFormat="1" ht="16.5" customHeight="1" x14ac:dyDescent="0.25">
      <c r="A188" s="3"/>
      <c r="B188" s="13"/>
      <c r="C188" s="52"/>
      <c r="D188" s="13"/>
      <c r="E188" s="14"/>
      <c r="F188" s="3"/>
      <c r="G188" s="3"/>
      <c r="H188" s="15"/>
      <c r="I188" s="3"/>
      <c r="J188" s="49"/>
      <c r="K188" s="49"/>
      <c r="L188" s="3"/>
      <c r="M188" s="3"/>
      <c r="O188" s="95"/>
    </row>
    <row r="189" spans="1:15" s="6" customFormat="1" ht="16.5" customHeight="1" x14ac:dyDescent="0.25">
      <c r="A189" s="3"/>
      <c r="B189" s="13"/>
      <c r="C189" s="52"/>
      <c r="D189" s="13"/>
      <c r="E189" s="14"/>
      <c r="F189" s="3"/>
      <c r="G189" s="3"/>
      <c r="H189" s="15"/>
      <c r="I189" s="3"/>
      <c r="J189" s="49"/>
      <c r="K189" s="49"/>
      <c r="L189" s="3"/>
      <c r="M189" s="3"/>
      <c r="O189" s="95"/>
    </row>
    <row r="190" spans="1:15" s="6" customFormat="1" ht="16.5" customHeight="1" x14ac:dyDescent="0.25">
      <c r="A190" s="3"/>
      <c r="B190" s="13"/>
      <c r="C190" s="52"/>
      <c r="D190" s="13"/>
      <c r="E190" s="14"/>
      <c r="F190" s="3"/>
      <c r="G190" s="3"/>
      <c r="H190" s="15"/>
      <c r="I190" s="3"/>
      <c r="J190" s="49"/>
      <c r="K190" s="49"/>
      <c r="L190" s="3"/>
      <c r="M190" s="3"/>
      <c r="O190" s="95"/>
    </row>
    <row r="191" spans="1:15" s="6" customFormat="1" ht="16.5" customHeight="1" x14ac:dyDescent="0.25">
      <c r="A191" s="3"/>
      <c r="B191" s="13"/>
      <c r="C191" s="52"/>
      <c r="D191" s="13"/>
      <c r="E191" s="14"/>
      <c r="F191" s="3"/>
      <c r="G191" s="3"/>
      <c r="H191" s="15"/>
      <c r="I191" s="3"/>
      <c r="J191" s="49"/>
      <c r="K191" s="49"/>
      <c r="L191" s="3"/>
      <c r="M191" s="3"/>
      <c r="O191" s="95"/>
    </row>
    <row r="192" spans="1:15" s="6" customFormat="1" ht="16.5" customHeight="1" x14ac:dyDescent="0.25">
      <c r="A192" s="3"/>
      <c r="B192" s="13"/>
      <c r="C192" s="52"/>
      <c r="D192" s="13"/>
      <c r="E192" s="14"/>
      <c r="F192" s="3"/>
      <c r="G192" s="3"/>
      <c r="H192" s="15"/>
      <c r="I192" s="3"/>
      <c r="J192" s="49"/>
      <c r="K192" s="49"/>
      <c r="L192" s="3"/>
      <c r="M192" s="3"/>
      <c r="O192" s="95"/>
    </row>
    <row r="193" spans="1:15" s="6" customFormat="1" ht="16.5" customHeight="1" x14ac:dyDescent="0.25">
      <c r="A193" s="3"/>
      <c r="B193" s="13"/>
      <c r="C193" s="52"/>
      <c r="D193" s="13"/>
      <c r="E193" s="14"/>
      <c r="F193" s="3"/>
      <c r="G193" s="3"/>
      <c r="H193" s="15"/>
      <c r="I193" s="3"/>
      <c r="J193" s="49"/>
      <c r="K193" s="49"/>
      <c r="L193" s="3"/>
      <c r="M193" s="3"/>
      <c r="O193" s="95"/>
    </row>
    <row r="194" spans="1:15" s="6" customFormat="1" ht="16.5" customHeight="1" x14ac:dyDescent="0.25">
      <c r="A194" s="3"/>
      <c r="B194" s="13"/>
      <c r="C194" s="52"/>
      <c r="D194" s="13"/>
      <c r="E194" s="14"/>
      <c r="F194" s="3"/>
      <c r="G194" s="3"/>
      <c r="H194" s="15"/>
      <c r="I194" s="3"/>
      <c r="J194" s="49"/>
      <c r="K194" s="49"/>
      <c r="L194" s="3"/>
      <c r="M194" s="3"/>
      <c r="O194" s="95"/>
    </row>
    <row r="195" spans="1:15" s="6" customFormat="1" ht="16.5" customHeight="1" x14ac:dyDescent="0.25">
      <c r="A195" s="3"/>
      <c r="B195" s="13"/>
      <c r="C195" s="52"/>
      <c r="D195" s="13"/>
      <c r="E195" s="14"/>
      <c r="F195" s="3"/>
      <c r="G195" s="3"/>
      <c r="H195" s="15"/>
      <c r="I195" s="3"/>
      <c r="J195" s="49"/>
      <c r="K195" s="49"/>
      <c r="L195" s="3"/>
      <c r="M195" s="3"/>
      <c r="O195" s="95"/>
    </row>
    <row r="196" spans="1:15" s="6" customFormat="1" ht="16.5" customHeight="1" x14ac:dyDescent="0.25">
      <c r="A196" s="3"/>
      <c r="B196" s="13"/>
      <c r="C196" s="52"/>
      <c r="D196" s="13"/>
      <c r="E196" s="14"/>
      <c r="F196" s="3"/>
      <c r="G196" s="3"/>
      <c r="H196" s="15"/>
      <c r="I196" s="3"/>
      <c r="J196" s="49"/>
      <c r="K196" s="49"/>
      <c r="L196" s="3"/>
      <c r="M196" s="3"/>
      <c r="O196" s="95"/>
    </row>
    <row r="197" spans="1:15" s="6" customFormat="1" ht="16.5" customHeight="1" x14ac:dyDescent="0.25">
      <c r="A197" s="3"/>
      <c r="B197" s="13"/>
      <c r="C197" s="52"/>
      <c r="D197" s="13"/>
      <c r="E197" s="14"/>
      <c r="F197" s="3"/>
      <c r="G197" s="3"/>
      <c r="H197" s="15"/>
      <c r="I197" s="3"/>
      <c r="J197" s="49"/>
      <c r="K197" s="49"/>
      <c r="L197" s="3"/>
      <c r="M197" s="3"/>
      <c r="O197" s="95"/>
    </row>
    <row r="198" spans="1:15" s="6" customFormat="1" ht="16.5" customHeight="1" x14ac:dyDescent="0.25">
      <c r="A198" s="3"/>
      <c r="B198" s="13"/>
      <c r="C198" s="52"/>
      <c r="D198" s="13"/>
      <c r="E198" s="14"/>
      <c r="F198" s="3"/>
      <c r="G198" s="3"/>
      <c r="H198" s="15"/>
      <c r="I198" s="3"/>
      <c r="J198" s="49"/>
      <c r="K198" s="49"/>
      <c r="L198" s="3"/>
      <c r="M198" s="3"/>
      <c r="O198" s="95"/>
    </row>
    <row r="199" spans="1:15" s="6" customFormat="1" ht="16.5" customHeight="1" x14ac:dyDescent="0.25">
      <c r="A199" s="3"/>
      <c r="B199" s="13"/>
      <c r="C199" s="52"/>
      <c r="D199" s="13"/>
      <c r="E199" s="14"/>
      <c r="F199" s="3"/>
      <c r="G199" s="3"/>
      <c r="H199" s="15"/>
      <c r="I199" s="3"/>
      <c r="J199" s="49"/>
      <c r="K199" s="49"/>
      <c r="L199" s="3"/>
      <c r="M199" s="3"/>
      <c r="O199" s="95"/>
    </row>
    <row r="200" spans="1:15" s="6" customFormat="1" ht="16.5" customHeight="1" x14ac:dyDescent="0.25">
      <c r="A200" s="3"/>
      <c r="B200" s="13"/>
      <c r="C200" s="52"/>
      <c r="D200" s="13"/>
      <c r="E200" s="14"/>
      <c r="F200" s="3"/>
      <c r="G200" s="3"/>
      <c r="H200" s="15"/>
      <c r="I200" s="3"/>
      <c r="J200" s="49"/>
      <c r="K200" s="49"/>
      <c r="L200" s="3"/>
      <c r="M200" s="3"/>
      <c r="O200" s="95"/>
    </row>
    <row r="201" spans="1:15" s="6" customFormat="1" ht="16.5" customHeight="1" x14ac:dyDescent="0.25">
      <c r="A201" s="3"/>
      <c r="B201" s="13"/>
      <c r="C201" s="52"/>
      <c r="D201" s="13"/>
      <c r="E201" s="14"/>
      <c r="F201" s="3"/>
      <c r="G201" s="3"/>
      <c r="H201" s="15"/>
      <c r="I201" s="3"/>
      <c r="J201" s="49"/>
      <c r="K201" s="49"/>
      <c r="L201" s="3"/>
      <c r="M201" s="3"/>
      <c r="O201" s="95"/>
    </row>
    <row r="202" spans="1:15" s="6" customFormat="1" ht="16.5" customHeight="1" x14ac:dyDescent="0.25">
      <c r="A202" s="3"/>
      <c r="B202" s="13"/>
      <c r="C202" s="52"/>
      <c r="D202" s="13"/>
      <c r="E202" s="14"/>
      <c r="F202" s="3"/>
      <c r="G202" s="3"/>
      <c r="H202" s="15"/>
      <c r="I202" s="3"/>
      <c r="J202" s="49"/>
      <c r="K202" s="49"/>
      <c r="L202" s="3"/>
      <c r="M202" s="3"/>
      <c r="O202" s="95"/>
    </row>
    <row r="203" spans="1:15" s="6" customFormat="1" ht="16.5" customHeight="1" x14ac:dyDescent="0.25">
      <c r="A203" s="3"/>
      <c r="B203" s="13"/>
      <c r="C203" s="52"/>
      <c r="D203" s="13"/>
      <c r="E203" s="14"/>
      <c r="F203" s="3"/>
      <c r="G203" s="3"/>
      <c r="H203" s="15"/>
      <c r="I203" s="3"/>
      <c r="J203" s="49"/>
      <c r="K203" s="49"/>
      <c r="L203" s="3"/>
      <c r="M203" s="3"/>
      <c r="O203" s="95"/>
    </row>
    <row r="204" spans="1:15" s="6" customFormat="1" ht="16.5" customHeight="1" x14ac:dyDescent="0.25">
      <c r="A204" s="3"/>
      <c r="B204" s="13"/>
      <c r="C204" s="52"/>
      <c r="D204" s="13"/>
      <c r="E204" s="14"/>
      <c r="F204" s="3"/>
      <c r="G204" s="3"/>
      <c r="H204" s="15"/>
      <c r="I204" s="3"/>
      <c r="J204" s="49"/>
      <c r="K204" s="49"/>
      <c r="L204" s="3"/>
      <c r="M204" s="3"/>
      <c r="O204" s="95"/>
    </row>
    <row r="205" spans="1:15" s="6" customFormat="1" ht="16.5" customHeight="1" x14ac:dyDescent="0.25">
      <c r="A205" s="3"/>
      <c r="B205" s="13"/>
      <c r="C205" s="52"/>
      <c r="D205" s="13"/>
      <c r="E205" s="14"/>
      <c r="F205" s="3"/>
      <c r="G205" s="3"/>
      <c r="H205" s="15"/>
      <c r="I205" s="3"/>
      <c r="J205" s="49"/>
      <c r="K205" s="49"/>
      <c r="L205" s="3"/>
      <c r="M205" s="3"/>
      <c r="O205" s="95"/>
    </row>
    <row r="206" spans="1:15" s="6" customFormat="1" ht="16.5" customHeight="1" x14ac:dyDescent="0.25">
      <c r="A206" s="3"/>
      <c r="B206" s="13"/>
      <c r="C206" s="52"/>
      <c r="D206" s="13"/>
      <c r="E206" s="14"/>
      <c r="F206" s="3"/>
      <c r="G206" s="3"/>
      <c r="H206" s="15"/>
      <c r="I206" s="3"/>
      <c r="J206" s="49"/>
      <c r="K206" s="49"/>
      <c r="L206" s="3"/>
      <c r="M206" s="3"/>
      <c r="O206" s="95"/>
    </row>
    <row r="207" spans="1:15" s="6" customFormat="1" ht="16.5" customHeight="1" x14ac:dyDescent="0.25">
      <c r="A207" s="3"/>
      <c r="B207" s="13"/>
      <c r="C207" s="52"/>
      <c r="D207" s="13"/>
      <c r="E207" s="14"/>
      <c r="F207" s="3"/>
      <c r="G207" s="3"/>
      <c r="H207" s="15"/>
      <c r="I207" s="3"/>
      <c r="J207" s="49"/>
      <c r="K207" s="49"/>
      <c r="L207" s="3"/>
      <c r="M207" s="3"/>
      <c r="O207" s="95"/>
    </row>
    <row r="208" spans="1:15" s="6" customFormat="1" ht="16.5" customHeight="1" x14ac:dyDescent="0.25">
      <c r="A208" s="3"/>
      <c r="B208" s="13"/>
      <c r="C208" s="52"/>
      <c r="D208" s="13"/>
      <c r="E208" s="14"/>
      <c r="F208" s="3"/>
      <c r="G208" s="3"/>
      <c r="H208" s="15"/>
      <c r="I208" s="3"/>
      <c r="J208" s="49"/>
      <c r="K208" s="49"/>
      <c r="L208" s="3"/>
      <c r="M208" s="3"/>
      <c r="O208" s="95"/>
    </row>
    <row r="209" spans="1:15" s="6" customFormat="1" ht="16.5" customHeight="1" x14ac:dyDescent="0.25">
      <c r="A209" s="3"/>
      <c r="B209" s="13"/>
      <c r="C209" s="52"/>
      <c r="D209" s="13"/>
      <c r="E209" s="14"/>
      <c r="F209" s="3"/>
      <c r="G209" s="3"/>
      <c r="H209" s="15"/>
      <c r="I209" s="3"/>
      <c r="J209" s="49"/>
      <c r="K209" s="49"/>
      <c r="L209" s="3"/>
      <c r="M209" s="3"/>
      <c r="O209" s="95"/>
    </row>
    <row r="210" spans="1:15" s="6" customFormat="1" ht="16.5" customHeight="1" x14ac:dyDescent="0.25">
      <c r="A210" s="3"/>
      <c r="B210" s="13"/>
      <c r="C210" s="52"/>
      <c r="D210" s="13"/>
      <c r="E210" s="14"/>
      <c r="F210" s="3"/>
      <c r="G210" s="3"/>
      <c r="H210" s="15"/>
      <c r="I210" s="3"/>
      <c r="J210" s="49"/>
      <c r="K210" s="49"/>
      <c r="L210" s="3"/>
      <c r="M210" s="3"/>
      <c r="O210" s="95"/>
    </row>
    <row r="215" spans="1:15" s="3" customFormat="1" ht="15.75" customHeight="1" x14ac:dyDescent="0.25">
      <c r="B215" s="13"/>
      <c r="C215" s="52"/>
      <c r="D215" s="13"/>
      <c r="E215" s="14"/>
      <c r="H215" s="15"/>
      <c r="J215" s="49"/>
      <c r="K215" s="50"/>
      <c r="O215" s="92"/>
    </row>
    <row r="216" spans="1:15" s="3" customFormat="1" ht="15.75" customHeight="1" x14ac:dyDescent="0.25">
      <c r="B216" s="13"/>
      <c r="C216" s="52"/>
      <c r="D216" s="13"/>
      <c r="E216" s="14"/>
      <c r="H216" s="15"/>
      <c r="J216" s="49"/>
      <c r="K216" s="50"/>
      <c r="O216" s="92"/>
    </row>
    <row r="217" spans="1:15" s="3" customFormat="1" ht="15.75" customHeight="1" x14ac:dyDescent="0.25">
      <c r="B217" s="13"/>
      <c r="C217" s="52"/>
      <c r="D217" s="13"/>
      <c r="E217" s="14"/>
      <c r="H217" s="15"/>
      <c r="J217" s="49"/>
      <c r="K217" s="50"/>
      <c r="O217" s="92"/>
    </row>
    <row r="218" spans="1:15" s="3" customFormat="1" ht="15.75" customHeight="1" x14ac:dyDescent="0.25">
      <c r="B218" s="13"/>
      <c r="C218" s="52"/>
      <c r="D218" s="13"/>
      <c r="E218" s="14"/>
      <c r="H218" s="15"/>
      <c r="J218" s="49"/>
      <c r="K218" s="50"/>
      <c r="O218" s="92"/>
    </row>
    <row r="219" spans="1:15" s="3" customFormat="1" ht="15.75" customHeight="1" x14ac:dyDescent="0.25">
      <c r="B219" s="13"/>
      <c r="C219" s="52"/>
      <c r="D219" s="13"/>
      <c r="E219" s="14"/>
      <c r="H219" s="15"/>
      <c r="J219" s="49"/>
      <c r="K219" s="50"/>
      <c r="O219" s="92"/>
    </row>
    <row r="220" spans="1:15" s="3" customFormat="1" ht="15.75" customHeight="1" x14ac:dyDescent="0.25">
      <c r="B220" s="13"/>
      <c r="C220" s="52"/>
      <c r="D220" s="13"/>
      <c r="E220" s="14"/>
      <c r="H220" s="15"/>
      <c r="J220" s="49"/>
      <c r="K220" s="50"/>
      <c r="O220" s="92"/>
    </row>
    <row r="221" spans="1:15" s="3" customFormat="1" ht="15.75" customHeight="1" x14ac:dyDescent="0.25">
      <c r="B221" s="13"/>
      <c r="C221" s="52"/>
      <c r="D221" s="13"/>
      <c r="E221" s="14"/>
      <c r="H221" s="15"/>
      <c r="J221" s="49"/>
      <c r="K221" s="50"/>
      <c r="O221" s="92"/>
    </row>
    <row r="222" spans="1:15" s="3" customFormat="1" ht="15.75" customHeight="1" x14ac:dyDescent="0.25">
      <c r="B222" s="13"/>
      <c r="C222" s="52"/>
      <c r="D222" s="13"/>
      <c r="E222" s="14"/>
      <c r="H222" s="15"/>
      <c r="J222" s="49"/>
      <c r="K222" s="50"/>
      <c r="O222" s="92"/>
    </row>
  </sheetData>
  <sheetProtection formatCells="0" formatColumns="0" formatRows="0" insertColumns="0" insertRows="0" insertHyperlinks="0" deleteColumns="0" deleteRows="0" sort="0" autoFilter="0" pivotTables="0"/>
  <autoFilter ref="A11:WVT147"/>
  <mergeCells count="41">
    <mergeCell ref="A6:L6"/>
    <mergeCell ref="A1:J1"/>
    <mergeCell ref="A2:J2"/>
    <mergeCell ref="A3:J3"/>
    <mergeCell ref="A4:J4"/>
    <mergeCell ref="A5:J5"/>
    <mergeCell ref="I10:I11"/>
    <mergeCell ref="A12:E12"/>
    <mergeCell ref="A49:E49"/>
    <mergeCell ref="A86:E86"/>
    <mergeCell ref="A7:E7"/>
    <mergeCell ref="F7:I7"/>
    <mergeCell ref="A8:E8"/>
    <mergeCell ref="F8:I8"/>
    <mergeCell ref="A9:L9"/>
    <mergeCell ref="A10:A11"/>
    <mergeCell ref="B10:B11"/>
    <mergeCell ref="C10:E10"/>
    <mergeCell ref="F10:G10"/>
    <mergeCell ref="H10:H11"/>
    <mergeCell ref="A139:C139"/>
    <mergeCell ref="A121:E121"/>
    <mergeCell ref="A124:A125"/>
    <mergeCell ref="B124:B125"/>
    <mergeCell ref="A129:A130"/>
    <mergeCell ref="B129:B130"/>
    <mergeCell ref="A133:A134"/>
    <mergeCell ref="B133:B134"/>
    <mergeCell ref="A135:G135"/>
    <mergeCell ref="A136:C136"/>
    <mergeCell ref="D136:L136"/>
    <mergeCell ref="A146:L146"/>
    <mergeCell ref="A147:J147"/>
    <mergeCell ref="A148:E148"/>
    <mergeCell ref="F148:L148"/>
    <mergeCell ref="A140:L140"/>
    <mergeCell ref="A141:L141"/>
    <mergeCell ref="A142:L142"/>
    <mergeCell ref="A143:K143"/>
    <mergeCell ref="A144:K144"/>
    <mergeCell ref="A145:L145"/>
  </mergeCells>
  <pageMargins left="0.25" right="0.25" top="0.5" bottom="0.25" header="0.3" footer="0.3"/>
  <pageSetup scale="7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S261"/>
  <sheetViews>
    <sheetView showGridLines="0" zoomScale="85" zoomScaleNormal="85" workbookViewId="0">
      <selection activeCell="N8" sqref="N8"/>
    </sheetView>
  </sheetViews>
  <sheetFormatPr defaultRowHeight="15" x14ac:dyDescent="0.25"/>
  <cols>
    <col min="1" max="1" width="6.28515625" style="3" customWidth="1"/>
    <col min="2" max="2" width="7.42578125" style="13" customWidth="1"/>
    <col min="3" max="3" width="43" style="52" customWidth="1"/>
    <col min="4" max="4" width="14.140625" style="13" customWidth="1"/>
    <col min="5" max="5" width="13.5703125" style="14" customWidth="1"/>
    <col min="6" max="7" width="8" style="3" customWidth="1"/>
    <col min="8" max="8" width="12.5703125" style="15" customWidth="1"/>
    <col min="9" max="9" width="6.28515625" style="3" customWidth="1"/>
    <col min="10" max="10" width="15.28515625" style="49" customWidth="1"/>
    <col min="11" max="11" width="16.140625" style="49" customWidth="1"/>
    <col min="12" max="12" width="22.7109375" style="3" customWidth="1"/>
    <col min="13" max="13" width="19" style="3" customWidth="1"/>
    <col min="14" max="14" width="17.7109375" style="3" customWidth="1"/>
    <col min="15" max="249" width="8.85546875" style="3" customWidth="1"/>
    <col min="250" max="250" width="3.5703125" style="3" customWidth="1"/>
    <col min="251" max="251" width="0" style="3" hidden="1" customWidth="1"/>
    <col min="252" max="252" width="6.85546875" style="3" customWidth="1"/>
    <col min="253" max="253" width="8.7109375" style="3" customWidth="1"/>
    <col min="254" max="254" width="22.7109375" style="3" customWidth="1"/>
    <col min="255" max="255" width="9.5703125" style="3" customWidth="1"/>
    <col min="256" max="256" width="8.28515625" style="3" customWidth="1"/>
    <col min="257" max="259" width="6.140625" style="3" customWidth="1"/>
    <col min="260" max="260" width="3.7109375" style="3" customWidth="1"/>
    <col min="261" max="261" width="10" style="3" customWidth="1"/>
    <col min="262" max="262" width="10.140625" style="3" customWidth="1"/>
    <col min="263" max="263" width="13.140625" style="3" customWidth="1"/>
    <col min="264" max="266" width="0" style="3" hidden="1" customWidth="1"/>
    <col min="267" max="505" width="8.85546875" style="3" customWidth="1"/>
    <col min="506" max="506" width="3.5703125" style="3" customWidth="1"/>
    <col min="507" max="507" width="0" style="3" hidden="1" customWidth="1"/>
    <col min="508" max="508" width="6.85546875" style="3" customWidth="1"/>
    <col min="509" max="509" width="8.7109375" style="3" customWidth="1"/>
    <col min="510" max="510" width="22.7109375" style="3" customWidth="1"/>
    <col min="511" max="511" width="9.5703125" style="3" customWidth="1"/>
    <col min="512" max="512" width="8.28515625" style="3" customWidth="1"/>
    <col min="513" max="515" width="6.140625" style="3" customWidth="1"/>
    <col min="516" max="516" width="3.7109375" style="3" customWidth="1"/>
    <col min="517" max="517" width="10" style="3" customWidth="1"/>
    <col min="518" max="518" width="10.140625" style="3" customWidth="1"/>
    <col min="519" max="519" width="13.140625" style="3" customWidth="1"/>
    <col min="520" max="522" width="0" style="3" hidden="1" customWidth="1"/>
    <col min="523" max="761" width="8.85546875" style="3" customWidth="1"/>
    <col min="762" max="762" width="3.5703125" style="3" customWidth="1"/>
    <col min="763" max="763" width="0" style="3" hidden="1" customWidth="1"/>
    <col min="764" max="764" width="6.85546875" style="3" customWidth="1"/>
    <col min="765" max="765" width="8.7109375" style="3" customWidth="1"/>
    <col min="766" max="766" width="22.7109375" style="3" customWidth="1"/>
    <col min="767" max="767" width="9.5703125" style="3" customWidth="1"/>
    <col min="768" max="768" width="8.28515625" style="3" customWidth="1"/>
    <col min="769" max="771" width="6.140625" style="3" customWidth="1"/>
    <col min="772" max="772" width="3.7109375" style="3" customWidth="1"/>
    <col min="773" max="773" width="10" style="3" customWidth="1"/>
    <col min="774" max="774" width="10.140625" style="3" customWidth="1"/>
    <col min="775" max="775" width="13.140625" style="3" customWidth="1"/>
    <col min="776" max="778" width="0" style="3" hidden="1" customWidth="1"/>
    <col min="779" max="1017" width="8.85546875" style="3" customWidth="1"/>
    <col min="1018" max="1018" width="3.5703125" style="3" customWidth="1"/>
    <col min="1019" max="1019" width="0" style="3" hidden="1" customWidth="1"/>
    <col min="1020" max="1020" width="6.85546875" style="3" customWidth="1"/>
    <col min="1021" max="1021" width="8.7109375" style="3" customWidth="1"/>
    <col min="1022" max="1022" width="22.7109375" style="3" customWidth="1"/>
    <col min="1023" max="1023" width="9.5703125" style="3" customWidth="1"/>
    <col min="1024" max="1024" width="8.28515625" style="3" customWidth="1"/>
    <col min="1025" max="1027" width="6.140625" style="3" customWidth="1"/>
    <col min="1028" max="1028" width="3.7109375" style="3" customWidth="1"/>
    <col min="1029" max="1029" width="10" style="3" customWidth="1"/>
    <col min="1030" max="1030" width="10.140625" style="3" customWidth="1"/>
    <col min="1031" max="1031" width="13.140625" style="3" customWidth="1"/>
    <col min="1032" max="1034" width="0" style="3" hidden="1" customWidth="1"/>
    <col min="1035" max="1273" width="8.85546875" style="3" customWidth="1"/>
    <col min="1274" max="1274" width="3.5703125" style="3" customWidth="1"/>
    <col min="1275" max="1275" width="0" style="3" hidden="1" customWidth="1"/>
    <col min="1276" max="1276" width="6.85546875" style="3" customWidth="1"/>
    <col min="1277" max="1277" width="8.7109375" style="3" customWidth="1"/>
    <col min="1278" max="1278" width="22.7109375" style="3" customWidth="1"/>
    <col min="1279" max="1279" width="9.5703125" style="3" customWidth="1"/>
    <col min="1280" max="1280" width="8.28515625" style="3" customWidth="1"/>
    <col min="1281" max="1283" width="6.140625" style="3" customWidth="1"/>
    <col min="1284" max="1284" width="3.7109375" style="3" customWidth="1"/>
    <col min="1285" max="1285" width="10" style="3" customWidth="1"/>
    <col min="1286" max="1286" width="10.140625" style="3" customWidth="1"/>
    <col min="1287" max="1287" width="13.140625" style="3" customWidth="1"/>
    <col min="1288" max="1290" width="0" style="3" hidden="1" customWidth="1"/>
    <col min="1291" max="1529" width="8.85546875" style="3" customWidth="1"/>
    <col min="1530" max="1530" width="3.5703125" style="3" customWidth="1"/>
    <col min="1531" max="1531" width="0" style="3" hidden="1" customWidth="1"/>
    <col min="1532" max="1532" width="6.85546875" style="3" customWidth="1"/>
    <col min="1533" max="1533" width="8.7109375" style="3" customWidth="1"/>
    <col min="1534" max="1534" width="22.7109375" style="3" customWidth="1"/>
    <col min="1535" max="1535" width="9.5703125" style="3" customWidth="1"/>
    <col min="1536" max="1536" width="8.28515625" style="3" customWidth="1"/>
    <col min="1537" max="1539" width="6.140625" style="3" customWidth="1"/>
    <col min="1540" max="1540" width="3.7109375" style="3" customWidth="1"/>
    <col min="1541" max="1541" width="10" style="3" customWidth="1"/>
    <col min="1542" max="1542" width="10.140625" style="3" customWidth="1"/>
    <col min="1543" max="1543" width="13.140625" style="3" customWidth="1"/>
    <col min="1544" max="1546" width="0" style="3" hidden="1" customWidth="1"/>
    <col min="1547" max="1785" width="8.85546875" style="3" customWidth="1"/>
    <col min="1786" max="1786" width="3.5703125" style="3" customWidth="1"/>
    <col min="1787" max="1787" width="0" style="3" hidden="1" customWidth="1"/>
    <col min="1788" max="1788" width="6.85546875" style="3" customWidth="1"/>
    <col min="1789" max="1789" width="8.7109375" style="3" customWidth="1"/>
    <col min="1790" max="1790" width="22.7109375" style="3" customWidth="1"/>
    <col min="1791" max="1791" width="9.5703125" style="3" customWidth="1"/>
    <col min="1792" max="1792" width="8.28515625" style="3" customWidth="1"/>
    <col min="1793" max="1795" width="6.140625" style="3" customWidth="1"/>
    <col min="1796" max="1796" width="3.7109375" style="3" customWidth="1"/>
    <col min="1797" max="1797" width="10" style="3" customWidth="1"/>
    <col min="1798" max="1798" width="10.140625" style="3" customWidth="1"/>
    <col min="1799" max="1799" width="13.140625" style="3" customWidth="1"/>
    <col min="1800" max="1802" width="0" style="3" hidden="1" customWidth="1"/>
    <col min="1803" max="2041" width="8.85546875" style="3" customWidth="1"/>
    <col min="2042" max="2042" width="3.5703125" style="3" customWidth="1"/>
    <col min="2043" max="2043" width="0" style="3" hidden="1" customWidth="1"/>
    <col min="2044" max="2044" width="6.85546875" style="3" customWidth="1"/>
    <col min="2045" max="2045" width="8.7109375" style="3" customWidth="1"/>
    <col min="2046" max="2046" width="22.7109375" style="3" customWidth="1"/>
    <col min="2047" max="2047" width="9.5703125" style="3" customWidth="1"/>
    <col min="2048" max="2048" width="8.28515625" style="3" customWidth="1"/>
    <col min="2049" max="2051" width="6.140625" style="3" customWidth="1"/>
    <col min="2052" max="2052" width="3.7109375" style="3" customWidth="1"/>
    <col min="2053" max="2053" width="10" style="3" customWidth="1"/>
    <col min="2054" max="2054" width="10.140625" style="3" customWidth="1"/>
    <col min="2055" max="2055" width="13.140625" style="3" customWidth="1"/>
    <col min="2056" max="2058" width="0" style="3" hidden="1" customWidth="1"/>
    <col min="2059" max="2297" width="8.85546875" style="3" customWidth="1"/>
    <col min="2298" max="2298" width="3.5703125" style="3" customWidth="1"/>
    <col min="2299" max="2299" width="0" style="3" hidden="1" customWidth="1"/>
    <col min="2300" max="2300" width="6.85546875" style="3" customWidth="1"/>
    <col min="2301" max="2301" width="8.7109375" style="3" customWidth="1"/>
    <col min="2302" max="2302" width="22.7109375" style="3" customWidth="1"/>
    <col min="2303" max="2303" width="9.5703125" style="3" customWidth="1"/>
    <col min="2304" max="2304" width="8.28515625" style="3" customWidth="1"/>
    <col min="2305" max="2307" width="6.140625" style="3" customWidth="1"/>
    <col min="2308" max="2308" width="3.7109375" style="3" customWidth="1"/>
    <col min="2309" max="2309" width="10" style="3" customWidth="1"/>
    <col min="2310" max="2310" width="10.140625" style="3" customWidth="1"/>
    <col min="2311" max="2311" width="13.140625" style="3" customWidth="1"/>
    <col min="2312" max="2314" width="0" style="3" hidden="1" customWidth="1"/>
    <col min="2315" max="2553" width="8.85546875" style="3" customWidth="1"/>
    <col min="2554" max="2554" width="3.5703125" style="3" customWidth="1"/>
    <col min="2555" max="2555" width="0" style="3" hidden="1" customWidth="1"/>
    <col min="2556" max="2556" width="6.85546875" style="3" customWidth="1"/>
    <col min="2557" max="2557" width="8.7109375" style="3" customWidth="1"/>
    <col min="2558" max="2558" width="22.7109375" style="3" customWidth="1"/>
    <col min="2559" max="2559" width="9.5703125" style="3" customWidth="1"/>
    <col min="2560" max="2560" width="8.28515625" style="3" customWidth="1"/>
    <col min="2561" max="2563" width="6.140625" style="3" customWidth="1"/>
    <col min="2564" max="2564" width="3.7109375" style="3" customWidth="1"/>
    <col min="2565" max="2565" width="10" style="3" customWidth="1"/>
    <col min="2566" max="2566" width="10.140625" style="3" customWidth="1"/>
    <col min="2567" max="2567" width="13.140625" style="3" customWidth="1"/>
    <col min="2568" max="2570" width="0" style="3" hidden="1" customWidth="1"/>
    <col min="2571" max="2809" width="8.85546875" style="3" customWidth="1"/>
    <col min="2810" max="2810" width="3.5703125" style="3" customWidth="1"/>
    <col min="2811" max="2811" width="0" style="3" hidden="1" customWidth="1"/>
    <col min="2812" max="2812" width="6.85546875" style="3" customWidth="1"/>
    <col min="2813" max="2813" width="8.7109375" style="3" customWidth="1"/>
    <col min="2814" max="2814" width="22.7109375" style="3" customWidth="1"/>
    <col min="2815" max="2815" width="9.5703125" style="3" customWidth="1"/>
    <col min="2816" max="2816" width="8.28515625" style="3" customWidth="1"/>
    <col min="2817" max="2819" width="6.140625" style="3" customWidth="1"/>
    <col min="2820" max="2820" width="3.7109375" style="3" customWidth="1"/>
    <col min="2821" max="2821" width="10" style="3" customWidth="1"/>
    <col min="2822" max="2822" width="10.140625" style="3" customWidth="1"/>
    <col min="2823" max="2823" width="13.140625" style="3" customWidth="1"/>
    <col min="2824" max="2826" width="0" style="3" hidden="1" customWidth="1"/>
    <col min="2827" max="3065" width="8.85546875" style="3" customWidth="1"/>
    <col min="3066" max="3066" width="3.5703125" style="3" customWidth="1"/>
    <col min="3067" max="3067" width="0" style="3" hidden="1" customWidth="1"/>
    <col min="3068" max="3068" width="6.85546875" style="3" customWidth="1"/>
    <col min="3069" max="3069" width="8.7109375" style="3" customWidth="1"/>
    <col min="3070" max="3070" width="22.7109375" style="3" customWidth="1"/>
    <col min="3071" max="3071" width="9.5703125" style="3" customWidth="1"/>
    <col min="3072" max="3072" width="8.28515625" style="3" customWidth="1"/>
    <col min="3073" max="3075" width="6.140625" style="3" customWidth="1"/>
    <col min="3076" max="3076" width="3.7109375" style="3" customWidth="1"/>
    <col min="3077" max="3077" width="10" style="3" customWidth="1"/>
    <col min="3078" max="3078" width="10.140625" style="3" customWidth="1"/>
    <col min="3079" max="3079" width="13.140625" style="3" customWidth="1"/>
    <col min="3080" max="3082" width="0" style="3" hidden="1" customWidth="1"/>
    <col min="3083" max="3321" width="8.85546875" style="3" customWidth="1"/>
    <col min="3322" max="3322" width="3.5703125" style="3" customWidth="1"/>
    <col min="3323" max="3323" width="0" style="3" hidden="1" customWidth="1"/>
    <col min="3324" max="3324" width="6.85546875" style="3" customWidth="1"/>
    <col min="3325" max="3325" width="8.7109375" style="3" customWidth="1"/>
    <col min="3326" max="3326" width="22.7109375" style="3" customWidth="1"/>
    <col min="3327" max="3327" width="9.5703125" style="3" customWidth="1"/>
    <col min="3328" max="3328" width="8.28515625" style="3" customWidth="1"/>
    <col min="3329" max="3331" width="6.140625" style="3" customWidth="1"/>
    <col min="3332" max="3332" width="3.7109375" style="3" customWidth="1"/>
    <col min="3333" max="3333" width="10" style="3" customWidth="1"/>
    <col min="3334" max="3334" width="10.140625" style="3" customWidth="1"/>
    <col min="3335" max="3335" width="13.140625" style="3" customWidth="1"/>
    <col min="3336" max="3338" width="0" style="3" hidden="1" customWidth="1"/>
    <col min="3339" max="3577" width="8.85546875" style="3" customWidth="1"/>
    <col min="3578" max="3578" width="3.5703125" style="3" customWidth="1"/>
    <col min="3579" max="3579" width="0" style="3" hidden="1" customWidth="1"/>
    <col min="3580" max="3580" width="6.85546875" style="3" customWidth="1"/>
    <col min="3581" max="3581" width="8.7109375" style="3" customWidth="1"/>
    <col min="3582" max="3582" width="22.7109375" style="3" customWidth="1"/>
    <col min="3583" max="3583" width="9.5703125" style="3" customWidth="1"/>
    <col min="3584" max="3584" width="8.28515625" style="3" customWidth="1"/>
    <col min="3585" max="3587" width="6.140625" style="3" customWidth="1"/>
    <col min="3588" max="3588" width="3.7109375" style="3" customWidth="1"/>
    <col min="3589" max="3589" width="10" style="3" customWidth="1"/>
    <col min="3590" max="3590" width="10.140625" style="3" customWidth="1"/>
    <col min="3591" max="3591" width="13.140625" style="3" customWidth="1"/>
    <col min="3592" max="3594" width="0" style="3" hidden="1" customWidth="1"/>
    <col min="3595" max="3833" width="8.85546875" style="3" customWidth="1"/>
    <col min="3834" max="3834" width="3.5703125" style="3" customWidth="1"/>
    <col min="3835" max="3835" width="0" style="3" hidden="1" customWidth="1"/>
    <col min="3836" max="3836" width="6.85546875" style="3" customWidth="1"/>
    <col min="3837" max="3837" width="8.7109375" style="3" customWidth="1"/>
    <col min="3838" max="3838" width="22.7109375" style="3" customWidth="1"/>
    <col min="3839" max="3839" width="9.5703125" style="3" customWidth="1"/>
    <col min="3840" max="3840" width="8.28515625" style="3" customWidth="1"/>
    <col min="3841" max="3843" width="6.140625" style="3" customWidth="1"/>
    <col min="3844" max="3844" width="3.7109375" style="3" customWidth="1"/>
    <col min="3845" max="3845" width="10" style="3" customWidth="1"/>
    <col min="3846" max="3846" width="10.140625" style="3" customWidth="1"/>
    <col min="3847" max="3847" width="13.140625" style="3" customWidth="1"/>
    <col min="3848" max="3850" width="0" style="3" hidden="1" customWidth="1"/>
    <col min="3851" max="4089" width="8.85546875" style="3" customWidth="1"/>
    <col min="4090" max="4090" width="3.5703125" style="3" customWidth="1"/>
    <col min="4091" max="4091" width="0" style="3" hidden="1" customWidth="1"/>
    <col min="4092" max="4092" width="6.85546875" style="3" customWidth="1"/>
    <col min="4093" max="4093" width="8.7109375" style="3" customWidth="1"/>
    <col min="4094" max="4094" width="22.7109375" style="3" customWidth="1"/>
    <col min="4095" max="4095" width="9.5703125" style="3" customWidth="1"/>
    <col min="4096" max="4096" width="8.28515625" style="3" customWidth="1"/>
    <col min="4097" max="4099" width="6.140625" style="3" customWidth="1"/>
    <col min="4100" max="4100" width="3.7109375" style="3" customWidth="1"/>
    <col min="4101" max="4101" width="10" style="3" customWidth="1"/>
    <col min="4102" max="4102" width="10.140625" style="3" customWidth="1"/>
    <col min="4103" max="4103" width="13.140625" style="3" customWidth="1"/>
    <col min="4104" max="4106" width="0" style="3" hidden="1" customWidth="1"/>
    <col min="4107" max="4345" width="8.85546875" style="3" customWidth="1"/>
    <col min="4346" max="4346" width="3.5703125" style="3" customWidth="1"/>
    <col min="4347" max="4347" width="0" style="3" hidden="1" customWidth="1"/>
    <col min="4348" max="4348" width="6.85546875" style="3" customWidth="1"/>
    <col min="4349" max="4349" width="8.7109375" style="3" customWidth="1"/>
    <col min="4350" max="4350" width="22.7109375" style="3" customWidth="1"/>
    <col min="4351" max="4351" width="9.5703125" style="3" customWidth="1"/>
    <col min="4352" max="4352" width="8.28515625" style="3" customWidth="1"/>
    <col min="4353" max="4355" width="6.140625" style="3" customWidth="1"/>
    <col min="4356" max="4356" width="3.7109375" style="3" customWidth="1"/>
    <col min="4357" max="4357" width="10" style="3" customWidth="1"/>
    <col min="4358" max="4358" width="10.140625" style="3" customWidth="1"/>
    <col min="4359" max="4359" width="13.140625" style="3" customWidth="1"/>
    <col min="4360" max="4362" width="0" style="3" hidden="1" customWidth="1"/>
    <col min="4363" max="4601" width="8.85546875" style="3" customWidth="1"/>
    <col min="4602" max="4602" width="3.5703125" style="3" customWidth="1"/>
    <col min="4603" max="4603" width="0" style="3" hidden="1" customWidth="1"/>
    <col min="4604" max="4604" width="6.85546875" style="3" customWidth="1"/>
    <col min="4605" max="4605" width="8.7109375" style="3" customWidth="1"/>
    <col min="4606" max="4606" width="22.7109375" style="3" customWidth="1"/>
    <col min="4607" max="4607" width="9.5703125" style="3" customWidth="1"/>
    <col min="4608" max="4608" width="8.28515625" style="3" customWidth="1"/>
    <col min="4609" max="4611" width="6.140625" style="3" customWidth="1"/>
    <col min="4612" max="4612" width="3.7109375" style="3" customWidth="1"/>
    <col min="4613" max="4613" width="10" style="3" customWidth="1"/>
    <col min="4614" max="4614" width="10.140625" style="3" customWidth="1"/>
    <col min="4615" max="4615" width="13.140625" style="3" customWidth="1"/>
    <col min="4616" max="4618" width="0" style="3" hidden="1" customWidth="1"/>
    <col min="4619" max="4857" width="8.85546875" style="3" customWidth="1"/>
    <col min="4858" max="4858" width="3.5703125" style="3" customWidth="1"/>
    <col min="4859" max="4859" width="0" style="3" hidden="1" customWidth="1"/>
    <col min="4860" max="4860" width="6.85546875" style="3" customWidth="1"/>
    <col min="4861" max="4861" width="8.7109375" style="3" customWidth="1"/>
    <col min="4862" max="4862" width="22.7109375" style="3" customWidth="1"/>
    <col min="4863" max="4863" width="9.5703125" style="3" customWidth="1"/>
    <col min="4864" max="4864" width="8.28515625" style="3" customWidth="1"/>
    <col min="4865" max="4867" width="6.140625" style="3" customWidth="1"/>
    <col min="4868" max="4868" width="3.7109375" style="3" customWidth="1"/>
    <col min="4869" max="4869" width="10" style="3" customWidth="1"/>
    <col min="4870" max="4870" width="10.140625" style="3" customWidth="1"/>
    <col min="4871" max="4871" width="13.140625" style="3" customWidth="1"/>
    <col min="4872" max="4874" width="0" style="3" hidden="1" customWidth="1"/>
    <col min="4875" max="5113" width="8.85546875" style="3" customWidth="1"/>
    <col min="5114" max="5114" width="3.5703125" style="3" customWidth="1"/>
    <col min="5115" max="5115" width="0" style="3" hidden="1" customWidth="1"/>
    <col min="5116" max="5116" width="6.85546875" style="3" customWidth="1"/>
    <col min="5117" max="5117" width="8.7109375" style="3" customWidth="1"/>
    <col min="5118" max="5118" width="22.7109375" style="3" customWidth="1"/>
    <col min="5119" max="5119" width="9.5703125" style="3" customWidth="1"/>
    <col min="5120" max="5120" width="8.28515625" style="3" customWidth="1"/>
    <col min="5121" max="5123" width="6.140625" style="3" customWidth="1"/>
    <col min="5124" max="5124" width="3.7109375" style="3" customWidth="1"/>
    <col min="5125" max="5125" width="10" style="3" customWidth="1"/>
    <col min="5126" max="5126" width="10.140625" style="3" customWidth="1"/>
    <col min="5127" max="5127" width="13.140625" style="3" customWidth="1"/>
    <col min="5128" max="5130" width="0" style="3" hidden="1" customWidth="1"/>
    <col min="5131" max="5369" width="8.85546875" style="3" customWidth="1"/>
    <col min="5370" max="5370" width="3.5703125" style="3" customWidth="1"/>
    <col min="5371" max="5371" width="0" style="3" hidden="1" customWidth="1"/>
    <col min="5372" max="5372" width="6.85546875" style="3" customWidth="1"/>
    <col min="5373" max="5373" width="8.7109375" style="3" customWidth="1"/>
    <col min="5374" max="5374" width="22.7109375" style="3" customWidth="1"/>
    <col min="5375" max="5375" width="9.5703125" style="3" customWidth="1"/>
    <col min="5376" max="5376" width="8.28515625" style="3" customWidth="1"/>
    <col min="5377" max="5379" width="6.140625" style="3" customWidth="1"/>
    <col min="5380" max="5380" width="3.7109375" style="3" customWidth="1"/>
    <col min="5381" max="5381" width="10" style="3" customWidth="1"/>
    <col min="5382" max="5382" width="10.140625" style="3" customWidth="1"/>
    <col min="5383" max="5383" width="13.140625" style="3" customWidth="1"/>
    <col min="5384" max="5386" width="0" style="3" hidden="1" customWidth="1"/>
    <col min="5387" max="5625" width="8.85546875" style="3" customWidth="1"/>
    <col min="5626" max="5626" width="3.5703125" style="3" customWidth="1"/>
    <col min="5627" max="5627" width="0" style="3" hidden="1" customWidth="1"/>
    <col min="5628" max="5628" width="6.85546875" style="3" customWidth="1"/>
    <col min="5629" max="5629" width="8.7109375" style="3" customWidth="1"/>
    <col min="5630" max="5630" width="22.7109375" style="3" customWidth="1"/>
    <col min="5631" max="5631" width="9.5703125" style="3" customWidth="1"/>
    <col min="5632" max="5632" width="8.28515625" style="3" customWidth="1"/>
    <col min="5633" max="5635" width="6.140625" style="3" customWidth="1"/>
    <col min="5636" max="5636" width="3.7109375" style="3" customWidth="1"/>
    <col min="5637" max="5637" width="10" style="3" customWidth="1"/>
    <col min="5638" max="5638" width="10.140625" style="3" customWidth="1"/>
    <col min="5639" max="5639" width="13.140625" style="3" customWidth="1"/>
    <col min="5640" max="5642" width="0" style="3" hidden="1" customWidth="1"/>
    <col min="5643" max="5881" width="8.85546875" style="3" customWidth="1"/>
    <col min="5882" max="5882" width="3.5703125" style="3" customWidth="1"/>
    <col min="5883" max="5883" width="0" style="3" hidden="1" customWidth="1"/>
    <col min="5884" max="5884" width="6.85546875" style="3" customWidth="1"/>
    <col min="5885" max="5885" width="8.7109375" style="3" customWidth="1"/>
    <col min="5886" max="5886" width="22.7109375" style="3" customWidth="1"/>
    <col min="5887" max="5887" width="9.5703125" style="3" customWidth="1"/>
    <col min="5888" max="5888" width="8.28515625" style="3" customWidth="1"/>
    <col min="5889" max="5891" width="6.140625" style="3" customWidth="1"/>
    <col min="5892" max="5892" width="3.7109375" style="3" customWidth="1"/>
    <col min="5893" max="5893" width="10" style="3" customWidth="1"/>
    <col min="5894" max="5894" width="10.140625" style="3" customWidth="1"/>
    <col min="5895" max="5895" width="13.140625" style="3" customWidth="1"/>
    <col min="5896" max="5898" width="0" style="3" hidden="1" customWidth="1"/>
    <col min="5899" max="6137" width="8.85546875" style="3" customWidth="1"/>
    <col min="6138" max="6138" width="3.5703125" style="3" customWidth="1"/>
    <col min="6139" max="6139" width="0" style="3" hidden="1" customWidth="1"/>
    <col min="6140" max="6140" width="6.85546875" style="3" customWidth="1"/>
    <col min="6141" max="6141" width="8.7109375" style="3" customWidth="1"/>
    <col min="6142" max="6142" width="22.7109375" style="3" customWidth="1"/>
    <col min="6143" max="6143" width="9.5703125" style="3" customWidth="1"/>
    <col min="6144" max="6144" width="8.28515625" style="3" customWidth="1"/>
    <col min="6145" max="6147" width="6.140625" style="3" customWidth="1"/>
    <col min="6148" max="6148" width="3.7109375" style="3" customWidth="1"/>
    <col min="6149" max="6149" width="10" style="3" customWidth="1"/>
    <col min="6150" max="6150" width="10.140625" style="3" customWidth="1"/>
    <col min="6151" max="6151" width="13.140625" style="3" customWidth="1"/>
    <col min="6152" max="6154" width="0" style="3" hidden="1" customWidth="1"/>
    <col min="6155" max="6393" width="8.85546875" style="3" customWidth="1"/>
    <col min="6394" max="6394" width="3.5703125" style="3" customWidth="1"/>
    <col min="6395" max="6395" width="0" style="3" hidden="1" customWidth="1"/>
    <col min="6396" max="6396" width="6.85546875" style="3" customWidth="1"/>
    <col min="6397" max="6397" width="8.7109375" style="3" customWidth="1"/>
    <col min="6398" max="6398" width="22.7109375" style="3" customWidth="1"/>
    <col min="6399" max="6399" width="9.5703125" style="3" customWidth="1"/>
    <col min="6400" max="6400" width="8.28515625" style="3" customWidth="1"/>
    <col min="6401" max="6403" width="6.140625" style="3" customWidth="1"/>
    <col min="6404" max="6404" width="3.7109375" style="3" customWidth="1"/>
    <col min="6405" max="6405" width="10" style="3" customWidth="1"/>
    <col min="6406" max="6406" width="10.140625" style="3" customWidth="1"/>
    <col min="6407" max="6407" width="13.140625" style="3" customWidth="1"/>
    <col min="6408" max="6410" width="0" style="3" hidden="1" customWidth="1"/>
    <col min="6411" max="6649" width="8.85546875" style="3" customWidth="1"/>
    <col min="6650" max="6650" width="3.5703125" style="3" customWidth="1"/>
    <col min="6651" max="6651" width="0" style="3" hidden="1" customWidth="1"/>
    <col min="6652" max="6652" width="6.85546875" style="3" customWidth="1"/>
    <col min="6653" max="6653" width="8.7109375" style="3" customWidth="1"/>
    <col min="6654" max="6654" width="22.7109375" style="3" customWidth="1"/>
    <col min="6655" max="6655" width="9.5703125" style="3" customWidth="1"/>
    <col min="6656" max="6656" width="8.28515625" style="3" customWidth="1"/>
    <col min="6657" max="6659" width="6.140625" style="3" customWidth="1"/>
    <col min="6660" max="6660" width="3.7109375" style="3" customWidth="1"/>
    <col min="6661" max="6661" width="10" style="3" customWidth="1"/>
    <col min="6662" max="6662" width="10.140625" style="3" customWidth="1"/>
    <col min="6663" max="6663" width="13.140625" style="3" customWidth="1"/>
    <col min="6664" max="6666" width="0" style="3" hidden="1" customWidth="1"/>
    <col min="6667" max="6905" width="8.85546875" style="3" customWidth="1"/>
    <col min="6906" max="6906" width="3.5703125" style="3" customWidth="1"/>
    <col min="6907" max="6907" width="0" style="3" hidden="1" customWidth="1"/>
    <col min="6908" max="6908" width="6.85546875" style="3" customWidth="1"/>
    <col min="6909" max="6909" width="8.7109375" style="3" customWidth="1"/>
    <col min="6910" max="6910" width="22.7109375" style="3" customWidth="1"/>
    <col min="6911" max="6911" width="9.5703125" style="3" customWidth="1"/>
    <col min="6912" max="6912" width="8.28515625" style="3" customWidth="1"/>
    <col min="6913" max="6915" width="6.140625" style="3" customWidth="1"/>
    <col min="6916" max="6916" width="3.7109375" style="3" customWidth="1"/>
    <col min="6917" max="6917" width="10" style="3" customWidth="1"/>
    <col min="6918" max="6918" width="10.140625" style="3" customWidth="1"/>
    <col min="6919" max="6919" width="13.140625" style="3" customWidth="1"/>
    <col min="6920" max="6922" width="0" style="3" hidden="1" customWidth="1"/>
    <col min="6923" max="7161" width="8.85546875" style="3" customWidth="1"/>
    <col min="7162" max="7162" width="3.5703125" style="3" customWidth="1"/>
    <col min="7163" max="7163" width="0" style="3" hidden="1" customWidth="1"/>
    <col min="7164" max="7164" width="6.85546875" style="3" customWidth="1"/>
    <col min="7165" max="7165" width="8.7109375" style="3" customWidth="1"/>
    <col min="7166" max="7166" width="22.7109375" style="3" customWidth="1"/>
    <col min="7167" max="7167" width="9.5703125" style="3" customWidth="1"/>
    <col min="7168" max="7168" width="8.28515625" style="3" customWidth="1"/>
    <col min="7169" max="7171" width="6.140625" style="3" customWidth="1"/>
    <col min="7172" max="7172" width="3.7109375" style="3" customWidth="1"/>
    <col min="7173" max="7173" width="10" style="3" customWidth="1"/>
    <col min="7174" max="7174" width="10.140625" style="3" customWidth="1"/>
    <col min="7175" max="7175" width="13.140625" style="3" customWidth="1"/>
    <col min="7176" max="7178" width="0" style="3" hidden="1" customWidth="1"/>
    <col min="7179" max="7417" width="8.85546875" style="3" customWidth="1"/>
    <col min="7418" max="7418" width="3.5703125" style="3" customWidth="1"/>
    <col min="7419" max="7419" width="0" style="3" hidden="1" customWidth="1"/>
    <col min="7420" max="7420" width="6.85546875" style="3" customWidth="1"/>
    <col min="7421" max="7421" width="8.7109375" style="3" customWidth="1"/>
    <col min="7422" max="7422" width="22.7109375" style="3" customWidth="1"/>
    <col min="7423" max="7423" width="9.5703125" style="3" customWidth="1"/>
    <col min="7424" max="7424" width="8.28515625" style="3" customWidth="1"/>
    <col min="7425" max="7427" width="6.140625" style="3" customWidth="1"/>
    <col min="7428" max="7428" width="3.7109375" style="3" customWidth="1"/>
    <col min="7429" max="7429" width="10" style="3" customWidth="1"/>
    <col min="7430" max="7430" width="10.140625" style="3" customWidth="1"/>
    <col min="7431" max="7431" width="13.140625" style="3" customWidth="1"/>
    <col min="7432" max="7434" width="0" style="3" hidden="1" customWidth="1"/>
    <col min="7435" max="7673" width="8.85546875" style="3" customWidth="1"/>
    <col min="7674" max="7674" width="3.5703125" style="3" customWidth="1"/>
    <col min="7675" max="7675" width="0" style="3" hidden="1" customWidth="1"/>
    <col min="7676" max="7676" width="6.85546875" style="3" customWidth="1"/>
    <col min="7677" max="7677" width="8.7109375" style="3" customWidth="1"/>
    <col min="7678" max="7678" width="22.7109375" style="3" customWidth="1"/>
    <col min="7679" max="7679" width="9.5703125" style="3" customWidth="1"/>
    <col min="7680" max="7680" width="8.28515625" style="3" customWidth="1"/>
    <col min="7681" max="7683" width="6.140625" style="3" customWidth="1"/>
    <col min="7684" max="7684" width="3.7109375" style="3" customWidth="1"/>
    <col min="7685" max="7685" width="10" style="3" customWidth="1"/>
    <col min="7686" max="7686" width="10.140625" style="3" customWidth="1"/>
    <col min="7687" max="7687" width="13.140625" style="3" customWidth="1"/>
    <col min="7688" max="7690" width="0" style="3" hidden="1" customWidth="1"/>
    <col min="7691" max="7929" width="8.85546875" style="3" customWidth="1"/>
    <col min="7930" max="7930" width="3.5703125" style="3" customWidth="1"/>
    <col min="7931" max="7931" width="0" style="3" hidden="1" customWidth="1"/>
    <col min="7932" max="7932" width="6.85546875" style="3" customWidth="1"/>
    <col min="7933" max="7933" width="8.7109375" style="3" customWidth="1"/>
    <col min="7934" max="7934" width="22.7109375" style="3" customWidth="1"/>
    <col min="7935" max="7935" width="9.5703125" style="3" customWidth="1"/>
    <col min="7936" max="7936" width="8.28515625" style="3" customWidth="1"/>
    <col min="7937" max="7939" width="6.140625" style="3" customWidth="1"/>
    <col min="7940" max="7940" width="3.7109375" style="3" customWidth="1"/>
    <col min="7941" max="7941" width="10" style="3" customWidth="1"/>
    <col min="7942" max="7942" width="10.140625" style="3" customWidth="1"/>
    <col min="7943" max="7943" width="13.140625" style="3" customWidth="1"/>
    <col min="7944" max="7946" width="0" style="3" hidden="1" customWidth="1"/>
    <col min="7947" max="8185" width="8.85546875" style="3" customWidth="1"/>
    <col min="8186" max="8186" width="3.5703125" style="3" customWidth="1"/>
    <col min="8187" max="8187" width="0" style="3" hidden="1" customWidth="1"/>
    <col min="8188" max="8188" width="6.85546875" style="3" customWidth="1"/>
    <col min="8189" max="8189" width="8.7109375" style="3" customWidth="1"/>
    <col min="8190" max="8190" width="22.7109375" style="3" customWidth="1"/>
    <col min="8191" max="8191" width="9.5703125" style="3" customWidth="1"/>
    <col min="8192" max="8192" width="8.28515625" style="3" customWidth="1"/>
    <col min="8193" max="8195" width="6.140625" style="3" customWidth="1"/>
    <col min="8196" max="8196" width="3.7109375" style="3" customWidth="1"/>
    <col min="8197" max="8197" width="10" style="3" customWidth="1"/>
    <col min="8198" max="8198" width="10.140625" style="3" customWidth="1"/>
    <col min="8199" max="8199" width="13.140625" style="3" customWidth="1"/>
    <col min="8200" max="8202" width="0" style="3" hidden="1" customWidth="1"/>
    <col min="8203" max="8441" width="8.85546875" style="3" customWidth="1"/>
    <col min="8442" max="8442" width="3.5703125" style="3" customWidth="1"/>
    <col min="8443" max="8443" width="0" style="3" hidden="1" customWidth="1"/>
    <col min="8444" max="8444" width="6.85546875" style="3" customWidth="1"/>
    <col min="8445" max="8445" width="8.7109375" style="3" customWidth="1"/>
    <col min="8446" max="8446" width="22.7109375" style="3" customWidth="1"/>
    <col min="8447" max="8447" width="9.5703125" style="3" customWidth="1"/>
    <col min="8448" max="8448" width="8.28515625" style="3" customWidth="1"/>
    <col min="8449" max="8451" width="6.140625" style="3" customWidth="1"/>
    <col min="8452" max="8452" width="3.7109375" style="3" customWidth="1"/>
    <col min="8453" max="8453" width="10" style="3" customWidth="1"/>
    <col min="8454" max="8454" width="10.140625" style="3" customWidth="1"/>
    <col min="8455" max="8455" width="13.140625" style="3" customWidth="1"/>
    <col min="8456" max="8458" width="0" style="3" hidden="1" customWidth="1"/>
    <col min="8459" max="8697" width="8.85546875" style="3" customWidth="1"/>
    <col min="8698" max="8698" width="3.5703125" style="3" customWidth="1"/>
    <col min="8699" max="8699" width="0" style="3" hidden="1" customWidth="1"/>
    <col min="8700" max="8700" width="6.85546875" style="3" customWidth="1"/>
    <col min="8701" max="8701" width="8.7109375" style="3" customWidth="1"/>
    <col min="8702" max="8702" width="22.7109375" style="3" customWidth="1"/>
    <col min="8703" max="8703" width="9.5703125" style="3" customWidth="1"/>
    <col min="8704" max="8704" width="8.28515625" style="3" customWidth="1"/>
    <col min="8705" max="8707" width="6.140625" style="3" customWidth="1"/>
    <col min="8708" max="8708" width="3.7109375" style="3" customWidth="1"/>
    <col min="8709" max="8709" width="10" style="3" customWidth="1"/>
    <col min="8710" max="8710" width="10.140625" style="3" customWidth="1"/>
    <col min="8711" max="8711" width="13.140625" style="3" customWidth="1"/>
    <col min="8712" max="8714" width="0" style="3" hidden="1" customWidth="1"/>
    <col min="8715" max="8953" width="8.85546875" style="3" customWidth="1"/>
    <col min="8954" max="8954" width="3.5703125" style="3" customWidth="1"/>
    <col min="8955" max="8955" width="0" style="3" hidden="1" customWidth="1"/>
    <col min="8956" max="8956" width="6.85546875" style="3" customWidth="1"/>
    <col min="8957" max="8957" width="8.7109375" style="3" customWidth="1"/>
    <col min="8958" max="8958" width="22.7109375" style="3" customWidth="1"/>
    <col min="8959" max="8959" width="9.5703125" style="3" customWidth="1"/>
    <col min="8960" max="8960" width="8.28515625" style="3" customWidth="1"/>
    <col min="8961" max="8963" width="6.140625" style="3" customWidth="1"/>
    <col min="8964" max="8964" width="3.7109375" style="3" customWidth="1"/>
    <col min="8965" max="8965" width="10" style="3" customWidth="1"/>
    <col min="8966" max="8966" width="10.140625" style="3" customWidth="1"/>
    <col min="8967" max="8967" width="13.140625" style="3" customWidth="1"/>
    <col min="8968" max="8970" width="0" style="3" hidden="1" customWidth="1"/>
    <col min="8971" max="9209" width="8.85546875" style="3" customWidth="1"/>
    <col min="9210" max="9210" width="3.5703125" style="3" customWidth="1"/>
    <col min="9211" max="9211" width="0" style="3" hidden="1" customWidth="1"/>
    <col min="9212" max="9212" width="6.85546875" style="3" customWidth="1"/>
    <col min="9213" max="9213" width="8.7109375" style="3" customWidth="1"/>
    <col min="9214" max="9214" width="22.7109375" style="3" customWidth="1"/>
    <col min="9215" max="9215" width="9.5703125" style="3" customWidth="1"/>
    <col min="9216" max="9216" width="8.28515625" style="3" customWidth="1"/>
    <col min="9217" max="9219" width="6.140625" style="3" customWidth="1"/>
    <col min="9220" max="9220" width="3.7109375" style="3" customWidth="1"/>
    <col min="9221" max="9221" width="10" style="3" customWidth="1"/>
    <col min="9222" max="9222" width="10.140625" style="3" customWidth="1"/>
    <col min="9223" max="9223" width="13.140625" style="3" customWidth="1"/>
    <col min="9224" max="9226" width="0" style="3" hidden="1" customWidth="1"/>
    <col min="9227" max="9465" width="8.85546875" style="3" customWidth="1"/>
    <col min="9466" max="9466" width="3.5703125" style="3" customWidth="1"/>
    <col min="9467" max="9467" width="0" style="3" hidden="1" customWidth="1"/>
    <col min="9468" max="9468" width="6.85546875" style="3" customWidth="1"/>
    <col min="9469" max="9469" width="8.7109375" style="3" customWidth="1"/>
    <col min="9470" max="9470" width="22.7109375" style="3" customWidth="1"/>
    <col min="9471" max="9471" width="9.5703125" style="3" customWidth="1"/>
    <col min="9472" max="9472" width="8.28515625" style="3" customWidth="1"/>
    <col min="9473" max="9475" width="6.140625" style="3" customWidth="1"/>
    <col min="9476" max="9476" width="3.7109375" style="3" customWidth="1"/>
    <col min="9477" max="9477" width="10" style="3" customWidth="1"/>
    <col min="9478" max="9478" width="10.140625" style="3" customWidth="1"/>
    <col min="9479" max="9479" width="13.140625" style="3" customWidth="1"/>
    <col min="9480" max="9482" width="0" style="3" hidden="1" customWidth="1"/>
    <col min="9483" max="9721" width="8.85546875" style="3" customWidth="1"/>
    <col min="9722" max="9722" width="3.5703125" style="3" customWidth="1"/>
    <col min="9723" max="9723" width="0" style="3" hidden="1" customWidth="1"/>
    <col min="9724" max="9724" width="6.85546875" style="3" customWidth="1"/>
    <col min="9725" max="9725" width="8.7109375" style="3" customWidth="1"/>
    <col min="9726" max="9726" width="22.7109375" style="3" customWidth="1"/>
    <col min="9727" max="9727" width="9.5703125" style="3" customWidth="1"/>
    <col min="9728" max="9728" width="8.28515625" style="3" customWidth="1"/>
    <col min="9729" max="9731" width="6.140625" style="3" customWidth="1"/>
    <col min="9732" max="9732" width="3.7109375" style="3" customWidth="1"/>
    <col min="9733" max="9733" width="10" style="3" customWidth="1"/>
    <col min="9734" max="9734" width="10.140625" style="3" customWidth="1"/>
    <col min="9735" max="9735" width="13.140625" style="3" customWidth="1"/>
    <col min="9736" max="9738" width="0" style="3" hidden="1" customWidth="1"/>
    <col min="9739" max="9977" width="8.85546875" style="3" customWidth="1"/>
    <col min="9978" max="9978" width="3.5703125" style="3" customWidth="1"/>
    <col min="9979" max="9979" width="0" style="3" hidden="1" customWidth="1"/>
    <col min="9980" max="9980" width="6.85546875" style="3" customWidth="1"/>
    <col min="9981" max="9981" width="8.7109375" style="3" customWidth="1"/>
    <col min="9982" max="9982" width="22.7109375" style="3" customWidth="1"/>
    <col min="9983" max="9983" width="9.5703125" style="3" customWidth="1"/>
    <col min="9984" max="9984" width="8.28515625" style="3" customWidth="1"/>
    <col min="9985" max="9987" width="6.140625" style="3" customWidth="1"/>
    <col min="9988" max="9988" width="3.7109375" style="3" customWidth="1"/>
    <col min="9989" max="9989" width="10" style="3" customWidth="1"/>
    <col min="9990" max="9990" width="10.140625" style="3" customWidth="1"/>
    <col min="9991" max="9991" width="13.140625" style="3" customWidth="1"/>
    <col min="9992" max="9994" width="0" style="3" hidden="1" customWidth="1"/>
    <col min="9995" max="10233" width="8.85546875" style="3" customWidth="1"/>
    <col min="10234" max="10234" width="3.5703125" style="3" customWidth="1"/>
    <col min="10235" max="10235" width="0" style="3" hidden="1" customWidth="1"/>
    <col min="10236" max="10236" width="6.85546875" style="3" customWidth="1"/>
    <col min="10237" max="10237" width="8.7109375" style="3" customWidth="1"/>
    <col min="10238" max="10238" width="22.7109375" style="3" customWidth="1"/>
    <col min="10239" max="10239" width="9.5703125" style="3" customWidth="1"/>
    <col min="10240" max="10240" width="8.28515625" style="3" customWidth="1"/>
    <col min="10241" max="10243" width="6.140625" style="3" customWidth="1"/>
    <col min="10244" max="10244" width="3.7109375" style="3" customWidth="1"/>
    <col min="10245" max="10245" width="10" style="3" customWidth="1"/>
    <col min="10246" max="10246" width="10.140625" style="3" customWidth="1"/>
    <col min="10247" max="10247" width="13.140625" style="3" customWidth="1"/>
    <col min="10248" max="10250" width="0" style="3" hidden="1" customWidth="1"/>
    <col min="10251" max="10489" width="8.85546875" style="3" customWidth="1"/>
    <col min="10490" max="10490" width="3.5703125" style="3" customWidth="1"/>
    <col min="10491" max="10491" width="0" style="3" hidden="1" customWidth="1"/>
    <col min="10492" max="10492" width="6.85546875" style="3" customWidth="1"/>
    <col min="10493" max="10493" width="8.7109375" style="3" customWidth="1"/>
    <col min="10494" max="10494" width="22.7109375" style="3" customWidth="1"/>
    <col min="10495" max="10495" width="9.5703125" style="3" customWidth="1"/>
    <col min="10496" max="10496" width="8.28515625" style="3" customWidth="1"/>
    <col min="10497" max="10499" width="6.140625" style="3" customWidth="1"/>
    <col min="10500" max="10500" width="3.7109375" style="3" customWidth="1"/>
    <col min="10501" max="10501" width="10" style="3" customWidth="1"/>
    <col min="10502" max="10502" width="10.140625" style="3" customWidth="1"/>
    <col min="10503" max="10503" width="13.140625" style="3" customWidth="1"/>
    <col min="10504" max="10506" width="0" style="3" hidden="1" customWidth="1"/>
    <col min="10507" max="10745" width="8.85546875" style="3" customWidth="1"/>
    <col min="10746" max="10746" width="3.5703125" style="3" customWidth="1"/>
    <col min="10747" max="10747" width="0" style="3" hidden="1" customWidth="1"/>
    <col min="10748" max="10748" width="6.85546875" style="3" customWidth="1"/>
    <col min="10749" max="10749" width="8.7109375" style="3" customWidth="1"/>
    <col min="10750" max="10750" width="22.7109375" style="3" customWidth="1"/>
    <col min="10751" max="10751" width="9.5703125" style="3" customWidth="1"/>
    <col min="10752" max="10752" width="8.28515625" style="3" customWidth="1"/>
    <col min="10753" max="10755" width="6.140625" style="3" customWidth="1"/>
    <col min="10756" max="10756" width="3.7109375" style="3" customWidth="1"/>
    <col min="10757" max="10757" width="10" style="3" customWidth="1"/>
    <col min="10758" max="10758" width="10.140625" style="3" customWidth="1"/>
    <col min="10759" max="10759" width="13.140625" style="3" customWidth="1"/>
    <col min="10760" max="10762" width="0" style="3" hidden="1" customWidth="1"/>
    <col min="10763" max="11001" width="8.85546875" style="3" customWidth="1"/>
    <col min="11002" max="11002" width="3.5703125" style="3" customWidth="1"/>
    <col min="11003" max="11003" width="0" style="3" hidden="1" customWidth="1"/>
    <col min="11004" max="11004" width="6.85546875" style="3" customWidth="1"/>
    <col min="11005" max="11005" width="8.7109375" style="3" customWidth="1"/>
    <col min="11006" max="11006" width="22.7109375" style="3" customWidth="1"/>
    <col min="11007" max="11007" width="9.5703125" style="3" customWidth="1"/>
    <col min="11008" max="11008" width="8.28515625" style="3" customWidth="1"/>
    <col min="11009" max="11011" width="6.140625" style="3" customWidth="1"/>
    <col min="11012" max="11012" width="3.7109375" style="3" customWidth="1"/>
    <col min="11013" max="11013" width="10" style="3" customWidth="1"/>
    <col min="11014" max="11014" width="10.140625" style="3" customWidth="1"/>
    <col min="11015" max="11015" width="13.140625" style="3" customWidth="1"/>
    <col min="11016" max="11018" width="0" style="3" hidden="1" customWidth="1"/>
    <col min="11019" max="11257" width="8.85546875" style="3" customWidth="1"/>
    <col min="11258" max="11258" width="3.5703125" style="3" customWidth="1"/>
    <col min="11259" max="11259" width="0" style="3" hidden="1" customWidth="1"/>
    <col min="11260" max="11260" width="6.85546875" style="3" customWidth="1"/>
    <col min="11261" max="11261" width="8.7109375" style="3" customWidth="1"/>
    <col min="11262" max="11262" width="22.7109375" style="3" customWidth="1"/>
    <col min="11263" max="11263" width="9.5703125" style="3" customWidth="1"/>
    <col min="11264" max="11264" width="8.28515625" style="3" customWidth="1"/>
    <col min="11265" max="11267" width="6.140625" style="3" customWidth="1"/>
    <col min="11268" max="11268" width="3.7109375" style="3" customWidth="1"/>
    <col min="11269" max="11269" width="10" style="3" customWidth="1"/>
    <col min="11270" max="11270" width="10.140625" style="3" customWidth="1"/>
    <col min="11271" max="11271" width="13.140625" style="3" customWidth="1"/>
    <col min="11272" max="11274" width="0" style="3" hidden="1" customWidth="1"/>
    <col min="11275" max="11513" width="8.85546875" style="3" customWidth="1"/>
    <col min="11514" max="11514" width="3.5703125" style="3" customWidth="1"/>
    <col min="11515" max="11515" width="0" style="3" hidden="1" customWidth="1"/>
    <col min="11516" max="11516" width="6.85546875" style="3" customWidth="1"/>
    <col min="11517" max="11517" width="8.7109375" style="3" customWidth="1"/>
    <col min="11518" max="11518" width="22.7109375" style="3" customWidth="1"/>
    <col min="11519" max="11519" width="9.5703125" style="3" customWidth="1"/>
    <col min="11520" max="11520" width="8.28515625" style="3" customWidth="1"/>
    <col min="11521" max="11523" width="6.140625" style="3" customWidth="1"/>
    <col min="11524" max="11524" width="3.7109375" style="3" customWidth="1"/>
    <col min="11525" max="11525" width="10" style="3" customWidth="1"/>
    <col min="11526" max="11526" width="10.140625" style="3" customWidth="1"/>
    <col min="11527" max="11527" width="13.140625" style="3" customWidth="1"/>
    <col min="11528" max="11530" width="0" style="3" hidden="1" customWidth="1"/>
    <col min="11531" max="11769" width="8.85546875" style="3" customWidth="1"/>
    <col min="11770" max="11770" width="3.5703125" style="3" customWidth="1"/>
    <col min="11771" max="11771" width="0" style="3" hidden="1" customWidth="1"/>
    <col min="11772" max="11772" width="6.85546875" style="3" customWidth="1"/>
    <col min="11773" max="11773" width="8.7109375" style="3" customWidth="1"/>
    <col min="11774" max="11774" width="22.7109375" style="3" customWidth="1"/>
    <col min="11775" max="11775" width="9.5703125" style="3" customWidth="1"/>
    <col min="11776" max="11776" width="8.28515625" style="3" customWidth="1"/>
    <col min="11777" max="11779" width="6.140625" style="3" customWidth="1"/>
    <col min="11780" max="11780" width="3.7109375" style="3" customWidth="1"/>
    <col min="11781" max="11781" width="10" style="3" customWidth="1"/>
    <col min="11782" max="11782" width="10.140625" style="3" customWidth="1"/>
    <col min="11783" max="11783" width="13.140625" style="3" customWidth="1"/>
    <col min="11784" max="11786" width="0" style="3" hidden="1" customWidth="1"/>
    <col min="11787" max="12025" width="8.85546875" style="3" customWidth="1"/>
    <col min="12026" max="12026" width="3.5703125" style="3" customWidth="1"/>
    <col min="12027" max="12027" width="0" style="3" hidden="1" customWidth="1"/>
    <col min="12028" max="12028" width="6.85546875" style="3" customWidth="1"/>
    <col min="12029" max="12029" width="8.7109375" style="3" customWidth="1"/>
    <col min="12030" max="12030" width="22.7109375" style="3" customWidth="1"/>
    <col min="12031" max="12031" width="9.5703125" style="3" customWidth="1"/>
    <col min="12032" max="12032" width="8.28515625" style="3" customWidth="1"/>
    <col min="12033" max="12035" width="6.140625" style="3" customWidth="1"/>
    <col min="12036" max="12036" width="3.7109375" style="3" customWidth="1"/>
    <col min="12037" max="12037" width="10" style="3" customWidth="1"/>
    <col min="12038" max="12038" width="10.140625" style="3" customWidth="1"/>
    <col min="12039" max="12039" width="13.140625" style="3" customWidth="1"/>
    <col min="12040" max="12042" width="0" style="3" hidden="1" customWidth="1"/>
    <col min="12043" max="12281" width="8.85546875" style="3" customWidth="1"/>
    <col min="12282" max="12282" width="3.5703125" style="3" customWidth="1"/>
    <col min="12283" max="12283" width="0" style="3" hidden="1" customWidth="1"/>
    <col min="12284" max="12284" width="6.85546875" style="3" customWidth="1"/>
    <col min="12285" max="12285" width="8.7109375" style="3" customWidth="1"/>
    <col min="12286" max="12286" width="22.7109375" style="3" customWidth="1"/>
    <col min="12287" max="12287" width="9.5703125" style="3" customWidth="1"/>
    <col min="12288" max="12288" width="8.28515625" style="3" customWidth="1"/>
    <col min="12289" max="12291" width="6.140625" style="3" customWidth="1"/>
    <col min="12292" max="12292" width="3.7109375" style="3" customWidth="1"/>
    <col min="12293" max="12293" width="10" style="3" customWidth="1"/>
    <col min="12294" max="12294" width="10.140625" style="3" customWidth="1"/>
    <col min="12295" max="12295" width="13.140625" style="3" customWidth="1"/>
    <col min="12296" max="12298" width="0" style="3" hidden="1" customWidth="1"/>
    <col min="12299" max="12537" width="8.85546875" style="3" customWidth="1"/>
    <col min="12538" max="12538" width="3.5703125" style="3" customWidth="1"/>
    <col min="12539" max="12539" width="0" style="3" hidden="1" customWidth="1"/>
    <col min="12540" max="12540" width="6.85546875" style="3" customWidth="1"/>
    <col min="12541" max="12541" width="8.7109375" style="3" customWidth="1"/>
    <col min="12542" max="12542" width="22.7109375" style="3" customWidth="1"/>
    <col min="12543" max="12543" width="9.5703125" style="3" customWidth="1"/>
    <col min="12544" max="12544" width="8.28515625" style="3" customWidth="1"/>
    <col min="12545" max="12547" width="6.140625" style="3" customWidth="1"/>
    <col min="12548" max="12548" width="3.7109375" style="3" customWidth="1"/>
    <col min="12549" max="12549" width="10" style="3" customWidth="1"/>
    <col min="12550" max="12550" width="10.140625" style="3" customWidth="1"/>
    <col min="12551" max="12551" width="13.140625" style="3" customWidth="1"/>
    <col min="12552" max="12554" width="0" style="3" hidden="1" customWidth="1"/>
    <col min="12555" max="12793" width="8.85546875" style="3" customWidth="1"/>
    <col min="12794" max="12794" width="3.5703125" style="3" customWidth="1"/>
    <col min="12795" max="12795" width="0" style="3" hidden="1" customWidth="1"/>
    <col min="12796" max="12796" width="6.85546875" style="3" customWidth="1"/>
    <col min="12797" max="12797" width="8.7109375" style="3" customWidth="1"/>
    <col min="12798" max="12798" width="22.7109375" style="3" customWidth="1"/>
    <col min="12799" max="12799" width="9.5703125" style="3" customWidth="1"/>
    <col min="12800" max="12800" width="8.28515625" style="3" customWidth="1"/>
    <col min="12801" max="12803" width="6.140625" style="3" customWidth="1"/>
    <col min="12804" max="12804" width="3.7109375" style="3" customWidth="1"/>
    <col min="12805" max="12805" width="10" style="3" customWidth="1"/>
    <col min="12806" max="12806" width="10.140625" style="3" customWidth="1"/>
    <col min="12807" max="12807" width="13.140625" style="3" customWidth="1"/>
    <col min="12808" max="12810" width="0" style="3" hidden="1" customWidth="1"/>
    <col min="12811" max="13049" width="8.85546875" style="3" customWidth="1"/>
    <col min="13050" max="13050" width="3.5703125" style="3" customWidth="1"/>
    <col min="13051" max="13051" width="0" style="3" hidden="1" customWidth="1"/>
    <col min="13052" max="13052" width="6.85546875" style="3" customWidth="1"/>
    <col min="13053" max="13053" width="8.7109375" style="3" customWidth="1"/>
    <col min="13054" max="13054" width="22.7109375" style="3" customWidth="1"/>
    <col min="13055" max="13055" width="9.5703125" style="3" customWidth="1"/>
    <col min="13056" max="13056" width="8.28515625" style="3" customWidth="1"/>
    <col min="13057" max="13059" width="6.140625" style="3" customWidth="1"/>
    <col min="13060" max="13060" width="3.7109375" style="3" customWidth="1"/>
    <col min="13061" max="13061" width="10" style="3" customWidth="1"/>
    <col min="13062" max="13062" width="10.140625" style="3" customWidth="1"/>
    <col min="13063" max="13063" width="13.140625" style="3" customWidth="1"/>
    <col min="13064" max="13066" width="0" style="3" hidden="1" customWidth="1"/>
    <col min="13067" max="13305" width="8.85546875" style="3" customWidth="1"/>
    <col min="13306" max="13306" width="3.5703125" style="3" customWidth="1"/>
    <col min="13307" max="13307" width="0" style="3" hidden="1" customWidth="1"/>
    <col min="13308" max="13308" width="6.85546875" style="3" customWidth="1"/>
    <col min="13309" max="13309" width="8.7109375" style="3" customWidth="1"/>
    <col min="13310" max="13310" width="22.7109375" style="3" customWidth="1"/>
    <col min="13311" max="13311" width="9.5703125" style="3" customWidth="1"/>
    <col min="13312" max="13312" width="8.28515625" style="3" customWidth="1"/>
    <col min="13313" max="13315" width="6.140625" style="3" customWidth="1"/>
    <col min="13316" max="13316" width="3.7109375" style="3" customWidth="1"/>
    <col min="13317" max="13317" width="10" style="3" customWidth="1"/>
    <col min="13318" max="13318" width="10.140625" style="3" customWidth="1"/>
    <col min="13319" max="13319" width="13.140625" style="3" customWidth="1"/>
    <col min="13320" max="13322" width="0" style="3" hidden="1" customWidth="1"/>
    <col min="13323" max="13561" width="8.85546875" style="3" customWidth="1"/>
    <col min="13562" max="13562" width="3.5703125" style="3" customWidth="1"/>
    <col min="13563" max="13563" width="0" style="3" hidden="1" customWidth="1"/>
    <col min="13564" max="13564" width="6.85546875" style="3" customWidth="1"/>
    <col min="13565" max="13565" width="8.7109375" style="3" customWidth="1"/>
    <col min="13566" max="13566" width="22.7109375" style="3" customWidth="1"/>
    <col min="13567" max="13567" width="9.5703125" style="3" customWidth="1"/>
    <col min="13568" max="13568" width="8.28515625" style="3" customWidth="1"/>
    <col min="13569" max="13571" width="6.140625" style="3" customWidth="1"/>
    <col min="13572" max="13572" width="3.7109375" style="3" customWidth="1"/>
    <col min="13573" max="13573" width="10" style="3" customWidth="1"/>
    <col min="13574" max="13574" width="10.140625" style="3" customWidth="1"/>
    <col min="13575" max="13575" width="13.140625" style="3" customWidth="1"/>
    <col min="13576" max="13578" width="0" style="3" hidden="1" customWidth="1"/>
    <col min="13579" max="13817" width="8.85546875" style="3" customWidth="1"/>
    <col min="13818" max="13818" width="3.5703125" style="3" customWidth="1"/>
    <col min="13819" max="13819" width="0" style="3" hidden="1" customWidth="1"/>
    <col min="13820" max="13820" width="6.85546875" style="3" customWidth="1"/>
    <col min="13821" max="13821" width="8.7109375" style="3" customWidth="1"/>
    <col min="13822" max="13822" width="22.7109375" style="3" customWidth="1"/>
    <col min="13823" max="13823" width="9.5703125" style="3" customWidth="1"/>
    <col min="13824" max="13824" width="8.28515625" style="3" customWidth="1"/>
    <col min="13825" max="13827" width="6.140625" style="3" customWidth="1"/>
    <col min="13828" max="13828" width="3.7109375" style="3" customWidth="1"/>
    <col min="13829" max="13829" width="10" style="3" customWidth="1"/>
    <col min="13830" max="13830" width="10.140625" style="3" customWidth="1"/>
    <col min="13831" max="13831" width="13.140625" style="3" customWidth="1"/>
    <col min="13832" max="13834" width="0" style="3" hidden="1" customWidth="1"/>
    <col min="13835" max="14073" width="8.85546875" style="3" customWidth="1"/>
    <col min="14074" max="14074" width="3.5703125" style="3" customWidth="1"/>
    <col min="14075" max="14075" width="0" style="3" hidden="1" customWidth="1"/>
    <col min="14076" max="14076" width="6.85546875" style="3" customWidth="1"/>
    <col min="14077" max="14077" width="8.7109375" style="3" customWidth="1"/>
    <col min="14078" max="14078" width="22.7109375" style="3" customWidth="1"/>
    <col min="14079" max="14079" width="9.5703125" style="3" customWidth="1"/>
    <col min="14080" max="14080" width="8.28515625" style="3" customWidth="1"/>
    <col min="14081" max="14083" width="6.140625" style="3" customWidth="1"/>
    <col min="14084" max="14084" width="3.7109375" style="3" customWidth="1"/>
    <col min="14085" max="14085" width="10" style="3" customWidth="1"/>
    <col min="14086" max="14086" width="10.140625" style="3" customWidth="1"/>
    <col min="14087" max="14087" width="13.140625" style="3" customWidth="1"/>
    <col min="14088" max="14090" width="0" style="3" hidden="1" customWidth="1"/>
    <col min="14091" max="14329" width="8.85546875" style="3" customWidth="1"/>
    <col min="14330" max="14330" width="3.5703125" style="3" customWidth="1"/>
    <col min="14331" max="14331" width="0" style="3" hidden="1" customWidth="1"/>
    <col min="14332" max="14332" width="6.85546875" style="3" customWidth="1"/>
    <col min="14333" max="14333" width="8.7109375" style="3" customWidth="1"/>
    <col min="14334" max="14334" width="22.7109375" style="3" customWidth="1"/>
    <col min="14335" max="14335" width="9.5703125" style="3" customWidth="1"/>
    <col min="14336" max="14336" width="8.28515625" style="3" customWidth="1"/>
    <col min="14337" max="14339" width="6.140625" style="3" customWidth="1"/>
    <col min="14340" max="14340" width="3.7109375" style="3" customWidth="1"/>
    <col min="14341" max="14341" width="10" style="3" customWidth="1"/>
    <col min="14342" max="14342" width="10.140625" style="3" customWidth="1"/>
    <col min="14343" max="14343" width="13.140625" style="3" customWidth="1"/>
    <col min="14344" max="14346" width="0" style="3" hidden="1" customWidth="1"/>
    <col min="14347" max="14585" width="8.85546875" style="3" customWidth="1"/>
    <col min="14586" max="14586" width="3.5703125" style="3" customWidth="1"/>
    <col min="14587" max="14587" width="0" style="3" hidden="1" customWidth="1"/>
    <col min="14588" max="14588" width="6.85546875" style="3" customWidth="1"/>
    <col min="14589" max="14589" width="8.7109375" style="3" customWidth="1"/>
    <col min="14590" max="14590" width="22.7109375" style="3" customWidth="1"/>
    <col min="14591" max="14591" width="9.5703125" style="3" customWidth="1"/>
    <col min="14592" max="14592" width="8.28515625" style="3" customWidth="1"/>
    <col min="14593" max="14595" width="6.140625" style="3" customWidth="1"/>
    <col min="14596" max="14596" width="3.7109375" style="3" customWidth="1"/>
    <col min="14597" max="14597" width="10" style="3" customWidth="1"/>
    <col min="14598" max="14598" width="10.140625" style="3" customWidth="1"/>
    <col min="14599" max="14599" width="13.140625" style="3" customWidth="1"/>
    <col min="14600" max="14602" width="0" style="3" hidden="1" customWidth="1"/>
    <col min="14603" max="14841" width="8.85546875" style="3" customWidth="1"/>
    <col min="14842" max="14842" width="3.5703125" style="3" customWidth="1"/>
    <col min="14843" max="14843" width="0" style="3" hidden="1" customWidth="1"/>
    <col min="14844" max="14844" width="6.85546875" style="3" customWidth="1"/>
    <col min="14845" max="14845" width="8.7109375" style="3" customWidth="1"/>
    <col min="14846" max="14846" width="22.7109375" style="3" customWidth="1"/>
    <col min="14847" max="14847" width="9.5703125" style="3" customWidth="1"/>
    <col min="14848" max="14848" width="8.28515625" style="3" customWidth="1"/>
    <col min="14849" max="14851" width="6.140625" style="3" customWidth="1"/>
    <col min="14852" max="14852" width="3.7109375" style="3" customWidth="1"/>
    <col min="14853" max="14853" width="10" style="3" customWidth="1"/>
    <col min="14854" max="14854" width="10.140625" style="3" customWidth="1"/>
    <col min="14855" max="14855" width="13.140625" style="3" customWidth="1"/>
    <col min="14856" max="14858" width="0" style="3" hidden="1" customWidth="1"/>
    <col min="14859" max="15097" width="8.85546875" style="3" customWidth="1"/>
    <col min="15098" max="15098" width="3.5703125" style="3" customWidth="1"/>
    <col min="15099" max="15099" width="0" style="3" hidden="1" customWidth="1"/>
    <col min="15100" max="15100" width="6.85546875" style="3" customWidth="1"/>
    <col min="15101" max="15101" width="8.7109375" style="3" customWidth="1"/>
    <col min="15102" max="15102" width="22.7109375" style="3" customWidth="1"/>
    <col min="15103" max="15103" width="9.5703125" style="3" customWidth="1"/>
    <col min="15104" max="15104" width="8.28515625" style="3" customWidth="1"/>
    <col min="15105" max="15107" width="6.140625" style="3" customWidth="1"/>
    <col min="15108" max="15108" width="3.7109375" style="3" customWidth="1"/>
    <col min="15109" max="15109" width="10" style="3" customWidth="1"/>
    <col min="15110" max="15110" width="10.140625" style="3" customWidth="1"/>
    <col min="15111" max="15111" width="13.140625" style="3" customWidth="1"/>
    <col min="15112" max="15114" width="0" style="3" hidden="1" customWidth="1"/>
    <col min="15115" max="15353" width="8.85546875" style="3" customWidth="1"/>
    <col min="15354" max="15354" width="3.5703125" style="3" customWidth="1"/>
    <col min="15355" max="15355" width="0" style="3" hidden="1" customWidth="1"/>
    <col min="15356" max="15356" width="6.85546875" style="3" customWidth="1"/>
    <col min="15357" max="15357" width="8.7109375" style="3" customWidth="1"/>
    <col min="15358" max="15358" width="22.7109375" style="3" customWidth="1"/>
    <col min="15359" max="15359" width="9.5703125" style="3" customWidth="1"/>
    <col min="15360" max="15360" width="8.28515625" style="3" customWidth="1"/>
    <col min="15361" max="15363" width="6.140625" style="3" customWidth="1"/>
    <col min="15364" max="15364" width="3.7109375" style="3" customWidth="1"/>
    <col min="15365" max="15365" width="10" style="3" customWidth="1"/>
    <col min="15366" max="15366" width="10.140625" style="3" customWidth="1"/>
    <col min="15367" max="15367" width="13.140625" style="3" customWidth="1"/>
    <col min="15368" max="15370" width="0" style="3" hidden="1" customWidth="1"/>
    <col min="15371" max="15609" width="8.85546875" style="3" customWidth="1"/>
    <col min="15610" max="15610" width="3.5703125" style="3" customWidth="1"/>
    <col min="15611" max="15611" width="0" style="3" hidden="1" customWidth="1"/>
    <col min="15612" max="15612" width="6.85546875" style="3" customWidth="1"/>
    <col min="15613" max="15613" width="8.7109375" style="3" customWidth="1"/>
    <col min="15614" max="15614" width="22.7109375" style="3" customWidth="1"/>
    <col min="15615" max="15615" width="9.5703125" style="3" customWidth="1"/>
    <col min="15616" max="15616" width="8.28515625" style="3" customWidth="1"/>
    <col min="15617" max="15619" width="6.140625" style="3" customWidth="1"/>
    <col min="15620" max="15620" width="3.7109375" style="3" customWidth="1"/>
    <col min="15621" max="15621" width="10" style="3" customWidth="1"/>
    <col min="15622" max="15622" width="10.140625" style="3" customWidth="1"/>
    <col min="15623" max="15623" width="13.140625" style="3" customWidth="1"/>
    <col min="15624" max="15626" width="0" style="3" hidden="1" customWidth="1"/>
    <col min="15627" max="15865" width="8.85546875" style="3" customWidth="1"/>
    <col min="15866" max="15866" width="3.5703125" style="3" customWidth="1"/>
    <col min="15867" max="15867" width="0" style="3" hidden="1" customWidth="1"/>
    <col min="15868" max="15868" width="6.85546875" style="3" customWidth="1"/>
    <col min="15869" max="15869" width="8.7109375" style="3" customWidth="1"/>
    <col min="15870" max="15870" width="22.7109375" style="3" customWidth="1"/>
    <col min="15871" max="15871" width="9.5703125" style="3" customWidth="1"/>
    <col min="15872" max="15872" width="8.28515625" style="3" customWidth="1"/>
    <col min="15873" max="15875" width="6.140625" style="3" customWidth="1"/>
    <col min="15876" max="15876" width="3.7109375" style="3" customWidth="1"/>
    <col min="15877" max="15877" width="10" style="3" customWidth="1"/>
    <col min="15878" max="15878" width="10.140625" style="3" customWidth="1"/>
    <col min="15879" max="15879" width="13.140625" style="3" customWidth="1"/>
    <col min="15880" max="15882" width="0" style="3" hidden="1" customWidth="1"/>
    <col min="15883" max="16121" width="8.85546875" style="3" customWidth="1"/>
    <col min="16122" max="16122" width="3.5703125" style="3" customWidth="1"/>
    <col min="16123" max="16123" width="0" style="3" hidden="1" customWidth="1"/>
    <col min="16124" max="16124" width="6.85546875" style="3" customWidth="1"/>
    <col min="16125" max="16125" width="8.7109375" style="3" customWidth="1"/>
    <col min="16126" max="16126" width="22.7109375" style="3" customWidth="1"/>
    <col min="16127" max="16127" width="9.5703125" style="3" customWidth="1"/>
    <col min="16128" max="16128" width="8.28515625" style="3" customWidth="1"/>
    <col min="16129" max="16131" width="6.140625" style="3" customWidth="1"/>
    <col min="16132" max="16132" width="3.7109375" style="3" customWidth="1"/>
    <col min="16133" max="16133" width="10" style="3" customWidth="1"/>
    <col min="16134" max="16134" width="10.140625" style="3" customWidth="1"/>
    <col min="16135" max="16135" width="13.140625" style="3" customWidth="1"/>
    <col min="16136" max="16138" width="0" style="3" hidden="1" customWidth="1"/>
    <col min="16139" max="16139" width="8.85546875" style="3" customWidth="1"/>
  </cols>
  <sheetData>
    <row r="1" spans="1:16139" ht="24" customHeight="1" x14ac:dyDescent="0.25">
      <c r="A1" s="147" t="s">
        <v>0</v>
      </c>
      <c r="B1" s="147"/>
      <c r="C1" s="147"/>
      <c r="D1" s="147"/>
      <c r="E1" s="147"/>
      <c r="F1" s="147"/>
      <c r="G1" s="147"/>
      <c r="H1" s="147"/>
      <c r="I1" s="147"/>
      <c r="J1" s="147"/>
      <c r="K1" s="29"/>
      <c r="L1" s="1"/>
    </row>
    <row r="2" spans="1:16139" ht="19.5" customHeight="1" x14ac:dyDescent="0.25">
      <c r="A2" s="148" t="s">
        <v>1</v>
      </c>
      <c r="B2" s="148"/>
      <c r="C2" s="148"/>
      <c r="D2" s="148"/>
      <c r="E2" s="148"/>
      <c r="F2" s="148"/>
      <c r="G2" s="148"/>
      <c r="H2" s="148"/>
      <c r="I2" s="148"/>
      <c r="J2" s="148"/>
      <c r="K2" s="30"/>
      <c r="L2" s="2"/>
    </row>
    <row r="3" spans="1:16139" ht="19.5" customHeight="1" x14ac:dyDescent="0.25">
      <c r="A3" s="148" t="s">
        <v>2</v>
      </c>
      <c r="B3" s="148"/>
      <c r="C3" s="148"/>
      <c r="D3" s="148"/>
      <c r="E3" s="148"/>
      <c r="F3" s="148"/>
      <c r="G3" s="148"/>
      <c r="H3" s="148"/>
      <c r="I3" s="148"/>
      <c r="J3" s="148"/>
      <c r="K3" s="30"/>
      <c r="L3" s="2"/>
    </row>
    <row r="4" spans="1:16139" ht="19.5" customHeight="1" x14ac:dyDescent="0.25">
      <c r="A4" s="148" t="s">
        <v>3</v>
      </c>
      <c r="B4" s="148"/>
      <c r="C4" s="148"/>
      <c r="D4" s="148"/>
      <c r="E4" s="148"/>
      <c r="F4" s="148"/>
      <c r="G4" s="148"/>
      <c r="H4" s="148"/>
      <c r="I4" s="148"/>
      <c r="J4" s="148"/>
      <c r="K4" s="30"/>
      <c r="L4" s="2"/>
    </row>
    <row r="5" spans="1:16139" ht="22.5" customHeight="1" x14ac:dyDescent="0.25">
      <c r="A5" s="148" t="s">
        <v>4</v>
      </c>
      <c r="B5" s="148"/>
      <c r="C5" s="148"/>
      <c r="D5" s="148"/>
      <c r="E5" s="148"/>
      <c r="F5" s="148"/>
      <c r="G5" s="148"/>
      <c r="H5" s="148"/>
      <c r="I5" s="148"/>
      <c r="J5" s="148"/>
      <c r="K5" s="30"/>
      <c r="L5" s="2"/>
    </row>
    <row r="6" spans="1:16139" s="5" customFormat="1" ht="30" customHeight="1" x14ac:dyDescent="0.2">
      <c r="A6" s="146" t="s">
        <v>5</v>
      </c>
      <c r="B6" s="146"/>
      <c r="C6" s="146"/>
      <c r="D6" s="146"/>
      <c r="E6" s="146"/>
      <c r="F6" s="146"/>
      <c r="G6" s="146"/>
      <c r="H6" s="146"/>
      <c r="I6" s="146"/>
      <c r="J6" s="146"/>
      <c r="K6" s="146"/>
      <c r="L6" s="146"/>
    </row>
    <row r="7" spans="1:16139" s="4" customFormat="1" ht="19.5" customHeight="1" x14ac:dyDescent="0.25">
      <c r="A7" s="143" t="s">
        <v>210</v>
      </c>
      <c r="B7" s="143"/>
      <c r="C7" s="143"/>
      <c r="D7" s="143"/>
      <c r="E7" s="143"/>
      <c r="F7" s="143" t="s">
        <v>6</v>
      </c>
      <c r="G7" s="143"/>
      <c r="H7" s="143"/>
      <c r="I7" s="143"/>
      <c r="J7" s="32"/>
      <c r="K7" s="31" t="s">
        <v>7</v>
      </c>
      <c r="L7" s="20" t="s">
        <v>208</v>
      </c>
    </row>
    <row r="8" spans="1:16139" s="4" customFormat="1" ht="19.5" customHeight="1" x14ac:dyDescent="0.25">
      <c r="A8" s="143" t="s">
        <v>211</v>
      </c>
      <c r="B8" s="143"/>
      <c r="C8" s="143"/>
      <c r="D8" s="143"/>
      <c r="E8" s="143"/>
      <c r="F8" s="143" t="s">
        <v>8</v>
      </c>
      <c r="G8" s="143"/>
      <c r="H8" s="143"/>
      <c r="I8" s="143"/>
      <c r="J8" s="32"/>
      <c r="K8" s="31" t="s">
        <v>9</v>
      </c>
      <c r="L8" s="21" t="s">
        <v>212</v>
      </c>
    </row>
    <row r="9" spans="1:16139" s="6" customFormat="1" ht="37.5" customHeight="1" x14ac:dyDescent="0.25">
      <c r="A9" s="144" t="s">
        <v>10</v>
      </c>
      <c r="B9" s="144"/>
      <c r="C9" s="144"/>
      <c r="D9" s="144"/>
      <c r="E9" s="144"/>
      <c r="F9" s="144"/>
      <c r="G9" s="144"/>
      <c r="H9" s="144"/>
      <c r="I9" s="144"/>
      <c r="J9" s="144"/>
      <c r="K9" s="144"/>
      <c r="L9" s="144"/>
    </row>
    <row r="10" spans="1:16139" s="6" customFormat="1" ht="36.75" customHeight="1" x14ac:dyDescent="0.25">
      <c r="A10" s="142" t="s">
        <v>11</v>
      </c>
      <c r="B10" s="142" t="s">
        <v>12</v>
      </c>
      <c r="C10" s="142" t="s">
        <v>13</v>
      </c>
      <c r="D10" s="142"/>
      <c r="E10" s="142"/>
      <c r="F10" s="142" t="s">
        <v>14</v>
      </c>
      <c r="G10" s="142"/>
      <c r="H10" s="145" t="s">
        <v>15</v>
      </c>
      <c r="I10" s="142" t="s">
        <v>16</v>
      </c>
      <c r="J10" s="43" t="s">
        <v>17</v>
      </c>
      <c r="K10" s="43" t="s">
        <v>18</v>
      </c>
      <c r="L10" s="44" t="s">
        <v>19</v>
      </c>
    </row>
    <row r="11" spans="1:16139" s="8" customFormat="1" ht="36.75" customHeight="1" x14ac:dyDescent="0.25">
      <c r="A11" s="142"/>
      <c r="B11" s="142"/>
      <c r="C11" s="88" t="s">
        <v>20</v>
      </c>
      <c r="D11" s="88" t="s">
        <v>21</v>
      </c>
      <c r="E11" s="88" t="s">
        <v>18</v>
      </c>
      <c r="F11" s="88" t="s">
        <v>22</v>
      </c>
      <c r="G11" s="88" t="s">
        <v>23</v>
      </c>
      <c r="H11" s="145"/>
      <c r="I11" s="142"/>
      <c r="J11" s="43" t="s">
        <v>24</v>
      </c>
      <c r="K11" s="43" t="s">
        <v>25</v>
      </c>
      <c r="L11" s="44" t="s">
        <v>26</v>
      </c>
    </row>
    <row r="12" spans="1:16139" s="8" customFormat="1" ht="27" customHeight="1" x14ac:dyDescent="0.25">
      <c r="A12" s="132" t="s">
        <v>86</v>
      </c>
      <c r="B12" s="133"/>
      <c r="C12" s="133"/>
      <c r="D12" s="133"/>
      <c r="E12" s="134"/>
      <c r="F12" s="64"/>
      <c r="G12" s="64"/>
      <c r="H12" s="65"/>
      <c r="I12" s="64"/>
      <c r="J12" s="66"/>
      <c r="K12" s="66"/>
      <c r="L12" s="67"/>
    </row>
    <row r="13" spans="1:16139" s="39" customFormat="1" ht="150.75" customHeight="1" x14ac:dyDescent="0.25">
      <c r="A13" s="86">
        <v>1</v>
      </c>
      <c r="B13" s="86" t="s">
        <v>87</v>
      </c>
      <c r="C13" s="51" t="s">
        <v>47</v>
      </c>
      <c r="D13" s="45" t="s">
        <v>39</v>
      </c>
      <c r="E13" s="45" t="s">
        <v>38</v>
      </c>
      <c r="F13" s="45">
        <v>4758</v>
      </c>
      <c r="G13" s="45">
        <v>2050</v>
      </c>
      <c r="H13" s="46">
        <f t="shared" ref="H13:H15" si="0">F13*G13/10^6</f>
        <v>9.7538999999999998</v>
      </c>
      <c r="I13" s="45">
        <v>1</v>
      </c>
      <c r="J13" s="53">
        <v>3060000</v>
      </c>
      <c r="K13" s="47">
        <v>3761000</v>
      </c>
      <c r="L13" s="48">
        <f t="shared" ref="L13:L15" si="1">IF(H13&lt;&gt;0,J13*H13*I13+K13*I13,IF(J13&lt;&gt;0,G13*I13*J13,I13*K13))</f>
        <v>33607934</v>
      </c>
      <c r="M13" s="28"/>
      <c r="N13" s="28"/>
      <c r="O13" s="28"/>
      <c r="P13" s="28"/>
      <c r="Q13" s="28"/>
      <c r="R13" s="28"/>
      <c r="S13" s="28"/>
      <c r="T13" s="28"/>
      <c r="U13" s="28"/>
      <c r="V13" s="28"/>
      <c r="W13" s="28"/>
      <c r="X13" s="28"/>
      <c r="Y13" s="28"/>
      <c r="Z13" s="28"/>
      <c r="AA13" s="28"/>
      <c r="AB13" s="28"/>
      <c r="AC13" s="28"/>
      <c r="AD13" s="28"/>
      <c r="AE13" s="28"/>
      <c r="AF13" s="28"/>
      <c r="AG13" s="28"/>
      <c r="AH13" s="28"/>
    </row>
    <row r="14" spans="1:16139" s="3" customFormat="1" ht="150.75" customHeight="1" x14ac:dyDescent="0.25">
      <c r="A14" s="86">
        <v>2</v>
      </c>
      <c r="B14" s="86" t="s">
        <v>88</v>
      </c>
      <c r="C14" s="51" t="s">
        <v>50</v>
      </c>
      <c r="D14" s="45" t="s">
        <v>39</v>
      </c>
      <c r="E14" s="45" t="s">
        <v>38</v>
      </c>
      <c r="F14" s="45">
        <v>900</v>
      </c>
      <c r="G14" s="45">
        <v>1500</v>
      </c>
      <c r="H14" s="46">
        <f t="shared" si="0"/>
        <v>1.35</v>
      </c>
      <c r="I14" s="45">
        <v>1</v>
      </c>
      <c r="J14" s="53">
        <v>3613000</v>
      </c>
      <c r="K14" s="47">
        <v>1629000</v>
      </c>
      <c r="L14" s="48">
        <f t="shared" si="1"/>
        <v>6506550</v>
      </c>
      <c r="M14" s="28"/>
      <c r="N14" s="28"/>
      <c r="O14" s="28"/>
      <c r="P14" s="28"/>
      <c r="Q14" s="28"/>
      <c r="R14" s="28"/>
      <c r="S14" s="28"/>
      <c r="T14" s="28"/>
      <c r="U14" s="28"/>
      <c r="V14" s="28"/>
      <c r="W14" s="28"/>
      <c r="X14" s="28"/>
      <c r="Y14" s="28"/>
      <c r="Z14" s="28"/>
      <c r="AA14" s="28"/>
      <c r="AB14" s="28"/>
      <c r="AC14" s="28"/>
      <c r="AD14" s="28"/>
      <c r="AE14" s="28"/>
      <c r="AF14" s="28"/>
    </row>
    <row r="15" spans="1:16139" ht="156.75" customHeight="1" x14ac:dyDescent="0.25">
      <c r="A15" s="86">
        <v>3</v>
      </c>
      <c r="B15" s="86" t="s">
        <v>89</v>
      </c>
      <c r="C15" s="51" t="s">
        <v>40</v>
      </c>
      <c r="D15" s="45" t="s">
        <v>39</v>
      </c>
      <c r="E15" s="45" t="s">
        <v>38</v>
      </c>
      <c r="F15" s="45">
        <v>1000</v>
      </c>
      <c r="G15" s="45">
        <v>1950</v>
      </c>
      <c r="H15" s="46">
        <f t="shared" si="0"/>
        <v>1.95</v>
      </c>
      <c r="I15" s="45">
        <v>1</v>
      </c>
      <c r="J15" s="53">
        <v>3396000</v>
      </c>
      <c r="K15" s="47">
        <v>1819000</v>
      </c>
      <c r="L15" s="48">
        <f t="shared" si="1"/>
        <v>8441200</v>
      </c>
      <c r="M15" s="54"/>
      <c r="N15" s="54"/>
      <c r="O15" s="54"/>
      <c r="P15" s="54"/>
      <c r="Q15" s="54"/>
      <c r="R15" s="54"/>
      <c r="S15" s="54"/>
      <c r="T15" s="54"/>
      <c r="U15" s="54"/>
      <c r="V15" s="54"/>
      <c r="W15" s="54"/>
      <c r="X15" s="54"/>
      <c r="Y15" s="54"/>
      <c r="Z15" s="54"/>
      <c r="AA15" s="54"/>
      <c r="AB15" s="54"/>
      <c r="AC15" s="54"/>
      <c r="AD15" s="54"/>
      <c r="AE15" s="54"/>
      <c r="AF15" s="54"/>
      <c r="AG15" s="54"/>
      <c r="AH15" s="54"/>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c r="HT15" s="55"/>
      <c r="HU15" s="55"/>
      <c r="HV15" s="55"/>
      <c r="HW15" s="55"/>
      <c r="HX15" s="55"/>
      <c r="HY15" s="55"/>
      <c r="HZ15" s="55"/>
      <c r="IA15" s="55"/>
      <c r="IB15" s="55"/>
      <c r="IC15" s="55"/>
      <c r="ID15" s="55"/>
      <c r="IE15" s="55"/>
      <c r="IF15" s="55"/>
      <c r="IG15" s="55"/>
      <c r="IH15" s="55"/>
      <c r="II15" s="55"/>
      <c r="IJ15" s="55"/>
      <c r="IK15" s="55"/>
      <c r="IL15" s="55"/>
      <c r="IM15" s="55"/>
      <c r="IN15" s="55"/>
      <c r="IO15" s="55"/>
      <c r="IP15" s="55"/>
      <c r="IQ15" s="55"/>
      <c r="IR15" s="55"/>
      <c r="IS15" s="55"/>
      <c r="IT15" s="55"/>
      <c r="IU15" s="55"/>
      <c r="IV15" s="55"/>
      <c r="IW15" s="55"/>
      <c r="IX15" s="55"/>
      <c r="IY15" s="55"/>
      <c r="IZ15" s="55"/>
      <c r="JA15" s="55"/>
      <c r="JB15" s="55"/>
      <c r="JC15" s="55"/>
      <c r="JD15" s="55"/>
      <c r="JE15" s="55"/>
      <c r="JF15" s="55"/>
      <c r="JG15" s="55"/>
      <c r="JH15" s="55"/>
      <c r="JI15" s="55"/>
      <c r="JJ15" s="55"/>
      <c r="JK15" s="55"/>
      <c r="JL15" s="55"/>
      <c r="JM15" s="55"/>
      <c r="JN15" s="55"/>
      <c r="JO15" s="55"/>
      <c r="JP15" s="55"/>
      <c r="JQ15" s="55"/>
      <c r="JR15" s="55"/>
      <c r="JS15" s="55"/>
      <c r="JT15" s="55"/>
      <c r="JU15" s="55"/>
      <c r="JV15" s="55"/>
      <c r="JW15" s="55"/>
      <c r="JX15" s="55"/>
      <c r="JY15" s="55"/>
      <c r="JZ15" s="55"/>
      <c r="KA15" s="55"/>
      <c r="KB15" s="55"/>
      <c r="KC15" s="55"/>
      <c r="KD15" s="55"/>
      <c r="KE15" s="55"/>
      <c r="KF15" s="55"/>
      <c r="KG15" s="55"/>
      <c r="KH15" s="55"/>
      <c r="KI15" s="55"/>
      <c r="KJ15" s="55"/>
      <c r="KK15" s="55"/>
      <c r="KL15" s="55"/>
      <c r="KM15" s="55"/>
      <c r="KN15" s="55"/>
      <c r="KO15" s="55"/>
      <c r="KP15" s="55"/>
      <c r="KQ15" s="55"/>
      <c r="KR15" s="55"/>
      <c r="KS15" s="55"/>
      <c r="KT15" s="55"/>
      <c r="KU15" s="55"/>
      <c r="KV15" s="55"/>
      <c r="KW15" s="55"/>
      <c r="KX15" s="55"/>
      <c r="KY15" s="55"/>
      <c r="KZ15" s="55"/>
      <c r="LA15" s="55"/>
      <c r="LB15" s="55"/>
      <c r="LC15" s="55"/>
      <c r="LD15" s="55"/>
      <c r="LE15" s="55"/>
      <c r="LF15" s="55"/>
      <c r="LG15" s="55"/>
      <c r="LH15" s="55"/>
      <c r="LI15" s="55"/>
      <c r="LJ15" s="55"/>
      <c r="LK15" s="55"/>
      <c r="LL15" s="55"/>
      <c r="LM15" s="55"/>
      <c r="LN15" s="55"/>
      <c r="LO15" s="55"/>
      <c r="LP15" s="55"/>
      <c r="LQ15" s="55"/>
      <c r="LR15" s="55"/>
      <c r="LS15" s="55"/>
      <c r="LT15" s="55"/>
      <c r="LU15" s="55"/>
      <c r="LV15" s="55"/>
      <c r="LW15" s="55"/>
      <c r="LX15" s="55"/>
      <c r="LY15" s="55"/>
      <c r="LZ15" s="55"/>
      <c r="MA15" s="55"/>
      <c r="MB15" s="55"/>
      <c r="MC15" s="55"/>
      <c r="MD15" s="55"/>
      <c r="ME15" s="55"/>
      <c r="MF15" s="55"/>
      <c r="MG15" s="55"/>
      <c r="MH15" s="55"/>
      <c r="MI15" s="55"/>
      <c r="MJ15" s="55"/>
      <c r="MK15" s="55"/>
      <c r="ML15" s="55"/>
      <c r="MM15" s="55"/>
      <c r="MN15" s="55"/>
      <c r="MO15" s="55"/>
      <c r="MP15" s="55"/>
      <c r="MQ15" s="55"/>
      <c r="MR15" s="55"/>
      <c r="MS15" s="55"/>
      <c r="MT15" s="55"/>
      <c r="MU15" s="55"/>
      <c r="MV15" s="55"/>
      <c r="MW15" s="55"/>
      <c r="MX15" s="55"/>
      <c r="MY15" s="55"/>
      <c r="MZ15" s="55"/>
      <c r="NA15" s="55"/>
      <c r="NB15" s="55"/>
      <c r="NC15" s="55"/>
      <c r="ND15" s="55"/>
      <c r="NE15" s="55"/>
      <c r="NF15" s="55"/>
      <c r="NG15" s="55"/>
      <c r="NH15" s="55"/>
      <c r="NI15" s="55"/>
      <c r="NJ15" s="55"/>
      <c r="NK15" s="55"/>
      <c r="NL15" s="55"/>
      <c r="NM15" s="55"/>
      <c r="NN15" s="55"/>
      <c r="NO15" s="55"/>
      <c r="NP15" s="55"/>
      <c r="NQ15" s="55"/>
      <c r="NR15" s="55"/>
      <c r="NS15" s="55"/>
      <c r="NT15" s="55"/>
      <c r="NU15" s="55"/>
      <c r="NV15" s="55"/>
      <c r="NW15" s="55"/>
      <c r="NX15" s="55"/>
      <c r="NY15" s="55"/>
      <c r="NZ15" s="55"/>
      <c r="OA15" s="55"/>
      <c r="OB15" s="55"/>
      <c r="OC15" s="55"/>
      <c r="OD15" s="55"/>
      <c r="OE15" s="55"/>
      <c r="OF15" s="55"/>
      <c r="OG15" s="55"/>
      <c r="OH15" s="55"/>
      <c r="OI15" s="55"/>
      <c r="OJ15" s="55"/>
      <c r="OK15" s="55"/>
      <c r="OL15" s="55"/>
      <c r="OM15" s="55"/>
      <c r="ON15" s="55"/>
      <c r="OO15" s="55"/>
      <c r="OP15" s="55"/>
      <c r="OQ15" s="55"/>
      <c r="OR15" s="55"/>
      <c r="OS15" s="55"/>
      <c r="OT15" s="55"/>
      <c r="OU15" s="55"/>
      <c r="OV15" s="55"/>
      <c r="OW15" s="55"/>
      <c r="OX15" s="55"/>
      <c r="OY15" s="55"/>
      <c r="OZ15" s="55"/>
      <c r="PA15" s="55"/>
      <c r="PB15" s="55"/>
      <c r="PC15" s="55"/>
      <c r="PD15" s="55"/>
      <c r="PE15" s="55"/>
      <c r="PF15" s="55"/>
      <c r="PG15" s="55"/>
      <c r="PH15" s="55"/>
      <c r="PI15" s="55"/>
      <c r="PJ15" s="55"/>
      <c r="PK15" s="55"/>
      <c r="PL15" s="55"/>
      <c r="PM15" s="55"/>
      <c r="PN15" s="55"/>
      <c r="PO15" s="55"/>
      <c r="PP15" s="55"/>
      <c r="PQ15" s="55"/>
      <c r="PR15" s="55"/>
      <c r="PS15" s="55"/>
      <c r="PT15" s="55"/>
      <c r="PU15" s="55"/>
      <c r="PV15" s="55"/>
      <c r="PW15" s="55"/>
      <c r="PX15" s="55"/>
      <c r="PY15" s="55"/>
      <c r="PZ15" s="55"/>
      <c r="QA15" s="55"/>
      <c r="QB15" s="55"/>
      <c r="QC15" s="55"/>
      <c r="QD15" s="55"/>
      <c r="QE15" s="55"/>
      <c r="QF15" s="55"/>
      <c r="QG15" s="55"/>
      <c r="QH15" s="55"/>
      <c r="QI15" s="55"/>
      <c r="QJ15" s="55"/>
      <c r="QK15" s="55"/>
      <c r="QL15" s="55"/>
      <c r="QM15" s="55"/>
      <c r="QN15" s="55"/>
      <c r="QO15" s="55"/>
      <c r="QP15" s="55"/>
      <c r="QQ15" s="55"/>
      <c r="QR15" s="55"/>
      <c r="QS15" s="55"/>
      <c r="QT15" s="55"/>
      <c r="QU15" s="55"/>
      <c r="QV15" s="55"/>
      <c r="QW15" s="55"/>
      <c r="QX15" s="55"/>
      <c r="QY15" s="55"/>
      <c r="QZ15" s="55"/>
      <c r="RA15" s="55"/>
      <c r="RB15" s="55"/>
      <c r="RC15" s="55"/>
      <c r="RD15" s="55"/>
      <c r="RE15" s="55"/>
      <c r="RF15" s="55"/>
      <c r="RG15" s="55"/>
      <c r="RH15" s="55"/>
      <c r="RI15" s="55"/>
      <c r="RJ15" s="55"/>
      <c r="RK15" s="55"/>
      <c r="RL15" s="55"/>
      <c r="RM15" s="55"/>
      <c r="RN15" s="55"/>
      <c r="RO15" s="55"/>
      <c r="RP15" s="55"/>
      <c r="RQ15" s="55"/>
      <c r="RR15" s="55"/>
      <c r="RS15" s="55"/>
      <c r="RT15" s="55"/>
      <c r="RU15" s="55"/>
      <c r="RV15" s="55"/>
      <c r="RW15" s="55"/>
      <c r="RX15" s="55"/>
      <c r="RY15" s="55"/>
      <c r="RZ15" s="55"/>
      <c r="SA15" s="55"/>
      <c r="SB15" s="55"/>
      <c r="SC15" s="55"/>
      <c r="SD15" s="55"/>
      <c r="SE15" s="55"/>
      <c r="SF15" s="55"/>
      <c r="SG15" s="55"/>
      <c r="SH15" s="55"/>
      <c r="SI15" s="55"/>
      <c r="SJ15" s="55"/>
      <c r="SK15" s="55"/>
      <c r="SL15" s="55"/>
      <c r="SM15" s="55"/>
      <c r="SN15" s="55"/>
      <c r="SO15" s="55"/>
      <c r="SP15" s="55"/>
      <c r="SQ15" s="55"/>
      <c r="SR15" s="55"/>
      <c r="SS15" s="55"/>
      <c r="ST15" s="55"/>
      <c r="SU15" s="55"/>
      <c r="SV15" s="55"/>
      <c r="SW15" s="55"/>
      <c r="SX15" s="55"/>
      <c r="SY15" s="55"/>
      <c r="SZ15" s="55"/>
      <c r="TA15" s="55"/>
      <c r="TB15" s="55"/>
      <c r="TC15" s="55"/>
      <c r="TD15" s="55"/>
      <c r="TE15" s="55"/>
      <c r="TF15" s="55"/>
      <c r="TG15" s="55"/>
      <c r="TH15" s="55"/>
      <c r="TI15" s="55"/>
      <c r="TJ15" s="55"/>
      <c r="TK15" s="55"/>
      <c r="TL15" s="55"/>
      <c r="TM15" s="55"/>
      <c r="TN15" s="55"/>
      <c r="TO15" s="55"/>
      <c r="TP15" s="55"/>
      <c r="TQ15" s="55"/>
      <c r="TR15" s="55"/>
      <c r="TS15" s="55"/>
      <c r="TT15" s="55"/>
      <c r="TU15" s="55"/>
      <c r="TV15" s="55"/>
      <c r="TW15" s="55"/>
      <c r="TX15" s="55"/>
      <c r="TY15" s="55"/>
      <c r="TZ15" s="55"/>
      <c r="UA15" s="55"/>
      <c r="UB15" s="55"/>
      <c r="UC15" s="55"/>
      <c r="UD15" s="55"/>
      <c r="UE15" s="55"/>
      <c r="UF15" s="55"/>
      <c r="UG15" s="55"/>
      <c r="UH15" s="55"/>
      <c r="UI15" s="55"/>
      <c r="UJ15" s="55"/>
      <c r="UK15" s="55"/>
      <c r="UL15" s="55"/>
      <c r="UM15" s="55"/>
      <c r="UN15" s="55"/>
      <c r="UO15" s="55"/>
      <c r="UP15" s="55"/>
      <c r="UQ15" s="55"/>
      <c r="UR15" s="55"/>
      <c r="US15" s="55"/>
      <c r="UT15" s="55"/>
      <c r="UU15" s="55"/>
      <c r="UV15" s="55"/>
      <c r="UW15" s="55"/>
      <c r="UX15" s="55"/>
      <c r="UY15" s="55"/>
      <c r="UZ15" s="55"/>
      <c r="VA15" s="55"/>
      <c r="VB15" s="55"/>
      <c r="VC15" s="55"/>
      <c r="VD15" s="55"/>
      <c r="VE15" s="55"/>
      <c r="VF15" s="55"/>
      <c r="VG15" s="55"/>
      <c r="VH15" s="55"/>
      <c r="VI15" s="55"/>
      <c r="VJ15" s="55"/>
      <c r="VK15" s="55"/>
      <c r="VL15" s="55"/>
      <c r="VM15" s="55"/>
      <c r="VN15" s="55"/>
      <c r="VO15" s="55"/>
      <c r="VP15" s="55"/>
      <c r="VQ15" s="55"/>
      <c r="VR15" s="55"/>
      <c r="VS15" s="55"/>
      <c r="VT15" s="55"/>
      <c r="VU15" s="55"/>
      <c r="VV15" s="55"/>
      <c r="VW15" s="55"/>
      <c r="VX15" s="55"/>
      <c r="VY15" s="55"/>
      <c r="VZ15" s="55"/>
      <c r="WA15" s="55"/>
      <c r="WB15" s="55"/>
      <c r="WC15" s="55"/>
      <c r="WD15" s="55"/>
      <c r="WE15" s="55"/>
      <c r="WF15" s="55"/>
      <c r="WG15" s="55"/>
      <c r="WH15" s="55"/>
      <c r="WI15" s="55"/>
      <c r="WJ15" s="55"/>
      <c r="WK15" s="55"/>
      <c r="WL15" s="55"/>
      <c r="WM15" s="55"/>
      <c r="WN15" s="55"/>
      <c r="WO15" s="55"/>
      <c r="WP15" s="55"/>
      <c r="WQ15" s="55"/>
      <c r="WR15" s="55"/>
      <c r="WS15" s="55"/>
      <c r="WT15" s="55"/>
      <c r="WU15" s="55"/>
      <c r="WV15" s="55"/>
      <c r="WW15" s="55"/>
      <c r="WX15" s="55"/>
      <c r="WY15" s="55"/>
      <c r="WZ15" s="55"/>
      <c r="XA15" s="55"/>
      <c r="XB15" s="55"/>
      <c r="XC15" s="55"/>
      <c r="XD15" s="55"/>
      <c r="XE15" s="55"/>
      <c r="XF15" s="55"/>
      <c r="XG15" s="55"/>
      <c r="XH15" s="55"/>
      <c r="XI15" s="55"/>
      <c r="XJ15" s="55"/>
      <c r="XK15" s="55"/>
      <c r="XL15" s="55"/>
      <c r="XM15" s="55"/>
      <c r="XN15" s="55"/>
      <c r="XO15" s="55"/>
      <c r="XP15" s="55"/>
      <c r="XQ15" s="55"/>
      <c r="XR15" s="55"/>
      <c r="XS15" s="55"/>
      <c r="XT15" s="55"/>
      <c r="XU15" s="55"/>
      <c r="XV15" s="55"/>
      <c r="XW15" s="55"/>
      <c r="XX15" s="55"/>
      <c r="XY15" s="55"/>
      <c r="XZ15" s="55"/>
      <c r="YA15" s="55"/>
      <c r="YB15" s="55"/>
      <c r="YC15" s="55"/>
      <c r="YD15" s="55"/>
      <c r="YE15" s="55"/>
      <c r="YF15" s="55"/>
      <c r="YG15" s="55"/>
      <c r="YH15" s="55"/>
      <c r="YI15" s="55"/>
      <c r="YJ15" s="55"/>
      <c r="YK15" s="55"/>
      <c r="YL15" s="55"/>
      <c r="YM15" s="55"/>
      <c r="YN15" s="55"/>
      <c r="YO15" s="55"/>
      <c r="YP15" s="55"/>
      <c r="YQ15" s="55"/>
      <c r="YR15" s="55"/>
      <c r="YS15" s="55"/>
      <c r="YT15" s="55"/>
      <c r="YU15" s="55"/>
      <c r="YV15" s="55"/>
      <c r="YW15" s="55"/>
      <c r="YX15" s="55"/>
      <c r="YY15" s="55"/>
      <c r="YZ15" s="55"/>
      <c r="ZA15" s="55"/>
      <c r="ZB15" s="55"/>
      <c r="ZC15" s="55"/>
      <c r="ZD15" s="55"/>
      <c r="ZE15" s="55"/>
      <c r="ZF15" s="55"/>
      <c r="ZG15" s="55"/>
      <c r="ZH15" s="55"/>
      <c r="ZI15" s="55"/>
      <c r="ZJ15" s="55"/>
      <c r="ZK15" s="55"/>
      <c r="ZL15" s="55"/>
      <c r="ZM15" s="55"/>
      <c r="ZN15" s="55"/>
      <c r="ZO15" s="55"/>
      <c r="ZP15" s="55"/>
      <c r="ZQ15" s="55"/>
      <c r="ZR15" s="55"/>
      <c r="ZS15" s="55"/>
      <c r="ZT15" s="55"/>
      <c r="ZU15" s="55"/>
      <c r="ZV15" s="55"/>
      <c r="ZW15" s="55"/>
      <c r="ZX15" s="55"/>
      <c r="ZY15" s="55"/>
      <c r="ZZ15" s="55"/>
      <c r="AAA15" s="55"/>
      <c r="AAB15" s="55"/>
      <c r="AAC15" s="55"/>
      <c r="AAD15" s="55"/>
      <c r="AAE15" s="55"/>
      <c r="AAF15" s="55"/>
      <c r="AAG15" s="55"/>
      <c r="AAH15" s="55"/>
      <c r="AAI15" s="55"/>
      <c r="AAJ15" s="55"/>
      <c r="AAK15" s="55"/>
      <c r="AAL15" s="55"/>
      <c r="AAM15" s="55"/>
      <c r="AAN15" s="55"/>
      <c r="AAO15" s="55"/>
      <c r="AAP15" s="55"/>
      <c r="AAQ15" s="55"/>
      <c r="AAR15" s="55"/>
      <c r="AAS15" s="55"/>
      <c r="AAT15" s="55"/>
      <c r="AAU15" s="55"/>
      <c r="AAV15" s="55"/>
      <c r="AAW15" s="55"/>
      <c r="AAX15" s="55"/>
      <c r="AAY15" s="55"/>
      <c r="AAZ15" s="55"/>
      <c r="ABA15" s="55"/>
      <c r="ABB15" s="55"/>
      <c r="ABC15" s="55"/>
      <c r="ABD15" s="55"/>
      <c r="ABE15" s="55"/>
      <c r="ABF15" s="55"/>
      <c r="ABG15" s="55"/>
      <c r="ABH15" s="55"/>
      <c r="ABI15" s="55"/>
      <c r="ABJ15" s="55"/>
      <c r="ABK15" s="55"/>
      <c r="ABL15" s="55"/>
      <c r="ABM15" s="55"/>
      <c r="ABN15" s="55"/>
      <c r="ABO15" s="55"/>
      <c r="ABP15" s="55"/>
      <c r="ABQ15" s="55"/>
      <c r="ABR15" s="55"/>
      <c r="ABS15" s="55"/>
      <c r="ABT15" s="55"/>
      <c r="ABU15" s="55"/>
      <c r="ABV15" s="55"/>
      <c r="ABW15" s="55"/>
      <c r="ABX15" s="55"/>
      <c r="ABY15" s="55"/>
      <c r="ABZ15" s="55"/>
      <c r="ACA15" s="55"/>
      <c r="ACB15" s="55"/>
      <c r="ACC15" s="55"/>
      <c r="ACD15" s="55"/>
      <c r="ACE15" s="55"/>
      <c r="ACF15" s="55"/>
      <c r="ACG15" s="55"/>
      <c r="ACH15" s="55"/>
      <c r="ACI15" s="55"/>
      <c r="ACJ15" s="55"/>
      <c r="ACK15" s="55"/>
      <c r="ACL15" s="55"/>
      <c r="ACM15" s="55"/>
      <c r="ACN15" s="55"/>
      <c r="ACO15" s="55"/>
      <c r="ACP15" s="55"/>
      <c r="ACQ15" s="55"/>
      <c r="ACR15" s="55"/>
      <c r="ACS15" s="55"/>
      <c r="ACT15" s="55"/>
      <c r="ACU15" s="55"/>
      <c r="ACV15" s="55"/>
      <c r="ACW15" s="55"/>
      <c r="ACX15" s="55"/>
      <c r="ACY15" s="55"/>
      <c r="ACZ15" s="55"/>
      <c r="ADA15" s="55"/>
      <c r="ADB15" s="55"/>
      <c r="ADC15" s="55"/>
      <c r="ADD15" s="55"/>
      <c r="ADE15" s="55"/>
      <c r="ADF15" s="55"/>
      <c r="ADG15" s="55"/>
      <c r="ADH15" s="55"/>
      <c r="ADI15" s="55"/>
      <c r="ADJ15" s="55"/>
      <c r="ADK15" s="55"/>
      <c r="ADL15" s="55"/>
      <c r="ADM15" s="55"/>
      <c r="ADN15" s="55"/>
      <c r="ADO15" s="55"/>
      <c r="ADP15" s="55"/>
      <c r="ADQ15" s="55"/>
      <c r="ADR15" s="55"/>
      <c r="ADS15" s="55"/>
      <c r="ADT15" s="55"/>
      <c r="ADU15" s="55"/>
      <c r="ADV15" s="55"/>
      <c r="ADW15" s="55"/>
      <c r="ADX15" s="55"/>
      <c r="ADY15" s="55"/>
      <c r="ADZ15" s="55"/>
      <c r="AEA15" s="55"/>
      <c r="AEB15" s="55"/>
      <c r="AEC15" s="55"/>
      <c r="AED15" s="55"/>
      <c r="AEE15" s="55"/>
      <c r="AEF15" s="55"/>
      <c r="AEG15" s="55"/>
      <c r="AEH15" s="55"/>
      <c r="AEI15" s="55"/>
      <c r="AEJ15" s="55"/>
      <c r="AEK15" s="55"/>
      <c r="AEL15" s="55"/>
      <c r="AEM15" s="55"/>
      <c r="AEN15" s="55"/>
      <c r="AEO15" s="55"/>
      <c r="AEP15" s="55"/>
      <c r="AEQ15" s="55"/>
      <c r="AER15" s="55"/>
      <c r="AES15" s="55"/>
      <c r="AET15" s="55"/>
      <c r="AEU15" s="55"/>
      <c r="AEV15" s="55"/>
      <c r="AEW15" s="55"/>
      <c r="AEX15" s="55"/>
      <c r="AEY15" s="55"/>
      <c r="AEZ15" s="55"/>
      <c r="AFA15" s="55"/>
      <c r="AFB15" s="55"/>
      <c r="AFC15" s="55"/>
      <c r="AFD15" s="55"/>
      <c r="AFE15" s="55"/>
      <c r="AFF15" s="55"/>
      <c r="AFG15" s="55"/>
      <c r="AFH15" s="55"/>
      <c r="AFI15" s="55"/>
      <c r="AFJ15" s="55"/>
      <c r="AFK15" s="55"/>
      <c r="AFL15" s="55"/>
      <c r="AFM15" s="55"/>
      <c r="AFN15" s="55"/>
      <c r="AFO15" s="55"/>
      <c r="AFP15" s="55"/>
      <c r="AFQ15" s="55"/>
      <c r="AFR15" s="55"/>
      <c r="AFS15" s="55"/>
      <c r="AFT15" s="55"/>
      <c r="AFU15" s="55"/>
      <c r="AFV15" s="55"/>
      <c r="AFW15" s="55"/>
      <c r="AFX15" s="55"/>
      <c r="AFY15" s="55"/>
      <c r="AFZ15" s="55"/>
      <c r="AGA15" s="55"/>
      <c r="AGB15" s="55"/>
      <c r="AGC15" s="55"/>
      <c r="AGD15" s="55"/>
      <c r="AGE15" s="55"/>
      <c r="AGF15" s="55"/>
      <c r="AGG15" s="55"/>
      <c r="AGH15" s="55"/>
      <c r="AGI15" s="55"/>
      <c r="AGJ15" s="55"/>
      <c r="AGK15" s="55"/>
      <c r="AGL15" s="55"/>
      <c r="AGM15" s="55"/>
      <c r="AGN15" s="55"/>
      <c r="AGO15" s="55"/>
      <c r="AGP15" s="55"/>
      <c r="AGQ15" s="55"/>
      <c r="AGR15" s="55"/>
      <c r="AGS15" s="55"/>
      <c r="AGT15" s="55"/>
      <c r="AGU15" s="55"/>
      <c r="AGV15" s="55"/>
      <c r="AGW15" s="55"/>
      <c r="AGX15" s="55"/>
      <c r="AGY15" s="55"/>
      <c r="AGZ15" s="55"/>
      <c r="AHA15" s="55"/>
      <c r="AHB15" s="55"/>
      <c r="AHC15" s="55"/>
      <c r="AHD15" s="55"/>
      <c r="AHE15" s="55"/>
      <c r="AHF15" s="55"/>
      <c r="AHG15" s="55"/>
      <c r="AHH15" s="55"/>
      <c r="AHI15" s="55"/>
      <c r="AHJ15" s="55"/>
      <c r="AHK15" s="55"/>
      <c r="AHL15" s="55"/>
      <c r="AHM15" s="55"/>
      <c r="AHN15" s="55"/>
      <c r="AHO15" s="55"/>
      <c r="AHP15" s="55"/>
      <c r="AHQ15" s="55"/>
      <c r="AHR15" s="55"/>
      <c r="AHS15" s="55"/>
      <c r="AHT15" s="55"/>
      <c r="AHU15" s="55"/>
      <c r="AHV15" s="55"/>
      <c r="AHW15" s="55"/>
      <c r="AHX15" s="55"/>
      <c r="AHY15" s="55"/>
      <c r="AHZ15" s="55"/>
      <c r="AIA15" s="55"/>
      <c r="AIB15" s="55"/>
      <c r="AIC15" s="55"/>
      <c r="AID15" s="55"/>
      <c r="AIE15" s="55"/>
      <c r="AIF15" s="55"/>
      <c r="AIG15" s="55"/>
      <c r="AIH15" s="55"/>
      <c r="AII15" s="55"/>
      <c r="AIJ15" s="55"/>
      <c r="AIK15" s="55"/>
      <c r="AIL15" s="55"/>
      <c r="AIM15" s="55"/>
      <c r="AIN15" s="55"/>
      <c r="AIO15" s="55"/>
      <c r="AIP15" s="55"/>
      <c r="AIQ15" s="55"/>
      <c r="AIR15" s="55"/>
      <c r="AIS15" s="55"/>
      <c r="AIT15" s="55"/>
      <c r="AIU15" s="55"/>
      <c r="AIV15" s="55"/>
      <c r="AIW15" s="55"/>
      <c r="AIX15" s="55"/>
      <c r="AIY15" s="55"/>
      <c r="AIZ15" s="55"/>
      <c r="AJA15" s="55"/>
      <c r="AJB15" s="55"/>
      <c r="AJC15" s="55"/>
      <c r="AJD15" s="55"/>
      <c r="AJE15" s="55"/>
      <c r="AJF15" s="55"/>
      <c r="AJG15" s="55"/>
      <c r="AJH15" s="55"/>
      <c r="AJI15" s="55"/>
      <c r="AJJ15" s="55"/>
      <c r="AJK15" s="55"/>
      <c r="AJL15" s="55"/>
      <c r="AJM15" s="55"/>
      <c r="AJN15" s="55"/>
      <c r="AJO15" s="55"/>
      <c r="AJP15" s="55"/>
      <c r="AJQ15" s="55"/>
      <c r="AJR15" s="55"/>
      <c r="AJS15" s="55"/>
      <c r="AJT15" s="55"/>
      <c r="AJU15" s="55"/>
      <c r="AJV15" s="55"/>
      <c r="AJW15" s="55"/>
      <c r="AJX15" s="55"/>
      <c r="AJY15" s="55"/>
      <c r="AJZ15" s="55"/>
      <c r="AKA15" s="55"/>
      <c r="AKB15" s="55"/>
      <c r="AKC15" s="55"/>
      <c r="AKD15" s="55"/>
      <c r="AKE15" s="55"/>
      <c r="AKF15" s="55"/>
      <c r="AKG15" s="55"/>
      <c r="AKH15" s="55"/>
      <c r="AKI15" s="55"/>
      <c r="AKJ15" s="55"/>
      <c r="AKK15" s="55"/>
      <c r="AKL15" s="55"/>
      <c r="AKM15" s="55"/>
      <c r="AKN15" s="55"/>
      <c r="AKO15" s="55"/>
      <c r="AKP15" s="55"/>
      <c r="AKQ15" s="55"/>
      <c r="AKR15" s="55"/>
      <c r="AKS15" s="55"/>
      <c r="AKT15" s="55"/>
      <c r="AKU15" s="55"/>
      <c r="AKV15" s="55"/>
      <c r="AKW15" s="55"/>
      <c r="AKX15" s="55"/>
      <c r="AKY15" s="55"/>
      <c r="AKZ15" s="55"/>
      <c r="ALA15" s="55"/>
      <c r="ALB15" s="55"/>
      <c r="ALC15" s="55"/>
      <c r="ALD15" s="55"/>
      <c r="ALE15" s="55"/>
      <c r="ALF15" s="55"/>
      <c r="ALG15" s="55"/>
      <c r="ALH15" s="55"/>
      <c r="ALI15" s="55"/>
      <c r="ALJ15" s="55"/>
      <c r="ALK15" s="55"/>
      <c r="ALL15" s="55"/>
      <c r="ALM15" s="55"/>
      <c r="ALN15" s="55"/>
      <c r="ALO15" s="55"/>
      <c r="ALP15" s="55"/>
      <c r="ALQ15" s="55"/>
      <c r="ALR15" s="55"/>
      <c r="ALS15" s="55"/>
      <c r="ALT15" s="55"/>
      <c r="ALU15" s="55"/>
      <c r="ALV15" s="55"/>
      <c r="ALW15" s="55"/>
      <c r="ALX15" s="55"/>
      <c r="ALY15" s="55"/>
      <c r="ALZ15" s="55"/>
      <c r="AMA15" s="55"/>
      <c r="AMB15" s="55"/>
      <c r="AMC15" s="55"/>
      <c r="AMD15" s="55"/>
      <c r="AME15" s="55"/>
      <c r="AMF15" s="55"/>
      <c r="AMG15" s="55"/>
      <c r="AMH15" s="55"/>
      <c r="AMI15" s="55"/>
      <c r="AMJ15" s="55"/>
      <c r="AMK15" s="55"/>
      <c r="AML15" s="55"/>
      <c r="AMM15" s="55"/>
      <c r="AMN15" s="55"/>
      <c r="AMO15" s="55"/>
      <c r="AMP15" s="55"/>
      <c r="AMQ15" s="55"/>
      <c r="AMR15" s="55"/>
      <c r="AMS15" s="55"/>
      <c r="AMT15" s="55"/>
      <c r="AMU15" s="55"/>
      <c r="AMV15" s="55"/>
      <c r="AMW15" s="55"/>
      <c r="AMX15" s="55"/>
      <c r="AMY15" s="55"/>
      <c r="AMZ15" s="55"/>
      <c r="ANA15" s="55"/>
      <c r="ANB15" s="55"/>
      <c r="ANC15" s="55"/>
      <c r="AND15" s="55"/>
      <c r="ANE15" s="55"/>
      <c r="ANF15" s="55"/>
      <c r="ANG15" s="55"/>
      <c r="ANH15" s="55"/>
      <c r="ANI15" s="55"/>
      <c r="ANJ15" s="55"/>
      <c r="ANK15" s="55"/>
      <c r="ANL15" s="55"/>
      <c r="ANM15" s="55"/>
      <c r="ANN15" s="55"/>
      <c r="ANO15" s="55"/>
      <c r="ANP15" s="55"/>
      <c r="ANQ15" s="55"/>
      <c r="ANR15" s="55"/>
      <c r="ANS15" s="55"/>
      <c r="ANT15" s="55"/>
      <c r="ANU15" s="55"/>
      <c r="ANV15" s="55"/>
      <c r="ANW15" s="55"/>
      <c r="ANX15" s="55"/>
      <c r="ANY15" s="55"/>
      <c r="ANZ15" s="55"/>
      <c r="AOA15" s="55"/>
      <c r="AOB15" s="55"/>
      <c r="AOC15" s="55"/>
      <c r="AOD15" s="55"/>
      <c r="AOE15" s="55"/>
      <c r="AOF15" s="55"/>
      <c r="AOG15" s="55"/>
      <c r="AOH15" s="55"/>
      <c r="AOI15" s="55"/>
      <c r="AOJ15" s="55"/>
      <c r="AOK15" s="55"/>
      <c r="AOL15" s="55"/>
      <c r="AOM15" s="55"/>
      <c r="AON15" s="55"/>
      <c r="AOO15" s="55"/>
      <c r="AOP15" s="55"/>
      <c r="AOQ15" s="55"/>
      <c r="AOR15" s="55"/>
      <c r="AOS15" s="55"/>
      <c r="AOT15" s="55"/>
      <c r="AOU15" s="55"/>
      <c r="AOV15" s="55"/>
      <c r="AOW15" s="55"/>
      <c r="AOX15" s="55"/>
      <c r="AOY15" s="55"/>
      <c r="AOZ15" s="55"/>
      <c r="APA15" s="55"/>
      <c r="APB15" s="55"/>
      <c r="APC15" s="55"/>
      <c r="APD15" s="55"/>
      <c r="APE15" s="55"/>
      <c r="APF15" s="55"/>
      <c r="APG15" s="55"/>
      <c r="APH15" s="55"/>
      <c r="API15" s="55"/>
      <c r="APJ15" s="55"/>
      <c r="APK15" s="55"/>
      <c r="APL15" s="55"/>
      <c r="APM15" s="55"/>
      <c r="APN15" s="55"/>
      <c r="APO15" s="55"/>
      <c r="APP15" s="55"/>
      <c r="APQ15" s="55"/>
      <c r="APR15" s="55"/>
      <c r="APS15" s="55"/>
      <c r="APT15" s="55"/>
      <c r="APU15" s="55"/>
      <c r="APV15" s="55"/>
      <c r="APW15" s="55"/>
      <c r="APX15" s="55"/>
      <c r="APY15" s="55"/>
      <c r="APZ15" s="55"/>
      <c r="AQA15" s="55"/>
      <c r="AQB15" s="55"/>
      <c r="AQC15" s="55"/>
      <c r="AQD15" s="55"/>
      <c r="AQE15" s="55"/>
      <c r="AQF15" s="55"/>
      <c r="AQG15" s="55"/>
      <c r="AQH15" s="55"/>
      <c r="AQI15" s="55"/>
      <c r="AQJ15" s="55"/>
      <c r="AQK15" s="55"/>
      <c r="AQL15" s="55"/>
      <c r="AQM15" s="55"/>
      <c r="AQN15" s="55"/>
      <c r="AQO15" s="55"/>
      <c r="AQP15" s="55"/>
      <c r="AQQ15" s="55"/>
      <c r="AQR15" s="55"/>
      <c r="AQS15" s="55"/>
      <c r="AQT15" s="55"/>
      <c r="AQU15" s="55"/>
      <c r="AQV15" s="55"/>
      <c r="AQW15" s="55"/>
      <c r="AQX15" s="55"/>
      <c r="AQY15" s="55"/>
      <c r="AQZ15" s="55"/>
      <c r="ARA15" s="55"/>
      <c r="ARB15" s="55"/>
      <c r="ARC15" s="55"/>
      <c r="ARD15" s="55"/>
      <c r="ARE15" s="55"/>
      <c r="ARF15" s="55"/>
      <c r="ARG15" s="55"/>
      <c r="ARH15" s="55"/>
      <c r="ARI15" s="55"/>
      <c r="ARJ15" s="55"/>
      <c r="ARK15" s="55"/>
      <c r="ARL15" s="55"/>
      <c r="ARM15" s="55"/>
      <c r="ARN15" s="55"/>
      <c r="ARO15" s="55"/>
      <c r="ARP15" s="55"/>
      <c r="ARQ15" s="55"/>
      <c r="ARR15" s="55"/>
      <c r="ARS15" s="55"/>
      <c r="ART15" s="55"/>
      <c r="ARU15" s="55"/>
      <c r="ARV15" s="55"/>
      <c r="ARW15" s="55"/>
      <c r="ARX15" s="55"/>
      <c r="ARY15" s="55"/>
      <c r="ARZ15" s="55"/>
      <c r="ASA15" s="55"/>
      <c r="ASB15" s="55"/>
      <c r="ASC15" s="55"/>
      <c r="ASD15" s="55"/>
      <c r="ASE15" s="55"/>
      <c r="ASF15" s="55"/>
      <c r="ASG15" s="55"/>
      <c r="ASH15" s="55"/>
      <c r="ASI15" s="55"/>
      <c r="ASJ15" s="55"/>
      <c r="ASK15" s="55"/>
      <c r="ASL15" s="55"/>
      <c r="ASM15" s="55"/>
      <c r="ASN15" s="55"/>
      <c r="ASO15" s="55"/>
      <c r="ASP15" s="55"/>
      <c r="ASQ15" s="55"/>
      <c r="ASR15" s="55"/>
      <c r="ASS15" s="55"/>
      <c r="AST15" s="55"/>
      <c r="ASU15" s="55"/>
      <c r="ASV15" s="55"/>
      <c r="ASW15" s="55"/>
      <c r="ASX15" s="55"/>
      <c r="ASY15" s="55"/>
      <c r="ASZ15" s="55"/>
      <c r="ATA15" s="55"/>
      <c r="ATB15" s="55"/>
      <c r="ATC15" s="55"/>
      <c r="ATD15" s="55"/>
      <c r="ATE15" s="55"/>
      <c r="ATF15" s="55"/>
      <c r="ATG15" s="55"/>
      <c r="ATH15" s="55"/>
      <c r="ATI15" s="55"/>
      <c r="ATJ15" s="55"/>
      <c r="ATK15" s="55"/>
      <c r="ATL15" s="55"/>
      <c r="ATM15" s="55"/>
      <c r="ATN15" s="55"/>
      <c r="ATO15" s="55"/>
      <c r="ATP15" s="55"/>
      <c r="ATQ15" s="55"/>
      <c r="ATR15" s="55"/>
      <c r="ATS15" s="55"/>
      <c r="ATT15" s="55"/>
      <c r="ATU15" s="55"/>
      <c r="ATV15" s="55"/>
      <c r="ATW15" s="55"/>
      <c r="ATX15" s="55"/>
      <c r="ATY15" s="55"/>
      <c r="ATZ15" s="55"/>
      <c r="AUA15" s="55"/>
      <c r="AUB15" s="55"/>
      <c r="AUC15" s="55"/>
      <c r="AUD15" s="55"/>
      <c r="AUE15" s="55"/>
      <c r="AUF15" s="55"/>
      <c r="AUG15" s="55"/>
      <c r="AUH15" s="55"/>
      <c r="AUI15" s="55"/>
      <c r="AUJ15" s="55"/>
      <c r="AUK15" s="55"/>
      <c r="AUL15" s="55"/>
      <c r="AUM15" s="55"/>
      <c r="AUN15" s="55"/>
      <c r="AUO15" s="55"/>
      <c r="AUP15" s="55"/>
      <c r="AUQ15" s="55"/>
      <c r="AUR15" s="55"/>
      <c r="AUS15" s="55"/>
      <c r="AUT15" s="55"/>
      <c r="AUU15" s="55"/>
      <c r="AUV15" s="55"/>
      <c r="AUW15" s="55"/>
      <c r="AUX15" s="55"/>
      <c r="AUY15" s="55"/>
      <c r="AUZ15" s="55"/>
      <c r="AVA15" s="55"/>
      <c r="AVB15" s="55"/>
      <c r="AVC15" s="55"/>
      <c r="AVD15" s="55"/>
      <c r="AVE15" s="55"/>
      <c r="AVF15" s="55"/>
      <c r="AVG15" s="55"/>
      <c r="AVH15" s="55"/>
      <c r="AVI15" s="55"/>
      <c r="AVJ15" s="55"/>
      <c r="AVK15" s="55"/>
      <c r="AVL15" s="55"/>
      <c r="AVM15" s="55"/>
      <c r="AVN15" s="55"/>
      <c r="AVO15" s="55"/>
      <c r="AVP15" s="55"/>
      <c r="AVQ15" s="55"/>
      <c r="AVR15" s="55"/>
      <c r="AVS15" s="55"/>
      <c r="AVT15" s="55"/>
      <c r="AVU15" s="55"/>
      <c r="AVV15" s="55"/>
      <c r="AVW15" s="55"/>
      <c r="AVX15" s="55"/>
      <c r="AVY15" s="55"/>
      <c r="AVZ15" s="55"/>
      <c r="AWA15" s="55"/>
      <c r="AWB15" s="55"/>
      <c r="AWC15" s="55"/>
      <c r="AWD15" s="55"/>
      <c r="AWE15" s="55"/>
      <c r="AWF15" s="55"/>
      <c r="AWG15" s="55"/>
      <c r="AWH15" s="55"/>
      <c r="AWI15" s="55"/>
      <c r="AWJ15" s="55"/>
      <c r="AWK15" s="55"/>
      <c r="AWL15" s="55"/>
      <c r="AWM15" s="55"/>
      <c r="AWN15" s="55"/>
      <c r="AWO15" s="55"/>
      <c r="AWP15" s="55"/>
      <c r="AWQ15" s="55"/>
      <c r="AWR15" s="55"/>
      <c r="AWS15" s="55"/>
      <c r="AWT15" s="55"/>
      <c r="AWU15" s="55"/>
      <c r="AWV15" s="55"/>
      <c r="AWW15" s="55"/>
      <c r="AWX15" s="55"/>
      <c r="AWY15" s="55"/>
      <c r="AWZ15" s="55"/>
      <c r="AXA15" s="55"/>
      <c r="AXB15" s="55"/>
      <c r="AXC15" s="55"/>
      <c r="AXD15" s="55"/>
      <c r="AXE15" s="55"/>
      <c r="AXF15" s="55"/>
      <c r="AXG15" s="55"/>
      <c r="AXH15" s="55"/>
      <c r="AXI15" s="55"/>
      <c r="AXJ15" s="55"/>
      <c r="AXK15" s="55"/>
      <c r="AXL15" s="55"/>
      <c r="AXM15" s="55"/>
      <c r="AXN15" s="55"/>
      <c r="AXO15" s="55"/>
      <c r="AXP15" s="55"/>
      <c r="AXQ15" s="55"/>
      <c r="AXR15" s="55"/>
      <c r="AXS15" s="55"/>
      <c r="AXT15" s="55"/>
      <c r="AXU15" s="55"/>
      <c r="AXV15" s="55"/>
      <c r="AXW15" s="55"/>
      <c r="AXX15" s="55"/>
      <c r="AXY15" s="55"/>
      <c r="AXZ15" s="55"/>
      <c r="AYA15" s="55"/>
      <c r="AYB15" s="55"/>
      <c r="AYC15" s="55"/>
      <c r="AYD15" s="55"/>
      <c r="AYE15" s="55"/>
      <c r="AYF15" s="55"/>
      <c r="AYG15" s="55"/>
      <c r="AYH15" s="55"/>
      <c r="AYI15" s="55"/>
      <c r="AYJ15" s="55"/>
      <c r="AYK15" s="55"/>
      <c r="AYL15" s="55"/>
      <c r="AYM15" s="55"/>
      <c r="AYN15" s="55"/>
      <c r="AYO15" s="55"/>
      <c r="AYP15" s="55"/>
      <c r="AYQ15" s="55"/>
      <c r="AYR15" s="55"/>
      <c r="AYS15" s="55"/>
      <c r="AYT15" s="55"/>
      <c r="AYU15" s="55"/>
      <c r="AYV15" s="55"/>
      <c r="AYW15" s="55"/>
      <c r="AYX15" s="55"/>
      <c r="AYY15" s="55"/>
      <c r="AYZ15" s="55"/>
      <c r="AZA15" s="55"/>
      <c r="AZB15" s="55"/>
      <c r="AZC15" s="55"/>
      <c r="AZD15" s="55"/>
      <c r="AZE15" s="55"/>
      <c r="AZF15" s="55"/>
      <c r="AZG15" s="55"/>
      <c r="AZH15" s="55"/>
      <c r="AZI15" s="55"/>
      <c r="AZJ15" s="55"/>
      <c r="AZK15" s="55"/>
      <c r="AZL15" s="55"/>
      <c r="AZM15" s="55"/>
      <c r="AZN15" s="55"/>
      <c r="AZO15" s="55"/>
      <c r="AZP15" s="55"/>
      <c r="AZQ15" s="55"/>
      <c r="AZR15" s="55"/>
      <c r="AZS15" s="55"/>
      <c r="AZT15" s="55"/>
      <c r="AZU15" s="55"/>
      <c r="AZV15" s="55"/>
      <c r="AZW15" s="55"/>
      <c r="AZX15" s="55"/>
      <c r="AZY15" s="55"/>
      <c r="AZZ15" s="55"/>
      <c r="BAA15" s="55"/>
      <c r="BAB15" s="55"/>
      <c r="BAC15" s="55"/>
      <c r="BAD15" s="55"/>
      <c r="BAE15" s="55"/>
      <c r="BAF15" s="55"/>
      <c r="BAG15" s="55"/>
      <c r="BAH15" s="55"/>
      <c r="BAI15" s="55"/>
      <c r="BAJ15" s="55"/>
      <c r="BAK15" s="55"/>
      <c r="BAL15" s="55"/>
      <c r="BAM15" s="55"/>
      <c r="BAN15" s="55"/>
      <c r="BAO15" s="55"/>
      <c r="BAP15" s="55"/>
      <c r="BAQ15" s="55"/>
      <c r="BAR15" s="55"/>
      <c r="BAS15" s="55"/>
      <c r="BAT15" s="55"/>
      <c r="BAU15" s="55"/>
      <c r="BAV15" s="55"/>
      <c r="BAW15" s="55"/>
      <c r="BAX15" s="55"/>
      <c r="BAY15" s="55"/>
      <c r="BAZ15" s="55"/>
      <c r="BBA15" s="55"/>
      <c r="BBB15" s="55"/>
      <c r="BBC15" s="55"/>
      <c r="BBD15" s="55"/>
      <c r="BBE15" s="55"/>
      <c r="BBF15" s="55"/>
      <c r="BBG15" s="55"/>
      <c r="BBH15" s="55"/>
      <c r="BBI15" s="55"/>
      <c r="BBJ15" s="55"/>
      <c r="BBK15" s="55"/>
      <c r="BBL15" s="55"/>
      <c r="BBM15" s="55"/>
      <c r="BBN15" s="55"/>
      <c r="BBO15" s="55"/>
      <c r="BBP15" s="55"/>
      <c r="BBQ15" s="55"/>
      <c r="BBR15" s="55"/>
      <c r="BBS15" s="55"/>
      <c r="BBT15" s="55"/>
      <c r="BBU15" s="55"/>
      <c r="BBV15" s="55"/>
      <c r="BBW15" s="55"/>
      <c r="BBX15" s="55"/>
      <c r="BBY15" s="55"/>
      <c r="BBZ15" s="55"/>
      <c r="BCA15" s="55"/>
      <c r="BCB15" s="55"/>
      <c r="BCC15" s="55"/>
      <c r="BCD15" s="55"/>
      <c r="BCE15" s="55"/>
      <c r="BCF15" s="55"/>
      <c r="BCG15" s="55"/>
      <c r="BCH15" s="55"/>
      <c r="BCI15" s="55"/>
      <c r="BCJ15" s="55"/>
      <c r="BCK15" s="55"/>
      <c r="BCL15" s="55"/>
      <c r="BCM15" s="55"/>
      <c r="BCN15" s="55"/>
      <c r="BCO15" s="55"/>
      <c r="BCP15" s="55"/>
      <c r="BCQ15" s="55"/>
      <c r="BCR15" s="55"/>
      <c r="BCS15" s="55"/>
      <c r="BCT15" s="55"/>
      <c r="BCU15" s="55"/>
      <c r="BCV15" s="55"/>
      <c r="BCW15" s="55"/>
      <c r="BCX15" s="55"/>
      <c r="BCY15" s="55"/>
      <c r="BCZ15" s="55"/>
      <c r="BDA15" s="55"/>
      <c r="BDB15" s="55"/>
      <c r="BDC15" s="55"/>
      <c r="BDD15" s="55"/>
      <c r="BDE15" s="55"/>
      <c r="BDF15" s="55"/>
      <c r="BDG15" s="55"/>
      <c r="BDH15" s="55"/>
      <c r="BDI15" s="55"/>
      <c r="BDJ15" s="55"/>
      <c r="BDK15" s="55"/>
      <c r="BDL15" s="55"/>
      <c r="BDM15" s="55"/>
      <c r="BDN15" s="55"/>
      <c r="BDO15" s="55"/>
      <c r="BDP15" s="55"/>
      <c r="BDQ15" s="55"/>
      <c r="BDR15" s="55"/>
      <c r="BDS15" s="55"/>
      <c r="BDT15" s="55"/>
      <c r="BDU15" s="55"/>
      <c r="BDV15" s="55"/>
      <c r="BDW15" s="55"/>
      <c r="BDX15" s="55"/>
      <c r="BDY15" s="55"/>
      <c r="BDZ15" s="55"/>
      <c r="BEA15" s="55"/>
      <c r="BEB15" s="55"/>
      <c r="BEC15" s="55"/>
      <c r="BED15" s="55"/>
      <c r="BEE15" s="55"/>
      <c r="BEF15" s="55"/>
      <c r="BEG15" s="55"/>
      <c r="BEH15" s="55"/>
      <c r="BEI15" s="55"/>
      <c r="BEJ15" s="55"/>
      <c r="BEK15" s="55"/>
      <c r="BEL15" s="55"/>
      <c r="BEM15" s="55"/>
      <c r="BEN15" s="55"/>
      <c r="BEO15" s="55"/>
      <c r="BEP15" s="55"/>
      <c r="BEQ15" s="55"/>
      <c r="BER15" s="55"/>
      <c r="BES15" s="55"/>
      <c r="BET15" s="55"/>
      <c r="BEU15" s="55"/>
      <c r="BEV15" s="55"/>
      <c r="BEW15" s="55"/>
      <c r="BEX15" s="55"/>
      <c r="BEY15" s="55"/>
      <c r="BEZ15" s="55"/>
      <c r="BFA15" s="55"/>
      <c r="BFB15" s="55"/>
      <c r="BFC15" s="55"/>
      <c r="BFD15" s="55"/>
      <c r="BFE15" s="55"/>
      <c r="BFF15" s="55"/>
      <c r="BFG15" s="55"/>
      <c r="BFH15" s="55"/>
      <c r="BFI15" s="55"/>
      <c r="BFJ15" s="55"/>
      <c r="BFK15" s="55"/>
      <c r="BFL15" s="55"/>
      <c r="BFM15" s="55"/>
      <c r="BFN15" s="55"/>
      <c r="BFO15" s="55"/>
      <c r="BFP15" s="55"/>
      <c r="BFQ15" s="55"/>
      <c r="BFR15" s="55"/>
      <c r="BFS15" s="55"/>
      <c r="BFT15" s="55"/>
      <c r="BFU15" s="55"/>
      <c r="BFV15" s="55"/>
      <c r="BFW15" s="55"/>
      <c r="BFX15" s="55"/>
      <c r="BFY15" s="55"/>
      <c r="BFZ15" s="55"/>
      <c r="BGA15" s="55"/>
      <c r="BGB15" s="55"/>
      <c r="BGC15" s="55"/>
      <c r="BGD15" s="55"/>
      <c r="BGE15" s="55"/>
      <c r="BGF15" s="55"/>
      <c r="BGG15" s="55"/>
      <c r="BGH15" s="55"/>
      <c r="BGI15" s="55"/>
      <c r="BGJ15" s="55"/>
      <c r="BGK15" s="55"/>
      <c r="BGL15" s="55"/>
      <c r="BGM15" s="55"/>
      <c r="BGN15" s="55"/>
      <c r="BGO15" s="55"/>
      <c r="BGP15" s="55"/>
      <c r="BGQ15" s="55"/>
      <c r="BGR15" s="55"/>
      <c r="BGS15" s="55"/>
      <c r="BGT15" s="55"/>
      <c r="BGU15" s="55"/>
      <c r="BGV15" s="55"/>
      <c r="BGW15" s="55"/>
      <c r="BGX15" s="55"/>
      <c r="BGY15" s="55"/>
      <c r="BGZ15" s="55"/>
      <c r="BHA15" s="55"/>
      <c r="BHB15" s="55"/>
      <c r="BHC15" s="55"/>
      <c r="BHD15" s="55"/>
      <c r="BHE15" s="55"/>
      <c r="BHF15" s="55"/>
      <c r="BHG15" s="55"/>
      <c r="BHH15" s="55"/>
      <c r="BHI15" s="55"/>
      <c r="BHJ15" s="55"/>
      <c r="BHK15" s="55"/>
      <c r="BHL15" s="55"/>
      <c r="BHM15" s="55"/>
      <c r="BHN15" s="55"/>
      <c r="BHO15" s="55"/>
      <c r="BHP15" s="55"/>
      <c r="BHQ15" s="55"/>
      <c r="BHR15" s="55"/>
      <c r="BHS15" s="55"/>
      <c r="BHT15" s="55"/>
      <c r="BHU15" s="55"/>
      <c r="BHV15" s="55"/>
      <c r="BHW15" s="55"/>
      <c r="BHX15" s="55"/>
      <c r="BHY15" s="55"/>
      <c r="BHZ15" s="55"/>
      <c r="BIA15" s="55"/>
      <c r="BIB15" s="55"/>
      <c r="BIC15" s="55"/>
      <c r="BID15" s="55"/>
      <c r="BIE15" s="55"/>
      <c r="BIF15" s="55"/>
      <c r="BIG15" s="55"/>
      <c r="BIH15" s="55"/>
      <c r="BII15" s="55"/>
      <c r="BIJ15" s="55"/>
      <c r="BIK15" s="55"/>
      <c r="BIL15" s="55"/>
      <c r="BIM15" s="55"/>
      <c r="BIN15" s="55"/>
      <c r="BIO15" s="55"/>
      <c r="BIP15" s="55"/>
      <c r="BIQ15" s="55"/>
      <c r="BIR15" s="55"/>
      <c r="BIS15" s="55"/>
      <c r="BIT15" s="55"/>
      <c r="BIU15" s="55"/>
      <c r="BIV15" s="55"/>
      <c r="BIW15" s="55"/>
      <c r="BIX15" s="55"/>
      <c r="BIY15" s="55"/>
      <c r="BIZ15" s="55"/>
      <c r="BJA15" s="55"/>
      <c r="BJB15" s="55"/>
      <c r="BJC15" s="55"/>
      <c r="BJD15" s="55"/>
      <c r="BJE15" s="55"/>
      <c r="BJF15" s="55"/>
      <c r="BJG15" s="55"/>
      <c r="BJH15" s="55"/>
      <c r="BJI15" s="55"/>
      <c r="BJJ15" s="55"/>
      <c r="BJK15" s="55"/>
      <c r="BJL15" s="55"/>
      <c r="BJM15" s="55"/>
      <c r="BJN15" s="55"/>
      <c r="BJO15" s="55"/>
      <c r="BJP15" s="55"/>
      <c r="BJQ15" s="55"/>
      <c r="BJR15" s="55"/>
      <c r="BJS15" s="55"/>
      <c r="BJT15" s="55"/>
      <c r="BJU15" s="55"/>
      <c r="BJV15" s="55"/>
      <c r="BJW15" s="55"/>
      <c r="BJX15" s="55"/>
      <c r="BJY15" s="55"/>
      <c r="BJZ15" s="55"/>
      <c r="BKA15" s="55"/>
      <c r="BKB15" s="55"/>
      <c r="BKC15" s="55"/>
      <c r="BKD15" s="55"/>
      <c r="BKE15" s="55"/>
      <c r="BKF15" s="55"/>
      <c r="BKG15" s="55"/>
      <c r="BKH15" s="55"/>
      <c r="BKI15" s="55"/>
      <c r="BKJ15" s="55"/>
      <c r="BKK15" s="55"/>
      <c r="BKL15" s="55"/>
      <c r="BKM15" s="55"/>
      <c r="BKN15" s="55"/>
      <c r="BKO15" s="55"/>
      <c r="BKP15" s="55"/>
      <c r="BKQ15" s="55"/>
      <c r="BKR15" s="55"/>
      <c r="BKS15" s="55"/>
      <c r="BKT15" s="55"/>
      <c r="BKU15" s="55"/>
      <c r="BKV15" s="55"/>
      <c r="BKW15" s="55"/>
      <c r="BKX15" s="55"/>
      <c r="BKY15" s="55"/>
      <c r="BKZ15" s="55"/>
      <c r="BLA15" s="55"/>
      <c r="BLB15" s="55"/>
      <c r="BLC15" s="55"/>
      <c r="BLD15" s="55"/>
      <c r="BLE15" s="55"/>
      <c r="BLF15" s="55"/>
      <c r="BLG15" s="55"/>
      <c r="BLH15" s="55"/>
      <c r="BLI15" s="55"/>
      <c r="BLJ15" s="55"/>
      <c r="BLK15" s="55"/>
      <c r="BLL15" s="55"/>
      <c r="BLM15" s="55"/>
      <c r="BLN15" s="55"/>
      <c r="BLO15" s="55"/>
      <c r="BLP15" s="55"/>
      <c r="BLQ15" s="55"/>
      <c r="BLR15" s="55"/>
      <c r="BLS15" s="55"/>
      <c r="BLT15" s="55"/>
      <c r="BLU15" s="55"/>
      <c r="BLV15" s="55"/>
      <c r="BLW15" s="55"/>
      <c r="BLX15" s="55"/>
      <c r="BLY15" s="55"/>
      <c r="BLZ15" s="55"/>
      <c r="BMA15" s="55"/>
      <c r="BMB15" s="55"/>
      <c r="BMC15" s="55"/>
      <c r="BMD15" s="55"/>
      <c r="BME15" s="55"/>
      <c r="BMF15" s="55"/>
      <c r="BMG15" s="55"/>
      <c r="BMH15" s="55"/>
      <c r="BMI15" s="55"/>
      <c r="BMJ15" s="55"/>
      <c r="BMK15" s="55"/>
      <c r="BML15" s="55"/>
      <c r="BMM15" s="55"/>
      <c r="BMN15" s="55"/>
      <c r="BMO15" s="55"/>
      <c r="BMP15" s="55"/>
      <c r="BMQ15" s="55"/>
      <c r="BMR15" s="55"/>
      <c r="BMS15" s="55"/>
      <c r="BMT15" s="55"/>
      <c r="BMU15" s="55"/>
      <c r="BMV15" s="55"/>
      <c r="BMW15" s="55"/>
      <c r="BMX15" s="55"/>
      <c r="BMY15" s="55"/>
      <c r="BMZ15" s="55"/>
      <c r="BNA15" s="55"/>
      <c r="BNB15" s="55"/>
      <c r="BNC15" s="55"/>
      <c r="BND15" s="55"/>
      <c r="BNE15" s="55"/>
      <c r="BNF15" s="55"/>
      <c r="BNG15" s="55"/>
      <c r="BNH15" s="55"/>
      <c r="BNI15" s="55"/>
      <c r="BNJ15" s="55"/>
      <c r="BNK15" s="55"/>
      <c r="BNL15" s="55"/>
      <c r="BNM15" s="55"/>
      <c r="BNN15" s="55"/>
      <c r="BNO15" s="55"/>
      <c r="BNP15" s="55"/>
      <c r="BNQ15" s="55"/>
      <c r="BNR15" s="55"/>
      <c r="BNS15" s="55"/>
      <c r="BNT15" s="55"/>
      <c r="BNU15" s="55"/>
      <c r="BNV15" s="55"/>
      <c r="BNW15" s="55"/>
      <c r="BNX15" s="55"/>
      <c r="BNY15" s="55"/>
      <c r="BNZ15" s="55"/>
      <c r="BOA15" s="55"/>
      <c r="BOB15" s="55"/>
      <c r="BOC15" s="55"/>
      <c r="BOD15" s="55"/>
      <c r="BOE15" s="55"/>
      <c r="BOF15" s="55"/>
      <c r="BOG15" s="55"/>
      <c r="BOH15" s="55"/>
      <c r="BOI15" s="55"/>
      <c r="BOJ15" s="55"/>
      <c r="BOK15" s="55"/>
      <c r="BOL15" s="55"/>
      <c r="BOM15" s="55"/>
      <c r="BON15" s="55"/>
      <c r="BOO15" s="55"/>
      <c r="BOP15" s="55"/>
      <c r="BOQ15" s="55"/>
      <c r="BOR15" s="55"/>
      <c r="BOS15" s="55"/>
      <c r="BOT15" s="55"/>
      <c r="BOU15" s="55"/>
      <c r="BOV15" s="55"/>
      <c r="BOW15" s="55"/>
      <c r="BOX15" s="55"/>
      <c r="BOY15" s="55"/>
      <c r="BOZ15" s="55"/>
      <c r="BPA15" s="55"/>
      <c r="BPB15" s="55"/>
      <c r="BPC15" s="55"/>
      <c r="BPD15" s="55"/>
      <c r="BPE15" s="55"/>
      <c r="BPF15" s="55"/>
      <c r="BPG15" s="55"/>
      <c r="BPH15" s="55"/>
      <c r="BPI15" s="55"/>
      <c r="BPJ15" s="55"/>
      <c r="BPK15" s="55"/>
      <c r="BPL15" s="55"/>
      <c r="BPM15" s="55"/>
      <c r="BPN15" s="55"/>
      <c r="BPO15" s="55"/>
      <c r="BPP15" s="55"/>
      <c r="BPQ15" s="55"/>
      <c r="BPR15" s="55"/>
      <c r="BPS15" s="55"/>
      <c r="BPT15" s="55"/>
      <c r="BPU15" s="55"/>
      <c r="BPV15" s="55"/>
      <c r="BPW15" s="55"/>
      <c r="BPX15" s="55"/>
      <c r="BPY15" s="55"/>
      <c r="BPZ15" s="55"/>
      <c r="BQA15" s="55"/>
      <c r="BQB15" s="55"/>
      <c r="BQC15" s="55"/>
      <c r="BQD15" s="55"/>
      <c r="BQE15" s="55"/>
      <c r="BQF15" s="55"/>
      <c r="BQG15" s="55"/>
      <c r="BQH15" s="55"/>
      <c r="BQI15" s="55"/>
      <c r="BQJ15" s="55"/>
      <c r="BQK15" s="55"/>
      <c r="BQL15" s="55"/>
      <c r="BQM15" s="55"/>
      <c r="BQN15" s="55"/>
      <c r="BQO15" s="55"/>
      <c r="BQP15" s="55"/>
      <c r="BQQ15" s="55"/>
      <c r="BQR15" s="55"/>
      <c r="BQS15" s="55"/>
      <c r="BQT15" s="55"/>
      <c r="BQU15" s="55"/>
      <c r="BQV15" s="55"/>
      <c r="BQW15" s="55"/>
      <c r="BQX15" s="55"/>
      <c r="BQY15" s="55"/>
      <c r="BQZ15" s="55"/>
      <c r="BRA15" s="55"/>
      <c r="BRB15" s="55"/>
      <c r="BRC15" s="55"/>
      <c r="BRD15" s="55"/>
      <c r="BRE15" s="55"/>
      <c r="BRF15" s="55"/>
      <c r="BRG15" s="55"/>
      <c r="BRH15" s="55"/>
      <c r="BRI15" s="55"/>
      <c r="BRJ15" s="55"/>
      <c r="BRK15" s="55"/>
      <c r="BRL15" s="55"/>
      <c r="BRM15" s="55"/>
      <c r="BRN15" s="55"/>
      <c r="BRO15" s="55"/>
      <c r="BRP15" s="55"/>
      <c r="BRQ15" s="55"/>
      <c r="BRR15" s="55"/>
      <c r="BRS15" s="55"/>
      <c r="BRT15" s="55"/>
      <c r="BRU15" s="55"/>
      <c r="BRV15" s="55"/>
      <c r="BRW15" s="55"/>
      <c r="BRX15" s="55"/>
      <c r="BRY15" s="55"/>
      <c r="BRZ15" s="55"/>
      <c r="BSA15" s="55"/>
      <c r="BSB15" s="55"/>
      <c r="BSC15" s="55"/>
      <c r="BSD15" s="55"/>
      <c r="BSE15" s="55"/>
      <c r="BSF15" s="55"/>
      <c r="BSG15" s="55"/>
      <c r="BSH15" s="55"/>
      <c r="BSI15" s="55"/>
      <c r="BSJ15" s="55"/>
      <c r="BSK15" s="55"/>
      <c r="BSL15" s="55"/>
      <c r="BSM15" s="55"/>
      <c r="BSN15" s="55"/>
      <c r="BSO15" s="55"/>
      <c r="BSP15" s="55"/>
      <c r="BSQ15" s="55"/>
      <c r="BSR15" s="55"/>
      <c r="BSS15" s="55"/>
      <c r="BST15" s="55"/>
      <c r="BSU15" s="55"/>
      <c r="BSV15" s="55"/>
      <c r="BSW15" s="55"/>
      <c r="BSX15" s="55"/>
      <c r="BSY15" s="55"/>
      <c r="BSZ15" s="55"/>
      <c r="BTA15" s="55"/>
      <c r="BTB15" s="55"/>
      <c r="BTC15" s="55"/>
      <c r="BTD15" s="55"/>
      <c r="BTE15" s="55"/>
      <c r="BTF15" s="55"/>
      <c r="BTG15" s="55"/>
      <c r="BTH15" s="55"/>
      <c r="BTI15" s="55"/>
      <c r="BTJ15" s="55"/>
      <c r="BTK15" s="55"/>
      <c r="BTL15" s="55"/>
      <c r="BTM15" s="55"/>
      <c r="BTN15" s="55"/>
      <c r="BTO15" s="55"/>
      <c r="BTP15" s="55"/>
      <c r="BTQ15" s="55"/>
      <c r="BTR15" s="55"/>
      <c r="BTS15" s="55"/>
      <c r="BTT15" s="55"/>
      <c r="BTU15" s="55"/>
      <c r="BTV15" s="55"/>
      <c r="BTW15" s="55"/>
      <c r="BTX15" s="55"/>
      <c r="BTY15" s="55"/>
      <c r="BTZ15" s="55"/>
      <c r="BUA15" s="55"/>
      <c r="BUB15" s="55"/>
      <c r="BUC15" s="55"/>
      <c r="BUD15" s="55"/>
      <c r="BUE15" s="55"/>
      <c r="BUF15" s="55"/>
      <c r="BUG15" s="55"/>
      <c r="BUH15" s="55"/>
      <c r="BUI15" s="55"/>
      <c r="BUJ15" s="55"/>
      <c r="BUK15" s="55"/>
      <c r="BUL15" s="55"/>
      <c r="BUM15" s="55"/>
      <c r="BUN15" s="55"/>
      <c r="BUO15" s="55"/>
      <c r="BUP15" s="55"/>
      <c r="BUQ15" s="55"/>
      <c r="BUR15" s="55"/>
      <c r="BUS15" s="55"/>
      <c r="BUT15" s="55"/>
      <c r="BUU15" s="55"/>
      <c r="BUV15" s="55"/>
      <c r="BUW15" s="55"/>
      <c r="BUX15" s="55"/>
      <c r="BUY15" s="55"/>
      <c r="BUZ15" s="55"/>
      <c r="BVA15" s="55"/>
      <c r="BVB15" s="55"/>
      <c r="BVC15" s="55"/>
      <c r="BVD15" s="55"/>
      <c r="BVE15" s="55"/>
      <c r="BVF15" s="55"/>
      <c r="BVG15" s="55"/>
      <c r="BVH15" s="55"/>
      <c r="BVI15" s="55"/>
      <c r="BVJ15" s="55"/>
      <c r="BVK15" s="55"/>
      <c r="BVL15" s="55"/>
      <c r="BVM15" s="55"/>
      <c r="BVN15" s="55"/>
      <c r="BVO15" s="55"/>
      <c r="BVP15" s="55"/>
      <c r="BVQ15" s="55"/>
      <c r="BVR15" s="55"/>
      <c r="BVS15" s="55"/>
      <c r="BVT15" s="55"/>
      <c r="BVU15" s="55"/>
      <c r="BVV15" s="55"/>
      <c r="BVW15" s="55"/>
      <c r="BVX15" s="55"/>
      <c r="BVY15" s="55"/>
      <c r="BVZ15" s="55"/>
      <c r="BWA15" s="55"/>
      <c r="BWB15" s="55"/>
      <c r="BWC15" s="55"/>
      <c r="BWD15" s="55"/>
      <c r="BWE15" s="55"/>
      <c r="BWF15" s="55"/>
      <c r="BWG15" s="55"/>
      <c r="BWH15" s="55"/>
      <c r="BWI15" s="55"/>
      <c r="BWJ15" s="55"/>
      <c r="BWK15" s="55"/>
      <c r="BWL15" s="55"/>
      <c r="BWM15" s="55"/>
      <c r="BWN15" s="55"/>
      <c r="BWO15" s="55"/>
      <c r="BWP15" s="55"/>
      <c r="BWQ15" s="55"/>
      <c r="BWR15" s="55"/>
      <c r="BWS15" s="55"/>
      <c r="BWT15" s="55"/>
      <c r="BWU15" s="55"/>
      <c r="BWV15" s="55"/>
      <c r="BWW15" s="55"/>
      <c r="BWX15" s="55"/>
      <c r="BWY15" s="55"/>
      <c r="BWZ15" s="55"/>
      <c r="BXA15" s="55"/>
      <c r="BXB15" s="55"/>
      <c r="BXC15" s="55"/>
      <c r="BXD15" s="55"/>
      <c r="BXE15" s="55"/>
      <c r="BXF15" s="55"/>
      <c r="BXG15" s="55"/>
      <c r="BXH15" s="55"/>
      <c r="BXI15" s="55"/>
      <c r="BXJ15" s="55"/>
      <c r="BXK15" s="55"/>
      <c r="BXL15" s="55"/>
      <c r="BXM15" s="55"/>
      <c r="BXN15" s="55"/>
      <c r="BXO15" s="55"/>
      <c r="BXP15" s="55"/>
      <c r="BXQ15" s="55"/>
      <c r="BXR15" s="55"/>
      <c r="BXS15" s="55"/>
      <c r="BXT15" s="55"/>
      <c r="BXU15" s="55"/>
      <c r="BXV15" s="55"/>
      <c r="BXW15" s="55"/>
      <c r="BXX15" s="55"/>
      <c r="BXY15" s="55"/>
      <c r="BXZ15" s="55"/>
      <c r="BYA15" s="55"/>
      <c r="BYB15" s="55"/>
      <c r="BYC15" s="55"/>
      <c r="BYD15" s="55"/>
      <c r="BYE15" s="55"/>
      <c r="BYF15" s="55"/>
      <c r="BYG15" s="55"/>
      <c r="BYH15" s="55"/>
      <c r="BYI15" s="55"/>
      <c r="BYJ15" s="55"/>
      <c r="BYK15" s="55"/>
      <c r="BYL15" s="55"/>
      <c r="BYM15" s="55"/>
      <c r="BYN15" s="55"/>
      <c r="BYO15" s="55"/>
      <c r="BYP15" s="55"/>
      <c r="BYQ15" s="55"/>
      <c r="BYR15" s="55"/>
      <c r="BYS15" s="55"/>
      <c r="BYT15" s="55"/>
      <c r="BYU15" s="55"/>
      <c r="BYV15" s="55"/>
      <c r="BYW15" s="55"/>
      <c r="BYX15" s="55"/>
      <c r="BYY15" s="55"/>
      <c r="BYZ15" s="55"/>
      <c r="BZA15" s="55"/>
      <c r="BZB15" s="55"/>
      <c r="BZC15" s="55"/>
      <c r="BZD15" s="55"/>
      <c r="BZE15" s="55"/>
      <c r="BZF15" s="55"/>
      <c r="BZG15" s="55"/>
      <c r="BZH15" s="55"/>
      <c r="BZI15" s="55"/>
      <c r="BZJ15" s="55"/>
      <c r="BZK15" s="55"/>
      <c r="BZL15" s="55"/>
      <c r="BZM15" s="55"/>
      <c r="BZN15" s="55"/>
      <c r="BZO15" s="55"/>
      <c r="BZP15" s="55"/>
      <c r="BZQ15" s="55"/>
      <c r="BZR15" s="55"/>
      <c r="BZS15" s="55"/>
      <c r="BZT15" s="55"/>
      <c r="BZU15" s="55"/>
      <c r="BZV15" s="55"/>
      <c r="BZW15" s="55"/>
      <c r="BZX15" s="55"/>
      <c r="BZY15" s="55"/>
      <c r="BZZ15" s="55"/>
      <c r="CAA15" s="55"/>
      <c r="CAB15" s="55"/>
      <c r="CAC15" s="55"/>
      <c r="CAD15" s="55"/>
      <c r="CAE15" s="55"/>
      <c r="CAF15" s="55"/>
      <c r="CAG15" s="55"/>
      <c r="CAH15" s="55"/>
      <c r="CAI15" s="55"/>
      <c r="CAJ15" s="55"/>
      <c r="CAK15" s="55"/>
      <c r="CAL15" s="55"/>
      <c r="CAM15" s="55"/>
      <c r="CAN15" s="55"/>
      <c r="CAO15" s="55"/>
      <c r="CAP15" s="55"/>
      <c r="CAQ15" s="55"/>
      <c r="CAR15" s="55"/>
      <c r="CAS15" s="55"/>
      <c r="CAT15" s="55"/>
      <c r="CAU15" s="55"/>
      <c r="CAV15" s="55"/>
      <c r="CAW15" s="55"/>
      <c r="CAX15" s="55"/>
      <c r="CAY15" s="55"/>
      <c r="CAZ15" s="55"/>
      <c r="CBA15" s="55"/>
      <c r="CBB15" s="55"/>
      <c r="CBC15" s="55"/>
      <c r="CBD15" s="55"/>
      <c r="CBE15" s="55"/>
      <c r="CBF15" s="55"/>
      <c r="CBG15" s="55"/>
      <c r="CBH15" s="55"/>
      <c r="CBI15" s="55"/>
      <c r="CBJ15" s="55"/>
      <c r="CBK15" s="55"/>
      <c r="CBL15" s="55"/>
      <c r="CBM15" s="55"/>
      <c r="CBN15" s="55"/>
      <c r="CBO15" s="55"/>
      <c r="CBP15" s="55"/>
      <c r="CBQ15" s="55"/>
      <c r="CBR15" s="55"/>
      <c r="CBS15" s="55"/>
      <c r="CBT15" s="55"/>
      <c r="CBU15" s="55"/>
      <c r="CBV15" s="55"/>
      <c r="CBW15" s="55"/>
      <c r="CBX15" s="55"/>
      <c r="CBY15" s="55"/>
      <c r="CBZ15" s="55"/>
      <c r="CCA15" s="55"/>
      <c r="CCB15" s="55"/>
      <c r="CCC15" s="55"/>
      <c r="CCD15" s="55"/>
      <c r="CCE15" s="55"/>
      <c r="CCF15" s="55"/>
      <c r="CCG15" s="55"/>
      <c r="CCH15" s="55"/>
      <c r="CCI15" s="55"/>
      <c r="CCJ15" s="55"/>
      <c r="CCK15" s="55"/>
      <c r="CCL15" s="55"/>
      <c r="CCM15" s="55"/>
      <c r="CCN15" s="55"/>
      <c r="CCO15" s="55"/>
      <c r="CCP15" s="55"/>
      <c r="CCQ15" s="55"/>
      <c r="CCR15" s="55"/>
      <c r="CCS15" s="55"/>
      <c r="CCT15" s="55"/>
      <c r="CCU15" s="55"/>
      <c r="CCV15" s="55"/>
      <c r="CCW15" s="55"/>
      <c r="CCX15" s="55"/>
      <c r="CCY15" s="55"/>
      <c r="CCZ15" s="55"/>
      <c r="CDA15" s="55"/>
      <c r="CDB15" s="55"/>
      <c r="CDC15" s="55"/>
      <c r="CDD15" s="55"/>
      <c r="CDE15" s="55"/>
      <c r="CDF15" s="55"/>
      <c r="CDG15" s="55"/>
      <c r="CDH15" s="55"/>
      <c r="CDI15" s="55"/>
      <c r="CDJ15" s="55"/>
      <c r="CDK15" s="55"/>
      <c r="CDL15" s="55"/>
      <c r="CDM15" s="55"/>
      <c r="CDN15" s="55"/>
      <c r="CDO15" s="55"/>
      <c r="CDP15" s="55"/>
      <c r="CDQ15" s="55"/>
      <c r="CDR15" s="55"/>
      <c r="CDS15" s="55"/>
      <c r="CDT15" s="55"/>
      <c r="CDU15" s="55"/>
      <c r="CDV15" s="55"/>
      <c r="CDW15" s="55"/>
      <c r="CDX15" s="55"/>
      <c r="CDY15" s="55"/>
      <c r="CDZ15" s="55"/>
      <c r="CEA15" s="55"/>
      <c r="CEB15" s="55"/>
      <c r="CEC15" s="55"/>
      <c r="CED15" s="55"/>
      <c r="CEE15" s="55"/>
      <c r="CEF15" s="55"/>
      <c r="CEG15" s="55"/>
      <c r="CEH15" s="55"/>
      <c r="CEI15" s="55"/>
      <c r="CEJ15" s="55"/>
      <c r="CEK15" s="55"/>
      <c r="CEL15" s="55"/>
      <c r="CEM15" s="55"/>
      <c r="CEN15" s="55"/>
      <c r="CEO15" s="55"/>
      <c r="CEP15" s="55"/>
      <c r="CEQ15" s="55"/>
      <c r="CER15" s="55"/>
      <c r="CES15" s="55"/>
      <c r="CET15" s="55"/>
      <c r="CEU15" s="55"/>
      <c r="CEV15" s="55"/>
      <c r="CEW15" s="55"/>
      <c r="CEX15" s="55"/>
      <c r="CEY15" s="55"/>
      <c r="CEZ15" s="55"/>
      <c r="CFA15" s="55"/>
      <c r="CFB15" s="55"/>
      <c r="CFC15" s="55"/>
      <c r="CFD15" s="55"/>
      <c r="CFE15" s="55"/>
      <c r="CFF15" s="55"/>
      <c r="CFG15" s="55"/>
      <c r="CFH15" s="55"/>
      <c r="CFI15" s="55"/>
      <c r="CFJ15" s="55"/>
      <c r="CFK15" s="55"/>
      <c r="CFL15" s="55"/>
      <c r="CFM15" s="55"/>
      <c r="CFN15" s="55"/>
      <c r="CFO15" s="55"/>
      <c r="CFP15" s="55"/>
      <c r="CFQ15" s="55"/>
      <c r="CFR15" s="55"/>
      <c r="CFS15" s="55"/>
      <c r="CFT15" s="55"/>
      <c r="CFU15" s="55"/>
      <c r="CFV15" s="55"/>
      <c r="CFW15" s="55"/>
      <c r="CFX15" s="55"/>
      <c r="CFY15" s="55"/>
      <c r="CFZ15" s="55"/>
      <c r="CGA15" s="55"/>
      <c r="CGB15" s="55"/>
      <c r="CGC15" s="55"/>
      <c r="CGD15" s="55"/>
      <c r="CGE15" s="55"/>
      <c r="CGF15" s="55"/>
      <c r="CGG15" s="55"/>
      <c r="CGH15" s="55"/>
      <c r="CGI15" s="55"/>
      <c r="CGJ15" s="55"/>
      <c r="CGK15" s="55"/>
      <c r="CGL15" s="55"/>
      <c r="CGM15" s="55"/>
      <c r="CGN15" s="55"/>
      <c r="CGO15" s="55"/>
      <c r="CGP15" s="55"/>
      <c r="CGQ15" s="55"/>
      <c r="CGR15" s="55"/>
      <c r="CGS15" s="55"/>
      <c r="CGT15" s="55"/>
      <c r="CGU15" s="55"/>
      <c r="CGV15" s="55"/>
      <c r="CGW15" s="55"/>
      <c r="CGX15" s="55"/>
      <c r="CGY15" s="55"/>
      <c r="CGZ15" s="55"/>
      <c r="CHA15" s="55"/>
      <c r="CHB15" s="55"/>
      <c r="CHC15" s="55"/>
      <c r="CHD15" s="55"/>
      <c r="CHE15" s="55"/>
      <c r="CHF15" s="55"/>
      <c r="CHG15" s="55"/>
      <c r="CHH15" s="55"/>
      <c r="CHI15" s="55"/>
      <c r="CHJ15" s="55"/>
      <c r="CHK15" s="55"/>
      <c r="CHL15" s="55"/>
      <c r="CHM15" s="55"/>
      <c r="CHN15" s="55"/>
      <c r="CHO15" s="55"/>
      <c r="CHP15" s="55"/>
      <c r="CHQ15" s="55"/>
      <c r="CHR15" s="55"/>
      <c r="CHS15" s="55"/>
      <c r="CHT15" s="55"/>
      <c r="CHU15" s="55"/>
      <c r="CHV15" s="55"/>
      <c r="CHW15" s="55"/>
      <c r="CHX15" s="55"/>
      <c r="CHY15" s="55"/>
      <c r="CHZ15" s="55"/>
      <c r="CIA15" s="55"/>
      <c r="CIB15" s="55"/>
      <c r="CIC15" s="55"/>
      <c r="CID15" s="55"/>
      <c r="CIE15" s="55"/>
      <c r="CIF15" s="55"/>
      <c r="CIG15" s="55"/>
      <c r="CIH15" s="55"/>
      <c r="CII15" s="55"/>
      <c r="CIJ15" s="55"/>
      <c r="CIK15" s="55"/>
      <c r="CIL15" s="55"/>
      <c r="CIM15" s="55"/>
      <c r="CIN15" s="55"/>
      <c r="CIO15" s="55"/>
      <c r="CIP15" s="55"/>
      <c r="CIQ15" s="55"/>
      <c r="CIR15" s="55"/>
      <c r="CIS15" s="55"/>
      <c r="CIT15" s="55"/>
      <c r="CIU15" s="55"/>
      <c r="CIV15" s="55"/>
      <c r="CIW15" s="55"/>
      <c r="CIX15" s="55"/>
      <c r="CIY15" s="55"/>
      <c r="CIZ15" s="55"/>
      <c r="CJA15" s="55"/>
      <c r="CJB15" s="55"/>
      <c r="CJC15" s="55"/>
      <c r="CJD15" s="55"/>
      <c r="CJE15" s="55"/>
      <c r="CJF15" s="55"/>
      <c r="CJG15" s="55"/>
      <c r="CJH15" s="55"/>
      <c r="CJI15" s="55"/>
      <c r="CJJ15" s="55"/>
      <c r="CJK15" s="55"/>
      <c r="CJL15" s="55"/>
      <c r="CJM15" s="55"/>
      <c r="CJN15" s="55"/>
      <c r="CJO15" s="55"/>
      <c r="CJP15" s="55"/>
      <c r="CJQ15" s="55"/>
      <c r="CJR15" s="55"/>
      <c r="CJS15" s="55"/>
      <c r="CJT15" s="55"/>
      <c r="CJU15" s="55"/>
      <c r="CJV15" s="55"/>
      <c r="CJW15" s="55"/>
      <c r="CJX15" s="55"/>
      <c r="CJY15" s="55"/>
      <c r="CJZ15" s="55"/>
      <c r="CKA15" s="55"/>
      <c r="CKB15" s="55"/>
      <c r="CKC15" s="55"/>
      <c r="CKD15" s="55"/>
      <c r="CKE15" s="55"/>
      <c r="CKF15" s="55"/>
      <c r="CKG15" s="55"/>
      <c r="CKH15" s="55"/>
      <c r="CKI15" s="55"/>
      <c r="CKJ15" s="55"/>
      <c r="CKK15" s="55"/>
      <c r="CKL15" s="55"/>
      <c r="CKM15" s="55"/>
      <c r="CKN15" s="55"/>
      <c r="CKO15" s="55"/>
      <c r="CKP15" s="55"/>
      <c r="CKQ15" s="55"/>
      <c r="CKR15" s="55"/>
      <c r="CKS15" s="55"/>
      <c r="CKT15" s="55"/>
      <c r="CKU15" s="55"/>
      <c r="CKV15" s="55"/>
      <c r="CKW15" s="55"/>
      <c r="CKX15" s="55"/>
      <c r="CKY15" s="55"/>
      <c r="CKZ15" s="55"/>
      <c r="CLA15" s="55"/>
      <c r="CLB15" s="55"/>
      <c r="CLC15" s="55"/>
      <c r="CLD15" s="55"/>
      <c r="CLE15" s="55"/>
      <c r="CLF15" s="55"/>
      <c r="CLG15" s="55"/>
      <c r="CLH15" s="55"/>
      <c r="CLI15" s="55"/>
      <c r="CLJ15" s="55"/>
      <c r="CLK15" s="55"/>
      <c r="CLL15" s="55"/>
      <c r="CLM15" s="55"/>
      <c r="CLN15" s="55"/>
      <c r="CLO15" s="55"/>
      <c r="CLP15" s="55"/>
      <c r="CLQ15" s="55"/>
      <c r="CLR15" s="55"/>
      <c r="CLS15" s="55"/>
      <c r="CLT15" s="55"/>
      <c r="CLU15" s="55"/>
      <c r="CLV15" s="55"/>
      <c r="CLW15" s="55"/>
      <c r="CLX15" s="55"/>
      <c r="CLY15" s="55"/>
      <c r="CLZ15" s="55"/>
      <c r="CMA15" s="55"/>
      <c r="CMB15" s="55"/>
      <c r="CMC15" s="55"/>
      <c r="CMD15" s="55"/>
      <c r="CME15" s="55"/>
      <c r="CMF15" s="55"/>
      <c r="CMG15" s="55"/>
      <c r="CMH15" s="55"/>
      <c r="CMI15" s="55"/>
      <c r="CMJ15" s="55"/>
      <c r="CMK15" s="55"/>
      <c r="CML15" s="55"/>
      <c r="CMM15" s="55"/>
      <c r="CMN15" s="55"/>
      <c r="CMO15" s="55"/>
      <c r="CMP15" s="55"/>
      <c r="CMQ15" s="55"/>
      <c r="CMR15" s="55"/>
      <c r="CMS15" s="55"/>
      <c r="CMT15" s="55"/>
      <c r="CMU15" s="55"/>
      <c r="CMV15" s="55"/>
      <c r="CMW15" s="55"/>
      <c r="CMX15" s="55"/>
      <c r="CMY15" s="55"/>
      <c r="CMZ15" s="55"/>
      <c r="CNA15" s="55"/>
      <c r="CNB15" s="55"/>
      <c r="CNC15" s="55"/>
      <c r="CND15" s="55"/>
      <c r="CNE15" s="55"/>
      <c r="CNF15" s="55"/>
      <c r="CNG15" s="55"/>
      <c r="CNH15" s="55"/>
      <c r="CNI15" s="55"/>
      <c r="CNJ15" s="55"/>
      <c r="CNK15" s="55"/>
      <c r="CNL15" s="55"/>
      <c r="CNM15" s="55"/>
      <c r="CNN15" s="55"/>
      <c r="CNO15" s="55"/>
      <c r="CNP15" s="55"/>
      <c r="CNQ15" s="55"/>
      <c r="CNR15" s="55"/>
      <c r="CNS15" s="55"/>
      <c r="CNT15" s="55"/>
      <c r="CNU15" s="55"/>
      <c r="CNV15" s="55"/>
      <c r="CNW15" s="55"/>
      <c r="CNX15" s="55"/>
      <c r="CNY15" s="55"/>
      <c r="CNZ15" s="55"/>
      <c r="COA15" s="55"/>
      <c r="COB15" s="55"/>
      <c r="COC15" s="55"/>
      <c r="COD15" s="55"/>
      <c r="COE15" s="55"/>
      <c r="COF15" s="55"/>
      <c r="COG15" s="55"/>
      <c r="COH15" s="55"/>
      <c r="COI15" s="55"/>
      <c r="COJ15" s="55"/>
      <c r="COK15" s="55"/>
      <c r="COL15" s="55"/>
      <c r="COM15" s="55"/>
      <c r="CON15" s="55"/>
      <c r="COO15" s="55"/>
      <c r="COP15" s="55"/>
      <c r="COQ15" s="55"/>
      <c r="COR15" s="55"/>
      <c r="COS15" s="55"/>
      <c r="COT15" s="55"/>
      <c r="COU15" s="55"/>
      <c r="COV15" s="55"/>
      <c r="COW15" s="55"/>
      <c r="COX15" s="55"/>
      <c r="COY15" s="55"/>
      <c r="COZ15" s="55"/>
      <c r="CPA15" s="55"/>
      <c r="CPB15" s="55"/>
      <c r="CPC15" s="55"/>
      <c r="CPD15" s="55"/>
      <c r="CPE15" s="55"/>
      <c r="CPF15" s="55"/>
      <c r="CPG15" s="55"/>
      <c r="CPH15" s="55"/>
      <c r="CPI15" s="55"/>
      <c r="CPJ15" s="55"/>
      <c r="CPK15" s="55"/>
      <c r="CPL15" s="55"/>
      <c r="CPM15" s="55"/>
      <c r="CPN15" s="55"/>
      <c r="CPO15" s="55"/>
      <c r="CPP15" s="55"/>
      <c r="CPQ15" s="55"/>
      <c r="CPR15" s="55"/>
      <c r="CPS15" s="55"/>
      <c r="CPT15" s="55"/>
      <c r="CPU15" s="55"/>
      <c r="CPV15" s="55"/>
      <c r="CPW15" s="55"/>
      <c r="CPX15" s="55"/>
      <c r="CPY15" s="55"/>
      <c r="CPZ15" s="55"/>
      <c r="CQA15" s="55"/>
      <c r="CQB15" s="55"/>
      <c r="CQC15" s="55"/>
      <c r="CQD15" s="55"/>
      <c r="CQE15" s="55"/>
      <c r="CQF15" s="55"/>
      <c r="CQG15" s="55"/>
      <c r="CQH15" s="55"/>
      <c r="CQI15" s="55"/>
      <c r="CQJ15" s="55"/>
      <c r="CQK15" s="55"/>
      <c r="CQL15" s="55"/>
      <c r="CQM15" s="55"/>
      <c r="CQN15" s="55"/>
      <c r="CQO15" s="55"/>
      <c r="CQP15" s="55"/>
      <c r="CQQ15" s="55"/>
      <c r="CQR15" s="55"/>
      <c r="CQS15" s="55"/>
      <c r="CQT15" s="55"/>
      <c r="CQU15" s="55"/>
      <c r="CQV15" s="55"/>
      <c r="CQW15" s="55"/>
      <c r="CQX15" s="55"/>
      <c r="CQY15" s="55"/>
      <c r="CQZ15" s="55"/>
      <c r="CRA15" s="55"/>
      <c r="CRB15" s="55"/>
      <c r="CRC15" s="55"/>
      <c r="CRD15" s="55"/>
      <c r="CRE15" s="55"/>
      <c r="CRF15" s="55"/>
      <c r="CRG15" s="55"/>
      <c r="CRH15" s="55"/>
      <c r="CRI15" s="55"/>
      <c r="CRJ15" s="55"/>
      <c r="CRK15" s="55"/>
      <c r="CRL15" s="55"/>
      <c r="CRM15" s="55"/>
      <c r="CRN15" s="55"/>
      <c r="CRO15" s="55"/>
      <c r="CRP15" s="55"/>
      <c r="CRQ15" s="55"/>
      <c r="CRR15" s="55"/>
      <c r="CRS15" s="55"/>
      <c r="CRT15" s="55"/>
      <c r="CRU15" s="55"/>
      <c r="CRV15" s="55"/>
      <c r="CRW15" s="55"/>
      <c r="CRX15" s="55"/>
      <c r="CRY15" s="55"/>
      <c r="CRZ15" s="55"/>
      <c r="CSA15" s="55"/>
      <c r="CSB15" s="55"/>
      <c r="CSC15" s="55"/>
      <c r="CSD15" s="55"/>
      <c r="CSE15" s="55"/>
      <c r="CSF15" s="55"/>
      <c r="CSG15" s="55"/>
      <c r="CSH15" s="55"/>
      <c r="CSI15" s="55"/>
      <c r="CSJ15" s="55"/>
      <c r="CSK15" s="55"/>
      <c r="CSL15" s="55"/>
      <c r="CSM15" s="55"/>
      <c r="CSN15" s="55"/>
      <c r="CSO15" s="55"/>
      <c r="CSP15" s="55"/>
      <c r="CSQ15" s="55"/>
      <c r="CSR15" s="55"/>
      <c r="CSS15" s="55"/>
      <c r="CST15" s="55"/>
      <c r="CSU15" s="55"/>
      <c r="CSV15" s="55"/>
      <c r="CSW15" s="55"/>
      <c r="CSX15" s="55"/>
      <c r="CSY15" s="55"/>
      <c r="CSZ15" s="55"/>
      <c r="CTA15" s="55"/>
      <c r="CTB15" s="55"/>
      <c r="CTC15" s="55"/>
      <c r="CTD15" s="55"/>
      <c r="CTE15" s="55"/>
      <c r="CTF15" s="55"/>
      <c r="CTG15" s="55"/>
      <c r="CTH15" s="55"/>
      <c r="CTI15" s="55"/>
      <c r="CTJ15" s="55"/>
      <c r="CTK15" s="55"/>
      <c r="CTL15" s="55"/>
      <c r="CTM15" s="55"/>
      <c r="CTN15" s="55"/>
      <c r="CTO15" s="55"/>
      <c r="CTP15" s="55"/>
      <c r="CTQ15" s="55"/>
      <c r="CTR15" s="55"/>
      <c r="CTS15" s="55"/>
      <c r="CTT15" s="55"/>
      <c r="CTU15" s="55"/>
      <c r="CTV15" s="55"/>
      <c r="CTW15" s="55"/>
      <c r="CTX15" s="55"/>
      <c r="CTY15" s="55"/>
      <c r="CTZ15" s="55"/>
      <c r="CUA15" s="55"/>
      <c r="CUB15" s="55"/>
      <c r="CUC15" s="55"/>
      <c r="CUD15" s="55"/>
      <c r="CUE15" s="55"/>
      <c r="CUF15" s="55"/>
      <c r="CUG15" s="55"/>
      <c r="CUH15" s="55"/>
      <c r="CUI15" s="55"/>
      <c r="CUJ15" s="55"/>
      <c r="CUK15" s="55"/>
      <c r="CUL15" s="55"/>
      <c r="CUM15" s="55"/>
      <c r="CUN15" s="55"/>
      <c r="CUO15" s="55"/>
      <c r="CUP15" s="55"/>
      <c r="CUQ15" s="55"/>
      <c r="CUR15" s="55"/>
      <c r="CUS15" s="55"/>
      <c r="CUT15" s="55"/>
      <c r="CUU15" s="55"/>
      <c r="CUV15" s="55"/>
      <c r="CUW15" s="55"/>
      <c r="CUX15" s="55"/>
      <c r="CUY15" s="55"/>
      <c r="CUZ15" s="55"/>
      <c r="CVA15" s="55"/>
      <c r="CVB15" s="55"/>
      <c r="CVC15" s="55"/>
      <c r="CVD15" s="55"/>
      <c r="CVE15" s="55"/>
      <c r="CVF15" s="55"/>
      <c r="CVG15" s="55"/>
      <c r="CVH15" s="55"/>
      <c r="CVI15" s="55"/>
      <c r="CVJ15" s="55"/>
      <c r="CVK15" s="55"/>
      <c r="CVL15" s="55"/>
      <c r="CVM15" s="55"/>
      <c r="CVN15" s="55"/>
      <c r="CVO15" s="55"/>
      <c r="CVP15" s="55"/>
      <c r="CVQ15" s="55"/>
      <c r="CVR15" s="55"/>
      <c r="CVS15" s="55"/>
      <c r="CVT15" s="55"/>
      <c r="CVU15" s="55"/>
      <c r="CVV15" s="55"/>
      <c r="CVW15" s="55"/>
      <c r="CVX15" s="55"/>
      <c r="CVY15" s="55"/>
      <c r="CVZ15" s="55"/>
      <c r="CWA15" s="55"/>
      <c r="CWB15" s="55"/>
      <c r="CWC15" s="55"/>
      <c r="CWD15" s="55"/>
      <c r="CWE15" s="55"/>
      <c r="CWF15" s="55"/>
      <c r="CWG15" s="55"/>
      <c r="CWH15" s="55"/>
      <c r="CWI15" s="55"/>
      <c r="CWJ15" s="55"/>
      <c r="CWK15" s="55"/>
      <c r="CWL15" s="55"/>
      <c r="CWM15" s="55"/>
      <c r="CWN15" s="55"/>
      <c r="CWO15" s="55"/>
      <c r="CWP15" s="55"/>
      <c r="CWQ15" s="55"/>
      <c r="CWR15" s="55"/>
      <c r="CWS15" s="55"/>
      <c r="CWT15" s="55"/>
      <c r="CWU15" s="55"/>
      <c r="CWV15" s="55"/>
      <c r="CWW15" s="55"/>
      <c r="CWX15" s="55"/>
      <c r="CWY15" s="55"/>
      <c r="CWZ15" s="55"/>
      <c r="CXA15" s="55"/>
      <c r="CXB15" s="55"/>
      <c r="CXC15" s="55"/>
      <c r="CXD15" s="55"/>
      <c r="CXE15" s="55"/>
      <c r="CXF15" s="55"/>
      <c r="CXG15" s="55"/>
      <c r="CXH15" s="55"/>
      <c r="CXI15" s="55"/>
      <c r="CXJ15" s="55"/>
      <c r="CXK15" s="55"/>
      <c r="CXL15" s="55"/>
      <c r="CXM15" s="55"/>
      <c r="CXN15" s="55"/>
      <c r="CXO15" s="55"/>
      <c r="CXP15" s="55"/>
      <c r="CXQ15" s="55"/>
      <c r="CXR15" s="55"/>
      <c r="CXS15" s="55"/>
      <c r="CXT15" s="55"/>
      <c r="CXU15" s="55"/>
      <c r="CXV15" s="55"/>
      <c r="CXW15" s="55"/>
      <c r="CXX15" s="55"/>
      <c r="CXY15" s="55"/>
      <c r="CXZ15" s="55"/>
      <c r="CYA15" s="55"/>
      <c r="CYB15" s="55"/>
      <c r="CYC15" s="55"/>
      <c r="CYD15" s="55"/>
      <c r="CYE15" s="55"/>
      <c r="CYF15" s="55"/>
      <c r="CYG15" s="55"/>
      <c r="CYH15" s="55"/>
      <c r="CYI15" s="55"/>
      <c r="CYJ15" s="55"/>
      <c r="CYK15" s="55"/>
      <c r="CYL15" s="55"/>
      <c r="CYM15" s="55"/>
      <c r="CYN15" s="55"/>
      <c r="CYO15" s="55"/>
      <c r="CYP15" s="55"/>
      <c r="CYQ15" s="55"/>
      <c r="CYR15" s="55"/>
      <c r="CYS15" s="55"/>
      <c r="CYT15" s="55"/>
      <c r="CYU15" s="55"/>
      <c r="CYV15" s="55"/>
      <c r="CYW15" s="55"/>
      <c r="CYX15" s="55"/>
      <c r="CYY15" s="55"/>
      <c r="CYZ15" s="55"/>
      <c r="CZA15" s="55"/>
      <c r="CZB15" s="55"/>
      <c r="CZC15" s="55"/>
      <c r="CZD15" s="55"/>
      <c r="CZE15" s="55"/>
      <c r="CZF15" s="55"/>
      <c r="CZG15" s="55"/>
      <c r="CZH15" s="55"/>
      <c r="CZI15" s="55"/>
      <c r="CZJ15" s="55"/>
      <c r="CZK15" s="55"/>
      <c r="CZL15" s="55"/>
      <c r="CZM15" s="55"/>
      <c r="CZN15" s="55"/>
      <c r="CZO15" s="55"/>
      <c r="CZP15" s="55"/>
      <c r="CZQ15" s="55"/>
      <c r="CZR15" s="55"/>
      <c r="CZS15" s="55"/>
      <c r="CZT15" s="55"/>
      <c r="CZU15" s="55"/>
      <c r="CZV15" s="55"/>
      <c r="CZW15" s="55"/>
      <c r="CZX15" s="55"/>
      <c r="CZY15" s="55"/>
      <c r="CZZ15" s="55"/>
      <c r="DAA15" s="55"/>
      <c r="DAB15" s="55"/>
      <c r="DAC15" s="55"/>
      <c r="DAD15" s="55"/>
      <c r="DAE15" s="55"/>
      <c r="DAF15" s="55"/>
      <c r="DAG15" s="55"/>
      <c r="DAH15" s="55"/>
      <c r="DAI15" s="55"/>
      <c r="DAJ15" s="55"/>
      <c r="DAK15" s="55"/>
      <c r="DAL15" s="55"/>
      <c r="DAM15" s="55"/>
      <c r="DAN15" s="55"/>
      <c r="DAO15" s="55"/>
      <c r="DAP15" s="55"/>
      <c r="DAQ15" s="55"/>
      <c r="DAR15" s="55"/>
      <c r="DAS15" s="55"/>
      <c r="DAT15" s="55"/>
      <c r="DAU15" s="55"/>
      <c r="DAV15" s="55"/>
      <c r="DAW15" s="55"/>
      <c r="DAX15" s="55"/>
      <c r="DAY15" s="55"/>
      <c r="DAZ15" s="55"/>
      <c r="DBA15" s="55"/>
      <c r="DBB15" s="55"/>
      <c r="DBC15" s="55"/>
      <c r="DBD15" s="55"/>
      <c r="DBE15" s="55"/>
      <c r="DBF15" s="55"/>
      <c r="DBG15" s="55"/>
      <c r="DBH15" s="55"/>
      <c r="DBI15" s="55"/>
      <c r="DBJ15" s="55"/>
      <c r="DBK15" s="55"/>
      <c r="DBL15" s="55"/>
      <c r="DBM15" s="55"/>
      <c r="DBN15" s="55"/>
      <c r="DBO15" s="55"/>
      <c r="DBP15" s="55"/>
      <c r="DBQ15" s="55"/>
      <c r="DBR15" s="55"/>
      <c r="DBS15" s="55"/>
      <c r="DBT15" s="55"/>
      <c r="DBU15" s="55"/>
      <c r="DBV15" s="55"/>
      <c r="DBW15" s="55"/>
      <c r="DBX15" s="55"/>
      <c r="DBY15" s="55"/>
      <c r="DBZ15" s="55"/>
      <c r="DCA15" s="55"/>
      <c r="DCB15" s="55"/>
      <c r="DCC15" s="55"/>
      <c r="DCD15" s="55"/>
      <c r="DCE15" s="55"/>
      <c r="DCF15" s="55"/>
      <c r="DCG15" s="55"/>
      <c r="DCH15" s="55"/>
      <c r="DCI15" s="55"/>
      <c r="DCJ15" s="55"/>
      <c r="DCK15" s="55"/>
      <c r="DCL15" s="55"/>
      <c r="DCM15" s="55"/>
      <c r="DCN15" s="55"/>
      <c r="DCO15" s="55"/>
      <c r="DCP15" s="55"/>
      <c r="DCQ15" s="55"/>
      <c r="DCR15" s="55"/>
      <c r="DCS15" s="55"/>
      <c r="DCT15" s="55"/>
      <c r="DCU15" s="55"/>
      <c r="DCV15" s="55"/>
      <c r="DCW15" s="55"/>
      <c r="DCX15" s="55"/>
      <c r="DCY15" s="55"/>
      <c r="DCZ15" s="55"/>
      <c r="DDA15" s="55"/>
      <c r="DDB15" s="55"/>
      <c r="DDC15" s="55"/>
      <c r="DDD15" s="55"/>
      <c r="DDE15" s="55"/>
      <c r="DDF15" s="55"/>
      <c r="DDG15" s="55"/>
      <c r="DDH15" s="55"/>
      <c r="DDI15" s="55"/>
      <c r="DDJ15" s="55"/>
      <c r="DDK15" s="55"/>
      <c r="DDL15" s="55"/>
      <c r="DDM15" s="55"/>
      <c r="DDN15" s="55"/>
      <c r="DDO15" s="55"/>
      <c r="DDP15" s="55"/>
      <c r="DDQ15" s="55"/>
      <c r="DDR15" s="55"/>
      <c r="DDS15" s="55"/>
      <c r="DDT15" s="55"/>
      <c r="DDU15" s="55"/>
      <c r="DDV15" s="55"/>
      <c r="DDW15" s="55"/>
      <c r="DDX15" s="55"/>
      <c r="DDY15" s="55"/>
      <c r="DDZ15" s="55"/>
      <c r="DEA15" s="55"/>
      <c r="DEB15" s="55"/>
      <c r="DEC15" s="55"/>
      <c r="DED15" s="55"/>
      <c r="DEE15" s="55"/>
      <c r="DEF15" s="55"/>
      <c r="DEG15" s="55"/>
      <c r="DEH15" s="55"/>
      <c r="DEI15" s="55"/>
      <c r="DEJ15" s="55"/>
      <c r="DEK15" s="55"/>
      <c r="DEL15" s="55"/>
      <c r="DEM15" s="55"/>
      <c r="DEN15" s="55"/>
      <c r="DEO15" s="55"/>
      <c r="DEP15" s="55"/>
      <c r="DEQ15" s="55"/>
      <c r="DER15" s="55"/>
      <c r="DES15" s="55"/>
      <c r="DET15" s="55"/>
      <c r="DEU15" s="55"/>
      <c r="DEV15" s="55"/>
      <c r="DEW15" s="55"/>
      <c r="DEX15" s="55"/>
      <c r="DEY15" s="55"/>
      <c r="DEZ15" s="55"/>
      <c r="DFA15" s="55"/>
      <c r="DFB15" s="55"/>
      <c r="DFC15" s="55"/>
      <c r="DFD15" s="55"/>
      <c r="DFE15" s="55"/>
      <c r="DFF15" s="55"/>
      <c r="DFG15" s="55"/>
      <c r="DFH15" s="55"/>
      <c r="DFI15" s="55"/>
      <c r="DFJ15" s="55"/>
      <c r="DFK15" s="55"/>
      <c r="DFL15" s="55"/>
      <c r="DFM15" s="55"/>
      <c r="DFN15" s="55"/>
      <c r="DFO15" s="55"/>
      <c r="DFP15" s="55"/>
      <c r="DFQ15" s="55"/>
      <c r="DFR15" s="55"/>
      <c r="DFS15" s="55"/>
      <c r="DFT15" s="55"/>
      <c r="DFU15" s="55"/>
      <c r="DFV15" s="55"/>
      <c r="DFW15" s="55"/>
      <c r="DFX15" s="55"/>
      <c r="DFY15" s="55"/>
      <c r="DFZ15" s="55"/>
      <c r="DGA15" s="55"/>
      <c r="DGB15" s="55"/>
      <c r="DGC15" s="55"/>
      <c r="DGD15" s="55"/>
      <c r="DGE15" s="55"/>
      <c r="DGF15" s="55"/>
      <c r="DGG15" s="55"/>
      <c r="DGH15" s="55"/>
      <c r="DGI15" s="55"/>
      <c r="DGJ15" s="55"/>
      <c r="DGK15" s="55"/>
      <c r="DGL15" s="55"/>
      <c r="DGM15" s="55"/>
      <c r="DGN15" s="55"/>
      <c r="DGO15" s="55"/>
      <c r="DGP15" s="55"/>
      <c r="DGQ15" s="55"/>
      <c r="DGR15" s="55"/>
      <c r="DGS15" s="55"/>
      <c r="DGT15" s="55"/>
      <c r="DGU15" s="55"/>
      <c r="DGV15" s="55"/>
      <c r="DGW15" s="55"/>
      <c r="DGX15" s="55"/>
      <c r="DGY15" s="55"/>
      <c r="DGZ15" s="55"/>
      <c r="DHA15" s="55"/>
      <c r="DHB15" s="55"/>
      <c r="DHC15" s="55"/>
      <c r="DHD15" s="55"/>
      <c r="DHE15" s="55"/>
      <c r="DHF15" s="55"/>
      <c r="DHG15" s="55"/>
      <c r="DHH15" s="55"/>
      <c r="DHI15" s="55"/>
      <c r="DHJ15" s="55"/>
      <c r="DHK15" s="55"/>
      <c r="DHL15" s="55"/>
      <c r="DHM15" s="55"/>
      <c r="DHN15" s="55"/>
      <c r="DHO15" s="55"/>
      <c r="DHP15" s="55"/>
      <c r="DHQ15" s="55"/>
      <c r="DHR15" s="55"/>
      <c r="DHS15" s="55"/>
      <c r="DHT15" s="55"/>
      <c r="DHU15" s="55"/>
      <c r="DHV15" s="55"/>
      <c r="DHW15" s="55"/>
      <c r="DHX15" s="55"/>
      <c r="DHY15" s="55"/>
      <c r="DHZ15" s="55"/>
      <c r="DIA15" s="55"/>
      <c r="DIB15" s="55"/>
      <c r="DIC15" s="55"/>
      <c r="DID15" s="55"/>
      <c r="DIE15" s="55"/>
      <c r="DIF15" s="55"/>
      <c r="DIG15" s="55"/>
      <c r="DIH15" s="55"/>
      <c r="DII15" s="55"/>
      <c r="DIJ15" s="55"/>
      <c r="DIK15" s="55"/>
      <c r="DIL15" s="55"/>
      <c r="DIM15" s="55"/>
      <c r="DIN15" s="55"/>
      <c r="DIO15" s="55"/>
      <c r="DIP15" s="55"/>
      <c r="DIQ15" s="55"/>
      <c r="DIR15" s="55"/>
      <c r="DIS15" s="55"/>
      <c r="DIT15" s="55"/>
      <c r="DIU15" s="55"/>
      <c r="DIV15" s="55"/>
      <c r="DIW15" s="55"/>
      <c r="DIX15" s="55"/>
      <c r="DIY15" s="55"/>
      <c r="DIZ15" s="55"/>
      <c r="DJA15" s="55"/>
      <c r="DJB15" s="55"/>
      <c r="DJC15" s="55"/>
      <c r="DJD15" s="55"/>
      <c r="DJE15" s="55"/>
      <c r="DJF15" s="55"/>
      <c r="DJG15" s="55"/>
      <c r="DJH15" s="55"/>
      <c r="DJI15" s="55"/>
      <c r="DJJ15" s="55"/>
      <c r="DJK15" s="55"/>
      <c r="DJL15" s="55"/>
      <c r="DJM15" s="55"/>
      <c r="DJN15" s="55"/>
      <c r="DJO15" s="55"/>
      <c r="DJP15" s="55"/>
      <c r="DJQ15" s="55"/>
      <c r="DJR15" s="55"/>
      <c r="DJS15" s="55"/>
      <c r="DJT15" s="55"/>
      <c r="DJU15" s="55"/>
      <c r="DJV15" s="55"/>
      <c r="DJW15" s="55"/>
      <c r="DJX15" s="55"/>
      <c r="DJY15" s="55"/>
      <c r="DJZ15" s="55"/>
      <c r="DKA15" s="55"/>
      <c r="DKB15" s="55"/>
      <c r="DKC15" s="55"/>
      <c r="DKD15" s="55"/>
      <c r="DKE15" s="55"/>
      <c r="DKF15" s="55"/>
      <c r="DKG15" s="55"/>
      <c r="DKH15" s="55"/>
      <c r="DKI15" s="55"/>
      <c r="DKJ15" s="55"/>
      <c r="DKK15" s="55"/>
      <c r="DKL15" s="55"/>
      <c r="DKM15" s="55"/>
      <c r="DKN15" s="55"/>
      <c r="DKO15" s="55"/>
      <c r="DKP15" s="55"/>
      <c r="DKQ15" s="55"/>
      <c r="DKR15" s="55"/>
      <c r="DKS15" s="55"/>
      <c r="DKT15" s="55"/>
      <c r="DKU15" s="55"/>
      <c r="DKV15" s="55"/>
      <c r="DKW15" s="55"/>
      <c r="DKX15" s="55"/>
      <c r="DKY15" s="55"/>
      <c r="DKZ15" s="55"/>
      <c r="DLA15" s="55"/>
      <c r="DLB15" s="55"/>
      <c r="DLC15" s="55"/>
      <c r="DLD15" s="55"/>
      <c r="DLE15" s="55"/>
      <c r="DLF15" s="55"/>
      <c r="DLG15" s="55"/>
      <c r="DLH15" s="55"/>
      <c r="DLI15" s="55"/>
      <c r="DLJ15" s="55"/>
      <c r="DLK15" s="55"/>
      <c r="DLL15" s="55"/>
      <c r="DLM15" s="55"/>
      <c r="DLN15" s="55"/>
      <c r="DLO15" s="55"/>
      <c r="DLP15" s="55"/>
      <c r="DLQ15" s="55"/>
      <c r="DLR15" s="55"/>
      <c r="DLS15" s="55"/>
      <c r="DLT15" s="55"/>
      <c r="DLU15" s="55"/>
      <c r="DLV15" s="55"/>
      <c r="DLW15" s="55"/>
      <c r="DLX15" s="55"/>
      <c r="DLY15" s="55"/>
      <c r="DLZ15" s="55"/>
      <c r="DMA15" s="55"/>
      <c r="DMB15" s="55"/>
      <c r="DMC15" s="55"/>
      <c r="DMD15" s="55"/>
      <c r="DME15" s="55"/>
      <c r="DMF15" s="55"/>
      <c r="DMG15" s="55"/>
      <c r="DMH15" s="55"/>
      <c r="DMI15" s="55"/>
      <c r="DMJ15" s="55"/>
      <c r="DMK15" s="55"/>
      <c r="DML15" s="55"/>
      <c r="DMM15" s="55"/>
      <c r="DMN15" s="55"/>
      <c r="DMO15" s="55"/>
      <c r="DMP15" s="55"/>
      <c r="DMQ15" s="55"/>
      <c r="DMR15" s="55"/>
      <c r="DMS15" s="55"/>
      <c r="DMT15" s="55"/>
      <c r="DMU15" s="55"/>
      <c r="DMV15" s="55"/>
      <c r="DMW15" s="55"/>
      <c r="DMX15" s="55"/>
      <c r="DMY15" s="55"/>
      <c r="DMZ15" s="55"/>
      <c r="DNA15" s="55"/>
      <c r="DNB15" s="55"/>
      <c r="DNC15" s="55"/>
      <c r="DND15" s="55"/>
      <c r="DNE15" s="55"/>
      <c r="DNF15" s="55"/>
      <c r="DNG15" s="55"/>
      <c r="DNH15" s="55"/>
      <c r="DNI15" s="55"/>
      <c r="DNJ15" s="55"/>
      <c r="DNK15" s="55"/>
      <c r="DNL15" s="55"/>
      <c r="DNM15" s="55"/>
      <c r="DNN15" s="55"/>
      <c r="DNO15" s="55"/>
      <c r="DNP15" s="55"/>
      <c r="DNQ15" s="55"/>
      <c r="DNR15" s="55"/>
      <c r="DNS15" s="55"/>
      <c r="DNT15" s="55"/>
      <c r="DNU15" s="55"/>
      <c r="DNV15" s="55"/>
      <c r="DNW15" s="55"/>
      <c r="DNX15" s="55"/>
      <c r="DNY15" s="55"/>
      <c r="DNZ15" s="55"/>
      <c r="DOA15" s="55"/>
      <c r="DOB15" s="55"/>
      <c r="DOC15" s="55"/>
      <c r="DOD15" s="55"/>
      <c r="DOE15" s="55"/>
      <c r="DOF15" s="55"/>
      <c r="DOG15" s="55"/>
      <c r="DOH15" s="55"/>
      <c r="DOI15" s="55"/>
      <c r="DOJ15" s="55"/>
      <c r="DOK15" s="55"/>
      <c r="DOL15" s="55"/>
      <c r="DOM15" s="55"/>
      <c r="DON15" s="55"/>
      <c r="DOO15" s="55"/>
      <c r="DOP15" s="55"/>
      <c r="DOQ15" s="55"/>
      <c r="DOR15" s="55"/>
      <c r="DOS15" s="55"/>
      <c r="DOT15" s="55"/>
      <c r="DOU15" s="55"/>
      <c r="DOV15" s="55"/>
      <c r="DOW15" s="55"/>
      <c r="DOX15" s="55"/>
      <c r="DOY15" s="55"/>
      <c r="DOZ15" s="55"/>
      <c r="DPA15" s="55"/>
      <c r="DPB15" s="55"/>
      <c r="DPC15" s="55"/>
      <c r="DPD15" s="55"/>
      <c r="DPE15" s="55"/>
      <c r="DPF15" s="55"/>
      <c r="DPG15" s="55"/>
      <c r="DPH15" s="55"/>
      <c r="DPI15" s="55"/>
      <c r="DPJ15" s="55"/>
      <c r="DPK15" s="55"/>
      <c r="DPL15" s="55"/>
      <c r="DPM15" s="55"/>
      <c r="DPN15" s="55"/>
      <c r="DPO15" s="55"/>
      <c r="DPP15" s="55"/>
      <c r="DPQ15" s="55"/>
      <c r="DPR15" s="55"/>
      <c r="DPS15" s="55"/>
      <c r="DPT15" s="55"/>
      <c r="DPU15" s="55"/>
      <c r="DPV15" s="55"/>
      <c r="DPW15" s="55"/>
      <c r="DPX15" s="55"/>
      <c r="DPY15" s="55"/>
      <c r="DPZ15" s="55"/>
      <c r="DQA15" s="55"/>
      <c r="DQB15" s="55"/>
      <c r="DQC15" s="55"/>
      <c r="DQD15" s="55"/>
      <c r="DQE15" s="55"/>
      <c r="DQF15" s="55"/>
      <c r="DQG15" s="55"/>
      <c r="DQH15" s="55"/>
      <c r="DQI15" s="55"/>
      <c r="DQJ15" s="55"/>
      <c r="DQK15" s="55"/>
      <c r="DQL15" s="55"/>
      <c r="DQM15" s="55"/>
      <c r="DQN15" s="55"/>
      <c r="DQO15" s="55"/>
      <c r="DQP15" s="55"/>
      <c r="DQQ15" s="55"/>
      <c r="DQR15" s="55"/>
      <c r="DQS15" s="55"/>
      <c r="DQT15" s="55"/>
      <c r="DQU15" s="55"/>
      <c r="DQV15" s="55"/>
      <c r="DQW15" s="55"/>
      <c r="DQX15" s="55"/>
      <c r="DQY15" s="55"/>
      <c r="DQZ15" s="55"/>
      <c r="DRA15" s="55"/>
      <c r="DRB15" s="55"/>
      <c r="DRC15" s="55"/>
      <c r="DRD15" s="55"/>
      <c r="DRE15" s="55"/>
      <c r="DRF15" s="55"/>
      <c r="DRG15" s="55"/>
      <c r="DRH15" s="55"/>
      <c r="DRI15" s="55"/>
      <c r="DRJ15" s="55"/>
      <c r="DRK15" s="55"/>
      <c r="DRL15" s="55"/>
      <c r="DRM15" s="55"/>
      <c r="DRN15" s="55"/>
      <c r="DRO15" s="55"/>
      <c r="DRP15" s="55"/>
      <c r="DRQ15" s="55"/>
      <c r="DRR15" s="55"/>
      <c r="DRS15" s="55"/>
      <c r="DRT15" s="55"/>
      <c r="DRU15" s="55"/>
      <c r="DRV15" s="55"/>
      <c r="DRW15" s="55"/>
      <c r="DRX15" s="55"/>
      <c r="DRY15" s="55"/>
      <c r="DRZ15" s="55"/>
      <c r="DSA15" s="55"/>
      <c r="DSB15" s="55"/>
      <c r="DSC15" s="55"/>
      <c r="DSD15" s="55"/>
      <c r="DSE15" s="55"/>
      <c r="DSF15" s="55"/>
      <c r="DSG15" s="55"/>
      <c r="DSH15" s="55"/>
      <c r="DSI15" s="55"/>
      <c r="DSJ15" s="55"/>
      <c r="DSK15" s="55"/>
      <c r="DSL15" s="55"/>
      <c r="DSM15" s="55"/>
      <c r="DSN15" s="55"/>
      <c r="DSO15" s="55"/>
      <c r="DSP15" s="55"/>
      <c r="DSQ15" s="55"/>
      <c r="DSR15" s="55"/>
      <c r="DSS15" s="55"/>
      <c r="DST15" s="55"/>
      <c r="DSU15" s="55"/>
      <c r="DSV15" s="55"/>
      <c r="DSW15" s="55"/>
      <c r="DSX15" s="55"/>
      <c r="DSY15" s="55"/>
      <c r="DSZ15" s="55"/>
      <c r="DTA15" s="55"/>
      <c r="DTB15" s="55"/>
      <c r="DTC15" s="55"/>
      <c r="DTD15" s="55"/>
      <c r="DTE15" s="55"/>
      <c r="DTF15" s="55"/>
      <c r="DTG15" s="55"/>
      <c r="DTH15" s="55"/>
      <c r="DTI15" s="55"/>
      <c r="DTJ15" s="55"/>
      <c r="DTK15" s="55"/>
      <c r="DTL15" s="55"/>
      <c r="DTM15" s="55"/>
      <c r="DTN15" s="55"/>
      <c r="DTO15" s="55"/>
      <c r="DTP15" s="55"/>
      <c r="DTQ15" s="55"/>
      <c r="DTR15" s="55"/>
      <c r="DTS15" s="55"/>
      <c r="DTT15" s="55"/>
      <c r="DTU15" s="55"/>
      <c r="DTV15" s="55"/>
      <c r="DTW15" s="55"/>
      <c r="DTX15" s="55"/>
      <c r="DTY15" s="55"/>
      <c r="DTZ15" s="55"/>
      <c r="DUA15" s="55"/>
      <c r="DUB15" s="55"/>
      <c r="DUC15" s="55"/>
      <c r="DUD15" s="55"/>
      <c r="DUE15" s="55"/>
      <c r="DUF15" s="55"/>
      <c r="DUG15" s="55"/>
      <c r="DUH15" s="55"/>
      <c r="DUI15" s="55"/>
      <c r="DUJ15" s="55"/>
      <c r="DUK15" s="55"/>
      <c r="DUL15" s="55"/>
      <c r="DUM15" s="55"/>
      <c r="DUN15" s="55"/>
      <c r="DUO15" s="55"/>
      <c r="DUP15" s="55"/>
      <c r="DUQ15" s="55"/>
      <c r="DUR15" s="55"/>
      <c r="DUS15" s="55"/>
      <c r="DUT15" s="55"/>
      <c r="DUU15" s="55"/>
      <c r="DUV15" s="55"/>
      <c r="DUW15" s="55"/>
      <c r="DUX15" s="55"/>
      <c r="DUY15" s="55"/>
      <c r="DUZ15" s="55"/>
      <c r="DVA15" s="55"/>
      <c r="DVB15" s="55"/>
      <c r="DVC15" s="55"/>
      <c r="DVD15" s="55"/>
      <c r="DVE15" s="55"/>
      <c r="DVF15" s="55"/>
      <c r="DVG15" s="55"/>
      <c r="DVH15" s="55"/>
      <c r="DVI15" s="55"/>
      <c r="DVJ15" s="55"/>
      <c r="DVK15" s="55"/>
      <c r="DVL15" s="55"/>
      <c r="DVM15" s="55"/>
      <c r="DVN15" s="55"/>
      <c r="DVO15" s="55"/>
      <c r="DVP15" s="55"/>
      <c r="DVQ15" s="55"/>
      <c r="DVR15" s="55"/>
      <c r="DVS15" s="55"/>
      <c r="DVT15" s="55"/>
      <c r="DVU15" s="55"/>
      <c r="DVV15" s="55"/>
      <c r="DVW15" s="55"/>
      <c r="DVX15" s="55"/>
      <c r="DVY15" s="55"/>
      <c r="DVZ15" s="55"/>
      <c r="DWA15" s="55"/>
      <c r="DWB15" s="55"/>
      <c r="DWC15" s="55"/>
      <c r="DWD15" s="55"/>
      <c r="DWE15" s="55"/>
      <c r="DWF15" s="55"/>
      <c r="DWG15" s="55"/>
      <c r="DWH15" s="55"/>
      <c r="DWI15" s="55"/>
      <c r="DWJ15" s="55"/>
      <c r="DWK15" s="55"/>
      <c r="DWL15" s="55"/>
      <c r="DWM15" s="55"/>
      <c r="DWN15" s="55"/>
      <c r="DWO15" s="55"/>
      <c r="DWP15" s="55"/>
      <c r="DWQ15" s="55"/>
      <c r="DWR15" s="55"/>
      <c r="DWS15" s="55"/>
      <c r="DWT15" s="55"/>
      <c r="DWU15" s="55"/>
      <c r="DWV15" s="55"/>
      <c r="DWW15" s="55"/>
      <c r="DWX15" s="55"/>
      <c r="DWY15" s="55"/>
      <c r="DWZ15" s="55"/>
      <c r="DXA15" s="55"/>
      <c r="DXB15" s="55"/>
      <c r="DXC15" s="55"/>
      <c r="DXD15" s="55"/>
      <c r="DXE15" s="55"/>
      <c r="DXF15" s="55"/>
      <c r="DXG15" s="55"/>
      <c r="DXH15" s="55"/>
      <c r="DXI15" s="55"/>
      <c r="DXJ15" s="55"/>
      <c r="DXK15" s="55"/>
      <c r="DXL15" s="55"/>
      <c r="DXM15" s="55"/>
      <c r="DXN15" s="55"/>
      <c r="DXO15" s="55"/>
      <c r="DXP15" s="55"/>
      <c r="DXQ15" s="55"/>
      <c r="DXR15" s="55"/>
      <c r="DXS15" s="55"/>
      <c r="DXT15" s="55"/>
      <c r="DXU15" s="55"/>
      <c r="DXV15" s="55"/>
      <c r="DXW15" s="55"/>
      <c r="DXX15" s="55"/>
      <c r="DXY15" s="55"/>
      <c r="DXZ15" s="55"/>
      <c r="DYA15" s="55"/>
      <c r="DYB15" s="55"/>
      <c r="DYC15" s="55"/>
      <c r="DYD15" s="55"/>
      <c r="DYE15" s="55"/>
      <c r="DYF15" s="55"/>
      <c r="DYG15" s="55"/>
      <c r="DYH15" s="55"/>
      <c r="DYI15" s="55"/>
      <c r="DYJ15" s="55"/>
      <c r="DYK15" s="55"/>
      <c r="DYL15" s="55"/>
      <c r="DYM15" s="55"/>
      <c r="DYN15" s="55"/>
      <c r="DYO15" s="55"/>
      <c r="DYP15" s="55"/>
      <c r="DYQ15" s="55"/>
      <c r="DYR15" s="55"/>
      <c r="DYS15" s="55"/>
      <c r="DYT15" s="55"/>
      <c r="DYU15" s="55"/>
      <c r="DYV15" s="55"/>
      <c r="DYW15" s="55"/>
      <c r="DYX15" s="55"/>
      <c r="DYY15" s="55"/>
      <c r="DYZ15" s="55"/>
      <c r="DZA15" s="55"/>
      <c r="DZB15" s="55"/>
      <c r="DZC15" s="55"/>
      <c r="DZD15" s="55"/>
      <c r="DZE15" s="55"/>
      <c r="DZF15" s="55"/>
      <c r="DZG15" s="55"/>
      <c r="DZH15" s="55"/>
      <c r="DZI15" s="55"/>
      <c r="DZJ15" s="55"/>
      <c r="DZK15" s="55"/>
      <c r="DZL15" s="55"/>
      <c r="DZM15" s="55"/>
      <c r="DZN15" s="55"/>
      <c r="DZO15" s="55"/>
      <c r="DZP15" s="55"/>
      <c r="DZQ15" s="55"/>
      <c r="DZR15" s="55"/>
      <c r="DZS15" s="55"/>
      <c r="DZT15" s="55"/>
      <c r="DZU15" s="55"/>
      <c r="DZV15" s="55"/>
      <c r="DZW15" s="55"/>
      <c r="DZX15" s="55"/>
      <c r="DZY15" s="55"/>
      <c r="DZZ15" s="55"/>
      <c r="EAA15" s="55"/>
      <c r="EAB15" s="55"/>
      <c r="EAC15" s="55"/>
      <c r="EAD15" s="55"/>
      <c r="EAE15" s="55"/>
      <c r="EAF15" s="55"/>
      <c r="EAG15" s="55"/>
      <c r="EAH15" s="55"/>
      <c r="EAI15" s="55"/>
      <c r="EAJ15" s="55"/>
      <c r="EAK15" s="55"/>
      <c r="EAL15" s="55"/>
      <c r="EAM15" s="55"/>
      <c r="EAN15" s="55"/>
      <c r="EAO15" s="55"/>
      <c r="EAP15" s="55"/>
      <c r="EAQ15" s="55"/>
      <c r="EAR15" s="55"/>
      <c r="EAS15" s="55"/>
      <c r="EAT15" s="55"/>
      <c r="EAU15" s="55"/>
      <c r="EAV15" s="55"/>
      <c r="EAW15" s="55"/>
      <c r="EAX15" s="55"/>
      <c r="EAY15" s="55"/>
      <c r="EAZ15" s="55"/>
      <c r="EBA15" s="55"/>
      <c r="EBB15" s="55"/>
      <c r="EBC15" s="55"/>
      <c r="EBD15" s="55"/>
      <c r="EBE15" s="55"/>
      <c r="EBF15" s="55"/>
      <c r="EBG15" s="55"/>
      <c r="EBH15" s="55"/>
      <c r="EBI15" s="55"/>
      <c r="EBJ15" s="55"/>
      <c r="EBK15" s="55"/>
      <c r="EBL15" s="55"/>
      <c r="EBM15" s="55"/>
      <c r="EBN15" s="55"/>
      <c r="EBO15" s="55"/>
      <c r="EBP15" s="55"/>
      <c r="EBQ15" s="55"/>
      <c r="EBR15" s="55"/>
      <c r="EBS15" s="55"/>
      <c r="EBT15" s="55"/>
      <c r="EBU15" s="55"/>
      <c r="EBV15" s="55"/>
      <c r="EBW15" s="55"/>
      <c r="EBX15" s="55"/>
      <c r="EBY15" s="55"/>
      <c r="EBZ15" s="55"/>
      <c r="ECA15" s="55"/>
      <c r="ECB15" s="55"/>
      <c r="ECC15" s="55"/>
      <c r="ECD15" s="55"/>
      <c r="ECE15" s="55"/>
      <c r="ECF15" s="55"/>
      <c r="ECG15" s="55"/>
      <c r="ECH15" s="55"/>
      <c r="ECI15" s="55"/>
      <c r="ECJ15" s="55"/>
      <c r="ECK15" s="55"/>
      <c r="ECL15" s="55"/>
      <c r="ECM15" s="55"/>
      <c r="ECN15" s="55"/>
      <c r="ECO15" s="55"/>
      <c r="ECP15" s="55"/>
      <c r="ECQ15" s="55"/>
      <c r="ECR15" s="55"/>
      <c r="ECS15" s="55"/>
      <c r="ECT15" s="55"/>
      <c r="ECU15" s="55"/>
      <c r="ECV15" s="55"/>
      <c r="ECW15" s="55"/>
      <c r="ECX15" s="55"/>
      <c r="ECY15" s="55"/>
      <c r="ECZ15" s="55"/>
      <c r="EDA15" s="55"/>
      <c r="EDB15" s="55"/>
      <c r="EDC15" s="55"/>
      <c r="EDD15" s="55"/>
      <c r="EDE15" s="55"/>
      <c r="EDF15" s="55"/>
      <c r="EDG15" s="55"/>
      <c r="EDH15" s="55"/>
      <c r="EDI15" s="55"/>
      <c r="EDJ15" s="55"/>
      <c r="EDK15" s="55"/>
      <c r="EDL15" s="55"/>
      <c r="EDM15" s="55"/>
      <c r="EDN15" s="55"/>
      <c r="EDO15" s="55"/>
      <c r="EDP15" s="55"/>
      <c r="EDQ15" s="55"/>
      <c r="EDR15" s="55"/>
      <c r="EDS15" s="55"/>
      <c r="EDT15" s="55"/>
      <c r="EDU15" s="55"/>
      <c r="EDV15" s="55"/>
      <c r="EDW15" s="55"/>
      <c r="EDX15" s="55"/>
      <c r="EDY15" s="55"/>
      <c r="EDZ15" s="55"/>
      <c r="EEA15" s="55"/>
      <c r="EEB15" s="55"/>
      <c r="EEC15" s="55"/>
      <c r="EED15" s="55"/>
      <c r="EEE15" s="55"/>
      <c r="EEF15" s="55"/>
      <c r="EEG15" s="55"/>
      <c r="EEH15" s="55"/>
      <c r="EEI15" s="55"/>
      <c r="EEJ15" s="55"/>
      <c r="EEK15" s="55"/>
      <c r="EEL15" s="55"/>
      <c r="EEM15" s="55"/>
      <c r="EEN15" s="55"/>
      <c r="EEO15" s="55"/>
      <c r="EEP15" s="55"/>
      <c r="EEQ15" s="55"/>
      <c r="EER15" s="55"/>
      <c r="EES15" s="55"/>
      <c r="EET15" s="55"/>
      <c r="EEU15" s="55"/>
      <c r="EEV15" s="55"/>
      <c r="EEW15" s="55"/>
      <c r="EEX15" s="55"/>
      <c r="EEY15" s="55"/>
      <c r="EEZ15" s="55"/>
      <c r="EFA15" s="55"/>
      <c r="EFB15" s="55"/>
      <c r="EFC15" s="55"/>
      <c r="EFD15" s="55"/>
      <c r="EFE15" s="55"/>
      <c r="EFF15" s="55"/>
      <c r="EFG15" s="55"/>
      <c r="EFH15" s="55"/>
      <c r="EFI15" s="55"/>
      <c r="EFJ15" s="55"/>
      <c r="EFK15" s="55"/>
      <c r="EFL15" s="55"/>
      <c r="EFM15" s="55"/>
      <c r="EFN15" s="55"/>
      <c r="EFO15" s="55"/>
      <c r="EFP15" s="55"/>
      <c r="EFQ15" s="55"/>
      <c r="EFR15" s="55"/>
      <c r="EFS15" s="55"/>
      <c r="EFT15" s="55"/>
      <c r="EFU15" s="55"/>
      <c r="EFV15" s="55"/>
      <c r="EFW15" s="55"/>
      <c r="EFX15" s="55"/>
      <c r="EFY15" s="55"/>
      <c r="EFZ15" s="55"/>
      <c r="EGA15" s="55"/>
      <c r="EGB15" s="55"/>
      <c r="EGC15" s="55"/>
      <c r="EGD15" s="55"/>
      <c r="EGE15" s="55"/>
      <c r="EGF15" s="55"/>
      <c r="EGG15" s="55"/>
      <c r="EGH15" s="55"/>
      <c r="EGI15" s="55"/>
      <c r="EGJ15" s="55"/>
      <c r="EGK15" s="55"/>
      <c r="EGL15" s="55"/>
      <c r="EGM15" s="55"/>
      <c r="EGN15" s="55"/>
      <c r="EGO15" s="55"/>
      <c r="EGP15" s="55"/>
      <c r="EGQ15" s="55"/>
      <c r="EGR15" s="55"/>
      <c r="EGS15" s="55"/>
      <c r="EGT15" s="55"/>
      <c r="EGU15" s="55"/>
      <c r="EGV15" s="55"/>
      <c r="EGW15" s="55"/>
      <c r="EGX15" s="55"/>
      <c r="EGY15" s="55"/>
      <c r="EGZ15" s="55"/>
      <c r="EHA15" s="55"/>
      <c r="EHB15" s="55"/>
      <c r="EHC15" s="55"/>
      <c r="EHD15" s="55"/>
      <c r="EHE15" s="55"/>
      <c r="EHF15" s="55"/>
      <c r="EHG15" s="55"/>
      <c r="EHH15" s="55"/>
      <c r="EHI15" s="55"/>
      <c r="EHJ15" s="55"/>
      <c r="EHK15" s="55"/>
      <c r="EHL15" s="55"/>
      <c r="EHM15" s="55"/>
      <c r="EHN15" s="55"/>
      <c r="EHO15" s="55"/>
      <c r="EHP15" s="55"/>
      <c r="EHQ15" s="55"/>
      <c r="EHR15" s="55"/>
      <c r="EHS15" s="55"/>
      <c r="EHT15" s="55"/>
      <c r="EHU15" s="55"/>
      <c r="EHV15" s="55"/>
      <c r="EHW15" s="55"/>
      <c r="EHX15" s="55"/>
      <c r="EHY15" s="55"/>
      <c r="EHZ15" s="55"/>
      <c r="EIA15" s="55"/>
      <c r="EIB15" s="55"/>
      <c r="EIC15" s="55"/>
      <c r="EID15" s="55"/>
      <c r="EIE15" s="55"/>
      <c r="EIF15" s="55"/>
      <c r="EIG15" s="55"/>
      <c r="EIH15" s="55"/>
      <c r="EII15" s="55"/>
      <c r="EIJ15" s="55"/>
      <c r="EIK15" s="55"/>
      <c r="EIL15" s="55"/>
      <c r="EIM15" s="55"/>
      <c r="EIN15" s="55"/>
      <c r="EIO15" s="55"/>
      <c r="EIP15" s="55"/>
      <c r="EIQ15" s="55"/>
      <c r="EIR15" s="55"/>
      <c r="EIS15" s="55"/>
      <c r="EIT15" s="55"/>
      <c r="EIU15" s="55"/>
      <c r="EIV15" s="55"/>
      <c r="EIW15" s="55"/>
      <c r="EIX15" s="55"/>
      <c r="EIY15" s="55"/>
      <c r="EIZ15" s="55"/>
      <c r="EJA15" s="55"/>
      <c r="EJB15" s="55"/>
      <c r="EJC15" s="55"/>
      <c r="EJD15" s="55"/>
      <c r="EJE15" s="55"/>
      <c r="EJF15" s="55"/>
      <c r="EJG15" s="55"/>
      <c r="EJH15" s="55"/>
      <c r="EJI15" s="55"/>
      <c r="EJJ15" s="55"/>
      <c r="EJK15" s="55"/>
      <c r="EJL15" s="55"/>
      <c r="EJM15" s="55"/>
      <c r="EJN15" s="55"/>
      <c r="EJO15" s="55"/>
      <c r="EJP15" s="55"/>
      <c r="EJQ15" s="55"/>
      <c r="EJR15" s="55"/>
      <c r="EJS15" s="55"/>
      <c r="EJT15" s="55"/>
      <c r="EJU15" s="55"/>
      <c r="EJV15" s="55"/>
      <c r="EJW15" s="55"/>
      <c r="EJX15" s="55"/>
      <c r="EJY15" s="55"/>
      <c r="EJZ15" s="55"/>
      <c r="EKA15" s="55"/>
      <c r="EKB15" s="55"/>
      <c r="EKC15" s="55"/>
      <c r="EKD15" s="55"/>
      <c r="EKE15" s="55"/>
      <c r="EKF15" s="55"/>
      <c r="EKG15" s="55"/>
      <c r="EKH15" s="55"/>
      <c r="EKI15" s="55"/>
      <c r="EKJ15" s="55"/>
      <c r="EKK15" s="55"/>
      <c r="EKL15" s="55"/>
      <c r="EKM15" s="55"/>
      <c r="EKN15" s="55"/>
      <c r="EKO15" s="55"/>
      <c r="EKP15" s="55"/>
      <c r="EKQ15" s="55"/>
      <c r="EKR15" s="55"/>
      <c r="EKS15" s="55"/>
      <c r="EKT15" s="55"/>
      <c r="EKU15" s="55"/>
      <c r="EKV15" s="55"/>
      <c r="EKW15" s="55"/>
      <c r="EKX15" s="55"/>
      <c r="EKY15" s="55"/>
      <c r="EKZ15" s="55"/>
      <c r="ELA15" s="55"/>
      <c r="ELB15" s="55"/>
      <c r="ELC15" s="55"/>
      <c r="ELD15" s="55"/>
      <c r="ELE15" s="55"/>
      <c r="ELF15" s="55"/>
      <c r="ELG15" s="55"/>
      <c r="ELH15" s="55"/>
      <c r="ELI15" s="55"/>
      <c r="ELJ15" s="55"/>
      <c r="ELK15" s="55"/>
      <c r="ELL15" s="55"/>
      <c r="ELM15" s="55"/>
      <c r="ELN15" s="55"/>
      <c r="ELO15" s="55"/>
      <c r="ELP15" s="55"/>
      <c r="ELQ15" s="55"/>
      <c r="ELR15" s="55"/>
      <c r="ELS15" s="55"/>
      <c r="ELT15" s="55"/>
      <c r="ELU15" s="55"/>
      <c r="ELV15" s="55"/>
      <c r="ELW15" s="55"/>
      <c r="ELX15" s="55"/>
      <c r="ELY15" s="55"/>
      <c r="ELZ15" s="55"/>
      <c r="EMA15" s="55"/>
      <c r="EMB15" s="55"/>
      <c r="EMC15" s="55"/>
      <c r="EMD15" s="55"/>
      <c r="EME15" s="55"/>
      <c r="EMF15" s="55"/>
      <c r="EMG15" s="55"/>
      <c r="EMH15" s="55"/>
      <c r="EMI15" s="55"/>
      <c r="EMJ15" s="55"/>
      <c r="EMK15" s="55"/>
      <c r="EML15" s="55"/>
      <c r="EMM15" s="55"/>
      <c r="EMN15" s="55"/>
      <c r="EMO15" s="55"/>
      <c r="EMP15" s="55"/>
      <c r="EMQ15" s="55"/>
      <c r="EMR15" s="55"/>
      <c r="EMS15" s="55"/>
      <c r="EMT15" s="55"/>
      <c r="EMU15" s="55"/>
      <c r="EMV15" s="55"/>
      <c r="EMW15" s="55"/>
      <c r="EMX15" s="55"/>
      <c r="EMY15" s="55"/>
      <c r="EMZ15" s="55"/>
      <c r="ENA15" s="55"/>
      <c r="ENB15" s="55"/>
      <c r="ENC15" s="55"/>
      <c r="END15" s="55"/>
      <c r="ENE15" s="55"/>
      <c r="ENF15" s="55"/>
      <c r="ENG15" s="55"/>
      <c r="ENH15" s="55"/>
      <c r="ENI15" s="55"/>
      <c r="ENJ15" s="55"/>
      <c r="ENK15" s="55"/>
      <c r="ENL15" s="55"/>
      <c r="ENM15" s="55"/>
      <c r="ENN15" s="55"/>
      <c r="ENO15" s="55"/>
      <c r="ENP15" s="55"/>
      <c r="ENQ15" s="55"/>
      <c r="ENR15" s="55"/>
      <c r="ENS15" s="55"/>
      <c r="ENT15" s="55"/>
      <c r="ENU15" s="55"/>
      <c r="ENV15" s="55"/>
      <c r="ENW15" s="55"/>
      <c r="ENX15" s="55"/>
      <c r="ENY15" s="55"/>
      <c r="ENZ15" s="55"/>
      <c r="EOA15" s="55"/>
      <c r="EOB15" s="55"/>
      <c r="EOC15" s="55"/>
      <c r="EOD15" s="55"/>
      <c r="EOE15" s="55"/>
      <c r="EOF15" s="55"/>
      <c r="EOG15" s="55"/>
      <c r="EOH15" s="55"/>
      <c r="EOI15" s="55"/>
      <c r="EOJ15" s="55"/>
      <c r="EOK15" s="55"/>
      <c r="EOL15" s="55"/>
      <c r="EOM15" s="55"/>
      <c r="EON15" s="55"/>
      <c r="EOO15" s="55"/>
      <c r="EOP15" s="55"/>
      <c r="EOQ15" s="55"/>
      <c r="EOR15" s="55"/>
      <c r="EOS15" s="55"/>
      <c r="EOT15" s="55"/>
      <c r="EOU15" s="55"/>
      <c r="EOV15" s="55"/>
      <c r="EOW15" s="55"/>
      <c r="EOX15" s="55"/>
      <c r="EOY15" s="55"/>
      <c r="EOZ15" s="55"/>
      <c r="EPA15" s="55"/>
      <c r="EPB15" s="55"/>
      <c r="EPC15" s="55"/>
      <c r="EPD15" s="55"/>
      <c r="EPE15" s="55"/>
      <c r="EPF15" s="55"/>
      <c r="EPG15" s="55"/>
      <c r="EPH15" s="55"/>
      <c r="EPI15" s="55"/>
      <c r="EPJ15" s="55"/>
      <c r="EPK15" s="55"/>
      <c r="EPL15" s="55"/>
      <c r="EPM15" s="55"/>
      <c r="EPN15" s="55"/>
      <c r="EPO15" s="55"/>
      <c r="EPP15" s="55"/>
      <c r="EPQ15" s="55"/>
      <c r="EPR15" s="55"/>
      <c r="EPS15" s="55"/>
      <c r="EPT15" s="55"/>
      <c r="EPU15" s="55"/>
      <c r="EPV15" s="55"/>
      <c r="EPW15" s="55"/>
      <c r="EPX15" s="55"/>
      <c r="EPY15" s="55"/>
      <c r="EPZ15" s="55"/>
      <c r="EQA15" s="55"/>
      <c r="EQB15" s="55"/>
      <c r="EQC15" s="55"/>
      <c r="EQD15" s="55"/>
      <c r="EQE15" s="55"/>
      <c r="EQF15" s="55"/>
      <c r="EQG15" s="55"/>
      <c r="EQH15" s="55"/>
      <c r="EQI15" s="55"/>
      <c r="EQJ15" s="55"/>
      <c r="EQK15" s="55"/>
      <c r="EQL15" s="55"/>
      <c r="EQM15" s="55"/>
      <c r="EQN15" s="55"/>
      <c r="EQO15" s="55"/>
      <c r="EQP15" s="55"/>
      <c r="EQQ15" s="55"/>
      <c r="EQR15" s="55"/>
      <c r="EQS15" s="55"/>
      <c r="EQT15" s="55"/>
      <c r="EQU15" s="55"/>
      <c r="EQV15" s="55"/>
      <c r="EQW15" s="55"/>
      <c r="EQX15" s="55"/>
      <c r="EQY15" s="55"/>
      <c r="EQZ15" s="55"/>
      <c r="ERA15" s="55"/>
      <c r="ERB15" s="55"/>
      <c r="ERC15" s="55"/>
      <c r="ERD15" s="55"/>
      <c r="ERE15" s="55"/>
      <c r="ERF15" s="55"/>
      <c r="ERG15" s="55"/>
      <c r="ERH15" s="55"/>
      <c r="ERI15" s="55"/>
      <c r="ERJ15" s="55"/>
      <c r="ERK15" s="55"/>
      <c r="ERL15" s="55"/>
      <c r="ERM15" s="55"/>
      <c r="ERN15" s="55"/>
      <c r="ERO15" s="55"/>
      <c r="ERP15" s="55"/>
      <c r="ERQ15" s="55"/>
      <c r="ERR15" s="55"/>
      <c r="ERS15" s="55"/>
      <c r="ERT15" s="55"/>
      <c r="ERU15" s="55"/>
      <c r="ERV15" s="55"/>
      <c r="ERW15" s="55"/>
      <c r="ERX15" s="55"/>
      <c r="ERY15" s="55"/>
      <c r="ERZ15" s="55"/>
      <c r="ESA15" s="55"/>
      <c r="ESB15" s="55"/>
      <c r="ESC15" s="55"/>
      <c r="ESD15" s="55"/>
      <c r="ESE15" s="55"/>
      <c r="ESF15" s="55"/>
      <c r="ESG15" s="55"/>
      <c r="ESH15" s="55"/>
      <c r="ESI15" s="55"/>
      <c r="ESJ15" s="55"/>
      <c r="ESK15" s="55"/>
      <c r="ESL15" s="55"/>
      <c r="ESM15" s="55"/>
      <c r="ESN15" s="55"/>
      <c r="ESO15" s="55"/>
      <c r="ESP15" s="55"/>
      <c r="ESQ15" s="55"/>
      <c r="ESR15" s="55"/>
      <c r="ESS15" s="55"/>
      <c r="EST15" s="55"/>
      <c r="ESU15" s="55"/>
      <c r="ESV15" s="55"/>
      <c r="ESW15" s="55"/>
      <c r="ESX15" s="55"/>
      <c r="ESY15" s="55"/>
      <c r="ESZ15" s="55"/>
      <c r="ETA15" s="55"/>
      <c r="ETB15" s="55"/>
      <c r="ETC15" s="55"/>
      <c r="ETD15" s="55"/>
      <c r="ETE15" s="55"/>
      <c r="ETF15" s="55"/>
      <c r="ETG15" s="55"/>
      <c r="ETH15" s="55"/>
      <c r="ETI15" s="55"/>
      <c r="ETJ15" s="55"/>
      <c r="ETK15" s="55"/>
      <c r="ETL15" s="55"/>
      <c r="ETM15" s="55"/>
      <c r="ETN15" s="55"/>
      <c r="ETO15" s="55"/>
      <c r="ETP15" s="55"/>
      <c r="ETQ15" s="55"/>
      <c r="ETR15" s="55"/>
      <c r="ETS15" s="55"/>
      <c r="ETT15" s="55"/>
      <c r="ETU15" s="55"/>
      <c r="ETV15" s="55"/>
      <c r="ETW15" s="55"/>
      <c r="ETX15" s="55"/>
      <c r="ETY15" s="55"/>
      <c r="ETZ15" s="55"/>
      <c r="EUA15" s="55"/>
      <c r="EUB15" s="55"/>
      <c r="EUC15" s="55"/>
      <c r="EUD15" s="55"/>
      <c r="EUE15" s="55"/>
      <c r="EUF15" s="55"/>
      <c r="EUG15" s="55"/>
      <c r="EUH15" s="55"/>
      <c r="EUI15" s="55"/>
      <c r="EUJ15" s="55"/>
      <c r="EUK15" s="55"/>
      <c r="EUL15" s="55"/>
      <c r="EUM15" s="55"/>
      <c r="EUN15" s="55"/>
      <c r="EUO15" s="55"/>
      <c r="EUP15" s="55"/>
      <c r="EUQ15" s="55"/>
      <c r="EUR15" s="55"/>
      <c r="EUS15" s="55"/>
      <c r="EUT15" s="55"/>
      <c r="EUU15" s="55"/>
      <c r="EUV15" s="55"/>
      <c r="EUW15" s="55"/>
      <c r="EUX15" s="55"/>
      <c r="EUY15" s="55"/>
      <c r="EUZ15" s="55"/>
      <c r="EVA15" s="55"/>
      <c r="EVB15" s="55"/>
      <c r="EVC15" s="55"/>
      <c r="EVD15" s="55"/>
      <c r="EVE15" s="55"/>
      <c r="EVF15" s="55"/>
      <c r="EVG15" s="55"/>
      <c r="EVH15" s="55"/>
      <c r="EVI15" s="55"/>
      <c r="EVJ15" s="55"/>
      <c r="EVK15" s="55"/>
      <c r="EVL15" s="55"/>
      <c r="EVM15" s="55"/>
      <c r="EVN15" s="55"/>
      <c r="EVO15" s="55"/>
      <c r="EVP15" s="55"/>
      <c r="EVQ15" s="55"/>
      <c r="EVR15" s="55"/>
      <c r="EVS15" s="55"/>
      <c r="EVT15" s="55"/>
      <c r="EVU15" s="55"/>
      <c r="EVV15" s="55"/>
      <c r="EVW15" s="55"/>
      <c r="EVX15" s="55"/>
      <c r="EVY15" s="55"/>
      <c r="EVZ15" s="55"/>
      <c r="EWA15" s="55"/>
      <c r="EWB15" s="55"/>
      <c r="EWC15" s="55"/>
      <c r="EWD15" s="55"/>
      <c r="EWE15" s="55"/>
      <c r="EWF15" s="55"/>
      <c r="EWG15" s="55"/>
      <c r="EWH15" s="55"/>
      <c r="EWI15" s="55"/>
      <c r="EWJ15" s="55"/>
      <c r="EWK15" s="55"/>
      <c r="EWL15" s="55"/>
      <c r="EWM15" s="55"/>
      <c r="EWN15" s="55"/>
      <c r="EWO15" s="55"/>
      <c r="EWP15" s="55"/>
      <c r="EWQ15" s="55"/>
      <c r="EWR15" s="55"/>
      <c r="EWS15" s="55"/>
      <c r="EWT15" s="55"/>
      <c r="EWU15" s="55"/>
      <c r="EWV15" s="55"/>
      <c r="EWW15" s="55"/>
      <c r="EWX15" s="55"/>
      <c r="EWY15" s="55"/>
      <c r="EWZ15" s="55"/>
      <c r="EXA15" s="55"/>
      <c r="EXB15" s="55"/>
      <c r="EXC15" s="55"/>
      <c r="EXD15" s="55"/>
      <c r="EXE15" s="55"/>
      <c r="EXF15" s="55"/>
      <c r="EXG15" s="55"/>
      <c r="EXH15" s="55"/>
      <c r="EXI15" s="55"/>
      <c r="EXJ15" s="55"/>
      <c r="EXK15" s="55"/>
      <c r="EXL15" s="55"/>
      <c r="EXM15" s="55"/>
      <c r="EXN15" s="55"/>
      <c r="EXO15" s="55"/>
      <c r="EXP15" s="55"/>
      <c r="EXQ15" s="55"/>
      <c r="EXR15" s="55"/>
      <c r="EXS15" s="55"/>
      <c r="EXT15" s="55"/>
      <c r="EXU15" s="55"/>
      <c r="EXV15" s="55"/>
      <c r="EXW15" s="55"/>
      <c r="EXX15" s="55"/>
      <c r="EXY15" s="55"/>
      <c r="EXZ15" s="55"/>
      <c r="EYA15" s="55"/>
      <c r="EYB15" s="55"/>
      <c r="EYC15" s="55"/>
      <c r="EYD15" s="55"/>
      <c r="EYE15" s="55"/>
      <c r="EYF15" s="55"/>
      <c r="EYG15" s="55"/>
      <c r="EYH15" s="55"/>
      <c r="EYI15" s="55"/>
      <c r="EYJ15" s="55"/>
      <c r="EYK15" s="55"/>
      <c r="EYL15" s="55"/>
      <c r="EYM15" s="55"/>
      <c r="EYN15" s="55"/>
      <c r="EYO15" s="55"/>
      <c r="EYP15" s="55"/>
      <c r="EYQ15" s="55"/>
      <c r="EYR15" s="55"/>
      <c r="EYS15" s="55"/>
      <c r="EYT15" s="55"/>
      <c r="EYU15" s="55"/>
      <c r="EYV15" s="55"/>
      <c r="EYW15" s="55"/>
      <c r="EYX15" s="55"/>
      <c r="EYY15" s="55"/>
      <c r="EYZ15" s="55"/>
      <c r="EZA15" s="55"/>
      <c r="EZB15" s="55"/>
      <c r="EZC15" s="55"/>
      <c r="EZD15" s="55"/>
      <c r="EZE15" s="55"/>
      <c r="EZF15" s="55"/>
      <c r="EZG15" s="55"/>
      <c r="EZH15" s="55"/>
      <c r="EZI15" s="55"/>
      <c r="EZJ15" s="55"/>
      <c r="EZK15" s="55"/>
      <c r="EZL15" s="55"/>
      <c r="EZM15" s="55"/>
      <c r="EZN15" s="55"/>
      <c r="EZO15" s="55"/>
      <c r="EZP15" s="55"/>
      <c r="EZQ15" s="55"/>
      <c r="EZR15" s="55"/>
      <c r="EZS15" s="55"/>
      <c r="EZT15" s="55"/>
      <c r="EZU15" s="55"/>
      <c r="EZV15" s="55"/>
      <c r="EZW15" s="55"/>
      <c r="EZX15" s="55"/>
      <c r="EZY15" s="55"/>
      <c r="EZZ15" s="55"/>
      <c r="FAA15" s="55"/>
      <c r="FAB15" s="55"/>
      <c r="FAC15" s="55"/>
      <c r="FAD15" s="55"/>
      <c r="FAE15" s="55"/>
      <c r="FAF15" s="55"/>
      <c r="FAG15" s="55"/>
      <c r="FAH15" s="55"/>
      <c r="FAI15" s="55"/>
      <c r="FAJ15" s="55"/>
      <c r="FAK15" s="55"/>
      <c r="FAL15" s="55"/>
      <c r="FAM15" s="55"/>
      <c r="FAN15" s="55"/>
      <c r="FAO15" s="55"/>
      <c r="FAP15" s="55"/>
      <c r="FAQ15" s="55"/>
      <c r="FAR15" s="55"/>
      <c r="FAS15" s="55"/>
      <c r="FAT15" s="55"/>
      <c r="FAU15" s="55"/>
      <c r="FAV15" s="55"/>
      <c r="FAW15" s="55"/>
      <c r="FAX15" s="55"/>
      <c r="FAY15" s="55"/>
      <c r="FAZ15" s="55"/>
      <c r="FBA15" s="55"/>
      <c r="FBB15" s="55"/>
      <c r="FBC15" s="55"/>
      <c r="FBD15" s="55"/>
      <c r="FBE15" s="55"/>
      <c r="FBF15" s="55"/>
      <c r="FBG15" s="55"/>
      <c r="FBH15" s="55"/>
      <c r="FBI15" s="55"/>
      <c r="FBJ15" s="55"/>
      <c r="FBK15" s="55"/>
      <c r="FBL15" s="55"/>
      <c r="FBM15" s="55"/>
      <c r="FBN15" s="55"/>
      <c r="FBO15" s="55"/>
      <c r="FBP15" s="55"/>
      <c r="FBQ15" s="55"/>
      <c r="FBR15" s="55"/>
      <c r="FBS15" s="55"/>
      <c r="FBT15" s="55"/>
      <c r="FBU15" s="55"/>
      <c r="FBV15" s="55"/>
      <c r="FBW15" s="55"/>
      <c r="FBX15" s="55"/>
      <c r="FBY15" s="55"/>
      <c r="FBZ15" s="55"/>
      <c r="FCA15" s="55"/>
      <c r="FCB15" s="55"/>
      <c r="FCC15" s="55"/>
      <c r="FCD15" s="55"/>
      <c r="FCE15" s="55"/>
      <c r="FCF15" s="55"/>
      <c r="FCG15" s="55"/>
      <c r="FCH15" s="55"/>
      <c r="FCI15" s="55"/>
      <c r="FCJ15" s="55"/>
      <c r="FCK15" s="55"/>
      <c r="FCL15" s="55"/>
      <c r="FCM15" s="55"/>
      <c r="FCN15" s="55"/>
      <c r="FCO15" s="55"/>
      <c r="FCP15" s="55"/>
      <c r="FCQ15" s="55"/>
      <c r="FCR15" s="55"/>
      <c r="FCS15" s="55"/>
      <c r="FCT15" s="55"/>
      <c r="FCU15" s="55"/>
      <c r="FCV15" s="55"/>
      <c r="FCW15" s="55"/>
      <c r="FCX15" s="55"/>
      <c r="FCY15" s="55"/>
      <c r="FCZ15" s="55"/>
      <c r="FDA15" s="55"/>
      <c r="FDB15" s="55"/>
      <c r="FDC15" s="55"/>
      <c r="FDD15" s="55"/>
      <c r="FDE15" s="55"/>
      <c r="FDF15" s="55"/>
      <c r="FDG15" s="55"/>
      <c r="FDH15" s="55"/>
      <c r="FDI15" s="55"/>
      <c r="FDJ15" s="55"/>
      <c r="FDK15" s="55"/>
      <c r="FDL15" s="55"/>
      <c r="FDM15" s="55"/>
      <c r="FDN15" s="55"/>
      <c r="FDO15" s="55"/>
      <c r="FDP15" s="55"/>
      <c r="FDQ15" s="55"/>
      <c r="FDR15" s="55"/>
      <c r="FDS15" s="55"/>
      <c r="FDT15" s="55"/>
      <c r="FDU15" s="55"/>
      <c r="FDV15" s="55"/>
      <c r="FDW15" s="55"/>
      <c r="FDX15" s="55"/>
      <c r="FDY15" s="55"/>
      <c r="FDZ15" s="55"/>
      <c r="FEA15" s="55"/>
      <c r="FEB15" s="55"/>
      <c r="FEC15" s="55"/>
      <c r="FED15" s="55"/>
      <c r="FEE15" s="55"/>
      <c r="FEF15" s="55"/>
      <c r="FEG15" s="55"/>
      <c r="FEH15" s="55"/>
      <c r="FEI15" s="55"/>
      <c r="FEJ15" s="55"/>
      <c r="FEK15" s="55"/>
      <c r="FEL15" s="55"/>
      <c r="FEM15" s="55"/>
      <c r="FEN15" s="55"/>
      <c r="FEO15" s="55"/>
      <c r="FEP15" s="55"/>
      <c r="FEQ15" s="55"/>
      <c r="FER15" s="55"/>
      <c r="FES15" s="55"/>
      <c r="FET15" s="55"/>
      <c r="FEU15" s="55"/>
      <c r="FEV15" s="55"/>
      <c r="FEW15" s="55"/>
      <c r="FEX15" s="55"/>
      <c r="FEY15" s="55"/>
      <c r="FEZ15" s="55"/>
      <c r="FFA15" s="55"/>
      <c r="FFB15" s="55"/>
      <c r="FFC15" s="55"/>
      <c r="FFD15" s="55"/>
      <c r="FFE15" s="55"/>
      <c r="FFF15" s="55"/>
      <c r="FFG15" s="55"/>
      <c r="FFH15" s="55"/>
      <c r="FFI15" s="55"/>
      <c r="FFJ15" s="55"/>
      <c r="FFK15" s="55"/>
      <c r="FFL15" s="55"/>
      <c r="FFM15" s="55"/>
      <c r="FFN15" s="55"/>
      <c r="FFO15" s="55"/>
      <c r="FFP15" s="55"/>
      <c r="FFQ15" s="55"/>
      <c r="FFR15" s="55"/>
      <c r="FFS15" s="55"/>
      <c r="FFT15" s="55"/>
      <c r="FFU15" s="55"/>
      <c r="FFV15" s="55"/>
      <c r="FFW15" s="55"/>
      <c r="FFX15" s="55"/>
      <c r="FFY15" s="55"/>
      <c r="FFZ15" s="55"/>
      <c r="FGA15" s="55"/>
      <c r="FGB15" s="55"/>
      <c r="FGC15" s="55"/>
      <c r="FGD15" s="55"/>
      <c r="FGE15" s="55"/>
      <c r="FGF15" s="55"/>
      <c r="FGG15" s="55"/>
      <c r="FGH15" s="55"/>
      <c r="FGI15" s="55"/>
      <c r="FGJ15" s="55"/>
      <c r="FGK15" s="55"/>
      <c r="FGL15" s="55"/>
      <c r="FGM15" s="55"/>
      <c r="FGN15" s="55"/>
      <c r="FGO15" s="55"/>
      <c r="FGP15" s="55"/>
      <c r="FGQ15" s="55"/>
      <c r="FGR15" s="55"/>
      <c r="FGS15" s="55"/>
      <c r="FGT15" s="55"/>
      <c r="FGU15" s="55"/>
      <c r="FGV15" s="55"/>
      <c r="FGW15" s="55"/>
      <c r="FGX15" s="55"/>
      <c r="FGY15" s="55"/>
      <c r="FGZ15" s="55"/>
      <c r="FHA15" s="55"/>
      <c r="FHB15" s="55"/>
      <c r="FHC15" s="55"/>
      <c r="FHD15" s="55"/>
      <c r="FHE15" s="55"/>
      <c r="FHF15" s="55"/>
      <c r="FHG15" s="55"/>
      <c r="FHH15" s="55"/>
      <c r="FHI15" s="55"/>
      <c r="FHJ15" s="55"/>
      <c r="FHK15" s="55"/>
      <c r="FHL15" s="55"/>
      <c r="FHM15" s="55"/>
      <c r="FHN15" s="55"/>
      <c r="FHO15" s="55"/>
      <c r="FHP15" s="55"/>
      <c r="FHQ15" s="55"/>
      <c r="FHR15" s="55"/>
      <c r="FHS15" s="55"/>
      <c r="FHT15" s="55"/>
      <c r="FHU15" s="55"/>
      <c r="FHV15" s="55"/>
      <c r="FHW15" s="55"/>
      <c r="FHX15" s="55"/>
      <c r="FHY15" s="55"/>
      <c r="FHZ15" s="55"/>
      <c r="FIA15" s="55"/>
      <c r="FIB15" s="55"/>
      <c r="FIC15" s="55"/>
      <c r="FID15" s="55"/>
      <c r="FIE15" s="55"/>
      <c r="FIF15" s="55"/>
      <c r="FIG15" s="55"/>
      <c r="FIH15" s="55"/>
      <c r="FII15" s="55"/>
      <c r="FIJ15" s="55"/>
      <c r="FIK15" s="55"/>
      <c r="FIL15" s="55"/>
      <c r="FIM15" s="55"/>
      <c r="FIN15" s="55"/>
      <c r="FIO15" s="55"/>
      <c r="FIP15" s="55"/>
      <c r="FIQ15" s="55"/>
      <c r="FIR15" s="55"/>
      <c r="FIS15" s="55"/>
      <c r="FIT15" s="55"/>
      <c r="FIU15" s="55"/>
      <c r="FIV15" s="55"/>
      <c r="FIW15" s="55"/>
      <c r="FIX15" s="55"/>
      <c r="FIY15" s="55"/>
      <c r="FIZ15" s="55"/>
      <c r="FJA15" s="55"/>
      <c r="FJB15" s="55"/>
      <c r="FJC15" s="55"/>
      <c r="FJD15" s="55"/>
      <c r="FJE15" s="55"/>
      <c r="FJF15" s="55"/>
      <c r="FJG15" s="55"/>
      <c r="FJH15" s="55"/>
      <c r="FJI15" s="55"/>
      <c r="FJJ15" s="55"/>
      <c r="FJK15" s="55"/>
      <c r="FJL15" s="55"/>
      <c r="FJM15" s="55"/>
      <c r="FJN15" s="55"/>
      <c r="FJO15" s="55"/>
      <c r="FJP15" s="55"/>
      <c r="FJQ15" s="55"/>
      <c r="FJR15" s="55"/>
      <c r="FJS15" s="55"/>
      <c r="FJT15" s="55"/>
      <c r="FJU15" s="55"/>
      <c r="FJV15" s="55"/>
      <c r="FJW15" s="55"/>
      <c r="FJX15" s="55"/>
      <c r="FJY15" s="55"/>
      <c r="FJZ15" s="55"/>
      <c r="FKA15" s="55"/>
      <c r="FKB15" s="55"/>
      <c r="FKC15" s="55"/>
      <c r="FKD15" s="55"/>
      <c r="FKE15" s="55"/>
      <c r="FKF15" s="55"/>
      <c r="FKG15" s="55"/>
      <c r="FKH15" s="55"/>
      <c r="FKI15" s="55"/>
      <c r="FKJ15" s="55"/>
      <c r="FKK15" s="55"/>
      <c r="FKL15" s="55"/>
      <c r="FKM15" s="55"/>
      <c r="FKN15" s="55"/>
      <c r="FKO15" s="55"/>
      <c r="FKP15" s="55"/>
      <c r="FKQ15" s="55"/>
      <c r="FKR15" s="55"/>
      <c r="FKS15" s="55"/>
      <c r="FKT15" s="55"/>
      <c r="FKU15" s="55"/>
      <c r="FKV15" s="55"/>
      <c r="FKW15" s="55"/>
      <c r="FKX15" s="55"/>
      <c r="FKY15" s="55"/>
      <c r="FKZ15" s="55"/>
      <c r="FLA15" s="55"/>
      <c r="FLB15" s="55"/>
      <c r="FLC15" s="55"/>
      <c r="FLD15" s="55"/>
      <c r="FLE15" s="55"/>
      <c r="FLF15" s="55"/>
      <c r="FLG15" s="55"/>
      <c r="FLH15" s="55"/>
      <c r="FLI15" s="55"/>
      <c r="FLJ15" s="55"/>
      <c r="FLK15" s="55"/>
      <c r="FLL15" s="55"/>
      <c r="FLM15" s="55"/>
      <c r="FLN15" s="55"/>
      <c r="FLO15" s="55"/>
      <c r="FLP15" s="55"/>
      <c r="FLQ15" s="55"/>
      <c r="FLR15" s="55"/>
      <c r="FLS15" s="55"/>
      <c r="FLT15" s="55"/>
      <c r="FLU15" s="55"/>
      <c r="FLV15" s="55"/>
      <c r="FLW15" s="55"/>
      <c r="FLX15" s="55"/>
      <c r="FLY15" s="55"/>
      <c r="FLZ15" s="55"/>
      <c r="FMA15" s="55"/>
      <c r="FMB15" s="55"/>
      <c r="FMC15" s="55"/>
      <c r="FMD15" s="55"/>
      <c r="FME15" s="55"/>
      <c r="FMF15" s="55"/>
      <c r="FMG15" s="55"/>
      <c r="FMH15" s="55"/>
      <c r="FMI15" s="55"/>
      <c r="FMJ15" s="55"/>
      <c r="FMK15" s="55"/>
      <c r="FML15" s="55"/>
      <c r="FMM15" s="55"/>
      <c r="FMN15" s="55"/>
      <c r="FMO15" s="55"/>
      <c r="FMP15" s="55"/>
      <c r="FMQ15" s="55"/>
      <c r="FMR15" s="55"/>
      <c r="FMS15" s="55"/>
      <c r="FMT15" s="55"/>
      <c r="FMU15" s="55"/>
      <c r="FMV15" s="55"/>
      <c r="FMW15" s="55"/>
      <c r="FMX15" s="55"/>
      <c r="FMY15" s="55"/>
      <c r="FMZ15" s="55"/>
      <c r="FNA15" s="55"/>
      <c r="FNB15" s="55"/>
      <c r="FNC15" s="55"/>
      <c r="FND15" s="55"/>
      <c r="FNE15" s="55"/>
      <c r="FNF15" s="55"/>
      <c r="FNG15" s="55"/>
      <c r="FNH15" s="55"/>
      <c r="FNI15" s="55"/>
      <c r="FNJ15" s="55"/>
      <c r="FNK15" s="55"/>
      <c r="FNL15" s="55"/>
      <c r="FNM15" s="55"/>
      <c r="FNN15" s="55"/>
      <c r="FNO15" s="55"/>
      <c r="FNP15" s="55"/>
      <c r="FNQ15" s="55"/>
      <c r="FNR15" s="55"/>
      <c r="FNS15" s="55"/>
      <c r="FNT15" s="55"/>
      <c r="FNU15" s="55"/>
      <c r="FNV15" s="55"/>
      <c r="FNW15" s="55"/>
      <c r="FNX15" s="55"/>
      <c r="FNY15" s="55"/>
      <c r="FNZ15" s="55"/>
      <c r="FOA15" s="55"/>
      <c r="FOB15" s="55"/>
      <c r="FOC15" s="55"/>
      <c r="FOD15" s="55"/>
      <c r="FOE15" s="55"/>
      <c r="FOF15" s="55"/>
      <c r="FOG15" s="55"/>
      <c r="FOH15" s="55"/>
      <c r="FOI15" s="55"/>
      <c r="FOJ15" s="55"/>
      <c r="FOK15" s="55"/>
      <c r="FOL15" s="55"/>
      <c r="FOM15" s="55"/>
      <c r="FON15" s="55"/>
      <c r="FOO15" s="55"/>
      <c r="FOP15" s="55"/>
      <c r="FOQ15" s="55"/>
      <c r="FOR15" s="55"/>
      <c r="FOS15" s="55"/>
      <c r="FOT15" s="55"/>
      <c r="FOU15" s="55"/>
      <c r="FOV15" s="55"/>
      <c r="FOW15" s="55"/>
      <c r="FOX15" s="55"/>
      <c r="FOY15" s="55"/>
      <c r="FOZ15" s="55"/>
      <c r="FPA15" s="55"/>
      <c r="FPB15" s="55"/>
      <c r="FPC15" s="55"/>
      <c r="FPD15" s="55"/>
      <c r="FPE15" s="55"/>
      <c r="FPF15" s="55"/>
      <c r="FPG15" s="55"/>
      <c r="FPH15" s="55"/>
      <c r="FPI15" s="55"/>
      <c r="FPJ15" s="55"/>
      <c r="FPK15" s="55"/>
      <c r="FPL15" s="55"/>
      <c r="FPM15" s="55"/>
      <c r="FPN15" s="55"/>
      <c r="FPO15" s="55"/>
      <c r="FPP15" s="55"/>
      <c r="FPQ15" s="55"/>
      <c r="FPR15" s="55"/>
      <c r="FPS15" s="55"/>
      <c r="FPT15" s="55"/>
      <c r="FPU15" s="55"/>
      <c r="FPV15" s="55"/>
      <c r="FPW15" s="55"/>
      <c r="FPX15" s="55"/>
      <c r="FPY15" s="55"/>
      <c r="FPZ15" s="55"/>
      <c r="FQA15" s="55"/>
      <c r="FQB15" s="55"/>
      <c r="FQC15" s="55"/>
      <c r="FQD15" s="55"/>
      <c r="FQE15" s="55"/>
      <c r="FQF15" s="55"/>
      <c r="FQG15" s="55"/>
      <c r="FQH15" s="55"/>
      <c r="FQI15" s="55"/>
      <c r="FQJ15" s="55"/>
      <c r="FQK15" s="55"/>
      <c r="FQL15" s="55"/>
      <c r="FQM15" s="55"/>
      <c r="FQN15" s="55"/>
      <c r="FQO15" s="55"/>
      <c r="FQP15" s="55"/>
      <c r="FQQ15" s="55"/>
      <c r="FQR15" s="55"/>
      <c r="FQS15" s="55"/>
      <c r="FQT15" s="55"/>
      <c r="FQU15" s="55"/>
      <c r="FQV15" s="55"/>
      <c r="FQW15" s="55"/>
      <c r="FQX15" s="55"/>
      <c r="FQY15" s="55"/>
      <c r="FQZ15" s="55"/>
      <c r="FRA15" s="55"/>
      <c r="FRB15" s="55"/>
      <c r="FRC15" s="55"/>
      <c r="FRD15" s="55"/>
      <c r="FRE15" s="55"/>
      <c r="FRF15" s="55"/>
      <c r="FRG15" s="55"/>
      <c r="FRH15" s="55"/>
      <c r="FRI15" s="55"/>
      <c r="FRJ15" s="55"/>
      <c r="FRK15" s="55"/>
      <c r="FRL15" s="55"/>
      <c r="FRM15" s="55"/>
      <c r="FRN15" s="55"/>
      <c r="FRO15" s="55"/>
      <c r="FRP15" s="55"/>
      <c r="FRQ15" s="55"/>
      <c r="FRR15" s="55"/>
      <c r="FRS15" s="55"/>
      <c r="FRT15" s="55"/>
      <c r="FRU15" s="55"/>
      <c r="FRV15" s="55"/>
      <c r="FRW15" s="55"/>
      <c r="FRX15" s="55"/>
      <c r="FRY15" s="55"/>
      <c r="FRZ15" s="55"/>
      <c r="FSA15" s="55"/>
      <c r="FSB15" s="55"/>
      <c r="FSC15" s="55"/>
      <c r="FSD15" s="55"/>
      <c r="FSE15" s="55"/>
      <c r="FSF15" s="55"/>
      <c r="FSG15" s="55"/>
      <c r="FSH15" s="55"/>
      <c r="FSI15" s="55"/>
      <c r="FSJ15" s="55"/>
      <c r="FSK15" s="55"/>
      <c r="FSL15" s="55"/>
      <c r="FSM15" s="55"/>
      <c r="FSN15" s="55"/>
      <c r="FSO15" s="55"/>
      <c r="FSP15" s="55"/>
      <c r="FSQ15" s="55"/>
      <c r="FSR15" s="55"/>
      <c r="FSS15" s="55"/>
      <c r="FST15" s="55"/>
      <c r="FSU15" s="55"/>
      <c r="FSV15" s="55"/>
      <c r="FSW15" s="55"/>
      <c r="FSX15" s="55"/>
      <c r="FSY15" s="55"/>
      <c r="FSZ15" s="55"/>
      <c r="FTA15" s="55"/>
      <c r="FTB15" s="55"/>
      <c r="FTC15" s="55"/>
      <c r="FTD15" s="55"/>
      <c r="FTE15" s="55"/>
      <c r="FTF15" s="55"/>
      <c r="FTG15" s="55"/>
      <c r="FTH15" s="55"/>
      <c r="FTI15" s="55"/>
      <c r="FTJ15" s="55"/>
      <c r="FTK15" s="55"/>
      <c r="FTL15" s="55"/>
      <c r="FTM15" s="55"/>
      <c r="FTN15" s="55"/>
      <c r="FTO15" s="55"/>
      <c r="FTP15" s="55"/>
      <c r="FTQ15" s="55"/>
      <c r="FTR15" s="55"/>
      <c r="FTS15" s="55"/>
      <c r="FTT15" s="55"/>
      <c r="FTU15" s="55"/>
      <c r="FTV15" s="55"/>
      <c r="FTW15" s="55"/>
      <c r="FTX15" s="55"/>
      <c r="FTY15" s="55"/>
      <c r="FTZ15" s="55"/>
      <c r="FUA15" s="55"/>
      <c r="FUB15" s="55"/>
      <c r="FUC15" s="55"/>
      <c r="FUD15" s="55"/>
      <c r="FUE15" s="55"/>
      <c r="FUF15" s="55"/>
      <c r="FUG15" s="55"/>
      <c r="FUH15" s="55"/>
      <c r="FUI15" s="55"/>
      <c r="FUJ15" s="55"/>
      <c r="FUK15" s="55"/>
      <c r="FUL15" s="55"/>
      <c r="FUM15" s="55"/>
      <c r="FUN15" s="55"/>
      <c r="FUO15" s="55"/>
      <c r="FUP15" s="55"/>
      <c r="FUQ15" s="55"/>
      <c r="FUR15" s="55"/>
      <c r="FUS15" s="55"/>
      <c r="FUT15" s="55"/>
      <c r="FUU15" s="55"/>
      <c r="FUV15" s="55"/>
      <c r="FUW15" s="55"/>
      <c r="FUX15" s="55"/>
      <c r="FUY15" s="55"/>
      <c r="FUZ15" s="55"/>
      <c r="FVA15" s="55"/>
      <c r="FVB15" s="55"/>
      <c r="FVC15" s="55"/>
      <c r="FVD15" s="55"/>
      <c r="FVE15" s="55"/>
      <c r="FVF15" s="55"/>
      <c r="FVG15" s="55"/>
      <c r="FVH15" s="55"/>
      <c r="FVI15" s="55"/>
      <c r="FVJ15" s="55"/>
      <c r="FVK15" s="55"/>
      <c r="FVL15" s="55"/>
      <c r="FVM15" s="55"/>
      <c r="FVN15" s="55"/>
      <c r="FVO15" s="55"/>
      <c r="FVP15" s="55"/>
      <c r="FVQ15" s="55"/>
      <c r="FVR15" s="55"/>
      <c r="FVS15" s="55"/>
      <c r="FVT15" s="55"/>
      <c r="FVU15" s="55"/>
      <c r="FVV15" s="55"/>
      <c r="FVW15" s="55"/>
      <c r="FVX15" s="55"/>
      <c r="FVY15" s="55"/>
      <c r="FVZ15" s="55"/>
      <c r="FWA15" s="55"/>
      <c r="FWB15" s="55"/>
      <c r="FWC15" s="55"/>
      <c r="FWD15" s="55"/>
      <c r="FWE15" s="55"/>
      <c r="FWF15" s="55"/>
      <c r="FWG15" s="55"/>
      <c r="FWH15" s="55"/>
      <c r="FWI15" s="55"/>
      <c r="FWJ15" s="55"/>
      <c r="FWK15" s="55"/>
      <c r="FWL15" s="55"/>
      <c r="FWM15" s="55"/>
      <c r="FWN15" s="55"/>
      <c r="FWO15" s="55"/>
      <c r="FWP15" s="55"/>
      <c r="FWQ15" s="55"/>
      <c r="FWR15" s="55"/>
      <c r="FWS15" s="55"/>
      <c r="FWT15" s="55"/>
      <c r="FWU15" s="55"/>
      <c r="FWV15" s="55"/>
      <c r="FWW15" s="55"/>
      <c r="FWX15" s="55"/>
      <c r="FWY15" s="55"/>
      <c r="FWZ15" s="55"/>
      <c r="FXA15" s="55"/>
      <c r="FXB15" s="55"/>
      <c r="FXC15" s="55"/>
      <c r="FXD15" s="55"/>
      <c r="FXE15" s="55"/>
      <c r="FXF15" s="55"/>
      <c r="FXG15" s="55"/>
      <c r="FXH15" s="55"/>
      <c r="FXI15" s="55"/>
      <c r="FXJ15" s="55"/>
      <c r="FXK15" s="55"/>
      <c r="FXL15" s="55"/>
      <c r="FXM15" s="55"/>
      <c r="FXN15" s="55"/>
      <c r="FXO15" s="55"/>
      <c r="FXP15" s="55"/>
      <c r="FXQ15" s="55"/>
      <c r="FXR15" s="55"/>
      <c r="FXS15" s="55"/>
      <c r="FXT15" s="55"/>
      <c r="FXU15" s="55"/>
      <c r="FXV15" s="55"/>
      <c r="FXW15" s="55"/>
      <c r="FXX15" s="55"/>
      <c r="FXY15" s="55"/>
      <c r="FXZ15" s="55"/>
      <c r="FYA15" s="55"/>
      <c r="FYB15" s="55"/>
      <c r="FYC15" s="55"/>
      <c r="FYD15" s="55"/>
      <c r="FYE15" s="55"/>
      <c r="FYF15" s="55"/>
      <c r="FYG15" s="55"/>
      <c r="FYH15" s="55"/>
      <c r="FYI15" s="55"/>
      <c r="FYJ15" s="55"/>
      <c r="FYK15" s="55"/>
      <c r="FYL15" s="55"/>
      <c r="FYM15" s="55"/>
      <c r="FYN15" s="55"/>
      <c r="FYO15" s="55"/>
      <c r="FYP15" s="55"/>
      <c r="FYQ15" s="55"/>
      <c r="FYR15" s="55"/>
      <c r="FYS15" s="55"/>
      <c r="FYT15" s="55"/>
      <c r="FYU15" s="55"/>
      <c r="FYV15" s="55"/>
      <c r="FYW15" s="55"/>
      <c r="FYX15" s="55"/>
      <c r="FYY15" s="55"/>
      <c r="FYZ15" s="55"/>
      <c r="FZA15" s="55"/>
      <c r="FZB15" s="55"/>
      <c r="FZC15" s="55"/>
      <c r="FZD15" s="55"/>
      <c r="FZE15" s="55"/>
      <c r="FZF15" s="55"/>
      <c r="FZG15" s="55"/>
      <c r="FZH15" s="55"/>
      <c r="FZI15" s="55"/>
      <c r="FZJ15" s="55"/>
      <c r="FZK15" s="55"/>
      <c r="FZL15" s="55"/>
      <c r="FZM15" s="55"/>
      <c r="FZN15" s="55"/>
      <c r="FZO15" s="55"/>
      <c r="FZP15" s="55"/>
      <c r="FZQ15" s="55"/>
      <c r="FZR15" s="55"/>
      <c r="FZS15" s="55"/>
      <c r="FZT15" s="55"/>
      <c r="FZU15" s="55"/>
      <c r="FZV15" s="55"/>
      <c r="FZW15" s="55"/>
      <c r="FZX15" s="55"/>
      <c r="FZY15" s="55"/>
      <c r="FZZ15" s="55"/>
      <c r="GAA15" s="55"/>
      <c r="GAB15" s="55"/>
      <c r="GAC15" s="55"/>
      <c r="GAD15" s="55"/>
      <c r="GAE15" s="55"/>
      <c r="GAF15" s="55"/>
      <c r="GAG15" s="55"/>
      <c r="GAH15" s="55"/>
      <c r="GAI15" s="55"/>
      <c r="GAJ15" s="55"/>
      <c r="GAK15" s="55"/>
      <c r="GAL15" s="55"/>
      <c r="GAM15" s="55"/>
      <c r="GAN15" s="55"/>
      <c r="GAO15" s="55"/>
      <c r="GAP15" s="55"/>
      <c r="GAQ15" s="55"/>
      <c r="GAR15" s="55"/>
      <c r="GAS15" s="55"/>
      <c r="GAT15" s="55"/>
      <c r="GAU15" s="55"/>
      <c r="GAV15" s="55"/>
      <c r="GAW15" s="55"/>
      <c r="GAX15" s="55"/>
      <c r="GAY15" s="55"/>
      <c r="GAZ15" s="55"/>
      <c r="GBA15" s="55"/>
      <c r="GBB15" s="55"/>
      <c r="GBC15" s="55"/>
      <c r="GBD15" s="55"/>
      <c r="GBE15" s="55"/>
      <c r="GBF15" s="55"/>
      <c r="GBG15" s="55"/>
      <c r="GBH15" s="55"/>
      <c r="GBI15" s="55"/>
      <c r="GBJ15" s="55"/>
      <c r="GBK15" s="55"/>
      <c r="GBL15" s="55"/>
      <c r="GBM15" s="55"/>
      <c r="GBN15" s="55"/>
      <c r="GBO15" s="55"/>
      <c r="GBP15" s="55"/>
      <c r="GBQ15" s="55"/>
      <c r="GBR15" s="55"/>
      <c r="GBS15" s="55"/>
      <c r="GBT15" s="55"/>
      <c r="GBU15" s="55"/>
      <c r="GBV15" s="55"/>
      <c r="GBW15" s="55"/>
      <c r="GBX15" s="55"/>
      <c r="GBY15" s="55"/>
      <c r="GBZ15" s="55"/>
      <c r="GCA15" s="55"/>
      <c r="GCB15" s="55"/>
      <c r="GCC15" s="55"/>
      <c r="GCD15" s="55"/>
      <c r="GCE15" s="55"/>
      <c r="GCF15" s="55"/>
      <c r="GCG15" s="55"/>
      <c r="GCH15" s="55"/>
      <c r="GCI15" s="55"/>
      <c r="GCJ15" s="55"/>
      <c r="GCK15" s="55"/>
      <c r="GCL15" s="55"/>
      <c r="GCM15" s="55"/>
      <c r="GCN15" s="55"/>
      <c r="GCO15" s="55"/>
      <c r="GCP15" s="55"/>
      <c r="GCQ15" s="55"/>
      <c r="GCR15" s="55"/>
      <c r="GCS15" s="55"/>
      <c r="GCT15" s="55"/>
      <c r="GCU15" s="55"/>
      <c r="GCV15" s="55"/>
      <c r="GCW15" s="55"/>
      <c r="GCX15" s="55"/>
      <c r="GCY15" s="55"/>
      <c r="GCZ15" s="55"/>
      <c r="GDA15" s="55"/>
      <c r="GDB15" s="55"/>
      <c r="GDC15" s="55"/>
      <c r="GDD15" s="55"/>
      <c r="GDE15" s="55"/>
      <c r="GDF15" s="55"/>
      <c r="GDG15" s="55"/>
      <c r="GDH15" s="55"/>
      <c r="GDI15" s="55"/>
      <c r="GDJ15" s="55"/>
      <c r="GDK15" s="55"/>
      <c r="GDL15" s="55"/>
      <c r="GDM15" s="55"/>
      <c r="GDN15" s="55"/>
      <c r="GDO15" s="55"/>
      <c r="GDP15" s="55"/>
      <c r="GDQ15" s="55"/>
      <c r="GDR15" s="55"/>
      <c r="GDS15" s="55"/>
      <c r="GDT15" s="55"/>
      <c r="GDU15" s="55"/>
      <c r="GDV15" s="55"/>
      <c r="GDW15" s="55"/>
      <c r="GDX15" s="55"/>
      <c r="GDY15" s="55"/>
      <c r="GDZ15" s="55"/>
      <c r="GEA15" s="55"/>
      <c r="GEB15" s="55"/>
      <c r="GEC15" s="55"/>
      <c r="GED15" s="55"/>
      <c r="GEE15" s="55"/>
      <c r="GEF15" s="55"/>
      <c r="GEG15" s="55"/>
      <c r="GEH15" s="55"/>
      <c r="GEI15" s="55"/>
      <c r="GEJ15" s="55"/>
      <c r="GEK15" s="55"/>
      <c r="GEL15" s="55"/>
      <c r="GEM15" s="55"/>
      <c r="GEN15" s="55"/>
      <c r="GEO15" s="55"/>
      <c r="GEP15" s="55"/>
      <c r="GEQ15" s="55"/>
      <c r="GER15" s="55"/>
      <c r="GES15" s="55"/>
      <c r="GET15" s="55"/>
      <c r="GEU15" s="55"/>
      <c r="GEV15" s="55"/>
      <c r="GEW15" s="55"/>
      <c r="GEX15" s="55"/>
      <c r="GEY15" s="55"/>
      <c r="GEZ15" s="55"/>
      <c r="GFA15" s="55"/>
      <c r="GFB15" s="55"/>
      <c r="GFC15" s="55"/>
      <c r="GFD15" s="55"/>
      <c r="GFE15" s="55"/>
      <c r="GFF15" s="55"/>
      <c r="GFG15" s="55"/>
      <c r="GFH15" s="55"/>
      <c r="GFI15" s="55"/>
      <c r="GFJ15" s="55"/>
      <c r="GFK15" s="55"/>
      <c r="GFL15" s="55"/>
      <c r="GFM15" s="55"/>
      <c r="GFN15" s="55"/>
      <c r="GFO15" s="55"/>
      <c r="GFP15" s="55"/>
      <c r="GFQ15" s="55"/>
      <c r="GFR15" s="55"/>
      <c r="GFS15" s="55"/>
      <c r="GFT15" s="55"/>
      <c r="GFU15" s="55"/>
      <c r="GFV15" s="55"/>
      <c r="GFW15" s="55"/>
      <c r="GFX15" s="55"/>
      <c r="GFY15" s="55"/>
      <c r="GFZ15" s="55"/>
      <c r="GGA15" s="55"/>
      <c r="GGB15" s="55"/>
      <c r="GGC15" s="55"/>
      <c r="GGD15" s="55"/>
      <c r="GGE15" s="55"/>
      <c r="GGF15" s="55"/>
      <c r="GGG15" s="55"/>
      <c r="GGH15" s="55"/>
      <c r="GGI15" s="55"/>
      <c r="GGJ15" s="55"/>
      <c r="GGK15" s="55"/>
      <c r="GGL15" s="55"/>
      <c r="GGM15" s="55"/>
      <c r="GGN15" s="55"/>
      <c r="GGO15" s="55"/>
      <c r="GGP15" s="55"/>
      <c r="GGQ15" s="55"/>
      <c r="GGR15" s="55"/>
      <c r="GGS15" s="55"/>
      <c r="GGT15" s="55"/>
      <c r="GGU15" s="55"/>
      <c r="GGV15" s="55"/>
      <c r="GGW15" s="55"/>
      <c r="GGX15" s="55"/>
      <c r="GGY15" s="55"/>
      <c r="GGZ15" s="55"/>
      <c r="GHA15" s="55"/>
      <c r="GHB15" s="55"/>
      <c r="GHC15" s="55"/>
      <c r="GHD15" s="55"/>
      <c r="GHE15" s="55"/>
      <c r="GHF15" s="55"/>
      <c r="GHG15" s="55"/>
      <c r="GHH15" s="55"/>
      <c r="GHI15" s="55"/>
      <c r="GHJ15" s="55"/>
      <c r="GHK15" s="55"/>
      <c r="GHL15" s="55"/>
      <c r="GHM15" s="55"/>
      <c r="GHN15" s="55"/>
      <c r="GHO15" s="55"/>
      <c r="GHP15" s="55"/>
      <c r="GHQ15" s="55"/>
      <c r="GHR15" s="55"/>
      <c r="GHS15" s="55"/>
      <c r="GHT15" s="55"/>
      <c r="GHU15" s="55"/>
      <c r="GHV15" s="55"/>
      <c r="GHW15" s="55"/>
      <c r="GHX15" s="55"/>
      <c r="GHY15" s="55"/>
      <c r="GHZ15" s="55"/>
      <c r="GIA15" s="55"/>
      <c r="GIB15" s="55"/>
      <c r="GIC15" s="55"/>
      <c r="GID15" s="55"/>
      <c r="GIE15" s="55"/>
      <c r="GIF15" s="55"/>
      <c r="GIG15" s="55"/>
      <c r="GIH15" s="55"/>
      <c r="GII15" s="55"/>
      <c r="GIJ15" s="55"/>
      <c r="GIK15" s="55"/>
      <c r="GIL15" s="55"/>
      <c r="GIM15" s="55"/>
      <c r="GIN15" s="55"/>
      <c r="GIO15" s="55"/>
      <c r="GIP15" s="55"/>
      <c r="GIQ15" s="55"/>
      <c r="GIR15" s="55"/>
      <c r="GIS15" s="55"/>
      <c r="GIT15" s="55"/>
      <c r="GIU15" s="55"/>
      <c r="GIV15" s="55"/>
      <c r="GIW15" s="55"/>
      <c r="GIX15" s="55"/>
      <c r="GIY15" s="55"/>
      <c r="GIZ15" s="55"/>
      <c r="GJA15" s="55"/>
      <c r="GJB15" s="55"/>
      <c r="GJC15" s="55"/>
      <c r="GJD15" s="55"/>
      <c r="GJE15" s="55"/>
      <c r="GJF15" s="55"/>
      <c r="GJG15" s="55"/>
      <c r="GJH15" s="55"/>
      <c r="GJI15" s="55"/>
      <c r="GJJ15" s="55"/>
      <c r="GJK15" s="55"/>
      <c r="GJL15" s="55"/>
      <c r="GJM15" s="55"/>
      <c r="GJN15" s="55"/>
      <c r="GJO15" s="55"/>
      <c r="GJP15" s="55"/>
      <c r="GJQ15" s="55"/>
      <c r="GJR15" s="55"/>
      <c r="GJS15" s="55"/>
      <c r="GJT15" s="55"/>
      <c r="GJU15" s="55"/>
      <c r="GJV15" s="55"/>
      <c r="GJW15" s="55"/>
      <c r="GJX15" s="55"/>
      <c r="GJY15" s="55"/>
      <c r="GJZ15" s="55"/>
      <c r="GKA15" s="55"/>
      <c r="GKB15" s="55"/>
      <c r="GKC15" s="55"/>
      <c r="GKD15" s="55"/>
      <c r="GKE15" s="55"/>
      <c r="GKF15" s="55"/>
      <c r="GKG15" s="55"/>
      <c r="GKH15" s="55"/>
      <c r="GKI15" s="55"/>
      <c r="GKJ15" s="55"/>
      <c r="GKK15" s="55"/>
      <c r="GKL15" s="55"/>
      <c r="GKM15" s="55"/>
      <c r="GKN15" s="55"/>
      <c r="GKO15" s="55"/>
      <c r="GKP15" s="55"/>
      <c r="GKQ15" s="55"/>
      <c r="GKR15" s="55"/>
      <c r="GKS15" s="55"/>
      <c r="GKT15" s="55"/>
      <c r="GKU15" s="55"/>
      <c r="GKV15" s="55"/>
      <c r="GKW15" s="55"/>
      <c r="GKX15" s="55"/>
      <c r="GKY15" s="55"/>
      <c r="GKZ15" s="55"/>
      <c r="GLA15" s="55"/>
      <c r="GLB15" s="55"/>
      <c r="GLC15" s="55"/>
      <c r="GLD15" s="55"/>
      <c r="GLE15" s="55"/>
      <c r="GLF15" s="55"/>
      <c r="GLG15" s="55"/>
      <c r="GLH15" s="55"/>
      <c r="GLI15" s="55"/>
      <c r="GLJ15" s="55"/>
      <c r="GLK15" s="55"/>
      <c r="GLL15" s="55"/>
      <c r="GLM15" s="55"/>
      <c r="GLN15" s="55"/>
      <c r="GLO15" s="55"/>
      <c r="GLP15" s="55"/>
      <c r="GLQ15" s="55"/>
      <c r="GLR15" s="55"/>
      <c r="GLS15" s="55"/>
      <c r="GLT15" s="55"/>
      <c r="GLU15" s="55"/>
      <c r="GLV15" s="55"/>
      <c r="GLW15" s="55"/>
      <c r="GLX15" s="55"/>
      <c r="GLY15" s="55"/>
      <c r="GLZ15" s="55"/>
      <c r="GMA15" s="55"/>
      <c r="GMB15" s="55"/>
      <c r="GMC15" s="55"/>
      <c r="GMD15" s="55"/>
      <c r="GME15" s="55"/>
      <c r="GMF15" s="55"/>
      <c r="GMG15" s="55"/>
      <c r="GMH15" s="55"/>
      <c r="GMI15" s="55"/>
      <c r="GMJ15" s="55"/>
      <c r="GMK15" s="55"/>
      <c r="GML15" s="55"/>
      <c r="GMM15" s="55"/>
      <c r="GMN15" s="55"/>
      <c r="GMO15" s="55"/>
      <c r="GMP15" s="55"/>
      <c r="GMQ15" s="55"/>
      <c r="GMR15" s="55"/>
      <c r="GMS15" s="55"/>
      <c r="GMT15" s="55"/>
      <c r="GMU15" s="55"/>
      <c r="GMV15" s="55"/>
      <c r="GMW15" s="55"/>
      <c r="GMX15" s="55"/>
      <c r="GMY15" s="55"/>
      <c r="GMZ15" s="55"/>
      <c r="GNA15" s="55"/>
      <c r="GNB15" s="55"/>
      <c r="GNC15" s="55"/>
      <c r="GND15" s="55"/>
      <c r="GNE15" s="55"/>
      <c r="GNF15" s="55"/>
      <c r="GNG15" s="55"/>
      <c r="GNH15" s="55"/>
      <c r="GNI15" s="55"/>
      <c r="GNJ15" s="55"/>
      <c r="GNK15" s="55"/>
      <c r="GNL15" s="55"/>
      <c r="GNM15" s="55"/>
      <c r="GNN15" s="55"/>
      <c r="GNO15" s="55"/>
      <c r="GNP15" s="55"/>
      <c r="GNQ15" s="55"/>
      <c r="GNR15" s="55"/>
      <c r="GNS15" s="55"/>
      <c r="GNT15" s="55"/>
      <c r="GNU15" s="55"/>
      <c r="GNV15" s="55"/>
      <c r="GNW15" s="55"/>
      <c r="GNX15" s="55"/>
      <c r="GNY15" s="55"/>
      <c r="GNZ15" s="55"/>
      <c r="GOA15" s="55"/>
      <c r="GOB15" s="55"/>
      <c r="GOC15" s="55"/>
      <c r="GOD15" s="55"/>
      <c r="GOE15" s="55"/>
      <c r="GOF15" s="55"/>
      <c r="GOG15" s="55"/>
      <c r="GOH15" s="55"/>
      <c r="GOI15" s="55"/>
      <c r="GOJ15" s="55"/>
      <c r="GOK15" s="55"/>
      <c r="GOL15" s="55"/>
      <c r="GOM15" s="55"/>
      <c r="GON15" s="55"/>
      <c r="GOO15" s="55"/>
      <c r="GOP15" s="55"/>
      <c r="GOQ15" s="55"/>
      <c r="GOR15" s="55"/>
      <c r="GOS15" s="55"/>
      <c r="GOT15" s="55"/>
      <c r="GOU15" s="55"/>
      <c r="GOV15" s="55"/>
      <c r="GOW15" s="55"/>
      <c r="GOX15" s="55"/>
      <c r="GOY15" s="55"/>
      <c r="GOZ15" s="55"/>
      <c r="GPA15" s="55"/>
      <c r="GPB15" s="55"/>
      <c r="GPC15" s="55"/>
      <c r="GPD15" s="55"/>
      <c r="GPE15" s="55"/>
      <c r="GPF15" s="55"/>
      <c r="GPG15" s="55"/>
      <c r="GPH15" s="55"/>
      <c r="GPI15" s="55"/>
      <c r="GPJ15" s="55"/>
      <c r="GPK15" s="55"/>
      <c r="GPL15" s="55"/>
      <c r="GPM15" s="55"/>
      <c r="GPN15" s="55"/>
      <c r="GPO15" s="55"/>
      <c r="GPP15" s="55"/>
      <c r="GPQ15" s="55"/>
      <c r="GPR15" s="55"/>
      <c r="GPS15" s="55"/>
      <c r="GPT15" s="55"/>
      <c r="GPU15" s="55"/>
      <c r="GPV15" s="55"/>
      <c r="GPW15" s="55"/>
      <c r="GPX15" s="55"/>
      <c r="GPY15" s="55"/>
      <c r="GPZ15" s="55"/>
      <c r="GQA15" s="55"/>
      <c r="GQB15" s="55"/>
      <c r="GQC15" s="55"/>
      <c r="GQD15" s="55"/>
      <c r="GQE15" s="55"/>
      <c r="GQF15" s="55"/>
      <c r="GQG15" s="55"/>
      <c r="GQH15" s="55"/>
      <c r="GQI15" s="55"/>
      <c r="GQJ15" s="55"/>
      <c r="GQK15" s="55"/>
      <c r="GQL15" s="55"/>
      <c r="GQM15" s="55"/>
      <c r="GQN15" s="55"/>
      <c r="GQO15" s="55"/>
      <c r="GQP15" s="55"/>
      <c r="GQQ15" s="55"/>
      <c r="GQR15" s="55"/>
      <c r="GQS15" s="55"/>
      <c r="GQT15" s="55"/>
      <c r="GQU15" s="55"/>
      <c r="GQV15" s="55"/>
      <c r="GQW15" s="55"/>
      <c r="GQX15" s="55"/>
      <c r="GQY15" s="55"/>
      <c r="GQZ15" s="55"/>
      <c r="GRA15" s="55"/>
      <c r="GRB15" s="55"/>
      <c r="GRC15" s="55"/>
      <c r="GRD15" s="55"/>
      <c r="GRE15" s="55"/>
      <c r="GRF15" s="55"/>
      <c r="GRG15" s="55"/>
      <c r="GRH15" s="55"/>
      <c r="GRI15" s="55"/>
      <c r="GRJ15" s="55"/>
      <c r="GRK15" s="55"/>
      <c r="GRL15" s="55"/>
      <c r="GRM15" s="55"/>
      <c r="GRN15" s="55"/>
      <c r="GRO15" s="55"/>
      <c r="GRP15" s="55"/>
      <c r="GRQ15" s="55"/>
      <c r="GRR15" s="55"/>
      <c r="GRS15" s="55"/>
      <c r="GRT15" s="55"/>
      <c r="GRU15" s="55"/>
      <c r="GRV15" s="55"/>
      <c r="GRW15" s="55"/>
      <c r="GRX15" s="55"/>
      <c r="GRY15" s="55"/>
      <c r="GRZ15" s="55"/>
      <c r="GSA15" s="55"/>
      <c r="GSB15" s="55"/>
      <c r="GSC15" s="55"/>
      <c r="GSD15" s="55"/>
      <c r="GSE15" s="55"/>
      <c r="GSF15" s="55"/>
      <c r="GSG15" s="55"/>
      <c r="GSH15" s="55"/>
      <c r="GSI15" s="55"/>
      <c r="GSJ15" s="55"/>
      <c r="GSK15" s="55"/>
      <c r="GSL15" s="55"/>
      <c r="GSM15" s="55"/>
      <c r="GSN15" s="55"/>
      <c r="GSO15" s="55"/>
      <c r="GSP15" s="55"/>
      <c r="GSQ15" s="55"/>
      <c r="GSR15" s="55"/>
      <c r="GSS15" s="55"/>
      <c r="GST15" s="55"/>
      <c r="GSU15" s="55"/>
      <c r="GSV15" s="55"/>
      <c r="GSW15" s="55"/>
      <c r="GSX15" s="55"/>
      <c r="GSY15" s="55"/>
      <c r="GSZ15" s="55"/>
      <c r="GTA15" s="55"/>
      <c r="GTB15" s="55"/>
      <c r="GTC15" s="55"/>
      <c r="GTD15" s="55"/>
      <c r="GTE15" s="55"/>
      <c r="GTF15" s="55"/>
      <c r="GTG15" s="55"/>
      <c r="GTH15" s="55"/>
      <c r="GTI15" s="55"/>
      <c r="GTJ15" s="55"/>
      <c r="GTK15" s="55"/>
      <c r="GTL15" s="55"/>
      <c r="GTM15" s="55"/>
      <c r="GTN15" s="55"/>
      <c r="GTO15" s="55"/>
      <c r="GTP15" s="55"/>
      <c r="GTQ15" s="55"/>
      <c r="GTR15" s="55"/>
      <c r="GTS15" s="55"/>
      <c r="GTT15" s="55"/>
      <c r="GTU15" s="55"/>
      <c r="GTV15" s="55"/>
      <c r="GTW15" s="55"/>
      <c r="GTX15" s="55"/>
      <c r="GTY15" s="55"/>
      <c r="GTZ15" s="55"/>
      <c r="GUA15" s="55"/>
      <c r="GUB15" s="55"/>
      <c r="GUC15" s="55"/>
      <c r="GUD15" s="55"/>
      <c r="GUE15" s="55"/>
      <c r="GUF15" s="55"/>
      <c r="GUG15" s="55"/>
      <c r="GUH15" s="55"/>
      <c r="GUI15" s="55"/>
      <c r="GUJ15" s="55"/>
      <c r="GUK15" s="55"/>
      <c r="GUL15" s="55"/>
      <c r="GUM15" s="55"/>
      <c r="GUN15" s="55"/>
      <c r="GUO15" s="55"/>
      <c r="GUP15" s="55"/>
      <c r="GUQ15" s="55"/>
      <c r="GUR15" s="55"/>
      <c r="GUS15" s="55"/>
      <c r="GUT15" s="55"/>
      <c r="GUU15" s="55"/>
      <c r="GUV15" s="55"/>
      <c r="GUW15" s="55"/>
      <c r="GUX15" s="55"/>
      <c r="GUY15" s="55"/>
      <c r="GUZ15" s="55"/>
      <c r="GVA15" s="55"/>
      <c r="GVB15" s="55"/>
      <c r="GVC15" s="55"/>
      <c r="GVD15" s="55"/>
      <c r="GVE15" s="55"/>
      <c r="GVF15" s="55"/>
      <c r="GVG15" s="55"/>
      <c r="GVH15" s="55"/>
      <c r="GVI15" s="55"/>
      <c r="GVJ15" s="55"/>
      <c r="GVK15" s="55"/>
      <c r="GVL15" s="55"/>
      <c r="GVM15" s="55"/>
      <c r="GVN15" s="55"/>
      <c r="GVO15" s="55"/>
      <c r="GVP15" s="55"/>
      <c r="GVQ15" s="55"/>
      <c r="GVR15" s="55"/>
      <c r="GVS15" s="55"/>
      <c r="GVT15" s="55"/>
      <c r="GVU15" s="55"/>
      <c r="GVV15" s="55"/>
      <c r="GVW15" s="55"/>
      <c r="GVX15" s="55"/>
      <c r="GVY15" s="55"/>
      <c r="GVZ15" s="55"/>
      <c r="GWA15" s="55"/>
      <c r="GWB15" s="55"/>
      <c r="GWC15" s="55"/>
      <c r="GWD15" s="55"/>
      <c r="GWE15" s="55"/>
      <c r="GWF15" s="55"/>
      <c r="GWG15" s="55"/>
      <c r="GWH15" s="55"/>
      <c r="GWI15" s="55"/>
      <c r="GWJ15" s="55"/>
      <c r="GWK15" s="55"/>
      <c r="GWL15" s="55"/>
      <c r="GWM15" s="55"/>
      <c r="GWN15" s="55"/>
      <c r="GWO15" s="55"/>
      <c r="GWP15" s="55"/>
      <c r="GWQ15" s="55"/>
      <c r="GWR15" s="55"/>
      <c r="GWS15" s="55"/>
      <c r="GWT15" s="55"/>
      <c r="GWU15" s="55"/>
      <c r="GWV15" s="55"/>
      <c r="GWW15" s="55"/>
      <c r="GWX15" s="55"/>
      <c r="GWY15" s="55"/>
      <c r="GWZ15" s="55"/>
      <c r="GXA15" s="55"/>
      <c r="GXB15" s="55"/>
      <c r="GXC15" s="55"/>
      <c r="GXD15" s="55"/>
      <c r="GXE15" s="55"/>
      <c r="GXF15" s="55"/>
      <c r="GXG15" s="55"/>
      <c r="GXH15" s="55"/>
      <c r="GXI15" s="55"/>
      <c r="GXJ15" s="55"/>
      <c r="GXK15" s="55"/>
      <c r="GXL15" s="55"/>
      <c r="GXM15" s="55"/>
      <c r="GXN15" s="55"/>
      <c r="GXO15" s="55"/>
      <c r="GXP15" s="55"/>
      <c r="GXQ15" s="55"/>
      <c r="GXR15" s="55"/>
      <c r="GXS15" s="55"/>
      <c r="GXT15" s="55"/>
      <c r="GXU15" s="55"/>
      <c r="GXV15" s="55"/>
      <c r="GXW15" s="55"/>
      <c r="GXX15" s="55"/>
      <c r="GXY15" s="55"/>
      <c r="GXZ15" s="55"/>
      <c r="GYA15" s="55"/>
      <c r="GYB15" s="55"/>
      <c r="GYC15" s="55"/>
      <c r="GYD15" s="55"/>
      <c r="GYE15" s="55"/>
      <c r="GYF15" s="55"/>
      <c r="GYG15" s="55"/>
      <c r="GYH15" s="55"/>
      <c r="GYI15" s="55"/>
      <c r="GYJ15" s="55"/>
      <c r="GYK15" s="55"/>
      <c r="GYL15" s="55"/>
      <c r="GYM15" s="55"/>
      <c r="GYN15" s="55"/>
      <c r="GYO15" s="55"/>
      <c r="GYP15" s="55"/>
      <c r="GYQ15" s="55"/>
      <c r="GYR15" s="55"/>
      <c r="GYS15" s="55"/>
      <c r="GYT15" s="55"/>
      <c r="GYU15" s="55"/>
      <c r="GYV15" s="55"/>
      <c r="GYW15" s="55"/>
      <c r="GYX15" s="55"/>
      <c r="GYY15" s="55"/>
      <c r="GYZ15" s="55"/>
      <c r="GZA15" s="55"/>
      <c r="GZB15" s="55"/>
      <c r="GZC15" s="55"/>
      <c r="GZD15" s="55"/>
      <c r="GZE15" s="55"/>
      <c r="GZF15" s="55"/>
      <c r="GZG15" s="55"/>
      <c r="GZH15" s="55"/>
      <c r="GZI15" s="55"/>
      <c r="GZJ15" s="55"/>
      <c r="GZK15" s="55"/>
      <c r="GZL15" s="55"/>
      <c r="GZM15" s="55"/>
      <c r="GZN15" s="55"/>
      <c r="GZO15" s="55"/>
      <c r="GZP15" s="55"/>
      <c r="GZQ15" s="55"/>
      <c r="GZR15" s="55"/>
      <c r="GZS15" s="55"/>
      <c r="GZT15" s="55"/>
      <c r="GZU15" s="55"/>
      <c r="GZV15" s="55"/>
      <c r="GZW15" s="55"/>
      <c r="GZX15" s="55"/>
      <c r="GZY15" s="55"/>
      <c r="GZZ15" s="55"/>
      <c r="HAA15" s="55"/>
      <c r="HAB15" s="55"/>
      <c r="HAC15" s="55"/>
      <c r="HAD15" s="55"/>
      <c r="HAE15" s="55"/>
      <c r="HAF15" s="55"/>
      <c r="HAG15" s="55"/>
      <c r="HAH15" s="55"/>
      <c r="HAI15" s="55"/>
      <c r="HAJ15" s="55"/>
      <c r="HAK15" s="55"/>
      <c r="HAL15" s="55"/>
      <c r="HAM15" s="55"/>
      <c r="HAN15" s="55"/>
      <c r="HAO15" s="55"/>
      <c r="HAP15" s="55"/>
      <c r="HAQ15" s="55"/>
      <c r="HAR15" s="55"/>
      <c r="HAS15" s="55"/>
      <c r="HAT15" s="55"/>
      <c r="HAU15" s="55"/>
      <c r="HAV15" s="55"/>
      <c r="HAW15" s="55"/>
      <c r="HAX15" s="55"/>
      <c r="HAY15" s="55"/>
      <c r="HAZ15" s="55"/>
      <c r="HBA15" s="55"/>
      <c r="HBB15" s="55"/>
      <c r="HBC15" s="55"/>
      <c r="HBD15" s="55"/>
      <c r="HBE15" s="55"/>
      <c r="HBF15" s="55"/>
      <c r="HBG15" s="55"/>
      <c r="HBH15" s="55"/>
      <c r="HBI15" s="55"/>
      <c r="HBJ15" s="55"/>
      <c r="HBK15" s="55"/>
      <c r="HBL15" s="55"/>
      <c r="HBM15" s="55"/>
      <c r="HBN15" s="55"/>
      <c r="HBO15" s="55"/>
      <c r="HBP15" s="55"/>
      <c r="HBQ15" s="55"/>
      <c r="HBR15" s="55"/>
      <c r="HBS15" s="55"/>
      <c r="HBT15" s="55"/>
      <c r="HBU15" s="55"/>
      <c r="HBV15" s="55"/>
      <c r="HBW15" s="55"/>
      <c r="HBX15" s="55"/>
      <c r="HBY15" s="55"/>
      <c r="HBZ15" s="55"/>
      <c r="HCA15" s="55"/>
      <c r="HCB15" s="55"/>
      <c r="HCC15" s="55"/>
      <c r="HCD15" s="55"/>
      <c r="HCE15" s="55"/>
      <c r="HCF15" s="55"/>
      <c r="HCG15" s="55"/>
      <c r="HCH15" s="55"/>
      <c r="HCI15" s="55"/>
      <c r="HCJ15" s="55"/>
      <c r="HCK15" s="55"/>
      <c r="HCL15" s="55"/>
      <c r="HCM15" s="55"/>
      <c r="HCN15" s="55"/>
      <c r="HCO15" s="55"/>
      <c r="HCP15" s="55"/>
      <c r="HCQ15" s="55"/>
      <c r="HCR15" s="55"/>
      <c r="HCS15" s="55"/>
      <c r="HCT15" s="55"/>
      <c r="HCU15" s="55"/>
      <c r="HCV15" s="55"/>
      <c r="HCW15" s="55"/>
      <c r="HCX15" s="55"/>
      <c r="HCY15" s="55"/>
      <c r="HCZ15" s="55"/>
      <c r="HDA15" s="55"/>
      <c r="HDB15" s="55"/>
      <c r="HDC15" s="55"/>
      <c r="HDD15" s="55"/>
      <c r="HDE15" s="55"/>
      <c r="HDF15" s="55"/>
      <c r="HDG15" s="55"/>
      <c r="HDH15" s="55"/>
      <c r="HDI15" s="55"/>
      <c r="HDJ15" s="55"/>
      <c r="HDK15" s="55"/>
      <c r="HDL15" s="55"/>
      <c r="HDM15" s="55"/>
      <c r="HDN15" s="55"/>
      <c r="HDO15" s="55"/>
      <c r="HDP15" s="55"/>
      <c r="HDQ15" s="55"/>
      <c r="HDR15" s="55"/>
      <c r="HDS15" s="55"/>
      <c r="HDT15" s="55"/>
      <c r="HDU15" s="55"/>
      <c r="HDV15" s="55"/>
      <c r="HDW15" s="55"/>
      <c r="HDX15" s="55"/>
      <c r="HDY15" s="55"/>
      <c r="HDZ15" s="55"/>
      <c r="HEA15" s="55"/>
      <c r="HEB15" s="55"/>
      <c r="HEC15" s="55"/>
      <c r="HED15" s="55"/>
      <c r="HEE15" s="55"/>
      <c r="HEF15" s="55"/>
      <c r="HEG15" s="55"/>
      <c r="HEH15" s="55"/>
      <c r="HEI15" s="55"/>
      <c r="HEJ15" s="55"/>
      <c r="HEK15" s="55"/>
      <c r="HEL15" s="55"/>
      <c r="HEM15" s="55"/>
      <c r="HEN15" s="55"/>
      <c r="HEO15" s="55"/>
      <c r="HEP15" s="55"/>
      <c r="HEQ15" s="55"/>
      <c r="HER15" s="55"/>
      <c r="HES15" s="55"/>
      <c r="HET15" s="55"/>
      <c r="HEU15" s="55"/>
      <c r="HEV15" s="55"/>
      <c r="HEW15" s="55"/>
      <c r="HEX15" s="55"/>
      <c r="HEY15" s="55"/>
      <c r="HEZ15" s="55"/>
      <c r="HFA15" s="55"/>
      <c r="HFB15" s="55"/>
      <c r="HFC15" s="55"/>
      <c r="HFD15" s="55"/>
      <c r="HFE15" s="55"/>
      <c r="HFF15" s="55"/>
      <c r="HFG15" s="55"/>
      <c r="HFH15" s="55"/>
      <c r="HFI15" s="55"/>
      <c r="HFJ15" s="55"/>
      <c r="HFK15" s="55"/>
      <c r="HFL15" s="55"/>
      <c r="HFM15" s="55"/>
      <c r="HFN15" s="55"/>
      <c r="HFO15" s="55"/>
      <c r="HFP15" s="55"/>
      <c r="HFQ15" s="55"/>
      <c r="HFR15" s="55"/>
      <c r="HFS15" s="55"/>
      <c r="HFT15" s="55"/>
      <c r="HFU15" s="55"/>
      <c r="HFV15" s="55"/>
      <c r="HFW15" s="55"/>
      <c r="HFX15" s="55"/>
      <c r="HFY15" s="55"/>
      <c r="HFZ15" s="55"/>
      <c r="HGA15" s="55"/>
      <c r="HGB15" s="55"/>
      <c r="HGC15" s="55"/>
      <c r="HGD15" s="55"/>
      <c r="HGE15" s="55"/>
      <c r="HGF15" s="55"/>
      <c r="HGG15" s="55"/>
      <c r="HGH15" s="55"/>
      <c r="HGI15" s="55"/>
      <c r="HGJ15" s="55"/>
      <c r="HGK15" s="55"/>
      <c r="HGL15" s="55"/>
      <c r="HGM15" s="55"/>
      <c r="HGN15" s="55"/>
      <c r="HGO15" s="55"/>
      <c r="HGP15" s="55"/>
      <c r="HGQ15" s="55"/>
      <c r="HGR15" s="55"/>
      <c r="HGS15" s="55"/>
      <c r="HGT15" s="55"/>
      <c r="HGU15" s="55"/>
      <c r="HGV15" s="55"/>
      <c r="HGW15" s="55"/>
      <c r="HGX15" s="55"/>
      <c r="HGY15" s="55"/>
      <c r="HGZ15" s="55"/>
      <c r="HHA15" s="55"/>
      <c r="HHB15" s="55"/>
      <c r="HHC15" s="55"/>
      <c r="HHD15" s="55"/>
      <c r="HHE15" s="55"/>
      <c r="HHF15" s="55"/>
      <c r="HHG15" s="55"/>
      <c r="HHH15" s="55"/>
      <c r="HHI15" s="55"/>
      <c r="HHJ15" s="55"/>
      <c r="HHK15" s="55"/>
      <c r="HHL15" s="55"/>
      <c r="HHM15" s="55"/>
      <c r="HHN15" s="55"/>
      <c r="HHO15" s="55"/>
      <c r="HHP15" s="55"/>
      <c r="HHQ15" s="55"/>
      <c r="HHR15" s="55"/>
      <c r="HHS15" s="55"/>
      <c r="HHT15" s="55"/>
      <c r="HHU15" s="55"/>
      <c r="HHV15" s="55"/>
      <c r="HHW15" s="55"/>
      <c r="HHX15" s="55"/>
      <c r="HHY15" s="55"/>
      <c r="HHZ15" s="55"/>
      <c r="HIA15" s="55"/>
      <c r="HIB15" s="55"/>
      <c r="HIC15" s="55"/>
      <c r="HID15" s="55"/>
      <c r="HIE15" s="55"/>
      <c r="HIF15" s="55"/>
      <c r="HIG15" s="55"/>
      <c r="HIH15" s="55"/>
      <c r="HII15" s="55"/>
      <c r="HIJ15" s="55"/>
      <c r="HIK15" s="55"/>
      <c r="HIL15" s="55"/>
      <c r="HIM15" s="55"/>
      <c r="HIN15" s="55"/>
      <c r="HIO15" s="55"/>
      <c r="HIP15" s="55"/>
      <c r="HIQ15" s="55"/>
      <c r="HIR15" s="55"/>
      <c r="HIS15" s="55"/>
      <c r="HIT15" s="55"/>
      <c r="HIU15" s="55"/>
      <c r="HIV15" s="55"/>
      <c r="HIW15" s="55"/>
      <c r="HIX15" s="55"/>
      <c r="HIY15" s="55"/>
      <c r="HIZ15" s="55"/>
      <c r="HJA15" s="55"/>
      <c r="HJB15" s="55"/>
      <c r="HJC15" s="55"/>
      <c r="HJD15" s="55"/>
      <c r="HJE15" s="55"/>
      <c r="HJF15" s="55"/>
      <c r="HJG15" s="55"/>
      <c r="HJH15" s="55"/>
      <c r="HJI15" s="55"/>
      <c r="HJJ15" s="55"/>
      <c r="HJK15" s="55"/>
      <c r="HJL15" s="55"/>
      <c r="HJM15" s="55"/>
      <c r="HJN15" s="55"/>
      <c r="HJO15" s="55"/>
      <c r="HJP15" s="55"/>
      <c r="HJQ15" s="55"/>
      <c r="HJR15" s="55"/>
      <c r="HJS15" s="55"/>
      <c r="HJT15" s="55"/>
      <c r="HJU15" s="55"/>
      <c r="HJV15" s="55"/>
      <c r="HJW15" s="55"/>
      <c r="HJX15" s="55"/>
      <c r="HJY15" s="55"/>
      <c r="HJZ15" s="55"/>
      <c r="HKA15" s="55"/>
      <c r="HKB15" s="55"/>
      <c r="HKC15" s="55"/>
      <c r="HKD15" s="55"/>
      <c r="HKE15" s="55"/>
      <c r="HKF15" s="55"/>
      <c r="HKG15" s="55"/>
      <c r="HKH15" s="55"/>
      <c r="HKI15" s="55"/>
      <c r="HKJ15" s="55"/>
      <c r="HKK15" s="55"/>
      <c r="HKL15" s="55"/>
      <c r="HKM15" s="55"/>
      <c r="HKN15" s="55"/>
      <c r="HKO15" s="55"/>
      <c r="HKP15" s="55"/>
      <c r="HKQ15" s="55"/>
      <c r="HKR15" s="55"/>
      <c r="HKS15" s="55"/>
      <c r="HKT15" s="55"/>
      <c r="HKU15" s="55"/>
      <c r="HKV15" s="55"/>
      <c r="HKW15" s="55"/>
      <c r="HKX15" s="55"/>
      <c r="HKY15" s="55"/>
      <c r="HKZ15" s="55"/>
      <c r="HLA15" s="55"/>
      <c r="HLB15" s="55"/>
      <c r="HLC15" s="55"/>
      <c r="HLD15" s="55"/>
      <c r="HLE15" s="55"/>
      <c r="HLF15" s="55"/>
      <c r="HLG15" s="55"/>
      <c r="HLH15" s="55"/>
      <c r="HLI15" s="55"/>
      <c r="HLJ15" s="55"/>
      <c r="HLK15" s="55"/>
      <c r="HLL15" s="55"/>
      <c r="HLM15" s="55"/>
      <c r="HLN15" s="55"/>
      <c r="HLO15" s="55"/>
      <c r="HLP15" s="55"/>
      <c r="HLQ15" s="55"/>
      <c r="HLR15" s="55"/>
      <c r="HLS15" s="55"/>
      <c r="HLT15" s="55"/>
      <c r="HLU15" s="55"/>
      <c r="HLV15" s="55"/>
      <c r="HLW15" s="55"/>
      <c r="HLX15" s="55"/>
      <c r="HLY15" s="55"/>
      <c r="HLZ15" s="55"/>
      <c r="HMA15" s="55"/>
      <c r="HMB15" s="55"/>
      <c r="HMC15" s="55"/>
      <c r="HMD15" s="55"/>
      <c r="HME15" s="55"/>
      <c r="HMF15" s="55"/>
      <c r="HMG15" s="55"/>
      <c r="HMH15" s="55"/>
      <c r="HMI15" s="55"/>
      <c r="HMJ15" s="55"/>
      <c r="HMK15" s="55"/>
      <c r="HML15" s="55"/>
      <c r="HMM15" s="55"/>
      <c r="HMN15" s="55"/>
      <c r="HMO15" s="55"/>
      <c r="HMP15" s="55"/>
      <c r="HMQ15" s="55"/>
      <c r="HMR15" s="55"/>
      <c r="HMS15" s="55"/>
      <c r="HMT15" s="55"/>
      <c r="HMU15" s="55"/>
      <c r="HMV15" s="55"/>
      <c r="HMW15" s="55"/>
      <c r="HMX15" s="55"/>
      <c r="HMY15" s="55"/>
      <c r="HMZ15" s="55"/>
      <c r="HNA15" s="55"/>
      <c r="HNB15" s="55"/>
      <c r="HNC15" s="55"/>
      <c r="HND15" s="55"/>
      <c r="HNE15" s="55"/>
      <c r="HNF15" s="55"/>
      <c r="HNG15" s="55"/>
      <c r="HNH15" s="55"/>
      <c r="HNI15" s="55"/>
      <c r="HNJ15" s="55"/>
      <c r="HNK15" s="55"/>
      <c r="HNL15" s="55"/>
      <c r="HNM15" s="55"/>
      <c r="HNN15" s="55"/>
      <c r="HNO15" s="55"/>
      <c r="HNP15" s="55"/>
      <c r="HNQ15" s="55"/>
      <c r="HNR15" s="55"/>
      <c r="HNS15" s="55"/>
      <c r="HNT15" s="55"/>
      <c r="HNU15" s="55"/>
      <c r="HNV15" s="55"/>
      <c r="HNW15" s="55"/>
      <c r="HNX15" s="55"/>
      <c r="HNY15" s="55"/>
      <c r="HNZ15" s="55"/>
      <c r="HOA15" s="55"/>
      <c r="HOB15" s="55"/>
      <c r="HOC15" s="55"/>
      <c r="HOD15" s="55"/>
      <c r="HOE15" s="55"/>
      <c r="HOF15" s="55"/>
      <c r="HOG15" s="55"/>
      <c r="HOH15" s="55"/>
      <c r="HOI15" s="55"/>
      <c r="HOJ15" s="55"/>
      <c r="HOK15" s="55"/>
      <c r="HOL15" s="55"/>
      <c r="HOM15" s="55"/>
      <c r="HON15" s="55"/>
      <c r="HOO15" s="55"/>
      <c r="HOP15" s="55"/>
      <c r="HOQ15" s="55"/>
      <c r="HOR15" s="55"/>
      <c r="HOS15" s="55"/>
      <c r="HOT15" s="55"/>
      <c r="HOU15" s="55"/>
      <c r="HOV15" s="55"/>
      <c r="HOW15" s="55"/>
      <c r="HOX15" s="55"/>
      <c r="HOY15" s="55"/>
      <c r="HOZ15" s="55"/>
      <c r="HPA15" s="55"/>
      <c r="HPB15" s="55"/>
      <c r="HPC15" s="55"/>
      <c r="HPD15" s="55"/>
      <c r="HPE15" s="55"/>
      <c r="HPF15" s="55"/>
      <c r="HPG15" s="55"/>
      <c r="HPH15" s="55"/>
      <c r="HPI15" s="55"/>
      <c r="HPJ15" s="55"/>
      <c r="HPK15" s="55"/>
      <c r="HPL15" s="55"/>
      <c r="HPM15" s="55"/>
      <c r="HPN15" s="55"/>
      <c r="HPO15" s="55"/>
      <c r="HPP15" s="55"/>
      <c r="HPQ15" s="55"/>
      <c r="HPR15" s="55"/>
      <c r="HPS15" s="55"/>
      <c r="HPT15" s="55"/>
      <c r="HPU15" s="55"/>
      <c r="HPV15" s="55"/>
      <c r="HPW15" s="55"/>
      <c r="HPX15" s="55"/>
      <c r="HPY15" s="55"/>
      <c r="HPZ15" s="55"/>
      <c r="HQA15" s="55"/>
      <c r="HQB15" s="55"/>
      <c r="HQC15" s="55"/>
      <c r="HQD15" s="55"/>
      <c r="HQE15" s="55"/>
      <c r="HQF15" s="55"/>
      <c r="HQG15" s="55"/>
      <c r="HQH15" s="55"/>
      <c r="HQI15" s="55"/>
      <c r="HQJ15" s="55"/>
      <c r="HQK15" s="55"/>
      <c r="HQL15" s="55"/>
      <c r="HQM15" s="55"/>
      <c r="HQN15" s="55"/>
      <c r="HQO15" s="55"/>
      <c r="HQP15" s="55"/>
      <c r="HQQ15" s="55"/>
      <c r="HQR15" s="55"/>
      <c r="HQS15" s="55"/>
      <c r="HQT15" s="55"/>
      <c r="HQU15" s="55"/>
      <c r="HQV15" s="55"/>
      <c r="HQW15" s="55"/>
      <c r="HQX15" s="55"/>
      <c r="HQY15" s="55"/>
      <c r="HQZ15" s="55"/>
      <c r="HRA15" s="55"/>
      <c r="HRB15" s="55"/>
      <c r="HRC15" s="55"/>
      <c r="HRD15" s="55"/>
      <c r="HRE15" s="55"/>
      <c r="HRF15" s="55"/>
      <c r="HRG15" s="55"/>
      <c r="HRH15" s="55"/>
      <c r="HRI15" s="55"/>
      <c r="HRJ15" s="55"/>
      <c r="HRK15" s="55"/>
      <c r="HRL15" s="55"/>
      <c r="HRM15" s="55"/>
      <c r="HRN15" s="55"/>
      <c r="HRO15" s="55"/>
      <c r="HRP15" s="55"/>
      <c r="HRQ15" s="55"/>
      <c r="HRR15" s="55"/>
      <c r="HRS15" s="55"/>
      <c r="HRT15" s="55"/>
      <c r="HRU15" s="55"/>
      <c r="HRV15" s="55"/>
      <c r="HRW15" s="55"/>
      <c r="HRX15" s="55"/>
      <c r="HRY15" s="55"/>
      <c r="HRZ15" s="55"/>
      <c r="HSA15" s="55"/>
      <c r="HSB15" s="55"/>
      <c r="HSC15" s="55"/>
      <c r="HSD15" s="55"/>
      <c r="HSE15" s="55"/>
      <c r="HSF15" s="55"/>
      <c r="HSG15" s="55"/>
      <c r="HSH15" s="55"/>
      <c r="HSI15" s="55"/>
      <c r="HSJ15" s="55"/>
      <c r="HSK15" s="55"/>
      <c r="HSL15" s="55"/>
      <c r="HSM15" s="55"/>
      <c r="HSN15" s="55"/>
      <c r="HSO15" s="55"/>
      <c r="HSP15" s="55"/>
      <c r="HSQ15" s="55"/>
      <c r="HSR15" s="55"/>
      <c r="HSS15" s="55"/>
      <c r="HST15" s="55"/>
      <c r="HSU15" s="55"/>
      <c r="HSV15" s="55"/>
      <c r="HSW15" s="55"/>
      <c r="HSX15" s="55"/>
      <c r="HSY15" s="55"/>
      <c r="HSZ15" s="55"/>
      <c r="HTA15" s="55"/>
      <c r="HTB15" s="55"/>
      <c r="HTC15" s="55"/>
      <c r="HTD15" s="55"/>
      <c r="HTE15" s="55"/>
      <c r="HTF15" s="55"/>
      <c r="HTG15" s="55"/>
      <c r="HTH15" s="55"/>
      <c r="HTI15" s="55"/>
      <c r="HTJ15" s="55"/>
      <c r="HTK15" s="55"/>
      <c r="HTL15" s="55"/>
      <c r="HTM15" s="55"/>
      <c r="HTN15" s="55"/>
      <c r="HTO15" s="55"/>
      <c r="HTP15" s="55"/>
      <c r="HTQ15" s="55"/>
      <c r="HTR15" s="55"/>
      <c r="HTS15" s="55"/>
      <c r="HTT15" s="55"/>
      <c r="HTU15" s="55"/>
      <c r="HTV15" s="55"/>
      <c r="HTW15" s="55"/>
      <c r="HTX15" s="55"/>
      <c r="HTY15" s="55"/>
      <c r="HTZ15" s="55"/>
      <c r="HUA15" s="55"/>
      <c r="HUB15" s="55"/>
      <c r="HUC15" s="55"/>
      <c r="HUD15" s="55"/>
      <c r="HUE15" s="55"/>
      <c r="HUF15" s="55"/>
      <c r="HUG15" s="55"/>
      <c r="HUH15" s="55"/>
      <c r="HUI15" s="55"/>
      <c r="HUJ15" s="55"/>
      <c r="HUK15" s="55"/>
      <c r="HUL15" s="55"/>
      <c r="HUM15" s="55"/>
      <c r="HUN15" s="55"/>
      <c r="HUO15" s="55"/>
      <c r="HUP15" s="55"/>
      <c r="HUQ15" s="55"/>
      <c r="HUR15" s="55"/>
      <c r="HUS15" s="55"/>
      <c r="HUT15" s="55"/>
      <c r="HUU15" s="55"/>
      <c r="HUV15" s="55"/>
      <c r="HUW15" s="55"/>
      <c r="HUX15" s="55"/>
      <c r="HUY15" s="55"/>
      <c r="HUZ15" s="55"/>
      <c r="HVA15" s="55"/>
      <c r="HVB15" s="55"/>
      <c r="HVC15" s="55"/>
      <c r="HVD15" s="55"/>
      <c r="HVE15" s="55"/>
      <c r="HVF15" s="55"/>
      <c r="HVG15" s="55"/>
      <c r="HVH15" s="55"/>
      <c r="HVI15" s="55"/>
      <c r="HVJ15" s="55"/>
      <c r="HVK15" s="55"/>
      <c r="HVL15" s="55"/>
      <c r="HVM15" s="55"/>
      <c r="HVN15" s="55"/>
      <c r="HVO15" s="55"/>
      <c r="HVP15" s="55"/>
      <c r="HVQ15" s="55"/>
      <c r="HVR15" s="55"/>
      <c r="HVS15" s="55"/>
      <c r="HVT15" s="55"/>
      <c r="HVU15" s="55"/>
      <c r="HVV15" s="55"/>
      <c r="HVW15" s="55"/>
      <c r="HVX15" s="55"/>
      <c r="HVY15" s="55"/>
      <c r="HVZ15" s="55"/>
      <c r="HWA15" s="55"/>
      <c r="HWB15" s="55"/>
      <c r="HWC15" s="55"/>
      <c r="HWD15" s="55"/>
      <c r="HWE15" s="55"/>
      <c r="HWF15" s="55"/>
      <c r="HWG15" s="55"/>
      <c r="HWH15" s="55"/>
      <c r="HWI15" s="55"/>
      <c r="HWJ15" s="55"/>
      <c r="HWK15" s="55"/>
      <c r="HWL15" s="55"/>
      <c r="HWM15" s="55"/>
      <c r="HWN15" s="55"/>
      <c r="HWO15" s="55"/>
      <c r="HWP15" s="55"/>
      <c r="HWQ15" s="55"/>
      <c r="HWR15" s="55"/>
      <c r="HWS15" s="55"/>
      <c r="HWT15" s="55"/>
      <c r="HWU15" s="55"/>
      <c r="HWV15" s="55"/>
      <c r="HWW15" s="55"/>
      <c r="HWX15" s="55"/>
      <c r="HWY15" s="55"/>
      <c r="HWZ15" s="55"/>
      <c r="HXA15" s="55"/>
      <c r="HXB15" s="55"/>
      <c r="HXC15" s="55"/>
      <c r="HXD15" s="55"/>
      <c r="HXE15" s="55"/>
      <c r="HXF15" s="55"/>
      <c r="HXG15" s="55"/>
      <c r="HXH15" s="55"/>
      <c r="HXI15" s="55"/>
      <c r="HXJ15" s="55"/>
      <c r="HXK15" s="55"/>
      <c r="HXL15" s="55"/>
      <c r="HXM15" s="55"/>
      <c r="HXN15" s="55"/>
      <c r="HXO15" s="55"/>
      <c r="HXP15" s="55"/>
      <c r="HXQ15" s="55"/>
      <c r="HXR15" s="55"/>
      <c r="HXS15" s="55"/>
      <c r="HXT15" s="55"/>
      <c r="HXU15" s="55"/>
      <c r="HXV15" s="55"/>
      <c r="HXW15" s="55"/>
      <c r="HXX15" s="55"/>
      <c r="HXY15" s="55"/>
      <c r="HXZ15" s="55"/>
      <c r="HYA15" s="55"/>
      <c r="HYB15" s="55"/>
      <c r="HYC15" s="55"/>
      <c r="HYD15" s="55"/>
      <c r="HYE15" s="55"/>
      <c r="HYF15" s="55"/>
      <c r="HYG15" s="55"/>
      <c r="HYH15" s="55"/>
      <c r="HYI15" s="55"/>
      <c r="HYJ15" s="55"/>
      <c r="HYK15" s="55"/>
      <c r="HYL15" s="55"/>
      <c r="HYM15" s="55"/>
      <c r="HYN15" s="55"/>
      <c r="HYO15" s="55"/>
      <c r="HYP15" s="55"/>
      <c r="HYQ15" s="55"/>
      <c r="HYR15" s="55"/>
      <c r="HYS15" s="55"/>
      <c r="HYT15" s="55"/>
      <c r="HYU15" s="55"/>
      <c r="HYV15" s="55"/>
      <c r="HYW15" s="55"/>
      <c r="HYX15" s="55"/>
      <c r="HYY15" s="55"/>
      <c r="HYZ15" s="55"/>
      <c r="HZA15" s="55"/>
      <c r="HZB15" s="55"/>
      <c r="HZC15" s="55"/>
      <c r="HZD15" s="55"/>
      <c r="HZE15" s="55"/>
      <c r="HZF15" s="55"/>
      <c r="HZG15" s="55"/>
      <c r="HZH15" s="55"/>
      <c r="HZI15" s="55"/>
      <c r="HZJ15" s="55"/>
      <c r="HZK15" s="55"/>
      <c r="HZL15" s="55"/>
      <c r="HZM15" s="55"/>
      <c r="HZN15" s="55"/>
      <c r="HZO15" s="55"/>
      <c r="HZP15" s="55"/>
      <c r="HZQ15" s="55"/>
      <c r="HZR15" s="55"/>
      <c r="HZS15" s="55"/>
      <c r="HZT15" s="55"/>
      <c r="HZU15" s="55"/>
      <c r="HZV15" s="55"/>
      <c r="HZW15" s="55"/>
      <c r="HZX15" s="55"/>
      <c r="HZY15" s="55"/>
      <c r="HZZ15" s="55"/>
      <c r="IAA15" s="55"/>
      <c r="IAB15" s="55"/>
      <c r="IAC15" s="55"/>
      <c r="IAD15" s="55"/>
      <c r="IAE15" s="55"/>
      <c r="IAF15" s="55"/>
      <c r="IAG15" s="55"/>
      <c r="IAH15" s="55"/>
      <c r="IAI15" s="55"/>
      <c r="IAJ15" s="55"/>
      <c r="IAK15" s="55"/>
      <c r="IAL15" s="55"/>
      <c r="IAM15" s="55"/>
      <c r="IAN15" s="55"/>
      <c r="IAO15" s="55"/>
      <c r="IAP15" s="55"/>
      <c r="IAQ15" s="55"/>
      <c r="IAR15" s="55"/>
      <c r="IAS15" s="55"/>
      <c r="IAT15" s="55"/>
      <c r="IAU15" s="55"/>
      <c r="IAV15" s="55"/>
      <c r="IAW15" s="55"/>
      <c r="IAX15" s="55"/>
      <c r="IAY15" s="55"/>
      <c r="IAZ15" s="55"/>
      <c r="IBA15" s="55"/>
      <c r="IBB15" s="55"/>
      <c r="IBC15" s="55"/>
      <c r="IBD15" s="55"/>
      <c r="IBE15" s="55"/>
      <c r="IBF15" s="55"/>
      <c r="IBG15" s="55"/>
      <c r="IBH15" s="55"/>
      <c r="IBI15" s="55"/>
      <c r="IBJ15" s="55"/>
      <c r="IBK15" s="55"/>
      <c r="IBL15" s="55"/>
      <c r="IBM15" s="55"/>
      <c r="IBN15" s="55"/>
      <c r="IBO15" s="55"/>
      <c r="IBP15" s="55"/>
      <c r="IBQ15" s="55"/>
      <c r="IBR15" s="55"/>
      <c r="IBS15" s="55"/>
      <c r="IBT15" s="55"/>
      <c r="IBU15" s="55"/>
      <c r="IBV15" s="55"/>
      <c r="IBW15" s="55"/>
      <c r="IBX15" s="55"/>
      <c r="IBY15" s="55"/>
      <c r="IBZ15" s="55"/>
      <c r="ICA15" s="55"/>
      <c r="ICB15" s="55"/>
      <c r="ICC15" s="55"/>
      <c r="ICD15" s="55"/>
      <c r="ICE15" s="55"/>
      <c r="ICF15" s="55"/>
      <c r="ICG15" s="55"/>
      <c r="ICH15" s="55"/>
      <c r="ICI15" s="55"/>
      <c r="ICJ15" s="55"/>
      <c r="ICK15" s="55"/>
      <c r="ICL15" s="55"/>
      <c r="ICM15" s="55"/>
      <c r="ICN15" s="55"/>
      <c r="ICO15" s="55"/>
      <c r="ICP15" s="55"/>
      <c r="ICQ15" s="55"/>
      <c r="ICR15" s="55"/>
      <c r="ICS15" s="55"/>
      <c r="ICT15" s="55"/>
      <c r="ICU15" s="55"/>
      <c r="ICV15" s="55"/>
      <c r="ICW15" s="55"/>
      <c r="ICX15" s="55"/>
      <c r="ICY15" s="55"/>
      <c r="ICZ15" s="55"/>
      <c r="IDA15" s="55"/>
      <c r="IDB15" s="55"/>
      <c r="IDC15" s="55"/>
      <c r="IDD15" s="55"/>
      <c r="IDE15" s="55"/>
      <c r="IDF15" s="55"/>
      <c r="IDG15" s="55"/>
      <c r="IDH15" s="55"/>
      <c r="IDI15" s="55"/>
      <c r="IDJ15" s="55"/>
      <c r="IDK15" s="55"/>
      <c r="IDL15" s="55"/>
      <c r="IDM15" s="55"/>
      <c r="IDN15" s="55"/>
      <c r="IDO15" s="55"/>
      <c r="IDP15" s="55"/>
      <c r="IDQ15" s="55"/>
      <c r="IDR15" s="55"/>
      <c r="IDS15" s="55"/>
      <c r="IDT15" s="55"/>
      <c r="IDU15" s="55"/>
      <c r="IDV15" s="55"/>
      <c r="IDW15" s="55"/>
      <c r="IDX15" s="55"/>
      <c r="IDY15" s="55"/>
      <c r="IDZ15" s="55"/>
      <c r="IEA15" s="55"/>
      <c r="IEB15" s="55"/>
      <c r="IEC15" s="55"/>
      <c r="IED15" s="55"/>
      <c r="IEE15" s="55"/>
      <c r="IEF15" s="55"/>
      <c r="IEG15" s="55"/>
      <c r="IEH15" s="55"/>
      <c r="IEI15" s="55"/>
      <c r="IEJ15" s="55"/>
      <c r="IEK15" s="55"/>
      <c r="IEL15" s="55"/>
      <c r="IEM15" s="55"/>
      <c r="IEN15" s="55"/>
      <c r="IEO15" s="55"/>
      <c r="IEP15" s="55"/>
      <c r="IEQ15" s="55"/>
      <c r="IER15" s="55"/>
      <c r="IES15" s="55"/>
      <c r="IET15" s="55"/>
      <c r="IEU15" s="55"/>
      <c r="IEV15" s="55"/>
      <c r="IEW15" s="55"/>
      <c r="IEX15" s="55"/>
      <c r="IEY15" s="55"/>
      <c r="IEZ15" s="55"/>
      <c r="IFA15" s="55"/>
      <c r="IFB15" s="55"/>
      <c r="IFC15" s="55"/>
      <c r="IFD15" s="55"/>
      <c r="IFE15" s="55"/>
      <c r="IFF15" s="55"/>
      <c r="IFG15" s="55"/>
      <c r="IFH15" s="55"/>
      <c r="IFI15" s="55"/>
      <c r="IFJ15" s="55"/>
      <c r="IFK15" s="55"/>
      <c r="IFL15" s="55"/>
      <c r="IFM15" s="55"/>
      <c r="IFN15" s="55"/>
      <c r="IFO15" s="55"/>
      <c r="IFP15" s="55"/>
      <c r="IFQ15" s="55"/>
      <c r="IFR15" s="55"/>
      <c r="IFS15" s="55"/>
      <c r="IFT15" s="55"/>
      <c r="IFU15" s="55"/>
      <c r="IFV15" s="55"/>
      <c r="IFW15" s="55"/>
      <c r="IFX15" s="55"/>
      <c r="IFY15" s="55"/>
      <c r="IFZ15" s="55"/>
      <c r="IGA15" s="55"/>
      <c r="IGB15" s="55"/>
      <c r="IGC15" s="55"/>
      <c r="IGD15" s="55"/>
      <c r="IGE15" s="55"/>
      <c r="IGF15" s="55"/>
      <c r="IGG15" s="55"/>
      <c r="IGH15" s="55"/>
      <c r="IGI15" s="55"/>
      <c r="IGJ15" s="55"/>
      <c r="IGK15" s="55"/>
      <c r="IGL15" s="55"/>
      <c r="IGM15" s="55"/>
      <c r="IGN15" s="55"/>
      <c r="IGO15" s="55"/>
      <c r="IGP15" s="55"/>
      <c r="IGQ15" s="55"/>
      <c r="IGR15" s="55"/>
      <c r="IGS15" s="55"/>
      <c r="IGT15" s="55"/>
      <c r="IGU15" s="55"/>
      <c r="IGV15" s="55"/>
      <c r="IGW15" s="55"/>
      <c r="IGX15" s="55"/>
      <c r="IGY15" s="55"/>
      <c r="IGZ15" s="55"/>
      <c r="IHA15" s="55"/>
      <c r="IHB15" s="55"/>
      <c r="IHC15" s="55"/>
      <c r="IHD15" s="55"/>
      <c r="IHE15" s="55"/>
      <c r="IHF15" s="55"/>
      <c r="IHG15" s="55"/>
      <c r="IHH15" s="55"/>
      <c r="IHI15" s="55"/>
      <c r="IHJ15" s="55"/>
      <c r="IHK15" s="55"/>
      <c r="IHL15" s="55"/>
      <c r="IHM15" s="55"/>
      <c r="IHN15" s="55"/>
      <c r="IHO15" s="55"/>
      <c r="IHP15" s="55"/>
      <c r="IHQ15" s="55"/>
      <c r="IHR15" s="55"/>
      <c r="IHS15" s="55"/>
      <c r="IHT15" s="55"/>
      <c r="IHU15" s="55"/>
      <c r="IHV15" s="55"/>
      <c r="IHW15" s="55"/>
      <c r="IHX15" s="55"/>
      <c r="IHY15" s="55"/>
      <c r="IHZ15" s="55"/>
      <c r="IIA15" s="55"/>
      <c r="IIB15" s="55"/>
      <c r="IIC15" s="55"/>
      <c r="IID15" s="55"/>
      <c r="IIE15" s="55"/>
      <c r="IIF15" s="55"/>
      <c r="IIG15" s="55"/>
      <c r="IIH15" s="55"/>
      <c r="III15" s="55"/>
      <c r="IIJ15" s="55"/>
      <c r="IIK15" s="55"/>
      <c r="IIL15" s="55"/>
      <c r="IIM15" s="55"/>
      <c r="IIN15" s="55"/>
      <c r="IIO15" s="55"/>
      <c r="IIP15" s="55"/>
      <c r="IIQ15" s="55"/>
      <c r="IIR15" s="55"/>
      <c r="IIS15" s="55"/>
      <c r="IIT15" s="55"/>
      <c r="IIU15" s="55"/>
      <c r="IIV15" s="55"/>
      <c r="IIW15" s="55"/>
      <c r="IIX15" s="55"/>
      <c r="IIY15" s="55"/>
      <c r="IIZ15" s="55"/>
      <c r="IJA15" s="55"/>
      <c r="IJB15" s="55"/>
      <c r="IJC15" s="55"/>
      <c r="IJD15" s="55"/>
      <c r="IJE15" s="55"/>
      <c r="IJF15" s="55"/>
      <c r="IJG15" s="55"/>
      <c r="IJH15" s="55"/>
      <c r="IJI15" s="55"/>
      <c r="IJJ15" s="55"/>
      <c r="IJK15" s="55"/>
      <c r="IJL15" s="55"/>
      <c r="IJM15" s="55"/>
      <c r="IJN15" s="55"/>
      <c r="IJO15" s="55"/>
      <c r="IJP15" s="55"/>
      <c r="IJQ15" s="55"/>
      <c r="IJR15" s="55"/>
      <c r="IJS15" s="55"/>
      <c r="IJT15" s="55"/>
      <c r="IJU15" s="55"/>
      <c r="IJV15" s="55"/>
      <c r="IJW15" s="55"/>
      <c r="IJX15" s="55"/>
      <c r="IJY15" s="55"/>
      <c r="IJZ15" s="55"/>
      <c r="IKA15" s="55"/>
      <c r="IKB15" s="55"/>
      <c r="IKC15" s="55"/>
      <c r="IKD15" s="55"/>
      <c r="IKE15" s="55"/>
      <c r="IKF15" s="55"/>
      <c r="IKG15" s="55"/>
      <c r="IKH15" s="55"/>
      <c r="IKI15" s="55"/>
      <c r="IKJ15" s="55"/>
      <c r="IKK15" s="55"/>
      <c r="IKL15" s="55"/>
      <c r="IKM15" s="55"/>
      <c r="IKN15" s="55"/>
      <c r="IKO15" s="55"/>
      <c r="IKP15" s="55"/>
      <c r="IKQ15" s="55"/>
      <c r="IKR15" s="55"/>
      <c r="IKS15" s="55"/>
      <c r="IKT15" s="55"/>
      <c r="IKU15" s="55"/>
      <c r="IKV15" s="55"/>
      <c r="IKW15" s="55"/>
      <c r="IKX15" s="55"/>
      <c r="IKY15" s="55"/>
      <c r="IKZ15" s="55"/>
      <c r="ILA15" s="55"/>
      <c r="ILB15" s="55"/>
      <c r="ILC15" s="55"/>
      <c r="ILD15" s="55"/>
      <c r="ILE15" s="55"/>
      <c r="ILF15" s="55"/>
      <c r="ILG15" s="55"/>
      <c r="ILH15" s="55"/>
      <c r="ILI15" s="55"/>
      <c r="ILJ15" s="55"/>
      <c r="ILK15" s="55"/>
      <c r="ILL15" s="55"/>
      <c r="ILM15" s="55"/>
      <c r="ILN15" s="55"/>
      <c r="ILO15" s="55"/>
      <c r="ILP15" s="55"/>
      <c r="ILQ15" s="55"/>
      <c r="ILR15" s="55"/>
      <c r="ILS15" s="55"/>
      <c r="ILT15" s="55"/>
      <c r="ILU15" s="55"/>
      <c r="ILV15" s="55"/>
      <c r="ILW15" s="55"/>
      <c r="ILX15" s="55"/>
      <c r="ILY15" s="55"/>
      <c r="ILZ15" s="55"/>
      <c r="IMA15" s="55"/>
      <c r="IMB15" s="55"/>
      <c r="IMC15" s="55"/>
      <c r="IMD15" s="55"/>
      <c r="IME15" s="55"/>
      <c r="IMF15" s="55"/>
      <c r="IMG15" s="55"/>
      <c r="IMH15" s="55"/>
      <c r="IMI15" s="55"/>
      <c r="IMJ15" s="55"/>
      <c r="IMK15" s="55"/>
      <c r="IML15" s="55"/>
      <c r="IMM15" s="55"/>
      <c r="IMN15" s="55"/>
      <c r="IMO15" s="55"/>
      <c r="IMP15" s="55"/>
      <c r="IMQ15" s="55"/>
      <c r="IMR15" s="55"/>
      <c r="IMS15" s="55"/>
      <c r="IMT15" s="55"/>
      <c r="IMU15" s="55"/>
      <c r="IMV15" s="55"/>
      <c r="IMW15" s="55"/>
      <c r="IMX15" s="55"/>
      <c r="IMY15" s="55"/>
      <c r="IMZ15" s="55"/>
      <c r="INA15" s="55"/>
      <c r="INB15" s="55"/>
      <c r="INC15" s="55"/>
      <c r="IND15" s="55"/>
      <c r="INE15" s="55"/>
      <c r="INF15" s="55"/>
      <c r="ING15" s="55"/>
      <c r="INH15" s="55"/>
      <c r="INI15" s="55"/>
      <c r="INJ15" s="55"/>
      <c r="INK15" s="55"/>
      <c r="INL15" s="55"/>
      <c r="INM15" s="55"/>
      <c r="INN15" s="55"/>
      <c r="INO15" s="55"/>
      <c r="INP15" s="55"/>
      <c r="INQ15" s="55"/>
      <c r="INR15" s="55"/>
      <c r="INS15" s="55"/>
      <c r="INT15" s="55"/>
      <c r="INU15" s="55"/>
      <c r="INV15" s="55"/>
      <c r="INW15" s="55"/>
      <c r="INX15" s="55"/>
      <c r="INY15" s="55"/>
      <c r="INZ15" s="55"/>
      <c r="IOA15" s="55"/>
      <c r="IOB15" s="55"/>
      <c r="IOC15" s="55"/>
      <c r="IOD15" s="55"/>
      <c r="IOE15" s="55"/>
      <c r="IOF15" s="55"/>
      <c r="IOG15" s="55"/>
      <c r="IOH15" s="55"/>
      <c r="IOI15" s="55"/>
      <c r="IOJ15" s="55"/>
      <c r="IOK15" s="55"/>
      <c r="IOL15" s="55"/>
      <c r="IOM15" s="55"/>
      <c r="ION15" s="55"/>
      <c r="IOO15" s="55"/>
      <c r="IOP15" s="55"/>
      <c r="IOQ15" s="55"/>
      <c r="IOR15" s="55"/>
      <c r="IOS15" s="55"/>
      <c r="IOT15" s="55"/>
      <c r="IOU15" s="55"/>
      <c r="IOV15" s="55"/>
      <c r="IOW15" s="55"/>
      <c r="IOX15" s="55"/>
      <c r="IOY15" s="55"/>
      <c r="IOZ15" s="55"/>
      <c r="IPA15" s="55"/>
      <c r="IPB15" s="55"/>
      <c r="IPC15" s="55"/>
      <c r="IPD15" s="55"/>
      <c r="IPE15" s="55"/>
      <c r="IPF15" s="55"/>
      <c r="IPG15" s="55"/>
      <c r="IPH15" s="55"/>
      <c r="IPI15" s="55"/>
      <c r="IPJ15" s="55"/>
      <c r="IPK15" s="55"/>
      <c r="IPL15" s="55"/>
      <c r="IPM15" s="55"/>
      <c r="IPN15" s="55"/>
      <c r="IPO15" s="55"/>
      <c r="IPP15" s="55"/>
      <c r="IPQ15" s="55"/>
      <c r="IPR15" s="55"/>
      <c r="IPS15" s="55"/>
      <c r="IPT15" s="55"/>
      <c r="IPU15" s="55"/>
      <c r="IPV15" s="55"/>
      <c r="IPW15" s="55"/>
      <c r="IPX15" s="55"/>
      <c r="IPY15" s="55"/>
      <c r="IPZ15" s="55"/>
      <c r="IQA15" s="55"/>
      <c r="IQB15" s="55"/>
      <c r="IQC15" s="55"/>
      <c r="IQD15" s="55"/>
      <c r="IQE15" s="55"/>
      <c r="IQF15" s="55"/>
      <c r="IQG15" s="55"/>
      <c r="IQH15" s="55"/>
      <c r="IQI15" s="55"/>
      <c r="IQJ15" s="55"/>
      <c r="IQK15" s="55"/>
      <c r="IQL15" s="55"/>
      <c r="IQM15" s="55"/>
      <c r="IQN15" s="55"/>
      <c r="IQO15" s="55"/>
      <c r="IQP15" s="55"/>
      <c r="IQQ15" s="55"/>
      <c r="IQR15" s="55"/>
      <c r="IQS15" s="55"/>
      <c r="IQT15" s="55"/>
      <c r="IQU15" s="55"/>
      <c r="IQV15" s="55"/>
      <c r="IQW15" s="55"/>
      <c r="IQX15" s="55"/>
      <c r="IQY15" s="55"/>
      <c r="IQZ15" s="55"/>
      <c r="IRA15" s="55"/>
      <c r="IRB15" s="55"/>
      <c r="IRC15" s="55"/>
      <c r="IRD15" s="55"/>
      <c r="IRE15" s="55"/>
      <c r="IRF15" s="55"/>
      <c r="IRG15" s="55"/>
      <c r="IRH15" s="55"/>
      <c r="IRI15" s="55"/>
      <c r="IRJ15" s="55"/>
      <c r="IRK15" s="55"/>
      <c r="IRL15" s="55"/>
      <c r="IRM15" s="55"/>
      <c r="IRN15" s="55"/>
      <c r="IRO15" s="55"/>
      <c r="IRP15" s="55"/>
      <c r="IRQ15" s="55"/>
      <c r="IRR15" s="55"/>
      <c r="IRS15" s="55"/>
      <c r="IRT15" s="55"/>
      <c r="IRU15" s="55"/>
      <c r="IRV15" s="55"/>
      <c r="IRW15" s="55"/>
      <c r="IRX15" s="55"/>
      <c r="IRY15" s="55"/>
      <c r="IRZ15" s="55"/>
      <c r="ISA15" s="55"/>
      <c r="ISB15" s="55"/>
      <c r="ISC15" s="55"/>
      <c r="ISD15" s="55"/>
      <c r="ISE15" s="55"/>
      <c r="ISF15" s="55"/>
      <c r="ISG15" s="55"/>
      <c r="ISH15" s="55"/>
      <c r="ISI15" s="55"/>
      <c r="ISJ15" s="55"/>
      <c r="ISK15" s="55"/>
      <c r="ISL15" s="55"/>
      <c r="ISM15" s="55"/>
      <c r="ISN15" s="55"/>
      <c r="ISO15" s="55"/>
      <c r="ISP15" s="55"/>
      <c r="ISQ15" s="55"/>
      <c r="ISR15" s="55"/>
      <c r="ISS15" s="55"/>
      <c r="IST15" s="55"/>
      <c r="ISU15" s="55"/>
      <c r="ISV15" s="55"/>
      <c r="ISW15" s="55"/>
      <c r="ISX15" s="55"/>
      <c r="ISY15" s="55"/>
      <c r="ISZ15" s="55"/>
      <c r="ITA15" s="55"/>
      <c r="ITB15" s="55"/>
      <c r="ITC15" s="55"/>
      <c r="ITD15" s="55"/>
      <c r="ITE15" s="55"/>
      <c r="ITF15" s="55"/>
      <c r="ITG15" s="55"/>
      <c r="ITH15" s="55"/>
      <c r="ITI15" s="55"/>
      <c r="ITJ15" s="55"/>
      <c r="ITK15" s="55"/>
      <c r="ITL15" s="55"/>
      <c r="ITM15" s="55"/>
      <c r="ITN15" s="55"/>
      <c r="ITO15" s="55"/>
      <c r="ITP15" s="55"/>
      <c r="ITQ15" s="55"/>
      <c r="ITR15" s="55"/>
      <c r="ITS15" s="55"/>
      <c r="ITT15" s="55"/>
      <c r="ITU15" s="55"/>
      <c r="ITV15" s="55"/>
      <c r="ITW15" s="55"/>
      <c r="ITX15" s="55"/>
      <c r="ITY15" s="55"/>
      <c r="ITZ15" s="55"/>
      <c r="IUA15" s="55"/>
      <c r="IUB15" s="55"/>
      <c r="IUC15" s="55"/>
      <c r="IUD15" s="55"/>
      <c r="IUE15" s="55"/>
      <c r="IUF15" s="55"/>
      <c r="IUG15" s="55"/>
      <c r="IUH15" s="55"/>
      <c r="IUI15" s="55"/>
      <c r="IUJ15" s="55"/>
      <c r="IUK15" s="55"/>
      <c r="IUL15" s="55"/>
      <c r="IUM15" s="55"/>
      <c r="IUN15" s="55"/>
      <c r="IUO15" s="55"/>
      <c r="IUP15" s="55"/>
      <c r="IUQ15" s="55"/>
      <c r="IUR15" s="55"/>
      <c r="IUS15" s="55"/>
      <c r="IUT15" s="55"/>
      <c r="IUU15" s="55"/>
      <c r="IUV15" s="55"/>
      <c r="IUW15" s="55"/>
      <c r="IUX15" s="55"/>
      <c r="IUY15" s="55"/>
      <c r="IUZ15" s="55"/>
      <c r="IVA15" s="55"/>
      <c r="IVB15" s="55"/>
      <c r="IVC15" s="55"/>
      <c r="IVD15" s="55"/>
      <c r="IVE15" s="55"/>
      <c r="IVF15" s="55"/>
      <c r="IVG15" s="55"/>
      <c r="IVH15" s="55"/>
      <c r="IVI15" s="55"/>
      <c r="IVJ15" s="55"/>
      <c r="IVK15" s="55"/>
      <c r="IVL15" s="55"/>
      <c r="IVM15" s="55"/>
      <c r="IVN15" s="55"/>
      <c r="IVO15" s="55"/>
      <c r="IVP15" s="55"/>
      <c r="IVQ15" s="55"/>
      <c r="IVR15" s="55"/>
      <c r="IVS15" s="55"/>
      <c r="IVT15" s="55"/>
      <c r="IVU15" s="55"/>
      <c r="IVV15" s="55"/>
      <c r="IVW15" s="55"/>
      <c r="IVX15" s="55"/>
      <c r="IVY15" s="55"/>
      <c r="IVZ15" s="55"/>
      <c r="IWA15" s="55"/>
      <c r="IWB15" s="55"/>
      <c r="IWC15" s="55"/>
      <c r="IWD15" s="55"/>
      <c r="IWE15" s="55"/>
      <c r="IWF15" s="55"/>
      <c r="IWG15" s="55"/>
      <c r="IWH15" s="55"/>
      <c r="IWI15" s="55"/>
      <c r="IWJ15" s="55"/>
      <c r="IWK15" s="55"/>
      <c r="IWL15" s="55"/>
      <c r="IWM15" s="55"/>
      <c r="IWN15" s="55"/>
      <c r="IWO15" s="55"/>
      <c r="IWP15" s="55"/>
      <c r="IWQ15" s="55"/>
      <c r="IWR15" s="55"/>
      <c r="IWS15" s="55"/>
      <c r="IWT15" s="55"/>
      <c r="IWU15" s="55"/>
      <c r="IWV15" s="55"/>
      <c r="IWW15" s="55"/>
      <c r="IWX15" s="55"/>
      <c r="IWY15" s="55"/>
      <c r="IWZ15" s="55"/>
      <c r="IXA15" s="55"/>
      <c r="IXB15" s="55"/>
      <c r="IXC15" s="55"/>
      <c r="IXD15" s="55"/>
      <c r="IXE15" s="55"/>
      <c r="IXF15" s="55"/>
      <c r="IXG15" s="55"/>
      <c r="IXH15" s="55"/>
      <c r="IXI15" s="55"/>
      <c r="IXJ15" s="55"/>
      <c r="IXK15" s="55"/>
      <c r="IXL15" s="55"/>
      <c r="IXM15" s="55"/>
      <c r="IXN15" s="55"/>
      <c r="IXO15" s="55"/>
      <c r="IXP15" s="55"/>
      <c r="IXQ15" s="55"/>
      <c r="IXR15" s="55"/>
      <c r="IXS15" s="55"/>
      <c r="IXT15" s="55"/>
      <c r="IXU15" s="55"/>
      <c r="IXV15" s="55"/>
      <c r="IXW15" s="55"/>
      <c r="IXX15" s="55"/>
      <c r="IXY15" s="55"/>
      <c r="IXZ15" s="55"/>
      <c r="IYA15" s="55"/>
      <c r="IYB15" s="55"/>
      <c r="IYC15" s="55"/>
      <c r="IYD15" s="55"/>
      <c r="IYE15" s="55"/>
      <c r="IYF15" s="55"/>
      <c r="IYG15" s="55"/>
      <c r="IYH15" s="55"/>
      <c r="IYI15" s="55"/>
      <c r="IYJ15" s="55"/>
      <c r="IYK15" s="55"/>
      <c r="IYL15" s="55"/>
      <c r="IYM15" s="55"/>
      <c r="IYN15" s="55"/>
      <c r="IYO15" s="55"/>
      <c r="IYP15" s="55"/>
      <c r="IYQ15" s="55"/>
      <c r="IYR15" s="55"/>
      <c r="IYS15" s="55"/>
      <c r="IYT15" s="55"/>
      <c r="IYU15" s="55"/>
      <c r="IYV15" s="55"/>
      <c r="IYW15" s="55"/>
      <c r="IYX15" s="55"/>
      <c r="IYY15" s="55"/>
      <c r="IYZ15" s="55"/>
      <c r="IZA15" s="55"/>
      <c r="IZB15" s="55"/>
      <c r="IZC15" s="55"/>
      <c r="IZD15" s="55"/>
      <c r="IZE15" s="55"/>
      <c r="IZF15" s="55"/>
      <c r="IZG15" s="55"/>
      <c r="IZH15" s="55"/>
      <c r="IZI15" s="55"/>
      <c r="IZJ15" s="55"/>
      <c r="IZK15" s="55"/>
      <c r="IZL15" s="55"/>
      <c r="IZM15" s="55"/>
      <c r="IZN15" s="55"/>
      <c r="IZO15" s="55"/>
      <c r="IZP15" s="55"/>
      <c r="IZQ15" s="55"/>
      <c r="IZR15" s="55"/>
      <c r="IZS15" s="55"/>
      <c r="IZT15" s="55"/>
      <c r="IZU15" s="55"/>
      <c r="IZV15" s="55"/>
      <c r="IZW15" s="55"/>
      <c r="IZX15" s="55"/>
      <c r="IZY15" s="55"/>
      <c r="IZZ15" s="55"/>
      <c r="JAA15" s="55"/>
      <c r="JAB15" s="55"/>
      <c r="JAC15" s="55"/>
      <c r="JAD15" s="55"/>
      <c r="JAE15" s="55"/>
      <c r="JAF15" s="55"/>
      <c r="JAG15" s="55"/>
      <c r="JAH15" s="55"/>
      <c r="JAI15" s="55"/>
      <c r="JAJ15" s="55"/>
      <c r="JAK15" s="55"/>
      <c r="JAL15" s="55"/>
      <c r="JAM15" s="55"/>
      <c r="JAN15" s="55"/>
      <c r="JAO15" s="55"/>
      <c r="JAP15" s="55"/>
      <c r="JAQ15" s="55"/>
      <c r="JAR15" s="55"/>
      <c r="JAS15" s="55"/>
      <c r="JAT15" s="55"/>
      <c r="JAU15" s="55"/>
      <c r="JAV15" s="55"/>
      <c r="JAW15" s="55"/>
      <c r="JAX15" s="55"/>
      <c r="JAY15" s="55"/>
      <c r="JAZ15" s="55"/>
      <c r="JBA15" s="55"/>
      <c r="JBB15" s="55"/>
      <c r="JBC15" s="55"/>
      <c r="JBD15" s="55"/>
      <c r="JBE15" s="55"/>
      <c r="JBF15" s="55"/>
      <c r="JBG15" s="55"/>
      <c r="JBH15" s="55"/>
      <c r="JBI15" s="55"/>
      <c r="JBJ15" s="55"/>
      <c r="JBK15" s="55"/>
      <c r="JBL15" s="55"/>
      <c r="JBM15" s="55"/>
      <c r="JBN15" s="55"/>
      <c r="JBO15" s="55"/>
      <c r="JBP15" s="55"/>
      <c r="JBQ15" s="55"/>
      <c r="JBR15" s="55"/>
      <c r="JBS15" s="55"/>
      <c r="JBT15" s="55"/>
      <c r="JBU15" s="55"/>
      <c r="JBV15" s="55"/>
      <c r="JBW15" s="55"/>
      <c r="JBX15" s="55"/>
      <c r="JBY15" s="55"/>
      <c r="JBZ15" s="55"/>
      <c r="JCA15" s="55"/>
      <c r="JCB15" s="55"/>
      <c r="JCC15" s="55"/>
      <c r="JCD15" s="55"/>
      <c r="JCE15" s="55"/>
      <c r="JCF15" s="55"/>
      <c r="JCG15" s="55"/>
      <c r="JCH15" s="55"/>
      <c r="JCI15" s="55"/>
      <c r="JCJ15" s="55"/>
      <c r="JCK15" s="55"/>
      <c r="JCL15" s="55"/>
      <c r="JCM15" s="55"/>
      <c r="JCN15" s="55"/>
      <c r="JCO15" s="55"/>
      <c r="JCP15" s="55"/>
      <c r="JCQ15" s="55"/>
      <c r="JCR15" s="55"/>
      <c r="JCS15" s="55"/>
      <c r="JCT15" s="55"/>
      <c r="JCU15" s="55"/>
      <c r="JCV15" s="55"/>
      <c r="JCW15" s="55"/>
      <c r="JCX15" s="55"/>
      <c r="JCY15" s="55"/>
      <c r="JCZ15" s="55"/>
      <c r="JDA15" s="55"/>
      <c r="JDB15" s="55"/>
      <c r="JDC15" s="55"/>
      <c r="JDD15" s="55"/>
      <c r="JDE15" s="55"/>
      <c r="JDF15" s="55"/>
      <c r="JDG15" s="55"/>
      <c r="JDH15" s="55"/>
      <c r="JDI15" s="55"/>
      <c r="JDJ15" s="55"/>
      <c r="JDK15" s="55"/>
      <c r="JDL15" s="55"/>
      <c r="JDM15" s="55"/>
      <c r="JDN15" s="55"/>
      <c r="JDO15" s="55"/>
      <c r="JDP15" s="55"/>
      <c r="JDQ15" s="55"/>
      <c r="JDR15" s="55"/>
      <c r="JDS15" s="55"/>
      <c r="JDT15" s="55"/>
      <c r="JDU15" s="55"/>
      <c r="JDV15" s="55"/>
      <c r="JDW15" s="55"/>
      <c r="JDX15" s="55"/>
      <c r="JDY15" s="55"/>
      <c r="JDZ15" s="55"/>
      <c r="JEA15" s="55"/>
      <c r="JEB15" s="55"/>
      <c r="JEC15" s="55"/>
      <c r="JED15" s="55"/>
      <c r="JEE15" s="55"/>
      <c r="JEF15" s="55"/>
      <c r="JEG15" s="55"/>
      <c r="JEH15" s="55"/>
      <c r="JEI15" s="55"/>
      <c r="JEJ15" s="55"/>
      <c r="JEK15" s="55"/>
      <c r="JEL15" s="55"/>
      <c r="JEM15" s="55"/>
      <c r="JEN15" s="55"/>
      <c r="JEO15" s="55"/>
      <c r="JEP15" s="55"/>
      <c r="JEQ15" s="55"/>
      <c r="JER15" s="55"/>
      <c r="JES15" s="55"/>
      <c r="JET15" s="55"/>
      <c r="JEU15" s="55"/>
      <c r="JEV15" s="55"/>
      <c r="JEW15" s="55"/>
      <c r="JEX15" s="55"/>
      <c r="JEY15" s="55"/>
      <c r="JEZ15" s="55"/>
      <c r="JFA15" s="55"/>
      <c r="JFB15" s="55"/>
      <c r="JFC15" s="55"/>
      <c r="JFD15" s="55"/>
      <c r="JFE15" s="55"/>
      <c r="JFF15" s="55"/>
      <c r="JFG15" s="55"/>
      <c r="JFH15" s="55"/>
      <c r="JFI15" s="55"/>
      <c r="JFJ15" s="55"/>
      <c r="JFK15" s="55"/>
      <c r="JFL15" s="55"/>
      <c r="JFM15" s="55"/>
      <c r="JFN15" s="55"/>
      <c r="JFO15" s="55"/>
      <c r="JFP15" s="55"/>
      <c r="JFQ15" s="55"/>
      <c r="JFR15" s="55"/>
      <c r="JFS15" s="55"/>
      <c r="JFT15" s="55"/>
      <c r="JFU15" s="55"/>
      <c r="JFV15" s="55"/>
      <c r="JFW15" s="55"/>
      <c r="JFX15" s="55"/>
      <c r="JFY15" s="55"/>
      <c r="JFZ15" s="55"/>
      <c r="JGA15" s="55"/>
      <c r="JGB15" s="55"/>
      <c r="JGC15" s="55"/>
      <c r="JGD15" s="55"/>
      <c r="JGE15" s="55"/>
      <c r="JGF15" s="55"/>
      <c r="JGG15" s="55"/>
      <c r="JGH15" s="55"/>
      <c r="JGI15" s="55"/>
      <c r="JGJ15" s="55"/>
      <c r="JGK15" s="55"/>
      <c r="JGL15" s="55"/>
      <c r="JGM15" s="55"/>
      <c r="JGN15" s="55"/>
      <c r="JGO15" s="55"/>
      <c r="JGP15" s="55"/>
      <c r="JGQ15" s="55"/>
      <c r="JGR15" s="55"/>
      <c r="JGS15" s="55"/>
      <c r="JGT15" s="55"/>
      <c r="JGU15" s="55"/>
      <c r="JGV15" s="55"/>
      <c r="JGW15" s="55"/>
      <c r="JGX15" s="55"/>
      <c r="JGY15" s="55"/>
      <c r="JGZ15" s="55"/>
      <c r="JHA15" s="55"/>
      <c r="JHB15" s="55"/>
      <c r="JHC15" s="55"/>
      <c r="JHD15" s="55"/>
      <c r="JHE15" s="55"/>
      <c r="JHF15" s="55"/>
      <c r="JHG15" s="55"/>
      <c r="JHH15" s="55"/>
      <c r="JHI15" s="55"/>
      <c r="JHJ15" s="55"/>
      <c r="JHK15" s="55"/>
      <c r="JHL15" s="55"/>
      <c r="JHM15" s="55"/>
      <c r="JHN15" s="55"/>
      <c r="JHO15" s="55"/>
      <c r="JHP15" s="55"/>
      <c r="JHQ15" s="55"/>
      <c r="JHR15" s="55"/>
      <c r="JHS15" s="55"/>
      <c r="JHT15" s="55"/>
      <c r="JHU15" s="55"/>
      <c r="JHV15" s="55"/>
      <c r="JHW15" s="55"/>
      <c r="JHX15" s="55"/>
      <c r="JHY15" s="55"/>
      <c r="JHZ15" s="55"/>
      <c r="JIA15" s="55"/>
      <c r="JIB15" s="55"/>
      <c r="JIC15" s="55"/>
      <c r="JID15" s="55"/>
      <c r="JIE15" s="55"/>
      <c r="JIF15" s="55"/>
      <c r="JIG15" s="55"/>
      <c r="JIH15" s="55"/>
      <c r="JII15" s="55"/>
      <c r="JIJ15" s="55"/>
      <c r="JIK15" s="55"/>
      <c r="JIL15" s="55"/>
      <c r="JIM15" s="55"/>
      <c r="JIN15" s="55"/>
      <c r="JIO15" s="55"/>
      <c r="JIP15" s="55"/>
      <c r="JIQ15" s="55"/>
      <c r="JIR15" s="55"/>
      <c r="JIS15" s="55"/>
      <c r="JIT15" s="55"/>
      <c r="JIU15" s="55"/>
      <c r="JIV15" s="55"/>
      <c r="JIW15" s="55"/>
      <c r="JIX15" s="55"/>
      <c r="JIY15" s="55"/>
      <c r="JIZ15" s="55"/>
      <c r="JJA15" s="55"/>
      <c r="JJB15" s="55"/>
      <c r="JJC15" s="55"/>
      <c r="JJD15" s="55"/>
      <c r="JJE15" s="55"/>
      <c r="JJF15" s="55"/>
      <c r="JJG15" s="55"/>
      <c r="JJH15" s="55"/>
      <c r="JJI15" s="55"/>
      <c r="JJJ15" s="55"/>
      <c r="JJK15" s="55"/>
      <c r="JJL15" s="55"/>
      <c r="JJM15" s="55"/>
      <c r="JJN15" s="55"/>
      <c r="JJO15" s="55"/>
      <c r="JJP15" s="55"/>
      <c r="JJQ15" s="55"/>
      <c r="JJR15" s="55"/>
      <c r="JJS15" s="55"/>
      <c r="JJT15" s="55"/>
      <c r="JJU15" s="55"/>
      <c r="JJV15" s="55"/>
      <c r="JJW15" s="55"/>
      <c r="JJX15" s="55"/>
      <c r="JJY15" s="55"/>
      <c r="JJZ15" s="55"/>
      <c r="JKA15" s="55"/>
      <c r="JKB15" s="55"/>
      <c r="JKC15" s="55"/>
      <c r="JKD15" s="55"/>
      <c r="JKE15" s="55"/>
      <c r="JKF15" s="55"/>
      <c r="JKG15" s="55"/>
      <c r="JKH15" s="55"/>
      <c r="JKI15" s="55"/>
      <c r="JKJ15" s="55"/>
      <c r="JKK15" s="55"/>
      <c r="JKL15" s="55"/>
      <c r="JKM15" s="55"/>
      <c r="JKN15" s="55"/>
      <c r="JKO15" s="55"/>
      <c r="JKP15" s="55"/>
      <c r="JKQ15" s="55"/>
      <c r="JKR15" s="55"/>
      <c r="JKS15" s="55"/>
      <c r="JKT15" s="55"/>
      <c r="JKU15" s="55"/>
      <c r="JKV15" s="55"/>
      <c r="JKW15" s="55"/>
      <c r="JKX15" s="55"/>
      <c r="JKY15" s="55"/>
      <c r="JKZ15" s="55"/>
      <c r="JLA15" s="55"/>
      <c r="JLB15" s="55"/>
      <c r="JLC15" s="55"/>
      <c r="JLD15" s="55"/>
      <c r="JLE15" s="55"/>
      <c r="JLF15" s="55"/>
      <c r="JLG15" s="55"/>
      <c r="JLH15" s="55"/>
      <c r="JLI15" s="55"/>
      <c r="JLJ15" s="55"/>
      <c r="JLK15" s="55"/>
      <c r="JLL15" s="55"/>
      <c r="JLM15" s="55"/>
      <c r="JLN15" s="55"/>
      <c r="JLO15" s="55"/>
      <c r="JLP15" s="55"/>
      <c r="JLQ15" s="55"/>
      <c r="JLR15" s="55"/>
      <c r="JLS15" s="55"/>
      <c r="JLT15" s="55"/>
      <c r="JLU15" s="55"/>
      <c r="JLV15" s="55"/>
      <c r="JLW15" s="55"/>
      <c r="JLX15" s="55"/>
      <c r="JLY15" s="55"/>
      <c r="JLZ15" s="55"/>
      <c r="JMA15" s="55"/>
      <c r="JMB15" s="55"/>
      <c r="JMC15" s="55"/>
      <c r="JMD15" s="55"/>
      <c r="JME15" s="55"/>
      <c r="JMF15" s="55"/>
      <c r="JMG15" s="55"/>
      <c r="JMH15" s="55"/>
      <c r="JMI15" s="55"/>
      <c r="JMJ15" s="55"/>
      <c r="JMK15" s="55"/>
      <c r="JML15" s="55"/>
      <c r="JMM15" s="55"/>
      <c r="JMN15" s="55"/>
      <c r="JMO15" s="55"/>
      <c r="JMP15" s="55"/>
      <c r="JMQ15" s="55"/>
      <c r="JMR15" s="55"/>
      <c r="JMS15" s="55"/>
      <c r="JMT15" s="55"/>
      <c r="JMU15" s="55"/>
      <c r="JMV15" s="55"/>
      <c r="JMW15" s="55"/>
      <c r="JMX15" s="55"/>
      <c r="JMY15" s="55"/>
      <c r="JMZ15" s="55"/>
      <c r="JNA15" s="55"/>
      <c r="JNB15" s="55"/>
      <c r="JNC15" s="55"/>
      <c r="JND15" s="55"/>
      <c r="JNE15" s="55"/>
      <c r="JNF15" s="55"/>
      <c r="JNG15" s="55"/>
      <c r="JNH15" s="55"/>
      <c r="JNI15" s="55"/>
      <c r="JNJ15" s="55"/>
      <c r="JNK15" s="55"/>
      <c r="JNL15" s="55"/>
      <c r="JNM15" s="55"/>
      <c r="JNN15" s="55"/>
      <c r="JNO15" s="55"/>
      <c r="JNP15" s="55"/>
      <c r="JNQ15" s="55"/>
      <c r="JNR15" s="55"/>
      <c r="JNS15" s="55"/>
      <c r="JNT15" s="55"/>
      <c r="JNU15" s="55"/>
      <c r="JNV15" s="55"/>
      <c r="JNW15" s="55"/>
      <c r="JNX15" s="55"/>
      <c r="JNY15" s="55"/>
      <c r="JNZ15" s="55"/>
      <c r="JOA15" s="55"/>
      <c r="JOB15" s="55"/>
      <c r="JOC15" s="55"/>
      <c r="JOD15" s="55"/>
      <c r="JOE15" s="55"/>
      <c r="JOF15" s="55"/>
      <c r="JOG15" s="55"/>
      <c r="JOH15" s="55"/>
      <c r="JOI15" s="55"/>
      <c r="JOJ15" s="55"/>
      <c r="JOK15" s="55"/>
      <c r="JOL15" s="55"/>
      <c r="JOM15" s="55"/>
      <c r="JON15" s="55"/>
      <c r="JOO15" s="55"/>
      <c r="JOP15" s="55"/>
      <c r="JOQ15" s="55"/>
      <c r="JOR15" s="55"/>
      <c r="JOS15" s="55"/>
      <c r="JOT15" s="55"/>
      <c r="JOU15" s="55"/>
      <c r="JOV15" s="55"/>
      <c r="JOW15" s="55"/>
      <c r="JOX15" s="55"/>
      <c r="JOY15" s="55"/>
      <c r="JOZ15" s="55"/>
      <c r="JPA15" s="55"/>
      <c r="JPB15" s="55"/>
      <c r="JPC15" s="55"/>
      <c r="JPD15" s="55"/>
      <c r="JPE15" s="55"/>
      <c r="JPF15" s="55"/>
      <c r="JPG15" s="55"/>
      <c r="JPH15" s="55"/>
      <c r="JPI15" s="55"/>
      <c r="JPJ15" s="55"/>
      <c r="JPK15" s="55"/>
      <c r="JPL15" s="55"/>
      <c r="JPM15" s="55"/>
      <c r="JPN15" s="55"/>
      <c r="JPO15" s="55"/>
      <c r="JPP15" s="55"/>
      <c r="JPQ15" s="55"/>
      <c r="JPR15" s="55"/>
      <c r="JPS15" s="55"/>
      <c r="JPT15" s="55"/>
      <c r="JPU15" s="55"/>
      <c r="JPV15" s="55"/>
      <c r="JPW15" s="55"/>
      <c r="JPX15" s="55"/>
      <c r="JPY15" s="55"/>
      <c r="JPZ15" s="55"/>
      <c r="JQA15" s="55"/>
      <c r="JQB15" s="55"/>
      <c r="JQC15" s="55"/>
      <c r="JQD15" s="55"/>
      <c r="JQE15" s="55"/>
      <c r="JQF15" s="55"/>
      <c r="JQG15" s="55"/>
      <c r="JQH15" s="55"/>
      <c r="JQI15" s="55"/>
      <c r="JQJ15" s="55"/>
      <c r="JQK15" s="55"/>
      <c r="JQL15" s="55"/>
      <c r="JQM15" s="55"/>
      <c r="JQN15" s="55"/>
      <c r="JQO15" s="55"/>
      <c r="JQP15" s="55"/>
      <c r="JQQ15" s="55"/>
      <c r="JQR15" s="55"/>
      <c r="JQS15" s="55"/>
      <c r="JQT15" s="55"/>
      <c r="JQU15" s="55"/>
      <c r="JQV15" s="55"/>
      <c r="JQW15" s="55"/>
      <c r="JQX15" s="55"/>
      <c r="JQY15" s="55"/>
      <c r="JQZ15" s="55"/>
      <c r="JRA15" s="55"/>
      <c r="JRB15" s="55"/>
      <c r="JRC15" s="55"/>
      <c r="JRD15" s="55"/>
      <c r="JRE15" s="55"/>
      <c r="JRF15" s="55"/>
      <c r="JRG15" s="55"/>
      <c r="JRH15" s="55"/>
      <c r="JRI15" s="55"/>
      <c r="JRJ15" s="55"/>
      <c r="JRK15" s="55"/>
      <c r="JRL15" s="55"/>
      <c r="JRM15" s="55"/>
      <c r="JRN15" s="55"/>
      <c r="JRO15" s="55"/>
      <c r="JRP15" s="55"/>
      <c r="JRQ15" s="55"/>
      <c r="JRR15" s="55"/>
      <c r="JRS15" s="55"/>
      <c r="JRT15" s="55"/>
      <c r="JRU15" s="55"/>
      <c r="JRV15" s="55"/>
      <c r="JRW15" s="55"/>
      <c r="JRX15" s="55"/>
      <c r="JRY15" s="55"/>
      <c r="JRZ15" s="55"/>
      <c r="JSA15" s="55"/>
      <c r="JSB15" s="55"/>
      <c r="JSC15" s="55"/>
      <c r="JSD15" s="55"/>
      <c r="JSE15" s="55"/>
      <c r="JSF15" s="55"/>
      <c r="JSG15" s="55"/>
      <c r="JSH15" s="55"/>
      <c r="JSI15" s="55"/>
      <c r="JSJ15" s="55"/>
      <c r="JSK15" s="55"/>
      <c r="JSL15" s="55"/>
      <c r="JSM15" s="55"/>
      <c r="JSN15" s="55"/>
      <c r="JSO15" s="55"/>
      <c r="JSP15" s="55"/>
      <c r="JSQ15" s="55"/>
      <c r="JSR15" s="55"/>
      <c r="JSS15" s="55"/>
      <c r="JST15" s="55"/>
      <c r="JSU15" s="55"/>
      <c r="JSV15" s="55"/>
      <c r="JSW15" s="55"/>
      <c r="JSX15" s="55"/>
      <c r="JSY15" s="55"/>
      <c r="JSZ15" s="55"/>
      <c r="JTA15" s="55"/>
      <c r="JTB15" s="55"/>
      <c r="JTC15" s="55"/>
      <c r="JTD15" s="55"/>
      <c r="JTE15" s="55"/>
      <c r="JTF15" s="55"/>
      <c r="JTG15" s="55"/>
      <c r="JTH15" s="55"/>
      <c r="JTI15" s="55"/>
      <c r="JTJ15" s="55"/>
      <c r="JTK15" s="55"/>
      <c r="JTL15" s="55"/>
      <c r="JTM15" s="55"/>
      <c r="JTN15" s="55"/>
      <c r="JTO15" s="55"/>
      <c r="JTP15" s="55"/>
      <c r="JTQ15" s="55"/>
      <c r="JTR15" s="55"/>
      <c r="JTS15" s="55"/>
      <c r="JTT15" s="55"/>
      <c r="JTU15" s="55"/>
      <c r="JTV15" s="55"/>
      <c r="JTW15" s="55"/>
      <c r="JTX15" s="55"/>
      <c r="JTY15" s="55"/>
      <c r="JTZ15" s="55"/>
      <c r="JUA15" s="55"/>
      <c r="JUB15" s="55"/>
      <c r="JUC15" s="55"/>
      <c r="JUD15" s="55"/>
      <c r="JUE15" s="55"/>
      <c r="JUF15" s="55"/>
      <c r="JUG15" s="55"/>
      <c r="JUH15" s="55"/>
      <c r="JUI15" s="55"/>
      <c r="JUJ15" s="55"/>
      <c r="JUK15" s="55"/>
      <c r="JUL15" s="55"/>
      <c r="JUM15" s="55"/>
      <c r="JUN15" s="55"/>
      <c r="JUO15" s="55"/>
      <c r="JUP15" s="55"/>
      <c r="JUQ15" s="55"/>
      <c r="JUR15" s="55"/>
      <c r="JUS15" s="55"/>
      <c r="JUT15" s="55"/>
      <c r="JUU15" s="55"/>
      <c r="JUV15" s="55"/>
      <c r="JUW15" s="55"/>
      <c r="JUX15" s="55"/>
      <c r="JUY15" s="55"/>
      <c r="JUZ15" s="55"/>
      <c r="JVA15" s="55"/>
      <c r="JVB15" s="55"/>
      <c r="JVC15" s="55"/>
      <c r="JVD15" s="55"/>
      <c r="JVE15" s="55"/>
      <c r="JVF15" s="55"/>
      <c r="JVG15" s="55"/>
      <c r="JVH15" s="55"/>
      <c r="JVI15" s="55"/>
      <c r="JVJ15" s="55"/>
      <c r="JVK15" s="55"/>
      <c r="JVL15" s="55"/>
      <c r="JVM15" s="55"/>
      <c r="JVN15" s="55"/>
      <c r="JVO15" s="55"/>
      <c r="JVP15" s="55"/>
      <c r="JVQ15" s="55"/>
      <c r="JVR15" s="55"/>
      <c r="JVS15" s="55"/>
      <c r="JVT15" s="55"/>
      <c r="JVU15" s="55"/>
      <c r="JVV15" s="55"/>
      <c r="JVW15" s="55"/>
      <c r="JVX15" s="55"/>
      <c r="JVY15" s="55"/>
      <c r="JVZ15" s="55"/>
      <c r="JWA15" s="55"/>
      <c r="JWB15" s="55"/>
      <c r="JWC15" s="55"/>
      <c r="JWD15" s="55"/>
      <c r="JWE15" s="55"/>
      <c r="JWF15" s="55"/>
      <c r="JWG15" s="55"/>
      <c r="JWH15" s="55"/>
      <c r="JWI15" s="55"/>
      <c r="JWJ15" s="55"/>
      <c r="JWK15" s="55"/>
      <c r="JWL15" s="55"/>
      <c r="JWM15" s="55"/>
      <c r="JWN15" s="55"/>
      <c r="JWO15" s="55"/>
      <c r="JWP15" s="55"/>
      <c r="JWQ15" s="55"/>
      <c r="JWR15" s="55"/>
      <c r="JWS15" s="55"/>
      <c r="JWT15" s="55"/>
      <c r="JWU15" s="55"/>
      <c r="JWV15" s="55"/>
      <c r="JWW15" s="55"/>
      <c r="JWX15" s="55"/>
      <c r="JWY15" s="55"/>
      <c r="JWZ15" s="55"/>
      <c r="JXA15" s="55"/>
      <c r="JXB15" s="55"/>
      <c r="JXC15" s="55"/>
      <c r="JXD15" s="55"/>
      <c r="JXE15" s="55"/>
      <c r="JXF15" s="55"/>
      <c r="JXG15" s="55"/>
      <c r="JXH15" s="55"/>
      <c r="JXI15" s="55"/>
      <c r="JXJ15" s="55"/>
      <c r="JXK15" s="55"/>
      <c r="JXL15" s="55"/>
      <c r="JXM15" s="55"/>
      <c r="JXN15" s="55"/>
      <c r="JXO15" s="55"/>
      <c r="JXP15" s="55"/>
      <c r="JXQ15" s="55"/>
      <c r="JXR15" s="55"/>
      <c r="JXS15" s="55"/>
      <c r="JXT15" s="55"/>
      <c r="JXU15" s="55"/>
      <c r="JXV15" s="55"/>
      <c r="JXW15" s="55"/>
      <c r="JXX15" s="55"/>
      <c r="JXY15" s="55"/>
      <c r="JXZ15" s="55"/>
      <c r="JYA15" s="55"/>
      <c r="JYB15" s="55"/>
      <c r="JYC15" s="55"/>
      <c r="JYD15" s="55"/>
      <c r="JYE15" s="55"/>
      <c r="JYF15" s="55"/>
      <c r="JYG15" s="55"/>
      <c r="JYH15" s="55"/>
      <c r="JYI15" s="55"/>
      <c r="JYJ15" s="55"/>
      <c r="JYK15" s="55"/>
      <c r="JYL15" s="55"/>
      <c r="JYM15" s="55"/>
      <c r="JYN15" s="55"/>
      <c r="JYO15" s="55"/>
      <c r="JYP15" s="55"/>
      <c r="JYQ15" s="55"/>
      <c r="JYR15" s="55"/>
      <c r="JYS15" s="55"/>
      <c r="JYT15" s="55"/>
      <c r="JYU15" s="55"/>
      <c r="JYV15" s="55"/>
      <c r="JYW15" s="55"/>
      <c r="JYX15" s="55"/>
      <c r="JYY15" s="55"/>
      <c r="JYZ15" s="55"/>
      <c r="JZA15" s="55"/>
      <c r="JZB15" s="55"/>
      <c r="JZC15" s="55"/>
      <c r="JZD15" s="55"/>
      <c r="JZE15" s="55"/>
      <c r="JZF15" s="55"/>
      <c r="JZG15" s="55"/>
      <c r="JZH15" s="55"/>
      <c r="JZI15" s="55"/>
      <c r="JZJ15" s="55"/>
      <c r="JZK15" s="55"/>
      <c r="JZL15" s="55"/>
      <c r="JZM15" s="55"/>
      <c r="JZN15" s="55"/>
      <c r="JZO15" s="55"/>
      <c r="JZP15" s="55"/>
      <c r="JZQ15" s="55"/>
      <c r="JZR15" s="55"/>
      <c r="JZS15" s="55"/>
      <c r="JZT15" s="55"/>
      <c r="JZU15" s="55"/>
      <c r="JZV15" s="55"/>
      <c r="JZW15" s="55"/>
      <c r="JZX15" s="55"/>
      <c r="JZY15" s="55"/>
      <c r="JZZ15" s="55"/>
      <c r="KAA15" s="55"/>
      <c r="KAB15" s="55"/>
      <c r="KAC15" s="55"/>
      <c r="KAD15" s="55"/>
      <c r="KAE15" s="55"/>
      <c r="KAF15" s="55"/>
      <c r="KAG15" s="55"/>
      <c r="KAH15" s="55"/>
      <c r="KAI15" s="55"/>
      <c r="KAJ15" s="55"/>
      <c r="KAK15" s="55"/>
      <c r="KAL15" s="55"/>
      <c r="KAM15" s="55"/>
      <c r="KAN15" s="55"/>
      <c r="KAO15" s="55"/>
      <c r="KAP15" s="55"/>
      <c r="KAQ15" s="55"/>
      <c r="KAR15" s="55"/>
      <c r="KAS15" s="55"/>
      <c r="KAT15" s="55"/>
      <c r="KAU15" s="55"/>
      <c r="KAV15" s="55"/>
      <c r="KAW15" s="55"/>
      <c r="KAX15" s="55"/>
      <c r="KAY15" s="55"/>
      <c r="KAZ15" s="55"/>
      <c r="KBA15" s="55"/>
      <c r="KBB15" s="55"/>
      <c r="KBC15" s="55"/>
      <c r="KBD15" s="55"/>
      <c r="KBE15" s="55"/>
      <c r="KBF15" s="55"/>
      <c r="KBG15" s="55"/>
      <c r="KBH15" s="55"/>
      <c r="KBI15" s="55"/>
      <c r="KBJ15" s="55"/>
      <c r="KBK15" s="55"/>
      <c r="KBL15" s="55"/>
      <c r="KBM15" s="55"/>
      <c r="KBN15" s="55"/>
      <c r="KBO15" s="55"/>
      <c r="KBP15" s="55"/>
      <c r="KBQ15" s="55"/>
      <c r="KBR15" s="55"/>
      <c r="KBS15" s="55"/>
      <c r="KBT15" s="55"/>
      <c r="KBU15" s="55"/>
      <c r="KBV15" s="55"/>
      <c r="KBW15" s="55"/>
      <c r="KBX15" s="55"/>
      <c r="KBY15" s="55"/>
      <c r="KBZ15" s="55"/>
      <c r="KCA15" s="55"/>
      <c r="KCB15" s="55"/>
      <c r="KCC15" s="55"/>
      <c r="KCD15" s="55"/>
      <c r="KCE15" s="55"/>
      <c r="KCF15" s="55"/>
      <c r="KCG15" s="55"/>
      <c r="KCH15" s="55"/>
      <c r="KCI15" s="55"/>
      <c r="KCJ15" s="55"/>
      <c r="KCK15" s="55"/>
      <c r="KCL15" s="55"/>
      <c r="KCM15" s="55"/>
      <c r="KCN15" s="55"/>
      <c r="KCO15" s="55"/>
      <c r="KCP15" s="55"/>
      <c r="KCQ15" s="55"/>
      <c r="KCR15" s="55"/>
      <c r="KCS15" s="55"/>
      <c r="KCT15" s="55"/>
      <c r="KCU15" s="55"/>
      <c r="KCV15" s="55"/>
      <c r="KCW15" s="55"/>
      <c r="KCX15" s="55"/>
      <c r="KCY15" s="55"/>
      <c r="KCZ15" s="55"/>
      <c r="KDA15" s="55"/>
      <c r="KDB15" s="55"/>
      <c r="KDC15" s="55"/>
      <c r="KDD15" s="55"/>
      <c r="KDE15" s="55"/>
      <c r="KDF15" s="55"/>
      <c r="KDG15" s="55"/>
      <c r="KDH15" s="55"/>
      <c r="KDI15" s="55"/>
      <c r="KDJ15" s="55"/>
      <c r="KDK15" s="55"/>
      <c r="KDL15" s="55"/>
      <c r="KDM15" s="55"/>
      <c r="KDN15" s="55"/>
      <c r="KDO15" s="55"/>
      <c r="KDP15" s="55"/>
      <c r="KDQ15" s="55"/>
      <c r="KDR15" s="55"/>
      <c r="KDS15" s="55"/>
      <c r="KDT15" s="55"/>
      <c r="KDU15" s="55"/>
      <c r="KDV15" s="55"/>
      <c r="KDW15" s="55"/>
      <c r="KDX15" s="55"/>
      <c r="KDY15" s="55"/>
      <c r="KDZ15" s="55"/>
      <c r="KEA15" s="55"/>
      <c r="KEB15" s="55"/>
      <c r="KEC15" s="55"/>
      <c r="KED15" s="55"/>
      <c r="KEE15" s="55"/>
      <c r="KEF15" s="55"/>
      <c r="KEG15" s="55"/>
      <c r="KEH15" s="55"/>
      <c r="KEI15" s="55"/>
      <c r="KEJ15" s="55"/>
      <c r="KEK15" s="55"/>
      <c r="KEL15" s="55"/>
      <c r="KEM15" s="55"/>
      <c r="KEN15" s="55"/>
      <c r="KEO15" s="55"/>
      <c r="KEP15" s="55"/>
      <c r="KEQ15" s="55"/>
      <c r="KER15" s="55"/>
      <c r="KES15" s="55"/>
      <c r="KET15" s="55"/>
      <c r="KEU15" s="55"/>
      <c r="KEV15" s="55"/>
      <c r="KEW15" s="55"/>
      <c r="KEX15" s="55"/>
      <c r="KEY15" s="55"/>
      <c r="KEZ15" s="55"/>
      <c r="KFA15" s="55"/>
      <c r="KFB15" s="55"/>
      <c r="KFC15" s="55"/>
      <c r="KFD15" s="55"/>
      <c r="KFE15" s="55"/>
      <c r="KFF15" s="55"/>
      <c r="KFG15" s="55"/>
      <c r="KFH15" s="55"/>
      <c r="KFI15" s="55"/>
      <c r="KFJ15" s="55"/>
      <c r="KFK15" s="55"/>
      <c r="KFL15" s="55"/>
      <c r="KFM15" s="55"/>
      <c r="KFN15" s="55"/>
      <c r="KFO15" s="55"/>
      <c r="KFP15" s="55"/>
      <c r="KFQ15" s="55"/>
      <c r="KFR15" s="55"/>
      <c r="KFS15" s="55"/>
      <c r="KFT15" s="55"/>
      <c r="KFU15" s="55"/>
      <c r="KFV15" s="55"/>
      <c r="KFW15" s="55"/>
      <c r="KFX15" s="55"/>
      <c r="KFY15" s="55"/>
      <c r="KFZ15" s="55"/>
      <c r="KGA15" s="55"/>
      <c r="KGB15" s="55"/>
      <c r="KGC15" s="55"/>
      <c r="KGD15" s="55"/>
      <c r="KGE15" s="55"/>
      <c r="KGF15" s="55"/>
      <c r="KGG15" s="55"/>
      <c r="KGH15" s="55"/>
      <c r="KGI15" s="55"/>
      <c r="KGJ15" s="55"/>
      <c r="KGK15" s="55"/>
      <c r="KGL15" s="55"/>
      <c r="KGM15" s="55"/>
      <c r="KGN15" s="55"/>
      <c r="KGO15" s="55"/>
      <c r="KGP15" s="55"/>
      <c r="KGQ15" s="55"/>
      <c r="KGR15" s="55"/>
      <c r="KGS15" s="55"/>
      <c r="KGT15" s="55"/>
      <c r="KGU15" s="55"/>
      <c r="KGV15" s="55"/>
      <c r="KGW15" s="55"/>
      <c r="KGX15" s="55"/>
      <c r="KGY15" s="55"/>
      <c r="KGZ15" s="55"/>
      <c r="KHA15" s="55"/>
      <c r="KHB15" s="55"/>
      <c r="KHC15" s="55"/>
      <c r="KHD15" s="55"/>
      <c r="KHE15" s="55"/>
      <c r="KHF15" s="55"/>
      <c r="KHG15" s="55"/>
      <c r="KHH15" s="55"/>
      <c r="KHI15" s="55"/>
      <c r="KHJ15" s="55"/>
      <c r="KHK15" s="55"/>
      <c r="KHL15" s="55"/>
      <c r="KHM15" s="55"/>
      <c r="KHN15" s="55"/>
      <c r="KHO15" s="55"/>
      <c r="KHP15" s="55"/>
      <c r="KHQ15" s="55"/>
      <c r="KHR15" s="55"/>
      <c r="KHS15" s="55"/>
      <c r="KHT15" s="55"/>
      <c r="KHU15" s="55"/>
      <c r="KHV15" s="55"/>
      <c r="KHW15" s="55"/>
      <c r="KHX15" s="55"/>
      <c r="KHY15" s="55"/>
      <c r="KHZ15" s="55"/>
      <c r="KIA15" s="55"/>
      <c r="KIB15" s="55"/>
      <c r="KIC15" s="55"/>
      <c r="KID15" s="55"/>
      <c r="KIE15" s="55"/>
      <c r="KIF15" s="55"/>
      <c r="KIG15" s="55"/>
      <c r="KIH15" s="55"/>
      <c r="KII15" s="55"/>
      <c r="KIJ15" s="55"/>
      <c r="KIK15" s="55"/>
      <c r="KIL15" s="55"/>
      <c r="KIM15" s="55"/>
      <c r="KIN15" s="55"/>
      <c r="KIO15" s="55"/>
      <c r="KIP15" s="55"/>
      <c r="KIQ15" s="55"/>
      <c r="KIR15" s="55"/>
      <c r="KIS15" s="55"/>
      <c r="KIT15" s="55"/>
      <c r="KIU15" s="55"/>
      <c r="KIV15" s="55"/>
      <c r="KIW15" s="55"/>
      <c r="KIX15" s="55"/>
      <c r="KIY15" s="55"/>
      <c r="KIZ15" s="55"/>
      <c r="KJA15" s="55"/>
      <c r="KJB15" s="55"/>
      <c r="KJC15" s="55"/>
      <c r="KJD15" s="55"/>
      <c r="KJE15" s="55"/>
      <c r="KJF15" s="55"/>
      <c r="KJG15" s="55"/>
      <c r="KJH15" s="55"/>
      <c r="KJI15" s="55"/>
      <c r="KJJ15" s="55"/>
      <c r="KJK15" s="55"/>
      <c r="KJL15" s="55"/>
      <c r="KJM15" s="55"/>
      <c r="KJN15" s="55"/>
      <c r="KJO15" s="55"/>
      <c r="KJP15" s="55"/>
      <c r="KJQ15" s="55"/>
      <c r="KJR15" s="55"/>
      <c r="KJS15" s="55"/>
      <c r="KJT15" s="55"/>
      <c r="KJU15" s="55"/>
      <c r="KJV15" s="55"/>
      <c r="KJW15" s="55"/>
      <c r="KJX15" s="55"/>
      <c r="KJY15" s="55"/>
      <c r="KJZ15" s="55"/>
      <c r="KKA15" s="55"/>
      <c r="KKB15" s="55"/>
      <c r="KKC15" s="55"/>
      <c r="KKD15" s="55"/>
      <c r="KKE15" s="55"/>
      <c r="KKF15" s="55"/>
      <c r="KKG15" s="55"/>
      <c r="KKH15" s="55"/>
      <c r="KKI15" s="55"/>
      <c r="KKJ15" s="55"/>
      <c r="KKK15" s="55"/>
      <c r="KKL15" s="55"/>
      <c r="KKM15" s="55"/>
      <c r="KKN15" s="55"/>
      <c r="KKO15" s="55"/>
      <c r="KKP15" s="55"/>
      <c r="KKQ15" s="55"/>
      <c r="KKR15" s="55"/>
      <c r="KKS15" s="55"/>
      <c r="KKT15" s="55"/>
      <c r="KKU15" s="55"/>
      <c r="KKV15" s="55"/>
      <c r="KKW15" s="55"/>
      <c r="KKX15" s="55"/>
      <c r="KKY15" s="55"/>
      <c r="KKZ15" s="55"/>
      <c r="KLA15" s="55"/>
      <c r="KLB15" s="55"/>
      <c r="KLC15" s="55"/>
      <c r="KLD15" s="55"/>
      <c r="KLE15" s="55"/>
      <c r="KLF15" s="55"/>
      <c r="KLG15" s="55"/>
      <c r="KLH15" s="55"/>
      <c r="KLI15" s="55"/>
      <c r="KLJ15" s="55"/>
      <c r="KLK15" s="55"/>
      <c r="KLL15" s="55"/>
      <c r="KLM15" s="55"/>
      <c r="KLN15" s="55"/>
      <c r="KLO15" s="55"/>
      <c r="KLP15" s="55"/>
      <c r="KLQ15" s="55"/>
      <c r="KLR15" s="55"/>
      <c r="KLS15" s="55"/>
      <c r="KLT15" s="55"/>
      <c r="KLU15" s="55"/>
      <c r="KLV15" s="55"/>
      <c r="KLW15" s="55"/>
      <c r="KLX15" s="55"/>
      <c r="KLY15" s="55"/>
      <c r="KLZ15" s="55"/>
      <c r="KMA15" s="55"/>
      <c r="KMB15" s="55"/>
      <c r="KMC15" s="55"/>
      <c r="KMD15" s="55"/>
      <c r="KME15" s="55"/>
      <c r="KMF15" s="55"/>
      <c r="KMG15" s="55"/>
      <c r="KMH15" s="55"/>
      <c r="KMI15" s="55"/>
      <c r="KMJ15" s="55"/>
      <c r="KMK15" s="55"/>
      <c r="KML15" s="55"/>
      <c r="KMM15" s="55"/>
      <c r="KMN15" s="55"/>
      <c r="KMO15" s="55"/>
      <c r="KMP15" s="55"/>
      <c r="KMQ15" s="55"/>
      <c r="KMR15" s="55"/>
      <c r="KMS15" s="55"/>
      <c r="KMT15" s="55"/>
      <c r="KMU15" s="55"/>
      <c r="KMV15" s="55"/>
      <c r="KMW15" s="55"/>
      <c r="KMX15" s="55"/>
      <c r="KMY15" s="55"/>
      <c r="KMZ15" s="55"/>
      <c r="KNA15" s="55"/>
      <c r="KNB15" s="55"/>
      <c r="KNC15" s="55"/>
      <c r="KND15" s="55"/>
      <c r="KNE15" s="55"/>
      <c r="KNF15" s="55"/>
      <c r="KNG15" s="55"/>
      <c r="KNH15" s="55"/>
      <c r="KNI15" s="55"/>
      <c r="KNJ15" s="55"/>
      <c r="KNK15" s="55"/>
      <c r="KNL15" s="55"/>
      <c r="KNM15" s="55"/>
      <c r="KNN15" s="55"/>
      <c r="KNO15" s="55"/>
      <c r="KNP15" s="55"/>
      <c r="KNQ15" s="55"/>
      <c r="KNR15" s="55"/>
      <c r="KNS15" s="55"/>
      <c r="KNT15" s="55"/>
      <c r="KNU15" s="55"/>
      <c r="KNV15" s="55"/>
      <c r="KNW15" s="55"/>
      <c r="KNX15" s="55"/>
      <c r="KNY15" s="55"/>
      <c r="KNZ15" s="55"/>
      <c r="KOA15" s="55"/>
      <c r="KOB15" s="55"/>
      <c r="KOC15" s="55"/>
      <c r="KOD15" s="55"/>
      <c r="KOE15" s="55"/>
      <c r="KOF15" s="55"/>
      <c r="KOG15" s="55"/>
      <c r="KOH15" s="55"/>
      <c r="KOI15" s="55"/>
      <c r="KOJ15" s="55"/>
      <c r="KOK15" s="55"/>
      <c r="KOL15" s="55"/>
      <c r="KOM15" s="55"/>
      <c r="KON15" s="55"/>
      <c r="KOO15" s="55"/>
      <c r="KOP15" s="55"/>
      <c r="KOQ15" s="55"/>
      <c r="KOR15" s="55"/>
      <c r="KOS15" s="55"/>
      <c r="KOT15" s="55"/>
      <c r="KOU15" s="55"/>
      <c r="KOV15" s="55"/>
      <c r="KOW15" s="55"/>
      <c r="KOX15" s="55"/>
      <c r="KOY15" s="55"/>
      <c r="KOZ15" s="55"/>
      <c r="KPA15" s="55"/>
      <c r="KPB15" s="55"/>
      <c r="KPC15" s="55"/>
      <c r="KPD15" s="55"/>
      <c r="KPE15" s="55"/>
      <c r="KPF15" s="55"/>
      <c r="KPG15" s="55"/>
      <c r="KPH15" s="55"/>
      <c r="KPI15" s="55"/>
      <c r="KPJ15" s="55"/>
      <c r="KPK15" s="55"/>
      <c r="KPL15" s="55"/>
      <c r="KPM15" s="55"/>
      <c r="KPN15" s="55"/>
      <c r="KPO15" s="55"/>
      <c r="KPP15" s="55"/>
      <c r="KPQ15" s="55"/>
      <c r="KPR15" s="55"/>
      <c r="KPS15" s="55"/>
      <c r="KPT15" s="55"/>
      <c r="KPU15" s="55"/>
      <c r="KPV15" s="55"/>
      <c r="KPW15" s="55"/>
      <c r="KPX15" s="55"/>
      <c r="KPY15" s="55"/>
      <c r="KPZ15" s="55"/>
      <c r="KQA15" s="55"/>
      <c r="KQB15" s="55"/>
      <c r="KQC15" s="55"/>
      <c r="KQD15" s="55"/>
      <c r="KQE15" s="55"/>
      <c r="KQF15" s="55"/>
      <c r="KQG15" s="55"/>
      <c r="KQH15" s="55"/>
      <c r="KQI15" s="55"/>
      <c r="KQJ15" s="55"/>
      <c r="KQK15" s="55"/>
      <c r="KQL15" s="55"/>
      <c r="KQM15" s="55"/>
      <c r="KQN15" s="55"/>
      <c r="KQO15" s="55"/>
      <c r="KQP15" s="55"/>
      <c r="KQQ15" s="55"/>
      <c r="KQR15" s="55"/>
      <c r="KQS15" s="55"/>
      <c r="KQT15" s="55"/>
      <c r="KQU15" s="55"/>
      <c r="KQV15" s="55"/>
      <c r="KQW15" s="55"/>
      <c r="KQX15" s="55"/>
      <c r="KQY15" s="55"/>
      <c r="KQZ15" s="55"/>
      <c r="KRA15" s="55"/>
      <c r="KRB15" s="55"/>
      <c r="KRC15" s="55"/>
      <c r="KRD15" s="55"/>
      <c r="KRE15" s="55"/>
      <c r="KRF15" s="55"/>
      <c r="KRG15" s="55"/>
      <c r="KRH15" s="55"/>
      <c r="KRI15" s="55"/>
      <c r="KRJ15" s="55"/>
      <c r="KRK15" s="55"/>
      <c r="KRL15" s="55"/>
      <c r="KRM15" s="55"/>
      <c r="KRN15" s="55"/>
      <c r="KRO15" s="55"/>
      <c r="KRP15" s="55"/>
      <c r="KRQ15" s="55"/>
      <c r="KRR15" s="55"/>
      <c r="KRS15" s="55"/>
      <c r="KRT15" s="55"/>
      <c r="KRU15" s="55"/>
      <c r="KRV15" s="55"/>
      <c r="KRW15" s="55"/>
      <c r="KRX15" s="55"/>
      <c r="KRY15" s="55"/>
      <c r="KRZ15" s="55"/>
      <c r="KSA15" s="55"/>
      <c r="KSB15" s="55"/>
      <c r="KSC15" s="55"/>
      <c r="KSD15" s="55"/>
      <c r="KSE15" s="55"/>
      <c r="KSF15" s="55"/>
      <c r="KSG15" s="55"/>
      <c r="KSH15" s="55"/>
      <c r="KSI15" s="55"/>
      <c r="KSJ15" s="55"/>
      <c r="KSK15" s="55"/>
      <c r="KSL15" s="55"/>
      <c r="KSM15" s="55"/>
      <c r="KSN15" s="55"/>
      <c r="KSO15" s="55"/>
      <c r="KSP15" s="55"/>
      <c r="KSQ15" s="55"/>
      <c r="KSR15" s="55"/>
      <c r="KSS15" s="55"/>
      <c r="KST15" s="55"/>
      <c r="KSU15" s="55"/>
      <c r="KSV15" s="55"/>
      <c r="KSW15" s="55"/>
      <c r="KSX15" s="55"/>
      <c r="KSY15" s="55"/>
      <c r="KSZ15" s="55"/>
      <c r="KTA15" s="55"/>
      <c r="KTB15" s="55"/>
      <c r="KTC15" s="55"/>
      <c r="KTD15" s="55"/>
      <c r="KTE15" s="55"/>
      <c r="KTF15" s="55"/>
      <c r="KTG15" s="55"/>
      <c r="KTH15" s="55"/>
      <c r="KTI15" s="55"/>
      <c r="KTJ15" s="55"/>
      <c r="KTK15" s="55"/>
      <c r="KTL15" s="55"/>
      <c r="KTM15" s="55"/>
      <c r="KTN15" s="55"/>
      <c r="KTO15" s="55"/>
      <c r="KTP15" s="55"/>
      <c r="KTQ15" s="55"/>
      <c r="KTR15" s="55"/>
      <c r="KTS15" s="55"/>
      <c r="KTT15" s="55"/>
      <c r="KTU15" s="55"/>
      <c r="KTV15" s="55"/>
      <c r="KTW15" s="55"/>
      <c r="KTX15" s="55"/>
      <c r="KTY15" s="55"/>
      <c r="KTZ15" s="55"/>
      <c r="KUA15" s="55"/>
      <c r="KUB15" s="55"/>
      <c r="KUC15" s="55"/>
      <c r="KUD15" s="55"/>
      <c r="KUE15" s="55"/>
      <c r="KUF15" s="55"/>
      <c r="KUG15" s="55"/>
      <c r="KUH15" s="55"/>
      <c r="KUI15" s="55"/>
      <c r="KUJ15" s="55"/>
      <c r="KUK15" s="55"/>
      <c r="KUL15" s="55"/>
      <c r="KUM15" s="55"/>
      <c r="KUN15" s="55"/>
      <c r="KUO15" s="55"/>
      <c r="KUP15" s="55"/>
      <c r="KUQ15" s="55"/>
      <c r="KUR15" s="55"/>
      <c r="KUS15" s="55"/>
      <c r="KUT15" s="55"/>
      <c r="KUU15" s="55"/>
      <c r="KUV15" s="55"/>
      <c r="KUW15" s="55"/>
      <c r="KUX15" s="55"/>
      <c r="KUY15" s="55"/>
      <c r="KUZ15" s="55"/>
      <c r="KVA15" s="55"/>
      <c r="KVB15" s="55"/>
      <c r="KVC15" s="55"/>
      <c r="KVD15" s="55"/>
      <c r="KVE15" s="55"/>
      <c r="KVF15" s="55"/>
      <c r="KVG15" s="55"/>
      <c r="KVH15" s="55"/>
      <c r="KVI15" s="55"/>
      <c r="KVJ15" s="55"/>
      <c r="KVK15" s="55"/>
      <c r="KVL15" s="55"/>
      <c r="KVM15" s="55"/>
      <c r="KVN15" s="55"/>
      <c r="KVO15" s="55"/>
      <c r="KVP15" s="55"/>
      <c r="KVQ15" s="55"/>
      <c r="KVR15" s="55"/>
      <c r="KVS15" s="55"/>
      <c r="KVT15" s="55"/>
      <c r="KVU15" s="55"/>
      <c r="KVV15" s="55"/>
      <c r="KVW15" s="55"/>
      <c r="KVX15" s="55"/>
      <c r="KVY15" s="55"/>
      <c r="KVZ15" s="55"/>
      <c r="KWA15" s="55"/>
      <c r="KWB15" s="55"/>
      <c r="KWC15" s="55"/>
      <c r="KWD15" s="55"/>
      <c r="KWE15" s="55"/>
      <c r="KWF15" s="55"/>
      <c r="KWG15" s="55"/>
      <c r="KWH15" s="55"/>
      <c r="KWI15" s="55"/>
      <c r="KWJ15" s="55"/>
      <c r="KWK15" s="55"/>
      <c r="KWL15" s="55"/>
      <c r="KWM15" s="55"/>
      <c r="KWN15" s="55"/>
      <c r="KWO15" s="55"/>
      <c r="KWP15" s="55"/>
      <c r="KWQ15" s="55"/>
      <c r="KWR15" s="55"/>
      <c r="KWS15" s="55"/>
      <c r="KWT15" s="55"/>
      <c r="KWU15" s="55"/>
      <c r="KWV15" s="55"/>
      <c r="KWW15" s="55"/>
      <c r="KWX15" s="55"/>
      <c r="KWY15" s="55"/>
      <c r="KWZ15" s="55"/>
      <c r="KXA15" s="55"/>
      <c r="KXB15" s="55"/>
      <c r="KXC15" s="55"/>
      <c r="KXD15" s="55"/>
      <c r="KXE15" s="55"/>
      <c r="KXF15" s="55"/>
      <c r="KXG15" s="55"/>
      <c r="KXH15" s="55"/>
      <c r="KXI15" s="55"/>
      <c r="KXJ15" s="55"/>
      <c r="KXK15" s="55"/>
      <c r="KXL15" s="55"/>
      <c r="KXM15" s="55"/>
      <c r="KXN15" s="55"/>
      <c r="KXO15" s="55"/>
      <c r="KXP15" s="55"/>
      <c r="KXQ15" s="55"/>
      <c r="KXR15" s="55"/>
      <c r="KXS15" s="55"/>
      <c r="KXT15" s="55"/>
      <c r="KXU15" s="55"/>
      <c r="KXV15" s="55"/>
      <c r="KXW15" s="55"/>
      <c r="KXX15" s="55"/>
      <c r="KXY15" s="55"/>
      <c r="KXZ15" s="55"/>
      <c r="KYA15" s="55"/>
      <c r="KYB15" s="55"/>
      <c r="KYC15" s="55"/>
      <c r="KYD15" s="55"/>
      <c r="KYE15" s="55"/>
      <c r="KYF15" s="55"/>
      <c r="KYG15" s="55"/>
      <c r="KYH15" s="55"/>
      <c r="KYI15" s="55"/>
      <c r="KYJ15" s="55"/>
      <c r="KYK15" s="55"/>
      <c r="KYL15" s="55"/>
      <c r="KYM15" s="55"/>
      <c r="KYN15" s="55"/>
      <c r="KYO15" s="55"/>
      <c r="KYP15" s="55"/>
      <c r="KYQ15" s="55"/>
      <c r="KYR15" s="55"/>
      <c r="KYS15" s="55"/>
      <c r="KYT15" s="55"/>
      <c r="KYU15" s="55"/>
      <c r="KYV15" s="55"/>
      <c r="KYW15" s="55"/>
      <c r="KYX15" s="55"/>
      <c r="KYY15" s="55"/>
      <c r="KYZ15" s="55"/>
      <c r="KZA15" s="55"/>
      <c r="KZB15" s="55"/>
      <c r="KZC15" s="55"/>
      <c r="KZD15" s="55"/>
      <c r="KZE15" s="55"/>
      <c r="KZF15" s="55"/>
      <c r="KZG15" s="55"/>
      <c r="KZH15" s="55"/>
      <c r="KZI15" s="55"/>
      <c r="KZJ15" s="55"/>
      <c r="KZK15" s="55"/>
      <c r="KZL15" s="55"/>
      <c r="KZM15" s="55"/>
      <c r="KZN15" s="55"/>
      <c r="KZO15" s="55"/>
      <c r="KZP15" s="55"/>
      <c r="KZQ15" s="55"/>
      <c r="KZR15" s="55"/>
      <c r="KZS15" s="55"/>
      <c r="KZT15" s="55"/>
      <c r="KZU15" s="55"/>
      <c r="KZV15" s="55"/>
      <c r="KZW15" s="55"/>
      <c r="KZX15" s="55"/>
      <c r="KZY15" s="55"/>
      <c r="KZZ15" s="55"/>
      <c r="LAA15" s="55"/>
      <c r="LAB15" s="55"/>
      <c r="LAC15" s="55"/>
      <c r="LAD15" s="55"/>
      <c r="LAE15" s="55"/>
      <c r="LAF15" s="55"/>
      <c r="LAG15" s="55"/>
      <c r="LAH15" s="55"/>
      <c r="LAI15" s="55"/>
      <c r="LAJ15" s="55"/>
      <c r="LAK15" s="55"/>
      <c r="LAL15" s="55"/>
      <c r="LAM15" s="55"/>
      <c r="LAN15" s="55"/>
      <c r="LAO15" s="55"/>
      <c r="LAP15" s="55"/>
      <c r="LAQ15" s="55"/>
      <c r="LAR15" s="55"/>
      <c r="LAS15" s="55"/>
      <c r="LAT15" s="55"/>
      <c r="LAU15" s="55"/>
      <c r="LAV15" s="55"/>
      <c r="LAW15" s="55"/>
      <c r="LAX15" s="55"/>
      <c r="LAY15" s="55"/>
      <c r="LAZ15" s="55"/>
      <c r="LBA15" s="55"/>
      <c r="LBB15" s="55"/>
      <c r="LBC15" s="55"/>
      <c r="LBD15" s="55"/>
      <c r="LBE15" s="55"/>
      <c r="LBF15" s="55"/>
      <c r="LBG15" s="55"/>
      <c r="LBH15" s="55"/>
      <c r="LBI15" s="55"/>
      <c r="LBJ15" s="55"/>
      <c r="LBK15" s="55"/>
      <c r="LBL15" s="55"/>
      <c r="LBM15" s="55"/>
      <c r="LBN15" s="55"/>
      <c r="LBO15" s="55"/>
      <c r="LBP15" s="55"/>
      <c r="LBQ15" s="55"/>
      <c r="LBR15" s="55"/>
      <c r="LBS15" s="55"/>
      <c r="LBT15" s="55"/>
      <c r="LBU15" s="55"/>
      <c r="LBV15" s="55"/>
      <c r="LBW15" s="55"/>
      <c r="LBX15" s="55"/>
      <c r="LBY15" s="55"/>
      <c r="LBZ15" s="55"/>
      <c r="LCA15" s="55"/>
      <c r="LCB15" s="55"/>
      <c r="LCC15" s="55"/>
      <c r="LCD15" s="55"/>
      <c r="LCE15" s="55"/>
      <c r="LCF15" s="55"/>
      <c r="LCG15" s="55"/>
      <c r="LCH15" s="55"/>
      <c r="LCI15" s="55"/>
      <c r="LCJ15" s="55"/>
      <c r="LCK15" s="55"/>
      <c r="LCL15" s="55"/>
      <c r="LCM15" s="55"/>
      <c r="LCN15" s="55"/>
      <c r="LCO15" s="55"/>
      <c r="LCP15" s="55"/>
      <c r="LCQ15" s="55"/>
      <c r="LCR15" s="55"/>
      <c r="LCS15" s="55"/>
      <c r="LCT15" s="55"/>
      <c r="LCU15" s="55"/>
      <c r="LCV15" s="55"/>
      <c r="LCW15" s="55"/>
      <c r="LCX15" s="55"/>
      <c r="LCY15" s="55"/>
      <c r="LCZ15" s="55"/>
      <c r="LDA15" s="55"/>
      <c r="LDB15" s="55"/>
      <c r="LDC15" s="55"/>
      <c r="LDD15" s="55"/>
      <c r="LDE15" s="55"/>
      <c r="LDF15" s="55"/>
      <c r="LDG15" s="55"/>
      <c r="LDH15" s="55"/>
      <c r="LDI15" s="55"/>
      <c r="LDJ15" s="55"/>
      <c r="LDK15" s="55"/>
      <c r="LDL15" s="55"/>
      <c r="LDM15" s="55"/>
      <c r="LDN15" s="55"/>
      <c r="LDO15" s="55"/>
      <c r="LDP15" s="55"/>
      <c r="LDQ15" s="55"/>
      <c r="LDR15" s="55"/>
      <c r="LDS15" s="55"/>
      <c r="LDT15" s="55"/>
      <c r="LDU15" s="55"/>
      <c r="LDV15" s="55"/>
      <c r="LDW15" s="55"/>
      <c r="LDX15" s="55"/>
      <c r="LDY15" s="55"/>
      <c r="LDZ15" s="55"/>
      <c r="LEA15" s="55"/>
      <c r="LEB15" s="55"/>
      <c r="LEC15" s="55"/>
      <c r="LED15" s="55"/>
      <c r="LEE15" s="55"/>
      <c r="LEF15" s="55"/>
      <c r="LEG15" s="55"/>
      <c r="LEH15" s="55"/>
      <c r="LEI15" s="55"/>
      <c r="LEJ15" s="55"/>
      <c r="LEK15" s="55"/>
      <c r="LEL15" s="55"/>
      <c r="LEM15" s="55"/>
      <c r="LEN15" s="55"/>
      <c r="LEO15" s="55"/>
      <c r="LEP15" s="55"/>
      <c r="LEQ15" s="55"/>
      <c r="LER15" s="55"/>
      <c r="LES15" s="55"/>
      <c r="LET15" s="55"/>
      <c r="LEU15" s="55"/>
      <c r="LEV15" s="55"/>
      <c r="LEW15" s="55"/>
      <c r="LEX15" s="55"/>
      <c r="LEY15" s="55"/>
      <c r="LEZ15" s="55"/>
      <c r="LFA15" s="55"/>
      <c r="LFB15" s="55"/>
      <c r="LFC15" s="55"/>
      <c r="LFD15" s="55"/>
      <c r="LFE15" s="55"/>
      <c r="LFF15" s="55"/>
      <c r="LFG15" s="55"/>
      <c r="LFH15" s="55"/>
      <c r="LFI15" s="55"/>
      <c r="LFJ15" s="55"/>
      <c r="LFK15" s="55"/>
      <c r="LFL15" s="55"/>
      <c r="LFM15" s="55"/>
      <c r="LFN15" s="55"/>
      <c r="LFO15" s="55"/>
      <c r="LFP15" s="55"/>
      <c r="LFQ15" s="55"/>
      <c r="LFR15" s="55"/>
      <c r="LFS15" s="55"/>
      <c r="LFT15" s="55"/>
      <c r="LFU15" s="55"/>
      <c r="LFV15" s="55"/>
      <c r="LFW15" s="55"/>
      <c r="LFX15" s="55"/>
      <c r="LFY15" s="55"/>
      <c r="LFZ15" s="55"/>
      <c r="LGA15" s="55"/>
      <c r="LGB15" s="55"/>
      <c r="LGC15" s="55"/>
      <c r="LGD15" s="55"/>
      <c r="LGE15" s="55"/>
      <c r="LGF15" s="55"/>
      <c r="LGG15" s="55"/>
      <c r="LGH15" s="55"/>
      <c r="LGI15" s="55"/>
      <c r="LGJ15" s="55"/>
      <c r="LGK15" s="55"/>
      <c r="LGL15" s="55"/>
      <c r="LGM15" s="55"/>
      <c r="LGN15" s="55"/>
      <c r="LGO15" s="55"/>
      <c r="LGP15" s="55"/>
      <c r="LGQ15" s="55"/>
      <c r="LGR15" s="55"/>
      <c r="LGS15" s="55"/>
      <c r="LGT15" s="55"/>
      <c r="LGU15" s="55"/>
      <c r="LGV15" s="55"/>
      <c r="LGW15" s="55"/>
      <c r="LGX15" s="55"/>
      <c r="LGY15" s="55"/>
      <c r="LGZ15" s="55"/>
      <c r="LHA15" s="55"/>
      <c r="LHB15" s="55"/>
      <c r="LHC15" s="55"/>
      <c r="LHD15" s="55"/>
      <c r="LHE15" s="55"/>
      <c r="LHF15" s="55"/>
      <c r="LHG15" s="55"/>
      <c r="LHH15" s="55"/>
      <c r="LHI15" s="55"/>
      <c r="LHJ15" s="55"/>
      <c r="LHK15" s="55"/>
      <c r="LHL15" s="55"/>
      <c r="LHM15" s="55"/>
      <c r="LHN15" s="55"/>
      <c r="LHO15" s="55"/>
      <c r="LHP15" s="55"/>
      <c r="LHQ15" s="55"/>
      <c r="LHR15" s="55"/>
      <c r="LHS15" s="55"/>
      <c r="LHT15" s="55"/>
      <c r="LHU15" s="55"/>
      <c r="LHV15" s="55"/>
      <c r="LHW15" s="55"/>
      <c r="LHX15" s="55"/>
      <c r="LHY15" s="55"/>
      <c r="LHZ15" s="55"/>
      <c r="LIA15" s="55"/>
      <c r="LIB15" s="55"/>
      <c r="LIC15" s="55"/>
      <c r="LID15" s="55"/>
      <c r="LIE15" s="55"/>
      <c r="LIF15" s="55"/>
      <c r="LIG15" s="55"/>
      <c r="LIH15" s="55"/>
      <c r="LII15" s="55"/>
      <c r="LIJ15" s="55"/>
      <c r="LIK15" s="55"/>
      <c r="LIL15" s="55"/>
      <c r="LIM15" s="55"/>
      <c r="LIN15" s="55"/>
      <c r="LIO15" s="55"/>
      <c r="LIP15" s="55"/>
      <c r="LIQ15" s="55"/>
      <c r="LIR15" s="55"/>
      <c r="LIS15" s="55"/>
      <c r="LIT15" s="55"/>
      <c r="LIU15" s="55"/>
      <c r="LIV15" s="55"/>
      <c r="LIW15" s="55"/>
      <c r="LIX15" s="55"/>
      <c r="LIY15" s="55"/>
      <c r="LIZ15" s="55"/>
      <c r="LJA15" s="55"/>
      <c r="LJB15" s="55"/>
      <c r="LJC15" s="55"/>
      <c r="LJD15" s="55"/>
      <c r="LJE15" s="55"/>
      <c r="LJF15" s="55"/>
      <c r="LJG15" s="55"/>
      <c r="LJH15" s="55"/>
      <c r="LJI15" s="55"/>
      <c r="LJJ15" s="55"/>
      <c r="LJK15" s="55"/>
      <c r="LJL15" s="55"/>
      <c r="LJM15" s="55"/>
      <c r="LJN15" s="55"/>
      <c r="LJO15" s="55"/>
      <c r="LJP15" s="55"/>
      <c r="LJQ15" s="55"/>
      <c r="LJR15" s="55"/>
      <c r="LJS15" s="55"/>
      <c r="LJT15" s="55"/>
      <c r="LJU15" s="55"/>
      <c r="LJV15" s="55"/>
      <c r="LJW15" s="55"/>
      <c r="LJX15" s="55"/>
      <c r="LJY15" s="55"/>
      <c r="LJZ15" s="55"/>
      <c r="LKA15" s="55"/>
      <c r="LKB15" s="55"/>
      <c r="LKC15" s="55"/>
      <c r="LKD15" s="55"/>
      <c r="LKE15" s="55"/>
      <c r="LKF15" s="55"/>
      <c r="LKG15" s="55"/>
      <c r="LKH15" s="55"/>
      <c r="LKI15" s="55"/>
      <c r="LKJ15" s="55"/>
      <c r="LKK15" s="55"/>
      <c r="LKL15" s="55"/>
      <c r="LKM15" s="55"/>
      <c r="LKN15" s="55"/>
      <c r="LKO15" s="55"/>
      <c r="LKP15" s="55"/>
      <c r="LKQ15" s="55"/>
      <c r="LKR15" s="55"/>
      <c r="LKS15" s="55"/>
      <c r="LKT15" s="55"/>
      <c r="LKU15" s="55"/>
      <c r="LKV15" s="55"/>
      <c r="LKW15" s="55"/>
      <c r="LKX15" s="55"/>
      <c r="LKY15" s="55"/>
      <c r="LKZ15" s="55"/>
      <c r="LLA15" s="55"/>
      <c r="LLB15" s="55"/>
      <c r="LLC15" s="55"/>
      <c r="LLD15" s="55"/>
      <c r="LLE15" s="55"/>
      <c r="LLF15" s="55"/>
      <c r="LLG15" s="55"/>
      <c r="LLH15" s="55"/>
      <c r="LLI15" s="55"/>
      <c r="LLJ15" s="55"/>
      <c r="LLK15" s="55"/>
      <c r="LLL15" s="55"/>
      <c r="LLM15" s="55"/>
      <c r="LLN15" s="55"/>
      <c r="LLO15" s="55"/>
      <c r="LLP15" s="55"/>
      <c r="LLQ15" s="55"/>
      <c r="LLR15" s="55"/>
      <c r="LLS15" s="55"/>
      <c r="LLT15" s="55"/>
      <c r="LLU15" s="55"/>
      <c r="LLV15" s="55"/>
      <c r="LLW15" s="55"/>
      <c r="LLX15" s="55"/>
      <c r="LLY15" s="55"/>
      <c r="LLZ15" s="55"/>
      <c r="LMA15" s="55"/>
      <c r="LMB15" s="55"/>
      <c r="LMC15" s="55"/>
      <c r="LMD15" s="55"/>
      <c r="LME15" s="55"/>
      <c r="LMF15" s="55"/>
      <c r="LMG15" s="55"/>
      <c r="LMH15" s="55"/>
      <c r="LMI15" s="55"/>
      <c r="LMJ15" s="55"/>
      <c r="LMK15" s="55"/>
      <c r="LML15" s="55"/>
      <c r="LMM15" s="55"/>
      <c r="LMN15" s="55"/>
      <c r="LMO15" s="55"/>
      <c r="LMP15" s="55"/>
      <c r="LMQ15" s="55"/>
      <c r="LMR15" s="55"/>
      <c r="LMS15" s="55"/>
      <c r="LMT15" s="55"/>
      <c r="LMU15" s="55"/>
      <c r="LMV15" s="55"/>
      <c r="LMW15" s="55"/>
      <c r="LMX15" s="55"/>
      <c r="LMY15" s="55"/>
      <c r="LMZ15" s="55"/>
      <c r="LNA15" s="55"/>
      <c r="LNB15" s="55"/>
      <c r="LNC15" s="55"/>
      <c r="LND15" s="55"/>
      <c r="LNE15" s="55"/>
      <c r="LNF15" s="55"/>
      <c r="LNG15" s="55"/>
      <c r="LNH15" s="55"/>
      <c r="LNI15" s="55"/>
      <c r="LNJ15" s="55"/>
      <c r="LNK15" s="55"/>
      <c r="LNL15" s="55"/>
      <c r="LNM15" s="55"/>
      <c r="LNN15" s="55"/>
      <c r="LNO15" s="55"/>
      <c r="LNP15" s="55"/>
      <c r="LNQ15" s="55"/>
      <c r="LNR15" s="55"/>
      <c r="LNS15" s="55"/>
      <c r="LNT15" s="55"/>
      <c r="LNU15" s="55"/>
      <c r="LNV15" s="55"/>
      <c r="LNW15" s="55"/>
      <c r="LNX15" s="55"/>
      <c r="LNY15" s="55"/>
      <c r="LNZ15" s="55"/>
      <c r="LOA15" s="55"/>
      <c r="LOB15" s="55"/>
      <c r="LOC15" s="55"/>
      <c r="LOD15" s="55"/>
      <c r="LOE15" s="55"/>
      <c r="LOF15" s="55"/>
      <c r="LOG15" s="55"/>
      <c r="LOH15" s="55"/>
      <c r="LOI15" s="55"/>
      <c r="LOJ15" s="55"/>
      <c r="LOK15" s="55"/>
      <c r="LOL15" s="55"/>
      <c r="LOM15" s="55"/>
      <c r="LON15" s="55"/>
      <c r="LOO15" s="55"/>
      <c r="LOP15" s="55"/>
      <c r="LOQ15" s="55"/>
      <c r="LOR15" s="55"/>
      <c r="LOS15" s="55"/>
      <c r="LOT15" s="55"/>
      <c r="LOU15" s="55"/>
      <c r="LOV15" s="55"/>
      <c r="LOW15" s="55"/>
      <c r="LOX15" s="55"/>
      <c r="LOY15" s="55"/>
      <c r="LOZ15" s="55"/>
      <c r="LPA15" s="55"/>
      <c r="LPB15" s="55"/>
      <c r="LPC15" s="55"/>
      <c r="LPD15" s="55"/>
      <c r="LPE15" s="55"/>
      <c r="LPF15" s="55"/>
      <c r="LPG15" s="55"/>
      <c r="LPH15" s="55"/>
      <c r="LPI15" s="55"/>
      <c r="LPJ15" s="55"/>
      <c r="LPK15" s="55"/>
      <c r="LPL15" s="55"/>
      <c r="LPM15" s="55"/>
      <c r="LPN15" s="55"/>
      <c r="LPO15" s="55"/>
      <c r="LPP15" s="55"/>
      <c r="LPQ15" s="55"/>
      <c r="LPR15" s="55"/>
      <c r="LPS15" s="55"/>
      <c r="LPT15" s="55"/>
      <c r="LPU15" s="55"/>
      <c r="LPV15" s="55"/>
      <c r="LPW15" s="55"/>
      <c r="LPX15" s="55"/>
      <c r="LPY15" s="55"/>
      <c r="LPZ15" s="55"/>
      <c r="LQA15" s="55"/>
      <c r="LQB15" s="55"/>
      <c r="LQC15" s="55"/>
      <c r="LQD15" s="55"/>
      <c r="LQE15" s="55"/>
      <c r="LQF15" s="55"/>
      <c r="LQG15" s="55"/>
      <c r="LQH15" s="55"/>
      <c r="LQI15" s="55"/>
      <c r="LQJ15" s="55"/>
      <c r="LQK15" s="55"/>
      <c r="LQL15" s="55"/>
      <c r="LQM15" s="55"/>
      <c r="LQN15" s="55"/>
      <c r="LQO15" s="55"/>
      <c r="LQP15" s="55"/>
      <c r="LQQ15" s="55"/>
      <c r="LQR15" s="55"/>
      <c r="LQS15" s="55"/>
      <c r="LQT15" s="55"/>
      <c r="LQU15" s="55"/>
      <c r="LQV15" s="55"/>
      <c r="LQW15" s="55"/>
      <c r="LQX15" s="55"/>
      <c r="LQY15" s="55"/>
      <c r="LQZ15" s="55"/>
      <c r="LRA15" s="55"/>
      <c r="LRB15" s="55"/>
      <c r="LRC15" s="55"/>
      <c r="LRD15" s="55"/>
      <c r="LRE15" s="55"/>
      <c r="LRF15" s="55"/>
      <c r="LRG15" s="55"/>
      <c r="LRH15" s="55"/>
      <c r="LRI15" s="55"/>
      <c r="LRJ15" s="55"/>
      <c r="LRK15" s="55"/>
      <c r="LRL15" s="55"/>
      <c r="LRM15" s="55"/>
      <c r="LRN15" s="55"/>
      <c r="LRO15" s="55"/>
      <c r="LRP15" s="55"/>
      <c r="LRQ15" s="55"/>
      <c r="LRR15" s="55"/>
      <c r="LRS15" s="55"/>
      <c r="LRT15" s="55"/>
      <c r="LRU15" s="55"/>
      <c r="LRV15" s="55"/>
      <c r="LRW15" s="55"/>
      <c r="LRX15" s="55"/>
      <c r="LRY15" s="55"/>
      <c r="LRZ15" s="55"/>
      <c r="LSA15" s="55"/>
      <c r="LSB15" s="55"/>
      <c r="LSC15" s="55"/>
      <c r="LSD15" s="55"/>
      <c r="LSE15" s="55"/>
      <c r="LSF15" s="55"/>
      <c r="LSG15" s="55"/>
      <c r="LSH15" s="55"/>
      <c r="LSI15" s="55"/>
      <c r="LSJ15" s="55"/>
      <c r="LSK15" s="55"/>
      <c r="LSL15" s="55"/>
      <c r="LSM15" s="55"/>
      <c r="LSN15" s="55"/>
      <c r="LSO15" s="55"/>
      <c r="LSP15" s="55"/>
      <c r="LSQ15" s="55"/>
      <c r="LSR15" s="55"/>
      <c r="LSS15" s="55"/>
      <c r="LST15" s="55"/>
      <c r="LSU15" s="55"/>
      <c r="LSV15" s="55"/>
      <c r="LSW15" s="55"/>
      <c r="LSX15" s="55"/>
      <c r="LSY15" s="55"/>
      <c r="LSZ15" s="55"/>
      <c r="LTA15" s="55"/>
      <c r="LTB15" s="55"/>
      <c r="LTC15" s="55"/>
      <c r="LTD15" s="55"/>
      <c r="LTE15" s="55"/>
      <c r="LTF15" s="55"/>
      <c r="LTG15" s="55"/>
      <c r="LTH15" s="55"/>
      <c r="LTI15" s="55"/>
      <c r="LTJ15" s="55"/>
      <c r="LTK15" s="55"/>
      <c r="LTL15" s="55"/>
      <c r="LTM15" s="55"/>
      <c r="LTN15" s="55"/>
      <c r="LTO15" s="55"/>
      <c r="LTP15" s="55"/>
      <c r="LTQ15" s="55"/>
      <c r="LTR15" s="55"/>
      <c r="LTS15" s="55"/>
      <c r="LTT15" s="55"/>
      <c r="LTU15" s="55"/>
      <c r="LTV15" s="55"/>
      <c r="LTW15" s="55"/>
      <c r="LTX15" s="55"/>
      <c r="LTY15" s="55"/>
      <c r="LTZ15" s="55"/>
      <c r="LUA15" s="55"/>
      <c r="LUB15" s="55"/>
      <c r="LUC15" s="55"/>
      <c r="LUD15" s="55"/>
      <c r="LUE15" s="55"/>
      <c r="LUF15" s="55"/>
      <c r="LUG15" s="55"/>
      <c r="LUH15" s="55"/>
      <c r="LUI15" s="55"/>
      <c r="LUJ15" s="55"/>
      <c r="LUK15" s="55"/>
      <c r="LUL15" s="55"/>
      <c r="LUM15" s="55"/>
      <c r="LUN15" s="55"/>
      <c r="LUO15" s="55"/>
      <c r="LUP15" s="55"/>
      <c r="LUQ15" s="55"/>
      <c r="LUR15" s="55"/>
      <c r="LUS15" s="55"/>
      <c r="LUT15" s="55"/>
      <c r="LUU15" s="55"/>
      <c r="LUV15" s="55"/>
      <c r="LUW15" s="55"/>
      <c r="LUX15" s="55"/>
      <c r="LUY15" s="55"/>
      <c r="LUZ15" s="55"/>
      <c r="LVA15" s="55"/>
      <c r="LVB15" s="55"/>
      <c r="LVC15" s="55"/>
      <c r="LVD15" s="55"/>
      <c r="LVE15" s="55"/>
      <c r="LVF15" s="55"/>
      <c r="LVG15" s="55"/>
      <c r="LVH15" s="55"/>
      <c r="LVI15" s="55"/>
      <c r="LVJ15" s="55"/>
      <c r="LVK15" s="55"/>
      <c r="LVL15" s="55"/>
      <c r="LVM15" s="55"/>
      <c r="LVN15" s="55"/>
      <c r="LVO15" s="55"/>
      <c r="LVP15" s="55"/>
      <c r="LVQ15" s="55"/>
      <c r="LVR15" s="55"/>
      <c r="LVS15" s="55"/>
      <c r="LVT15" s="55"/>
      <c r="LVU15" s="55"/>
      <c r="LVV15" s="55"/>
      <c r="LVW15" s="55"/>
      <c r="LVX15" s="55"/>
      <c r="LVY15" s="55"/>
      <c r="LVZ15" s="55"/>
      <c r="LWA15" s="55"/>
      <c r="LWB15" s="55"/>
      <c r="LWC15" s="55"/>
      <c r="LWD15" s="55"/>
      <c r="LWE15" s="55"/>
      <c r="LWF15" s="55"/>
      <c r="LWG15" s="55"/>
      <c r="LWH15" s="55"/>
      <c r="LWI15" s="55"/>
      <c r="LWJ15" s="55"/>
      <c r="LWK15" s="55"/>
      <c r="LWL15" s="55"/>
      <c r="LWM15" s="55"/>
      <c r="LWN15" s="55"/>
      <c r="LWO15" s="55"/>
      <c r="LWP15" s="55"/>
      <c r="LWQ15" s="55"/>
      <c r="LWR15" s="55"/>
      <c r="LWS15" s="55"/>
      <c r="LWT15" s="55"/>
      <c r="LWU15" s="55"/>
      <c r="LWV15" s="55"/>
      <c r="LWW15" s="55"/>
      <c r="LWX15" s="55"/>
      <c r="LWY15" s="55"/>
      <c r="LWZ15" s="55"/>
      <c r="LXA15" s="55"/>
      <c r="LXB15" s="55"/>
      <c r="LXC15" s="55"/>
      <c r="LXD15" s="55"/>
      <c r="LXE15" s="55"/>
      <c r="LXF15" s="55"/>
      <c r="LXG15" s="55"/>
      <c r="LXH15" s="55"/>
      <c r="LXI15" s="55"/>
      <c r="LXJ15" s="55"/>
      <c r="LXK15" s="55"/>
      <c r="LXL15" s="55"/>
      <c r="LXM15" s="55"/>
      <c r="LXN15" s="55"/>
      <c r="LXO15" s="55"/>
      <c r="LXP15" s="55"/>
      <c r="LXQ15" s="55"/>
      <c r="LXR15" s="55"/>
      <c r="LXS15" s="55"/>
      <c r="LXT15" s="55"/>
      <c r="LXU15" s="55"/>
      <c r="LXV15" s="55"/>
      <c r="LXW15" s="55"/>
      <c r="LXX15" s="55"/>
      <c r="LXY15" s="55"/>
      <c r="LXZ15" s="55"/>
      <c r="LYA15" s="55"/>
      <c r="LYB15" s="55"/>
      <c r="LYC15" s="55"/>
      <c r="LYD15" s="55"/>
      <c r="LYE15" s="55"/>
      <c r="LYF15" s="55"/>
      <c r="LYG15" s="55"/>
      <c r="LYH15" s="55"/>
      <c r="LYI15" s="55"/>
      <c r="LYJ15" s="55"/>
      <c r="LYK15" s="55"/>
      <c r="LYL15" s="55"/>
      <c r="LYM15" s="55"/>
      <c r="LYN15" s="55"/>
      <c r="LYO15" s="55"/>
      <c r="LYP15" s="55"/>
      <c r="LYQ15" s="55"/>
      <c r="LYR15" s="55"/>
      <c r="LYS15" s="55"/>
      <c r="LYT15" s="55"/>
      <c r="LYU15" s="55"/>
      <c r="LYV15" s="55"/>
      <c r="LYW15" s="55"/>
      <c r="LYX15" s="55"/>
      <c r="LYY15" s="55"/>
      <c r="LYZ15" s="55"/>
      <c r="LZA15" s="55"/>
      <c r="LZB15" s="55"/>
      <c r="LZC15" s="55"/>
      <c r="LZD15" s="55"/>
      <c r="LZE15" s="55"/>
      <c r="LZF15" s="55"/>
      <c r="LZG15" s="55"/>
      <c r="LZH15" s="55"/>
      <c r="LZI15" s="55"/>
      <c r="LZJ15" s="55"/>
      <c r="LZK15" s="55"/>
      <c r="LZL15" s="55"/>
      <c r="LZM15" s="55"/>
      <c r="LZN15" s="55"/>
      <c r="LZO15" s="55"/>
      <c r="LZP15" s="55"/>
      <c r="LZQ15" s="55"/>
      <c r="LZR15" s="55"/>
      <c r="LZS15" s="55"/>
      <c r="LZT15" s="55"/>
      <c r="LZU15" s="55"/>
      <c r="LZV15" s="55"/>
      <c r="LZW15" s="55"/>
      <c r="LZX15" s="55"/>
      <c r="LZY15" s="55"/>
      <c r="LZZ15" s="55"/>
      <c r="MAA15" s="55"/>
      <c r="MAB15" s="55"/>
      <c r="MAC15" s="55"/>
      <c r="MAD15" s="55"/>
      <c r="MAE15" s="55"/>
      <c r="MAF15" s="55"/>
      <c r="MAG15" s="55"/>
      <c r="MAH15" s="55"/>
      <c r="MAI15" s="55"/>
      <c r="MAJ15" s="55"/>
      <c r="MAK15" s="55"/>
      <c r="MAL15" s="55"/>
      <c r="MAM15" s="55"/>
      <c r="MAN15" s="55"/>
      <c r="MAO15" s="55"/>
      <c r="MAP15" s="55"/>
      <c r="MAQ15" s="55"/>
      <c r="MAR15" s="55"/>
      <c r="MAS15" s="55"/>
      <c r="MAT15" s="55"/>
      <c r="MAU15" s="55"/>
      <c r="MAV15" s="55"/>
      <c r="MAW15" s="55"/>
      <c r="MAX15" s="55"/>
      <c r="MAY15" s="55"/>
      <c r="MAZ15" s="55"/>
      <c r="MBA15" s="55"/>
      <c r="MBB15" s="55"/>
      <c r="MBC15" s="55"/>
      <c r="MBD15" s="55"/>
      <c r="MBE15" s="55"/>
      <c r="MBF15" s="55"/>
      <c r="MBG15" s="55"/>
      <c r="MBH15" s="55"/>
      <c r="MBI15" s="55"/>
      <c r="MBJ15" s="55"/>
      <c r="MBK15" s="55"/>
      <c r="MBL15" s="55"/>
      <c r="MBM15" s="55"/>
      <c r="MBN15" s="55"/>
      <c r="MBO15" s="55"/>
      <c r="MBP15" s="55"/>
      <c r="MBQ15" s="55"/>
      <c r="MBR15" s="55"/>
      <c r="MBS15" s="55"/>
      <c r="MBT15" s="55"/>
      <c r="MBU15" s="55"/>
      <c r="MBV15" s="55"/>
      <c r="MBW15" s="55"/>
      <c r="MBX15" s="55"/>
      <c r="MBY15" s="55"/>
      <c r="MBZ15" s="55"/>
      <c r="MCA15" s="55"/>
      <c r="MCB15" s="55"/>
      <c r="MCC15" s="55"/>
      <c r="MCD15" s="55"/>
      <c r="MCE15" s="55"/>
      <c r="MCF15" s="55"/>
      <c r="MCG15" s="55"/>
      <c r="MCH15" s="55"/>
      <c r="MCI15" s="55"/>
      <c r="MCJ15" s="55"/>
      <c r="MCK15" s="55"/>
      <c r="MCL15" s="55"/>
      <c r="MCM15" s="55"/>
      <c r="MCN15" s="55"/>
      <c r="MCO15" s="55"/>
      <c r="MCP15" s="55"/>
      <c r="MCQ15" s="55"/>
      <c r="MCR15" s="55"/>
      <c r="MCS15" s="55"/>
      <c r="MCT15" s="55"/>
      <c r="MCU15" s="55"/>
      <c r="MCV15" s="55"/>
      <c r="MCW15" s="55"/>
      <c r="MCX15" s="55"/>
      <c r="MCY15" s="55"/>
      <c r="MCZ15" s="55"/>
      <c r="MDA15" s="55"/>
      <c r="MDB15" s="55"/>
      <c r="MDC15" s="55"/>
      <c r="MDD15" s="55"/>
      <c r="MDE15" s="55"/>
      <c r="MDF15" s="55"/>
      <c r="MDG15" s="55"/>
      <c r="MDH15" s="55"/>
      <c r="MDI15" s="55"/>
      <c r="MDJ15" s="55"/>
      <c r="MDK15" s="55"/>
      <c r="MDL15" s="55"/>
      <c r="MDM15" s="55"/>
      <c r="MDN15" s="55"/>
      <c r="MDO15" s="55"/>
      <c r="MDP15" s="55"/>
      <c r="MDQ15" s="55"/>
      <c r="MDR15" s="55"/>
      <c r="MDS15" s="55"/>
      <c r="MDT15" s="55"/>
      <c r="MDU15" s="55"/>
      <c r="MDV15" s="55"/>
      <c r="MDW15" s="55"/>
      <c r="MDX15" s="55"/>
      <c r="MDY15" s="55"/>
      <c r="MDZ15" s="55"/>
      <c r="MEA15" s="55"/>
      <c r="MEB15" s="55"/>
      <c r="MEC15" s="55"/>
      <c r="MED15" s="55"/>
      <c r="MEE15" s="55"/>
      <c r="MEF15" s="55"/>
      <c r="MEG15" s="55"/>
      <c r="MEH15" s="55"/>
      <c r="MEI15" s="55"/>
      <c r="MEJ15" s="55"/>
      <c r="MEK15" s="55"/>
      <c r="MEL15" s="55"/>
      <c r="MEM15" s="55"/>
      <c r="MEN15" s="55"/>
      <c r="MEO15" s="55"/>
      <c r="MEP15" s="55"/>
      <c r="MEQ15" s="55"/>
      <c r="MER15" s="55"/>
      <c r="MES15" s="55"/>
      <c r="MET15" s="55"/>
      <c r="MEU15" s="55"/>
      <c r="MEV15" s="55"/>
      <c r="MEW15" s="55"/>
      <c r="MEX15" s="55"/>
      <c r="MEY15" s="55"/>
      <c r="MEZ15" s="55"/>
      <c r="MFA15" s="55"/>
      <c r="MFB15" s="55"/>
      <c r="MFC15" s="55"/>
      <c r="MFD15" s="55"/>
      <c r="MFE15" s="55"/>
      <c r="MFF15" s="55"/>
      <c r="MFG15" s="55"/>
      <c r="MFH15" s="55"/>
      <c r="MFI15" s="55"/>
      <c r="MFJ15" s="55"/>
      <c r="MFK15" s="55"/>
      <c r="MFL15" s="55"/>
      <c r="MFM15" s="55"/>
      <c r="MFN15" s="55"/>
      <c r="MFO15" s="55"/>
      <c r="MFP15" s="55"/>
      <c r="MFQ15" s="55"/>
      <c r="MFR15" s="55"/>
      <c r="MFS15" s="55"/>
      <c r="MFT15" s="55"/>
      <c r="MFU15" s="55"/>
      <c r="MFV15" s="55"/>
      <c r="MFW15" s="55"/>
      <c r="MFX15" s="55"/>
      <c r="MFY15" s="55"/>
      <c r="MFZ15" s="55"/>
      <c r="MGA15" s="55"/>
      <c r="MGB15" s="55"/>
      <c r="MGC15" s="55"/>
      <c r="MGD15" s="55"/>
      <c r="MGE15" s="55"/>
      <c r="MGF15" s="55"/>
      <c r="MGG15" s="55"/>
      <c r="MGH15" s="55"/>
      <c r="MGI15" s="55"/>
      <c r="MGJ15" s="55"/>
      <c r="MGK15" s="55"/>
      <c r="MGL15" s="55"/>
      <c r="MGM15" s="55"/>
      <c r="MGN15" s="55"/>
      <c r="MGO15" s="55"/>
      <c r="MGP15" s="55"/>
      <c r="MGQ15" s="55"/>
      <c r="MGR15" s="55"/>
      <c r="MGS15" s="55"/>
      <c r="MGT15" s="55"/>
      <c r="MGU15" s="55"/>
      <c r="MGV15" s="55"/>
      <c r="MGW15" s="55"/>
      <c r="MGX15" s="55"/>
      <c r="MGY15" s="55"/>
      <c r="MGZ15" s="55"/>
      <c r="MHA15" s="55"/>
      <c r="MHB15" s="55"/>
      <c r="MHC15" s="55"/>
      <c r="MHD15" s="55"/>
      <c r="MHE15" s="55"/>
      <c r="MHF15" s="55"/>
      <c r="MHG15" s="55"/>
      <c r="MHH15" s="55"/>
      <c r="MHI15" s="55"/>
      <c r="MHJ15" s="55"/>
      <c r="MHK15" s="55"/>
      <c r="MHL15" s="55"/>
      <c r="MHM15" s="55"/>
      <c r="MHN15" s="55"/>
      <c r="MHO15" s="55"/>
      <c r="MHP15" s="55"/>
      <c r="MHQ15" s="55"/>
      <c r="MHR15" s="55"/>
      <c r="MHS15" s="55"/>
      <c r="MHT15" s="55"/>
      <c r="MHU15" s="55"/>
      <c r="MHV15" s="55"/>
      <c r="MHW15" s="55"/>
      <c r="MHX15" s="55"/>
      <c r="MHY15" s="55"/>
      <c r="MHZ15" s="55"/>
      <c r="MIA15" s="55"/>
      <c r="MIB15" s="55"/>
      <c r="MIC15" s="55"/>
      <c r="MID15" s="55"/>
      <c r="MIE15" s="55"/>
      <c r="MIF15" s="55"/>
      <c r="MIG15" s="55"/>
      <c r="MIH15" s="55"/>
      <c r="MII15" s="55"/>
      <c r="MIJ15" s="55"/>
      <c r="MIK15" s="55"/>
      <c r="MIL15" s="55"/>
      <c r="MIM15" s="55"/>
      <c r="MIN15" s="55"/>
      <c r="MIO15" s="55"/>
      <c r="MIP15" s="55"/>
      <c r="MIQ15" s="55"/>
      <c r="MIR15" s="55"/>
      <c r="MIS15" s="55"/>
      <c r="MIT15" s="55"/>
      <c r="MIU15" s="55"/>
      <c r="MIV15" s="55"/>
      <c r="MIW15" s="55"/>
      <c r="MIX15" s="55"/>
      <c r="MIY15" s="55"/>
      <c r="MIZ15" s="55"/>
      <c r="MJA15" s="55"/>
      <c r="MJB15" s="55"/>
      <c r="MJC15" s="55"/>
      <c r="MJD15" s="55"/>
      <c r="MJE15" s="55"/>
      <c r="MJF15" s="55"/>
      <c r="MJG15" s="55"/>
      <c r="MJH15" s="55"/>
      <c r="MJI15" s="55"/>
      <c r="MJJ15" s="55"/>
      <c r="MJK15" s="55"/>
      <c r="MJL15" s="55"/>
      <c r="MJM15" s="55"/>
      <c r="MJN15" s="55"/>
      <c r="MJO15" s="55"/>
      <c r="MJP15" s="55"/>
      <c r="MJQ15" s="55"/>
      <c r="MJR15" s="55"/>
      <c r="MJS15" s="55"/>
      <c r="MJT15" s="55"/>
      <c r="MJU15" s="55"/>
      <c r="MJV15" s="55"/>
      <c r="MJW15" s="55"/>
      <c r="MJX15" s="55"/>
      <c r="MJY15" s="55"/>
      <c r="MJZ15" s="55"/>
      <c r="MKA15" s="55"/>
      <c r="MKB15" s="55"/>
      <c r="MKC15" s="55"/>
      <c r="MKD15" s="55"/>
      <c r="MKE15" s="55"/>
      <c r="MKF15" s="55"/>
      <c r="MKG15" s="55"/>
      <c r="MKH15" s="55"/>
      <c r="MKI15" s="55"/>
      <c r="MKJ15" s="55"/>
      <c r="MKK15" s="55"/>
      <c r="MKL15" s="55"/>
      <c r="MKM15" s="55"/>
      <c r="MKN15" s="55"/>
      <c r="MKO15" s="55"/>
      <c r="MKP15" s="55"/>
      <c r="MKQ15" s="55"/>
      <c r="MKR15" s="55"/>
      <c r="MKS15" s="55"/>
      <c r="MKT15" s="55"/>
      <c r="MKU15" s="55"/>
      <c r="MKV15" s="55"/>
      <c r="MKW15" s="55"/>
      <c r="MKX15" s="55"/>
      <c r="MKY15" s="55"/>
      <c r="MKZ15" s="55"/>
      <c r="MLA15" s="55"/>
      <c r="MLB15" s="55"/>
      <c r="MLC15" s="55"/>
      <c r="MLD15" s="55"/>
      <c r="MLE15" s="55"/>
      <c r="MLF15" s="55"/>
      <c r="MLG15" s="55"/>
      <c r="MLH15" s="55"/>
      <c r="MLI15" s="55"/>
      <c r="MLJ15" s="55"/>
      <c r="MLK15" s="55"/>
      <c r="MLL15" s="55"/>
      <c r="MLM15" s="55"/>
      <c r="MLN15" s="55"/>
      <c r="MLO15" s="55"/>
      <c r="MLP15" s="55"/>
      <c r="MLQ15" s="55"/>
      <c r="MLR15" s="55"/>
      <c r="MLS15" s="55"/>
      <c r="MLT15" s="55"/>
      <c r="MLU15" s="55"/>
      <c r="MLV15" s="55"/>
      <c r="MLW15" s="55"/>
      <c r="MLX15" s="55"/>
      <c r="MLY15" s="55"/>
      <c r="MLZ15" s="55"/>
      <c r="MMA15" s="55"/>
      <c r="MMB15" s="55"/>
      <c r="MMC15" s="55"/>
      <c r="MMD15" s="55"/>
      <c r="MME15" s="55"/>
      <c r="MMF15" s="55"/>
      <c r="MMG15" s="55"/>
      <c r="MMH15" s="55"/>
      <c r="MMI15" s="55"/>
      <c r="MMJ15" s="55"/>
      <c r="MMK15" s="55"/>
      <c r="MML15" s="55"/>
      <c r="MMM15" s="55"/>
      <c r="MMN15" s="55"/>
      <c r="MMO15" s="55"/>
      <c r="MMP15" s="55"/>
      <c r="MMQ15" s="55"/>
      <c r="MMR15" s="55"/>
      <c r="MMS15" s="55"/>
      <c r="MMT15" s="55"/>
      <c r="MMU15" s="55"/>
      <c r="MMV15" s="55"/>
      <c r="MMW15" s="55"/>
      <c r="MMX15" s="55"/>
      <c r="MMY15" s="55"/>
      <c r="MMZ15" s="55"/>
      <c r="MNA15" s="55"/>
      <c r="MNB15" s="55"/>
      <c r="MNC15" s="55"/>
      <c r="MND15" s="55"/>
      <c r="MNE15" s="55"/>
      <c r="MNF15" s="55"/>
      <c r="MNG15" s="55"/>
      <c r="MNH15" s="55"/>
      <c r="MNI15" s="55"/>
      <c r="MNJ15" s="55"/>
      <c r="MNK15" s="55"/>
      <c r="MNL15" s="55"/>
      <c r="MNM15" s="55"/>
      <c r="MNN15" s="55"/>
      <c r="MNO15" s="55"/>
      <c r="MNP15" s="55"/>
      <c r="MNQ15" s="55"/>
      <c r="MNR15" s="55"/>
      <c r="MNS15" s="55"/>
      <c r="MNT15" s="55"/>
      <c r="MNU15" s="55"/>
      <c r="MNV15" s="55"/>
      <c r="MNW15" s="55"/>
      <c r="MNX15" s="55"/>
      <c r="MNY15" s="55"/>
      <c r="MNZ15" s="55"/>
      <c r="MOA15" s="55"/>
      <c r="MOB15" s="55"/>
      <c r="MOC15" s="55"/>
      <c r="MOD15" s="55"/>
      <c r="MOE15" s="55"/>
      <c r="MOF15" s="55"/>
      <c r="MOG15" s="55"/>
      <c r="MOH15" s="55"/>
      <c r="MOI15" s="55"/>
      <c r="MOJ15" s="55"/>
      <c r="MOK15" s="55"/>
      <c r="MOL15" s="55"/>
      <c r="MOM15" s="55"/>
      <c r="MON15" s="55"/>
      <c r="MOO15" s="55"/>
      <c r="MOP15" s="55"/>
      <c r="MOQ15" s="55"/>
      <c r="MOR15" s="55"/>
      <c r="MOS15" s="55"/>
      <c r="MOT15" s="55"/>
      <c r="MOU15" s="55"/>
      <c r="MOV15" s="55"/>
      <c r="MOW15" s="55"/>
      <c r="MOX15" s="55"/>
      <c r="MOY15" s="55"/>
      <c r="MOZ15" s="55"/>
      <c r="MPA15" s="55"/>
      <c r="MPB15" s="55"/>
      <c r="MPC15" s="55"/>
      <c r="MPD15" s="55"/>
      <c r="MPE15" s="55"/>
      <c r="MPF15" s="55"/>
      <c r="MPG15" s="55"/>
      <c r="MPH15" s="55"/>
      <c r="MPI15" s="55"/>
      <c r="MPJ15" s="55"/>
      <c r="MPK15" s="55"/>
      <c r="MPL15" s="55"/>
      <c r="MPM15" s="55"/>
      <c r="MPN15" s="55"/>
      <c r="MPO15" s="55"/>
      <c r="MPP15" s="55"/>
      <c r="MPQ15" s="55"/>
      <c r="MPR15" s="55"/>
      <c r="MPS15" s="55"/>
      <c r="MPT15" s="55"/>
      <c r="MPU15" s="55"/>
      <c r="MPV15" s="55"/>
      <c r="MPW15" s="55"/>
      <c r="MPX15" s="55"/>
      <c r="MPY15" s="55"/>
      <c r="MPZ15" s="55"/>
      <c r="MQA15" s="55"/>
      <c r="MQB15" s="55"/>
      <c r="MQC15" s="55"/>
      <c r="MQD15" s="55"/>
      <c r="MQE15" s="55"/>
      <c r="MQF15" s="55"/>
      <c r="MQG15" s="55"/>
      <c r="MQH15" s="55"/>
      <c r="MQI15" s="55"/>
      <c r="MQJ15" s="55"/>
      <c r="MQK15" s="55"/>
      <c r="MQL15" s="55"/>
      <c r="MQM15" s="55"/>
      <c r="MQN15" s="55"/>
      <c r="MQO15" s="55"/>
      <c r="MQP15" s="55"/>
      <c r="MQQ15" s="55"/>
      <c r="MQR15" s="55"/>
      <c r="MQS15" s="55"/>
      <c r="MQT15" s="55"/>
      <c r="MQU15" s="55"/>
      <c r="MQV15" s="55"/>
      <c r="MQW15" s="55"/>
      <c r="MQX15" s="55"/>
      <c r="MQY15" s="55"/>
      <c r="MQZ15" s="55"/>
      <c r="MRA15" s="55"/>
      <c r="MRB15" s="55"/>
      <c r="MRC15" s="55"/>
      <c r="MRD15" s="55"/>
      <c r="MRE15" s="55"/>
      <c r="MRF15" s="55"/>
      <c r="MRG15" s="55"/>
      <c r="MRH15" s="55"/>
      <c r="MRI15" s="55"/>
      <c r="MRJ15" s="55"/>
      <c r="MRK15" s="55"/>
      <c r="MRL15" s="55"/>
      <c r="MRM15" s="55"/>
      <c r="MRN15" s="55"/>
      <c r="MRO15" s="55"/>
      <c r="MRP15" s="55"/>
      <c r="MRQ15" s="55"/>
      <c r="MRR15" s="55"/>
      <c r="MRS15" s="55"/>
      <c r="MRT15" s="55"/>
      <c r="MRU15" s="55"/>
      <c r="MRV15" s="55"/>
      <c r="MRW15" s="55"/>
      <c r="MRX15" s="55"/>
      <c r="MRY15" s="55"/>
      <c r="MRZ15" s="55"/>
      <c r="MSA15" s="55"/>
      <c r="MSB15" s="55"/>
      <c r="MSC15" s="55"/>
      <c r="MSD15" s="55"/>
      <c r="MSE15" s="55"/>
      <c r="MSF15" s="55"/>
      <c r="MSG15" s="55"/>
      <c r="MSH15" s="55"/>
      <c r="MSI15" s="55"/>
      <c r="MSJ15" s="55"/>
      <c r="MSK15" s="55"/>
      <c r="MSL15" s="55"/>
      <c r="MSM15" s="55"/>
      <c r="MSN15" s="55"/>
      <c r="MSO15" s="55"/>
      <c r="MSP15" s="55"/>
      <c r="MSQ15" s="55"/>
      <c r="MSR15" s="55"/>
      <c r="MSS15" s="55"/>
      <c r="MST15" s="55"/>
      <c r="MSU15" s="55"/>
      <c r="MSV15" s="55"/>
      <c r="MSW15" s="55"/>
      <c r="MSX15" s="55"/>
      <c r="MSY15" s="55"/>
      <c r="MSZ15" s="55"/>
      <c r="MTA15" s="55"/>
      <c r="MTB15" s="55"/>
      <c r="MTC15" s="55"/>
      <c r="MTD15" s="55"/>
      <c r="MTE15" s="55"/>
      <c r="MTF15" s="55"/>
      <c r="MTG15" s="55"/>
      <c r="MTH15" s="55"/>
      <c r="MTI15" s="55"/>
      <c r="MTJ15" s="55"/>
      <c r="MTK15" s="55"/>
      <c r="MTL15" s="55"/>
      <c r="MTM15" s="55"/>
      <c r="MTN15" s="55"/>
      <c r="MTO15" s="55"/>
      <c r="MTP15" s="55"/>
      <c r="MTQ15" s="55"/>
      <c r="MTR15" s="55"/>
      <c r="MTS15" s="55"/>
      <c r="MTT15" s="55"/>
      <c r="MTU15" s="55"/>
      <c r="MTV15" s="55"/>
      <c r="MTW15" s="55"/>
      <c r="MTX15" s="55"/>
      <c r="MTY15" s="55"/>
      <c r="MTZ15" s="55"/>
      <c r="MUA15" s="55"/>
      <c r="MUB15" s="55"/>
      <c r="MUC15" s="55"/>
      <c r="MUD15" s="55"/>
      <c r="MUE15" s="55"/>
      <c r="MUF15" s="55"/>
      <c r="MUG15" s="55"/>
      <c r="MUH15" s="55"/>
      <c r="MUI15" s="55"/>
      <c r="MUJ15" s="55"/>
      <c r="MUK15" s="55"/>
      <c r="MUL15" s="55"/>
      <c r="MUM15" s="55"/>
      <c r="MUN15" s="55"/>
      <c r="MUO15" s="55"/>
      <c r="MUP15" s="55"/>
      <c r="MUQ15" s="55"/>
      <c r="MUR15" s="55"/>
      <c r="MUS15" s="55"/>
      <c r="MUT15" s="55"/>
      <c r="MUU15" s="55"/>
      <c r="MUV15" s="55"/>
      <c r="MUW15" s="55"/>
      <c r="MUX15" s="55"/>
      <c r="MUY15" s="55"/>
      <c r="MUZ15" s="55"/>
      <c r="MVA15" s="55"/>
      <c r="MVB15" s="55"/>
      <c r="MVC15" s="55"/>
      <c r="MVD15" s="55"/>
      <c r="MVE15" s="55"/>
      <c r="MVF15" s="55"/>
      <c r="MVG15" s="55"/>
      <c r="MVH15" s="55"/>
      <c r="MVI15" s="55"/>
      <c r="MVJ15" s="55"/>
      <c r="MVK15" s="55"/>
      <c r="MVL15" s="55"/>
      <c r="MVM15" s="55"/>
      <c r="MVN15" s="55"/>
      <c r="MVO15" s="55"/>
      <c r="MVP15" s="55"/>
      <c r="MVQ15" s="55"/>
      <c r="MVR15" s="55"/>
      <c r="MVS15" s="55"/>
      <c r="MVT15" s="55"/>
      <c r="MVU15" s="55"/>
      <c r="MVV15" s="55"/>
      <c r="MVW15" s="55"/>
      <c r="MVX15" s="55"/>
      <c r="MVY15" s="55"/>
      <c r="MVZ15" s="55"/>
      <c r="MWA15" s="55"/>
      <c r="MWB15" s="55"/>
      <c r="MWC15" s="55"/>
      <c r="MWD15" s="55"/>
      <c r="MWE15" s="55"/>
      <c r="MWF15" s="55"/>
      <c r="MWG15" s="55"/>
      <c r="MWH15" s="55"/>
      <c r="MWI15" s="55"/>
      <c r="MWJ15" s="55"/>
      <c r="MWK15" s="55"/>
      <c r="MWL15" s="55"/>
      <c r="MWM15" s="55"/>
      <c r="MWN15" s="55"/>
      <c r="MWO15" s="55"/>
      <c r="MWP15" s="55"/>
      <c r="MWQ15" s="55"/>
      <c r="MWR15" s="55"/>
      <c r="MWS15" s="55"/>
      <c r="MWT15" s="55"/>
      <c r="MWU15" s="55"/>
      <c r="MWV15" s="55"/>
      <c r="MWW15" s="55"/>
      <c r="MWX15" s="55"/>
      <c r="MWY15" s="55"/>
      <c r="MWZ15" s="55"/>
      <c r="MXA15" s="55"/>
      <c r="MXB15" s="55"/>
      <c r="MXC15" s="55"/>
      <c r="MXD15" s="55"/>
      <c r="MXE15" s="55"/>
      <c r="MXF15" s="55"/>
      <c r="MXG15" s="55"/>
      <c r="MXH15" s="55"/>
      <c r="MXI15" s="55"/>
      <c r="MXJ15" s="55"/>
      <c r="MXK15" s="55"/>
      <c r="MXL15" s="55"/>
      <c r="MXM15" s="55"/>
      <c r="MXN15" s="55"/>
      <c r="MXO15" s="55"/>
      <c r="MXP15" s="55"/>
      <c r="MXQ15" s="55"/>
      <c r="MXR15" s="55"/>
      <c r="MXS15" s="55"/>
      <c r="MXT15" s="55"/>
      <c r="MXU15" s="55"/>
      <c r="MXV15" s="55"/>
      <c r="MXW15" s="55"/>
      <c r="MXX15" s="55"/>
      <c r="MXY15" s="55"/>
      <c r="MXZ15" s="55"/>
      <c r="MYA15" s="55"/>
      <c r="MYB15" s="55"/>
      <c r="MYC15" s="55"/>
      <c r="MYD15" s="55"/>
      <c r="MYE15" s="55"/>
      <c r="MYF15" s="55"/>
      <c r="MYG15" s="55"/>
      <c r="MYH15" s="55"/>
      <c r="MYI15" s="55"/>
      <c r="MYJ15" s="55"/>
      <c r="MYK15" s="55"/>
      <c r="MYL15" s="55"/>
      <c r="MYM15" s="55"/>
      <c r="MYN15" s="55"/>
      <c r="MYO15" s="55"/>
      <c r="MYP15" s="55"/>
      <c r="MYQ15" s="55"/>
      <c r="MYR15" s="55"/>
      <c r="MYS15" s="55"/>
      <c r="MYT15" s="55"/>
      <c r="MYU15" s="55"/>
      <c r="MYV15" s="55"/>
      <c r="MYW15" s="55"/>
      <c r="MYX15" s="55"/>
      <c r="MYY15" s="55"/>
      <c r="MYZ15" s="55"/>
      <c r="MZA15" s="55"/>
      <c r="MZB15" s="55"/>
      <c r="MZC15" s="55"/>
      <c r="MZD15" s="55"/>
      <c r="MZE15" s="55"/>
      <c r="MZF15" s="55"/>
      <c r="MZG15" s="55"/>
      <c r="MZH15" s="55"/>
      <c r="MZI15" s="55"/>
      <c r="MZJ15" s="55"/>
      <c r="MZK15" s="55"/>
      <c r="MZL15" s="55"/>
      <c r="MZM15" s="55"/>
      <c r="MZN15" s="55"/>
      <c r="MZO15" s="55"/>
      <c r="MZP15" s="55"/>
      <c r="MZQ15" s="55"/>
      <c r="MZR15" s="55"/>
      <c r="MZS15" s="55"/>
      <c r="MZT15" s="55"/>
      <c r="MZU15" s="55"/>
      <c r="MZV15" s="55"/>
      <c r="MZW15" s="55"/>
      <c r="MZX15" s="55"/>
      <c r="MZY15" s="55"/>
      <c r="MZZ15" s="55"/>
      <c r="NAA15" s="55"/>
      <c r="NAB15" s="55"/>
      <c r="NAC15" s="55"/>
      <c r="NAD15" s="55"/>
      <c r="NAE15" s="55"/>
      <c r="NAF15" s="55"/>
      <c r="NAG15" s="55"/>
      <c r="NAH15" s="55"/>
      <c r="NAI15" s="55"/>
      <c r="NAJ15" s="55"/>
      <c r="NAK15" s="55"/>
      <c r="NAL15" s="55"/>
      <c r="NAM15" s="55"/>
      <c r="NAN15" s="55"/>
      <c r="NAO15" s="55"/>
      <c r="NAP15" s="55"/>
      <c r="NAQ15" s="55"/>
      <c r="NAR15" s="55"/>
      <c r="NAS15" s="55"/>
      <c r="NAT15" s="55"/>
      <c r="NAU15" s="55"/>
      <c r="NAV15" s="55"/>
      <c r="NAW15" s="55"/>
      <c r="NAX15" s="55"/>
      <c r="NAY15" s="55"/>
      <c r="NAZ15" s="55"/>
      <c r="NBA15" s="55"/>
      <c r="NBB15" s="55"/>
      <c r="NBC15" s="55"/>
      <c r="NBD15" s="55"/>
      <c r="NBE15" s="55"/>
      <c r="NBF15" s="55"/>
      <c r="NBG15" s="55"/>
      <c r="NBH15" s="55"/>
      <c r="NBI15" s="55"/>
      <c r="NBJ15" s="55"/>
      <c r="NBK15" s="55"/>
      <c r="NBL15" s="55"/>
      <c r="NBM15" s="55"/>
      <c r="NBN15" s="55"/>
      <c r="NBO15" s="55"/>
      <c r="NBP15" s="55"/>
      <c r="NBQ15" s="55"/>
      <c r="NBR15" s="55"/>
      <c r="NBS15" s="55"/>
      <c r="NBT15" s="55"/>
      <c r="NBU15" s="55"/>
      <c r="NBV15" s="55"/>
      <c r="NBW15" s="55"/>
      <c r="NBX15" s="55"/>
      <c r="NBY15" s="55"/>
      <c r="NBZ15" s="55"/>
      <c r="NCA15" s="55"/>
      <c r="NCB15" s="55"/>
      <c r="NCC15" s="55"/>
      <c r="NCD15" s="55"/>
      <c r="NCE15" s="55"/>
      <c r="NCF15" s="55"/>
      <c r="NCG15" s="55"/>
      <c r="NCH15" s="55"/>
      <c r="NCI15" s="55"/>
      <c r="NCJ15" s="55"/>
      <c r="NCK15" s="55"/>
      <c r="NCL15" s="55"/>
      <c r="NCM15" s="55"/>
      <c r="NCN15" s="55"/>
      <c r="NCO15" s="55"/>
      <c r="NCP15" s="55"/>
      <c r="NCQ15" s="55"/>
      <c r="NCR15" s="55"/>
      <c r="NCS15" s="55"/>
      <c r="NCT15" s="55"/>
      <c r="NCU15" s="55"/>
      <c r="NCV15" s="55"/>
      <c r="NCW15" s="55"/>
      <c r="NCX15" s="55"/>
      <c r="NCY15" s="55"/>
      <c r="NCZ15" s="55"/>
      <c r="NDA15" s="55"/>
      <c r="NDB15" s="55"/>
      <c r="NDC15" s="55"/>
      <c r="NDD15" s="55"/>
      <c r="NDE15" s="55"/>
      <c r="NDF15" s="55"/>
      <c r="NDG15" s="55"/>
      <c r="NDH15" s="55"/>
      <c r="NDI15" s="55"/>
      <c r="NDJ15" s="55"/>
      <c r="NDK15" s="55"/>
      <c r="NDL15" s="55"/>
      <c r="NDM15" s="55"/>
      <c r="NDN15" s="55"/>
      <c r="NDO15" s="55"/>
      <c r="NDP15" s="55"/>
      <c r="NDQ15" s="55"/>
      <c r="NDR15" s="55"/>
      <c r="NDS15" s="55"/>
      <c r="NDT15" s="55"/>
      <c r="NDU15" s="55"/>
      <c r="NDV15" s="55"/>
      <c r="NDW15" s="55"/>
      <c r="NDX15" s="55"/>
      <c r="NDY15" s="55"/>
      <c r="NDZ15" s="55"/>
      <c r="NEA15" s="55"/>
      <c r="NEB15" s="55"/>
      <c r="NEC15" s="55"/>
      <c r="NED15" s="55"/>
      <c r="NEE15" s="55"/>
      <c r="NEF15" s="55"/>
      <c r="NEG15" s="55"/>
      <c r="NEH15" s="55"/>
      <c r="NEI15" s="55"/>
      <c r="NEJ15" s="55"/>
      <c r="NEK15" s="55"/>
      <c r="NEL15" s="55"/>
      <c r="NEM15" s="55"/>
      <c r="NEN15" s="55"/>
      <c r="NEO15" s="55"/>
      <c r="NEP15" s="55"/>
      <c r="NEQ15" s="55"/>
      <c r="NER15" s="55"/>
      <c r="NES15" s="55"/>
      <c r="NET15" s="55"/>
      <c r="NEU15" s="55"/>
      <c r="NEV15" s="55"/>
      <c r="NEW15" s="55"/>
      <c r="NEX15" s="55"/>
      <c r="NEY15" s="55"/>
      <c r="NEZ15" s="55"/>
      <c r="NFA15" s="55"/>
      <c r="NFB15" s="55"/>
      <c r="NFC15" s="55"/>
      <c r="NFD15" s="55"/>
      <c r="NFE15" s="55"/>
      <c r="NFF15" s="55"/>
      <c r="NFG15" s="55"/>
      <c r="NFH15" s="55"/>
      <c r="NFI15" s="55"/>
      <c r="NFJ15" s="55"/>
      <c r="NFK15" s="55"/>
      <c r="NFL15" s="55"/>
      <c r="NFM15" s="55"/>
      <c r="NFN15" s="55"/>
      <c r="NFO15" s="55"/>
      <c r="NFP15" s="55"/>
      <c r="NFQ15" s="55"/>
      <c r="NFR15" s="55"/>
      <c r="NFS15" s="55"/>
      <c r="NFT15" s="55"/>
      <c r="NFU15" s="55"/>
      <c r="NFV15" s="55"/>
      <c r="NFW15" s="55"/>
      <c r="NFX15" s="55"/>
      <c r="NFY15" s="55"/>
      <c r="NFZ15" s="55"/>
      <c r="NGA15" s="55"/>
      <c r="NGB15" s="55"/>
      <c r="NGC15" s="55"/>
      <c r="NGD15" s="55"/>
      <c r="NGE15" s="55"/>
      <c r="NGF15" s="55"/>
      <c r="NGG15" s="55"/>
      <c r="NGH15" s="55"/>
      <c r="NGI15" s="55"/>
      <c r="NGJ15" s="55"/>
      <c r="NGK15" s="55"/>
      <c r="NGL15" s="55"/>
      <c r="NGM15" s="55"/>
      <c r="NGN15" s="55"/>
      <c r="NGO15" s="55"/>
      <c r="NGP15" s="55"/>
      <c r="NGQ15" s="55"/>
      <c r="NGR15" s="55"/>
      <c r="NGS15" s="55"/>
      <c r="NGT15" s="55"/>
      <c r="NGU15" s="55"/>
      <c r="NGV15" s="55"/>
      <c r="NGW15" s="55"/>
      <c r="NGX15" s="55"/>
      <c r="NGY15" s="55"/>
      <c r="NGZ15" s="55"/>
      <c r="NHA15" s="55"/>
      <c r="NHB15" s="55"/>
      <c r="NHC15" s="55"/>
      <c r="NHD15" s="55"/>
      <c r="NHE15" s="55"/>
      <c r="NHF15" s="55"/>
      <c r="NHG15" s="55"/>
      <c r="NHH15" s="55"/>
      <c r="NHI15" s="55"/>
      <c r="NHJ15" s="55"/>
      <c r="NHK15" s="55"/>
      <c r="NHL15" s="55"/>
      <c r="NHM15" s="55"/>
      <c r="NHN15" s="55"/>
      <c r="NHO15" s="55"/>
      <c r="NHP15" s="55"/>
      <c r="NHQ15" s="55"/>
      <c r="NHR15" s="55"/>
      <c r="NHS15" s="55"/>
      <c r="NHT15" s="55"/>
      <c r="NHU15" s="55"/>
      <c r="NHV15" s="55"/>
      <c r="NHW15" s="55"/>
      <c r="NHX15" s="55"/>
      <c r="NHY15" s="55"/>
      <c r="NHZ15" s="55"/>
      <c r="NIA15" s="55"/>
      <c r="NIB15" s="55"/>
      <c r="NIC15" s="55"/>
      <c r="NID15" s="55"/>
      <c r="NIE15" s="55"/>
      <c r="NIF15" s="55"/>
      <c r="NIG15" s="55"/>
      <c r="NIH15" s="55"/>
      <c r="NII15" s="55"/>
      <c r="NIJ15" s="55"/>
      <c r="NIK15" s="55"/>
      <c r="NIL15" s="55"/>
      <c r="NIM15" s="55"/>
      <c r="NIN15" s="55"/>
      <c r="NIO15" s="55"/>
      <c r="NIP15" s="55"/>
      <c r="NIQ15" s="55"/>
      <c r="NIR15" s="55"/>
      <c r="NIS15" s="55"/>
      <c r="NIT15" s="55"/>
      <c r="NIU15" s="55"/>
      <c r="NIV15" s="55"/>
      <c r="NIW15" s="55"/>
      <c r="NIX15" s="55"/>
      <c r="NIY15" s="55"/>
      <c r="NIZ15" s="55"/>
      <c r="NJA15" s="55"/>
      <c r="NJB15" s="55"/>
      <c r="NJC15" s="55"/>
      <c r="NJD15" s="55"/>
      <c r="NJE15" s="55"/>
      <c r="NJF15" s="55"/>
      <c r="NJG15" s="55"/>
      <c r="NJH15" s="55"/>
      <c r="NJI15" s="55"/>
      <c r="NJJ15" s="55"/>
      <c r="NJK15" s="55"/>
      <c r="NJL15" s="55"/>
      <c r="NJM15" s="55"/>
      <c r="NJN15" s="55"/>
      <c r="NJO15" s="55"/>
      <c r="NJP15" s="55"/>
      <c r="NJQ15" s="55"/>
      <c r="NJR15" s="55"/>
      <c r="NJS15" s="55"/>
      <c r="NJT15" s="55"/>
      <c r="NJU15" s="55"/>
      <c r="NJV15" s="55"/>
      <c r="NJW15" s="55"/>
      <c r="NJX15" s="55"/>
      <c r="NJY15" s="55"/>
      <c r="NJZ15" s="55"/>
      <c r="NKA15" s="55"/>
      <c r="NKB15" s="55"/>
      <c r="NKC15" s="55"/>
      <c r="NKD15" s="55"/>
      <c r="NKE15" s="55"/>
      <c r="NKF15" s="55"/>
      <c r="NKG15" s="55"/>
      <c r="NKH15" s="55"/>
      <c r="NKI15" s="55"/>
      <c r="NKJ15" s="55"/>
      <c r="NKK15" s="55"/>
      <c r="NKL15" s="55"/>
      <c r="NKM15" s="55"/>
      <c r="NKN15" s="55"/>
      <c r="NKO15" s="55"/>
      <c r="NKP15" s="55"/>
      <c r="NKQ15" s="55"/>
      <c r="NKR15" s="55"/>
      <c r="NKS15" s="55"/>
      <c r="NKT15" s="55"/>
      <c r="NKU15" s="55"/>
      <c r="NKV15" s="55"/>
      <c r="NKW15" s="55"/>
      <c r="NKX15" s="55"/>
      <c r="NKY15" s="55"/>
      <c r="NKZ15" s="55"/>
      <c r="NLA15" s="55"/>
      <c r="NLB15" s="55"/>
      <c r="NLC15" s="55"/>
      <c r="NLD15" s="55"/>
      <c r="NLE15" s="55"/>
      <c r="NLF15" s="55"/>
      <c r="NLG15" s="55"/>
      <c r="NLH15" s="55"/>
      <c r="NLI15" s="55"/>
      <c r="NLJ15" s="55"/>
      <c r="NLK15" s="55"/>
      <c r="NLL15" s="55"/>
      <c r="NLM15" s="55"/>
      <c r="NLN15" s="55"/>
      <c r="NLO15" s="55"/>
      <c r="NLP15" s="55"/>
      <c r="NLQ15" s="55"/>
      <c r="NLR15" s="55"/>
      <c r="NLS15" s="55"/>
      <c r="NLT15" s="55"/>
      <c r="NLU15" s="55"/>
      <c r="NLV15" s="55"/>
      <c r="NLW15" s="55"/>
      <c r="NLX15" s="55"/>
      <c r="NLY15" s="55"/>
      <c r="NLZ15" s="55"/>
      <c r="NMA15" s="55"/>
      <c r="NMB15" s="55"/>
      <c r="NMC15" s="55"/>
      <c r="NMD15" s="55"/>
      <c r="NME15" s="55"/>
      <c r="NMF15" s="55"/>
      <c r="NMG15" s="55"/>
      <c r="NMH15" s="55"/>
      <c r="NMI15" s="55"/>
      <c r="NMJ15" s="55"/>
      <c r="NMK15" s="55"/>
      <c r="NML15" s="55"/>
      <c r="NMM15" s="55"/>
      <c r="NMN15" s="55"/>
      <c r="NMO15" s="55"/>
      <c r="NMP15" s="55"/>
      <c r="NMQ15" s="55"/>
      <c r="NMR15" s="55"/>
      <c r="NMS15" s="55"/>
      <c r="NMT15" s="55"/>
      <c r="NMU15" s="55"/>
      <c r="NMV15" s="55"/>
      <c r="NMW15" s="55"/>
      <c r="NMX15" s="55"/>
      <c r="NMY15" s="55"/>
      <c r="NMZ15" s="55"/>
      <c r="NNA15" s="55"/>
      <c r="NNB15" s="55"/>
      <c r="NNC15" s="55"/>
      <c r="NND15" s="55"/>
      <c r="NNE15" s="55"/>
      <c r="NNF15" s="55"/>
      <c r="NNG15" s="55"/>
      <c r="NNH15" s="55"/>
      <c r="NNI15" s="55"/>
      <c r="NNJ15" s="55"/>
      <c r="NNK15" s="55"/>
      <c r="NNL15" s="55"/>
      <c r="NNM15" s="55"/>
      <c r="NNN15" s="55"/>
      <c r="NNO15" s="55"/>
      <c r="NNP15" s="55"/>
      <c r="NNQ15" s="55"/>
      <c r="NNR15" s="55"/>
      <c r="NNS15" s="55"/>
      <c r="NNT15" s="55"/>
      <c r="NNU15" s="55"/>
      <c r="NNV15" s="55"/>
      <c r="NNW15" s="55"/>
      <c r="NNX15" s="55"/>
      <c r="NNY15" s="55"/>
      <c r="NNZ15" s="55"/>
      <c r="NOA15" s="55"/>
      <c r="NOB15" s="55"/>
      <c r="NOC15" s="55"/>
      <c r="NOD15" s="55"/>
      <c r="NOE15" s="55"/>
      <c r="NOF15" s="55"/>
      <c r="NOG15" s="55"/>
      <c r="NOH15" s="55"/>
      <c r="NOI15" s="55"/>
      <c r="NOJ15" s="55"/>
      <c r="NOK15" s="55"/>
      <c r="NOL15" s="55"/>
      <c r="NOM15" s="55"/>
      <c r="NON15" s="55"/>
      <c r="NOO15" s="55"/>
      <c r="NOP15" s="55"/>
      <c r="NOQ15" s="55"/>
      <c r="NOR15" s="55"/>
      <c r="NOS15" s="55"/>
      <c r="NOT15" s="55"/>
      <c r="NOU15" s="55"/>
      <c r="NOV15" s="55"/>
      <c r="NOW15" s="55"/>
      <c r="NOX15" s="55"/>
      <c r="NOY15" s="55"/>
      <c r="NOZ15" s="55"/>
      <c r="NPA15" s="55"/>
      <c r="NPB15" s="55"/>
      <c r="NPC15" s="55"/>
      <c r="NPD15" s="55"/>
      <c r="NPE15" s="55"/>
      <c r="NPF15" s="55"/>
      <c r="NPG15" s="55"/>
      <c r="NPH15" s="55"/>
      <c r="NPI15" s="55"/>
      <c r="NPJ15" s="55"/>
      <c r="NPK15" s="55"/>
      <c r="NPL15" s="55"/>
      <c r="NPM15" s="55"/>
      <c r="NPN15" s="55"/>
      <c r="NPO15" s="55"/>
      <c r="NPP15" s="55"/>
      <c r="NPQ15" s="55"/>
      <c r="NPR15" s="55"/>
      <c r="NPS15" s="55"/>
      <c r="NPT15" s="55"/>
      <c r="NPU15" s="55"/>
      <c r="NPV15" s="55"/>
      <c r="NPW15" s="55"/>
      <c r="NPX15" s="55"/>
      <c r="NPY15" s="55"/>
      <c r="NPZ15" s="55"/>
      <c r="NQA15" s="55"/>
      <c r="NQB15" s="55"/>
      <c r="NQC15" s="55"/>
      <c r="NQD15" s="55"/>
      <c r="NQE15" s="55"/>
      <c r="NQF15" s="55"/>
      <c r="NQG15" s="55"/>
      <c r="NQH15" s="55"/>
      <c r="NQI15" s="55"/>
      <c r="NQJ15" s="55"/>
      <c r="NQK15" s="55"/>
      <c r="NQL15" s="55"/>
      <c r="NQM15" s="55"/>
      <c r="NQN15" s="55"/>
      <c r="NQO15" s="55"/>
      <c r="NQP15" s="55"/>
      <c r="NQQ15" s="55"/>
      <c r="NQR15" s="55"/>
      <c r="NQS15" s="55"/>
      <c r="NQT15" s="55"/>
      <c r="NQU15" s="55"/>
      <c r="NQV15" s="55"/>
      <c r="NQW15" s="55"/>
      <c r="NQX15" s="55"/>
      <c r="NQY15" s="55"/>
      <c r="NQZ15" s="55"/>
      <c r="NRA15" s="55"/>
      <c r="NRB15" s="55"/>
      <c r="NRC15" s="55"/>
      <c r="NRD15" s="55"/>
      <c r="NRE15" s="55"/>
      <c r="NRF15" s="55"/>
      <c r="NRG15" s="55"/>
      <c r="NRH15" s="55"/>
      <c r="NRI15" s="55"/>
      <c r="NRJ15" s="55"/>
      <c r="NRK15" s="55"/>
      <c r="NRL15" s="55"/>
      <c r="NRM15" s="55"/>
      <c r="NRN15" s="55"/>
      <c r="NRO15" s="55"/>
      <c r="NRP15" s="55"/>
      <c r="NRQ15" s="55"/>
      <c r="NRR15" s="55"/>
      <c r="NRS15" s="55"/>
      <c r="NRT15" s="55"/>
      <c r="NRU15" s="55"/>
      <c r="NRV15" s="55"/>
      <c r="NRW15" s="55"/>
      <c r="NRX15" s="55"/>
      <c r="NRY15" s="55"/>
      <c r="NRZ15" s="55"/>
      <c r="NSA15" s="55"/>
      <c r="NSB15" s="55"/>
      <c r="NSC15" s="55"/>
      <c r="NSD15" s="55"/>
      <c r="NSE15" s="55"/>
      <c r="NSF15" s="55"/>
      <c r="NSG15" s="55"/>
      <c r="NSH15" s="55"/>
      <c r="NSI15" s="55"/>
      <c r="NSJ15" s="55"/>
      <c r="NSK15" s="55"/>
      <c r="NSL15" s="55"/>
      <c r="NSM15" s="55"/>
      <c r="NSN15" s="55"/>
      <c r="NSO15" s="55"/>
      <c r="NSP15" s="55"/>
      <c r="NSQ15" s="55"/>
      <c r="NSR15" s="55"/>
      <c r="NSS15" s="55"/>
      <c r="NST15" s="55"/>
      <c r="NSU15" s="55"/>
      <c r="NSV15" s="55"/>
      <c r="NSW15" s="55"/>
      <c r="NSX15" s="55"/>
      <c r="NSY15" s="55"/>
      <c r="NSZ15" s="55"/>
      <c r="NTA15" s="55"/>
      <c r="NTB15" s="55"/>
      <c r="NTC15" s="55"/>
      <c r="NTD15" s="55"/>
      <c r="NTE15" s="55"/>
      <c r="NTF15" s="55"/>
      <c r="NTG15" s="55"/>
      <c r="NTH15" s="55"/>
      <c r="NTI15" s="55"/>
      <c r="NTJ15" s="55"/>
      <c r="NTK15" s="55"/>
      <c r="NTL15" s="55"/>
      <c r="NTM15" s="55"/>
      <c r="NTN15" s="55"/>
      <c r="NTO15" s="55"/>
      <c r="NTP15" s="55"/>
      <c r="NTQ15" s="55"/>
      <c r="NTR15" s="55"/>
      <c r="NTS15" s="55"/>
      <c r="NTT15" s="55"/>
      <c r="NTU15" s="55"/>
      <c r="NTV15" s="55"/>
      <c r="NTW15" s="55"/>
      <c r="NTX15" s="55"/>
      <c r="NTY15" s="55"/>
      <c r="NTZ15" s="55"/>
      <c r="NUA15" s="55"/>
      <c r="NUB15" s="55"/>
      <c r="NUC15" s="55"/>
      <c r="NUD15" s="55"/>
      <c r="NUE15" s="55"/>
      <c r="NUF15" s="55"/>
      <c r="NUG15" s="55"/>
      <c r="NUH15" s="55"/>
      <c r="NUI15" s="55"/>
      <c r="NUJ15" s="55"/>
      <c r="NUK15" s="55"/>
      <c r="NUL15" s="55"/>
      <c r="NUM15" s="55"/>
      <c r="NUN15" s="55"/>
      <c r="NUO15" s="55"/>
      <c r="NUP15" s="55"/>
      <c r="NUQ15" s="55"/>
      <c r="NUR15" s="55"/>
      <c r="NUS15" s="55"/>
      <c r="NUT15" s="55"/>
      <c r="NUU15" s="55"/>
      <c r="NUV15" s="55"/>
      <c r="NUW15" s="55"/>
      <c r="NUX15" s="55"/>
      <c r="NUY15" s="55"/>
      <c r="NUZ15" s="55"/>
      <c r="NVA15" s="55"/>
      <c r="NVB15" s="55"/>
      <c r="NVC15" s="55"/>
      <c r="NVD15" s="55"/>
      <c r="NVE15" s="55"/>
      <c r="NVF15" s="55"/>
      <c r="NVG15" s="55"/>
      <c r="NVH15" s="55"/>
      <c r="NVI15" s="55"/>
      <c r="NVJ15" s="55"/>
      <c r="NVK15" s="55"/>
      <c r="NVL15" s="55"/>
      <c r="NVM15" s="55"/>
      <c r="NVN15" s="55"/>
      <c r="NVO15" s="55"/>
      <c r="NVP15" s="55"/>
      <c r="NVQ15" s="55"/>
      <c r="NVR15" s="55"/>
      <c r="NVS15" s="55"/>
      <c r="NVT15" s="55"/>
      <c r="NVU15" s="55"/>
      <c r="NVV15" s="55"/>
      <c r="NVW15" s="55"/>
      <c r="NVX15" s="55"/>
      <c r="NVY15" s="55"/>
      <c r="NVZ15" s="55"/>
      <c r="NWA15" s="55"/>
      <c r="NWB15" s="55"/>
      <c r="NWC15" s="55"/>
      <c r="NWD15" s="55"/>
      <c r="NWE15" s="55"/>
      <c r="NWF15" s="55"/>
      <c r="NWG15" s="55"/>
      <c r="NWH15" s="55"/>
      <c r="NWI15" s="55"/>
      <c r="NWJ15" s="55"/>
      <c r="NWK15" s="55"/>
      <c r="NWL15" s="55"/>
      <c r="NWM15" s="55"/>
      <c r="NWN15" s="55"/>
      <c r="NWO15" s="55"/>
      <c r="NWP15" s="55"/>
      <c r="NWQ15" s="55"/>
      <c r="NWR15" s="55"/>
      <c r="NWS15" s="55"/>
      <c r="NWT15" s="55"/>
      <c r="NWU15" s="55"/>
      <c r="NWV15" s="55"/>
      <c r="NWW15" s="55"/>
      <c r="NWX15" s="55"/>
      <c r="NWY15" s="55"/>
      <c r="NWZ15" s="55"/>
      <c r="NXA15" s="55"/>
      <c r="NXB15" s="55"/>
      <c r="NXC15" s="55"/>
      <c r="NXD15" s="55"/>
      <c r="NXE15" s="55"/>
      <c r="NXF15" s="55"/>
      <c r="NXG15" s="55"/>
      <c r="NXH15" s="55"/>
      <c r="NXI15" s="55"/>
      <c r="NXJ15" s="55"/>
      <c r="NXK15" s="55"/>
      <c r="NXL15" s="55"/>
      <c r="NXM15" s="55"/>
      <c r="NXN15" s="55"/>
      <c r="NXO15" s="55"/>
      <c r="NXP15" s="55"/>
      <c r="NXQ15" s="55"/>
      <c r="NXR15" s="55"/>
      <c r="NXS15" s="55"/>
      <c r="NXT15" s="55"/>
      <c r="NXU15" s="55"/>
      <c r="NXV15" s="55"/>
      <c r="NXW15" s="55"/>
      <c r="NXX15" s="55"/>
      <c r="NXY15" s="55"/>
      <c r="NXZ15" s="55"/>
      <c r="NYA15" s="55"/>
      <c r="NYB15" s="55"/>
      <c r="NYC15" s="55"/>
      <c r="NYD15" s="55"/>
      <c r="NYE15" s="55"/>
      <c r="NYF15" s="55"/>
      <c r="NYG15" s="55"/>
      <c r="NYH15" s="55"/>
      <c r="NYI15" s="55"/>
      <c r="NYJ15" s="55"/>
      <c r="NYK15" s="55"/>
      <c r="NYL15" s="55"/>
      <c r="NYM15" s="55"/>
      <c r="NYN15" s="55"/>
      <c r="NYO15" s="55"/>
      <c r="NYP15" s="55"/>
      <c r="NYQ15" s="55"/>
      <c r="NYR15" s="55"/>
      <c r="NYS15" s="55"/>
      <c r="NYT15" s="55"/>
      <c r="NYU15" s="55"/>
      <c r="NYV15" s="55"/>
      <c r="NYW15" s="55"/>
      <c r="NYX15" s="55"/>
      <c r="NYY15" s="55"/>
      <c r="NYZ15" s="55"/>
      <c r="NZA15" s="55"/>
      <c r="NZB15" s="55"/>
      <c r="NZC15" s="55"/>
      <c r="NZD15" s="55"/>
      <c r="NZE15" s="55"/>
      <c r="NZF15" s="55"/>
      <c r="NZG15" s="55"/>
      <c r="NZH15" s="55"/>
      <c r="NZI15" s="55"/>
      <c r="NZJ15" s="55"/>
      <c r="NZK15" s="55"/>
      <c r="NZL15" s="55"/>
      <c r="NZM15" s="55"/>
      <c r="NZN15" s="55"/>
      <c r="NZO15" s="55"/>
      <c r="NZP15" s="55"/>
      <c r="NZQ15" s="55"/>
      <c r="NZR15" s="55"/>
      <c r="NZS15" s="55"/>
      <c r="NZT15" s="55"/>
      <c r="NZU15" s="55"/>
      <c r="NZV15" s="55"/>
      <c r="NZW15" s="55"/>
      <c r="NZX15" s="55"/>
      <c r="NZY15" s="55"/>
      <c r="NZZ15" s="55"/>
      <c r="OAA15" s="55"/>
      <c r="OAB15" s="55"/>
      <c r="OAC15" s="55"/>
      <c r="OAD15" s="55"/>
      <c r="OAE15" s="55"/>
      <c r="OAF15" s="55"/>
      <c r="OAG15" s="55"/>
      <c r="OAH15" s="55"/>
      <c r="OAI15" s="55"/>
      <c r="OAJ15" s="55"/>
      <c r="OAK15" s="55"/>
      <c r="OAL15" s="55"/>
      <c r="OAM15" s="55"/>
      <c r="OAN15" s="55"/>
      <c r="OAO15" s="55"/>
      <c r="OAP15" s="55"/>
      <c r="OAQ15" s="55"/>
      <c r="OAR15" s="55"/>
      <c r="OAS15" s="55"/>
      <c r="OAT15" s="55"/>
      <c r="OAU15" s="55"/>
      <c r="OAV15" s="55"/>
      <c r="OAW15" s="55"/>
      <c r="OAX15" s="55"/>
      <c r="OAY15" s="55"/>
      <c r="OAZ15" s="55"/>
      <c r="OBA15" s="55"/>
      <c r="OBB15" s="55"/>
      <c r="OBC15" s="55"/>
      <c r="OBD15" s="55"/>
      <c r="OBE15" s="55"/>
      <c r="OBF15" s="55"/>
      <c r="OBG15" s="55"/>
      <c r="OBH15" s="55"/>
      <c r="OBI15" s="55"/>
      <c r="OBJ15" s="55"/>
      <c r="OBK15" s="55"/>
      <c r="OBL15" s="55"/>
      <c r="OBM15" s="55"/>
      <c r="OBN15" s="55"/>
      <c r="OBO15" s="55"/>
      <c r="OBP15" s="55"/>
      <c r="OBQ15" s="55"/>
      <c r="OBR15" s="55"/>
      <c r="OBS15" s="55"/>
      <c r="OBT15" s="55"/>
      <c r="OBU15" s="55"/>
      <c r="OBV15" s="55"/>
      <c r="OBW15" s="55"/>
      <c r="OBX15" s="55"/>
      <c r="OBY15" s="55"/>
      <c r="OBZ15" s="55"/>
      <c r="OCA15" s="55"/>
      <c r="OCB15" s="55"/>
      <c r="OCC15" s="55"/>
      <c r="OCD15" s="55"/>
      <c r="OCE15" s="55"/>
      <c r="OCF15" s="55"/>
      <c r="OCG15" s="55"/>
      <c r="OCH15" s="55"/>
      <c r="OCI15" s="55"/>
      <c r="OCJ15" s="55"/>
      <c r="OCK15" s="55"/>
      <c r="OCL15" s="55"/>
      <c r="OCM15" s="55"/>
      <c r="OCN15" s="55"/>
      <c r="OCO15" s="55"/>
      <c r="OCP15" s="55"/>
      <c r="OCQ15" s="55"/>
      <c r="OCR15" s="55"/>
      <c r="OCS15" s="55"/>
      <c r="OCT15" s="55"/>
      <c r="OCU15" s="55"/>
      <c r="OCV15" s="55"/>
      <c r="OCW15" s="55"/>
      <c r="OCX15" s="55"/>
      <c r="OCY15" s="55"/>
      <c r="OCZ15" s="55"/>
      <c r="ODA15" s="55"/>
      <c r="ODB15" s="55"/>
      <c r="ODC15" s="55"/>
      <c r="ODD15" s="55"/>
      <c r="ODE15" s="55"/>
      <c r="ODF15" s="55"/>
      <c r="ODG15" s="55"/>
      <c r="ODH15" s="55"/>
      <c r="ODI15" s="55"/>
      <c r="ODJ15" s="55"/>
      <c r="ODK15" s="55"/>
      <c r="ODL15" s="55"/>
      <c r="ODM15" s="55"/>
      <c r="ODN15" s="55"/>
      <c r="ODO15" s="55"/>
      <c r="ODP15" s="55"/>
      <c r="ODQ15" s="55"/>
      <c r="ODR15" s="55"/>
      <c r="ODS15" s="55"/>
      <c r="ODT15" s="55"/>
      <c r="ODU15" s="55"/>
      <c r="ODV15" s="55"/>
      <c r="ODW15" s="55"/>
      <c r="ODX15" s="55"/>
      <c r="ODY15" s="55"/>
      <c r="ODZ15" s="55"/>
      <c r="OEA15" s="55"/>
      <c r="OEB15" s="55"/>
      <c r="OEC15" s="55"/>
      <c r="OED15" s="55"/>
      <c r="OEE15" s="55"/>
      <c r="OEF15" s="55"/>
      <c r="OEG15" s="55"/>
      <c r="OEH15" s="55"/>
      <c r="OEI15" s="55"/>
      <c r="OEJ15" s="55"/>
      <c r="OEK15" s="55"/>
      <c r="OEL15" s="55"/>
      <c r="OEM15" s="55"/>
      <c r="OEN15" s="55"/>
      <c r="OEO15" s="55"/>
      <c r="OEP15" s="55"/>
      <c r="OEQ15" s="55"/>
      <c r="OER15" s="55"/>
      <c r="OES15" s="55"/>
      <c r="OET15" s="55"/>
      <c r="OEU15" s="55"/>
      <c r="OEV15" s="55"/>
      <c r="OEW15" s="55"/>
      <c r="OEX15" s="55"/>
      <c r="OEY15" s="55"/>
      <c r="OEZ15" s="55"/>
      <c r="OFA15" s="55"/>
      <c r="OFB15" s="55"/>
      <c r="OFC15" s="55"/>
      <c r="OFD15" s="55"/>
      <c r="OFE15" s="55"/>
      <c r="OFF15" s="55"/>
      <c r="OFG15" s="55"/>
      <c r="OFH15" s="55"/>
      <c r="OFI15" s="55"/>
      <c r="OFJ15" s="55"/>
      <c r="OFK15" s="55"/>
      <c r="OFL15" s="55"/>
      <c r="OFM15" s="55"/>
      <c r="OFN15" s="55"/>
      <c r="OFO15" s="55"/>
      <c r="OFP15" s="55"/>
      <c r="OFQ15" s="55"/>
      <c r="OFR15" s="55"/>
      <c r="OFS15" s="55"/>
      <c r="OFT15" s="55"/>
      <c r="OFU15" s="55"/>
      <c r="OFV15" s="55"/>
      <c r="OFW15" s="55"/>
      <c r="OFX15" s="55"/>
      <c r="OFY15" s="55"/>
      <c r="OFZ15" s="55"/>
      <c r="OGA15" s="55"/>
      <c r="OGB15" s="55"/>
      <c r="OGC15" s="55"/>
      <c r="OGD15" s="55"/>
      <c r="OGE15" s="55"/>
      <c r="OGF15" s="55"/>
      <c r="OGG15" s="55"/>
      <c r="OGH15" s="55"/>
      <c r="OGI15" s="55"/>
      <c r="OGJ15" s="55"/>
      <c r="OGK15" s="55"/>
      <c r="OGL15" s="55"/>
      <c r="OGM15" s="55"/>
      <c r="OGN15" s="55"/>
      <c r="OGO15" s="55"/>
      <c r="OGP15" s="55"/>
      <c r="OGQ15" s="55"/>
      <c r="OGR15" s="55"/>
      <c r="OGS15" s="55"/>
      <c r="OGT15" s="55"/>
      <c r="OGU15" s="55"/>
      <c r="OGV15" s="55"/>
      <c r="OGW15" s="55"/>
      <c r="OGX15" s="55"/>
      <c r="OGY15" s="55"/>
      <c r="OGZ15" s="55"/>
      <c r="OHA15" s="55"/>
      <c r="OHB15" s="55"/>
      <c r="OHC15" s="55"/>
      <c r="OHD15" s="55"/>
      <c r="OHE15" s="55"/>
      <c r="OHF15" s="55"/>
      <c r="OHG15" s="55"/>
      <c r="OHH15" s="55"/>
      <c r="OHI15" s="55"/>
      <c r="OHJ15" s="55"/>
      <c r="OHK15" s="55"/>
      <c r="OHL15" s="55"/>
      <c r="OHM15" s="55"/>
      <c r="OHN15" s="55"/>
      <c r="OHO15" s="55"/>
      <c r="OHP15" s="55"/>
      <c r="OHQ15" s="55"/>
      <c r="OHR15" s="55"/>
      <c r="OHS15" s="55"/>
      <c r="OHT15" s="55"/>
      <c r="OHU15" s="55"/>
      <c r="OHV15" s="55"/>
      <c r="OHW15" s="55"/>
      <c r="OHX15" s="55"/>
      <c r="OHY15" s="55"/>
      <c r="OHZ15" s="55"/>
      <c r="OIA15" s="55"/>
      <c r="OIB15" s="55"/>
      <c r="OIC15" s="55"/>
      <c r="OID15" s="55"/>
      <c r="OIE15" s="55"/>
      <c r="OIF15" s="55"/>
      <c r="OIG15" s="55"/>
      <c r="OIH15" s="55"/>
      <c r="OII15" s="55"/>
      <c r="OIJ15" s="55"/>
      <c r="OIK15" s="55"/>
      <c r="OIL15" s="55"/>
      <c r="OIM15" s="55"/>
      <c r="OIN15" s="55"/>
      <c r="OIO15" s="55"/>
      <c r="OIP15" s="55"/>
      <c r="OIQ15" s="55"/>
      <c r="OIR15" s="55"/>
      <c r="OIS15" s="55"/>
      <c r="OIT15" s="55"/>
      <c r="OIU15" s="55"/>
      <c r="OIV15" s="55"/>
      <c r="OIW15" s="55"/>
      <c r="OIX15" s="55"/>
      <c r="OIY15" s="55"/>
      <c r="OIZ15" s="55"/>
      <c r="OJA15" s="55"/>
      <c r="OJB15" s="55"/>
      <c r="OJC15" s="55"/>
      <c r="OJD15" s="55"/>
      <c r="OJE15" s="55"/>
      <c r="OJF15" s="55"/>
      <c r="OJG15" s="55"/>
      <c r="OJH15" s="55"/>
      <c r="OJI15" s="55"/>
      <c r="OJJ15" s="55"/>
      <c r="OJK15" s="55"/>
      <c r="OJL15" s="55"/>
      <c r="OJM15" s="55"/>
      <c r="OJN15" s="55"/>
      <c r="OJO15" s="55"/>
      <c r="OJP15" s="55"/>
      <c r="OJQ15" s="55"/>
      <c r="OJR15" s="55"/>
      <c r="OJS15" s="55"/>
      <c r="OJT15" s="55"/>
      <c r="OJU15" s="55"/>
      <c r="OJV15" s="55"/>
      <c r="OJW15" s="55"/>
      <c r="OJX15" s="55"/>
      <c r="OJY15" s="55"/>
      <c r="OJZ15" s="55"/>
      <c r="OKA15" s="55"/>
      <c r="OKB15" s="55"/>
      <c r="OKC15" s="55"/>
      <c r="OKD15" s="55"/>
      <c r="OKE15" s="55"/>
      <c r="OKF15" s="55"/>
      <c r="OKG15" s="55"/>
      <c r="OKH15" s="55"/>
      <c r="OKI15" s="55"/>
      <c r="OKJ15" s="55"/>
      <c r="OKK15" s="55"/>
      <c r="OKL15" s="55"/>
      <c r="OKM15" s="55"/>
      <c r="OKN15" s="55"/>
      <c r="OKO15" s="55"/>
      <c r="OKP15" s="55"/>
      <c r="OKQ15" s="55"/>
      <c r="OKR15" s="55"/>
      <c r="OKS15" s="55"/>
      <c r="OKT15" s="55"/>
      <c r="OKU15" s="55"/>
      <c r="OKV15" s="55"/>
      <c r="OKW15" s="55"/>
      <c r="OKX15" s="55"/>
      <c r="OKY15" s="55"/>
      <c r="OKZ15" s="55"/>
      <c r="OLA15" s="55"/>
      <c r="OLB15" s="55"/>
      <c r="OLC15" s="55"/>
      <c r="OLD15" s="55"/>
      <c r="OLE15" s="55"/>
      <c r="OLF15" s="55"/>
      <c r="OLG15" s="55"/>
      <c r="OLH15" s="55"/>
      <c r="OLI15" s="55"/>
      <c r="OLJ15" s="55"/>
      <c r="OLK15" s="55"/>
      <c r="OLL15" s="55"/>
      <c r="OLM15" s="55"/>
      <c r="OLN15" s="55"/>
      <c r="OLO15" s="55"/>
      <c r="OLP15" s="55"/>
      <c r="OLQ15" s="55"/>
      <c r="OLR15" s="55"/>
      <c r="OLS15" s="55"/>
      <c r="OLT15" s="55"/>
      <c r="OLU15" s="55"/>
      <c r="OLV15" s="55"/>
      <c r="OLW15" s="55"/>
      <c r="OLX15" s="55"/>
      <c r="OLY15" s="55"/>
      <c r="OLZ15" s="55"/>
      <c r="OMA15" s="55"/>
      <c r="OMB15" s="55"/>
      <c r="OMC15" s="55"/>
      <c r="OMD15" s="55"/>
      <c r="OME15" s="55"/>
      <c r="OMF15" s="55"/>
      <c r="OMG15" s="55"/>
      <c r="OMH15" s="55"/>
      <c r="OMI15" s="55"/>
      <c r="OMJ15" s="55"/>
      <c r="OMK15" s="55"/>
      <c r="OML15" s="55"/>
      <c r="OMM15" s="55"/>
      <c r="OMN15" s="55"/>
      <c r="OMO15" s="55"/>
      <c r="OMP15" s="55"/>
      <c r="OMQ15" s="55"/>
      <c r="OMR15" s="55"/>
      <c r="OMS15" s="55"/>
      <c r="OMT15" s="55"/>
      <c r="OMU15" s="55"/>
      <c r="OMV15" s="55"/>
      <c r="OMW15" s="55"/>
      <c r="OMX15" s="55"/>
      <c r="OMY15" s="55"/>
      <c r="OMZ15" s="55"/>
      <c r="ONA15" s="55"/>
      <c r="ONB15" s="55"/>
      <c r="ONC15" s="55"/>
      <c r="OND15" s="55"/>
      <c r="ONE15" s="55"/>
      <c r="ONF15" s="55"/>
      <c r="ONG15" s="55"/>
      <c r="ONH15" s="55"/>
      <c r="ONI15" s="55"/>
      <c r="ONJ15" s="55"/>
      <c r="ONK15" s="55"/>
      <c r="ONL15" s="55"/>
      <c r="ONM15" s="55"/>
      <c r="ONN15" s="55"/>
      <c r="ONO15" s="55"/>
      <c r="ONP15" s="55"/>
      <c r="ONQ15" s="55"/>
      <c r="ONR15" s="55"/>
      <c r="ONS15" s="55"/>
      <c r="ONT15" s="55"/>
      <c r="ONU15" s="55"/>
      <c r="ONV15" s="55"/>
      <c r="ONW15" s="55"/>
      <c r="ONX15" s="55"/>
      <c r="ONY15" s="55"/>
      <c r="ONZ15" s="55"/>
      <c r="OOA15" s="55"/>
      <c r="OOB15" s="55"/>
      <c r="OOC15" s="55"/>
      <c r="OOD15" s="55"/>
      <c r="OOE15" s="55"/>
      <c r="OOF15" s="55"/>
      <c r="OOG15" s="55"/>
      <c r="OOH15" s="55"/>
      <c r="OOI15" s="55"/>
      <c r="OOJ15" s="55"/>
      <c r="OOK15" s="55"/>
      <c r="OOL15" s="55"/>
      <c r="OOM15" s="55"/>
      <c r="OON15" s="55"/>
      <c r="OOO15" s="55"/>
      <c r="OOP15" s="55"/>
      <c r="OOQ15" s="55"/>
      <c r="OOR15" s="55"/>
      <c r="OOS15" s="55"/>
      <c r="OOT15" s="55"/>
      <c r="OOU15" s="55"/>
      <c r="OOV15" s="55"/>
      <c r="OOW15" s="55"/>
      <c r="OOX15" s="55"/>
      <c r="OOY15" s="55"/>
      <c r="OOZ15" s="55"/>
      <c r="OPA15" s="55"/>
      <c r="OPB15" s="55"/>
      <c r="OPC15" s="55"/>
      <c r="OPD15" s="55"/>
      <c r="OPE15" s="55"/>
      <c r="OPF15" s="55"/>
      <c r="OPG15" s="55"/>
      <c r="OPH15" s="55"/>
      <c r="OPI15" s="55"/>
      <c r="OPJ15" s="55"/>
      <c r="OPK15" s="55"/>
      <c r="OPL15" s="55"/>
      <c r="OPM15" s="55"/>
      <c r="OPN15" s="55"/>
      <c r="OPO15" s="55"/>
      <c r="OPP15" s="55"/>
      <c r="OPQ15" s="55"/>
      <c r="OPR15" s="55"/>
      <c r="OPS15" s="55"/>
      <c r="OPT15" s="55"/>
      <c r="OPU15" s="55"/>
      <c r="OPV15" s="55"/>
      <c r="OPW15" s="55"/>
      <c r="OPX15" s="55"/>
      <c r="OPY15" s="55"/>
      <c r="OPZ15" s="55"/>
      <c r="OQA15" s="55"/>
      <c r="OQB15" s="55"/>
      <c r="OQC15" s="55"/>
      <c r="OQD15" s="55"/>
      <c r="OQE15" s="55"/>
      <c r="OQF15" s="55"/>
      <c r="OQG15" s="55"/>
      <c r="OQH15" s="55"/>
      <c r="OQI15" s="55"/>
      <c r="OQJ15" s="55"/>
      <c r="OQK15" s="55"/>
      <c r="OQL15" s="55"/>
      <c r="OQM15" s="55"/>
      <c r="OQN15" s="55"/>
      <c r="OQO15" s="55"/>
      <c r="OQP15" s="55"/>
      <c r="OQQ15" s="55"/>
      <c r="OQR15" s="55"/>
      <c r="OQS15" s="55"/>
      <c r="OQT15" s="55"/>
      <c r="OQU15" s="55"/>
      <c r="OQV15" s="55"/>
      <c r="OQW15" s="55"/>
      <c r="OQX15" s="55"/>
      <c r="OQY15" s="55"/>
      <c r="OQZ15" s="55"/>
      <c r="ORA15" s="55"/>
      <c r="ORB15" s="55"/>
      <c r="ORC15" s="55"/>
      <c r="ORD15" s="55"/>
      <c r="ORE15" s="55"/>
      <c r="ORF15" s="55"/>
      <c r="ORG15" s="55"/>
      <c r="ORH15" s="55"/>
      <c r="ORI15" s="55"/>
      <c r="ORJ15" s="55"/>
      <c r="ORK15" s="55"/>
      <c r="ORL15" s="55"/>
      <c r="ORM15" s="55"/>
      <c r="ORN15" s="55"/>
      <c r="ORO15" s="55"/>
      <c r="ORP15" s="55"/>
      <c r="ORQ15" s="55"/>
      <c r="ORR15" s="55"/>
      <c r="ORS15" s="55"/>
      <c r="ORT15" s="55"/>
      <c r="ORU15" s="55"/>
      <c r="ORV15" s="55"/>
      <c r="ORW15" s="55"/>
      <c r="ORX15" s="55"/>
      <c r="ORY15" s="55"/>
      <c r="ORZ15" s="55"/>
      <c r="OSA15" s="55"/>
      <c r="OSB15" s="55"/>
      <c r="OSC15" s="55"/>
      <c r="OSD15" s="55"/>
      <c r="OSE15" s="55"/>
      <c r="OSF15" s="55"/>
      <c r="OSG15" s="55"/>
      <c r="OSH15" s="55"/>
      <c r="OSI15" s="55"/>
      <c r="OSJ15" s="55"/>
      <c r="OSK15" s="55"/>
      <c r="OSL15" s="55"/>
      <c r="OSM15" s="55"/>
      <c r="OSN15" s="55"/>
      <c r="OSO15" s="55"/>
      <c r="OSP15" s="55"/>
      <c r="OSQ15" s="55"/>
      <c r="OSR15" s="55"/>
      <c r="OSS15" s="55"/>
      <c r="OST15" s="55"/>
      <c r="OSU15" s="55"/>
      <c r="OSV15" s="55"/>
      <c r="OSW15" s="55"/>
      <c r="OSX15" s="55"/>
      <c r="OSY15" s="55"/>
      <c r="OSZ15" s="55"/>
      <c r="OTA15" s="55"/>
      <c r="OTB15" s="55"/>
      <c r="OTC15" s="55"/>
      <c r="OTD15" s="55"/>
      <c r="OTE15" s="55"/>
      <c r="OTF15" s="55"/>
      <c r="OTG15" s="55"/>
      <c r="OTH15" s="55"/>
      <c r="OTI15" s="55"/>
      <c r="OTJ15" s="55"/>
      <c r="OTK15" s="55"/>
      <c r="OTL15" s="55"/>
      <c r="OTM15" s="55"/>
      <c r="OTN15" s="55"/>
      <c r="OTO15" s="55"/>
      <c r="OTP15" s="55"/>
      <c r="OTQ15" s="55"/>
      <c r="OTR15" s="55"/>
      <c r="OTS15" s="55"/>
      <c r="OTT15" s="55"/>
      <c r="OTU15" s="55"/>
      <c r="OTV15" s="55"/>
      <c r="OTW15" s="55"/>
      <c r="OTX15" s="55"/>
      <c r="OTY15" s="55"/>
      <c r="OTZ15" s="55"/>
      <c r="OUA15" s="55"/>
      <c r="OUB15" s="55"/>
      <c r="OUC15" s="55"/>
      <c r="OUD15" s="55"/>
      <c r="OUE15" s="55"/>
      <c r="OUF15" s="55"/>
      <c r="OUG15" s="55"/>
      <c r="OUH15" s="55"/>
      <c r="OUI15" s="55"/>
      <c r="OUJ15" s="55"/>
      <c r="OUK15" s="55"/>
      <c r="OUL15" s="55"/>
      <c r="OUM15" s="55"/>
      <c r="OUN15" s="55"/>
      <c r="OUO15" s="55"/>
      <c r="OUP15" s="55"/>
      <c r="OUQ15" s="55"/>
      <c r="OUR15" s="55"/>
      <c r="OUS15" s="55"/>
      <c r="OUT15" s="55"/>
      <c r="OUU15" s="55"/>
      <c r="OUV15" s="55"/>
      <c r="OUW15" s="55"/>
      <c r="OUX15" s="55"/>
      <c r="OUY15" s="55"/>
      <c r="OUZ15" s="55"/>
      <c r="OVA15" s="55"/>
      <c r="OVB15" s="55"/>
      <c r="OVC15" s="55"/>
      <c r="OVD15" s="55"/>
      <c r="OVE15" s="55"/>
      <c r="OVF15" s="55"/>
      <c r="OVG15" s="55"/>
      <c r="OVH15" s="55"/>
      <c r="OVI15" s="55"/>
      <c r="OVJ15" s="55"/>
      <c r="OVK15" s="55"/>
      <c r="OVL15" s="55"/>
      <c r="OVM15" s="55"/>
      <c r="OVN15" s="55"/>
      <c r="OVO15" s="55"/>
      <c r="OVP15" s="55"/>
      <c r="OVQ15" s="55"/>
      <c r="OVR15" s="55"/>
      <c r="OVS15" s="55"/>
      <c r="OVT15" s="55"/>
      <c r="OVU15" s="55"/>
      <c r="OVV15" s="55"/>
      <c r="OVW15" s="55"/>
      <c r="OVX15" s="55"/>
      <c r="OVY15" s="55"/>
      <c r="OVZ15" s="55"/>
      <c r="OWA15" s="55"/>
      <c r="OWB15" s="55"/>
      <c r="OWC15" s="55"/>
      <c r="OWD15" s="55"/>
      <c r="OWE15" s="55"/>
      <c r="OWF15" s="55"/>
      <c r="OWG15" s="55"/>
      <c r="OWH15" s="55"/>
      <c r="OWI15" s="55"/>
      <c r="OWJ15" s="55"/>
      <c r="OWK15" s="55"/>
      <c r="OWL15" s="55"/>
      <c r="OWM15" s="55"/>
      <c r="OWN15" s="55"/>
      <c r="OWO15" s="55"/>
      <c r="OWP15" s="55"/>
      <c r="OWQ15" s="55"/>
      <c r="OWR15" s="55"/>
      <c r="OWS15" s="55"/>
      <c r="OWT15" s="55"/>
      <c r="OWU15" s="55"/>
      <c r="OWV15" s="55"/>
      <c r="OWW15" s="55"/>
      <c r="OWX15" s="55"/>
      <c r="OWY15" s="55"/>
      <c r="OWZ15" s="55"/>
      <c r="OXA15" s="55"/>
      <c r="OXB15" s="55"/>
      <c r="OXC15" s="55"/>
      <c r="OXD15" s="55"/>
      <c r="OXE15" s="55"/>
      <c r="OXF15" s="55"/>
      <c r="OXG15" s="55"/>
      <c r="OXH15" s="55"/>
      <c r="OXI15" s="55"/>
      <c r="OXJ15" s="55"/>
      <c r="OXK15" s="55"/>
      <c r="OXL15" s="55"/>
      <c r="OXM15" s="55"/>
      <c r="OXN15" s="55"/>
      <c r="OXO15" s="55"/>
      <c r="OXP15" s="55"/>
      <c r="OXQ15" s="55"/>
      <c r="OXR15" s="55"/>
      <c r="OXS15" s="55"/>
      <c r="OXT15" s="55"/>
      <c r="OXU15" s="55"/>
      <c r="OXV15" s="55"/>
      <c r="OXW15" s="55"/>
      <c r="OXX15" s="55"/>
      <c r="OXY15" s="55"/>
      <c r="OXZ15" s="55"/>
      <c r="OYA15" s="55"/>
      <c r="OYB15" s="55"/>
      <c r="OYC15" s="55"/>
      <c r="OYD15" s="55"/>
      <c r="OYE15" s="55"/>
      <c r="OYF15" s="55"/>
      <c r="OYG15" s="55"/>
      <c r="OYH15" s="55"/>
      <c r="OYI15" s="55"/>
      <c r="OYJ15" s="55"/>
      <c r="OYK15" s="55"/>
      <c r="OYL15" s="55"/>
      <c r="OYM15" s="55"/>
      <c r="OYN15" s="55"/>
      <c r="OYO15" s="55"/>
      <c r="OYP15" s="55"/>
      <c r="OYQ15" s="55"/>
      <c r="OYR15" s="55"/>
      <c r="OYS15" s="55"/>
      <c r="OYT15" s="55"/>
      <c r="OYU15" s="55"/>
      <c r="OYV15" s="55"/>
      <c r="OYW15" s="55"/>
      <c r="OYX15" s="55"/>
      <c r="OYY15" s="55"/>
      <c r="OYZ15" s="55"/>
      <c r="OZA15" s="55"/>
      <c r="OZB15" s="55"/>
      <c r="OZC15" s="55"/>
      <c r="OZD15" s="55"/>
      <c r="OZE15" s="55"/>
      <c r="OZF15" s="55"/>
      <c r="OZG15" s="55"/>
      <c r="OZH15" s="55"/>
      <c r="OZI15" s="55"/>
      <c r="OZJ15" s="55"/>
      <c r="OZK15" s="55"/>
      <c r="OZL15" s="55"/>
      <c r="OZM15" s="55"/>
      <c r="OZN15" s="55"/>
      <c r="OZO15" s="55"/>
      <c r="OZP15" s="55"/>
      <c r="OZQ15" s="55"/>
      <c r="OZR15" s="55"/>
      <c r="OZS15" s="55"/>
      <c r="OZT15" s="55"/>
      <c r="OZU15" s="55"/>
      <c r="OZV15" s="55"/>
      <c r="OZW15" s="55"/>
      <c r="OZX15" s="55"/>
      <c r="OZY15" s="55"/>
      <c r="OZZ15" s="55"/>
      <c r="PAA15" s="55"/>
      <c r="PAB15" s="55"/>
      <c r="PAC15" s="55"/>
      <c r="PAD15" s="55"/>
      <c r="PAE15" s="55"/>
      <c r="PAF15" s="55"/>
      <c r="PAG15" s="55"/>
      <c r="PAH15" s="55"/>
      <c r="PAI15" s="55"/>
      <c r="PAJ15" s="55"/>
      <c r="PAK15" s="55"/>
      <c r="PAL15" s="55"/>
      <c r="PAM15" s="55"/>
      <c r="PAN15" s="55"/>
      <c r="PAO15" s="55"/>
      <c r="PAP15" s="55"/>
      <c r="PAQ15" s="55"/>
      <c r="PAR15" s="55"/>
      <c r="PAS15" s="55"/>
      <c r="PAT15" s="55"/>
      <c r="PAU15" s="55"/>
      <c r="PAV15" s="55"/>
      <c r="PAW15" s="55"/>
      <c r="PAX15" s="55"/>
      <c r="PAY15" s="55"/>
      <c r="PAZ15" s="55"/>
      <c r="PBA15" s="55"/>
      <c r="PBB15" s="55"/>
      <c r="PBC15" s="55"/>
      <c r="PBD15" s="55"/>
      <c r="PBE15" s="55"/>
      <c r="PBF15" s="55"/>
      <c r="PBG15" s="55"/>
      <c r="PBH15" s="55"/>
      <c r="PBI15" s="55"/>
      <c r="PBJ15" s="55"/>
      <c r="PBK15" s="55"/>
      <c r="PBL15" s="55"/>
      <c r="PBM15" s="55"/>
      <c r="PBN15" s="55"/>
      <c r="PBO15" s="55"/>
      <c r="PBP15" s="55"/>
      <c r="PBQ15" s="55"/>
      <c r="PBR15" s="55"/>
      <c r="PBS15" s="55"/>
      <c r="PBT15" s="55"/>
      <c r="PBU15" s="55"/>
      <c r="PBV15" s="55"/>
      <c r="PBW15" s="55"/>
      <c r="PBX15" s="55"/>
      <c r="PBY15" s="55"/>
      <c r="PBZ15" s="55"/>
      <c r="PCA15" s="55"/>
      <c r="PCB15" s="55"/>
      <c r="PCC15" s="55"/>
      <c r="PCD15" s="55"/>
      <c r="PCE15" s="55"/>
      <c r="PCF15" s="55"/>
      <c r="PCG15" s="55"/>
      <c r="PCH15" s="55"/>
      <c r="PCI15" s="55"/>
      <c r="PCJ15" s="55"/>
      <c r="PCK15" s="55"/>
      <c r="PCL15" s="55"/>
      <c r="PCM15" s="55"/>
      <c r="PCN15" s="55"/>
      <c r="PCO15" s="55"/>
      <c r="PCP15" s="55"/>
      <c r="PCQ15" s="55"/>
      <c r="PCR15" s="55"/>
      <c r="PCS15" s="55"/>
      <c r="PCT15" s="55"/>
      <c r="PCU15" s="55"/>
      <c r="PCV15" s="55"/>
      <c r="PCW15" s="55"/>
      <c r="PCX15" s="55"/>
      <c r="PCY15" s="55"/>
      <c r="PCZ15" s="55"/>
      <c r="PDA15" s="55"/>
      <c r="PDB15" s="55"/>
      <c r="PDC15" s="55"/>
      <c r="PDD15" s="55"/>
      <c r="PDE15" s="55"/>
      <c r="PDF15" s="55"/>
      <c r="PDG15" s="55"/>
      <c r="PDH15" s="55"/>
      <c r="PDI15" s="55"/>
      <c r="PDJ15" s="55"/>
      <c r="PDK15" s="55"/>
      <c r="PDL15" s="55"/>
      <c r="PDM15" s="55"/>
      <c r="PDN15" s="55"/>
      <c r="PDO15" s="55"/>
      <c r="PDP15" s="55"/>
      <c r="PDQ15" s="55"/>
      <c r="PDR15" s="55"/>
      <c r="PDS15" s="55"/>
      <c r="PDT15" s="55"/>
      <c r="PDU15" s="55"/>
      <c r="PDV15" s="55"/>
      <c r="PDW15" s="55"/>
      <c r="PDX15" s="55"/>
      <c r="PDY15" s="55"/>
      <c r="PDZ15" s="55"/>
      <c r="PEA15" s="55"/>
      <c r="PEB15" s="55"/>
      <c r="PEC15" s="55"/>
      <c r="PED15" s="55"/>
      <c r="PEE15" s="55"/>
      <c r="PEF15" s="55"/>
      <c r="PEG15" s="55"/>
      <c r="PEH15" s="55"/>
      <c r="PEI15" s="55"/>
      <c r="PEJ15" s="55"/>
      <c r="PEK15" s="55"/>
      <c r="PEL15" s="55"/>
      <c r="PEM15" s="55"/>
      <c r="PEN15" s="55"/>
      <c r="PEO15" s="55"/>
      <c r="PEP15" s="55"/>
      <c r="PEQ15" s="55"/>
      <c r="PER15" s="55"/>
      <c r="PES15" s="55"/>
      <c r="PET15" s="55"/>
      <c r="PEU15" s="55"/>
      <c r="PEV15" s="55"/>
      <c r="PEW15" s="55"/>
      <c r="PEX15" s="55"/>
      <c r="PEY15" s="55"/>
      <c r="PEZ15" s="55"/>
      <c r="PFA15" s="55"/>
      <c r="PFB15" s="55"/>
      <c r="PFC15" s="55"/>
      <c r="PFD15" s="55"/>
      <c r="PFE15" s="55"/>
      <c r="PFF15" s="55"/>
      <c r="PFG15" s="55"/>
      <c r="PFH15" s="55"/>
      <c r="PFI15" s="55"/>
      <c r="PFJ15" s="55"/>
      <c r="PFK15" s="55"/>
      <c r="PFL15" s="55"/>
      <c r="PFM15" s="55"/>
      <c r="PFN15" s="55"/>
      <c r="PFO15" s="55"/>
      <c r="PFP15" s="55"/>
      <c r="PFQ15" s="55"/>
      <c r="PFR15" s="55"/>
      <c r="PFS15" s="55"/>
      <c r="PFT15" s="55"/>
      <c r="PFU15" s="55"/>
      <c r="PFV15" s="55"/>
      <c r="PFW15" s="55"/>
      <c r="PFX15" s="55"/>
      <c r="PFY15" s="55"/>
      <c r="PFZ15" s="55"/>
      <c r="PGA15" s="55"/>
      <c r="PGB15" s="55"/>
      <c r="PGC15" s="55"/>
      <c r="PGD15" s="55"/>
      <c r="PGE15" s="55"/>
      <c r="PGF15" s="55"/>
      <c r="PGG15" s="55"/>
      <c r="PGH15" s="55"/>
      <c r="PGI15" s="55"/>
      <c r="PGJ15" s="55"/>
      <c r="PGK15" s="55"/>
      <c r="PGL15" s="55"/>
      <c r="PGM15" s="55"/>
      <c r="PGN15" s="55"/>
      <c r="PGO15" s="55"/>
      <c r="PGP15" s="55"/>
      <c r="PGQ15" s="55"/>
      <c r="PGR15" s="55"/>
      <c r="PGS15" s="55"/>
      <c r="PGT15" s="55"/>
      <c r="PGU15" s="55"/>
      <c r="PGV15" s="55"/>
      <c r="PGW15" s="55"/>
      <c r="PGX15" s="55"/>
      <c r="PGY15" s="55"/>
      <c r="PGZ15" s="55"/>
      <c r="PHA15" s="55"/>
      <c r="PHB15" s="55"/>
      <c r="PHC15" s="55"/>
      <c r="PHD15" s="55"/>
      <c r="PHE15" s="55"/>
      <c r="PHF15" s="55"/>
      <c r="PHG15" s="55"/>
      <c r="PHH15" s="55"/>
      <c r="PHI15" s="55"/>
      <c r="PHJ15" s="55"/>
      <c r="PHK15" s="55"/>
      <c r="PHL15" s="55"/>
      <c r="PHM15" s="55"/>
      <c r="PHN15" s="55"/>
      <c r="PHO15" s="55"/>
      <c r="PHP15" s="55"/>
      <c r="PHQ15" s="55"/>
      <c r="PHR15" s="55"/>
      <c r="PHS15" s="55"/>
      <c r="PHT15" s="55"/>
      <c r="PHU15" s="55"/>
      <c r="PHV15" s="55"/>
      <c r="PHW15" s="55"/>
      <c r="PHX15" s="55"/>
      <c r="PHY15" s="55"/>
      <c r="PHZ15" s="55"/>
      <c r="PIA15" s="55"/>
      <c r="PIB15" s="55"/>
      <c r="PIC15" s="55"/>
      <c r="PID15" s="55"/>
      <c r="PIE15" s="55"/>
      <c r="PIF15" s="55"/>
      <c r="PIG15" s="55"/>
      <c r="PIH15" s="55"/>
      <c r="PII15" s="55"/>
      <c r="PIJ15" s="55"/>
      <c r="PIK15" s="55"/>
      <c r="PIL15" s="55"/>
      <c r="PIM15" s="55"/>
      <c r="PIN15" s="55"/>
      <c r="PIO15" s="55"/>
      <c r="PIP15" s="55"/>
      <c r="PIQ15" s="55"/>
      <c r="PIR15" s="55"/>
      <c r="PIS15" s="55"/>
      <c r="PIT15" s="55"/>
      <c r="PIU15" s="55"/>
      <c r="PIV15" s="55"/>
      <c r="PIW15" s="55"/>
      <c r="PIX15" s="55"/>
      <c r="PIY15" s="55"/>
      <c r="PIZ15" s="55"/>
      <c r="PJA15" s="55"/>
      <c r="PJB15" s="55"/>
      <c r="PJC15" s="55"/>
      <c r="PJD15" s="55"/>
      <c r="PJE15" s="55"/>
      <c r="PJF15" s="55"/>
      <c r="PJG15" s="55"/>
      <c r="PJH15" s="55"/>
      <c r="PJI15" s="55"/>
      <c r="PJJ15" s="55"/>
      <c r="PJK15" s="55"/>
      <c r="PJL15" s="55"/>
      <c r="PJM15" s="55"/>
      <c r="PJN15" s="55"/>
      <c r="PJO15" s="55"/>
      <c r="PJP15" s="55"/>
      <c r="PJQ15" s="55"/>
      <c r="PJR15" s="55"/>
      <c r="PJS15" s="55"/>
      <c r="PJT15" s="55"/>
      <c r="PJU15" s="55"/>
      <c r="PJV15" s="55"/>
      <c r="PJW15" s="55"/>
      <c r="PJX15" s="55"/>
      <c r="PJY15" s="55"/>
      <c r="PJZ15" s="55"/>
      <c r="PKA15" s="55"/>
      <c r="PKB15" s="55"/>
      <c r="PKC15" s="55"/>
      <c r="PKD15" s="55"/>
      <c r="PKE15" s="55"/>
      <c r="PKF15" s="55"/>
      <c r="PKG15" s="55"/>
      <c r="PKH15" s="55"/>
      <c r="PKI15" s="55"/>
      <c r="PKJ15" s="55"/>
      <c r="PKK15" s="55"/>
      <c r="PKL15" s="55"/>
      <c r="PKM15" s="55"/>
      <c r="PKN15" s="55"/>
      <c r="PKO15" s="55"/>
      <c r="PKP15" s="55"/>
      <c r="PKQ15" s="55"/>
      <c r="PKR15" s="55"/>
      <c r="PKS15" s="55"/>
      <c r="PKT15" s="55"/>
      <c r="PKU15" s="55"/>
      <c r="PKV15" s="55"/>
      <c r="PKW15" s="55"/>
      <c r="PKX15" s="55"/>
      <c r="PKY15" s="55"/>
      <c r="PKZ15" s="55"/>
      <c r="PLA15" s="55"/>
      <c r="PLB15" s="55"/>
      <c r="PLC15" s="55"/>
      <c r="PLD15" s="55"/>
      <c r="PLE15" s="55"/>
      <c r="PLF15" s="55"/>
      <c r="PLG15" s="55"/>
      <c r="PLH15" s="55"/>
      <c r="PLI15" s="55"/>
      <c r="PLJ15" s="55"/>
      <c r="PLK15" s="55"/>
      <c r="PLL15" s="55"/>
      <c r="PLM15" s="55"/>
      <c r="PLN15" s="55"/>
      <c r="PLO15" s="55"/>
      <c r="PLP15" s="55"/>
      <c r="PLQ15" s="55"/>
      <c r="PLR15" s="55"/>
      <c r="PLS15" s="55"/>
      <c r="PLT15" s="55"/>
      <c r="PLU15" s="55"/>
      <c r="PLV15" s="55"/>
      <c r="PLW15" s="55"/>
      <c r="PLX15" s="55"/>
      <c r="PLY15" s="55"/>
      <c r="PLZ15" s="55"/>
      <c r="PMA15" s="55"/>
      <c r="PMB15" s="55"/>
      <c r="PMC15" s="55"/>
      <c r="PMD15" s="55"/>
      <c r="PME15" s="55"/>
      <c r="PMF15" s="55"/>
      <c r="PMG15" s="55"/>
      <c r="PMH15" s="55"/>
      <c r="PMI15" s="55"/>
      <c r="PMJ15" s="55"/>
      <c r="PMK15" s="55"/>
      <c r="PML15" s="55"/>
      <c r="PMM15" s="55"/>
      <c r="PMN15" s="55"/>
      <c r="PMO15" s="55"/>
      <c r="PMP15" s="55"/>
      <c r="PMQ15" s="55"/>
      <c r="PMR15" s="55"/>
      <c r="PMS15" s="55"/>
      <c r="PMT15" s="55"/>
      <c r="PMU15" s="55"/>
      <c r="PMV15" s="55"/>
      <c r="PMW15" s="55"/>
      <c r="PMX15" s="55"/>
      <c r="PMY15" s="55"/>
      <c r="PMZ15" s="55"/>
      <c r="PNA15" s="55"/>
      <c r="PNB15" s="55"/>
      <c r="PNC15" s="55"/>
      <c r="PND15" s="55"/>
      <c r="PNE15" s="55"/>
      <c r="PNF15" s="55"/>
      <c r="PNG15" s="55"/>
      <c r="PNH15" s="55"/>
      <c r="PNI15" s="55"/>
      <c r="PNJ15" s="55"/>
      <c r="PNK15" s="55"/>
      <c r="PNL15" s="55"/>
      <c r="PNM15" s="55"/>
      <c r="PNN15" s="55"/>
      <c r="PNO15" s="55"/>
      <c r="PNP15" s="55"/>
      <c r="PNQ15" s="55"/>
      <c r="PNR15" s="55"/>
      <c r="PNS15" s="55"/>
      <c r="PNT15" s="55"/>
      <c r="PNU15" s="55"/>
      <c r="PNV15" s="55"/>
      <c r="PNW15" s="55"/>
      <c r="PNX15" s="55"/>
      <c r="PNY15" s="55"/>
      <c r="PNZ15" s="55"/>
      <c r="POA15" s="55"/>
      <c r="POB15" s="55"/>
      <c r="POC15" s="55"/>
      <c r="POD15" s="55"/>
      <c r="POE15" s="55"/>
      <c r="POF15" s="55"/>
      <c r="POG15" s="55"/>
      <c r="POH15" s="55"/>
      <c r="POI15" s="55"/>
      <c r="POJ15" s="55"/>
      <c r="POK15" s="55"/>
      <c r="POL15" s="55"/>
      <c r="POM15" s="55"/>
      <c r="PON15" s="55"/>
      <c r="POO15" s="55"/>
      <c r="POP15" s="55"/>
      <c r="POQ15" s="55"/>
      <c r="POR15" s="55"/>
      <c r="POS15" s="55"/>
      <c r="POT15" s="55"/>
      <c r="POU15" s="55"/>
      <c r="POV15" s="55"/>
      <c r="POW15" s="55"/>
      <c r="POX15" s="55"/>
      <c r="POY15" s="55"/>
      <c r="POZ15" s="55"/>
      <c r="PPA15" s="55"/>
      <c r="PPB15" s="55"/>
      <c r="PPC15" s="55"/>
      <c r="PPD15" s="55"/>
      <c r="PPE15" s="55"/>
      <c r="PPF15" s="55"/>
      <c r="PPG15" s="55"/>
      <c r="PPH15" s="55"/>
      <c r="PPI15" s="55"/>
      <c r="PPJ15" s="55"/>
      <c r="PPK15" s="55"/>
      <c r="PPL15" s="55"/>
      <c r="PPM15" s="55"/>
      <c r="PPN15" s="55"/>
      <c r="PPO15" s="55"/>
      <c r="PPP15" s="55"/>
      <c r="PPQ15" s="55"/>
      <c r="PPR15" s="55"/>
      <c r="PPS15" s="55"/>
      <c r="PPT15" s="55"/>
      <c r="PPU15" s="55"/>
      <c r="PPV15" s="55"/>
      <c r="PPW15" s="55"/>
      <c r="PPX15" s="55"/>
      <c r="PPY15" s="55"/>
      <c r="PPZ15" s="55"/>
      <c r="PQA15" s="55"/>
      <c r="PQB15" s="55"/>
      <c r="PQC15" s="55"/>
      <c r="PQD15" s="55"/>
      <c r="PQE15" s="55"/>
      <c r="PQF15" s="55"/>
      <c r="PQG15" s="55"/>
      <c r="PQH15" s="55"/>
      <c r="PQI15" s="55"/>
      <c r="PQJ15" s="55"/>
      <c r="PQK15" s="55"/>
      <c r="PQL15" s="55"/>
      <c r="PQM15" s="55"/>
      <c r="PQN15" s="55"/>
      <c r="PQO15" s="55"/>
      <c r="PQP15" s="55"/>
      <c r="PQQ15" s="55"/>
      <c r="PQR15" s="55"/>
      <c r="PQS15" s="55"/>
      <c r="PQT15" s="55"/>
      <c r="PQU15" s="55"/>
      <c r="PQV15" s="55"/>
      <c r="PQW15" s="55"/>
      <c r="PQX15" s="55"/>
      <c r="PQY15" s="55"/>
      <c r="PQZ15" s="55"/>
      <c r="PRA15" s="55"/>
      <c r="PRB15" s="55"/>
      <c r="PRC15" s="55"/>
      <c r="PRD15" s="55"/>
      <c r="PRE15" s="55"/>
      <c r="PRF15" s="55"/>
      <c r="PRG15" s="55"/>
      <c r="PRH15" s="55"/>
      <c r="PRI15" s="55"/>
      <c r="PRJ15" s="55"/>
      <c r="PRK15" s="55"/>
      <c r="PRL15" s="55"/>
      <c r="PRM15" s="55"/>
      <c r="PRN15" s="55"/>
      <c r="PRO15" s="55"/>
      <c r="PRP15" s="55"/>
      <c r="PRQ15" s="55"/>
      <c r="PRR15" s="55"/>
      <c r="PRS15" s="55"/>
      <c r="PRT15" s="55"/>
      <c r="PRU15" s="55"/>
      <c r="PRV15" s="55"/>
      <c r="PRW15" s="55"/>
      <c r="PRX15" s="55"/>
      <c r="PRY15" s="55"/>
      <c r="PRZ15" s="55"/>
      <c r="PSA15" s="55"/>
      <c r="PSB15" s="55"/>
      <c r="PSC15" s="55"/>
      <c r="PSD15" s="55"/>
      <c r="PSE15" s="55"/>
      <c r="PSF15" s="55"/>
      <c r="PSG15" s="55"/>
      <c r="PSH15" s="55"/>
      <c r="PSI15" s="55"/>
      <c r="PSJ15" s="55"/>
      <c r="PSK15" s="55"/>
      <c r="PSL15" s="55"/>
      <c r="PSM15" s="55"/>
      <c r="PSN15" s="55"/>
      <c r="PSO15" s="55"/>
      <c r="PSP15" s="55"/>
      <c r="PSQ15" s="55"/>
      <c r="PSR15" s="55"/>
      <c r="PSS15" s="55"/>
      <c r="PST15" s="55"/>
      <c r="PSU15" s="55"/>
      <c r="PSV15" s="55"/>
      <c r="PSW15" s="55"/>
      <c r="PSX15" s="55"/>
      <c r="PSY15" s="55"/>
      <c r="PSZ15" s="55"/>
      <c r="PTA15" s="55"/>
      <c r="PTB15" s="55"/>
      <c r="PTC15" s="55"/>
      <c r="PTD15" s="55"/>
      <c r="PTE15" s="55"/>
      <c r="PTF15" s="55"/>
      <c r="PTG15" s="55"/>
      <c r="PTH15" s="55"/>
      <c r="PTI15" s="55"/>
      <c r="PTJ15" s="55"/>
      <c r="PTK15" s="55"/>
      <c r="PTL15" s="55"/>
      <c r="PTM15" s="55"/>
      <c r="PTN15" s="55"/>
      <c r="PTO15" s="55"/>
      <c r="PTP15" s="55"/>
      <c r="PTQ15" s="55"/>
      <c r="PTR15" s="55"/>
      <c r="PTS15" s="55"/>
      <c r="PTT15" s="55"/>
      <c r="PTU15" s="55"/>
      <c r="PTV15" s="55"/>
      <c r="PTW15" s="55"/>
      <c r="PTX15" s="55"/>
      <c r="PTY15" s="55"/>
      <c r="PTZ15" s="55"/>
      <c r="PUA15" s="55"/>
      <c r="PUB15" s="55"/>
      <c r="PUC15" s="55"/>
      <c r="PUD15" s="55"/>
      <c r="PUE15" s="55"/>
      <c r="PUF15" s="55"/>
      <c r="PUG15" s="55"/>
      <c r="PUH15" s="55"/>
      <c r="PUI15" s="55"/>
      <c r="PUJ15" s="55"/>
      <c r="PUK15" s="55"/>
      <c r="PUL15" s="55"/>
      <c r="PUM15" s="55"/>
      <c r="PUN15" s="55"/>
      <c r="PUO15" s="55"/>
      <c r="PUP15" s="55"/>
      <c r="PUQ15" s="55"/>
      <c r="PUR15" s="55"/>
      <c r="PUS15" s="55"/>
      <c r="PUT15" s="55"/>
      <c r="PUU15" s="55"/>
      <c r="PUV15" s="55"/>
      <c r="PUW15" s="55"/>
      <c r="PUX15" s="55"/>
      <c r="PUY15" s="55"/>
      <c r="PUZ15" s="55"/>
      <c r="PVA15" s="55"/>
      <c r="PVB15" s="55"/>
      <c r="PVC15" s="55"/>
      <c r="PVD15" s="55"/>
      <c r="PVE15" s="55"/>
      <c r="PVF15" s="55"/>
      <c r="PVG15" s="55"/>
      <c r="PVH15" s="55"/>
      <c r="PVI15" s="55"/>
      <c r="PVJ15" s="55"/>
      <c r="PVK15" s="55"/>
      <c r="PVL15" s="55"/>
      <c r="PVM15" s="55"/>
      <c r="PVN15" s="55"/>
      <c r="PVO15" s="55"/>
      <c r="PVP15" s="55"/>
      <c r="PVQ15" s="55"/>
      <c r="PVR15" s="55"/>
      <c r="PVS15" s="55"/>
      <c r="PVT15" s="55"/>
      <c r="PVU15" s="55"/>
      <c r="PVV15" s="55"/>
      <c r="PVW15" s="55"/>
      <c r="PVX15" s="55"/>
      <c r="PVY15" s="55"/>
      <c r="PVZ15" s="55"/>
      <c r="PWA15" s="55"/>
      <c r="PWB15" s="55"/>
      <c r="PWC15" s="55"/>
      <c r="PWD15" s="55"/>
      <c r="PWE15" s="55"/>
      <c r="PWF15" s="55"/>
      <c r="PWG15" s="55"/>
      <c r="PWH15" s="55"/>
      <c r="PWI15" s="55"/>
      <c r="PWJ15" s="55"/>
      <c r="PWK15" s="55"/>
      <c r="PWL15" s="55"/>
      <c r="PWM15" s="55"/>
      <c r="PWN15" s="55"/>
      <c r="PWO15" s="55"/>
      <c r="PWP15" s="55"/>
      <c r="PWQ15" s="55"/>
      <c r="PWR15" s="55"/>
      <c r="PWS15" s="55"/>
      <c r="PWT15" s="55"/>
      <c r="PWU15" s="55"/>
      <c r="PWV15" s="55"/>
      <c r="PWW15" s="55"/>
      <c r="PWX15" s="55"/>
      <c r="PWY15" s="55"/>
      <c r="PWZ15" s="55"/>
      <c r="PXA15" s="55"/>
      <c r="PXB15" s="55"/>
      <c r="PXC15" s="55"/>
      <c r="PXD15" s="55"/>
      <c r="PXE15" s="55"/>
      <c r="PXF15" s="55"/>
      <c r="PXG15" s="55"/>
      <c r="PXH15" s="55"/>
      <c r="PXI15" s="55"/>
      <c r="PXJ15" s="55"/>
      <c r="PXK15" s="55"/>
      <c r="PXL15" s="55"/>
      <c r="PXM15" s="55"/>
      <c r="PXN15" s="55"/>
      <c r="PXO15" s="55"/>
      <c r="PXP15" s="55"/>
      <c r="PXQ15" s="55"/>
      <c r="PXR15" s="55"/>
      <c r="PXS15" s="55"/>
      <c r="PXT15" s="55"/>
      <c r="PXU15" s="55"/>
      <c r="PXV15" s="55"/>
      <c r="PXW15" s="55"/>
      <c r="PXX15" s="55"/>
      <c r="PXY15" s="55"/>
      <c r="PXZ15" s="55"/>
      <c r="PYA15" s="55"/>
      <c r="PYB15" s="55"/>
      <c r="PYC15" s="55"/>
      <c r="PYD15" s="55"/>
      <c r="PYE15" s="55"/>
      <c r="PYF15" s="55"/>
      <c r="PYG15" s="55"/>
      <c r="PYH15" s="55"/>
      <c r="PYI15" s="55"/>
      <c r="PYJ15" s="55"/>
      <c r="PYK15" s="55"/>
      <c r="PYL15" s="55"/>
      <c r="PYM15" s="55"/>
      <c r="PYN15" s="55"/>
      <c r="PYO15" s="55"/>
      <c r="PYP15" s="55"/>
      <c r="PYQ15" s="55"/>
      <c r="PYR15" s="55"/>
      <c r="PYS15" s="55"/>
      <c r="PYT15" s="55"/>
      <c r="PYU15" s="55"/>
      <c r="PYV15" s="55"/>
      <c r="PYW15" s="55"/>
      <c r="PYX15" s="55"/>
      <c r="PYY15" s="55"/>
      <c r="PYZ15" s="55"/>
      <c r="PZA15" s="55"/>
      <c r="PZB15" s="55"/>
      <c r="PZC15" s="55"/>
      <c r="PZD15" s="55"/>
      <c r="PZE15" s="55"/>
      <c r="PZF15" s="55"/>
      <c r="PZG15" s="55"/>
      <c r="PZH15" s="55"/>
      <c r="PZI15" s="55"/>
      <c r="PZJ15" s="55"/>
      <c r="PZK15" s="55"/>
      <c r="PZL15" s="55"/>
      <c r="PZM15" s="55"/>
      <c r="PZN15" s="55"/>
      <c r="PZO15" s="55"/>
      <c r="PZP15" s="55"/>
      <c r="PZQ15" s="55"/>
      <c r="PZR15" s="55"/>
      <c r="PZS15" s="55"/>
      <c r="PZT15" s="55"/>
      <c r="PZU15" s="55"/>
      <c r="PZV15" s="55"/>
      <c r="PZW15" s="55"/>
      <c r="PZX15" s="55"/>
      <c r="PZY15" s="55"/>
      <c r="PZZ15" s="55"/>
      <c r="QAA15" s="55"/>
      <c r="QAB15" s="55"/>
      <c r="QAC15" s="55"/>
      <c r="QAD15" s="55"/>
      <c r="QAE15" s="55"/>
      <c r="QAF15" s="55"/>
      <c r="QAG15" s="55"/>
      <c r="QAH15" s="55"/>
      <c r="QAI15" s="55"/>
      <c r="QAJ15" s="55"/>
      <c r="QAK15" s="55"/>
      <c r="QAL15" s="55"/>
      <c r="QAM15" s="55"/>
      <c r="QAN15" s="55"/>
      <c r="QAO15" s="55"/>
      <c r="QAP15" s="55"/>
      <c r="QAQ15" s="55"/>
      <c r="QAR15" s="55"/>
      <c r="QAS15" s="55"/>
      <c r="QAT15" s="55"/>
      <c r="QAU15" s="55"/>
      <c r="QAV15" s="55"/>
      <c r="QAW15" s="55"/>
      <c r="QAX15" s="55"/>
      <c r="QAY15" s="55"/>
      <c r="QAZ15" s="55"/>
      <c r="QBA15" s="55"/>
      <c r="QBB15" s="55"/>
      <c r="QBC15" s="55"/>
      <c r="QBD15" s="55"/>
      <c r="QBE15" s="55"/>
      <c r="QBF15" s="55"/>
      <c r="QBG15" s="55"/>
      <c r="QBH15" s="55"/>
      <c r="QBI15" s="55"/>
      <c r="QBJ15" s="55"/>
      <c r="QBK15" s="55"/>
      <c r="QBL15" s="55"/>
      <c r="QBM15" s="55"/>
      <c r="QBN15" s="55"/>
      <c r="QBO15" s="55"/>
      <c r="QBP15" s="55"/>
      <c r="QBQ15" s="55"/>
      <c r="QBR15" s="55"/>
      <c r="QBS15" s="55"/>
      <c r="QBT15" s="55"/>
      <c r="QBU15" s="55"/>
      <c r="QBV15" s="55"/>
      <c r="QBW15" s="55"/>
      <c r="QBX15" s="55"/>
      <c r="QBY15" s="55"/>
      <c r="QBZ15" s="55"/>
      <c r="QCA15" s="55"/>
      <c r="QCB15" s="55"/>
      <c r="QCC15" s="55"/>
      <c r="QCD15" s="55"/>
      <c r="QCE15" s="55"/>
      <c r="QCF15" s="55"/>
      <c r="QCG15" s="55"/>
      <c r="QCH15" s="55"/>
      <c r="QCI15" s="55"/>
      <c r="QCJ15" s="55"/>
      <c r="QCK15" s="55"/>
      <c r="QCL15" s="55"/>
      <c r="QCM15" s="55"/>
      <c r="QCN15" s="55"/>
      <c r="QCO15" s="55"/>
      <c r="QCP15" s="55"/>
      <c r="QCQ15" s="55"/>
      <c r="QCR15" s="55"/>
      <c r="QCS15" s="55"/>
      <c r="QCT15" s="55"/>
      <c r="QCU15" s="55"/>
      <c r="QCV15" s="55"/>
      <c r="QCW15" s="55"/>
      <c r="QCX15" s="55"/>
      <c r="QCY15" s="55"/>
      <c r="QCZ15" s="55"/>
      <c r="QDA15" s="55"/>
      <c r="QDB15" s="55"/>
      <c r="QDC15" s="55"/>
      <c r="QDD15" s="55"/>
      <c r="QDE15" s="55"/>
      <c r="QDF15" s="55"/>
      <c r="QDG15" s="55"/>
      <c r="QDH15" s="55"/>
      <c r="QDI15" s="55"/>
      <c r="QDJ15" s="55"/>
      <c r="QDK15" s="55"/>
      <c r="QDL15" s="55"/>
      <c r="QDM15" s="55"/>
      <c r="QDN15" s="55"/>
      <c r="QDO15" s="55"/>
      <c r="QDP15" s="55"/>
      <c r="QDQ15" s="55"/>
      <c r="QDR15" s="55"/>
      <c r="QDS15" s="55"/>
      <c r="QDT15" s="55"/>
      <c r="QDU15" s="55"/>
      <c r="QDV15" s="55"/>
      <c r="QDW15" s="55"/>
      <c r="QDX15" s="55"/>
      <c r="QDY15" s="55"/>
      <c r="QDZ15" s="55"/>
      <c r="QEA15" s="55"/>
      <c r="QEB15" s="55"/>
      <c r="QEC15" s="55"/>
      <c r="QED15" s="55"/>
      <c r="QEE15" s="55"/>
      <c r="QEF15" s="55"/>
      <c r="QEG15" s="55"/>
      <c r="QEH15" s="55"/>
      <c r="QEI15" s="55"/>
      <c r="QEJ15" s="55"/>
      <c r="QEK15" s="55"/>
      <c r="QEL15" s="55"/>
      <c r="QEM15" s="55"/>
      <c r="QEN15" s="55"/>
      <c r="QEO15" s="55"/>
      <c r="QEP15" s="55"/>
      <c r="QEQ15" s="55"/>
      <c r="QER15" s="55"/>
      <c r="QES15" s="55"/>
      <c r="QET15" s="55"/>
      <c r="QEU15" s="55"/>
      <c r="QEV15" s="55"/>
      <c r="QEW15" s="55"/>
      <c r="QEX15" s="55"/>
      <c r="QEY15" s="55"/>
      <c r="QEZ15" s="55"/>
      <c r="QFA15" s="55"/>
      <c r="QFB15" s="55"/>
      <c r="QFC15" s="55"/>
      <c r="QFD15" s="55"/>
      <c r="QFE15" s="55"/>
      <c r="QFF15" s="55"/>
      <c r="QFG15" s="55"/>
      <c r="QFH15" s="55"/>
      <c r="QFI15" s="55"/>
      <c r="QFJ15" s="55"/>
      <c r="QFK15" s="55"/>
      <c r="QFL15" s="55"/>
      <c r="QFM15" s="55"/>
      <c r="QFN15" s="55"/>
      <c r="QFO15" s="55"/>
      <c r="QFP15" s="55"/>
      <c r="QFQ15" s="55"/>
      <c r="QFR15" s="55"/>
      <c r="QFS15" s="55"/>
      <c r="QFT15" s="55"/>
      <c r="QFU15" s="55"/>
      <c r="QFV15" s="55"/>
      <c r="QFW15" s="55"/>
      <c r="QFX15" s="55"/>
      <c r="QFY15" s="55"/>
      <c r="QFZ15" s="55"/>
      <c r="QGA15" s="55"/>
      <c r="QGB15" s="55"/>
      <c r="QGC15" s="55"/>
      <c r="QGD15" s="55"/>
      <c r="QGE15" s="55"/>
      <c r="QGF15" s="55"/>
      <c r="QGG15" s="55"/>
      <c r="QGH15" s="55"/>
      <c r="QGI15" s="55"/>
      <c r="QGJ15" s="55"/>
      <c r="QGK15" s="55"/>
      <c r="QGL15" s="55"/>
      <c r="QGM15" s="55"/>
      <c r="QGN15" s="55"/>
      <c r="QGO15" s="55"/>
      <c r="QGP15" s="55"/>
      <c r="QGQ15" s="55"/>
      <c r="QGR15" s="55"/>
      <c r="QGS15" s="55"/>
      <c r="QGT15" s="55"/>
      <c r="QGU15" s="55"/>
      <c r="QGV15" s="55"/>
      <c r="QGW15" s="55"/>
      <c r="QGX15" s="55"/>
      <c r="QGY15" s="55"/>
      <c r="QGZ15" s="55"/>
      <c r="QHA15" s="55"/>
      <c r="QHB15" s="55"/>
      <c r="QHC15" s="55"/>
      <c r="QHD15" s="55"/>
      <c r="QHE15" s="55"/>
      <c r="QHF15" s="55"/>
      <c r="QHG15" s="55"/>
      <c r="QHH15" s="55"/>
      <c r="QHI15" s="55"/>
      <c r="QHJ15" s="55"/>
      <c r="QHK15" s="55"/>
      <c r="QHL15" s="55"/>
      <c r="QHM15" s="55"/>
      <c r="QHN15" s="55"/>
      <c r="QHO15" s="55"/>
      <c r="QHP15" s="55"/>
      <c r="QHQ15" s="55"/>
      <c r="QHR15" s="55"/>
      <c r="QHS15" s="55"/>
      <c r="QHT15" s="55"/>
      <c r="QHU15" s="55"/>
      <c r="QHV15" s="55"/>
      <c r="QHW15" s="55"/>
      <c r="QHX15" s="55"/>
      <c r="QHY15" s="55"/>
      <c r="QHZ15" s="55"/>
      <c r="QIA15" s="55"/>
      <c r="QIB15" s="55"/>
      <c r="QIC15" s="55"/>
      <c r="QID15" s="55"/>
      <c r="QIE15" s="55"/>
      <c r="QIF15" s="55"/>
      <c r="QIG15" s="55"/>
      <c r="QIH15" s="55"/>
      <c r="QII15" s="55"/>
      <c r="QIJ15" s="55"/>
      <c r="QIK15" s="55"/>
      <c r="QIL15" s="55"/>
      <c r="QIM15" s="55"/>
      <c r="QIN15" s="55"/>
      <c r="QIO15" s="55"/>
      <c r="QIP15" s="55"/>
      <c r="QIQ15" s="55"/>
      <c r="QIR15" s="55"/>
      <c r="QIS15" s="55"/>
      <c r="QIT15" s="55"/>
      <c r="QIU15" s="55"/>
      <c r="QIV15" s="55"/>
      <c r="QIW15" s="55"/>
      <c r="QIX15" s="55"/>
      <c r="QIY15" s="55"/>
      <c r="QIZ15" s="55"/>
      <c r="QJA15" s="55"/>
      <c r="QJB15" s="55"/>
      <c r="QJC15" s="55"/>
      <c r="QJD15" s="55"/>
      <c r="QJE15" s="55"/>
      <c r="QJF15" s="55"/>
      <c r="QJG15" s="55"/>
      <c r="QJH15" s="55"/>
      <c r="QJI15" s="55"/>
      <c r="QJJ15" s="55"/>
      <c r="QJK15" s="55"/>
      <c r="QJL15" s="55"/>
      <c r="QJM15" s="55"/>
      <c r="QJN15" s="55"/>
      <c r="QJO15" s="55"/>
      <c r="QJP15" s="55"/>
      <c r="QJQ15" s="55"/>
      <c r="QJR15" s="55"/>
      <c r="QJS15" s="55"/>
      <c r="QJT15" s="55"/>
      <c r="QJU15" s="55"/>
      <c r="QJV15" s="55"/>
      <c r="QJW15" s="55"/>
      <c r="QJX15" s="55"/>
      <c r="QJY15" s="55"/>
      <c r="QJZ15" s="55"/>
      <c r="QKA15" s="55"/>
      <c r="QKB15" s="55"/>
      <c r="QKC15" s="55"/>
      <c r="QKD15" s="55"/>
      <c r="QKE15" s="55"/>
      <c r="QKF15" s="55"/>
      <c r="QKG15" s="55"/>
      <c r="QKH15" s="55"/>
      <c r="QKI15" s="55"/>
      <c r="QKJ15" s="55"/>
      <c r="QKK15" s="55"/>
      <c r="QKL15" s="55"/>
      <c r="QKM15" s="55"/>
      <c r="QKN15" s="55"/>
      <c r="QKO15" s="55"/>
      <c r="QKP15" s="55"/>
      <c r="QKQ15" s="55"/>
      <c r="QKR15" s="55"/>
      <c r="QKS15" s="55"/>
      <c r="QKT15" s="55"/>
      <c r="QKU15" s="55"/>
      <c r="QKV15" s="55"/>
      <c r="QKW15" s="55"/>
      <c r="QKX15" s="55"/>
      <c r="QKY15" s="55"/>
      <c r="QKZ15" s="55"/>
      <c r="QLA15" s="55"/>
      <c r="QLB15" s="55"/>
      <c r="QLC15" s="55"/>
      <c r="QLD15" s="55"/>
      <c r="QLE15" s="55"/>
      <c r="QLF15" s="55"/>
      <c r="QLG15" s="55"/>
      <c r="QLH15" s="55"/>
      <c r="QLI15" s="55"/>
      <c r="QLJ15" s="55"/>
      <c r="QLK15" s="55"/>
      <c r="QLL15" s="55"/>
      <c r="QLM15" s="55"/>
      <c r="QLN15" s="55"/>
      <c r="QLO15" s="55"/>
      <c r="QLP15" s="55"/>
      <c r="QLQ15" s="55"/>
      <c r="QLR15" s="55"/>
      <c r="QLS15" s="55"/>
      <c r="QLT15" s="55"/>
      <c r="QLU15" s="55"/>
      <c r="QLV15" s="55"/>
      <c r="QLW15" s="55"/>
      <c r="QLX15" s="55"/>
      <c r="QLY15" s="55"/>
      <c r="QLZ15" s="55"/>
      <c r="QMA15" s="55"/>
      <c r="QMB15" s="55"/>
      <c r="QMC15" s="55"/>
      <c r="QMD15" s="55"/>
      <c r="QME15" s="55"/>
      <c r="QMF15" s="55"/>
      <c r="QMG15" s="55"/>
      <c r="QMH15" s="55"/>
      <c r="QMI15" s="55"/>
      <c r="QMJ15" s="55"/>
      <c r="QMK15" s="55"/>
      <c r="QML15" s="55"/>
      <c r="QMM15" s="55"/>
      <c r="QMN15" s="55"/>
      <c r="QMO15" s="55"/>
      <c r="QMP15" s="55"/>
      <c r="QMQ15" s="55"/>
      <c r="QMR15" s="55"/>
      <c r="QMS15" s="55"/>
      <c r="QMT15" s="55"/>
      <c r="QMU15" s="55"/>
      <c r="QMV15" s="55"/>
      <c r="QMW15" s="55"/>
      <c r="QMX15" s="55"/>
      <c r="QMY15" s="55"/>
      <c r="QMZ15" s="55"/>
      <c r="QNA15" s="55"/>
      <c r="QNB15" s="55"/>
      <c r="QNC15" s="55"/>
      <c r="QND15" s="55"/>
      <c r="QNE15" s="55"/>
      <c r="QNF15" s="55"/>
      <c r="QNG15" s="55"/>
      <c r="QNH15" s="55"/>
      <c r="QNI15" s="55"/>
      <c r="QNJ15" s="55"/>
      <c r="QNK15" s="55"/>
      <c r="QNL15" s="55"/>
      <c r="QNM15" s="55"/>
      <c r="QNN15" s="55"/>
      <c r="QNO15" s="55"/>
      <c r="QNP15" s="55"/>
      <c r="QNQ15" s="55"/>
      <c r="QNR15" s="55"/>
      <c r="QNS15" s="55"/>
      <c r="QNT15" s="55"/>
      <c r="QNU15" s="55"/>
      <c r="QNV15" s="55"/>
      <c r="QNW15" s="55"/>
      <c r="QNX15" s="55"/>
      <c r="QNY15" s="55"/>
      <c r="QNZ15" s="55"/>
      <c r="QOA15" s="55"/>
      <c r="QOB15" s="55"/>
      <c r="QOC15" s="55"/>
      <c r="QOD15" s="55"/>
      <c r="QOE15" s="55"/>
      <c r="QOF15" s="55"/>
      <c r="QOG15" s="55"/>
      <c r="QOH15" s="55"/>
      <c r="QOI15" s="55"/>
      <c r="QOJ15" s="55"/>
      <c r="QOK15" s="55"/>
      <c r="QOL15" s="55"/>
      <c r="QOM15" s="55"/>
      <c r="QON15" s="55"/>
      <c r="QOO15" s="55"/>
      <c r="QOP15" s="55"/>
      <c r="QOQ15" s="55"/>
      <c r="QOR15" s="55"/>
      <c r="QOS15" s="55"/>
      <c r="QOT15" s="55"/>
      <c r="QOU15" s="55"/>
      <c r="QOV15" s="55"/>
      <c r="QOW15" s="55"/>
      <c r="QOX15" s="55"/>
      <c r="QOY15" s="55"/>
      <c r="QOZ15" s="55"/>
      <c r="QPA15" s="55"/>
      <c r="QPB15" s="55"/>
      <c r="QPC15" s="55"/>
      <c r="QPD15" s="55"/>
      <c r="QPE15" s="55"/>
      <c r="QPF15" s="55"/>
      <c r="QPG15" s="55"/>
      <c r="QPH15" s="55"/>
      <c r="QPI15" s="55"/>
      <c r="QPJ15" s="55"/>
      <c r="QPK15" s="55"/>
      <c r="QPL15" s="55"/>
      <c r="QPM15" s="55"/>
      <c r="QPN15" s="55"/>
      <c r="QPO15" s="55"/>
      <c r="QPP15" s="55"/>
      <c r="QPQ15" s="55"/>
      <c r="QPR15" s="55"/>
      <c r="QPS15" s="55"/>
      <c r="QPT15" s="55"/>
      <c r="QPU15" s="55"/>
      <c r="QPV15" s="55"/>
      <c r="QPW15" s="55"/>
      <c r="QPX15" s="55"/>
      <c r="QPY15" s="55"/>
      <c r="QPZ15" s="55"/>
      <c r="QQA15" s="55"/>
      <c r="QQB15" s="55"/>
      <c r="QQC15" s="55"/>
      <c r="QQD15" s="55"/>
      <c r="QQE15" s="55"/>
      <c r="QQF15" s="55"/>
      <c r="QQG15" s="55"/>
      <c r="QQH15" s="55"/>
      <c r="QQI15" s="55"/>
      <c r="QQJ15" s="55"/>
      <c r="QQK15" s="55"/>
      <c r="QQL15" s="55"/>
      <c r="QQM15" s="55"/>
      <c r="QQN15" s="55"/>
      <c r="QQO15" s="55"/>
      <c r="QQP15" s="55"/>
      <c r="QQQ15" s="55"/>
      <c r="QQR15" s="55"/>
      <c r="QQS15" s="55"/>
      <c r="QQT15" s="55"/>
      <c r="QQU15" s="55"/>
      <c r="QQV15" s="55"/>
      <c r="QQW15" s="55"/>
      <c r="QQX15" s="55"/>
      <c r="QQY15" s="55"/>
      <c r="QQZ15" s="55"/>
      <c r="QRA15" s="55"/>
      <c r="QRB15" s="55"/>
      <c r="QRC15" s="55"/>
      <c r="QRD15" s="55"/>
      <c r="QRE15" s="55"/>
      <c r="QRF15" s="55"/>
      <c r="QRG15" s="55"/>
      <c r="QRH15" s="55"/>
      <c r="QRI15" s="55"/>
      <c r="QRJ15" s="55"/>
      <c r="QRK15" s="55"/>
      <c r="QRL15" s="55"/>
      <c r="QRM15" s="55"/>
      <c r="QRN15" s="55"/>
      <c r="QRO15" s="55"/>
      <c r="QRP15" s="55"/>
      <c r="QRQ15" s="55"/>
      <c r="QRR15" s="55"/>
      <c r="QRS15" s="55"/>
      <c r="QRT15" s="55"/>
      <c r="QRU15" s="55"/>
      <c r="QRV15" s="55"/>
      <c r="QRW15" s="55"/>
      <c r="QRX15" s="55"/>
      <c r="QRY15" s="55"/>
      <c r="QRZ15" s="55"/>
      <c r="QSA15" s="55"/>
      <c r="QSB15" s="55"/>
      <c r="QSC15" s="55"/>
      <c r="QSD15" s="55"/>
      <c r="QSE15" s="55"/>
      <c r="QSF15" s="55"/>
      <c r="QSG15" s="55"/>
      <c r="QSH15" s="55"/>
      <c r="QSI15" s="55"/>
      <c r="QSJ15" s="55"/>
      <c r="QSK15" s="55"/>
      <c r="QSL15" s="55"/>
      <c r="QSM15" s="55"/>
      <c r="QSN15" s="55"/>
      <c r="QSO15" s="55"/>
      <c r="QSP15" s="55"/>
      <c r="QSQ15" s="55"/>
      <c r="QSR15" s="55"/>
      <c r="QSS15" s="55"/>
      <c r="QST15" s="55"/>
      <c r="QSU15" s="55"/>
      <c r="QSV15" s="55"/>
      <c r="QSW15" s="55"/>
      <c r="QSX15" s="55"/>
      <c r="QSY15" s="55"/>
      <c r="QSZ15" s="55"/>
      <c r="QTA15" s="55"/>
      <c r="QTB15" s="55"/>
      <c r="QTC15" s="55"/>
      <c r="QTD15" s="55"/>
      <c r="QTE15" s="55"/>
      <c r="QTF15" s="55"/>
      <c r="QTG15" s="55"/>
      <c r="QTH15" s="55"/>
      <c r="QTI15" s="55"/>
      <c r="QTJ15" s="55"/>
      <c r="QTK15" s="55"/>
      <c r="QTL15" s="55"/>
      <c r="QTM15" s="55"/>
      <c r="QTN15" s="55"/>
      <c r="QTO15" s="55"/>
      <c r="QTP15" s="55"/>
      <c r="QTQ15" s="55"/>
      <c r="QTR15" s="55"/>
      <c r="QTS15" s="55"/>
      <c r="QTT15" s="55"/>
      <c r="QTU15" s="55"/>
      <c r="QTV15" s="55"/>
      <c r="QTW15" s="55"/>
      <c r="QTX15" s="55"/>
      <c r="QTY15" s="55"/>
      <c r="QTZ15" s="55"/>
      <c r="QUA15" s="55"/>
      <c r="QUB15" s="55"/>
      <c r="QUC15" s="55"/>
      <c r="QUD15" s="55"/>
      <c r="QUE15" s="55"/>
      <c r="QUF15" s="55"/>
      <c r="QUG15" s="55"/>
      <c r="QUH15" s="55"/>
      <c r="QUI15" s="55"/>
      <c r="QUJ15" s="55"/>
      <c r="QUK15" s="55"/>
      <c r="QUL15" s="55"/>
      <c r="QUM15" s="55"/>
      <c r="QUN15" s="55"/>
      <c r="QUO15" s="55"/>
      <c r="QUP15" s="55"/>
      <c r="QUQ15" s="55"/>
      <c r="QUR15" s="55"/>
      <c r="QUS15" s="55"/>
      <c r="QUT15" s="55"/>
      <c r="QUU15" s="55"/>
      <c r="QUV15" s="55"/>
      <c r="QUW15" s="55"/>
      <c r="QUX15" s="55"/>
      <c r="QUY15" s="55"/>
      <c r="QUZ15" s="55"/>
      <c r="QVA15" s="55"/>
      <c r="QVB15" s="55"/>
      <c r="QVC15" s="55"/>
      <c r="QVD15" s="55"/>
      <c r="QVE15" s="55"/>
      <c r="QVF15" s="55"/>
      <c r="QVG15" s="55"/>
      <c r="QVH15" s="55"/>
      <c r="QVI15" s="55"/>
      <c r="QVJ15" s="55"/>
      <c r="QVK15" s="55"/>
      <c r="QVL15" s="55"/>
      <c r="QVM15" s="55"/>
      <c r="QVN15" s="55"/>
      <c r="QVO15" s="55"/>
      <c r="QVP15" s="55"/>
      <c r="QVQ15" s="55"/>
      <c r="QVR15" s="55"/>
      <c r="QVS15" s="55"/>
      <c r="QVT15" s="55"/>
      <c r="QVU15" s="55"/>
      <c r="QVV15" s="55"/>
      <c r="QVW15" s="55"/>
      <c r="QVX15" s="55"/>
      <c r="QVY15" s="55"/>
      <c r="QVZ15" s="55"/>
      <c r="QWA15" s="55"/>
      <c r="QWB15" s="55"/>
      <c r="QWC15" s="55"/>
      <c r="QWD15" s="55"/>
      <c r="QWE15" s="55"/>
      <c r="QWF15" s="55"/>
      <c r="QWG15" s="55"/>
      <c r="QWH15" s="55"/>
      <c r="QWI15" s="55"/>
      <c r="QWJ15" s="55"/>
      <c r="QWK15" s="55"/>
      <c r="QWL15" s="55"/>
      <c r="QWM15" s="55"/>
      <c r="QWN15" s="55"/>
      <c r="QWO15" s="55"/>
      <c r="QWP15" s="55"/>
      <c r="QWQ15" s="55"/>
      <c r="QWR15" s="55"/>
      <c r="QWS15" s="55"/>
      <c r="QWT15" s="55"/>
      <c r="QWU15" s="55"/>
      <c r="QWV15" s="55"/>
      <c r="QWW15" s="55"/>
      <c r="QWX15" s="55"/>
      <c r="QWY15" s="55"/>
      <c r="QWZ15" s="55"/>
      <c r="QXA15" s="55"/>
      <c r="QXB15" s="55"/>
      <c r="QXC15" s="55"/>
      <c r="QXD15" s="55"/>
      <c r="QXE15" s="55"/>
      <c r="QXF15" s="55"/>
      <c r="QXG15" s="55"/>
      <c r="QXH15" s="55"/>
      <c r="QXI15" s="55"/>
      <c r="QXJ15" s="55"/>
      <c r="QXK15" s="55"/>
      <c r="QXL15" s="55"/>
      <c r="QXM15" s="55"/>
      <c r="QXN15" s="55"/>
      <c r="QXO15" s="55"/>
      <c r="QXP15" s="55"/>
      <c r="QXQ15" s="55"/>
      <c r="QXR15" s="55"/>
      <c r="QXS15" s="55"/>
      <c r="QXT15" s="55"/>
      <c r="QXU15" s="55"/>
      <c r="QXV15" s="55"/>
      <c r="QXW15" s="55"/>
      <c r="QXX15" s="55"/>
      <c r="QXY15" s="55"/>
      <c r="QXZ15" s="55"/>
      <c r="QYA15" s="55"/>
      <c r="QYB15" s="55"/>
      <c r="QYC15" s="55"/>
      <c r="QYD15" s="55"/>
      <c r="QYE15" s="55"/>
      <c r="QYF15" s="55"/>
      <c r="QYG15" s="55"/>
      <c r="QYH15" s="55"/>
      <c r="QYI15" s="55"/>
      <c r="QYJ15" s="55"/>
      <c r="QYK15" s="55"/>
      <c r="QYL15" s="55"/>
      <c r="QYM15" s="55"/>
      <c r="QYN15" s="55"/>
      <c r="QYO15" s="55"/>
      <c r="QYP15" s="55"/>
      <c r="QYQ15" s="55"/>
      <c r="QYR15" s="55"/>
      <c r="QYS15" s="55"/>
      <c r="QYT15" s="55"/>
      <c r="QYU15" s="55"/>
      <c r="QYV15" s="55"/>
      <c r="QYW15" s="55"/>
      <c r="QYX15" s="55"/>
      <c r="QYY15" s="55"/>
      <c r="QYZ15" s="55"/>
      <c r="QZA15" s="55"/>
      <c r="QZB15" s="55"/>
      <c r="QZC15" s="55"/>
      <c r="QZD15" s="55"/>
      <c r="QZE15" s="55"/>
      <c r="QZF15" s="55"/>
      <c r="QZG15" s="55"/>
      <c r="QZH15" s="55"/>
      <c r="QZI15" s="55"/>
      <c r="QZJ15" s="55"/>
      <c r="QZK15" s="55"/>
      <c r="QZL15" s="55"/>
      <c r="QZM15" s="55"/>
      <c r="QZN15" s="55"/>
      <c r="QZO15" s="55"/>
      <c r="QZP15" s="55"/>
      <c r="QZQ15" s="55"/>
      <c r="QZR15" s="55"/>
      <c r="QZS15" s="55"/>
      <c r="QZT15" s="55"/>
      <c r="QZU15" s="55"/>
      <c r="QZV15" s="55"/>
      <c r="QZW15" s="55"/>
      <c r="QZX15" s="55"/>
      <c r="QZY15" s="55"/>
      <c r="QZZ15" s="55"/>
      <c r="RAA15" s="55"/>
      <c r="RAB15" s="55"/>
      <c r="RAC15" s="55"/>
      <c r="RAD15" s="55"/>
      <c r="RAE15" s="55"/>
      <c r="RAF15" s="55"/>
      <c r="RAG15" s="55"/>
      <c r="RAH15" s="55"/>
      <c r="RAI15" s="55"/>
      <c r="RAJ15" s="55"/>
      <c r="RAK15" s="55"/>
      <c r="RAL15" s="55"/>
      <c r="RAM15" s="55"/>
      <c r="RAN15" s="55"/>
      <c r="RAO15" s="55"/>
      <c r="RAP15" s="55"/>
      <c r="RAQ15" s="55"/>
      <c r="RAR15" s="55"/>
      <c r="RAS15" s="55"/>
      <c r="RAT15" s="55"/>
      <c r="RAU15" s="55"/>
      <c r="RAV15" s="55"/>
      <c r="RAW15" s="55"/>
      <c r="RAX15" s="55"/>
      <c r="RAY15" s="55"/>
      <c r="RAZ15" s="55"/>
      <c r="RBA15" s="55"/>
      <c r="RBB15" s="55"/>
      <c r="RBC15" s="55"/>
      <c r="RBD15" s="55"/>
      <c r="RBE15" s="55"/>
      <c r="RBF15" s="55"/>
      <c r="RBG15" s="55"/>
      <c r="RBH15" s="55"/>
      <c r="RBI15" s="55"/>
      <c r="RBJ15" s="55"/>
      <c r="RBK15" s="55"/>
      <c r="RBL15" s="55"/>
      <c r="RBM15" s="55"/>
      <c r="RBN15" s="55"/>
      <c r="RBO15" s="55"/>
      <c r="RBP15" s="55"/>
      <c r="RBQ15" s="55"/>
      <c r="RBR15" s="55"/>
      <c r="RBS15" s="55"/>
      <c r="RBT15" s="55"/>
      <c r="RBU15" s="55"/>
      <c r="RBV15" s="55"/>
      <c r="RBW15" s="55"/>
      <c r="RBX15" s="55"/>
      <c r="RBY15" s="55"/>
      <c r="RBZ15" s="55"/>
      <c r="RCA15" s="55"/>
      <c r="RCB15" s="55"/>
      <c r="RCC15" s="55"/>
      <c r="RCD15" s="55"/>
      <c r="RCE15" s="55"/>
      <c r="RCF15" s="55"/>
      <c r="RCG15" s="55"/>
      <c r="RCH15" s="55"/>
      <c r="RCI15" s="55"/>
      <c r="RCJ15" s="55"/>
      <c r="RCK15" s="55"/>
      <c r="RCL15" s="55"/>
      <c r="RCM15" s="55"/>
      <c r="RCN15" s="55"/>
      <c r="RCO15" s="55"/>
      <c r="RCP15" s="55"/>
      <c r="RCQ15" s="55"/>
      <c r="RCR15" s="55"/>
      <c r="RCS15" s="55"/>
      <c r="RCT15" s="55"/>
      <c r="RCU15" s="55"/>
      <c r="RCV15" s="55"/>
      <c r="RCW15" s="55"/>
      <c r="RCX15" s="55"/>
      <c r="RCY15" s="55"/>
      <c r="RCZ15" s="55"/>
      <c r="RDA15" s="55"/>
      <c r="RDB15" s="55"/>
      <c r="RDC15" s="55"/>
      <c r="RDD15" s="55"/>
      <c r="RDE15" s="55"/>
      <c r="RDF15" s="55"/>
      <c r="RDG15" s="55"/>
      <c r="RDH15" s="55"/>
      <c r="RDI15" s="55"/>
      <c r="RDJ15" s="55"/>
      <c r="RDK15" s="55"/>
      <c r="RDL15" s="55"/>
      <c r="RDM15" s="55"/>
      <c r="RDN15" s="55"/>
      <c r="RDO15" s="55"/>
      <c r="RDP15" s="55"/>
      <c r="RDQ15" s="55"/>
      <c r="RDR15" s="55"/>
      <c r="RDS15" s="55"/>
      <c r="RDT15" s="55"/>
      <c r="RDU15" s="55"/>
      <c r="RDV15" s="55"/>
      <c r="RDW15" s="55"/>
      <c r="RDX15" s="55"/>
      <c r="RDY15" s="55"/>
      <c r="RDZ15" s="55"/>
      <c r="REA15" s="55"/>
      <c r="REB15" s="55"/>
      <c r="REC15" s="55"/>
      <c r="RED15" s="55"/>
      <c r="REE15" s="55"/>
      <c r="REF15" s="55"/>
      <c r="REG15" s="55"/>
      <c r="REH15" s="55"/>
      <c r="REI15" s="55"/>
      <c r="REJ15" s="55"/>
      <c r="REK15" s="55"/>
      <c r="REL15" s="55"/>
      <c r="REM15" s="55"/>
      <c r="REN15" s="55"/>
      <c r="REO15" s="55"/>
      <c r="REP15" s="55"/>
      <c r="REQ15" s="55"/>
      <c r="RER15" s="55"/>
      <c r="RES15" s="55"/>
      <c r="RET15" s="55"/>
      <c r="REU15" s="55"/>
      <c r="REV15" s="55"/>
      <c r="REW15" s="55"/>
      <c r="REX15" s="55"/>
      <c r="REY15" s="55"/>
      <c r="REZ15" s="55"/>
      <c r="RFA15" s="55"/>
      <c r="RFB15" s="55"/>
      <c r="RFC15" s="55"/>
      <c r="RFD15" s="55"/>
      <c r="RFE15" s="55"/>
      <c r="RFF15" s="55"/>
      <c r="RFG15" s="55"/>
      <c r="RFH15" s="55"/>
      <c r="RFI15" s="55"/>
      <c r="RFJ15" s="55"/>
      <c r="RFK15" s="55"/>
      <c r="RFL15" s="55"/>
      <c r="RFM15" s="55"/>
      <c r="RFN15" s="55"/>
      <c r="RFO15" s="55"/>
      <c r="RFP15" s="55"/>
      <c r="RFQ15" s="55"/>
      <c r="RFR15" s="55"/>
      <c r="RFS15" s="55"/>
      <c r="RFT15" s="55"/>
      <c r="RFU15" s="55"/>
      <c r="RFV15" s="55"/>
      <c r="RFW15" s="55"/>
      <c r="RFX15" s="55"/>
      <c r="RFY15" s="55"/>
      <c r="RFZ15" s="55"/>
      <c r="RGA15" s="55"/>
      <c r="RGB15" s="55"/>
      <c r="RGC15" s="55"/>
      <c r="RGD15" s="55"/>
      <c r="RGE15" s="55"/>
      <c r="RGF15" s="55"/>
      <c r="RGG15" s="55"/>
      <c r="RGH15" s="55"/>
      <c r="RGI15" s="55"/>
      <c r="RGJ15" s="55"/>
      <c r="RGK15" s="55"/>
      <c r="RGL15" s="55"/>
      <c r="RGM15" s="55"/>
      <c r="RGN15" s="55"/>
      <c r="RGO15" s="55"/>
      <c r="RGP15" s="55"/>
      <c r="RGQ15" s="55"/>
      <c r="RGR15" s="55"/>
      <c r="RGS15" s="55"/>
      <c r="RGT15" s="55"/>
      <c r="RGU15" s="55"/>
      <c r="RGV15" s="55"/>
      <c r="RGW15" s="55"/>
      <c r="RGX15" s="55"/>
      <c r="RGY15" s="55"/>
      <c r="RGZ15" s="55"/>
      <c r="RHA15" s="55"/>
      <c r="RHB15" s="55"/>
      <c r="RHC15" s="55"/>
      <c r="RHD15" s="55"/>
      <c r="RHE15" s="55"/>
      <c r="RHF15" s="55"/>
      <c r="RHG15" s="55"/>
      <c r="RHH15" s="55"/>
      <c r="RHI15" s="55"/>
      <c r="RHJ15" s="55"/>
      <c r="RHK15" s="55"/>
      <c r="RHL15" s="55"/>
      <c r="RHM15" s="55"/>
      <c r="RHN15" s="55"/>
      <c r="RHO15" s="55"/>
      <c r="RHP15" s="55"/>
      <c r="RHQ15" s="55"/>
      <c r="RHR15" s="55"/>
      <c r="RHS15" s="55"/>
      <c r="RHT15" s="55"/>
      <c r="RHU15" s="55"/>
      <c r="RHV15" s="55"/>
      <c r="RHW15" s="55"/>
      <c r="RHX15" s="55"/>
      <c r="RHY15" s="55"/>
      <c r="RHZ15" s="55"/>
      <c r="RIA15" s="55"/>
      <c r="RIB15" s="55"/>
      <c r="RIC15" s="55"/>
      <c r="RID15" s="55"/>
      <c r="RIE15" s="55"/>
      <c r="RIF15" s="55"/>
      <c r="RIG15" s="55"/>
      <c r="RIH15" s="55"/>
      <c r="RII15" s="55"/>
      <c r="RIJ15" s="55"/>
      <c r="RIK15" s="55"/>
      <c r="RIL15" s="55"/>
      <c r="RIM15" s="55"/>
      <c r="RIN15" s="55"/>
      <c r="RIO15" s="55"/>
      <c r="RIP15" s="55"/>
      <c r="RIQ15" s="55"/>
      <c r="RIR15" s="55"/>
      <c r="RIS15" s="55"/>
      <c r="RIT15" s="55"/>
      <c r="RIU15" s="55"/>
      <c r="RIV15" s="55"/>
      <c r="RIW15" s="55"/>
      <c r="RIX15" s="55"/>
      <c r="RIY15" s="55"/>
      <c r="RIZ15" s="55"/>
      <c r="RJA15" s="55"/>
      <c r="RJB15" s="55"/>
      <c r="RJC15" s="55"/>
      <c r="RJD15" s="55"/>
      <c r="RJE15" s="55"/>
      <c r="RJF15" s="55"/>
      <c r="RJG15" s="55"/>
      <c r="RJH15" s="55"/>
      <c r="RJI15" s="55"/>
      <c r="RJJ15" s="55"/>
      <c r="RJK15" s="55"/>
      <c r="RJL15" s="55"/>
      <c r="RJM15" s="55"/>
      <c r="RJN15" s="55"/>
      <c r="RJO15" s="55"/>
      <c r="RJP15" s="55"/>
      <c r="RJQ15" s="55"/>
      <c r="RJR15" s="55"/>
      <c r="RJS15" s="55"/>
      <c r="RJT15" s="55"/>
      <c r="RJU15" s="55"/>
      <c r="RJV15" s="55"/>
      <c r="RJW15" s="55"/>
      <c r="RJX15" s="55"/>
      <c r="RJY15" s="55"/>
      <c r="RJZ15" s="55"/>
      <c r="RKA15" s="55"/>
      <c r="RKB15" s="55"/>
      <c r="RKC15" s="55"/>
      <c r="RKD15" s="55"/>
      <c r="RKE15" s="55"/>
      <c r="RKF15" s="55"/>
      <c r="RKG15" s="55"/>
      <c r="RKH15" s="55"/>
      <c r="RKI15" s="55"/>
      <c r="RKJ15" s="55"/>
      <c r="RKK15" s="55"/>
      <c r="RKL15" s="55"/>
      <c r="RKM15" s="55"/>
      <c r="RKN15" s="55"/>
      <c r="RKO15" s="55"/>
      <c r="RKP15" s="55"/>
      <c r="RKQ15" s="55"/>
      <c r="RKR15" s="55"/>
      <c r="RKS15" s="55"/>
      <c r="RKT15" s="55"/>
      <c r="RKU15" s="55"/>
      <c r="RKV15" s="55"/>
      <c r="RKW15" s="55"/>
      <c r="RKX15" s="55"/>
      <c r="RKY15" s="55"/>
      <c r="RKZ15" s="55"/>
      <c r="RLA15" s="55"/>
      <c r="RLB15" s="55"/>
      <c r="RLC15" s="55"/>
      <c r="RLD15" s="55"/>
      <c r="RLE15" s="55"/>
      <c r="RLF15" s="55"/>
      <c r="RLG15" s="55"/>
      <c r="RLH15" s="55"/>
      <c r="RLI15" s="55"/>
      <c r="RLJ15" s="55"/>
      <c r="RLK15" s="55"/>
      <c r="RLL15" s="55"/>
      <c r="RLM15" s="55"/>
      <c r="RLN15" s="55"/>
      <c r="RLO15" s="55"/>
      <c r="RLP15" s="55"/>
      <c r="RLQ15" s="55"/>
      <c r="RLR15" s="55"/>
      <c r="RLS15" s="55"/>
      <c r="RLT15" s="55"/>
      <c r="RLU15" s="55"/>
      <c r="RLV15" s="55"/>
      <c r="RLW15" s="55"/>
      <c r="RLX15" s="55"/>
      <c r="RLY15" s="55"/>
      <c r="RLZ15" s="55"/>
      <c r="RMA15" s="55"/>
      <c r="RMB15" s="55"/>
      <c r="RMC15" s="55"/>
      <c r="RMD15" s="55"/>
      <c r="RME15" s="55"/>
      <c r="RMF15" s="55"/>
      <c r="RMG15" s="55"/>
      <c r="RMH15" s="55"/>
      <c r="RMI15" s="55"/>
      <c r="RMJ15" s="55"/>
      <c r="RMK15" s="55"/>
      <c r="RML15" s="55"/>
      <c r="RMM15" s="55"/>
      <c r="RMN15" s="55"/>
      <c r="RMO15" s="55"/>
      <c r="RMP15" s="55"/>
      <c r="RMQ15" s="55"/>
      <c r="RMR15" s="55"/>
      <c r="RMS15" s="55"/>
      <c r="RMT15" s="55"/>
      <c r="RMU15" s="55"/>
      <c r="RMV15" s="55"/>
      <c r="RMW15" s="55"/>
      <c r="RMX15" s="55"/>
      <c r="RMY15" s="55"/>
      <c r="RMZ15" s="55"/>
      <c r="RNA15" s="55"/>
      <c r="RNB15" s="55"/>
      <c r="RNC15" s="55"/>
      <c r="RND15" s="55"/>
      <c r="RNE15" s="55"/>
      <c r="RNF15" s="55"/>
      <c r="RNG15" s="55"/>
      <c r="RNH15" s="55"/>
      <c r="RNI15" s="55"/>
      <c r="RNJ15" s="55"/>
      <c r="RNK15" s="55"/>
      <c r="RNL15" s="55"/>
      <c r="RNM15" s="55"/>
      <c r="RNN15" s="55"/>
      <c r="RNO15" s="55"/>
      <c r="RNP15" s="55"/>
      <c r="RNQ15" s="55"/>
      <c r="RNR15" s="55"/>
      <c r="RNS15" s="55"/>
      <c r="RNT15" s="55"/>
      <c r="RNU15" s="55"/>
      <c r="RNV15" s="55"/>
      <c r="RNW15" s="55"/>
      <c r="RNX15" s="55"/>
      <c r="RNY15" s="55"/>
      <c r="RNZ15" s="55"/>
      <c r="ROA15" s="55"/>
      <c r="ROB15" s="55"/>
      <c r="ROC15" s="55"/>
      <c r="ROD15" s="55"/>
      <c r="ROE15" s="55"/>
      <c r="ROF15" s="55"/>
      <c r="ROG15" s="55"/>
      <c r="ROH15" s="55"/>
      <c r="ROI15" s="55"/>
      <c r="ROJ15" s="55"/>
      <c r="ROK15" s="55"/>
      <c r="ROL15" s="55"/>
      <c r="ROM15" s="55"/>
      <c r="RON15" s="55"/>
      <c r="ROO15" s="55"/>
      <c r="ROP15" s="55"/>
      <c r="ROQ15" s="55"/>
      <c r="ROR15" s="55"/>
      <c r="ROS15" s="55"/>
      <c r="ROT15" s="55"/>
      <c r="ROU15" s="55"/>
      <c r="ROV15" s="55"/>
      <c r="ROW15" s="55"/>
      <c r="ROX15" s="55"/>
      <c r="ROY15" s="55"/>
      <c r="ROZ15" s="55"/>
      <c r="RPA15" s="55"/>
      <c r="RPB15" s="55"/>
      <c r="RPC15" s="55"/>
      <c r="RPD15" s="55"/>
      <c r="RPE15" s="55"/>
      <c r="RPF15" s="55"/>
      <c r="RPG15" s="55"/>
      <c r="RPH15" s="55"/>
      <c r="RPI15" s="55"/>
      <c r="RPJ15" s="55"/>
      <c r="RPK15" s="55"/>
      <c r="RPL15" s="55"/>
      <c r="RPM15" s="55"/>
      <c r="RPN15" s="55"/>
      <c r="RPO15" s="55"/>
      <c r="RPP15" s="55"/>
      <c r="RPQ15" s="55"/>
      <c r="RPR15" s="55"/>
      <c r="RPS15" s="55"/>
      <c r="RPT15" s="55"/>
      <c r="RPU15" s="55"/>
      <c r="RPV15" s="55"/>
      <c r="RPW15" s="55"/>
      <c r="RPX15" s="55"/>
      <c r="RPY15" s="55"/>
      <c r="RPZ15" s="55"/>
      <c r="RQA15" s="55"/>
      <c r="RQB15" s="55"/>
      <c r="RQC15" s="55"/>
      <c r="RQD15" s="55"/>
      <c r="RQE15" s="55"/>
      <c r="RQF15" s="55"/>
      <c r="RQG15" s="55"/>
      <c r="RQH15" s="55"/>
      <c r="RQI15" s="55"/>
      <c r="RQJ15" s="55"/>
      <c r="RQK15" s="55"/>
      <c r="RQL15" s="55"/>
      <c r="RQM15" s="55"/>
      <c r="RQN15" s="55"/>
      <c r="RQO15" s="55"/>
      <c r="RQP15" s="55"/>
      <c r="RQQ15" s="55"/>
      <c r="RQR15" s="55"/>
      <c r="RQS15" s="55"/>
      <c r="RQT15" s="55"/>
      <c r="RQU15" s="55"/>
      <c r="RQV15" s="55"/>
      <c r="RQW15" s="55"/>
      <c r="RQX15" s="55"/>
      <c r="RQY15" s="55"/>
      <c r="RQZ15" s="55"/>
      <c r="RRA15" s="55"/>
      <c r="RRB15" s="55"/>
      <c r="RRC15" s="55"/>
      <c r="RRD15" s="55"/>
      <c r="RRE15" s="55"/>
      <c r="RRF15" s="55"/>
      <c r="RRG15" s="55"/>
      <c r="RRH15" s="55"/>
      <c r="RRI15" s="55"/>
      <c r="RRJ15" s="55"/>
      <c r="RRK15" s="55"/>
      <c r="RRL15" s="55"/>
      <c r="RRM15" s="55"/>
      <c r="RRN15" s="55"/>
      <c r="RRO15" s="55"/>
      <c r="RRP15" s="55"/>
      <c r="RRQ15" s="55"/>
      <c r="RRR15" s="55"/>
      <c r="RRS15" s="55"/>
      <c r="RRT15" s="55"/>
      <c r="RRU15" s="55"/>
      <c r="RRV15" s="55"/>
      <c r="RRW15" s="55"/>
      <c r="RRX15" s="55"/>
      <c r="RRY15" s="55"/>
      <c r="RRZ15" s="55"/>
      <c r="RSA15" s="55"/>
      <c r="RSB15" s="55"/>
      <c r="RSC15" s="55"/>
      <c r="RSD15" s="55"/>
      <c r="RSE15" s="55"/>
      <c r="RSF15" s="55"/>
      <c r="RSG15" s="55"/>
      <c r="RSH15" s="55"/>
      <c r="RSI15" s="55"/>
      <c r="RSJ15" s="55"/>
      <c r="RSK15" s="55"/>
      <c r="RSL15" s="55"/>
      <c r="RSM15" s="55"/>
      <c r="RSN15" s="55"/>
      <c r="RSO15" s="55"/>
      <c r="RSP15" s="55"/>
      <c r="RSQ15" s="55"/>
      <c r="RSR15" s="55"/>
      <c r="RSS15" s="55"/>
      <c r="RST15" s="55"/>
      <c r="RSU15" s="55"/>
      <c r="RSV15" s="55"/>
      <c r="RSW15" s="55"/>
      <c r="RSX15" s="55"/>
      <c r="RSY15" s="55"/>
      <c r="RSZ15" s="55"/>
      <c r="RTA15" s="55"/>
      <c r="RTB15" s="55"/>
      <c r="RTC15" s="55"/>
      <c r="RTD15" s="55"/>
      <c r="RTE15" s="55"/>
      <c r="RTF15" s="55"/>
      <c r="RTG15" s="55"/>
      <c r="RTH15" s="55"/>
      <c r="RTI15" s="55"/>
      <c r="RTJ15" s="55"/>
      <c r="RTK15" s="55"/>
      <c r="RTL15" s="55"/>
      <c r="RTM15" s="55"/>
      <c r="RTN15" s="55"/>
      <c r="RTO15" s="55"/>
      <c r="RTP15" s="55"/>
      <c r="RTQ15" s="55"/>
      <c r="RTR15" s="55"/>
      <c r="RTS15" s="55"/>
      <c r="RTT15" s="55"/>
      <c r="RTU15" s="55"/>
      <c r="RTV15" s="55"/>
      <c r="RTW15" s="55"/>
      <c r="RTX15" s="55"/>
      <c r="RTY15" s="55"/>
      <c r="RTZ15" s="55"/>
      <c r="RUA15" s="55"/>
      <c r="RUB15" s="55"/>
      <c r="RUC15" s="55"/>
      <c r="RUD15" s="55"/>
      <c r="RUE15" s="55"/>
      <c r="RUF15" s="55"/>
      <c r="RUG15" s="55"/>
      <c r="RUH15" s="55"/>
      <c r="RUI15" s="55"/>
      <c r="RUJ15" s="55"/>
      <c r="RUK15" s="55"/>
      <c r="RUL15" s="55"/>
      <c r="RUM15" s="55"/>
      <c r="RUN15" s="55"/>
      <c r="RUO15" s="55"/>
      <c r="RUP15" s="55"/>
      <c r="RUQ15" s="55"/>
      <c r="RUR15" s="55"/>
      <c r="RUS15" s="55"/>
      <c r="RUT15" s="55"/>
      <c r="RUU15" s="55"/>
      <c r="RUV15" s="55"/>
      <c r="RUW15" s="55"/>
      <c r="RUX15" s="55"/>
      <c r="RUY15" s="55"/>
      <c r="RUZ15" s="55"/>
      <c r="RVA15" s="55"/>
      <c r="RVB15" s="55"/>
      <c r="RVC15" s="55"/>
      <c r="RVD15" s="55"/>
      <c r="RVE15" s="55"/>
      <c r="RVF15" s="55"/>
      <c r="RVG15" s="55"/>
      <c r="RVH15" s="55"/>
      <c r="RVI15" s="55"/>
      <c r="RVJ15" s="55"/>
      <c r="RVK15" s="55"/>
      <c r="RVL15" s="55"/>
      <c r="RVM15" s="55"/>
      <c r="RVN15" s="55"/>
      <c r="RVO15" s="55"/>
      <c r="RVP15" s="55"/>
      <c r="RVQ15" s="55"/>
      <c r="RVR15" s="55"/>
      <c r="RVS15" s="55"/>
      <c r="RVT15" s="55"/>
      <c r="RVU15" s="55"/>
      <c r="RVV15" s="55"/>
      <c r="RVW15" s="55"/>
      <c r="RVX15" s="55"/>
      <c r="RVY15" s="55"/>
      <c r="RVZ15" s="55"/>
      <c r="RWA15" s="55"/>
      <c r="RWB15" s="55"/>
      <c r="RWC15" s="55"/>
      <c r="RWD15" s="55"/>
      <c r="RWE15" s="55"/>
      <c r="RWF15" s="55"/>
      <c r="RWG15" s="55"/>
      <c r="RWH15" s="55"/>
      <c r="RWI15" s="55"/>
      <c r="RWJ15" s="55"/>
      <c r="RWK15" s="55"/>
      <c r="RWL15" s="55"/>
      <c r="RWM15" s="55"/>
      <c r="RWN15" s="55"/>
      <c r="RWO15" s="55"/>
      <c r="RWP15" s="55"/>
      <c r="RWQ15" s="55"/>
      <c r="RWR15" s="55"/>
      <c r="RWS15" s="55"/>
      <c r="RWT15" s="55"/>
      <c r="RWU15" s="55"/>
      <c r="RWV15" s="55"/>
      <c r="RWW15" s="55"/>
      <c r="RWX15" s="55"/>
      <c r="RWY15" s="55"/>
      <c r="RWZ15" s="55"/>
      <c r="RXA15" s="55"/>
      <c r="RXB15" s="55"/>
      <c r="RXC15" s="55"/>
      <c r="RXD15" s="55"/>
      <c r="RXE15" s="55"/>
      <c r="RXF15" s="55"/>
      <c r="RXG15" s="55"/>
      <c r="RXH15" s="55"/>
      <c r="RXI15" s="55"/>
      <c r="RXJ15" s="55"/>
      <c r="RXK15" s="55"/>
      <c r="RXL15" s="55"/>
      <c r="RXM15" s="55"/>
      <c r="RXN15" s="55"/>
      <c r="RXO15" s="55"/>
      <c r="RXP15" s="55"/>
      <c r="RXQ15" s="55"/>
      <c r="RXR15" s="55"/>
      <c r="RXS15" s="55"/>
      <c r="RXT15" s="55"/>
      <c r="RXU15" s="55"/>
      <c r="RXV15" s="55"/>
      <c r="RXW15" s="55"/>
      <c r="RXX15" s="55"/>
      <c r="RXY15" s="55"/>
      <c r="RXZ15" s="55"/>
      <c r="RYA15" s="55"/>
      <c r="RYB15" s="55"/>
      <c r="RYC15" s="55"/>
      <c r="RYD15" s="55"/>
      <c r="RYE15" s="55"/>
      <c r="RYF15" s="55"/>
      <c r="RYG15" s="55"/>
      <c r="RYH15" s="55"/>
      <c r="RYI15" s="55"/>
      <c r="RYJ15" s="55"/>
      <c r="RYK15" s="55"/>
      <c r="RYL15" s="55"/>
      <c r="RYM15" s="55"/>
      <c r="RYN15" s="55"/>
      <c r="RYO15" s="55"/>
      <c r="RYP15" s="55"/>
      <c r="RYQ15" s="55"/>
      <c r="RYR15" s="55"/>
      <c r="RYS15" s="55"/>
      <c r="RYT15" s="55"/>
      <c r="RYU15" s="55"/>
      <c r="RYV15" s="55"/>
      <c r="RYW15" s="55"/>
      <c r="RYX15" s="55"/>
      <c r="RYY15" s="55"/>
      <c r="RYZ15" s="55"/>
      <c r="RZA15" s="55"/>
      <c r="RZB15" s="55"/>
      <c r="RZC15" s="55"/>
      <c r="RZD15" s="55"/>
      <c r="RZE15" s="55"/>
      <c r="RZF15" s="55"/>
      <c r="RZG15" s="55"/>
      <c r="RZH15" s="55"/>
      <c r="RZI15" s="55"/>
      <c r="RZJ15" s="55"/>
      <c r="RZK15" s="55"/>
      <c r="RZL15" s="55"/>
      <c r="RZM15" s="55"/>
      <c r="RZN15" s="55"/>
      <c r="RZO15" s="55"/>
      <c r="RZP15" s="55"/>
      <c r="RZQ15" s="55"/>
      <c r="RZR15" s="55"/>
      <c r="RZS15" s="55"/>
      <c r="RZT15" s="55"/>
      <c r="RZU15" s="55"/>
      <c r="RZV15" s="55"/>
      <c r="RZW15" s="55"/>
      <c r="RZX15" s="55"/>
      <c r="RZY15" s="55"/>
      <c r="RZZ15" s="55"/>
      <c r="SAA15" s="55"/>
      <c r="SAB15" s="55"/>
      <c r="SAC15" s="55"/>
      <c r="SAD15" s="55"/>
      <c r="SAE15" s="55"/>
      <c r="SAF15" s="55"/>
      <c r="SAG15" s="55"/>
      <c r="SAH15" s="55"/>
      <c r="SAI15" s="55"/>
      <c r="SAJ15" s="55"/>
      <c r="SAK15" s="55"/>
      <c r="SAL15" s="55"/>
      <c r="SAM15" s="55"/>
      <c r="SAN15" s="55"/>
      <c r="SAO15" s="55"/>
      <c r="SAP15" s="55"/>
      <c r="SAQ15" s="55"/>
      <c r="SAR15" s="55"/>
      <c r="SAS15" s="55"/>
      <c r="SAT15" s="55"/>
      <c r="SAU15" s="55"/>
      <c r="SAV15" s="55"/>
      <c r="SAW15" s="55"/>
      <c r="SAX15" s="55"/>
      <c r="SAY15" s="55"/>
      <c r="SAZ15" s="55"/>
      <c r="SBA15" s="55"/>
      <c r="SBB15" s="55"/>
      <c r="SBC15" s="55"/>
      <c r="SBD15" s="55"/>
      <c r="SBE15" s="55"/>
      <c r="SBF15" s="55"/>
      <c r="SBG15" s="55"/>
      <c r="SBH15" s="55"/>
      <c r="SBI15" s="55"/>
      <c r="SBJ15" s="55"/>
      <c r="SBK15" s="55"/>
      <c r="SBL15" s="55"/>
      <c r="SBM15" s="55"/>
      <c r="SBN15" s="55"/>
      <c r="SBO15" s="55"/>
      <c r="SBP15" s="55"/>
      <c r="SBQ15" s="55"/>
      <c r="SBR15" s="55"/>
      <c r="SBS15" s="55"/>
      <c r="SBT15" s="55"/>
      <c r="SBU15" s="55"/>
      <c r="SBV15" s="55"/>
      <c r="SBW15" s="55"/>
      <c r="SBX15" s="55"/>
      <c r="SBY15" s="55"/>
      <c r="SBZ15" s="55"/>
      <c r="SCA15" s="55"/>
      <c r="SCB15" s="55"/>
      <c r="SCC15" s="55"/>
      <c r="SCD15" s="55"/>
      <c r="SCE15" s="55"/>
      <c r="SCF15" s="55"/>
      <c r="SCG15" s="55"/>
      <c r="SCH15" s="55"/>
      <c r="SCI15" s="55"/>
      <c r="SCJ15" s="55"/>
      <c r="SCK15" s="55"/>
      <c r="SCL15" s="55"/>
      <c r="SCM15" s="55"/>
      <c r="SCN15" s="55"/>
      <c r="SCO15" s="55"/>
      <c r="SCP15" s="55"/>
      <c r="SCQ15" s="55"/>
      <c r="SCR15" s="55"/>
      <c r="SCS15" s="55"/>
      <c r="SCT15" s="55"/>
      <c r="SCU15" s="55"/>
      <c r="SCV15" s="55"/>
      <c r="SCW15" s="55"/>
      <c r="SCX15" s="55"/>
      <c r="SCY15" s="55"/>
      <c r="SCZ15" s="55"/>
      <c r="SDA15" s="55"/>
      <c r="SDB15" s="55"/>
      <c r="SDC15" s="55"/>
      <c r="SDD15" s="55"/>
      <c r="SDE15" s="55"/>
      <c r="SDF15" s="55"/>
      <c r="SDG15" s="55"/>
      <c r="SDH15" s="55"/>
      <c r="SDI15" s="55"/>
      <c r="SDJ15" s="55"/>
      <c r="SDK15" s="55"/>
      <c r="SDL15" s="55"/>
      <c r="SDM15" s="55"/>
      <c r="SDN15" s="55"/>
      <c r="SDO15" s="55"/>
      <c r="SDP15" s="55"/>
      <c r="SDQ15" s="55"/>
      <c r="SDR15" s="55"/>
      <c r="SDS15" s="55"/>
      <c r="SDT15" s="55"/>
      <c r="SDU15" s="55"/>
      <c r="SDV15" s="55"/>
      <c r="SDW15" s="55"/>
      <c r="SDX15" s="55"/>
      <c r="SDY15" s="55"/>
      <c r="SDZ15" s="55"/>
      <c r="SEA15" s="55"/>
      <c r="SEB15" s="55"/>
      <c r="SEC15" s="55"/>
      <c r="SED15" s="55"/>
      <c r="SEE15" s="55"/>
      <c r="SEF15" s="55"/>
      <c r="SEG15" s="55"/>
      <c r="SEH15" s="55"/>
      <c r="SEI15" s="55"/>
      <c r="SEJ15" s="55"/>
      <c r="SEK15" s="55"/>
      <c r="SEL15" s="55"/>
      <c r="SEM15" s="55"/>
      <c r="SEN15" s="55"/>
      <c r="SEO15" s="55"/>
      <c r="SEP15" s="55"/>
      <c r="SEQ15" s="55"/>
      <c r="SER15" s="55"/>
      <c r="SES15" s="55"/>
      <c r="SET15" s="55"/>
      <c r="SEU15" s="55"/>
      <c r="SEV15" s="55"/>
      <c r="SEW15" s="55"/>
      <c r="SEX15" s="55"/>
      <c r="SEY15" s="55"/>
      <c r="SEZ15" s="55"/>
      <c r="SFA15" s="55"/>
      <c r="SFB15" s="55"/>
      <c r="SFC15" s="55"/>
      <c r="SFD15" s="55"/>
      <c r="SFE15" s="55"/>
      <c r="SFF15" s="55"/>
      <c r="SFG15" s="55"/>
      <c r="SFH15" s="55"/>
      <c r="SFI15" s="55"/>
      <c r="SFJ15" s="55"/>
      <c r="SFK15" s="55"/>
      <c r="SFL15" s="55"/>
      <c r="SFM15" s="55"/>
      <c r="SFN15" s="55"/>
      <c r="SFO15" s="55"/>
      <c r="SFP15" s="55"/>
      <c r="SFQ15" s="55"/>
      <c r="SFR15" s="55"/>
      <c r="SFS15" s="55"/>
      <c r="SFT15" s="55"/>
      <c r="SFU15" s="55"/>
      <c r="SFV15" s="55"/>
      <c r="SFW15" s="55"/>
      <c r="SFX15" s="55"/>
      <c r="SFY15" s="55"/>
      <c r="SFZ15" s="55"/>
      <c r="SGA15" s="55"/>
      <c r="SGB15" s="55"/>
      <c r="SGC15" s="55"/>
      <c r="SGD15" s="55"/>
      <c r="SGE15" s="55"/>
      <c r="SGF15" s="55"/>
      <c r="SGG15" s="55"/>
      <c r="SGH15" s="55"/>
      <c r="SGI15" s="55"/>
      <c r="SGJ15" s="55"/>
      <c r="SGK15" s="55"/>
      <c r="SGL15" s="55"/>
      <c r="SGM15" s="55"/>
      <c r="SGN15" s="55"/>
      <c r="SGO15" s="55"/>
      <c r="SGP15" s="55"/>
      <c r="SGQ15" s="55"/>
      <c r="SGR15" s="55"/>
      <c r="SGS15" s="55"/>
      <c r="SGT15" s="55"/>
      <c r="SGU15" s="55"/>
      <c r="SGV15" s="55"/>
      <c r="SGW15" s="55"/>
      <c r="SGX15" s="55"/>
      <c r="SGY15" s="55"/>
      <c r="SGZ15" s="55"/>
      <c r="SHA15" s="55"/>
      <c r="SHB15" s="55"/>
      <c r="SHC15" s="55"/>
      <c r="SHD15" s="55"/>
      <c r="SHE15" s="55"/>
      <c r="SHF15" s="55"/>
      <c r="SHG15" s="55"/>
      <c r="SHH15" s="55"/>
      <c r="SHI15" s="55"/>
      <c r="SHJ15" s="55"/>
      <c r="SHK15" s="55"/>
      <c r="SHL15" s="55"/>
      <c r="SHM15" s="55"/>
      <c r="SHN15" s="55"/>
      <c r="SHO15" s="55"/>
      <c r="SHP15" s="55"/>
      <c r="SHQ15" s="55"/>
      <c r="SHR15" s="55"/>
      <c r="SHS15" s="55"/>
      <c r="SHT15" s="55"/>
      <c r="SHU15" s="55"/>
      <c r="SHV15" s="55"/>
      <c r="SHW15" s="55"/>
      <c r="SHX15" s="55"/>
      <c r="SHY15" s="55"/>
      <c r="SHZ15" s="55"/>
      <c r="SIA15" s="55"/>
      <c r="SIB15" s="55"/>
      <c r="SIC15" s="55"/>
      <c r="SID15" s="55"/>
      <c r="SIE15" s="55"/>
      <c r="SIF15" s="55"/>
      <c r="SIG15" s="55"/>
      <c r="SIH15" s="55"/>
      <c r="SII15" s="55"/>
      <c r="SIJ15" s="55"/>
      <c r="SIK15" s="55"/>
      <c r="SIL15" s="55"/>
      <c r="SIM15" s="55"/>
      <c r="SIN15" s="55"/>
      <c r="SIO15" s="55"/>
      <c r="SIP15" s="55"/>
      <c r="SIQ15" s="55"/>
      <c r="SIR15" s="55"/>
      <c r="SIS15" s="55"/>
      <c r="SIT15" s="55"/>
      <c r="SIU15" s="55"/>
      <c r="SIV15" s="55"/>
      <c r="SIW15" s="55"/>
      <c r="SIX15" s="55"/>
      <c r="SIY15" s="55"/>
      <c r="SIZ15" s="55"/>
      <c r="SJA15" s="55"/>
      <c r="SJB15" s="55"/>
      <c r="SJC15" s="55"/>
      <c r="SJD15" s="55"/>
      <c r="SJE15" s="55"/>
      <c r="SJF15" s="55"/>
      <c r="SJG15" s="55"/>
      <c r="SJH15" s="55"/>
      <c r="SJI15" s="55"/>
      <c r="SJJ15" s="55"/>
      <c r="SJK15" s="55"/>
      <c r="SJL15" s="55"/>
      <c r="SJM15" s="55"/>
      <c r="SJN15" s="55"/>
      <c r="SJO15" s="55"/>
      <c r="SJP15" s="55"/>
      <c r="SJQ15" s="55"/>
      <c r="SJR15" s="55"/>
      <c r="SJS15" s="55"/>
      <c r="SJT15" s="55"/>
      <c r="SJU15" s="55"/>
      <c r="SJV15" s="55"/>
      <c r="SJW15" s="55"/>
      <c r="SJX15" s="55"/>
      <c r="SJY15" s="55"/>
      <c r="SJZ15" s="55"/>
      <c r="SKA15" s="55"/>
      <c r="SKB15" s="55"/>
      <c r="SKC15" s="55"/>
      <c r="SKD15" s="55"/>
      <c r="SKE15" s="55"/>
      <c r="SKF15" s="55"/>
      <c r="SKG15" s="55"/>
      <c r="SKH15" s="55"/>
      <c r="SKI15" s="55"/>
      <c r="SKJ15" s="55"/>
      <c r="SKK15" s="55"/>
      <c r="SKL15" s="55"/>
      <c r="SKM15" s="55"/>
      <c r="SKN15" s="55"/>
      <c r="SKO15" s="55"/>
      <c r="SKP15" s="55"/>
      <c r="SKQ15" s="55"/>
      <c r="SKR15" s="55"/>
      <c r="SKS15" s="55"/>
      <c r="SKT15" s="55"/>
      <c r="SKU15" s="55"/>
      <c r="SKV15" s="55"/>
      <c r="SKW15" s="55"/>
      <c r="SKX15" s="55"/>
      <c r="SKY15" s="55"/>
      <c r="SKZ15" s="55"/>
      <c r="SLA15" s="55"/>
      <c r="SLB15" s="55"/>
      <c r="SLC15" s="55"/>
      <c r="SLD15" s="55"/>
      <c r="SLE15" s="55"/>
      <c r="SLF15" s="55"/>
      <c r="SLG15" s="55"/>
      <c r="SLH15" s="55"/>
      <c r="SLI15" s="55"/>
      <c r="SLJ15" s="55"/>
      <c r="SLK15" s="55"/>
      <c r="SLL15" s="55"/>
      <c r="SLM15" s="55"/>
      <c r="SLN15" s="55"/>
      <c r="SLO15" s="55"/>
      <c r="SLP15" s="55"/>
      <c r="SLQ15" s="55"/>
      <c r="SLR15" s="55"/>
      <c r="SLS15" s="55"/>
      <c r="SLT15" s="55"/>
      <c r="SLU15" s="55"/>
      <c r="SLV15" s="55"/>
      <c r="SLW15" s="55"/>
      <c r="SLX15" s="55"/>
      <c r="SLY15" s="55"/>
      <c r="SLZ15" s="55"/>
      <c r="SMA15" s="55"/>
      <c r="SMB15" s="55"/>
      <c r="SMC15" s="55"/>
      <c r="SMD15" s="55"/>
      <c r="SME15" s="55"/>
      <c r="SMF15" s="55"/>
      <c r="SMG15" s="55"/>
      <c r="SMH15" s="55"/>
      <c r="SMI15" s="55"/>
      <c r="SMJ15" s="55"/>
      <c r="SMK15" s="55"/>
      <c r="SML15" s="55"/>
      <c r="SMM15" s="55"/>
      <c r="SMN15" s="55"/>
      <c r="SMO15" s="55"/>
      <c r="SMP15" s="55"/>
      <c r="SMQ15" s="55"/>
      <c r="SMR15" s="55"/>
      <c r="SMS15" s="55"/>
      <c r="SMT15" s="55"/>
      <c r="SMU15" s="55"/>
      <c r="SMV15" s="55"/>
      <c r="SMW15" s="55"/>
      <c r="SMX15" s="55"/>
      <c r="SMY15" s="55"/>
      <c r="SMZ15" s="55"/>
      <c r="SNA15" s="55"/>
      <c r="SNB15" s="55"/>
      <c r="SNC15" s="55"/>
      <c r="SND15" s="55"/>
      <c r="SNE15" s="55"/>
      <c r="SNF15" s="55"/>
      <c r="SNG15" s="55"/>
      <c r="SNH15" s="55"/>
      <c r="SNI15" s="55"/>
      <c r="SNJ15" s="55"/>
      <c r="SNK15" s="55"/>
      <c r="SNL15" s="55"/>
      <c r="SNM15" s="55"/>
      <c r="SNN15" s="55"/>
      <c r="SNO15" s="55"/>
      <c r="SNP15" s="55"/>
      <c r="SNQ15" s="55"/>
      <c r="SNR15" s="55"/>
      <c r="SNS15" s="55"/>
      <c r="SNT15" s="55"/>
      <c r="SNU15" s="55"/>
      <c r="SNV15" s="55"/>
      <c r="SNW15" s="55"/>
      <c r="SNX15" s="55"/>
      <c r="SNY15" s="55"/>
      <c r="SNZ15" s="55"/>
      <c r="SOA15" s="55"/>
      <c r="SOB15" s="55"/>
      <c r="SOC15" s="55"/>
      <c r="SOD15" s="55"/>
      <c r="SOE15" s="55"/>
      <c r="SOF15" s="55"/>
      <c r="SOG15" s="55"/>
      <c r="SOH15" s="55"/>
      <c r="SOI15" s="55"/>
      <c r="SOJ15" s="55"/>
      <c r="SOK15" s="55"/>
      <c r="SOL15" s="55"/>
      <c r="SOM15" s="55"/>
      <c r="SON15" s="55"/>
      <c r="SOO15" s="55"/>
      <c r="SOP15" s="55"/>
      <c r="SOQ15" s="55"/>
      <c r="SOR15" s="55"/>
      <c r="SOS15" s="55"/>
      <c r="SOT15" s="55"/>
      <c r="SOU15" s="55"/>
      <c r="SOV15" s="55"/>
      <c r="SOW15" s="55"/>
      <c r="SOX15" s="55"/>
      <c r="SOY15" s="55"/>
      <c r="SOZ15" s="55"/>
      <c r="SPA15" s="55"/>
      <c r="SPB15" s="55"/>
      <c r="SPC15" s="55"/>
      <c r="SPD15" s="55"/>
      <c r="SPE15" s="55"/>
      <c r="SPF15" s="55"/>
      <c r="SPG15" s="55"/>
      <c r="SPH15" s="55"/>
      <c r="SPI15" s="55"/>
      <c r="SPJ15" s="55"/>
      <c r="SPK15" s="55"/>
      <c r="SPL15" s="55"/>
      <c r="SPM15" s="55"/>
      <c r="SPN15" s="55"/>
      <c r="SPO15" s="55"/>
      <c r="SPP15" s="55"/>
      <c r="SPQ15" s="55"/>
      <c r="SPR15" s="55"/>
      <c r="SPS15" s="55"/>
      <c r="SPT15" s="55"/>
      <c r="SPU15" s="55"/>
      <c r="SPV15" s="55"/>
      <c r="SPW15" s="55"/>
      <c r="SPX15" s="55"/>
      <c r="SPY15" s="55"/>
      <c r="SPZ15" s="55"/>
      <c r="SQA15" s="55"/>
      <c r="SQB15" s="55"/>
      <c r="SQC15" s="55"/>
      <c r="SQD15" s="55"/>
      <c r="SQE15" s="55"/>
      <c r="SQF15" s="55"/>
      <c r="SQG15" s="55"/>
      <c r="SQH15" s="55"/>
      <c r="SQI15" s="55"/>
      <c r="SQJ15" s="55"/>
      <c r="SQK15" s="55"/>
      <c r="SQL15" s="55"/>
      <c r="SQM15" s="55"/>
      <c r="SQN15" s="55"/>
      <c r="SQO15" s="55"/>
      <c r="SQP15" s="55"/>
      <c r="SQQ15" s="55"/>
      <c r="SQR15" s="55"/>
      <c r="SQS15" s="55"/>
      <c r="SQT15" s="55"/>
      <c r="SQU15" s="55"/>
      <c r="SQV15" s="55"/>
      <c r="SQW15" s="55"/>
      <c r="SQX15" s="55"/>
      <c r="SQY15" s="55"/>
      <c r="SQZ15" s="55"/>
      <c r="SRA15" s="55"/>
      <c r="SRB15" s="55"/>
      <c r="SRC15" s="55"/>
      <c r="SRD15" s="55"/>
      <c r="SRE15" s="55"/>
      <c r="SRF15" s="55"/>
      <c r="SRG15" s="55"/>
      <c r="SRH15" s="55"/>
      <c r="SRI15" s="55"/>
      <c r="SRJ15" s="55"/>
      <c r="SRK15" s="55"/>
      <c r="SRL15" s="55"/>
      <c r="SRM15" s="55"/>
      <c r="SRN15" s="55"/>
      <c r="SRO15" s="55"/>
      <c r="SRP15" s="55"/>
      <c r="SRQ15" s="55"/>
      <c r="SRR15" s="55"/>
      <c r="SRS15" s="55"/>
      <c r="SRT15" s="55"/>
      <c r="SRU15" s="55"/>
      <c r="SRV15" s="55"/>
      <c r="SRW15" s="55"/>
      <c r="SRX15" s="55"/>
      <c r="SRY15" s="55"/>
      <c r="SRZ15" s="55"/>
      <c r="SSA15" s="55"/>
      <c r="SSB15" s="55"/>
      <c r="SSC15" s="55"/>
      <c r="SSD15" s="55"/>
      <c r="SSE15" s="55"/>
      <c r="SSF15" s="55"/>
      <c r="SSG15" s="55"/>
      <c r="SSH15" s="55"/>
      <c r="SSI15" s="55"/>
      <c r="SSJ15" s="55"/>
      <c r="SSK15" s="55"/>
      <c r="SSL15" s="55"/>
      <c r="SSM15" s="55"/>
      <c r="SSN15" s="55"/>
      <c r="SSO15" s="55"/>
      <c r="SSP15" s="55"/>
      <c r="SSQ15" s="55"/>
      <c r="SSR15" s="55"/>
      <c r="SSS15" s="55"/>
      <c r="SST15" s="55"/>
      <c r="SSU15" s="55"/>
      <c r="SSV15" s="55"/>
      <c r="SSW15" s="55"/>
      <c r="SSX15" s="55"/>
      <c r="SSY15" s="55"/>
      <c r="SSZ15" s="55"/>
      <c r="STA15" s="55"/>
      <c r="STB15" s="55"/>
      <c r="STC15" s="55"/>
      <c r="STD15" s="55"/>
      <c r="STE15" s="55"/>
      <c r="STF15" s="55"/>
      <c r="STG15" s="55"/>
      <c r="STH15" s="55"/>
      <c r="STI15" s="55"/>
      <c r="STJ15" s="55"/>
      <c r="STK15" s="55"/>
      <c r="STL15" s="55"/>
      <c r="STM15" s="55"/>
      <c r="STN15" s="55"/>
      <c r="STO15" s="55"/>
      <c r="STP15" s="55"/>
      <c r="STQ15" s="55"/>
      <c r="STR15" s="55"/>
      <c r="STS15" s="55"/>
      <c r="STT15" s="55"/>
      <c r="STU15" s="55"/>
      <c r="STV15" s="55"/>
      <c r="STW15" s="55"/>
      <c r="STX15" s="55"/>
      <c r="STY15" s="55"/>
      <c r="STZ15" s="55"/>
      <c r="SUA15" s="55"/>
      <c r="SUB15" s="55"/>
      <c r="SUC15" s="55"/>
      <c r="SUD15" s="55"/>
      <c r="SUE15" s="55"/>
      <c r="SUF15" s="55"/>
      <c r="SUG15" s="55"/>
      <c r="SUH15" s="55"/>
      <c r="SUI15" s="55"/>
      <c r="SUJ15" s="55"/>
      <c r="SUK15" s="55"/>
      <c r="SUL15" s="55"/>
      <c r="SUM15" s="55"/>
      <c r="SUN15" s="55"/>
      <c r="SUO15" s="55"/>
      <c r="SUP15" s="55"/>
      <c r="SUQ15" s="55"/>
      <c r="SUR15" s="55"/>
      <c r="SUS15" s="55"/>
      <c r="SUT15" s="55"/>
      <c r="SUU15" s="55"/>
      <c r="SUV15" s="55"/>
      <c r="SUW15" s="55"/>
      <c r="SUX15" s="55"/>
      <c r="SUY15" s="55"/>
      <c r="SUZ15" s="55"/>
      <c r="SVA15" s="55"/>
      <c r="SVB15" s="55"/>
      <c r="SVC15" s="55"/>
      <c r="SVD15" s="55"/>
      <c r="SVE15" s="55"/>
      <c r="SVF15" s="55"/>
      <c r="SVG15" s="55"/>
      <c r="SVH15" s="55"/>
      <c r="SVI15" s="55"/>
      <c r="SVJ15" s="55"/>
      <c r="SVK15" s="55"/>
      <c r="SVL15" s="55"/>
      <c r="SVM15" s="55"/>
      <c r="SVN15" s="55"/>
      <c r="SVO15" s="55"/>
      <c r="SVP15" s="55"/>
      <c r="SVQ15" s="55"/>
      <c r="SVR15" s="55"/>
      <c r="SVS15" s="55"/>
      <c r="SVT15" s="55"/>
      <c r="SVU15" s="55"/>
      <c r="SVV15" s="55"/>
      <c r="SVW15" s="55"/>
      <c r="SVX15" s="55"/>
      <c r="SVY15" s="55"/>
      <c r="SVZ15" s="55"/>
      <c r="SWA15" s="55"/>
      <c r="SWB15" s="55"/>
      <c r="SWC15" s="55"/>
      <c r="SWD15" s="55"/>
      <c r="SWE15" s="55"/>
      <c r="SWF15" s="55"/>
      <c r="SWG15" s="55"/>
      <c r="SWH15" s="55"/>
      <c r="SWI15" s="55"/>
      <c r="SWJ15" s="55"/>
      <c r="SWK15" s="55"/>
      <c r="SWL15" s="55"/>
      <c r="SWM15" s="55"/>
      <c r="SWN15" s="55"/>
      <c r="SWO15" s="55"/>
      <c r="SWP15" s="55"/>
      <c r="SWQ15" s="55"/>
      <c r="SWR15" s="55"/>
      <c r="SWS15" s="55"/>
      <c r="SWT15" s="55"/>
      <c r="SWU15" s="55"/>
      <c r="SWV15" s="55"/>
      <c r="SWW15" s="55"/>
      <c r="SWX15" s="55"/>
      <c r="SWY15" s="55"/>
      <c r="SWZ15" s="55"/>
      <c r="SXA15" s="55"/>
      <c r="SXB15" s="55"/>
      <c r="SXC15" s="55"/>
      <c r="SXD15" s="55"/>
      <c r="SXE15" s="55"/>
      <c r="SXF15" s="55"/>
      <c r="SXG15" s="55"/>
      <c r="SXH15" s="55"/>
      <c r="SXI15" s="55"/>
      <c r="SXJ15" s="55"/>
      <c r="SXK15" s="55"/>
      <c r="SXL15" s="55"/>
      <c r="SXM15" s="55"/>
      <c r="SXN15" s="55"/>
      <c r="SXO15" s="55"/>
      <c r="SXP15" s="55"/>
      <c r="SXQ15" s="55"/>
      <c r="SXR15" s="55"/>
      <c r="SXS15" s="55"/>
      <c r="SXT15" s="55"/>
      <c r="SXU15" s="55"/>
      <c r="SXV15" s="55"/>
      <c r="SXW15" s="55"/>
      <c r="SXX15" s="55"/>
      <c r="SXY15" s="55"/>
      <c r="SXZ15" s="55"/>
      <c r="SYA15" s="55"/>
      <c r="SYB15" s="55"/>
      <c r="SYC15" s="55"/>
      <c r="SYD15" s="55"/>
      <c r="SYE15" s="55"/>
      <c r="SYF15" s="55"/>
      <c r="SYG15" s="55"/>
      <c r="SYH15" s="55"/>
      <c r="SYI15" s="55"/>
      <c r="SYJ15" s="55"/>
      <c r="SYK15" s="55"/>
      <c r="SYL15" s="55"/>
      <c r="SYM15" s="55"/>
      <c r="SYN15" s="55"/>
      <c r="SYO15" s="55"/>
      <c r="SYP15" s="55"/>
      <c r="SYQ15" s="55"/>
      <c r="SYR15" s="55"/>
      <c r="SYS15" s="55"/>
      <c r="SYT15" s="55"/>
      <c r="SYU15" s="55"/>
      <c r="SYV15" s="55"/>
      <c r="SYW15" s="55"/>
      <c r="SYX15" s="55"/>
      <c r="SYY15" s="55"/>
      <c r="SYZ15" s="55"/>
      <c r="SZA15" s="55"/>
      <c r="SZB15" s="55"/>
      <c r="SZC15" s="55"/>
      <c r="SZD15" s="55"/>
      <c r="SZE15" s="55"/>
      <c r="SZF15" s="55"/>
      <c r="SZG15" s="55"/>
      <c r="SZH15" s="55"/>
      <c r="SZI15" s="55"/>
      <c r="SZJ15" s="55"/>
      <c r="SZK15" s="55"/>
      <c r="SZL15" s="55"/>
      <c r="SZM15" s="55"/>
      <c r="SZN15" s="55"/>
      <c r="SZO15" s="55"/>
      <c r="SZP15" s="55"/>
      <c r="SZQ15" s="55"/>
      <c r="SZR15" s="55"/>
      <c r="SZS15" s="55"/>
      <c r="SZT15" s="55"/>
      <c r="SZU15" s="55"/>
      <c r="SZV15" s="55"/>
      <c r="SZW15" s="55"/>
      <c r="SZX15" s="55"/>
      <c r="SZY15" s="55"/>
      <c r="SZZ15" s="55"/>
      <c r="TAA15" s="55"/>
      <c r="TAB15" s="55"/>
      <c r="TAC15" s="55"/>
      <c r="TAD15" s="55"/>
      <c r="TAE15" s="55"/>
      <c r="TAF15" s="55"/>
      <c r="TAG15" s="55"/>
      <c r="TAH15" s="55"/>
      <c r="TAI15" s="55"/>
      <c r="TAJ15" s="55"/>
      <c r="TAK15" s="55"/>
      <c r="TAL15" s="55"/>
      <c r="TAM15" s="55"/>
      <c r="TAN15" s="55"/>
      <c r="TAO15" s="55"/>
      <c r="TAP15" s="55"/>
      <c r="TAQ15" s="55"/>
      <c r="TAR15" s="55"/>
      <c r="TAS15" s="55"/>
      <c r="TAT15" s="55"/>
      <c r="TAU15" s="55"/>
      <c r="TAV15" s="55"/>
      <c r="TAW15" s="55"/>
      <c r="TAX15" s="55"/>
      <c r="TAY15" s="55"/>
      <c r="TAZ15" s="55"/>
      <c r="TBA15" s="55"/>
      <c r="TBB15" s="55"/>
      <c r="TBC15" s="55"/>
      <c r="TBD15" s="55"/>
      <c r="TBE15" s="55"/>
      <c r="TBF15" s="55"/>
      <c r="TBG15" s="55"/>
      <c r="TBH15" s="55"/>
      <c r="TBI15" s="55"/>
      <c r="TBJ15" s="55"/>
      <c r="TBK15" s="55"/>
      <c r="TBL15" s="55"/>
      <c r="TBM15" s="55"/>
      <c r="TBN15" s="55"/>
      <c r="TBO15" s="55"/>
      <c r="TBP15" s="55"/>
      <c r="TBQ15" s="55"/>
      <c r="TBR15" s="55"/>
      <c r="TBS15" s="55"/>
      <c r="TBT15" s="55"/>
      <c r="TBU15" s="55"/>
      <c r="TBV15" s="55"/>
      <c r="TBW15" s="55"/>
      <c r="TBX15" s="55"/>
      <c r="TBY15" s="55"/>
      <c r="TBZ15" s="55"/>
      <c r="TCA15" s="55"/>
      <c r="TCB15" s="55"/>
      <c r="TCC15" s="55"/>
      <c r="TCD15" s="55"/>
      <c r="TCE15" s="55"/>
      <c r="TCF15" s="55"/>
      <c r="TCG15" s="55"/>
      <c r="TCH15" s="55"/>
      <c r="TCI15" s="55"/>
      <c r="TCJ15" s="55"/>
      <c r="TCK15" s="55"/>
      <c r="TCL15" s="55"/>
      <c r="TCM15" s="55"/>
      <c r="TCN15" s="55"/>
      <c r="TCO15" s="55"/>
      <c r="TCP15" s="55"/>
      <c r="TCQ15" s="55"/>
      <c r="TCR15" s="55"/>
      <c r="TCS15" s="55"/>
      <c r="TCT15" s="55"/>
      <c r="TCU15" s="55"/>
      <c r="TCV15" s="55"/>
      <c r="TCW15" s="55"/>
      <c r="TCX15" s="55"/>
      <c r="TCY15" s="55"/>
      <c r="TCZ15" s="55"/>
      <c r="TDA15" s="55"/>
      <c r="TDB15" s="55"/>
      <c r="TDC15" s="55"/>
      <c r="TDD15" s="55"/>
      <c r="TDE15" s="55"/>
      <c r="TDF15" s="55"/>
      <c r="TDG15" s="55"/>
      <c r="TDH15" s="55"/>
      <c r="TDI15" s="55"/>
      <c r="TDJ15" s="55"/>
      <c r="TDK15" s="55"/>
      <c r="TDL15" s="55"/>
      <c r="TDM15" s="55"/>
      <c r="TDN15" s="55"/>
      <c r="TDO15" s="55"/>
      <c r="TDP15" s="55"/>
      <c r="TDQ15" s="55"/>
      <c r="TDR15" s="55"/>
      <c r="TDS15" s="55"/>
      <c r="TDT15" s="55"/>
      <c r="TDU15" s="55"/>
      <c r="TDV15" s="55"/>
      <c r="TDW15" s="55"/>
      <c r="TDX15" s="55"/>
      <c r="TDY15" s="55"/>
      <c r="TDZ15" s="55"/>
      <c r="TEA15" s="55"/>
      <c r="TEB15" s="55"/>
      <c r="TEC15" s="55"/>
      <c r="TED15" s="55"/>
      <c r="TEE15" s="55"/>
      <c r="TEF15" s="55"/>
      <c r="TEG15" s="55"/>
      <c r="TEH15" s="55"/>
      <c r="TEI15" s="55"/>
      <c r="TEJ15" s="55"/>
      <c r="TEK15" s="55"/>
      <c r="TEL15" s="55"/>
      <c r="TEM15" s="55"/>
      <c r="TEN15" s="55"/>
      <c r="TEO15" s="55"/>
      <c r="TEP15" s="55"/>
      <c r="TEQ15" s="55"/>
      <c r="TER15" s="55"/>
      <c r="TES15" s="55"/>
      <c r="TET15" s="55"/>
      <c r="TEU15" s="55"/>
      <c r="TEV15" s="55"/>
      <c r="TEW15" s="55"/>
      <c r="TEX15" s="55"/>
      <c r="TEY15" s="55"/>
      <c r="TEZ15" s="55"/>
      <c r="TFA15" s="55"/>
      <c r="TFB15" s="55"/>
      <c r="TFC15" s="55"/>
      <c r="TFD15" s="55"/>
      <c r="TFE15" s="55"/>
      <c r="TFF15" s="55"/>
      <c r="TFG15" s="55"/>
      <c r="TFH15" s="55"/>
      <c r="TFI15" s="55"/>
      <c r="TFJ15" s="55"/>
      <c r="TFK15" s="55"/>
      <c r="TFL15" s="55"/>
      <c r="TFM15" s="55"/>
      <c r="TFN15" s="55"/>
      <c r="TFO15" s="55"/>
      <c r="TFP15" s="55"/>
      <c r="TFQ15" s="55"/>
      <c r="TFR15" s="55"/>
      <c r="TFS15" s="55"/>
      <c r="TFT15" s="55"/>
      <c r="TFU15" s="55"/>
      <c r="TFV15" s="55"/>
      <c r="TFW15" s="55"/>
      <c r="TFX15" s="55"/>
      <c r="TFY15" s="55"/>
      <c r="TFZ15" s="55"/>
      <c r="TGA15" s="55"/>
      <c r="TGB15" s="55"/>
      <c r="TGC15" s="55"/>
      <c r="TGD15" s="55"/>
      <c r="TGE15" s="55"/>
      <c r="TGF15" s="55"/>
      <c r="TGG15" s="55"/>
      <c r="TGH15" s="55"/>
      <c r="TGI15" s="55"/>
      <c r="TGJ15" s="55"/>
      <c r="TGK15" s="55"/>
      <c r="TGL15" s="55"/>
      <c r="TGM15" s="55"/>
      <c r="TGN15" s="55"/>
      <c r="TGO15" s="55"/>
      <c r="TGP15" s="55"/>
      <c r="TGQ15" s="55"/>
      <c r="TGR15" s="55"/>
      <c r="TGS15" s="55"/>
      <c r="TGT15" s="55"/>
      <c r="TGU15" s="55"/>
      <c r="TGV15" s="55"/>
      <c r="TGW15" s="55"/>
      <c r="TGX15" s="55"/>
      <c r="TGY15" s="55"/>
      <c r="TGZ15" s="55"/>
      <c r="THA15" s="55"/>
      <c r="THB15" s="55"/>
      <c r="THC15" s="55"/>
      <c r="THD15" s="55"/>
      <c r="THE15" s="55"/>
      <c r="THF15" s="55"/>
      <c r="THG15" s="55"/>
      <c r="THH15" s="55"/>
      <c r="THI15" s="55"/>
      <c r="THJ15" s="55"/>
      <c r="THK15" s="55"/>
      <c r="THL15" s="55"/>
      <c r="THM15" s="55"/>
      <c r="THN15" s="55"/>
      <c r="THO15" s="55"/>
      <c r="THP15" s="55"/>
      <c r="THQ15" s="55"/>
      <c r="THR15" s="55"/>
      <c r="THS15" s="55"/>
      <c r="THT15" s="55"/>
      <c r="THU15" s="55"/>
      <c r="THV15" s="55"/>
      <c r="THW15" s="55"/>
      <c r="THX15" s="55"/>
      <c r="THY15" s="55"/>
      <c r="THZ15" s="55"/>
      <c r="TIA15" s="55"/>
      <c r="TIB15" s="55"/>
      <c r="TIC15" s="55"/>
      <c r="TID15" s="55"/>
      <c r="TIE15" s="55"/>
      <c r="TIF15" s="55"/>
      <c r="TIG15" s="55"/>
      <c r="TIH15" s="55"/>
      <c r="TII15" s="55"/>
      <c r="TIJ15" s="55"/>
      <c r="TIK15" s="55"/>
      <c r="TIL15" s="55"/>
      <c r="TIM15" s="55"/>
      <c r="TIN15" s="55"/>
      <c r="TIO15" s="55"/>
      <c r="TIP15" s="55"/>
      <c r="TIQ15" s="55"/>
      <c r="TIR15" s="55"/>
      <c r="TIS15" s="55"/>
      <c r="TIT15" s="55"/>
      <c r="TIU15" s="55"/>
      <c r="TIV15" s="55"/>
      <c r="TIW15" s="55"/>
      <c r="TIX15" s="55"/>
      <c r="TIY15" s="55"/>
      <c r="TIZ15" s="55"/>
      <c r="TJA15" s="55"/>
      <c r="TJB15" s="55"/>
      <c r="TJC15" s="55"/>
      <c r="TJD15" s="55"/>
      <c r="TJE15" s="55"/>
      <c r="TJF15" s="55"/>
      <c r="TJG15" s="55"/>
      <c r="TJH15" s="55"/>
      <c r="TJI15" s="55"/>
      <c r="TJJ15" s="55"/>
      <c r="TJK15" s="55"/>
      <c r="TJL15" s="55"/>
      <c r="TJM15" s="55"/>
      <c r="TJN15" s="55"/>
      <c r="TJO15" s="55"/>
      <c r="TJP15" s="55"/>
      <c r="TJQ15" s="55"/>
      <c r="TJR15" s="55"/>
      <c r="TJS15" s="55"/>
      <c r="TJT15" s="55"/>
      <c r="TJU15" s="55"/>
      <c r="TJV15" s="55"/>
      <c r="TJW15" s="55"/>
      <c r="TJX15" s="55"/>
      <c r="TJY15" s="55"/>
      <c r="TJZ15" s="55"/>
      <c r="TKA15" s="55"/>
      <c r="TKB15" s="55"/>
      <c r="TKC15" s="55"/>
      <c r="TKD15" s="55"/>
      <c r="TKE15" s="55"/>
      <c r="TKF15" s="55"/>
      <c r="TKG15" s="55"/>
      <c r="TKH15" s="55"/>
      <c r="TKI15" s="55"/>
      <c r="TKJ15" s="55"/>
      <c r="TKK15" s="55"/>
      <c r="TKL15" s="55"/>
      <c r="TKM15" s="55"/>
      <c r="TKN15" s="55"/>
      <c r="TKO15" s="55"/>
      <c r="TKP15" s="55"/>
      <c r="TKQ15" s="55"/>
      <c r="TKR15" s="55"/>
      <c r="TKS15" s="55"/>
      <c r="TKT15" s="55"/>
      <c r="TKU15" s="55"/>
      <c r="TKV15" s="55"/>
      <c r="TKW15" s="55"/>
      <c r="TKX15" s="55"/>
      <c r="TKY15" s="55"/>
      <c r="TKZ15" s="55"/>
      <c r="TLA15" s="55"/>
      <c r="TLB15" s="55"/>
      <c r="TLC15" s="55"/>
      <c r="TLD15" s="55"/>
      <c r="TLE15" s="55"/>
      <c r="TLF15" s="55"/>
      <c r="TLG15" s="55"/>
      <c r="TLH15" s="55"/>
      <c r="TLI15" s="55"/>
      <c r="TLJ15" s="55"/>
      <c r="TLK15" s="55"/>
      <c r="TLL15" s="55"/>
      <c r="TLM15" s="55"/>
      <c r="TLN15" s="55"/>
      <c r="TLO15" s="55"/>
      <c r="TLP15" s="55"/>
      <c r="TLQ15" s="55"/>
      <c r="TLR15" s="55"/>
      <c r="TLS15" s="55"/>
      <c r="TLT15" s="55"/>
      <c r="TLU15" s="55"/>
      <c r="TLV15" s="55"/>
      <c r="TLW15" s="55"/>
      <c r="TLX15" s="55"/>
      <c r="TLY15" s="55"/>
      <c r="TLZ15" s="55"/>
      <c r="TMA15" s="55"/>
      <c r="TMB15" s="55"/>
      <c r="TMC15" s="55"/>
      <c r="TMD15" s="55"/>
      <c r="TME15" s="55"/>
      <c r="TMF15" s="55"/>
      <c r="TMG15" s="55"/>
      <c r="TMH15" s="55"/>
      <c r="TMI15" s="55"/>
      <c r="TMJ15" s="55"/>
      <c r="TMK15" s="55"/>
      <c r="TML15" s="55"/>
      <c r="TMM15" s="55"/>
      <c r="TMN15" s="55"/>
      <c r="TMO15" s="55"/>
      <c r="TMP15" s="55"/>
      <c r="TMQ15" s="55"/>
      <c r="TMR15" s="55"/>
      <c r="TMS15" s="55"/>
      <c r="TMT15" s="55"/>
      <c r="TMU15" s="55"/>
      <c r="TMV15" s="55"/>
      <c r="TMW15" s="55"/>
      <c r="TMX15" s="55"/>
      <c r="TMY15" s="55"/>
      <c r="TMZ15" s="55"/>
      <c r="TNA15" s="55"/>
      <c r="TNB15" s="55"/>
      <c r="TNC15" s="55"/>
      <c r="TND15" s="55"/>
      <c r="TNE15" s="55"/>
      <c r="TNF15" s="55"/>
      <c r="TNG15" s="55"/>
      <c r="TNH15" s="55"/>
      <c r="TNI15" s="55"/>
      <c r="TNJ15" s="55"/>
      <c r="TNK15" s="55"/>
      <c r="TNL15" s="55"/>
      <c r="TNM15" s="55"/>
      <c r="TNN15" s="55"/>
      <c r="TNO15" s="55"/>
      <c r="TNP15" s="55"/>
      <c r="TNQ15" s="55"/>
      <c r="TNR15" s="55"/>
      <c r="TNS15" s="55"/>
      <c r="TNT15" s="55"/>
      <c r="TNU15" s="55"/>
      <c r="TNV15" s="55"/>
      <c r="TNW15" s="55"/>
      <c r="TNX15" s="55"/>
      <c r="TNY15" s="55"/>
      <c r="TNZ15" s="55"/>
      <c r="TOA15" s="55"/>
      <c r="TOB15" s="55"/>
      <c r="TOC15" s="55"/>
      <c r="TOD15" s="55"/>
      <c r="TOE15" s="55"/>
      <c r="TOF15" s="55"/>
      <c r="TOG15" s="55"/>
      <c r="TOH15" s="55"/>
      <c r="TOI15" s="55"/>
      <c r="TOJ15" s="55"/>
      <c r="TOK15" s="55"/>
      <c r="TOL15" s="55"/>
      <c r="TOM15" s="55"/>
      <c r="TON15" s="55"/>
      <c r="TOO15" s="55"/>
      <c r="TOP15" s="55"/>
      <c r="TOQ15" s="55"/>
      <c r="TOR15" s="55"/>
      <c r="TOS15" s="55"/>
      <c r="TOT15" s="55"/>
      <c r="TOU15" s="55"/>
      <c r="TOV15" s="55"/>
      <c r="TOW15" s="55"/>
      <c r="TOX15" s="55"/>
      <c r="TOY15" s="55"/>
      <c r="TOZ15" s="55"/>
      <c r="TPA15" s="55"/>
      <c r="TPB15" s="55"/>
      <c r="TPC15" s="55"/>
      <c r="TPD15" s="55"/>
      <c r="TPE15" s="55"/>
      <c r="TPF15" s="55"/>
      <c r="TPG15" s="55"/>
      <c r="TPH15" s="55"/>
      <c r="TPI15" s="55"/>
      <c r="TPJ15" s="55"/>
      <c r="TPK15" s="55"/>
      <c r="TPL15" s="55"/>
      <c r="TPM15" s="55"/>
      <c r="TPN15" s="55"/>
      <c r="TPO15" s="55"/>
      <c r="TPP15" s="55"/>
      <c r="TPQ15" s="55"/>
      <c r="TPR15" s="55"/>
      <c r="TPS15" s="55"/>
      <c r="TPT15" s="55"/>
      <c r="TPU15" s="55"/>
      <c r="TPV15" s="55"/>
      <c r="TPW15" s="55"/>
      <c r="TPX15" s="55"/>
      <c r="TPY15" s="55"/>
      <c r="TPZ15" s="55"/>
      <c r="TQA15" s="55"/>
      <c r="TQB15" s="55"/>
      <c r="TQC15" s="55"/>
      <c r="TQD15" s="55"/>
      <c r="TQE15" s="55"/>
      <c r="TQF15" s="55"/>
      <c r="TQG15" s="55"/>
      <c r="TQH15" s="55"/>
      <c r="TQI15" s="55"/>
      <c r="TQJ15" s="55"/>
      <c r="TQK15" s="55"/>
      <c r="TQL15" s="55"/>
      <c r="TQM15" s="55"/>
      <c r="TQN15" s="55"/>
      <c r="TQO15" s="55"/>
      <c r="TQP15" s="55"/>
      <c r="TQQ15" s="55"/>
      <c r="TQR15" s="55"/>
      <c r="TQS15" s="55"/>
      <c r="TQT15" s="55"/>
      <c r="TQU15" s="55"/>
      <c r="TQV15" s="55"/>
      <c r="TQW15" s="55"/>
      <c r="TQX15" s="55"/>
      <c r="TQY15" s="55"/>
      <c r="TQZ15" s="55"/>
      <c r="TRA15" s="55"/>
      <c r="TRB15" s="55"/>
      <c r="TRC15" s="55"/>
      <c r="TRD15" s="55"/>
      <c r="TRE15" s="55"/>
      <c r="TRF15" s="55"/>
      <c r="TRG15" s="55"/>
      <c r="TRH15" s="55"/>
      <c r="TRI15" s="55"/>
      <c r="TRJ15" s="55"/>
      <c r="TRK15" s="55"/>
      <c r="TRL15" s="55"/>
      <c r="TRM15" s="55"/>
      <c r="TRN15" s="55"/>
      <c r="TRO15" s="55"/>
      <c r="TRP15" s="55"/>
      <c r="TRQ15" s="55"/>
      <c r="TRR15" s="55"/>
      <c r="TRS15" s="55"/>
      <c r="TRT15" s="55"/>
      <c r="TRU15" s="55"/>
      <c r="TRV15" s="55"/>
      <c r="TRW15" s="55"/>
      <c r="TRX15" s="55"/>
      <c r="TRY15" s="55"/>
      <c r="TRZ15" s="55"/>
      <c r="TSA15" s="55"/>
      <c r="TSB15" s="55"/>
      <c r="TSC15" s="55"/>
      <c r="TSD15" s="55"/>
      <c r="TSE15" s="55"/>
      <c r="TSF15" s="55"/>
      <c r="TSG15" s="55"/>
      <c r="TSH15" s="55"/>
      <c r="TSI15" s="55"/>
      <c r="TSJ15" s="55"/>
      <c r="TSK15" s="55"/>
      <c r="TSL15" s="55"/>
      <c r="TSM15" s="55"/>
      <c r="TSN15" s="55"/>
      <c r="TSO15" s="55"/>
      <c r="TSP15" s="55"/>
      <c r="TSQ15" s="55"/>
      <c r="TSR15" s="55"/>
      <c r="TSS15" s="55"/>
      <c r="TST15" s="55"/>
      <c r="TSU15" s="55"/>
      <c r="TSV15" s="55"/>
      <c r="TSW15" s="55"/>
      <c r="TSX15" s="55"/>
      <c r="TSY15" s="55"/>
      <c r="TSZ15" s="55"/>
      <c r="TTA15" s="55"/>
      <c r="TTB15" s="55"/>
      <c r="TTC15" s="55"/>
      <c r="TTD15" s="55"/>
      <c r="TTE15" s="55"/>
      <c r="TTF15" s="55"/>
      <c r="TTG15" s="55"/>
      <c r="TTH15" s="55"/>
      <c r="TTI15" s="55"/>
      <c r="TTJ15" s="55"/>
      <c r="TTK15" s="55"/>
      <c r="TTL15" s="55"/>
      <c r="TTM15" s="55"/>
      <c r="TTN15" s="55"/>
      <c r="TTO15" s="55"/>
      <c r="TTP15" s="55"/>
      <c r="TTQ15" s="55"/>
      <c r="TTR15" s="55"/>
      <c r="TTS15" s="55"/>
      <c r="TTT15" s="55"/>
      <c r="TTU15" s="55"/>
      <c r="TTV15" s="55"/>
      <c r="TTW15" s="55"/>
      <c r="TTX15" s="55"/>
      <c r="TTY15" s="55"/>
      <c r="TTZ15" s="55"/>
      <c r="TUA15" s="55"/>
      <c r="TUB15" s="55"/>
      <c r="TUC15" s="55"/>
      <c r="TUD15" s="55"/>
      <c r="TUE15" s="55"/>
      <c r="TUF15" s="55"/>
      <c r="TUG15" s="55"/>
      <c r="TUH15" s="55"/>
      <c r="TUI15" s="55"/>
      <c r="TUJ15" s="55"/>
      <c r="TUK15" s="55"/>
      <c r="TUL15" s="55"/>
      <c r="TUM15" s="55"/>
      <c r="TUN15" s="55"/>
      <c r="TUO15" s="55"/>
      <c r="TUP15" s="55"/>
      <c r="TUQ15" s="55"/>
      <c r="TUR15" s="55"/>
      <c r="TUS15" s="55"/>
      <c r="TUT15" s="55"/>
      <c r="TUU15" s="55"/>
      <c r="TUV15" s="55"/>
      <c r="TUW15" s="55"/>
      <c r="TUX15" s="55"/>
      <c r="TUY15" s="55"/>
      <c r="TUZ15" s="55"/>
      <c r="TVA15" s="55"/>
      <c r="TVB15" s="55"/>
      <c r="TVC15" s="55"/>
      <c r="TVD15" s="55"/>
      <c r="TVE15" s="55"/>
      <c r="TVF15" s="55"/>
      <c r="TVG15" s="55"/>
      <c r="TVH15" s="55"/>
      <c r="TVI15" s="55"/>
      <c r="TVJ15" s="55"/>
      <c r="TVK15" s="55"/>
      <c r="TVL15" s="55"/>
      <c r="TVM15" s="55"/>
      <c r="TVN15" s="55"/>
      <c r="TVO15" s="55"/>
      <c r="TVP15" s="55"/>
      <c r="TVQ15" s="55"/>
      <c r="TVR15" s="55"/>
      <c r="TVS15" s="55"/>
      <c r="TVT15" s="55"/>
      <c r="TVU15" s="55"/>
      <c r="TVV15" s="55"/>
      <c r="TVW15" s="55"/>
      <c r="TVX15" s="55"/>
      <c r="TVY15" s="55"/>
      <c r="TVZ15" s="55"/>
      <c r="TWA15" s="55"/>
      <c r="TWB15" s="55"/>
      <c r="TWC15" s="55"/>
      <c r="TWD15" s="55"/>
      <c r="TWE15" s="55"/>
      <c r="TWF15" s="55"/>
      <c r="TWG15" s="55"/>
      <c r="TWH15" s="55"/>
      <c r="TWI15" s="55"/>
      <c r="TWJ15" s="55"/>
      <c r="TWK15" s="55"/>
      <c r="TWL15" s="55"/>
      <c r="TWM15" s="55"/>
      <c r="TWN15" s="55"/>
      <c r="TWO15" s="55"/>
      <c r="TWP15" s="55"/>
      <c r="TWQ15" s="55"/>
      <c r="TWR15" s="55"/>
      <c r="TWS15" s="55"/>
      <c r="TWT15" s="55"/>
      <c r="TWU15" s="55"/>
      <c r="TWV15" s="55"/>
      <c r="TWW15" s="55"/>
      <c r="TWX15" s="55"/>
      <c r="TWY15" s="55"/>
      <c r="TWZ15" s="55"/>
      <c r="TXA15" s="55"/>
      <c r="TXB15" s="55"/>
      <c r="TXC15" s="55"/>
      <c r="TXD15" s="55"/>
      <c r="TXE15" s="55"/>
      <c r="TXF15" s="55"/>
      <c r="TXG15" s="55"/>
      <c r="TXH15" s="55"/>
      <c r="TXI15" s="55"/>
      <c r="TXJ15" s="55"/>
      <c r="TXK15" s="55"/>
      <c r="TXL15" s="55"/>
      <c r="TXM15" s="55"/>
      <c r="TXN15" s="55"/>
      <c r="TXO15" s="55"/>
      <c r="TXP15" s="55"/>
      <c r="TXQ15" s="55"/>
      <c r="TXR15" s="55"/>
      <c r="TXS15" s="55"/>
      <c r="TXT15" s="55"/>
      <c r="TXU15" s="55"/>
      <c r="TXV15" s="55"/>
      <c r="TXW15" s="55"/>
      <c r="TXX15" s="55"/>
      <c r="TXY15" s="55"/>
      <c r="TXZ15" s="55"/>
      <c r="TYA15" s="55"/>
      <c r="TYB15" s="55"/>
      <c r="TYC15" s="55"/>
      <c r="TYD15" s="55"/>
      <c r="TYE15" s="55"/>
      <c r="TYF15" s="55"/>
      <c r="TYG15" s="55"/>
      <c r="TYH15" s="55"/>
      <c r="TYI15" s="55"/>
      <c r="TYJ15" s="55"/>
      <c r="TYK15" s="55"/>
      <c r="TYL15" s="55"/>
      <c r="TYM15" s="55"/>
      <c r="TYN15" s="55"/>
      <c r="TYO15" s="55"/>
      <c r="TYP15" s="55"/>
      <c r="TYQ15" s="55"/>
      <c r="TYR15" s="55"/>
      <c r="TYS15" s="55"/>
      <c r="TYT15" s="55"/>
      <c r="TYU15" s="55"/>
      <c r="TYV15" s="55"/>
      <c r="TYW15" s="55"/>
      <c r="TYX15" s="55"/>
      <c r="TYY15" s="55"/>
      <c r="TYZ15" s="55"/>
      <c r="TZA15" s="55"/>
      <c r="TZB15" s="55"/>
      <c r="TZC15" s="55"/>
      <c r="TZD15" s="55"/>
      <c r="TZE15" s="55"/>
      <c r="TZF15" s="55"/>
      <c r="TZG15" s="55"/>
      <c r="TZH15" s="55"/>
      <c r="TZI15" s="55"/>
      <c r="TZJ15" s="55"/>
      <c r="TZK15" s="55"/>
      <c r="TZL15" s="55"/>
      <c r="TZM15" s="55"/>
      <c r="TZN15" s="55"/>
      <c r="TZO15" s="55"/>
      <c r="TZP15" s="55"/>
      <c r="TZQ15" s="55"/>
      <c r="TZR15" s="55"/>
      <c r="TZS15" s="55"/>
      <c r="TZT15" s="55"/>
      <c r="TZU15" s="55"/>
      <c r="TZV15" s="55"/>
      <c r="TZW15" s="55"/>
      <c r="TZX15" s="55"/>
      <c r="TZY15" s="55"/>
      <c r="TZZ15" s="55"/>
      <c r="UAA15" s="55"/>
      <c r="UAB15" s="55"/>
      <c r="UAC15" s="55"/>
      <c r="UAD15" s="55"/>
      <c r="UAE15" s="55"/>
      <c r="UAF15" s="55"/>
      <c r="UAG15" s="55"/>
      <c r="UAH15" s="55"/>
      <c r="UAI15" s="55"/>
      <c r="UAJ15" s="55"/>
      <c r="UAK15" s="55"/>
      <c r="UAL15" s="55"/>
      <c r="UAM15" s="55"/>
      <c r="UAN15" s="55"/>
      <c r="UAO15" s="55"/>
      <c r="UAP15" s="55"/>
      <c r="UAQ15" s="55"/>
      <c r="UAR15" s="55"/>
      <c r="UAS15" s="55"/>
      <c r="UAT15" s="55"/>
      <c r="UAU15" s="55"/>
      <c r="UAV15" s="55"/>
      <c r="UAW15" s="55"/>
      <c r="UAX15" s="55"/>
      <c r="UAY15" s="55"/>
      <c r="UAZ15" s="55"/>
      <c r="UBA15" s="55"/>
      <c r="UBB15" s="55"/>
      <c r="UBC15" s="55"/>
      <c r="UBD15" s="55"/>
      <c r="UBE15" s="55"/>
      <c r="UBF15" s="55"/>
      <c r="UBG15" s="55"/>
      <c r="UBH15" s="55"/>
      <c r="UBI15" s="55"/>
      <c r="UBJ15" s="55"/>
      <c r="UBK15" s="55"/>
      <c r="UBL15" s="55"/>
      <c r="UBM15" s="55"/>
      <c r="UBN15" s="55"/>
      <c r="UBO15" s="55"/>
      <c r="UBP15" s="55"/>
      <c r="UBQ15" s="55"/>
      <c r="UBR15" s="55"/>
      <c r="UBS15" s="55"/>
      <c r="UBT15" s="55"/>
      <c r="UBU15" s="55"/>
      <c r="UBV15" s="55"/>
      <c r="UBW15" s="55"/>
      <c r="UBX15" s="55"/>
      <c r="UBY15" s="55"/>
      <c r="UBZ15" s="55"/>
      <c r="UCA15" s="55"/>
      <c r="UCB15" s="55"/>
      <c r="UCC15" s="55"/>
      <c r="UCD15" s="55"/>
      <c r="UCE15" s="55"/>
      <c r="UCF15" s="55"/>
      <c r="UCG15" s="55"/>
      <c r="UCH15" s="55"/>
      <c r="UCI15" s="55"/>
      <c r="UCJ15" s="55"/>
      <c r="UCK15" s="55"/>
      <c r="UCL15" s="55"/>
      <c r="UCM15" s="55"/>
      <c r="UCN15" s="55"/>
      <c r="UCO15" s="55"/>
      <c r="UCP15" s="55"/>
      <c r="UCQ15" s="55"/>
      <c r="UCR15" s="55"/>
      <c r="UCS15" s="55"/>
      <c r="UCT15" s="55"/>
      <c r="UCU15" s="55"/>
      <c r="UCV15" s="55"/>
      <c r="UCW15" s="55"/>
      <c r="UCX15" s="55"/>
      <c r="UCY15" s="55"/>
      <c r="UCZ15" s="55"/>
      <c r="UDA15" s="55"/>
      <c r="UDB15" s="55"/>
      <c r="UDC15" s="55"/>
      <c r="UDD15" s="55"/>
      <c r="UDE15" s="55"/>
      <c r="UDF15" s="55"/>
      <c r="UDG15" s="55"/>
      <c r="UDH15" s="55"/>
      <c r="UDI15" s="55"/>
      <c r="UDJ15" s="55"/>
      <c r="UDK15" s="55"/>
      <c r="UDL15" s="55"/>
      <c r="UDM15" s="55"/>
      <c r="UDN15" s="55"/>
      <c r="UDO15" s="55"/>
      <c r="UDP15" s="55"/>
      <c r="UDQ15" s="55"/>
      <c r="UDR15" s="55"/>
      <c r="UDS15" s="55"/>
      <c r="UDT15" s="55"/>
      <c r="UDU15" s="55"/>
      <c r="UDV15" s="55"/>
      <c r="UDW15" s="55"/>
      <c r="UDX15" s="55"/>
      <c r="UDY15" s="55"/>
      <c r="UDZ15" s="55"/>
      <c r="UEA15" s="55"/>
      <c r="UEB15" s="55"/>
      <c r="UEC15" s="55"/>
      <c r="UED15" s="55"/>
      <c r="UEE15" s="55"/>
      <c r="UEF15" s="55"/>
      <c r="UEG15" s="55"/>
      <c r="UEH15" s="55"/>
      <c r="UEI15" s="55"/>
      <c r="UEJ15" s="55"/>
      <c r="UEK15" s="55"/>
      <c r="UEL15" s="55"/>
      <c r="UEM15" s="55"/>
      <c r="UEN15" s="55"/>
      <c r="UEO15" s="55"/>
      <c r="UEP15" s="55"/>
      <c r="UEQ15" s="55"/>
      <c r="UER15" s="55"/>
      <c r="UES15" s="55"/>
      <c r="UET15" s="55"/>
      <c r="UEU15" s="55"/>
      <c r="UEV15" s="55"/>
      <c r="UEW15" s="55"/>
      <c r="UEX15" s="55"/>
      <c r="UEY15" s="55"/>
      <c r="UEZ15" s="55"/>
      <c r="UFA15" s="55"/>
      <c r="UFB15" s="55"/>
      <c r="UFC15" s="55"/>
      <c r="UFD15" s="55"/>
      <c r="UFE15" s="55"/>
      <c r="UFF15" s="55"/>
      <c r="UFG15" s="55"/>
      <c r="UFH15" s="55"/>
      <c r="UFI15" s="55"/>
      <c r="UFJ15" s="55"/>
      <c r="UFK15" s="55"/>
      <c r="UFL15" s="55"/>
      <c r="UFM15" s="55"/>
      <c r="UFN15" s="55"/>
      <c r="UFO15" s="55"/>
      <c r="UFP15" s="55"/>
      <c r="UFQ15" s="55"/>
      <c r="UFR15" s="55"/>
      <c r="UFS15" s="55"/>
      <c r="UFT15" s="55"/>
      <c r="UFU15" s="55"/>
      <c r="UFV15" s="55"/>
      <c r="UFW15" s="55"/>
      <c r="UFX15" s="55"/>
      <c r="UFY15" s="55"/>
      <c r="UFZ15" s="55"/>
      <c r="UGA15" s="55"/>
      <c r="UGB15" s="55"/>
      <c r="UGC15" s="55"/>
      <c r="UGD15" s="55"/>
      <c r="UGE15" s="55"/>
      <c r="UGF15" s="55"/>
      <c r="UGG15" s="55"/>
      <c r="UGH15" s="55"/>
      <c r="UGI15" s="55"/>
      <c r="UGJ15" s="55"/>
      <c r="UGK15" s="55"/>
      <c r="UGL15" s="55"/>
      <c r="UGM15" s="55"/>
      <c r="UGN15" s="55"/>
      <c r="UGO15" s="55"/>
      <c r="UGP15" s="55"/>
      <c r="UGQ15" s="55"/>
      <c r="UGR15" s="55"/>
      <c r="UGS15" s="55"/>
      <c r="UGT15" s="55"/>
      <c r="UGU15" s="55"/>
      <c r="UGV15" s="55"/>
      <c r="UGW15" s="55"/>
      <c r="UGX15" s="55"/>
      <c r="UGY15" s="55"/>
      <c r="UGZ15" s="55"/>
      <c r="UHA15" s="55"/>
      <c r="UHB15" s="55"/>
      <c r="UHC15" s="55"/>
      <c r="UHD15" s="55"/>
      <c r="UHE15" s="55"/>
      <c r="UHF15" s="55"/>
      <c r="UHG15" s="55"/>
      <c r="UHH15" s="55"/>
      <c r="UHI15" s="55"/>
      <c r="UHJ15" s="55"/>
      <c r="UHK15" s="55"/>
      <c r="UHL15" s="55"/>
      <c r="UHM15" s="55"/>
      <c r="UHN15" s="55"/>
      <c r="UHO15" s="55"/>
      <c r="UHP15" s="55"/>
      <c r="UHQ15" s="55"/>
      <c r="UHR15" s="55"/>
      <c r="UHS15" s="55"/>
      <c r="UHT15" s="55"/>
      <c r="UHU15" s="55"/>
      <c r="UHV15" s="55"/>
      <c r="UHW15" s="55"/>
      <c r="UHX15" s="55"/>
      <c r="UHY15" s="55"/>
      <c r="UHZ15" s="55"/>
      <c r="UIA15" s="55"/>
      <c r="UIB15" s="55"/>
      <c r="UIC15" s="55"/>
      <c r="UID15" s="55"/>
      <c r="UIE15" s="55"/>
      <c r="UIF15" s="55"/>
      <c r="UIG15" s="55"/>
      <c r="UIH15" s="55"/>
      <c r="UII15" s="55"/>
      <c r="UIJ15" s="55"/>
      <c r="UIK15" s="55"/>
      <c r="UIL15" s="55"/>
      <c r="UIM15" s="55"/>
      <c r="UIN15" s="55"/>
      <c r="UIO15" s="55"/>
      <c r="UIP15" s="55"/>
      <c r="UIQ15" s="55"/>
      <c r="UIR15" s="55"/>
      <c r="UIS15" s="55"/>
      <c r="UIT15" s="55"/>
      <c r="UIU15" s="55"/>
      <c r="UIV15" s="55"/>
      <c r="UIW15" s="55"/>
      <c r="UIX15" s="55"/>
      <c r="UIY15" s="55"/>
      <c r="UIZ15" s="55"/>
      <c r="UJA15" s="55"/>
      <c r="UJB15" s="55"/>
      <c r="UJC15" s="55"/>
      <c r="UJD15" s="55"/>
      <c r="UJE15" s="55"/>
      <c r="UJF15" s="55"/>
      <c r="UJG15" s="55"/>
      <c r="UJH15" s="55"/>
      <c r="UJI15" s="55"/>
      <c r="UJJ15" s="55"/>
      <c r="UJK15" s="55"/>
      <c r="UJL15" s="55"/>
      <c r="UJM15" s="55"/>
      <c r="UJN15" s="55"/>
      <c r="UJO15" s="55"/>
      <c r="UJP15" s="55"/>
      <c r="UJQ15" s="55"/>
      <c r="UJR15" s="55"/>
      <c r="UJS15" s="55"/>
      <c r="UJT15" s="55"/>
      <c r="UJU15" s="55"/>
      <c r="UJV15" s="55"/>
      <c r="UJW15" s="55"/>
      <c r="UJX15" s="55"/>
      <c r="UJY15" s="55"/>
      <c r="UJZ15" s="55"/>
      <c r="UKA15" s="55"/>
      <c r="UKB15" s="55"/>
      <c r="UKC15" s="55"/>
      <c r="UKD15" s="55"/>
      <c r="UKE15" s="55"/>
      <c r="UKF15" s="55"/>
      <c r="UKG15" s="55"/>
      <c r="UKH15" s="55"/>
      <c r="UKI15" s="55"/>
      <c r="UKJ15" s="55"/>
      <c r="UKK15" s="55"/>
      <c r="UKL15" s="55"/>
      <c r="UKM15" s="55"/>
      <c r="UKN15" s="55"/>
      <c r="UKO15" s="55"/>
      <c r="UKP15" s="55"/>
      <c r="UKQ15" s="55"/>
      <c r="UKR15" s="55"/>
      <c r="UKS15" s="55"/>
      <c r="UKT15" s="55"/>
      <c r="UKU15" s="55"/>
      <c r="UKV15" s="55"/>
      <c r="UKW15" s="55"/>
      <c r="UKX15" s="55"/>
      <c r="UKY15" s="55"/>
      <c r="UKZ15" s="55"/>
      <c r="ULA15" s="55"/>
      <c r="ULB15" s="55"/>
      <c r="ULC15" s="55"/>
      <c r="ULD15" s="55"/>
      <c r="ULE15" s="55"/>
      <c r="ULF15" s="55"/>
      <c r="ULG15" s="55"/>
      <c r="ULH15" s="55"/>
      <c r="ULI15" s="55"/>
      <c r="ULJ15" s="55"/>
      <c r="ULK15" s="55"/>
      <c r="ULL15" s="55"/>
      <c r="ULM15" s="55"/>
      <c r="ULN15" s="55"/>
      <c r="ULO15" s="55"/>
      <c r="ULP15" s="55"/>
      <c r="ULQ15" s="55"/>
      <c r="ULR15" s="55"/>
      <c r="ULS15" s="55"/>
      <c r="ULT15" s="55"/>
      <c r="ULU15" s="55"/>
      <c r="ULV15" s="55"/>
      <c r="ULW15" s="55"/>
      <c r="ULX15" s="55"/>
      <c r="ULY15" s="55"/>
      <c r="ULZ15" s="55"/>
      <c r="UMA15" s="55"/>
      <c r="UMB15" s="55"/>
      <c r="UMC15" s="55"/>
      <c r="UMD15" s="55"/>
      <c r="UME15" s="55"/>
      <c r="UMF15" s="55"/>
      <c r="UMG15" s="55"/>
      <c r="UMH15" s="55"/>
      <c r="UMI15" s="55"/>
      <c r="UMJ15" s="55"/>
      <c r="UMK15" s="55"/>
      <c r="UML15" s="55"/>
      <c r="UMM15" s="55"/>
      <c r="UMN15" s="55"/>
      <c r="UMO15" s="55"/>
      <c r="UMP15" s="55"/>
      <c r="UMQ15" s="55"/>
      <c r="UMR15" s="55"/>
      <c r="UMS15" s="55"/>
      <c r="UMT15" s="55"/>
      <c r="UMU15" s="55"/>
      <c r="UMV15" s="55"/>
      <c r="UMW15" s="55"/>
      <c r="UMX15" s="55"/>
      <c r="UMY15" s="55"/>
      <c r="UMZ15" s="55"/>
      <c r="UNA15" s="55"/>
      <c r="UNB15" s="55"/>
      <c r="UNC15" s="55"/>
      <c r="UND15" s="55"/>
      <c r="UNE15" s="55"/>
      <c r="UNF15" s="55"/>
      <c r="UNG15" s="55"/>
      <c r="UNH15" s="55"/>
      <c r="UNI15" s="55"/>
      <c r="UNJ15" s="55"/>
      <c r="UNK15" s="55"/>
      <c r="UNL15" s="55"/>
      <c r="UNM15" s="55"/>
      <c r="UNN15" s="55"/>
      <c r="UNO15" s="55"/>
      <c r="UNP15" s="55"/>
      <c r="UNQ15" s="55"/>
      <c r="UNR15" s="55"/>
      <c r="UNS15" s="55"/>
      <c r="UNT15" s="55"/>
      <c r="UNU15" s="55"/>
      <c r="UNV15" s="55"/>
      <c r="UNW15" s="55"/>
      <c r="UNX15" s="55"/>
      <c r="UNY15" s="55"/>
      <c r="UNZ15" s="55"/>
      <c r="UOA15" s="55"/>
      <c r="UOB15" s="55"/>
      <c r="UOC15" s="55"/>
      <c r="UOD15" s="55"/>
      <c r="UOE15" s="55"/>
      <c r="UOF15" s="55"/>
      <c r="UOG15" s="55"/>
      <c r="UOH15" s="55"/>
      <c r="UOI15" s="55"/>
      <c r="UOJ15" s="55"/>
      <c r="UOK15" s="55"/>
      <c r="UOL15" s="55"/>
      <c r="UOM15" s="55"/>
      <c r="UON15" s="55"/>
      <c r="UOO15" s="55"/>
      <c r="UOP15" s="55"/>
      <c r="UOQ15" s="55"/>
      <c r="UOR15" s="55"/>
      <c r="UOS15" s="55"/>
      <c r="UOT15" s="55"/>
      <c r="UOU15" s="55"/>
      <c r="UOV15" s="55"/>
      <c r="UOW15" s="55"/>
      <c r="UOX15" s="55"/>
      <c r="UOY15" s="55"/>
      <c r="UOZ15" s="55"/>
      <c r="UPA15" s="55"/>
      <c r="UPB15" s="55"/>
      <c r="UPC15" s="55"/>
      <c r="UPD15" s="55"/>
      <c r="UPE15" s="55"/>
      <c r="UPF15" s="55"/>
      <c r="UPG15" s="55"/>
      <c r="UPH15" s="55"/>
      <c r="UPI15" s="55"/>
      <c r="UPJ15" s="55"/>
      <c r="UPK15" s="55"/>
      <c r="UPL15" s="55"/>
      <c r="UPM15" s="55"/>
      <c r="UPN15" s="55"/>
      <c r="UPO15" s="55"/>
      <c r="UPP15" s="55"/>
      <c r="UPQ15" s="55"/>
      <c r="UPR15" s="55"/>
      <c r="UPS15" s="55"/>
      <c r="UPT15" s="55"/>
      <c r="UPU15" s="55"/>
      <c r="UPV15" s="55"/>
      <c r="UPW15" s="55"/>
      <c r="UPX15" s="55"/>
      <c r="UPY15" s="55"/>
      <c r="UPZ15" s="55"/>
      <c r="UQA15" s="55"/>
      <c r="UQB15" s="55"/>
      <c r="UQC15" s="55"/>
      <c r="UQD15" s="55"/>
      <c r="UQE15" s="55"/>
      <c r="UQF15" s="55"/>
      <c r="UQG15" s="55"/>
      <c r="UQH15" s="55"/>
      <c r="UQI15" s="55"/>
      <c r="UQJ15" s="55"/>
      <c r="UQK15" s="55"/>
      <c r="UQL15" s="55"/>
      <c r="UQM15" s="55"/>
      <c r="UQN15" s="55"/>
      <c r="UQO15" s="55"/>
      <c r="UQP15" s="55"/>
      <c r="UQQ15" s="55"/>
      <c r="UQR15" s="55"/>
      <c r="UQS15" s="55"/>
      <c r="UQT15" s="55"/>
      <c r="UQU15" s="55"/>
      <c r="UQV15" s="55"/>
      <c r="UQW15" s="55"/>
      <c r="UQX15" s="55"/>
      <c r="UQY15" s="55"/>
      <c r="UQZ15" s="55"/>
      <c r="URA15" s="55"/>
      <c r="URB15" s="55"/>
      <c r="URC15" s="55"/>
      <c r="URD15" s="55"/>
      <c r="URE15" s="55"/>
      <c r="URF15" s="55"/>
      <c r="URG15" s="55"/>
      <c r="URH15" s="55"/>
      <c r="URI15" s="55"/>
      <c r="URJ15" s="55"/>
      <c r="URK15" s="55"/>
      <c r="URL15" s="55"/>
      <c r="URM15" s="55"/>
      <c r="URN15" s="55"/>
      <c r="URO15" s="55"/>
      <c r="URP15" s="55"/>
      <c r="URQ15" s="55"/>
      <c r="URR15" s="55"/>
      <c r="URS15" s="55"/>
      <c r="URT15" s="55"/>
      <c r="URU15" s="55"/>
      <c r="URV15" s="55"/>
      <c r="URW15" s="55"/>
      <c r="URX15" s="55"/>
      <c r="URY15" s="55"/>
      <c r="URZ15" s="55"/>
      <c r="USA15" s="55"/>
      <c r="USB15" s="55"/>
      <c r="USC15" s="55"/>
      <c r="USD15" s="55"/>
      <c r="USE15" s="55"/>
      <c r="USF15" s="55"/>
      <c r="USG15" s="55"/>
      <c r="USH15" s="55"/>
      <c r="USI15" s="55"/>
      <c r="USJ15" s="55"/>
      <c r="USK15" s="55"/>
      <c r="USL15" s="55"/>
      <c r="USM15" s="55"/>
      <c r="USN15" s="55"/>
      <c r="USO15" s="55"/>
      <c r="USP15" s="55"/>
      <c r="USQ15" s="55"/>
      <c r="USR15" s="55"/>
      <c r="USS15" s="55"/>
      <c r="UST15" s="55"/>
      <c r="USU15" s="55"/>
      <c r="USV15" s="55"/>
      <c r="USW15" s="55"/>
      <c r="USX15" s="55"/>
      <c r="USY15" s="55"/>
      <c r="USZ15" s="55"/>
      <c r="UTA15" s="55"/>
      <c r="UTB15" s="55"/>
      <c r="UTC15" s="55"/>
      <c r="UTD15" s="55"/>
      <c r="UTE15" s="55"/>
      <c r="UTF15" s="55"/>
      <c r="UTG15" s="55"/>
      <c r="UTH15" s="55"/>
      <c r="UTI15" s="55"/>
      <c r="UTJ15" s="55"/>
      <c r="UTK15" s="55"/>
      <c r="UTL15" s="55"/>
      <c r="UTM15" s="55"/>
      <c r="UTN15" s="55"/>
      <c r="UTO15" s="55"/>
      <c r="UTP15" s="55"/>
      <c r="UTQ15" s="55"/>
      <c r="UTR15" s="55"/>
      <c r="UTS15" s="55"/>
      <c r="UTT15" s="55"/>
      <c r="UTU15" s="55"/>
      <c r="UTV15" s="55"/>
      <c r="UTW15" s="55"/>
      <c r="UTX15" s="55"/>
      <c r="UTY15" s="55"/>
      <c r="UTZ15" s="55"/>
      <c r="UUA15" s="55"/>
      <c r="UUB15" s="55"/>
      <c r="UUC15" s="55"/>
      <c r="UUD15" s="55"/>
      <c r="UUE15" s="55"/>
      <c r="UUF15" s="55"/>
      <c r="UUG15" s="55"/>
      <c r="UUH15" s="55"/>
      <c r="UUI15" s="55"/>
      <c r="UUJ15" s="55"/>
      <c r="UUK15" s="55"/>
      <c r="UUL15" s="55"/>
      <c r="UUM15" s="55"/>
      <c r="UUN15" s="55"/>
      <c r="UUO15" s="55"/>
      <c r="UUP15" s="55"/>
      <c r="UUQ15" s="55"/>
      <c r="UUR15" s="55"/>
      <c r="UUS15" s="55"/>
      <c r="UUT15" s="55"/>
      <c r="UUU15" s="55"/>
      <c r="UUV15" s="55"/>
      <c r="UUW15" s="55"/>
      <c r="UUX15" s="55"/>
      <c r="UUY15" s="55"/>
      <c r="UUZ15" s="55"/>
      <c r="UVA15" s="55"/>
      <c r="UVB15" s="55"/>
      <c r="UVC15" s="55"/>
      <c r="UVD15" s="55"/>
      <c r="UVE15" s="55"/>
      <c r="UVF15" s="55"/>
      <c r="UVG15" s="55"/>
      <c r="UVH15" s="55"/>
      <c r="UVI15" s="55"/>
      <c r="UVJ15" s="55"/>
      <c r="UVK15" s="55"/>
      <c r="UVL15" s="55"/>
      <c r="UVM15" s="55"/>
      <c r="UVN15" s="55"/>
      <c r="UVO15" s="55"/>
      <c r="UVP15" s="55"/>
      <c r="UVQ15" s="55"/>
      <c r="UVR15" s="55"/>
      <c r="UVS15" s="55"/>
      <c r="UVT15" s="55"/>
      <c r="UVU15" s="55"/>
      <c r="UVV15" s="55"/>
      <c r="UVW15" s="55"/>
      <c r="UVX15" s="55"/>
      <c r="UVY15" s="55"/>
      <c r="UVZ15" s="55"/>
      <c r="UWA15" s="55"/>
      <c r="UWB15" s="55"/>
      <c r="UWC15" s="55"/>
      <c r="UWD15" s="55"/>
      <c r="UWE15" s="55"/>
      <c r="UWF15" s="55"/>
      <c r="UWG15" s="55"/>
      <c r="UWH15" s="55"/>
      <c r="UWI15" s="55"/>
      <c r="UWJ15" s="55"/>
      <c r="UWK15" s="55"/>
      <c r="UWL15" s="55"/>
      <c r="UWM15" s="55"/>
      <c r="UWN15" s="55"/>
      <c r="UWO15" s="55"/>
      <c r="UWP15" s="55"/>
      <c r="UWQ15" s="55"/>
      <c r="UWR15" s="55"/>
      <c r="UWS15" s="55"/>
      <c r="UWT15" s="55"/>
      <c r="UWU15" s="55"/>
      <c r="UWV15" s="55"/>
      <c r="UWW15" s="55"/>
      <c r="UWX15" s="55"/>
      <c r="UWY15" s="55"/>
      <c r="UWZ15" s="55"/>
      <c r="UXA15" s="55"/>
      <c r="UXB15" s="55"/>
      <c r="UXC15" s="55"/>
      <c r="UXD15" s="55"/>
      <c r="UXE15" s="55"/>
      <c r="UXF15" s="55"/>
      <c r="UXG15" s="55"/>
      <c r="UXH15" s="55"/>
      <c r="UXI15" s="55"/>
      <c r="UXJ15" s="55"/>
      <c r="UXK15" s="55"/>
      <c r="UXL15" s="55"/>
      <c r="UXM15" s="55"/>
      <c r="UXN15" s="55"/>
      <c r="UXO15" s="55"/>
      <c r="UXP15" s="55"/>
      <c r="UXQ15" s="55"/>
      <c r="UXR15" s="55"/>
      <c r="UXS15" s="55"/>
      <c r="UXT15" s="55"/>
      <c r="UXU15" s="55"/>
      <c r="UXV15" s="55"/>
      <c r="UXW15" s="55"/>
      <c r="UXX15" s="55"/>
      <c r="UXY15" s="55"/>
      <c r="UXZ15" s="55"/>
      <c r="UYA15" s="55"/>
      <c r="UYB15" s="55"/>
      <c r="UYC15" s="55"/>
      <c r="UYD15" s="55"/>
      <c r="UYE15" s="55"/>
      <c r="UYF15" s="55"/>
      <c r="UYG15" s="55"/>
      <c r="UYH15" s="55"/>
      <c r="UYI15" s="55"/>
      <c r="UYJ15" s="55"/>
      <c r="UYK15" s="55"/>
      <c r="UYL15" s="55"/>
      <c r="UYM15" s="55"/>
      <c r="UYN15" s="55"/>
      <c r="UYO15" s="55"/>
      <c r="UYP15" s="55"/>
      <c r="UYQ15" s="55"/>
      <c r="UYR15" s="55"/>
      <c r="UYS15" s="55"/>
      <c r="UYT15" s="55"/>
      <c r="UYU15" s="55"/>
      <c r="UYV15" s="55"/>
      <c r="UYW15" s="55"/>
      <c r="UYX15" s="55"/>
      <c r="UYY15" s="55"/>
      <c r="UYZ15" s="55"/>
      <c r="UZA15" s="55"/>
      <c r="UZB15" s="55"/>
      <c r="UZC15" s="55"/>
      <c r="UZD15" s="55"/>
      <c r="UZE15" s="55"/>
      <c r="UZF15" s="55"/>
      <c r="UZG15" s="55"/>
      <c r="UZH15" s="55"/>
      <c r="UZI15" s="55"/>
      <c r="UZJ15" s="55"/>
      <c r="UZK15" s="55"/>
      <c r="UZL15" s="55"/>
      <c r="UZM15" s="55"/>
      <c r="UZN15" s="55"/>
      <c r="UZO15" s="55"/>
      <c r="UZP15" s="55"/>
      <c r="UZQ15" s="55"/>
      <c r="UZR15" s="55"/>
      <c r="UZS15" s="55"/>
      <c r="UZT15" s="55"/>
      <c r="UZU15" s="55"/>
      <c r="UZV15" s="55"/>
      <c r="UZW15" s="55"/>
      <c r="UZX15" s="55"/>
      <c r="UZY15" s="55"/>
      <c r="UZZ15" s="55"/>
      <c r="VAA15" s="55"/>
      <c r="VAB15" s="55"/>
      <c r="VAC15" s="55"/>
      <c r="VAD15" s="55"/>
      <c r="VAE15" s="55"/>
      <c r="VAF15" s="55"/>
      <c r="VAG15" s="55"/>
      <c r="VAH15" s="55"/>
      <c r="VAI15" s="55"/>
      <c r="VAJ15" s="55"/>
      <c r="VAK15" s="55"/>
      <c r="VAL15" s="55"/>
      <c r="VAM15" s="55"/>
      <c r="VAN15" s="55"/>
      <c r="VAO15" s="55"/>
      <c r="VAP15" s="55"/>
      <c r="VAQ15" s="55"/>
      <c r="VAR15" s="55"/>
      <c r="VAS15" s="55"/>
      <c r="VAT15" s="55"/>
      <c r="VAU15" s="55"/>
      <c r="VAV15" s="55"/>
      <c r="VAW15" s="55"/>
      <c r="VAX15" s="55"/>
      <c r="VAY15" s="55"/>
      <c r="VAZ15" s="55"/>
      <c r="VBA15" s="55"/>
      <c r="VBB15" s="55"/>
      <c r="VBC15" s="55"/>
      <c r="VBD15" s="55"/>
      <c r="VBE15" s="55"/>
      <c r="VBF15" s="55"/>
      <c r="VBG15" s="55"/>
      <c r="VBH15" s="55"/>
      <c r="VBI15" s="55"/>
      <c r="VBJ15" s="55"/>
      <c r="VBK15" s="55"/>
      <c r="VBL15" s="55"/>
      <c r="VBM15" s="55"/>
      <c r="VBN15" s="55"/>
      <c r="VBO15" s="55"/>
      <c r="VBP15" s="55"/>
      <c r="VBQ15" s="55"/>
      <c r="VBR15" s="55"/>
      <c r="VBS15" s="55"/>
      <c r="VBT15" s="55"/>
      <c r="VBU15" s="55"/>
      <c r="VBV15" s="55"/>
      <c r="VBW15" s="55"/>
      <c r="VBX15" s="55"/>
      <c r="VBY15" s="55"/>
      <c r="VBZ15" s="55"/>
      <c r="VCA15" s="55"/>
      <c r="VCB15" s="55"/>
      <c r="VCC15" s="55"/>
      <c r="VCD15" s="55"/>
      <c r="VCE15" s="55"/>
      <c r="VCF15" s="55"/>
      <c r="VCG15" s="55"/>
      <c r="VCH15" s="55"/>
      <c r="VCI15" s="55"/>
      <c r="VCJ15" s="55"/>
      <c r="VCK15" s="55"/>
      <c r="VCL15" s="55"/>
      <c r="VCM15" s="55"/>
      <c r="VCN15" s="55"/>
      <c r="VCO15" s="55"/>
      <c r="VCP15" s="55"/>
      <c r="VCQ15" s="55"/>
      <c r="VCR15" s="55"/>
      <c r="VCS15" s="55"/>
      <c r="VCT15" s="55"/>
      <c r="VCU15" s="55"/>
      <c r="VCV15" s="55"/>
      <c r="VCW15" s="55"/>
      <c r="VCX15" s="55"/>
      <c r="VCY15" s="55"/>
      <c r="VCZ15" s="55"/>
      <c r="VDA15" s="55"/>
      <c r="VDB15" s="55"/>
      <c r="VDC15" s="55"/>
      <c r="VDD15" s="55"/>
      <c r="VDE15" s="55"/>
      <c r="VDF15" s="55"/>
      <c r="VDG15" s="55"/>
      <c r="VDH15" s="55"/>
      <c r="VDI15" s="55"/>
      <c r="VDJ15" s="55"/>
      <c r="VDK15" s="55"/>
      <c r="VDL15" s="55"/>
      <c r="VDM15" s="55"/>
      <c r="VDN15" s="55"/>
      <c r="VDO15" s="55"/>
      <c r="VDP15" s="55"/>
      <c r="VDQ15" s="55"/>
      <c r="VDR15" s="55"/>
      <c r="VDS15" s="55"/>
      <c r="VDT15" s="55"/>
      <c r="VDU15" s="55"/>
      <c r="VDV15" s="55"/>
      <c r="VDW15" s="55"/>
      <c r="VDX15" s="55"/>
      <c r="VDY15" s="55"/>
      <c r="VDZ15" s="55"/>
      <c r="VEA15" s="55"/>
      <c r="VEB15" s="55"/>
      <c r="VEC15" s="55"/>
      <c r="VED15" s="55"/>
      <c r="VEE15" s="55"/>
      <c r="VEF15" s="55"/>
      <c r="VEG15" s="55"/>
      <c r="VEH15" s="55"/>
      <c r="VEI15" s="55"/>
      <c r="VEJ15" s="55"/>
      <c r="VEK15" s="55"/>
      <c r="VEL15" s="55"/>
      <c r="VEM15" s="55"/>
      <c r="VEN15" s="55"/>
      <c r="VEO15" s="55"/>
      <c r="VEP15" s="55"/>
      <c r="VEQ15" s="55"/>
      <c r="VER15" s="55"/>
      <c r="VES15" s="55"/>
      <c r="VET15" s="55"/>
      <c r="VEU15" s="55"/>
      <c r="VEV15" s="55"/>
      <c r="VEW15" s="55"/>
      <c r="VEX15" s="55"/>
      <c r="VEY15" s="55"/>
      <c r="VEZ15" s="55"/>
      <c r="VFA15" s="55"/>
      <c r="VFB15" s="55"/>
      <c r="VFC15" s="55"/>
      <c r="VFD15" s="55"/>
      <c r="VFE15" s="55"/>
      <c r="VFF15" s="55"/>
      <c r="VFG15" s="55"/>
      <c r="VFH15" s="55"/>
      <c r="VFI15" s="55"/>
      <c r="VFJ15" s="55"/>
      <c r="VFK15" s="55"/>
      <c r="VFL15" s="55"/>
      <c r="VFM15" s="55"/>
      <c r="VFN15" s="55"/>
      <c r="VFO15" s="55"/>
      <c r="VFP15" s="55"/>
      <c r="VFQ15" s="55"/>
      <c r="VFR15" s="55"/>
      <c r="VFS15" s="55"/>
      <c r="VFT15" s="55"/>
      <c r="VFU15" s="55"/>
      <c r="VFV15" s="55"/>
      <c r="VFW15" s="55"/>
      <c r="VFX15" s="55"/>
      <c r="VFY15" s="55"/>
      <c r="VFZ15" s="55"/>
      <c r="VGA15" s="55"/>
      <c r="VGB15" s="55"/>
      <c r="VGC15" s="55"/>
      <c r="VGD15" s="55"/>
      <c r="VGE15" s="55"/>
      <c r="VGF15" s="55"/>
      <c r="VGG15" s="55"/>
      <c r="VGH15" s="55"/>
      <c r="VGI15" s="55"/>
      <c r="VGJ15" s="55"/>
      <c r="VGK15" s="55"/>
      <c r="VGL15" s="55"/>
      <c r="VGM15" s="55"/>
      <c r="VGN15" s="55"/>
      <c r="VGO15" s="55"/>
      <c r="VGP15" s="55"/>
      <c r="VGQ15" s="55"/>
      <c r="VGR15" s="55"/>
      <c r="VGS15" s="55"/>
      <c r="VGT15" s="55"/>
      <c r="VGU15" s="55"/>
      <c r="VGV15" s="55"/>
      <c r="VGW15" s="55"/>
      <c r="VGX15" s="55"/>
      <c r="VGY15" s="55"/>
      <c r="VGZ15" s="55"/>
      <c r="VHA15" s="55"/>
      <c r="VHB15" s="55"/>
      <c r="VHC15" s="55"/>
      <c r="VHD15" s="55"/>
      <c r="VHE15" s="55"/>
      <c r="VHF15" s="55"/>
      <c r="VHG15" s="55"/>
      <c r="VHH15" s="55"/>
      <c r="VHI15" s="55"/>
      <c r="VHJ15" s="55"/>
      <c r="VHK15" s="55"/>
      <c r="VHL15" s="55"/>
      <c r="VHM15" s="55"/>
      <c r="VHN15" s="55"/>
      <c r="VHO15" s="55"/>
      <c r="VHP15" s="55"/>
      <c r="VHQ15" s="55"/>
      <c r="VHR15" s="55"/>
      <c r="VHS15" s="55"/>
      <c r="VHT15" s="55"/>
      <c r="VHU15" s="55"/>
      <c r="VHV15" s="55"/>
      <c r="VHW15" s="55"/>
      <c r="VHX15" s="55"/>
      <c r="VHY15" s="55"/>
      <c r="VHZ15" s="55"/>
      <c r="VIA15" s="55"/>
      <c r="VIB15" s="55"/>
      <c r="VIC15" s="55"/>
      <c r="VID15" s="55"/>
      <c r="VIE15" s="55"/>
      <c r="VIF15" s="55"/>
      <c r="VIG15" s="55"/>
      <c r="VIH15" s="55"/>
      <c r="VII15" s="55"/>
      <c r="VIJ15" s="55"/>
      <c r="VIK15" s="55"/>
      <c r="VIL15" s="55"/>
      <c r="VIM15" s="55"/>
      <c r="VIN15" s="55"/>
      <c r="VIO15" s="55"/>
      <c r="VIP15" s="55"/>
      <c r="VIQ15" s="55"/>
      <c r="VIR15" s="55"/>
      <c r="VIS15" s="55"/>
      <c r="VIT15" s="55"/>
      <c r="VIU15" s="55"/>
      <c r="VIV15" s="55"/>
      <c r="VIW15" s="55"/>
      <c r="VIX15" s="55"/>
      <c r="VIY15" s="55"/>
      <c r="VIZ15" s="55"/>
      <c r="VJA15" s="55"/>
      <c r="VJB15" s="55"/>
      <c r="VJC15" s="55"/>
      <c r="VJD15" s="55"/>
      <c r="VJE15" s="55"/>
      <c r="VJF15" s="55"/>
      <c r="VJG15" s="55"/>
      <c r="VJH15" s="55"/>
      <c r="VJI15" s="55"/>
      <c r="VJJ15" s="55"/>
      <c r="VJK15" s="55"/>
      <c r="VJL15" s="55"/>
      <c r="VJM15" s="55"/>
      <c r="VJN15" s="55"/>
      <c r="VJO15" s="55"/>
      <c r="VJP15" s="55"/>
      <c r="VJQ15" s="55"/>
      <c r="VJR15" s="55"/>
      <c r="VJS15" s="55"/>
      <c r="VJT15" s="55"/>
      <c r="VJU15" s="55"/>
      <c r="VJV15" s="55"/>
      <c r="VJW15" s="55"/>
      <c r="VJX15" s="55"/>
      <c r="VJY15" s="55"/>
      <c r="VJZ15" s="55"/>
      <c r="VKA15" s="55"/>
      <c r="VKB15" s="55"/>
      <c r="VKC15" s="55"/>
      <c r="VKD15" s="55"/>
      <c r="VKE15" s="55"/>
      <c r="VKF15" s="55"/>
      <c r="VKG15" s="55"/>
      <c r="VKH15" s="55"/>
      <c r="VKI15" s="55"/>
      <c r="VKJ15" s="55"/>
      <c r="VKK15" s="55"/>
      <c r="VKL15" s="55"/>
      <c r="VKM15" s="55"/>
      <c r="VKN15" s="55"/>
      <c r="VKO15" s="55"/>
      <c r="VKP15" s="55"/>
      <c r="VKQ15" s="55"/>
      <c r="VKR15" s="55"/>
      <c r="VKS15" s="55"/>
      <c r="VKT15" s="55"/>
      <c r="VKU15" s="55"/>
      <c r="VKV15" s="55"/>
      <c r="VKW15" s="55"/>
      <c r="VKX15" s="55"/>
      <c r="VKY15" s="55"/>
      <c r="VKZ15" s="55"/>
      <c r="VLA15" s="55"/>
      <c r="VLB15" s="55"/>
      <c r="VLC15" s="55"/>
      <c r="VLD15" s="55"/>
      <c r="VLE15" s="55"/>
      <c r="VLF15" s="55"/>
      <c r="VLG15" s="55"/>
      <c r="VLH15" s="55"/>
      <c r="VLI15" s="55"/>
      <c r="VLJ15" s="55"/>
      <c r="VLK15" s="55"/>
      <c r="VLL15" s="55"/>
      <c r="VLM15" s="55"/>
      <c r="VLN15" s="55"/>
      <c r="VLO15" s="55"/>
      <c r="VLP15" s="55"/>
      <c r="VLQ15" s="55"/>
      <c r="VLR15" s="55"/>
      <c r="VLS15" s="55"/>
      <c r="VLT15" s="55"/>
      <c r="VLU15" s="55"/>
      <c r="VLV15" s="55"/>
      <c r="VLW15" s="55"/>
      <c r="VLX15" s="55"/>
      <c r="VLY15" s="55"/>
      <c r="VLZ15" s="55"/>
      <c r="VMA15" s="55"/>
      <c r="VMB15" s="55"/>
      <c r="VMC15" s="55"/>
      <c r="VMD15" s="55"/>
      <c r="VME15" s="55"/>
      <c r="VMF15" s="55"/>
      <c r="VMG15" s="55"/>
      <c r="VMH15" s="55"/>
      <c r="VMI15" s="55"/>
      <c r="VMJ15" s="55"/>
      <c r="VMK15" s="55"/>
      <c r="VML15" s="55"/>
      <c r="VMM15" s="55"/>
      <c r="VMN15" s="55"/>
      <c r="VMO15" s="55"/>
      <c r="VMP15" s="55"/>
      <c r="VMQ15" s="55"/>
      <c r="VMR15" s="55"/>
      <c r="VMS15" s="55"/>
      <c r="VMT15" s="55"/>
      <c r="VMU15" s="55"/>
      <c r="VMV15" s="55"/>
      <c r="VMW15" s="55"/>
      <c r="VMX15" s="55"/>
      <c r="VMY15" s="55"/>
      <c r="VMZ15" s="55"/>
      <c r="VNA15" s="55"/>
      <c r="VNB15" s="55"/>
      <c r="VNC15" s="55"/>
      <c r="VND15" s="55"/>
      <c r="VNE15" s="55"/>
      <c r="VNF15" s="55"/>
      <c r="VNG15" s="55"/>
      <c r="VNH15" s="55"/>
      <c r="VNI15" s="55"/>
      <c r="VNJ15" s="55"/>
      <c r="VNK15" s="55"/>
      <c r="VNL15" s="55"/>
      <c r="VNM15" s="55"/>
      <c r="VNN15" s="55"/>
      <c r="VNO15" s="55"/>
      <c r="VNP15" s="55"/>
      <c r="VNQ15" s="55"/>
      <c r="VNR15" s="55"/>
      <c r="VNS15" s="55"/>
      <c r="VNT15" s="55"/>
      <c r="VNU15" s="55"/>
      <c r="VNV15" s="55"/>
      <c r="VNW15" s="55"/>
      <c r="VNX15" s="55"/>
      <c r="VNY15" s="55"/>
      <c r="VNZ15" s="55"/>
      <c r="VOA15" s="55"/>
      <c r="VOB15" s="55"/>
      <c r="VOC15" s="55"/>
      <c r="VOD15" s="55"/>
      <c r="VOE15" s="55"/>
      <c r="VOF15" s="55"/>
      <c r="VOG15" s="55"/>
      <c r="VOH15" s="55"/>
      <c r="VOI15" s="55"/>
      <c r="VOJ15" s="55"/>
      <c r="VOK15" s="55"/>
      <c r="VOL15" s="55"/>
      <c r="VOM15" s="55"/>
      <c r="VON15" s="55"/>
      <c r="VOO15" s="55"/>
      <c r="VOP15" s="55"/>
      <c r="VOQ15" s="55"/>
      <c r="VOR15" s="55"/>
      <c r="VOS15" s="55"/>
      <c r="VOT15" s="55"/>
      <c r="VOU15" s="55"/>
      <c r="VOV15" s="55"/>
      <c r="VOW15" s="55"/>
      <c r="VOX15" s="55"/>
      <c r="VOY15" s="55"/>
      <c r="VOZ15" s="55"/>
      <c r="VPA15" s="55"/>
      <c r="VPB15" s="55"/>
      <c r="VPC15" s="55"/>
      <c r="VPD15" s="55"/>
      <c r="VPE15" s="55"/>
      <c r="VPF15" s="55"/>
      <c r="VPG15" s="55"/>
      <c r="VPH15" s="55"/>
      <c r="VPI15" s="55"/>
      <c r="VPJ15" s="55"/>
      <c r="VPK15" s="55"/>
      <c r="VPL15" s="55"/>
      <c r="VPM15" s="55"/>
      <c r="VPN15" s="55"/>
      <c r="VPO15" s="55"/>
      <c r="VPP15" s="55"/>
      <c r="VPQ15" s="55"/>
      <c r="VPR15" s="55"/>
      <c r="VPS15" s="55"/>
      <c r="VPT15" s="55"/>
      <c r="VPU15" s="55"/>
      <c r="VPV15" s="55"/>
      <c r="VPW15" s="55"/>
      <c r="VPX15" s="55"/>
      <c r="VPY15" s="55"/>
      <c r="VPZ15" s="55"/>
      <c r="VQA15" s="55"/>
      <c r="VQB15" s="55"/>
      <c r="VQC15" s="55"/>
      <c r="VQD15" s="55"/>
      <c r="VQE15" s="55"/>
      <c r="VQF15" s="55"/>
      <c r="VQG15" s="55"/>
      <c r="VQH15" s="55"/>
      <c r="VQI15" s="55"/>
      <c r="VQJ15" s="55"/>
      <c r="VQK15" s="55"/>
      <c r="VQL15" s="55"/>
      <c r="VQM15" s="55"/>
      <c r="VQN15" s="55"/>
      <c r="VQO15" s="55"/>
      <c r="VQP15" s="55"/>
      <c r="VQQ15" s="55"/>
      <c r="VQR15" s="55"/>
      <c r="VQS15" s="55"/>
      <c r="VQT15" s="55"/>
      <c r="VQU15" s="55"/>
      <c r="VQV15" s="55"/>
      <c r="VQW15" s="55"/>
      <c r="VQX15" s="55"/>
      <c r="VQY15" s="55"/>
      <c r="VQZ15" s="55"/>
      <c r="VRA15" s="55"/>
      <c r="VRB15" s="55"/>
      <c r="VRC15" s="55"/>
      <c r="VRD15" s="55"/>
      <c r="VRE15" s="55"/>
      <c r="VRF15" s="55"/>
      <c r="VRG15" s="55"/>
      <c r="VRH15" s="55"/>
      <c r="VRI15" s="55"/>
      <c r="VRJ15" s="55"/>
      <c r="VRK15" s="55"/>
      <c r="VRL15" s="55"/>
      <c r="VRM15" s="55"/>
      <c r="VRN15" s="55"/>
      <c r="VRO15" s="55"/>
      <c r="VRP15" s="55"/>
      <c r="VRQ15" s="55"/>
      <c r="VRR15" s="55"/>
      <c r="VRS15" s="55"/>
      <c r="VRT15" s="55"/>
      <c r="VRU15" s="55"/>
      <c r="VRV15" s="55"/>
      <c r="VRW15" s="55"/>
      <c r="VRX15" s="55"/>
      <c r="VRY15" s="55"/>
      <c r="VRZ15" s="55"/>
      <c r="VSA15" s="55"/>
      <c r="VSB15" s="55"/>
      <c r="VSC15" s="55"/>
      <c r="VSD15" s="55"/>
      <c r="VSE15" s="55"/>
      <c r="VSF15" s="55"/>
      <c r="VSG15" s="55"/>
      <c r="VSH15" s="55"/>
      <c r="VSI15" s="55"/>
      <c r="VSJ15" s="55"/>
      <c r="VSK15" s="55"/>
      <c r="VSL15" s="55"/>
      <c r="VSM15" s="55"/>
      <c r="VSN15" s="55"/>
      <c r="VSO15" s="55"/>
      <c r="VSP15" s="55"/>
      <c r="VSQ15" s="55"/>
      <c r="VSR15" s="55"/>
      <c r="VSS15" s="55"/>
      <c r="VST15" s="55"/>
      <c r="VSU15" s="55"/>
      <c r="VSV15" s="55"/>
      <c r="VSW15" s="55"/>
      <c r="VSX15" s="55"/>
      <c r="VSY15" s="55"/>
      <c r="VSZ15" s="55"/>
      <c r="VTA15" s="55"/>
      <c r="VTB15" s="55"/>
      <c r="VTC15" s="55"/>
      <c r="VTD15" s="55"/>
      <c r="VTE15" s="55"/>
      <c r="VTF15" s="55"/>
      <c r="VTG15" s="55"/>
      <c r="VTH15" s="55"/>
      <c r="VTI15" s="55"/>
      <c r="VTJ15" s="55"/>
      <c r="VTK15" s="55"/>
      <c r="VTL15" s="55"/>
      <c r="VTM15" s="55"/>
      <c r="VTN15" s="55"/>
      <c r="VTO15" s="55"/>
      <c r="VTP15" s="55"/>
      <c r="VTQ15" s="55"/>
      <c r="VTR15" s="55"/>
      <c r="VTS15" s="55"/>
      <c r="VTT15" s="55"/>
      <c r="VTU15" s="55"/>
      <c r="VTV15" s="55"/>
      <c r="VTW15" s="55"/>
      <c r="VTX15" s="55"/>
      <c r="VTY15" s="55"/>
      <c r="VTZ15" s="55"/>
      <c r="VUA15" s="55"/>
      <c r="VUB15" s="55"/>
      <c r="VUC15" s="55"/>
      <c r="VUD15" s="55"/>
      <c r="VUE15" s="55"/>
      <c r="VUF15" s="55"/>
      <c r="VUG15" s="55"/>
      <c r="VUH15" s="55"/>
      <c r="VUI15" s="55"/>
      <c r="VUJ15" s="55"/>
      <c r="VUK15" s="55"/>
      <c r="VUL15" s="55"/>
      <c r="VUM15" s="55"/>
      <c r="VUN15" s="55"/>
      <c r="VUO15" s="55"/>
      <c r="VUP15" s="55"/>
      <c r="VUQ15" s="55"/>
      <c r="VUR15" s="55"/>
      <c r="VUS15" s="55"/>
      <c r="VUT15" s="55"/>
      <c r="VUU15" s="55"/>
      <c r="VUV15" s="55"/>
      <c r="VUW15" s="55"/>
      <c r="VUX15" s="55"/>
      <c r="VUY15" s="55"/>
      <c r="VUZ15" s="55"/>
      <c r="VVA15" s="55"/>
      <c r="VVB15" s="55"/>
      <c r="VVC15" s="55"/>
      <c r="VVD15" s="55"/>
      <c r="VVE15" s="55"/>
      <c r="VVF15" s="55"/>
      <c r="VVG15" s="55"/>
      <c r="VVH15" s="55"/>
      <c r="VVI15" s="55"/>
      <c r="VVJ15" s="55"/>
      <c r="VVK15" s="55"/>
      <c r="VVL15" s="55"/>
      <c r="VVM15" s="55"/>
      <c r="VVN15" s="55"/>
      <c r="VVO15" s="55"/>
      <c r="VVP15" s="55"/>
      <c r="VVQ15" s="55"/>
      <c r="VVR15" s="55"/>
      <c r="VVS15" s="55"/>
      <c r="VVT15" s="55"/>
      <c r="VVU15" s="55"/>
      <c r="VVV15" s="55"/>
      <c r="VVW15" s="55"/>
      <c r="VVX15" s="55"/>
      <c r="VVY15" s="55"/>
      <c r="VVZ15" s="55"/>
      <c r="VWA15" s="55"/>
      <c r="VWB15" s="55"/>
      <c r="VWC15" s="55"/>
      <c r="VWD15" s="55"/>
      <c r="VWE15" s="55"/>
      <c r="VWF15" s="55"/>
      <c r="VWG15" s="55"/>
      <c r="VWH15" s="55"/>
      <c r="VWI15" s="55"/>
      <c r="VWJ15" s="55"/>
      <c r="VWK15" s="55"/>
      <c r="VWL15" s="55"/>
      <c r="VWM15" s="55"/>
      <c r="VWN15" s="55"/>
      <c r="VWO15" s="55"/>
      <c r="VWP15" s="55"/>
      <c r="VWQ15" s="55"/>
      <c r="VWR15" s="55"/>
      <c r="VWS15" s="55"/>
      <c r="VWT15" s="55"/>
      <c r="VWU15" s="55"/>
      <c r="VWV15" s="55"/>
      <c r="VWW15" s="55"/>
      <c r="VWX15" s="55"/>
      <c r="VWY15" s="55"/>
      <c r="VWZ15" s="55"/>
      <c r="VXA15" s="55"/>
      <c r="VXB15" s="55"/>
      <c r="VXC15" s="55"/>
      <c r="VXD15" s="55"/>
      <c r="VXE15" s="55"/>
      <c r="VXF15" s="55"/>
      <c r="VXG15" s="55"/>
      <c r="VXH15" s="55"/>
      <c r="VXI15" s="55"/>
      <c r="VXJ15" s="55"/>
      <c r="VXK15" s="55"/>
      <c r="VXL15" s="55"/>
      <c r="VXM15" s="55"/>
      <c r="VXN15" s="55"/>
      <c r="VXO15" s="55"/>
      <c r="VXP15" s="55"/>
      <c r="VXQ15" s="55"/>
      <c r="VXR15" s="55"/>
      <c r="VXS15" s="55"/>
      <c r="VXT15" s="55"/>
      <c r="VXU15" s="55"/>
      <c r="VXV15" s="55"/>
      <c r="VXW15" s="55"/>
      <c r="VXX15" s="55"/>
      <c r="VXY15" s="55"/>
      <c r="VXZ15" s="55"/>
      <c r="VYA15" s="55"/>
      <c r="VYB15" s="55"/>
      <c r="VYC15" s="55"/>
      <c r="VYD15" s="55"/>
      <c r="VYE15" s="55"/>
      <c r="VYF15" s="55"/>
      <c r="VYG15" s="55"/>
      <c r="VYH15" s="55"/>
      <c r="VYI15" s="55"/>
      <c r="VYJ15" s="55"/>
      <c r="VYK15" s="55"/>
      <c r="VYL15" s="55"/>
      <c r="VYM15" s="55"/>
      <c r="VYN15" s="55"/>
      <c r="VYO15" s="55"/>
      <c r="VYP15" s="55"/>
      <c r="VYQ15" s="55"/>
      <c r="VYR15" s="55"/>
      <c r="VYS15" s="55"/>
      <c r="VYT15" s="55"/>
      <c r="VYU15" s="55"/>
      <c r="VYV15" s="55"/>
      <c r="VYW15" s="55"/>
      <c r="VYX15" s="55"/>
      <c r="VYY15" s="55"/>
      <c r="VYZ15" s="55"/>
      <c r="VZA15" s="55"/>
      <c r="VZB15" s="55"/>
      <c r="VZC15" s="55"/>
      <c r="VZD15" s="55"/>
      <c r="VZE15" s="55"/>
      <c r="VZF15" s="55"/>
      <c r="VZG15" s="55"/>
      <c r="VZH15" s="55"/>
      <c r="VZI15" s="55"/>
      <c r="VZJ15" s="55"/>
      <c r="VZK15" s="55"/>
      <c r="VZL15" s="55"/>
      <c r="VZM15" s="55"/>
      <c r="VZN15" s="55"/>
      <c r="VZO15" s="55"/>
      <c r="VZP15" s="55"/>
      <c r="VZQ15" s="55"/>
      <c r="VZR15" s="55"/>
      <c r="VZS15" s="55"/>
      <c r="VZT15" s="55"/>
      <c r="VZU15" s="55"/>
      <c r="VZV15" s="55"/>
      <c r="VZW15" s="55"/>
      <c r="VZX15" s="55"/>
      <c r="VZY15" s="55"/>
      <c r="VZZ15" s="55"/>
      <c r="WAA15" s="55"/>
      <c r="WAB15" s="55"/>
      <c r="WAC15" s="55"/>
      <c r="WAD15" s="55"/>
      <c r="WAE15" s="55"/>
      <c r="WAF15" s="55"/>
      <c r="WAG15" s="55"/>
      <c r="WAH15" s="55"/>
      <c r="WAI15" s="55"/>
      <c r="WAJ15" s="55"/>
      <c r="WAK15" s="55"/>
      <c r="WAL15" s="55"/>
      <c r="WAM15" s="55"/>
      <c r="WAN15" s="55"/>
      <c r="WAO15" s="55"/>
      <c r="WAP15" s="55"/>
      <c r="WAQ15" s="55"/>
      <c r="WAR15" s="55"/>
      <c r="WAS15" s="55"/>
      <c r="WAT15" s="55"/>
      <c r="WAU15" s="55"/>
      <c r="WAV15" s="55"/>
      <c r="WAW15" s="55"/>
      <c r="WAX15" s="55"/>
      <c r="WAY15" s="55"/>
      <c r="WAZ15" s="55"/>
      <c r="WBA15" s="55"/>
      <c r="WBB15" s="55"/>
      <c r="WBC15" s="55"/>
      <c r="WBD15" s="55"/>
      <c r="WBE15" s="55"/>
      <c r="WBF15" s="55"/>
      <c r="WBG15" s="55"/>
      <c r="WBH15" s="55"/>
      <c r="WBI15" s="55"/>
      <c r="WBJ15" s="55"/>
      <c r="WBK15" s="55"/>
      <c r="WBL15" s="55"/>
      <c r="WBM15" s="55"/>
      <c r="WBN15" s="55"/>
      <c r="WBO15" s="55"/>
      <c r="WBP15" s="55"/>
      <c r="WBQ15" s="55"/>
      <c r="WBR15" s="55"/>
      <c r="WBS15" s="55"/>
      <c r="WBT15" s="55"/>
      <c r="WBU15" s="55"/>
      <c r="WBV15" s="55"/>
      <c r="WBW15" s="55"/>
      <c r="WBX15" s="55"/>
      <c r="WBY15" s="55"/>
      <c r="WBZ15" s="55"/>
      <c r="WCA15" s="55"/>
      <c r="WCB15" s="55"/>
      <c r="WCC15" s="55"/>
      <c r="WCD15" s="55"/>
      <c r="WCE15" s="55"/>
      <c r="WCF15" s="55"/>
      <c r="WCG15" s="55"/>
      <c r="WCH15" s="55"/>
      <c r="WCI15" s="55"/>
      <c r="WCJ15" s="55"/>
      <c r="WCK15" s="55"/>
      <c r="WCL15" s="55"/>
      <c r="WCM15" s="55"/>
      <c r="WCN15" s="55"/>
      <c r="WCO15" s="55"/>
      <c r="WCP15" s="55"/>
      <c r="WCQ15" s="55"/>
      <c r="WCR15" s="55"/>
      <c r="WCS15" s="55"/>
      <c r="WCT15" s="55"/>
      <c r="WCU15" s="55"/>
      <c r="WCV15" s="55"/>
      <c r="WCW15" s="55"/>
      <c r="WCX15" s="55"/>
      <c r="WCY15" s="55"/>
      <c r="WCZ15" s="55"/>
      <c r="WDA15" s="55"/>
      <c r="WDB15" s="55"/>
      <c r="WDC15" s="55"/>
      <c r="WDD15" s="55"/>
      <c r="WDE15" s="55"/>
      <c r="WDF15" s="55"/>
      <c r="WDG15" s="55"/>
      <c r="WDH15" s="55"/>
      <c r="WDI15" s="55"/>
      <c r="WDJ15" s="55"/>
      <c r="WDK15" s="55"/>
      <c r="WDL15" s="55"/>
      <c r="WDM15" s="55"/>
      <c r="WDN15" s="55"/>
      <c r="WDO15" s="55"/>
      <c r="WDP15" s="55"/>
      <c r="WDQ15" s="55"/>
      <c r="WDR15" s="55"/>
      <c r="WDS15" s="55"/>
      <c r="WDT15" s="55"/>
      <c r="WDU15" s="55"/>
      <c r="WDV15" s="55"/>
      <c r="WDW15" s="55"/>
      <c r="WDX15" s="55"/>
      <c r="WDY15" s="55"/>
      <c r="WDZ15" s="55"/>
      <c r="WEA15" s="55"/>
      <c r="WEB15" s="55"/>
      <c r="WEC15" s="55"/>
      <c r="WED15" s="55"/>
      <c r="WEE15" s="55"/>
      <c r="WEF15" s="55"/>
      <c r="WEG15" s="55"/>
      <c r="WEH15" s="55"/>
      <c r="WEI15" s="55"/>
      <c r="WEJ15" s="55"/>
      <c r="WEK15" s="55"/>
      <c r="WEL15" s="55"/>
      <c r="WEM15" s="55"/>
      <c r="WEN15" s="55"/>
      <c r="WEO15" s="55"/>
      <c r="WEP15" s="55"/>
      <c r="WEQ15" s="55"/>
      <c r="WER15" s="55"/>
      <c r="WES15" s="55"/>
      <c r="WET15" s="55"/>
      <c r="WEU15" s="55"/>
      <c r="WEV15" s="55"/>
      <c r="WEW15" s="55"/>
      <c r="WEX15" s="55"/>
      <c r="WEY15" s="55"/>
      <c r="WEZ15" s="55"/>
      <c r="WFA15" s="55"/>
      <c r="WFB15" s="55"/>
      <c r="WFC15" s="55"/>
      <c r="WFD15" s="55"/>
      <c r="WFE15" s="55"/>
      <c r="WFF15" s="55"/>
      <c r="WFG15" s="55"/>
      <c r="WFH15" s="55"/>
      <c r="WFI15" s="55"/>
      <c r="WFJ15" s="55"/>
      <c r="WFK15" s="55"/>
      <c r="WFL15" s="55"/>
      <c r="WFM15" s="55"/>
      <c r="WFN15" s="55"/>
      <c r="WFO15" s="55"/>
      <c r="WFP15" s="55"/>
      <c r="WFQ15" s="55"/>
      <c r="WFR15" s="55"/>
      <c r="WFS15" s="55"/>
      <c r="WFT15" s="55"/>
      <c r="WFU15" s="55"/>
      <c r="WFV15" s="55"/>
      <c r="WFW15" s="55"/>
      <c r="WFX15" s="55"/>
      <c r="WFY15" s="55"/>
      <c r="WFZ15" s="55"/>
      <c r="WGA15" s="55"/>
      <c r="WGB15" s="55"/>
      <c r="WGC15" s="55"/>
      <c r="WGD15" s="55"/>
      <c r="WGE15" s="55"/>
      <c r="WGF15" s="55"/>
      <c r="WGG15" s="55"/>
      <c r="WGH15" s="55"/>
      <c r="WGI15" s="55"/>
      <c r="WGJ15" s="55"/>
      <c r="WGK15" s="55"/>
      <c r="WGL15" s="55"/>
      <c r="WGM15" s="55"/>
      <c r="WGN15" s="55"/>
      <c r="WGO15" s="55"/>
      <c r="WGP15" s="55"/>
      <c r="WGQ15" s="55"/>
      <c r="WGR15" s="55"/>
      <c r="WGS15" s="55"/>
      <c r="WGT15" s="55"/>
      <c r="WGU15" s="55"/>
      <c r="WGV15" s="55"/>
      <c r="WGW15" s="55"/>
      <c r="WGX15" s="55"/>
      <c r="WGY15" s="55"/>
      <c r="WGZ15" s="55"/>
      <c r="WHA15" s="55"/>
      <c r="WHB15" s="55"/>
      <c r="WHC15" s="55"/>
      <c r="WHD15" s="55"/>
      <c r="WHE15" s="55"/>
      <c r="WHF15" s="55"/>
      <c r="WHG15" s="55"/>
      <c r="WHH15" s="55"/>
      <c r="WHI15" s="55"/>
      <c r="WHJ15" s="55"/>
      <c r="WHK15" s="55"/>
      <c r="WHL15" s="55"/>
      <c r="WHM15" s="55"/>
      <c r="WHN15" s="55"/>
      <c r="WHO15" s="55"/>
      <c r="WHP15" s="55"/>
      <c r="WHQ15" s="55"/>
      <c r="WHR15" s="55"/>
      <c r="WHS15" s="55"/>
      <c r="WHT15" s="55"/>
      <c r="WHU15" s="55"/>
      <c r="WHV15" s="55"/>
      <c r="WHW15" s="55"/>
      <c r="WHX15" s="55"/>
      <c r="WHY15" s="55"/>
      <c r="WHZ15" s="55"/>
      <c r="WIA15" s="55"/>
      <c r="WIB15" s="55"/>
      <c r="WIC15" s="55"/>
      <c r="WID15" s="55"/>
      <c r="WIE15" s="55"/>
      <c r="WIF15" s="55"/>
      <c r="WIG15" s="55"/>
      <c r="WIH15" s="55"/>
      <c r="WII15" s="55"/>
      <c r="WIJ15" s="55"/>
      <c r="WIK15" s="55"/>
      <c r="WIL15" s="55"/>
      <c r="WIM15" s="55"/>
      <c r="WIN15" s="55"/>
      <c r="WIO15" s="55"/>
      <c r="WIP15" s="55"/>
      <c r="WIQ15" s="55"/>
      <c r="WIR15" s="55"/>
      <c r="WIS15" s="55"/>
      <c r="WIT15" s="55"/>
      <c r="WIU15" s="55"/>
      <c r="WIV15" s="55"/>
      <c r="WIW15" s="55"/>
      <c r="WIX15" s="55"/>
      <c r="WIY15" s="55"/>
      <c r="WIZ15" s="55"/>
      <c r="WJA15" s="55"/>
      <c r="WJB15" s="55"/>
      <c r="WJC15" s="55"/>
      <c r="WJD15" s="55"/>
      <c r="WJE15" s="55"/>
      <c r="WJF15" s="55"/>
      <c r="WJG15" s="55"/>
      <c r="WJH15" s="55"/>
      <c r="WJI15" s="55"/>
      <c r="WJJ15" s="55"/>
      <c r="WJK15" s="55"/>
      <c r="WJL15" s="55"/>
      <c r="WJM15" s="55"/>
      <c r="WJN15" s="55"/>
      <c r="WJO15" s="55"/>
      <c r="WJP15" s="55"/>
      <c r="WJQ15" s="55"/>
      <c r="WJR15" s="55"/>
      <c r="WJS15" s="55"/>
      <c r="WJT15" s="55"/>
      <c r="WJU15" s="55"/>
      <c r="WJV15" s="55"/>
      <c r="WJW15" s="55"/>
      <c r="WJX15" s="55"/>
      <c r="WJY15" s="55"/>
      <c r="WJZ15" s="55"/>
      <c r="WKA15" s="55"/>
      <c r="WKB15" s="55"/>
      <c r="WKC15" s="55"/>
      <c r="WKD15" s="55"/>
      <c r="WKE15" s="55"/>
      <c r="WKF15" s="55"/>
      <c r="WKG15" s="55"/>
      <c r="WKH15" s="55"/>
      <c r="WKI15" s="55"/>
      <c r="WKJ15" s="55"/>
      <c r="WKK15" s="55"/>
      <c r="WKL15" s="55"/>
      <c r="WKM15" s="55"/>
      <c r="WKN15" s="55"/>
      <c r="WKO15" s="55"/>
      <c r="WKP15" s="55"/>
      <c r="WKQ15" s="55"/>
      <c r="WKR15" s="55"/>
      <c r="WKS15" s="55"/>
      <c r="WKT15" s="55"/>
      <c r="WKU15" s="55"/>
      <c r="WKV15" s="55"/>
      <c r="WKW15" s="55"/>
      <c r="WKX15" s="55"/>
      <c r="WKY15" s="55"/>
      <c r="WKZ15" s="55"/>
      <c r="WLA15" s="55"/>
      <c r="WLB15" s="55"/>
      <c r="WLC15" s="55"/>
      <c r="WLD15" s="55"/>
      <c r="WLE15" s="55"/>
      <c r="WLF15" s="55"/>
      <c r="WLG15" s="55"/>
      <c r="WLH15" s="55"/>
      <c r="WLI15" s="55"/>
      <c r="WLJ15" s="55"/>
      <c r="WLK15" s="55"/>
      <c r="WLL15" s="55"/>
      <c r="WLM15" s="55"/>
      <c r="WLN15" s="55"/>
      <c r="WLO15" s="55"/>
      <c r="WLP15" s="55"/>
      <c r="WLQ15" s="55"/>
      <c r="WLR15" s="55"/>
      <c r="WLS15" s="55"/>
      <c r="WLT15" s="55"/>
      <c r="WLU15" s="55"/>
      <c r="WLV15" s="55"/>
      <c r="WLW15" s="55"/>
      <c r="WLX15" s="55"/>
      <c r="WLY15" s="55"/>
      <c r="WLZ15" s="55"/>
      <c r="WMA15" s="55"/>
      <c r="WMB15" s="55"/>
      <c r="WMC15" s="55"/>
      <c r="WMD15" s="55"/>
      <c r="WME15" s="55"/>
      <c r="WMF15" s="55"/>
      <c r="WMG15" s="55"/>
      <c r="WMH15" s="55"/>
      <c r="WMI15" s="55"/>
      <c r="WMJ15" s="55"/>
      <c r="WMK15" s="55"/>
      <c r="WML15" s="55"/>
      <c r="WMM15" s="55"/>
      <c r="WMN15" s="55"/>
      <c r="WMO15" s="55"/>
      <c r="WMP15" s="55"/>
      <c r="WMQ15" s="55"/>
      <c r="WMR15" s="55"/>
      <c r="WMS15" s="55"/>
      <c r="WMT15" s="55"/>
      <c r="WMU15" s="55"/>
      <c r="WMV15" s="55"/>
      <c r="WMW15" s="55"/>
      <c r="WMX15" s="55"/>
      <c r="WMY15" s="55"/>
      <c r="WMZ15" s="55"/>
      <c r="WNA15" s="55"/>
      <c r="WNB15" s="55"/>
      <c r="WNC15" s="55"/>
      <c r="WND15" s="55"/>
      <c r="WNE15" s="55"/>
      <c r="WNF15" s="55"/>
      <c r="WNG15" s="55"/>
      <c r="WNH15" s="55"/>
      <c r="WNI15" s="55"/>
      <c r="WNJ15" s="55"/>
      <c r="WNK15" s="55"/>
      <c r="WNL15" s="55"/>
      <c r="WNM15" s="55"/>
      <c r="WNN15" s="55"/>
      <c r="WNO15" s="55"/>
      <c r="WNP15" s="55"/>
      <c r="WNQ15" s="55"/>
      <c r="WNR15" s="55"/>
      <c r="WNS15" s="55"/>
      <c r="WNT15" s="55"/>
      <c r="WNU15" s="55"/>
      <c r="WNV15" s="55"/>
      <c r="WNW15" s="55"/>
      <c r="WNX15" s="55"/>
      <c r="WNY15" s="55"/>
      <c r="WNZ15" s="55"/>
      <c r="WOA15" s="55"/>
      <c r="WOB15" s="55"/>
      <c r="WOC15" s="55"/>
      <c r="WOD15" s="55"/>
      <c r="WOE15" s="55"/>
      <c r="WOF15" s="55"/>
      <c r="WOG15" s="55"/>
      <c r="WOH15" s="55"/>
      <c r="WOI15" s="55"/>
      <c r="WOJ15" s="55"/>
      <c r="WOK15" s="55"/>
      <c r="WOL15" s="55"/>
      <c r="WOM15" s="55"/>
      <c r="WON15" s="55"/>
      <c r="WOO15" s="55"/>
      <c r="WOP15" s="55"/>
      <c r="WOQ15" s="55"/>
      <c r="WOR15" s="55"/>
      <c r="WOS15" s="55"/>
      <c r="WOT15" s="55"/>
      <c r="WOU15" s="55"/>
      <c r="WOV15" s="55"/>
      <c r="WOW15" s="55"/>
      <c r="WOX15" s="55"/>
      <c r="WOY15" s="55"/>
      <c r="WOZ15" s="55"/>
      <c r="WPA15" s="55"/>
      <c r="WPB15" s="55"/>
      <c r="WPC15" s="55"/>
      <c r="WPD15" s="55"/>
      <c r="WPE15" s="55"/>
      <c r="WPF15" s="55"/>
      <c r="WPG15" s="55"/>
      <c r="WPH15" s="55"/>
      <c r="WPI15" s="55"/>
      <c r="WPJ15" s="55"/>
      <c r="WPK15" s="55"/>
      <c r="WPL15" s="55"/>
      <c r="WPM15" s="55"/>
      <c r="WPN15" s="55"/>
      <c r="WPO15" s="55"/>
      <c r="WPP15" s="55"/>
      <c r="WPQ15" s="55"/>
      <c r="WPR15" s="55"/>
      <c r="WPS15" s="55"/>
      <c r="WPT15" s="55"/>
      <c r="WPU15" s="55"/>
      <c r="WPV15" s="55"/>
      <c r="WPW15" s="55"/>
      <c r="WPX15" s="55"/>
      <c r="WPY15" s="55"/>
      <c r="WPZ15" s="55"/>
      <c r="WQA15" s="55"/>
      <c r="WQB15" s="55"/>
      <c r="WQC15" s="55"/>
      <c r="WQD15" s="55"/>
      <c r="WQE15" s="55"/>
      <c r="WQF15" s="55"/>
      <c r="WQG15" s="55"/>
      <c r="WQH15" s="55"/>
      <c r="WQI15" s="55"/>
      <c r="WQJ15" s="55"/>
      <c r="WQK15" s="55"/>
      <c r="WQL15" s="55"/>
      <c r="WQM15" s="55"/>
      <c r="WQN15" s="55"/>
      <c r="WQO15" s="55"/>
      <c r="WQP15" s="55"/>
      <c r="WQQ15" s="55"/>
      <c r="WQR15" s="55"/>
      <c r="WQS15" s="55"/>
      <c r="WQT15" s="55"/>
      <c r="WQU15" s="55"/>
      <c r="WQV15" s="55"/>
      <c r="WQW15" s="55"/>
      <c r="WQX15" s="55"/>
      <c r="WQY15" s="55"/>
      <c r="WQZ15" s="55"/>
      <c r="WRA15" s="55"/>
      <c r="WRB15" s="55"/>
      <c r="WRC15" s="55"/>
      <c r="WRD15" s="55"/>
      <c r="WRE15" s="55"/>
      <c r="WRF15" s="55"/>
      <c r="WRG15" s="55"/>
      <c r="WRH15" s="55"/>
      <c r="WRI15" s="55"/>
      <c r="WRJ15" s="55"/>
      <c r="WRK15" s="55"/>
      <c r="WRL15" s="55"/>
      <c r="WRM15" s="55"/>
      <c r="WRN15" s="55"/>
      <c r="WRO15" s="55"/>
      <c r="WRP15" s="55"/>
      <c r="WRQ15" s="55"/>
      <c r="WRR15" s="55"/>
      <c r="WRS15" s="55"/>
      <c r="WRT15" s="55"/>
      <c r="WRU15" s="55"/>
      <c r="WRV15" s="55"/>
      <c r="WRW15" s="55"/>
      <c r="WRX15" s="55"/>
      <c r="WRY15" s="55"/>
      <c r="WRZ15" s="55"/>
      <c r="WSA15" s="55"/>
      <c r="WSB15" s="55"/>
      <c r="WSC15" s="55"/>
      <c r="WSD15" s="55"/>
      <c r="WSE15" s="55"/>
      <c r="WSF15" s="55"/>
      <c r="WSG15" s="55"/>
      <c r="WSH15" s="55"/>
      <c r="WSI15" s="55"/>
      <c r="WSJ15" s="55"/>
      <c r="WSK15" s="55"/>
      <c r="WSL15" s="55"/>
      <c r="WSM15" s="55"/>
      <c r="WSN15" s="55"/>
      <c r="WSO15" s="55"/>
      <c r="WSP15" s="55"/>
      <c r="WSQ15" s="55"/>
      <c r="WSR15" s="55"/>
      <c r="WSS15" s="55"/>
      <c r="WST15" s="55"/>
      <c r="WSU15" s="55"/>
      <c r="WSV15" s="55"/>
      <c r="WSW15" s="55"/>
      <c r="WSX15" s="55"/>
      <c r="WSY15" s="55"/>
      <c r="WSZ15" s="55"/>
      <c r="WTA15" s="55"/>
      <c r="WTB15" s="55"/>
      <c r="WTC15" s="55"/>
      <c r="WTD15" s="55"/>
      <c r="WTE15" s="55"/>
      <c r="WTF15" s="55"/>
      <c r="WTG15" s="55"/>
      <c r="WTH15" s="55"/>
      <c r="WTI15" s="55"/>
      <c r="WTJ15" s="55"/>
      <c r="WTK15" s="55"/>
      <c r="WTL15" s="55"/>
      <c r="WTM15" s="55"/>
      <c r="WTN15" s="55"/>
      <c r="WTO15" s="55"/>
      <c r="WTP15" s="55"/>
      <c r="WTQ15" s="55"/>
      <c r="WTR15" s="55"/>
      <c r="WTS15" s="55"/>
      <c r="WTT15" s="55"/>
      <c r="WTU15" s="55"/>
      <c r="WTV15" s="55"/>
      <c r="WTW15" s="55"/>
      <c r="WTX15" s="55"/>
      <c r="WTY15" s="55"/>
      <c r="WTZ15" s="55"/>
      <c r="WUA15" s="55"/>
      <c r="WUB15" s="55"/>
      <c r="WUC15" s="55"/>
      <c r="WUD15" s="55"/>
      <c r="WUE15" s="55"/>
      <c r="WUF15" s="55"/>
      <c r="WUG15" s="55"/>
      <c r="WUH15" s="55"/>
      <c r="WUI15" s="55"/>
      <c r="WUJ15" s="55"/>
      <c r="WUK15" s="55"/>
      <c r="WUL15" s="55"/>
      <c r="WUM15" s="55"/>
      <c r="WUN15" s="55"/>
      <c r="WUO15" s="55"/>
      <c r="WUP15" s="55"/>
      <c r="WUQ15" s="55"/>
      <c r="WUR15" s="55"/>
      <c r="WUS15" s="55"/>
      <c r="WUT15" s="55"/>
      <c r="WUU15" s="55"/>
      <c r="WUV15" s="55"/>
      <c r="WUW15" s="55"/>
      <c r="WUX15" s="55"/>
      <c r="WUY15" s="55"/>
      <c r="WUZ15" s="55"/>
      <c r="WVA15" s="55"/>
      <c r="WVB15" s="55"/>
      <c r="WVC15" s="55"/>
      <c r="WVD15" s="55"/>
      <c r="WVE15" s="55"/>
      <c r="WVF15" s="55"/>
      <c r="WVG15" s="55"/>
      <c r="WVH15" s="55"/>
      <c r="WVI15" s="55"/>
      <c r="WVJ15" s="55"/>
      <c r="WVK15" s="55"/>
      <c r="WVL15" s="55"/>
      <c r="WVM15" s="55"/>
      <c r="WVN15" s="55"/>
      <c r="WVO15" s="55"/>
      <c r="WVP15" s="55"/>
      <c r="WVQ15" s="55"/>
      <c r="WVR15" s="55"/>
      <c r="WVS15" s="55"/>
    </row>
    <row r="16" spans="1:16139" ht="144" customHeight="1" x14ac:dyDescent="0.25">
      <c r="A16" s="86">
        <v>4</v>
      </c>
      <c r="B16" s="86" t="s">
        <v>90</v>
      </c>
      <c r="C16" s="51" t="s">
        <v>42</v>
      </c>
      <c r="D16" s="45" t="s">
        <v>39</v>
      </c>
      <c r="E16" s="45"/>
      <c r="F16" s="45">
        <v>1450</v>
      </c>
      <c r="G16" s="45">
        <v>2055</v>
      </c>
      <c r="H16" s="46">
        <f>F16*G16/10^6</f>
        <v>2.9797500000000001</v>
      </c>
      <c r="I16" s="45">
        <v>1</v>
      </c>
      <c r="J16" s="53">
        <v>2262000</v>
      </c>
      <c r="K16" s="47"/>
      <c r="L16" s="48">
        <f>IF(H16&lt;&gt;0,J16*H16*I16+K16*I16,IF(J16&lt;&gt;0,G16*I16*J16,I16*K16))</f>
        <v>6740194.5</v>
      </c>
      <c r="M16" s="28"/>
      <c r="N16" s="28"/>
      <c r="O16" s="28"/>
      <c r="P16" s="28"/>
      <c r="Q16" s="28"/>
      <c r="R16" s="28"/>
      <c r="S16" s="28"/>
      <c r="T16" s="28"/>
      <c r="U16" s="28"/>
      <c r="V16" s="28"/>
      <c r="W16" s="28"/>
      <c r="X16" s="28"/>
      <c r="Y16" s="28"/>
      <c r="Z16" s="28"/>
      <c r="AA16" s="28"/>
      <c r="AB16" s="28"/>
      <c r="AC16" s="28"/>
      <c r="AD16" s="28"/>
      <c r="AE16" s="28"/>
      <c r="AF16" s="28"/>
      <c r="AG16" s="28"/>
      <c r="AH16" s="28"/>
    </row>
    <row r="17" spans="1:34" s="63" customFormat="1" ht="150.75" customHeight="1" x14ac:dyDescent="0.25">
      <c r="A17" s="86">
        <v>5</v>
      </c>
      <c r="B17" s="87" t="s">
        <v>91</v>
      </c>
      <c r="C17" s="58" t="s">
        <v>53</v>
      </c>
      <c r="D17" s="59" t="s">
        <v>39</v>
      </c>
      <c r="E17" s="59" t="s">
        <v>38</v>
      </c>
      <c r="F17" s="59">
        <v>5740</v>
      </c>
      <c r="G17" s="59">
        <v>1852</v>
      </c>
      <c r="H17" s="60">
        <f t="shared" ref="H17" si="2">F17*G17/10^6</f>
        <v>10.63048</v>
      </c>
      <c r="I17" s="45">
        <v>1</v>
      </c>
      <c r="J17" s="53">
        <v>3008000</v>
      </c>
      <c r="K17" s="47">
        <v>4007000</v>
      </c>
      <c r="L17" s="61">
        <f t="shared" ref="L17" si="3">IF(H17&lt;&gt;0,J17*H17*I17+K17*I17,IF(J17&lt;&gt;0,G17*I17*J17,I17*K17))</f>
        <v>35983483.840000004</v>
      </c>
      <c r="M17" s="62"/>
      <c r="N17" s="62"/>
      <c r="O17" s="62"/>
      <c r="P17" s="62"/>
      <c r="Q17" s="62"/>
      <c r="R17" s="62"/>
      <c r="S17" s="62"/>
      <c r="T17" s="62"/>
      <c r="U17" s="62"/>
      <c r="V17" s="62"/>
      <c r="W17" s="62"/>
      <c r="X17" s="62"/>
      <c r="Y17" s="62"/>
      <c r="Z17" s="62"/>
      <c r="AA17" s="62"/>
      <c r="AB17" s="62"/>
      <c r="AC17" s="62"/>
      <c r="AD17" s="62"/>
      <c r="AE17" s="62"/>
      <c r="AF17" s="62"/>
      <c r="AG17" s="62"/>
      <c r="AH17" s="62"/>
    </row>
    <row r="18" spans="1:34" ht="156" customHeight="1" x14ac:dyDescent="0.25">
      <c r="A18" s="86">
        <v>6</v>
      </c>
      <c r="B18" s="86" t="s">
        <v>92</v>
      </c>
      <c r="C18" s="51" t="s">
        <v>40</v>
      </c>
      <c r="D18" s="45" t="s">
        <v>39</v>
      </c>
      <c r="E18" s="45" t="s">
        <v>38</v>
      </c>
      <c r="F18" s="45">
        <v>885</v>
      </c>
      <c r="G18" s="45">
        <v>2150</v>
      </c>
      <c r="H18" s="46">
        <f>F18*G18/10^6</f>
        <v>1.9027499999999999</v>
      </c>
      <c r="I18" s="45">
        <v>1</v>
      </c>
      <c r="J18" s="53">
        <v>3422000</v>
      </c>
      <c r="K18" s="47">
        <v>1819000</v>
      </c>
      <c r="L18" s="48">
        <f>IF(H18&lt;&gt;0,J18*H18*I18+K18*I18,IF(J18&lt;&gt;0,G18*I18*J18,I18*K18))</f>
        <v>8330210.5</v>
      </c>
      <c r="M18" s="28"/>
      <c r="N18" s="28"/>
      <c r="O18" s="28"/>
      <c r="P18" s="28"/>
      <c r="Q18" s="28"/>
      <c r="R18" s="28"/>
      <c r="S18" s="28"/>
      <c r="T18" s="28"/>
      <c r="U18" s="28"/>
      <c r="V18" s="28"/>
      <c r="W18" s="28"/>
      <c r="X18" s="28"/>
      <c r="Y18" s="28"/>
      <c r="Z18" s="28"/>
      <c r="AA18" s="28"/>
      <c r="AB18" s="28"/>
      <c r="AC18" s="28"/>
      <c r="AD18" s="28"/>
      <c r="AE18" s="28"/>
      <c r="AF18" s="28"/>
      <c r="AG18" s="28"/>
      <c r="AH18" s="28"/>
    </row>
    <row r="19" spans="1:34" ht="156" customHeight="1" x14ac:dyDescent="0.25">
      <c r="A19" s="86">
        <v>7</v>
      </c>
      <c r="B19" s="86" t="s">
        <v>93</v>
      </c>
      <c r="C19" s="51" t="s">
        <v>40</v>
      </c>
      <c r="D19" s="45" t="s">
        <v>39</v>
      </c>
      <c r="E19" s="45" t="s">
        <v>38</v>
      </c>
      <c r="F19" s="45">
        <v>875</v>
      </c>
      <c r="G19" s="45">
        <v>2070</v>
      </c>
      <c r="H19" s="46">
        <f>F19*G19/10^6</f>
        <v>1.81125</v>
      </c>
      <c r="I19" s="45">
        <v>1</v>
      </c>
      <c r="J19" s="53">
        <v>3457000</v>
      </c>
      <c r="K19" s="47">
        <v>1819000</v>
      </c>
      <c r="L19" s="48">
        <f>IF(H19&lt;&gt;0,J19*H19*I19+K19*I19,IF(J19&lt;&gt;0,G19*I19*J19,I19*K19))</f>
        <v>8080491.25</v>
      </c>
      <c r="M19" s="28"/>
      <c r="N19" s="28"/>
      <c r="O19" s="28"/>
      <c r="P19" s="28"/>
      <c r="Q19" s="28"/>
      <c r="R19" s="28"/>
      <c r="S19" s="28"/>
      <c r="T19" s="28"/>
      <c r="U19" s="28"/>
      <c r="V19" s="28"/>
      <c r="W19" s="28"/>
      <c r="X19" s="28"/>
      <c r="Y19" s="28"/>
      <c r="Z19" s="28"/>
      <c r="AA19" s="28"/>
      <c r="AB19" s="28"/>
      <c r="AC19" s="28"/>
      <c r="AD19" s="28"/>
      <c r="AE19" s="28"/>
      <c r="AF19" s="28"/>
      <c r="AG19" s="28"/>
      <c r="AH19" s="28"/>
    </row>
    <row r="20" spans="1:34" ht="156" customHeight="1" x14ac:dyDescent="0.25">
      <c r="A20" s="86">
        <v>8</v>
      </c>
      <c r="B20" s="86" t="s">
        <v>94</v>
      </c>
      <c r="C20" s="51" t="s">
        <v>40</v>
      </c>
      <c r="D20" s="45" t="s">
        <v>39</v>
      </c>
      <c r="E20" s="45" t="s">
        <v>38</v>
      </c>
      <c r="F20" s="45">
        <v>790</v>
      </c>
      <c r="G20" s="45">
        <v>2070</v>
      </c>
      <c r="H20" s="46">
        <f>F20*G20/10^6</f>
        <v>1.6353</v>
      </c>
      <c r="I20" s="45">
        <v>1</v>
      </c>
      <c r="J20" s="53">
        <v>3590000</v>
      </c>
      <c r="K20" s="47">
        <v>1819000</v>
      </c>
      <c r="L20" s="48">
        <f>IF(H20&lt;&gt;0,J20*H20*I20+K20*I20,IF(J20&lt;&gt;0,G20*I20*J20,I20*K20))</f>
        <v>7689727</v>
      </c>
      <c r="M20" s="28"/>
      <c r="N20" s="28"/>
      <c r="O20" s="28"/>
      <c r="P20" s="28"/>
      <c r="Q20" s="28"/>
      <c r="R20" s="28"/>
      <c r="S20" s="28"/>
      <c r="T20" s="28"/>
      <c r="U20" s="28"/>
      <c r="V20" s="28"/>
      <c r="W20" s="28"/>
      <c r="X20" s="28"/>
      <c r="Y20" s="28"/>
      <c r="Z20" s="28"/>
      <c r="AA20" s="28"/>
      <c r="AB20" s="28"/>
      <c r="AC20" s="28"/>
      <c r="AD20" s="28"/>
      <c r="AE20" s="28"/>
      <c r="AF20" s="28"/>
      <c r="AG20" s="28"/>
      <c r="AH20" s="28"/>
    </row>
    <row r="21" spans="1:34" s="3" customFormat="1" ht="138" customHeight="1" x14ac:dyDescent="0.25">
      <c r="A21" s="86">
        <v>9</v>
      </c>
      <c r="B21" s="57" t="s">
        <v>95</v>
      </c>
      <c r="C21" s="56" t="s">
        <v>41</v>
      </c>
      <c r="D21" s="45" t="s">
        <v>39</v>
      </c>
      <c r="E21" s="45" t="s">
        <v>38</v>
      </c>
      <c r="F21" s="45">
        <v>3186</v>
      </c>
      <c r="G21" s="45">
        <v>1843</v>
      </c>
      <c r="H21" s="46">
        <f t="shared" ref="H21" si="4">F21*G21/10^6</f>
        <v>5.8717980000000001</v>
      </c>
      <c r="I21" s="45">
        <v>1</v>
      </c>
      <c r="J21" s="53">
        <v>2963000</v>
      </c>
      <c r="K21" s="47">
        <v>1850000</v>
      </c>
      <c r="L21" s="48">
        <f t="shared" ref="L21" si="5">IF(H21&lt;&gt;0,J21*H21*I21+K21*I21,IF(J21&lt;&gt;0,G21*I21*J21,I21*K21))</f>
        <v>19248137.473999999</v>
      </c>
      <c r="M21" s="28"/>
      <c r="N21" s="28"/>
      <c r="O21" s="28"/>
      <c r="P21" s="28"/>
      <c r="Q21" s="28"/>
      <c r="R21" s="28"/>
      <c r="S21" s="28"/>
      <c r="T21" s="28"/>
      <c r="U21" s="28"/>
      <c r="V21" s="28"/>
      <c r="W21" s="28"/>
      <c r="X21" s="28"/>
      <c r="Y21" s="28"/>
      <c r="Z21" s="28"/>
      <c r="AA21" s="28"/>
      <c r="AB21" s="28"/>
      <c r="AC21" s="28"/>
      <c r="AD21" s="28"/>
      <c r="AE21" s="28"/>
      <c r="AF21" s="28"/>
      <c r="AG21" s="28"/>
      <c r="AH21" s="28"/>
    </row>
    <row r="22" spans="1:34" ht="144" customHeight="1" x14ac:dyDescent="0.25">
      <c r="A22" s="86">
        <v>10</v>
      </c>
      <c r="B22" s="86" t="s">
        <v>96</v>
      </c>
      <c r="C22" s="51" t="s">
        <v>42</v>
      </c>
      <c r="D22" s="45" t="s">
        <v>39</v>
      </c>
      <c r="E22" s="45"/>
      <c r="F22" s="45">
        <v>1447</v>
      </c>
      <c r="G22" s="45">
        <v>1850</v>
      </c>
      <c r="H22" s="46">
        <f>F22*G22/10^6</f>
        <v>2.6769500000000002</v>
      </c>
      <c r="I22" s="45">
        <v>1</v>
      </c>
      <c r="J22" s="53">
        <v>2284000</v>
      </c>
      <c r="K22" s="47"/>
      <c r="L22" s="48">
        <f>IF(H22&lt;&gt;0,J22*H22*I22+K22*I22,IF(J22&lt;&gt;0,G22*I22*J22,I22*K22))</f>
        <v>6114153.8000000007</v>
      </c>
      <c r="M22" s="28"/>
      <c r="N22" s="28"/>
      <c r="O22" s="28"/>
      <c r="P22" s="28"/>
      <c r="Q22" s="28"/>
      <c r="R22" s="28"/>
      <c r="S22" s="28"/>
      <c r="T22" s="28"/>
      <c r="U22" s="28"/>
      <c r="V22" s="28"/>
      <c r="W22" s="28"/>
      <c r="X22" s="28"/>
      <c r="Y22" s="28"/>
      <c r="Z22" s="28"/>
      <c r="AA22" s="28"/>
      <c r="AB22" s="28"/>
      <c r="AC22" s="28"/>
      <c r="AD22" s="28"/>
      <c r="AE22" s="28"/>
      <c r="AF22" s="28"/>
      <c r="AG22" s="28"/>
      <c r="AH22" s="28"/>
    </row>
    <row r="23" spans="1:34" ht="144" customHeight="1" x14ac:dyDescent="0.25">
      <c r="A23" s="86">
        <v>11</v>
      </c>
      <c r="B23" s="86" t="s">
        <v>97</v>
      </c>
      <c r="C23" s="51" t="s">
        <v>42</v>
      </c>
      <c r="D23" s="45" t="s">
        <v>39</v>
      </c>
      <c r="E23" s="45"/>
      <c r="F23" s="45">
        <v>1447</v>
      </c>
      <c r="G23" s="45">
        <v>1840</v>
      </c>
      <c r="H23" s="46">
        <f>F23*G23/10^6</f>
        <v>2.66248</v>
      </c>
      <c r="I23" s="45">
        <v>1</v>
      </c>
      <c r="J23" s="53">
        <v>2286000</v>
      </c>
      <c r="K23" s="47"/>
      <c r="L23" s="48">
        <f>IF(H23&lt;&gt;0,J23*H23*I23+K23*I23,IF(J23&lt;&gt;0,G23*I23*J23,I23*K23))</f>
        <v>6086429.2800000003</v>
      </c>
      <c r="M23" s="28"/>
      <c r="N23" s="28"/>
      <c r="O23" s="28"/>
      <c r="P23" s="28"/>
      <c r="Q23" s="28"/>
      <c r="R23" s="28"/>
      <c r="S23" s="28"/>
      <c r="T23" s="28"/>
      <c r="U23" s="28"/>
      <c r="V23" s="28"/>
      <c r="W23" s="28"/>
      <c r="X23" s="28"/>
      <c r="Y23" s="28"/>
      <c r="Z23" s="28"/>
      <c r="AA23" s="28"/>
      <c r="AB23" s="28"/>
      <c r="AC23" s="28"/>
      <c r="AD23" s="28"/>
      <c r="AE23" s="28"/>
      <c r="AF23" s="28"/>
      <c r="AG23" s="28"/>
      <c r="AH23" s="28"/>
    </row>
    <row r="24" spans="1:34" s="3" customFormat="1" ht="138" customHeight="1" x14ac:dyDescent="0.25">
      <c r="A24" s="86">
        <v>12</v>
      </c>
      <c r="B24" s="57" t="s">
        <v>98</v>
      </c>
      <c r="C24" s="56" t="s">
        <v>41</v>
      </c>
      <c r="D24" s="45" t="s">
        <v>39</v>
      </c>
      <c r="E24" s="45" t="s">
        <v>38</v>
      </c>
      <c r="F24" s="45">
        <v>3188</v>
      </c>
      <c r="G24" s="45">
        <v>1840</v>
      </c>
      <c r="H24" s="46">
        <f t="shared" ref="H24:H25" si="6">F24*G24/10^6</f>
        <v>5.86592</v>
      </c>
      <c r="I24" s="45">
        <v>1</v>
      </c>
      <c r="J24" s="53">
        <v>2965000</v>
      </c>
      <c r="K24" s="47">
        <v>1850000</v>
      </c>
      <c r="L24" s="48">
        <f t="shared" ref="L24:L25" si="7">IF(H24&lt;&gt;0,J24*H24*I24+K24*I24,IF(J24&lt;&gt;0,G24*I24*J24,I24*K24))</f>
        <v>19242452.800000001</v>
      </c>
      <c r="M24" s="28"/>
      <c r="N24" s="28"/>
      <c r="O24" s="28"/>
      <c r="P24" s="28"/>
      <c r="Q24" s="28"/>
      <c r="R24" s="28"/>
      <c r="S24" s="28"/>
      <c r="T24" s="28"/>
      <c r="U24" s="28"/>
      <c r="V24" s="28"/>
      <c r="W24" s="28"/>
      <c r="X24" s="28"/>
      <c r="Y24" s="28"/>
      <c r="Z24" s="28"/>
      <c r="AA24" s="28"/>
      <c r="AB24" s="28"/>
      <c r="AC24" s="28"/>
      <c r="AD24" s="28"/>
      <c r="AE24" s="28"/>
      <c r="AF24" s="28"/>
      <c r="AG24" s="28"/>
      <c r="AH24" s="28"/>
    </row>
    <row r="25" spans="1:34" s="3" customFormat="1" ht="138" customHeight="1" x14ac:dyDescent="0.25">
      <c r="A25" s="86">
        <v>13</v>
      </c>
      <c r="B25" s="57" t="s">
        <v>99</v>
      </c>
      <c r="C25" s="56" t="s">
        <v>41</v>
      </c>
      <c r="D25" s="45" t="s">
        <v>39</v>
      </c>
      <c r="E25" s="45" t="s">
        <v>38</v>
      </c>
      <c r="F25" s="45">
        <v>3206</v>
      </c>
      <c r="G25" s="45">
        <v>1837</v>
      </c>
      <c r="H25" s="46">
        <f t="shared" si="6"/>
        <v>5.8894219999999997</v>
      </c>
      <c r="I25" s="45">
        <v>1</v>
      </c>
      <c r="J25" s="53">
        <v>2963000</v>
      </c>
      <c r="K25" s="47">
        <v>1850000</v>
      </c>
      <c r="L25" s="48">
        <f t="shared" si="7"/>
        <v>19300357.386</v>
      </c>
      <c r="M25" s="28"/>
      <c r="N25" s="28"/>
      <c r="O25" s="28"/>
      <c r="P25" s="28"/>
      <c r="Q25" s="28"/>
      <c r="R25" s="28"/>
      <c r="S25" s="28"/>
      <c r="T25" s="28"/>
      <c r="U25" s="28"/>
      <c r="V25" s="28"/>
      <c r="W25" s="28"/>
      <c r="X25" s="28"/>
      <c r="Y25" s="28"/>
      <c r="Z25" s="28"/>
      <c r="AA25" s="28"/>
      <c r="AB25" s="28"/>
      <c r="AC25" s="28"/>
      <c r="AD25" s="28"/>
      <c r="AE25" s="28"/>
      <c r="AF25" s="28"/>
      <c r="AG25" s="28"/>
      <c r="AH25" s="28"/>
    </row>
    <row r="26" spans="1:34" ht="144" customHeight="1" x14ac:dyDescent="0.25">
      <c r="A26" s="86">
        <v>14</v>
      </c>
      <c r="B26" s="86" t="s">
        <v>100</v>
      </c>
      <c r="C26" s="51" t="s">
        <v>42</v>
      </c>
      <c r="D26" s="45" t="s">
        <v>39</v>
      </c>
      <c r="E26" s="45"/>
      <c r="F26" s="45">
        <v>1442</v>
      </c>
      <c r="G26" s="45">
        <v>1828</v>
      </c>
      <c r="H26" s="46">
        <f>F26*G26/10^6</f>
        <v>2.6359759999999999</v>
      </c>
      <c r="I26" s="45">
        <v>1</v>
      </c>
      <c r="J26" s="53">
        <v>2287000</v>
      </c>
      <c r="K26" s="47"/>
      <c r="L26" s="48">
        <f>IF(H26&lt;&gt;0,J26*H26*I26+K26*I26,IF(J26&lt;&gt;0,G26*I26*J26,I26*K26))</f>
        <v>6028477.1119999997</v>
      </c>
      <c r="M26" s="28"/>
      <c r="N26" s="28"/>
      <c r="O26" s="28"/>
      <c r="P26" s="28"/>
      <c r="Q26" s="28"/>
      <c r="R26" s="28"/>
      <c r="S26" s="28"/>
      <c r="T26" s="28"/>
      <c r="U26" s="28"/>
      <c r="V26" s="28"/>
      <c r="W26" s="28"/>
      <c r="X26" s="28"/>
      <c r="Y26" s="28"/>
      <c r="Z26" s="28"/>
      <c r="AA26" s="28"/>
      <c r="AB26" s="28"/>
      <c r="AC26" s="28"/>
      <c r="AD26" s="28"/>
      <c r="AE26" s="28"/>
      <c r="AF26" s="28"/>
      <c r="AG26" s="28"/>
      <c r="AH26" s="28"/>
    </row>
    <row r="27" spans="1:34" ht="144" customHeight="1" x14ac:dyDescent="0.25">
      <c r="A27" s="86">
        <v>15</v>
      </c>
      <c r="B27" s="86" t="s">
        <v>101</v>
      </c>
      <c r="C27" s="51" t="s">
        <v>42</v>
      </c>
      <c r="D27" s="45" t="s">
        <v>39</v>
      </c>
      <c r="E27" s="45"/>
      <c r="F27" s="45">
        <v>1452</v>
      </c>
      <c r="G27" s="45">
        <v>1850</v>
      </c>
      <c r="H27" s="46">
        <f>F27*G27/10^6</f>
        <v>2.6861999999999999</v>
      </c>
      <c r="I27" s="45">
        <v>1</v>
      </c>
      <c r="J27" s="53">
        <v>2284000</v>
      </c>
      <c r="K27" s="47"/>
      <c r="L27" s="48">
        <f>IF(H27&lt;&gt;0,J27*H27*I27+K27*I27,IF(J27&lt;&gt;0,G27*I27*J27,I27*K27))</f>
        <v>6135280.7999999998</v>
      </c>
      <c r="M27" s="28"/>
      <c r="N27" s="28"/>
      <c r="O27" s="28"/>
      <c r="P27" s="28"/>
      <c r="Q27" s="28"/>
      <c r="R27" s="28"/>
      <c r="S27" s="28"/>
      <c r="T27" s="28"/>
      <c r="U27" s="28"/>
      <c r="V27" s="28"/>
      <c r="W27" s="28"/>
      <c r="X27" s="28"/>
      <c r="Y27" s="28"/>
      <c r="Z27" s="28"/>
      <c r="AA27" s="28"/>
      <c r="AB27" s="28"/>
      <c r="AC27" s="28"/>
      <c r="AD27" s="28"/>
      <c r="AE27" s="28"/>
      <c r="AF27" s="28"/>
      <c r="AG27" s="28"/>
      <c r="AH27" s="28"/>
    </row>
    <row r="28" spans="1:34" s="3" customFormat="1" ht="138" customHeight="1" x14ac:dyDescent="0.25">
      <c r="A28" s="86">
        <v>16</v>
      </c>
      <c r="B28" s="57" t="s">
        <v>102</v>
      </c>
      <c r="C28" s="56" t="s">
        <v>41</v>
      </c>
      <c r="D28" s="45" t="s">
        <v>39</v>
      </c>
      <c r="E28" s="45" t="s">
        <v>38</v>
      </c>
      <c r="F28" s="45">
        <v>2923</v>
      </c>
      <c r="G28" s="45">
        <v>1852</v>
      </c>
      <c r="H28" s="46">
        <f t="shared" ref="H28:H29" si="8">F28*G28/10^6</f>
        <v>5.4133959999999997</v>
      </c>
      <c r="I28" s="45">
        <v>1</v>
      </c>
      <c r="J28" s="53">
        <v>3007000</v>
      </c>
      <c r="K28" s="47">
        <v>1850000</v>
      </c>
      <c r="L28" s="48">
        <f t="shared" ref="L28:L29" si="9">IF(H28&lt;&gt;0,J28*H28*I28+K28*I28,IF(J28&lt;&gt;0,G28*I28*J28,I28*K28))</f>
        <v>18128081.772</v>
      </c>
      <c r="M28" s="28"/>
      <c r="N28" s="28"/>
      <c r="O28" s="28"/>
      <c r="P28" s="28"/>
      <c r="Q28" s="28"/>
      <c r="R28" s="28"/>
      <c r="S28" s="28"/>
      <c r="T28" s="28"/>
      <c r="U28" s="28"/>
      <c r="V28" s="28"/>
      <c r="W28" s="28"/>
      <c r="X28" s="28"/>
      <c r="Y28" s="28"/>
      <c r="Z28" s="28"/>
      <c r="AA28" s="28"/>
      <c r="AB28" s="28"/>
      <c r="AC28" s="28"/>
      <c r="AD28" s="28"/>
      <c r="AE28" s="28"/>
      <c r="AF28" s="28"/>
      <c r="AG28" s="28"/>
      <c r="AH28" s="28"/>
    </row>
    <row r="29" spans="1:34" s="3" customFormat="1" ht="138" customHeight="1" x14ac:dyDescent="0.25">
      <c r="A29" s="86">
        <v>17</v>
      </c>
      <c r="B29" s="57" t="s">
        <v>103</v>
      </c>
      <c r="C29" s="56" t="s">
        <v>41</v>
      </c>
      <c r="D29" s="45" t="s">
        <v>39</v>
      </c>
      <c r="E29" s="45" t="s">
        <v>38</v>
      </c>
      <c r="F29" s="45">
        <v>2928</v>
      </c>
      <c r="G29" s="45">
        <v>1850</v>
      </c>
      <c r="H29" s="46">
        <f t="shared" si="8"/>
        <v>5.4168000000000003</v>
      </c>
      <c r="I29" s="45">
        <v>1</v>
      </c>
      <c r="J29" s="53">
        <v>3007000</v>
      </c>
      <c r="K29" s="47">
        <v>1850000</v>
      </c>
      <c r="L29" s="48">
        <f t="shared" si="9"/>
        <v>18138317.600000001</v>
      </c>
      <c r="M29" s="28"/>
      <c r="N29" s="28"/>
      <c r="O29" s="28"/>
      <c r="P29" s="28"/>
      <c r="Q29" s="28"/>
      <c r="R29" s="28"/>
      <c r="S29" s="28"/>
      <c r="T29" s="28"/>
      <c r="U29" s="28"/>
      <c r="V29" s="28"/>
      <c r="W29" s="28"/>
      <c r="X29" s="28"/>
      <c r="Y29" s="28"/>
      <c r="Z29" s="28"/>
      <c r="AA29" s="28"/>
      <c r="AB29" s="28"/>
      <c r="AC29" s="28"/>
      <c r="AD29" s="28"/>
      <c r="AE29" s="28"/>
      <c r="AF29" s="28"/>
      <c r="AG29" s="28"/>
      <c r="AH29" s="28"/>
    </row>
    <row r="30" spans="1:34" ht="144" customHeight="1" x14ac:dyDescent="0.25">
      <c r="A30" s="86">
        <v>18</v>
      </c>
      <c r="B30" s="86" t="s">
        <v>104</v>
      </c>
      <c r="C30" s="51" t="s">
        <v>42</v>
      </c>
      <c r="D30" s="45" t="s">
        <v>39</v>
      </c>
      <c r="E30" s="45"/>
      <c r="F30" s="45">
        <v>1440</v>
      </c>
      <c r="G30" s="45">
        <v>1836</v>
      </c>
      <c r="H30" s="46">
        <f>F30*G30/10^6</f>
        <v>2.64384</v>
      </c>
      <c r="I30" s="45">
        <v>1</v>
      </c>
      <c r="J30" s="53">
        <v>2287000</v>
      </c>
      <c r="K30" s="47"/>
      <c r="L30" s="48">
        <f>IF(H30&lt;&gt;0,J30*H30*I30+K30*I30,IF(J30&lt;&gt;0,G30*I30*J30,I30*K30))</f>
        <v>6046462.0800000001</v>
      </c>
      <c r="M30" s="28"/>
      <c r="N30" s="28"/>
      <c r="O30" s="28"/>
      <c r="P30" s="28"/>
      <c r="Q30" s="28"/>
      <c r="R30" s="28"/>
      <c r="S30" s="28"/>
      <c r="T30" s="28"/>
      <c r="U30" s="28"/>
      <c r="V30" s="28"/>
      <c r="W30" s="28"/>
      <c r="X30" s="28"/>
      <c r="Y30" s="28"/>
      <c r="Z30" s="28"/>
      <c r="AA30" s="28"/>
      <c r="AB30" s="28"/>
      <c r="AC30" s="28"/>
      <c r="AD30" s="28"/>
      <c r="AE30" s="28"/>
      <c r="AF30" s="28"/>
      <c r="AG30" s="28"/>
      <c r="AH30" s="28"/>
    </row>
    <row r="31" spans="1:34" ht="144" customHeight="1" x14ac:dyDescent="0.25">
      <c r="A31" s="86">
        <v>19</v>
      </c>
      <c r="B31" s="86" t="s">
        <v>105</v>
      </c>
      <c r="C31" s="51" t="s">
        <v>42</v>
      </c>
      <c r="D31" s="45" t="s">
        <v>39</v>
      </c>
      <c r="E31" s="45"/>
      <c r="F31" s="45">
        <v>1445</v>
      </c>
      <c r="G31" s="45">
        <v>1848</v>
      </c>
      <c r="H31" s="46">
        <f>F31*G31/10^6</f>
        <v>2.6703600000000001</v>
      </c>
      <c r="I31" s="45">
        <v>1</v>
      </c>
      <c r="J31" s="53">
        <v>2286000</v>
      </c>
      <c r="K31" s="47"/>
      <c r="L31" s="48">
        <f>IF(H31&lt;&gt;0,J31*H31*I31+K31*I31,IF(J31&lt;&gt;0,G31*I31*J31,I31*K31))</f>
        <v>6104442.96</v>
      </c>
      <c r="M31" s="28"/>
      <c r="N31" s="28"/>
      <c r="O31" s="28"/>
      <c r="P31" s="28"/>
      <c r="Q31" s="28"/>
      <c r="R31" s="28"/>
      <c r="S31" s="28"/>
      <c r="T31" s="28"/>
      <c r="U31" s="28"/>
      <c r="V31" s="28"/>
      <c r="W31" s="28"/>
      <c r="X31" s="28"/>
      <c r="Y31" s="28"/>
      <c r="Z31" s="28"/>
      <c r="AA31" s="28"/>
      <c r="AB31" s="28"/>
      <c r="AC31" s="28"/>
      <c r="AD31" s="28"/>
      <c r="AE31" s="28"/>
      <c r="AF31" s="28"/>
      <c r="AG31" s="28"/>
      <c r="AH31" s="28"/>
    </row>
    <row r="32" spans="1:34" s="3" customFormat="1" ht="138" customHeight="1" x14ac:dyDescent="0.25">
      <c r="A32" s="86">
        <v>20</v>
      </c>
      <c r="B32" s="57" t="s">
        <v>106</v>
      </c>
      <c r="C32" s="56" t="s">
        <v>41</v>
      </c>
      <c r="D32" s="45" t="s">
        <v>39</v>
      </c>
      <c r="E32" s="45" t="s">
        <v>38</v>
      </c>
      <c r="F32" s="45">
        <v>2927</v>
      </c>
      <c r="G32" s="45">
        <v>1847</v>
      </c>
      <c r="H32" s="46">
        <f t="shared" ref="H32:H33" si="10">F32*G32/10^6</f>
        <v>5.4061690000000002</v>
      </c>
      <c r="I32" s="45">
        <v>1</v>
      </c>
      <c r="J32" s="53">
        <v>3008000</v>
      </c>
      <c r="K32" s="47">
        <v>1850000</v>
      </c>
      <c r="L32" s="48">
        <f t="shared" ref="L32:L33" si="11">IF(H32&lt;&gt;0,J32*H32*I32+K32*I32,IF(J32&lt;&gt;0,G32*I32*J32,I32*K32))</f>
        <v>18111756.351999998</v>
      </c>
      <c r="M32" s="28"/>
      <c r="N32" s="28"/>
      <c r="O32" s="28"/>
      <c r="P32" s="28"/>
      <c r="Q32" s="28"/>
      <c r="R32" s="28"/>
      <c r="S32" s="28"/>
      <c r="T32" s="28"/>
      <c r="U32" s="28"/>
      <c r="V32" s="28"/>
      <c r="W32" s="28"/>
      <c r="X32" s="28"/>
      <c r="Y32" s="28"/>
      <c r="Z32" s="28"/>
      <c r="AA32" s="28"/>
      <c r="AB32" s="28"/>
      <c r="AC32" s="28"/>
      <c r="AD32" s="28"/>
      <c r="AE32" s="28"/>
      <c r="AF32" s="28"/>
      <c r="AG32" s="28"/>
      <c r="AH32" s="28"/>
    </row>
    <row r="33" spans="1:34" s="3" customFormat="1" ht="138" customHeight="1" x14ac:dyDescent="0.25">
      <c r="A33" s="86">
        <v>21</v>
      </c>
      <c r="B33" s="57" t="s">
        <v>107</v>
      </c>
      <c r="C33" s="56" t="s">
        <v>41</v>
      </c>
      <c r="D33" s="45" t="s">
        <v>39</v>
      </c>
      <c r="E33" s="45" t="s">
        <v>38</v>
      </c>
      <c r="F33" s="45">
        <v>2932</v>
      </c>
      <c r="G33" s="45">
        <v>1852</v>
      </c>
      <c r="H33" s="46">
        <f t="shared" si="10"/>
        <v>5.4300639999999998</v>
      </c>
      <c r="I33" s="45">
        <v>1</v>
      </c>
      <c r="J33" s="53">
        <v>3005000</v>
      </c>
      <c r="K33" s="47">
        <v>1850000</v>
      </c>
      <c r="L33" s="48">
        <f t="shared" si="11"/>
        <v>18167342.32</v>
      </c>
      <c r="M33" s="28"/>
      <c r="N33" s="28"/>
      <c r="O33" s="28"/>
      <c r="P33" s="28"/>
      <c r="Q33" s="28"/>
      <c r="R33" s="28"/>
      <c r="S33" s="28"/>
      <c r="T33" s="28"/>
      <c r="U33" s="28"/>
      <c r="V33" s="28"/>
      <c r="W33" s="28"/>
      <c r="X33" s="28"/>
      <c r="Y33" s="28"/>
      <c r="Z33" s="28"/>
      <c r="AA33" s="28"/>
      <c r="AB33" s="28"/>
      <c r="AC33" s="28"/>
      <c r="AD33" s="28"/>
      <c r="AE33" s="28"/>
      <c r="AF33" s="28"/>
      <c r="AG33" s="28"/>
      <c r="AH33" s="28"/>
    </row>
    <row r="34" spans="1:34" ht="144" customHeight="1" x14ac:dyDescent="0.25">
      <c r="A34" s="86">
        <v>22</v>
      </c>
      <c r="B34" s="86" t="s">
        <v>108</v>
      </c>
      <c r="C34" s="51" t="s">
        <v>42</v>
      </c>
      <c r="D34" s="45" t="s">
        <v>39</v>
      </c>
      <c r="E34" s="45"/>
      <c r="F34" s="45">
        <v>1450</v>
      </c>
      <c r="G34" s="45">
        <v>1850</v>
      </c>
      <c r="H34" s="46">
        <f>F34*G34/10^6</f>
        <v>2.6825000000000001</v>
      </c>
      <c r="I34" s="45">
        <v>1</v>
      </c>
      <c r="J34" s="53">
        <v>2284000</v>
      </c>
      <c r="K34" s="47"/>
      <c r="L34" s="48">
        <f>IF(H34&lt;&gt;0,J34*H34*I34+K34*I34,IF(J34&lt;&gt;0,G34*I34*J34,I34*K34))</f>
        <v>6126830</v>
      </c>
      <c r="M34" s="28"/>
      <c r="N34" s="28"/>
      <c r="O34" s="28"/>
      <c r="P34" s="28"/>
      <c r="Q34" s="28"/>
      <c r="R34" s="28"/>
      <c r="S34" s="28"/>
      <c r="T34" s="28"/>
      <c r="U34" s="28"/>
      <c r="V34" s="28"/>
      <c r="W34" s="28"/>
      <c r="X34" s="28"/>
      <c r="Y34" s="28"/>
      <c r="Z34" s="28"/>
      <c r="AA34" s="28"/>
      <c r="AB34" s="28"/>
      <c r="AC34" s="28"/>
      <c r="AD34" s="28"/>
      <c r="AE34" s="28"/>
      <c r="AF34" s="28"/>
      <c r="AG34" s="28"/>
      <c r="AH34" s="28"/>
    </row>
    <row r="35" spans="1:34" ht="156" customHeight="1" x14ac:dyDescent="0.25">
      <c r="A35" s="86">
        <v>23</v>
      </c>
      <c r="B35" s="86" t="s">
        <v>109</v>
      </c>
      <c r="C35" s="51" t="s">
        <v>40</v>
      </c>
      <c r="D35" s="45" t="s">
        <v>39</v>
      </c>
      <c r="E35" s="45" t="s">
        <v>38</v>
      </c>
      <c r="F35" s="45">
        <v>890</v>
      </c>
      <c r="G35" s="45">
        <v>1890</v>
      </c>
      <c r="H35" s="46">
        <f>F35*G35/10^6</f>
        <v>1.6820999999999999</v>
      </c>
      <c r="I35" s="45">
        <v>1</v>
      </c>
      <c r="J35" s="53">
        <v>3483000</v>
      </c>
      <c r="K35" s="47">
        <v>1819000</v>
      </c>
      <c r="L35" s="48">
        <f>IF(H35&lt;&gt;0,J35*H35*I35+K35*I35,IF(J35&lt;&gt;0,G35*I35*J35,I35*K35))</f>
        <v>7677754.2999999998</v>
      </c>
      <c r="M35" s="28"/>
      <c r="N35" s="28"/>
      <c r="O35" s="28"/>
      <c r="P35" s="28"/>
      <c r="Q35" s="28"/>
      <c r="R35" s="28"/>
      <c r="S35" s="28"/>
      <c r="T35" s="28"/>
      <c r="U35" s="28"/>
      <c r="V35" s="28"/>
      <c r="W35" s="28"/>
      <c r="X35" s="28"/>
      <c r="Y35" s="28"/>
      <c r="Z35" s="28"/>
      <c r="AA35" s="28"/>
      <c r="AB35" s="28"/>
      <c r="AC35" s="28"/>
      <c r="AD35" s="28"/>
      <c r="AE35" s="28"/>
      <c r="AF35" s="28"/>
      <c r="AG35" s="28"/>
      <c r="AH35" s="28"/>
    </row>
    <row r="36" spans="1:34" ht="144" customHeight="1" x14ac:dyDescent="0.25">
      <c r="A36" s="86">
        <v>24</v>
      </c>
      <c r="B36" s="86" t="s">
        <v>110</v>
      </c>
      <c r="C36" s="51" t="s">
        <v>42</v>
      </c>
      <c r="D36" s="45" t="s">
        <v>39</v>
      </c>
      <c r="E36" s="45"/>
      <c r="F36" s="45">
        <v>1440</v>
      </c>
      <c r="G36" s="45">
        <v>1840</v>
      </c>
      <c r="H36" s="46">
        <f>F36*G36/10^6</f>
        <v>2.6496</v>
      </c>
      <c r="I36" s="45">
        <v>1</v>
      </c>
      <c r="J36" s="53">
        <v>2287000</v>
      </c>
      <c r="K36" s="47"/>
      <c r="L36" s="48">
        <f>IF(H36&lt;&gt;0,J36*H36*I36+K36*I36,IF(J36&lt;&gt;0,G36*I36*J36,I36*K36))</f>
        <v>6059635.2000000002</v>
      </c>
      <c r="M36" s="28"/>
      <c r="N36" s="28"/>
      <c r="O36" s="28"/>
      <c r="P36" s="28"/>
      <c r="Q36" s="28"/>
      <c r="R36" s="28"/>
      <c r="S36" s="28"/>
      <c r="T36" s="28"/>
      <c r="U36" s="28"/>
      <c r="V36" s="28"/>
      <c r="W36" s="28"/>
      <c r="X36" s="28"/>
      <c r="Y36" s="28"/>
      <c r="Z36" s="28"/>
      <c r="AA36" s="28"/>
      <c r="AB36" s="28"/>
      <c r="AC36" s="28"/>
      <c r="AD36" s="28"/>
      <c r="AE36" s="28"/>
      <c r="AF36" s="28"/>
      <c r="AG36" s="28"/>
      <c r="AH36" s="28"/>
    </row>
    <row r="37" spans="1:34" s="3" customFormat="1" ht="138" customHeight="1" x14ac:dyDescent="0.25">
      <c r="A37" s="86">
        <v>25</v>
      </c>
      <c r="B37" s="57" t="s">
        <v>111</v>
      </c>
      <c r="C37" s="56" t="s">
        <v>41</v>
      </c>
      <c r="D37" s="45" t="s">
        <v>39</v>
      </c>
      <c r="E37" s="45" t="s">
        <v>38</v>
      </c>
      <c r="F37" s="45">
        <v>3205</v>
      </c>
      <c r="G37" s="45">
        <v>1848</v>
      </c>
      <c r="H37" s="46">
        <f t="shared" ref="H37:H38" si="12">F37*G37/10^6</f>
        <v>5.9228399999999999</v>
      </c>
      <c r="I37" s="45">
        <v>1</v>
      </c>
      <c r="J37" s="53">
        <v>2959000</v>
      </c>
      <c r="K37" s="47">
        <v>1850000</v>
      </c>
      <c r="L37" s="48">
        <f t="shared" ref="L37:L38" si="13">IF(H37&lt;&gt;0,J37*H37*I37+K37*I37,IF(J37&lt;&gt;0,G37*I37*J37,I37*K37))</f>
        <v>19375683.559999999</v>
      </c>
      <c r="M37" s="28"/>
      <c r="N37" s="28"/>
      <c r="O37" s="28"/>
      <c r="P37" s="28"/>
      <c r="Q37" s="28"/>
      <c r="R37" s="28"/>
      <c r="S37" s="28"/>
      <c r="T37" s="28"/>
      <c r="U37" s="28"/>
      <c r="V37" s="28"/>
      <c r="W37" s="28"/>
      <c r="X37" s="28"/>
      <c r="Y37" s="28"/>
      <c r="Z37" s="28"/>
      <c r="AA37" s="28"/>
      <c r="AB37" s="28"/>
      <c r="AC37" s="28"/>
      <c r="AD37" s="28"/>
      <c r="AE37" s="28"/>
      <c r="AF37" s="28"/>
      <c r="AG37" s="28"/>
      <c r="AH37" s="28"/>
    </row>
    <row r="38" spans="1:34" s="3" customFormat="1" ht="138" customHeight="1" x14ac:dyDescent="0.25">
      <c r="A38" s="86">
        <v>26</v>
      </c>
      <c r="B38" s="57" t="s">
        <v>112</v>
      </c>
      <c r="C38" s="56" t="s">
        <v>41</v>
      </c>
      <c r="D38" s="45" t="s">
        <v>39</v>
      </c>
      <c r="E38" s="45" t="s">
        <v>38</v>
      </c>
      <c r="F38" s="45">
        <v>3170</v>
      </c>
      <c r="G38" s="45">
        <v>1850</v>
      </c>
      <c r="H38" s="46">
        <f t="shared" si="12"/>
        <v>5.8644999999999996</v>
      </c>
      <c r="I38" s="45">
        <v>1</v>
      </c>
      <c r="J38" s="53">
        <v>2965000</v>
      </c>
      <c r="K38" s="47">
        <v>1850000</v>
      </c>
      <c r="L38" s="48">
        <f t="shared" si="13"/>
        <v>19238242.5</v>
      </c>
      <c r="M38" s="28"/>
      <c r="N38" s="28"/>
      <c r="O38" s="28"/>
      <c r="P38" s="28"/>
      <c r="Q38" s="28"/>
      <c r="R38" s="28"/>
      <c r="S38" s="28"/>
      <c r="T38" s="28"/>
      <c r="U38" s="28"/>
      <c r="V38" s="28"/>
      <c r="W38" s="28"/>
      <c r="X38" s="28"/>
      <c r="Y38" s="28"/>
      <c r="Z38" s="28"/>
      <c r="AA38" s="28"/>
      <c r="AB38" s="28"/>
      <c r="AC38" s="28"/>
      <c r="AD38" s="28"/>
      <c r="AE38" s="28"/>
      <c r="AF38" s="28"/>
      <c r="AG38" s="28"/>
      <c r="AH38" s="28"/>
    </row>
    <row r="39" spans="1:34" ht="144" customHeight="1" x14ac:dyDescent="0.25">
      <c r="A39" s="86">
        <v>27</v>
      </c>
      <c r="B39" s="86" t="s">
        <v>113</v>
      </c>
      <c r="C39" s="51" t="s">
        <v>42</v>
      </c>
      <c r="D39" s="45" t="s">
        <v>39</v>
      </c>
      <c r="E39" s="45"/>
      <c r="F39" s="45">
        <v>1438</v>
      </c>
      <c r="G39" s="45">
        <v>1850</v>
      </c>
      <c r="H39" s="46">
        <f>F39*G39/10^6</f>
        <v>2.6602999999999999</v>
      </c>
      <c r="I39" s="45">
        <v>1</v>
      </c>
      <c r="J39" s="53">
        <v>2286000</v>
      </c>
      <c r="K39" s="47"/>
      <c r="L39" s="48">
        <f>IF(H39&lt;&gt;0,J39*H39*I39+K39*I39,IF(J39&lt;&gt;0,G39*I39*J39,I39*K39))</f>
        <v>6081445.7999999998</v>
      </c>
      <c r="M39" s="28"/>
      <c r="N39" s="28"/>
      <c r="O39" s="28"/>
      <c r="P39" s="28"/>
      <c r="Q39" s="28"/>
      <c r="R39" s="28"/>
      <c r="S39" s="28"/>
      <c r="T39" s="28"/>
      <c r="U39" s="28"/>
      <c r="V39" s="28"/>
      <c r="W39" s="28"/>
      <c r="X39" s="28"/>
      <c r="Y39" s="28"/>
      <c r="Z39" s="28"/>
      <c r="AA39" s="28"/>
      <c r="AB39" s="28"/>
      <c r="AC39" s="28"/>
      <c r="AD39" s="28"/>
      <c r="AE39" s="28"/>
      <c r="AF39" s="28"/>
      <c r="AG39" s="28"/>
      <c r="AH39" s="28"/>
    </row>
    <row r="40" spans="1:34" ht="144" customHeight="1" x14ac:dyDescent="0.25">
      <c r="A40" s="86">
        <v>28</v>
      </c>
      <c r="B40" s="86" t="s">
        <v>114</v>
      </c>
      <c r="C40" s="51" t="s">
        <v>42</v>
      </c>
      <c r="D40" s="45" t="s">
        <v>39</v>
      </c>
      <c r="E40" s="45"/>
      <c r="F40" s="45">
        <v>1446</v>
      </c>
      <c r="G40" s="45">
        <v>1842</v>
      </c>
      <c r="H40" s="46">
        <f>F40*G40/10^6</f>
        <v>2.663532</v>
      </c>
      <c r="I40" s="45">
        <v>1</v>
      </c>
      <c r="J40" s="53">
        <v>2286000</v>
      </c>
      <c r="K40" s="47"/>
      <c r="L40" s="48">
        <f>IF(H40&lt;&gt;0,J40*H40*I40+K40*I40,IF(J40&lt;&gt;0,G40*I40*J40,I40*K40))</f>
        <v>6088834.1519999998</v>
      </c>
      <c r="M40" s="28"/>
      <c r="N40" s="28"/>
      <c r="O40" s="28"/>
      <c r="P40" s="28"/>
      <c r="Q40" s="28"/>
      <c r="R40" s="28"/>
      <c r="S40" s="28"/>
      <c r="T40" s="28"/>
      <c r="U40" s="28"/>
      <c r="V40" s="28"/>
      <c r="W40" s="28"/>
      <c r="X40" s="28"/>
      <c r="Y40" s="28"/>
      <c r="Z40" s="28"/>
      <c r="AA40" s="28"/>
      <c r="AB40" s="28"/>
      <c r="AC40" s="28"/>
      <c r="AD40" s="28"/>
      <c r="AE40" s="28"/>
      <c r="AF40" s="28"/>
      <c r="AG40" s="28"/>
      <c r="AH40" s="28"/>
    </row>
    <row r="41" spans="1:34" s="3" customFormat="1" ht="138" customHeight="1" x14ac:dyDescent="0.25">
      <c r="A41" s="86">
        <v>29</v>
      </c>
      <c r="B41" s="57" t="s">
        <v>115</v>
      </c>
      <c r="C41" s="56" t="s">
        <v>41</v>
      </c>
      <c r="D41" s="45" t="s">
        <v>39</v>
      </c>
      <c r="E41" s="45" t="s">
        <v>38</v>
      </c>
      <c r="F41" s="45">
        <v>3205</v>
      </c>
      <c r="G41" s="45">
        <v>1843</v>
      </c>
      <c r="H41" s="46">
        <f t="shared" ref="H41:H43" si="14">F41*G41/10^6</f>
        <v>5.9068149999999999</v>
      </c>
      <c r="I41" s="45">
        <v>1</v>
      </c>
      <c r="J41" s="53">
        <v>2962000</v>
      </c>
      <c r="K41" s="47">
        <v>1850000</v>
      </c>
      <c r="L41" s="48">
        <f t="shared" ref="L41:L43" si="15">IF(H41&lt;&gt;0,J41*H41*I41+K41*I41,IF(J41&lt;&gt;0,G41*I41*J41,I41*K41))</f>
        <v>19345986.030000001</v>
      </c>
      <c r="M41" s="28"/>
      <c r="N41" s="28"/>
      <c r="O41" s="28"/>
      <c r="P41" s="28"/>
      <c r="Q41" s="28"/>
      <c r="R41" s="28"/>
      <c r="S41" s="28"/>
      <c r="T41" s="28"/>
      <c r="U41" s="28"/>
      <c r="V41" s="28"/>
      <c r="W41" s="28"/>
      <c r="X41" s="28"/>
      <c r="Y41" s="28"/>
      <c r="Z41" s="28"/>
      <c r="AA41" s="28"/>
      <c r="AB41" s="28"/>
      <c r="AC41" s="28"/>
      <c r="AD41" s="28"/>
      <c r="AE41" s="28"/>
      <c r="AF41" s="28"/>
      <c r="AG41" s="28"/>
      <c r="AH41" s="28"/>
    </row>
    <row r="42" spans="1:34" s="63" customFormat="1" ht="150.75" customHeight="1" x14ac:dyDescent="0.25">
      <c r="A42" s="86">
        <v>30</v>
      </c>
      <c r="B42" s="57" t="s">
        <v>116</v>
      </c>
      <c r="C42" s="58" t="s">
        <v>53</v>
      </c>
      <c r="D42" s="59" t="s">
        <v>39</v>
      </c>
      <c r="E42" s="59" t="s">
        <v>38</v>
      </c>
      <c r="F42" s="59">
        <v>4053</v>
      </c>
      <c r="G42" s="59">
        <v>1845</v>
      </c>
      <c r="H42" s="60">
        <f t="shared" si="14"/>
        <v>7.4777849999999999</v>
      </c>
      <c r="I42" s="45">
        <v>1</v>
      </c>
      <c r="J42" s="53">
        <v>3235000</v>
      </c>
      <c r="K42" s="47">
        <v>4007000</v>
      </c>
      <c r="L42" s="61">
        <f t="shared" si="15"/>
        <v>28197634.475000001</v>
      </c>
      <c r="M42" s="62"/>
      <c r="N42" s="62"/>
      <c r="O42" s="62"/>
      <c r="P42" s="62"/>
      <c r="Q42" s="62"/>
      <c r="R42" s="62"/>
      <c r="S42" s="62"/>
      <c r="T42" s="62"/>
      <c r="U42" s="62"/>
      <c r="V42" s="62"/>
      <c r="W42" s="62"/>
      <c r="X42" s="62"/>
      <c r="Y42" s="62"/>
      <c r="Z42" s="62"/>
      <c r="AA42" s="62"/>
      <c r="AB42" s="62"/>
      <c r="AC42" s="62"/>
      <c r="AD42" s="62"/>
      <c r="AE42" s="62"/>
      <c r="AF42" s="62"/>
      <c r="AG42" s="62"/>
      <c r="AH42" s="62"/>
    </row>
    <row r="43" spans="1:34" s="63" customFormat="1" ht="150.75" customHeight="1" x14ac:dyDescent="0.25">
      <c r="A43" s="86">
        <v>31</v>
      </c>
      <c r="B43" s="57" t="s">
        <v>117</v>
      </c>
      <c r="C43" s="58" t="s">
        <v>53</v>
      </c>
      <c r="D43" s="59" t="s">
        <v>39</v>
      </c>
      <c r="E43" s="59" t="s">
        <v>38</v>
      </c>
      <c r="F43" s="59">
        <v>5744</v>
      </c>
      <c r="G43" s="59">
        <v>1852</v>
      </c>
      <c r="H43" s="60">
        <f t="shared" si="14"/>
        <v>10.637888</v>
      </c>
      <c r="I43" s="45">
        <v>1</v>
      </c>
      <c r="J43" s="53">
        <v>3008000</v>
      </c>
      <c r="K43" s="47">
        <v>4007000</v>
      </c>
      <c r="L43" s="61">
        <f t="shared" si="15"/>
        <v>36005767.104000002</v>
      </c>
      <c r="M43" s="62"/>
      <c r="N43" s="62"/>
      <c r="O43" s="62"/>
      <c r="P43" s="62"/>
      <c r="Q43" s="62"/>
      <c r="R43" s="62"/>
      <c r="S43" s="62"/>
      <c r="T43" s="62"/>
      <c r="U43" s="62"/>
      <c r="V43" s="62"/>
      <c r="W43" s="62"/>
      <c r="X43" s="62"/>
      <c r="Y43" s="62"/>
      <c r="Z43" s="62"/>
      <c r="AA43" s="62"/>
      <c r="AB43" s="62"/>
      <c r="AC43" s="62"/>
      <c r="AD43" s="62"/>
      <c r="AE43" s="62"/>
      <c r="AF43" s="62"/>
      <c r="AG43" s="62"/>
      <c r="AH43" s="62"/>
    </row>
    <row r="44" spans="1:34" ht="156" customHeight="1" x14ac:dyDescent="0.25">
      <c r="A44" s="86">
        <v>32</v>
      </c>
      <c r="B44" s="86" t="s">
        <v>118</v>
      </c>
      <c r="C44" s="51" t="s">
        <v>40</v>
      </c>
      <c r="D44" s="45" t="s">
        <v>39</v>
      </c>
      <c r="E44" s="45" t="s">
        <v>38</v>
      </c>
      <c r="F44" s="45">
        <v>858</v>
      </c>
      <c r="G44" s="45">
        <v>1856</v>
      </c>
      <c r="H44" s="46">
        <f>F44*G44/10^6</f>
        <v>1.5924480000000001</v>
      </c>
      <c r="I44" s="45">
        <v>1</v>
      </c>
      <c r="J44" s="53">
        <v>3539000</v>
      </c>
      <c r="K44" s="47">
        <v>1819000</v>
      </c>
      <c r="L44" s="48">
        <f>IF(H44&lt;&gt;0,J44*H44*I44+K44*I44,IF(J44&lt;&gt;0,G44*I44*J44,I44*K44))</f>
        <v>7454673.4720000001</v>
      </c>
      <c r="M44" s="28"/>
      <c r="N44" s="28"/>
      <c r="O44" s="28"/>
      <c r="P44" s="28"/>
      <c r="Q44" s="28"/>
      <c r="R44" s="28"/>
      <c r="S44" s="28"/>
      <c r="T44" s="28"/>
      <c r="U44" s="28"/>
      <c r="V44" s="28"/>
      <c r="W44" s="28"/>
      <c r="X44" s="28"/>
      <c r="Y44" s="28"/>
      <c r="Z44" s="28"/>
      <c r="AA44" s="28"/>
      <c r="AB44" s="28"/>
      <c r="AC44" s="28"/>
      <c r="AD44" s="28"/>
      <c r="AE44" s="28"/>
      <c r="AF44" s="28"/>
      <c r="AG44" s="28"/>
      <c r="AH44" s="28"/>
    </row>
    <row r="45" spans="1:34" ht="156" customHeight="1" x14ac:dyDescent="0.25">
      <c r="A45" s="86">
        <v>33</v>
      </c>
      <c r="B45" s="86" t="s">
        <v>119</v>
      </c>
      <c r="C45" s="51" t="s">
        <v>40</v>
      </c>
      <c r="D45" s="45" t="s">
        <v>39</v>
      </c>
      <c r="E45" s="45" t="s">
        <v>38</v>
      </c>
      <c r="F45" s="45">
        <v>850</v>
      </c>
      <c r="G45" s="45">
        <v>2085</v>
      </c>
      <c r="H45" s="46">
        <f>F45*G45/10^6</f>
        <v>1.7722500000000001</v>
      </c>
      <c r="I45" s="45">
        <v>1</v>
      </c>
      <c r="J45" s="53">
        <v>3489000</v>
      </c>
      <c r="K45" s="47">
        <v>1819000</v>
      </c>
      <c r="L45" s="48">
        <f>IF(H45&lt;&gt;0,J45*H45*I45+K45*I45,IF(J45&lt;&gt;0,G45*I45*J45,I45*K45))</f>
        <v>8002380.25</v>
      </c>
      <c r="M45" s="28"/>
      <c r="N45" s="28"/>
      <c r="O45" s="28"/>
      <c r="P45" s="28"/>
      <c r="Q45" s="28"/>
      <c r="R45" s="28"/>
      <c r="S45" s="28"/>
      <c r="T45" s="28"/>
      <c r="U45" s="28"/>
      <c r="V45" s="28"/>
      <c r="W45" s="28"/>
      <c r="X45" s="28"/>
      <c r="Y45" s="28"/>
      <c r="Z45" s="28"/>
      <c r="AA45" s="28"/>
      <c r="AB45" s="28"/>
      <c r="AC45" s="28"/>
      <c r="AD45" s="28"/>
      <c r="AE45" s="28"/>
      <c r="AF45" s="28"/>
      <c r="AG45" s="28"/>
      <c r="AH45" s="28"/>
    </row>
    <row r="46" spans="1:34" ht="156" customHeight="1" x14ac:dyDescent="0.25">
      <c r="A46" s="86">
        <v>34</v>
      </c>
      <c r="B46" s="86" t="s">
        <v>120</v>
      </c>
      <c r="C46" s="51" t="s">
        <v>40</v>
      </c>
      <c r="D46" s="45" t="s">
        <v>39</v>
      </c>
      <c r="E46" s="45" t="s">
        <v>38</v>
      </c>
      <c r="F46" s="45">
        <v>1000</v>
      </c>
      <c r="G46" s="45">
        <v>2000</v>
      </c>
      <c r="H46" s="46">
        <f>F46*G46/10^6</f>
        <v>2</v>
      </c>
      <c r="I46" s="45">
        <v>1</v>
      </c>
      <c r="J46" s="53">
        <v>3383000</v>
      </c>
      <c r="K46" s="47">
        <v>1819000</v>
      </c>
      <c r="L46" s="48">
        <f>IF(H46&lt;&gt;0,J46*H46*I46+K46*I46,IF(J46&lt;&gt;0,G46*I46*J46,I46*K46))</f>
        <v>8585000</v>
      </c>
      <c r="M46" s="28"/>
      <c r="N46" s="28"/>
      <c r="O46" s="28"/>
      <c r="P46" s="28"/>
      <c r="Q46" s="28"/>
      <c r="R46" s="28"/>
      <c r="S46" s="28"/>
      <c r="T46" s="28"/>
      <c r="U46" s="28"/>
      <c r="V46" s="28"/>
      <c r="W46" s="28"/>
      <c r="X46" s="28"/>
      <c r="Y46" s="28"/>
      <c r="Z46" s="28"/>
      <c r="AA46" s="28"/>
      <c r="AB46" s="28"/>
      <c r="AC46" s="28"/>
      <c r="AD46" s="28"/>
      <c r="AE46" s="28"/>
      <c r="AF46" s="28"/>
      <c r="AG46" s="28"/>
      <c r="AH46" s="28"/>
    </row>
    <row r="47" spans="1:34" ht="156" customHeight="1" x14ac:dyDescent="0.25">
      <c r="A47" s="86">
        <v>35</v>
      </c>
      <c r="B47" s="86" t="s">
        <v>121</v>
      </c>
      <c r="C47" s="51" t="s">
        <v>50</v>
      </c>
      <c r="D47" s="45" t="s">
        <v>39</v>
      </c>
      <c r="E47" s="45" t="s">
        <v>38</v>
      </c>
      <c r="F47" s="45">
        <v>900</v>
      </c>
      <c r="G47" s="45">
        <v>1500</v>
      </c>
      <c r="H47" s="46">
        <f>F47*G47/10^6</f>
        <v>1.35</v>
      </c>
      <c r="I47" s="45">
        <v>1</v>
      </c>
      <c r="J47" s="53">
        <v>3613000</v>
      </c>
      <c r="K47" s="47">
        <v>1629000</v>
      </c>
      <c r="L47" s="48">
        <f>IF(H47&lt;&gt;0,J47*H47*I47+K47*I47,IF(J47&lt;&gt;0,G47*I47*J47,I47*K47))</f>
        <v>6506550</v>
      </c>
      <c r="M47" s="28"/>
      <c r="N47" s="28"/>
      <c r="O47" s="28"/>
      <c r="P47" s="28"/>
      <c r="Q47" s="28"/>
      <c r="R47" s="28"/>
      <c r="S47" s="28"/>
      <c r="T47" s="28"/>
      <c r="U47" s="28"/>
      <c r="V47" s="28"/>
      <c r="W47" s="28"/>
      <c r="X47" s="28"/>
      <c r="Y47" s="28"/>
      <c r="Z47" s="28"/>
      <c r="AA47" s="28"/>
      <c r="AB47" s="28"/>
      <c r="AC47" s="28"/>
      <c r="AD47" s="28"/>
      <c r="AE47" s="28"/>
      <c r="AF47" s="28"/>
      <c r="AG47" s="28"/>
      <c r="AH47" s="28"/>
    </row>
    <row r="48" spans="1:34" ht="144" customHeight="1" x14ac:dyDescent="0.25">
      <c r="A48" s="86">
        <v>36</v>
      </c>
      <c r="B48" s="86" t="s">
        <v>122</v>
      </c>
      <c r="C48" s="51" t="s">
        <v>42</v>
      </c>
      <c r="D48" s="45" t="s">
        <v>39</v>
      </c>
      <c r="E48" s="45"/>
      <c r="F48" s="45">
        <v>1454</v>
      </c>
      <c r="G48" s="45">
        <v>2050</v>
      </c>
      <c r="H48" s="46">
        <f>F48*G48/10^6</f>
        <v>2.9807000000000001</v>
      </c>
      <c r="I48" s="45">
        <v>1</v>
      </c>
      <c r="J48" s="53">
        <v>2259000</v>
      </c>
      <c r="K48" s="47"/>
      <c r="L48" s="48">
        <f>IF(H48&lt;&gt;0,J48*H48*I48+K48*I48,IF(J48&lt;&gt;0,G48*I48*J48,I48*K48))</f>
        <v>6733401.3000000007</v>
      </c>
      <c r="M48" s="28"/>
      <c r="N48" s="28"/>
      <c r="O48" s="28"/>
      <c r="P48" s="28"/>
      <c r="Q48" s="28"/>
      <c r="R48" s="28"/>
      <c r="S48" s="28"/>
      <c r="T48" s="28"/>
      <c r="U48" s="28"/>
      <c r="V48" s="28"/>
      <c r="W48" s="28"/>
      <c r="X48" s="28"/>
      <c r="Y48" s="28"/>
      <c r="Z48" s="28"/>
      <c r="AA48" s="28"/>
      <c r="AB48" s="28"/>
      <c r="AC48" s="28"/>
      <c r="AD48" s="28"/>
      <c r="AE48" s="28"/>
      <c r="AF48" s="28"/>
      <c r="AG48" s="28"/>
      <c r="AH48" s="28"/>
    </row>
    <row r="49" spans="1:34 16138:16139" s="8" customFormat="1" ht="31.5" customHeight="1" x14ac:dyDescent="0.25">
      <c r="A49" s="132" t="s">
        <v>85</v>
      </c>
      <c r="B49" s="133"/>
      <c r="C49" s="133"/>
      <c r="D49" s="133"/>
      <c r="E49" s="134"/>
      <c r="F49" s="64"/>
      <c r="G49" s="64"/>
      <c r="H49" s="65"/>
      <c r="I49" s="45"/>
      <c r="J49" s="53"/>
      <c r="K49" s="47"/>
      <c r="L49" s="67"/>
    </row>
    <row r="50" spans="1:34 16138:16139" s="3" customFormat="1" ht="138" customHeight="1" x14ac:dyDescent="0.25">
      <c r="A50" s="86">
        <v>37</v>
      </c>
      <c r="B50" s="57" t="s">
        <v>48</v>
      </c>
      <c r="C50" s="56" t="s">
        <v>41</v>
      </c>
      <c r="D50" s="45" t="s">
        <v>39</v>
      </c>
      <c r="E50" s="45" t="s">
        <v>38</v>
      </c>
      <c r="F50" s="45">
        <v>3747</v>
      </c>
      <c r="G50" s="45">
        <v>1950</v>
      </c>
      <c r="H50" s="46">
        <f t="shared" ref="H50" si="16">F50*G50/10^6</f>
        <v>7.3066500000000003</v>
      </c>
      <c r="I50" s="45">
        <v>1</v>
      </c>
      <c r="J50" s="53">
        <v>2854000</v>
      </c>
      <c r="K50" s="47">
        <v>1850000</v>
      </c>
      <c r="L50" s="48">
        <f t="shared" ref="L50" si="17">IF(H50&lt;&gt;0,J50*H50*I50+K50*I50,IF(J50&lt;&gt;0,G50*I50*J50,I50*K50))</f>
        <v>22703179.100000001</v>
      </c>
      <c r="M50" s="28"/>
      <c r="N50" s="28"/>
      <c r="O50" s="28"/>
      <c r="P50" s="28"/>
      <c r="Q50" s="28"/>
      <c r="R50" s="28"/>
      <c r="S50" s="28"/>
      <c r="T50" s="28"/>
      <c r="U50" s="28"/>
      <c r="V50" s="28"/>
      <c r="W50" s="28"/>
      <c r="X50" s="28"/>
      <c r="Y50" s="28"/>
      <c r="Z50" s="28"/>
      <c r="AA50" s="28"/>
      <c r="AB50" s="28"/>
      <c r="AC50" s="28"/>
      <c r="AD50" s="28"/>
      <c r="AE50" s="28"/>
      <c r="AF50" s="28"/>
      <c r="AG50" s="28"/>
      <c r="AH50" s="28"/>
    </row>
    <row r="51" spans="1:34 16138:16139" ht="144" customHeight="1" x14ac:dyDescent="0.25">
      <c r="A51" s="86">
        <v>38</v>
      </c>
      <c r="B51" s="86" t="s">
        <v>49</v>
      </c>
      <c r="C51" s="51" t="s">
        <v>42</v>
      </c>
      <c r="D51" s="45" t="s">
        <v>39</v>
      </c>
      <c r="E51" s="45"/>
      <c r="F51" s="45">
        <v>2100</v>
      </c>
      <c r="G51" s="45">
        <v>1400</v>
      </c>
      <c r="H51" s="46">
        <f>F51*G51/10^6</f>
        <v>2.94</v>
      </c>
      <c r="I51" s="45">
        <v>1</v>
      </c>
      <c r="J51" s="53">
        <v>2265000</v>
      </c>
      <c r="K51" s="47"/>
      <c r="L51" s="48">
        <f>IF(H51&lt;&gt;0,J51*H51*I51+K51*I51,IF(J51&lt;&gt;0,G51*I51*J51,I51*K51))</f>
        <v>6659100</v>
      </c>
      <c r="M51" s="28"/>
      <c r="N51" s="28"/>
      <c r="O51" s="28"/>
      <c r="P51" s="28"/>
      <c r="Q51" s="28"/>
      <c r="R51" s="28"/>
      <c r="S51" s="28"/>
      <c r="T51" s="28"/>
      <c r="U51" s="28"/>
      <c r="V51" s="28"/>
      <c r="W51" s="28"/>
      <c r="X51" s="28"/>
      <c r="Y51" s="28"/>
      <c r="Z51" s="28"/>
      <c r="AA51" s="28"/>
      <c r="AB51" s="28"/>
      <c r="AC51" s="28"/>
      <c r="AD51" s="28"/>
      <c r="AE51" s="28"/>
      <c r="AF51" s="28"/>
      <c r="AG51" s="28"/>
      <c r="AH51" s="28"/>
    </row>
    <row r="52" spans="1:34 16138:16139" ht="144" customHeight="1" x14ac:dyDescent="0.25">
      <c r="A52" s="86">
        <v>39</v>
      </c>
      <c r="B52" s="86" t="s">
        <v>51</v>
      </c>
      <c r="C52" s="51" t="s">
        <v>42</v>
      </c>
      <c r="D52" s="45" t="s">
        <v>45</v>
      </c>
      <c r="E52" s="45"/>
      <c r="F52" s="45">
        <v>2360</v>
      </c>
      <c r="G52" s="45">
        <v>1950</v>
      </c>
      <c r="H52" s="46">
        <f>F52*G52/10^6</f>
        <v>4.6020000000000003</v>
      </c>
      <c r="I52" s="45">
        <v>1</v>
      </c>
      <c r="J52" s="53">
        <v>2256000</v>
      </c>
      <c r="K52" s="47"/>
      <c r="L52" s="48">
        <f>IF(H52&lt;&gt;0,J52*H52*I52+K52*I52,IF(J52&lt;&gt;0,G52*I52*J52,I52*K52))</f>
        <v>10382112</v>
      </c>
      <c r="M52" s="28"/>
      <c r="N52" s="28"/>
      <c r="O52" s="28"/>
      <c r="P52" s="28"/>
      <c r="Q52" s="28"/>
      <c r="R52" s="28"/>
      <c r="S52" s="28"/>
      <c r="T52" s="28"/>
      <c r="U52" s="28"/>
      <c r="V52" s="28"/>
      <c r="W52" s="28"/>
      <c r="X52" s="28"/>
      <c r="Y52" s="28"/>
      <c r="Z52" s="28"/>
      <c r="AA52" s="28"/>
      <c r="AB52" s="28"/>
      <c r="AC52" s="28"/>
      <c r="AD52" s="28"/>
      <c r="AE52" s="28"/>
      <c r="AF52" s="28"/>
      <c r="AG52" s="28"/>
      <c r="AH52" s="28"/>
    </row>
    <row r="53" spans="1:34 16138:16139" s="3" customFormat="1" ht="138" customHeight="1" x14ac:dyDescent="0.25">
      <c r="A53" s="86">
        <v>40</v>
      </c>
      <c r="B53" s="57" t="s">
        <v>52</v>
      </c>
      <c r="C53" s="56" t="s">
        <v>41</v>
      </c>
      <c r="D53" s="45" t="s">
        <v>39</v>
      </c>
      <c r="E53" s="45" t="s">
        <v>38</v>
      </c>
      <c r="F53" s="45">
        <v>2935</v>
      </c>
      <c r="G53" s="45">
        <v>1954</v>
      </c>
      <c r="H53" s="46">
        <f t="shared" ref="H53" si="18">F53*G53/10^6</f>
        <v>5.7349899999999998</v>
      </c>
      <c r="I53" s="45">
        <v>1</v>
      </c>
      <c r="J53" s="53">
        <v>2973000</v>
      </c>
      <c r="K53" s="47">
        <v>1850000</v>
      </c>
      <c r="L53" s="48">
        <f t="shared" ref="L53" si="19">IF(H53&lt;&gt;0,J53*H53*I53+K53*I53,IF(J53&lt;&gt;0,G53*I53*J53,I53*K53))</f>
        <v>18900125.27</v>
      </c>
      <c r="M53" s="28"/>
      <c r="N53" s="28"/>
      <c r="O53" s="28"/>
      <c r="P53" s="28"/>
      <c r="Q53" s="28"/>
      <c r="R53" s="28"/>
      <c r="S53" s="28"/>
      <c r="T53" s="28"/>
      <c r="U53" s="28"/>
      <c r="V53" s="28"/>
      <c r="W53" s="28"/>
      <c r="X53" s="28"/>
      <c r="Y53" s="28"/>
      <c r="Z53" s="28"/>
      <c r="AA53" s="28"/>
      <c r="AB53" s="28"/>
      <c r="AC53" s="28"/>
      <c r="AD53" s="28"/>
      <c r="AE53" s="28"/>
      <c r="AF53" s="28"/>
      <c r="AG53" s="28"/>
      <c r="AH53" s="28"/>
    </row>
    <row r="54" spans="1:34 16138:16139" ht="144" customHeight="1" x14ac:dyDescent="0.25">
      <c r="A54" s="86">
        <v>41</v>
      </c>
      <c r="B54" s="86" t="s">
        <v>54</v>
      </c>
      <c r="C54" s="51" t="s">
        <v>42</v>
      </c>
      <c r="D54" s="45" t="s">
        <v>39</v>
      </c>
      <c r="E54" s="45"/>
      <c r="F54" s="45">
        <v>1455</v>
      </c>
      <c r="G54" s="45">
        <v>1950</v>
      </c>
      <c r="H54" s="46">
        <f>F54*G54/10^6</f>
        <v>2.83725</v>
      </c>
      <c r="I54" s="45">
        <v>1</v>
      </c>
      <c r="J54" s="53">
        <v>2272000</v>
      </c>
      <c r="K54" s="47"/>
      <c r="L54" s="48">
        <f>IF(H54&lt;&gt;0,J54*H54*I54+K54*I54,IF(J54&lt;&gt;0,G54*I54*J54,I54*K54))</f>
        <v>6446232</v>
      </c>
      <c r="M54" s="28"/>
      <c r="N54" s="28"/>
      <c r="O54" s="28"/>
      <c r="P54" s="28"/>
      <c r="Q54" s="28"/>
      <c r="R54" s="28"/>
      <c r="S54" s="28"/>
      <c r="T54" s="28"/>
      <c r="U54" s="28"/>
      <c r="V54" s="28"/>
      <c r="W54" s="28"/>
      <c r="X54" s="28"/>
      <c r="Y54" s="28"/>
      <c r="Z54" s="28"/>
      <c r="AA54" s="28"/>
      <c r="AB54" s="28"/>
      <c r="AC54" s="28"/>
      <c r="AD54" s="28"/>
      <c r="AE54" s="28"/>
      <c r="AF54" s="28"/>
      <c r="AG54" s="28"/>
      <c r="AH54" s="28"/>
    </row>
    <row r="55" spans="1:34 16138:16139" ht="144" customHeight="1" x14ac:dyDescent="0.25">
      <c r="A55" s="86">
        <v>42</v>
      </c>
      <c r="B55" s="86" t="s">
        <v>55</v>
      </c>
      <c r="C55" s="51" t="s">
        <v>42</v>
      </c>
      <c r="D55" s="45" t="s">
        <v>39</v>
      </c>
      <c r="E55" s="45"/>
      <c r="F55" s="45">
        <v>1452</v>
      </c>
      <c r="G55" s="45">
        <v>1955</v>
      </c>
      <c r="H55" s="46">
        <f>F55*G55/10^6</f>
        <v>2.83866</v>
      </c>
      <c r="I55" s="45">
        <v>1</v>
      </c>
      <c r="J55" s="53">
        <v>2272000</v>
      </c>
      <c r="K55" s="47"/>
      <c r="L55" s="48">
        <f>IF(H55&lt;&gt;0,J55*H55*I55+K55*I55,IF(J55&lt;&gt;0,G55*I55*J55,I55*K55))</f>
        <v>6449435.5199999996</v>
      </c>
      <c r="M55" s="28"/>
      <c r="N55" s="28"/>
      <c r="O55" s="28"/>
      <c r="P55" s="28"/>
      <c r="Q55" s="28"/>
      <c r="R55" s="28"/>
      <c r="S55" s="28"/>
      <c r="T55" s="28"/>
      <c r="U55" s="28"/>
      <c r="V55" s="28"/>
      <c r="W55" s="28"/>
      <c r="X55" s="28"/>
      <c r="Y55" s="28"/>
      <c r="Z55" s="28"/>
      <c r="AA55" s="28"/>
      <c r="AB55" s="28"/>
      <c r="AC55" s="28"/>
      <c r="AD55" s="28"/>
      <c r="AE55" s="28"/>
      <c r="AF55" s="28"/>
      <c r="AG55" s="28"/>
      <c r="AH55" s="28"/>
    </row>
    <row r="56" spans="1:34 16138:16139" s="3" customFormat="1" ht="138" customHeight="1" x14ac:dyDescent="0.25">
      <c r="A56" s="86">
        <v>43</v>
      </c>
      <c r="B56" s="57" t="s">
        <v>56</v>
      </c>
      <c r="C56" s="56" t="s">
        <v>41</v>
      </c>
      <c r="D56" s="45" t="s">
        <v>39</v>
      </c>
      <c r="E56" s="45" t="s">
        <v>38</v>
      </c>
      <c r="F56" s="45">
        <v>3200</v>
      </c>
      <c r="G56" s="45">
        <v>1947</v>
      </c>
      <c r="H56" s="46">
        <f t="shared" ref="H56:H58" si="20">F56*G56/10^6</f>
        <v>6.2304000000000004</v>
      </c>
      <c r="I56" s="45">
        <v>1</v>
      </c>
      <c r="J56" s="53">
        <v>2930000</v>
      </c>
      <c r="K56" s="47">
        <v>1850000</v>
      </c>
      <c r="L56" s="48">
        <f t="shared" ref="L56:L58" si="21">IF(H56&lt;&gt;0,J56*H56*I56+K56*I56,IF(J56&lt;&gt;0,G56*I56*J56,I56*K56))</f>
        <v>20105072</v>
      </c>
      <c r="M56" s="28"/>
      <c r="N56" s="28"/>
      <c r="O56" s="28"/>
      <c r="P56" s="28"/>
      <c r="Q56" s="28"/>
      <c r="R56" s="28"/>
      <c r="S56" s="28"/>
      <c r="T56" s="28"/>
      <c r="U56" s="28"/>
      <c r="V56" s="28"/>
      <c r="W56" s="28"/>
      <c r="X56" s="28"/>
      <c r="Y56" s="28"/>
      <c r="Z56" s="28"/>
      <c r="AA56" s="28"/>
      <c r="AB56" s="28"/>
      <c r="AC56" s="28"/>
      <c r="AD56" s="28"/>
      <c r="AE56" s="28"/>
      <c r="AF56" s="28"/>
      <c r="AG56" s="28"/>
      <c r="AH56" s="28"/>
    </row>
    <row r="57" spans="1:34 16138:16139" ht="150.75" customHeight="1" x14ac:dyDescent="0.25">
      <c r="A57" s="86">
        <v>44</v>
      </c>
      <c r="B57" s="86" t="s">
        <v>57</v>
      </c>
      <c r="C57" s="51" t="s">
        <v>46</v>
      </c>
      <c r="D57" s="45" t="s">
        <v>39</v>
      </c>
      <c r="E57" s="45" t="s">
        <v>38</v>
      </c>
      <c r="F57" s="45">
        <v>2096</v>
      </c>
      <c r="G57" s="45">
        <v>1950</v>
      </c>
      <c r="H57" s="46">
        <f t="shared" si="20"/>
        <v>4.0872000000000002</v>
      </c>
      <c r="I57" s="45">
        <v>1</v>
      </c>
      <c r="J57" s="53">
        <v>3200000</v>
      </c>
      <c r="K57" s="47">
        <v>1624000</v>
      </c>
      <c r="L57" s="48">
        <f t="shared" si="21"/>
        <v>14703040</v>
      </c>
      <c r="M57" s="28"/>
      <c r="N57" s="28"/>
      <c r="O57" s="28"/>
      <c r="P57" s="28"/>
      <c r="Q57" s="28"/>
      <c r="R57" s="28"/>
      <c r="S57" s="28"/>
      <c r="T57" s="28"/>
      <c r="U57" s="28"/>
      <c r="V57" s="28"/>
      <c r="W57" s="28"/>
      <c r="X57" s="28"/>
      <c r="Y57" s="28"/>
      <c r="Z57" s="28"/>
      <c r="AA57" s="28"/>
      <c r="AB57" s="28"/>
      <c r="AC57" s="28"/>
      <c r="AD57" s="28"/>
      <c r="AE57" s="28"/>
      <c r="AF57" s="28"/>
      <c r="WVR57"/>
      <c r="WVS57"/>
    </row>
    <row r="58" spans="1:34 16138:16139" s="3" customFormat="1" ht="138" customHeight="1" x14ac:dyDescent="0.25">
      <c r="A58" s="86">
        <v>45</v>
      </c>
      <c r="B58" s="57" t="s">
        <v>58</v>
      </c>
      <c r="C58" s="56" t="s">
        <v>41</v>
      </c>
      <c r="D58" s="45" t="s">
        <v>39</v>
      </c>
      <c r="E58" s="45" t="s">
        <v>38</v>
      </c>
      <c r="F58" s="45">
        <v>3204</v>
      </c>
      <c r="G58" s="45">
        <v>1950</v>
      </c>
      <c r="H58" s="46">
        <f t="shared" si="20"/>
        <v>6.2477999999999998</v>
      </c>
      <c r="I58" s="45">
        <v>1</v>
      </c>
      <c r="J58" s="53">
        <v>2928000</v>
      </c>
      <c r="K58" s="47">
        <v>1850000</v>
      </c>
      <c r="L58" s="48">
        <f t="shared" si="21"/>
        <v>20143558.399999999</v>
      </c>
      <c r="M58" s="28"/>
      <c r="N58" s="28"/>
      <c r="O58" s="28"/>
      <c r="P58" s="28"/>
      <c r="Q58" s="28"/>
      <c r="R58" s="28"/>
      <c r="S58" s="28"/>
      <c r="T58" s="28"/>
      <c r="U58" s="28"/>
      <c r="V58" s="28"/>
      <c r="W58" s="28"/>
      <c r="X58" s="28"/>
      <c r="Y58" s="28"/>
      <c r="Z58" s="28"/>
      <c r="AA58" s="28"/>
      <c r="AB58" s="28"/>
      <c r="AC58" s="28"/>
      <c r="AD58" s="28"/>
      <c r="AE58" s="28"/>
      <c r="AF58" s="28"/>
      <c r="AG58" s="28"/>
      <c r="AH58" s="28"/>
    </row>
    <row r="59" spans="1:34 16138:16139" ht="144" customHeight="1" x14ac:dyDescent="0.25">
      <c r="A59" s="86">
        <v>46</v>
      </c>
      <c r="B59" s="86" t="s">
        <v>59</v>
      </c>
      <c r="C59" s="51" t="s">
        <v>42</v>
      </c>
      <c r="D59" s="45" t="s">
        <v>39</v>
      </c>
      <c r="E59" s="45"/>
      <c r="F59" s="45">
        <v>1450</v>
      </c>
      <c r="G59" s="45">
        <v>1950</v>
      </c>
      <c r="H59" s="46">
        <f>F59*G59/10^6</f>
        <v>2.8275000000000001</v>
      </c>
      <c r="I59" s="45">
        <v>1</v>
      </c>
      <c r="J59" s="53">
        <v>2273000</v>
      </c>
      <c r="K59" s="47"/>
      <c r="L59" s="48">
        <f>IF(H59&lt;&gt;0,J59*H59*I59+K59*I59,IF(J59&lt;&gt;0,G59*I59*J59,I59*K59))</f>
        <v>6426907.5</v>
      </c>
      <c r="M59" s="28"/>
      <c r="N59" s="28"/>
      <c r="O59" s="28"/>
      <c r="P59" s="28"/>
      <c r="Q59" s="28"/>
      <c r="R59" s="28"/>
      <c r="S59" s="28"/>
      <c r="T59" s="28"/>
      <c r="U59" s="28"/>
      <c r="V59" s="28"/>
      <c r="W59" s="28"/>
      <c r="X59" s="28"/>
      <c r="Y59" s="28"/>
      <c r="Z59" s="28"/>
      <c r="AA59" s="28"/>
      <c r="AB59" s="28"/>
      <c r="AC59" s="28"/>
      <c r="AD59" s="28"/>
      <c r="AE59" s="28"/>
      <c r="AF59" s="28"/>
      <c r="AG59" s="28"/>
      <c r="AH59" s="28"/>
    </row>
    <row r="60" spans="1:34 16138:16139" ht="144" customHeight="1" x14ac:dyDescent="0.25">
      <c r="A60" s="86">
        <v>47</v>
      </c>
      <c r="B60" s="86" t="s">
        <v>60</v>
      </c>
      <c r="C60" s="51" t="s">
        <v>42</v>
      </c>
      <c r="D60" s="45" t="s">
        <v>39</v>
      </c>
      <c r="E60" s="45"/>
      <c r="F60" s="45">
        <v>1450</v>
      </c>
      <c r="G60" s="45">
        <v>1947</v>
      </c>
      <c r="H60" s="46">
        <f>F60*G60/10^6</f>
        <v>2.82315</v>
      </c>
      <c r="I60" s="45">
        <v>1</v>
      </c>
      <c r="J60" s="53">
        <v>2273000</v>
      </c>
      <c r="K60" s="47"/>
      <c r="L60" s="48">
        <f>IF(H60&lt;&gt;0,J60*H60*I60+K60*I60,IF(J60&lt;&gt;0,G60*I60*J60,I60*K60))</f>
        <v>6417019.9500000002</v>
      </c>
      <c r="M60" s="28"/>
      <c r="N60" s="28"/>
      <c r="O60" s="28"/>
      <c r="P60" s="28"/>
      <c r="Q60" s="28"/>
      <c r="R60" s="28"/>
      <c r="S60" s="28"/>
      <c r="T60" s="28"/>
      <c r="U60" s="28"/>
      <c r="V60" s="28"/>
      <c r="W60" s="28"/>
      <c r="X60" s="28"/>
      <c r="Y60" s="28"/>
      <c r="Z60" s="28"/>
      <c r="AA60" s="28"/>
      <c r="AB60" s="28"/>
      <c r="AC60" s="28"/>
      <c r="AD60" s="28"/>
      <c r="AE60" s="28"/>
      <c r="AF60" s="28"/>
      <c r="AG60" s="28"/>
      <c r="AH60" s="28"/>
    </row>
    <row r="61" spans="1:34 16138:16139" s="3" customFormat="1" ht="138" customHeight="1" x14ac:dyDescent="0.25">
      <c r="A61" s="86">
        <v>48</v>
      </c>
      <c r="B61" s="57" t="s">
        <v>61</v>
      </c>
      <c r="C61" s="56" t="s">
        <v>41</v>
      </c>
      <c r="D61" s="45" t="s">
        <v>39</v>
      </c>
      <c r="E61" s="45" t="s">
        <v>38</v>
      </c>
      <c r="F61" s="45">
        <v>3200</v>
      </c>
      <c r="G61" s="45">
        <v>1950</v>
      </c>
      <c r="H61" s="46">
        <f t="shared" ref="H61:H62" si="22">F61*G61/10^6</f>
        <v>6.24</v>
      </c>
      <c r="I61" s="45">
        <v>1</v>
      </c>
      <c r="J61" s="53">
        <v>2930000</v>
      </c>
      <c r="K61" s="47">
        <v>1850000</v>
      </c>
      <c r="L61" s="48">
        <f t="shared" ref="L61:L62" si="23">IF(H61&lt;&gt;0,J61*H61*I61+K61*I61,IF(J61&lt;&gt;0,G61*I61*J61,I61*K61))</f>
        <v>20133200</v>
      </c>
      <c r="M61" s="28"/>
      <c r="N61" s="28"/>
      <c r="O61" s="28"/>
      <c r="P61" s="28"/>
      <c r="Q61" s="28"/>
      <c r="R61" s="28"/>
      <c r="S61" s="28"/>
      <c r="T61" s="28"/>
      <c r="U61" s="28"/>
      <c r="V61" s="28"/>
      <c r="W61" s="28"/>
      <c r="X61" s="28"/>
      <c r="Y61" s="28"/>
      <c r="Z61" s="28"/>
      <c r="AA61" s="28"/>
      <c r="AB61" s="28"/>
      <c r="AC61" s="28"/>
      <c r="AD61" s="28"/>
      <c r="AE61" s="28"/>
      <c r="AF61" s="28"/>
      <c r="AG61" s="28"/>
      <c r="AH61" s="28"/>
    </row>
    <row r="62" spans="1:34 16138:16139" s="3" customFormat="1" ht="138" customHeight="1" x14ac:dyDescent="0.25">
      <c r="A62" s="86">
        <v>49</v>
      </c>
      <c r="B62" s="57" t="s">
        <v>62</v>
      </c>
      <c r="C62" s="56" t="s">
        <v>41</v>
      </c>
      <c r="D62" s="45" t="s">
        <v>39</v>
      </c>
      <c r="E62" s="45" t="s">
        <v>38</v>
      </c>
      <c r="F62" s="45">
        <v>3205</v>
      </c>
      <c r="G62" s="45">
        <v>1950</v>
      </c>
      <c r="H62" s="46">
        <f t="shared" si="22"/>
        <v>6.2497499999999997</v>
      </c>
      <c r="I62" s="45">
        <v>1</v>
      </c>
      <c r="J62" s="53">
        <v>2928000</v>
      </c>
      <c r="K62" s="47">
        <v>1850000</v>
      </c>
      <c r="L62" s="48">
        <f t="shared" si="23"/>
        <v>20149268</v>
      </c>
      <c r="M62" s="28"/>
      <c r="N62" s="28"/>
      <c r="O62" s="28"/>
      <c r="P62" s="28"/>
      <c r="Q62" s="28"/>
      <c r="R62" s="28"/>
      <c r="S62" s="28"/>
      <c r="T62" s="28"/>
      <c r="U62" s="28"/>
      <c r="V62" s="28"/>
      <c r="W62" s="28"/>
      <c r="X62" s="28"/>
      <c r="Y62" s="28"/>
      <c r="Z62" s="28"/>
      <c r="AA62" s="28"/>
      <c r="AB62" s="28"/>
      <c r="AC62" s="28"/>
      <c r="AD62" s="28"/>
      <c r="AE62" s="28"/>
      <c r="AF62" s="28"/>
      <c r="AG62" s="28"/>
      <c r="AH62" s="28"/>
    </row>
    <row r="63" spans="1:34 16138:16139" ht="144" customHeight="1" x14ac:dyDescent="0.25">
      <c r="A63" s="86">
        <v>50</v>
      </c>
      <c r="B63" s="86" t="s">
        <v>63</v>
      </c>
      <c r="C63" s="51" t="s">
        <v>42</v>
      </c>
      <c r="D63" s="45" t="s">
        <v>39</v>
      </c>
      <c r="E63" s="45"/>
      <c r="F63" s="45">
        <v>1450</v>
      </c>
      <c r="G63" s="45">
        <v>1950</v>
      </c>
      <c r="H63" s="46">
        <f>F63*G63/10^6</f>
        <v>2.8275000000000001</v>
      </c>
      <c r="I63" s="45">
        <v>1</v>
      </c>
      <c r="J63" s="53">
        <v>2273000</v>
      </c>
      <c r="K63" s="47"/>
      <c r="L63" s="48">
        <f>IF(H63&lt;&gt;0,J63*H63*I63+K63*I63,IF(J63&lt;&gt;0,G63*I63*J63,I63*K63))</f>
        <v>6426907.5</v>
      </c>
      <c r="M63" s="28"/>
      <c r="N63" s="28"/>
      <c r="O63" s="28"/>
      <c r="P63" s="28"/>
      <c r="Q63" s="28"/>
      <c r="R63" s="28"/>
      <c r="S63" s="28"/>
      <c r="T63" s="28"/>
      <c r="U63" s="28"/>
      <c r="V63" s="28"/>
      <c r="W63" s="28"/>
      <c r="X63" s="28"/>
      <c r="Y63" s="28"/>
      <c r="Z63" s="28"/>
      <c r="AA63" s="28"/>
      <c r="AB63" s="28"/>
      <c r="AC63" s="28"/>
      <c r="AD63" s="28"/>
      <c r="AE63" s="28"/>
      <c r="AF63" s="28"/>
      <c r="AG63" s="28"/>
      <c r="AH63" s="28"/>
    </row>
    <row r="64" spans="1:34 16138:16139" ht="144" customHeight="1" x14ac:dyDescent="0.25">
      <c r="A64" s="86">
        <v>51</v>
      </c>
      <c r="B64" s="86" t="s">
        <v>64</v>
      </c>
      <c r="C64" s="51" t="s">
        <v>42</v>
      </c>
      <c r="D64" s="45" t="s">
        <v>39</v>
      </c>
      <c r="E64" s="45"/>
      <c r="F64" s="45">
        <v>1450</v>
      </c>
      <c r="G64" s="45">
        <v>1950</v>
      </c>
      <c r="H64" s="46">
        <f>F64*G64/10^6</f>
        <v>2.8275000000000001</v>
      </c>
      <c r="I64" s="45">
        <v>1</v>
      </c>
      <c r="J64" s="53">
        <v>2273000</v>
      </c>
      <c r="K64" s="47"/>
      <c r="L64" s="48">
        <f>IF(H64&lt;&gt;0,J64*H64*I64+K64*I64,IF(J64&lt;&gt;0,G64*I64*J64,I64*K64))</f>
        <v>6426907.5</v>
      </c>
      <c r="M64" s="28"/>
      <c r="N64" s="28"/>
      <c r="O64" s="28"/>
      <c r="P64" s="28"/>
      <c r="Q64" s="28"/>
      <c r="R64" s="28"/>
      <c r="S64" s="28"/>
      <c r="T64" s="28"/>
      <c r="U64" s="28"/>
      <c r="V64" s="28"/>
      <c r="W64" s="28"/>
      <c r="X64" s="28"/>
      <c r="Y64" s="28"/>
      <c r="Z64" s="28"/>
      <c r="AA64" s="28"/>
      <c r="AB64" s="28"/>
      <c r="AC64" s="28"/>
      <c r="AD64" s="28"/>
      <c r="AE64" s="28"/>
      <c r="AF64" s="28"/>
      <c r="AG64" s="28"/>
      <c r="AH64" s="28"/>
    </row>
    <row r="65" spans="1:34" s="3" customFormat="1" ht="138" customHeight="1" x14ac:dyDescent="0.25">
      <c r="A65" s="86">
        <v>52</v>
      </c>
      <c r="B65" s="57" t="s">
        <v>65</v>
      </c>
      <c r="C65" s="56" t="s">
        <v>41</v>
      </c>
      <c r="D65" s="45" t="s">
        <v>39</v>
      </c>
      <c r="E65" s="45" t="s">
        <v>38</v>
      </c>
      <c r="F65" s="45">
        <v>2927</v>
      </c>
      <c r="G65" s="45">
        <v>1950</v>
      </c>
      <c r="H65" s="46">
        <f t="shared" ref="H65:H66" si="24">F65*G65/10^6</f>
        <v>5.7076500000000001</v>
      </c>
      <c r="I65" s="45">
        <v>1</v>
      </c>
      <c r="J65" s="53">
        <v>2976000</v>
      </c>
      <c r="K65" s="47">
        <v>1850000</v>
      </c>
      <c r="L65" s="48">
        <f t="shared" ref="L65:L66" si="25">IF(H65&lt;&gt;0,J65*H65*I65+K65*I65,IF(J65&lt;&gt;0,G65*I65*J65,I65*K65))</f>
        <v>18835966.399999999</v>
      </c>
      <c r="M65" s="28"/>
      <c r="N65" s="28"/>
      <c r="O65" s="28"/>
      <c r="P65" s="28"/>
      <c r="Q65" s="28"/>
      <c r="R65" s="28"/>
      <c r="S65" s="28"/>
      <c r="T65" s="28"/>
      <c r="U65" s="28"/>
      <c r="V65" s="28"/>
      <c r="W65" s="28"/>
      <c r="X65" s="28"/>
      <c r="Y65" s="28"/>
      <c r="Z65" s="28"/>
      <c r="AA65" s="28"/>
      <c r="AB65" s="28"/>
      <c r="AC65" s="28"/>
      <c r="AD65" s="28"/>
      <c r="AE65" s="28"/>
      <c r="AF65" s="28"/>
      <c r="AG65" s="28"/>
      <c r="AH65" s="28"/>
    </row>
    <row r="66" spans="1:34" s="3" customFormat="1" ht="138" customHeight="1" x14ac:dyDescent="0.25">
      <c r="A66" s="86">
        <v>53</v>
      </c>
      <c r="B66" s="57" t="s">
        <v>66</v>
      </c>
      <c r="C66" s="56" t="s">
        <v>41</v>
      </c>
      <c r="D66" s="45" t="s">
        <v>39</v>
      </c>
      <c r="E66" s="45" t="s">
        <v>38</v>
      </c>
      <c r="F66" s="45">
        <v>2922</v>
      </c>
      <c r="G66" s="45">
        <v>1947</v>
      </c>
      <c r="H66" s="46">
        <f t="shared" si="24"/>
        <v>5.6891340000000001</v>
      </c>
      <c r="I66" s="45">
        <v>1</v>
      </c>
      <c r="J66" s="53">
        <v>2977000</v>
      </c>
      <c r="K66" s="47">
        <v>1850000</v>
      </c>
      <c r="L66" s="48">
        <f t="shared" si="25"/>
        <v>18786551.918000001</v>
      </c>
      <c r="M66" s="28"/>
      <c r="N66" s="28"/>
      <c r="O66" s="28"/>
      <c r="P66" s="28"/>
      <c r="Q66" s="28"/>
      <c r="R66" s="28"/>
      <c r="S66" s="28"/>
      <c r="T66" s="28"/>
      <c r="U66" s="28"/>
      <c r="V66" s="28"/>
      <c r="W66" s="28"/>
      <c r="X66" s="28"/>
      <c r="Y66" s="28"/>
      <c r="Z66" s="28"/>
      <c r="AA66" s="28"/>
      <c r="AB66" s="28"/>
      <c r="AC66" s="28"/>
      <c r="AD66" s="28"/>
      <c r="AE66" s="28"/>
      <c r="AF66" s="28"/>
      <c r="AG66" s="28"/>
      <c r="AH66" s="28"/>
    </row>
    <row r="67" spans="1:34" ht="144" customHeight="1" x14ac:dyDescent="0.25">
      <c r="A67" s="86">
        <v>54</v>
      </c>
      <c r="B67" s="86" t="s">
        <v>67</v>
      </c>
      <c r="C67" s="51" t="s">
        <v>42</v>
      </c>
      <c r="D67" s="45" t="s">
        <v>39</v>
      </c>
      <c r="E67" s="45"/>
      <c r="F67" s="45">
        <v>1452</v>
      </c>
      <c r="G67" s="45">
        <v>1947</v>
      </c>
      <c r="H67" s="46">
        <f>F67*G67/10^6</f>
        <v>2.8270439999999999</v>
      </c>
      <c r="I67" s="45">
        <v>1</v>
      </c>
      <c r="J67" s="53">
        <v>2272000</v>
      </c>
      <c r="K67" s="47"/>
      <c r="L67" s="48">
        <f>IF(H67&lt;&gt;0,J67*H67*I67+K67*I67,IF(J67&lt;&gt;0,G67*I67*J67,I67*K67))</f>
        <v>6423043.9679999994</v>
      </c>
      <c r="M67" s="28"/>
      <c r="N67" s="28"/>
      <c r="O67" s="28"/>
      <c r="P67" s="28"/>
      <c r="Q67" s="28"/>
      <c r="R67" s="28"/>
      <c r="S67" s="28"/>
      <c r="T67" s="28"/>
      <c r="U67" s="28"/>
      <c r="V67" s="28"/>
      <c r="W67" s="28"/>
      <c r="X67" s="28"/>
      <c r="Y67" s="28"/>
      <c r="Z67" s="28"/>
      <c r="AA67" s="28"/>
      <c r="AB67" s="28"/>
      <c r="AC67" s="28"/>
      <c r="AD67" s="28"/>
      <c r="AE67" s="28"/>
      <c r="AF67" s="28"/>
      <c r="AG67" s="28"/>
      <c r="AH67" s="28"/>
    </row>
    <row r="68" spans="1:34" ht="144" customHeight="1" x14ac:dyDescent="0.25">
      <c r="A68" s="86">
        <v>55</v>
      </c>
      <c r="B68" s="86" t="s">
        <v>68</v>
      </c>
      <c r="C68" s="51" t="s">
        <v>42</v>
      </c>
      <c r="D68" s="45" t="s">
        <v>39</v>
      </c>
      <c r="E68" s="45"/>
      <c r="F68" s="45">
        <v>1452</v>
      </c>
      <c r="G68" s="45">
        <v>1945</v>
      </c>
      <c r="H68" s="46">
        <f>F68*G68/10^6</f>
        <v>2.8241399999999999</v>
      </c>
      <c r="I68" s="45">
        <v>1</v>
      </c>
      <c r="J68" s="53">
        <v>2273000</v>
      </c>
      <c r="K68" s="47"/>
      <c r="L68" s="48">
        <f>IF(H68&lt;&gt;0,J68*H68*I68+K68*I68,IF(J68&lt;&gt;0,G68*I68*J68,I68*K68))</f>
        <v>6419270.2199999997</v>
      </c>
      <c r="M68" s="28"/>
      <c r="N68" s="28"/>
      <c r="O68" s="28"/>
      <c r="P68" s="28"/>
      <c r="Q68" s="28"/>
      <c r="R68" s="28"/>
      <c r="S68" s="28"/>
      <c r="T68" s="28"/>
      <c r="U68" s="28"/>
      <c r="V68" s="28"/>
      <c r="W68" s="28"/>
      <c r="X68" s="28"/>
      <c r="Y68" s="28"/>
      <c r="Z68" s="28"/>
      <c r="AA68" s="28"/>
      <c r="AB68" s="28"/>
      <c r="AC68" s="28"/>
      <c r="AD68" s="28"/>
      <c r="AE68" s="28"/>
      <c r="AF68" s="28"/>
      <c r="AG68" s="28"/>
      <c r="AH68" s="28"/>
    </row>
    <row r="69" spans="1:34" s="3" customFormat="1" ht="138" customHeight="1" x14ac:dyDescent="0.25">
      <c r="A69" s="86">
        <v>56</v>
      </c>
      <c r="B69" s="57" t="s">
        <v>69</v>
      </c>
      <c r="C69" s="56" t="s">
        <v>41</v>
      </c>
      <c r="D69" s="45" t="s">
        <v>39</v>
      </c>
      <c r="E69" s="45" t="s">
        <v>38</v>
      </c>
      <c r="F69" s="45">
        <v>2932</v>
      </c>
      <c r="G69" s="45">
        <v>1945</v>
      </c>
      <c r="H69" s="46">
        <f t="shared" ref="H69:H70" si="26">F69*G69/10^6</f>
        <v>5.7027400000000004</v>
      </c>
      <c r="I69" s="45">
        <v>1</v>
      </c>
      <c r="J69" s="53">
        <v>2976000</v>
      </c>
      <c r="K69" s="47">
        <v>1850000</v>
      </c>
      <c r="L69" s="48">
        <f t="shared" ref="L69:L70" si="27">IF(H69&lt;&gt;0,J69*H69*I69+K69*I69,IF(J69&lt;&gt;0,G69*I69*J69,I69*K69))</f>
        <v>18821354.240000002</v>
      </c>
      <c r="M69" s="28"/>
      <c r="N69" s="28"/>
      <c r="O69" s="28"/>
      <c r="P69" s="28"/>
      <c r="Q69" s="28"/>
      <c r="R69" s="28"/>
      <c r="S69" s="28"/>
      <c r="T69" s="28"/>
      <c r="U69" s="28"/>
      <c r="V69" s="28"/>
      <c r="W69" s="28"/>
      <c r="X69" s="28"/>
      <c r="Y69" s="28"/>
      <c r="Z69" s="28"/>
      <c r="AA69" s="28"/>
      <c r="AB69" s="28"/>
      <c r="AC69" s="28"/>
      <c r="AD69" s="28"/>
      <c r="AE69" s="28"/>
      <c r="AF69" s="28"/>
      <c r="AG69" s="28"/>
      <c r="AH69" s="28"/>
    </row>
    <row r="70" spans="1:34" s="3" customFormat="1" ht="138" customHeight="1" x14ac:dyDescent="0.25">
      <c r="A70" s="86">
        <v>57</v>
      </c>
      <c r="B70" s="57" t="s">
        <v>70</v>
      </c>
      <c r="C70" s="56" t="s">
        <v>41</v>
      </c>
      <c r="D70" s="45" t="s">
        <v>39</v>
      </c>
      <c r="E70" s="45" t="s">
        <v>38</v>
      </c>
      <c r="F70" s="45">
        <v>2921</v>
      </c>
      <c r="G70" s="45">
        <v>1952</v>
      </c>
      <c r="H70" s="46">
        <f t="shared" si="26"/>
        <v>5.7017920000000002</v>
      </c>
      <c r="I70" s="45">
        <v>1</v>
      </c>
      <c r="J70" s="53">
        <v>2976000</v>
      </c>
      <c r="K70" s="47">
        <v>1850000</v>
      </c>
      <c r="L70" s="48">
        <f t="shared" si="27"/>
        <v>18818532.992000002</v>
      </c>
      <c r="M70" s="28"/>
      <c r="N70" s="28"/>
      <c r="O70" s="28"/>
      <c r="P70" s="28"/>
      <c r="Q70" s="28"/>
      <c r="R70" s="28"/>
      <c r="S70" s="28"/>
      <c r="T70" s="28"/>
      <c r="U70" s="28"/>
      <c r="V70" s="28"/>
      <c r="W70" s="28"/>
      <c r="X70" s="28"/>
      <c r="Y70" s="28"/>
      <c r="Z70" s="28"/>
      <c r="AA70" s="28"/>
      <c r="AB70" s="28"/>
      <c r="AC70" s="28"/>
      <c r="AD70" s="28"/>
      <c r="AE70" s="28"/>
      <c r="AF70" s="28"/>
      <c r="AG70" s="28"/>
      <c r="AH70" s="28"/>
    </row>
    <row r="71" spans="1:34" ht="144" customHeight="1" x14ac:dyDescent="0.25">
      <c r="A71" s="86">
        <v>58</v>
      </c>
      <c r="B71" s="86" t="s">
        <v>71</v>
      </c>
      <c r="C71" s="51" t="s">
        <v>42</v>
      </c>
      <c r="D71" s="45" t="s">
        <v>39</v>
      </c>
      <c r="E71" s="45"/>
      <c r="F71" s="45">
        <v>1428</v>
      </c>
      <c r="G71" s="45">
        <v>1950</v>
      </c>
      <c r="H71" s="46">
        <f>F71*G71/10^6</f>
        <v>2.7846000000000002</v>
      </c>
      <c r="I71" s="45">
        <v>1</v>
      </c>
      <c r="J71" s="53">
        <v>2276000</v>
      </c>
      <c r="K71" s="47"/>
      <c r="L71" s="48">
        <f>IF(H71&lt;&gt;0,J71*H71*I71+K71*I71,IF(J71&lt;&gt;0,G71*I71*J71,I71*K71))</f>
        <v>6337749.6000000006</v>
      </c>
      <c r="M71" s="28"/>
      <c r="N71" s="28"/>
      <c r="O71" s="28"/>
      <c r="P71" s="28"/>
      <c r="Q71" s="28"/>
      <c r="R71" s="28"/>
      <c r="S71" s="28"/>
      <c r="T71" s="28"/>
      <c r="U71" s="28"/>
      <c r="V71" s="28"/>
      <c r="W71" s="28"/>
      <c r="X71" s="28"/>
      <c r="Y71" s="28"/>
      <c r="Z71" s="28"/>
      <c r="AA71" s="28"/>
      <c r="AB71" s="28"/>
      <c r="AC71" s="28"/>
      <c r="AD71" s="28"/>
      <c r="AE71" s="28"/>
      <c r="AF71" s="28"/>
      <c r="AG71" s="28"/>
      <c r="AH71" s="28"/>
    </row>
    <row r="72" spans="1:34" ht="144" customHeight="1" x14ac:dyDescent="0.25">
      <c r="A72" s="86">
        <v>59</v>
      </c>
      <c r="B72" s="86" t="s">
        <v>72</v>
      </c>
      <c r="C72" s="51" t="s">
        <v>42</v>
      </c>
      <c r="D72" s="45" t="s">
        <v>39</v>
      </c>
      <c r="E72" s="45"/>
      <c r="F72" s="45">
        <v>1454</v>
      </c>
      <c r="G72" s="45">
        <v>1948</v>
      </c>
      <c r="H72" s="46">
        <f>F72*G72/10^6</f>
        <v>2.832392</v>
      </c>
      <c r="I72" s="45">
        <v>1</v>
      </c>
      <c r="J72" s="53">
        <v>2272000</v>
      </c>
      <c r="K72" s="47"/>
      <c r="L72" s="48">
        <f>IF(H72&lt;&gt;0,J72*H72*I72+K72*I72,IF(J72&lt;&gt;0,G72*I72*J72,I72*K72))</f>
        <v>6435194.6239999998</v>
      </c>
      <c r="M72" s="28"/>
      <c r="N72" s="28"/>
      <c r="O72" s="28"/>
      <c r="P72" s="28"/>
      <c r="Q72" s="28"/>
      <c r="R72" s="28"/>
      <c r="S72" s="28"/>
      <c r="T72" s="28"/>
      <c r="U72" s="28"/>
      <c r="V72" s="28"/>
      <c r="W72" s="28"/>
      <c r="X72" s="28"/>
      <c r="Y72" s="28"/>
      <c r="Z72" s="28"/>
      <c r="AA72" s="28"/>
      <c r="AB72" s="28"/>
      <c r="AC72" s="28"/>
      <c r="AD72" s="28"/>
      <c r="AE72" s="28"/>
      <c r="AF72" s="28"/>
      <c r="AG72" s="28"/>
      <c r="AH72" s="28"/>
    </row>
    <row r="73" spans="1:34" s="3" customFormat="1" ht="138" customHeight="1" x14ac:dyDescent="0.25">
      <c r="A73" s="86">
        <v>60</v>
      </c>
      <c r="B73" s="57" t="s">
        <v>73</v>
      </c>
      <c r="C73" s="56" t="s">
        <v>41</v>
      </c>
      <c r="D73" s="45" t="s">
        <v>39</v>
      </c>
      <c r="E73" s="45" t="s">
        <v>38</v>
      </c>
      <c r="F73" s="45">
        <v>3198</v>
      </c>
      <c r="G73" s="45">
        <v>1952</v>
      </c>
      <c r="H73" s="46">
        <f t="shared" ref="H73:H74" si="28">F73*G73/10^6</f>
        <v>6.242496</v>
      </c>
      <c r="I73" s="45">
        <v>1</v>
      </c>
      <c r="J73" s="53">
        <v>2928000</v>
      </c>
      <c r="K73" s="47">
        <v>1850000</v>
      </c>
      <c r="L73" s="48">
        <f t="shared" ref="L73:L74" si="29">IF(H73&lt;&gt;0,J73*H73*I73+K73*I73,IF(J73&lt;&gt;0,G73*I73*J73,I73*K73))</f>
        <v>20128028.287999999</v>
      </c>
      <c r="M73" s="28"/>
      <c r="N73" s="28"/>
      <c r="O73" s="28"/>
      <c r="P73" s="28"/>
      <c r="Q73" s="28"/>
      <c r="R73" s="28"/>
      <c r="S73" s="28"/>
      <c r="T73" s="28"/>
      <c r="U73" s="28"/>
      <c r="V73" s="28"/>
      <c r="W73" s="28"/>
      <c r="X73" s="28"/>
      <c r="Y73" s="28"/>
      <c r="Z73" s="28"/>
      <c r="AA73" s="28"/>
      <c r="AB73" s="28"/>
      <c r="AC73" s="28"/>
      <c r="AD73" s="28"/>
      <c r="AE73" s="28"/>
      <c r="AF73" s="28"/>
      <c r="AG73" s="28"/>
      <c r="AH73" s="28"/>
    </row>
    <row r="74" spans="1:34" s="3" customFormat="1" ht="138" customHeight="1" x14ac:dyDescent="0.25">
      <c r="A74" s="86">
        <v>61</v>
      </c>
      <c r="B74" s="57" t="s">
        <v>74</v>
      </c>
      <c r="C74" s="56" t="s">
        <v>41</v>
      </c>
      <c r="D74" s="45" t="s">
        <v>39</v>
      </c>
      <c r="E74" s="45" t="s">
        <v>38</v>
      </c>
      <c r="F74" s="45">
        <v>3232</v>
      </c>
      <c r="G74" s="45">
        <v>1952</v>
      </c>
      <c r="H74" s="46">
        <f t="shared" si="28"/>
        <v>6.3088639999999998</v>
      </c>
      <c r="I74" s="45">
        <v>1</v>
      </c>
      <c r="J74" s="53">
        <v>2923000</v>
      </c>
      <c r="K74" s="47">
        <v>1850000</v>
      </c>
      <c r="L74" s="48">
        <f t="shared" si="29"/>
        <v>20290809.471999999</v>
      </c>
      <c r="M74" s="28"/>
      <c r="N74" s="28"/>
      <c r="O74" s="28"/>
      <c r="P74" s="28"/>
      <c r="Q74" s="28"/>
      <c r="R74" s="28"/>
      <c r="S74" s="28"/>
      <c r="T74" s="28"/>
      <c r="U74" s="28"/>
      <c r="V74" s="28"/>
      <c r="W74" s="28"/>
      <c r="X74" s="28"/>
      <c r="Y74" s="28"/>
      <c r="Z74" s="28"/>
      <c r="AA74" s="28"/>
      <c r="AB74" s="28"/>
      <c r="AC74" s="28"/>
      <c r="AD74" s="28"/>
      <c r="AE74" s="28"/>
      <c r="AF74" s="28"/>
      <c r="AG74" s="28"/>
      <c r="AH74" s="28"/>
    </row>
    <row r="75" spans="1:34" ht="144" customHeight="1" x14ac:dyDescent="0.25">
      <c r="A75" s="86">
        <v>62</v>
      </c>
      <c r="B75" s="86" t="s">
        <v>75</v>
      </c>
      <c r="C75" s="51" t="s">
        <v>42</v>
      </c>
      <c r="D75" s="45" t="s">
        <v>39</v>
      </c>
      <c r="E75" s="45"/>
      <c r="F75" s="45">
        <v>1450</v>
      </c>
      <c r="G75" s="45">
        <v>1945</v>
      </c>
      <c r="H75" s="46">
        <f>F75*G75/10^6</f>
        <v>2.8202500000000001</v>
      </c>
      <c r="I75" s="45">
        <v>1</v>
      </c>
      <c r="J75" s="53">
        <v>2273000</v>
      </c>
      <c r="K75" s="47"/>
      <c r="L75" s="48">
        <f>IF(H75&lt;&gt;0,J75*H75*I75+K75*I75,IF(J75&lt;&gt;0,G75*I75*J75,I75*K75))</f>
        <v>6410428.25</v>
      </c>
      <c r="M75" s="28"/>
      <c r="N75" s="28"/>
      <c r="O75" s="28"/>
      <c r="P75" s="28"/>
      <c r="Q75" s="28"/>
      <c r="R75" s="28"/>
      <c r="S75" s="28"/>
      <c r="T75" s="28"/>
      <c r="U75" s="28"/>
      <c r="V75" s="28"/>
      <c r="W75" s="28"/>
      <c r="X75" s="28"/>
      <c r="Y75" s="28"/>
      <c r="Z75" s="28"/>
      <c r="AA75" s="28"/>
      <c r="AB75" s="28"/>
      <c r="AC75" s="28"/>
      <c r="AD75" s="28"/>
      <c r="AE75" s="28"/>
      <c r="AF75" s="28"/>
      <c r="AG75" s="28"/>
      <c r="AH75" s="28"/>
    </row>
    <row r="76" spans="1:34" ht="144" customHeight="1" x14ac:dyDescent="0.25">
      <c r="A76" s="86">
        <v>63</v>
      </c>
      <c r="B76" s="86" t="s">
        <v>76</v>
      </c>
      <c r="C76" s="51" t="s">
        <v>42</v>
      </c>
      <c r="D76" s="45" t="s">
        <v>39</v>
      </c>
      <c r="E76" s="45"/>
      <c r="F76" s="45">
        <v>1450</v>
      </c>
      <c r="G76" s="45">
        <v>1950</v>
      </c>
      <c r="H76" s="46">
        <f>F76*G76/10^6</f>
        <v>2.8275000000000001</v>
      </c>
      <c r="I76" s="45">
        <v>1</v>
      </c>
      <c r="J76" s="53">
        <v>2273000</v>
      </c>
      <c r="K76" s="47"/>
      <c r="L76" s="48">
        <f>IF(H76&lt;&gt;0,J76*H76*I76+K76*I76,IF(J76&lt;&gt;0,G76*I76*J76,I76*K76))</f>
        <v>6426907.5</v>
      </c>
      <c r="M76" s="28"/>
      <c r="N76" s="28"/>
      <c r="O76" s="28"/>
      <c r="P76" s="28"/>
      <c r="Q76" s="28"/>
      <c r="R76" s="28"/>
      <c r="S76" s="28"/>
      <c r="T76" s="28"/>
      <c r="U76" s="28"/>
      <c r="V76" s="28"/>
      <c r="W76" s="28"/>
      <c r="X76" s="28"/>
      <c r="Y76" s="28"/>
      <c r="Z76" s="28"/>
      <c r="AA76" s="28"/>
      <c r="AB76" s="28"/>
      <c r="AC76" s="28"/>
      <c r="AD76" s="28"/>
      <c r="AE76" s="28"/>
      <c r="AF76" s="28"/>
      <c r="AG76" s="28"/>
      <c r="AH76" s="28"/>
    </row>
    <row r="77" spans="1:34" s="3" customFormat="1" ht="138" customHeight="1" x14ac:dyDescent="0.25">
      <c r="A77" s="86">
        <v>64</v>
      </c>
      <c r="B77" s="57" t="s">
        <v>77</v>
      </c>
      <c r="C77" s="56" t="s">
        <v>41</v>
      </c>
      <c r="D77" s="45" t="s">
        <v>39</v>
      </c>
      <c r="E77" s="45" t="s">
        <v>38</v>
      </c>
      <c r="F77" s="45">
        <v>3210</v>
      </c>
      <c r="G77" s="45">
        <v>1950</v>
      </c>
      <c r="H77" s="46">
        <f t="shared" ref="H77:H79" si="30">F77*G77/10^6</f>
        <v>6.2595000000000001</v>
      </c>
      <c r="I77" s="45">
        <v>1</v>
      </c>
      <c r="J77" s="53">
        <v>2928000</v>
      </c>
      <c r="K77" s="47">
        <v>1850000</v>
      </c>
      <c r="L77" s="48">
        <f t="shared" ref="L77:L79" si="31">IF(H77&lt;&gt;0,J77*H77*I77+K77*I77,IF(J77&lt;&gt;0,G77*I77*J77,I77*K77))</f>
        <v>20177816</v>
      </c>
      <c r="M77" s="28"/>
      <c r="N77" s="28"/>
      <c r="O77" s="28"/>
      <c r="P77" s="28"/>
      <c r="Q77" s="28"/>
      <c r="R77" s="28"/>
      <c r="S77" s="28"/>
      <c r="T77" s="28"/>
      <c r="U77" s="28"/>
      <c r="V77" s="28"/>
      <c r="W77" s="28"/>
      <c r="X77" s="28"/>
      <c r="Y77" s="28"/>
      <c r="Z77" s="28"/>
      <c r="AA77" s="28"/>
      <c r="AB77" s="28"/>
      <c r="AC77" s="28"/>
      <c r="AD77" s="28"/>
      <c r="AE77" s="28"/>
      <c r="AF77" s="28"/>
      <c r="AG77" s="28"/>
      <c r="AH77" s="28"/>
    </row>
    <row r="78" spans="1:34" s="3" customFormat="1" ht="138" customHeight="1" x14ac:dyDescent="0.25">
      <c r="A78" s="86">
        <v>65</v>
      </c>
      <c r="B78" s="57" t="s">
        <v>78</v>
      </c>
      <c r="C78" s="56" t="s">
        <v>41</v>
      </c>
      <c r="D78" s="45" t="s">
        <v>39</v>
      </c>
      <c r="E78" s="45" t="s">
        <v>38</v>
      </c>
      <c r="F78" s="45">
        <v>2850</v>
      </c>
      <c r="G78" s="45">
        <v>1950</v>
      </c>
      <c r="H78" s="46">
        <f t="shared" si="30"/>
        <v>5.5575000000000001</v>
      </c>
      <c r="I78" s="45">
        <v>1</v>
      </c>
      <c r="J78" s="53">
        <v>2991000</v>
      </c>
      <c r="K78" s="47">
        <v>1850000</v>
      </c>
      <c r="L78" s="48">
        <f t="shared" si="31"/>
        <v>18472482.5</v>
      </c>
      <c r="M78" s="28"/>
      <c r="N78" s="28"/>
      <c r="O78" s="28"/>
      <c r="P78" s="28"/>
      <c r="Q78" s="28"/>
      <c r="R78" s="28"/>
      <c r="S78" s="28"/>
      <c r="T78" s="28"/>
      <c r="U78" s="28"/>
      <c r="V78" s="28"/>
      <c r="W78" s="28"/>
      <c r="X78" s="28"/>
      <c r="Y78" s="28"/>
      <c r="Z78" s="28"/>
      <c r="AA78" s="28"/>
      <c r="AB78" s="28"/>
      <c r="AC78" s="28"/>
      <c r="AD78" s="28"/>
      <c r="AE78" s="28"/>
      <c r="AF78" s="28"/>
      <c r="AG78" s="28"/>
      <c r="AH78" s="28"/>
    </row>
    <row r="79" spans="1:34" s="3" customFormat="1" ht="138" customHeight="1" x14ac:dyDescent="0.25">
      <c r="A79" s="86">
        <v>66</v>
      </c>
      <c r="B79" s="57" t="s">
        <v>79</v>
      </c>
      <c r="C79" s="56" t="s">
        <v>41</v>
      </c>
      <c r="D79" s="45" t="s">
        <v>39</v>
      </c>
      <c r="E79" s="45" t="s">
        <v>38</v>
      </c>
      <c r="F79" s="45">
        <v>3203</v>
      </c>
      <c r="G79" s="45">
        <v>1948</v>
      </c>
      <c r="H79" s="46">
        <f t="shared" si="30"/>
        <v>6.2394439999999998</v>
      </c>
      <c r="I79" s="45">
        <v>1</v>
      </c>
      <c r="J79" s="53">
        <v>2930000</v>
      </c>
      <c r="K79" s="47">
        <v>1850000</v>
      </c>
      <c r="L79" s="48">
        <f t="shared" si="31"/>
        <v>20131570.919999998</v>
      </c>
      <c r="M79" s="28"/>
      <c r="N79" s="28"/>
      <c r="O79" s="28"/>
      <c r="P79" s="28"/>
      <c r="Q79" s="28"/>
      <c r="R79" s="28"/>
      <c r="S79" s="28"/>
      <c r="T79" s="28"/>
      <c r="U79" s="28"/>
      <c r="V79" s="28"/>
      <c r="W79" s="28"/>
      <c r="X79" s="28"/>
      <c r="Y79" s="28"/>
      <c r="Z79" s="28"/>
      <c r="AA79" s="28"/>
      <c r="AB79" s="28"/>
      <c r="AC79" s="28"/>
      <c r="AD79" s="28"/>
      <c r="AE79" s="28"/>
      <c r="AF79" s="28"/>
      <c r="AG79" s="28"/>
      <c r="AH79" s="28"/>
    </row>
    <row r="80" spans="1:34" ht="144" customHeight="1" x14ac:dyDescent="0.25">
      <c r="A80" s="86">
        <v>67</v>
      </c>
      <c r="B80" s="86" t="s">
        <v>80</v>
      </c>
      <c r="C80" s="51" t="s">
        <v>42</v>
      </c>
      <c r="D80" s="45" t="s">
        <v>39</v>
      </c>
      <c r="E80" s="45"/>
      <c r="F80" s="45">
        <v>1453</v>
      </c>
      <c r="G80" s="45">
        <v>1950</v>
      </c>
      <c r="H80" s="46">
        <f>F80*G80/10^6</f>
        <v>2.8333499999999998</v>
      </c>
      <c r="I80" s="45">
        <v>1</v>
      </c>
      <c r="J80" s="53">
        <v>2272000</v>
      </c>
      <c r="K80" s="47"/>
      <c r="L80" s="48">
        <f>IF(H80&lt;&gt;0,J80*H80*I80+K80*I80,IF(J80&lt;&gt;0,G80*I80*J80,I80*K80))</f>
        <v>6437371.1999999993</v>
      </c>
      <c r="M80" s="28"/>
      <c r="N80" s="28"/>
      <c r="O80" s="28"/>
      <c r="P80" s="28"/>
      <c r="Q80" s="28"/>
      <c r="R80" s="28"/>
      <c r="S80" s="28"/>
      <c r="T80" s="28"/>
      <c r="U80" s="28"/>
      <c r="V80" s="28"/>
      <c r="W80" s="28"/>
      <c r="X80" s="28"/>
      <c r="Y80" s="28"/>
      <c r="Z80" s="28"/>
      <c r="AA80" s="28"/>
      <c r="AB80" s="28"/>
      <c r="AC80" s="28"/>
      <c r="AD80" s="28"/>
      <c r="AE80" s="28"/>
      <c r="AF80" s="28"/>
      <c r="AG80" s="28"/>
      <c r="AH80" s="28"/>
    </row>
    <row r="81" spans="1:34 16138:16139" ht="144" customHeight="1" x14ac:dyDescent="0.25">
      <c r="A81" s="86">
        <v>68</v>
      </c>
      <c r="B81" s="86" t="s">
        <v>81</v>
      </c>
      <c r="C81" s="51" t="s">
        <v>42</v>
      </c>
      <c r="D81" s="45" t="s">
        <v>39</v>
      </c>
      <c r="E81" s="45"/>
      <c r="F81" s="45">
        <v>1454</v>
      </c>
      <c r="G81" s="45">
        <v>1948</v>
      </c>
      <c r="H81" s="46">
        <f>F81*G81/10^6</f>
        <v>2.832392</v>
      </c>
      <c r="I81" s="45">
        <v>1</v>
      </c>
      <c r="J81" s="53">
        <v>2272000</v>
      </c>
      <c r="K81" s="47"/>
      <c r="L81" s="48">
        <f>IF(H81&lt;&gt;0,J81*H81*I81+K81*I81,IF(J81&lt;&gt;0,G81*I81*J81,I81*K81))</f>
        <v>6435194.6239999998</v>
      </c>
      <c r="M81" s="28"/>
      <c r="N81" s="28"/>
      <c r="O81" s="28"/>
      <c r="P81" s="28"/>
      <c r="Q81" s="28"/>
      <c r="R81" s="28"/>
      <c r="S81" s="28"/>
      <c r="T81" s="28"/>
      <c r="U81" s="28"/>
      <c r="V81" s="28"/>
      <c r="W81" s="28"/>
      <c r="X81" s="28"/>
      <c r="Y81" s="28"/>
      <c r="Z81" s="28"/>
      <c r="AA81" s="28"/>
      <c r="AB81" s="28"/>
      <c r="AC81" s="28"/>
      <c r="AD81" s="28"/>
      <c r="AE81" s="28"/>
      <c r="AF81" s="28"/>
      <c r="AG81" s="28"/>
      <c r="AH81" s="28"/>
    </row>
    <row r="82" spans="1:34 16138:16139" s="3" customFormat="1" ht="138" customHeight="1" x14ac:dyDescent="0.25">
      <c r="A82" s="86">
        <v>69</v>
      </c>
      <c r="B82" s="57" t="s">
        <v>82</v>
      </c>
      <c r="C82" s="56" t="s">
        <v>41</v>
      </c>
      <c r="D82" s="45" t="s">
        <v>39</v>
      </c>
      <c r="E82" s="45" t="s">
        <v>38</v>
      </c>
      <c r="F82" s="45">
        <v>2940</v>
      </c>
      <c r="G82" s="45">
        <v>1948</v>
      </c>
      <c r="H82" s="46">
        <f t="shared" ref="H82" si="32">F82*G82/10^6</f>
        <v>5.7271200000000002</v>
      </c>
      <c r="I82" s="45">
        <v>1</v>
      </c>
      <c r="J82" s="53">
        <v>2975000</v>
      </c>
      <c r="K82" s="47">
        <v>1850000</v>
      </c>
      <c r="L82" s="48">
        <f t="shared" ref="L82" si="33">IF(H82&lt;&gt;0,J82*H82*I82+K82*I82,IF(J82&lt;&gt;0,G82*I82*J82,I82*K82))</f>
        <v>18888182</v>
      </c>
      <c r="M82" s="28"/>
      <c r="N82" s="28"/>
      <c r="O82" s="28"/>
      <c r="P82" s="28"/>
      <c r="Q82" s="28"/>
      <c r="R82" s="28"/>
      <c r="S82" s="28"/>
      <c r="T82" s="28"/>
      <c r="U82" s="28"/>
      <c r="V82" s="28"/>
      <c r="W82" s="28"/>
      <c r="X82" s="28"/>
      <c r="Y82" s="28"/>
      <c r="Z82" s="28"/>
      <c r="AA82" s="28"/>
      <c r="AB82" s="28"/>
      <c r="AC82" s="28"/>
      <c r="AD82" s="28"/>
      <c r="AE82" s="28"/>
      <c r="AF82" s="28"/>
      <c r="AG82" s="28"/>
      <c r="AH82" s="28"/>
    </row>
    <row r="83" spans="1:34 16138:16139" ht="144" customHeight="1" x14ac:dyDescent="0.25">
      <c r="A83" s="86">
        <v>70</v>
      </c>
      <c r="B83" s="86" t="s">
        <v>83</v>
      </c>
      <c r="C83" s="51" t="s">
        <v>42</v>
      </c>
      <c r="D83" s="45" t="s">
        <v>45</v>
      </c>
      <c r="E83" s="45"/>
      <c r="F83" s="45">
        <v>2353</v>
      </c>
      <c r="G83" s="45">
        <v>1953</v>
      </c>
      <c r="H83" s="46">
        <f>F83*G83/10^6</f>
        <v>4.5954090000000001</v>
      </c>
      <c r="I83" s="45">
        <v>1</v>
      </c>
      <c r="J83" s="53">
        <v>2256000</v>
      </c>
      <c r="K83" s="47"/>
      <c r="L83" s="48">
        <f>IF(H83&lt;&gt;0,J83*H83*I83+K83*I83,IF(J83&lt;&gt;0,G83*I83*J83,I83*K83))</f>
        <v>10367242.704</v>
      </c>
      <c r="M83" s="28"/>
      <c r="N83" s="28"/>
      <c r="O83" s="28"/>
      <c r="P83" s="28"/>
      <c r="Q83" s="28"/>
      <c r="R83" s="28"/>
      <c r="S83" s="28"/>
      <c r="T83" s="28"/>
      <c r="U83" s="28"/>
      <c r="V83" s="28"/>
      <c r="W83" s="28"/>
      <c r="X83" s="28"/>
      <c r="Y83" s="28"/>
      <c r="Z83" s="28"/>
      <c r="AA83" s="28"/>
      <c r="AB83" s="28"/>
      <c r="AC83" s="28"/>
      <c r="AD83" s="28"/>
      <c r="AE83" s="28"/>
      <c r="AF83" s="28"/>
      <c r="AG83" s="28"/>
      <c r="AH83" s="28"/>
    </row>
    <row r="84" spans="1:34 16138:16139" ht="144" customHeight="1" x14ac:dyDescent="0.25">
      <c r="A84" s="86">
        <v>71</v>
      </c>
      <c r="B84" s="86" t="s">
        <v>84</v>
      </c>
      <c r="C84" s="51" t="s">
        <v>42</v>
      </c>
      <c r="D84" s="45" t="s">
        <v>39</v>
      </c>
      <c r="E84" s="45"/>
      <c r="F84" s="45">
        <v>2090</v>
      </c>
      <c r="G84" s="45">
        <v>1396</v>
      </c>
      <c r="H84" s="46">
        <f>F84*G84/10^6</f>
        <v>2.91764</v>
      </c>
      <c r="I84" s="45">
        <v>1</v>
      </c>
      <c r="J84" s="53">
        <v>2266000</v>
      </c>
      <c r="K84" s="47"/>
      <c r="L84" s="48">
        <f>IF(H84&lt;&gt;0,J84*H84*I84+K84*I84,IF(J84&lt;&gt;0,G84*I84*J84,I84*K84))</f>
        <v>6611372.2400000002</v>
      </c>
      <c r="M84" s="28"/>
      <c r="N84" s="28"/>
      <c r="O84" s="28"/>
      <c r="P84" s="28"/>
      <c r="Q84" s="28"/>
      <c r="R84" s="28"/>
      <c r="S84" s="28"/>
      <c r="T84" s="28"/>
      <c r="U84" s="28"/>
      <c r="V84" s="28"/>
      <c r="W84" s="28"/>
      <c r="X84" s="28"/>
      <c r="Y84" s="28"/>
      <c r="Z84" s="28"/>
      <c r="AA84" s="28"/>
      <c r="AB84" s="28"/>
      <c r="AC84" s="28"/>
      <c r="AD84" s="28"/>
      <c r="AE84" s="28"/>
      <c r="AF84" s="28"/>
      <c r="AG84" s="28"/>
      <c r="AH84" s="28"/>
    </row>
    <row r="85" spans="1:34 16138:16139" s="3" customFormat="1" ht="138" customHeight="1" x14ac:dyDescent="0.25">
      <c r="A85" s="86">
        <v>72</v>
      </c>
      <c r="B85" s="57" t="s">
        <v>123</v>
      </c>
      <c r="C85" s="56" t="s">
        <v>41</v>
      </c>
      <c r="D85" s="45" t="s">
        <v>39</v>
      </c>
      <c r="E85" s="45" t="s">
        <v>38</v>
      </c>
      <c r="F85" s="45">
        <v>3756</v>
      </c>
      <c r="G85" s="45">
        <v>1947</v>
      </c>
      <c r="H85" s="46">
        <f t="shared" ref="H85" si="34">F85*G85/10^6</f>
        <v>7.312932</v>
      </c>
      <c r="I85" s="45">
        <v>1</v>
      </c>
      <c r="J85" s="53">
        <v>2854000</v>
      </c>
      <c r="K85" s="47">
        <v>1850000</v>
      </c>
      <c r="L85" s="48">
        <f t="shared" ref="L85" si="35">IF(H85&lt;&gt;0,J85*H85*I85+K85*I85,IF(J85&lt;&gt;0,G85*I85*J85,I85*K85))</f>
        <v>22721107.927999999</v>
      </c>
      <c r="M85" s="28"/>
      <c r="N85" s="28"/>
      <c r="O85" s="28"/>
      <c r="P85" s="28"/>
      <c r="Q85" s="28"/>
      <c r="R85" s="28"/>
      <c r="S85" s="28"/>
      <c r="T85" s="28"/>
      <c r="U85" s="28"/>
      <c r="V85" s="28"/>
      <c r="W85" s="28"/>
      <c r="X85" s="28"/>
      <c r="Y85" s="28"/>
      <c r="Z85" s="28"/>
      <c r="AA85" s="28"/>
      <c r="AB85" s="28"/>
      <c r="AC85" s="28"/>
      <c r="AD85" s="28"/>
      <c r="AE85" s="28"/>
      <c r="AF85" s="28"/>
      <c r="AG85" s="28"/>
      <c r="AH85" s="28"/>
    </row>
    <row r="86" spans="1:34 16138:16139" s="8" customFormat="1" ht="31.5" customHeight="1" x14ac:dyDescent="0.25">
      <c r="A86" s="132" t="s">
        <v>124</v>
      </c>
      <c r="B86" s="133"/>
      <c r="C86" s="133"/>
      <c r="D86" s="133"/>
      <c r="E86" s="134"/>
      <c r="F86" s="64"/>
      <c r="G86" s="64"/>
      <c r="H86" s="65"/>
      <c r="I86" s="45"/>
      <c r="J86" s="53"/>
      <c r="K86" s="47"/>
      <c r="L86" s="67"/>
    </row>
    <row r="87" spans="1:34 16138:16139" s="39" customFormat="1" ht="156" customHeight="1" x14ac:dyDescent="0.25">
      <c r="A87" s="86">
        <v>73</v>
      </c>
      <c r="B87" s="86" t="s">
        <v>125</v>
      </c>
      <c r="C87" s="51" t="s">
        <v>43</v>
      </c>
      <c r="D87" s="45" t="s">
        <v>39</v>
      </c>
      <c r="E87" s="45" t="s">
        <v>38</v>
      </c>
      <c r="F87" s="45">
        <v>3753</v>
      </c>
      <c r="G87" s="45">
        <v>1950</v>
      </c>
      <c r="H87" s="46">
        <f t="shared" ref="H87:H88" si="36">F87*G87/10^6</f>
        <v>7.3183499999999997</v>
      </c>
      <c r="I87" s="45">
        <v>1</v>
      </c>
      <c r="J87" s="53">
        <v>3018000</v>
      </c>
      <c r="K87" s="47">
        <v>2020000</v>
      </c>
      <c r="L87" s="48">
        <f t="shared" ref="L87:L88" si="37">IF(H87&lt;&gt;0,J87*H87*I87+K87*I87,IF(J87&lt;&gt;0,G87*I87*J87,I87*K87))</f>
        <v>24106780.300000001</v>
      </c>
      <c r="M87" s="28"/>
      <c r="N87" s="28"/>
      <c r="O87" s="28"/>
      <c r="P87" s="28"/>
      <c r="Q87" s="28"/>
      <c r="R87" s="28"/>
      <c r="S87" s="28"/>
      <c r="T87" s="28"/>
      <c r="U87" s="28"/>
      <c r="V87" s="28"/>
      <c r="W87" s="28"/>
      <c r="X87" s="28"/>
      <c r="Y87" s="28"/>
      <c r="Z87" s="28"/>
      <c r="AA87" s="28"/>
      <c r="AB87" s="28"/>
      <c r="AC87" s="28"/>
      <c r="AD87" s="28"/>
      <c r="AE87" s="28"/>
      <c r="AF87" s="28"/>
      <c r="AG87" s="28"/>
      <c r="AH87" s="28"/>
    </row>
    <row r="88" spans="1:34 16138:16139" ht="147" customHeight="1" x14ac:dyDescent="0.25">
      <c r="A88" s="86">
        <v>74</v>
      </c>
      <c r="B88" s="86" t="s">
        <v>126</v>
      </c>
      <c r="C88" s="51" t="s">
        <v>42</v>
      </c>
      <c r="D88" s="45" t="s">
        <v>44</v>
      </c>
      <c r="E88" s="45"/>
      <c r="F88" s="45">
        <v>2545</v>
      </c>
      <c r="G88" s="45">
        <v>1410</v>
      </c>
      <c r="H88" s="46">
        <f t="shared" si="36"/>
        <v>3.5884499999999999</v>
      </c>
      <c r="I88" s="45">
        <v>1</v>
      </c>
      <c r="J88" s="53">
        <v>1942000</v>
      </c>
      <c r="K88" s="47"/>
      <c r="L88" s="48">
        <f t="shared" si="37"/>
        <v>6968769.8999999994</v>
      </c>
      <c r="M88" s="28"/>
      <c r="N88" s="28"/>
      <c r="O88" s="28"/>
      <c r="P88" s="28"/>
      <c r="Q88" s="28"/>
      <c r="R88" s="28"/>
      <c r="S88" s="28"/>
      <c r="T88" s="28"/>
      <c r="U88" s="28"/>
      <c r="V88" s="28"/>
      <c r="W88" s="28"/>
      <c r="X88" s="28"/>
      <c r="Y88" s="28"/>
      <c r="Z88" s="28"/>
      <c r="AA88" s="28"/>
      <c r="AB88" s="28"/>
      <c r="AC88" s="28"/>
      <c r="AD88" s="28"/>
      <c r="AE88" s="28"/>
      <c r="AF88" s="28"/>
      <c r="AG88" s="28"/>
      <c r="AH88" s="28"/>
    </row>
    <row r="89" spans="1:34 16138:16139" ht="144" customHeight="1" x14ac:dyDescent="0.25">
      <c r="A89" s="86">
        <v>75</v>
      </c>
      <c r="B89" s="86" t="s">
        <v>127</v>
      </c>
      <c r="C89" s="51" t="s">
        <v>42</v>
      </c>
      <c r="D89" s="45" t="s">
        <v>45</v>
      </c>
      <c r="E89" s="45"/>
      <c r="F89" s="45">
        <v>2880</v>
      </c>
      <c r="G89" s="45">
        <v>1943</v>
      </c>
      <c r="H89" s="46">
        <f>F89*G89/10^6</f>
        <v>5.5958399999999999</v>
      </c>
      <c r="I89" s="45">
        <v>1</v>
      </c>
      <c r="J89" s="53">
        <v>2232000</v>
      </c>
      <c r="K89" s="47"/>
      <c r="L89" s="48">
        <f>IF(H89&lt;&gt;0,J89*H89*I89+K89*I89,IF(J89&lt;&gt;0,G89*I89*J89,I89*K89))</f>
        <v>12489914.879999999</v>
      </c>
      <c r="M89" s="28"/>
      <c r="N89" s="28"/>
      <c r="O89" s="28"/>
      <c r="P89" s="28"/>
      <c r="Q89" s="28"/>
      <c r="R89" s="28"/>
      <c r="S89" s="28"/>
      <c r="T89" s="28"/>
      <c r="U89" s="28"/>
      <c r="V89" s="28"/>
      <c r="W89" s="28"/>
      <c r="X89" s="28"/>
      <c r="Y89" s="28"/>
      <c r="Z89" s="28"/>
      <c r="AA89" s="28"/>
      <c r="AB89" s="28"/>
      <c r="AC89" s="28"/>
      <c r="AD89" s="28"/>
      <c r="AE89" s="28"/>
      <c r="AF89" s="28"/>
      <c r="AG89" s="28"/>
      <c r="AH89" s="28"/>
    </row>
    <row r="90" spans="1:34 16138:16139" ht="144" customHeight="1" x14ac:dyDescent="0.25">
      <c r="A90" s="86">
        <v>76</v>
      </c>
      <c r="B90" s="86" t="s">
        <v>128</v>
      </c>
      <c r="C90" s="51" t="s">
        <v>42</v>
      </c>
      <c r="D90" s="45" t="s">
        <v>39</v>
      </c>
      <c r="E90" s="45"/>
      <c r="F90" s="45">
        <v>1450</v>
      </c>
      <c r="G90" s="45">
        <v>1950</v>
      </c>
      <c r="H90" s="46">
        <f>F90*G90/10^6</f>
        <v>2.8275000000000001</v>
      </c>
      <c r="I90" s="45">
        <v>1</v>
      </c>
      <c r="J90" s="53">
        <v>2273000</v>
      </c>
      <c r="K90" s="47"/>
      <c r="L90" s="48">
        <f>IF(H90&lt;&gt;0,J90*H90*I90+K90*I90,IF(J90&lt;&gt;0,G90*I90*J90,I90*K90))</f>
        <v>6426907.5</v>
      </c>
      <c r="M90" s="28"/>
      <c r="N90" s="28"/>
      <c r="O90" s="28"/>
      <c r="P90" s="28"/>
      <c r="Q90" s="28"/>
      <c r="R90" s="28"/>
      <c r="S90" s="28"/>
      <c r="T90" s="28"/>
      <c r="U90" s="28"/>
      <c r="V90" s="28"/>
      <c r="W90" s="28"/>
      <c r="X90" s="28"/>
      <c r="Y90" s="28"/>
      <c r="Z90" s="28"/>
      <c r="AA90" s="28"/>
      <c r="AB90" s="28"/>
      <c r="AC90" s="28"/>
      <c r="AD90" s="28"/>
      <c r="AE90" s="28"/>
      <c r="AF90" s="28"/>
      <c r="AG90" s="28"/>
      <c r="AH90" s="28"/>
    </row>
    <row r="91" spans="1:34 16138:16139" ht="156" customHeight="1" x14ac:dyDescent="0.25">
      <c r="A91" s="86">
        <v>77</v>
      </c>
      <c r="B91" s="86" t="s">
        <v>129</v>
      </c>
      <c r="C91" s="51" t="s">
        <v>41</v>
      </c>
      <c r="D91" s="45" t="s">
        <v>39</v>
      </c>
      <c r="E91" s="45" t="s">
        <v>38</v>
      </c>
      <c r="F91" s="45">
        <v>3202</v>
      </c>
      <c r="G91" s="45">
        <v>1952</v>
      </c>
      <c r="H91" s="46">
        <f>F91*G91/10^6</f>
        <v>6.2503039999999999</v>
      </c>
      <c r="I91" s="45">
        <v>1</v>
      </c>
      <c r="J91" s="53">
        <v>2928000</v>
      </c>
      <c r="K91" s="47">
        <v>1850000</v>
      </c>
      <c r="L91" s="48">
        <f>IF(H91&lt;&gt;0,J91*H91*I91+K91*I91,IF(J91&lt;&gt;0,G91*I91*J91,I91*K91))</f>
        <v>20150890.112</v>
      </c>
      <c r="M91" s="28"/>
      <c r="N91" s="28"/>
      <c r="O91" s="28"/>
      <c r="P91" s="28"/>
      <c r="Q91" s="28"/>
      <c r="R91" s="28"/>
      <c r="S91" s="28"/>
      <c r="T91" s="28"/>
      <c r="U91" s="28"/>
      <c r="V91" s="28"/>
      <c r="W91" s="28"/>
      <c r="X91" s="28"/>
      <c r="Y91" s="28"/>
      <c r="Z91" s="28"/>
      <c r="AA91" s="28"/>
      <c r="AB91" s="28"/>
      <c r="AC91" s="28"/>
      <c r="AD91" s="28"/>
      <c r="AE91" s="28"/>
      <c r="AF91" s="28"/>
      <c r="AG91" s="28"/>
      <c r="AH91" s="28"/>
    </row>
    <row r="92" spans="1:34 16138:16139" ht="150.75" customHeight="1" x14ac:dyDescent="0.25">
      <c r="A92" s="86">
        <v>78</v>
      </c>
      <c r="B92" s="86" t="s">
        <v>130</v>
      </c>
      <c r="C92" s="51" t="s">
        <v>46</v>
      </c>
      <c r="D92" s="45" t="s">
        <v>39</v>
      </c>
      <c r="E92" s="45" t="s">
        <v>38</v>
      </c>
      <c r="F92" s="45">
        <v>2806</v>
      </c>
      <c r="G92" s="45">
        <v>1960</v>
      </c>
      <c r="H92" s="46">
        <f t="shared" ref="H92:H120" si="38">F92*G92/10^6</f>
        <v>5.4997600000000002</v>
      </c>
      <c r="I92" s="45">
        <v>1</v>
      </c>
      <c r="J92" s="53">
        <v>2963000</v>
      </c>
      <c r="K92" s="47">
        <v>1624000</v>
      </c>
      <c r="L92" s="48">
        <f t="shared" ref="L92:L120" si="39">IF(H92&lt;&gt;0,J92*H92*I92+K92*I92,IF(J92&lt;&gt;0,G92*I92*J92,I92*K92))</f>
        <v>17919788.880000003</v>
      </c>
      <c r="M92" s="28"/>
      <c r="N92" s="28"/>
      <c r="O92" s="28"/>
      <c r="P92" s="28"/>
      <c r="Q92" s="28"/>
      <c r="R92" s="28"/>
      <c r="S92" s="28"/>
      <c r="T92" s="28"/>
      <c r="U92" s="28"/>
      <c r="V92" s="28"/>
      <c r="W92" s="28"/>
      <c r="X92" s="28"/>
      <c r="Y92" s="28"/>
      <c r="Z92" s="28"/>
      <c r="AA92" s="28"/>
      <c r="AB92" s="28"/>
      <c r="AC92" s="28"/>
      <c r="AD92" s="28"/>
      <c r="AE92" s="28"/>
      <c r="AF92" s="28"/>
      <c r="WVR92"/>
      <c r="WVS92"/>
    </row>
    <row r="93" spans="1:34 16138:16139" ht="156" customHeight="1" x14ac:dyDescent="0.25">
      <c r="A93" s="86">
        <v>79</v>
      </c>
      <c r="B93" s="86" t="s">
        <v>131</v>
      </c>
      <c r="C93" s="51" t="s">
        <v>41</v>
      </c>
      <c r="D93" s="45" t="s">
        <v>39</v>
      </c>
      <c r="E93" s="45" t="s">
        <v>38</v>
      </c>
      <c r="F93" s="45">
        <v>3203</v>
      </c>
      <c r="G93" s="45">
        <v>1950</v>
      </c>
      <c r="H93" s="46">
        <f t="shared" si="38"/>
        <v>6.2458499999999999</v>
      </c>
      <c r="I93" s="45">
        <v>1</v>
      </c>
      <c r="J93" s="53">
        <v>2928000</v>
      </c>
      <c r="K93" s="47">
        <v>1850000</v>
      </c>
      <c r="L93" s="48">
        <f t="shared" si="39"/>
        <v>20137848.800000001</v>
      </c>
      <c r="M93" s="28"/>
      <c r="N93" s="28"/>
      <c r="O93" s="28"/>
      <c r="P93" s="28"/>
      <c r="Q93" s="28"/>
      <c r="R93" s="28"/>
      <c r="S93" s="28"/>
      <c r="T93" s="28"/>
      <c r="U93" s="28"/>
      <c r="V93" s="28"/>
      <c r="W93" s="28"/>
      <c r="X93" s="28"/>
      <c r="Y93" s="28"/>
      <c r="Z93" s="28"/>
      <c r="AA93" s="28"/>
      <c r="AB93" s="28"/>
      <c r="AC93" s="28"/>
      <c r="AD93" s="28"/>
      <c r="AE93" s="28"/>
      <c r="AF93" s="28"/>
      <c r="AG93" s="28"/>
      <c r="AH93" s="28"/>
    </row>
    <row r="94" spans="1:34 16138:16139" ht="144" customHeight="1" x14ac:dyDescent="0.25">
      <c r="A94" s="86">
        <v>80</v>
      </c>
      <c r="B94" s="86" t="s">
        <v>132</v>
      </c>
      <c r="C94" s="51" t="s">
        <v>42</v>
      </c>
      <c r="D94" s="45" t="s">
        <v>39</v>
      </c>
      <c r="E94" s="45"/>
      <c r="F94" s="45">
        <v>1477</v>
      </c>
      <c r="G94" s="45">
        <v>1950</v>
      </c>
      <c r="H94" s="46">
        <f t="shared" si="38"/>
        <v>2.88015</v>
      </c>
      <c r="I94" s="45">
        <v>1</v>
      </c>
      <c r="J94" s="53">
        <v>2266000</v>
      </c>
      <c r="K94" s="47"/>
      <c r="L94" s="48">
        <f t="shared" si="39"/>
        <v>6526419.9000000004</v>
      </c>
      <c r="M94" s="28"/>
      <c r="N94" s="28"/>
      <c r="O94" s="28"/>
      <c r="P94" s="28"/>
      <c r="Q94" s="28"/>
      <c r="R94" s="28"/>
      <c r="S94" s="28"/>
      <c r="T94" s="28"/>
      <c r="U94" s="28"/>
      <c r="V94" s="28"/>
      <c r="W94" s="28"/>
      <c r="X94" s="28"/>
      <c r="Y94" s="28"/>
      <c r="Z94" s="28"/>
      <c r="AA94" s="28"/>
      <c r="AB94" s="28"/>
      <c r="AC94" s="28"/>
      <c r="AD94" s="28"/>
      <c r="AE94" s="28"/>
      <c r="AF94" s="28"/>
      <c r="AG94" s="28"/>
      <c r="AH94" s="28"/>
    </row>
    <row r="95" spans="1:34 16138:16139" ht="144" customHeight="1" x14ac:dyDescent="0.25">
      <c r="A95" s="86">
        <v>81</v>
      </c>
      <c r="B95" s="86" t="s">
        <v>133</v>
      </c>
      <c r="C95" s="51" t="s">
        <v>42</v>
      </c>
      <c r="D95" s="45" t="s">
        <v>39</v>
      </c>
      <c r="E95" s="45"/>
      <c r="F95" s="45">
        <v>1450</v>
      </c>
      <c r="G95" s="45">
        <v>1950</v>
      </c>
      <c r="H95" s="46">
        <f t="shared" si="38"/>
        <v>2.8275000000000001</v>
      </c>
      <c r="I95" s="45">
        <v>1</v>
      </c>
      <c r="J95" s="53">
        <v>2273000</v>
      </c>
      <c r="K95" s="47"/>
      <c r="L95" s="48">
        <f t="shared" si="39"/>
        <v>6426907.5</v>
      </c>
      <c r="M95" s="28"/>
      <c r="N95" s="28"/>
      <c r="O95" s="28"/>
      <c r="P95" s="28"/>
      <c r="Q95" s="28"/>
      <c r="R95" s="28"/>
      <c r="S95" s="28"/>
      <c r="T95" s="28"/>
      <c r="U95" s="28"/>
      <c r="V95" s="28"/>
      <c r="W95" s="28"/>
      <c r="X95" s="28"/>
      <c r="Y95" s="28"/>
      <c r="Z95" s="28"/>
      <c r="AA95" s="28"/>
      <c r="AB95" s="28"/>
      <c r="AC95" s="28"/>
      <c r="AD95" s="28"/>
      <c r="AE95" s="28"/>
      <c r="AF95" s="28"/>
      <c r="AG95" s="28"/>
      <c r="AH95" s="28"/>
    </row>
    <row r="96" spans="1:34 16138:16139" ht="156" customHeight="1" x14ac:dyDescent="0.25">
      <c r="A96" s="86">
        <v>82</v>
      </c>
      <c r="B96" s="86" t="s">
        <v>134</v>
      </c>
      <c r="C96" s="51" t="s">
        <v>41</v>
      </c>
      <c r="D96" s="45" t="s">
        <v>39</v>
      </c>
      <c r="E96" s="45" t="s">
        <v>38</v>
      </c>
      <c r="F96" s="45">
        <v>3205</v>
      </c>
      <c r="G96" s="45">
        <v>1950</v>
      </c>
      <c r="H96" s="46">
        <f t="shared" si="38"/>
        <v>6.2497499999999997</v>
      </c>
      <c r="I96" s="45">
        <v>1</v>
      </c>
      <c r="J96" s="53">
        <v>2928000</v>
      </c>
      <c r="K96" s="47">
        <v>1850000</v>
      </c>
      <c r="L96" s="48">
        <f t="shared" si="39"/>
        <v>20149268</v>
      </c>
      <c r="M96" s="28"/>
      <c r="N96" s="28"/>
      <c r="O96" s="28"/>
      <c r="P96" s="28"/>
      <c r="Q96" s="28"/>
      <c r="R96" s="28"/>
      <c r="S96" s="28"/>
      <c r="T96" s="28"/>
      <c r="U96" s="28"/>
      <c r="V96" s="28"/>
      <c r="W96" s="28"/>
      <c r="X96" s="28"/>
      <c r="Y96" s="28"/>
      <c r="Z96" s="28"/>
      <c r="AA96" s="28"/>
      <c r="AB96" s="28"/>
      <c r="AC96" s="28"/>
      <c r="AD96" s="28"/>
      <c r="AE96" s="28"/>
      <c r="AF96" s="28"/>
      <c r="AG96" s="28"/>
      <c r="AH96" s="28"/>
    </row>
    <row r="97" spans="1:34" ht="156" customHeight="1" x14ac:dyDescent="0.25">
      <c r="A97" s="86">
        <v>83</v>
      </c>
      <c r="B97" s="86" t="s">
        <v>135</v>
      </c>
      <c r="C97" s="51" t="s">
        <v>41</v>
      </c>
      <c r="D97" s="45" t="s">
        <v>39</v>
      </c>
      <c r="E97" s="45" t="s">
        <v>38</v>
      </c>
      <c r="F97" s="45">
        <v>3185</v>
      </c>
      <c r="G97" s="45">
        <v>1955</v>
      </c>
      <c r="H97" s="46">
        <f t="shared" si="38"/>
        <v>6.2266750000000002</v>
      </c>
      <c r="I97" s="45">
        <v>1</v>
      </c>
      <c r="J97" s="53">
        <v>2930000</v>
      </c>
      <c r="K97" s="47">
        <v>1850000</v>
      </c>
      <c r="L97" s="48">
        <f t="shared" si="39"/>
        <v>20094157.75</v>
      </c>
      <c r="M97" s="28"/>
      <c r="N97" s="28"/>
      <c r="O97" s="28"/>
      <c r="P97" s="28"/>
      <c r="Q97" s="28"/>
      <c r="R97" s="28"/>
      <c r="S97" s="28"/>
      <c r="T97" s="28"/>
      <c r="U97" s="28"/>
      <c r="V97" s="28"/>
      <c r="W97" s="28"/>
      <c r="X97" s="28"/>
      <c r="Y97" s="28"/>
      <c r="Z97" s="28"/>
      <c r="AA97" s="28"/>
      <c r="AB97" s="28"/>
      <c r="AC97" s="28"/>
      <c r="AD97" s="28"/>
      <c r="AE97" s="28"/>
      <c r="AF97" s="28"/>
      <c r="AG97" s="28"/>
      <c r="AH97" s="28"/>
    </row>
    <row r="98" spans="1:34" ht="144" customHeight="1" x14ac:dyDescent="0.25">
      <c r="A98" s="86">
        <v>84</v>
      </c>
      <c r="B98" s="57" t="s">
        <v>136</v>
      </c>
      <c r="C98" s="56" t="s">
        <v>42</v>
      </c>
      <c r="D98" s="45" t="s">
        <v>39</v>
      </c>
      <c r="E98" s="45"/>
      <c r="F98" s="45">
        <v>1453</v>
      </c>
      <c r="G98" s="45">
        <v>1950</v>
      </c>
      <c r="H98" s="46">
        <f t="shared" si="38"/>
        <v>2.8333499999999998</v>
      </c>
      <c r="I98" s="45">
        <v>1</v>
      </c>
      <c r="J98" s="53">
        <v>2272000</v>
      </c>
      <c r="K98" s="47"/>
      <c r="L98" s="48">
        <f t="shared" si="39"/>
        <v>6437371.1999999993</v>
      </c>
      <c r="M98" s="28"/>
      <c r="N98" s="28"/>
      <c r="O98" s="28"/>
      <c r="P98" s="28"/>
      <c r="Q98" s="28"/>
      <c r="R98" s="28"/>
      <c r="S98" s="28"/>
      <c r="T98" s="28"/>
      <c r="U98" s="28"/>
      <c r="V98" s="28"/>
      <c r="W98" s="28"/>
      <c r="X98" s="28"/>
      <c r="Y98" s="28"/>
      <c r="Z98" s="28"/>
      <c r="AA98" s="28"/>
      <c r="AB98" s="28"/>
      <c r="AC98" s="28"/>
      <c r="AD98" s="28"/>
      <c r="AE98" s="28"/>
      <c r="AF98" s="28"/>
      <c r="AG98" s="28"/>
      <c r="AH98" s="28"/>
    </row>
    <row r="99" spans="1:34" ht="144" customHeight="1" x14ac:dyDescent="0.25">
      <c r="A99" s="86">
        <v>85</v>
      </c>
      <c r="B99" s="57" t="s">
        <v>137</v>
      </c>
      <c r="C99" s="56" t="s">
        <v>42</v>
      </c>
      <c r="D99" s="45" t="s">
        <v>39</v>
      </c>
      <c r="E99" s="45"/>
      <c r="F99" s="45">
        <v>1455</v>
      </c>
      <c r="G99" s="45">
        <v>1950</v>
      </c>
      <c r="H99" s="46">
        <f t="shared" si="38"/>
        <v>2.83725</v>
      </c>
      <c r="I99" s="45">
        <v>1</v>
      </c>
      <c r="J99" s="53">
        <v>2272000</v>
      </c>
      <c r="K99" s="47"/>
      <c r="L99" s="48">
        <f t="shared" si="39"/>
        <v>6446232</v>
      </c>
      <c r="M99" s="28"/>
      <c r="N99" s="28"/>
      <c r="O99" s="28"/>
      <c r="P99" s="28"/>
      <c r="Q99" s="28"/>
      <c r="R99" s="28"/>
      <c r="S99" s="28"/>
      <c r="T99" s="28"/>
      <c r="U99" s="28"/>
      <c r="V99" s="28"/>
      <c r="W99" s="28"/>
      <c r="X99" s="28"/>
      <c r="Y99" s="28"/>
      <c r="Z99" s="28"/>
      <c r="AA99" s="28"/>
      <c r="AB99" s="28"/>
      <c r="AC99" s="28"/>
      <c r="AD99" s="28"/>
      <c r="AE99" s="28"/>
      <c r="AF99" s="28"/>
      <c r="AG99" s="28"/>
      <c r="AH99" s="28"/>
    </row>
    <row r="100" spans="1:34" ht="156" customHeight="1" x14ac:dyDescent="0.25">
      <c r="A100" s="86">
        <v>86</v>
      </c>
      <c r="B100" s="57" t="s">
        <v>138</v>
      </c>
      <c r="C100" s="56" t="s">
        <v>41</v>
      </c>
      <c r="D100" s="45" t="s">
        <v>39</v>
      </c>
      <c r="E100" s="45" t="s">
        <v>38</v>
      </c>
      <c r="F100" s="45">
        <v>2945</v>
      </c>
      <c r="G100" s="45">
        <v>1942</v>
      </c>
      <c r="H100" s="46">
        <f t="shared" si="38"/>
        <v>5.7191900000000002</v>
      </c>
      <c r="I100" s="45">
        <v>1</v>
      </c>
      <c r="J100" s="53">
        <v>2975000</v>
      </c>
      <c r="K100" s="47">
        <v>1850000</v>
      </c>
      <c r="L100" s="48">
        <f t="shared" si="39"/>
        <v>18864590.25</v>
      </c>
      <c r="M100" s="28"/>
      <c r="N100" s="28"/>
      <c r="O100" s="28"/>
      <c r="P100" s="28"/>
      <c r="Q100" s="28"/>
      <c r="R100" s="28"/>
      <c r="S100" s="28"/>
      <c r="T100" s="28"/>
      <c r="U100" s="28"/>
      <c r="V100" s="28"/>
      <c r="W100" s="28"/>
      <c r="X100" s="28"/>
      <c r="Y100" s="28"/>
      <c r="Z100" s="28"/>
      <c r="AA100" s="28"/>
      <c r="AB100" s="28"/>
      <c r="AC100" s="28"/>
      <c r="AD100" s="28"/>
      <c r="AE100" s="28"/>
      <c r="AF100" s="28"/>
      <c r="AG100" s="28"/>
      <c r="AH100" s="28"/>
    </row>
    <row r="101" spans="1:34" ht="156" customHeight="1" x14ac:dyDescent="0.25">
      <c r="A101" s="86">
        <v>87</v>
      </c>
      <c r="B101" s="68" t="s">
        <v>139</v>
      </c>
      <c r="C101" s="56" t="s">
        <v>42</v>
      </c>
      <c r="D101" s="45" t="s">
        <v>39</v>
      </c>
      <c r="E101" s="45"/>
      <c r="F101" s="45">
        <v>3322</v>
      </c>
      <c r="G101" s="45">
        <v>1953</v>
      </c>
      <c r="H101" s="46">
        <f t="shared" si="38"/>
        <v>6.4878660000000004</v>
      </c>
      <c r="I101" s="45">
        <v>1</v>
      </c>
      <c r="J101" s="53">
        <v>2144000</v>
      </c>
      <c r="K101" s="47"/>
      <c r="L101" s="48">
        <f t="shared" si="39"/>
        <v>13909984.704</v>
      </c>
      <c r="M101" s="28"/>
      <c r="N101" s="28"/>
      <c r="O101" s="28"/>
      <c r="P101" s="28"/>
      <c r="Q101" s="28"/>
      <c r="R101" s="28"/>
      <c r="S101" s="28"/>
      <c r="T101" s="28"/>
      <c r="U101" s="28"/>
      <c r="V101" s="28"/>
      <c r="W101" s="28"/>
      <c r="X101" s="28"/>
      <c r="Y101" s="28"/>
      <c r="Z101" s="28"/>
      <c r="AA101" s="28"/>
      <c r="AB101" s="28"/>
      <c r="AC101" s="28"/>
      <c r="AD101" s="28"/>
      <c r="AE101" s="28"/>
      <c r="AF101" s="28"/>
      <c r="AG101" s="28"/>
      <c r="AH101" s="28"/>
    </row>
    <row r="102" spans="1:34" ht="144" customHeight="1" x14ac:dyDescent="0.25">
      <c r="A102" s="86">
        <v>88</v>
      </c>
      <c r="B102" s="57" t="s">
        <v>140</v>
      </c>
      <c r="C102" s="56" t="s">
        <v>42</v>
      </c>
      <c r="D102" s="45" t="s">
        <v>39</v>
      </c>
      <c r="E102" s="45"/>
      <c r="F102" s="45">
        <v>1245</v>
      </c>
      <c r="G102" s="45">
        <v>1950</v>
      </c>
      <c r="H102" s="46">
        <f t="shared" si="38"/>
        <v>2.4277500000000001</v>
      </c>
      <c r="I102" s="45">
        <v>1</v>
      </c>
      <c r="J102" s="53">
        <v>2318000</v>
      </c>
      <c r="K102" s="47"/>
      <c r="L102" s="48">
        <f t="shared" si="39"/>
        <v>5627524.5</v>
      </c>
      <c r="M102" s="28"/>
      <c r="N102" s="28"/>
      <c r="O102" s="28"/>
      <c r="P102" s="28"/>
      <c r="Q102" s="28"/>
      <c r="R102" s="28"/>
      <c r="S102" s="28"/>
      <c r="T102" s="28"/>
      <c r="U102" s="28"/>
      <c r="V102" s="28"/>
      <c r="W102" s="28"/>
      <c r="X102" s="28"/>
      <c r="Y102" s="28"/>
      <c r="Z102" s="28"/>
      <c r="AA102" s="28"/>
      <c r="AB102" s="28"/>
      <c r="AC102" s="28"/>
      <c r="AD102" s="28"/>
      <c r="AE102" s="28"/>
      <c r="AF102" s="28"/>
      <c r="AG102" s="28"/>
      <c r="AH102" s="28"/>
    </row>
    <row r="103" spans="1:34" ht="156" customHeight="1" x14ac:dyDescent="0.25">
      <c r="A103" s="86">
        <v>89</v>
      </c>
      <c r="B103" s="57" t="s">
        <v>141</v>
      </c>
      <c r="C103" s="56" t="s">
        <v>41</v>
      </c>
      <c r="D103" s="45" t="s">
        <v>39</v>
      </c>
      <c r="E103" s="45" t="s">
        <v>38</v>
      </c>
      <c r="F103" s="45">
        <v>1950</v>
      </c>
      <c r="G103" s="45">
        <v>1950</v>
      </c>
      <c r="H103" s="46">
        <f t="shared" si="38"/>
        <v>3.8025000000000002</v>
      </c>
      <c r="I103" s="45">
        <v>1</v>
      </c>
      <c r="J103" s="53">
        <v>3236000</v>
      </c>
      <c r="K103" s="47">
        <v>1850000</v>
      </c>
      <c r="L103" s="48">
        <f t="shared" si="39"/>
        <v>14154890</v>
      </c>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spans="1:34" ht="156" customHeight="1" x14ac:dyDescent="0.25">
      <c r="A104" s="86">
        <v>90</v>
      </c>
      <c r="B104" s="57" t="s">
        <v>142</v>
      </c>
      <c r="C104" s="56" t="s">
        <v>41</v>
      </c>
      <c r="D104" s="45" t="s">
        <v>39</v>
      </c>
      <c r="E104" s="45" t="s">
        <v>38</v>
      </c>
      <c r="F104" s="45">
        <v>1952</v>
      </c>
      <c r="G104" s="45">
        <v>1947</v>
      </c>
      <c r="H104" s="46">
        <f t="shared" si="38"/>
        <v>3.8005439999999999</v>
      </c>
      <c r="I104" s="45">
        <v>1</v>
      </c>
      <c r="J104" s="53">
        <v>3236000</v>
      </c>
      <c r="K104" s="47">
        <v>1850000</v>
      </c>
      <c r="L104" s="48">
        <f t="shared" si="39"/>
        <v>14148560.384</v>
      </c>
      <c r="M104" s="28"/>
      <c r="N104" s="28"/>
      <c r="O104" s="28"/>
      <c r="P104" s="28"/>
      <c r="Q104" s="28"/>
      <c r="R104" s="28"/>
      <c r="S104" s="28"/>
      <c r="T104" s="28"/>
      <c r="U104" s="28"/>
      <c r="V104" s="28"/>
      <c r="W104" s="28"/>
      <c r="X104" s="28"/>
      <c r="Y104" s="28"/>
      <c r="Z104" s="28"/>
      <c r="AA104" s="28"/>
      <c r="AB104" s="28"/>
      <c r="AC104" s="28"/>
      <c r="AD104" s="28"/>
      <c r="AE104" s="28"/>
      <c r="AF104" s="28"/>
      <c r="AG104" s="28"/>
      <c r="AH104" s="28"/>
    </row>
    <row r="105" spans="1:34" ht="144" customHeight="1" x14ac:dyDescent="0.25">
      <c r="A105" s="86">
        <v>91</v>
      </c>
      <c r="B105" s="57" t="s">
        <v>143</v>
      </c>
      <c r="C105" s="56" t="s">
        <v>42</v>
      </c>
      <c r="D105" s="45" t="s">
        <v>39</v>
      </c>
      <c r="E105" s="45"/>
      <c r="F105" s="45">
        <v>1248</v>
      </c>
      <c r="G105" s="45">
        <v>1950</v>
      </c>
      <c r="H105" s="46">
        <f t="shared" si="38"/>
        <v>2.4336000000000002</v>
      </c>
      <c r="I105" s="45">
        <v>1</v>
      </c>
      <c r="J105" s="53">
        <v>2318000</v>
      </c>
      <c r="K105" s="47"/>
      <c r="L105" s="48">
        <f t="shared" si="39"/>
        <v>5641084.8000000007</v>
      </c>
      <c r="M105" s="28"/>
      <c r="N105" s="28"/>
      <c r="O105" s="28"/>
      <c r="P105" s="28"/>
      <c r="Q105" s="28"/>
      <c r="R105" s="28"/>
      <c r="S105" s="28"/>
      <c r="T105" s="28"/>
      <c r="U105" s="28"/>
      <c r="V105" s="28"/>
      <c r="W105" s="28"/>
      <c r="X105" s="28"/>
      <c r="Y105" s="28"/>
      <c r="Z105" s="28"/>
      <c r="AA105" s="28"/>
      <c r="AB105" s="28"/>
      <c r="AC105" s="28"/>
      <c r="AD105" s="28"/>
      <c r="AE105" s="28"/>
      <c r="AF105" s="28"/>
      <c r="AG105" s="28"/>
      <c r="AH105" s="28"/>
    </row>
    <row r="106" spans="1:34" ht="156" customHeight="1" x14ac:dyDescent="0.25">
      <c r="A106" s="86">
        <v>92</v>
      </c>
      <c r="B106" s="68" t="s">
        <v>144</v>
      </c>
      <c r="C106" s="56" t="s">
        <v>42</v>
      </c>
      <c r="D106" s="45" t="s">
        <v>39</v>
      </c>
      <c r="E106" s="45"/>
      <c r="F106" s="45">
        <v>3325</v>
      </c>
      <c r="G106" s="45">
        <v>1950</v>
      </c>
      <c r="H106" s="46">
        <f t="shared" si="38"/>
        <v>6.4837499999999997</v>
      </c>
      <c r="I106" s="45">
        <v>1</v>
      </c>
      <c r="J106" s="53">
        <v>2144000</v>
      </c>
      <c r="K106" s="47"/>
      <c r="L106" s="48">
        <f t="shared" si="39"/>
        <v>13901160</v>
      </c>
      <c r="M106" s="28"/>
      <c r="N106" s="28"/>
      <c r="O106" s="28"/>
      <c r="P106" s="28"/>
      <c r="Q106" s="28"/>
      <c r="R106" s="28"/>
      <c r="S106" s="28"/>
      <c r="T106" s="28"/>
      <c r="U106" s="28"/>
      <c r="V106" s="28"/>
      <c r="W106" s="28"/>
      <c r="X106" s="28"/>
      <c r="Y106" s="28"/>
      <c r="Z106" s="28"/>
      <c r="AA106" s="28"/>
      <c r="AB106" s="28"/>
      <c r="AC106" s="28"/>
      <c r="AD106" s="28"/>
      <c r="AE106" s="28"/>
      <c r="AF106" s="28"/>
      <c r="AG106" s="28"/>
      <c r="AH106" s="28"/>
    </row>
    <row r="107" spans="1:34" ht="156" customHeight="1" x14ac:dyDescent="0.25">
      <c r="A107" s="86">
        <v>93</v>
      </c>
      <c r="B107" s="57" t="s">
        <v>145</v>
      </c>
      <c r="C107" s="56" t="s">
        <v>41</v>
      </c>
      <c r="D107" s="45" t="s">
        <v>39</v>
      </c>
      <c r="E107" s="45" t="s">
        <v>38</v>
      </c>
      <c r="F107" s="45">
        <v>2945</v>
      </c>
      <c r="G107" s="45">
        <v>1948</v>
      </c>
      <c r="H107" s="46">
        <f t="shared" si="38"/>
        <v>5.7368600000000001</v>
      </c>
      <c r="I107" s="45">
        <v>1</v>
      </c>
      <c r="J107" s="53">
        <v>2973000</v>
      </c>
      <c r="K107" s="47">
        <v>1850000</v>
      </c>
      <c r="L107" s="48">
        <f t="shared" si="39"/>
        <v>18905684.780000001</v>
      </c>
      <c r="M107" s="28"/>
      <c r="N107" s="28"/>
      <c r="O107" s="28"/>
      <c r="P107" s="28"/>
      <c r="Q107" s="28"/>
      <c r="R107" s="28"/>
      <c r="S107" s="28"/>
      <c r="T107" s="28"/>
      <c r="U107" s="28"/>
      <c r="V107" s="28"/>
      <c r="W107" s="28"/>
      <c r="X107" s="28"/>
      <c r="Y107" s="28"/>
      <c r="Z107" s="28"/>
      <c r="AA107" s="28"/>
      <c r="AB107" s="28"/>
      <c r="AC107" s="28"/>
      <c r="AD107" s="28"/>
      <c r="AE107" s="28"/>
      <c r="AF107" s="28"/>
      <c r="AG107" s="28"/>
      <c r="AH107" s="28"/>
    </row>
    <row r="108" spans="1:34" ht="144" customHeight="1" x14ac:dyDescent="0.25">
      <c r="A108" s="86">
        <v>94</v>
      </c>
      <c r="B108" s="57" t="s">
        <v>146</v>
      </c>
      <c r="C108" s="56" t="s">
        <v>42</v>
      </c>
      <c r="D108" s="45" t="s">
        <v>39</v>
      </c>
      <c r="E108" s="45"/>
      <c r="F108" s="45">
        <v>1450</v>
      </c>
      <c r="G108" s="45">
        <v>1950</v>
      </c>
      <c r="H108" s="46">
        <f t="shared" si="38"/>
        <v>2.8275000000000001</v>
      </c>
      <c r="I108" s="45">
        <v>1</v>
      </c>
      <c r="J108" s="53">
        <v>2273000</v>
      </c>
      <c r="K108" s="47"/>
      <c r="L108" s="48">
        <f t="shared" si="39"/>
        <v>6426907.5</v>
      </c>
      <c r="M108" s="28"/>
      <c r="N108" s="28"/>
      <c r="O108" s="28"/>
      <c r="P108" s="28"/>
      <c r="Q108" s="28"/>
      <c r="R108" s="28"/>
      <c r="S108" s="28"/>
      <c r="T108" s="28"/>
      <c r="U108" s="28"/>
      <c r="V108" s="28"/>
      <c r="W108" s="28"/>
      <c r="X108" s="28"/>
      <c r="Y108" s="28"/>
      <c r="Z108" s="28"/>
      <c r="AA108" s="28"/>
      <c r="AB108" s="28"/>
      <c r="AC108" s="28"/>
      <c r="AD108" s="28"/>
      <c r="AE108" s="28"/>
      <c r="AF108" s="28"/>
      <c r="AG108" s="28"/>
      <c r="AH108" s="28"/>
    </row>
    <row r="109" spans="1:34" ht="144" customHeight="1" x14ac:dyDescent="0.25">
      <c r="A109" s="86">
        <v>95</v>
      </c>
      <c r="B109" s="57" t="s">
        <v>147</v>
      </c>
      <c r="C109" s="56" t="s">
        <v>42</v>
      </c>
      <c r="D109" s="45" t="s">
        <v>39</v>
      </c>
      <c r="E109" s="45"/>
      <c r="F109" s="45">
        <v>1455</v>
      </c>
      <c r="G109" s="45">
        <v>1950</v>
      </c>
      <c r="H109" s="46">
        <f t="shared" si="38"/>
        <v>2.83725</v>
      </c>
      <c r="I109" s="45">
        <v>1</v>
      </c>
      <c r="J109" s="53">
        <v>2272000</v>
      </c>
      <c r="K109" s="47"/>
      <c r="L109" s="48">
        <f t="shared" si="39"/>
        <v>6446232</v>
      </c>
      <c r="M109" s="28"/>
      <c r="N109" s="28"/>
      <c r="O109" s="28"/>
      <c r="P109" s="28"/>
      <c r="Q109" s="28"/>
      <c r="R109" s="28"/>
      <c r="S109" s="28"/>
      <c r="T109" s="28"/>
      <c r="U109" s="28"/>
      <c r="V109" s="28"/>
      <c r="W109" s="28"/>
      <c r="X109" s="28"/>
      <c r="Y109" s="28"/>
      <c r="Z109" s="28"/>
      <c r="AA109" s="28"/>
      <c r="AB109" s="28"/>
      <c r="AC109" s="28"/>
      <c r="AD109" s="28"/>
      <c r="AE109" s="28"/>
      <c r="AF109" s="28"/>
      <c r="AG109" s="28"/>
      <c r="AH109" s="28"/>
    </row>
    <row r="110" spans="1:34" ht="156" customHeight="1" x14ac:dyDescent="0.25">
      <c r="A110" s="86">
        <v>96</v>
      </c>
      <c r="B110" s="57" t="s">
        <v>148</v>
      </c>
      <c r="C110" s="56" t="s">
        <v>41</v>
      </c>
      <c r="D110" s="45" t="s">
        <v>39</v>
      </c>
      <c r="E110" s="45" t="s">
        <v>38</v>
      </c>
      <c r="F110" s="45">
        <v>3203</v>
      </c>
      <c r="G110" s="45">
        <v>1947</v>
      </c>
      <c r="H110" s="46">
        <f t="shared" si="38"/>
        <v>6.2362409999999997</v>
      </c>
      <c r="I110" s="45">
        <v>1</v>
      </c>
      <c r="J110" s="53">
        <v>2930000</v>
      </c>
      <c r="K110" s="47">
        <v>1850000</v>
      </c>
      <c r="L110" s="48">
        <f t="shared" si="39"/>
        <v>20122186.129999999</v>
      </c>
      <c r="M110" s="28"/>
      <c r="N110" s="76"/>
      <c r="O110" s="28"/>
      <c r="P110" s="28"/>
      <c r="Q110" s="28"/>
      <c r="R110" s="28"/>
      <c r="S110" s="28"/>
      <c r="T110" s="28"/>
      <c r="U110" s="28"/>
      <c r="V110" s="28"/>
      <c r="W110" s="28"/>
      <c r="X110" s="28"/>
      <c r="Y110" s="28"/>
      <c r="Z110" s="28"/>
      <c r="AA110" s="28"/>
      <c r="AB110" s="28"/>
      <c r="AC110" s="28"/>
      <c r="AD110" s="28"/>
      <c r="AE110" s="28"/>
      <c r="AF110" s="28"/>
      <c r="AG110" s="28"/>
      <c r="AH110" s="28"/>
    </row>
    <row r="111" spans="1:34" ht="156" customHeight="1" x14ac:dyDescent="0.25">
      <c r="A111" s="86">
        <v>97</v>
      </c>
      <c r="B111" s="57" t="s">
        <v>149</v>
      </c>
      <c r="C111" s="56" t="s">
        <v>41</v>
      </c>
      <c r="D111" s="45" t="s">
        <v>39</v>
      </c>
      <c r="E111" s="45" t="s">
        <v>38</v>
      </c>
      <c r="F111" s="45">
        <v>3205</v>
      </c>
      <c r="G111" s="45">
        <v>1952</v>
      </c>
      <c r="H111" s="46">
        <f t="shared" si="38"/>
        <v>6.2561600000000004</v>
      </c>
      <c r="I111" s="45">
        <v>1</v>
      </c>
      <c r="J111" s="53">
        <v>2928000</v>
      </c>
      <c r="K111" s="47">
        <v>1850000</v>
      </c>
      <c r="L111" s="48">
        <f t="shared" si="39"/>
        <v>20168036.48</v>
      </c>
      <c r="M111" s="28"/>
      <c r="N111" s="28"/>
      <c r="O111" s="28"/>
      <c r="P111" s="28"/>
      <c r="Q111" s="28"/>
      <c r="R111" s="28"/>
      <c r="S111" s="28"/>
      <c r="T111" s="28"/>
      <c r="U111" s="28"/>
      <c r="V111" s="28"/>
      <c r="W111" s="28"/>
      <c r="X111" s="28"/>
      <c r="Y111" s="28"/>
      <c r="Z111" s="28"/>
      <c r="AA111" s="28"/>
      <c r="AB111" s="28"/>
      <c r="AC111" s="28"/>
      <c r="AD111" s="28"/>
      <c r="AE111" s="28"/>
      <c r="AF111" s="28"/>
      <c r="AG111" s="28"/>
      <c r="AH111" s="28"/>
    </row>
    <row r="112" spans="1:34" ht="144" customHeight="1" x14ac:dyDescent="0.25">
      <c r="A112" s="86">
        <v>98</v>
      </c>
      <c r="B112" s="57" t="s">
        <v>150</v>
      </c>
      <c r="C112" s="56" t="s">
        <v>42</v>
      </c>
      <c r="D112" s="45" t="s">
        <v>39</v>
      </c>
      <c r="E112" s="45"/>
      <c r="F112" s="45">
        <v>1450</v>
      </c>
      <c r="G112" s="45">
        <v>1950</v>
      </c>
      <c r="H112" s="46">
        <f t="shared" si="38"/>
        <v>2.8275000000000001</v>
      </c>
      <c r="I112" s="45">
        <v>1</v>
      </c>
      <c r="J112" s="53">
        <v>2273000</v>
      </c>
      <c r="K112" s="47"/>
      <c r="L112" s="48">
        <f t="shared" si="39"/>
        <v>6426907.5</v>
      </c>
      <c r="M112" s="28"/>
      <c r="N112" s="28"/>
      <c r="O112" s="28"/>
      <c r="P112" s="28"/>
      <c r="Q112" s="28"/>
      <c r="R112" s="28"/>
      <c r="S112" s="28"/>
      <c r="T112" s="28"/>
      <c r="U112" s="28"/>
      <c r="V112" s="28"/>
      <c r="W112" s="28"/>
      <c r="X112" s="28"/>
      <c r="Y112" s="28"/>
      <c r="Z112" s="28"/>
      <c r="AA112" s="28"/>
      <c r="AB112" s="28"/>
      <c r="AC112" s="28"/>
      <c r="AD112" s="28"/>
      <c r="AE112" s="28"/>
      <c r="AF112" s="28"/>
      <c r="AG112" s="28"/>
      <c r="AH112" s="28"/>
    </row>
    <row r="113" spans="1:34" ht="144" customHeight="1" x14ac:dyDescent="0.25">
      <c r="A113" s="86">
        <v>99</v>
      </c>
      <c r="B113" s="57" t="s">
        <v>151</v>
      </c>
      <c r="C113" s="56" t="s">
        <v>42</v>
      </c>
      <c r="D113" s="45" t="s">
        <v>39</v>
      </c>
      <c r="E113" s="45"/>
      <c r="F113" s="45">
        <v>1450</v>
      </c>
      <c r="G113" s="45">
        <v>1950</v>
      </c>
      <c r="H113" s="46">
        <f t="shared" si="38"/>
        <v>2.8275000000000001</v>
      </c>
      <c r="I113" s="45">
        <v>1</v>
      </c>
      <c r="J113" s="53">
        <v>2273000</v>
      </c>
      <c r="K113" s="47"/>
      <c r="L113" s="48">
        <f t="shared" si="39"/>
        <v>6426907.5</v>
      </c>
      <c r="M113" s="28"/>
      <c r="N113" s="28"/>
      <c r="O113" s="28"/>
      <c r="P113" s="28"/>
      <c r="Q113" s="28"/>
      <c r="R113" s="28"/>
      <c r="S113" s="28"/>
      <c r="T113" s="28"/>
      <c r="U113" s="28"/>
      <c r="V113" s="28"/>
      <c r="W113" s="28"/>
      <c r="X113" s="28"/>
      <c r="Y113" s="28"/>
      <c r="Z113" s="28"/>
      <c r="AA113" s="28"/>
      <c r="AB113" s="28"/>
      <c r="AC113" s="28"/>
      <c r="AD113" s="28"/>
      <c r="AE113" s="28"/>
      <c r="AF113" s="28"/>
      <c r="AG113" s="28"/>
      <c r="AH113" s="28"/>
    </row>
    <row r="114" spans="1:34" ht="156" customHeight="1" x14ac:dyDescent="0.25">
      <c r="A114" s="86">
        <v>100</v>
      </c>
      <c r="B114" s="57" t="s">
        <v>152</v>
      </c>
      <c r="C114" s="56" t="s">
        <v>41</v>
      </c>
      <c r="D114" s="45" t="s">
        <v>39</v>
      </c>
      <c r="E114" s="45" t="s">
        <v>38</v>
      </c>
      <c r="F114" s="45">
        <v>3200</v>
      </c>
      <c r="G114" s="45">
        <v>1952</v>
      </c>
      <c r="H114" s="46">
        <f t="shared" si="38"/>
        <v>6.2464000000000004</v>
      </c>
      <c r="I114" s="45">
        <v>1</v>
      </c>
      <c r="J114" s="53">
        <v>2928000</v>
      </c>
      <c r="K114" s="47">
        <v>1850000</v>
      </c>
      <c r="L114" s="48">
        <f t="shared" si="39"/>
        <v>20139459.200000003</v>
      </c>
      <c r="M114" s="28"/>
      <c r="N114" s="28"/>
      <c r="O114" s="28"/>
      <c r="P114" s="28"/>
      <c r="Q114" s="28"/>
      <c r="R114" s="28"/>
      <c r="S114" s="28"/>
      <c r="T114" s="28"/>
      <c r="U114" s="28"/>
      <c r="V114" s="28"/>
      <c r="W114" s="28"/>
      <c r="X114" s="28"/>
      <c r="Y114" s="28"/>
      <c r="Z114" s="28"/>
      <c r="AA114" s="28"/>
      <c r="AB114" s="28"/>
      <c r="AC114" s="28"/>
      <c r="AD114" s="28"/>
      <c r="AE114" s="28"/>
      <c r="AF114" s="28"/>
      <c r="AG114" s="28"/>
      <c r="AH114" s="28"/>
    </row>
    <row r="115" spans="1:34" ht="156" customHeight="1" x14ac:dyDescent="0.25">
      <c r="A115" s="86">
        <v>101</v>
      </c>
      <c r="B115" s="57" t="s">
        <v>153</v>
      </c>
      <c r="C115" s="56" t="s">
        <v>41</v>
      </c>
      <c r="D115" s="45" t="s">
        <v>39</v>
      </c>
      <c r="E115" s="45" t="s">
        <v>38</v>
      </c>
      <c r="F115" s="45">
        <v>2860</v>
      </c>
      <c r="G115" s="45">
        <v>1955</v>
      </c>
      <c r="H115" s="46">
        <f t="shared" si="38"/>
        <v>5.5913000000000004</v>
      </c>
      <c r="I115" s="45">
        <v>1</v>
      </c>
      <c r="J115" s="53">
        <v>2987000</v>
      </c>
      <c r="K115" s="47">
        <v>1850000</v>
      </c>
      <c r="L115" s="48">
        <f t="shared" si="39"/>
        <v>18551213.100000001</v>
      </c>
      <c r="M115" s="28"/>
      <c r="N115" s="28"/>
      <c r="O115" s="28"/>
      <c r="P115" s="28"/>
      <c r="Q115" s="28"/>
      <c r="R115" s="28"/>
      <c r="S115" s="28"/>
      <c r="T115" s="28"/>
      <c r="U115" s="28"/>
      <c r="V115" s="28"/>
      <c r="W115" s="28"/>
      <c r="X115" s="28"/>
      <c r="Y115" s="28"/>
      <c r="Z115" s="28"/>
      <c r="AA115" s="28"/>
      <c r="AB115" s="28"/>
      <c r="AC115" s="28"/>
      <c r="AD115" s="28"/>
      <c r="AE115" s="28"/>
      <c r="AF115" s="28"/>
      <c r="AG115" s="28"/>
      <c r="AH115" s="28"/>
    </row>
    <row r="116" spans="1:34" ht="156" customHeight="1" x14ac:dyDescent="0.25">
      <c r="A116" s="86">
        <v>102</v>
      </c>
      <c r="B116" s="57" t="s">
        <v>154</v>
      </c>
      <c r="C116" s="56" t="s">
        <v>41</v>
      </c>
      <c r="D116" s="45" t="s">
        <v>39</v>
      </c>
      <c r="E116" s="45" t="s">
        <v>38</v>
      </c>
      <c r="F116" s="45">
        <v>3200</v>
      </c>
      <c r="G116" s="45">
        <v>1950</v>
      </c>
      <c r="H116" s="46">
        <f t="shared" si="38"/>
        <v>6.24</v>
      </c>
      <c r="I116" s="45">
        <v>1</v>
      </c>
      <c r="J116" s="53">
        <v>2930000</v>
      </c>
      <c r="K116" s="47">
        <v>1850000</v>
      </c>
      <c r="L116" s="48">
        <f t="shared" si="39"/>
        <v>20133200</v>
      </c>
      <c r="M116" s="28"/>
      <c r="N116" s="28"/>
      <c r="O116" s="28"/>
      <c r="P116" s="28"/>
      <c r="Q116" s="28"/>
      <c r="R116" s="28"/>
      <c r="S116" s="28"/>
      <c r="T116" s="28"/>
      <c r="U116" s="28"/>
      <c r="V116" s="28"/>
      <c r="W116" s="28"/>
      <c r="X116" s="28"/>
      <c r="Y116" s="28"/>
      <c r="Z116" s="28"/>
      <c r="AA116" s="28"/>
      <c r="AB116" s="28"/>
      <c r="AC116" s="28"/>
      <c r="AD116" s="28"/>
      <c r="AE116" s="28"/>
      <c r="AF116" s="28"/>
      <c r="AG116" s="28"/>
      <c r="AH116" s="28"/>
    </row>
    <row r="117" spans="1:34" ht="144" customHeight="1" x14ac:dyDescent="0.25">
      <c r="A117" s="86">
        <v>103</v>
      </c>
      <c r="B117" s="57" t="s">
        <v>155</v>
      </c>
      <c r="C117" s="56" t="s">
        <v>42</v>
      </c>
      <c r="D117" s="45" t="s">
        <v>39</v>
      </c>
      <c r="E117" s="45"/>
      <c r="F117" s="45">
        <v>1450</v>
      </c>
      <c r="G117" s="45">
        <v>1947</v>
      </c>
      <c r="H117" s="46">
        <f t="shared" si="38"/>
        <v>2.82315</v>
      </c>
      <c r="I117" s="45">
        <v>1</v>
      </c>
      <c r="J117" s="53">
        <v>2273000</v>
      </c>
      <c r="K117" s="47"/>
      <c r="L117" s="48">
        <f t="shared" si="39"/>
        <v>6417019.9500000002</v>
      </c>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spans="1:34" ht="144" customHeight="1" x14ac:dyDescent="0.25">
      <c r="A118" s="86">
        <v>104</v>
      </c>
      <c r="B118" s="57" t="s">
        <v>156</v>
      </c>
      <c r="C118" s="56" t="s">
        <v>42</v>
      </c>
      <c r="D118" s="45" t="s">
        <v>45</v>
      </c>
      <c r="E118" s="45"/>
      <c r="F118" s="45">
        <v>2895</v>
      </c>
      <c r="G118" s="45">
        <v>1940</v>
      </c>
      <c r="H118" s="46">
        <f t="shared" si="38"/>
        <v>5.6162999999999998</v>
      </c>
      <c r="I118" s="45">
        <v>1</v>
      </c>
      <c r="J118" s="53">
        <v>2229000</v>
      </c>
      <c r="K118" s="47"/>
      <c r="L118" s="48">
        <f t="shared" si="39"/>
        <v>12518732.699999999</v>
      </c>
      <c r="M118" s="28"/>
      <c r="N118" s="28"/>
      <c r="O118" s="28"/>
      <c r="P118" s="28"/>
      <c r="Q118" s="28"/>
      <c r="R118" s="28"/>
      <c r="S118" s="28"/>
      <c r="T118" s="28"/>
      <c r="U118" s="28"/>
      <c r="V118" s="28"/>
      <c r="W118" s="28"/>
      <c r="X118" s="28"/>
      <c r="Y118" s="28"/>
      <c r="Z118" s="28"/>
      <c r="AA118" s="28"/>
      <c r="AB118" s="28"/>
      <c r="AC118" s="28"/>
      <c r="AD118" s="28"/>
      <c r="AE118" s="28"/>
      <c r="AF118" s="28"/>
      <c r="AG118" s="28"/>
      <c r="AH118" s="28"/>
    </row>
    <row r="119" spans="1:34" ht="144" customHeight="1" x14ac:dyDescent="0.25">
      <c r="A119" s="86">
        <v>105</v>
      </c>
      <c r="B119" s="57" t="s">
        <v>157</v>
      </c>
      <c r="C119" s="56" t="s">
        <v>42</v>
      </c>
      <c r="D119" s="45" t="s">
        <v>39</v>
      </c>
      <c r="E119" s="45"/>
      <c r="F119" s="45">
        <v>2550</v>
      </c>
      <c r="G119" s="45">
        <v>1410</v>
      </c>
      <c r="H119" s="46">
        <f t="shared" si="38"/>
        <v>3.5954999999999999</v>
      </c>
      <c r="I119" s="45">
        <v>1</v>
      </c>
      <c r="J119" s="53">
        <v>2231000</v>
      </c>
      <c r="K119" s="47"/>
      <c r="L119" s="48">
        <f t="shared" si="39"/>
        <v>8021560.5</v>
      </c>
      <c r="M119" s="28"/>
      <c r="N119" s="28"/>
      <c r="O119" s="28"/>
      <c r="P119" s="28"/>
      <c r="Q119" s="28"/>
      <c r="R119" s="28"/>
      <c r="S119" s="28"/>
      <c r="T119" s="28"/>
      <c r="U119" s="28"/>
      <c r="V119" s="28"/>
      <c r="W119" s="28"/>
      <c r="X119" s="28"/>
      <c r="Y119" s="28"/>
      <c r="Z119" s="28"/>
      <c r="AA119" s="28"/>
      <c r="AB119" s="28"/>
      <c r="AC119" s="28"/>
      <c r="AD119" s="28"/>
      <c r="AE119" s="28"/>
      <c r="AF119" s="28"/>
      <c r="AG119" s="28"/>
      <c r="AH119" s="28"/>
    </row>
    <row r="120" spans="1:34" ht="144" customHeight="1" x14ac:dyDescent="0.25">
      <c r="A120" s="86">
        <v>106</v>
      </c>
      <c r="B120" s="57" t="s">
        <v>158</v>
      </c>
      <c r="C120" s="51" t="s">
        <v>43</v>
      </c>
      <c r="D120" s="45" t="s">
        <v>39</v>
      </c>
      <c r="E120" s="45" t="s">
        <v>38</v>
      </c>
      <c r="F120" s="45">
        <v>3752</v>
      </c>
      <c r="G120" s="45">
        <v>1950</v>
      </c>
      <c r="H120" s="46">
        <f t="shared" si="38"/>
        <v>7.3163999999999998</v>
      </c>
      <c r="I120" s="45">
        <v>1</v>
      </c>
      <c r="J120" s="53">
        <v>3018000</v>
      </c>
      <c r="K120" s="47">
        <v>2020000</v>
      </c>
      <c r="L120" s="48">
        <f t="shared" si="39"/>
        <v>24100895.199999999</v>
      </c>
      <c r="M120" s="28"/>
      <c r="N120" s="28"/>
      <c r="O120" s="28"/>
      <c r="P120" s="28"/>
      <c r="Q120" s="28"/>
      <c r="R120" s="28"/>
      <c r="S120" s="28"/>
      <c r="T120" s="28"/>
      <c r="U120" s="28"/>
      <c r="V120" s="28"/>
      <c r="W120" s="28"/>
      <c r="X120" s="28"/>
      <c r="Y120" s="28"/>
      <c r="Z120" s="28"/>
      <c r="AA120" s="28"/>
      <c r="AB120" s="28"/>
      <c r="AC120" s="28"/>
      <c r="AD120" s="28"/>
      <c r="AE120" s="28"/>
      <c r="AF120" s="28"/>
      <c r="AG120" s="28"/>
      <c r="AH120" s="28"/>
    </row>
    <row r="121" spans="1:34" s="8" customFormat="1" ht="31.5" customHeight="1" x14ac:dyDescent="0.25">
      <c r="A121" s="132" t="s">
        <v>159</v>
      </c>
      <c r="B121" s="133"/>
      <c r="C121" s="133"/>
      <c r="D121" s="133"/>
      <c r="E121" s="134"/>
      <c r="F121" s="64"/>
      <c r="G121" s="64"/>
      <c r="H121" s="65"/>
      <c r="I121" s="45"/>
      <c r="J121" s="53"/>
      <c r="K121" s="47"/>
      <c r="L121" s="67"/>
    </row>
    <row r="122" spans="1:34" ht="144" customHeight="1" x14ac:dyDescent="0.25">
      <c r="A122" s="86">
        <v>107</v>
      </c>
      <c r="B122" s="57" t="s">
        <v>160</v>
      </c>
      <c r="C122" s="56" t="s">
        <v>42</v>
      </c>
      <c r="D122" s="45" t="s">
        <v>45</v>
      </c>
      <c r="E122" s="45"/>
      <c r="F122" s="45">
        <v>2880</v>
      </c>
      <c r="G122" s="45">
        <v>2250</v>
      </c>
      <c r="H122" s="46">
        <f t="shared" ref="H122:H138" si="40">F122*G122/10^6</f>
        <v>6.48</v>
      </c>
      <c r="I122" s="45">
        <v>1</v>
      </c>
      <c r="J122" s="53">
        <v>2204000</v>
      </c>
      <c r="K122" s="47"/>
      <c r="L122" s="48">
        <f t="shared" ref="L122:L138" si="41">IF(H122&lt;&gt;0,J122*H122*I122+K122*I122,IF(J122&lt;&gt;0,G122*I122*J122,I122*K122))</f>
        <v>14281920.000000002</v>
      </c>
      <c r="M122" s="28"/>
      <c r="N122" s="28"/>
      <c r="O122" s="28"/>
      <c r="P122" s="28"/>
      <c r="Q122" s="28"/>
      <c r="R122" s="28"/>
      <c r="S122" s="28"/>
      <c r="T122" s="28"/>
      <c r="U122" s="28"/>
      <c r="V122" s="28"/>
      <c r="W122" s="28"/>
      <c r="X122" s="28"/>
      <c r="Y122" s="28"/>
      <c r="Z122" s="28"/>
      <c r="AA122" s="28"/>
      <c r="AB122" s="28"/>
      <c r="AC122" s="28"/>
      <c r="AD122" s="28"/>
      <c r="AE122" s="28"/>
      <c r="AF122" s="28"/>
      <c r="AG122" s="28"/>
      <c r="AH122" s="28"/>
    </row>
    <row r="123" spans="1:34" ht="156" customHeight="1" x14ac:dyDescent="0.25">
      <c r="A123" s="86">
        <v>108</v>
      </c>
      <c r="B123" s="57" t="s">
        <v>161</v>
      </c>
      <c r="C123" s="56" t="s">
        <v>41</v>
      </c>
      <c r="D123" s="45" t="s">
        <v>39</v>
      </c>
      <c r="E123" s="45" t="s">
        <v>38</v>
      </c>
      <c r="F123" s="45">
        <v>2905</v>
      </c>
      <c r="G123" s="45">
        <v>2250</v>
      </c>
      <c r="H123" s="46">
        <f t="shared" si="40"/>
        <v>6.5362499999999999</v>
      </c>
      <c r="I123" s="45">
        <v>1</v>
      </c>
      <c r="J123" s="53">
        <v>2903000</v>
      </c>
      <c r="K123" s="47">
        <v>1850000</v>
      </c>
      <c r="L123" s="48">
        <f t="shared" si="41"/>
        <v>20824733.75</v>
      </c>
      <c r="M123" s="28"/>
      <c r="N123" s="28"/>
      <c r="O123" s="28"/>
      <c r="P123" s="28"/>
      <c r="Q123" s="28"/>
      <c r="R123" s="28"/>
      <c r="S123" s="28"/>
      <c r="T123" s="28"/>
      <c r="U123" s="28"/>
      <c r="V123" s="28"/>
      <c r="W123" s="28"/>
      <c r="X123" s="28"/>
      <c r="Y123" s="28"/>
      <c r="Z123" s="28"/>
      <c r="AA123" s="28"/>
      <c r="AB123" s="28"/>
      <c r="AC123" s="28"/>
      <c r="AD123" s="28"/>
      <c r="AE123" s="28"/>
      <c r="AF123" s="28"/>
      <c r="AG123" s="28"/>
      <c r="AH123" s="28"/>
    </row>
    <row r="124" spans="1:34" ht="144" customHeight="1" x14ac:dyDescent="0.25">
      <c r="A124" s="86">
        <v>109</v>
      </c>
      <c r="B124" s="68" t="s">
        <v>162</v>
      </c>
      <c r="C124" s="56" t="s">
        <v>42</v>
      </c>
      <c r="D124" s="45" t="s">
        <v>45</v>
      </c>
      <c r="E124" s="45"/>
      <c r="F124" s="45">
        <v>1358</v>
      </c>
      <c r="G124" s="45">
        <v>2258</v>
      </c>
      <c r="H124" s="46">
        <f t="shared" si="40"/>
        <v>3.0663640000000001</v>
      </c>
      <c r="I124" s="45">
        <v>1</v>
      </c>
      <c r="J124" s="53">
        <v>2356000</v>
      </c>
      <c r="K124" s="47"/>
      <c r="L124" s="48">
        <f t="shared" si="41"/>
        <v>7224353.5839999998</v>
      </c>
      <c r="M124" s="28"/>
      <c r="N124" s="28"/>
      <c r="O124" s="28"/>
      <c r="P124" s="28"/>
      <c r="Q124" s="28"/>
      <c r="R124" s="28"/>
      <c r="S124" s="28"/>
      <c r="T124" s="28"/>
      <c r="U124" s="28"/>
      <c r="V124" s="28"/>
      <c r="W124" s="28"/>
      <c r="X124" s="28"/>
      <c r="Y124" s="28"/>
      <c r="Z124" s="28"/>
      <c r="AA124" s="28"/>
      <c r="AB124" s="28"/>
      <c r="AC124" s="28"/>
      <c r="AD124" s="28"/>
      <c r="AE124" s="28"/>
      <c r="AF124" s="28"/>
      <c r="AG124" s="28"/>
      <c r="AH124" s="28"/>
    </row>
    <row r="125" spans="1:34" ht="144" customHeight="1" x14ac:dyDescent="0.25">
      <c r="A125" s="86">
        <v>110</v>
      </c>
      <c r="B125" s="68" t="s">
        <v>163</v>
      </c>
      <c r="C125" s="56" t="s">
        <v>42</v>
      </c>
      <c r="D125" s="45" t="s">
        <v>45</v>
      </c>
      <c r="E125" s="45"/>
      <c r="F125" s="45">
        <v>1358</v>
      </c>
      <c r="G125" s="45">
        <v>2258</v>
      </c>
      <c r="H125" s="46">
        <f t="shared" si="40"/>
        <v>3.0663640000000001</v>
      </c>
      <c r="I125" s="45">
        <v>1</v>
      </c>
      <c r="J125" s="53">
        <v>2356000</v>
      </c>
      <c r="K125" s="47"/>
      <c r="L125" s="48">
        <f t="shared" si="41"/>
        <v>7224353.5839999998</v>
      </c>
      <c r="M125" s="28"/>
      <c r="N125" s="28"/>
      <c r="O125" s="28"/>
      <c r="P125" s="28"/>
      <c r="Q125" s="28"/>
      <c r="R125" s="28"/>
      <c r="S125" s="28"/>
      <c r="T125" s="28"/>
      <c r="U125" s="28"/>
      <c r="V125" s="28"/>
      <c r="W125" s="28"/>
      <c r="X125" s="28"/>
      <c r="Y125" s="28"/>
      <c r="Z125" s="28"/>
      <c r="AA125" s="28"/>
      <c r="AB125" s="28"/>
      <c r="AC125" s="28"/>
      <c r="AD125" s="28"/>
      <c r="AE125" s="28"/>
      <c r="AF125" s="28"/>
      <c r="AG125" s="28"/>
      <c r="AH125" s="28"/>
    </row>
    <row r="126" spans="1:34" ht="156" customHeight="1" x14ac:dyDescent="0.25">
      <c r="A126" s="86">
        <v>111</v>
      </c>
      <c r="B126" s="57" t="s">
        <v>164</v>
      </c>
      <c r="C126" s="56" t="s">
        <v>41</v>
      </c>
      <c r="D126" s="45" t="s">
        <v>39</v>
      </c>
      <c r="E126" s="45" t="s">
        <v>38</v>
      </c>
      <c r="F126" s="45">
        <v>2906</v>
      </c>
      <c r="G126" s="45">
        <v>2248</v>
      </c>
      <c r="H126" s="46">
        <f t="shared" si="40"/>
        <v>6.5326880000000003</v>
      </c>
      <c r="I126" s="45">
        <v>1</v>
      </c>
      <c r="J126" s="53">
        <v>2903000</v>
      </c>
      <c r="K126" s="47">
        <v>1850000</v>
      </c>
      <c r="L126" s="48">
        <f t="shared" si="41"/>
        <v>20814393.264000002</v>
      </c>
      <c r="M126" s="28"/>
      <c r="N126" s="28"/>
      <c r="O126" s="28"/>
      <c r="P126" s="28"/>
      <c r="Q126" s="28"/>
      <c r="R126" s="28"/>
      <c r="S126" s="28"/>
      <c r="T126" s="28"/>
      <c r="U126" s="28"/>
      <c r="V126" s="28"/>
      <c r="W126" s="28"/>
      <c r="X126" s="28"/>
      <c r="Y126" s="28"/>
      <c r="Z126" s="28"/>
      <c r="AA126" s="28"/>
      <c r="AB126" s="28"/>
      <c r="AC126" s="28"/>
      <c r="AD126" s="28"/>
      <c r="AE126" s="28"/>
      <c r="AF126" s="28"/>
      <c r="AG126" s="28"/>
      <c r="AH126" s="28"/>
    </row>
    <row r="127" spans="1:34" ht="156" customHeight="1" x14ac:dyDescent="0.25">
      <c r="A127" s="86">
        <v>112</v>
      </c>
      <c r="B127" s="57" t="s">
        <v>165</v>
      </c>
      <c r="C127" s="56" t="s">
        <v>41</v>
      </c>
      <c r="D127" s="45" t="s">
        <v>39</v>
      </c>
      <c r="E127" s="45" t="s">
        <v>38</v>
      </c>
      <c r="F127" s="45">
        <v>2356</v>
      </c>
      <c r="G127" s="45">
        <v>2250</v>
      </c>
      <c r="H127" s="46">
        <f t="shared" si="40"/>
        <v>5.3010000000000002</v>
      </c>
      <c r="I127" s="45">
        <v>1</v>
      </c>
      <c r="J127" s="53">
        <v>3015000</v>
      </c>
      <c r="K127" s="47">
        <v>1850000</v>
      </c>
      <c r="L127" s="48">
        <f t="shared" si="41"/>
        <v>17832515</v>
      </c>
      <c r="M127" s="28"/>
      <c r="N127" s="28"/>
      <c r="O127" s="28"/>
      <c r="P127" s="28"/>
      <c r="Q127" s="28"/>
      <c r="R127" s="28"/>
      <c r="S127" s="28"/>
      <c r="T127" s="28"/>
      <c r="U127" s="28"/>
      <c r="V127" s="28"/>
      <c r="W127" s="28"/>
      <c r="X127" s="28"/>
      <c r="Y127" s="28"/>
      <c r="Z127" s="28"/>
      <c r="AA127" s="28"/>
      <c r="AB127" s="28"/>
      <c r="AC127" s="28"/>
      <c r="AD127" s="28"/>
      <c r="AE127" s="28"/>
      <c r="AF127" s="28"/>
      <c r="AG127" s="28"/>
      <c r="AH127" s="28"/>
    </row>
    <row r="128" spans="1:34" ht="144" customHeight="1" x14ac:dyDescent="0.25">
      <c r="A128" s="86">
        <v>113</v>
      </c>
      <c r="B128" s="57" t="s">
        <v>166</v>
      </c>
      <c r="C128" s="56" t="s">
        <v>42</v>
      </c>
      <c r="D128" s="45" t="s">
        <v>45</v>
      </c>
      <c r="E128" s="45"/>
      <c r="F128" s="45">
        <v>2060</v>
      </c>
      <c r="G128" s="45">
        <v>2260</v>
      </c>
      <c r="H128" s="46">
        <f t="shared" si="40"/>
        <v>4.6555999999999997</v>
      </c>
      <c r="I128" s="45">
        <v>1</v>
      </c>
      <c r="J128" s="53">
        <v>2254000</v>
      </c>
      <c r="K128" s="47"/>
      <c r="L128" s="48">
        <f t="shared" si="41"/>
        <v>10493722.399999999</v>
      </c>
      <c r="M128" s="28"/>
      <c r="N128" s="28"/>
      <c r="O128" s="28"/>
      <c r="P128" s="28"/>
      <c r="Q128" s="28"/>
      <c r="R128" s="28"/>
      <c r="S128" s="28"/>
      <c r="T128" s="28"/>
      <c r="U128" s="28"/>
      <c r="V128" s="28"/>
      <c r="W128" s="28"/>
      <c r="X128" s="28"/>
      <c r="Y128" s="28"/>
      <c r="Z128" s="28"/>
      <c r="AA128" s="28"/>
      <c r="AB128" s="28"/>
      <c r="AC128" s="28"/>
      <c r="AD128" s="28"/>
      <c r="AE128" s="28"/>
      <c r="AF128" s="28"/>
      <c r="AG128" s="28"/>
      <c r="AH128" s="28"/>
    </row>
    <row r="129" spans="1:16139" ht="156" customHeight="1" x14ac:dyDescent="0.25">
      <c r="A129" s="86">
        <v>114</v>
      </c>
      <c r="B129" s="57" t="s">
        <v>167</v>
      </c>
      <c r="C129" s="56" t="s">
        <v>41</v>
      </c>
      <c r="D129" s="45" t="s">
        <v>39</v>
      </c>
      <c r="E129" s="45" t="s">
        <v>38</v>
      </c>
      <c r="F129" s="45">
        <v>2565</v>
      </c>
      <c r="G129" s="45">
        <v>2260</v>
      </c>
      <c r="H129" s="46">
        <f t="shared" si="40"/>
        <v>5.7968999999999999</v>
      </c>
      <c r="I129" s="45">
        <v>1</v>
      </c>
      <c r="J129" s="53">
        <v>2976000</v>
      </c>
      <c r="K129" s="47">
        <v>1850000</v>
      </c>
      <c r="L129" s="48">
        <f t="shared" si="41"/>
        <v>19101574.399999999</v>
      </c>
      <c r="M129" s="28"/>
      <c r="N129" s="28"/>
      <c r="O129" s="28"/>
      <c r="P129" s="28"/>
      <c r="Q129" s="28"/>
      <c r="R129" s="28"/>
      <c r="S129" s="28"/>
      <c r="T129" s="28"/>
      <c r="U129" s="28"/>
      <c r="V129" s="28"/>
      <c r="W129" s="28"/>
      <c r="X129" s="28"/>
      <c r="Y129" s="28"/>
      <c r="Z129" s="28"/>
      <c r="AA129" s="28"/>
      <c r="AB129" s="28"/>
      <c r="AC129" s="28"/>
      <c r="AD129" s="28"/>
      <c r="AE129" s="28"/>
      <c r="AF129" s="28"/>
      <c r="AG129" s="28"/>
      <c r="AH129" s="28"/>
    </row>
    <row r="130" spans="1:16139" ht="156" customHeight="1" x14ac:dyDescent="0.25">
      <c r="A130" s="86">
        <v>115</v>
      </c>
      <c r="B130" s="57" t="s">
        <v>168</v>
      </c>
      <c r="C130" s="56" t="s">
        <v>41</v>
      </c>
      <c r="D130" s="45" t="s">
        <v>39</v>
      </c>
      <c r="E130" s="45" t="s">
        <v>38</v>
      </c>
      <c r="F130" s="45">
        <v>2555</v>
      </c>
      <c r="G130" s="45">
        <v>2255</v>
      </c>
      <c r="H130" s="46">
        <f t="shared" si="40"/>
        <v>5.7615249999999998</v>
      </c>
      <c r="I130" s="45">
        <v>1</v>
      </c>
      <c r="J130" s="53">
        <v>2980000</v>
      </c>
      <c r="K130" s="47">
        <v>1850000</v>
      </c>
      <c r="L130" s="48">
        <f t="shared" si="41"/>
        <v>19019344.5</v>
      </c>
      <c r="M130" s="28"/>
      <c r="N130" s="28"/>
      <c r="O130" s="28"/>
      <c r="P130" s="28"/>
      <c r="Q130" s="28"/>
      <c r="R130" s="28"/>
      <c r="S130" s="28"/>
      <c r="T130" s="28"/>
      <c r="U130" s="28"/>
      <c r="V130" s="28"/>
      <c r="W130" s="28"/>
      <c r="X130" s="28"/>
      <c r="Y130" s="28"/>
      <c r="Z130" s="28"/>
      <c r="AA130" s="28"/>
      <c r="AB130" s="28"/>
      <c r="AC130" s="28"/>
      <c r="AD130" s="28"/>
      <c r="AE130" s="28"/>
      <c r="AF130" s="28"/>
      <c r="AG130" s="28"/>
      <c r="AH130" s="28"/>
    </row>
    <row r="131" spans="1:16139" ht="156" customHeight="1" x14ac:dyDescent="0.25">
      <c r="A131" s="86">
        <v>116</v>
      </c>
      <c r="B131" s="57" t="s">
        <v>169</v>
      </c>
      <c r="C131" s="56" t="s">
        <v>41</v>
      </c>
      <c r="D131" s="45" t="s">
        <v>39</v>
      </c>
      <c r="E131" s="45" t="s">
        <v>38</v>
      </c>
      <c r="F131" s="45">
        <v>2086</v>
      </c>
      <c r="G131" s="45">
        <v>2286</v>
      </c>
      <c r="H131" s="46">
        <f t="shared" si="40"/>
        <v>4.7685959999999996</v>
      </c>
      <c r="I131" s="45">
        <v>1</v>
      </c>
      <c r="J131" s="53">
        <v>3095000</v>
      </c>
      <c r="K131" s="47">
        <v>1850000</v>
      </c>
      <c r="L131" s="48">
        <f t="shared" si="41"/>
        <v>16608804.619999999</v>
      </c>
      <c r="M131" s="28"/>
      <c r="N131" s="28"/>
      <c r="O131" s="28"/>
      <c r="P131" s="28"/>
      <c r="Q131" s="28"/>
      <c r="R131" s="28"/>
      <c r="S131" s="28"/>
      <c r="T131" s="28"/>
      <c r="U131" s="28"/>
      <c r="V131" s="28"/>
      <c r="W131" s="28"/>
      <c r="X131" s="28"/>
      <c r="Y131" s="28"/>
      <c r="Z131" s="28"/>
      <c r="AA131" s="28"/>
      <c r="AB131" s="28"/>
      <c r="AC131" s="28"/>
      <c r="AD131" s="28"/>
      <c r="AE131" s="28"/>
      <c r="AF131" s="28"/>
      <c r="AG131" s="28"/>
      <c r="AH131" s="28"/>
    </row>
    <row r="132" spans="1:16139" ht="144" customHeight="1" x14ac:dyDescent="0.25">
      <c r="A132" s="86">
        <v>117</v>
      </c>
      <c r="B132" s="57" t="s">
        <v>170</v>
      </c>
      <c r="C132" s="56" t="s">
        <v>42</v>
      </c>
      <c r="D132" s="45" t="s">
        <v>45</v>
      </c>
      <c r="E132" s="45"/>
      <c r="F132" s="45">
        <v>2386</v>
      </c>
      <c r="G132" s="45">
        <v>2286</v>
      </c>
      <c r="H132" s="46">
        <f t="shared" si="40"/>
        <v>5.454396</v>
      </c>
      <c r="I132" s="45">
        <v>1</v>
      </c>
      <c r="J132" s="53">
        <v>2229000</v>
      </c>
      <c r="K132" s="47"/>
      <c r="L132" s="48">
        <f t="shared" si="41"/>
        <v>12157848.684</v>
      </c>
      <c r="M132" s="28"/>
      <c r="N132" s="28"/>
      <c r="O132" s="28"/>
      <c r="P132" s="28"/>
      <c r="Q132" s="28"/>
      <c r="R132" s="28"/>
      <c r="S132" s="28"/>
      <c r="T132" s="28"/>
      <c r="U132" s="28"/>
      <c r="V132" s="28"/>
      <c r="W132" s="28"/>
      <c r="X132" s="28"/>
      <c r="Y132" s="28"/>
      <c r="Z132" s="28"/>
      <c r="AA132" s="28"/>
      <c r="AB132" s="28"/>
      <c r="AC132" s="28"/>
      <c r="AD132" s="28"/>
      <c r="AE132" s="28"/>
      <c r="AF132" s="28"/>
      <c r="AG132" s="28"/>
      <c r="AH132" s="28"/>
    </row>
    <row r="133" spans="1:16139" ht="156" customHeight="1" x14ac:dyDescent="0.25">
      <c r="A133" s="86">
        <v>118</v>
      </c>
      <c r="B133" s="57" t="s">
        <v>171</v>
      </c>
      <c r="C133" s="56" t="s">
        <v>41</v>
      </c>
      <c r="D133" s="45" t="s">
        <v>39</v>
      </c>
      <c r="E133" s="45" t="s">
        <v>38</v>
      </c>
      <c r="F133" s="45">
        <v>2905</v>
      </c>
      <c r="G133" s="45">
        <v>2240</v>
      </c>
      <c r="H133" s="46">
        <f t="shared" si="40"/>
        <v>6.5072000000000001</v>
      </c>
      <c r="I133" s="45">
        <v>1</v>
      </c>
      <c r="J133" s="53">
        <v>2907000</v>
      </c>
      <c r="K133" s="47">
        <v>1850000</v>
      </c>
      <c r="L133" s="48">
        <f t="shared" si="41"/>
        <v>20766430.399999999</v>
      </c>
      <c r="M133" s="28"/>
      <c r="N133" s="28"/>
      <c r="O133" s="28"/>
      <c r="P133" s="28"/>
      <c r="Q133" s="28"/>
      <c r="R133" s="28"/>
      <c r="S133" s="28"/>
      <c r="T133" s="28"/>
      <c r="U133" s="28"/>
      <c r="V133" s="28"/>
      <c r="W133" s="28"/>
      <c r="X133" s="28"/>
      <c r="Y133" s="28"/>
      <c r="Z133" s="28"/>
      <c r="AA133" s="28"/>
      <c r="AB133" s="28"/>
      <c r="AC133" s="28"/>
      <c r="AD133" s="28"/>
      <c r="AE133" s="28"/>
      <c r="AF133" s="28"/>
      <c r="AG133" s="28"/>
      <c r="AH133" s="28"/>
    </row>
    <row r="134" spans="1:16139" ht="156" customHeight="1" x14ac:dyDescent="0.25">
      <c r="A134" s="86">
        <v>119</v>
      </c>
      <c r="B134" s="57" t="s">
        <v>172</v>
      </c>
      <c r="C134" s="56" t="s">
        <v>41</v>
      </c>
      <c r="D134" s="45" t="s">
        <v>39</v>
      </c>
      <c r="E134" s="45" t="s">
        <v>38</v>
      </c>
      <c r="F134" s="45">
        <v>2920</v>
      </c>
      <c r="G134" s="45">
        <v>2245</v>
      </c>
      <c r="H134" s="46">
        <f t="shared" si="40"/>
        <v>6.5553999999999997</v>
      </c>
      <c r="I134" s="45">
        <v>1</v>
      </c>
      <c r="J134" s="53">
        <v>2902000</v>
      </c>
      <c r="K134" s="47">
        <v>1850000</v>
      </c>
      <c r="L134" s="48">
        <f t="shared" si="41"/>
        <v>20873770.800000001</v>
      </c>
      <c r="M134" s="28"/>
      <c r="N134" s="28"/>
      <c r="O134" s="28"/>
      <c r="P134" s="28"/>
      <c r="Q134" s="28"/>
      <c r="R134" s="28"/>
      <c r="S134" s="28"/>
      <c r="T134" s="28"/>
      <c r="U134" s="28"/>
      <c r="V134" s="28"/>
      <c r="W134" s="28"/>
      <c r="X134" s="28"/>
      <c r="Y134" s="28"/>
      <c r="Z134" s="28"/>
      <c r="AA134" s="28"/>
      <c r="AB134" s="28"/>
      <c r="AC134" s="28"/>
      <c r="AD134" s="28"/>
      <c r="AE134" s="28"/>
      <c r="AF134" s="28"/>
      <c r="AG134" s="28"/>
      <c r="AH134" s="28"/>
    </row>
    <row r="135" spans="1:16139" ht="144" customHeight="1" x14ac:dyDescent="0.25">
      <c r="A135" s="86">
        <v>120</v>
      </c>
      <c r="B135" s="57" t="s">
        <v>173</v>
      </c>
      <c r="C135" s="56" t="s">
        <v>42</v>
      </c>
      <c r="D135" s="45" t="s">
        <v>45</v>
      </c>
      <c r="E135" s="45"/>
      <c r="F135" s="45">
        <v>1355</v>
      </c>
      <c r="G135" s="45">
        <v>2252</v>
      </c>
      <c r="H135" s="46">
        <f t="shared" si="40"/>
        <v>3.0514600000000001</v>
      </c>
      <c r="I135" s="45">
        <v>1</v>
      </c>
      <c r="J135" s="53">
        <v>2357000</v>
      </c>
      <c r="K135" s="47"/>
      <c r="L135" s="48">
        <f t="shared" si="41"/>
        <v>7192291.2199999997</v>
      </c>
      <c r="M135" s="28"/>
      <c r="N135" s="28"/>
      <c r="O135" s="28"/>
      <c r="P135" s="28"/>
      <c r="Q135" s="28"/>
      <c r="R135" s="28"/>
      <c r="S135" s="28"/>
      <c r="T135" s="28"/>
      <c r="U135" s="28"/>
      <c r="V135" s="28"/>
      <c r="W135" s="28"/>
      <c r="X135" s="28"/>
      <c r="Y135" s="28"/>
      <c r="Z135" s="28"/>
      <c r="AA135" s="28"/>
      <c r="AB135" s="28"/>
      <c r="AC135" s="28"/>
      <c r="AD135" s="28"/>
      <c r="AE135" s="28"/>
      <c r="AF135" s="28"/>
      <c r="AG135" s="28"/>
      <c r="AH135" s="28"/>
    </row>
    <row r="136" spans="1:16139" ht="144" customHeight="1" x14ac:dyDescent="0.25">
      <c r="A136" s="86">
        <v>121</v>
      </c>
      <c r="B136" s="57" t="s">
        <v>174</v>
      </c>
      <c r="C136" s="56" t="s">
        <v>42</v>
      </c>
      <c r="D136" s="45" t="s">
        <v>45</v>
      </c>
      <c r="E136" s="45"/>
      <c r="F136" s="45">
        <v>1355</v>
      </c>
      <c r="G136" s="45">
        <v>2252</v>
      </c>
      <c r="H136" s="46">
        <f t="shared" si="40"/>
        <v>3.0514600000000001</v>
      </c>
      <c r="I136" s="45">
        <v>1</v>
      </c>
      <c r="J136" s="53">
        <v>2357000</v>
      </c>
      <c r="K136" s="47"/>
      <c r="L136" s="48">
        <f t="shared" si="41"/>
        <v>7192291.2199999997</v>
      </c>
      <c r="M136" s="28"/>
      <c r="N136" s="28"/>
      <c r="O136" s="28"/>
      <c r="P136" s="28"/>
      <c r="Q136" s="28"/>
      <c r="R136" s="28"/>
      <c r="S136" s="28"/>
      <c r="T136" s="28"/>
      <c r="U136" s="28"/>
      <c r="V136" s="28"/>
      <c r="W136" s="28"/>
      <c r="X136" s="28"/>
      <c r="Y136" s="28"/>
      <c r="Z136" s="28"/>
      <c r="AA136" s="28"/>
      <c r="AB136" s="28"/>
      <c r="AC136" s="28"/>
      <c r="AD136" s="28"/>
      <c r="AE136" s="28"/>
      <c r="AF136" s="28"/>
      <c r="AG136" s="28"/>
      <c r="AH136" s="28"/>
    </row>
    <row r="137" spans="1:16139" ht="156" customHeight="1" x14ac:dyDescent="0.25">
      <c r="A137" s="86">
        <v>122</v>
      </c>
      <c r="B137" s="57" t="s">
        <v>175</v>
      </c>
      <c r="C137" s="56" t="s">
        <v>41</v>
      </c>
      <c r="D137" s="45" t="s">
        <v>39</v>
      </c>
      <c r="E137" s="45" t="s">
        <v>38</v>
      </c>
      <c r="F137" s="45">
        <v>2905</v>
      </c>
      <c r="G137" s="45">
        <v>2255</v>
      </c>
      <c r="H137" s="46">
        <f t="shared" si="40"/>
        <v>6.5507749999999998</v>
      </c>
      <c r="I137" s="45">
        <v>1</v>
      </c>
      <c r="J137" s="53">
        <v>2903000</v>
      </c>
      <c r="K137" s="47">
        <v>1850000</v>
      </c>
      <c r="L137" s="48">
        <f t="shared" si="41"/>
        <v>20866899.824999999</v>
      </c>
      <c r="M137" s="28"/>
      <c r="N137" s="28"/>
      <c r="O137" s="28"/>
      <c r="P137" s="28"/>
      <c r="Q137" s="28"/>
      <c r="R137" s="28"/>
      <c r="S137" s="28"/>
      <c r="T137" s="28"/>
      <c r="U137" s="28"/>
      <c r="V137" s="28"/>
      <c r="W137" s="28"/>
      <c r="X137" s="28"/>
      <c r="Y137" s="28"/>
      <c r="Z137" s="28"/>
      <c r="AA137" s="28"/>
      <c r="AB137" s="28"/>
      <c r="AC137" s="28"/>
      <c r="AD137" s="28"/>
      <c r="AE137" s="28"/>
      <c r="AF137" s="28"/>
      <c r="AG137" s="28"/>
      <c r="AH137" s="28"/>
    </row>
    <row r="138" spans="1:16139" ht="156" customHeight="1" x14ac:dyDescent="0.25">
      <c r="A138" s="86">
        <v>123</v>
      </c>
      <c r="B138" s="57" t="s">
        <v>176</v>
      </c>
      <c r="C138" s="56" t="s">
        <v>41</v>
      </c>
      <c r="D138" s="45" t="s">
        <v>39</v>
      </c>
      <c r="E138" s="45" t="s">
        <v>38</v>
      </c>
      <c r="F138" s="45">
        <v>2860</v>
      </c>
      <c r="G138" s="45">
        <v>2245</v>
      </c>
      <c r="H138" s="46">
        <f t="shared" si="40"/>
        <v>6.4207000000000001</v>
      </c>
      <c r="I138" s="45">
        <v>1</v>
      </c>
      <c r="J138" s="53">
        <v>2913000</v>
      </c>
      <c r="K138" s="47">
        <v>1850000</v>
      </c>
      <c r="L138" s="48">
        <f t="shared" si="41"/>
        <v>20553499.100000001</v>
      </c>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spans="1:16139" s="8" customFormat="1" ht="31.5" customHeight="1" x14ac:dyDescent="0.25">
      <c r="A139" s="132" t="s">
        <v>177</v>
      </c>
      <c r="B139" s="133"/>
      <c r="C139" s="133"/>
      <c r="D139" s="133"/>
      <c r="E139" s="134"/>
      <c r="F139" s="64"/>
      <c r="G139" s="64"/>
      <c r="H139" s="65"/>
      <c r="I139" s="45"/>
      <c r="J139" s="53"/>
      <c r="K139" s="47"/>
      <c r="L139" s="67"/>
    </row>
    <row r="140" spans="1:16139" s="63" customFormat="1" ht="150.75" customHeight="1" x14ac:dyDescent="0.25">
      <c r="A140" s="86">
        <v>124</v>
      </c>
      <c r="B140" s="57" t="s">
        <v>178</v>
      </c>
      <c r="C140" s="58" t="s">
        <v>53</v>
      </c>
      <c r="D140" s="59" t="s">
        <v>39</v>
      </c>
      <c r="E140" s="59" t="s">
        <v>38</v>
      </c>
      <c r="F140" s="59">
        <v>4000</v>
      </c>
      <c r="G140" s="59">
        <v>2400</v>
      </c>
      <c r="H140" s="60">
        <f t="shared" ref="H140" si="42">F140*G140/10^6</f>
        <v>9.6</v>
      </c>
      <c r="I140" s="45">
        <v>1</v>
      </c>
      <c r="J140" s="53">
        <v>3102000</v>
      </c>
      <c r="K140" s="47">
        <v>3761000</v>
      </c>
      <c r="L140" s="61">
        <f t="shared" ref="L140" si="43">IF(H140&lt;&gt;0,J140*H140*I140+K140*I140,IF(J140&lt;&gt;0,G140*I140*J140,I140*K140))</f>
        <v>33540200</v>
      </c>
      <c r="M140" s="62"/>
      <c r="N140" s="62"/>
      <c r="O140" s="62"/>
      <c r="P140" s="62"/>
      <c r="Q140" s="62"/>
      <c r="R140" s="62"/>
      <c r="S140" s="62"/>
      <c r="T140" s="62"/>
      <c r="U140" s="62"/>
      <c r="V140" s="62"/>
      <c r="W140" s="62"/>
      <c r="X140" s="62"/>
      <c r="Y140" s="62"/>
      <c r="Z140" s="62"/>
      <c r="AA140" s="62"/>
      <c r="AB140" s="62"/>
      <c r="AC140" s="62"/>
      <c r="AD140" s="62"/>
      <c r="AE140" s="62"/>
      <c r="AF140" s="62"/>
      <c r="AG140" s="62"/>
      <c r="AH140" s="62"/>
    </row>
    <row r="141" spans="1:16139" ht="146.25" customHeight="1" x14ac:dyDescent="0.25">
      <c r="A141" s="86">
        <v>125</v>
      </c>
      <c r="B141" s="86" t="s">
        <v>179</v>
      </c>
      <c r="C141" s="51" t="s">
        <v>42</v>
      </c>
      <c r="D141" s="45" t="s">
        <v>45</v>
      </c>
      <c r="E141" s="45"/>
      <c r="F141" s="45">
        <v>2000</v>
      </c>
      <c r="G141" s="45">
        <v>2300</v>
      </c>
      <c r="H141" s="46">
        <f>F141*G141/10^6</f>
        <v>4.5999999999999996</v>
      </c>
      <c r="I141" s="45">
        <v>1</v>
      </c>
      <c r="J141" s="53">
        <v>2256000</v>
      </c>
      <c r="K141" s="47"/>
      <c r="L141" s="48">
        <f>IF(H141&lt;&gt;0,J141*H141*I141+K141*I141,IF(J141&lt;&gt;0,G141*I141*J141,I141*K141))</f>
        <v>10377600</v>
      </c>
      <c r="M141" s="28"/>
      <c r="N141" s="28"/>
      <c r="O141" s="28"/>
      <c r="P141" s="28"/>
      <c r="Q141" s="28"/>
      <c r="R141" s="28"/>
      <c r="S141" s="28"/>
      <c r="T141" s="28"/>
      <c r="U141" s="28"/>
      <c r="V141" s="28"/>
      <c r="W141" s="28"/>
      <c r="X141" s="28"/>
      <c r="Y141" s="28"/>
      <c r="Z141" s="28"/>
      <c r="AA141" s="28"/>
      <c r="AB141" s="28"/>
      <c r="AC141" s="28"/>
      <c r="AD141" s="28"/>
      <c r="AE141" s="28"/>
      <c r="AF141" s="28"/>
      <c r="AG141" s="28"/>
      <c r="AH141" s="28"/>
    </row>
    <row r="142" spans="1:16139" ht="146.25" customHeight="1" x14ac:dyDescent="0.25">
      <c r="A142" s="135">
        <v>126</v>
      </c>
      <c r="B142" s="137" t="s">
        <v>180</v>
      </c>
      <c r="C142" s="58" t="s">
        <v>42</v>
      </c>
      <c r="D142" s="45" t="s">
        <v>45</v>
      </c>
      <c r="E142" s="45"/>
      <c r="F142" s="45">
        <v>1100</v>
      </c>
      <c r="G142" s="45">
        <v>2300</v>
      </c>
      <c r="H142" s="46">
        <f>F142*G142/10^6</f>
        <v>2.5299999999999998</v>
      </c>
      <c r="I142" s="45">
        <v>1</v>
      </c>
      <c r="J142" s="53">
        <v>2422000</v>
      </c>
      <c r="K142" s="47"/>
      <c r="L142" s="48">
        <f>IF(H142&lt;&gt;0,J142*H142*I142+K142*I142,IF(J142&lt;&gt;0,G142*I142*J142,I142*K142))</f>
        <v>6127659.9999999991</v>
      </c>
      <c r="M142" s="28"/>
      <c r="N142" s="28"/>
      <c r="O142" s="28"/>
      <c r="P142" s="28"/>
      <c r="Q142" s="28"/>
      <c r="R142" s="28"/>
      <c r="S142" s="28"/>
      <c r="T142" s="28"/>
      <c r="U142" s="28"/>
      <c r="V142" s="28"/>
      <c r="W142" s="28"/>
      <c r="X142" s="28"/>
      <c r="Y142" s="28"/>
      <c r="Z142" s="28"/>
      <c r="AA142" s="28"/>
      <c r="AB142" s="28"/>
      <c r="AC142" s="28"/>
      <c r="AD142" s="28"/>
      <c r="AE142" s="28"/>
      <c r="AF142" s="28"/>
      <c r="AG142" s="28"/>
      <c r="AH142" s="28"/>
    </row>
    <row r="143" spans="1:16139" ht="146.25" customHeight="1" x14ac:dyDescent="0.25">
      <c r="A143" s="149"/>
      <c r="B143" s="150"/>
      <c r="C143" s="58" t="s">
        <v>42</v>
      </c>
      <c r="D143" s="45" t="s">
        <v>207</v>
      </c>
      <c r="E143" s="45"/>
      <c r="F143" s="45">
        <v>976</v>
      </c>
      <c r="G143" s="45">
        <v>2300</v>
      </c>
      <c r="H143" s="46">
        <f>F143*G143/10^6</f>
        <v>2.2448000000000001</v>
      </c>
      <c r="I143" s="45">
        <v>1</v>
      </c>
      <c r="J143" s="53">
        <v>4196000</v>
      </c>
      <c r="K143" s="47"/>
      <c r="L143" s="48">
        <f>IF(H143&lt;&gt;0,J143*H143*I143+K143*I143,IF(J143&lt;&gt;0,G143*I143*J143,I143*K143))</f>
        <v>9419180.8000000007</v>
      </c>
      <c r="M143" s="28"/>
      <c r="N143" s="28"/>
      <c r="O143" s="28"/>
      <c r="P143" s="28"/>
      <c r="Q143" s="28"/>
      <c r="R143" s="28"/>
      <c r="S143" s="28"/>
      <c r="T143" s="28"/>
      <c r="U143" s="28"/>
      <c r="V143" s="28"/>
      <c r="W143" s="28"/>
      <c r="X143" s="28"/>
      <c r="Y143" s="28"/>
      <c r="Z143" s="28"/>
      <c r="AA143" s="28"/>
      <c r="AB143" s="28"/>
      <c r="AC143" s="28"/>
      <c r="AD143" s="28"/>
      <c r="AE143" s="28"/>
      <c r="AF143" s="28"/>
      <c r="AG143" s="28"/>
      <c r="AH143" s="28"/>
    </row>
    <row r="144" spans="1:16139" ht="30.75" customHeight="1" x14ac:dyDescent="0.25">
      <c r="A144" s="136"/>
      <c r="B144" s="138"/>
      <c r="C144" s="69" t="s">
        <v>201</v>
      </c>
      <c r="D144" s="59"/>
      <c r="E144" s="59"/>
      <c r="F144" s="59">
        <f>976+1000</f>
        <v>1976</v>
      </c>
      <c r="G144" s="59"/>
      <c r="H144" s="60">
        <f t="shared" ref="H144" si="44">F144*G144/10^6</f>
        <v>0</v>
      </c>
      <c r="I144" s="59">
        <v>1</v>
      </c>
      <c r="J144" s="53">
        <v>550000</v>
      </c>
      <c r="K144" s="47"/>
      <c r="L144" s="70">
        <f>F144*I144*J144/1000</f>
        <v>1086800</v>
      </c>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c r="DE144" s="72"/>
      <c r="DF144" s="72"/>
      <c r="DG144" s="72"/>
      <c r="DH144" s="72"/>
      <c r="DI144" s="72"/>
      <c r="DJ144" s="72"/>
      <c r="DK144" s="72"/>
      <c r="DL144" s="72"/>
      <c r="DM144" s="72"/>
      <c r="DN144" s="72"/>
      <c r="DO144" s="72"/>
      <c r="DP144" s="72"/>
      <c r="DQ144" s="72"/>
      <c r="DR144" s="72"/>
      <c r="DS144" s="72"/>
      <c r="DT144" s="72"/>
      <c r="DU144" s="72"/>
      <c r="DV144" s="72"/>
      <c r="DW144" s="72"/>
      <c r="DX144" s="72"/>
      <c r="DY144" s="72"/>
      <c r="DZ144" s="72"/>
      <c r="EA144" s="72"/>
      <c r="EB144" s="72"/>
      <c r="EC144" s="72"/>
      <c r="ED144" s="72"/>
      <c r="EE144" s="72"/>
      <c r="EF144" s="72"/>
      <c r="EG144" s="72"/>
      <c r="EH144" s="72"/>
      <c r="EI144" s="72"/>
      <c r="EJ144" s="72"/>
      <c r="EK144" s="72"/>
      <c r="EL144" s="72"/>
      <c r="EM144" s="72"/>
      <c r="EN144" s="72"/>
      <c r="EO144" s="72"/>
      <c r="EP144" s="72"/>
      <c r="EQ144" s="72"/>
      <c r="ER144" s="72"/>
      <c r="ES144" s="72"/>
      <c r="ET144" s="72"/>
      <c r="EU144" s="72"/>
      <c r="EV144" s="72"/>
      <c r="EW144" s="72"/>
      <c r="EX144" s="72"/>
      <c r="EY144" s="72"/>
      <c r="EZ144" s="72"/>
      <c r="FA144" s="72"/>
      <c r="FB144" s="72"/>
      <c r="FC144" s="72"/>
      <c r="FD144" s="72"/>
      <c r="FE144" s="72"/>
      <c r="FF144" s="72"/>
      <c r="FG144" s="72"/>
      <c r="FH144" s="72"/>
      <c r="FI144" s="72"/>
      <c r="FJ144" s="72"/>
      <c r="FK144" s="72"/>
      <c r="FL144" s="72"/>
      <c r="FM144" s="72"/>
      <c r="FN144" s="72"/>
      <c r="FO144" s="72"/>
      <c r="FP144" s="72"/>
      <c r="FQ144" s="72"/>
      <c r="FR144" s="72"/>
      <c r="FS144" s="72"/>
      <c r="FT144" s="72"/>
      <c r="FU144" s="72"/>
      <c r="FV144" s="72"/>
      <c r="FW144" s="72"/>
      <c r="FX144" s="72"/>
      <c r="FY144" s="72"/>
      <c r="FZ144" s="72"/>
      <c r="GA144" s="72"/>
      <c r="GB144" s="72"/>
      <c r="GC144" s="72"/>
      <c r="GD144" s="72"/>
      <c r="GE144" s="72"/>
      <c r="GF144" s="72"/>
      <c r="GG144" s="72"/>
      <c r="GH144" s="72"/>
      <c r="GI144" s="72"/>
      <c r="GJ144" s="72"/>
      <c r="GK144" s="72"/>
      <c r="GL144" s="72"/>
      <c r="GM144" s="72"/>
      <c r="GN144" s="72"/>
      <c r="GO144" s="72"/>
      <c r="GP144" s="72"/>
      <c r="GQ144" s="72"/>
      <c r="GR144" s="72"/>
      <c r="GS144" s="72"/>
      <c r="GT144" s="72"/>
      <c r="GU144" s="72"/>
      <c r="GV144" s="72"/>
      <c r="GW144" s="72"/>
      <c r="GX144" s="72"/>
      <c r="GY144" s="72"/>
      <c r="GZ144" s="72"/>
      <c r="HA144" s="72"/>
      <c r="HB144" s="72"/>
      <c r="HC144" s="72"/>
      <c r="HD144" s="72"/>
      <c r="HE144" s="72"/>
      <c r="HF144" s="72"/>
      <c r="HG144" s="72"/>
      <c r="HH144" s="72"/>
      <c r="HI144" s="72"/>
      <c r="HJ144" s="72"/>
      <c r="HK144" s="72"/>
      <c r="HL144" s="72"/>
      <c r="HM144" s="72"/>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c r="IP144" s="72"/>
      <c r="IQ144" s="72"/>
      <c r="IR144" s="72"/>
      <c r="IS144" s="72"/>
      <c r="IT144" s="72"/>
      <c r="IU144" s="72"/>
      <c r="IV144" s="72"/>
      <c r="IW144" s="72"/>
      <c r="IX144" s="72"/>
      <c r="IY144" s="72"/>
      <c r="IZ144" s="72"/>
      <c r="JA144" s="72"/>
      <c r="JB144" s="72"/>
      <c r="JC144" s="72"/>
      <c r="JD144" s="72"/>
      <c r="JE144" s="72"/>
      <c r="JF144" s="72"/>
      <c r="JG144" s="72"/>
      <c r="JH144" s="72"/>
      <c r="JI144" s="72"/>
      <c r="JJ144" s="72"/>
      <c r="JK144" s="72"/>
      <c r="JL144" s="72"/>
      <c r="JM144" s="72"/>
      <c r="JN144" s="72"/>
      <c r="JO144" s="72"/>
      <c r="JP144" s="72"/>
      <c r="JQ144" s="72"/>
      <c r="JR144" s="72"/>
      <c r="JS144" s="72"/>
      <c r="JT144" s="72"/>
      <c r="JU144" s="72"/>
      <c r="JV144" s="72"/>
      <c r="JW144" s="72"/>
      <c r="JX144" s="72"/>
      <c r="JY144" s="72"/>
      <c r="JZ144" s="72"/>
      <c r="KA144" s="72"/>
      <c r="KB144" s="72"/>
      <c r="KC144" s="72"/>
      <c r="KD144" s="72"/>
      <c r="KE144" s="72"/>
      <c r="KF144" s="72"/>
      <c r="KG144" s="72"/>
      <c r="KH144" s="72"/>
      <c r="KI144" s="72"/>
      <c r="KJ144" s="72"/>
      <c r="KK144" s="72"/>
      <c r="KL144" s="72"/>
      <c r="KM144" s="72"/>
      <c r="KN144" s="72"/>
      <c r="KO144" s="72"/>
      <c r="KP144" s="72"/>
      <c r="KQ144" s="72"/>
      <c r="KR144" s="72"/>
      <c r="KS144" s="72"/>
      <c r="KT144" s="72"/>
      <c r="KU144" s="72"/>
      <c r="KV144" s="72"/>
      <c r="KW144" s="72"/>
      <c r="KX144" s="72"/>
      <c r="KY144" s="72"/>
      <c r="KZ144" s="72"/>
      <c r="LA144" s="72"/>
      <c r="LB144" s="72"/>
      <c r="LC144" s="72"/>
      <c r="LD144" s="72"/>
      <c r="LE144" s="72"/>
      <c r="LF144" s="72"/>
      <c r="LG144" s="72"/>
      <c r="LH144" s="72"/>
      <c r="LI144" s="72"/>
      <c r="LJ144" s="72"/>
      <c r="LK144" s="72"/>
      <c r="LL144" s="72"/>
      <c r="LM144" s="72"/>
      <c r="LN144" s="72"/>
      <c r="LO144" s="72"/>
      <c r="LP144" s="72"/>
      <c r="LQ144" s="72"/>
      <c r="LR144" s="72"/>
      <c r="LS144" s="72"/>
      <c r="LT144" s="72"/>
      <c r="LU144" s="72"/>
      <c r="LV144" s="72"/>
      <c r="LW144" s="72"/>
      <c r="LX144" s="72"/>
      <c r="LY144" s="72"/>
      <c r="LZ144" s="72"/>
      <c r="MA144" s="72"/>
      <c r="MB144" s="72"/>
      <c r="MC144" s="72"/>
      <c r="MD144" s="72"/>
      <c r="ME144" s="72"/>
      <c r="MF144" s="72"/>
      <c r="MG144" s="72"/>
      <c r="MH144" s="72"/>
      <c r="MI144" s="72"/>
      <c r="MJ144" s="72"/>
      <c r="MK144" s="72"/>
      <c r="ML144" s="72"/>
      <c r="MM144" s="72"/>
      <c r="MN144" s="72"/>
      <c r="MO144" s="72"/>
      <c r="MP144" s="72"/>
      <c r="MQ144" s="72"/>
      <c r="MR144" s="72"/>
      <c r="MS144" s="72"/>
      <c r="MT144" s="72"/>
      <c r="MU144" s="72"/>
      <c r="MV144" s="72"/>
      <c r="MW144" s="72"/>
      <c r="MX144" s="72"/>
      <c r="MY144" s="72"/>
      <c r="MZ144" s="72"/>
      <c r="NA144" s="72"/>
      <c r="NB144" s="72"/>
      <c r="NC144" s="72"/>
      <c r="ND144" s="72"/>
      <c r="NE144" s="72"/>
      <c r="NF144" s="72"/>
      <c r="NG144" s="72"/>
      <c r="NH144" s="72"/>
      <c r="NI144" s="72"/>
      <c r="NJ144" s="72"/>
      <c r="NK144" s="72"/>
      <c r="NL144" s="72"/>
      <c r="NM144" s="72"/>
      <c r="NN144" s="72"/>
      <c r="NO144" s="72"/>
      <c r="NP144" s="72"/>
      <c r="NQ144" s="72"/>
      <c r="NR144" s="72"/>
      <c r="NS144" s="72"/>
      <c r="NT144" s="72"/>
      <c r="NU144" s="72"/>
      <c r="NV144" s="72"/>
      <c r="NW144" s="72"/>
      <c r="NX144" s="72"/>
      <c r="NY144" s="72"/>
      <c r="NZ144" s="72"/>
      <c r="OA144" s="72"/>
      <c r="OB144" s="72"/>
      <c r="OC144" s="72"/>
      <c r="OD144" s="72"/>
      <c r="OE144" s="72"/>
      <c r="OF144" s="72"/>
      <c r="OG144" s="72"/>
      <c r="OH144" s="72"/>
      <c r="OI144" s="72"/>
      <c r="OJ144" s="72"/>
      <c r="OK144" s="72"/>
      <c r="OL144" s="72"/>
      <c r="OM144" s="72"/>
      <c r="ON144" s="72"/>
      <c r="OO144" s="72"/>
      <c r="OP144" s="72"/>
      <c r="OQ144" s="72"/>
      <c r="OR144" s="72"/>
      <c r="OS144" s="72"/>
      <c r="OT144" s="72"/>
      <c r="OU144" s="72"/>
      <c r="OV144" s="72"/>
      <c r="OW144" s="72"/>
      <c r="OX144" s="72"/>
      <c r="OY144" s="72"/>
      <c r="OZ144" s="72"/>
      <c r="PA144" s="72"/>
      <c r="PB144" s="72"/>
      <c r="PC144" s="72"/>
      <c r="PD144" s="72"/>
      <c r="PE144" s="72"/>
      <c r="PF144" s="72"/>
      <c r="PG144" s="72"/>
      <c r="PH144" s="72"/>
      <c r="PI144" s="72"/>
      <c r="PJ144" s="72"/>
      <c r="PK144" s="72"/>
      <c r="PL144" s="72"/>
      <c r="PM144" s="72"/>
      <c r="PN144" s="72"/>
      <c r="PO144" s="72"/>
      <c r="PP144" s="72"/>
      <c r="PQ144" s="72"/>
      <c r="PR144" s="72"/>
      <c r="PS144" s="72"/>
      <c r="PT144" s="72"/>
      <c r="PU144" s="72"/>
      <c r="PV144" s="72"/>
      <c r="PW144" s="72"/>
      <c r="PX144" s="72"/>
      <c r="PY144" s="72"/>
      <c r="PZ144" s="72"/>
      <c r="QA144" s="72"/>
      <c r="QB144" s="72"/>
      <c r="QC144" s="72"/>
      <c r="QD144" s="72"/>
      <c r="QE144" s="72"/>
      <c r="QF144" s="72"/>
      <c r="QG144" s="72"/>
      <c r="QH144" s="72"/>
      <c r="QI144" s="72"/>
      <c r="QJ144" s="72"/>
      <c r="QK144" s="72"/>
      <c r="QL144" s="72"/>
      <c r="QM144" s="72"/>
      <c r="QN144" s="72"/>
      <c r="QO144" s="72"/>
      <c r="QP144" s="72"/>
      <c r="QQ144" s="72"/>
      <c r="QR144" s="72"/>
      <c r="QS144" s="72"/>
      <c r="QT144" s="72"/>
      <c r="QU144" s="72"/>
      <c r="QV144" s="72"/>
      <c r="QW144" s="72"/>
      <c r="QX144" s="72"/>
      <c r="QY144" s="72"/>
      <c r="QZ144" s="72"/>
      <c r="RA144" s="72"/>
      <c r="RB144" s="72"/>
      <c r="RC144" s="72"/>
      <c r="RD144" s="72"/>
      <c r="RE144" s="72"/>
      <c r="RF144" s="72"/>
      <c r="RG144" s="72"/>
      <c r="RH144" s="72"/>
      <c r="RI144" s="72"/>
      <c r="RJ144" s="72"/>
      <c r="RK144" s="72"/>
      <c r="RL144" s="72"/>
      <c r="RM144" s="72"/>
      <c r="RN144" s="72"/>
      <c r="RO144" s="72"/>
      <c r="RP144" s="72"/>
      <c r="RQ144" s="72"/>
      <c r="RR144" s="72"/>
      <c r="RS144" s="72"/>
      <c r="RT144" s="72"/>
      <c r="RU144" s="72"/>
      <c r="RV144" s="72"/>
      <c r="RW144" s="72"/>
      <c r="RX144" s="72"/>
      <c r="RY144" s="72"/>
      <c r="RZ144" s="72"/>
      <c r="SA144" s="72"/>
      <c r="SB144" s="72"/>
      <c r="SC144" s="72"/>
      <c r="SD144" s="72"/>
      <c r="SE144" s="72"/>
      <c r="SF144" s="72"/>
      <c r="SG144" s="72"/>
      <c r="SH144" s="72"/>
      <c r="SI144" s="72"/>
      <c r="SJ144" s="72"/>
      <c r="SK144" s="72"/>
      <c r="SL144" s="72"/>
      <c r="SM144" s="72"/>
      <c r="SN144" s="72"/>
      <c r="SO144" s="72"/>
      <c r="SP144" s="72"/>
      <c r="SQ144" s="72"/>
      <c r="SR144" s="72"/>
      <c r="SS144" s="72"/>
      <c r="ST144" s="72"/>
      <c r="SU144" s="72"/>
      <c r="SV144" s="72"/>
      <c r="SW144" s="72"/>
      <c r="SX144" s="72"/>
      <c r="SY144" s="72"/>
      <c r="SZ144" s="72"/>
      <c r="TA144" s="72"/>
      <c r="TB144" s="72"/>
      <c r="TC144" s="72"/>
      <c r="TD144" s="72"/>
      <c r="TE144" s="72"/>
      <c r="TF144" s="72"/>
      <c r="TG144" s="72"/>
      <c r="TH144" s="72"/>
      <c r="TI144" s="72"/>
      <c r="TJ144" s="72"/>
      <c r="TK144" s="72"/>
      <c r="TL144" s="72"/>
      <c r="TM144" s="72"/>
      <c r="TN144" s="72"/>
      <c r="TO144" s="72"/>
      <c r="TP144" s="72"/>
      <c r="TQ144" s="72"/>
      <c r="TR144" s="72"/>
      <c r="TS144" s="72"/>
      <c r="TT144" s="72"/>
      <c r="TU144" s="72"/>
      <c r="TV144" s="72"/>
      <c r="TW144" s="72"/>
      <c r="TX144" s="72"/>
      <c r="TY144" s="72"/>
      <c r="TZ144" s="72"/>
      <c r="UA144" s="72"/>
      <c r="UB144" s="72"/>
      <c r="UC144" s="72"/>
      <c r="UD144" s="72"/>
      <c r="UE144" s="72"/>
      <c r="UF144" s="72"/>
      <c r="UG144" s="72"/>
      <c r="UH144" s="72"/>
      <c r="UI144" s="72"/>
      <c r="UJ144" s="72"/>
      <c r="UK144" s="72"/>
      <c r="UL144" s="72"/>
      <c r="UM144" s="72"/>
      <c r="UN144" s="72"/>
      <c r="UO144" s="72"/>
      <c r="UP144" s="72"/>
      <c r="UQ144" s="72"/>
      <c r="UR144" s="72"/>
      <c r="US144" s="72"/>
      <c r="UT144" s="72"/>
      <c r="UU144" s="72"/>
      <c r="UV144" s="72"/>
      <c r="UW144" s="72"/>
      <c r="UX144" s="72"/>
      <c r="UY144" s="72"/>
      <c r="UZ144" s="72"/>
      <c r="VA144" s="72"/>
      <c r="VB144" s="72"/>
      <c r="VC144" s="72"/>
      <c r="VD144" s="72"/>
      <c r="VE144" s="72"/>
      <c r="VF144" s="72"/>
      <c r="VG144" s="72"/>
      <c r="VH144" s="72"/>
      <c r="VI144" s="72"/>
      <c r="VJ144" s="72"/>
      <c r="VK144" s="72"/>
      <c r="VL144" s="72"/>
      <c r="VM144" s="72"/>
      <c r="VN144" s="72"/>
      <c r="VO144" s="72"/>
      <c r="VP144" s="72"/>
      <c r="VQ144" s="72"/>
      <c r="VR144" s="72"/>
      <c r="VS144" s="72"/>
      <c r="VT144" s="72"/>
      <c r="VU144" s="72"/>
      <c r="VV144" s="72"/>
      <c r="VW144" s="72"/>
      <c r="VX144" s="72"/>
      <c r="VY144" s="72"/>
      <c r="VZ144" s="72"/>
      <c r="WA144" s="72"/>
      <c r="WB144" s="72"/>
      <c r="WC144" s="72"/>
      <c r="WD144" s="72"/>
      <c r="WE144" s="72"/>
      <c r="WF144" s="72"/>
      <c r="WG144" s="72"/>
      <c r="WH144" s="72"/>
      <c r="WI144" s="72"/>
      <c r="WJ144" s="72"/>
      <c r="WK144" s="72"/>
      <c r="WL144" s="72"/>
      <c r="WM144" s="72"/>
      <c r="WN144" s="72"/>
      <c r="WO144" s="72"/>
      <c r="WP144" s="72"/>
      <c r="WQ144" s="72"/>
      <c r="WR144" s="72"/>
      <c r="WS144" s="72"/>
      <c r="WT144" s="72"/>
      <c r="WU144" s="72"/>
      <c r="WV144" s="72"/>
      <c r="WW144" s="72"/>
      <c r="WX144" s="72"/>
      <c r="WY144" s="72"/>
      <c r="WZ144" s="72"/>
      <c r="XA144" s="72"/>
      <c r="XB144" s="72"/>
      <c r="XC144" s="72"/>
      <c r="XD144" s="72"/>
      <c r="XE144" s="72"/>
      <c r="XF144" s="72"/>
      <c r="XG144" s="72"/>
      <c r="XH144" s="72"/>
      <c r="XI144" s="72"/>
      <c r="XJ144" s="72"/>
      <c r="XK144" s="72"/>
      <c r="XL144" s="72"/>
      <c r="XM144" s="72"/>
      <c r="XN144" s="72"/>
      <c r="XO144" s="72"/>
      <c r="XP144" s="72"/>
      <c r="XQ144" s="72"/>
      <c r="XR144" s="72"/>
      <c r="XS144" s="72"/>
      <c r="XT144" s="72"/>
      <c r="XU144" s="72"/>
      <c r="XV144" s="72"/>
      <c r="XW144" s="72"/>
      <c r="XX144" s="72"/>
      <c r="XY144" s="72"/>
      <c r="XZ144" s="72"/>
      <c r="YA144" s="72"/>
      <c r="YB144" s="72"/>
      <c r="YC144" s="72"/>
      <c r="YD144" s="72"/>
      <c r="YE144" s="72"/>
      <c r="YF144" s="72"/>
      <c r="YG144" s="72"/>
      <c r="YH144" s="72"/>
      <c r="YI144" s="72"/>
      <c r="YJ144" s="72"/>
      <c r="YK144" s="72"/>
      <c r="YL144" s="72"/>
      <c r="YM144" s="72"/>
      <c r="YN144" s="72"/>
      <c r="YO144" s="72"/>
      <c r="YP144" s="72"/>
      <c r="YQ144" s="72"/>
      <c r="YR144" s="72"/>
      <c r="YS144" s="72"/>
      <c r="YT144" s="72"/>
      <c r="YU144" s="72"/>
      <c r="YV144" s="72"/>
      <c r="YW144" s="72"/>
      <c r="YX144" s="72"/>
      <c r="YY144" s="72"/>
      <c r="YZ144" s="72"/>
      <c r="ZA144" s="72"/>
      <c r="ZB144" s="72"/>
      <c r="ZC144" s="72"/>
      <c r="ZD144" s="72"/>
      <c r="ZE144" s="72"/>
      <c r="ZF144" s="72"/>
      <c r="ZG144" s="72"/>
      <c r="ZH144" s="72"/>
      <c r="ZI144" s="72"/>
      <c r="ZJ144" s="72"/>
      <c r="ZK144" s="72"/>
      <c r="ZL144" s="72"/>
      <c r="ZM144" s="72"/>
      <c r="ZN144" s="72"/>
      <c r="ZO144" s="72"/>
      <c r="ZP144" s="72"/>
      <c r="ZQ144" s="72"/>
      <c r="ZR144" s="72"/>
      <c r="ZS144" s="72"/>
      <c r="ZT144" s="72"/>
      <c r="ZU144" s="72"/>
      <c r="ZV144" s="72"/>
      <c r="ZW144" s="72"/>
      <c r="ZX144" s="72"/>
      <c r="ZY144" s="72"/>
      <c r="ZZ144" s="72"/>
      <c r="AAA144" s="72"/>
      <c r="AAB144" s="72"/>
      <c r="AAC144" s="72"/>
      <c r="AAD144" s="72"/>
      <c r="AAE144" s="72"/>
      <c r="AAF144" s="72"/>
      <c r="AAG144" s="72"/>
      <c r="AAH144" s="72"/>
      <c r="AAI144" s="72"/>
      <c r="AAJ144" s="72"/>
      <c r="AAK144" s="72"/>
      <c r="AAL144" s="72"/>
      <c r="AAM144" s="72"/>
      <c r="AAN144" s="72"/>
      <c r="AAO144" s="72"/>
      <c r="AAP144" s="72"/>
      <c r="AAQ144" s="72"/>
      <c r="AAR144" s="72"/>
      <c r="AAS144" s="72"/>
      <c r="AAT144" s="72"/>
      <c r="AAU144" s="72"/>
      <c r="AAV144" s="72"/>
      <c r="AAW144" s="72"/>
      <c r="AAX144" s="72"/>
      <c r="AAY144" s="72"/>
      <c r="AAZ144" s="72"/>
      <c r="ABA144" s="72"/>
      <c r="ABB144" s="72"/>
      <c r="ABC144" s="72"/>
      <c r="ABD144" s="72"/>
      <c r="ABE144" s="72"/>
      <c r="ABF144" s="72"/>
      <c r="ABG144" s="72"/>
      <c r="ABH144" s="72"/>
      <c r="ABI144" s="72"/>
      <c r="ABJ144" s="72"/>
      <c r="ABK144" s="72"/>
      <c r="ABL144" s="72"/>
      <c r="ABM144" s="72"/>
      <c r="ABN144" s="72"/>
      <c r="ABO144" s="72"/>
      <c r="ABP144" s="72"/>
      <c r="ABQ144" s="72"/>
      <c r="ABR144" s="72"/>
      <c r="ABS144" s="72"/>
      <c r="ABT144" s="72"/>
      <c r="ABU144" s="72"/>
      <c r="ABV144" s="72"/>
      <c r="ABW144" s="72"/>
      <c r="ABX144" s="72"/>
      <c r="ABY144" s="72"/>
      <c r="ABZ144" s="72"/>
      <c r="ACA144" s="72"/>
      <c r="ACB144" s="72"/>
      <c r="ACC144" s="72"/>
      <c r="ACD144" s="72"/>
      <c r="ACE144" s="72"/>
      <c r="ACF144" s="72"/>
      <c r="ACG144" s="72"/>
      <c r="ACH144" s="72"/>
      <c r="ACI144" s="72"/>
      <c r="ACJ144" s="72"/>
      <c r="ACK144" s="72"/>
      <c r="ACL144" s="72"/>
      <c r="ACM144" s="72"/>
      <c r="ACN144" s="72"/>
      <c r="ACO144" s="72"/>
      <c r="ACP144" s="72"/>
      <c r="ACQ144" s="72"/>
      <c r="ACR144" s="72"/>
      <c r="ACS144" s="72"/>
      <c r="ACT144" s="72"/>
      <c r="ACU144" s="72"/>
      <c r="ACV144" s="72"/>
      <c r="ACW144" s="72"/>
      <c r="ACX144" s="72"/>
      <c r="ACY144" s="72"/>
      <c r="ACZ144" s="72"/>
      <c r="ADA144" s="72"/>
      <c r="ADB144" s="72"/>
      <c r="ADC144" s="72"/>
      <c r="ADD144" s="72"/>
      <c r="ADE144" s="72"/>
      <c r="ADF144" s="72"/>
      <c r="ADG144" s="72"/>
      <c r="ADH144" s="72"/>
      <c r="ADI144" s="72"/>
      <c r="ADJ144" s="72"/>
      <c r="ADK144" s="72"/>
      <c r="ADL144" s="72"/>
      <c r="ADM144" s="72"/>
      <c r="ADN144" s="72"/>
      <c r="ADO144" s="72"/>
      <c r="ADP144" s="72"/>
      <c r="ADQ144" s="72"/>
      <c r="ADR144" s="72"/>
      <c r="ADS144" s="72"/>
      <c r="ADT144" s="72"/>
      <c r="ADU144" s="72"/>
      <c r="ADV144" s="72"/>
      <c r="ADW144" s="72"/>
      <c r="ADX144" s="72"/>
      <c r="ADY144" s="72"/>
      <c r="ADZ144" s="72"/>
      <c r="AEA144" s="72"/>
      <c r="AEB144" s="72"/>
      <c r="AEC144" s="72"/>
      <c r="AED144" s="72"/>
      <c r="AEE144" s="72"/>
      <c r="AEF144" s="72"/>
      <c r="AEG144" s="72"/>
      <c r="AEH144" s="72"/>
      <c r="AEI144" s="72"/>
      <c r="AEJ144" s="72"/>
      <c r="AEK144" s="72"/>
      <c r="AEL144" s="72"/>
      <c r="AEM144" s="72"/>
      <c r="AEN144" s="72"/>
      <c r="AEO144" s="72"/>
      <c r="AEP144" s="72"/>
      <c r="AEQ144" s="72"/>
      <c r="AER144" s="72"/>
      <c r="AES144" s="72"/>
      <c r="AET144" s="72"/>
      <c r="AEU144" s="72"/>
      <c r="AEV144" s="72"/>
      <c r="AEW144" s="72"/>
      <c r="AEX144" s="72"/>
      <c r="AEY144" s="72"/>
      <c r="AEZ144" s="72"/>
      <c r="AFA144" s="72"/>
      <c r="AFB144" s="72"/>
      <c r="AFC144" s="72"/>
      <c r="AFD144" s="72"/>
      <c r="AFE144" s="72"/>
      <c r="AFF144" s="72"/>
      <c r="AFG144" s="72"/>
      <c r="AFH144" s="72"/>
      <c r="AFI144" s="72"/>
      <c r="AFJ144" s="72"/>
      <c r="AFK144" s="72"/>
      <c r="AFL144" s="72"/>
      <c r="AFM144" s="72"/>
      <c r="AFN144" s="72"/>
      <c r="AFO144" s="72"/>
      <c r="AFP144" s="72"/>
      <c r="AFQ144" s="72"/>
      <c r="AFR144" s="72"/>
      <c r="AFS144" s="72"/>
      <c r="AFT144" s="72"/>
      <c r="AFU144" s="72"/>
      <c r="AFV144" s="72"/>
      <c r="AFW144" s="72"/>
      <c r="AFX144" s="72"/>
      <c r="AFY144" s="72"/>
      <c r="AFZ144" s="72"/>
      <c r="AGA144" s="72"/>
      <c r="AGB144" s="72"/>
      <c r="AGC144" s="72"/>
      <c r="AGD144" s="72"/>
      <c r="AGE144" s="72"/>
      <c r="AGF144" s="72"/>
      <c r="AGG144" s="72"/>
      <c r="AGH144" s="72"/>
      <c r="AGI144" s="72"/>
      <c r="AGJ144" s="72"/>
      <c r="AGK144" s="72"/>
      <c r="AGL144" s="72"/>
      <c r="AGM144" s="72"/>
      <c r="AGN144" s="72"/>
      <c r="AGO144" s="72"/>
      <c r="AGP144" s="72"/>
      <c r="AGQ144" s="72"/>
      <c r="AGR144" s="72"/>
      <c r="AGS144" s="72"/>
      <c r="AGT144" s="72"/>
      <c r="AGU144" s="72"/>
      <c r="AGV144" s="72"/>
      <c r="AGW144" s="72"/>
      <c r="AGX144" s="72"/>
      <c r="AGY144" s="72"/>
      <c r="AGZ144" s="72"/>
      <c r="AHA144" s="72"/>
      <c r="AHB144" s="72"/>
      <c r="AHC144" s="72"/>
      <c r="AHD144" s="72"/>
      <c r="AHE144" s="72"/>
      <c r="AHF144" s="72"/>
      <c r="AHG144" s="72"/>
      <c r="AHH144" s="72"/>
      <c r="AHI144" s="72"/>
      <c r="AHJ144" s="72"/>
      <c r="AHK144" s="72"/>
      <c r="AHL144" s="72"/>
      <c r="AHM144" s="72"/>
      <c r="AHN144" s="72"/>
      <c r="AHO144" s="72"/>
      <c r="AHP144" s="72"/>
      <c r="AHQ144" s="72"/>
      <c r="AHR144" s="72"/>
      <c r="AHS144" s="72"/>
      <c r="AHT144" s="72"/>
      <c r="AHU144" s="72"/>
      <c r="AHV144" s="72"/>
      <c r="AHW144" s="72"/>
      <c r="AHX144" s="72"/>
      <c r="AHY144" s="72"/>
      <c r="AHZ144" s="72"/>
      <c r="AIA144" s="72"/>
      <c r="AIB144" s="72"/>
      <c r="AIC144" s="72"/>
      <c r="AID144" s="72"/>
      <c r="AIE144" s="72"/>
      <c r="AIF144" s="72"/>
      <c r="AIG144" s="72"/>
      <c r="AIH144" s="72"/>
      <c r="AII144" s="72"/>
      <c r="AIJ144" s="72"/>
      <c r="AIK144" s="72"/>
      <c r="AIL144" s="72"/>
      <c r="AIM144" s="72"/>
      <c r="AIN144" s="72"/>
      <c r="AIO144" s="72"/>
      <c r="AIP144" s="72"/>
      <c r="AIQ144" s="72"/>
      <c r="AIR144" s="72"/>
      <c r="AIS144" s="72"/>
      <c r="AIT144" s="72"/>
      <c r="AIU144" s="72"/>
      <c r="AIV144" s="72"/>
      <c r="AIW144" s="72"/>
      <c r="AIX144" s="72"/>
      <c r="AIY144" s="72"/>
      <c r="AIZ144" s="72"/>
      <c r="AJA144" s="72"/>
      <c r="AJB144" s="72"/>
      <c r="AJC144" s="72"/>
      <c r="AJD144" s="72"/>
      <c r="AJE144" s="72"/>
      <c r="AJF144" s="72"/>
      <c r="AJG144" s="72"/>
      <c r="AJH144" s="72"/>
      <c r="AJI144" s="72"/>
      <c r="AJJ144" s="72"/>
      <c r="AJK144" s="72"/>
      <c r="AJL144" s="72"/>
      <c r="AJM144" s="72"/>
      <c r="AJN144" s="72"/>
      <c r="AJO144" s="72"/>
      <c r="AJP144" s="72"/>
      <c r="AJQ144" s="72"/>
      <c r="AJR144" s="72"/>
      <c r="AJS144" s="72"/>
      <c r="AJT144" s="72"/>
      <c r="AJU144" s="72"/>
      <c r="AJV144" s="72"/>
      <c r="AJW144" s="72"/>
      <c r="AJX144" s="72"/>
      <c r="AJY144" s="72"/>
      <c r="AJZ144" s="72"/>
      <c r="AKA144" s="72"/>
      <c r="AKB144" s="72"/>
      <c r="AKC144" s="72"/>
      <c r="AKD144" s="72"/>
      <c r="AKE144" s="72"/>
      <c r="AKF144" s="72"/>
      <c r="AKG144" s="72"/>
      <c r="AKH144" s="72"/>
      <c r="AKI144" s="72"/>
      <c r="AKJ144" s="72"/>
      <c r="AKK144" s="72"/>
      <c r="AKL144" s="72"/>
      <c r="AKM144" s="72"/>
      <c r="AKN144" s="72"/>
      <c r="AKO144" s="72"/>
      <c r="AKP144" s="72"/>
      <c r="AKQ144" s="72"/>
      <c r="AKR144" s="72"/>
      <c r="AKS144" s="72"/>
      <c r="AKT144" s="72"/>
      <c r="AKU144" s="72"/>
      <c r="AKV144" s="72"/>
      <c r="AKW144" s="72"/>
      <c r="AKX144" s="72"/>
      <c r="AKY144" s="72"/>
      <c r="AKZ144" s="72"/>
      <c r="ALA144" s="72"/>
      <c r="ALB144" s="72"/>
      <c r="ALC144" s="72"/>
      <c r="ALD144" s="72"/>
      <c r="ALE144" s="72"/>
      <c r="ALF144" s="72"/>
      <c r="ALG144" s="72"/>
      <c r="ALH144" s="72"/>
      <c r="ALI144" s="72"/>
      <c r="ALJ144" s="72"/>
      <c r="ALK144" s="72"/>
      <c r="ALL144" s="72"/>
      <c r="ALM144" s="72"/>
      <c r="ALN144" s="72"/>
      <c r="ALO144" s="72"/>
      <c r="ALP144" s="72"/>
      <c r="ALQ144" s="72"/>
      <c r="ALR144" s="72"/>
      <c r="ALS144" s="72"/>
      <c r="ALT144" s="72"/>
      <c r="ALU144" s="72"/>
      <c r="ALV144" s="72"/>
      <c r="ALW144" s="72"/>
      <c r="ALX144" s="72"/>
      <c r="ALY144" s="72"/>
      <c r="ALZ144" s="72"/>
      <c r="AMA144" s="72"/>
      <c r="AMB144" s="72"/>
      <c r="AMC144" s="72"/>
      <c r="AMD144" s="72"/>
      <c r="AME144" s="72"/>
      <c r="AMF144" s="72"/>
      <c r="AMG144" s="72"/>
      <c r="AMH144" s="72"/>
      <c r="AMI144" s="72"/>
      <c r="AMJ144" s="72"/>
      <c r="AMK144" s="72"/>
      <c r="AML144" s="72"/>
      <c r="AMM144" s="72"/>
      <c r="AMN144" s="72"/>
      <c r="AMO144" s="72"/>
      <c r="AMP144" s="72"/>
      <c r="AMQ144" s="72"/>
      <c r="AMR144" s="72"/>
      <c r="AMS144" s="72"/>
      <c r="AMT144" s="72"/>
      <c r="AMU144" s="72"/>
      <c r="AMV144" s="72"/>
      <c r="AMW144" s="72"/>
      <c r="AMX144" s="72"/>
      <c r="AMY144" s="72"/>
      <c r="AMZ144" s="72"/>
      <c r="ANA144" s="72"/>
      <c r="ANB144" s="72"/>
      <c r="ANC144" s="72"/>
      <c r="AND144" s="72"/>
      <c r="ANE144" s="72"/>
      <c r="ANF144" s="72"/>
      <c r="ANG144" s="72"/>
      <c r="ANH144" s="72"/>
      <c r="ANI144" s="72"/>
      <c r="ANJ144" s="72"/>
      <c r="ANK144" s="72"/>
      <c r="ANL144" s="72"/>
      <c r="ANM144" s="72"/>
      <c r="ANN144" s="72"/>
      <c r="ANO144" s="72"/>
      <c r="ANP144" s="72"/>
      <c r="ANQ144" s="72"/>
      <c r="ANR144" s="72"/>
      <c r="ANS144" s="72"/>
      <c r="ANT144" s="72"/>
      <c r="ANU144" s="72"/>
      <c r="ANV144" s="72"/>
      <c r="ANW144" s="72"/>
      <c r="ANX144" s="72"/>
      <c r="ANY144" s="72"/>
      <c r="ANZ144" s="72"/>
      <c r="AOA144" s="72"/>
      <c r="AOB144" s="72"/>
      <c r="AOC144" s="72"/>
      <c r="AOD144" s="72"/>
      <c r="AOE144" s="72"/>
      <c r="AOF144" s="72"/>
      <c r="AOG144" s="72"/>
      <c r="AOH144" s="72"/>
      <c r="AOI144" s="72"/>
      <c r="AOJ144" s="72"/>
      <c r="AOK144" s="72"/>
      <c r="AOL144" s="72"/>
      <c r="AOM144" s="72"/>
      <c r="AON144" s="72"/>
      <c r="AOO144" s="72"/>
      <c r="AOP144" s="72"/>
      <c r="AOQ144" s="72"/>
      <c r="AOR144" s="72"/>
      <c r="AOS144" s="72"/>
      <c r="AOT144" s="72"/>
      <c r="AOU144" s="72"/>
      <c r="AOV144" s="72"/>
      <c r="AOW144" s="72"/>
      <c r="AOX144" s="72"/>
      <c r="AOY144" s="72"/>
      <c r="AOZ144" s="72"/>
      <c r="APA144" s="72"/>
      <c r="APB144" s="72"/>
      <c r="APC144" s="72"/>
      <c r="APD144" s="72"/>
      <c r="APE144" s="72"/>
      <c r="APF144" s="72"/>
      <c r="APG144" s="72"/>
      <c r="APH144" s="72"/>
      <c r="API144" s="72"/>
      <c r="APJ144" s="72"/>
      <c r="APK144" s="72"/>
      <c r="APL144" s="72"/>
      <c r="APM144" s="72"/>
      <c r="APN144" s="72"/>
      <c r="APO144" s="72"/>
      <c r="APP144" s="72"/>
      <c r="APQ144" s="72"/>
      <c r="APR144" s="72"/>
      <c r="APS144" s="72"/>
      <c r="APT144" s="72"/>
      <c r="APU144" s="72"/>
      <c r="APV144" s="72"/>
      <c r="APW144" s="72"/>
      <c r="APX144" s="72"/>
      <c r="APY144" s="72"/>
      <c r="APZ144" s="72"/>
      <c r="AQA144" s="72"/>
      <c r="AQB144" s="72"/>
      <c r="AQC144" s="72"/>
      <c r="AQD144" s="72"/>
      <c r="AQE144" s="72"/>
      <c r="AQF144" s="72"/>
      <c r="AQG144" s="72"/>
      <c r="AQH144" s="72"/>
      <c r="AQI144" s="72"/>
      <c r="AQJ144" s="72"/>
      <c r="AQK144" s="72"/>
      <c r="AQL144" s="72"/>
      <c r="AQM144" s="72"/>
      <c r="AQN144" s="72"/>
      <c r="AQO144" s="72"/>
      <c r="AQP144" s="72"/>
      <c r="AQQ144" s="72"/>
      <c r="AQR144" s="72"/>
      <c r="AQS144" s="72"/>
      <c r="AQT144" s="72"/>
      <c r="AQU144" s="72"/>
      <c r="AQV144" s="72"/>
      <c r="AQW144" s="72"/>
      <c r="AQX144" s="72"/>
      <c r="AQY144" s="72"/>
      <c r="AQZ144" s="72"/>
      <c r="ARA144" s="72"/>
      <c r="ARB144" s="72"/>
      <c r="ARC144" s="72"/>
      <c r="ARD144" s="72"/>
      <c r="ARE144" s="72"/>
      <c r="ARF144" s="72"/>
      <c r="ARG144" s="72"/>
      <c r="ARH144" s="72"/>
      <c r="ARI144" s="72"/>
      <c r="ARJ144" s="72"/>
      <c r="ARK144" s="72"/>
      <c r="ARL144" s="72"/>
      <c r="ARM144" s="72"/>
      <c r="ARN144" s="72"/>
      <c r="ARO144" s="72"/>
      <c r="ARP144" s="72"/>
      <c r="ARQ144" s="72"/>
      <c r="ARR144" s="72"/>
      <c r="ARS144" s="72"/>
      <c r="ART144" s="72"/>
      <c r="ARU144" s="72"/>
      <c r="ARV144" s="72"/>
      <c r="ARW144" s="72"/>
      <c r="ARX144" s="72"/>
      <c r="ARY144" s="72"/>
      <c r="ARZ144" s="72"/>
      <c r="ASA144" s="72"/>
      <c r="ASB144" s="72"/>
      <c r="ASC144" s="72"/>
      <c r="ASD144" s="72"/>
      <c r="ASE144" s="72"/>
      <c r="ASF144" s="72"/>
      <c r="ASG144" s="72"/>
      <c r="ASH144" s="72"/>
      <c r="ASI144" s="72"/>
      <c r="ASJ144" s="72"/>
      <c r="ASK144" s="72"/>
      <c r="ASL144" s="72"/>
      <c r="ASM144" s="72"/>
      <c r="ASN144" s="72"/>
      <c r="ASO144" s="72"/>
      <c r="ASP144" s="72"/>
      <c r="ASQ144" s="72"/>
      <c r="ASR144" s="72"/>
      <c r="ASS144" s="72"/>
      <c r="AST144" s="72"/>
      <c r="ASU144" s="72"/>
      <c r="ASV144" s="72"/>
      <c r="ASW144" s="72"/>
      <c r="ASX144" s="72"/>
      <c r="ASY144" s="72"/>
      <c r="ASZ144" s="72"/>
      <c r="ATA144" s="72"/>
      <c r="ATB144" s="72"/>
      <c r="ATC144" s="72"/>
      <c r="ATD144" s="72"/>
      <c r="ATE144" s="72"/>
      <c r="ATF144" s="72"/>
      <c r="ATG144" s="72"/>
      <c r="ATH144" s="72"/>
      <c r="ATI144" s="72"/>
      <c r="ATJ144" s="72"/>
      <c r="ATK144" s="72"/>
      <c r="ATL144" s="72"/>
      <c r="ATM144" s="72"/>
      <c r="ATN144" s="72"/>
      <c r="ATO144" s="72"/>
      <c r="ATP144" s="72"/>
      <c r="ATQ144" s="72"/>
      <c r="ATR144" s="72"/>
      <c r="ATS144" s="72"/>
      <c r="ATT144" s="72"/>
      <c r="ATU144" s="72"/>
      <c r="ATV144" s="72"/>
      <c r="ATW144" s="72"/>
      <c r="ATX144" s="72"/>
      <c r="ATY144" s="72"/>
      <c r="ATZ144" s="72"/>
      <c r="AUA144" s="72"/>
      <c r="AUB144" s="72"/>
      <c r="AUC144" s="72"/>
      <c r="AUD144" s="72"/>
      <c r="AUE144" s="72"/>
      <c r="AUF144" s="72"/>
      <c r="AUG144" s="72"/>
      <c r="AUH144" s="72"/>
      <c r="AUI144" s="72"/>
      <c r="AUJ144" s="72"/>
      <c r="AUK144" s="72"/>
      <c r="AUL144" s="72"/>
      <c r="AUM144" s="72"/>
      <c r="AUN144" s="72"/>
      <c r="AUO144" s="72"/>
      <c r="AUP144" s="72"/>
      <c r="AUQ144" s="72"/>
      <c r="AUR144" s="72"/>
      <c r="AUS144" s="72"/>
      <c r="AUT144" s="72"/>
      <c r="AUU144" s="72"/>
      <c r="AUV144" s="72"/>
      <c r="AUW144" s="72"/>
      <c r="AUX144" s="72"/>
      <c r="AUY144" s="72"/>
      <c r="AUZ144" s="72"/>
      <c r="AVA144" s="72"/>
      <c r="AVB144" s="72"/>
      <c r="AVC144" s="72"/>
      <c r="AVD144" s="72"/>
      <c r="AVE144" s="72"/>
      <c r="AVF144" s="72"/>
      <c r="AVG144" s="72"/>
      <c r="AVH144" s="72"/>
      <c r="AVI144" s="72"/>
      <c r="AVJ144" s="72"/>
      <c r="AVK144" s="72"/>
      <c r="AVL144" s="72"/>
      <c r="AVM144" s="72"/>
      <c r="AVN144" s="72"/>
      <c r="AVO144" s="72"/>
      <c r="AVP144" s="72"/>
      <c r="AVQ144" s="72"/>
      <c r="AVR144" s="72"/>
      <c r="AVS144" s="72"/>
      <c r="AVT144" s="72"/>
      <c r="AVU144" s="72"/>
      <c r="AVV144" s="72"/>
      <c r="AVW144" s="72"/>
      <c r="AVX144" s="72"/>
      <c r="AVY144" s="72"/>
      <c r="AVZ144" s="72"/>
      <c r="AWA144" s="72"/>
      <c r="AWB144" s="72"/>
      <c r="AWC144" s="72"/>
      <c r="AWD144" s="72"/>
      <c r="AWE144" s="72"/>
      <c r="AWF144" s="72"/>
      <c r="AWG144" s="72"/>
      <c r="AWH144" s="72"/>
      <c r="AWI144" s="72"/>
      <c r="AWJ144" s="72"/>
      <c r="AWK144" s="72"/>
      <c r="AWL144" s="72"/>
      <c r="AWM144" s="72"/>
      <c r="AWN144" s="72"/>
      <c r="AWO144" s="72"/>
      <c r="AWP144" s="72"/>
      <c r="AWQ144" s="72"/>
      <c r="AWR144" s="72"/>
      <c r="AWS144" s="72"/>
      <c r="AWT144" s="72"/>
      <c r="AWU144" s="72"/>
      <c r="AWV144" s="72"/>
      <c r="AWW144" s="72"/>
      <c r="AWX144" s="72"/>
      <c r="AWY144" s="72"/>
      <c r="AWZ144" s="72"/>
      <c r="AXA144" s="72"/>
      <c r="AXB144" s="72"/>
      <c r="AXC144" s="72"/>
      <c r="AXD144" s="72"/>
      <c r="AXE144" s="72"/>
      <c r="AXF144" s="72"/>
      <c r="AXG144" s="72"/>
      <c r="AXH144" s="72"/>
      <c r="AXI144" s="72"/>
      <c r="AXJ144" s="72"/>
      <c r="AXK144" s="72"/>
      <c r="AXL144" s="72"/>
      <c r="AXM144" s="72"/>
      <c r="AXN144" s="72"/>
      <c r="AXO144" s="72"/>
      <c r="AXP144" s="72"/>
      <c r="AXQ144" s="72"/>
      <c r="AXR144" s="72"/>
      <c r="AXS144" s="72"/>
      <c r="AXT144" s="72"/>
      <c r="AXU144" s="72"/>
      <c r="AXV144" s="72"/>
      <c r="AXW144" s="72"/>
      <c r="AXX144" s="72"/>
      <c r="AXY144" s="72"/>
      <c r="AXZ144" s="72"/>
      <c r="AYA144" s="72"/>
      <c r="AYB144" s="72"/>
      <c r="AYC144" s="72"/>
      <c r="AYD144" s="72"/>
      <c r="AYE144" s="72"/>
      <c r="AYF144" s="72"/>
      <c r="AYG144" s="72"/>
      <c r="AYH144" s="72"/>
      <c r="AYI144" s="72"/>
      <c r="AYJ144" s="72"/>
      <c r="AYK144" s="72"/>
      <c r="AYL144" s="72"/>
      <c r="AYM144" s="72"/>
      <c r="AYN144" s="72"/>
      <c r="AYO144" s="72"/>
      <c r="AYP144" s="72"/>
      <c r="AYQ144" s="72"/>
      <c r="AYR144" s="72"/>
      <c r="AYS144" s="72"/>
      <c r="AYT144" s="72"/>
      <c r="AYU144" s="72"/>
      <c r="AYV144" s="72"/>
      <c r="AYW144" s="72"/>
      <c r="AYX144" s="72"/>
      <c r="AYY144" s="72"/>
      <c r="AYZ144" s="72"/>
      <c r="AZA144" s="72"/>
      <c r="AZB144" s="72"/>
      <c r="AZC144" s="72"/>
      <c r="AZD144" s="72"/>
      <c r="AZE144" s="72"/>
      <c r="AZF144" s="72"/>
      <c r="AZG144" s="72"/>
      <c r="AZH144" s="72"/>
      <c r="AZI144" s="72"/>
      <c r="AZJ144" s="72"/>
      <c r="AZK144" s="72"/>
      <c r="AZL144" s="72"/>
      <c r="AZM144" s="72"/>
      <c r="AZN144" s="72"/>
      <c r="AZO144" s="72"/>
      <c r="AZP144" s="72"/>
      <c r="AZQ144" s="72"/>
      <c r="AZR144" s="72"/>
      <c r="AZS144" s="72"/>
      <c r="AZT144" s="72"/>
      <c r="AZU144" s="72"/>
      <c r="AZV144" s="72"/>
      <c r="AZW144" s="72"/>
      <c r="AZX144" s="72"/>
      <c r="AZY144" s="72"/>
      <c r="AZZ144" s="72"/>
      <c r="BAA144" s="72"/>
      <c r="BAB144" s="72"/>
      <c r="BAC144" s="72"/>
      <c r="BAD144" s="72"/>
      <c r="BAE144" s="72"/>
      <c r="BAF144" s="72"/>
      <c r="BAG144" s="72"/>
      <c r="BAH144" s="72"/>
      <c r="BAI144" s="72"/>
      <c r="BAJ144" s="72"/>
      <c r="BAK144" s="72"/>
      <c r="BAL144" s="72"/>
      <c r="BAM144" s="72"/>
      <c r="BAN144" s="72"/>
      <c r="BAO144" s="72"/>
      <c r="BAP144" s="72"/>
      <c r="BAQ144" s="72"/>
      <c r="BAR144" s="72"/>
      <c r="BAS144" s="72"/>
      <c r="BAT144" s="72"/>
      <c r="BAU144" s="72"/>
      <c r="BAV144" s="72"/>
      <c r="BAW144" s="72"/>
      <c r="BAX144" s="72"/>
      <c r="BAY144" s="72"/>
      <c r="BAZ144" s="72"/>
      <c r="BBA144" s="72"/>
      <c r="BBB144" s="72"/>
      <c r="BBC144" s="72"/>
      <c r="BBD144" s="72"/>
      <c r="BBE144" s="72"/>
      <c r="BBF144" s="72"/>
      <c r="BBG144" s="72"/>
      <c r="BBH144" s="72"/>
      <c r="BBI144" s="72"/>
      <c r="BBJ144" s="72"/>
      <c r="BBK144" s="72"/>
      <c r="BBL144" s="72"/>
      <c r="BBM144" s="72"/>
      <c r="BBN144" s="72"/>
      <c r="BBO144" s="72"/>
      <c r="BBP144" s="72"/>
      <c r="BBQ144" s="72"/>
      <c r="BBR144" s="72"/>
      <c r="BBS144" s="72"/>
      <c r="BBT144" s="72"/>
      <c r="BBU144" s="72"/>
      <c r="BBV144" s="72"/>
      <c r="BBW144" s="72"/>
      <c r="BBX144" s="72"/>
      <c r="BBY144" s="72"/>
      <c r="BBZ144" s="72"/>
      <c r="BCA144" s="72"/>
      <c r="BCB144" s="72"/>
      <c r="BCC144" s="72"/>
      <c r="BCD144" s="72"/>
      <c r="BCE144" s="72"/>
      <c r="BCF144" s="72"/>
      <c r="BCG144" s="72"/>
      <c r="BCH144" s="72"/>
      <c r="BCI144" s="72"/>
      <c r="BCJ144" s="72"/>
      <c r="BCK144" s="72"/>
      <c r="BCL144" s="72"/>
      <c r="BCM144" s="72"/>
      <c r="BCN144" s="72"/>
      <c r="BCO144" s="72"/>
      <c r="BCP144" s="72"/>
      <c r="BCQ144" s="72"/>
      <c r="BCR144" s="72"/>
      <c r="BCS144" s="72"/>
      <c r="BCT144" s="72"/>
      <c r="BCU144" s="72"/>
      <c r="BCV144" s="72"/>
      <c r="BCW144" s="72"/>
      <c r="BCX144" s="72"/>
      <c r="BCY144" s="72"/>
      <c r="BCZ144" s="72"/>
      <c r="BDA144" s="72"/>
      <c r="BDB144" s="72"/>
      <c r="BDC144" s="72"/>
      <c r="BDD144" s="72"/>
      <c r="BDE144" s="72"/>
      <c r="BDF144" s="72"/>
      <c r="BDG144" s="72"/>
      <c r="BDH144" s="72"/>
      <c r="BDI144" s="72"/>
      <c r="BDJ144" s="72"/>
      <c r="BDK144" s="72"/>
      <c r="BDL144" s="72"/>
      <c r="BDM144" s="72"/>
      <c r="BDN144" s="72"/>
      <c r="BDO144" s="72"/>
      <c r="BDP144" s="72"/>
      <c r="BDQ144" s="72"/>
      <c r="BDR144" s="72"/>
      <c r="BDS144" s="72"/>
      <c r="BDT144" s="72"/>
      <c r="BDU144" s="72"/>
      <c r="BDV144" s="72"/>
      <c r="BDW144" s="72"/>
      <c r="BDX144" s="72"/>
      <c r="BDY144" s="72"/>
      <c r="BDZ144" s="72"/>
      <c r="BEA144" s="72"/>
      <c r="BEB144" s="72"/>
      <c r="BEC144" s="72"/>
      <c r="BED144" s="72"/>
      <c r="BEE144" s="72"/>
      <c r="BEF144" s="72"/>
      <c r="BEG144" s="72"/>
      <c r="BEH144" s="72"/>
      <c r="BEI144" s="72"/>
      <c r="BEJ144" s="72"/>
      <c r="BEK144" s="72"/>
      <c r="BEL144" s="72"/>
      <c r="BEM144" s="72"/>
      <c r="BEN144" s="72"/>
      <c r="BEO144" s="72"/>
      <c r="BEP144" s="72"/>
      <c r="BEQ144" s="72"/>
      <c r="BER144" s="72"/>
      <c r="BES144" s="72"/>
      <c r="BET144" s="72"/>
      <c r="BEU144" s="72"/>
      <c r="BEV144" s="72"/>
      <c r="BEW144" s="72"/>
      <c r="BEX144" s="72"/>
      <c r="BEY144" s="72"/>
      <c r="BEZ144" s="72"/>
      <c r="BFA144" s="72"/>
      <c r="BFB144" s="72"/>
      <c r="BFC144" s="72"/>
      <c r="BFD144" s="72"/>
      <c r="BFE144" s="72"/>
      <c r="BFF144" s="72"/>
      <c r="BFG144" s="72"/>
      <c r="BFH144" s="72"/>
      <c r="BFI144" s="72"/>
      <c r="BFJ144" s="72"/>
      <c r="BFK144" s="72"/>
      <c r="BFL144" s="72"/>
      <c r="BFM144" s="72"/>
      <c r="BFN144" s="72"/>
      <c r="BFO144" s="72"/>
      <c r="BFP144" s="72"/>
      <c r="BFQ144" s="72"/>
      <c r="BFR144" s="72"/>
      <c r="BFS144" s="72"/>
      <c r="BFT144" s="72"/>
      <c r="BFU144" s="72"/>
      <c r="BFV144" s="72"/>
      <c r="BFW144" s="72"/>
      <c r="BFX144" s="72"/>
      <c r="BFY144" s="72"/>
      <c r="BFZ144" s="72"/>
      <c r="BGA144" s="72"/>
      <c r="BGB144" s="72"/>
      <c r="BGC144" s="72"/>
      <c r="BGD144" s="72"/>
      <c r="BGE144" s="72"/>
      <c r="BGF144" s="72"/>
      <c r="BGG144" s="72"/>
      <c r="BGH144" s="72"/>
      <c r="BGI144" s="72"/>
      <c r="BGJ144" s="72"/>
      <c r="BGK144" s="72"/>
      <c r="BGL144" s="72"/>
      <c r="BGM144" s="72"/>
      <c r="BGN144" s="72"/>
      <c r="BGO144" s="72"/>
      <c r="BGP144" s="72"/>
      <c r="BGQ144" s="72"/>
      <c r="BGR144" s="72"/>
      <c r="BGS144" s="72"/>
      <c r="BGT144" s="72"/>
      <c r="BGU144" s="72"/>
      <c r="BGV144" s="72"/>
      <c r="BGW144" s="72"/>
      <c r="BGX144" s="72"/>
      <c r="BGY144" s="72"/>
      <c r="BGZ144" s="72"/>
      <c r="BHA144" s="72"/>
      <c r="BHB144" s="72"/>
      <c r="BHC144" s="72"/>
      <c r="BHD144" s="72"/>
      <c r="BHE144" s="72"/>
      <c r="BHF144" s="72"/>
      <c r="BHG144" s="72"/>
      <c r="BHH144" s="72"/>
      <c r="BHI144" s="72"/>
      <c r="BHJ144" s="72"/>
      <c r="BHK144" s="72"/>
      <c r="BHL144" s="72"/>
      <c r="BHM144" s="72"/>
      <c r="BHN144" s="72"/>
      <c r="BHO144" s="72"/>
      <c r="BHP144" s="72"/>
      <c r="BHQ144" s="72"/>
      <c r="BHR144" s="72"/>
      <c r="BHS144" s="72"/>
      <c r="BHT144" s="72"/>
      <c r="BHU144" s="72"/>
      <c r="BHV144" s="72"/>
      <c r="BHW144" s="72"/>
      <c r="BHX144" s="72"/>
      <c r="BHY144" s="72"/>
      <c r="BHZ144" s="72"/>
      <c r="BIA144" s="72"/>
      <c r="BIB144" s="72"/>
      <c r="BIC144" s="72"/>
      <c r="BID144" s="72"/>
      <c r="BIE144" s="72"/>
      <c r="BIF144" s="72"/>
      <c r="BIG144" s="72"/>
      <c r="BIH144" s="72"/>
      <c r="BII144" s="72"/>
      <c r="BIJ144" s="72"/>
      <c r="BIK144" s="72"/>
      <c r="BIL144" s="72"/>
      <c r="BIM144" s="72"/>
      <c r="BIN144" s="72"/>
      <c r="BIO144" s="72"/>
      <c r="BIP144" s="72"/>
      <c r="BIQ144" s="72"/>
      <c r="BIR144" s="72"/>
      <c r="BIS144" s="72"/>
      <c r="BIT144" s="72"/>
      <c r="BIU144" s="72"/>
      <c r="BIV144" s="72"/>
      <c r="BIW144" s="72"/>
      <c r="BIX144" s="72"/>
      <c r="BIY144" s="72"/>
      <c r="BIZ144" s="72"/>
      <c r="BJA144" s="72"/>
      <c r="BJB144" s="72"/>
      <c r="BJC144" s="72"/>
      <c r="BJD144" s="72"/>
      <c r="BJE144" s="72"/>
      <c r="BJF144" s="72"/>
      <c r="BJG144" s="72"/>
      <c r="BJH144" s="72"/>
      <c r="BJI144" s="72"/>
      <c r="BJJ144" s="72"/>
      <c r="BJK144" s="72"/>
      <c r="BJL144" s="72"/>
      <c r="BJM144" s="72"/>
      <c r="BJN144" s="72"/>
      <c r="BJO144" s="72"/>
      <c r="BJP144" s="72"/>
      <c r="BJQ144" s="72"/>
      <c r="BJR144" s="72"/>
      <c r="BJS144" s="72"/>
      <c r="BJT144" s="72"/>
      <c r="BJU144" s="72"/>
      <c r="BJV144" s="72"/>
      <c r="BJW144" s="72"/>
      <c r="BJX144" s="72"/>
      <c r="BJY144" s="72"/>
      <c r="BJZ144" s="72"/>
      <c r="BKA144" s="72"/>
      <c r="BKB144" s="72"/>
      <c r="BKC144" s="72"/>
      <c r="BKD144" s="72"/>
      <c r="BKE144" s="72"/>
      <c r="BKF144" s="72"/>
      <c r="BKG144" s="72"/>
      <c r="BKH144" s="72"/>
      <c r="BKI144" s="72"/>
      <c r="BKJ144" s="72"/>
      <c r="BKK144" s="72"/>
      <c r="BKL144" s="72"/>
      <c r="BKM144" s="72"/>
      <c r="BKN144" s="72"/>
      <c r="BKO144" s="72"/>
      <c r="BKP144" s="72"/>
      <c r="BKQ144" s="72"/>
      <c r="BKR144" s="72"/>
      <c r="BKS144" s="72"/>
      <c r="BKT144" s="72"/>
      <c r="BKU144" s="72"/>
      <c r="BKV144" s="72"/>
      <c r="BKW144" s="72"/>
      <c r="BKX144" s="72"/>
      <c r="BKY144" s="72"/>
      <c r="BKZ144" s="72"/>
      <c r="BLA144" s="72"/>
      <c r="BLB144" s="72"/>
      <c r="BLC144" s="72"/>
      <c r="BLD144" s="72"/>
      <c r="BLE144" s="72"/>
      <c r="BLF144" s="72"/>
      <c r="BLG144" s="72"/>
      <c r="BLH144" s="72"/>
      <c r="BLI144" s="72"/>
      <c r="BLJ144" s="72"/>
      <c r="BLK144" s="72"/>
      <c r="BLL144" s="72"/>
      <c r="BLM144" s="72"/>
      <c r="BLN144" s="72"/>
      <c r="BLO144" s="72"/>
      <c r="BLP144" s="72"/>
      <c r="BLQ144" s="72"/>
      <c r="BLR144" s="72"/>
      <c r="BLS144" s="72"/>
      <c r="BLT144" s="72"/>
      <c r="BLU144" s="72"/>
      <c r="BLV144" s="72"/>
      <c r="BLW144" s="72"/>
      <c r="BLX144" s="72"/>
      <c r="BLY144" s="72"/>
      <c r="BLZ144" s="72"/>
      <c r="BMA144" s="72"/>
      <c r="BMB144" s="72"/>
      <c r="BMC144" s="72"/>
      <c r="BMD144" s="72"/>
      <c r="BME144" s="72"/>
      <c r="BMF144" s="72"/>
      <c r="BMG144" s="72"/>
      <c r="BMH144" s="72"/>
      <c r="BMI144" s="72"/>
      <c r="BMJ144" s="72"/>
      <c r="BMK144" s="72"/>
      <c r="BML144" s="72"/>
      <c r="BMM144" s="72"/>
      <c r="BMN144" s="72"/>
      <c r="BMO144" s="72"/>
      <c r="BMP144" s="72"/>
      <c r="BMQ144" s="72"/>
      <c r="BMR144" s="72"/>
      <c r="BMS144" s="72"/>
      <c r="BMT144" s="72"/>
      <c r="BMU144" s="72"/>
      <c r="BMV144" s="72"/>
      <c r="BMW144" s="72"/>
      <c r="BMX144" s="72"/>
      <c r="BMY144" s="72"/>
      <c r="BMZ144" s="72"/>
      <c r="BNA144" s="72"/>
      <c r="BNB144" s="72"/>
      <c r="BNC144" s="72"/>
      <c r="BND144" s="72"/>
      <c r="BNE144" s="72"/>
      <c r="BNF144" s="72"/>
      <c r="BNG144" s="72"/>
      <c r="BNH144" s="72"/>
      <c r="BNI144" s="72"/>
      <c r="BNJ144" s="72"/>
      <c r="BNK144" s="72"/>
      <c r="BNL144" s="72"/>
      <c r="BNM144" s="72"/>
      <c r="BNN144" s="72"/>
      <c r="BNO144" s="72"/>
      <c r="BNP144" s="72"/>
      <c r="BNQ144" s="72"/>
      <c r="BNR144" s="72"/>
      <c r="BNS144" s="72"/>
      <c r="BNT144" s="72"/>
      <c r="BNU144" s="72"/>
      <c r="BNV144" s="72"/>
      <c r="BNW144" s="72"/>
      <c r="BNX144" s="72"/>
      <c r="BNY144" s="72"/>
      <c r="BNZ144" s="72"/>
      <c r="BOA144" s="72"/>
      <c r="BOB144" s="72"/>
      <c r="BOC144" s="72"/>
      <c r="BOD144" s="72"/>
      <c r="BOE144" s="72"/>
      <c r="BOF144" s="72"/>
      <c r="BOG144" s="72"/>
      <c r="BOH144" s="72"/>
      <c r="BOI144" s="72"/>
      <c r="BOJ144" s="72"/>
      <c r="BOK144" s="72"/>
      <c r="BOL144" s="72"/>
      <c r="BOM144" s="72"/>
      <c r="BON144" s="72"/>
      <c r="BOO144" s="72"/>
      <c r="BOP144" s="72"/>
      <c r="BOQ144" s="72"/>
      <c r="BOR144" s="72"/>
      <c r="BOS144" s="72"/>
      <c r="BOT144" s="72"/>
      <c r="BOU144" s="72"/>
      <c r="BOV144" s="72"/>
      <c r="BOW144" s="72"/>
      <c r="BOX144" s="72"/>
      <c r="BOY144" s="72"/>
      <c r="BOZ144" s="72"/>
      <c r="BPA144" s="72"/>
      <c r="BPB144" s="72"/>
      <c r="BPC144" s="72"/>
      <c r="BPD144" s="72"/>
      <c r="BPE144" s="72"/>
      <c r="BPF144" s="72"/>
      <c r="BPG144" s="72"/>
      <c r="BPH144" s="72"/>
      <c r="BPI144" s="72"/>
      <c r="BPJ144" s="72"/>
      <c r="BPK144" s="72"/>
      <c r="BPL144" s="72"/>
      <c r="BPM144" s="72"/>
      <c r="BPN144" s="72"/>
      <c r="BPO144" s="72"/>
      <c r="BPP144" s="72"/>
      <c r="BPQ144" s="72"/>
      <c r="BPR144" s="72"/>
      <c r="BPS144" s="72"/>
      <c r="BPT144" s="72"/>
      <c r="BPU144" s="72"/>
      <c r="BPV144" s="72"/>
      <c r="BPW144" s="72"/>
      <c r="BPX144" s="72"/>
      <c r="BPY144" s="72"/>
      <c r="BPZ144" s="72"/>
      <c r="BQA144" s="72"/>
      <c r="BQB144" s="72"/>
      <c r="BQC144" s="72"/>
      <c r="BQD144" s="72"/>
      <c r="BQE144" s="72"/>
      <c r="BQF144" s="72"/>
      <c r="BQG144" s="72"/>
      <c r="BQH144" s="72"/>
      <c r="BQI144" s="72"/>
      <c r="BQJ144" s="72"/>
      <c r="BQK144" s="72"/>
      <c r="BQL144" s="72"/>
      <c r="BQM144" s="72"/>
      <c r="BQN144" s="72"/>
      <c r="BQO144" s="72"/>
      <c r="BQP144" s="72"/>
      <c r="BQQ144" s="72"/>
      <c r="BQR144" s="72"/>
      <c r="BQS144" s="72"/>
      <c r="BQT144" s="72"/>
      <c r="BQU144" s="72"/>
      <c r="BQV144" s="72"/>
      <c r="BQW144" s="72"/>
      <c r="BQX144" s="72"/>
      <c r="BQY144" s="72"/>
      <c r="BQZ144" s="72"/>
      <c r="BRA144" s="72"/>
      <c r="BRB144" s="72"/>
      <c r="BRC144" s="72"/>
      <c r="BRD144" s="72"/>
      <c r="BRE144" s="72"/>
      <c r="BRF144" s="72"/>
      <c r="BRG144" s="72"/>
      <c r="BRH144" s="72"/>
      <c r="BRI144" s="72"/>
      <c r="BRJ144" s="72"/>
      <c r="BRK144" s="72"/>
      <c r="BRL144" s="72"/>
      <c r="BRM144" s="72"/>
      <c r="BRN144" s="72"/>
      <c r="BRO144" s="72"/>
      <c r="BRP144" s="72"/>
      <c r="BRQ144" s="72"/>
      <c r="BRR144" s="72"/>
      <c r="BRS144" s="72"/>
      <c r="BRT144" s="72"/>
      <c r="BRU144" s="72"/>
      <c r="BRV144" s="72"/>
      <c r="BRW144" s="72"/>
      <c r="BRX144" s="72"/>
      <c r="BRY144" s="72"/>
      <c r="BRZ144" s="72"/>
      <c r="BSA144" s="72"/>
      <c r="BSB144" s="72"/>
      <c r="BSC144" s="72"/>
      <c r="BSD144" s="72"/>
      <c r="BSE144" s="72"/>
      <c r="BSF144" s="72"/>
      <c r="BSG144" s="72"/>
      <c r="BSH144" s="72"/>
      <c r="BSI144" s="72"/>
      <c r="BSJ144" s="72"/>
      <c r="BSK144" s="72"/>
      <c r="BSL144" s="72"/>
      <c r="BSM144" s="72"/>
      <c r="BSN144" s="72"/>
      <c r="BSO144" s="72"/>
      <c r="BSP144" s="72"/>
      <c r="BSQ144" s="72"/>
      <c r="BSR144" s="72"/>
      <c r="BSS144" s="72"/>
      <c r="BST144" s="72"/>
      <c r="BSU144" s="72"/>
      <c r="BSV144" s="72"/>
      <c r="BSW144" s="72"/>
      <c r="BSX144" s="72"/>
      <c r="BSY144" s="72"/>
      <c r="BSZ144" s="72"/>
      <c r="BTA144" s="72"/>
      <c r="BTB144" s="72"/>
      <c r="BTC144" s="72"/>
      <c r="BTD144" s="72"/>
      <c r="BTE144" s="72"/>
      <c r="BTF144" s="72"/>
      <c r="BTG144" s="72"/>
      <c r="BTH144" s="72"/>
      <c r="BTI144" s="72"/>
      <c r="BTJ144" s="72"/>
      <c r="BTK144" s="72"/>
      <c r="BTL144" s="72"/>
      <c r="BTM144" s="72"/>
      <c r="BTN144" s="72"/>
      <c r="BTO144" s="72"/>
      <c r="BTP144" s="72"/>
      <c r="BTQ144" s="72"/>
      <c r="BTR144" s="72"/>
      <c r="BTS144" s="72"/>
      <c r="BTT144" s="72"/>
      <c r="BTU144" s="72"/>
      <c r="BTV144" s="72"/>
      <c r="BTW144" s="72"/>
      <c r="BTX144" s="72"/>
      <c r="BTY144" s="72"/>
      <c r="BTZ144" s="72"/>
      <c r="BUA144" s="72"/>
      <c r="BUB144" s="72"/>
      <c r="BUC144" s="72"/>
      <c r="BUD144" s="72"/>
      <c r="BUE144" s="72"/>
      <c r="BUF144" s="72"/>
      <c r="BUG144" s="72"/>
      <c r="BUH144" s="72"/>
      <c r="BUI144" s="72"/>
      <c r="BUJ144" s="72"/>
      <c r="BUK144" s="72"/>
      <c r="BUL144" s="72"/>
      <c r="BUM144" s="72"/>
      <c r="BUN144" s="72"/>
      <c r="BUO144" s="72"/>
      <c r="BUP144" s="72"/>
      <c r="BUQ144" s="72"/>
      <c r="BUR144" s="72"/>
      <c r="BUS144" s="72"/>
      <c r="BUT144" s="72"/>
      <c r="BUU144" s="72"/>
      <c r="BUV144" s="72"/>
      <c r="BUW144" s="72"/>
      <c r="BUX144" s="72"/>
      <c r="BUY144" s="72"/>
      <c r="BUZ144" s="72"/>
      <c r="BVA144" s="72"/>
      <c r="BVB144" s="72"/>
      <c r="BVC144" s="72"/>
      <c r="BVD144" s="72"/>
      <c r="BVE144" s="72"/>
      <c r="BVF144" s="72"/>
      <c r="BVG144" s="72"/>
      <c r="BVH144" s="72"/>
      <c r="BVI144" s="72"/>
      <c r="BVJ144" s="72"/>
      <c r="BVK144" s="72"/>
      <c r="BVL144" s="72"/>
      <c r="BVM144" s="72"/>
      <c r="BVN144" s="72"/>
      <c r="BVO144" s="72"/>
      <c r="BVP144" s="72"/>
      <c r="BVQ144" s="72"/>
      <c r="BVR144" s="72"/>
      <c r="BVS144" s="72"/>
      <c r="BVT144" s="72"/>
      <c r="BVU144" s="72"/>
      <c r="BVV144" s="72"/>
      <c r="BVW144" s="72"/>
      <c r="BVX144" s="72"/>
      <c r="BVY144" s="72"/>
      <c r="BVZ144" s="72"/>
      <c r="BWA144" s="72"/>
      <c r="BWB144" s="72"/>
      <c r="BWC144" s="72"/>
      <c r="BWD144" s="72"/>
      <c r="BWE144" s="72"/>
      <c r="BWF144" s="72"/>
      <c r="BWG144" s="72"/>
      <c r="BWH144" s="72"/>
      <c r="BWI144" s="72"/>
      <c r="BWJ144" s="72"/>
      <c r="BWK144" s="72"/>
      <c r="BWL144" s="72"/>
      <c r="BWM144" s="72"/>
      <c r="BWN144" s="72"/>
      <c r="BWO144" s="72"/>
      <c r="BWP144" s="72"/>
      <c r="BWQ144" s="72"/>
      <c r="BWR144" s="72"/>
      <c r="BWS144" s="72"/>
      <c r="BWT144" s="72"/>
      <c r="BWU144" s="72"/>
      <c r="BWV144" s="72"/>
      <c r="BWW144" s="72"/>
      <c r="BWX144" s="72"/>
      <c r="BWY144" s="72"/>
      <c r="BWZ144" s="72"/>
      <c r="BXA144" s="72"/>
      <c r="BXB144" s="72"/>
      <c r="BXC144" s="72"/>
      <c r="BXD144" s="72"/>
      <c r="BXE144" s="72"/>
      <c r="BXF144" s="72"/>
      <c r="BXG144" s="72"/>
      <c r="BXH144" s="72"/>
      <c r="BXI144" s="72"/>
      <c r="BXJ144" s="72"/>
      <c r="BXK144" s="72"/>
      <c r="BXL144" s="72"/>
      <c r="BXM144" s="72"/>
      <c r="BXN144" s="72"/>
      <c r="BXO144" s="72"/>
      <c r="BXP144" s="72"/>
      <c r="BXQ144" s="72"/>
      <c r="BXR144" s="72"/>
      <c r="BXS144" s="72"/>
      <c r="BXT144" s="72"/>
      <c r="BXU144" s="72"/>
      <c r="BXV144" s="72"/>
      <c r="BXW144" s="72"/>
      <c r="BXX144" s="72"/>
      <c r="BXY144" s="72"/>
      <c r="BXZ144" s="72"/>
      <c r="BYA144" s="72"/>
      <c r="BYB144" s="72"/>
      <c r="BYC144" s="72"/>
      <c r="BYD144" s="72"/>
      <c r="BYE144" s="72"/>
      <c r="BYF144" s="72"/>
      <c r="BYG144" s="72"/>
      <c r="BYH144" s="72"/>
      <c r="BYI144" s="72"/>
      <c r="BYJ144" s="72"/>
      <c r="BYK144" s="72"/>
      <c r="BYL144" s="72"/>
      <c r="BYM144" s="72"/>
      <c r="BYN144" s="72"/>
      <c r="BYO144" s="72"/>
      <c r="BYP144" s="72"/>
      <c r="BYQ144" s="72"/>
      <c r="BYR144" s="72"/>
      <c r="BYS144" s="72"/>
      <c r="BYT144" s="72"/>
      <c r="BYU144" s="72"/>
      <c r="BYV144" s="72"/>
      <c r="BYW144" s="72"/>
      <c r="BYX144" s="72"/>
      <c r="BYY144" s="72"/>
      <c r="BYZ144" s="72"/>
      <c r="BZA144" s="72"/>
      <c r="BZB144" s="72"/>
      <c r="BZC144" s="72"/>
      <c r="BZD144" s="72"/>
      <c r="BZE144" s="72"/>
      <c r="BZF144" s="72"/>
      <c r="BZG144" s="72"/>
      <c r="BZH144" s="72"/>
      <c r="BZI144" s="72"/>
      <c r="BZJ144" s="72"/>
      <c r="BZK144" s="72"/>
      <c r="BZL144" s="72"/>
      <c r="BZM144" s="72"/>
      <c r="BZN144" s="72"/>
      <c r="BZO144" s="72"/>
      <c r="BZP144" s="72"/>
      <c r="BZQ144" s="72"/>
      <c r="BZR144" s="72"/>
      <c r="BZS144" s="72"/>
      <c r="BZT144" s="72"/>
      <c r="BZU144" s="72"/>
      <c r="BZV144" s="72"/>
      <c r="BZW144" s="72"/>
      <c r="BZX144" s="72"/>
      <c r="BZY144" s="72"/>
      <c r="BZZ144" s="72"/>
      <c r="CAA144" s="72"/>
      <c r="CAB144" s="72"/>
      <c r="CAC144" s="72"/>
      <c r="CAD144" s="72"/>
      <c r="CAE144" s="72"/>
      <c r="CAF144" s="72"/>
      <c r="CAG144" s="72"/>
      <c r="CAH144" s="72"/>
      <c r="CAI144" s="72"/>
      <c r="CAJ144" s="72"/>
      <c r="CAK144" s="72"/>
      <c r="CAL144" s="72"/>
      <c r="CAM144" s="72"/>
      <c r="CAN144" s="72"/>
      <c r="CAO144" s="72"/>
      <c r="CAP144" s="72"/>
      <c r="CAQ144" s="72"/>
      <c r="CAR144" s="72"/>
      <c r="CAS144" s="72"/>
      <c r="CAT144" s="72"/>
      <c r="CAU144" s="72"/>
      <c r="CAV144" s="72"/>
      <c r="CAW144" s="72"/>
      <c r="CAX144" s="72"/>
      <c r="CAY144" s="72"/>
      <c r="CAZ144" s="72"/>
      <c r="CBA144" s="72"/>
      <c r="CBB144" s="72"/>
      <c r="CBC144" s="72"/>
      <c r="CBD144" s="72"/>
      <c r="CBE144" s="72"/>
      <c r="CBF144" s="72"/>
      <c r="CBG144" s="72"/>
      <c r="CBH144" s="72"/>
      <c r="CBI144" s="72"/>
      <c r="CBJ144" s="72"/>
      <c r="CBK144" s="72"/>
      <c r="CBL144" s="72"/>
      <c r="CBM144" s="72"/>
      <c r="CBN144" s="72"/>
      <c r="CBO144" s="72"/>
      <c r="CBP144" s="72"/>
      <c r="CBQ144" s="72"/>
      <c r="CBR144" s="72"/>
      <c r="CBS144" s="72"/>
      <c r="CBT144" s="72"/>
      <c r="CBU144" s="72"/>
      <c r="CBV144" s="72"/>
      <c r="CBW144" s="72"/>
      <c r="CBX144" s="72"/>
      <c r="CBY144" s="72"/>
      <c r="CBZ144" s="72"/>
      <c r="CCA144" s="72"/>
      <c r="CCB144" s="72"/>
      <c r="CCC144" s="72"/>
      <c r="CCD144" s="72"/>
      <c r="CCE144" s="72"/>
      <c r="CCF144" s="72"/>
      <c r="CCG144" s="72"/>
      <c r="CCH144" s="72"/>
      <c r="CCI144" s="72"/>
      <c r="CCJ144" s="72"/>
      <c r="CCK144" s="72"/>
      <c r="CCL144" s="72"/>
      <c r="CCM144" s="72"/>
      <c r="CCN144" s="72"/>
      <c r="CCO144" s="72"/>
      <c r="CCP144" s="72"/>
      <c r="CCQ144" s="72"/>
      <c r="CCR144" s="72"/>
      <c r="CCS144" s="72"/>
      <c r="CCT144" s="72"/>
      <c r="CCU144" s="72"/>
      <c r="CCV144" s="72"/>
      <c r="CCW144" s="72"/>
      <c r="CCX144" s="72"/>
      <c r="CCY144" s="72"/>
      <c r="CCZ144" s="72"/>
      <c r="CDA144" s="72"/>
      <c r="CDB144" s="72"/>
      <c r="CDC144" s="72"/>
      <c r="CDD144" s="72"/>
      <c r="CDE144" s="72"/>
      <c r="CDF144" s="72"/>
      <c r="CDG144" s="72"/>
      <c r="CDH144" s="72"/>
      <c r="CDI144" s="72"/>
      <c r="CDJ144" s="72"/>
      <c r="CDK144" s="72"/>
      <c r="CDL144" s="72"/>
      <c r="CDM144" s="72"/>
      <c r="CDN144" s="72"/>
      <c r="CDO144" s="72"/>
      <c r="CDP144" s="72"/>
      <c r="CDQ144" s="72"/>
      <c r="CDR144" s="72"/>
      <c r="CDS144" s="72"/>
      <c r="CDT144" s="72"/>
      <c r="CDU144" s="72"/>
      <c r="CDV144" s="72"/>
      <c r="CDW144" s="72"/>
      <c r="CDX144" s="72"/>
      <c r="CDY144" s="72"/>
      <c r="CDZ144" s="72"/>
      <c r="CEA144" s="72"/>
      <c r="CEB144" s="72"/>
      <c r="CEC144" s="72"/>
      <c r="CED144" s="72"/>
      <c r="CEE144" s="72"/>
      <c r="CEF144" s="72"/>
      <c r="CEG144" s="72"/>
      <c r="CEH144" s="72"/>
      <c r="CEI144" s="72"/>
      <c r="CEJ144" s="72"/>
      <c r="CEK144" s="72"/>
      <c r="CEL144" s="72"/>
      <c r="CEM144" s="72"/>
      <c r="CEN144" s="72"/>
      <c r="CEO144" s="72"/>
      <c r="CEP144" s="72"/>
      <c r="CEQ144" s="72"/>
      <c r="CER144" s="72"/>
      <c r="CES144" s="72"/>
      <c r="CET144" s="72"/>
      <c r="CEU144" s="72"/>
      <c r="CEV144" s="72"/>
      <c r="CEW144" s="72"/>
      <c r="CEX144" s="72"/>
      <c r="CEY144" s="72"/>
      <c r="CEZ144" s="72"/>
      <c r="CFA144" s="72"/>
      <c r="CFB144" s="72"/>
      <c r="CFC144" s="72"/>
      <c r="CFD144" s="72"/>
      <c r="CFE144" s="72"/>
      <c r="CFF144" s="72"/>
      <c r="CFG144" s="72"/>
      <c r="CFH144" s="72"/>
      <c r="CFI144" s="72"/>
      <c r="CFJ144" s="72"/>
      <c r="CFK144" s="72"/>
      <c r="CFL144" s="72"/>
      <c r="CFM144" s="72"/>
      <c r="CFN144" s="72"/>
      <c r="CFO144" s="72"/>
      <c r="CFP144" s="72"/>
      <c r="CFQ144" s="72"/>
      <c r="CFR144" s="72"/>
      <c r="CFS144" s="72"/>
      <c r="CFT144" s="72"/>
      <c r="CFU144" s="72"/>
      <c r="CFV144" s="72"/>
      <c r="CFW144" s="72"/>
      <c r="CFX144" s="72"/>
      <c r="CFY144" s="72"/>
      <c r="CFZ144" s="72"/>
      <c r="CGA144" s="72"/>
      <c r="CGB144" s="72"/>
      <c r="CGC144" s="72"/>
      <c r="CGD144" s="72"/>
      <c r="CGE144" s="72"/>
      <c r="CGF144" s="72"/>
      <c r="CGG144" s="72"/>
      <c r="CGH144" s="72"/>
      <c r="CGI144" s="72"/>
      <c r="CGJ144" s="72"/>
      <c r="CGK144" s="72"/>
      <c r="CGL144" s="72"/>
      <c r="CGM144" s="72"/>
      <c r="CGN144" s="72"/>
      <c r="CGO144" s="72"/>
      <c r="CGP144" s="72"/>
      <c r="CGQ144" s="72"/>
      <c r="CGR144" s="72"/>
      <c r="CGS144" s="72"/>
      <c r="CGT144" s="72"/>
      <c r="CGU144" s="72"/>
      <c r="CGV144" s="72"/>
      <c r="CGW144" s="72"/>
      <c r="CGX144" s="72"/>
      <c r="CGY144" s="72"/>
      <c r="CGZ144" s="72"/>
      <c r="CHA144" s="72"/>
      <c r="CHB144" s="72"/>
      <c r="CHC144" s="72"/>
      <c r="CHD144" s="72"/>
      <c r="CHE144" s="72"/>
      <c r="CHF144" s="72"/>
      <c r="CHG144" s="72"/>
      <c r="CHH144" s="72"/>
      <c r="CHI144" s="72"/>
      <c r="CHJ144" s="72"/>
      <c r="CHK144" s="72"/>
      <c r="CHL144" s="72"/>
      <c r="CHM144" s="72"/>
      <c r="CHN144" s="72"/>
      <c r="CHO144" s="72"/>
      <c r="CHP144" s="72"/>
      <c r="CHQ144" s="72"/>
      <c r="CHR144" s="72"/>
      <c r="CHS144" s="72"/>
      <c r="CHT144" s="72"/>
      <c r="CHU144" s="72"/>
      <c r="CHV144" s="72"/>
      <c r="CHW144" s="72"/>
      <c r="CHX144" s="72"/>
      <c r="CHY144" s="72"/>
      <c r="CHZ144" s="72"/>
      <c r="CIA144" s="72"/>
      <c r="CIB144" s="72"/>
      <c r="CIC144" s="72"/>
      <c r="CID144" s="72"/>
      <c r="CIE144" s="72"/>
      <c r="CIF144" s="72"/>
      <c r="CIG144" s="72"/>
      <c r="CIH144" s="72"/>
      <c r="CII144" s="72"/>
      <c r="CIJ144" s="72"/>
      <c r="CIK144" s="72"/>
      <c r="CIL144" s="72"/>
      <c r="CIM144" s="72"/>
      <c r="CIN144" s="72"/>
      <c r="CIO144" s="72"/>
      <c r="CIP144" s="72"/>
      <c r="CIQ144" s="72"/>
      <c r="CIR144" s="72"/>
      <c r="CIS144" s="72"/>
      <c r="CIT144" s="72"/>
      <c r="CIU144" s="72"/>
      <c r="CIV144" s="72"/>
      <c r="CIW144" s="72"/>
      <c r="CIX144" s="72"/>
      <c r="CIY144" s="72"/>
      <c r="CIZ144" s="72"/>
      <c r="CJA144" s="72"/>
      <c r="CJB144" s="72"/>
      <c r="CJC144" s="72"/>
      <c r="CJD144" s="72"/>
      <c r="CJE144" s="72"/>
      <c r="CJF144" s="72"/>
      <c r="CJG144" s="72"/>
      <c r="CJH144" s="72"/>
      <c r="CJI144" s="72"/>
      <c r="CJJ144" s="72"/>
      <c r="CJK144" s="72"/>
      <c r="CJL144" s="72"/>
      <c r="CJM144" s="72"/>
      <c r="CJN144" s="72"/>
      <c r="CJO144" s="72"/>
      <c r="CJP144" s="72"/>
      <c r="CJQ144" s="72"/>
      <c r="CJR144" s="72"/>
      <c r="CJS144" s="72"/>
      <c r="CJT144" s="72"/>
      <c r="CJU144" s="72"/>
      <c r="CJV144" s="72"/>
      <c r="CJW144" s="72"/>
      <c r="CJX144" s="72"/>
      <c r="CJY144" s="72"/>
      <c r="CJZ144" s="72"/>
      <c r="CKA144" s="72"/>
      <c r="CKB144" s="72"/>
      <c r="CKC144" s="72"/>
      <c r="CKD144" s="72"/>
      <c r="CKE144" s="72"/>
      <c r="CKF144" s="72"/>
      <c r="CKG144" s="72"/>
      <c r="CKH144" s="72"/>
      <c r="CKI144" s="72"/>
      <c r="CKJ144" s="72"/>
      <c r="CKK144" s="72"/>
      <c r="CKL144" s="72"/>
      <c r="CKM144" s="72"/>
      <c r="CKN144" s="72"/>
      <c r="CKO144" s="72"/>
      <c r="CKP144" s="72"/>
      <c r="CKQ144" s="72"/>
      <c r="CKR144" s="72"/>
      <c r="CKS144" s="72"/>
      <c r="CKT144" s="72"/>
      <c r="CKU144" s="72"/>
      <c r="CKV144" s="72"/>
      <c r="CKW144" s="72"/>
      <c r="CKX144" s="72"/>
      <c r="CKY144" s="72"/>
      <c r="CKZ144" s="72"/>
      <c r="CLA144" s="72"/>
      <c r="CLB144" s="72"/>
      <c r="CLC144" s="72"/>
      <c r="CLD144" s="72"/>
      <c r="CLE144" s="72"/>
      <c r="CLF144" s="72"/>
      <c r="CLG144" s="72"/>
      <c r="CLH144" s="72"/>
      <c r="CLI144" s="72"/>
      <c r="CLJ144" s="72"/>
      <c r="CLK144" s="72"/>
      <c r="CLL144" s="72"/>
      <c r="CLM144" s="72"/>
      <c r="CLN144" s="72"/>
      <c r="CLO144" s="72"/>
      <c r="CLP144" s="72"/>
      <c r="CLQ144" s="72"/>
      <c r="CLR144" s="72"/>
      <c r="CLS144" s="72"/>
      <c r="CLT144" s="72"/>
      <c r="CLU144" s="72"/>
      <c r="CLV144" s="72"/>
      <c r="CLW144" s="72"/>
      <c r="CLX144" s="72"/>
      <c r="CLY144" s="72"/>
      <c r="CLZ144" s="72"/>
      <c r="CMA144" s="72"/>
      <c r="CMB144" s="72"/>
      <c r="CMC144" s="72"/>
      <c r="CMD144" s="72"/>
      <c r="CME144" s="72"/>
      <c r="CMF144" s="72"/>
      <c r="CMG144" s="72"/>
      <c r="CMH144" s="72"/>
      <c r="CMI144" s="72"/>
      <c r="CMJ144" s="72"/>
      <c r="CMK144" s="72"/>
      <c r="CML144" s="72"/>
      <c r="CMM144" s="72"/>
      <c r="CMN144" s="72"/>
      <c r="CMO144" s="72"/>
      <c r="CMP144" s="72"/>
      <c r="CMQ144" s="72"/>
      <c r="CMR144" s="72"/>
      <c r="CMS144" s="72"/>
      <c r="CMT144" s="72"/>
      <c r="CMU144" s="72"/>
      <c r="CMV144" s="72"/>
      <c r="CMW144" s="72"/>
      <c r="CMX144" s="72"/>
      <c r="CMY144" s="72"/>
      <c r="CMZ144" s="72"/>
      <c r="CNA144" s="72"/>
      <c r="CNB144" s="72"/>
      <c r="CNC144" s="72"/>
      <c r="CND144" s="72"/>
      <c r="CNE144" s="72"/>
      <c r="CNF144" s="72"/>
      <c r="CNG144" s="72"/>
      <c r="CNH144" s="72"/>
      <c r="CNI144" s="72"/>
      <c r="CNJ144" s="72"/>
      <c r="CNK144" s="72"/>
      <c r="CNL144" s="72"/>
      <c r="CNM144" s="72"/>
      <c r="CNN144" s="72"/>
      <c r="CNO144" s="72"/>
      <c r="CNP144" s="72"/>
      <c r="CNQ144" s="72"/>
      <c r="CNR144" s="72"/>
      <c r="CNS144" s="72"/>
      <c r="CNT144" s="72"/>
      <c r="CNU144" s="72"/>
      <c r="CNV144" s="72"/>
      <c r="CNW144" s="72"/>
      <c r="CNX144" s="72"/>
      <c r="CNY144" s="72"/>
      <c r="CNZ144" s="72"/>
      <c r="COA144" s="72"/>
      <c r="COB144" s="72"/>
      <c r="COC144" s="72"/>
      <c r="COD144" s="72"/>
      <c r="COE144" s="72"/>
      <c r="COF144" s="72"/>
      <c r="COG144" s="72"/>
      <c r="COH144" s="72"/>
      <c r="COI144" s="72"/>
      <c r="COJ144" s="72"/>
      <c r="COK144" s="72"/>
      <c r="COL144" s="72"/>
      <c r="COM144" s="72"/>
      <c r="CON144" s="72"/>
      <c r="COO144" s="72"/>
      <c r="COP144" s="72"/>
      <c r="COQ144" s="72"/>
      <c r="COR144" s="72"/>
      <c r="COS144" s="72"/>
      <c r="COT144" s="72"/>
      <c r="COU144" s="72"/>
      <c r="COV144" s="72"/>
      <c r="COW144" s="72"/>
      <c r="COX144" s="72"/>
      <c r="COY144" s="72"/>
      <c r="COZ144" s="72"/>
      <c r="CPA144" s="72"/>
      <c r="CPB144" s="72"/>
      <c r="CPC144" s="72"/>
      <c r="CPD144" s="72"/>
      <c r="CPE144" s="72"/>
      <c r="CPF144" s="72"/>
      <c r="CPG144" s="72"/>
      <c r="CPH144" s="72"/>
      <c r="CPI144" s="72"/>
      <c r="CPJ144" s="72"/>
      <c r="CPK144" s="72"/>
      <c r="CPL144" s="72"/>
      <c r="CPM144" s="72"/>
      <c r="CPN144" s="72"/>
      <c r="CPO144" s="72"/>
      <c r="CPP144" s="72"/>
      <c r="CPQ144" s="72"/>
      <c r="CPR144" s="72"/>
      <c r="CPS144" s="72"/>
      <c r="CPT144" s="72"/>
      <c r="CPU144" s="72"/>
      <c r="CPV144" s="72"/>
      <c r="CPW144" s="72"/>
      <c r="CPX144" s="72"/>
      <c r="CPY144" s="72"/>
      <c r="CPZ144" s="72"/>
      <c r="CQA144" s="72"/>
      <c r="CQB144" s="72"/>
      <c r="CQC144" s="72"/>
      <c r="CQD144" s="72"/>
      <c r="CQE144" s="72"/>
      <c r="CQF144" s="72"/>
      <c r="CQG144" s="72"/>
      <c r="CQH144" s="72"/>
      <c r="CQI144" s="72"/>
      <c r="CQJ144" s="72"/>
      <c r="CQK144" s="72"/>
      <c r="CQL144" s="72"/>
      <c r="CQM144" s="72"/>
      <c r="CQN144" s="72"/>
      <c r="CQO144" s="72"/>
      <c r="CQP144" s="72"/>
      <c r="CQQ144" s="72"/>
      <c r="CQR144" s="72"/>
      <c r="CQS144" s="72"/>
      <c r="CQT144" s="72"/>
      <c r="CQU144" s="72"/>
      <c r="CQV144" s="72"/>
      <c r="CQW144" s="72"/>
      <c r="CQX144" s="72"/>
      <c r="CQY144" s="72"/>
      <c r="CQZ144" s="72"/>
      <c r="CRA144" s="72"/>
      <c r="CRB144" s="72"/>
      <c r="CRC144" s="72"/>
      <c r="CRD144" s="72"/>
      <c r="CRE144" s="72"/>
      <c r="CRF144" s="72"/>
      <c r="CRG144" s="72"/>
      <c r="CRH144" s="72"/>
      <c r="CRI144" s="72"/>
      <c r="CRJ144" s="72"/>
      <c r="CRK144" s="72"/>
      <c r="CRL144" s="72"/>
      <c r="CRM144" s="72"/>
      <c r="CRN144" s="72"/>
      <c r="CRO144" s="72"/>
      <c r="CRP144" s="72"/>
      <c r="CRQ144" s="72"/>
      <c r="CRR144" s="72"/>
      <c r="CRS144" s="72"/>
      <c r="CRT144" s="72"/>
      <c r="CRU144" s="72"/>
      <c r="CRV144" s="72"/>
      <c r="CRW144" s="72"/>
      <c r="CRX144" s="72"/>
      <c r="CRY144" s="72"/>
      <c r="CRZ144" s="72"/>
      <c r="CSA144" s="72"/>
      <c r="CSB144" s="72"/>
      <c r="CSC144" s="72"/>
      <c r="CSD144" s="72"/>
      <c r="CSE144" s="72"/>
      <c r="CSF144" s="72"/>
      <c r="CSG144" s="72"/>
      <c r="CSH144" s="72"/>
      <c r="CSI144" s="72"/>
      <c r="CSJ144" s="72"/>
      <c r="CSK144" s="72"/>
      <c r="CSL144" s="72"/>
      <c r="CSM144" s="72"/>
      <c r="CSN144" s="72"/>
      <c r="CSO144" s="72"/>
      <c r="CSP144" s="72"/>
      <c r="CSQ144" s="72"/>
      <c r="CSR144" s="72"/>
      <c r="CSS144" s="72"/>
      <c r="CST144" s="72"/>
      <c r="CSU144" s="72"/>
      <c r="CSV144" s="72"/>
      <c r="CSW144" s="72"/>
      <c r="CSX144" s="72"/>
      <c r="CSY144" s="72"/>
      <c r="CSZ144" s="72"/>
      <c r="CTA144" s="72"/>
      <c r="CTB144" s="72"/>
      <c r="CTC144" s="72"/>
      <c r="CTD144" s="72"/>
      <c r="CTE144" s="72"/>
      <c r="CTF144" s="72"/>
      <c r="CTG144" s="72"/>
      <c r="CTH144" s="72"/>
      <c r="CTI144" s="72"/>
      <c r="CTJ144" s="72"/>
      <c r="CTK144" s="72"/>
      <c r="CTL144" s="72"/>
      <c r="CTM144" s="72"/>
      <c r="CTN144" s="72"/>
      <c r="CTO144" s="72"/>
      <c r="CTP144" s="72"/>
      <c r="CTQ144" s="72"/>
      <c r="CTR144" s="72"/>
      <c r="CTS144" s="72"/>
      <c r="CTT144" s="72"/>
      <c r="CTU144" s="72"/>
      <c r="CTV144" s="72"/>
      <c r="CTW144" s="72"/>
      <c r="CTX144" s="72"/>
      <c r="CTY144" s="72"/>
      <c r="CTZ144" s="72"/>
      <c r="CUA144" s="72"/>
      <c r="CUB144" s="72"/>
      <c r="CUC144" s="72"/>
      <c r="CUD144" s="72"/>
      <c r="CUE144" s="72"/>
      <c r="CUF144" s="72"/>
      <c r="CUG144" s="72"/>
      <c r="CUH144" s="72"/>
      <c r="CUI144" s="72"/>
      <c r="CUJ144" s="72"/>
      <c r="CUK144" s="72"/>
      <c r="CUL144" s="72"/>
      <c r="CUM144" s="72"/>
      <c r="CUN144" s="72"/>
      <c r="CUO144" s="72"/>
      <c r="CUP144" s="72"/>
      <c r="CUQ144" s="72"/>
      <c r="CUR144" s="72"/>
      <c r="CUS144" s="72"/>
      <c r="CUT144" s="72"/>
      <c r="CUU144" s="72"/>
      <c r="CUV144" s="72"/>
      <c r="CUW144" s="72"/>
      <c r="CUX144" s="72"/>
      <c r="CUY144" s="72"/>
      <c r="CUZ144" s="72"/>
      <c r="CVA144" s="72"/>
      <c r="CVB144" s="72"/>
      <c r="CVC144" s="72"/>
      <c r="CVD144" s="72"/>
      <c r="CVE144" s="72"/>
      <c r="CVF144" s="72"/>
      <c r="CVG144" s="72"/>
      <c r="CVH144" s="72"/>
      <c r="CVI144" s="72"/>
      <c r="CVJ144" s="72"/>
      <c r="CVK144" s="72"/>
      <c r="CVL144" s="72"/>
      <c r="CVM144" s="72"/>
      <c r="CVN144" s="72"/>
      <c r="CVO144" s="72"/>
      <c r="CVP144" s="72"/>
      <c r="CVQ144" s="72"/>
      <c r="CVR144" s="72"/>
      <c r="CVS144" s="72"/>
      <c r="CVT144" s="72"/>
      <c r="CVU144" s="72"/>
      <c r="CVV144" s="72"/>
      <c r="CVW144" s="72"/>
      <c r="CVX144" s="72"/>
      <c r="CVY144" s="72"/>
      <c r="CVZ144" s="72"/>
      <c r="CWA144" s="72"/>
      <c r="CWB144" s="72"/>
      <c r="CWC144" s="72"/>
      <c r="CWD144" s="72"/>
      <c r="CWE144" s="72"/>
      <c r="CWF144" s="72"/>
      <c r="CWG144" s="72"/>
      <c r="CWH144" s="72"/>
      <c r="CWI144" s="72"/>
      <c r="CWJ144" s="72"/>
      <c r="CWK144" s="72"/>
      <c r="CWL144" s="72"/>
      <c r="CWM144" s="72"/>
      <c r="CWN144" s="72"/>
      <c r="CWO144" s="72"/>
      <c r="CWP144" s="72"/>
      <c r="CWQ144" s="72"/>
      <c r="CWR144" s="72"/>
      <c r="CWS144" s="72"/>
      <c r="CWT144" s="72"/>
      <c r="CWU144" s="72"/>
      <c r="CWV144" s="72"/>
      <c r="CWW144" s="72"/>
      <c r="CWX144" s="72"/>
      <c r="CWY144" s="72"/>
      <c r="CWZ144" s="72"/>
      <c r="CXA144" s="72"/>
      <c r="CXB144" s="72"/>
      <c r="CXC144" s="72"/>
      <c r="CXD144" s="72"/>
      <c r="CXE144" s="72"/>
      <c r="CXF144" s="72"/>
      <c r="CXG144" s="72"/>
      <c r="CXH144" s="72"/>
      <c r="CXI144" s="72"/>
      <c r="CXJ144" s="72"/>
      <c r="CXK144" s="72"/>
      <c r="CXL144" s="72"/>
      <c r="CXM144" s="72"/>
      <c r="CXN144" s="72"/>
      <c r="CXO144" s="72"/>
      <c r="CXP144" s="72"/>
      <c r="CXQ144" s="72"/>
      <c r="CXR144" s="72"/>
      <c r="CXS144" s="72"/>
      <c r="CXT144" s="72"/>
      <c r="CXU144" s="72"/>
      <c r="CXV144" s="72"/>
      <c r="CXW144" s="72"/>
      <c r="CXX144" s="72"/>
      <c r="CXY144" s="72"/>
      <c r="CXZ144" s="72"/>
      <c r="CYA144" s="72"/>
      <c r="CYB144" s="72"/>
      <c r="CYC144" s="72"/>
      <c r="CYD144" s="72"/>
      <c r="CYE144" s="72"/>
      <c r="CYF144" s="72"/>
      <c r="CYG144" s="72"/>
      <c r="CYH144" s="72"/>
      <c r="CYI144" s="72"/>
      <c r="CYJ144" s="72"/>
      <c r="CYK144" s="72"/>
      <c r="CYL144" s="72"/>
      <c r="CYM144" s="72"/>
      <c r="CYN144" s="72"/>
      <c r="CYO144" s="72"/>
      <c r="CYP144" s="72"/>
      <c r="CYQ144" s="72"/>
      <c r="CYR144" s="72"/>
      <c r="CYS144" s="72"/>
      <c r="CYT144" s="72"/>
      <c r="CYU144" s="72"/>
      <c r="CYV144" s="72"/>
      <c r="CYW144" s="72"/>
      <c r="CYX144" s="72"/>
      <c r="CYY144" s="72"/>
      <c r="CYZ144" s="72"/>
      <c r="CZA144" s="72"/>
      <c r="CZB144" s="72"/>
      <c r="CZC144" s="72"/>
      <c r="CZD144" s="72"/>
      <c r="CZE144" s="72"/>
      <c r="CZF144" s="72"/>
      <c r="CZG144" s="72"/>
      <c r="CZH144" s="72"/>
      <c r="CZI144" s="72"/>
      <c r="CZJ144" s="72"/>
      <c r="CZK144" s="72"/>
      <c r="CZL144" s="72"/>
      <c r="CZM144" s="72"/>
      <c r="CZN144" s="72"/>
      <c r="CZO144" s="72"/>
      <c r="CZP144" s="72"/>
      <c r="CZQ144" s="72"/>
      <c r="CZR144" s="72"/>
      <c r="CZS144" s="72"/>
      <c r="CZT144" s="72"/>
      <c r="CZU144" s="72"/>
      <c r="CZV144" s="72"/>
      <c r="CZW144" s="72"/>
      <c r="CZX144" s="72"/>
      <c r="CZY144" s="72"/>
      <c r="CZZ144" s="72"/>
      <c r="DAA144" s="72"/>
      <c r="DAB144" s="72"/>
      <c r="DAC144" s="72"/>
      <c r="DAD144" s="72"/>
      <c r="DAE144" s="72"/>
      <c r="DAF144" s="72"/>
      <c r="DAG144" s="72"/>
      <c r="DAH144" s="72"/>
      <c r="DAI144" s="72"/>
      <c r="DAJ144" s="72"/>
      <c r="DAK144" s="72"/>
      <c r="DAL144" s="72"/>
      <c r="DAM144" s="72"/>
      <c r="DAN144" s="72"/>
      <c r="DAO144" s="72"/>
      <c r="DAP144" s="72"/>
      <c r="DAQ144" s="72"/>
      <c r="DAR144" s="72"/>
      <c r="DAS144" s="72"/>
      <c r="DAT144" s="72"/>
      <c r="DAU144" s="72"/>
      <c r="DAV144" s="72"/>
      <c r="DAW144" s="72"/>
      <c r="DAX144" s="72"/>
      <c r="DAY144" s="72"/>
      <c r="DAZ144" s="72"/>
      <c r="DBA144" s="72"/>
      <c r="DBB144" s="72"/>
      <c r="DBC144" s="72"/>
      <c r="DBD144" s="72"/>
      <c r="DBE144" s="72"/>
      <c r="DBF144" s="72"/>
      <c r="DBG144" s="72"/>
      <c r="DBH144" s="72"/>
      <c r="DBI144" s="72"/>
      <c r="DBJ144" s="72"/>
      <c r="DBK144" s="72"/>
      <c r="DBL144" s="72"/>
      <c r="DBM144" s="72"/>
      <c r="DBN144" s="72"/>
      <c r="DBO144" s="72"/>
      <c r="DBP144" s="72"/>
      <c r="DBQ144" s="72"/>
      <c r="DBR144" s="72"/>
      <c r="DBS144" s="72"/>
      <c r="DBT144" s="72"/>
      <c r="DBU144" s="72"/>
      <c r="DBV144" s="72"/>
      <c r="DBW144" s="72"/>
      <c r="DBX144" s="72"/>
      <c r="DBY144" s="72"/>
      <c r="DBZ144" s="72"/>
      <c r="DCA144" s="72"/>
      <c r="DCB144" s="72"/>
      <c r="DCC144" s="72"/>
      <c r="DCD144" s="72"/>
      <c r="DCE144" s="72"/>
      <c r="DCF144" s="72"/>
      <c r="DCG144" s="72"/>
      <c r="DCH144" s="72"/>
      <c r="DCI144" s="72"/>
      <c r="DCJ144" s="72"/>
      <c r="DCK144" s="72"/>
      <c r="DCL144" s="72"/>
      <c r="DCM144" s="72"/>
      <c r="DCN144" s="72"/>
      <c r="DCO144" s="72"/>
      <c r="DCP144" s="72"/>
      <c r="DCQ144" s="72"/>
      <c r="DCR144" s="72"/>
      <c r="DCS144" s="72"/>
      <c r="DCT144" s="72"/>
      <c r="DCU144" s="72"/>
      <c r="DCV144" s="72"/>
      <c r="DCW144" s="72"/>
      <c r="DCX144" s="72"/>
      <c r="DCY144" s="72"/>
      <c r="DCZ144" s="72"/>
      <c r="DDA144" s="72"/>
      <c r="DDB144" s="72"/>
      <c r="DDC144" s="72"/>
      <c r="DDD144" s="72"/>
      <c r="DDE144" s="72"/>
      <c r="DDF144" s="72"/>
      <c r="DDG144" s="72"/>
      <c r="DDH144" s="72"/>
      <c r="DDI144" s="72"/>
      <c r="DDJ144" s="72"/>
      <c r="DDK144" s="72"/>
      <c r="DDL144" s="72"/>
      <c r="DDM144" s="72"/>
      <c r="DDN144" s="72"/>
      <c r="DDO144" s="72"/>
      <c r="DDP144" s="72"/>
      <c r="DDQ144" s="72"/>
      <c r="DDR144" s="72"/>
      <c r="DDS144" s="72"/>
      <c r="DDT144" s="72"/>
      <c r="DDU144" s="72"/>
      <c r="DDV144" s="72"/>
      <c r="DDW144" s="72"/>
      <c r="DDX144" s="72"/>
      <c r="DDY144" s="72"/>
      <c r="DDZ144" s="72"/>
      <c r="DEA144" s="72"/>
      <c r="DEB144" s="72"/>
      <c r="DEC144" s="72"/>
      <c r="DED144" s="72"/>
      <c r="DEE144" s="72"/>
      <c r="DEF144" s="72"/>
      <c r="DEG144" s="72"/>
      <c r="DEH144" s="72"/>
      <c r="DEI144" s="72"/>
      <c r="DEJ144" s="72"/>
      <c r="DEK144" s="72"/>
      <c r="DEL144" s="72"/>
      <c r="DEM144" s="72"/>
      <c r="DEN144" s="72"/>
      <c r="DEO144" s="72"/>
      <c r="DEP144" s="72"/>
      <c r="DEQ144" s="72"/>
      <c r="DER144" s="72"/>
      <c r="DES144" s="72"/>
      <c r="DET144" s="72"/>
      <c r="DEU144" s="72"/>
      <c r="DEV144" s="72"/>
      <c r="DEW144" s="72"/>
      <c r="DEX144" s="72"/>
      <c r="DEY144" s="72"/>
      <c r="DEZ144" s="72"/>
      <c r="DFA144" s="72"/>
      <c r="DFB144" s="72"/>
      <c r="DFC144" s="72"/>
      <c r="DFD144" s="72"/>
      <c r="DFE144" s="72"/>
      <c r="DFF144" s="72"/>
      <c r="DFG144" s="72"/>
      <c r="DFH144" s="72"/>
      <c r="DFI144" s="72"/>
      <c r="DFJ144" s="72"/>
      <c r="DFK144" s="72"/>
      <c r="DFL144" s="72"/>
      <c r="DFM144" s="72"/>
      <c r="DFN144" s="72"/>
      <c r="DFO144" s="72"/>
      <c r="DFP144" s="72"/>
      <c r="DFQ144" s="72"/>
      <c r="DFR144" s="72"/>
      <c r="DFS144" s="72"/>
      <c r="DFT144" s="72"/>
      <c r="DFU144" s="72"/>
      <c r="DFV144" s="72"/>
      <c r="DFW144" s="72"/>
      <c r="DFX144" s="72"/>
      <c r="DFY144" s="72"/>
      <c r="DFZ144" s="72"/>
      <c r="DGA144" s="72"/>
      <c r="DGB144" s="72"/>
      <c r="DGC144" s="72"/>
      <c r="DGD144" s="72"/>
      <c r="DGE144" s="72"/>
      <c r="DGF144" s="72"/>
      <c r="DGG144" s="72"/>
      <c r="DGH144" s="72"/>
      <c r="DGI144" s="72"/>
      <c r="DGJ144" s="72"/>
      <c r="DGK144" s="72"/>
      <c r="DGL144" s="72"/>
      <c r="DGM144" s="72"/>
      <c r="DGN144" s="72"/>
      <c r="DGO144" s="72"/>
      <c r="DGP144" s="72"/>
      <c r="DGQ144" s="72"/>
      <c r="DGR144" s="72"/>
      <c r="DGS144" s="72"/>
      <c r="DGT144" s="72"/>
      <c r="DGU144" s="72"/>
      <c r="DGV144" s="72"/>
      <c r="DGW144" s="72"/>
      <c r="DGX144" s="72"/>
      <c r="DGY144" s="72"/>
      <c r="DGZ144" s="72"/>
      <c r="DHA144" s="72"/>
      <c r="DHB144" s="72"/>
      <c r="DHC144" s="72"/>
      <c r="DHD144" s="72"/>
      <c r="DHE144" s="72"/>
      <c r="DHF144" s="72"/>
      <c r="DHG144" s="72"/>
      <c r="DHH144" s="72"/>
      <c r="DHI144" s="72"/>
      <c r="DHJ144" s="72"/>
      <c r="DHK144" s="72"/>
      <c r="DHL144" s="72"/>
      <c r="DHM144" s="72"/>
      <c r="DHN144" s="72"/>
      <c r="DHO144" s="72"/>
      <c r="DHP144" s="72"/>
      <c r="DHQ144" s="72"/>
      <c r="DHR144" s="72"/>
      <c r="DHS144" s="72"/>
      <c r="DHT144" s="72"/>
      <c r="DHU144" s="72"/>
      <c r="DHV144" s="72"/>
      <c r="DHW144" s="72"/>
      <c r="DHX144" s="72"/>
      <c r="DHY144" s="72"/>
      <c r="DHZ144" s="72"/>
      <c r="DIA144" s="72"/>
      <c r="DIB144" s="72"/>
      <c r="DIC144" s="72"/>
      <c r="DID144" s="72"/>
      <c r="DIE144" s="72"/>
      <c r="DIF144" s="72"/>
      <c r="DIG144" s="72"/>
      <c r="DIH144" s="72"/>
      <c r="DII144" s="72"/>
      <c r="DIJ144" s="72"/>
      <c r="DIK144" s="72"/>
      <c r="DIL144" s="72"/>
      <c r="DIM144" s="72"/>
      <c r="DIN144" s="72"/>
      <c r="DIO144" s="72"/>
      <c r="DIP144" s="72"/>
      <c r="DIQ144" s="72"/>
      <c r="DIR144" s="72"/>
      <c r="DIS144" s="72"/>
      <c r="DIT144" s="72"/>
      <c r="DIU144" s="72"/>
      <c r="DIV144" s="72"/>
      <c r="DIW144" s="72"/>
      <c r="DIX144" s="72"/>
      <c r="DIY144" s="72"/>
      <c r="DIZ144" s="72"/>
      <c r="DJA144" s="72"/>
      <c r="DJB144" s="72"/>
      <c r="DJC144" s="72"/>
      <c r="DJD144" s="72"/>
      <c r="DJE144" s="72"/>
      <c r="DJF144" s="72"/>
      <c r="DJG144" s="72"/>
      <c r="DJH144" s="72"/>
      <c r="DJI144" s="72"/>
      <c r="DJJ144" s="72"/>
      <c r="DJK144" s="72"/>
      <c r="DJL144" s="72"/>
      <c r="DJM144" s="72"/>
      <c r="DJN144" s="72"/>
      <c r="DJO144" s="72"/>
      <c r="DJP144" s="72"/>
      <c r="DJQ144" s="72"/>
      <c r="DJR144" s="72"/>
      <c r="DJS144" s="72"/>
      <c r="DJT144" s="72"/>
      <c r="DJU144" s="72"/>
      <c r="DJV144" s="72"/>
      <c r="DJW144" s="72"/>
      <c r="DJX144" s="72"/>
      <c r="DJY144" s="72"/>
      <c r="DJZ144" s="72"/>
      <c r="DKA144" s="72"/>
      <c r="DKB144" s="72"/>
      <c r="DKC144" s="72"/>
      <c r="DKD144" s="72"/>
      <c r="DKE144" s="72"/>
      <c r="DKF144" s="72"/>
      <c r="DKG144" s="72"/>
      <c r="DKH144" s="72"/>
      <c r="DKI144" s="72"/>
      <c r="DKJ144" s="72"/>
      <c r="DKK144" s="72"/>
      <c r="DKL144" s="72"/>
      <c r="DKM144" s="72"/>
      <c r="DKN144" s="72"/>
      <c r="DKO144" s="72"/>
      <c r="DKP144" s="72"/>
      <c r="DKQ144" s="72"/>
      <c r="DKR144" s="72"/>
      <c r="DKS144" s="72"/>
      <c r="DKT144" s="72"/>
      <c r="DKU144" s="72"/>
      <c r="DKV144" s="72"/>
      <c r="DKW144" s="72"/>
      <c r="DKX144" s="72"/>
      <c r="DKY144" s="72"/>
      <c r="DKZ144" s="72"/>
      <c r="DLA144" s="72"/>
      <c r="DLB144" s="72"/>
      <c r="DLC144" s="72"/>
      <c r="DLD144" s="72"/>
      <c r="DLE144" s="72"/>
      <c r="DLF144" s="72"/>
      <c r="DLG144" s="72"/>
      <c r="DLH144" s="72"/>
      <c r="DLI144" s="72"/>
      <c r="DLJ144" s="72"/>
      <c r="DLK144" s="72"/>
      <c r="DLL144" s="72"/>
      <c r="DLM144" s="72"/>
      <c r="DLN144" s="72"/>
      <c r="DLO144" s="72"/>
      <c r="DLP144" s="72"/>
      <c r="DLQ144" s="72"/>
      <c r="DLR144" s="72"/>
      <c r="DLS144" s="72"/>
      <c r="DLT144" s="72"/>
      <c r="DLU144" s="72"/>
      <c r="DLV144" s="72"/>
      <c r="DLW144" s="72"/>
      <c r="DLX144" s="72"/>
      <c r="DLY144" s="72"/>
      <c r="DLZ144" s="72"/>
      <c r="DMA144" s="72"/>
      <c r="DMB144" s="72"/>
      <c r="DMC144" s="72"/>
      <c r="DMD144" s="72"/>
      <c r="DME144" s="72"/>
      <c r="DMF144" s="72"/>
      <c r="DMG144" s="72"/>
      <c r="DMH144" s="72"/>
      <c r="DMI144" s="72"/>
      <c r="DMJ144" s="72"/>
      <c r="DMK144" s="72"/>
      <c r="DML144" s="72"/>
      <c r="DMM144" s="72"/>
      <c r="DMN144" s="72"/>
      <c r="DMO144" s="72"/>
      <c r="DMP144" s="72"/>
      <c r="DMQ144" s="72"/>
      <c r="DMR144" s="72"/>
      <c r="DMS144" s="72"/>
      <c r="DMT144" s="72"/>
      <c r="DMU144" s="72"/>
      <c r="DMV144" s="72"/>
      <c r="DMW144" s="72"/>
      <c r="DMX144" s="72"/>
      <c r="DMY144" s="72"/>
      <c r="DMZ144" s="72"/>
      <c r="DNA144" s="72"/>
      <c r="DNB144" s="72"/>
      <c r="DNC144" s="72"/>
      <c r="DND144" s="72"/>
      <c r="DNE144" s="72"/>
      <c r="DNF144" s="72"/>
      <c r="DNG144" s="72"/>
      <c r="DNH144" s="72"/>
      <c r="DNI144" s="72"/>
      <c r="DNJ144" s="72"/>
      <c r="DNK144" s="72"/>
      <c r="DNL144" s="72"/>
      <c r="DNM144" s="72"/>
      <c r="DNN144" s="72"/>
      <c r="DNO144" s="72"/>
      <c r="DNP144" s="72"/>
      <c r="DNQ144" s="72"/>
      <c r="DNR144" s="72"/>
      <c r="DNS144" s="72"/>
      <c r="DNT144" s="72"/>
      <c r="DNU144" s="72"/>
      <c r="DNV144" s="72"/>
      <c r="DNW144" s="72"/>
      <c r="DNX144" s="72"/>
      <c r="DNY144" s="72"/>
      <c r="DNZ144" s="72"/>
      <c r="DOA144" s="72"/>
      <c r="DOB144" s="72"/>
      <c r="DOC144" s="72"/>
      <c r="DOD144" s="72"/>
      <c r="DOE144" s="72"/>
      <c r="DOF144" s="72"/>
      <c r="DOG144" s="72"/>
      <c r="DOH144" s="72"/>
      <c r="DOI144" s="72"/>
      <c r="DOJ144" s="72"/>
      <c r="DOK144" s="72"/>
      <c r="DOL144" s="72"/>
      <c r="DOM144" s="72"/>
      <c r="DON144" s="72"/>
      <c r="DOO144" s="72"/>
      <c r="DOP144" s="72"/>
      <c r="DOQ144" s="72"/>
      <c r="DOR144" s="72"/>
      <c r="DOS144" s="72"/>
      <c r="DOT144" s="72"/>
      <c r="DOU144" s="72"/>
      <c r="DOV144" s="72"/>
      <c r="DOW144" s="72"/>
      <c r="DOX144" s="72"/>
      <c r="DOY144" s="72"/>
      <c r="DOZ144" s="72"/>
      <c r="DPA144" s="72"/>
      <c r="DPB144" s="72"/>
      <c r="DPC144" s="72"/>
      <c r="DPD144" s="72"/>
      <c r="DPE144" s="72"/>
      <c r="DPF144" s="72"/>
      <c r="DPG144" s="72"/>
      <c r="DPH144" s="72"/>
      <c r="DPI144" s="72"/>
      <c r="DPJ144" s="72"/>
      <c r="DPK144" s="72"/>
      <c r="DPL144" s="72"/>
      <c r="DPM144" s="72"/>
      <c r="DPN144" s="72"/>
      <c r="DPO144" s="72"/>
      <c r="DPP144" s="72"/>
      <c r="DPQ144" s="72"/>
      <c r="DPR144" s="72"/>
      <c r="DPS144" s="72"/>
      <c r="DPT144" s="72"/>
      <c r="DPU144" s="72"/>
      <c r="DPV144" s="72"/>
      <c r="DPW144" s="72"/>
      <c r="DPX144" s="72"/>
      <c r="DPY144" s="72"/>
      <c r="DPZ144" s="72"/>
      <c r="DQA144" s="72"/>
      <c r="DQB144" s="72"/>
      <c r="DQC144" s="72"/>
      <c r="DQD144" s="72"/>
      <c r="DQE144" s="72"/>
      <c r="DQF144" s="72"/>
      <c r="DQG144" s="72"/>
      <c r="DQH144" s="72"/>
      <c r="DQI144" s="72"/>
      <c r="DQJ144" s="72"/>
      <c r="DQK144" s="72"/>
      <c r="DQL144" s="72"/>
      <c r="DQM144" s="72"/>
      <c r="DQN144" s="72"/>
      <c r="DQO144" s="72"/>
      <c r="DQP144" s="72"/>
      <c r="DQQ144" s="72"/>
      <c r="DQR144" s="72"/>
      <c r="DQS144" s="72"/>
      <c r="DQT144" s="72"/>
      <c r="DQU144" s="72"/>
      <c r="DQV144" s="72"/>
      <c r="DQW144" s="72"/>
      <c r="DQX144" s="72"/>
      <c r="DQY144" s="72"/>
      <c r="DQZ144" s="72"/>
      <c r="DRA144" s="72"/>
      <c r="DRB144" s="72"/>
      <c r="DRC144" s="72"/>
      <c r="DRD144" s="72"/>
      <c r="DRE144" s="72"/>
      <c r="DRF144" s="72"/>
      <c r="DRG144" s="72"/>
      <c r="DRH144" s="72"/>
      <c r="DRI144" s="72"/>
      <c r="DRJ144" s="72"/>
      <c r="DRK144" s="72"/>
      <c r="DRL144" s="72"/>
      <c r="DRM144" s="72"/>
      <c r="DRN144" s="72"/>
      <c r="DRO144" s="72"/>
      <c r="DRP144" s="72"/>
      <c r="DRQ144" s="72"/>
      <c r="DRR144" s="72"/>
      <c r="DRS144" s="72"/>
      <c r="DRT144" s="72"/>
      <c r="DRU144" s="72"/>
      <c r="DRV144" s="72"/>
      <c r="DRW144" s="72"/>
      <c r="DRX144" s="72"/>
      <c r="DRY144" s="72"/>
      <c r="DRZ144" s="72"/>
      <c r="DSA144" s="72"/>
      <c r="DSB144" s="72"/>
      <c r="DSC144" s="72"/>
      <c r="DSD144" s="72"/>
      <c r="DSE144" s="72"/>
      <c r="DSF144" s="72"/>
      <c r="DSG144" s="72"/>
      <c r="DSH144" s="72"/>
      <c r="DSI144" s="72"/>
      <c r="DSJ144" s="72"/>
      <c r="DSK144" s="72"/>
      <c r="DSL144" s="72"/>
      <c r="DSM144" s="72"/>
      <c r="DSN144" s="72"/>
      <c r="DSO144" s="72"/>
      <c r="DSP144" s="72"/>
      <c r="DSQ144" s="72"/>
      <c r="DSR144" s="72"/>
      <c r="DSS144" s="72"/>
      <c r="DST144" s="72"/>
      <c r="DSU144" s="72"/>
      <c r="DSV144" s="72"/>
      <c r="DSW144" s="72"/>
      <c r="DSX144" s="72"/>
      <c r="DSY144" s="72"/>
      <c r="DSZ144" s="72"/>
      <c r="DTA144" s="72"/>
      <c r="DTB144" s="72"/>
      <c r="DTC144" s="72"/>
      <c r="DTD144" s="72"/>
      <c r="DTE144" s="72"/>
      <c r="DTF144" s="72"/>
      <c r="DTG144" s="72"/>
      <c r="DTH144" s="72"/>
      <c r="DTI144" s="72"/>
      <c r="DTJ144" s="72"/>
      <c r="DTK144" s="72"/>
      <c r="DTL144" s="72"/>
      <c r="DTM144" s="72"/>
      <c r="DTN144" s="72"/>
      <c r="DTO144" s="72"/>
      <c r="DTP144" s="72"/>
      <c r="DTQ144" s="72"/>
      <c r="DTR144" s="72"/>
      <c r="DTS144" s="72"/>
      <c r="DTT144" s="72"/>
      <c r="DTU144" s="72"/>
      <c r="DTV144" s="72"/>
      <c r="DTW144" s="72"/>
      <c r="DTX144" s="72"/>
      <c r="DTY144" s="72"/>
      <c r="DTZ144" s="72"/>
      <c r="DUA144" s="72"/>
      <c r="DUB144" s="72"/>
      <c r="DUC144" s="72"/>
      <c r="DUD144" s="72"/>
      <c r="DUE144" s="72"/>
      <c r="DUF144" s="72"/>
      <c r="DUG144" s="72"/>
      <c r="DUH144" s="72"/>
      <c r="DUI144" s="72"/>
      <c r="DUJ144" s="72"/>
      <c r="DUK144" s="72"/>
      <c r="DUL144" s="72"/>
      <c r="DUM144" s="72"/>
      <c r="DUN144" s="72"/>
      <c r="DUO144" s="72"/>
      <c r="DUP144" s="72"/>
      <c r="DUQ144" s="72"/>
      <c r="DUR144" s="72"/>
      <c r="DUS144" s="72"/>
      <c r="DUT144" s="72"/>
      <c r="DUU144" s="72"/>
      <c r="DUV144" s="72"/>
      <c r="DUW144" s="72"/>
      <c r="DUX144" s="72"/>
      <c r="DUY144" s="72"/>
      <c r="DUZ144" s="72"/>
      <c r="DVA144" s="72"/>
      <c r="DVB144" s="72"/>
      <c r="DVC144" s="72"/>
      <c r="DVD144" s="72"/>
      <c r="DVE144" s="72"/>
      <c r="DVF144" s="72"/>
      <c r="DVG144" s="72"/>
      <c r="DVH144" s="72"/>
      <c r="DVI144" s="72"/>
      <c r="DVJ144" s="72"/>
      <c r="DVK144" s="72"/>
      <c r="DVL144" s="72"/>
      <c r="DVM144" s="72"/>
      <c r="DVN144" s="72"/>
      <c r="DVO144" s="72"/>
      <c r="DVP144" s="72"/>
      <c r="DVQ144" s="72"/>
      <c r="DVR144" s="72"/>
      <c r="DVS144" s="72"/>
      <c r="DVT144" s="72"/>
      <c r="DVU144" s="72"/>
      <c r="DVV144" s="72"/>
      <c r="DVW144" s="72"/>
      <c r="DVX144" s="72"/>
      <c r="DVY144" s="72"/>
      <c r="DVZ144" s="72"/>
      <c r="DWA144" s="72"/>
      <c r="DWB144" s="72"/>
      <c r="DWC144" s="72"/>
      <c r="DWD144" s="72"/>
      <c r="DWE144" s="72"/>
      <c r="DWF144" s="72"/>
      <c r="DWG144" s="72"/>
      <c r="DWH144" s="72"/>
      <c r="DWI144" s="72"/>
      <c r="DWJ144" s="72"/>
      <c r="DWK144" s="72"/>
      <c r="DWL144" s="72"/>
      <c r="DWM144" s="72"/>
      <c r="DWN144" s="72"/>
      <c r="DWO144" s="72"/>
      <c r="DWP144" s="72"/>
      <c r="DWQ144" s="72"/>
      <c r="DWR144" s="72"/>
      <c r="DWS144" s="72"/>
      <c r="DWT144" s="72"/>
      <c r="DWU144" s="72"/>
      <c r="DWV144" s="72"/>
      <c r="DWW144" s="72"/>
      <c r="DWX144" s="72"/>
      <c r="DWY144" s="72"/>
      <c r="DWZ144" s="72"/>
      <c r="DXA144" s="72"/>
      <c r="DXB144" s="72"/>
      <c r="DXC144" s="72"/>
      <c r="DXD144" s="72"/>
      <c r="DXE144" s="72"/>
      <c r="DXF144" s="72"/>
      <c r="DXG144" s="72"/>
      <c r="DXH144" s="72"/>
      <c r="DXI144" s="72"/>
      <c r="DXJ144" s="72"/>
      <c r="DXK144" s="72"/>
      <c r="DXL144" s="72"/>
      <c r="DXM144" s="72"/>
      <c r="DXN144" s="72"/>
      <c r="DXO144" s="72"/>
      <c r="DXP144" s="72"/>
      <c r="DXQ144" s="72"/>
      <c r="DXR144" s="72"/>
      <c r="DXS144" s="72"/>
      <c r="DXT144" s="72"/>
      <c r="DXU144" s="72"/>
      <c r="DXV144" s="72"/>
      <c r="DXW144" s="72"/>
      <c r="DXX144" s="72"/>
      <c r="DXY144" s="72"/>
      <c r="DXZ144" s="72"/>
      <c r="DYA144" s="72"/>
      <c r="DYB144" s="72"/>
      <c r="DYC144" s="72"/>
      <c r="DYD144" s="72"/>
      <c r="DYE144" s="72"/>
      <c r="DYF144" s="72"/>
      <c r="DYG144" s="72"/>
      <c r="DYH144" s="72"/>
      <c r="DYI144" s="72"/>
      <c r="DYJ144" s="72"/>
      <c r="DYK144" s="72"/>
      <c r="DYL144" s="72"/>
      <c r="DYM144" s="72"/>
      <c r="DYN144" s="72"/>
      <c r="DYO144" s="72"/>
      <c r="DYP144" s="72"/>
      <c r="DYQ144" s="72"/>
      <c r="DYR144" s="72"/>
      <c r="DYS144" s="72"/>
      <c r="DYT144" s="72"/>
      <c r="DYU144" s="72"/>
      <c r="DYV144" s="72"/>
      <c r="DYW144" s="72"/>
      <c r="DYX144" s="72"/>
      <c r="DYY144" s="72"/>
      <c r="DYZ144" s="72"/>
      <c r="DZA144" s="72"/>
      <c r="DZB144" s="72"/>
      <c r="DZC144" s="72"/>
      <c r="DZD144" s="72"/>
      <c r="DZE144" s="72"/>
      <c r="DZF144" s="72"/>
      <c r="DZG144" s="72"/>
      <c r="DZH144" s="72"/>
      <c r="DZI144" s="72"/>
      <c r="DZJ144" s="72"/>
      <c r="DZK144" s="72"/>
      <c r="DZL144" s="72"/>
      <c r="DZM144" s="72"/>
      <c r="DZN144" s="72"/>
      <c r="DZO144" s="72"/>
      <c r="DZP144" s="72"/>
      <c r="DZQ144" s="72"/>
      <c r="DZR144" s="72"/>
      <c r="DZS144" s="72"/>
      <c r="DZT144" s="72"/>
      <c r="DZU144" s="72"/>
      <c r="DZV144" s="72"/>
      <c r="DZW144" s="72"/>
      <c r="DZX144" s="72"/>
      <c r="DZY144" s="72"/>
      <c r="DZZ144" s="72"/>
      <c r="EAA144" s="72"/>
      <c r="EAB144" s="72"/>
      <c r="EAC144" s="72"/>
      <c r="EAD144" s="72"/>
      <c r="EAE144" s="72"/>
      <c r="EAF144" s="72"/>
      <c r="EAG144" s="72"/>
      <c r="EAH144" s="72"/>
      <c r="EAI144" s="72"/>
      <c r="EAJ144" s="72"/>
      <c r="EAK144" s="72"/>
      <c r="EAL144" s="72"/>
      <c r="EAM144" s="72"/>
      <c r="EAN144" s="72"/>
      <c r="EAO144" s="72"/>
      <c r="EAP144" s="72"/>
      <c r="EAQ144" s="72"/>
      <c r="EAR144" s="72"/>
      <c r="EAS144" s="72"/>
      <c r="EAT144" s="72"/>
      <c r="EAU144" s="72"/>
      <c r="EAV144" s="72"/>
      <c r="EAW144" s="72"/>
      <c r="EAX144" s="72"/>
      <c r="EAY144" s="72"/>
      <c r="EAZ144" s="72"/>
      <c r="EBA144" s="72"/>
      <c r="EBB144" s="72"/>
      <c r="EBC144" s="72"/>
      <c r="EBD144" s="72"/>
      <c r="EBE144" s="72"/>
      <c r="EBF144" s="72"/>
      <c r="EBG144" s="72"/>
      <c r="EBH144" s="72"/>
      <c r="EBI144" s="72"/>
      <c r="EBJ144" s="72"/>
      <c r="EBK144" s="72"/>
      <c r="EBL144" s="72"/>
      <c r="EBM144" s="72"/>
      <c r="EBN144" s="72"/>
      <c r="EBO144" s="72"/>
      <c r="EBP144" s="72"/>
      <c r="EBQ144" s="72"/>
      <c r="EBR144" s="72"/>
      <c r="EBS144" s="72"/>
      <c r="EBT144" s="72"/>
      <c r="EBU144" s="72"/>
      <c r="EBV144" s="72"/>
      <c r="EBW144" s="72"/>
      <c r="EBX144" s="72"/>
      <c r="EBY144" s="72"/>
      <c r="EBZ144" s="72"/>
      <c r="ECA144" s="72"/>
      <c r="ECB144" s="72"/>
      <c r="ECC144" s="72"/>
      <c r="ECD144" s="72"/>
      <c r="ECE144" s="72"/>
      <c r="ECF144" s="72"/>
      <c r="ECG144" s="72"/>
      <c r="ECH144" s="72"/>
      <c r="ECI144" s="72"/>
      <c r="ECJ144" s="72"/>
      <c r="ECK144" s="72"/>
      <c r="ECL144" s="72"/>
      <c r="ECM144" s="72"/>
      <c r="ECN144" s="72"/>
      <c r="ECO144" s="72"/>
      <c r="ECP144" s="72"/>
      <c r="ECQ144" s="72"/>
      <c r="ECR144" s="72"/>
      <c r="ECS144" s="72"/>
      <c r="ECT144" s="72"/>
      <c r="ECU144" s="72"/>
      <c r="ECV144" s="72"/>
      <c r="ECW144" s="72"/>
      <c r="ECX144" s="72"/>
      <c r="ECY144" s="72"/>
      <c r="ECZ144" s="72"/>
      <c r="EDA144" s="72"/>
      <c r="EDB144" s="72"/>
      <c r="EDC144" s="72"/>
      <c r="EDD144" s="72"/>
      <c r="EDE144" s="72"/>
      <c r="EDF144" s="72"/>
      <c r="EDG144" s="72"/>
      <c r="EDH144" s="72"/>
      <c r="EDI144" s="72"/>
      <c r="EDJ144" s="72"/>
      <c r="EDK144" s="72"/>
      <c r="EDL144" s="72"/>
      <c r="EDM144" s="72"/>
      <c r="EDN144" s="72"/>
      <c r="EDO144" s="72"/>
      <c r="EDP144" s="72"/>
      <c r="EDQ144" s="72"/>
      <c r="EDR144" s="72"/>
      <c r="EDS144" s="72"/>
      <c r="EDT144" s="72"/>
      <c r="EDU144" s="72"/>
      <c r="EDV144" s="72"/>
      <c r="EDW144" s="72"/>
      <c r="EDX144" s="72"/>
      <c r="EDY144" s="72"/>
      <c r="EDZ144" s="72"/>
      <c r="EEA144" s="72"/>
      <c r="EEB144" s="72"/>
      <c r="EEC144" s="72"/>
      <c r="EED144" s="72"/>
      <c r="EEE144" s="72"/>
      <c r="EEF144" s="72"/>
      <c r="EEG144" s="72"/>
      <c r="EEH144" s="72"/>
      <c r="EEI144" s="72"/>
      <c r="EEJ144" s="72"/>
      <c r="EEK144" s="72"/>
      <c r="EEL144" s="72"/>
      <c r="EEM144" s="72"/>
      <c r="EEN144" s="72"/>
      <c r="EEO144" s="72"/>
      <c r="EEP144" s="72"/>
      <c r="EEQ144" s="72"/>
      <c r="EER144" s="72"/>
      <c r="EES144" s="72"/>
      <c r="EET144" s="72"/>
      <c r="EEU144" s="72"/>
      <c r="EEV144" s="72"/>
      <c r="EEW144" s="72"/>
      <c r="EEX144" s="72"/>
      <c r="EEY144" s="72"/>
      <c r="EEZ144" s="72"/>
      <c r="EFA144" s="72"/>
      <c r="EFB144" s="72"/>
      <c r="EFC144" s="72"/>
      <c r="EFD144" s="72"/>
      <c r="EFE144" s="72"/>
      <c r="EFF144" s="72"/>
      <c r="EFG144" s="72"/>
      <c r="EFH144" s="72"/>
      <c r="EFI144" s="72"/>
      <c r="EFJ144" s="72"/>
      <c r="EFK144" s="72"/>
      <c r="EFL144" s="72"/>
      <c r="EFM144" s="72"/>
      <c r="EFN144" s="72"/>
      <c r="EFO144" s="72"/>
      <c r="EFP144" s="72"/>
      <c r="EFQ144" s="72"/>
      <c r="EFR144" s="72"/>
      <c r="EFS144" s="72"/>
      <c r="EFT144" s="72"/>
      <c r="EFU144" s="72"/>
      <c r="EFV144" s="72"/>
      <c r="EFW144" s="72"/>
      <c r="EFX144" s="72"/>
      <c r="EFY144" s="72"/>
      <c r="EFZ144" s="72"/>
      <c r="EGA144" s="72"/>
      <c r="EGB144" s="72"/>
      <c r="EGC144" s="72"/>
      <c r="EGD144" s="72"/>
      <c r="EGE144" s="72"/>
      <c r="EGF144" s="72"/>
      <c r="EGG144" s="72"/>
      <c r="EGH144" s="72"/>
      <c r="EGI144" s="72"/>
      <c r="EGJ144" s="72"/>
      <c r="EGK144" s="72"/>
      <c r="EGL144" s="72"/>
      <c r="EGM144" s="72"/>
      <c r="EGN144" s="72"/>
      <c r="EGO144" s="72"/>
      <c r="EGP144" s="72"/>
      <c r="EGQ144" s="72"/>
      <c r="EGR144" s="72"/>
      <c r="EGS144" s="72"/>
      <c r="EGT144" s="72"/>
      <c r="EGU144" s="72"/>
      <c r="EGV144" s="72"/>
      <c r="EGW144" s="72"/>
      <c r="EGX144" s="72"/>
      <c r="EGY144" s="72"/>
      <c r="EGZ144" s="72"/>
      <c r="EHA144" s="72"/>
      <c r="EHB144" s="72"/>
      <c r="EHC144" s="72"/>
      <c r="EHD144" s="72"/>
      <c r="EHE144" s="72"/>
      <c r="EHF144" s="72"/>
      <c r="EHG144" s="72"/>
      <c r="EHH144" s="72"/>
      <c r="EHI144" s="72"/>
      <c r="EHJ144" s="72"/>
      <c r="EHK144" s="72"/>
      <c r="EHL144" s="72"/>
      <c r="EHM144" s="72"/>
      <c r="EHN144" s="72"/>
      <c r="EHO144" s="72"/>
      <c r="EHP144" s="72"/>
      <c r="EHQ144" s="72"/>
      <c r="EHR144" s="72"/>
      <c r="EHS144" s="72"/>
      <c r="EHT144" s="72"/>
      <c r="EHU144" s="72"/>
      <c r="EHV144" s="72"/>
      <c r="EHW144" s="72"/>
      <c r="EHX144" s="72"/>
      <c r="EHY144" s="72"/>
      <c r="EHZ144" s="72"/>
      <c r="EIA144" s="72"/>
      <c r="EIB144" s="72"/>
      <c r="EIC144" s="72"/>
      <c r="EID144" s="72"/>
      <c r="EIE144" s="72"/>
      <c r="EIF144" s="72"/>
      <c r="EIG144" s="72"/>
      <c r="EIH144" s="72"/>
      <c r="EII144" s="72"/>
      <c r="EIJ144" s="72"/>
      <c r="EIK144" s="72"/>
      <c r="EIL144" s="72"/>
      <c r="EIM144" s="72"/>
      <c r="EIN144" s="72"/>
      <c r="EIO144" s="72"/>
      <c r="EIP144" s="72"/>
      <c r="EIQ144" s="72"/>
      <c r="EIR144" s="72"/>
      <c r="EIS144" s="72"/>
      <c r="EIT144" s="72"/>
      <c r="EIU144" s="72"/>
      <c r="EIV144" s="72"/>
      <c r="EIW144" s="72"/>
      <c r="EIX144" s="72"/>
      <c r="EIY144" s="72"/>
      <c r="EIZ144" s="72"/>
      <c r="EJA144" s="72"/>
      <c r="EJB144" s="72"/>
      <c r="EJC144" s="72"/>
      <c r="EJD144" s="72"/>
      <c r="EJE144" s="72"/>
      <c r="EJF144" s="72"/>
      <c r="EJG144" s="72"/>
      <c r="EJH144" s="72"/>
      <c r="EJI144" s="72"/>
      <c r="EJJ144" s="72"/>
      <c r="EJK144" s="72"/>
      <c r="EJL144" s="72"/>
      <c r="EJM144" s="72"/>
      <c r="EJN144" s="72"/>
      <c r="EJO144" s="72"/>
      <c r="EJP144" s="72"/>
      <c r="EJQ144" s="72"/>
      <c r="EJR144" s="72"/>
      <c r="EJS144" s="72"/>
      <c r="EJT144" s="72"/>
      <c r="EJU144" s="72"/>
      <c r="EJV144" s="72"/>
      <c r="EJW144" s="72"/>
      <c r="EJX144" s="72"/>
      <c r="EJY144" s="72"/>
      <c r="EJZ144" s="72"/>
      <c r="EKA144" s="72"/>
      <c r="EKB144" s="72"/>
      <c r="EKC144" s="72"/>
      <c r="EKD144" s="72"/>
      <c r="EKE144" s="72"/>
      <c r="EKF144" s="72"/>
      <c r="EKG144" s="72"/>
      <c r="EKH144" s="72"/>
      <c r="EKI144" s="72"/>
      <c r="EKJ144" s="72"/>
      <c r="EKK144" s="72"/>
      <c r="EKL144" s="72"/>
      <c r="EKM144" s="72"/>
      <c r="EKN144" s="72"/>
      <c r="EKO144" s="72"/>
      <c r="EKP144" s="72"/>
      <c r="EKQ144" s="72"/>
      <c r="EKR144" s="72"/>
      <c r="EKS144" s="72"/>
      <c r="EKT144" s="72"/>
      <c r="EKU144" s="72"/>
      <c r="EKV144" s="72"/>
      <c r="EKW144" s="72"/>
      <c r="EKX144" s="72"/>
      <c r="EKY144" s="72"/>
      <c r="EKZ144" s="72"/>
      <c r="ELA144" s="72"/>
      <c r="ELB144" s="72"/>
      <c r="ELC144" s="72"/>
      <c r="ELD144" s="72"/>
      <c r="ELE144" s="72"/>
      <c r="ELF144" s="72"/>
      <c r="ELG144" s="72"/>
      <c r="ELH144" s="72"/>
      <c r="ELI144" s="72"/>
      <c r="ELJ144" s="72"/>
      <c r="ELK144" s="72"/>
      <c r="ELL144" s="72"/>
      <c r="ELM144" s="72"/>
      <c r="ELN144" s="72"/>
      <c r="ELO144" s="72"/>
      <c r="ELP144" s="72"/>
      <c r="ELQ144" s="72"/>
      <c r="ELR144" s="72"/>
      <c r="ELS144" s="72"/>
      <c r="ELT144" s="72"/>
      <c r="ELU144" s="72"/>
      <c r="ELV144" s="72"/>
      <c r="ELW144" s="72"/>
      <c r="ELX144" s="72"/>
      <c r="ELY144" s="72"/>
      <c r="ELZ144" s="72"/>
      <c r="EMA144" s="72"/>
      <c r="EMB144" s="72"/>
      <c r="EMC144" s="72"/>
      <c r="EMD144" s="72"/>
      <c r="EME144" s="72"/>
      <c r="EMF144" s="72"/>
      <c r="EMG144" s="72"/>
      <c r="EMH144" s="72"/>
      <c r="EMI144" s="72"/>
      <c r="EMJ144" s="72"/>
      <c r="EMK144" s="72"/>
      <c r="EML144" s="72"/>
      <c r="EMM144" s="72"/>
      <c r="EMN144" s="72"/>
      <c r="EMO144" s="72"/>
      <c r="EMP144" s="72"/>
      <c r="EMQ144" s="72"/>
      <c r="EMR144" s="72"/>
      <c r="EMS144" s="72"/>
      <c r="EMT144" s="72"/>
      <c r="EMU144" s="72"/>
      <c r="EMV144" s="72"/>
      <c r="EMW144" s="72"/>
      <c r="EMX144" s="72"/>
      <c r="EMY144" s="72"/>
      <c r="EMZ144" s="72"/>
      <c r="ENA144" s="72"/>
      <c r="ENB144" s="72"/>
      <c r="ENC144" s="72"/>
      <c r="END144" s="72"/>
      <c r="ENE144" s="72"/>
      <c r="ENF144" s="72"/>
      <c r="ENG144" s="72"/>
      <c r="ENH144" s="72"/>
      <c r="ENI144" s="72"/>
      <c r="ENJ144" s="72"/>
      <c r="ENK144" s="72"/>
      <c r="ENL144" s="72"/>
      <c r="ENM144" s="72"/>
      <c r="ENN144" s="72"/>
      <c r="ENO144" s="72"/>
      <c r="ENP144" s="72"/>
      <c r="ENQ144" s="72"/>
      <c r="ENR144" s="72"/>
      <c r="ENS144" s="72"/>
      <c r="ENT144" s="72"/>
      <c r="ENU144" s="72"/>
      <c r="ENV144" s="72"/>
      <c r="ENW144" s="72"/>
      <c r="ENX144" s="72"/>
      <c r="ENY144" s="72"/>
      <c r="ENZ144" s="72"/>
      <c r="EOA144" s="72"/>
      <c r="EOB144" s="72"/>
      <c r="EOC144" s="72"/>
      <c r="EOD144" s="72"/>
      <c r="EOE144" s="72"/>
      <c r="EOF144" s="72"/>
      <c r="EOG144" s="72"/>
      <c r="EOH144" s="72"/>
      <c r="EOI144" s="72"/>
      <c r="EOJ144" s="72"/>
      <c r="EOK144" s="72"/>
      <c r="EOL144" s="72"/>
      <c r="EOM144" s="72"/>
      <c r="EON144" s="72"/>
      <c r="EOO144" s="72"/>
      <c r="EOP144" s="72"/>
      <c r="EOQ144" s="72"/>
      <c r="EOR144" s="72"/>
      <c r="EOS144" s="72"/>
      <c r="EOT144" s="72"/>
      <c r="EOU144" s="72"/>
      <c r="EOV144" s="72"/>
      <c r="EOW144" s="72"/>
      <c r="EOX144" s="72"/>
      <c r="EOY144" s="72"/>
      <c r="EOZ144" s="72"/>
      <c r="EPA144" s="72"/>
      <c r="EPB144" s="72"/>
      <c r="EPC144" s="72"/>
      <c r="EPD144" s="72"/>
      <c r="EPE144" s="72"/>
      <c r="EPF144" s="72"/>
      <c r="EPG144" s="72"/>
      <c r="EPH144" s="72"/>
      <c r="EPI144" s="72"/>
      <c r="EPJ144" s="72"/>
      <c r="EPK144" s="72"/>
      <c r="EPL144" s="72"/>
      <c r="EPM144" s="72"/>
      <c r="EPN144" s="72"/>
      <c r="EPO144" s="72"/>
      <c r="EPP144" s="72"/>
      <c r="EPQ144" s="72"/>
      <c r="EPR144" s="72"/>
      <c r="EPS144" s="72"/>
      <c r="EPT144" s="72"/>
      <c r="EPU144" s="72"/>
      <c r="EPV144" s="72"/>
      <c r="EPW144" s="72"/>
      <c r="EPX144" s="72"/>
      <c r="EPY144" s="72"/>
      <c r="EPZ144" s="72"/>
      <c r="EQA144" s="72"/>
      <c r="EQB144" s="72"/>
      <c r="EQC144" s="72"/>
      <c r="EQD144" s="72"/>
      <c r="EQE144" s="72"/>
      <c r="EQF144" s="72"/>
      <c r="EQG144" s="72"/>
      <c r="EQH144" s="72"/>
      <c r="EQI144" s="72"/>
      <c r="EQJ144" s="72"/>
      <c r="EQK144" s="72"/>
      <c r="EQL144" s="72"/>
      <c r="EQM144" s="72"/>
      <c r="EQN144" s="72"/>
      <c r="EQO144" s="72"/>
      <c r="EQP144" s="72"/>
      <c r="EQQ144" s="72"/>
      <c r="EQR144" s="72"/>
      <c r="EQS144" s="72"/>
      <c r="EQT144" s="72"/>
      <c r="EQU144" s="72"/>
      <c r="EQV144" s="72"/>
      <c r="EQW144" s="72"/>
      <c r="EQX144" s="72"/>
      <c r="EQY144" s="72"/>
      <c r="EQZ144" s="72"/>
      <c r="ERA144" s="72"/>
      <c r="ERB144" s="72"/>
      <c r="ERC144" s="72"/>
      <c r="ERD144" s="72"/>
      <c r="ERE144" s="72"/>
      <c r="ERF144" s="72"/>
      <c r="ERG144" s="72"/>
      <c r="ERH144" s="72"/>
      <c r="ERI144" s="72"/>
      <c r="ERJ144" s="72"/>
      <c r="ERK144" s="72"/>
      <c r="ERL144" s="72"/>
      <c r="ERM144" s="72"/>
      <c r="ERN144" s="72"/>
      <c r="ERO144" s="72"/>
      <c r="ERP144" s="72"/>
      <c r="ERQ144" s="72"/>
      <c r="ERR144" s="72"/>
      <c r="ERS144" s="72"/>
      <c r="ERT144" s="72"/>
      <c r="ERU144" s="72"/>
      <c r="ERV144" s="72"/>
      <c r="ERW144" s="72"/>
      <c r="ERX144" s="72"/>
      <c r="ERY144" s="72"/>
      <c r="ERZ144" s="72"/>
      <c r="ESA144" s="72"/>
      <c r="ESB144" s="72"/>
      <c r="ESC144" s="72"/>
      <c r="ESD144" s="72"/>
      <c r="ESE144" s="72"/>
      <c r="ESF144" s="72"/>
      <c r="ESG144" s="72"/>
      <c r="ESH144" s="72"/>
      <c r="ESI144" s="72"/>
      <c r="ESJ144" s="72"/>
      <c r="ESK144" s="72"/>
      <c r="ESL144" s="72"/>
      <c r="ESM144" s="72"/>
      <c r="ESN144" s="72"/>
      <c r="ESO144" s="72"/>
      <c r="ESP144" s="72"/>
      <c r="ESQ144" s="72"/>
      <c r="ESR144" s="72"/>
      <c r="ESS144" s="72"/>
      <c r="EST144" s="72"/>
      <c r="ESU144" s="72"/>
      <c r="ESV144" s="72"/>
      <c r="ESW144" s="72"/>
      <c r="ESX144" s="72"/>
      <c r="ESY144" s="72"/>
      <c r="ESZ144" s="72"/>
      <c r="ETA144" s="72"/>
      <c r="ETB144" s="72"/>
      <c r="ETC144" s="72"/>
      <c r="ETD144" s="72"/>
      <c r="ETE144" s="72"/>
      <c r="ETF144" s="72"/>
      <c r="ETG144" s="72"/>
      <c r="ETH144" s="72"/>
      <c r="ETI144" s="72"/>
      <c r="ETJ144" s="72"/>
      <c r="ETK144" s="72"/>
      <c r="ETL144" s="72"/>
      <c r="ETM144" s="72"/>
      <c r="ETN144" s="72"/>
      <c r="ETO144" s="72"/>
      <c r="ETP144" s="72"/>
      <c r="ETQ144" s="72"/>
      <c r="ETR144" s="72"/>
      <c r="ETS144" s="72"/>
      <c r="ETT144" s="72"/>
      <c r="ETU144" s="72"/>
      <c r="ETV144" s="72"/>
      <c r="ETW144" s="72"/>
      <c r="ETX144" s="72"/>
      <c r="ETY144" s="72"/>
      <c r="ETZ144" s="72"/>
      <c r="EUA144" s="72"/>
      <c r="EUB144" s="72"/>
      <c r="EUC144" s="72"/>
      <c r="EUD144" s="72"/>
      <c r="EUE144" s="72"/>
      <c r="EUF144" s="72"/>
      <c r="EUG144" s="72"/>
      <c r="EUH144" s="72"/>
      <c r="EUI144" s="72"/>
      <c r="EUJ144" s="72"/>
      <c r="EUK144" s="72"/>
      <c r="EUL144" s="72"/>
      <c r="EUM144" s="72"/>
      <c r="EUN144" s="72"/>
      <c r="EUO144" s="72"/>
      <c r="EUP144" s="72"/>
      <c r="EUQ144" s="72"/>
      <c r="EUR144" s="72"/>
      <c r="EUS144" s="72"/>
      <c r="EUT144" s="72"/>
      <c r="EUU144" s="72"/>
      <c r="EUV144" s="72"/>
      <c r="EUW144" s="72"/>
      <c r="EUX144" s="72"/>
      <c r="EUY144" s="72"/>
      <c r="EUZ144" s="72"/>
      <c r="EVA144" s="72"/>
      <c r="EVB144" s="72"/>
      <c r="EVC144" s="72"/>
      <c r="EVD144" s="72"/>
      <c r="EVE144" s="72"/>
      <c r="EVF144" s="72"/>
      <c r="EVG144" s="72"/>
      <c r="EVH144" s="72"/>
      <c r="EVI144" s="72"/>
      <c r="EVJ144" s="72"/>
      <c r="EVK144" s="72"/>
      <c r="EVL144" s="72"/>
      <c r="EVM144" s="72"/>
      <c r="EVN144" s="72"/>
      <c r="EVO144" s="72"/>
      <c r="EVP144" s="72"/>
      <c r="EVQ144" s="72"/>
      <c r="EVR144" s="72"/>
      <c r="EVS144" s="72"/>
      <c r="EVT144" s="72"/>
      <c r="EVU144" s="72"/>
      <c r="EVV144" s="72"/>
      <c r="EVW144" s="72"/>
      <c r="EVX144" s="72"/>
      <c r="EVY144" s="72"/>
      <c r="EVZ144" s="72"/>
      <c r="EWA144" s="72"/>
      <c r="EWB144" s="72"/>
      <c r="EWC144" s="72"/>
      <c r="EWD144" s="72"/>
      <c r="EWE144" s="72"/>
      <c r="EWF144" s="72"/>
      <c r="EWG144" s="72"/>
      <c r="EWH144" s="72"/>
      <c r="EWI144" s="72"/>
      <c r="EWJ144" s="72"/>
      <c r="EWK144" s="72"/>
      <c r="EWL144" s="72"/>
      <c r="EWM144" s="72"/>
      <c r="EWN144" s="72"/>
      <c r="EWO144" s="72"/>
      <c r="EWP144" s="72"/>
      <c r="EWQ144" s="72"/>
      <c r="EWR144" s="72"/>
      <c r="EWS144" s="72"/>
      <c r="EWT144" s="72"/>
      <c r="EWU144" s="72"/>
      <c r="EWV144" s="72"/>
      <c r="EWW144" s="72"/>
      <c r="EWX144" s="72"/>
      <c r="EWY144" s="72"/>
      <c r="EWZ144" s="72"/>
      <c r="EXA144" s="72"/>
      <c r="EXB144" s="72"/>
      <c r="EXC144" s="72"/>
      <c r="EXD144" s="72"/>
      <c r="EXE144" s="72"/>
      <c r="EXF144" s="72"/>
      <c r="EXG144" s="72"/>
      <c r="EXH144" s="72"/>
      <c r="EXI144" s="72"/>
      <c r="EXJ144" s="72"/>
      <c r="EXK144" s="72"/>
      <c r="EXL144" s="72"/>
      <c r="EXM144" s="72"/>
      <c r="EXN144" s="72"/>
      <c r="EXO144" s="72"/>
      <c r="EXP144" s="72"/>
      <c r="EXQ144" s="72"/>
      <c r="EXR144" s="72"/>
      <c r="EXS144" s="72"/>
      <c r="EXT144" s="72"/>
      <c r="EXU144" s="72"/>
      <c r="EXV144" s="72"/>
      <c r="EXW144" s="72"/>
      <c r="EXX144" s="72"/>
      <c r="EXY144" s="72"/>
      <c r="EXZ144" s="72"/>
      <c r="EYA144" s="72"/>
      <c r="EYB144" s="72"/>
      <c r="EYC144" s="72"/>
      <c r="EYD144" s="72"/>
      <c r="EYE144" s="72"/>
      <c r="EYF144" s="72"/>
      <c r="EYG144" s="72"/>
      <c r="EYH144" s="72"/>
      <c r="EYI144" s="72"/>
      <c r="EYJ144" s="72"/>
      <c r="EYK144" s="72"/>
      <c r="EYL144" s="72"/>
      <c r="EYM144" s="72"/>
      <c r="EYN144" s="72"/>
      <c r="EYO144" s="72"/>
      <c r="EYP144" s="72"/>
      <c r="EYQ144" s="72"/>
      <c r="EYR144" s="72"/>
      <c r="EYS144" s="72"/>
      <c r="EYT144" s="72"/>
      <c r="EYU144" s="72"/>
      <c r="EYV144" s="72"/>
      <c r="EYW144" s="72"/>
      <c r="EYX144" s="72"/>
      <c r="EYY144" s="72"/>
      <c r="EYZ144" s="72"/>
      <c r="EZA144" s="72"/>
      <c r="EZB144" s="72"/>
      <c r="EZC144" s="72"/>
      <c r="EZD144" s="72"/>
      <c r="EZE144" s="72"/>
      <c r="EZF144" s="72"/>
      <c r="EZG144" s="72"/>
      <c r="EZH144" s="72"/>
      <c r="EZI144" s="72"/>
      <c r="EZJ144" s="72"/>
      <c r="EZK144" s="72"/>
      <c r="EZL144" s="72"/>
      <c r="EZM144" s="72"/>
      <c r="EZN144" s="72"/>
      <c r="EZO144" s="72"/>
      <c r="EZP144" s="72"/>
      <c r="EZQ144" s="72"/>
      <c r="EZR144" s="72"/>
      <c r="EZS144" s="72"/>
      <c r="EZT144" s="72"/>
      <c r="EZU144" s="72"/>
      <c r="EZV144" s="72"/>
      <c r="EZW144" s="72"/>
      <c r="EZX144" s="72"/>
      <c r="EZY144" s="72"/>
      <c r="EZZ144" s="72"/>
      <c r="FAA144" s="72"/>
      <c r="FAB144" s="72"/>
      <c r="FAC144" s="72"/>
      <c r="FAD144" s="72"/>
      <c r="FAE144" s="72"/>
      <c r="FAF144" s="72"/>
      <c r="FAG144" s="72"/>
      <c r="FAH144" s="72"/>
      <c r="FAI144" s="72"/>
      <c r="FAJ144" s="72"/>
      <c r="FAK144" s="72"/>
      <c r="FAL144" s="72"/>
      <c r="FAM144" s="72"/>
      <c r="FAN144" s="72"/>
      <c r="FAO144" s="72"/>
      <c r="FAP144" s="72"/>
      <c r="FAQ144" s="72"/>
      <c r="FAR144" s="72"/>
      <c r="FAS144" s="72"/>
      <c r="FAT144" s="72"/>
      <c r="FAU144" s="72"/>
      <c r="FAV144" s="72"/>
      <c r="FAW144" s="72"/>
      <c r="FAX144" s="72"/>
      <c r="FAY144" s="72"/>
      <c r="FAZ144" s="72"/>
      <c r="FBA144" s="72"/>
      <c r="FBB144" s="72"/>
      <c r="FBC144" s="72"/>
      <c r="FBD144" s="72"/>
      <c r="FBE144" s="72"/>
      <c r="FBF144" s="72"/>
      <c r="FBG144" s="72"/>
      <c r="FBH144" s="72"/>
      <c r="FBI144" s="72"/>
      <c r="FBJ144" s="72"/>
      <c r="FBK144" s="72"/>
      <c r="FBL144" s="72"/>
      <c r="FBM144" s="72"/>
      <c r="FBN144" s="72"/>
      <c r="FBO144" s="72"/>
      <c r="FBP144" s="72"/>
      <c r="FBQ144" s="72"/>
      <c r="FBR144" s="72"/>
      <c r="FBS144" s="72"/>
      <c r="FBT144" s="72"/>
      <c r="FBU144" s="72"/>
      <c r="FBV144" s="72"/>
      <c r="FBW144" s="72"/>
      <c r="FBX144" s="72"/>
      <c r="FBY144" s="72"/>
      <c r="FBZ144" s="72"/>
      <c r="FCA144" s="72"/>
      <c r="FCB144" s="72"/>
      <c r="FCC144" s="72"/>
      <c r="FCD144" s="72"/>
      <c r="FCE144" s="72"/>
      <c r="FCF144" s="72"/>
      <c r="FCG144" s="72"/>
      <c r="FCH144" s="72"/>
      <c r="FCI144" s="72"/>
      <c r="FCJ144" s="72"/>
      <c r="FCK144" s="72"/>
      <c r="FCL144" s="72"/>
      <c r="FCM144" s="72"/>
      <c r="FCN144" s="72"/>
      <c r="FCO144" s="72"/>
      <c r="FCP144" s="72"/>
      <c r="FCQ144" s="72"/>
      <c r="FCR144" s="72"/>
      <c r="FCS144" s="72"/>
      <c r="FCT144" s="72"/>
      <c r="FCU144" s="72"/>
      <c r="FCV144" s="72"/>
      <c r="FCW144" s="72"/>
      <c r="FCX144" s="72"/>
      <c r="FCY144" s="72"/>
      <c r="FCZ144" s="72"/>
      <c r="FDA144" s="72"/>
      <c r="FDB144" s="72"/>
      <c r="FDC144" s="72"/>
      <c r="FDD144" s="72"/>
      <c r="FDE144" s="72"/>
      <c r="FDF144" s="72"/>
      <c r="FDG144" s="72"/>
      <c r="FDH144" s="72"/>
      <c r="FDI144" s="72"/>
      <c r="FDJ144" s="72"/>
      <c r="FDK144" s="72"/>
      <c r="FDL144" s="72"/>
      <c r="FDM144" s="72"/>
      <c r="FDN144" s="72"/>
      <c r="FDO144" s="72"/>
      <c r="FDP144" s="72"/>
      <c r="FDQ144" s="72"/>
      <c r="FDR144" s="72"/>
      <c r="FDS144" s="72"/>
      <c r="FDT144" s="72"/>
      <c r="FDU144" s="72"/>
      <c r="FDV144" s="72"/>
      <c r="FDW144" s="72"/>
      <c r="FDX144" s="72"/>
      <c r="FDY144" s="72"/>
      <c r="FDZ144" s="72"/>
      <c r="FEA144" s="72"/>
      <c r="FEB144" s="72"/>
      <c r="FEC144" s="72"/>
      <c r="FED144" s="72"/>
      <c r="FEE144" s="72"/>
      <c r="FEF144" s="72"/>
      <c r="FEG144" s="72"/>
      <c r="FEH144" s="72"/>
      <c r="FEI144" s="72"/>
      <c r="FEJ144" s="72"/>
      <c r="FEK144" s="72"/>
      <c r="FEL144" s="72"/>
      <c r="FEM144" s="72"/>
      <c r="FEN144" s="72"/>
      <c r="FEO144" s="72"/>
      <c r="FEP144" s="72"/>
      <c r="FEQ144" s="72"/>
      <c r="FER144" s="72"/>
      <c r="FES144" s="72"/>
      <c r="FET144" s="72"/>
      <c r="FEU144" s="72"/>
      <c r="FEV144" s="72"/>
      <c r="FEW144" s="72"/>
      <c r="FEX144" s="72"/>
      <c r="FEY144" s="72"/>
      <c r="FEZ144" s="72"/>
      <c r="FFA144" s="72"/>
      <c r="FFB144" s="72"/>
      <c r="FFC144" s="72"/>
      <c r="FFD144" s="72"/>
      <c r="FFE144" s="72"/>
      <c r="FFF144" s="72"/>
      <c r="FFG144" s="72"/>
      <c r="FFH144" s="72"/>
      <c r="FFI144" s="72"/>
      <c r="FFJ144" s="72"/>
      <c r="FFK144" s="72"/>
      <c r="FFL144" s="72"/>
      <c r="FFM144" s="72"/>
      <c r="FFN144" s="72"/>
      <c r="FFO144" s="72"/>
      <c r="FFP144" s="72"/>
      <c r="FFQ144" s="72"/>
      <c r="FFR144" s="72"/>
      <c r="FFS144" s="72"/>
      <c r="FFT144" s="72"/>
      <c r="FFU144" s="72"/>
      <c r="FFV144" s="72"/>
      <c r="FFW144" s="72"/>
      <c r="FFX144" s="72"/>
      <c r="FFY144" s="72"/>
      <c r="FFZ144" s="72"/>
      <c r="FGA144" s="72"/>
      <c r="FGB144" s="72"/>
      <c r="FGC144" s="72"/>
      <c r="FGD144" s="72"/>
      <c r="FGE144" s="72"/>
      <c r="FGF144" s="72"/>
      <c r="FGG144" s="72"/>
      <c r="FGH144" s="72"/>
      <c r="FGI144" s="72"/>
      <c r="FGJ144" s="72"/>
      <c r="FGK144" s="72"/>
      <c r="FGL144" s="72"/>
      <c r="FGM144" s="72"/>
      <c r="FGN144" s="72"/>
      <c r="FGO144" s="72"/>
      <c r="FGP144" s="72"/>
      <c r="FGQ144" s="72"/>
      <c r="FGR144" s="72"/>
      <c r="FGS144" s="72"/>
      <c r="FGT144" s="72"/>
      <c r="FGU144" s="72"/>
      <c r="FGV144" s="72"/>
      <c r="FGW144" s="72"/>
      <c r="FGX144" s="72"/>
      <c r="FGY144" s="72"/>
      <c r="FGZ144" s="72"/>
      <c r="FHA144" s="72"/>
      <c r="FHB144" s="72"/>
      <c r="FHC144" s="72"/>
      <c r="FHD144" s="72"/>
      <c r="FHE144" s="72"/>
      <c r="FHF144" s="72"/>
      <c r="FHG144" s="72"/>
      <c r="FHH144" s="72"/>
      <c r="FHI144" s="72"/>
      <c r="FHJ144" s="72"/>
      <c r="FHK144" s="72"/>
      <c r="FHL144" s="72"/>
      <c r="FHM144" s="72"/>
      <c r="FHN144" s="72"/>
      <c r="FHO144" s="72"/>
      <c r="FHP144" s="72"/>
      <c r="FHQ144" s="72"/>
      <c r="FHR144" s="72"/>
      <c r="FHS144" s="72"/>
      <c r="FHT144" s="72"/>
      <c r="FHU144" s="72"/>
      <c r="FHV144" s="72"/>
      <c r="FHW144" s="72"/>
      <c r="FHX144" s="72"/>
      <c r="FHY144" s="72"/>
      <c r="FHZ144" s="72"/>
      <c r="FIA144" s="72"/>
      <c r="FIB144" s="72"/>
      <c r="FIC144" s="72"/>
      <c r="FID144" s="72"/>
      <c r="FIE144" s="72"/>
      <c r="FIF144" s="72"/>
      <c r="FIG144" s="72"/>
      <c r="FIH144" s="72"/>
      <c r="FII144" s="72"/>
      <c r="FIJ144" s="72"/>
      <c r="FIK144" s="72"/>
      <c r="FIL144" s="72"/>
      <c r="FIM144" s="72"/>
      <c r="FIN144" s="72"/>
      <c r="FIO144" s="72"/>
      <c r="FIP144" s="72"/>
      <c r="FIQ144" s="72"/>
      <c r="FIR144" s="72"/>
      <c r="FIS144" s="72"/>
      <c r="FIT144" s="72"/>
      <c r="FIU144" s="72"/>
      <c r="FIV144" s="72"/>
      <c r="FIW144" s="72"/>
      <c r="FIX144" s="72"/>
      <c r="FIY144" s="72"/>
      <c r="FIZ144" s="72"/>
      <c r="FJA144" s="72"/>
      <c r="FJB144" s="72"/>
      <c r="FJC144" s="72"/>
      <c r="FJD144" s="72"/>
      <c r="FJE144" s="72"/>
      <c r="FJF144" s="72"/>
      <c r="FJG144" s="72"/>
      <c r="FJH144" s="72"/>
      <c r="FJI144" s="72"/>
      <c r="FJJ144" s="72"/>
      <c r="FJK144" s="72"/>
      <c r="FJL144" s="72"/>
      <c r="FJM144" s="72"/>
      <c r="FJN144" s="72"/>
      <c r="FJO144" s="72"/>
      <c r="FJP144" s="72"/>
      <c r="FJQ144" s="72"/>
      <c r="FJR144" s="72"/>
      <c r="FJS144" s="72"/>
      <c r="FJT144" s="72"/>
      <c r="FJU144" s="72"/>
      <c r="FJV144" s="72"/>
      <c r="FJW144" s="72"/>
      <c r="FJX144" s="72"/>
      <c r="FJY144" s="72"/>
      <c r="FJZ144" s="72"/>
      <c r="FKA144" s="72"/>
      <c r="FKB144" s="72"/>
      <c r="FKC144" s="72"/>
      <c r="FKD144" s="72"/>
      <c r="FKE144" s="72"/>
      <c r="FKF144" s="72"/>
      <c r="FKG144" s="72"/>
      <c r="FKH144" s="72"/>
      <c r="FKI144" s="72"/>
      <c r="FKJ144" s="72"/>
      <c r="FKK144" s="72"/>
      <c r="FKL144" s="72"/>
      <c r="FKM144" s="72"/>
      <c r="FKN144" s="72"/>
      <c r="FKO144" s="72"/>
      <c r="FKP144" s="72"/>
      <c r="FKQ144" s="72"/>
      <c r="FKR144" s="72"/>
      <c r="FKS144" s="72"/>
      <c r="FKT144" s="72"/>
      <c r="FKU144" s="72"/>
      <c r="FKV144" s="72"/>
      <c r="FKW144" s="72"/>
      <c r="FKX144" s="72"/>
      <c r="FKY144" s="72"/>
      <c r="FKZ144" s="72"/>
      <c r="FLA144" s="72"/>
      <c r="FLB144" s="72"/>
      <c r="FLC144" s="72"/>
      <c r="FLD144" s="72"/>
      <c r="FLE144" s="72"/>
      <c r="FLF144" s="72"/>
      <c r="FLG144" s="72"/>
      <c r="FLH144" s="72"/>
      <c r="FLI144" s="72"/>
      <c r="FLJ144" s="72"/>
      <c r="FLK144" s="72"/>
      <c r="FLL144" s="72"/>
      <c r="FLM144" s="72"/>
      <c r="FLN144" s="72"/>
      <c r="FLO144" s="72"/>
      <c r="FLP144" s="72"/>
      <c r="FLQ144" s="72"/>
      <c r="FLR144" s="72"/>
      <c r="FLS144" s="72"/>
      <c r="FLT144" s="72"/>
      <c r="FLU144" s="72"/>
      <c r="FLV144" s="72"/>
      <c r="FLW144" s="72"/>
      <c r="FLX144" s="72"/>
      <c r="FLY144" s="72"/>
      <c r="FLZ144" s="72"/>
      <c r="FMA144" s="72"/>
      <c r="FMB144" s="72"/>
      <c r="FMC144" s="72"/>
      <c r="FMD144" s="72"/>
      <c r="FME144" s="72"/>
      <c r="FMF144" s="72"/>
      <c r="FMG144" s="72"/>
      <c r="FMH144" s="72"/>
      <c r="FMI144" s="72"/>
      <c r="FMJ144" s="72"/>
      <c r="FMK144" s="72"/>
      <c r="FML144" s="72"/>
      <c r="FMM144" s="72"/>
      <c r="FMN144" s="72"/>
      <c r="FMO144" s="72"/>
      <c r="FMP144" s="72"/>
      <c r="FMQ144" s="72"/>
      <c r="FMR144" s="72"/>
      <c r="FMS144" s="72"/>
      <c r="FMT144" s="72"/>
      <c r="FMU144" s="72"/>
      <c r="FMV144" s="72"/>
      <c r="FMW144" s="72"/>
      <c r="FMX144" s="72"/>
      <c r="FMY144" s="72"/>
      <c r="FMZ144" s="72"/>
      <c r="FNA144" s="72"/>
      <c r="FNB144" s="72"/>
      <c r="FNC144" s="72"/>
      <c r="FND144" s="72"/>
      <c r="FNE144" s="72"/>
      <c r="FNF144" s="72"/>
      <c r="FNG144" s="72"/>
      <c r="FNH144" s="72"/>
      <c r="FNI144" s="72"/>
      <c r="FNJ144" s="72"/>
      <c r="FNK144" s="72"/>
      <c r="FNL144" s="72"/>
      <c r="FNM144" s="72"/>
      <c r="FNN144" s="72"/>
      <c r="FNO144" s="72"/>
      <c r="FNP144" s="72"/>
      <c r="FNQ144" s="72"/>
      <c r="FNR144" s="72"/>
      <c r="FNS144" s="72"/>
      <c r="FNT144" s="72"/>
      <c r="FNU144" s="72"/>
      <c r="FNV144" s="72"/>
      <c r="FNW144" s="72"/>
      <c r="FNX144" s="72"/>
      <c r="FNY144" s="72"/>
      <c r="FNZ144" s="72"/>
      <c r="FOA144" s="72"/>
      <c r="FOB144" s="72"/>
      <c r="FOC144" s="72"/>
      <c r="FOD144" s="72"/>
      <c r="FOE144" s="72"/>
      <c r="FOF144" s="72"/>
      <c r="FOG144" s="72"/>
      <c r="FOH144" s="72"/>
      <c r="FOI144" s="72"/>
      <c r="FOJ144" s="72"/>
      <c r="FOK144" s="72"/>
      <c r="FOL144" s="72"/>
      <c r="FOM144" s="72"/>
      <c r="FON144" s="72"/>
      <c r="FOO144" s="72"/>
      <c r="FOP144" s="72"/>
      <c r="FOQ144" s="72"/>
      <c r="FOR144" s="72"/>
      <c r="FOS144" s="72"/>
      <c r="FOT144" s="72"/>
      <c r="FOU144" s="72"/>
      <c r="FOV144" s="72"/>
      <c r="FOW144" s="72"/>
      <c r="FOX144" s="72"/>
      <c r="FOY144" s="72"/>
      <c r="FOZ144" s="72"/>
      <c r="FPA144" s="72"/>
      <c r="FPB144" s="72"/>
      <c r="FPC144" s="72"/>
      <c r="FPD144" s="72"/>
      <c r="FPE144" s="72"/>
      <c r="FPF144" s="72"/>
      <c r="FPG144" s="72"/>
      <c r="FPH144" s="72"/>
      <c r="FPI144" s="72"/>
      <c r="FPJ144" s="72"/>
      <c r="FPK144" s="72"/>
      <c r="FPL144" s="72"/>
      <c r="FPM144" s="72"/>
      <c r="FPN144" s="72"/>
      <c r="FPO144" s="72"/>
      <c r="FPP144" s="72"/>
      <c r="FPQ144" s="72"/>
      <c r="FPR144" s="72"/>
      <c r="FPS144" s="72"/>
      <c r="FPT144" s="72"/>
      <c r="FPU144" s="72"/>
      <c r="FPV144" s="72"/>
      <c r="FPW144" s="72"/>
      <c r="FPX144" s="72"/>
      <c r="FPY144" s="72"/>
      <c r="FPZ144" s="72"/>
      <c r="FQA144" s="72"/>
      <c r="FQB144" s="72"/>
      <c r="FQC144" s="72"/>
      <c r="FQD144" s="72"/>
      <c r="FQE144" s="72"/>
      <c r="FQF144" s="72"/>
      <c r="FQG144" s="72"/>
      <c r="FQH144" s="72"/>
      <c r="FQI144" s="72"/>
      <c r="FQJ144" s="72"/>
      <c r="FQK144" s="72"/>
      <c r="FQL144" s="72"/>
      <c r="FQM144" s="72"/>
      <c r="FQN144" s="72"/>
      <c r="FQO144" s="72"/>
      <c r="FQP144" s="72"/>
      <c r="FQQ144" s="72"/>
      <c r="FQR144" s="72"/>
      <c r="FQS144" s="72"/>
      <c r="FQT144" s="72"/>
      <c r="FQU144" s="72"/>
      <c r="FQV144" s="72"/>
      <c r="FQW144" s="72"/>
      <c r="FQX144" s="72"/>
      <c r="FQY144" s="72"/>
      <c r="FQZ144" s="72"/>
      <c r="FRA144" s="72"/>
      <c r="FRB144" s="72"/>
      <c r="FRC144" s="72"/>
      <c r="FRD144" s="72"/>
      <c r="FRE144" s="72"/>
      <c r="FRF144" s="72"/>
      <c r="FRG144" s="72"/>
      <c r="FRH144" s="72"/>
      <c r="FRI144" s="72"/>
      <c r="FRJ144" s="72"/>
      <c r="FRK144" s="72"/>
      <c r="FRL144" s="72"/>
      <c r="FRM144" s="72"/>
      <c r="FRN144" s="72"/>
      <c r="FRO144" s="72"/>
      <c r="FRP144" s="72"/>
      <c r="FRQ144" s="72"/>
      <c r="FRR144" s="72"/>
      <c r="FRS144" s="72"/>
      <c r="FRT144" s="72"/>
      <c r="FRU144" s="72"/>
      <c r="FRV144" s="72"/>
      <c r="FRW144" s="72"/>
      <c r="FRX144" s="72"/>
      <c r="FRY144" s="72"/>
      <c r="FRZ144" s="72"/>
      <c r="FSA144" s="72"/>
      <c r="FSB144" s="72"/>
      <c r="FSC144" s="72"/>
      <c r="FSD144" s="72"/>
      <c r="FSE144" s="72"/>
      <c r="FSF144" s="72"/>
      <c r="FSG144" s="72"/>
      <c r="FSH144" s="72"/>
      <c r="FSI144" s="72"/>
      <c r="FSJ144" s="72"/>
      <c r="FSK144" s="72"/>
      <c r="FSL144" s="72"/>
      <c r="FSM144" s="72"/>
      <c r="FSN144" s="72"/>
      <c r="FSO144" s="72"/>
      <c r="FSP144" s="72"/>
      <c r="FSQ144" s="72"/>
      <c r="FSR144" s="72"/>
      <c r="FSS144" s="72"/>
      <c r="FST144" s="72"/>
      <c r="FSU144" s="72"/>
      <c r="FSV144" s="72"/>
      <c r="FSW144" s="72"/>
      <c r="FSX144" s="72"/>
      <c r="FSY144" s="72"/>
      <c r="FSZ144" s="72"/>
      <c r="FTA144" s="72"/>
      <c r="FTB144" s="72"/>
      <c r="FTC144" s="72"/>
      <c r="FTD144" s="72"/>
      <c r="FTE144" s="72"/>
      <c r="FTF144" s="72"/>
      <c r="FTG144" s="72"/>
      <c r="FTH144" s="72"/>
      <c r="FTI144" s="72"/>
      <c r="FTJ144" s="72"/>
      <c r="FTK144" s="72"/>
      <c r="FTL144" s="72"/>
      <c r="FTM144" s="72"/>
      <c r="FTN144" s="72"/>
      <c r="FTO144" s="72"/>
      <c r="FTP144" s="72"/>
      <c r="FTQ144" s="72"/>
      <c r="FTR144" s="72"/>
      <c r="FTS144" s="72"/>
      <c r="FTT144" s="72"/>
      <c r="FTU144" s="72"/>
      <c r="FTV144" s="72"/>
      <c r="FTW144" s="72"/>
      <c r="FTX144" s="72"/>
      <c r="FTY144" s="72"/>
      <c r="FTZ144" s="72"/>
      <c r="FUA144" s="72"/>
      <c r="FUB144" s="72"/>
      <c r="FUC144" s="72"/>
      <c r="FUD144" s="72"/>
      <c r="FUE144" s="72"/>
      <c r="FUF144" s="72"/>
      <c r="FUG144" s="72"/>
      <c r="FUH144" s="72"/>
      <c r="FUI144" s="72"/>
      <c r="FUJ144" s="72"/>
      <c r="FUK144" s="72"/>
      <c r="FUL144" s="72"/>
      <c r="FUM144" s="72"/>
      <c r="FUN144" s="72"/>
      <c r="FUO144" s="72"/>
      <c r="FUP144" s="72"/>
      <c r="FUQ144" s="72"/>
      <c r="FUR144" s="72"/>
      <c r="FUS144" s="72"/>
      <c r="FUT144" s="72"/>
      <c r="FUU144" s="72"/>
      <c r="FUV144" s="72"/>
      <c r="FUW144" s="72"/>
      <c r="FUX144" s="72"/>
      <c r="FUY144" s="72"/>
      <c r="FUZ144" s="72"/>
      <c r="FVA144" s="72"/>
      <c r="FVB144" s="72"/>
      <c r="FVC144" s="72"/>
      <c r="FVD144" s="72"/>
      <c r="FVE144" s="72"/>
      <c r="FVF144" s="72"/>
      <c r="FVG144" s="72"/>
      <c r="FVH144" s="72"/>
      <c r="FVI144" s="72"/>
      <c r="FVJ144" s="72"/>
      <c r="FVK144" s="72"/>
      <c r="FVL144" s="72"/>
      <c r="FVM144" s="72"/>
      <c r="FVN144" s="72"/>
      <c r="FVO144" s="72"/>
      <c r="FVP144" s="72"/>
      <c r="FVQ144" s="72"/>
      <c r="FVR144" s="72"/>
      <c r="FVS144" s="72"/>
      <c r="FVT144" s="72"/>
      <c r="FVU144" s="72"/>
      <c r="FVV144" s="72"/>
      <c r="FVW144" s="72"/>
      <c r="FVX144" s="72"/>
      <c r="FVY144" s="72"/>
      <c r="FVZ144" s="72"/>
      <c r="FWA144" s="72"/>
      <c r="FWB144" s="72"/>
      <c r="FWC144" s="72"/>
      <c r="FWD144" s="72"/>
      <c r="FWE144" s="72"/>
      <c r="FWF144" s="72"/>
      <c r="FWG144" s="72"/>
      <c r="FWH144" s="72"/>
      <c r="FWI144" s="72"/>
      <c r="FWJ144" s="72"/>
      <c r="FWK144" s="72"/>
      <c r="FWL144" s="72"/>
      <c r="FWM144" s="72"/>
      <c r="FWN144" s="72"/>
      <c r="FWO144" s="72"/>
      <c r="FWP144" s="72"/>
      <c r="FWQ144" s="72"/>
      <c r="FWR144" s="72"/>
      <c r="FWS144" s="72"/>
      <c r="FWT144" s="72"/>
      <c r="FWU144" s="72"/>
      <c r="FWV144" s="72"/>
      <c r="FWW144" s="72"/>
      <c r="FWX144" s="72"/>
      <c r="FWY144" s="72"/>
      <c r="FWZ144" s="72"/>
      <c r="FXA144" s="72"/>
      <c r="FXB144" s="72"/>
      <c r="FXC144" s="72"/>
      <c r="FXD144" s="72"/>
      <c r="FXE144" s="72"/>
      <c r="FXF144" s="72"/>
      <c r="FXG144" s="72"/>
      <c r="FXH144" s="72"/>
      <c r="FXI144" s="72"/>
      <c r="FXJ144" s="72"/>
      <c r="FXK144" s="72"/>
      <c r="FXL144" s="72"/>
      <c r="FXM144" s="72"/>
      <c r="FXN144" s="72"/>
      <c r="FXO144" s="72"/>
      <c r="FXP144" s="72"/>
      <c r="FXQ144" s="72"/>
      <c r="FXR144" s="72"/>
      <c r="FXS144" s="72"/>
      <c r="FXT144" s="72"/>
      <c r="FXU144" s="72"/>
      <c r="FXV144" s="72"/>
      <c r="FXW144" s="72"/>
      <c r="FXX144" s="72"/>
      <c r="FXY144" s="72"/>
      <c r="FXZ144" s="72"/>
      <c r="FYA144" s="72"/>
      <c r="FYB144" s="72"/>
      <c r="FYC144" s="72"/>
      <c r="FYD144" s="72"/>
      <c r="FYE144" s="72"/>
      <c r="FYF144" s="72"/>
      <c r="FYG144" s="72"/>
      <c r="FYH144" s="72"/>
      <c r="FYI144" s="72"/>
      <c r="FYJ144" s="72"/>
      <c r="FYK144" s="72"/>
      <c r="FYL144" s="72"/>
      <c r="FYM144" s="72"/>
      <c r="FYN144" s="72"/>
      <c r="FYO144" s="72"/>
      <c r="FYP144" s="72"/>
      <c r="FYQ144" s="72"/>
      <c r="FYR144" s="72"/>
      <c r="FYS144" s="72"/>
      <c r="FYT144" s="72"/>
      <c r="FYU144" s="72"/>
      <c r="FYV144" s="72"/>
      <c r="FYW144" s="72"/>
      <c r="FYX144" s="72"/>
      <c r="FYY144" s="72"/>
      <c r="FYZ144" s="72"/>
      <c r="FZA144" s="72"/>
      <c r="FZB144" s="72"/>
      <c r="FZC144" s="72"/>
      <c r="FZD144" s="72"/>
      <c r="FZE144" s="72"/>
      <c r="FZF144" s="72"/>
      <c r="FZG144" s="72"/>
      <c r="FZH144" s="72"/>
      <c r="FZI144" s="72"/>
      <c r="FZJ144" s="72"/>
      <c r="FZK144" s="72"/>
      <c r="FZL144" s="72"/>
      <c r="FZM144" s="72"/>
      <c r="FZN144" s="72"/>
      <c r="FZO144" s="72"/>
      <c r="FZP144" s="72"/>
      <c r="FZQ144" s="72"/>
      <c r="FZR144" s="72"/>
      <c r="FZS144" s="72"/>
      <c r="FZT144" s="72"/>
      <c r="FZU144" s="72"/>
      <c r="FZV144" s="72"/>
      <c r="FZW144" s="72"/>
      <c r="FZX144" s="72"/>
      <c r="FZY144" s="72"/>
      <c r="FZZ144" s="72"/>
      <c r="GAA144" s="72"/>
      <c r="GAB144" s="72"/>
      <c r="GAC144" s="72"/>
      <c r="GAD144" s="72"/>
      <c r="GAE144" s="72"/>
      <c r="GAF144" s="72"/>
      <c r="GAG144" s="72"/>
      <c r="GAH144" s="72"/>
      <c r="GAI144" s="72"/>
      <c r="GAJ144" s="72"/>
      <c r="GAK144" s="72"/>
      <c r="GAL144" s="72"/>
      <c r="GAM144" s="72"/>
      <c r="GAN144" s="72"/>
      <c r="GAO144" s="72"/>
      <c r="GAP144" s="72"/>
      <c r="GAQ144" s="72"/>
      <c r="GAR144" s="72"/>
      <c r="GAS144" s="72"/>
      <c r="GAT144" s="72"/>
      <c r="GAU144" s="72"/>
      <c r="GAV144" s="72"/>
      <c r="GAW144" s="72"/>
      <c r="GAX144" s="72"/>
      <c r="GAY144" s="72"/>
      <c r="GAZ144" s="72"/>
      <c r="GBA144" s="72"/>
      <c r="GBB144" s="72"/>
      <c r="GBC144" s="72"/>
      <c r="GBD144" s="72"/>
      <c r="GBE144" s="72"/>
      <c r="GBF144" s="72"/>
      <c r="GBG144" s="72"/>
      <c r="GBH144" s="72"/>
      <c r="GBI144" s="72"/>
      <c r="GBJ144" s="72"/>
      <c r="GBK144" s="72"/>
      <c r="GBL144" s="72"/>
      <c r="GBM144" s="72"/>
      <c r="GBN144" s="72"/>
      <c r="GBO144" s="72"/>
      <c r="GBP144" s="72"/>
      <c r="GBQ144" s="72"/>
      <c r="GBR144" s="72"/>
      <c r="GBS144" s="72"/>
      <c r="GBT144" s="72"/>
      <c r="GBU144" s="72"/>
      <c r="GBV144" s="72"/>
      <c r="GBW144" s="72"/>
      <c r="GBX144" s="72"/>
      <c r="GBY144" s="72"/>
      <c r="GBZ144" s="72"/>
      <c r="GCA144" s="72"/>
      <c r="GCB144" s="72"/>
      <c r="GCC144" s="72"/>
      <c r="GCD144" s="72"/>
      <c r="GCE144" s="72"/>
      <c r="GCF144" s="72"/>
      <c r="GCG144" s="72"/>
      <c r="GCH144" s="72"/>
      <c r="GCI144" s="72"/>
      <c r="GCJ144" s="72"/>
      <c r="GCK144" s="72"/>
      <c r="GCL144" s="72"/>
      <c r="GCM144" s="72"/>
      <c r="GCN144" s="72"/>
      <c r="GCO144" s="72"/>
      <c r="GCP144" s="72"/>
      <c r="GCQ144" s="72"/>
      <c r="GCR144" s="72"/>
      <c r="GCS144" s="72"/>
      <c r="GCT144" s="72"/>
      <c r="GCU144" s="72"/>
      <c r="GCV144" s="72"/>
      <c r="GCW144" s="72"/>
      <c r="GCX144" s="72"/>
      <c r="GCY144" s="72"/>
      <c r="GCZ144" s="72"/>
      <c r="GDA144" s="72"/>
      <c r="GDB144" s="72"/>
      <c r="GDC144" s="72"/>
      <c r="GDD144" s="72"/>
      <c r="GDE144" s="72"/>
      <c r="GDF144" s="72"/>
      <c r="GDG144" s="72"/>
      <c r="GDH144" s="72"/>
      <c r="GDI144" s="72"/>
      <c r="GDJ144" s="72"/>
      <c r="GDK144" s="72"/>
      <c r="GDL144" s="72"/>
      <c r="GDM144" s="72"/>
      <c r="GDN144" s="72"/>
      <c r="GDO144" s="72"/>
      <c r="GDP144" s="72"/>
      <c r="GDQ144" s="72"/>
      <c r="GDR144" s="72"/>
      <c r="GDS144" s="72"/>
      <c r="GDT144" s="72"/>
      <c r="GDU144" s="72"/>
      <c r="GDV144" s="72"/>
      <c r="GDW144" s="72"/>
      <c r="GDX144" s="72"/>
      <c r="GDY144" s="72"/>
      <c r="GDZ144" s="72"/>
      <c r="GEA144" s="72"/>
      <c r="GEB144" s="72"/>
      <c r="GEC144" s="72"/>
      <c r="GED144" s="72"/>
      <c r="GEE144" s="72"/>
      <c r="GEF144" s="72"/>
      <c r="GEG144" s="72"/>
      <c r="GEH144" s="72"/>
      <c r="GEI144" s="72"/>
      <c r="GEJ144" s="72"/>
      <c r="GEK144" s="72"/>
      <c r="GEL144" s="72"/>
      <c r="GEM144" s="72"/>
      <c r="GEN144" s="72"/>
      <c r="GEO144" s="72"/>
      <c r="GEP144" s="72"/>
      <c r="GEQ144" s="72"/>
      <c r="GER144" s="72"/>
      <c r="GES144" s="72"/>
      <c r="GET144" s="72"/>
      <c r="GEU144" s="72"/>
      <c r="GEV144" s="72"/>
      <c r="GEW144" s="72"/>
      <c r="GEX144" s="72"/>
      <c r="GEY144" s="72"/>
      <c r="GEZ144" s="72"/>
      <c r="GFA144" s="72"/>
      <c r="GFB144" s="72"/>
      <c r="GFC144" s="72"/>
      <c r="GFD144" s="72"/>
      <c r="GFE144" s="72"/>
      <c r="GFF144" s="72"/>
      <c r="GFG144" s="72"/>
      <c r="GFH144" s="72"/>
      <c r="GFI144" s="72"/>
      <c r="GFJ144" s="72"/>
      <c r="GFK144" s="72"/>
      <c r="GFL144" s="72"/>
      <c r="GFM144" s="72"/>
      <c r="GFN144" s="72"/>
      <c r="GFO144" s="72"/>
      <c r="GFP144" s="72"/>
      <c r="GFQ144" s="72"/>
      <c r="GFR144" s="72"/>
      <c r="GFS144" s="72"/>
      <c r="GFT144" s="72"/>
      <c r="GFU144" s="72"/>
      <c r="GFV144" s="72"/>
      <c r="GFW144" s="72"/>
      <c r="GFX144" s="72"/>
      <c r="GFY144" s="72"/>
      <c r="GFZ144" s="72"/>
      <c r="GGA144" s="72"/>
      <c r="GGB144" s="72"/>
      <c r="GGC144" s="72"/>
      <c r="GGD144" s="72"/>
      <c r="GGE144" s="72"/>
      <c r="GGF144" s="72"/>
      <c r="GGG144" s="72"/>
      <c r="GGH144" s="72"/>
      <c r="GGI144" s="72"/>
      <c r="GGJ144" s="72"/>
      <c r="GGK144" s="72"/>
      <c r="GGL144" s="72"/>
      <c r="GGM144" s="72"/>
      <c r="GGN144" s="72"/>
      <c r="GGO144" s="72"/>
      <c r="GGP144" s="72"/>
      <c r="GGQ144" s="72"/>
      <c r="GGR144" s="72"/>
      <c r="GGS144" s="72"/>
      <c r="GGT144" s="72"/>
      <c r="GGU144" s="72"/>
      <c r="GGV144" s="72"/>
      <c r="GGW144" s="72"/>
      <c r="GGX144" s="72"/>
      <c r="GGY144" s="72"/>
      <c r="GGZ144" s="72"/>
      <c r="GHA144" s="72"/>
      <c r="GHB144" s="72"/>
      <c r="GHC144" s="72"/>
      <c r="GHD144" s="72"/>
      <c r="GHE144" s="72"/>
      <c r="GHF144" s="72"/>
      <c r="GHG144" s="72"/>
      <c r="GHH144" s="72"/>
      <c r="GHI144" s="72"/>
      <c r="GHJ144" s="72"/>
      <c r="GHK144" s="72"/>
      <c r="GHL144" s="72"/>
      <c r="GHM144" s="72"/>
      <c r="GHN144" s="72"/>
      <c r="GHO144" s="72"/>
      <c r="GHP144" s="72"/>
      <c r="GHQ144" s="72"/>
      <c r="GHR144" s="72"/>
      <c r="GHS144" s="72"/>
      <c r="GHT144" s="72"/>
      <c r="GHU144" s="72"/>
      <c r="GHV144" s="72"/>
      <c r="GHW144" s="72"/>
      <c r="GHX144" s="72"/>
      <c r="GHY144" s="72"/>
      <c r="GHZ144" s="72"/>
      <c r="GIA144" s="72"/>
      <c r="GIB144" s="72"/>
      <c r="GIC144" s="72"/>
      <c r="GID144" s="72"/>
      <c r="GIE144" s="72"/>
      <c r="GIF144" s="72"/>
      <c r="GIG144" s="72"/>
      <c r="GIH144" s="72"/>
      <c r="GII144" s="72"/>
      <c r="GIJ144" s="72"/>
      <c r="GIK144" s="72"/>
      <c r="GIL144" s="72"/>
      <c r="GIM144" s="72"/>
      <c r="GIN144" s="72"/>
      <c r="GIO144" s="72"/>
      <c r="GIP144" s="72"/>
      <c r="GIQ144" s="72"/>
      <c r="GIR144" s="72"/>
      <c r="GIS144" s="72"/>
      <c r="GIT144" s="72"/>
      <c r="GIU144" s="72"/>
      <c r="GIV144" s="72"/>
      <c r="GIW144" s="72"/>
      <c r="GIX144" s="72"/>
      <c r="GIY144" s="72"/>
      <c r="GIZ144" s="72"/>
      <c r="GJA144" s="72"/>
      <c r="GJB144" s="72"/>
      <c r="GJC144" s="72"/>
      <c r="GJD144" s="72"/>
      <c r="GJE144" s="72"/>
      <c r="GJF144" s="72"/>
      <c r="GJG144" s="72"/>
      <c r="GJH144" s="72"/>
      <c r="GJI144" s="72"/>
      <c r="GJJ144" s="72"/>
      <c r="GJK144" s="72"/>
      <c r="GJL144" s="72"/>
      <c r="GJM144" s="72"/>
      <c r="GJN144" s="72"/>
      <c r="GJO144" s="72"/>
      <c r="GJP144" s="72"/>
      <c r="GJQ144" s="72"/>
      <c r="GJR144" s="72"/>
      <c r="GJS144" s="72"/>
      <c r="GJT144" s="72"/>
      <c r="GJU144" s="72"/>
      <c r="GJV144" s="72"/>
      <c r="GJW144" s="72"/>
      <c r="GJX144" s="72"/>
      <c r="GJY144" s="72"/>
      <c r="GJZ144" s="72"/>
      <c r="GKA144" s="72"/>
      <c r="GKB144" s="72"/>
      <c r="GKC144" s="72"/>
      <c r="GKD144" s="72"/>
      <c r="GKE144" s="72"/>
      <c r="GKF144" s="72"/>
      <c r="GKG144" s="72"/>
      <c r="GKH144" s="72"/>
      <c r="GKI144" s="72"/>
      <c r="GKJ144" s="72"/>
      <c r="GKK144" s="72"/>
      <c r="GKL144" s="72"/>
      <c r="GKM144" s="72"/>
      <c r="GKN144" s="72"/>
      <c r="GKO144" s="72"/>
      <c r="GKP144" s="72"/>
      <c r="GKQ144" s="72"/>
      <c r="GKR144" s="72"/>
      <c r="GKS144" s="72"/>
      <c r="GKT144" s="72"/>
      <c r="GKU144" s="72"/>
      <c r="GKV144" s="72"/>
      <c r="GKW144" s="72"/>
      <c r="GKX144" s="72"/>
      <c r="GKY144" s="72"/>
      <c r="GKZ144" s="72"/>
      <c r="GLA144" s="72"/>
      <c r="GLB144" s="72"/>
      <c r="GLC144" s="72"/>
      <c r="GLD144" s="72"/>
      <c r="GLE144" s="72"/>
      <c r="GLF144" s="72"/>
      <c r="GLG144" s="72"/>
      <c r="GLH144" s="72"/>
      <c r="GLI144" s="72"/>
      <c r="GLJ144" s="72"/>
      <c r="GLK144" s="72"/>
      <c r="GLL144" s="72"/>
      <c r="GLM144" s="72"/>
      <c r="GLN144" s="72"/>
      <c r="GLO144" s="72"/>
      <c r="GLP144" s="72"/>
      <c r="GLQ144" s="72"/>
      <c r="GLR144" s="72"/>
      <c r="GLS144" s="72"/>
      <c r="GLT144" s="72"/>
      <c r="GLU144" s="72"/>
      <c r="GLV144" s="72"/>
      <c r="GLW144" s="72"/>
      <c r="GLX144" s="72"/>
      <c r="GLY144" s="72"/>
      <c r="GLZ144" s="72"/>
      <c r="GMA144" s="72"/>
      <c r="GMB144" s="72"/>
      <c r="GMC144" s="72"/>
      <c r="GMD144" s="72"/>
      <c r="GME144" s="72"/>
      <c r="GMF144" s="72"/>
      <c r="GMG144" s="72"/>
      <c r="GMH144" s="72"/>
      <c r="GMI144" s="72"/>
      <c r="GMJ144" s="72"/>
      <c r="GMK144" s="72"/>
      <c r="GML144" s="72"/>
      <c r="GMM144" s="72"/>
      <c r="GMN144" s="72"/>
      <c r="GMO144" s="72"/>
      <c r="GMP144" s="72"/>
      <c r="GMQ144" s="72"/>
      <c r="GMR144" s="72"/>
      <c r="GMS144" s="72"/>
      <c r="GMT144" s="72"/>
      <c r="GMU144" s="72"/>
      <c r="GMV144" s="72"/>
      <c r="GMW144" s="72"/>
      <c r="GMX144" s="72"/>
      <c r="GMY144" s="72"/>
      <c r="GMZ144" s="72"/>
      <c r="GNA144" s="72"/>
      <c r="GNB144" s="72"/>
      <c r="GNC144" s="72"/>
      <c r="GND144" s="72"/>
      <c r="GNE144" s="72"/>
      <c r="GNF144" s="72"/>
      <c r="GNG144" s="72"/>
      <c r="GNH144" s="72"/>
      <c r="GNI144" s="72"/>
      <c r="GNJ144" s="72"/>
      <c r="GNK144" s="72"/>
      <c r="GNL144" s="72"/>
      <c r="GNM144" s="72"/>
      <c r="GNN144" s="72"/>
      <c r="GNO144" s="72"/>
      <c r="GNP144" s="72"/>
      <c r="GNQ144" s="72"/>
      <c r="GNR144" s="72"/>
      <c r="GNS144" s="72"/>
      <c r="GNT144" s="72"/>
      <c r="GNU144" s="72"/>
      <c r="GNV144" s="72"/>
      <c r="GNW144" s="72"/>
      <c r="GNX144" s="72"/>
      <c r="GNY144" s="72"/>
      <c r="GNZ144" s="72"/>
      <c r="GOA144" s="72"/>
      <c r="GOB144" s="72"/>
      <c r="GOC144" s="72"/>
      <c r="GOD144" s="72"/>
      <c r="GOE144" s="72"/>
      <c r="GOF144" s="72"/>
      <c r="GOG144" s="72"/>
      <c r="GOH144" s="72"/>
      <c r="GOI144" s="72"/>
      <c r="GOJ144" s="72"/>
      <c r="GOK144" s="72"/>
      <c r="GOL144" s="72"/>
      <c r="GOM144" s="72"/>
      <c r="GON144" s="72"/>
      <c r="GOO144" s="72"/>
      <c r="GOP144" s="72"/>
      <c r="GOQ144" s="72"/>
      <c r="GOR144" s="72"/>
      <c r="GOS144" s="72"/>
      <c r="GOT144" s="72"/>
      <c r="GOU144" s="72"/>
      <c r="GOV144" s="72"/>
      <c r="GOW144" s="72"/>
      <c r="GOX144" s="72"/>
      <c r="GOY144" s="72"/>
      <c r="GOZ144" s="72"/>
      <c r="GPA144" s="72"/>
      <c r="GPB144" s="72"/>
      <c r="GPC144" s="72"/>
      <c r="GPD144" s="72"/>
      <c r="GPE144" s="72"/>
      <c r="GPF144" s="72"/>
      <c r="GPG144" s="72"/>
      <c r="GPH144" s="72"/>
      <c r="GPI144" s="72"/>
      <c r="GPJ144" s="72"/>
      <c r="GPK144" s="72"/>
      <c r="GPL144" s="72"/>
      <c r="GPM144" s="72"/>
      <c r="GPN144" s="72"/>
      <c r="GPO144" s="72"/>
      <c r="GPP144" s="72"/>
      <c r="GPQ144" s="72"/>
      <c r="GPR144" s="72"/>
      <c r="GPS144" s="72"/>
      <c r="GPT144" s="72"/>
      <c r="GPU144" s="72"/>
      <c r="GPV144" s="72"/>
      <c r="GPW144" s="72"/>
      <c r="GPX144" s="72"/>
      <c r="GPY144" s="72"/>
      <c r="GPZ144" s="72"/>
      <c r="GQA144" s="72"/>
      <c r="GQB144" s="72"/>
      <c r="GQC144" s="72"/>
      <c r="GQD144" s="72"/>
      <c r="GQE144" s="72"/>
      <c r="GQF144" s="72"/>
      <c r="GQG144" s="72"/>
      <c r="GQH144" s="72"/>
      <c r="GQI144" s="72"/>
      <c r="GQJ144" s="72"/>
      <c r="GQK144" s="72"/>
      <c r="GQL144" s="72"/>
      <c r="GQM144" s="72"/>
      <c r="GQN144" s="72"/>
      <c r="GQO144" s="72"/>
      <c r="GQP144" s="72"/>
      <c r="GQQ144" s="72"/>
      <c r="GQR144" s="72"/>
      <c r="GQS144" s="72"/>
      <c r="GQT144" s="72"/>
      <c r="GQU144" s="72"/>
      <c r="GQV144" s="72"/>
      <c r="GQW144" s="72"/>
      <c r="GQX144" s="72"/>
      <c r="GQY144" s="72"/>
      <c r="GQZ144" s="72"/>
      <c r="GRA144" s="72"/>
      <c r="GRB144" s="72"/>
      <c r="GRC144" s="72"/>
      <c r="GRD144" s="72"/>
      <c r="GRE144" s="72"/>
      <c r="GRF144" s="72"/>
      <c r="GRG144" s="72"/>
      <c r="GRH144" s="72"/>
      <c r="GRI144" s="72"/>
      <c r="GRJ144" s="72"/>
      <c r="GRK144" s="72"/>
      <c r="GRL144" s="72"/>
      <c r="GRM144" s="72"/>
      <c r="GRN144" s="72"/>
      <c r="GRO144" s="72"/>
      <c r="GRP144" s="72"/>
      <c r="GRQ144" s="72"/>
      <c r="GRR144" s="72"/>
      <c r="GRS144" s="72"/>
      <c r="GRT144" s="72"/>
      <c r="GRU144" s="72"/>
      <c r="GRV144" s="72"/>
      <c r="GRW144" s="72"/>
      <c r="GRX144" s="72"/>
      <c r="GRY144" s="72"/>
      <c r="GRZ144" s="72"/>
      <c r="GSA144" s="72"/>
      <c r="GSB144" s="72"/>
      <c r="GSC144" s="72"/>
      <c r="GSD144" s="72"/>
      <c r="GSE144" s="72"/>
      <c r="GSF144" s="72"/>
      <c r="GSG144" s="72"/>
      <c r="GSH144" s="72"/>
      <c r="GSI144" s="72"/>
      <c r="GSJ144" s="72"/>
      <c r="GSK144" s="72"/>
      <c r="GSL144" s="72"/>
      <c r="GSM144" s="72"/>
      <c r="GSN144" s="72"/>
      <c r="GSO144" s="72"/>
      <c r="GSP144" s="72"/>
      <c r="GSQ144" s="72"/>
      <c r="GSR144" s="72"/>
      <c r="GSS144" s="72"/>
      <c r="GST144" s="72"/>
      <c r="GSU144" s="72"/>
      <c r="GSV144" s="72"/>
      <c r="GSW144" s="72"/>
      <c r="GSX144" s="72"/>
      <c r="GSY144" s="72"/>
      <c r="GSZ144" s="72"/>
      <c r="GTA144" s="72"/>
      <c r="GTB144" s="72"/>
      <c r="GTC144" s="72"/>
      <c r="GTD144" s="72"/>
      <c r="GTE144" s="72"/>
      <c r="GTF144" s="72"/>
      <c r="GTG144" s="72"/>
      <c r="GTH144" s="72"/>
      <c r="GTI144" s="72"/>
      <c r="GTJ144" s="72"/>
      <c r="GTK144" s="72"/>
      <c r="GTL144" s="72"/>
      <c r="GTM144" s="72"/>
      <c r="GTN144" s="72"/>
      <c r="GTO144" s="72"/>
      <c r="GTP144" s="72"/>
      <c r="GTQ144" s="72"/>
      <c r="GTR144" s="72"/>
      <c r="GTS144" s="72"/>
      <c r="GTT144" s="72"/>
      <c r="GTU144" s="72"/>
      <c r="GTV144" s="72"/>
      <c r="GTW144" s="72"/>
      <c r="GTX144" s="72"/>
      <c r="GTY144" s="72"/>
      <c r="GTZ144" s="72"/>
      <c r="GUA144" s="72"/>
      <c r="GUB144" s="72"/>
      <c r="GUC144" s="72"/>
      <c r="GUD144" s="72"/>
      <c r="GUE144" s="72"/>
      <c r="GUF144" s="72"/>
      <c r="GUG144" s="72"/>
      <c r="GUH144" s="72"/>
      <c r="GUI144" s="72"/>
      <c r="GUJ144" s="72"/>
      <c r="GUK144" s="72"/>
      <c r="GUL144" s="72"/>
      <c r="GUM144" s="72"/>
      <c r="GUN144" s="72"/>
      <c r="GUO144" s="72"/>
      <c r="GUP144" s="72"/>
      <c r="GUQ144" s="72"/>
      <c r="GUR144" s="72"/>
      <c r="GUS144" s="72"/>
      <c r="GUT144" s="72"/>
      <c r="GUU144" s="72"/>
      <c r="GUV144" s="72"/>
      <c r="GUW144" s="72"/>
      <c r="GUX144" s="72"/>
      <c r="GUY144" s="72"/>
      <c r="GUZ144" s="72"/>
      <c r="GVA144" s="72"/>
      <c r="GVB144" s="72"/>
      <c r="GVC144" s="72"/>
      <c r="GVD144" s="72"/>
      <c r="GVE144" s="72"/>
      <c r="GVF144" s="72"/>
      <c r="GVG144" s="72"/>
      <c r="GVH144" s="72"/>
      <c r="GVI144" s="72"/>
      <c r="GVJ144" s="72"/>
      <c r="GVK144" s="72"/>
      <c r="GVL144" s="72"/>
      <c r="GVM144" s="72"/>
      <c r="GVN144" s="72"/>
      <c r="GVO144" s="72"/>
      <c r="GVP144" s="72"/>
      <c r="GVQ144" s="72"/>
      <c r="GVR144" s="72"/>
      <c r="GVS144" s="72"/>
      <c r="GVT144" s="72"/>
      <c r="GVU144" s="72"/>
      <c r="GVV144" s="72"/>
      <c r="GVW144" s="72"/>
      <c r="GVX144" s="72"/>
      <c r="GVY144" s="72"/>
      <c r="GVZ144" s="72"/>
      <c r="GWA144" s="72"/>
      <c r="GWB144" s="72"/>
      <c r="GWC144" s="72"/>
      <c r="GWD144" s="72"/>
      <c r="GWE144" s="72"/>
      <c r="GWF144" s="72"/>
      <c r="GWG144" s="72"/>
      <c r="GWH144" s="72"/>
      <c r="GWI144" s="72"/>
      <c r="GWJ144" s="72"/>
      <c r="GWK144" s="72"/>
      <c r="GWL144" s="72"/>
      <c r="GWM144" s="72"/>
      <c r="GWN144" s="72"/>
      <c r="GWO144" s="72"/>
      <c r="GWP144" s="72"/>
      <c r="GWQ144" s="72"/>
      <c r="GWR144" s="72"/>
      <c r="GWS144" s="72"/>
      <c r="GWT144" s="72"/>
      <c r="GWU144" s="72"/>
      <c r="GWV144" s="72"/>
      <c r="GWW144" s="72"/>
      <c r="GWX144" s="72"/>
      <c r="GWY144" s="72"/>
      <c r="GWZ144" s="72"/>
      <c r="GXA144" s="72"/>
      <c r="GXB144" s="72"/>
      <c r="GXC144" s="72"/>
      <c r="GXD144" s="72"/>
      <c r="GXE144" s="72"/>
      <c r="GXF144" s="72"/>
      <c r="GXG144" s="72"/>
      <c r="GXH144" s="72"/>
      <c r="GXI144" s="72"/>
      <c r="GXJ144" s="72"/>
      <c r="GXK144" s="72"/>
      <c r="GXL144" s="72"/>
      <c r="GXM144" s="72"/>
      <c r="GXN144" s="72"/>
      <c r="GXO144" s="72"/>
      <c r="GXP144" s="72"/>
      <c r="GXQ144" s="72"/>
      <c r="GXR144" s="72"/>
      <c r="GXS144" s="72"/>
      <c r="GXT144" s="72"/>
      <c r="GXU144" s="72"/>
      <c r="GXV144" s="72"/>
      <c r="GXW144" s="72"/>
      <c r="GXX144" s="72"/>
      <c r="GXY144" s="72"/>
      <c r="GXZ144" s="72"/>
      <c r="GYA144" s="72"/>
      <c r="GYB144" s="72"/>
      <c r="GYC144" s="72"/>
      <c r="GYD144" s="72"/>
      <c r="GYE144" s="72"/>
      <c r="GYF144" s="72"/>
      <c r="GYG144" s="72"/>
      <c r="GYH144" s="72"/>
      <c r="GYI144" s="72"/>
      <c r="GYJ144" s="72"/>
      <c r="GYK144" s="72"/>
      <c r="GYL144" s="72"/>
      <c r="GYM144" s="72"/>
      <c r="GYN144" s="72"/>
      <c r="GYO144" s="72"/>
      <c r="GYP144" s="72"/>
      <c r="GYQ144" s="72"/>
      <c r="GYR144" s="72"/>
      <c r="GYS144" s="72"/>
      <c r="GYT144" s="72"/>
      <c r="GYU144" s="72"/>
      <c r="GYV144" s="72"/>
      <c r="GYW144" s="72"/>
      <c r="GYX144" s="72"/>
      <c r="GYY144" s="72"/>
      <c r="GYZ144" s="72"/>
      <c r="GZA144" s="72"/>
      <c r="GZB144" s="72"/>
      <c r="GZC144" s="72"/>
      <c r="GZD144" s="72"/>
      <c r="GZE144" s="72"/>
      <c r="GZF144" s="72"/>
      <c r="GZG144" s="72"/>
      <c r="GZH144" s="72"/>
      <c r="GZI144" s="72"/>
      <c r="GZJ144" s="72"/>
      <c r="GZK144" s="72"/>
      <c r="GZL144" s="72"/>
      <c r="GZM144" s="72"/>
      <c r="GZN144" s="72"/>
      <c r="GZO144" s="72"/>
      <c r="GZP144" s="72"/>
      <c r="GZQ144" s="72"/>
      <c r="GZR144" s="72"/>
      <c r="GZS144" s="72"/>
      <c r="GZT144" s="72"/>
      <c r="GZU144" s="72"/>
      <c r="GZV144" s="72"/>
      <c r="GZW144" s="72"/>
      <c r="GZX144" s="72"/>
      <c r="GZY144" s="72"/>
      <c r="GZZ144" s="72"/>
      <c r="HAA144" s="72"/>
      <c r="HAB144" s="72"/>
      <c r="HAC144" s="72"/>
      <c r="HAD144" s="72"/>
      <c r="HAE144" s="72"/>
      <c r="HAF144" s="72"/>
      <c r="HAG144" s="72"/>
      <c r="HAH144" s="72"/>
      <c r="HAI144" s="72"/>
      <c r="HAJ144" s="72"/>
      <c r="HAK144" s="72"/>
      <c r="HAL144" s="72"/>
      <c r="HAM144" s="72"/>
      <c r="HAN144" s="72"/>
      <c r="HAO144" s="72"/>
      <c r="HAP144" s="72"/>
      <c r="HAQ144" s="72"/>
      <c r="HAR144" s="72"/>
      <c r="HAS144" s="72"/>
      <c r="HAT144" s="72"/>
      <c r="HAU144" s="72"/>
      <c r="HAV144" s="72"/>
      <c r="HAW144" s="72"/>
      <c r="HAX144" s="72"/>
      <c r="HAY144" s="72"/>
      <c r="HAZ144" s="72"/>
      <c r="HBA144" s="72"/>
      <c r="HBB144" s="72"/>
      <c r="HBC144" s="72"/>
      <c r="HBD144" s="72"/>
      <c r="HBE144" s="72"/>
      <c r="HBF144" s="72"/>
      <c r="HBG144" s="72"/>
      <c r="HBH144" s="72"/>
      <c r="HBI144" s="72"/>
      <c r="HBJ144" s="72"/>
      <c r="HBK144" s="72"/>
      <c r="HBL144" s="72"/>
      <c r="HBM144" s="72"/>
      <c r="HBN144" s="72"/>
      <c r="HBO144" s="72"/>
      <c r="HBP144" s="72"/>
      <c r="HBQ144" s="72"/>
      <c r="HBR144" s="72"/>
      <c r="HBS144" s="72"/>
      <c r="HBT144" s="72"/>
      <c r="HBU144" s="72"/>
      <c r="HBV144" s="72"/>
      <c r="HBW144" s="72"/>
      <c r="HBX144" s="72"/>
      <c r="HBY144" s="72"/>
      <c r="HBZ144" s="72"/>
      <c r="HCA144" s="72"/>
      <c r="HCB144" s="72"/>
      <c r="HCC144" s="72"/>
      <c r="HCD144" s="72"/>
      <c r="HCE144" s="72"/>
      <c r="HCF144" s="72"/>
      <c r="HCG144" s="72"/>
      <c r="HCH144" s="72"/>
      <c r="HCI144" s="72"/>
      <c r="HCJ144" s="72"/>
      <c r="HCK144" s="72"/>
      <c r="HCL144" s="72"/>
      <c r="HCM144" s="72"/>
      <c r="HCN144" s="72"/>
      <c r="HCO144" s="72"/>
      <c r="HCP144" s="72"/>
      <c r="HCQ144" s="72"/>
      <c r="HCR144" s="72"/>
      <c r="HCS144" s="72"/>
      <c r="HCT144" s="72"/>
      <c r="HCU144" s="72"/>
      <c r="HCV144" s="72"/>
      <c r="HCW144" s="72"/>
      <c r="HCX144" s="72"/>
      <c r="HCY144" s="72"/>
      <c r="HCZ144" s="72"/>
      <c r="HDA144" s="72"/>
      <c r="HDB144" s="72"/>
      <c r="HDC144" s="72"/>
      <c r="HDD144" s="72"/>
      <c r="HDE144" s="72"/>
      <c r="HDF144" s="72"/>
      <c r="HDG144" s="72"/>
      <c r="HDH144" s="72"/>
      <c r="HDI144" s="72"/>
      <c r="HDJ144" s="72"/>
      <c r="HDK144" s="72"/>
      <c r="HDL144" s="72"/>
      <c r="HDM144" s="72"/>
      <c r="HDN144" s="72"/>
      <c r="HDO144" s="72"/>
      <c r="HDP144" s="72"/>
      <c r="HDQ144" s="72"/>
      <c r="HDR144" s="72"/>
      <c r="HDS144" s="72"/>
      <c r="HDT144" s="72"/>
      <c r="HDU144" s="72"/>
      <c r="HDV144" s="72"/>
      <c r="HDW144" s="72"/>
      <c r="HDX144" s="72"/>
      <c r="HDY144" s="72"/>
      <c r="HDZ144" s="72"/>
      <c r="HEA144" s="72"/>
      <c r="HEB144" s="72"/>
      <c r="HEC144" s="72"/>
      <c r="HED144" s="72"/>
      <c r="HEE144" s="72"/>
      <c r="HEF144" s="72"/>
      <c r="HEG144" s="72"/>
      <c r="HEH144" s="72"/>
      <c r="HEI144" s="72"/>
      <c r="HEJ144" s="72"/>
      <c r="HEK144" s="72"/>
      <c r="HEL144" s="72"/>
      <c r="HEM144" s="72"/>
      <c r="HEN144" s="72"/>
      <c r="HEO144" s="72"/>
      <c r="HEP144" s="72"/>
      <c r="HEQ144" s="72"/>
      <c r="HER144" s="72"/>
      <c r="HES144" s="72"/>
      <c r="HET144" s="72"/>
      <c r="HEU144" s="72"/>
      <c r="HEV144" s="72"/>
      <c r="HEW144" s="72"/>
      <c r="HEX144" s="72"/>
      <c r="HEY144" s="72"/>
      <c r="HEZ144" s="72"/>
      <c r="HFA144" s="72"/>
      <c r="HFB144" s="72"/>
      <c r="HFC144" s="72"/>
      <c r="HFD144" s="72"/>
      <c r="HFE144" s="72"/>
      <c r="HFF144" s="72"/>
      <c r="HFG144" s="72"/>
      <c r="HFH144" s="72"/>
      <c r="HFI144" s="72"/>
      <c r="HFJ144" s="72"/>
      <c r="HFK144" s="72"/>
      <c r="HFL144" s="72"/>
      <c r="HFM144" s="72"/>
      <c r="HFN144" s="72"/>
      <c r="HFO144" s="72"/>
      <c r="HFP144" s="72"/>
      <c r="HFQ144" s="72"/>
      <c r="HFR144" s="72"/>
      <c r="HFS144" s="72"/>
      <c r="HFT144" s="72"/>
      <c r="HFU144" s="72"/>
      <c r="HFV144" s="72"/>
      <c r="HFW144" s="72"/>
      <c r="HFX144" s="72"/>
      <c r="HFY144" s="72"/>
      <c r="HFZ144" s="72"/>
      <c r="HGA144" s="72"/>
      <c r="HGB144" s="72"/>
      <c r="HGC144" s="72"/>
      <c r="HGD144" s="72"/>
      <c r="HGE144" s="72"/>
      <c r="HGF144" s="72"/>
      <c r="HGG144" s="72"/>
      <c r="HGH144" s="72"/>
      <c r="HGI144" s="72"/>
      <c r="HGJ144" s="72"/>
      <c r="HGK144" s="72"/>
      <c r="HGL144" s="72"/>
      <c r="HGM144" s="72"/>
      <c r="HGN144" s="72"/>
      <c r="HGO144" s="72"/>
      <c r="HGP144" s="72"/>
      <c r="HGQ144" s="72"/>
      <c r="HGR144" s="72"/>
      <c r="HGS144" s="72"/>
      <c r="HGT144" s="72"/>
      <c r="HGU144" s="72"/>
      <c r="HGV144" s="72"/>
      <c r="HGW144" s="72"/>
      <c r="HGX144" s="72"/>
      <c r="HGY144" s="72"/>
      <c r="HGZ144" s="72"/>
      <c r="HHA144" s="72"/>
      <c r="HHB144" s="72"/>
      <c r="HHC144" s="72"/>
      <c r="HHD144" s="72"/>
      <c r="HHE144" s="72"/>
      <c r="HHF144" s="72"/>
      <c r="HHG144" s="72"/>
      <c r="HHH144" s="72"/>
      <c r="HHI144" s="72"/>
      <c r="HHJ144" s="72"/>
      <c r="HHK144" s="72"/>
      <c r="HHL144" s="72"/>
      <c r="HHM144" s="72"/>
      <c r="HHN144" s="72"/>
      <c r="HHO144" s="72"/>
      <c r="HHP144" s="72"/>
      <c r="HHQ144" s="72"/>
      <c r="HHR144" s="72"/>
      <c r="HHS144" s="72"/>
      <c r="HHT144" s="72"/>
      <c r="HHU144" s="72"/>
      <c r="HHV144" s="72"/>
      <c r="HHW144" s="72"/>
      <c r="HHX144" s="72"/>
      <c r="HHY144" s="72"/>
      <c r="HHZ144" s="72"/>
      <c r="HIA144" s="72"/>
      <c r="HIB144" s="72"/>
      <c r="HIC144" s="72"/>
      <c r="HID144" s="72"/>
      <c r="HIE144" s="72"/>
      <c r="HIF144" s="72"/>
      <c r="HIG144" s="72"/>
      <c r="HIH144" s="72"/>
      <c r="HII144" s="72"/>
      <c r="HIJ144" s="72"/>
      <c r="HIK144" s="72"/>
      <c r="HIL144" s="72"/>
      <c r="HIM144" s="72"/>
      <c r="HIN144" s="72"/>
      <c r="HIO144" s="72"/>
      <c r="HIP144" s="72"/>
      <c r="HIQ144" s="72"/>
      <c r="HIR144" s="72"/>
      <c r="HIS144" s="72"/>
      <c r="HIT144" s="72"/>
      <c r="HIU144" s="72"/>
      <c r="HIV144" s="72"/>
      <c r="HIW144" s="72"/>
      <c r="HIX144" s="72"/>
      <c r="HIY144" s="72"/>
      <c r="HIZ144" s="72"/>
      <c r="HJA144" s="72"/>
      <c r="HJB144" s="72"/>
      <c r="HJC144" s="72"/>
      <c r="HJD144" s="72"/>
      <c r="HJE144" s="72"/>
      <c r="HJF144" s="72"/>
      <c r="HJG144" s="72"/>
      <c r="HJH144" s="72"/>
      <c r="HJI144" s="72"/>
      <c r="HJJ144" s="72"/>
      <c r="HJK144" s="72"/>
      <c r="HJL144" s="72"/>
      <c r="HJM144" s="72"/>
      <c r="HJN144" s="72"/>
      <c r="HJO144" s="72"/>
      <c r="HJP144" s="72"/>
      <c r="HJQ144" s="72"/>
      <c r="HJR144" s="72"/>
      <c r="HJS144" s="72"/>
      <c r="HJT144" s="72"/>
      <c r="HJU144" s="72"/>
      <c r="HJV144" s="72"/>
      <c r="HJW144" s="72"/>
      <c r="HJX144" s="72"/>
      <c r="HJY144" s="72"/>
      <c r="HJZ144" s="72"/>
      <c r="HKA144" s="72"/>
      <c r="HKB144" s="72"/>
      <c r="HKC144" s="72"/>
      <c r="HKD144" s="72"/>
      <c r="HKE144" s="72"/>
      <c r="HKF144" s="72"/>
      <c r="HKG144" s="72"/>
      <c r="HKH144" s="72"/>
      <c r="HKI144" s="72"/>
      <c r="HKJ144" s="72"/>
      <c r="HKK144" s="72"/>
      <c r="HKL144" s="72"/>
      <c r="HKM144" s="72"/>
      <c r="HKN144" s="72"/>
      <c r="HKO144" s="72"/>
      <c r="HKP144" s="72"/>
      <c r="HKQ144" s="72"/>
      <c r="HKR144" s="72"/>
      <c r="HKS144" s="72"/>
      <c r="HKT144" s="72"/>
      <c r="HKU144" s="72"/>
      <c r="HKV144" s="72"/>
      <c r="HKW144" s="72"/>
      <c r="HKX144" s="72"/>
      <c r="HKY144" s="72"/>
      <c r="HKZ144" s="72"/>
      <c r="HLA144" s="72"/>
      <c r="HLB144" s="72"/>
      <c r="HLC144" s="72"/>
      <c r="HLD144" s="72"/>
      <c r="HLE144" s="72"/>
      <c r="HLF144" s="72"/>
      <c r="HLG144" s="72"/>
      <c r="HLH144" s="72"/>
      <c r="HLI144" s="72"/>
      <c r="HLJ144" s="72"/>
      <c r="HLK144" s="72"/>
      <c r="HLL144" s="72"/>
      <c r="HLM144" s="72"/>
      <c r="HLN144" s="72"/>
      <c r="HLO144" s="72"/>
      <c r="HLP144" s="72"/>
      <c r="HLQ144" s="72"/>
      <c r="HLR144" s="72"/>
      <c r="HLS144" s="72"/>
      <c r="HLT144" s="72"/>
      <c r="HLU144" s="72"/>
      <c r="HLV144" s="72"/>
      <c r="HLW144" s="72"/>
      <c r="HLX144" s="72"/>
      <c r="HLY144" s="72"/>
      <c r="HLZ144" s="72"/>
      <c r="HMA144" s="72"/>
      <c r="HMB144" s="72"/>
      <c r="HMC144" s="72"/>
      <c r="HMD144" s="72"/>
      <c r="HME144" s="72"/>
      <c r="HMF144" s="72"/>
      <c r="HMG144" s="72"/>
      <c r="HMH144" s="72"/>
      <c r="HMI144" s="72"/>
      <c r="HMJ144" s="72"/>
      <c r="HMK144" s="72"/>
      <c r="HML144" s="72"/>
      <c r="HMM144" s="72"/>
      <c r="HMN144" s="72"/>
      <c r="HMO144" s="72"/>
      <c r="HMP144" s="72"/>
      <c r="HMQ144" s="72"/>
      <c r="HMR144" s="72"/>
      <c r="HMS144" s="72"/>
      <c r="HMT144" s="72"/>
      <c r="HMU144" s="72"/>
      <c r="HMV144" s="72"/>
      <c r="HMW144" s="72"/>
      <c r="HMX144" s="72"/>
      <c r="HMY144" s="72"/>
      <c r="HMZ144" s="72"/>
      <c r="HNA144" s="72"/>
      <c r="HNB144" s="72"/>
      <c r="HNC144" s="72"/>
      <c r="HND144" s="72"/>
      <c r="HNE144" s="72"/>
      <c r="HNF144" s="72"/>
      <c r="HNG144" s="72"/>
      <c r="HNH144" s="72"/>
      <c r="HNI144" s="72"/>
      <c r="HNJ144" s="72"/>
      <c r="HNK144" s="72"/>
      <c r="HNL144" s="72"/>
      <c r="HNM144" s="72"/>
      <c r="HNN144" s="72"/>
      <c r="HNO144" s="72"/>
      <c r="HNP144" s="72"/>
      <c r="HNQ144" s="72"/>
      <c r="HNR144" s="72"/>
      <c r="HNS144" s="72"/>
      <c r="HNT144" s="72"/>
      <c r="HNU144" s="72"/>
      <c r="HNV144" s="72"/>
      <c r="HNW144" s="72"/>
      <c r="HNX144" s="72"/>
      <c r="HNY144" s="72"/>
      <c r="HNZ144" s="72"/>
      <c r="HOA144" s="72"/>
      <c r="HOB144" s="72"/>
      <c r="HOC144" s="72"/>
      <c r="HOD144" s="72"/>
      <c r="HOE144" s="72"/>
      <c r="HOF144" s="72"/>
      <c r="HOG144" s="72"/>
      <c r="HOH144" s="72"/>
      <c r="HOI144" s="72"/>
      <c r="HOJ144" s="72"/>
      <c r="HOK144" s="72"/>
      <c r="HOL144" s="72"/>
      <c r="HOM144" s="72"/>
      <c r="HON144" s="72"/>
      <c r="HOO144" s="72"/>
      <c r="HOP144" s="72"/>
      <c r="HOQ144" s="72"/>
      <c r="HOR144" s="72"/>
      <c r="HOS144" s="72"/>
      <c r="HOT144" s="72"/>
      <c r="HOU144" s="72"/>
      <c r="HOV144" s="72"/>
      <c r="HOW144" s="72"/>
      <c r="HOX144" s="72"/>
      <c r="HOY144" s="72"/>
      <c r="HOZ144" s="72"/>
      <c r="HPA144" s="72"/>
      <c r="HPB144" s="72"/>
      <c r="HPC144" s="72"/>
      <c r="HPD144" s="72"/>
      <c r="HPE144" s="72"/>
      <c r="HPF144" s="72"/>
      <c r="HPG144" s="72"/>
      <c r="HPH144" s="72"/>
      <c r="HPI144" s="72"/>
      <c r="HPJ144" s="72"/>
      <c r="HPK144" s="72"/>
      <c r="HPL144" s="72"/>
      <c r="HPM144" s="72"/>
      <c r="HPN144" s="72"/>
      <c r="HPO144" s="72"/>
      <c r="HPP144" s="72"/>
      <c r="HPQ144" s="72"/>
      <c r="HPR144" s="72"/>
      <c r="HPS144" s="72"/>
      <c r="HPT144" s="72"/>
      <c r="HPU144" s="72"/>
      <c r="HPV144" s="72"/>
      <c r="HPW144" s="72"/>
      <c r="HPX144" s="72"/>
      <c r="HPY144" s="72"/>
      <c r="HPZ144" s="72"/>
      <c r="HQA144" s="72"/>
      <c r="HQB144" s="72"/>
      <c r="HQC144" s="72"/>
      <c r="HQD144" s="72"/>
      <c r="HQE144" s="72"/>
      <c r="HQF144" s="72"/>
      <c r="HQG144" s="72"/>
      <c r="HQH144" s="72"/>
      <c r="HQI144" s="72"/>
      <c r="HQJ144" s="72"/>
      <c r="HQK144" s="72"/>
      <c r="HQL144" s="72"/>
      <c r="HQM144" s="72"/>
      <c r="HQN144" s="72"/>
      <c r="HQO144" s="72"/>
      <c r="HQP144" s="72"/>
      <c r="HQQ144" s="72"/>
      <c r="HQR144" s="72"/>
      <c r="HQS144" s="72"/>
      <c r="HQT144" s="72"/>
      <c r="HQU144" s="72"/>
      <c r="HQV144" s="72"/>
      <c r="HQW144" s="72"/>
      <c r="HQX144" s="72"/>
      <c r="HQY144" s="72"/>
      <c r="HQZ144" s="72"/>
      <c r="HRA144" s="72"/>
      <c r="HRB144" s="72"/>
      <c r="HRC144" s="72"/>
      <c r="HRD144" s="72"/>
      <c r="HRE144" s="72"/>
      <c r="HRF144" s="72"/>
      <c r="HRG144" s="72"/>
      <c r="HRH144" s="72"/>
      <c r="HRI144" s="72"/>
      <c r="HRJ144" s="72"/>
      <c r="HRK144" s="72"/>
      <c r="HRL144" s="72"/>
      <c r="HRM144" s="72"/>
      <c r="HRN144" s="72"/>
      <c r="HRO144" s="72"/>
      <c r="HRP144" s="72"/>
      <c r="HRQ144" s="72"/>
      <c r="HRR144" s="72"/>
      <c r="HRS144" s="72"/>
      <c r="HRT144" s="72"/>
      <c r="HRU144" s="72"/>
      <c r="HRV144" s="72"/>
      <c r="HRW144" s="72"/>
      <c r="HRX144" s="72"/>
      <c r="HRY144" s="72"/>
      <c r="HRZ144" s="72"/>
      <c r="HSA144" s="72"/>
      <c r="HSB144" s="72"/>
      <c r="HSC144" s="72"/>
      <c r="HSD144" s="72"/>
      <c r="HSE144" s="72"/>
      <c r="HSF144" s="72"/>
      <c r="HSG144" s="72"/>
      <c r="HSH144" s="72"/>
      <c r="HSI144" s="72"/>
      <c r="HSJ144" s="72"/>
      <c r="HSK144" s="72"/>
      <c r="HSL144" s="72"/>
      <c r="HSM144" s="72"/>
      <c r="HSN144" s="72"/>
      <c r="HSO144" s="72"/>
      <c r="HSP144" s="72"/>
      <c r="HSQ144" s="72"/>
      <c r="HSR144" s="72"/>
      <c r="HSS144" s="72"/>
      <c r="HST144" s="72"/>
      <c r="HSU144" s="72"/>
      <c r="HSV144" s="72"/>
      <c r="HSW144" s="72"/>
      <c r="HSX144" s="72"/>
      <c r="HSY144" s="72"/>
      <c r="HSZ144" s="72"/>
      <c r="HTA144" s="72"/>
      <c r="HTB144" s="72"/>
      <c r="HTC144" s="72"/>
      <c r="HTD144" s="72"/>
      <c r="HTE144" s="72"/>
      <c r="HTF144" s="72"/>
      <c r="HTG144" s="72"/>
      <c r="HTH144" s="72"/>
      <c r="HTI144" s="72"/>
      <c r="HTJ144" s="72"/>
      <c r="HTK144" s="72"/>
      <c r="HTL144" s="72"/>
      <c r="HTM144" s="72"/>
      <c r="HTN144" s="72"/>
      <c r="HTO144" s="72"/>
      <c r="HTP144" s="72"/>
      <c r="HTQ144" s="72"/>
      <c r="HTR144" s="72"/>
      <c r="HTS144" s="72"/>
      <c r="HTT144" s="72"/>
      <c r="HTU144" s="72"/>
      <c r="HTV144" s="72"/>
      <c r="HTW144" s="72"/>
      <c r="HTX144" s="72"/>
      <c r="HTY144" s="72"/>
      <c r="HTZ144" s="72"/>
      <c r="HUA144" s="72"/>
      <c r="HUB144" s="72"/>
      <c r="HUC144" s="72"/>
      <c r="HUD144" s="72"/>
      <c r="HUE144" s="72"/>
      <c r="HUF144" s="72"/>
      <c r="HUG144" s="72"/>
      <c r="HUH144" s="72"/>
      <c r="HUI144" s="72"/>
      <c r="HUJ144" s="72"/>
      <c r="HUK144" s="72"/>
      <c r="HUL144" s="72"/>
      <c r="HUM144" s="72"/>
      <c r="HUN144" s="72"/>
      <c r="HUO144" s="72"/>
      <c r="HUP144" s="72"/>
      <c r="HUQ144" s="72"/>
      <c r="HUR144" s="72"/>
      <c r="HUS144" s="72"/>
      <c r="HUT144" s="72"/>
      <c r="HUU144" s="72"/>
      <c r="HUV144" s="72"/>
      <c r="HUW144" s="72"/>
      <c r="HUX144" s="72"/>
      <c r="HUY144" s="72"/>
      <c r="HUZ144" s="72"/>
      <c r="HVA144" s="72"/>
      <c r="HVB144" s="72"/>
      <c r="HVC144" s="72"/>
      <c r="HVD144" s="72"/>
      <c r="HVE144" s="72"/>
      <c r="HVF144" s="72"/>
      <c r="HVG144" s="72"/>
      <c r="HVH144" s="72"/>
      <c r="HVI144" s="72"/>
      <c r="HVJ144" s="72"/>
      <c r="HVK144" s="72"/>
      <c r="HVL144" s="72"/>
      <c r="HVM144" s="72"/>
      <c r="HVN144" s="72"/>
      <c r="HVO144" s="72"/>
      <c r="HVP144" s="72"/>
      <c r="HVQ144" s="72"/>
      <c r="HVR144" s="72"/>
      <c r="HVS144" s="72"/>
      <c r="HVT144" s="72"/>
      <c r="HVU144" s="72"/>
      <c r="HVV144" s="72"/>
      <c r="HVW144" s="72"/>
      <c r="HVX144" s="72"/>
      <c r="HVY144" s="72"/>
      <c r="HVZ144" s="72"/>
      <c r="HWA144" s="72"/>
      <c r="HWB144" s="72"/>
      <c r="HWC144" s="72"/>
      <c r="HWD144" s="72"/>
      <c r="HWE144" s="72"/>
      <c r="HWF144" s="72"/>
      <c r="HWG144" s="72"/>
      <c r="HWH144" s="72"/>
      <c r="HWI144" s="72"/>
      <c r="HWJ144" s="72"/>
      <c r="HWK144" s="72"/>
      <c r="HWL144" s="72"/>
      <c r="HWM144" s="72"/>
      <c r="HWN144" s="72"/>
      <c r="HWO144" s="72"/>
      <c r="HWP144" s="72"/>
      <c r="HWQ144" s="72"/>
      <c r="HWR144" s="72"/>
      <c r="HWS144" s="72"/>
      <c r="HWT144" s="72"/>
      <c r="HWU144" s="72"/>
      <c r="HWV144" s="72"/>
      <c r="HWW144" s="72"/>
      <c r="HWX144" s="72"/>
      <c r="HWY144" s="72"/>
      <c r="HWZ144" s="72"/>
      <c r="HXA144" s="72"/>
      <c r="HXB144" s="72"/>
      <c r="HXC144" s="72"/>
      <c r="HXD144" s="72"/>
      <c r="HXE144" s="72"/>
      <c r="HXF144" s="72"/>
      <c r="HXG144" s="72"/>
      <c r="HXH144" s="72"/>
      <c r="HXI144" s="72"/>
      <c r="HXJ144" s="72"/>
      <c r="HXK144" s="72"/>
      <c r="HXL144" s="72"/>
      <c r="HXM144" s="72"/>
      <c r="HXN144" s="72"/>
      <c r="HXO144" s="72"/>
      <c r="HXP144" s="72"/>
      <c r="HXQ144" s="72"/>
      <c r="HXR144" s="72"/>
      <c r="HXS144" s="72"/>
      <c r="HXT144" s="72"/>
      <c r="HXU144" s="72"/>
      <c r="HXV144" s="72"/>
      <c r="HXW144" s="72"/>
      <c r="HXX144" s="72"/>
      <c r="HXY144" s="72"/>
      <c r="HXZ144" s="72"/>
      <c r="HYA144" s="72"/>
      <c r="HYB144" s="72"/>
      <c r="HYC144" s="72"/>
      <c r="HYD144" s="72"/>
      <c r="HYE144" s="72"/>
      <c r="HYF144" s="72"/>
      <c r="HYG144" s="72"/>
      <c r="HYH144" s="72"/>
      <c r="HYI144" s="72"/>
      <c r="HYJ144" s="72"/>
      <c r="HYK144" s="72"/>
      <c r="HYL144" s="72"/>
      <c r="HYM144" s="72"/>
      <c r="HYN144" s="72"/>
      <c r="HYO144" s="72"/>
      <c r="HYP144" s="72"/>
      <c r="HYQ144" s="72"/>
      <c r="HYR144" s="72"/>
      <c r="HYS144" s="72"/>
      <c r="HYT144" s="72"/>
      <c r="HYU144" s="72"/>
      <c r="HYV144" s="72"/>
      <c r="HYW144" s="72"/>
      <c r="HYX144" s="72"/>
      <c r="HYY144" s="72"/>
      <c r="HYZ144" s="72"/>
      <c r="HZA144" s="72"/>
      <c r="HZB144" s="72"/>
      <c r="HZC144" s="72"/>
      <c r="HZD144" s="72"/>
      <c r="HZE144" s="72"/>
      <c r="HZF144" s="72"/>
      <c r="HZG144" s="72"/>
      <c r="HZH144" s="72"/>
      <c r="HZI144" s="72"/>
      <c r="HZJ144" s="72"/>
      <c r="HZK144" s="72"/>
      <c r="HZL144" s="72"/>
      <c r="HZM144" s="72"/>
      <c r="HZN144" s="72"/>
      <c r="HZO144" s="72"/>
      <c r="HZP144" s="72"/>
      <c r="HZQ144" s="72"/>
      <c r="HZR144" s="72"/>
      <c r="HZS144" s="72"/>
      <c r="HZT144" s="72"/>
      <c r="HZU144" s="72"/>
      <c r="HZV144" s="72"/>
      <c r="HZW144" s="72"/>
      <c r="HZX144" s="72"/>
      <c r="HZY144" s="72"/>
      <c r="HZZ144" s="72"/>
      <c r="IAA144" s="72"/>
      <c r="IAB144" s="72"/>
      <c r="IAC144" s="72"/>
      <c r="IAD144" s="72"/>
      <c r="IAE144" s="72"/>
      <c r="IAF144" s="72"/>
      <c r="IAG144" s="72"/>
      <c r="IAH144" s="72"/>
      <c r="IAI144" s="72"/>
      <c r="IAJ144" s="72"/>
      <c r="IAK144" s="72"/>
      <c r="IAL144" s="72"/>
      <c r="IAM144" s="72"/>
      <c r="IAN144" s="72"/>
      <c r="IAO144" s="72"/>
      <c r="IAP144" s="72"/>
      <c r="IAQ144" s="72"/>
      <c r="IAR144" s="72"/>
      <c r="IAS144" s="72"/>
      <c r="IAT144" s="72"/>
      <c r="IAU144" s="72"/>
      <c r="IAV144" s="72"/>
      <c r="IAW144" s="72"/>
      <c r="IAX144" s="72"/>
      <c r="IAY144" s="72"/>
      <c r="IAZ144" s="72"/>
      <c r="IBA144" s="72"/>
      <c r="IBB144" s="72"/>
      <c r="IBC144" s="72"/>
      <c r="IBD144" s="72"/>
      <c r="IBE144" s="72"/>
      <c r="IBF144" s="72"/>
      <c r="IBG144" s="72"/>
      <c r="IBH144" s="72"/>
      <c r="IBI144" s="72"/>
      <c r="IBJ144" s="72"/>
      <c r="IBK144" s="72"/>
      <c r="IBL144" s="72"/>
      <c r="IBM144" s="72"/>
      <c r="IBN144" s="72"/>
      <c r="IBO144" s="72"/>
      <c r="IBP144" s="72"/>
      <c r="IBQ144" s="72"/>
      <c r="IBR144" s="72"/>
      <c r="IBS144" s="72"/>
      <c r="IBT144" s="72"/>
      <c r="IBU144" s="72"/>
      <c r="IBV144" s="72"/>
      <c r="IBW144" s="72"/>
      <c r="IBX144" s="72"/>
      <c r="IBY144" s="72"/>
      <c r="IBZ144" s="72"/>
      <c r="ICA144" s="72"/>
      <c r="ICB144" s="72"/>
      <c r="ICC144" s="72"/>
      <c r="ICD144" s="72"/>
      <c r="ICE144" s="72"/>
      <c r="ICF144" s="72"/>
      <c r="ICG144" s="72"/>
      <c r="ICH144" s="72"/>
      <c r="ICI144" s="72"/>
      <c r="ICJ144" s="72"/>
      <c r="ICK144" s="72"/>
      <c r="ICL144" s="72"/>
      <c r="ICM144" s="72"/>
      <c r="ICN144" s="72"/>
      <c r="ICO144" s="72"/>
      <c r="ICP144" s="72"/>
      <c r="ICQ144" s="72"/>
      <c r="ICR144" s="72"/>
      <c r="ICS144" s="72"/>
      <c r="ICT144" s="72"/>
      <c r="ICU144" s="72"/>
      <c r="ICV144" s="72"/>
      <c r="ICW144" s="72"/>
      <c r="ICX144" s="72"/>
      <c r="ICY144" s="72"/>
      <c r="ICZ144" s="72"/>
      <c r="IDA144" s="72"/>
      <c r="IDB144" s="72"/>
      <c r="IDC144" s="72"/>
      <c r="IDD144" s="72"/>
      <c r="IDE144" s="72"/>
      <c r="IDF144" s="72"/>
      <c r="IDG144" s="72"/>
      <c r="IDH144" s="72"/>
      <c r="IDI144" s="72"/>
      <c r="IDJ144" s="72"/>
      <c r="IDK144" s="72"/>
      <c r="IDL144" s="72"/>
      <c r="IDM144" s="72"/>
      <c r="IDN144" s="72"/>
      <c r="IDO144" s="72"/>
      <c r="IDP144" s="72"/>
      <c r="IDQ144" s="72"/>
      <c r="IDR144" s="72"/>
      <c r="IDS144" s="72"/>
      <c r="IDT144" s="72"/>
      <c r="IDU144" s="72"/>
      <c r="IDV144" s="72"/>
      <c r="IDW144" s="72"/>
      <c r="IDX144" s="72"/>
      <c r="IDY144" s="72"/>
      <c r="IDZ144" s="72"/>
      <c r="IEA144" s="72"/>
      <c r="IEB144" s="72"/>
      <c r="IEC144" s="72"/>
      <c r="IED144" s="72"/>
      <c r="IEE144" s="72"/>
      <c r="IEF144" s="72"/>
      <c r="IEG144" s="72"/>
      <c r="IEH144" s="72"/>
      <c r="IEI144" s="72"/>
      <c r="IEJ144" s="72"/>
      <c r="IEK144" s="72"/>
      <c r="IEL144" s="72"/>
      <c r="IEM144" s="72"/>
      <c r="IEN144" s="72"/>
      <c r="IEO144" s="72"/>
      <c r="IEP144" s="72"/>
      <c r="IEQ144" s="72"/>
      <c r="IER144" s="72"/>
      <c r="IES144" s="72"/>
      <c r="IET144" s="72"/>
      <c r="IEU144" s="72"/>
      <c r="IEV144" s="72"/>
      <c r="IEW144" s="72"/>
      <c r="IEX144" s="72"/>
      <c r="IEY144" s="72"/>
      <c r="IEZ144" s="72"/>
      <c r="IFA144" s="72"/>
      <c r="IFB144" s="72"/>
      <c r="IFC144" s="72"/>
      <c r="IFD144" s="72"/>
      <c r="IFE144" s="72"/>
      <c r="IFF144" s="72"/>
      <c r="IFG144" s="72"/>
      <c r="IFH144" s="72"/>
      <c r="IFI144" s="72"/>
      <c r="IFJ144" s="72"/>
      <c r="IFK144" s="72"/>
      <c r="IFL144" s="72"/>
      <c r="IFM144" s="72"/>
      <c r="IFN144" s="72"/>
      <c r="IFO144" s="72"/>
      <c r="IFP144" s="72"/>
      <c r="IFQ144" s="72"/>
      <c r="IFR144" s="72"/>
      <c r="IFS144" s="72"/>
      <c r="IFT144" s="72"/>
      <c r="IFU144" s="72"/>
      <c r="IFV144" s="72"/>
      <c r="IFW144" s="72"/>
      <c r="IFX144" s="72"/>
      <c r="IFY144" s="72"/>
      <c r="IFZ144" s="72"/>
      <c r="IGA144" s="72"/>
      <c r="IGB144" s="72"/>
      <c r="IGC144" s="72"/>
      <c r="IGD144" s="72"/>
      <c r="IGE144" s="72"/>
      <c r="IGF144" s="72"/>
      <c r="IGG144" s="72"/>
      <c r="IGH144" s="72"/>
      <c r="IGI144" s="72"/>
      <c r="IGJ144" s="72"/>
      <c r="IGK144" s="72"/>
      <c r="IGL144" s="72"/>
      <c r="IGM144" s="72"/>
      <c r="IGN144" s="72"/>
      <c r="IGO144" s="72"/>
      <c r="IGP144" s="72"/>
      <c r="IGQ144" s="72"/>
      <c r="IGR144" s="72"/>
      <c r="IGS144" s="72"/>
      <c r="IGT144" s="72"/>
      <c r="IGU144" s="72"/>
      <c r="IGV144" s="72"/>
      <c r="IGW144" s="72"/>
      <c r="IGX144" s="72"/>
      <c r="IGY144" s="72"/>
      <c r="IGZ144" s="72"/>
      <c r="IHA144" s="72"/>
      <c r="IHB144" s="72"/>
      <c r="IHC144" s="72"/>
      <c r="IHD144" s="72"/>
      <c r="IHE144" s="72"/>
      <c r="IHF144" s="72"/>
      <c r="IHG144" s="72"/>
      <c r="IHH144" s="72"/>
      <c r="IHI144" s="72"/>
      <c r="IHJ144" s="72"/>
      <c r="IHK144" s="72"/>
      <c r="IHL144" s="72"/>
      <c r="IHM144" s="72"/>
      <c r="IHN144" s="72"/>
      <c r="IHO144" s="72"/>
      <c r="IHP144" s="72"/>
      <c r="IHQ144" s="72"/>
      <c r="IHR144" s="72"/>
      <c r="IHS144" s="72"/>
      <c r="IHT144" s="72"/>
      <c r="IHU144" s="72"/>
      <c r="IHV144" s="72"/>
      <c r="IHW144" s="72"/>
      <c r="IHX144" s="72"/>
      <c r="IHY144" s="72"/>
      <c r="IHZ144" s="72"/>
      <c r="IIA144" s="72"/>
      <c r="IIB144" s="72"/>
      <c r="IIC144" s="72"/>
      <c r="IID144" s="72"/>
      <c r="IIE144" s="72"/>
      <c r="IIF144" s="72"/>
      <c r="IIG144" s="72"/>
      <c r="IIH144" s="72"/>
      <c r="III144" s="72"/>
      <c r="IIJ144" s="72"/>
      <c r="IIK144" s="72"/>
      <c r="IIL144" s="72"/>
      <c r="IIM144" s="72"/>
      <c r="IIN144" s="72"/>
      <c r="IIO144" s="72"/>
      <c r="IIP144" s="72"/>
      <c r="IIQ144" s="72"/>
      <c r="IIR144" s="72"/>
      <c r="IIS144" s="72"/>
      <c r="IIT144" s="72"/>
      <c r="IIU144" s="72"/>
      <c r="IIV144" s="72"/>
      <c r="IIW144" s="72"/>
      <c r="IIX144" s="72"/>
      <c r="IIY144" s="72"/>
      <c r="IIZ144" s="72"/>
      <c r="IJA144" s="72"/>
      <c r="IJB144" s="72"/>
      <c r="IJC144" s="72"/>
      <c r="IJD144" s="72"/>
      <c r="IJE144" s="72"/>
      <c r="IJF144" s="72"/>
      <c r="IJG144" s="72"/>
      <c r="IJH144" s="72"/>
      <c r="IJI144" s="72"/>
      <c r="IJJ144" s="72"/>
      <c r="IJK144" s="72"/>
      <c r="IJL144" s="72"/>
      <c r="IJM144" s="72"/>
      <c r="IJN144" s="72"/>
      <c r="IJO144" s="72"/>
      <c r="IJP144" s="72"/>
      <c r="IJQ144" s="72"/>
      <c r="IJR144" s="72"/>
      <c r="IJS144" s="72"/>
      <c r="IJT144" s="72"/>
      <c r="IJU144" s="72"/>
      <c r="IJV144" s="72"/>
      <c r="IJW144" s="72"/>
      <c r="IJX144" s="72"/>
      <c r="IJY144" s="72"/>
      <c r="IJZ144" s="72"/>
      <c r="IKA144" s="72"/>
      <c r="IKB144" s="72"/>
      <c r="IKC144" s="72"/>
      <c r="IKD144" s="72"/>
      <c r="IKE144" s="72"/>
      <c r="IKF144" s="72"/>
      <c r="IKG144" s="72"/>
      <c r="IKH144" s="72"/>
      <c r="IKI144" s="72"/>
      <c r="IKJ144" s="72"/>
      <c r="IKK144" s="72"/>
      <c r="IKL144" s="72"/>
      <c r="IKM144" s="72"/>
      <c r="IKN144" s="72"/>
      <c r="IKO144" s="72"/>
      <c r="IKP144" s="72"/>
      <c r="IKQ144" s="72"/>
      <c r="IKR144" s="72"/>
      <c r="IKS144" s="72"/>
      <c r="IKT144" s="72"/>
      <c r="IKU144" s="72"/>
      <c r="IKV144" s="72"/>
      <c r="IKW144" s="72"/>
      <c r="IKX144" s="72"/>
      <c r="IKY144" s="72"/>
      <c r="IKZ144" s="72"/>
      <c r="ILA144" s="72"/>
      <c r="ILB144" s="72"/>
      <c r="ILC144" s="72"/>
      <c r="ILD144" s="72"/>
      <c r="ILE144" s="72"/>
      <c r="ILF144" s="72"/>
      <c r="ILG144" s="72"/>
      <c r="ILH144" s="72"/>
      <c r="ILI144" s="72"/>
      <c r="ILJ144" s="72"/>
      <c r="ILK144" s="72"/>
      <c r="ILL144" s="72"/>
      <c r="ILM144" s="72"/>
      <c r="ILN144" s="72"/>
      <c r="ILO144" s="72"/>
      <c r="ILP144" s="72"/>
      <c r="ILQ144" s="72"/>
      <c r="ILR144" s="72"/>
      <c r="ILS144" s="72"/>
      <c r="ILT144" s="72"/>
      <c r="ILU144" s="72"/>
      <c r="ILV144" s="72"/>
      <c r="ILW144" s="72"/>
      <c r="ILX144" s="72"/>
      <c r="ILY144" s="72"/>
      <c r="ILZ144" s="72"/>
      <c r="IMA144" s="72"/>
      <c r="IMB144" s="72"/>
      <c r="IMC144" s="72"/>
      <c r="IMD144" s="72"/>
      <c r="IME144" s="72"/>
      <c r="IMF144" s="72"/>
      <c r="IMG144" s="72"/>
      <c r="IMH144" s="72"/>
      <c r="IMI144" s="72"/>
      <c r="IMJ144" s="72"/>
      <c r="IMK144" s="72"/>
      <c r="IML144" s="72"/>
      <c r="IMM144" s="72"/>
      <c r="IMN144" s="72"/>
      <c r="IMO144" s="72"/>
      <c r="IMP144" s="72"/>
      <c r="IMQ144" s="72"/>
      <c r="IMR144" s="72"/>
      <c r="IMS144" s="72"/>
      <c r="IMT144" s="72"/>
      <c r="IMU144" s="72"/>
      <c r="IMV144" s="72"/>
      <c r="IMW144" s="72"/>
      <c r="IMX144" s="72"/>
      <c r="IMY144" s="72"/>
      <c r="IMZ144" s="72"/>
      <c r="INA144" s="72"/>
      <c r="INB144" s="72"/>
      <c r="INC144" s="72"/>
      <c r="IND144" s="72"/>
      <c r="INE144" s="72"/>
      <c r="INF144" s="72"/>
      <c r="ING144" s="72"/>
      <c r="INH144" s="72"/>
      <c r="INI144" s="72"/>
      <c r="INJ144" s="72"/>
      <c r="INK144" s="72"/>
      <c r="INL144" s="72"/>
      <c r="INM144" s="72"/>
      <c r="INN144" s="72"/>
      <c r="INO144" s="72"/>
      <c r="INP144" s="72"/>
      <c r="INQ144" s="72"/>
      <c r="INR144" s="72"/>
      <c r="INS144" s="72"/>
      <c r="INT144" s="72"/>
      <c r="INU144" s="72"/>
      <c r="INV144" s="72"/>
      <c r="INW144" s="72"/>
      <c r="INX144" s="72"/>
      <c r="INY144" s="72"/>
      <c r="INZ144" s="72"/>
      <c r="IOA144" s="72"/>
      <c r="IOB144" s="72"/>
      <c r="IOC144" s="72"/>
      <c r="IOD144" s="72"/>
      <c r="IOE144" s="72"/>
      <c r="IOF144" s="72"/>
      <c r="IOG144" s="72"/>
      <c r="IOH144" s="72"/>
      <c r="IOI144" s="72"/>
      <c r="IOJ144" s="72"/>
      <c r="IOK144" s="72"/>
      <c r="IOL144" s="72"/>
      <c r="IOM144" s="72"/>
      <c r="ION144" s="72"/>
      <c r="IOO144" s="72"/>
      <c r="IOP144" s="72"/>
      <c r="IOQ144" s="72"/>
      <c r="IOR144" s="72"/>
      <c r="IOS144" s="72"/>
      <c r="IOT144" s="72"/>
      <c r="IOU144" s="72"/>
      <c r="IOV144" s="72"/>
      <c r="IOW144" s="72"/>
      <c r="IOX144" s="72"/>
      <c r="IOY144" s="72"/>
      <c r="IOZ144" s="72"/>
      <c r="IPA144" s="72"/>
      <c r="IPB144" s="72"/>
      <c r="IPC144" s="72"/>
      <c r="IPD144" s="72"/>
      <c r="IPE144" s="72"/>
      <c r="IPF144" s="72"/>
      <c r="IPG144" s="72"/>
      <c r="IPH144" s="72"/>
      <c r="IPI144" s="72"/>
      <c r="IPJ144" s="72"/>
      <c r="IPK144" s="72"/>
      <c r="IPL144" s="72"/>
      <c r="IPM144" s="72"/>
      <c r="IPN144" s="72"/>
      <c r="IPO144" s="72"/>
      <c r="IPP144" s="72"/>
      <c r="IPQ144" s="72"/>
      <c r="IPR144" s="72"/>
      <c r="IPS144" s="72"/>
      <c r="IPT144" s="72"/>
      <c r="IPU144" s="72"/>
      <c r="IPV144" s="72"/>
      <c r="IPW144" s="72"/>
      <c r="IPX144" s="72"/>
      <c r="IPY144" s="72"/>
      <c r="IPZ144" s="72"/>
      <c r="IQA144" s="72"/>
      <c r="IQB144" s="72"/>
      <c r="IQC144" s="72"/>
      <c r="IQD144" s="72"/>
      <c r="IQE144" s="72"/>
      <c r="IQF144" s="72"/>
      <c r="IQG144" s="72"/>
      <c r="IQH144" s="72"/>
      <c r="IQI144" s="72"/>
      <c r="IQJ144" s="72"/>
      <c r="IQK144" s="72"/>
      <c r="IQL144" s="72"/>
      <c r="IQM144" s="72"/>
      <c r="IQN144" s="72"/>
      <c r="IQO144" s="72"/>
      <c r="IQP144" s="72"/>
      <c r="IQQ144" s="72"/>
      <c r="IQR144" s="72"/>
      <c r="IQS144" s="72"/>
      <c r="IQT144" s="72"/>
      <c r="IQU144" s="72"/>
      <c r="IQV144" s="72"/>
      <c r="IQW144" s="72"/>
      <c r="IQX144" s="72"/>
      <c r="IQY144" s="72"/>
      <c r="IQZ144" s="72"/>
      <c r="IRA144" s="72"/>
      <c r="IRB144" s="72"/>
      <c r="IRC144" s="72"/>
      <c r="IRD144" s="72"/>
      <c r="IRE144" s="72"/>
      <c r="IRF144" s="72"/>
      <c r="IRG144" s="72"/>
      <c r="IRH144" s="72"/>
      <c r="IRI144" s="72"/>
      <c r="IRJ144" s="72"/>
      <c r="IRK144" s="72"/>
      <c r="IRL144" s="72"/>
      <c r="IRM144" s="72"/>
      <c r="IRN144" s="72"/>
      <c r="IRO144" s="72"/>
      <c r="IRP144" s="72"/>
      <c r="IRQ144" s="72"/>
      <c r="IRR144" s="72"/>
      <c r="IRS144" s="72"/>
      <c r="IRT144" s="72"/>
      <c r="IRU144" s="72"/>
      <c r="IRV144" s="72"/>
      <c r="IRW144" s="72"/>
      <c r="IRX144" s="72"/>
      <c r="IRY144" s="72"/>
      <c r="IRZ144" s="72"/>
      <c r="ISA144" s="72"/>
      <c r="ISB144" s="72"/>
      <c r="ISC144" s="72"/>
      <c r="ISD144" s="72"/>
      <c r="ISE144" s="72"/>
      <c r="ISF144" s="72"/>
      <c r="ISG144" s="72"/>
      <c r="ISH144" s="72"/>
      <c r="ISI144" s="72"/>
      <c r="ISJ144" s="72"/>
      <c r="ISK144" s="72"/>
      <c r="ISL144" s="72"/>
      <c r="ISM144" s="72"/>
      <c r="ISN144" s="72"/>
      <c r="ISO144" s="72"/>
      <c r="ISP144" s="72"/>
      <c r="ISQ144" s="72"/>
      <c r="ISR144" s="72"/>
      <c r="ISS144" s="72"/>
      <c r="IST144" s="72"/>
      <c r="ISU144" s="72"/>
      <c r="ISV144" s="72"/>
      <c r="ISW144" s="72"/>
      <c r="ISX144" s="72"/>
      <c r="ISY144" s="72"/>
      <c r="ISZ144" s="72"/>
      <c r="ITA144" s="72"/>
      <c r="ITB144" s="72"/>
      <c r="ITC144" s="72"/>
      <c r="ITD144" s="72"/>
      <c r="ITE144" s="72"/>
      <c r="ITF144" s="72"/>
      <c r="ITG144" s="72"/>
      <c r="ITH144" s="72"/>
      <c r="ITI144" s="72"/>
      <c r="ITJ144" s="72"/>
      <c r="ITK144" s="72"/>
      <c r="ITL144" s="72"/>
      <c r="ITM144" s="72"/>
      <c r="ITN144" s="72"/>
      <c r="ITO144" s="72"/>
      <c r="ITP144" s="72"/>
      <c r="ITQ144" s="72"/>
      <c r="ITR144" s="72"/>
      <c r="ITS144" s="72"/>
      <c r="ITT144" s="72"/>
      <c r="ITU144" s="72"/>
      <c r="ITV144" s="72"/>
      <c r="ITW144" s="72"/>
      <c r="ITX144" s="72"/>
      <c r="ITY144" s="72"/>
      <c r="ITZ144" s="72"/>
      <c r="IUA144" s="72"/>
      <c r="IUB144" s="72"/>
      <c r="IUC144" s="72"/>
      <c r="IUD144" s="72"/>
      <c r="IUE144" s="72"/>
      <c r="IUF144" s="72"/>
      <c r="IUG144" s="72"/>
      <c r="IUH144" s="72"/>
      <c r="IUI144" s="72"/>
      <c r="IUJ144" s="72"/>
      <c r="IUK144" s="72"/>
      <c r="IUL144" s="72"/>
      <c r="IUM144" s="72"/>
      <c r="IUN144" s="72"/>
      <c r="IUO144" s="72"/>
      <c r="IUP144" s="72"/>
      <c r="IUQ144" s="72"/>
      <c r="IUR144" s="72"/>
      <c r="IUS144" s="72"/>
      <c r="IUT144" s="72"/>
      <c r="IUU144" s="72"/>
      <c r="IUV144" s="72"/>
      <c r="IUW144" s="72"/>
      <c r="IUX144" s="72"/>
      <c r="IUY144" s="72"/>
      <c r="IUZ144" s="72"/>
      <c r="IVA144" s="72"/>
      <c r="IVB144" s="72"/>
      <c r="IVC144" s="72"/>
      <c r="IVD144" s="72"/>
      <c r="IVE144" s="72"/>
      <c r="IVF144" s="72"/>
      <c r="IVG144" s="72"/>
      <c r="IVH144" s="72"/>
      <c r="IVI144" s="72"/>
      <c r="IVJ144" s="72"/>
      <c r="IVK144" s="72"/>
      <c r="IVL144" s="72"/>
      <c r="IVM144" s="72"/>
      <c r="IVN144" s="72"/>
      <c r="IVO144" s="72"/>
      <c r="IVP144" s="72"/>
      <c r="IVQ144" s="72"/>
      <c r="IVR144" s="72"/>
      <c r="IVS144" s="72"/>
      <c r="IVT144" s="72"/>
      <c r="IVU144" s="72"/>
      <c r="IVV144" s="72"/>
      <c r="IVW144" s="72"/>
      <c r="IVX144" s="72"/>
      <c r="IVY144" s="72"/>
      <c r="IVZ144" s="72"/>
      <c r="IWA144" s="72"/>
      <c r="IWB144" s="72"/>
      <c r="IWC144" s="72"/>
      <c r="IWD144" s="72"/>
      <c r="IWE144" s="72"/>
      <c r="IWF144" s="72"/>
      <c r="IWG144" s="72"/>
      <c r="IWH144" s="72"/>
      <c r="IWI144" s="72"/>
      <c r="IWJ144" s="72"/>
      <c r="IWK144" s="72"/>
      <c r="IWL144" s="72"/>
      <c r="IWM144" s="72"/>
      <c r="IWN144" s="72"/>
      <c r="IWO144" s="72"/>
      <c r="IWP144" s="72"/>
      <c r="IWQ144" s="72"/>
      <c r="IWR144" s="72"/>
      <c r="IWS144" s="72"/>
      <c r="IWT144" s="72"/>
      <c r="IWU144" s="72"/>
      <c r="IWV144" s="72"/>
      <c r="IWW144" s="72"/>
      <c r="IWX144" s="72"/>
      <c r="IWY144" s="72"/>
      <c r="IWZ144" s="72"/>
      <c r="IXA144" s="72"/>
      <c r="IXB144" s="72"/>
      <c r="IXC144" s="72"/>
      <c r="IXD144" s="72"/>
      <c r="IXE144" s="72"/>
      <c r="IXF144" s="72"/>
      <c r="IXG144" s="72"/>
      <c r="IXH144" s="72"/>
      <c r="IXI144" s="72"/>
      <c r="IXJ144" s="72"/>
      <c r="IXK144" s="72"/>
      <c r="IXL144" s="72"/>
      <c r="IXM144" s="72"/>
      <c r="IXN144" s="72"/>
      <c r="IXO144" s="72"/>
      <c r="IXP144" s="72"/>
      <c r="IXQ144" s="72"/>
      <c r="IXR144" s="72"/>
      <c r="IXS144" s="72"/>
      <c r="IXT144" s="72"/>
      <c r="IXU144" s="72"/>
      <c r="IXV144" s="72"/>
      <c r="IXW144" s="72"/>
      <c r="IXX144" s="72"/>
      <c r="IXY144" s="72"/>
      <c r="IXZ144" s="72"/>
      <c r="IYA144" s="72"/>
      <c r="IYB144" s="72"/>
      <c r="IYC144" s="72"/>
      <c r="IYD144" s="72"/>
      <c r="IYE144" s="72"/>
      <c r="IYF144" s="72"/>
      <c r="IYG144" s="72"/>
      <c r="IYH144" s="72"/>
      <c r="IYI144" s="72"/>
      <c r="IYJ144" s="72"/>
      <c r="IYK144" s="72"/>
      <c r="IYL144" s="72"/>
      <c r="IYM144" s="72"/>
      <c r="IYN144" s="72"/>
      <c r="IYO144" s="72"/>
      <c r="IYP144" s="72"/>
      <c r="IYQ144" s="72"/>
      <c r="IYR144" s="72"/>
      <c r="IYS144" s="72"/>
      <c r="IYT144" s="72"/>
      <c r="IYU144" s="72"/>
      <c r="IYV144" s="72"/>
      <c r="IYW144" s="72"/>
      <c r="IYX144" s="72"/>
      <c r="IYY144" s="72"/>
      <c r="IYZ144" s="72"/>
      <c r="IZA144" s="72"/>
      <c r="IZB144" s="72"/>
      <c r="IZC144" s="72"/>
      <c r="IZD144" s="72"/>
      <c r="IZE144" s="72"/>
      <c r="IZF144" s="72"/>
      <c r="IZG144" s="72"/>
      <c r="IZH144" s="72"/>
      <c r="IZI144" s="72"/>
      <c r="IZJ144" s="72"/>
      <c r="IZK144" s="72"/>
      <c r="IZL144" s="72"/>
      <c r="IZM144" s="72"/>
      <c r="IZN144" s="72"/>
      <c r="IZO144" s="72"/>
      <c r="IZP144" s="72"/>
      <c r="IZQ144" s="72"/>
      <c r="IZR144" s="72"/>
      <c r="IZS144" s="72"/>
      <c r="IZT144" s="72"/>
      <c r="IZU144" s="72"/>
      <c r="IZV144" s="72"/>
      <c r="IZW144" s="72"/>
      <c r="IZX144" s="72"/>
      <c r="IZY144" s="72"/>
      <c r="IZZ144" s="72"/>
      <c r="JAA144" s="72"/>
      <c r="JAB144" s="72"/>
      <c r="JAC144" s="72"/>
      <c r="JAD144" s="72"/>
      <c r="JAE144" s="72"/>
      <c r="JAF144" s="72"/>
      <c r="JAG144" s="72"/>
      <c r="JAH144" s="72"/>
      <c r="JAI144" s="72"/>
      <c r="JAJ144" s="72"/>
      <c r="JAK144" s="72"/>
      <c r="JAL144" s="72"/>
      <c r="JAM144" s="72"/>
      <c r="JAN144" s="72"/>
      <c r="JAO144" s="72"/>
      <c r="JAP144" s="72"/>
      <c r="JAQ144" s="72"/>
      <c r="JAR144" s="72"/>
      <c r="JAS144" s="72"/>
      <c r="JAT144" s="72"/>
      <c r="JAU144" s="72"/>
      <c r="JAV144" s="72"/>
      <c r="JAW144" s="72"/>
      <c r="JAX144" s="72"/>
      <c r="JAY144" s="72"/>
      <c r="JAZ144" s="72"/>
      <c r="JBA144" s="72"/>
      <c r="JBB144" s="72"/>
      <c r="JBC144" s="72"/>
      <c r="JBD144" s="72"/>
      <c r="JBE144" s="72"/>
      <c r="JBF144" s="72"/>
      <c r="JBG144" s="72"/>
      <c r="JBH144" s="72"/>
      <c r="JBI144" s="72"/>
      <c r="JBJ144" s="72"/>
      <c r="JBK144" s="72"/>
      <c r="JBL144" s="72"/>
      <c r="JBM144" s="72"/>
      <c r="JBN144" s="72"/>
      <c r="JBO144" s="72"/>
      <c r="JBP144" s="72"/>
      <c r="JBQ144" s="72"/>
      <c r="JBR144" s="72"/>
      <c r="JBS144" s="72"/>
      <c r="JBT144" s="72"/>
      <c r="JBU144" s="72"/>
      <c r="JBV144" s="72"/>
      <c r="JBW144" s="72"/>
      <c r="JBX144" s="72"/>
      <c r="JBY144" s="72"/>
      <c r="JBZ144" s="72"/>
      <c r="JCA144" s="72"/>
      <c r="JCB144" s="72"/>
      <c r="JCC144" s="72"/>
      <c r="JCD144" s="72"/>
      <c r="JCE144" s="72"/>
      <c r="JCF144" s="72"/>
      <c r="JCG144" s="72"/>
      <c r="JCH144" s="72"/>
      <c r="JCI144" s="72"/>
      <c r="JCJ144" s="72"/>
      <c r="JCK144" s="72"/>
      <c r="JCL144" s="72"/>
      <c r="JCM144" s="72"/>
      <c r="JCN144" s="72"/>
      <c r="JCO144" s="72"/>
      <c r="JCP144" s="72"/>
      <c r="JCQ144" s="72"/>
      <c r="JCR144" s="72"/>
      <c r="JCS144" s="72"/>
      <c r="JCT144" s="72"/>
      <c r="JCU144" s="72"/>
      <c r="JCV144" s="72"/>
      <c r="JCW144" s="72"/>
      <c r="JCX144" s="72"/>
      <c r="JCY144" s="72"/>
      <c r="JCZ144" s="72"/>
      <c r="JDA144" s="72"/>
      <c r="JDB144" s="72"/>
      <c r="JDC144" s="72"/>
      <c r="JDD144" s="72"/>
      <c r="JDE144" s="72"/>
      <c r="JDF144" s="72"/>
      <c r="JDG144" s="72"/>
      <c r="JDH144" s="72"/>
      <c r="JDI144" s="72"/>
      <c r="JDJ144" s="72"/>
      <c r="JDK144" s="72"/>
      <c r="JDL144" s="72"/>
      <c r="JDM144" s="72"/>
      <c r="JDN144" s="72"/>
      <c r="JDO144" s="72"/>
      <c r="JDP144" s="72"/>
      <c r="JDQ144" s="72"/>
      <c r="JDR144" s="72"/>
      <c r="JDS144" s="72"/>
      <c r="JDT144" s="72"/>
      <c r="JDU144" s="72"/>
      <c r="JDV144" s="72"/>
      <c r="JDW144" s="72"/>
      <c r="JDX144" s="72"/>
      <c r="JDY144" s="72"/>
      <c r="JDZ144" s="72"/>
      <c r="JEA144" s="72"/>
      <c r="JEB144" s="72"/>
      <c r="JEC144" s="72"/>
      <c r="JED144" s="72"/>
      <c r="JEE144" s="72"/>
      <c r="JEF144" s="72"/>
      <c r="JEG144" s="72"/>
      <c r="JEH144" s="72"/>
      <c r="JEI144" s="72"/>
      <c r="JEJ144" s="72"/>
      <c r="JEK144" s="72"/>
      <c r="JEL144" s="72"/>
      <c r="JEM144" s="72"/>
      <c r="JEN144" s="72"/>
      <c r="JEO144" s="72"/>
      <c r="JEP144" s="72"/>
      <c r="JEQ144" s="72"/>
      <c r="JER144" s="72"/>
      <c r="JES144" s="72"/>
      <c r="JET144" s="72"/>
      <c r="JEU144" s="72"/>
      <c r="JEV144" s="72"/>
      <c r="JEW144" s="72"/>
      <c r="JEX144" s="72"/>
      <c r="JEY144" s="72"/>
      <c r="JEZ144" s="72"/>
      <c r="JFA144" s="72"/>
      <c r="JFB144" s="72"/>
      <c r="JFC144" s="72"/>
      <c r="JFD144" s="72"/>
      <c r="JFE144" s="72"/>
      <c r="JFF144" s="72"/>
      <c r="JFG144" s="72"/>
      <c r="JFH144" s="72"/>
      <c r="JFI144" s="72"/>
      <c r="JFJ144" s="72"/>
      <c r="JFK144" s="72"/>
      <c r="JFL144" s="72"/>
      <c r="JFM144" s="72"/>
      <c r="JFN144" s="72"/>
      <c r="JFO144" s="72"/>
      <c r="JFP144" s="72"/>
      <c r="JFQ144" s="72"/>
      <c r="JFR144" s="72"/>
      <c r="JFS144" s="72"/>
      <c r="JFT144" s="72"/>
      <c r="JFU144" s="72"/>
      <c r="JFV144" s="72"/>
      <c r="JFW144" s="72"/>
      <c r="JFX144" s="72"/>
      <c r="JFY144" s="72"/>
      <c r="JFZ144" s="72"/>
      <c r="JGA144" s="72"/>
      <c r="JGB144" s="72"/>
      <c r="JGC144" s="72"/>
      <c r="JGD144" s="72"/>
      <c r="JGE144" s="72"/>
      <c r="JGF144" s="72"/>
      <c r="JGG144" s="72"/>
      <c r="JGH144" s="72"/>
      <c r="JGI144" s="72"/>
      <c r="JGJ144" s="72"/>
      <c r="JGK144" s="72"/>
      <c r="JGL144" s="72"/>
      <c r="JGM144" s="72"/>
      <c r="JGN144" s="72"/>
      <c r="JGO144" s="72"/>
      <c r="JGP144" s="72"/>
      <c r="JGQ144" s="72"/>
      <c r="JGR144" s="72"/>
      <c r="JGS144" s="72"/>
      <c r="JGT144" s="72"/>
      <c r="JGU144" s="72"/>
      <c r="JGV144" s="72"/>
      <c r="JGW144" s="72"/>
      <c r="JGX144" s="72"/>
      <c r="JGY144" s="72"/>
      <c r="JGZ144" s="72"/>
      <c r="JHA144" s="72"/>
      <c r="JHB144" s="72"/>
      <c r="JHC144" s="72"/>
      <c r="JHD144" s="72"/>
      <c r="JHE144" s="72"/>
      <c r="JHF144" s="72"/>
      <c r="JHG144" s="72"/>
      <c r="JHH144" s="72"/>
      <c r="JHI144" s="72"/>
      <c r="JHJ144" s="72"/>
      <c r="JHK144" s="72"/>
      <c r="JHL144" s="72"/>
      <c r="JHM144" s="72"/>
      <c r="JHN144" s="72"/>
      <c r="JHO144" s="72"/>
      <c r="JHP144" s="72"/>
      <c r="JHQ144" s="72"/>
      <c r="JHR144" s="72"/>
      <c r="JHS144" s="72"/>
      <c r="JHT144" s="72"/>
      <c r="JHU144" s="72"/>
      <c r="JHV144" s="72"/>
      <c r="JHW144" s="72"/>
      <c r="JHX144" s="72"/>
      <c r="JHY144" s="72"/>
      <c r="JHZ144" s="72"/>
      <c r="JIA144" s="72"/>
      <c r="JIB144" s="72"/>
      <c r="JIC144" s="72"/>
      <c r="JID144" s="72"/>
      <c r="JIE144" s="72"/>
      <c r="JIF144" s="72"/>
      <c r="JIG144" s="72"/>
      <c r="JIH144" s="72"/>
      <c r="JII144" s="72"/>
      <c r="JIJ144" s="72"/>
      <c r="JIK144" s="72"/>
      <c r="JIL144" s="72"/>
      <c r="JIM144" s="72"/>
      <c r="JIN144" s="72"/>
      <c r="JIO144" s="72"/>
      <c r="JIP144" s="72"/>
      <c r="JIQ144" s="72"/>
      <c r="JIR144" s="72"/>
      <c r="JIS144" s="72"/>
      <c r="JIT144" s="72"/>
      <c r="JIU144" s="72"/>
      <c r="JIV144" s="72"/>
      <c r="JIW144" s="72"/>
      <c r="JIX144" s="72"/>
      <c r="JIY144" s="72"/>
      <c r="JIZ144" s="72"/>
      <c r="JJA144" s="72"/>
      <c r="JJB144" s="72"/>
      <c r="JJC144" s="72"/>
      <c r="JJD144" s="72"/>
      <c r="JJE144" s="72"/>
      <c r="JJF144" s="72"/>
      <c r="JJG144" s="72"/>
      <c r="JJH144" s="72"/>
      <c r="JJI144" s="72"/>
      <c r="JJJ144" s="72"/>
      <c r="JJK144" s="72"/>
      <c r="JJL144" s="72"/>
      <c r="JJM144" s="72"/>
      <c r="JJN144" s="72"/>
      <c r="JJO144" s="72"/>
      <c r="JJP144" s="72"/>
      <c r="JJQ144" s="72"/>
      <c r="JJR144" s="72"/>
      <c r="JJS144" s="72"/>
      <c r="JJT144" s="72"/>
      <c r="JJU144" s="72"/>
      <c r="JJV144" s="72"/>
      <c r="JJW144" s="72"/>
      <c r="JJX144" s="72"/>
      <c r="JJY144" s="72"/>
      <c r="JJZ144" s="72"/>
      <c r="JKA144" s="72"/>
      <c r="JKB144" s="72"/>
      <c r="JKC144" s="72"/>
      <c r="JKD144" s="72"/>
      <c r="JKE144" s="72"/>
      <c r="JKF144" s="72"/>
      <c r="JKG144" s="72"/>
      <c r="JKH144" s="72"/>
      <c r="JKI144" s="72"/>
      <c r="JKJ144" s="72"/>
      <c r="JKK144" s="72"/>
      <c r="JKL144" s="72"/>
      <c r="JKM144" s="72"/>
      <c r="JKN144" s="72"/>
      <c r="JKO144" s="72"/>
      <c r="JKP144" s="72"/>
      <c r="JKQ144" s="72"/>
      <c r="JKR144" s="72"/>
      <c r="JKS144" s="72"/>
      <c r="JKT144" s="72"/>
      <c r="JKU144" s="72"/>
      <c r="JKV144" s="72"/>
      <c r="JKW144" s="72"/>
      <c r="JKX144" s="72"/>
      <c r="JKY144" s="72"/>
      <c r="JKZ144" s="72"/>
      <c r="JLA144" s="72"/>
      <c r="JLB144" s="72"/>
      <c r="JLC144" s="72"/>
      <c r="JLD144" s="72"/>
      <c r="JLE144" s="72"/>
      <c r="JLF144" s="72"/>
      <c r="JLG144" s="72"/>
      <c r="JLH144" s="72"/>
      <c r="JLI144" s="72"/>
      <c r="JLJ144" s="72"/>
      <c r="JLK144" s="72"/>
      <c r="JLL144" s="72"/>
      <c r="JLM144" s="72"/>
      <c r="JLN144" s="72"/>
      <c r="JLO144" s="72"/>
      <c r="JLP144" s="72"/>
      <c r="JLQ144" s="72"/>
      <c r="JLR144" s="72"/>
      <c r="JLS144" s="72"/>
      <c r="JLT144" s="72"/>
      <c r="JLU144" s="72"/>
      <c r="JLV144" s="72"/>
      <c r="JLW144" s="72"/>
      <c r="JLX144" s="72"/>
      <c r="JLY144" s="72"/>
      <c r="JLZ144" s="72"/>
      <c r="JMA144" s="72"/>
      <c r="JMB144" s="72"/>
      <c r="JMC144" s="72"/>
      <c r="JMD144" s="72"/>
      <c r="JME144" s="72"/>
      <c r="JMF144" s="72"/>
      <c r="JMG144" s="72"/>
      <c r="JMH144" s="72"/>
      <c r="JMI144" s="72"/>
      <c r="JMJ144" s="72"/>
      <c r="JMK144" s="72"/>
      <c r="JML144" s="72"/>
      <c r="JMM144" s="72"/>
      <c r="JMN144" s="72"/>
      <c r="JMO144" s="72"/>
      <c r="JMP144" s="72"/>
      <c r="JMQ144" s="72"/>
      <c r="JMR144" s="72"/>
      <c r="JMS144" s="72"/>
      <c r="JMT144" s="72"/>
      <c r="JMU144" s="72"/>
      <c r="JMV144" s="72"/>
      <c r="JMW144" s="72"/>
      <c r="JMX144" s="72"/>
      <c r="JMY144" s="72"/>
      <c r="JMZ144" s="72"/>
      <c r="JNA144" s="72"/>
      <c r="JNB144" s="72"/>
      <c r="JNC144" s="72"/>
      <c r="JND144" s="72"/>
      <c r="JNE144" s="72"/>
      <c r="JNF144" s="72"/>
      <c r="JNG144" s="72"/>
      <c r="JNH144" s="72"/>
      <c r="JNI144" s="72"/>
      <c r="JNJ144" s="72"/>
      <c r="JNK144" s="72"/>
      <c r="JNL144" s="72"/>
      <c r="JNM144" s="72"/>
      <c r="JNN144" s="72"/>
      <c r="JNO144" s="72"/>
      <c r="JNP144" s="72"/>
      <c r="JNQ144" s="72"/>
      <c r="JNR144" s="72"/>
      <c r="JNS144" s="72"/>
      <c r="JNT144" s="72"/>
      <c r="JNU144" s="72"/>
      <c r="JNV144" s="72"/>
      <c r="JNW144" s="72"/>
      <c r="JNX144" s="72"/>
      <c r="JNY144" s="72"/>
      <c r="JNZ144" s="72"/>
      <c r="JOA144" s="72"/>
      <c r="JOB144" s="72"/>
      <c r="JOC144" s="72"/>
      <c r="JOD144" s="72"/>
      <c r="JOE144" s="72"/>
      <c r="JOF144" s="72"/>
      <c r="JOG144" s="72"/>
      <c r="JOH144" s="72"/>
      <c r="JOI144" s="72"/>
      <c r="JOJ144" s="72"/>
      <c r="JOK144" s="72"/>
      <c r="JOL144" s="72"/>
      <c r="JOM144" s="72"/>
      <c r="JON144" s="72"/>
      <c r="JOO144" s="72"/>
      <c r="JOP144" s="72"/>
      <c r="JOQ144" s="72"/>
      <c r="JOR144" s="72"/>
      <c r="JOS144" s="72"/>
      <c r="JOT144" s="72"/>
      <c r="JOU144" s="72"/>
      <c r="JOV144" s="72"/>
      <c r="JOW144" s="72"/>
      <c r="JOX144" s="72"/>
      <c r="JOY144" s="72"/>
      <c r="JOZ144" s="72"/>
      <c r="JPA144" s="72"/>
      <c r="JPB144" s="72"/>
      <c r="JPC144" s="72"/>
      <c r="JPD144" s="72"/>
      <c r="JPE144" s="72"/>
      <c r="JPF144" s="72"/>
      <c r="JPG144" s="72"/>
      <c r="JPH144" s="72"/>
      <c r="JPI144" s="72"/>
      <c r="JPJ144" s="72"/>
      <c r="JPK144" s="72"/>
      <c r="JPL144" s="72"/>
      <c r="JPM144" s="72"/>
      <c r="JPN144" s="72"/>
      <c r="JPO144" s="72"/>
      <c r="JPP144" s="72"/>
      <c r="JPQ144" s="72"/>
      <c r="JPR144" s="72"/>
      <c r="JPS144" s="72"/>
      <c r="JPT144" s="72"/>
      <c r="JPU144" s="72"/>
      <c r="JPV144" s="72"/>
      <c r="JPW144" s="72"/>
      <c r="JPX144" s="72"/>
      <c r="JPY144" s="72"/>
      <c r="JPZ144" s="72"/>
      <c r="JQA144" s="72"/>
      <c r="JQB144" s="72"/>
      <c r="JQC144" s="72"/>
      <c r="JQD144" s="72"/>
      <c r="JQE144" s="72"/>
      <c r="JQF144" s="72"/>
      <c r="JQG144" s="72"/>
      <c r="JQH144" s="72"/>
      <c r="JQI144" s="72"/>
      <c r="JQJ144" s="72"/>
      <c r="JQK144" s="72"/>
      <c r="JQL144" s="72"/>
      <c r="JQM144" s="72"/>
      <c r="JQN144" s="72"/>
      <c r="JQO144" s="72"/>
      <c r="JQP144" s="72"/>
      <c r="JQQ144" s="72"/>
      <c r="JQR144" s="72"/>
      <c r="JQS144" s="72"/>
      <c r="JQT144" s="72"/>
      <c r="JQU144" s="72"/>
      <c r="JQV144" s="72"/>
      <c r="JQW144" s="72"/>
      <c r="JQX144" s="72"/>
      <c r="JQY144" s="72"/>
      <c r="JQZ144" s="72"/>
      <c r="JRA144" s="72"/>
      <c r="JRB144" s="72"/>
      <c r="JRC144" s="72"/>
      <c r="JRD144" s="72"/>
      <c r="JRE144" s="72"/>
      <c r="JRF144" s="72"/>
      <c r="JRG144" s="72"/>
      <c r="JRH144" s="72"/>
      <c r="JRI144" s="72"/>
      <c r="JRJ144" s="72"/>
      <c r="JRK144" s="72"/>
      <c r="JRL144" s="72"/>
      <c r="JRM144" s="72"/>
      <c r="JRN144" s="72"/>
      <c r="JRO144" s="72"/>
      <c r="JRP144" s="72"/>
      <c r="JRQ144" s="72"/>
      <c r="JRR144" s="72"/>
      <c r="JRS144" s="72"/>
      <c r="JRT144" s="72"/>
      <c r="JRU144" s="72"/>
      <c r="JRV144" s="72"/>
      <c r="JRW144" s="72"/>
      <c r="JRX144" s="72"/>
      <c r="JRY144" s="72"/>
      <c r="JRZ144" s="72"/>
      <c r="JSA144" s="72"/>
      <c r="JSB144" s="72"/>
      <c r="JSC144" s="72"/>
      <c r="JSD144" s="72"/>
      <c r="JSE144" s="72"/>
      <c r="JSF144" s="72"/>
      <c r="JSG144" s="72"/>
      <c r="JSH144" s="72"/>
      <c r="JSI144" s="72"/>
      <c r="JSJ144" s="72"/>
      <c r="JSK144" s="72"/>
      <c r="JSL144" s="72"/>
      <c r="JSM144" s="72"/>
      <c r="JSN144" s="72"/>
      <c r="JSO144" s="72"/>
      <c r="JSP144" s="72"/>
      <c r="JSQ144" s="72"/>
      <c r="JSR144" s="72"/>
      <c r="JSS144" s="72"/>
      <c r="JST144" s="72"/>
      <c r="JSU144" s="72"/>
      <c r="JSV144" s="72"/>
      <c r="JSW144" s="72"/>
      <c r="JSX144" s="72"/>
      <c r="JSY144" s="72"/>
      <c r="JSZ144" s="72"/>
      <c r="JTA144" s="72"/>
      <c r="JTB144" s="72"/>
      <c r="JTC144" s="72"/>
      <c r="JTD144" s="72"/>
      <c r="JTE144" s="72"/>
      <c r="JTF144" s="72"/>
      <c r="JTG144" s="72"/>
      <c r="JTH144" s="72"/>
      <c r="JTI144" s="72"/>
      <c r="JTJ144" s="72"/>
      <c r="JTK144" s="72"/>
      <c r="JTL144" s="72"/>
      <c r="JTM144" s="72"/>
      <c r="JTN144" s="72"/>
      <c r="JTO144" s="72"/>
      <c r="JTP144" s="72"/>
      <c r="JTQ144" s="72"/>
      <c r="JTR144" s="72"/>
      <c r="JTS144" s="72"/>
      <c r="JTT144" s="72"/>
      <c r="JTU144" s="72"/>
      <c r="JTV144" s="72"/>
      <c r="JTW144" s="72"/>
      <c r="JTX144" s="72"/>
      <c r="JTY144" s="72"/>
      <c r="JTZ144" s="72"/>
      <c r="JUA144" s="72"/>
      <c r="JUB144" s="72"/>
      <c r="JUC144" s="72"/>
      <c r="JUD144" s="72"/>
      <c r="JUE144" s="72"/>
      <c r="JUF144" s="72"/>
      <c r="JUG144" s="72"/>
      <c r="JUH144" s="72"/>
      <c r="JUI144" s="72"/>
      <c r="JUJ144" s="72"/>
      <c r="JUK144" s="72"/>
      <c r="JUL144" s="72"/>
      <c r="JUM144" s="72"/>
      <c r="JUN144" s="72"/>
      <c r="JUO144" s="72"/>
      <c r="JUP144" s="72"/>
      <c r="JUQ144" s="72"/>
      <c r="JUR144" s="72"/>
      <c r="JUS144" s="72"/>
      <c r="JUT144" s="72"/>
      <c r="JUU144" s="72"/>
      <c r="JUV144" s="72"/>
      <c r="JUW144" s="72"/>
      <c r="JUX144" s="72"/>
      <c r="JUY144" s="72"/>
      <c r="JUZ144" s="72"/>
      <c r="JVA144" s="72"/>
      <c r="JVB144" s="72"/>
      <c r="JVC144" s="72"/>
      <c r="JVD144" s="72"/>
      <c r="JVE144" s="72"/>
      <c r="JVF144" s="72"/>
      <c r="JVG144" s="72"/>
      <c r="JVH144" s="72"/>
      <c r="JVI144" s="72"/>
      <c r="JVJ144" s="72"/>
      <c r="JVK144" s="72"/>
      <c r="JVL144" s="72"/>
      <c r="JVM144" s="72"/>
      <c r="JVN144" s="72"/>
      <c r="JVO144" s="72"/>
      <c r="JVP144" s="72"/>
      <c r="JVQ144" s="72"/>
      <c r="JVR144" s="72"/>
      <c r="JVS144" s="72"/>
      <c r="JVT144" s="72"/>
      <c r="JVU144" s="72"/>
      <c r="JVV144" s="72"/>
      <c r="JVW144" s="72"/>
      <c r="JVX144" s="72"/>
      <c r="JVY144" s="72"/>
      <c r="JVZ144" s="72"/>
      <c r="JWA144" s="72"/>
      <c r="JWB144" s="72"/>
      <c r="JWC144" s="72"/>
      <c r="JWD144" s="72"/>
      <c r="JWE144" s="72"/>
      <c r="JWF144" s="72"/>
      <c r="JWG144" s="72"/>
      <c r="JWH144" s="72"/>
      <c r="JWI144" s="72"/>
      <c r="JWJ144" s="72"/>
      <c r="JWK144" s="72"/>
      <c r="JWL144" s="72"/>
      <c r="JWM144" s="72"/>
      <c r="JWN144" s="72"/>
      <c r="JWO144" s="72"/>
      <c r="JWP144" s="72"/>
      <c r="JWQ144" s="72"/>
      <c r="JWR144" s="72"/>
      <c r="JWS144" s="72"/>
      <c r="JWT144" s="72"/>
      <c r="JWU144" s="72"/>
      <c r="JWV144" s="72"/>
      <c r="JWW144" s="72"/>
      <c r="JWX144" s="72"/>
      <c r="JWY144" s="72"/>
      <c r="JWZ144" s="72"/>
      <c r="JXA144" s="72"/>
      <c r="JXB144" s="72"/>
      <c r="JXC144" s="72"/>
      <c r="JXD144" s="72"/>
      <c r="JXE144" s="72"/>
      <c r="JXF144" s="72"/>
      <c r="JXG144" s="72"/>
      <c r="JXH144" s="72"/>
      <c r="JXI144" s="72"/>
      <c r="JXJ144" s="72"/>
      <c r="JXK144" s="72"/>
      <c r="JXL144" s="72"/>
      <c r="JXM144" s="72"/>
      <c r="JXN144" s="72"/>
      <c r="JXO144" s="72"/>
      <c r="JXP144" s="72"/>
      <c r="JXQ144" s="72"/>
      <c r="JXR144" s="72"/>
      <c r="JXS144" s="72"/>
      <c r="JXT144" s="72"/>
      <c r="JXU144" s="72"/>
      <c r="JXV144" s="72"/>
      <c r="JXW144" s="72"/>
      <c r="JXX144" s="72"/>
      <c r="JXY144" s="72"/>
      <c r="JXZ144" s="72"/>
      <c r="JYA144" s="72"/>
      <c r="JYB144" s="72"/>
      <c r="JYC144" s="72"/>
      <c r="JYD144" s="72"/>
      <c r="JYE144" s="72"/>
      <c r="JYF144" s="72"/>
      <c r="JYG144" s="72"/>
      <c r="JYH144" s="72"/>
      <c r="JYI144" s="72"/>
      <c r="JYJ144" s="72"/>
      <c r="JYK144" s="72"/>
      <c r="JYL144" s="72"/>
      <c r="JYM144" s="72"/>
      <c r="JYN144" s="72"/>
      <c r="JYO144" s="72"/>
      <c r="JYP144" s="72"/>
      <c r="JYQ144" s="72"/>
      <c r="JYR144" s="72"/>
      <c r="JYS144" s="72"/>
      <c r="JYT144" s="72"/>
      <c r="JYU144" s="72"/>
      <c r="JYV144" s="72"/>
      <c r="JYW144" s="72"/>
      <c r="JYX144" s="72"/>
      <c r="JYY144" s="72"/>
      <c r="JYZ144" s="72"/>
      <c r="JZA144" s="72"/>
      <c r="JZB144" s="72"/>
      <c r="JZC144" s="72"/>
      <c r="JZD144" s="72"/>
      <c r="JZE144" s="72"/>
      <c r="JZF144" s="72"/>
      <c r="JZG144" s="72"/>
      <c r="JZH144" s="72"/>
      <c r="JZI144" s="72"/>
      <c r="JZJ144" s="72"/>
      <c r="JZK144" s="72"/>
      <c r="JZL144" s="72"/>
      <c r="JZM144" s="72"/>
      <c r="JZN144" s="72"/>
      <c r="JZO144" s="72"/>
      <c r="JZP144" s="72"/>
      <c r="JZQ144" s="72"/>
      <c r="JZR144" s="72"/>
      <c r="JZS144" s="72"/>
      <c r="JZT144" s="72"/>
      <c r="JZU144" s="72"/>
      <c r="JZV144" s="72"/>
      <c r="JZW144" s="72"/>
      <c r="JZX144" s="72"/>
      <c r="JZY144" s="72"/>
      <c r="JZZ144" s="72"/>
      <c r="KAA144" s="72"/>
      <c r="KAB144" s="72"/>
      <c r="KAC144" s="72"/>
      <c r="KAD144" s="72"/>
      <c r="KAE144" s="72"/>
      <c r="KAF144" s="72"/>
      <c r="KAG144" s="72"/>
      <c r="KAH144" s="72"/>
      <c r="KAI144" s="72"/>
      <c r="KAJ144" s="72"/>
      <c r="KAK144" s="72"/>
      <c r="KAL144" s="72"/>
      <c r="KAM144" s="72"/>
      <c r="KAN144" s="72"/>
      <c r="KAO144" s="72"/>
      <c r="KAP144" s="72"/>
      <c r="KAQ144" s="72"/>
      <c r="KAR144" s="72"/>
      <c r="KAS144" s="72"/>
      <c r="KAT144" s="72"/>
      <c r="KAU144" s="72"/>
      <c r="KAV144" s="72"/>
      <c r="KAW144" s="72"/>
      <c r="KAX144" s="72"/>
      <c r="KAY144" s="72"/>
      <c r="KAZ144" s="72"/>
      <c r="KBA144" s="72"/>
      <c r="KBB144" s="72"/>
      <c r="KBC144" s="72"/>
      <c r="KBD144" s="72"/>
      <c r="KBE144" s="72"/>
      <c r="KBF144" s="72"/>
      <c r="KBG144" s="72"/>
      <c r="KBH144" s="72"/>
      <c r="KBI144" s="72"/>
      <c r="KBJ144" s="72"/>
      <c r="KBK144" s="72"/>
      <c r="KBL144" s="72"/>
      <c r="KBM144" s="72"/>
      <c r="KBN144" s="72"/>
      <c r="KBO144" s="72"/>
      <c r="KBP144" s="72"/>
      <c r="KBQ144" s="72"/>
      <c r="KBR144" s="72"/>
      <c r="KBS144" s="72"/>
      <c r="KBT144" s="72"/>
      <c r="KBU144" s="72"/>
      <c r="KBV144" s="72"/>
      <c r="KBW144" s="72"/>
      <c r="KBX144" s="72"/>
      <c r="KBY144" s="72"/>
      <c r="KBZ144" s="72"/>
      <c r="KCA144" s="72"/>
      <c r="KCB144" s="72"/>
      <c r="KCC144" s="72"/>
      <c r="KCD144" s="72"/>
      <c r="KCE144" s="72"/>
      <c r="KCF144" s="72"/>
      <c r="KCG144" s="72"/>
      <c r="KCH144" s="72"/>
      <c r="KCI144" s="72"/>
      <c r="KCJ144" s="72"/>
      <c r="KCK144" s="72"/>
      <c r="KCL144" s="72"/>
      <c r="KCM144" s="72"/>
      <c r="KCN144" s="72"/>
      <c r="KCO144" s="72"/>
      <c r="KCP144" s="72"/>
      <c r="KCQ144" s="72"/>
      <c r="KCR144" s="72"/>
      <c r="KCS144" s="72"/>
      <c r="KCT144" s="72"/>
      <c r="KCU144" s="72"/>
      <c r="KCV144" s="72"/>
      <c r="KCW144" s="72"/>
      <c r="KCX144" s="72"/>
      <c r="KCY144" s="72"/>
      <c r="KCZ144" s="72"/>
      <c r="KDA144" s="72"/>
      <c r="KDB144" s="72"/>
      <c r="KDC144" s="72"/>
      <c r="KDD144" s="72"/>
      <c r="KDE144" s="72"/>
      <c r="KDF144" s="72"/>
      <c r="KDG144" s="72"/>
      <c r="KDH144" s="72"/>
      <c r="KDI144" s="72"/>
      <c r="KDJ144" s="72"/>
      <c r="KDK144" s="72"/>
      <c r="KDL144" s="72"/>
      <c r="KDM144" s="72"/>
      <c r="KDN144" s="72"/>
      <c r="KDO144" s="72"/>
      <c r="KDP144" s="72"/>
      <c r="KDQ144" s="72"/>
      <c r="KDR144" s="72"/>
      <c r="KDS144" s="72"/>
      <c r="KDT144" s="72"/>
      <c r="KDU144" s="72"/>
      <c r="KDV144" s="72"/>
      <c r="KDW144" s="72"/>
      <c r="KDX144" s="72"/>
      <c r="KDY144" s="72"/>
      <c r="KDZ144" s="72"/>
      <c r="KEA144" s="72"/>
      <c r="KEB144" s="72"/>
      <c r="KEC144" s="72"/>
      <c r="KED144" s="72"/>
      <c r="KEE144" s="72"/>
      <c r="KEF144" s="72"/>
      <c r="KEG144" s="72"/>
      <c r="KEH144" s="72"/>
      <c r="KEI144" s="72"/>
      <c r="KEJ144" s="72"/>
      <c r="KEK144" s="72"/>
      <c r="KEL144" s="72"/>
      <c r="KEM144" s="72"/>
      <c r="KEN144" s="72"/>
      <c r="KEO144" s="72"/>
      <c r="KEP144" s="72"/>
      <c r="KEQ144" s="72"/>
      <c r="KER144" s="72"/>
      <c r="KES144" s="72"/>
      <c r="KET144" s="72"/>
      <c r="KEU144" s="72"/>
      <c r="KEV144" s="72"/>
      <c r="KEW144" s="72"/>
      <c r="KEX144" s="72"/>
      <c r="KEY144" s="72"/>
      <c r="KEZ144" s="72"/>
      <c r="KFA144" s="72"/>
      <c r="KFB144" s="72"/>
      <c r="KFC144" s="72"/>
      <c r="KFD144" s="72"/>
      <c r="KFE144" s="72"/>
      <c r="KFF144" s="72"/>
      <c r="KFG144" s="72"/>
      <c r="KFH144" s="72"/>
      <c r="KFI144" s="72"/>
      <c r="KFJ144" s="72"/>
      <c r="KFK144" s="72"/>
      <c r="KFL144" s="72"/>
      <c r="KFM144" s="72"/>
      <c r="KFN144" s="72"/>
      <c r="KFO144" s="72"/>
      <c r="KFP144" s="72"/>
      <c r="KFQ144" s="72"/>
      <c r="KFR144" s="72"/>
      <c r="KFS144" s="72"/>
      <c r="KFT144" s="72"/>
      <c r="KFU144" s="72"/>
      <c r="KFV144" s="72"/>
      <c r="KFW144" s="72"/>
      <c r="KFX144" s="72"/>
      <c r="KFY144" s="72"/>
      <c r="KFZ144" s="72"/>
      <c r="KGA144" s="72"/>
      <c r="KGB144" s="72"/>
      <c r="KGC144" s="72"/>
      <c r="KGD144" s="72"/>
      <c r="KGE144" s="72"/>
      <c r="KGF144" s="72"/>
      <c r="KGG144" s="72"/>
      <c r="KGH144" s="72"/>
      <c r="KGI144" s="72"/>
      <c r="KGJ144" s="72"/>
      <c r="KGK144" s="72"/>
      <c r="KGL144" s="72"/>
      <c r="KGM144" s="72"/>
      <c r="KGN144" s="72"/>
      <c r="KGO144" s="72"/>
      <c r="KGP144" s="72"/>
      <c r="KGQ144" s="72"/>
      <c r="KGR144" s="72"/>
      <c r="KGS144" s="72"/>
      <c r="KGT144" s="72"/>
      <c r="KGU144" s="72"/>
      <c r="KGV144" s="72"/>
      <c r="KGW144" s="72"/>
      <c r="KGX144" s="72"/>
      <c r="KGY144" s="72"/>
      <c r="KGZ144" s="72"/>
      <c r="KHA144" s="72"/>
      <c r="KHB144" s="72"/>
      <c r="KHC144" s="72"/>
      <c r="KHD144" s="72"/>
      <c r="KHE144" s="72"/>
      <c r="KHF144" s="72"/>
      <c r="KHG144" s="72"/>
      <c r="KHH144" s="72"/>
      <c r="KHI144" s="72"/>
      <c r="KHJ144" s="72"/>
      <c r="KHK144" s="72"/>
      <c r="KHL144" s="72"/>
      <c r="KHM144" s="72"/>
      <c r="KHN144" s="72"/>
      <c r="KHO144" s="72"/>
      <c r="KHP144" s="72"/>
      <c r="KHQ144" s="72"/>
      <c r="KHR144" s="72"/>
      <c r="KHS144" s="72"/>
      <c r="KHT144" s="72"/>
      <c r="KHU144" s="72"/>
      <c r="KHV144" s="72"/>
      <c r="KHW144" s="72"/>
      <c r="KHX144" s="72"/>
      <c r="KHY144" s="72"/>
      <c r="KHZ144" s="72"/>
      <c r="KIA144" s="72"/>
      <c r="KIB144" s="72"/>
      <c r="KIC144" s="72"/>
      <c r="KID144" s="72"/>
      <c r="KIE144" s="72"/>
      <c r="KIF144" s="72"/>
      <c r="KIG144" s="72"/>
      <c r="KIH144" s="72"/>
      <c r="KII144" s="72"/>
      <c r="KIJ144" s="72"/>
      <c r="KIK144" s="72"/>
      <c r="KIL144" s="72"/>
      <c r="KIM144" s="72"/>
      <c r="KIN144" s="72"/>
      <c r="KIO144" s="72"/>
      <c r="KIP144" s="72"/>
      <c r="KIQ144" s="72"/>
      <c r="KIR144" s="72"/>
      <c r="KIS144" s="72"/>
      <c r="KIT144" s="72"/>
      <c r="KIU144" s="72"/>
      <c r="KIV144" s="72"/>
      <c r="KIW144" s="72"/>
      <c r="KIX144" s="72"/>
      <c r="KIY144" s="72"/>
      <c r="KIZ144" s="72"/>
      <c r="KJA144" s="72"/>
      <c r="KJB144" s="72"/>
      <c r="KJC144" s="72"/>
      <c r="KJD144" s="72"/>
      <c r="KJE144" s="72"/>
      <c r="KJF144" s="72"/>
      <c r="KJG144" s="72"/>
      <c r="KJH144" s="72"/>
      <c r="KJI144" s="72"/>
      <c r="KJJ144" s="72"/>
      <c r="KJK144" s="72"/>
      <c r="KJL144" s="72"/>
      <c r="KJM144" s="72"/>
      <c r="KJN144" s="72"/>
      <c r="KJO144" s="72"/>
      <c r="KJP144" s="72"/>
      <c r="KJQ144" s="72"/>
      <c r="KJR144" s="72"/>
      <c r="KJS144" s="72"/>
      <c r="KJT144" s="72"/>
      <c r="KJU144" s="72"/>
      <c r="KJV144" s="72"/>
      <c r="KJW144" s="72"/>
      <c r="KJX144" s="72"/>
      <c r="KJY144" s="72"/>
      <c r="KJZ144" s="72"/>
      <c r="KKA144" s="72"/>
      <c r="KKB144" s="72"/>
      <c r="KKC144" s="72"/>
      <c r="KKD144" s="72"/>
      <c r="KKE144" s="72"/>
      <c r="KKF144" s="72"/>
      <c r="KKG144" s="72"/>
      <c r="KKH144" s="72"/>
      <c r="KKI144" s="72"/>
      <c r="KKJ144" s="72"/>
      <c r="KKK144" s="72"/>
      <c r="KKL144" s="72"/>
      <c r="KKM144" s="72"/>
      <c r="KKN144" s="72"/>
      <c r="KKO144" s="72"/>
      <c r="KKP144" s="72"/>
      <c r="KKQ144" s="72"/>
      <c r="KKR144" s="72"/>
      <c r="KKS144" s="72"/>
      <c r="KKT144" s="72"/>
      <c r="KKU144" s="72"/>
      <c r="KKV144" s="72"/>
      <c r="KKW144" s="72"/>
      <c r="KKX144" s="72"/>
      <c r="KKY144" s="72"/>
      <c r="KKZ144" s="72"/>
      <c r="KLA144" s="72"/>
      <c r="KLB144" s="72"/>
      <c r="KLC144" s="72"/>
      <c r="KLD144" s="72"/>
      <c r="KLE144" s="72"/>
      <c r="KLF144" s="72"/>
      <c r="KLG144" s="72"/>
      <c r="KLH144" s="72"/>
      <c r="KLI144" s="72"/>
      <c r="KLJ144" s="72"/>
      <c r="KLK144" s="72"/>
      <c r="KLL144" s="72"/>
      <c r="KLM144" s="72"/>
      <c r="KLN144" s="72"/>
      <c r="KLO144" s="72"/>
      <c r="KLP144" s="72"/>
      <c r="KLQ144" s="72"/>
      <c r="KLR144" s="72"/>
      <c r="KLS144" s="72"/>
      <c r="KLT144" s="72"/>
      <c r="KLU144" s="72"/>
      <c r="KLV144" s="72"/>
      <c r="KLW144" s="72"/>
      <c r="KLX144" s="72"/>
      <c r="KLY144" s="72"/>
      <c r="KLZ144" s="72"/>
      <c r="KMA144" s="72"/>
      <c r="KMB144" s="72"/>
      <c r="KMC144" s="72"/>
      <c r="KMD144" s="72"/>
      <c r="KME144" s="72"/>
      <c r="KMF144" s="72"/>
      <c r="KMG144" s="72"/>
      <c r="KMH144" s="72"/>
      <c r="KMI144" s="72"/>
      <c r="KMJ144" s="72"/>
      <c r="KMK144" s="72"/>
      <c r="KML144" s="72"/>
      <c r="KMM144" s="72"/>
      <c r="KMN144" s="72"/>
      <c r="KMO144" s="72"/>
      <c r="KMP144" s="72"/>
      <c r="KMQ144" s="72"/>
      <c r="KMR144" s="72"/>
      <c r="KMS144" s="72"/>
      <c r="KMT144" s="72"/>
      <c r="KMU144" s="72"/>
      <c r="KMV144" s="72"/>
      <c r="KMW144" s="72"/>
      <c r="KMX144" s="72"/>
      <c r="KMY144" s="72"/>
      <c r="KMZ144" s="72"/>
      <c r="KNA144" s="72"/>
      <c r="KNB144" s="72"/>
      <c r="KNC144" s="72"/>
      <c r="KND144" s="72"/>
      <c r="KNE144" s="72"/>
      <c r="KNF144" s="72"/>
      <c r="KNG144" s="72"/>
      <c r="KNH144" s="72"/>
      <c r="KNI144" s="72"/>
      <c r="KNJ144" s="72"/>
      <c r="KNK144" s="72"/>
      <c r="KNL144" s="72"/>
      <c r="KNM144" s="72"/>
      <c r="KNN144" s="72"/>
      <c r="KNO144" s="72"/>
      <c r="KNP144" s="72"/>
      <c r="KNQ144" s="72"/>
      <c r="KNR144" s="72"/>
      <c r="KNS144" s="72"/>
      <c r="KNT144" s="72"/>
      <c r="KNU144" s="72"/>
      <c r="KNV144" s="72"/>
      <c r="KNW144" s="72"/>
      <c r="KNX144" s="72"/>
      <c r="KNY144" s="72"/>
      <c r="KNZ144" s="72"/>
      <c r="KOA144" s="72"/>
      <c r="KOB144" s="72"/>
      <c r="KOC144" s="72"/>
      <c r="KOD144" s="72"/>
      <c r="KOE144" s="72"/>
      <c r="KOF144" s="72"/>
      <c r="KOG144" s="72"/>
      <c r="KOH144" s="72"/>
      <c r="KOI144" s="72"/>
      <c r="KOJ144" s="72"/>
      <c r="KOK144" s="72"/>
      <c r="KOL144" s="72"/>
      <c r="KOM144" s="72"/>
      <c r="KON144" s="72"/>
      <c r="KOO144" s="72"/>
      <c r="KOP144" s="72"/>
      <c r="KOQ144" s="72"/>
      <c r="KOR144" s="72"/>
      <c r="KOS144" s="72"/>
      <c r="KOT144" s="72"/>
      <c r="KOU144" s="72"/>
      <c r="KOV144" s="72"/>
      <c r="KOW144" s="72"/>
      <c r="KOX144" s="72"/>
      <c r="KOY144" s="72"/>
      <c r="KOZ144" s="72"/>
      <c r="KPA144" s="72"/>
      <c r="KPB144" s="72"/>
      <c r="KPC144" s="72"/>
      <c r="KPD144" s="72"/>
      <c r="KPE144" s="72"/>
      <c r="KPF144" s="72"/>
      <c r="KPG144" s="72"/>
      <c r="KPH144" s="72"/>
      <c r="KPI144" s="72"/>
      <c r="KPJ144" s="72"/>
      <c r="KPK144" s="72"/>
      <c r="KPL144" s="72"/>
      <c r="KPM144" s="72"/>
      <c r="KPN144" s="72"/>
      <c r="KPO144" s="72"/>
      <c r="KPP144" s="72"/>
      <c r="KPQ144" s="72"/>
      <c r="KPR144" s="72"/>
      <c r="KPS144" s="72"/>
      <c r="KPT144" s="72"/>
      <c r="KPU144" s="72"/>
      <c r="KPV144" s="72"/>
      <c r="KPW144" s="72"/>
      <c r="KPX144" s="72"/>
      <c r="KPY144" s="72"/>
      <c r="KPZ144" s="72"/>
      <c r="KQA144" s="72"/>
      <c r="KQB144" s="72"/>
      <c r="KQC144" s="72"/>
      <c r="KQD144" s="72"/>
      <c r="KQE144" s="72"/>
      <c r="KQF144" s="72"/>
      <c r="KQG144" s="72"/>
      <c r="KQH144" s="72"/>
      <c r="KQI144" s="72"/>
      <c r="KQJ144" s="72"/>
      <c r="KQK144" s="72"/>
      <c r="KQL144" s="72"/>
      <c r="KQM144" s="72"/>
      <c r="KQN144" s="72"/>
      <c r="KQO144" s="72"/>
      <c r="KQP144" s="72"/>
      <c r="KQQ144" s="72"/>
      <c r="KQR144" s="72"/>
      <c r="KQS144" s="72"/>
      <c r="KQT144" s="72"/>
      <c r="KQU144" s="72"/>
      <c r="KQV144" s="72"/>
      <c r="KQW144" s="72"/>
      <c r="KQX144" s="72"/>
      <c r="KQY144" s="72"/>
      <c r="KQZ144" s="72"/>
      <c r="KRA144" s="72"/>
      <c r="KRB144" s="72"/>
      <c r="KRC144" s="72"/>
      <c r="KRD144" s="72"/>
      <c r="KRE144" s="72"/>
      <c r="KRF144" s="72"/>
      <c r="KRG144" s="72"/>
      <c r="KRH144" s="72"/>
      <c r="KRI144" s="72"/>
      <c r="KRJ144" s="72"/>
      <c r="KRK144" s="72"/>
      <c r="KRL144" s="72"/>
      <c r="KRM144" s="72"/>
      <c r="KRN144" s="72"/>
      <c r="KRO144" s="72"/>
      <c r="KRP144" s="72"/>
      <c r="KRQ144" s="72"/>
      <c r="KRR144" s="72"/>
      <c r="KRS144" s="72"/>
      <c r="KRT144" s="72"/>
      <c r="KRU144" s="72"/>
      <c r="KRV144" s="72"/>
      <c r="KRW144" s="72"/>
      <c r="KRX144" s="72"/>
      <c r="KRY144" s="72"/>
      <c r="KRZ144" s="72"/>
      <c r="KSA144" s="72"/>
      <c r="KSB144" s="72"/>
      <c r="KSC144" s="72"/>
      <c r="KSD144" s="72"/>
      <c r="KSE144" s="72"/>
      <c r="KSF144" s="72"/>
      <c r="KSG144" s="72"/>
      <c r="KSH144" s="72"/>
      <c r="KSI144" s="72"/>
      <c r="KSJ144" s="72"/>
      <c r="KSK144" s="72"/>
      <c r="KSL144" s="72"/>
      <c r="KSM144" s="72"/>
      <c r="KSN144" s="72"/>
      <c r="KSO144" s="72"/>
      <c r="KSP144" s="72"/>
      <c r="KSQ144" s="72"/>
      <c r="KSR144" s="72"/>
      <c r="KSS144" s="72"/>
      <c r="KST144" s="72"/>
      <c r="KSU144" s="72"/>
      <c r="KSV144" s="72"/>
      <c r="KSW144" s="72"/>
      <c r="KSX144" s="72"/>
      <c r="KSY144" s="72"/>
      <c r="KSZ144" s="72"/>
      <c r="KTA144" s="72"/>
      <c r="KTB144" s="72"/>
      <c r="KTC144" s="72"/>
      <c r="KTD144" s="72"/>
      <c r="KTE144" s="72"/>
      <c r="KTF144" s="72"/>
      <c r="KTG144" s="72"/>
      <c r="KTH144" s="72"/>
      <c r="KTI144" s="72"/>
      <c r="KTJ144" s="72"/>
      <c r="KTK144" s="72"/>
      <c r="KTL144" s="72"/>
      <c r="KTM144" s="72"/>
      <c r="KTN144" s="72"/>
      <c r="KTO144" s="72"/>
      <c r="KTP144" s="72"/>
      <c r="KTQ144" s="72"/>
      <c r="KTR144" s="72"/>
      <c r="KTS144" s="72"/>
      <c r="KTT144" s="72"/>
      <c r="KTU144" s="72"/>
      <c r="KTV144" s="72"/>
      <c r="KTW144" s="72"/>
      <c r="KTX144" s="72"/>
      <c r="KTY144" s="72"/>
      <c r="KTZ144" s="72"/>
      <c r="KUA144" s="72"/>
      <c r="KUB144" s="72"/>
      <c r="KUC144" s="72"/>
      <c r="KUD144" s="72"/>
      <c r="KUE144" s="72"/>
      <c r="KUF144" s="72"/>
      <c r="KUG144" s="72"/>
      <c r="KUH144" s="72"/>
      <c r="KUI144" s="72"/>
      <c r="KUJ144" s="72"/>
      <c r="KUK144" s="72"/>
      <c r="KUL144" s="72"/>
      <c r="KUM144" s="72"/>
      <c r="KUN144" s="72"/>
      <c r="KUO144" s="72"/>
      <c r="KUP144" s="72"/>
      <c r="KUQ144" s="72"/>
      <c r="KUR144" s="72"/>
      <c r="KUS144" s="72"/>
      <c r="KUT144" s="72"/>
      <c r="KUU144" s="72"/>
      <c r="KUV144" s="72"/>
      <c r="KUW144" s="72"/>
      <c r="KUX144" s="72"/>
      <c r="KUY144" s="72"/>
      <c r="KUZ144" s="72"/>
      <c r="KVA144" s="72"/>
      <c r="KVB144" s="72"/>
      <c r="KVC144" s="72"/>
      <c r="KVD144" s="72"/>
      <c r="KVE144" s="72"/>
      <c r="KVF144" s="72"/>
      <c r="KVG144" s="72"/>
      <c r="KVH144" s="72"/>
      <c r="KVI144" s="72"/>
      <c r="KVJ144" s="72"/>
      <c r="KVK144" s="72"/>
      <c r="KVL144" s="72"/>
      <c r="KVM144" s="72"/>
      <c r="KVN144" s="72"/>
      <c r="KVO144" s="72"/>
      <c r="KVP144" s="72"/>
      <c r="KVQ144" s="72"/>
      <c r="KVR144" s="72"/>
      <c r="KVS144" s="72"/>
      <c r="KVT144" s="72"/>
      <c r="KVU144" s="72"/>
      <c r="KVV144" s="72"/>
      <c r="KVW144" s="72"/>
      <c r="KVX144" s="72"/>
      <c r="KVY144" s="72"/>
      <c r="KVZ144" s="72"/>
      <c r="KWA144" s="72"/>
      <c r="KWB144" s="72"/>
      <c r="KWC144" s="72"/>
      <c r="KWD144" s="72"/>
      <c r="KWE144" s="72"/>
      <c r="KWF144" s="72"/>
      <c r="KWG144" s="72"/>
      <c r="KWH144" s="72"/>
      <c r="KWI144" s="72"/>
      <c r="KWJ144" s="72"/>
      <c r="KWK144" s="72"/>
      <c r="KWL144" s="72"/>
      <c r="KWM144" s="72"/>
      <c r="KWN144" s="72"/>
      <c r="KWO144" s="72"/>
      <c r="KWP144" s="72"/>
      <c r="KWQ144" s="72"/>
      <c r="KWR144" s="72"/>
      <c r="KWS144" s="72"/>
      <c r="KWT144" s="72"/>
      <c r="KWU144" s="72"/>
      <c r="KWV144" s="72"/>
      <c r="KWW144" s="72"/>
      <c r="KWX144" s="72"/>
      <c r="KWY144" s="72"/>
      <c r="KWZ144" s="72"/>
      <c r="KXA144" s="72"/>
      <c r="KXB144" s="72"/>
      <c r="KXC144" s="72"/>
      <c r="KXD144" s="72"/>
      <c r="KXE144" s="72"/>
      <c r="KXF144" s="72"/>
      <c r="KXG144" s="72"/>
      <c r="KXH144" s="72"/>
      <c r="KXI144" s="72"/>
      <c r="KXJ144" s="72"/>
      <c r="KXK144" s="72"/>
      <c r="KXL144" s="72"/>
      <c r="KXM144" s="72"/>
      <c r="KXN144" s="72"/>
      <c r="KXO144" s="72"/>
      <c r="KXP144" s="72"/>
      <c r="KXQ144" s="72"/>
      <c r="KXR144" s="72"/>
      <c r="KXS144" s="72"/>
      <c r="KXT144" s="72"/>
      <c r="KXU144" s="72"/>
      <c r="KXV144" s="72"/>
      <c r="KXW144" s="72"/>
      <c r="KXX144" s="72"/>
      <c r="KXY144" s="72"/>
      <c r="KXZ144" s="72"/>
      <c r="KYA144" s="72"/>
      <c r="KYB144" s="72"/>
      <c r="KYC144" s="72"/>
      <c r="KYD144" s="72"/>
      <c r="KYE144" s="72"/>
      <c r="KYF144" s="72"/>
      <c r="KYG144" s="72"/>
      <c r="KYH144" s="72"/>
      <c r="KYI144" s="72"/>
      <c r="KYJ144" s="72"/>
      <c r="KYK144" s="72"/>
      <c r="KYL144" s="72"/>
      <c r="KYM144" s="72"/>
      <c r="KYN144" s="72"/>
      <c r="KYO144" s="72"/>
      <c r="KYP144" s="72"/>
      <c r="KYQ144" s="72"/>
      <c r="KYR144" s="72"/>
      <c r="KYS144" s="72"/>
      <c r="KYT144" s="72"/>
      <c r="KYU144" s="72"/>
      <c r="KYV144" s="72"/>
      <c r="KYW144" s="72"/>
      <c r="KYX144" s="72"/>
      <c r="KYY144" s="72"/>
      <c r="KYZ144" s="72"/>
      <c r="KZA144" s="72"/>
      <c r="KZB144" s="72"/>
      <c r="KZC144" s="72"/>
      <c r="KZD144" s="72"/>
      <c r="KZE144" s="72"/>
      <c r="KZF144" s="72"/>
      <c r="KZG144" s="72"/>
      <c r="KZH144" s="72"/>
      <c r="KZI144" s="72"/>
      <c r="KZJ144" s="72"/>
      <c r="KZK144" s="72"/>
      <c r="KZL144" s="72"/>
      <c r="KZM144" s="72"/>
      <c r="KZN144" s="72"/>
      <c r="KZO144" s="72"/>
      <c r="KZP144" s="72"/>
      <c r="KZQ144" s="72"/>
      <c r="KZR144" s="72"/>
      <c r="KZS144" s="72"/>
      <c r="KZT144" s="72"/>
      <c r="KZU144" s="72"/>
      <c r="KZV144" s="72"/>
      <c r="KZW144" s="72"/>
      <c r="KZX144" s="72"/>
      <c r="KZY144" s="72"/>
      <c r="KZZ144" s="72"/>
      <c r="LAA144" s="72"/>
      <c r="LAB144" s="72"/>
      <c r="LAC144" s="72"/>
      <c r="LAD144" s="72"/>
      <c r="LAE144" s="72"/>
      <c r="LAF144" s="72"/>
      <c r="LAG144" s="72"/>
      <c r="LAH144" s="72"/>
      <c r="LAI144" s="72"/>
      <c r="LAJ144" s="72"/>
      <c r="LAK144" s="72"/>
      <c r="LAL144" s="72"/>
      <c r="LAM144" s="72"/>
      <c r="LAN144" s="72"/>
      <c r="LAO144" s="72"/>
      <c r="LAP144" s="72"/>
      <c r="LAQ144" s="72"/>
      <c r="LAR144" s="72"/>
      <c r="LAS144" s="72"/>
      <c r="LAT144" s="72"/>
      <c r="LAU144" s="72"/>
      <c r="LAV144" s="72"/>
      <c r="LAW144" s="72"/>
      <c r="LAX144" s="72"/>
      <c r="LAY144" s="72"/>
      <c r="LAZ144" s="72"/>
      <c r="LBA144" s="72"/>
      <c r="LBB144" s="72"/>
      <c r="LBC144" s="72"/>
      <c r="LBD144" s="72"/>
      <c r="LBE144" s="72"/>
      <c r="LBF144" s="72"/>
      <c r="LBG144" s="72"/>
      <c r="LBH144" s="72"/>
      <c r="LBI144" s="72"/>
      <c r="LBJ144" s="72"/>
      <c r="LBK144" s="72"/>
      <c r="LBL144" s="72"/>
      <c r="LBM144" s="72"/>
      <c r="LBN144" s="72"/>
      <c r="LBO144" s="72"/>
      <c r="LBP144" s="72"/>
      <c r="LBQ144" s="72"/>
      <c r="LBR144" s="72"/>
      <c r="LBS144" s="72"/>
      <c r="LBT144" s="72"/>
      <c r="LBU144" s="72"/>
      <c r="LBV144" s="72"/>
      <c r="LBW144" s="72"/>
      <c r="LBX144" s="72"/>
      <c r="LBY144" s="72"/>
      <c r="LBZ144" s="72"/>
      <c r="LCA144" s="72"/>
      <c r="LCB144" s="72"/>
      <c r="LCC144" s="72"/>
      <c r="LCD144" s="72"/>
      <c r="LCE144" s="72"/>
      <c r="LCF144" s="72"/>
      <c r="LCG144" s="72"/>
      <c r="LCH144" s="72"/>
      <c r="LCI144" s="72"/>
      <c r="LCJ144" s="72"/>
      <c r="LCK144" s="72"/>
      <c r="LCL144" s="72"/>
      <c r="LCM144" s="72"/>
      <c r="LCN144" s="72"/>
      <c r="LCO144" s="72"/>
      <c r="LCP144" s="72"/>
      <c r="LCQ144" s="72"/>
      <c r="LCR144" s="72"/>
      <c r="LCS144" s="72"/>
      <c r="LCT144" s="72"/>
      <c r="LCU144" s="72"/>
      <c r="LCV144" s="72"/>
      <c r="LCW144" s="72"/>
      <c r="LCX144" s="72"/>
      <c r="LCY144" s="72"/>
      <c r="LCZ144" s="72"/>
      <c r="LDA144" s="72"/>
      <c r="LDB144" s="72"/>
      <c r="LDC144" s="72"/>
      <c r="LDD144" s="72"/>
      <c r="LDE144" s="72"/>
      <c r="LDF144" s="72"/>
      <c r="LDG144" s="72"/>
      <c r="LDH144" s="72"/>
      <c r="LDI144" s="72"/>
      <c r="LDJ144" s="72"/>
      <c r="LDK144" s="72"/>
      <c r="LDL144" s="72"/>
      <c r="LDM144" s="72"/>
      <c r="LDN144" s="72"/>
      <c r="LDO144" s="72"/>
      <c r="LDP144" s="72"/>
      <c r="LDQ144" s="72"/>
      <c r="LDR144" s="72"/>
      <c r="LDS144" s="72"/>
      <c r="LDT144" s="72"/>
      <c r="LDU144" s="72"/>
      <c r="LDV144" s="72"/>
      <c r="LDW144" s="72"/>
      <c r="LDX144" s="72"/>
      <c r="LDY144" s="72"/>
      <c r="LDZ144" s="72"/>
      <c r="LEA144" s="72"/>
      <c r="LEB144" s="72"/>
      <c r="LEC144" s="72"/>
      <c r="LED144" s="72"/>
      <c r="LEE144" s="72"/>
      <c r="LEF144" s="72"/>
      <c r="LEG144" s="72"/>
      <c r="LEH144" s="72"/>
      <c r="LEI144" s="72"/>
      <c r="LEJ144" s="72"/>
      <c r="LEK144" s="72"/>
      <c r="LEL144" s="72"/>
      <c r="LEM144" s="72"/>
      <c r="LEN144" s="72"/>
      <c r="LEO144" s="72"/>
      <c r="LEP144" s="72"/>
      <c r="LEQ144" s="72"/>
      <c r="LER144" s="72"/>
      <c r="LES144" s="72"/>
      <c r="LET144" s="72"/>
      <c r="LEU144" s="72"/>
      <c r="LEV144" s="72"/>
      <c r="LEW144" s="72"/>
      <c r="LEX144" s="72"/>
      <c r="LEY144" s="72"/>
      <c r="LEZ144" s="72"/>
      <c r="LFA144" s="72"/>
      <c r="LFB144" s="72"/>
      <c r="LFC144" s="72"/>
      <c r="LFD144" s="72"/>
      <c r="LFE144" s="72"/>
      <c r="LFF144" s="72"/>
      <c r="LFG144" s="72"/>
      <c r="LFH144" s="72"/>
      <c r="LFI144" s="72"/>
      <c r="LFJ144" s="72"/>
      <c r="LFK144" s="72"/>
      <c r="LFL144" s="72"/>
      <c r="LFM144" s="72"/>
      <c r="LFN144" s="72"/>
      <c r="LFO144" s="72"/>
      <c r="LFP144" s="72"/>
      <c r="LFQ144" s="72"/>
      <c r="LFR144" s="72"/>
      <c r="LFS144" s="72"/>
      <c r="LFT144" s="72"/>
      <c r="LFU144" s="72"/>
      <c r="LFV144" s="72"/>
      <c r="LFW144" s="72"/>
      <c r="LFX144" s="72"/>
      <c r="LFY144" s="72"/>
      <c r="LFZ144" s="72"/>
      <c r="LGA144" s="72"/>
      <c r="LGB144" s="72"/>
      <c r="LGC144" s="72"/>
      <c r="LGD144" s="72"/>
      <c r="LGE144" s="72"/>
      <c r="LGF144" s="72"/>
      <c r="LGG144" s="72"/>
      <c r="LGH144" s="72"/>
      <c r="LGI144" s="72"/>
      <c r="LGJ144" s="72"/>
      <c r="LGK144" s="72"/>
      <c r="LGL144" s="72"/>
      <c r="LGM144" s="72"/>
      <c r="LGN144" s="72"/>
      <c r="LGO144" s="72"/>
      <c r="LGP144" s="72"/>
      <c r="LGQ144" s="72"/>
      <c r="LGR144" s="72"/>
      <c r="LGS144" s="72"/>
      <c r="LGT144" s="72"/>
      <c r="LGU144" s="72"/>
      <c r="LGV144" s="72"/>
      <c r="LGW144" s="72"/>
      <c r="LGX144" s="72"/>
      <c r="LGY144" s="72"/>
      <c r="LGZ144" s="72"/>
      <c r="LHA144" s="72"/>
      <c r="LHB144" s="72"/>
      <c r="LHC144" s="72"/>
      <c r="LHD144" s="72"/>
      <c r="LHE144" s="72"/>
      <c r="LHF144" s="72"/>
      <c r="LHG144" s="72"/>
      <c r="LHH144" s="72"/>
      <c r="LHI144" s="72"/>
      <c r="LHJ144" s="72"/>
      <c r="LHK144" s="72"/>
      <c r="LHL144" s="72"/>
      <c r="LHM144" s="72"/>
      <c r="LHN144" s="72"/>
      <c r="LHO144" s="72"/>
      <c r="LHP144" s="72"/>
      <c r="LHQ144" s="72"/>
      <c r="LHR144" s="72"/>
      <c r="LHS144" s="72"/>
      <c r="LHT144" s="72"/>
      <c r="LHU144" s="72"/>
      <c r="LHV144" s="72"/>
      <c r="LHW144" s="72"/>
      <c r="LHX144" s="72"/>
      <c r="LHY144" s="72"/>
      <c r="LHZ144" s="72"/>
      <c r="LIA144" s="72"/>
      <c r="LIB144" s="72"/>
      <c r="LIC144" s="72"/>
      <c r="LID144" s="72"/>
      <c r="LIE144" s="72"/>
      <c r="LIF144" s="72"/>
      <c r="LIG144" s="72"/>
      <c r="LIH144" s="72"/>
      <c r="LII144" s="72"/>
      <c r="LIJ144" s="72"/>
      <c r="LIK144" s="72"/>
      <c r="LIL144" s="72"/>
      <c r="LIM144" s="72"/>
      <c r="LIN144" s="72"/>
      <c r="LIO144" s="72"/>
      <c r="LIP144" s="72"/>
      <c r="LIQ144" s="72"/>
      <c r="LIR144" s="72"/>
      <c r="LIS144" s="72"/>
      <c r="LIT144" s="72"/>
      <c r="LIU144" s="72"/>
      <c r="LIV144" s="72"/>
      <c r="LIW144" s="72"/>
      <c r="LIX144" s="72"/>
      <c r="LIY144" s="72"/>
      <c r="LIZ144" s="72"/>
      <c r="LJA144" s="72"/>
      <c r="LJB144" s="72"/>
      <c r="LJC144" s="72"/>
      <c r="LJD144" s="72"/>
      <c r="LJE144" s="72"/>
      <c r="LJF144" s="72"/>
      <c r="LJG144" s="72"/>
      <c r="LJH144" s="72"/>
      <c r="LJI144" s="72"/>
      <c r="LJJ144" s="72"/>
      <c r="LJK144" s="72"/>
      <c r="LJL144" s="72"/>
      <c r="LJM144" s="72"/>
      <c r="LJN144" s="72"/>
      <c r="LJO144" s="72"/>
      <c r="LJP144" s="72"/>
      <c r="LJQ144" s="72"/>
      <c r="LJR144" s="72"/>
      <c r="LJS144" s="72"/>
      <c r="LJT144" s="72"/>
      <c r="LJU144" s="72"/>
      <c r="LJV144" s="72"/>
      <c r="LJW144" s="72"/>
      <c r="LJX144" s="72"/>
      <c r="LJY144" s="72"/>
      <c r="LJZ144" s="72"/>
      <c r="LKA144" s="72"/>
      <c r="LKB144" s="72"/>
      <c r="LKC144" s="72"/>
      <c r="LKD144" s="72"/>
      <c r="LKE144" s="72"/>
      <c r="LKF144" s="72"/>
      <c r="LKG144" s="72"/>
      <c r="LKH144" s="72"/>
      <c r="LKI144" s="72"/>
      <c r="LKJ144" s="72"/>
      <c r="LKK144" s="72"/>
      <c r="LKL144" s="72"/>
      <c r="LKM144" s="72"/>
      <c r="LKN144" s="72"/>
      <c r="LKO144" s="72"/>
      <c r="LKP144" s="72"/>
      <c r="LKQ144" s="72"/>
      <c r="LKR144" s="72"/>
      <c r="LKS144" s="72"/>
      <c r="LKT144" s="72"/>
      <c r="LKU144" s="72"/>
      <c r="LKV144" s="72"/>
      <c r="LKW144" s="72"/>
      <c r="LKX144" s="72"/>
      <c r="LKY144" s="72"/>
      <c r="LKZ144" s="72"/>
      <c r="LLA144" s="72"/>
      <c r="LLB144" s="72"/>
      <c r="LLC144" s="72"/>
      <c r="LLD144" s="72"/>
      <c r="LLE144" s="72"/>
      <c r="LLF144" s="72"/>
      <c r="LLG144" s="72"/>
      <c r="LLH144" s="72"/>
      <c r="LLI144" s="72"/>
      <c r="LLJ144" s="72"/>
      <c r="LLK144" s="72"/>
      <c r="LLL144" s="72"/>
      <c r="LLM144" s="72"/>
      <c r="LLN144" s="72"/>
      <c r="LLO144" s="72"/>
      <c r="LLP144" s="72"/>
      <c r="LLQ144" s="72"/>
      <c r="LLR144" s="72"/>
      <c r="LLS144" s="72"/>
      <c r="LLT144" s="72"/>
      <c r="LLU144" s="72"/>
      <c r="LLV144" s="72"/>
      <c r="LLW144" s="72"/>
      <c r="LLX144" s="72"/>
      <c r="LLY144" s="72"/>
      <c r="LLZ144" s="72"/>
      <c r="LMA144" s="72"/>
      <c r="LMB144" s="72"/>
      <c r="LMC144" s="72"/>
      <c r="LMD144" s="72"/>
      <c r="LME144" s="72"/>
      <c r="LMF144" s="72"/>
      <c r="LMG144" s="72"/>
      <c r="LMH144" s="72"/>
      <c r="LMI144" s="72"/>
      <c r="LMJ144" s="72"/>
      <c r="LMK144" s="72"/>
      <c r="LML144" s="72"/>
      <c r="LMM144" s="72"/>
      <c r="LMN144" s="72"/>
      <c r="LMO144" s="72"/>
      <c r="LMP144" s="72"/>
      <c r="LMQ144" s="72"/>
      <c r="LMR144" s="72"/>
      <c r="LMS144" s="72"/>
      <c r="LMT144" s="72"/>
      <c r="LMU144" s="72"/>
      <c r="LMV144" s="72"/>
      <c r="LMW144" s="72"/>
      <c r="LMX144" s="72"/>
      <c r="LMY144" s="72"/>
      <c r="LMZ144" s="72"/>
      <c r="LNA144" s="72"/>
      <c r="LNB144" s="72"/>
      <c r="LNC144" s="72"/>
      <c r="LND144" s="72"/>
      <c r="LNE144" s="72"/>
      <c r="LNF144" s="72"/>
      <c r="LNG144" s="72"/>
      <c r="LNH144" s="72"/>
      <c r="LNI144" s="72"/>
      <c r="LNJ144" s="72"/>
      <c r="LNK144" s="72"/>
      <c r="LNL144" s="72"/>
      <c r="LNM144" s="72"/>
      <c r="LNN144" s="72"/>
      <c r="LNO144" s="72"/>
      <c r="LNP144" s="72"/>
      <c r="LNQ144" s="72"/>
      <c r="LNR144" s="72"/>
      <c r="LNS144" s="72"/>
      <c r="LNT144" s="72"/>
      <c r="LNU144" s="72"/>
      <c r="LNV144" s="72"/>
      <c r="LNW144" s="72"/>
      <c r="LNX144" s="72"/>
      <c r="LNY144" s="72"/>
      <c r="LNZ144" s="72"/>
      <c r="LOA144" s="72"/>
      <c r="LOB144" s="72"/>
      <c r="LOC144" s="72"/>
      <c r="LOD144" s="72"/>
      <c r="LOE144" s="72"/>
      <c r="LOF144" s="72"/>
      <c r="LOG144" s="72"/>
      <c r="LOH144" s="72"/>
      <c r="LOI144" s="72"/>
      <c r="LOJ144" s="72"/>
      <c r="LOK144" s="72"/>
      <c r="LOL144" s="72"/>
      <c r="LOM144" s="72"/>
      <c r="LON144" s="72"/>
      <c r="LOO144" s="72"/>
      <c r="LOP144" s="72"/>
      <c r="LOQ144" s="72"/>
      <c r="LOR144" s="72"/>
      <c r="LOS144" s="72"/>
      <c r="LOT144" s="72"/>
      <c r="LOU144" s="72"/>
      <c r="LOV144" s="72"/>
      <c r="LOW144" s="72"/>
      <c r="LOX144" s="72"/>
      <c r="LOY144" s="72"/>
      <c r="LOZ144" s="72"/>
      <c r="LPA144" s="72"/>
      <c r="LPB144" s="72"/>
      <c r="LPC144" s="72"/>
      <c r="LPD144" s="72"/>
      <c r="LPE144" s="72"/>
      <c r="LPF144" s="72"/>
      <c r="LPG144" s="72"/>
      <c r="LPH144" s="72"/>
      <c r="LPI144" s="72"/>
      <c r="LPJ144" s="72"/>
      <c r="LPK144" s="72"/>
      <c r="LPL144" s="72"/>
      <c r="LPM144" s="72"/>
      <c r="LPN144" s="72"/>
      <c r="LPO144" s="72"/>
      <c r="LPP144" s="72"/>
      <c r="LPQ144" s="72"/>
      <c r="LPR144" s="72"/>
      <c r="LPS144" s="72"/>
      <c r="LPT144" s="72"/>
      <c r="LPU144" s="72"/>
      <c r="LPV144" s="72"/>
      <c r="LPW144" s="72"/>
      <c r="LPX144" s="72"/>
      <c r="LPY144" s="72"/>
      <c r="LPZ144" s="72"/>
      <c r="LQA144" s="72"/>
      <c r="LQB144" s="72"/>
      <c r="LQC144" s="72"/>
      <c r="LQD144" s="72"/>
      <c r="LQE144" s="72"/>
      <c r="LQF144" s="72"/>
      <c r="LQG144" s="72"/>
      <c r="LQH144" s="72"/>
      <c r="LQI144" s="72"/>
      <c r="LQJ144" s="72"/>
      <c r="LQK144" s="72"/>
      <c r="LQL144" s="72"/>
      <c r="LQM144" s="72"/>
      <c r="LQN144" s="72"/>
      <c r="LQO144" s="72"/>
      <c r="LQP144" s="72"/>
      <c r="LQQ144" s="72"/>
      <c r="LQR144" s="72"/>
      <c r="LQS144" s="72"/>
      <c r="LQT144" s="72"/>
      <c r="LQU144" s="72"/>
      <c r="LQV144" s="72"/>
      <c r="LQW144" s="72"/>
      <c r="LQX144" s="72"/>
      <c r="LQY144" s="72"/>
      <c r="LQZ144" s="72"/>
      <c r="LRA144" s="72"/>
      <c r="LRB144" s="72"/>
      <c r="LRC144" s="72"/>
      <c r="LRD144" s="72"/>
      <c r="LRE144" s="72"/>
      <c r="LRF144" s="72"/>
      <c r="LRG144" s="72"/>
      <c r="LRH144" s="72"/>
      <c r="LRI144" s="72"/>
      <c r="LRJ144" s="72"/>
      <c r="LRK144" s="72"/>
      <c r="LRL144" s="72"/>
      <c r="LRM144" s="72"/>
      <c r="LRN144" s="72"/>
      <c r="LRO144" s="72"/>
      <c r="LRP144" s="72"/>
      <c r="LRQ144" s="72"/>
      <c r="LRR144" s="72"/>
      <c r="LRS144" s="72"/>
      <c r="LRT144" s="72"/>
      <c r="LRU144" s="72"/>
      <c r="LRV144" s="72"/>
      <c r="LRW144" s="72"/>
      <c r="LRX144" s="72"/>
      <c r="LRY144" s="72"/>
      <c r="LRZ144" s="72"/>
      <c r="LSA144" s="72"/>
      <c r="LSB144" s="72"/>
      <c r="LSC144" s="72"/>
      <c r="LSD144" s="72"/>
      <c r="LSE144" s="72"/>
      <c r="LSF144" s="72"/>
      <c r="LSG144" s="72"/>
      <c r="LSH144" s="72"/>
      <c r="LSI144" s="72"/>
      <c r="LSJ144" s="72"/>
      <c r="LSK144" s="72"/>
      <c r="LSL144" s="72"/>
      <c r="LSM144" s="72"/>
      <c r="LSN144" s="72"/>
      <c r="LSO144" s="72"/>
      <c r="LSP144" s="72"/>
      <c r="LSQ144" s="72"/>
      <c r="LSR144" s="72"/>
      <c r="LSS144" s="72"/>
      <c r="LST144" s="72"/>
      <c r="LSU144" s="72"/>
      <c r="LSV144" s="72"/>
      <c r="LSW144" s="72"/>
      <c r="LSX144" s="72"/>
      <c r="LSY144" s="72"/>
      <c r="LSZ144" s="72"/>
      <c r="LTA144" s="72"/>
      <c r="LTB144" s="72"/>
      <c r="LTC144" s="72"/>
      <c r="LTD144" s="72"/>
      <c r="LTE144" s="72"/>
      <c r="LTF144" s="72"/>
      <c r="LTG144" s="72"/>
      <c r="LTH144" s="72"/>
      <c r="LTI144" s="72"/>
      <c r="LTJ144" s="72"/>
      <c r="LTK144" s="72"/>
      <c r="LTL144" s="72"/>
      <c r="LTM144" s="72"/>
      <c r="LTN144" s="72"/>
      <c r="LTO144" s="72"/>
      <c r="LTP144" s="72"/>
      <c r="LTQ144" s="72"/>
      <c r="LTR144" s="72"/>
      <c r="LTS144" s="72"/>
      <c r="LTT144" s="72"/>
      <c r="LTU144" s="72"/>
      <c r="LTV144" s="72"/>
      <c r="LTW144" s="72"/>
      <c r="LTX144" s="72"/>
      <c r="LTY144" s="72"/>
      <c r="LTZ144" s="72"/>
      <c r="LUA144" s="72"/>
      <c r="LUB144" s="72"/>
      <c r="LUC144" s="72"/>
      <c r="LUD144" s="72"/>
      <c r="LUE144" s="72"/>
      <c r="LUF144" s="72"/>
      <c r="LUG144" s="72"/>
      <c r="LUH144" s="72"/>
      <c r="LUI144" s="72"/>
      <c r="LUJ144" s="72"/>
      <c r="LUK144" s="72"/>
      <c r="LUL144" s="72"/>
      <c r="LUM144" s="72"/>
      <c r="LUN144" s="72"/>
      <c r="LUO144" s="72"/>
      <c r="LUP144" s="72"/>
      <c r="LUQ144" s="72"/>
      <c r="LUR144" s="72"/>
      <c r="LUS144" s="72"/>
      <c r="LUT144" s="72"/>
      <c r="LUU144" s="72"/>
      <c r="LUV144" s="72"/>
      <c r="LUW144" s="72"/>
      <c r="LUX144" s="72"/>
      <c r="LUY144" s="72"/>
      <c r="LUZ144" s="72"/>
      <c r="LVA144" s="72"/>
      <c r="LVB144" s="72"/>
      <c r="LVC144" s="72"/>
      <c r="LVD144" s="72"/>
      <c r="LVE144" s="72"/>
      <c r="LVF144" s="72"/>
      <c r="LVG144" s="72"/>
      <c r="LVH144" s="72"/>
      <c r="LVI144" s="72"/>
      <c r="LVJ144" s="72"/>
      <c r="LVK144" s="72"/>
      <c r="LVL144" s="72"/>
      <c r="LVM144" s="72"/>
      <c r="LVN144" s="72"/>
      <c r="LVO144" s="72"/>
      <c r="LVP144" s="72"/>
      <c r="LVQ144" s="72"/>
      <c r="LVR144" s="72"/>
      <c r="LVS144" s="72"/>
      <c r="LVT144" s="72"/>
      <c r="LVU144" s="72"/>
      <c r="LVV144" s="72"/>
      <c r="LVW144" s="72"/>
      <c r="LVX144" s="72"/>
      <c r="LVY144" s="72"/>
      <c r="LVZ144" s="72"/>
      <c r="LWA144" s="72"/>
      <c r="LWB144" s="72"/>
      <c r="LWC144" s="72"/>
      <c r="LWD144" s="72"/>
      <c r="LWE144" s="72"/>
      <c r="LWF144" s="72"/>
      <c r="LWG144" s="72"/>
      <c r="LWH144" s="72"/>
      <c r="LWI144" s="72"/>
      <c r="LWJ144" s="72"/>
      <c r="LWK144" s="72"/>
      <c r="LWL144" s="72"/>
      <c r="LWM144" s="72"/>
      <c r="LWN144" s="72"/>
      <c r="LWO144" s="72"/>
      <c r="LWP144" s="72"/>
      <c r="LWQ144" s="72"/>
      <c r="LWR144" s="72"/>
      <c r="LWS144" s="72"/>
      <c r="LWT144" s="72"/>
      <c r="LWU144" s="72"/>
      <c r="LWV144" s="72"/>
      <c r="LWW144" s="72"/>
      <c r="LWX144" s="72"/>
      <c r="LWY144" s="72"/>
      <c r="LWZ144" s="72"/>
      <c r="LXA144" s="72"/>
      <c r="LXB144" s="72"/>
      <c r="LXC144" s="72"/>
      <c r="LXD144" s="72"/>
      <c r="LXE144" s="72"/>
      <c r="LXF144" s="72"/>
      <c r="LXG144" s="72"/>
      <c r="LXH144" s="72"/>
      <c r="LXI144" s="72"/>
      <c r="LXJ144" s="72"/>
      <c r="LXK144" s="72"/>
      <c r="LXL144" s="72"/>
      <c r="LXM144" s="72"/>
      <c r="LXN144" s="72"/>
      <c r="LXO144" s="72"/>
      <c r="LXP144" s="72"/>
      <c r="LXQ144" s="72"/>
      <c r="LXR144" s="72"/>
      <c r="LXS144" s="72"/>
      <c r="LXT144" s="72"/>
      <c r="LXU144" s="72"/>
      <c r="LXV144" s="72"/>
      <c r="LXW144" s="72"/>
      <c r="LXX144" s="72"/>
      <c r="LXY144" s="72"/>
      <c r="LXZ144" s="72"/>
      <c r="LYA144" s="72"/>
      <c r="LYB144" s="72"/>
      <c r="LYC144" s="72"/>
      <c r="LYD144" s="72"/>
      <c r="LYE144" s="72"/>
      <c r="LYF144" s="72"/>
      <c r="LYG144" s="72"/>
      <c r="LYH144" s="72"/>
      <c r="LYI144" s="72"/>
      <c r="LYJ144" s="72"/>
      <c r="LYK144" s="72"/>
      <c r="LYL144" s="72"/>
      <c r="LYM144" s="72"/>
      <c r="LYN144" s="72"/>
      <c r="LYO144" s="72"/>
      <c r="LYP144" s="72"/>
      <c r="LYQ144" s="72"/>
      <c r="LYR144" s="72"/>
      <c r="LYS144" s="72"/>
      <c r="LYT144" s="72"/>
      <c r="LYU144" s="72"/>
      <c r="LYV144" s="72"/>
      <c r="LYW144" s="72"/>
      <c r="LYX144" s="72"/>
      <c r="LYY144" s="72"/>
      <c r="LYZ144" s="72"/>
      <c r="LZA144" s="72"/>
      <c r="LZB144" s="72"/>
      <c r="LZC144" s="72"/>
      <c r="LZD144" s="72"/>
      <c r="LZE144" s="72"/>
      <c r="LZF144" s="72"/>
      <c r="LZG144" s="72"/>
      <c r="LZH144" s="72"/>
      <c r="LZI144" s="72"/>
      <c r="LZJ144" s="72"/>
      <c r="LZK144" s="72"/>
      <c r="LZL144" s="72"/>
      <c r="LZM144" s="72"/>
      <c r="LZN144" s="72"/>
      <c r="LZO144" s="72"/>
      <c r="LZP144" s="72"/>
      <c r="LZQ144" s="72"/>
      <c r="LZR144" s="72"/>
      <c r="LZS144" s="72"/>
      <c r="LZT144" s="72"/>
      <c r="LZU144" s="72"/>
      <c r="LZV144" s="72"/>
      <c r="LZW144" s="72"/>
      <c r="LZX144" s="72"/>
      <c r="LZY144" s="72"/>
      <c r="LZZ144" s="72"/>
      <c r="MAA144" s="72"/>
      <c r="MAB144" s="72"/>
      <c r="MAC144" s="72"/>
      <c r="MAD144" s="72"/>
      <c r="MAE144" s="72"/>
      <c r="MAF144" s="72"/>
      <c r="MAG144" s="72"/>
      <c r="MAH144" s="72"/>
      <c r="MAI144" s="72"/>
      <c r="MAJ144" s="72"/>
      <c r="MAK144" s="72"/>
      <c r="MAL144" s="72"/>
      <c r="MAM144" s="72"/>
      <c r="MAN144" s="72"/>
      <c r="MAO144" s="72"/>
      <c r="MAP144" s="72"/>
      <c r="MAQ144" s="72"/>
      <c r="MAR144" s="72"/>
      <c r="MAS144" s="72"/>
      <c r="MAT144" s="72"/>
      <c r="MAU144" s="72"/>
      <c r="MAV144" s="72"/>
      <c r="MAW144" s="72"/>
      <c r="MAX144" s="72"/>
      <c r="MAY144" s="72"/>
      <c r="MAZ144" s="72"/>
      <c r="MBA144" s="72"/>
      <c r="MBB144" s="72"/>
      <c r="MBC144" s="72"/>
      <c r="MBD144" s="72"/>
      <c r="MBE144" s="72"/>
      <c r="MBF144" s="72"/>
      <c r="MBG144" s="72"/>
      <c r="MBH144" s="72"/>
      <c r="MBI144" s="72"/>
      <c r="MBJ144" s="72"/>
      <c r="MBK144" s="72"/>
      <c r="MBL144" s="72"/>
      <c r="MBM144" s="72"/>
      <c r="MBN144" s="72"/>
      <c r="MBO144" s="72"/>
      <c r="MBP144" s="72"/>
      <c r="MBQ144" s="72"/>
      <c r="MBR144" s="72"/>
      <c r="MBS144" s="72"/>
      <c r="MBT144" s="72"/>
      <c r="MBU144" s="72"/>
      <c r="MBV144" s="72"/>
      <c r="MBW144" s="72"/>
      <c r="MBX144" s="72"/>
      <c r="MBY144" s="72"/>
      <c r="MBZ144" s="72"/>
      <c r="MCA144" s="72"/>
      <c r="MCB144" s="72"/>
      <c r="MCC144" s="72"/>
      <c r="MCD144" s="72"/>
      <c r="MCE144" s="72"/>
      <c r="MCF144" s="72"/>
      <c r="MCG144" s="72"/>
      <c r="MCH144" s="72"/>
      <c r="MCI144" s="72"/>
      <c r="MCJ144" s="72"/>
      <c r="MCK144" s="72"/>
      <c r="MCL144" s="72"/>
      <c r="MCM144" s="72"/>
      <c r="MCN144" s="72"/>
      <c r="MCO144" s="72"/>
      <c r="MCP144" s="72"/>
      <c r="MCQ144" s="72"/>
      <c r="MCR144" s="72"/>
      <c r="MCS144" s="72"/>
      <c r="MCT144" s="72"/>
      <c r="MCU144" s="72"/>
      <c r="MCV144" s="72"/>
      <c r="MCW144" s="72"/>
      <c r="MCX144" s="72"/>
      <c r="MCY144" s="72"/>
      <c r="MCZ144" s="72"/>
      <c r="MDA144" s="72"/>
      <c r="MDB144" s="72"/>
      <c r="MDC144" s="72"/>
      <c r="MDD144" s="72"/>
      <c r="MDE144" s="72"/>
      <c r="MDF144" s="72"/>
      <c r="MDG144" s="72"/>
      <c r="MDH144" s="72"/>
      <c r="MDI144" s="72"/>
      <c r="MDJ144" s="72"/>
      <c r="MDK144" s="72"/>
      <c r="MDL144" s="72"/>
      <c r="MDM144" s="72"/>
      <c r="MDN144" s="72"/>
      <c r="MDO144" s="72"/>
      <c r="MDP144" s="72"/>
      <c r="MDQ144" s="72"/>
      <c r="MDR144" s="72"/>
      <c r="MDS144" s="72"/>
      <c r="MDT144" s="72"/>
      <c r="MDU144" s="72"/>
      <c r="MDV144" s="72"/>
      <c r="MDW144" s="72"/>
      <c r="MDX144" s="72"/>
      <c r="MDY144" s="72"/>
      <c r="MDZ144" s="72"/>
      <c r="MEA144" s="72"/>
      <c r="MEB144" s="72"/>
      <c r="MEC144" s="72"/>
      <c r="MED144" s="72"/>
      <c r="MEE144" s="72"/>
      <c r="MEF144" s="72"/>
      <c r="MEG144" s="72"/>
      <c r="MEH144" s="72"/>
      <c r="MEI144" s="72"/>
      <c r="MEJ144" s="72"/>
      <c r="MEK144" s="72"/>
      <c r="MEL144" s="72"/>
      <c r="MEM144" s="72"/>
      <c r="MEN144" s="72"/>
      <c r="MEO144" s="72"/>
      <c r="MEP144" s="72"/>
      <c r="MEQ144" s="72"/>
      <c r="MER144" s="72"/>
      <c r="MES144" s="72"/>
      <c r="MET144" s="72"/>
      <c r="MEU144" s="72"/>
      <c r="MEV144" s="72"/>
      <c r="MEW144" s="72"/>
      <c r="MEX144" s="72"/>
      <c r="MEY144" s="72"/>
      <c r="MEZ144" s="72"/>
      <c r="MFA144" s="72"/>
      <c r="MFB144" s="72"/>
      <c r="MFC144" s="72"/>
      <c r="MFD144" s="72"/>
      <c r="MFE144" s="72"/>
      <c r="MFF144" s="72"/>
      <c r="MFG144" s="72"/>
      <c r="MFH144" s="72"/>
      <c r="MFI144" s="72"/>
      <c r="MFJ144" s="72"/>
      <c r="MFK144" s="72"/>
      <c r="MFL144" s="72"/>
      <c r="MFM144" s="72"/>
      <c r="MFN144" s="72"/>
      <c r="MFO144" s="72"/>
      <c r="MFP144" s="72"/>
      <c r="MFQ144" s="72"/>
      <c r="MFR144" s="72"/>
      <c r="MFS144" s="72"/>
      <c r="MFT144" s="72"/>
      <c r="MFU144" s="72"/>
      <c r="MFV144" s="72"/>
      <c r="MFW144" s="72"/>
      <c r="MFX144" s="72"/>
      <c r="MFY144" s="72"/>
      <c r="MFZ144" s="72"/>
      <c r="MGA144" s="72"/>
      <c r="MGB144" s="72"/>
      <c r="MGC144" s="72"/>
      <c r="MGD144" s="72"/>
      <c r="MGE144" s="72"/>
      <c r="MGF144" s="72"/>
      <c r="MGG144" s="72"/>
      <c r="MGH144" s="72"/>
      <c r="MGI144" s="72"/>
      <c r="MGJ144" s="72"/>
      <c r="MGK144" s="72"/>
      <c r="MGL144" s="72"/>
      <c r="MGM144" s="72"/>
      <c r="MGN144" s="72"/>
      <c r="MGO144" s="72"/>
      <c r="MGP144" s="72"/>
      <c r="MGQ144" s="72"/>
      <c r="MGR144" s="72"/>
      <c r="MGS144" s="72"/>
      <c r="MGT144" s="72"/>
      <c r="MGU144" s="72"/>
      <c r="MGV144" s="72"/>
      <c r="MGW144" s="72"/>
      <c r="MGX144" s="72"/>
      <c r="MGY144" s="72"/>
      <c r="MGZ144" s="72"/>
      <c r="MHA144" s="72"/>
      <c r="MHB144" s="72"/>
      <c r="MHC144" s="72"/>
      <c r="MHD144" s="72"/>
      <c r="MHE144" s="72"/>
      <c r="MHF144" s="72"/>
      <c r="MHG144" s="72"/>
      <c r="MHH144" s="72"/>
      <c r="MHI144" s="72"/>
      <c r="MHJ144" s="72"/>
      <c r="MHK144" s="72"/>
      <c r="MHL144" s="72"/>
      <c r="MHM144" s="72"/>
      <c r="MHN144" s="72"/>
      <c r="MHO144" s="72"/>
      <c r="MHP144" s="72"/>
      <c r="MHQ144" s="72"/>
      <c r="MHR144" s="72"/>
      <c r="MHS144" s="72"/>
      <c r="MHT144" s="72"/>
      <c r="MHU144" s="72"/>
      <c r="MHV144" s="72"/>
      <c r="MHW144" s="72"/>
      <c r="MHX144" s="72"/>
      <c r="MHY144" s="72"/>
      <c r="MHZ144" s="72"/>
      <c r="MIA144" s="72"/>
      <c r="MIB144" s="72"/>
      <c r="MIC144" s="72"/>
      <c r="MID144" s="72"/>
      <c r="MIE144" s="72"/>
      <c r="MIF144" s="72"/>
      <c r="MIG144" s="72"/>
      <c r="MIH144" s="72"/>
      <c r="MII144" s="72"/>
      <c r="MIJ144" s="72"/>
      <c r="MIK144" s="72"/>
      <c r="MIL144" s="72"/>
      <c r="MIM144" s="72"/>
      <c r="MIN144" s="72"/>
      <c r="MIO144" s="72"/>
      <c r="MIP144" s="72"/>
      <c r="MIQ144" s="72"/>
      <c r="MIR144" s="72"/>
      <c r="MIS144" s="72"/>
      <c r="MIT144" s="72"/>
      <c r="MIU144" s="72"/>
      <c r="MIV144" s="72"/>
      <c r="MIW144" s="72"/>
      <c r="MIX144" s="72"/>
      <c r="MIY144" s="72"/>
      <c r="MIZ144" s="72"/>
      <c r="MJA144" s="72"/>
      <c r="MJB144" s="72"/>
      <c r="MJC144" s="72"/>
      <c r="MJD144" s="72"/>
      <c r="MJE144" s="72"/>
      <c r="MJF144" s="72"/>
      <c r="MJG144" s="72"/>
      <c r="MJH144" s="72"/>
      <c r="MJI144" s="72"/>
      <c r="MJJ144" s="72"/>
      <c r="MJK144" s="72"/>
      <c r="MJL144" s="72"/>
      <c r="MJM144" s="72"/>
      <c r="MJN144" s="72"/>
      <c r="MJO144" s="72"/>
      <c r="MJP144" s="72"/>
      <c r="MJQ144" s="72"/>
      <c r="MJR144" s="72"/>
      <c r="MJS144" s="72"/>
      <c r="MJT144" s="72"/>
      <c r="MJU144" s="72"/>
      <c r="MJV144" s="72"/>
      <c r="MJW144" s="72"/>
      <c r="MJX144" s="72"/>
      <c r="MJY144" s="72"/>
      <c r="MJZ144" s="72"/>
      <c r="MKA144" s="72"/>
      <c r="MKB144" s="72"/>
      <c r="MKC144" s="72"/>
      <c r="MKD144" s="72"/>
      <c r="MKE144" s="72"/>
      <c r="MKF144" s="72"/>
      <c r="MKG144" s="72"/>
      <c r="MKH144" s="72"/>
      <c r="MKI144" s="72"/>
      <c r="MKJ144" s="72"/>
      <c r="MKK144" s="72"/>
      <c r="MKL144" s="72"/>
      <c r="MKM144" s="72"/>
      <c r="MKN144" s="72"/>
      <c r="MKO144" s="72"/>
      <c r="MKP144" s="72"/>
      <c r="MKQ144" s="72"/>
      <c r="MKR144" s="72"/>
      <c r="MKS144" s="72"/>
      <c r="MKT144" s="72"/>
      <c r="MKU144" s="72"/>
      <c r="MKV144" s="72"/>
      <c r="MKW144" s="72"/>
      <c r="MKX144" s="72"/>
      <c r="MKY144" s="72"/>
      <c r="MKZ144" s="72"/>
      <c r="MLA144" s="72"/>
      <c r="MLB144" s="72"/>
      <c r="MLC144" s="72"/>
      <c r="MLD144" s="72"/>
      <c r="MLE144" s="72"/>
      <c r="MLF144" s="72"/>
      <c r="MLG144" s="72"/>
      <c r="MLH144" s="72"/>
      <c r="MLI144" s="72"/>
      <c r="MLJ144" s="72"/>
      <c r="MLK144" s="72"/>
      <c r="MLL144" s="72"/>
      <c r="MLM144" s="72"/>
      <c r="MLN144" s="72"/>
      <c r="MLO144" s="72"/>
      <c r="MLP144" s="72"/>
      <c r="MLQ144" s="72"/>
      <c r="MLR144" s="72"/>
      <c r="MLS144" s="72"/>
      <c r="MLT144" s="72"/>
      <c r="MLU144" s="72"/>
      <c r="MLV144" s="72"/>
      <c r="MLW144" s="72"/>
      <c r="MLX144" s="72"/>
      <c r="MLY144" s="72"/>
      <c r="MLZ144" s="72"/>
      <c r="MMA144" s="72"/>
      <c r="MMB144" s="72"/>
      <c r="MMC144" s="72"/>
      <c r="MMD144" s="72"/>
      <c r="MME144" s="72"/>
      <c r="MMF144" s="72"/>
      <c r="MMG144" s="72"/>
      <c r="MMH144" s="72"/>
      <c r="MMI144" s="72"/>
      <c r="MMJ144" s="72"/>
      <c r="MMK144" s="72"/>
      <c r="MML144" s="72"/>
      <c r="MMM144" s="72"/>
      <c r="MMN144" s="72"/>
      <c r="MMO144" s="72"/>
      <c r="MMP144" s="72"/>
      <c r="MMQ144" s="72"/>
      <c r="MMR144" s="72"/>
      <c r="MMS144" s="72"/>
      <c r="MMT144" s="72"/>
      <c r="MMU144" s="72"/>
      <c r="MMV144" s="72"/>
      <c r="MMW144" s="72"/>
      <c r="MMX144" s="72"/>
      <c r="MMY144" s="72"/>
      <c r="MMZ144" s="72"/>
      <c r="MNA144" s="72"/>
      <c r="MNB144" s="72"/>
      <c r="MNC144" s="72"/>
      <c r="MND144" s="72"/>
      <c r="MNE144" s="72"/>
      <c r="MNF144" s="72"/>
      <c r="MNG144" s="72"/>
      <c r="MNH144" s="72"/>
      <c r="MNI144" s="72"/>
      <c r="MNJ144" s="72"/>
      <c r="MNK144" s="72"/>
      <c r="MNL144" s="72"/>
      <c r="MNM144" s="72"/>
      <c r="MNN144" s="72"/>
      <c r="MNO144" s="72"/>
      <c r="MNP144" s="72"/>
      <c r="MNQ144" s="72"/>
      <c r="MNR144" s="72"/>
      <c r="MNS144" s="72"/>
      <c r="MNT144" s="72"/>
      <c r="MNU144" s="72"/>
      <c r="MNV144" s="72"/>
      <c r="MNW144" s="72"/>
      <c r="MNX144" s="72"/>
      <c r="MNY144" s="72"/>
      <c r="MNZ144" s="72"/>
      <c r="MOA144" s="72"/>
      <c r="MOB144" s="72"/>
      <c r="MOC144" s="72"/>
      <c r="MOD144" s="72"/>
      <c r="MOE144" s="72"/>
      <c r="MOF144" s="72"/>
      <c r="MOG144" s="72"/>
      <c r="MOH144" s="72"/>
      <c r="MOI144" s="72"/>
      <c r="MOJ144" s="72"/>
      <c r="MOK144" s="72"/>
      <c r="MOL144" s="72"/>
      <c r="MOM144" s="72"/>
      <c r="MON144" s="72"/>
      <c r="MOO144" s="72"/>
      <c r="MOP144" s="72"/>
      <c r="MOQ144" s="72"/>
      <c r="MOR144" s="72"/>
      <c r="MOS144" s="72"/>
      <c r="MOT144" s="72"/>
      <c r="MOU144" s="72"/>
      <c r="MOV144" s="72"/>
      <c r="MOW144" s="72"/>
      <c r="MOX144" s="72"/>
      <c r="MOY144" s="72"/>
      <c r="MOZ144" s="72"/>
      <c r="MPA144" s="72"/>
      <c r="MPB144" s="72"/>
      <c r="MPC144" s="72"/>
      <c r="MPD144" s="72"/>
      <c r="MPE144" s="72"/>
      <c r="MPF144" s="72"/>
      <c r="MPG144" s="72"/>
      <c r="MPH144" s="72"/>
      <c r="MPI144" s="72"/>
      <c r="MPJ144" s="72"/>
      <c r="MPK144" s="72"/>
      <c r="MPL144" s="72"/>
      <c r="MPM144" s="72"/>
      <c r="MPN144" s="72"/>
      <c r="MPO144" s="72"/>
      <c r="MPP144" s="72"/>
      <c r="MPQ144" s="72"/>
      <c r="MPR144" s="72"/>
      <c r="MPS144" s="72"/>
      <c r="MPT144" s="72"/>
      <c r="MPU144" s="72"/>
      <c r="MPV144" s="72"/>
      <c r="MPW144" s="72"/>
      <c r="MPX144" s="72"/>
      <c r="MPY144" s="72"/>
      <c r="MPZ144" s="72"/>
      <c r="MQA144" s="72"/>
      <c r="MQB144" s="72"/>
      <c r="MQC144" s="72"/>
      <c r="MQD144" s="72"/>
      <c r="MQE144" s="72"/>
      <c r="MQF144" s="72"/>
      <c r="MQG144" s="72"/>
      <c r="MQH144" s="72"/>
      <c r="MQI144" s="72"/>
      <c r="MQJ144" s="72"/>
      <c r="MQK144" s="72"/>
      <c r="MQL144" s="72"/>
      <c r="MQM144" s="72"/>
      <c r="MQN144" s="72"/>
      <c r="MQO144" s="72"/>
      <c r="MQP144" s="72"/>
      <c r="MQQ144" s="72"/>
      <c r="MQR144" s="72"/>
      <c r="MQS144" s="72"/>
      <c r="MQT144" s="72"/>
      <c r="MQU144" s="72"/>
      <c r="MQV144" s="72"/>
      <c r="MQW144" s="72"/>
      <c r="MQX144" s="72"/>
      <c r="MQY144" s="72"/>
      <c r="MQZ144" s="72"/>
      <c r="MRA144" s="72"/>
      <c r="MRB144" s="72"/>
      <c r="MRC144" s="72"/>
      <c r="MRD144" s="72"/>
      <c r="MRE144" s="72"/>
      <c r="MRF144" s="72"/>
      <c r="MRG144" s="72"/>
      <c r="MRH144" s="72"/>
      <c r="MRI144" s="72"/>
      <c r="MRJ144" s="72"/>
      <c r="MRK144" s="72"/>
      <c r="MRL144" s="72"/>
      <c r="MRM144" s="72"/>
      <c r="MRN144" s="72"/>
      <c r="MRO144" s="72"/>
      <c r="MRP144" s="72"/>
      <c r="MRQ144" s="72"/>
      <c r="MRR144" s="72"/>
      <c r="MRS144" s="72"/>
      <c r="MRT144" s="72"/>
      <c r="MRU144" s="72"/>
      <c r="MRV144" s="72"/>
      <c r="MRW144" s="72"/>
      <c r="MRX144" s="72"/>
      <c r="MRY144" s="72"/>
      <c r="MRZ144" s="72"/>
      <c r="MSA144" s="72"/>
      <c r="MSB144" s="72"/>
      <c r="MSC144" s="72"/>
      <c r="MSD144" s="72"/>
      <c r="MSE144" s="72"/>
      <c r="MSF144" s="72"/>
      <c r="MSG144" s="72"/>
      <c r="MSH144" s="72"/>
      <c r="MSI144" s="72"/>
      <c r="MSJ144" s="72"/>
      <c r="MSK144" s="72"/>
      <c r="MSL144" s="72"/>
      <c r="MSM144" s="72"/>
      <c r="MSN144" s="72"/>
      <c r="MSO144" s="72"/>
      <c r="MSP144" s="72"/>
      <c r="MSQ144" s="72"/>
      <c r="MSR144" s="72"/>
      <c r="MSS144" s="72"/>
      <c r="MST144" s="72"/>
      <c r="MSU144" s="72"/>
      <c r="MSV144" s="72"/>
      <c r="MSW144" s="72"/>
      <c r="MSX144" s="72"/>
      <c r="MSY144" s="72"/>
      <c r="MSZ144" s="72"/>
      <c r="MTA144" s="72"/>
      <c r="MTB144" s="72"/>
      <c r="MTC144" s="72"/>
      <c r="MTD144" s="72"/>
      <c r="MTE144" s="72"/>
      <c r="MTF144" s="72"/>
      <c r="MTG144" s="72"/>
      <c r="MTH144" s="72"/>
      <c r="MTI144" s="72"/>
      <c r="MTJ144" s="72"/>
      <c r="MTK144" s="72"/>
      <c r="MTL144" s="72"/>
      <c r="MTM144" s="72"/>
      <c r="MTN144" s="72"/>
      <c r="MTO144" s="72"/>
      <c r="MTP144" s="72"/>
      <c r="MTQ144" s="72"/>
      <c r="MTR144" s="72"/>
      <c r="MTS144" s="72"/>
      <c r="MTT144" s="72"/>
      <c r="MTU144" s="72"/>
      <c r="MTV144" s="72"/>
      <c r="MTW144" s="72"/>
      <c r="MTX144" s="72"/>
      <c r="MTY144" s="72"/>
      <c r="MTZ144" s="72"/>
      <c r="MUA144" s="72"/>
      <c r="MUB144" s="72"/>
      <c r="MUC144" s="72"/>
      <c r="MUD144" s="72"/>
      <c r="MUE144" s="72"/>
      <c r="MUF144" s="72"/>
      <c r="MUG144" s="72"/>
      <c r="MUH144" s="72"/>
      <c r="MUI144" s="72"/>
      <c r="MUJ144" s="72"/>
      <c r="MUK144" s="72"/>
      <c r="MUL144" s="72"/>
      <c r="MUM144" s="72"/>
      <c r="MUN144" s="72"/>
      <c r="MUO144" s="72"/>
      <c r="MUP144" s="72"/>
      <c r="MUQ144" s="72"/>
      <c r="MUR144" s="72"/>
      <c r="MUS144" s="72"/>
      <c r="MUT144" s="72"/>
      <c r="MUU144" s="72"/>
      <c r="MUV144" s="72"/>
      <c r="MUW144" s="72"/>
      <c r="MUX144" s="72"/>
      <c r="MUY144" s="72"/>
      <c r="MUZ144" s="72"/>
      <c r="MVA144" s="72"/>
      <c r="MVB144" s="72"/>
      <c r="MVC144" s="72"/>
      <c r="MVD144" s="72"/>
      <c r="MVE144" s="72"/>
      <c r="MVF144" s="72"/>
      <c r="MVG144" s="72"/>
      <c r="MVH144" s="72"/>
      <c r="MVI144" s="72"/>
      <c r="MVJ144" s="72"/>
      <c r="MVK144" s="72"/>
      <c r="MVL144" s="72"/>
      <c r="MVM144" s="72"/>
      <c r="MVN144" s="72"/>
      <c r="MVO144" s="72"/>
      <c r="MVP144" s="72"/>
      <c r="MVQ144" s="72"/>
      <c r="MVR144" s="72"/>
      <c r="MVS144" s="72"/>
      <c r="MVT144" s="72"/>
      <c r="MVU144" s="72"/>
      <c r="MVV144" s="72"/>
      <c r="MVW144" s="72"/>
      <c r="MVX144" s="72"/>
      <c r="MVY144" s="72"/>
      <c r="MVZ144" s="72"/>
      <c r="MWA144" s="72"/>
      <c r="MWB144" s="72"/>
      <c r="MWC144" s="72"/>
      <c r="MWD144" s="72"/>
      <c r="MWE144" s="72"/>
      <c r="MWF144" s="72"/>
      <c r="MWG144" s="72"/>
      <c r="MWH144" s="72"/>
      <c r="MWI144" s="72"/>
      <c r="MWJ144" s="72"/>
      <c r="MWK144" s="72"/>
      <c r="MWL144" s="72"/>
      <c r="MWM144" s="72"/>
      <c r="MWN144" s="72"/>
      <c r="MWO144" s="72"/>
      <c r="MWP144" s="72"/>
      <c r="MWQ144" s="72"/>
      <c r="MWR144" s="72"/>
      <c r="MWS144" s="72"/>
      <c r="MWT144" s="72"/>
      <c r="MWU144" s="72"/>
      <c r="MWV144" s="72"/>
      <c r="MWW144" s="72"/>
      <c r="MWX144" s="72"/>
      <c r="MWY144" s="72"/>
      <c r="MWZ144" s="72"/>
      <c r="MXA144" s="72"/>
      <c r="MXB144" s="72"/>
      <c r="MXC144" s="72"/>
      <c r="MXD144" s="72"/>
      <c r="MXE144" s="72"/>
      <c r="MXF144" s="72"/>
      <c r="MXG144" s="72"/>
      <c r="MXH144" s="72"/>
      <c r="MXI144" s="72"/>
      <c r="MXJ144" s="72"/>
      <c r="MXK144" s="72"/>
      <c r="MXL144" s="72"/>
      <c r="MXM144" s="72"/>
      <c r="MXN144" s="72"/>
      <c r="MXO144" s="72"/>
      <c r="MXP144" s="72"/>
      <c r="MXQ144" s="72"/>
      <c r="MXR144" s="72"/>
      <c r="MXS144" s="72"/>
      <c r="MXT144" s="72"/>
      <c r="MXU144" s="72"/>
      <c r="MXV144" s="72"/>
      <c r="MXW144" s="72"/>
      <c r="MXX144" s="72"/>
      <c r="MXY144" s="72"/>
      <c r="MXZ144" s="72"/>
      <c r="MYA144" s="72"/>
      <c r="MYB144" s="72"/>
      <c r="MYC144" s="72"/>
      <c r="MYD144" s="72"/>
      <c r="MYE144" s="72"/>
      <c r="MYF144" s="72"/>
      <c r="MYG144" s="72"/>
      <c r="MYH144" s="72"/>
      <c r="MYI144" s="72"/>
      <c r="MYJ144" s="72"/>
      <c r="MYK144" s="72"/>
      <c r="MYL144" s="72"/>
      <c r="MYM144" s="72"/>
      <c r="MYN144" s="72"/>
      <c r="MYO144" s="72"/>
      <c r="MYP144" s="72"/>
      <c r="MYQ144" s="72"/>
      <c r="MYR144" s="72"/>
      <c r="MYS144" s="72"/>
      <c r="MYT144" s="72"/>
      <c r="MYU144" s="72"/>
      <c r="MYV144" s="72"/>
      <c r="MYW144" s="72"/>
      <c r="MYX144" s="72"/>
      <c r="MYY144" s="72"/>
      <c r="MYZ144" s="72"/>
      <c r="MZA144" s="72"/>
      <c r="MZB144" s="72"/>
      <c r="MZC144" s="72"/>
      <c r="MZD144" s="72"/>
      <c r="MZE144" s="72"/>
      <c r="MZF144" s="72"/>
      <c r="MZG144" s="72"/>
      <c r="MZH144" s="72"/>
      <c r="MZI144" s="72"/>
      <c r="MZJ144" s="72"/>
      <c r="MZK144" s="72"/>
      <c r="MZL144" s="72"/>
      <c r="MZM144" s="72"/>
      <c r="MZN144" s="72"/>
      <c r="MZO144" s="72"/>
      <c r="MZP144" s="72"/>
      <c r="MZQ144" s="72"/>
      <c r="MZR144" s="72"/>
      <c r="MZS144" s="72"/>
      <c r="MZT144" s="72"/>
      <c r="MZU144" s="72"/>
      <c r="MZV144" s="72"/>
      <c r="MZW144" s="72"/>
      <c r="MZX144" s="72"/>
      <c r="MZY144" s="72"/>
      <c r="MZZ144" s="72"/>
      <c r="NAA144" s="72"/>
      <c r="NAB144" s="72"/>
      <c r="NAC144" s="72"/>
      <c r="NAD144" s="72"/>
      <c r="NAE144" s="72"/>
      <c r="NAF144" s="72"/>
      <c r="NAG144" s="72"/>
      <c r="NAH144" s="72"/>
      <c r="NAI144" s="72"/>
      <c r="NAJ144" s="72"/>
      <c r="NAK144" s="72"/>
      <c r="NAL144" s="72"/>
      <c r="NAM144" s="72"/>
      <c r="NAN144" s="72"/>
      <c r="NAO144" s="72"/>
      <c r="NAP144" s="72"/>
      <c r="NAQ144" s="72"/>
      <c r="NAR144" s="72"/>
      <c r="NAS144" s="72"/>
      <c r="NAT144" s="72"/>
      <c r="NAU144" s="72"/>
      <c r="NAV144" s="72"/>
      <c r="NAW144" s="72"/>
      <c r="NAX144" s="72"/>
      <c r="NAY144" s="72"/>
      <c r="NAZ144" s="72"/>
      <c r="NBA144" s="72"/>
      <c r="NBB144" s="72"/>
      <c r="NBC144" s="72"/>
      <c r="NBD144" s="72"/>
      <c r="NBE144" s="72"/>
      <c r="NBF144" s="72"/>
      <c r="NBG144" s="72"/>
      <c r="NBH144" s="72"/>
      <c r="NBI144" s="72"/>
      <c r="NBJ144" s="72"/>
      <c r="NBK144" s="72"/>
      <c r="NBL144" s="72"/>
      <c r="NBM144" s="72"/>
      <c r="NBN144" s="72"/>
      <c r="NBO144" s="72"/>
      <c r="NBP144" s="72"/>
      <c r="NBQ144" s="72"/>
      <c r="NBR144" s="72"/>
      <c r="NBS144" s="72"/>
      <c r="NBT144" s="72"/>
      <c r="NBU144" s="72"/>
      <c r="NBV144" s="72"/>
      <c r="NBW144" s="72"/>
      <c r="NBX144" s="72"/>
      <c r="NBY144" s="72"/>
      <c r="NBZ144" s="72"/>
      <c r="NCA144" s="72"/>
      <c r="NCB144" s="72"/>
      <c r="NCC144" s="72"/>
      <c r="NCD144" s="72"/>
      <c r="NCE144" s="72"/>
      <c r="NCF144" s="72"/>
      <c r="NCG144" s="72"/>
      <c r="NCH144" s="72"/>
      <c r="NCI144" s="72"/>
      <c r="NCJ144" s="72"/>
      <c r="NCK144" s="72"/>
      <c r="NCL144" s="72"/>
      <c r="NCM144" s="72"/>
      <c r="NCN144" s="72"/>
      <c r="NCO144" s="72"/>
      <c r="NCP144" s="72"/>
      <c r="NCQ144" s="72"/>
      <c r="NCR144" s="72"/>
      <c r="NCS144" s="72"/>
      <c r="NCT144" s="72"/>
      <c r="NCU144" s="72"/>
      <c r="NCV144" s="72"/>
      <c r="NCW144" s="72"/>
      <c r="NCX144" s="72"/>
      <c r="NCY144" s="72"/>
      <c r="NCZ144" s="72"/>
      <c r="NDA144" s="72"/>
      <c r="NDB144" s="72"/>
      <c r="NDC144" s="72"/>
      <c r="NDD144" s="72"/>
      <c r="NDE144" s="72"/>
      <c r="NDF144" s="72"/>
      <c r="NDG144" s="72"/>
      <c r="NDH144" s="72"/>
      <c r="NDI144" s="72"/>
      <c r="NDJ144" s="72"/>
      <c r="NDK144" s="72"/>
      <c r="NDL144" s="72"/>
      <c r="NDM144" s="72"/>
      <c r="NDN144" s="72"/>
      <c r="NDO144" s="72"/>
      <c r="NDP144" s="72"/>
      <c r="NDQ144" s="72"/>
      <c r="NDR144" s="72"/>
      <c r="NDS144" s="72"/>
      <c r="NDT144" s="72"/>
      <c r="NDU144" s="72"/>
      <c r="NDV144" s="72"/>
      <c r="NDW144" s="72"/>
      <c r="NDX144" s="72"/>
      <c r="NDY144" s="72"/>
      <c r="NDZ144" s="72"/>
      <c r="NEA144" s="72"/>
      <c r="NEB144" s="72"/>
      <c r="NEC144" s="72"/>
      <c r="NED144" s="72"/>
      <c r="NEE144" s="72"/>
      <c r="NEF144" s="72"/>
      <c r="NEG144" s="72"/>
      <c r="NEH144" s="72"/>
      <c r="NEI144" s="72"/>
      <c r="NEJ144" s="72"/>
      <c r="NEK144" s="72"/>
      <c r="NEL144" s="72"/>
      <c r="NEM144" s="72"/>
      <c r="NEN144" s="72"/>
      <c r="NEO144" s="72"/>
      <c r="NEP144" s="72"/>
      <c r="NEQ144" s="72"/>
      <c r="NER144" s="72"/>
      <c r="NES144" s="72"/>
      <c r="NET144" s="72"/>
      <c r="NEU144" s="72"/>
      <c r="NEV144" s="72"/>
      <c r="NEW144" s="72"/>
      <c r="NEX144" s="72"/>
      <c r="NEY144" s="72"/>
      <c r="NEZ144" s="72"/>
      <c r="NFA144" s="72"/>
      <c r="NFB144" s="72"/>
      <c r="NFC144" s="72"/>
      <c r="NFD144" s="72"/>
      <c r="NFE144" s="72"/>
      <c r="NFF144" s="72"/>
      <c r="NFG144" s="72"/>
      <c r="NFH144" s="72"/>
      <c r="NFI144" s="72"/>
      <c r="NFJ144" s="72"/>
      <c r="NFK144" s="72"/>
      <c r="NFL144" s="72"/>
      <c r="NFM144" s="72"/>
      <c r="NFN144" s="72"/>
      <c r="NFO144" s="72"/>
      <c r="NFP144" s="72"/>
      <c r="NFQ144" s="72"/>
      <c r="NFR144" s="72"/>
      <c r="NFS144" s="72"/>
      <c r="NFT144" s="72"/>
      <c r="NFU144" s="72"/>
      <c r="NFV144" s="72"/>
      <c r="NFW144" s="72"/>
      <c r="NFX144" s="72"/>
      <c r="NFY144" s="72"/>
      <c r="NFZ144" s="72"/>
      <c r="NGA144" s="72"/>
      <c r="NGB144" s="72"/>
      <c r="NGC144" s="72"/>
      <c r="NGD144" s="72"/>
      <c r="NGE144" s="72"/>
      <c r="NGF144" s="72"/>
      <c r="NGG144" s="72"/>
      <c r="NGH144" s="72"/>
      <c r="NGI144" s="72"/>
      <c r="NGJ144" s="72"/>
      <c r="NGK144" s="72"/>
      <c r="NGL144" s="72"/>
      <c r="NGM144" s="72"/>
      <c r="NGN144" s="72"/>
      <c r="NGO144" s="72"/>
      <c r="NGP144" s="72"/>
      <c r="NGQ144" s="72"/>
      <c r="NGR144" s="72"/>
      <c r="NGS144" s="72"/>
      <c r="NGT144" s="72"/>
      <c r="NGU144" s="72"/>
      <c r="NGV144" s="72"/>
      <c r="NGW144" s="72"/>
      <c r="NGX144" s="72"/>
      <c r="NGY144" s="72"/>
      <c r="NGZ144" s="72"/>
      <c r="NHA144" s="72"/>
      <c r="NHB144" s="72"/>
      <c r="NHC144" s="72"/>
      <c r="NHD144" s="72"/>
      <c r="NHE144" s="72"/>
      <c r="NHF144" s="72"/>
      <c r="NHG144" s="72"/>
      <c r="NHH144" s="72"/>
      <c r="NHI144" s="72"/>
      <c r="NHJ144" s="72"/>
      <c r="NHK144" s="72"/>
      <c r="NHL144" s="72"/>
      <c r="NHM144" s="72"/>
      <c r="NHN144" s="72"/>
      <c r="NHO144" s="72"/>
      <c r="NHP144" s="72"/>
      <c r="NHQ144" s="72"/>
      <c r="NHR144" s="72"/>
      <c r="NHS144" s="72"/>
      <c r="NHT144" s="72"/>
      <c r="NHU144" s="72"/>
      <c r="NHV144" s="72"/>
      <c r="NHW144" s="72"/>
      <c r="NHX144" s="72"/>
      <c r="NHY144" s="72"/>
      <c r="NHZ144" s="72"/>
      <c r="NIA144" s="72"/>
      <c r="NIB144" s="72"/>
      <c r="NIC144" s="72"/>
      <c r="NID144" s="72"/>
      <c r="NIE144" s="72"/>
      <c r="NIF144" s="72"/>
      <c r="NIG144" s="72"/>
      <c r="NIH144" s="72"/>
      <c r="NII144" s="72"/>
      <c r="NIJ144" s="72"/>
      <c r="NIK144" s="72"/>
      <c r="NIL144" s="72"/>
      <c r="NIM144" s="72"/>
      <c r="NIN144" s="72"/>
      <c r="NIO144" s="72"/>
      <c r="NIP144" s="72"/>
      <c r="NIQ144" s="72"/>
      <c r="NIR144" s="72"/>
      <c r="NIS144" s="72"/>
      <c r="NIT144" s="72"/>
      <c r="NIU144" s="72"/>
      <c r="NIV144" s="72"/>
      <c r="NIW144" s="72"/>
      <c r="NIX144" s="72"/>
      <c r="NIY144" s="72"/>
      <c r="NIZ144" s="72"/>
      <c r="NJA144" s="72"/>
      <c r="NJB144" s="72"/>
      <c r="NJC144" s="72"/>
      <c r="NJD144" s="72"/>
      <c r="NJE144" s="72"/>
      <c r="NJF144" s="72"/>
      <c r="NJG144" s="72"/>
      <c r="NJH144" s="72"/>
      <c r="NJI144" s="72"/>
      <c r="NJJ144" s="72"/>
      <c r="NJK144" s="72"/>
      <c r="NJL144" s="72"/>
      <c r="NJM144" s="72"/>
      <c r="NJN144" s="72"/>
      <c r="NJO144" s="72"/>
      <c r="NJP144" s="72"/>
      <c r="NJQ144" s="72"/>
      <c r="NJR144" s="72"/>
      <c r="NJS144" s="72"/>
      <c r="NJT144" s="72"/>
      <c r="NJU144" s="72"/>
      <c r="NJV144" s="72"/>
      <c r="NJW144" s="72"/>
      <c r="NJX144" s="72"/>
      <c r="NJY144" s="72"/>
      <c r="NJZ144" s="72"/>
      <c r="NKA144" s="72"/>
      <c r="NKB144" s="72"/>
      <c r="NKC144" s="72"/>
      <c r="NKD144" s="72"/>
      <c r="NKE144" s="72"/>
      <c r="NKF144" s="72"/>
      <c r="NKG144" s="72"/>
      <c r="NKH144" s="72"/>
      <c r="NKI144" s="72"/>
      <c r="NKJ144" s="72"/>
      <c r="NKK144" s="72"/>
      <c r="NKL144" s="72"/>
      <c r="NKM144" s="72"/>
      <c r="NKN144" s="72"/>
      <c r="NKO144" s="72"/>
      <c r="NKP144" s="72"/>
      <c r="NKQ144" s="72"/>
      <c r="NKR144" s="72"/>
      <c r="NKS144" s="72"/>
      <c r="NKT144" s="72"/>
      <c r="NKU144" s="72"/>
      <c r="NKV144" s="72"/>
      <c r="NKW144" s="72"/>
      <c r="NKX144" s="72"/>
      <c r="NKY144" s="72"/>
      <c r="NKZ144" s="72"/>
      <c r="NLA144" s="72"/>
      <c r="NLB144" s="72"/>
      <c r="NLC144" s="72"/>
      <c r="NLD144" s="72"/>
      <c r="NLE144" s="72"/>
      <c r="NLF144" s="72"/>
      <c r="NLG144" s="72"/>
      <c r="NLH144" s="72"/>
      <c r="NLI144" s="72"/>
      <c r="NLJ144" s="72"/>
      <c r="NLK144" s="72"/>
      <c r="NLL144" s="72"/>
      <c r="NLM144" s="72"/>
      <c r="NLN144" s="72"/>
      <c r="NLO144" s="72"/>
      <c r="NLP144" s="72"/>
      <c r="NLQ144" s="72"/>
      <c r="NLR144" s="72"/>
      <c r="NLS144" s="72"/>
      <c r="NLT144" s="72"/>
      <c r="NLU144" s="72"/>
      <c r="NLV144" s="72"/>
      <c r="NLW144" s="72"/>
      <c r="NLX144" s="72"/>
      <c r="NLY144" s="72"/>
      <c r="NLZ144" s="72"/>
      <c r="NMA144" s="72"/>
      <c r="NMB144" s="72"/>
      <c r="NMC144" s="72"/>
      <c r="NMD144" s="72"/>
      <c r="NME144" s="72"/>
      <c r="NMF144" s="72"/>
      <c r="NMG144" s="72"/>
      <c r="NMH144" s="72"/>
      <c r="NMI144" s="72"/>
      <c r="NMJ144" s="72"/>
      <c r="NMK144" s="72"/>
      <c r="NML144" s="72"/>
      <c r="NMM144" s="72"/>
      <c r="NMN144" s="72"/>
      <c r="NMO144" s="72"/>
      <c r="NMP144" s="72"/>
      <c r="NMQ144" s="72"/>
      <c r="NMR144" s="72"/>
      <c r="NMS144" s="72"/>
      <c r="NMT144" s="72"/>
      <c r="NMU144" s="72"/>
      <c r="NMV144" s="72"/>
      <c r="NMW144" s="72"/>
      <c r="NMX144" s="72"/>
      <c r="NMY144" s="72"/>
      <c r="NMZ144" s="72"/>
      <c r="NNA144" s="72"/>
      <c r="NNB144" s="72"/>
      <c r="NNC144" s="72"/>
      <c r="NND144" s="72"/>
      <c r="NNE144" s="72"/>
      <c r="NNF144" s="72"/>
      <c r="NNG144" s="72"/>
      <c r="NNH144" s="72"/>
      <c r="NNI144" s="72"/>
      <c r="NNJ144" s="72"/>
      <c r="NNK144" s="72"/>
      <c r="NNL144" s="72"/>
      <c r="NNM144" s="72"/>
      <c r="NNN144" s="72"/>
      <c r="NNO144" s="72"/>
      <c r="NNP144" s="72"/>
      <c r="NNQ144" s="72"/>
      <c r="NNR144" s="72"/>
      <c r="NNS144" s="72"/>
      <c r="NNT144" s="72"/>
      <c r="NNU144" s="72"/>
      <c r="NNV144" s="72"/>
      <c r="NNW144" s="72"/>
      <c r="NNX144" s="72"/>
      <c r="NNY144" s="72"/>
      <c r="NNZ144" s="72"/>
      <c r="NOA144" s="72"/>
      <c r="NOB144" s="72"/>
      <c r="NOC144" s="72"/>
      <c r="NOD144" s="72"/>
      <c r="NOE144" s="72"/>
      <c r="NOF144" s="72"/>
      <c r="NOG144" s="72"/>
      <c r="NOH144" s="72"/>
      <c r="NOI144" s="72"/>
      <c r="NOJ144" s="72"/>
      <c r="NOK144" s="72"/>
      <c r="NOL144" s="72"/>
      <c r="NOM144" s="72"/>
      <c r="NON144" s="72"/>
      <c r="NOO144" s="72"/>
      <c r="NOP144" s="72"/>
      <c r="NOQ144" s="72"/>
      <c r="NOR144" s="72"/>
      <c r="NOS144" s="72"/>
      <c r="NOT144" s="72"/>
      <c r="NOU144" s="72"/>
      <c r="NOV144" s="72"/>
      <c r="NOW144" s="72"/>
      <c r="NOX144" s="72"/>
      <c r="NOY144" s="72"/>
      <c r="NOZ144" s="72"/>
      <c r="NPA144" s="72"/>
      <c r="NPB144" s="72"/>
      <c r="NPC144" s="72"/>
      <c r="NPD144" s="72"/>
      <c r="NPE144" s="72"/>
      <c r="NPF144" s="72"/>
      <c r="NPG144" s="72"/>
      <c r="NPH144" s="72"/>
      <c r="NPI144" s="72"/>
      <c r="NPJ144" s="72"/>
      <c r="NPK144" s="72"/>
      <c r="NPL144" s="72"/>
      <c r="NPM144" s="72"/>
      <c r="NPN144" s="72"/>
      <c r="NPO144" s="72"/>
      <c r="NPP144" s="72"/>
      <c r="NPQ144" s="72"/>
      <c r="NPR144" s="72"/>
      <c r="NPS144" s="72"/>
      <c r="NPT144" s="72"/>
      <c r="NPU144" s="72"/>
      <c r="NPV144" s="72"/>
      <c r="NPW144" s="72"/>
      <c r="NPX144" s="72"/>
      <c r="NPY144" s="72"/>
      <c r="NPZ144" s="72"/>
      <c r="NQA144" s="72"/>
      <c r="NQB144" s="72"/>
      <c r="NQC144" s="72"/>
      <c r="NQD144" s="72"/>
      <c r="NQE144" s="72"/>
      <c r="NQF144" s="72"/>
      <c r="NQG144" s="72"/>
      <c r="NQH144" s="72"/>
      <c r="NQI144" s="72"/>
      <c r="NQJ144" s="72"/>
      <c r="NQK144" s="72"/>
      <c r="NQL144" s="72"/>
      <c r="NQM144" s="72"/>
      <c r="NQN144" s="72"/>
      <c r="NQO144" s="72"/>
      <c r="NQP144" s="72"/>
      <c r="NQQ144" s="72"/>
      <c r="NQR144" s="72"/>
      <c r="NQS144" s="72"/>
      <c r="NQT144" s="72"/>
      <c r="NQU144" s="72"/>
      <c r="NQV144" s="72"/>
      <c r="NQW144" s="72"/>
      <c r="NQX144" s="72"/>
      <c r="NQY144" s="72"/>
      <c r="NQZ144" s="72"/>
      <c r="NRA144" s="72"/>
      <c r="NRB144" s="72"/>
      <c r="NRC144" s="72"/>
      <c r="NRD144" s="72"/>
      <c r="NRE144" s="72"/>
      <c r="NRF144" s="72"/>
      <c r="NRG144" s="72"/>
      <c r="NRH144" s="72"/>
      <c r="NRI144" s="72"/>
      <c r="NRJ144" s="72"/>
      <c r="NRK144" s="72"/>
      <c r="NRL144" s="72"/>
      <c r="NRM144" s="72"/>
      <c r="NRN144" s="72"/>
      <c r="NRO144" s="72"/>
      <c r="NRP144" s="72"/>
      <c r="NRQ144" s="72"/>
      <c r="NRR144" s="72"/>
      <c r="NRS144" s="72"/>
      <c r="NRT144" s="72"/>
      <c r="NRU144" s="72"/>
      <c r="NRV144" s="72"/>
      <c r="NRW144" s="72"/>
      <c r="NRX144" s="72"/>
      <c r="NRY144" s="72"/>
      <c r="NRZ144" s="72"/>
      <c r="NSA144" s="72"/>
      <c r="NSB144" s="72"/>
      <c r="NSC144" s="72"/>
      <c r="NSD144" s="72"/>
      <c r="NSE144" s="72"/>
      <c r="NSF144" s="72"/>
      <c r="NSG144" s="72"/>
      <c r="NSH144" s="72"/>
      <c r="NSI144" s="72"/>
      <c r="NSJ144" s="72"/>
      <c r="NSK144" s="72"/>
      <c r="NSL144" s="72"/>
      <c r="NSM144" s="72"/>
      <c r="NSN144" s="72"/>
      <c r="NSO144" s="72"/>
      <c r="NSP144" s="72"/>
      <c r="NSQ144" s="72"/>
      <c r="NSR144" s="72"/>
      <c r="NSS144" s="72"/>
      <c r="NST144" s="72"/>
      <c r="NSU144" s="72"/>
      <c r="NSV144" s="72"/>
      <c r="NSW144" s="72"/>
      <c r="NSX144" s="72"/>
      <c r="NSY144" s="72"/>
      <c r="NSZ144" s="72"/>
      <c r="NTA144" s="72"/>
      <c r="NTB144" s="72"/>
      <c r="NTC144" s="72"/>
      <c r="NTD144" s="72"/>
      <c r="NTE144" s="72"/>
      <c r="NTF144" s="72"/>
      <c r="NTG144" s="72"/>
      <c r="NTH144" s="72"/>
      <c r="NTI144" s="72"/>
      <c r="NTJ144" s="72"/>
      <c r="NTK144" s="72"/>
      <c r="NTL144" s="72"/>
      <c r="NTM144" s="72"/>
      <c r="NTN144" s="72"/>
      <c r="NTO144" s="72"/>
      <c r="NTP144" s="72"/>
      <c r="NTQ144" s="72"/>
      <c r="NTR144" s="72"/>
      <c r="NTS144" s="72"/>
      <c r="NTT144" s="72"/>
      <c r="NTU144" s="72"/>
      <c r="NTV144" s="72"/>
      <c r="NTW144" s="72"/>
      <c r="NTX144" s="72"/>
      <c r="NTY144" s="72"/>
      <c r="NTZ144" s="72"/>
      <c r="NUA144" s="72"/>
      <c r="NUB144" s="72"/>
      <c r="NUC144" s="72"/>
      <c r="NUD144" s="72"/>
      <c r="NUE144" s="72"/>
      <c r="NUF144" s="72"/>
      <c r="NUG144" s="72"/>
      <c r="NUH144" s="72"/>
      <c r="NUI144" s="72"/>
      <c r="NUJ144" s="72"/>
      <c r="NUK144" s="72"/>
      <c r="NUL144" s="72"/>
      <c r="NUM144" s="72"/>
      <c r="NUN144" s="72"/>
      <c r="NUO144" s="72"/>
      <c r="NUP144" s="72"/>
      <c r="NUQ144" s="72"/>
      <c r="NUR144" s="72"/>
      <c r="NUS144" s="72"/>
      <c r="NUT144" s="72"/>
      <c r="NUU144" s="72"/>
      <c r="NUV144" s="72"/>
      <c r="NUW144" s="72"/>
      <c r="NUX144" s="72"/>
      <c r="NUY144" s="72"/>
      <c r="NUZ144" s="72"/>
      <c r="NVA144" s="72"/>
      <c r="NVB144" s="72"/>
      <c r="NVC144" s="72"/>
      <c r="NVD144" s="72"/>
      <c r="NVE144" s="72"/>
      <c r="NVF144" s="72"/>
      <c r="NVG144" s="72"/>
      <c r="NVH144" s="72"/>
      <c r="NVI144" s="72"/>
      <c r="NVJ144" s="72"/>
      <c r="NVK144" s="72"/>
      <c r="NVL144" s="72"/>
      <c r="NVM144" s="72"/>
      <c r="NVN144" s="72"/>
      <c r="NVO144" s="72"/>
      <c r="NVP144" s="72"/>
      <c r="NVQ144" s="72"/>
      <c r="NVR144" s="72"/>
      <c r="NVS144" s="72"/>
      <c r="NVT144" s="72"/>
      <c r="NVU144" s="72"/>
      <c r="NVV144" s="72"/>
      <c r="NVW144" s="72"/>
      <c r="NVX144" s="72"/>
      <c r="NVY144" s="72"/>
      <c r="NVZ144" s="72"/>
      <c r="NWA144" s="72"/>
      <c r="NWB144" s="72"/>
      <c r="NWC144" s="72"/>
      <c r="NWD144" s="72"/>
      <c r="NWE144" s="72"/>
      <c r="NWF144" s="72"/>
      <c r="NWG144" s="72"/>
      <c r="NWH144" s="72"/>
      <c r="NWI144" s="72"/>
      <c r="NWJ144" s="72"/>
      <c r="NWK144" s="72"/>
      <c r="NWL144" s="72"/>
      <c r="NWM144" s="72"/>
      <c r="NWN144" s="72"/>
      <c r="NWO144" s="72"/>
      <c r="NWP144" s="72"/>
      <c r="NWQ144" s="72"/>
      <c r="NWR144" s="72"/>
      <c r="NWS144" s="72"/>
      <c r="NWT144" s="72"/>
      <c r="NWU144" s="72"/>
      <c r="NWV144" s="72"/>
      <c r="NWW144" s="72"/>
      <c r="NWX144" s="72"/>
      <c r="NWY144" s="72"/>
      <c r="NWZ144" s="72"/>
      <c r="NXA144" s="72"/>
      <c r="NXB144" s="72"/>
      <c r="NXC144" s="72"/>
      <c r="NXD144" s="72"/>
      <c r="NXE144" s="72"/>
      <c r="NXF144" s="72"/>
      <c r="NXG144" s="72"/>
      <c r="NXH144" s="72"/>
      <c r="NXI144" s="72"/>
      <c r="NXJ144" s="72"/>
      <c r="NXK144" s="72"/>
      <c r="NXL144" s="72"/>
      <c r="NXM144" s="72"/>
      <c r="NXN144" s="72"/>
      <c r="NXO144" s="72"/>
      <c r="NXP144" s="72"/>
      <c r="NXQ144" s="72"/>
      <c r="NXR144" s="72"/>
      <c r="NXS144" s="72"/>
      <c r="NXT144" s="72"/>
      <c r="NXU144" s="72"/>
      <c r="NXV144" s="72"/>
      <c r="NXW144" s="72"/>
      <c r="NXX144" s="72"/>
      <c r="NXY144" s="72"/>
      <c r="NXZ144" s="72"/>
      <c r="NYA144" s="72"/>
      <c r="NYB144" s="72"/>
      <c r="NYC144" s="72"/>
      <c r="NYD144" s="72"/>
      <c r="NYE144" s="72"/>
      <c r="NYF144" s="72"/>
      <c r="NYG144" s="72"/>
      <c r="NYH144" s="72"/>
      <c r="NYI144" s="72"/>
      <c r="NYJ144" s="72"/>
      <c r="NYK144" s="72"/>
      <c r="NYL144" s="72"/>
      <c r="NYM144" s="72"/>
      <c r="NYN144" s="72"/>
      <c r="NYO144" s="72"/>
      <c r="NYP144" s="72"/>
      <c r="NYQ144" s="72"/>
      <c r="NYR144" s="72"/>
      <c r="NYS144" s="72"/>
      <c r="NYT144" s="72"/>
      <c r="NYU144" s="72"/>
      <c r="NYV144" s="72"/>
      <c r="NYW144" s="72"/>
      <c r="NYX144" s="72"/>
      <c r="NYY144" s="72"/>
      <c r="NYZ144" s="72"/>
      <c r="NZA144" s="72"/>
      <c r="NZB144" s="72"/>
      <c r="NZC144" s="72"/>
      <c r="NZD144" s="72"/>
      <c r="NZE144" s="72"/>
      <c r="NZF144" s="72"/>
      <c r="NZG144" s="72"/>
      <c r="NZH144" s="72"/>
      <c r="NZI144" s="72"/>
      <c r="NZJ144" s="72"/>
      <c r="NZK144" s="72"/>
      <c r="NZL144" s="72"/>
      <c r="NZM144" s="72"/>
      <c r="NZN144" s="72"/>
      <c r="NZO144" s="72"/>
      <c r="NZP144" s="72"/>
      <c r="NZQ144" s="72"/>
      <c r="NZR144" s="72"/>
      <c r="NZS144" s="72"/>
      <c r="NZT144" s="72"/>
      <c r="NZU144" s="72"/>
      <c r="NZV144" s="72"/>
      <c r="NZW144" s="72"/>
      <c r="NZX144" s="72"/>
      <c r="NZY144" s="72"/>
      <c r="NZZ144" s="72"/>
      <c r="OAA144" s="72"/>
      <c r="OAB144" s="72"/>
      <c r="OAC144" s="72"/>
      <c r="OAD144" s="72"/>
      <c r="OAE144" s="72"/>
      <c r="OAF144" s="72"/>
      <c r="OAG144" s="72"/>
      <c r="OAH144" s="72"/>
      <c r="OAI144" s="72"/>
      <c r="OAJ144" s="72"/>
      <c r="OAK144" s="72"/>
      <c r="OAL144" s="72"/>
      <c r="OAM144" s="72"/>
      <c r="OAN144" s="72"/>
      <c r="OAO144" s="72"/>
      <c r="OAP144" s="72"/>
      <c r="OAQ144" s="72"/>
      <c r="OAR144" s="72"/>
      <c r="OAS144" s="72"/>
      <c r="OAT144" s="72"/>
      <c r="OAU144" s="72"/>
      <c r="OAV144" s="72"/>
      <c r="OAW144" s="72"/>
      <c r="OAX144" s="72"/>
      <c r="OAY144" s="72"/>
      <c r="OAZ144" s="72"/>
      <c r="OBA144" s="72"/>
      <c r="OBB144" s="72"/>
      <c r="OBC144" s="72"/>
      <c r="OBD144" s="72"/>
      <c r="OBE144" s="72"/>
      <c r="OBF144" s="72"/>
      <c r="OBG144" s="72"/>
      <c r="OBH144" s="72"/>
      <c r="OBI144" s="72"/>
      <c r="OBJ144" s="72"/>
      <c r="OBK144" s="72"/>
      <c r="OBL144" s="72"/>
      <c r="OBM144" s="72"/>
      <c r="OBN144" s="72"/>
      <c r="OBO144" s="72"/>
      <c r="OBP144" s="72"/>
      <c r="OBQ144" s="72"/>
      <c r="OBR144" s="72"/>
      <c r="OBS144" s="72"/>
      <c r="OBT144" s="72"/>
      <c r="OBU144" s="72"/>
      <c r="OBV144" s="72"/>
      <c r="OBW144" s="72"/>
      <c r="OBX144" s="72"/>
      <c r="OBY144" s="72"/>
      <c r="OBZ144" s="72"/>
      <c r="OCA144" s="72"/>
      <c r="OCB144" s="72"/>
      <c r="OCC144" s="72"/>
      <c r="OCD144" s="72"/>
      <c r="OCE144" s="72"/>
      <c r="OCF144" s="72"/>
      <c r="OCG144" s="72"/>
      <c r="OCH144" s="72"/>
      <c r="OCI144" s="72"/>
      <c r="OCJ144" s="72"/>
      <c r="OCK144" s="72"/>
      <c r="OCL144" s="72"/>
      <c r="OCM144" s="72"/>
      <c r="OCN144" s="72"/>
      <c r="OCO144" s="72"/>
      <c r="OCP144" s="72"/>
      <c r="OCQ144" s="72"/>
      <c r="OCR144" s="72"/>
      <c r="OCS144" s="72"/>
      <c r="OCT144" s="72"/>
      <c r="OCU144" s="72"/>
      <c r="OCV144" s="72"/>
      <c r="OCW144" s="72"/>
      <c r="OCX144" s="72"/>
      <c r="OCY144" s="72"/>
      <c r="OCZ144" s="72"/>
      <c r="ODA144" s="72"/>
      <c r="ODB144" s="72"/>
      <c r="ODC144" s="72"/>
      <c r="ODD144" s="72"/>
      <c r="ODE144" s="72"/>
      <c r="ODF144" s="72"/>
      <c r="ODG144" s="72"/>
      <c r="ODH144" s="72"/>
      <c r="ODI144" s="72"/>
      <c r="ODJ144" s="72"/>
      <c r="ODK144" s="72"/>
      <c r="ODL144" s="72"/>
      <c r="ODM144" s="72"/>
      <c r="ODN144" s="72"/>
      <c r="ODO144" s="72"/>
      <c r="ODP144" s="72"/>
      <c r="ODQ144" s="72"/>
      <c r="ODR144" s="72"/>
      <c r="ODS144" s="72"/>
      <c r="ODT144" s="72"/>
      <c r="ODU144" s="72"/>
      <c r="ODV144" s="72"/>
      <c r="ODW144" s="72"/>
      <c r="ODX144" s="72"/>
      <c r="ODY144" s="72"/>
      <c r="ODZ144" s="72"/>
      <c r="OEA144" s="72"/>
      <c r="OEB144" s="72"/>
      <c r="OEC144" s="72"/>
      <c r="OED144" s="72"/>
      <c r="OEE144" s="72"/>
      <c r="OEF144" s="72"/>
      <c r="OEG144" s="72"/>
      <c r="OEH144" s="72"/>
      <c r="OEI144" s="72"/>
      <c r="OEJ144" s="72"/>
      <c r="OEK144" s="72"/>
      <c r="OEL144" s="72"/>
      <c r="OEM144" s="72"/>
      <c r="OEN144" s="72"/>
      <c r="OEO144" s="72"/>
      <c r="OEP144" s="72"/>
      <c r="OEQ144" s="72"/>
      <c r="OER144" s="72"/>
      <c r="OES144" s="72"/>
      <c r="OET144" s="72"/>
      <c r="OEU144" s="72"/>
      <c r="OEV144" s="72"/>
      <c r="OEW144" s="72"/>
      <c r="OEX144" s="72"/>
      <c r="OEY144" s="72"/>
      <c r="OEZ144" s="72"/>
      <c r="OFA144" s="72"/>
      <c r="OFB144" s="72"/>
      <c r="OFC144" s="72"/>
      <c r="OFD144" s="72"/>
      <c r="OFE144" s="72"/>
      <c r="OFF144" s="72"/>
      <c r="OFG144" s="72"/>
      <c r="OFH144" s="72"/>
      <c r="OFI144" s="72"/>
      <c r="OFJ144" s="72"/>
      <c r="OFK144" s="72"/>
      <c r="OFL144" s="72"/>
      <c r="OFM144" s="72"/>
      <c r="OFN144" s="72"/>
      <c r="OFO144" s="72"/>
      <c r="OFP144" s="72"/>
      <c r="OFQ144" s="72"/>
      <c r="OFR144" s="72"/>
      <c r="OFS144" s="72"/>
      <c r="OFT144" s="72"/>
      <c r="OFU144" s="72"/>
      <c r="OFV144" s="72"/>
      <c r="OFW144" s="72"/>
      <c r="OFX144" s="72"/>
      <c r="OFY144" s="72"/>
      <c r="OFZ144" s="72"/>
      <c r="OGA144" s="72"/>
      <c r="OGB144" s="72"/>
      <c r="OGC144" s="72"/>
      <c r="OGD144" s="72"/>
      <c r="OGE144" s="72"/>
      <c r="OGF144" s="72"/>
      <c r="OGG144" s="72"/>
      <c r="OGH144" s="72"/>
      <c r="OGI144" s="72"/>
      <c r="OGJ144" s="72"/>
      <c r="OGK144" s="72"/>
      <c r="OGL144" s="72"/>
      <c r="OGM144" s="72"/>
      <c r="OGN144" s="72"/>
      <c r="OGO144" s="72"/>
      <c r="OGP144" s="72"/>
      <c r="OGQ144" s="72"/>
      <c r="OGR144" s="72"/>
      <c r="OGS144" s="72"/>
      <c r="OGT144" s="72"/>
      <c r="OGU144" s="72"/>
      <c r="OGV144" s="72"/>
      <c r="OGW144" s="72"/>
      <c r="OGX144" s="72"/>
      <c r="OGY144" s="72"/>
      <c r="OGZ144" s="72"/>
      <c r="OHA144" s="72"/>
      <c r="OHB144" s="72"/>
      <c r="OHC144" s="72"/>
      <c r="OHD144" s="72"/>
      <c r="OHE144" s="72"/>
      <c r="OHF144" s="72"/>
      <c r="OHG144" s="72"/>
      <c r="OHH144" s="72"/>
      <c r="OHI144" s="72"/>
      <c r="OHJ144" s="72"/>
      <c r="OHK144" s="72"/>
      <c r="OHL144" s="72"/>
      <c r="OHM144" s="72"/>
      <c r="OHN144" s="72"/>
      <c r="OHO144" s="72"/>
      <c r="OHP144" s="72"/>
      <c r="OHQ144" s="72"/>
      <c r="OHR144" s="72"/>
      <c r="OHS144" s="72"/>
      <c r="OHT144" s="72"/>
      <c r="OHU144" s="72"/>
      <c r="OHV144" s="72"/>
      <c r="OHW144" s="72"/>
      <c r="OHX144" s="72"/>
      <c r="OHY144" s="72"/>
      <c r="OHZ144" s="72"/>
      <c r="OIA144" s="72"/>
      <c r="OIB144" s="72"/>
      <c r="OIC144" s="72"/>
      <c r="OID144" s="72"/>
      <c r="OIE144" s="72"/>
      <c r="OIF144" s="72"/>
      <c r="OIG144" s="72"/>
      <c r="OIH144" s="72"/>
      <c r="OII144" s="72"/>
      <c r="OIJ144" s="72"/>
      <c r="OIK144" s="72"/>
      <c r="OIL144" s="72"/>
      <c r="OIM144" s="72"/>
      <c r="OIN144" s="72"/>
      <c r="OIO144" s="72"/>
      <c r="OIP144" s="72"/>
      <c r="OIQ144" s="72"/>
      <c r="OIR144" s="72"/>
      <c r="OIS144" s="72"/>
      <c r="OIT144" s="72"/>
      <c r="OIU144" s="72"/>
      <c r="OIV144" s="72"/>
      <c r="OIW144" s="72"/>
      <c r="OIX144" s="72"/>
      <c r="OIY144" s="72"/>
      <c r="OIZ144" s="72"/>
      <c r="OJA144" s="72"/>
      <c r="OJB144" s="72"/>
      <c r="OJC144" s="72"/>
      <c r="OJD144" s="72"/>
      <c r="OJE144" s="72"/>
      <c r="OJF144" s="72"/>
      <c r="OJG144" s="72"/>
      <c r="OJH144" s="72"/>
      <c r="OJI144" s="72"/>
      <c r="OJJ144" s="72"/>
      <c r="OJK144" s="72"/>
      <c r="OJL144" s="72"/>
      <c r="OJM144" s="72"/>
      <c r="OJN144" s="72"/>
      <c r="OJO144" s="72"/>
      <c r="OJP144" s="72"/>
      <c r="OJQ144" s="72"/>
      <c r="OJR144" s="72"/>
      <c r="OJS144" s="72"/>
      <c r="OJT144" s="72"/>
      <c r="OJU144" s="72"/>
      <c r="OJV144" s="72"/>
      <c r="OJW144" s="72"/>
      <c r="OJX144" s="72"/>
      <c r="OJY144" s="72"/>
      <c r="OJZ144" s="72"/>
      <c r="OKA144" s="72"/>
      <c r="OKB144" s="72"/>
      <c r="OKC144" s="72"/>
      <c r="OKD144" s="72"/>
      <c r="OKE144" s="72"/>
      <c r="OKF144" s="72"/>
      <c r="OKG144" s="72"/>
      <c r="OKH144" s="72"/>
      <c r="OKI144" s="72"/>
      <c r="OKJ144" s="72"/>
      <c r="OKK144" s="72"/>
      <c r="OKL144" s="72"/>
      <c r="OKM144" s="72"/>
      <c r="OKN144" s="72"/>
      <c r="OKO144" s="72"/>
      <c r="OKP144" s="72"/>
      <c r="OKQ144" s="72"/>
      <c r="OKR144" s="72"/>
      <c r="OKS144" s="72"/>
      <c r="OKT144" s="72"/>
      <c r="OKU144" s="72"/>
      <c r="OKV144" s="72"/>
      <c r="OKW144" s="72"/>
      <c r="OKX144" s="72"/>
      <c r="OKY144" s="72"/>
      <c r="OKZ144" s="72"/>
      <c r="OLA144" s="72"/>
      <c r="OLB144" s="72"/>
      <c r="OLC144" s="72"/>
      <c r="OLD144" s="72"/>
      <c r="OLE144" s="72"/>
      <c r="OLF144" s="72"/>
      <c r="OLG144" s="72"/>
      <c r="OLH144" s="72"/>
      <c r="OLI144" s="72"/>
      <c r="OLJ144" s="72"/>
      <c r="OLK144" s="72"/>
      <c r="OLL144" s="72"/>
      <c r="OLM144" s="72"/>
      <c r="OLN144" s="72"/>
      <c r="OLO144" s="72"/>
      <c r="OLP144" s="72"/>
      <c r="OLQ144" s="72"/>
      <c r="OLR144" s="72"/>
      <c r="OLS144" s="72"/>
      <c r="OLT144" s="72"/>
      <c r="OLU144" s="72"/>
      <c r="OLV144" s="72"/>
      <c r="OLW144" s="72"/>
      <c r="OLX144" s="72"/>
      <c r="OLY144" s="72"/>
      <c r="OLZ144" s="72"/>
      <c r="OMA144" s="72"/>
      <c r="OMB144" s="72"/>
      <c r="OMC144" s="72"/>
      <c r="OMD144" s="72"/>
      <c r="OME144" s="72"/>
      <c r="OMF144" s="72"/>
      <c r="OMG144" s="72"/>
      <c r="OMH144" s="72"/>
      <c r="OMI144" s="72"/>
      <c r="OMJ144" s="72"/>
      <c r="OMK144" s="72"/>
      <c r="OML144" s="72"/>
      <c r="OMM144" s="72"/>
      <c r="OMN144" s="72"/>
      <c r="OMO144" s="72"/>
      <c r="OMP144" s="72"/>
      <c r="OMQ144" s="72"/>
      <c r="OMR144" s="72"/>
      <c r="OMS144" s="72"/>
      <c r="OMT144" s="72"/>
      <c r="OMU144" s="72"/>
      <c r="OMV144" s="72"/>
      <c r="OMW144" s="72"/>
      <c r="OMX144" s="72"/>
      <c r="OMY144" s="72"/>
      <c r="OMZ144" s="72"/>
      <c r="ONA144" s="72"/>
      <c r="ONB144" s="72"/>
      <c r="ONC144" s="72"/>
      <c r="OND144" s="72"/>
      <c r="ONE144" s="72"/>
      <c r="ONF144" s="72"/>
      <c r="ONG144" s="72"/>
      <c r="ONH144" s="72"/>
      <c r="ONI144" s="72"/>
      <c r="ONJ144" s="72"/>
      <c r="ONK144" s="72"/>
      <c r="ONL144" s="72"/>
      <c r="ONM144" s="72"/>
      <c r="ONN144" s="72"/>
      <c r="ONO144" s="72"/>
      <c r="ONP144" s="72"/>
      <c r="ONQ144" s="72"/>
      <c r="ONR144" s="72"/>
      <c r="ONS144" s="72"/>
      <c r="ONT144" s="72"/>
      <c r="ONU144" s="72"/>
      <c r="ONV144" s="72"/>
      <c r="ONW144" s="72"/>
      <c r="ONX144" s="72"/>
      <c r="ONY144" s="72"/>
      <c r="ONZ144" s="72"/>
      <c r="OOA144" s="72"/>
      <c r="OOB144" s="72"/>
      <c r="OOC144" s="72"/>
      <c r="OOD144" s="72"/>
      <c r="OOE144" s="72"/>
      <c r="OOF144" s="72"/>
      <c r="OOG144" s="72"/>
      <c r="OOH144" s="72"/>
      <c r="OOI144" s="72"/>
      <c r="OOJ144" s="72"/>
      <c r="OOK144" s="72"/>
      <c r="OOL144" s="72"/>
      <c r="OOM144" s="72"/>
      <c r="OON144" s="72"/>
      <c r="OOO144" s="72"/>
      <c r="OOP144" s="72"/>
      <c r="OOQ144" s="72"/>
      <c r="OOR144" s="72"/>
      <c r="OOS144" s="72"/>
      <c r="OOT144" s="72"/>
      <c r="OOU144" s="72"/>
      <c r="OOV144" s="72"/>
      <c r="OOW144" s="72"/>
      <c r="OOX144" s="72"/>
      <c r="OOY144" s="72"/>
      <c r="OOZ144" s="72"/>
      <c r="OPA144" s="72"/>
      <c r="OPB144" s="72"/>
      <c r="OPC144" s="72"/>
      <c r="OPD144" s="72"/>
      <c r="OPE144" s="72"/>
      <c r="OPF144" s="72"/>
      <c r="OPG144" s="72"/>
      <c r="OPH144" s="72"/>
      <c r="OPI144" s="72"/>
      <c r="OPJ144" s="72"/>
      <c r="OPK144" s="72"/>
      <c r="OPL144" s="72"/>
      <c r="OPM144" s="72"/>
      <c r="OPN144" s="72"/>
      <c r="OPO144" s="72"/>
      <c r="OPP144" s="72"/>
      <c r="OPQ144" s="72"/>
      <c r="OPR144" s="72"/>
      <c r="OPS144" s="72"/>
      <c r="OPT144" s="72"/>
      <c r="OPU144" s="72"/>
      <c r="OPV144" s="72"/>
      <c r="OPW144" s="72"/>
      <c r="OPX144" s="72"/>
      <c r="OPY144" s="72"/>
      <c r="OPZ144" s="72"/>
      <c r="OQA144" s="72"/>
      <c r="OQB144" s="72"/>
      <c r="OQC144" s="72"/>
      <c r="OQD144" s="72"/>
      <c r="OQE144" s="72"/>
      <c r="OQF144" s="72"/>
      <c r="OQG144" s="72"/>
      <c r="OQH144" s="72"/>
      <c r="OQI144" s="72"/>
      <c r="OQJ144" s="72"/>
      <c r="OQK144" s="72"/>
      <c r="OQL144" s="72"/>
      <c r="OQM144" s="72"/>
      <c r="OQN144" s="72"/>
      <c r="OQO144" s="72"/>
      <c r="OQP144" s="72"/>
      <c r="OQQ144" s="72"/>
      <c r="OQR144" s="72"/>
      <c r="OQS144" s="72"/>
      <c r="OQT144" s="72"/>
      <c r="OQU144" s="72"/>
      <c r="OQV144" s="72"/>
      <c r="OQW144" s="72"/>
      <c r="OQX144" s="72"/>
      <c r="OQY144" s="72"/>
      <c r="OQZ144" s="72"/>
      <c r="ORA144" s="72"/>
      <c r="ORB144" s="72"/>
      <c r="ORC144" s="72"/>
      <c r="ORD144" s="72"/>
      <c r="ORE144" s="72"/>
      <c r="ORF144" s="72"/>
      <c r="ORG144" s="72"/>
      <c r="ORH144" s="72"/>
      <c r="ORI144" s="72"/>
      <c r="ORJ144" s="72"/>
      <c r="ORK144" s="72"/>
      <c r="ORL144" s="72"/>
      <c r="ORM144" s="72"/>
      <c r="ORN144" s="72"/>
      <c r="ORO144" s="72"/>
      <c r="ORP144" s="72"/>
      <c r="ORQ144" s="72"/>
      <c r="ORR144" s="72"/>
      <c r="ORS144" s="72"/>
      <c r="ORT144" s="72"/>
      <c r="ORU144" s="72"/>
      <c r="ORV144" s="72"/>
      <c r="ORW144" s="72"/>
      <c r="ORX144" s="72"/>
      <c r="ORY144" s="72"/>
      <c r="ORZ144" s="72"/>
      <c r="OSA144" s="72"/>
      <c r="OSB144" s="72"/>
      <c r="OSC144" s="72"/>
      <c r="OSD144" s="72"/>
      <c r="OSE144" s="72"/>
      <c r="OSF144" s="72"/>
      <c r="OSG144" s="72"/>
      <c r="OSH144" s="72"/>
      <c r="OSI144" s="72"/>
      <c r="OSJ144" s="72"/>
      <c r="OSK144" s="72"/>
      <c r="OSL144" s="72"/>
      <c r="OSM144" s="72"/>
      <c r="OSN144" s="72"/>
      <c r="OSO144" s="72"/>
      <c r="OSP144" s="72"/>
      <c r="OSQ144" s="72"/>
      <c r="OSR144" s="72"/>
      <c r="OSS144" s="72"/>
      <c r="OST144" s="72"/>
      <c r="OSU144" s="72"/>
      <c r="OSV144" s="72"/>
      <c r="OSW144" s="72"/>
      <c r="OSX144" s="72"/>
      <c r="OSY144" s="72"/>
      <c r="OSZ144" s="72"/>
      <c r="OTA144" s="72"/>
      <c r="OTB144" s="72"/>
      <c r="OTC144" s="72"/>
      <c r="OTD144" s="72"/>
      <c r="OTE144" s="72"/>
      <c r="OTF144" s="72"/>
      <c r="OTG144" s="72"/>
      <c r="OTH144" s="72"/>
      <c r="OTI144" s="72"/>
      <c r="OTJ144" s="72"/>
      <c r="OTK144" s="72"/>
      <c r="OTL144" s="72"/>
      <c r="OTM144" s="72"/>
      <c r="OTN144" s="72"/>
      <c r="OTO144" s="72"/>
      <c r="OTP144" s="72"/>
      <c r="OTQ144" s="72"/>
      <c r="OTR144" s="72"/>
      <c r="OTS144" s="72"/>
      <c r="OTT144" s="72"/>
      <c r="OTU144" s="72"/>
      <c r="OTV144" s="72"/>
      <c r="OTW144" s="72"/>
      <c r="OTX144" s="72"/>
      <c r="OTY144" s="72"/>
      <c r="OTZ144" s="72"/>
      <c r="OUA144" s="72"/>
      <c r="OUB144" s="72"/>
      <c r="OUC144" s="72"/>
      <c r="OUD144" s="72"/>
      <c r="OUE144" s="72"/>
      <c r="OUF144" s="72"/>
      <c r="OUG144" s="72"/>
      <c r="OUH144" s="72"/>
      <c r="OUI144" s="72"/>
      <c r="OUJ144" s="72"/>
      <c r="OUK144" s="72"/>
      <c r="OUL144" s="72"/>
      <c r="OUM144" s="72"/>
      <c r="OUN144" s="72"/>
      <c r="OUO144" s="72"/>
      <c r="OUP144" s="72"/>
      <c r="OUQ144" s="72"/>
      <c r="OUR144" s="72"/>
      <c r="OUS144" s="72"/>
      <c r="OUT144" s="72"/>
      <c r="OUU144" s="72"/>
      <c r="OUV144" s="72"/>
      <c r="OUW144" s="72"/>
      <c r="OUX144" s="72"/>
      <c r="OUY144" s="72"/>
      <c r="OUZ144" s="72"/>
      <c r="OVA144" s="72"/>
      <c r="OVB144" s="72"/>
      <c r="OVC144" s="72"/>
      <c r="OVD144" s="72"/>
      <c r="OVE144" s="72"/>
      <c r="OVF144" s="72"/>
      <c r="OVG144" s="72"/>
      <c r="OVH144" s="72"/>
      <c r="OVI144" s="72"/>
      <c r="OVJ144" s="72"/>
      <c r="OVK144" s="72"/>
      <c r="OVL144" s="72"/>
      <c r="OVM144" s="72"/>
      <c r="OVN144" s="72"/>
      <c r="OVO144" s="72"/>
      <c r="OVP144" s="72"/>
      <c r="OVQ144" s="72"/>
      <c r="OVR144" s="72"/>
      <c r="OVS144" s="72"/>
      <c r="OVT144" s="72"/>
      <c r="OVU144" s="72"/>
      <c r="OVV144" s="72"/>
      <c r="OVW144" s="72"/>
      <c r="OVX144" s="72"/>
      <c r="OVY144" s="72"/>
      <c r="OVZ144" s="72"/>
      <c r="OWA144" s="72"/>
      <c r="OWB144" s="72"/>
      <c r="OWC144" s="72"/>
      <c r="OWD144" s="72"/>
      <c r="OWE144" s="72"/>
      <c r="OWF144" s="72"/>
      <c r="OWG144" s="72"/>
      <c r="OWH144" s="72"/>
      <c r="OWI144" s="72"/>
      <c r="OWJ144" s="72"/>
      <c r="OWK144" s="72"/>
      <c r="OWL144" s="72"/>
      <c r="OWM144" s="72"/>
      <c r="OWN144" s="72"/>
      <c r="OWO144" s="72"/>
      <c r="OWP144" s="72"/>
      <c r="OWQ144" s="72"/>
      <c r="OWR144" s="72"/>
      <c r="OWS144" s="72"/>
      <c r="OWT144" s="72"/>
      <c r="OWU144" s="72"/>
      <c r="OWV144" s="72"/>
      <c r="OWW144" s="72"/>
      <c r="OWX144" s="72"/>
      <c r="OWY144" s="72"/>
      <c r="OWZ144" s="72"/>
      <c r="OXA144" s="72"/>
      <c r="OXB144" s="72"/>
      <c r="OXC144" s="72"/>
      <c r="OXD144" s="72"/>
      <c r="OXE144" s="72"/>
      <c r="OXF144" s="72"/>
      <c r="OXG144" s="72"/>
      <c r="OXH144" s="72"/>
      <c r="OXI144" s="72"/>
      <c r="OXJ144" s="72"/>
      <c r="OXK144" s="72"/>
      <c r="OXL144" s="72"/>
      <c r="OXM144" s="72"/>
      <c r="OXN144" s="72"/>
      <c r="OXO144" s="72"/>
      <c r="OXP144" s="72"/>
      <c r="OXQ144" s="72"/>
      <c r="OXR144" s="72"/>
      <c r="OXS144" s="72"/>
      <c r="OXT144" s="72"/>
      <c r="OXU144" s="72"/>
      <c r="OXV144" s="72"/>
      <c r="OXW144" s="72"/>
      <c r="OXX144" s="72"/>
      <c r="OXY144" s="72"/>
      <c r="OXZ144" s="72"/>
      <c r="OYA144" s="72"/>
      <c r="OYB144" s="72"/>
      <c r="OYC144" s="72"/>
      <c r="OYD144" s="72"/>
      <c r="OYE144" s="72"/>
      <c r="OYF144" s="72"/>
      <c r="OYG144" s="72"/>
      <c r="OYH144" s="72"/>
      <c r="OYI144" s="72"/>
      <c r="OYJ144" s="72"/>
      <c r="OYK144" s="72"/>
      <c r="OYL144" s="72"/>
      <c r="OYM144" s="72"/>
      <c r="OYN144" s="72"/>
      <c r="OYO144" s="72"/>
      <c r="OYP144" s="72"/>
      <c r="OYQ144" s="72"/>
      <c r="OYR144" s="72"/>
      <c r="OYS144" s="72"/>
      <c r="OYT144" s="72"/>
      <c r="OYU144" s="72"/>
      <c r="OYV144" s="72"/>
      <c r="OYW144" s="72"/>
      <c r="OYX144" s="72"/>
      <c r="OYY144" s="72"/>
      <c r="OYZ144" s="72"/>
      <c r="OZA144" s="72"/>
      <c r="OZB144" s="72"/>
      <c r="OZC144" s="72"/>
      <c r="OZD144" s="72"/>
      <c r="OZE144" s="72"/>
      <c r="OZF144" s="72"/>
      <c r="OZG144" s="72"/>
      <c r="OZH144" s="72"/>
      <c r="OZI144" s="72"/>
      <c r="OZJ144" s="72"/>
      <c r="OZK144" s="72"/>
      <c r="OZL144" s="72"/>
      <c r="OZM144" s="72"/>
      <c r="OZN144" s="72"/>
      <c r="OZO144" s="72"/>
      <c r="OZP144" s="72"/>
      <c r="OZQ144" s="72"/>
      <c r="OZR144" s="72"/>
      <c r="OZS144" s="72"/>
      <c r="OZT144" s="72"/>
      <c r="OZU144" s="72"/>
      <c r="OZV144" s="72"/>
      <c r="OZW144" s="72"/>
      <c r="OZX144" s="72"/>
      <c r="OZY144" s="72"/>
      <c r="OZZ144" s="72"/>
      <c r="PAA144" s="72"/>
      <c r="PAB144" s="72"/>
      <c r="PAC144" s="72"/>
      <c r="PAD144" s="72"/>
      <c r="PAE144" s="72"/>
      <c r="PAF144" s="72"/>
      <c r="PAG144" s="72"/>
      <c r="PAH144" s="72"/>
      <c r="PAI144" s="72"/>
      <c r="PAJ144" s="72"/>
      <c r="PAK144" s="72"/>
      <c r="PAL144" s="72"/>
      <c r="PAM144" s="72"/>
      <c r="PAN144" s="72"/>
      <c r="PAO144" s="72"/>
      <c r="PAP144" s="72"/>
      <c r="PAQ144" s="72"/>
      <c r="PAR144" s="72"/>
      <c r="PAS144" s="72"/>
      <c r="PAT144" s="72"/>
      <c r="PAU144" s="72"/>
      <c r="PAV144" s="72"/>
      <c r="PAW144" s="72"/>
      <c r="PAX144" s="72"/>
      <c r="PAY144" s="72"/>
      <c r="PAZ144" s="72"/>
      <c r="PBA144" s="72"/>
      <c r="PBB144" s="72"/>
      <c r="PBC144" s="72"/>
      <c r="PBD144" s="72"/>
      <c r="PBE144" s="72"/>
      <c r="PBF144" s="72"/>
      <c r="PBG144" s="72"/>
      <c r="PBH144" s="72"/>
      <c r="PBI144" s="72"/>
      <c r="PBJ144" s="72"/>
      <c r="PBK144" s="72"/>
      <c r="PBL144" s="72"/>
      <c r="PBM144" s="72"/>
      <c r="PBN144" s="72"/>
      <c r="PBO144" s="72"/>
      <c r="PBP144" s="72"/>
      <c r="PBQ144" s="72"/>
      <c r="PBR144" s="72"/>
      <c r="PBS144" s="72"/>
      <c r="PBT144" s="72"/>
      <c r="PBU144" s="72"/>
      <c r="PBV144" s="72"/>
      <c r="PBW144" s="72"/>
      <c r="PBX144" s="72"/>
      <c r="PBY144" s="72"/>
      <c r="PBZ144" s="72"/>
      <c r="PCA144" s="72"/>
      <c r="PCB144" s="72"/>
      <c r="PCC144" s="72"/>
      <c r="PCD144" s="72"/>
      <c r="PCE144" s="72"/>
      <c r="PCF144" s="72"/>
      <c r="PCG144" s="72"/>
      <c r="PCH144" s="72"/>
      <c r="PCI144" s="72"/>
      <c r="PCJ144" s="72"/>
      <c r="PCK144" s="72"/>
      <c r="PCL144" s="72"/>
      <c r="PCM144" s="72"/>
      <c r="PCN144" s="72"/>
      <c r="PCO144" s="72"/>
      <c r="PCP144" s="72"/>
      <c r="PCQ144" s="72"/>
      <c r="PCR144" s="72"/>
      <c r="PCS144" s="72"/>
      <c r="PCT144" s="72"/>
      <c r="PCU144" s="72"/>
      <c r="PCV144" s="72"/>
      <c r="PCW144" s="72"/>
      <c r="PCX144" s="72"/>
      <c r="PCY144" s="72"/>
      <c r="PCZ144" s="72"/>
      <c r="PDA144" s="72"/>
      <c r="PDB144" s="72"/>
      <c r="PDC144" s="72"/>
      <c r="PDD144" s="72"/>
      <c r="PDE144" s="72"/>
      <c r="PDF144" s="72"/>
      <c r="PDG144" s="72"/>
      <c r="PDH144" s="72"/>
      <c r="PDI144" s="72"/>
      <c r="PDJ144" s="72"/>
      <c r="PDK144" s="72"/>
      <c r="PDL144" s="72"/>
      <c r="PDM144" s="72"/>
      <c r="PDN144" s="72"/>
      <c r="PDO144" s="72"/>
      <c r="PDP144" s="72"/>
      <c r="PDQ144" s="72"/>
      <c r="PDR144" s="72"/>
      <c r="PDS144" s="72"/>
      <c r="PDT144" s="72"/>
      <c r="PDU144" s="72"/>
      <c r="PDV144" s="72"/>
      <c r="PDW144" s="72"/>
      <c r="PDX144" s="72"/>
      <c r="PDY144" s="72"/>
      <c r="PDZ144" s="72"/>
      <c r="PEA144" s="72"/>
      <c r="PEB144" s="72"/>
      <c r="PEC144" s="72"/>
      <c r="PED144" s="72"/>
      <c r="PEE144" s="72"/>
      <c r="PEF144" s="72"/>
      <c r="PEG144" s="72"/>
      <c r="PEH144" s="72"/>
      <c r="PEI144" s="72"/>
      <c r="PEJ144" s="72"/>
      <c r="PEK144" s="72"/>
      <c r="PEL144" s="72"/>
      <c r="PEM144" s="72"/>
      <c r="PEN144" s="72"/>
      <c r="PEO144" s="72"/>
      <c r="PEP144" s="72"/>
      <c r="PEQ144" s="72"/>
      <c r="PER144" s="72"/>
      <c r="PES144" s="72"/>
      <c r="PET144" s="72"/>
      <c r="PEU144" s="72"/>
      <c r="PEV144" s="72"/>
      <c r="PEW144" s="72"/>
      <c r="PEX144" s="72"/>
      <c r="PEY144" s="72"/>
      <c r="PEZ144" s="72"/>
      <c r="PFA144" s="72"/>
      <c r="PFB144" s="72"/>
      <c r="PFC144" s="72"/>
      <c r="PFD144" s="72"/>
      <c r="PFE144" s="72"/>
      <c r="PFF144" s="72"/>
      <c r="PFG144" s="72"/>
      <c r="PFH144" s="72"/>
      <c r="PFI144" s="72"/>
      <c r="PFJ144" s="72"/>
      <c r="PFK144" s="72"/>
      <c r="PFL144" s="72"/>
      <c r="PFM144" s="72"/>
      <c r="PFN144" s="72"/>
      <c r="PFO144" s="72"/>
      <c r="PFP144" s="72"/>
      <c r="PFQ144" s="72"/>
      <c r="PFR144" s="72"/>
      <c r="PFS144" s="72"/>
      <c r="PFT144" s="72"/>
      <c r="PFU144" s="72"/>
      <c r="PFV144" s="72"/>
      <c r="PFW144" s="72"/>
      <c r="PFX144" s="72"/>
      <c r="PFY144" s="72"/>
      <c r="PFZ144" s="72"/>
      <c r="PGA144" s="72"/>
      <c r="PGB144" s="72"/>
      <c r="PGC144" s="72"/>
      <c r="PGD144" s="72"/>
      <c r="PGE144" s="72"/>
      <c r="PGF144" s="72"/>
      <c r="PGG144" s="72"/>
      <c r="PGH144" s="72"/>
      <c r="PGI144" s="72"/>
      <c r="PGJ144" s="72"/>
      <c r="PGK144" s="72"/>
      <c r="PGL144" s="72"/>
      <c r="PGM144" s="72"/>
      <c r="PGN144" s="72"/>
      <c r="PGO144" s="72"/>
      <c r="PGP144" s="72"/>
      <c r="PGQ144" s="72"/>
      <c r="PGR144" s="72"/>
      <c r="PGS144" s="72"/>
      <c r="PGT144" s="72"/>
      <c r="PGU144" s="72"/>
      <c r="PGV144" s="72"/>
      <c r="PGW144" s="72"/>
      <c r="PGX144" s="72"/>
      <c r="PGY144" s="72"/>
      <c r="PGZ144" s="72"/>
      <c r="PHA144" s="72"/>
      <c r="PHB144" s="72"/>
      <c r="PHC144" s="72"/>
      <c r="PHD144" s="72"/>
      <c r="PHE144" s="72"/>
      <c r="PHF144" s="72"/>
      <c r="PHG144" s="72"/>
      <c r="PHH144" s="72"/>
      <c r="PHI144" s="72"/>
      <c r="PHJ144" s="72"/>
      <c r="PHK144" s="72"/>
      <c r="PHL144" s="72"/>
      <c r="PHM144" s="72"/>
      <c r="PHN144" s="72"/>
      <c r="PHO144" s="72"/>
      <c r="PHP144" s="72"/>
      <c r="PHQ144" s="72"/>
      <c r="PHR144" s="72"/>
      <c r="PHS144" s="72"/>
      <c r="PHT144" s="72"/>
      <c r="PHU144" s="72"/>
      <c r="PHV144" s="72"/>
      <c r="PHW144" s="72"/>
      <c r="PHX144" s="72"/>
      <c r="PHY144" s="72"/>
      <c r="PHZ144" s="72"/>
      <c r="PIA144" s="72"/>
      <c r="PIB144" s="72"/>
      <c r="PIC144" s="72"/>
      <c r="PID144" s="72"/>
      <c r="PIE144" s="72"/>
      <c r="PIF144" s="72"/>
      <c r="PIG144" s="72"/>
      <c r="PIH144" s="72"/>
      <c r="PII144" s="72"/>
      <c r="PIJ144" s="72"/>
      <c r="PIK144" s="72"/>
      <c r="PIL144" s="72"/>
      <c r="PIM144" s="72"/>
      <c r="PIN144" s="72"/>
      <c r="PIO144" s="72"/>
      <c r="PIP144" s="72"/>
      <c r="PIQ144" s="72"/>
      <c r="PIR144" s="72"/>
      <c r="PIS144" s="72"/>
      <c r="PIT144" s="72"/>
      <c r="PIU144" s="72"/>
      <c r="PIV144" s="72"/>
      <c r="PIW144" s="72"/>
      <c r="PIX144" s="72"/>
      <c r="PIY144" s="72"/>
      <c r="PIZ144" s="72"/>
      <c r="PJA144" s="72"/>
      <c r="PJB144" s="72"/>
      <c r="PJC144" s="72"/>
      <c r="PJD144" s="72"/>
      <c r="PJE144" s="72"/>
      <c r="PJF144" s="72"/>
      <c r="PJG144" s="72"/>
      <c r="PJH144" s="72"/>
      <c r="PJI144" s="72"/>
      <c r="PJJ144" s="72"/>
      <c r="PJK144" s="72"/>
      <c r="PJL144" s="72"/>
      <c r="PJM144" s="72"/>
      <c r="PJN144" s="72"/>
      <c r="PJO144" s="72"/>
      <c r="PJP144" s="72"/>
      <c r="PJQ144" s="72"/>
      <c r="PJR144" s="72"/>
      <c r="PJS144" s="72"/>
      <c r="PJT144" s="72"/>
      <c r="PJU144" s="72"/>
      <c r="PJV144" s="72"/>
      <c r="PJW144" s="72"/>
      <c r="PJX144" s="72"/>
      <c r="PJY144" s="72"/>
      <c r="PJZ144" s="72"/>
      <c r="PKA144" s="72"/>
      <c r="PKB144" s="72"/>
      <c r="PKC144" s="72"/>
      <c r="PKD144" s="72"/>
      <c r="PKE144" s="72"/>
      <c r="PKF144" s="72"/>
      <c r="PKG144" s="72"/>
      <c r="PKH144" s="72"/>
      <c r="PKI144" s="72"/>
      <c r="PKJ144" s="72"/>
      <c r="PKK144" s="72"/>
      <c r="PKL144" s="72"/>
      <c r="PKM144" s="72"/>
      <c r="PKN144" s="72"/>
      <c r="PKO144" s="72"/>
      <c r="PKP144" s="72"/>
      <c r="PKQ144" s="72"/>
      <c r="PKR144" s="72"/>
      <c r="PKS144" s="72"/>
      <c r="PKT144" s="72"/>
      <c r="PKU144" s="72"/>
      <c r="PKV144" s="72"/>
      <c r="PKW144" s="72"/>
      <c r="PKX144" s="72"/>
      <c r="PKY144" s="72"/>
      <c r="PKZ144" s="72"/>
      <c r="PLA144" s="72"/>
      <c r="PLB144" s="72"/>
      <c r="PLC144" s="72"/>
      <c r="PLD144" s="72"/>
      <c r="PLE144" s="72"/>
      <c r="PLF144" s="72"/>
      <c r="PLG144" s="72"/>
      <c r="PLH144" s="72"/>
      <c r="PLI144" s="72"/>
      <c r="PLJ144" s="72"/>
      <c r="PLK144" s="72"/>
      <c r="PLL144" s="72"/>
      <c r="PLM144" s="72"/>
      <c r="PLN144" s="72"/>
      <c r="PLO144" s="72"/>
      <c r="PLP144" s="72"/>
      <c r="PLQ144" s="72"/>
      <c r="PLR144" s="72"/>
      <c r="PLS144" s="72"/>
      <c r="PLT144" s="72"/>
      <c r="PLU144" s="72"/>
      <c r="PLV144" s="72"/>
      <c r="PLW144" s="72"/>
      <c r="PLX144" s="72"/>
      <c r="PLY144" s="72"/>
      <c r="PLZ144" s="72"/>
      <c r="PMA144" s="72"/>
      <c r="PMB144" s="72"/>
      <c r="PMC144" s="72"/>
      <c r="PMD144" s="72"/>
      <c r="PME144" s="72"/>
      <c r="PMF144" s="72"/>
      <c r="PMG144" s="72"/>
      <c r="PMH144" s="72"/>
      <c r="PMI144" s="72"/>
      <c r="PMJ144" s="72"/>
      <c r="PMK144" s="72"/>
      <c r="PML144" s="72"/>
      <c r="PMM144" s="72"/>
      <c r="PMN144" s="72"/>
      <c r="PMO144" s="72"/>
      <c r="PMP144" s="72"/>
      <c r="PMQ144" s="72"/>
      <c r="PMR144" s="72"/>
      <c r="PMS144" s="72"/>
      <c r="PMT144" s="72"/>
      <c r="PMU144" s="72"/>
      <c r="PMV144" s="72"/>
      <c r="PMW144" s="72"/>
      <c r="PMX144" s="72"/>
      <c r="PMY144" s="72"/>
      <c r="PMZ144" s="72"/>
      <c r="PNA144" s="72"/>
      <c r="PNB144" s="72"/>
      <c r="PNC144" s="72"/>
      <c r="PND144" s="72"/>
      <c r="PNE144" s="72"/>
      <c r="PNF144" s="72"/>
      <c r="PNG144" s="72"/>
      <c r="PNH144" s="72"/>
      <c r="PNI144" s="72"/>
      <c r="PNJ144" s="72"/>
      <c r="PNK144" s="72"/>
      <c r="PNL144" s="72"/>
      <c r="PNM144" s="72"/>
      <c r="PNN144" s="72"/>
      <c r="PNO144" s="72"/>
      <c r="PNP144" s="72"/>
      <c r="PNQ144" s="72"/>
      <c r="PNR144" s="72"/>
      <c r="PNS144" s="72"/>
      <c r="PNT144" s="72"/>
      <c r="PNU144" s="72"/>
      <c r="PNV144" s="72"/>
      <c r="PNW144" s="72"/>
      <c r="PNX144" s="72"/>
      <c r="PNY144" s="72"/>
      <c r="PNZ144" s="72"/>
      <c r="POA144" s="72"/>
      <c r="POB144" s="72"/>
      <c r="POC144" s="72"/>
      <c r="POD144" s="72"/>
      <c r="POE144" s="72"/>
      <c r="POF144" s="72"/>
      <c r="POG144" s="72"/>
      <c r="POH144" s="72"/>
      <c r="POI144" s="72"/>
      <c r="POJ144" s="72"/>
      <c r="POK144" s="72"/>
      <c r="POL144" s="72"/>
      <c r="POM144" s="72"/>
      <c r="PON144" s="72"/>
      <c r="POO144" s="72"/>
      <c r="POP144" s="72"/>
      <c r="POQ144" s="72"/>
      <c r="POR144" s="72"/>
      <c r="POS144" s="72"/>
      <c r="POT144" s="72"/>
      <c r="POU144" s="72"/>
      <c r="POV144" s="72"/>
      <c r="POW144" s="72"/>
      <c r="POX144" s="72"/>
      <c r="POY144" s="72"/>
      <c r="POZ144" s="72"/>
      <c r="PPA144" s="72"/>
      <c r="PPB144" s="72"/>
      <c r="PPC144" s="72"/>
      <c r="PPD144" s="72"/>
      <c r="PPE144" s="72"/>
      <c r="PPF144" s="72"/>
      <c r="PPG144" s="72"/>
      <c r="PPH144" s="72"/>
      <c r="PPI144" s="72"/>
      <c r="PPJ144" s="72"/>
      <c r="PPK144" s="72"/>
      <c r="PPL144" s="72"/>
      <c r="PPM144" s="72"/>
      <c r="PPN144" s="72"/>
      <c r="PPO144" s="72"/>
      <c r="PPP144" s="72"/>
      <c r="PPQ144" s="72"/>
      <c r="PPR144" s="72"/>
      <c r="PPS144" s="72"/>
      <c r="PPT144" s="72"/>
      <c r="PPU144" s="72"/>
      <c r="PPV144" s="72"/>
      <c r="PPW144" s="72"/>
      <c r="PPX144" s="72"/>
      <c r="PPY144" s="72"/>
      <c r="PPZ144" s="72"/>
      <c r="PQA144" s="72"/>
      <c r="PQB144" s="72"/>
      <c r="PQC144" s="72"/>
      <c r="PQD144" s="72"/>
      <c r="PQE144" s="72"/>
      <c r="PQF144" s="72"/>
      <c r="PQG144" s="72"/>
      <c r="PQH144" s="72"/>
      <c r="PQI144" s="72"/>
      <c r="PQJ144" s="72"/>
      <c r="PQK144" s="72"/>
      <c r="PQL144" s="72"/>
      <c r="PQM144" s="72"/>
      <c r="PQN144" s="72"/>
      <c r="PQO144" s="72"/>
      <c r="PQP144" s="72"/>
      <c r="PQQ144" s="72"/>
      <c r="PQR144" s="72"/>
      <c r="PQS144" s="72"/>
      <c r="PQT144" s="72"/>
      <c r="PQU144" s="72"/>
      <c r="PQV144" s="72"/>
      <c r="PQW144" s="72"/>
      <c r="PQX144" s="72"/>
      <c r="PQY144" s="72"/>
      <c r="PQZ144" s="72"/>
      <c r="PRA144" s="72"/>
      <c r="PRB144" s="72"/>
      <c r="PRC144" s="72"/>
      <c r="PRD144" s="72"/>
      <c r="PRE144" s="72"/>
      <c r="PRF144" s="72"/>
      <c r="PRG144" s="72"/>
      <c r="PRH144" s="72"/>
      <c r="PRI144" s="72"/>
      <c r="PRJ144" s="72"/>
      <c r="PRK144" s="72"/>
      <c r="PRL144" s="72"/>
      <c r="PRM144" s="72"/>
      <c r="PRN144" s="72"/>
      <c r="PRO144" s="72"/>
      <c r="PRP144" s="72"/>
      <c r="PRQ144" s="72"/>
      <c r="PRR144" s="72"/>
      <c r="PRS144" s="72"/>
      <c r="PRT144" s="72"/>
      <c r="PRU144" s="72"/>
      <c r="PRV144" s="72"/>
      <c r="PRW144" s="72"/>
      <c r="PRX144" s="72"/>
      <c r="PRY144" s="72"/>
      <c r="PRZ144" s="72"/>
      <c r="PSA144" s="72"/>
      <c r="PSB144" s="72"/>
      <c r="PSC144" s="72"/>
      <c r="PSD144" s="72"/>
      <c r="PSE144" s="72"/>
      <c r="PSF144" s="72"/>
      <c r="PSG144" s="72"/>
      <c r="PSH144" s="72"/>
      <c r="PSI144" s="72"/>
      <c r="PSJ144" s="72"/>
      <c r="PSK144" s="72"/>
      <c r="PSL144" s="72"/>
      <c r="PSM144" s="72"/>
      <c r="PSN144" s="72"/>
      <c r="PSO144" s="72"/>
      <c r="PSP144" s="72"/>
      <c r="PSQ144" s="72"/>
      <c r="PSR144" s="72"/>
      <c r="PSS144" s="72"/>
      <c r="PST144" s="72"/>
      <c r="PSU144" s="72"/>
      <c r="PSV144" s="72"/>
      <c r="PSW144" s="72"/>
      <c r="PSX144" s="72"/>
      <c r="PSY144" s="72"/>
      <c r="PSZ144" s="72"/>
      <c r="PTA144" s="72"/>
      <c r="PTB144" s="72"/>
      <c r="PTC144" s="72"/>
      <c r="PTD144" s="72"/>
      <c r="PTE144" s="72"/>
      <c r="PTF144" s="72"/>
      <c r="PTG144" s="72"/>
      <c r="PTH144" s="72"/>
      <c r="PTI144" s="72"/>
      <c r="PTJ144" s="72"/>
      <c r="PTK144" s="72"/>
      <c r="PTL144" s="72"/>
      <c r="PTM144" s="72"/>
      <c r="PTN144" s="72"/>
      <c r="PTO144" s="72"/>
      <c r="PTP144" s="72"/>
      <c r="PTQ144" s="72"/>
      <c r="PTR144" s="72"/>
      <c r="PTS144" s="72"/>
      <c r="PTT144" s="72"/>
      <c r="PTU144" s="72"/>
      <c r="PTV144" s="72"/>
      <c r="PTW144" s="72"/>
      <c r="PTX144" s="72"/>
      <c r="PTY144" s="72"/>
      <c r="PTZ144" s="72"/>
      <c r="PUA144" s="72"/>
      <c r="PUB144" s="72"/>
      <c r="PUC144" s="72"/>
      <c r="PUD144" s="72"/>
      <c r="PUE144" s="72"/>
      <c r="PUF144" s="72"/>
      <c r="PUG144" s="72"/>
      <c r="PUH144" s="72"/>
      <c r="PUI144" s="72"/>
      <c r="PUJ144" s="72"/>
      <c r="PUK144" s="72"/>
      <c r="PUL144" s="72"/>
      <c r="PUM144" s="72"/>
      <c r="PUN144" s="72"/>
      <c r="PUO144" s="72"/>
      <c r="PUP144" s="72"/>
      <c r="PUQ144" s="72"/>
      <c r="PUR144" s="72"/>
      <c r="PUS144" s="72"/>
      <c r="PUT144" s="72"/>
      <c r="PUU144" s="72"/>
      <c r="PUV144" s="72"/>
      <c r="PUW144" s="72"/>
      <c r="PUX144" s="72"/>
      <c r="PUY144" s="72"/>
      <c r="PUZ144" s="72"/>
      <c r="PVA144" s="72"/>
      <c r="PVB144" s="72"/>
      <c r="PVC144" s="72"/>
      <c r="PVD144" s="72"/>
      <c r="PVE144" s="72"/>
      <c r="PVF144" s="72"/>
      <c r="PVG144" s="72"/>
      <c r="PVH144" s="72"/>
      <c r="PVI144" s="72"/>
      <c r="PVJ144" s="72"/>
      <c r="PVK144" s="72"/>
      <c r="PVL144" s="72"/>
      <c r="PVM144" s="72"/>
      <c r="PVN144" s="72"/>
      <c r="PVO144" s="72"/>
      <c r="PVP144" s="72"/>
      <c r="PVQ144" s="72"/>
      <c r="PVR144" s="72"/>
      <c r="PVS144" s="72"/>
      <c r="PVT144" s="72"/>
      <c r="PVU144" s="72"/>
      <c r="PVV144" s="72"/>
      <c r="PVW144" s="72"/>
      <c r="PVX144" s="72"/>
      <c r="PVY144" s="72"/>
      <c r="PVZ144" s="72"/>
      <c r="PWA144" s="72"/>
      <c r="PWB144" s="72"/>
      <c r="PWC144" s="72"/>
      <c r="PWD144" s="72"/>
      <c r="PWE144" s="72"/>
      <c r="PWF144" s="72"/>
      <c r="PWG144" s="72"/>
      <c r="PWH144" s="72"/>
      <c r="PWI144" s="72"/>
      <c r="PWJ144" s="72"/>
      <c r="PWK144" s="72"/>
      <c r="PWL144" s="72"/>
      <c r="PWM144" s="72"/>
      <c r="PWN144" s="72"/>
      <c r="PWO144" s="72"/>
      <c r="PWP144" s="72"/>
      <c r="PWQ144" s="72"/>
      <c r="PWR144" s="72"/>
      <c r="PWS144" s="72"/>
      <c r="PWT144" s="72"/>
      <c r="PWU144" s="72"/>
      <c r="PWV144" s="72"/>
      <c r="PWW144" s="72"/>
      <c r="PWX144" s="72"/>
      <c r="PWY144" s="72"/>
      <c r="PWZ144" s="72"/>
      <c r="PXA144" s="72"/>
      <c r="PXB144" s="72"/>
      <c r="PXC144" s="72"/>
      <c r="PXD144" s="72"/>
      <c r="PXE144" s="72"/>
      <c r="PXF144" s="72"/>
      <c r="PXG144" s="72"/>
      <c r="PXH144" s="72"/>
      <c r="PXI144" s="72"/>
      <c r="PXJ144" s="72"/>
      <c r="PXK144" s="72"/>
      <c r="PXL144" s="72"/>
      <c r="PXM144" s="72"/>
      <c r="PXN144" s="72"/>
      <c r="PXO144" s="72"/>
      <c r="PXP144" s="72"/>
      <c r="PXQ144" s="72"/>
      <c r="PXR144" s="72"/>
      <c r="PXS144" s="72"/>
      <c r="PXT144" s="72"/>
      <c r="PXU144" s="72"/>
      <c r="PXV144" s="72"/>
      <c r="PXW144" s="72"/>
      <c r="PXX144" s="72"/>
      <c r="PXY144" s="72"/>
      <c r="PXZ144" s="72"/>
      <c r="PYA144" s="72"/>
      <c r="PYB144" s="72"/>
      <c r="PYC144" s="72"/>
      <c r="PYD144" s="72"/>
      <c r="PYE144" s="72"/>
      <c r="PYF144" s="72"/>
      <c r="PYG144" s="72"/>
      <c r="PYH144" s="72"/>
      <c r="PYI144" s="72"/>
      <c r="PYJ144" s="72"/>
      <c r="PYK144" s="72"/>
      <c r="PYL144" s="72"/>
      <c r="PYM144" s="72"/>
      <c r="PYN144" s="72"/>
      <c r="PYO144" s="72"/>
      <c r="PYP144" s="72"/>
      <c r="PYQ144" s="72"/>
      <c r="PYR144" s="72"/>
      <c r="PYS144" s="72"/>
      <c r="PYT144" s="72"/>
      <c r="PYU144" s="72"/>
      <c r="PYV144" s="72"/>
      <c r="PYW144" s="72"/>
      <c r="PYX144" s="72"/>
      <c r="PYY144" s="72"/>
      <c r="PYZ144" s="72"/>
      <c r="PZA144" s="72"/>
      <c r="PZB144" s="72"/>
      <c r="PZC144" s="72"/>
      <c r="PZD144" s="72"/>
      <c r="PZE144" s="72"/>
      <c r="PZF144" s="72"/>
      <c r="PZG144" s="72"/>
      <c r="PZH144" s="72"/>
      <c r="PZI144" s="72"/>
      <c r="PZJ144" s="72"/>
      <c r="PZK144" s="72"/>
      <c r="PZL144" s="72"/>
      <c r="PZM144" s="72"/>
      <c r="PZN144" s="72"/>
      <c r="PZO144" s="72"/>
      <c r="PZP144" s="72"/>
      <c r="PZQ144" s="72"/>
      <c r="PZR144" s="72"/>
      <c r="PZS144" s="72"/>
      <c r="PZT144" s="72"/>
      <c r="PZU144" s="72"/>
      <c r="PZV144" s="72"/>
      <c r="PZW144" s="72"/>
      <c r="PZX144" s="72"/>
      <c r="PZY144" s="72"/>
      <c r="PZZ144" s="72"/>
      <c r="QAA144" s="72"/>
      <c r="QAB144" s="72"/>
      <c r="QAC144" s="72"/>
      <c r="QAD144" s="72"/>
      <c r="QAE144" s="72"/>
      <c r="QAF144" s="72"/>
      <c r="QAG144" s="72"/>
      <c r="QAH144" s="72"/>
      <c r="QAI144" s="72"/>
      <c r="QAJ144" s="72"/>
      <c r="QAK144" s="72"/>
      <c r="QAL144" s="72"/>
      <c r="QAM144" s="72"/>
      <c r="QAN144" s="72"/>
      <c r="QAO144" s="72"/>
      <c r="QAP144" s="72"/>
      <c r="QAQ144" s="72"/>
      <c r="QAR144" s="72"/>
      <c r="QAS144" s="72"/>
      <c r="QAT144" s="72"/>
      <c r="QAU144" s="72"/>
      <c r="QAV144" s="72"/>
      <c r="QAW144" s="72"/>
      <c r="QAX144" s="72"/>
      <c r="QAY144" s="72"/>
      <c r="QAZ144" s="72"/>
      <c r="QBA144" s="72"/>
      <c r="QBB144" s="72"/>
      <c r="QBC144" s="72"/>
      <c r="QBD144" s="72"/>
      <c r="QBE144" s="72"/>
      <c r="QBF144" s="72"/>
      <c r="QBG144" s="72"/>
      <c r="QBH144" s="72"/>
      <c r="QBI144" s="72"/>
      <c r="QBJ144" s="72"/>
      <c r="QBK144" s="72"/>
      <c r="QBL144" s="72"/>
      <c r="QBM144" s="72"/>
      <c r="QBN144" s="72"/>
      <c r="QBO144" s="72"/>
      <c r="QBP144" s="72"/>
      <c r="QBQ144" s="72"/>
      <c r="QBR144" s="72"/>
      <c r="QBS144" s="72"/>
      <c r="QBT144" s="72"/>
      <c r="QBU144" s="72"/>
      <c r="QBV144" s="72"/>
      <c r="QBW144" s="72"/>
      <c r="QBX144" s="72"/>
      <c r="QBY144" s="72"/>
      <c r="QBZ144" s="72"/>
      <c r="QCA144" s="72"/>
      <c r="QCB144" s="72"/>
      <c r="QCC144" s="72"/>
      <c r="QCD144" s="72"/>
      <c r="QCE144" s="72"/>
      <c r="QCF144" s="72"/>
      <c r="QCG144" s="72"/>
      <c r="QCH144" s="72"/>
      <c r="QCI144" s="72"/>
      <c r="QCJ144" s="72"/>
      <c r="QCK144" s="72"/>
      <c r="QCL144" s="72"/>
      <c r="QCM144" s="72"/>
      <c r="QCN144" s="72"/>
      <c r="QCO144" s="72"/>
      <c r="QCP144" s="72"/>
      <c r="QCQ144" s="72"/>
      <c r="QCR144" s="72"/>
      <c r="QCS144" s="72"/>
      <c r="QCT144" s="72"/>
      <c r="QCU144" s="72"/>
      <c r="QCV144" s="72"/>
      <c r="QCW144" s="72"/>
      <c r="QCX144" s="72"/>
      <c r="QCY144" s="72"/>
      <c r="QCZ144" s="72"/>
      <c r="QDA144" s="72"/>
      <c r="QDB144" s="72"/>
      <c r="QDC144" s="72"/>
      <c r="QDD144" s="72"/>
      <c r="QDE144" s="72"/>
      <c r="QDF144" s="72"/>
      <c r="QDG144" s="72"/>
      <c r="QDH144" s="72"/>
      <c r="QDI144" s="72"/>
      <c r="QDJ144" s="72"/>
      <c r="QDK144" s="72"/>
      <c r="QDL144" s="72"/>
      <c r="QDM144" s="72"/>
      <c r="QDN144" s="72"/>
      <c r="QDO144" s="72"/>
      <c r="QDP144" s="72"/>
      <c r="QDQ144" s="72"/>
      <c r="QDR144" s="72"/>
      <c r="QDS144" s="72"/>
      <c r="QDT144" s="72"/>
      <c r="QDU144" s="72"/>
      <c r="QDV144" s="72"/>
      <c r="QDW144" s="72"/>
      <c r="QDX144" s="72"/>
      <c r="QDY144" s="72"/>
      <c r="QDZ144" s="72"/>
      <c r="QEA144" s="72"/>
      <c r="QEB144" s="72"/>
      <c r="QEC144" s="72"/>
      <c r="QED144" s="72"/>
      <c r="QEE144" s="72"/>
      <c r="QEF144" s="72"/>
      <c r="QEG144" s="72"/>
      <c r="QEH144" s="72"/>
      <c r="QEI144" s="72"/>
      <c r="QEJ144" s="72"/>
      <c r="QEK144" s="72"/>
      <c r="QEL144" s="72"/>
      <c r="QEM144" s="72"/>
      <c r="QEN144" s="72"/>
      <c r="QEO144" s="72"/>
      <c r="QEP144" s="72"/>
      <c r="QEQ144" s="72"/>
      <c r="QER144" s="72"/>
      <c r="QES144" s="72"/>
      <c r="QET144" s="72"/>
      <c r="QEU144" s="72"/>
      <c r="QEV144" s="72"/>
      <c r="QEW144" s="72"/>
      <c r="QEX144" s="72"/>
      <c r="QEY144" s="72"/>
      <c r="QEZ144" s="72"/>
      <c r="QFA144" s="72"/>
      <c r="QFB144" s="72"/>
      <c r="QFC144" s="72"/>
      <c r="QFD144" s="72"/>
      <c r="QFE144" s="72"/>
      <c r="QFF144" s="72"/>
      <c r="QFG144" s="72"/>
      <c r="QFH144" s="72"/>
      <c r="QFI144" s="72"/>
      <c r="QFJ144" s="72"/>
      <c r="QFK144" s="72"/>
      <c r="QFL144" s="72"/>
      <c r="QFM144" s="72"/>
      <c r="QFN144" s="72"/>
      <c r="QFO144" s="72"/>
      <c r="QFP144" s="72"/>
      <c r="QFQ144" s="72"/>
      <c r="QFR144" s="72"/>
      <c r="QFS144" s="72"/>
      <c r="QFT144" s="72"/>
      <c r="QFU144" s="72"/>
      <c r="QFV144" s="72"/>
      <c r="QFW144" s="72"/>
      <c r="QFX144" s="72"/>
      <c r="QFY144" s="72"/>
      <c r="QFZ144" s="72"/>
      <c r="QGA144" s="72"/>
      <c r="QGB144" s="72"/>
      <c r="QGC144" s="72"/>
      <c r="QGD144" s="72"/>
      <c r="QGE144" s="72"/>
      <c r="QGF144" s="72"/>
      <c r="QGG144" s="72"/>
      <c r="QGH144" s="72"/>
      <c r="QGI144" s="72"/>
      <c r="QGJ144" s="72"/>
      <c r="QGK144" s="72"/>
      <c r="QGL144" s="72"/>
      <c r="QGM144" s="72"/>
      <c r="QGN144" s="72"/>
      <c r="QGO144" s="72"/>
      <c r="QGP144" s="72"/>
      <c r="QGQ144" s="72"/>
      <c r="QGR144" s="72"/>
      <c r="QGS144" s="72"/>
      <c r="QGT144" s="72"/>
      <c r="QGU144" s="72"/>
      <c r="QGV144" s="72"/>
      <c r="QGW144" s="72"/>
      <c r="QGX144" s="72"/>
      <c r="QGY144" s="72"/>
      <c r="QGZ144" s="72"/>
      <c r="QHA144" s="72"/>
      <c r="QHB144" s="72"/>
      <c r="QHC144" s="72"/>
      <c r="QHD144" s="72"/>
      <c r="QHE144" s="72"/>
      <c r="QHF144" s="72"/>
      <c r="QHG144" s="72"/>
      <c r="QHH144" s="72"/>
      <c r="QHI144" s="72"/>
      <c r="QHJ144" s="72"/>
      <c r="QHK144" s="72"/>
      <c r="QHL144" s="72"/>
      <c r="QHM144" s="72"/>
      <c r="QHN144" s="72"/>
      <c r="QHO144" s="72"/>
      <c r="QHP144" s="72"/>
      <c r="QHQ144" s="72"/>
      <c r="QHR144" s="72"/>
      <c r="QHS144" s="72"/>
      <c r="QHT144" s="72"/>
      <c r="QHU144" s="72"/>
      <c r="QHV144" s="72"/>
      <c r="QHW144" s="72"/>
      <c r="QHX144" s="72"/>
      <c r="QHY144" s="72"/>
      <c r="QHZ144" s="72"/>
      <c r="QIA144" s="72"/>
      <c r="QIB144" s="72"/>
      <c r="QIC144" s="72"/>
      <c r="QID144" s="72"/>
      <c r="QIE144" s="72"/>
      <c r="QIF144" s="72"/>
      <c r="QIG144" s="72"/>
      <c r="QIH144" s="72"/>
      <c r="QII144" s="72"/>
      <c r="QIJ144" s="72"/>
      <c r="QIK144" s="72"/>
      <c r="QIL144" s="72"/>
      <c r="QIM144" s="72"/>
      <c r="QIN144" s="72"/>
      <c r="QIO144" s="72"/>
      <c r="QIP144" s="72"/>
      <c r="QIQ144" s="72"/>
      <c r="QIR144" s="72"/>
      <c r="QIS144" s="72"/>
      <c r="QIT144" s="72"/>
      <c r="QIU144" s="72"/>
      <c r="QIV144" s="72"/>
      <c r="QIW144" s="72"/>
      <c r="QIX144" s="72"/>
      <c r="QIY144" s="72"/>
      <c r="QIZ144" s="72"/>
      <c r="QJA144" s="72"/>
      <c r="QJB144" s="72"/>
      <c r="QJC144" s="72"/>
      <c r="QJD144" s="72"/>
      <c r="QJE144" s="72"/>
      <c r="QJF144" s="72"/>
      <c r="QJG144" s="72"/>
      <c r="QJH144" s="72"/>
      <c r="QJI144" s="72"/>
      <c r="QJJ144" s="72"/>
      <c r="QJK144" s="72"/>
      <c r="QJL144" s="72"/>
      <c r="QJM144" s="72"/>
      <c r="QJN144" s="72"/>
      <c r="QJO144" s="72"/>
      <c r="QJP144" s="72"/>
      <c r="QJQ144" s="72"/>
      <c r="QJR144" s="72"/>
      <c r="QJS144" s="72"/>
      <c r="QJT144" s="72"/>
      <c r="QJU144" s="72"/>
      <c r="QJV144" s="72"/>
      <c r="QJW144" s="72"/>
      <c r="QJX144" s="72"/>
      <c r="QJY144" s="72"/>
      <c r="QJZ144" s="72"/>
      <c r="QKA144" s="72"/>
      <c r="QKB144" s="72"/>
      <c r="QKC144" s="72"/>
      <c r="QKD144" s="72"/>
      <c r="QKE144" s="72"/>
      <c r="QKF144" s="72"/>
      <c r="QKG144" s="72"/>
      <c r="QKH144" s="72"/>
      <c r="QKI144" s="72"/>
      <c r="QKJ144" s="72"/>
      <c r="QKK144" s="72"/>
      <c r="QKL144" s="72"/>
      <c r="QKM144" s="72"/>
      <c r="QKN144" s="72"/>
      <c r="QKO144" s="72"/>
      <c r="QKP144" s="72"/>
      <c r="QKQ144" s="72"/>
      <c r="QKR144" s="72"/>
      <c r="QKS144" s="72"/>
      <c r="QKT144" s="72"/>
      <c r="QKU144" s="72"/>
      <c r="QKV144" s="72"/>
      <c r="QKW144" s="72"/>
      <c r="QKX144" s="72"/>
      <c r="QKY144" s="72"/>
      <c r="QKZ144" s="72"/>
      <c r="QLA144" s="72"/>
      <c r="QLB144" s="72"/>
      <c r="QLC144" s="72"/>
      <c r="QLD144" s="72"/>
      <c r="QLE144" s="72"/>
      <c r="QLF144" s="72"/>
      <c r="QLG144" s="72"/>
      <c r="QLH144" s="72"/>
      <c r="QLI144" s="72"/>
      <c r="QLJ144" s="72"/>
      <c r="QLK144" s="72"/>
      <c r="QLL144" s="72"/>
      <c r="QLM144" s="72"/>
      <c r="QLN144" s="72"/>
      <c r="QLO144" s="72"/>
      <c r="QLP144" s="72"/>
      <c r="QLQ144" s="72"/>
      <c r="QLR144" s="72"/>
      <c r="QLS144" s="72"/>
      <c r="QLT144" s="72"/>
      <c r="QLU144" s="72"/>
      <c r="QLV144" s="72"/>
      <c r="QLW144" s="72"/>
      <c r="QLX144" s="72"/>
      <c r="QLY144" s="72"/>
      <c r="QLZ144" s="72"/>
      <c r="QMA144" s="72"/>
      <c r="QMB144" s="72"/>
      <c r="QMC144" s="72"/>
      <c r="QMD144" s="72"/>
      <c r="QME144" s="72"/>
      <c r="QMF144" s="72"/>
      <c r="QMG144" s="72"/>
      <c r="QMH144" s="72"/>
      <c r="QMI144" s="72"/>
      <c r="QMJ144" s="72"/>
      <c r="QMK144" s="72"/>
      <c r="QML144" s="72"/>
      <c r="QMM144" s="72"/>
      <c r="QMN144" s="72"/>
      <c r="QMO144" s="72"/>
      <c r="QMP144" s="72"/>
      <c r="QMQ144" s="72"/>
      <c r="QMR144" s="72"/>
      <c r="QMS144" s="72"/>
      <c r="QMT144" s="72"/>
      <c r="QMU144" s="72"/>
      <c r="QMV144" s="72"/>
      <c r="QMW144" s="72"/>
      <c r="QMX144" s="72"/>
      <c r="QMY144" s="72"/>
      <c r="QMZ144" s="72"/>
      <c r="QNA144" s="72"/>
      <c r="QNB144" s="72"/>
      <c r="QNC144" s="72"/>
      <c r="QND144" s="72"/>
      <c r="QNE144" s="72"/>
      <c r="QNF144" s="72"/>
      <c r="QNG144" s="72"/>
      <c r="QNH144" s="72"/>
      <c r="QNI144" s="72"/>
      <c r="QNJ144" s="72"/>
      <c r="QNK144" s="72"/>
      <c r="QNL144" s="72"/>
      <c r="QNM144" s="72"/>
      <c r="QNN144" s="72"/>
      <c r="QNO144" s="72"/>
      <c r="QNP144" s="72"/>
      <c r="QNQ144" s="72"/>
      <c r="QNR144" s="72"/>
      <c r="QNS144" s="72"/>
      <c r="QNT144" s="72"/>
      <c r="QNU144" s="72"/>
      <c r="QNV144" s="72"/>
      <c r="QNW144" s="72"/>
      <c r="QNX144" s="72"/>
      <c r="QNY144" s="72"/>
      <c r="QNZ144" s="72"/>
      <c r="QOA144" s="72"/>
      <c r="QOB144" s="72"/>
      <c r="QOC144" s="72"/>
      <c r="QOD144" s="72"/>
      <c r="QOE144" s="72"/>
      <c r="QOF144" s="72"/>
      <c r="QOG144" s="72"/>
      <c r="QOH144" s="72"/>
      <c r="QOI144" s="72"/>
      <c r="QOJ144" s="72"/>
      <c r="QOK144" s="72"/>
      <c r="QOL144" s="72"/>
      <c r="QOM144" s="72"/>
      <c r="QON144" s="72"/>
      <c r="QOO144" s="72"/>
      <c r="QOP144" s="72"/>
      <c r="QOQ144" s="72"/>
      <c r="QOR144" s="72"/>
      <c r="QOS144" s="72"/>
      <c r="QOT144" s="72"/>
      <c r="QOU144" s="72"/>
      <c r="QOV144" s="72"/>
      <c r="QOW144" s="72"/>
      <c r="QOX144" s="72"/>
      <c r="QOY144" s="72"/>
      <c r="QOZ144" s="72"/>
      <c r="QPA144" s="72"/>
      <c r="QPB144" s="72"/>
      <c r="QPC144" s="72"/>
      <c r="QPD144" s="72"/>
      <c r="QPE144" s="72"/>
      <c r="QPF144" s="72"/>
      <c r="QPG144" s="72"/>
      <c r="QPH144" s="72"/>
      <c r="QPI144" s="72"/>
      <c r="QPJ144" s="72"/>
      <c r="QPK144" s="72"/>
      <c r="QPL144" s="72"/>
      <c r="QPM144" s="72"/>
      <c r="QPN144" s="72"/>
      <c r="QPO144" s="72"/>
      <c r="QPP144" s="72"/>
      <c r="QPQ144" s="72"/>
      <c r="QPR144" s="72"/>
      <c r="QPS144" s="72"/>
      <c r="QPT144" s="72"/>
      <c r="QPU144" s="72"/>
      <c r="QPV144" s="72"/>
      <c r="QPW144" s="72"/>
      <c r="QPX144" s="72"/>
      <c r="QPY144" s="72"/>
      <c r="QPZ144" s="72"/>
      <c r="QQA144" s="72"/>
      <c r="QQB144" s="72"/>
      <c r="QQC144" s="72"/>
      <c r="QQD144" s="72"/>
      <c r="QQE144" s="72"/>
      <c r="QQF144" s="72"/>
      <c r="QQG144" s="72"/>
      <c r="QQH144" s="72"/>
      <c r="QQI144" s="72"/>
      <c r="QQJ144" s="72"/>
      <c r="QQK144" s="72"/>
      <c r="QQL144" s="72"/>
      <c r="QQM144" s="72"/>
      <c r="QQN144" s="72"/>
      <c r="QQO144" s="72"/>
      <c r="QQP144" s="72"/>
      <c r="QQQ144" s="72"/>
      <c r="QQR144" s="72"/>
      <c r="QQS144" s="72"/>
      <c r="QQT144" s="72"/>
      <c r="QQU144" s="72"/>
      <c r="QQV144" s="72"/>
      <c r="QQW144" s="72"/>
      <c r="QQX144" s="72"/>
      <c r="QQY144" s="72"/>
      <c r="QQZ144" s="72"/>
      <c r="QRA144" s="72"/>
      <c r="QRB144" s="72"/>
      <c r="QRC144" s="72"/>
      <c r="QRD144" s="72"/>
      <c r="QRE144" s="72"/>
      <c r="QRF144" s="72"/>
      <c r="QRG144" s="72"/>
      <c r="QRH144" s="72"/>
      <c r="QRI144" s="72"/>
      <c r="QRJ144" s="72"/>
      <c r="QRK144" s="72"/>
      <c r="QRL144" s="72"/>
      <c r="QRM144" s="72"/>
      <c r="QRN144" s="72"/>
      <c r="QRO144" s="72"/>
      <c r="QRP144" s="72"/>
      <c r="QRQ144" s="72"/>
      <c r="QRR144" s="72"/>
      <c r="QRS144" s="72"/>
      <c r="QRT144" s="72"/>
      <c r="QRU144" s="72"/>
      <c r="QRV144" s="72"/>
      <c r="QRW144" s="72"/>
      <c r="QRX144" s="72"/>
      <c r="QRY144" s="72"/>
      <c r="QRZ144" s="72"/>
      <c r="QSA144" s="72"/>
      <c r="QSB144" s="72"/>
      <c r="QSC144" s="72"/>
      <c r="QSD144" s="72"/>
      <c r="QSE144" s="72"/>
      <c r="QSF144" s="72"/>
      <c r="QSG144" s="72"/>
      <c r="QSH144" s="72"/>
      <c r="QSI144" s="72"/>
      <c r="QSJ144" s="72"/>
      <c r="QSK144" s="72"/>
      <c r="QSL144" s="72"/>
      <c r="QSM144" s="72"/>
      <c r="QSN144" s="72"/>
      <c r="QSO144" s="72"/>
      <c r="QSP144" s="72"/>
      <c r="QSQ144" s="72"/>
      <c r="QSR144" s="72"/>
      <c r="QSS144" s="72"/>
      <c r="QST144" s="72"/>
      <c r="QSU144" s="72"/>
      <c r="QSV144" s="72"/>
      <c r="QSW144" s="72"/>
      <c r="QSX144" s="72"/>
      <c r="QSY144" s="72"/>
      <c r="QSZ144" s="72"/>
      <c r="QTA144" s="72"/>
      <c r="QTB144" s="72"/>
      <c r="QTC144" s="72"/>
      <c r="QTD144" s="72"/>
      <c r="QTE144" s="72"/>
      <c r="QTF144" s="72"/>
      <c r="QTG144" s="72"/>
      <c r="QTH144" s="72"/>
      <c r="QTI144" s="72"/>
      <c r="QTJ144" s="72"/>
      <c r="QTK144" s="72"/>
      <c r="QTL144" s="72"/>
      <c r="QTM144" s="72"/>
      <c r="QTN144" s="72"/>
      <c r="QTO144" s="72"/>
      <c r="QTP144" s="72"/>
      <c r="QTQ144" s="72"/>
      <c r="QTR144" s="72"/>
      <c r="QTS144" s="72"/>
      <c r="QTT144" s="72"/>
      <c r="QTU144" s="72"/>
      <c r="QTV144" s="72"/>
      <c r="QTW144" s="72"/>
      <c r="QTX144" s="72"/>
      <c r="QTY144" s="72"/>
      <c r="QTZ144" s="72"/>
      <c r="QUA144" s="72"/>
      <c r="QUB144" s="72"/>
      <c r="QUC144" s="72"/>
      <c r="QUD144" s="72"/>
      <c r="QUE144" s="72"/>
      <c r="QUF144" s="72"/>
      <c r="QUG144" s="72"/>
      <c r="QUH144" s="72"/>
      <c r="QUI144" s="72"/>
      <c r="QUJ144" s="72"/>
      <c r="QUK144" s="72"/>
      <c r="QUL144" s="72"/>
      <c r="QUM144" s="72"/>
      <c r="QUN144" s="72"/>
      <c r="QUO144" s="72"/>
      <c r="QUP144" s="72"/>
      <c r="QUQ144" s="72"/>
      <c r="QUR144" s="72"/>
      <c r="QUS144" s="72"/>
      <c r="QUT144" s="72"/>
      <c r="QUU144" s="72"/>
      <c r="QUV144" s="72"/>
      <c r="QUW144" s="72"/>
      <c r="QUX144" s="72"/>
      <c r="QUY144" s="72"/>
      <c r="QUZ144" s="72"/>
      <c r="QVA144" s="72"/>
      <c r="QVB144" s="72"/>
      <c r="QVC144" s="72"/>
      <c r="QVD144" s="72"/>
      <c r="QVE144" s="72"/>
      <c r="QVF144" s="72"/>
      <c r="QVG144" s="72"/>
      <c r="QVH144" s="72"/>
      <c r="QVI144" s="72"/>
      <c r="QVJ144" s="72"/>
      <c r="QVK144" s="72"/>
      <c r="QVL144" s="72"/>
      <c r="QVM144" s="72"/>
      <c r="QVN144" s="72"/>
      <c r="QVO144" s="72"/>
      <c r="QVP144" s="72"/>
      <c r="QVQ144" s="72"/>
      <c r="QVR144" s="72"/>
      <c r="QVS144" s="72"/>
      <c r="QVT144" s="72"/>
      <c r="QVU144" s="72"/>
      <c r="QVV144" s="72"/>
      <c r="QVW144" s="72"/>
      <c r="QVX144" s="72"/>
      <c r="QVY144" s="72"/>
      <c r="QVZ144" s="72"/>
      <c r="QWA144" s="72"/>
      <c r="QWB144" s="72"/>
      <c r="QWC144" s="72"/>
      <c r="QWD144" s="72"/>
      <c r="QWE144" s="72"/>
      <c r="QWF144" s="72"/>
      <c r="QWG144" s="72"/>
      <c r="QWH144" s="72"/>
      <c r="QWI144" s="72"/>
      <c r="QWJ144" s="72"/>
      <c r="QWK144" s="72"/>
      <c r="QWL144" s="72"/>
      <c r="QWM144" s="72"/>
      <c r="QWN144" s="72"/>
      <c r="QWO144" s="72"/>
      <c r="QWP144" s="72"/>
      <c r="QWQ144" s="72"/>
      <c r="QWR144" s="72"/>
      <c r="QWS144" s="72"/>
      <c r="QWT144" s="72"/>
      <c r="QWU144" s="72"/>
      <c r="QWV144" s="72"/>
      <c r="QWW144" s="72"/>
      <c r="QWX144" s="72"/>
      <c r="QWY144" s="72"/>
      <c r="QWZ144" s="72"/>
      <c r="QXA144" s="72"/>
      <c r="QXB144" s="72"/>
      <c r="QXC144" s="72"/>
      <c r="QXD144" s="72"/>
      <c r="QXE144" s="72"/>
      <c r="QXF144" s="72"/>
      <c r="QXG144" s="72"/>
      <c r="QXH144" s="72"/>
      <c r="QXI144" s="72"/>
      <c r="QXJ144" s="72"/>
      <c r="QXK144" s="72"/>
      <c r="QXL144" s="72"/>
      <c r="QXM144" s="72"/>
      <c r="QXN144" s="72"/>
      <c r="QXO144" s="72"/>
      <c r="QXP144" s="72"/>
      <c r="QXQ144" s="72"/>
      <c r="QXR144" s="72"/>
      <c r="QXS144" s="72"/>
      <c r="QXT144" s="72"/>
      <c r="QXU144" s="72"/>
      <c r="QXV144" s="72"/>
      <c r="QXW144" s="72"/>
      <c r="QXX144" s="72"/>
      <c r="QXY144" s="72"/>
      <c r="QXZ144" s="72"/>
      <c r="QYA144" s="72"/>
      <c r="QYB144" s="72"/>
      <c r="QYC144" s="72"/>
      <c r="QYD144" s="72"/>
      <c r="QYE144" s="72"/>
      <c r="QYF144" s="72"/>
      <c r="QYG144" s="72"/>
      <c r="QYH144" s="72"/>
      <c r="QYI144" s="72"/>
      <c r="QYJ144" s="72"/>
      <c r="QYK144" s="72"/>
      <c r="QYL144" s="72"/>
      <c r="QYM144" s="72"/>
      <c r="QYN144" s="72"/>
      <c r="QYO144" s="72"/>
      <c r="QYP144" s="72"/>
      <c r="QYQ144" s="72"/>
      <c r="QYR144" s="72"/>
      <c r="QYS144" s="72"/>
      <c r="QYT144" s="72"/>
      <c r="QYU144" s="72"/>
      <c r="QYV144" s="72"/>
      <c r="QYW144" s="72"/>
      <c r="QYX144" s="72"/>
      <c r="QYY144" s="72"/>
      <c r="QYZ144" s="72"/>
      <c r="QZA144" s="72"/>
      <c r="QZB144" s="72"/>
      <c r="QZC144" s="72"/>
      <c r="QZD144" s="72"/>
      <c r="QZE144" s="72"/>
      <c r="QZF144" s="72"/>
      <c r="QZG144" s="72"/>
      <c r="QZH144" s="72"/>
      <c r="QZI144" s="72"/>
      <c r="QZJ144" s="72"/>
      <c r="QZK144" s="72"/>
      <c r="QZL144" s="72"/>
      <c r="QZM144" s="72"/>
      <c r="QZN144" s="72"/>
      <c r="QZO144" s="72"/>
      <c r="QZP144" s="72"/>
      <c r="QZQ144" s="72"/>
      <c r="QZR144" s="72"/>
      <c r="QZS144" s="72"/>
      <c r="QZT144" s="72"/>
      <c r="QZU144" s="72"/>
      <c r="QZV144" s="72"/>
      <c r="QZW144" s="72"/>
      <c r="QZX144" s="72"/>
      <c r="QZY144" s="72"/>
      <c r="QZZ144" s="72"/>
      <c r="RAA144" s="72"/>
      <c r="RAB144" s="72"/>
      <c r="RAC144" s="72"/>
      <c r="RAD144" s="72"/>
      <c r="RAE144" s="72"/>
      <c r="RAF144" s="72"/>
      <c r="RAG144" s="72"/>
      <c r="RAH144" s="72"/>
      <c r="RAI144" s="72"/>
      <c r="RAJ144" s="72"/>
      <c r="RAK144" s="72"/>
      <c r="RAL144" s="72"/>
      <c r="RAM144" s="72"/>
      <c r="RAN144" s="72"/>
      <c r="RAO144" s="72"/>
      <c r="RAP144" s="72"/>
      <c r="RAQ144" s="72"/>
      <c r="RAR144" s="72"/>
      <c r="RAS144" s="72"/>
      <c r="RAT144" s="72"/>
      <c r="RAU144" s="72"/>
      <c r="RAV144" s="72"/>
      <c r="RAW144" s="72"/>
      <c r="RAX144" s="72"/>
      <c r="RAY144" s="72"/>
      <c r="RAZ144" s="72"/>
      <c r="RBA144" s="72"/>
      <c r="RBB144" s="72"/>
      <c r="RBC144" s="72"/>
      <c r="RBD144" s="72"/>
      <c r="RBE144" s="72"/>
      <c r="RBF144" s="72"/>
      <c r="RBG144" s="72"/>
      <c r="RBH144" s="72"/>
      <c r="RBI144" s="72"/>
      <c r="RBJ144" s="72"/>
      <c r="RBK144" s="72"/>
      <c r="RBL144" s="72"/>
      <c r="RBM144" s="72"/>
      <c r="RBN144" s="72"/>
      <c r="RBO144" s="72"/>
      <c r="RBP144" s="72"/>
      <c r="RBQ144" s="72"/>
      <c r="RBR144" s="72"/>
      <c r="RBS144" s="72"/>
      <c r="RBT144" s="72"/>
      <c r="RBU144" s="72"/>
      <c r="RBV144" s="72"/>
      <c r="RBW144" s="72"/>
      <c r="RBX144" s="72"/>
      <c r="RBY144" s="72"/>
      <c r="RBZ144" s="72"/>
      <c r="RCA144" s="72"/>
      <c r="RCB144" s="72"/>
      <c r="RCC144" s="72"/>
      <c r="RCD144" s="72"/>
      <c r="RCE144" s="72"/>
      <c r="RCF144" s="72"/>
      <c r="RCG144" s="72"/>
      <c r="RCH144" s="72"/>
      <c r="RCI144" s="72"/>
      <c r="RCJ144" s="72"/>
      <c r="RCK144" s="72"/>
      <c r="RCL144" s="72"/>
      <c r="RCM144" s="72"/>
      <c r="RCN144" s="72"/>
      <c r="RCO144" s="72"/>
      <c r="RCP144" s="72"/>
      <c r="RCQ144" s="72"/>
      <c r="RCR144" s="72"/>
      <c r="RCS144" s="72"/>
      <c r="RCT144" s="72"/>
      <c r="RCU144" s="72"/>
      <c r="RCV144" s="72"/>
      <c r="RCW144" s="72"/>
      <c r="RCX144" s="72"/>
      <c r="RCY144" s="72"/>
      <c r="RCZ144" s="72"/>
      <c r="RDA144" s="72"/>
      <c r="RDB144" s="72"/>
      <c r="RDC144" s="72"/>
      <c r="RDD144" s="72"/>
      <c r="RDE144" s="72"/>
      <c r="RDF144" s="72"/>
      <c r="RDG144" s="72"/>
      <c r="RDH144" s="72"/>
      <c r="RDI144" s="72"/>
      <c r="RDJ144" s="72"/>
      <c r="RDK144" s="72"/>
      <c r="RDL144" s="72"/>
      <c r="RDM144" s="72"/>
      <c r="RDN144" s="72"/>
      <c r="RDO144" s="72"/>
      <c r="RDP144" s="72"/>
      <c r="RDQ144" s="72"/>
      <c r="RDR144" s="72"/>
      <c r="RDS144" s="72"/>
      <c r="RDT144" s="72"/>
      <c r="RDU144" s="72"/>
      <c r="RDV144" s="72"/>
      <c r="RDW144" s="72"/>
      <c r="RDX144" s="72"/>
      <c r="RDY144" s="72"/>
      <c r="RDZ144" s="72"/>
      <c r="REA144" s="72"/>
      <c r="REB144" s="72"/>
      <c r="REC144" s="72"/>
      <c r="RED144" s="72"/>
      <c r="REE144" s="72"/>
      <c r="REF144" s="72"/>
      <c r="REG144" s="72"/>
      <c r="REH144" s="72"/>
      <c r="REI144" s="72"/>
      <c r="REJ144" s="72"/>
      <c r="REK144" s="72"/>
      <c r="REL144" s="72"/>
      <c r="REM144" s="72"/>
      <c r="REN144" s="72"/>
      <c r="REO144" s="72"/>
      <c r="REP144" s="72"/>
      <c r="REQ144" s="72"/>
      <c r="RER144" s="72"/>
      <c r="RES144" s="72"/>
      <c r="RET144" s="72"/>
      <c r="REU144" s="72"/>
      <c r="REV144" s="72"/>
      <c r="REW144" s="72"/>
      <c r="REX144" s="72"/>
      <c r="REY144" s="72"/>
      <c r="REZ144" s="72"/>
      <c r="RFA144" s="72"/>
      <c r="RFB144" s="72"/>
      <c r="RFC144" s="72"/>
      <c r="RFD144" s="72"/>
      <c r="RFE144" s="72"/>
      <c r="RFF144" s="72"/>
      <c r="RFG144" s="72"/>
      <c r="RFH144" s="72"/>
      <c r="RFI144" s="72"/>
      <c r="RFJ144" s="72"/>
      <c r="RFK144" s="72"/>
      <c r="RFL144" s="72"/>
      <c r="RFM144" s="72"/>
      <c r="RFN144" s="72"/>
      <c r="RFO144" s="72"/>
      <c r="RFP144" s="72"/>
      <c r="RFQ144" s="72"/>
      <c r="RFR144" s="72"/>
      <c r="RFS144" s="72"/>
      <c r="RFT144" s="72"/>
      <c r="RFU144" s="72"/>
      <c r="RFV144" s="72"/>
      <c r="RFW144" s="72"/>
      <c r="RFX144" s="72"/>
      <c r="RFY144" s="72"/>
      <c r="RFZ144" s="72"/>
      <c r="RGA144" s="72"/>
      <c r="RGB144" s="72"/>
      <c r="RGC144" s="72"/>
      <c r="RGD144" s="72"/>
      <c r="RGE144" s="72"/>
      <c r="RGF144" s="72"/>
      <c r="RGG144" s="72"/>
      <c r="RGH144" s="72"/>
      <c r="RGI144" s="72"/>
      <c r="RGJ144" s="72"/>
      <c r="RGK144" s="72"/>
      <c r="RGL144" s="72"/>
      <c r="RGM144" s="72"/>
      <c r="RGN144" s="72"/>
      <c r="RGO144" s="72"/>
      <c r="RGP144" s="72"/>
      <c r="RGQ144" s="72"/>
      <c r="RGR144" s="72"/>
      <c r="RGS144" s="72"/>
      <c r="RGT144" s="72"/>
      <c r="RGU144" s="72"/>
      <c r="RGV144" s="72"/>
      <c r="RGW144" s="72"/>
      <c r="RGX144" s="72"/>
      <c r="RGY144" s="72"/>
      <c r="RGZ144" s="72"/>
      <c r="RHA144" s="72"/>
      <c r="RHB144" s="72"/>
      <c r="RHC144" s="72"/>
      <c r="RHD144" s="72"/>
      <c r="RHE144" s="72"/>
      <c r="RHF144" s="72"/>
      <c r="RHG144" s="72"/>
      <c r="RHH144" s="72"/>
      <c r="RHI144" s="72"/>
      <c r="RHJ144" s="72"/>
      <c r="RHK144" s="72"/>
      <c r="RHL144" s="72"/>
      <c r="RHM144" s="72"/>
      <c r="RHN144" s="72"/>
      <c r="RHO144" s="72"/>
      <c r="RHP144" s="72"/>
      <c r="RHQ144" s="72"/>
      <c r="RHR144" s="72"/>
      <c r="RHS144" s="72"/>
      <c r="RHT144" s="72"/>
      <c r="RHU144" s="72"/>
      <c r="RHV144" s="72"/>
      <c r="RHW144" s="72"/>
      <c r="RHX144" s="72"/>
      <c r="RHY144" s="72"/>
      <c r="RHZ144" s="72"/>
      <c r="RIA144" s="72"/>
      <c r="RIB144" s="72"/>
      <c r="RIC144" s="72"/>
      <c r="RID144" s="72"/>
      <c r="RIE144" s="72"/>
      <c r="RIF144" s="72"/>
      <c r="RIG144" s="72"/>
      <c r="RIH144" s="72"/>
      <c r="RII144" s="72"/>
      <c r="RIJ144" s="72"/>
      <c r="RIK144" s="72"/>
      <c r="RIL144" s="72"/>
      <c r="RIM144" s="72"/>
      <c r="RIN144" s="72"/>
      <c r="RIO144" s="72"/>
      <c r="RIP144" s="72"/>
      <c r="RIQ144" s="72"/>
      <c r="RIR144" s="72"/>
      <c r="RIS144" s="72"/>
      <c r="RIT144" s="72"/>
      <c r="RIU144" s="72"/>
      <c r="RIV144" s="72"/>
      <c r="RIW144" s="72"/>
      <c r="RIX144" s="72"/>
      <c r="RIY144" s="72"/>
      <c r="RIZ144" s="72"/>
      <c r="RJA144" s="72"/>
      <c r="RJB144" s="72"/>
      <c r="RJC144" s="72"/>
      <c r="RJD144" s="72"/>
      <c r="RJE144" s="72"/>
      <c r="RJF144" s="72"/>
      <c r="RJG144" s="72"/>
      <c r="RJH144" s="72"/>
      <c r="RJI144" s="72"/>
      <c r="RJJ144" s="72"/>
      <c r="RJK144" s="72"/>
      <c r="RJL144" s="72"/>
      <c r="RJM144" s="72"/>
      <c r="RJN144" s="72"/>
      <c r="RJO144" s="72"/>
      <c r="RJP144" s="72"/>
      <c r="RJQ144" s="72"/>
      <c r="RJR144" s="72"/>
      <c r="RJS144" s="72"/>
      <c r="RJT144" s="72"/>
      <c r="RJU144" s="72"/>
      <c r="RJV144" s="72"/>
      <c r="RJW144" s="72"/>
      <c r="RJX144" s="72"/>
      <c r="RJY144" s="72"/>
      <c r="RJZ144" s="72"/>
      <c r="RKA144" s="72"/>
      <c r="RKB144" s="72"/>
      <c r="RKC144" s="72"/>
      <c r="RKD144" s="72"/>
      <c r="RKE144" s="72"/>
      <c r="RKF144" s="72"/>
      <c r="RKG144" s="72"/>
      <c r="RKH144" s="72"/>
      <c r="RKI144" s="72"/>
      <c r="RKJ144" s="72"/>
      <c r="RKK144" s="72"/>
      <c r="RKL144" s="72"/>
      <c r="RKM144" s="72"/>
      <c r="RKN144" s="72"/>
      <c r="RKO144" s="72"/>
      <c r="RKP144" s="72"/>
      <c r="RKQ144" s="72"/>
      <c r="RKR144" s="72"/>
      <c r="RKS144" s="72"/>
      <c r="RKT144" s="72"/>
      <c r="RKU144" s="72"/>
      <c r="RKV144" s="72"/>
      <c r="RKW144" s="72"/>
      <c r="RKX144" s="72"/>
      <c r="RKY144" s="72"/>
      <c r="RKZ144" s="72"/>
      <c r="RLA144" s="72"/>
      <c r="RLB144" s="72"/>
      <c r="RLC144" s="72"/>
      <c r="RLD144" s="72"/>
      <c r="RLE144" s="72"/>
      <c r="RLF144" s="72"/>
      <c r="RLG144" s="72"/>
      <c r="RLH144" s="72"/>
      <c r="RLI144" s="72"/>
      <c r="RLJ144" s="72"/>
      <c r="RLK144" s="72"/>
      <c r="RLL144" s="72"/>
      <c r="RLM144" s="72"/>
      <c r="RLN144" s="72"/>
      <c r="RLO144" s="72"/>
      <c r="RLP144" s="72"/>
      <c r="RLQ144" s="72"/>
      <c r="RLR144" s="72"/>
      <c r="RLS144" s="72"/>
      <c r="RLT144" s="72"/>
      <c r="RLU144" s="72"/>
      <c r="RLV144" s="72"/>
      <c r="RLW144" s="72"/>
      <c r="RLX144" s="72"/>
      <c r="RLY144" s="72"/>
      <c r="RLZ144" s="72"/>
      <c r="RMA144" s="72"/>
      <c r="RMB144" s="72"/>
      <c r="RMC144" s="72"/>
      <c r="RMD144" s="72"/>
      <c r="RME144" s="72"/>
      <c r="RMF144" s="72"/>
      <c r="RMG144" s="72"/>
      <c r="RMH144" s="72"/>
      <c r="RMI144" s="72"/>
      <c r="RMJ144" s="72"/>
      <c r="RMK144" s="72"/>
      <c r="RML144" s="72"/>
      <c r="RMM144" s="72"/>
      <c r="RMN144" s="72"/>
      <c r="RMO144" s="72"/>
      <c r="RMP144" s="72"/>
      <c r="RMQ144" s="72"/>
      <c r="RMR144" s="72"/>
      <c r="RMS144" s="72"/>
      <c r="RMT144" s="72"/>
      <c r="RMU144" s="72"/>
      <c r="RMV144" s="72"/>
      <c r="RMW144" s="72"/>
      <c r="RMX144" s="72"/>
      <c r="RMY144" s="72"/>
      <c r="RMZ144" s="72"/>
      <c r="RNA144" s="72"/>
      <c r="RNB144" s="72"/>
      <c r="RNC144" s="72"/>
      <c r="RND144" s="72"/>
      <c r="RNE144" s="72"/>
      <c r="RNF144" s="72"/>
      <c r="RNG144" s="72"/>
      <c r="RNH144" s="72"/>
      <c r="RNI144" s="72"/>
      <c r="RNJ144" s="72"/>
      <c r="RNK144" s="72"/>
      <c r="RNL144" s="72"/>
      <c r="RNM144" s="72"/>
      <c r="RNN144" s="72"/>
      <c r="RNO144" s="72"/>
      <c r="RNP144" s="72"/>
      <c r="RNQ144" s="72"/>
      <c r="RNR144" s="72"/>
      <c r="RNS144" s="72"/>
      <c r="RNT144" s="72"/>
      <c r="RNU144" s="72"/>
      <c r="RNV144" s="72"/>
      <c r="RNW144" s="72"/>
      <c r="RNX144" s="72"/>
      <c r="RNY144" s="72"/>
      <c r="RNZ144" s="72"/>
      <c r="ROA144" s="72"/>
      <c r="ROB144" s="72"/>
      <c r="ROC144" s="72"/>
      <c r="ROD144" s="72"/>
      <c r="ROE144" s="72"/>
      <c r="ROF144" s="72"/>
      <c r="ROG144" s="72"/>
      <c r="ROH144" s="72"/>
      <c r="ROI144" s="72"/>
      <c r="ROJ144" s="72"/>
      <c r="ROK144" s="72"/>
      <c r="ROL144" s="72"/>
      <c r="ROM144" s="72"/>
      <c r="RON144" s="72"/>
      <c r="ROO144" s="72"/>
      <c r="ROP144" s="72"/>
      <c r="ROQ144" s="72"/>
      <c r="ROR144" s="72"/>
      <c r="ROS144" s="72"/>
      <c r="ROT144" s="72"/>
      <c r="ROU144" s="72"/>
      <c r="ROV144" s="72"/>
      <c r="ROW144" s="72"/>
      <c r="ROX144" s="72"/>
      <c r="ROY144" s="72"/>
      <c r="ROZ144" s="72"/>
      <c r="RPA144" s="72"/>
      <c r="RPB144" s="72"/>
      <c r="RPC144" s="72"/>
      <c r="RPD144" s="72"/>
      <c r="RPE144" s="72"/>
      <c r="RPF144" s="72"/>
      <c r="RPG144" s="72"/>
      <c r="RPH144" s="72"/>
      <c r="RPI144" s="72"/>
      <c r="RPJ144" s="72"/>
      <c r="RPK144" s="72"/>
      <c r="RPL144" s="72"/>
      <c r="RPM144" s="72"/>
      <c r="RPN144" s="72"/>
      <c r="RPO144" s="72"/>
      <c r="RPP144" s="72"/>
      <c r="RPQ144" s="72"/>
      <c r="RPR144" s="72"/>
      <c r="RPS144" s="72"/>
      <c r="RPT144" s="72"/>
      <c r="RPU144" s="72"/>
      <c r="RPV144" s="72"/>
      <c r="RPW144" s="72"/>
      <c r="RPX144" s="72"/>
      <c r="RPY144" s="72"/>
      <c r="RPZ144" s="72"/>
      <c r="RQA144" s="72"/>
      <c r="RQB144" s="72"/>
      <c r="RQC144" s="72"/>
      <c r="RQD144" s="72"/>
      <c r="RQE144" s="72"/>
      <c r="RQF144" s="72"/>
      <c r="RQG144" s="72"/>
      <c r="RQH144" s="72"/>
      <c r="RQI144" s="72"/>
      <c r="RQJ144" s="72"/>
      <c r="RQK144" s="72"/>
      <c r="RQL144" s="72"/>
      <c r="RQM144" s="72"/>
      <c r="RQN144" s="72"/>
      <c r="RQO144" s="72"/>
      <c r="RQP144" s="72"/>
      <c r="RQQ144" s="72"/>
      <c r="RQR144" s="72"/>
      <c r="RQS144" s="72"/>
      <c r="RQT144" s="72"/>
      <c r="RQU144" s="72"/>
      <c r="RQV144" s="72"/>
      <c r="RQW144" s="72"/>
      <c r="RQX144" s="72"/>
      <c r="RQY144" s="72"/>
      <c r="RQZ144" s="72"/>
      <c r="RRA144" s="72"/>
      <c r="RRB144" s="72"/>
      <c r="RRC144" s="72"/>
      <c r="RRD144" s="72"/>
      <c r="RRE144" s="72"/>
      <c r="RRF144" s="72"/>
      <c r="RRG144" s="72"/>
      <c r="RRH144" s="72"/>
      <c r="RRI144" s="72"/>
      <c r="RRJ144" s="72"/>
      <c r="RRK144" s="72"/>
      <c r="RRL144" s="72"/>
      <c r="RRM144" s="72"/>
      <c r="RRN144" s="72"/>
      <c r="RRO144" s="72"/>
      <c r="RRP144" s="72"/>
      <c r="RRQ144" s="72"/>
      <c r="RRR144" s="72"/>
      <c r="RRS144" s="72"/>
      <c r="RRT144" s="72"/>
      <c r="RRU144" s="72"/>
      <c r="RRV144" s="72"/>
      <c r="RRW144" s="72"/>
      <c r="RRX144" s="72"/>
      <c r="RRY144" s="72"/>
      <c r="RRZ144" s="72"/>
      <c r="RSA144" s="72"/>
      <c r="RSB144" s="72"/>
      <c r="RSC144" s="72"/>
      <c r="RSD144" s="72"/>
      <c r="RSE144" s="72"/>
      <c r="RSF144" s="72"/>
      <c r="RSG144" s="72"/>
      <c r="RSH144" s="72"/>
      <c r="RSI144" s="72"/>
      <c r="RSJ144" s="72"/>
      <c r="RSK144" s="72"/>
      <c r="RSL144" s="72"/>
      <c r="RSM144" s="72"/>
      <c r="RSN144" s="72"/>
      <c r="RSO144" s="72"/>
      <c r="RSP144" s="72"/>
      <c r="RSQ144" s="72"/>
      <c r="RSR144" s="72"/>
      <c r="RSS144" s="72"/>
      <c r="RST144" s="72"/>
      <c r="RSU144" s="72"/>
      <c r="RSV144" s="72"/>
      <c r="RSW144" s="72"/>
      <c r="RSX144" s="72"/>
      <c r="RSY144" s="72"/>
      <c r="RSZ144" s="72"/>
      <c r="RTA144" s="72"/>
      <c r="RTB144" s="72"/>
      <c r="RTC144" s="72"/>
      <c r="RTD144" s="72"/>
      <c r="RTE144" s="72"/>
      <c r="RTF144" s="72"/>
      <c r="RTG144" s="72"/>
      <c r="RTH144" s="72"/>
      <c r="RTI144" s="72"/>
      <c r="RTJ144" s="72"/>
      <c r="RTK144" s="72"/>
      <c r="RTL144" s="72"/>
      <c r="RTM144" s="72"/>
      <c r="RTN144" s="72"/>
      <c r="RTO144" s="72"/>
      <c r="RTP144" s="72"/>
      <c r="RTQ144" s="72"/>
      <c r="RTR144" s="72"/>
      <c r="RTS144" s="72"/>
      <c r="RTT144" s="72"/>
      <c r="RTU144" s="72"/>
      <c r="RTV144" s="72"/>
      <c r="RTW144" s="72"/>
      <c r="RTX144" s="72"/>
      <c r="RTY144" s="72"/>
      <c r="RTZ144" s="72"/>
      <c r="RUA144" s="72"/>
      <c r="RUB144" s="72"/>
      <c r="RUC144" s="72"/>
      <c r="RUD144" s="72"/>
      <c r="RUE144" s="72"/>
      <c r="RUF144" s="72"/>
      <c r="RUG144" s="72"/>
      <c r="RUH144" s="72"/>
      <c r="RUI144" s="72"/>
      <c r="RUJ144" s="72"/>
      <c r="RUK144" s="72"/>
      <c r="RUL144" s="72"/>
      <c r="RUM144" s="72"/>
      <c r="RUN144" s="72"/>
      <c r="RUO144" s="72"/>
      <c r="RUP144" s="72"/>
      <c r="RUQ144" s="72"/>
      <c r="RUR144" s="72"/>
      <c r="RUS144" s="72"/>
      <c r="RUT144" s="72"/>
      <c r="RUU144" s="72"/>
      <c r="RUV144" s="72"/>
      <c r="RUW144" s="72"/>
      <c r="RUX144" s="72"/>
      <c r="RUY144" s="72"/>
      <c r="RUZ144" s="72"/>
      <c r="RVA144" s="72"/>
      <c r="RVB144" s="72"/>
      <c r="RVC144" s="72"/>
      <c r="RVD144" s="72"/>
      <c r="RVE144" s="72"/>
      <c r="RVF144" s="72"/>
      <c r="RVG144" s="72"/>
      <c r="RVH144" s="72"/>
      <c r="RVI144" s="72"/>
      <c r="RVJ144" s="72"/>
      <c r="RVK144" s="72"/>
      <c r="RVL144" s="72"/>
      <c r="RVM144" s="72"/>
      <c r="RVN144" s="72"/>
      <c r="RVO144" s="72"/>
      <c r="RVP144" s="72"/>
      <c r="RVQ144" s="72"/>
      <c r="RVR144" s="72"/>
      <c r="RVS144" s="72"/>
      <c r="RVT144" s="72"/>
      <c r="RVU144" s="72"/>
      <c r="RVV144" s="72"/>
      <c r="RVW144" s="72"/>
      <c r="RVX144" s="72"/>
      <c r="RVY144" s="72"/>
      <c r="RVZ144" s="72"/>
      <c r="RWA144" s="72"/>
      <c r="RWB144" s="72"/>
      <c r="RWC144" s="72"/>
      <c r="RWD144" s="72"/>
      <c r="RWE144" s="72"/>
      <c r="RWF144" s="72"/>
      <c r="RWG144" s="72"/>
      <c r="RWH144" s="72"/>
      <c r="RWI144" s="72"/>
      <c r="RWJ144" s="72"/>
      <c r="RWK144" s="72"/>
      <c r="RWL144" s="72"/>
      <c r="RWM144" s="72"/>
      <c r="RWN144" s="72"/>
      <c r="RWO144" s="72"/>
      <c r="RWP144" s="72"/>
      <c r="RWQ144" s="72"/>
      <c r="RWR144" s="72"/>
      <c r="RWS144" s="72"/>
      <c r="RWT144" s="72"/>
      <c r="RWU144" s="72"/>
      <c r="RWV144" s="72"/>
      <c r="RWW144" s="72"/>
      <c r="RWX144" s="72"/>
      <c r="RWY144" s="72"/>
      <c r="RWZ144" s="72"/>
      <c r="RXA144" s="72"/>
      <c r="RXB144" s="72"/>
      <c r="RXC144" s="72"/>
      <c r="RXD144" s="72"/>
      <c r="RXE144" s="72"/>
      <c r="RXF144" s="72"/>
      <c r="RXG144" s="72"/>
      <c r="RXH144" s="72"/>
      <c r="RXI144" s="72"/>
      <c r="RXJ144" s="72"/>
      <c r="RXK144" s="72"/>
      <c r="RXL144" s="72"/>
      <c r="RXM144" s="72"/>
      <c r="RXN144" s="72"/>
      <c r="RXO144" s="72"/>
      <c r="RXP144" s="72"/>
      <c r="RXQ144" s="72"/>
      <c r="RXR144" s="72"/>
      <c r="RXS144" s="72"/>
      <c r="RXT144" s="72"/>
      <c r="RXU144" s="72"/>
      <c r="RXV144" s="72"/>
      <c r="RXW144" s="72"/>
      <c r="RXX144" s="72"/>
      <c r="RXY144" s="72"/>
      <c r="RXZ144" s="72"/>
      <c r="RYA144" s="72"/>
      <c r="RYB144" s="72"/>
      <c r="RYC144" s="72"/>
      <c r="RYD144" s="72"/>
      <c r="RYE144" s="72"/>
      <c r="RYF144" s="72"/>
      <c r="RYG144" s="72"/>
      <c r="RYH144" s="72"/>
      <c r="RYI144" s="72"/>
      <c r="RYJ144" s="72"/>
      <c r="RYK144" s="72"/>
      <c r="RYL144" s="72"/>
      <c r="RYM144" s="72"/>
      <c r="RYN144" s="72"/>
      <c r="RYO144" s="72"/>
      <c r="RYP144" s="72"/>
      <c r="RYQ144" s="72"/>
      <c r="RYR144" s="72"/>
      <c r="RYS144" s="72"/>
      <c r="RYT144" s="72"/>
      <c r="RYU144" s="72"/>
      <c r="RYV144" s="72"/>
      <c r="RYW144" s="72"/>
      <c r="RYX144" s="72"/>
      <c r="RYY144" s="72"/>
      <c r="RYZ144" s="72"/>
      <c r="RZA144" s="72"/>
      <c r="RZB144" s="72"/>
      <c r="RZC144" s="72"/>
      <c r="RZD144" s="72"/>
      <c r="RZE144" s="72"/>
      <c r="RZF144" s="72"/>
      <c r="RZG144" s="72"/>
      <c r="RZH144" s="72"/>
      <c r="RZI144" s="72"/>
      <c r="RZJ144" s="72"/>
      <c r="RZK144" s="72"/>
      <c r="RZL144" s="72"/>
      <c r="RZM144" s="72"/>
      <c r="RZN144" s="72"/>
      <c r="RZO144" s="72"/>
      <c r="RZP144" s="72"/>
      <c r="RZQ144" s="72"/>
      <c r="RZR144" s="72"/>
      <c r="RZS144" s="72"/>
      <c r="RZT144" s="72"/>
      <c r="RZU144" s="72"/>
      <c r="RZV144" s="72"/>
      <c r="RZW144" s="72"/>
      <c r="RZX144" s="72"/>
      <c r="RZY144" s="72"/>
      <c r="RZZ144" s="72"/>
      <c r="SAA144" s="72"/>
      <c r="SAB144" s="72"/>
      <c r="SAC144" s="72"/>
      <c r="SAD144" s="72"/>
      <c r="SAE144" s="72"/>
      <c r="SAF144" s="72"/>
      <c r="SAG144" s="72"/>
      <c r="SAH144" s="72"/>
      <c r="SAI144" s="72"/>
      <c r="SAJ144" s="72"/>
      <c r="SAK144" s="72"/>
      <c r="SAL144" s="72"/>
      <c r="SAM144" s="72"/>
      <c r="SAN144" s="72"/>
      <c r="SAO144" s="72"/>
      <c r="SAP144" s="72"/>
      <c r="SAQ144" s="72"/>
      <c r="SAR144" s="72"/>
      <c r="SAS144" s="72"/>
      <c r="SAT144" s="72"/>
      <c r="SAU144" s="72"/>
      <c r="SAV144" s="72"/>
      <c r="SAW144" s="72"/>
      <c r="SAX144" s="72"/>
      <c r="SAY144" s="72"/>
      <c r="SAZ144" s="72"/>
      <c r="SBA144" s="72"/>
      <c r="SBB144" s="72"/>
      <c r="SBC144" s="72"/>
      <c r="SBD144" s="72"/>
      <c r="SBE144" s="72"/>
      <c r="SBF144" s="72"/>
      <c r="SBG144" s="72"/>
      <c r="SBH144" s="72"/>
      <c r="SBI144" s="72"/>
      <c r="SBJ144" s="72"/>
      <c r="SBK144" s="72"/>
      <c r="SBL144" s="72"/>
      <c r="SBM144" s="72"/>
      <c r="SBN144" s="72"/>
      <c r="SBO144" s="72"/>
      <c r="SBP144" s="72"/>
      <c r="SBQ144" s="72"/>
      <c r="SBR144" s="72"/>
      <c r="SBS144" s="72"/>
      <c r="SBT144" s="72"/>
      <c r="SBU144" s="72"/>
      <c r="SBV144" s="72"/>
      <c r="SBW144" s="72"/>
      <c r="SBX144" s="72"/>
      <c r="SBY144" s="72"/>
      <c r="SBZ144" s="72"/>
      <c r="SCA144" s="72"/>
      <c r="SCB144" s="72"/>
      <c r="SCC144" s="72"/>
      <c r="SCD144" s="72"/>
      <c r="SCE144" s="72"/>
      <c r="SCF144" s="72"/>
      <c r="SCG144" s="72"/>
      <c r="SCH144" s="72"/>
      <c r="SCI144" s="72"/>
      <c r="SCJ144" s="72"/>
      <c r="SCK144" s="72"/>
      <c r="SCL144" s="72"/>
      <c r="SCM144" s="72"/>
      <c r="SCN144" s="72"/>
      <c r="SCO144" s="72"/>
      <c r="SCP144" s="72"/>
      <c r="SCQ144" s="72"/>
      <c r="SCR144" s="72"/>
      <c r="SCS144" s="72"/>
      <c r="SCT144" s="72"/>
      <c r="SCU144" s="72"/>
      <c r="SCV144" s="72"/>
      <c r="SCW144" s="72"/>
      <c r="SCX144" s="72"/>
      <c r="SCY144" s="72"/>
      <c r="SCZ144" s="72"/>
      <c r="SDA144" s="72"/>
      <c r="SDB144" s="72"/>
      <c r="SDC144" s="72"/>
      <c r="SDD144" s="72"/>
      <c r="SDE144" s="72"/>
      <c r="SDF144" s="72"/>
      <c r="SDG144" s="72"/>
      <c r="SDH144" s="72"/>
      <c r="SDI144" s="72"/>
      <c r="SDJ144" s="72"/>
      <c r="SDK144" s="72"/>
      <c r="SDL144" s="72"/>
      <c r="SDM144" s="72"/>
      <c r="SDN144" s="72"/>
      <c r="SDO144" s="72"/>
      <c r="SDP144" s="72"/>
      <c r="SDQ144" s="72"/>
      <c r="SDR144" s="72"/>
      <c r="SDS144" s="72"/>
      <c r="SDT144" s="72"/>
      <c r="SDU144" s="72"/>
      <c r="SDV144" s="72"/>
      <c r="SDW144" s="72"/>
      <c r="SDX144" s="72"/>
      <c r="SDY144" s="72"/>
      <c r="SDZ144" s="72"/>
      <c r="SEA144" s="72"/>
      <c r="SEB144" s="72"/>
      <c r="SEC144" s="72"/>
      <c r="SED144" s="72"/>
      <c r="SEE144" s="72"/>
      <c r="SEF144" s="72"/>
      <c r="SEG144" s="72"/>
      <c r="SEH144" s="72"/>
      <c r="SEI144" s="72"/>
      <c r="SEJ144" s="72"/>
      <c r="SEK144" s="72"/>
      <c r="SEL144" s="72"/>
      <c r="SEM144" s="72"/>
      <c r="SEN144" s="72"/>
      <c r="SEO144" s="72"/>
      <c r="SEP144" s="72"/>
      <c r="SEQ144" s="72"/>
      <c r="SER144" s="72"/>
      <c r="SES144" s="72"/>
      <c r="SET144" s="72"/>
      <c r="SEU144" s="72"/>
      <c r="SEV144" s="72"/>
      <c r="SEW144" s="72"/>
      <c r="SEX144" s="72"/>
      <c r="SEY144" s="72"/>
      <c r="SEZ144" s="72"/>
      <c r="SFA144" s="72"/>
      <c r="SFB144" s="72"/>
      <c r="SFC144" s="72"/>
      <c r="SFD144" s="72"/>
      <c r="SFE144" s="72"/>
      <c r="SFF144" s="72"/>
      <c r="SFG144" s="72"/>
      <c r="SFH144" s="72"/>
      <c r="SFI144" s="72"/>
      <c r="SFJ144" s="72"/>
      <c r="SFK144" s="72"/>
      <c r="SFL144" s="72"/>
      <c r="SFM144" s="72"/>
      <c r="SFN144" s="72"/>
      <c r="SFO144" s="72"/>
      <c r="SFP144" s="72"/>
      <c r="SFQ144" s="72"/>
      <c r="SFR144" s="72"/>
      <c r="SFS144" s="72"/>
      <c r="SFT144" s="72"/>
      <c r="SFU144" s="72"/>
      <c r="SFV144" s="72"/>
      <c r="SFW144" s="72"/>
      <c r="SFX144" s="72"/>
      <c r="SFY144" s="72"/>
      <c r="SFZ144" s="72"/>
      <c r="SGA144" s="72"/>
      <c r="SGB144" s="72"/>
      <c r="SGC144" s="72"/>
      <c r="SGD144" s="72"/>
      <c r="SGE144" s="72"/>
      <c r="SGF144" s="72"/>
      <c r="SGG144" s="72"/>
      <c r="SGH144" s="72"/>
      <c r="SGI144" s="72"/>
      <c r="SGJ144" s="72"/>
      <c r="SGK144" s="72"/>
      <c r="SGL144" s="72"/>
      <c r="SGM144" s="72"/>
      <c r="SGN144" s="72"/>
      <c r="SGO144" s="72"/>
      <c r="SGP144" s="72"/>
      <c r="SGQ144" s="72"/>
      <c r="SGR144" s="72"/>
      <c r="SGS144" s="72"/>
      <c r="SGT144" s="72"/>
      <c r="SGU144" s="72"/>
      <c r="SGV144" s="72"/>
      <c r="SGW144" s="72"/>
      <c r="SGX144" s="72"/>
      <c r="SGY144" s="72"/>
      <c r="SGZ144" s="72"/>
      <c r="SHA144" s="72"/>
      <c r="SHB144" s="72"/>
      <c r="SHC144" s="72"/>
      <c r="SHD144" s="72"/>
      <c r="SHE144" s="72"/>
      <c r="SHF144" s="72"/>
      <c r="SHG144" s="72"/>
      <c r="SHH144" s="72"/>
      <c r="SHI144" s="72"/>
      <c r="SHJ144" s="72"/>
      <c r="SHK144" s="72"/>
      <c r="SHL144" s="72"/>
      <c r="SHM144" s="72"/>
      <c r="SHN144" s="72"/>
      <c r="SHO144" s="72"/>
      <c r="SHP144" s="72"/>
      <c r="SHQ144" s="72"/>
      <c r="SHR144" s="72"/>
      <c r="SHS144" s="72"/>
      <c r="SHT144" s="72"/>
      <c r="SHU144" s="72"/>
      <c r="SHV144" s="72"/>
      <c r="SHW144" s="72"/>
      <c r="SHX144" s="72"/>
      <c r="SHY144" s="72"/>
      <c r="SHZ144" s="72"/>
      <c r="SIA144" s="72"/>
      <c r="SIB144" s="72"/>
      <c r="SIC144" s="72"/>
      <c r="SID144" s="72"/>
      <c r="SIE144" s="72"/>
      <c r="SIF144" s="72"/>
      <c r="SIG144" s="72"/>
      <c r="SIH144" s="72"/>
      <c r="SII144" s="72"/>
      <c r="SIJ144" s="72"/>
      <c r="SIK144" s="72"/>
      <c r="SIL144" s="72"/>
      <c r="SIM144" s="72"/>
      <c r="SIN144" s="72"/>
      <c r="SIO144" s="72"/>
      <c r="SIP144" s="72"/>
      <c r="SIQ144" s="72"/>
      <c r="SIR144" s="72"/>
      <c r="SIS144" s="72"/>
      <c r="SIT144" s="72"/>
      <c r="SIU144" s="72"/>
      <c r="SIV144" s="72"/>
      <c r="SIW144" s="72"/>
      <c r="SIX144" s="72"/>
      <c r="SIY144" s="72"/>
      <c r="SIZ144" s="72"/>
      <c r="SJA144" s="72"/>
      <c r="SJB144" s="72"/>
      <c r="SJC144" s="72"/>
      <c r="SJD144" s="72"/>
      <c r="SJE144" s="72"/>
      <c r="SJF144" s="72"/>
      <c r="SJG144" s="72"/>
      <c r="SJH144" s="72"/>
      <c r="SJI144" s="72"/>
      <c r="SJJ144" s="72"/>
      <c r="SJK144" s="72"/>
      <c r="SJL144" s="72"/>
      <c r="SJM144" s="72"/>
      <c r="SJN144" s="72"/>
      <c r="SJO144" s="72"/>
      <c r="SJP144" s="72"/>
      <c r="SJQ144" s="72"/>
      <c r="SJR144" s="72"/>
      <c r="SJS144" s="72"/>
      <c r="SJT144" s="72"/>
      <c r="SJU144" s="72"/>
      <c r="SJV144" s="72"/>
      <c r="SJW144" s="72"/>
      <c r="SJX144" s="72"/>
      <c r="SJY144" s="72"/>
      <c r="SJZ144" s="72"/>
      <c r="SKA144" s="72"/>
      <c r="SKB144" s="72"/>
      <c r="SKC144" s="72"/>
      <c r="SKD144" s="72"/>
      <c r="SKE144" s="72"/>
      <c r="SKF144" s="72"/>
      <c r="SKG144" s="72"/>
      <c r="SKH144" s="72"/>
      <c r="SKI144" s="72"/>
      <c r="SKJ144" s="72"/>
      <c r="SKK144" s="72"/>
      <c r="SKL144" s="72"/>
      <c r="SKM144" s="72"/>
      <c r="SKN144" s="72"/>
      <c r="SKO144" s="72"/>
      <c r="SKP144" s="72"/>
      <c r="SKQ144" s="72"/>
      <c r="SKR144" s="72"/>
      <c r="SKS144" s="72"/>
      <c r="SKT144" s="72"/>
      <c r="SKU144" s="72"/>
      <c r="SKV144" s="72"/>
      <c r="SKW144" s="72"/>
      <c r="SKX144" s="72"/>
      <c r="SKY144" s="72"/>
      <c r="SKZ144" s="72"/>
      <c r="SLA144" s="72"/>
      <c r="SLB144" s="72"/>
      <c r="SLC144" s="72"/>
      <c r="SLD144" s="72"/>
      <c r="SLE144" s="72"/>
      <c r="SLF144" s="72"/>
      <c r="SLG144" s="72"/>
      <c r="SLH144" s="72"/>
      <c r="SLI144" s="72"/>
      <c r="SLJ144" s="72"/>
      <c r="SLK144" s="72"/>
      <c r="SLL144" s="72"/>
      <c r="SLM144" s="72"/>
      <c r="SLN144" s="72"/>
      <c r="SLO144" s="72"/>
      <c r="SLP144" s="72"/>
      <c r="SLQ144" s="72"/>
      <c r="SLR144" s="72"/>
      <c r="SLS144" s="72"/>
      <c r="SLT144" s="72"/>
      <c r="SLU144" s="72"/>
      <c r="SLV144" s="72"/>
      <c r="SLW144" s="72"/>
      <c r="SLX144" s="72"/>
      <c r="SLY144" s="72"/>
      <c r="SLZ144" s="72"/>
      <c r="SMA144" s="72"/>
      <c r="SMB144" s="72"/>
      <c r="SMC144" s="72"/>
      <c r="SMD144" s="72"/>
      <c r="SME144" s="72"/>
      <c r="SMF144" s="72"/>
      <c r="SMG144" s="72"/>
      <c r="SMH144" s="72"/>
      <c r="SMI144" s="72"/>
      <c r="SMJ144" s="72"/>
      <c r="SMK144" s="72"/>
      <c r="SML144" s="72"/>
      <c r="SMM144" s="72"/>
      <c r="SMN144" s="72"/>
      <c r="SMO144" s="72"/>
      <c r="SMP144" s="72"/>
      <c r="SMQ144" s="72"/>
      <c r="SMR144" s="72"/>
      <c r="SMS144" s="72"/>
      <c r="SMT144" s="72"/>
      <c r="SMU144" s="72"/>
      <c r="SMV144" s="72"/>
      <c r="SMW144" s="72"/>
      <c r="SMX144" s="72"/>
      <c r="SMY144" s="72"/>
      <c r="SMZ144" s="72"/>
      <c r="SNA144" s="72"/>
      <c r="SNB144" s="72"/>
      <c r="SNC144" s="72"/>
      <c r="SND144" s="72"/>
      <c r="SNE144" s="72"/>
      <c r="SNF144" s="72"/>
      <c r="SNG144" s="72"/>
      <c r="SNH144" s="72"/>
      <c r="SNI144" s="72"/>
      <c r="SNJ144" s="72"/>
      <c r="SNK144" s="72"/>
      <c r="SNL144" s="72"/>
      <c r="SNM144" s="72"/>
      <c r="SNN144" s="72"/>
      <c r="SNO144" s="72"/>
      <c r="SNP144" s="72"/>
      <c r="SNQ144" s="72"/>
      <c r="SNR144" s="72"/>
      <c r="SNS144" s="72"/>
      <c r="SNT144" s="72"/>
      <c r="SNU144" s="72"/>
      <c r="SNV144" s="72"/>
      <c r="SNW144" s="72"/>
      <c r="SNX144" s="72"/>
      <c r="SNY144" s="72"/>
      <c r="SNZ144" s="72"/>
      <c r="SOA144" s="72"/>
      <c r="SOB144" s="72"/>
      <c r="SOC144" s="72"/>
      <c r="SOD144" s="72"/>
      <c r="SOE144" s="72"/>
      <c r="SOF144" s="72"/>
      <c r="SOG144" s="72"/>
      <c r="SOH144" s="72"/>
      <c r="SOI144" s="72"/>
      <c r="SOJ144" s="72"/>
      <c r="SOK144" s="72"/>
      <c r="SOL144" s="72"/>
      <c r="SOM144" s="72"/>
      <c r="SON144" s="72"/>
      <c r="SOO144" s="72"/>
      <c r="SOP144" s="72"/>
      <c r="SOQ144" s="72"/>
      <c r="SOR144" s="72"/>
      <c r="SOS144" s="72"/>
      <c r="SOT144" s="72"/>
      <c r="SOU144" s="72"/>
      <c r="SOV144" s="72"/>
      <c r="SOW144" s="72"/>
      <c r="SOX144" s="72"/>
      <c r="SOY144" s="72"/>
      <c r="SOZ144" s="72"/>
      <c r="SPA144" s="72"/>
      <c r="SPB144" s="72"/>
      <c r="SPC144" s="72"/>
      <c r="SPD144" s="72"/>
      <c r="SPE144" s="72"/>
      <c r="SPF144" s="72"/>
      <c r="SPG144" s="72"/>
      <c r="SPH144" s="72"/>
      <c r="SPI144" s="72"/>
      <c r="SPJ144" s="72"/>
      <c r="SPK144" s="72"/>
      <c r="SPL144" s="72"/>
      <c r="SPM144" s="72"/>
      <c r="SPN144" s="72"/>
      <c r="SPO144" s="72"/>
      <c r="SPP144" s="72"/>
      <c r="SPQ144" s="72"/>
      <c r="SPR144" s="72"/>
      <c r="SPS144" s="72"/>
      <c r="SPT144" s="72"/>
      <c r="SPU144" s="72"/>
      <c r="SPV144" s="72"/>
      <c r="SPW144" s="72"/>
      <c r="SPX144" s="72"/>
      <c r="SPY144" s="72"/>
      <c r="SPZ144" s="72"/>
      <c r="SQA144" s="72"/>
      <c r="SQB144" s="72"/>
      <c r="SQC144" s="72"/>
      <c r="SQD144" s="72"/>
      <c r="SQE144" s="72"/>
      <c r="SQF144" s="72"/>
      <c r="SQG144" s="72"/>
      <c r="SQH144" s="72"/>
      <c r="SQI144" s="72"/>
      <c r="SQJ144" s="72"/>
      <c r="SQK144" s="72"/>
      <c r="SQL144" s="72"/>
      <c r="SQM144" s="72"/>
      <c r="SQN144" s="72"/>
      <c r="SQO144" s="72"/>
      <c r="SQP144" s="72"/>
      <c r="SQQ144" s="72"/>
      <c r="SQR144" s="72"/>
      <c r="SQS144" s="72"/>
      <c r="SQT144" s="72"/>
      <c r="SQU144" s="72"/>
      <c r="SQV144" s="72"/>
      <c r="SQW144" s="72"/>
      <c r="SQX144" s="72"/>
      <c r="SQY144" s="72"/>
      <c r="SQZ144" s="72"/>
      <c r="SRA144" s="72"/>
      <c r="SRB144" s="72"/>
      <c r="SRC144" s="72"/>
      <c r="SRD144" s="72"/>
      <c r="SRE144" s="72"/>
      <c r="SRF144" s="72"/>
      <c r="SRG144" s="72"/>
      <c r="SRH144" s="72"/>
      <c r="SRI144" s="72"/>
      <c r="SRJ144" s="72"/>
      <c r="SRK144" s="72"/>
      <c r="SRL144" s="72"/>
      <c r="SRM144" s="72"/>
      <c r="SRN144" s="72"/>
      <c r="SRO144" s="72"/>
      <c r="SRP144" s="72"/>
      <c r="SRQ144" s="72"/>
      <c r="SRR144" s="72"/>
      <c r="SRS144" s="72"/>
      <c r="SRT144" s="72"/>
      <c r="SRU144" s="72"/>
      <c r="SRV144" s="72"/>
      <c r="SRW144" s="72"/>
      <c r="SRX144" s="72"/>
      <c r="SRY144" s="72"/>
      <c r="SRZ144" s="72"/>
      <c r="SSA144" s="72"/>
      <c r="SSB144" s="72"/>
      <c r="SSC144" s="72"/>
      <c r="SSD144" s="72"/>
      <c r="SSE144" s="72"/>
      <c r="SSF144" s="72"/>
      <c r="SSG144" s="72"/>
      <c r="SSH144" s="72"/>
      <c r="SSI144" s="72"/>
      <c r="SSJ144" s="72"/>
      <c r="SSK144" s="72"/>
      <c r="SSL144" s="72"/>
      <c r="SSM144" s="72"/>
      <c r="SSN144" s="72"/>
      <c r="SSO144" s="72"/>
      <c r="SSP144" s="72"/>
      <c r="SSQ144" s="72"/>
      <c r="SSR144" s="72"/>
      <c r="SSS144" s="72"/>
      <c r="SST144" s="72"/>
      <c r="SSU144" s="72"/>
      <c r="SSV144" s="72"/>
      <c r="SSW144" s="72"/>
      <c r="SSX144" s="72"/>
      <c r="SSY144" s="72"/>
      <c r="SSZ144" s="72"/>
      <c r="STA144" s="72"/>
      <c r="STB144" s="72"/>
      <c r="STC144" s="72"/>
      <c r="STD144" s="72"/>
      <c r="STE144" s="72"/>
      <c r="STF144" s="72"/>
      <c r="STG144" s="72"/>
      <c r="STH144" s="72"/>
      <c r="STI144" s="72"/>
      <c r="STJ144" s="72"/>
      <c r="STK144" s="72"/>
      <c r="STL144" s="72"/>
      <c r="STM144" s="72"/>
      <c r="STN144" s="72"/>
      <c r="STO144" s="72"/>
      <c r="STP144" s="72"/>
      <c r="STQ144" s="72"/>
      <c r="STR144" s="72"/>
      <c r="STS144" s="72"/>
      <c r="STT144" s="72"/>
      <c r="STU144" s="72"/>
      <c r="STV144" s="72"/>
      <c r="STW144" s="72"/>
      <c r="STX144" s="72"/>
      <c r="STY144" s="72"/>
      <c r="STZ144" s="72"/>
      <c r="SUA144" s="72"/>
      <c r="SUB144" s="72"/>
      <c r="SUC144" s="72"/>
      <c r="SUD144" s="72"/>
      <c r="SUE144" s="72"/>
      <c r="SUF144" s="72"/>
      <c r="SUG144" s="72"/>
      <c r="SUH144" s="72"/>
      <c r="SUI144" s="72"/>
      <c r="SUJ144" s="72"/>
      <c r="SUK144" s="72"/>
      <c r="SUL144" s="72"/>
      <c r="SUM144" s="72"/>
      <c r="SUN144" s="72"/>
      <c r="SUO144" s="72"/>
      <c r="SUP144" s="72"/>
      <c r="SUQ144" s="72"/>
      <c r="SUR144" s="72"/>
      <c r="SUS144" s="72"/>
      <c r="SUT144" s="72"/>
      <c r="SUU144" s="72"/>
      <c r="SUV144" s="72"/>
      <c r="SUW144" s="72"/>
      <c r="SUX144" s="72"/>
      <c r="SUY144" s="72"/>
      <c r="SUZ144" s="72"/>
      <c r="SVA144" s="72"/>
      <c r="SVB144" s="72"/>
      <c r="SVC144" s="72"/>
      <c r="SVD144" s="72"/>
      <c r="SVE144" s="72"/>
      <c r="SVF144" s="72"/>
      <c r="SVG144" s="72"/>
      <c r="SVH144" s="72"/>
      <c r="SVI144" s="72"/>
      <c r="SVJ144" s="72"/>
      <c r="SVK144" s="72"/>
      <c r="SVL144" s="72"/>
      <c r="SVM144" s="72"/>
      <c r="SVN144" s="72"/>
      <c r="SVO144" s="72"/>
      <c r="SVP144" s="72"/>
      <c r="SVQ144" s="72"/>
      <c r="SVR144" s="72"/>
      <c r="SVS144" s="72"/>
      <c r="SVT144" s="72"/>
      <c r="SVU144" s="72"/>
      <c r="SVV144" s="72"/>
      <c r="SVW144" s="72"/>
      <c r="SVX144" s="72"/>
      <c r="SVY144" s="72"/>
      <c r="SVZ144" s="72"/>
      <c r="SWA144" s="72"/>
      <c r="SWB144" s="72"/>
      <c r="SWC144" s="72"/>
      <c r="SWD144" s="72"/>
      <c r="SWE144" s="72"/>
      <c r="SWF144" s="72"/>
      <c r="SWG144" s="72"/>
      <c r="SWH144" s="72"/>
      <c r="SWI144" s="72"/>
      <c r="SWJ144" s="72"/>
      <c r="SWK144" s="72"/>
      <c r="SWL144" s="72"/>
      <c r="SWM144" s="72"/>
      <c r="SWN144" s="72"/>
      <c r="SWO144" s="72"/>
      <c r="SWP144" s="72"/>
      <c r="SWQ144" s="72"/>
      <c r="SWR144" s="72"/>
      <c r="SWS144" s="72"/>
      <c r="SWT144" s="72"/>
      <c r="SWU144" s="72"/>
      <c r="SWV144" s="72"/>
      <c r="SWW144" s="72"/>
      <c r="SWX144" s="72"/>
      <c r="SWY144" s="72"/>
      <c r="SWZ144" s="72"/>
      <c r="SXA144" s="72"/>
      <c r="SXB144" s="72"/>
      <c r="SXC144" s="72"/>
      <c r="SXD144" s="72"/>
      <c r="SXE144" s="72"/>
      <c r="SXF144" s="72"/>
      <c r="SXG144" s="72"/>
      <c r="SXH144" s="72"/>
      <c r="SXI144" s="72"/>
      <c r="SXJ144" s="72"/>
      <c r="SXK144" s="72"/>
      <c r="SXL144" s="72"/>
      <c r="SXM144" s="72"/>
      <c r="SXN144" s="72"/>
      <c r="SXO144" s="72"/>
      <c r="SXP144" s="72"/>
      <c r="SXQ144" s="72"/>
      <c r="SXR144" s="72"/>
      <c r="SXS144" s="72"/>
      <c r="SXT144" s="72"/>
      <c r="SXU144" s="72"/>
      <c r="SXV144" s="72"/>
      <c r="SXW144" s="72"/>
      <c r="SXX144" s="72"/>
      <c r="SXY144" s="72"/>
      <c r="SXZ144" s="72"/>
      <c r="SYA144" s="72"/>
      <c r="SYB144" s="72"/>
      <c r="SYC144" s="72"/>
      <c r="SYD144" s="72"/>
      <c r="SYE144" s="72"/>
      <c r="SYF144" s="72"/>
      <c r="SYG144" s="72"/>
      <c r="SYH144" s="72"/>
      <c r="SYI144" s="72"/>
      <c r="SYJ144" s="72"/>
      <c r="SYK144" s="72"/>
      <c r="SYL144" s="72"/>
      <c r="SYM144" s="72"/>
      <c r="SYN144" s="72"/>
      <c r="SYO144" s="72"/>
      <c r="SYP144" s="72"/>
      <c r="SYQ144" s="72"/>
      <c r="SYR144" s="72"/>
      <c r="SYS144" s="72"/>
      <c r="SYT144" s="72"/>
      <c r="SYU144" s="72"/>
      <c r="SYV144" s="72"/>
      <c r="SYW144" s="72"/>
      <c r="SYX144" s="72"/>
      <c r="SYY144" s="72"/>
      <c r="SYZ144" s="72"/>
      <c r="SZA144" s="72"/>
      <c r="SZB144" s="72"/>
      <c r="SZC144" s="72"/>
      <c r="SZD144" s="72"/>
      <c r="SZE144" s="72"/>
      <c r="SZF144" s="72"/>
      <c r="SZG144" s="72"/>
      <c r="SZH144" s="72"/>
      <c r="SZI144" s="72"/>
      <c r="SZJ144" s="72"/>
      <c r="SZK144" s="72"/>
      <c r="SZL144" s="72"/>
      <c r="SZM144" s="72"/>
      <c r="SZN144" s="72"/>
      <c r="SZO144" s="72"/>
      <c r="SZP144" s="72"/>
      <c r="SZQ144" s="72"/>
      <c r="SZR144" s="72"/>
      <c r="SZS144" s="72"/>
      <c r="SZT144" s="72"/>
      <c r="SZU144" s="72"/>
      <c r="SZV144" s="72"/>
      <c r="SZW144" s="72"/>
      <c r="SZX144" s="72"/>
      <c r="SZY144" s="72"/>
      <c r="SZZ144" s="72"/>
      <c r="TAA144" s="72"/>
      <c r="TAB144" s="72"/>
      <c r="TAC144" s="72"/>
      <c r="TAD144" s="72"/>
      <c r="TAE144" s="72"/>
      <c r="TAF144" s="72"/>
      <c r="TAG144" s="72"/>
      <c r="TAH144" s="72"/>
      <c r="TAI144" s="72"/>
      <c r="TAJ144" s="72"/>
      <c r="TAK144" s="72"/>
      <c r="TAL144" s="72"/>
      <c r="TAM144" s="72"/>
      <c r="TAN144" s="72"/>
      <c r="TAO144" s="72"/>
      <c r="TAP144" s="72"/>
      <c r="TAQ144" s="72"/>
      <c r="TAR144" s="72"/>
      <c r="TAS144" s="72"/>
      <c r="TAT144" s="72"/>
      <c r="TAU144" s="72"/>
      <c r="TAV144" s="72"/>
      <c r="TAW144" s="72"/>
      <c r="TAX144" s="72"/>
      <c r="TAY144" s="72"/>
      <c r="TAZ144" s="72"/>
      <c r="TBA144" s="72"/>
      <c r="TBB144" s="72"/>
      <c r="TBC144" s="72"/>
      <c r="TBD144" s="72"/>
      <c r="TBE144" s="72"/>
      <c r="TBF144" s="72"/>
      <c r="TBG144" s="72"/>
      <c r="TBH144" s="72"/>
      <c r="TBI144" s="72"/>
      <c r="TBJ144" s="72"/>
      <c r="TBK144" s="72"/>
      <c r="TBL144" s="72"/>
      <c r="TBM144" s="72"/>
      <c r="TBN144" s="72"/>
      <c r="TBO144" s="72"/>
      <c r="TBP144" s="72"/>
      <c r="TBQ144" s="72"/>
      <c r="TBR144" s="72"/>
      <c r="TBS144" s="72"/>
      <c r="TBT144" s="72"/>
      <c r="TBU144" s="72"/>
      <c r="TBV144" s="72"/>
      <c r="TBW144" s="72"/>
      <c r="TBX144" s="72"/>
      <c r="TBY144" s="72"/>
      <c r="TBZ144" s="72"/>
      <c r="TCA144" s="72"/>
      <c r="TCB144" s="72"/>
      <c r="TCC144" s="72"/>
      <c r="TCD144" s="72"/>
      <c r="TCE144" s="72"/>
      <c r="TCF144" s="72"/>
      <c r="TCG144" s="72"/>
      <c r="TCH144" s="72"/>
      <c r="TCI144" s="72"/>
      <c r="TCJ144" s="72"/>
      <c r="TCK144" s="72"/>
      <c r="TCL144" s="72"/>
      <c r="TCM144" s="72"/>
      <c r="TCN144" s="72"/>
      <c r="TCO144" s="72"/>
      <c r="TCP144" s="72"/>
      <c r="TCQ144" s="72"/>
      <c r="TCR144" s="72"/>
      <c r="TCS144" s="72"/>
      <c r="TCT144" s="72"/>
      <c r="TCU144" s="72"/>
      <c r="TCV144" s="72"/>
      <c r="TCW144" s="72"/>
      <c r="TCX144" s="72"/>
      <c r="TCY144" s="72"/>
      <c r="TCZ144" s="72"/>
      <c r="TDA144" s="72"/>
      <c r="TDB144" s="72"/>
      <c r="TDC144" s="72"/>
      <c r="TDD144" s="72"/>
      <c r="TDE144" s="72"/>
      <c r="TDF144" s="72"/>
      <c r="TDG144" s="72"/>
      <c r="TDH144" s="72"/>
      <c r="TDI144" s="72"/>
      <c r="TDJ144" s="72"/>
      <c r="TDK144" s="72"/>
      <c r="TDL144" s="72"/>
      <c r="TDM144" s="72"/>
      <c r="TDN144" s="72"/>
      <c r="TDO144" s="72"/>
      <c r="TDP144" s="72"/>
      <c r="TDQ144" s="72"/>
      <c r="TDR144" s="72"/>
      <c r="TDS144" s="72"/>
      <c r="TDT144" s="72"/>
      <c r="TDU144" s="72"/>
      <c r="TDV144" s="72"/>
      <c r="TDW144" s="72"/>
      <c r="TDX144" s="72"/>
      <c r="TDY144" s="72"/>
      <c r="TDZ144" s="72"/>
      <c r="TEA144" s="72"/>
      <c r="TEB144" s="72"/>
      <c r="TEC144" s="72"/>
      <c r="TED144" s="72"/>
      <c r="TEE144" s="72"/>
      <c r="TEF144" s="72"/>
      <c r="TEG144" s="72"/>
      <c r="TEH144" s="72"/>
      <c r="TEI144" s="72"/>
      <c r="TEJ144" s="72"/>
      <c r="TEK144" s="72"/>
      <c r="TEL144" s="72"/>
      <c r="TEM144" s="72"/>
      <c r="TEN144" s="72"/>
      <c r="TEO144" s="72"/>
      <c r="TEP144" s="72"/>
      <c r="TEQ144" s="72"/>
      <c r="TER144" s="72"/>
      <c r="TES144" s="72"/>
      <c r="TET144" s="72"/>
      <c r="TEU144" s="72"/>
      <c r="TEV144" s="72"/>
      <c r="TEW144" s="72"/>
      <c r="TEX144" s="72"/>
      <c r="TEY144" s="72"/>
      <c r="TEZ144" s="72"/>
      <c r="TFA144" s="72"/>
      <c r="TFB144" s="72"/>
      <c r="TFC144" s="72"/>
      <c r="TFD144" s="72"/>
      <c r="TFE144" s="72"/>
      <c r="TFF144" s="72"/>
      <c r="TFG144" s="72"/>
      <c r="TFH144" s="72"/>
      <c r="TFI144" s="72"/>
      <c r="TFJ144" s="72"/>
      <c r="TFK144" s="72"/>
      <c r="TFL144" s="72"/>
      <c r="TFM144" s="72"/>
      <c r="TFN144" s="72"/>
      <c r="TFO144" s="72"/>
      <c r="TFP144" s="72"/>
      <c r="TFQ144" s="72"/>
      <c r="TFR144" s="72"/>
      <c r="TFS144" s="72"/>
      <c r="TFT144" s="72"/>
      <c r="TFU144" s="72"/>
      <c r="TFV144" s="72"/>
      <c r="TFW144" s="72"/>
      <c r="TFX144" s="72"/>
      <c r="TFY144" s="72"/>
      <c r="TFZ144" s="72"/>
      <c r="TGA144" s="72"/>
      <c r="TGB144" s="72"/>
      <c r="TGC144" s="72"/>
      <c r="TGD144" s="72"/>
      <c r="TGE144" s="72"/>
      <c r="TGF144" s="72"/>
      <c r="TGG144" s="72"/>
      <c r="TGH144" s="72"/>
      <c r="TGI144" s="72"/>
      <c r="TGJ144" s="72"/>
      <c r="TGK144" s="72"/>
      <c r="TGL144" s="72"/>
      <c r="TGM144" s="72"/>
      <c r="TGN144" s="72"/>
      <c r="TGO144" s="72"/>
      <c r="TGP144" s="72"/>
      <c r="TGQ144" s="72"/>
      <c r="TGR144" s="72"/>
      <c r="TGS144" s="72"/>
      <c r="TGT144" s="72"/>
      <c r="TGU144" s="72"/>
      <c r="TGV144" s="72"/>
      <c r="TGW144" s="72"/>
      <c r="TGX144" s="72"/>
      <c r="TGY144" s="72"/>
      <c r="TGZ144" s="72"/>
      <c r="THA144" s="72"/>
      <c r="THB144" s="72"/>
      <c r="THC144" s="72"/>
      <c r="THD144" s="72"/>
      <c r="THE144" s="72"/>
      <c r="THF144" s="72"/>
      <c r="THG144" s="72"/>
      <c r="THH144" s="72"/>
      <c r="THI144" s="72"/>
      <c r="THJ144" s="72"/>
      <c r="THK144" s="72"/>
      <c r="THL144" s="72"/>
      <c r="THM144" s="72"/>
      <c r="THN144" s="72"/>
      <c r="THO144" s="72"/>
      <c r="THP144" s="72"/>
      <c r="THQ144" s="72"/>
      <c r="THR144" s="72"/>
      <c r="THS144" s="72"/>
      <c r="THT144" s="72"/>
      <c r="THU144" s="72"/>
      <c r="THV144" s="72"/>
      <c r="THW144" s="72"/>
      <c r="THX144" s="72"/>
      <c r="THY144" s="72"/>
      <c r="THZ144" s="72"/>
      <c r="TIA144" s="72"/>
      <c r="TIB144" s="72"/>
      <c r="TIC144" s="72"/>
      <c r="TID144" s="72"/>
      <c r="TIE144" s="72"/>
      <c r="TIF144" s="72"/>
      <c r="TIG144" s="72"/>
      <c r="TIH144" s="72"/>
      <c r="TII144" s="72"/>
      <c r="TIJ144" s="72"/>
      <c r="TIK144" s="72"/>
      <c r="TIL144" s="72"/>
      <c r="TIM144" s="72"/>
      <c r="TIN144" s="72"/>
      <c r="TIO144" s="72"/>
      <c r="TIP144" s="72"/>
      <c r="TIQ144" s="72"/>
      <c r="TIR144" s="72"/>
      <c r="TIS144" s="72"/>
      <c r="TIT144" s="72"/>
      <c r="TIU144" s="72"/>
      <c r="TIV144" s="72"/>
      <c r="TIW144" s="72"/>
      <c r="TIX144" s="72"/>
      <c r="TIY144" s="72"/>
      <c r="TIZ144" s="72"/>
      <c r="TJA144" s="72"/>
      <c r="TJB144" s="72"/>
      <c r="TJC144" s="72"/>
      <c r="TJD144" s="72"/>
      <c r="TJE144" s="72"/>
      <c r="TJF144" s="72"/>
      <c r="TJG144" s="72"/>
      <c r="TJH144" s="72"/>
      <c r="TJI144" s="72"/>
      <c r="TJJ144" s="72"/>
      <c r="TJK144" s="72"/>
      <c r="TJL144" s="72"/>
      <c r="TJM144" s="72"/>
      <c r="TJN144" s="72"/>
      <c r="TJO144" s="72"/>
      <c r="TJP144" s="72"/>
      <c r="TJQ144" s="72"/>
      <c r="TJR144" s="72"/>
      <c r="TJS144" s="72"/>
      <c r="TJT144" s="72"/>
      <c r="TJU144" s="72"/>
      <c r="TJV144" s="72"/>
      <c r="TJW144" s="72"/>
      <c r="TJX144" s="72"/>
      <c r="TJY144" s="72"/>
      <c r="TJZ144" s="72"/>
      <c r="TKA144" s="72"/>
      <c r="TKB144" s="72"/>
      <c r="TKC144" s="72"/>
      <c r="TKD144" s="72"/>
      <c r="TKE144" s="72"/>
      <c r="TKF144" s="72"/>
      <c r="TKG144" s="72"/>
      <c r="TKH144" s="72"/>
      <c r="TKI144" s="72"/>
      <c r="TKJ144" s="72"/>
      <c r="TKK144" s="72"/>
      <c r="TKL144" s="72"/>
      <c r="TKM144" s="72"/>
      <c r="TKN144" s="72"/>
      <c r="TKO144" s="72"/>
      <c r="TKP144" s="72"/>
      <c r="TKQ144" s="72"/>
      <c r="TKR144" s="72"/>
      <c r="TKS144" s="72"/>
      <c r="TKT144" s="72"/>
      <c r="TKU144" s="72"/>
      <c r="TKV144" s="72"/>
      <c r="TKW144" s="72"/>
      <c r="TKX144" s="72"/>
      <c r="TKY144" s="72"/>
      <c r="TKZ144" s="72"/>
      <c r="TLA144" s="72"/>
      <c r="TLB144" s="72"/>
      <c r="TLC144" s="72"/>
      <c r="TLD144" s="72"/>
      <c r="TLE144" s="72"/>
      <c r="TLF144" s="72"/>
      <c r="TLG144" s="72"/>
      <c r="TLH144" s="72"/>
      <c r="TLI144" s="72"/>
      <c r="TLJ144" s="72"/>
      <c r="TLK144" s="72"/>
      <c r="TLL144" s="72"/>
      <c r="TLM144" s="72"/>
      <c r="TLN144" s="72"/>
      <c r="TLO144" s="72"/>
      <c r="TLP144" s="72"/>
      <c r="TLQ144" s="72"/>
      <c r="TLR144" s="72"/>
      <c r="TLS144" s="72"/>
      <c r="TLT144" s="72"/>
      <c r="TLU144" s="72"/>
      <c r="TLV144" s="72"/>
      <c r="TLW144" s="72"/>
      <c r="TLX144" s="72"/>
      <c r="TLY144" s="72"/>
      <c r="TLZ144" s="72"/>
      <c r="TMA144" s="72"/>
      <c r="TMB144" s="72"/>
      <c r="TMC144" s="72"/>
      <c r="TMD144" s="72"/>
      <c r="TME144" s="72"/>
      <c r="TMF144" s="72"/>
      <c r="TMG144" s="72"/>
      <c r="TMH144" s="72"/>
      <c r="TMI144" s="72"/>
      <c r="TMJ144" s="72"/>
      <c r="TMK144" s="72"/>
      <c r="TML144" s="72"/>
      <c r="TMM144" s="72"/>
      <c r="TMN144" s="72"/>
      <c r="TMO144" s="72"/>
      <c r="TMP144" s="72"/>
      <c r="TMQ144" s="72"/>
      <c r="TMR144" s="72"/>
      <c r="TMS144" s="72"/>
      <c r="TMT144" s="72"/>
      <c r="TMU144" s="72"/>
      <c r="TMV144" s="72"/>
      <c r="TMW144" s="72"/>
      <c r="TMX144" s="72"/>
      <c r="TMY144" s="72"/>
      <c r="TMZ144" s="72"/>
      <c r="TNA144" s="72"/>
      <c r="TNB144" s="72"/>
      <c r="TNC144" s="72"/>
      <c r="TND144" s="72"/>
      <c r="TNE144" s="72"/>
      <c r="TNF144" s="72"/>
      <c r="TNG144" s="72"/>
      <c r="TNH144" s="72"/>
      <c r="TNI144" s="72"/>
      <c r="TNJ144" s="72"/>
      <c r="TNK144" s="72"/>
      <c r="TNL144" s="72"/>
      <c r="TNM144" s="72"/>
      <c r="TNN144" s="72"/>
      <c r="TNO144" s="72"/>
      <c r="TNP144" s="72"/>
      <c r="TNQ144" s="72"/>
      <c r="TNR144" s="72"/>
      <c r="TNS144" s="72"/>
      <c r="TNT144" s="72"/>
      <c r="TNU144" s="72"/>
      <c r="TNV144" s="72"/>
      <c r="TNW144" s="72"/>
      <c r="TNX144" s="72"/>
      <c r="TNY144" s="72"/>
      <c r="TNZ144" s="72"/>
      <c r="TOA144" s="72"/>
      <c r="TOB144" s="72"/>
      <c r="TOC144" s="72"/>
      <c r="TOD144" s="72"/>
      <c r="TOE144" s="72"/>
      <c r="TOF144" s="72"/>
      <c r="TOG144" s="72"/>
      <c r="TOH144" s="72"/>
      <c r="TOI144" s="72"/>
      <c r="TOJ144" s="72"/>
      <c r="TOK144" s="72"/>
      <c r="TOL144" s="72"/>
      <c r="TOM144" s="72"/>
      <c r="TON144" s="72"/>
      <c r="TOO144" s="72"/>
      <c r="TOP144" s="72"/>
      <c r="TOQ144" s="72"/>
      <c r="TOR144" s="72"/>
      <c r="TOS144" s="72"/>
      <c r="TOT144" s="72"/>
      <c r="TOU144" s="72"/>
      <c r="TOV144" s="72"/>
      <c r="TOW144" s="72"/>
      <c r="TOX144" s="72"/>
      <c r="TOY144" s="72"/>
      <c r="TOZ144" s="72"/>
      <c r="TPA144" s="72"/>
      <c r="TPB144" s="72"/>
      <c r="TPC144" s="72"/>
      <c r="TPD144" s="72"/>
      <c r="TPE144" s="72"/>
      <c r="TPF144" s="72"/>
      <c r="TPG144" s="72"/>
      <c r="TPH144" s="72"/>
      <c r="TPI144" s="72"/>
      <c r="TPJ144" s="72"/>
      <c r="TPK144" s="72"/>
      <c r="TPL144" s="72"/>
      <c r="TPM144" s="72"/>
      <c r="TPN144" s="72"/>
      <c r="TPO144" s="72"/>
      <c r="TPP144" s="72"/>
      <c r="TPQ144" s="72"/>
      <c r="TPR144" s="72"/>
      <c r="TPS144" s="72"/>
      <c r="TPT144" s="72"/>
      <c r="TPU144" s="72"/>
      <c r="TPV144" s="72"/>
      <c r="TPW144" s="72"/>
      <c r="TPX144" s="72"/>
      <c r="TPY144" s="72"/>
      <c r="TPZ144" s="72"/>
      <c r="TQA144" s="72"/>
      <c r="TQB144" s="72"/>
      <c r="TQC144" s="72"/>
      <c r="TQD144" s="72"/>
      <c r="TQE144" s="72"/>
      <c r="TQF144" s="72"/>
      <c r="TQG144" s="72"/>
      <c r="TQH144" s="72"/>
      <c r="TQI144" s="72"/>
      <c r="TQJ144" s="72"/>
      <c r="TQK144" s="72"/>
      <c r="TQL144" s="72"/>
      <c r="TQM144" s="72"/>
      <c r="TQN144" s="72"/>
      <c r="TQO144" s="72"/>
      <c r="TQP144" s="72"/>
      <c r="TQQ144" s="72"/>
      <c r="TQR144" s="72"/>
      <c r="TQS144" s="72"/>
      <c r="TQT144" s="72"/>
      <c r="TQU144" s="72"/>
      <c r="TQV144" s="72"/>
      <c r="TQW144" s="72"/>
      <c r="TQX144" s="72"/>
      <c r="TQY144" s="72"/>
      <c r="TQZ144" s="72"/>
      <c r="TRA144" s="72"/>
      <c r="TRB144" s="72"/>
      <c r="TRC144" s="72"/>
      <c r="TRD144" s="72"/>
      <c r="TRE144" s="72"/>
      <c r="TRF144" s="72"/>
      <c r="TRG144" s="72"/>
      <c r="TRH144" s="72"/>
      <c r="TRI144" s="72"/>
      <c r="TRJ144" s="72"/>
      <c r="TRK144" s="72"/>
      <c r="TRL144" s="72"/>
      <c r="TRM144" s="72"/>
      <c r="TRN144" s="72"/>
      <c r="TRO144" s="72"/>
      <c r="TRP144" s="72"/>
      <c r="TRQ144" s="72"/>
      <c r="TRR144" s="72"/>
      <c r="TRS144" s="72"/>
      <c r="TRT144" s="72"/>
      <c r="TRU144" s="72"/>
      <c r="TRV144" s="72"/>
      <c r="TRW144" s="72"/>
      <c r="TRX144" s="72"/>
      <c r="TRY144" s="72"/>
      <c r="TRZ144" s="72"/>
      <c r="TSA144" s="72"/>
      <c r="TSB144" s="72"/>
      <c r="TSC144" s="72"/>
      <c r="TSD144" s="72"/>
      <c r="TSE144" s="72"/>
      <c r="TSF144" s="72"/>
      <c r="TSG144" s="72"/>
      <c r="TSH144" s="72"/>
      <c r="TSI144" s="72"/>
      <c r="TSJ144" s="72"/>
      <c r="TSK144" s="72"/>
      <c r="TSL144" s="72"/>
      <c r="TSM144" s="72"/>
      <c r="TSN144" s="72"/>
      <c r="TSO144" s="72"/>
      <c r="TSP144" s="72"/>
      <c r="TSQ144" s="72"/>
      <c r="TSR144" s="72"/>
      <c r="TSS144" s="72"/>
      <c r="TST144" s="72"/>
      <c r="TSU144" s="72"/>
      <c r="TSV144" s="72"/>
      <c r="TSW144" s="72"/>
      <c r="TSX144" s="72"/>
      <c r="TSY144" s="72"/>
      <c r="TSZ144" s="72"/>
      <c r="TTA144" s="72"/>
      <c r="TTB144" s="72"/>
      <c r="TTC144" s="72"/>
      <c r="TTD144" s="72"/>
      <c r="TTE144" s="72"/>
      <c r="TTF144" s="72"/>
      <c r="TTG144" s="72"/>
      <c r="TTH144" s="72"/>
      <c r="TTI144" s="72"/>
      <c r="TTJ144" s="72"/>
      <c r="TTK144" s="72"/>
      <c r="TTL144" s="72"/>
      <c r="TTM144" s="72"/>
      <c r="TTN144" s="72"/>
      <c r="TTO144" s="72"/>
      <c r="TTP144" s="72"/>
      <c r="TTQ144" s="72"/>
      <c r="TTR144" s="72"/>
      <c r="TTS144" s="72"/>
      <c r="TTT144" s="72"/>
      <c r="TTU144" s="72"/>
      <c r="TTV144" s="72"/>
      <c r="TTW144" s="72"/>
      <c r="TTX144" s="72"/>
      <c r="TTY144" s="72"/>
      <c r="TTZ144" s="72"/>
      <c r="TUA144" s="72"/>
      <c r="TUB144" s="72"/>
      <c r="TUC144" s="72"/>
      <c r="TUD144" s="72"/>
      <c r="TUE144" s="72"/>
      <c r="TUF144" s="72"/>
      <c r="TUG144" s="72"/>
      <c r="TUH144" s="72"/>
      <c r="TUI144" s="72"/>
      <c r="TUJ144" s="72"/>
      <c r="TUK144" s="72"/>
      <c r="TUL144" s="72"/>
      <c r="TUM144" s="72"/>
      <c r="TUN144" s="72"/>
      <c r="TUO144" s="72"/>
      <c r="TUP144" s="72"/>
      <c r="TUQ144" s="72"/>
      <c r="TUR144" s="72"/>
      <c r="TUS144" s="72"/>
      <c r="TUT144" s="72"/>
      <c r="TUU144" s="72"/>
      <c r="TUV144" s="72"/>
      <c r="TUW144" s="72"/>
      <c r="TUX144" s="72"/>
      <c r="TUY144" s="72"/>
      <c r="TUZ144" s="72"/>
      <c r="TVA144" s="72"/>
      <c r="TVB144" s="72"/>
      <c r="TVC144" s="72"/>
      <c r="TVD144" s="72"/>
      <c r="TVE144" s="72"/>
      <c r="TVF144" s="72"/>
      <c r="TVG144" s="72"/>
      <c r="TVH144" s="72"/>
      <c r="TVI144" s="72"/>
      <c r="TVJ144" s="72"/>
      <c r="TVK144" s="72"/>
      <c r="TVL144" s="72"/>
      <c r="TVM144" s="72"/>
      <c r="TVN144" s="72"/>
      <c r="TVO144" s="72"/>
      <c r="TVP144" s="72"/>
      <c r="TVQ144" s="72"/>
      <c r="TVR144" s="72"/>
      <c r="TVS144" s="72"/>
      <c r="TVT144" s="72"/>
      <c r="TVU144" s="72"/>
      <c r="TVV144" s="72"/>
      <c r="TVW144" s="72"/>
      <c r="TVX144" s="72"/>
      <c r="TVY144" s="72"/>
      <c r="TVZ144" s="72"/>
      <c r="TWA144" s="72"/>
      <c r="TWB144" s="72"/>
      <c r="TWC144" s="72"/>
      <c r="TWD144" s="72"/>
      <c r="TWE144" s="72"/>
      <c r="TWF144" s="72"/>
      <c r="TWG144" s="72"/>
      <c r="TWH144" s="72"/>
      <c r="TWI144" s="72"/>
      <c r="TWJ144" s="72"/>
      <c r="TWK144" s="72"/>
      <c r="TWL144" s="72"/>
      <c r="TWM144" s="72"/>
      <c r="TWN144" s="72"/>
      <c r="TWO144" s="72"/>
      <c r="TWP144" s="72"/>
      <c r="TWQ144" s="72"/>
      <c r="TWR144" s="72"/>
      <c r="TWS144" s="72"/>
      <c r="TWT144" s="72"/>
      <c r="TWU144" s="72"/>
      <c r="TWV144" s="72"/>
      <c r="TWW144" s="72"/>
      <c r="TWX144" s="72"/>
      <c r="TWY144" s="72"/>
      <c r="TWZ144" s="72"/>
      <c r="TXA144" s="72"/>
      <c r="TXB144" s="72"/>
      <c r="TXC144" s="72"/>
      <c r="TXD144" s="72"/>
      <c r="TXE144" s="72"/>
      <c r="TXF144" s="72"/>
      <c r="TXG144" s="72"/>
      <c r="TXH144" s="72"/>
      <c r="TXI144" s="72"/>
      <c r="TXJ144" s="72"/>
      <c r="TXK144" s="72"/>
      <c r="TXL144" s="72"/>
      <c r="TXM144" s="72"/>
      <c r="TXN144" s="72"/>
      <c r="TXO144" s="72"/>
      <c r="TXP144" s="72"/>
      <c r="TXQ144" s="72"/>
      <c r="TXR144" s="72"/>
      <c r="TXS144" s="72"/>
      <c r="TXT144" s="72"/>
      <c r="TXU144" s="72"/>
      <c r="TXV144" s="72"/>
      <c r="TXW144" s="72"/>
      <c r="TXX144" s="72"/>
      <c r="TXY144" s="72"/>
      <c r="TXZ144" s="72"/>
      <c r="TYA144" s="72"/>
      <c r="TYB144" s="72"/>
      <c r="TYC144" s="72"/>
      <c r="TYD144" s="72"/>
      <c r="TYE144" s="72"/>
      <c r="TYF144" s="72"/>
      <c r="TYG144" s="72"/>
      <c r="TYH144" s="72"/>
      <c r="TYI144" s="72"/>
      <c r="TYJ144" s="72"/>
      <c r="TYK144" s="72"/>
      <c r="TYL144" s="72"/>
      <c r="TYM144" s="72"/>
      <c r="TYN144" s="72"/>
      <c r="TYO144" s="72"/>
      <c r="TYP144" s="72"/>
      <c r="TYQ144" s="72"/>
      <c r="TYR144" s="72"/>
      <c r="TYS144" s="72"/>
      <c r="TYT144" s="72"/>
      <c r="TYU144" s="72"/>
      <c r="TYV144" s="72"/>
      <c r="TYW144" s="72"/>
      <c r="TYX144" s="72"/>
      <c r="TYY144" s="72"/>
      <c r="TYZ144" s="72"/>
      <c r="TZA144" s="72"/>
      <c r="TZB144" s="72"/>
      <c r="TZC144" s="72"/>
      <c r="TZD144" s="72"/>
      <c r="TZE144" s="72"/>
      <c r="TZF144" s="72"/>
      <c r="TZG144" s="72"/>
      <c r="TZH144" s="72"/>
      <c r="TZI144" s="72"/>
      <c r="TZJ144" s="72"/>
      <c r="TZK144" s="72"/>
      <c r="TZL144" s="72"/>
      <c r="TZM144" s="72"/>
      <c r="TZN144" s="72"/>
      <c r="TZO144" s="72"/>
      <c r="TZP144" s="72"/>
      <c r="TZQ144" s="72"/>
      <c r="TZR144" s="72"/>
      <c r="TZS144" s="72"/>
      <c r="TZT144" s="72"/>
      <c r="TZU144" s="72"/>
      <c r="TZV144" s="72"/>
      <c r="TZW144" s="72"/>
      <c r="TZX144" s="72"/>
      <c r="TZY144" s="72"/>
      <c r="TZZ144" s="72"/>
      <c r="UAA144" s="72"/>
      <c r="UAB144" s="72"/>
      <c r="UAC144" s="72"/>
      <c r="UAD144" s="72"/>
      <c r="UAE144" s="72"/>
      <c r="UAF144" s="72"/>
      <c r="UAG144" s="72"/>
      <c r="UAH144" s="72"/>
      <c r="UAI144" s="72"/>
      <c r="UAJ144" s="72"/>
      <c r="UAK144" s="72"/>
      <c r="UAL144" s="72"/>
      <c r="UAM144" s="72"/>
      <c r="UAN144" s="72"/>
      <c r="UAO144" s="72"/>
      <c r="UAP144" s="72"/>
      <c r="UAQ144" s="72"/>
      <c r="UAR144" s="72"/>
      <c r="UAS144" s="72"/>
      <c r="UAT144" s="72"/>
      <c r="UAU144" s="72"/>
      <c r="UAV144" s="72"/>
      <c r="UAW144" s="72"/>
      <c r="UAX144" s="72"/>
      <c r="UAY144" s="72"/>
      <c r="UAZ144" s="72"/>
      <c r="UBA144" s="72"/>
      <c r="UBB144" s="72"/>
      <c r="UBC144" s="72"/>
      <c r="UBD144" s="72"/>
      <c r="UBE144" s="72"/>
      <c r="UBF144" s="72"/>
      <c r="UBG144" s="72"/>
      <c r="UBH144" s="72"/>
      <c r="UBI144" s="72"/>
      <c r="UBJ144" s="72"/>
      <c r="UBK144" s="72"/>
      <c r="UBL144" s="72"/>
      <c r="UBM144" s="72"/>
      <c r="UBN144" s="72"/>
      <c r="UBO144" s="72"/>
      <c r="UBP144" s="72"/>
      <c r="UBQ144" s="72"/>
      <c r="UBR144" s="72"/>
      <c r="UBS144" s="72"/>
      <c r="UBT144" s="72"/>
      <c r="UBU144" s="72"/>
      <c r="UBV144" s="72"/>
      <c r="UBW144" s="72"/>
      <c r="UBX144" s="72"/>
      <c r="UBY144" s="72"/>
      <c r="UBZ144" s="72"/>
      <c r="UCA144" s="72"/>
      <c r="UCB144" s="72"/>
      <c r="UCC144" s="72"/>
      <c r="UCD144" s="72"/>
      <c r="UCE144" s="72"/>
      <c r="UCF144" s="72"/>
      <c r="UCG144" s="72"/>
      <c r="UCH144" s="72"/>
      <c r="UCI144" s="72"/>
      <c r="UCJ144" s="72"/>
      <c r="UCK144" s="72"/>
      <c r="UCL144" s="72"/>
      <c r="UCM144" s="72"/>
      <c r="UCN144" s="72"/>
      <c r="UCO144" s="72"/>
      <c r="UCP144" s="72"/>
      <c r="UCQ144" s="72"/>
      <c r="UCR144" s="72"/>
      <c r="UCS144" s="72"/>
      <c r="UCT144" s="72"/>
      <c r="UCU144" s="72"/>
      <c r="UCV144" s="72"/>
      <c r="UCW144" s="72"/>
      <c r="UCX144" s="72"/>
      <c r="UCY144" s="72"/>
      <c r="UCZ144" s="72"/>
      <c r="UDA144" s="72"/>
      <c r="UDB144" s="72"/>
      <c r="UDC144" s="72"/>
      <c r="UDD144" s="72"/>
      <c r="UDE144" s="72"/>
      <c r="UDF144" s="72"/>
      <c r="UDG144" s="72"/>
      <c r="UDH144" s="72"/>
      <c r="UDI144" s="72"/>
      <c r="UDJ144" s="72"/>
      <c r="UDK144" s="72"/>
      <c r="UDL144" s="72"/>
      <c r="UDM144" s="72"/>
      <c r="UDN144" s="72"/>
      <c r="UDO144" s="72"/>
      <c r="UDP144" s="72"/>
      <c r="UDQ144" s="72"/>
      <c r="UDR144" s="72"/>
      <c r="UDS144" s="72"/>
      <c r="UDT144" s="72"/>
      <c r="UDU144" s="72"/>
      <c r="UDV144" s="72"/>
      <c r="UDW144" s="72"/>
      <c r="UDX144" s="72"/>
      <c r="UDY144" s="72"/>
      <c r="UDZ144" s="72"/>
      <c r="UEA144" s="72"/>
      <c r="UEB144" s="72"/>
      <c r="UEC144" s="72"/>
      <c r="UED144" s="72"/>
      <c r="UEE144" s="72"/>
      <c r="UEF144" s="72"/>
      <c r="UEG144" s="72"/>
      <c r="UEH144" s="72"/>
      <c r="UEI144" s="72"/>
      <c r="UEJ144" s="72"/>
      <c r="UEK144" s="72"/>
      <c r="UEL144" s="72"/>
      <c r="UEM144" s="72"/>
      <c r="UEN144" s="72"/>
      <c r="UEO144" s="72"/>
      <c r="UEP144" s="72"/>
      <c r="UEQ144" s="72"/>
      <c r="UER144" s="72"/>
      <c r="UES144" s="72"/>
      <c r="UET144" s="72"/>
      <c r="UEU144" s="72"/>
      <c r="UEV144" s="72"/>
      <c r="UEW144" s="72"/>
      <c r="UEX144" s="72"/>
      <c r="UEY144" s="72"/>
      <c r="UEZ144" s="72"/>
      <c r="UFA144" s="72"/>
      <c r="UFB144" s="72"/>
      <c r="UFC144" s="72"/>
      <c r="UFD144" s="72"/>
      <c r="UFE144" s="72"/>
      <c r="UFF144" s="72"/>
      <c r="UFG144" s="72"/>
      <c r="UFH144" s="72"/>
      <c r="UFI144" s="72"/>
      <c r="UFJ144" s="72"/>
      <c r="UFK144" s="72"/>
      <c r="UFL144" s="72"/>
      <c r="UFM144" s="72"/>
      <c r="UFN144" s="72"/>
      <c r="UFO144" s="72"/>
      <c r="UFP144" s="72"/>
      <c r="UFQ144" s="72"/>
      <c r="UFR144" s="72"/>
      <c r="UFS144" s="72"/>
      <c r="UFT144" s="72"/>
      <c r="UFU144" s="72"/>
      <c r="UFV144" s="72"/>
      <c r="UFW144" s="72"/>
      <c r="UFX144" s="72"/>
      <c r="UFY144" s="72"/>
      <c r="UFZ144" s="72"/>
      <c r="UGA144" s="72"/>
      <c r="UGB144" s="72"/>
      <c r="UGC144" s="72"/>
      <c r="UGD144" s="72"/>
      <c r="UGE144" s="72"/>
      <c r="UGF144" s="72"/>
      <c r="UGG144" s="72"/>
      <c r="UGH144" s="72"/>
      <c r="UGI144" s="72"/>
      <c r="UGJ144" s="72"/>
      <c r="UGK144" s="72"/>
      <c r="UGL144" s="72"/>
      <c r="UGM144" s="72"/>
      <c r="UGN144" s="72"/>
      <c r="UGO144" s="72"/>
      <c r="UGP144" s="72"/>
      <c r="UGQ144" s="72"/>
      <c r="UGR144" s="72"/>
      <c r="UGS144" s="72"/>
      <c r="UGT144" s="72"/>
      <c r="UGU144" s="72"/>
      <c r="UGV144" s="72"/>
      <c r="UGW144" s="72"/>
      <c r="UGX144" s="72"/>
      <c r="UGY144" s="72"/>
      <c r="UGZ144" s="72"/>
      <c r="UHA144" s="72"/>
      <c r="UHB144" s="72"/>
      <c r="UHC144" s="72"/>
      <c r="UHD144" s="72"/>
      <c r="UHE144" s="72"/>
      <c r="UHF144" s="72"/>
      <c r="UHG144" s="72"/>
      <c r="UHH144" s="72"/>
      <c r="UHI144" s="72"/>
      <c r="UHJ144" s="72"/>
      <c r="UHK144" s="72"/>
      <c r="UHL144" s="72"/>
      <c r="UHM144" s="72"/>
      <c r="UHN144" s="72"/>
      <c r="UHO144" s="72"/>
      <c r="UHP144" s="72"/>
      <c r="UHQ144" s="72"/>
      <c r="UHR144" s="72"/>
      <c r="UHS144" s="72"/>
      <c r="UHT144" s="72"/>
      <c r="UHU144" s="72"/>
      <c r="UHV144" s="72"/>
      <c r="UHW144" s="72"/>
      <c r="UHX144" s="72"/>
      <c r="UHY144" s="72"/>
      <c r="UHZ144" s="72"/>
      <c r="UIA144" s="72"/>
      <c r="UIB144" s="72"/>
      <c r="UIC144" s="72"/>
      <c r="UID144" s="72"/>
      <c r="UIE144" s="72"/>
      <c r="UIF144" s="72"/>
      <c r="UIG144" s="72"/>
      <c r="UIH144" s="72"/>
      <c r="UII144" s="72"/>
      <c r="UIJ144" s="72"/>
      <c r="UIK144" s="72"/>
      <c r="UIL144" s="72"/>
      <c r="UIM144" s="72"/>
      <c r="UIN144" s="72"/>
      <c r="UIO144" s="72"/>
      <c r="UIP144" s="72"/>
      <c r="UIQ144" s="72"/>
      <c r="UIR144" s="72"/>
      <c r="UIS144" s="72"/>
      <c r="UIT144" s="72"/>
      <c r="UIU144" s="72"/>
      <c r="UIV144" s="72"/>
      <c r="UIW144" s="72"/>
      <c r="UIX144" s="72"/>
      <c r="UIY144" s="72"/>
      <c r="UIZ144" s="72"/>
      <c r="UJA144" s="72"/>
      <c r="UJB144" s="72"/>
      <c r="UJC144" s="72"/>
      <c r="UJD144" s="72"/>
      <c r="UJE144" s="72"/>
      <c r="UJF144" s="72"/>
      <c r="UJG144" s="72"/>
      <c r="UJH144" s="72"/>
      <c r="UJI144" s="72"/>
      <c r="UJJ144" s="72"/>
      <c r="UJK144" s="72"/>
      <c r="UJL144" s="72"/>
      <c r="UJM144" s="72"/>
      <c r="UJN144" s="72"/>
      <c r="UJO144" s="72"/>
      <c r="UJP144" s="72"/>
      <c r="UJQ144" s="72"/>
      <c r="UJR144" s="72"/>
      <c r="UJS144" s="72"/>
      <c r="UJT144" s="72"/>
      <c r="UJU144" s="72"/>
      <c r="UJV144" s="72"/>
      <c r="UJW144" s="72"/>
      <c r="UJX144" s="72"/>
      <c r="UJY144" s="72"/>
      <c r="UJZ144" s="72"/>
      <c r="UKA144" s="72"/>
      <c r="UKB144" s="72"/>
      <c r="UKC144" s="72"/>
      <c r="UKD144" s="72"/>
      <c r="UKE144" s="72"/>
      <c r="UKF144" s="72"/>
      <c r="UKG144" s="72"/>
      <c r="UKH144" s="72"/>
      <c r="UKI144" s="72"/>
      <c r="UKJ144" s="72"/>
      <c r="UKK144" s="72"/>
      <c r="UKL144" s="72"/>
      <c r="UKM144" s="72"/>
      <c r="UKN144" s="72"/>
      <c r="UKO144" s="72"/>
      <c r="UKP144" s="72"/>
      <c r="UKQ144" s="72"/>
      <c r="UKR144" s="72"/>
      <c r="UKS144" s="72"/>
      <c r="UKT144" s="72"/>
      <c r="UKU144" s="72"/>
      <c r="UKV144" s="72"/>
      <c r="UKW144" s="72"/>
      <c r="UKX144" s="72"/>
      <c r="UKY144" s="72"/>
      <c r="UKZ144" s="72"/>
      <c r="ULA144" s="72"/>
      <c r="ULB144" s="72"/>
      <c r="ULC144" s="72"/>
      <c r="ULD144" s="72"/>
      <c r="ULE144" s="72"/>
      <c r="ULF144" s="72"/>
      <c r="ULG144" s="72"/>
      <c r="ULH144" s="72"/>
      <c r="ULI144" s="72"/>
      <c r="ULJ144" s="72"/>
      <c r="ULK144" s="72"/>
      <c r="ULL144" s="72"/>
      <c r="ULM144" s="72"/>
      <c r="ULN144" s="72"/>
      <c r="ULO144" s="72"/>
      <c r="ULP144" s="72"/>
      <c r="ULQ144" s="72"/>
      <c r="ULR144" s="72"/>
      <c r="ULS144" s="72"/>
      <c r="ULT144" s="72"/>
      <c r="ULU144" s="72"/>
      <c r="ULV144" s="72"/>
      <c r="ULW144" s="72"/>
      <c r="ULX144" s="72"/>
      <c r="ULY144" s="72"/>
      <c r="ULZ144" s="72"/>
      <c r="UMA144" s="72"/>
      <c r="UMB144" s="72"/>
      <c r="UMC144" s="72"/>
      <c r="UMD144" s="72"/>
      <c r="UME144" s="72"/>
      <c r="UMF144" s="72"/>
      <c r="UMG144" s="72"/>
      <c r="UMH144" s="72"/>
      <c r="UMI144" s="72"/>
      <c r="UMJ144" s="72"/>
      <c r="UMK144" s="72"/>
      <c r="UML144" s="72"/>
      <c r="UMM144" s="72"/>
      <c r="UMN144" s="72"/>
      <c r="UMO144" s="72"/>
      <c r="UMP144" s="72"/>
      <c r="UMQ144" s="72"/>
      <c r="UMR144" s="72"/>
      <c r="UMS144" s="72"/>
      <c r="UMT144" s="72"/>
      <c r="UMU144" s="72"/>
      <c r="UMV144" s="72"/>
      <c r="UMW144" s="72"/>
      <c r="UMX144" s="72"/>
      <c r="UMY144" s="72"/>
      <c r="UMZ144" s="72"/>
      <c r="UNA144" s="72"/>
      <c r="UNB144" s="72"/>
      <c r="UNC144" s="72"/>
      <c r="UND144" s="72"/>
      <c r="UNE144" s="72"/>
      <c r="UNF144" s="72"/>
      <c r="UNG144" s="72"/>
      <c r="UNH144" s="72"/>
      <c r="UNI144" s="72"/>
      <c r="UNJ144" s="72"/>
      <c r="UNK144" s="72"/>
      <c r="UNL144" s="72"/>
      <c r="UNM144" s="72"/>
      <c r="UNN144" s="72"/>
      <c r="UNO144" s="72"/>
      <c r="UNP144" s="72"/>
      <c r="UNQ144" s="72"/>
      <c r="UNR144" s="72"/>
      <c r="UNS144" s="72"/>
      <c r="UNT144" s="72"/>
      <c r="UNU144" s="72"/>
      <c r="UNV144" s="72"/>
      <c r="UNW144" s="72"/>
      <c r="UNX144" s="72"/>
      <c r="UNY144" s="72"/>
      <c r="UNZ144" s="72"/>
      <c r="UOA144" s="72"/>
      <c r="UOB144" s="72"/>
      <c r="UOC144" s="72"/>
      <c r="UOD144" s="72"/>
      <c r="UOE144" s="72"/>
      <c r="UOF144" s="72"/>
      <c r="UOG144" s="72"/>
      <c r="UOH144" s="72"/>
      <c r="UOI144" s="72"/>
      <c r="UOJ144" s="72"/>
      <c r="UOK144" s="72"/>
      <c r="UOL144" s="72"/>
      <c r="UOM144" s="72"/>
      <c r="UON144" s="72"/>
      <c r="UOO144" s="72"/>
      <c r="UOP144" s="72"/>
      <c r="UOQ144" s="72"/>
      <c r="UOR144" s="72"/>
      <c r="UOS144" s="72"/>
      <c r="UOT144" s="72"/>
      <c r="UOU144" s="72"/>
      <c r="UOV144" s="72"/>
      <c r="UOW144" s="72"/>
      <c r="UOX144" s="72"/>
      <c r="UOY144" s="72"/>
      <c r="UOZ144" s="72"/>
      <c r="UPA144" s="72"/>
      <c r="UPB144" s="72"/>
      <c r="UPC144" s="72"/>
      <c r="UPD144" s="72"/>
      <c r="UPE144" s="72"/>
      <c r="UPF144" s="72"/>
      <c r="UPG144" s="72"/>
      <c r="UPH144" s="72"/>
      <c r="UPI144" s="72"/>
      <c r="UPJ144" s="72"/>
      <c r="UPK144" s="72"/>
      <c r="UPL144" s="72"/>
      <c r="UPM144" s="72"/>
      <c r="UPN144" s="72"/>
      <c r="UPO144" s="72"/>
      <c r="UPP144" s="72"/>
      <c r="UPQ144" s="72"/>
      <c r="UPR144" s="72"/>
      <c r="UPS144" s="72"/>
      <c r="UPT144" s="72"/>
      <c r="UPU144" s="72"/>
      <c r="UPV144" s="72"/>
      <c r="UPW144" s="72"/>
      <c r="UPX144" s="72"/>
      <c r="UPY144" s="72"/>
      <c r="UPZ144" s="72"/>
      <c r="UQA144" s="72"/>
      <c r="UQB144" s="72"/>
      <c r="UQC144" s="72"/>
      <c r="UQD144" s="72"/>
      <c r="UQE144" s="72"/>
      <c r="UQF144" s="72"/>
      <c r="UQG144" s="72"/>
      <c r="UQH144" s="72"/>
      <c r="UQI144" s="72"/>
      <c r="UQJ144" s="72"/>
      <c r="UQK144" s="72"/>
      <c r="UQL144" s="72"/>
      <c r="UQM144" s="72"/>
      <c r="UQN144" s="72"/>
      <c r="UQO144" s="72"/>
      <c r="UQP144" s="72"/>
      <c r="UQQ144" s="72"/>
      <c r="UQR144" s="72"/>
      <c r="UQS144" s="72"/>
      <c r="UQT144" s="72"/>
      <c r="UQU144" s="72"/>
      <c r="UQV144" s="72"/>
      <c r="UQW144" s="72"/>
      <c r="UQX144" s="72"/>
      <c r="UQY144" s="72"/>
      <c r="UQZ144" s="72"/>
      <c r="URA144" s="72"/>
      <c r="URB144" s="72"/>
      <c r="URC144" s="72"/>
      <c r="URD144" s="72"/>
      <c r="URE144" s="72"/>
      <c r="URF144" s="72"/>
      <c r="URG144" s="72"/>
      <c r="URH144" s="72"/>
      <c r="URI144" s="72"/>
      <c r="URJ144" s="72"/>
      <c r="URK144" s="72"/>
      <c r="URL144" s="72"/>
      <c r="URM144" s="72"/>
      <c r="URN144" s="72"/>
      <c r="URO144" s="72"/>
      <c r="URP144" s="72"/>
      <c r="URQ144" s="72"/>
      <c r="URR144" s="72"/>
      <c r="URS144" s="72"/>
      <c r="URT144" s="72"/>
      <c r="URU144" s="72"/>
      <c r="URV144" s="72"/>
      <c r="URW144" s="72"/>
      <c r="URX144" s="72"/>
      <c r="URY144" s="72"/>
      <c r="URZ144" s="72"/>
      <c r="USA144" s="72"/>
      <c r="USB144" s="72"/>
      <c r="USC144" s="72"/>
      <c r="USD144" s="72"/>
      <c r="USE144" s="72"/>
      <c r="USF144" s="72"/>
      <c r="USG144" s="72"/>
      <c r="USH144" s="72"/>
      <c r="USI144" s="72"/>
      <c r="USJ144" s="72"/>
      <c r="USK144" s="72"/>
      <c r="USL144" s="72"/>
      <c r="USM144" s="72"/>
      <c r="USN144" s="72"/>
      <c r="USO144" s="72"/>
      <c r="USP144" s="72"/>
      <c r="USQ144" s="72"/>
      <c r="USR144" s="72"/>
      <c r="USS144" s="72"/>
      <c r="UST144" s="72"/>
      <c r="USU144" s="72"/>
      <c r="USV144" s="72"/>
      <c r="USW144" s="72"/>
      <c r="USX144" s="72"/>
      <c r="USY144" s="72"/>
      <c r="USZ144" s="72"/>
      <c r="UTA144" s="72"/>
      <c r="UTB144" s="72"/>
      <c r="UTC144" s="72"/>
      <c r="UTD144" s="72"/>
      <c r="UTE144" s="72"/>
      <c r="UTF144" s="72"/>
      <c r="UTG144" s="72"/>
      <c r="UTH144" s="72"/>
      <c r="UTI144" s="72"/>
      <c r="UTJ144" s="72"/>
      <c r="UTK144" s="72"/>
      <c r="UTL144" s="72"/>
      <c r="UTM144" s="72"/>
      <c r="UTN144" s="72"/>
      <c r="UTO144" s="72"/>
      <c r="UTP144" s="72"/>
      <c r="UTQ144" s="72"/>
      <c r="UTR144" s="72"/>
      <c r="UTS144" s="72"/>
      <c r="UTT144" s="72"/>
      <c r="UTU144" s="72"/>
      <c r="UTV144" s="72"/>
      <c r="UTW144" s="72"/>
      <c r="UTX144" s="72"/>
      <c r="UTY144" s="72"/>
      <c r="UTZ144" s="72"/>
      <c r="UUA144" s="72"/>
      <c r="UUB144" s="72"/>
      <c r="UUC144" s="72"/>
      <c r="UUD144" s="72"/>
      <c r="UUE144" s="72"/>
      <c r="UUF144" s="72"/>
      <c r="UUG144" s="72"/>
      <c r="UUH144" s="72"/>
      <c r="UUI144" s="72"/>
      <c r="UUJ144" s="72"/>
      <c r="UUK144" s="72"/>
      <c r="UUL144" s="72"/>
      <c r="UUM144" s="72"/>
      <c r="UUN144" s="72"/>
      <c r="UUO144" s="72"/>
      <c r="UUP144" s="72"/>
      <c r="UUQ144" s="72"/>
      <c r="UUR144" s="72"/>
      <c r="UUS144" s="72"/>
      <c r="UUT144" s="72"/>
      <c r="UUU144" s="72"/>
      <c r="UUV144" s="72"/>
      <c r="UUW144" s="72"/>
      <c r="UUX144" s="72"/>
      <c r="UUY144" s="72"/>
      <c r="UUZ144" s="72"/>
      <c r="UVA144" s="72"/>
      <c r="UVB144" s="72"/>
      <c r="UVC144" s="72"/>
      <c r="UVD144" s="72"/>
      <c r="UVE144" s="72"/>
      <c r="UVF144" s="72"/>
      <c r="UVG144" s="72"/>
      <c r="UVH144" s="72"/>
      <c r="UVI144" s="72"/>
      <c r="UVJ144" s="72"/>
      <c r="UVK144" s="72"/>
      <c r="UVL144" s="72"/>
      <c r="UVM144" s="72"/>
      <c r="UVN144" s="72"/>
      <c r="UVO144" s="72"/>
      <c r="UVP144" s="72"/>
      <c r="UVQ144" s="72"/>
      <c r="UVR144" s="72"/>
      <c r="UVS144" s="72"/>
      <c r="UVT144" s="72"/>
      <c r="UVU144" s="72"/>
      <c r="UVV144" s="72"/>
      <c r="UVW144" s="72"/>
      <c r="UVX144" s="72"/>
      <c r="UVY144" s="72"/>
      <c r="UVZ144" s="72"/>
      <c r="UWA144" s="72"/>
      <c r="UWB144" s="72"/>
      <c r="UWC144" s="72"/>
      <c r="UWD144" s="72"/>
      <c r="UWE144" s="72"/>
      <c r="UWF144" s="72"/>
      <c r="UWG144" s="72"/>
      <c r="UWH144" s="72"/>
      <c r="UWI144" s="72"/>
      <c r="UWJ144" s="72"/>
      <c r="UWK144" s="72"/>
      <c r="UWL144" s="72"/>
      <c r="UWM144" s="72"/>
      <c r="UWN144" s="72"/>
      <c r="UWO144" s="72"/>
      <c r="UWP144" s="72"/>
      <c r="UWQ144" s="72"/>
      <c r="UWR144" s="72"/>
      <c r="UWS144" s="72"/>
      <c r="UWT144" s="72"/>
      <c r="UWU144" s="72"/>
      <c r="UWV144" s="72"/>
      <c r="UWW144" s="72"/>
      <c r="UWX144" s="72"/>
      <c r="UWY144" s="72"/>
      <c r="UWZ144" s="72"/>
      <c r="UXA144" s="72"/>
      <c r="UXB144" s="72"/>
      <c r="UXC144" s="72"/>
      <c r="UXD144" s="72"/>
      <c r="UXE144" s="72"/>
      <c r="UXF144" s="72"/>
      <c r="UXG144" s="72"/>
      <c r="UXH144" s="72"/>
      <c r="UXI144" s="72"/>
      <c r="UXJ144" s="72"/>
      <c r="UXK144" s="72"/>
      <c r="UXL144" s="72"/>
      <c r="UXM144" s="72"/>
      <c r="UXN144" s="72"/>
      <c r="UXO144" s="72"/>
      <c r="UXP144" s="72"/>
      <c r="UXQ144" s="72"/>
      <c r="UXR144" s="72"/>
      <c r="UXS144" s="72"/>
      <c r="UXT144" s="72"/>
      <c r="UXU144" s="72"/>
      <c r="UXV144" s="72"/>
      <c r="UXW144" s="72"/>
      <c r="UXX144" s="72"/>
      <c r="UXY144" s="72"/>
      <c r="UXZ144" s="72"/>
      <c r="UYA144" s="72"/>
      <c r="UYB144" s="72"/>
      <c r="UYC144" s="72"/>
      <c r="UYD144" s="72"/>
      <c r="UYE144" s="72"/>
      <c r="UYF144" s="72"/>
      <c r="UYG144" s="72"/>
      <c r="UYH144" s="72"/>
      <c r="UYI144" s="72"/>
      <c r="UYJ144" s="72"/>
      <c r="UYK144" s="72"/>
      <c r="UYL144" s="72"/>
      <c r="UYM144" s="72"/>
      <c r="UYN144" s="72"/>
      <c r="UYO144" s="72"/>
      <c r="UYP144" s="72"/>
      <c r="UYQ144" s="72"/>
      <c r="UYR144" s="72"/>
      <c r="UYS144" s="72"/>
      <c r="UYT144" s="72"/>
      <c r="UYU144" s="72"/>
      <c r="UYV144" s="72"/>
      <c r="UYW144" s="72"/>
      <c r="UYX144" s="72"/>
      <c r="UYY144" s="72"/>
      <c r="UYZ144" s="72"/>
      <c r="UZA144" s="72"/>
      <c r="UZB144" s="72"/>
      <c r="UZC144" s="72"/>
      <c r="UZD144" s="72"/>
      <c r="UZE144" s="72"/>
      <c r="UZF144" s="72"/>
      <c r="UZG144" s="72"/>
      <c r="UZH144" s="72"/>
      <c r="UZI144" s="72"/>
      <c r="UZJ144" s="72"/>
      <c r="UZK144" s="72"/>
      <c r="UZL144" s="72"/>
      <c r="UZM144" s="72"/>
      <c r="UZN144" s="72"/>
      <c r="UZO144" s="72"/>
      <c r="UZP144" s="72"/>
      <c r="UZQ144" s="72"/>
      <c r="UZR144" s="72"/>
      <c r="UZS144" s="72"/>
      <c r="UZT144" s="72"/>
      <c r="UZU144" s="72"/>
      <c r="UZV144" s="72"/>
      <c r="UZW144" s="72"/>
      <c r="UZX144" s="72"/>
      <c r="UZY144" s="72"/>
      <c r="UZZ144" s="72"/>
      <c r="VAA144" s="72"/>
      <c r="VAB144" s="72"/>
      <c r="VAC144" s="72"/>
      <c r="VAD144" s="72"/>
      <c r="VAE144" s="72"/>
      <c r="VAF144" s="72"/>
      <c r="VAG144" s="72"/>
      <c r="VAH144" s="72"/>
      <c r="VAI144" s="72"/>
      <c r="VAJ144" s="72"/>
      <c r="VAK144" s="72"/>
      <c r="VAL144" s="72"/>
      <c r="VAM144" s="72"/>
      <c r="VAN144" s="72"/>
      <c r="VAO144" s="72"/>
      <c r="VAP144" s="72"/>
      <c r="VAQ144" s="72"/>
      <c r="VAR144" s="72"/>
      <c r="VAS144" s="72"/>
      <c r="VAT144" s="72"/>
      <c r="VAU144" s="72"/>
      <c r="VAV144" s="72"/>
      <c r="VAW144" s="72"/>
      <c r="VAX144" s="72"/>
      <c r="VAY144" s="72"/>
      <c r="VAZ144" s="72"/>
      <c r="VBA144" s="72"/>
      <c r="VBB144" s="72"/>
      <c r="VBC144" s="72"/>
      <c r="VBD144" s="72"/>
      <c r="VBE144" s="72"/>
      <c r="VBF144" s="72"/>
      <c r="VBG144" s="72"/>
      <c r="VBH144" s="72"/>
      <c r="VBI144" s="72"/>
      <c r="VBJ144" s="72"/>
      <c r="VBK144" s="72"/>
      <c r="VBL144" s="72"/>
      <c r="VBM144" s="72"/>
      <c r="VBN144" s="72"/>
      <c r="VBO144" s="72"/>
      <c r="VBP144" s="72"/>
      <c r="VBQ144" s="72"/>
      <c r="VBR144" s="72"/>
      <c r="VBS144" s="72"/>
      <c r="VBT144" s="72"/>
      <c r="VBU144" s="72"/>
      <c r="VBV144" s="72"/>
      <c r="VBW144" s="72"/>
      <c r="VBX144" s="72"/>
      <c r="VBY144" s="72"/>
      <c r="VBZ144" s="72"/>
      <c r="VCA144" s="72"/>
      <c r="VCB144" s="72"/>
      <c r="VCC144" s="72"/>
      <c r="VCD144" s="72"/>
      <c r="VCE144" s="72"/>
      <c r="VCF144" s="72"/>
      <c r="VCG144" s="72"/>
      <c r="VCH144" s="72"/>
      <c r="VCI144" s="72"/>
      <c r="VCJ144" s="72"/>
      <c r="VCK144" s="72"/>
      <c r="VCL144" s="72"/>
      <c r="VCM144" s="72"/>
      <c r="VCN144" s="72"/>
      <c r="VCO144" s="72"/>
      <c r="VCP144" s="72"/>
      <c r="VCQ144" s="72"/>
      <c r="VCR144" s="72"/>
      <c r="VCS144" s="72"/>
      <c r="VCT144" s="72"/>
      <c r="VCU144" s="72"/>
      <c r="VCV144" s="72"/>
      <c r="VCW144" s="72"/>
      <c r="VCX144" s="72"/>
      <c r="VCY144" s="72"/>
      <c r="VCZ144" s="72"/>
      <c r="VDA144" s="72"/>
      <c r="VDB144" s="72"/>
      <c r="VDC144" s="72"/>
      <c r="VDD144" s="72"/>
      <c r="VDE144" s="72"/>
      <c r="VDF144" s="72"/>
      <c r="VDG144" s="72"/>
      <c r="VDH144" s="72"/>
      <c r="VDI144" s="72"/>
      <c r="VDJ144" s="72"/>
      <c r="VDK144" s="72"/>
      <c r="VDL144" s="72"/>
      <c r="VDM144" s="72"/>
      <c r="VDN144" s="72"/>
      <c r="VDO144" s="72"/>
      <c r="VDP144" s="72"/>
      <c r="VDQ144" s="72"/>
      <c r="VDR144" s="72"/>
      <c r="VDS144" s="72"/>
      <c r="VDT144" s="72"/>
      <c r="VDU144" s="72"/>
      <c r="VDV144" s="72"/>
      <c r="VDW144" s="72"/>
      <c r="VDX144" s="72"/>
      <c r="VDY144" s="72"/>
      <c r="VDZ144" s="72"/>
      <c r="VEA144" s="72"/>
      <c r="VEB144" s="72"/>
      <c r="VEC144" s="72"/>
      <c r="VED144" s="72"/>
      <c r="VEE144" s="72"/>
      <c r="VEF144" s="72"/>
      <c r="VEG144" s="72"/>
      <c r="VEH144" s="72"/>
      <c r="VEI144" s="72"/>
      <c r="VEJ144" s="72"/>
      <c r="VEK144" s="72"/>
      <c r="VEL144" s="72"/>
      <c r="VEM144" s="72"/>
      <c r="VEN144" s="72"/>
      <c r="VEO144" s="72"/>
      <c r="VEP144" s="72"/>
      <c r="VEQ144" s="72"/>
      <c r="VER144" s="72"/>
      <c r="VES144" s="72"/>
      <c r="VET144" s="72"/>
      <c r="VEU144" s="72"/>
      <c r="VEV144" s="72"/>
      <c r="VEW144" s="72"/>
      <c r="VEX144" s="72"/>
      <c r="VEY144" s="72"/>
      <c r="VEZ144" s="72"/>
      <c r="VFA144" s="72"/>
      <c r="VFB144" s="72"/>
      <c r="VFC144" s="72"/>
      <c r="VFD144" s="72"/>
      <c r="VFE144" s="72"/>
      <c r="VFF144" s="72"/>
      <c r="VFG144" s="72"/>
      <c r="VFH144" s="72"/>
      <c r="VFI144" s="72"/>
      <c r="VFJ144" s="72"/>
      <c r="VFK144" s="72"/>
      <c r="VFL144" s="72"/>
      <c r="VFM144" s="72"/>
      <c r="VFN144" s="72"/>
      <c r="VFO144" s="72"/>
      <c r="VFP144" s="72"/>
      <c r="VFQ144" s="72"/>
      <c r="VFR144" s="72"/>
      <c r="VFS144" s="72"/>
      <c r="VFT144" s="72"/>
      <c r="VFU144" s="72"/>
      <c r="VFV144" s="72"/>
      <c r="VFW144" s="72"/>
      <c r="VFX144" s="72"/>
      <c r="VFY144" s="72"/>
      <c r="VFZ144" s="72"/>
      <c r="VGA144" s="72"/>
      <c r="VGB144" s="72"/>
      <c r="VGC144" s="72"/>
      <c r="VGD144" s="72"/>
      <c r="VGE144" s="72"/>
      <c r="VGF144" s="72"/>
      <c r="VGG144" s="72"/>
      <c r="VGH144" s="72"/>
      <c r="VGI144" s="72"/>
      <c r="VGJ144" s="72"/>
      <c r="VGK144" s="72"/>
      <c r="VGL144" s="72"/>
      <c r="VGM144" s="72"/>
      <c r="VGN144" s="72"/>
      <c r="VGO144" s="72"/>
      <c r="VGP144" s="72"/>
      <c r="VGQ144" s="72"/>
      <c r="VGR144" s="72"/>
      <c r="VGS144" s="72"/>
      <c r="VGT144" s="72"/>
      <c r="VGU144" s="72"/>
      <c r="VGV144" s="72"/>
      <c r="VGW144" s="72"/>
      <c r="VGX144" s="72"/>
      <c r="VGY144" s="72"/>
      <c r="VGZ144" s="72"/>
      <c r="VHA144" s="72"/>
      <c r="VHB144" s="72"/>
      <c r="VHC144" s="72"/>
      <c r="VHD144" s="72"/>
      <c r="VHE144" s="72"/>
      <c r="VHF144" s="72"/>
      <c r="VHG144" s="72"/>
      <c r="VHH144" s="72"/>
      <c r="VHI144" s="72"/>
      <c r="VHJ144" s="72"/>
      <c r="VHK144" s="72"/>
      <c r="VHL144" s="72"/>
      <c r="VHM144" s="72"/>
      <c r="VHN144" s="72"/>
      <c r="VHO144" s="72"/>
      <c r="VHP144" s="72"/>
      <c r="VHQ144" s="72"/>
      <c r="VHR144" s="72"/>
      <c r="VHS144" s="72"/>
      <c r="VHT144" s="72"/>
      <c r="VHU144" s="72"/>
      <c r="VHV144" s="72"/>
      <c r="VHW144" s="72"/>
      <c r="VHX144" s="72"/>
      <c r="VHY144" s="72"/>
      <c r="VHZ144" s="72"/>
      <c r="VIA144" s="72"/>
      <c r="VIB144" s="72"/>
      <c r="VIC144" s="72"/>
      <c r="VID144" s="72"/>
      <c r="VIE144" s="72"/>
      <c r="VIF144" s="72"/>
      <c r="VIG144" s="72"/>
      <c r="VIH144" s="72"/>
      <c r="VII144" s="72"/>
      <c r="VIJ144" s="72"/>
      <c r="VIK144" s="72"/>
      <c r="VIL144" s="72"/>
      <c r="VIM144" s="72"/>
      <c r="VIN144" s="72"/>
      <c r="VIO144" s="72"/>
      <c r="VIP144" s="72"/>
      <c r="VIQ144" s="72"/>
      <c r="VIR144" s="72"/>
      <c r="VIS144" s="72"/>
      <c r="VIT144" s="72"/>
      <c r="VIU144" s="72"/>
      <c r="VIV144" s="72"/>
      <c r="VIW144" s="72"/>
      <c r="VIX144" s="72"/>
      <c r="VIY144" s="72"/>
      <c r="VIZ144" s="72"/>
      <c r="VJA144" s="72"/>
      <c r="VJB144" s="72"/>
      <c r="VJC144" s="72"/>
      <c r="VJD144" s="72"/>
      <c r="VJE144" s="72"/>
      <c r="VJF144" s="72"/>
      <c r="VJG144" s="72"/>
      <c r="VJH144" s="72"/>
      <c r="VJI144" s="72"/>
      <c r="VJJ144" s="72"/>
      <c r="VJK144" s="72"/>
      <c r="VJL144" s="72"/>
      <c r="VJM144" s="72"/>
      <c r="VJN144" s="72"/>
      <c r="VJO144" s="72"/>
      <c r="VJP144" s="72"/>
      <c r="VJQ144" s="72"/>
      <c r="VJR144" s="72"/>
      <c r="VJS144" s="72"/>
      <c r="VJT144" s="72"/>
      <c r="VJU144" s="72"/>
      <c r="VJV144" s="72"/>
      <c r="VJW144" s="72"/>
      <c r="VJX144" s="72"/>
      <c r="VJY144" s="72"/>
      <c r="VJZ144" s="72"/>
      <c r="VKA144" s="72"/>
      <c r="VKB144" s="72"/>
      <c r="VKC144" s="72"/>
      <c r="VKD144" s="72"/>
      <c r="VKE144" s="72"/>
      <c r="VKF144" s="72"/>
      <c r="VKG144" s="72"/>
      <c r="VKH144" s="72"/>
      <c r="VKI144" s="72"/>
      <c r="VKJ144" s="72"/>
      <c r="VKK144" s="72"/>
      <c r="VKL144" s="72"/>
      <c r="VKM144" s="72"/>
      <c r="VKN144" s="72"/>
      <c r="VKO144" s="72"/>
      <c r="VKP144" s="72"/>
      <c r="VKQ144" s="72"/>
      <c r="VKR144" s="72"/>
      <c r="VKS144" s="72"/>
      <c r="VKT144" s="72"/>
      <c r="VKU144" s="72"/>
      <c r="VKV144" s="72"/>
      <c r="VKW144" s="72"/>
      <c r="VKX144" s="72"/>
      <c r="VKY144" s="72"/>
      <c r="VKZ144" s="72"/>
      <c r="VLA144" s="72"/>
      <c r="VLB144" s="72"/>
      <c r="VLC144" s="72"/>
      <c r="VLD144" s="72"/>
      <c r="VLE144" s="72"/>
      <c r="VLF144" s="72"/>
      <c r="VLG144" s="72"/>
      <c r="VLH144" s="72"/>
      <c r="VLI144" s="72"/>
      <c r="VLJ144" s="72"/>
      <c r="VLK144" s="72"/>
      <c r="VLL144" s="72"/>
      <c r="VLM144" s="72"/>
      <c r="VLN144" s="72"/>
      <c r="VLO144" s="72"/>
      <c r="VLP144" s="72"/>
      <c r="VLQ144" s="72"/>
      <c r="VLR144" s="72"/>
      <c r="VLS144" s="72"/>
      <c r="VLT144" s="72"/>
      <c r="VLU144" s="72"/>
      <c r="VLV144" s="72"/>
      <c r="VLW144" s="72"/>
      <c r="VLX144" s="72"/>
      <c r="VLY144" s="72"/>
      <c r="VLZ144" s="72"/>
      <c r="VMA144" s="72"/>
      <c r="VMB144" s="72"/>
      <c r="VMC144" s="72"/>
      <c r="VMD144" s="72"/>
      <c r="VME144" s="72"/>
      <c r="VMF144" s="72"/>
      <c r="VMG144" s="72"/>
      <c r="VMH144" s="72"/>
      <c r="VMI144" s="72"/>
      <c r="VMJ144" s="72"/>
      <c r="VMK144" s="72"/>
      <c r="VML144" s="72"/>
      <c r="VMM144" s="72"/>
      <c r="VMN144" s="72"/>
      <c r="VMO144" s="72"/>
      <c r="VMP144" s="72"/>
      <c r="VMQ144" s="72"/>
      <c r="VMR144" s="72"/>
      <c r="VMS144" s="72"/>
      <c r="VMT144" s="72"/>
      <c r="VMU144" s="72"/>
      <c r="VMV144" s="72"/>
      <c r="VMW144" s="72"/>
      <c r="VMX144" s="72"/>
      <c r="VMY144" s="72"/>
      <c r="VMZ144" s="72"/>
      <c r="VNA144" s="72"/>
      <c r="VNB144" s="72"/>
      <c r="VNC144" s="72"/>
      <c r="VND144" s="72"/>
      <c r="VNE144" s="72"/>
      <c r="VNF144" s="72"/>
      <c r="VNG144" s="72"/>
      <c r="VNH144" s="72"/>
      <c r="VNI144" s="72"/>
      <c r="VNJ144" s="72"/>
      <c r="VNK144" s="72"/>
      <c r="VNL144" s="72"/>
      <c r="VNM144" s="72"/>
      <c r="VNN144" s="72"/>
      <c r="VNO144" s="72"/>
      <c r="VNP144" s="72"/>
      <c r="VNQ144" s="72"/>
      <c r="VNR144" s="72"/>
      <c r="VNS144" s="72"/>
      <c r="VNT144" s="72"/>
      <c r="VNU144" s="72"/>
      <c r="VNV144" s="72"/>
      <c r="VNW144" s="72"/>
      <c r="VNX144" s="72"/>
      <c r="VNY144" s="72"/>
      <c r="VNZ144" s="72"/>
      <c r="VOA144" s="72"/>
      <c r="VOB144" s="72"/>
      <c r="VOC144" s="72"/>
      <c r="VOD144" s="72"/>
      <c r="VOE144" s="72"/>
      <c r="VOF144" s="72"/>
      <c r="VOG144" s="72"/>
      <c r="VOH144" s="72"/>
      <c r="VOI144" s="72"/>
      <c r="VOJ144" s="72"/>
      <c r="VOK144" s="72"/>
      <c r="VOL144" s="72"/>
      <c r="VOM144" s="72"/>
      <c r="VON144" s="72"/>
      <c r="VOO144" s="72"/>
      <c r="VOP144" s="72"/>
      <c r="VOQ144" s="72"/>
      <c r="VOR144" s="72"/>
      <c r="VOS144" s="72"/>
      <c r="VOT144" s="72"/>
      <c r="VOU144" s="72"/>
      <c r="VOV144" s="72"/>
      <c r="VOW144" s="72"/>
      <c r="VOX144" s="72"/>
      <c r="VOY144" s="72"/>
      <c r="VOZ144" s="72"/>
      <c r="VPA144" s="72"/>
      <c r="VPB144" s="72"/>
      <c r="VPC144" s="72"/>
      <c r="VPD144" s="72"/>
      <c r="VPE144" s="72"/>
      <c r="VPF144" s="72"/>
      <c r="VPG144" s="72"/>
      <c r="VPH144" s="72"/>
      <c r="VPI144" s="72"/>
      <c r="VPJ144" s="72"/>
      <c r="VPK144" s="72"/>
      <c r="VPL144" s="72"/>
      <c r="VPM144" s="72"/>
      <c r="VPN144" s="72"/>
      <c r="VPO144" s="72"/>
      <c r="VPP144" s="72"/>
      <c r="VPQ144" s="72"/>
      <c r="VPR144" s="72"/>
      <c r="VPS144" s="72"/>
      <c r="VPT144" s="72"/>
      <c r="VPU144" s="72"/>
      <c r="VPV144" s="72"/>
      <c r="VPW144" s="72"/>
      <c r="VPX144" s="72"/>
      <c r="VPY144" s="72"/>
      <c r="VPZ144" s="72"/>
      <c r="VQA144" s="72"/>
      <c r="VQB144" s="72"/>
      <c r="VQC144" s="72"/>
      <c r="VQD144" s="72"/>
      <c r="VQE144" s="72"/>
      <c r="VQF144" s="72"/>
      <c r="VQG144" s="72"/>
      <c r="VQH144" s="72"/>
      <c r="VQI144" s="72"/>
      <c r="VQJ144" s="72"/>
      <c r="VQK144" s="72"/>
      <c r="VQL144" s="72"/>
      <c r="VQM144" s="72"/>
      <c r="VQN144" s="72"/>
      <c r="VQO144" s="72"/>
      <c r="VQP144" s="72"/>
      <c r="VQQ144" s="72"/>
      <c r="VQR144" s="72"/>
      <c r="VQS144" s="72"/>
      <c r="VQT144" s="72"/>
      <c r="VQU144" s="72"/>
      <c r="VQV144" s="72"/>
      <c r="VQW144" s="72"/>
      <c r="VQX144" s="72"/>
      <c r="VQY144" s="72"/>
      <c r="VQZ144" s="72"/>
      <c r="VRA144" s="72"/>
      <c r="VRB144" s="72"/>
      <c r="VRC144" s="72"/>
      <c r="VRD144" s="72"/>
      <c r="VRE144" s="72"/>
      <c r="VRF144" s="72"/>
      <c r="VRG144" s="72"/>
      <c r="VRH144" s="72"/>
      <c r="VRI144" s="72"/>
      <c r="VRJ144" s="72"/>
      <c r="VRK144" s="72"/>
      <c r="VRL144" s="72"/>
      <c r="VRM144" s="72"/>
      <c r="VRN144" s="72"/>
      <c r="VRO144" s="72"/>
      <c r="VRP144" s="72"/>
      <c r="VRQ144" s="72"/>
      <c r="VRR144" s="72"/>
      <c r="VRS144" s="72"/>
      <c r="VRT144" s="72"/>
      <c r="VRU144" s="72"/>
      <c r="VRV144" s="72"/>
      <c r="VRW144" s="72"/>
      <c r="VRX144" s="72"/>
      <c r="VRY144" s="72"/>
      <c r="VRZ144" s="72"/>
      <c r="VSA144" s="72"/>
      <c r="VSB144" s="72"/>
      <c r="VSC144" s="72"/>
      <c r="VSD144" s="72"/>
      <c r="VSE144" s="72"/>
      <c r="VSF144" s="72"/>
      <c r="VSG144" s="72"/>
      <c r="VSH144" s="72"/>
      <c r="VSI144" s="72"/>
      <c r="VSJ144" s="72"/>
      <c r="VSK144" s="72"/>
      <c r="VSL144" s="72"/>
      <c r="VSM144" s="72"/>
      <c r="VSN144" s="72"/>
      <c r="VSO144" s="72"/>
      <c r="VSP144" s="72"/>
      <c r="VSQ144" s="72"/>
      <c r="VSR144" s="72"/>
      <c r="VSS144" s="72"/>
      <c r="VST144" s="72"/>
      <c r="VSU144" s="72"/>
      <c r="VSV144" s="72"/>
      <c r="VSW144" s="72"/>
      <c r="VSX144" s="72"/>
      <c r="VSY144" s="72"/>
      <c r="VSZ144" s="72"/>
      <c r="VTA144" s="72"/>
      <c r="VTB144" s="72"/>
      <c r="VTC144" s="72"/>
      <c r="VTD144" s="72"/>
      <c r="VTE144" s="72"/>
      <c r="VTF144" s="72"/>
      <c r="VTG144" s="72"/>
      <c r="VTH144" s="72"/>
      <c r="VTI144" s="72"/>
      <c r="VTJ144" s="72"/>
      <c r="VTK144" s="72"/>
      <c r="VTL144" s="72"/>
      <c r="VTM144" s="72"/>
      <c r="VTN144" s="72"/>
      <c r="VTO144" s="72"/>
      <c r="VTP144" s="72"/>
      <c r="VTQ144" s="72"/>
      <c r="VTR144" s="72"/>
      <c r="VTS144" s="72"/>
      <c r="VTT144" s="72"/>
      <c r="VTU144" s="72"/>
      <c r="VTV144" s="72"/>
      <c r="VTW144" s="72"/>
      <c r="VTX144" s="72"/>
      <c r="VTY144" s="72"/>
      <c r="VTZ144" s="72"/>
      <c r="VUA144" s="72"/>
      <c r="VUB144" s="72"/>
      <c r="VUC144" s="72"/>
      <c r="VUD144" s="72"/>
      <c r="VUE144" s="72"/>
      <c r="VUF144" s="72"/>
      <c r="VUG144" s="72"/>
      <c r="VUH144" s="72"/>
      <c r="VUI144" s="72"/>
      <c r="VUJ144" s="72"/>
      <c r="VUK144" s="72"/>
      <c r="VUL144" s="72"/>
      <c r="VUM144" s="72"/>
      <c r="VUN144" s="72"/>
      <c r="VUO144" s="72"/>
      <c r="VUP144" s="72"/>
      <c r="VUQ144" s="72"/>
      <c r="VUR144" s="72"/>
      <c r="VUS144" s="72"/>
      <c r="VUT144" s="72"/>
      <c r="VUU144" s="72"/>
      <c r="VUV144" s="72"/>
      <c r="VUW144" s="72"/>
      <c r="VUX144" s="72"/>
      <c r="VUY144" s="72"/>
      <c r="VUZ144" s="72"/>
      <c r="VVA144" s="72"/>
      <c r="VVB144" s="72"/>
      <c r="VVC144" s="72"/>
      <c r="VVD144" s="72"/>
      <c r="VVE144" s="72"/>
      <c r="VVF144" s="72"/>
      <c r="VVG144" s="72"/>
      <c r="VVH144" s="72"/>
      <c r="VVI144" s="72"/>
      <c r="VVJ144" s="72"/>
      <c r="VVK144" s="72"/>
      <c r="VVL144" s="72"/>
      <c r="VVM144" s="72"/>
      <c r="VVN144" s="72"/>
      <c r="VVO144" s="72"/>
      <c r="VVP144" s="72"/>
      <c r="VVQ144" s="72"/>
      <c r="VVR144" s="72"/>
      <c r="VVS144" s="72"/>
      <c r="VVT144" s="72"/>
      <c r="VVU144" s="72"/>
      <c r="VVV144" s="72"/>
      <c r="VVW144" s="72"/>
      <c r="VVX144" s="72"/>
      <c r="VVY144" s="72"/>
      <c r="VVZ144" s="72"/>
      <c r="VWA144" s="72"/>
      <c r="VWB144" s="72"/>
      <c r="VWC144" s="72"/>
      <c r="VWD144" s="72"/>
      <c r="VWE144" s="72"/>
      <c r="VWF144" s="72"/>
      <c r="VWG144" s="72"/>
      <c r="VWH144" s="72"/>
      <c r="VWI144" s="72"/>
      <c r="VWJ144" s="72"/>
      <c r="VWK144" s="72"/>
      <c r="VWL144" s="72"/>
      <c r="VWM144" s="72"/>
      <c r="VWN144" s="72"/>
      <c r="VWO144" s="72"/>
      <c r="VWP144" s="72"/>
      <c r="VWQ144" s="72"/>
      <c r="VWR144" s="72"/>
      <c r="VWS144" s="72"/>
      <c r="VWT144" s="72"/>
      <c r="VWU144" s="72"/>
      <c r="VWV144" s="72"/>
      <c r="VWW144" s="72"/>
      <c r="VWX144" s="72"/>
      <c r="VWY144" s="72"/>
      <c r="VWZ144" s="72"/>
      <c r="VXA144" s="72"/>
      <c r="VXB144" s="72"/>
      <c r="VXC144" s="72"/>
      <c r="VXD144" s="72"/>
      <c r="VXE144" s="72"/>
      <c r="VXF144" s="72"/>
      <c r="VXG144" s="72"/>
      <c r="VXH144" s="72"/>
      <c r="VXI144" s="72"/>
      <c r="VXJ144" s="72"/>
      <c r="VXK144" s="72"/>
      <c r="VXL144" s="72"/>
      <c r="VXM144" s="72"/>
      <c r="VXN144" s="72"/>
      <c r="VXO144" s="72"/>
      <c r="VXP144" s="72"/>
      <c r="VXQ144" s="72"/>
      <c r="VXR144" s="72"/>
      <c r="VXS144" s="72"/>
      <c r="VXT144" s="72"/>
      <c r="VXU144" s="72"/>
      <c r="VXV144" s="72"/>
      <c r="VXW144" s="72"/>
      <c r="VXX144" s="72"/>
      <c r="VXY144" s="72"/>
      <c r="VXZ144" s="72"/>
      <c r="VYA144" s="72"/>
      <c r="VYB144" s="72"/>
      <c r="VYC144" s="72"/>
      <c r="VYD144" s="72"/>
      <c r="VYE144" s="72"/>
      <c r="VYF144" s="72"/>
      <c r="VYG144" s="72"/>
      <c r="VYH144" s="72"/>
      <c r="VYI144" s="72"/>
      <c r="VYJ144" s="72"/>
      <c r="VYK144" s="72"/>
      <c r="VYL144" s="72"/>
      <c r="VYM144" s="72"/>
      <c r="VYN144" s="72"/>
      <c r="VYO144" s="72"/>
      <c r="VYP144" s="72"/>
      <c r="VYQ144" s="72"/>
      <c r="VYR144" s="72"/>
      <c r="VYS144" s="72"/>
      <c r="VYT144" s="72"/>
      <c r="VYU144" s="72"/>
      <c r="VYV144" s="72"/>
      <c r="VYW144" s="72"/>
      <c r="VYX144" s="72"/>
      <c r="VYY144" s="72"/>
      <c r="VYZ144" s="72"/>
      <c r="VZA144" s="72"/>
      <c r="VZB144" s="72"/>
      <c r="VZC144" s="72"/>
      <c r="VZD144" s="72"/>
      <c r="VZE144" s="72"/>
      <c r="VZF144" s="72"/>
      <c r="VZG144" s="72"/>
      <c r="VZH144" s="72"/>
      <c r="VZI144" s="72"/>
      <c r="VZJ144" s="72"/>
      <c r="VZK144" s="72"/>
      <c r="VZL144" s="72"/>
      <c r="VZM144" s="72"/>
      <c r="VZN144" s="72"/>
      <c r="VZO144" s="72"/>
      <c r="VZP144" s="72"/>
      <c r="VZQ144" s="72"/>
      <c r="VZR144" s="72"/>
      <c r="VZS144" s="72"/>
      <c r="VZT144" s="72"/>
      <c r="VZU144" s="72"/>
      <c r="VZV144" s="72"/>
      <c r="VZW144" s="72"/>
      <c r="VZX144" s="72"/>
      <c r="VZY144" s="72"/>
      <c r="VZZ144" s="72"/>
      <c r="WAA144" s="72"/>
      <c r="WAB144" s="72"/>
      <c r="WAC144" s="72"/>
      <c r="WAD144" s="72"/>
      <c r="WAE144" s="72"/>
      <c r="WAF144" s="72"/>
      <c r="WAG144" s="72"/>
      <c r="WAH144" s="72"/>
      <c r="WAI144" s="72"/>
      <c r="WAJ144" s="72"/>
      <c r="WAK144" s="72"/>
      <c r="WAL144" s="72"/>
      <c r="WAM144" s="72"/>
      <c r="WAN144" s="72"/>
      <c r="WAO144" s="72"/>
      <c r="WAP144" s="72"/>
      <c r="WAQ144" s="72"/>
      <c r="WAR144" s="72"/>
      <c r="WAS144" s="72"/>
      <c r="WAT144" s="72"/>
      <c r="WAU144" s="72"/>
      <c r="WAV144" s="72"/>
      <c r="WAW144" s="72"/>
      <c r="WAX144" s="72"/>
      <c r="WAY144" s="72"/>
      <c r="WAZ144" s="72"/>
      <c r="WBA144" s="72"/>
      <c r="WBB144" s="72"/>
      <c r="WBC144" s="72"/>
      <c r="WBD144" s="72"/>
      <c r="WBE144" s="72"/>
      <c r="WBF144" s="72"/>
      <c r="WBG144" s="72"/>
      <c r="WBH144" s="72"/>
      <c r="WBI144" s="72"/>
      <c r="WBJ144" s="72"/>
      <c r="WBK144" s="72"/>
      <c r="WBL144" s="72"/>
      <c r="WBM144" s="72"/>
      <c r="WBN144" s="72"/>
      <c r="WBO144" s="72"/>
      <c r="WBP144" s="72"/>
      <c r="WBQ144" s="72"/>
      <c r="WBR144" s="72"/>
      <c r="WBS144" s="72"/>
      <c r="WBT144" s="72"/>
      <c r="WBU144" s="72"/>
      <c r="WBV144" s="72"/>
      <c r="WBW144" s="72"/>
      <c r="WBX144" s="72"/>
      <c r="WBY144" s="72"/>
      <c r="WBZ144" s="72"/>
      <c r="WCA144" s="72"/>
      <c r="WCB144" s="72"/>
      <c r="WCC144" s="72"/>
      <c r="WCD144" s="72"/>
      <c r="WCE144" s="72"/>
      <c r="WCF144" s="72"/>
      <c r="WCG144" s="72"/>
      <c r="WCH144" s="72"/>
      <c r="WCI144" s="72"/>
      <c r="WCJ144" s="72"/>
      <c r="WCK144" s="72"/>
      <c r="WCL144" s="72"/>
      <c r="WCM144" s="72"/>
      <c r="WCN144" s="72"/>
      <c r="WCO144" s="72"/>
      <c r="WCP144" s="72"/>
      <c r="WCQ144" s="72"/>
      <c r="WCR144" s="72"/>
      <c r="WCS144" s="72"/>
      <c r="WCT144" s="72"/>
      <c r="WCU144" s="72"/>
      <c r="WCV144" s="72"/>
      <c r="WCW144" s="72"/>
      <c r="WCX144" s="72"/>
      <c r="WCY144" s="72"/>
      <c r="WCZ144" s="72"/>
      <c r="WDA144" s="72"/>
      <c r="WDB144" s="72"/>
      <c r="WDC144" s="72"/>
      <c r="WDD144" s="72"/>
      <c r="WDE144" s="72"/>
      <c r="WDF144" s="72"/>
      <c r="WDG144" s="72"/>
      <c r="WDH144" s="72"/>
      <c r="WDI144" s="72"/>
      <c r="WDJ144" s="72"/>
      <c r="WDK144" s="72"/>
      <c r="WDL144" s="72"/>
      <c r="WDM144" s="72"/>
      <c r="WDN144" s="72"/>
      <c r="WDO144" s="72"/>
      <c r="WDP144" s="72"/>
      <c r="WDQ144" s="72"/>
      <c r="WDR144" s="72"/>
      <c r="WDS144" s="72"/>
      <c r="WDT144" s="72"/>
      <c r="WDU144" s="72"/>
      <c r="WDV144" s="72"/>
      <c r="WDW144" s="72"/>
      <c r="WDX144" s="72"/>
      <c r="WDY144" s="72"/>
      <c r="WDZ144" s="72"/>
      <c r="WEA144" s="72"/>
      <c r="WEB144" s="72"/>
      <c r="WEC144" s="72"/>
      <c r="WED144" s="72"/>
      <c r="WEE144" s="72"/>
      <c r="WEF144" s="72"/>
      <c r="WEG144" s="72"/>
      <c r="WEH144" s="72"/>
      <c r="WEI144" s="72"/>
      <c r="WEJ144" s="72"/>
      <c r="WEK144" s="72"/>
      <c r="WEL144" s="72"/>
      <c r="WEM144" s="72"/>
      <c r="WEN144" s="72"/>
      <c r="WEO144" s="72"/>
      <c r="WEP144" s="72"/>
      <c r="WEQ144" s="72"/>
      <c r="WER144" s="72"/>
      <c r="WES144" s="72"/>
      <c r="WET144" s="72"/>
      <c r="WEU144" s="72"/>
      <c r="WEV144" s="72"/>
      <c r="WEW144" s="72"/>
      <c r="WEX144" s="72"/>
      <c r="WEY144" s="72"/>
      <c r="WEZ144" s="72"/>
      <c r="WFA144" s="72"/>
      <c r="WFB144" s="72"/>
      <c r="WFC144" s="72"/>
      <c r="WFD144" s="72"/>
      <c r="WFE144" s="72"/>
      <c r="WFF144" s="72"/>
      <c r="WFG144" s="72"/>
      <c r="WFH144" s="72"/>
      <c r="WFI144" s="72"/>
      <c r="WFJ144" s="72"/>
      <c r="WFK144" s="72"/>
      <c r="WFL144" s="72"/>
      <c r="WFM144" s="72"/>
      <c r="WFN144" s="72"/>
      <c r="WFO144" s="72"/>
      <c r="WFP144" s="72"/>
      <c r="WFQ144" s="72"/>
      <c r="WFR144" s="72"/>
      <c r="WFS144" s="72"/>
      <c r="WFT144" s="72"/>
      <c r="WFU144" s="72"/>
      <c r="WFV144" s="72"/>
      <c r="WFW144" s="72"/>
      <c r="WFX144" s="72"/>
      <c r="WFY144" s="72"/>
      <c r="WFZ144" s="72"/>
      <c r="WGA144" s="72"/>
      <c r="WGB144" s="72"/>
      <c r="WGC144" s="72"/>
      <c r="WGD144" s="72"/>
      <c r="WGE144" s="72"/>
      <c r="WGF144" s="72"/>
      <c r="WGG144" s="72"/>
      <c r="WGH144" s="72"/>
      <c r="WGI144" s="72"/>
      <c r="WGJ144" s="72"/>
      <c r="WGK144" s="72"/>
      <c r="WGL144" s="72"/>
      <c r="WGM144" s="72"/>
      <c r="WGN144" s="72"/>
      <c r="WGO144" s="72"/>
      <c r="WGP144" s="72"/>
      <c r="WGQ144" s="72"/>
      <c r="WGR144" s="72"/>
      <c r="WGS144" s="72"/>
      <c r="WGT144" s="72"/>
      <c r="WGU144" s="72"/>
      <c r="WGV144" s="72"/>
      <c r="WGW144" s="72"/>
      <c r="WGX144" s="72"/>
      <c r="WGY144" s="72"/>
      <c r="WGZ144" s="72"/>
      <c r="WHA144" s="72"/>
      <c r="WHB144" s="72"/>
      <c r="WHC144" s="72"/>
      <c r="WHD144" s="72"/>
      <c r="WHE144" s="72"/>
      <c r="WHF144" s="72"/>
      <c r="WHG144" s="72"/>
      <c r="WHH144" s="72"/>
      <c r="WHI144" s="72"/>
      <c r="WHJ144" s="72"/>
      <c r="WHK144" s="72"/>
      <c r="WHL144" s="72"/>
      <c r="WHM144" s="72"/>
      <c r="WHN144" s="72"/>
      <c r="WHO144" s="72"/>
      <c r="WHP144" s="72"/>
      <c r="WHQ144" s="72"/>
      <c r="WHR144" s="72"/>
      <c r="WHS144" s="72"/>
      <c r="WHT144" s="72"/>
      <c r="WHU144" s="72"/>
      <c r="WHV144" s="72"/>
      <c r="WHW144" s="72"/>
      <c r="WHX144" s="72"/>
      <c r="WHY144" s="72"/>
      <c r="WHZ144" s="72"/>
      <c r="WIA144" s="72"/>
      <c r="WIB144" s="72"/>
      <c r="WIC144" s="72"/>
      <c r="WID144" s="72"/>
      <c r="WIE144" s="72"/>
      <c r="WIF144" s="72"/>
      <c r="WIG144" s="72"/>
      <c r="WIH144" s="72"/>
      <c r="WII144" s="72"/>
      <c r="WIJ144" s="72"/>
      <c r="WIK144" s="72"/>
      <c r="WIL144" s="72"/>
      <c r="WIM144" s="72"/>
      <c r="WIN144" s="72"/>
      <c r="WIO144" s="72"/>
      <c r="WIP144" s="72"/>
      <c r="WIQ144" s="72"/>
      <c r="WIR144" s="72"/>
      <c r="WIS144" s="72"/>
      <c r="WIT144" s="72"/>
      <c r="WIU144" s="72"/>
      <c r="WIV144" s="72"/>
      <c r="WIW144" s="72"/>
      <c r="WIX144" s="72"/>
      <c r="WIY144" s="72"/>
      <c r="WIZ144" s="72"/>
      <c r="WJA144" s="72"/>
      <c r="WJB144" s="72"/>
      <c r="WJC144" s="72"/>
      <c r="WJD144" s="72"/>
      <c r="WJE144" s="72"/>
      <c r="WJF144" s="72"/>
      <c r="WJG144" s="72"/>
      <c r="WJH144" s="72"/>
      <c r="WJI144" s="72"/>
      <c r="WJJ144" s="72"/>
      <c r="WJK144" s="72"/>
      <c r="WJL144" s="72"/>
      <c r="WJM144" s="72"/>
      <c r="WJN144" s="72"/>
      <c r="WJO144" s="72"/>
      <c r="WJP144" s="72"/>
      <c r="WJQ144" s="72"/>
      <c r="WJR144" s="72"/>
      <c r="WJS144" s="72"/>
      <c r="WJT144" s="72"/>
      <c r="WJU144" s="72"/>
      <c r="WJV144" s="72"/>
      <c r="WJW144" s="72"/>
      <c r="WJX144" s="72"/>
      <c r="WJY144" s="72"/>
      <c r="WJZ144" s="72"/>
      <c r="WKA144" s="72"/>
      <c r="WKB144" s="72"/>
      <c r="WKC144" s="72"/>
      <c r="WKD144" s="72"/>
      <c r="WKE144" s="72"/>
      <c r="WKF144" s="72"/>
      <c r="WKG144" s="72"/>
      <c r="WKH144" s="72"/>
      <c r="WKI144" s="72"/>
      <c r="WKJ144" s="72"/>
      <c r="WKK144" s="72"/>
      <c r="WKL144" s="72"/>
      <c r="WKM144" s="72"/>
      <c r="WKN144" s="72"/>
      <c r="WKO144" s="72"/>
      <c r="WKP144" s="72"/>
      <c r="WKQ144" s="72"/>
      <c r="WKR144" s="72"/>
      <c r="WKS144" s="72"/>
      <c r="WKT144" s="72"/>
      <c r="WKU144" s="72"/>
      <c r="WKV144" s="72"/>
      <c r="WKW144" s="72"/>
      <c r="WKX144" s="72"/>
      <c r="WKY144" s="72"/>
      <c r="WKZ144" s="72"/>
      <c r="WLA144" s="72"/>
      <c r="WLB144" s="72"/>
      <c r="WLC144" s="72"/>
      <c r="WLD144" s="72"/>
      <c r="WLE144" s="72"/>
      <c r="WLF144" s="72"/>
      <c r="WLG144" s="72"/>
      <c r="WLH144" s="72"/>
      <c r="WLI144" s="72"/>
      <c r="WLJ144" s="72"/>
      <c r="WLK144" s="72"/>
      <c r="WLL144" s="72"/>
      <c r="WLM144" s="72"/>
      <c r="WLN144" s="72"/>
      <c r="WLO144" s="72"/>
      <c r="WLP144" s="72"/>
      <c r="WLQ144" s="72"/>
      <c r="WLR144" s="72"/>
      <c r="WLS144" s="72"/>
      <c r="WLT144" s="72"/>
      <c r="WLU144" s="72"/>
      <c r="WLV144" s="72"/>
      <c r="WLW144" s="72"/>
      <c r="WLX144" s="72"/>
      <c r="WLY144" s="72"/>
      <c r="WLZ144" s="72"/>
      <c r="WMA144" s="72"/>
      <c r="WMB144" s="72"/>
      <c r="WMC144" s="72"/>
      <c r="WMD144" s="72"/>
      <c r="WME144" s="72"/>
      <c r="WMF144" s="72"/>
      <c r="WMG144" s="72"/>
      <c r="WMH144" s="72"/>
      <c r="WMI144" s="72"/>
      <c r="WMJ144" s="72"/>
      <c r="WMK144" s="72"/>
      <c r="WML144" s="72"/>
      <c r="WMM144" s="72"/>
      <c r="WMN144" s="72"/>
      <c r="WMO144" s="72"/>
      <c r="WMP144" s="72"/>
      <c r="WMQ144" s="72"/>
      <c r="WMR144" s="72"/>
      <c r="WMS144" s="72"/>
      <c r="WMT144" s="72"/>
      <c r="WMU144" s="72"/>
      <c r="WMV144" s="72"/>
      <c r="WMW144" s="72"/>
      <c r="WMX144" s="72"/>
      <c r="WMY144" s="72"/>
      <c r="WMZ144" s="72"/>
      <c r="WNA144" s="72"/>
      <c r="WNB144" s="72"/>
      <c r="WNC144" s="72"/>
      <c r="WND144" s="72"/>
      <c r="WNE144" s="72"/>
      <c r="WNF144" s="72"/>
      <c r="WNG144" s="72"/>
      <c r="WNH144" s="72"/>
      <c r="WNI144" s="72"/>
      <c r="WNJ144" s="72"/>
      <c r="WNK144" s="72"/>
      <c r="WNL144" s="72"/>
      <c r="WNM144" s="72"/>
      <c r="WNN144" s="72"/>
      <c r="WNO144" s="72"/>
      <c r="WNP144" s="72"/>
      <c r="WNQ144" s="72"/>
      <c r="WNR144" s="72"/>
      <c r="WNS144" s="72"/>
      <c r="WNT144" s="72"/>
      <c r="WNU144" s="72"/>
      <c r="WNV144" s="72"/>
      <c r="WNW144" s="72"/>
      <c r="WNX144" s="72"/>
      <c r="WNY144" s="72"/>
      <c r="WNZ144" s="72"/>
      <c r="WOA144" s="72"/>
      <c r="WOB144" s="72"/>
      <c r="WOC144" s="72"/>
      <c r="WOD144" s="72"/>
      <c r="WOE144" s="72"/>
      <c r="WOF144" s="72"/>
      <c r="WOG144" s="72"/>
      <c r="WOH144" s="72"/>
      <c r="WOI144" s="72"/>
      <c r="WOJ144" s="72"/>
      <c r="WOK144" s="72"/>
      <c r="WOL144" s="72"/>
      <c r="WOM144" s="72"/>
      <c r="WON144" s="72"/>
      <c r="WOO144" s="72"/>
      <c r="WOP144" s="72"/>
      <c r="WOQ144" s="72"/>
      <c r="WOR144" s="72"/>
      <c r="WOS144" s="72"/>
      <c r="WOT144" s="72"/>
      <c r="WOU144" s="72"/>
      <c r="WOV144" s="72"/>
      <c r="WOW144" s="72"/>
      <c r="WOX144" s="72"/>
      <c r="WOY144" s="72"/>
      <c r="WOZ144" s="72"/>
      <c r="WPA144" s="72"/>
      <c r="WPB144" s="72"/>
      <c r="WPC144" s="72"/>
      <c r="WPD144" s="72"/>
      <c r="WPE144" s="72"/>
      <c r="WPF144" s="72"/>
      <c r="WPG144" s="72"/>
      <c r="WPH144" s="72"/>
      <c r="WPI144" s="72"/>
      <c r="WPJ144" s="72"/>
      <c r="WPK144" s="72"/>
      <c r="WPL144" s="72"/>
      <c r="WPM144" s="72"/>
      <c r="WPN144" s="72"/>
      <c r="WPO144" s="72"/>
      <c r="WPP144" s="72"/>
      <c r="WPQ144" s="72"/>
      <c r="WPR144" s="72"/>
      <c r="WPS144" s="72"/>
      <c r="WPT144" s="72"/>
      <c r="WPU144" s="72"/>
      <c r="WPV144" s="72"/>
      <c r="WPW144" s="72"/>
      <c r="WPX144" s="72"/>
      <c r="WPY144" s="72"/>
      <c r="WPZ144" s="72"/>
      <c r="WQA144" s="72"/>
      <c r="WQB144" s="72"/>
      <c r="WQC144" s="72"/>
      <c r="WQD144" s="72"/>
      <c r="WQE144" s="72"/>
      <c r="WQF144" s="72"/>
      <c r="WQG144" s="72"/>
      <c r="WQH144" s="72"/>
      <c r="WQI144" s="72"/>
      <c r="WQJ144" s="72"/>
      <c r="WQK144" s="72"/>
      <c r="WQL144" s="72"/>
      <c r="WQM144" s="72"/>
      <c r="WQN144" s="72"/>
      <c r="WQO144" s="72"/>
      <c r="WQP144" s="72"/>
      <c r="WQQ144" s="72"/>
      <c r="WQR144" s="72"/>
      <c r="WQS144" s="72"/>
      <c r="WQT144" s="72"/>
      <c r="WQU144" s="72"/>
      <c r="WQV144" s="72"/>
      <c r="WQW144" s="72"/>
      <c r="WQX144" s="72"/>
      <c r="WQY144" s="72"/>
      <c r="WQZ144" s="72"/>
      <c r="WRA144" s="72"/>
      <c r="WRB144" s="72"/>
      <c r="WRC144" s="72"/>
      <c r="WRD144" s="72"/>
      <c r="WRE144" s="72"/>
      <c r="WRF144" s="72"/>
      <c r="WRG144" s="72"/>
      <c r="WRH144" s="72"/>
      <c r="WRI144" s="72"/>
      <c r="WRJ144" s="72"/>
      <c r="WRK144" s="72"/>
      <c r="WRL144" s="72"/>
      <c r="WRM144" s="72"/>
      <c r="WRN144" s="72"/>
      <c r="WRO144" s="72"/>
      <c r="WRP144" s="72"/>
      <c r="WRQ144" s="72"/>
      <c r="WRR144" s="72"/>
      <c r="WRS144" s="72"/>
      <c r="WRT144" s="72"/>
      <c r="WRU144" s="72"/>
      <c r="WRV144" s="72"/>
      <c r="WRW144" s="72"/>
      <c r="WRX144" s="72"/>
      <c r="WRY144" s="72"/>
      <c r="WRZ144" s="72"/>
      <c r="WSA144" s="72"/>
      <c r="WSB144" s="72"/>
      <c r="WSC144" s="72"/>
      <c r="WSD144" s="72"/>
      <c r="WSE144" s="72"/>
      <c r="WSF144" s="72"/>
      <c r="WSG144" s="72"/>
      <c r="WSH144" s="72"/>
      <c r="WSI144" s="72"/>
      <c r="WSJ144" s="72"/>
      <c r="WSK144" s="72"/>
      <c r="WSL144" s="72"/>
      <c r="WSM144" s="72"/>
      <c r="WSN144" s="72"/>
      <c r="WSO144" s="72"/>
      <c r="WSP144" s="72"/>
      <c r="WSQ144" s="72"/>
      <c r="WSR144" s="72"/>
      <c r="WSS144" s="72"/>
      <c r="WST144" s="72"/>
      <c r="WSU144" s="72"/>
      <c r="WSV144" s="72"/>
      <c r="WSW144" s="72"/>
      <c r="WSX144" s="72"/>
      <c r="WSY144" s="72"/>
      <c r="WSZ144" s="72"/>
      <c r="WTA144" s="72"/>
      <c r="WTB144" s="72"/>
      <c r="WTC144" s="72"/>
      <c r="WTD144" s="72"/>
      <c r="WTE144" s="72"/>
      <c r="WTF144" s="72"/>
      <c r="WTG144" s="72"/>
      <c r="WTH144" s="72"/>
      <c r="WTI144" s="72"/>
      <c r="WTJ144" s="72"/>
      <c r="WTK144" s="72"/>
      <c r="WTL144" s="72"/>
      <c r="WTM144" s="72"/>
      <c r="WTN144" s="72"/>
      <c r="WTO144" s="72"/>
      <c r="WTP144" s="72"/>
      <c r="WTQ144" s="72"/>
      <c r="WTR144" s="72"/>
      <c r="WTS144" s="72"/>
      <c r="WTT144" s="72"/>
      <c r="WTU144" s="72"/>
      <c r="WTV144" s="72"/>
      <c r="WTW144" s="72"/>
      <c r="WTX144" s="72"/>
      <c r="WTY144" s="72"/>
      <c r="WTZ144" s="72"/>
      <c r="WUA144" s="72"/>
      <c r="WUB144" s="72"/>
      <c r="WUC144" s="72"/>
      <c r="WUD144" s="72"/>
      <c r="WUE144" s="72"/>
      <c r="WUF144" s="72"/>
      <c r="WUG144" s="72"/>
      <c r="WUH144" s="72"/>
      <c r="WUI144" s="72"/>
      <c r="WUJ144" s="72"/>
      <c r="WUK144" s="72"/>
      <c r="WUL144" s="72"/>
      <c r="WUM144" s="72"/>
      <c r="WUN144" s="72"/>
      <c r="WUO144" s="72"/>
      <c r="WUP144" s="72"/>
      <c r="WUQ144" s="72"/>
      <c r="WUR144" s="72"/>
      <c r="WUS144" s="72"/>
      <c r="WUT144" s="72"/>
      <c r="WUU144" s="72"/>
      <c r="WUV144" s="72"/>
      <c r="WUW144" s="72"/>
      <c r="WUX144" s="72"/>
      <c r="WUY144" s="72"/>
      <c r="WUZ144" s="72"/>
      <c r="WVA144" s="72"/>
      <c r="WVB144" s="72"/>
      <c r="WVC144" s="72"/>
      <c r="WVD144" s="72"/>
      <c r="WVE144" s="72"/>
      <c r="WVF144" s="72"/>
      <c r="WVG144" s="72"/>
      <c r="WVH144" s="72"/>
      <c r="WVI144" s="72"/>
      <c r="WVJ144" s="72"/>
      <c r="WVK144" s="72"/>
      <c r="WVL144" s="72"/>
      <c r="WVM144" s="72"/>
      <c r="WVN144" s="72"/>
      <c r="WVO144" s="72"/>
      <c r="WVP144" s="72"/>
      <c r="WVQ144" s="72"/>
      <c r="WVR144" s="72"/>
      <c r="WVS144" s="72"/>
    </row>
    <row r="145" spans="1:16139" ht="146.25" customHeight="1" x14ac:dyDescent="0.25">
      <c r="A145" s="86">
        <v>127</v>
      </c>
      <c r="B145" s="86" t="s">
        <v>181</v>
      </c>
      <c r="C145" s="51" t="s">
        <v>42</v>
      </c>
      <c r="D145" s="45" t="s">
        <v>45</v>
      </c>
      <c r="E145" s="45"/>
      <c r="F145" s="45">
        <v>1650</v>
      </c>
      <c r="G145" s="45">
        <v>2300</v>
      </c>
      <c r="H145" s="46">
        <f>F145*G145/10^6</f>
        <v>3.7949999999999999</v>
      </c>
      <c r="I145" s="45">
        <v>1</v>
      </c>
      <c r="J145" s="53">
        <v>2298000</v>
      </c>
      <c r="K145" s="47"/>
      <c r="L145" s="48">
        <f>IF(H145&lt;&gt;0,J145*H145*I145+K145*I145,IF(J145&lt;&gt;0,G145*I145*J145,I145*K145))</f>
        <v>8720910</v>
      </c>
      <c r="M145" s="28"/>
      <c r="N145" s="28"/>
      <c r="O145" s="28"/>
      <c r="P145" s="28"/>
      <c r="Q145" s="28"/>
      <c r="R145" s="28"/>
      <c r="S145" s="28"/>
      <c r="T145" s="28"/>
      <c r="U145" s="28"/>
      <c r="V145" s="28"/>
      <c r="W145" s="28"/>
      <c r="X145" s="28"/>
      <c r="Y145" s="28"/>
      <c r="Z145" s="28"/>
      <c r="AA145" s="28"/>
      <c r="AB145" s="28"/>
      <c r="AC145" s="28"/>
      <c r="AD145" s="28"/>
      <c r="AE145" s="28"/>
      <c r="AF145" s="28"/>
      <c r="AG145" s="28"/>
      <c r="AH145" s="28"/>
    </row>
    <row r="146" spans="1:16139" ht="156" customHeight="1" x14ac:dyDescent="0.25">
      <c r="A146" s="86">
        <v>128</v>
      </c>
      <c r="B146" s="86" t="s">
        <v>182</v>
      </c>
      <c r="C146" s="51" t="s">
        <v>41</v>
      </c>
      <c r="D146" s="45" t="s">
        <v>39</v>
      </c>
      <c r="E146" s="45" t="s">
        <v>38</v>
      </c>
      <c r="F146" s="45">
        <v>1650</v>
      </c>
      <c r="G146" s="45">
        <v>2300</v>
      </c>
      <c r="H146" s="46">
        <f>F146*G146/10^6</f>
        <v>3.7949999999999999</v>
      </c>
      <c r="I146" s="45">
        <v>1</v>
      </c>
      <c r="J146" s="53">
        <v>3296000</v>
      </c>
      <c r="K146" s="47">
        <v>1850000</v>
      </c>
      <c r="L146" s="48">
        <f>IF(H146&lt;&gt;0,J146*H146*I146+K146*I146,IF(J146&lt;&gt;0,G146*I146*J146,I146*K146))</f>
        <v>14358320</v>
      </c>
      <c r="M146" s="28"/>
      <c r="N146" s="28"/>
      <c r="O146" s="28"/>
      <c r="P146" s="28"/>
      <c r="Q146" s="28"/>
      <c r="R146" s="28"/>
      <c r="S146" s="28"/>
      <c r="T146" s="28"/>
      <c r="U146" s="28"/>
      <c r="V146" s="28"/>
      <c r="W146" s="28"/>
      <c r="X146" s="28"/>
      <c r="Y146" s="28"/>
      <c r="Z146" s="28"/>
      <c r="AA146" s="28"/>
      <c r="AB146" s="28"/>
      <c r="AC146" s="28"/>
      <c r="AD146" s="28"/>
      <c r="AE146" s="28"/>
      <c r="AF146" s="28"/>
      <c r="AG146" s="28"/>
      <c r="AH146" s="28"/>
    </row>
    <row r="147" spans="1:16139" ht="156" customHeight="1" x14ac:dyDescent="0.25">
      <c r="A147" s="86">
        <v>129</v>
      </c>
      <c r="B147" s="86" t="s">
        <v>183</v>
      </c>
      <c r="C147" s="51" t="s">
        <v>41</v>
      </c>
      <c r="D147" s="45" t="s">
        <v>39</v>
      </c>
      <c r="E147" s="45" t="s">
        <v>38</v>
      </c>
      <c r="F147" s="45">
        <v>1600</v>
      </c>
      <c r="G147" s="45">
        <v>2400</v>
      </c>
      <c r="H147" s="46">
        <f>F147*G147/10^6</f>
        <v>3.84</v>
      </c>
      <c r="I147" s="45">
        <v>1</v>
      </c>
      <c r="J147" s="53">
        <v>3306000</v>
      </c>
      <c r="K147" s="47">
        <v>1850000</v>
      </c>
      <c r="L147" s="48">
        <f>IF(H147&lt;&gt;0,J147*H147*I147+K147*I147,IF(J147&lt;&gt;0,G147*I147*J147,I147*K147))</f>
        <v>14545040</v>
      </c>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spans="1:16139" ht="146.25" customHeight="1" x14ac:dyDescent="0.25">
      <c r="A148" s="135">
        <v>130</v>
      </c>
      <c r="B148" s="137" t="s">
        <v>202</v>
      </c>
      <c r="C148" s="51" t="s">
        <v>41</v>
      </c>
      <c r="D148" s="45" t="s">
        <v>45</v>
      </c>
      <c r="E148" s="45" t="s">
        <v>38</v>
      </c>
      <c r="F148" s="45">
        <v>1500</v>
      </c>
      <c r="G148" s="45">
        <v>2300</v>
      </c>
      <c r="H148" s="46">
        <f>F148*G148/10^6</f>
        <v>3.45</v>
      </c>
      <c r="I148" s="45">
        <v>1</v>
      </c>
      <c r="J148" s="53">
        <v>3423000</v>
      </c>
      <c r="K148" s="47">
        <v>1850000</v>
      </c>
      <c r="L148" s="48">
        <f>IF(H148&lt;&gt;0,J148*H148*I148+K148*I148,IF(J148&lt;&gt;0,G148*I148*J148,I148*K148))</f>
        <v>13659350</v>
      </c>
      <c r="M148" s="28"/>
      <c r="N148" s="28"/>
      <c r="O148" s="28"/>
      <c r="P148" s="28"/>
      <c r="Q148" s="28"/>
      <c r="R148" s="28"/>
      <c r="S148" s="28"/>
      <c r="T148" s="28"/>
      <c r="U148" s="28"/>
      <c r="V148" s="28"/>
      <c r="W148" s="28"/>
      <c r="X148" s="28"/>
      <c r="Y148" s="28"/>
      <c r="Z148" s="28"/>
      <c r="AA148" s="28"/>
      <c r="AB148" s="28"/>
      <c r="AC148" s="28"/>
      <c r="AD148" s="28"/>
      <c r="AE148" s="28"/>
      <c r="AF148" s="28"/>
      <c r="AG148" s="28"/>
      <c r="AH148" s="28"/>
    </row>
    <row r="149" spans="1:16139" ht="146.25" customHeight="1" x14ac:dyDescent="0.25">
      <c r="A149" s="149"/>
      <c r="B149" s="150"/>
      <c r="C149" s="58" t="s">
        <v>42</v>
      </c>
      <c r="D149" s="45" t="s">
        <v>207</v>
      </c>
      <c r="E149" s="45"/>
      <c r="F149" s="45">
        <v>2356</v>
      </c>
      <c r="G149" s="45">
        <v>2300</v>
      </c>
      <c r="H149" s="46">
        <f>F149*G149/10^6</f>
        <v>5.4188000000000001</v>
      </c>
      <c r="I149" s="45">
        <v>1</v>
      </c>
      <c r="J149" s="53">
        <v>3955000</v>
      </c>
      <c r="K149" s="47"/>
      <c r="L149" s="48">
        <f>IF(H149&lt;&gt;0,J149*H149*I149+K149*I149,IF(J149&lt;&gt;0,G149*I149*J149,I149*K149))</f>
        <v>21431354</v>
      </c>
      <c r="M149" s="28"/>
      <c r="N149" s="28"/>
      <c r="O149" s="28"/>
      <c r="P149" s="28"/>
      <c r="Q149" s="28"/>
      <c r="R149" s="28"/>
      <c r="S149" s="28"/>
      <c r="T149" s="28"/>
      <c r="U149" s="28"/>
      <c r="V149" s="28"/>
      <c r="W149" s="28"/>
      <c r="X149" s="28"/>
      <c r="Y149" s="28"/>
      <c r="Z149" s="28"/>
      <c r="AA149" s="28"/>
      <c r="AB149" s="28"/>
      <c r="AC149" s="28"/>
      <c r="AD149" s="28"/>
      <c r="AE149" s="28"/>
      <c r="AF149" s="28"/>
      <c r="AG149" s="28"/>
      <c r="AH149" s="28"/>
    </row>
    <row r="150" spans="1:16139" ht="30.75" customHeight="1" x14ac:dyDescent="0.25">
      <c r="A150" s="136"/>
      <c r="B150" s="151"/>
      <c r="C150" s="69" t="s">
        <v>201</v>
      </c>
      <c r="D150" s="59"/>
      <c r="E150" s="59"/>
      <c r="F150" s="59">
        <f>2356+1000</f>
        <v>3356</v>
      </c>
      <c r="G150" s="59"/>
      <c r="H150" s="60">
        <f t="shared" ref="H150:H151" si="45">F150*G150/10^6</f>
        <v>0</v>
      </c>
      <c r="I150" s="59">
        <v>1</v>
      </c>
      <c r="J150" s="53">
        <v>550000</v>
      </c>
      <c r="K150" s="47"/>
      <c r="L150" s="70">
        <f>F150*I150*J150/1000</f>
        <v>1845800</v>
      </c>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c r="DE150" s="72"/>
      <c r="DF150" s="72"/>
      <c r="DG150" s="72"/>
      <c r="DH150" s="72"/>
      <c r="DI150" s="72"/>
      <c r="DJ150" s="72"/>
      <c r="DK150" s="72"/>
      <c r="DL150" s="72"/>
      <c r="DM150" s="72"/>
      <c r="DN150" s="72"/>
      <c r="DO150" s="72"/>
      <c r="DP150" s="72"/>
      <c r="DQ150" s="72"/>
      <c r="DR150" s="72"/>
      <c r="DS150" s="72"/>
      <c r="DT150" s="72"/>
      <c r="DU150" s="72"/>
      <c r="DV150" s="72"/>
      <c r="DW150" s="72"/>
      <c r="DX150" s="72"/>
      <c r="DY150" s="72"/>
      <c r="DZ150" s="72"/>
      <c r="EA150" s="72"/>
      <c r="EB150" s="72"/>
      <c r="EC150" s="72"/>
      <c r="ED150" s="72"/>
      <c r="EE150" s="72"/>
      <c r="EF150" s="72"/>
      <c r="EG150" s="72"/>
      <c r="EH150" s="72"/>
      <c r="EI150" s="72"/>
      <c r="EJ150" s="72"/>
      <c r="EK150" s="72"/>
      <c r="EL150" s="72"/>
      <c r="EM150" s="72"/>
      <c r="EN150" s="72"/>
      <c r="EO150" s="72"/>
      <c r="EP150" s="72"/>
      <c r="EQ150" s="72"/>
      <c r="ER150" s="72"/>
      <c r="ES150" s="72"/>
      <c r="ET150" s="72"/>
      <c r="EU150" s="72"/>
      <c r="EV150" s="72"/>
      <c r="EW150" s="72"/>
      <c r="EX150" s="72"/>
      <c r="EY150" s="72"/>
      <c r="EZ150" s="72"/>
      <c r="FA150" s="72"/>
      <c r="FB150" s="72"/>
      <c r="FC150" s="72"/>
      <c r="FD150" s="72"/>
      <c r="FE150" s="72"/>
      <c r="FF150" s="72"/>
      <c r="FG150" s="72"/>
      <c r="FH150" s="72"/>
      <c r="FI150" s="72"/>
      <c r="FJ150" s="72"/>
      <c r="FK150" s="72"/>
      <c r="FL150" s="72"/>
      <c r="FM150" s="72"/>
      <c r="FN150" s="72"/>
      <c r="FO150" s="72"/>
      <c r="FP150" s="72"/>
      <c r="FQ150" s="72"/>
      <c r="FR150" s="72"/>
      <c r="FS150" s="72"/>
      <c r="FT150" s="72"/>
      <c r="FU150" s="72"/>
      <c r="FV150" s="72"/>
      <c r="FW150" s="72"/>
      <c r="FX150" s="72"/>
      <c r="FY150" s="72"/>
      <c r="FZ150" s="72"/>
      <c r="GA150" s="72"/>
      <c r="GB150" s="72"/>
      <c r="GC150" s="72"/>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c r="JL150" s="72"/>
      <c r="JM150" s="72"/>
      <c r="JN150" s="72"/>
      <c r="JO150" s="72"/>
      <c r="JP150" s="72"/>
      <c r="JQ150" s="72"/>
      <c r="JR150" s="72"/>
      <c r="JS150" s="72"/>
      <c r="JT150" s="72"/>
      <c r="JU150" s="72"/>
      <c r="JV150" s="72"/>
      <c r="JW150" s="72"/>
      <c r="JX150" s="72"/>
      <c r="JY150" s="72"/>
      <c r="JZ150" s="72"/>
      <c r="KA150" s="72"/>
      <c r="KB150" s="72"/>
      <c r="KC150" s="72"/>
      <c r="KD150" s="72"/>
      <c r="KE150" s="72"/>
      <c r="KF150" s="72"/>
      <c r="KG150" s="72"/>
      <c r="KH150" s="72"/>
      <c r="KI150" s="72"/>
      <c r="KJ150" s="72"/>
      <c r="KK150" s="72"/>
      <c r="KL150" s="72"/>
      <c r="KM150" s="72"/>
      <c r="KN150" s="72"/>
      <c r="KO150" s="72"/>
      <c r="KP150" s="72"/>
      <c r="KQ150" s="72"/>
      <c r="KR150" s="72"/>
      <c r="KS150" s="72"/>
      <c r="KT150" s="72"/>
      <c r="KU150" s="72"/>
      <c r="KV150" s="72"/>
      <c r="KW150" s="72"/>
      <c r="KX150" s="72"/>
      <c r="KY150" s="72"/>
      <c r="KZ150" s="72"/>
      <c r="LA150" s="72"/>
      <c r="LB150" s="72"/>
      <c r="LC150" s="72"/>
      <c r="LD150" s="72"/>
      <c r="LE150" s="72"/>
      <c r="LF150" s="72"/>
      <c r="LG150" s="72"/>
      <c r="LH150" s="72"/>
      <c r="LI150" s="72"/>
      <c r="LJ150" s="72"/>
      <c r="LK150" s="72"/>
      <c r="LL150" s="72"/>
      <c r="LM150" s="72"/>
      <c r="LN150" s="72"/>
      <c r="LO150" s="72"/>
      <c r="LP150" s="72"/>
      <c r="LQ150" s="72"/>
      <c r="LR150" s="72"/>
      <c r="LS150" s="72"/>
      <c r="LT150" s="72"/>
      <c r="LU150" s="72"/>
      <c r="LV150" s="72"/>
      <c r="LW150" s="72"/>
      <c r="LX150" s="72"/>
      <c r="LY150" s="72"/>
      <c r="LZ150" s="72"/>
      <c r="MA150" s="72"/>
      <c r="MB150" s="72"/>
      <c r="MC150" s="72"/>
      <c r="MD150" s="72"/>
      <c r="ME150" s="72"/>
      <c r="MF150" s="72"/>
      <c r="MG150" s="72"/>
      <c r="MH150" s="72"/>
      <c r="MI150" s="72"/>
      <c r="MJ150" s="72"/>
      <c r="MK150" s="72"/>
      <c r="ML150" s="72"/>
      <c r="MM150" s="72"/>
      <c r="MN150" s="72"/>
      <c r="MO150" s="72"/>
      <c r="MP150" s="72"/>
      <c r="MQ150" s="72"/>
      <c r="MR150" s="72"/>
      <c r="MS150" s="72"/>
      <c r="MT150" s="72"/>
      <c r="MU150" s="72"/>
      <c r="MV150" s="72"/>
      <c r="MW150" s="72"/>
      <c r="MX150" s="72"/>
      <c r="MY150" s="72"/>
      <c r="MZ150" s="72"/>
      <c r="NA150" s="72"/>
      <c r="NB150" s="72"/>
      <c r="NC150" s="72"/>
      <c r="ND150" s="72"/>
      <c r="NE150" s="72"/>
      <c r="NF150" s="72"/>
      <c r="NG150" s="72"/>
      <c r="NH150" s="72"/>
      <c r="NI150" s="72"/>
      <c r="NJ150" s="72"/>
      <c r="NK150" s="72"/>
      <c r="NL150" s="72"/>
      <c r="NM150" s="72"/>
      <c r="NN150" s="72"/>
      <c r="NO150" s="72"/>
      <c r="NP150" s="72"/>
      <c r="NQ150" s="72"/>
      <c r="NR150" s="72"/>
      <c r="NS150" s="72"/>
      <c r="NT150" s="72"/>
      <c r="NU150" s="72"/>
      <c r="NV150" s="72"/>
      <c r="NW150" s="72"/>
      <c r="NX150" s="72"/>
      <c r="NY150" s="72"/>
      <c r="NZ150" s="72"/>
      <c r="OA150" s="72"/>
      <c r="OB150" s="72"/>
      <c r="OC150" s="72"/>
      <c r="OD150" s="72"/>
      <c r="OE150" s="72"/>
      <c r="OF150" s="72"/>
      <c r="OG150" s="72"/>
      <c r="OH150" s="72"/>
      <c r="OI150" s="72"/>
      <c r="OJ150" s="72"/>
      <c r="OK150" s="72"/>
      <c r="OL150" s="72"/>
      <c r="OM150" s="72"/>
      <c r="ON150" s="72"/>
      <c r="OO150" s="72"/>
      <c r="OP150" s="72"/>
      <c r="OQ150" s="72"/>
      <c r="OR150" s="72"/>
      <c r="OS150" s="72"/>
      <c r="OT150" s="72"/>
      <c r="OU150" s="72"/>
      <c r="OV150" s="72"/>
      <c r="OW150" s="72"/>
      <c r="OX150" s="72"/>
      <c r="OY150" s="72"/>
      <c r="OZ150" s="72"/>
      <c r="PA150" s="72"/>
      <c r="PB150" s="72"/>
      <c r="PC150" s="72"/>
      <c r="PD150" s="72"/>
      <c r="PE150" s="72"/>
      <c r="PF150" s="72"/>
      <c r="PG150" s="72"/>
      <c r="PH150" s="72"/>
      <c r="PI150" s="72"/>
      <c r="PJ150" s="72"/>
      <c r="PK150" s="72"/>
      <c r="PL150" s="72"/>
      <c r="PM150" s="72"/>
      <c r="PN150" s="72"/>
      <c r="PO150" s="72"/>
      <c r="PP150" s="72"/>
      <c r="PQ150" s="72"/>
      <c r="PR150" s="72"/>
      <c r="PS150" s="72"/>
      <c r="PT150" s="72"/>
      <c r="PU150" s="72"/>
      <c r="PV150" s="72"/>
      <c r="PW150" s="72"/>
      <c r="PX150" s="72"/>
      <c r="PY150" s="72"/>
      <c r="PZ150" s="72"/>
      <c r="QA150" s="72"/>
      <c r="QB150" s="72"/>
      <c r="QC150" s="72"/>
      <c r="QD150" s="72"/>
      <c r="QE150" s="72"/>
      <c r="QF150" s="72"/>
      <c r="QG150" s="72"/>
      <c r="QH150" s="72"/>
      <c r="QI150" s="72"/>
      <c r="QJ150" s="72"/>
      <c r="QK150" s="72"/>
      <c r="QL150" s="72"/>
      <c r="QM150" s="72"/>
      <c r="QN150" s="72"/>
      <c r="QO150" s="72"/>
      <c r="QP150" s="72"/>
      <c r="QQ150" s="72"/>
      <c r="QR150" s="72"/>
      <c r="QS150" s="72"/>
      <c r="QT150" s="72"/>
      <c r="QU150" s="72"/>
      <c r="QV150" s="72"/>
      <c r="QW150" s="72"/>
      <c r="QX150" s="72"/>
      <c r="QY150" s="72"/>
      <c r="QZ150" s="72"/>
      <c r="RA150" s="72"/>
      <c r="RB150" s="72"/>
      <c r="RC150" s="72"/>
      <c r="RD150" s="72"/>
      <c r="RE150" s="72"/>
      <c r="RF150" s="72"/>
      <c r="RG150" s="72"/>
      <c r="RH150" s="72"/>
      <c r="RI150" s="72"/>
      <c r="RJ150" s="72"/>
      <c r="RK150" s="72"/>
      <c r="RL150" s="72"/>
      <c r="RM150" s="72"/>
      <c r="RN150" s="72"/>
      <c r="RO150" s="72"/>
      <c r="RP150" s="72"/>
      <c r="RQ150" s="72"/>
      <c r="RR150" s="72"/>
      <c r="RS150" s="72"/>
      <c r="RT150" s="72"/>
      <c r="RU150" s="72"/>
      <c r="RV150" s="72"/>
      <c r="RW150" s="72"/>
      <c r="RX150" s="72"/>
      <c r="RY150" s="72"/>
      <c r="RZ150" s="72"/>
      <c r="SA150" s="72"/>
      <c r="SB150" s="72"/>
      <c r="SC150" s="72"/>
      <c r="SD150" s="72"/>
      <c r="SE150" s="72"/>
      <c r="SF150" s="72"/>
      <c r="SG150" s="72"/>
      <c r="SH150" s="72"/>
      <c r="SI150" s="72"/>
      <c r="SJ150" s="72"/>
      <c r="SK150" s="72"/>
      <c r="SL150" s="72"/>
      <c r="SM150" s="72"/>
      <c r="SN150" s="72"/>
      <c r="SO150" s="72"/>
      <c r="SP150" s="72"/>
      <c r="SQ150" s="72"/>
      <c r="SR150" s="72"/>
      <c r="SS150" s="72"/>
      <c r="ST150" s="72"/>
      <c r="SU150" s="72"/>
      <c r="SV150" s="72"/>
      <c r="SW150" s="72"/>
      <c r="SX150" s="72"/>
      <c r="SY150" s="72"/>
      <c r="SZ150" s="72"/>
      <c r="TA150" s="72"/>
      <c r="TB150" s="72"/>
      <c r="TC150" s="72"/>
      <c r="TD150" s="72"/>
      <c r="TE150" s="72"/>
      <c r="TF150" s="72"/>
      <c r="TG150" s="72"/>
      <c r="TH150" s="72"/>
      <c r="TI150" s="72"/>
      <c r="TJ150" s="72"/>
      <c r="TK150" s="72"/>
      <c r="TL150" s="72"/>
      <c r="TM150" s="72"/>
      <c r="TN150" s="72"/>
      <c r="TO150" s="72"/>
      <c r="TP150" s="72"/>
      <c r="TQ150" s="72"/>
      <c r="TR150" s="72"/>
      <c r="TS150" s="72"/>
      <c r="TT150" s="72"/>
      <c r="TU150" s="72"/>
      <c r="TV150" s="72"/>
      <c r="TW150" s="72"/>
      <c r="TX150" s="72"/>
      <c r="TY150" s="72"/>
      <c r="TZ150" s="72"/>
      <c r="UA150" s="72"/>
      <c r="UB150" s="72"/>
      <c r="UC150" s="72"/>
      <c r="UD150" s="72"/>
      <c r="UE150" s="72"/>
      <c r="UF150" s="72"/>
      <c r="UG150" s="72"/>
      <c r="UH150" s="72"/>
      <c r="UI150" s="72"/>
      <c r="UJ150" s="72"/>
      <c r="UK150" s="72"/>
      <c r="UL150" s="72"/>
      <c r="UM150" s="72"/>
      <c r="UN150" s="72"/>
      <c r="UO150" s="72"/>
      <c r="UP150" s="72"/>
      <c r="UQ150" s="72"/>
      <c r="UR150" s="72"/>
      <c r="US150" s="72"/>
      <c r="UT150" s="72"/>
      <c r="UU150" s="72"/>
      <c r="UV150" s="72"/>
      <c r="UW150" s="72"/>
      <c r="UX150" s="72"/>
      <c r="UY150" s="72"/>
      <c r="UZ150" s="72"/>
      <c r="VA150" s="72"/>
      <c r="VB150" s="72"/>
      <c r="VC150" s="72"/>
      <c r="VD150" s="72"/>
      <c r="VE150" s="72"/>
      <c r="VF150" s="72"/>
      <c r="VG150" s="72"/>
      <c r="VH150" s="72"/>
      <c r="VI150" s="72"/>
      <c r="VJ150" s="72"/>
      <c r="VK150" s="72"/>
      <c r="VL150" s="72"/>
      <c r="VM150" s="72"/>
      <c r="VN150" s="72"/>
      <c r="VO150" s="72"/>
      <c r="VP150" s="72"/>
      <c r="VQ150" s="72"/>
      <c r="VR150" s="72"/>
      <c r="VS150" s="72"/>
      <c r="VT150" s="72"/>
      <c r="VU150" s="72"/>
      <c r="VV150" s="72"/>
      <c r="VW150" s="72"/>
      <c r="VX150" s="72"/>
      <c r="VY150" s="72"/>
      <c r="VZ150" s="72"/>
      <c r="WA150" s="72"/>
      <c r="WB150" s="72"/>
      <c r="WC150" s="72"/>
      <c r="WD150" s="72"/>
      <c r="WE150" s="72"/>
      <c r="WF150" s="72"/>
      <c r="WG150" s="72"/>
      <c r="WH150" s="72"/>
      <c r="WI150" s="72"/>
      <c r="WJ150" s="72"/>
      <c r="WK150" s="72"/>
      <c r="WL150" s="72"/>
      <c r="WM150" s="72"/>
      <c r="WN150" s="72"/>
      <c r="WO150" s="72"/>
      <c r="WP150" s="72"/>
      <c r="WQ150" s="72"/>
      <c r="WR150" s="72"/>
      <c r="WS150" s="72"/>
      <c r="WT150" s="72"/>
      <c r="WU150" s="72"/>
      <c r="WV150" s="72"/>
      <c r="WW150" s="72"/>
      <c r="WX150" s="72"/>
      <c r="WY150" s="72"/>
      <c r="WZ150" s="72"/>
      <c r="XA150" s="72"/>
      <c r="XB150" s="72"/>
      <c r="XC150" s="72"/>
      <c r="XD150" s="72"/>
      <c r="XE150" s="72"/>
      <c r="XF150" s="72"/>
      <c r="XG150" s="72"/>
      <c r="XH150" s="72"/>
      <c r="XI150" s="72"/>
      <c r="XJ150" s="72"/>
      <c r="XK150" s="72"/>
      <c r="XL150" s="72"/>
      <c r="XM150" s="72"/>
      <c r="XN150" s="72"/>
      <c r="XO150" s="72"/>
      <c r="XP150" s="72"/>
      <c r="XQ150" s="72"/>
      <c r="XR150" s="72"/>
      <c r="XS150" s="72"/>
      <c r="XT150" s="72"/>
      <c r="XU150" s="72"/>
      <c r="XV150" s="72"/>
      <c r="XW150" s="72"/>
      <c r="XX150" s="72"/>
      <c r="XY150" s="72"/>
      <c r="XZ150" s="72"/>
      <c r="YA150" s="72"/>
      <c r="YB150" s="72"/>
      <c r="YC150" s="72"/>
      <c r="YD150" s="72"/>
      <c r="YE150" s="72"/>
      <c r="YF150" s="72"/>
      <c r="YG150" s="72"/>
      <c r="YH150" s="72"/>
      <c r="YI150" s="72"/>
      <c r="YJ150" s="72"/>
      <c r="YK150" s="72"/>
      <c r="YL150" s="72"/>
      <c r="YM150" s="72"/>
      <c r="YN150" s="72"/>
      <c r="YO150" s="72"/>
      <c r="YP150" s="72"/>
      <c r="YQ150" s="72"/>
      <c r="YR150" s="72"/>
      <c r="YS150" s="72"/>
      <c r="YT150" s="72"/>
      <c r="YU150" s="72"/>
      <c r="YV150" s="72"/>
      <c r="YW150" s="72"/>
      <c r="YX150" s="72"/>
      <c r="YY150" s="72"/>
      <c r="YZ150" s="72"/>
      <c r="ZA150" s="72"/>
      <c r="ZB150" s="72"/>
      <c r="ZC150" s="72"/>
      <c r="ZD150" s="72"/>
      <c r="ZE150" s="72"/>
      <c r="ZF150" s="72"/>
      <c r="ZG150" s="72"/>
      <c r="ZH150" s="72"/>
      <c r="ZI150" s="72"/>
      <c r="ZJ150" s="72"/>
      <c r="ZK150" s="72"/>
      <c r="ZL150" s="72"/>
      <c r="ZM150" s="72"/>
      <c r="ZN150" s="72"/>
      <c r="ZO150" s="72"/>
      <c r="ZP150" s="72"/>
      <c r="ZQ150" s="72"/>
      <c r="ZR150" s="72"/>
      <c r="ZS150" s="72"/>
      <c r="ZT150" s="72"/>
      <c r="ZU150" s="72"/>
      <c r="ZV150" s="72"/>
      <c r="ZW150" s="72"/>
      <c r="ZX150" s="72"/>
      <c r="ZY150" s="72"/>
      <c r="ZZ150" s="72"/>
      <c r="AAA150" s="72"/>
      <c r="AAB150" s="72"/>
      <c r="AAC150" s="72"/>
      <c r="AAD150" s="72"/>
      <c r="AAE150" s="72"/>
      <c r="AAF150" s="72"/>
      <c r="AAG150" s="72"/>
      <c r="AAH150" s="72"/>
      <c r="AAI150" s="72"/>
      <c r="AAJ150" s="72"/>
      <c r="AAK150" s="72"/>
      <c r="AAL150" s="72"/>
      <c r="AAM150" s="72"/>
      <c r="AAN150" s="72"/>
      <c r="AAO150" s="72"/>
      <c r="AAP150" s="72"/>
      <c r="AAQ150" s="72"/>
      <c r="AAR150" s="72"/>
      <c r="AAS150" s="72"/>
      <c r="AAT150" s="72"/>
      <c r="AAU150" s="72"/>
      <c r="AAV150" s="72"/>
      <c r="AAW150" s="72"/>
      <c r="AAX150" s="72"/>
      <c r="AAY150" s="72"/>
      <c r="AAZ150" s="72"/>
      <c r="ABA150" s="72"/>
      <c r="ABB150" s="72"/>
      <c r="ABC150" s="72"/>
      <c r="ABD150" s="72"/>
      <c r="ABE150" s="72"/>
      <c r="ABF150" s="72"/>
      <c r="ABG150" s="72"/>
      <c r="ABH150" s="72"/>
      <c r="ABI150" s="72"/>
      <c r="ABJ150" s="72"/>
      <c r="ABK150" s="72"/>
      <c r="ABL150" s="72"/>
      <c r="ABM150" s="72"/>
      <c r="ABN150" s="72"/>
      <c r="ABO150" s="72"/>
      <c r="ABP150" s="72"/>
      <c r="ABQ150" s="72"/>
      <c r="ABR150" s="72"/>
      <c r="ABS150" s="72"/>
      <c r="ABT150" s="72"/>
      <c r="ABU150" s="72"/>
      <c r="ABV150" s="72"/>
      <c r="ABW150" s="72"/>
      <c r="ABX150" s="72"/>
      <c r="ABY150" s="72"/>
      <c r="ABZ150" s="72"/>
      <c r="ACA150" s="72"/>
      <c r="ACB150" s="72"/>
      <c r="ACC150" s="72"/>
      <c r="ACD150" s="72"/>
      <c r="ACE150" s="72"/>
      <c r="ACF150" s="72"/>
      <c r="ACG150" s="72"/>
      <c r="ACH150" s="72"/>
      <c r="ACI150" s="72"/>
      <c r="ACJ150" s="72"/>
      <c r="ACK150" s="72"/>
      <c r="ACL150" s="72"/>
      <c r="ACM150" s="72"/>
      <c r="ACN150" s="72"/>
      <c r="ACO150" s="72"/>
      <c r="ACP150" s="72"/>
      <c r="ACQ150" s="72"/>
      <c r="ACR150" s="72"/>
      <c r="ACS150" s="72"/>
      <c r="ACT150" s="72"/>
      <c r="ACU150" s="72"/>
      <c r="ACV150" s="72"/>
      <c r="ACW150" s="72"/>
      <c r="ACX150" s="72"/>
      <c r="ACY150" s="72"/>
      <c r="ACZ150" s="72"/>
      <c r="ADA150" s="72"/>
      <c r="ADB150" s="72"/>
      <c r="ADC150" s="72"/>
      <c r="ADD150" s="72"/>
      <c r="ADE150" s="72"/>
      <c r="ADF150" s="72"/>
      <c r="ADG150" s="72"/>
      <c r="ADH150" s="72"/>
      <c r="ADI150" s="72"/>
      <c r="ADJ150" s="72"/>
      <c r="ADK150" s="72"/>
      <c r="ADL150" s="72"/>
      <c r="ADM150" s="72"/>
      <c r="ADN150" s="72"/>
      <c r="ADO150" s="72"/>
      <c r="ADP150" s="72"/>
      <c r="ADQ150" s="72"/>
      <c r="ADR150" s="72"/>
      <c r="ADS150" s="72"/>
      <c r="ADT150" s="72"/>
      <c r="ADU150" s="72"/>
      <c r="ADV150" s="72"/>
      <c r="ADW150" s="72"/>
      <c r="ADX150" s="72"/>
      <c r="ADY150" s="72"/>
      <c r="ADZ150" s="72"/>
      <c r="AEA150" s="72"/>
      <c r="AEB150" s="72"/>
      <c r="AEC150" s="72"/>
      <c r="AED150" s="72"/>
      <c r="AEE150" s="72"/>
      <c r="AEF150" s="72"/>
      <c r="AEG150" s="72"/>
      <c r="AEH150" s="72"/>
      <c r="AEI150" s="72"/>
      <c r="AEJ150" s="72"/>
      <c r="AEK150" s="72"/>
      <c r="AEL150" s="72"/>
      <c r="AEM150" s="72"/>
      <c r="AEN150" s="72"/>
      <c r="AEO150" s="72"/>
      <c r="AEP150" s="72"/>
      <c r="AEQ150" s="72"/>
      <c r="AER150" s="72"/>
      <c r="AES150" s="72"/>
      <c r="AET150" s="72"/>
      <c r="AEU150" s="72"/>
      <c r="AEV150" s="72"/>
      <c r="AEW150" s="72"/>
      <c r="AEX150" s="72"/>
      <c r="AEY150" s="72"/>
      <c r="AEZ150" s="72"/>
      <c r="AFA150" s="72"/>
      <c r="AFB150" s="72"/>
      <c r="AFC150" s="72"/>
      <c r="AFD150" s="72"/>
      <c r="AFE150" s="72"/>
      <c r="AFF150" s="72"/>
      <c r="AFG150" s="72"/>
      <c r="AFH150" s="72"/>
      <c r="AFI150" s="72"/>
      <c r="AFJ150" s="72"/>
      <c r="AFK150" s="72"/>
      <c r="AFL150" s="72"/>
      <c r="AFM150" s="72"/>
      <c r="AFN150" s="72"/>
      <c r="AFO150" s="72"/>
      <c r="AFP150" s="72"/>
      <c r="AFQ150" s="72"/>
      <c r="AFR150" s="72"/>
      <c r="AFS150" s="72"/>
      <c r="AFT150" s="72"/>
      <c r="AFU150" s="72"/>
      <c r="AFV150" s="72"/>
      <c r="AFW150" s="72"/>
      <c r="AFX150" s="72"/>
      <c r="AFY150" s="72"/>
      <c r="AFZ150" s="72"/>
      <c r="AGA150" s="72"/>
      <c r="AGB150" s="72"/>
      <c r="AGC150" s="72"/>
      <c r="AGD150" s="72"/>
      <c r="AGE150" s="72"/>
      <c r="AGF150" s="72"/>
      <c r="AGG150" s="72"/>
      <c r="AGH150" s="72"/>
      <c r="AGI150" s="72"/>
      <c r="AGJ150" s="72"/>
      <c r="AGK150" s="72"/>
      <c r="AGL150" s="72"/>
      <c r="AGM150" s="72"/>
      <c r="AGN150" s="72"/>
      <c r="AGO150" s="72"/>
      <c r="AGP150" s="72"/>
      <c r="AGQ150" s="72"/>
      <c r="AGR150" s="72"/>
      <c r="AGS150" s="72"/>
      <c r="AGT150" s="72"/>
      <c r="AGU150" s="72"/>
      <c r="AGV150" s="72"/>
      <c r="AGW150" s="72"/>
      <c r="AGX150" s="72"/>
      <c r="AGY150" s="72"/>
      <c r="AGZ150" s="72"/>
      <c r="AHA150" s="72"/>
      <c r="AHB150" s="72"/>
      <c r="AHC150" s="72"/>
      <c r="AHD150" s="72"/>
      <c r="AHE150" s="72"/>
      <c r="AHF150" s="72"/>
      <c r="AHG150" s="72"/>
      <c r="AHH150" s="72"/>
      <c r="AHI150" s="72"/>
      <c r="AHJ150" s="72"/>
      <c r="AHK150" s="72"/>
      <c r="AHL150" s="72"/>
      <c r="AHM150" s="72"/>
      <c r="AHN150" s="72"/>
      <c r="AHO150" s="72"/>
      <c r="AHP150" s="72"/>
      <c r="AHQ150" s="72"/>
      <c r="AHR150" s="72"/>
      <c r="AHS150" s="72"/>
      <c r="AHT150" s="72"/>
      <c r="AHU150" s="72"/>
      <c r="AHV150" s="72"/>
      <c r="AHW150" s="72"/>
      <c r="AHX150" s="72"/>
      <c r="AHY150" s="72"/>
      <c r="AHZ150" s="72"/>
      <c r="AIA150" s="72"/>
      <c r="AIB150" s="72"/>
      <c r="AIC150" s="72"/>
      <c r="AID150" s="72"/>
      <c r="AIE150" s="72"/>
      <c r="AIF150" s="72"/>
      <c r="AIG150" s="72"/>
      <c r="AIH150" s="72"/>
      <c r="AII150" s="72"/>
      <c r="AIJ150" s="72"/>
      <c r="AIK150" s="72"/>
      <c r="AIL150" s="72"/>
      <c r="AIM150" s="72"/>
      <c r="AIN150" s="72"/>
      <c r="AIO150" s="72"/>
      <c r="AIP150" s="72"/>
      <c r="AIQ150" s="72"/>
      <c r="AIR150" s="72"/>
      <c r="AIS150" s="72"/>
      <c r="AIT150" s="72"/>
      <c r="AIU150" s="72"/>
      <c r="AIV150" s="72"/>
      <c r="AIW150" s="72"/>
      <c r="AIX150" s="72"/>
      <c r="AIY150" s="72"/>
      <c r="AIZ150" s="72"/>
      <c r="AJA150" s="72"/>
      <c r="AJB150" s="72"/>
      <c r="AJC150" s="72"/>
      <c r="AJD150" s="72"/>
      <c r="AJE150" s="72"/>
      <c r="AJF150" s="72"/>
      <c r="AJG150" s="72"/>
      <c r="AJH150" s="72"/>
      <c r="AJI150" s="72"/>
      <c r="AJJ150" s="72"/>
      <c r="AJK150" s="72"/>
      <c r="AJL150" s="72"/>
      <c r="AJM150" s="72"/>
      <c r="AJN150" s="72"/>
      <c r="AJO150" s="72"/>
      <c r="AJP150" s="72"/>
      <c r="AJQ150" s="72"/>
      <c r="AJR150" s="72"/>
      <c r="AJS150" s="72"/>
      <c r="AJT150" s="72"/>
      <c r="AJU150" s="72"/>
      <c r="AJV150" s="72"/>
      <c r="AJW150" s="72"/>
      <c r="AJX150" s="72"/>
      <c r="AJY150" s="72"/>
      <c r="AJZ150" s="72"/>
      <c r="AKA150" s="72"/>
      <c r="AKB150" s="72"/>
      <c r="AKC150" s="72"/>
      <c r="AKD150" s="72"/>
      <c r="AKE150" s="72"/>
      <c r="AKF150" s="72"/>
      <c r="AKG150" s="72"/>
      <c r="AKH150" s="72"/>
      <c r="AKI150" s="72"/>
      <c r="AKJ150" s="72"/>
      <c r="AKK150" s="72"/>
      <c r="AKL150" s="72"/>
      <c r="AKM150" s="72"/>
      <c r="AKN150" s="72"/>
      <c r="AKO150" s="72"/>
      <c r="AKP150" s="72"/>
      <c r="AKQ150" s="72"/>
      <c r="AKR150" s="72"/>
      <c r="AKS150" s="72"/>
      <c r="AKT150" s="72"/>
      <c r="AKU150" s="72"/>
      <c r="AKV150" s="72"/>
      <c r="AKW150" s="72"/>
      <c r="AKX150" s="72"/>
      <c r="AKY150" s="72"/>
      <c r="AKZ150" s="72"/>
      <c r="ALA150" s="72"/>
      <c r="ALB150" s="72"/>
      <c r="ALC150" s="72"/>
      <c r="ALD150" s="72"/>
      <c r="ALE150" s="72"/>
      <c r="ALF150" s="72"/>
      <c r="ALG150" s="72"/>
      <c r="ALH150" s="72"/>
      <c r="ALI150" s="72"/>
      <c r="ALJ150" s="72"/>
      <c r="ALK150" s="72"/>
      <c r="ALL150" s="72"/>
      <c r="ALM150" s="72"/>
      <c r="ALN150" s="72"/>
      <c r="ALO150" s="72"/>
      <c r="ALP150" s="72"/>
      <c r="ALQ150" s="72"/>
      <c r="ALR150" s="72"/>
      <c r="ALS150" s="72"/>
      <c r="ALT150" s="72"/>
      <c r="ALU150" s="72"/>
      <c r="ALV150" s="72"/>
      <c r="ALW150" s="72"/>
      <c r="ALX150" s="72"/>
      <c r="ALY150" s="72"/>
      <c r="ALZ150" s="72"/>
      <c r="AMA150" s="72"/>
      <c r="AMB150" s="72"/>
      <c r="AMC150" s="72"/>
      <c r="AMD150" s="72"/>
      <c r="AME150" s="72"/>
      <c r="AMF150" s="72"/>
      <c r="AMG150" s="72"/>
      <c r="AMH150" s="72"/>
      <c r="AMI150" s="72"/>
      <c r="AMJ150" s="72"/>
      <c r="AMK150" s="72"/>
      <c r="AML150" s="72"/>
      <c r="AMM150" s="72"/>
      <c r="AMN150" s="72"/>
      <c r="AMO150" s="72"/>
      <c r="AMP150" s="72"/>
      <c r="AMQ150" s="72"/>
      <c r="AMR150" s="72"/>
      <c r="AMS150" s="72"/>
      <c r="AMT150" s="72"/>
      <c r="AMU150" s="72"/>
      <c r="AMV150" s="72"/>
      <c r="AMW150" s="72"/>
      <c r="AMX150" s="72"/>
      <c r="AMY150" s="72"/>
      <c r="AMZ150" s="72"/>
      <c r="ANA150" s="72"/>
      <c r="ANB150" s="72"/>
      <c r="ANC150" s="72"/>
      <c r="AND150" s="72"/>
      <c r="ANE150" s="72"/>
      <c r="ANF150" s="72"/>
      <c r="ANG150" s="72"/>
      <c r="ANH150" s="72"/>
      <c r="ANI150" s="72"/>
      <c r="ANJ150" s="72"/>
      <c r="ANK150" s="72"/>
      <c r="ANL150" s="72"/>
      <c r="ANM150" s="72"/>
      <c r="ANN150" s="72"/>
      <c r="ANO150" s="72"/>
      <c r="ANP150" s="72"/>
      <c r="ANQ150" s="72"/>
      <c r="ANR150" s="72"/>
      <c r="ANS150" s="72"/>
      <c r="ANT150" s="72"/>
      <c r="ANU150" s="72"/>
      <c r="ANV150" s="72"/>
      <c r="ANW150" s="72"/>
      <c r="ANX150" s="72"/>
      <c r="ANY150" s="72"/>
      <c r="ANZ150" s="72"/>
      <c r="AOA150" s="72"/>
      <c r="AOB150" s="72"/>
      <c r="AOC150" s="72"/>
      <c r="AOD150" s="72"/>
      <c r="AOE150" s="72"/>
      <c r="AOF150" s="72"/>
      <c r="AOG150" s="72"/>
      <c r="AOH150" s="72"/>
      <c r="AOI150" s="72"/>
      <c r="AOJ150" s="72"/>
      <c r="AOK150" s="72"/>
      <c r="AOL150" s="72"/>
      <c r="AOM150" s="72"/>
      <c r="AON150" s="72"/>
      <c r="AOO150" s="72"/>
      <c r="AOP150" s="72"/>
      <c r="AOQ150" s="72"/>
      <c r="AOR150" s="72"/>
      <c r="AOS150" s="72"/>
      <c r="AOT150" s="72"/>
      <c r="AOU150" s="72"/>
      <c r="AOV150" s="72"/>
      <c r="AOW150" s="72"/>
      <c r="AOX150" s="72"/>
      <c r="AOY150" s="72"/>
      <c r="AOZ150" s="72"/>
      <c r="APA150" s="72"/>
      <c r="APB150" s="72"/>
      <c r="APC150" s="72"/>
      <c r="APD150" s="72"/>
      <c r="APE150" s="72"/>
      <c r="APF150" s="72"/>
      <c r="APG150" s="72"/>
      <c r="APH150" s="72"/>
      <c r="API150" s="72"/>
      <c r="APJ150" s="72"/>
      <c r="APK150" s="72"/>
      <c r="APL150" s="72"/>
      <c r="APM150" s="72"/>
      <c r="APN150" s="72"/>
      <c r="APO150" s="72"/>
      <c r="APP150" s="72"/>
      <c r="APQ150" s="72"/>
      <c r="APR150" s="72"/>
      <c r="APS150" s="72"/>
      <c r="APT150" s="72"/>
      <c r="APU150" s="72"/>
      <c r="APV150" s="72"/>
      <c r="APW150" s="72"/>
      <c r="APX150" s="72"/>
      <c r="APY150" s="72"/>
      <c r="APZ150" s="72"/>
      <c r="AQA150" s="72"/>
      <c r="AQB150" s="72"/>
      <c r="AQC150" s="72"/>
      <c r="AQD150" s="72"/>
      <c r="AQE150" s="72"/>
      <c r="AQF150" s="72"/>
      <c r="AQG150" s="72"/>
      <c r="AQH150" s="72"/>
      <c r="AQI150" s="72"/>
      <c r="AQJ150" s="72"/>
      <c r="AQK150" s="72"/>
      <c r="AQL150" s="72"/>
      <c r="AQM150" s="72"/>
      <c r="AQN150" s="72"/>
      <c r="AQO150" s="72"/>
      <c r="AQP150" s="72"/>
      <c r="AQQ150" s="72"/>
      <c r="AQR150" s="72"/>
      <c r="AQS150" s="72"/>
      <c r="AQT150" s="72"/>
      <c r="AQU150" s="72"/>
      <c r="AQV150" s="72"/>
      <c r="AQW150" s="72"/>
      <c r="AQX150" s="72"/>
      <c r="AQY150" s="72"/>
      <c r="AQZ150" s="72"/>
      <c r="ARA150" s="72"/>
      <c r="ARB150" s="72"/>
      <c r="ARC150" s="72"/>
      <c r="ARD150" s="72"/>
      <c r="ARE150" s="72"/>
      <c r="ARF150" s="72"/>
      <c r="ARG150" s="72"/>
      <c r="ARH150" s="72"/>
      <c r="ARI150" s="72"/>
      <c r="ARJ150" s="72"/>
      <c r="ARK150" s="72"/>
      <c r="ARL150" s="72"/>
      <c r="ARM150" s="72"/>
      <c r="ARN150" s="72"/>
      <c r="ARO150" s="72"/>
      <c r="ARP150" s="72"/>
      <c r="ARQ150" s="72"/>
      <c r="ARR150" s="72"/>
      <c r="ARS150" s="72"/>
      <c r="ART150" s="72"/>
      <c r="ARU150" s="72"/>
      <c r="ARV150" s="72"/>
      <c r="ARW150" s="72"/>
      <c r="ARX150" s="72"/>
      <c r="ARY150" s="72"/>
      <c r="ARZ150" s="72"/>
      <c r="ASA150" s="72"/>
      <c r="ASB150" s="72"/>
      <c r="ASC150" s="72"/>
      <c r="ASD150" s="72"/>
      <c r="ASE150" s="72"/>
      <c r="ASF150" s="72"/>
      <c r="ASG150" s="72"/>
      <c r="ASH150" s="72"/>
      <c r="ASI150" s="72"/>
      <c r="ASJ150" s="72"/>
      <c r="ASK150" s="72"/>
      <c r="ASL150" s="72"/>
      <c r="ASM150" s="72"/>
      <c r="ASN150" s="72"/>
      <c r="ASO150" s="72"/>
      <c r="ASP150" s="72"/>
      <c r="ASQ150" s="72"/>
      <c r="ASR150" s="72"/>
      <c r="ASS150" s="72"/>
      <c r="AST150" s="72"/>
      <c r="ASU150" s="72"/>
      <c r="ASV150" s="72"/>
      <c r="ASW150" s="72"/>
      <c r="ASX150" s="72"/>
      <c r="ASY150" s="72"/>
      <c r="ASZ150" s="72"/>
      <c r="ATA150" s="72"/>
      <c r="ATB150" s="72"/>
      <c r="ATC150" s="72"/>
      <c r="ATD150" s="72"/>
      <c r="ATE150" s="72"/>
      <c r="ATF150" s="72"/>
      <c r="ATG150" s="72"/>
      <c r="ATH150" s="72"/>
      <c r="ATI150" s="72"/>
      <c r="ATJ150" s="72"/>
      <c r="ATK150" s="72"/>
      <c r="ATL150" s="72"/>
      <c r="ATM150" s="72"/>
      <c r="ATN150" s="72"/>
      <c r="ATO150" s="72"/>
      <c r="ATP150" s="72"/>
      <c r="ATQ150" s="72"/>
      <c r="ATR150" s="72"/>
      <c r="ATS150" s="72"/>
      <c r="ATT150" s="72"/>
      <c r="ATU150" s="72"/>
      <c r="ATV150" s="72"/>
      <c r="ATW150" s="72"/>
      <c r="ATX150" s="72"/>
      <c r="ATY150" s="72"/>
      <c r="ATZ150" s="72"/>
      <c r="AUA150" s="72"/>
      <c r="AUB150" s="72"/>
      <c r="AUC150" s="72"/>
      <c r="AUD150" s="72"/>
      <c r="AUE150" s="72"/>
      <c r="AUF150" s="72"/>
      <c r="AUG150" s="72"/>
      <c r="AUH150" s="72"/>
      <c r="AUI150" s="72"/>
      <c r="AUJ150" s="72"/>
      <c r="AUK150" s="72"/>
      <c r="AUL150" s="72"/>
      <c r="AUM150" s="72"/>
      <c r="AUN150" s="72"/>
      <c r="AUO150" s="72"/>
      <c r="AUP150" s="72"/>
      <c r="AUQ150" s="72"/>
      <c r="AUR150" s="72"/>
      <c r="AUS150" s="72"/>
      <c r="AUT150" s="72"/>
      <c r="AUU150" s="72"/>
      <c r="AUV150" s="72"/>
      <c r="AUW150" s="72"/>
      <c r="AUX150" s="72"/>
      <c r="AUY150" s="72"/>
      <c r="AUZ150" s="72"/>
      <c r="AVA150" s="72"/>
      <c r="AVB150" s="72"/>
      <c r="AVC150" s="72"/>
      <c r="AVD150" s="72"/>
      <c r="AVE150" s="72"/>
      <c r="AVF150" s="72"/>
      <c r="AVG150" s="72"/>
      <c r="AVH150" s="72"/>
      <c r="AVI150" s="72"/>
      <c r="AVJ150" s="72"/>
      <c r="AVK150" s="72"/>
      <c r="AVL150" s="72"/>
      <c r="AVM150" s="72"/>
      <c r="AVN150" s="72"/>
      <c r="AVO150" s="72"/>
      <c r="AVP150" s="72"/>
      <c r="AVQ150" s="72"/>
      <c r="AVR150" s="72"/>
      <c r="AVS150" s="72"/>
      <c r="AVT150" s="72"/>
      <c r="AVU150" s="72"/>
      <c r="AVV150" s="72"/>
      <c r="AVW150" s="72"/>
      <c r="AVX150" s="72"/>
      <c r="AVY150" s="72"/>
      <c r="AVZ150" s="72"/>
      <c r="AWA150" s="72"/>
      <c r="AWB150" s="72"/>
      <c r="AWC150" s="72"/>
      <c r="AWD150" s="72"/>
      <c r="AWE150" s="72"/>
      <c r="AWF150" s="72"/>
      <c r="AWG150" s="72"/>
      <c r="AWH150" s="72"/>
      <c r="AWI150" s="72"/>
      <c r="AWJ150" s="72"/>
      <c r="AWK150" s="72"/>
      <c r="AWL150" s="72"/>
      <c r="AWM150" s="72"/>
      <c r="AWN150" s="72"/>
      <c r="AWO150" s="72"/>
      <c r="AWP150" s="72"/>
      <c r="AWQ150" s="72"/>
      <c r="AWR150" s="72"/>
      <c r="AWS150" s="72"/>
      <c r="AWT150" s="72"/>
      <c r="AWU150" s="72"/>
      <c r="AWV150" s="72"/>
      <c r="AWW150" s="72"/>
      <c r="AWX150" s="72"/>
      <c r="AWY150" s="72"/>
      <c r="AWZ150" s="72"/>
      <c r="AXA150" s="72"/>
      <c r="AXB150" s="72"/>
      <c r="AXC150" s="72"/>
      <c r="AXD150" s="72"/>
      <c r="AXE150" s="72"/>
      <c r="AXF150" s="72"/>
      <c r="AXG150" s="72"/>
      <c r="AXH150" s="72"/>
      <c r="AXI150" s="72"/>
      <c r="AXJ150" s="72"/>
      <c r="AXK150" s="72"/>
      <c r="AXL150" s="72"/>
      <c r="AXM150" s="72"/>
      <c r="AXN150" s="72"/>
      <c r="AXO150" s="72"/>
      <c r="AXP150" s="72"/>
      <c r="AXQ150" s="72"/>
      <c r="AXR150" s="72"/>
      <c r="AXS150" s="72"/>
      <c r="AXT150" s="72"/>
      <c r="AXU150" s="72"/>
      <c r="AXV150" s="72"/>
      <c r="AXW150" s="72"/>
      <c r="AXX150" s="72"/>
      <c r="AXY150" s="72"/>
      <c r="AXZ150" s="72"/>
      <c r="AYA150" s="72"/>
      <c r="AYB150" s="72"/>
      <c r="AYC150" s="72"/>
      <c r="AYD150" s="72"/>
      <c r="AYE150" s="72"/>
      <c r="AYF150" s="72"/>
      <c r="AYG150" s="72"/>
      <c r="AYH150" s="72"/>
      <c r="AYI150" s="72"/>
      <c r="AYJ150" s="72"/>
      <c r="AYK150" s="72"/>
      <c r="AYL150" s="72"/>
      <c r="AYM150" s="72"/>
      <c r="AYN150" s="72"/>
      <c r="AYO150" s="72"/>
      <c r="AYP150" s="72"/>
      <c r="AYQ150" s="72"/>
      <c r="AYR150" s="72"/>
      <c r="AYS150" s="72"/>
      <c r="AYT150" s="72"/>
      <c r="AYU150" s="72"/>
      <c r="AYV150" s="72"/>
      <c r="AYW150" s="72"/>
      <c r="AYX150" s="72"/>
      <c r="AYY150" s="72"/>
      <c r="AYZ150" s="72"/>
      <c r="AZA150" s="72"/>
      <c r="AZB150" s="72"/>
      <c r="AZC150" s="72"/>
      <c r="AZD150" s="72"/>
      <c r="AZE150" s="72"/>
      <c r="AZF150" s="72"/>
      <c r="AZG150" s="72"/>
      <c r="AZH150" s="72"/>
      <c r="AZI150" s="72"/>
      <c r="AZJ150" s="72"/>
      <c r="AZK150" s="72"/>
      <c r="AZL150" s="72"/>
      <c r="AZM150" s="72"/>
      <c r="AZN150" s="72"/>
      <c r="AZO150" s="72"/>
      <c r="AZP150" s="72"/>
      <c r="AZQ150" s="72"/>
      <c r="AZR150" s="72"/>
      <c r="AZS150" s="72"/>
      <c r="AZT150" s="72"/>
      <c r="AZU150" s="72"/>
      <c r="AZV150" s="72"/>
      <c r="AZW150" s="72"/>
      <c r="AZX150" s="72"/>
      <c r="AZY150" s="72"/>
      <c r="AZZ150" s="72"/>
      <c r="BAA150" s="72"/>
      <c r="BAB150" s="72"/>
      <c r="BAC150" s="72"/>
      <c r="BAD150" s="72"/>
      <c r="BAE150" s="72"/>
      <c r="BAF150" s="72"/>
      <c r="BAG150" s="72"/>
      <c r="BAH150" s="72"/>
      <c r="BAI150" s="72"/>
      <c r="BAJ150" s="72"/>
      <c r="BAK150" s="72"/>
      <c r="BAL150" s="72"/>
      <c r="BAM150" s="72"/>
      <c r="BAN150" s="72"/>
      <c r="BAO150" s="72"/>
      <c r="BAP150" s="72"/>
      <c r="BAQ150" s="72"/>
      <c r="BAR150" s="72"/>
      <c r="BAS150" s="72"/>
      <c r="BAT150" s="72"/>
      <c r="BAU150" s="72"/>
      <c r="BAV150" s="72"/>
      <c r="BAW150" s="72"/>
      <c r="BAX150" s="72"/>
      <c r="BAY150" s="72"/>
      <c r="BAZ150" s="72"/>
      <c r="BBA150" s="72"/>
      <c r="BBB150" s="72"/>
      <c r="BBC150" s="72"/>
      <c r="BBD150" s="72"/>
      <c r="BBE150" s="72"/>
      <c r="BBF150" s="72"/>
      <c r="BBG150" s="72"/>
      <c r="BBH150" s="72"/>
      <c r="BBI150" s="72"/>
      <c r="BBJ150" s="72"/>
      <c r="BBK150" s="72"/>
      <c r="BBL150" s="72"/>
      <c r="BBM150" s="72"/>
      <c r="BBN150" s="72"/>
      <c r="BBO150" s="72"/>
      <c r="BBP150" s="72"/>
      <c r="BBQ150" s="72"/>
      <c r="BBR150" s="72"/>
      <c r="BBS150" s="72"/>
      <c r="BBT150" s="72"/>
      <c r="BBU150" s="72"/>
      <c r="BBV150" s="72"/>
      <c r="BBW150" s="72"/>
      <c r="BBX150" s="72"/>
      <c r="BBY150" s="72"/>
      <c r="BBZ150" s="72"/>
      <c r="BCA150" s="72"/>
      <c r="BCB150" s="72"/>
      <c r="BCC150" s="72"/>
      <c r="BCD150" s="72"/>
      <c r="BCE150" s="72"/>
      <c r="BCF150" s="72"/>
      <c r="BCG150" s="72"/>
      <c r="BCH150" s="72"/>
      <c r="BCI150" s="72"/>
      <c r="BCJ150" s="72"/>
      <c r="BCK150" s="72"/>
      <c r="BCL150" s="72"/>
      <c r="BCM150" s="72"/>
      <c r="BCN150" s="72"/>
      <c r="BCO150" s="72"/>
      <c r="BCP150" s="72"/>
      <c r="BCQ150" s="72"/>
      <c r="BCR150" s="72"/>
      <c r="BCS150" s="72"/>
      <c r="BCT150" s="72"/>
      <c r="BCU150" s="72"/>
      <c r="BCV150" s="72"/>
      <c r="BCW150" s="72"/>
      <c r="BCX150" s="72"/>
      <c r="BCY150" s="72"/>
      <c r="BCZ150" s="72"/>
      <c r="BDA150" s="72"/>
      <c r="BDB150" s="72"/>
      <c r="BDC150" s="72"/>
      <c r="BDD150" s="72"/>
      <c r="BDE150" s="72"/>
      <c r="BDF150" s="72"/>
      <c r="BDG150" s="72"/>
      <c r="BDH150" s="72"/>
      <c r="BDI150" s="72"/>
      <c r="BDJ150" s="72"/>
      <c r="BDK150" s="72"/>
      <c r="BDL150" s="72"/>
      <c r="BDM150" s="72"/>
      <c r="BDN150" s="72"/>
      <c r="BDO150" s="72"/>
      <c r="BDP150" s="72"/>
      <c r="BDQ150" s="72"/>
      <c r="BDR150" s="72"/>
      <c r="BDS150" s="72"/>
      <c r="BDT150" s="72"/>
      <c r="BDU150" s="72"/>
      <c r="BDV150" s="72"/>
      <c r="BDW150" s="72"/>
      <c r="BDX150" s="72"/>
      <c r="BDY150" s="72"/>
      <c r="BDZ150" s="72"/>
      <c r="BEA150" s="72"/>
      <c r="BEB150" s="72"/>
      <c r="BEC150" s="72"/>
      <c r="BED150" s="72"/>
      <c r="BEE150" s="72"/>
      <c r="BEF150" s="72"/>
      <c r="BEG150" s="72"/>
      <c r="BEH150" s="72"/>
      <c r="BEI150" s="72"/>
      <c r="BEJ150" s="72"/>
      <c r="BEK150" s="72"/>
      <c r="BEL150" s="72"/>
      <c r="BEM150" s="72"/>
      <c r="BEN150" s="72"/>
      <c r="BEO150" s="72"/>
      <c r="BEP150" s="72"/>
      <c r="BEQ150" s="72"/>
      <c r="BER150" s="72"/>
      <c r="BES150" s="72"/>
      <c r="BET150" s="72"/>
      <c r="BEU150" s="72"/>
      <c r="BEV150" s="72"/>
      <c r="BEW150" s="72"/>
      <c r="BEX150" s="72"/>
      <c r="BEY150" s="72"/>
      <c r="BEZ150" s="72"/>
      <c r="BFA150" s="72"/>
      <c r="BFB150" s="72"/>
      <c r="BFC150" s="72"/>
      <c r="BFD150" s="72"/>
      <c r="BFE150" s="72"/>
      <c r="BFF150" s="72"/>
      <c r="BFG150" s="72"/>
      <c r="BFH150" s="72"/>
      <c r="BFI150" s="72"/>
      <c r="BFJ150" s="72"/>
      <c r="BFK150" s="72"/>
      <c r="BFL150" s="72"/>
      <c r="BFM150" s="72"/>
      <c r="BFN150" s="72"/>
      <c r="BFO150" s="72"/>
      <c r="BFP150" s="72"/>
      <c r="BFQ150" s="72"/>
      <c r="BFR150" s="72"/>
      <c r="BFS150" s="72"/>
      <c r="BFT150" s="72"/>
      <c r="BFU150" s="72"/>
      <c r="BFV150" s="72"/>
      <c r="BFW150" s="72"/>
      <c r="BFX150" s="72"/>
      <c r="BFY150" s="72"/>
      <c r="BFZ150" s="72"/>
      <c r="BGA150" s="72"/>
      <c r="BGB150" s="72"/>
      <c r="BGC150" s="72"/>
      <c r="BGD150" s="72"/>
      <c r="BGE150" s="72"/>
      <c r="BGF150" s="72"/>
      <c r="BGG150" s="72"/>
      <c r="BGH150" s="72"/>
      <c r="BGI150" s="72"/>
      <c r="BGJ150" s="72"/>
      <c r="BGK150" s="72"/>
      <c r="BGL150" s="72"/>
      <c r="BGM150" s="72"/>
      <c r="BGN150" s="72"/>
      <c r="BGO150" s="72"/>
      <c r="BGP150" s="72"/>
      <c r="BGQ150" s="72"/>
      <c r="BGR150" s="72"/>
      <c r="BGS150" s="72"/>
      <c r="BGT150" s="72"/>
      <c r="BGU150" s="72"/>
      <c r="BGV150" s="72"/>
      <c r="BGW150" s="72"/>
      <c r="BGX150" s="72"/>
      <c r="BGY150" s="72"/>
      <c r="BGZ150" s="72"/>
      <c r="BHA150" s="72"/>
      <c r="BHB150" s="72"/>
      <c r="BHC150" s="72"/>
      <c r="BHD150" s="72"/>
      <c r="BHE150" s="72"/>
      <c r="BHF150" s="72"/>
      <c r="BHG150" s="72"/>
      <c r="BHH150" s="72"/>
      <c r="BHI150" s="72"/>
      <c r="BHJ150" s="72"/>
      <c r="BHK150" s="72"/>
      <c r="BHL150" s="72"/>
      <c r="BHM150" s="72"/>
      <c r="BHN150" s="72"/>
      <c r="BHO150" s="72"/>
      <c r="BHP150" s="72"/>
      <c r="BHQ150" s="72"/>
      <c r="BHR150" s="72"/>
      <c r="BHS150" s="72"/>
      <c r="BHT150" s="72"/>
      <c r="BHU150" s="72"/>
      <c r="BHV150" s="72"/>
      <c r="BHW150" s="72"/>
      <c r="BHX150" s="72"/>
      <c r="BHY150" s="72"/>
      <c r="BHZ150" s="72"/>
      <c r="BIA150" s="72"/>
      <c r="BIB150" s="72"/>
      <c r="BIC150" s="72"/>
      <c r="BID150" s="72"/>
      <c r="BIE150" s="72"/>
      <c r="BIF150" s="72"/>
      <c r="BIG150" s="72"/>
      <c r="BIH150" s="72"/>
      <c r="BII150" s="72"/>
      <c r="BIJ150" s="72"/>
      <c r="BIK150" s="72"/>
      <c r="BIL150" s="72"/>
      <c r="BIM150" s="72"/>
      <c r="BIN150" s="72"/>
      <c r="BIO150" s="72"/>
      <c r="BIP150" s="72"/>
      <c r="BIQ150" s="72"/>
      <c r="BIR150" s="72"/>
      <c r="BIS150" s="72"/>
      <c r="BIT150" s="72"/>
      <c r="BIU150" s="72"/>
      <c r="BIV150" s="72"/>
      <c r="BIW150" s="72"/>
      <c r="BIX150" s="72"/>
      <c r="BIY150" s="72"/>
      <c r="BIZ150" s="72"/>
      <c r="BJA150" s="72"/>
      <c r="BJB150" s="72"/>
      <c r="BJC150" s="72"/>
      <c r="BJD150" s="72"/>
      <c r="BJE150" s="72"/>
      <c r="BJF150" s="72"/>
      <c r="BJG150" s="72"/>
      <c r="BJH150" s="72"/>
      <c r="BJI150" s="72"/>
      <c r="BJJ150" s="72"/>
      <c r="BJK150" s="72"/>
      <c r="BJL150" s="72"/>
      <c r="BJM150" s="72"/>
      <c r="BJN150" s="72"/>
      <c r="BJO150" s="72"/>
      <c r="BJP150" s="72"/>
      <c r="BJQ150" s="72"/>
      <c r="BJR150" s="72"/>
      <c r="BJS150" s="72"/>
      <c r="BJT150" s="72"/>
      <c r="BJU150" s="72"/>
      <c r="BJV150" s="72"/>
      <c r="BJW150" s="72"/>
      <c r="BJX150" s="72"/>
      <c r="BJY150" s="72"/>
      <c r="BJZ150" s="72"/>
      <c r="BKA150" s="72"/>
      <c r="BKB150" s="72"/>
      <c r="BKC150" s="72"/>
      <c r="BKD150" s="72"/>
      <c r="BKE150" s="72"/>
      <c r="BKF150" s="72"/>
      <c r="BKG150" s="72"/>
      <c r="BKH150" s="72"/>
      <c r="BKI150" s="72"/>
      <c r="BKJ150" s="72"/>
      <c r="BKK150" s="72"/>
      <c r="BKL150" s="72"/>
      <c r="BKM150" s="72"/>
      <c r="BKN150" s="72"/>
      <c r="BKO150" s="72"/>
      <c r="BKP150" s="72"/>
      <c r="BKQ150" s="72"/>
      <c r="BKR150" s="72"/>
      <c r="BKS150" s="72"/>
      <c r="BKT150" s="72"/>
      <c r="BKU150" s="72"/>
      <c r="BKV150" s="72"/>
      <c r="BKW150" s="72"/>
      <c r="BKX150" s="72"/>
      <c r="BKY150" s="72"/>
      <c r="BKZ150" s="72"/>
      <c r="BLA150" s="72"/>
      <c r="BLB150" s="72"/>
      <c r="BLC150" s="72"/>
      <c r="BLD150" s="72"/>
      <c r="BLE150" s="72"/>
      <c r="BLF150" s="72"/>
      <c r="BLG150" s="72"/>
      <c r="BLH150" s="72"/>
      <c r="BLI150" s="72"/>
      <c r="BLJ150" s="72"/>
      <c r="BLK150" s="72"/>
      <c r="BLL150" s="72"/>
      <c r="BLM150" s="72"/>
      <c r="BLN150" s="72"/>
      <c r="BLO150" s="72"/>
      <c r="BLP150" s="72"/>
      <c r="BLQ150" s="72"/>
      <c r="BLR150" s="72"/>
      <c r="BLS150" s="72"/>
      <c r="BLT150" s="72"/>
      <c r="BLU150" s="72"/>
      <c r="BLV150" s="72"/>
      <c r="BLW150" s="72"/>
      <c r="BLX150" s="72"/>
      <c r="BLY150" s="72"/>
      <c r="BLZ150" s="72"/>
      <c r="BMA150" s="72"/>
      <c r="BMB150" s="72"/>
      <c r="BMC150" s="72"/>
      <c r="BMD150" s="72"/>
      <c r="BME150" s="72"/>
      <c r="BMF150" s="72"/>
      <c r="BMG150" s="72"/>
      <c r="BMH150" s="72"/>
      <c r="BMI150" s="72"/>
      <c r="BMJ150" s="72"/>
      <c r="BMK150" s="72"/>
      <c r="BML150" s="72"/>
      <c r="BMM150" s="72"/>
      <c r="BMN150" s="72"/>
      <c r="BMO150" s="72"/>
      <c r="BMP150" s="72"/>
      <c r="BMQ150" s="72"/>
      <c r="BMR150" s="72"/>
      <c r="BMS150" s="72"/>
      <c r="BMT150" s="72"/>
      <c r="BMU150" s="72"/>
      <c r="BMV150" s="72"/>
      <c r="BMW150" s="72"/>
      <c r="BMX150" s="72"/>
      <c r="BMY150" s="72"/>
      <c r="BMZ150" s="72"/>
      <c r="BNA150" s="72"/>
      <c r="BNB150" s="72"/>
      <c r="BNC150" s="72"/>
      <c r="BND150" s="72"/>
      <c r="BNE150" s="72"/>
      <c r="BNF150" s="72"/>
      <c r="BNG150" s="72"/>
      <c r="BNH150" s="72"/>
      <c r="BNI150" s="72"/>
      <c r="BNJ150" s="72"/>
      <c r="BNK150" s="72"/>
      <c r="BNL150" s="72"/>
      <c r="BNM150" s="72"/>
      <c r="BNN150" s="72"/>
      <c r="BNO150" s="72"/>
      <c r="BNP150" s="72"/>
      <c r="BNQ150" s="72"/>
      <c r="BNR150" s="72"/>
      <c r="BNS150" s="72"/>
      <c r="BNT150" s="72"/>
      <c r="BNU150" s="72"/>
      <c r="BNV150" s="72"/>
      <c r="BNW150" s="72"/>
      <c r="BNX150" s="72"/>
      <c r="BNY150" s="72"/>
      <c r="BNZ150" s="72"/>
      <c r="BOA150" s="72"/>
      <c r="BOB150" s="72"/>
      <c r="BOC150" s="72"/>
      <c r="BOD150" s="72"/>
      <c r="BOE150" s="72"/>
      <c r="BOF150" s="72"/>
      <c r="BOG150" s="72"/>
      <c r="BOH150" s="72"/>
      <c r="BOI150" s="72"/>
      <c r="BOJ150" s="72"/>
      <c r="BOK150" s="72"/>
      <c r="BOL150" s="72"/>
      <c r="BOM150" s="72"/>
      <c r="BON150" s="72"/>
      <c r="BOO150" s="72"/>
      <c r="BOP150" s="72"/>
      <c r="BOQ150" s="72"/>
      <c r="BOR150" s="72"/>
      <c r="BOS150" s="72"/>
      <c r="BOT150" s="72"/>
      <c r="BOU150" s="72"/>
      <c r="BOV150" s="72"/>
      <c r="BOW150" s="72"/>
      <c r="BOX150" s="72"/>
      <c r="BOY150" s="72"/>
      <c r="BOZ150" s="72"/>
      <c r="BPA150" s="72"/>
      <c r="BPB150" s="72"/>
      <c r="BPC150" s="72"/>
      <c r="BPD150" s="72"/>
      <c r="BPE150" s="72"/>
      <c r="BPF150" s="72"/>
      <c r="BPG150" s="72"/>
      <c r="BPH150" s="72"/>
      <c r="BPI150" s="72"/>
      <c r="BPJ150" s="72"/>
      <c r="BPK150" s="72"/>
      <c r="BPL150" s="72"/>
      <c r="BPM150" s="72"/>
      <c r="BPN150" s="72"/>
      <c r="BPO150" s="72"/>
      <c r="BPP150" s="72"/>
      <c r="BPQ150" s="72"/>
      <c r="BPR150" s="72"/>
      <c r="BPS150" s="72"/>
      <c r="BPT150" s="72"/>
      <c r="BPU150" s="72"/>
      <c r="BPV150" s="72"/>
      <c r="BPW150" s="72"/>
      <c r="BPX150" s="72"/>
      <c r="BPY150" s="72"/>
      <c r="BPZ150" s="72"/>
      <c r="BQA150" s="72"/>
      <c r="BQB150" s="72"/>
      <c r="BQC150" s="72"/>
      <c r="BQD150" s="72"/>
      <c r="BQE150" s="72"/>
      <c r="BQF150" s="72"/>
      <c r="BQG150" s="72"/>
      <c r="BQH150" s="72"/>
      <c r="BQI150" s="72"/>
      <c r="BQJ150" s="72"/>
      <c r="BQK150" s="72"/>
      <c r="BQL150" s="72"/>
      <c r="BQM150" s="72"/>
      <c r="BQN150" s="72"/>
      <c r="BQO150" s="72"/>
      <c r="BQP150" s="72"/>
      <c r="BQQ150" s="72"/>
      <c r="BQR150" s="72"/>
      <c r="BQS150" s="72"/>
      <c r="BQT150" s="72"/>
      <c r="BQU150" s="72"/>
      <c r="BQV150" s="72"/>
      <c r="BQW150" s="72"/>
      <c r="BQX150" s="72"/>
      <c r="BQY150" s="72"/>
      <c r="BQZ150" s="72"/>
      <c r="BRA150" s="72"/>
      <c r="BRB150" s="72"/>
      <c r="BRC150" s="72"/>
      <c r="BRD150" s="72"/>
      <c r="BRE150" s="72"/>
      <c r="BRF150" s="72"/>
      <c r="BRG150" s="72"/>
      <c r="BRH150" s="72"/>
      <c r="BRI150" s="72"/>
      <c r="BRJ150" s="72"/>
      <c r="BRK150" s="72"/>
      <c r="BRL150" s="72"/>
      <c r="BRM150" s="72"/>
      <c r="BRN150" s="72"/>
      <c r="BRO150" s="72"/>
      <c r="BRP150" s="72"/>
      <c r="BRQ150" s="72"/>
      <c r="BRR150" s="72"/>
      <c r="BRS150" s="72"/>
      <c r="BRT150" s="72"/>
      <c r="BRU150" s="72"/>
      <c r="BRV150" s="72"/>
      <c r="BRW150" s="72"/>
      <c r="BRX150" s="72"/>
      <c r="BRY150" s="72"/>
      <c r="BRZ150" s="72"/>
      <c r="BSA150" s="72"/>
      <c r="BSB150" s="72"/>
      <c r="BSC150" s="72"/>
      <c r="BSD150" s="72"/>
      <c r="BSE150" s="72"/>
      <c r="BSF150" s="72"/>
      <c r="BSG150" s="72"/>
      <c r="BSH150" s="72"/>
      <c r="BSI150" s="72"/>
      <c r="BSJ150" s="72"/>
      <c r="BSK150" s="72"/>
      <c r="BSL150" s="72"/>
      <c r="BSM150" s="72"/>
      <c r="BSN150" s="72"/>
      <c r="BSO150" s="72"/>
      <c r="BSP150" s="72"/>
      <c r="BSQ150" s="72"/>
      <c r="BSR150" s="72"/>
      <c r="BSS150" s="72"/>
      <c r="BST150" s="72"/>
      <c r="BSU150" s="72"/>
      <c r="BSV150" s="72"/>
      <c r="BSW150" s="72"/>
      <c r="BSX150" s="72"/>
      <c r="BSY150" s="72"/>
      <c r="BSZ150" s="72"/>
      <c r="BTA150" s="72"/>
      <c r="BTB150" s="72"/>
      <c r="BTC150" s="72"/>
      <c r="BTD150" s="72"/>
      <c r="BTE150" s="72"/>
      <c r="BTF150" s="72"/>
      <c r="BTG150" s="72"/>
      <c r="BTH150" s="72"/>
      <c r="BTI150" s="72"/>
      <c r="BTJ150" s="72"/>
      <c r="BTK150" s="72"/>
      <c r="BTL150" s="72"/>
      <c r="BTM150" s="72"/>
      <c r="BTN150" s="72"/>
      <c r="BTO150" s="72"/>
      <c r="BTP150" s="72"/>
      <c r="BTQ150" s="72"/>
      <c r="BTR150" s="72"/>
      <c r="BTS150" s="72"/>
      <c r="BTT150" s="72"/>
      <c r="BTU150" s="72"/>
      <c r="BTV150" s="72"/>
      <c r="BTW150" s="72"/>
      <c r="BTX150" s="72"/>
      <c r="BTY150" s="72"/>
      <c r="BTZ150" s="72"/>
      <c r="BUA150" s="72"/>
      <c r="BUB150" s="72"/>
      <c r="BUC150" s="72"/>
      <c r="BUD150" s="72"/>
      <c r="BUE150" s="72"/>
      <c r="BUF150" s="72"/>
      <c r="BUG150" s="72"/>
      <c r="BUH150" s="72"/>
      <c r="BUI150" s="72"/>
      <c r="BUJ150" s="72"/>
      <c r="BUK150" s="72"/>
      <c r="BUL150" s="72"/>
      <c r="BUM150" s="72"/>
      <c r="BUN150" s="72"/>
      <c r="BUO150" s="72"/>
      <c r="BUP150" s="72"/>
      <c r="BUQ150" s="72"/>
      <c r="BUR150" s="72"/>
      <c r="BUS150" s="72"/>
      <c r="BUT150" s="72"/>
      <c r="BUU150" s="72"/>
      <c r="BUV150" s="72"/>
      <c r="BUW150" s="72"/>
      <c r="BUX150" s="72"/>
      <c r="BUY150" s="72"/>
      <c r="BUZ150" s="72"/>
      <c r="BVA150" s="72"/>
      <c r="BVB150" s="72"/>
      <c r="BVC150" s="72"/>
      <c r="BVD150" s="72"/>
      <c r="BVE150" s="72"/>
      <c r="BVF150" s="72"/>
      <c r="BVG150" s="72"/>
      <c r="BVH150" s="72"/>
      <c r="BVI150" s="72"/>
      <c r="BVJ150" s="72"/>
      <c r="BVK150" s="72"/>
      <c r="BVL150" s="72"/>
      <c r="BVM150" s="72"/>
      <c r="BVN150" s="72"/>
      <c r="BVO150" s="72"/>
      <c r="BVP150" s="72"/>
      <c r="BVQ150" s="72"/>
      <c r="BVR150" s="72"/>
      <c r="BVS150" s="72"/>
      <c r="BVT150" s="72"/>
      <c r="BVU150" s="72"/>
      <c r="BVV150" s="72"/>
      <c r="BVW150" s="72"/>
      <c r="BVX150" s="72"/>
      <c r="BVY150" s="72"/>
      <c r="BVZ150" s="72"/>
      <c r="BWA150" s="72"/>
      <c r="BWB150" s="72"/>
      <c r="BWC150" s="72"/>
      <c r="BWD150" s="72"/>
      <c r="BWE150" s="72"/>
      <c r="BWF150" s="72"/>
      <c r="BWG150" s="72"/>
      <c r="BWH150" s="72"/>
      <c r="BWI150" s="72"/>
      <c r="BWJ150" s="72"/>
      <c r="BWK150" s="72"/>
      <c r="BWL150" s="72"/>
      <c r="BWM150" s="72"/>
      <c r="BWN150" s="72"/>
      <c r="BWO150" s="72"/>
      <c r="BWP150" s="72"/>
      <c r="BWQ150" s="72"/>
      <c r="BWR150" s="72"/>
      <c r="BWS150" s="72"/>
      <c r="BWT150" s="72"/>
      <c r="BWU150" s="72"/>
      <c r="BWV150" s="72"/>
      <c r="BWW150" s="72"/>
      <c r="BWX150" s="72"/>
      <c r="BWY150" s="72"/>
      <c r="BWZ150" s="72"/>
      <c r="BXA150" s="72"/>
      <c r="BXB150" s="72"/>
      <c r="BXC150" s="72"/>
      <c r="BXD150" s="72"/>
      <c r="BXE150" s="72"/>
      <c r="BXF150" s="72"/>
      <c r="BXG150" s="72"/>
      <c r="BXH150" s="72"/>
      <c r="BXI150" s="72"/>
      <c r="BXJ150" s="72"/>
      <c r="BXK150" s="72"/>
      <c r="BXL150" s="72"/>
      <c r="BXM150" s="72"/>
      <c r="BXN150" s="72"/>
      <c r="BXO150" s="72"/>
      <c r="BXP150" s="72"/>
      <c r="BXQ150" s="72"/>
      <c r="BXR150" s="72"/>
      <c r="BXS150" s="72"/>
      <c r="BXT150" s="72"/>
      <c r="BXU150" s="72"/>
      <c r="BXV150" s="72"/>
      <c r="BXW150" s="72"/>
      <c r="BXX150" s="72"/>
      <c r="BXY150" s="72"/>
      <c r="BXZ150" s="72"/>
      <c r="BYA150" s="72"/>
      <c r="BYB150" s="72"/>
      <c r="BYC150" s="72"/>
      <c r="BYD150" s="72"/>
      <c r="BYE150" s="72"/>
      <c r="BYF150" s="72"/>
      <c r="BYG150" s="72"/>
      <c r="BYH150" s="72"/>
      <c r="BYI150" s="72"/>
      <c r="BYJ150" s="72"/>
      <c r="BYK150" s="72"/>
      <c r="BYL150" s="72"/>
      <c r="BYM150" s="72"/>
      <c r="BYN150" s="72"/>
      <c r="BYO150" s="72"/>
      <c r="BYP150" s="72"/>
      <c r="BYQ150" s="72"/>
      <c r="BYR150" s="72"/>
      <c r="BYS150" s="72"/>
      <c r="BYT150" s="72"/>
      <c r="BYU150" s="72"/>
      <c r="BYV150" s="72"/>
      <c r="BYW150" s="72"/>
      <c r="BYX150" s="72"/>
      <c r="BYY150" s="72"/>
      <c r="BYZ150" s="72"/>
      <c r="BZA150" s="72"/>
      <c r="BZB150" s="72"/>
      <c r="BZC150" s="72"/>
      <c r="BZD150" s="72"/>
      <c r="BZE150" s="72"/>
      <c r="BZF150" s="72"/>
      <c r="BZG150" s="72"/>
      <c r="BZH150" s="72"/>
      <c r="BZI150" s="72"/>
      <c r="BZJ150" s="72"/>
      <c r="BZK150" s="72"/>
      <c r="BZL150" s="72"/>
      <c r="BZM150" s="72"/>
      <c r="BZN150" s="72"/>
      <c r="BZO150" s="72"/>
      <c r="BZP150" s="72"/>
      <c r="BZQ150" s="72"/>
      <c r="BZR150" s="72"/>
      <c r="BZS150" s="72"/>
      <c r="BZT150" s="72"/>
      <c r="BZU150" s="72"/>
      <c r="BZV150" s="72"/>
      <c r="BZW150" s="72"/>
      <c r="BZX150" s="72"/>
      <c r="BZY150" s="72"/>
      <c r="BZZ150" s="72"/>
      <c r="CAA150" s="72"/>
      <c r="CAB150" s="72"/>
      <c r="CAC150" s="72"/>
      <c r="CAD150" s="72"/>
      <c r="CAE150" s="72"/>
      <c r="CAF150" s="72"/>
      <c r="CAG150" s="72"/>
      <c r="CAH150" s="72"/>
      <c r="CAI150" s="72"/>
      <c r="CAJ150" s="72"/>
      <c r="CAK150" s="72"/>
      <c r="CAL150" s="72"/>
      <c r="CAM150" s="72"/>
      <c r="CAN150" s="72"/>
      <c r="CAO150" s="72"/>
      <c r="CAP150" s="72"/>
      <c r="CAQ150" s="72"/>
      <c r="CAR150" s="72"/>
      <c r="CAS150" s="72"/>
      <c r="CAT150" s="72"/>
      <c r="CAU150" s="72"/>
      <c r="CAV150" s="72"/>
      <c r="CAW150" s="72"/>
      <c r="CAX150" s="72"/>
      <c r="CAY150" s="72"/>
      <c r="CAZ150" s="72"/>
      <c r="CBA150" s="72"/>
      <c r="CBB150" s="72"/>
      <c r="CBC150" s="72"/>
      <c r="CBD150" s="72"/>
      <c r="CBE150" s="72"/>
      <c r="CBF150" s="72"/>
      <c r="CBG150" s="72"/>
      <c r="CBH150" s="72"/>
      <c r="CBI150" s="72"/>
      <c r="CBJ150" s="72"/>
      <c r="CBK150" s="72"/>
      <c r="CBL150" s="72"/>
      <c r="CBM150" s="72"/>
      <c r="CBN150" s="72"/>
      <c r="CBO150" s="72"/>
      <c r="CBP150" s="72"/>
      <c r="CBQ150" s="72"/>
      <c r="CBR150" s="72"/>
      <c r="CBS150" s="72"/>
      <c r="CBT150" s="72"/>
      <c r="CBU150" s="72"/>
      <c r="CBV150" s="72"/>
      <c r="CBW150" s="72"/>
      <c r="CBX150" s="72"/>
      <c r="CBY150" s="72"/>
      <c r="CBZ150" s="72"/>
      <c r="CCA150" s="72"/>
      <c r="CCB150" s="72"/>
      <c r="CCC150" s="72"/>
      <c r="CCD150" s="72"/>
      <c r="CCE150" s="72"/>
      <c r="CCF150" s="72"/>
      <c r="CCG150" s="72"/>
      <c r="CCH150" s="72"/>
      <c r="CCI150" s="72"/>
      <c r="CCJ150" s="72"/>
      <c r="CCK150" s="72"/>
      <c r="CCL150" s="72"/>
      <c r="CCM150" s="72"/>
      <c r="CCN150" s="72"/>
      <c r="CCO150" s="72"/>
      <c r="CCP150" s="72"/>
      <c r="CCQ150" s="72"/>
      <c r="CCR150" s="72"/>
      <c r="CCS150" s="72"/>
      <c r="CCT150" s="72"/>
      <c r="CCU150" s="72"/>
      <c r="CCV150" s="72"/>
      <c r="CCW150" s="72"/>
      <c r="CCX150" s="72"/>
      <c r="CCY150" s="72"/>
      <c r="CCZ150" s="72"/>
      <c r="CDA150" s="72"/>
      <c r="CDB150" s="72"/>
      <c r="CDC150" s="72"/>
      <c r="CDD150" s="72"/>
      <c r="CDE150" s="72"/>
      <c r="CDF150" s="72"/>
      <c r="CDG150" s="72"/>
      <c r="CDH150" s="72"/>
      <c r="CDI150" s="72"/>
      <c r="CDJ150" s="72"/>
      <c r="CDK150" s="72"/>
      <c r="CDL150" s="72"/>
      <c r="CDM150" s="72"/>
      <c r="CDN150" s="72"/>
      <c r="CDO150" s="72"/>
      <c r="CDP150" s="72"/>
      <c r="CDQ150" s="72"/>
      <c r="CDR150" s="72"/>
      <c r="CDS150" s="72"/>
      <c r="CDT150" s="72"/>
      <c r="CDU150" s="72"/>
      <c r="CDV150" s="72"/>
      <c r="CDW150" s="72"/>
      <c r="CDX150" s="72"/>
      <c r="CDY150" s="72"/>
      <c r="CDZ150" s="72"/>
      <c r="CEA150" s="72"/>
      <c r="CEB150" s="72"/>
      <c r="CEC150" s="72"/>
      <c r="CED150" s="72"/>
      <c r="CEE150" s="72"/>
      <c r="CEF150" s="72"/>
      <c r="CEG150" s="72"/>
      <c r="CEH150" s="72"/>
      <c r="CEI150" s="72"/>
      <c r="CEJ150" s="72"/>
      <c r="CEK150" s="72"/>
      <c r="CEL150" s="72"/>
      <c r="CEM150" s="72"/>
      <c r="CEN150" s="72"/>
      <c r="CEO150" s="72"/>
      <c r="CEP150" s="72"/>
      <c r="CEQ150" s="72"/>
      <c r="CER150" s="72"/>
      <c r="CES150" s="72"/>
      <c r="CET150" s="72"/>
      <c r="CEU150" s="72"/>
      <c r="CEV150" s="72"/>
      <c r="CEW150" s="72"/>
      <c r="CEX150" s="72"/>
      <c r="CEY150" s="72"/>
      <c r="CEZ150" s="72"/>
      <c r="CFA150" s="72"/>
      <c r="CFB150" s="72"/>
      <c r="CFC150" s="72"/>
      <c r="CFD150" s="72"/>
      <c r="CFE150" s="72"/>
      <c r="CFF150" s="72"/>
      <c r="CFG150" s="72"/>
      <c r="CFH150" s="72"/>
      <c r="CFI150" s="72"/>
      <c r="CFJ150" s="72"/>
      <c r="CFK150" s="72"/>
      <c r="CFL150" s="72"/>
      <c r="CFM150" s="72"/>
      <c r="CFN150" s="72"/>
      <c r="CFO150" s="72"/>
      <c r="CFP150" s="72"/>
      <c r="CFQ150" s="72"/>
      <c r="CFR150" s="72"/>
      <c r="CFS150" s="72"/>
      <c r="CFT150" s="72"/>
      <c r="CFU150" s="72"/>
      <c r="CFV150" s="72"/>
      <c r="CFW150" s="72"/>
      <c r="CFX150" s="72"/>
      <c r="CFY150" s="72"/>
      <c r="CFZ150" s="72"/>
      <c r="CGA150" s="72"/>
      <c r="CGB150" s="72"/>
      <c r="CGC150" s="72"/>
      <c r="CGD150" s="72"/>
      <c r="CGE150" s="72"/>
      <c r="CGF150" s="72"/>
      <c r="CGG150" s="72"/>
      <c r="CGH150" s="72"/>
      <c r="CGI150" s="72"/>
      <c r="CGJ150" s="72"/>
      <c r="CGK150" s="72"/>
      <c r="CGL150" s="72"/>
      <c r="CGM150" s="72"/>
      <c r="CGN150" s="72"/>
      <c r="CGO150" s="72"/>
      <c r="CGP150" s="72"/>
      <c r="CGQ150" s="72"/>
      <c r="CGR150" s="72"/>
      <c r="CGS150" s="72"/>
      <c r="CGT150" s="72"/>
      <c r="CGU150" s="72"/>
      <c r="CGV150" s="72"/>
      <c r="CGW150" s="72"/>
      <c r="CGX150" s="72"/>
      <c r="CGY150" s="72"/>
      <c r="CGZ150" s="72"/>
      <c r="CHA150" s="72"/>
      <c r="CHB150" s="72"/>
      <c r="CHC150" s="72"/>
      <c r="CHD150" s="72"/>
      <c r="CHE150" s="72"/>
      <c r="CHF150" s="72"/>
      <c r="CHG150" s="72"/>
      <c r="CHH150" s="72"/>
      <c r="CHI150" s="72"/>
      <c r="CHJ150" s="72"/>
      <c r="CHK150" s="72"/>
      <c r="CHL150" s="72"/>
      <c r="CHM150" s="72"/>
      <c r="CHN150" s="72"/>
      <c r="CHO150" s="72"/>
      <c r="CHP150" s="72"/>
      <c r="CHQ150" s="72"/>
      <c r="CHR150" s="72"/>
      <c r="CHS150" s="72"/>
      <c r="CHT150" s="72"/>
      <c r="CHU150" s="72"/>
      <c r="CHV150" s="72"/>
      <c r="CHW150" s="72"/>
      <c r="CHX150" s="72"/>
      <c r="CHY150" s="72"/>
      <c r="CHZ150" s="72"/>
      <c r="CIA150" s="72"/>
      <c r="CIB150" s="72"/>
      <c r="CIC150" s="72"/>
      <c r="CID150" s="72"/>
      <c r="CIE150" s="72"/>
      <c r="CIF150" s="72"/>
      <c r="CIG150" s="72"/>
      <c r="CIH150" s="72"/>
      <c r="CII150" s="72"/>
      <c r="CIJ150" s="72"/>
      <c r="CIK150" s="72"/>
      <c r="CIL150" s="72"/>
      <c r="CIM150" s="72"/>
      <c r="CIN150" s="72"/>
      <c r="CIO150" s="72"/>
      <c r="CIP150" s="72"/>
      <c r="CIQ150" s="72"/>
      <c r="CIR150" s="72"/>
      <c r="CIS150" s="72"/>
      <c r="CIT150" s="72"/>
      <c r="CIU150" s="72"/>
      <c r="CIV150" s="72"/>
      <c r="CIW150" s="72"/>
      <c r="CIX150" s="72"/>
      <c r="CIY150" s="72"/>
      <c r="CIZ150" s="72"/>
      <c r="CJA150" s="72"/>
      <c r="CJB150" s="72"/>
      <c r="CJC150" s="72"/>
      <c r="CJD150" s="72"/>
      <c r="CJE150" s="72"/>
      <c r="CJF150" s="72"/>
      <c r="CJG150" s="72"/>
      <c r="CJH150" s="72"/>
      <c r="CJI150" s="72"/>
      <c r="CJJ150" s="72"/>
      <c r="CJK150" s="72"/>
      <c r="CJL150" s="72"/>
      <c r="CJM150" s="72"/>
      <c r="CJN150" s="72"/>
      <c r="CJO150" s="72"/>
      <c r="CJP150" s="72"/>
      <c r="CJQ150" s="72"/>
      <c r="CJR150" s="72"/>
      <c r="CJS150" s="72"/>
      <c r="CJT150" s="72"/>
      <c r="CJU150" s="72"/>
      <c r="CJV150" s="72"/>
      <c r="CJW150" s="72"/>
      <c r="CJX150" s="72"/>
      <c r="CJY150" s="72"/>
      <c r="CJZ150" s="72"/>
      <c r="CKA150" s="72"/>
      <c r="CKB150" s="72"/>
      <c r="CKC150" s="72"/>
      <c r="CKD150" s="72"/>
      <c r="CKE150" s="72"/>
      <c r="CKF150" s="72"/>
      <c r="CKG150" s="72"/>
      <c r="CKH150" s="72"/>
      <c r="CKI150" s="72"/>
      <c r="CKJ150" s="72"/>
      <c r="CKK150" s="72"/>
      <c r="CKL150" s="72"/>
      <c r="CKM150" s="72"/>
      <c r="CKN150" s="72"/>
      <c r="CKO150" s="72"/>
      <c r="CKP150" s="72"/>
      <c r="CKQ150" s="72"/>
      <c r="CKR150" s="72"/>
      <c r="CKS150" s="72"/>
      <c r="CKT150" s="72"/>
      <c r="CKU150" s="72"/>
      <c r="CKV150" s="72"/>
      <c r="CKW150" s="72"/>
      <c r="CKX150" s="72"/>
      <c r="CKY150" s="72"/>
      <c r="CKZ150" s="72"/>
      <c r="CLA150" s="72"/>
      <c r="CLB150" s="72"/>
      <c r="CLC150" s="72"/>
      <c r="CLD150" s="72"/>
      <c r="CLE150" s="72"/>
      <c r="CLF150" s="72"/>
      <c r="CLG150" s="72"/>
      <c r="CLH150" s="72"/>
      <c r="CLI150" s="72"/>
      <c r="CLJ150" s="72"/>
      <c r="CLK150" s="72"/>
      <c r="CLL150" s="72"/>
      <c r="CLM150" s="72"/>
      <c r="CLN150" s="72"/>
      <c r="CLO150" s="72"/>
      <c r="CLP150" s="72"/>
      <c r="CLQ150" s="72"/>
      <c r="CLR150" s="72"/>
      <c r="CLS150" s="72"/>
      <c r="CLT150" s="72"/>
      <c r="CLU150" s="72"/>
      <c r="CLV150" s="72"/>
      <c r="CLW150" s="72"/>
      <c r="CLX150" s="72"/>
      <c r="CLY150" s="72"/>
      <c r="CLZ150" s="72"/>
      <c r="CMA150" s="72"/>
      <c r="CMB150" s="72"/>
      <c r="CMC150" s="72"/>
      <c r="CMD150" s="72"/>
      <c r="CME150" s="72"/>
      <c r="CMF150" s="72"/>
      <c r="CMG150" s="72"/>
      <c r="CMH150" s="72"/>
      <c r="CMI150" s="72"/>
      <c r="CMJ150" s="72"/>
      <c r="CMK150" s="72"/>
      <c r="CML150" s="72"/>
      <c r="CMM150" s="72"/>
      <c r="CMN150" s="72"/>
      <c r="CMO150" s="72"/>
      <c r="CMP150" s="72"/>
      <c r="CMQ150" s="72"/>
      <c r="CMR150" s="72"/>
      <c r="CMS150" s="72"/>
      <c r="CMT150" s="72"/>
      <c r="CMU150" s="72"/>
      <c r="CMV150" s="72"/>
      <c r="CMW150" s="72"/>
      <c r="CMX150" s="72"/>
      <c r="CMY150" s="72"/>
      <c r="CMZ150" s="72"/>
      <c r="CNA150" s="72"/>
      <c r="CNB150" s="72"/>
      <c r="CNC150" s="72"/>
      <c r="CND150" s="72"/>
      <c r="CNE150" s="72"/>
      <c r="CNF150" s="72"/>
      <c r="CNG150" s="72"/>
      <c r="CNH150" s="72"/>
      <c r="CNI150" s="72"/>
      <c r="CNJ150" s="72"/>
      <c r="CNK150" s="72"/>
      <c r="CNL150" s="72"/>
      <c r="CNM150" s="72"/>
      <c r="CNN150" s="72"/>
      <c r="CNO150" s="72"/>
      <c r="CNP150" s="72"/>
      <c r="CNQ150" s="72"/>
      <c r="CNR150" s="72"/>
      <c r="CNS150" s="72"/>
      <c r="CNT150" s="72"/>
      <c r="CNU150" s="72"/>
      <c r="CNV150" s="72"/>
      <c r="CNW150" s="72"/>
      <c r="CNX150" s="72"/>
      <c r="CNY150" s="72"/>
      <c r="CNZ150" s="72"/>
      <c r="COA150" s="72"/>
      <c r="COB150" s="72"/>
      <c r="COC150" s="72"/>
      <c r="COD150" s="72"/>
      <c r="COE150" s="72"/>
      <c r="COF150" s="72"/>
      <c r="COG150" s="72"/>
      <c r="COH150" s="72"/>
      <c r="COI150" s="72"/>
      <c r="COJ150" s="72"/>
      <c r="COK150" s="72"/>
      <c r="COL150" s="72"/>
      <c r="COM150" s="72"/>
      <c r="CON150" s="72"/>
      <c r="COO150" s="72"/>
      <c r="COP150" s="72"/>
      <c r="COQ150" s="72"/>
      <c r="COR150" s="72"/>
      <c r="COS150" s="72"/>
      <c r="COT150" s="72"/>
      <c r="COU150" s="72"/>
      <c r="COV150" s="72"/>
      <c r="COW150" s="72"/>
      <c r="COX150" s="72"/>
      <c r="COY150" s="72"/>
      <c r="COZ150" s="72"/>
      <c r="CPA150" s="72"/>
      <c r="CPB150" s="72"/>
      <c r="CPC150" s="72"/>
      <c r="CPD150" s="72"/>
      <c r="CPE150" s="72"/>
      <c r="CPF150" s="72"/>
      <c r="CPG150" s="72"/>
      <c r="CPH150" s="72"/>
      <c r="CPI150" s="72"/>
      <c r="CPJ150" s="72"/>
      <c r="CPK150" s="72"/>
      <c r="CPL150" s="72"/>
      <c r="CPM150" s="72"/>
      <c r="CPN150" s="72"/>
      <c r="CPO150" s="72"/>
      <c r="CPP150" s="72"/>
      <c r="CPQ150" s="72"/>
      <c r="CPR150" s="72"/>
      <c r="CPS150" s="72"/>
      <c r="CPT150" s="72"/>
      <c r="CPU150" s="72"/>
      <c r="CPV150" s="72"/>
      <c r="CPW150" s="72"/>
      <c r="CPX150" s="72"/>
      <c r="CPY150" s="72"/>
      <c r="CPZ150" s="72"/>
      <c r="CQA150" s="72"/>
      <c r="CQB150" s="72"/>
      <c r="CQC150" s="72"/>
      <c r="CQD150" s="72"/>
      <c r="CQE150" s="72"/>
      <c r="CQF150" s="72"/>
      <c r="CQG150" s="72"/>
      <c r="CQH150" s="72"/>
      <c r="CQI150" s="72"/>
      <c r="CQJ150" s="72"/>
      <c r="CQK150" s="72"/>
      <c r="CQL150" s="72"/>
      <c r="CQM150" s="72"/>
      <c r="CQN150" s="72"/>
      <c r="CQO150" s="72"/>
      <c r="CQP150" s="72"/>
      <c r="CQQ150" s="72"/>
      <c r="CQR150" s="72"/>
      <c r="CQS150" s="72"/>
      <c r="CQT150" s="72"/>
      <c r="CQU150" s="72"/>
      <c r="CQV150" s="72"/>
      <c r="CQW150" s="72"/>
      <c r="CQX150" s="72"/>
      <c r="CQY150" s="72"/>
      <c r="CQZ150" s="72"/>
      <c r="CRA150" s="72"/>
      <c r="CRB150" s="72"/>
      <c r="CRC150" s="72"/>
      <c r="CRD150" s="72"/>
      <c r="CRE150" s="72"/>
      <c r="CRF150" s="72"/>
      <c r="CRG150" s="72"/>
      <c r="CRH150" s="72"/>
      <c r="CRI150" s="72"/>
      <c r="CRJ150" s="72"/>
      <c r="CRK150" s="72"/>
      <c r="CRL150" s="72"/>
      <c r="CRM150" s="72"/>
      <c r="CRN150" s="72"/>
      <c r="CRO150" s="72"/>
      <c r="CRP150" s="72"/>
      <c r="CRQ150" s="72"/>
      <c r="CRR150" s="72"/>
      <c r="CRS150" s="72"/>
      <c r="CRT150" s="72"/>
      <c r="CRU150" s="72"/>
      <c r="CRV150" s="72"/>
      <c r="CRW150" s="72"/>
      <c r="CRX150" s="72"/>
      <c r="CRY150" s="72"/>
      <c r="CRZ150" s="72"/>
      <c r="CSA150" s="72"/>
      <c r="CSB150" s="72"/>
      <c r="CSC150" s="72"/>
      <c r="CSD150" s="72"/>
      <c r="CSE150" s="72"/>
      <c r="CSF150" s="72"/>
      <c r="CSG150" s="72"/>
      <c r="CSH150" s="72"/>
      <c r="CSI150" s="72"/>
      <c r="CSJ150" s="72"/>
      <c r="CSK150" s="72"/>
      <c r="CSL150" s="72"/>
      <c r="CSM150" s="72"/>
      <c r="CSN150" s="72"/>
      <c r="CSO150" s="72"/>
      <c r="CSP150" s="72"/>
      <c r="CSQ150" s="72"/>
      <c r="CSR150" s="72"/>
      <c r="CSS150" s="72"/>
      <c r="CST150" s="72"/>
      <c r="CSU150" s="72"/>
      <c r="CSV150" s="72"/>
      <c r="CSW150" s="72"/>
      <c r="CSX150" s="72"/>
      <c r="CSY150" s="72"/>
      <c r="CSZ150" s="72"/>
      <c r="CTA150" s="72"/>
      <c r="CTB150" s="72"/>
      <c r="CTC150" s="72"/>
      <c r="CTD150" s="72"/>
      <c r="CTE150" s="72"/>
      <c r="CTF150" s="72"/>
      <c r="CTG150" s="72"/>
      <c r="CTH150" s="72"/>
      <c r="CTI150" s="72"/>
      <c r="CTJ150" s="72"/>
      <c r="CTK150" s="72"/>
      <c r="CTL150" s="72"/>
      <c r="CTM150" s="72"/>
      <c r="CTN150" s="72"/>
      <c r="CTO150" s="72"/>
      <c r="CTP150" s="72"/>
      <c r="CTQ150" s="72"/>
      <c r="CTR150" s="72"/>
      <c r="CTS150" s="72"/>
      <c r="CTT150" s="72"/>
      <c r="CTU150" s="72"/>
      <c r="CTV150" s="72"/>
      <c r="CTW150" s="72"/>
      <c r="CTX150" s="72"/>
      <c r="CTY150" s="72"/>
      <c r="CTZ150" s="72"/>
      <c r="CUA150" s="72"/>
      <c r="CUB150" s="72"/>
      <c r="CUC150" s="72"/>
      <c r="CUD150" s="72"/>
      <c r="CUE150" s="72"/>
      <c r="CUF150" s="72"/>
      <c r="CUG150" s="72"/>
      <c r="CUH150" s="72"/>
      <c r="CUI150" s="72"/>
      <c r="CUJ150" s="72"/>
      <c r="CUK150" s="72"/>
      <c r="CUL150" s="72"/>
      <c r="CUM150" s="72"/>
      <c r="CUN150" s="72"/>
      <c r="CUO150" s="72"/>
      <c r="CUP150" s="72"/>
      <c r="CUQ150" s="72"/>
      <c r="CUR150" s="72"/>
      <c r="CUS150" s="72"/>
      <c r="CUT150" s="72"/>
      <c r="CUU150" s="72"/>
      <c r="CUV150" s="72"/>
      <c r="CUW150" s="72"/>
      <c r="CUX150" s="72"/>
      <c r="CUY150" s="72"/>
      <c r="CUZ150" s="72"/>
      <c r="CVA150" s="72"/>
      <c r="CVB150" s="72"/>
      <c r="CVC150" s="72"/>
      <c r="CVD150" s="72"/>
      <c r="CVE150" s="72"/>
      <c r="CVF150" s="72"/>
      <c r="CVG150" s="72"/>
      <c r="CVH150" s="72"/>
      <c r="CVI150" s="72"/>
      <c r="CVJ150" s="72"/>
      <c r="CVK150" s="72"/>
      <c r="CVL150" s="72"/>
      <c r="CVM150" s="72"/>
      <c r="CVN150" s="72"/>
      <c r="CVO150" s="72"/>
      <c r="CVP150" s="72"/>
      <c r="CVQ150" s="72"/>
      <c r="CVR150" s="72"/>
      <c r="CVS150" s="72"/>
      <c r="CVT150" s="72"/>
      <c r="CVU150" s="72"/>
      <c r="CVV150" s="72"/>
      <c r="CVW150" s="72"/>
      <c r="CVX150" s="72"/>
      <c r="CVY150" s="72"/>
      <c r="CVZ150" s="72"/>
      <c r="CWA150" s="72"/>
      <c r="CWB150" s="72"/>
      <c r="CWC150" s="72"/>
      <c r="CWD150" s="72"/>
      <c r="CWE150" s="72"/>
      <c r="CWF150" s="72"/>
      <c r="CWG150" s="72"/>
      <c r="CWH150" s="72"/>
      <c r="CWI150" s="72"/>
      <c r="CWJ150" s="72"/>
      <c r="CWK150" s="72"/>
      <c r="CWL150" s="72"/>
      <c r="CWM150" s="72"/>
      <c r="CWN150" s="72"/>
      <c r="CWO150" s="72"/>
      <c r="CWP150" s="72"/>
      <c r="CWQ150" s="72"/>
      <c r="CWR150" s="72"/>
      <c r="CWS150" s="72"/>
      <c r="CWT150" s="72"/>
      <c r="CWU150" s="72"/>
      <c r="CWV150" s="72"/>
      <c r="CWW150" s="72"/>
      <c r="CWX150" s="72"/>
      <c r="CWY150" s="72"/>
      <c r="CWZ150" s="72"/>
      <c r="CXA150" s="72"/>
      <c r="CXB150" s="72"/>
      <c r="CXC150" s="72"/>
      <c r="CXD150" s="72"/>
      <c r="CXE150" s="72"/>
      <c r="CXF150" s="72"/>
      <c r="CXG150" s="72"/>
      <c r="CXH150" s="72"/>
      <c r="CXI150" s="72"/>
      <c r="CXJ150" s="72"/>
      <c r="CXK150" s="72"/>
      <c r="CXL150" s="72"/>
      <c r="CXM150" s="72"/>
      <c r="CXN150" s="72"/>
      <c r="CXO150" s="72"/>
      <c r="CXP150" s="72"/>
      <c r="CXQ150" s="72"/>
      <c r="CXR150" s="72"/>
      <c r="CXS150" s="72"/>
      <c r="CXT150" s="72"/>
      <c r="CXU150" s="72"/>
      <c r="CXV150" s="72"/>
      <c r="CXW150" s="72"/>
      <c r="CXX150" s="72"/>
      <c r="CXY150" s="72"/>
      <c r="CXZ150" s="72"/>
      <c r="CYA150" s="72"/>
      <c r="CYB150" s="72"/>
      <c r="CYC150" s="72"/>
      <c r="CYD150" s="72"/>
      <c r="CYE150" s="72"/>
      <c r="CYF150" s="72"/>
      <c r="CYG150" s="72"/>
      <c r="CYH150" s="72"/>
      <c r="CYI150" s="72"/>
      <c r="CYJ150" s="72"/>
      <c r="CYK150" s="72"/>
      <c r="CYL150" s="72"/>
      <c r="CYM150" s="72"/>
      <c r="CYN150" s="72"/>
      <c r="CYO150" s="72"/>
      <c r="CYP150" s="72"/>
      <c r="CYQ150" s="72"/>
      <c r="CYR150" s="72"/>
      <c r="CYS150" s="72"/>
      <c r="CYT150" s="72"/>
      <c r="CYU150" s="72"/>
      <c r="CYV150" s="72"/>
      <c r="CYW150" s="72"/>
      <c r="CYX150" s="72"/>
      <c r="CYY150" s="72"/>
      <c r="CYZ150" s="72"/>
      <c r="CZA150" s="72"/>
      <c r="CZB150" s="72"/>
      <c r="CZC150" s="72"/>
      <c r="CZD150" s="72"/>
      <c r="CZE150" s="72"/>
      <c r="CZF150" s="72"/>
      <c r="CZG150" s="72"/>
      <c r="CZH150" s="72"/>
      <c r="CZI150" s="72"/>
      <c r="CZJ150" s="72"/>
      <c r="CZK150" s="72"/>
      <c r="CZL150" s="72"/>
      <c r="CZM150" s="72"/>
      <c r="CZN150" s="72"/>
      <c r="CZO150" s="72"/>
      <c r="CZP150" s="72"/>
      <c r="CZQ150" s="72"/>
      <c r="CZR150" s="72"/>
      <c r="CZS150" s="72"/>
      <c r="CZT150" s="72"/>
      <c r="CZU150" s="72"/>
      <c r="CZV150" s="72"/>
      <c r="CZW150" s="72"/>
      <c r="CZX150" s="72"/>
      <c r="CZY150" s="72"/>
      <c r="CZZ150" s="72"/>
      <c r="DAA150" s="72"/>
      <c r="DAB150" s="72"/>
      <c r="DAC150" s="72"/>
      <c r="DAD150" s="72"/>
      <c r="DAE150" s="72"/>
      <c r="DAF150" s="72"/>
      <c r="DAG150" s="72"/>
      <c r="DAH150" s="72"/>
      <c r="DAI150" s="72"/>
      <c r="DAJ150" s="72"/>
      <c r="DAK150" s="72"/>
      <c r="DAL150" s="72"/>
      <c r="DAM150" s="72"/>
      <c r="DAN150" s="72"/>
      <c r="DAO150" s="72"/>
      <c r="DAP150" s="72"/>
      <c r="DAQ150" s="72"/>
      <c r="DAR150" s="72"/>
      <c r="DAS150" s="72"/>
      <c r="DAT150" s="72"/>
      <c r="DAU150" s="72"/>
      <c r="DAV150" s="72"/>
      <c r="DAW150" s="72"/>
      <c r="DAX150" s="72"/>
      <c r="DAY150" s="72"/>
      <c r="DAZ150" s="72"/>
      <c r="DBA150" s="72"/>
      <c r="DBB150" s="72"/>
      <c r="DBC150" s="72"/>
      <c r="DBD150" s="72"/>
      <c r="DBE150" s="72"/>
      <c r="DBF150" s="72"/>
      <c r="DBG150" s="72"/>
      <c r="DBH150" s="72"/>
      <c r="DBI150" s="72"/>
      <c r="DBJ150" s="72"/>
      <c r="DBK150" s="72"/>
      <c r="DBL150" s="72"/>
      <c r="DBM150" s="72"/>
      <c r="DBN150" s="72"/>
      <c r="DBO150" s="72"/>
      <c r="DBP150" s="72"/>
      <c r="DBQ150" s="72"/>
      <c r="DBR150" s="72"/>
      <c r="DBS150" s="72"/>
      <c r="DBT150" s="72"/>
      <c r="DBU150" s="72"/>
      <c r="DBV150" s="72"/>
      <c r="DBW150" s="72"/>
      <c r="DBX150" s="72"/>
      <c r="DBY150" s="72"/>
      <c r="DBZ150" s="72"/>
      <c r="DCA150" s="72"/>
      <c r="DCB150" s="72"/>
      <c r="DCC150" s="72"/>
      <c r="DCD150" s="72"/>
      <c r="DCE150" s="72"/>
      <c r="DCF150" s="72"/>
      <c r="DCG150" s="72"/>
      <c r="DCH150" s="72"/>
      <c r="DCI150" s="72"/>
      <c r="DCJ150" s="72"/>
      <c r="DCK150" s="72"/>
      <c r="DCL150" s="72"/>
      <c r="DCM150" s="72"/>
      <c r="DCN150" s="72"/>
      <c r="DCO150" s="72"/>
      <c r="DCP150" s="72"/>
      <c r="DCQ150" s="72"/>
      <c r="DCR150" s="72"/>
      <c r="DCS150" s="72"/>
      <c r="DCT150" s="72"/>
      <c r="DCU150" s="72"/>
      <c r="DCV150" s="72"/>
      <c r="DCW150" s="72"/>
      <c r="DCX150" s="72"/>
      <c r="DCY150" s="72"/>
      <c r="DCZ150" s="72"/>
      <c r="DDA150" s="72"/>
      <c r="DDB150" s="72"/>
      <c r="DDC150" s="72"/>
      <c r="DDD150" s="72"/>
      <c r="DDE150" s="72"/>
      <c r="DDF150" s="72"/>
      <c r="DDG150" s="72"/>
      <c r="DDH150" s="72"/>
      <c r="DDI150" s="72"/>
      <c r="DDJ150" s="72"/>
      <c r="DDK150" s="72"/>
      <c r="DDL150" s="72"/>
      <c r="DDM150" s="72"/>
      <c r="DDN150" s="72"/>
      <c r="DDO150" s="72"/>
      <c r="DDP150" s="72"/>
      <c r="DDQ150" s="72"/>
      <c r="DDR150" s="72"/>
      <c r="DDS150" s="72"/>
      <c r="DDT150" s="72"/>
      <c r="DDU150" s="72"/>
      <c r="DDV150" s="72"/>
      <c r="DDW150" s="72"/>
      <c r="DDX150" s="72"/>
      <c r="DDY150" s="72"/>
      <c r="DDZ150" s="72"/>
      <c r="DEA150" s="72"/>
      <c r="DEB150" s="72"/>
      <c r="DEC150" s="72"/>
      <c r="DED150" s="72"/>
      <c r="DEE150" s="72"/>
      <c r="DEF150" s="72"/>
      <c r="DEG150" s="72"/>
      <c r="DEH150" s="72"/>
      <c r="DEI150" s="72"/>
      <c r="DEJ150" s="72"/>
      <c r="DEK150" s="72"/>
      <c r="DEL150" s="72"/>
      <c r="DEM150" s="72"/>
      <c r="DEN150" s="72"/>
      <c r="DEO150" s="72"/>
      <c r="DEP150" s="72"/>
      <c r="DEQ150" s="72"/>
      <c r="DER150" s="72"/>
      <c r="DES150" s="72"/>
      <c r="DET150" s="72"/>
      <c r="DEU150" s="72"/>
      <c r="DEV150" s="72"/>
      <c r="DEW150" s="72"/>
      <c r="DEX150" s="72"/>
      <c r="DEY150" s="72"/>
      <c r="DEZ150" s="72"/>
      <c r="DFA150" s="72"/>
      <c r="DFB150" s="72"/>
      <c r="DFC150" s="72"/>
      <c r="DFD150" s="72"/>
      <c r="DFE150" s="72"/>
      <c r="DFF150" s="72"/>
      <c r="DFG150" s="72"/>
      <c r="DFH150" s="72"/>
      <c r="DFI150" s="72"/>
      <c r="DFJ150" s="72"/>
      <c r="DFK150" s="72"/>
      <c r="DFL150" s="72"/>
      <c r="DFM150" s="72"/>
      <c r="DFN150" s="72"/>
      <c r="DFO150" s="72"/>
      <c r="DFP150" s="72"/>
      <c r="DFQ150" s="72"/>
      <c r="DFR150" s="72"/>
      <c r="DFS150" s="72"/>
      <c r="DFT150" s="72"/>
      <c r="DFU150" s="72"/>
      <c r="DFV150" s="72"/>
      <c r="DFW150" s="72"/>
      <c r="DFX150" s="72"/>
      <c r="DFY150" s="72"/>
      <c r="DFZ150" s="72"/>
      <c r="DGA150" s="72"/>
      <c r="DGB150" s="72"/>
      <c r="DGC150" s="72"/>
      <c r="DGD150" s="72"/>
      <c r="DGE150" s="72"/>
      <c r="DGF150" s="72"/>
      <c r="DGG150" s="72"/>
      <c r="DGH150" s="72"/>
      <c r="DGI150" s="72"/>
      <c r="DGJ150" s="72"/>
      <c r="DGK150" s="72"/>
      <c r="DGL150" s="72"/>
      <c r="DGM150" s="72"/>
      <c r="DGN150" s="72"/>
      <c r="DGO150" s="72"/>
      <c r="DGP150" s="72"/>
      <c r="DGQ150" s="72"/>
      <c r="DGR150" s="72"/>
      <c r="DGS150" s="72"/>
      <c r="DGT150" s="72"/>
      <c r="DGU150" s="72"/>
      <c r="DGV150" s="72"/>
      <c r="DGW150" s="72"/>
      <c r="DGX150" s="72"/>
      <c r="DGY150" s="72"/>
      <c r="DGZ150" s="72"/>
      <c r="DHA150" s="72"/>
      <c r="DHB150" s="72"/>
      <c r="DHC150" s="72"/>
      <c r="DHD150" s="72"/>
      <c r="DHE150" s="72"/>
      <c r="DHF150" s="72"/>
      <c r="DHG150" s="72"/>
      <c r="DHH150" s="72"/>
      <c r="DHI150" s="72"/>
      <c r="DHJ150" s="72"/>
      <c r="DHK150" s="72"/>
      <c r="DHL150" s="72"/>
      <c r="DHM150" s="72"/>
      <c r="DHN150" s="72"/>
      <c r="DHO150" s="72"/>
      <c r="DHP150" s="72"/>
      <c r="DHQ150" s="72"/>
      <c r="DHR150" s="72"/>
      <c r="DHS150" s="72"/>
      <c r="DHT150" s="72"/>
      <c r="DHU150" s="72"/>
      <c r="DHV150" s="72"/>
      <c r="DHW150" s="72"/>
      <c r="DHX150" s="72"/>
      <c r="DHY150" s="72"/>
      <c r="DHZ150" s="72"/>
      <c r="DIA150" s="72"/>
      <c r="DIB150" s="72"/>
      <c r="DIC150" s="72"/>
      <c r="DID150" s="72"/>
      <c r="DIE150" s="72"/>
      <c r="DIF150" s="72"/>
      <c r="DIG150" s="72"/>
      <c r="DIH150" s="72"/>
      <c r="DII150" s="72"/>
      <c r="DIJ150" s="72"/>
      <c r="DIK150" s="72"/>
      <c r="DIL150" s="72"/>
      <c r="DIM150" s="72"/>
      <c r="DIN150" s="72"/>
      <c r="DIO150" s="72"/>
      <c r="DIP150" s="72"/>
      <c r="DIQ150" s="72"/>
      <c r="DIR150" s="72"/>
      <c r="DIS150" s="72"/>
      <c r="DIT150" s="72"/>
      <c r="DIU150" s="72"/>
      <c r="DIV150" s="72"/>
      <c r="DIW150" s="72"/>
      <c r="DIX150" s="72"/>
      <c r="DIY150" s="72"/>
      <c r="DIZ150" s="72"/>
      <c r="DJA150" s="72"/>
      <c r="DJB150" s="72"/>
      <c r="DJC150" s="72"/>
      <c r="DJD150" s="72"/>
      <c r="DJE150" s="72"/>
      <c r="DJF150" s="72"/>
      <c r="DJG150" s="72"/>
      <c r="DJH150" s="72"/>
      <c r="DJI150" s="72"/>
      <c r="DJJ150" s="72"/>
      <c r="DJK150" s="72"/>
      <c r="DJL150" s="72"/>
      <c r="DJM150" s="72"/>
      <c r="DJN150" s="72"/>
      <c r="DJO150" s="72"/>
      <c r="DJP150" s="72"/>
      <c r="DJQ150" s="72"/>
      <c r="DJR150" s="72"/>
      <c r="DJS150" s="72"/>
      <c r="DJT150" s="72"/>
      <c r="DJU150" s="72"/>
      <c r="DJV150" s="72"/>
      <c r="DJW150" s="72"/>
      <c r="DJX150" s="72"/>
      <c r="DJY150" s="72"/>
      <c r="DJZ150" s="72"/>
      <c r="DKA150" s="72"/>
      <c r="DKB150" s="72"/>
      <c r="DKC150" s="72"/>
      <c r="DKD150" s="72"/>
      <c r="DKE150" s="72"/>
      <c r="DKF150" s="72"/>
      <c r="DKG150" s="72"/>
      <c r="DKH150" s="72"/>
      <c r="DKI150" s="72"/>
      <c r="DKJ150" s="72"/>
      <c r="DKK150" s="72"/>
      <c r="DKL150" s="72"/>
      <c r="DKM150" s="72"/>
      <c r="DKN150" s="72"/>
      <c r="DKO150" s="72"/>
      <c r="DKP150" s="72"/>
      <c r="DKQ150" s="72"/>
      <c r="DKR150" s="72"/>
      <c r="DKS150" s="72"/>
      <c r="DKT150" s="72"/>
      <c r="DKU150" s="72"/>
      <c r="DKV150" s="72"/>
      <c r="DKW150" s="72"/>
      <c r="DKX150" s="72"/>
      <c r="DKY150" s="72"/>
      <c r="DKZ150" s="72"/>
      <c r="DLA150" s="72"/>
      <c r="DLB150" s="72"/>
      <c r="DLC150" s="72"/>
      <c r="DLD150" s="72"/>
      <c r="DLE150" s="72"/>
      <c r="DLF150" s="72"/>
      <c r="DLG150" s="72"/>
      <c r="DLH150" s="72"/>
      <c r="DLI150" s="72"/>
      <c r="DLJ150" s="72"/>
      <c r="DLK150" s="72"/>
      <c r="DLL150" s="72"/>
      <c r="DLM150" s="72"/>
      <c r="DLN150" s="72"/>
      <c r="DLO150" s="72"/>
      <c r="DLP150" s="72"/>
      <c r="DLQ150" s="72"/>
      <c r="DLR150" s="72"/>
      <c r="DLS150" s="72"/>
      <c r="DLT150" s="72"/>
      <c r="DLU150" s="72"/>
      <c r="DLV150" s="72"/>
      <c r="DLW150" s="72"/>
      <c r="DLX150" s="72"/>
      <c r="DLY150" s="72"/>
      <c r="DLZ150" s="72"/>
      <c r="DMA150" s="72"/>
      <c r="DMB150" s="72"/>
      <c r="DMC150" s="72"/>
      <c r="DMD150" s="72"/>
      <c r="DME150" s="72"/>
      <c r="DMF150" s="72"/>
      <c r="DMG150" s="72"/>
      <c r="DMH150" s="72"/>
      <c r="DMI150" s="72"/>
      <c r="DMJ150" s="72"/>
      <c r="DMK150" s="72"/>
      <c r="DML150" s="72"/>
      <c r="DMM150" s="72"/>
      <c r="DMN150" s="72"/>
      <c r="DMO150" s="72"/>
      <c r="DMP150" s="72"/>
      <c r="DMQ150" s="72"/>
      <c r="DMR150" s="72"/>
      <c r="DMS150" s="72"/>
      <c r="DMT150" s="72"/>
      <c r="DMU150" s="72"/>
      <c r="DMV150" s="72"/>
      <c r="DMW150" s="72"/>
      <c r="DMX150" s="72"/>
      <c r="DMY150" s="72"/>
      <c r="DMZ150" s="72"/>
      <c r="DNA150" s="72"/>
      <c r="DNB150" s="72"/>
      <c r="DNC150" s="72"/>
      <c r="DND150" s="72"/>
      <c r="DNE150" s="72"/>
      <c r="DNF150" s="72"/>
      <c r="DNG150" s="72"/>
      <c r="DNH150" s="72"/>
      <c r="DNI150" s="72"/>
      <c r="DNJ150" s="72"/>
      <c r="DNK150" s="72"/>
      <c r="DNL150" s="72"/>
      <c r="DNM150" s="72"/>
      <c r="DNN150" s="72"/>
      <c r="DNO150" s="72"/>
      <c r="DNP150" s="72"/>
      <c r="DNQ150" s="72"/>
      <c r="DNR150" s="72"/>
      <c r="DNS150" s="72"/>
      <c r="DNT150" s="72"/>
      <c r="DNU150" s="72"/>
      <c r="DNV150" s="72"/>
      <c r="DNW150" s="72"/>
      <c r="DNX150" s="72"/>
      <c r="DNY150" s="72"/>
      <c r="DNZ150" s="72"/>
      <c r="DOA150" s="72"/>
      <c r="DOB150" s="72"/>
      <c r="DOC150" s="72"/>
      <c r="DOD150" s="72"/>
      <c r="DOE150" s="72"/>
      <c r="DOF150" s="72"/>
      <c r="DOG150" s="72"/>
      <c r="DOH150" s="72"/>
      <c r="DOI150" s="72"/>
      <c r="DOJ150" s="72"/>
      <c r="DOK150" s="72"/>
      <c r="DOL150" s="72"/>
      <c r="DOM150" s="72"/>
      <c r="DON150" s="72"/>
      <c r="DOO150" s="72"/>
      <c r="DOP150" s="72"/>
      <c r="DOQ150" s="72"/>
      <c r="DOR150" s="72"/>
      <c r="DOS150" s="72"/>
      <c r="DOT150" s="72"/>
      <c r="DOU150" s="72"/>
      <c r="DOV150" s="72"/>
      <c r="DOW150" s="72"/>
      <c r="DOX150" s="72"/>
      <c r="DOY150" s="72"/>
      <c r="DOZ150" s="72"/>
      <c r="DPA150" s="72"/>
      <c r="DPB150" s="72"/>
      <c r="DPC150" s="72"/>
      <c r="DPD150" s="72"/>
      <c r="DPE150" s="72"/>
      <c r="DPF150" s="72"/>
      <c r="DPG150" s="72"/>
      <c r="DPH150" s="72"/>
      <c r="DPI150" s="72"/>
      <c r="DPJ150" s="72"/>
      <c r="DPK150" s="72"/>
      <c r="DPL150" s="72"/>
      <c r="DPM150" s="72"/>
      <c r="DPN150" s="72"/>
      <c r="DPO150" s="72"/>
      <c r="DPP150" s="72"/>
      <c r="DPQ150" s="72"/>
      <c r="DPR150" s="72"/>
      <c r="DPS150" s="72"/>
      <c r="DPT150" s="72"/>
      <c r="DPU150" s="72"/>
      <c r="DPV150" s="72"/>
      <c r="DPW150" s="72"/>
      <c r="DPX150" s="72"/>
      <c r="DPY150" s="72"/>
      <c r="DPZ150" s="72"/>
      <c r="DQA150" s="72"/>
      <c r="DQB150" s="72"/>
      <c r="DQC150" s="72"/>
      <c r="DQD150" s="72"/>
      <c r="DQE150" s="72"/>
      <c r="DQF150" s="72"/>
      <c r="DQG150" s="72"/>
      <c r="DQH150" s="72"/>
      <c r="DQI150" s="72"/>
      <c r="DQJ150" s="72"/>
      <c r="DQK150" s="72"/>
      <c r="DQL150" s="72"/>
      <c r="DQM150" s="72"/>
      <c r="DQN150" s="72"/>
      <c r="DQO150" s="72"/>
      <c r="DQP150" s="72"/>
      <c r="DQQ150" s="72"/>
      <c r="DQR150" s="72"/>
      <c r="DQS150" s="72"/>
      <c r="DQT150" s="72"/>
      <c r="DQU150" s="72"/>
      <c r="DQV150" s="72"/>
      <c r="DQW150" s="72"/>
      <c r="DQX150" s="72"/>
      <c r="DQY150" s="72"/>
      <c r="DQZ150" s="72"/>
      <c r="DRA150" s="72"/>
      <c r="DRB150" s="72"/>
      <c r="DRC150" s="72"/>
      <c r="DRD150" s="72"/>
      <c r="DRE150" s="72"/>
      <c r="DRF150" s="72"/>
      <c r="DRG150" s="72"/>
      <c r="DRH150" s="72"/>
      <c r="DRI150" s="72"/>
      <c r="DRJ150" s="72"/>
      <c r="DRK150" s="72"/>
      <c r="DRL150" s="72"/>
      <c r="DRM150" s="72"/>
      <c r="DRN150" s="72"/>
      <c r="DRO150" s="72"/>
      <c r="DRP150" s="72"/>
      <c r="DRQ150" s="72"/>
      <c r="DRR150" s="72"/>
      <c r="DRS150" s="72"/>
      <c r="DRT150" s="72"/>
      <c r="DRU150" s="72"/>
      <c r="DRV150" s="72"/>
      <c r="DRW150" s="72"/>
      <c r="DRX150" s="72"/>
      <c r="DRY150" s="72"/>
      <c r="DRZ150" s="72"/>
      <c r="DSA150" s="72"/>
      <c r="DSB150" s="72"/>
      <c r="DSC150" s="72"/>
      <c r="DSD150" s="72"/>
      <c r="DSE150" s="72"/>
      <c r="DSF150" s="72"/>
      <c r="DSG150" s="72"/>
      <c r="DSH150" s="72"/>
      <c r="DSI150" s="72"/>
      <c r="DSJ150" s="72"/>
      <c r="DSK150" s="72"/>
      <c r="DSL150" s="72"/>
      <c r="DSM150" s="72"/>
      <c r="DSN150" s="72"/>
      <c r="DSO150" s="72"/>
      <c r="DSP150" s="72"/>
      <c r="DSQ150" s="72"/>
      <c r="DSR150" s="72"/>
      <c r="DSS150" s="72"/>
      <c r="DST150" s="72"/>
      <c r="DSU150" s="72"/>
      <c r="DSV150" s="72"/>
      <c r="DSW150" s="72"/>
      <c r="DSX150" s="72"/>
      <c r="DSY150" s="72"/>
      <c r="DSZ150" s="72"/>
      <c r="DTA150" s="72"/>
      <c r="DTB150" s="72"/>
      <c r="DTC150" s="72"/>
      <c r="DTD150" s="72"/>
      <c r="DTE150" s="72"/>
      <c r="DTF150" s="72"/>
      <c r="DTG150" s="72"/>
      <c r="DTH150" s="72"/>
      <c r="DTI150" s="72"/>
      <c r="DTJ150" s="72"/>
      <c r="DTK150" s="72"/>
      <c r="DTL150" s="72"/>
      <c r="DTM150" s="72"/>
      <c r="DTN150" s="72"/>
      <c r="DTO150" s="72"/>
      <c r="DTP150" s="72"/>
      <c r="DTQ150" s="72"/>
      <c r="DTR150" s="72"/>
      <c r="DTS150" s="72"/>
      <c r="DTT150" s="72"/>
      <c r="DTU150" s="72"/>
      <c r="DTV150" s="72"/>
      <c r="DTW150" s="72"/>
      <c r="DTX150" s="72"/>
      <c r="DTY150" s="72"/>
      <c r="DTZ150" s="72"/>
      <c r="DUA150" s="72"/>
      <c r="DUB150" s="72"/>
      <c r="DUC150" s="72"/>
      <c r="DUD150" s="72"/>
      <c r="DUE150" s="72"/>
      <c r="DUF150" s="72"/>
      <c r="DUG150" s="72"/>
      <c r="DUH150" s="72"/>
      <c r="DUI150" s="72"/>
      <c r="DUJ150" s="72"/>
      <c r="DUK150" s="72"/>
      <c r="DUL150" s="72"/>
      <c r="DUM150" s="72"/>
      <c r="DUN150" s="72"/>
      <c r="DUO150" s="72"/>
      <c r="DUP150" s="72"/>
      <c r="DUQ150" s="72"/>
      <c r="DUR150" s="72"/>
      <c r="DUS150" s="72"/>
      <c r="DUT150" s="72"/>
      <c r="DUU150" s="72"/>
      <c r="DUV150" s="72"/>
      <c r="DUW150" s="72"/>
      <c r="DUX150" s="72"/>
      <c r="DUY150" s="72"/>
      <c r="DUZ150" s="72"/>
      <c r="DVA150" s="72"/>
      <c r="DVB150" s="72"/>
      <c r="DVC150" s="72"/>
      <c r="DVD150" s="72"/>
      <c r="DVE150" s="72"/>
      <c r="DVF150" s="72"/>
      <c r="DVG150" s="72"/>
      <c r="DVH150" s="72"/>
      <c r="DVI150" s="72"/>
      <c r="DVJ150" s="72"/>
      <c r="DVK150" s="72"/>
      <c r="DVL150" s="72"/>
      <c r="DVM150" s="72"/>
      <c r="DVN150" s="72"/>
      <c r="DVO150" s="72"/>
      <c r="DVP150" s="72"/>
      <c r="DVQ150" s="72"/>
      <c r="DVR150" s="72"/>
      <c r="DVS150" s="72"/>
      <c r="DVT150" s="72"/>
      <c r="DVU150" s="72"/>
      <c r="DVV150" s="72"/>
      <c r="DVW150" s="72"/>
      <c r="DVX150" s="72"/>
      <c r="DVY150" s="72"/>
      <c r="DVZ150" s="72"/>
      <c r="DWA150" s="72"/>
      <c r="DWB150" s="72"/>
      <c r="DWC150" s="72"/>
      <c r="DWD150" s="72"/>
      <c r="DWE150" s="72"/>
      <c r="DWF150" s="72"/>
      <c r="DWG150" s="72"/>
      <c r="DWH150" s="72"/>
      <c r="DWI150" s="72"/>
      <c r="DWJ150" s="72"/>
      <c r="DWK150" s="72"/>
      <c r="DWL150" s="72"/>
      <c r="DWM150" s="72"/>
      <c r="DWN150" s="72"/>
      <c r="DWO150" s="72"/>
      <c r="DWP150" s="72"/>
      <c r="DWQ150" s="72"/>
      <c r="DWR150" s="72"/>
      <c r="DWS150" s="72"/>
      <c r="DWT150" s="72"/>
      <c r="DWU150" s="72"/>
      <c r="DWV150" s="72"/>
      <c r="DWW150" s="72"/>
      <c r="DWX150" s="72"/>
      <c r="DWY150" s="72"/>
      <c r="DWZ150" s="72"/>
      <c r="DXA150" s="72"/>
      <c r="DXB150" s="72"/>
      <c r="DXC150" s="72"/>
      <c r="DXD150" s="72"/>
      <c r="DXE150" s="72"/>
      <c r="DXF150" s="72"/>
      <c r="DXG150" s="72"/>
      <c r="DXH150" s="72"/>
      <c r="DXI150" s="72"/>
      <c r="DXJ150" s="72"/>
      <c r="DXK150" s="72"/>
      <c r="DXL150" s="72"/>
      <c r="DXM150" s="72"/>
      <c r="DXN150" s="72"/>
      <c r="DXO150" s="72"/>
      <c r="DXP150" s="72"/>
      <c r="DXQ150" s="72"/>
      <c r="DXR150" s="72"/>
      <c r="DXS150" s="72"/>
      <c r="DXT150" s="72"/>
      <c r="DXU150" s="72"/>
      <c r="DXV150" s="72"/>
      <c r="DXW150" s="72"/>
      <c r="DXX150" s="72"/>
      <c r="DXY150" s="72"/>
      <c r="DXZ150" s="72"/>
      <c r="DYA150" s="72"/>
      <c r="DYB150" s="72"/>
      <c r="DYC150" s="72"/>
      <c r="DYD150" s="72"/>
      <c r="DYE150" s="72"/>
      <c r="DYF150" s="72"/>
      <c r="DYG150" s="72"/>
      <c r="DYH150" s="72"/>
      <c r="DYI150" s="72"/>
      <c r="DYJ150" s="72"/>
      <c r="DYK150" s="72"/>
      <c r="DYL150" s="72"/>
      <c r="DYM150" s="72"/>
      <c r="DYN150" s="72"/>
      <c r="DYO150" s="72"/>
      <c r="DYP150" s="72"/>
      <c r="DYQ150" s="72"/>
      <c r="DYR150" s="72"/>
      <c r="DYS150" s="72"/>
      <c r="DYT150" s="72"/>
      <c r="DYU150" s="72"/>
      <c r="DYV150" s="72"/>
      <c r="DYW150" s="72"/>
      <c r="DYX150" s="72"/>
      <c r="DYY150" s="72"/>
      <c r="DYZ150" s="72"/>
      <c r="DZA150" s="72"/>
      <c r="DZB150" s="72"/>
      <c r="DZC150" s="72"/>
      <c r="DZD150" s="72"/>
      <c r="DZE150" s="72"/>
      <c r="DZF150" s="72"/>
      <c r="DZG150" s="72"/>
      <c r="DZH150" s="72"/>
      <c r="DZI150" s="72"/>
      <c r="DZJ150" s="72"/>
      <c r="DZK150" s="72"/>
      <c r="DZL150" s="72"/>
      <c r="DZM150" s="72"/>
      <c r="DZN150" s="72"/>
      <c r="DZO150" s="72"/>
      <c r="DZP150" s="72"/>
      <c r="DZQ150" s="72"/>
      <c r="DZR150" s="72"/>
      <c r="DZS150" s="72"/>
      <c r="DZT150" s="72"/>
      <c r="DZU150" s="72"/>
      <c r="DZV150" s="72"/>
      <c r="DZW150" s="72"/>
      <c r="DZX150" s="72"/>
      <c r="DZY150" s="72"/>
      <c r="DZZ150" s="72"/>
      <c r="EAA150" s="72"/>
      <c r="EAB150" s="72"/>
      <c r="EAC150" s="72"/>
      <c r="EAD150" s="72"/>
      <c r="EAE150" s="72"/>
      <c r="EAF150" s="72"/>
      <c r="EAG150" s="72"/>
      <c r="EAH150" s="72"/>
      <c r="EAI150" s="72"/>
      <c r="EAJ150" s="72"/>
      <c r="EAK150" s="72"/>
      <c r="EAL150" s="72"/>
      <c r="EAM150" s="72"/>
      <c r="EAN150" s="72"/>
      <c r="EAO150" s="72"/>
      <c r="EAP150" s="72"/>
      <c r="EAQ150" s="72"/>
      <c r="EAR150" s="72"/>
      <c r="EAS150" s="72"/>
      <c r="EAT150" s="72"/>
      <c r="EAU150" s="72"/>
      <c r="EAV150" s="72"/>
      <c r="EAW150" s="72"/>
      <c r="EAX150" s="72"/>
      <c r="EAY150" s="72"/>
      <c r="EAZ150" s="72"/>
      <c r="EBA150" s="72"/>
      <c r="EBB150" s="72"/>
      <c r="EBC150" s="72"/>
      <c r="EBD150" s="72"/>
      <c r="EBE150" s="72"/>
      <c r="EBF150" s="72"/>
      <c r="EBG150" s="72"/>
      <c r="EBH150" s="72"/>
      <c r="EBI150" s="72"/>
      <c r="EBJ150" s="72"/>
      <c r="EBK150" s="72"/>
      <c r="EBL150" s="72"/>
      <c r="EBM150" s="72"/>
      <c r="EBN150" s="72"/>
      <c r="EBO150" s="72"/>
      <c r="EBP150" s="72"/>
      <c r="EBQ150" s="72"/>
      <c r="EBR150" s="72"/>
      <c r="EBS150" s="72"/>
      <c r="EBT150" s="72"/>
      <c r="EBU150" s="72"/>
      <c r="EBV150" s="72"/>
      <c r="EBW150" s="72"/>
      <c r="EBX150" s="72"/>
      <c r="EBY150" s="72"/>
      <c r="EBZ150" s="72"/>
      <c r="ECA150" s="72"/>
      <c r="ECB150" s="72"/>
      <c r="ECC150" s="72"/>
      <c r="ECD150" s="72"/>
      <c r="ECE150" s="72"/>
      <c r="ECF150" s="72"/>
      <c r="ECG150" s="72"/>
      <c r="ECH150" s="72"/>
      <c r="ECI150" s="72"/>
      <c r="ECJ150" s="72"/>
      <c r="ECK150" s="72"/>
      <c r="ECL150" s="72"/>
      <c r="ECM150" s="72"/>
      <c r="ECN150" s="72"/>
      <c r="ECO150" s="72"/>
      <c r="ECP150" s="72"/>
      <c r="ECQ150" s="72"/>
      <c r="ECR150" s="72"/>
      <c r="ECS150" s="72"/>
      <c r="ECT150" s="72"/>
      <c r="ECU150" s="72"/>
      <c r="ECV150" s="72"/>
      <c r="ECW150" s="72"/>
      <c r="ECX150" s="72"/>
      <c r="ECY150" s="72"/>
      <c r="ECZ150" s="72"/>
      <c r="EDA150" s="72"/>
      <c r="EDB150" s="72"/>
      <c r="EDC150" s="72"/>
      <c r="EDD150" s="72"/>
      <c r="EDE150" s="72"/>
      <c r="EDF150" s="72"/>
      <c r="EDG150" s="72"/>
      <c r="EDH150" s="72"/>
      <c r="EDI150" s="72"/>
      <c r="EDJ150" s="72"/>
      <c r="EDK150" s="72"/>
      <c r="EDL150" s="72"/>
      <c r="EDM150" s="72"/>
      <c r="EDN150" s="72"/>
      <c r="EDO150" s="72"/>
      <c r="EDP150" s="72"/>
      <c r="EDQ150" s="72"/>
      <c r="EDR150" s="72"/>
      <c r="EDS150" s="72"/>
      <c r="EDT150" s="72"/>
      <c r="EDU150" s="72"/>
      <c r="EDV150" s="72"/>
      <c r="EDW150" s="72"/>
      <c r="EDX150" s="72"/>
      <c r="EDY150" s="72"/>
      <c r="EDZ150" s="72"/>
      <c r="EEA150" s="72"/>
      <c r="EEB150" s="72"/>
      <c r="EEC150" s="72"/>
      <c r="EED150" s="72"/>
      <c r="EEE150" s="72"/>
      <c r="EEF150" s="72"/>
      <c r="EEG150" s="72"/>
      <c r="EEH150" s="72"/>
      <c r="EEI150" s="72"/>
      <c r="EEJ150" s="72"/>
      <c r="EEK150" s="72"/>
      <c r="EEL150" s="72"/>
      <c r="EEM150" s="72"/>
      <c r="EEN150" s="72"/>
      <c r="EEO150" s="72"/>
      <c r="EEP150" s="72"/>
      <c r="EEQ150" s="72"/>
      <c r="EER150" s="72"/>
      <c r="EES150" s="72"/>
      <c r="EET150" s="72"/>
      <c r="EEU150" s="72"/>
      <c r="EEV150" s="72"/>
      <c r="EEW150" s="72"/>
      <c r="EEX150" s="72"/>
      <c r="EEY150" s="72"/>
      <c r="EEZ150" s="72"/>
      <c r="EFA150" s="72"/>
      <c r="EFB150" s="72"/>
      <c r="EFC150" s="72"/>
      <c r="EFD150" s="72"/>
      <c r="EFE150" s="72"/>
      <c r="EFF150" s="72"/>
      <c r="EFG150" s="72"/>
      <c r="EFH150" s="72"/>
      <c r="EFI150" s="72"/>
      <c r="EFJ150" s="72"/>
      <c r="EFK150" s="72"/>
      <c r="EFL150" s="72"/>
      <c r="EFM150" s="72"/>
      <c r="EFN150" s="72"/>
      <c r="EFO150" s="72"/>
      <c r="EFP150" s="72"/>
      <c r="EFQ150" s="72"/>
      <c r="EFR150" s="72"/>
      <c r="EFS150" s="72"/>
      <c r="EFT150" s="72"/>
      <c r="EFU150" s="72"/>
      <c r="EFV150" s="72"/>
      <c r="EFW150" s="72"/>
      <c r="EFX150" s="72"/>
      <c r="EFY150" s="72"/>
      <c r="EFZ150" s="72"/>
      <c r="EGA150" s="72"/>
      <c r="EGB150" s="72"/>
      <c r="EGC150" s="72"/>
      <c r="EGD150" s="72"/>
      <c r="EGE150" s="72"/>
      <c r="EGF150" s="72"/>
      <c r="EGG150" s="72"/>
      <c r="EGH150" s="72"/>
      <c r="EGI150" s="72"/>
      <c r="EGJ150" s="72"/>
      <c r="EGK150" s="72"/>
      <c r="EGL150" s="72"/>
      <c r="EGM150" s="72"/>
      <c r="EGN150" s="72"/>
      <c r="EGO150" s="72"/>
      <c r="EGP150" s="72"/>
      <c r="EGQ150" s="72"/>
      <c r="EGR150" s="72"/>
      <c r="EGS150" s="72"/>
      <c r="EGT150" s="72"/>
      <c r="EGU150" s="72"/>
      <c r="EGV150" s="72"/>
      <c r="EGW150" s="72"/>
      <c r="EGX150" s="72"/>
      <c r="EGY150" s="72"/>
      <c r="EGZ150" s="72"/>
      <c r="EHA150" s="72"/>
      <c r="EHB150" s="72"/>
      <c r="EHC150" s="72"/>
      <c r="EHD150" s="72"/>
      <c r="EHE150" s="72"/>
      <c r="EHF150" s="72"/>
      <c r="EHG150" s="72"/>
      <c r="EHH150" s="72"/>
      <c r="EHI150" s="72"/>
      <c r="EHJ150" s="72"/>
      <c r="EHK150" s="72"/>
      <c r="EHL150" s="72"/>
      <c r="EHM150" s="72"/>
      <c r="EHN150" s="72"/>
      <c r="EHO150" s="72"/>
      <c r="EHP150" s="72"/>
      <c r="EHQ150" s="72"/>
      <c r="EHR150" s="72"/>
      <c r="EHS150" s="72"/>
      <c r="EHT150" s="72"/>
      <c r="EHU150" s="72"/>
      <c r="EHV150" s="72"/>
      <c r="EHW150" s="72"/>
      <c r="EHX150" s="72"/>
      <c r="EHY150" s="72"/>
      <c r="EHZ150" s="72"/>
      <c r="EIA150" s="72"/>
      <c r="EIB150" s="72"/>
      <c r="EIC150" s="72"/>
      <c r="EID150" s="72"/>
      <c r="EIE150" s="72"/>
      <c r="EIF150" s="72"/>
      <c r="EIG150" s="72"/>
      <c r="EIH150" s="72"/>
      <c r="EII150" s="72"/>
      <c r="EIJ150" s="72"/>
      <c r="EIK150" s="72"/>
      <c r="EIL150" s="72"/>
      <c r="EIM150" s="72"/>
      <c r="EIN150" s="72"/>
      <c r="EIO150" s="72"/>
      <c r="EIP150" s="72"/>
      <c r="EIQ150" s="72"/>
      <c r="EIR150" s="72"/>
      <c r="EIS150" s="72"/>
      <c r="EIT150" s="72"/>
      <c r="EIU150" s="72"/>
      <c r="EIV150" s="72"/>
      <c r="EIW150" s="72"/>
      <c r="EIX150" s="72"/>
      <c r="EIY150" s="72"/>
      <c r="EIZ150" s="72"/>
      <c r="EJA150" s="72"/>
      <c r="EJB150" s="72"/>
      <c r="EJC150" s="72"/>
      <c r="EJD150" s="72"/>
      <c r="EJE150" s="72"/>
      <c r="EJF150" s="72"/>
      <c r="EJG150" s="72"/>
      <c r="EJH150" s="72"/>
      <c r="EJI150" s="72"/>
      <c r="EJJ150" s="72"/>
      <c r="EJK150" s="72"/>
      <c r="EJL150" s="72"/>
      <c r="EJM150" s="72"/>
      <c r="EJN150" s="72"/>
      <c r="EJO150" s="72"/>
      <c r="EJP150" s="72"/>
      <c r="EJQ150" s="72"/>
      <c r="EJR150" s="72"/>
      <c r="EJS150" s="72"/>
      <c r="EJT150" s="72"/>
      <c r="EJU150" s="72"/>
      <c r="EJV150" s="72"/>
      <c r="EJW150" s="72"/>
      <c r="EJX150" s="72"/>
      <c r="EJY150" s="72"/>
      <c r="EJZ150" s="72"/>
      <c r="EKA150" s="72"/>
      <c r="EKB150" s="72"/>
      <c r="EKC150" s="72"/>
      <c r="EKD150" s="72"/>
      <c r="EKE150" s="72"/>
      <c r="EKF150" s="72"/>
      <c r="EKG150" s="72"/>
      <c r="EKH150" s="72"/>
      <c r="EKI150" s="72"/>
      <c r="EKJ150" s="72"/>
      <c r="EKK150" s="72"/>
      <c r="EKL150" s="72"/>
      <c r="EKM150" s="72"/>
      <c r="EKN150" s="72"/>
      <c r="EKO150" s="72"/>
      <c r="EKP150" s="72"/>
      <c r="EKQ150" s="72"/>
      <c r="EKR150" s="72"/>
      <c r="EKS150" s="72"/>
      <c r="EKT150" s="72"/>
      <c r="EKU150" s="72"/>
      <c r="EKV150" s="72"/>
      <c r="EKW150" s="72"/>
      <c r="EKX150" s="72"/>
      <c r="EKY150" s="72"/>
      <c r="EKZ150" s="72"/>
      <c r="ELA150" s="72"/>
      <c r="ELB150" s="72"/>
      <c r="ELC150" s="72"/>
      <c r="ELD150" s="72"/>
      <c r="ELE150" s="72"/>
      <c r="ELF150" s="72"/>
      <c r="ELG150" s="72"/>
      <c r="ELH150" s="72"/>
      <c r="ELI150" s="72"/>
      <c r="ELJ150" s="72"/>
      <c r="ELK150" s="72"/>
      <c r="ELL150" s="72"/>
      <c r="ELM150" s="72"/>
      <c r="ELN150" s="72"/>
      <c r="ELO150" s="72"/>
      <c r="ELP150" s="72"/>
      <c r="ELQ150" s="72"/>
      <c r="ELR150" s="72"/>
      <c r="ELS150" s="72"/>
      <c r="ELT150" s="72"/>
      <c r="ELU150" s="72"/>
      <c r="ELV150" s="72"/>
      <c r="ELW150" s="72"/>
      <c r="ELX150" s="72"/>
      <c r="ELY150" s="72"/>
      <c r="ELZ150" s="72"/>
      <c r="EMA150" s="72"/>
      <c r="EMB150" s="72"/>
      <c r="EMC150" s="72"/>
      <c r="EMD150" s="72"/>
      <c r="EME150" s="72"/>
      <c r="EMF150" s="72"/>
      <c r="EMG150" s="72"/>
      <c r="EMH150" s="72"/>
      <c r="EMI150" s="72"/>
      <c r="EMJ150" s="72"/>
      <c r="EMK150" s="72"/>
      <c r="EML150" s="72"/>
      <c r="EMM150" s="72"/>
      <c r="EMN150" s="72"/>
      <c r="EMO150" s="72"/>
      <c r="EMP150" s="72"/>
      <c r="EMQ150" s="72"/>
      <c r="EMR150" s="72"/>
      <c r="EMS150" s="72"/>
      <c r="EMT150" s="72"/>
      <c r="EMU150" s="72"/>
      <c r="EMV150" s="72"/>
      <c r="EMW150" s="72"/>
      <c r="EMX150" s="72"/>
      <c r="EMY150" s="72"/>
      <c r="EMZ150" s="72"/>
      <c r="ENA150" s="72"/>
      <c r="ENB150" s="72"/>
      <c r="ENC150" s="72"/>
      <c r="END150" s="72"/>
      <c r="ENE150" s="72"/>
      <c r="ENF150" s="72"/>
      <c r="ENG150" s="72"/>
      <c r="ENH150" s="72"/>
      <c r="ENI150" s="72"/>
      <c r="ENJ150" s="72"/>
      <c r="ENK150" s="72"/>
      <c r="ENL150" s="72"/>
      <c r="ENM150" s="72"/>
      <c r="ENN150" s="72"/>
      <c r="ENO150" s="72"/>
      <c r="ENP150" s="72"/>
      <c r="ENQ150" s="72"/>
      <c r="ENR150" s="72"/>
      <c r="ENS150" s="72"/>
      <c r="ENT150" s="72"/>
      <c r="ENU150" s="72"/>
      <c r="ENV150" s="72"/>
      <c r="ENW150" s="72"/>
      <c r="ENX150" s="72"/>
      <c r="ENY150" s="72"/>
      <c r="ENZ150" s="72"/>
      <c r="EOA150" s="72"/>
      <c r="EOB150" s="72"/>
      <c r="EOC150" s="72"/>
      <c r="EOD150" s="72"/>
      <c r="EOE150" s="72"/>
      <c r="EOF150" s="72"/>
      <c r="EOG150" s="72"/>
      <c r="EOH150" s="72"/>
      <c r="EOI150" s="72"/>
      <c r="EOJ150" s="72"/>
      <c r="EOK150" s="72"/>
      <c r="EOL150" s="72"/>
      <c r="EOM150" s="72"/>
      <c r="EON150" s="72"/>
      <c r="EOO150" s="72"/>
      <c r="EOP150" s="72"/>
      <c r="EOQ150" s="72"/>
      <c r="EOR150" s="72"/>
      <c r="EOS150" s="72"/>
      <c r="EOT150" s="72"/>
      <c r="EOU150" s="72"/>
      <c r="EOV150" s="72"/>
      <c r="EOW150" s="72"/>
      <c r="EOX150" s="72"/>
      <c r="EOY150" s="72"/>
      <c r="EOZ150" s="72"/>
      <c r="EPA150" s="72"/>
      <c r="EPB150" s="72"/>
      <c r="EPC150" s="72"/>
      <c r="EPD150" s="72"/>
      <c r="EPE150" s="72"/>
      <c r="EPF150" s="72"/>
      <c r="EPG150" s="72"/>
      <c r="EPH150" s="72"/>
      <c r="EPI150" s="72"/>
      <c r="EPJ150" s="72"/>
      <c r="EPK150" s="72"/>
      <c r="EPL150" s="72"/>
      <c r="EPM150" s="72"/>
      <c r="EPN150" s="72"/>
      <c r="EPO150" s="72"/>
      <c r="EPP150" s="72"/>
      <c r="EPQ150" s="72"/>
      <c r="EPR150" s="72"/>
      <c r="EPS150" s="72"/>
      <c r="EPT150" s="72"/>
      <c r="EPU150" s="72"/>
      <c r="EPV150" s="72"/>
      <c r="EPW150" s="72"/>
      <c r="EPX150" s="72"/>
      <c r="EPY150" s="72"/>
      <c r="EPZ150" s="72"/>
      <c r="EQA150" s="72"/>
      <c r="EQB150" s="72"/>
      <c r="EQC150" s="72"/>
      <c r="EQD150" s="72"/>
      <c r="EQE150" s="72"/>
      <c r="EQF150" s="72"/>
      <c r="EQG150" s="72"/>
      <c r="EQH150" s="72"/>
      <c r="EQI150" s="72"/>
      <c r="EQJ150" s="72"/>
      <c r="EQK150" s="72"/>
      <c r="EQL150" s="72"/>
      <c r="EQM150" s="72"/>
      <c r="EQN150" s="72"/>
      <c r="EQO150" s="72"/>
      <c r="EQP150" s="72"/>
      <c r="EQQ150" s="72"/>
      <c r="EQR150" s="72"/>
      <c r="EQS150" s="72"/>
      <c r="EQT150" s="72"/>
      <c r="EQU150" s="72"/>
      <c r="EQV150" s="72"/>
      <c r="EQW150" s="72"/>
      <c r="EQX150" s="72"/>
      <c r="EQY150" s="72"/>
      <c r="EQZ150" s="72"/>
      <c r="ERA150" s="72"/>
      <c r="ERB150" s="72"/>
      <c r="ERC150" s="72"/>
      <c r="ERD150" s="72"/>
      <c r="ERE150" s="72"/>
      <c r="ERF150" s="72"/>
      <c r="ERG150" s="72"/>
      <c r="ERH150" s="72"/>
      <c r="ERI150" s="72"/>
      <c r="ERJ150" s="72"/>
      <c r="ERK150" s="72"/>
      <c r="ERL150" s="72"/>
      <c r="ERM150" s="72"/>
      <c r="ERN150" s="72"/>
      <c r="ERO150" s="72"/>
      <c r="ERP150" s="72"/>
      <c r="ERQ150" s="72"/>
      <c r="ERR150" s="72"/>
      <c r="ERS150" s="72"/>
      <c r="ERT150" s="72"/>
      <c r="ERU150" s="72"/>
      <c r="ERV150" s="72"/>
      <c r="ERW150" s="72"/>
      <c r="ERX150" s="72"/>
      <c r="ERY150" s="72"/>
      <c r="ERZ150" s="72"/>
      <c r="ESA150" s="72"/>
      <c r="ESB150" s="72"/>
      <c r="ESC150" s="72"/>
      <c r="ESD150" s="72"/>
      <c r="ESE150" s="72"/>
      <c r="ESF150" s="72"/>
      <c r="ESG150" s="72"/>
      <c r="ESH150" s="72"/>
      <c r="ESI150" s="72"/>
      <c r="ESJ150" s="72"/>
      <c r="ESK150" s="72"/>
      <c r="ESL150" s="72"/>
      <c r="ESM150" s="72"/>
      <c r="ESN150" s="72"/>
      <c r="ESO150" s="72"/>
      <c r="ESP150" s="72"/>
      <c r="ESQ150" s="72"/>
      <c r="ESR150" s="72"/>
      <c r="ESS150" s="72"/>
      <c r="EST150" s="72"/>
      <c r="ESU150" s="72"/>
      <c r="ESV150" s="72"/>
      <c r="ESW150" s="72"/>
      <c r="ESX150" s="72"/>
      <c r="ESY150" s="72"/>
      <c r="ESZ150" s="72"/>
      <c r="ETA150" s="72"/>
      <c r="ETB150" s="72"/>
      <c r="ETC150" s="72"/>
      <c r="ETD150" s="72"/>
      <c r="ETE150" s="72"/>
      <c r="ETF150" s="72"/>
      <c r="ETG150" s="72"/>
      <c r="ETH150" s="72"/>
      <c r="ETI150" s="72"/>
      <c r="ETJ150" s="72"/>
      <c r="ETK150" s="72"/>
      <c r="ETL150" s="72"/>
      <c r="ETM150" s="72"/>
      <c r="ETN150" s="72"/>
      <c r="ETO150" s="72"/>
      <c r="ETP150" s="72"/>
      <c r="ETQ150" s="72"/>
      <c r="ETR150" s="72"/>
      <c r="ETS150" s="72"/>
      <c r="ETT150" s="72"/>
      <c r="ETU150" s="72"/>
      <c r="ETV150" s="72"/>
      <c r="ETW150" s="72"/>
      <c r="ETX150" s="72"/>
      <c r="ETY150" s="72"/>
      <c r="ETZ150" s="72"/>
      <c r="EUA150" s="72"/>
      <c r="EUB150" s="72"/>
      <c r="EUC150" s="72"/>
      <c r="EUD150" s="72"/>
      <c r="EUE150" s="72"/>
      <c r="EUF150" s="72"/>
      <c r="EUG150" s="72"/>
      <c r="EUH150" s="72"/>
      <c r="EUI150" s="72"/>
      <c r="EUJ150" s="72"/>
      <c r="EUK150" s="72"/>
      <c r="EUL150" s="72"/>
      <c r="EUM150" s="72"/>
      <c r="EUN150" s="72"/>
      <c r="EUO150" s="72"/>
      <c r="EUP150" s="72"/>
      <c r="EUQ150" s="72"/>
      <c r="EUR150" s="72"/>
      <c r="EUS150" s="72"/>
      <c r="EUT150" s="72"/>
      <c r="EUU150" s="72"/>
      <c r="EUV150" s="72"/>
      <c r="EUW150" s="72"/>
      <c r="EUX150" s="72"/>
      <c r="EUY150" s="72"/>
      <c r="EUZ150" s="72"/>
      <c r="EVA150" s="72"/>
      <c r="EVB150" s="72"/>
      <c r="EVC150" s="72"/>
      <c r="EVD150" s="72"/>
      <c r="EVE150" s="72"/>
      <c r="EVF150" s="72"/>
      <c r="EVG150" s="72"/>
      <c r="EVH150" s="72"/>
      <c r="EVI150" s="72"/>
      <c r="EVJ150" s="72"/>
      <c r="EVK150" s="72"/>
      <c r="EVL150" s="72"/>
      <c r="EVM150" s="72"/>
      <c r="EVN150" s="72"/>
      <c r="EVO150" s="72"/>
      <c r="EVP150" s="72"/>
      <c r="EVQ150" s="72"/>
      <c r="EVR150" s="72"/>
      <c r="EVS150" s="72"/>
      <c r="EVT150" s="72"/>
      <c r="EVU150" s="72"/>
      <c r="EVV150" s="72"/>
      <c r="EVW150" s="72"/>
      <c r="EVX150" s="72"/>
      <c r="EVY150" s="72"/>
      <c r="EVZ150" s="72"/>
      <c r="EWA150" s="72"/>
      <c r="EWB150" s="72"/>
      <c r="EWC150" s="72"/>
      <c r="EWD150" s="72"/>
      <c r="EWE150" s="72"/>
      <c r="EWF150" s="72"/>
      <c r="EWG150" s="72"/>
      <c r="EWH150" s="72"/>
      <c r="EWI150" s="72"/>
      <c r="EWJ150" s="72"/>
      <c r="EWK150" s="72"/>
      <c r="EWL150" s="72"/>
      <c r="EWM150" s="72"/>
      <c r="EWN150" s="72"/>
      <c r="EWO150" s="72"/>
      <c r="EWP150" s="72"/>
      <c r="EWQ150" s="72"/>
      <c r="EWR150" s="72"/>
      <c r="EWS150" s="72"/>
      <c r="EWT150" s="72"/>
      <c r="EWU150" s="72"/>
      <c r="EWV150" s="72"/>
      <c r="EWW150" s="72"/>
      <c r="EWX150" s="72"/>
      <c r="EWY150" s="72"/>
      <c r="EWZ150" s="72"/>
      <c r="EXA150" s="72"/>
      <c r="EXB150" s="72"/>
      <c r="EXC150" s="72"/>
      <c r="EXD150" s="72"/>
      <c r="EXE150" s="72"/>
      <c r="EXF150" s="72"/>
      <c r="EXG150" s="72"/>
      <c r="EXH150" s="72"/>
      <c r="EXI150" s="72"/>
      <c r="EXJ150" s="72"/>
      <c r="EXK150" s="72"/>
      <c r="EXL150" s="72"/>
      <c r="EXM150" s="72"/>
      <c r="EXN150" s="72"/>
      <c r="EXO150" s="72"/>
      <c r="EXP150" s="72"/>
      <c r="EXQ150" s="72"/>
      <c r="EXR150" s="72"/>
      <c r="EXS150" s="72"/>
      <c r="EXT150" s="72"/>
      <c r="EXU150" s="72"/>
      <c r="EXV150" s="72"/>
      <c r="EXW150" s="72"/>
      <c r="EXX150" s="72"/>
      <c r="EXY150" s="72"/>
      <c r="EXZ150" s="72"/>
      <c r="EYA150" s="72"/>
      <c r="EYB150" s="72"/>
      <c r="EYC150" s="72"/>
      <c r="EYD150" s="72"/>
      <c r="EYE150" s="72"/>
      <c r="EYF150" s="72"/>
      <c r="EYG150" s="72"/>
      <c r="EYH150" s="72"/>
      <c r="EYI150" s="72"/>
      <c r="EYJ150" s="72"/>
      <c r="EYK150" s="72"/>
      <c r="EYL150" s="72"/>
      <c r="EYM150" s="72"/>
      <c r="EYN150" s="72"/>
      <c r="EYO150" s="72"/>
      <c r="EYP150" s="72"/>
      <c r="EYQ150" s="72"/>
      <c r="EYR150" s="72"/>
      <c r="EYS150" s="72"/>
      <c r="EYT150" s="72"/>
      <c r="EYU150" s="72"/>
      <c r="EYV150" s="72"/>
      <c r="EYW150" s="72"/>
      <c r="EYX150" s="72"/>
      <c r="EYY150" s="72"/>
      <c r="EYZ150" s="72"/>
      <c r="EZA150" s="72"/>
      <c r="EZB150" s="72"/>
      <c r="EZC150" s="72"/>
      <c r="EZD150" s="72"/>
      <c r="EZE150" s="72"/>
      <c r="EZF150" s="72"/>
      <c r="EZG150" s="72"/>
      <c r="EZH150" s="72"/>
      <c r="EZI150" s="72"/>
      <c r="EZJ150" s="72"/>
      <c r="EZK150" s="72"/>
      <c r="EZL150" s="72"/>
      <c r="EZM150" s="72"/>
      <c r="EZN150" s="72"/>
      <c r="EZO150" s="72"/>
      <c r="EZP150" s="72"/>
      <c r="EZQ150" s="72"/>
      <c r="EZR150" s="72"/>
      <c r="EZS150" s="72"/>
      <c r="EZT150" s="72"/>
      <c r="EZU150" s="72"/>
      <c r="EZV150" s="72"/>
      <c r="EZW150" s="72"/>
      <c r="EZX150" s="72"/>
      <c r="EZY150" s="72"/>
      <c r="EZZ150" s="72"/>
      <c r="FAA150" s="72"/>
      <c r="FAB150" s="72"/>
      <c r="FAC150" s="72"/>
      <c r="FAD150" s="72"/>
      <c r="FAE150" s="72"/>
      <c r="FAF150" s="72"/>
      <c r="FAG150" s="72"/>
      <c r="FAH150" s="72"/>
      <c r="FAI150" s="72"/>
      <c r="FAJ150" s="72"/>
      <c r="FAK150" s="72"/>
      <c r="FAL150" s="72"/>
      <c r="FAM150" s="72"/>
      <c r="FAN150" s="72"/>
      <c r="FAO150" s="72"/>
      <c r="FAP150" s="72"/>
      <c r="FAQ150" s="72"/>
      <c r="FAR150" s="72"/>
      <c r="FAS150" s="72"/>
      <c r="FAT150" s="72"/>
      <c r="FAU150" s="72"/>
      <c r="FAV150" s="72"/>
      <c r="FAW150" s="72"/>
      <c r="FAX150" s="72"/>
      <c r="FAY150" s="72"/>
      <c r="FAZ150" s="72"/>
      <c r="FBA150" s="72"/>
      <c r="FBB150" s="72"/>
      <c r="FBC150" s="72"/>
      <c r="FBD150" s="72"/>
      <c r="FBE150" s="72"/>
      <c r="FBF150" s="72"/>
      <c r="FBG150" s="72"/>
      <c r="FBH150" s="72"/>
      <c r="FBI150" s="72"/>
      <c r="FBJ150" s="72"/>
      <c r="FBK150" s="72"/>
      <c r="FBL150" s="72"/>
      <c r="FBM150" s="72"/>
      <c r="FBN150" s="72"/>
      <c r="FBO150" s="72"/>
      <c r="FBP150" s="72"/>
      <c r="FBQ150" s="72"/>
      <c r="FBR150" s="72"/>
      <c r="FBS150" s="72"/>
      <c r="FBT150" s="72"/>
      <c r="FBU150" s="72"/>
      <c r="FBV150" s="72"/>
      <c r="FBW150" s="72"/>
      <c r="FBX150" s="72"/>
      <c r="FBY150" s="72"/>
      <c r="FBZ150" s="72"/>
      <c r="FCA150" s="72"/>
      <c r="FCB150" s="72"/>
      <c r="FCC150" s="72"/>
      <c r="FCD150" s="72"/>
      <c r="FCE150" s="72"/>
      <c r="FCF150" s="72"/>
      <c r="FCG150" s="72"/>
      <c r="FCH150" s="72"/>
      <c r="FCI150" s="72"/>
      <c r="FCJ150" s="72"/>
      <c r="FCK150" s="72"/>
      <c r="FCL150" s="72"/>
      <c r="FCM150" s="72"/>
      <c r="FCN150" s="72"/>
      <c r="FCO150" s="72"/>
      <c r="FCP150" s="72"/>
      <c r="FCQ150" s="72"/>
      <c r="FCR150" s="72"/>
      <c r="FCS150" s="72"/>
      <c r="FCT150" s="72"/>
      <c r="FCU150" s="72"/>
      <c r="FCV150" s="72"/>
      <c r="FCW150" s="72"/>
      <c r="FCX150" s="72"/>
      <c r="FCY150" s="72"/>
      <c r="FCZ150" s="72"/>
      <c r="FDA150" s="72"/>
      <c r="FDB150" s="72"/>
      <c r="FDC150" s="72"/>
      <c r="FDD150" s="72"/>
      <c r="FDE150" s="72"/>
      <c r="FDF150" s="72"/>
      <c r="FDG150" s="72"/>
      <c r="FDH150" s="72"/>
      <c r="FDI150" s="72"/>
      <c r="FDJ150" s="72"/>
      <c r="FDK150" s="72"/>
      <c r="FDL150" s="72"/>
      <c r="FDM150" s="72"/>
      <c r="FDN150" s="72"/>
      <c r="FDO150" s="72"/>
      <c r="FDP150" s="72"/>
      <c r="FDQ150" s="72"/>
      <c r="FDR150" s="72"/>
      <c r="FDS150" s="72"/>
      <c r="FDT150" s="72"/>
      <c r="FDU150" s="72"/>
      <c r="FDV150" s="72"/>
      <c r="FDW150" s="72"/>
      <c r="FDX150" s="72"/>
      <c r="FDY150" s="72"/>
      <c r="FDZ150" s="72"/>
      <c r="FEA150" s="72"/>
      <c r="FEB150" s="72"/>
      <c r="FEC150" s="72"/>
      <c r="FED150" s="72"/>
      <c r="FEE150" s="72"/>
      <c r="FEF150" s="72"/>
      <c r="FEG150" s="72"/>
      <c r="FEH150" s="72"/>
      <c r="FEI150" s="72"/>
      <c r="FEJ150" s="72"/>
      <c r="FEK150" s="72"/>
      <c r="FEL150" s="72"/>
      <c r="FEM150" s="72"/>
      <c r="FEN150" s="72"/>
      <c r="FEO150" s="72"/>
      <c r="FEP150" s="72"/>
      <c r="FEQ150" s="72"/>
      <c r="FER150" s="72"/>
      <c r="FES150" s="72"/>
      <c r="FET150" s="72"/>
      <c r="FEU150" s="72"/>
      <c r="FEV150" s="72"/>
      <c r="FEW150" s="72"/>
      <c r="FEX150" s="72"/>
      <c r="FEY150" s="72"/>
      <c r="FEZ150" s="72"/>
      <c r="FFA150" s="72"/>
      <c r="FFB150" s="72"/>
      <c r="FFC150" s="72"/>
      <c r="FFD150" s="72"/>
      <c r="FFE150" s="72"/>
      <c r="FFF150" s="72"/>
      <c r="FFG150" s="72"/>
      <c r="FFH150" s="72"/>
      <c r="FFI150" s="72"/>
      <c r="FFJ150" s="72"/>
      <c r="FFK150" s="72"/>
      <c r="FFL150" s="72"/>
      <c r="FFM150" s="72"/>
      <c r="FFN150" s="72"/>
      <c r="FFO150" s="72"/>
      <c r="FFP150" s="72"/>
      <c r="FFQ150" s="72"/>
      <c r="FFR150" s="72"/>
      <c r="FFS150" s="72"/>
      <c r="FFT150" s="72"/>
      <c r="FFU150" s="72"/>
      <c r="FFV150" s="72"/>
      <c r="FFW150" s="72"/>
      <c r="FFX150" s="72"/>
      <c r="FFY150" s="72"/>
      <c r="FFZ150" s="72"/>
      <c r="FGA150" s="72"/>
      <c r="FGB150" s="72"/>
      <c r="FGC150" s="72"/>
      <c r="FGD150" s="72"/>
      <c r="FGE150" s="72"/>
      <c r="FGF150" s="72"/>
      <c r="FGG150" s="72"/>
      <c r="FGH150" s="72"/>
      <c r="FGI150" s="72"/>
      <c r="FGJ150" s="72"/>
      <c r="FGK150" s="72"/>
      <c r="FGL150" s="72"/>
      <c r="FGM150" s="72"/>
      <c r="FGN150" s="72"/>
      <c r="FGO150" s="72"/>
      <c r="FGP150" s="72"/>
      <c r="FGQ150" s="72"/>
      <c r="FGR150" s="72"/>
      <c r="FGS150" s="72"/>
      <c r="FGT150" s="72"/>
      <c r="FGU150" s="72"/>
      <c r="FGV150" s="72"/>
      <c r="FGW150" s="72"/>
      <c r="FGX150" s="72"/>
      <c r="FGY150" s="72"/>
      <c r="FGZ150" s="72"/>
      <c r="FHA150" s="72"/>
      <c r="FHB150" s="72"/>
      <c r="FHC150" s="72"/>
      <c r="FHD150" s="72"/>
      <c r="FHE150" s="72"/>
      <c r="FHF150" s="72"/>
      <c r="FHG150" s="72"/>
      <c r="FHH150" s="72"/>
      <c r="FHI150" s="72"/>
      <c r="FHJ150" s="72"/>
      <c r="FHK150" s="72"/>
      <c r="FHL150" s="72"/>
      <c r="FHM150" s="72"/>
      <c r="FHN150" s="72"/>
      <c r="FHO150" s="72"/>
      <c r="FHP150" s="72"/>
      <c r="FHQ150" s="72"/>
      <c r="FHR150" s="72"/>
      <c r="FHS150" s="72"/>
      <c r="FHT150" s="72"/>
      <c r="FHU150" s="72"/>
      <c r="FHV150" s="72"/>
      <c r="FHW150" s="72"/>
      <c r="FHX150" s="72"/>
      <c r="FHY150" s="72"/>
      <c r="FHZ150" s="72"/>
      <c r="FIA150" s="72"/>
      <c r="FIB150" s="72"/>
      <c r="FIC150" s="72"/>
      <c r="FID150" s="72"/>
      <c r="FIE150" s="72"/>
      <c r="FIF150" s="72"/>
      <c r="FIG150" s="72"/>
      <c r="FIH150" s="72"/>
      <c r="FII150" s="72"/>
      <c r="FIJ150" s="72"/>
      <c r="FIK150" s="72"/>
      <c r="FIL150" s="72"/>
      <c r="FIM150" s="72"/>
      <c r="FIN150" s="72"/>
      <c r="FIO150" s="72"/>
      <c r="FIP150" s="72"/>
      <c r="FIQ150" s="72"/>
      <c r="FIR150" s="72"/>
      <c r="FIS150" s="72"/>
      <c r="FIT150" s="72"/>
      <c r="FIU150" s="72"/>
      <c r="FIV150" s="72"/>
      <c r="FIW150" s="72"/>
      <c r="FIX150" s="72"/>
      <c r="FIY150" s="72"/>
      <c r="FIZ150" s="72"/>
      <c r="FJA150" s="72"/>
      <c r="FJB150" s="72"/>
      <c r="FJC150" s="72"/>
      <c r="FJD150" s="72"/>
      <c r="FJE150" s="72"/>
      <c r="FJF150" s="72"/>
      <c r="FJG150" s="72"/>
      <c r="FJH150" s="72"/>
      <c r="FJI150" s="72"/>
      <c r="FJJ150" s="72"/>
      <c r="FJK150" s="72"/>
      <c r="FJL150" s="72"/>
      <c r="FJM150" s="72"/>
      <c r="FJN150" s="72"/>
      <c r="FJO150" s="72"/>
      <c r="FJP150" s="72"/>
      <c r="FJQ150" s="72"/>
      <c r="FJR150" s="72"/>
      <c r="FJS150" s="72"/>
      <c r="FJT150" s="72"/>
      <c r="FJU150" s="72"/>
      <c r="FJV150" s="72"/>
      <c r="FJW150" s="72"/>
      <c r="FJX150" s="72"/>
      <c r="FJY150" s="72"/>
      <c r="FJZ150" s="72"/>
      <c r="FKA150" s="72"/>
      <c r="FKB150" s="72"/>
      <c r="FKC150" s="72"/>
      <c r="FKD150" s="72"/>
      <c r="FKE150" s="72"/>
      <c r="FKF150" s="72"/>
      <c r="FKG150" s="72"/>
      <c r="FKH150" s="72"/>
      <c r="FKI150" s="72"/>
      <c r="FKJ150" s="72"/>
      <c r="FKK150" s="72"/>
      <c r="FKL150" s="72"/>
      <c r="FKM150" s="72"/>
      <c r="FKN150" s="72"/>
      <c r="FKO150" s="72"/>
      <c r="FKP150" s="72"/>
      <c r="FKQ150" s="72"/>
      <c r="FKR150" s="72"/>
      <c r="FKS150" s="72"/>
      <c r="FKT150" s="72"/>
      <c r="FKU150" s="72"/>
      <c r="FKV150" s="72"/>
      <c r="FKW150" s="72"/>
      <c r="FKX150" s="72"/>
      <c r="FKY150" s="72"/>
      <c r="FKZ150" s="72"/>
      <c r="FLA150" s="72"/>
      <c r="FLB150" s="72"/>
      <c r="FLC150" s="72"/>
      <c r="FLD150" s="72"/>
      <c r="FLE150" s="72"/>
      <c r="FLF150" s="72"/>
      <c r="FLG150" s="72"/>
      <c r="FLH150" s="72"/>
      <c r="FLI150" s="72"/>
      <c r="FLJ150" s="72"/>
      <c r="FLK150" s="72"/>
      <c r="FLL150" s="72"/>
      <c r="FLM150" s="72"/>
      <c r="FLN150" s="72"/>
      <c r="FLO150" s="72"/>
      <c r="FLP150" s="72"/>
      <c r="FLQ150" s="72"/>
      <c r="FLR150" s="72"/>
      <c r="FLS150" s="72"/>
      <c r="FLT150" s="72"/>
      <c r="FLU150" s="72"/>
      <c r="FLV150" s="72"/>
      <c r="FLW150" s="72"/>
      <c r="FLX150" s="72"/>
      <c r="FLY150" s="72"/>
      <c r="FLZ150" s="72"/>
      <c r="FMA150" s="72"/>
      <c r="FMB150" s="72"/>
      <c r="FMC150" s="72"/>
      <c r="FMD150" s="72"/>
      <c r="FME150" s="72"/>
      <c r="FMF150" s="72"/>
      <c r="FMG150" s="72"/>
      <c r="FMH150" s="72"/>
      <c r="FMI150" s="72"/>
      <c r="FMJ150" s="72"/>
      <c r="FMK150" s="72"/>
      <c r="FML150" s="72"/>
      <c r="FMM150" s="72"/>
      <c r="FMN150" s="72"/>
      <c r="FMO150" s="72"/>
      <c r="FMP150" s="72"/>
      <c r="FMQ150" s="72"/>
      <c r="FMR150" s="72"/>
      <c r="FMS150" s="72"/>
      <c r="FMT150" s="72"/>
      <c r="FMU150" s="72"/>
      <c r="FMV150" s="72"/>
      <c r="FMW150" s="72"/>
      <c r="FMX150" s="72"/>
      <c r="FMY150" s="72"/>
      <c r="FMZ150" s="72"/>
      <c r="FNA150" s="72"/>
      <c r="FNB150" s="72"/>
      <c r="FNC150" s="72"/>
      <c r="FND150" s="72"/>
      <c r="FNE150" s="72"/>
      <c r="FNF150" s="72"/>
      <c r="FNG150" s="72"/>
      <c r="FNH150" s="72"/>
      <c r="FNI150" s="72"/>
      <c r="FNJ150" s="72"/>
      <c r="FNK150" s="72"/>
      <c r="FNL150" s="72"/>
      <c r="FNM150" s="72"/>
      <c r="FNN150" s="72"/>
      <c r="FNO150" s="72"/>
      <c r="FNP150" s="72"/>
      <c r="FNQ150" s="72"/>
      <c r="FNR150" s="72"/>
      <c r="FNS150" s="72"/>
      <c r="FNT150" s="72"/>
      <c r="FNU150" s="72"/>
      <c r="FNV150" s="72"/>
      <c r="FNW150" s="72"/>
      <c r="FNX150" s="72"/>
      <c r="FNY150" s="72"/>
      <c r="FNZ150" s="72"/>
      <c r="FOA150" s="72"/>
      <c r="FOB150" s="72"/>
      <c r="FOC150" s="72"/>
      <c r="FOD150" s="72"/>
      <c r="FOE150" s="72"/>
      <c r="FOF150" s="72"/>
      <c r="FOG150" s="72"/>
      <c r="FOH150" s="72"/>
      <c r="FOI150" s="72"/>
      <c r="FOJ150" s="72"/>
      <c r="FOK150" s="72"/>
      <c r="FOL150" s="72"/>
      <c r="FOM150" s="72"/>
      <c r="FON150" s="72"/>
      <c r="FOO150" s="72"/>
      <c r="FOP150" s="72"/>
      <c r="FOQ150" s="72"/>
      <c r="FOR150" s="72"/>
      <c r="FOS150" s="72"/>
      <c r="FOT150" s="72"/>
      <c r="FOU150" s="72"/>
      <c r="FOV150" s="72"/>
      <c r="FOW150" s="72"/>
      <c r="FOX150" s="72"/>
      <c r="FOY150" s="72"/>
      <c r="FOZ150" s="72"/>
      <c r="FPA150" s="72"/>
      <c r="FPB150" s="72"/>
      <c r="FPC150" s="72"/>
      <c r="FPD150" s="72"/>
      <c r="FPE150" s="72"/>
      <c r="FPF150" s="72"/>
      <c r="FPG150" s="72"/>
      <c r="FPH150" s="72"/>
      <c r="FPI150" s="72"/>
      <c r="FPJ150" s="72"/>
      <c r="FPK150" s="72"/>
      <c r="FPL150" s="72"/>
      <c r="FPM150" s="72"/>
      <c r="FPN150" s="72"/>
      <c r="FPO150" s="72"/>
      <c r="FPP150" s="72"/>
      <c r="FPQ150" s="72"/>
      <c r="FPR150" s="72"/>
      <c r="FPS150" s="72"/>
      <c r="FPT150" s="72"/>
      <c r="FPU150" s="72"/>
      <c r="FPV150" s="72"/>
      <c r="FPW150" s="72"/>
      <c r="FPX150" s="72"/>
      <c r="FPY150" s="72"/>
      <c r="FPZ150" s="72"/>
      <c r="FQA150" s="72"/>
      <c r="FQB150" s="72"/>
      <c r="FQC150" s="72"/>
      <c r="FQD150" s="72"/>
      <c r="FQE150" s="72"/>
      <c r="FQF150" s="72"/>
      <c r="FQG150" s="72"/>
      <c r="FQH150" s="72"/>
      <c r="FQI150" s="72"/>
      <c r="FQJ150" s="72"/>
      <c r="FQK150" s="72"/>
      <c r="FQL150" s="72"/>
      <c r="FQM150" s="72"/>
      <c r="FQN150" s="72"/>
      <c r="FQO150" s="72"/>
      <c r="FQP150" s="72"/>
      <c r="FQQ150" s="72"/>
      <c r="FQR150" s="72"/>
      <c r="FQS150" s="72"/>
      <c r="FQT150" s="72"/>
      <c r="FQU150" s="72"/>
      <c r="FQV150" s="72"/>
      <c r="FQW150" s="72"/>
      <c r="FQX150" s="72"/>
      <c r="FQY150" s="72"/>
      <c r="FQZ150" s="72"/>
      <c r="FRA150" s="72"/>
      <c r="FRB150" s="72"/>
      <c r="FRC150" s="72"/>
      <c r="FRD150" s="72"/>
      <c r="FRE150" s="72"/>
      <c r="FRF150" s="72"/>
      <c r="FRG150" s="72"/>
      <c r="FRH150" s="72"/>
      <c r="FRI150" s="72"/>
      <c r="FRJ150" s="72"/>
      <c r="FRK150" s="72"/>
      <c r="FRL150" s="72"/>
      <c r="FRM150" s="72"/>
      <c r="FRN150" s="72"/>
      <c r="FRO150" s="72"/>
      <c r="FRP150" s="72"/>
      <c r="FRQ150" s="72"/>
      <c r="FRR150" s="72"/>
      <c r="FRS150" s="72"/>
      <c r="FRT150" s="72"/>
      <c r="FRU150" s="72"/>
      <c r="FRV150" s="72"/>
      <c r="FRW150" s="72"/>
      <c r="FRX150" s="72"/>
      <c r="FRY150" s="72"/>
      <c r="FRZ150" s="72"/>
      <c r="FSA150" s="72"/>
      <c r="FSB150" s="72"/>
      <c r="FSC150" s="72"/>
      <c r="FSD150" s="72"/>
      <c r="FSE150" s="72"/>
      <c r="FSF150" s="72"/>
      <c r="FSG150" s="72"/>
      <c r="FSH150" s="72"/>
      <c r="FSI150" s="72"/>
      <c r="FSJ150" s="72"/>
      <c r="FSK150" s="72"/>
      <c r="FSL150" s="72"/>
      <c r="FSM150" s="72"/>
      <c r="FSN150" s="72"/>
      <c r="FSO150" s="72"/>
      <c r="FSP150" s="72"/>
      <c r="FSQ150" s="72"/>
      <c r="FSR150" s="72"/>
      <c r="FSS150" s="72"/>
      <c r="FST150" s="72"/>
      <c r="FSU150" s="72"/>
      <c r="FSV150" s="72"/>
      <c r="FSW150" s="72"/>
      <c r="FSX150" s="72"/>
      <c r="FSY150" s="72"/>
      <c r="FSZ150" s="72"/>
      <c r="FTA150" s="72"/>
      <c r="FTB150" s="72"/>
      <c r="FTC150" s="72"/>
      <c r="FTD150" s="72"/>
      <c r="FTE150" s="72"/>
      <c r="FTF150" s="72"/>
      <c r="FTG150" s="72"/>
      <c r="FTH150" s="72"/>
      <c r="FTI150" s="72"/>
      <c r="FTJ150" s="72"/>
      <c r="FTK150" s="72"/>
      <c r="FTL150" s="72"/>
      <c r="FTM150" s="72"/>
      <c r="FTN150" s="72"/>
      <c r="FTO150" s="72"/>
      <c r="FTP150" s="72"/>
      <c r="FTQ150" s="72"/>
      <c r="FTR150" s="72"/>
      <c r="FTS150" s="72"/>
      <c r="FTT150" s="72"/>
      <c r="FTU150" s="72"/>
      <c r="FTV150" s="72"/>
      <c r="FTW150" s="72"/>
      <c r="FTX150" s="72"/>
      <c r="FTY150" s="72"/>
      <c r="FTZ150" s="72"/>
      <c r="FUA150" s="72"/>
      <c r="FUB150" s="72"/>
      <c r="FUC150" s="72"/>
      <c r="FUD150" s="72"/>
      <c r="FUE150" s="72"/>
      <c r="FUF150" s="72"/>
      <c r="FUG150" s="72"/>
      <c r="FUH150" s="72"/>
      <c r="FUI150" s="72"/>
      <c r="FUJ150" s="72"/>
      <c r="FUK150" s="72"/>
      <c r="FUL150" s="72"/>
      <c r="FUM150" s="72"/>
      <c r="FUN150" s="72"/>
      <c r="FUO150" s="72"/>
      <c r="FUP150" s="72"/>
      <c r="FUQ150" s="72"/>
      <c r="FUR150" s="72"/>
      <c r="FUS150" s="72"/>
      <c r="FUT150" s="72"/>
      <c r="FUU150" s="72"/>
      <c r="FUV150" s="72"/>
      <c r="FUW150" s="72"/>
      <c r="FUX150" s="72"/>
      <c r="FUY150" s="72"/>
      <c r="FUZ150" s="72"/>
      <c r="FVA150" s="72"/>
      <c r="FVB150" s="72"/>
      <c r="FVC150" s="72"/>
      <c r="FVD150" s="72"/>
      <c r="FVE150" s="72"/>
      <c r="FVF150" s="72"/>
      <c r="FVG150" s="72"/>
      <c r="FVH150" s="72"/>
      <c r="FVI150" s="72"/>
      <c r="FVJ150" s="72"/>
      <c r="FVK150" s="72"/>
      <c r="FVL150" s="72"/>
      <c r="FVM150" s="72"/>
      <c r="FVN150" s="72"/>
      <c r="FVO150" s="72"/>
      <c r="FVP150" s="72"/>
      <c r="FVQ150" s="72"/>
      <c r="FVR150" s="72"/>
      <c r="FVS150" s="72"/>
      <c r="FVT150" s="72"/>
      <c r="FVU150" s="72"/>
      <c r="FVV150" s="72"/>
      <c r="FVW150" s="72"/>
      <c r="FVX150" s="72"/>
      <c r="FVY150" s="72"/>
      <c r="FVZ150" s="72"/>
      <c r="FWA150" s="72"/>
      <c r="FWB150" s="72"/>
      <c r="FWC150" s="72"/>
      <c r="FWD150" s="72"/>
      <c r="FWE150" s="72"/>
      <c r="FWF150" s="72"/>
      <c r="FWG150" s="72"/>
      <c r="FWH150" s="72"/>
      <c r="FWI150" s="72"/>
      <c r="FWJ150" s="72"/>
      <c r="FWK150" s="72"/>
      <c r="FWL150" s="72"/>
      <c r="FWM150" s="72"/>
      <c r="FWN150" s="72"/>
      <c r="FWO150" s="72"/>
      <c r="FWP150" s="72"/>
      <c r="FWQ150" s="72"/>
      <c r="FWR150" s="72"/>
      <c r="FWS150" s="72"/>
      <c r="FWT150" s="72"/>
      <c r="FWU150" s="72"/>
      <c r="FWV150" s="72"/>
      <c r="FWW150" s="72"/>
      <c r="FWX150" s="72"/>
      <c r="FWY150" s="72"/>
      <c r="FWZ150" s="72"/>
      <c r="FXA150" s="72"/>
      <c r="FXB150" s="72"/>
      <c r="FXC150" s="72"/>
      <c r="FXD150" s="72"/>
      <c r="FXE150" s="72"/>
      <c r="FXF150" s="72"/>
      <c r="FXG150" s="72"/>
      <c r="FXH150" s="72"/>
      <c r="FXI150" s="72"/>
      <c r="FXJ150" s="72"/>
      <c r="FXK150" s="72"/>
      <c r="FXL150" s="72"/>
      <c r="FXM150" s="72"/>
      <c r="FXN150" s="72"/>
      <c r="FXO150" s="72"/>
      <c r="FXP150" s="72"/>
      <c r="FXQ150" s="72"/>
      <c r="FXR150" s="72"/>
      <c r="FXS150" s="72"/>
      <c r="FXT150" s="72"/>
      <c r="FXU150" s="72"/>
      <c r="FXV150" s="72"/>
      <c r="FXW150" s="72"/>
      <c r="FXX150" s="72"/>
      <c r="FXY150" s="72"/>
      <c r="FXZ150" s="72"/>
      <c r="FYA150" s="72"/>
      <c r="FYB150" s="72"/>
      <c r="FYC150" s="72"/>
      <c r="FYD150" s="72"/>
      <c r="FYE150" s="72"/>
      <c r="FYF150" s="72"/>
      <c r="FYG150" s="72"/>
      <c r="FYH150" s="72"/>
      <c r="FYI150" s="72"/>
      <c r="FYJ150" s="72"/>
      <c r="FYK150" s="72"/>
      <c r="FYL150" s="72"/>
      <c r="FYM150" s="72"/>
      <c r="FYN150" s="72"/>
      <c r="FYO150" s="72"/>
      <c r="FYP150" s="72"/>
      <c r="FYQ150" s="72"/>
      <c r="FYR150" s="72"/>
      <c r="FYS150" s="72"/>
      <c r="FYT150" s="72"/>
      <c r="FYU150" s="72"/>
      <c r="FYV150" s="72"/>
      <c r="FYW150" s="72"/>
      <c r="FYX150" s="72"/>
      <c r="FYY150" s="72"/>
      <c r="FYZ150" s="72"/>
      <c r="FZA150" s="72"/>
      <c r="FZB150" s="72"/>
      <c r="FZC150" s="72"/>
      <c r="FZD150" s="72"/>
      <c r="FZE150" s="72"/>
      <c r="FZF150" s="72"/>
      <c r="FZG150" s="72"/>
      <c r="FZH150" s="72"/>
      <c r="FZI150" s="72"/>
      <c r="FZJ150" s="72"/>
      <c r="FZK150" s="72"/>
      <c r="FZL150" s="72"/>
      <c r="FZM150" s="72"/>
      <c r="FZN150" s="72"/>
      <c r="FZO150" s="72"/>
      <c r="FZP150" s="72"/>
      <c r="FZQ150" s="72"/>
      <c r="FZR150" s="72"/>
      <c r="FZS150" s="72"/>
      <c r="FZT150" s="72"/>
      <c r="FZU150" s="72"/>
      <c r="FZV150" s="72"/>
      <c r="FZW150" s="72"/>
      <c r="FZX150" s="72"/>
      <c r="FZY150" s="72"/>
      <c r="FZZ150" s="72"/>
      <c r="GAA150" s="72"/>
      <c r="GAB150" s="72"/>
      <c r="GAC150" s="72"/>
      <c r="GAD150" s="72"/>
      <c r="GAE150" s="72"/>
      <c r="GAF150" s="72"/>
      <c r="GAG150" s="72"/>
      <c r="GAH150" s="72"/>
      <c r="GAI150" s="72"/>
      <c r="GAJ150" s="72"/>
      <c r="GAK150" s="72"/>
      <c r="GAL150" s="72"/>
      <c r="GAM150" s="72"/>
      <c r="GAN150" s="72"/>
      <c r="GAO150" s="72"/>
      <c r="GAP150" s="72"/>
      <c r="GAQ150" s="72"/>
      <c r="GAR150" s="72"/>
      <c r="GAS150" s="72"/>
      <c r="GAT150" s="72"/>
      <c r="GAU150" s="72"/>
      <c r="GAV150" s="72"/>
      <c r="GAW150" s="72"/>
      <c r="GAX150" s="72"/>
      <c r="GAY150" s="72"/>
      <c r="GAZ150" s="72"/>
      <c r="GBA150" s="72"/>
      <c r="GBB150" s="72"/>
      <c r="GBC150" s="72"/>
      <c r="GBD150" s="72"/>
      <c r="GBE150" s="72"/>
      <c r="GBF150" s="72"/>
      <c r="GBG150" s="72"/>
      <c r="GBH150" s="72"/>
      <c r="GBI150" s="72"/>
      <c r="GBJ150" s="72"/>
      <c r="GBK150" s="72"/>
      <c r="GBL150" s="72"/>
      <c r="GBM150" s="72"/>
      <c r="GBN150" s="72"/>
      <c r="GBO150" s="72"/>
      <c r="GBP150" s="72"/>
      <c r="GBQ150" s="72"/>
      <c r="GBR150" s="72"/>
      <c r="GBS150" s="72"/>
      <c r="GBT150" s="72"/>
      <c r="GBU150" s="72"/>
      <c r="GBV150" s="72"/>
      <c r="GBW150" s="72"/>
      <c r="GBX150" s="72"/>
      <c r="GBY150" s="72"/>
      <c r="GBZ150" s="72"/>
      <c r="GCA150" s="72"/>
      <c r="GCB150" s="72"/>
      <c r="GCC150" s="72"/>
      <c r="GCD150" s="72"/>
      <c r="GCE150" s="72"/>
      <c r="GCF150" s="72"/>
      <c r="GCG150" s="72"/>
      <c r="GCH150" s="72"/>
      <c r="GCI150" s="72"/>
      <c r="GCJ150" s="72"/>
      <c r="GCK150" s="72"/>
      <c r="GCL150" s="72"/>
      <c r="GCM150" s="72"/>
      <c r="GCN150" s="72"/>
      <c r="GCO150" s="72"/>
      <c r="GCP150" s="72"/>
      <c r="GCQ150" s="72"/>
      <c r="GCR150" s="72"/>
      <c r="GCS150" s="72"/>
      <c r="GCT150" s="72"/>
      <c r="GCU150" s="72"/>
      <c r="GCV150" s="72"/>
      <c r="GCW150" s="72"/>
      <c r="GCX150" s="72"/>
      <c r="GCY150" s="72"/>
      <c r="GCZ150" s="72"/>
      <c r="GDA150" s="72"/>
      <c r="GDB150" s="72"/>
      <c r="GDC150" s="72"/>
      <c r="GDD150" s="72"/>
      <c r="GDE150" s="72"/>
      <c r="GDF150" s="72"/>
      <c r="GDG150" s="72"/>
      <c r="GDH150" s="72"/>
      <c r="GDI150" s="72"/>
      <c r="GDJ150" s="72"/>
      <c r="GDK150" s="72"/>
      <c r="GDL150" s="72"/>
      <c r="GDM150" s="72"/>
      <c r="GDN150" s="72"/>
      <c r="GDO150" s="72"/>
      <c r="GDP150" s="72"/>
      <c r="GDQ150" s="72"/>
      <c r="GDR150" s="72"/>
      <c r="GDS150" s="72"/>
      <c r="GDT150" s="72"/>
      <c r="GDU150" s="72"/>
      <c r="GDV150" s="72"/>
      <c r="GDW150" s="72"/>
      <c r="GDX150" s="72"/>
      <c r="GDY150" s="72"/>
      <c r="GDZ150" s="72"/>
      <c r="GEA150" s="72"/>
      <c r="GEB150" s="72"/>
      <c r="GEC150" s="72"/>
      <c r="GED150" s="72"/>
      <c r="GEE150" s="72"/>
      <c r="GEF150" s="72"/>
      <c r="GEG150" s="72"/>
      <c r="GEH150" s="72"/>
      <c r="GEI150" s="72"/>
      <c r="GEJ150" s="72"/>
      <c r="GEK150" s="72"/>
      <c r="GEL150" s="72"/>
      <c r="GEM150" s="72"/>
      <c r="GEN150" s="72"/>
      <c r="GEO150" s="72"/>
      <c r="GEP150" s="72"/>
      <c r="GEQ150" s="72"/>
      <c r="GER150" s="72"/>
      <c r="GES150" s="72"/>
      <c r="GET150" s="72"/>
      <c r="GEU150" s="72"/>
      <c r="GEV150" s="72"/>
      <c r="GEW150" s="72"/>
      <c r="GEX150" s="72"/>
      <c r="GEY150" s="72"/>
      <c r="GEZ150" s="72"/>
      <c r="GFA150" s="72"/>
      <c r="GFB150" s="72"/>
      <c r="GFC150" s="72"/>
      <c r="GFD150" s="72"/>
      <c r="GFE150" s="72"/>
      <c r="GFF150" s="72"/>
      <c r="GFG150" s="72"/>
      <c r="GFH150" s="72"/>
      <c r="GFI150" s="72"/>
      <c r="GFJ150" s="72"/>
      <c r="GFK150" s="72"/>
      <c r="GFL150" s="72"/>
      <c r="GFM150" s="72"/>
      <c r="GFN150" s="72"/>
      <c r="GFO150" s="72"/>
      <c r="GFP150" s="72"/>
      <c r="GFQ150" s="72"/>
      <c r="GFR150" s="72"/>
      <c r="GFS150" s="72"/>
      <c r="GFT150" s="72"/>
      <c r="GFU150" s="72"/>
      <c r="GFV150" s="72"/>
      <c r="GFW150" s="72"/>
      <c r="GFX150" s="72"/>
      <c r="GFY150" s="72"/>
      <c r="GFZ150" s="72"/>
      <c r="GGA150" s="72"/>
      <c r="GGB150" s="72"/>
      <c r="GGC150" s="72"/>
      <c r="GGD150" s="72"/>
      <c r="GGE150" s="72"/>
      <c r="GGF150" s="72"/>
      <c r="GGG150" s="72"/>
      <c r="GGH150" s="72"/>
      <c r="GGI150" s="72"/>
      <c r="GGJ150" s="72"/>
      <c r="GGK150" s="72"/>
      <c r="GGL150" s="72"/>
      <c r="GGM150" s="72"/>
      <c r="GGN150" s="72"/>
      <c r="GGO150" s="72"/>
      <c r="GGP150" s="72"/>
      <c r="GGQ150" s="72"/>
      <c r="GGR150" s="72"/>
      <c r="GGS150" s="72"/>
      <c r="GGT150" s="72"/>
      <c r="GGU150" s="72"/>
      <c r="GGV150" s="72"/>
      <c r="GGW150" s="72"/>
      <c r="GGX150" s="72"/>
      <c r="GGY150" s="72"/>
      <c r="GGZ150" s="72"/>
      <c r="GHA150" s="72"/>
      <c r="GHB150" s="72"/>
      <c r="GHC150" s="72"/>
      <c r="GHD150" s="72"/>
      <c r="GHE150" s="72"/>
      <c r="GHF150" s="72"/>
      <c r="GHG150" s="72"/>
      <c r="GHH150" s="72"/>
      <c r="GHI150" s="72"/>
      <c r="GHJ150" s="72"/>
      <c r="GHK150" s="72"/>
      <c r="GHL150" s="72"/>
      <c r="GHM150" s="72"/>
      <c r="GHN150" s="72"/>
      <c r="GHO150" s="72"/>
      <c r="GHP150" s="72"/>
      <c r="GHQ150" s="72"/>
      <c r="GHR150" s="72"/>
      <c r="GHS150" s="72"/>
      <c r="GHT150" s="72"/>
      <c r="GHU150" s="72"/>
      <c r="GHV150" s="72"/>
      <c r="GHW150" s="72"/>
      <c r="GHX150" s="72"/>
      <c r="GHY150" s="72"/>
      <c r="GHZ150" s="72"/>
      <c r="GIA150" s="72"/>
      <c r="GIB150" s="72"/>
      <c r="GIC150" s="72"/>
      <c r="GID150" s="72"/>
      <c r="GIE150" s="72"/>
      <c r="GIF150" s="72"/>
      <c r="GIG150" s="72"/>
      <c r="GIH150" s="72"/>
      <c r="GII150" s="72"/>
      <c r="GIJ150" s="72"/>
      <c r="GIK150" s="72"/>
      <c r="GIL150" s="72"/>
      <c r="GIM150" s="72"/>
      <c r="GIN150" s="72"/>
      <c r="GIO150" s="72"/>
      <c r="GIP150" s="72"/>
      <c r="GIQ150" s="72"/>
      <c r="GIR150" s="72"/>
      <c r="GIS150" s="72"/>
      <c r="GIT150" s="72"/>
      <c r="GIU150" s="72"/>
      <c r="GIV150" s="72"/>
      <c r="GIW150" s="72"/>
      <c r="GIX150" s="72"/>
      <c r="GIY150" s="72"/>
      <c r="GIZ150" s="72"/>
      <c r="GJA150" s="72"/>
      <c r="GJB150" s="72"/>
      <c r="GJC150" s="72"/>
      <c r="GJD150" s="72"/>
      <c r="GJE150" s="72"/>
      <c r="GJF150" s="72"/>
      <c r="GJG150" s="72"/>
      <c r="GJH150" s="72"/>
      <c r="GJI150" s="72"/>
      <c r="GJJ150" s="72"/>
      <c r="GJK150" s="72"/>
      <c r="GJL150" s="72"/>
      <c r="GJM150" s="72"/>
      <c r="GJN150" s="72"/>
      <c r="GJO150" s="72"/>
      <c r="GJP150" s="72"/>
      <c r="GJQ150" s="72"/>
      <c r="GJR150" s="72"/>
      <c r="GJS150" s="72"/>
      <c r="GJT150" s="72"/>
      <c r="GJU150" s="72"/>
      <c r="GJV150" s="72"/>
      <c r="GJW150" s="72"/>
      <c r="GJX150" s="72"/>
      <c r="GJY150" s="72"/>
      <c r="GJZ150" s="72"/>
      <c r="GKA150" s="72"/>
      <c r="GKB150" s="72"/>
      <c r="GKC150" s="72"/>
      <c r="GKD150" s="72"/>
      <c r="GKE150" s="72"/>
      <c r="GKF150" s="72"/>
      <c r="GKG150" s="72"/>
      <c r="GKH150" s="72"/>
      <c r="GKI150" s="72"/>
      <c r="GKJ150" s="72"/>
      <c r="GKK150" s="72"/>
      <c r="GKL150" s="72"/>
      <c r="GKM150" s="72"/>
      <c r="GKN150" s="72"/>
      <c r="GKO150" s="72"/>
      <c r="GKP150" s="72"/>
      <c r="GKQ150" s="72"/>
      <c r="GKR150" s="72"/>
      <c r="GKS150" s="72"/>
      <c r="GKT150" s="72"/>
      <c r="GKU150" s="72"/>
      <c r="GKV150" s="72"/>
      <c r="GKW150" s="72"/>
      <c r="GKX150" s="72"/>
      <c r="GKY150" s="72"/>
      <c r="GKZ150" s="72"/>
      <c r="GLA150" s="72"/>
      <c r="GLB150" s="72"/>
      <c r="GLC150" s="72"/>
      <c r="GLD150" s="72"/>
      <c r="GLE150" s="72"/>
      <c r="GLF150" s="72"/>
      <c r="GLG150" s="72"/>
      <c r="GLH150" s="72"/>
      <c r="GLI150" s="72"/>
      <c r="GLJ150" s="72"/>
      <c r="GLK150" s="72"/>
      <c r="GLL150" s="72"/>
      <c r="GLM150" s="72"/>
      <c r="GLN150" s="72"/>
      <c r="GLO150" s="72"/>
      <c r="GLP150" s="72"/>
      <c r="GLQ150" s="72"/>
      <c r="GLR150" s="72"/>
      <c r="GLS150" s="72"/>
      <c r="GLT150" s="72"/>
      <c r="GLU150" s="72"/>
      <c r="GLV150" s="72"/>
      <c r="GLW150" s="72"/>
      <c r="GLX150" s="72"/>
      <c r="GLY150" s="72"/>
      <c r="GLZ150" s="72"/>
      <c r="GMA150" s="72"/>
      <c r="GMB150" s="72"/>
      <c r="GMC150" s="72"/>
      <c r="GMD150" s="72"/>
      <c r="GME150" s="72"/>
      <c r="GMF150" s="72"/>
      <c r="GMG150" s="72"/>
      <c r="GMH150" s="72"/>
      <c r="GMI150" s="72"/>
      <c r="GMJ150" s="72"/>
      <c r="GMK150" s="72"/>
      <c r="GML150" s="72"/>
      <c r="GMM150" s="72"/>
      <c r="GMN150" s="72"/>
      <c r="GMO150" s="72"/>
      <c r="GMP150" s="72"/>
      <c r="GMQ150" s="72"/>
      <c r="GMR150" s="72"/>
      <c r="GMS150" s="72"/>
      <c r="GMT150" s="72"/>
      <c r="GMU150" s="72"/>
      <c r="GMV150" s="72"/>
      <c r="GMW150" s="72"/>
      <c r="GMX150" s="72"/>
      <c r="GMY150" s="72"/>
      <c r="GMZ150" s="72"/>
      <c r="GNA150" s="72"/>
      <c r="GNB150" s="72"/>
      <c r="GNC150" s="72"/>
      <c r="GND150" s="72"/>
      <c r="GNE150" s="72"/>
      <c r="GNF150" s="72"/>
      <c r="GNG150" s="72"/>
      <c r="GNH150" s="72"/>
      <c r="GNI150" s="72"/>
      <c r="GNJ150" s="72"/>
      <c r="GNK150" s="72"/>
      <c r="GNL150" s="72"/>
      <c r="GNM150" s="72"/>
      <c r="GNN150" s="72"/>
      <c r="GNO150" s="72"/>
      <c r="GNP150" s="72"/>
      <c r="GNQ150" s="72"/>
      <c r="GNR150" s="72"/>
      <c r="GNS150" s="72"/>
      <c r="GNT150" s="72"/>
      <c r="GNU150" s="72"/>
      <c r="GNV150" s="72"/>
      <c r="GNW150" s="72"/>
      <c r="GNX150" s="72"/>
      <c r="GNY150" s="72"/>
      <c r="GNZ150" s="72"/>
      <c r="GOA150" s="72"/>
      <c r="GOB150" s="72"/>
      <c r="GOC150" s="72"/>
      <c r="GOD150" s="72"/>
      <c r="GOE150" s="72"/>
      <c r="GOF150" s="72"/>
      <c r="GOG150" s="72"/>
      <c r="GOH150" s="72"/>
      <c r="GOI150" s="72"/>
      <c r="GOJ150" s="72"/>
      <c r="GOK150" s="72"/>
      <c r="GOL150" s="72"/>
      <c r="GOM150" s="72"/>
      <c r="GON150" s="72"/>
      <c r="GOO150" s="72"/>
      <c r="GOP150" s="72"/>
      <c r="GOQ150" s="72"/>
      <c r="GOR150" s="72"/>
      <c r="GOS150" s="72"/>
      <c r="GOT150" s="72"/>
      <c r="GOU150" s="72"/>
      <c r="GOV150" s="72"/>
      <c r="GOW150" s="72"/>
      <c r="GOX150" s="72"/>
      <c r="GOY150" s="72"/>
      <c r="GOZ150" s="72"/>
      <c r="GPA150" s="72"/>
      <c r="GPB150" s="72"/>
      <c r="GPC150" s="72"/>
      <c r="GPD150" s="72"/>
      <c r="GPE150" s="72"/>
      <c r="GPF150" s="72"/>
      <c r="GPG150" s="72"/>
      <c r="GPH150" s="72"/>
      <c r="GPI150" s="72"/>
      <c r="GPJ150" s="72"/>
      <c r="GPK150" s="72"/>
      <c r="GPL150" s="72"/>
      <c r="GPM150" s="72"/>
      <c r="GPN150" s="72"/>
      <c r="GPO150" s="72"/>
      <c r="GPP150" s="72"/>
      <c r="GPQ150" s="72"/>
      <c r="GPR150" s="72"/>
      <c r="GPS150" s="72"/>
      <c r="GPT150" s="72"/>
      <c r="GPU150" s="72"/>
      <c r="GPV150" s="72"/>
      <c r="GPW150" s="72"/>
      <c r="GPX150" s="72"/>
      <c r="GPY150" s="72"/>
      <c r="GPZ150" s="72"/>
      <c r="GQA150" s="72"/>
      <c r="GQB150" s="72"/>
      <c r="GQC150" s="72"/>
      <c r="GQD150" s="72"/>
      <c r="GQE150" s="72"/>
      <c r="GQF150" s="72"/>
      <c r="GQG150" s="72"/>
      <c r="GQH150" s="72"/>
      <c r="GQI150" s="72"/>
      <c r="GQJ150" s="72"/>
      <c r="GQK150" s="72"/>
      <c r="GQL150" s="72"/>
      <c r="GQM150" s="72"/>
      <c r="GQN150" s="72"/>
      <c r="GQO150" s="72"/>
      <c r="GQP150" s="72"/>
      <c r="GQQ150" s="72"/>
      <c r="GQR150" s="72"/>
      <c r="GQS150" s="72"/>
      <c r="GQT150" s="72"/>
      <c r="GQU150" s="72"/>
      <c r="GQV150" s="72"/>
      <c r="GQW150" s="72"/>
      <c r="GQX150" s="72"/>
      <c r="GQY150" s="72"/>
      <c r="GQZ150" s="72"/>
      <c r="GRA150" s="72"/>
      <c r="GRB150" s="72"/>
      <c r="GRC150" s="72"/>
      <c r="GRD150" s="72"/>
      <c r="GRE150" s="72"/>
      <c r="GRF150" s="72"/>
      <c r="GRG150" s="72"/>
      <c r="GRH150" s="72"/>
      <c r="GRI150" s="72"/>
      <c r="GRJ150" s="72"/>
      <c r="GRK150" s="72"/>
      <c r="GRL150" s="72"/>
      <c r="GRM150" s="72"/>
      <c r="GRN150" s="72"/>
      <c r="GRO150" s="72"/>
      <c r="GRP150" s="72"/>
      <c r="GRQ150" s="72"/>
      <c r="GRR150" s="72"/>
      <c r="GRS150" s="72"/>
      <c r="GRT150" s="72"/>
      <c r="GRU150" s="72"/>
      <c r="GRV150" s="72"/>
      <c r="GRW150" s="72"/>
      <c r="GRX150" s="72"/>
      <c r="GRY150" s="72"/>
      <c r="GRZ150" s="72"/>
      <c r="GSA150" s="72"/>
      <c r="GSB150" s="72"/>
      <c r="GSC150" s="72"/>
      <c r="GSD150" s="72"/>
      <c r="GSE150" s="72"/>
      <c r="GSF150" s="72"/>
      <c r="GSG150" s="72"/>
      <c r="GSH150" s="72"/>
      <c r="GSI150" s="72"/>
      <c r="GSJ150" s="72"/>
      <c r="GSK150" s="72"/>
      <c r="GSL150" s="72"/>
      <c r="GSM150" s="72"/>
      <c r="GSN150" s="72"/>
      <c r="GSO150" s="72"/>
      <c r="GSP150" s="72"/>
      <c r="GSQ150" s="72"/>
      <c r="GSR150" s="72"/>
      <c r="GSS150" s="72"/>
      <c r="GST150" s="72"/>
      <c r="GSU150" s="72"/>
      <c r="GSV150" s="72"/>
      <c r="GSW150" s="72"/>
      <c r="GSX150" s="72"/>
      <c r="GSY150" s="72"/>
      <c r="GSZ150" s="72"/>
      <c r="GTA150" s="72"/>
      <c r="GTB150" s="72"/>
      <c r="GTC150" s="72"/>
      <c r="GTD150" s="72"/>
      <c r="GTE150" s="72"/>
      <c r="GTF150" s="72"/>
      <c r="GTG150" s="72"/>
      <c r="GTH150" s="72"/>
      <c r="GTI150" s="72"/>
      <c r="GTJ150" s="72"/>
      <c r="GTK150" s="72"/>
      <c r="GTL150" s="72"/>
      <c r="GTM150" s="72"/>
      <c r="GTN150" s="72"/>
      <c r="GTO150" s="72"/>
      <c r="GTP150" s="72"/>
      <c r="GTQ150" s="72"/>
      <c r="GTR150" s="72"/>
      <c r="GTS150" s="72"/>
      <c r="GTT150" s="72"/>
      <c r="GTU150" s="72"/>
      <c r="GTV150" s="72"/>
      <c r="GTW150" s="72"/>
      <c r="GTX150" s="72"/>
      <c r="GTY150" s="72"/>
      <c r="GTZ150" s="72"/>
      <c r="GUA150" s="72"/>
      <c r="GUB150" s="72"/>
      <c r="GUC150" s="72"/>
      <c r="GUD150" s="72"/>
      <c r="GUE150" s="72"/>
      <c r="GUF150" s="72"/>
      <c r="GUG150" s="72"/>
      <c r="GUH150" s="72"/>
      <c r="GUI150" s="72"/>
      <c r="GUJ150" s="72"/>
      <c r="GUK150" s="72"/>
      <c r="GUL150" s="72"/>
      <c r="GUM150" s="72"/>
      <c r="GUN150" s="72"/>
      <c r="GUO150" s="72"/>
      <c r="GUP150" s="72"/>
      <c r="GUQ150" s="72"/>
      <c r="GUR150" s="72"/>
      <c r="GUS150" s="72"/>
      <c r="GUT150" s="72"/>
      <c r="GUU150" s="72"/>
      <c r="GUV150" s="72"/>
      <c r="GUW150" s="72"/>
      <c r="GUX150" s="72"/>
      <c r="GUY150" s="72"/>
      <c r="GUZ150" s="72"/>
      <c r="GVA150" s="72"/>
      <c r="GVB150" s="72"/>
      <c r="GVC150" s="72"/>
      <c r="GVD150" s="72"/>
      <c r="GVE150" s="72"/>
      <c r="GVF150" s="72"/>
      <c r="GVG150" s="72"/>
      <c r="GVH150" s="72"/>
      <c r="GVI150" s="72"/>
      <c r="GVJ150" s="72"/>
      <c r="GVK150" s="72"/>
      <c r="GVL150" s="72"/>
      <c r="GVM150" s="72"/>
      <c r="GVN150" s="72"/>
      <c r="GVO150" s="72"/>
      <c r="GVP150" s="72"/>
      <c r="GVQ150" s="72"/>
      <c r="GVR150" s="72"/>
      <c r="GVS150" s="72"/>
      <c r="GVT150" s="72"/>
      <c r="GVU150" s="72"/>
      <c r="GVV150" s="72"/>
      <c r="GVW150" s="72"/>
      <c r="GVX150" s="72"/>
      <c r="GVY150" s="72"/>
      <c r="GVZ150" s="72"/>
      <c r="GWA150" s="72"/>
      <c r="GWB150" s="72"/>
      <c r="GWC150" s="72"/>
      <c r="GWD150" s="72"/>
      <c r="GWE150" s="72"/>
      <c r="GWF150" s="72"/>
      <c r="GWG150" s="72"/>
      <c r="GWH150" s="72"/>
      <c r="GWI150" s="72"/>
      <c r="GWJ150" s="72"/>
      <c r="GWK150" s="72"/>
      <c r="GWL150" s="72"/>
      <c r="GWM150" s="72"/>
      <c r="GWN150" s="72"/>
      <c r="GWO150" s="72"/>
      <c r="GWP150" s="72"/>
      <c r="GWQ150" s="72"/>
      <c r="GWR150" s="72"/>
      <c r="GWS150" s="72"/>
      <c r="GWT150" s="72"/>
      <c r="GWU150" s="72"/>
      <c r="GWV150" s="72"/>
      <c r="GWW150" s="72"/>
      <c r="GWX150" s="72"/>
      <c r="GWY150" s="72"/>
      <c r="GWZ150" s="72"/>
      <c r="GXA150" s="72"/>
      <c r="GXB150" s="72"/>
      <c r="GXC150" s="72"/>
      <c r="GXD150" s="72"/>
      <c r="GXE150" s="72"/>
      <c r="GXF150" s="72"/>
      <c r="GXG150" s="72"/>
      <c r="GXH150" s="72"/>
      <c r="GXI150" s="72"/>
      <c r="GXJ150" s="72"/>
      <c r="GXK150" s="72"/>
      <c r="GXL150" s="72"/>
      <c r="GXM150" s="72"/>
      <c r="GXN150" s="72"/>
      <c r="GXO150" s="72"/>
      <c r="GXP150" s="72"/>
      <c r="GXQ150" s="72"/>
      <c r="GXR150" s="72"/>
      <c r="GXS150" s="72"/>
      <c r="GXT150" s="72"/>
      <c r="GXU150" s="72"/>
      <c r="GXV150" s="72"/>
      <c r="GXW150" s="72"/>
      <c r="GXX150" s="72"/>
      <c r="GXY150" s="72"/>
      <c r="GXZ150" s="72"/>
      <c r="GYA150" s="72"/>
      <c r="GYB150" s="72"/>
      <c r="GYC150" s="72"/>
      <c r="GYD150" s="72"/>
      <c r="GYE150" s="72"/>
      <c r="GYF150" s="72"/>
      <c r="GYG150" s="72"/>
      <c r="GYH150" s="72"/>
      <c r="GYI150" s="72"/>
      <c r="GYJ150" s="72"/>
      <c r="GYK150" s="72"/>
      <c r="GYL150" s="72"/>
      <c r="GYM150" s="72"/>
      <c r="GYN150" s="72"/>
      <c r="GYO150" s="72"/>
      <c r="GYP150" s="72"/>
      <c r="GYQ150" s="72"/>
      <c r="GYR150" s="72"/>
      <c r="GYS150" s="72"/>
      <c r="GYT150" s="72"/>
      <c r="GYU150" s="72"/>
      <c r="GYV150" s="72"/>
      <c r="GYW150" s="72"/>
      <c r="GYX150" s="72"/>
      <c r="GYY150" s="72"/>
      <c r="GYZ150" s="72"/>
      <c r="GZA150" s="72"/>
      <c r="GZB150" s="72"/>
      <c r="GZC150" s="72"/>
      <c r="GZD150" s="72"/>
      <c r="GZE150" s="72"/>
      <c r="GZF150" s="72"/>
      <c r="GZG150" s="72"/>
      <c r="GZH150" s="72"/>
      <c r="GZI150" s="72"/>
      <c r="GZJ150" s="72"/>
      <c r="GZK150" s="72"/>
      <c r="GZL150" s="72"/>
      <c r="GZM150" s="72"/>
      <c r="GZN150" s="72"/>
      <c r="GZO150" s="72"/>
      <c r="GZP150" s="72"/>
      <c r="GZQ150" s="72"/>
      <c r="GZR150" s="72"/>
      <c r="GZS150" s="72"/>
      <c r="GZT150" s="72"/>
      <c r="GZU150" s="72"/>
      <c r="GZV150" s="72"/>
      <c r="GZW150" s="72"/>
      <c r="GZX150" s="72"/>
      <c r="GZY150" s="72"/>
      <c r="GZZ150" s="72"/>
      <c r="HAA150" s="72"/>
      <c r="HAB150" s="72"/>
      <c r="HAC150" s="72"/>
      <c r="HAD150" s="72"/>
      <c r="HAE150" s="72"/>
      <c r="HAF150" s="72"/>
      <c r="HAG150" s="72"/>
      <c r="HAH150" s="72"/>
      <c r="HAI150" s="72"/>
      <c r="HAJ150" s="72"/>
      <c r="HAK150" s="72"/>
      <c r="HAL150" s="72"/>
      <c r="HAM150" s="72"/>
      <c r="HAN150" s="72"/>
      <c r="HAO150" s="72"/>
      <c r="HAP150" s="72"/>
      <c r="HAQ150" s="72"/>
      <c r="HAR150" s="72"/>
      <c r="HAS150" s="72"/>
      <c r="HAT150" s="72"/>
      <c r="HAU150" s="72"/>
      <c r="HAV150" s="72"/>
      <c r="HAW150" s="72"/>
      <c r="HAX150" s="72"/>
      <c r="HAY150" s="72"/>
      <c r="HAZ150" s="72"/>
      <c r="HBA150" s="72"/>
      <c r="HBB150" s="72"/>
      <c r="HBC150" s="72"/>
      <c r="HBD150" s="72"/>
      <c r="HBE150" s="72"/>
      <c r="HBF150" s="72"/>
      <c r="HBG150" s="72"/>
      <c r="HBH150" s="72"/>
      <c r="HBI150" s="72"/>
      <c r="HBJ150" s="72"/>
      <c r="HBK150" s="72"/>
      <c r="HBL150" s="72"/>
      <c r="HBM150" s="72"/>
      <c r="HBN150" s="72"/>
      <c r="HBO150" s="72"/>
      <c r="HBP150" s="72"/>
      <c r="HBQ150" s="72"/>
      <c r="HBR150" s="72"/>
      <c r="HBS150" s="72"/>
      <c r="HBT150" s="72"/>
      <c r="HBU150" s="72"/>
      <c r="HBV150" s="72"/>
      <c r="HBW150" s="72"/>
      <c r="HBX150" s="72"/>
      <c r="HBY150" s="72"/>
      <c r="HBZ150" s="72"/>
      <c r="HCA150" s="72"/>
      <c r="HCB150" s="72"/>
      <c r="HCC150" s="72"/>
      <c r="HCD150" s="72"/>
      <c r="HCE150" s="72"/>
      <c r="HCF150" s="72"/>
      <c r="HCG150" s="72"/>
      <c r="HCH150" s="72"/>
      <c r="HCI150" s="72"/>
      <c r="HCJ150" s="72"/>
      <c r="HCK150" s="72"/>
      <c r="HCL150" s="72"/>
      <c r="HCM150" s="72"/>
      <c r="HCN150" s="72"/>
      <c r="HCO150" s="72"/>
      <c r="HCP150" s="72"/>
      <c r="HCQ150" s="72"/>
      <c r="HCR150" s="72"/>
      <c r="HCS150" s="72"/>
      <c r="HCT150" s="72"/>
      <c r="HCU150" s="72"/>
      <c r="HCV150" s="72"/>
      <c r="HCW150" s="72"/>
      <c r="HCX150" s="72"/>
      <c r="HCY150" s="72"/>
      <c r="HCZ150" s="72"/>
      <c r="HDA150" s="72"/>
      <c r="HDB150" s="72"/>
      <c r="HDC150" s="72"/>
      <c r="HDD150" s="72"/>
      <c r="HDE150" s="72"/>
      <c r="HDF150" s="72"/>
      <c r="HDG150" s="72"/>
      <c r="HDH150" s="72"/>
      <c r="HDI150" s="72"/>
      <c r="HDJ150" s="72"/>
      <c r="HDK150" s="72"/>
      <c r="HDL150" s="72"/>
      <c r="HDM150" s="72"/>
      <c r="HDN150" s="72"/>
      <c r="HDO150" s="72"/>
      <c r="HDP150" s="72"/>
      <c r="HDQ150" s="72"/>
      <c r="HDR150" s="72"/>
      <c r="HDS150" s="72"/>
      <c r="HDT150" s="72"/>
      <c r="HDU150" s="72"/>
      <c r="HDV150" s="72"/>
      <c r="HDW150" s="72"/>
      <c r="HDX150" s="72"/>
      <c r="HDY150" s="72"/>
      <c r="HDZ150" s="72"/>
      <c r="HEA150" s="72"/>
      <c r="HEB150" s="72"/>
      <c r="HEC150" s="72"/>
      <c r="HED150" s="72"/>
      <c r="HEE150" s="72"/>
      <c r="HEF150" s="72"/>
      <c r="HEG150" s="72"/>
      <c r="HEH150" s="72"/>
      <c r="HEI150" s="72"/>
      <c r="HEJ150" s="72"/>
      <c r="HEK150" s="72"/>
      <c r="HEL150" s="72"/>
      <c r="HEM150" s="72"/>
      <c r="HEN150" s="72"/>
      <c r="HEO150" s="72"/>
      <c r="HEP150" s="72"/>
      <c r="HEQ150" s="72"/>
      <c r="HER150" s="72"/>
      <c r="HES150" s="72"/>
      <c r="HET150" s="72"/>
      <c r="HEU150" s="72"/>
      <c r="HEV150" s="72"/>
      <c r="HEW150" s="72"/>
      <c r="HEX150" s="72"/>
      <c r="HEY150" s="72"/>
      <c r="HEZ150" s="72"/>
      <c r="HFA150" s="72"/>
      <c r="HFB150" s="72"/>
      <c r="HFC150" s="72"/>
      <c r="HFD150" s="72"/>
      <c r="HFE150" s="72"/>
      <c r="HFF150" s="72"/>
      <c r="HFG150" s="72"/>
      <c r="HFH150" s="72"/>
      <c r="HFI150" s="72"/>
      <c r="HFJ150" s="72"/>
      <c r="HFK150" s="72"/>
      <c r="HFL150" s="72"/>
      <c r="HFM150" s="72"/>
      <c r="HFN150" s="72"/>
      <c r="HFO150" s="72"/>
      <c r="HFP150" s="72"/>
      <c r="HFQ150" s="72"/>
      <c r="HFR150" s="72"/>
      <c r="HFS150" s="72"/>
      <c r="HFT150" s="72"/>
      <c r="HFU150" s="72"/>
      <c r="HFV150" s="72"/>
      <c r="HFW150" s="72"/>
      <c r="HFX150" s="72"/>
      <c r="HFY150" s="72"/>
      <c r="HFZ150" s="72"/>
      <c r="HGA150" s="72"/>
      <c r="HGB150" s="72"/>
      <c r="HGC150" s="72"/>
      <c r="HGD150" s="72"/>
      <c r="HGE150" s="72"/>
      <c r="HGF150" s="72"/>
      <c r="HGG150" s="72"/>
      <c r="HGH150" s="72"/>
      <c r="HGI150" s="72"/>
      <c r="HGJ150" s="72"/>
      <c r="HGK150" s="72"/>
      <c r="HGL150" s="72"/>
      <c r="HGM150" s="72"/>
      <c r="HGN150" s="72"/>
      <c r="HGO150" s="72"/>
      <c r="HGP150" s="72"/>
      <c r="HGQ150" s="72"/>
      <c r="HGR150" s="72"/>
      <c r="HGS150" s="72"/>
      <c r="HGT150" s="72"/>
      <c r="HGU150" s="72"/>
      <c r="HGV150" s="72"/>
      <c r="HGW150" s="72"/>
      <c r="HGX150" s="72"/>
      <c r="HGY150" s="72"/>
      <c r="HGZ150" s="72"/>
      <c r="HHA150" s="72"/>
      <c r="HHB150" s="72"/>
      <c r="HHC150" s="72"/>
      <c r="HHD150" s="72"/>
      <c r="HHE150" s="72"/>
      <c r="HHF150" s="72"/>
      <c r="HHG150" s="72"/>
      <c r="HHH150" s="72"/>
      <c r="HHI150" s="72"/>
      <c r="HHJ150" s="72"/>
      <c r="HHK150" s="72"/>
      <c r="HHL150" s="72"/>
      <c r="HHM150" s="72"/>
      <c r="HHN150" s="72"/>
      <c r="HHO150" s="72"/>
      <c r="HHP150" s="72"/>
      <c r="HHQ150" s="72"/>
      <c r="HHR150" s="72"/>
      <c r="HHS150" s="72"/>
      <c r="HHT150" s="72"/>
      <c r="HHU150" s="72"/>
      <c r="HHV150" s="72"/>
      <c r="HHW150" s="72"/>
      <c r="HHX150" s="72"/>
      <c r="HHY150" s="72"/>
      <c r="HHZ150" s="72"/>
      <c r="HIA150" s="72"/>
      <c r="HIB150" s="72"/>
      <c r="HIC150" s="72"/>
      <c r="HID150" s="72"/>
      <c r="HIE150" s="72"/>
      <c r="HIF150" s="72"/>
      <c r="HIG150" s="72"/>
      <c r="HIH150" s="72"/>
      <c r="HII150" s="72"/>
      <c r="HIJ150" s="72"/>
      <c r="HIK150" s="72"/>
      <c r="HIL150" s="72"/>
      <c r="HIM150" s="72"/>
      <c r="HIN150" s="72"/>
      <c r="HIO150" s="72"/>
      <c r="HIP150" s="72"/>
      <c r="HIQ150" s="72"/>
      <c r="HIR150" s="72"/>
      <c r="HIS150" s="72"/>
      <c r="HIT150" s="72"/>
      <c r="HIU150" s="72"/>
      <c r="HIV150" s="72"/>
      <c r="HIW150" s="72"/>
      <c r="HIX150" s="72"/>
      <c r="HIY150" s="72"/>
      <c r="HIZ150" s="72"/>
      <c r="HJA150" s="72"/>
      <c r="HJB150" s="72"/>
      <c r="HJC150" s="72"/>
      <c r="HJD150" s="72"/>
      <c r="HJE150" s="72"/>
      <c r="HJF150" s="72"/>
      <c r="HJG150" s="72"/>
      <c r="HJH150" s="72"/>
      <c r="HJI150" s="72"/>
      <c r="HJJ150" s="72"/>
      <c r="HJK150" s="72"/>
      <c r="HJL150" s="72"/>
      <c r="HJM150" s="72"/>
      <c r="HJN150" s="72"/>
      <c r="HJO150" s="72"/>
      <c r="HJP150" s="72"/>
      <c r="HJQ150" s="72"/>
      <c r="HJR150" s="72"/>
      <c r="HJS150" s="72"/>
      <c r="HJT150" s="72"/>
      <c r="HJU150" s="72"/>
      <c r="HJV150" s="72"/>
      <c r="HJW150" s="72"/>
      <c r="HJX150" s="72"/>
      <c r="HJY150" s="72"/>
      <c r="HJZ150" s="72"/>
      <c r="HKA150" s="72"/>
      <c r="HKB150" s="72"/>
      <c r="HKC150" s="72"/>
      <c r="HKD150" s="72"/>
      <c r="HKE150" s="72"/>
      <c r="HKF150" s="72"/>
      <c r="HKG150" s="72"/>
      <c r="HKH150" s="72"/>
      <c r="HKI150" s="72"/>
      <c r="HKJ150" s="72"/>
      <c r="HKK150" s="72"/>
      <c r="HKL150" s="72"/>
      <c r="HKM150" s="72"/>
      <c r="HKN150" s="72"/>
      <c r="HKO150" s="72"/>
      <c r="HKP150" s="72"/>
      <c r="HKQ150" s="72"/>
      <c r="HKR150" s="72"/>
      <c r="HKS150" s="72"/>
      <c r="HKT150" s="72"/>
      <c r="HKU150" s="72"/>
      <c r="HKV150" s="72"/>
      <c r="HKW150" s="72"/>
      <c r="HKX150" s="72"/>
      <c r="HKY150" s="72"/>
      <c r="HKZ150" s="72"/>
      <c r="HLA150" s="72"/>
      <c r="HLB150" s="72"/>
      <c r="HLC150" s="72"/>
      <c r="HLD150" s="72"/>
      <c r="HLE150" s="72"/>
      <c r="HLF150" s="72"/>
      <c r="HLG150" s="72"/>
      <c r="HLH150" s="72"/>
      <c r="HLI150" s="72"/>
      <c r="HLJ150" s="72"/>
      <c r="HLK150" s="72"/>
      <c r="HLL150" s="72"/>
      <c r="HLM150" s="72"/>
      <c r="HLN150" s="72"/>
      <c r="HLO150" s="72"/>
      <c r="HLP150" s="72"/>
      <c r="HLQ150" s="72"/>
      <c r="HLR150" s="72"/>
      <c r="HLS150" s="72"/>
      <c r="HLT150" s="72"/>
      <c r="HLU150" s="72"/>
      <c r="HLV150" s="72"/>
      <c r="HLW150" s="72"/>
      <c r="HLX150" s="72"/>
      <c r="HLY150" s="72"/>
      <c r="HLZ150" s="72"/>
      <c r="HMA150" s="72"/>
      <c r="HMB150" s="72"/>
      <c r="HMC150" s="72"/>
      <c r="HMD150" s="72"/>
      <c r="HME150" s="72"/>
      <c r="HMF150" s="72"/>
      <c r="HMG150" s="72"/>
      <c r="HMH150" s="72"/>
      <c r="HMI150" s="72"/>
      <c r="HMJ150" s="72"/>
      <c r="HMK150" s="72"/>
      <c r="HML150" s="72"/>
      <c r="HMM150" s="72"/>
      <c r="HMN150" s="72"/>
      <c r="HMO150" s="72"/>
      <c r="HMP150" s="72"/>
      <c r="HMQ150" s="72"/>
      <c r="HMR150" s="72"/>
      <c r="HMS150" s="72"/>
      <c r="HMT150" s="72"/>
      <c r="HMU150" s="72"/>
      <c r="HMV150" s="72"/>
      <c r="HMW150" s="72"/>
      <c r="HMX150" s="72"/>
      <c r="HMY150" s="72"/>
      <c r="HMZ150" s="72"/>
      <c r="HNA150" s="72"/>
      <c r="HNB150" s="72"/>
      <c r="HNC150" s="72"/>
      <c r="HND150" s="72"/>
      <c r="HNE150" s="72"/>
      <c r="HNF150" s="72"/>
      <c r="HNG150" s="72"/>
      <c r="HNH150" s="72"/>
      <c r="HNI150" s="72"/>
      <c r="HNJ150" s="72"/>
      <c r="HNK150" s="72"/>
      <c r="HNL150" s="72"/>
      <c r="HNM150" s="72"/>
      <c r="HNN150" s="72"/>
      <c r="HNO150" s="72"/>
      <c r="HNP150" s="72"/>
      <c r="HNQ150" s="72"/>
      <c r="HNR150" s="72"/>
      <c r="HNS150" s="72"/>
      <c r="HNT150" s="72"/>
      <c r="HNU150" s="72"/>
      <c r="HNV150" s="72"/>
      <c r="HNW150" s="72"/>
      <c r="HNX150" s="72"/>
      <c r="HNY150" s="72"/>
      <c r="HNZ150" s="72"/>
      <c r="HOA150" s="72"/>
      <c r="HOB150" s="72"/>
      <c r="HOC150" s="72"/>
      <c r="HOD150" s="72"/>
      <c r="HOE150" s="72"/>
      <c r="HOF150" s="72"/>
      <c r="HOG150" s="72"/>
      <c r="HOH150" s="72"/>
      <c r="HOI150" s="72"/>
      <c r="HOJ150" s="72"/>
      <c r="HOK150" s="72"/>
      <c r="HOL150" s="72"/>
      <c r="HOM150" s="72"/>
      <c r="HON150" s="72"/>
      <c r="HOO150" s="72"/>
      <c r="HOP150" s="72"/>
      <c r="HOQ150" s="72"/>
      <c r="HOR150" s="72"/>
      <c r="HOS150" s="72"/>
      <c r="HOT150" s="72"/>
      <c r="HOU150" s="72"/>
      <c r="HOV150" s="72"/>
      <c r="HOW150" s="72"/>
      <c r="HOX150" s="72"/>
      <c r="HOY150" s="72"/>
      <c r="HOZ150" s="72"/>
      <c r="HPA150" s="72"/>
      <c r="HPB150" s="72"/>
      <c r="HPC150" s="72"/>
      <c r="HPD150" s="72"/>
      <c r="HPE150" s="72"/>
      <c r="HPF150" s="72"/>
      <c r="HPG150" s="72"/>
      <c r="HPH150" s="72"/>
      <c r="HPI150" s="72"/>
      <c r="HPJ150" s="72"/>
      <c r="HPK150" s="72"/>
      <c r="HPL150" s="72"/>
      <c r="HPM150" s="72"/>
      <c r="HPN150" s="72"/>
      <c r="HPO150" s="72"/>
      <c r="HPP150" s="72"/>
      <c r="HPQ150" s="72"/>
      <c r="HPR150" s="72"/>
      <c r="HPS150" s="72"/>
      <c r="HPT150" s="72"/>
      <c r="HPU150" s="72"/>
      <c r="HPV150" s="72"/>
      <c r="HPW150" s="72"/>
      <c r="HPX150" s="72"/>
      <c r="HPY150" s="72"/>
      <c r="HPZ150" s="72"/>
      <c r="HQA150" s="72"/>
      <c r="HQB150" s="72"/>
      <c r="HQC150" s="72"/>
      <c r="HQD150" s="72"/>
      <c r="HQE150" s="72"/>
      <c r="HQF150" s="72"/>
      <c r="HQG150" s="72"/>
      <c r="HQH150" s="72"/>
      <c r="HQI150" s="72"/>
      <c r="HQJ150" s="72"/>
      <c r="HQK150" s="72"/>
      <c r="HQL150" s="72"/>
      <c r="HQM150" s="72"/>
      <c r="HQN150" s="72"/>
      <c r="HQO150" s="72"/>
      <c r="HQP150" s="72"/>
      <c r="HQQ150" s="72"/>
      <c r="HQR150" s="72"/>
      <c r="HQS150" s="72"/>
      <c r="HQT150" s="72"/>
      <c r="HQU150" s="72"/>
      <c r="HQV150" s="72"/>
      <c r="HQW150" s="72"/>
      <c r="HQX150" s="72"/>
      <c r="HQY150" s="72"/>
      <c r="HQZ150" s="72"/>
      <c r="HRA150" s="72"/>
      <c r="HRB150" s="72"/>
      <c r="HRC150" s="72"/>
      <c r="HRD150" s="72"/>
      <c r="HRE150" s="72"/>
      <c r="HRF150" s="72"/>
      <c r="HRG150" s="72"/>
      <c r="HRH150" s="72"/>
      <c r="HRI150" s="72"/>
      <c r="HRJ150" s="72"/>
      <c r="HRK150" s="72"/>
      <c r="HRL150" s="72"/>
      <c r="HRM150" s="72"/>
      <c r="HRN150" s="72"/>
      <c r="HRO150" s="72"/>
      <c r="HRP150" s="72"/>
      <c r="HRQ150" s="72"/>
      <c r="HRR150" s="72"/>
      <c r="HRS150" s="72"/>
      <c r="HRT150" s="72"/>
      <c r="HRU150" s="72"/>
      <c r="HRV150" s="72"/>
      <c r="HRW150" s="72"/>
      <c r="HRX150" s="72"/>
      <c r="HRY150" s="72"/>
      <c r="HRZ150" s="72"/>
      <c r="HSA150" s="72"/>
      <c r="HSB150" s="72"/>
      <c r="HSC150" s="72"/>
      <c r="HSD150" s="72"/>
      <c r="HSE150" s="72"/>
      <c r="HSF150" s="72"/>
      <c r="HSG150" s="72"/>
      <c r="HSH150" s="72"/>
      <c r="HSI150" s="72"/>
      <c r="HSJ150" s="72"/>
      <c r="HSK150" s="72"/>
      <c r="HSL150" s="72"/>
      <c r="HSM150" s="72"/>
      <c r="HSN150" s="72"/>
      <c r="HSO150" s="72"/>
      <c r="HSP150" s="72"/>
      <c r="HSQ150" s="72"/>
      <c r="HSR150" s="72"/>
      <c r="HSS150" s="72"/>
      <c r="HST150" s="72"/>
      <c r="HSU150" s="72"/>
      <c r="HSV150" s="72"/>
      <c r="HSW150" s="72"/>
      <c r="HSX150" s="72"/>
      <c r="HSY150" s="72"/>
      <c r="HSZ150" s="72"/>
      <c r="HTA150" s="72"/>
      <c r="HTB150" s="72"/>
      <c r="HTC150" s="72"/>
      <c r="HTD150" s="72"/>
      <c r="HTE150" s="72"/>
      <c r="HTF150" s="72"/>
      <c r="HTG150" s="72"/>
      <c r="HTH150" s="72"/>
      <c r="HTI150" s="72"/>
      <c r="HTJ150" s="72"/>
      <c r="HTK150" s="72"/>
      <c r="HTL150" s="72"/>
      <c r="HTM150" s="72"/>
      <c r="HTN150" s="72"/>
      <c r="HTO150" s="72"/>
      <c r="HTP150" s="72"/>
      <c r="HTQ150" s="72"/>
      <c r="HTR150" s="72"/>
      <c r="HTS150" s="72"/>
      <c r="HTT150" s="72"/>
      <c r="HTU150" s="72"/>
      <c r="HTV150" s="72"/>
      <c r="HTW150" s="72"/>
      <c r="HTX150" s="72"/>
      <c r="HTY150" s="72"/>
      <c r="HTZ150" s="72"/>
      <c r="HUA150" s="72"/>
      <c r="HUB150" s="72"/>
      <c r="HUC150" s="72"/>
      <c r="HUD150" s="72"/>
      <c r="HUE150" s="72"/>
      <c r="HUF150" s="72"/>
      <c r="HUG150" s="72"/>
      <c r="HUH150" s="72"/>
      <c r="HUI150" s="72"/>
      <c r="HUJ150" s="72"/>
      <c r="HUK150" s="72"/>
      <c r="HUL150" s="72"/>
      <c r="HUM150" s="72"/>
      <c r="HUN150" s="72"/>
      <c r="HUO150" s="72"/>
      <c r="HUP150" s="72"/>
      <c r="HUQ150" s="72"/>
      <c r="HUR150" s="72"/>
      <c r="HUS150" s="72"/>
      <c r="HUT150" s="72"/>
      <c r="HUU150" s="72"/>
      <c r="HUV150" s="72"/>
      <c r="HUW150" s="72"/>
      <c r="HUX150" s="72"/>
      <c r="HUY150" s="72"/>
      <c r="HUZ150" s="72"/>
      <c r="HVA150" s="72"/>
      <c r="HVB150" s="72"/>
      <c r="HVC150" s="72"/>
      <c r="HVD150" s="72"/>
      <c r="HVE150" s="72"/>
      <c r="HVF150" s="72"/>
      <c r="HVG150" s="72"/>
      <c r="HVH150" s="72"/>
      <c r="HVI150" s="72"/>
      <c r="HVJ150" s="72"/>
      <c r="HVK150" s="72"/>
      <c r="HVL150" s="72"/>
      <c r="HVM150" s="72"/>
      <c r="HVN150" s="72"/>
      <c r="HVO150" s="72"/>
      <c r="HVP150" s="72"/>
      <c r="HVQ150" s="72"/>
      <c r="HVR150" s="72"/>
      <c r="HVS150" s="72"/>
      <c r="HVT150" s="72"/>
      <c r="HVU150" s="72"/>
      <c r="HVV150" s="72"/>
      <c r="HVW150" s="72"/>
      <c r="HVX150" s="72"/>
      <c r="HVY150" s="72"/>
      <c r="HVZ150" s="72"/>
      <c r="HWA150" s="72"/>
      <c r="HWB150" s="72"/>
      <c r="HWC150" s="72"/>
      <c r="HWD150" s="72"/>
      <c r="HWE150" s="72"/>
      <c r="HWF150" s="72"/>
      <c r="HWG150" s="72"/>
      <c r="HWH150" s="72"/>
      <c r="HWI150" s="72"/>
      <c r="HWJ150" s="72"/>
      <c r="HWK150" s="72"/>
      <c r="HWL150" s="72"/>
      <c r="HWM150" s="72"/>
      <c r="HWN150" s="72"/>
      <c r="HWO150" s="72"/>
      <c r="HWP150" s="72"/>
      <c r="HWQ150" s="72"/>
      <c r="HWR150" s="72"/>
      <c r="HWS150" s="72"/>
      <c r="HWT150" s="72"/>
      <c r="HWU150" s="72"/>
      <c r="HWV150" s="72"/>
      <c r="HWW150" s="72"/>
      <c r="HWX150" s="72"/>
      <c r="HWY150" s="72"/>
      <c r="HWZ150" s="72"/>
      <c r="HXA150" s="72"/>
      <c r="HXB150" s="72"/>
      <c r="HXC150" s="72"/>
      <c r="HXD150" s="72"/>
      <c r="HXE150" s="72"/>
      <c r="HXF150" s="72"/>
      <c r="HXG150" s="72"/>
      <c r="HXH150" s="72"/>
      <c r="HXI150" s="72"/>
      <c r="HXJ150" s="72"/>
      <c r="HXK150" s="72"/>
      <c r="HXL150" s="72"/>
      <c r="HXM150" s="72"/>
      <c r="HXN150" s="72"/>
      <c r="HXO150" s="72"/>
      <c r="HXP150" s="72"/>
      <c r="HXQ150" s="72"/>
      <c r="HXR150" s="72"/>
      <c r="HXS150" s="72"/>
      <c r="HXT150" s="72"/>
      <c r="HXU150" s="72"/>
      <c r="HXV150" s="72"/>
      <c r="HXW150" s="72"/>
      <c r="HXX150" s="72"/>
      <c r="HXY150" s="72"/>
      <c r="HXZ150" s="72"/>
      <c r="HYA150" s="72"/>
      <c r="HYB150" s="72"/>
      <c r="HYC150" s="72"/>
      <c r="HYD150" s="72"/>
      <c r="HYE150" s="72"/>
      <c r="HYF150" s="72"/>
      <c r="HYG150" s="72"/>
      <c r="HYH150" s="72"/>
      <c r="HYI150" s="72"/>
      <c r="HYJ150" s="72"/>
      <c r="HYK150" s="72"/>
      <c r="HYL150" s="72"/>
      <c r="HYM150" s="72"/>
      <c r="HYN150" s="72"/>
      <c r="HYO150" s="72"/>
      <c r="HYP150" s="72"/>
      <c r="HYQ150" s="72"/>
      <c r="HYR150" s="72"/>
      <c r="HYS150" s="72"/>
      <c r="HYT150" s="72"/>
      <c r="HYU150" s="72"/>
      <c r="HYV150" s="72"/>
      <c r="HYW150" s="72"/>
      <c r="HYX150" s="72"/>
      <c r="HYY150" s="72"/>
      <c r="HYZ150" s="72"/>
      <c r="HZA150" s="72"/>
      <c r="HZB150" s="72"/>
      <c r="HZC150" s="72"/>
      <c r="HZD150" s="72"/>
      <c r="HZE150" s="72"/>
      <c r="HZF150" s="72"/>
      <c r="HZG150" s="72"/>
      <c r="HZH150" s="72"/>
      <c r="HZI150" s="72"/>
      <c r="HZJ150" s="72"/>
      <c r="HZK150" s="72"/>
      <c r="HZL150" s="72"/>
      <c r="HZM150" s="72"/>
      <c r="HZN150" s="72"/>
      <c r="HZO150" s="72"/>
      <c r="HZP150" s="72"/>
      <c r="HZQ150" s="72"/>
      <c r="HZR150" s="72"/>
      <c r="HZS150" s="72"/>
      <c r="HZT150" s="72"/>
      <c r="HZU150" s="72"/>
      <c r="HZV150" s="72"/>
      <c r="HZW150" s="72"/>
      <c r="HZX150" s="72"/>
      <c r="HZY150" s="72"/>
      <c r="HZZ150" s="72"/>
      <c r="IAA150" s="72"/>
      <c r="IAB150" s="72"/>
      <c r="IAC150" s="72"/>
      <c r="IAD150" s="72"/>
      <c r="IAE150" s="72"/>
      <c r="IAF150" s="72"/>
      <c r="IAG150" s="72"/>
      <c r="IAH150" s="72"/>
      <c r="IAI150" s="72"/>
      <c r="IAJ150" s="72"/>
      <c r="IAK150" s="72"/>
      <c r="IAL150" s="72"/>
      <c r="IAM150" s="72"/>
      <c r="IAN150" s="72"/>
      <c r="IAO150" s="72"/>
      <c r="IAP150" s="72"/>
      <c r="IAQ150" s="72"/>
      <c r="IAR150" s="72"/>
      <c r="IAS150" s="72"/>
      <c r="IAT150" s="72"/>
      <c r="IAU150" s="72"/>
      <c r="IAV150" s="72"/>
      <c r="IAW150" s="72"/>
      <c r="IAX150" s="72"/>
      <c r="IAY150" s="72"/>
      <c r="IAZ150" s="72"/>
      <c r="IBA150" s="72"/>
      <c r="IBB150" s="72"/>
      <c r="IBC150" s="72"/>
      <c r="IBD150" s="72"/>
      <c r="IBE150" s="72"/>
      <c r="IBF150" s="72"/>
      <c r="IBG150" s="72"/>
      <c r="IBH150" s="72"/>
      <c r="IBI150" s="72"/>
      <c r="IBJ150" s="72"/>
      <c r="IBK150" s="72"/>
      <c r="IBL150" s="72"/>
      <c r="IBM150" s="72"/>
      <c r="IBN150" s="72"/>
      <c r="IBO150" s="72"/>
      <c r="IBP150" s="72"/>
      <c r="IBQ150" s="72"/>
      <c r="IBR150" s="72"/>
      <c r="IBS150" s="72"/>
      <c r="IBT150" s="72"/>
      <c r="IBU150" s="72"/>
      <c r="IBV150" s="72"/>
      <c r="IBW150" s="72"/>
      <c r="IBX150" s="72"/>
      <c r="IBY150" s="72"/>
      <c r="IBZ150" s="72"/>
      <c r="ICA150" s="72"/>
      <c r="ICB150" s="72"/>
      <c r="ICC150" s="72"/>
      <c r="ICD150" s="72"/>
      <c r="ICE150" s="72"/>
      <c r="ICF150" s="72"/>
      <c r="ICG150" s="72"/>
      <c r="ICH150" s="72"/>
      <c r="ICI150" s="72"/>
      <c r="ICJ150" s="72"/>
      <c r="ICK150" s="72"/>
      <c r="ICL150" s="72"/>
      <c r="ICM150" s="72"/>
      <c r="ICN150" s="72"/>
      <c r="ICO150" s="72"/>
      <c r="ICP150" s="72"/>
      <c r="ICQ150" s="72"/>
      <c r="ICR150" s="72"/>
      <c r="ICS150" s="72"/>
      <c r="ICT150" s="72"/>
      <c r="ICU150" s="72"/>
      <c r="ICV150" s="72"/>
      <c r="ICW150" s="72"/>
      <c r="ICX150" s="72"/>
      <c r="ICY150" s="72"/>
      <c r="ICZ150" s="72"/>
      <c r="IDA150" s="72"/>
      <c r="IDB150" s="72"/>
      <c r="IDC150" s="72"/>
      <c r="IDD150" s="72"/>
      <c r="IDE150" s="72"/>
      <c r="IDF150" s="72"/>
      <c r="IDG150" s="72"/>
      <c r="IDH150" s="72"/>
      <c r="IDI150" s="72"/>
      <c r="IDJ150" s="72"/>
      <c r="IDK150" s="72"/>
      <c r="IDL150" s="72"/>
      <c r="IDM150" s="72"/>
      <c r="IDN150" s="72"/>
      <c r="IDO150" s="72"/>
      <c r="IDP150" s="72"/>
      <c r="IDQ150" s="72"/>
      <c r="IDR150" s="72"/>
      <c r="IDS150" s="72"/>
      <c r="IDT150" s="72"/>
      <c r="IDU150" s="72"/>
      <c r="IDV150" s="72"/>
      <c r="IDW150" s="72"/>
      <c r="IDX150" s="72"/>
      <c r="IDY150" s="72"/>
      <c r="IDZ150" s="72"/>
      <c r="IEA150" s="72"/>
      <c r="IEB150" s="72"/>
      <c r="IEC150" s="72"/>
      <c r="IED150" s="72"/>
      <c r="IEE150" s="72"/>
      <c r="IEF150" s="72"/>
      <c r="IEG150" s="72"/>
      <c r="IEH150" s="72"/>
      <c r="IEI150" s="72"/>
      <c r="IEJ150" s="72"/>
      <c r="IEK150" s="72"/>
      <c r="IEL150" s="72"/>
      <c r="IEM150" s="72"/>
      <c r="IEN150" s="72"/>
      <c r="IEO150" s="72"/>
      <c r="IEP150" s="72"/>
      <c r="IEQ150" s="72"/>
      <c r="IER150" s="72"/>
      <c r="IES150" s="72"/>
      <c r="IET150" s="72"/>
      <c r="IEU150" s="72"/>
      <c r="IEV150" s="72"/>
      <c r="IEW150" s="72"/>
      <c r="IEX150" s="72"/>
      <c r="IEY150" s="72"/>
      <c r="IEZ150" s="72"/>
      <c r="IFA150" s="72"/>
      <c r="IFB150" s="72"/>
      <c r="IFC150" s="72"/>
      <c r="IFD150" s="72"/>
      <c r="IFE150" s="72"/>
      <c r="IFF150" s="72"/>
      <c r="IFG150" s="72"/>
      <c r="IFH150" s="72"/>
      <c r="IFI150" s="72"/>
      <c r="IFJ150" s="72"/>
      <c r="IFK150" s="72"/>
      <c r="IFL150" s="72"/>
      <c r="IFM150" s="72"/>
      <c r="IFN150" s="72"/>
      <c r="IFO150" s="72"/>
      <c r="IFP150" s="72"/>
      <c r="IFQ150" s="72"/>
      <c r="IFR150" s="72"/>
      <c r="IFS150" s="72"/>
      <c r="IFT150" s="72"/>
      <c r="IFU150" s="72"/>
      <c r="IFV150" s="72"/>
      <c r="IFW150" s="72"/>
      <c r="IFX150" s="72"/>
      <c r="IFY150" s="72"/>
      <c r="IFZ150" s="72"/>
      <c r="IGA150" s="72"/>
      <c r="IGB150" s="72"/>
      <c r="IGC150" s="72"/>
      <c r="IGD150" s="72"/>
      <c r="IGE150" s="72"/>
      <c r="IGF150" s="72"/>
      <c r="IGG150" s="72"/>
      <c r="IGH150" s="72"/>
      <c r="IGI150" s="72"/>
      <c r="IGJ150" s="72"/>
      <c r="IGK150" s="72"/>
      <c r="IGL150" s="72"/>
      <c r="IGM150" s="72"/>
      <c r="IGN150" s="72"/>
      <c r="IGO150" s="72"/>
      <c r="IGP150" s="72"/>
      <c r="IGQ150" s="72"/>
      <c r="IGR150" s="72"/>
      <c r="IGS150" s="72"/>
      <c r="IGT150" s="72"/>
      <c r="IGU150" s="72"/>
      <c r="IGV150" s="72"/>
      <c r="IGW150" s="72"/>
      <c r="IGX150" s="72"/>
      <c r="IGY150" s="72"/>
      <c r="IGZ150" s="72"/>
      <c r="IHA150" s="72"/>
      <c r="IHB150" s="72"/>
      <c r="IHC150" s="72"/>
      <c r="IHD150" s="72"/>
      <c r="IHE150" s="72"/>
      <c r="IHF150" s="72"/>
      <c r="IHG150" s="72"/>
      <c r="IHH150" s="72"/>
      <c r="IHI150" s="72"/>
      <c r="IHJ150" s="72"/>
      <c r="IHK150" s="72"/>
      <c r="IHL150" s="72"/>
      <c r="IHM150" s="72"/>
      <c r="IHN150" s="72"/>
      <c r="IHO150" s="72"/>
      <c r="IHP150" s="72"/>
      <c r="IHQ150" s="72"/>
      <c r="IHR150" s="72"/>
      <c r="IHS150" s="72"/>
      <c r="IHT150" s="72"/>
      <c r="IHU150" s="72"/>
      <c r="IHV150" s="72"/>
      <c r="IHW150" s="72"/>
      <c r="IHX150" s="72"/>
      <c r="IHY150" s="72"/>
      <c r="IHZ150" s="72"/>
      <c r="IIA150" s="72"/>
      <c r="IIB150" s="72"/>
      <c r="IIC150" s="72"/>
      <c r="IID150" s="72"/>
      <c r="IIE150" s="72"/>
      <c r="IIF150" s="72"/>
      <c r="IIG150" s="72"/>
      <c r="IIH150" s="72"/>
      <c r="III150" s="72"/>
      <c r="IIJ150" s="72"/>
      <c r="IIK150" s="72"/>
      <c r="IIL150" s="72"/>
      <c r="IIM150" s="72"/>
      <c r="IIN150" s="72"/>
      <c r="IIO150" s="72"/>
      <c r="IIP150" s="72"/>
      <c r="IIQ150" s="72"/>
      <c r="IIR150" s="72"/>
      <c r="IIS150" s="72"/>
      <c r="IIT150" s="72"/>
      <c r="IIU150" s="72"/>
      <c r="IIV150" s="72"/>
      <c r="IIW150" s="72"/>
      <c r="IIX150" s="72"/>
      <c r="IIY150" s="72"/>
      <c r="IIZ150" s="72"/>
      <c r="IJA150" s="72"/>
      <c r="IJB150" s="72"/>
      <c r="IJC150" s="72"/>
      <c r="IJD150" s="72"/>
      <c r="IJE150" s="72"/>
      <c r="IJF150" s="72"/>
      <c r="IJG150" s="72"/>
      <c r="IJH150" s="72"/>
      <c r="IJI150" s="72"/>
      <c r="IJJ150" s="72"/>
      <c r="IJK150" s="72"/>
      <c r="IJL150" s="72"/>
      <c r="IJM150" s="72"/>
      <c r="IJN150" s="72"/>
      <c r="IJO150" s="72"/>
      <c r="IJP150" s="72"/>
      <c r="IJQ150" s="72"/>
      <c r="IJR150" s="72"/>
      <c r="IJS150" s="72"/>
      <c r="IJT150" s="72"/>
      <c r="IJU150" s="72"/>
      <c r="IJV150" s="72"/>
      <c r="IJW150" s="72"/>
      <c r="IJX150" s="72"/>
      <c r="IJY150" s="72"/>
      <c r="IJZ150" s="72"/>
      <c r="IKA150" s="72"/>
      <c r="IKB150" s="72"/>
      <c r="IKC150" s="72"/>
      <c r="IKD150" s="72"/>
      <c r="IKE150" s="72"/>
      <c r="IKF150" s="72"/>
      <c r="IKG150" s="72"/>
      <c r="IKH150" s="72"/>
      <c r="IKI150" s="72"/>
      <c r="IKJ150" s="72"/>
      <c r="IKK150" s="72"/>
      <c r="IKL150" s="72"/>
      <c r="IKM150" s="72"/>
      <c r="IKN150" s="72"/>
      <c r="IKO150" s="72"/>
      <c r="IKP150" s="72"/>
      <c r="IKQ150" s="72"/>
      <c r="IKR150" s="72"/>
      <c r="IKS150" s="72"/>
      <c r="IKT150" s="72"/>
      <c r="IKU150" s="72"/>
      <c r="IKV150" s="72"/>
      <c r="IKW150" s="72"/>
      <c r="IKX150" s="72"/>
      <c r="IKY150" s="72"/>
      <c r="IKZ150" s="72"/>
      <c r="ILA150" s="72"/>
      <c r="ILB150" s="72"/>
      <c r="ILC150" s="72"/>
      <c r="ILD150" s="72"/>
      <c r="ILE150" s="72"/>
      <c r="ILF150" s="72"/>
      <c r="ILG150" s="72"/>
      <c r="ILH150" s="72"/>
      <c r="ILI150" s="72"/>
      <c r="ILJ150" s="72"/>
      <c r="ILK150" s="72"/>
      <c r="ILL150" s="72"/>
      <c r="ILM150" s="72"/>
      <c r="ILN150" s="72"/>
      <c r="ILO150" s="72"/>
      <c r="ILP150" s="72"/>
      <c r="ILQ150" s="72"/>
      <c r="ILR150" s="72"/>
      <c r="ILS150" s="72"/>
      <c r="ILT150" s="72"/>
      <c r="ILU150" s="72"/>
      <c r="ILV150" s="72"/>
      <c r="ILW150" s="72"/>
      <c r="ILX150" s="72"/>
      <c r="ILY150" s="72"/>
      <c r="ILZ150" s="72"/>
      <c r="IMA150" s="72"/>
      <c r="IMB150" s="72"/>
      <c r="IMC150" s="72"/>
      <c r="IMD150" s="72"/>
      <c r="IME150" s="72"/>
      <c r="IMF150" s="72"/>
      <c r="IMG150" s="72"/>
      <c r="IMH150" s="72"/>
      <c r="IMI150" s="72"/>
      <c r="IMJ150" s="72"/>
      <c r="IMK150" s="72"/>
      <c r="IML150" s="72"/>
      <c r="IMM150" s="72"/>
      <c r="IMN150" s="72"/>
      <c r="IMO150" s="72"/>
      <c r="IMP150" s="72"/>
      <c r="IMQ150" s="72"/>
      <c r="IMR150" s="72"/>
      <c r="IMS150" s="72"/>
      <c r="IMT150" s="72"/>
      <c r="IMU150" s="72"/>
      <c r="IMV150" s="72"/>
      <c r="IMW150" s="72"/>
      <c r="IMX150" s="72"/>
      <c r="IMY150" s="72"/>
      <c r="IMZ150" s="72"/>
      <c r="INA150" s="72"/>
      <c r="INB150" s="72"/>
      <c r="INC150" s="72"/>
      <c r="IND150" s="72"/>
      <c r="INE150" s="72"/>
      <c r="INF150" s="72"/>
      <c r="ING150" s="72"/>
      <c r="INH150" s="72"/>
      <c r="INI150" s="72"/>
      <c r="INJ150" s="72"/>
      <c r="INK150" s="72"/>
      <c r="INL150" s="72"/>
      <c r="INM150" s="72"/>
      <c r="INN150" s="72"/>
      <c r="INO150" s="72"/>
      <c r="INP150" s="72"/>
      <c r="INQ150" s="72"/>
      <c r="INR150" s="72"/>
      <c r="INS150" s="72"/>
      <c r="INT150" s="72"/>
      <c r="INU150" s="72"/>
      <c r="INV150" s="72"/>
      <c r="INW150" s="72"/>
      <c r="INX150" s="72"/>
      <c r="INY150" s="72"/>
      <c r="INZ150" s="72"/>
      <c r="IOA150" s="72"/>
      <c r="IOB150" s="72"/>
      <c r="IOC150" s="72"/>
      <c r="IOD150" s="72"/>
      <c r="IOE150" s="72"/>
      <c r="IOF150" s="72"/>
      <c r="IOG150" s="72"/>
      <c r="IOH150" s="72"/>
      <c r="IOI150" s="72"/>
      <c r="IOJ150" s="72"/>
      <c r="IOK150" s="72"/>
      <c r="IOL150" s="72"/>
      <c r="IOM150" s="72"/>
      <c r="ION150" s="72"/>
      <c r="IOO150" s="72"/>
      <c r="IOP150" s="72"/>
      <c r="IOQ150" s="72"/>
      <c r="IOR150" s="72"/>
      <c r="IOS150" s="72"/>
      <c r="IOT150" s="72"/>
      <c r="IOU150" s="72"/>
      <c r="IOV150" s="72"/>
      <c r="IOW150" s="72"/>
      <c r="IOX150" s="72"/>
      <c r="IOY150" s="72"/>
      <c r="IOZ150" s="72"/>
      <c r="IPA150" s="72"/>
      <c r="IPB150" s="72"/>
      <c r="IPC150" s="72"/>
      <c r="IPD150" s="72"/>
      <c r="IPE150" s="72"/>
      <c r="IPF150" s="72"/>
      <c r="IPG150" s="72"/>
      <c r="IPH150" s="72"/>
      <c r="IPI150" s="72"/>
      <c r="IPJ150" s="72"/>
      <c r="IPK150" s="72"/>
      <c r="IPL150" s="72"/>
      <c r="IPM150" s="72"/>
      <c r="IPN150" s="72"/>
      <c r="IPO150" s="72"/>
      <c r="IPP150" s="72"/>
      <c r="IPQ150" s="72"/>
      <c r="IPR150" s="72"/>
      <c r="IPS150" s="72"/>
      <c r="IPT150" s="72"/>
      <c r="IPU150" s="72"/>
      <c r="IPV150" s="72"/>
      <c r="IPW150" s="72"/>
      <c r="IPX150" s="72"/>
      <c r="IPY150" s="72"/>
      <c r="IPZ150" s="72"/>
      <c r="IQA150" s="72"/>
      <c r="IQB150" s="72"/>
      <c r="IQC150" s="72"/>
      <c r="IQD150" s="72"/>
      <c r="IQE150" s="72"/>
      <c r="IQF150" s="72"/>
      <c r="IQG150" s="72"/>
      <c r="IQH150" s="72"/>
      <c r="IQI150" s="72"/>
      <c r="IQJ150" s="72"/>
      <c r="IQK150" s="72"/>
      <c r="IQL150" s="72"/>
      <c r="IQM150" s="72"/>
      <c r="IQN150" s="72"/>
      <c r="IQO150" s="72"/>
      <c r="IQP150" s="72"/>
      <c r="IQQ150" s="72"/>
      <c r="IQR150" s="72"/>
      <c r="IQS150" s="72"/>
      <c r="IQT150" s="72"/>
      <c r="IQU150" s="72"/>
      <c r="IQV150" s="72"/>
      <c r="IQW150" s="72"/>
      <c r="IQX150" s="72"/>
      <c r="IQY150" s="72"/>
      <c r="IQZ150" s="72"/>
      <c r="IRA150" s="72"/>
      <c r="IRB150" s="72"/>
      <c r="IRC150" s="72"/>
      <c r="IRD150" s="72"/>
      <c r="IRE150" s="72"/>
      <c r="IRF150" s="72"/>
      <c r="IRG150" s="72"/>
      <c r="IRH150" s="72"/>
      <c r="IRI150" s="72"/>
      <c r="IRJ150" s="72"/>
      <c r="IRK150" s="72"/>
      <c r="IRL150" s="72"/>
      <c r="IRM150" s="72"/>
      <c r="IRN150" s="72"/>
      <c r="IRO150" s="72"/>
      <c r="IRP150" s="72"/>
      <c r="IRQ150" s="72"/>
      <c r="IRR150" s="72"/>
      <c r="IRS150" s="72"/>
      <c r="IRT150" s="72"/>
      <c r="IRU150" s="72"/>
      <c r="IRV150" s="72"/>
      <c r="IRW150" s="72"/>
      <c r="IRX150" s="72"/>
      <c r="IRY150" s="72"/>
      <c r="IRZ150" s="72"/>
      <c r="ISA150" s="72"/>
      <c r="ISB150" s="72"/>
      <c r="ISC150" s="72"/>
      <c r="ISD150" s="72"/>
      <c r="ISE150" s="72"/>
      <c r="ISF150" s="72"/>
      <c r="ISG150" s="72"/>
      <c r="ISH150" s="72"/>
      <c r="ISI150" s="72"/>
      <c r="ISJ150" s="72"/>
      <c r="ISK150" s="72"/>
      <c r="ISL150" s="72"/>
      <c r="ISM150" s="72"/>
      <c r="ISN150" s="72"/>
      <c r="ISO150" s="72"/>
      <c r="ISP150" s="72"/>
      <c r="ISQ150" s="72"/>
      <c r="ISR150" s="72"/>
      <c r="ISS150" s="72"/>
      <c r="IST150" s="72"/>
      <c r="ISU150" s="72"/>
      <c r="ISV150" s="72"/>
      <c r="ISW150" s="72"/>
      <c r="ISX150" s="72"/>
      <c r="ISY150" s="72"/>
      <c r="ISZ150" s="72"/>
      <c r="ITA150" s="72"/>
      <c r="ITB150" s="72"/>
      <c r="ITC150" s="72"/>
      <c r="ITD150" s="72"/>
      <c r="ITE150" s="72"/>
      <c r="ITF150" s="72"/>
      <c r="ITG150" s="72"/>
      <c r="ITH150" s="72"/>
      <c r="ITI150" s="72"/>
      <c r="ITJ150" s="72"/>
      <c r="ITK150" s="72"/>
      <c r="ITL150" s="72"/>
      <c r="ITM150" s="72"/>
      <c r="ITN150" s="72"/>
      <c r="ITO150" s="72"/>
      <c r="ITP150" s="72"/>
      <c r="ITQ150" s="72"/>
      <c r="ITR150" s="72"/>
      <c r="ITS150" s="72"/>
      <c r="ITT150" s="72"/>
      <c r="ITU150" s="72"/>
      <c r="ITV150" s="72"/>
      <c r="ITW150" s="72"/>
      <c r="ITX150" s="72"/>
      <c r="ITY150" s="72"/>
      <c r="ITZ150" s="72"/>
      <c r="IUA150" s="72"/>
      <c r="IUB150" s="72"/>
      <c r="IUC150" s="72"/>
      <c r="IUD150" s="72"/>
      <c r="IUE150" s="72"/>
      <c r="IUF150" s="72"/>
      <c r="IUG150" s="72"/>
      <c r="IUH150" s="72"/>
      <c r="IUI150" s="72"/>
      <c r="IUJ150" s="72"/>
      <c r="IUK150" s="72"/>
      <c r="IUL150" s="72"/>
      <c r="IUM150" s="72"/>
      <c r="IUN150" s="72"/>
      <c r="IUO150" s="72"/>
      <c r="IUP150" s="72"/>
      <c r="IUQ150" s="72"/>
      <c r="IUR150" s="72"/>
      <c r="IUS150" s="72"/>
      <c r="IUT150" s="72"/>
      <c r="IUU150" s="72"/>
      <c r="IUV150" s="72"/>
      <c r="IUW150" s="72"/>
      <c r="IUX150" s="72"/>
      <c r="IUY150" s="72"/>
      <c r="IUZ150" s="72"/>
      <c r="IVA150" s="72"/>
      <c r="IVB150" s="72"/>
      <c r="IVC150" s="72"/>
      <c r="IVD150" s="72"/>
      <c r="IVE150" s="72"/>
      <c r="IVF150" s="72"/>
      <c r="IVG150" s="72"/>
      <c r="IVH150" s="72"/>
      <c r="IVI150" s="72"/>
      <c r="IVJ150" s="72"/>
      <c r="IVK150" s="72"/>
      <c r="IVL150" s="72"/>
      <c r="IVM150" s="72"/>
      <c r="IVN150" s="72"/>
      <c r="IVO150" s="72"/>
      <c r="IVP150" s="72"/>
      <c r="IVQ150" s="72"/>
      <c r="IVR150" s="72"/>
      <c r="IVS150" s="72"/>
      <c r="IVT150" s="72"/>
      <c r="IVU150" s="72"/>
      <c r="IVV150" s="72"/>
      <c r="IVW150" s="72"/>
      <c r="IVX150" s="72"/>
      <c r="IVY150" s="72"/>
      <c r="IVZ150" s="72"/>
      <c r="IWA150" s="72"/>
      <c r="IWB150" s="72"/>
      <c r="IWC150" s="72"/>
      <c r="IWD150" s="72"/>
      <c r="IWE150" s="72"/>
      <c r="IWF150" s="72"/>
      <c r="IWG150" s="72"/>
      <c r="IWH150" s="72"/>
      <c r="IWI150" s="72"/>
      <c r="IWJ150" s="72"/>
      <c r="IWK150" s="72"/>
      <c r="IWL150" s="72"/>
      <c r="IWM150" s="72"/>
      <c r="IWN150" s="72"/>
      <c r="IWO150" s="72"/>
      <c r="IWP150" s="72"/>
      <c r="IWQ150" s="72"/>
      <c r="IWR150" s="72"/>
      <c r="IWS150" s="72"/>
      <c r="IWT150" s="72"/>
      <c r="IWU150" s="72"/>
      <c r="IWV150" s="72"/>
      <c r="IWW150" s="72"/>
      <c r="IWX150" s="72"/>
      <c r="IWY150" s="72"/>
      <c r="IWZ150" s="72"/>
      <c r="IXA150" s="72"/>
      <c r="IXB150" s="72"/>
      <c r="IXC150" s="72"/>
      <c r="IXD150" s="72"/>
      <c r="IXE150" s="72"/>
      <c r="IXF150" s="72"/>
      <c r="IXG150" s="72"/>
      <c r="IXH150" s="72"/>
      <c r="IXI150" s="72"/>
      <c r="IXJ150" s="72"/>
      <c r="IXK150" s="72"/>
      <c r="IXL150" s="72"/>
      <c r="IXM150" s="72"/>
      <c r="IXN150" s="72"/>
      <c r="IXO150" s="72"/>
      <c r="IXP150" s="72"/>
      <c r="IXQ150" s="72"/>
      <c r="IXR150" s="72"/>
      <c r="IXS150" s="72"/>
      <c r="IXT150" s="72"/>
      <c r="IXU150" s="72"/>
      <c r="IXV150" s="72"/>
      <c r="IXW150" s="72"/>
      <c r="IXX150" s="72"/>
      <c r="IXY150" s="72"/>
      <c r="IXZ150" s="72"/>
      <c r="IYA150" s="72"/>
      <c r="IYB150" s="72"/>
      <c r="IYC150" s="72"/>
      <c r="IYD150" s="72"/>
      <c r="IYE150" s="72"/>
      <c r="IYF150" s="72"/>
      <c r="IYG150" s="72"/>
      <c r="IYH150" s="72"/>
      <c r="IYI150" s="72"/>
      <c r="IYJ150" s="72"/>
      <c r="IYK150" s="72"/>
      <c r="IYL150" s="72"/>
      <c r="IYM150" s="72"/>
      <c r="IYN150" s="72"/>
      <c r="IYO150" s="72"/>
      <c r="IYP150" s="72"/>
      <c r="IYQ150" s="72"/>
      <c r="IYR150" s="72"/>
      <c r="IYS150" s="72"/>
      <c r="IYT150" s="72"/>
      <c r="IYU150" s="72"/>
      <c r="IYV150" s="72"/>
      <c r="IYW150" s="72"/>
      <c r="IYX150" s="72"/>
      <c r="IYY150" s="72"/>
      <c r="IYZ150" s="72"/>
      <c r="IZA150" s="72"/>
      <c r="IZB150" s="72"/>
      <c r="IZC150" s="72"/>
      <c r="IZD150" s="72"/>
      <c r="IZE150" s="72"/>
      <c r="IZF150" s="72"/>
      <c r="IZG150" s="72"/>
      <c r="IZH150" s="72"/>
      <c r="IZI150" s="72"/>
      <c r="IZJ150" s="72"/>
      <c r="IZK150" s="72"/>
      <c r="IZL150" s="72"/>
      <c r="IZM150" s="72"/>
      <c r="IZN150" s="72"/>
      <c r="IZO150" s="72"/>
      <c r="IZP150" s="72"/>
      <c r="IZQ150" s="72"/>
      <c r="IZR150" s="72"/>
      <c r="IZS150" s="72"/>
      <c r="IZT150" s="72"/>
      <c r="IZU150" s="72"/>
      <c r="IZV150" s="72"/>
      <c r="IZW150" s="72"/>
      <c r="IZX150" s="72"/>
      <c r="IZY150" s="72"/>
      <c r="IZZ150" s="72"/>
      <c r="JAA150" s="72"/>
      <c r="JAB150" s="72"/>
      <c r="JAC150" s="72"/>
      <c r="JAD150" s="72"/>
      <c r="JAE150" s="72"/>
      <c r="JAF150" s="72"/>
      <c r="JAG150" s="72"/>
      <c r="JAH150" s="72"/>
      <c r="JAI150" s="72"/>
      <c r="JAJ150" s="72"/>
      <c r="JAK150" s="72"/>
      <c r="JAL150" s="72"/>
      <c r="JAM150" s="72"/>
      <c r="JAN150" s="72"/>
      <c r="JAO150" s="72"/>
      <c r="JAP150" s="72"/>
      <c r="JAQ150" s="72"/>
      <c r="JAR150" s="72"/>
      <c r="JAS150" s="72"/>
      <c r="JAT150" s="72"/>
      <c r="JAU150" s="72"/>
      <c r="JAV150" s="72"/>
      <c r="JAW150" s="72"/>
      <c r="JAX150" s="72"/>
      <c r="JAY150" s="72"/>
      <c r="JAZ150" s="72"/>
      <c r="JBA150" s="72"/>
      <c r="JBB150" s="72"/>
      <c r="JBC150" s="72"/>
      <c r="JBD150" s="72"/>
      <c r="JBE150" s="72"/>
      <c r="JBF150" s="72"/>
      <c r="JBG150" s="72"/>
      <c r="JBH150" s="72"/>
      <c r="JBI150" s="72"/>
      <c r="JBJ150" s="72"/>
      <c r="JBK150" s="72"/>
      <c r="JBL150" s="72"/>
      <c r="JBM150" s="72"/>
      <c r="JBN150" s="72"/>
      <c r="JBO150" s="72"/>
      <c r="JBP150" s="72"/>
      <c r="JBQ150" s="72"/>
      <c r="JBR150" s="72"/>
      <c r="JBS150" s="72"/>
      <c r="JBT150" s="72"/>
      <c r="JBU150" s="72"/>
      <c r="JBV150" s="72"/>
      <c r="JBW150" s="72"/>
      <c r="JBX150" s="72"/>
      <c r="JBY150" s="72"/>
      <c r="JBZ150" s="72"/>
      <c r="JCA150" s="72"/>
      <c r="JCB150" s="72"/>
      <c r="JCC150" s="72"/>
      <c r="JCD150" s="72"/>
      <c r="JCE150" s="72"/>
      <c r="JCF150" s="72"/>
      <c r="JCG150" s="72"/>
      <c r="JCH150" s="72"/>
      <c r="JCI150" s="72"/>
      <c r="JCJ150" s="72"/>
      <c r="JCK150" s="72"/>
      <c r="JCL150" s="72"/>
      <c r="JCM150" s="72"/>
      <c r="JCN150" s="72"/>
      <c r="JCO150" s="72"/>
      <c r="JCP150" s="72"/>
      <c r="JCQ150" s="72"/>
      <c r="JCR150" s="72"/>
      <c r="JCS150" s="72"/>
      <c r="JCT150" s="72"/>
      <c r="JCU150" s="72"/>
      <c r="JCV150" s="72"/>
      <c r="JCW150" s="72"/>
      <c r="JCX150" s="72"/>
      <c r="JCY150" s="72"/>
      <c r="JCZ150" s="72"/>
      <c r="JDA150" s="72"/>
      <c r="JDB150" s="72"/>
      <c r="JDC150" s="72"/>
      <c r="JDD150" s="72"/>
      <c r="JDE150" s="72"/>
      <c r="JDF150" s="72"/>
      <c r="JDG150" s="72"/>
      <c r="JDH150" s="72"/>
      <c r="JDI150" s="72"/>
      <c r="JDJ150" s="72"/>
      <c r="JDK150" s="72"/>
      <c r="JDL150" s="72"/>
      <c r="JDM150" s="72"/>
      <c r="JDN150" s="72"/>
      <c r="JDO150" s="72"/>
      <c r="JDP150" s="72"/>
      <c r="JDQ150" s="72"/>
      <c r="JDR150" s="72"/>
      <c r="JDS150" s="72"/>
      <c r="JDT150" s="72"/>
      <c r="JDU150" s="72"/>
      <c r="JDV150" s="72"/>
      <c r="JDW150" s="72"/>
      <c r="JDX150" s="72"/>
      <c r="JDY150" s="72"/>
      <c r="JDZ150" s="72"/>
      <c r="JEA150" s="72"/>
      <c r="JEB150" s="72"/>
      <c r="JEC150" s="72"/>
      <c r="JED150" s="72"/>
      <c r="JEE150" s="72"/>
      <c r="JEF150" s="72"/>
      <c r="JEG150" s="72"/>
      <c r="JEH150" s="72"/>
      <c r="JEI150" s="72"/>
      <c r="JEJ150" s="72"/>
      <c r="JEK150" s="72"/>
      <c r="JEL150" s="72"/>
      <c r="JEM150" s="72"/>
      <c r="JEN150" s="72"/>
      <c r="JEO150" s="72"/>
      <c r="JEP150" s="72"/>
      <c r="JEQ150" s="72"/>
      <c r="JER150" s="72"/>
      <c r="JES150" s="72"/>
      <c r="JET150" s="72"/>
      <c r="JEU150" s="72"/>
      <c r="JEV150" s="72"/>
      <c r="JEW150" s="72"/>
      <c r="JEX150" s="72"/>
      <c r="JEY150" s="72"/>
      <c r="JEZ150" s="72"/>
      <c r="JFA150" s="72"/>
      <c r="JFB150" s="72"/>
      <c r="JFC150" s="72"/>
      <c r="JFD150" s="72"/>
      <c r="JFE150" s="72"/>
      <c r="JFF150" s="72"/>
      <c r="JFG150" s="72"/>
      <c r="JFH150" s="72"/>
      <c r="JFI150" s="72"/>
      <c r="JFJ150" s="72"/>
      <c r="JFK150" s="72"/>
      <c r="JFL150" s="72"/>
      <c r="JFM150" s="72"/>
      <c r="JFN150" s="72"/>
      <c r="JFO150" s="72"/>
      <c r="JFP150" s="72"/>
      <c r="JFQ150" s="72"/>
      <c r="JFR150" s="72"/>
      <c r="JFS150" s="72"/>
      <c r="JFT150" s="72"/>
      <c r="JFU150" s="72"/>
      <c r="JFV150" s="72"/>
      <c r="JFW150" s="72"/>
      <c r="JFX150" s="72"/>
      <c r="JFY150" s="72"/>
      <c r="JFZ150" s="72"/>
      <c r="JGA150" s="72"/>
      <c r="JGB150" s="72"/>
      <c r="JGC150" s="72"/>
      <c r="JGD150" s="72"/>
      <c r="JGE150" s="72"/>
      <c r="JGF150" s="72"/>
      <c r="JGG150" s="72"/>
      <c r="JGH150" s="72"/>
      <c r="JGI150" s="72"/>
      <c r="JGJ150" s="72"/>
      <c r="JGK150" s="72"/>
      <c r="JGL150" s="72"/>
      <c r="JGM150" s="72"/>
      <c r="JGN150" s="72"/>
      <c r="JGO150" s="72"/>
      <c r="JGP150" s="72"/>
      <c r="JGQ150" s="72"/>
      <c r="JGR150" s="72"/>
      <c r="JGS150" s="72"/>
      <c r="JGT150" s="72"/>
      <c r="JGU150" s="72"/>
      <c r="JGV150" s="72"/>
      <c r="JGW150" s="72"/>
      <c r="JGX150" s="72"/>
      <c r="JGY150" s="72"/>
      <c r="JGZ150" s="72"/>
      <c r="JHA150" s="72"/>
      <c r="JHB150" s="72"/>
      <c r="JHC150" s="72"/>
      <c r="JHD150" s="72"/>
      <c r="JHE150" s="72"/>
      <c r="JHF150" s="72"/>
      <c r="JHG150" s="72"/>
      <c r="JHH150" s="72"/>
      <c r="JHI150" s="72"/>
      <c r="JHJ150" s="72"/>
      <c r="JHK150" s="72"/>
      <c r="JHL150" s="72"/>
      <c r="JHM150" s="72"/>
      <c r="JHN150" s="72"/>
      <c r="JHO150" s="72"/>
      <c r="JHP150" s="72"/>
      <c r="JHQ150" s="72"/>
      <c r="JHR150" s="72"/>
      <c r="JHS150" s="72"/>
      <c r="JHT150" s="72"/>
      <c r="JHU150" s="72"/>
      <c r="JHV150" s="72"/>
      <c r="JHW150" s="72"/>
      <c r="JHX150" s="72"/>
      <c r="JHY150" s="72"/>
      <c r="JHZ150" s="72"/>
      <c r="JIA150" s="72"/>
      <c r="JIB150" s="72"/>
      <c r="JIC150" s="72"/>
      <c r="JID150" s="72"/>
      <c r="JIE150" s="72"/>
      <c r="JIF150" s="72"/>
      <c r="JIG150" s="72"/>
      <c r="JIH150" s="72"/>
      <c r="JII150" s="72"/>
      <c r="JIJ150" s="72"/>
      <c r="JIK150" s="72"/>
      <c r="JIL150" s="72"/>
      <c r="JIM150" s="72"/>
      <c r="JIN150" s="72"/>
      <c r="JIO150" s="72"/>
      <c r="JIP150" s="72"/>
      <c r="JIQ150" s="72"/>
      <c r="JIR150" s="72"/>
      <c r="JIS150" s="72"/>
      <c r="JIT150" s="72"/>
      <c r="JIU150" s="72"/>
      <c r="JIV150" s="72"/>
      <c r="JIW150" s="72"/>
      <c r="JIX150" s="72"/>
      <c r="JIY150" s="72"/>
      <c r="JIZ150" s="72"/>
      <c r="JJA150" s="72"/>
      <c r="JJB150" s="72"/>
      <c r="JJC150" s="72"/>
      <c r="JJD150" s="72"/>
      <c r="JJE150" s="72"/>
      <c r="JJF150" s="72"/>
      <c r="JJG150" s="72"/>
      <c r="JJH150" s="72"/>
      <c r="JJI150" s="72"/>
      <c r="JJJ150" s="72"/>
      <c r="JJK150" s="72"/>
      <c r="JJL150" s="72"/>
      <c r="JJM150" s="72"/>
      <c r="JJN150" s="72"/>
      <c r="JJO150" s="72"/>
      <c r="JJP150" s="72"/>
      <c r="JJQ150" s="72"/>
      <c r="JJR150" s="72"/>
      <c r="JJS150" s="72"/>
      <c r="JJT150" s="72"/>
      <c r="JJU150" s="72"/>
      <c r="JJV150" s="72"/>
      <c r="JJW150" s="72"/>
      <c r="JJX150" s="72"/>
      <c r="JJY150" s="72"/>
      <c r="JJZ150" s="72"/>
      <c r="JKA150" s="72"/>
      <c r="JKB150" s="72"/>
      <c r="JKC150" s="72"/>
      <c r="JKD150" s="72"/>
      <c r="JKE150" s="72"/>
      <c r="JKF150" s="72"/>
      <c r="JKG150" s="72"/>
      <c r="JKH150" s="72"/>
      <c r="JKI150" s="72"/>
      <c r="JKJ150" s="72"/>
      <c r="JKK150" s="72"/>
      <c r="JKL150" s="72"/>
      <c r="JKM150" s="72"/>
      <c r="JKN150" s="72"/>
      <c r="JKO150" s="72"/>
      <c r="JKP150" s="72"/>
      <c r="JKQ150" s="72"/>
      <c r="JKR150" s="72"/>
      <c r="JKS150" s="72"/>
      <c r="JKT150" s="72"/>
      <c r="JKU150" s="72"/>
      <c r="JKV150" s="72"/>
      <c r="JKW150" s="72"/>
      <c r="JKX150" s="72"/>
      <c r="JKY150" s="72"/>
      <c r="JKZ150" s="72"/>
      <c r="JLA150" s="72"/>
      <c r="JLB150" s="72"/>
      <c r="JLC150" s="72"/>
      <c r="JLD150" s="72"/>
      <c r="JLE150" s="72"/>
      <c r="JLF150" s="72"/>
      <c r="JLG150" s="72"/>
      <c r="JLH150" s="72"/>
      <c r="JLI150" s="72"/>
      <c r="JLJ150" s="72"/>
      <c r="JLK150" s="72"/>
      <c r="JLL150" s="72"/>
      <c r="JLM150" s="72"/>
      <c r="JLN150" s="72"/>
      <c r="JLO150" s="72"/>
      <c r="JLP150" s="72"/>
      <c r="JLQ150" s="72"/>
      <c r="JLR150" s="72"/>
      <c r="JLS150" s="72"/>
      <c r="JLT150" s="72"/>
      <c r="JLU150" s="72"/>
      <c r="JLV150" s="72"/>
      <c r="JLW150" s="72"/>
      <c r="JLX150" s="72"/>
      <c r="JLY150" s="72"/>
      <c r="JLZ150" s="72"/>
      <c r="JMA150" s="72"/>
      <c r="JMB150" s="72"/>
      <c r="JMC150" s="72"/>
      <c r="JMD150" s="72"/>
      <c r="JME150" s="72"/>
      <c r="JMF150" s="72"/>
      <c r="JMG150" s="72"/>
      <c r="JMH150" s="72"/>
      <c r="JMI150" s="72"/>
      <c r="JMJ150" s="72"/>
      <c r="JMK150" s="72"/>
      <c r="JML150" s="72"/>
      <c r="JMM150" s="72"/>
      <c r="JMN150" s="72"/>
      <c r="JMO150" s="72"/>
      <c r="JMP150" s="72"/>
      <c r="JMQ150" s="72"/>
      <c r="JMR150" s="72"/>
      <c r="JMS150" s="72"/>
      <c r="JMT150" s="72"/>
      <c r="JMU150" s="72"/>
      <c r="JMV150" s="72"/>
      <c r="JMW150" s="72"/>
      <c r="JMX150" s="72"/>
      <c r="JMY150" s="72"/>
      <c r="JMZ150" s="72"/>
      <c r="JNA150" s="72"/>
      <c r="JNB150" s="72"/>
      <c r="JNC150" s="72"/>
      <c r="JND150" s="72"/>
      <c r="JNE150" s="72"/>
      <c r="JNF150" s="72"/>
      <c r="JNG150" s="72"/>
      <c r="JNH150" s="72"/>
      <c r="JNI150" s="72"/>
      <c r="JNJ150" s="72"/>
      <c r="JNK150" s="72"/>
      <c r="JNL150" s="72"/>
      <c r="JNM150" s="72"/>
      <c r="JNN150" s="72"/>
      <c r="JNO150" s="72"/>
      <c r="JNP150" s="72"/>
      <c r="JNQ150" s="72"/>
      <c r="JNR150" s="72"/>
      <c r="JNS150" s="72"/>
      <c r="JNT150" s="72"/>
      <c r="JNU150" s="72"/>
      <c r="JNV150" s="72"/>
      <c r="JNW150" s="72"/>
      <c r="JNX150" s="72"/>
      <c r="JNY150" s="72"/>
      <c r="JNZ150" s="72"/>
      <c r="JOA150" s="72"/>
      <c r="JOB150" s="72"/>
      <c r="JOC150" s="72"/>
      <c r="JOD150" s="72"/>
      <c r="JOE150" s="72"/>
      <c r="JOF150" s="72"/>
      <c r="JOG150" s="72"/>
      <c r="JOH150" s="72"/>
      <c r="JOI150" s="72"/>
      <c r="JOJ150" s="72"/>
      <c r="JOK150" s="72"/>
      <c r="JOL150" s="72"/>
      <c r="JOM150" s="72"/>
      <c r="JON150" s="72"/>
      <c r="JOO150" s="72"/>
      <c r="JOP150" s="72"/>
      <c r="JOQ150" s="72"/>
      <c r="JOR150" s="72"/>
      <c r="JOS150" s="72"/>
      <c r="JOT150" s="72"/>
      <c r="JOU150" s="72"/>
      <c r="JOV150" s="72"/>
      <c r="JOW150" s="72"/>
      <c r="JOX150" s="72"/>
      <c r="JOY150" s="72"/>
      <c r="JOZ150" s="72"/>
      <c r="JPA150" s="72"/>
      <c r="JPB150" s="72"/>
      <c r="JPC150" s="72"/>
      <c r="JPD150" s="72"/>
      <c r="JPE150" s="72"/>
      <c r="JPF150" s="72"/>
      <c r="JPG150" s="72"/>
      <c r="JPH150" s="72"/>
      <c r="JPI150" s="72"/>
      <c r="JPJ150" s="72"/>
      <c r="JPK150" s="72"/>
      <c r="JPL150" s="72"/>
      <c r="JPM150" s="72"/>
      <c r="JPN150" s="72"/>
      <c r="JPO150" s="72"/>
      <c r="JPP150" s="72"/>
      <c r="JPQ150" s="72"/>
      <c r="JPR150" s="72"/>
      <c r="JPS150" s="72"/>
      <c r="JPT150" s="72"/>
      <c r="JPU150" s="72"/>
      <c r="JPV150" s="72"/>
      <c r="JPW150" s="72"/>
      <c r="JPX150" s="72"/>
      <c r="JPY150" s="72"/>
      <c r="JPZ150" s="72"/>
      <c r="JQA150" s="72"/>
      <c r="JQB150" s="72"/>
      <c r="JQC150" s="72"/>
      <c r="JQD150" s="72"/>
      <c r="JQE150" s="72"/>
      <c r="JQF150" s="72"/>
      <c r="JQG150" s="72"/>
      <c r="JQH150" s="72"/>
      <c r="JQI150" s="72"/>
      <c r="JQJ150" s="72"/>
      <c r="JQK150" s="72"/>
      <c r="JQL150" s="72"/>
      <c r="JQM150" s="72"/>
      <c r="JQN150" s="72"/>
      <c r="JQO150" s="72"/>
      <c r="JQP150" s="72"/>
      <c r="JQQ150" s="72"/>
      <c r="JQR150" s="72"/>
      <c r="JQS150" s="72"/>
      <c r="JQT150" s="72"/>
      <c r="JQU150" s="72"/>
      <c r="JQV150" s="72"/>
      <c r="JQW150" s="72"/>
      <c r="JQX150" s="72"/>
      <c r="JQY150" s="72"/>
      <c r="JQZ150" s="72"/>
      <c r="JRA150" s="72"/>
      <c r="JRB150" s="72"/>
      <c r="JRC150" s="72"/>
      <c r="JRD150" s="72"/>
      <c r="JRE150" s="72"/>
      <c r="JRF150" s="72"/>
      <c r="JRG150" s="72"/>
      <c r="JRH150" s="72"/>
      <c r="JRI150" s="72"/>
      <c r="JRJ150" s="72"/>
      <c r="JRK150" s="72"/>
      <c r="JRL150" s="72"/>
      <c r="JRM150" s="72"/>
      <c r="JRN150" s="72"/>
      <c r="JRO150" s="72"/>
      <c r="JRP150" s="72"/>
      <c r="JRQ150" s="72"/>
      <c r="JRR150" s="72"/>
      <c r="JRS150" s="72"/>
      <c r="JRT150" s="72"/>
      <c r="JRU150" s="72"/>
      <c r="JRV150" s="72"/>
      <c r="JRW150" s="72"/>
      <c r="JRX150" s="72"/>
      <c r="JRY150" s="72"/>
      <c r="JRZ150" s="72"/>
      <c r="JSA150" s="72"/>
      <c r="JSB150" s="72"/>
      <c r="JSC150" s="72"/>
      <c r="JSD150" s="72"/>
      <c r="JSE150" s="72"/>
      <c r="JSF150" s="72"/>
      <c r="JSG150" s="72"/>
      <c r="JSH150" s="72"/>
      <c r="JSI150" s="72"/>
      <c r="JSJ150" s="72"/>
      <c r="JSK150" s="72"/>
      <c r="JSL150" s="72"/>
      <c r="JSM150" s="72"/>
      <c r="JSN150" s="72"/>
      <c r="JSO150" s="72"/>
      <c r="JSP150" s="72"/>
      <c r="JSQ150" s="72"/>
      <c r="JSR150" s="72"/>
      <c r="JSS150" s="72"/>
      <c r="JST150" s="72"/>
      <c r="JSU150" s="72"/>
      <c r="JSV150" s="72"/>
      <c r="JSW150" s="72"/>
      <c r="JSX150" s="72"/>
      <c r="JSY150" s="72"/>
      <c r="JSZ150" s="72"/>
      <c r="JTA150" s="72"/>
      <c r="JTB150" s="72"/>
      <c r="JTC150" s="72"/>
      <c r="JTD150" s="72"/>
      <c r="JTE150" s="72"/>
      <c r="JTF150" s="72"/>
      <c r="JTG150" s="72"/>
      <c r="JTH150" s="72"/>
      <c r="JTI150" s="72"/>
      <c r="JTJ150" s="72"/>
      <c r="JTK150" s="72"/>
      <c r="JTL150" s="72"/>
      <c r="JTM150" s="72"/>
      <c r="JTN150" s="72"/>
      <c r="JTO150" s="72"/>
      <c r="JTP150" s="72"/>
      <c r="JTQ150" s="72"/>
      <c r="JTR150" s="72"/>
      <c r="JTS150" s="72"/>
      <c r="JTT150" s="72"/>
      <c r="JTU150" s="72"/>
      <c r="JTV150" s="72"/>
      <c r="JTW150" s="72"/>
      <c r="JTX150" s="72"/>
      <c r="JTY150" s="72"/>
      <c r="JTZ150" s="72"/>
      <c r="JUA150" s="72"/>
      <c r="JUB150" s="72"/>
      <c r="JUC150" s="72"/>
      <c r="JUD150" s="72"/>
      <c r="JUE150" s="72"/>
      <c r="JUF150" s="72"/>
      <c r="JUG150" s="72"/>
      <c r="JUH150" s="72"/>
      <c r="JUI150" s="72"/>
      <c r="JUJ150" s="72"/>
      <c r="JUK150" s="72"/>
      <c r="JUL150" s="72"/>
      <c r="JUM150" s="72"/>
      <c r="JUN150" s="72"/>
      <c r="JUO150" s="72"/>
      <c r="JUP150" s="72"/>
      <c r="JUQ150" s="72"/>
      <c r="JUR150" s="72"/>
      <c r="JUS150" s="72"/>
      <c r="JUT150" s="72"/>
      <c r="JUU150" s="72"/>
      <c r="JUV150" s="72"/>
      <c r="JUW150" s="72"/>
      <c r="JUX150" s="72"/>
      <c r="JUY150" s="72"/>
      <c r="JUZ150" s="72"/>
      <c r="JVA150" s="72"/>
      <c r="JVB150" s="72"/>
      <c r="JVC150" s="72"/>
      <c r="JVD150" s="72"/>
      <c r="JVE150" s="72"/>
      <c r="JVF150" s="72"/>
      <c r="JVG150" s="72"/>
      <c r="JVH150" s="72"/>
      <c r="JVI150" s="72"/>
      <c r="JVJ150" s="72"/>
      <c r="JVK150" s="72"/>
      <c r="JVL150" s="72"/>
      <c r="JVM150" s="72"/>
      <c r="JVN150" s="72"/>
      <c r="JVO150" s="72"/>
      <c r="JVP150" s="72"/>
      <c r="JVQ150" s="72"/>
      <c r="JVR150" s="72"/>
      <c r="JVS150" s="72"/>
      <c r="JVT150" s="72"/>
      <c r="JVU150" s="72"/>
      <c r="JVV150" s="72"/>
      <c r="JVW150" s="72"/>
      <c r="JVX150" s="72"/>
      <c r="JVY150" s="72"/>
      <c r="JVZ150" s="72"/>
      <c r="JWA150" s="72"/>
      <c r="JWB150" s="72"/>
      <c r="JWC150" s="72"/>
      <c r="JWD150" s="72"/>
      <c r="JWE150" s="72"/>
      <c r="JWF150" s="72"/>
      <c r="JWG150" s="72"/>
      <c r="JWH150" s="72"/>
      <c r="JWI150" s="72"/>
      <c r="JWJ150" s="72"/>
      <c r="JWK150" s="72"/>
      <c r="JWL150" s="72"/>
      <c r="JWM150" s="72"/>
      <c r="JWN150" s="72"/>
      <c r="JWO150" s="72"/>
      <c r="JWP150" s="72"/>
      <c r="JWQ150" s="72"/>
      <c r="JWR150" s="72"/>
      <c r="JWS150" s="72"/>
      <c r="JWT150" s="72"/>
      <c r="JWU150" s="72"/>
      <c r="JWV150" s="72"/>
      <c r="JWW150" s="72"/>
      <c r="JWX150" s="72"/>
      <c r="JWY150" s="72"/>
      <c r="JWZ150" s="72"/>
      <c r="JXA150" s="72"/>
      <c r="JXB150" s="72"/>
      <c r="JXC150" s="72"/>
      <c r="JXD150" s="72"/>
      <c r="JXE150" s="72"/>
      <c r="JXF150" s="72"/>
      <c r="JXG150" s="72"/>
      <c r="JXH150" s="72"/>
      <c r="JXI150" s="72"/>
      <c r="JXJ150" s="72"/>
      <c r="JXK150" s="72"/>
      <c r="JXL150" s="72"/>
      <c r="JXM150" s="72"/>
      <c r="JXN150" s="72"/>
      <c r="JXO150" s="72"/>
      <c r="JXP150" s="72"/>
      <c r="JXQ150" s="72"/>
      <c r="JXR150" s="72"/>
      <c r="JXS150" s="72"/>
      <c r="JXT150" s="72"/>
      <c r="JXU150" s="72"/>
      <c r="JXV150" s="72"/>
      <c r="JXW150" s="72"/>
      <c r="JXX150" s="72"/>
      <c r="JXY150" s="72"/>
      <c r="JXZ150" s="72"/>
      <c r="JYA150" s="72"/>
      <c r="JYB150" s="72"/>
      <c r="JYC150" s="72"/>
      <c r="JYD150" s="72"/>
      <c r="JYE150" s="72"/>
      <c r="JYF150" s="72"/>
      <c r="JYG150" s="72"/>
      <c r="JYH150" s="72"/>
      <c r="JYI150" s="72"/>
      <c r="JYJ150" s="72"/>
      <c r="JYK150" s="72"/>
      <c r="JYL150" s="72"/>
      <c r="JYM150" s="72"/>
      <c r="JYN150" s="72"/>
      <c r="JYO150" s="72"/>
      <c r="JYP150" s="72"/>
      <c r="JYQ150" s="72"/>
      <c r="JYR150" s="72"/>
      <c r="JYS150" s="72"/>
      <c r="JYT150" s="72"/>
      <c r="JYU150" s="72"/>
      <c r="JYV150" s="72"/>
      <c r="JYW150" s="72"/>
      <c r="JYX150" s="72"/>
      <c r="JYY150" s="72"/>
      <c r="JYZ150" s="72"/>
      <c r="JZA150" s="72"/>
      <c r="JZB150" s="72"/>
      <c r="JZC150" s="72"/>
      <c r="JZD150" s="72"/>
      <c r="JZE150" s="72"/>
      <c r="JZF150" s="72"/>
      <c r="JZG150" s="72"/>
      <c r="JZH150" s="72"/>
      <c r="JZI150" s="72"/>
      <c r="JZJ150" s="72"/>
      <c r="JZK150" s="72"/>
      <c r="JZL150" s="72"/>
      <c r="JZM150" s="72"/>
      <c r="JZN150" s="72"/>
      <c r="JZO150" s="72"/>
      <c r="JZP150" s="72"/>
      <c r="JZQ150" s="72"/>
      <c r="JZR150" s="72"/>
      <c r="JZS150" s="72"/>
      <c r="JZT150" s="72"/>
      <c r="JZU150" s="72"/>
      <c r="JZV150" s="72"/>
      <c r="JZW150" s="72"/>
      <c r="JZX150" s="72"/>
      <c r="JZY150" s="72"/>
      <c r="JZZ150" s="72"/>
      <c r="KAA150" s="72"/>
      <c r="KAB150" s="72"/>
      <c r="KAC150" s="72"/>
      <c r="KAD150" s="72"/>
      <c r="KAE150" s="72"/>
      <c r="KAF150" s="72"/>
      <c r="KAG150" s="72"/>
      <c r="KAH150" s="72"/>
      <c r="KAI150" s="72"/>
      <c r="KAJ150" s="72"/>
      <c r="KAK150" s="72"/>
      <c r="KAL150" s="72"/>
      <c r="KAM150" s="72"/>
      <c r="KAN150" s="72"/>
      <c r="KAO150" s="72"/>
      <c r="KAP150" s="72"/>
      <c r="KAQ150" s="72"/>
      <c r="KAR150" s="72"/>
      <c r="KAS150" s="72"/>
      <c r="KAT150" s="72"/>
      <c r="KAU150" s="72"/>
      <c r="KAV150" s="72"/>
      <c r="KAW150" s="72"/>
      <c r="KAX150" s="72"/>
      <c r="KAY150" s="72"/>
      <c r="KAZ150" s="72"/>
      <c r="KBA150" s="72"/>
      <c r="KBB150" s="72"/>
      <c r="KBC150" s="72"/>
      <c r="KBD150" s="72"/>
      <c r="KBE150" s="72"/>
      <c r="KBF150" s="72"/>
      <c r="KBG150" s="72"/>
      <c r="KBH150" s="72"/>
      <c r="KBI150" s="72"/>
      <c r="KBJ150" s="72"/>
      <c r="KBK150" s="72"/>
      <c r="KBL150" s="72"/>
      <c r="KBM150" s="72"/>
      <c r="KBN150" s="72"/>
      <c r="KBO150" s="72"/>
      <c r="KBP150" s="72"/>
      <c r="KBQ150" s="72"/>
      <c r="KBR150" s="72"/>
      <c r="KBS150" s="72"/>
      <c r="KBT150" s="72"/>
      <c r="KBU150" s="72"/>
      <c r="KBV150" s="72"/>
      <c r="KBW150" s="72"/>
      <c r="KBX150" s="72"/>
      <c r="KBY150" s="72"/>
      <c r="KBZ150" s="72"/>
      <c r="KCA150" s="72"/>
      <c r="KCB150" s="72"/>
      <c r="KCC150" s="72"/>
      <c r="KCD150" s="72"/>
      <c r="KCE150" s="72"/>
      <c r="KCF150" s="72"/>
      <c r="KCG150" s="72"/>
      <c r="KCH150" s="72"/>
      <c r="KCI150" s="72"/>
      <c r="KCJ150" s="72"/>
      <c r="KCK150" s="72"/>
      <c r="KCL150" s="72"/>
      <c r="KCM150" s="72"/>
      <c r="KCN150" s="72"/>
      <c r="KCO150" s="72"/>
      <c r="KCP150" s="72"/>
      <c r="KCQ150" s="72"/>
      <c r="KCR150" s="72"/>
      <c r="KCS150" s="72"/>
      <c r="KCT150" s="72"/>
      <c r="KCU150" s="72"/>
      <c r="KCV150" s="72"/>
      <c r="KCW150" s="72"/>
      <c r="KCX150" s="72"/>
      <c r="KCY150" s="72"/>
      <c r="KCZ150" s="72"/>
      <c r="KDA150" s="72"/>
      <c r="KDB150" s="72"/>
      <c r="KDC150" s="72"/>
      <c r="KDD150" s="72"/>
      <c r="KDE150" s="72"/>
      <c r="KDF150" s="72"/>
      <c r="KDG150" s="72"/>
      <c r="KDH150" s="72"/>
      <c r="KDI150" s="72"/>
      <c r="KDJ150" s="72"/>
      <c r="KDK150" s="72"/>
      <c r="KDL150" s="72"/>
      <c r="KDM150" s="72"/>
      <c r="KDN150" s="72"/>
      <c r="KDO150" s="72"/>
      <c r="KDP150" s="72"/>
      <c r="KDQ150" s="72"/>
      <c r="KDR150" s="72"/>
      <c r="KDS150" s="72"/>
      <c r="KDT150" s="72"/>
      <c r="KDU150" s="72"/>
      <c r="KDV150" s="72"/>
      <c r="KDW150" s="72"/>
      <c r="KDX150" s="72"/>
      <c r="KDY150" s="72"/>
      <c r="KDZ150" s="72"/>
      <c r="KEA150" s="72"/>
      <c r="KEB150" s="72"/>
      <c r="KEC150" s="72"/>
      <c r="KED150" s="72"/>
      <c r="KEE150" s="72"/>
      <c r="KEF150" s="72"/>
      <c r="KEG150" s="72"/>
      <c r="KEH150" s="72"/>
      <c r="KEI150" s="72"/>
      <c r="KEJ150" s="72"/>
      <c r="KEK150" s="72"/>
      <c r="KEL150" s="72"/>
      <c r="KEM150" s="72"/>
      <c r="KEN150" s="72"/>
      <c r="KEO150" s="72"/>
      <c r="KEP150" s="72"/>
      <c r="KEQ150" s="72"/>
      <c r="KER150" s="72"/>
      <c r="KES150" s="72"/>
      <c r="KET150" s="72"/>
      <c r="KEU150" s="72"/>
      <c r="KEV150" s="72"/>
      <c r="KEW150" s="72"/>
      <c r="KEX150" s="72"/>
      <c r="KEY150" s="72"/>
      <c r="KEZ150" s="72"/>
      <c r="KFA150" s="72"/>
      <c r="KFB150" s="72"/>
      <c r="KFC150" s="72"/>
      <c r="KFD150" s="72"/>
      <c r="KFE150" s="72"/>
      <c r="KFF150" s="72"/>
      <c r="KFG150" s="72"/>
      <c r="KFH150" s="72"/>
      <c r="KFI150" s="72"/>
      <c r="KFJ150" s="72"/>
      <c r="KFK150" s="72"/>
      <c r="KFL150" s="72"/>
      <c r="KFM150" s="72"/>
      <c r="KFN150" s="72"/>
      <c r="KFO150" s="72"/>
      <c r="KFP150" s="72"/>
      <c r="KFQ150" s="72"/>
      <c r="KFR150" s="72"/>
      <c r="KFS150" s="72"/>
      <c r="KFT150" s="72"/>
      <c r="KFU150" s="72"/>
      <c r="KFV150" s="72"/>
      <c r="KFW150" s="72"/>
      <c r="KFX150" s="72"/>
      <c r="KFY150" s="72"/>
      <c r="KFZ150" s="72"/>
      <c r="KGA150" s="72"/>
      <c r="KGB150" s="72"/>
      <c r="KGC150" s="72"/>
      <c r="KGD150" s="72"/>
      <c r="KGE150" s="72"/>
      <c r="KGF150" s="72"/>
      <c r="KGG150" s="72"/>
      <c r="KGH150" s="72"/>
      <c r="KGI150" s="72"/>
      <c r="KGJ150" s="72"/>
      <c r="KGK150" s="72"/>
      <c r="KGL150" s="72"/>
      <c r="KGM150" s="72"/>
      <c r="KGN150" s="72"/>
      <c r="KGO150" s="72"/>
      <c r="KGP150" s="72"/>
      <c r="KGQ150" s="72"/>
      <c r="KGR150" s="72"/>
      <c r="KGS150" s="72"/>
      <c r="KGT150" s="72"/>
      <c r="KGU150" s="72"/>
      <c r="KGV150" s="72"/>
      <c r="KGW150" s="72"/>
      <c r="KGX150" s="72"/>
      <c r="KGY150" s="72"/>
      <c r="KGZ150" s="72"/>
      <c r="KHA150" s="72"/>
      <c r="KHB150" s="72"/>
      <c r="KHC150" s="72"/>
      <c r="KHD150" s="72"/>
      <c r="KHE150" s="72"/>
      <c r="KHF150" s="72"/>
      <c r="KHG150" s="72"/>
      <c r="KHH150" s="72"/>
      <c r="KHI150" s="72"/>
      <c r="KHJ150" s="72"/>
      <c r="KHK150" s="72"/>
      <c r="KHL150" s="72"/>
      <c r="KHM150" s="72"/>
      <c r="KHN150" s="72"/>
      <c r="KHO150" s="72"/>
      <c r="KHP150" s="72"/>
      <c r="KHQ150" s="72"/>
      <c r="KHR150" s="72"/>
      <c r="KHS150" s="72"/>
      <c r="KHT150" s="72"/>
      <c r="KHU150" s="72"/>
      <c r="KHV150" s="72"/>
      <c r="KHW150" s="72"/>
      <c r="KHX150" s="72"/>
      <c r="KHY150" s="72"/>
      <c r="KHZ150" s="72"/>
      <c r="KIA150" s="72"/>
      <c r="KIB150" s="72"/>
      <c r="KIC150" s="72"/>
      <c r="KID150" s="72"/>
      <c r="KIE150" s="72"/>
      <c r="KIF150" s="72"/>
      <c r="KIG150" s="72"/>
      <c r="KIH150" s="72"/>
      <c r="KII150" s="72"/>
      <c r="KIJ150" s="72"/>
      <c r="KIK150" s="72"/>
      <c r="KIL150" s="72"/>
      <c r="KIM150" s="72"/>
      <c r="KIN150" s="72"/>
      <c r="KIO150" s="72"/>
      <c r="KIP150" s="72"/>
      <c r="KIQ150" s="72"/>
      <c r="KIR150" s="72"/>
      <c r="KIS150" s="72"/>
      <c r="KIT150" s="72"/>
      <c r="KIU150" s="72"/>
      <c r="KIV150" s="72"/>
      <c r="KIW150" s="72"/>
      <c r="KIX150" s="72"/>
      <c r="KIY150" s="72"/>
      <c r="KIZ150" s="72"/>
      <c r="KJA150" s="72"/>
      <c r="KJB150" s="72"/>
      <c r="KJC150" s="72"/>
      <c r="KJD150" s="72"/>
      <c r="KJE150" s="72"/>
      <c r="KJF150" s="72"/>
      <c r="KJG150" s="72"/>
      <c r="KJH150" s="72"/>
      <c r="KJI150" s="72"/>
      <c r="KJJ150" s="72"/>
      <c r="KJK150" s="72"/>
      <c r="KJL150" s="72"/>
      <c r="KJM150" s="72"/>
      <c r="KJN150" s="72"/>
      <c r="KJO150" s="72"/>
      <c r="KJP150" s="72"/>
      <c r="KJQ150" s="72"/>
      <c r="KJR150" s="72"/>
      <c r="KJS150" s="72"/>
      <c r="KJT150" s="72"/>
      <c r="KJU150" s="72"/>
      <c r="KJV150" s="72"/>
      <c r="KJW150" s="72"/>
      <c r="KJX150" s="72"/>
      <c r="KJY150" s="72"/>
      <c r="KJZ150" s="72"/>
      <c r="KKA150" s="72"/>
      <c r="KKB150" s="72"/>
      <c r="KKC150" s="72"/>
      <c r="KKD150" s="72"/>
      <c r="KKE150" s="72"/>
      <c r="KKF150" s="72"/>
      <c r="KKG150" s="72"/>
      <c r="KKH150" s="72"/>
      <c r="KKI150" s="72"/>
      <c r="KKJ150" s="72"/>
      <c r="KKK150" s="72"/>
      <c r="KKL150" s="72"/>
      <c r="KKM150" s="72"/>
      <c r="KKN150" s="72"/>
      <c r="KKO150" s="72"/>
      <c r="KKP150" s="72"/>
      <c r="KKQ150" s="72"/>
      <c r="KKR150" s="72"/>
      <c r="KKS150" s="72"/>
      <c r="KKT150" s="72"/>
      <c r="KKU150" s="72"/>
      <c r="KKV150" s="72"/>
      <c r="KKW150" s="72"/>
      <c r="KKX150" s="72"/>
      <c r="KKY150" s="72"/>
      <c r="KKZ150" s="72"/>
      <c r="KLA150" s="72"/>
      <c r="KLB150" s="72"/>
      <c r="KLC150" s="72"/>
      <c r="KLD150" s="72"/>
      <c r="KLE150" s="72"/>
      <c r="KLF150" s="72"/>
      <c r="KLG150" s="72"/>
      <c r="KLH150" s="72"/>
      <c r="KLI150" s="72"/>
      <c r="KLJ150" s="72"/>
      <c r="KLK150" s="72"/>
      <c r="KLL150" s="72"/>
      <c r="KLM150" s="72"/>
      <c r="KLN150" s="72"/>
      <c r="KLO150" s="72"/>
      <c r="KLP150" s="72"/>
      <c r="KLQ150" s="72"/>
      <c r="KLR150" s="72"/>
      <c r="KLS150" s="72"/>
      <c r="KLT150" s="72"/>
      <c r="KLU150" s="72"/>
      <c r="KLV150" s="72"/>
      <c r="KLW150" s="72"/>
      <c r="KLX150" s="72"/>
      <c r="KLY150" s="72"/>
      <c r="KLZ150" s="72"/>
      <c r="KMA150" s="72"/>
      <c r="KMB150" s="72"/>
      <c r="KMC150" s="72"/>
      <c r="KMD150" s="72"/>
      <c r="KME150" s="72"/>
      <c r="KMF150" s="72"/>
      <c r="KMG150" s="72"/>
      <c r="KMH150" s="72"/>
      <c r="KMI150" s="72"/>
      <c r="KMJ150" s="72"/>
      <c r="KMK150" s="72"/>
      <c r="KML150" s="72"/>
      <c r="KMM150" s="72"/>
      <c r="KMN150" s="72"/>
      <c r="KMO150" s="72"/>
      <c r="KMP150" s="72"/>
      <c r="KMQ150" s="72"/>
      <c r="KMR150" s="72"/>
      <c r="KMS150" s="72"/>
      <c r="KMT150" s="72"/>
      <c r="KMU150" s="72"/>
      <c r="KMV150" s="72"/>
      <c r="KMW150" s="72"/>
      <c r="KMX150" s="72"/>
      <c r="KMY150" s="72"/>
      <c r="KMZ150" s="72"/>
      <c r="KNA150" s="72"/>
      <c r="KNB150" s="72"/>
      <c r="KNC150" s="72"/>
      <c r="KND150" s="72"/>
      <c r="KNE150" s="72"/>
      <c r="KNF150" s="72"/>
      <c r="KNG150" s="72"/>
      <c r="KNH150" s="72"/>
      <c r="KNI150" s="72"/>
      <c r="KNJ150" s="72"/>
      <c r="KNK150" s="72"/>
      <c r="KNL150" s="72"/>
      <c r="KNM150" s="72"/>
      <c r="KNN150" s="72"/>
      <c r="KNO150" s="72"/>
      <c r="KNP150" s="72"/>
      <c r="KNQ150" s="72"/>
      <c r="KNR150" s="72"/>
      <c r="KNS150" s="72"/>
      <c r="KNT150" s="72"/>
      <c r="KNU150" s="72"/>
      <c r="KNV150" s="72"/>
      <c r="KNW150" s="72"/>
      <c r="KNX150" s="72"/>
      <c r="KNY150" s="72"/>
      <c r="KNZ150" s="72"/>
      <c r="KOA150" s="72"/>
      <c r="KOB150" s="72"/>
      <c r="KOC150" s="72"/>
      <c r="KOD150" s="72"/>
      <c r="KOE150" s="72"/>
      <c r="KOF150" s="72"/>
      <c r="KOG150" s="72"/>
      <c r="KOH150" s="72"/>
      <c r="KOI150" s="72"/>
      <c r="KOJ150" s="72"/>
      <c r="KOK150" s="72"/>
      <c r="KOL150" s="72"/>
      <c r="KOM150" s="72"/>
      <c r="KON150" s="72"/>
      <c r="KOO150" s="72"/>
      <c r="KOP150" s="72"/>
      <c r="KOQ150" s="72"/>
      <c r="KOR150" s="72"/>
      <c r="KOS150" s="72"/>
      <c r="KOT150" s="72"/>
      <c r="KOU150" s="72"/>
      <c r="KOV150" s="72"/>
      <c r="KOW150" s="72"/>
      <c r="KOX150" s="72"/>
      <c r="KOY150" s="72"/>
      <c r="KOZ150" s="72"/>
      <c r="KPA150" s="72"/>
      <c r="KPB150" s="72"/>
      <c r="KPC150" s="72"/>
      <c r="KPD150" s="72"/>
      <c r="KPE150" s="72"/>
      <c r="KPF150" s="72"/>
      <c r="KPG150" s="72"/>
      <c r="KPH150" s="72"/>
      <c r="KPI150" s="72"/>
      <c r="KPJ150" s="72"/>
      <c r="KPK150" s="72"/>
      <c r="KPL150" s="72"/>
      <c r="KPM150" s="72"/>
      <c r="KPN150" s="72"/>
      <c r="KPO150" s="72"/>
      <c r="KPP150" s="72"/>
      <c r="KPQ150" s="72"/>
      <c r="KPR150" s="72"/>
      <c r="KPS150" s="72"/>
      <c r="KPT150" s="72"/>
      <c r="KPU150" s="72"/>
      <c r="KPV150" s="72"/>
      <c r="KPW150" s="72"/>
      <c r="KPX150" s="72"/>
      <c r="KPY150" s="72"/>
      <c r="KPZ150" s="72"/>
      <c r="KQA150" s="72"/>
      <c r="KQB150" s="72"/>
      <c r="KQC150" s="72"/>
      <c r="KQD150" s="72"/>
      <c r="KQE150" s="72"/>
      <c r="KQF150" s="72"/>
      <c r="KQG150" s="72"/>
      <c r="KQH150" s="72"/>
      <c r="KQI150" s="72"/>
      <c r="KQJ150" s="72"/>
      <c r="KQK150" s="72"/>
      <c r="KQL150" s="72"/>
      <c r="KQM150" s="72"/>
      <c r="KQN150" s="72"/>
      <c r="KQO150" s="72"/>
      <c r="KQP150" s="72"/>
      <c r="KQQ150" s="72"/>
      <c r="KQR150" s="72"/>
      <c r="KQS150" s="72"/>
      <c r="KQT150" s="72"/>
      <c r="KQU150" s="72"/>
      <c r="KQV150" s="72"/>
      <c r="KQW150" s="72"/>
      <c r="KQX150" s="72"/>
      <c r="KQY150" s="72"/>
      <c r="KQZ150" s="72"/>
      <c r="KRA150" s="72"/>
      <c r="KRB150" s="72"/>
      <c r="KRC150" s="72"/>
      <c r="KRD150" s="72"/>
      <c r="KRE150" s="72"/>
      <c r="KRF150" s="72"/>
      <c r="KRG150" s="72"/>
      <c r="KRH150" s="72"/>
      <c r="KRI150" s="72"/>
      <c r="KRJ150" s="72"/>
      <c r="KRK150" s="72"/>
      <c r="KRL150" s="72"/>
      <c r="KRM150" s="72"/>
      <c r="KRN150" s="72"/>
      <c r="KRO150" s="72"/>
      <c r="KRP150" s="72"/>
      <c r="KRQ150" s="72"/>
      <c r="KRR150" s="72"/>
      <c r="KRS150" s="72"/>
      <c r="KRT150" s="72"/>
      <c r="KRU150" s="72"/>
      <c r="KRV150" s="72"/>
      <c r="KRW150" s="72"/>
      <c r="KRX150" s="72"/>
      <c r="KRY150" s="72"/>
      <c r="KRZ150" s="72"/>
      <c r="KSA150" s="72"/>
      <c r="KSB150" s="72"/>
      <c r="KSC150" s="72"/>
      <c r="KSD150" s="72"/>
      <c r="KSE150" s="72"/>
      <c r="KSF150" s="72"/>
      <c r="KSG150" s="72"/>
      <c r="KSH150" s="72"/>
      <c r="KSI150" s="72"/>
      <c r="KSJ150" s="72"/>
      <c r="KSK150" s="72"/>
      <c r="KSL150" s="72"/>
      <c r="KSM150" s="72"/>
      <c r="KSN150" s="72"/>
      <c r="KSO150" s="72"/>
      <c r="KSP150" s="72"/>
      <c r="KSQ150" s="72"/>
      <c r="KSR150" s="72"/>
      <c r="KSS150" s="72"/>
      <c r="KST150" s="72"/>
      <c r="KSU150" s="72"/>
      <c r="KSV150" s="72"/>
      <c r="KSW150" s="72"/>
      <c r="KSX150" s="72"/>
      <c r="KSY150" s="72"/>
      <c r="KSZ150" s="72"/>
      <c r="KTA150" s="72"/>
      <c r="KTB150" s="72"/>
      <c r="KTC150" s="72"/>
      <c r="KTD150" s="72"/>
      <c r="KTE150" s="72"/>
      <c r="KTF150" s="72"/>
      <c r="KTG150" s="72"/>
      <c r="KTH150" s="72"/>
      <c r="KTI150" s="72"/>
      <c r="KTJ150" s="72"/>
      <c r="KTK150" s="72"/>
      <c r="KTL150" s="72"/>
      <c r="KTM150" s="72"/>
      <c r="KTN150" s="72"/>
      <c r="KTO150" s="72"/>
      <c r="KTP150" s="72"/>
      <c r="KTQ150" s="72"/>
      <c r="KTR150" s="72"/>
      <c r="KTS150" s="72"/>
      <c r="KTT150" s="72"/>
      <c r="KTU150" s="72"/>
      <c r="KTV150" s="72"/>
      <c r="KTW150" s="72"/>
      <c r="KTX150" s="72"/>
      <c r="KTY150" s="72"/>
      <c r="KTZ150" s="72"/>
      <c r="KUA150" s="72"/>
      <c r="KUB150" s="72"/>
      <c r="KUC150" s="72"/>
      <c r="KUD150" s="72"/>
      <c r="KUE150" s="72"/>
      <c r="KUF150" s="72"/>
      <c r="KUG150" s="72"/>
      <c r="KUH150" s="72"/>
      <c r="KUI150" s="72"/>
      <c r="KUJ150" s="72"/>
      <c r="KUK150" s="72"/>
      <c r="KUL150" s="72"/>
      <c r="KUM150" s="72"/>
      <c r="KUN150" s="72"/>
      <c r="KUO150" s="72"/>
      <c r="KUP150" s="72"/>
      <c r="KUQ150" s="72"/>
      <c r="KUR150" s="72"/>
      <c r="KUS150" s="72"/>
      <c r="KUT150" s="72"/>
      <c r="KUU150" s="72"/>
      <c r="KUV150" s="72"/>
      <c r="KUW150" s="72"/>
      <c r="KUX150" s="72"/>
      <c r="KUY150" s="72"/>
      <c r="KUZ150" s="72"/>
      <c r="KVA150" s="72"/>
      <c r="KVB150" s="72"/>
      <c r="KVC150" s="72"/>
      <c r="KVD150" s="72"/>
      <c r="KVE150" s="72"/>
      <c r="KVF150" s="72"/>
      <c r="KVG150" s="72"/>
      <c r="KVH150" s="72"/>
      <c r="KVI150" s="72"/>
      <c r="KVJ150" s="72"/>
      <c r="KVK150" s="72"/>
      <c r="KVL150" s="72"/>
      <c r="KVM150" s="72"/>
      <c r="KVN150" s="72"/>
      <c r="KVO150" s="72"/>
      <c r="KVP150" s="72"/>
      <c r="KVQ150" s="72"/>
      <c r="KVR150" s="72"/>
      <c r="KVS150" s="72"/>
      <c r="KVT150" s="72"/>
      <c r="KVU150" s="72"/>
      <c r="KVV150" s="72"/>
      <c r="KVW150" s="72"/>
      <c r="KVX150" s="72"/>
      <c r="KVY150" s="72"/>
      <c r="KVZ150" s="72"/>
      <c r="KWA150" s="72"/>
      <c r="KWB150" s="72"/>
      <c r="KWC150" s="72"/>
      <c r="KWD150" s="72"/>
      <c r="KWE150" s="72"/>
      <c r="KWF150" s="72"/>
      <c r="KWG150" s="72"/>
      <c r="KWH150" s="72"/>
      <c r="KWI150" s="72"/>
      <c r="KWJ150" s="72"/>
      <c r="KWK150" s="72"/>
      <c r="KWL150" s="72"/>
      <c r="KWM150" s="72"/>
      <c r="KWN150" s="72"/>
      <c r="KWO150" s="72"/>
      <c r="KWP150" s="72"/>
      <c r="KWQ150" s="72"/>
      <c r="KWR150" s="72"/>
      <c r="KWS150" s="72"/>
      <c r="KWT150" s="72"/>
      <c r="KWU150" s="72"/>
      <c r="KWV150" s="72"/>
      <c r="KWW150" s="72"/>
      <c r="KWX150" s="72"/>
      <c r="KWY150" s="72"/>
      <c r="KWZ150" s="72"/>
      <c r="KXA150" s="72"/>
      <c r="KXB150" s="72"/>
      <c r="KXC150" s="72"/>
      <c r="KXD150" s="72"/>
      <c r="KXE150" s="72"/>
      <c r="KXF150" s="72"/>
      <c r="KXG150" s="72"/>
      <c r="KXH150" s="72"/>
      <c r="KXI150" s="72"/>
      <c r="KXJ150" s="72"/>
      <c r="KXK150" s="72"/>
      <c r="KXL150" s="72"/>
      <c r="KXM150" s="72"/>
      <c r="KXN150" s="72"/>
      <c r="KXO150" s="72"/>
      <c r="KXP150" s="72"/>
      <c r="KXQ150" s="72"/>
      <c r="KXR150" s="72"/>
      <c r="KXS150" s="72"/>
      <c r="KXT150" s="72"/>
      <c r="KXU150" s="72"/>
      <c r="KXV150" s="72"/>
      <c r="KXW150" s="72"/>
      <c r="KXX150" s="72"/>
      <c r="KXY150" s="72"/>
      <c r="KXZ150" s="72"/>
      <c r="KYA150" s="72"/>
      <c r="KYB150" s="72"/>
      <c r="KYC150" s="72"/>
      <c r="KYD150" s="72"/>
      <c r="KYE150" s="72"/>
      <c r="KYF150" s="72"/>
      <c r="KYG150" s="72"/>
      <c r="KYH150" s="72"/>
      <c r="KYI150" s="72"/>
      <c r="KYJ150" s="72"/>
      <c r="KYK150" s="72"/>
      <c r="KYL150" s="72"/>
      <c r="KYM150" s="72"/>
      <c r="KYN150" s="72"/>
      <c r="KYO150" s="72"/>
      <c r="KYP150" s="72"/>
      <c r="KYQ150" s="72"/>
      <c r="KYR150" s="72"/>
      <c r="KYS150" s="72"/>
      <c r="KYT150" s="72"/>
      <c r="KYU150" s="72"/>
      <c r="KYV150" s="72"/>
      <c r="KYW150" s="72"/>
      <c r="KYX150" s="72"/>
      <c r="KYY150" s="72"/>
      <c r="KYZ150" s="72"/>
      <c r="KZA150" s="72"/>
      <c r="KZB150" s="72"/>
      <c r="KZC150" s="72"/>
      <c r="KZD150" s="72"/>
      <c r="KZE150" s="72"/>
      <c r="KZF150" s="72"/>
      <c r="KZG150" s="72"/>
      <c r="KZH150" s="72"/>
      <c r="KZI150" s="72"/>
      <c r="KZJ150" s="72"/>
      <c r="KZK150" s="72"/>
      <c r="KZL150" s="72"/>
      <c r="KZM150" s="72"/>
      <c r="KZN150" s="72"/>
      <c r="KZO150" s="72"/>
      <c r="KZP150" s="72"/>
      <c r="KZQ150" s="72"/>
      <c r="KZR150" s="72"/>
      <c r="KZS150" s="72"/>
      <c r="KZT150" s="72"/>
      <c r="KZU150" s="72"/>
      <c r="KZV150" s="72"/>
      <c r="KZW150" s="72"/>
      <c r="KZX150" s="72"/>
      <c r="KZY150" s="72"/>
      <c r="KZZ150" s="72"/>
      <c r="LAA150" s="72"/>
      <c r="LAB150" s="72"/>
      <c r="LAC150" s="72"/>
      <c r="LAD150" s="72"/>
      <c r="LAE150" s="72"/>
      <c r="LAF150" s="72"/>
      <c r="LAG150" s="72"/>
      <c r="LAH150" s="72"/>
      <c r="LAI150" s="72"/>
      <c r="LAJ150" s="72"/>
      <c r="LAK150" s="72"/>
      <c r="LAL150" s="72"/>
      <c r="LAM150" s="72"/>
      <c r="LAN150" s="72"/>
      <c r="LAO150" s="72"/>
      <c r="LAP150" s="72"/>
      <c r="LAQ150" s="72"/>
      <c r="LAR150" s="72"/>
      <c r="LAS150" s="72"/>
      <c r="LAT150" s="72"/>
      <c r="LAU150" s="72"/>
      <c r="LAV150" s="72"/>
      <c r="LAW150" s="72"/>
      <c r="LAX150" s="72"/>
      <c r="LAY150" s="72"/>
      <c r="LAZ150" s="72"/>
      <c r="LBA150" s="72"/>
      <c r="LBB150" s="72"/>
      <c r="LBC150" s="72"/>
      <c r="LBD150" s="72"/>
      <c r="LBE150" s="72"/>
      <c r="LBF150" s="72"/>
      <c r="LBG150" s="72"/>
      <c r="LBH150" s="72"/>
      <c r="LBI150" s="72"/>
      <c r="LBJ150" s="72"/>
      <c r="LBK150" s="72"/>
      <c r="LBL150" s="72"/>
      <c r="LBM150" s="72"/>
      <c r="LBN150" s="72"/>
      <c r="LBO150" s="72"/>
      <c r="LBP150" s="72"/>
      <c r="LBQ150" s="72"/>
      <c r="LBR150" s="72"/>
      <c r="LBS150" s="72"/>
      <c r="LBT150" s="72"/>
      <c r="LBU150" s="72"/>
      <c r="LBV150" s="72"/>
      <c r="LBW150" s="72"/>
      <c r="LBX150" s="72"/>
      <c r="LBY150" s="72"/>
      <c r="LBZ150" s="72"/>
      <c r="LCA150" s="72"/>
      <c r="LCB150" s="72"/>
      <c r="LCC150" s="72"/>
      <c r="LCD150" s="72"/>
      <c r="LCE150" s="72"/>
      <c r="LCF150" s="72"/>
      <c r="LCG150" s="72"/>
      <c r="LCH150" s="72"/>
      <c r="LCI150" s="72"/>
      <c r="LCJ150" s="72"/>
      <c r="LCK150" s="72"/>
      <c r="LCL150" s="72"/>
      <c r="LCM150" s="72"/>
      <c r="LCN150" s="72"/>
      <c r="LCO150" s="72"/>
      <c r="LCP150" s="72"/>
      <c r="LCQ150" s="72"/>
      <c r="LCR150" s="72"/>
      <c r="LCS150" s="72"/>
      <c r="LCT150" s="72"/>
      <c r="LCU150" s="72"/>
      <c r="LCV150" s="72"/>
      <c r="LCW150" s="72"/>
      <c r="LCX150" s="72"/>
      <c r="LCY150" s="72"/>
      <c r="LCZ150" s="72"/>
      <c r="LDA150" s="72"/>
      <c r="LDB150" s="72"/>
      <c r="LDC150" s="72"/>
      <c r="LDD150" s="72"/>
      <c r="LDE150" s="72"/>
      <c r="LDF150" s="72"/>
      <c r="LDG150" s="72"/>
      <c r="LDH150" s="72"/>
      <c r="LDI150" s="72"/>
      <c r="LDJ150" s="72"/>
      <c r="LDK150" s="72"/>
      <c r="LDL150" s="72"/>
      <c r="LDM150" s="72"/>
      <c r="LDN150" s="72"/>
      <c r="LDO150" s="72"/>
      <c r="LDP150" s="72"/>
      <c r="LDQ150" s="72"/>
      <c r="LDR150" s="72"/>
      <c r="LDS150" s="72"/>
      <c r="LDT150" s="72"/>
      <c r="LDU150" s="72"/>
      <c r="LDV150" s="72"/>
      <c r="LDW150" s="72"/>
      <c r="LDX150" s="72"/>
      <c r="LDY150" s="72"/>
      <c r="LDZ150" s="72"/>
      <c r="LEA150" s="72"/>
      <c r="LEB150" s="72"/>
      <c r="LEC150" s="72"/>
      <c r="LED150" s="72"/>
      <c r="LEE150" s="72"/>
      <c r="LEF150" s="72"/>
      <c r="LEG150" s="72"/>
      <c r="LEH150" s="72"/>
      <c r="LEI150" s="72"/>
      <c r="LEJ150" s="72"/>
      <c r="LEK150" s="72"/>
      <c r="LEL150" s="72"/>
      <c r="LEM150" s="72"/>
      <c r="LEN150" s="72"/>
      <c r="LEO150" s="72"/>
      <c r="LEP150" s="72"/>
      <c r="LEQ150" s="72"/>
      <c r="LER150" s="72"/>
      <c r="LES150" s="72"/>
      <c r="LET150" s="72"/>
      <c r="LEU150" s="72"/>
      <c r="LEV150" s="72"/>
      <c r="LEW150" s="72"/>
      <c r="LEX150" s="72"/>
      <c r="LEY150" s="72"/>
      <c r="LEZ150" s="72"/>
      <c r="LFA150" s="72"/>
      <c r="LFB150" s="72"/>
      <c r="LFC150" s="72"/>
      <c r="LFD150" s="72"/>
      <c r="LFE150" s="72"/>
      <c r="LFF150" s="72"/>
      <c r="LFG150" s="72"/>
      <c r="LFH150" s="72"/>
      <c r="LFI150" s="72"/>
      <c r="LFJ150" s="72"/>
      <c r="LFK150" s="72"/>
      <c r="LFL150" s="72"/>
      <c r="LFM150" s="72"/>
      <c r="LFN150" s="72"/>
      <c r="LFO150" s="72"/>
      <c r="LFP150" s="72"/>
      <c r="LFQ150" s="72"/>
      <c r="LFR150" s="72"/>
      <c r="LFS150" s="72"/>
      <c r="LFT150" s="72"/>
      <c r="LFU150" s="72"/>
      <c r="LFV150" s="72"/>
      <c r="LFW150" s="72"/>
      <c r="LFX150" s="72"/>
      <c r="LFY150" s="72"/>
      <c r="LFZ150" s="72"/>
      <c r="LGA150" s="72"/>
      <c r="LGB150" s="72"/>
      <c r="LGC150" s="72"/>
      <c r="LGD150" s="72"/>
      <c r="LGE150" s="72"/>
      <c r="LGF150" s="72"/>
      <c r="LGG150" s="72"/>
      <c r="LGH150" s="72"/>
      <c r="LGI150" s="72"/>
      <c r="LGJ150" s="72"/>
      <c r="LGK150" s="72"/>
      <c r="LGL150" s="72"/>
      <c r="LGM150" s="72"/>
      <c r="LGN150" s="72"/>
      <c r="LGO150" s="72"/>
      <c r="LGP150" s="72"/>
      <c r="LGQ150" s="72"/>
      <c r="LGR150" s="72"/>
      <c r="LGS150" s="72"/>
      <c r="LGT150" s="72"/>
      <c r="LGU150" s="72"/>
      <c r="LGV150" s="72"/>
      <c r="LGW150" s="72"/>
      <c r="LGX150" s="72"/>
      <c r="LGY150" s="72"/>
      <c r="LGZ150" s="72"/>
      <c r="LHA150" s="72"/>
      <c r="LHB150" s="72"/>
      <c r="LHC150" s="72"/>
      <c r="LHD150" s="72"/>
      <c r="LHE150" s="72"/>
      <c r="LHF150" s="72"/>
      <c r="LHG150" s="72"/>
      <c r="LHH150" s="72"/>
      <c r="LHI150" s="72"/>
      <c r="LHJ150" s="72"/>
      <c r="LHK150" s="72"/>
      <c r="LHL150" s="72"/>
      <c r="LHM150" s="72"/>
      <c r="LHN150" s="72"/>
      <c r="LHO150" s="72"/>
      <c r="LHP150" s="72"/>
      <c r="LHQ150" s="72"/>
      <c r="LHR150" s="72"/>
      <c r="LHS150" s="72"/>
      <c r="LHT150" s="72"/>
      <c r="LHU150" s="72"/>
      <c r="LHV150" s="72"/>
      <c r="LHW150" s="72"/>
      <c r="LHX150" s="72"/>
      <c r="LHY150" s="72"/>
      <c r="LHZ150" s="72"/>
      <c r="LIA150" s="72"/>
      <c r="LIB150" s="72"/>
      <c r="LIC150" s="72"/>
      <c r="LID150" s="72"/>
      <c r="LIE150" s="72"/>
      <c r="LIF150" s="72"/>
      <c r="LIG150" s="72"/>
      <c r="LIH150" s="72"/>
      <c r="LII150" s="72"/>
      <c r="LIJ150" s="72"/>
      <c r="LIK150" s="72"/>
      <c r="LIL150" s="72"/>
      <c r="LIM150" s="72"/>
      <c r="LIN150" s="72"/>
      <c r="LIO150" s="72"/>
      <c r="LIP150" s="72"/>
      <c r="LIQ150" s="72"/>
      <c r="LIR150" s="72"/>
      <c r="LIS150" s="72"/>
      <c r="LIT150" s="72"/>
      <c r="LIU150" s="72"/>
      <c r="LIV150" s="72"/>
      <c r="LIW150" s="72"/>
      <c r="LIX150" s="72"/>
      <c r="LIY150" s="72"/>
      <c r="LIZ150" s="72"/>
      <c r="LJA150" s="72"/>
      <c r="LJB150" s="72"/>
      <c r="LJC150" s="72"/>
      <c r="LJD150" s="72"/>
      <c r="LJE150" s="72"/>
      <c r="LJF150" s="72"/>
      <c r="LJG150" s="72"/>
      <c r="LJH150" s="72"/>
      <c r="LJI150" s="72"/>
      <c r="LJJ150" s="72"/>
      <c r="LJK150" s="72"/>
      <c r="LJL150" s="72"/>
      <c r="LJM150" s="72"/>
      <c r="LJN150" s="72"/>
      <c r="LJO150" s="72"/>
      <c r="LJP150" s="72"/>
      <c r="LJQ150" s="72"/>
      <c r="LJR150" s="72"/>
      <c r="LJS150" s="72"/>
      <c r="LJT150" s="72"/>
      <c r="LJU150" s="72"/>
      <c r="LJV150" s="72"/>
      <c r="LJW150" s="72"/>
      <c r="LJX150" s="72"/>
      <c r="LJY150" s="72"/>
      <c r="LJZ150" s="72"/>
      <c r="LKA150" s="72"/>
      <c r="LKB150" s="72"/>
      <c r="LKC150" s="72"/>
      <c r="LKD150" s="72"/>
      <c r="LKE150" s="72"/>
      <c r="LKF150" s="72"/>
      <c r="LKG150" s="72"/>
      <c r="LKH150" s="72"/>
      <c r="LKI150" s="72"/>
      <c r="LKJ150" s="72"/>
      <c r="LKK150" s="72"/>
      <c r="LKL150" s="72"/>
      <c r="LKM150" s="72"/>
      <c r="LKN150" s="72"/>
      <c r="LKO150" s="72"/>
      <c r="LKP150" s="72"/>
      <c r="LKQ150" s="72"/>
      <c r="LKR150" s="72"/>
      <c r="LKS150" s="72"/>
      <c r="LKT150" s="72"/>
      <c r="LKU150" s="72"/>
      <c r="LKV150" s="72"/>
      <c r="LKW150" s="72"/>
      <c r="LKX150" s="72"/>
      <c r="LKY150" s="72"/>
      <c r="LKZ150" s="72"/>
      <c r="LLA150" s="72"/>
      <c r="LLB150" s="72"/>
      <c r="LLC150" s="72"/>
      <c r="LLD150" s="72"/>
      <c r="LLE150" s="72"/>
      <c r="LLF150" s="72"/>
      <c r="LLG150" s="72"/>
      <c r="LLH150" s="72"/>
      <c r="LLI150" s="72"/>
      <c r="LLJ150" s="72"/>
      <c r="LLK150" s="72"/>
      <c r="LLL150" s="72"/>
      <c r="LLM150" s="72"/>
      <c r="LLN150" s="72"/>
      <c r="LLO150" s="72"/>
      <c r="LLP150" s="72"/>
      <c r="LLQ150" s="72"/>
      <c r="LLR150" s="72"/>
      <c r="LLS150" s="72"/>
      <c r="LLT150" s="72"/>
      <c r="LLU150" s="72"/>
      <c r="LLV150" s="72"/>
      <c r="LLW150" s="72"/>
      <c r="LLX150" s="72"/>
      <c r="LLY150" s="72"/>
      <c r="LLZ150" s="72"/>
      <c r="LMA150" s="72"/>
      <c r="LMB150" s="72"/>
      <c r="LMC150" s="72"/>
      <c r="LMD150" s="72"/>
      <c r="LME150" s="72"/>
      <c r="LMF150" s="72"/>
      <c r="LMG150" s="72"/>
      <c r="LMH150" s="72"/>
      <c r="LMI150" s="72"/>
      <c r="LMJ150" s="72"/>
      <c r="LMK150" s="72"/>
      <c r="LML150" s="72"/>
      <c r="LMM150" s="72"/>
      <c r="LMN150" s="72"/>
      <c r="LMO150" s="72"/>
      <c r="LMP150" s="72"/>
      <c r="LMQ150" s="72"/>
      <c r="LMR150" s="72"/>
      <c r="LMS150" s="72"/>
      <c r="LMT150" s="72"/>
      <c r="LMU150" s="72"/>
      <c r="LMV150" s="72"/>
      <c r="LMW150" s="72"/>
      <c r="LMX150" s="72"/>
      <c r="LMY150" s="72"/>
      <c r="LMZ150" s="72"/>
      <c r="LNA150" s="72"/>
      <c r="LNB150" s="72"/>
      <c r="LNC150" s="72"/>
      <c r="LND150" s="72"/>
      <c r="LNE150" s="72"/>
      <c r="LNF150" s="72"/>
      <c r="LNG150" s="72"/>
      <c r="LNH150" s="72"/>
      <c r="LNI150" s="72"/>
      <c r="LNJ150" s="72"/>
      <c r="LNK150" s="72"/>
      <c r="LNL150" s="72"/>
      <c r="LNM150" s="72"/>
      <c r="LNN150" s="72"/>
      <c r="LNO150" s="72"/>
      <c r="LNP150" s="72"/>
      <c r="LNQ150" s="72"/>
      <c r="LNR150" s="72"/>
      <c r="LNS150" s="72"/>
      <c r="LNT150" s="72"/>
      <c r="LNU150" s="72"/>
      <c r="LNV150" s="72"/>
      <c r="LNW150" s="72"/>
      <c r="LNX150" s="72"/>
      <c r="LNY150" s="72"/>
      <c r="LNZ150" s="72"/>
      <c r="LOA150" s="72"/>
      <c r="LOB150" s="72"/>
      <c r="LOC150" s="72"/>
      <c r="LOD150" s="72"/>
      <c r="LOE150" s="72"/>
      <c r="LOF150" s="72"/>
      <c r="LOG150" s="72"/>
      <c r="LOH150" s="72"/>
      <c r="LOI150" s="72"/>
      <c r="LOJ150" s="72"/>
      <c r="LOK150" s="72"/>
      <c r="LOL150" s="72"/>
      <c r="LOM150" s="72"/>
      <c r="LON150" s="72"/>
      <c r="LOO150" s="72"/>
      <c r="LOP150" s="72"/>
      <c r="LOQ150" s="72"/>
      <c r="LOR150" s="72"/>
      <c r="LOS150" s="72"/>
      <c r="LOT150" s="72"/>
      <c r="LOU150" s="72"/>
      <c r="LOV150" s="72"/>
      <c r="LOW150" s="72"/>
      <c r="LOX150" s="72"/>
      <c r="LOY150" s="72"/>
      <c r="LOZ150" s="72"/>
      <c r="LPA150" s="72"/>
      <c r="LPB150" s="72"/>
      <c r="LPC150" s="72"/>
      <c r="LPD150" s="72"/>
      <c r="LPE150" s="72"/>
      <c r="LPF150" s="72"/>
      <c r="LPG150" s="72"/>
      <c r="LPH150" s="72"/>
      <c r="LPI150" s="72"/>
      <c r="LPJ150" s="72"/>
      <c r="LPK150" s="72"/>
      <c r="LPL150" s="72"/>
      <c r="LPM150" s="72"/>
      <c r="LPN150" s="72"/>
      <c r="LPO150" s="72"/>
      <c r="LPP150" s="72"/>
      <c r="LPQ150" s="72"/>
      <c r="LPR150" s="72"/>
      <c r="LPS150" s="72"/>
      <c r="LPT150" s="72"/>
      <c r="LPU150" s="72"/>
      <c r="LPV150" s="72"/>
      <c r="LPW150" s="72"/>
      <c r="LPX150" s="72"/>
      <c r="LPY150" s="72"/>
      <c r="LPZ150" s="72"/>
      <c r="LQA150" s="72"/>
      <c r="LQB150" s="72"/>
      <c r="LQC150" s="72"/>
      <c r="LQD150" s="72"/>
      <c r="LQE150" s="72"/>
      <c r="LQF150" s="72"/>
      <c r="LQG150" s="72"/>
      <c r="LQH150" s="72"/>
      <c r="LQI150" s="72"/>
      <c r="LQJ150" s="72"/>
      <c r="LQK150" s="72"/>
      <c r="LQL150" s="72"/>
      <c r="LQM150" s="72"/>
      <c r="LQN150" s="72"/>
      <c r="LQO150" s="72"/>
      <c r="LQP150" s="72"/>
      <c r="LQQ150" s="72"/>
      <c r="LQR150" s="72"/>
      <c r="LQS150" s="72"/>
      <c r="LQT150" s="72"/>
      <c r="LQU150" s="72"/>
      <c r="LQV150" s="72"/>
      <c r="LQW150" s="72"/>
      <c r="LQX150" s="72"/>
      <c r="LQY150" s="72"/>
      <c r="LQZ150" s="72"/>
      <c r="LRA150" s="72"/>
      <c r="LRB150" s="72"/>
      <c r="LRC150" s="72"/>
      <c r="LRD150" s="72"/>
      <c r="LRE150" s="72"/>
      <c r="LRF150" s="72"/>
      <c r="LRG150" s="72"/>
      <c r="LRH150" s="72"/>
      <c r="LRI150" s="72"/>
      <c r="LRJ150" s="72"/>
      <c r="LRK150" s="72"/>
      <c r="LRL150" s="72"/>
      <c r="LRM150" s="72"/>
      <c r="LRN150" s="72"/>
      <c r="LRO150" s="72"/>
      <c r="LRP150" s="72"/>
      <c r="LRQ150" s="72"/>
      <c r="LRR150" s="72"/>
      <c r="LRS150" s="72"/>
      <c r="LRT150" s="72"/>
      <c r="LRU150" s="72"/>
      <c r="LRV150" s="72"/>
      <c r="LRW150" s="72"/>
      <c r="LRX150" s="72"/>
      <c r="LRY150" s="72"/>
      <c r="LRZ150" s="72"/>
      <c r="LSA150" s="72"/>
      <c r="LSB150" s="72"/>
      <c r="LSC150" s="72"/>
      <c r="LSD150" s="72"/>
      <c r="LSE150" s="72"/>
      <c r="LSF150" s="72"/>
      <c r="LSG150" s="72"/>
      <c r="LSH150" s="72"/>
      <c r="LSI150" s="72"/>
      <c r="LSJ150" s="72"/>
      <c r="LSK150" s="72"/>
      <c r="LSL150" s="72"/>
      <c r="LSM150" s="72"/>
      <c r="LSN150" s="72"/>
      <c r="LSO150" s="72"/>
      <c r="LSP150" s="72"/>
      <c r="LSQ150" s="72"/>
      <c r="LSR150" s="72"/>
      <c r="LSS150" s="72"/>
      <c r="LST150" s="72"/>
      <c r="LSU150" s="72"/>
      <c r="LSV150" s="72"/>
      <c r="LSW150" s="72"/>
      <c r="LSX150" s="72"/>
      <c r="LSY150" s="72"/>
      <c r="LSZ150" s="72"/>
      <c r="LTA150" s="72"/>
      <c r="LTB150" s="72"/>
      <c r="LTC150" s="72"/>
      <c r="LTD150" s="72"/>
      <c r="LTE150" s="72"/>
      <c r="LTF150" s="72"/>
      <c r="LTG150" s="72"/>
      <c r="LTH150" s="72"/>
      <c r="LTI150" s="72"/>
      <c r="LTJ150" s="72"/>
      <c r="LTK150" s="72"/>
      <c r="LTL150" s="72"/>
      <c r="LTM150" s="72"/>
      <c r="LTN150" s="72"/>
      <c r="LTO150" s="72"/>
      <c r="LTP150" s="72"/>
      <c r="LTQ150" s="72"/>
      <c r="LTR150" s="72"/>
      <c r="LTS150" s="72"/>
      <c r="LTT150" s="72"/>
      <c r="LTU150" s="72"/>
      <c r="LTV150" s="72"/>
      <c r="LTW150" s="72"/>
      <c r="LTX150" s="72"/>
      <c r="LTY150" s="72"/>
      <c r="LTZ150" s="72"/>
      <c r="LUA150" s="72"/>
      <c r="LUB150" s="72"/>
      <c r="LUC150" s="72"/>
      <c r="LUD150" s="72"/>
      <c r="LUE150" s="72"/>
      <c r="LUF150" s="72"/>
      <c r="LUG150" s="72"/>
      <c r="LUH150" s="72"/>
      <c r="LUI150" s="72"/>
      <c r="LUJ150" s="72"/>
      <c r="LUK150" s="72"/>
      <c r="LUL150" s="72"/>
      <c r="LUM150" s="72"/>
      <c r="LUN150" s="72"/>
      <c r="LUO150" s="72"/>
      <c r="LUP150" s="72"/>
      <c r="LUQ150" s="72"/>
      <c r="LUR150" s="72"/>
      <c r="LUS150" s="72"/>
      <c r="LUT150" s="72"/>
      <c r="LUU150" s="72"/>
      <c r="LUV150" s="72"/>
      <c r="LUW150" s="72"/>
      <c r="LUX150" s="72"/>
      <c r="LUY150" s="72"/>
      <c r="LUZ150" s="72"/>
      <c r="LVA150" s="72"/>
      <c r="LVB150" s="72"/>
      <c r="LVC150" s="72"/>
      <c r="LVD150" s="72"/>
      <c r="LVE150" s="72"/>
      <c r="LVF150" s="72"/>
      <c r="LVG150" s="72"/>
      <c r="LVH150" s="72"/>
      <c r="LVI150" s="72"/>
      <c r="LVJ150" s="72"/>
      <c r="LVK150" s="72"/>
      <c r="LVL150" s="72"/>
      <c r="LVM150" s="72"/>
      <c r="LVN150" s="72"/>
      <c r="LVO150" s="72"/>
      <c r="LVP150" s="72"/>
      <c r="LVQ150" s="72"/>
      <c r="LVR150" s="72"/>
      <c r="LVS150" s="72"/>
      <c r="LVT150" s="72"/>
      <c r="LVU150" s="72"/>
      <c r="LVV150" s="72"/>
      <c r="LVW150" s="72"/>
      <c r="LVX150" s="72"/>
      <c r="LVY150" s="72"/>
      <c r="LVZ150" s="72"/>
      <c r="LWA150" s="72"/>
      <c r="LWB150" s="72"/>
      <c r="LWC150" s="72"/>
      <c r="LWD150" s="72"/>
      <c r="LWE150" s="72"/>
      <c r="LWF150" s="72"/>
      <c r="LWG150" s="72"/>
      <c r="LWH150" s="72"/>
      <c r="LWI150" s="72"/>
      <c r="LWJ150" s="72"/>
      <c r="LWK150" s="72"/>
      <c r="LWL150" s="72"/>
      <c r="LWM150" s="72"/>
      <c r="LWN150" s="72"/>
      <c r="LWO150" s="72"/>
      <c r="LWP150" s="72"/>
      <c r="LWQ150" s="72"/>
      <c r="LWR150" s="72"/>
      <c r="LWS150" s="72"/>
      <c r="LWT150" s="72"/>
      <c r="LWU150" s="72"/>
      <c r="LWV150" s="72"/>
      <c r="LWW150" s="72"/>
      <c r="LWX150" s="72"/>
      <c r="LWY150" s="72"/>
      <c r="LWZ150" s="72"/>
      <c r="LXA150" s="72"/>
      <c r="LXB150" s="72"/>
      <c r="LXC150" s="72"/>
      <c r="LXD150" s="72"/>
      <c r="LXE150" s="72"/>
      <c r="LXF150" s="72"/>
      <c r="LXG150" s="72"/>
      <c r="LXH150" s="72"/>
      <c r="LXI150" s="72"/>
      <c r="LXJ150" s="72"/>
      <c r="LXK150" s="72"/>
      <c r="LXL150" s="72"/>
      <c r="LXM150" s="72"/>
      <c r="LXN150" s="72"/>
      <c r="LXO150" s="72"/>
      <c r="LXP150" s="72"/>
      <c r="LXQ150" s="72"/>
      <c r="LXR150" s="72"/>
      <c r="LXS150" s="72"/>
      <c r="LXT150" s="72"/>
      <c r="LXU150" s="72"/>
      <c r="LXV150" s="72"/>
      <c r="LXW150" s="72"/>
      <c r="LXX150" s="72"/>
      <c r="LXY150" s="72"/>
      <c r="LXZ150" s="72"/>
      <c r="LYA150" s="72"/>
      <c r="LYB150" s="72"/>
      <c r="LYC150" s="72"/>
      <c r="LYD150" s="72"/>
      <c r="LYE150" s="72"/>
      <c r="LYF150" s="72"/>
      <c r="LYG150" s="72"/>
      <c r="LYH150" s="72"/>
      <c r="LYI150" s="72"/>
      <c r="LYJ150" s="72"/>
      <c r="LYK150" s="72"/>
      <c r="LYL150" s="72"/>
      <c r="LYM150" s="72"/>
      <c r="LYN150" s="72"/>
      <c r="LYO150" s="72"/>
      <c r="LYP150" s="72"/>
      <c r="LYQ150" s="72"/>
      <c r="LYR150" s="72"/>
      <c r="LYS150" s="72"/>
      <c r="LYT150" s="72"/>
      <c r="LYU150" s="72"/>
      <c r="LYV150" s="72"/>
      <c r="LYW150" s="72"/>
      <c r="LYX150" s="72"/>
      <c r="LYY150" s="72"/>
      <c r="LYZ150" s="72"/>
      <c r="LZA150" s="72"/>
      <c r="LZB150" s="72"/>
      <c r="LZC150" s="72"/>
      <c r="LZD150" s="72"/>
      <c r="LZE150" s="72"/>
      <c r="LZF150" s="72"/>
      <c r="LZG150" s="72"/>
      <c r="LZH150" s="72"/>
      <c r="LZI150" s="72"/>
      <c r="LZJ150" s="72"/>
      <c r="LZK150" s="72"/>
      <c r="LZL150" s="72"/>
      <c r="LZM150" s="72"/>
      <c r="LZN150" s="72"/>
      <c r="LZO150" s="72"/>
      <c r="LZP150" s="72"/>
      <c r="LZQ150" s="72"/>
      <c r="LZR150" s="72"/>
      <c r="LZS150" s="72"/>
      <c r="LZT150" s="72"/>
      <c r="LZU150" s="72"/>
      <c r="LZV150" s="72"/>
      <c r="LZW150" s="72"/>
      <c r="LZX150" s="72"/>
      <c r="LZY150" s="72"/>
      <c r="LZZ150" s="72"/>
      <c r="MAA150" s="72"/>
      <c r="MAB150" s="72"/>
      <c r="MAC150" s="72"/>
      <c r="MAD150" s="72"/>
      <c r="MAE150" s="72"/>
      <c r="MAF150" s="72"/>
      <c r="MAG150" s="72"/>
      <c r="MAH150" s="72"/>
      <c r="MAI150" s="72"/>
      <c r="MAJ150" s="72"/>
      <c r="MAK150" s="72"/>
      <c r="MAL150" s="72"/>
      <c r="MAM150" s="72"/>
      <c r="MAN150" s="72"/>
      <c r="MAO150" s="72"/>
      <c r="MAP150" s="72"/>
      <c r="MAQ150" s="72"/>
      <c r="MAR150" s="72"/>
      <c r="MAS150" s="72"/>
      <c r="MAT150" s="72"/>
      <c r="MAU150" s="72"/>
      <c r="MAV150" s="72"/>
      <c r="MAW150" s="72"/>
      <c r="MAX150" s="72"/>
      <c r="MAY150" s="72"/>
      <c r="MAZ150" s="72"/>
      <c r="MBA150" s="72"/>
      <c r="MBB150" s="72"/>
      <c r="MBC150" s="72"/>
      <c r="MBD150" s="72"/>
      <c r="MBE150" s="72"/>
      <c r="MBF150" s="72"/>
      <c r="MBG150" s="72"/>
      <c r="MBH150" s="72"/>
      <c r="MBI150" s="72"/>
      <c r="MBJ150" s="72"/>
      <c r="MBK150" s="72"/>
      <c r="MBL150" s="72"/>
      <c r="MBM150" s="72"/>
      <c r="MBN150" s="72"/>
      <c r="MBO150" s="72"/>
      <c r="MBP150" s="72"/>
      <c r="MBQ150" s="72"/>
      <c r="MBR150" s="72"/>
      <c r="MBS150" s="72"/>
      <c r="MBT150" s="72"/>
      <c r="MBU150" s="72"/>
      <c r="MBV150" s="72"/>
      <c r="MBW150" s="72"/>
      <c r="MBX150" s="72"/>
      <c r="MBY150" s="72"/>
      <c r="MBZ150" s="72"/>
      <c r="MCA150" s="72"/>
      <c r="MCB150" s="72"/>
      <c r="MCC150" s="72"/>
      <c r="MCD150" s="72"/>
      <c r="MCE150" s="72"/>
      <c r="MCF150" s="72"/>
      <c r="MCG150" s="72"/>
      <c r="MCH150" s="72"/>
      <c r="MCI150" s="72"/>
      <c r="MCJ150" s="72"/>
      <c r="MCK150" s="72"/>
      <c r="MCL150" s="72"/>
      <c r="MCM150" s="72"/>
      <c r="MCN150" s="72"/>
      <c r="MCO150" s="72"/>
      <c r="MCP150" s="72"/>
      <c r="MCQ150" s="72"/>
      <c r="MCR150" s="72"/>
      <c r="MCS150" s="72"/>
      <c r="MCT150" s="72"/>
      <c r="MCU150" s="72"/>
      <c r="MCV150" s="72"/>
      <c r="MCW150" s="72"/>
      <c r="MCX150" s="72"/>
      <c r="MCY150" s="72"/>
      <c r="MCZ150" s="72"/>
      <c r="MDA150" s="72"/>
      <c r="MDB150" s="72"/>
      <c r="MDC150" s="72"/>
      <c r="MDD150" s="72"/>
      <c r="MDE150" s="72"/>
      <c r="MDF150" s="72"/>
      <c r="MDG150" s="72"/>
      <c r="MDH150" s="72"/>
      <c r="MDI150" s="72"/>
      <c r="MDJ150" s="72"/>
      <c r="MDK150" s="72"/>
      <c r="MDL150" s="72"/>
      <c r="MDM150" s="72"/>
      <c r="MDN150" s="72"/>
      <c r="MDO150" s="72"/>
      <c r="MDP150" s="72"/>
      <c r="MDQ150" s="72"/>
      <c r="MDR150" s="72"/>
      <c r="MDS150" s="72"/>
      <c r="MDT150" s="72"/>
      <c r="MDU150" s="72"/>
      <c r="MDV150" s="72"/>
      <c r="MDW150" s="72"/>
      <c r="MDX150" s="72"/>
      <c r="MDY150" s="72"/>
      <c r="MDZ150" s="72"/>
      <c r="MEA150" s="72"/>
      <c r="MEB150" s="72"/>
      <c r="MEC150" s="72"/>
      <c r="MED150" s="72"/>
      <c r="MEE150" s="72"/>
      <c r="MEF150" s="72"/>
      <c r="MEG150" s="72"/>
      <c r="MEH150" s="72"/>
      <c r="MEI150" s="72"/>
      <c r="MEJ150" s="72"/>
      <c r="MEK150" s="72"/>
      <c r="MEL150" s="72"/>
      <c r="MEM150" s="72"/>
      <c r="MEN150" s="72"/>
      <c r="MEO150" s="72"/>
      <c r="MEP150" s="72"/>
      <c r="MEQ150" s="72"/>
      <c r="MER150" s="72"/>
      <c r="MES150" s="72"/>
      <c r="MET150" s="72"/>
      <c r="MEU150" s="72"/>
      <c r="MEV150" s="72"/>
      <c r="MEW150" s="72"/>
      <c r="MEX150" s="72"/>
      <c r="MEY150" s="72"/>
      <c r="MEZ150" s="72"/>
      <c r="MFA150" s="72"/>
      <c r="MFB150" s="72"/>
      <c r="MFC150" s="72"/>
      <c r="MFD150" s="72"/>
      <c r="MFE150" s="72"/>
      <c r="MFF150" s="72"/>
      <c r="MFG150" s="72"/>
      <c r="MFH150" s="72"/>
      <c r="MFI150" s="72"/>
      <c r="MFJ150" s="72"/>
      <c r="MFK150" s="72"/>
      <c r="MFL150" s="72"/>
      <c r="MFM150" s="72"/>
      <c r="MFN150" s="72"/>
      <c r="MFO150" s="72"/>
      <c r="MFP150" s="72"/>
      <c r="MFQ150" s="72"/>
      <c r="MFR150" s="72"/>
      <c r="MFS150" s="72"/>
      <c r="MFT150" s="72"/>
      <c r="MFU150" s="72"/>
      <c r="MFV150" s="72"/>
      <c r="MFW150" s="72"/>
      <c r="MFX150" s="72"/>
      <c r="MFY150" s="72"/>
      <c r="MFZ150" s="72"/>
      <c r="MGA150" s="72"/>
      <c r="MGB150" s="72"/>
      <c r="MGC150" s="72"/>
      <c r="MGD150" s="72"/>
      <c r="MGE150" s="72"/>
      <c r="MGF150" s="72"/>
      <c r="MGG150" s="72"/>
      <c r="MGH150" s="72"/>
      <c r="MGI150" s="72"/>
      <c r="MGJ150" s="72"/>
      <c r="MGK150" s="72"/>
      <c r="MGL150" s="72"/>
      <c r="MGM150" s="72"/>
      <c r="MGN150" s="72"/>
      <c r="MGO150" s="72"/>
      <c r="MGP150" s="72"/>
      <c r="MGQ150" s="72"/>
      <c r="MGR150" s="72"/>
      <c r="MGS150" s="72"/>
      <c r="MGT150" s="72"/>
      <c r="MGU150" s="72"/>
      <c r="MGV150" s="72"/>
      <c r="MGW150" s="72"/>
      <c r="MGX150" s="72"/>
      <c r="MGY150" s="72"/>
      <c r="MGZ150" s="72"/>
      <c r="MHA150" s="72"/>
      <c r="MHB150" s="72"/>
      <c r="MHC150" s="72"/>
      <c r="MHD150" s="72"/>
      <c r="MHE150" s="72"/>
      <c r="MHF150" s="72"/>
      <c r="MHG150" s="72"/>
      <c r="MHH150" s="72"/>
      <c r="MHI150" s="72"/>
      <c r="MHJ150" s="72"/>
      <c r="MHK150" s="72"/>
      <c r="MHL150" s="72"/>
      <c r="MHM150" s="72"/>
      <c r="MHN150" s="72"/>
      <c r="MHO150" s="72"/>
      <c r="MHP150" s="72"/>
      <c r="MHQ150" s="72"/>
      <c r="MHR150" s="72"/>
      <c r="MHS150" s="72"/>
      <c r="MHT150" s="72"/>
      <c r="MHU150" s="72"/>
      <c r="MHV150" s="72"/>
      <c r="MHW150" s="72"/>
      <c r="MHX150" s="72"/>
      <c r="MHY150" s="72"/>
      <c r="MHZ150" s="72"/>
      <c r="MIA150" s="72"/>
      <c r="MIB150" s="72"/>
      <c r="MIC150" s="72"/>
      <c r="MID150" s="72"/>
      <c r="MIE150" s="72"/>
      <c r="MIF150" s="72"/>
      <c r="MIG150" s="72"/>
      <c r="MIH150" s="72"/>
      <c r="MII150" s="72"/>
      <c r="MIJ150" s="72"/>
      <c r="MIK150" s="72"/>
      <c r="MIL150" s="72"/>
      <c r="MIM150" s="72"/>
      <c r="MIN150" s="72"/>
      <c r="MIO150" s="72"/>
      <c r="MIP150" s="72"/>
      <c r="MIQ150" s="72"/>
      <c r="MIR150" s="72"/>
      <c r="MIS150" s="72"/>
      <c r="MIT150" s="72"/>
      <c r="MIU150" s="72"/>
      <c r="MIV150" s="72"/>
      <c r="MIW150" s="72"/>
      <c r="MIX150" s="72"/>
      <c r="MIY150" s="72"/>
      <c r="MIZ150" s="72"/>
      <c r="MJA150" s="72"/>
      <c r="MJB150" s="72"/>
      <c r="MJC150" s="72"/>
      <c r="MJD150" s="72"/>
      <c r="MJE150" s="72"/>
      <c r="MJF150" s="72"/>
      <c r="MJG150" s="72"/>
      <c r="MJH150" s="72"/>
      <c r="MJI150" s="72"/>
      <c r="MJJ150" s="72"/>
      <c r="MJK150" s="72"/>
      <c r="MJL150" s="72"/>
      <c r="MJM150" s="72"/>
      <c r="MJN150" s="72"/>
      <c r="MJO150" s="72"/>
      <c r="MJP150" s="72"/>
      <c r="MJQ150" s="72"/>
      <c r="MJR150" s="72"/>
      <c r="MJS150" s="72"/>
      <c r="MJT150" s="72"/>
      <c r="MJU150" s="72"/>
      <c r="MJV150" s="72"/>
      <c r="MJW150" s="72"/>
      <c r="MJX150" s="72"/>
      <c r="MJY150" s="72"/>
      <c r="MJZ150" s="72"/>
      <c r="MKA150" s="72"/>
      <c r="MKB150" s="72"/>
      <c r="MKC150" s="72"/>
      <c r="MKD150" s="72"/>
      <c r="MKE150" s="72"/>
      <c r="MKF150" s="72"/>
      <c r="MKG150" s="72"/>
      <c r="MKH150" s="72"/>
      <c r="MKI150" s="72"/>
      <c r="MKJ150" s="72"/>
      <c r="MKK150" s="72"/>
      <c r="MKL150" s="72"/>
      <c r="MKM150" s="72"/>
      <c r="MKN150" s="72"/>
      <c r="MKO150" s="72"/>
      <c r="MKP150" s="72"/>
      <c r="MKQ150" s="72"/>
      <c r="MKR150" s="72"/>
      <c r="MKS150" s="72"/>
      <c r="MKT150" s="72"/>
      <c r="MKU150" s="72"/>
      <c r="MKV150" s="72"/>
      <c r="MKW150" s="72"/>
      <c r="MKX150" s="72"/>
      <c r="MKY150" s="72"/>
      <c r="MKZ150" s="72"/>
      <c r="MLA150" s="72"/>
      <c r="MLB150" s="72"/>
      <c r="MLC150" s="72"/>
      <c r="MLD150" s="72"/>
      <c r="MLE150" s="72"/>
      <c r="MLF150" s="72"/>
      <c r="MLG150" s="72"/>
      <c r="MLH150" s="72"/>
      <c r="MLI150" s="72"/>
      <c r="MLJ150" s="72"/>
      <c r="MLK150" s="72"/>
      <c r="MLL150" s="72"/>
      <c r="MLM150" s="72"/>
      <c r="MLN150" s="72"/>
      <c r="MLO150" s="72"/>
      <c r="MLP150" s="72"/>
      <c r="MLQ150" s="72"/>
      <c r="MLR150" s="72"/>
      <c r="MLS150" s="72"/>
      <c r="MLT150" s="72"/>
      <c r="MLU150" s="72"/>
      <c r="MLV150" s="72"/>
      <c r="MLW150" s="72"/>
      <c r="MLX150" s="72"/>
      <c r="MLY150" s="72"/>
      <c r="MLZ150" s="72"/>
      <c r="MMA150" s="72"/>
      <c r="MMB150" s="72"/>
      <c r="MMC150" s="72"/>
      <c r="MMD150" s="72"/>
      <c r="MME150" s="72"/>
      <c r="MMF150" s="72"/>
      <c r="MMG150" s="72"/>
      <c r="MMH150" s="72"/>
      <c r="MMI150" s="72"/>
      <c r="MMJ150" s="72"/>
      <c r="MMK150" s="72"/>
      <c r="MML150" s="72"/>
      <c r="MMM150" s="72"/>
      <c r="MMN150" s="72"/>
      <c r="MMO150" s="72"/>
      <c r="MMP150" s="72"/>
      <c r="MMQ150" s="72"/>
      <c r="MMR150" s="72"/>
      <c r="MMS150" s="72"/>
      <c r="MMT150" s="72"/>
      <c r="MMU150" s="72"/>
      <c r="MMV150" s="72"/>
      <c r="MMW150" s="72"/>
      <c r="MMX150" s="72"/>
      <c r="MMY150" s="72"/>
      <c r="MMZ150" s="72"/>
      <c r="MNA150" s="72"/>
      <c r="MNB150" s="72"/>
      <c r="MNC150" s="72"/>
      <c r="MND150" s="72"/>
      <c r="MNE150" s="72"/>
      <c r="MNF150" s="72"/>
      <c r="MNG150" s="72"/>
      <c r="MNH150" s="72"/>
      <c r="MNI150" s="72"/>
      <c r="MNJ150" s="72"/>
      <c r="MNK150" s="72"/>
      <c r="MNL150" s="72"/>
      <c r="MNM150" s="72"/>
      <c r="MNN150" s="72"/>
      <c r="MNO150" s="72"/>
      <c r="MNP150" s="72"/>
      <c r="MNQ150" s="72"/>
      <c r="MNR150" s="72"/>
      <c r="MNS150" s="72"/>
      <c r="MNT150" s="72"/>
      <c r="MNU150" s="72"/>
      <c r="MNV150" s="72"/>
      <c r="MNW150" s="72"/>
      <c r="MNX150" s="72"/>
      <c r="MNY150" s="72"/>
      <c r="MNZ150" s="72"/>
      <c r="MOA150" s="72"/>
      <c r="MOB150" s="72"/>
      <c r="MOC150" s="72"/>
      <c r="MOD150" s="72"/>
      <c r="MOE150" s="72"/>
      <c r="MOF150" s="72"/>
      <c r="MOG150" s="72"/>
      <c r="MOH150" s="72"/>
      <c r="MOI150" s="72"/>
      <c r="MOJ150" s="72"/>
      <c r="MOK150" s="72"/>
      <c r="MOL150" s="72"/>
      <c r="MOM150" s="72"/>
      <c r="MON150" s="72"/>
      <c r="MOO150" s="72"/>
      <c r="MOP150" s="72"/>
      <c r="MOQ150" s="72"/>
      <c r="MOR150" s="72"/>
      <c r="MOS150" s="72"/>
      <c r="MOT150" s="72"/>
      <c r="MOU150" s="72"/>
      <c r="MOV150" s="72"/>
      <c r="MOW150" s="72"/>
      <c r="MOX150" s="72"/>
      <c r="MOY150" s="72"/>
      <c r="MOZ150" s="72"/>
      <c r="MPA150" s="72"/>
      <c r="MPB150" s="72"/>
      <c r="MPC150" s="72"/>
      <c r="MPD150" s="72"/>
      <c r="MPE150" s="72"/>
      <c r="MPF150" s="72"/>
      <c r="MPG150" s="72"/>
      <c r="MPH150" s="72"/>
      <c r="MPI150" s="72"/>
      <c r="MPJ150" s="72"/>
      <c r="MPK150" s="72"/>
      <c r="MPL150" s="72"/>
      <c r="MPM150" s="72"/>
      <c r="MPN150" s="72"/>
      <c r="MPO150" s="72"/>
      <c r="MPP150" s="72"/>
      <c r="MPQ150" s="72"/>
      <c r="MPR150" s="72"/>
      <c r="MPS150" s="72"/>
      <c r="MPT150" s="72"/>
      <c r="MPU150" s="72"/>
      <c r="MPV150" s="72"/>
      <c r="MPW150" s="72"/>
      <c r="MPX150" s="72"/>
      <c r="MPY150" s="72"/>
      <c r="MPZ150" s="72"/>
      <c r="MQA150" s="72"/>
      <c r="MQB150" s="72"/>
      <c r="MQC150" s="72"/>
      <c r="MQD150" s="72"/>
      <c r="MQE150" s="72"/>
      <c r="MQF150" s="72"/>
      <c r="MQG150" s="72"/>
      <c r="MQH150" s="72"/>
      <c r="MQI150" s="72"/>
      <c r="MQJ150" s="72"/>
      <c r="MQK150" s="72"/>
      <c r="MQL150" s="72"/>
      <c r="MQM150" s="72"/>
      <c r="MQN150" s="72"/>
      <c r="MQO150" s="72"/>
      <c r="MQP150" s="72"/>
      <c r="MQQ150" s="72"/>
      <c r="MQR150" s="72"/>
      <c r="MQS150" s="72"/>
      <c r="MQT150" s="72"/>
      <c r="MQU150" s="72"/>
      <c r="MQV150" s="72"/>
      <c r="MQW150" s="72"/>
      <c r="MQX150" s="72"/>
      <c r="MQY150" s="72"/>
      <c r="MQZ150" s="72"/>
      <c r="MRA150" s="72"/>
      <c r="MRB150" s="72"/>
      <c r="MRC150" s="72"/>
      <c r="MRD150" s="72"/>
      <c r="MRE150" s="72"/>
      <c r="MRF150" s="72"/>
      <c r="MRG150" s="72"/>
      <c r="MRH150" s="72"/>
      <c r="MRI150" s="72"/>
      <c r="MRJ150" s="72"/>
      <c r="MRK150" s="72"/>
      <c r="MRL150" s="72"/>
      <c r="MRM150" s="72"/>
      <c r="MRN150" s="72"/>
      <c r="MRO150" s="72"/>
      <c r="MRP150" s="72"/>
      <c r="MRQ150" s="72"/>
      <c r="MRR150" s="72"/>
      <c r="MRS150" s="72"/>
      <c r="MRT150" s="72"/>
      <c r="MRU150" s="72"/>
      <c r="MRV150" s="72"/>
      <c r="MRW150" s="72"/>
      <c r="MRX150" s="72"/>
      <c r="MRY150" s="72"/>
      <c r="MRZ150" s="72"/>
      <c r="MSA150" s="72"/>
      <c r="MSB150" s="72"/>
      <c r="MSC150" s="72"/>
      <c r="MSD150" s="72"/>
      <c r="MSE150" s="72"/>
      <c r="MSF150" s="72"/>
      <c r="MSG150" s="72"/>
      <c r="MSH150" s="72"/>
      <c r="MSI150" s="72"/>
      <c r="MSJ150" s="72"/>
      <c r="MSK150" s="72"/>
      <c r="MSL150" s="72"/>
      <c r="MSM150" s="72"/>
      <c r="MSN150" s="72"/>
      <c r="MSO150" s="72"/>
      <c r="MSP150" s="72"/>
      <c r="MSQ150" s="72"/>
      <c r="MSR150" s="72"/>
      <c r="MSS150" s="72"/>
      <c r="MST150" s="72"/>
      <c r="MSU150" s="72"/>
      <c r="MSV150" s="72"/>
      <c r="MSW150" s="72"/>
      <c r="MSX150" s="72"/>
      <c r="MSY150" s="72"/>
      <c r="MSZ150" s="72"/>
      <c r="MTA150" s="72"/>
      <c r="MTB150" s="72"/>
      <c r="MTC150" s="72"/>
      <c r="MTD150" s="72"/>
      <c r="MTE150" s="72"/>
      <c r="MTF150" s="72"/>
      <c r="MTG150" s="72"/>
      <c r="MTH150" s="72"/>
      <c r="MTI150" s="72"/>
      <c r="MTJ150" s="72"/>
      <c r="MTK150" s="72"/>
      <c r="MTL150" s="72"/>
      <c r="MTM150" s="72"/>
      <c r="MTN150" s="72"/>
      <c r="MTO150" s="72"/>
      <c r="MTP150" s="72"/>
      <c r="MTQ150" s="72"/>
      <c r="MTR150" s="72"/>
      <c r="MTS150" s="72"/>
      <c r="MTT150" s="72"/>
      <c r="MTU150" s="72"/>
      <c r="MTV150" s="72"/>
      <c r="MTW150" s="72"/>
      <c r="MTX150" s="72"/>
      <c r="MTY150" s="72"/>
      <c r="MTZ150" s="72"/>
      <c r="MUA150" s="72"/>
      <c r="MUB150" s="72"/>
      <c r="MUC150" s="72"/>
      <c r="MUD150" s="72"/>
      <c r="MUE150" s="72"/>
      <c r="MUF150" s="72"/>
      <c r="MUG150" s="72"/>
      <c r="MUH150" s="72"/>
      <c r="MUI150" s="72"/>
      <c r="MUJ150" s="72"/>
      <c r="MUK150" s="72"/>
      <c r="MUL150" s="72"/>
      <c r="MUM150" s="72"/>
      <c r="MUN150" s="72"/>
      <c r="MUO150" s="72"/>
      <c r="MUP150" s="72"/>
      <c r="MUQ150" s="72"/>
      <c r="MUR150" s="72"/>
      <c r="MUS150" s="72"/>
      <c r="MUT150" s="72"/>
      <c r="MUU150" s="72"/>
      <c r="MUV150" s="72"/>
      <c r="MUW150" s="72"/>
      <c r="MUX150" s="72"/>
      <c r="MUY150" s="72"/>
      <c r="MUZ150" s="72"/>
      <c r="MVA150" s="72"/>
      <c r="MVB150" s="72"/>
      <c r="MVC150" s="72"/>
      <c r="MVD150" s="72"/>
      <c r="MVE150" s="72"/>
      <c r="MVF150" s="72"/>
      <c r="MVG150" s="72"/>
      <c r="MVH150" s="72"/>
      <c r="MVI150" s="72"/>
      <c r="MVJ150" s="72"/>
      <c r="MVK150" s="72"/>
      <c r="MVL150" s="72"/>
      <c r="MVM150" s="72"/>
      <c r="MVN150" s="72"/>
      <c r="MVO150" s="72"/>
      <c r="MVP150" s="72"/>
      <c r="MVQ150" s="72"/>
      <c r="MVR150" s="72"/>
      <c r="MVS150" s="72"/>
      <c r="MVT150" s="72"/>
      <c r="MVU150" s="72"/>
      <c r="MVV150" s="72"/>
      <c r="MVW150" s="72"/>
      <c r="MVX150" s="72"/>
      <c r="MVY150" s="72"/>
      <c r="MVZ150" s="72"/>
      <c r="MWA150" s="72"/>
      <c r="MWB150" s="72"/>
      <c r="MWC150" s="72"/>
      <c r="MWD150" s="72"/>
      <c r="MWE150" s="72"/>
      <c r="MWF150" s="72"/>
      <c r="MWG150" s="72"/>
      <c r="MWH150" s="72"/>
      <c r="MWI150" s="72"/>
      <c r="MWJ150" s="72"/>
      <c r="MWK150" s="72"/>
      <c r="MWL150" s="72"/>
      <c r="MWM150" s="72"/>
      <c r="MWN150" s="72"/>
      <c r="MWO150" s="72"/>
      <c r="MWP150" s="72"/>
      <c r="MWQ150" s="72"/>
      <c r="MWR150" s="72"/>
      <c r="MWS150" s="72"/>
      <c r="MWT150" s="72"/>
      <c r="MWU150" s="72"/>
      <c r="MWV150" s="72"/>
      <c r="MWW150" s="72"/>
      <c r="MWX150" s="72"/>
      <c r="MWY150" s="72"/>
      <c r="MWZ150" s="72"/>
      <c r="MXA150" s="72"/>
      <c r="MXB150" s="72"/>
      <c r="MXC150" s="72"/>
      <c r="MXD150" s="72"/>
      <c r="MXE150" s="72"/>
      <c r="MXF150" s="72"/>
      <c r="MXG150" s="72"/>
      <c r="MXH150" s="72"/>
      <c r="MXI150" s="72"/>
      <c r="MXJ150" s="72"/>
      <c r="MXK150" s="72"/>
      <c r="MXL150" s="72"/>
      <c r="MXM150" s="72"/>
      <c r="MXN150" s="72"/>
      <c r="MXO150" s="72"/>
      <c r="MXP150" s="72"/>
      <c r="MXQ150" s="72"/>
      <c r="MXR150" s="72"/>
      <c r="MXS150" s="72"/>
      <c r="MXT150" s="72"/>
      <c r="MXU150" s="72"/>
      <c r="MXV150" s="72"/>
      <c r="MXW150" s="72"/>
      <c r="MXX150" s="72"/>
      <c r="MXY150" s="72"/>
      <c r="MXZ150" s="72"/>
      <c r="MYA150" s="72"/>
      <c r="MYB150" s="72"/>
      <c r="MYC150" s="72"/>
      <c r="MYD150" s="72"/>
      <c r="MYE150" s="72"/>
      <c r="MYF150" s="72"/>
      <c r="MYG150" s="72"/>
      <c r="MYH150" s="72"/>
      <c r="MYI150" s="72"/>
      <c r="MYJ150" s="72"/>
      <c r="MYK150" s="72"/>
      <c r="MYL150" s="72"/>
      <c r="MYM150" s="72"/>
      <c r="MYN150" s="72"/>
      <c r="MYO150" s="72"/>
      <c r="MYP150" s="72"/>
      <c r="MYQ150" s="72"/>
      <c r="MYR150" s="72"/>
      <c r="MYS150" s="72"/>
      <c r="MYT150" s="72"/>
      <c r="MYU150" s="72"/>
      <c r="MYV150" s="72"/>
      <c r="MYW150" s="72"/>
      <c r="MYX150" s="72"/>
      <c r="MYY150" s="72"/>
      <c r="MYZ150" s="72"/>
      <c r="MZA150" s="72"/>
      <c r="MZB150" s="72"/>
      <c r="MZC150" s="72"/>
      <c r="MZD150" s="72"/>
      <c r="MZE150" s="72"/>
      <c r="MZF150" s="72"/>
      <c r="MZG150" s="72"/>
      <c r="MZH150" s="72"/>
      <c r="MZI150" s="72"/>
      <c r="MZJ150" s="72"/>
      <c r="MZK150" s="72"/>
      <c r="MZL150" s="72"/>
      <c r="MZM150" s="72"/>
      <c r="MZN150" s="72"/>
      <c r="MZO150" s="72"/>
      <c r="MZP150" s="72"/>
      <c r="MZQ150" s="72"/>
      <c r="MZR150" s="72"/>
      <c r="MZS150" s="72"/>
      <c r="MZT150" s="72"/>
      <c r="MZU150" s="72"/>
      <c r="MZV150" s="72"/>
      <c r="MZW150" s="72"/>
      <c r="MZX150" s="72"/>
      <c r="MZY150" s="72"/>
      <c r="MZZ150" s="72"/>
      <c r="NAA150" s="72"/>
      <c r="NAB150" s="72"/>
      <c r="NAC150" s="72"/>
      <c r="NAD150" s="72"/>
      <c r="NAE150" s="72"/>
      <c r="NAF150" s="72"/>
      <c r="NAG150" s="72"/>
      <c r="NAH150" s="72"/>
      <c r="NAI150" s="72"/>
      <c r="NAJ150" s="72"/>
      <c r="NAK150" s="72"/>
      <c r="NAL150" s="72"/>
      <c r="NAM150" s="72"/>
      <c r="NAN150" s="72"/>
      <c r="NAO150" s="72"/>
      <c r="NAP150" s="72"/>
      <c r="NAQ150" s="72"/>
      <c r="NAR150" s="72"/>
      <c r="NAS150" s="72"/>
      <c r="NAT150" s="72"/>
      <c r="NAU150" s="72"/>
      <c r="NAV150" s="72"/>
      <c r="NAW150" s="72"/>
      <c r="NAX150" s="72"/>
      <c r="NAY150" s="72"/>
      <c r="NAZ150" s="72"/>
      <c r="NBA150" s="72"/>
      <c r="NBB150" s="72"/>
      <c r="NBC150" s="72"/>
      <c r="NBD150" s="72"/>
      <c r="NBE150" s="72"/>
      <c r="NBF150" s="72"/>
      <c r="NBG150" s="72"/>
      <c r="NBH150" s="72"/>
      <c r="NBI150" s="72"/>
      <c r="NBJ150" s="72"/>
      <c r="NBK150" s="72"/>
      <c r="NBL150" s="72"/>
      <c r="NBM150" s="72"/>
      <c r="NBN150" s="72"/>
      <c r="NBO150" s="72"/>
      <c r="NBP150" s="72"/>
      <c r="NBQ150" s="72"/>
      <c r="NBR150" s="72"/>
      <c r="NBS150" s="72"/>
      <c r="NBT150" s="72"/>
      <c r="NBU150" s="72"/>
      <c r="NBV150" s="72"/>
      <c r="NBW150" s="72"/>
      <c r="NBX150" s="72"/>
      <c r="NBY150" s="72"/>
      <c r="NBZ150" s="72"/>
      <c r="NCA150" s="72"/>
      <c r="NCB150" s="72"/>
      <c r="NCC150" s="72"/>
      <c r="NCD150" s="72"/>
      <c r="NCE150" s="72"/>
      <c r="NCF150" s="72"/>
      <c r="NCG150" s="72"/>
      <c r="NCH150" s="72"/>
      <c r="NCI150" s="72"/>
      <c r="NCJ150" s="72"/>
      <c r="NCK150" s="72"/>
      <c r="NCL150" s="72"/>
      <c r="NCM150" s="72"/>
      <c r="NCN150" s="72"/>
      <c r="NCO150" s="72"/>
      <c r="NCP150" s="72"/>
      <c r="NCQ150" s="72"/>
      <c r="NCR150" s="72"/>
      <c r="NCS150" s="72"/>
      <c r="NCT150" s="72"/>
      <c r="NCU150" s="72"/>
      <c r="NCV150" s="72"/>
      <c r="NCW150" s="72"/>
      <c r="NCX150" s="72"/>
      <c r="NCY150" s="72"/>
      <c r="NCZ150" s="72"/>
      <c r="NDA150" s="72"/>
      <c r="NDB150" s="72"/>
      <c r="NDC150" s="72"/>
      <c r="NDD150" s="72"/>
      <c r="NDE150" s="72"/>
      <c r="NDF150" s="72"/>
      <c r="NDG150" s="72"/>
      <c r="NDH150" s="72"/>
      <c r="NDI150" s="72"/>
      <c r="NDJ150" s="72"/>
      <c r="NDK150" s="72"/>
      <c r="NDL150" s="72"/>
      <c r="NDM150" s="72"/>
      <c r="NDN150" s="72"/>
      <c r="NDO150" s="72"/>
      <c r="NDP150" s="72"/>
      <c r="NDQ150" s="72"/>
      <c r="NDR150" s="72"/>
      <c r="NDS150" s="72"/>
      <c r="NDT150" s="72"/>
      <c r="NDU150" s="72"/>
      <c r="NDV150" s="72"/>
      <c r="NDW150" s="72"/>
      <c r="NDX150" s="72"/>
      <c r="NDY150" s="72"/>
      <c r="NDZ150" s="72"/>
      <c r="NEA150" s="72"/>
      <c r="NEB150" s="72"/>
      <c r="NEC150" s="72"/>
      <c r="NED150" s="72"/>
      <c r="NEE150" s="72"/>
      <c r="NEF150" s="72"/>
      <c r="NEG150" s="72"/>
      <c r="NEH150" s="72"/>
      <c r="NEI150" s="72"/>
      <c r="NEJ150" s="72"/>
      <c r="NEK150" s="72"/>
      <c r="NEL150" s="72"/>
      <c r="NEM150" s="72"/>
      <c r="NEN150" s="72"/>
      <c r="NEO150" s="72"/>
      <c r="NEP150" s="72"/>
      <c r="NEQ150" s="72"/>
      <c r="NER150" s="72"/>
      <c r="NES150" s="72"/>
      <c r="NET150" s="72"/>
      <c r="NEU150" s="72"/>
      <c r="NEV150" s="72"/>
      <c r="NEW150" s="72"/>
      <c r="NEX150" s="72"/>
      <c r="NEY150" s="72"/>
      <c r="NEZ150" s="72"/>
      <c r="NFA150" s="72"/>
      <c r="NFB150" s="72"/>
      <c r="NFC150" s="72"/>
      <c r="NFD150" s="72"/>
      <c r="NFE150" s="72"/>
      <c r="NFF150" s="72"/>
      <c r="NFG150" s="72"/>
      <c r="NFH150" s="72"/>
      <c r="NFI150" s="72"/>
      <c r="NFJ150" s="72"/>
      <c r="NFK150" s="72"/>
      <c r="NFL150" s="72"/>
      <c r="NFM150" s="72"/>
      <c r="NFN150" s="72"/>
      <c r="NFO150" s="72"/>
      <c r="NFP150" s="72"/>
      <c r="NFQ150" s="72"/>
      <c r="NFR150" s="72"/>
      <c r="NFS150" s="72"/>
      <c r="NFT150" s="72"/>
      <c r="NFU150" s="72"/>
      <c r="NFV150" s="72"/>
      <c r="NFW150" s="72"/>
      <c r="NFX150" s="72"/>
      <c r="NFY150" s="72"/>
      <c r="NFZ150" s="72"/>
      <c r="NGA150" s="72"/>
      <c r="NGB150" s="72"/>
      <c r="NGC150" s="72"/>
      <c r="NGD150" s="72"/>
      <c r="NGE150" s="72"/>
      <c r="NGF150" s="72"/>
      <c r="NGG150" s="72"/>
      <c r="NGH150" s="72"/>
      <c r="NGI150" s="72"/>
      <c r="NGJ150" s="72"/>
      <c r="NGK150" s="72"/>
      <c r="NGL150" s="72"/>
      <c r="NGM150" s="72"/>
      <c r="NGN150" s="72"/>
      <c r="NGO150" s="72"/>
      <c r="NGP150" s="72"/>
      <c r="NGQ150" s="72"/>
      <c r="NGR150" s="72"/>
      <c r="NGS150" s="72"/>
      <c r="NGT150" s="72"/>
      <c r="NGU150" s="72"/>
      <c r="NGV150" s="72"/>
      <c r="NGW150" s="72"/>
      <c r="NGX150" s="72"/>
      <c r="NGY150" s="72"/>
      <c r="NGZ150" s="72"/>
      <c r="NHA150" s="72"/>
      <c r="NHB150" s="72"/>
      <c r="NHC150" s="72"/>
      <c r="NHD150" s="72"/>
      <c r="NHE150" s="72"/>
      <c r="NHF150" s="72"/>
      <c r="NHG150" s="72"/>
      <c r="NHH150" s="72"/>
      <c r="NHI150" s="72"/>
      <c r="NHJ150" s="72"/>
      <c r="NHK150" s="72"/>
      <c r="NHL150" s="72"/>
      <c r="NHM150" s="72"/>
      <c r="NHN150" s="72"/>
      <c r="NHO150" s="72"/>
      <c r="NHP150" s="72"/>
      <c r="NHQ150" s="72"/>
      <c r="NHR150" s="72"/>
      <c r="NHS150" s="72"/>
      <c r="NHT150" s="72"/>
      <c r="NHU150" s="72"/>
      <c r="NHV150" s="72"/>
      <c r="NHW150" s="72"/>
      <c r="NHX150" s="72"/>
      <c r="NHY150" s="72"/>
      <c r="NHZ150" s="72"/>
      <c r="NIA150" s="72"/>
      <c r="NIB150" s="72"/>
      <c r="NIC150" s="72"/>
      <c r="NID150" s="72"/>
      <c r="NIE150" s="72"/>
      <c r="NIF150" s="72"/>
      <c r="NIG150" s="72"/>
      <c r="NIH150" s="72"/>
      <c r="NII150" s="72"/>
      <c r="NIJ150" s="72"/>
      <c r="NIK150" s="72"/>
      <c r="NIL150" s="72"/>
      <c r="NIM150" s="72"/>
      <c r="NIN150" s="72"/>
      <c r="NIO150" s="72"/>
      <c r="NIP150" s="72"/>
      <c r="NIQ150" s="72"/>
      <c r="NIR150" s="72"/>
      <c r="NIS150" s="72"/>
      <c r="NIT150" s="72"/>
      <c r="NIU150" s="72"/>
      <c r="NIV150" s="72"/>
      <c r="NIW150" s="72"/>
      <c r="NIX150" s="72"/>
      <c r="NIY150" s="72"/>
      <c r="NIZ150" s="72"/>
      <c r="NJA150" s="72"/>
      <c r="NJB150" s="72"/>
      <c r="NJC150" s="72"/>
      <c r="NJD150" s="72"/>
      <c r="NJE150" s="72"/>
      <c r="NJF150" s="72"/>
      <c r="NJG150" s="72"/>
      <c r="NJH150" s="72"/>
      <c r="NJI150" s="72"/>
      <c r="NJJ150" s="72"/>
      <c r="NJK150" s="72"/>
      <c r="NJL150" s="72"/>
      <c r="NJM150" s="72"/>
      <c r="NJN150" s="72"/>
      <c r="NJO150" s="72"/>
      <c r="NJP150" s="72"/>
      <c r="NJQ150" s="72"/>
      <c r="NJR150" s="72"/>
      <c r="NJS150" s="72"/>
      <c r="NJT150" s="72"/>
      <c r="NJU150" s="72"/>
      <c r="NJV150" s="72"/>
      <c r="NJW150" s="72"/>
      <c r="NJX150" s="72"/>
      <c r="NJY150" s="72"/>
      <c r="NJZ150" s="72"/>
      <c r="NKA150" s="72"/>
      <c r="NKB150" s="72"/>
      <c r="NKC150" s="72"/>
      <c r="NKD150" s="72"/>
      <c r="NKE150" s="72"/>
      <c r="NKF150" s="72"/>
      <c r="NKG150" s="72"/>
      <c r="NKH150" s="72"/>
      <c r="NKI150" s="72"/>
      <c r="NKJ150" s="72"/>
      <c r="NKK150" s="72"/>
      <c r="NKL150" s="72"/>
      <c r="NKM150" s="72"/>
      <c r="NKN150" s="72"/>
      <c r="NKO150" s="72"/>
      <c r="NKP150" s="72"/>
      <c r="NKQ150" s="72"/>
      <c r="NKR150" s="72"/>
      <c r="NKS150" s="72"/>
      <c r="NKT150" s="72"/>
      <c r="NKU150" s="72"/>
      <c r="NKV150" s="72"/>
      <c r="NKW150" s="72"/>
      <c r="NKX150" s="72"/>
      <c r="NKY150" s="72"/>
      <c r="NKZ150" s="72"/>
      <c r="NLA150" s="72"/>
      <c r="NLB150" s="72"/>
      <c r="NLC150" s="72"/>
      <c r="NLD150" s="72"/>
      <c r="NLE150" s="72"/>
      <c r="NLF150" s="72"/>
      <c r="NLG150" s="72"/>
      <c r="NLH150" s="72"/>
      <c r="NLI150" s="72"/>
      <c r="NLJ150" s="72"/>
      <c r="NLK150" s="72"/>
      <c r="NLL150" s="72"/>
      <c r="NLM150" s="72"/>
      <c r="NLN150" s="72"/>
      <c r="NLO150" s="72"/>
      <c r="NLP150" s="72"/>
      <c r="NLQ150" s="72"/>
      <c r="NLR150" s="72"/>
      <c r="NLS150" s="72"/>
      <c r="NLT150" s="72"/>
      <c r="NLU150" s="72"/>
      <c r="NLV150" s="72"/>
      <c r="NLW150" s="72"/>
      <c r="NLX150" s="72"/>
      <c r="NLY150" s="72"/>
      <c r="NLZ150" s="72"/>
      <c r="NMA150" s="72"/>
      <c r="NMB150" s="72"/>
      <c r="NMC150" s="72"/>
      <c r="NMD150" s="72"/>
      <c r="NME150" s="72"/>
      <c r="NMF150" s="72"/>
      <c r="NMG150" s="72"/>
      <c r="NMH150" s="72"/>
      <c r="NMI150" s="72"/>
      <c r="NMJ150" s="72"/>
      <c r="NMK150" s="72"/>
      <c r="NML150" s="72"/>
      <c r="NMM150" s="72"/>
      <c r="NMN150" s="72"/>
      <c r="NMO150" s="72"/>
      <c r="NMP150" s="72"/>
      <c r="NMQ150" s="72"/>
      <c r="NMR150" s="72"/>
      <c r="NMS150" s="72"/>
      <c r="NMT150" s="72"/>
      <c r="NMU150" s="72"/>
      <c r="NMV150" s="72"/>
      <c r="NMW150" s="72"/>
      <c r="NMX150" s="72"/>
      <c r="NMY150" s="72"/>
      <c r="NMZ150" s="72"/>
      <c r="NNA150" s="72"/>
      <c r="NNB150" s="72"/>
      <c r="NNC150" s="72"/>
      <c r="NND150" s="72"/>
      <c r="NNE150" s="72"/>
      <c r="NNF150" s="72"/>
      <c r="NNG150" s="72"/>
      <c r="NNH150" s="72"/>
      <c r="NNI150" s="72"/>
      <c r="NNJ150" s="72"/>
      <c r="NNK150" s="72"/>
      <c r="NNL150" s="72"/>
      <c r="NNM150" s="72"/>
      <c r="NNN150" s="72"/>
      <c r="NNO150" s="72"/>
      <c r="NNP150" s="72"/>
      <c r="NNQ150" s="72"/>
      <c r="NNR150" s="72"/>
      <c r="NNS150" s="72"/>
      <c r="NNT150" s="72"/>
      <c r="NNU150" s="72"/>
      <c r="NNV150" s="72"/>
      <c r="NNW150" s="72"/>
      <c r="NNX150" s="72"/>
      <c r="NNY150" s="72"/>
      <c r="NNZ150" s="72"/>
      <c r="NOA150" s="72"/>
      <c r="NOB150" s="72"/>
      <c r="NOC150" s="72"/>
      <c r="NOD150" s="72"/>
      <c r="NOE150" s="72"/>
      <c r="NOF150" s="72"/>
      <c r="NOG150" s="72"/>
      <c r="NOH150" s="72"/>
      <c r="NOI150" s="72"/>
      <c r="NOJ150" s="72"/>
      <c r="NOK150" s="72"/>
      <c r="NOL150" s="72"/>
      <c r="NOM150" s="72"/>
      <c r="NON150" s="72"/>
      <c r="NOO150" s="72"/>
      <c r="NOP150" s="72"/>
      <c r="NOQ150" s="72"/>
      <c r="NOR150" s="72"/>
      <c r="NOS150" s="72"/>
      <c r="NOT150" s="72"/>
      <c r="NOU150" s="72"/>
      <c r="NOV150" s="72"/>
      <c r="NOW150" s="72"/>
      <c r="NOX150" s="72"/>
      <c r="NOY150" s="72"/>
      <c r="NOZ150" s="72"/>
      <c r="NPA150" s="72"/>
      <c r="NPB150" s="72"/>
      <c r="NPC150" s="72"/>
      <c r="NPD150" s="72"/>
      <c r="NPE150" s="72"/>
      <c r="NPF150" s="72"/>
      <c r="NPG150" s="72"/>
      <c r="NPH150" s="72"/>
      <c r="NPI150" s="72"/>
      <c r="NPJ150" s="72"/>
      <c r="NPK150" s="72"/>
      <c r="NPL150" s="72"/>
      <c r="NPM150" s="72"/>
      <c r="NPN150" s="72"/>
      <c r="NPO150" s="72"/>
      <c r="NPP150" s="72"/>
      <c r="NPQ150" s="72"/>
      <c r="NPR150" s="72"/>
      <c r="NPS150" s="72"/>
      <c r="NPT150" s="72"/>
      <c r="NPU150" s="72"/>
      <c r="NPV150" s="72"/>
      <c r="NPW150" s="72"/>
      <c r="NPX150" s="72"/>
      <c r="NPY150" s="72"/>
      <c r="NPZ150" s="72"/>
      <c r="NQA150" s="72"/>
      <c r="NQB150" s="72"/>
      <c r="NQC150" s="72"/>
      <c r="NQD150" s="72"/>
      <c r="NQE150" s="72"/>
      <c r="NQF150" s="72"/>
      <c r="NQG150" s="72"/>
      <c r="NQH150" s="72"/>
      <c r="NQI150" s="72"/>
      <c r="NQJ150" s="72"/>
      <c r="NQK150" s="72"/>
      <c r="NQL150" s="72"/>
      <c r="NQM150" s="72"/>
      <c r="NQN150" s="72"/>
      <c r="NQO150" s="72"/>
      <c r="NQP150" s="72"/>
      <c r="NQQ150" s="72"/>
      <c r="NQR150" s="72"/>
      <c r="NQS150" s="72"/>
      <c r="NQT150" s="72"/>
      <c r="NQU150" s="72"/>
      <c r="NQV150" s="72"/>
      <c r="NQW150" s="72"/>
      <c r="NQX150" s="72"/>
      <c r="NQY150" s="72"/>
      <c r="NQZ150" s="72"/>
      <c r="NRA150" s="72"/>
      <c r="NRB150" s="72"/>
      <c r="NRC150" s="72"/>
      <c r="NRD150" s="72"/>
      <c r="NRE150" s="72"/>
      <c r="NRF150" s="72"/>
      <c r="NRG150" s="72"/>
      <c r="NRH150" s="72"/>
      <c r="NRI150" s="72"/>
      <c r="NRJ150" s="72"/>
      <c r="NRK150" s="72"/>
      <c r="NRL150" s="72"/>
      <c r="NRM150" s="72"/>
      <c r="NRN150" s="72"/>
      <c r="NRO150" s="72"/>
      <c r="NRP150" s="72"/>
      <c r="NRQ150" s="72"/>
      <c r="NRR150" s="72"/>
      <c r="NRS150" s="72"/>
      <c r="NRT150" s="72"/>
      <c r="NRU150" s="72"/>
      <c r="NRV150" s="72"/>
      <c r="NRW150" s="72"/>
      <c r="NRX150" s="72"/>
      <c r="NRY150" s="72"/>
      <c r="NRZ150" s="72"/>
      <c r="NSA150" s="72"/>
      <c r="NSB150" s="72"/>
      <c r="NSC150" s="72"/>
      <c r="NSD150" s="72"/>
      <c r="NSE150" s="72"/>
      <c r="NSF150" s="72"/>
      <c r="NSG150" s="72"/>
      <c r="NSH150" s="72"/>
      <c r="NSI150" s="72"/>
      <c r="NSJ150" s="72"/>
      <c r="NSK150" s="72"/>
      <c r="NSL150" s="72"/>
      <c r="NSM150" s="72"/>
      <c r="NSN150" s="72"/>
      <c r="NSO150" s="72"/>
      <c r="NSP150" s="72"/>
      <c r="NSQ150" s="72"/>
      <c r="NSR150" s="72"/>
      <c r="NSS150" s="72"/>
      <c r="NST150" s="72"/>
      <c r="NSU150" s="72"/>
      <c r="NSV150" s="72"/>
      <c r="NSW150" s="72"/>
      <c r="NSX150" s="72"/>
      <c r="NSY150" s="72"/>
      <c r="NSZ150" s="72"/>
      <c r="NTA150" s="72"/>
      <c r="NTB150" s="72"/>
      <c r="NTC150" s="72"/>
      <c r="NTD150" s="72"/>
      <c r="NTE150" s="72"/>
      <c r="NTF150" s="72"/>
      <c r="NTG150" s="72"/>
      <c r="NTH150" s="72"/>
      <c r="NTI150" s="72"/>
      <c r="NTJ150" s="72"/>
      <c r="NTK150" s="72"/>
      <c r="NTL150" s="72"/>
      <c r="NTM150" s="72"/>
      <c r="NTN150" s="72"/>
      <c r="NTO150" s="72"/>
      <c r="NTP150" s="72"/>
      <c r="NTQ150" s="72"/>
      <c r="NTR150" s="72"/>
      <c r="NTS150" s="72"/>
      <c r="NTT150" s="72"/>
      <c r="NTU150" s="72"/>
      <c r="NTV150" s="72"/>
      <c r="NTW150" s="72"/>
      <c r="NTX150" s="72"/>
      <c r="NTY150" s="72"/>
      <c r="NTZ150" s="72"/>
      <c r="NUA150" s="72"/>
      <c r="NUB150" s="72"/>
      <c r="NUC150" s="72"/>
      <c r="NUD150" s="72"/>
      <c r="NUE150" s="72"/>
      <c r="NUF150" s="72"/>
      <c r="NUG150" s="72"/>
      <c r="NUH150" s="72"/>
      <c r="NUI150" s="72"/>
      <c r="NUJ150" s="72"/>
      <c r="NUK150" s="72"/>
      <c r="NUL150" s="72"/>
      <c r="NUM150" s="72"/>
      <c r="NUN150" s="72"/>
      <c r="NUO150" s="72"/>
      <c r="NUP150" s="72"/>
      <c r="NUQ150" s="72"/>
      <c r="NUR150" s="72"/>
      <c r="NUS150" s="72"/>
      <c r="NUT150" s="72"/>
      <c r="NUU150" s="72"/>
      <c r="NUV150" s="72"/>
      <c r="NUW150" s="72"/>
      <c r="NUX150" s="72"/>
      <c r="NUY150" s="72"/>
      <c r="NUZ150" s="72"/>
      <c r="NVA150" s="72"/>
      <c r="NVB150" s="72"/>
      <c r="NVC150" s="72"/>
      <c r="NVD150" s="72"/>
      <c r="NVE150" s="72"/>
      <c r="NVF150" s="72"/>
      <c r="NVG150" s="72"/>
      <c r="NVH150" s="72"/>
      <c r="NVI150" s="72"/>
      <c r="NVJ150" s="72"/>
      <c r="NVK150" s="72"/>
      <c r="NVL150" s="72"/>
      <c r="NVM150" s="72"/>
      <c r="NVN150" s="72"/>
      <c r="NVO150" s="72"/>
      <c r="NVP150" s="72"/>
      <c r="NVQ150" s="72"/>
      <c r="NVR150" s="72"/>
      <c r="NVS150" s="72"/>
      <c r="NVT150" s="72"/>
      <c r="NVU150" s="72"/>
      <c r="NVV150" s="72"/>
      <c r="NVW150" s="72"/>
      <c r="NVX150" s="72"/>
      <c r="NVY150" s="72"/>
      <c r="NVZ150" s="72"/>
      <c r="NWA150" s="72"/>
      <c r="NWB150" s="72"/>
      <c r="NWC150" s="72"/>
      <c r="NWD150" s="72"/>
      <c r="NWE150" s="72"/>
      <c r="NWF150" s="72"/>
      <c r="NWG150" s="72"/>
      <c r="NWH150" s="72"/>
      <c r="NWI150" s="72"/>
      <c r="NWJ150" s="72"/>
      <c r="NWK150" s="72"/>
      <c r="NWL150" s="72"/>
      <c r="NWM150" s="72"/>
      <c r="NWN150" s="72"/>
      <c r="NWO150" s="72"/>
      <c r="NWP150" s="72"/>
      <c r="NWQ150" s="72"/>
      <c r="NWR150" s="72"/>
      <c r="NWS150" s="72"/>
      <c r="NWT150" s="72"/>
      <c r="NWU150" s="72"/>
      <c r="NWV150" s="72"/>
      <c r="NWW150" s="72"/>
      <c r="NWX150" s="72"/>
      <c r="NWY150" s="72"/>
      <c r="NWZ150" s="72"/>
      <c r="NXA150" s="72"/>
      <c r="NXB150" s="72"/>
      <c r="NXC150" s="72"/>
      <c r="NXD150" s="72"/>
      <c r="NXE150" s="72"/>
      <c r="NXF150" s="72"/>
      <c r="NXG150" s="72"/>
      <c r="NXH150" s="72"/>
      <c r="NXI150" s="72"/>
      <c r="NXJ150" s="72"/>
      <c r="NXK150" s="72"/>
      <c r="NXL150" s="72"/>
      <c r="NXM150" s="72"/>
      <c r="NXN150" s="72"/>
      <c r="NXO150" s="72"/>
      <c r="NXP150" s="72"/>
      <c r="NXQ150" s="72"/>
      <c r="NXR150" s="72"/>
      <c r="NXS150" s="72"/>
      <c r="NXT150" s="72"/>
      <c r="NXU150" s="72"/>
      <c r="NXV150" s="72"/>
      <c r="NXW150" s="72"/>
      <c r="NXX150" s="72"/>
      <c r="NXY150" s="72"/>
      <c r="NXZ150" s="72"/>
      <c r="NYA150" s="72"/>
      <c r="NYB150" s="72"/>
      <c r="NYC150" s="72"/>
      <c r="NYD150" s="72"/>
      <c r="NYE150" s="72"/>
      <c r="NYF150" s="72"/>
      <c r="NYG150" s="72"/>
      <c r="NYH150" s="72"/>
      <c r="NYI150" s="72"/>
      <c r="NYJ150" s="72"/>
      <c r="NYK150" s="72"/>
      <c r="NYL150" s="72"/>
      <c r="NYM150" s="72"/>
      <c r="NYN150" s="72"/>
      <c r="NYO150" s="72"/>
      <c r="NYP150" s="72"/>
      <c r="NYQ150" s="72"/>
      <c r="NYR150" s="72"/>
      <c r="NYS150" s="72"/>
      <c r="NYT150" s="72"/>
      <c r="NYU150" s="72"/>
      <c r="NYV150" s="72"/>
      <c r="NYW150" s="72"/>
      <c r="NYX150" s="72"/>
      <c r="NYY150" s="72"/>
      <c r="NYZ150" s="72"/>
      <c r="NZA150" s="72"/>
      <c r="NZB150" s="72"/>
      <c r="NZC150" s="72"/>
      <c r="NZD150" s="72"/>
      <c r="NZE150" s="72"/>
      <c r="NZF150" s="72"/>
      <c r="NZG150" s="72"/>
      <c r="NZH150" s="72"/>
      <c r="NZI150" s="72"/>
      <c r="NZJ150" s="72"/>
      <c r="NZK150" s="72"/>
      <c r="NZL150" s="72"/>
      <c r="NZM150" s="72"/>
      <c r="NZN150" s="72"/>
      <c r="NZO150" s="72"/>
      <c r="NZP150" s="72"/>
      <c r="NZQ150" s="72"/>
      <c r="NZR150" s="72"/>
      <c r="NZS150" s="72"/>
      <c r="NZT150" s="72"/>
      <c r="NZU150" s="72"/>
      <c r="NZV150" s="72"/>
      <c r="NZW150" s="72"/>
      <c r="NZX150" s="72"/>
      <c r="NZY150" s="72"/>
      <c r="NZZ150" s="72"/>
      <c r="OAA150" s="72"/>
      <c r="OAB150" s="72"/>
      <c r="OAC150" s="72"/>
      <c r="OAD150" s="72"/>
      <c r="OAE150" s="72"/>
      <c r="OAF150" s="72"/>
      <c r="OAG150" s="72"/>
      <c r="OAH150" s="72"/>
      <c r="OAI150" s="72"/>
      <c r="OAJ150" s="72"/>
      <c r="OAK150" s="72"/>
      <c r="OAL150" s="72"/>
      <c r="OAM150" s="72"/>
      <c r="OAN150" s="72"/>
      <c r="OAO150" s="72"/>
      <c r="OAP150" s="72"/>
      <c r="OAQ150" s="72"/>
      <c r="OAR150" s="72"/>
      <c r="OAS150" s="72"/>
      <c r="OAT150" s="72"/>
      <c r="OAU150" s="72"/>
      <c r="OAV150" s="72"/>
      <c r="OAW150" s="72"/>
      <c r="OAX150" s="72"/>
      <c r="OAY150" s="72"/>
      <c r="OAZ150" s="72"/>
      <c r="OBA150" s="72"/>
      <c r="OBB150" s="72"/>
      <c r="OBC150" s="72"/>
      <c r="OBD150" s="72"/>
      <c r="OBE150" s="72"/>
      <c r="OBF150" s="72"/>
      <c r="OBG150" s="72"/>
      <c r="OBH150" s="72"/>
      <c r="OBI150" s="72"/>
      <c r="OBJ150" s="72"/>
      <c r="OBK150" s="72"/>
      <c r="OBL150" s="72"/>
      <c r="OBM150" s="72"/>
      <c r="OBN150" s="72"/>
      <c r="OBO150" s="72"/>
      <c r="OBP150" s="72"/>
      <c r="OBQ150" s="72"/>
      <c r="OBR150" s="72"/>
      <c r="OBS150" s="72"/>
      <c r="OBT150" s="72"/>
      <c r="OBU150" s="72"/>
      <c r="OBV150" s="72"/>
      <c r="OBW150" s="72"/>
      <c r="OBX150" s="72"/>
      <c r="OBY150" s="72"/>
      <c r="OBZ150" s="72"/>
      <c r="OCA150" s="72"/>
      <c r="OCB150" s="72"/>
      <c r="OCC150" s="72"/>
      <c r="OCD150" s="72"/>
      <c r="OCE150" s="72"/>
      <c r="OCF150" s="72"/>
      <c r="OCG150" s="72"/>
      <c r="OCH150" s="72"/>
      <c r="OCI150" s="72"/>
      <c r="OCJ150" s="72"/>
      <c r="OCK150" s="72"/>
      <c r="OCL150" s="72"/>
      <c r="OCM150" s="72"/>
      <c r="OCN150" s="72"/>
      <c r="OCO150" s="72"/>
      <c r="OCP150" s="72"/>
      <c r="OCQ150" s="72"/>
      <c r="OCR150" s="72"/>
      <c r="OCS150" s="72"/>
      <c r="OCT150" s="72"/>
      <c r="OCU150" s="72"/>
      <c r="OCV150" s="72"/>
      <c r="OCW150" s="72"/>
      <c r="OCX150" s="72"/>
      <c r="OCY150" s="72"/>
      <c r="OCZ150" s="72"/>
      <c r="ODA150" s="72"/>
      <c r="ODB150" s="72"/>
      <c r="ODC150" s="72"/>
      <c r="ODD150" s="72"/>
      <c r="ODE150" s="72"/>
      <c r="ODF150" s="72"/>
      <c r="ODG150" s="72"/>
      <c r="ODH150" s="72"/>
      <c r="ODI150" s="72"/>
      <c r="ODJ150" s="72"/>
      <c r="ODK150" s="72"/>
      <c r="ODL150" s="72"/>
      <c r="ODM150" s="72"/>
      <c r="ODN150" s="72"/>
      <c r="ODO150" s="72"/>
      <c r="ODP150" s="72"/>
      <c r="ODQ150" s="72"/>
      <c r="ODR150" s="72"/>
      <c r="ODS150" s="72"/>
      <c r="ODT150" s="72"/>
      <c r="ODU150" s="72"/>
      <c r="ODV150" s="72"/>
      <c r="ODW150" s="72"/>
      <c r="ODX150" s="72"/>
      <c r="ODY150" s="72"/>
      <c r="ODZ150" s="72"/>
      <c r="OEA150" s="72"/>
      <c r="OEB150" s="72"/>
      <c r="OEC150" s="72"/>
      <c r="OED150" s="72"/>
      <c r="OEE150" s="72"/>
      <c r="OEF150" s="72"/>
      <c r="OEG150" s="72"/>
      <c r="OEH150" s="72"/>
      <c r="OEI150" s="72"/>
      <c r="OEJ150" s="72"/>
      <c r="OEK150" s="72"/>
      <c r="OEL150" s="72"/>
      <c r="OEM150" s="72"/>
      <c r="OEN150" s="72"/>
      <c r="OEO150" s="72"/>
      <c r="OEP150" s="72"/>
      <c r="OEQ150" s="72"/>
      <c r="OER150" s="72"/>
      <c r="OES150" s="72"/>
      <c r="OET150" s="72"/>
      <c r="OEU150" s="72"/>
      <c r="OEV150" s="72"/>
      <c r="OEW150" s="72"/>
      <c r="OEX150" s="72"/>
      <c r="OEY150" s="72"/>
      <c r="OEZ150" s="72"/>
      <c r="OFA150" s="72"/>
      <c r="OFB150" s="72"/>
      <c r="OFC150" s="72"/>
      <c r="OFD150" s="72"/>
      <c r="OFE150" s="72"/>
      <c r="OFF150" s="72"/>
      <c r="OFG150" s="72"/>
      <c r="OFH150" s="72"/>
      <c r="OFI150" s="72"/>
      <c r="OFJ150" s="72"/>
      <c r="OFK150" s="72"/>
      <c r="OFL150" s="72"/>
      <c r="OFM150" s="72"/>
      <c r="OFN150" s="72"/>
      <c r="OFO150" s="72"/>
      <c r="OFP150" s="72"/>
      <c r="OFQ150" s="72"/>
      <c r="OFR150" s="72"/>
      <c r="OFS150" s="72"/>
      <c r="OFT150" s="72"/>
      <c r="OFU150" s="72"/>
      <c r="OFV150" s="72"/>
      <c r="OFW150" s="72"/>
      <c r="OFX150" s="72"/>
      <c r="OFY150" s="72"/>
      <c r="OFZ150" s="72"/>
      <c r="OGA150" s="72"/>
      <c r="OGB150" s="72"/>
      <c r="OGC150" s="72"/>
      <c r="OGD150" s="72"/>
      <c r="OGE150" s="72"/>
      <c r="OGF150" s="72"/>
      <c r="OGG150" s="72"/>
      <c r="OGH150" s="72"/>
      <c r="OGI150" s="72"/>
      <c r="OGJ150" s="72"/>
      <c r="OGK150" s="72"/>
      <c r="OGL150" s="72"/>
      <c r="OGM150" s="72"/>
      <c r="OGN150" s="72"/>
      <c r="OGO150" s="72"/>
      <c r="OGP150" s="72"/>
      <c r="OGQ150" s="72"/>
      <c r="OGR150" s="72"/>
      <c r="OGS150" s="72"/>
      <c r="OGT150" s="72"/>
      <c r="OGU150" s="72"/>
      <c r="OGV150" s="72"/>
      <c r="OGW150" s="72"/>
      <c r="OGX150" s="72"/>
      <c r="OGY150" s="72"/>
      <c r="OGZ150" s="72"/>
      <c r="OHA150" s="72"/>
      <c r="OHB150" s="72"/>
      <c r="OHC150" s="72"/>
      <c r="OHD150" s="72"/>
      <c r="OHE150" s="72"/>
      <c r="OHF150" s="72"/>
      <c r="OHG150" s="72"/>
      <c r="OHH150" s="72"/>
      <c r="OHI150" s="72"/>
      <c r="OHJ150" s="72"/>
      <c r="OHK150" s="72"/>
      <c r="OHL150" s="72"/>
      <c r="OHM150" s="72"/>
      <c r="OHN150" s="72"/>
      <c r="OHO150" s="72"/>
      <c r="OHP150" s="72"/>
      <c r="OHQ150" s="72"/>
      <c r="OHR150" s="72"/>
      <c r="OHS150" s="72"/>
      <c r="OHT150" s="72"/>
      <c r="OHU150" s="72"/>
      <c r="OHV150" s="72"/>
      <c r="OHW150" s="72"/>
      <c r="OHX150" s="72"/>
      <c r="OHY150" s="72"/>
      <c r="OHZ150" s="72"/>
      <c r="OIA150" s="72"/>
      <c r="OIB150" s="72"/>
      <c r="OIC150" s="72"/>
      <c r="OID150" s="72"/>
      <c r="OIE150" s="72"/>
      <c r="OIF150" s="72"/>
      <c r="OIG150" s="72"/>
      <c r="OIH150" s="72"/>
      <c r="OII150" s="72"/>
      <c r="OIJ150" s="72"/>
      <c r="OIK150" s="72"/>
      <c r="OIL150" s="72"/>
      <c r="OIM150" s="72"/>
      <c r="OIN150" s="72"/>
      <c r="OIO150" s="72"/>
      <c r="OIP150" s="72"/>
      <c r="OIQ150" s="72"/>
      <c r="OIR150" s="72"/>
      <c r="OIS150" s="72"/>
      <c r="OIT150" s="72"/>
      <c r="OIU150" s="72"/>
      <c r="OIV150" s="72"/>
      <c r="OIW150" s="72"/>
      <c r="OIX150" s="72"/>
      <c r="OIY150" s="72"/>
      <c r="OIZ150" s="72"/>
      <c r="OJA150" s="72"/>
      <c r="OJB150" s="72"/>
      <c r="OJC150" s="72"/>
      <c r="OJD150" s="72"/>
      <c r="OJE150" s="72"/>
      <c r="OJF150" s="72"/>
      <c r="OJG150" s="72"/>
      <c r="OJH150" s="72"/>
      <c r="OJI150" s="72"/>
      <c r="OJJ150" s="72"/>
      <c r="OJK150" s="72"/>
      <c r="OJL150" s="72"/>
      <c r="OJM150" s="72"/>
      <c r="OJN150" s="72"/>
      <c r="OJO150" s="72"/>
      <c r="OJP150" s="72"/>
      <c r="OJQ150" s="72"/>
      <c r="OJR150" s="72"/>
      <c r="OJS150" s="72"/>
      <c r="OJT150" s="72"/>
      <c r="OJU150" s="72"/>
      <c r="OJV150" s="72"/>
      <c r="OJW150" s="72"/>
      <c r="OJX150" s="72"/>
      <c r="OJY150" s="72"/>
      <c r="OJZ150" s="72"/>
      <c r="OKA150" s="72"/>
      <c r="OKB150" s="72"/>
      <c r="OKC150" s="72"/>
      <c r="OKD150" s="72"/>
      <c r="OKE150" s="72"/>
      <c r="OKF150" s="72"/>
      <c r="OKG150" s="72"/>
      <c r="OKH150" s="72"/>
      <c r="OKI150" s="72"/>
      <c r="OKJ150" s="72"/>
      <c r="OKK150" s="72"/>
      <c r="OKL150" s="72"/>
      <c r="OKM150" s="72"/>
      <c r="OKN150" s="72"/>
      <c r="OKO150" s="72"/>
      <c r="OKP150" s="72"/>
      <c r="OKQ150" s="72"/>
      <c r="OKR150" s="72"/>
      <c r="OKS150" s="72"/>
      <c r="OKT150" s="72"/>
      <c r="OKU150" s="72"/>
      <c r="OKV150" s="72"/>
      <c r="OKW150" s="72"/>
      <c r="OKX150" s="72"/>
      <c r="OKY150" s="72"/>
      <c r="OKZ150" s="72"/>
      <c r="OLA150" s="72"/>
      <c r="OLB150" s="72"/>
      <c r="OLC150" s="72"/>
      <c r="OLD150" s="72"/>
      <c r="OLE150" s="72"/>
      <c r="OLF150" s="72"/>
      <c r="OLG150" s="72"/>
      <c r="OLH150" s="72"/>
      <c r="OLI150" s="72"/>
      <c r="OLJ150" s="72"/>
      <c r="OLK150" s="72"/>
      <c r="OLL150" s="72"/>
      <c r="OLM150" s="72"/>
      <c r="OLN150" s="72"/>
      <c r="OLO150" s="72"/>
      <c r="OLP150" s="72"/>
      <c r="OLQ150" s="72"/>
      <c r="OLR150" s="72"/>
      <c r="OLS150" s="72"/>
      <c r="OLT150" s="72"/>
      <c r="OLU150" s="72"/>
      <c r="OLV150" s="72"/>
      <c r="OLW150" s="72"/>
      <c r="OLX150" s="72"/>
      <c r="OLY150" s="72"/>
      <c r="OLZ150" s="72"/>
      <c r="OMA150" s="72"/>
      <c r="OMB150" s="72"/>
      <c r="OMC150" s="72"/>
      <c r="OMD150" s="72"/>
      <c r="OME150" s="72"/>
      <c r="OMF150" s="72"/>
      <c r="OMG150" s="72"/>
      <c r="OMH150" s="72"/>
      <c r="OMI150" s="72"/>
      <c r="OMJ150" s="72"/>
      <c r="OMK150" s="72"/>
      <c r="OML150" s="72"/>
      <c r="OMM150" s="72"/>
      <c r="OMN150" s="72"/>
      <c r="OMO150" s="72"/>
      <c r="OMP150" s="72"/>
      <c r="OMQ150" s="72"/>
      <c r="OMR150" s="72"/>
      <c r="OMS150" s="72"/>
      <c r="OMT150" s="72"/>
      <c r="OMU150" s="72"/>
      <c r="OMV150" s="72"/>
      <c r="OMW150" s="72"/>
      <c r="OMX150" s="72"/>
      <c r="OMY150" s="72"/>
      <c r="OMZ150" s="72"/>
      <c r="ONA150" s="72"/>
      <c r="ONB150" s="72"/>
      <c r="ONC150" s="72"/>
      <c r="OND150" s="72"/>
      <c r="ONE150" s="72"/>
      <c r="ONF150" s="72"/>
      <c r="ONG150" s="72"/>
      <c r="ONH150" s="72"/>
      <c r="ONI150" s="72"/>
      <c r="ONJ150" s="72"/>
      <c r="ONK150" s="72"/>
      <c r="ONL150" s="72"/>
      <c r="ONM150" s="72"/>
      <c r="ONN150" s="72"/>
      <c r="ONO150" s="72"/>
      <c r="ONP150" s="72"/>
      <c r="ONQ150" s="72"/>
      <c r="ONR150" s="72"/>
      <c r="ONS150" s="72"/>
      <c r="ONT150" s="72"/>
      <c r="ONU150" s="72"/>
      <c r="ONV150" s="72"/>
      <c r="ONW150" s="72"/>
      <c r="ONX150" s="72"/>
      <c r="ONY150" s="72"/>
      <c r="ONZ150" s="72"/>
      <c r="OOA150" s="72"/>
      <c r="OOB150" s="72"/>
      <c r="OOC150" s="72"/>
      <c r="OOD150" s="72"/>
      <c r="OOE150" s="72"/>
      <c r="OOF150" s="72"/>
      <c r="OOG150" s="72"/>
      <c r="OOH150" s="72"/>
      <c r="OOI150" s="72"/>
      <c r="OOJ150" s="72"/>
      <c r="OOK150" s="72"/>
      <c r="OOL150" s="72"/>
      <c r="OOM150" s="72"/>
      <c r="OON150" s="72"/>
      <c r="OOO150" s="72"/>
      <c r="OOP150" s="72"/>
      <c r="OOQ150" s="72"/>
      <c r="OOR150" s="72"/>
      <c r="OOS150" s="72"/>
      <c r="OOT150" s="72"/>
      <c r="OOU150" s="72"/>
      <c r="OOV150" s="72"/>
      <c r="OOW150" s="72"/>
      <c r="OOX150" s="72"/>
      <c r="OOY150" s="72"/>
      <c r="OOZ150" s="72"/>
      <c r="OPA150" s="72"/>
      <c r="OPB150" s="72"/>
      <c r="OPC150" s="72"/>
      <c r="OPD150" s="72"/>
      <c r="OPE150" s="72"/>
      <c r="OPF150" s="72"/>
      <c r="OPG150" s="72"/>
      <c r="OPH150" s="72"/>
      <c r="OPI150" s="72"/>
      <c r="OPJ150" s="72"/>
      <c r="OPK150" s="72"/>
      <c r="OPL150" s="72"/>
      <c r="OPM150" s="72"/>
      <c r="OPN150" s="72"/>
      <c r="OPO150" s="72"/>
      <c r="OPP150" s="72"/>
      <c r="OPQ150" s="72"/>
      <c r="OPR150" s="72"/>
      <c r="OPS150" s="72"/>
      <c r="OPT150" s="72"/>
      <c r="OPU150" s="72"/>
      <c r="OPV150" s="72"/>
      <c r="OPW150" s="72"/>
      <c r="OPX150" s="72"/>
      <c r="OPY150" s="72"/>
      <c r="OPZ150" s="72"/>
      <c r="OQA150" s="72"/>
      <c r="OQB150" s="72"/>
      <c r="OQC150" s="72"/>
      <c r="OQD150" s="72"/>
      <c r="OQE150" s="72"/>
      <c r="OQF150" s="72"/>
      <c r="OQG150" s="72"/>
      <c r="OQH150" s="72"/>
      <c r="OQI150" s="72"/>
      <c r="OQJ150" s="72"/>
      <c r="OQK150" s="72"/>
      <c r="OQL150" s="72"/>
      <c r="OQM150" s="72"/>
      <c r="OQN150" s="72"/>
      <c r="OQO150" s="72"/>
      <c r="OQP150" s="72"/>
      <c r="OQQ150" s="72"/>
      <c r="OQR150" s="72"/>
      <c r="OQS150" s="72"/>
      <c r="OQT150" s="72"/>
      <c r="OQU150" s="72"/>
      <c r="OQV150" s="72"/>
      <c r="OQW150" s="72"/>
      <c r="OQX150" s="72"/>
      <c r="OQY150" s="72"/>
      <c r="OQZ150" s="72"/>
      <c r="ORA150" s="72"/>
      <c r="ORB150" s="72"/>
      <c r="ORC150" s="72"/>
      <c r="ORD150" s="72"/>
      <c r="ORE150" s="72"/>
      <c r="ORF150" s="72"/>
      <c r="ORG150" s="72"/>
      <c r="ORH150" s="72"/>
      <c r="ORI150" s="72"/>
      <c r="ORJ150" s="72"/>
      <c r="ORK150" s="72"/>
      <c r="ORL150" s="72"/>
      <c r="ORM150" s="72"/>
      <c r="ORN150" s="72"/>
      <c r="ORO150" s="72"/>
      <c r="ORP150" s="72"/>
      <c r="ORQ150" s="72"/>
      <c r="ORR150" s="72"/>
      <c r="ORS150" s="72"/>
      <c r="ORT150" s="72"/>
      <c r="ORU150" s="72"/>
      <c r="ORV150" s="72"/>
      <c r="ORW150" s="72"/>
      <c r="ORX150" s="72"/>
      <c r="ORY150" s="72"/>
      <c r="ORZ150" s="72"/>
      <c r="OSA150" s="72"/>
      <c r="OSB150" s="72"/>
      <c r="OSC150" s="72"/>
      <c r="OSD150" s="72"/>
      <c r="OSE150" s="72"/>
      <c r="OSF150" s="72"/>
      <c r="OSG150" s="72"/>
      <c r="OSH150" s="72"/>
      <c r="OSI150" s="72"/>
      <c r="OSJ150" s="72"/>
      <c r="OSK150" s="72"/>
      <c r="OSL150" s="72"/>
      <c r="OSM150" s="72"/>
      <c r="OSN150" s="72"/>
      <c r="OSO150" s="72"/>
      <c r="OSP150" s="72"/>
      <c r="OSQ150" s="72"/>
      <c r="OSR150" s="72"/>
      <c r="OSS150" s="72"/>
      <c r="OST150" s="72"/>
      <c r="OSU150" s="72"/>
      <c r="OSV150" s="72"/>
      <c r="OSW150" s="72"/>
      <c r="OSX150" s="72"/>
      <c r="OSY150" s="72"/>
      <c r="OSZ150" s="72"/>
      <c r="OTA150" s="72"/>
      <c r="OTB150" s="72"/>
      <c r="OTC150" s="72"/>
      <c r="OTD150" s="72"/>
      <c r="OTE150" s="72"/>
      <c r="OTF150" s="72"/>
      <c r="OTG150" s="72"/>
      <c r="OTH150" s="72"/>
      <c r="OTI150" s="72"/>
      <c r="OTJ150" s="72"/>
      <c r="OTK150" s="72"/>
      <c r="OTL150" s="72"/>
      <c r="OTM150" s="72"/>
      <c r="OTN150" s="72"/>
      <c r="OTO150" s="72"/>
      <c r="OTP150" s="72"/>
      <c r="OTQ150" s="72"/>
      <c r="OTR150" s="72"/>
      <c r="OTS150" s="72"/>
      <c r="OTT150" s="72"/>
      <c r="OTU150" s="72"/>
      <c r="OTV150" s="72"/>
      <c r="OTW150" s="72"/>
      <c r="OTX150" s="72"/>
      <c r="OTY150" s="72"/>
      <c r="OTZ150" s="72"/>
      <c r="OUA150" s="72"/>
      <c r="OUB150" s="72"/>
      <c r="OUC150" s="72"/>
      <c r="OUD150" s="72"/>
      <c r="OUE150" s="72"/>
      <c r="OUF150" s="72"/>
      <c r="OUG150" s="72"/>
      <c r="OUH150" s="72"/>
      <c r="OUI150" s="72"/>
      <c r="OUJ150" s="72"/>
      <c r="OUK150" s="72"/>
      <c r="OUL150" s="72"/>
      <c r="OUM150" s="72"/>
      <c r="OUN150" s="72"/>
      <c r="OUO150" s="72"/>
      <c r="OUP150" s="72"/>
      <c r="OUQ150" s="72"/>
      <c r="OUR150" s="72"/>
      <c r="OUS150" s="72"/>
      <c r="OUT150" s="72"/>
      <c r="OUU150" s="72"/>
      <c r="OUV150" s="72"/>
      <c r="OUW150" s="72"/>
      <c r="OUX150" s="72"/>
      <c r="OUY150" s="72"/>
      <c r="OUZ150" s="72"/>
      <c r="OVA150" s="72"/>
      <c r="OVB150" s="72"/>
      <c r="OVC150" s="72"/>
      <c r="OVD150" s="72"/>
      <c r="OVE150" s="72"/>
      <c r="OVF150" s="72"/>
      <c r="OVG150" s="72"/>
      <c r="OVH150" s="72"/>
      <c r="OVI150" s="72"/>
      <c r="OVJ150" s="72"/>
      <c r="OVK150" s="72"/>
      <c r="OVL150" s="72"/>
      <c r="OVM150" s="72"/>
      <c r="OVN150" s="72"/>
      <c r="OVO150" s="72"/>
      <c r="OVP150" s="72"/>
      <c r="OVQ150" s="72"/>
      <c r="OVR150" s="72"/>
      <c r="OVS150" s="72"/>
      <c r="OVT150" s="72"/>
      <c r="OVU150" s="72"/>
      <c r="OVV150" s="72"/>
      <c r="OVW150" s="72"/>
      <c r="OVX150" s="72"/>
      <c r="OVY150" s="72"/>
      <c r="OVZ150" s="72"/>
      <c r="OWA150" s="72"/>
      <c r="OWB150" s="72"/>
      <c r="OWC150" s="72"/>
      <c r="OWD150" s="72"/>
      <c r="OWE150" s="72"/>
      <c r="OWF150" s="72"/>
      <c r="OWG150" s="72"/>
      <c r="OWH150" s="72"/>
      <c r="OWI150" s="72"/>
      <c r="OWJ150" s="72"/>
      <c r="OWK150" s="72"/>
      <c r="OWL150" s="72"/>
      <c r="OWM150" s="72"/>
      <c r="OWN150" s="72"/>
      <c r="OWO150" s="72"/>
      <c r="OWP150" s="72"/>
      <c r="OWQ150" s="72"/>
      <c r="OWR150" s="72"/>
      <c r="OWS150" s="72"/>
      <c r="OWT150" s="72"/>
      <c r="OWU150" s="72"/>
      <c r="OWV150" s="72"/>
      <c r="OWW150" s="72"/>
      <c r="OWX150" s="72"/>
      <c r="OWY150" s="72"/>
      <c r="OWZ150" s="72"/>
      <c r="OXA150" s="72"/>
      <c r="OXB150" s="72"/>
      <c r="OXC150" s="72"/>
      <c r="OXD150" s="72"/>
      <c r="OXE150" s="72"/>
      <c r="OXF150" s="72"/>
      <c r="OXG150" s="72"/>
      <c r="OXH150" s="72"/>
      <c r="OXI150" s="72"/>
      <c r="OXJ150" s="72"/>
      <c r="OXK150" s="72"/>
      <c r="OXL150" s="72"/>
      <c r="OXM150" s="72"/>
      <c r="OXN150" s="72"/>
      <c r="OXO150" s="72"/>
      <c r="OXP150" s="72"/>
      <c r="OXQ150" s="72"/>
      <c r="OXR150" s="72"/>
      <c r="OXS150" s="72"/>
      <c r="OXT150" s="72"/>
      <c r="OXU150" s="72"/>
      <c r="OXV150" s="72"/>
      <c r="OXW150" s="72"/>
      <c r="OXX150" s="72"/>
      <c r="OXY150" s="72"/>
      <c r="OXZ150" s="72"/>
      <c r="OYA150" s="72"/>
      <c r="OYB150" s="72"/>
      <c r="OYC150" s="72"/>
      <c r="OYD150" s="72"/>
      <c r="OYE150" s="72"/>
      <c r="OYF150" s="72"/>
      <c r="OYG150" s="72"/>
      <c r="OYH150" s="72"/>
      <c r="OYI150" s="72"/>
      <c r="OYJ150" s="72"/>
      <c r="OYK150" s="72"/>
      <c r="OYL150" s="72"/>
      <c r="OYM150" s="72"/>
      <c r="OYN150" s="72"/>
      <c r="OYO150" s="72"/>
      <c r="OYP150" s="72"/>
      <c r="OYQ150" s="72"/>
      <c r="OYR150" s="72"/>
      <c r="OYS150" s="72"/>
      <c r="OYT150" s="72"/>
      <c r="OYU150" s="72"/>
      <c r="OYV150" s="72"/>
      <c r="OYW150" s="72"/>
      <c r="OYX150" s="72"/>
      <c r="OYY150" s="72"/>
      <c r="OYZ150" s="72"/>
      <c r="OZA150" s="72"/>
      <c r="OZB150" s="72"/>
      <c r="OZC150" s="72"/>
      <c r="OZD150" s="72"/>
      <c r="OZE150" s="72"/>
      <c r="OZF150" s="72"/>
      <c r="OZG150" s="72"/>
      <c r="OZH150" s="72"/>
      <c r="OZI150" s="72"/>
      <c r="OZJ150" s="72"/>
      <c r="OZK150" s="72"/>
      <c r="OZL150" s="72"/>
      <c r="OZM150" s="72"/>
      <c r="OZN150" s="72"/>
      <c r="OZO150" s="72"/>
      <c r="OZP150" s="72"/>
      <c r="OZQ150" s="72"/>
      <c r="OZR150" s="72"/>
      <c r="OZS150" s="72"/>
      <c r="OZT150" s="72"/>
      <c r="OZU150" s="72"/>
      <c r="OZV150" s="72"/>
      <c r="OZW150" s="72"/>
      <c r="OZX150" s="72"/>
      <c r="OZY150" s="72"/>
      <c r="OZZ150" s="72"/>
      <c r="PAA150" s="72"/>
      <c r="PAB150" s="72"/>
      <c r="PAC150" s="72"/>
      <c r="PAD150" s="72"/>
      <c r="PAE150" s="72"/>
      <c r="PAF150" s="72"/>
      <c r="PAG150" s="72"/>
      <c r="PAH150" s="72"/>
      <c r="PAI150" s="72"/>
      <c r="PAJ150" s="72"/>
      <c r="PAK150" s="72"/>
      <c r="PAL150" s="72"/>
      <c r="PAM150" s="72"/>
      <c r="PAN150" s="72"/>
      <c r="PAO150" s="72"/>
      <c r="PAP150" s="72"/>
      <c r="PAQ150" s="72"/>
      <c r="PAR150" s="72"/>
      <c r="PAS150" s="72"/>
      <c r="PAT150" s="72"/>
      <c r="PAU150" s="72"/>
      <c r="PAV150" s="72"/>
      <c r="PAW150" s="72"/>
      <c r="PAX150" s="72"/>
      <c r="PAY150" s="72"/>
      <c r="PAZ150" s="72"/>
      <c r="PBA150" s="72"/>
      <c r="PBB150" s="72"/>
      <c r="PBC150" s="72"/>
      <c r="PBD150" s="72"/>
      <c r="PBE150" s="72"/>
      <c r="PBF150" s="72"/>
      <c r="PBG150" s="72"/>
      <c r="PBH150" s="72"/>
      <c r="PBI150" s="72"/>
      <c r="PBJ150" s="72"/>
      <c r="PBK150" s="72"/>
      <c r="PBL150" s="72"/>
      <c r="PBM150" s="72"/>
      <c r="PBN150" s="72"/>
      <c r="PBO150" s="72"/>
      <c r="PBP150" s="72"/>
      <c r="PBQ150" s="72"/>
      <c r="PBR150" s="72"/>
      <c r="PBS150" s="72"/>
      <c r="PBT150" s="72"/>
      <c r="PBU150" s="72"/>
      <c r="PBV150" s="72"/>
      <c r="PBW150" s="72"/>
      <c r="PBX150" s="72"/>
      <c r="PBY150" s="72"/>
      <c r="PBZ150" s="72"/>
      <c r="PCA150" s="72"/>
      <c r="PCB150" s="72"/>
      <c r="PCC150" s="72"/>
      <c r="PCD150" s="72"/>
      <c r="PCE150" s="72"/>
      <c r="PCF150" s="72"/>
      <c r="PCG150" s="72"/>
      <c r="PCH150" s="72"/>
      <c r="PCI150" s="72"/>
      <c r="PCJ150" s="72"/>
      <c r="PCK150" s="72"/>
      <c r="PCL150" s="72"/>
      <c r="PCM150" s="72"/>
      <c r="PCN150" s="72"/>
      <c r="PCO150" s="72"/>
      <c r="PCP150" s="72"/>
      <c r="PCQ150" s="72"/>
      <c r="PCR150" s="72"/>
      <c r="PCS150" s="72"/>
      <c r="PCT150" s="72"/>
      <c r="PCU150" s="72"/>
      <c r="PCV150" s="72"/>
      <c r="PCW150" s="72"/>
      <c r="PCX150" s="72"/>
      <c r="PCY150" s="72"/>
      <c r="PCZ150" s="72"/>
      <c r="PDA150" s="72"/>
      <c r="PDB150" s="72"/>
      <c r="PDC150" s="72"/>
      <c r="PDD150" s="72"/>
      <c r="PDE150" s="72"/>
      <c r="PDF150" s="72"/>
      <c r="PDG150" s="72"/>
      <c r="PDH150" s="72"/>
      <c r="PDI150" s="72"/>
      <c r="PDJ150" s="72"/>
      <c r="PDK150" s="72"/>
      <c r="PDL150" s="72"/>
      <c r="PDM150" s="72"/>
      <c r="PDN150" s="72"/>
      <c r="PDO150" s="72"/>
      <c r="PDP150" s="72"/>
      <c r="PDQ150" s="72"/>
      <c r="PDR150" s="72"/>
      <c r="PDS150" s="72"/>
      <c r="PDT150" s="72"/>
      <c r="PDU150" s="72"/>
      <c r="PDV150" s="72"/>
      <c r="PDW150" s="72"/>
      <c r="PDX150" s="72"/>
      <c r="PDY150" s="72"/>
      <c r="PDZ150" s="72"/>
      <c r="PEA150" s="72"/>
      <c r="PEB150" s="72"/>
      <c r="PEC150" s="72"/>
      <c r="PED150" s="72"/>
      <c r="PEE150" s="72"/>
      <c r="PEF150" s="72"/>
      <c r="PEG150" s="72"/>
      <c r="PEH150" s="72"/>
      <c r="PEI150" s="72"/>
      <c r="PEJ150" s="72"/>
      <c r="PEK150" s="72"/>
      <c r="PEL150" s="72"/>
      <c r="PEM150" s="72"/>
      <c r="PEN150" s="72"/>
      <c r="PEO150" s="72"/>
      <c r="PEP150" s="72"/>
      <c r="PEQ150" s="72"/>
      <c r="PER150" s="72"/>
      <c r="PES150" s="72"/>
      <c r="PET150" s="72"/>
      <c r="PEU150" s="72"/>
      <c r="PEV150" s="72"/>
      <c r="PEW150" s="72"/>
      <c r="PEX150" s="72"/>
      <c r="PEY150" s="72"/>
      <c r="PEZ150" s="72"/>
      <c r="PFA150" s="72"/>
      <c r="PFB150" s="72"/>
      <c r="PFC150" s="72"/>
      <c r="PFD150" s="72"/>
      <c r="PFE150" s="72"/>
      <c r="PFF150" s="72"/>
      <c r="PFG150" s="72"/>
      <c r="PFH150" s="72"/>
      <c r="PFI150" s="72"/>
      <c r="PFJ150" s="72"/>
      <c r="PFK150" s="72"/>
      <c r="PFL150" s="72"/>
      <c r="PFM150" s="72"/>
      <c r="PFN150" s="72"/>
      <c r="PFO150" s="72"/>
      <c r="PFP150" s="72"/>
      <c r="PFQ150" s="72"/>
      <c r="PFR150" s="72"/>
      <c r="PFS150" s="72"/>
      <c r="PFT150" s="72"/>
      <c r="PFU150" s="72"/>
      <c r="PFV150" s="72"/>
      <c r="PFW150" s="72"/>
      <c r="PFX150" s="72"/>
      <c r="PFY150" s="72"/>
      <c r="PFZ150" s="72"/>
      <c r="PGA150" s="72"/>
      <c r="PGB150" s="72"/>
      <c r="PGC150" s="72"/>
      <c r="PGD150" s="72"/>
      <c r="PGE150" s="72"/>
      <c r="PGF150" s="72"/>
      <c r="PGG150" s="72"/>
      <c r="PGH150" s="72"/>
      <c r="PGI150" s="72"/>
      <c r="PGJ150" s="72"/>
      <c r="PGK150" s="72"/>
      <c r="PGL150" s="72"/>
      <c r="PGM150" s="72"/>
      <c r="PGN150" s="72"/>
      <c r="PGO150" s="72"/>
      <c r="PGP150" s="72"/>
      <c r="PGQ150" s="72"/>
      <c r="PGR150" s="72"/>
      <c r="PGS150" s="72"/>
      <c r="PGT150" s="72"/>
      <c r="PGU150" s="72"/>
      <c r="PGV150" s="72"/>
      <c r="PGW150" s="72"/>
      <c r="PGX150" s="72"/>
      <c r="PGY150" s="72"/>
      <c r="PGZ150" s="72"/>
      <c r="PHA150" s="72"/>
      <c r="PHB150" s="72"/>
      <c r="PHC150" s="72"/>
      <c r="PHD150" s="72"/>
      <c r="PHE150" s="72"/>
      <c r="PHF150" s="72"/>
      <c r="PHG150" s="72"/>
      <c r="PHH150" s="72"/>
      <c r="PHI150" s="72"/>
      <c r="PHJ150" s="72"/>
      <c r="PHK150" s="72"/>
      <c r="PHL150" s="72"/>
      <c r="PHM150" s="72"/>
      <c r="PHN150" s="72"/>
      <c r="PHO150" s="72"/>
      <c r="PHP150" s="72"/>
      <c r="PHQ150" s="72"/>
      <c r="PHR150" s="72"/>
      <c r="PHS150" s="72"/>
      <c r="PHT150" s="72"/>
      <c r="PHU150" s="72"/>
      <c r="PHV150" s="72"/>
      <c r="PHW150" s="72"/>
      <c r="PHX150" s="72"/>
      <c r="PHY150" s="72"/>
      <c r="PHZ150" s="72"/>
      <c r="PIA150" s="72"/>
      <c r="PIB150" s="72"/>
      <c r="PIC150" s="72"/>
      <c r="PID150" s="72"/>
      <c r="PIE150" s="72"/>
      <c r="PIF150" s="72"/>
      <c r="PIG150" s="72"/>
      <c r="PIH150" s="72"/>
      <c r="PII150" s="72"/>
      <c r="PIJ150" s="72"/>
      <c r="PIK150" s="72"/>
      <c r="PIL150" s="72"/>
      <c r="PIM150" s="72"/>
      <c r="PIN150" s="72"/>
      <c r="PIO150" s="72"/>
      <c r="PIP150" s="72"/>
      <c r="PIQ150" s="72"/>
      <c r="PIR150" s="72"/>
      <c r="PIS150" s="72"/>
      <c r="PIT150" s="72"/>
      <c r="PIU150" s="72"/>
      <c r="PIV150" s="72"/>
      <c r="PIW150" s="72"/>
      <c r="PIX150" s="72"/>
      <c r="PIY150" s="72"/>
      <c r="PIZ150" s="72"/>
      <c r="PJA150" s="72"/>
      <c r="PJB150" s="72"/>
      <c r="PJC150" s="72"/>
      <c r="PJD150" s="72"/>
      <c r="PJE150" s="72"/>
      <c r="PJF150" s="72"/>
      <c r="PJG150" s="72"/>
      <c r="PJH150" s="72"/>
      <c r="PJI150" s="72"/>
      <c r="PJJ150" s="72"/>
      <c r="PJK150" s="72"/>
      <c r="PJL150" s="72"/>
      <c r="PJM150" s="72"/>
      <c r="PJN150" s="72"/>
      <c r="PJO150" s="72"/>
      <c r="PJP150" s="72"/>
      <c r="PJQ150" s="72"/>
      <c r="PJR150" s="72"/>
      <c r="PJS150" s="72"/>
      <c r="PJT150" s="72"/>
      <c r="PJU150" s="72"/>
      <c r="PJV150" s="72"/>
      <c r="PJW150" s="72"/>
      <c r="PJX150" s="72"/>
      <c r="PJY150" s="72"/>
      <c r="PJZ150" s="72"/>
      <c r="PKA150" s="72"/>
      <c r="PKB150" s="72"/>
      <c r="PKC150" s="72"/>
      <c r="PKD150" s="72"/>
      <c r="PKE150" s="72"/>
      <c r="PKF150" s="72"/>
      <c r="PKG150" s="72"/>
      <c r="PKH150" s="72"/>
      <c r="PKI150" s="72"/>
      <c r="PKJ150" s="72"/>
      <c r="PKK150" s="72"/>
      <c r="PKL150" s="72"/>
      <c r="PKM150" s="72"/>
      <c r="PKN150" s="72"/>
      <c r="PKO150" s="72"/>
      <c r="PKP150" s="72"/>
      <c r="PKQ150" s="72"/>
      <c r="PKR150" s="72"/>
      <c r="PKS150" s="72"/>
      <c r="PKT150" s="72"/>
      <c r="PKU150" s="72"/>
      <c r="PKV150" s="72"/>
      <c r="PKW150" s="72"/>
      <c r="PKX150" s="72"/>
      <c r="PKY150" s="72"/>
      <c r="PKZ150" s="72"/>
      <c r="PLA150" s="72"/>
      <c r="PLB150" s="72"/>
      <c r="PLC150" s="72"/>
      <c r="PLD150" s="72"/>
      <c r="PLE150" s="72"/>
      <c r="PLF150" s="72"/>
      <c r="PLG150" s="72"/>
      <c r="PLH150" s="72"/>
      <c r="PLI150" s="72"/>
      <c r="PLJ150" s="72"/>
      <c r="PLK150" s="72"/>
      <c r="PLL150" s="72"/>
      <c r="PLM150" s="72"/>
      <c r="PLN150" s="72"/>
      <c r="PLO150" s="72"/>
      <c r="PLP150" s="72"/>
      <c r="PLQ150" s="72"/>
      <c r="PLR150" s="72"/>
      <c r="PLS150" s="72"/>
      <c r="PLT150" s="72"/>
      <c r="PLU150" s="72"/>
      <c r="PLV150" s="72"/>
      <c r="PLW150" s="72"/>
      <c r="PLX150" s="72"/>
      <c r="PLY150" s="72"/>
      <c r="PLZ150" s="72"/>
      <c r="PMA150" s="72"/>
      <c r="PMB150" s="72"/>
      <c r="PMC150" s="72"/>
      <c r="PMD150" s="72"/>
      <c r="PME150" s="72"/>
      <c r="PMF150" s="72"/>
      <c r="PMG150" s="72"/>
      <c r="PMH150" s="72"/>
      <c r="PMI150" s="72"/>
      <c r="PMJ150" s="72"/>
      <c r="PMK150" s="72"/>
      <c r="PML150" s="72"/>
      <c r="PMM150" s="72"/>
      <c r="PMN150" s="72"/>
      <c r="PMO150" s="72"/>
      <c r="PMP150" s="72"/>
      <c r="PMQ150" s="72"/>
      <c r="PMR150" s="72"/>
      <c r="PMS150" s="72"/>
      <c r="PMT150" s="72"/>
      <c r="PMU150" s="72"/>
      <c r="PMV150" s="72"/>
      <c r="PMW150" s="72"/>
      <c r="PMX150" s="72"/>
      <c r="PMY150" s="72"/>
      <c r="PMZ150" s="72"/>
      <c r="PNA150" s="72"/>
      <c r="PNB150" s="72"/>
      <c r="PNC150" s="72"/>
      <c r="PND150" s="72"/>
      <c r="PNE150" s="72"/>
      <c r="PNF150" s="72"/>
      <c r="PNG150" s="72"/>
      <c r="PNH150" s="72"/>
      <c r="PNI150" s="72"/>
      <c r="PNJ150" s="72"/>
      <c r="PNK150" s="72"/>
      <c r="PNL150" s="72"/>
      <c r="PNM150" s="72"/>
      <c r="PNN150" s="72"/>
      <c r="PNO150" s="72"/>
      <c r="PNP150" s="72"/>
      <c r="PNQ150" s="72"/>
      <c r="PNR150" s="72"/>
      <c r="PNS150" s="72"/>
      <c r="PNT150" s="72"/>
      <c r="PNU150" s="72"/>
      <c r="PNV150" s="72"/>
      <c r="PNW150" s="72"/>
      <c r="PNX150" s="72"/>
      <c r="PNY150" s="72"/>
      <c r="PNZ150" s="72"/>
      <c r="POA150" s="72"/>
      <c r="POB150" s="72"/>
      <c r="POC150" s="72"/>
      <c r="POD150" s="72"/>
      <c r="POE150" s="72"/>
      <c r="POF150" s="72"/>
      <c r="POG150" s="72"/>
      <c r="POH150" s="72"/>
      <c r="POI150" s="72"/>
      <c r="POJ150" s="72"/>
      <c r="POK150" s="72"/>
      <c r="POL150" s="72"/>
      <c r="POM150" s="72"/>
      <c r="PON150" s="72"/>
      <c r="POO150" s="72"/>
      <c r="POP150" s="72"/>
      <c r="POQ150" s="72"/>
      <c r="POR150" s="72"/>
      <c r="POS150" s="72"/>
      <c r="POT150" s="72"/>
      <c r="POU150" s="72"/>
      <c r="POV150" s="72"/>
      <c r="POW150" s="72"/>
      <c r="POX150" s="72"/>
      <c r="POY150" s="72"/>
      <c r="POZ150" s="72"/>
      <c r="PPA150" s="72"/>
      <c r="PPB150" s="72"/>
      <c r="PPC150" s="72"/>
      <c r="PPD150" s="72"/>
      <c r="PPE150" s="72"/>
      <c r="PPF150" s="72"/>
      <c r="PPG150" s="72"/>
      <c r="PPH150" s="72"/>
      <c r="PPI150" s="72"/>
      <c r="PPJ150" s="72"/>
      <c r="PPK150" s="72"/>
      <c r="PPL150" s="72"/>
      <c r="PPM150" s="72"/>
      <c r="PPN150" s="72"/>
      <c r="PPO150" s="72"/>
      <c r="PPP150" s="72"/>
      <c r="PPQ150" s="72"/>
      <c r="PPR150" s="72"/>
      <c r="PPS150" s="72"/>
      <c r="PPT150" s="72"/>
      <c r="PPU150" s="72"/>
      <c r="PPV150" s="72"/>
      <c r="PPW150" s="72"/>
      <c r="PPX150" s="72"/>
      <c r="PPY150" s="72"/>
      <c r="PPZ150" s="72"/>
      <c r="PQA150" s="72"/>
      <c r="PQB150" s="72"/>
      <c r="PQC150" s="72"/>
      <c r="PQD150" s="72"/>
      <c r="PQE150" s="72"/>
      <c r="PQF150" s="72"/>
      <c r="PQG150" s="72"/>
      <c r="PQH150" s="72"/>
      <c r="PQI150" s="72"/>
      <c r="PQJ150" s="72"/>
      <c r="PQK150" s="72"/>
      <c r="PQL150" s="72"/>
      <c r="PQM150" s="72"/>
      <c r="PQN150" s="72"/>
      <c r="PQO150" s="72"/>
      <c r="PQP150" s="72"/>
      <c r="PQQ150" s="72"/>
      <c r="PQR150" s="72"/>
      <c r="PQS150" s="72"/>
      <c r="PQT150" s="72"/>
      <c r="PQU150" s="72"/>
      <c r="PQV150" s="72"/>
      <c r="PQW150" s="72"/>
      <c r="PQX150" s="72"/>
      <c r="PQY150" s="72"/>
      <c r="PQZ150" s="72"/>
      <c r="PRA150" s="72"/>
      <c r="PRB150" s="72"/>
      <c r="PRC150" s="72"/>
      <c r="PRD150" s="72"/>
      <c r="PRE150" s="72"/>
      <c r="PRF150" s="72"/>
      <c r="PRG150" s="72"/>
      <c r="PRH150" s="72"/>
      <c r="PRI150" s="72"/>
      <c r="PRJ150" s="72"/>
      <c r="PRK150" s="72"/>
      <c r="PRL150" s="72"/>
      <c r="PRM150" s="72"/>
      <c r="PRN150" s="72"/>
      <c r="PRO150" s="72"/>
      <c r="PRP150" s="72"/>
      <c r="PRQ150" s="72"/>
      <c r="PRR150" s="72"/>
      <c r="PRS150" s="72"/>
      <c r="PRT150" s="72"/>
      <c r="PRU150" s="72"/>
      <c r="PRV150" s="72"/>
      <c r="PRW150" s="72"/>
      <c r="PRX150" s="72"/>
      <c r="PRY150" s="72"/>
      <c r="PRZ150" s="72"/>
      <c r="PSA150" s="72"/>
      <c r="PSB150" s="72"/>
      <c r="PSC150" s="72"/>
      <c r="PSD150" s="72"/>
      <c r="PSE150" s="72"/>
      <c r="PSF150" s="72"/>
      <c r="PSG150" s="72"/>
      <c r="PSH150" s="72"/>
      <c r="PSI150" s="72"/>
      <c r="PSJ150" s="72"/>
      <c r="PSK150" s="72"/>
      <c r="PSL150" s="72"/>
      <c r="PSM150" s="72"/>
      <c r="PSN150" s="72"/>
      <c r="PSO150" s="72"/>
      <c r="PSP150" s="72"/>
      <c r="PSQ150" s="72"/>
      <c r="PSR150" s="72"/>
      <c r="PSS150" s="72"/>
      <c r="PST150" s="72"/>
      <c r="PSU150" s="72"/>
      <c r="PSV150" s="72"/>
      <c r="PSW150" s="72"/>
      <c r="PSX150" s="72"/>
      <c r="PSY150" s="72"/>
      <c r="PSZ150" s="72"/>
      <c r="PTA150" s="72"/>
      <c r="PTB150" s="72"/>
      <c r="PTC150" s="72"/>
      <c r="PTD150" s="72"/>
      <c r="PTE150" s="72"/>
      <c r="PTF150" s="72"/>
      <c r="PTG150" s="72"/>
      <c r="PTH150" s="72"/>
      <c r="PTI150" s="72"/>
      <c r="PTJ150" s="72"/>
      <c r="PTK150" s="72"/>
      <c r="PTL150" s="72"/>
      <c r="PTM150" s="72"/>
      <c r="PTN150" s="72"/>
      <c r="PTO150" s="72"/>
      <c r="PTP150" s="72"/>
      <c r="PTQ150" s="72"/>
      <c r="PTR150" s="72"/>
      <c r="PTS150" s="72"/>
      <c r="PTT150" s="72"/>
      <c r="PTU150" s="72"/>
      <c r="PTV150" s="72"/>
      <c r="PTW150" s="72"/>
      <c r="PTX150" s="72"/>
      <c r="PTY150" s="72"/>
      <c r="PTZ150" s="72"/>
      <c r="PUA150" s="72"/>
      <c r="PUB150" s="72"/>
      <c r="PUC150" s="72"/>
      <c r="PUD150" s="72"/>
      <c r="PUE150" s="72"/>
      <c r="PUF150" s="72"/>
      <c r="PUG150" s="72"/>
      <c r="PUH150" s="72"/>
      <c r="PUI150" s="72"/>
      <c r="PUJ150" s="72"/>
      <c r="PUK150" s="72"/>
      <c r="PUL150" s="72"/>
      <c r="PUM150" s="72"/>
      <c r="PUN150" s="72"/>
      <c r="PUO150" s="72"/>
      <c r="PUP150" s="72"/>
      <c r="PUQ150" s="72"/>
      <c r="PUR150" s="72"/>
      <c r="PUS150" s="72"/>
      <c r="PUT150" s="72"/>
      <c r="PUU150" s="72"/>
      <c r="PUV150" s="72"/>
      <c r="PUW150" s="72"/>
      <c r="PUX150" s="72"/>
      <c r="PUY150" s="72"/>
      <c r="PUZ150" s="72"/>
      <c r="PVA150" s="72"/>
      <c r="PVB150" s="72"/>
      <c r="PVC150" s="72"/>
      <c r="PVD150" s="72"/>
      <c r="PVE150" s="72"/>
      <c r="PVF150" s="72"/>
      <c r="PVG150" s="72"/>
      <c r="PVH150" s="72"/>
      <c r="PVI150" s="72"/>
      <c r="PVJ150" s="72"/>
      <c r="PVK150" s="72"/>
      <c r="PVL150" s="72"/>
      <c r="PVM150" s="72"/>
      <c r="PVN150" s="72"/>
      <c r="PVO150" s="72"/>
      <c r="PVP150" s="72"/>
      <c r="PVQ150" s="72"/>
      <c r="PVR150" s="72"/>
      <c r="PVS150" s="72"/>
      <c r="PVT150" s="72"/>
      <c r="PVU150" s="72"/>
      <c r="PVV150" s="72"/>
      <c r="PVW150" s="72"/>
      <c r="PVX150" s="72"/>
      <c r="PVY150" s="72"/>
      <c r="PVZ150" s="72"/>
      <c r="PWA150" s="72"/>
      <c r="PWB150" s="72"/>
      <c r="PWC150" s="72"/>
      <c r="PWD150" s="72"/>
      <c r="PWE150" s="72"/>
      <c r="PWF150" s="72"/>
      <c r="PWG150" s="72"/>
      <c r="PWH150" s="72"/>
      <c r="PWI150" s="72"/>
      <c r="PWJ150" s="72"/>
      <c r="PWK150" s="72"/>
      <c r="PWL150" s="72"/>
      <c r="PWM150" s="72"/>
      <c r="PWN150" s="72"/>
      <c r="PWO150" s="72"/>
      <c r="PWP150" s="72"/>
      <c r="PWQ150" s="72"/>
      <c r="PWR150" s="72"/>
      <c r="PWS150" s="72"/>
      <c r="PWT150" s="72"/>
      <c r="PWU150" s="72"/>
      <c r="PWV150" s="72"/>
      <c r="PWW150" s="72"/>
      <c r="PWX150" s="72"/>
      <c r="PWY150" s="72"/>
      <c r="PWZ150" s="72"/>
      <c r="PXA150" s="72"/>
      <c r="PXB150" s="72"/>
      <c r="PXC150" s="72"/>
      <c r="PXD150" s="72"/>
      <c r="PXE150" s="72"/>
      <c r="PXF150" s="72"/>
      <c r="PXG150" s="72"/>
      <c r="PXH150" s="72"/>
      <c r="PXI150" s="72"/>
      <c r="PXJ150" s="72"/>
      <c r="PXK150" s="72"/>
      <c r="PXL150" s="72"/>
      <c r="PXM150" s="72"/>
      <c r="PXN150" s="72"/>
      <c r="PXO150" s="72"/>
      <c r="PXP150" s="72"/>
      <c r="PXQ150" s="72"/>
      <c r="PXR150" s="72"/>
      <c r="PXS150" s="72"/>
      <c r="PXT150" s="72"/>
      <c r="PXU150" s="72"/>
      <c r="PXV150" s="72"/>
      <c r="PXW150" s="72"/>
      <c r="PXX150" s="72"/>
      <c r="PXY150" s="72"/>
      <c r="PXZ150" s="72"/>
      <c r="PYA150" s="72"/>
      <c r="PYB150" s="72"/>
      <c r="PYC150" s="72"/>
      <c r="PYD150" s="72"/>
      <c r="PYE150" s="72"/>
      <c r="PYF150" s="72"/>
      <c r="PYG150" s="72"/>
      <c r="PYH150" s="72"/>
      <c r="PYI150" s="72"/>
      <c r="PYJ150" s="72"/>
      <c r="PYK150" s="72"/>
      <c r="PYL150" s="72"/>
      <c r="PYM150" s="72"/>
      <c r="PYN150" s="72"/>
      <c r="PYO150" s="72"/>
      <c r="PYP150" s="72"/>
      <c r="PYQ150" s="72"/>
      <c r="PYR150" s="72"/>
      <c r="PYS150" s="72"/>
      <c r="PYT150" s="72"/>
      <c r="PYU150" s="72"/>
      <c r="PYV150" s="72"/>
      <c r="PYW150" s="72"/>
      <c r="PYX150" s="72"/>
      <c r="PYY150" s="72"/>
      <c r="PYZ150" s="72"/>
      <c r="PZA150" s="72"/>
      <c r="PZB150" s="72"/>
      <c r="PZC150" s="72"/>
      <c r="PZD150" s="72"/>
      <c r="PZE150" s="72"/>
      <c r="PZF150" s="72"/>
      <c r="PZG150" s="72"/>
      <c r="PZH150" s="72"/>
      <c r="PZI150" s="72"/>
      <c r="PZJ150" s="72"/>
      <c r="PZK150" s="72"/>
      <c r="PZL150" s="72"/>
      <c r="PZM150" s="72"/>
      <c r="PZN150" s="72"/>
      <c r="PZO150" s="72"/>
      <c r="PZP150" s="72"/>
      <c r="PZQ150" s="72"/>
      <c r="PZR150" s="72"/>
      <c r="PZS150" s="72"/>
      <c r="PZT150" s="72"/>
      <c r="PZU150" s="72"/>
      <c r="PZV150" s="72"/>
      <c r="PZW150" s="72"/>
      <c r="PZX150" s="72"/>
      <c r="PZY150" s="72"/>
      <c r="PZZ150" s="72"/>
      <c r="QAA150" s="72"/>
      <c r="QAB150" s="72"/>
      <c r="QAC150" s="72"/>
      <c r="QAD150" s="72"/>
      <c r="QAE150" s="72"/>
      <c r="QAF150" s="72"/>
      <c r="QAG150" s="72"/>
      <c r="QAH150" s="72"/>
      <c r="QAI150" s="72"/>
      <c r="QAJ150" s="72"/>
      <c r="QAK150" s="72"/>
      <c r="QAL150" s="72"/>
      <c r="QAM150" s="72"/>
      <c r="QAN150" s="72"/>
      <c r="QAO150" s="72"/>
      <c r="QAP150" s="72"/>
      <c r="QAQ150" s="72"/>
      <c r="QAR150" s="72"/>
      <c r="QAS150" s="72"/>
      <c r="QAT150" s="72"/>
      <c r="QAU150" s="72"/>
      <c r="QAV150" s="72"/>
      <c r="QAW150" s="72"/>
      <c r="QAX150" s="72"/>
      <c r="QAY150" s="72"/>
      <c r="QAZ150" s="72"/>
      <c r="QBA150" s="72"/>
      <c r="QBB150" s="72"/>
      <c r="QBC150" s="72"/>
      <c r="QBD150" s="72"/>
      <c r="QBE150" s="72"/>
      <c r="QBF150" s="72"/>
      <c r="QBG150" s="72"/>
      <c r="QBH150" s="72"/>
      <c r="QBI150" s="72"/>
      <c r="QBJ150" s="72"/>
      <c r="QBK150" s="72"/>
      <c r="QBL150" s="72"/>
      <c r="QBM150" s="72"/>
      <c r="QBN150" s="72"/>
      <c r="QBO150" s="72"/>
      <c r="QBP150" s="72"/>
      <c r="QBQ150" s="72"/>
      <c r="QBR150" s="72"/>
      <c r="QBS150" s="72"/>
      <c r="QBT150" s="72"/>
      <c r="QBU150" s="72"/>
      <c r="QBV150" s="72"/>
      <c r="QBW150" s="72"/>
      <c r="QBX150" s="72"/>
      <c r="QBY150" s="72"/>
      <c r="QBZ150" s="72"/>
      <c r="QCA150" s="72"/>
      <c r="QCB150" s="72"/>
      <c r="QCC150" s="72"/>
      <c r="QCD150" s="72"/>
      <c r="QCE150" s="72"/>
      <c r="QCF150" s="72"/>
      <c r="QCG150" s="72"/>
      <c r="QCH150" s="72"/>
      <c r="QCI150" s="72"/>
      <c r="QCJ150" s="72"/>
      <c r="QCK150" s="72"/>
      <c r="QCL150" s="72"/>
      <c r="QCM150" s="72"/>
      <c r="QCN150" s="72"/>
      <c r="QCO150" s="72"/>
      <c r="QCP150" s="72"/>
      <c r="QCQ150" s="72"/>
      <c r="QCR150" s="72"/>
      <c r="QCS150" s="72"/>
      <c r="QCT150" s="72"/>
      <c r="QCU150" s="72"/>
      <c r="QCV150" s="72"/>
      <c r="QCW150" s="72"/>
      <c r="QCX150" s="72"/>
      <c r="QCY150" s="72"/>
      <c r="QCZ150" s="72"/>
      <c r="QDA150" s="72"/>
      <c r="QDB150" s="72"/>
      <c r="QDC150" s="72"/>
      <c r="QDD150" s="72"/>
      <c r="QDE150" s="72"/>
      <c r="QDF150" s="72"/>
      <c r="QDG150" s="72"/>
      <c r="QDH150" s="72"/>
      <c r="QDI150" s="72"/>
      <c r="QDJ150" s="72"/>
      <c r="QDK150" s="72"/>
      <c r="QDL150" s="72"/>
      <c r="QDM150" s="72"/>
      <c r="QDN150" s="72"/>
      <c r="QDO150" s="72"/>
      <c r="QDP150" s="72"/>
      <c r="QDQ150" s="72"/>
      <c r="QDR150" s="72"/>
      <c r="QDS150" s="72"/>
      <c r="QDT150" s="72"/>
      <c r="QDU150" s="72"/>
      <c r="QDV150" s="72"/>
      <c r="QDW150" s="72"/>
      <c r="QDX150" s="72"/>
      <c r="QDY150" s="72"/>
      <c r="QDZ150" s="72"/>
      <c r="QEA150" s="72"/>
      <c r="QEB150" s="72"/>
      <c r="QEC150" s="72"/>
      <c r="QED150" s="72"/>
      <c r="QEE150" s="72"/>
      <c r="QEF150" s="72"/>
      <c r="QEG150" s="72"/>
      <c r="QEH150" s="72"/>
      <c r="QEI150" s="72"/>
      <c r="QEJ150" s="72"/>
      <c r="QEK150" s="72"/>
      <c r="QEL150" s="72"/>
      <c r="QEM150" s="72"/>
      <c r="QEN150" s="72"/>
      <c r="QEO150" s="72"/>
      <c r="QEP150" s="72"/>
      <c r="QEQ150" s="72"/>
      <c r="QER150" s="72"/>
      <c r="QES150" s="72"/>
      <c r="QET150" s="72"/>
      <c r="QEU150" s="72"/>
      <c r="QEV150" s="72"/>
      <c r="QEW150" s="72"/>
      <c r="QEX150" s="72"/>
      <c r="QEY150" s="72"/>
      <c r="QEZ150" s="72"/>
      <c r="QFA150" s="72"/>
      <c r="QFB150" s="72"/>
      <c r="QFC150" s="72"/>
      <c r="QFD150" s="72"/>
      <c r="QFE150" s="72"/>
      <c r="QFF150" s="72"/>
      <c r="QFG150" s="72"/>
      <c r="QFH150" s="72"/>
      <c r="QFI150" s="72"/>
      <c r="QFJ150" s="72"/>
      <c r="QFK150" s="72"/>
      <c r="QFL150" s="72"/>
      <c r="QFM150" s="72"/>
      <c r="QFN150" s="72"/>
      <c r="QFO150" s="72"/>
      <c r="QFP150" s="72"/>
      <c r="QFQ150" s="72"/>
      <c r="QFR150" s="72"/>
      <c r="QFS150" s="72"/>
      <c r="QFT150" s="72"/>
      <c r="QFU150" s="72"/>
      <c r="QFV150" s="72"/>
      <c r="QFW150" s="72"/>
      <c r="QFX150" s="72"/>
      <c r="QFY150" s="72"/>
      <c r="QFZ150" s="72"/>
      <c r="QGA150" s="72"/>
      <c r="QGB150" s="72"/>
      <c r="QGC150" s="72"/>
      <c r="QGD150" s="72"/>
      <c r="QGE150" s="72"/>
      <c r="QGF150" s="72"/>
      <c r="QGG150" s="72"/>
      <c r="QGH150" s="72"/>
      <c r="QGI150" s="72"/>
      <c r="QGJ150" s="72"/>
      <c r="QGK150" s="72"/>
      <c r="QGL150" s="72"/>
      <c r="QGM150" s="72"/>
      <c r="QGN150" s="72"/>
      <c r="QGO150" s="72"/>
      <c r="QGP150" s="72"/>
      <c r="QGQ150" s="72"/>
      <c r="QGR150" s="72"/>
      <c r="QGS150" s="72"/>
      <c r="QGT150" s="72"/>
      <c r="QGU150" s="72"/>
      <c r="QGV150" s="72"/>
      <c r="QGW150" s="72"/>
      <c r="QGX150" s="72"/>
      <c r="QGY150" s="72"/>
      <c r="QGZ150" s="72"/>
      <c r="QHA150" s="72"/>
      <c r="QHB150" s="72"/>
      <c r="QHC150" s="72"/>
      <c r="QHD150" s="72"/>
      <c r="QHE150" s="72"/>
      <c r="QHF150" s="72"/>
      <c r="QHG150" s="72"/>
      <c r="QHH150" s="72"/>
      <c r="QHI150" s="72"/>
      <c r="QHJ150" s="72"/>
      <c r="QHK150" s="72"/>
      <c r="QHL150" s="72"/>
      <c r="QHM150" s="72"/>
      <c r="QHN150" s="72"/>
      <c r="QHO150" s="72"/>
      <c r="QHP150" s="72"/>
      <c r="QHQ150" s="72"/>
      <c r="QHR150" s="72"/>
      <c r="QHS150" s="72"/>
      <c r="QHT150" s="72"/>
      <c r="QHU150" s="72"/>
      <c r="QHV150" s="72"/>
      <c r="QHW150" s="72"/>
      <c r="QHX150" s="72"/>
      <c r="QHY150" s="72"/>
      <c r="QHZ150" s="72"/>
      <c r="QIA150" s="72"/>
      <c r="QIB150" s="72"/>
      <c r="QIC150" s="72"/>
      <c r="QID150" s="72"/>
      <c r="QIE150" s="72"/>
      <c r="QIF150" s="72"/>
      <c r="QIG150" s="72"/>
      <c r="QIH150" s="72"/>
      <c r="QII150" s="72"/>
      <c r="QIJ150" s="72"/>
      <c r="QIK150" s="72"/>
      <c r="QIL150" s="72"/>
      <c r="QIM150" s="72"/>
      <c r="QIN150" s="72"/>
      <c r="QIO150" s="72"/>
      <c r="QIP150" s="72"/>
      <c r="QIQ150" s="72"/>
      <c r="QIR150" s="72"/>
      <c r="QIS150" s="72"/>
      <c r="QIT150" s="72"/>
      <c r="QIU150" s="72"/>
      <c r="QIV150" s="72"/>
      <c r="QIW150" s="72"/>
      <c r="QIX150" s="72"/>
      <c r="QIY150" s="72"/>
      <c r="QIZ150" s="72"/>
      <c r="QJA150" s="72"/>
      <c r="QJB150" s="72"/>
      <c r="QJC150" s="72"/>
      <c r="QJD150" s="72"/>
      <c r="QJE150" s="72"/>
      <c r="QJF150" s="72"/>
      <c r="QJG150" s="72"/>
      <c r="QJH150" s="72"/>
      <c r="QJI150" s="72"/>
      <c r="QJJ150" s="72"/>
      <c r="QJK150" s="72"/>
      <c r="QJL150" s="72"/>
      <c r="QJM150" s="72"/>
      <c r="QJN150" s="72"/>
      <c r="QJO150" s="72"/>
      <c r="QJP150" s="72"/>
      <c r="QJQ150" s="72"/>
      <c r="QJR150" s="72"/>
      <c r="QJS150" s="72"/>
      <c r="QJT150" s="72"/>
      <c r="QJU150" s="72"/>
      <c r="QJV150" s="72"/>
      <c r="QJW150" s="72"/>
      <c r="QJX150" s="72"/>
      <c r="QJY150" s="72"/>
      <c r="QJZ150" s="72"/>
      <c r="QKA150" s="72"/>
      <c r="QKB150" s="72"/>
      <c r="QKC150" s="72"/>
      <c r="QKD150" s="72"/>
      <c r="QKE150" s="72"/>
      <c r="QKF150" s="72"/>
      <c r="QKG150" s="72"/>
      <c r="QKH150" s="72"/>
      <c r="QKI150" s="72"/>
      <c r="QKJ150" s="72"/>
      <c r="QKK150" s="72"/>
      <c r="QKL150" s="72"/>
      <c r="QKM150" s="72"/>
      <c r="QKN150" s="72"/>
      <c r="QKO150" s="72"/>
      <c r="QKP150" s="72"/>
      <c r="QKQ150" s="72"/>
      <c r="QKR150" s="72"/>
      <c r="QKS150" s="72"/>
      <c r="QKT150" s="72"/>
      <c r="QKU150" s="72"/>
      <c r="QKV150" s="72"/>
      <c r="QKW150" s="72"/>
      <c r="QKX150" s="72"/>
      <c r="QKY150" s="72"/>
      <c r="QKZ150" s="72"/>
      <c r="QLA150" s="72"/>
      <c r="QLB150" s="72"/>
      <c r="QLC150" s="72"/>
      <c r="QLD150" s="72"/>
      <c r="QLE150" s="72"/>
      <c r="QLF150" s="72"/>
      <c r="QLG150" s="72"/>
      <c r="QLH150" s="72"/>
      <c r="QLI150" s="72"/>
      <c r="QLJ150" s="72"/>
      <c r="QLK150" s="72"/>
      <c r="QLL150" s="72"/>
      <c r="QLM150" s="72"/>
      <c r="QLN150" s="72"/>
      <c r="QLO150" s="72"/>
      <c r="QLP150" s="72"/>
      <c r="QLQ150" s="72"/>
      <c r="QLR150" s="72"/>
      <c r="QLS150" s="72"/>
      <c r="QLT150" s="72"/>
      <c r="QLU150" s="72"/>
      <c r="QLV150" s="72"/>
      <c r="QLW150" s="72"/>
      <c r="QLX150" s="72"/>
      <c r="QLY150" s="72"/>
      <c r="QLZ150" s="72"/>
      <c r="QMA150" s="72"/>
      <c r="QMB150" s="72"/>
      <c r="QMC150" s="72"/>
      <c r="QMD150" s="72"/>
      <c r="QME150" s="72"/>
      <c r="QMF150" s="72"/>
      <c r="QMG150" s="72"/>
      <c r="QMH150" s="72"/>
      <c r="QMI150" s="72"/>
      <c r="QMJ150" s="72"/>
      <c r="QMK150" s="72"/>
      <c r="QML150" s="72"/>
      <c r="QMM150" s="72"/>
      <c r="QMN150" s="72"/>
      <c r="QMO150" s="72"/>
      <c r="QMP150" s="72"/>
      <c r="QMQ150" s="72"/>
      <c r="QMR150" s="72"/>
      <c r="QMS150" s="72"/>
      <c r="QMT150" s="72"/>
      <c r="QMU150" s="72"/>
      <c r="QMV150" s="72"/>
      <c r="QMW150" s="72"/>
      <c r="QMX150" s="72"/>
      <c r="QMY150" s="72"/>
      <c r="QMZ150" s="72"/>
      <c r="QNA150" s="72"/>
      <c r="QNB150" s="72"/>
      <c r="QNC150" s="72"/>
      <c r="QND150" s="72"/>
      <c r="QNE150" s="72"/>
      <c r="QNF150" s="72"/>
      <c r="QNG150" s="72"/>
      <c r="QNH150" s="72"/>
      <c r="QNI150" s="72"/>
      <c r="QNJ150" s="72"/>
      <c r="QNK150" s="72"/>
      <c r="QNL150" s="72"/>
      <c r="QNM150" s="72"/>
      <c r="QNN150" s="72"/>
      <c r="QNO150" s="72"/>
      <c r="QNP150" s="72"/>
      <c r="QNQ150" s="72"/>
      <c r="QNR150" s="72"/>
      <c r="QNS150" s="72"/>
      <c r="QNT150" s="72"/>
      <c r="QNU150" s="72"/>
      <c r="QNV150" s="72"/>
      <c r="QNW150" s="72"/>
      <c r="QNX150" s="72"/>
      <c r="QNY150" s="72"/>
      <c r="QNZ150" s="72"/>
      <c r="QOA150" s="72"/>
      <c r="QOB150" s="72"/>
      <c r="QOC150" s="72"/>
      <c r="QOD150" s="72"/>
      <c r="QOE150" s="72"/>
      <c r="QOF150" s="72"/>
      <c r="QOG150" s="72"/>
      <c r="QOH150" s="72"/>
      <c r="QOI150" s="72"/>
      <c r="QOJ150" s="72"/>
      <c r="QOK150" s="72"/>
      <c r="QOL150" s="72"/>
      <c r="QOM150" s="72"/>
      <c r="QON150" s="72"/>
      <c r="QOO150" s="72"/>
      <c r="QOP150" s="72"/>
      <c r="QOQ150" s="72"/>
      <c r="QOR150" s="72"/>
      <c r="QOS150" s="72"/>
      <c r="QOT150" s="72"/>
      <c r="QOU150" s="72"/>
      <c r="QOV150" s="72"/>
      <c r="QOW150" s="72"/>
      <c r="QOX150" s="72"/>
      <c r="QOY150" s="72"/>
      <c r="QOZ150" s="72"/>
      <c r="QPA150" s="72"/>
      <c r="QPB150" s="72"/>
      <c r="QPC150" s="72"/>
      <c r="QPD150" s="72"/>
      <c r="QPE150" s="72"/>
      <c r="QPF150" s="72"/>
      <c r="QPG150" s="72"/>
      <c r="QPH150" s="72"/>
      <c r="QPI150" s="72"/>
      <c r="QPJ150" s="72"/>
      <c r="QPK150" s="72"/>
      <c r="QPL150" s="72"/>
      <c r="QPM150" s="72"/>
      <c r="QPN150" s="72"/>
      <c r="QPO150" s="72"/>
      <c r="QPP150" s="72"/>
      <c r="QPQ150" s="72"/>
      <c r="QPR150" s="72"/>
      <c r="QPS150" s="72"/>
      <c r="QPT150" s="72"/>
      <c r="QPU150" s="72"/>
      <c r="QPV150" s="72"/>
      <c r="QPW150" s="72"/>
      <c r="QPX150" s="72"/>
      <c r="QPY150" s="72"/>
      <c r="QPZ150" s="72"/>
      <c r="QQA150" s="72"/>
      <c r="QQB150" s="72"/>
      <c r="QQC150" s="72"/>
      <c r="QQD150" s="72"/>
      <c r="QQE150" s="72"/>
      <c r="QQF150" s="72"/>
      <c r="QQG150" s="72"/>
      <c r="QQH150" s="72"/>
      <c r="QQI150" s="72"/>
      <c r="QQJ150" s="72"/>
      <c r="QQK150" s="72"/>
      <c r="QQL150" s="72"/>
      <c r="QQM150" s="72"/>
      <c r="QQN150" s="72"/>
      <c r="QQO150" s="72"/>
      <c r="QQP150" s="72"/>
      <c r="QQQ150" s="72"/>
      <c r="QQR150" s="72"/>
      <c r="QQS150" s="72"/>
      <c r="QQT150" s="72"/>
      <c r="QQU150" s="72"/>
      <c r="QQV150" s="72"/>
      <c r="QQW150" s="72"/>
      <c r="QQX150" s="72"/>
      <c r="QQY150" s="72"/>
      <c r="QQZ150" s="72"/>
      <c r="QRA150" s="72"/>
      <c r="QRB150" s="72"/>
      <c r="QRC150" s="72"/>
      <c r="QRD150" s="72"/>
      <c r="QRE150" s="72"/>
      <c r="QRF150" s="72"/>
      <c r="QRG150" s="72"/>
      <c r="QRH150" s="72"/>
      <c r="QRI150" s="72"/>
      <c r="QRJ150" s="72"/>
      <c r="QRK150" s="72"/>
      <c r="QRL150" s="72"/>
      <c r="QRM150" s="72"/>
      <c r="QRN150" s="72"/>
      <c r="QRO150" s="72"/>
      <c r="QRP150" s="72"/>
      <c r="QRQ150" s="72"/>
      <c r="QRR150" s="72"/>
      <c r="QRS150" s="72"/>
      <c r="QRT150" s="72"/>
      <c r="QRU150" s="72"/>
      <c r="QRV150" s="72"/>
      <c r="QRW150" s="72"/>
      <c r="QRX150" s="72"/>
      <c r="QRY150" s="72"/>
      <c r="QRZ150" s="72"/>
      <c r="QSA150" s="72"/>
      <c r="QSB150" s="72"/>
      <c r="QSC150" s="72"/>
      <c r="QSD150" s="72"/>
      <c r="QSE150" s="72"/>
      <c r="QSF150" s="72"/>
      <c r="QSG150" s="72"/>
      <c r="QSH150" s="72"/>
      <c r="QSI150" s="72"/>
      <c r="QSJ150" s="72"/>
      <c r="QSK150" s="72"/>
      <c r="QSL150" s="72"/>
      <c r="QSM150" s="72"/>
      <c r="QSN150" s="72"/>
      <c r="QSO150" s="72"/>
      <c r="QSP150" s="72"/>
      <c r="QSQ150" s="72"/>
      <c r="QSR150" s="72"/>
      <c r="QSS150" s="72"/>
      <c r="QST150" s="72"/>
      <c r="QSU150" s="72"/>
      <c r="QSV150" s="72"/>
      <c r="QSW150" s="72"/>
      <c r="QSX150" s="72"/>
      <c r="QSY150" s="72"/>
      <c r="QSZ150" s="72"/>
      <c r="QTA150" s="72"/>
      <c r="QTB150" s="72"/>
      <c r="QTC150" s="72"/>
      <c r="QTD150" s="72"/>
      <c r="QTE150" s="72"/>
      <c r="QTF150" s="72"/>
      <c r="QTG150" s="72"/>
      <c r="QTH150" s="72"/>
      <c r="QTI150" s="72"/>
      <c r="QTJ150" s="72"/>
      <c r="QTK150" s="72"/>
      <c r="QTL150" s="72"/>
      <c r="QTM150" s="72"/>
      <c r="QTN150" s="72"/>
      <c r="QTO150" s="72"/>
      <c r="QTP150" s="72"/>
      <c r="QTQ150" s="72"/>
      <c r="QTR150" s="72"/>
      <c r="QTS150" s="72"/>
      <c r="QTT150" s="72"/>
      <c r="QTU150" s="72"/>
      <c r="QTV150" s="72"/>
      <c r="QTW150" s="72"/>
      <c r="QTX150" s="72"/>
      <c r="QTY150" s="72"/>
      <c r="QTZ150" s="72"/>
      <c r="QUA150" s="72"/>
      <c r="QUB150" s="72"/>
      <c r="QUC150" s="72"/>
      <c r="QUD150" s="72"/>
      <c r="QUE150" s="72"/>
      <c r="QUF150" s="72"/>
      <c r="QUG150" s="72"/>
      <c r="QUH150" s="72"/>
      <c r="QUI150" s="72"/>
      <c r="QUJ150" s="72"/>
      <c r="QUK150" s="72"/>
      <c r="QUL150" s="72"/>
      <c r="QUM150" s="72"/>
      <c r="QUN150" s="72"/>
      <c r="QUO150" s="72"/>
      <c r="QUP150" s="72"/>
      <c r="QUQ150" s="72"/>
      <c r="QUR150" s="72"/>
      <c r="QUS150" s="72"/>
      <c r="QUT150" s="72"/>
      <c r="QUU150" s="72"/>
      <c r="QUV150" s="72"/>
      <c r="QUW150" s="72"/>
      <c r="QUX150" s="72"/>
      <c r="QUY150" s="72"/>
      <c r="QUZ150" s="72"/>
      <c r="QVA150" s="72"/>
      <c r="QVB150" s="72"/>
      <c r="QVC150" s="72"/>
      <c r="QVD150" s="72"/>
      <c r="QVE150" s="72"/>
      <c r="QVF150" s="72"/>
      <c r="QVG150" s="72"/>
      <c r="QVH150" s="72"/>
      <c r="QVI150" s="72"/>
      <c r="QVJ150" s="72"/>
      <c r="QVK150" s="72"/>
      <c r="QVL150" s="72"/>
      <c r="QVM150" s="72"/>
      <c r="QVN150" s="72"/>
      <c r="QVO150" s="72"/>
      <c r="QVP150" s="72"/>
      <c r="QVQ150" s="72"/>
      <c r="QVR150" s="72"/>
      <c r="QVS150" s="72"/>
      <c r="QVT150" s="72"/>
      <c r="QVU150" s="72"/>
      <c r="QVV150" s="72"/>
      <c r="QVW150" s="72"/>
      <c r="QVX150" s="72"/>
      <c r="QVY150" s="72"/>
      <c r="QVZ150" s="72"/>
      <c r="QWA150" s="72"/>
      <c r="QWB150" s="72"/>
      <c r="QWC150" s="72"/>
      <c r="QWD150" s="72"/>
      <c r="QWE150" s="72"/>
      <c r="QWF150" s="72"/>
      <c r="QWG150" s="72"/>
      <c r="QWH150" s="72"/>
      <c r="QWI150" s="72"/>
      <c r="QWJ150" s="72"/>
      <c r="QWK150" s="72"/>
      <c r="QWL150" s="72"/>
      <c r="QWM150" s="72"/>
      <c r="QWN150" s="72"/>
      <c r="QWO150" s="72"/>
      <c r="QWP150" s="72"/>
      <c r="QWQ150" s="72"/>
      <c r="QWR150" s="72"/>
      <c r="QWS150" s="72"/>
      <c r="QWT150" s="72"/>
      <c r="QWU150" s="72"/>
      <c r="QWV150" s="72"/>
      <c r="QWW150" s="72"/>
      <c r="QWX150" s="72"/>
      <c r="QWY150" s="72"/>
      <c r="QWZ150" s="72"/>
      <c r="QXA150" s="72"/>
      <c r="QXB150" s="72"/>
      <c r="QXC150" s="72"/>
      <c r="QXD150" s="72"/>
      <c r="QXE150" s="72"/>
      <c r="QXF150" s="72"/>
      <c r="QXG150" s="72"/>
      <c r="QXH150" s="72"/>
      <c r="QXI150" s="72"/>
      <c r="QXJ150" s="72"/>
      <c r="QXK150" s="72"/>
      <c r="QXL150" s="72"/>
      <c r="QXM150" s="72"/>
      <c r="QXN150" s="72"/>
      <c r="QXO150" s="72"/>
      <c r="QXP150" s="72"/>
      <c r="QXQ150" s="72"/>
      <c r="QXR150" s="72"/>
      <c r="QXS150" s="72"/>
      <c r="QXT150" s="72"/>
      <c r="QXU150" s="72"/>
      <c r="QXV150" s="72"/>
      <c r="QXW150" s="72"/>
      <c r="QXX150" s="72"/>
      <c r="QXY150" s="72"/>
      <c r="QXZ150" s="72"/>
      <c r="QYA150" s="72"/>
      <c r="QYB150" s="72"/>
      <c r="QYC150" s="72"/>
      <c r="QYD150" s="72"/>
      <c r="QYE150" s="72"/>
      <c r="QYF150" s="72"/>
      <c r="QYG150" s="72"/>
      <c r="QYH150" s="72"/>
      <c r="QYI150" s="72"/>
      <c r="QYJ150" s="72"/>
      <c r="QYK150" s="72"/>
      <c r="QYL150" s="72"/>
      <c r="QYM150" s="72"/>
      <c r="QYN150" s="72"/>
      <c r="QYO150" s="72"/>
      <c r="QYP150" s="72"/>
      <c r="QYQ150" s="72"/>
      <c r="QYR150" s="72"/>
      <c r="QYS150" s="72"/>
      <c r="QYT150" s="72"/>
      <c r="QYU150" s="72"/>
      <c r="QYV150" s="72"/>
      <c r="QYW150" s="72"/>
      <c r="QYX150" s="72"/>
      <c r="QYY150" s="72"/>
      <c r="QYZ150" s="72"/>
      <c r="QZA150" s="72"/>
      <c r="QZB150" s="72"/>
      <c r="QZC150" s="72"/>
      <c r="QZD150" s="72"/>
      <c r="QZE150" s="72"/>
      <c r="QZF150" s="72"/>
      <c r="QZG150" s="72"/>
      <c r="QZH150" s="72"/>
      <c r="QZI150" s="72"/>
      <c r="QZJ150" s="72"/>
      <c r="QZK150" s="72"/>
      <c r="QZL150" s="72"/>
      <c r="QZM150" s="72"/>
      <c r="QZN150" s="72"/>
      <c r="QZO150" s="72"/>
      <c r="QZP150" s="72"/>
      <c r="QZQ150" s="72"/>
      <c r="QZR150" s="72"/>
      <c r="QZS150" s="72"/>
      <c r="QZT150" s="72"/>
      <c r="QZU150" s="72"/>
      <c r="QZV150" s="72"/>
      <c r="QZW150" s="72"/>
      <c r="QZX150" s="72"/>
      <c r="QZY150" s="72"/>
      <c r="QZZ150" s="72"/>
      <c r="RAA150" s="72"/>
      <c r="RAB150" s="72"/>
      <c r="RAC150" s="72"/>
      <c r="RAD150" s="72"/>
      <c r="RAE150" s="72"/>
      <c r="RAF150" s="72"/>
      <c r="RAG150" s="72"/>
      <c r="RAH150" s="72"/>
      <c r="RAI150" s="72"/>
      <c r="RAJ150" s="72"/>
      <c r="RAK150" s="72"/>
      <c r="RAL150" s="72"/>
      <c r="RAM150" s="72"/>
      <c r="RAN150" s="72"/>
      <c r="RAO150" s="72"/>
      <c r="RAP150" s="72"/>
      <c r="RAQ150" s="72"/>
      <c r="RAR150" s="72"/>
      <c r="RAS150" s="72"/>
      <c r="RAT150" s="72"/>
      <c r="RAU150" s="72"/>
      <c r="RAV150" s="72"/>
      <c r="RAW150" s="72"/>
      <c r="RAX150" s="72"/>
      <c r="RAY150" s="72"/>
      <c r="RAZ150" s="72"/>
      <c r="RBA150" s="72"/>
      <c r="RBB150" s="72"/>
      <c r="RBC150" s="72"/>
      <c r="RBD150" s="72"/>
      <c r="RBE150" s="72"/>
      <c r="RBF150" s="72"/>
      <c r="RBG150" s="72"/>
      <c r="RBH150" s="72"/>
      <c r="RBI150" s="72"/>
      <c r="RBJ150" s="72"/>
      <c r="RBK150" s="72"/>
      <c r="RBL150" s="72"/>
      <c r="RBM150" s="72"/>
      <c r="RBN150" s="72"/>
      <c r="RBO150" s="72"/>
      <c r="RBP150" s="72"/>
      <c r="RBQ150" s="72"/>
      <c r="RBR150" s="72"/>
      <c r="RBS150" s="72"/>
      <c r="RBT150" s="72"/>
      <c r="RBU150" s="72"/>
      <c r="RBV150" s="72"/>
      <c r="RBW150" s="72"/>
      <c r="RBX150" s="72"/>
      <c r="RBY150" s="72"/>
      <c r="RBZ150" s="72"/>
      <c r="RCA150" s="72"/>
      <c r="RCB150" s="72"/>
      <c r="RCC150" s="72"/>
      <c r="RCD150" s="72"/>
      <c r="RCE150" s="72"/>
      <c r="RCF150" s="72"/>
      <c r="RCG150" s="72"/>
      <c r="RCH150" s="72"/>
      <c r="RCI150" s="72"/>
      <c r="RCJ150" s="72"/>
      <c r="RCK150" s="72"/>
      <c r="RCL150" s="72"/>
      <c r="RCM150" s="72"/>
      <c r="RCN150" s="72"/>
      <c r="RCO150" s="72"/>
      <c r="RCP150" s="72"/>
      <c r="RCQ150" s="72"/>
      <c r="RCR150" s="72"/>
      <c r="RCS150" s="72"/>
      <c r="RCT150" s="72"/>
      <c r="RCU150" s="72"/>
      <c r="RCV150" s="72"/>
      <c r="RCW150" s="72"/>
      <c r="RCX150" s="72"/>
      <c r="RCY150" s="72"/>
      <c r="RCZ150" s="72"/>
      <c r="RDA150" s="72"/>
      <c r="RDB150" s="72"/>
      <c r="RDC150" s="72"/>
      <c r="RDD150" s="72"/>
      <c r="RDE150" s="72"/>
      <c r="RDF150" s="72"/>
      <c r="RDG150" s="72"/>
      <c r="RDH150" s="72"/>
      <c r="RDI150" s="72"/>
      <c r="RDJ150" s="72"/>
      <c r="RDK150" s="72"/>
      <c r="RDL150" s="72"/>
      <c r="RDM150" s="72"/>
      <c r="RDN150" s="72"/>
      <c r="RDO150" s="72"/>
      <c r="RDP150" s="72"/>
      <c r="RDQ150" s="72"/>
      <c r="RDR150" s="72"/>
      <c r="RDS150" s="72"/>
      <c r="RDT150" s="72"/>
      <c r="RDU150" s="72"/>
      <c r="RDV150" s="72"/>
      <c r="RDW150" s="72"/>
      <c r="RDX150" s="72"/>
      <c r="RDY150" s="72"/>
      <c r="RDZ150" s="72"/>
      <c r="REA150" s="72"/>
      <c r="REB150" s="72"/>
      <c r="REC150" s="72"/>
      <c r="RED150" s="72"/>
      <c r="REE150" s="72"/>
      <c r="REF150" s="72"/>
      <c r="REG150" s="72"/>
      <c r="REH150" s="72"/>
      <c r="REI150" s="72"/>
      <c r="REJ150" s="72"/>
      <c r="REK150" s="72"/>
      <c r="REL150" s="72"/>
      <c r="REM150" s="72"/>
      <c r="REN150" s="72"/>
      <c r="REO150" s="72"/>
      <c r="REP150" s="72"/>
      <c r="REQ150" s="72"/>
      <c r="RER150" s="72"/>
      <c r="RES150" s="72"/>
      <c r="RET150" s="72"/>
      <c r="REU150" s="72"/>
      <c r="REV150" s="72"/>
      <c r="REW150" s="72"/>
      <c r="REX150" s="72"/>
      <c r="REY150" s="72"/>
      <c r="REZ150" s="72"/>
      <c r="RFA150" s="72"/>
      <c r="RFB150" s="72"/>
      <c r="RFC150" s="72"/>
      <c r="RFD150" s="72"/>
      <c r="RFE150" s="72"/>
      <c r="RFF150" s="72"/>
      <c r="RFG150" s="72"/>
      <c r="RFH150" s="72"/>
      <c r="RFI150" s="72"/>
      <c r="RFJ150" s="72"/>
      <c r="RFK150" s="72"/>
      <c r="RFL150" s="72"/>
      <c r="RFM150" s="72"/>
      <c r="RFN150" s="72"/>
      <c r="RFO150" s="72"/>
      <c r="RFP150" s="72"/>
      <c r="RFQ150" s="72"/>
      <c r="RFR150" s="72"/>
      <c r="RFS150" s="72"/>
      <c r="RFT150" s="72"/>
      <c r="RFU150" s="72"/>
      <c r="RFV150" s="72"/>
      <c r="RFW150" s="72"/>
      <c r="RFX150" s="72"/>
      <c r="RFY150" s="72"/>
      <c r="RFZ150" s="72"/>
      <c r="RGA150" s="72"/>
      <c r="RGB150" s="72"/>
      <c r="RGC150" s="72"/>
      <c r="RGD150" s="72"/>
      <c r="RGE150" s="72"/>
      <c r="RGF150" s="72"/>
      <c r="RGG150" s="72"/>
      <c r="RGH150" s="72"/>
      <c r="RGI150" s="72"/>
      <c r="RGJ150" s="72"/>
      <c r="RGK150" s="72"/>
      <c r="RGL150" s="72"/>
      <c r="RGM150" s="72"/>
      <c r="RGN150" s="72"/>
      <c r="RGO150" s="72"/>
      <c r="RGP150" s="72"/>
      <c r="RGQ150" s="72"/>
      <c r="RGR150" s="72"/>
      <c r="RGS150" s="72"/>
      <c r="RGT150" s="72"/>
      <c r="RGU150" s="72"/>
      <c r="RGV150" s="72"/>
      <c r="RGW150" s="72"/>
      <c r="RGX150" s="72"/>
      <c r="RGY150" s="72"/>
      <c r="RGZ150" s="72"/>
      <c r="RHA150" s="72"/>
      <c r="RHB150" s="72"/>
      <c r="RHC150" s="72"/>
      <c r="RHD150" s="72"/>
      <c r="RHE150" s="72"/>
      <c r="RHF150" s="72"/>
      <c r="RHG150" s="72"/>
      <c r="RHH150" s="72"/>
      <c r="RHI150" s="72"/>
      <c r="RHJ150" s="72"/>
      <c r="RHK150" s="72"/>
      <c r="RHL150" s="72"/>
      <c r="RHM150" s="72"/>
      <c r="RHN150" s="72"/>
      <c r="RHO150" s="72"/>
      <c r="RHP150" s="72"/>
      <c r="RHQ150" s="72"/>
      <c r="RHR150" s="72"/>
      <c r="RHS150" s="72"/>
      <c r="RHT150" s="72"/>
      <c r="RHU150" s="72"/>
      <c r="RHV150" s="72"/>
      <c r="RHW150" s="72"/>
      <c r="RHX150" s="72"/>
      <c r="RHY150" s="72"/>
      <c r="RHZ150" s="72"/>
      <c r="RIA150" s="72"/>
      <c r="RIB150" s="72"/>
      <c r="RIC150" s="72"/>
      <c r="RID150" s="72"/>
      <c r="RIE150" s="72"/>
      <c r="RIF150" s="72"/>
      <c r="RIG150" s="72"/>
      <c r="RIH150" s="72"/>
      <c r="RII150" s="72"/>
      <c r="RIJ150" s="72"/>
      <c r="RIK150" s="72"/>
      <c r="RIL150" s="72"/>
      <c r="RIM150" s="72"/>
      <c r="RIN150" s="72"/>
      <c r="RIO150" s="72"/>
      <c r="RIP150" s="72"/>
      <c r="RIQ150" s="72"/>
      <c r="RIR150" s="72"/>
      <c r="RIS150" s="72"/>
      <c r="RIT150" s="72"/>
      <c r="RIU150" s="72"/>
      <c r="RIV150" s="72"/>
      <c r="RIW150" s="72"/>
      <c r="RIX150" s="72"/>
      <c r="RIY150" s="72"/>
      <c r="RIZ150" s="72"/>
      <c r="RJA150" s="72"/>
      <c r="RJB150" s="72"/>
      <c r="RJC150" s="72"/>
      <c r="RJD150" s="72"/>
      <c r="RJE150" s="72"/>
      <c r="RJF150" s="72"/>
      <c r="RJG150" s="72"/>
      <c r="RJH150" s="72"/>
      <c r="RJI150" s="72"/>
      <c r="RJJ150" s="72"/>
      <c r="RJK150" s="72"/>
      <c r="RJL150" s="72"/>
      <c r="RJM150" s="72"/>
      <c r="RJN150" s="72"/>
      <c r="RJO150" s="72"/>
      <c r="RJP150" s="72"/>
      <c r="RJQ150" s="72"/>
      <c r="RJR150" s="72"/>
      <c r="RJS150" s="72"/>
      <c r="RJT150" s="72"/>
      <c r="RJU150" s="72"/>
      <c r="RJV150" s="72"/>
      <c r="RJW150" s="72"/>
      <c r="RJX150" s="72"/>
      <c r="RJY150" s="72"/>
      <c r="RJZ150" s="72"/>
      <c r="RKA150" s="72"/>
      <c r="RKB150" s="72"/>
      <c r="RKC150" s="72"/>
      <c r="RKD150" s="72"/>
      <c r="RKE150" s="72"/>
      <c r="RKF150" s="72"/>
      <c r="RKG150" s="72"/>
      <c r="RKH150" s="72"/>
      <c r="RKI150" s="72"/>
      <c r="RKJ150" s="72"/>
      <c r="RKK150" s="72"/>
      <c r="RKL150" s="72"/>
      <c r="RKM150" s="72"/>
      <c r="RKN150" s="72"/>
      <c r="RKO150" s="72"/>
      <c r="RKP150" s="72"/>
      <c r="RKQ150" s="72"/>
      <c r="RKR150" s="72"/>
      <c r="RKS150" s="72"/>
      <c r="RKT150" s="72"/>
      <c r="RKU150" s="72"/>
      <c r="RKV150" s="72"/>
      <c r="RKW150" s="72"/>
      <c r="RKX150" s="72"/>
      <c r="RKY150" s="72"/>
      <c r="RKZ150" s="72"/>
      <c r="RLA150" s="72"/>
      <c r="RLB150" s="72"/>
      <c r="RLC150" s="72"/>
      <c r="RLD150" s="72"/>
      <c r="RLE150" s="72"/>
      <c r="RLF150" s="72"/>
      <c r="RLG150" s="72"/>
      <c r="RLH150" s="72"/>
      <c r="RLI150" s="72"/>
      <c r="RLJ150" s="72"/>
      <c r="RLK150" s="72"/>
      <c r="RLL150" s="72"/>
      <c r="RLM150" s="72"/>
      <c r="RLN150" s="72"/>
      <c r="RLO150" s="72"/>
      <c r="RLP150" s="72"/>
      <c r="RLQ150" s="72"/>
      <c r="RLR150" s="72"/>
      <c r="RLS150" s="72"/>
      <c r="RLT150" s="72"/>
      <c r="RLU150" s="72"/>
      <c r="RLV150" s="72"/>
      <c r="RLW150" s="72"/>
      <c r="RLX150" s="72"/>
      <c r="RLY150" s="72"/>
      <c r="RLZ150" s="72"/>
      <c r="RMA150" s="72"/>
      <c r="RMB150" s="72"/>
      <c r="RMC150" s="72"/>
      <c r="RMD150" s="72"/>
      <c r="RME150" s="72"/>
      <c r="RMF150" s="72"/>
      <c r="RMG150" s="72"/>
      <c r="RMH150" s="72"/>
      <c r="RMI150" s="72"/>
      <c r="RMJ150" s="72"/>
      <c r="RMK150" s="72"/>
      <c r="RML150" s="72"/>
      <c r="RMM150" s="72"/>
      <c r="RMN150" s="72"/>
      <c r="RMO150" s="72"/>
      <c r="RMP150" s="72"/>
      <c r="RMQ150" s="72"/>
      <c r="RMR150" s="72"/>
      <c r="RMS150" s="72"/>
      <c r="RMT150" s="72"/>
      <c r="RMU150" s="72"/>
      <c r="RMV150" s="72"/>
      <c r="RMW150" s="72"/>
      <c r="RMX150" s="72"/>
      <c r="RMY150" s="72"/>
      <c r="RMZ150" s="72"/>
      <c r="RNA150" s="72"/>
      <c r="RNB150" s="72"/>
      <c r="RNC150" s="72"/>
      <c r="RND150" s="72"/>
      <c r="RNE150" s="72"/>
      <c r="RNF150" s="72"/>
      <c r="RNG150" s="72"/>
      <c r="RNH150" s="72"/>
      <c r="RNI150" s="72"/>
      <c r="RNJ150" s="72"/>
      <c r="RNK150" s="72"/>
      <c r="RNL150" s="72"/>
      <c r="RNM150" s="72"/>
      <c r="RNN150" s="72"/>
      <c r="RNO150" s="72"/>
      <c r="RNP150" s="72"/>
      <c r="RNQ150" s="72"/>
      <c r="RNR150" s="72"/>
      <c r="RNS150" s="72"/>
      <c r="RNT150" s="72"/>
      <c r="RNU150" s="72"/>
      <c r="RNV150" s="72"/>
      <c r="RNW150" s="72"/>
      <c r="RNX150" s="72"/>
      <c r="RNY150" s="72"/>
      <c r="RNZ150" s="72"/>
      <c r="ROA150" s="72"/>
      <c r="ROB150" s="72"/>
      <c r="ROC150" s="72"/>
      <c r="ROD150" s="72"/>
      <c r="ROE150" s="72"/>
      <c r="ROF150" s="72"/>
      <c r="ROG150" s="72"/>
      <c r="ROH150" s="72"/>
      <c r="ROI150" s="72"/>
      <c r="ROJ150" s="72"/>
      <c r="ROK150" s="72"/>
      <c r="ROL150" s="72"/>
      <c r="ROM150" s="72"/>
      <c r="RON150" s="72"/>
      <c r="ROO150" s="72"/>
      <c r="ROP150" s="72"/>
      <c r="ROQ150" s="72"/>
      <c r="ROR150" s="72"/>
      <c r="ROS150" s="72"/>
      <c r="ROT150" s="72"/>
      <c r="ROU150" s="72"/>
      <c r="ROV150" s="72"/>
      <c r="ROW150" s="72"/>
      <c r="ROX150" s="72"/>
      <c r="ROY150" s="72"/>
      <c r="ROZ150" s="72"/>
      <c r="RPA150" s="72"/>
      <c r="RPB150" s="72"/>
      <c r="RPC150" s="72"/>
      <c r="RPD150" s="72"/>
      <c r="RPE150" s="72"/>
      <c r="RPF150" s="72"/>
      <c r="RPG150" s="72"/>
      <c r="RPH150" s="72"/>
      <c r="RPI150" s="72"/>
      <c r="RPJ150" s="72"/>
      <c r="RPK150" s="72"/>
      <c r="RPL150" s="72"/>
      <c r="RPM150" s="72"/>
      <c r="RPN150" s="72"/>
      <c r="RPO150" s="72"/>
      <c r="RPP150" s="72"/>
      <c r="RPQ150" s="72"/>
      <c r="RPR150" s="72"/>
      <c r="RPS150" s="72"/>
      <c r="RPT150" s="72"/>
      <c r="RPU150" s="72"/>
      <c r="RPV150" s="72"/>
      <c r="RPW150" s="72"/>
      <c r="RPX150" s="72"/>
      <c r="RPY150" s="72"/>
      <c r="RPZ150" s="72"/>
      <c r="RQA150" s="72"/>
      <c r="RQB150" s="72"/>
      <c r="RQC150" s="72"/>
      <c r="RQD150" s="72"/>
      <c r="RQE150" s="72"/>
      <c r="RQF150" s="72"/>
      <c r="RQG150" s="72"/>
      <c r="RQH150" s="72"/>
      <c r="RQI150" s="72"/>
      <c r="RQJ150" s="72"/>
      <c r="RQK150" s="72"/>
      <c r="RQL150" s="72"/>
      <c r="RQM150" s="72"/>
      <c r="RQN150" s="72"/>
      <c r="RQO150" s="72"/>
      <c r="RQP150" s="72"/>
      <c r="RQQ150" s="72"/>
      <c r="RQR150" s="72"/>
      <c r="RQS150" s="72"/>
      <c r="RQT150" s="72"/>
      <c r="RQU150" s="72"/>
      <c r="RQV150" s="72"/>
      <c r="RQW150" s="72"/>
      <c r="RQX150" s="72"/>
      <c r="RQY150" s="72"/>
      <c r="RQZ150" s="72"/>
      <c r="RRA150" s="72"/>
      <c r="RRB150" s="72"/>
      <c r="RRC150" s="72"/>
      <c r="RRD150" s="72"/>
      <c r="RRE150" s="72"/>
      <c r="RRF150" s="72"/>
      <c r="RRG150" s="72"/>
      <c r="RRH150" s="72"/>
      <c r="RRI150" s="72"/>
      <c r="RRJ150" s="72"/>
      <c r="RRK150" s="72"/>
      <c r="RRL150" s="72"/>
      <c r="RRM150" s="72"/>
      <c r="RRN150" s="72"/>
      <c r="RRO150" s="72"/>
      <c r="RRP150" s="72"/>
      <c r="RRQ150" s="72"/>
      <c r="RRR150" s="72"/>
      <c r="RRS150" s="72"/>
      <c r="RRT150" s="72"/>
      <c r="RRU150" s="72"/>
      <c r="RRV150" s="72"/>
      <c r="RRW150" s="72"/>
      <c r="RRX150" s="72"/>
      <c r="RRY150" s="72"/>
      <c r="RRZ150" s="72"/>
      <c r="RSA150" s="72"/>
      <c r="RSB150" s="72"/>
      <c r="RSC150" s="72"/>
      <c r="RSD150" s="72"/>
      <c r="RSE150" s="72"/>
      <c r="RSF150" s="72"/>
      <c r="RSG150" s="72"/>
      <c r="RSH150" s="72"/>
      <c r="RSI150" s="72"/>
      <c r="RSJ150" s="72"/>
      <c r="RSK150" s="72"/>
      <c r="RSL150" s="72"/>
      <c r="RSM150" s="72"/>
      <c r="RSN150" s="72"/>
      <c r="RSO150" s="72"/>
      <c r="RSP150" s="72"/>
      <c r="RSQ150" s="72"/>
      <c r="RSR150" s="72"/>
      <c r="RSS150" s="72"/>
      <c r="RST150" s="72"/>
      <c r="RSU150" s="72"/>
      <c r="RSV150" s="72"/>
      <c r="RSW150" s="72"/>
      <c r="RSX150" s="72"/>
      <c r="RSY150" s="72"/>
      <c r="RSZ150" s="72"/>
      <c r="RTA150" s="72"/>
      <c r="RTB150" s="72"/>
      <c r="RTC150" s="72"/>
      <c r="RTD150" s="72"/>
      <c r="RTE150" s="72"/>
      <c r="RTF150" s="72"/>
      <c r="RTG150" s="72"/>
      <c r="RTH150" s="72"/>
      <c r="RTI150" s="72"/>
      <c r="RTJ150" s="72"/>
      <c r="RTK150" s="72"/>
      <c r="RTL150" s="72"/>
      <c r="RTM150" s="72"/>
      <c r="RTN150" s="72"/>
      <c r="RTO150" s="72"/>
      <c r="RTP150" s="72"/>
      <c r="RTQ150" s="72"/>
      <c r="RTR150" s="72"/>
      <c r="RTS150" s="72"/>
      <c r="RTT150" s="72"/>
      <c r="RTU150" s="72"/>
      <c r="RTV150" s="72"/>
      <c r="RTW150" s="72"/>
      <c r="RTX150" s="72"/>
      <c r="RTY150" s="72"/>
      <c r="RTZ150" s="72"/>
      <c r="RUA150" s="72"/>
      <c r="RUB150" s="72"/>
      <c r="RUC150" s="72"/>
      <c r="RUD150" s="72"/>
      <c r="RUE150" s="72"/>
      <c r="RUF150" s="72"/>
      <c r="RUG150" s="72"/>
      <c r="RUH150" s="72"/>
      <c r="RUI150" s="72"/>
      <c r="RUJ150" s="72"/>
      <c r="RUK150" s="72"/>
      <c r="RUL150" s="72"/>
      <c r="RUM150" s="72"/>
      <c r="RUN150" s="72"/>
      <c r="RUO150" s="72"/>
      <c r="RUP150" s="72"/>
      <c r="RUQ150" s="72"/>
      <c r="RUR150" s="72"/>
      <c r="RUS150" s="72"/>
      <c r="RUT150" s="72"/>
      <c r="RUU150" s="72"/>
      <c r="RUV150" s="72"/>
      <c r="RUW150" s="72"/>
      <c r="RUX150" s="72"/>
      <c r="RUY150" s="72"/>
      <c r="RUZ150" s="72"/>
      <c r="RVA150" s="72"/>
      <c r="RVB150" s="72"/>
      <c r="RVC150" s="72"/>
      <c r="RVD150" s="72"/>
      <c r="RVE150" s="72"/>
      <c r="RVF150" s="72"/>
      <c r="RVG150" s="72"/>
      <c r="RVH150" s="72"/>
      <c r="RVI150" s="72"/>
      <c r="RVJ150" s="72"/>
      <c r="RVK150" s="72"/>
      <c r="RVL150" s="72"/>
      <c r="RVM150" s="72"/>
      <c r="RVN150" s="72"/>
      <c r="RVO150" s="72"/>
      <c r="RVP150" s="72"/>
      <c r="RVQ150" s="72"/>
      <c r="RVR150" s="72"/>
      <c r="RVS150" s="72"/>
      <c r="RVT150" s="72"/>
      <c r="RVU150" s="72"/>
      <c r="RVV150" s="72"/>
      <c r="RVW150" s="72"/>
      <c r="RVX150" s="72"/>
      <c r="RVY150" s="72"/>
      <c r="RVZ150" s="72"/>
      <c r="RWA150" s="72"/>
      <c r="RWB150" s="72"/>
      <c r="RWC150" s="72"/>
      <c r="RWD150" s="72"/>
      <c r="RWE150" s="72"/>
      <c r="RWF150" s="72"/>
      <c r="RWG150" s="72"/>
      <c r="RWH150" s="72"/>
      <c r="RWI150" s="72"/>
      <c r="RWJ150" s="72"/>
      <c r="RWK150" s="72"/>
      <c r="RWL150" s="72"/>
      <c r="RWM150" s="72"/>
      <c r="RWN150" s="72"/>
      <c r="RWO150" s="72"/>
      <c r="RWP150" s="72"/>
      <c r="RWQ150" s="72"/>
      <c r="RWR150" s="72"/>
      <c r="RWS150" s="72"/>
      <c r="RWT150" s="72"/>
      <c r="RWU150" s="72"/>
      <c r="RWV150" s="72"/>
      <c r="RWW150" s="72"/>
      <c r="RWX150" s="72"/>
      <c r="RWY150" s="72"/>
      <c r="RWZ150" s="72"/>
      <c r="RXA150" s="72"/>
      <c r="RXB150" s="72"/>
      <c r="RXC150" s="72"/>
      <c r="RXD150" s="72"/>
      <c r="RXE150" s="72"/>
      <c r="RXF150" s="72"/>
      <c r="RXG150" s="72"/>
      <c r="RXH150" s="72"/>
      <c r="RXI150" s="72"/>
      <c r="RXJ150" s="72"/>
      <c r="RXK150" s="72"/>
      <c r="RXL150" s="72"/>
      <c r="RXM150" s="72"/>
      <c r="RXN150" s="72"/>
      <c r="RXO150" s="72"/>
      <c r="RXP150" s="72"/>
      <c r="RXQ150" s="72"/>
      <c r="RXR150" s="72"/>
      <c r="RXS150" s="72"/>
      <c r="RXT150" s="72"/>
      <c r="RXU150" s="72"/>
      <c r="RXV150" s="72"/>
      <c r="RXW150" s="72"/>
      <c r="RXX150" s="72"/>
      <c r="RXY150" s="72"/>
      <c r="RXZ150" s="72"/>
      <c r="RYA150" s="72"/>
      <c r="RYB150" s="72"/>
      <c r="RYC150" s="72"/>
      <c r="RYD150" s="72"/>
      <c r="RYE150" s="72"/>
      <c r="RYF150" s="72"/>
      <c r="RYG150" s="72"/>
      <c r="RYH150" s="72"/>
      <c r="RYI150" s="72"/>
      <c r="RYJ150" s="72"/>
      <c r="RYK150" s="72"/>
      <c r="RYL150" s="72"/>
      <c r="RYM150" s="72"/>
      <c r="RYN150" s="72"/>
      <c r="RYO150" s="72"/>
      <c r="RYP150" s="72"/>
      <c r="RYQ150" s="72"/>
      <c r="RYR150" s="72"/>
      <c r="RYS150" s="72"/>
      <c r="RYT150" s="72"/>
      <c r="RYU150" s="72"/>
      <c r="RYV150" s="72"/>
      <c r="RYW150" s="72"/>
      <c r="RYX150" s="72"/>
      <c r="RYY150" s="72"/>
      <c r="RYZ150" s="72"/>
      <c r="RZA150" s="72"/>
      <c r="RZB150" s="72"/>
      <c r="RZC150" s="72"/>
      <c r="RZD150" s="72"/>
      <c r="RZE150" s="72"/>
      <c r="RZF150" s="72"/>
      <c r="RZG150" s="72"/>
      <c r="RZH150" s="72"/>
      <c r="RZI150" s="72"/>
      <c r="RZJ150" s="72"/>
      <c r="RZK150" s="72"/>
      <c r="RZL150" s="72"/>
      <c r="RZM150" s="72"/>
      <c r="RZN150" s="72"/>
      <c r="RZO150" s="72"/>
      <c r="RZP150" s="72"/>
      <c r="RZQ150" s="72"/>
      <c r="RZR150" s="72"/>
      <c r="RZS150" s="72"/>
      <c r="RZT150" s="72"/>
      <c r="RZU150" s="72"/>
      <c r="RZV150" s="72"/>
      <c r="RZW150" s="72"/>
      <c r="RZX150" s="72"/>
      <c r="RZY150" s="72"/>
      <c r="RZZ150" s="72"/>
      <c r="SAA150" s="72"/>
      <c r="SAB150" s="72"/>
      <c r="SAC150" s="72"/>
      <c r="SAD150" s="72"/>
      <c r="SAE150" s="72"/>
      <c r="SAF150" s="72"/>
      <c r="SAG150" s="72"/>
      <c r="SAH150" s="72"/>
      <c r="SAI150" s="72"/>
      <c r="SAJ150" s="72"/>
      <c r="SAK150" s="72"/>
      <c r="SAL150" s="72"/>
      <c r="SAM150" s="72"/>
      <c r="SAN150" s="72"/>
      <c r="SAO150" s="72"/>
      <c r="SAP150" s="72"/>
      <c r="SAQ150" s="72"/>
      <c r="SAR150" s="72"/>
      <c r="SAS150" s="72"/>
      <c r="SAT150" s="72"/>
      <c r="SAU150" s="72"/>
      <c r="SAV150" s="72"/>
      <c r="SAW150" s="72"/>
      <c r="SAX150" s="72"/>
      <c r="SAY150" s="72"/>
      <c r="SAZ150" s="72"/>
      <c r="SBA150" s="72"/>
      <c r="SBB150" s="72"/>
      <c r="SBC150" s="72"/>
      <c r="SBD150" s="72"/>
      <c r="SBE150" s="72"/>
      <c r="SBF150" s="72"/>
      <c r="SBG150" s="72"/>
      <c r="SBH150" s="72"/>
      <c r="SBI150" s="72"/>
      <c r="SBJ150" s="72"/>
      <c r="SBK150" s="72"/>
      <c r="SBL150" s="72"/>
      <c r="SBM150" s="72"/>
      <c r="SBN150" s="72"/>
      <c r="SBO150" s="72"/>
      <c r="SBP150" s="72"/>
      <c r="SBQ150" s="72"/>
      <c r="SBR150" s="72"/>
      <c r="SBS150" s="72"/>
      <c r="SBT150" s="72"/>
      <c r="SBU150" s="72"/>
      <c r="SBV150" s="72"/>
      <c r="SBW150" s="72"/>
      <c r="SBX150" s="72"/>
      <c r="SBY150" s="72"/>
      <c r="SBZ150" s="72"/>
      <c r="SCA150" s="72"/>
      <c r="SCB150" s="72"/>
      <c r="SCC150" s="72"/>
      <c r="SCD150" s="72"/>
      <c r="SCE150" s="72"/>
      <c r="SCF150" s="72"/>
      <c r="SCG150" s="72"/>
      <c r="SCH150" s="72"/>
      <c r="SCI150" s="72"/>
      <c r="SCJ150" s="72"/>
      <c r="SCK150" s="72"/>
      <c r="SCL150" s="72"/>
      <c r="SCM150" s="72"/>
      <c r="SCN150" s="72"/>
      <c r="SCO150" s="72"/>
      <c r="SCP150" s="72"/>
      <c r="SCQ150" s="72"/>
      <c r="SCR150" s="72"/>
      <c r="SCS150" s="72"/>
      <c r="SCT150" s="72"/>
      <c r="SCU150" s="72"/>
      <c r="SCV150" s="72"/>
      <c r="SCW150" s="72"/>
      <c r="SCX150" s="72"/>
      <c r="SCY150" s="72"/>
      <c r="SCZ150" s="72"/>
      <c r="SDA150" s="72"/>
      <c r="SDB150" s="72"/>
      <c r="SDC150" s="72"/>
      <c r="SDD150" s="72"/>
      <c r="SDE150" s="72"/>
      <c r="SDF150" s="72"/>
      <c r="SDG150" s="72"/>
      <c r="SDH150" s="72"/>
      <c r="SDI150" s="72"/>
      <c r="SDJ150" s="72"/>
      <c r="SDK150" s="72"/>
      <c r="SDL150" s="72"/>
      <c r="SDM150" s="72"/>
      <c r="SDN150" s="72"/>
      <c r="SDO150" s="72"/>
      <c r="SDP150" s="72"/>
      <c r="SDQ150" s="72"/>
      <c r="SDR150" s="72"/>
      <c r="SDS150" s="72"/>
      <c r="SDT150" s="72"/>
      <c r="SDU150" s="72"/>
      <c r="SDV150" s="72"/>
      <c r="SDW150" s="72"/>
      <c r="SDX150" s="72"/>
      <c r="SDY150" s="72"/>
      <c r="SDZ150" s="72"/>
      <c r="SEA150" s="72"/>
      <c r="SEB150" s="72"/>
      <c r="SEC150" s="72"/>
      <c r="SED150" s="72"/>
      <c r="SEE150" s="72"/>
      <c r="SEF150" s="72"/>
      <c r="SEG150" s="72"/>
      <c r="SEH150" s="72"/>
      <c r="SEI150" s="72"/>
      <c r="SEJ150" s="72"/>
      <c r="SEK150" s="72"/>
      <c r="SEL150" s="72"/>
      <c r="SEM150" s="72"/>
      <c r="SEN150" s="72"/>
      <c r="SEO150" s="72"/>
      <c r="SEP150" s="72"/>
      <c r="SEQ150" s="72"/>
      <c r="SER150" s="72"/>
      <c r="SES150" s="72"/>
      <c r="SET150" s="72"/>
      <c r="SEU150" s="72"/>
      <c r="SEV150" s="72"/>
      <c r="SEW150" s="72"/>
      <c r="SEX150" s="72"/>
      <c r="SEY150" s="72"/>
      <c r="SEZ150" s="72"/>
      <c r="SFA150" s="72"/>
      <c r="SFB150" s="72"/>
      <c r="SFC150" s="72"/>
      <c r="SFD150" s="72"/>
      <c r="SFE150" s="72"/>
      <c r="SFF150" s="72"/>
      <c r="SFG150" s="72"/>
      <c r="SFH150" s="72"/>
      <c r="SFI150" s="72"/>
      <c r="SFJ150" s="72"/>
      <c r="SFK150" s="72"/>
      <c r="SFL150" s="72"/>
      <c r="SFM150" s="72"/>
      <c r="SFN150" s="72"/>
      <c r="SFO150" s="72"/>
      <c r="SFP150" s="72"/>
      <c r="SFQ150" s="72"/>
      <c r="SFR150" s="72"/>
      <c r="SFS150" s="72"/>
      <c r="SFT150" s="72"/>
      <c r="SFU150" s="72"/>
      <c r="SFV150" s="72"/>
      <c r="SFW150" s="72"/>
      <c r="SFX150" s="72"/>
      <c r="SFY150" s="72"/>
      <c r="SFZ150" s="72"/>
      <c r="SGA150" s="72"/>
      <c r="SGB150" s="72"/>
      <c r="SGC150" s="72"/>
      <c r="SGD150" s="72"/>
      <c r="SGE150" s="72"/>
      <c r="SGF150" s="72"/>
      <c r="SGG150" s="72"/>
      <c r="SGH150" s="72"/>
      <c r="SGI150" s="72"/>
      <c r="SGJ150" s="72"/>
      <c r="SGK150" s="72"/>
      <c r="SGL150" s="72"/>
      <c r="SGM150" s="72"/>
      <c r="SGN150" s="72"/>
      <c r="SGO150" s="72"/>
      <c r="SGP150" s="72"/>
      <c r="SGQ150" s="72"/>
      <c r="SGR150" s="72"/>
      <c r="SGS150" s="72"/>
      <c r="SGT150" s="72"/>
      <c r="SGU150" s="72"/>
      <c r="SGV150" s="72"/>
      <c r="SGW150" s="72"/>
      <c r="SGX150" s="72"/>
      <c r="SGY150" s="72"/>
      <c r="SGZ150" s="72"/>
      <c r="SHA150" s="72"/>
      <c r="SHB150" s="72"/>
      <c r="SHC150" s="72"/>
      <c r="SHD150" s="72"/>
      <c r="SHE150" s="72"/>
      <c r="SHF150" s="72"/>
      <c r="SHG150" s="72"/>
      <c r="SHH150" s="72"/>
      <c r="SHI150" s="72"/>
      <c r="SHJ150" s="72"/>
      <c r="SHK150" s="72"/>
      <c r="SHL150" s="72"/>
      <c r="SHM150" s="72"/>
      <c r="SHN150" s="72"/>
      <c r="SHO150" s="72"/>
      <c r="SHP150" s="72"/>
      <c r="SHQ150" s="72"/>
      <c r="SHR150" s="72"/>
      <c r="SHS150" s="72"/>
      <c r="SHT150" s="72"/>
      <c r="SHU150" s="72"/>
      <c r="SHV150" s="72"/>
      <c r="SHW150" s="72"/>
      <c r="SHX150" s="72"/>
      <c r="SHY150" s="72"/>
      <c r="SHZ150" s="72"/>
      <c r="SIA150" s="72"/>
      <c r="SIB150" s="72"/>
      <c r="SIC150" s="72"/>
      <c r="SID150" s="72"/>
      <c r="SIE150" s="72"/>
      <c r="SIF150" s="72"/>
      <c r="SIG150" s="72"/>
      <c r="SIH150" s="72"/>
      <c r="SII150" s="72"/>
      <c r="SIJ150" s="72"/>
      <c r="SIK150" s="72"/>
      <c r="SIL150" s="72"/>
      <c r="SIM150" s="72"/>
      <c r="SIN150" s="72"/>
      <c r="SIO150" s="72"/>
      <c r="SIP150" s="72"/>
      <c r="SIQ150" s="72"/>
      <c r="SIR150" s="72"/>
      <c r="SIS150" s="72"/>
      <c r="SIT150" s="72"/>
      <c r="SIU150" s="72"/>
      <c r="SIV150" s="72"/>
      <c r="SIW150" s="72"/>
      <c r="SIX150" s="72"/>
      <c r="SIY150" s="72"/>
      <c r="SIZ150" s="72"/>
      <c r="SJA150" s="72"/>
      <c r="SJB150" s="72"/>
      <c r="SJC150" s="72"/>
      <c r="SJD150" s="72"/>
      <c r="SJE150" s="72"/>
      <c r="SJF150" s="72"/>
      <c r="SJG150" s="72"/>
      <c r="SJH150" s="72"/>
      <c r="SJI150" s="72"/>
      <c r="SJJ150" s="72"/>
      <c r="SJK150" s="72"/>
      <c r="SJL150" s="72"/>
      <c r="SJM150" s="72"/>
      <c r="SJN150" s="72"/>
      <c r="SJO150" s="72"/>
      <c r="SJP150" s="72"/>
      <c r="SJQ150" s="72"/>
      <c r="SJR150" s="72"/>
      <c r="SJS150" s="72"/>
      <c r="SJT150" s="72"/>
      <c r="SJU150" s="72"/>
      <c r="SJV150" s="72"/>
      <c r="SJW150" s="72"/>
      <c r="SJX150" s="72"/>
      <c r="SJY150" s="72"/>
      <c r="SJZ150" s="72"/>
      <c r="SKA150" s="72"/>
      <c r="SKB150" s="72"/>
      <c r="SKC150" s="72"/>
      <c r="SKD150" s="72"/>
      <c r="SKE150" s="72"/>
      <c r="SKF150" s="72"/>
      <c r="SKG150" s="72"/>
      <c r="SKH150" s="72"/>
      <c r="SKI150" s="72"/>
      <c r="SKJ150" s="72"/>
      <c r="SKK150" s="72"/>
      <c r="SKL150" s="72"/>
      <c r="SKM150" s="72"/>
      <c r="SKN150" s="72"/>
      <c r="SKO150" s="72"/>
      <c r="SKP150" s="72"/>
      <c r="SKQ150" s="72"/>
      <c r="SKR150" s="72"/>
      <c r="SKS150" s="72"/>
      <c r="SKT150" s="72"/>
      <c r="SKU150" s="72"/>
      <c r="SKV150" s="72"/>
      <c r="SKW150" s="72"/>
      <c r="SKX150" s="72"/>
      <c r="SKY150" s="72"/>
      <c r="SKZ150" s="72"/>
      <c r="SLA150" s="72"/>
      <c r="SLB150" s="72"/>
      <c r="SLC150" s="72"/>
      <c r="SLD150" s="72"/>
      <c r="SLE150" s="72"/>
      <c r="SLF150" s="72"/>
      <c r="SLG150" s="72"/>
      <c r="SLH150" s="72"/>
      <c r="SLI150" s="72"/>
      <c r="SLJ150" s="72"/>
      <c r="SLK150" s="72"/>
      <c r="SLL150" s="72"/>
      <c r="SLM150" s="72"/>
      <c r="SLN150" s="72"/>
      <c r="SLO150" s="72"/>
      <c r="SLP150" s="72"/>
      <c r="SLQ150" s="72"/>
      <c r="SLR150" s="72"/>
      <c r="SLS150" s="72"/>
      <c r="SLT150" s="72"/>
      <c r="SLU150" s="72"/>
      <c r="SLV150" s="72"/>
      <c r="SLW150" s="72"/>
      <c r="SLX150" s="72"/>
      <c r="SLY150" s="72"/>
      <c r="SLZ150" s="72"/>
      <c r="SMA150" s="72"/>
      <c r="SMB150" s="72"/>
      <c r="SMC150" s="72"/>
      <c r="SMD150" s="72"/>
      <c r="SME150" s="72"/>
      <c r="SMF150" s="72"/>
      <c r="SMG150" s="72"/>
      <c r="SMH150" s="72"/>
      <c r="SMI150" s="72"/>
      <c r="SMJ150" s="72"/>
      <c r="SMK150" s="72"/>
      <c r="SML150" s="72"/>
      <c r="SMM150" s="72"/>
      <c r="SMN150" s="72"/>
      <c r="SMO150" s="72"/>
      <c r="SMP150" s="72"/>
      <c r="SMQ150" s="72"/>
      <c r="SMR150" s="72"/>
      <c r="SMS150" s="72"/>
      <c r="SMT150" s="72"/>
      <c r="SMU150" s="72"/>
      <c r="SMV150" s="72"/>
      <c r="SMW150" s="72"/>
      <c r="SMX150" s="72"/>
      <c r="SMY150" s="72"/>
      <c r="SMZ150" s="72"/>
      <c r="SNA150" s="72"/>
      <c r="SNB150" s="72"/>
      <c r="SNC150" s="72"/>
      <c r="SND150" s="72"/>
      <c r="SNE150" s="72"/>
      <c r="SNF150" s="72"/>
      <c r="SNG150" s="72"/>
      <c r="SNH150" s="72"/>
      <c r="SNI150" s="72"/>
      <c r="SNJ150" s="72"/>
      <c r="SNK150" s="72"/>
      <c r="SNL150" s="72"/>
      <c r="SNM150" s="72"/>
      <c r="SNN150" s="72"/>
      <c r="SNO150" s="72"/>
      <c r="SNP150" s="72"/>
      <c r="SNQ150" s="72"/>
      <c r="SNR150" s="72"/>
      <c r="SNS150" s="72"/>
      <c r="SNT150" s="72"/>
      <c r="SNU150" s="72"/>
      <c r="SNV150" s="72"/>
      <c r="SNW150" s="72"/>
      <c r="SNX150" s="72"/>
      <c r="SNY150" s="72"/>
      <c r="SNZ150" s="72"/>
      <c r="SOA150" s="72"/>
      <c r="SOB150" s="72"/>
      <c r="SOC150" s="72"/>
      <c r="SOD150" s="72"/>
      <c r="SOE150" s="72"/>
      <c r="SOF150" s="72"/>
      <c r="SOG150" s="72"/>
      <c r="SOH150" s="72"/>
      <c r="SOI150" s="72"/>
      <c r="SOJ150" s="72"/>
      <c r="SOK150" s="72"/>
      <c r="SOL150" s="72"/>
      <c r="SOM150" s="72"/>
      <c r="SON150" s="72"/>
      <c r="SOO150" s="72"/>
      <c r="SOP150" s="72"/>
      <c r="SOQ150" s="72"/>
      <c r="SOR150" s="72"/>
      <c r="SOS150" s="72"/>
      <c r="SOT150" s="72"/>
      <c r="SOU150" s="72"/>
      <c r="SOV150" s="72"/>
      <c r="SOW150" s="72"/>
      <c r="SOX150" s="72"/>
      <c r="SOY150" s="72"/>
      <c r="SOZ150" s="72"/>
      <c r="SPA150" s="72"/>
      <c r="SPB150" s="72"/>
      <c r="SPC150" s="72"/>
      <c r="SPD150" s="72"/>
      <c r="SPE150" s="72"/>
      <c r="SPF150" s="72"/>
      <c r="SPG150" s="72"/>
      <c r="SPH150" s="72"/>
      <c r="SPI150" s="72"/>
      <c r="SPJ150" s="72"/>
      <c r="SPK150" s="72"/>
      <c r="SPL150" s="72"/>
      <c r="SPM150" s="72"/>
      <c r="SPN150" s="72"/>
      <c r="SPO150" s="72"/>
      <c r="SPP150" s="72"/>
      <c r="SPQ150" s="72"/>
      <c r="SPR150" s="72"/>
      <c r="SPS150" s="72"/>
      <c r="SPT150" s="72"/>
      <c r="SPU150" s="72"/>
      <c r="SPV150" s="72"/>
      <c r="SPW150" s="72"/>
      <c r="SPX150" s="72"/>
      <c r="SPY150" s="72"/>
      <c r="SPZ150" s="72"/>
      <c r="SQA150" s="72"/>
      <c r="SQB150" s="72"/>
      <c r="SQC150" s="72"/>
      <c r="SQD150" s="72"/>
      <c r="SQE150" s="72"/>
      <c r="SQF150" s="72"/>
      <c r="SQG150" s="72"/>
      <c r="SQH150" s="72"/>
      <c r="SQI150" s="72"/>
      <c r="SQJ150" s="72"/>
      <c r="SQK150" s="72"/>
      <c r="SQL150" s="72"/>
      <c r="SQM150" s="72"/>
      <c r="SQN150" s="72"/>
      <c r="SQO150" s="72"/>
      <c r="SQP150" s="72"/>
      <c r="SQQ150" s="72"/>
      <c r="SQR150" s="72"/>
      <c r="SQS150" s="72"/>
      <c r="SQT150" s="72"/>
      <c r="SQU150" s="72"/>
      <c r="SQV150" s="72"/>
      <c r="SQW150" s="72"/>
      <c r="SQX150" s="72"/>
      <c r="SQY150" s="72"/>
      <c r="SQZ150" s="72"/>
      <c r="SRA150" s="72"/>
      <c r="SRB150" s="72"/>
      <c r="SRC150" s="72"/>
      <c r="SRD150" s="72"/>
      <c r="SRE150" s="72"/>
      <c r="SRF150" s="72"/>
      <c r="SRG150" s="72"/>
      <c r="SRH150" s="72"/>
      <c r="SRI150" s="72"/>
      <c r="SRJ150" s="72"/>
      <c r="SRK150" s="72"/>
      <c r="SRL150" s="72"/>
      <c r="SRM150" s="72"/>
      <c r="SRN150" s="72"/>
      <c r="SRO150" s="72"/>
      <c r="SRP150" s="72"/>
      <c r="SRQ150" s="72"/>
      <c r="SRR150" s="72"/>
      <c r="SRS150" s="72"/>
      <c r="SRT150" s="72"/>
      <c r="SRU150" s="72"/>
      <c r="SRV150" s="72"/>
      <c r="SRW150" s="72"/>
      <c r="SRX150" s="72"/>
      <c r="SRY150" s="72"/>
      <c r="SRZ150" s="72"/>
      <c r="SSA150" s="72"/>
      <c r="SSB150" s="72"/>
      <c r="SSC150" s="72"/>
      <c r="SSD150" s="72"/>
      <c r="SSE150" s="72"/>
      <c r="SSF150" s="72"/>
      <c r="SSG150" s="72"/>
      <c r="SSH150" s="72"/>
      <c r="SSI150" s="72"/>
      <c r="SSJ150" s="72"/>
      <c r="SSK150" s="72"/>
      <c r="SSL150" s="72"/>
      <c r="SSM150" s="72"/>
      <c r="SSN150" s="72"/>
      <c r="SSO150" s="72"/>
      <c r="SSP150" s="72"/>
      <c r="SSQ150" s="72"/>
      <c r="SSR150" s="72"/>
      <c r="SSS150" s="72"/>
      <c r="SST150" s="72"/>
      <c r="SSU150" s="72"/>
      <c r="SSV150" s="72"/>
      <c r="SSW150" s="72"/>
      <c r="SSX150" s="72"/>
      <c r="SSY150" s="72"/>
      <c r="SSZ150" s="72"/>
      <c r="STA150" s="72"/>
      <c r="STB150" s="72"/>
      <c r="STC150" s="72"/>
      <c r="STD150" s="72"/>
      <c r="STE150" s="72"/>
      <c r="STF150" s="72"/>
      <c r="STG150" s="72"/>
      <c r="STH150" s="72"/>
      <c r="STI150" s="72"/>
      <c r="STJ150" s="72"/>
      <c r="STK150" s="72"/>
      <c r="STL150" s="72"/>
      <c r="STM150" s="72"/>
      <c r="STN150" s="72"/>
      <c r="STO150" s="72"/>
      <c r="STP150" s="72"/>
      <c r="STQ150" s="72"/>
      <c r="STR150" s="72"/>
      <c r="STS150" s="72"/>
      <c r="STT150" s="72"/>
      <c r="STU150" s="72"/>
      <c r="STV150" s="72"/>
      <c r="STW150" s="72"/>
      <c r="STX150" s="72"/>
      <c r="STY150" s="72"/>
      <c r="STZ150" s="72"/>
      <c r="SUA150" s="72"/>
      <c r="SUB150" s="72"/>
      <c r="SUC150" s="72"/>
      <c r="SUD150" s="72"/>
      <c r="SUE150" s="72"/>
      <c r="SUF150" s="72"/>
      <c r="SUG150" s="72"/>
      <c r="SUH150" s="72"/>
      <c r="SUI150" s="72"/>
      <c r="SUJ150" s="72"/>
      <c r="SUK150" s="72"/>
      <c r="SUL150" s="72"/>
      <c r="SUM150" s="72"/>
      <c r="SUN150" s="72"/>
      <c r="SUO150" s="72"/>
      <c r="SUP150" s="72"/>
      <c r="SUQ150" s="72"/>
      <c r="SUR150" s="72"/>
      <c r="SUS150" s="72"/>
      <c r="SUT150" s="72"/>
      <c r="SUU150" s="72"/>
      <c r="SUV150" s="72"/>
      <c r="SUW150" s="72"/>
      <c r="SUX150" s="72"/>
      <c r="SUY150" s="72"/>
      <c r="SUZ150" s="72"/>
      <c r="SVA150" s="72"/>
      <c r="SVB150" s="72"/>
      <c r="SVC150" s="72"/>
      <c r="SVD150" s="72"/>
      <c r="SVE150" s="72"/>
      <c r="SVF150" s="72"/>
      <c r="SVG150" s="72"/>
      <c r="SVH150" s="72"/>
      <c r="SVI150" s="72"/>
      <c r="SVJ150" s="72"/>
      <c r="SVK150" s="72"/>
      <c r="SVL150" s="72"/>
      <c r="SVM150" s="72"/>
      <c r="SVN150" s="72"/>
      <c r="SVO150" s="72"/>
      <c r="SVP150" s="72"/>
      <c r="SVQ150" s="72"/>
      <c r="SVR150" s="72"/>
      <c r="SVS150" s="72"/>
      <c r="SVT150" s="72"/>
      <c r="SVU150" s="72"/>
      <c r="SVV150" s="72"/>
      <c r="SVW150" s="72"/>
      <c r="SVX150" s="72"/>
      <c r="SVY150" s="72"/>
      <c r="SVZ150" s="72"/>
      <c r="SWA150" s="72"/>
      <c r="SWB150" s="72"/>
      <c r="SWC150" s="72"/>
      <c r="SWD150" s="72"/>
      <c r="SWE150" s="72"/>
      <c r="SWF150" s="72"/>
      <c r="SWG150" s="72"/>
      <c r="SWH150" s="72"/>
      <c r="SWI150" s="72"/>
      <c r="SWJ150" s="72"/>
      <c r="SWK150" s="72"/>
      <c r="SWL150" s="72"/>
      <c r="SWM150" s="72"/>
      <c r="SWN150" s="72"/>
      <c r="SWO150" s="72"/>
      <c r="SWP150" s="72"/>
      <c r="SWQ150" s="72"/>
      <c r="SWR150" s="72"/>
      <c r="SWS150" s="72"/>
      <c r="SWT150" s="72"/>
      <c r="SWU150" s="72"/>
      <c r="SWV150" s="72"/>
      <c r="SWW150" s="72"/>
      <c r="SWX150" s="72"/>
      <c r="SWY150" s="72"/>
      <c r="SWZ150" s="72"/>
      <c r="SXA150" s="72"/>
      <c r="SXB150" s="72"/>
      <c r="SXC150" s="72"/>
      <c r="SXD150" s="72"/>
      <c r="SXE150" s="72"/>
      <c r="SXF150" s="72"/>
      <c r="SXG150" s="72"/>
      <c r="SXH150" s="72"/>
      <c r="SXI150" s="72"/>
      <c r="SXJ150" s="72"/>
      <c r="SXK150" s="72"/>
      <c r="SXL150" s="72"/>
      <c r="SXM150" s="72"/>
      <c r="SXN150" s="72"/>
      <c r="SXO150" s="72"/>
      <c r="SXP150" s="72"/>
      <c r="SXQ150" s="72"/>
      <c r="SXR150" s="72"/>
      <c r="SXS150" s="72"/>
      <c r="SXT150" s="72"/>
      <c r="SXU150" s="72"/>
      <c r="SXV150" s="72"/>
      <c r="SXW150" s="72"/>
      <c r="SXX150" s="72"/>
      <c r="SXY150" s="72"/>
      <c r="SXZ150" s="72"/>
      <c r="SYA150" s="72"/>
      <c r="SYB150" s="72"/>
      <c r="SYC150" s="72"/>
      <c r="SYD150" s="72"/>
      <c r="SYE150" s="72"/>
      <c r="SYF150" s="72"/>
      <c r="SYG150" s="72"/>
      <c r="SYH150" s="72"/>
      <c r="SYI150" s="72"/>
      <c r="SYJ150" s="72"/>
      <c r="SYK150" s="72"/>
      <c r="SYL150" s="72"/>
      <c r="SYM150" s="72"/>
      <c r="SYN150" s="72"/>
      <c r="SYO150" s="72"/>
      <c r="SYP150" s="72"/>
      <c r="SYQ150" s="72"/>
      <c r="SYR150" s="72"/>
      <c r="SYS150" s="72"/>
      <c r="SYT150" s="72"/>
      <c r="SYU150" s="72"/>
      <c r="SYV150" s="72"/>
      <c r="SYW150" s="72"/>
      <c r="SYX150" s="72"/>
      <c r="SYY150" s="72"/>
      <c r="SYZ150" s="72"/>
      <c r="SZA150" s="72"/>
      <c r="SZB150" s="72"/>
      <c r="SZC150" s="72"/>
      <c r="SZD150" s="72"/>
      <c r="SZE150" s="72"/>
      <c r="SZF150" s="72"/>
      <c r="SZG150" s="72"/>
      <c r="SZH150" s="72"/>
      <c r="SZI150" s="72"/>
      <c r="SZJ150" s="72"/>
      <c r="SZK150" s="72"/>
      <c r="SZL150" s="72"/>
      <c r="SZM150" s="72"/>
      <c r="SZN150" s="72"/>
      <c r="SZO150" s="72"/>
      <c r="SZP150" s="72"/>
      <c r="SZQ150" s="72"/>
      <c r="SZR150" s="72"/>
      <c r="SZS150" s="72"/>
      <c r="SZT150" s="72"/>
      <c r="SZU150" s="72"/>
      <c r="SZV150" s="72"/>
      <c r="SZW150" s="72"/>
      <c r="SZX150" s="72"/>
      <c r="SZY150" s="72"/>
      <c r="SZZ150" s="72"/>
      <c r="TAA150" s="72"/>
      <c r="TAB150" s="72"/>
      <c r="TAC150" s="72"/>
      <c r="TAD150" s="72"/>
      <c r="TAE150" s="72"/>
      <c r="TAF150" s="72"/>
      <c r="TAG150" s="72"/>
      <c r="TAH150" s="72"/>
      <c r="TAI150" s="72"/>
      <c r="TAJ150" s="72"/>
      <c r="TAK150" s="72"/>
      <c r="TAL150" s="72"/>
      <c r="TAM150" s="72"/>
      <c r="TAN150" s="72"/>
      <c r="TAO150" s="72"/>
      <c r="TAP150" s="72"/>
      <c r="TAQ150" s="72"/>
      <c r="TAR150" s="72"/>
      <c r="TAS150" s="72"/>
      <c r="TAT150" s="72"/>
      <c r="TAU150" s="72"/>
      <c r="TAV150" s="72"/>
      <c r="TAW150" s="72"/>
      <c r="TAX150" s="72"/>
      <c r="TAY150" s="72"/>
      <c r="TAZ150" s="72"/>
      <c r="TBA150" s="72"/>
      <c r="TBB150" s="72"/>
      <c r="TBC150" s="72"/>
      <c r="TBD150" s="72"/>
      <c r="TBE150" s="72"/>
      <c r="TBF150" s="72"/>
      <c r="TBG150" s="72"/>
      <c r="TBH150" s="72"/>
      <c r="TBI150" s="72"/>
      <c r="TBJ150" s="72"/>
      <c r="TBK150" s="72"/>
      <c r="TBL150" s="72"/>
      <c r="TBM150" s="72"/>
      <c r="TBN150" s="72"/>
      <c r="TBO150" s="72"/>
      <c r="TBP150" s="72"/>
      <c r="TBQ150" s="72"/>
      <c r="TBR150" s="72"/>
      <c r="TBS150" s="72"/>
      <c r="TBT150" s="72"/>
      <c r="TBU150" s="72"/>
      <c r="TBV150" s="72"/>
      <c r="TBW150" s="72"/>
      <c r="TBX150" s="72"/>
      <c r="TBY150" s="72"/>
      <c r="TBZ150" s="72"/>
      <c r="TCA150" s="72"/>
      <c r="TCB150" s="72"/>
      <c r="TCC150" s="72"/>
      <c r="TCD150" s="72"/>
      <c r="TCE150" s="72"/>
      <c r="TCF150" s="72"/>
      <c r="TCG150" s="72"/>
      <c r="TCH150" s="72"/>
      <c r="TCI150" s="72"/>
      <c r="TCJ150" s="72"/>
      <c r="TCK150" s="72"/>
      <c r="TCL150" s="72"/>
      <c r="TCM150" s="72"/>
      <c r="TCN150" s="72"/>
      <c r="TCO150" s="72"/>
      <c r="TCP150" s="72"/>
      <c r="TCQ150" s="72"/>
      <c r="TCR150" s="72"/>
      <c r="TCS150" s="72"/>
      <c r="TCT150" s="72"/>
      <c r="TCU150" s="72"/>
      <c r="TCV150" s="72"/>
      <c r="TCW150" s="72"/>
      <c r="TCX150" s="72"/>
      <c r="TCY150" s="72"/>
      <c r="TCZ150" s="72"/>
      <c r="TDA150" s="72"/>
      <c r="TDB150" s="72"/>
      <c r="TDC150" s="72"/>
      <c r="TDD150" s="72"/>
      <c r="TDE150" s="72"/>
      <c r="TDF150" s="72"/>
      <c r="TDG150" s="72"/>
      <c r="TDH150" s="72"/>
      <c r="TDI150" s="72"/>
      <c r="TDJ150" s="72"/>
      <c r="TDK150" s="72"/>
      <c r="TDL150" s="72"/>
      <c r="TDM150" s="72"/>
      <c r="TDN150" s="72"/>
      <c r="TDO150" s="72"/>
      <c r="TDP150" s="72"/>
      <c r="TDQ150" s="72"/>
      <c r="TDR150" s="72"/>
      <c r="TDS150" s="72"/>
      <c r="TDT150" s="72"/>
      <c r="TDU150" s="72"/>
      <c r="TDV150" s="72"/>
      <c r="TDW150" s="72"/>
      <c r="TDX150" s="72"/>
      <c r="TDY150" s="72"/>
      <c r="TDZ150" s="72"/>
      <c r="TEA150" s="72"/>
      <c r="TEB150" s="72"/>
      <c r="TEC150" s="72"/>
      <c r="TED150" s="72"/>
      <c r="TEE150" s="72"/>
      <c r="TEF150" s="72"/>
      <c r="TEG150" s="72"/>
      <c r="TEH150" s="72"/>
      <c r="TEI150" s="72"/>
      <c r="TEJ150" s="72"/>
      <c r="TEK150" s="72"/>
      <c r="TEL150" s="72"/>
      <c r="TEM150" s="72"/>
      <c r="TEN150" s="72"/>
      <c r="TEO150" s="72"/>
      <c r="TEP150" s="72"/>
      <c r="TEQ150" s="72"/>
      <c r="TER150" s="72"/>
      <c r="TES150" s="72"/>
      <c r="TET150" s="72"/>
      <c r="TEU150" s="72"/>
      <c r="TEV150" s="72"/>
      <c r="TEW150" s="72"/>
      <c r="TEX150" s="72"/>
      <c r="TEY150" s="72"/>
      <c r="TEZ150" s="72"/>
      <c r="TFA150" s="72"/>
      <c r="TFB150" s="72"/>
      <c r="TFC150" s="72"/>
      <c r="TFD150" s="72"/>
      <c r="TFE150" s="72"/>
      <c r="TFF150" s="72"/>
      <c r="TFG150" s="72"/>
      <c r="TFH150" s="72"/>
      <c r="TFI150" s="72"/>
      <c r="TFJ150" s="72"/>
      <c r="TFK150" s="72"/>
      <c r="TFL150" s="72"/>
      <c r="TFM150" s="72"/>
      <c r="TFN150" s="72"/>
      <c r="TFO150" s="72"/>
      <c r="TFP150" s="72"/>
      <c r="TFQ150" s="72"/>
      <c r="TFR150" s="72"/>
      <c r="TFS150" s="72"/>
      <c r="TFT150" s="72"/>
      <c r="TFU150" s="72"/>
      <c r="TFV150" s="72"/>
      <c r="TFW150" s="72"/>
      <c r="TFX150" s="72"/>
      <c r="TFY150" s="72"/>
      <c r="TFZ150" s="72"/>
      <c r="TGA150" s="72"/>
      <c r="TGB150" s="72"/>
      <c r="TGC150" s="72"/>
      <c r="TGD150" s="72"/>
      <c r="TGE150" s="72"/>
      <c r="TGF150" s="72"/>
      <c r="TGG150" s="72"/>
      <c r="TGH150" s="72"/>
      <c r="TGI150" s="72"/>
      <c r="TGJ150" s="72"/>
      <c r="TGK150" s="72"/>
      <c r="TGL150" s="72"/>
      <c r="TGM150" s="72"/>
      <c r="TGN150" s="72"/>
      <c r="TGO150" s="72"/>
      <c r="TGP150" s="72"/>
      <c r="TGQ150" s="72"/>
      <c r="TGR150" s="72"/>
      <c r="TGS150" s="72"/>
      <c r="TGT150" s="72"/>
      <c r="TGU150" s="72"/>
      <c r="TGV150" s="72"/>
      <c r="TGW150" s="72"/>
      <c r="TGX150" s="72"/>
      <c r="TGY150" s="72"/>
      <c r="TGZ150" s="72"/>
      <c r="THA150" s="72"/>
      <c r="THB150" s="72"/>
      <c r="THC150" s="72"/>
      <c r="THD150" s="72"/>
      <c r="THE150" s="72"/>
      <c r="THF150" s="72"/>
      <c r="THG150" s="72"/>
      <c r="THH150" s="72"/>
      <c r="THI150" s="72"/>
      <c r="THJ150" s="72"/>
      <c r="THK150" s="72"/>
      <c r="THL150" s="72"/>
      <c r="THM150" s="72"/>
      <c r="THN150" s="72"/>
      <c r="THO150" s="72"/>
      <c r="THP150" s="72"/>
      <c r="THQ150" s="72"/>
      <c r="THR150" s="72"/>
      <c r="THS150" s="72"/>
      <c r="THT150" s="72"/>
      <c r="THU150" s="72"/>
      <c r="THV150" s="72"/>
      <c r="THW150" s="72"/>
      <c r="THX150" s="72"/>
      <c r="THY150" s="72"/>
      <c r="THZ150" s="72"/>
      <c r="TIA150" s="72"/>
      <c r="TIB150" s="72"/>
      <c r="TIC150" s="72"/>
      <c r="TID150" s="72"/>
      <c r="TIE150" s="72"/>
      <c r="TIF150" s="72"/>
      <c r="TIG150" s="72"/>
      <c r="TIH150" s="72"/>
      <c r="TII150" s="72"/>
      <c r="TIJ150" s="72"/>
      <c r="TIK150" s="72"/>
      <c r="TIL150" s="72"/>
      <c r="TIM150" s="72"/>
      <c r="TIN150" s="72"/>
      <c r="TIO150" s="72"/>
      <c r="TIP150" s="72"/>
      <c r="TIQ150" s="72"/>
      <c r="TIR150" s="72"/>
      <c r="TIS150" s="72"/>
      <c r="TIT150" s="72"/>
      <c r="TIU150" s="72"/>
      <c r="TIV150" s="72"/>
      <c r="TIW150" s="72"/>
      <c r="TIX150" s="72"/>
      <c r="TIY150" s="72"/>
      <c r="TIZ150" s="72"/>
      <c r="TJA150" s="72"/>
      <c r="TJB150" s="72"/>
      <c r="TJC150" s="72"/>
      <c r="TJD150" s="72"/>
      <c r="TJE150" s="72"/>
      <c r="TJF150" s="72"/>
      <c r="TJG150" s="72"/>
      <c r="TJH150" s="72"/>
      <c r="TJI150" s="72"/>
      <c r="TJJ150" s="72"/>
      <c r="TJK150" s="72"/>
      <c r="TJL150" s="72"/>
      <c r="TJM150" s="72"/>
      <c r="TJN150" s="72"/>
      <c r="TJO150" s="72"/>
      <c r="TJP150" s="72"/>
      <c r="TJQ150" s="72"/>
      <c r="TJR150" s="72"/>
      <c r="TJS150" s="72"/>
      <c r="TJT150" s="72"/>
      <c r="TJU150" s="72"/>
      <c r="TJV150" s="72"/>
      <c r="TJW150" s="72"/>
      <c r="TJX150" s="72"/>
      <c r="TJY150" s="72"/>
      <c r="TJZ150" s="72"/>
      <c r="TKA150" s="72"/>
      <c r="TKB150" s="72"/>
      <c r="TKC150" s="72"/>
      <c r="TKD150" s="72"/>
      <c r="TKE150" s="72"/>
      <c r="TKF150" s="72"/>
      <c r="TKG150" s="72"/>
      <c r="TKH150" s="72"/>
      <c r="TKI150" s="72"/>
      <c r="TKJ150" s="72"/>
      <c r="TKK150" s="72"/>
      <c r="TKL150" s="72"/>
      <c r="TKM150" s="72"/>
      <c r="TKN150" s="72"/>
      <c r="TKO150" s="72"/>
      <c r="TKP150" s="72"/>
      <c r="TKQ150" s="72"/>
      <c r="TKR150" s="72"/>
      <c r="TKS150" s="72"/>
      <c r="TKT150" s="72"/>
      <c r="TKU150" s="72"/>
      <c r="TKV150" s="72"/>
      <c r="TKW150" s="72"/>
      <c r="TKX150" s="72"/>
      <c r="TKY150" s="72"/>
      <c r="TKZ150" s="72"/>
      <c r="TLA150" s="72"/>
      <c r="TLB150" s="72"/>
      <c r="TLC150" s="72"/>
      <c r="TLD150" s="72"/>
      <c r="TLE150" s="72"/>
      <c r="TLF150" s="72"/>
      <c r="TLG150" s="72"/>
      <c r="TLH150" s="72"/>
      <c r="TLI150" s="72"/>
      <c r="TLJ150" s="72"/>
      <c r="TLK150" s="72"/>
      <c r="TLL150" s="72"/>
      <c r="TLM150" s="72"/>
      <c r="TLN150" s="72"/>
      <c r="TLO150" s="72"/>
      <c r="TLP150" s="72"/>
      <c r="TLQ150" s="72"/>
      <c r="TLR150" s="72"/>
      <c r="TLS150" s="72"/>
      <c r="TLT150" s="72"/>
      <c r="TLU150" s="72"/>
      <c r="TLV150" s="72"/>
      <c r="TLW150" s="72"/>
      <c r="TLX150" s="72"/>
      <c r="TLY150" s="72"/>
      <c r="TLZ150" s="72"/>
      <c r="TMA150" s="72"/>
      <c r="TMB150" s="72"/>
      <c r="TMC150" s="72"/>
      <c r="TMD150" s="72"/>
      <c r="TME150" s="72"/>
      <c r="TMF150" s="72"/>
      <c r="TMG150" s="72"/>
      <c r="TMH150" s="72"/>
      <c r="TMI150" s="72"/>
      <c r="TMJ150" s="72"/>
      <c r="TMK150" s="72"/>
      <c r="TML150" s="72"/>
      <c r="TMM150" s="72"/>
      <c r="TMN150" s="72"/>
      <c r="TMO150" s="72"/>
      <c r="TMP150" s="72"/>
      <c r="TMQ150" s="72"/>
      <c r="TMR150" s="72"/>
      <c r="TMS150" s="72"/>
      <c r="TMT150" s="72"/>
      <c r="TMU150" s="72"/>
      <c r="TMV150" s="72"/>
      <c r="TMW150" s="72"/>
      <c r="TMX150" s="72"/>
      <c r="TMY150" s="72"/>
      <c r="TMZ150" s="72"/>
      <c r="TNA150" s="72"/>
      <c r="TNB150" s="72"/>
      <c r="TNC150" s="72"/>
      <c r="TND150" s="72"/>
      <c r="TNE150" s="72"/>
      <c r="TNF150" s="72"/>
      <c r="TNG150" s="72"/>
      <c r="TNH150" s="72"/>
      <c r="TNI150" s="72"/>
      <c r="TNJ150" s="72"/>
      <c r="TNK150" s="72"/>
      <c r="TNL150" s="72"/>
      <c r="TNM150" s="72"/>
      <c r="TNN150" s="72"/>
      <c r="TNO150" s="72"/>
      <c r="TNP150" s="72"/>
      <c r="TNQ150" s="72"/>
      <c r="TNR150" s="72"/>
      <c r="TNS150" s="72"/>
      <c r="TNT150" s="72"/>
      <c r="TNU150" s="72"/>
      <c r="TNV150" s="72"/>
      <c r="TNW150" s="72"/>
      <c r="TNX150" s="72"/>
      <c r="TNY150" s="72"/>
      <c r="TNZ150" s="72"/>
      <c r="TOA150" s="72"/>
      <c r="TOB150" s="72"/>
      <c r="TOC150" s="72"/>
      <c r="TOD150" s="72"/>
      <c r="TOE150" s="72"/>
      <c r="TOF150" s="72"/>
      <c r="TOG150" s="72"/>
      <c r="TOH150" s="72"/>
      <c r="TOI150" s="72"/>
      <c r="TOJ150" s="72"/>
      <c r="TOK150" s="72"/>
      <c r="TOL150" s="72"/>
      <c r="TOM150" s="72"/>
      <c r="TON150" s="72"/>
      <c r="TOO150" s="72"/>
      <c r="TOP150" s="72"/>
      <c r="TOQ150" s="72"/>
      <c r="TOR150" s="72"/>
      <c r="TOS150" s="72"/>
      <c r="TOT150" s="72"/>
      <c r="TOU150" s="72"/>
      <c r="TOV150" s="72"/>
      <c r="TOW150" s="72"/>
      <c r="TOX150" s="72"/>
      <c r="TOY150" s="72"/>
      <c r="TOZ150" s="72"/>
      <c r="TPA150" s="72"/>
      <c r="TPB150" s="72"/>
      <c r="TPC150" s="72"/>
      <c r="TPD150" s="72"/>
      <c r="TPE150" s="72"/>
      <c r="TPF150" s="72"/>
      <c r="TPG150" s="72"/>
      <c r="TPH150" s="72"/>
      <c r="TPI150" s="72"/>
      <c r="TPJ150" s="72"/>
      <c r="TPK150" s="72"/>
      <c r="TPL150" s="72"/>
      <c r="TPM150" s="72"/>
      <c r="TPN150" s="72"/>
      <c r="TPO150" s="72"/>
      <c r="TPP150" s="72"/>
      <c r="TPQ150" s="72"/>
      <c r="TPR150" s="72"/>
      <c r="TPS150" s="72"/>
      <c r="TPT150" s="72"/>
      <c r="TPU150" s="72"/>
      <c r="TPV150" s="72"/>
      <c r="TPW150" s="72"/>
      <c r="TPX150" s="72"/>
      <c r="TPY150" s="72"/>
      <c r="TPZ150" s="72"/>
      <c r="TQA150" s="72"/>
      <c r="TQB150" s="72"/>
      <c r="TQC150" s="72"/>
      <c r="TQD150" s="72"/>
      <c r="TQE150" s="72"/>
      <c r="TQF150" s="72"/>
      <c r="TQG150" s="72"/>
      <c r="TQH150" s="72"/>
      <c r="TQI150" s="72"/>
      <c r="TQJ150" s="72"/>
      <c r="TQK150" s="72"/>
      <c r="TQL150" s="72"/>
      <c r="TQM150" s="72"/>
      <c r="TQN150" s="72"/>
      <c r="TQO150" s="72"/>
      <c r="TQP150" s="72"/>
      <c r="TQQ150" s="72"/>
      <c r="TQR150" s="72"/>
      <c r="TQS150" s="72"/>
      <c r="TQT150" s="72"/>
      <c r="TQU150" s="72"/>
      <c r="TQV150" s="72"/>
      <c r="TQW150" s="72"/>
      <c r="TQX150" s="72"/>
      <c r="TQY150" s="72"/>
      <c r="TQZ150" s="72"/>
      <c r="TRA150" s="72"/>
      <c r="TRB150" s="72"/>
      <c r="TRC150" s="72"/>
      <c r="TRD150" s="72"/>
      <c r="TRE150" s="72"/>
      <c r="TRF150" s="72"/>
      <c r="TRG150" s="72"/>
      <c r="TRH150" s="72"/>
      <c r="TRI150" s="72"/>
      <c r="TRJ150" s="72"/>
      <c r="TRK150" s="72"/>
      <c r="TRL150" s="72"/>
      <c r="TRM150" s="72"/>
      <c r="TRN150" s="72"/>
      <c r="TRO150" s="72"/>
      <c r="TRP150" s="72"/>
      <c r="TRQ150" s="72"/>
      <c r="TRR150" s="72"/>
      <c r="TRS150" s="72"/>
      <c r="TRT150" s="72"/>
      <c r="TRU150" s="72"/>
      <c r="TRV150" s="72"/>
      <c r="TRW150" s="72"/>
      <c r="TRX150" s="72"/>
      <c r="TRY150" s="72"/>
      <c r="TRZ150" s="72"/>
      <c r="TSA150" s="72"/>
      <c r="TSB150" s="72"/>
      <c r="TSC150" s="72"/>
      <c r="TSD150" s="72"/>
      <c r="TSE150" s="72"/>
      <c r="TSF150" s="72"/>
      <c r="TSG150" s="72"/>
      <c r="TSH150" s="72"/>
      <c r="TSI150" s="72"/>
      <c r="TSJ150" s="72"/>
      <c r="TSK150" s="72"/>
      <c r="TSL150" s="72"/>
      <c r="TSM150" s="72"/>
      <c r="TSN150" s="72"/>
      <c r="TSO150" s="72"/>
      <c r="TSP150" s="72"/>
      <c r="TSQ150" s="72"/>
      <c r="TSR150" s="72"/>
      <c r="TSS150" s="72"/>
      <c r="TST150" s="72"/>
      <c r="TSU150" s="72"/>
      <c r="TSV150" s="72"/>
      <c r="TSW150" s="72"/>
      <c r="TSX150" s="72"/>
      <c r="TSY150" s="72"/>
      <c r="TSZ150" s="72"/>
      <c r="TTA150" s="72"/>
      <c r="TTB150" s="72"/>
      <c r="TTC150" s="72"/>
      <c r="TTD150" s="72"/>
      <c r="TTE150" s="72"/>
      <c r="TTF150" s="72"/>
      <c r="TTG150" s="72"/>
      <c r="TTH150" s="72"/>
      <c r="TTI150" s="72"/>
      <c r="TTJ150" s="72"/>
      <c r="TTK150" s="72"/>
      <c r="TTL150" s="72"/>
      <c r="TTM150" s="72"/>
      <c r="TTN150" s="72"/>
      <c r="TTO150" s="72"/>
      <c r="TTP150" s="72"/>
      <c r="TTQ150" s="72"/>
      <c r="TTR150" s="72"/>
      <c r="TTS150" s="72"/>
      <c r="TTT150" s="72"/>
      <c r="TTU150" s="72"/>
      <c r="TTV150" s="72"/>
      <c r="TTW150" s="72"/>
      <c r="TTX150" s="72"/>
      <c r="TTY150" s="72"/>
      <c r="TTZ150" s="72"/>
      <c r="TUA150" s="72"/>
      <c r="TUB150" s="72"/>
      <c r="TUC150" s="72"/>
      <c r="TUD150" s="72"/>
      <c r="TUE150" s="72"/>
      <c r="TUF150" s="72"/>
      <c r="TUG150" s="72"/>
      <c r="TUH150" s="72"/>
      <c r="TUI150" s="72"/>
      <c r="TUJ150" s="72"/>
      <c r="TUK150" s="72"/>
      <c r="TUL150" s="72"/>
      <c r="TUM150" s="72"/>
      <c r="TUN150" s="72"/>
      <c r="TUO150" s="72"/>
      <c r="TUP150" s="72"/>
      <c r="TUQ150" s="72"/>
      <c r="TUR150" s="72"/>
      <c r="TUS150" s="72"/>
      <c r="TUT150" s="72"/>
      <c r="TUU150" s="72"/>
      <c r="TUV150" s="72"/>
      <c r="TUW150" s="72"/>
      <c r="TUX150" s="72"/>
      <c r="TUY150" s="72"/>
      <c r="TUZ150" s="72"/>
      <c r="TVA150" s="72"/>
      <c r="TVB150" s="72"/>
      <c r="TVC150" s="72"/>
      <c r="TVD150" s="72"/>
      <c r="TVE150" s="72"/>
      <c r="TVF150" s="72"/>
      <c r="TVG150" s="72"/>
      <c r="TVH150" s="72"/>
      <c r="TVI150" s="72"/>
      <c r="TVJ150" s="72"/>
      <c r="TVK150" s="72"/>
      <c r="TVL150" s="72"/>
      <c r="TVM150" s="72"/>
      <c r="TVN150" s="72"/>
      <c r="TVO150" s="72"/>
      <c r="TVP150" s="72"/>
      <c r="TVQ150" s="72"/>
      <c r="TVR150" s="72"/>
      <c r="TVS150" s="72"/>
      <c r="TVT150" s="72"/>
      <c r="TVU150" s="72"/>
      <c r="TVV150" s="72"/>
      <c r="TVW150" s="72"/>
      <c r="TVX150" s="72"/>
      <c r="TVY150" s="72"/>
      <c r="TVZ150" s="72"/>
      <c r="TWA150" s="72"/>
      <c r="TWB150" s="72"/>
      <c r="TWC150" s="72"/>
      <c r="TWD150" s="72"/>
      <c r="TWE150" s="72"/>
      <c r="TWF150" s="72"/>
      <c r="TWG150" s="72"/>
      <c r="TWH150" s="72"/>
      <c r="TWI150" s="72"/>
      <c r="TWJ150" s="72"/>
      <c r="TWK150" s="72"/>
      <c r="TWL150" s="72"/>
      <c r="TWM150" s="72"/>
      <c r="TWN150" s="72"/>
      <c r="TWO150" s="72"/>
      <c r="TWP150" s="72"/>
      <c r="TWQ150" s="72"/>
      <c r="TWR150" s="72"/>
      <c r="TWS150" s="72"/>
      <c r="TWT150" s="72"/>
      <c r="TWU150" s="72"/>
      <c r="TWV150" s="72"/>
      <c r="TWW150" s="72"/>
      <c r="TWX150" s="72"/>
      <c r="TWY150" s="72"/>
      <c r="TWZ150" s="72"/>
      <c r="TXA150" s="72"/>
      <c r="TXB150" s="72"/>
      <c r="TXC150" s="72"/>
      <c r="TXD150" s="72"/>
      <c r="TXE150" s="72"/>
      <c r="TXF150" s="72"/>
      <c r="TXG150" s="72"/>
      <c r="TXH150" s="72"/>
      <c r="TXI150" s="72"/>
      <c r="TXJ150" s="72"/>
      <c r="TXK150" s="72"/>
      <c r="TXL150" s="72"/>
      <c r="TXM150" s="72"/>
      <c r="TXN150" s="72"/>
      <c r="TXO150" s="72"/>
      <c r="TXP150" s="72"/>
      <c r="TXQ150" s="72"/>
      <c r="TXR150" s="72"/>
      <c r="TXS150" s="72"/>
      <c r="TXT150" s="72"/>
      <c r="TXU150" s="72"/>
      <c r="TXV150" s="72"/>
      <c r="TXW150" s="72"/>
      <c r="TXX150" s="72"/>
      <c r="TXY150" s="72"/>
      <c r="TXZ150" s="72"/>
      <c r="TYA150" s="72"/>
      <c r="TYB150" s="72"/>
      <c r="TYC150" s="72"/>
      <c r="TYD150" s="72"/>
      <c r="TYE150" s="72"/>
      <c r="TYF150" s="72"/>
      <c r="TYG150" s="72"/>
      <c r="TYH150" s="72"/>
      <c r="TYI150" s="72"/>
      <c r="TYJ150" s="72"/>
      <c r="TYK150" s="72"/>
      <c r="TYL150" s="72"/>
      <c r="TYM150" s="72"/>
      <c r="TYN150" s="72"/>
      <c r="TYO150" s="72"/>
      <c r="TYP150" s="72"/>
      <c r="TYQ150" s="72"/>
      <c r="TYR150" s="72"/>
      <c r="TYS150" s="72"/>
      <c r="TYT150" s="72"/>
      <c r="TYU150" s="72"/>
      <c r="TYV150" s="72"/>
      <c r="TYW150" s="72"/>
      <c r="TYX150" s="72"/>
      <c r="TYY150" s="72"/>
      <c r="TYZ150" s="72"/>
      <c r="TZA150" s="72"/>
      <c r="TZB150" s="72"/>
      <c r="TZC150" s="72"/>
      <c r="TZD150" s="72"/>
      <c r="TZE150" s="72"/>
      <c r="TZF150" s="72"/>
      <c r="TZG150" s="72"/>
      <c r="TZH150" s="72"/>
      <c r="TZI150" s="72"/>
      <c r="TZJ150" s="72"/>
      <c r="TZK150" s="72"/>
      <c r="TZL150" s="72"/>
      <c r="TZM150" s="72"/>
      <c r="TZN150" s="72"/>
      <c r="TZO150" s="72"/>
      <c r="TZP150" s="72"/>
      <c r="TZQ150" s="72"/>
      <c r="TZR150" s="72"/>
      <c r="TZS150" s="72"/>
      <c r="TZT150" s="72"/>
      <c r="TZU150" s="72"/>
      <c r="TZV150" s="72"/>
      <c r="TZW150" s="72"/>
      <c r="TZX150" s="72"/>
      <c r="TZY150" s="72"/>
      <c r="TZZ150" s="72"/>
      <c r="UAA150" s="72"/>
      <c r="UAB150" s="72"/>
      <c r="UAC150" s="72"/>
      <c r="UAD150" s="72"/>
      <c r="UAE150" s="72"/>
      <c r="UAF150" s="72"/>
      <c r="UAG150" s="72"/>
      <c r="UAH150" s="72"/>
      <c r="UAI150" s="72"/>
      <c r="UAJ150" s="72"/>
      <c r="UAK150" s="72"/>
      <c r="UAL150" s="72"/>
      <c r="UAM150" s="72"/>
      <c r="UAN150" s="72"/>
      <c r="UAO150" s="72"/>
      <c r="UAP150" s="72"/>
      <c r="UAQ150" s="72"/>
      <c r="UAR150" s="72"/>
      <c r="UAS150" s="72"/>
      <c r="UAT150" s="72"/>
      <c r="UAU150" s="72"/>
      <c r="UAV150" s="72"/>
      <c r="UAW150" s="72"/>
      <c r="UAX150" s="72"/>
      <c r="UAY150" s="72"/>
      <c r="UAZ150" s="72"/>
      <c r="UBA150" s="72"/>
      <c r="UBB150" s="72"/>
      <c r="UBC150" s="72"/>
      <c r="UBD150" s="72"/>
      <c r="UBE150" s="72"/>
      <c r="UBF150" s="72"/>
      <c r="UBG150" s="72"/>
      <c r="UBH150" s="72"/>
      <c r="UBI150" s="72"/>
      <c r="UBJ150" s="72"/>
      <c r="UBK150" s="72"/>
      <c r="UBL150" s="72"/>
      <c r="UBM150" s="72"/>
      <c r="UBN150" s="72"/>
      <c r="UBO150" s="72"/>
      <c r="UBP150" s="72"/>
      <c r="UBQ150" s="72"/>
      <c r="UBR150" s="72"/>
      <c r="UBS150" s="72"/>
      <c r="UBT150" s="72"/>
      <c r="UBU150" s="72"/>
      <c r="UBV150" s="72"/>
      <c r="UBW150" s="72"/>
      <c r="UBX150" s="72"/>
      <c r="UBY150" s="72"/>
      <c r="UBZ150" s="72"/>
      <c r="UCA150" s="72"/>
      <c r="UCB150" s="72"/>
      <c r="UCC150" s="72"/>
      <c r="UCD150" s="72"/>
      <c r="UCE150" s="72"/>
      <c r="UCF150" s="72"/>
      <c r="UCG150" s="72"/>
      <c r="UCH150" s="72"/>
      <c r="UCI150" s="72"/>
      <c r="UCJ150" s="72"/>
      <c r="UCK150" s="72"/>
      <c r="UCL150" s="72"/>
      <c r="UCM150" s="72"/>
      <c r="UCN150" s="72"/>
      <c r="UCO150" s="72"/>
      <c r="UCP150" s="72"/>
      <c r="UCQ150" s="72"/>
      <c r="UCR150" s="72"/>
      <c r="UCS150" s="72"/>
      <c r="UCT150" s="72"/>
      <c r="UCU150" s="72"/>
      <c r="UCV150" s="72"/>
      <c r="UCW150" s="72"/>
      <c r="UCX150" s="72"/>
      <c r="UCY150" s="72"/>
      <c r="UCZ150" s="72"/>
      <c r="UDA150" s="72"/>
      <c r="UDB150" s="72"/>
      <c r="UDC150" s="72"/>
      <c r="UDD150" s="72"/>
      <c r="UDE150" s="72"/>
      <c r="UDF150" s="72"/>
      <c r="UDG150" s="72"/>
      <c r="UDH150" s="72"/>
      <c r="UDI150" s="72"/>
      <c r="UDJ150" s="72"/>
      <c r="UDK150" s="72"/>
      <c r="UDL150" s="72"/>
      <c r="UDM150" s="72"/>
      <c r="UDN150" s="72"/>
      <c r="UDO150" s="72"/>
      <c r="UDP150" s="72"/>
      <c r="UDQ150" s="72"/>
      <c r="UDR150" s="72"/>
      <c r="UDS150" s="72"/>
      <c r="UDT150" s="72"/>
      <c r="UDU150" s="72"/>
      <c r="UDV150" s="72"/>
      <c r="UDW150" s="72"/>
      <c r="UDX150" s="72"/>
      <c r="UDY150" s="72"/>
      <c r="UDZ150" s="72"/>
      <c r="UEA150" s="72"/>
      <c r="UEB150" s="72"/>
      <c r="UEC150" s="72"/>
      <c r="UED150" s="72"/>
      <c r="UEE150" s="72"/>
      <c r="UEF150" s="72"/>
      <c r="UEG150" s="72"/>
      <c r="UEH150" s="72"/>
      <c r="UEI150" s="72"/>
      <c r="UEJ150" s="72"/>
      <c r="UEK150" s="72"/>
      <c r="UEL150" s="72"/>
      <c r="UEM150" s="72"/>
      <c r="UEN150" s="72"/>
      <c r="UEO150" s="72"/>
      <c r="UEP150" s="72"/>
      <c r="UEQ150" s="72"/>
      <c r="UER150" s="72"/>
      <c r="UES150" s="72"/>
      <c r="UET150" s="72"/>
      <c r="UEU150" s="72"/>
      <c r="UEV150" s="72"/>
      <c r="UEW150" s="72"/>
      <c r="UEX150" s="72"/>
      <c r="UEY150" s="72"/>
      <c r="UEZ150" s="72"/>
      <c r="UFA150" s="72"/>
      <c r="UFB150" s="72"/>
      <c r="UFC150" s="72"/>
      <c r="UFD150" s="72"/>
      <c r="UFE150" s="72"/>
      <c r="UFF150" s="72"/>
      <c r="UFG150" s="72"/>
      <c r="UFH150" s="72"/>
      <c r="UFI150" s="72"/>
      <c r="UFJ150" s="72"/>
      <c r="UFK150" s="72"/>
      <c r="UFL150" s="72"/>
      <c r="UFM150" s="72"/>
      <c r="UFN150" s="72"/>
      <c r="UFO150" s="72"/>
      <c r="UFP150" s="72"/>
      <c r="UFQ150" s="72"/>
      <c r="UFR150" s="72"/>
      <c r="UFS150" s="72"/>
      <c r="UFT150" s="72"/>
      <c r="UFU150" s="72"/>
      <c r="UFV150" s="72"/>
      <c r="UFW150" s="72"/>
      <c r="UFX150" s="72"/>
      <c r="UFY150" s="72"/>
      <c r="UFZ150" s="72"/>
      <c r="UGA150" s="72"/>
      <c r="UGB150" s="72"/>
      <c r="UGC150" s="72"/>
      <c r="UGD150" s="72"/>
      <c r="UGE150" s="72"/>
      <c r="UGF150" s="72"/>
      <c r="UGG150" s="72"/>
      <c r="UGH150" s="72"/>
      <c r="UGI150" s="72"/>
      <c r="UGJ150" s="72"/>
      <c r="UGK150" s="72"/>
      <c r="UGL150" s="72"/>
      <c r="UGM150" s="72"/>
      <c r="UGN150" s="72"/>
      <c r="UGO150" s="72"/>
      <c r="UGP150" s="72"/>
      <c r="UGQ150" s="72"/>
      <c r="UGR150" s="72"/>
      <c r="UGS150" s="72"/>
      <c r="UGT150" s="72"/>
      <c r="UGU150" s="72"/>
      <c r="UGV150" s="72"/>
      <c r="UGW150" s="72"/>
      <c r="UGX150" s="72"/>
      <c r="UGY150" s="72"/>
      <c r="UGZ150" s="72"/>
      <c r="UHA150" s="72"/>
      <c r="UHB150" s="72"/>
      <c r="UHC150" s="72"/>
      <c r="UHD150" s="72"/>
      <c r="UHE150" s="72"/>
      <c r="UHF150" s="72"/>
      <c r="UHG150" s="72"/>
      <c r="UHH150" s="72"/>
      <c r="UHI150" s="72"/>
      <c r="UHJ150" s="72"/>
      <c r="UHK150" s="72"/>
      <c r="UHL150" s="72"/>
      <c r="UHM150" s="72"/>
      <c r="UHN150" s="72"/>
      <c r="UHO150" s="72"/>
      <c r="UHP150" s="72"/>
      <c r="UHQ150" s="72"/>
      <c r="UHR150" s="72"/>
      <c r="UHS150" s="72"/>
      <c r="UHT150" s="72"/>
      <c r="UHU150" s="72"/>
      <c r="UHV150" s="72"/>
      <c r="UHW150" s="72"/>
      <c r="UHX150" s="72"/>
      <c r="UHY150" s="72"/>
      <c r="UHZ150" s="72"/>
      <c r="UIA150" s="72"/>
      <c r="UIB150" s="72"/>
      <c r="UIC150" s="72"/>
      <c r="UID150" s="72"/>
      <c r="UIE150" s="72"/>
      <c r="UIF150" s="72"/>
      <c r="UIG150" s="72"/>
      <c r="UIH150" s="72"/>
      <c r="UII150" s="72"/>
      <c r="UIJ150" s="72"/>
      <c r="UIK150" s="72"/>
      <c r="UIL150" s="72"/>
      <c r="UIM150" s="72"/>
      <c r="UIN150" s="72"/>
      <c r="UIO150" s="72"/>
      <c r="UIP150" s="72"/>
      <c r="UIQ150" s="72"/>
      <c r="UIR150" s="72"/>
      <c r="UIS150" s="72"/>
      <c r="UIT150" s="72"/>
      <c r="UIU150" s="72"/>
      <c r="UIV150" s="72"/>
      <c r="UIW150" s="72"/>
      <c r="UIX150" s="72"/>
      <c r="UIY150" s="72"/>
      <c r="UIZ150" s="72"/>
      <c r="UJA150" s="72"/>
      <c r="UJB150" s="72"/>
      <c r="UJC150" s="72"/>
      <c r="UJD150" s="72"/>
      <c r="UJE150" s="72"/>
      <c r="UJF150" s="72"/>
      <c r="UJG150" s="72"/>
      <c r="UJH150" s="72"/>
      <c r="UJI150" s="72"/>
      <c r="UJJ150" s="72"/>
      <c r="UJK150" s="72"/>
      <c r="UJL150" s="72"/>
      <c r="UJM150" s="72"/>
      <c r="UJN150" s="72"/>
      <c r="UJO150" s="72"/>
      <c r="UJP150" s="72"/>
      <c r="UJQ150" s="72"/>
      <c r="UJR150" s="72"/>
      <c r="UJS150" s="72"/>
      <c r="UJT150" s="72"/>
      <c r="UJU150" s="72"/>
      <c r="UJV150" s="72"/>
      <c r="UJW150" s="72"/>
      <c r="UJX150" s="72"/>
      <c r="UJY150" s="72"/>
      <c r="UJZ150" s="72"/>
      <c r="UKA150" s="72"/>
      <c r="UKB150" s="72"/>
      <c r="UKC150" s="72"/>
      <c r="UKD150" s="72"/>
      <c r="UKE150" s="72"/>
      <c r="UKF150" s="72"/>
      <c r="UKG150" s="72"/>
      <c r="UKH150" s="72"/>
      <c r="UKI150" s="72"/>
      <c r="UKJ150" s="72"/>
      <c r="UKK150" s="72"/>
      <c r="UKL150" s="72"/>
      <c r="UKM150" s="72"/>
      <c r="UKN150" s="72"/>
      <c r="UKO150" s="72"/>
      <c r="UKP150" s="72"/>
      <c r="UKQ150" s="72"/>
      <c r="UKR150" s="72"/>
      <c r="UKS150" s="72"/>
      <c r="UKT150" s="72"/>
      <c r="UKU150" s="72"/>
      <c r="UKV150" s="72"/>
      <c r="UKW150" s="72"/>
      <c r="UKX150" s="72"/>
      <c r="UKY150" s="72"/>
      <c r="UKZ150" s="72"/>
      <c r="ULA150" s="72"/>
      <c r="ULB150" s="72"/>
      <c r="ULC150" s="72"/>
      <c r="ULD150" s="72"/>
      <c r="ULE150" s="72"/>
      <c r="ULF150" s="72"/>
      <c r="ULG150" s="72"/>
      <c r="ULH150" s="72"/>
      <c r="ULI150" s="72"/>
      <c r="ULJ150" s="72"/>
      <c r="ULK150" s="72"/>
      <c r="ULL150" s="72"/>
      <c r="ULM150" s="72"/>
      <c r="ULN150" s="72"/>
      <c r="ULO150" s="72"/>
      <c r="ULP150" s="72"/>
      <c r="ULQ150" s="72"/>
      <c r="ULR150" s="72"/>
      <c r="ULS150" s="72"/>
      <c r="ULT150" s="72"/>
      <c r="ULU150" s="72"/>
      <c r="ULV150" s="72"/>
      <c r="ULW150" s="72"/>
      <c r="ULX150" s="72"/>
      <c r="ULY150" s="72"/>
      <c r="ULZ150" s="72"/>
      <c r="UMA150" s="72"/>
      <c r="UMB150" s="72"/>
      <c r="UMC150" s="72"/>
      <c r="UMD150" s="72"/>
      <c r="UME150" s="72"/>
      <c r="UMF150" s="72"/>
      <c r="UMG150" s="72"/>
      <c r="UMH150" s="72"/>
      <c r="UMI150" s="72"/>
      <c r="UMJ150" s="72"/>
      <c r="UMK150" s="72"/>
      <c r="UML150" s="72"/>
      <c r="UMM150" s="72"/>
      <c r="UMN150" s="72"/>
      <c r="UMO150" s="72"/>
      <c r="UMP150" s="72"/>
      <c r="UMQ150" s="72"/>
      <c r="UMR150" s="72"/>
      <c r="UMS150" s="72"/>
      <c r="UMT150" s="72"/>
      <c r="UMU150" s="72"/>
      <c r="UMV150" s="72"/>
      <c r="UMW150" s="72"/>
      <c r="UMX150" s="72"/>
      <c r="UMY150" s="72"/>
      <c r="UMZ150" s="72"/>
      <c r="UNA150" s="72"/>
      <c r="UNB150" s="72"/>
      <c r="UNC150" s="72"/>
      <c r="UND150" s="72"/>
      <c r="UNE150" s="72"/>
      <c r="UNF150" s="72"/>
      <c r="UNG150" s="72"/>
      <c r="UNH150" s="72"/>
      <c r="UNI150" s="72"/>
      <c r="UNJ150" s="72"/>
      <c r="UNK150" s="72"/>
      <c r="UNL150" s="72"/>
      <c r="UNM150" s="72"/>
      <c r="UNN150" s="72"/>
      <c r="UNO150" s="72"/>
      <c r="UNP150" s="72"/>
      <c r="UNQ150" s="72"/>
      <c r="UNR150" s="72"/>
      <c r="UNS150" s="72"/>
      <c r="UNT150" s="72"/>
      <c r="UNU150" s="72"/>
      <c r="UNV150" s="72"/>
      <c r="UNW150" s="72"/>
      <c r="UNX150" s="72"/>
      <c r="UNY150" s="72"/>
      <c r="UNZ150" s="72"/>
      <c r="UOA150" s="72"/>
      <c r="UOB150" s="72"/>
      <c r="UOC150" s="72"/>
      <c r="UOD150" s="72"/>
      <c r="UOE150" s="72"/>
      <c r="UOF150" s="72"/>
      <c r="UOG150" s="72"/>
      <c r="UOH150" s="72"/>
      <c r="UOI150" s="72"/>
      <c r="UOJ150" s="72"/>
      <c r="UOK150" s="72"/>
      <c r="UOL150" s="72"/>
      <c r="UOM150" s="72"/>
      <c r="UON150" s="72"/>
      <c r="UOO150" s="72"/>
      <c r="UOP150" s="72"/>
      <c r="UOQ150" s="72"/>
      <c r="UOR150" s="72"/>
      <c r="UOS150" s="72"/>
      <c r="UOT150" s="72"/>
      <c r="UOU150" s="72"/>
      <c r="UOV150" s="72"/>
      <c r="UOW150" s="72"/>
      <c r="UOX150" s="72"/>
      <c r="UOY150" s="72"/>
      <c r="UOZ150" s="72"/>
      <c r="UPA150" s="72"/>
      <c r="UPB150" s="72"/>
      <c r="UPC150" s="72"/>
      <c r="UPD150" s="72"/>
      <c r="UPE150" s="72"/>
      <c r="UPF150" s="72"/>
      <c r="UPG150" s="72"/>
      <c r="UPH150" s="72"/>
      <c r="UPI150" s="72"/>
      <c r="UPJ150" s="72"/>
      <c r="UPK150" s="72"/>
      <c r="UPL150" s="72"/>
      <c r="UPM150" s="72"/>
      <c r="UPN150" s="72"/>
      <c r="UPO150" s="72"/>
      <c r="UPP150" s="72"/>
      <c r="UPQ150" s="72"/>
      <c r="UPR150" s="72"/>
      <c r="UPS150" s="72"/>
      <c r="UPT150" s="72"/>
      <c r="UPU150" s="72"/>
      <c r="UPV150" s="72"/>
      <c r="UPW150" s="72"/>
      <c r="UPX150" s="72"/>
      <c r="UPY150" s="72"/>
      <c r="UPZ150" s="72"/>
      <c r="UQA150" s="72"/>
      <c r="UQB150" s="72"/>
      <c r="UQC150" s="72"/>
      <c r="UQD150" s="72"/>
      <c r="UQE150" s="72"/>
      <c r="UQF150" s="72"/>
      <c r="UQG150" s="72"/>
      <c r="UQH150" s="72"/>
      <c r="UQI150" s="72"/>
      <c r="UQJ150" s="72"/>
      <c r="UQK150" s="72"/>
      <c r="UQL150" s="72"/>
      <c r="UQM150" s="72"/>
      <c r="UQN150" s="72"/>
      <c r="UQO150" s="72"/>
      <c r="UQP150" s="72"/>
      <c r="UQQ150" s="72"/>
      <c r="UQR150" s="72"/>
      <c r="UQS150" s="72"/>
      <c r="UQT150" s="72"/>
      <c r="UQU150" s="72"/>
      <c r="UQV150" s="72"/>
      <c r="UQW150" s="72"/>
      <c r="UQX150" s="72"/>
      <c r="UQY150" s="72"/>
      <c r="UQZ150" s="72"/>
      <c r="URA150" s="72"/>
      <c r="URB150" s="72"/>
      <c r="URC150" s="72"/>
      <c r="URD150" s="72"/>
      <c r="URE150" s="72"/>
      <c r="URF150" s="72"/>
      <c r="URG150" s="72"/>
      <c r="URH150" s="72"/>
      <c r="URI150" s="72"/>
      <c r="URJ150" s="72"/>
      <c r="URK150" s="72"/>
      <c r="URL150" s="72"/>
      <c r="URM150" s="72"/>
      <c r="URN150" s="72"/>
      <c r="URO150" s="72"/>
      <c r="URP150" s="72"/>
      <c r="URQ150" s="72"/>
      <c r="URR150" s="72"/>
      <c r="URS150" s="72"/>
      <c r="URT150" s="72"/>
      <c r="URU150" s="72"/>
      <c r="URV150" s="72"/>
      <c r="URW150" s="72"/>
      <c r="URX150" s="72"/>
      <c r="URY150" s="72"/>
      <c r="URZ150" s="72"/>
      <c r="USA150" s="72"/>
      <c r="USB150" s="72"/>
      <c r="USC150" s="72"/>
      <c r="USD150" s="72"/>
      <c r="USE150" s="72"/>
      <c r="USF150" s="72"/>
      <c r="USG150" s="72"/>
      <c r="USH150" s="72"/>
      <c r="USI150" s="72"/>
      <c r="USJ150" s="72"/>
      <c r="USK150" s="72"/>
      <c r="USL150" s="72"/>
      <c r="USM150" s="72"/>
      <c r="USN150" s="72"/>
      <c r="USO150" s="72"/>
      <c r="USP150" s="72"/>
      <c r="USQ150" s="72"/>
      <c r="USR150" s="72"/>
      <c r="USS150" s="72"/>
      <c r="UST150" s="72"/>
      <c r="USU150" s="72"/>
      <c r="USV150" s="72"/>
      <c r="USW150" s="72"/>
      <c r="USX150" s="72"/>
      <c r="USY150" s="72"/>
      <c r="USZ150" s="72"/>
      <c r="UTA150" s="72"/>
      <c r="UTB150" s="72"/>
      <c r="UTC150" s="72"/>
      <c r="UTD150" s="72"/>
      <c r="UTE150" s="72"/>
      <c r="UTF150" s="72"/>
      <c r="UTG150" s="72"/>
      <c r="UTH150" s="72"/>
      <c r="UTI150" s="72"/>
      <c r="UTJ150" s="72"/>
      <c r="UTK150" s="72"/>
      <c r="UTL150" s="72"/>
      <c r="UTM150" s="72"/>
      <c r="UTN150" s="72"/>
      <c r="UTO150" s="72"/>
      <c r="UTP150" s="72"/>
      <c r="UTQ150" s="72"/>
      <c r="UTR150" s="72"/>
      <c r="UTS150" s="72"/>
      <c r="UTT150" s="72"/>
      <c r="UTU150" s="72"/>
      <c r="UTV150" s="72"/>
      <c r="UTW150" s="72"/>
      <c r="UTX150" s="72"/>
      <c r="UTY150" s="72"/>
      <c r="UTZ150" s="72"/>
      <c r="UUA150" s="72"/>
      <c r="UUB150" s="72"/>
      <c r="UUC150" s="72"/>
      <c r="UUD150" s="72"/>
      <c r="UUE150" s="72"/>
      <c r="UUF150" s="72"/>
      <c r="UUG150" s="72"/>
      <c r="UUH150" s="72"/>
      <c r="UUI150" s="72"/>
      <c r="UUJ150" s="72"/>
      <c r="UUK150" s="72"/>
      <c r="UUL150" s="72"/>
      <c r="UUM150" s="72"/>
      <c r="UUN150" s="72"/>
      <c r="UUO150" s="72"/>
      <c r="UUP150" s="72"/>
      <c r="UUQ150" s="72"/>
      <c r="UUR150" s="72"/>
      <c r="UUS150" s="72"/>
      <c r="UUT150" s="72"/>
      <c r="UUU150" s="72"/>
      <c r="UUV150" s="72"/>
      <c r="UUW150" s="72"/>
      <c r="UUX150" s="72"/>
      <c r="UUY150" s="72"/>
      <c r="UUZ150" s="72"/>
      <c r="UVA150" s="72"/>
      <c r="UVB150" s="72"/>
      <c r="UVC150" s="72"/>
      <c r="UVD150" s="72"/>
      <c r="UVE150" s="72"/>
      <c r="UVF150" s="72"/>
      <c r="UVG150" s="72"/>
      <c r="UVH150" s="72"/>
      <c r="UVI150" s="72"/>
      <c r="UVJ150" s="72"/>
      <c r="UVK150" s="72"/>
      <c r="UVL150" s="72"/>
      <c r="UVM150" s="72"/>
      <c r="UVN150" s="72"/>
      <c r="UVO150" s="72"/>
      <c r="UVP150" s="72"/>
      <c r="UVQ150" s="72"/>
      <c r="UVR150" s="72"/>
      <c r="UVS150" s="72"/>
      <c r="UVT150" s="72"/>
      <c r="UVU150" s="72"/>
      <c r="UVV150" s="72"/>
      <c r="UVW150" s="72"/>
      <c r="UVX150" s="72"/>
      <c r="UVY150" s="72"/>
      <c r="UVZ150" s="72"/>
      <c r="UWA150" s="72"/>
      <c r="UWB150" s="72"/>
      <c r="UWC150" s="72"/>
      <c r="UWD150" s="72"/>
      <c r="UWE150" s="72"/>
      <c r="UWF150" s="72"/>
      <c r="UWG150" s="72"/>
      <c r="UWH150" s="72"/>
      <c r="UWI150" s="72"/>
      <c r="UWJ150" s="72"/>
      <c r="UWK150" s="72"/>
      <c r="UWL150" s="72"/>
      <c r="UWM150" s="72"/>
      <c r="UWN150" s="72"/>
      <c r="UWO150" s="72"/>
      <c r="UWP150" s="72"/>
      <c r="UWQ150" s="72"/>
      <c r="UWR150" s="72"/>
      <c r="UWS150" s="72"/>
      <c r="UWT150" s="72"/>
      <c r="UWU150" s="72"/>
      <c r="UWV150" s="72"/>
      <c r="UWW150" s="72"/>
      <c r="UWX150" s="72"/>
      <c r="UWY150" s="72"/>
      <c r="UWZ150" s="72"/>
      <c r="UXA150" s="72"/>
      <c r="UXB150" s="72"/>
      <c r="UXC150" s="72"/>
      <c r="UXD150" s="72"/>
      <c r="UXE150" s="72"/>
      <c r="UXF150" s="72"/>
      <c r="UXG150" s="72"/>
      <c r="UXH150" s="72"/>
      <c r="UXI150" s="72"/>
      <c r="UXJ150" s="72"/>
      <c r="UXK150" s="72"/>
      <c r="UXL150" s="72"/>
      <c r="UXM150" s="72"/>
      <c r="UXN150" s="72"/>
      <c r="UXO150" s="72"/>
      <c r="UXP150" s="72"/>
      <c r="UXQ150" s="72"/>
      <c r="UXR150" s="72"/>
      <c r="UXS150" s="72"/>
      <c r="UXT150" s="72"/>
      <c r="UXU150" s="72"/>
      <c r="UXV150" s="72"/>
      <c r="UXW150" s="72"/>
      <c r="UXX150" s="72"/>
      <c r="UXY150" s="72"/>
      <c r="UXZ150" s="72"/>
      <c r="UYA150" s="72"/>
      <c r="UYB150" s="72"/>
      <c r="UYC150" s="72"/>
      <c r="UYD150" s="72"/>
      <c r="UYE150" s="72"/>
      <c r="UYF150" s="72"/>
      <c r="UYG150" s="72"/>
      <c r="UYH150" s="72"/>
      <c r="UYI150" s="72"/>
      <c r="UYJ150" s="72"/>
      <c r="UYK150" s="72"/>
      <c r="UYL150" s="72"/>
      <c r="UYM150" s="72"/>
      <c r="UYN150" s="72"/>
      <c r="UYO150" s="72"/>
      <c r="UYP150" s="72"/>
      <c r="UYQ150" s="72"/>
      <c r="UYR150" s="72"/>
      <c r="UYS150" s="72"/>
      <c r="UYT150" s="72"/>
      <c r="UYU150" s="72"/>
      <c r="UYV150" s="72"/>
      <c r="UYW150" s="72"/>
      <c r="UYX150" s="72"/>
      <c r="UYY150" s="72"/>
      <c r="UYZ150" s="72"/>
      <c r="UZA150" s="72"/>
      <c r="UZB150" s="72"/>
      <c r="UZC150" s="72"/>
      <c r="UZD150" s="72"/>
      <c r="UZE150" s="72"/>
      <c r="UZF150" s="72"/>
      <c r="UZG150" s="72"/>
      <c r="UZH150" s="72"/>
      <c r="UZI150" s="72"/>
      <c r="UZJ150" s="72"/>
      <c r="UZK150" s="72"/>
      <c r="UZL150" s="72"/>
      <c r="UZM150" s="72"/>
      <c r="UZN150" s="72"/>
      <c r="UZO150" s="72"/>
      <c r="UZP150" s="72"/>
      <c r="UZQ150" s="72"/>
      <c r="UZR150" s="72"/>
      <c r="UZS150" s="72"/>
      <c r="UZT150" s="72"/>
      <c r="UZU150" s="72"/>
      <c r="UZV150" s="72"/>
      <c r="UZW150" s="72"/>
      <c r="UZX150" s="72"/>
      <c r="UZY150" s="72"/>
      <c r="UZZ150" s="72"/>
      <c r="VAA150" s="72"/>
      <c r="VAB150" s="72"/>
      <c r="VAC150" s="72"/>
      <c r="VAD150" s="72"/>
      <c r="VAE150" s="72"/>
      <c r="VAF150" s="72"/>
      <c r="VAG150" s="72"/>
      <c r="VAH150" s="72"/>
      <c r="VAI150" s="72"/>
      <c r="VAJ150" s="72"/>
      <c r="VAK150" s="72"/>
      <c r="VAL150" s="72"/>
      <c r="VAM150" s="72"/>
      <c r="VAN150" s="72"/>
      <c r="VAO150" s="72"/>
      <c r="VAP150" s="72"/>
      <c r="VAQ150" s="72"/>
      <c r="VAR150" s="72"/>
      <c r="VAS150" s="72"/>
      <c r="VAT150" s="72"/>
      <c r="VAU150" s="72"/>
      <c r="VAV150" s="72"/>
      <c r="VAW150" s="72"/>
      <c r="VAX150" s="72"/>
      <c r="VAY150" s="72"/>
      <c r="VAZ150" s="72"/>
      <c r="VBA150" s="72"/>
      <c r="VBB150" s="72"/>
      <c r="VBC150" s="72"/>
      <c r="VBD150" s="72"/>
      <c r="VBE150" s="72"/>
      <c r="VBF150" s="72"/>
      <c r="VBG150" s="72"/>
      <c r="VBH150" s="72"/>
      <c r="VBI150" s="72"/>
      <c r="VBJ150" s="72"/>
      <c r="VBK150" s="72"/>
      <c r="VBL150" s="72"/>
      <c r="VBM150" s="72"/>
      <c r="VBN150" s="72"/>
      <c r="VBO150" s="72"/>
      <c r="VBP150" s="72"/>
      <c r="VBQ150" s="72"/>
      <c r="VBR150" s="72"/>
      <c r="VBS150" s="72"/>
      <c r="VBT150" s="72"/>
      <c r="VBU150" s="72"/>
      <c r="VBV150" s="72"/>
      <c r="VBW150" s="72"/>
      <c r="VBX150" s="72"/>
      <c r="VBY150" s="72"/>
      <c r="VBZ150" s="72"/>
      <c r="VCA150" s="72"/>
      <c r="VCB150" s="72"/>
      <c r="VCC150" s="72"/>
      <c r="VCD150" s="72"/>
      <c r="VCE150" s="72"/>
      <c r="VCF150" s="72"/>
      <c r="VCG150" s="72"/>
      <c r="VCH150" s="72"/>
      <c r="VCI150" s="72"/>
      <c r="VCJ150" s="72"/>
      <c r="VCK150" s="72"/>
      <c r="VCL150" s="72"/>
      <c r="VCM150" s="72"/>
      <c r="VCN150" s="72"/>
      <c r="VCO150" s="72"/>
      <c r="VCP150" s="72"/>
      <c r="VCQ150" s="72"/>
      <c r="VCR150" s="72"/>
      <c r="VCS150" s="72"/>
      <c r="VCT150" s="72"/>
      <c r="VCU150" s="72"/>
      <c r="VCV150" s="72"/>
      <c r="VCW150" s="72"/>
      <c r="VCX150" s="72"/>
      <c r="VCY150" s="72"/>
      <c r="VCZ150" s="72"/>
      <c r="VDA150" s="72"/>
      <c r="VDB150" s="72"/>
      <c r="VDC150" s="72"/>
      <c r="VDD150" s="72"/>
      <c r="VDE150" s="72"/>
      <c r="VDF150" s="72"/>
      <c r="VDG150" s="72"/>
      <c r="VDH150" s="72"/>
      <c r="VDI150" s="72"/>
      <c r="VDJ150" s="72"/>
      <c r="VDK150" s="72"/>
      <c r="VDL150" s="72"/>
      <c r="VDM150" s="72"/>
      <c r="VDN150" s="72"/>
      <c r="VDO150" s="72"/>
      <c r="VDP150" s="72"/>
      <c r="VDQ150" s="72"/>
      <c r="VDR150" s="72"/>
      <c r="VDS150" s="72"/>
      <c r="VDT150" s="72"/>
      <c r="VDU150" s="72"/>
      <c r="VDV150" s="72"/>
      <c r="VDW150" s="72"/>
      <c r="VDX150" s="72"/>
      <c r="VDY150" s="72"/>
      <c r="VDZ150" s="72"/>
      <c r="VEA150" s="72"/>
      <c r="VEB150" s="72"/>
      <c r="VEC150" s="72"/>
      <c r="VED150" s="72"/>
      <c r="VEE150" s="72"/>
      <c r="VEF150" s="72"/>
      <c r="VEG150" s="72"/>
      <c r="VEH150" s="72"/>
      <c r="VEI150" s="72"/>
      <c r="VEJ150" s="72"/>
      <c r="VEK150" s="72"/>
      <c r="VEL150" s="72"/>
      <c r="VEM150" s="72"/>
      <c r="VEN150" s="72"/>
      <c r="VEO150" s="72"/>
      <c r="VEP150" s="72"/>
      <c r="VEQ150" s="72"/>
      <c r="VER150" s="72"/>
      <c r="VES150" s="72"/>
      <c r="VET150" s="72"/>
      <c r="VEU150" s="72"/>
      <c r="VEV150" s="72"/>
      <c r="VEW150" s="72"/>
      <c r="VEX150" s="72"/>
      <c r="VEY150" s="72"/>
      <c r="VEZ150" s="72"/>
      <c r="VFA150" s="72"/>
      <c r="VFB150" s="72"/>
      <c r="VFC150" s="72"/>
      <c r="VFD150" s="72"/>
      <c r="VFE150" s="72"/>
      <c r="VFF150" s="72"/>
      <c r="VFG150" s="72"/>
      <c r="VFH150" s="72"/>
      <c r="VFI150" s="72"/>
      <c r="VFJ150" s="72"/>
      <c r="VFK150" s="72"/>
      <c r="VFL150" s="72"/>
      <c r="VFM150" s="72"/>
      <c r="VFN150" s="72"/>
      <c r="VFO150" s="72"/>
      <c r="VFP150" s="72"/>
      <c r="VFQ150" s="72"/>
      <c r="VFR150" s="72"/>
      <c r="VFS150" s="72"/>
      <c r="VFT150" s="72"/>
      <c r="VFU150" s="72"/>
      <c r="VFV150" s="72"/>
      <c r="VFW150" s="72"/>
      <c r="VFX150" s="72"/>
      <c r="VFY150" s="72"/>
      <c r="VFZ150" s="72"/>
      <c r="VGA150" s="72"/>
      <c r="VGB150" s="72"/>
      <c r="VGC150" s="72"/>
      <c r="VGD150" s="72"/>
      <c r="VGE150" s="72"/>
      <c r="VGF150" s="72"/>
      <c r="VGG150" s="72"/>
      <c r="VGH150" s="72"/>
      <c r="VGI150" s="72"/>
      <c r="VGJ150" s="72"/>
      <c r="VGK150" s="72"/>
      <c r="VGL150" s="72"/>
      <c r="VGM150" s="72"/>
      <c r="VGN150" s="72"/>
      <c r="VGO150" s="72"/>
      <c r="VGP150" s="72"/>
      <c r="VGQ150" s="72"/>
      <c r="VGR150" s="72"/>
      <c r="VGS150" s="72"/>
      <c r="VGT150" s="72"/>
      <c r="VGU150" s="72"/>
      <c r="VGV150" s="72"/>
      <c r="VGW150" s="72"/>
      <c r="VGX150" s="72"/>
      <c r="VGY150" s="72"/>
      <c r="VGZ150" s="72"/>
      <c r="VHA150" s="72"/>
      <c r="VHB150" s="72"/>
      <c r="VHC150" s="72"/>
      <c r="VHD150" s="72"/>
      <c r="VHE150" s="72"/>
      <c r="VHF150" s="72"/>
      <c r="VHG150" s="72"/>
      <c r="VHH150" s="72"/>
      <c r="VHI150" s="72"/>
      <c r="VHJ150" s="72"/>
      <c r="VHK150" s="72"/>
      <c r="VHL150" s="72"/>
      <c r="VHM150" s="72"/>
      <c r="VHN150" s="72"/>
      <c r="VHO150" s="72"/>
      <c r="VHP150" s="72"/>
      <c r="VHQ150" s="72"/>
      <c r="VHR150" s="72"/>
      <c r="VHS150" s="72"/>
      <c r="VHT150" s="72"/>
      <c r="VHU150" s="72"/>
      <c r="VHV150" s="72"/>
      <c r="VHW150" s="72"/>
      <c r="VHX150" s="72"/>
      <c r="VHY150" s="72"/>
      <c r="VHZ150" s="72"/>
      <c r="VIA150" s="72"/>
      <c r="VIB150" s="72"/>
      <c r="VIC150" s="72"/>
      <c r="VID150" s="72"/>
      <c r="VIE150" s="72"/>
      <c r="VIF150" s="72"/>
      <c r="VIG150" s="72"/>
      <c r="VIH150" s="72"/>
      <c r="VII150" s="72"/>
      <c r="VIJ150" s="72"/>
      <c r="VIK150" s="72"/>
      <c r="VIL150" s="72"/>
      <c r="VIM150" s="72"/>
      <c r="VIN150" s="72"/>
      <c r="VIO150" s="72"/>
      <c r="VIP150" s="72"/>
      <c r="VIQ150" s="72"/>
      <c r="VIR150" s="72"/>
      <c r="VIS150" s="72"/>
      <c r="VIT150" s="72"/>
      <c r="VIU150" s="72"/>
      <c r="VIV150" s="72"/>
      <c r="VIW150" s="72"/>
      <c r="VIX150" s="72"/>
      <c r="VIY150" s="72"/>
      <c r="VIZ150" s="72"/>
      <c r="VJA150" s="72"/>
      <c r="VJB150" s="72"/>
      <c r="VJC150" s="72"/>
      <c r="VJD150" s="72"/>
      <c r="VJE150" s="72"/>
      <c r="VJF150" s="72"/>
      <c r="VJG150" s="72"/>
      <c r="VJH150" s="72"/>
      <c r="VJI150" s="72"/>
      <c r="VJJ150" s="72"/>
      <c r="VJK150" s="72"/>
      <c r="VJL150" s="72"/>
      <c r="VJM150" s="72"/>
      <c r="VJN150" s="72"/>
      <c r="VJO150" s="72"/>
      <c r="VJP150" s="72"/>
      <c r="VJQ150" s="72"/>
      <c r="VJR150" s="72"/>
      <c r="VJS150" s="72"/>
      <c r="VJT150" s="72"/>
      <c r="VJU150" s="72"/>
      <c r="VJV150" s="72"/>
      <c r="VJW150" s="72"/>
      <c r="VJX150" s="72"/>
      <c r="VJY150" s="72"/>
      <c r="VJZ150" s="72"/>
      <c r="VKA150" s="72"/>
      <c r="VKB150" s="72"/>
      <c r="VKC150" s="72"/>
      <c r="VKD150" s="72"/>
      <c r="VKE150" s="72"/>
      <c r="VKF150" s="72"/>
      <c r="VKG150" s="72"/>
      <c r="VKH150" s="72"/>
      <c r="VKI150" s="72"/>
      <c r="VKJ150" s="72"/>
      <c r="VKK150" s="72"/>
      <c r="VKL150" s="72"/>
      <c r="VKM150" s="72"/>
      <c r="VKN150" s="72"/>
      <c r="VKO150" s="72"/>
      <c r="VKP150" s="72"/>
      <c r="VKQ150" s="72"/>
      <c r="VKR150" s="72"/>
      <c r="VKS150" s="72"/>
      <c r="VKT150" s="72"/>
      <c r="VKU150" s="72"/>
      <c r="VKV150" s="72"/>
      <c r="VKW150" s="72"/>
      <c r="VKX150" s="72"/>
      <c r="VKY150" s="72"/>
      <c r="VKZ150" s="72"/>
      <c r="VLA150" s="72"/>
      <c r="VLB150" s="72"/>
      <c r="VLC150" s="72"/>
      <c r="VLD150" s="72"/>
      <c r="VLE150" s="72"/>
      <c r="VLF150" s="72"/>
      <c r="VLG150" s="72"/>
      <c r="VLH150" s="72"/>
      <c r="VLI150" s="72"/>
      <c r="VLJ150" s="72"/>
      <c r="VLK150" s="72"/>
      <c r="VLL150" s="72"/>
      <c r="VLM150" s="72"/>
      <c r="VLN150" s="72"/>
      <c r="VLO150" s="72"/>
      <c r="VLP150" s="72"/>
      <c r="VLQ150" s="72"/>
      <c r="VLR150" s="72"/>
      <c r="VLS150" s="72"/>
      <c r="VLT150" s="72"/>
      <c r="VLU150" s="72"/>
      <c r="VLV150" s="72"/>
      <c r="VLW150" s="72"/>
      <c r="VLX150" s="72"/>
      <c r="VLY150" s="72"/>
      <c r="VLZ150" s="72"/>
      <c r="VMA150" s="72"/>
      <c r="VMB150" s="72"/>
      <c r="VMC150" s="72"/>
      <c r="VMD150" s="72"/>
      <c r="VME150" s="72"/>
      <c r="VMF150" s="72"/>
      <c r="VMG150" s="72"/>
      <c r="VMH150" s="72"/>
      <c r="VMI150" s="72"/>
      <c r="VMJ150" s="72"/>
      <c r="VMK150" s="72"/>
      <c r="VML150" s="72"/>
      <c r="VMM150" s="72"/>
      <c r="VMN150" s="72"/>
      <c r="VMO150" s="72"/>
      <c r="VMP150" s="72"/>
      <c r="VMQ150" s="72"/>
      <c r="VMR150" s="72"/>
      <c r="VMS150" s="72"/>
      <c r="VMT150" s="72"/>
      <c r="VMU150" s="72"/>
      <c r="VMV150" s="72"/>
      <c r="VMW150" s="72"/>
      <c r="VMX150" s="72"/>
      <c r="VMY150" s="72"/>
      <c r="VMZ150" s="72"/>
      <c r="VNA150" s="72"/>
      <c r="VNB150" s="72"/>
      <c r="VNC150" s="72"/>
      <c r="VND150" s="72"/>
      <c r="VNE150" s="72"/>
      <c r="VNF150" s="72"/>
      <c r="VNG150" s="72"/>
      <c r="VNH150" s="72"/>
      <c r="VNI150" s="72"/>
      <c r="VNJ150" s="72"/>
      <c r="VNK150" s="72"/>
      <c r="VNL150" s="72"/>
      <c r="VNM150" s="72"/>
      <c r="VNN150" s="72"/>
      <c r="VNO150" s="72"/>
      <c r="VNP150" s="72"/>
      <c r="VNQ150" s="72"/>
      <c r="VNR150" s="72"/>
      <c r="VNS150" s="72"/>
      <c r="VNT150" s="72"/>
      <c r="VNU150" s="72"/>
      <c r="VNV150" s="72"/>
      <c r="VNW150" s="72"/>
      <c r="VNX150" s="72"/>
      <c r="VNY150" s="72"/>
      <c r="VNZ150" s="72"/>
      <c r="VOA150" s="72"/>
      <c r="VOB150" s="72"/>
      <c r="VOC150" s="72"/>
      <c r="VOD150" s="72"/>
      <c r="VOE150" s="72"/>
      <c r="VOF150" s="72"/>
      <c r="VOG150" s="72"/>
      <c r="VOH150" s="72"/>
      <c r="VOI150" s="72"/>
      <c r="VOJ150" s="72"/>
      <c r="VOK150" s="72"/>
      <c r="VOL150" s="72"/>
      <c r="VOM150" s="72"/>
      <c r="VON150" s="72"/>
      <c r="VOO150" s="72"/>
      <c r="VOP150" s="72"/>
      <c r="VOQ150" s="72"/>
      <c r="VOR150" s="72"/>
      <c r="VOS150" s="72"/>
      <c r="VOT150" s="72"/>
      <c r="VOU150" s="72"/>
      <c r="VOV150" s="72"/>
      <c r="VOW150" s="72"/>
      <c r="VOX150" s="72"/>
      <c r="VOY150" s="72"/>
      <c r="VOZ150" s="72"/>
      <c r="VPA150" s="72"/>
      <c r="VPB150" s="72"/>
      <c r="VPC150" s="72"/>
      <c r="VPD150" s="72"/>
      <c r="VPE150" s="72"/>
      <c r="VPF150" s="72"/>
      <c r="VPG150" s="72"/>
      <c r="VPH150" s="72"/>
      <c r="VPI150" s="72"/>
      <c r="VPJ150" s="72"/>
      <c r="VPK150" s="72"/>
      <c r="VPL150" s="72"/>
      <c r="VPM150" s="72"/>
      <c r="VPN150" s="72"/>
      <c r="VPO150" s="72"/>
      <c r="VPP150" s="72"/>
      <c r="VPQ150" s="72"/>
      <c r="VPR150" s="72"/>
      <c r="VPS150" s="72"/>
      <c r="VPT150" s="72"/>
      <c r="VPU150" s="72"/>
      <c r="VPV150" s="72"/>
      <c r="VPW150" s="72"/>
      <c r="VPX150" s="72"/>
      <c r="VPY150" s="72"/>
      <c r="VPZ150" s="72"/>
      <c r="VQA150" s="72"/>
      <c r="VQB150" s="72"/>
      <c r="VQC150" s="72"/>
      <c r="VQD150" s="72"/>
      <c r="VQE150" s="72"/>
      <c r="VQF150" s="72"/>
      <c r="VQG150" s="72"/>
      <c r="VQH150" s="72"/>
      <c r="VQI150" s="72"/>
      <c r="VQJ150" s="72"/>
      <c r="VQK150" s="72"/>
      <c r="VQL150" s="72"/>
      <c r="VQM150" s="72"/>
      <c r="VQN150" s="72"/>
      <c r="VQO150" s="72"/>
      <c r="VQP150" s="72"/>
      <c r="VQQ150" s="72"/>
      <c r="VQR150" s="72"/>
      <c r="VQS150" s="72"/>
      <c r="VQT150" s="72"/>
      <c r="VQU150" s="72"/>
      <c r="VQV150" s="72"/>
      <c r="VQW150" s="72"/>
      <c r="VQX150" s="72"/>
      <c r="VQY150" s="72"/>
      <c r="VQZ150" s="72"/>
      <c r="VRA150" s="72"/>
      <c r="VRB150" s="72"/>
      <c r="VRC150" s="72"/>
      <c r="VRD150" s="72"/>
      <c r="VRE150" s="72"/>
      <c r="VRF150" s="72"/>
      <c r="VRG150" s="72"/>
      <c r="VRH150" s="72"/>
      <c r="VRI150" s="72"/>
      <c r="VRJ150" s="72"/>
      <c r="VRK150" s="72"/>
      <c r="VRL150" s="72"/>
      <c r="VRM150" s="72"/>
      <c r="VRN150" s="72"/>
      <c r="VRO150" s="72"/>
      <c r="VRP150" s="72"/>
      <c r="VRQ150" s="72"/>
      <c r="VRR150" s="72"/>
      <c r="VRS150" s="72"/>
      <c r="VRT150" s="72"/>
      <c r="VRU150" s="72"/>
      <c r="VRV150" s="72"/>
      <c r="VRW150" s="72"/>
      <c r="VRX150" s="72"/>
      <c r="VRY150" s="72"/>
      <c r="VRZ150" s="72"/>
      <c r="VSA150" s="72"/>
      <c r="VSB150" s="72"/>
      <c r="VSC150" s="72"/>
      <c r="VSD150" s="72"/>
      <c r="VSE150" s="72"/>
      <c r="VSF150" s="72"/>
      <c r="VSG150" s="72"/>
      <c r="VSH150" s="72"/>
      <c r="VSI150" s="72"/>
      <c r="VSJ150" s="72"/>
      <c r="VSK150" s="72"/>
      <c r="VSL150" s="72"/>
      <c r="VSM150" s="72"/>
      <c r="VSN150" s="72"/>
      <c r="VSO150" s="72"/>
      <c r="VSP150" s="72"/>
      <c r="VSQ150" s="72"/>
      <c r="VSR150" s="72"/>
      <c r="VSS150" s="72"/>
      <c r="VST150" s="72"/>
      <c r="VSU150" s="72"/>
      <c r="VSV150" s="72"/>
      <c r="VSW150" s="72"/>
      <c r="VSX150" s="72"/>
      <c r="VSY150" s="72"/>
      <c r="VSZ150" s="72"/>
      <c r="VTA150" s="72"/>
      <c r="VTB150" s="72"/>
      <c r="VTC150" s="72"/>
      <c r="VTD150" s="72"/>
      <c r="VTE150" s="72"/>
      <c r="VTF150" s="72"/>
      <c r="VTG150" s="72"/>
      <c r="VTH150" s="72"/>
      <c r="VTI150" s="72"/>
      <c r="VTJ150" s="72"/>
      <c r="VTK150" s="72"/>
      <c r="VTL150" s="72"/>
      <c r="VTM150" s="72"/>
      <c r="VTN150" s="72"/>
      <c r="VTO150" s="72"/>
      <c r="VTP150" s="72"/>
      <c r="VTQ150" s="72"/>
      <c r="VTR150" s="72"/>
      <c r="VTS150" s="72"/>
      <c r="VTT150" s="72"/>
      <c r="VTU150" s="72"/>
      <c r="VTV150" s="72"/>
      <c r="VTW150" s="72"/>
      <c r="VTX150" s="72"/>
      <c r="VTY150" s="72"/>
      <c r="VTZ150" s="72"/>
      <c r="VUA150" s="72"/>
      <c r="VUB150" s="72"/>
      <c r="VUC150" s="72"/>
      <c r="VUD150" s="72"/>
      <c r="VUE150" s="72"/>
      <c r="VUF150" s="72"/>
      <c r="VUG150" s="72"/>
      <c r="VUH150" s="72"/>
      <c r="VUI150" s="72"/>
      <c r="VUJ150" s="72"/>
      <c r="VUK150" s="72"/>
      <c r="VUL150" s="72"/>
      <c r="VUM150" s="72"/>
      <c r="VUN150" s="72"/>
      <c r="VUO150" s="72"/>
      <c r="VUP150" s="72"/>
      <c r="VUQ150" s="72"/>
      <c r="VUR150" s="72"/>
      <c r="VUS150" s="72"/>
      <c r="VUT150" s="72"/>
      <c r="VUU150" s="72"/>
      <c r="VUV150" s="72"/>
      <c r="VUW150" s="72"/>
      <c r="VUX150" s="72"/>
      <c r="VUY150" s="72"/>
      <c r="VUZ150" s="72"/>
      <c r="VVA150" s="72"/>
      <c r="VVB150" s="72"/>
      <c r="VVC150" s="72"/>
      <c r="VVD150" s="72"/>
      <c r="VVE150" s="72"/>
      <c r="VVF150" s="72"/>
      <c r="VVG150" s="72"/>
      <c r="VVH150" s="72"/>
      <c r="VVI150" s="72"/>
      <c r="VVJ150" s="72"/>
      <c r="VVK150" s="72"/>
      <c r="VVL150" s="72"/>
      <c r="VVM150" s="72"/>
      <c r="VVN150" s="72"/>
      <c r="VVO150" s="72"/>
      <c r="VVP150" s="72"/>
      <c r="VVQ150" s="72"/>
      <c r="VVR150" s="72"/>
      <c r="VVS150" s="72"/>
      <c r="VVT150" s="72"/>
      <c r="VVU150" s="72"/>
      <c r="VVV150" s="72"/>
      <c r="VVW150" s="72"/>
      <c r="VVX150" s="72"/>
      <c r="VVY150" s="72"/>
      <c r="VVZ150" s="72"/>
      <c r="VWA150" s="72"/>
      <c r="VWB150" s="72"/>
      <c r="VWC150" s="72"/>
      <c r="VWD150" s="72"/>
      <c r="VWE150" s="72"/>
      <c r="VWF150" s="72"/>
      <c r="VWG150" s="72"/>
      <c r="VWH150" s="72"/>
      <c r="VWI150" s="72"/>
      <c r="VWJ150" s="72"/>
      <c r="VWK150" s="72"/>
      <c r="VWL150" s="72"/>
      <c r="VWM150" s="72"/>
      <c r="VWN150" s="72"/>
      <c r="VWO150" s="72"/>
      <c r="VWP150" s="72"/>
      <c r="VWQ150" s="72"/>
      <c r="VWR150" s="72"/>
      <c r="VWS150" s="72"/>
      <c r="VWT150" s="72"/>
      <c r="VWU150" s="72"/>
      <c r="VWV150" s="72"/>
      <c r="VWW150" s="72"/>
      <c r="VWX150" s="72"/>
      <c r="VWY150" s="72"/>
      <c r="VWZ150" s="72"/>
      <c r="VXA150" s="72"/>
      <c r="VXB150" s="72"/>
      <c r="VXC150" s="72"/>
      <c r="VXD150" s="72"/>
      <c r="VXE150" s="72"/>
      <c r="VXF150" s="72"/>
      <c r="VXG150" s="72"/>
      <c r="VXH150" s="72"/>
      <c r="VXI150" s="72"/>
      <c r="VXJ150" s="72"/>
      <c r="VXK150" s="72"/>
      <c r="VXL150" s="72"/>
      <c r="VXM150" s="72"/>
      <c r="VXN150" s="72"/>
      <c r="VXO150" s="72"/>
      <c r="VXP150" s="72"/>
      <c r="VXQ150" s="72"/>
      <c r="VXR150" s="72"/>
      <c r="VXS150" s="72"/>
      <c r="VXT150" s="72"/>
      <c r="VXU150" s="72"/>
      <c r="VXV150" s="72"/>
      <c r="VXW150" s="72"/>
      <c r="VXX150" s="72"/>
      <c r="VXY150" s="72"/>
      <c r="VXZ150" s="72"/>
      <c r="VYA150" s="72"/>
      <c r="VYB150" s="72"/>
      <c r="VYC150" s="72"/>
      <c r="VYD150" s="72"/>
      <c r="VYE150" s="72"/>
      <c r="VYF150" s="72"/>
      <c r="VYG150" s="72"/>
      <c r="VYH150" s="72"/>
      <c r="VYI150" s="72"/>
      <c r="VYJ150" s="72"/>
      <c r="VYK150" s="72"/>
      <c r="VYL150" s="72"/>
      <c r="VYM150" s="72"/>
      <c r="VYN150" s="72"/>
      <c r="VYO150" s="72"/>
      <c r="VYP150" s="72"/>
      <c r="VYQ150" s="72"/>
      <c r="VYR150" s="72"/>
      <c r="VYS150" s="72"/>
      <c r="VYT150" s="72"/>
      <c r="VYU150" s="72"/>
      <c r="VYV150" s="72"/>
      <c r="VYW150" s="72"/>
      <c r="VYX150" s="72"/>
      <c r="VYY150" s="72"/>
      <c r="VYZ150" s="72"/>
      <c r="VZA150" s="72"/>
      <c r="VZB150" s="72"/>
      <c r="VZC150" s="72"/>
      <c r="VZD150" s="72"/>
      <c r="VZE150" s="72"/>
      <c r="VZF150" s="72"/>
      <c r="VZG150" s="72"/>
      <c r="VZH150" s="72"/>
      <c r="VZI150" s="72"/>
      <c r="VZJ150" s="72"/>
      <c r="VZK150" s="72"/>
      <c r="VZL150" s="72"/>
      <c r="VZM150" s="72"/>
      <c r="VZN150" s="72"/>
      <c r="VZO150" s="72"/>
      <c r="VZP150" s="72"/>
      <c r="VZQ150" s="72"/>
      <c r="VZR150" s="72"/>
      <c r="VZS150" s="72"/>
      <c r="VZT150" s="72"/>
      <c r="VZU150" s="72"/>
      <c r="VZV150" s="72"/>
      <c r="VZW150" s="72"/>
      <c r="VZX150" s="72"/>
      <c r="VZY150" s="72"/>
      <c r="VZZ150" s="72"/>
      <c r="WAA150" s="72"/>
      <c r="WAB150" s="72"/>
      <c r="WAC150" s="72"/>
      <c r="WAD150" s="72"/>
      <c r="WAE150" s="72"/>
      <c r="WAF150" s="72"/>
      <c r="WAG150" s="72"/>
      <c r="WAH150" s="72"/>
      <c r="WAI150" s="72"/>
      <c r="WAJ150" s="72"/>
      <c r="WAK150" s="72"/>
      <c r="WAL150" s="72"/>
      <c r="WAM150" s="72"/>
      <c r="WAN150" s="72"/>
      <c r="WAO150" s="72"/>
      <c r="WAP150" s="72"/>
      <c r="WAQ150" s="72"/>
      <c r="WAR150" s="72"/>
      <c r="WAS150" s="72"/>
      <c r="WAT150" s="72"/>
      <c r="WAU150" s="72"/>
      <c r="WAV150" s="72"/>
      <c r="WAW150" s="72"/>
      <c r="WAX150" s="72"/>
      <c r="WAY150" s="72"/>
      <c r="WAZ150" s="72"/>
      <c r="WBA150" s="72"/>
      <c r="WBB150" s="72"/>
      <c r="WBC150" s="72"/>
      <c r="WBD150" s="72"/>
      <c r="WBE150" s="72"/>
      <c r="WBF150" s="72"/>
      <c r="WBG150" s="72"/>
      <c r="WBH150" s="72"/>
      <c r="WBI150" s="72"/>
      <c r="WBJ150" s="72"/>
      <c r="WBK150" s="72"/>
      <c r="WBL150" s="72"/>
      <c r="WBM150" s="72"/>
      <c r="WBN150" s="72"/>
      <c r="WBO150" s="72"/>
      <c r="WBP150" s="72"/>
      <c r="WBQ150" s="72"/>
      <c r="WBR150" s="72"/>
      <c r="WBS150" s="72"/>
      <c r="WBT150" s="72"/>
      <c r="WBU150" s="72"/>
      <c r="WBV150" s="72"/>
      <c r="WBW150" s="72"/>
      <c r="WBX150" s="72"/>
      <c r="WBY150" s="72"/>
      <c r="WBZ150" s="72"/>
      <c r="WCA150" s="72"/>
      <c r="WCB150" s="72"/>
      <c r="WCC150" s="72"/>
      <c r="WCD150" s="72"/>
      <c r="WCE150" s="72"/>
      <c r="WCF150" s="72"/>
      <c r="WCG150" s="72"/>
      <c r="WCH150" s="72"/>
      <c r="WCI150" s="72"/>
      <c r="WCJ150" s="72"/>
      <c r="WCK150" s="72"/>
      <c r="WCL150" s="72"/>
      <c r="WCM150" s="72"/>
      <c r="WCN150" s="72"/>
      <c r="WCO150" s="72"/>
      <c r="WCP150" s="72"/>
      <c r="WCQ150" s="72"/>
      <c r="WCR150" s="72"/>
      <c r="WCS150" s="72"/>
      <c r="WCT150" s="72"/>
      <c r="WCU150" s="72"/>
      <c r="WCV150" s="72"/>
      <c r="WCW150" s="72"/>
      <c r="WCX150" s="72"/>
      <c r="WCY150" s="72"/>
      <c r="WCZ150" s="72"/>
      <c r="WDA150" s="72"/>
      <c r="WDB150" s="72"/>
      <c r="WDC150" s="72"/>
      <c r="WDD150" s="72"/>
      <c r="WDE150" s="72"/>
      <c r="WDF150" s="72"/>
      <c r="WDG150" s="72"/>
      <c r="WDH150" s="72"/>
      <c r="WDI150" s="72"/>
      <c r="WDJ150" s="72"/>
      <c r="WDK150" s="72"/>
      <c r="WDL150" s="72"/>
      <c r="WDM150" s="72"/>
      <c r="WDN150" s="72"/>
      <c r="WDO150" s="72"/>
      <c r="WDP150" s="72"/>
      <c r="WDQ150" s="72"/>
      <c r="WDR150" s="72"/>
      <c r="WDS150" s="72"/>
      <c r="WDT150" s="72"/>
      <c r="WDU150" s="72"/>
      <c r="WDV150" s="72"/>
      <c r="WDW150" s="72"/>
      <c r="WDX150" s="72"/>
      <c r="WDY150" s="72"/>
      <c r="WDZ150" s="72"/>
      <c r="WEA150" s="72"/>
      <c r="WEB150" s="72"/>
      <c r="WEC150" s="72"/>
      <c r="WED150" s="72"/>
      <c r="WEE150" s="72"/>
      <c r="WEF150" s="72"/>
      <c r="WEG150" s="72"/>
      <c r="WEH150" s="72"/>
      <c r="WEI150" s="72"/>
      <c r="WEJ150" s="72"/>
      <c r="WEK150" s="72"/>
      <c r="WEL150" s="72"/>
      <c r="WEM150" s="72"/>
      <c r="WEN150" s="72"/>
      <c r="WEO150" s="72"/>
      <c r="WEP150" s="72"/>
      <c r="WEQ150" s="72"/>
      <c r="WER150" s="72"/>
      <c r="WES150" s="72"/>
      <c r="WET150" s="72"/>
      <c r="WEU150" s="72"/>
      <c r="WEV150" s="72"/>
      <c r="WEW150" s="72"/>
      <c r="WEX150" s="72"/>
      <c r="WEY150" s="72"/>
      <c r="WEZ150" s="72"/>
      <c r="WFA150" s="72"/>
      <c r="WFB150" s="72"/>
      <c r="WFC150" s="72"/>
      <c r="WFD150" s="72"/>
      <c r="WFE150" s="72"/>
      <c r="WFF150" s="72"/>
      <c r="WFG150" s="72"/>
      <c r="WFH150" s="72"/>
      <c r="WFI150" s="72"/>
      <c r="WFJ150" s="72"/>
      <c r="WFK150" s="72"/>
      <c r="WFL150" s="72"/>
      <c r="WFM150" s="72"/>
      <c r="WFN150" s="72"/>
      <c r="WFO150" s="72"/>
      <c r="WFP150" s="72"/>
      <c r="WFQ150" s="72"/>
      <c r="WFR150" s="72"/>
      <c r="WFS150" s="72"/>
      <c r="WFT150" s="72"/>
      <c r="WFU150" s="72"/>
      <c r="WFV150" s="72"/>
      <c r="WFW150" s="72"/>
      <c r="WFX150" s="72"/>
      <c r="WFY150" s="72"/>
      <c r="WFZ150" s="72"/>
      <c r="WGA150" s="72"/>
      <c r="WGB150" s="72"/>
      <c r="WGC150" s="72"/>
      <c r="WGD150" s="72"/>
      <c r="WGE150" s="72"/>
      <c r="WGF150" s="72"/>
      <c r="WGG150" s="72"/>
      <c r="WGH150" s="72"/>
      <c r="WGI150" s="72"/>
      <c r="WGJ150" s="72"/>
      <c r="WGK150" s="72"/>
      <c r="WGL150" s="72"/>
      <c r="WGM150" s="72"/>
      <c r="WGN150" s="72"/>
      <c r="WGO150" s="72"/>
      <c r="WGP150" s="72"/>
      <c r="WGQ150" s="72"/>
      <c r="WGR150" s="72"/>
      <c r="WGS150" s="72"/>
      <c r="WGT150" s="72"/>
      <c r="WGU150" s="72"/>
      <c r="WGV150" s="72"/>
      <c r="WGW150" s="72"/>
      <c r="WGX150" s="72"/>
      <c r="WGY150" s="72"/>
      <c r="WGZ150" s="72"/>
      <c r="WHA150" s="72"/>
      <c r="WHB150" s="72"/>
      <c r="WHC150" s="72"/>
      <c r="WHD150" s="72"/>
      <c r="WHE150" s="72"/>
      <c r="WHF150" s="72"/>
      <c r="WHG150" s="72"/>
      <c r="WHH150" s="72"/>
      <c r="WHI150" s="72"/>
      <c r="WHJ150" s="72"/>
      <c r="WHK150" s="72"/>
      <c r="WHL150" s="72"/>
      <c r="WHM150" s="72"/>
      <c r="WHN150" s="72"/>
      <c r="WHO150" s="72"/>
      <c r="WHP150" s="72"/>
      <c r="WHQ150" s="72"/>
      <c r="WHR150" s="72"/>
      <c r="WHS150" s="72"/>
      <c r="WHT150" s="72"/>
      <c r="WHU150" s="72"/>
      <c r="WHV150" s="72"/>
      <c r="WHW150" s="72"/>
      <c r="WHX150" s="72"/>
      <c r="WHY150" s="72"/>
      <c r="WHZ150" s="72"/>
      <c r="WIA150" s="72"/>
      <c r="WIB150" s="72"/>
      <c r="WIC150" s="72"/>
      <c r="WID150" s="72"/>
      <c r="WIE150" s="72"/>
      <c r="WIF150" s="72"/>
      <c r="WIG150" s="72"/>
      <c r="WIH150" s="72"/>
      <c r="WII150" s="72"/>
      <c r="WIJ150" s="72"/>
      <c r="WIK150" s="72"/>
      <c r="WIL150" s="72"/>
      <c r="WIM150" s="72"/>
      <c r="WIN150" s="72"/>
      <c r="WIO150" s="72"/>
      <c r="WIP150" s="72"/>
      <c r="WIQ150" s="72"/>
      <c r="WIR150" s="72"/>
      <c r="WIS150" s="72"/>
      <c r="WIT150" s="72"/>
      <c r="WIU150" s="72"/>
      <c r="WIV150" s="72"/>
      <c r="WIW150" s="72"/>
      <c r="WIX150" s="72"/>
      <c r="WIY150" s="72"/>
      <c r="WIZ150" s="72"/>
      <c r="WJA150" s="72"/>
      <c r="WJB150" s="72"/>
      <c r="WJC150" s="72"/>
      <c r="WJD150" s="72"/>
      <c r="WJE150" s="72"/>
      <c r="WJF150" s="72"/>
      <c r="WJG150" s="72"/>
      <c r="WJH150" s="72"/>
      <c r="WJI150" s="72"/>
      <c r="WJJ150" s="72"/>
      <c r="WJK150" s="72"/>
      <c r="WJL150" s="72"/>
      <c r="WJM150" s="72"/>
      <c r="WJN150" s="72"/>
      <c r="WJO150" s="72"/>
      <c r="WJP150" s="72"/>
      <c r="WJQ150" s="72"/>
      <c r="WJR150" s="72"/>
      <c r="WJS150" s="72"/>
      <c r="WJT150" s="72"/>
      <c r="WJU150" s="72"/>
      <c r="WJV150" s="72"/>
      <c r="WJW150" s="72"/>
      <c r="WJX150" s="72"/>
      <c r="WJY150" s="72"/>
      <c r="WJZ150" s="72"/>
      <c r="WKA150" s="72"/>
      <c r="WKB150" s="72"/>
      <c r="WKC150" s="72"/>
      <c r="WKD150" s="72"/>
      <c r="WKE150" s="72"/>
      <c r="WKF150" s="72"/>
      <c r="WKG150" s="72"/>
      <c r="WKH150" s="72"/>
      <c r="WKI150" s="72"/>
      <c r="WKJ150" s="72"/>
      <c r="WKK150" s="72"/>
      <c r="WKL150" s="72"/>
      <c r="WKM150" s="72"/>
      <c r="WKN150" s="72"/>
      <c r="WKO150" s="72"/>
      <c r="WKP150" s="72"/>
      <c r="WKQ150" s="72"/>
      <c r="WKR150" s="72"/>
      <c r="WKS150" s="72"/>
      <c r="WKT150" s="72"/>
      <c r="WKU150" s="72"/>
      <c r="WKV150" s="72"/>
      <c r="WKW150" s="72"/>
      <c r="WKX150" s="72"/>
      <c r="WKY150" s="72"/>
      <c r="WKZ150" s="72"/>
      <c r="WLA150" s="72"/>
      <c r="WLB150" s="72"/>
      <c r="WLC150" s="72"/>
      <c r="WLD150" s="72"/>
      <c r="WLE150" s="72"/>
      <c r="WLF150" s="72"/>
      <c r="WLG150" s="72"/>
      <c r="WLH150" s="72"/>
      <c r="WLI150" s="72"/>
      <c r="WLJ150" s="72"/>
      <c r="WLK150" s="72"/>
      <c r="WLL150" s="72"/>
      <c r="WLM150" s="72"/>
      <c r="WLN150" s="72"/>
      <c r="WLO150" s="72"/>
      <c r="WLP150" s="72"/>
      <c r="WLQ150" s="72"/>
      <c r="WLR150" s="72"/>
      <c r="WLS150" s="72"/>
      <c r="WLT150" s="72"/>
      <c r="WLU150" s="72"/>
      <c r="WLV150" s="72"/>
      <c r="WLW150" s="72"/>
      <c r="WLX150" s="72"/>
      <c r="WLY150" s="72"/>
      <c r="WLZ150" s="72"/>
      <c r="WMA150" s="72"/>
      <c r="WMB150" s="72"/>
      <c r="WMC150" s="72"/>
      <c r="WMD150" s="72"/>
      <c r="WME150" s="72"/>
      <c r="WMF150" s="72"/>
      <c r="WMG150" s="72"/>
      <c r="WMH150" s="72"/>
      <c r="WMI150" s="72"/>
      <c r="WMJ150" s="72"/>
      <c r="WMK150" s="72"/>
      <c r="WML150" s="72"/>
      <c r="WMM150" s="72"/>
      <c r="WMN150" s="72"/>
      <c r="WMO150" s="72"/>
      <c r="WMP150" s="72"/>
      <c r="WMQ150" s="72"/>
      <c r="WMR150" s="72"/>
      <c r="WMS150" s="72"/>
      <c r="WMT150" s="72"/>
      <c r="WMU150" s="72"/>
      <c r="WMV150" s="72"/>
      <c r="WMW150" s="72"/>
      <c r="WMX150" s="72"/>
      <c r="WMY150" s="72"/>
      <c r="WMZ150" s="72"/>
      <c r="WNA150" s="72"/>
      <c r="WNB150" s="72"/>
      <c r="WNC150" s="72"/>
      <c r="WND150" s="72"/>
      <c r="WNE150" s="72"/>
      <c r="WNF150" s="72"/>
      <c r="WNG150" s="72"/>
      <c r="WNH150" s="72"/>
      <c r="WNI150" s="72"/>
      <c r="WNJ150" s="72"/>
      <c r="WNK150" s="72"/>
      <c r="WNL150" s="72"/>
      <c r="WNM150" s="72"/>
      <c r="WNN150" s="72"/>
      <c r="WNO150" s="72"/>
      <c r="WNP150" s="72"/>
      <c r="WNQ150" s="72"/>
      <c r="WNR150" s="72"/>
      <c r="WNS150" s="72"/>
      <c r="WNT150" s="72"/>
      <c r="WNU150" s="72"/>
      <c r="WNV150" s="72"/>
      <c r="WNW150" s="72"/>
      <c r="WNX150" s="72"/>
      <c r="WNY150" s="72"/>
      <c r="WNZ150" s="72"/>
      <c r="WOA150" s="72"/>
      <c r="WOB150" s="72"/>
      <c r="WOC150" s="72"/>
      <c r="WOD150" s="72"/>
      <c r="WOE150" s="72"/>
      <c r="WOF150" s="72"/>
      <c r="WOG150" s="72"/>
      <c r="WOH150" s="72"/>
      <c r="WOI150" s="72"/>
      <c r="WOJ150" s="72"/>
      <c r="WOK150" s="72"/>
      <c r="WOL150" s="72"/>
      <c r="WOM150" s="72"/>
      <c r="WON150" s="72"/>
      <c r="WOO150" s="72"/>
      <c r="WOP150" s="72"/>
      <c r="WOQ150" s="72"/>
      <c r="WOR150" s="72"/>
      <c r="WOS150" s="72"/>
      <c r="WOT150" s="72"/>
      <c r="WOU150" s="72"/>
      <c r="WOV150" s="72"/>
      <c r="WOW150" s="72"/>
      <c r="WOX150" s="72"/>
      <c r="WOY150" s="72"/>
      <c r="WOZ150" s="72"/>
      <c r="WPA150" s="72"/>
      <c r="WPB150" s="72"/>
      <c r="WPC150" s="72"/>
      <c r="WPD150" s="72"/>
      <c r="WPE150" s="72"/>
      <c r="WPF150" s="72"/>
      <c r="WPG150" s="72"/>
      <c r="WPH150" s="72"/>
      <c r="WPI150" s="72"/>
      <c r="WPJ150" s="72"/>
      <c r="WPK150" s="72"/>
      <c r="WPL150" s="72"/>
      <c r="WPM150" s="72"/>
      <c r="WPN150" s="72"/>
      <c r="WPO150" s="72"/>
      <c r="WPP150" s="72"/>
      <c r="WPQ150" s="72"/>
      <c r="WPR150" s="72"/>
      <c r="WPS150" s="72"/>
      <c r="WPT150" s="72"/>
      <c r="WPU150" s="72"/>
      <c r="WPV150" s="72"/>
      <c r="WPW150" s="72"/>
      <c r="WPX150" s="72"/>
      <c r="WPY150" s="72"/>
      <c r="WPZ150" s="72"/>
      <c r="WQA150" s="72"/>
      <c r="WQB150" s="72"/>
      <c r="WQC150" s="72"/>
      <c r="WQD150" s="72"/>
      <c r="WQE150" s="72"/>
      <c r="WQF150" s="72"/>
      <c r="WQG150" s="72"/>
      <c r="WQH150" s="72"/>
      <c r="WQI150" s="72"/>
      <c r="WQJ150" s="72"/>
      <c r="WQK150" s="72"/>
      <c r="WQL150" s="72"/>
      <c r="WQM150" s="72"/>
      <c r="WQN150" s="72"/>
      <c r="WQO150" s="72"/>
      <c r="WQP150" s="72"/>
      <c r="WQQ150" s="72"/>
      <c r="WQR150" s="72"/>
      <c r="WQS150" s="72"/>
      <c r="WQT150" s="72"/>
      <c r="WQU150" s="72"/>
      <c r="WQV150" s="72"/>
      <c r="WQW150" s="72"/>
      <c r="WQX150" s="72"/>
      <c r="WQY150" s="72"/>
      <c r="WQZ150" s="72"/>
      <c r="WRA150" s="72"/>
      <c r="WRB150" s="72"/>
      <c r="WRC150" s="72"/>
      <c r="WRD150" s="72"/>
      <c r="WRE150" s="72"/>
      <c r="WRF150" s="72"/>
      <c r="WRG150" s="72"/>
      <c r="WRH150" s="72"/>
      <c r="WRI150" s="72"/>
      <c r="WRJ150" s="72"/>
      <c r="WRK150" s="72"/>
      <c r="WRL150" s="72"/>
      <c r="WRM150" s="72"/>
      <c r="WRN150" s="72"/>
      <c r="WRO150" s="72"/>
      <c r="WRP150" s="72"/>
      <c r="WRQ150" s="72"/>
      <c r="WRR150" s="72"/>
      <c r="WRS150" s="72"/>
      <c r="WRT150" s="72"/>
      <c r="WRU150" s="72"/>
      <c r="WRV150" s="72"/>
      <c r="WRW150" s="72"/>
      <c r="WRX150" s="72"/>
      <c r="WRY150" s="72"/>
      <c r="WRZ150" s="72"/>
      <c r="WSA150" s="72"/>
      <c r="WSB150" s="72"/>
      <c r="WSC150" s="72"/>
      <c r="WSD150" s="72"/>
      <c r="WSE150" s="72"/>
      <c r="WSF150" s="72"/>
      <c r="WSG150" s="72"/>
      <c r="WSH150" s="72"/>
      <c r="WSI150" s="72"/>
      <c r="WSJ150" s="72"/>
      <c r="WSK150" s="72"/>
      <c r="WSL150" s="72"/>
      <c r="WSM150" s="72"/>
      <c r="WSN150" s="72"/>
      <c r="WSO150" s="72"/>
      <c r="WSP150" s="72"/>
      <c r="WSQ150" s="72"/>
      <c r="WSR150" s="72"/>
      <c r="WSS150" s="72"/>
      <c r="WST150" s="72"/>
      <c r="WSU150" s="72"/>
      <c r="WSV150" s="72"/>
      <c r="WSW150" s="72"/>
      <c r="WSX150" s="72"/>
      <c r="WSY150" s="72"/>
      <c r="WSZ150" s="72"/>
      <c r="WTA150" s="72"/>
      <c r="WTB150" s="72"/>
      <c r="WTC150" s="72"/>
      <c r="WTD150" s="72"/>
      <c r="WTE150" s="72"/>
      <c r="WTF150" s="72"/>
      <c r="WTG150" s="72"/>
      <c r="WTH150" s="72"/>
      <c r="WTI150" s="72"/>
      <c r="WTJ150" s="72"/>
      <c r="WTK150" s="72"/>
      <c r="WTL150" s="72"/>
      <c r="WTM150" s="72"/>
      <c r="WTN150" s="72"/>
      <c r="WTO150" s="72"/>
      <c r="WTP150" s="72"/>
      <c r="WTQ150" s="72"/>
      <c r="WTR150" s="72"/>
      <c r="WTS150" s="72"/>
      <c r="WTT150" s="72"/>
      <c r="WTU150" s="72"/>
      <c r="WTV150" s="72"/>
      <c r="WTW150" s="72"/>
      <c r="WTX150" s="72"/>
      <c r="WTY150" s="72"/>
      <c r="WTZ150" s="72"/>
      <c r="WUA150" s="72"/>
      <c r="WUB150" s="72"/>
      <c r="WUC150" s="72"/>
      <c r="WUD150" s="72"/>
      <c r="WUE150" s="72"/>
      <c r="WUF150" s="72"/>
      <c r="WUG150" s="72"/>
      <c r="WUH150" s="72"/>
      <c r="WUI150" s="72"/>
      <c r="WUJ150" s="72"/>
      <c r="WUK150" s="72"/>
      <c r="WUL150" s="72"/>
      <c r="WUM150" s="72"/>
      <c r="WUN150" s="72"/>
      <c r="WUO150" s="72"/>
      <c r="WUP150" s="72"/>
      <c r="WUQ150" s="72"/>
      <c r="WUR150" s="72"/>
      <c r="WUS150" s="72"/>
      <c r="WUT150" s="72"/>
      <c r="WUU150" s="72"/>
      <c r="WUV150" s="72"/>
      <c r="WUW150" s="72"/>
      <c r="WUX150" s="72"/>
      <c r="WUY150" s="72"/>
      <c r="WUZ150" s="72"/>
      <c r="WVA150" s="72"/>
      <c r="WVB150" s="72"/>
      <c r="WVC150" s="72"/>
      <c r="WVD150" s="72"/>
      <c r="WVE150" s="72"/>
      <c r="WVF150" s="72"/>
      <c r="WVG150" s="72"/>
      <c r="WVH150" s="72"/>
      <c r="WVI150" s="72"/>
      <c r="WVJ150" s="72"/>
      <c r="WVK150" s="72"/>
      <c r="WVL150" s="72"/>
      <c r="WVM150" s="72"/>
      <c r="WVN150" s="72"/>
      <c r="WVO150" s="72"/>
      <c r="WVP150" s="72"/>
      <c r="WVQ150" s="72"/>
      <c r="WVR150" s="72"/>
      <c r="WVS150" s="72"/>
    </row>
    <row r="151" spans="1:16139" s="63" customFormat="1" ht="150.75" customHeight="1" x14ac:dyDescent="0.25">
      <c r="A151" s="86">
        <v>131</v>
      </c>
      <c r="B151" s="57" t="s">
        <v>199</v>
      </c>
      <c r="C151" s="58" t="s">
        <v>53</v>
      </c>
      <c r="D151" s="59" t="s">
        <v>39</v>
      </c>
      <c r="E151" s="59" t="s">
        <v>38</v>
      </c>
      <c r="F151" s="59">
        <v>7000</v>
      </c>
      <c r="G151" s="59">
        <v>2400</v>
      </c>
      <c r="H151" s="60">
        <f t="shared" si="45"/>
        <v>16.8</v>
      </c>
      <c r="I151" s="45">
        <v>1</v>
      </c>
      <c r="J151" s="53">
        <v>2794000</v>
      </c>
      <c r="K151" s="47">
        <v>4007000</v>
      </c>
      <c r="L151" s="61">
        <f t="shared" ref="L151" si="46">IF(H151&lt;&gt;0,J151*H151*I151+K151*I151,IF(J151&lt;&gt;0,G151*I151*J151,I151*K151))</f>
        <v>50946200</v>
      </c>
      <c r="M151" s="62"/>
      <c r="N151" s="62"/>
      <c r="O151" s="62"/>
      <c r="P151" s="62"/>
      <c r="Q151" s="62"/>
      <c r="R151" s="62"/>
      <c r="S151" s="62"/>
      <c r="T151" s="62"/>
      <c r="U151" s="62"/>
      <c r="V151" s="62"/>
      <c r="W151" s="62"/>
      <c r="X151" s="62"/>
      <c r="Y151" s="62"/>
      <c r="Z151" s="62"/>
      <c r="AA151" s="62"/>
      <c r="AB151" s="62"/>
      <c r="AC151" s="62"/>
      <c r="AD151" s="62"/>
      <c r="AE151" s="62"/>
      <c r="AF151" s="62"/>
      <c r="AG151" s="62"/>
      <c r="AH151" s="62"/>
    </row>
    <row r="152" spans="1:16139" ht="146.25" customHeight="1" x14ac:dyDescent="0.25">
      <c r="A152" s="135">
        <v>132</v>
      </c>
      <c r="B152" s="152" t="s">
        <v>203</v>
      </c>
      <c r="C152" s="51" t="s">
        <v>41</v>
      </c>
      <c r="D152" s="45" t="s">
        <v>45</v>
      </c>
      <c r="E152" s="45" t="s">
        <v>38</v>
      </c>
      <c r="F152" s="45">
        <v>1500</v>
      </c>
      <c r="G152" s="45">
        <v>2300</v>
      </c>
      <c r="H152" s="46">
        <f>F152*G152/10^6</f>
        <v>3.45</v>
      </c>
      <c r="I152" s="45">
        <v>1</v>
      </c>
      <c r="J152" s="53">
        <v>3423000</v>
      </c>
      <c r="K152" s="47">
        <v>1850000</v>
      </c>
      <c r="L152" s="48">
        <f>IF(H152&lt;&gt;0,J152*H152*I152+K152*I152,IF(J152&lt;&gt;0,G152*I152*J152,I152*K152))</f>
        <v>13659350</v>
      </c>
      <c r="M152" s="28"/>
      <c r="N152" s="28"/>
      <c r="O152" s="28"/>
      <c r="P152" s="28"/>
      <c r="Q152" s="28"/>
      <c r="R152" s="28"/>
      <c r="S152" s="28"/>
      <c r="T152" s="28"/>
      <c r="U152" s="28"/>
      <c r="V152" s="28"/>
      <c r="W152" s="28"/>
      <c r="X152" s="28"/>
      <c r="Y152" s="28"/>
      <c r="Z152" s="28"/>
      <c r="AA152" s="28"/>
      <c r="AB152" s="28"/>
      <c r="AC152" s="28"/>
      <c r="AD152" s="28"/>
      <c r="AE152" s="28"/>
      <c r="AF152" s="28"/>
      <c r="AG152" s="28"/>
      <c r="AH152" s="28"/>
    </row>
    <row r="153" spans="1:16139" ht="146.25" customHeight="1" x14ac:dyDescent="0.25">
      <c r="A153" s="149"/>
      <c r="B153" s="150"/>
      <c r="C153" s="58" t="s">
        <v>42</v>
      </c>
      <c r="D153" s="45" t="s">
        <v>207</v>
      </c>
      <c r="E153" s="45"/>
      <c r="F153" s="45">
        <v>2356</v>
      </c>
      <c r="G153" s="45">
        <v>2300</v>
      </c>
      <c r="H153" s="46">
        <f>F153*G153/10^6</f>
        <v>5.4188000000000001</v>
      </c>
      <c r="I153" s="45">
        <v>1</v>
      </c>
      <c r="J153" s="53">
        <v>3955000</v>
      </c>
      <c r="K153" s="47"/>
      <c r="L153" s="48">
        <f>IF(H153&lt;&gt;0,J153*H153*I153+K153*I153,IF(J153&lt;&gt;0,G153*I153*J153,I153*K153))</f>
        <v>21431354</v>
      </c>
      <c r="M153" s="28"/>
      <c r="N153" s="28"/>
      <c r="O153" s="28"/>
      <c r="P153" s="28"/>
      <c r="Q153" s="28"/>
      <c r="R153" s="28"/>
      <c r="S153" s="28"/>
      <c r="T153" s="28"/>
      <c r="U153" s="28"/>
      <c r="V153" s="28"/>
      <c r="W153" s="28"/>
      <c r="X153" s="28"/>
      <c r="Y153" s="28"/>
      <c r="Z153" s="28"/>
      <c r="AA153" s="28"/>
      <c r="AB153" s="28"/>
      <c r="AC153" s="28"/>
      <c r="AD153" s="28"/>
      <c r="AE153" s="28"/>
      <c r="AF153" s="28"/>
      <c r="AG153" s="28"/>
      <c r="AH153" s="28"/>
    </row>
    <row r="154" spans="1:16139" ht="30.75" customHeight="1" x14ac:dyDescent="0.25">
      <c r="A154" s="136"/>
      <c r="B154" s="138"/>
      <c r="C154" s="69" t="s">
        <v>201</v>
      </c>
      <c r="D154" s="59"/>
      <c r="E154" s="59"/>
      <c r="F154" s="59">
        <f>2356+1000</f>
        <v>3356</v>
      </c>
      <c r="G154" s="59"/>
      <c r="H154" s="60">
        <f t="shared" ref="H154" si="47">F154*G154/10^6</f>
        <v>0</v>
      </c>
      <c r="I154" s="59">
        <v>1</v>
      </c>
      <c r="J154" s="53">
        <v>550000</v>
      </c>
      <c r="K154" s="47"/>
      <c r="L154" s="70">
        <f>F154*I154*J154/1000</f>
        <v>1845800</v>
      </c>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2"/>
      <c r="MQ154" s="72"/>
      <c r="MR154" s="72"/>
      <c r="MS154" s="72"/>
      <c r="MT154" s="72"/>
      <c r="MU154" s="72"/>
      <c r="MV154" s="72"/>
      <c r="MW154" s="72"/>
      <c r="MX154" s="72"/>
      <c r="MY154" s="72"/>
      <c r="MZ154" s="72"/>
      <c r="NA154" s="72"/>
      <c r="NB154" s="72"/>
      <c r="NC154" s="72"/>
      <c r="ND154" s="72"/>
      <c r="NE154" s="72"/>
      <c r="NF154" s="72"/>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2"/>
      <c r="OS154" s="72"/>
      <c r="OT154" s="72"/>
      <c r="OU154" s="72"/>
      <c r="OV154" s="72"/>
      <c r="OW154" s="72"/>
      <c r="OX154" s="72"/>
      <c r="OY154" s="72"/>
      <c r="OZ154" s="72"/>
      <c r="PA154" s="72"/>
      <c r="PB154" s="72"/>
      <c r="PC154" s="72"/>
      <c r="PD154" s="72"/>
      <c r="PE154" s="72"/>
      <c r="PF154" s="72"/>
      <c r="PG154" s="72"/>
      <c r="PH154" s="72"/>
      <c r="PI154" s="72"/>
      <c r="PJ154" s="72"/>
      <c r="PK154" s="72"/>
      <c r="PL154" s="72"/>
      <c r="PM154" s="72"/>
      <c r="PN154" s="72"/>
      <c r="PO154" s="72"/>
      <c r="PP154" s="72"/>
      <c r="PQ154" s="72"/>
      <c r="PR154" s="72"/>
      <c r="PS154" s="72"/>
      <c r="PT154" s="72"/>
      <c r="PU154" s="72"/>
      <c r="PV154" s="72"/>
      <c r="PW154" s="72"/>
      <c r="PX154" s="72"/>
      <c r="PY154" s="72"/>
      <c r="PZ154" s="72"/>
      <c r="QA154" s="72"/>
      <c r="QB154" s="72"/>
      <c r="QC154" s="72"/>
      <c r="QD154" s="72"/>
      <c r="QE154" s="72"/>
      <c r="QF154" s="72"/>
      <c r="QG154" s="72"/>
      <c r="QH154" s="72"/>
      <c r="QI154" s="72"/>
      <c r="QJ154" s="72"/>
      <c r="QK154" s="72"/>
      <c r="QL154" s="72"/>
      <c r="QM154" s="72"/>
      <c r="QN154" s="72"/>
      <c r="QO154" s="72"/>
      <c r="QP154" s="72"/>
      <c r="QQ154" s="72"/>
      <c r="QR154" s="72"/>
      <c r="QS154" s="72"/>
      <c r="QT154" s="72"/>
      <c r="QU154" s="72"/>
      <c r="QV154" s="72"/>
      <c r="QW154" s="72"/>
      <c r="QX154" s="72"/>
      <c r="QY154" s="72"/>
      <c r="QZ154" s="72"/>
      <c r="RA154" s="72"/>
      <c r="RB154" s="72"/>
      <c r="RC154" s="72"/>
      <c r="RD154" s="72"/>
      <c r="RE154" s="72"/>
      <c r="RF154" s="72"/>
      <c r="RG154" s="72"/>
      <c r="RH154" s="72"/>
      <c r="RI154" s="72"/>
      <c r="RJ154" s="72"/>
      <c r="RK154" s="72"/>
      <c r="RL154" s="72"/>
      <c r="RM154" s="72"/>
      <c r="RN154" s="72"/>
      <c r="RO154" s="72"/>
      <c r="RP154" s="72"/>
      <c r="RQ154" s="72"/>
      <c r="RR154" s="72"/>
      <c r="RS154" s="72"/>
      <c r="RT154" s="72"/>
      <c r="RU154" s="72"/>
      <c r="RV154" s="72"/>
      <c r="RW154" s="72"/>
      <c r="RX154" s="72"/>
      <c r="RY154" s="72"/>
      <c r="RZ154" s="72"/>
      <c r="SA154" s="72"/>
      <c r="SB154" s="72"/>
      <c r="SC154" s="72"/>
      <c r="SD154" s="72"/>
      <c r="SE154" s="72"/>
      <c r="SF154" s="72"/>
      <c r="SG154" s="72"/>
      <c r="SH154" s="72"/>
      <c r="SI154" s="72"/>
      <c r="SJ154" s="72"/>
      <c r="SK154" s="72"/>
      <c r="SL154" s="72"/>
      <c r="SM154" s="72"/>
      <c r="SN154" s="72"/>
      <c r="SO154" s="72"/>
      <c r="SP154" s="72"/>
      <c r="SQ154" s="72"/>
      <c r="SR154" s="72"/>
      <c r="SS154" s="72"/>
      <c r="ST154" s="72"/>
      <c r="SU154" s="72"/>
      <c r="SV154" s="72"/>
      <c r="SW154" s="72"/>
      <c r="SX154" s="72"/>
      <c r="SY154" s="72"/>
      <c r="SZ154" s="72"/>
      <c r="TA154" s="72"/>
      <c r="TB154" s="72"/>
      <c r="TC154" s="72"/>
      <c r="TD154" s="72"/>
      <c r="TE154" s="72"/>
      <c r="TF154" s="72"/>
      <c r="TG154" s="72"/>
      <c r="TH154" s="72"/>
      <c r="TI154" s="72"/>
      <c r="TJ154" s="72"/>
      <c r="TK154" s="72"/>
      <c r="TL154" s="72"/>
      <c r="TM154" s="72"/>
      <c r="TN154" s="72"/>
      <c r="TO154" s="72"/>
      <c r="TP154" s="72"/>
      <c r="TQ154" s="72"/>
      <c r="TR154" s="72"/>
      <c r="TS154" s="72"/>
      <c r="TT154" s="72"/>
      <c r="TU154" s="72"/>
      <c r="TV154" s="72"/>
      <c r="TW154" s="72"/>
      <c r="TX154" s="72"/>
      <c r="TY154" s="72"/>
      <c r="TZ154" s="72"/>
      <c r="UA154" s="72"/>
      <c r="UB154" s="72"/>
      <c r="UC154" s="72"/>
      <c r="UD154" s="72"/>
      <c r="UE154" s="72"/>
      <c r="UF154" s="72"/>
      <c r="UG154" s="72"/>
      <c r="UH154" s="72"/>
      <c r="UI154" s="72"/>
      <c r="UJ154" s="72"/>
      <c r="UK154" s="72"/>
      <c r="UL154" s="72"/>
      <c r="UM154" s="72"/>
      <c r="UN154" s="72"/>
      <c r="UO154" s="72"/>
      <c r="UP154" s="72"/>
      <c r="UQ154" s="72"/>
      <c r="UR154" s="72"/>
      <c r="US154" s="72"/>
      <c r="UT154" s="72"/>
      <c r="UU154" s="72"/>
      <c r="UV154" s="72"/>
      <c r="UW154" s="72"/>
      <c r="UX154" s="72"/>
      <c r="UY154" s="72"/>
      <c r="UZ154" s="72"/>
      <c r="VA154" s="72"/>
      <c r="VB154" s="72"/>
      <c r="VC154" s="72"/>
      <c r="VD154" s="72"/>
      <c r="VE154" s="72"/>
      <c r="VF154" s="72"/>
      <c r="VG154" s="72"/>
      <c r="VH154" s="72"/>
      <c r="VI154" s="72"/>
      <c r="VJ154" s="72"/>
      <c r="VK154" s="72"/>
      <c r="VL154" s="72"/>
      <c r="VM154" s="72"/>
      <c r="VN154" s="72"/>
      <c r="VO154" s="72"/>
      <c r="VP154" s="72"/>
      <c r="VQ154" s="72"/>
      <c r="VR154" s="72"/>
      <c r="VS154" s="72"/>
      <c r="VT154" s="72"/>
      <c r="VU154" s="72"/>
      <c r="VV154" s="72"/>
      <c r="VW154" s="72"/>
      <c r="VX154" s="72"/>
      <c r="VY154" s="72"/>
      <c r="VZ154" s="72"/>
      <c r="WA154" s="72"/>
      <c r="WB154" s="72"/>
      <c r="WC154" s="72"/>
      <c r="WD154" s="72"/>
      <c r="WE154" s="72"/>
      <c r="WF154" s="72"/>
      <c r="WG154" s="72"/>
      <c r="WH154" s="72"/>
      <c r="WI154" s="72"/>
      <c r="WJ154" s="72"/>
      <c r="WK154" s="72"/>
      <c r="WL154" s="72"/>
      <c r="WM154" s="72"/>
      <c r="WN154" s="72"/>
      <c r="WO154" s="72"/>
      <c r="WP154" s="72"/>
      <c r="WQ154" s="72"/>
      <c r="WR154" s="72"/>
      <c r="WS154" s="72"/>
      <c r="WT154" s="72"/>
      <c r="WU154" s="72"/>
      <c r="WV154" s="72"/>
      <c r="WW154" s="72"/>
      <c r="WX154" s="72"/>
      <c r="WY154" s="72"/>
      <c r="WZ154" s="72"/>
      <c r="XA154" s="72"/>
      <c r="XB154" s="72"/>
      <c r="XC154" s="72"/>
      <c r="XD154" s="72"/>
      <c r="XE154" s="72"/>
      <c r="XF154" s="72"/>
      <c r="XG154" s="72"/>
      <c r="XH154" s="72"/>
      <c r="XI154" s="72"/>
      <c r="XJ154" s="72"/>
      <c r="XK154" s="72"/>
      <c r="XL154" s="72"/>
      <c r="XM154" s="72"/>
      <c r="XN154" s="72"/>
      <c r="XO154" s="72"/>
      <c r="XP154" s="72"/>
      <c r="XQ154" s="72"/>
      <c r="XR154" s="72"/>
      <c r="XS154" s="72"/>
      <c r="XT154" s="72"/>
      <c r="XU154" s="72"/>
      <c r="XV154" s="72"/>
      <c r="XW154" s="72"/>
      <c r="XX154" s="72"/>
      <c r="XY154" s="72"/>
      <c r="XZ154" s="72"/>
      <c r="YA154" s="72"/>
      <c r="YB154" s="72"/>
      <c r="YC154" s="72"/>
      <c r="YD154" s="72"/>
      <c r="YE154" s="72"/>
      <c r="YF154" s="72"/>
      <c r="YG154" s="72"/>
      <c r="YH154" s="72"/>
      <c r="YI154" s="72"/>
      <c r="YJ154" s="72"/>
      <c r="YK154" s="72"/>
      <c r="YL154" s="72"/>
      <c r="YM154" s="72"/>
      <c r="YN154" s="72"/>
      <c r="YO154" s="72"/>
      <c r="YP154" s="72"/>
      <c r="YQ154" s="72"/>
      <c r="YR154" s="72"/>
      <c r="YS154" s="72"/>
      <c r="YT154" s="72"/>
      <c r="YU154" s="72"/>
      <c r="YV154" s="72"/>
      <c r="YW154" s="72"/>
      <c r="YX154" s="72"/>
      <c r="YY154" s="72"/>
      <c r="YZ154" s="72"/>
      <c r="ZA154" s="72"/>
      <c r="ZB154" s="72"/>
      <c r="ZC154" s="72"/>
      <c r="ZD154" s="72"/>
      <c r="ZE154" s="72"/>
      <c r="ZF154" s="72"/>
      <c r="ZG154" s="72"/>
      <c r="ZH154" s="72"/>
      <c r="ZI154" s="72"/>
      <c r="ZJ154" s="72"/>
      <c r="ZK154" s="72"/>
      <c r="ZL154" s="72"/>
      <c r="ZM154" s="72"/>
      <c r="ZN154" s="72"/>
      <c r="ZO154" s="72"/>
      <c r="ZP154" s="72"/>
      <c r="ZQ154" s="72"/>
      <c r="ZR154" s="72"/>
      <c r="ZS154" s="72"/>
      <c r="ZT154" s="72"/>
      <c r="ZU154" s="72"/>
      <c r="ZV154" s="72"/>
      <c r="ZW154" s="72"/>
      <c r="ZX154" s="72"/>
      <c r="ZY154" s="72"/>
      <c r="ZZ154" s="72"/>
      <c r="AAA154" s="72"/>
      <c r="AAB154" s="72"/>
      <c r="AAC154" s="72"/>
      <c r="AAD154" s="72"/>
      <c r="AAE154" s="72"/>
      <c r="AAF154" s="72"/>
      <c r="AAG154" s="72"/>
      <c r="AAH154" s="72"/>
      <c r="AAI154" s="72"/>
      <c r="AAJ154" s="72"/>
      <c r="AAK154" s="72"/>
      <c r="AAL154" s="72"/>
      <c r="AAM154" s="72"/>
      <c r="AAN154" s="72"/>
      <c r="AAO154" s="72"/>
      <c r="AAP154" s="72"/>
      <c r="AAQ154" s="72"/>
      <c r="AAR154" s="72"/>
      <c r="AAS154" s="72"/>
      <c r="AAT154" s="72"/>
      <c r="AAU154" s="72"/>
      <c r="AAV154" s="72"/>
      <c r="AAW154" s="72"/>
      <c r="AAX154" s="72"/>
      <c r="AAY154" s="72"/>
      <c r="AAZ154" s="72"/>
      <c r="ABA154" s="72"/>
      <c r="ABB154" s="72"/>
      <c r="ABC154" s="72"/>
      <c r="ABD154" s="72"/>
      <c r="ABE154" s="72"/>
      <c r="ABF154" s="72"/>
      <c r="ABG154" s="72"/>
      <c r="ABH154" s="72"/>
      <c r="ABI154" s="72"/>
      <c r="ABJ154" s="72"/>
      <c r="ABK154" s="72"/>
      <c r="ABL154" s="72"/>
      <c r="ABM154" s="72"/>
      <c r="ABN154" s="72"/>
      <c r="ABO154" s="72"/>
      <c r="ABP154" s="72"/>
      <c r="ABQ154" s="72"/>
      <c r="ABR154" s="72"/>
      <c r="ABS154" s="72"/>
      <c r="ABT154" s="72"/>
      <c r="ABU154" s="72"/>
      <c r="ABV154" s="72"/>
      <c r="ABW154" s="72"/>
      <c r="ABX154" s="72"/>
      <c r="ABY154" s="72"/>
      <c r="ABZ154" s="72"/>
      <c r="ACA154" s="72"/>
      <c r="ACB154" s="72"/>
      <c r="ACC154" s="72"/>
      <c r="ACD154" s="72"/>
      <c r="ACE154" s="72"/>
      <c r="ACF154" s="72"/>
      <c r="ACG154" s="72"/>
      <c r="ACH154" s="72"/>
      <c r="ACI154" s="72"/>
      <c r="ACJ154" s="72"/>
      <c r="ACK154" s="72"/>
      <c r="ACL154" s="72"/>
      <c r="ACM154" s="72"/>
      <c r="ACN154" s="72"/>
      <c r="ACO154" s="72"/>
      <c r="ACP154" s="72"/>
      <c r="ACQ154" s="72"/>
      <c r="ACR154" s="72"/>
      <c r="ACS154" s="72"/>
      <c r="ACT154" s="72"/>
      <c r="ACU154" s="72"/>
      <c r="ACV154" s="72"/>
      <c r="ACW154" s="72"/>
      <c r="ACX154" s="72"/>
      <c r="ACY154" s="72"/>
      <c r="ACZ154" s="72"/>
      <c r="ADA154" s="72"/>
      <c r="ADB154" s="72"/>
      <c r="ADC154" s="72"/>
      <c r="ADD154" s="72"/>
      <c r="ADE154" s="72"/>
      <c r="ADF154" s="72"/>
      <c r="ADG154" s="72"/>
      <c r="ADH154" s="72"/>
      <c r="ADI154" s="72"/>
      <c r="ADJ154" s="72"/>
      <c r="ADK154" s="72"/>
      <c r="ADL154" s="72"/>
      <c r="ADM154" s="72"/>
      <c r="ADN154" s="72"/>
      <c r="ADO154" s="72"/>
      <c r="ADP154" s="72"/>
      <c r="ADQ154" s="72"/>
      <c r="ADR154" s="72"/>
      <c r="ADS154" s="72"/>
      <c r="ADT154" s="72"/>
      <c r="ADU154" s="72"/>
      <c r="ADV154" s="72"/>
      <c r="ADW154" s="72"/>
      <c r="ADX154" s="72"/>
      <c r="ADY154" s="72"/>
      <c r="ADZ154" s="72"/>
      <c r="AEA154" s="72"/>
      <c r="AEB154" s="72"/>
      <c r="AEC154" s="72"/>
      <c r="AED154" s="72"/>
      <c r="AEE154" s="72"/>
      <c r="AEF154" s="72"/>
      <c r="AEG154" s="72"/>
      <c r="AEH154" s="72"/>
      <c r="AEI154" s="72"/>
      <c r="AEJ154" s="72"/>
      <c r="AEK154" s="72"/>
      <c r="AEL154" s="72"/>
      <c r="AEM154" s="72"/>
      <c r="AEN154" s="72"/>
      <c r="AEO154" s="72"/>
      <c r="AEP154" s="72"/>
      <c r="AEQ154" s="72"/>
      <c r="AER154" s="72"/>
      <c r="AES154" s="72"/>
      <c r="AET154" s="72"/>
      <c r="AEU154" s="72"/>
      <c r="AEV154" s="72"/>
      <c r="AEW154" s="72"/>
      <c r="AEX154" s="72"/>
      <c r="AEY154" s="72"/>
      <c r="AEZ154" s="72"/>
      <c r="AFA154" s="72"/>
      <c r="AFB154" s="72"/>
      <c r="AFC154" s="72"/>
      <c r="AFD154" s="72"/>
      <c r="AFE154" s="72"/>
      <c r="AFF154" s="72"/>
      <c r="AFG154" s="72"/>
      <c r="AFH154" s="72"/>
      <c r="AFI154" s="72"/>
      <c r="AFJ154" s="72"/>
      <c r="AFK154" s="72"/>
      <c r="AFL154" s="72"/>
      <c r="AFM154" s="72"/>
      <c r="AFN154" s="72"/>
      <c r="AFO154" s="72"/>
      <c r="AFP154" s="72"/>
      <c r="AFQ154" s="72"/>
      <c r="AFR154" s="72"/>
      <c r="AFS154" s="72"/>
      <c r="AFT154" s="72"/>
      <c r="AFU154" s="72"/>
      <c r="AFV154" s="72"/>
      <c r="AFW154" s="72"/>
      <c r="AFX154" s="72"/>
      <c r="AFY154" s="72"/>
      <c r="AFZ154" s="72"/>
      <c r="AGA154" s="72"/>
      <c r="AGB154" s="72"/>
      <c r="AGC154" s="72"/>
      <c r="AGD154" s="72"/>
      <c r="AGE154" s="72"/>
      <c r="AGF154" s="72"/>
      <c r="AGG154" s="72"/>
      <c r="AGH154" s="72"/>
      <c r="AGI154" s="72"/>
      <c r="AGJ154" s="72"/>
      <c r="AGK154" s="72"/>
      <c r="AGL154" s="72"/>
      <c r="AGM154" s="72"/>
      <c r="AGN154" s="72"/>
      <c r="AGO154" s="72"/>
      <c r="AGP154" s="72"/>
      <c r="AGQ154" s="72"/>
      <c r="AGR154" s="72"/>
      <c r="AGS154" s="72"/>
      <c r="AGT154" s="72"/>
      <c r="AGU154" s="72"/>
      <c r="AGV154" s="72"/>
      <c r="AGW154" s="72"/>
      <c r="AGX154" s="72"/>
      <c r="AGY154" s="72"/>
      <c r="AGZ154" s="72"/>
      <c r="AHA154" s="72"/>
      <c r="AHB154" s="72"/>
      <c r="AHC154" s="72"/>
      <c r="AHD154" s="72"/>
      <c r="AHE154" s="72"/>
      <c r="AHF154" s="72"/>
      <c r="AHG154" s="72"/>
      <c r="AHH154" s="72"/>
      <c r="AHI154" s="72"/>
      <c r="AHJ154" s="72"/>
      <c r="AHK154" s="72"/>
      <c r="AHL154" s="72"/>
      <c r="AHM154" s="72"/>
      <c r="AHN154" s="72"/>
      <c r="AHO154" s="72"/>
      <c r="AHP154" s="72"/>
      <c r="AHQ154" s="72"/>
      <c r="AHR154" s="72"/>
      <c r="AHS154" s="72"/>
      <c r="AHT154" s="72"/>
      <c r="AHU154" s="72"/>
      <c r="AHV154" s="72"/>
      <c r="AHW154" s="72"/>
      <c r="AHX154" s="72"/>
      <c r="AHY154" s="72"/>
      <c r="AHZ154" s="72"/>
      <c r="AIA154" s="72"/>
      <c r="AIB154" s="72"/>
      <c r="AIC154" s="72"/>
      <c r="AID154" s="72"/>
      <c r="AIE154" s="72"/>
      <c r="AIF154" s="72"/>
      <c r="AIG154" s="72"/>
      <c r="AIH154" s="72"/>
      <c r="AII154" s="72"/>
      <c r="AIJ154" s="72"/>
      <c r="AIK154" s="72"/>
      <c r="AIL154" s="72"/>
      <c r="AIM154" s="72"/>
      <c r="AIN154" s="72"/>
      <c r="AIO154" s="72"/>
      <c r="AIP154" s="72"/>
      <c r="AIQ154" s="72"/>
      <c r="AIR154" s="72"/>
      <c r="AIS154" s="72"/>
      <c r="AIT154" s="72"/>
      <c r="AIU154" s="72"/>
      <c r="AIV154" s="72"/>
      <c r="AIW154" s="72"/>
      <c r="AIX154" s="72"/>
      <c r="AIY154" s="72"/>
      <c r="AIZ154" s="72"/>
      <c r="AJA154" s="72"/>
      <c r="AJB154" s="72"/>
      <c r="AJC154" s="72"/>
      <c r="AJD154" s="72"/>
      <c r="AJE154" s="72"/>
      <c r="AJF154" s="72"/>
      <c r="AJG154" s="72"/>
      <c r="AJH154" s="72"/>
      <c r="AJI154" s="72"/>
      <c r="AJJ154" s="72"/>
      <c r="AJK154" s="72"/>
      <c r="AJL154" s="72"/>
      <c r="AJM154" s="72"/>
      <c r="AJN154" s="72"/>
      <c r="AJO154" s="72"/>
      <c r="AJP154" s="72"/>
      <c r="AJQ154" s="72"/>
      <c r="AJR154" s="72"/>
      <c r="AJS154" s="72"/>
      <c r="AJT154" s="72"/>
      <c r="AJU154" s="72"/>
      <c r="AJV154" s="72"/>
      <c r="AJW154" s="72"/>
      <c r="AJX154" s="72"/>
      <c r="AJY154" s="72"/>
      <c r="AJZ154" s="72"/>
      <c r="AKA154" s="72"/>
      <c r="AKB154" s="72"/>
      <c r="AKC154" s="72"/>
      <c r="AKD154" s="72"/>
      <c r="AKE154" s="72"/>
      <c r="AKF154" s="72"/>
      <c r="AKG154" s="72"/>
      <c r="AKH154" s="72"/>
      <c r="AKI154" s="72"/>
      <c r="AKJ154" s="72"/>
      <c r="AKK154" s="72"/>
      <c r="AKL154" s="72"/>
      <c r="AKM154" s="72"/>
      <c r="AKN154" s="72"/>
      <c r="AKO154" s="72"/>
      <c r="AKP154" s="72"/>
      <c r="AKQ154" s="72"/>
      <c r="AKR154" s="72"/>
      <c r="AKS154" s="72"/>
      <c r="AKT154" s="72"/>
      <c r="AKU154" s="72"/>
      <c r="AKV154" s="72"/>
      <c r="AKW154" s="72"/>
      <c r="AKX154" s="72"/>
      <c r="AKY154" s="72"/>
      <c r="AKZ154" s="72"/>
      <c r="ALA154" s="72"/>
      <c r="ALB154" s="72"/>
      <c r="ALC154" s="72"/>
      <c r="ALD154" s="72"/>
      <c r="ALE154" s="72"/>
      <c r="ALF154" s="72"/>
      <c r="ALG154" s="72"/>
      <c r="ALH154" s="72"/>
      <c r="ALI154" s="72"/>
      <c r="ALJ154" s="72"/>
      <c r="ALK154" s="72"/>
      <c r="ALL154" s="72"/>
      <c r="ALM154" s="72"/>
      <c r="ALN154" s="72"/>
      <c r="ALO154" s="72"/>
      <c r="ALP154" s="72"/>
      <c r="ALQ154" s="72"/>
      <c r="ALR154" s="72"/>
      <c r="ALS154" s="72"/>
      <c r="ALT154" s="72"/>
      <c r="ALU154" s="72"/>
      <c r="ALV154" s="72"/>
      <c r="ALW154" s="72"/>
      <c r="ALX154" s="72"/>
      <c r="ALY154" s="72"/>
      <c r="ALZ154" s="72"/>
      <c r="AMA154" s="72"/>
      <c r="AMB154" s="72"/>
      <c r="AMC154" s="72"/>
      <c r="AMD154" s="72"/>
      <c r="AME154" s="72"/>
      <c r="AMF154" s="72"/>
      <c r="AMG154" s="72"/>
      <c r="AMH154" s="72"/>
      <c r="AMI154" s="72"/>
      <c r="AMJ154" s="72"/>
      <c r="AMK154" s="72"/>
      <c r="AML154" s="72"/>
      <c r="AMM154" s="72"/>
      <c r="AMN154" s="72"/>
      <c r="AMO154" s="72"/>
      <c r="AMP154" s="72"/>
      <c r="AMQ154" s="72"/>
      <c r="AMR154" s="72"/>
      <c r="AMS154" s="72"/>
      <c r="AMT154" s="72"/>
      <c r="AMU154" s="72"/>
      <c r="AMV154" s="72"/>
      <c r="AMW154" s="72"/>
      <c r="AMX154" s="72"/>
      <c r="AMY154" s="72"/>
      <c r="AMZ154" s="72"/>
      <c r="ANA154" s="72"/>
      <c r="ANB154" s="72"/>
      <c r="ANC154" s="72"/>
      <c r="AND154" s="72"/>
      <c r="ANE154" s="72"/>
      <c r="ANF154" s="72"/>
      <c r="ANG154" s="72"/>
      <c r="ANH154" s="72"/>
      <c r="ANI154" s="72"/>
      <c r="ANJ154" s="72"/>
      <c r="ANK154" s="72"/>
      <c r="ANL154" s="72"/>
      <c r="ANM154" s="72"/>
      <c r="ANN154" s="72"/>
      <c r="ANO154" s="72"/>
      <c r="ANP154" s="72"/>
      <c r="ANQ154" s="72"/>
      <c r="ANR154" s="72"/>
      <c r="ANS154" s="72"/>
      <c r="ANT154" s="72"/>
      <c r="ANU154" s="72"/>
      <c r="ANV154" s="72"/>
      <c r="ANW154" s="72"/>
      <c r="ANX154" s="72"/>
      <c r="ANY154" s="72"/>
      <c r="ANZ154" s="72"/>
      <c r="AOA154" s="72"/>
      <c r="AOB154" s="72"/>
      <c r="AOC154" s="72"/>
      <c r="AOD154" s="72"/>
      <c r="AOE154" s="72"/>
      <c r="AOF154" s="72"/>
      <c r="AOG154" s="72"/>
      <c r="AOH154" s="72"/>
      <c r="AOI154" s="72"/>
      <c r="AOJ154" s="72"/>
      <c r="AOK154" s="72"/>
      <c r="AOL154" s="72"/>
      <c r="AOM154" s="72"/>
      <c r="AON154" s="72"/>
      <c r="AOO154" s="72"/>
      <c r="AOP154" s="72"/>
      <c r="AOQ154" s="72"/>
      <c r="AOR154" s="72"/>
      <c r="AOS154" s="72"/>
      <c r="AOT154" s="72"/>
      <c r="AOU154" s="72"/>
      <c r="AOV154" s="72"/>
      <c r="AOW154" s="72"/>
      <c r="AOX154" s="72"/>
      <c r="AOY154" s="72"/>
      <c r="AOZ154" s="72"/>
      <c r="APA154" s="72"/>
      <c r="APB154" s="72"/>
      <c r="APC154" s="72"/>
      <c r="APD154" s="72"/>
      <c r="APE154" s="72"/>
      <c r="APF154" s="72"/>
      <c r="APG154" s="72"/>
      <c r="APH154" s="72"/>
      <c r="API154" s="72"/>
      <c r="APJ154" s="72"/>
      <c r="APK154" s="72"/>
      <c r="APL154" s="72"/>
      <c r="APM154" s="72"/>
      <c r="APN154" s="72"/>
      <c r="APO154" s="72"/>
      <c r="APP154" s="72"/>
      <c r="APQ154" s="72"/>
      <c r="APR154" s="72"/>
      <c r="APS154" s="72"/>
      <c r="APT154" s="72"/>
      <c r="APU154" s="72"/>
      <c r="APV154" s="72"/>
      <c r="APW154" s="72"/>
      <c r="APX154" s="72"/>
      <c r="APY154" s="72"/>
      <c r="APZ154" s="72"/>
      <c r="AQA154" s="72"/>
      <c r="AQB154" s="72"/>
      <c r="AQC154" s="72"/>
      <c r="AQD154" s="72"/>
      <c r="AQE154" s="72"/>
      <c r="AQF154" s="72"/>
      <c r="AQG154" s="72"/>
      <c r="AQH154" s="72"/>
      <c r="AQI154" s="72"/>
      <c r="AQJ154" s="72"/>
      <c r="AQK154" s="72"/>
      <c r="AQL154" s="72"/>
      <c r="AQM154" s="72"/>
      <c r="AQN154" s="72"/>
      <c r="AQO154" s="72"/>
      <c r="AQP154" s="72"/>
      <c r="AQQ154" s="72"/>
      <c r="AQR154" s="72"/>
      <c r="AQS154" s="72"/>
      <c r="AQT154" s="72"/>
      <c r="AQU154" s="72"/>
      <c r="AQV154" s="72"/>
      <c r="AQW154" s="72"/>
      <c r="AQX154" s="72"/>
      <c r="AQY154" s="72"/>
      <c r="AQZ154" s="72"/>
      <c r="ARA154" s="72"/>
      <c r="ARB154" s="72"/>
      <c r="ARC154" s="72"/>
      <c r="ARD154" s="72"/>
      <c r="ARE154" s="72"/>
      <c r="ARF154" s="72"/>
      <c r="ARG154" s="72"/>
      <c r="ARH154" s="72"/>
      <c r="ARI154" s="72"/>
      <c r="ARJ154" s="72"/>
      <c r="ARK154" s="72"/>
      <c r="ARL154" s="72"/>
      <c r="ARM154" s="72"/>
      <c r="ARN154" s="72"/>
      <c r="ARO154" s="72"/>
      <c r="ARP154" s="72"/>
      <c r="ARQ154" s="72"/>
      <c r="ARR154" s="72"/>
      <c r="ARS154" s="72"/>
      <c r="ART154" s="72"/>
      <c r="ARU154" s="72"/>
      <c r="ARV154" s="72"/>
      <c r="ARW154" s="72"/>
      <c r="ARX154" s="72"/>
      <c r="ARY154" s="72"/>
      <c r="ARZ154" s="72"/>
      <c r="ASA154" s="72"/>
      <c r="ASB154" s="72"/>
      <c r="ASC154" s="72"/>
      <c r="ASD154" s="72"/>
      <c r="ASE154" s="72"/>
      <c r="ASF154" s="72"/>
      <c r="ASG154" s="72"/>
      <c r="ASH154" s="72"/>
      <c r="ASI154" s="72"/>
      <c r="ASJ154" s="72"/>
      <c r="ASK154" s="72"/>
      <c r="ASL154" s="72"/>
      <c r="ASM154" s="72"/>
      <c r="ASN154" s="72"/>
      <c r="ASO154" s="72"/>
      <c r="ASP154" s="72"/>
      <c r="ASQ154" s="72"/>
      <c r="ASR154" s="72"/>
      <c r="ASS154" s="72"/>
      <c r="AST154" s="72"/>
      <c r="ASU154" s="72"/>
      <c r="ASV154" s="72"/>
      <c r="ASW154" s="72"/>
      <c r="ASX154" s="72"/>
      <c r="ASY154" s="72"/>
      <c r="ASZ154" s="72"/>
      <c r="ATA154" s="72"/>
      <c r="ATB154" s="72"/>
      <c r="ATC154" s="72"/>
      <c r="ATD154" s="72"/>
      <c r="ATE154" s="72"/>
      <c r="ATF154" s="72"/>
      <c r="ATG154" s="72"/>
      <c r="ATH154" s="72"/>
      <c r="ATI154" s="72"/>
      <c r="ATJ154" s="72"/>
      <c r="ATK154" s="72"/>
      <c r="ATL154" s="72"/>
      <c r="ATM154" s="72"/>
      <c r="ATN154" s="72"/>
      <c r="ATO154" s="72"/>
      <c r="ATP154" s="72"/>
      <c r="ATQ154" s="72"/>
      <c r="ATR154" s="72"/>
      <c r="ATS154" s="72"/>
      <c r="ATT154" s="72"/>
      <c r="ATU154" s="72"/>
      <c r="ATV154" s="72"/>
      <c r="ATW154" s="72"/>
      <c r="ATX154" s="72"/>
      <c r="ATY154" s="72"/>
      <c r="ATZ154" s="72"/>
      <c r="AUA154" s="72"/>
      <c r="AUB154" s="72"/>
      <c r="AUC154" s="72"/>
      <c r="AUD154" s="72"/>
      <c r="AUE154" s="72"/>
      <c r="AUF154" s="72"/>
      <c r="AUG154" s="72"/>
      <c r="AUH154" s="72"/>
      <c r="AUI154" s="72"/>
      <c r="AUJ154" s="72"/>
      <c r="AUK154" s="72"/>
      <c r="AUL154" s="72"/>
      <c r="AUM154" s="72"/>
      <c r="AUN154" s="72"/>
      <c r="AUO154" s="72"/>
      <c r="AUP154" s="72"/>
      <c r="AUQ154" s="72"/>
      <c r="AUR154" s="72"/>
      <c r="AUS154" s="72"/>
      <c r="AUT154" s="72"/>
      <c r="AUU154" s="72"/>
      <c r="AUV154" s="72"/>
      <c r="AUW154" s="72"/>
      <c r="AUX154" s="72"/>
      <c r="AUY154" s="72"/>
      <c r="AUZ154" s="72"/>
      <c r="AVA154" s="72"/>
      <c r="AVB154" s="72"/>
      <c r="AVC154" s="72"/>
      <c r="AVD154" s="72"/>
      <c r="AVE154" s="72"/>
      <c r="AVF154" s="72"/>
      <c r="AVG154" s="72"/>
      <c r="AVH154" s="72"/>
      <c r="AVI154" s="72"/>
      <c r="AVJ154" s="72"/>
      <c r="AVK154" s="72"/>
      <c r="AVL154" s="72"/>
      <c r="AVM154" s="72"/>
      <c r="AVN154" s="72"/>
      <c r="AVO154" s="72"/>
      <c r="AVP154" s="72"/>
      <c r="AVQ154" s="72"/>
      <c r="AVR154" s="72"/>
      <c r="AVS154" s="72"/>
      <c r="AVT154" s="72"/>
      <c r="AVU154" s="72"/>
      <c r="AVV154" s="72"/>
      <c r="AVW154" s="72"/>
      <c r="AVX154" s="72"/>
      <c r="AVY154" s="72"/>
      <c r="AVZ154" s="72"/>
      <c r="AWA154" s="72"/>
      <c r="AWB154" s="72"/>
      <c r="AWC154" s="72"/>
      <c r="AWD154" s="72"/>
      <c r="AWE154" s="72"/>
      <c r="AWF154" s="72"/>
      <c r="AWG154" s="72"/>
      <c r="AWH154" s="72"/>
      <c r="AWI154" s="72"/>
      <c r="AWJ154" s="72"/>
      <c r="AWK154" s="72"/>
      <c r="AWL154" s="72"/>
      <c r="AWM154" s="72"/>
      <c r="AWN154" s="72"/>
      <c r="AWO154" s="72"/>
      <c r="AWP154" s="72"/>
      <c r="AWQ154" s="72"/>
      <c r="AWR154" s="72"/>
      <c r="AWS154" s="72"/>
      <c r="AWT154" s="72"/>
      <c r="AWU154" s="72"/>
      <c r="AWV154" s="72"/>
      <c r="AWW154" s="72"/>
      <c r="AWX154" s="72"/>
      <c r="AWY154" s="72"/>
      <c r="AWZ154" s="72"/>
      <c r="AXA154" s="72"/>
      <c r="AXB154" s="72"/>
      <c r="AXC154" s="72"/>
      <c r="AXD154" s="72"/>
      <c r="AXE154" s="72"/>
      <c r="AXF154" s="72"/>
      <c r="AXG154" s="72"/>
      <c r="AXH154" s="72"/>
      <c r="AXI154" s="72"/>
      <c r="AXJ154" s="72"/>
      <c r="AXK154" s="72"/>
      <c r="AXL154" s="72"/>
      <c r="AXM154" s="72"/>
      <c r="AXN154" s="72"/>
      <c r="AXO154" s="72"/>
      <c r="AXP154" s="72"/>
      <c r="AXQ154" s="72"/>
      <c r="AXR154" s="72"/>
      <c r="AXS154" s="72"/>
      <c r="AXT154" s="72"/>
      <c r="AXU154" s="72"/>
      <c r="AXV154" s="72"/>
      <c r="AXW154" s="72"/>
      <c r="AXX154" s="72"/>
      <c r="AXY154" s="72"/>
      <c r="AXZ154" s="72"/>
      <c r="AYA154" s="72"/>
      <c r="AYB154" s="72"/>
      <c r="AYC154" s="72"/>
      <c r="AYD154" s="72"/>
      <c r="AYE154" s="72"/>
      <c r="AYF154" s="72"/>
      <c r="AYG154" s="72"/>
      <c r="AYH154" s="72"/>
      <c r="AYI154" s="72"/>
      <c r="AYJ154" s="72"/>
      <c r="AYK154" s="72"/>
      <c r="AYL154" s="72"/>
      <c r="AYM154" s="72"/>
      <c r="AYN154" s="72"/>
      <c r="AYO154" s="72"/>
      <c r="AYP154" s="72"/>
      <c r="AYQ154" s="72"/>
      <c r="AYR154" s="72"/>
      <c r="AYS154" s="72"/>
      <c r="AYT154" s="72"/>
      <c r="AYU154" s="72"/>
      <c r="AYV154" s="72"/>
      <c r="AYW154" s="72"/>
      <c r="AYX154" s="72"/>
      <c r="AYY154" s="72"/>
      <c r="AYZ154" s="72"/>
      <c r="AZA154" s="72"/>
      <c r="AZB154" s="72"/>
      <c r="AZC154" s="72"/>
      <c r="AZD154" s="72"/>
      <c r="AZE154" s="72"/>
      <c r="AZF154" s="72"/>
      <c r="AZG154" s="72"/>
      <c r="AZH154" s="72"/>
      <c r="AZI154" s="72"/>
      <c r="AZJ154" s="72"/>
      <c r="AZK154" s="72"/>
      <c r="AZL154" s="72"/>
      <c r="AZM154" s="72"/>
      <c r="AZN154" s="72"/>
      <c r="AZO154" s="72"/>
      <c r="AZP154" s="72"/>
      <c r="AZQ154" s="72"/>
      <c r="AZR154" s="72"/>
      <c r="AZS154" s="72"/>
      <c r="AZT154" s="72"/>
      <c r="AZU154" s="72"/>
      <c r="AZV154" s="72"/>
      <c r="AZW154" s="72"/>
      <c r="AZX154" s="72"/>
      <c r="AZY154" s="72"/>
      <c r="AZZ154" s="72"/>
      <c r="BAA154" s="72"/>
      <c r="BAB154" s="72"/>
      <c r="BAC154" s="72"/>
      <c r="BAD154" s="72"/>
      <c r="BAE154" s="72"/>
      <c r="BAF154" s="72"/>
      <c r="BAG154" s="72"/>
      <c r="BAH154" s="72"/>
      <c r="BAI154" s="72"/>
      <c r="BAJ154" s="72"/>
      <c r="BAK154" s="72"/>
      <c r="BAL154" s="72"/>
      <c r="BAM154" s="72"/>
      <c r="BAN154" s="72"/>
      <c r="BAO154" s="72"/>
      <c r="BAP154" s="72"/>
      <c r="BAQ154" s="72"/>
      <c r="BAR154" s="72"/>
      <c r="BAS154" s="72"/>
      <c r="BAT154" s="72"/>
      <c r="BAU154" s="72"/>
      <c r="BAV154" s="72"/>
      <c r="BAW154" s="72"/>
      <c r="BAX154" s="72"/>
      <c r="BAY154" s="72"/>
      <c r="BAZ154" s="72"/>
      <c r="BBA154" s="72"/>
      <c r="BBB154" s="72"/>
      <c r="BBC154" s="72"/>
      <c r="BBD154" s="72"/>
      <c r="BBE154" s="72"/>
      <c r="BBF154" s="72"/>
      <c r="BBG154" s="72"/>
      <c r="BBH154" s="72"/>
      <c r="BBI154" s="72"/>
      <c r="BBJ154" s="72"/>
      <c r="BBK154" s="72"/>
      <c r="BBL154" s="72"/>
      <c r="BBM154" s="72"/>
      <c r="BBN154" s="72"/>
      <c r="BBO154" s="72"/>
      <c r="BBP154" s="72"/>
      <c r="BBQ154" s="72"/>
      <c r="BBR154" s="72"/>
      <c r="BBS154" s="72"/>
      <c r="BBT154" s="72"/>
      <c r="BBU154" s="72"/>
      <c r="BBV154" s="72"/>
      <c r="BBW154" s="72"/>
      <c r="BBX154" s="72"/>
      <c r="BBY154" s="72"/>
      <c r="BBZ154" s="72"/>
      <c r="BCA154" s="72"/>
      <c r="BCB154" s="72"/>
      <c r="BCC154" s="72"/>
      <c r="BCD154" s="72"/>
      <c r="BCE154" s="72"/>
      <c r="BCF154" s="72"/>
      <c r="BCG154" s="72"/>
      <c r="BCH154" s="72"/>
      <c r="BCI154" s="72"/>
      <c r="BCJ154" s="72"/>
      <c r="BCK154" s="72"/>
      <c r="BCL154" s="72"/>
      <c r="BCM154" s="72"/>
      <c r="BCN154" s="72"/>
      <c r="BCO154" s="72"/>
      <c r="BCP154" s="72"/>
      <c r="BCQ154" s="72"/>
      <c r="BCR154" s="72"/>
      <c r="BCS154" s="72"/>
      <c r="BCT154" s="72"/>
      <c r="BCU154" s="72"/>
      <c r="BCV154" s="72"/>
      <c r="BCW154" s="72"/>
      <c r="BCX154" s="72"/>
      <c r="BCY154" s="72"/>
      <c r="BCZ154" s="72"/>
      <c r="BDA154" s="72"/>
      <c r="BDB154" s="72"/>
      <c r="BDC154" s="72"/>
      <c r="BDD154" s="72"/>
      <c r="BDE154" s="72"/>
      <c r="BDF154" s="72"/>
      <c r="BDG154" s="72"/>
      <c r="BDH154" s="72"/>
      <c r="BDI154" s="72"/>
      <c r="BDJ154" s="72"/>
      <c r="BDK154" s="72"/>
      <c r="BDL154" s="72"/>
      <c r="BDM154" s="72"/>
      <c r="BDN154" s="72"/>
      <c r="BDO154" s="72"/>
      <c r="BDP154" s="72"/>
      <c r="BDQ154" s="72"/>
      <c r="BDR154" s="72"/>
      <c r="BDS154" s="72"/>
      <c r="BDT154" s="72"/>
      <c r="BDU154" s="72"/>
      <c r="BDV154" s="72"/>
      <c r="BDW154" s="72"/>
      <c r="BDX154" s="72"/>
      <c r="BDY154" s="72"/>
      <c r="BDZ154" s="72"/>
      <c r="BEA154" s="72"/>
      <c r="BEB154" s="72"/>
      <c r="BEC154" s="72"/>
      <c r="BED154" s="72"/>
      <c r="BEE154" s="72"/>
      <c r="BEF154" s="72"/>
      <c r="BEG154" s="72"/>
      <c r="BEH154" s="72"/>
      <c r="BEI154" s="72"/>
      <c r="BEJ154" s="72"/>
      <c r="BEK154" s="72"/>
      <c r="BEL154" s="72"/>
      <c r="BEM154" s="72"/>
      <c r="BEN154" s="72"/>
      <c r="BEO154" s="72"/>
      <c r="BEP154" s="72"/>
      <c r="BEQ154" s="72"/>
      <c r="BER154" s="72"/>
      <c r="BES154" s="72"/>
      <c r="BET154" s="72"/>
      <c r="BEU154" s="72"/>
      <c r="BEV154" s="72"/>
      <c r="BEW154" s="72"/>
      <c r="BEX154" s="72"/>
      <c r="BEY154" s="72"/>
      <c r="BEZ154" s="72"/>
      <c r="BFA154" s="72"/>
      <c r="BFB154" s="72"/>
      <c r="BFC154" s="72"/>
      <c r="BFD154" s="72"/>
      <c r="BFE154" s="72"/>
      <c r="BFF154" s="72"/>
      <c r="BFG154" s="72"/>
      <c r="BFH154" s="72"/>
      <c r="BFI154" s="72"/>
      <c r="BFJ154" s="72"/>
      <c r="BFK154" s="72"/>
      <c r="BFL154" s="72"/>
      <c r="BFM154" s="72"/>
      <c r="BFN154" s="72"/>
      <c r="BFO154" s="72"/>
      <c r="BFP154" s="72"/>
      <c r="BFQ154" s="72"/>
      <c r="BFR154" s="72"/>
      <c r="BFS154" s="72"/>
      <c r="BFT154" s="72"/>
      <c r="BFU154" s="72"/>
      <c r="BFV154" s="72"/>
      <c r="BFW154" s="72"/>
      <c r="BFX154" s="72"/>
      <c r="BFY154" s="72"/>
      <c r="BFZ154" s="72"/>
      <c r="BGA154" s="72"/>
      <c r="BGB154" s="72"/>
      <c r="BGC154" s="72"/>
      <c r="BGD154" s="72"/>
      <c r="BGE154" s="72"/>
      <c r="BGF154" s="72"/>
      <c r="BGG154" s="72"/>
      <c r="BGH154" s="72"/>
      <c r="BGI154" s="72"/>
      <c r="BGJ154" s="72"/>
      <c r="BGK154" s="72"/>
      <c r="BGL154" s="72"/>
      <c r="BGM154" s="72"/>
      <c r="BGN154" s="72"/>
      <c r="BGO154" s="72"/>
      <c r="BGP154" s="72"/>
      <c r="BGQ154" s="72"/>
      <c r="BGR154" s="72"/>
      <c r="BGS154" s="72"/>
      <c r="BGT154" s="72"/>
      <c r="BGU154" s="72"/>
      <c r="BGV154" s="72"/>
      <c r="BGW154" s="72"/>
      <c r="BGX154" s="72"/>
      <c r="BGY154" s="72"/>
      <c r="BGZ154" s="72"/>
      <c r="BHA154" s="72"/>
      <c r="BHB154" s="72"/>
      <c r="BHC154" s="72"/>
      <c r="BHD154" s="72"/>
      <c r="BHE154" s="72"/>
      <c r="BHF154" s="72"/>
      <c r="BHG154" s="72"/>
      <c r="BHH154" s="72"/>
      <c r="BHI154" s="72"/>
      <c r="BHJ154" s="72"/>
      <c r="BHK154" s="72"/>
      <c r="BHL154" s="72"/>
      <c r="BHM154" s="72"/>
      <c r="BHN154" s="72"/>
      <c r="BHO154" s="72"/>
      <c r="BHP154" s="72"/>
      <c r="BHQ154" s="72"/>
      <c r="BHR154" s="72"/>
      <c r="BHS154" s="72"/>
      <c r="BHT154" s="72"/>
      <c r="BHU154" s="72"/>
      <c r="BHV154" s="72"/>
      <c r="BHW154" s="72"/>
      <c r="BHX154" s="72"/>
      <c r="BHY154" s="72"/>
      <c r="BHZ154" s="72"/>
      <c r="BIA154" s="72"/>
      <c r="BIB154" s="72"/>
      <c r="BIC154" s="72"/>
      <c r="BID154" s="72"/>
      <c r="BIE154" s="72"/>
      <c r="BIF154" s="72"/>
      <c r="BIG154" s="72"/>
      <c r="BIH154" s="72"/>
      <c r="BII154" s="72"/>
      <c r="BIJ154" s="72"/>
      <c r="BIK154" s="72"/>
      <c r="BIL154" s="72"/>
      <c r="BIM154" s="72"/>
      <c r="BIN154" s="72"/>
      <c r="BIO154" s="72"/>
      <c r="BIP154" s="72"/>
      <c r="BIQ154" s="72"/>
      <c r="BIR154" s="72"/>
      <c r="BIS154" s="72"/>
      <c r="BIT154" s="72"/>
      <c r="BIU154" s="72"/>
      <c r="BIV154" s="72"/>
      <c r="BIW154" s="72"/>
      <c r="BIX154" s="72"/>
      <c r="BIY154" s="72"/>
      <c r="BIZ154" s="72"/>
      <c r="BJA154" s="72"/>
      <c r="BJB154" s="72"/>
      <c r="BJC154" s="72"/>
      <c r="BJD154" s="72"/>
      <c r="BJE154" s="72"/>
      <c r="BJF154" s="72"/>
      <c r="BJG154" s="72"/>
      <c r="BJH154" s="72"/>
      <c r="BJI154" s="72"/>
      <c r="BJJ154" s="72"/>
      <c r="BJK154" s="72"/>
      <c r="BJL154" s="72"/>
      <c r="BJM154" s="72"/>
      <c r="BJN154" s="72"/>
      <c r="BJO154" s="72"/>
      <c r="BJP154" s="72"/>
      <c r="BJQ154" s="72"/>
      <c r="BJR154" s="72"/>
      <c r="BJS154" s="72"/>
      <c r="BJT154" s="72"/>
      <c r="BJU154" s="72"/>
      <c r="BJV154" s="72"/>
      <c r="BJW154" s="72"/>
      <c r="BJX154" s="72"/>
      <c r="BJY154" s="72"/>
      <c r="BJZ154" s="72"/>
      <c r="BKA154" s="72"/>
      <c r="BKB154" s="72"/>
      <c r="BKC154" s="72"/>
      <c r="BKD154" s="72"/>
      <c r="BKE154" s="72"/>
      <c r="BKF154" s="72"/>
      <c r="BKG154" s="72"/>
      <c r="BKH154" s="72"/>
      <c r="BKI154" s="72"/>
      <c r="BKJ154" s="72"/>
      <c r="BKK154" s="72"/>
      <c r="BKL154" s="72"/>
      <c r="BKM154" s="72"/>
      <c r="BKN154" s="72"/>
      <c r="BKO154" s="72"/>
      <c r="BKP154" s="72"/>
      <c r="BKQ154" s="72"/>
      <c r="BKR154" s="72"/>
      <c r="BKS154" s="72"/>
      <c r="BKT154" s="72"/>
      <c r="BKU154" s="72"/>
      <c r="BKV154" s="72"/>
      <c r="BKW154" s="72"/>
      <c r="BKX154" s="72"/>
      <c r="BKY154" s="72"/>
      <c r="BKZ154" s="72"/>
      <c r="BLA154" s="72"/>
      <c r="BLB154" s="72"/>
      <c r="BLC154" s="72"/>
      <c r="BLD154" s="72"/>
      <c r="BLE154" s="72"/>
      <c r="BLF154" s="72"/>
      <c r="BLG154" s="72"/>
      <c r="BLH154" s="72"/>
      <c r="BLI154" s="72"/>
      <c r="BLJ154" s="72"/>
      <c r="BLK154" s="72"/>
      <c r="BLL154" s="72"/>
      <c r="BLM154" s="72"/>
      <c r="BLN154" s="72"/>
      <c r="BLO154" s="72"/>
      <c r="BLP154" s="72"/>
      <c r="BLQ154" s="72"/>
      <c r="BLR154" s="72"/>
      <c r="BLS154" s="72"/>
      <c r="BLT154" s="72"/>
      <c r="BLU154" s="72"/>
      <c r="BLV154" s="72"/>
      <c r="BLW154" s="72"/>
      <c r="BLX154" s="72"/>
      <c r="BLY154" s="72"/>
      <c r="BLZ154" s="72"/>
      <c r="BMA154" s="72"/>
      <c r="BMB154" s="72"/>
      <c r="BMC154" s="72"/>
      <c r="BMD154" s="72"/>
      <c r="BME154" s="72"/>
      <c r="BMF154" s="72"/>
      <c r="BMG154" s="72"/>
      <c r="BMH154" s="72"/>
      <c r="BMI154" s="72"/>
      <c r="BMJ154" s="72"/>
      <c r="BMK154" s="72"/>
      <c r="BML154" s="72"/>
      <c r="BMM154" s="72"/>
      <c r="BMN154" s="72"/>
      <c r="BMO154" s="72"/>
      <c r="BMP154" s="72"/>
      <c r="BMQ154" s="72"/>
      <c r="BMR154" s="72"/>
      <c r="BMS154" s="72"/>
      <c r="BMT154" s="72"/>
      <c r="BMU154" s="72"/>
      <c r="BMV154" s="72"/>
      <c r="BMW154" s="72"/>
      <c r="BMX154" s="72"/>
      <c r="BMY154" s="72"/>
      <c r="BMZ154" s="72"/>
      <c r="BNA154" s="72"/>
      <c r="BNB154" s="72"/>
      <c r="BNC154" s="72"/>
      <c r="BND154" s="72"/>
      <c r="BNE154" s="72"/>
      <c r="BNF154" s="72"/>
      <c r="BNG154" s="72"/>
      <c r="BNH154" s="72"/>
      <c r="BNI154" s="72"/>
      <c r="BNJ154" s="72"/>
      <c r="BNK154" s="72"/>
      <c r="BNL154" s="72"/>
      <c r="BNM154" s="72"/>
      <c r="BNN154" s="72"/>
      <c r="BNO154" s="72"/>
      <c r="BNP154" s="72"/>
      <c r="BNQ154" s="72"/>
      <c r="BNR154" s="72"/>
      <c r="BNS154" s="72"/>
      <c r="BNT154" s="72"/>
      <c r="BNU154" s="72"/>
      <c r="BNV154" s="72"/>
      <c r="BNW154" s="72"/>
      <c r="BNX154" s="72"/>
      <c r="BNY154" s="72"/>
      <c r="BNZ154" s="72"/>
      <c r="BOA154" s="72"/>
      <c r="BOB154" s="72"/>
      <c r="BOC154" s="72"/>
      <c r="BOD154" s="72"/>
      <c r="BOE154" s="72"/>
      <c r="BOF154" s="72"/>
      <c r="BOG154" s="72"/>
      <c r="BOH154" s="72"/>
      <c r="BOI154" s="72"/>
      <c r="BOJ154" s="72"/>
      <c r="BOK154" s="72"/>
      <c r="BOL154" s="72"/>
      <c r="BOM154" s="72"/>
      <c r="BON154" s="72"/>
      <c r="BOO154" s="72"/>
      <c r="BOP154" s="72"/>
      <c r="BOQ154" s="72"/>
      <c r="BOR154" s="72"/>
      <c r="BOS154" s="72"/>
      <c r="BOT154" s="72"/>
      <c r="BOU154" s="72"/>
      <c r="BOV154" s="72"/>
      <c r="BOW154" s="72"/>
      <c r="BOX154" s="72"/>
      <c r="BOY154" s="72"/>
      <c r="BOZ154" s="72"/>
      <c r="BPA154" s="72"/>
      <c r="BPB154" s="72"/>
      <c r="BPC154" s="72"/>
      <c r="BPD154" s="72"/>
      <c r="BPE154" s="72"/>
      <c r="BPF154" s="72"/>
      <c r="BPG154" s="72"/>
      <c r="BPH154" s="72"/>
      <c r="BPI154" s="72"/>
      <c r="BPJ154" s="72"/>
      <c r="BPK154" s="72"/>
      <c r="BPL154" s="72"/>
      <c r="BPM154" s="72"/>
      <c r="BPN154" s="72"/>
      <c r="BPO154" s="72"/>
      <c r="BPP154" s="72"/>
      <c r="BPQ154" s="72"/>
      <c r="BPR154" s="72"/>
      <c r="BPS154" s="72"/>
      <c r="BPT154" s="72"/>
      <c r="BPU154" s="72"/>
      <c r="BPV154" s="72"/>
      <c r="BPW154" s="72"/>
      <c r="BPX154" s="72"/>
      <c r="BPY154" s="72"/>
      <c r="BPZ154" s="72"/>
      <c r="BQA154" s="72"/>
      <c r="BQB154" s="72"/>
      <c r="BQC154" s="72"/>
      <c r="BQD154" s="72"/>
      <c r="BQE154" s="72"/>
      <c r="BQF154" s="72"/>
      <c r="BQG154" s="72"/>
      <c r="BQH154" s="72"/>
      <c r="BQI154" s="72"/>
      <c r="BQJ154" s="72"/>
      <c r="BQK154" s="72"/>
      <c r="BQL154" s="72"/>
      <c r="BQM154" s="72"/>
      <c r="BQN154" s="72"/>
      <c r="BQO154" s="72"/>
      <c r="BQP154" s="72"/>
      <c r="BQQ154" s="72"/>
      <c r="BQR154" s="72"/>
      <c r="BQS154" s="72"/>
      <c r="BQT154" s="72"/>
      <c r="BQU154" s="72"/>
      <c r="BQV154" s="72"/>
      <c r="BQW154" s="72"/>
      <c r="BQX154" s="72"/>
      <c r="BQY154" s="72"/>
      <c r="BQZ154" s="72"/>
      <c r="BRA154" s="72"/>
      <c r="BRB154" s="72"/>
      <c r="BRC154" s="72"/>
      <c r="BRD154" s="72"/>
      <c r="BRE154" s="72"/>
      <c r="BRF154" s="72"/>
      <c r="BRG154" s="72"/>
      <c r="BRH154" s="72"/>
      <c r="BRI154" s="72"/>
      <c r="BRJ154" s="72"/>
      <c r="BRK154" s="72"/>
      <c r="BRL154" s="72"/>
      <c r="BRM154" s="72"/>
      <c r="BRN154" s="72"/>
      <c r="BRO154" s="72"/>
      <c r="BRP154" s="72"/>
      <c r="BRQ154" s="72"/>
      <c r="BRR154" s="72"/>
      <c r="BRS154" s="72"/>
      <c r="BRT154" s="72"/>
      <c r="BRU154" s="72"/>
      <c r="BRV154" s="72"/>
      <c r="BRW154" s="72"/>
      <c r="BRX154" s="72"/>
      <c r="BRY154" s="72"/>
      <c r="BRZ154" s="72"/>
      <c r="BSA154" s="72"/>
      <c r="BSB154" s="72"/>
      <c r="BSC154" s="72"/>
      <c r="BSD154" s="72"/>
      <c r="BSE154" s="72"/>
      <c r="BSF154" s="72"/>
      <c r="BSG154" s="72"/>
      <c r="BSH154" s="72"/>
      <c r="BSI154" s="72"/>
      <c r="BSJ154" s="72"/>
      <c r="BSK154" s="72"/>
      <c r="BSL154" s="72"/>
      <c r="BSM154" s="72"/>
      <c r="BSN154" s="72"/>
      <c r="BSO154" s="72"/>
      <c r="BSP154" s="72"/>
      <c r="BSQ154" s="72"/>
      <c r="BSR154" s="72"/>
      <c r="BSS154" s="72"/>
      <c r="BST154" s="72"/>
      <c r="BSU154" s="72"/>
      <c r="BSV154" s="72"/>
      <c r="BSW154" s="72"/>
      <c r="BSX154" s="72"/>
      <c r="BSY154" s="72"/>
      <c r="BSZ154" s="72"/>
      <c r="BTA154" s="72"/>
      <c r="BTB154" s="72"/>
      <c r="BTC154" s="72"/>
      <c r="BTD154" s="72"/>
      <c r="BTE154" s="72"/>
      <c r="BTF154" s="72"/>
      <c r="BTG154" s="72"/>
      <c r="BTH154" s="72"/>
      <c r="BTI154" s="72"/>
      <c r="BTJ154" s="72"/>
      <c r="BTK154" s="72"/>
      <c r="BTL154" s="72"/>
      <c r="BTM154" s="72"/>
      <c r="BTN154" s="72"/>
      <c r="BTO154" s="72"/>
      <c r="BTP154" s="72"/>
      <c r="BTQ154" s="72"/>
      <c r="BTR154" s="72"/>
      <c r="BTS154" s="72"/>
      <c r="BTT154" s="72"/>
      <c r="BTU154" s="72"/>
      <c r="BTV154" s="72"/>
      <c r="BTW154" s="72"/>
      <c r="BTX154" s="72"/>
      <c r="BTY154" s="72"/>
      <c r="BTZ154" s="72"/>
      <c r="BUA154" s="72"/>
      <c r="BUB154" s="72"/>
      <c r="BUC154" s="72"/>
      <c r="BUD154" s="72"/>
      <c r="BUE154" s="72"/>
      <c r="BUF154" s="72"/>
      <c r="BUG154" s="72"/>
      <c r="BUH154" s="72"/>
      <c r="BUI154" s="72"/>
      <c r="BUJ154" s="72"/>
      <c r="BUK154" s="72"/>
      <c r="BUL154" s="72"/>
      <c r="BUM154" s="72"/>
      <c r="BUN154" s="72"/>
      <c r="BUO154" s="72"/>
      <c r="BUP154" s="72"/>
      <c r="BUQ154" s="72"/>
      <c r="BUR154" s="72"/>
      <c r="BUS154" s="72"/>
      <c r="BUT154" s="72"/>
      <c r="BUU154" s="72"/>
      <c r="BUV154" s="72"/>
      <c r="BUW154" s="72"/>
      <c r="BUX154" s="72"/>
      <c r="BUY154" s="72"/>
      <c r="BUZ154" s="72"/>
      <c r="BVA154" s="72"/>
      <c r="BVB154" s="72"/>
      <c r="BVC154" s="72"/>
      <c r="BVD154" s="72"/>
      <c r="BVE154" s="72"/>
      <c r="BVF154" s="72"/>
      <c r="BVG154" s="72"/>
      <c r="BVH154" s="72"/>
      <c r="BVI154" s="72"/>
      <c r="BVJ154" s="72"/>
      <c r="BVK154" s="72"/>
      <c r="BVL154" s="72"/>
      <c r="BVM154" s="72"/>
      <c r="BVN154" s="72"/>
      <c r="BVO154" s="72"/>
      <c r="BVP154" s="72"/>
      <c r="BVQ154" s="72"/>
      <c r="BVR154" s="72"/>
      <c r="BVS154" s="72"/>
      <c r="BVT154" s="72"/>
      <c r="BVU154" s="72"/>
      <c r="BVV154" s="72"/>
      <c r="BVW154" s="72"/>
      <c r="BVX154" s="72"/>
      <c r="BVY154" s="72"/>
      <c r="BVZ154" s="72"/>
      <c r="BWA154" s="72"/>
      <c r="BWB154" s="72"/>
      <c r="BWC154" s="72"/>
      <c r="BWD154" s="72"/>
      <c r="BWE154" s="72"/>
      <c r="BWF154" s="72"/>
      <c r="BWG154" s="72"/>
      <c r="BWH154" s="72"/>
      <c r="BWI154" s="72"/>
      <c r="BWJ154" s="72"/>
      <c r="BWK154" s="72"/>
      <c r="BWL154" s="72"/>
      <c r="BWM154" s="72"/>
      <c r="BWN154" s="72"/>
      <c r="BWO154" s="72"/>
      <c r="BWP154" s="72"/>
      <c r="BWQ154" s="72"/>
      <c r="BWR154" s="72"/>
      <c r="BWS154" s="72"/>
      <c r="BWT154" s="72"/>
      <c r="BWU154" s="72"/>
      <c r="BWV154" s="72"/>
      <c r="BWW154" s="72"/>
      <c r="BWX154" s="72"/>
      <c r="BWY154" s="72"/>
      <c r="BWZ154" s="72"/>
      <c r="BXA154" s="72"/>
      <c r="BXB154" s="72"/>
      <c r="BXC154" s="72"/>
      <c r="BXD154" s="72"/>
      <c r="BXE154" s="72"/>
      <c r="BXF154" s="72"/>
      <c r="BXG154" s="72"/>
      <c r="BXH154" s="72"/>
      <c r="BXI154" s="72"/>
      <c r="BXJ154" s="72"/>
      <c r="BXK154" s="72"/>
      <c r="BXL154" s="72"/>
      <c r="BXM154" s="72"/>
      <c r="BXN154" s="72"/>
      <c r="BXO154" s="72"/>
      <c r="BXP154" s="72"/>
      <c r="BXQ154" s="72"/>
      <c r="BXR154" s="72"/>
      <c r="BXS154" s="72"/>
      <c r="BXT154" s="72"/>
      <c r="BXU154" s="72"/>
      <c r="BXV154" s="72"/>
      <c r="BXW154" s="72"/>
      <c r="BXX154" s="72"/>
      <c r="BXY154" s="72"/>
      <c r="BXZ154" s="72"/>
      <c r="BYA154" s="72"/>
      <c r="BYB154" s="72"/>
      <c r="BYC154" s="72"/>
      <c r="BYD154" s="72"/>
      <c r="BYE154" s="72"/>
      <c r="BYF154" s="72"/>
      <c r="BYG154" s="72"/>
      <c r="BYH154" s="72"/>
      <c r="BYI154" s="72"/>
      <c r="BYJ154" s="72"/>
      <c r="BYK154" s="72"/>
      <c r="BYL154" s="72"/>
      <c r="BYM154" s="72"/>
      <c r="BYN154" s="72"/>
      <c r="BYO154" s="72"/>
      <c r="BYP154" s="72"/>
      <c r="BYQ154" s="72"/>
      <c r="BYR154" s="72"/>
      <c r="BYS154" s="72"/>
      <c r="BYT154" s="72"/>
      <c r="BYU154" s="72"/>
      <c r="BYV154" s="72"/>
      <c r="BYW154" s="72"/>
      <c r="BYX154" s="72"/>
      <c r="BYY154" s="72"/>
      <c r="BYZ154" s="72"/>
      <c r="BZA154" s="72"/>
      <c r="BZB154" s="72"/>
      <c r="BZC154" s="72"/>
      <c r="BZD154" s="72"/>
      <c r="BZE154" s="72"/>
      <c r="BZF154" s="72"/>
      <c r="BZG154" s="72"/>
      <c r="BZH154" s="72"/>
      <c r="BZI154" s="72"/>
      <c r="BZJ154" s="72"/>
      <c r="BZK154" s="72"/>
      <c r="BZL154" s="72"/>
      <c r="BZM154" s="72"/>
      <c r="BZN154" s="72"/>
      <c r="BZO154" s="72"/>
      <c r="BZP154" s="72"/>
      <c r="BZQ154" s="72"/>
      <c r="BZR154" s="72"/>
      <c r="BZS154" s="72"/>
      <c r="BZT154" s="72"/>
      <c r="BZU154" s="72"/>
      <c r="BZV154" s="72"/>
      <c r="BZW154" s="72"/>
      <c r="BZX154" s="72"/>
      <c r="BZY154" s="72"/>
      <c r="BZZ154" s="72"/>
      <c r="CAA154" s="72"/>
      <c r="CAB154" s="72"/>
      <c r="CAC154" s="72"/>
      <c r="CAD154" s="72"/>
      <c r="CAE154" s="72"/>
      <c r="CAF154" s="72"/>
      <c r="CAG154" s="72"/>
      <c r="CAH154" s="72"/>
      <c r="CAI154" s="72"/>
      <c r="CAJ154" s="72"/>
      <c r="CAK154" s="72"/>
      <c r="CAL154" s="72"/>
      <c r="CAM154" s="72"/>
      <c r="CAN154" s="72"/>
      <c r="CAO154" s="72"/>
      <c r="CAP154" s="72"/>
      <c r="CAQ154" s="72"/>
      <c r="CAR154" s="72"/>
      <c r="CAS154" s="72"/>
      <c r="CAT154" s="72"/>
      <c r="CAU154" s="72"/>
      <c r="CAV154" s="72"/>
      <c r="CAW154" s="72"/>
      <c r="CAX154" s="72"/>
      <c r="CAY154" s="72"/>
      <c r="CAZ154" s="72"/>
      <c r="CBA154" s="72"/>
      <c r="CBB154" s="72"/>
      <c r="CBC154" s="72"/>
      <c r="CBD154" s="72"/>
      <c r="CBE154" s="72"/>
      <c r="CBF154" s="72"/>
      <c r="CBG154" s="72"/>
      <c r="CBH154" s="72"/>
      <c r="CBI154" s="72"/>
      <c r="CBJ154" s="72"/>
      <c r="CBK154" s="72"/>
      <c r="CBL154" s="72"/>
      <c r="CBM154" s="72"/>
      <c r="CBN154" s="72"/>
      <c r="CBO154" s="72"/>
      <c r="CBP154" s="72"/>
      <c r="CBQ154" s="72"/>
      <c r="CBR154" s="72"/>
      <c r="CBS154" s="72"/>
      <c r="CBT154" s="72"/>
      <c r="CBU154" s="72"/>
      <c r="CBV154" s="72"/>
      <c r="CBW154" s="72"/>
      <c r="CBX154" s="72"/>
      <c r="CBY154" s="72"/>
      <c r="CBZ154" s="72"/>
      <c r="CCA154" s="72"/>
      <c r="CCB154" s="72"/>
      <c r="CCC154" s="72"/>
      <c r="CCD154" s="72"/>
      <c r="CCE154" s="72"/>
      <c r="CCF154" s="72"/>
      <c r="CCG154" s="72"/>
      <c r="CCH154" s="72"/>
      <c r="CCI154" s="72"/>
      <c r="CCJ154" s="72"/>
      <c r="CCK154" s="72"/>
      <c r="CCL154" s="72"/>
      <c r="CCM154" s="72"/>
      <c r="CCN154" s="72"/>
      <c r="CCO154" s="72"/>
      <c r="CCP154" s="72"/>
      <c r="CCQ154" s="72"/>
      <c r="CCR154" s="72"/>
      <c r="CCS154" s="72"/>
      <c r="CCT154" s="72"/>
      <c r="CCU154" s="72"/>
      <c r="CCV154" s="72"/>
      <c r="CCW154" s="72"/>
      <c r="CCX154" s="72"/>
      <c r="CCY154" s="72"/>
      <c r="CCZ154" s="72"/>
      <c r="CDA154" s="72"/>
      <c r="CDB154" s="72"/>
      <c r="CDC154" s="72"/>
      <c r="CDD154" s="72"/>
      <c r="CDE154" s="72"/>
      <c r="CDF154" s="72"/>
      <c r="CDG154" s="72"/>
      <c r="CDH154" s="72"/>
      <c r="CDI154" s="72"/>
      <c r="CDJ154" s="72"/>
      <c r="CDK154" s="72"/>
      <c r="CDL154" s="72"/>
      <c r="CDM154" s="72"/>
      <c r="CDN154" s="72"/>
      <c r="CDO154" s="72"/>
      <c r="CDP154" s="72"/>
      <c r="CDQ154" s="72"/>
      <c r="CDR154" s="72"/>
      <c r="CDS154" s="72"/>
      <c r="CDT154" s="72"/>
      <c r="CDU154" s="72"/>
      <c r="CDV154" s="72"/>
      <c r="CDW154" s="72"/>
      <c r="CDX154" s="72"/>
      <c r="CDY154" s="72"/>
      <c r="CDZ154" s="72"/>
      <c r="CEA154" s="72"/>
      <c r="CEB154" s="72"/>
      <c r="CEC154" s="72"/>
      <c r="CED154" s="72"/>
      <c r="CEE154" s="72"/>
      <c r="CEF154" s="72"/>
      <c r="CEG154" s="72"/>
      <c r="CEH154" s="72"/>
      <c r="CEI154" s="72"/>
      <c r="CEJ154" s="72"/>
      <c r="CEK154" s="72"/>
      <c r="CEL154" s="72"/>
      <c r="CEM154" s="72"/>
      <c r="CEN154" s="72"/>
      <c r="CEO154" s="72"/>
      <c r="CEP154" s="72"/>
      <c r="CEQ154" s="72"/>
      <c r="CER154" s="72"/>
      <c r="CES154" s="72"/>
      <c r="CET154" s="72"/>
      <c r="CEU154" s="72"/>
      <c r="CEV154" s="72"/>
      <c r="CEW154" s="72"/>
      <c r="CEX154" s="72"/>
      <c r="CEY154" s="72"/>
      <c r="CEZ154" s="72"/>
      <c r="CFA154" s="72"/>
      <c r="CFB154" s="72"/>
      <c r="CFC154" s="72"/>
      <c r="CFD154" s="72"/>
      <c r="CFE154" s="72"/>
      <c r="CFF154" s="72"/>
      <c r="CFG154" s="72"/>
      <c r="CFH154" s="72"/>
      <c r="CFI154" s="72"/>
      <c r="CFJ154" s="72"/>
      <c r="CFK154" s="72"/>
      <c r="CFL154" s="72"/>
      <c r="CFM154" s="72"/>
      <c r="CFN154" s="72"/>
      <c r="CFO154" s="72"/>
      <c r="CFP154" s="72"/>
      <c r="CFQ154" s="72"/>
      <c r="CFR154" s="72"/>
      <c r="CFS154" s="72"/>
      <c r="CFT154" s="72"/>
      <c r="CFU154" s="72"/>
      <c r="CFV154" s="72"/>
      <c r="CFW154" s="72"/>
      <c r="CFX154" s="72"/>
      <c r="CFY154" s="72"/>
      <c r="CFZ154" s="72"/>
      <c r="CGA154" s="72"/>
      <c r="CGB154" s="72"/>
      <c r="CGC154" s="72"/>
      <c r="CGD154" s="72"/>
      <c r="CGE154" s="72"/>
      <c r="CGF154" s="72"/>
      <c r="CGG154" s="72"/>
      <c r="CGH154" s="72"/>
      <c r="CGI154" s="72"/>
      <c r="CGJ154" s="72"/>
      <c r="CGK154" s="72"/>
      <c r="CGL154" s="72"/>
      <c r="CGM154" s="72"/>
      <c r="CGN154" s="72"/>
      <c r="CGO154" s="72"/>
      <c r="CGP154" s="72"/>
      <c r="CGQ154" s="72"/>
      <c r="CGR154" s="72"/>
      <c r="CGS154" s="72"/>
      <c r="CGT154" s="72"/>
      <c r="CGU154" s="72"/>
      <c r="CGV154" s="72"/>
      <c r="CGW154" s="72"/>
      <c r="CGX154" s="72"/>
      <c r="CGY154" s="72"/>
      <c r="CGZ154" s="72"/>
      <c r="CHA154" s="72"/>
      <c r="CHB154" s="72"/>
      <c r="CHC154" s="72"/>
      <c r="CHD154" s="72"/>
      <c r="CHE154" s="72"/>
      <c r="CHF154" s="72"/>
      <c r="CHG154" s="72"/>
      <c r="CHH154" s="72"/>
      <c r="CHI154" s="72"/>
      <c r="CHJ154" s="72"/>
      <c r="CHK154" s="72"/>
      <c r="CHL154" s="72"/>
      <c r="CHM154" s="72"/>
      <c r="CHN154" s="72"/>
      <c r="CHO154" s="72"/>
      <c r="CHP154" s="72"/>
      <c r="CHQ154" s="72"/>
      <c r="CHR154" s="72"/>
      <c r="CHS154" s="72"/>
      <c r="CHT154" s="72"/>
      <c r="CHU154" s="72"/>
      <c r="CHV154" s="72"/>
      <c r="CHW154" s="72"/>
      <c r="CHX154" s="72"/>
      <c r="CHY154" s="72"/>
      <c r="CHZ154" s="72"/>
      <c r="CIA154" s="72"/>
      <c r="CIB154" s="72"/>
      <c r="CIC154" s="72"/>
      <c r="CID154" s="72"/>
      <c r="CIE154" s="72"/>
      <c r="CIF154" s="72"/>
      <c r="CIG154" s="72"/>
      <c r="CIH154" s="72"/>
      <c r="CII154" s="72"/>
      <c r="CIJ154" s="72"/>
      <c r="CIK154" s="72"/>
      <c r="CIL154" s="72"/>
      <c r="CIM154" s="72"/>
      <c r="CIN154" s="72"/>
      <c r="CIO154" s="72"/>
      <c r="CIP154" s="72"/>
      <c r="CIQ154" s="72"/>
      <c r="CIR154" s="72"/>
      <c r="CIS154" s="72"/>
      <c r="CIT154" s="72"/>
      <c r="CIU154" s="72"/>
      <c r="CIV154" s="72"/>
      <c r="CIW154" s="72"/>
      <c r="CIX154" s="72"/>
      <c r="CIY154" s="72"/>
      <c r="CIZ154" s="72"/>
      <c r="CJA154" s="72"/>
      <c r="CJB154" s="72"/>
      <c r="CJC154" s="72"/>
      <c r="CJD154" s="72"/>
      <c r="CJE154" s="72"/>
      <c r="CJF154" s="72"/>
      <c r="CJG154" s="72"/>
      <c r="CJH154" s="72"/>
      <c r="CJI154" s="72"/>
      <c r="CJJ154" s="72"/>
      <c r="CJK154" s="72"/>
      <c r="CJL154" s="72"/>
      <c r="CJM154" s="72"/>
      <c r="CJN154" s="72"/>
      <c r="CJO154" s="72"/>
      <c r="CJP154" s="72"/>
      <c r="CJQ154" s="72"/>
      <c r="CJR154" s="72"/>
      <c r="CJS154" s="72"/>
      <c r="CJT154" s="72"/>
      <c r="CJU154" s="72"/>
      <c r="CJV154" s="72"/>
      <c r="CJW154" s="72"/>
      <c r="CJX154" s="72"/>
      <c r="CJY154" s="72"/>
      <c r="CJZ154" s="72"/>
      <c r="CKA154" s="72"/>
      <c r="CKB154" s="72"/>
      <c r="CKC154" s="72"/>
      <c r="CKD154" s="72"/>
      <c r="CKE154" s="72"/>
      <c r="CKF154" s="72"/>
      <c r="CKG154" s="72"/>
      <c r="CKH154" s="72"/>
      <c r="CKI154" s="72"/>
      <c r="CKJ154" s="72"/>
      <c r="CKK154" s="72"/>
      <c r="CKL154" s="72"/>
      <c r="CKM154" s="72"/>
      <c r="CKN154" s="72"/>
      <c r="CKO154" s="72"/>
      <c r="CKP154" s="72"/>
      <c r="CKQ154" s="72"/>
      <c r="CKR154" s="72"/>
      <c r="CKS154" s="72"/>
      <c r="CKT154" s="72"/>
      <c r="CKU154" s="72"/>
      <c r="CKV154" s="72"/>
      <c r="CKW154" s="72"/>
      <c r="CKX154" s="72"/>
      <c r="CKY154" s="72"/>
      <c r="CKZ154" s="72"/>
      <c r="CLA154" s="72"/>
      <c r="CLB154" s="72"/>
      <c r="CLC154" s="72"/>
      <c r="CLD154" s="72"/>
      <c r="CLE154" s="72"/>
      <c r="CLF154" s="72"/>
      <c r="CLG154" s="72"/>
      <c r="CLH154" s="72"/>
      <c r="CLI154" s="72"/>
      <c r="CLJ154" s="72"/>
      <c r="CLK154" s="72"/>
      <c r="CLL154" s="72"/>
      <c r="CLM154" s="72"/>
      <c r="CLN154" s="72"/>
      <c r="CLO154" s="72"/>
      <c r="CLP154" s="72"/>
      <c r="CLQ154" s="72"/>
      <c r="CLR154" s="72"/>
      <c r="CLS154" s="72"/>
      <c r="CLT154" s="72"/>
      <c r="CLU154" s="72"/>
      <c r="CLV154" s="72"/>
      <c r="CLW154" s="72"/>
      <c r="CLX154" s="72"/>
      <c r="CLY154" s="72"/>
      <c r="CLZ154" s="72"/>
      <c r="CMA154" s="72"/>
      <c r="CMB154" s="72"/>
      <c r="CMC154" s="72"/>
      <c r="CMD154" s="72"/>
      <c r="CME154" s="72"/>
      <c r="CMF154" s="72"/>
      <c r="CMG154" s="72"/>
      <c r="CMH154" s="72"/>
      <c r="CMI154" s="72"/>
      <c r="CMJ154" s="72"/>
      <c r="CMK154" s="72"/>
      <c r="CML154" s="72"/>
      <c r="CMM154" s="72"/>
      <c r="CMN154" s="72"/>
      <c r="CMO154" s="72"/>
      <c r="CMP154" s="72"/>
      <c r="CMQ154" s="72"/>
      <c r="CMR154" s="72"/>
      <c r="CMS154" s="72"/>
      <c r="CMT154" s="72"/>
      <c r="CMU154" s="72"/>
      <c r="CMV154" s="72"/>
      <c r="CMW154" s="72"/>
      <c r="CMX154" s="72"/>
      <c r="CMY154" s="72"/>
      <c r="CMZ154" s="72"/>
      <c r="CNA154" s="72"/>
      <c r="CNB154" s="72"/>
      <c r="CNC154" s="72"/>
      <c r="CND154" s="72"/>
      <c r="CNE154" s="72"/>
      <c r="CNF154" s="72"/>
      <c r="CNG154" s="72"/>
      <c r="CNH154" s="72"/>
      <c r="CNI154" s="72"/>
      <c r="CNJ154" s="72"/>
      <c r="CNK154" s="72"/>
      <c r="CNL154" s="72"/>
      <c r="CNM154" s="72"/>
      <c r="CNN154" s="72"/>
      <c r="CNO154" s="72"/>
      <c r="CNP154" s="72"/>
      <c r="CNQ154" s="72"/>
      <c r="CNR154" s="72"/>
      <c r="CNS154" s="72"/>
      <c r="CNT154" s="72"/>
      <c r="CNU154" s="72"/>
      <c r="CNV154" s="72"/>
      <c r="CNW154" s="72"/>
      <c r="CNX154" s="72"/>
      <c r="CNY154" s="72"/>
      <c r="CNZ154" s="72"/>
      <c r="COA154" s="72"/>
      <c r="COB154" s="72"/>
      <c r="COC154" s="72"/>
      <c r="COD154" s="72"/>
      <c r="COE154" s="72"/>
      <c r="COF154" s="72"/>
      <c r="COG154" s="72"/>
      <c r="COH154" s="72"/>
      <c r="COI154" s="72"/>
      <c r="COJ154" s="72"/>
      <c r="COK154" s="72"/>
      <c r="COL154" s="72"/>
      <c r="COM154" s="72"/>
      <c r="CON154" s="72"/>
      <c r="COO154" s="72"/>
      <c r="COP154" s="72"/>
      <c r="COQ154" s="72"/>
      <c r="COR154" s="72"/>
      <c r="COS154" s="72"/>
      <c r="COT154" s="72"/>
      <c r="COU154" s="72"/>
      <c r="COV154" s="72"/>
      <c r="COW154" s="72"/>
      <c r="COX154" s="72"/>
      <c r="COY154" s="72"/>
      <c r="COZ154" s="72"/>
      <c r="CPA154" s="72"/>
      <c r="CPB154" s="72"/>
      <c r="CPC154" s="72"/>
      <c r="CPD154" s="72"/>
      <c r="CPE154" s="72"/>
      <c r="CPF154" s="72"/>
      <c r="CPG154" s="72"/>
      <c r="CPH154" s="72"/>
      <c r="CPI154" s="72"/>
      <c r="CPJ154" s="72"/>
      <c r="CPK154" s="72"/>
      <c r="CPL154" s="72"/>
      <c r="CPM154" s="72"/>
      <c r="CPN154" s="72"/>
      <c r="CPO154" s="72"/>
      <c r="CPP154" s="72"/>
      <c r="CPQ154" s="72"/>
      <c r="CPR154" s="72"/>
      <c r="CPS154" s="72"/>
      <c r="CPT154" s="72"/>
      <c r="CPU154" s="72"/>
      <c r="CPV154" s="72"/>
      <c r="CPW154" s="72"/>
      <c r="CPX154" s="72"/>
      <c r="CPY154" s="72"/>
      <c r="CPZ154" s="72"/>
      <c r="CQA154" s="72"/>
      <c r="CQB154" s="72"/>
      <c r="CQC154" s="72"/>
      <c r="CQD154" s="72"/>
      <c r="CQE154" s="72"/>
      <c r="CQF154" s="72"/>
      <c r="CQG154" s="72"/>
      <c r="CQH154" s="72"/>
      <c r="CQI154" s="72"/>
      <c r="CQJ154" s="72"/>
      <c r="CQK154" s="72"/>
      <c r="CQL154" s="72"/>
      <c r="CQM154" s="72"/>
      <c r="CQN154" s="72"/>
      <c r="CQO154" s="72"/>
      <c r="CQP154" s="72"/>
      <c r="CQQ154" s="72"/>
      <c r="CQR154" s="72"/>
      <c r="CQS154" s="72"/>
      <c r="CQT154" s="72"/>
      <c r="CQU154" s="72"/>
      <c r="CQV154" s="72"/>
      <c r="CQW154" s="72"/>
      <c r="CQX154" s="72"/>
      <c r="CQY154" s="72"/>
      <c r="CQZ154" s="72"/>
      <c r="CRA154" s="72"/>
      <c r="CRB154" s="72"/>
      <c r="CRC154" s="72"/>
      <c r="CRD154" s="72"/>
      <c r="CRE154" s="72"/>
      <c r="CRF154" s="72"/>
      <c r="CRG154" s="72"/>
      <c r="CRH154" s="72"/>
      <c r="CRI154" s="72"/>
      <c r="CRJ154" s="72"/>
      <c r="CRK154" s="72"/>
      <c r="CRL154" s="72"/>
      <c r="CRM154" s="72"/>
      <c r="CRN154" s="72"/>
      <c r="CRO154" s="72"/>
      <c r="CRP154" s="72"/>
      <c r="CRQ154" s="72"/>
      <c r="CRR154" s="72"/>
      <c r="CRS154" s="72"/>
      <c r="CRT154" s="72"/>
      <c r="CRU154" s="72"/>
      <c r="CRV154" s="72"/>
      <c r="CRW154" s="72"/>
      <c r="CRX154" s="72"/>
      <c r="CRY154" s="72"/>
      <c r="CRZ154" s="72"/>
      <c r="CSA154" s="72"/>
      <c r="CSB154" s="72"/>
      <c r="CSC154" s="72"/>
      <c r="CSD154" s="72"/>
      <c r="CSE154" s="72"/>
      <c r="CSF154" s="72"/>
      <c r="CSG154" s="72"/>
      <c r="CSH154" s="72"/>
      <c r="CSI154" s="72"/>
      <c r="CSJ154" s="72"/>
      <c r="CSK154" s="72"/>
      <c r="CSL154" s="72"/>
      <c r="CSM154" s="72"/>
      <c r="CSN154" s="72"/>
      <c r="CSO154" s="72"/>
      <c r="CSP154" s="72"/>
      <c r="CSQ154" s="72"/>
      <c r="CSR154" s="72"/>
      <c r="CSS154" s="72"/>
      <c r="CST154" s="72"/>
      <c r="CSU154" s="72"/>
      <c r="CSV154" s="72"/>
      <c r="CSW154" s="72"/>
      <c r="CSX154" s="72"/>
      <c r="CSY154" s="72"/>
      <c r="CSZ154" s="72"/>
      <c r="CTA154" s="72"/>
      <c r="CTB154" s="72"/>
      <c r="CTC154" s="72"/>
      <c r="CTD154" s="72"/>
      <c r="CTE154" s="72"/>
      <c r="CTF154" s="72"/>
      <c r="CTG154" s="72"/>
      <c r="CTH154" s="72"/>
      <c r="CTI154" s="72"/>
      <c r="CTJ154" s="72"/>
      <c r="CTK154" s="72"/>
      <c r="CTL154" s="72"/>
      <c r="CTM154" s="72"/>
      <c r="CTN154" s="72"/>
      <c r="CTO154" s="72"/>
      <c r="CTP154" s="72"/>
      <c r="CTQ154" s="72"/>
      <c r="CTR154" s="72"/>
      <c r="CTS154" s="72"/>
      <c r="CTT154" s="72"/>
      <c r="CTU154" s="72"/>
      <c r="CTV154" s="72"/>
      <c r="CTW154" s="72"/>
      <c r="CTX154" s="72"/>
      <c r="CTY154" s="72"/>
      <c r="CTZ154" s="72"/>
      <c r="CUA154" s="72"/>
      <c r="CUB154" s="72"/>
      <c r="CUC154" s="72"/>
      <c r="CUD154" s="72"/>
      <c r="CUE154" s="72"/>
      <c r="CUF154" s="72"/>
      <c r="CUG154" s="72"/>
      <c r="CUH154" s="72"/>
      <c r="CUI154" s="72"/>
      <c r="CUJ154" s="72"/>
      <c r="CUK154" s="72"/>
      <c r="CUL154" s="72"/>
      <c r="CUM154" s="72"/>
      <c r="CUN154" s="72"/>
      <c r="CUO154" s="72"/>
      <c r="CUP154" s="72"/>
      <c r="CUQ154" s="72"/>
      <c r="CUR154" s="72"/>
      <c r="CUS154" s="72"/>
      <c r="CUT154" s="72"/>
      <c r="CUU154" s="72"/>
      <c r="CUV154" s="72"/>
      <c r="CUW154" s="72"/>
      <c r="CUX154" s="72"/>
      <c r="CUY154" s="72"/>
      <c r="CUZ154" s="72"/>
      <c r="CVA154" s="72"/>
      <c r="CVB154" s="72"/>
      <c r="CVC154" s="72"/>
      <c r="CVD154" s="72"/>
      <c r="CVE154" s="72"/>
      <c r="CVF154" s="72"/>
      <c r="CVG154" s="72"/>
      <c r="CVH154" s="72"/>
      <c r="CVI154" s="72"/>
      <c r="CVJ154" s="72"/>
      <c r="CVK154" s="72"/>
      <c r="CVL154" s="72"/>
      <c r="CVM154" s="72"/>
      <c r="CVN154" s="72"/>
      <c r="CVO154" s="72"/>
      <c r="CVP154" s="72"/>
      <c r="CVQ154" s="72"/>
      <c r="CVR154" s="72"/>
      <c r="CVS154" s="72"/>
      <c r="CVT154" s="72"/>
      <c r="CVU154" s="72"/>
      <c r="CVV154" s="72"/>
      <c r="CVW154" s="72"/>
      <c r="CVX154" s="72"/>
      <c r="CVY154" s="72"/>
      <c r="CVZ154" s="72"/>
      <c r="CWA154" s="72"/>
      <c r="CWB154" s="72"/>
      <c r="CWC154" s="72"/>
      <c r="CWD154" s="72"/>
      <c r="CWE154" s="72"/>
      <c r="CWF154" s="72"/>
      <c r="CWG154" s="72"/>
      <c r="CWH154" s="72"/>
      <c r="CWI154" s="72"/>
      <c r="CWJ154" s="72"/>
      <c r="CWK154" s="72"/>
      <c r="CWL154" s="72"/>
      <c r="CWM154" s="72"/>
      <c r="CWN154" s="72"/>
      <c r="CWO154" s="72"/>
      <c r="CWP154" s="72"/>
      <c r="CWQ154" s="72"/>
      <c r="CWR154" s="72"/>
      <c r="CWS154" s="72"/>
      <c r="CWT154" s="72"/>
      <c r="CWU154" s="72"/>
      <c r="CWV154" s="72"/>
      <c r="CWW154" s="72"/>
      <c r="CWX154" s="72"/>
      <c r="CWY154" s="72"/>
      <c r="CWZ154" s="72"/>
      <c r="CXA154" s="72"/>
      <c r="CXB154" s="72"/>
      <c r="CXC154" s="72"/>
      <c r="CXD154" s="72"/>
      <c r="CXE154" s="72"/>
      <c r="CXF154" s="72"/>
      <c r="CXG154" s="72"/>
      <c r="CXH154" s="72"/>
      <c r="CXI154" s="72"/>
      <c r="CXJ154" s="72"/>
      <c r="CXK154" s="72"/>
      <c r="CXL154" s="72"/>
      <c r="CXM154" s="72"/>
      <c r="CXN154" s="72"/>
      <c r="CXO154" s="72"/>
      <c r="CXP154" s="72"/>
      <c r="CXQ154" s="72"/>
      <c r="CXR154" s="72"/>
      <c r="CXS154" s="72"/>
      <c r="CXT154" s="72"/>
      <c r="CXU154" s="72"/>
      <c r="CXV154" s="72"/>
      <c r="CXW154" s="72"/>
      <c r="CXX154" s="72"/>
      <c r="CXY154" s="72"/>
      <c r="CXZ154" s="72"/>
      <c r="CYA154" s="72"/>
      <c r="CYB154" s="72"/>
      <c r="CYC154" s="72"/>
      <c r="CYD154" s="72"/>
      <c r="CYE154" s="72"/>
      <c r="CYF154" s="72"/>
      <c r="CYG154" s="72"/>
      <c r="CYH154" s="72"/>
      <c r="CYI154" s="72"/>
      <c r="CYJ154" s="72"/>
      <c r="CYK154" s="72"/>
      <c r="CYL154" s="72"/>
      <c r="CYM154" s="72"/>
      <c r="CYN154" s="72"/>
      <c r="CYO154" s="72"/>
      <c r="CYP154" s="72"/>
      <c r="CYQ154" s="72"/>
      <c r="CYR154" s="72"/>
      <c r="CYS154" s="72"/>
      <c r="CYT154" s="72"/>
      <c r="CYU154" s="72"/>
      <c r="CYV154" s="72"/>
      <c r="CYW154" s="72"/>
      <c r="CYX154" s="72"/>
      <c r="CYY154" s="72"/>
      <c r="CYZ154" s="72"/>
      <c r="CZA154" s="72"/>
      <c r="CZB154" s="72"/>
      <c r="CZC154" s="72"/>
      <c r="CZD154" s="72"/>
      <c r="CZE154" s="72"/>
      <c r="CZF154" s="72"/>
      <c r="CZG154" s="72"/>
      <c r="CZH154" s="72"/>
      <c r="CZI154" s="72"/>
      <c r="CZJ154" s="72"/>
      <c r="CZK154" s="72"/>
      <c r="CZL154" s="72"/>
      <c r="CZM154" s="72"/>
      <c r="CZN154" s="72"/>
      <c r="CZO154" s="72"/>
      <c r="CZP154" s="72"/>
      <c r="CZQ154" s="72"/>
      <c r="CZR154" s="72"/>
      <c r="CZS154" s="72"/>
      <c r="CZT154" s="72"/>
      <c r="CZU154" s="72"/>
      <c r="CZV154" s="72"/>
      <c r="CZW154" s="72"/>
      <c r="CZX154" s="72"/>
      <c r="CZY154" s="72"/>
      <c r="CZZ154" s="72"/>
      <c r="DAA154" s="72"/>
      <c r="DAB154" s="72"/>
      <c r="DAC154" s="72"/>
      <c r="DAD154" s="72"/>
      <c r="DAE154" s="72"/>
      <c r="DAF154" s="72"/>
      <c r="DAG154" s="72"/>
      <c r="DAH154" s="72"/>
      <c r="DAI154" s="72"/>
      <c r="DAJ154" s="72"/>
      <c r="DAK154" s="72"/>
      <c r="DAL154" s="72"/>
      <c r="DAM154" s="72"/>
      <c r="DAN154" s="72"/>
      <c r="DAO154" s="72"/>
      <c r="DAP154" s="72"/>
      <c r="DAQ154" s="72"/>
      <c r="DAR154" s="72"/>
      <c r="DAS154" s="72"/>
      <c r="DAT154" s="72"/>
      <c r="DAU154" s="72"/>
      <c r="DAV154" s="72"/>
      <c r="DAW154" s="72"/>
      <c r="DAX154" s="72"/>
      <c r="DAY154" s="72"/>
      <c r="DAZ154" s="72"/>
      <c r="DBA154" s="72"/>
      <c r="DBB154" s="72"/>
      <c r="DBC154" s="72"/>
      <c r="DBD154" s="72"/>
      <c r="DBE154" s="72"/>
      <c r="DBF154" s="72"/>
      <c r="DBG154" s="72"/>
      <c r="DBH154" s="72"/>
      <c r="DBI154" s="72"/>
      <c r="DBJ154" s="72"/>
      <c r="DBK154" s="72"/>
      <c r="DBL154" s="72"/>
      <c r="DBM154" s="72"/>
      <c r="DBN154" s="72"/>
      <c r="DBO154" s="72"/>
      <c r="DBP154" s="72"/>
      <c r="DBQ154" s="72"/>
      <c r="DBR154" s="72"/>
      <c r="DBS154" s="72"/>
      <c r="DBT154" s="72"/>
      <c r="DBU154" s="72"/>
      <c r="DBV154" s="72"/>
      <c r="DBW154" s="72"/>
      <c r="DBX154" s="72"/>
      <c r="DBY154" s="72"/>
      <c r="DBZ154" s="72"/>
      <c r="DCA154" s="72"/>
      <c r="DCB154" s="72"/>
      <c r="DCC154" s="72"/>
      <c r="DCD154" s="72"/>
      <c r="DCE154" s="72"/>
      <c r="DCF154" s="72"/>
      <c r="DCG154" s="72"/>
      <c r="DCH154" s="72"/>
      <c r="DCI154" s="72"/>
      <c r="DCJ154" s="72"/>
      <c r="DCK154" s="72"/>
      <c r="DCL154" s="72"/>
      <c r="DCM154" s="72"/>
      <c r="DCN154" s="72"/>
      <c r="DCO154" s="72"/>
      <c r="DCP154" s="72"/>
      <c r="DCQ154" s="72"/>
      <c r="DCR154" s="72"/>
      <c r="DCS154" s="72"/>
      <c r="DCT154" s="72"/>
      <c r="DCU154" s="72"/>
      <c r="DCV154" s="72"/>
      <c r="DCW154" s="72"/>
      <c r="DCX154" s="72"/>
      <c r="DCY154" s="72"/>
      <c r="DCZ154" s="72"/>
      <c r="DDA154" s="72"/>
      <c r="DDB154" s="72"/>
      <c r="DDC154" s="72"/>
      <c r="DDD154" s="72"/>
      <c r="DDE154" s="72"/>
      <c r="DDF154" s="72"/>
      <c r="DDG154" s="72"/>
      <c r="DDH154" s="72"/>
      <c r="DDI154" s="72"/>
      <c r="DDJ154" s="72"/>
      <c r="DDK154" s="72"/>
      <c r="DDL154" s="72"/>
      <c r="DDM154" s="72"/>
      <c r="DDN154" s="72"/>
      <c r="DDO154" s="72"/>
      <c r="DDP154" s="72"/>
      <c r="DDQ154" s="72"/>
      <c r="DDR154" s="72"/>
      <c r="DDS154" s="72"/>
      <c r="DDT154" s="72"/>
      <c r="DDU154" s="72"/>
      <c r="DDV154" s="72"/>
      <c r="DDW154" s="72"/>
      <c r="DDX154" s="72"/>
      <c r="DDY154" s="72"/>
      <c r="DDZ154" s="72"/>
      <c r="DEA154" s="72"/>
      <c r="DEB154" s="72"/>
      <c r="DEC154" s="72"/>
      <c r="DED154" s="72"/>
      <c r="DEE154" s="72"/>
      <c r="DEF154" s="72"/>
      <c r="DEG154" s="72"/>
      <c r="DEH154" s="72"/>
      <c r="DEI154" s="72"/>
      <c r="DEJ154" s="72"/>
      <c r="DEK154" s="72"/>
      <c r="DEL154" s="72"/>
      <c r="DEM154" s="72"/>
      <c r="DEN154" s="72"/>
      <c r="DEO154" s="72"/>
      <c r="DEP154" s="72"/>
      <c r="DEQ154" s="72"/>
      <c r="DER154" s="72"/>
      <c r="DES154" s="72"/>
      <c r="DET154" s="72"/>
      <c r="DEU154" s="72"/>
      <c r="DEV154" s="72"/>
      <c r="DEW154" s="72"/>
      <c r="DEX154" s="72"/>
      <c r="DEY154" s="72"/>
      <c r="DEZ154" s="72"/>
      <c r="DFA154" s="72"/>
      <c r="DFB154" s="72"/>
      <c r="DFC154" s="72"/>
      <c r="DFD154" s="72"/>
      <c r="DFE154" s="72"/>
      <c r="DFF154" s="72"/>
      <c r="DFG154" s="72"/>
      <c r="DFH154" s="72"/>
      <c r="DFI154" s="72"/>
      <c r="DFJ154" s="72"/>
      <c r="DFK154" s="72"/>
      <c r="DFL154" s="72"/>
      <c r="DFM154" s="72"/>
      <c r="DFN154" s="72"/>
      <c r="DFO154" s="72"/>
      <c r="DFP154" s="72"/>
      <c r="DFQ154" s="72"/>
      <c r="DFR154" s="72"/>
      <c r="DFS154" s="72"/>
      <c r="DFT154" s="72"/>
      <c r="DFU154" s="72"/>
      <c r="DFV154" s="72"/>
      <c r="DFW154" s="72"/>
      <c r="DFX154" s="72"/>
      <c r="DFY154" s="72"/>
      <c r="DFZ154" s="72"/>
      <c r="DGA154" s="72"/>
      <c r="DGB154" s="72"/>
      <c r="DGC154" s="72"/>
      <c r="DGD154" s="72"/>
      <c r="DGE154" s="72"/>
      <c r="DGF154" s="72"/>
      <c r="DGG154" s="72"/>
      <c r="DGH154" s="72"/>
      <c r="DGI154" s="72"/>
      <c r="DGJ154" s="72"/>
      <c r="DGK154" s="72"/>
      <c r="DGL154" s="72"/>
      <c r="DGM154" s="72"/>
      <c r="DGN154" s="72"/>
      <c r="DGO154" s="72"/>
      <c r="DGP154" s="72"/>
      <c r="DGQ154" s="72"/>
      <c r="DGR154" s="72"/>
      <c r="DGS154" s="72"/>
      <c r="DGT154" s="72"/>
      <c r="DGU154" s="72"/>
      <c r="DGV154" s="72"/>
      <c r="DGW154" s="72"/>
      <c r="DGX154" s="72"/>
      <c r="DGY154" s="72"/>
      <c r="DGZ154" s="72"/>
      <c r="DHA154" s="72"/>
      <c r="DHB154" s="72"/>
      <c r="DHC154" s="72"/>
      <c r="DHD154" s="72"/>
      <c r="DHE154" s="72"/>
      <c r="DHF154" s="72"/>
      <c r="DHG154" s="72"/>
      <c r="DHH154" s="72"/>
      <c r="DHI154" s="72"/>
      <c r="DHJ154" s="72"/>
      <c r="DHK154" s="72"/>
      <c r="DHL154" s="72"/>
      <c r="DHM154" s="72"/>
      <c r="DHN154" s="72"/>
      <c r="DHO154" s="72"/>
      <c r="DHP154" s="72"/>
      <c r="DHQ154" s="72"/>
      <c r="DHR154" s="72"/>
      <c r="DHS154" s="72"/>
      <c r="DHT154" s="72"/>
      <c r="DHU154" s="72"/>
      <c r="DHV154" s="72"/>
      <c r="DHW154" s="72"/>
      <c r="DHX154" s="72"/>
      <c r="DHY154" s="72"/>
      <c r="DHZ154" s="72"/>
      <c r="DIA154" s="72"/>
      <c r="DIB154" s="72"/>
      <c r="DIC154" s="72"/>
      <c r="DID154" s="72"/>
      <c r="DIE154" s="72"/>
      <c r="DIF154" s="72"/>
      <c r="DIG154" s="72"/>
      <c r="DIH154" s="72"/>
      <c r="DII154" s="72"/>
      <c r="DIJ154" s="72"/>
      <c r="DIK154" s="72"/>
      <c r="DIL154" s="72"/>
      <c r="DIM154" s="72"/>
      <c r="DIN154" s="72"/>
      <c r="DIO154" s="72"/>
      <c r="DIP154" s="72"/>
      <c r="DIQ154" s="72"/>
      <c r="DIR154" s="72"/>
      <c r="DIS154" s="72"/>
      <c r="DIT154" s="72"/>
      <c r="DIU154" s="72"/>
      <c r="DIV154" s="72"/>
      <c r="DIW154" s="72"/>
      <c r="DIX154" s="72"/>
      <c r="DIY154" s="72"/>
      <c r="DIZ154" s="72"/>
      <c r="DJA154" s="72"/>
      <c r="DJB154" s="72"/>
      <c r="DJC154" s="72"/>
      <c r="DJD154" s="72"/>
      <c r="DJE154" s="72"/>
      <c r="DJF154" s="72"/>
      <c r="DJG154" s="72"/>
      <c r="DJH154" s="72"/>
      <c r="DJI154" s="72"/>
      <c r="DJJ154" s="72"/>
      <c r="DJK154" s="72"/>
      <c r="DJL154" s="72"/>
      <c r="DJM154" s="72"/>
      <c r="DJN154" s="72"/>
      <c r="DJO154" s="72"/>
      <c r="DJP154" s="72"/>
      <c r="DJQ154" s="72"/>
      <c r="DJR154" s="72"/>
      <c r="DJS154" s="72"/>
      <c r="DJT154" s="72"/>
      <c r="DJU154" s="72"/>
      <c r="DJV154" s="72"/>
      <c r="DJW154" s="72"/>
      <c r="DJX154" s="72"/>
      <c r="DJY154" s="72"/>
      <c r="DJZ154" s="72"/>
      <c r="DKA154" s="72"/>
      <c r="DKB154" s="72"/>
      <c r="DKC154" s="72"/>
      <c r="DKD154" s="72"/>
      <c r="DKE154" s="72"/>
      <c r="DKF154" s="72"/>
      <c r="DKG154" s="72"/>
      <c r="DKH154" s="72"/>
      <c r="DKI154" s="72"/>
      <c r="DKJ154" s="72"/>
      <c r="DKK154" s="72"/>
      <c r="DKL154" s="72"/>
      <c r="DKM154" s="72"/>
      <c r="DKN154" s="72"/>
      <c r="DKO154" s="72"/>
      <c r="DKP154" s="72"/>
      <c r="DKQ154" s="72"/>
      <c r="DKR154" s="72"/>
      <c r="DKS154" s="72"/>
      <c r="DKT154" s="72"/>
      <c r="DKU154" s="72"/>
      <c r="DKV154" s="72"/>
      <c r="DKW154" s="72"/>
      <c r="DKX154" s="72"/>
      <c r="DKY154" s="72"/>
      <c r="DKZ154" s="72"/>
      <c r="DLA154" s="72"/>
      <c r="DLB154" s="72"/>
      <c r="DLC154" s="72"/>
      <c r="DLD154" s="72"/>
      <c r="DLE154" s="72"/>
      <c r="DLF154" s="72"/>
      <c r="DLG154" s="72"/>
      <c r="DLH154" s="72"/>
      <c r="DLI154" s="72"/>
      <c r="DLJ154" s="72"/>
      <c r="DLK154" s="72"/>
      <c r="DLL154" s="72"/>
      <c r="DLM154" s="72"/>
      <c r="DLN154" s="72"/>
      <c r="DLO154" s="72"/>
      <c r="DLP154" s="72"/>
      <c r="DLQ154" s="72"/>
      <c r="DLR154" s="72"/>
      <c r="DLS154" s="72"/>
      <c r="DLT154" s="72"/>
      <c r="DLU154" s="72"/>
      <c r="DLV154" s="72"/>
      <c r="DLW154" s="72"/>
      <c r="DLX154" s="72"/>
      <c r="DLY154" s="72"/>
      <c r="DLZ154" s="72"/>
      <c r="DMA154" s="72"/>
      <c r="DMB154" s="72"/>
      <c r="DMC154" s="72"/>
      <c r="DMD154" s="72"/>
      <c r="DME154" s="72"/>
      <c r="DMF154" s="72"/>
      <c r="DMG154" s="72"/>
      <c r="DMH154" s="72"/>
      <c r="DMI154" s="72"/>
      <c r="DMJ154" s="72"/>
      <c r="DMK154" s="72"/>
      <c r="DML154" s="72"/>
      <c r="DMM154" s="72"/>
      <c r="DMN154" s="72"/>
      <c r="DMO154" s="72"/>
      <c r="DMP154" s="72"/>
      <c r="DMQ154" s="72"/>
      <c r="DMR154" s="72"/>
      <c r="DMS154" s="72"/>
      <c r="DMT154" s="72"/>
      <c r="DMU154" s="72"/>
      <c r="DMV154" s="72"/>
      <c r="DMW154" s="72"/>
      <c r="DMX154" s="72"/>
      <c r="DMY154" s="72"/>
      <c r="DMZ154" s="72"/>
      <c r="DNA154" s="72"/>
      <c r="DNB154" s="72"/>
      <c r="DNC154" s="72"/>
      <c r="DND154" s="72"/>
      <c r="DNE154" s="72"/>
      <c r="DNF154" s="72"/>
      <c r="DNG154" s="72"/>
      <c r="DNH154" s="72"/>
      <c r="DNI154" s="72"/>
      <c r="DNJ154" s="72"/>
      <c r="DNK154" s="72"/>
      <c r="DNL154" s="72"/>
      <c r="DNM154" s="72"/>
      <c r="DNN154" s="72"/>
      <c r="DNO154" s="72"/>
      <c r="DNP154" s="72"/>
      <c r="DNQ154" s="72"/>
      <c r="DNR154" s="72"/>
      <c r="DNS154" s="72"/>
      <c r="DNT154" s="72"/>
      <c r="DNU154" s="72"/>
      <c r="DNV154" s="72"/>
      <c r="DNW154" s="72"/>
      <c r="DNX154" s="72"/>
      <c r="DNY154" s="72"/>
      <c r="DNZ154" s="72"/>
      <c r="DOA154" s="72"/>
      <c r="DOB154" s="72"/>
      <c r="DOC154" s="72"/>
      <c r="DOD154" s="72"/>
      <c r="DOE154" s="72"/>
      <c r="DOF154" s="72"/>
      <c r="DOG154" s="72"/>
      <c r="DOH154" s="72"/>
      <c r="DOI154" s="72"/>
      <c r="DOJ154" s="72"/>
      <c r="DOK154" s="72"/>
      <c r="DOL154" s="72"/>
      <c r="DOM154" s="72"/>
      <c r="DON154" s="72"/>
      <c r="DOO154" s="72"/>
      <c r="DOP154" s="72"/>
      <c r="DOQ154" s="72"/>
      <c r="DOR154" s="72"/>
      <c r="DOS154" s="72"/>
      <c r="DOT154" s="72"/>
      <c r="DOU154" s="72"/>
      <c r="DOV154" s="72"/>
      <c r="DOW154" s="72"/>
      <c r="DOX154" s="72"/>
      <c r="DOY154" s="72"/>
      <c r="DOZ154" s="72"/>
      <c r="DPA154" s="72"/>
      <c r="DPB154" s="72"/>
      <c r="DPC154" s="72"/>
      <c r="DPD154" s="72"/>
      <c r="DPE154" s="72"/>
      <c r="DPF154" s="72"/>
      <c r="DPG154" s="72"/>
      <c r="DPH154" s="72"/>
      <c r="DPI154" s="72"/>
      <c r="DPJ154" s="72"/>
      <c r="DPK154" s="72"/>
      <c r="DPL154" s="72"/>
      <c r="DPM154" s="72"/>
      <c r="DPN154" s="72"/>
      <c r="DPO154" s="72"/>
      <c r="DPP154" s="72"/>
      <c r="DPQ154" s="72"/>
      <c r="DPR154" s="72"/>
      <c r="DPS154" s="72"/>
      <c r="DPT154" s="72"/>
      <c r="DPU154" s="72"/>
      <c r="DPV154" s="72"/>
      <c r="DPW154" s="72"/>
      <c r="DPX154" s="72"/>
      <c r="DPY154" s="72"/>
      <c r="DPZ154" s="72"/>
      <c r="DQA154" s="72"/>
      <c r="DQB154" s="72"/>
      <c r="DQC154" s="72"/>
      <c r="DQD154" s="72"/>
      <c r="DQE154" s="72"/>
      <c r="DQF154" s="72"/>
      <c r="DQG154" s="72"/>
      <c r="DQH154" s="72"/>
      <c r="DQI154" s="72"/>
      <c r="DQJ154" s="72"/>
      <c r="DQK154" s="72"/>
      <c r="DQL154" s="72"/>
      <c r="DQM154" s="72"/>
      <c r="DQN154" s="72"/>
      <c r="DQO154" s="72"/>
      <c r="DQP154" s="72"/>
      <c r="DQQ154" s="72"/>
      <c r="DQR154" s="72"/>
      <c r="DQS154" s="72"/>
      <c r="DQT154" s="72"/>
      <c r="DQU154" s="72"/>
      <c r="DQV154" s="72"/>
      <c r="DQW154" s="72"/>
      <c r="DQX154" s="72"/>
      <c r="DQY154" s="72"/>
      <c r="DQZ154" s="72"/>
      <c r="DRA154" s="72"/>
      <c r="DRB154" s="72"/>
      <c r="DRC154" s="72"/>
      <c r="DRD154" s="72"/>
      <c r="DRE154" s="72"/>
      <c r="DRF154" s="72"/>
      <c r="DRG154" s="72"/>
      <c r="DRH154" s="72"/>
      <c r="DRI154" s="72"/>
      <c r="DRJ154" s="72"/>
      <c r="DRK154" s="72"/>
      <c r="DRL154" s="72"/>
      <c r="DRM154" s="72"/>
      <c r="DRN154" s="72"/>
      <c r="DRO154" s="72"/>
      <c r="DRP154" s="72"/>
      <c r="DRQ154" s="72"/>
      <c r="DRR154" s="72"/>
      <c r="DRS154" s="72"/>
      <c r="DRT154" s="72"/>
      <c r="DRU154" s="72"/>
      <c r="DRV154" s="72"/>
      <c r="DRW154" s="72"/>
      <c r="DRX154" s="72"/>
      <c r="DRY154" s="72"/>
      <c r="DRZ154" s="72"/>
      <c r="DSA154" s="72"/>
      <c r="DSB154" s="72"/>
      <c r="DSC154" s="72"/>
      <c r="DSD154" s="72"/>
      <c r="DSE154" s="72"/>
      <c r="DSF154" s="72"/>
      <c r="DSG154" s="72"/>
      <c r="DSH154" s="72"/>
      <c r="DSI154" s="72"/>
      <c r="DSJ154" s="72"/>
      <c r="DSK154" s="72"/>
      <c r="DSL154" s="72"/>
      <c r="DSM154" s="72"/>
      <c r="DSN154" s="72"/>
      <c r="DSO154" s="72"/>
      <c r="DSP154" s="72"/>
      <c r="DSQ154" s="72"/>
      <c r="DSR154" s="72"/>
      <c r="DSS154" s="72"/>
      <c r="DST154" s="72"/>
      <c r="DSU154" s="72"/>
      <c r="DSV154" s="72"/>
      <c r="DSW154" s="72"/>
      <c r="DSX154" s="72"/>
      <c r="DSY154" s="72"/>
      <c r="DSZ154" s="72"/>
      <c r="DTA154" s="72"/>
      <c r="DTB154" s="72"/>
      <c r="DTC154" s="72"/>
      <c r="DTD154" s="72"/>
      <c r="DTE154" s="72"/>
      <c r="DTF154" s="72"/>
      <c r="DTG154" s="72"/>
      <c r="DTH154" s="72"/>
      <c r="DTI154" s="72"/>
      <c r="DTJ154" s="72"/>
      <c r="DTK154" s="72"/>
      <c r="DTL154" s="72"/>
      <c r="DTM154" s="72"/>
      <c r="DTN154" s="72"/>
      <c r="DTO154" s="72"/>
      <c r="DTP154" s="72"/>
      <c r="DTQ154" s="72"/>
      <c r="DTR154" s="72"/>
      <c r="DTS154" s="72"/>
      <c r="DTT154" s="72"/>
      <c r="DTU154" s="72"/>
      <c r="DTV154" s="72"/>
      <c r="DTW154" s="72"/>
      <c r="DTX154" s="72"/>
      <c r="DTY154" s="72"/>
      <c r="DTZ154" s="72"/>
      <c r="DUA154" s="72"/>
      <c r="DUB154" s="72"/>
      <c r="DUC154" s="72"/>
      <c r="DUD154" s="72"/>
      <c r="DUE154" s="72"/>
      <c r="DUF154" s="72"/>
      <c r="DUG154" s="72"/>
      <c r="DUH154" s="72"/>
      <c r="DUI154" s="72"/>
      <c r="DUJ154" s="72"/>
      <c r="DUK154" s="72"/>
      <c r="DUL154" s="72"/>
      <c r="DUM154" s="72"/>
      <c r="DUN154" s="72"/>
      <c r="DUO154" s="72"/>
      <c r="DUP154" s="72"/>
      <c r="DUQ154" s="72"/>
      <c r="DUR154" s="72"/>
      <c r="DUS154" s="72"/>
      <c r="DUT154" s="72"/>
      <c r="DUU154" s="72"/>
      <c r="DUV154" s="72"/>
      <c r="DUW154" s="72"/>
      <c r="DUX154" s="72"/>
      <c r="DUY154" s="72"/>
      <c r="DUZ154" s="72"/>
      <c r="DVA154" s="72"/>
      <c r="DVB154" s="72"/>
      <c r="DVC154" s="72"/>
      <c r="DVD154" s="72"/>
      <c r="DVE154" s="72"/>
      <c r="DVF154" s="72"/>
      <c r="DVG154" s="72"/>
      <c r="DVH154" s="72"/>
      <c r="DVI154" s="72"/>
      <c r="DVJ154" s="72"/>
      <c r="DVK154" s="72"/>
      <c r="DVL154" s="72"/>
      <c r="DVM154" s="72"/>
      <c r="DVN154" s="72"/>
      <c r="DVO154" s="72"/>
      <c r="DVP154" s="72"/>
      <c r="DVQ154" s="72"/>
      <c r="DVR154" s="72"/>
      <c r="DVS154" s="72"/>
      <c r="DVT154" s="72"/>
      <c r="DVU154" s="72"/>
      <c r="DVV154" s="72"/>
      <c r="DVW154" s="72"/>
      <c r="DVX154" s="72"/>
      <c r="DVY154" s="72"/>
      <c r="DVZ154" s="72"/>
      <c r="DWA154" s="72"/>
      <c r="DWB154" s="72"/>
      <c r="DWC154" s="72"/>
      <c r="DWD154" s="72"/>
      <c r="DWE154" s="72"/>
      <c r="DWF154" s="72"/>
      <c r="DWG154" s="72"/>
      <c r="DWH154" s="72"/>
      <c r="DWI154" s="72"/>
      <c r="DWJ154" s="72"/>
      <c r="DWK154" s="72"/>
      <c r="DWL154" s="72"/>
      <c r="DWM154" s="72"/>
      <c r="DWN154" s="72"/>
      <c r="DWO154" s="72"/>
      <c r="DWP154" s="72"/>
      <c r="DWQ154" s="72"/>
      <c r="DWR154" s="72"/>
      <c r="DWS154" s="72"/>
      <c r="DWT154" s="72"/>
      <c r="DWU154" s="72"/>
      <c r="DWV154" s="72"/>
      <c r="DWW154" s="72"/>
      <c r="DWX154" s="72"/>
      <c r="DWY154" s="72"/>
      <c r="DWZ154" s="72"/>
      <c r="DXA154" s="72"/>
      <c r="DXB154" s="72"/>
      <c r="DXC154" s="72"/>
      <c r="DXD154" s="72"/>
      <c r="DXE154" s="72"/>
      <c r="DXF154" s="72"/>
      <c r="DXG154" s="72"/>
      <c r="DXH154" s="72"/>
      <c r="DXI154" s="72"/>
      <c r="DXJ154" s="72"/>
      <c r="DXK154" s="72"/>
      <c r="DXL154" s="72"/>
      <c r="DXM154" s="72"/>
      <c r="DXN154" s="72"/>
      <c r="DXO154" s="72"/>
      <c r="DXP154" s="72"/>
      <c r="DXQ154" s="72"/>
      <c r="DXR154" s="72"/>
      <c r="DXS154" s="72"/>
      <c r="DXT154" s="72"/>
      <c r="DXU154" s="72"/>
      <c r="DXV154" s="72"/>
      <c r="DXW154" s="72"/>
      <c r="DXX154" s="72"/>
      <c r="DXY154" s="72"/>
      <c r="DXZ154" s="72"/>
      <c r="DYA154" s="72"/>
      <c r="DYB154" s="72"/>
      <c r="DYC154" s="72"/>
      <c r="DYD154" s="72"/>
      <c r="DYE154" s="72"/>
      <c r="DYF154" s="72"/>
      <c r="DYG154" s="72"/>
      <c r="DYH154" s="72"/>
      <c r="DYI154" s="72"/>
      <c r="DYJ154" s="72"/>
      <c r="DYK154" s="72"/>
      <c r="DYL154" s="72"/>
      <c r="DYM154" s="72"/>
      <c r="DYN154" s="72"/>
      <c r="DYO154" s="72"/>
      <c r="DYP154" s="72"/>
      <c r="DYQ154" s="72"/>
      <c r="DYR154" s="72"/>
      <c r="DYS154" s="72"/>
      <c r="DYT154" s="72"/>
      <c r="DYU154" s="72"/>
      <c r="DYV154" s="72"/>
      <c r="DYW154" s="72"/>
      <c r="DYX154" s="72"/>
      <c r="DYY154" s="72"/>
      <c r="DYZ154" s="72"/>
      <c r="DZA154" s="72"/>
      <c r="DZB154" s="72"/>
      <c r="DZC154" s="72"/>
      <c r="DZD154" s="72"/>
      <c r="DZE154" s="72"/>
      <c r="DZF154" s="72"/>
      <c r="DZG154" s="72"/>
      <c r="DZH154" s="72"/>
      <c r="DZI154" s="72"/>
      <c r="DZJ154" s="72"/>
      <c r="DZK154" s="72"/>
      <c r="DZL154" s="72"/>
      <c r="DZM154" s="72"/>
      <c r="DZN154" s="72"/>
      <c r="DZO154" s="72"/>
      <c r="DZP154" s="72"/>
      <c r="DZQ154" s="72"/>
      <c r="DZR154" s="72"/>
      <c r="DZS154" s="72"/>
      <c r="DZT154" s="72"/>
      <c r="DZU154" s="72"/>
      <c r="DZV154" s="72"/>
      <c r="DZW154" s="72"/>
      <c r="DZX154" s="72"/>
      <c r="DZY154" s="72"/>
      <c r="DZZ154" s="72"/>
      <c r="EAA154" s="72"/>
      <c r="EAB154" s="72"/>
      <c r="EAC154" s="72"/>
      <c r="EAD154" s="72"/>
      <c r="EAE154" s="72"/>
      <c r="EAF154" s="72"/>
      <c r="EAG154" s="72"/>
      <c r="EAH154" s="72"/>
      <c r="EAI154" s="72"/>
      <c r="EAJ154" s="72"/>
      <c r="EAK154" s="72"/>
      <c r="EAL154" s="72"/>
      <c r="EAM154" s="72"/>
      <c r="EAN154" s="72"/>
      <c r="EAO154" s="72"/>
      <c r="EAP154" s="72"/>
      <c r="EAQ154" s="72"/>
      <c r="EAR154" s="72"/>
      <c r="EAS154" s="72"/>
      <c r="EAT154" s="72"/>
      <c r="EAU154" s="72"/>
      <c r="EAV154" s="72"/>
      <c r="EAW154" s="72"/>
      <c r="EAX154" s="72"/>
      <c r="EAY154" s="72"/>
      <c r="EAZ154" s="72"/>
      <c r="EBA154" s="72"/>
      <c r="EBB154" s="72"/>
      <c r="EBC154" s="72"/>
      <c r="EBD154" s="72"/>
      <c r="EBE154" s="72"/>
      <c r="EBF154" s="72"/>
      <c r="EBG154" s="72"/>
      <c r="EBH154" s="72"/>
      <c r="EBI154" s="72"/>
      <c r="EBJ154" s="72"/>
      <c r="EBK154" s="72"/>
      <c r="EBL154" s="72"/>
      <c r="EBM154" s="72"/>
      <c r="EBN154" s="72"/>
      <c r="EBO154" s="72"/>
      <c r="EBP154" s="72"/>
      <c r="EBQ154" s="72"/>
      <c r="EBR154" s="72"/>
      <c r="EBS154" s="72"/>
      <c r="EBT154" s="72"/>
      <c r="EBU154" s="72"/>
      <c r="EBV154" s="72"/>
      <c r="EBW154" s="72"/>
      <c r="EBX154" s="72"/>
      <c r="EBY154" s="72"/>
      <c r="EBZ154" s="72"/>
      <c r="ECA154" s="72"/>
      <c r="ECB154" s="72"/>
      <c r="ECC154" s="72"/>
      <c r="ECD154" s="72"/>
      <c r="ECE154" s="72"/>
      <c r="ECF154" s="72"/>
      <c r="ECG154" s="72"/>
      <c r="ECH154" s="72"/>
      <c r="ECI154" s="72"/>
      <c r="ECJ154" s="72"/>
      <c r="ECK154" s="72"/>
      <c r="ECL154" s="72"/>
      <c r="ECM154" s="72"/>
      <c r="ECN154" s="72"/>
      <c r="ECO154" s="72"/>
      <c r="ECP154" s="72"/>
      <c r="ECQ154" s="72"/>
      <c r="ECR154" s="72"/>
      <c r="ECS154" s="72"/>
      <c r="ECT154" s="72"/>
      <c r="ECU154" s="72"/>
      <c r="ECV154" s="72"/>
      <c r="ECW154" s="72"/>
      <c r="ECX154" s="72"/>
      <c r="ECY154" s="72"/>
      <c r="ECZ154" s="72"/>
      <c r="EDA154" s="72"/>
      <c r="EDB154" s="72"/>
      <c r="EDC154" s="72"/>
      <c r="EDD154" s="72"/>
      <c r="EDE154" s="72"/>
      <c r="EDF154" s="72"/>
      <c r="EDG154" s="72"/>
      <c r="EDH154" s="72"/>
      <c r="EDI154" s="72"/>
      <c r="EDJ154" s="72"/>
      <c r="EDK154" s="72"/>
      <c r="EDL154" s="72"/>
      <c r="EDM154" s="72"/>
      <c r="EDN154" s="72"/>
      <c r="EDO154" s="72"/>
      <c r="EDP154" s="72"/>
      <c r="EDQ154" s="72"/>
      <c r="EDR154" s="72"/>
      <c r="EDS154" s="72"/>
      <c r="EDT154" s="72"/>
      <c r="EDU154" s="72"/>
      <c r="EDV154" s="72"/>
      <c r="EDW154" s="72"/>
      <c r="EDX154" s="72"/>
      <c r="EDY154" s="72"/>
      <c r="EDZ154" s="72"/>
      <c r="EEA154" s="72"/>
      <c r="EEB154" s="72"/>
      <c r="EEC154" s="72"/>
      <c r="EED154" s="72"/>
      <c r="EEE154" s="72"/>
      <c r="EEF154" s="72"/>
      <c r="EEG154" s="72"/>
      <c r="EEH154" s="72"/>
      <c r="EEI154" s="72"/>
      <c r="EEJ154" s="72"/>
      <c r="EEK154" s="72"/>
      <c r="EEL154" s="72"/>
      <c r="EEM154" s="72"/>
      <c r="EEN154" s="72"/>
      <c r="EEO154" s="72"/>
      <c r="EEP154" s="72"/>
      <c r="EEQ154" s="72"/>
      <c r="EER154" s="72"/>
      <c r="EES154" s="72"/>
      <c r="EET154" s="72"/>
      <c r="EEU154" s="72"/>
      <c r="EEV154" s="72"/>
      <c r="EEW154" s="72"/>
      <c r="EEX154" s="72"/>
      <c r="EEY154" s="72"/>
      <c r="EEZ154" s="72"/>
      <c r="EFA154" s="72"/>
      <c r="EFB154" s="72"/>
      <c r="EFC154" s="72"/>
      <c r="EFD154" s="72"/>
      <c r="EFE154" s="72"/>
      <c r="EFF154" s="72"/>
      <c r="EFG154" s="72"/>
      <c r="EFH154" s="72"/>
      <c r="EFI154" s="72"/>
      <c r="EFJ154" s="72"/>
      <c r="EFK154" s="72"/>
      <c r="EFL154" s="72"/>
      <c r="EFM154" s="72"/>
      <c r="EFN154" s="72"/>
      <c r="EFO154" s="72"/>
      <c r="EFP154" s="72"/>
      <c r="EFQ154" s="72"/>
      <c r="EFR154" s="72"/>
      <c r="EFS154" s="72"/>
      <c r="EFT154" s="72"/>
      <c r="EFU154" s="72"/>
      <c r="EFV154" s="72"/>
      <c r="EFW154" s="72"/>
      <c r="EFX154" s="72"/>
      <c r="EFY154" s="72"/>
      <c r="EFZ154" s="72"/>
      <c r="EGA154" s="72"/>
      <c r="EGB154" s="72"/>
      <c r="EGC154" s="72"/>
      <c r="EGD154" s="72"/>
      <c r="EGE154" s="72"/>
      <c r="EGF154" s="72"/>
      <c r="EGG154" s="72"/>
      <c r="EGH154" s="72"/>
      <c r="EGI154" s="72"/>
      <c r="EGJ154" s="72"/>
      <c r="EGK154" s="72"/>
      <c r="EGL154" s="72"/>
      <c r="EGM154" s="72"/>
      <c r="EGN154" s="72"/>
      <c r="EGO154" s="72"/>
      <c r="EGP154" s="72"/>
      <c r="EGQ154" s="72"/>
      <c r="EGR154" s="72"/>
      <c r="EGS154" s="72"/>
      <c r="EGT154" s="72"/>
      <c r="EGU154" s="72"/>
      <c r="EGV154" s="72"/>
      <c r="EGW154" s="72"/>
      <c r="EGX154" s="72"/>
      <c r="EGY154" s="72"/>
      <c r="EGZ154" s="72"/>
      <c r="EHA154" s="72"/>
      <c r="EHB154" s="72"/>
      <c r="EHC154" s="72"/>
      <c r="EHD154" s="72"/>
      <c r="EHE154" s="72"/>
      <c r="EHF154" s="72"/>
      <c r="EHG154" s="72"/>
      <c r="EHH154" s="72"/>
      <c r="EHI154" s="72"/>
      <c r="EHJ154" s="72"/>
      <c r="EHK154" s="72"/>
      <c r="EHL154" s="72"/>
      <c r="EHM154" s="72"/>
      <c r="EHN154" s="72"/>
      <c r="EHO154" s="72"/>
      <c r="EHP154" s="72"/>
      <c r="EHQ154" s="72"/>
      <c r="EHR154" s="72"/>
      <c r="EHS154" s="72"/>
      <c r="EHT154" s="72"/>
      <c r="EHU154" s="72"/>
      <c r="EHV154" s="72"/>
      <c r="EHW154" s="72"/>
      <c r="EHX154" s="72"/>
      <c r="EHY154" s="72"/>
      <c r="EHZ154" s="72"/>
      <c r="EIA154" s="72"/>
      <c r="EIB154" s="72"/>
      <c r="EIC154" s="72"/>
      <c r="EID154" s="72"/>
      <c r="EIE154" s="72"/>
      <c r="EIF154" s="72"/>
      <c r="EIG154" s="72"/>
      <c r="EIH154" s="72"/>
      <c r="EII154" s="72"/>
      <c r="EIJ154" s="72"/>
      <c r="EIK154" s="72"/>
      <c r="EIL154" s="72"/>
      <c r="EIM154" s="72"/>
      <c r="EIN154" s="72"/>
      <c r="EIO154" s="72"/>
      <c r="EIP154" s="72"/>
      <c r="EIQ154" s="72"/>
      <c r="EIR154" s="72"/>
      <c r="EIS154" s="72"/>
      <c r="EIT154" s="72"/>
      <c r="EIU154" s="72"/>
      <c r="EIV154" s="72"/>
      <c r="EIW154" s="72"/>
      <c r="EIX154" s="72"/>
      <c r="EIY154" s="72"/>
      <c r="EIZ154" s="72"/>
      <c r="EJA154" s="72"/>
      <c r="EJB154" s="72"/>
      <c r="EJC154" s="72"/>
      <c r="EJD154" s="72"/>
      <c r="EJE154" s="72"/>
      <c r="EJF154" s="72"/>
      <c r="EJG154" s="72"/>
      <c r="EJH154" s="72"/>
      <c r="EJI154" s="72"/>
      <c r="EJJ154" s="72"/>
      <c r="EJK154" s="72"/>
      <c r="EJL154" s="72"/>
      <c r="EJM154" s="72"/>
      <c r="EJN154" s="72"/>
      <c r="EJO154" s="72"/>
      <c r="EJP154" s="72"/>
      <c r="EJQ154" s="72"/>
      <c r="EJR154" s="72"/>
      <c r="EJS154" s="72"/>
      <c r="EJT154" s="72"/>
      <c r="EJU154" s="72"/>
      <c r="EJV154" s="72"/>
      <c r="EJW154" s="72"/>
      <c r="EJX154" s="72"/>
      <c r="EJY154" s="72"/>
      <c r="EJZ154" s="72"/>
      <c r="EKA154" s="72"/>
      <c r="EKB154" s="72"/>
      <c r="EKC154" s="72"/>
      <c r="EKD154" s="72"/>
      <c r="EKE154" s="72"/>
      <c r="EKF154" s="72"/>
      <c r="EKG154" s="72"/>
      <c r="EKH154" s="72"/>
      <c r="EKI154" s="72"/>
      <c r="EKJ154" s="72"/>
      <c r="EKK154" s="72"/>
      <c r="EKL154" s="72"/>
      <c r="EKM154" s="72"/>
      <c r="EKN154" s="72"/>
      <c r="EKO154" s="72"/>
      <c r="EKP154" s="72"/>
      <c r="EKQ154" s="72"/>
      <c r="EKR154" s="72"/>
      <c r="EKS154" s="72"/>
      <c r="EKT154" s="72"/>
      <c r="EKU154" s="72"/>
      <c r="EKV154" s="72"/>
      <c r="EKW154" s="72"/>
      <c r="EKX154" s="72"/>
      <c r="EKY154" s="72"/>
      <c r="EKZ154" s="72"/>
      <c r="ELA154" s="72"/>
      <c r="ELB154" s="72"/>
      <c r="ELC154" s="72"/>
      <c r="ELD154" s="72"/>
      <c r="ELE154" s="72"/>
      <c r="ELF154" s="72"/>
      <c r="ELG154" s="72"/>
      <c r="ELH154" s="72"/>
      <c r="ELI154" s="72"/>
      <c r="ELJ154" s="72"/>
      <c r="ELK154" s="72"/>
      <c r="ELL154" s="72"/>
      <c r="ELM154" s="72"/>
      <c r="ELN154" s="72"/>
      <c r="ELO154" s="72"/>
      <c r="ELP154" s="72"/>
      <c r="ELQ154" s="72"/>
      <c r="ELR154" s="72"/>
      <c r="ELS154" s="72"/>
      <c r="ELT154" s="72"/>
      <c r="ELU154" s="72"/>
      <c r="ELV154" s="72"/>
      <c r="ELW154" s="72"/>
      <c r="ELX154" s="72"/>
      <c r="ELY154" s="72"/>
      <c r="ELZ154" s="72"/>
      <c r="EMA154" s="72"/>
      <c r="EMB154" s="72"/>
      <c r="EMC154" s="72"/>
      <c r="EMD154" s="72"/>
      <c r="EME154" s="72"/>
      <c r="EMF154" s="72"/>
      <c r="EMG154" s="72"/>
      <c r="EMH154" s="72"/>
      <c r="EMI154" s="72"/>
      <c r="EMJ154" s="72"/>
      <c r="EMK154" s="72"/>
      <c r="EML154" s="72"/>
      <c r="EMM154" s="72"/>
      <c r="EMN154" s="72"/>
      <c r="EMO154" s="72"/>
      <c r="EMP154" s="72"/>
      <c r="EMQ154" s="72"/>
      <c r="EMR154" s="72"/>
      <c r="EMS154" s="72"/>
      <c r="EMT154" s="72"/>
      <c r="EMU154" s="72"/>
      <c r="EMV154" s="72"/>
      <c r="EMW154" s="72"/>
      <c r="EMX154" s="72"/>
      <c r="EMY154" s="72"/>
      <c r="EMZ154" s="72"/>
      <c r="ENA154" s="72"/>
      <c r="ENB154" s="72"/>
      <c r="ENC154" s="72"/>
      <c r="END154" s="72"/>
      <c r="ENE154" s="72"/>
      <c r="ENF154" s="72"/>
      <c r="ENG154" s="72"/>
      <c r="ENH154" s="72"/>
      <c r="ENI154" s="72"/>
      <c r="ENJ154" s="72"/>
      <c r="ENK154" s="72"/>
      <c r="ENL154" s="72"/>
      <c r="ENM154" s="72"/>
      <c r="ENN154" s="72"/>
      <c r="ENO154" s="72"/>
      <c r="ENP154" s="72"/>
      <c r="ENQ154" s="72"/>
      <c r="ENR154" s="72"/>
      <c r="ENS154" s="72"/>
      <c r="ENT154" s="72"/>
      <c r="ENU154" s="72"/>
      <c r="ENV154" s="72"/>
      <c r="ENW154" s="72"/>
      <c r="ENX154" s="72"/>
      <c r="ENY154" s="72"/>
      <c r="ENZ154" s="72"/>
      <c r="EOA154" s="72"/>
      <c r="EOB154" s="72"/>
      <c r="EOC154" s="72"/>
      <c r="EOD154" s="72"/>
      <c r="EOE154" s="72"/>
      <c r="EOF154" s="72"/>
      <c r="EOG154" s="72"/>
      <c r="EOH154" s="72"/>
      <c r="EOI154" s="72"/>
      <c r="EOJ154" s="72"/>
      <c r="EOK154" s="72"/>
      <c r="EOL154" s="72"/>
      <c r="EOM154" s="72"/>
      <c r="EON154" s="72"/>
      <c r="EOO154" s="72"/>
      <c r="EOP154" s="72"/>
      <c r="EOQ154" s="72"/>
      <c r="EOR154" s="72"/>
      <c r="EOS154" s="72"/>
      <c r="EOT154" s="72"/>
      <c r="EOU154" s="72"/>
      <c r="EOV154" s="72"/>
      <c r="EOW154" s="72"/>
      <c r="EOX154" s="72"/>
      <c r="EOY154" s="72"/>
      <c r="EOZ154" s="72"/>
      <c r="EPA154" s="72"/>
      <c r="EPB154" s="72"/>
      <c r="EPC154" s="72"/>
      <c r="EPD154" s="72"/>
      <c r="EPE154" s="72"/>
      <c r="EPF154" s="72"/>
      <c r="EPG154" s="72"/>
      <c r="EPH154" s="72"/>
      <c r="EPI154" s="72"/>
      <c r="EPJ154" s="72"/>
      <c r="EPK154" s="72"/>
      <c r="EPL154" s="72"/>
      <c r="EPM154" s="72"/>
      <c r="EPN154" s="72"/>
      <c r="EPO154" s="72"/>
      <c r="EPP154" s="72"/>
      <c r="EPQ154" s="72"/>
      <c r="EPR154" s="72"/>
      <c r="EPS154" s="72"/>
      <c r="EPT154" s="72"/>
      <c r="EPU154" s="72"/>
      <c r="EPV154" s="72"/>
      <c r="EPW154" s="72"/>
      <c r="EPX154" s="72"/>
      <c r="EPY154" s="72"/>
      <c r="EPZ154" s="72"/>
      <c r="EQA154" s="72"/>
      <c r="EQB154" s="72"/>
      <c r="EQC154" s="72"/>
      <c r="EQD154" s="72"/>
      <c r="EQE154" s="72"/>
      <c r="EQF154" s="72"/>
      <c r="EQG154" s="72"/>
      <c r="EQH154" s="72"/>
      <c r="EQI154" s="72"/>
      <c r="EQJ154" s="72"/>
      <c r="EQK154" s="72"/>
      <c r="EQL154" s="72"/>
      <c r="EQM154" s="72"/>
      <c r="EQN154" s="72"/>
      <c r="EQO154" s="72"/>
      <c r="EQP154" s="72"/>
      <c r="EQQ154" s="72"/>
      <c r="EQR154" s="72"/>
      <c r="EQS154" s="72"/>
      <c r="EQT154" s="72"/>
      <c r="EQU154" s="72"/>
      <c r="EQV154" s="72"/>
      <c r="EQW154" s="72"/>
      <c r="EQX154" s="72"/>
      <c r="EQY154" s="72"/>
      <c r="EQZ154" s="72"/>
      <c r="ERA154" s="72"/>
      <c r="ERB154" s="72"/>
      <c r="ERC154" s="72"/>
      <c r="ERD154" s="72"/>
      <c r="ERE154" s="72"/>
      <c r="ERF154" s="72"/>
      <c r="ERG154" s="72"/>
      <c r="ERH154" s="72"/>
      <c r="ERI154" s="72"/>
      <c r="ERJ154" s="72"/>
      <c r="ERK154" s="72"/>
      <c r="ERL154" s="72"/>
      <c r="ERM154" s="72"/>
      <c r="ERN154" s="72"/>
      <c r="ERO154" s="72"/>
      <c r="ERP154" s="72"/>
      <c r="ERQ154" s="72"/>
      <c r="ERR154" s="72"/>
      <c r="ERS154" s="72"/>
      <c r="ERT154" s="72"/>
      <c r="ERU154" s="72"/>
      <c r="ERV154" s="72"/>
      <c r="ERW154" s="72"/>
      <c r="ERX154" s="72"/>
      <c r="ERY154" s="72"/>
      <c r="ERZ154" s="72"/>
      <c r="ESA154" s="72"/>
      <c r="ESB154" s="72"/>
      <c r="ESC154" s="72"/>
      <c r="ESD154" s="72"/>
      <c r="ESE154" s="72"/>
      <c r="ESF154" s="72"/>
      <c r="ESG154" s="72"/>
      <c r="ESH154" s="72"/>
      <c r="ESI154" s="72"/>
      <c r="ESJ154" s="72"/>
      <c r="ESK154" s="72"/>
      <c r="ESL154" s="72"/>
      <c r="ESM154" s="72"/>
      <c r="ESN154" s="72"/>
      <c r="ESO154" s="72"/>
      <c r="ESP154" s="72"/>
      <c r="ESQ154" s="72"/>
      <c r="ESR154" s="72"/>
      <c r="ESS154" s="72"/>
      <c r="EST154" s="72"/>
      <c r="ESU154" s="72"/>
      <c r="ESV154" s="72"/>
      <c r="ESW154" s="72"/>
      <c r="ESX154" s="72"/>
      <c r="ESY154" s="72"/>
      <c r="ESZ154" s="72"/>
      <c r="ETA154" s="72"/>
      <c r="ETB154" s="72"/>
      <c r="ETC154" s="72"/>
      <c r="ETD154" s="72"/>
      <c r="ETE154" s="72"/>
      <c r="ETF154" s="72"/>
      <c r="ETG154" s="72"/>
      <c r="ETH154" s="72"/>
      <c r="ETI154" s="72"/>
      <c r="ETJ154" s="72"/>
      <c r="ETK154" s="72"/>
      <c r="ETL154" s="72"/>
      <c r="ETM154" s="72"/>
      <c r="ETN154" s="72"/>
      <c r="ETO154" s="72"/>
      <c r="ETP154" s="72"/>
      <c r="ETQ154" s="72"/>
      <c r="ETR154" s="72"/>
      <c r="ETS154" s="72"/>
      <c r="ETT154" s="72"/>
      <c r="ETU154" s="72"/>
      <c r="ETV154" s="72"/>
      <c r="ETW154" s="72"/>
      <c r="ETX154" s="72"/>
      <c r="ETY154" s="72"/>
      <c r="ETZ154" s="72"/>
      <c r="EUA154" s="72"/>
      <c r="EUB154" s="72"/>
      <c r="EUC154" s="72"/>
      <c r="EUD154" s="72"/>
      <c r="EUE154" s="72"/>
      <c r="EUF154" s="72"/>
      <c r="EUG154" s="72"/>
      <c r="EUH154" s="72"/>
      <c r="EUI154" s="72"/>
      <c r="EUJ154" s="72"/>
      <c r="EUK154" s="72"/>
      <c r="EUL154" s="72"/>
      <c r="EUM154" s="72"/>
      <c r="EUN154" s="72"/>
      <c r="EUO154" s="72"/>
      <c r="EUP154" s="72"/>
      <c r="EUQ154" s="72"/>
      <c r="EUR154" s="72"/>
      <c r="EUS154" s="72"/>
      <c r="EUT154" s="72"/>
      <c r="EUU154" s="72"/>
      <c r="EUV154" s="72"/>
      <c r="EUW154" s="72"/>
      <c r="EUX154" s="72"/>
      <c r="EUY154" s="72"/>
      <c r="EUZ154" s="72"/>
      <c r="EVA154" s="72"/>
      <c r="EVB154" s="72"/>
      <c r="EVC154" s="72"/>
      <c r="EVD154" s="72"/>
      <c r="EVE154" s="72"/>
      <c r="EVF154" s="72"/>
      <c r="EVG154" s="72"/>
      <c r="EVH154" s="72"/>
      <c r="EVI154" s="72"/>
      <c r="EVJ154" s="72"/>
      <c r="EVK154" s="72"/>
      <c r="EVL154" s="72"/>
      <c r="EVM154" s="72"/>
      <c r="EVN154" s="72"/>
      <c r="EVO154" s="72"/>
      <c r="EVP154" s="72"/>
      <c r="EVQ154" s="72"/>
      <c r="EVR154" s="72"/>
      <c r="EVS154" s="72"/>
      <c r="EVT154" s="72"/>
      <c r="EVU154" s="72"/>
      <c r="EVV154" s="72"/>
      <c r="EVW154" s="72"/>
      <c r="EVX154" s="72"/>
      <c r="EVY154" s="72"/>
      <c r="EVZ154" s="72"/>
      <c r="EWA154" s="72"/>
      <c r="EWB154" s="72"/>
      <c r="EWC154" s="72"/>
      <c r="EWD154" s="72"/>
      <c r="EWE154" s="72"/>
      <c r="EWF154" s="72"/>
      <c r="EWG154" s="72"/>
      <c r="EWH154" s="72"/>
      <c r="EWI154" s="72"/>
      <c r="EWJ154" s="72"/>
      <c r="EWK154" s="72"/>
      <c r="EWL154" s="72"/>
      <c r="EWM154" s="72"/>
      <c r="EWN154" s="72"/>
      <c r="EWO154" s="72"/>
      <c r="EWP154" s="72"/>
      <c r="EWQ154" s="72"/>
      <c r="EWR154" s="72"/>
      <c r="EWS154" s="72"/>
      <c r="EWT154" s="72"/>
      <c r="EWU154" s="72"/>
      <c r="EWV154" s="72"/>
      <c r="EWW154" s="72"/>
      <c r="EWX154" s="72"/>
      <c r="EWY154" s="72"/>
      <c r="EWZ154" s="72"/>
      <c r="EXA154" s="72"/>
      <c r="EXB154" s="72"/>
      <c r="EXC154" s="72"/>
      <c r="EXD154" s="72"/>
      <c r="EXE154" s="72"/>
      <c r="EXF154" s="72"/>
      <c r="EXG154" s="72"/>
      <c r="EXH154" s="72"/>
      <c r="EXI154" s="72"/>
      <c r="EXJ154" s="72"/>
      <c r="EXK154" s="72"/>
      <c r="EXL154" s="72"/>
      <c r="EXM154" s="72"/>
      <c r="EXN154" s="72"/>
      <c r="EXO154" s="72"/>
      <c r="EXP154" s="72"/>
      <c r="EXQ154" s="72"/>
      <c r="EXR154" s="72"/>
      <c r="EXS154" s="72"/>
      <c r="EXT154" s="72"/>
      <c r="EXU154" s="72"/>
      <c r="EXV154" s="72"/>
      <c r="EXW154" s="72"/>
      <c r="EXX154" s="72"/>
      <c r="EXY154" s="72"/>
      <c r="EXZ154" s="72"/>
      <c r="EYA154" s="72"/>
      <c r="EYB154" s="72"/>
      <c r="EYC154" s="72"/>
      <c r="EYD154" s="72"/>
      <c r="EYE154" s="72"/>
      <c r="EYF154" s="72"/>
      <c r="EYG154" s="72"/>
      <c r="EYH154" s="72"/>
      <c r="EYI154" s="72"/>
      <c r="EYJ154" s="72"/>
      <c r="EYK154" s="72"/>
      <c r="EYL154" s="72"/>
      <c r="EYM154" s="72"/>
      <c r="EYN154" s="72"/>
      <c r="EYO154" s="72"/>
      <c r="EYP154" s="72"/>
      <c r="EYQ154" s="72"/>
      <c r="EYR154" s="72"/>
      <c r="EYS154" s="72"/>
      <c r="EYT154" s="72"/>
      <c r="EYU154" s="72"/>
      <c r="EYV154" s="72"/>
      <c r="EYW154" s="72"/>
      <c r="EYX154" s="72"/>
      <c r="EYY154" s="72"/>
      <c r="EYZ154" s="72"/>
      <c r="EZA154" s="72"/>
      <c r="EZB154" s="72"/>
      <c r="EZC154" s="72"/>
      <c r="EZD154" s="72"/>
      <c r="EZE154" s="72"/>
      <c r="EZF154" s="72"/>
      <c r="EZG154" s="72"/>
      <c r="EZH154" s="72"/>
      <c r="EZI154" s="72"/>
      <c r="EZJ154" s="72"/>
      <c r="EZK154" s="72"/>
      <c r="EZL154" s="72"/>
      <c r="EZM154" s="72"/>
      <c r="EZN154" s="72"/>
      <c r="EZO154" s="72"/>
      <c r="EZP154" s="72"/>
      <c r="EZQ154" s="72"/>
      <c r="EZR154" s="72"/>
      <c r="EZS154" s="72"/>
      <c r="EZT154" s="72"/>
      <c r="EZU154" s="72"/>
      <c r="EZV154" s="72"/>
      <c r="EZW154" s="72"/>
      <c r="EZX154" s="72"/>
      <c r="EZY154" s="72"/>
      <c r="EZZ154" s="72"/>
      <c r="FAA154" s="72"/>
      <c r="FAB154" s="72"/>
      <c r="FAC154" s="72"/>
      <c r="FAD154" s="72"/>
      <c r="FAE154" s="72"/>
      <c r="FAF154" s="72"/>
      <c r="FAG154" s="72"/>
      <c r="FAH154" s="72"/>
      <c r="FAI154" s="72"/>
      <c r="FAJ154" s="72"/>
      <c r="FAK154" s="72"/>
      <c r="FAL154" s="72"/>
      <c r="FAM154" s="72"/>
      <c r="FAN154" s="72"/>
      <c r="FAO154" s="72"/>
      <c r="FAP154" s="72"/>
      <c r="FAQ154" s="72"/>
      <c r="FAR154" s="72"/>
      <c r="FAS154" s="72"/>
      <c r="FAT154" s="72"/>
      <c r="FAU154" s="72"/>
      <c r="FAV154" s="72"/>
      <c r="FAW154" s="72"/>
      <c r="FAX154" s="72"/>
      <c r="FAY154" s="72"/>
      <c r="FAZ154" s="72"/>
      <c r="FBA154" s="72"/>
      <c r="FBB154" s="72"/>
      <c r="FBC154" s="72"/>
      <c r="FBD154" s="72"/>
      <c r="FBE154" s="72"/>
      <c r="FBF154" s="72"/>
      <c r="FBG154" s="72"/>
      <c r="FBH154" s="72"/>
      <c r="FBI154" s="72"/>
      <c r="FBJ154" s="72"/>
      <c r="FBK154" s="72"/>
      <c r="FBL154" s="72"/>
      <c r="FBM154" s="72"/>
      <c r="FBN154" s="72"/>
      <c r="FBO154" s="72"/>
      <c r="FBP154" s="72"/>
      <c r="FBQ154" s="72"/>
      <c r="FBR154" s="72"/>
      <c r="FBS154" s="72"/>
      <c r="FBT154" s="72"/>
      <c r="FBU154" s="72"/>
      <c r="FBV154" s="72"/>
      <c r="FBW154" s="72"/>
      <c r="FBX154" s="72"/>
      <c r="FBY154" s="72"/>
      <c r="FBZ154" s="72"/>
      <c r="FCA154" s="72"/>
      <c r="FCB154" s="72"/>
      <c r="FCC154" s="72"/>
      <c r="FCD154" s="72"/>
      <c r="FCE154" s="72"/>
      <c r="FCF154" s="72"/>
      <c r="FCG154" s="72"/>
      <c r="FCH154" s="72"/>
      <c r="FCI154" s="72"/>
      <c r="FCJ154" s="72"/>
      <c r="FCK154" s="72"/>
      <c r="FCL154" s="72"/>
      <c r="FCM154" s="72"/>
      <c r="FCN154" s="72"/>
      <c r="FCO154" s="72"/>
      <c r="FCP154" s="72"/>
      <c r="FCQ154" s="72"/>
      <c r="FCR154" s="72"/>
      <c r="FCS154" s="72"/>
      <c r="FCT154" s="72"/>
      <c r="FCU154" s="72"/>
      <c r="FCV154" s="72"/>
      <c r="FCW154" s="72"/>
      <c r="FCX154" s="72"/>
      <c r="FCY154" s="72"/>
      <c r="FCZ154" s="72"/>
      <c r="FDA154" s="72"/>
      <c r="FDB154" s="72"/>
      <c r="FDC154" s="72"/>
      <c r="FDD154" s="72"/>
      <c r="FDE154" s="72"/>
      <c r="FDF154" s="72"/>
      <c r="FDG154" s="72"/>
      <c r="FDH154" s="72"/>
      <c r="FDI154" s="72"/>
      <c r="FDJ154" s="72"/>
      <c r="FDK154" s="72"/>
      <c r="FDL154" s="72"/>
      <c r="FDM154" s="72"/>
      <c r="FDN154" s="72"/>
      <c r="FDO154" s="72"/>
      <c r="FDP154" s="72"/>
      <c r="FDQ154" s="72"/>
      <c r="FDR154" s="72"/>
      <c r="FDS154" s="72"/>
      <c r="FDT154" s="72"/>
      <c r="FDU154" s="72"/>
      <c r="FDV154" s="72"/>
      <c r="FDW154" s="72"/>
      <c r="FDX154" s="72"/>
      <c r="FDY154" s="72"/>
      <c r="FDZ154" s="72"/>
      <c r="FEA154" s="72"/>
      <c r="FEB154" s="72"/>
      <c r="FEC154" s="72"/>
      <c r="FED154" s="72"/>
      <c r="FEE154" s="72"/>
      <c r="FEF154" s="72"/>
      <c r="FEG154" s="72"/>
      <c r="FEH154" s="72"/>
      <c r="FEI154" s="72"/>
      <c r="FEJ154" s="72"/>
      <c r="FEK154" s="72"/>
      <c r="FEL154" s="72"/>
      <c r="FEM154" s="72"/>
      <c r="FEN154" s="72"/>
      <c r="FEO154" s="72"/>
      <c r="FEP154" s="72"/>
      <c r="FEQ154" s="72"/>
      <c r="FER154" s="72"/>
      <c r="FES154" s="72"/>
      <c r="FET154" s="72"/>
      <c r="FEU154" s="72"/>
      <c r="FEV154" s="72"/>
      <c r="FEW154" s="72"/>
      <c r="FEX154" s="72"/>
      <c r="FEY154" s="72"/>
      <c r="FEZ154" s="72"/>
      <c r="FFA154" s="72"/>
      <c r="FFB154" s="72"/>
      <c r="FFC154" s="72"/>
      <c r="FFD154" s="72"/>
      <c r="FFE154" s="72"/>
      <c r="FFF154" s="72"/>
      <c r="FFG154" s="72"/>
      <c r="FFH154" s="72"/>
      <c r="FFI154" s="72"/>
      <c r="FFJ154" s="72"/>
      <c r="FFK154" s="72"/>
      <c r="FFL154" s="72"/>
      <c r="FFM154" s="72"/>
      <c r="FFN154" s="72"/>
      <c r="FFO154" s="72"/>
      <c r="FFP154" s="72"/>
      <c r="FFQ154" s="72"/>
      <c r="FFR154" s="72"/>
      <c r="FFS154" s="72"/>
      <c r="FFT154" s="72"/>
      <c r="FFU154" s="72"/>
      <c r="FFV154" s="72"/>
      <c r="FFW154" s="72"/>
      <c r="FFX154" s="72"/>
      <c r="FFY154" s="72"/>
      <c r="FFZ154" s="72"/>
      <c r="FGA154" s="72"/>
      <c r="FGB154" s="72"/>
      <c r="FGC154" s="72"/>
      <c r="FGD154" s="72"/>
      <c r="FGE154" s="72"/>
      <c r="FGF154" s="72"/>
      <c r="FGG154" s="72"/>
      <c r="FGH154" s="72"/>
      <c r="FGI154" s="72"/>
      <c r="FGJ154" s="72"/>
      <c r="FGK154" s="72"/>
      <c r="FGL154" s="72"/>
      <c r="FGM154" s="72"/>
      <c r="FGN154" s="72"/>
      <c r="FGO154" s="72"/>
      <c r="FGP154" s="72"/>
      <c r="FGQ154" s="72"/>
      <c r="FGR154" s="72"/>
      <c r="FGS154" s="72"/>
      <c r="FGT154" s="72"/>
      <c r="FGU154" s="72"/>
      <c r="FGV154" s="72"/>
      <c r="FGW154" s="72"/>
      <c r="FGX154" s="72"/>
      <c r="FGY154" s="72"/>
      <c r="FGZ154" s="72"/>
      <c r="FHA154" s="72"/>
      <c r="FHB154" s="72"/>
      <c r="FHC154" s="72"/>
      <c r="FHD154" s="72"/>
      <c r="FHE154" s="72"/>
      <c r="FHF154" s="72"/>
      <c r="FHG154" s="72"/>
      <c r="FHH154" s="72"/>
      <c r="FHI154" s="72"/>
      <c r="FHJ154" s="72"/>
      <c r="FHK154" s="72"/>
      <c r="FHL154" s="72"/>
      <c r="FHM154" s="72"/>
      <c r="FHN154" s="72"/>
      <c r="FHO154" s="72"/>
      <c r="FHP154" s="72"/>
      <c r="FHQ154" s="72"/>
      <c r="FHR154" s="72"/>
      <c r="FHS154" s="72"/>
      <c r="FHT154" s="72"/>
      <c r="FHU154" s="72"/>
      <c r="FHV154" s="72"/>
      <c r="FHW154" s="72"/>
      <c r="FHX154" s="72"/>
      <c r="FHY154" s="72"/>
      <c r="FHZ154" s="72"/>
      <c r="FIA154" s="72"/>
      <c r="FIB154" s="72"/>
      <c r="FIC154" s="72"/>
      <c r="FID154" s="72"/>
      <c r="FIE154" s="72"/>
      <c r="FIF154" s="72"/>
      <c r="FIG154" s="72"/>
      <c r="FIH154" s="72"/>
      <c r="FII154" s="72"/>
      <c r="FIJ154" s="72"/>
      <c r="FIK154" s="72"/>
      <c r="FIL154" s="72"/>
      <c r="FIM154" s="72"/>
      <c r="FIN154" s="72"/>
      <c r="FIO154" s="72"/>
      <c r="FIP154" s="72"/>
      <c r="FIQ154" s="72"/>
      <c r="FIR154" s="72"/>
      <c r="FIS154" s="72"/>
      <c r="FIT154" s="72"/>
      <c r="FIU154" s="72"/>
      <c r="FIV154" s="72"/>
      <c r="FIW154" s="72"/>
      <c r="FIX154" s="72"/>
      <c r="FIY154" s="72"/>
      <c r="FIZ154" s="72"/>
      <c r="FJA154" s="72"/>
      <c r="FJB154" s="72"/>
      <c r="FJC154" s="72"/>
      <c r="FJD154" s="72"/>
      <c r="FJE154" s="72"/>
      <c r="FJF154" s="72"/>
      <c r="FJG154" s="72"/>
      <c r="FJH154" s="72"/>
      <c r="FJI154" s="72"/>
      <c r="FJJ154" s="72"/>
      <c r="FJK154" s="72"/>
      <c r="FJL154" s="72"/>
      <c r="FJM154" s="72"/>
      <c r="FJN154" s="72"/>
      <c r="FJO154" s="72"/>
      <c r="FJP154" s="72"/>
      <c r="FJQ154" s="72"/>
      <c r="FJR154" s="72"/>
      <c r="FJS154" s="72"/>
      <c r="FJT154" s="72"/>
      <c r="FJU154" s="72"/>
      <c r="FJV154" s="72"/>
      <c r="FJW154" s="72"/>
      <c r="FJX154" s="72"/>
      <c r="FJY154" s="72"/>
      <c r="FJZ154" s="72"/>
      <c r="FKA154" s="72"/>
      <c r="FKB154" s="72"/>
      <c r="FKC154" s="72"/>
      <c r="FKD154" s="72"/>
      <c r="FKE154" s="72"/>
      <c r="FKF154" s="72"/>
      <c r="FKG154" s="72"/>
      <c r="FKH154" s="72"/>
      <c r="FKI154" s="72"/>
      <c r="FKJ154" s="72"/>
      <c r="FKK154" s="72"/>
      <c r="FKL154" s="72"/>
      <c r="FKM154" s="72"/>
      <c r="FKN154" s="72"/>
      <c r="FKO154" s="72"/>
      <c r="FKP154" s="72"/>
      <c r="FKQ154" s="72"/>
      <c r="FKR154" s="72"/>
      <c r="FKS154" s="72"/>
      <c r="FKT154" s="72"/>
      <c r="FKU154" s="72"/>
      <c r="FKV154" s="72"/>
      <c r="FKW154" s="72"/>
      <c r="FKX154" s="72"/>
      <c r="FKY154" s="72"/>
      <c r="FKZ154" s="72"/>
      <c r="FLA154" s="72"/>
      <c r="FLB154" s="72"/>
      <c r="FLC154" s="72"/>
      <c r="FLD154" s="72"/>
      <c r="FLE154" s="72"/>
      <c r="FLF154" s="72"/>
      <c r="FLG154" s="72"/>
      <c r="FLH154" s="72"/>
      <c r="FLI154" s="72"/>
      <c r="FLJ154" s="72"/>
      <c r="FLK154" s="72"/>
      <c r="FLL154" s="72"/>
      <c r="FLM154" s="72"/>
      <c r="FLN154" s="72"/>
      <c r="FLO154" s="72"/>
      <c r="FLP154" s="72"/>
      <c r="FLQ154" s="72"/>
      <c r="FLR154" s="72"/>
      <c r="FLS154" s="72"/>
      <c r="FLT154" s="72"/>
      <c r="FLU154" s="72"/>
      <c r="FLV154" s="72"/>
      <c r="FLW154" s="72"/>
      <c r="FLX154" s="72"/>
      <c r="FLY154" s="72"/>
      <c r="FLZ154" s="72"/>
      <c r="FMA154" s="72"/>
      <c r="FMB154" s="72"/>
      <c r="FMC154" s="72"/>
      <c r="FMD154" s="72"/>
      <c r="FME154" s="72"/>
      <c r="FMF154" s="72"/>
      <c r="FMG154" s="72"/>
      <c r="FMH154" s="72"/>
      <c r="FMI154" s="72"/>
      <c r="FMJ154" s="72"/>
      <c r="FMK154" s="72"/>
      <c r="FML154" s="72"/>
      <c r="FMM154" s="72"/>
      <c r="FMN154" s="72"/>
      <c r="FMO154" s="72"/>
      <c r="FMP154" s="72"/>
      <c r="FMQ154" s="72"/>
      <c r="FMR154" s="72"/>
      <c r="FMS154" s="72"/>
      <c r="FMT154" s="72"/>
      <c r="FMU154" s="72"/>
      <c r="FMV154" s="72"/>
      <c r="FMW154" s="72"/>
      <c r="FMX154" s="72"/>
      <c r="FMY154" s="72"/>
      <c r="FMZ154" s="72"/>
      <c r="FNA154" s="72"/>
      <c r="FNB154" s="72"/>
      <c r="FNC154" s="72"/>
      <c r="FND154" s="72"/>
      <c r="FNE154" s="72"/>
      <c r="FNF154" s="72"/>
      <c r="FNG154" s="72"/>
      <c r="FNH154" s="72"/>
      <c r="FNI154" s="72"/>
      <c r="FNJ154" s="72"/>
      <c r="FNK154" s="72"/>
      <c r="FNL154" s="72"/>
      <c r="FNM154" s="72"/>
      <c r="FNN154" s="72"/>
      <c r="FNO154" s="72"/>
      <c r="FNP154" s="72"/>
      <c r="FNQ154" s="72"/>
      <c r="FNR154" s="72"/>
      <c r="FNS154" s="72"/>
      <c r="FNT154" s="72"/>
      <c r="FNU154" s="72"/>
      <c r="FNV154" s="72"/>
      <c r="FNW154" s="72"/>
      <c r="FNX154" s="72"/>
      <c r="FNY154" s="72"/>
      <c r="FNZ154" s="72"/>
      <c r="FOA154" s="72"/>
      <c r="FOB154" s="72"/>
      <c r="FOC154" s="72"/>
      <c r="FOD154" s="72"/>
      <c r="FOE154" s="72"/>
      <c r="FOF154" s="72"/>
      <c r="FOG154" s="72"/>
      <c r="FOH154" s="72"/>
      <c r="FOI154" s="72"/>
      <c r="FOJ154" s="72"/>
      <c r="FOK154" s="72"/>
      <c r="FOL154" s="72"/>
      <c r="FOM154" s="72"/>
      <c r="FON154" s="72"/>
      <c r="FOO154" s="72"/>
      <c r="FOP154" s="72"/>
      <c r="FOQ154" s="72"/>
      <c r="FOR154" s="72"/>
      <c r="FOS154" s="72"/>
      <c r="FOT154" s="72"/>
      <c r="FOU154" s="72"/>
      <c r="FOV154" s="72"/>
      <c r="FOW154" s="72"/>
      <c r="FOX154" s="72"/>
      <c r="FOY154" s="72"/>
      <c r="FOZ154" s="72"/>
      <c r="FPA154" s="72"/>
      <c r="FPB154" s="72"/>
      <c r="FPC154" s="72"/>
      <c r="FPD154" s="72"/>
      <c r="FPE154" s="72"/>
      <c r="FPF154" s="72"/>
      <c r="FPG154" s="72"/>
      <c r="FPH154" s="72"/>
      <c r="FPI154" s="72"/>
      <c r="FPJ154" s="72"/>
      <c r="FPK154" s="72"/>
      <c r="FPL154" s="72"/>
      <c r="FPM154" s="72"/>
      <c r="FPN154" s="72"/>
      <c r="FPO154" s="72"/>
      <c r="FPP154" s="72"/>
      <c r="FPQ154" s="72"/>
      <c r="FPR154" s="72"/>
      <c r="FPS154" s="72"/>
      <c r="FPT154" s="72"/>
      <c r="FPU154" s="72"/>
      <c r="FPV154" s="72"/>
      <c r="FPW154" s="72"/>
      <c r="FPX154" s="72"/>
      <c r="FPY154" s="72"/>
      <c r="FPZ154" s="72"/>
      <c r="FQA154" s="72"/>
      <c r="FQB154" s="72"/>
      <c r="FQC154" s="72"/>
      <c r="FQD154" s="72"/>
      <c r="FQE154" s="72"/>
      <c r="FQF154" s="72"/>
      <c r="FQG154" s="72"/>
      <c r="FQH154" s="72"/>
      <c r="FQI154" s="72"/>
      <c r="FQJ154" s="72"/>
      <c r="FQK154" s="72"/>
      <c r="FQL154" s="72"/>
      <c r="FQM154" s="72"/>
      <c r="FQN154" s="72"/>
      <c r="FQO154" s="72"/>
      <c r="FQP154" s="72"/>
      <c r="FQQ154" s="72"/>
      <c r="FQR154" s="72"/>
      <c r="FQS154" s="72"/>
      <c r="FQT154" s="72"/>
      <c r="FQU154" s="72"/>
      <c r="FQV154" s="72"/>
      <c r="FQW154" s="72"/>
      <c r="FQX154" s="72"/>
      <c r="FQY154" s="72"/>
      <c r="FQZ154" s="72"/>
      <c r="FRA154" s="72"/>
      <c r="FRB154" s="72"/>
      <c r="FRC154" s="72"/>
      <c r="FRD154" s="72"/>
      <c r="FRE154" s="72"/>
      <c r="FRF154" s="72"/>
      <c r="FRG154" s="72"/>
      <c r="FRH154" s="72"/>
      <c r="FRI154" s="72"/>
      <c r="FRJ154" s="72"/>
      <c r="FRK154" s="72"/>
      <c r="FRL154" s="72"/>
      <c r="FRM154" s="72"/>
      <c r="FRN154" s="72"/>
      <c r="FRO154" s="72"/>
      <c r="FRP154" s="72"/>
      <c r="FRQ154" s="72"/>
      <c r="FRR154" s="72"/>
      <c r="FRS154" s="72"/>
      <c r="FRT154" s="72"/>
      <c r="FRU154" s="72"/>
      <c r="FRV154" s="72"/>
      <c r="FRW154" s="72"/>
      <c r="FRX154" s="72"/>
      <c r="FRY154" s="72"/>
      <c r="FRZ154" s="72"/>
      <c r="FSA154" s="72"/>
      <c r="FSB154" s="72"/>
      <c r="FSC154" s="72"/>
      <c r="FSD154" s="72"/>
      <c r="FSE154" s="72"/>
      <c r="FSF154" s="72"/>
      <c r="FSG154" s="72"/>
      <c r="FSH154" s="72"/>
      <c r="FSI154" s="72"/>
      <c r="FSJ154" s="72"/>
      <c r="FSK154" s="72"/>
      <c r="FSL154" s="72"/>
      <c r="FSM154" s="72"/>
      <c r="FSN154" s="72"/>
      <c r="FSO154" s="72"/>
      <c r="FSP154" s="72"/>
      <c r="FSQ154" s="72"/>
      <c r="FSR154" s="72"/>
      <c r="FSS154" s="72"/>
      <c r="FST154" s="72"/>
      <c r="FSU154" s="72"/>
      <c r="FSV154" s="72"/>
      <c r="FSW154" s="72"/>
      <c r="FSX154" s="72"/>
      <c r="FSY154" s="72"/>
      <c r="FSZ154" s="72"/>
      <c r="FTA154" s="72"/>
      <c r="FTB154" s="72"/>
      <c r="FTC154" s="72"/>
      <c r="FTD154" s="72"/>
      <c r="FTE154" s="72"/>
      <c r="FTF154" s="72"/>
      <c r="FTG154" s="72"/>
      <c r="FTH154" s="72"/>
      <c r="FTI154" s="72"/>
      <c r="FTJ154" s="72"/>
      <c r="FTK154" s="72"/>
      <c r="FTL154" s="72"/>
      <c r="FTM154" s="72"/>
      <c r="FTN154" s="72"/>
      <c r="FTO154" s="72"/>
      <c r="FTP154" s="72"/>
      <c r="FTQ154" s="72"/>
      <c r="FTR154" s="72"/>
      <c r="FTS154" s="72"/>
      <c r="FTT154" s="72"/>
      <c r="FTU154" s="72"/>
      <c r="FTV154" s="72"/>
      <c r="FTW154" s="72"/>
      <c r="FTX154" s="72"/>
      <c r="FTY154" s="72"/>
      <c r="FTZ154" s="72"/>
      <c r="FUA154" s="72"/>
      <c r="FUB154" s="72"/>
      <c r="FUC154" s="72"/>
      <c r="FUD154" s="72"/>
      <c r="FUE154" s="72"/>
      <c r="FUF154" s="72"/>
      <c r="FUG154" s="72"/>
      <c r="FUH154" s="72"/>
      <c r="FUI154" s="72"/>
      <c r="FUJ154" s="72"/>
      <c r="FUK154" s="72"/>
      <c r="FUL154" s="72"/>
      <c r="FUM154" s="72"/>
      <c r="FUN154" s="72"/>
      <c r="FUO154" s="72"/>
      <c r="FUP154" s="72"/>
      <c r="FUQ154" s="72"/>
      <c r="FUR154" s="72"/>
      <c r="FUS154" s="72"/>
      <c r="FUT154" s="72"/>
      <c r="FUU154" s="72"/>
      <c r="FUV154" s="72"/>
      <c r="FUW154" s="72"/>
      <c r="FUX154" s="72"/>
      <c r="FUY154" s="72"/>
      <c r="FUZ154" s="72"/>
      <c r="FVA154" s="72"/>
      <c r="FVB154" s="72"/>
      <c r="FVC154" s="72"/>
      <c r="FVD154" s="72"/>
      <c r="FVE154" s="72"/>
      <c r="FVF154" s="72"/>
      <c r="FVG154" s="72"/>
      <c r="FVH154" s="72"/>
      <c r="FVI154" s="72"/>
      <c r="FVJ154" s="72"/>
      <c r="FVK154" s="72"/>
      <c r="FVL154" s="72"/>
      <c r="FVM154" s="72"/>
      <c r="FVN154" s="72"/>
      <c r="FVO154" s="72"/>
      <c r="FVP154" s="72"/>
      <c r="FVQ154" s="72"/>
      <c r="FVR154" s="72"/>
      <c r="FVS154" s="72"/>
      <c r="FVT154" s="72"/>
      <c r="FVU154" s="72"/>
      <c r="FVV154" s="72"/>
      <c r="FVW154" s="72"/>
      <c r="FVX154" s="72"/>
      <c r="FVY154" s="72"/>
      <c r="FVZ154" s="72"/>
      <c r="FWA154" s="72"/>
      <c r="FWB154" s="72"/>
      <c r="FWC154" s="72"/>
      <c r="FWD154" s="72"/>
      <c r="FWE154" s="72"/>
      <c r="FWF154" s="72"/>
      <c r="FWG154" s="72"/>
      <c r="FWH154" s="72"/>
      <c r="FWI154" s="72"/>
      <c r="FWJ154" s="72"/>
      <c r="FWK154" s="72"/>
      <c r="FWL154" s="72"/>
      <c r="FWM154" s="72"/>
      <c r="FWN154" s="72"/>
      <c r="FWO154" s="72"/>
      <c r="FWP154" s="72"/>
      <c r="FWQ154" s="72"/>
      <c r="FWR154" s="72"/>
      <c r="FWS154" s="72"/>
      <c r="FWT154" s="72"/>
      <c r="FWU154" s="72"/>
      <c r="FWV154" s="72"/>
      <c r="FWW154" s="72"/>
      <c r="FWX154" s="72"/>
      <c r="FWY154" s="72"/>
      <c r="FWZ154" s="72"/>
      <c r="FXA154" s="72"/>
      <c r="FXB154" s="72"/>
      <c r="FXC154" s="72"/>
      <c r="FXD154" s="72"/>
      <c r="FXE154" s="72"/>
      <c r="FXF154" s="72"/>
      <c r="FXG154" s="72"/>
      <c r="FXH154" s="72"/>
      <c r="FXI154" s="72"/>
      <c r="FXJ154" s="72"/>
      <c r="FXK154" s="72"/>
      <c r="FXL154" s="72"/>
      <c r="FXM154" s="72"/>
      <c r="FXN154" s="72"/>
      <c r="FXO154" s="72"/>
      <c r="FXP154" s="72"/>
      <c r="FXQ154" s="72"/>
      <c r="FXR154" s="72"/>
      <c r="FXS154" s="72"/>
      <c r="FXT154" s="72"/>
      <c r="FXU154" s="72"/>
      <c r="FXV154" s="72"/>
      <c r="FXW154" s="72"/>
      <c r="FXX154" s="72"/>
      <c r="FXY154" s="72"/>
      <c r="FXZ154" s="72"/>
      <c r="FYA154" s="72"/>
      <c r="FYB154" s="72"/>
      <c r="FYC154" s="72"/>
      <c r="FYD154" s="72"/>
      <c r="FYE154" s="72"/>
      <c r="FYF154" s="72"/>
      <c r="FYG154" s="72"/>
      <c r="FYH154" s="72"/>
      <c r="FYI154" s="72"/>
      <c r="FYJ154" s="72"/>
      <c r="FYK154" s="72"/>
      <c r="FYL154" s="72"/>
      <c r="FYM154" s="72"/>
      <c r="FYN154" s="72"/>
      <c r="FYO154" s="72"/>
      <c r="FYP154" s="72"/>
      <c r="FYQ154" s="72"/>
      <c r="FYR154" s="72"/>
      <c r="FYS154" s="72"/>
      <c r="FYT154" s="72"/>
      <c r="FYU154" s="72"/>
      <c r="FYV154" s="72"/>
      <c r="FYW154" s="72"/>
      <c r="FYX154" s="72"/>
      <c r="FYY154" s="72"/>
      <c r="FYZ154" s="72"/>
      <c r="FZA154" s="72"/>
      <c r="FZB154" s="72"/>
      <c r="FZC154" s="72"/>
      <c r="FZD154" s="72"/>
      <c r="FZE154" s="72"/>
      <c r="FZF154" s="72"/>
      <c r="FZG154" s="72"/>
      <c r="FZH154" s="72"/>
      <c r="FZI154" s="72"/>
      <c r="FZJ154" s="72"/>
      <c r="FZK154" s="72"/>
      <c r="FZL154" s="72"/>
      <c r="FZM154" s="72"/>
      <c r="FZN154" s="72"/>
      <c r="FZO154" s="72"/>
      <c r="FZP154" s="72"/>
      <c r="FZQ154" s="72"/>
      <c r="FZR154" s="72"/>
      <c r="FZS154" s="72"/>
      <c r="FZT154" s="72"/>
      <c r="FZU154" s="72"/>
      <c r="FZV154" s="72"/>
      <c r="FZW154" s="72"/>
      <c r="FZX154" s="72"/>
      <c r="FZY154" s="72"/>
      <c r="FZZ154" s="72"/>
      <c r="GAA154" s="72"/>
      <c r="GAB154" s="72"/>
      <c r="GAC154" s="72"/>
      <c r="GAD154" s="72"/>
      <c r="GAE154" s="72"/>
      <c r="GAF154" s="72"/>
      <c r="GAG154" s="72"/>
      <c r="GAH154" s="72"/>
      <c r="GAI154" s="72"/>
      <c r="GAJ154" s="72"/>
      <c r="GAK154" s="72"/>
      <c r="GAL154" s="72"/>
      <c r="GAM154" s="72"/>
      <c r="GAN154" s="72"/>
      <c r="GAO154" s="72"/>
      <c r="GAP154" s="72"/>
      <c r="GAQ154" s="72"/>
      <c r="GAR154" s="72"/>
      <c r="GAS154" s="72"/>
      <c r="GAT154" s="72"/>
      <c r="GAU154" s="72"/>
      <c r="GAV154" s="72"/>
      <c r="GAW154" s="72"/>
      <c r="GAX154" s="72"/>
      <c r="GAY154" s="72"/>
      <c r="GAZ154" s="72"/>
      <c r="GBA154" s="72"/>
      <c r="GBB154" s="72"/>
      <c r="GBC154" s="72"/>
      <c r="GBD154" s="72"/>
      <c r="GBE154" s="72"/>
      <c r="GBF154" s="72"/>
      <c r="GBG154" s="72"/>
      <c r="GBH154" s="72"/>
      <c r="GBI154" s="72"/>
      <c r="GBJ154" s="72"/>
      <c r="GBK154" s="72"/>
      <c r="GBL154" s="72"/>
      <c r="GBM154" s="72"/>
      <c r="GBN154" s="72"/>
      <c r="GBO154" s="72"/>
      <c r="GBP154" s="72"/>
      <c r="GBQ154" s="72"/>
      <c r="GBR154" s="72"/>
      <c r="GBS154" s="72"/>
      <c r="GBT154" s="72"/>
      <c r="GBU154" s="72"/>
      <c r="GBV154" s="72"/>
      <c r="GBW154" s="72"/>
      <c r="GBX154" s="72"/>
      <c r="GBY154" s="72"/>
      <c r="GBZ154" s="72"/>
      <c r="GCA154" s="72"/>
      <c r="GCB154" s="72"/>
      <c r="GCC154" s="72"/>
      <c r="GCD154" s="72"/>
      <c r="GCE154" s="72"/>
      <c r="GCF154" s="72"/>
      <c r="GCG154" s="72"/>
      <c r="GCH154" s="72"/>
      <c r="GCI154" s="72"/>
      <c r="GCJ154" s="72"/>
      <c r="GCK154" s="72"/>
      <c r="GCL154" s="72"/>
      <c r="GCM154" s="72"/>
      <c r="GCN154" s="72"/>
      <c r="GCO154" s="72"/>
      <c r="GCP154" s="72"/>
      <c r="GCQ154" s="72"/>
      <c r="GCR154" s="72"/>
      <c r="GCS154" s="72"/>
      <c r="GCT154" s="72"/>
      <c r="GCU154" s="72"/>
      <c r="GCV154" s="72"/>
      <c r="GCW154" s="72"/>
      <c r="GCX154" s="72"/>
      <c r="GCY154" s="72"/>
      <c r="GCZ154" s="72"/>
      <c r="GDA154" s="72"/>
      <c r="GDB154" s="72"/>
      <c r="GDC154" s="72"/>
      <c r="GDD154" s="72"/>
      <c r="GDE154" s="72"/>
      <c r="GDF154" s="72"/>
      <c r="GDG154" s="72"/>
      <c r="GDH154" s="72"/>
      <c r="GDI154" s="72"/>
      <c r="GDJ154" s="72"/>
      <c r="GDK154" s="72"/>
      <c r="GDL154" s="72"/>
      <c r="GDM154" s="72"/>
      <c r="GDN154" s="72"/>
      <c r="GDO154" s="72"/>
      <c r="GDP154" s="72"/>
      <c r="GDQ154" s="72"/>
      <c r="GDR154" s="72"/>
      <c r="GDS154" s="72"/>
      <c r="GDT154" s="72"/>
      <c r="GDU154" s="72"/>
      <c r="GDV154" s="72"/>
      <c r="GDW154" s="72"/>
      <c r="GDX154" s="72"/>
      <c r="GDY154" s="72"/>
      <c r="GDZ154" s="72"/>
      <c r="GEA154" s="72"/>
      <c r="GEB154" s="72"/>
      <c r="GEC154" s="72"/>
      <c r="GED154" s="72"/>
      <c r="GEE154" s="72"/>
      <c r="GEF154" s="72"/>
      <c r="GEG154" s="72"/>
      <c r="GEH154" s="72"/>
      <c r="GEI154" s="72"/>
      <c r="GEJ154" s="72"/>
      <c r="GEK154" s="72"/>
      <c r="GEL154" s="72"/>
      <c r="GEM154" s="72"/>
      <c r="GEN154" s="72"/>
      <c r="GEO154" s="72"/>
      <c r="GEP154" s="72"/>
      <c r="GEQ154" s="72"/>
      <c r="GER154" s="72"/>
      <c r="GES154" s="72"/>
      <c r="GET154" s="72"/>
      <c r="GEU154" s="72"/>
      <c r="GEV154" s="72"/>
      <c r="GEW154" s="72"/>
      <c r="GEX154" s="72"/>
      <c r="GEY154" s="72"/>
      <c r="GEZ154" s="72"/>
      <c r="GFA154" s="72"/>
      <c r="GFB154" s="72"/>
      <c r="GFC154" s="72"/>
      <c r="GFD154" s="72"/>
      <c r="GFE154" s="72"/>
      <c r="GFF154" s="72"/>
      <c r="GFG154" s="72"/>
      <c r="GFH154" s="72"/>
      <c r="GFI154" s="72"/>
      <c r="GFJ154" s="72"/>
      <c r="GFK154" s="72"/>
      <c r="GFL154" s="72"/>
      <c r="GFM154" s="72"/>
      <c r="GFN154" s="72"/>
      <c r="GFO154" s="72"/>
      <c r="GFP154" s="72"/>
      <c r="GFQ154" s="72"/>
      <c r="GFR154" s="72"/>
      <c r="GFS154" s="72"/>
      <c r="GFT154" s="72"/>
      <c r="GFU154" s="72"/>
      <c r="GFV154" s="72"/>
      <c r="GFW154" s="72"/>
      <c r="GFX154" s="72"/>
      <c r="GFY154" s="72"/>
      <c r="GFZ154" s="72"/>
      <c r="GGA154" s="72"/>
      <c r="GGB154" s="72"/>
      <c r="GGC154" s="72"/>
      <c r="GGD154" s="72"/>
      <c r="GGE154" s="72"/>
      <c r="GGF154" s="72"/>
      <c r="GGG154" s="72"/>
      <c r="GGH154" s="72"/>
      <c r="GGI154" s="72"/>
      <c r="GGJ154" s="72"/>
      <c r="GGK154" s="72"/>
      <c r="GGL154" s="72"/>
      <c r="GGM154" s="72"/>
      <c r="GGN154" s="72"/>
      <c r="GGO154" s="72"/>
      <c r="GGP154" s="72"/>
      <c r="GGQ154" s="72"/>
      <c r="GGR154" s="72"/>
      <c r="GGS154" s="72"/>
      <c r="GGT154" s="72"/>
      <c r="GGU154" s="72"/>
      <c r="GGV154" s="72"/>
      <c r="GGW154" s="72"/>
      <c r="GGX154" s="72"/>
      <c r="GGY154" s="72"/>
      <c r="GGZ154" s="72"/>
      <c r="GHA154" s="72"/>
      <c r="GHB154" s="72"/>
      <c r="GHC154" s="72"/>
      <c r="GHD154" s="72"/>
      <c r="GHE154" s="72"/>
      <c r="GHF154" s="72"/>
      <c r="GHG154" s="72"/>
      <c r="GHH154" s="72"/>
      <c r="GHI154" s="72"/>
      <c r="GHJ154" s="72"/>
      <c r="GHK154" s="72"/>
      <c r="GHL154" s="72"/>
      <c r="GHM154" s="72"/>
      <c r="GHN154" s="72"/>
      <c r="GHO154" s="72"/>
      <c r="GHP154" s="72"/>
      <c r="GHQ154" s="72"/>
      <c r="GHR154" s="72"/>
      <c r="GHS154" s="72"/>
      <c r="GHT154" s="72"/>
      <c r="GHU154" s="72"/>
      <c r="GHV154" s="72"/>
      <c r="GHW154" s="72"/>
      <c r="GHX154" s="72"/>
      <c r="GHY154" s="72"/>
      <c r="GHZ154" s="72"/>
      <c r="GIA154" s="72"/>
      <c r="GIB154" s="72"/>
      <c r="GIC154" s="72"/>
      <c r="GID154" s="72"/>
      <c r="GIE154" s="72"/>
      <c r="GIF154" s="72"/>
      <c r="GIG154" s="72"/>
      <c r="GIH154" s="72"/>
      <c r="GII154" s="72"/>
      <c r="GIJ154" s="72"/>
      <c r="GIK154" s="72"/>
      <c r="GIL154" s="72"/>
      <c r="GIM154" s="72"/>
      <c r="GIN154" s="72"/>
      <c r="GIO154" s="72"/>
      <c r="GIP154" s="72"/>
      <c r="GIQ154" s="72"/>
      <c r="GIR154" s="72"/>
      <c r="GIS154" s="72"/>
      <c r="GIT154" s="72"/>
      <c r="GIU154" s="72"/>
      <c r="GIV154" s="72"/>
      <c r="GIW154" s="72"/>
      <c r="GIX154" s="72"/>
      <c r="GIY154" s="72"/>
      <c r="GIZ154" s="72"/>
      <c r="GJA154" s="72"/>
      <c r="GJB154" s="72"/>
      <c r="GJC154" s="72"/>
      <c r="GJD154" s="72"/>
      <c r="GJE154" s="72"/>
      <c r="GJF154" s="72"/>
      <c r="GJG154" s="72"/>
      <c r="GJH154" s="72"/>
      <c r="GJI154" s="72"/>
      <c r="GJJ154" s="72"/>
      <c r="GJK154" s="72"/>
      <c r="GJL154" s="72"/>
      <c r="GJM154" s="72"/>
      <c r="GJN154" s="72"/>
      <c r="GJO154" s="72"/>
      <c r="GJP154" s="72"/>
      <c r="GJQ154" s="72"/>
      <c r="GJR154" s="72"/>
      <c r="GJS154" s="72"/>
      <c r="GJT154" s="72"/>
      <c r="GJU154" s="72"/>
      <c r="GJV154" s="72"/>
      <c r="GJW154" s="72"/>
      <c r="GJX154" s="72"/>
      <c r="GJY154" s="72"/>
      <c r="GJZ154" s="72"/>
      <c r="GKA154" s="72"/>
      <c r="GKB154" s="72"/>
      <c r="GKC154" s="72"/>
      <c r="GKD154" s="72"/>
      <c r="GKE154" s="72"/>
      <c r="GKF154" s="72"/>
      <c r="GKG154" s="72"/>
      <c r="GKH154" s="72"/>
      <c r="GKI154" s="72"/>
      <c r="GKJ154" s="72"/>
      <c r="GKK154" s="72"/>
      <c r="GKL154" s="72"/>
      <c r="GKM154" s="72"/>
      <c r="GKN154" s="72"/>
      <c r="GKO154" s="72"/>
      <c r="GKP154" s="72"/>
      <c r="GKQ154" s="72"/>
      <c r="GKR154" s="72"/>
      <c r="GKS154" s="72"/>
      <c r="GKT154" s="72"/>
      <c r="GKU154" s="72"/>
      <c r="GKV154" s="72"/>
      <c r="GKW154" s="72"/>
      <c r="GKX154" s="72"/>
      <c r="GKY154" s="72"/>
      <c r="GKZ154" s="72"/>
      <c r="GLA154" s="72"/>
      <c r="GLB154" s="72"/>
      <c r="GLC154" s="72"/>
      <c r="GLD154" s="72"/>
      <c r="GLE154" s="72"/>
      <c r="GLF154" s="72"/>
      <c r="GLG154" s="72"/>
      <c r="GLH154" s="72"/>
      <c r="GLI154" s="72"/>
      <c r="GLJ154" s="72"/>
      <c r="GLK154" s="72"/>
      <c r="GLL154" s="72"/>
      <c r="GLM154" s="72"/>
      <c r="GLN154" s="72"/>
      <c r="GLO154" s="72"/>
      <c r="GLP154" s="72"/>
      <c r="GLQ154" s="72"/>
      <c r="GLR154" s="72"/>
      <c r="GLS154" s="72"/>
      <c r="GLT154" s="72"/>
      <c r="GLU154" s="72"/>
      <c r="GLV154" s="72"/>
      <c r="GLW154" s="72"/>
      <c r="GLX154" s="72"/>
      <c r="GLY154" s="72"/>
      <c r="GLZ154" s="72"/>
      <c r="GMA154" s="72"/>
      <c r="GMB154" s="72"/>
      <c r="GMC154" s="72"/>
      <c r="GMD154" s="72"/>
      <c r="GME154" s="72"/>
      <c r="GMF154" s="72"/>
      <c r="GMG154" s="72"/>
      <c r="GMH154" s="72"/>
      <c r="GMI154" s="72"/>
      <c r="GMJ154" s="72"/>
      <c r="GMK154" s="72"/>
      <c r="GML154" s="72"/>
      <c r="GMM154" s="72"/>
      <c r="GMN154" s="72"/>
      <c r="GMO154" s="72"/>
      <c r="GMP154" s="72"/>
      <c r="GMQ154" s="72"/>
      <c r="GMR154" s="72"/>
      <c r="GMS154" s="72"/>
      <c r="GMT154" s="72"/>
      <c r="GMU154" s="72"/>
      <c r="GMV154" s="72"/>
      <c r="GMW154" s="72"/>
      <c r="GMX154" s="72"/>
      <c r="GMY154" s="72"/>
      <c r="GMZ154" s="72"/>
      <c r="GNA154" s="72"/>
      <c r="GNB154" s="72"/>
      <c r="GNC154" s="72"/>
      <c r="GND154" s="72"/>
      <c r="GNE154" s="72"/>
      <c r="GNF154" s="72"/>
      <c r="GNG154" s="72"/>
      <c r="GNH154" s="72"/>
      <c r="GNI154" s="72"/>
      <c r="GNJ154" s="72"/>
      <c r="GNK154" s="72"/>
      <c r="GNL154" s="72"/>
      <c r="GNM154" s="72"/>
      <c r="GNN154" s="72"/>
      <c r="GNO154" s="72"/>
      <c r="GNP154" s="72"/>
      <c r="GNQ154" s="72"/>
      <c r="GNR154" s="72"/>
      <c r="GNS154" s="72"/>
      <c r="GNT154" s="72"/>
      <c r="GNU154" s="72"/>
      <c r="GNV154" s="72"/>
      <c r="GNW154" s="72"/>
      <c r="GNX154" s="72"/>
      <c r="GNY154" s="72"/>
      <c r="GNZ154" s="72"/>
      <c r="GOA154" s="72"/>
      <c r="GOB154" s="72"/>
      <c r="GOC154" s="72"/>
      <c r="GOD154" s="72"/>
      <c r="GOE154" s="72"/>
      <c r="GOF154" s="72"/>
      <c r="GOG154" s="72"/>
      <c r="GOH154" s="72"/>
      <c r="GOI154" s="72"/>
      <c r="GOJ154" s="72"/>
      <c r="GOK154" s="72"/>
      <c r="GOL154" s="72"/>
      <c r="GOM154" s="72"/>
      <c r="GON154" s="72"/>
      <c r="GOO154" s="72"/>
      <c r="GOP154" s="72"/>
      <c r="GOQ154" s="72"/>
      <c r="GOR154" s="72"/>
      <c r="GOS154" s="72"/>
      <c r="GOT154" s="72"/>
      <c r="GOU154" s="72"/>
      <c r="GOV154" s="72"/>
      <c r="GOW154" s="72"/>
      <c r="GOX154" s="72"/>
      <c r="GOY154" s="72"/>
      <c r="GOZ154" s="72"/>
      <c r="GPA154" s="72"/>
      <c r="GPB154" s="72"/>
      <c r="GPC154" s="72"/>
      <c r="GPD154" s="72"/>
      <c r="GPE154" s="72"/>
      <c r="GPF154" s="72"/>
      <c r="GPG154" s="72"/>
      <c r="GPH154" s="72"/>
      <c r="GPI154" s="72"/>
      <c r="GPJ154" s="72"/>
      <c r="GPK154" s="72"/>
      <c r="GPL154" s="72"/>
      <c r="GPM154" s="72"/>
      <c r="GPN154" s="72"/>
      <c r="GPO154" s="72"/>
      <c r="GPP154" s="72"/>
      <c r="GPQ154" s="72"/>
      <c r="GPR154" s="72"/>
      <c r="GPS154" s="72"/>
      <c r="GPT154" s="72"/>
      <c r="GPU154" s="72"/>
      <c r="GPV154" s="72"/>
      <c r="GPW154" s="72"/>
      <c r="GPX154" s="72"/>
      <c r="GPY154" s="72"/>
      <c r="GPZ154" s="72"/>
      <c r="GQA154" s="72"/>
      <c r="GQB154" s="72"/>
      <c r="GQC154" s="72"/>
      <c r="GQD154" s="72"/>
      <c r="GQE154" s="72"/>
      <c r="GQF154" s="72"/>
      <c r="GQG154" s="72"/>
      <c r="GQH154" s="72"/>
      <c r="GQI154" s="72"/>
      <c r="GQJ154" s="72"/>
      <c r="GQK154" s="72"/>
      <c r="GQL154" s="72"/>
      <c r="GQM154" s="72"/>
      <c r="GQN154" s="72"/>
      <c r="GQO154" s="72"/>
      <c r="GQP154" s="72"/>
      <c r="GQQ154" s="72"/>
      <c r="GQR154" s="72"/>
      <c r="GQS154" s="72"/>
      <c r="GQT154" s="72"/>
      <c r="GQU154" s="72"/>
      <c r="GQV154" s="72"/>
      <c r="GQW154" s="72"/>
      <c r="GQX154" s="72"/>
      <c r="GQY154" s="72"/>
      <c r="GQZ154" s="72"/>
      <c r="GRA154" s="72"/>
      <c r="GRB154" s="72"/>
      <c r="GRC154" s="72"/>
      <c r="GRD154" s="72"/>
      <c r="GRE154" s="72"/>
      <c r="GRF154" s="72"/>
      <c r="GRG154" s="72"/>
      <c r="GRH154" s="72"/>
      <c r="GRI154" s="72"/>
      <c r="GRJ154" s="72"/>
      <c r="GRK154" s="72"/>
      <c r="GRL154" s="72"/>
      <c r="GRM154" s="72"/>
      <c r="GRN154" s="72"/>
      <c r="GRO154" s="72"/>
      <c r="GRP154" s="72"/>
      <c r="GRQ154" s="72"/>
      <c r="GRR154" s="72"/>
      <c r="GRS154" s="72"/>
      <c r="GRT154" s="72"/>
      <c r="GRU154" s="72"/>
      <c r="GRV154" s="72"/>
      <c r="GRW154" s="72"/>
      <c r="GRX154" s="72"/>
      <c r="GRY154" s="72"/>
      <c r="GRZ154" s="72"/>
      <c r="GSA154" s="72"/>
      <c r="GSB154" s="72"/>
      <c r="GSC154" s="72"/>
      <c r="GSD154" s="72"/>
      <c r="GSE154" s="72"/>
      <c r="GSF154" s="72"/>
      <c r="GSG154" s="72"/>
      <c r="GSH154" s="72"/>
      <c r="GSI154" s="72"/>
      <c r="GSJ154" s="72"/>
      <c r="GSK154" s="72"/>
      <c r="GSL154" s="72"/>
      <c r="GSM154" s="72"/>
      <c r="GSN154" s="72"/>
      <c r="GSO154" s="72"/>
      <c r="GSP154" s="72"/>
      <c r="GSQ154" s="72"/>
      <c r="GSR154" s="72"/>
      <c r="GSS154" s="72"/>
      <c r="GST154" s="72"/>
      <c r="GSU154" s="72"/>
      <c r="GSV154" s="72"/>
      <c r="GSW154" s="72"/>
      <c r="GSX154" s="72"/>
      <c r="GSY154" s="72"/>
      <c r="GSZ154" s="72"/>
      <c r="GTA154" s="72"/>
      <c r="GTB154" s="72"/>
      <c r="GTC154" s="72"/>
      <c r="GTD154" s="72"/>
      <c r="GTE154" s="72"/>
      <c r="GTF154" s="72"/>
      <c r="GTG154" s="72"/>
      <c r="GTH154" s="72"/>
      <c r="GTI154" s="72"/>
      <c r="GTJ154" s="72"/>
      <c r="GTK154" s="72"/>
      <c r="GTL154" s="72"/>
      <c r="GTM154" s="72"/>
      <c r="GTN154" s="72"/>
      <c r="GTO154" s="72"/>
      <c r="GTP154" s="72"/>
      <c r="GTQ154" s="72"/>
      <c r="GTR154" s="72"/>
      <c r="GTS154" s="72"/>
      <c r="GTT154" s="72"/>
      <c r="GTU154" s="72"/>
      <c r="GTV154" s="72"/>
      <c r="GTW154" s="72"/>
      <c r="GTX154" s="72"/>
      <c r="GTY154" s="72"/>
      <c r="GTZ154" s="72"/>
      <c r="GUA154" s="72"/>
      <c r="GUB154" s="72"/>
      <c r="GUC154" s="72"/>
      <c r="GUD154" s="72"/>
      <c r="GUE154" s="72"/>
      <c r="GUF154" s="72"/>
      <c r="GUG154" s="72"/>
      <c r="GUH154" s="72"/>
      <c r="GUI154" s="72"/>
      <c r="GUJ154" s="72"/>
      <c r="GUK154" s="72"/>
      <c r="GUL154" s="72"/>
      <c r="GUM154" s="72"/>
      <c r="GUN154" s="72"/>
      <c r="GUO154" s="72"/>
      <c r="GUP154" s="72"/>
      <c r="GUQ154" s="72"/>
      <c r="GUR154" s="72"/>
      <c r="GUS154" s="72"/>
      <c r="GUT154" s="72"/>
      <c r="GUU154" s="72"/>
      <c r="GUV154" s="72"/>
      <c r="GUW154" s="72"/>
      <c r="GUX154" s="72"/>
      <c r="GUY154" s="72"/>
      <c r="GUZ154" s="72"/>
      <c r="GVA154" s="72"/>
      <c r="GVB154" s="72"/>
      <c r="GVC154" s="72"/>
      <c r="GVD154" s="72"/>
      <c r="GVE154" s="72"/>
      <c r="GVF154" s="72"/>
      <c r="GVG154" s="72"/>
      <c r="GVH154" s="72"/>
      <c r="GVI154" s="72"/>
      <c r="GVJ154" s="72"/>
      <c r="GVK154" s="72"/>
      <c r="GVL154" s="72"/>
      <c r="GVM154" s="72"/>
      <c r="GVN154" s="72"/>
      <c r="GVO154" s="72"/>
      <c r="GVP154" s="72"/>
      <c r="GVQ154" s="72"/>
      <c r="GVR154" s="72"/>
      <c r="GVS154" s="72"/>
      <c r="GVT154" s="72"/>
      <c r="GVU154" s="72"/>
      <c r="GVV154" s="72"/>
      <c r="GVW154" s="72"/>
      <c r="GVX154" s="72"/>
      <c r="GVY154" s="72"/>
      <c r="GVZ154" s="72"/>
      <c r="GWA154" s="72"/>
      <c r="GWB154" s="72"/>
      <c r="GWC154" s="72"/>
      <c r="GWD154" s="72"/>
      <c r="GWE154" s="72"/>
      <c r="GWF154" s="72"/>
      <c r="GWG154" s="72"/>
      <c r="GWH154" s="72"/>
      <c r="GWI154" s="72"/>
      <c r="GWJ154" s="72"/>
      <c r="GWK154" s="72"/>
      <c r="GWL154" s="72"/>
      <c r="GWM154" s="72"/>
      <c r="GWN154" s="72"/>
      <c r="GWO154" s="72"/>
      <c r="GWP154" s="72"/>
      <c r="GWQ154" s="72"/>
      <c r="GWR154" s="72"/>
      <c r="GWS154" s="72"/>
      <c r="GWT154" s="72"/>
      <c r="GWU154" s="72"/>
      <c r="GWV154" s="72"/>
      <c r="GWW154" s="72"/>
      <c r="GWX154" s="72"/>
      <c r="GWY154" s="72"/>
      <c r="GWZ154" s="72"/>
      <c r="GXA154" s="72"/>
      <c r="GXB154" s="72"/>
      <c r="GXC154" s="72"/>
      <c r="GXD154" s="72"/>
      <c r="GXE154" s="72"/>
      <c r="GXF154" s="72"/>
      <c r="GXG154" s="72"/>
      <c r="GXH154" s="72"/>
      <c r="GXI154" s="72"/>
      <c r="GXJ154" s="72"/>
      <c r="GXK154" s="72"/>
      <c r="GXL154" s="72"/>
      <c r="GXM154" s="72"/>
      <c r="GXN154" s="72"/>
      <c r="GXO154" s="72"/>
      <c r="GXP154" s="72"/>
      <c r="GXQ154" s="72"/>
      <c r="GXR154" s="72"/>
      <c r="GXS154" s="72"/>
      <c r="GXT154" s="72"/>
      <c r="GXU154" s="72"/>
      <c r="GXV154" s="72"/>
      <c r="GXW154" s="72"/>
      <c r="GXX154" s="72"/>
      <c r="GXY154" s="72"/>
      <c r="GXZ154" s="72"/>
      <c r="GYA154" s="72"/>
      <c r="GYB154" s="72"/>
      <c r="GYC154" s="72"/>
      <c r="GYD154" s="72"/>
      <c r="GYE154" s="72"/>
      <c r="GYF154" s="72"/>
      <c r="GYG154" s="72"/>
      <c r="GYH154" s="72"/>
      <c r="GYI154" s="72"/>
      <c r="GYJ154" s="72"/>
      <c r="GYK154" s="72"/>
      <c r="GYL154" s="72"/>
      <c r="GYM154" s="72"/>
      <c r="GYN154" s="72"/>
      <c r="GYO154" s="72"/>
      <c r="GYP154" s="72"/>
      <c r="GYQ154" s="72"/>
      <c r="GYR154" s="72"/>
      <c r="GYS154" s="72"/>
      <c r="GYT154" s="72"/>
      <c r="GYU154" s="72"/>
      <c r="GYV154" s="72"/>
      <c r="GYW154" s="72"/>
      <c r="GYX154" s="72"/>
      <c r="GYY154" s="72"/>
      <c r="GYZ154" s="72"/>
      <c r="GZA154" s="72"/>
      <c r="GZB154" s="72"/>
      <c r="GZC154" s="72"/>
      <c r="GZD154" s="72"/>
      <c r="GZE154" s="72"/>
      <c r="GZF154" s="72"/>
      <c r="GZG154" s="72"/>
      <c r="GZH154" s="72"/>
      <c r="GZI154" s="72"/>
      <c r="GZJ154" s="72"/>
      <c r="GZK154" s="72"/>
      <c r="GZL154" s="72"/>
      <c r="GZM154" s="72"/>
      <c r="GZN154" s="72"/>
      <c r="GZO154" s="72"/>
      <c r="GZP154" s="72"/>
      <c r="GZQ154" s="72"/>
      <c r="GZR154" s="72"/>
      <c r="GZS154" s="72"/>
      <c r="GZT154" s="72"/>
      <c r="GZU154" s="72"/>
      <c r="GZV154" s="72"/>
      <c r="GZW154" s="72"/>
      <c r="GZX154" s="72"/>
      <c r="GZY154" s="72"/>
      <c r="GZZ154" s="72"/>
      <c r="HAA154" s="72"/>
      <c r="HAB154" s="72"/>
      <c r="HAC154" s="72"/>
      <c r="HAD154" s="72"/>
      <c r="HAE154" s="72"/>
      <c r="HAF154" s="72"/>
      <c r="HAG154" s="72"/>
      <c r="HAH154" s="72"/>
      <c r="HAI154" s="72"/>
      <c r="HAJ154" s="72"/>
      <c r="HAK154" s="72"/>
      <c r="HAL154" s="72"/>
      <c r="HAM154" s="72"/>
      <c r="HAN154" s="72"/>
      <c r="HAO154" s="72"/>
      <c r="HAP154" s="72"/>
      <c r="HAQ154" s="72"/>
      <c r="HAR154" s="72"/>
      <c r="HAS154" s="72"/>
      <c r="HAT154" s="72"/>
      <c r="HAU154" s="72"/>
      <c r="HAV154" s="72"/>
      <c r="HAW154" s="72"/>
      <c r="HAX154" s="72"/>
      <c r="HAY154" s="72"/>
      <c r="HAZ154" s="72"/>
      <c r="HBA154" s="72"/>
      <c r="HBB154" s="72"/>
      <c r="HBC154" s="72"/>
      <c r="HBD154" s="72"/>
      <c r="HBE154" s="72"/>
      <c r="HBF154" s="72"/>
      <c r="HBG154" s="72"/>
      <c r="HBH154" s="72"/>
      <c r="HBI154" s="72"/>
      <c r="HBJ154" s="72"/>
      <c r="HBK154" s="72"/>
      <c r="HBL154" s="72"/>
      <c r="HBM154" s="72"/>
      <c r="HBN154" s="72"/>
      <c r="HBO154" s="72"/>
      <c r="HBP154" s="72"/>
      <c r="HBQ154" s="72"/>
      <c r="HBR154" s="72"/>
      <c r="HBS154" s="72"/>
      <c r="HBT154" s="72"/>
      <c r="HBU154" s="72"/>
      <c r="HBV154" s="72"/>
      <c r="HBW154" s="72"/>
      <c r="HBX154" s="72"/>
      <c r="HBY154" s="72"/>
      <c r="HBZ154" s="72"/>
      <c r="HCA154" s="72"/>
      <c r="HCB154" s="72"/>
      <c r="HCC154" s="72"/>
      <c r="HCD154" s="72"/>
      <c r="HCE154" s="72"/>
      <c r="HCF154" s="72"/>
      <c r="HCG154" s="72"/>
      <c r="HCH154" s="72"/>
      <c r="HCI154" s="72"/>
      <c r="HCJ154" s="72"/>
      <c r="HCK154" s="72"/>
      <c r="HCL154" s="72"/>
      <c r="HCM154" s="72"/>
      <c r="HCN154" s="72"/>
      <c r="HCO154" s="72"/>
      <c r="HCP154" s="72"/>
      <c r="HCQ154" s="72"/>
      <c r="HCR154" s="72"/>
      <c r="HCS154" s="72"/>
      <c r="HCT154" s="72"/>
      <c r="HCU154" s="72"/>
      <c r="HCV154" s="72"/>
      <c r="HCW154" s="72"/>
      <c r="HCX154" s="72"/>
      <c r="HCY154" s="72"/>
      <c r="HCZ154" s="72"/>
      <c r="HDA154" s="72"/>
      <c r="HDB154" s="72"/>
      <c r="HDC154" s="72"/>
      <c r="HDD154" s="72"/>
      <c r="HDE154" s="72"/>
      <c r="HDF154" s="72"/>
      <c r="HDG154" s="72"/>
      <c r="HDH154" s="72"/>
      <c r="HDI154" s="72"/>
      <c r="HDJ154" s="72"/>
      <c r="HDK154" s="72"/>
      <c r="HDL154" s="72"/>
      <c r="HDM154" s="72"/>
      <c r="HDN154" s="72"/>
      <c r="HDO154" s="72"/>
      <c r="HDP154" s="72"/>
      <c r="HDQ154" s="72"/>
      <c r="HDR154" s="72"/>
      <c r="HDS154" s="72"/>
      <c r="HDT154" s="72"/>
      <c r="HDU154" s="72"/>
      <c r="HDV154" s="72"/>
      <c r="HDW154" s="72"/>
      <c r="HDX154" s="72"/>
      <c r="HDY154" s="72"/>
      <c r="HDZ154" s="72"/>
      <c r="HEA154" s="72"/>
      <c r="HEB154" s="72"/>
      <c r="HEC154" s="72"/>
      <c r="HED154" s="72"/>
      <c r="HEE154" s="72"/>
      <c r="HEF154" s="72"/>
      <c r="HEG154" s="72"/>
      <c r="HEH154" s="72"/>
      <c r="HEI154" s="72"/>
      <c r="HEJ154" s="72"/>
      <c r="HEK154" s="72"/>
      <c r="HEL154" s="72"/>
      <c r="HEM154" s="72"/>
      <c r="HEN154" s="72"/>
      <c r="HEO154" s="72"/>
      <c r="HEP154" s="72"/>
      <c r="HEQ154" s="72"/>
      <c r="HER154" s="72"/>
      <c r="HES154" s="72"/>
      <c r="HET154" s="72"/>
      <c r="HEU154" s="72"/>
      <c r="HEV154" s="72"/>
      <c r="HEW154" s="72"/>
      <c r="HEX154" s="72"/>
      <c r="HEY154" s="72"/>
      <c r="HEZ154" s="72"/>
      <c r="HFA154" s="72"/>
      <c r="HFB154" s="72"/>
      <c r="HFC154" s="72"/>
      <c r="HFD154" s="72"/>
      <c r="HFE154" s="72"/>
      <c r="HFF154" s="72"/>
      <c r="HFG154" s="72"/>
      <c r="HFH154" s="72"/>
      <c r="HFI154" s="72"/>
      <c r="HFJ154" s="72"/>
      <c r="HFK154" s="72"/>
      <c r="HFL154" s="72"/>
      <c r="HFM154" s="72"/>
      <c r="HFN154" s="72"/>
      <c r="HFO154" s="72"/>
      <c r="HFP154" s="72"/>
      <c r="HFQ154" s="72"/>
      <c r="HFR154" s="72"/>
      <c r="HFS154" s="72"/>
      <c r="HFT154" s="72"/>
      <c r="HFU154" s="72"/>
      <c r="HFV154" s="72"/>
      <c r="HFW154" s="72"/>
      <c r="HFX154" s="72"/>
      <c r="HFY154" s="72"/>
      <c r="HFZ154" s="72"/>
      <c r="HGA154" s="72"/>
      <c r="HGB154" s="72"/>
      <c r="HGC154" s="72"/>
      <c r="HGD154" s="72"/>
      <c r="HGE154" s="72"/>
      <c r="HGF154" s="72"/>
      <c r="HGG154" s="72"/>
      <c r="HGH154" s="72"/>
      <c r="HGI154" s="72"/>
      <c r="HGJ154" s="72"/>
      <c r="HGK154" s="72"/>
      <c r="HGL154" s="72"/>
      <c r="HGM154" s="72"/>
      <c r="HGN154" s="72"/>
      <c r="HGO154" s="72"/>
      <c r="HGP154" s="72"/>
      <c r="HGQ154" s="72"/>
      <c r="HGR154" s="72"/>
      <c r="HGS154" s="72"/>
      <c r="HGT154" s="72"/>
      <c r="HGU154" s="72"/>
      <c r="HGV154" s="72"/>
      <c r="HGW154" s="72"/>
      <c r="HGX154" s="72"/>
      <c r="HGY154" s="72"/>
      <c r="HGZ154" s="72"/>
      <c r="HHA154" s="72"/>
      <c r="HHB154" s="72"/>
      <c r="HHC154" s="72"/>
      <c r="HHD154" s="72"/>
      <c r="HHE154" s="72"/>
      <c r="HHF154" s="72"/>
      <c r="HHG154" s="72"/>
      <c r="HHH154" s="72"/>
      <c r="HHI154" s="72"/>
      <c r="HHJ154" s="72"/>
      <c r="HHK154" s="72"/>
      <c r="HHL154" s="72"/>
      <c r="HHM154" s="72"/>
      <c r="HHN154" s="72"/>
      <c r="HHO154" s="72"/>
      <c r="HHP154" s="72"/>
      <c r="HHQ154" s="72"/>
      <c r="HHR154" s="72"/>
      <c r="HHS154" s="72"/>
      <c r="HHT154" s="72"/>
      <c r="HHU154" s="72"/>
      <c r="HHV154" s="72"/>
      <c r="HHW154" s="72"/>
      <c r="HHX154" s="72"/>
      <c r="HHY154" s="72"/>
      <c r="HHZ154" s="72"/>
      <c r="HIA154" s="72"/>
      <c r="HIB154" s="72"/>
      <c r="HIC154" s="72"/>
      <c r="HID154" s="72"/>
      <c r="HIE154" s="72"/>
      <c r="HIF154" s="72"/>
      <c r="HIG154" s="72"/>
      <c r="HIH154" s="72"/>
      <c r="HII154" s="72"/>
      <c r="HIJ154" s="72"/>
      <c r="HIK154" s="72"/>
      <c r="HIL154" s="72"/>
      <c r="HIM154" s="72"/>
      <c r="HIN154" s="72"/>
      <c r="HIO154" s="72"/>
      <c r="HIP154" s="72"/>
      <c r="HIQ154" s="72"/>
      <c r="HIR154" s="72"/>
      <c r="HIS154" s="72"/>
      <c r="HIT154" s="72"/>
      <c r="HIU154" s="72"/>
      <c r="HIV154" s="72"/>
      <c r="HIW154" s="72"/>
      <c r="HIX154" s="72"/>
      <c r="HIY154" s="72"/>
      <c r="HIZ154" s="72"/>
      <c r="HJA154" s="72"/>
      <c r="HJB154" s="72"/>
      <c r="HJC154" s="72"/>
      <c r="HJD154" s="72"/>
      <c r="HJE154" s="72"/>
      <c r="HJF154" s="72"/>
      <c r="HJG154" s="72"/>
      <c r="HJH154" s="72"/>
      <c r="HJI154" s="72"/>
      <c r="HJJ154" s="72"/>
      <c r="HJK154" s="72"/>
      <c r="HJL154" s="72"/>
      <c r="HJM154" s="72"/>
      <c r="HJN154" s="72"/>
      <c r="HJO154" s="72"/>
      <c r="HJP154" s="72"/>
      <c r="HJQ154" s="72"/>
      <c r="HJR154" s="72"/>
      <c r="HJS154" s="72"/>
      <c r="HJT154" s="72"/>
      <c r="HJU154" s="72"/>
      <c r="HJV154" s="72"/>
      <c r="HJW154" s="72"/>
      <c r="HJX154" s="72"/>
      <c r="HJY154" s="72"/>
      <c r="HJZ154" s="72"/>
      <c r="HKA154" s="72"/>
      <c r="HKB154" s="72"/>
      <c r="HKC154" s="72"/>
      <c r="HKD154" s="72"/>
      <c r="HKE154" s="72"/>
      <c r="HKF154" s="72"/>
      <c r="HKG154" s="72"/>
      <c r="HKH154" s="72"/>
      <c r="HKI154" s="72"/>
      <c r="HKJ154" s="72"/>
      <c r="HKK154" s="72"/>
      <c r="HKL154" s="72"/>
      <c r="HKM154" s="72"/>
      <c r="HKN154" s="72"/>
      <c r="HKO154" s="72"/>
      <c r="HKP154" s="72"/>
      <c r="HKQ154" s="72"/>
      <c r="HKR154" s="72"/>
      <c r="HKS154" s="72"/>
      <c r="HKT154" s="72"/>
      <c r="HKU154" s="72"/>
      <c r="HKV154" s="72"/>
      <c r="HKW154" s="72"/>
      <c r="HKX154" s="72"/>
      <c r="HKY154" s="72"/>
      <c r="HKZ154" s="72"/>
      <c r="HLA154" s="72"/>
      <c r="HLB154" s="72"/>
      <c r="HLC154" s="72"/>
      <c r="HLD154" s="72"/>
      <c r="HLE154" s="72"/>
      <c r="HLF154" s="72"/>
      <c r="HLG154" s="72"/>
      <c r="HLH154" s="72"/>
      <c r="HLI154" s="72"/>
      <c r="HLJ154" s="72"/>
      <c r="HLK154" s="72"/>
      <c r="HLL154" s="72"/>
      <c r="HLM154" s="72"/>
      <c r="HLN154" s="72"/>
      <c r="HLO154" s="72"/>
      <c r="HLP154" s="72"/>
      <c r="HLQ154" s="72"/>
      <c r="HLR154" s="72"/>
      <c r="HLS154" s="72"/>
      <c r="HLT154" s="72"/>
      <c r="HLU154" s="72"/>
      <c r="HLV154" s="72"/>
      <c r="HLW154" s="72"/>
      <c r="HLX154" s="72"/>
      <c r="HLY154" s="72"/>
      <c r="HLZ154" s="72"/>
      <c r="HMA154" s="72"/>
      <c r="HMB154" s="72"/>
      <c r="HMC154" s="72"/>
      <c r="HMD154" s="72"/>
      <c r="HME154" s="72"/>
      <c r="HMF154" s="72"/>
      <c r="HMG154" s="72"/>
      <c r="HMH154" s="72"/>
      <c r="HMI154" s="72"/>
      <c r="HMJ154" s="72"/>
      <c r="HMK154" s="72"/>
      <c r="HML154" s="72"/>
      <c r="HMM154" s="72"/>
      <c r="HMN154" s="72"/>
      <c r="HMO154" s="72"/>
      <c r="HMP154" s="72"/>
      <c r="HMQ154" s="72"/>
      <c r="HMR154" s="72"/>
      <c r="HMS154" s="72"/>
      <c r="HMT154" s="72"/>
      <c r="HMU154" s="72"/>
      <c r="HMV154" s="72"/>
      <c r="HMW154" s="72"/>
      <c r="HMX154" s="72"/>
      <c r="HMY154" s="72"/>
      <c r="HMZ154" s="72"/>
      <c r="HNA154" s="72"/>
      <c r="HNB154" s="72"/>
      <c r="HNC154" s="72"/>
      <c r="HND154" s="72"/>
      <c r="HNE154" s="72"/>
      <c r="HNF154" s="72"/>
      <c r="HNG154" s="72"/>
      <c r="HNH154" s="72"/>
      <c r="HNI154" s="72"/>
      <c r="HNJ154" s="72"/>
      <c r="HNK154" s="72"/>
      <c r="HNL154" s="72"/>
      <c r="HNM154" s="72"/>
      <c r="HNN154" s="72"/>
      <c r="HNO154" s="72"/>
      <c r="HNP154" s="72"/>
      <c r="HNQ154" s="72"/>
      <c r="HNR154" s="72"/>
      <c r="HNS154" s="72"/>
      <c r="HNT154" s="72"/>
      <c r="HNU154" s="72"/>
      <c r="HNV154" s="72"/>
      <c r="HNW154" s="72"/>
      <c r="HNX154" s="72"/>
      <c r="HNY154" s="72"/>
      <c r="HNZ154" s="72"/>
      <c r="HOA154" s="72"/>
      <c r="HOB154" s="72"/>
      <c r="HOC154" s="72"/>
      <c r="HOD154" s="72"/>
      <c r="HOE154" s="72"/>
      <c r="HOF154" s="72"/>
      <c r="HOG154" s="72"/>
      <c r="HOH154" s="72"/>
      <c r="HOI154" s="72"/>
      <c r="HOJ154" s="72"/>
      <c r="HOK154" s="72"/>
      <c r="HOL154" s="72"/>
      <c r="HOM154" s="72"/>
      <c r="HON154" s="72"/>
      <c r="HOO154" s="72"/>
      <c r="HOP154" s="72"/>
      <c r="HOQ154" s="72"/>
      <c r="HOR154" s="72"/>
      <c r="HOS154" s="72"/>
      <c r="HOT154" s="72"/>
      <c r="HOU154" s="72"/>
      <c r="HOV154" s="72"/>
      <c r="HOW154" s="72"/>
      <c r="HOX154" s="72"/>
      <c r="HOY154" s="72"/>
      <c r="HOZ154" s="72"/>
      <c r="HPA154" s="72"/>
      <c r="HPB154" s="72"/>
      <c r="HPC154" s="72"/>
      <c r="HPD154" s="72"/>
      <c r="HPE154" s="72"/>
      <c r="HPF154" s="72"/>
      <c r="HPG154" s="72"/>
      <c r="HPH154" s="72"/>
      <c r="HPI154" s="72"/>
      <c r="HPJ154" s="72"/>
      <c r="HPK154" s="72"/>
      <c r="HPL154" s="72"/>
      <c r="HPM154" s="72"/>
      <c r="HPN154" s="72"/>
      <c r="HPO154" s="72"/>
      <c r="HPP154" s="72"/>
      <c r="HPQ154" s="72"/>
      <c r="HPR154" s="72"/>
      <c r="HPS154" s="72"/>
      <c r="HPT154" s="72"/>
      <c r="HPU154" s="72"/>
      <c r="HPV154" s="72"/>
      <c r="HPW154" s="72"/>
      <c r="HPX154" s="72"/>
      <c r="HPY154" s="72"/>
      <c r="HPZ154" s="72"/>
      <c r="HQA154" s="72"/>
      <c r="HQB154" s="72"/>
      <c r="HQC154" s="72"/>
      <c r="HQD154" s="72"/>
      <c r="HQE154" s="72"/>
      <c r="HQF154" s="72"/>
      <c r="HQG154" s="72"/>
      <c r="HQH154" s="72"/>
      <c r="HQI154" s="72"/>
      <c r="HQJ154" s="72"/>
      <c r="HQK154" s="72"/>
      <c r="HQL154" s="72"/>
      <c r="HQM154" s="72"/>
      <c r="HQN154" s="72"/>
      <c r="HQO154" s="72"/>
      <c r="HQP154" s="72"/>
      <c r="HQQ154" s="72"/>
      <c r="HQR154" s="72"/>
      <c r="HQS154" s="72"/>
      <c r="HQT154" s="72"/>
      <c r="HQU154" s="72"/>
      <c r="HQV154" s="72"/>
      <c r="HQW154" s="72"/>
      <c r="HQX154" s="72"/>
      <c r="HQY154" s="72"/>
      <c r="HQZ154" s="72"/>
      <c r="HRA154" s="72"/>
      <c r="HRB154" s="72"/>
      <c r="HRC154" s="72"/>
      <c r="HRD154" s="72"/>
      <c r="HRE154" s="72"/>
      <c r="HRF154" s="72"/>
      <c r="HRG154" s="72"/>
      <c r="HRH154" s="72"/>
      <c r="HRI154" s="72"/>
      <c r="HRJ154" s="72"/>
      <c r="HRK154" s="72"/>
      <c r="HRL154" s="72"/>
      <c r="HRM154" s="72"/>
      <c r="HRN154" s="72"/>
      <c r="HRO154" s="72"/>
      <c r="HRP154" s="72"/>
      <c r="HRQ154" s="72"/>
      <c r="HRR154" s="72"/>
      <c r="HRS154" s="72"/>
      <c r="HRT154" s="72"/>
      <c r="HRU154" s="72"/>
      <c r="HRV154" s="72"/>
      <c r="HRW154" s="72"/>
      <c r="HRX154" s="72"/>
      <c r="HRY154" s="72"/>
      <c r="HRZ154" s="72"/>
      <c r="HSA154" s="72"/>
      <c r="HSB154" s="72"/>
      <c r="HSC154" s="72"/>
      <c r="HSD154" s="72"/>
      <c r="HSE154" s="72"/>
      <c r="HSF154" s="72"/>
      <c r="HSG154" s="72"/>
      <c r="HSH154" s="72"/>
      <c r="HSI154" s="72"/>
      <c r="HSJ154" s="72"/>
      <c r="HSK154" s="72"/>
      <c r="HSL154" s="72"/>
      <c r="HSM154" s="72"/>
      <c r="HSN154" s="72"/>
      <c r="HSO154" s="72"/>
      <c r="HSP154" s="72"/>
      <c r="HSQ154" s="72"/>
      <c r="HSR154" s="72"/>
      <c r="HSS154" s="72"/>
      <c r="HST154" s="72"/>
      <c r="HSU154" s="72"/>
      <c r="HSV154" s="72"/>
      <c r="HSW154" s="72"/>
      <c r="HSX154" s="72"/>
      <c r="HSY154" s="72"/>
      <c r="HSZ154" s="72"/>
      <c r="HTA154" s="72"/>
      <c r="HTB154" s="72"/>
      <c r="HTC154" s="72"/>
      <c r="HTD154" s="72"/>
      <c r="HTE154" s="72"/>
      <c r="HTF154" s="72"/>
      <c r="HTG154" s="72"/>
      <c r="HTH154" s="72"/>
      <c r="HTI154" s="72"/>
      <c r="HTJ154" s="72"/>
      <c r="HTK154" s="72"/>
      <c r="HTL154" s="72"/>
      <c r="HTM154" s="72"/>
      <c r="HTN154" s="72"/>
      <c r="HTO154" s="72"/>
      <c r="HTP154" s="72"/>
      <c r="HTQ154" s="72"/>
      <c r="HTR154" s="72"/>
      <c r="HTS154" s="72"/>
      <c r="HTT154" s="72"/>
      <c r="HTU154" s="72"/>
      <c r="HTV154" s="72"/>
      <c r="HTW154" s="72"/>
      <c r="HTX154" s="72"/>
      <c r="HTY154" s="72"/>
      <c r="HTZ154" s="72"/>
      <c r="HUA154" s="72"/>
      <c r="HUB154" s="72"/>
      <c r="HUC154" s="72"/>
      <c r="HUD154" s="72"/>
      <c r="HUE154" s="72"/>
      <c r="HUF154" s="72"/>
      <c r="HUG154" s="72"/>
      <c r="HUH154" s="72"/>
      <c r="HUI154" s="72"/>
      <c r="HUJ154" s="72"/>
      <c r="HUK154" s="72"/>
      <c r="HUL154" s="72"/>
      <c r="HUM154" s="72"/>
      <c r="HUN154" s="72"/>
      <c r="HUO154" s="72"/>
      <c r="HUP154" s="72"/>
      <c r="HUQ154" s="72"/>
      <c r="HUR154" s="72"/>
      <c r="HUS154" s="72"/>
      <c r="HUT154" s="72"/>
      <c r="HUU154" s="72"/>
      <c r="HUV154" s="72"/>
      <c r="HUW154" s="72"/>
      <c r="HUX154" s="72"/>
      <c r="HUY154" s="72"/>
      <c r="HUZ154" s="72"/>
      <c r="HVA154" s="72"/>
      <c r="HVB154" s="72"/>
      <c r="HVC154" s="72"/>
      <c r="HVD154" s="72"/>
      <c r="HVE154" s="72"/>
      <c r="HVF154" s="72"/>
      <c r="HVG154" s="72"/>
      <c r="HVH154" s="72"/>
      <c r="HVI154" s="72"/>
      <c r="HVJ154" s="72"/>
      <c r="HVK154" s="72"/>
      <c r="HVL154" s="72"/>
      <c r="HVM154" s="72"/>
      <c r="HVN154" s="72"/>
      <c r="HVO154" s="72"/>
      <c r="HVP154" s="72"/>
      <c r="HVQ154" s="72"/>
      <c r="HVR154" s="72"/>
      <c r="HVS154" s="72"/>
      <c r="HVT154" s="72"/>
      <c r="HVU154" s="72"/>
      <c r="HVV154" s="72"/>
      <c r="HVW154" s="72"/>
      <c r="HVX154" s="72"/>
      <c r="HVY154" s="72"/>
      <c r="HVZ154" s="72"/>
      <c r="HWA154" s="72"/>
      <c r="HWB154" s="72"/>
      <c r="HWC154" s="72"/>
      <c r="HWD154" s="72"/>
      <c r="HWE154" s="72"/>
      <c r="HWF154" s="72"/>
      <c r="HWG154" s="72"/>
      <c r="HWH154" s="72"/>
      <c r="HWI154" s="72"/>
      <c r="HWJ154" s="72"/>
      <c r="HWK154" s="72"/>
      <c r="HWL154" s="72"/>
      <c r="HWM154" s="72"/>
      <c r="HWN154" s="72"/>
      <c r="HWO154" s="72"/>
      <c r="HWP154" s="72"/>
      <c r="HWQ154" s="72"/>
      <c r="HWR154" s="72"/>
      <c r="HWS154" s="72"/>
      <c r="HWT154" s="72"/>
      <c r="HWU154" s="72"/>
      <c r="HWV154" s="72"/>
      <c r="HWW154" s="72"/>
      <c r="HWX154" s="72"/>
      <c r="HWY154" s="72"/>
      <c r="HWZ154" s="72"/>
      <c r="HXA154" s="72"/>
      <c r="HXB154" s="72"/>
      <c r="HXC154" s="72"/>
      <c r="HXD154" s="72"/>
      <c r="HXE154" s="72"/>
      <c r="HXF154" s="72"/>
      <c r="HXG154" s="72"/>
      <c r="HXH154" s="72"/>
      <c r="HXI154" s="72"/>
      <c r="HXJ154" s="72"/>
      <c r="HXK154" s="72"/>
      <c r="HXL154" s="72"/>
      <c r="HXM154" s="72"/>
      <c r="HXN154" s="72"/>
      <c r="HXO154" s="72"/>
      <c r="HXP154" s="72"/>
      <c r="HXQ154" s="72"/>
      <c r="HXR154" s="72"/>
      <c r="HXS154" s="72"/>
      <c r="HXT154" s="72"/>
      <c r="HXU154" s="72"/>
      <c r="HXV154" s="72"/>
      <c r="HXW154" s="72"/>
      <c r="HXX154" s="72"/>
      <c r="HXY154" s="72"/>
      <c r="HXZ154" s="72"/>
      <c r="HYA154" s="72"/>
      <c r="HYB154" s="72"/>
      <c r="HYC154" s="72"/>
      <c r="HYD154" s="72"/>
      <c r="HYE154" s="72"/>
      <c r="HYF154" s="72"/>
      <c r="HYG154" s="72"/>
      <c r="HYH154" s="72"/>
      <c r="HYI154" s="72"/>
      <c r="HYJ154" s="72"/>
      <c r="HYK154" s="72"/>
      <c r="HYL154" s="72"/>
      <c r="HYM154" s="72"/>
      <c r="HYN154" s="72"/>
      <c r="HYO154" s="72"/>
      <c r="HYP154" s="72"/>
      <c r="HYQ154" s="72"/>
      <c r="HYR154" s="72"/>
      <c r="HYS154" s="72"/>
      <c r="HYT154" s="72"/>
      <c r="HYU154" s="72"/>
      <c r="HYV154" s="72"/>
      <c r="HYW154" s="72"/>
      <c r="HYX154" s="72"/>
      <c r="HYY154" s="72"/>
      <c r="HYZ154" s="72"/>
      <c r="HZA154" s="72"/>
      <c r="HZB154" s="72"/>
      <c r="HZC154" s="72"/>
      <c r="HZD154" s="72"/>
      <c r="HZE154" s="72"/>
      <c r="HZF154" s="72"/>
      <c r="HZG154" s="72"/>
      <c r="HZH154" s="72"/>
      <c r="HZI154" s="72"/>
      <c r="HZJ154" s="72"/>
      <c r="HZK154" s="72"/>
      <c r="HZL154" s="72"/>
      <c r="HZM154" s="72"/>
      <c r="HZN154" s="72"/>
      <c r="HZO154" s="72"/>
      <c r="HZP154" s="72"/>
      <c r="HZQ154" s="72"/>
      <c r="HZR154" s="72"/>
      <c r="HZS154" s="72"/>
      <c r="HZT154" s="72"/>
      <c r="HZU154" s="72"/>
      <c r="HZV154" s="72"/>
      <c r="HZW154" s="72"/>
      <c r="HZX154" s="72"/>
      <c r="HZY154" s="72"/>
      <c r="HZZ154" s="72"/>
      <c r="IAA154" s="72"/>
      <c r="IAB154" s="72"/>
      <c r="IAC154" s="72"/>
      <c r="IAD154" s="72"/>
      <c r="IAE154" s="72"/>
      <c r="IAF154" s="72"/>
      <c r="IAG154" s="72"/>
      <c r="IAH154" s="72"/>
      <c r="IAI154" s="72"/>
      <c r="IAJ154" s="72"/>
      <c r="IAK154" s="72"/>
      <c r="IAL154" s="72"/>
      <c r="IAM154" s="72"/>
      <c r="IAN154" s="72"/>
      <c r="IAO154" s="72"/>
      <c r="IAP154" s="72"/>
      <c r="IAQ154" s="72"/>
      <c r="IAR154" s="72"/>
      <c r="IAS154" s="72"/>
      <c r="IAT154" s="72"/>
      <c r="IAU154" s="72"/>
      <c r="IAV154" s="72"/>
      <c r="IAW154" s="72"/>
      <c r="IAX154" s="72"/>
      <c r="IAY154" s="72"/>
      <c r="IAZ154" s="72"/>
      <c r="IBA154" s="72"/>
      <c r="IBB154" s="72"/>
      <c r="IBC154" s="72"/>
      <c r="IBD154" s="72"/>
      <c r="IBE154" s="72"/>
      <c r="IBF154" s="72"/>
      <c r="IBG154" s="72"/>
      <c r="IBH154" s="72"/>
      <c r="IBI154" s="72"/>
      <c r="IBJ154" s="72"/>
      <c r="IBK154" s="72"/>
      <c r="IBL154" s="72"/>
      <c r="IBM154" s="72"/>
      <c r="IBN154" s="72"/>
      <c r="IBO154" s="72"/>
      <c r="IBP154" s="72"/>
      <c r="IBQ154" s="72"/>
      <c r="IBR154" s="72"/>
      <c r="IBS154" s="72"/>
      <c r="IBT154" s="72"/>
      <c r="IBU154" s="72"/>
      <c r="IBV154" s="72"/>
      <c r="IBW154" s="72"/>
      <c r="IBX154" s="72"/>
      <c r="IBY154" s="72"/>
      <c r="IBZ154" s="72"/>
      <c r="ICA154" s="72"/>
      <c r="ICB154" s="72"/>
      <c r="ICC154" s="72"/>
      <c r="ICD154" s="72"/>
      <c r="ICE154" s="72"/>
      <c r="ICF154" s="72"/>
      <c r="ICG154" s="72"/>
      <c r="ICH154" s="72"/>
      <c r="ICI154" s="72"/>
      <c r="ICJ154" s="72"/>
      <c r="ICK154" s="72"/>
      <c r="ICL154" s="72"/>
      <c r="ICM154" s="72"/>
      <c r="ICN154" s="72"/>
      <c r="ICO154" s="72"/>
      <c r="ICP154" s="72"/>
      <c r="ICQ154" s="72"/>
      <c r="ICR154" s="72"/>
      <c r="ICS154" s="72"/>
      <c r="ICT154" s="72"/>
      <c r="ICU154" s="72"/>
      <c r="ICV154" s="72"/>
      <c r="ICW154" s="72"/>
      <c r="ICX154" s="72"/>
      <c r="ICY154" s="72"/>
      <c r="ICZ154" s="72"/>
      <c r="IDA154" s="72"/>
      <c r="IDB154" s="72"/>
      <c r="IDC154" s="72"/>
      <c r="IDD154" s="72"/>
      <c r="IDE154" s="72"/>
      <c r="IDF154" s="72"/>
      <c r="IDG154" s="72"/>
      <c r="IDH154" s="72"/>
      <c r="IDI154" s="72"/>
      <c r="IDJ154" s="72"/>
      <c r="IDK154" s="72"/>
      <c r="IDL154" s="72"/>
      <c r="IDM154" s="72"/>
      <c r="IDN154" s="72"/>
      <c r="IDO154" s="72"/>
      <c r="IDP154" s="72"/>
      <c r="IDQ154" s="72"/>
      <c r="IDR154" s="72"/>
      <c r="IDS154" s="72"/>
      <c r="IDT154" s="72"/>
      <c r="IDU154" s="72"/>
      <c r="IDV154" s="72"/>
      <c r="IDW154" s="72"/>
      <c r="IDX154" s="72"/>
      <c r="IDY154" s="72"/>
      <c r="IDZ154" s="72"/>
      <c r="IEA154" s="72"/>
      <c r="IEB154" s="72"/>
      <c r="IEC154" s="72"/>
      <c r="IED154" s="72"/>
      <c r="IEE154" s="72"/>
      <c r="IEF154" s="72"/>
      <c r="IEG154" s="72"/>
      <c r="IEH154" s="72"/>
      <c r="IEI154" s="72"/>
      <c r="IEJ154" s="72"/>
      <c r="IEK154" s="72"/>
      <c r="IEL154" s="72"/>
      <c r="IEM154" s="72"/>
      <c r="IEN154" s="72"/>
      <c r="IEO154" s="72"/>
      <c r="IEP154" s="72"/>
      <c r="IEQ154" s="72"/>
      <c r="IER154" s="72"/>
      <c r="IES154" s="72"/>
      <c r="IET154" s="72"/>
      <c r="IEU154" s="72"/>
      <c r="IEV154" s="72"/>
      <c r="IEW154" s="72"/>
      <c r="IEX154" s="72"/>
      <c r="IEY154" s="72"/>
      <c r="IEZ154" s="72"/>
      <c r="IFA154" s="72"/>
      <c r="IFB154" s="72"/>
      <c r="IFC154" s="72"/>
      <c r="IFD154" s="72"/>
      <c r="IFE154" s="72"/>
      <c r="IFF154" s="72"/>
      <c r="IFG154" s="72"/>
      <c r="IFH154" s="72"/>
      <c r="IFI154" s="72"/>
      <c r="IFJ154" s="72"/>
      <c r="IFK154" s="72"/>
      <c r="IFL154" s="72"/>
      <c r="IFM154" s="72"/>
      <c r="IFN154" s="72"/>
      <c r="IFO154" s="72"/>
      <c r="IFP154" s="72"/>
      <c r="IFQ154" s="72"/>
      <c r="IFR154" s="72"/>
      <c r="IFS154" s="72"/>
      <c r="IFT154" s="72"/>
      <c r="IFU154" s="72"/>
      <c r="IFV154" s="72"/>
      <c r="IFW154" s="72"/>
      <c r="IFX154" s="72"/>
      <c r="IFY154" s="72"/>
      <c r="IFZ154" s="72"/>
      <c r="IGA154" s="72"/>
      <c r="IGB154" s="72"/>
      <c r="IGC154" s="72"/>
      <c r="IGD154" s="72"/>
      <c r="IGE154" s="72"/>
      <c r="IGF154" s="72"/>
      <c r="IGG154" s="72"/>
      <c r="IGH154" s="72"/>
      <c r="IGI154" s="72"/>
      <c r="IGJ154" s="72"/>
      <c r="IGK154" s="72"/>
      <c r="IGL154" s="72"/>
      <c r="IGM154" s="72"/>
      <c r="IGN154" s="72"/>
      <c r="IGO154" s="72"/>
      <c r="IGP154" s="72"/>
      <c r="IGQ154" s="72"/>
      <c r="IGR154" s="72"/>
      <c r="IGS154" s="72"/>
      <c r="IGT154" s="72"/>
      <c r="IGU154" s="72"/>
      <c r="IGV154" s="72"/>
      <c r="IGW154" s="72"/>
      <c r="IGX154" s="72"/>
      <c r="IGY154" s="72"/>
      <c r="IGZ154" s="72"/>
      <c r="IHA154" s="72"/>
      <c r="IHB154" s="72"/>
      <c r="IHC154" s="72"/>
      <c r="IHD154" s="72"/>
      <c r="IHE154" s="72"/>
      <c r="IHF154" s="72"/>
      <c r="IHG154" s="72"/>
      <c r="IHH154" s="72"/>
      <c r="IHI154" s="72"/>
      <c r="IHJ154" s="72"/>
      <c r="IHK154" s="72"/>
      <c r="IHL154" s="72"/>
      <c r="IHM154" s="72"/>
      <c r="IHN154" s="72"/>
      <c r="IHO154" s="72"/>
      <c r="IHP154" s="72"/>
      <c r="IHQ154" s="72"/>
      <c r="IHR154" s="72"/>
      <c r="IHS154" s="72"/>
      <c r="IHT154" s="72"/>
      <c r="IHU154" s="72"/>
      <c r="IHV154" s="72"/>
      <c r="IHW154" s="72"/>
      <c r="IHX154" s="72"/>
      <c r="IHY154" s="72"/>
      <c r="IHZ154" s="72"/>
      <c r="IIA154" s="72"/>
      <c r="IIB154" s="72"/>
      <c r="IIC154" s="72"/>
      <c r="IID154" s="72"/>
      <c r="IIE154" s="72"/>
      <c r="IIF154" s="72"/>
      <c r="IIG154" s="72"/>
      <c r="IIH154" s="72"/>
      <c r="III154" s="72"/>
      <c r="IIJ154" s="72"/>
      <c r="IIK154" s="72"/>
      <c r="IIL154" s="72"/>
      <c r="IIM154" s="72"/>
      <c r="IIN154" s="72"/>
      <c r="IIO154" s="72"/>
      <c r="IIP154" s="72"/>
      <c r="IIQ154" s="72"/>
      <c r="IIR154" s="72"/>
      <c r="IIS154" s="72"/>
      <c r="IIT154" s="72"/>
      <c r="IIU154" s="72"/>
      <c r="IIV154" s="72"/>
      <c r="IIW154" s="72"/>
      <c r="IIX154" s="72"/>
      <c r="IIY154" s="72"/>
      <c r="IIZ154" s="72"/>
      <c r="IJA154" s="72"/>
      <c r="IJB154" s="72"/>
      <c r="IJC154" s="72"/>
      <c r="IJD154" s="72"/>
      <c r="IJE154" s="72"/>
      <c r="IJF154" s="72"/>
      <c r="IJG154" s="72"/>
      <c r="IJH154" s="72"/>
      <c r="IJI154" s="72"/>
      <c r="IJJ154" s="72"/>
      <c r="IJK154" s="72"/>
      <c r="IJL154" s="72"/>
      <c r="IJM154" s="72"/>
      <c r="IJN154" s="72"/>
      <c r="IJO154" s="72"/>
      <c r="IJP154" s="72"/>
      <c r="IJQ154" s="72"/>
      <c r="IJR154" s="72"/>
      <c r="IJS154" s="72"/>
      <c r="IJT154" s="72"/>
      <c r="IJU154" s="72"/>
      <c r="IJV154" s="72"/>
      <c r="IJW154" s="72"/>
      <c r="IJX154" s="72"/>
      <c r="IJY154" s="72"/>
      <c r="IJZ154" s="72"/>
      <c r="IKA154" s="72"/>
      <c r="IKB154" s="72"/>
      <c r="IKC154" s="72"/>
      <c r="IKD154" s="72"/>
      <c r="IKE154" s="72"/>
      <c r="IKF154" s="72"/>
      <c r="IKG154" s="72"/>
      <c r="IKH154" s="72"/>
      <c r="IKI154" s="72"/>
      <c r="IKJ154" s="72"/>
      <c r="IKK154" s="72"/>
      <c r="IKL154" s="72"/>
      <c r="IKM154" s="72"/>
      <c r="IKN154" s="72"/>
      <c r="IKO154" s="72"/>
      <c r="IKP154" s="72"/>
      <c r="IKQ154" s="72"/>
      <c r="IKR154" s="72"/>
      <c r="IKS154" s="72"/>
      <c r="IKT154" s="72"/>
      <c r="IKU154" s="72"/>
      <c r="IKV154" s="72"/>
      <c r="IKW154" s="72"/>
      <c r="IKX154" s="72"/>
      <c r="IKY154" s="72"/>
      <c r="IKZ154" s="72"/>
      <c r="ILA154" s="72"/>
      <c r="ILB154" s="72"/>
      <c r="ILC154" s="72"/>
      <c r="ILD154" s="72"/>
      <c r="ILE154" s="72"/>
      <c r="ILF154" s="72"/>
      <c r="ILG154" s="72"/>
      <c r="ILH154" s="72"/>
      <c r="ILI154" s="72"/>
      <c r="ILJ154" s="72"/>
      <c r="ILK154" s="72"/>
      <c r="ILL154" s="72"/>
      <c r="ILM154" s="72"/>
      <c r="ILN154" s="72"/>
      <c r="ILO154" s="72"/>
      <c r="ILP154" s="72"/>
      <c r="ILQ154" s="72"/>
      <c r="ILR154" s="72"/>
      <c r="ILS154" s="72"/>
      <c r="ILT154" s="72"/>
      <c r="ILU154" s="72"/>
      <c r="ILV154" s="72"/>
      <c r="ILW154" s="72"/>
      <c r="ILX154" s="72"/>
      <c r="ILY154" s="72"/>
      <c r="ILZ154" s="72"/>
      <c r="IMA154" s="72"/>
      <c r="IMB154" s="72"/>
      <c r="IMC154" s="72"/>
      <c r="IMD154" s="72"/>
      <c r="IME154" s="72"/>
      <c r="IMF154" s="72"/>
      <c r="IMG154" s="72"/>
      <c r="IMH154" s="72"/>
      <c r="IMI154" s="72"/>
      <c r="IMJ154" s="72"/>
      <c r="IMK154" s="72"/>
      <c r="IML154" s="72"/>
      <c r="IMM154" s="72"/>
      <c r="IMN154" s="72"/>
      <c r="IMO154" s="72"/>
      <c r="IMP154" s="72"/>
      <c r="IMQ154" s="72"/>
      <c r="IMR154" s="72"/>
      <c r="IMS154" s="72"/>
      <c r="IMT154" s="72"/>
      <c r="IMU154" s="72"/>
      <c r="IMV154" s="72"/>
      <c r="IMW154" s="72"/>
      <c r="IMX154" s="72"/>
      <c r="IMY154" s="72"/>
      <c r="IMZ154" s="72"/>
      <c r="INA154" s="72"/>
      <c r="INB154" s="72"/>
      <c r="INC154" s="72"/>
      <c r="IND154" s="72"/>
      <c r="INE154" s="72"/>
      <c r="INF154" s="72"/>
      <c r="ING154" s="72"/>
      <c r="INH154" s="72"/>
      <c r="INI154" s="72"/>
      <c r="INJ154" s="72"/>
      <c r="INK154" s="72"/>
      <c r="INL154" s="72"/>
      <c r="INM154" s="72"/>
      <c r="INN154" s="72"/>
      <c r="INO154" s="72"/>
      <c r="INP154" s="72"/>
      <c r="INQ154" s="72"/>
      <c r="INR154" s="72"/>
      <c r="INS154" s="72"/>
      <c r="INT154" s="72"/>
      <c r="INU154" s="72"/>
      <c r="INV154" s="72"/>
      <c r="INW154" s="72"/>
      <c r="INX154" s="72"/>
      <c r="INY154" s="72"/>
      <c r="INZ154" s="72"/>
      <c r="IOA154" s="72"/>
      <c r="IOB154" s="72"/>
      <c r="IOC154" s="72"/>
      <c r="IOD154" s="72"/>
      <c r="IOE154" s="72"/>
      <c r="IOF154" s="72"/>
      <c r="IOG154" s="72"/>
      <c r="IOH154" s="72"/>
      <c r="IOI154" s="72"/>
      <c r="IOJ154" s="72"/>
      <c r="IOK154" s="72"/>
      <c r="IOL154" s="72"/>
      <c r="IOM154" s="72"/>
      <c r="ION154" s="72"/>
      <c r="IOO154" s="72"/>
      <c r="IOP154" s="72"/>
      <c r="IOQ154" s="72"/>
      <c r="IOR154" s="72"/>
      <c r="IOS154" s="72"/>
      <c r="IOT154" s="72"/>
      <c r="IOU154" s="72"/>
      <c r="IOV154" s="72"/>
      <c r="IOW154" s="72"/>
      <c r="IOX154" s="72"/>
      <c r="IOY154" s="72"/>
      <c r="IOZ154" s="72"/>
      <c r="IPA154" s="72"/>
      <c r="IPB154" s="72"/>
      <c r="IPC154" s="72"/>
      <c r="IPD154" s="72"/>
      <c r="IPE154" s="72"/>
      <c r="IPF154" s="72"/>
      <c r="IPG154" s="72"/>
      <c r="IPH154" s="72"/>
      <c r="IPI154" s="72"/>
      <c r="IPJ154" s="72"/>
      <c r="IPK154" s="72"/>
      <c r="IPL154" s="72"/>
      <c r="IPM154" s="72"/>
      <c r="IPN154" s="72"/>
      <c r="IPO154" s="72"/>
      <c r="IPP154" s="72"/>
      <c r="IPQ154" s="72"/>
      <c r="IPR154" s="72"/>
      <c r="IPS154" s="72"/>
      <c r="IPT154" s="72"/>
      <c r="IPU154" s="72"/>
      <c r="IPV154" s="72"/>
      <c r="IPW154" s="72"/>
      <c r="IPX154" s="72"/>
      <c r="IPY154" s="72"/>
      <c r="IPZ154" s="72"/>
      <c r="IQA154" s="72"/>
      <c r="IQB154" s="72"/>
      <c r="IQC154" s="72"/>
      <c r="IQD154" s="72"/>
      <c r="IQE154" s="72"/>
      <c r="IQF154" s="72"/>
      <c r="IQG154" s="72"/>
      <c r="IQH154" s="72"/>
      <c r="IQI154" s="72"/>
      <c r="IQJ154" s="72"/>
      <c r="IQK154" s="72"/>
      <c r="IQL154" s="72"/>
      <c r="IQM154" s="72"/>
      <c r="IQN154" s="72"/>
      <c r="IQO154" s="72"/>
      <c r="IQP154" s="72"/>
      <c r="IQQ154" s="72"/>
      <c r="IQR154" s="72"/>
      <c r="IQS154" s="72"/>
      <c r="IQT154" s="72"/>
      <c r="IQU154" s="72"/>
      <c r="IQV154" s="72"/>
      <c r="IQW154" s="72"/>
      <c r="IQX154" s="72"/>
      <c r="IQY154" s="72"/>
      <c r="IQZ154" s="72"/>
      <c r="IRA154" s="72"/>
      <c r="IRB154" s="72"/>
      <c r="IRC154" s="72"/>
      <c r="IRD154" s="72"/>
      <c r="IRE154" s="72"/>
      <c r="IRF154" s="72"/>
      <c r="IRG154" s="72"/>
      <c r="IRH154" s="72"/>
      <c r="IRI154" s="72"/>
      <c r="IRJ154" s="72"/>
      <c r="IRK154" s="72"/>
      <c r="IRL154" s="72"/>
      <c r="IRM154" s="72"/>
      <c r="IRN154" s="72"/>
      <c r="IRO154" s="72"/>
      <c r="IRP154" s="72"/>
      <c r="IRQ154" s="72"/>
      <c r="IRR154" s="72"/>
      <c r="IRS154" s="72"/>
      <c r="IRT154" s="72"/>
      <c r="IRU154" s="72"/>
      <c r="IRV154" s="72"/>
      <c r="IRW154" s="72"/>
      <c r="IRX154" s="72"/>
      <c r="IRY154" s="72"/>
      <c r="IRZ154" s="72"/>
      <c r="ISA154" s="72"/>
      <c r="ISB154" s="72"/>
      <c r="ISC154" s="72"/>
      <c r="ISD154" s="72"/>
      <c r="ISE154" s="72"/>
      <c r="ISF154" s="72"/>
      <c r="ISG154" s="72"/>
      <c r="ISH154" s="72"/>
      <c r="ISI154" s="72"/>
      <c r="ISJ154" s="72"/>
      <c r="ISK154" s="72"/>
      <c r="ISL154" s="72"/>
      <c r="ISM154" s="72"/>
      <c r="ISN154" s="72"/>
      <c r="ISO154" s="72"/>
      <c r="ISP154" s="72"/>
      <c r="ISQ154" s="72"/>
      <c r="ISR154" s="72"/>
      <c r="ISS154" s="72"/>
      <c r="IST154" s="72"/>
      <c r="ISU154" s="72"/>
      <c r="ISV154" s="72"/>
      <c r="ISW154" s="72"/>
      <c r="ISX154" s="72"/>
      <c r="ISY154" s="72"/>
      <c r="ISZ154" s="72"/>
      <c r="ITA154" s="72"/>
      <c r="ITB154" s="72"/>
      <c r="ITC154" s="72"/>
      <c r="ITD154" s="72"/>
      <c r="ITE154" s="72"/>
      <c r="ITF154" s="72"/>
      <c r="ITG154" s="72"/>
      <c r="ITH154" s="72"/>
      <c r="ITI154" s="72"/>
      <c r="ITJ154" s="72"/>
      <c r="ITK154" s="72"/>
      <c r="ITL154" s="72"/>
      <c r="ITM154" s="72"/>
      <c r="ITN154" s="72"/>
      <c r="ITO154" s="72"/>
      <c r="ITP154" s="72"/>
      <c r="ITQ154" s="72"/>
      <c r="ITR154" s="72"/>
      <c r="ITS154" s="72"/>
      <c r="ITT154" s="72"/>
      <c r="ITU154" s="72"/>
      <c r="ITV154" s="72"/>
      <c r="ITW154" s="72"/>
      <c r="ITX154" s="72"/>
      <c r="ITY154" s="72"/>
      <c r="ITZ154" s="72"/>
      <c r="IUA154" s="72"/>
      <c r="IUB154" s="72"/>
      <c r="IUC154" s="72"/>
      <c r="IUD154" s="72"/>
      <c r="IUE154" s="72"/>
      <c r="IUF154" s="72"/>
      <c r="IUG154" s="72"/>
      <c r="IUH154" s="72"/>
      <c r="IUI154" s="72"/>
      <c r="IUJ154" s="72"/>
      <c r="IUK154" s="72"/>
      <c r="IUL154" s="72"/>
      <c r="IUM154" s="72"/>
      <c r="IUN154" s="72"/>
      <c r="IUO154" s="72"/>
      <c r="IUP154" s="72"/>
      <c r="IUQ154" s="72"/>
      <c r="IUR154" s="72"/>
      <c r="IUS154" s="72"/>
      <c r="IUT154" s="72"/>
      <c r="IUU154" s="72"/>
      <c r="IUV154" s="72"/>
      <c r="IUW154" s="72"/>
      <c r="IUX154" s="72"/>
      <c r="IUY154" s="72"/>
      <c r="IUZ154" s="72"/>
      <c r="IVA154" s="72"/>
      <c r="IVB154" s="72"/>
      <c r="IVC154" s="72"/>
      <c r="IVD154" s="72"/>
      <c r="IVE154" s="72"/>
      <c r="IVF154" s="72"/>
      <c r="IVG154" s="72"/>
      <c r="IVH154" s="72"/>
      <c r="IVI154" s="72"/>
      <c r="IVJ154" s="72"/>
      <c r="IVK154" s="72"/>
      <c r="IVL154" s="72"/>
      <c r="IVM154" s="72"/>
      <c r="IVN154" s="72"/>
      <c r="IVO154" s="72"/>
      <c r="IVP154" s="72"/>
      <c r="IVQ154" s="72"/>
      <c r="IVR154" s="72"/>
      <c r="IVS154" s="72"/>
      <c r="IVT154" s="72"/>
      <c r="IVU154" s="72"/>
      <c r="IVV154" s="72"/>
      <c r="IVW154" s="72"/>
      <c r="IVX154" s="72"/>
      <c r="IVY154" s="72"/>
      <c r="IVZ154" s="72"/>
      <c r="IWA154" s="72"/>
      <c r="IWB154" s="72"/>
      <c r="IWC154" s="72"/>
      <c r="IWD154" s="72"/>
      <c r="IWE154" s="72"/>
      <c r="IWF154" s="72"/>
      <c r="IWG154" s="72"/>
      <c r="IWH154" s="72"/>
      <c r="IWI154" s="72"/>
      <c r="IWJ154" s="72"/>
      <c r="IWK154" s="72"/>
      <c r="IWL154" s="72"/>
      <c r="IWM154" s="72"/>
      <c r="IWN154" s="72"/>
      <c r="IWO154" s="72"/>
      <c r="IWP154" s="72"/>
      <c r="IWQ154" s="72"/>
      <c r="IWR154" s="72"/>
      <c r="IWS154" s="72"/>
      <c r="IWT154" s="72"/>
      <c r="IWU154" s="72"/>
      <c r="IWV154" s="72"/>
      <c r="IWW154" s="72"/>
      <c r="IWX154" s="72"/>
      <c r="IWY154" s="72"/>
      <c r="IWZ154" s="72"/>
      <c r="IXA154" s="72"/>
      <c r="IXB154" s="72"/>
      <c r="IXC154" s="72"/>
      <c r="IXD154" s="72"/>
      <c r="IXE154" s="72"/>
      <c r="IXF154" s="72"/>
      <c r="IXG154" s="72"/>
      <c r="IXH154" s="72"/>
      <c r="IXI154" s="72"/>
      <c r="IXJ154" s="72"/>
      <c r="IXK154" s="72"/>
      <c r="IXL154" s="72"/>
      <c r="IXM154" s="72"/>
      <c r="IXN154" s="72"/>
      <c r="IXO154" s="72"/>
      <c r="IXP154" s="72"/>
      <c r="IXQ154" s="72"/>
      <c r="IXR154" s="72"/>
      <c r="IXS154" s="72"/>
      <c r="IXT154" s="72"/>
      <c r="IXU154" s="72"/>
      <c r="IXV154" s="72"/>
      <c r="IXW154" s="72"/>
      <c r="IXX154" s="72"/>
      <c r="IXY154" s="72"/>
      <c r="IXZ154" s="72"/>
      <c r="IYA154" s="72"/>
      <c r="IYB154" s="72"/>
      <c r="IYC154" s="72"/>
      <c r="IYD154" s="72"/>
      <c r="IYE154" s="72"/>
      <c r="IYF154" s="72"/>
      <c r="IYG154" s="72"/>
      <c r="IYH154" s="72"/>
      <c r="IYI154" s="72"/>
      <c r="IYJ154" s="72"/>
      <c r="IYK154" s="72"/>
      <c r="IYL154" s="72"/>
      <c r="IYM154" s="72"/>
      <c r="IYN154" s="72"/>
      <c r="IYO154" s="72"/>
      <c r="IYP154" s="72"/>
      <c r="IYQ154" s="72"/>
      <c r="IYR154" s="72"/>
      <c r="IYS154" s="72"/>
      <c r="IYT154" s="72"/>
      <c r="IYU154" s="72"/>
      <c r="IYV154" s="72"/>
      <c r="IYW154" s="72"/>
      <c r="IYX154" s="72"/>
      <c r="IYY154" s="72"/>
      <c r="IYZ154" s="72"/>
      <c r="IZA154" s="72"/>
      <c r="IZB154" s="72"/>
      <c r="IZC154" s="72"/>
      <c r="IZD154" s="72"/>
      <c r="IZE154" s="72"/>
      <c r="IZF154" s="72"/>
      <c r="IZG154" s="72"/>
      <c r="IZH154" s="72"/>
      <c r="IZI154" s="72"/>
      <c r="IZJ154" s="72"/>
      <c r="IZK154" s="72"/>
      <c r="IZL154" s="72"/>
      <c r="IZM154" s="72"/>
      <c r="IZN154" s="72"/>
      <c r="IZO154" s="72"/>
      <c r="IZP154" s="72"/>
      <c r="IZQ154" s="72"/>
      <c r="IZR154" s="72"/>
      <c r="IZS154" s="72"/>
      <c r="IZT154" s="72"/>
      <c r="IZU154" s="72"/>
      <c r="IZV154" s="72"/>
      <c r="IZW154" s="72"/>
      <c r="IZX154" s="72"/>
      <c r="IZY154" s="72"/>
      <c r="IZZ154" s="72"/>
      <c r="JAA154" s="72"/>
      <c r="JAB154" s="72"/>
      <c r="JAC154" s="72"/>
      <c r="JAD154" s="72"/>
      <c r="JAE154" s="72"/>
      <c r="JAF154" s="72"/>
      <c r="JAG154" s="72"/>
      <c r="JAH154" s="72"/>
      <c r="JAI154" s="72"/>
      <c r="JAJ154" s="72"/>
      <c r="JAK154" s="72"/>
      <c r="JAL154" s="72"/>
      <c r="JAM154" s="72"/>
      <c r="JAN154" s="72"/>
      <c r="JAO154" s="72"/>
      <c r="JAP154" s="72"/>
      <c r="JAQ154" s="72"/>
      <c r="JAR154" s="72"/>
      <c r="JAS154" s="72"/>
      <c r="JAT154" s="72"/>
      <c r="JAU154" s="72"/>
      <c r="JAV154" s="72"/>
      <c r="JAW154" s="72"/>
      <c r="JAX154" s="72"/>
      <c r="JAY154" s="72"/>
      <c r="JAZ154" s="72"/>
      <c r="JBA154" s="72"/>
      <c r="JBB154" s="72"/>
      <c r="JBC154" s="72"/>
      <c r="JBD154" s="72"/>
      <c r="JBE154" s="72"/>
      <c r="JBF154" s="72"/>
      <c r="JBG154" s="72"/>
      <c r="JBH154" s="72"/>
      <c r="JBI154" s="72"/>
      <c r="JBJ154" s="72"/>
      <c r="JBK154" s="72"/>
      <c r="JBL154" s="72"/>
      <c r="JBM154" s="72"/>
      <c r="JBN154" s="72"/>
      <c r="JBO154" s="72"/>
      <c r="JBP154" s="72"/>
      <c r="JBQ154" s="72"/>
      <c r="JBR154" s="72"/>
      <c r="JBS154" s="72"/>
      <c r="JBT154" s="72"/>
      <c r="JBU154" s="72"/>
      <c r="JBV154" s="72"/>
      <c r="JBW154" s="72"/>
      <c r="JBX154" s="72"/>
      <c r="JBY154" s="72"/>
      <c r="JBZ154" s="72"/>
      <c r="JCA154" s="72"/>
      <c r="JCB154" s="72"/>
      <c r="JCC154" s="72"/>
      <c r="JCD154" s="72"/>
      <c r="JCE154" s="72"/>
      <c r="JCF154" s="72"/>
      <c r="JCG154" s="72"/>
      <c r="JCH154" s="72"/>
      <c r="JCI154" s="72"/>
      <c r="JCJ154" s="72"/>
      <c r="JCK154" s="72"/>
      <c r="JCL154" s="72"/>
      <c r="JCM154" s="72"/>
      <c r="JCN154" s="72"/>
      <c r="JCO154" s="72"/>
      <c r="JCP154" s="72"/>
      <c r="JCQ154" s="72"/>
      <c r="JCR154" s="72"/>
      <c r="JCS154" s="72"/>
      <c r="JCT154" s="72"/>
      <c r="JCU154" s="72"/>
      <c r="JCV154" s="72"/>
      <c r="JCW154" s="72"/>
      <c r="JCX154" s="72"/>
      <c r="JCY154" s="72"/>
      <c r="JCZ154" s="72"/>
      <c r="JDA154" s="72"/>
      <c r="JDB154" s="72"/>
      <c r="JDC154" s="72"/>
      <c r="JDD154" s="72"/>
      <c r="JDE154" s="72"/>
      <c r="JDF154" s="72"/>
      <c r="JDG154" s="72"/>
      <c r="JDH154" s="72"/>
      <c r="JDI154" s="72"/>
      <c r="JDJ154" s="72"/>
      <c r="JDK154" s="72"/>
      <c r="JDL154" s="72"/>
      <c r="JDM154" s="72"/>
      <c r="JDN154" s="72"/>
      <c r="JDO154" s="72"/>
      <c r="JDP154" s="72"/>
      <c r="JDQ154" s="72"/>
      <c r="JDR154" s="72"/>
      <c r="JDS154" s="72"/>
      <c r="JDT154" s="72"/>
      <c r="JDU154" s="72"/>
      <c r="JDV154" s="72"/>
      <c r="JDW154" s="72"/>
      <c r="JDX154" s="72"/>
      <c r="JDY154" s="72"/>
      <c r="JDZ154" s="72"/>
      <c r="JEA154" s="72"/>
      <c r="JEB154" s="72"/>
      <c r="JEC154" s="72"/>
      <c r="JED154" s="72"/>
      <c r="JEE154" s="72"/>
      <c r="JEF154" s="72"/>
      <c r="JEG154" s="72"/>
      <c r="JEH154" s="72"/>
      <c r="JEI154" s="72"/>
      <c r="JEJ154" s="72"/>
      <c r="JEK154" s="72"/>
      <c r="JEL154" s="72"/>
      <c r="JEM154" s="72"/>
      <c r="JEN154" s="72"/>
      <c r="JEO154" s="72"/>
      <c r="JEP154" s="72"/>
      <c r="JEQ154" s="72"/>
      <c r="JER154" s="72"/>
      <c r="JES154" s="72"/>
      <c r="JET154" s="72"/>
      <c r="JEU154" s="72"/>
      <c r="JEV154" s="72"/>
      <c r="JEW154" s="72"/>
      <c r="JEX154" s="72"/>
      <c r="JEY154" s="72"/>
      <c r="JEZ154" s="72"/>
      <c r="JFA154" s="72"/>
      <c r="JFB154" s="72"/>
      <c r="JFC154" s="72"/>
      <c r="JFD154" s="72"/>
      <c r="JFE154" s="72"/>
      <c r="JFF154" s="72"/>
      <c r="JFG154" s="72"/>
      <c r="JFH154" s="72"/>
      <c r="JFI154" s="72"/>
      <c r="JFJ154" s="72"/>
      <c r="JFK154" s="72"/>
      <c r="JFL154" s="72"/>
      <c r="JFM154" s="72"/>
      <c r="JFN154" s="72"/>
      <c r="JFO154" s="72"/>
      <c r="JFP154" s="72"/>
      <c r="JFQ154" s="72"/>
      <c r="JFR154" s="72"/>
      <c r="JFS154" s="72"/>
      <c r="JFT154" s="72"/>
      <c r="JFU154" s="72"/>
      <c r="JFV154" s="72"/>
      <c r="JFW154" s="72"/>
      <c r="JFX154" s="72"/>
      <c r="JFY154" s="72"/>
      <c r="JFZ154" s="72"/>
      <c r="JGA154" s="72"/>
      <c r="JGB154" s="72"/>
      <c r="JGC154" s="72"/>
      <c r="JGD154" s="72"/>
      <c r="JGE154" s="72"/>
      <c r="JGF154" s="72"/>
      <c r="JGG154" s="72"/>
      <c r="JGH154" s="72"/>
      <c r="JGI154" s="72"/>
      <c r="JGJ154" s="72"/>
      <c r="JGK154" s="72"/>
      <c r="JGL154" s="72"/>
      <c r="JGM154" s="72"/>
      <c r="JGN154" s="72"/>
      <c r="JGO154" s="72"/>
      <c r="JGP154" s="72"/>
      <c r="JGQ154" s="72"/>
      <c r="JGR154" s="72"/>
      <c r="JGS154" s="72"/>
      <c r="JGT154" s="72"/>
      <c r="JGU154" s="72"/>
      <c r="JGV154" s="72"/>
      <c r="JGW154" s="72"/>
      <c r="JGX154" s="72"/>
      <c r="JGY154" s="72"/>
      <c r="JGZ154" s="72"/>
      <c r="JHA154" s="72"/>
      <c r="JHB154" s="72"/>
      <c r="JHC154" s="72"/>
      <c r="JHD154" s="72"/>
      <c r="JHE154" s="72"/>
      <c r="JHF154" s="72"/>
      <c r="JHG154" s="72"/>
      <c r="JHH154" s="72"/>
      <c r="JHI154" s="72"/>
      <c r="JHJ154" s="72"/>
      <c r="JHK154" s="72"/>
      <c r="JHL154" s="72"/>
      <c r="JHM154" s="72"/>
      <c r="JHN154" s="72"/>
      <c r="JHO154" s="72"/>
      <c r="JHP154" s="72"/>
      <c r="JHQ154" s="72"/>
      <c r="JHR154" s="72"/>
      <c r="JHS154" s="72"/>
      <c r="JHT154" s="72"/>
      <c r="JHU154" s="72"/>
      <c r="JHV154" s="72"/>
      <c r="JHW154" s="72"/>
      <c r="JHX154" s="72"/>
      <c r="JHY154" s="72"/>
      <c r="JHZ154" s="72"/>
      <c r="JIA154" s="72"/>
      <c r="JIB154" s="72"/>
      <c r="JIC154" s="72"/>
      <c r="JID154" s="72"/>
      <c r="JIE154" s="72"/>
      <c r="JIF154" s="72"/>
      <c r="JIG154" s="72"/>
      <c r="JIH154" s="72"/>
      <c r="JII154" s="72"/>
      <c r="JIJ154" s="72"/>
      <c r="JIK154" s="72"/>
      <c r="JIL154" s="72"/>
      <c r="JIM154" s="72"/>
      <c r="JIN154" s="72"/>
      <c r="JIO154" s="72"/>
      <c r="JIP154" s="72"/>
      <c r="JIQ154" s="72"/>
      <c r="JIR154" s="72"/>
      <c r="JIS154" s="72"/>
      <c r="JIT154" s="72"/>
      <c r="JIU154" s="72"/>
      <c r="JIV154" s="72"/>
      <c r="JIW154" s="72"/>
      <c r="JIX154" s="72"/>
      <c r="JIY154" s="72"/>
      <c r="JIZ154" s="72"/>
      <c r="JJA154" s="72"/>
      <c r="JJB154" s="72"/>
      <c r="JJC154" s="72"/>
      <c r="JJD154" s="72"/>
      <c r="JJE154" s="72"/>
      <c r="JJF154" s="72"/>
      <c r="JJG154" s="72"/>
      <c r="JJH154" s="72"/>
      <c r="JJI154" s="72"/>
      <c r="JJJ154" s="72"/>
      <c r="JJK154" s="72"/>
      <c r="JJL154" s="72"/>
      <c r="JJM154" s="72"/>
      <c r="JJN154" s="72"/>
      <c r="JJO154" s="72"/>
      <c r="JJP154" s="72"/>
      <c r="JJQ154" s="72"/>
      <c r="JJR154" s="72"/>
      <c r="JJS154" s="72"/>
      <c r="JJT154" s="72"/>
      <c r="JJU154" s="72"/>
      <c r="JJV154" s="72"/>
      <c r="JJW154" s="72"/>
      <c r="JJX154" s="72"/>
      <c r="JJY154" s="72"/>
      <c r="JJZ154" s="72"/>
      <c r="JKA154" s="72"/>
      <c r="JKB154" s="72"/>
      <c r="JKC154" s="72"/>
      <c r="JKD154" s="72"/>
      <c r="JKE154" s="72"/>
      <c r="JKF154" s="72"/>
      <c r="JKG154" s="72"/>
      <c r="JKH154" s="72"/>
      <c r="JKI154" s="72"/>
      <c r="JKJ154" s="72"/>
      <c r="JKK154" s="72"/>
      <c r="JKL154" s="72"/>
      <c r="JKM154" s="72"/>
      <c r="JKN154" s="72"/>
      <c r="JKO154" s="72"/>
      <c r="JKP154" s="72"/>
      <c r="JKQ154" s="72"/>
      <c r="JKR154" s="72"/>
      <c r="JKS154" s="72"/>
      <c r="JKT154" s="72"/>
      <c r="JKU154" s="72"/>
      <c r="JKV154" s="72"/>
      <c r="JKW154" s="72"/>
      <c r="JKX154" s="72"/>
      <c r="JKY154" s="72"/>
      <c r="JKZ154" s="72"/>
      <c r="JLA154" s="72"/>
      <c r="JLB154" s="72"/>
      <c r="JLC154" s="72"/>
      <c r="JLD154" s="72"/>
      <c r="JLE154" s="72"/>
      <c r="JLF154" s="72"/>
      <c r="JLG154" s="72"/>
      <c r="JLH154" s="72"/>
      <c r="JLI154" s="72"/>
      <c r="JLJ154" s="72"/>
      <c r="JLK154" s="72"/>
      <c r="JLL154" s="72"/>
      <c r="JLM154" s="72"/>
      <c r="JLN154" s="72"/>
      <c r="JLO154" s="72"/>
      <c r="JLP154" s="72"/>
      <c r="JLQ154" s="72"/>
      <c r="JLR154" s="72"/>
      <c r="JLS154" s="72"/>
      <c r="JLT154" s="72"/>
      <c r="JLU154" s="72"/>
      <c r="JLV154" s="72"/>
      <c r="JLW154" s="72"/>
      <c r="JLX154" s="72"/>
      <c r="JLY154" s="72"/>
      <c r="JLZ154" s="72"/>
      <c r="JMA154" s="72"/>
      <c r="JMB154" s="72"/>
      <c r="JMC154" s="72"/>
      <c r="JMD154" s="72"/>
      <c r="JME154" s="72"/>
      <c r="JMF154" s="72"/>
      <c r="JMG154" s="72"/>
      <c r="JMH154" s="72"/>
      <c r="JMI154" s="72"/>
      <c r="JMJ154" s="72"/>
      <c r="JMK154" s="72"/>
      <c r="JML154" s="72"/>
      <c r="JMM154" s="72"/>
      <c r="JMN154" s="72"/>
      <c r="JMO154" s="72"/>
      <c r="JMP154" s="72"/>
      <c r="JMQ154" s="72"/>
      <c r="JMR154" s="72"/>
      <c r="JMS154" s="72"/>
      <c r="JMT154" s="72"/>
      <c r="JMU154" s="72"/>
      <c r="JMV154" s="72"/>
      <c r="JMW154" s="72"/>
      <c r="JMX154" s="72"/>
      <c r="JMY154" s="72"/>
      <c r="JMZ154" s="72"/>
      <c r="JNA154" s="72"/>
      <c r="JNB154" s="72"/>
      <c r="JNC154" s="72"/>
      <c r="JND154" s="72"/>
      <c r="JNE154" s="72"/>
      <c r="JNF154" s="72"/>
      <c r="JNG154" s="72"/>
      <c r="JNH154" s="72"/>
      <c r="JNI154" s="72"/>
      <c r="JNJ154" s="72"/>
      <c r="JNK154" s="72"/>
      <c r="JNL154" s="72"/>
      <c r="JNM154" s="72"/>
      <c r="JNN154" s="72"/>
      <c r="JNO154" s="72"/>
      <c r="JNP154" s="72"/>
      <c r="JNQ154" s="72"/>
      <c r="JNR154" s="72"/>
      <c r="JNS154" s="72"/>
      <c r="JNT154" s="72"/>
      <c r="JNU154" s="72"/>
      <c r="JNV154" s="72"/>
      <c r="JNW154" s="72"/>
      <c r="JNX154" s="72"/>
      <c r="JNY154" s="72"/>
      <c r="JNZ154" s="72"/>
      <c r="JOA154" s="72"/>
      <c r="JOB154" s="72"/>
      <c r="JOC154" s="72"/>
      <c r="JOD154" s="72"/>
      <c r="JOE154" s="72"/>
      <c r="JOF154" s="72"/>
      <c r="JOG154" s="72"/>
      <c r="JOH154" s="72"/>
      <c r="JOI154" s="72"/>
      <c r="JOJ154" s="72"/>
      <c r="JOK154" s="72"/>
      <c r="JOL154" s="72"/>
      <c r="JOM154" s="72"/>
      <c r="JON154" s="72"/>
      <c r="JOO154" s="72"/>
      <c r="JOP154" s="72"/>
      <c r="JOQ154" s="72"/>
      <c r="JOR154" s="72"/>
      <c r="JOS154" s="72"/>
      <c r="JOT154" s="72"/>
      <c r="JOU154" s="72"/>
      <c r="JOV154" s="72"/>
      <c r="JOW154" s="72"/>
      <c r="JOX154" s="72"/>
      <c r="JOY154" s="72"/>
      <c r="JOZ154" s="72"/>
      <c r="JPA154" s="72"/>
      <c r="JPB154" s="72"/>
      <c r="JPC154" s="72"/>
      <c r="JPD154" s="72"/>
      <c r="JPE154" s="72"/>
      <c r="JPF154" s="72"/>
      <c r="JPG154" s="72"/>
      <c r="JPH154" s="72"/>
      <c r="JPI154" s="72"/>
      <c r="JPJ154" s="72"/>
      <c r="JPK154" s="72"/>
      <c r="JPL154" s="72"/>
      <c r="JPM154" s="72"/>
      <c r="JPN154" s="72"/>
      <c r="JPO154" s="72"/>
      <c r="JPP154" s="72"/>
      <c r="JPQ154" s="72"/>
      <c r="JPR154" s="72"/>
      <c r="JPS154" s="72"/>
      <c r="JPT154" s="72"/>
      <c r="JPU154" s="72"/>
      <c r="JPV154" s="72"/>
      <c r="JPW154" s="72"/>
      <c r="JPX154" s="72"/>
      <c r="JPY154" s="72"/>
      <c r="JPZ154" s="72"/>
      <c r="JQA154" s="72"/>
      <c r="JQB154" s="72"/>
      <c r="JQC154" s="72"/>
      <c r="JQD154" s="72"/>
      <c r="JQE154" s="72"/>
      <c r="JQF154" s="72"/>
      <c r="JQG154" s="72"/>
      <c r="JQH154" s="72"/>
      <c r="JQI154" s="72"/>
      <c r="JQJ154" s="72"/>
      <c r="JQK154" s="72"/>
      <c r="JQL154" s="72"/>
      <c r="JQM154" s="72"/>
      <c r="JQN154" s="72"/>
      <c r="JQO154" s="72"/>
      <c r="JQP154" s="72"/>
      <c r="JQQ154" s="72"/>
      <c r="JQR154" s="72"/>
      <c r="JQS154" s="72"/>
      <c r="JQT154" s="72"/>
      <c r="JQU154" s="72"/>
      <c r="JQV154" s="72"/>
      <c r="JQW154" s="72"/>
      <c r="JQX154" s="72"/>
      <c r="JQY154" s="72"/>
      <c r="JQZ154" s="72"/>
      <c r="JRA154" s="72"/>
      <c r="JRB154" s="72"/>
      <c r="JRC154" s="72"/>
      <c r="JRD154" s="72"/>
      <c r="JRE154" s="72"/>
      <c r="JRF154" s="72"/>
      <c r="JRG154" s="72"/>
      <c r="JRH154" s="72"/>
      <c r="JRI154" s="72"/>
      <c r="JRJ154" s="72"/>
      <c r="JRK154" s="72"/>
      <c r="JRL154" s="72"/>
      <c r="JRM154" s="72"/>
      <c r="JRN154" s="72"/>
      <c r="JRO154" s="72"/>
      <c r="JRP154" s="72"/>
      <c r="JRQ154" s="72"/>
      <c r="JRR154" s="72"/>
      <c r="JRS154" s="72"/>
      <c r="JRT154" s="72"/>
      <c r="JRU154" s="72"/>
      <c r="JRV154" s="72"/>
      <c r="JRW154" s="72"/>
      <c r="JRX154" s="72"/>
      <c r="JRY154" s="72"/>
      <c r="JRZ154" s="72"/>
      <c r="JSA154" s="72"/>
      <c r="JSB154" s="72"/>
      <c r="JSC154" s="72"/>
      <c r="JSD154" s="72"/>
      <c r="JSE154" s="72"/>
      <c r="JSF154" s="72"/>
      <c r="JSG154" s="72"/>
      <c r="JSH154" s="72"/>
      <c r="JSI154" s="72"/>
      <c r="JSJ154" s="72"/>
      <c r="JSK154" s="72"/>
      <c r="JSL154" s="72"/>
      <c r="JSM154" s="72"/>
      <c r="JSN154" s="72"/>
      <c r="JSO154" s="72"/>
      <c r="JSP154" s="72"/>
      <c r="JSQ154" s="72"/>
      <c r="JSR154" s="72"/>
      <c r="JSS154" s="72"/>
      <c r="JST154" s="72"/>
      <c r="JSU154" s="72"/>
      <c r="JSV154" s="72"/>
      <c r="JSW154" s="72"/>
      <c r="JSX154" s="72"/>
      <c r="JSY154" s="72"/>
      <c r="JSZ154" s="72"/>
      <c r="JTA154" s="72"/>
      <c r="JTB154" s="72"/>
      <c r="JTC154" s="72"/>
      <c r="JTD154" s="72"/>
      <c r="JTE154" s="72"/>
      <c r="JTF154" s="72"/>
      <c r="JTG154" s="72"/>
      <c r="JTH154" s="72"/>
      <c r="JTI154" s="72"/>
      <c r="JTJ154" s="72"/>
      <c r="JTK154" s="72"/>
      <c r="JTL154" s="72"/>
      <c r="JTM154" s="72"/>
      <c r="JTN154" s="72"/>
      <c r="JTO154" s="72"/>
      <c r="JTP154" s="72"/>
      <c r="JTQ154" s="72"/>
      <c r="JTR154" s="72"/>
      <c r="JTS154" s="72"/>
      <c r="JTT154" s="72"/>
      <c r="JTU154" s="72"/>
      <c r="JTV154" s="72"/>
      <c r="JTW154" s="72"/>
      <c r="JTX154" s="72"/>
      <c r="JTY154" s="72"/>
      <c r="JTZ154" s="72"/>
      <c r="JUA154" s="72"/>
      <c r="JUB154" s="72"/>
      <c r="JUC154" s="72"/>
      <c r="JUD154" s="72"/>
      <c r="JUE154" s="72"/>
      <c r="JUF154" s="72"/>
      <c r="JUG154" s="72"/>
      <c r="JUH154" s="72"/>
      <c r="JUI154" s="72"/>
      <c r="JUJ154" s="72"/>
      <c r="JUK154" s="72"/>
      <c r="JUL154" s="72"/>
      <c r="JUM154" s="72"/>
      <c r="JUN154" s="72"/>
      <c r="JUO154" s="72"/>
      <c r="JUP154" s="72"/>
      <c r="JUQ154" s="72"/>
      <c r="JUR154" s="72"/>
      <c r="JUS154" s="72"/>
      <c r="JUT154" s="72"/>
      <c r="JUU154" s="72"/>
      <c r="JUV154" s="72"/>
      <c r="JUW154" s="72"/>
      <c r="JUX154" s="72"/>
      <c r="JUY154" s="72"/>
      <c r="JUZ154" s="72"/>
      <c r="JVA154" s="72"/>
      <c r="JVB154" s="72"/>
      <c r="JVC154" s="72"/>
      <c r="JVD154" s="72"/>
      <c r="JVE154" s="72"/>
      <c r="JVF154" s="72"/>
      <c r="JVG154" s="72"/>
      <c r="JVH154" s="72"/>
      <c r="JVI154" s="72"/>
      <c r="JVJ154" s="72"/>
      <c r="JVK154" s="72"/>
      <c r="JVL154" s="72"/>
      <c r="JVM154" s="72"/>
      <c r="JVN154" s="72"/>
      <c r="JVO154" s="72"/>
      <c r="JVP154" s="72"/>
      <c r="JVQ154" s="72"/>
      <c r="JVR154" s="72"/>
      <c r="JVS154" s="72"/>
      <c r="JVT154" s="72"/>
      <c r="JVU154" s="72"/>
      <c r="JVV154" s="72"/>
      <c r="JVW154" s="72"/>
      <c r="JVX154" s="72"/>
      <c r="JVY154" s="72"/>
      <c r="JVZ154" s="72"/>
      <c r="JWA154" s="72"/>
      <c r="JWB154" s="72"/>
      <c r="JWC154" s="72"/>
      <c r="JWD154" s="72"/>
      <c r="JWE154" s="72"/>
      <c r="JWF154" s="72"/>
      <c r="JWG154" s="72"/>
      <c r="JWH154" s="72"/>
      <c r="JWI154" s="72"/>
      <c r="JWJ154" s="72"/>
      <c r="JWK154" s="72"/>
      <c r="JWL154" s="72"/>
      <c r="JWM154" s="72"/>
      <c r="JWN154" s="72"/>
      <c r="JWO154" s="72"/>
      <c r="JWP154" s="72"/>
      <c r="JWQ154" s="72"/>
      <c r="JWR154" s="72"/>
      <c r="JWS154" s="72"/>
      <c r="JWT154" s="72"/>
      <c r="JWU154" s="72"/>
      <c r="JWV154" s="72"/>
      <c r="JWW154" s="72"/>
      <c r="JWX154" s="72"/>
      <c r="JWY154" s="72"/>
      <c r="JWZ154" s="72"/>
      <c r="JXA154" s="72"/>
      <c r="JXB154" s="72"/>
      <c r="JXC154" s="72"/>
      <c r="JXD154" s="72"/>
      <c r="JXE154" s="72"/>
      <c r="JXF154" s="72"/>
      <c r="JXG154" s="72"/>
      <c r="JXH154" s="72"/>
      <c r="JXI154" s="72"/>
      <c r="JXJ154" s="72"/>
      <c r="JXK154" s="72"/>
      <c r="JXL154" s="72"/>
      <c r="JXM154" s="72"/>
      <c r="JXN154" s="72"/>
      <c r="JXO154" s="72"/>
      <c r="JXP154" s="72"/>
      <c r="JXQ154" s="72"/>
      <c r="JXR154" s="72"/>
      <c r="JXS154" s="72"/>
      <c r="JXT154" s="72"/>
      <c r="JXU154" s="72"/>
      <c r="JXV154" s="72"/>
      <c r="JXW154" s="72"/>
      <c r="JXX154" s="72"/>
      <c r="JXY154" s="72"/>
      <c r="JXZ154" s="72"/>
      <c r="JYA154" s="72"/>
      <c r="JYB154" s="72"/>
      <c r="JYC154" s="72"/>
      <c r="JYD154" s="72"/>
      <c r="JYE154" s="72"/>
      <c r="JYF154" s="72"/>
      <c r="JYG154" s="72"/>
      <c r="JYH154" s="72"/>
      <c r="JYI154" s="72"/>
      <c r="JYJ154" s="72"/>
      <c r="JYK154" s="72"/>
      <c r="JYL154" s="72"/>
      <c r="JYM154" s="72"/>
      <c r="JYN154" s="72"/>
      <c r="JYO154" s="72"/>
      <c r="JYP154" s="72"/>
      <c r="JYQ154" s="72"/>
      <c r="JYR154" s="72"/>
      <c r="JYS154" s="72"/>
      <c r="JYT154" s="72"/>
      <c r="JYU154" s="72"/>
      <c r="JYV154" s="72"/>
      <c r="JYW154" s="72"/>
      <c r="JYX154" s="72"/>
      <c r="JYY154" s="72"/>
      <c r="JYZ154" s="72"/>
      <c r="JZA154" s="72"/>
      <c r="JZB154" s="72"/>
      <c r="JZC154" s="72"/>
      <c r="JZD154" s="72"/>
      <c r="JZE154" s="72"/>
      <c r="JZF154" s="72"/>
      <c r="JZG154" s="72"/>
      <c r="JZH154" s="72"/>
      <c r="JZI154" s="72"/>
      <c r="JZJ154" s="72"/>
      <c r="JZK154" s="72"/>
      <c r="JZL154" s="72"/>
      <c r="JZM154" s="72"/>
      <c r="JZN154" s="72"/>
      <c r="JZO154" s="72"/>
      <c r="JZP154" s="72"/>
      <c r="JZQ154" s="72"/>
      <c r="JZR154" s="72"/>
      <c r="JZS154" s="72"/>
      <c r="JZT154" s="72"/>
      <c r="JZU154" s="72"/>
      <c r="JZV154" s="72"/>
      <c r="JZW154" s="72"/>
      <c r="JZX154" s="72"/>
      <c r="JZY154" s="72"/>
      <c r="JZZ154" s="72"/>
      <c r="KAA154" s="72"/>
      <c r="KAB154" s="72"/>
      <c r="KAC154" s="72"/>
      <c r="KAD154" s="72"/>
      <c r="KAE154" s="72"/>
      <c r="KAF154" s="72"/>
      <c r="KAG154" s="72"/>
      <c r="KAH154" s="72"/>
      <c r="KAI154" s="72"/>
      <c r="KAJ154" s="72"/>
      <c r="KAK154" s="72"/>
      <c r="KAL154" s="72"/>
      <c r="KAM154" s="72"/>
      <c r="KAN154" s="72"/>
      <c r="KAO154" s="72"/>
      <c r="KAP154" s="72"/>
      <c r="KAQ154" s="72"/>
      <c r="KAR154" s="72"/>
      <c r="KAS154" s="72"/>
      <c r="KAT154" s="72"/>
      <c r="KAU154" s="72"/>
      <c r="KAV154" s="72"/>
      <c r="KAW154" s="72"/>
      <c r="KAX154" s="72"/>
      <c r="KAY154" s="72"/>
      <c r="KAZ154" s="72"/>
      <c r="KBA154" s="72"/>
      <c r="KBB154" s="72"/>
      <c r="KBC154" s="72"/>
      <c r="KBD154" s="72"/>
      <c r="KBE154" s="72"/>
      <c r="KBF154" s="72"/>
      <c r="KBG154" s="72"/>
      <c r="KBH154" s="72"/>
      <c r="KBI154" s="72"/>
      <c r="KBJ154" s="72"/>
      <c r="KBK154" s="72"/>
      <c r="KBL154" s="72"/>
      <c r="KBM154" s="72"/>
      <c r="KBN154" s="72"/>
      <c r="KBO154" s="72"/>
      <c r="KBP154" s="72"/>
      <c r="KBQ154" s="72"/>
      <c r="KBR154" s="72"/>
      <c r="KBS154" s="72"/>
      <c r="KBT154" s="72"/>
      <c r="KBU154" s="72"/>
      <c r="KBV154" s="72"/>
      <c r="KBW154" s="72"/>
      <c r="KBX154" s="72"/>
      <c r="KBY154" s="72"/>
      <c r="KBZ154" s="72"/>
      <c r="KCA154" s="72"/>
      <c r="KCB154" s="72"/>
      <c r="KCC154" s="72"/>
      <c r="KCD154" s="72"/>
      <c r="KCE154" s="72"/>
      <c r="KCF154" s="72"/>
      <c r="KCG154" s="72"/>
      <c r="KCH154" s="72"/>
      <c r="KCI154" s="72"/>
      <c r="KCJ154" s="72"/>
      <c r="KCK154" s="72"/>
      <c r="KCL154" s="72"/>
      <c r="KCM154" s="72"/>
      <c r="KCN154" s="72"/>
      <c r="KCO154" s="72"/>
      <c r="KCP154" s="72"/>
      <c r="KCQ154" s="72"/>
      <c r="KCR154" s="72"/>
      <c r="KCS154" s="72"/>
      <c r="KCT154" s="72"/>
      <c r="KCU154" s="72"/>
      <c r="KCV154" s="72"/>
      <c r="KCW154" s="72"/>
      <c r="KCX154" s="72"/>
      <c r="KCY154" s="72"/>
      <c r="KCZ154" s="72"/>
      <c r="KDA154" s="72"/>
      <c r="KDB154" s="72"/>
      <c r="KDC154" s="72"/>
      <c r="KDD154" s="72"/>
      <c r="KDE154" s="72"/>
      <c r="KDF154" s="72"/>
      <c r="KDG154" s="72"/>
      <c r="KDH154" s="72"/>
      <c r="KDI154" s="72"/>
      <c r="KDJ154" s="72"/>
      <c r="KDK154" s="72"/>
      <c r="KDL154" s="72"/>
      <c r="KDM154" s="72"/>
      <c r="KDN154" s="72"/>
      <c r="KDO154" s="72"/>
      <c r="KDP154" s="72"/>
      <c r="KDQ154" s="72"/>
      <c r="KDR154" s="72"/>
      <c r="KDS154" s="72"/>
      <c r="KDT154" s="72"/>
      <c r="KDU154" s="72"/>
      <c r="KDV154" s="72"/>
      <c r="KDW154" s="72"/>
      <c r="KDX154" s="72"/>
      <c r="KDY154" s="72"/>
      <c r="KDZ154" s="72"/>
      <c r="KEA154" s="72"/>
      <c r="KEB154" s="72"/>
      <c r="KEC154" s="72"/>
      <c r="KED154" s="72"/>
      <c r="KEE154" s="72"/>
      <c r="KEF154" s="72"/>
      <c r="KEG154" s="72"/>
      <c r="KEH154" s="72"/>
      <c r="KEI154" s="72"/>
      <c r="KEJ154" s="72"/>
      <c r="KEK154" s="72"/>
      <c r="KEL154" s="72"/>
      <c r="KEM154" s="72"/>
      <c r="KEN154" s="72"/>
      <c r="KEO154" s="72"/>
      <c r="KEP154" s="72"/>
      <c r="KEQ154" s="72"/>
      <c r="KER154" s="72"/>
      <c r="KES154" s="72"/>
      <c r="KET154" s="72"/>
      <c r="KEU154" s="72"/>
      <c r="KEV154" s="72"/>
      <c r="KEW154" s="72"/>
      <c r="KEX154" s="72"/>
      <c r="KEY154" s="72"/>
      <c r="KEZ154" s="72"/>
      <c r="KFA154" s="72"/>
      <c r="KFB154" s="72"/>
      <c r="KFC154" s="72"/>
      <c r="KFD154" s="72"/>
      <c r="KFE154" s="72"/>
      <c r="KFF154" s="72"/>
      <c r="KFG154" s="72"/>
      <c r="KFH154" s="72"/>
      <c r="KFI154" s="72"/>
      <c r="KFJ154" s="72"/>
      <c r="KFK154" s="72"/>
      <c r="KFL154" s="72"/>
      <c r="KFM154" s="72"/>
      <c r="KFN154" s="72"/>
      <c r="KFO154" s="72"/>
      <c r="KFP154" s="72"/>
      <c r="KFQ154" s="72"/>
      <c r="KFR154" s="72"/>
      <c r="KFS154" s="72"/>
      <c r="KFT154" s="72"/>
      <c r="KFU154" s="72"/>
      <c r="KFV154" s="72"/>
      <c r="KFW154" s="72"/>
      <c r="KFX154" s="72"/>
      <c r="KFY154" s="72"/>
      <c r="KFZ154" s="72"/>
      <c r="KGA154" s="72"/>
      <c r="KGB154" s="72"/>
      <c r="KGC154" s="72"/>
      <c r="KGD154" s="72"/>
      <c r="KGE154" s="72"/>
      <c r="KGF154" s="72"/>
      <c r="KGG154" s="72"/>
      <c r="KGH154" s="72"/>
      <c r="KGI154" s="72"/>
      <c r="KGJ154" s="72"/>
      <c r="KGK154" s="72"/>
      <c r="KGL154" s="72"/>
      <c r="KGM154" s="72"/>
      <c r="KGN154" s="72"/>
      <c r="KGO154" s="72"/>
      <c r="KGP154" s="72"/>
      <c r="KGQ154" s="72"/>
      <c r="KGR154" s="72"/>
      <c r="KGS154" s="72"/>
      <c r="KGT154" s="72"/>
      <c r="KGU154" s="72"/>
      <c r="KGV154" s="72"/>
      <c r="KGW154" s="72"/>
      <c r="KGX154" s="72"/>
      <c r="KGY154" s="72"/>
      <c r="KGZ154" s="72"/>
      <c r="KHA154" s="72"/>
      <c r="KHB154" s="72"/>
      <c r="KHC154" s="72"/>
      <c r="KHD154" s="72"/>
      <c r="KHE154" s="72"/>
      <c r="KHF154" s="72"/>
      <c r="KHG154" s="72"/>
      <c r="KHH154" s="72"/>
      <c r="KHI154" s="72"/>
      <c r="KHJ154" s="72"/>
      <c r="KHK154" s="72"/>
      <c r="KHL154" s="72"/>
      <c r="KHM154" s="72"/>
      <c r="KHN154" s="72"/>
      <c r="KHO154" s="72"/>
      <c r="KHP154" s="72"/>
      <c r="KHQ154" s="72"/>
      <c r="KHR154" s="72"/>
      <c r="KHS154" s="72"/>
      <c r="KHT154" s="72"/>
      <c r="KHU154" s="72"/>
      <c r="KHV154" s="72"/>
      <c r="KHW154" s="72"/>
      <c r="KHX154" s="72"/>
      <c r="KHY154" s="72"/>
      <c r="KHZ154" s="72"/>
      <c r="KIA154" s="72"/>
      <c r="KIB154" s="72"/>
      <c r="KIC154" s="72"/>
      <c r="KID154" s="72"/>
      <c r="KIE154" s="72"/>
      <c r="KIF154" s="72"/>
      <c r="KIG154" s="72"/>
      <c r="KIH154" s="72"/>
      <c r="KII154" s="72"/>
      <c r="KIJ154" s="72"/>
      <c r="KIK154" s="72"/>
      <c r="KIL154" s="72"/>
      <c r="KIM154" s="72"/>
      <c r="KIN154" s="72"/>
      <c r="KIO154" s="72"/>
      <c r="KIP154" s="72"/>
      <c r="KIQ154" s="72"/>
      <c r="KIR154" s="72"/>
      <c r="KIS154" s="72"/>
      <c r="KIT154" s="72"/>
      <c r="KIU154" s="72"/>
      <c r="KIV154" s="72"/>
      <c r="KIW154" s="72"/>
      <c r="KIX154" s="72"/>
      <c r="KIY154" s="72"/>
      <c r="KIZ154" s="72"/>
      <c r="KJA154" s="72"/>
      <c r="KJB154" s="72"/>
      <c r="KJC154" s="72"/>
      <c r="KJD154" s="72"/>
      <c r="KJE154" s="72"/>
      <c r="KJF154" s="72"/>
      <c r="KJG154" s="72"/>
      <c r="KJH154" s="72"/>
      <c r="KJI154" s="72"/>
      <c r="KJJ154" s="72"/>
      <c r="KJK154" s="72"/>
      <c r="KJL154" s="72"/>
      <c r="KJM154" s="72"/>
      <c r="KJN154" s="72"/>
      <c r="KJO154" s="72"/>
      <c r="KJP154" s="72"/>
      <c r="KJQ154" s="72"/>
      <c r="KJR154" s="72"/>
      <c r="KJS154" s="72"/>
      <c r="KJT154" s="72"/>
      <c r="KJU154" s="72"/>
      <c r="KJV154" s="72"/>
      <c r="KJW154" s="72"/>
      <c r="KJX154" s="72"/>
      <c r="KJY154" s="72"/>
      <c r="KJZ154" s="72"/>
      <c r="KKA154" s="72"/>
      <c r="KKB154" s="72"/>
      <c r="KKC154" s="72"/>
      <c r="KKD154" s="72"/>
      <c r="KKE154" s="72"/>
      <c r="KKF154" s="72"/>
      <c r="KKG154" s="72"/>
      <c r="KKH154" s="72"/>
      <c r="KKI154" s="72"/>
      <c r="KKJ154" s="72"/>
      <c r="KKK154" s="72"/>
      <c r="KKL154" s="72"/>
      <c r="KKM154" s="72"/>
      <c r="KKN154" s="72"/>
      <c r="KKO154" s="72"/>
      <c r="KKP154" s="72"/>
      <c r="KKQ154" s="72"/>
      <c r="KKR154" s="72"/>
      <c r="KKS154" s="72"/>
      <c r="KKT154" s="72"/>
      <c r="KKU154" s="72"/>
      <c r="KKV154" s="72"/>
      <c r="KKW154" s="72"/>
      <c r="KKX154" s="72"/>
      <c r="KKY154" s="72"/>
      <c r="KKZ154" s="72"/>
      <c r="KLA154" s="72"/>
      <c r="KLB154" s="72"/>
      <c r="KLC154" s="72"/>
      <c r="KLD154" s="72"/>
      <c r="KLE154" s="72"/>
      <c r="KLF154" s="72"/>
      <c r="KLG154" s="72"/>
      <c r="KLH154" s="72"/>
      <c r="KLI154" s="72"/>
      <c r="KLJ154" s="72"/>
      <c r="KLK154" s="72"/>
      <c r="KLL154" s="72"/>
      <c r="KLM154" s="72"/>
      <c r="KLN154" s="72"/>
      <c r="KLO154" s="72"/>
      <c r="KLP154" s="72"/>
      <c r="KLQ154" s="72"/>
      <c r="KLR154" s="72"/>
      <c r="KLS154" s="72"/>
      <c r="KLT154" s="72"/>
      <c r="KLU154" s="72"/>
      <c r="KLV154" s="72"/>
      <c r="KLW154" s="72"/>
      <c r="KLX154" s="72"/>
      <c r="KLY154" s="72"/>
      <c r="KLZ154" s="72"/>
      <c r="KMA154" s="72"/>
      <c r="KMB154" s="72"/>
      <c r="KMC154" s="72"/>
      <c r="KMD154" s="72"/>
      <c r="KME154" s="72"/>
      <c r="KMF154" s="72"/>
      <c r="KMG154" s="72"/>
      <c r="KMH154" s="72"/>
      <c r="KMI154" s="72"/>
      <c r="KMJ154" s="72"/>
      <c r="KMK154" s="72"/>
      <c r="KML154" s="72"/>
      <c r="KMM154" s="72"/>
      <c r="KMN154" s="72"/>
      <c r="KMO154" s="72"/>
      <c r="KMP154" s="72"/>
      <c r="KMQ154" s="72"/>
      <c r="KMR154" s="72"/>
      <c r="KMS154" s="72"/>
      <c r="KMT154" s="72"/>
      <c r="KMU154" s="72"/>
      <c r="KMV154" s="72"/>
      <c r="KMW154" s="72"/>
      <c r="KMX154" s="72"/>
      <c r="KMY154" s="72"/>
      <c r="KMZ154" s="72"/>
      <c r="KNA154" s="72"/>
      <c r="KNB154" s="72"/>
      <c r="KNC154" s="72"/>
      <c r="KND154" s="72"/>
      <c r="KNE154" s="72"/>
      <c r="KNF154" s="72"/>
      <c r="KNG154" s="72"/>
      <c r="KNH154" s="72"/>
      <c r="KNI154" s="72"/>
      <c r="KNJ154" s="72"/>
      <c r="KNK154" s="72"/>
      <c r="KNL154" s="72"/>
      <c r="KNM154" s="72"/>
      <c r="KNN154" s="72"/>
      <c r="KNO154" s="72"/>
      <c r="KNP154" s="72"/>
      <c r="KNQ154" s="72"/>
      <c r="KNR154" s="72"/>
      <c r="KNS154" s="72"/>
      <c r="KNT154" s="72"/>
      <c r="KNU154" s="72"/>
      <c r="KNV154" s="72"/>
      <c r="KNW154" s="72"/>
      <c r="KNX154" s="72"/>
      <c r="KNY154" s="72"/>
      <c r="KNZ154" s="72"/>
      <c r="KOA154" s="72"/>
      <c r="KOB154" s="72"/>
      <c r="KOC154" s="72"/>
      <c r="KOD154" s="72"/>
      <c r="KOE154" s="72"/>
      <c r="KOF154" s="72"/>
      <c r="KOG154" s="72"/>
      <c r="KOH154" s="72"/>
      <c r="KOI154" s="72"/>
      <c r="KOJ154" s="72"/>
      <c r="KOK154" s="72"/>
      <c r="KOL154" s="72"/>
      <c r="KOM154" s="72"/>
      <c r="KON154" s="72"/>
      <c r="KOO154" s="72"/>
      <c r="KOP154" s="72"/>
      <c r="KOQ154" s="72"/>
      <c r="KOR154" s="72"/>
      <c r="KOS154" s="72"/>
      <c r="KOT154" s="72"/>
      <c r="KOU154" s="72"/>
      <c r="KOV154" s="72"/>
      <c r="KOW154" s="72"/>
      <c r="KOX154" s="72"/>
      <c r="KOY154" s="72"/>
      <c r="KOZ154" s="72"/>
      <c r="KPA154" s="72"/>
      <c r="KPB154" s="72"/>
      <c r="KPC154" s="72"/>
      <c r="KPD154" s="72"/>
      <c r="KPE154" s="72"/>
      <c r="KPF154" s="72"/>
      <c r="KPG154" s="72"/>
      <c r="KPH154" s="72"/>
      <c r="KPI154" s="72"/>
      <c r="KPJ154" s="72"/>
      <c r="KPK154" s="72"/>
      <c r="KPL154" s="72"/>
      <c r="KPM154" s="72"/>
      <c r="KPN154" s="72"/>
      <c r="KPO154" s="72"/>
      <c r="KPP154" s="72"/>
      <c r="KPQ154" s="72"/>
      <c r="KPR154" s="72"/>
      <c r="KPS154" s="72"/>
      <c r="KPT154" s="72"/>
      <c r="KPU154" s="72"/>
      <c r="KPV154" s="72"/>
      <c r="KPW154" s="72"/>
      <c r="KPX154" s="72"/>
      <c r="KPY154" s="72"/>
      <c r="KPZ154" s="72"/>
      <c r="KQA154" s="72"/>
      <c r="KQB154" s="72"/>
      <c r="KQC154" s="72"/>
      <c r="KQD154" s="72"/>
      <c r="KQE154" s="72"/>
      <c r="KQF154" s="72"/>
      <c r="KQG154" s="72"/>
      <c r="KQH154" s="72"/>
      <c r="KQI154" s="72"/>
      <c r="KQJ154" s="72"/>
      <c r="KQK154" s="72"/>
      <c r="KQL154" s="72"/>
      <c r="KQM154" s="72"/>
      <c r="KQN154" s="72"/>
      <c r="KQO154" s="72"/>
      <c r="KQP154" s="72"/>
      <c r="KQQ154" s="72"/>
      <c r="KQR154" s="72"/>
      <c r="KQS154" s="72"/>
      <c r="KQT154" s="72"/>
      <c r="KQU154" s="72"/>
      <c r="KQV154" s="72"/>
      <c r="KQW154" s="72"/>
      <c r="KQX154" s="72"/>
      <c r="KQY154" s="72"/>
      <c r="KQZ154" s="72"/>
      <c r="KRA154" s="72"/>
      <c r="KRB154" s="72"/>
      <c r="KRC154" s="72"/>
      <c r="KRD154" s="72"/>
      <c r="KRE154" s="72"/>
      <c r="KRF154" s="72"/>
      <c r="KRG154" s="72"/>
      <c r="KRH154" s="72"/>
      <c r="KRI154" s="72"/>
      <c r="KRJ154" s="72"/>
      <c r="KRK154" s="72"/>
      <c r="KRL154" s="72"/>
      <c r="KRM154" s="72"/>
      <c r="KRN154" s="72"/>
      <c r="KRO154" s="72"/>
      <c r="KRP154" s="72"/>
      <c r="KRQ154" s="72"/>
      <c r="KRR154" s="72"/>
      <c r="KRS154" s="72"/>
      <c r="KRT154" s="72"/>
      <c r="KRU154" s="72"/>
      <c r="KRV154" s="72"/>
      <c r="KRW154" s="72"/>
      <c r="KRX154" s="72"/>
      <c r="KRY154" s="72"/>
      <c r="KRZ154" s="72"/>
      <c r="KSA154" s="72"/>
      <c r="KSB154" s="72"/>
      <c r="KSC154" s="72"/>
      <c r="KSD154" s="72"/>
      <c r="KSE154" s="72"/>
      <c r="KSF154" s="72"/>
      <c r="KSG154" s="72"/>
      <c r="KSH154" s="72"/>
      <c r="KSI154" s="72"/>
      <c r="KSJ154" s="72"/>
      <c r="KSK154" s="72"/>
      <c r="KSL154" s="72"/>
      <c r="KSM154" s="72"/>
      <c r="KSN154" s="72"/>
      <c r="KSO154" s="72"/>
      <c r="KSP154" s="72"/>
      <c r="KSQ154" s="72"/>
      <c r="KSR154" s="72"/>
      <c r="KSS154" s="72"/>
      <c r="KST154" s="72"/>
      <c r="KSU154" s="72"/>
      <c r="KSV154" s="72"/>
      <c r="KSW154" s="72"/>
      <c r="KSX154" s="72"/>
      <c r="KSY154" s="72"/>
      <c r="KSZ154" s="72"/>
      <c r="KTA154" s="72"/>
      <c r="KTB154" s="72"/>
      <c r="KTC154" s="72"/>
      <c r="KTD154" s="72"/>
      <c r="KTE154" s="72"/>
      <c r="KTF154" s="72"/>
      <c r="KTG154" s="72"/>
      <c r="KTH154" s="72"/>
      <c r="KTI154" s="72"/>
      <c r="KTJ154" s="72"/>
      <c r="KTK154" s="72"/>
      <c r="KTL154" s="72"/>
      <c r="KTM154" s="72"/>
      <c r="KTN154" s="72"/>
      <c r="KTO154" s="72"/>
      <c r="KTP154" s="72"/>
      <c r="KTQ154" s="72"/>
      <c r="KTR154" s="72"/>
      <c r="KTS154" s="72"/>
      <c r="KTT154" s="72"/>
      <c r="KTU154" s="72"/>
      <c r="KTV154" s="72"/>
      <c r="KTW154" s="72"/>
      <c r="KTX154" s="72"/>
      <c r="KTY154" s="72"/>
      <c r="KTZ154" s="72"/>
      <c r="KUA154" s="72"/>
      <c r="KUB154" s="72"/>
      <c r="KUC154" s="72"/>
      <c r="KUD154" s="72"/>
      <c r="KUE154" s="72"/>
      <c r="KUF154" s="72"/>
      <c r="KUG154" s="72"/>
      <c r="KUH154" s="72"/>
      <c r="KUI154" s="72"/>
      <c r="KUJ154" s="72"/>
      <c r="KUK154" s="72"/>
      <c r="KUL154" s="72"/>
      <c r="KUM154" s="72"/>
      <c r="KUN154" s="72"/>
      <c r="KUO154" s="72"/>
      <c r="KUP154" s="72"/>
      <c r="KUQ154" s="72"/>
      <c r="KUR154" s="72"/>
      <c r="KUS154" s="72"/>
      <c r="KUT154" s="72"/>
      <c r="KUU154" s="72"/>
      <c r="KUV154" s="72"/>
      <c r="KUW154" s="72"/>
      <c r="KUX154" s="72"/>
      <c r="KUY154" s="72"/>
      <c r="KUZ154" s="72"/>
      <c r="KVA154" s="72"/>
      <c r="KVB154" s="72"/>
      <c r="KVC154" s="72"/>
      <c r="KVD154" s="72"/>
      <c r="KVE154" s="72"/>
      <c r="KVF154" s="72"/>
      <c r="KVG154" s="72"/>
      <c r="KVH154" s="72"/>
      <c r="KVI154" s="72"/>
      <c r="KVJ154" s="72"/>
      <c r="KVK154" s="72"/>
      <c r="KVL154" s="72"/>
      <c r="KVM154" s="72"/>
      <c r="KVN154" s="72"/>
      <c r="KVO154" s="72"/>
      <c r="KVP154" s="72"/>
      <c r="KVQ154" s="72"/>
      <c r="KVR154" s="72"/>
      <c r="KVS154" s="72"/>
      <c r="KVT154" s="72"/>
      <c r="KVU154" s="72"/>
      <c r="KVV154" s="72"/>
      <c r="KVW154" s="72"/>
      <c r="KVX154" s="72"/>
      <c r="KVY154" s="72"/>
      <c r="KVZ154" s="72"/>
      <c r="KWA154" s="72"/>
      <c r="KWB154" s="72"/>
      <c r="KWC154" s="72"/>
      <c r="KWD154" s="72"/>
      <c r="KWE154" s="72"/>
      <c r="KWF154" s="72"/>
      <c r="KWG154" s="72"/>
      <c r="KWH154" s="72"/>
      <c r="KWI154" s="72"/>
      <c r="KWJ154" s="72"/>
      <c r="KWK154" s="72"/>
      <c r="KWL154" s="72"/>
      <c r="KWM154" s="72"/>
      <c r="KWN154" s="72"/>
      <c r="KWO154" s="72"/>
      <c r="KWP154" s="72"/>
      <c r="KWQ154" s="72"/>
      <c r="KWR154" s="72"/>
      <c r="KWS154" s="72"/>
      <c r="KWT154" s="72"/>
      <c r="KWU154" s="72"/>
      <c r="KWV154" s="72"/>
      <c r="KWW154" s="72"/>
      <c r="KWX154" s="72"/>
      <c r="KWY154" s="72"/>
      <c r="KWZ154" s="72"/>
      <c r="KXA154" s="72"/>
      <c r="KXB154" s="72"/>
      <c r="KXC154" s="72"/>
      <c r="KXD154" s="72"/>
      <c r="KXE154" s="72"/>
      <c r="KXF154" s="72"/>
      <c r="KXG154" s="72"/>
      <c r="KXH154" s="72"/>
      <c r="KXI154" s="72"/>
      <c r="KXJ154" s="72"/>
      <c r="KXK154" s="72"/>
      <c r="KXL154" s="72"/>
      <c r="KXM154" s="72"/>
      <c r="KXN154" s="72"/>
      <c r="KXO154" s="72"/>
      <c r="KXP154" s="72"/>
      <c r="KXQ154" s="72"/>
      <c r="KXR154" s="72"/>
      <c r="KXS154" s="72"/>
      <c r="KXT154" s="72"/>
      <c r="KXU154" s="72"/>
      <c r="KXV154" s="72"/>
      <c r="KXW154" s="72"/>
      <c r="KXX154" s="72"/>
      <c r="KXY154" s="72"/>
      <c r="KXZ154" s="72"/>
      <c r="KYA154" s="72"/>
      <c r="KYB154" s="72"/>
      <c r="KYC154" s="72"/>
      <c r="KYD154" s="72"/>
      <c r="KYE154" s="72"/>
      <c r="KYF154" s="72"/>
      <c r="KYG154" s="72"/>
      <c r="KYH154" s="72"/>
      <c r="KYI154" s="72"/>
      <c r="KYJ154" s="72"/>
      <c r="KYK154" s="72"/>
      <c r="KYL154" s="72"/>
      <c r="KYM154" s="72"/>
      <c r="KYN154" s="72"/>
      <c r="KYO154" s="72"/>
      <c r="KYP154" s="72"/>
      <c r="KYQ154" s="72"/>
      <c r="KYR154" s="72"/>
      <c r="KYS154" s="72"/>
      <c r="KYT154" s="72"/>
      <c r="KYU154" s="72"/>
      <c r="KYV154" s="72"/>
      <c r="KYW154" s="72"/>
      <c r="KYX154" s="72"/>
      <c r="KYY154" s="72"/>
      <c r="KYZ154" s="72"/>
      <c r="KZA154" s="72"/>
      <c r="KZB154" s="72"/>
      <c r="KZC154" s="72"/>
      <c r="KZD154" s="72"/>
      <c r="KZE154" s="72"/>
      <c r="KZF154" s="72"/>
      <c r="KZG154" s="72"/>
      <c r="KZH154" s="72"/>
      <c r="KZI154" s="72"/>
      <c r="KZJ154" s="72"/>
      <c r="KZK154" s="72"/>
      <c r="KZL154" s="72"/>
      <c r="KZM154" s="72"/>
      <c r="KZN154" s="72"/>
      <c r="KZO154" s="72"/>
      <c r="KZP154" s="72"/>
      <c r="KZQ154" s="72"/>
      <c r="KZR154" s="72"/>
      <c r="KZS154" s="72"/>
      <c r="KZT154" s="72"/>
      <c r="KZU154" s="72"/>
      <c r="KZV154" s="72"/>
      <c r="KZW154" s="72"/>
      <c r="KZX154" s="72"/>
      <c r="KZY154" s="72"/>
      <c r="KZZ154" s="72"/>
      <c r="LAA154" s="72"/>
      <c r="LAB154" s="72"/>
      <c r="LAC154" s="72"/>
      <c r="LAD154" s="72"/>
      <c r="LAE154" s="72"/>
      <c r="LAF154" s="72"/>
      <c r="LAG154" s="72"/>
      <c r="LAH154" s="72"/>
      <c r="LAI154" s="72"/>
      <c r="LAJ154" s="72"/>
      <c r="LAK154" s="72"/>
      <c r="LAL154" s="72"/>
      <c r="LAM154" s="72"/>
      <c r="LAN154" s="72"/>
      <c r="LAO154" s="72"/>
      <c r="LAP154" s="72"/>
      <c r="LAQ154" s="72"/>
      <c r="LAR154" s="72"/>
      <c r="LAS154" s="72"/>
      <c r="LAT154" s="72"/>
      <c r="LAU154" s="72"/>
      <c r="LAV154" s="72"/>
      <c r="LAW154" s="72"/>
      <c r="LAX154" s="72"/>
      <c r="LAY154" s="72"/>
      <c r="LAZ154" s="72"/>
      <c r="LBA154" s="72"/>
      <c r="LBB154" s="72"/>
      <c r="LBC154" s="72"/>
      <c r="LBD154" s="72"/>
      <c r="LBE154" s="72"/>
      <c r="LBF154" s="72"/>
      <c r="LBG154" s="72"/>
      <c r="LBH154" s="72"/>
      <c r="LBI154" s="72"/>
      <c r="LBJ154" s="72"/>
      <c r="LBK154" s="72"/>
      <c r="LBL154" s="72"/>
      <c r="LBM154" s="72"/>
      <c r="LBN154" s="72"/>
      <c r="LBO154" s="72"/>
      <c r="LBP154" s="72"/>
      <c r="LBQ154" s="72"/>
      <c r="LBR154" s="72"/>
      <c r="LBS154" s="72"/>
      <c r="LBT154" s="72"/>
      <c r="LBU154" s="72"/>
      <c r="LBV154" s="72"/>
      <c r="LBW154" s="72"/>
      <c r="LBX154" s="72"/>
      <c r="LBY154" s="72"/>
      <c r="LBZ154" s="72"/>
      <c r="LCA154" s="72"/>
      <c r="LCB154" s="72"/>
      <c r="LCC154" s="72"/>
      <c r="LCD154" s="72"/>
      <c r="LCE154" s="72"/>
      <c r="LCF154" s="72"/>
      <c r="LCG154" s="72"/>
      <c r="LCH154" s="72"/>
      <c r="LCI154" s="72"/>
      <c r="LCJ154" s="72"/>
      <c r="LCK154" s="72"/>
      <c r="LCL154" s="72"/>
      <c r="LCM154" s="72"/>
      <c r="LCN154" s="72"/>
      <c r="LCO154" s="72"/>
      <c r="LCP154" s="72"/>
      <c r="LCQ154" s="72"/>
      <c r="LCR154" s="72"/>
      <c r="LCS154" s="72"/>
      <c r="LCT154" s="72"/>
      <c r="LCU154" s="72"/>
      <c r="LCV154" s="72"/>
      <c r="LCW154" s="72"/>
      <c r="LCX154" s="72"/>
      <c r="LCY154" s="72"/>
      <c r="LCZ154" s="72"/>
      <c r="LDA154" s="72"/>
      <c r="LDB154" s="72"/>
      <c r="LDC154" s="72"/>
      <c r="LDD154" s="72"/>
      <c r="LDE154" s="72"/>
      <c r="LDF154" s="72"/>
      <c r="LDG154" s="72"/>
      <c r="LDH154" s="72"/>
      <c r="LDI154" s="72"/>
      <c r="LDJ154" s="72"/>
      <c r="LDK154" s="72"/>
      <c r="LDL154" s="72"/>
      <c r="LDM154" s="72"/>
      <c r="LDN154" s="72"/>
      <c r="LDO154" s="72"/>
      <c r="LDP154" s="72"/>
      <c r="LDQ154" s="72"/>
      <c r="LDR154" s="72"/>
      <c r="LDS154" s="72"/>
      <c r="LDT154" s="72"/>
      <c r="LDU154" s="72"/>
      <c r="LDV154" s="72"/>
      <c r="LDW154" s="72"/>
      <c r="LDX154" s="72"/>
      <c r="LDY154" s="72"/>
      <c r="LDZ154" s="72"/>
      <c r="LEA154" s="72"/>
      <c r="LEB154" s="72"/>
      <c r="LEC154" s="72"/>
      <c r="LED154" s="72"/>
      <c r="LEE154" s="72"/>
      <c r="LEF154" s="72"/>
      <c r="LEG154" s="72"/>
      <c r="LEH154" s="72"/>
      <c r="LEI154" s="72"/>
      <c r="LEJ154" s="72"/>
      <c r="LEK154" s="72"/>
      <c r="LEL154" s="72"/>
      <c r="LEM154" s="72"/>
      <c r="LEN154" s="72"/>
      <c r="LEO154" s="72"/>
      <c r="LEP154" s="72"/>
      <c r="LEQ154" s="72"/>
      <c r="LER154" s="72"/>
      <c r="LES154" s="72"/>
      <c r="LET154" s="72"/>
      <c r="LEU154" s="72"/>
      <c r="LEV154" s="72"/>
      <c r="LEW154" s="72"/>
      <c r="LEX154" s="72"/>
      <c r="LEY154" s="72"/>
      <c r="LEZ154" s="72"/>
      <c r="LFA154" s="72"/>
      <c r="LFB154" s="72"/>
      <c r="LFC154" s="72"/>
      <c r="LFD154" s="72"/>
      <c r="LFE154" s="72"/>
      <c r="LFF154" s="72"/>
      <c r="LFG154" s="72"/>
      <c r="LFH154" s="72"/>
      <c r="LFI154" s="72"/>
      <c r="LFJ154" s="72"/>
      <c r="LFK154" s="72"/>
      <c r="LFL154" s="72"/>
      <c r="LFM154" s="72"/>
      <c r="LFN154" s="72"/>
      <c r="LFO154" s="72"/>
      <c r="LFP154" s="72"/>
      <c r="LFQ154" s="72"/>
      <c r="LFR154" s="72"/>
      <c r="LFS154" s="72"/>
      <c r="LFT154" s="72"/>
      <c r="LFU154" s="72"/>
      <c r="LFV154" s="72"/>
      <c r="LFW154" s="72"/>
      <c r="LFX154" s="72"/>
      <c r="LFY154" s="72"/>
      <c r="LFZ154" s="72"/>
      <c r="LGA154" s="72"/>
      <c r="LGB154" s="72"/>
      <c r="LGC154" s="72"/>
      <c r="LGD154" s="72"/>
      <c r="LGE154" s="72"/>
      <c r="LGF154" s="72"/>
      <c r="LGG154" s="72"/>
      <c r="LGH154" s="72"/>
      <c r="LGI154" s="72"/>
      <c r="LGJ154" s="72"/>
      <c r="LGK154" s="72"/>
      <c r="LGL154" s="72"/>
      <c r="LGM154" s="72"/>
      <c r="LGN154" s="72"/>
      <c r="LGO154" s="72"/>
      <c r="LGP154" s="72"/>
      <c r="LGQ154" s="72"/>
      <c r="LGR154" s="72"/>
      <c r="LGS154" s="72"/>
      <c r="LGT154" s="72"/>
      <c r="LGU154" s="72"/>
      <c r="LGV154" s="72"/>
      <c r="LGW154" s="72"/>
      <c r="LGX154" s="72"/>
      <c r="LGY154" s="72"/>
      <c r="LGZ154" s="72"/>
      <c r="LHA154" s="72"/>
      <c r="LHB154" s="72"/>
      <c r="LHC154" s="72"/>
      <c r="LHD154" s="72"/>
      <c r="LHE154" s="72"/>
      <c r="LHF154" s="72"/>
      <c r="LHG154" s="72"/>
      <c r="LHH154" s="72"/>
      <c r="LHI154" s="72"/>
      <c r="LHJ154" s="72"/>
      <c r="LHK154" s="72"/>
      <c r="LHL154" s="72"/>
      <c r="LHM154" s="72"/>
      <c r="LHN154" s="72"/>
      <c r="LHO154" s="72"/>
      <c r="LHP154" s="72"/>
      <c r="LHQ154" s="72"/>
      <c r="LHR154" s="72"/>
      <c r="LHS154" s="72"/>
      <c r="LHT154" s="72"/>
      <c r="LHU154" s="72"/>
      <c r="LHV154" s="72"/>
      <c r="LHW154" s="72"/>
      <c r="LHX154" s="72"/>
      <c r="LHY154" s="72"/>
      <c r="LHZ154" s="72"/>
      <c r="LIA154" s="72"/>
      <c r="LIB154" s="72"/>
      <c r="LIC154" s="72"/>
      <c r="LID154" s="72"/>
      <c r="LIE154" s="72"/>
      <c r="LIF154" s="72"/>
      <c r="LIG154" s="72"/>
      <c r="LIH154" s="72"/>
      <c r="LII154" s="72"/>
      <c r="LIJ154" s="72"/>
      <c r="LIK154" s="72"/>
      <c r="LIL154" s="72"/>
      <c r="LIM154" s="72"/>
      <c r="LIN154" s="72"/>
      <c r="LIO154" s="72"/>
      <c r="LIP154" s="72"/>
      <c r="LIQ154" s="72"/>
      <c r="LIR154" s="72"/>
      <c r="LIS154" s="72"/>
      <c r="LIT154" s="72"/>
      <c r="LIU154" s="72"/>
      <c r="LIV154" s="72"/>
      <c r="LIW154" s="72"/>
      <c r="LIX154" s="72"/>
      <c r="LIY154" s="72"/>
      <c r="LIZ154" s="72"/>
      <c r="LJA154" s="72"/>
      <c r="LJB154" s="72"/>
      <c r="LJC154" s="72"/>
      <c r="LJD154" s="72"/>
      <c r="LJE154" s="72"/>
      <c r="LJF154" s="72"/>
      <c r="LJG154" s="72"/>
      <c r="LJH154" s="72"/>
      <c r="LJI154" s="72"/>
      <c r="LJJ154" s="72"/>
      <c r="LJK154" s="72"/>
      <c r="LJL154" s="72"/>
      <c r="LJM154" s="72"/>
      <c r="LJN154" s="72"/>
      <c r="LJO154" s="72"/>
      <c r="LJP154" s="72"/>
      <c r="LJQ154" s="72"/>
      <c r="LJR154" s="72"/>
      <c r="LJS154" s="72"/>
      <c r="LJT154" s="72"/>
      <c r="LJU154" s="72"/>
      <c r="LJV154" s="72"/>
      <c r="LJW154" s="72"/>
      <c r="LJX154" s="72"/>
      <c r="LJY154" s="72"/>
      <c r="LJZ154" s="72"/>
      <c r="LKA154" s="72"/>
      <c r="LKB154" s="72"/>
      <c r="LKC154" s="72"/>
      <c r="LKD154" s="72"/>
      <c r="LKE154" s="72"/>
      <c r="LKF154" s="72"/>
      <c r="LKG154" s="72"/>
      <c r="LKH154" s="72"/>
      <c r="LKI154" s="72"/>
      <c r="LKJ154" s="72"/>
      <c r="LKK154" s="72"/>
      <c r="LKL154" s="72"/>
      <c r="LKM154" s="72"/>
      <c r="LKN154" s="72"/>
      <c r="LKO154" s="72"/>
      <c r="LKP154" s="72"/>
      <c r="LKQ154" s="72"/>
      <c r="LKR154" s="72"/>
      <c r="LKS154" s="72"/>
      <c r="LKT154" s="72"/>
      <c r="LKU154" s="72"/>
      <c r="LKV154" s="72"/>
      <c r="LKW154" s="72"/>
      <c r="LKX154" s="72"/>
      <c r="LKY154" s="72"/>
      <c r="LKZ154" s="72"/>
      <c r="LLA154" s="72"/>
      <c r="LLB154" s="72"/>
      <c r="LLC154" s="72"/>
      <c r="LLD154" s="72"/>
      <c r="LLE154" s="72"/>
      <c r="LLF154" s="72"/>
      <c r="LLG154" s="72"/>
      <c r="LLH154" s="72"/>
      <c r="LLI154" s="72"/>
      <c r="LLJ154" s="72"/>
      <c r="LLK154" s="72"/>
      <c r="LLL154" s="72"/>
      <c r="LLM154" s="72"/>
      <c r="LLN154" s="72"/>
      <c r="LLO154" s="72"/>
      <c r="LLP154" s="72"/>
      <c r="LLQ154" s="72"/>
      <c r="LLR154" s="72"/>
      <c r="LLS154" s="72"/>
      <c r="LLT154" s="72"/>
      <c r="LLU154" s="72"/>
      <c r="LLV154" s="72"/>
      <c r="LLW154" s="72"/>
      <c r="LLX154" s="72"/>
      <c r="LLY154" s="72"/>
      <c r="LLZ154" s="72"/>
      <c r="LMA154" s="72"/>
      <c r="LMB154" s="72"/>
      <c r="LMC154" s="72"/>
      <c r="LMD154" s="72"/>
      <c r="LME154" s="72"/>
      <c r="LMF154" s="72"/>
      <c r="LMG154" s="72"/>
      <c r="LMH154" s="72"/>
      <c r="LMI154" s="72"/>
      <c r="LMJ154" s="72"/>
      <c r="LMK154" s="72"/>
      <c r="LML154" s="72"/>
      <c r="LMM154" s="72"/>
      <c r="LMN154" s="72"/>
      <c r="LMO154" s="72"/>
      <c r="LMP154" s="72"/>
      <c r="LMQ154" s="72"/>
      <c r="LMR154" s="72"/>
      <c r="LMS154" s="72"/>
      <c r="LMT154" s="72"/>
      <c r="LMU154" s="72"/>
      <c r="LMV154" s="72"/>
      <c r="LMW154" s="72"/>
      <c r="LMX154" s="72"/>
      <c r="LMY154" s="72"/>
      <c r="LMZ154" s="72"/>
      <c r="LNA154" s="72"/>
      <c r="LNB154" s="72"/>
      <c r="LNC154" s="72"/>
      <c r="LND154" s="72"/>
      <c r="LNE154" s="72"/>
      <c r="LNF154" s="72"/>
      <c r="LNG154" s="72"/>
      <c r="LNH154" s="72"/>
      <c r="LNI154" s="72"/>
      <c r="LNJ154" s="72"/>
      <c r="LNK154" s="72"/>
      <c r="LNL154" s="72"/>
      <c r="LNM154" s="72"/>
      <c r="LNN154" s="72"/>
      <c r="LNO154" s="72"/>
      <c r="LNP154" s="72"/>
      <c r="LNQ154" s="72"/>
      <c r="LNR154" s="72"/>
      <c r="LNS154" s="72"/>
      <c r="LNT154" s="72"/>
      <c r="LNU154" s="72"/>
      <c r="LNV154" s="72"/>
      <c r="LNW154" s="72"/>
      <c r="LNX154" s="72"/>
      <c r="LNY154" s="72"/>
      <c r="LNZ154" s="72"/>
      <c r="LOA154" s="72"/>
      <c r="LOB154" s="72"/>
      <c r="LOC154" s="72"/>
      <c r="LOD154" s="72"/>
      <c r="LOE154" s="72"/>
      <c r="LOF154" s="72"/>
      <c r="LOG154" s="72"/>
      <c r="LOH154" s="72"/>
      <c r="LOI154" s="72"/>
      <c r="LOJ154" s="72"/>
      <c r="LOK154" s="72"/>
      <c r="LOL154" s="72"/>
      <c r="LOM154" s="72"/>
      <c r="LON154" s="72"/>
      <c r="LOO154" s="72"/>
      <c r="LOP154" s="72"/>
      <c r="LOQ154" s="72"/>
      <c r="LOR154" s="72"/>
      <c r="LOS154" s="72"/>
      <c r="LOT154" s="72"/>
      <c r="LOU154" s="72"/>
      <c r="LOV154" s="72"/>
      <c r="LOW154" s="72"/>
      <c r="LOX154" s="72"/>
      <c r="LOY154" s="72"/>
      <c r="LOZ154" s="72"/>
      <c r="LPA154" s="72"/>
      <c r="LPB154" s="72"/>
      <c r="LPC154" s="72"/>
      <c r="LPD154" s="72"/>
      <c r="LPE154" s="72"/>
      <c r="LPF154" s="72"/>
      <c r="LPG154" s="72"/>
      <c r="LPH154" s="72"/>
      <c r="LPI154" s="72"/>
      <c r="LPJ154" s="72"/>
      <c r="LPK154" s="72"/>
      <c r="LPL154" s="72"/>
      <c r="LPM154" s="72"/>
      <c r="LPN154" s="72"/>
      <c r="LPO154" s="72"/>
      <c r="LPP154" s="72"/>
      <c r="LPQ154" s="72"/>
      <c r="LPR154" s="72"/>
      <c r="LPS154" s="72"/>
      <c r="LPT154" s="72"/>
      <c r="LPU154" s="72"/>
      <c r="LPV154" s="72"/>
      <c r="LPW154" s="72"/>
      <c r="LPX154" s="72"/>
      <c r="LPY154" s="72"/>
      <c r="LPZ154" s="72"/>
      <c r="LQA154" s="72"/>
      <c r="LQB154" s="72"/>
      <c r="LQC154" s="72"/>
      <c r="LQD154" s="72"/>
      <c r="LQE154" s="72"/>
      <c r="LQF154" s="72"/>
      <c r="LQG154" s="72"/>
      <c r="LQH154" s="72"/>
      <c r="LQI154" s="72"/>
      <c r="LQJ154" s="72"/>
      <c r="LQK154" s="72"/>
      <c r="LQL154" s="72"/>
      <c r="LQM154" s="72"/>
      <c r="LQN154" s="72"/>
      <c r="LQO154" s="72"/>
      <c r="LQP154" s="72"/>
      <c r="LQQ154" s="72"/>
      <c r="LQR154" s="72"/>
      <c r="LQS154" s="72"/>
      <c r="LQT154" s="72"/>
      <c r="LQU154" s="72"/>
      <c r="LQV154" s="72"/>
      <c r="LQW154" s="72"/>
      <c r="LQX154" s="72"/>
      <c r="LQY154" s="72"/>
      <c r="LQZ154" s="72"/>
      <c r="LRA154" s="72"/>
      <c r="LRB154" s="72"/>
      <c r="LRC154" s="72"/>
      <c r="LRD154" s="72"/>
      <c r="LRE154" s="72"/>
      <c r="LRF154" s="72"/>
      <c r="LRG154" s="72"/>
      <c r="LRH154" s="72"/>
      <c r="LRI154" s="72"/>
      <c r="LRJ154" s="72"/>
      <c r="LRK154" s="72"/>
      <c r="LRL154" s="72"/>
      <c r="LRM154" s="72"/>
      <c r="LRN154" s="72"/>
      <c r="LRO154" s="72"/>
      <c r="LRP154" s="72"/>
      <c r="LRQ154" s="72"/>
      <c r="LRR154" s="72"/>
      <c r="LRS154" s="72"/>
      <c r="LRT154" s="72"/>
      <c r="LRU154" s="72"/>
      <c r="LRV154" s="72"/>
      <c r="LRW154" s="72"/>
      <c r="LRX154" s="72"/>
      <c r="LRY154" s="72"/>
      <c r="LRZ154" s="72"/>
      <c r="LSA154" s="72"/>
      <c r="LSB154" s="72"/>
      <c r="LSC154" s="72"/>
      <c r="LSD154" s="72"/>
      <c r="LSE154" s="72"/>
      <c r="LSF154" s="72"/>
      <c r="LSG154" s="72"/>
      <c r="LSH154" s="72"/>
      <c r="LSI154" s="72"/>
      <c r="LSJ154" s="72"/>
      <c r="LSK154" s="72"/>
      <c r="LSL154" s="72"/>
      <c r="LSM154" s="72"/>
      <c r="LSN154" s="72"/>
      <c r="LSO154" s="72"/>
      <c r="LSP154" s="72"/>
      <c r="LSQ154" s="72"/>
      <c r="LSR154" s="72"/>
      <c r="LSS154" s="72"/>
      <c r="LST154" s="72"/>
      <c r="LSU154" s="72"/>
      <c r="LSV154" s="72"/>
      <c r="LSW154" s="72"/>
      <c r="LSX154" s="72"/>
      <c r="LSY154" s="72"/>
      <c r="LSZ154" s="72"/>
      <c r="LTA154" s="72"/>
      <c r="LTB154" s="72"/>
      <c r="LTC154" s="72"/>
      <c r="LTD154" s="72"/>
      <c r="LTE154" s="72"/>
      <c r="LTF154" s="72"/>
      <c r="LTG154" s="72"/>
      <c r="LTH154" s="72"/>
      <c r="LTI154" s="72"/>
      <c r="LTJ154" s="72"/>
      <c r="LTK154" s="72"/>
      <c r="LTL154" s="72"/>
      <c r="LTM154" s="72"/>
      <c r="LTN154" s="72"/>
      <c r="LTO154" s="72"/>
      <c r="LTP154" s="72"/>
      <c r="LTQ154" s="72"/>
      <c r="LTR154" s="72"/>
      <c r="LTS154" s="72"/>
      <c r="LTT154" s="72"/>
      <c r="LTU154" s="72"/>
      <c r="LTV154" s="72"/>
      <c r="LTW154" s="72"/>
      <c r="LTX154" s="72"/>
      <c r="LTY154" s="72"/>
      <c r="LTZ154" s="72"/>
      <c r="LUA154" s="72"/>
      <c r="LUB154" s="72"/>
      <c r="LUC154" s="72"/>
      <c r="LUD154" s="72"/>
      <c r="LUE154" s="72"/>
      <c r="LUF154" s="72"/>
      <c r="LUG154" s="72"/>
      <c r="LUH154" s="72"/>
      <c r="LUI154" s="72"/>
      <c r="LUJ154" s="72"/>
      <c r="LUK154" s="72"/>
      <c r="LUL154" s="72"/>
      <c r="LUM154" s="72"/>
      <c r="LUN154" s="72"/>
      <c r="LUO154" s="72"/>
      <c r="LUP154" s="72"/>
      <c r="LUQ154" s="72"/>
      <c r="LUR154" s="72"/>
      <c r="LUS154" s="72"/>
      <c r="LUT154" s="72"/>
      <c r="LUU154" s="72"/>
      <c r="LUV154" s="72"/>
      <c r="LUW154" s="72"/>
      <c r="LUX154" s="72"/>
      <c r="LUY154" s="72"/>
      <c r="LUZ154" s="72"/>
      <c r="LVA154" s="72"/>
      <c r="LVB154" s="72"/>
      <c r="LVC154" s="72"/>
      <c r="LVD154" s="72"/>
      <c r="LVE154" s="72"/>
      <c r="LVF154" s="72"/>
      <c r="LVG154" s="72"/>
      <c r="LVH154" s="72"/>
      <c r="LVI154" s="72"/>
      <c r="LVJ154" s="72"/>
      <c r="LVK154" s="72"/>
      <c r="LVL154" s="72"/>
      <c r="LVM154" s="72"/>
      <c r="LVN154" s="72"/>
      <c r="LVO154" s="72"/>
      <c r="LVP154" s="72"/>
      <c r="LVQ154" s="72"/>
      <c r="LVR154" s="72"/>
      <c r="LVS154" s="72"/>
      <c r="LVT154" s="72"/>
      <c r="LVU154" s="72"/>
      <c r="LVV154" s="72"/>
      <c r="LVW154" s="72"/>
      <c r="LVX154" s="72"/>
      <c r="LVY154" s="72"/>
      <c r="LVZ154" s="72"/>
      <c r="LWA154" s="72"/>
      <c r="LWB154" s="72"/>
      <c r="LWC154" s="72"/>
      <c r="LWD154" s="72"/>
      <c r="LWE154" s="72"/>
      <c r="LWF154" s="72"/>
      <c r="LWG154" s="72"/>
      <c r="LWH154" s="72"/>
      <c r="LWI154" s="72"/>
      <c r="LWJ154" s="72"/>
      <c r="LWK154" s="72"/>
      <c r="LWL154" s="72"/>
      <c r="LWM154" s="72"/>
      <c r="LWN154" s="72"/>
      <c r="LWO154" s="72"/>
      <c r="LWP154" s="72"/>
      <c r="LWQ154" s="72"/>
      <c r="LWR154" s="72"/>
      <c r="LWS154" s="72"/>
      <c r="LWT154" s="72"/>
      <c r="LWU154" s="72"/>
      <c r="LWV154" s="72"/>
      <c r="LWW154" s="72"/>
      <c r="LWX154" s="72"/>
      <c r="LWY154" s="72"/>
      <c r="LWZ154" s="72"/>
      <c r="LXA154" s="72"/>
      <c r="LXB154" s="72"/>
      <c r="LXC154" s="72"/>
      <c r="LXD154" s="72"/>
      <c r="LXE154" s="72"/>
      <c r="LXF154" s="72"/>
      <c r="LXG154" s="72"/>
      <c r="LXH154" s="72"/>
      <c r="LXI154" s="72"/>
      <c r="LXJ154" s="72"/>
      <c r="LXK154" s="72"/>
      <c r="LXL154" s="72"/>
      <c r="LXM154" s="72"/>
      <c r="LXN154" s="72"/>
      <c r="LXO154" s="72"/>
      <c r="LXP154" s="72"/>
      <c r="LXQ154" s="72"/>
      <c r="LXR154" s="72"/>
      <c r="LXS154" s="72"/>
      <c r="LXT154" s="72"/>
      <c r="LXU154" s="72"/>
      <c r="LXV154" s="72"/>
      <c r="LXW154" s="72"/>
      <c r="LXX154" s="72"/>
      <c r="LXY154" s="72"/>
      <c r="LXZ154" s="72"/>
      <c r="LYA154" s="72"/>
      <c r="LYB154" s="72"/>
      <c r="LYC154" s="72"/>
      <c r="LYD154" s="72"/>
      <c r="LYE154" s="72"/>
      <c r="LYF154" s="72"/>
      <c r="LYG154" s="72"/>
      <c r="LYH154" s="72"/>
      <c r="LYI154" s="72"/>
      <c r="LYJ154" s="72"/>
      <c r="LYK154" s="72"/>
      <c r="LYL154" s="72"/>
      <c r="LYM154" s="72"/>
      <c r="LYN154" s="72"/>
      <c r="LYO154" s="72"/>
      <c r="LYP154" s="72"/>
      <c r="LYQ154" s="72"/>
      <c r="LYR154" s="72"/>
      <c r="LYS154" s="72"/>
      <c r="LYT154" s="72"/>
      <c r="LYU154" s="72"/>
      <c r="LYV154" s="72"/>
      <c r="LYW154" s="72"/>
      <c r="LYX154" s="72"/>
      <c r="LYY154" s="72"/>
      <c r="LYZ154" s="72"/>
      <c r="LZA154" s="72"/>
      <c r="LZB154" s="72"/>
      <c r="LZC154" s="72"/>
      <c r="LZD154" s="72"/>
      <c r="LZE154" s="72"/>
      <c r="LZF154" s="72"/>
      <c r="LZG154" s="72"/>
      <c r="LZH154" s="72"/>
      <c r="LZI154" s="72"/>
      <c r="LZJ154" s="72"/>
      <c r="LZK154" s="72"/>
      <c r="LZL154" s="72"/>
      <c r="LZM154" s="72"/>
      <c r="LZN154" s="72"/>
      <c r="LZO154" s="72"/>
      <c r="LZP154" s="72"/>
      <c r="LZQ154" s="72"/>
      <c r="LZR154" s="72"/>
      <c r="LZS154" s="72"/>
      <c r="LZT154" s="72"/>
      <c r="LZU154" s="72"/>
      <c r="LZV154" s="72"/>
      <c r="LZW154" s="72"/>
      <c r="LZX154" s="72"/>
      <c r="LZY154" s="72"/>
      <c r="LZZ154" s="72"/>
      <c r="MAA154" s="72"/>
      <c r="MAB154" s="72"/>
      <c r="MAC154" s="72"/>
      <c r="MAD154" s="72"/>
      <c r="MAE154" s="72"/>
      <c r="MAF154" s="72"/>
      <c r="MAG154" s="72"/>
      <c r="MAH154" s="72"/>
      <c r="MAI154" s="72"/>
      <c r="MAJ154" s="72"/>
      <c r="MAK154" s="72"/>
      <c r="MAL154" s="72"/>
      <c r="MAM154" s="72"/>
      <c r="MAN154" s="72"/>
      <c r="MAO154" s="72"/>
      <c r="MAP154" s="72"/>
      <c r="MAQ154" s="72"/>
      <c r="MAR154" s="72"/>
      <c r="MAS154" s="72"/>
      <c r="MAT154" s="72"/>
      <c r="MAU154" s="72"/>
      <c r="MAV154" s="72"/>
      <c r="MAW154" s="72"/>
      <c r="MAX154" s="72"/>
      <c r="MAY154" s="72"/>
      <c r="MAZ154" s="72"/>
      <c r="MBA154" s="72"/>
      <c r="MBB154" s="72"/>
      <c r="MBC154" s="72"/>
      <c r="MBD154" s="72"/>
      <c r="MBE154" s="72"/>
      <c r="MBF154" s="72"/>
      <c r="MBG154" s="72"/>
      <c r="MBH154" s="72"/>
      <c r="MBI154" s="72"/>
      <c r="MBJ154" s="72"/>
      <c r="MBK154" s="72"/>
      <c r="MBL154" s="72"/>
      <c r="MBM154" s="72"/>
      <c r="MBN154" s="72"/>
      <c r="MBO154" s="72"/>
      <c r="MBP154" s="72"/>
      <c r="MBQ154" s="72"/>
      <c r="MBR154" s="72"/>
      <c r="MBS154" s="72"/>
      <c r="MBT154" s="72"/>
      <c r="MBU154" s="72"/>
      <c r="MBV154" s="72"/>
      <c r="MBW154" s="72"/>
      <c r="MBX154" s="72"/>
      <c r="MBY154" s="72"/>
      <c r="MBZ154" s="72"/>
      <c r="MCA154" s="72"/>
      <c r="MCB154" s="72"/>
      <c r="MCC154" s="72"/>
      <c r="MCD154" s="72"/>
      <c r="MCE154" s="72"/>
      <c r="MCF154" s="72"/>
      <c r="MCG154" s="72"/>
      <c r="MCH154" s="72"/>
      <c r="MCI154" s="72"/>
      <c r="MCJ154" s="72"/>
      <c r="MCK154" s="72"/>
      <c r="MCL154" s="72"/>
      <c r="MCM154" s="72"/>
      <c r="MCN154" s="72"/>
      <c r="MCO154" s="72"/>
      <c r="MCP154" s="72"/>
      <c r="MCQ154" s="72"/>
      <c r="MCR154" s="72"/>
      <c r="MCS154" s="72"/>
      <c r="MCT154" s="72"/>
      <c r="MCU154" s="72"/>
      <c r="MCV154" s="72"/>
      <c r="MCW154" s="72"/>
      <c r="MCX154" s="72"/>
      <c r="MCY154" s="72"/>
      <c r="MCZ154" s="72"/>
      <c r="MDA154" s="72"/>
      <c r="MDB154" s="72"/>
      <c r="MDC154" s="72"/>
      <c r="MDD154" s="72"/>
      <c r="MDE154" s="72"/>
      <c r="MDF154" s="72"/>
      <c r="MDG154" s="72"/>
      <c r="MDH154" s="72"/>
      <c r="MDI154" s="72"/>
      <c r="MDJ154" s="72"/>
      <c r="MDK154" s="72"/>
      <c r="MDL154" s="72"/>
      <c r="MDM154" s="72"/>
      <c r="MDN154" s="72"/>
      <c r="MDO154" s="72"/>
      <c r="MDP154" s="72"/>
      <c r="MDQ154" s="72"/>
      <c r="MDR154" s="72"/>
      <c r="MDS154" s="72"/>
      <c r="MDT154" s="72"/>
      <c r="MDU154" s="72"/>
      <c r="MDV154" s="72"/>
      <c r="MDW154" s="72"/>
      <c r="MDX154" s="72"/>
      <c r="MDY154" s="72"/>
      <c r="MDZ154" s="72"/>
      <c r="MEA154" s="72"/>
      <c r="MEB154" s="72"/>
      <c r="MEC154" s="72"/>
      <c r="MED154" s="72"/>
      <c r="MEE154" s="72"/>
      <c r="MEF154" s="72"/>
      <c r="MEG154" s="72"/>
      <c r="MEH154" s="72"/>
      <c r="MEI154" s="72"/>
      <c r="MEJ154" s="72"/>
      <c r="MEK154" s="72"/>
      <c r="MEL154" s="72"/>
      <c r="MEM154" s="72"/>
      <c r="MEN154" s="72"/>
      <c r="MEO154" s="72"/>
      <c r="MEP154" s="72"/>
      <c r="MEQ154" s="72"/>
      <c r="MER154" s="72"/>
      <c r="MES154" s="72"/>
      <c r="MET154" s="72"/>
      <c r="MEU154" s="72"/>
      <c r="MEV154" s="72"/>
      <c r="MEW154" s="72"/>
      <c r="MEX154" s="72"/>
      <c r="MEY154" s="72"/>
      <c r="MEZ154" s="72"/>
      <c r="MFA154" s="72"/>
      <c r="MFB154" s="72"/>
      <c r="MFC154" s="72"/>
      <c r="MFD154" s="72"/>
      <c r="MFE154" s="72"/>
      <c r="MFF154" s="72"/>
      <c r="MFG154" s="72"/>
      <c r="MFH154" s="72"/>
      <c r="MFI154" s="72"/>
      <c r="MFJ154" s="72"/>
      <c r="MFK154" s="72"/>
      <c r="MFL154" s="72"/>
      <c r="MFM154" s="72"/>
      <c r="MFN154" s="72"/>
      <c r="MFO154" s="72"/>
      <c r="MFP154" s="72"/>
      <c r="MFQ154" s="72"/>
      <c r="MFR154" s="72"/>
      <c r="MFS154" s="72"/>
      <c r="MFT154" s="72"/>
      <c r="MFU154" s="72"/>
      <c r="MFV154" s="72"/>
      <c r="MFW154" s="72"/>
      <c r="MFX154" s="72"/>
      <c r="MFY154" s="72"/>
      <c r="MFZ154" s="72"/>
      <c r="MGA154" s="72"/>
      <c r="MGB154" s="72"/>
      <c r="MGC154" s="72"/>
      <c r="MGD154" s="72"/>
      <c r="MGE154" s="72"/>
      <c r="MGF154" s="72"/>
      <c r="MGG154" s="72"/>
      <c r="MGH154" s="72"/>
      <c r="MGI154" s="72"/>
      <c r="MGJ154" s="72"/>
      <c r="MGK154" s="72"/>
      <c r="MGL154" s="72"/>
      <c r="MGM154" s="72"/>
      <c r="MGN154" s="72"/>
      <c r="MGO154" s="72"/>
      <c r="MGP154" s="72"/>
      <c r="MGQ154" s="72"/>
      <c r="MGR154" s="72"/>
      <c r="MGS154" s="72"/>
      <c r="MGT154" s="72"/>
      <c r="MGU154" s="72"/>
      <c r="MGV154" s="72"/>
      <c r="MGW154" s="72"/>
      <c r="MGX154" s="72"/>
      <c r="MGY154" s="72"/>
      <c r="MGZ154" s="72"/>
      <c r="MHA154" s="72"/>
      <c r="MHB154" s="72"/>
      <c r="MHC154" s="72"/>
      <c r="MHD154" s="72"/>
      <c r="MHE154" s="72"/>
      <c r="MHF154" s="72"/>
      <c r="MHG154" s="72"/>
      <c r="MHH154" s="72"/>
      <c r="MHI154" s="72"/>
      <c r="MHJ154" s="72"/>
      <c r="MHK154" s="72"/>
      <c r="MHL154" s="72"/>
      <c r="MHM154" s="72"/>
      <c r="MHN154" s="72"/>
      <c r="MHO154" s="72"/>
      <c r="MHP154" s="72"/>
      <c r="MHQ154" s="72"/>
      <c r="MHR154" s="72"/>
      <c r="MHS154" s="72"/>
      <c r="MHT154" s="72"/>
      <c r="MHU154" s="72"/>
      <c r="MHV154" s="72"/>
      <c r="MHW154" s="72"/>
      <c r="MHX154" s="72"/>
      <c r="MHY154" s="72"/>
      <c r="MHZ154" s="72"/>
      <c r="MIA154" s="72"/>
      <c r="MIB154" s="72"/>
      <c r="MIC154" s="72"/>
      <c r="MID154" s="72"/>
      <c r="MIE154" s="72"/>
      <c r="MIF154" s="72"/>
      <c r="MIG154" s="72"/>
      <c r="MIH154" s="72"/>
      <c r="MII154" s="72"/>
      <c r="MIJ154" s="72"/>
      <c r="MIK154" s="72"/>
      <c r="MIL154" s="72"/>
      <c r="MIM154" s="72"/>
      <c r="MIN154" s="72"/>
      <c r="MIO154" s="72"/>
      <c r="MIP154" s="72"/>
      <c r="MIQ154" s="72"/>
      <c r="MIR154" s="72"/>
      <c r="MIS154" s="72"/>
      <c r="MIT154" s="72"/>
      <c r="MIU154" s="72"/>
      <c r="MIV154" s="72"/>
      <c r="MIW154" s="72"/>
      <c r="MIX154" s="72"/>
      <c r="MIY154" s="72"/>
      <c r="MIZ154" s="72"/>
      <c r="MJA154" s="72"/>
      <c r="MJB154" s="72"/>
      <c r="MJC154" s="72"/>
      <c r="MJD154" s="72"/>
      <c r="MJE154" s="72"/>
      <c r="MJF154" s="72"/>
      <c r="MJG154" s="72"/>
      <c r="MJH154" s="72"/>
      <c r="MJI154" s="72"/>
      <c r="MJJ154" s="72"/>
      <c r="MJK154" s="72"/>
      <c r="MJL154" s="72"/>
      <c r="MJM154" s="72"/>
      <c r="MJN154" s="72"/>
      <c r="MJO154" s="72"/>
      <c r="MJP154" s="72"/>
      <c r="MJQ154" s="72"/>
      <c r="MJR154" s="72"/>
      <c r="MJS154" s="72"/>
      <c r="MJT154" s="72"/>
      <c r="MJU154" s="72"/>
      <c r="MJV154" s="72"/>
      <c r="MJW154" s="72"/>
      <c r="MJX154" s="72"/>
      <c r="MJY154" s="72"/>
      <c r="MJZ154" s="72"/>
      <c r="MKA154" s="72"/>
      <c r="MKB154" s="72"/>
      <c r="MKC154" s="72"/>
      <c r="MKD154" s="72"/>
      <c r="MKE154" s="72"/>
      <c r="MKF154" s="72"/>
      <c r="MKG154" s="72"/>
      <c r="MKH154" s="72"/>
      <c r="MKI154" s="72"/>
      <c r="MKJ154" s="72"/>
      <c r="MKK154" s="72"/>
      <c r="MKL154" s="72"/>
      <c r="MKM154" s="72"/>
      <c r="MKN154" s="72"/>
      <c r="MKO154" s="72"/>
      <c r="MKP154" s="72"/>
      <c r="MKQ154" s="72"/>
      <c r="MKR154" s="72"/>
      <c r="MKS154" s="72"/>
      <c r="MKT154" s="72"/>
      <c r="MKU154" s="72"/>
      <c r="MKV154" s="72"/>
      <c r="MKW154" s="72"/>
      <c r="MKX154" s="72"/>
      <c r="MKY154" s="72"/>
      <c r="MKZ154" s="72"/>
      <c r="MLA154" s="72"/>
      <c r="MLB154" s="72"/>
      <c r="MLC154" s="72"/>
      <c r="MLD154" s="72"/>
      <c r="MLE154" s="72"/>
      <c r="MLF154" s="72"/>
      <c r="MLG154" s="72"/>
      <c r="MLH154" s="72"/>
      <c r="MLI154" s="72"/>
      <c r="MLJ154" s="72"/>
      <c r="MLK154" s="72"/>
      <c r="MLL154" s="72"/>
      <c r="MLM154" s="72"/>
      <c r="MLN154" s="72"/>
      <c r="MLO154" s="72"/>
      <c r="MLP154" s="72"/>
      <c r="MLQ154" s="72"/>
      <c r="MLR154" s="72"/>
      <c r="MLS154" s="72"/>
      <c r="MLT154" s="72"/>
      <c r="MLU154" s="72"/>
      <c r="MLV154" s="72"/>
      <c r="MLW154" s="72"/>
      <c r="MLX154" s="72"/>
      <c r="MLY154" s="72"/>
      <c r="MLZ154" s="72"/>
      <c r="MMA154" s="72"/>
      <c r="MMB154" s="72"/>
      <c r="MMC154" s="72"/>
      <c r="MMD154" s="72"/>
      <c r="MME154" s="72"/>
      <c r="MMF154" s="72"/>
      <c r="MMG154" s="72"/>
      <c r="MMH154" s="72"/>
      <c r="MMI154" s="72"/>
      <c r="MMJ154" s="72"/>
      <c r="MMK154" s="72"/>
      <c r="MML154" s="72"/>
      <c r="MMM154" s="72"/>
      <c r="MMN154" s="72"/>
      <c r="MMO154" s="72"/>
      <c r="MMP154" s="72"/>
      <c r="MMQ154" s="72"/>
      <c r="MMR154" s="72"/>
      <c r="MMS154" s="72"/>
      <c r="MMT154" s="72"/>
      <c r="MMU154" s="72"/>
      <c r="MMV154" s="72"/>
      <c r="MMW154" s="72"/>
      <c r="MMX154" s="72"/>
      <c r="MMY154" s="72"/>
      <c r="MMZ154" s="72"/>
      <c r="MNA154" s="72"/>
      <c r="MNB154" s="72"/>
      <c r="MNC154" s="72"/>
      <c r="MND154" s="72"/>
      <c r="MNE154" s="72"/>
      <c r="MNF154" s="72"/>
      <c r="MNG154" s="72"/>
      <c r="MNH154" s="72"/>
      <c r="MNI154" s="72"/>
      <c r="MNJ154" s="72"/>
      <c r="MNK154" s="72"/>
      <c r="MNL154" s="72"/>
      <c r="MNM154" s="72"/>
      <c r="MNN154" s="72"/>
      <c r="MNO154" s="72"/>
      <c r="MNP154" s="72"/>
      <c r="MNQ154" s="72"/>
      <c r="MNR154" s="72"/>
      <c r="MNS154" s="72"/>
      <c r="MNT154" s="72"/>
      <c r="MNU154" s="72"/>
      <c r="MNV154" s="72"/>
      <c r="MNW154" s="72"/>
      <c r="MNX154" s="72"/>
      <c r="MNY154" s="72"/>
      <c r="MNZ154" s="72"/>
      <c r="MOA154" s="72"/>
      <c r="MOB154" s="72"/>
      <c r="MOC154" s="72"/>
      <c r="MOD154" s="72"/>
      <c r="MOE154" s="72"/>
      <c r="MOF154" s="72"/>
      <c r="MOG154" s="72"/>
      <c r="MOH154" s="72"/>
      <c r="MOI154" s="72"/>
      <c r="MOJ154" s="72"/>
      <c r="MOK154" s="72"/>
      <c r="MOL154" s="72"/>
      <c r="MOM154" s="72"/>
      <c r="MON154" s="72"/>
      <c r="MOO154" s="72"/>
      <c r="MOP154" s="72"/>
      <c r="MOQ154" s="72"/>
      <c r="MOR154" s="72"/>
      <c r="MOS154" s="72"/>
      <c r="MOT154" s="72"/>
      <c r="MOU154" s="72"/>
      <c r="MOV154" s="72"/>
      <c r="MOW154" s="72"/>
      <c r="MOX154" s="72"/>
      <c r="MOY154" s="72"/>
      <c r="MOZ154" s="72"/>
      <c r="MPA154" s="72"/>
      <c r="MPB154" s="72"/>
      <c r="MPC154" s="72"/>
      <c r="MPD154" s="72"/>
      <c r="MPE154" s="72"/>
      <c r="MPF154" s="72"/>
      <c r="MPG154" s="72"/>
      <c r="MPH154" s="72"/>
      <c r="MPI154" s="72"/>
      <c r="MPJ154" s="72"/>
      <c r="MPK154" s="72"/>
      <c r="MPL154" s="72"/>
      <c r="MPM154" s="72"/>
      <c r="MPN154" s="72"/>
      <c r="MPO154" s="72"/>
      <c r="MPP154" s="72"/>
      <c r="MPQ154" s="72"/>
      <c r="MPR154" s="72"/>
      <c r="MPS154" s="72"/>
      <c r="MPT154" s="72"/>
      <c r="MPU154" s="72"/>
      <c r="MPV154" s="72"/>
      <c r="MPW154" s="72"/>
      <c r="MPX154" s="72"/>
      <c r="MPY154" s="72"/>
      <c r="MPZ154" s="72"/>
      <c r="MQA154" s="72"/>
      <c r="MQB154" s="72"/>
      <c r="MQC154" s="72"/>
      <c r="MQD154" s="72"/>
      <c r="MQE154" s="72"/>
      <c r="MQF154" s="72"/>
      <c r="MQG154" s="72"/>
      <c r="MQH154" s="72"/>
      <c r="MQI154" s="72"/>
      <c r="MQJ154" s="72"/>
      <c r="MQK154" s="72"/>
      <c r="MQL154" s="72"/>
      <c r="MQM154" s="72"/>
      <c r="MQN154" s="72"/>
      <c r="MQO154" s="72"/>
      <c r="MQP154" s="72"/>
      <c r="MQQ154" s="72"/>
      <c r="MQR154" s="72"/>
      <c r="MQS154" s="72"/>
      <c r="MQT154" s="72"/>
      <c r="MQU154" s="72"/>
      <c r="MQV154" s="72"/>
      <c r="MQW154" s="72"/>
      <c r="MQX154" s="72"/>
      <c r="MQY154" s="72"/>
      <c r="MQZ154" s="72"/>
      <c r="MRA154" s="72"/>
      <c r="MRB154" s="72"/>
      <c r="MRC154" s="72"/>
      <c r="MRD154" s="72"/>
      <c r="MRE154" s="72"/>
      <c r="MRF154" s="72"/>
      <c r="MRG154" s="72"/>
      <c r="MRH154" s="72"/>
      <c r="MRI154" s="72"/>
      <c r="MRJ154" s="72"/>
      <c r="MRK154" s="72"/>
      <c r="MRL154" s="72"/>
      <c r="MRM154" s="72"/>
      <c r="MRN154" s="72"/>
      <c r="MRO154" s="72"/>
      <c r="MRP154" s="72"/>
      <c r="MRQ154" s="72"/>
      <c r="MRR154" s="72"/>
      <c r="MRS154" s="72"/>
      <c r="MRT154" s="72"/>
      <c r="MRU154" s="72"/>
      <c r="MRV154" s="72"/>
      <c r="MRW154" s="72"/>
      <c r="MRX154" s="72"/>
      <c r="MRY154" s="72"/>
      <c r="MRZ154" s="72"/>
      <c r="MSA154" s="72"/>
      <c r="MSB154" s="72"/>
      <c r="MSC154" s="72"/>
      <c r="MSD154" s="72"/>
      <c r="MSE154" s="72"/>
      <c r="MSF154" s="72"/>
      <c r="MSG154" s="72"/>
      <c r="MSH154" s="72"/>
      <c r="MSI154" s="72"/>
      <c r="MSJ154" s="72"/>
      <c r="MSK154" s="72"/>
      <c r="MSL154" s="72"/>
      <c r="MSM154" s="72"/>
      <c r="MSN154" s="72"/>
      <c r="MSO154" s="72"/>
      <c r="MSP154" s="72"/>
      <c r="MSQ154" s="72"/>
      <c r="MSR154" s="72"/>
      <c r="MSS154" s="72"/>
      <c r="MST154" s="72"/>
      <c r="MSU154" s="72"/>
      <c r="MSV154" s="72"/>
      <c r="MSW154" s="72"/>
      <c r="MSX154" s="72"/>
      <c r="MSY154" s="72"/>
      <c r="MSZ154" s="72"/>
      <c r="MTA154" s="72"/>
      <c r="MTB154" s="72"/>
      <c r="MTC154" s="72"/>
      <c r="MTD154" s="72"/>
      <c r="MTE154" s="72"/>
      <c r="MTF154" s="72"/>
      <c r="MTG154" s="72"/>
      <c r="MTH154" s="72"/>
      <c r="MTI154" s="72"/>
      <c r="MTJ154" s="72"/>
      <c r="MTK154" s="72"/>
      <c r="MTL154" s="72"/>
      <c r="MTM154" s="72"/>
      <c r="MTN154" s="72"/>
      <c r="MTO154" s="72"/>
      <c r="MTP154" s="72"/>
      <c r="MTQ154" s="72"/>
      <c r="MTR154" s="72"/>
      <c r="MTS154" s="72"/>
      <c r="MTT154" s="72"/>
      <c r="MTU154" s="72"/>
      <c r="MTV154" s="72"/>
      <c r="MTW154" s="72"/>
      <c r="MTX154" s="72"/>
      <c r="MTY154" s="72"/>
      <c r="MTZ154" s="72"/>
      <c r="MUA154" s="72"/>
      <c r="MUB154" s="72"/>
      <c r="MUC154" s="72"/>
      <c r="MUD154" s="72"/>
      <c r="MUE154" s="72"/>
      <c r="MUF154" s="72"/>
      <c r="MUG154" s="72"/>
      <c r="MUH154" s="72"/>
      <c r="MUI154" s="72"/>
      <c r="MUJ154" s="72"/>
      <c r="MUK154" s="72"/>
      <c r="MUL154" s="72"/>
      <c r="MUM154" s="72"/>
      <c r="MUN154" s="72"/>
      <c r="MUO154" s="72"/>
      <c r="MUP154" s="72"/>
      <c r="MUQ154" s="72"/>
      <c r="MUR154" s="72"/>
      <c r="MUS154" s="72"/>
      <c r="MUT154" s="72"/>
      <c r="MUU154" s="72"/>
      <c r="MUV154" s="72"/>
      <c r="MUW154" s="72"/>
      <c r="MUX154" s="72"/>
      <c r="MUY154" s="72"/>
      <c r="MUZ154" s="72"/>
      <c r="MVA154" s="72"/>
      <c r="MVB154" s="72"/>
      <c r="MVC154" s="72"/>
      <c r="MVD154" s="72"/>
      <c r="MVE154" s="72"/>
      <c r="MVF154" s="72"/>
      <c r="MVG154" s="72"/>
      <c r="MVH154" s="72"/>
      <c r="MVI154" s="72"/>
      <c r="MVJ154" s="72"/>
      <c r="MVK154" s="72"/>
      <c r="MVL154" s="72"/>
      <c r="MVM154" s="72"/>
      <c r="MVN154" s="72"/>
      <c r="MVO154" s="72"/>
      <c r="MVP154" s="72"/>
      <c r="MVQ154" s="72"/>
      <c r="MVR154" s="72"/>
      <c r="MVS154" s="72"/>
      <c r="MVT154" s="72"/>
      <c r="MVU154" s="72"/>
      <c r="MVV154" s="72"/>
      <c r="MVW154" s="72"/>
      <c r="MVX154" s="72"/>
      <c r="MVY154" s="72"/>
      <c r="MVZ154" s="72"/>
      <c r="MWA154" s="72"/>
      <c r="MWB154" s="72"/>
      <c r="MWC154" s="72"/>
      <c r="MWD154" s="72"/>
      <c r="MWE154" s="72"/>
      <c r="MWF154" s="72"/>
      <c r="MWG154" s="72"/>
      <c r="MWH154" s="72"/>
      <c r="MWI154" s="72"/>
      <c r="MWJ154" s="72"/>
      <c r="MWK154" s="72"/>
      <c r="MWL154" s="72"/>
      <c r="MWM154" s="72"/>
      <c r="MWN154" s="72"/>
      <c r="MWO154" s="72"/>
      <c r="MWP154" s="72"/>
      <c r="MWQ154" s="72"/>
      <c r="MWR154" s="72"/>
      <c r="MWS154" s="72"/>
      <c r="MWT154" s="72"/>
      <c r="MWU154" s="72"/>
      <c r="MWV154" s="72"/>
      <c r="MWW154" s="72"/>
      <c r="MWX154" s="72"/>
      <c r="MWY154" s="72"/>
      <c r="MWZ154" s="72"/>
      <c r="MXA154" s="72"/>
      <c r="MXB154" s="72"/>
      <c r="MXC154" s="72"/>
      <c r="MXD154" s="72"/>
      <c r="MXE154" s="72"/>
      <c r="MXF154" s="72"/>
      <c r="MXG154" s="72"/>
      <c r="MXH154" s="72"/>
      <c r="MXI154" s="72"/>
      <c r="MXJ154" s="72"/>
      <c r="MXK154" s="72"/>
      <c r="MXL154" s="72"/>
      <c r="MXM154" s="72"/>
      <c r="MXN154" s="72"/>
      <c r="MXO154" s="72"/>
      <c r="MXP154" s="72"/>
      <c r="MXQ154" s="72"/>
      <c r="MXR154" s="72"/>
      <c r="MXS154" s="72"/>
      <c r="MXT154" s="72"/>
      <c r="MXU154" s="72"/>
      <c r="MXV154" s="72"/>
      <c r="MXW154" s="72"/>
      <c r="MXX154" s="72"/>
      <c r="MXY154" s="72"/>
      <c r="MXZ154" s="72"/>
      <c r="MYA154" s="72"/>
      <c r="MYB154" s="72"/>
      <c r="MYC154" s="72"/>
      <c r="MYD154" s="72"/>
      <c r="MYE154" s="72"/>
      <c r="MYF154" s="72"/>
      <c r="MYG154" s="72"/>
      <c r="MYH154" s="72"/>
      <c r="MYI154" s="72"/>
      <c r="MYJ154" s="72"/>
      <c r="MYK154" s="72"/>
      <c r="MYL154" s="72"/>
      <c r="MYM154" s="72"/>
      <c r="MYN154" s="72"/>
      <c r="MYO154" s="72"/>
      <c r="MYP154" s="72"/>
      <c r="MYQ154" s="72"/>
      <c r="MYR154" s="72"/>
      <c r="MYS154" s="72"/>
      <c r="MYT154" s="72"/>
      <c r="MYU154" s="72"/>
      <c r="MYV154" s="72"/>
      <c r="MYW154" s="72"/>
      <c r="MYX154" s="72"/>
      <c r="MYY154" s="72"/>
      <c r="MYZ154" s="72"/>
      <c r="MZA154" s="72"/>
      <c r="MZB154" s="72"/>
      <c r="MZC154" s="72"/>
      <c r="MZD154" s="72"/>
      <c r="MZE154" s="72"/>
      <c r="MZF154" s="72"/>
      <c r="MZG154" s="72"/>
      <c r="MZH154" s="72"/>
      <c r="MZI154" s="72"/>
      <c r="MZJ154" s="72"/>
      <c r="MZK154" s="72"/>
      <c r="MZL154" s="72"/>
      <c r="MZM154" s="72"/>
      <c r="MZN154" s="72"/>
      <c r="MZO154" s="72"/>
      <c r="MZP154" s="72"/>
      <c r="MZQ154" s="72"/>
      <c r="MZR154" s="72"/>
      <c r="MZS154" s="72"/>
      <c r="MZT154" s="72"/>
      <c r="MZU154" s="72"/>
      <c r="MZV154" s="72"/>
      <c r="MZW154" s="72"/>
      <c r="MZX154" s="72"/>
      <c r="MZY154" s="72"/>
      <c r="MZZ154" s="72"/>
      <c r="NAA154" s="72"/>
      <c r="NAB154" s="72"/>
      <c r="NAC154" s="72"/>
      <c r="NAD154" s="72"/>
      <c r="NAE154" s="72"/>
      <c r="NAF154" s="72"/>
      <c r="NAG154" s="72"/>
      <c r="NAH154" s="72"/>
      <c r="NAI154" s="72"/>
      <c r="NAJ154" s="72"/>
      <c r="NAK154" s="72"/>
      <c r="NAL154" s="72"/>
      <c r="NAM154" s="72"/>
      <c r="NAN154" s="72"/>
      <c r="NAO154" s="72"/>
      <c r="NAP154" s="72"/>
      <c r="NAQ154" s="72"/>
      <c r="NAR154" s="72"/>
      <c r="NAS154" s="72"/>
      <c r="NAT154" s="72"/>
      <c r="NAU154" s="72"/>
      <c r="NAV154" s="72"/>
      <c r="NAW154" s="72"/>
      <c r="NAX154" s="72"/>
      <c r="NAY154" s="72"/>
      <c r="NAZ154" s="72"/>
      <c r="NBA154" s="72"/>
      <c r="NBB154" s="72"/>
      <c r="NBC154" s="72"/>
      <c r="NBD154" s="72"/>
      <c r="NBE154" s="72"/>
      <c r="NBF154" s="72"/>
      <c r="NBG154" s="72"/>
      <c r="NBH154" s="72"/>
      <c r="NBI154" s="72"/>
      <c r="NBJ154" s="72"/>
      <c r="NBK154" s="72"/>
      <c r="NBL154" s="72"/>
      <c r="NBM154" s="72"/>
      <c r="NBN154" s="72"/>
      <c r="NBO154" s="72"/>
      <c r="NBP154" s="72"/>
      <c r="NBQ154" s="72"/>
      <c r="NBR154" s="72"/>
      <c r="NBS154" s="72"/>
      <c r="NBT154" s="72"/>
      <c r="NBU154" s="72"/>
      <c r="NBV154" s="72"/>
      <c r="NBW154" s="72"/>
      <c r="NBX154" s="72"/>
      <c r="NBY154" s="72"/>
      <c r="NBZ154" s="72"/>
      <c r="NCA154" s="72"/>
      <c r="NCB154" s="72"/>
      <c r="NCC154" s="72"/>
      <c r="NCD154" s="72"/>
      <c r="NCE154" s="72"/>
      <c r="NCF154" s="72"/>
      <c r="NCG154" s="72"/>
      <c r="NCH154" s="72"/>
      <c r="NCI154" s="72"/>
      <c r="NCJ154" s="72"/>
      <c r="NCK154" s="72"/>
      <c r="NCL154" s="72"/>
      <c r="NCM154" s="72"/>
      <c r="NCN154" s="72"/>
      <c r="NCO154" s="72"/>
      <c r="NCP154" s="72"/>
      <c r="NCQ154" s="72"/>
      <c r="NCR154" s="72"/>
      <c r="NCS154" s="72"/>
      <c r="NCT154" s="72"/>
      <c r="NCU154" s="72"/>
      <c r="NCV154" s="72"/>
      <c r="NCW154" s="72"/>
      <c r="NCX154" s="72"/>
      <c r="NCY154" s="72"/>
      <c r="NCZ154" s="72"/>
      <c r="NDA154" s="72"/>
      <c r="NDB154" s="72"/>
      <c r="NDC154" s="72"/>
      <c r="NDD154" s="72"/>
      <c r="NDE154" s="72"/>
      <c r="NDF154" s="72"/>
      <c r="NDG154" s="72"/>
      <c r="NDH154" s="72"/>
      <c r="NDI154" s="72"/>
      <c r="NDJ154" s="72"/>
      <c r="NDK154" s="72"/>
      <c r="NDL154" s="72"/>
      <c r="NDM154" s="72"/>
      <c r="NDN154" s="72"/>
      <c r="NDO154" s="72"/>
      <c r="NDP154" s="72"/>
      <c r="NDQ154" s="72"/>
      <c r="NDR154" s="72"/>
      <c r="NDS154" s="72"/>
      <c r="NDT154" s="72"/>
      <c r="NDU154" s="72"/>
      <c r="NDV154" s="72"/>
      <c r="NDW154" s="72"/>
      <c r="NDX154" s="72"/>
      <c r="NDY154" s="72"/>
      <c r="NDZ154" s="72"/>
      <c r="NEA154" s="72"/>
      <c r="NEB154" s="72"/>
      <c r="NEC154" s="72"/>
      <c r="NED154" s="72"/>
      <c r="NEE154" s="72"/>
      <c r="NEF154" s="72"/>
      <c r="NEG154" s="72"/>
      <c r="NEH154" s="72"/>
      <c r="NEI154" s="72"/>
      <c r="NEJ154" s="72"/>
      <c r="NEK154" s="72"/>
      <c r="NEL154" s="72"/>
      <c r="NEM154" s="72"/>
      <c r="NEN154" s="72"/>
      <c r="NEO154" s="72"/>
      <c r="NEP154" s="72"/>
      <c r="NEQ154" s="72"/>
      <c r="NER154" s="72"/>
      <c r="NES154" s="72"/>
      <c r="NET154" s="72"/>
      <c r="NEU154" s="72"/>
      <c r="NEV154" s="72"/>
      <c r="NEW154" s="72"/>
      <c r="NEX154" s="72"/>
      <c r="NEY154" s="72"/>
      <c r="NEZ154" s="72"/>
      <c r="NFA154" s="72"/>
      <c r="NFB154" s="72"/>
      <c r="NFC154" s="72"/>
      <c r="NFD154" s="72"/>
      <c r="NFE154" s="72"/>
      <c r="NFF154" s="72"/>
      <c r="NFG154" s="72"/>
      <c r="NFH154" s="72"/>
      <c r="NFI154" s="72"/>
      <c r="NFJ154" s="72"/>
      <c r="NFK154" s="72"/>
      <c r="NFL154" s="72"/>
      <c r="NFM154" s="72"/>
      <c r="NFN154" s="72"/>
      <c r="NFO154" s="72"/>
      <c r="NFP154" s="72"/>
      <c r="NFQ154" s="72"/>
      <c r="NFR154" s="72"/>
      <c r="NFS154" s="72"/>
      <c r="NFT154" s="72"/>
      <c r="NFU154" s="72"/>
      <c r="NFV154" s="72"/>
      <c r="NFW154" s="72"/>
      <c r="NFX154" s="72"/>
      <c r="NFY154" s="72"/>
      <c r="NFZ154" s="72"/>
      <c r="NGA154" s="72"/>
      <c r="NGB154" s="72"/>
      <c r="NGC154" s="72"/>
      <c r="NGD154" s="72"/>
      <c r="NGE154" s="72"/>
      <c r="NGF154" s="72"/>
      <c r="NGG154" s="72"/>
      <c r="NGH154" s="72"/>
      <c r="NGI154" s="72"/>
      <c r="NGJ154" s="72"/>
      <c r="NGK154" s="72"/>
      <c r="NGL154" s="72"/>
      <c r="NGM154" s="72"/>
      <c r="NGN154" s="72"/>
      <c r="NGO154" s="72"/>
      <c r="NGP154" s="72"/>
      <c r="NGQ154" s="72"/>
      <c r="NGR154" s="72"/>
      <c r="NGS154" s="72"/>
      <c r="NGT154" s="72"/>
      <c r="NGU154" s="72"/>
      <c r="NGV154" s="72"/>
      <c r="NGW154" s="72"/>
      <c r="NGX154" s="72"/>
      <c r="NGY154" s="72"/>
      <c r="NGZ154" s="72"/>
      <c r="NHA154" s="72"/>
      <c r="NHB154" s="72"/>
      <c r="NHC154" s="72"/>
      <c r="NHD154" s="72"/>
      <c r="NHE154" s="72"/>
      <c r="NHF154" s="72"/>
      <c r="NHG154" s="72"/>
      <c r="NHH154" s="72"/>
      <c r="NHI154" s="72"/>
      <c r="NHJ154" s="72"/>
      <c r="NHK154" s="72"/>
      <c r="NHL154" s="72"/>
      <c r="NHM154" s="72"/>
      <c r="NHN154" s="72"/>
      <c r="NHO154" s="72"/>
      <c r="NHP154" s="72"/>
      <c r="NHQ154" s="72"/>
      <c r="NHR154" s="72"/>
      <c r="NHS154" s="72"/>
      <c r="NHT154" s="72"/>
      <c r="NHU154" s="72"/>
      <c r="NHV154" s="72"/>
      <c r="NHW154" s="72"/>
      <c r="NHX154" s="72"/>
      <c r="NHY154" s="72"/>
      <c r="NHZ154" s="72"/>
      <c r="NIA154" s="72"/>
      <c r="NIB154" s="72"/>
      <c r="NIC154" s="72"/>
      <c r="NID154" s="72"/>
      <c r="NIE154" s="72"/>
      <c r="NIF154" s="72"/>
      <c r="NIG154" s="72"/>
      <c r="NIH154" s="72"/>
      <c r="NII154" s="72"/>
      <c r="NIJ154" s="72"/>
      <c r="NIK154" s="72"/>
      <c r="NIL154" s="72"/>
      <c r="NIM154" s="72"/>
      <c r="NIN154" s="72"/>
      <c r="NIO154" s="72"/>
      <c r="NIP154" s="72"/>
      <c r="NIQ154" s="72"/>
      <c r="NIR154" s="72"/>
      <c r="NIS154" s="72"/>
      <c r="NIT154" s="72"/>
      <c r="NIU154" s="72"/>
      <c r="NIV154" s="72"/>
      <c r="NIW154" s="72"/>
      <c r="NIX154" s="72"/>
      <c r="NIY154" s="72"/>
      <c r="NIZ154" s="72"/>
      <c r="NJA154" s="72"/>
      <c r="NJB154" s="72"/>
      <c r="NJC154" s="72"/>
      <c r="NJD154" s="72"/>
      <c r="NJE154" s="72"/>
      <c r="NJF154" s="72"/>
      <c r="NJG154" s="72"/>
      <c r="NJH154" s="72"/>
      <c r="NJI154" s="72"/>
      <c r="NJJ154" s="72"/>
      <c r="NJK154" s="72"/>
      <c r="NJL154" s="72"/>
      <c r="NJM154" s="72"/>
      <c r="NJN154" s="72"/>
      <c r="NJO154" s="72"/>
      <c r="NJP154" s="72"/>
      <c r="NJQ154" s="72"/>
      <c r="NJR154" s="72"/>
      <c r="NJS154" s="72"/>
      <c r="NJT154" s="72"/>
      <c r="NJU154" s="72"/>
      <c r="NJV154" s="72"/>
      <c r="NJW154" s="72"/>
      <c r="NJX154" s="72"/>
      <c r="NJY154" s="72"/>
      <c r="NJZ154" s="72"/>
      <c r="NKA154" s="72"/>
      <c r="NKB154" s="72"/>
      <c r="NKC154" s="72"/>
      <c r="NKD154" s="72"/>
      <c r="NKE154" s="72"/>
      <c r="NKF154" s="72"/>
      <c r="NKG154" s="72"/>
      <c r="NKH154" s="72"/>
      <c r="NKI154" s="72"/>
      <c r="NKJ154" s="72"/>
      <c r="NKK154" s="72"/>
      <c r="NKL154" s="72"/>
      <c r="NKM154" s="72"/>
      <c r="NKN154" s="72"/>
      <c r="NKO154" s="72"/>
      <c r="NKP154" s="72"/>
      <c r="NKQ154" s="72"/>
      <c r="NKR154" s="72"/>
      <c r="NKS154" s="72"/>
      <c r="NKT154" s="72"/>
      <c r="NKU154" s="72"/>
      <c r="NKV154" s="72"/>
      <c r="NKW154" s="72"/>
      <c r="NKX154" s="72"/>
      <c r="NKY154" s="72"/>
      <c r="NKZ154" s="72"/>
      <c r="NLA154" s="72"/>
      <c r="NLB154" s="72"/>
      <c r="NLC154" s="72"/>
      <c r="NLD154" s="72"/>
      <c r="NLE154" s="72"/>
      <c r="NLF154" s="72"/>
      <c r="NLG154" s="72"/>
      <c r="NLH154" s="72"/>
      <c r="NLI154" s="72"/>
      <c r="NLJ154" s="72"/>
      <c r="NLK154" s="72"/>
      <c r="NLL154" s="72"/>
      <c r="NLM154" s="72"/>
      <c r="NLN154" s="72"/>
      <c r="NLO154" s="72"/>
      <c r="NLP154" s="72"/>
      <c r="NLQ154" s="72"/>
      <c r="NLR154" s="72"/>
      <c r="NLS154" s="72"/>
      <c r="NLT154" s="72"/>
      <c r="NLU154" s="72"/>
      <c r="NLV154" s="72"/>
      <c r="NLW154" s="72"/>
      <c r="NLX154" s="72"/>
      <c r="NLY154" s="72"/>
      <c r="NLZ154" s="72"/>
      <c r="NMA154" s="72"/>
      <c r="NMB154" s="72"/>
      <c r="NMC154" s="72"/>
      <c r="NMD154" s="72"/>
      <c r="NME154" s="72"/>
      <c r="NMF154" s="72"/>
      <c r="NMG154" s="72"/>
      <c r="NMH154" s="72"/>
      <c r="NMI154" s="72"/>
      <c r="NMJ154" s="72"/>
      <c r="NMK154" s="72"/>
      <c r="NML154" s="72"/>
      <c r="NMM154" s="72"/>
      <c r="NMN154" s="72"/>
      <c r="NMO154" s="72"/>
      <c r="NMP154" s="72"/>
      <c r="NMQ154" s="72"/>
      <c r="NMR154" s="72"/>
      <c r="NMS154" s="72"/>
      <c r="NMT154" s="72"/>
      <c r="NMU154" s="72"/>
      <c r="NMV154" s="72"/>
      <c r="NMW154" s="72"/>
      <c r="NMX154" s="72"/>
      <c r="NMY154" s="72"/>
      <c r="NMZ154" s="72"/>
      <c r="NNA154" s="72"/>
      <c r="NNB154" s="72"/>
      <c r="NNC154" s="72"/>
      <c r="NND154" s="72"/>
      <c r="NNE154" s="72"/>
      <c r="NNF154" s="72"/>
      <c r="NNG154" s="72"/>
      <c r="NNH154" s="72"/>
      <c r="NNI154" s="72"/>
      <c r="NNJ154" s="72"/>
      <c r="NNK154" s="72"/>
      <c r="NNL154" s="72"/>
      <c r="NNM154" s="72"/>
      <c r="NNN154" s="72"/>
      <c r="NNO154" s="72"/>
      <c r="NNP154" s="72"/>
      <c r="NNQ154" s="72"/>
      <c r="NNR154" s="72"/>
      <c r="NNS154" s="72"/>
      <c r="NNT154" s="72"/>
      <c r="NNU154" s="72"/>
      <c r="NNV154" s="72"/>
      <c r="NNW154" s="72"/>
      <c r="NNX154" s="72"/>
      <c r="NNY154" s="72"/>
      <c r="NNZ154" s="72"/>
      <c r="NOA154" s="72"/>
      <c r="NOB154" s="72"/>
      <c r="NOC154" s="72"/>
      <c r="NOD154" s="72"/>
      <c r="NOE154" s="72"/>
      <c r="NOF154" s="72"/>
      <c r="NOG154" s="72"/>
      <c r="NOH154" s="72"/>
      <c r="NOI154" s="72"/>
      <c r="NOJ154" s="72"/>
      <c r="NOK154" s="72"/>
      <c r="NOL154" s="72"/>
      <c r="NOM154" s="72"/>
      <c r="NON154" s="72"/>
      <c r="NOO154" s="72"/>
      <c r="NOP154" s="72"/>
      <c r="NOQ154" s="72"/>
      <c r="NOR154" s="72"/>
      <c r="NOS154" s="72"/>
      <c r="NOT154" s="72"/>
      <c r="NOU154" s="72"/>
      <c r="NOV154" s="72"/>
      <c r="NOW154" s="72"/>
      <c r="NOX154" s="72"/>
      <c r="NOY154" s="72"/>
      <c r="NOZ154" s="72"/>
      <c r="NPA154" s="72"/>
      <c r="NPB154" s="72"/>
      <c r="NPC154" s="72"/>
      <c r="NPD154" s="72"/>
      <c r="NPE154" s="72"/>
      <c r="NPF154" s="72"/>
      <c r="NPG154" s="72"/>
      <c r="NPH154" s="72"/>
      <c r="NPI154" s="72"/>
      <c r="NPJ154" s="72"/>
      <c r="NPK154" s="72"/>
      <c r="NPL154" s="72"/>
      <c r="NPM154" s="72"/>
      <c r="NPN154" s="72"/>
      <c r="NPO154" s="72"/>
      <c r="NPP154" s="72"/>
      <c r="NPQ154" s="72"/>
      <c r="NPR154" s="72"/>
      <c r="NPS154" s="72"/>
      <c r="NPT154" s="72"/>
      <c r="NPU154" s="72"/>
      <c r="NPV154" s="72"/>
      <c r="NPW154" s="72"/>
      <c r="NPX154" s="72"/>
      <c r="NPY154" s="72"/>
      <c r="NPZ154" s="72"/>
      <c r="NQA154" s="72"/>
      <c r="NQB154" s="72"/>
      <c r="NQC154" s="72"/>
      <c r="NQD154" s="72"/>
      <c r="NQE154" s="72"/>
      <c r="NQF154" s="72"/>
      <c r="NQG154" s="72"/>
      <c r="NQH154" s="72"/>
      <c r="NQI154" s="72"/>
      <c r="NQJ154" s="72"/>
      <c r="NQK154" s="72"/>
      <c r="NQL154" s="72"/>
      <c r="NQM154" s="72"/>
      <c r="NQN154" s="72"/>
      <c r="NQO154" s="72"/>
      <c r="NQP154" s="72"/>
      <c r="NQQ154" s="72"/>
      <c r="NQR154" s="72"/>
      <c r="NQS154" s="72"/>
      <c r="NQT154" s="72"/>
      <c r="NQU154" s="72"/>
      <c r="NQV154" s="72"/>
      <c r="NQW154" s="72"/>
      <c r="NQX154" s="72"/>
      <c r="NQY154" s="72"/>
      <c r="NQZ154" s="72"/>
      <c r="NRA154" s="72"/>
      <c r="NRB154" s="72"/>
      <c r="NRC154" s="72"/>
      <c r="NRD154" s="72"/>
      <c r="NRE154" s="72"/>
      <c r="NRF154" s="72"/>
      <c r="NRG154" s="72"/>
      <c r="NRH154" s="72"/>
      <c r="NRI154" s="72"/>
      <c r="NRJ154" s="72"/>
      <c r="NRK154" s="72"/>
      <c r="NRL154" s="72"/>
      <c r="NRM154" s="72"/>
      <c r="NRN154" s="72"/>
      <c r="NRO154" s="72"/>
      <c r="NRP154" s="72"/>
      <c r="NRQ154" s="72"/>
      <c r="NRR154" s="72"/>
      <c r="NRS154" s="72"/>
      <c r="NRT154" s="72"/>
      <c r="NRU154" s="72"/>
      <c r="NRV154" s="72"/>
      <c r="NRW154" s="72"/>
      <c r="NRX154" s="72"/>
      <c r="NRY154" s="72"/>
      <c r="NRZ154" s="72"/>
      <c r="NSA154" s="72"/>
      <c r="NSB154" s="72"/>
      <c r="NSC154" s="72"/>
      <c r="NSD154" s="72"/>
      <c r="NSE154" s="72"/>
      <c r="NSF154" s="72"/>
      <c r="NSG154" s="72"/>
      <c r="NSH154" s="72"/>
      <c r="NSI154" s="72"/>
      <c r="NSJ154" s="72"/>
      <c r="NSK154" s="72"/>
      <c r="NSL154" s="72"/>
      <c r="NSM154" s="72"/>
      <c r="NSN154" s="72"/>
      <c r="NSO154" s="72"/>
      <c r="NSP154" s="72"/>
      <c r="NSQ154" s="72"/>
      <c r="NSR154" s="72"/>
      <c r="NSS154" s="72"/>
      <c r="NST154" s="72"/>
      <c r="NSU154" s="72"/>
      <c r="NSV154" s="72"/>
      <c r="NSW154" s="72"/>
      <c r="NSX154" s="72"/>
      <c r="NSY154" s="72"/>
      <c r="NSZ154" s="72"/>
      <c r="NTA154" s="72"/>
      <c r="NTB154" s="72"/>
      <c r="NTC154" s="72"/>
      <c r="NTD154" s="72"/>
      <c r="NTE154" s="72"/>
      <c r="NTF154" s="72"/>
      <c r="NTG154" s="72"/>
      <c r="NTH154" s="72"/>
      <c r="NTI154" s="72"/>
      <c r="NTJ154" s="72"/>
      <c r="NTK154" s="72"/>
      <c r="NTL154" s="72"/>
      <c r="NTM154" s="72"/>
      <c r="NTN154" s="72"/>
      <c r="NTO154" s="72"/>
      <c r="NTP154" s="72"/>
      <c r="NTQ154" s="72"/>
      <c r="NTR154" s="72"/>
      <c r="NTS154" s="72"/>
      <c r="NTT154" s="72"/>
      <c r="NTU154" s="72"/>
      <c r="NTV154" s="72"/>
      <c r="NTW154" s="72"/>
      <c r="NTX154" s="72"/>
      <c r="NTY154" s="72"/>
      <c r="NTZ154" s="72"/>
      <c r="NUA154" s="72"/>
      <c r="NUB154" s="72"/>
      <c r="NUC154" s="72"/>
      <c r="NUD154" s="72"/>
      <c r="NUE154" s="72"/>
      <c r="NUF154" s="72"/>
      <c r="NUG154" s="72"/>
      <c r="NUH154" s="72"/>
      <c r="NUI154" s="72"/>
      <c r="NUJ154" s="72"/>
      <c r="NUK154" s="72"/>
      <c r="NUL154" s="72"/>
      <c r="NUM154" s="72"/>
      <c r="NUN154" s="72"/>
      <c r="NUO154" s="72"/>
      <c r="NUP154" s="72"/>
      <c r="NUQ154" s="72"/>
      <c r="NUR154" s="72"/>
      <c r="NUS154" s="72"/>
      <c r="NUT154" s="72"/>
      <c r="NUU154" s="72"/>
      <c r="NUV154" s="72"/>
      <c r="NUW154" s="72"/>
      <c r="NUX154" s="72"/>
      <c r="NUY154" s="72"/>
      <c r="NUZ154" s="72"/>
      <c r="NVA154" s="72"/>
      <c r="NVB154" s="72"/>
      <c r="NVC154" s="72"/>
      <c r="NVD154" s="72"/>
      <c r="NVE154" s="72"/>
      <c r="NVF154" s="72"/>
      <c r="NVG154" s="72"/>
      <c r="NVH154" s="72"/>
      <c r="NVI154" s="72"/>
      <c r="NVJ154" s="72"/>
      <c r="NVK154" s="72"/>
      <c r="NVL154" s="72"/>
      <c r="NVM154" s="72"/>
      <c r="NVN154" s="72"/>
      <c r="NVO154" s="72"/>
      <c r="NVP154" s="72"/>
      <c r="NVQ154" s="72"/>
      <c r="NVR154" s="72"/>
      <c r="NVS154" s="72"/>
      <c r="NVT154" s="72"/>
      <c r="NVU154" s="72"/>
      <c r="NVV154" s="72"/>
      <c r="NVW154" s="72"/>
      <c r="NVX154" s="72"/>
      <c r="NVY154" s="72"/>
      <c r="NVZ154" s="72"/>
      <c r="NWA154" s="72"/>
      <c r="NWB154" s="72"/>
      <c r="NWC154" s="72"/>
      <c r="NWD154" s="72"/>
      <c r="NWE154" s="72"/>
      <c r="NWF154" s="72"/>
      <c r="NWG154" s="72"/>
      <c r="NWH154" s="72"/>
      <c r="NWI154" s="72"/>
      <c r="NWJ154" s="72"/>
      <c r="NWK154" s="72"/>
      <c r="NWL154" s="72"/>
      <c r="NWM154" s="72"/>
      <c r="NWN154" s="72"/>
      <c r="NWO154" s="72"/>
      <c r="NWP154" s="72"/>
      <c r="NWQ154" s="72"/>
      <c r="NWR154" s="72"/>
      <c r="NWS154" s="72"/>
      <c r="NWT154" s="72"/>
      <c r="NWU154" s="72"/>
      <c r="NWV154" s="72"/>
      <c r="NWW154" s="72"/>
      <c r="NWX154" s="72"/>
      <c r="NWY154" s="72"/>
      <c r="NWZ154" s="72"/>
      <c r="NXA154" s="72"/>
      <c r="NXB154" s="72"/>
      <c r="NXC154" s="72"/>
      <c r="NXD154" s="72"/>
      <c r="NXE154" s="72"/>
      <c r="NXF154" s="72"/>
      <c r="NXG154" s="72"/>
      <c r="NXH154" s="72"/>
      <c r="NXI154" s="72"/>
      <c r="NXJ154" s="72"/>
      <c r="NXK154" s="72"/>
      <c r="NXL154" s="72"/>
      <c r="NXM154" s="72"/>
      <c r="NXN154" s="72"/>
      <c r="NXO154" s="72"/>
      <c r="NXP154" s="72"/>
      <c r="NXQ154" s="72"/>
      <c r="NXR154" s="72"/>
      <c r="NXS154" s="72"/>
      <c r="NXT154" s="72"/>
      <c r="NXU154" s="72"/>
      <c r="NXV154" s="72"/>
      <c r="NXW154" s="72"/>
      <c r="NXX154" s="72"/>
      <c r="NXY154" s="72"/>
      <c r="NXZ154" s="72"/>
      <c r="NYA154" s="72"/>
      <c r="NYB154" s="72"/>
      <c r="NYC154" s="72"/>
      <c r="NYD154" s="72"/>
      <c r="NYE154" s="72"/>
      <c r="NYF154" s="72"/>
      <c r="NYG154" s="72"/>
      <c r="NYH154" s="72"/>
      <c r="NYI154" s="72"/>
      <c r="NYJ154" s="72"/>
      <c r="NYK154" s="72"/>
      <c r="NYL154" s="72"/>
      <c r="NYM154" s="72"/>
      <c r="NYN154" s="72"/>
      <c r="NYO154" s="72"/>
      <c r="NYP154" s="72"/>
      <c r="NYQ154" s="72"/>
      <c r="NYR154" s="72"/>
      <c r="NYS154" s="72"/>
      <c r="NYT154" s="72"/>
      <c r="NYU154" s="72"/>
      <c r="NYV154" s="72"/>
      <c r="NYW154" s="72"/>
      <c r="NYX154" s="72"/>
      <c r="NYY154" s="72"/>
      <c r="NYZ154" s="72"/>
      <c r="NZA154" s="72"/>
      <c r="NZB154" s="72"/>
      <c r="NZC154" s="72"/>
      <c r="NZD154" s="72"/>
      <c r="NZE154" s="72"/>
      <c r="NZF154" s="72"/>
      <c r="NZG154" s="72"/>
      <c r="NZH154" s="72"/>
      <c r="NZI154" s="72"/>
      <c r="NZJ154" s="72"/>
      <c r="NZK154" s="72"/>
      <c r="NZL154" s="72"/>
      <c r="NZM154" s="72"/>
      <c r="NZN154" s="72"/>
      <c r="NZO154" s="72"/>
      <c r="NZP154" s="72"/>
      <c r="NZQ154" s="72"/>
      <c r="NZR154" s="72"/>
      <c r="NZS154" s="72"/>
      <c r="NZT154" s="72"/>
      <c r="NZU154" s="72"/>
      <c r="NZV154" s="72"/>
      <c r="NZW154" s="72"/>
      <c r="NZX154" s="72"/>
      <c r="NZY154" s="72"/>
      <c r="NZZ154" s="72"/>
      <c r="OAA154" s="72"/>
      <c r="OAB154" s="72"/>
      <c r="OAC154" s="72"/>
      <c r="OAD154" s="72"/>
      <c r="OAE154" s="72"/>
      <c r="OAF154" s="72"/>
      <c r="OAG154" s="72"/>
      <c r="OAH154" s="72"/>
      <c r="OAI154" s="72"/>
      <c r="OAJ154" s="72"/>
      <c r="OAK154" s="72"/>
      <c r="OAL154" s="72"/>
      <c r="OAM154" s="72"/>
      <c r="OAN154" s="72"/>
      <c r="OAO154" s="72"/>
      <c r="OAP154" s="72"/>
      <c r="OAQ154" s="72"/>
      <c r="OAR154" s="72"/>
      <c r="OAS154" s="72"/>
      <c r="OAT154" s="72"/>
      <c r="OAU154" s="72"/>
      <c r="OAV154" s="72"/>
      <c r="OAW154" s="72"/>
      <c r="OAX154" s="72"/>
      <c r="OAY154" s="72"/>
      <c r="OAZ154" s="72"/>
      <c r="OBA154" s="72"/>
      <c r="OBB154" s="72"/>
      <c r="OBC154" s="72"/>
      <c r="OBD154" s="72"/>
      <c r="OBE154" s="72"/>
      <c r="OBF154" s="72"/>
      <c r="OBG154" s="72"/>
      <c r="OBH154" s="72"/>
      <c r="OBI154" s="72"/>
      <c r="OBJ154" s="72"/>
      <c r="OBK154" s="72"/>
      <c r="OBL154" s="72"/>
      <c r="OBM154" s="72"/>
      <c r="OBN154" s="72"/>
      <c r="OBO154" s="72"/>
      <c r="OBP154" s="72"/>
      <c r="OBQ154" s="72"/>
      <c r="OBR154" s="72"/>
      <c r="OBS154" s="72"/>
      <c r="OBT154" s="72"/>
      <c r="OBU154" s="72"/>
      <c r="OBV154" s="72"/>
      <c r="OBW154" s="72"/>
      <c r="OBX154" s="72"/>
      <c r="OBY154" s="72"/>
      <c r="OBZ154" s="72"/>
      <c r="OCA154" s="72"/>
      <c r="OCB154" s="72"/>
      <c r="OCC154" s="72"/>
      <c r="OCD154" s="72"/>
      <c r="OCE154" s="72"/>
      <c r="OCF154" s="72"/>
      <c r="OCG154" s="72"/>
      <c r="OCH154" s="72"/>
      <c r="OCI154" s="72"/>
      <c r="OCJ154" s="72"/>
      <c r="OCK154" s="72"/>
      <c r="OCL154" s="72"/>
      <c r="OCM154" s="72"/>
      <c r="OCN154" s="72"/>
      <c r="OCO154" s="72"/>
      <c r="OCP154" s="72"/>
      <c r="OCQ154" s="72"/>
      <c r="OCR154" s="72"/>
      <c r="OCS154" s="72"/>
      <c r="OCT154" s="72"/>
      <c r="OCU154" s="72"/>
      <c r="OCV154" s="72"/>
      <c r="OCW154" s="72"/>
      <c r="OCX154" s="72"/>
      <c r="OCY154" s="72"/>
      <c r="OCZ154" s="72"/>
      <c r="ODA154" s="72"/>
      <c r="ODB154" s="72"/>
      <c r="ODC154" s="72"/>
      <c r="ODD154" s="72"/>
      <c r="ODE154" s="72"/>
      <c r="ODF154" s="72"/>
      <c r="ODG154" s="72"/>
      <c r="ODH154" s="72"/>
      <c r="ODI154" s="72"/>
      <c r="ODJ154" s="72"/>
      <c r="ODK154" s="72"/>
      <c r="ODL154" s="72"/>
      <c r="ODM154" s="72"/>
      <c r="ODN154" s="72"/>
      <c r="ODO154" s="72"/>
      <c r="ODP154" s="72"/>
      <c r="ODQ154" s="72"/>
      <c r="ODR154" s="72"/>
      <c r="ODS154" s="72"/>
      <c r="ODT154" s="72"/>
      <c r="ODU154" s="72"/>
      <c r="ODV154" s="72"/>
      <c r="ODW154" s="72"/>
      <c r="ODX154" s="72"/>
      <c r="ODY154" s="72"/>
      <c r="ODZ154" s="72"/>
      <c r="OEA154" s="72"/>
      <c r="OEB154" s="72"/>
      <c r="OEC154" s="72"/>
      <c r="OED154" s="72"/>
      <c r="OEE154" s="72"/>
      <c r="OEF154" s="72"/>
      <c r="OEG154" s="72"/>
      <c r="OEH154" s="72"/>
      <c r="OEI154" s="72"/>
      <c r="OEJ154" s="72"/>
      <c r="OEK154" s="72"/>
      <c r="OEL154" s="72"/>
      <c r="OEM154" s="72"/>
      <c r="OEN154" s="72"/>
      <c r="OEO154" s="72"/>
      <c r="OEP154" s="72"/>
      <c r="OEQ154" s="72"/>
      <c r="OER154" s="72"/>
      <c r="OES154" s="72"/>
      <c r="OET154" s="72"/>
      <c r="OEU154" s="72"/>
      <c r="OEV154" s="72"/>
      <c r="OEW154" s="72"/>
      <c r="OEX154" s="72"/>
      <c r="OEY154" s="72"/>
      <c r="OEZ154" s="72"/>
      <c r="OFA154" s="72"/>
      <c r="OFB154" s="72"/>
      <c r="OFC154" s="72"/>
      <c r="OFD154" s="72"/>
      <c r="OFE154" s="72"/>
      <c r="OFF154" s="72"/>
      <c r="OFG154" s="72"/>
      <c r="OFH154" s="72"/>
      <c r="OFI154" s="72"/>
      <c r="OFJ154" s="72"/>
      <c r="OFK154" s="72"/>
      <c r="OFL154" s="72"/>
      <c r="OFM154" s="72"/>
      <c r="OFN154" s="72"/>
      <c r="OFO154" s="72"/>
      <c r="OFP154" s="72"/>
      <c r="OFQ154" s="72"/>
      <c r="OFR154" s="72"/>
      <c r="OFS154" s="72"/>
      <c r="OFT154" s="72"/>
      <c r="OFU154" s="72"/>
      <c r="OFV154" s="72"/>
      <c r="OFW154" s="72"/>
      <c r="OFX154" s="72"/>
      <c r="OFY154" s="72"/>
      <c r="OFZ154" s="72"/>
      <c r="OGA154" s="72"/>
      <c r="OGB154" s="72"/>
      <c r="OGC154" s="72"/>
      <c r="OGD154" s="72"/>
      <c r="OGE154" s="72"/>
      <c r="OGF154" s="72"/>
      <c r="OGG154" s="72"/>
      <c r="OGH154" s="72"/>
      <c r="OGI154" s="72"/>
      <c r="OGJ154" s="72"/>
      <c r="OGK154" s="72"/>
      <c r="OGL154" s="72"/>
      <c r="OGM154" s="72"/>
      <c r="OGN154" s="72"/>
      <c r="OGO154" s="72"/>
      <c r="OGP154" s="72"/>
      <c r="OGQ154" s="72"/>
      <c r="OGR154" s="72"/>
      <c r="OGS154" s="72"/>
      <c r="OGT154" s="72"/>
      <c r="OGU154" s="72"/>
      <c r="OGV154" s="72"/>
      <c r="OGW154" s="72"/>
      <c r="OGX154" s="72"/>
      <c r="OGY154" s="72"/>
      <c r="OGZ154" s="72"/>
      <c r="OHA154" s="72"/>
      <c r="OHB154" s="72"/>
      <c r="OHC154" s="72"/>
      <c r="OHD154" s="72"/>
      <c r="OHE154" s="72"/>
      <c r="OHF154" s="72"/>
      <c r="OHG154" s="72"/>
      <c r="OHH154" s="72"/>
      <c r="OHI154" s="72"/>
      <c r="OHJ154" s="72"/>
      <c r="OHK154" s="72"/>
      <c r="OHL154" s="72"/>
      <c r="OHM154" s="72"/>
      <c r="OHN154" s="72"/>
      <c r="OHO154" s="72"/>
      <c r="OHP154" s="72"/>
      <c r="OHQ154" s="72"/>
      <c r="OHR154" s="72"/>
      <c r="OHS154" s="72"/>
      <c r="OHT154" s="72"/>
      <c r="OHU154" s="72"/>
      <c r="OHV154" s="72"/>
      <c r="OHW154" s="72"/>
      <c r="OHX154" s="72"/>
      <c r="OHY154" s="72"/>
      <c r="OHZ154" s="72"/>
      <c r="OIA154" s="72"/>
      <c r="OIB154" s="72"/>
      <c r="OIC154" s="72"/>
      <c r="OID154" s="72"/>
      <c r="OIE154" s="72"/>
      <c r="OIF154" s="72"/>
      <c r="OIG154" s="72"/>
      <c r="OIH154" s="72"/>
      <c r="OII154" s="72"/>
      <c r="OIJ154" s="72"/>
      <c r="OIK154" s="72"/>
      <c r="OIL154" s="72"/>
      <c r="OIM154" s="72"/>
      <c r="OIN154" s="72"/>
      <c r="OIO154" s="72"/>
      <c r="OIP154" s="72"/>
      <c r="OIQ154" s="72"/>
      <c r="OIR154" s="72"/>
      <c r="OIS154" s="72"/>
      <c r="OIT154" s="72"/>
      <c r="OIU154" s="72"/>
      <c r="OIV154" s="72"/>
      <c r="OIW154" s="72"/>
      <c r="OIX154" s="72"/>
      <c r="OIY154" s="72"/>
      <c r="OIZ154" s="72"/>
      <c r="OJA154" s="72"/>
      <c r="OJB154" s="72"/>
      <c r="OJC154" s="72"/>
      <c r="OJD154" s="72"/>
      <c r="OJE154" s="72"/>
      <c r="OJF154" s="72"/>
      <c r="OJG154" s="72"/>
      <c r="OJH154" s="72"/>
      <c r="OJI154" s="72"/>
      <c r="OJJ154" s="72"/>
      <c r="OJK154" s="72"/>
      <c r="OJL154" s="72"/>
      <c r="OJM154" s="72"/>
      <c r="OJN154" s="72"/>
      <c r="OJO154" s="72"/>
      <c r="OJP154" s="72"/>
      <c r="OJQ154" s="72"/>
      <c r="OJR154" s="72"/>
      <c r="OJS154" s="72"/>
      <c r="OJT154" s="72"/>
      <c r="OJU154" s="72"/>
      <c r="OJV154" s="72"/>
      <c r="OJW154" s="72"/>
      <c r="OJX154" s="72"/>
      <c r="OJY154" s="72"/>
      <c r="OJZ154" s="72"/>
      <c r="OKA154" s="72"/>
      <c r="OKB154" s="72"/>
      <c r="OKC154" s="72"/>
      <c r="OKD154" s="72"/>
      <c r="OKE154" s="72"/>
      <c r="OKF154" s="72"/>
      <c r="OKG154" s="72"/>
      <c r="OKH154" s="72"/>
      <c r="OKI154" s="72"/>
      <c r="OKJ154" s="72"/>
      <c r="OKK154" s="72"/>
      <c r="OKL154" s="72"/>
      <c r="OKM154" s="72"/>
      <c r="OKN154" s="72"/>
      <c r="OKO154" s="72"/>
      <c r="OKP154" s="72"/>
      <c r="OKQ154" s="72"/>
      <c r="OKR154" s="72"/>
      <c r="OKS154" s="72"/>
      <c r="OKT154" s="72"/>
      <c r="OKU154" s="72"/>
      <c r="OKV154" s="72"/>
      <c r="OKW154" s="72"/>
      <c r="OKX154" s="72"/>
      <c r="OKY154" s="72"/>
      <c r="OKZ154" s="72"/>
      <c r="OLA154" s="72"/>
      <c r="OLB154" s="72"/>
      <c r="OLC154" s="72"/>
      <c r="OLD154" s="72"/>
      <c r="OLE154" s="72"/>
      <c r="OLF154" s="72"/>
      <c r="OLG154" s="72"/>
      <c r="OLH154" s="72"/>
      <c r="OLI154" s="72"/>
      <c r="OLJ154" s="72"/>
      <c r="OLK154" s="72"/>
      <c r="OLL154" s="72"/>
      <c r="OLM154" s="72"/>
      <c r="OLN154" s="72"/>
      <c r="OLO154" s="72"/>
      <c r="OLP154" s="72"/>
      <c r="OLQ154" s="72"/>
      <c r="OLR154" s="72"/>
      <c r="OLS154" s="72"/>
      <c r="OLT154" s="72"/>
      <c r="OLU154" s="72"/>
      <c r="OLV154" s="72"/>
      <c r="OLW154" s="72"/>
      <c r="OLX154" s="72"/>
      <c r="OLY154" s="72"/>
      <c r="OLZ154" s="72"/>
      <c r="OMA154" s="72"/>
      <c r="OMB154" s="72"/>
      <c r="OMC154" s="72"/>
      <c r="OMD154" s="72"/>
      <c r="OME154" s="72"/>
      <c r="OMF154" s="72"/>
      <c r="OMG154" s="72"/>
      <c r="OMH154" s="72"/>
      <c r="OMI154" s="72"/>
      <c r="OMJ154" s="72"/>
      <c r="OMK154" s="72"/>
      <c r="OML154" s="72"/>
      <c r="OMM154" s="72"/>
      <c r="OMN154" s="72"/>
      <c r="OMO154" s="72"/>
      <c r="OMP154" s="72"/>
      <c r="OMQ154" s="72"/>
      <c r="OMR154" s="72"/>
      <c r="OMS154" s="72"/>
      <c r="OMT154" s="72"/>
      <c r="OMU154" s="72"/>
      <c r="OMV154" s="72"/>
      <c r="OMW154" s="72"/>
      <c r="OMX154" s="72"/>
      <c r="OMY154" s="72"/>
      <c r="OMZ154" s="72"/>
      <c r="ONA154" s="72"/>
      <c r="ONB154" s="72"/>
      <c r="ONC154" s="72"/>
      <c r="OND154" s="72"/>
      <c r="ONE154" s="72"/>
      <c r="ONF154" s="72"/>
      <c r="ONG154" s="72"/>
      <c r="ONH154" s="72"/>
      <c r="ONI154" s="72"/>
      <c r="ONJ154" s="72"/>
      <c r="ONK154" s="72"/>
      <c r="ONL154" s="72"/>
      <c r="ONM154" s="72"/>
      <c r="ONN154" s="72"/>
      <c r="ONO154" s="72"/>
      <c r="ONP154" s="72"/>
      <c r="ONQ154" s="72"/>
      <c r="ONR154" s="72"/>
      <c r="ONS154" s="72"/>
      <c r="ONT154" s="72"/>
      <c r="ONU154" s="72"/>
      <c r="ONV154" s="72"/>
      <c r="ONW154" s="72"/>
      <c r="ONX154" s="72"/>
      <c r="ONY154" s="72"/>
      <c r="ONZ154" s="72"/>
      <c r="OOA154" s="72"/>
      <c r="OOB154" s="72"/>
      <c r="OOC154" s="72"/>
      <c r="OOD154" s="72"/>
      <c r="OOE154" s="72"/>
      <c r="OOF154" s="72"/>
      <c r="OOG154" s="72"/>
      <c r="OOH154" s="72"/>
      <c r="OOI154" s="72"/>
      <c r="OOJ154" s="72"/>
      <c r="OOK154" s="72"/>
      <c r="OOL154" s="72"/>
      <c r="OOM154" s="72"/>
      <c r="OON154" s="72"/>
      <c r="OOO154" s="72"/>
      <c r="OOP154" s="72"/>
      <c r="OOQ154" s="72"/>
      <c r="OOR154" s="72"/>
      <c r="OOS154" s="72"/>
      <c r="OOT154" s="72"/>
      <c r="OOU154" s="72"/>
      <c r="OOV154" s="72"/>
      <c r="OOW154" s="72"/>
      <c r="OOX154" s="72"/>
      <c r="OOY154" s="72"/>
      <c r="OOZ154" s="72"/>
      <c r="OPA154" s="72"/>
      <c r="OPB154" s="72"/>
      <c r="OPC154" s="72"/>
      <c r="OPD154" s="72"/>
      <c r="OPE154" s="72"/>
      <c r="OPF154" s="72"/>
      <c r="OPG154" s="72"/>
      <c r="OPH154" s="72"/>
      <c r="OPI154" s="72"/>
      <c r="OPJ154" s="72"/>
      <c r="OPK154" s="72"/>
      <c r="OPL154" s="72"/>
      <c r="OPM154" s="72"/>
      <c r="OPN154" s="72"/>
      <c r="OPO154" s="72"/>
      <c r="OPP154" s="72"/>
      <c r="OPQ154" s="72"/>
      <c r="OPR154" s="72"/>
      <c r="OPS154" s="72"/>
      <c r="OPT154" s="72"/>
      <c r="OPU154" s="72"/>
      <c r="OPV154" s="72"/>
      <c r="OPW154" s="72"/>
      <c r="OPX154" s="72"/>
      <c r="OPY154" s="72"/>
      <c r="OPZ154" s="72"/>
      <c r="OQA154" s="72"/>
      <c r="OQB154" s="72"/>
      <c r="OQC154" s="72"/>
      <c r="OQD154" s="72"/>
      <c r="OQE154" s="72"/>
      <c r="OQF154" s="72"/>
      <c r="OQG154" s="72"/>
      <c r="OQH154" s="72"/>
      <c r="OQI154" s="72"/>
      <c r="OQJ154" s="72"/>
      <c r="OQK154" s="72"/>
      <c r="OQL154" s="72"/>
      <c r="OQM154" s="72"/>
      <c r="OQN154" s="72"/>
      <c r="OQO154" s="72"/>
      <c r="OQP154" s="72"/>
      <c r="OQQ154" s="72"/>
      <c r="OQR154" s="72"/>
      <c r="OQS154" s="72"/>
      <c r="OQT154" s="72"/>
      <c r="OQU154" s="72"/>
      <c r="OQV154" s="72"/>
      <c r="OQW154" s="72"/>
      <c r="OQX154" s="72"/>
      <c r="OQY154" s="72"/>
      <c r="OQZ154" s="72"/>
      <c r="ORA154" s="72"/>
      <c r="ORB154" s="72"/>
      <c r="ORC154" s="72"/>
      <c r="ORD154" s="72"/>
      <c r="ORE154" s="72"/>
      <c r="ORF154" s="72"/>
      <c r="ORG154" s="72"/>
      <c r="ORH154" s="72"/>
      <c r="ORI154" s="72"/>
      <c r="ORJ154" s="72"/>
      <c r="ORK154" s="72"/>
      <c r="ORL154" s="72"/>
      <c r="ORM154" s="72"/>
      <c r="ORN154" s="72"/>
      <c r="ORO154" s="72"/>
      <c r="ORP154" s="72"/>
      <c r="ORQ154" s="72"/>
      <c r="ORR154" s="72"/>
      <c r="ORS154" s="72"/>
      <c r="ORT154" s="72"/>
      <c r="ORU154" s="72"/>
      <c r="ORV154" s="72"/>
      <c r="ORW154" s="72"/>
      <c r="ORX154" s="72"/>
      <c r="ORY154" s="72"/>
      <c r="ORZ154" s="72"/>
      <c r="OSA154" s="72"/>
      <c r="OSB154" s="72"/>
      <c r="OSC154" s="72"/>
      <c r="OSD154" s="72"/>
      <c r="OSE154" s="72"/>
      <c r="OSF154" s="72"/>
      <c r="OSG154" s="72"/>
      <c r="OSH154" s="72"/>
      <c r="OSI154" s="72"/>
      <c r="OSJ154" s="72"/>
      <c r="OSK154" s="72"/>
      <c r="OSL154" s="72"/>
      <c r="OSM154" s="72"/>
      <c r="OSN154" s="72"/>
      <c r="OSO154" s="72"/>
      <c r="OSP154" s="72"/>
      <c r="OSQ154" s="72"/>
      <c r="OSR154" s="72"/>
      <c r="OSS154" s="72"/>
      <c r="OST154" s="72"/>
      <c r="OSU154" s="72"/>
      <c r="OSV154" s="72"/>
      <c r="OSW154" s="72"/>
      <c r="OSX154" s="72"/>
      <c r="OSY154" s="72"/>
      <c r="OSZ154" s="72"/>
      <c r="OTA154" s="72"/>
      <c r="OTB154" s="72"/>
      <c r="OTC154" s="72"/>
      <c r="OTD154" s="72"/>
      <c r="OTE154" s="72"/>
      <c r="OTF154" s="72"/>
      <c r="OTG154" s="72"/>
      <c r="OTH154" s="72"/>
      <c r="OTI154" s="72"/>
      <c r="OTJ154" s="72"/>
      <c r="OTK154" s="72"/>
      <c r="OTL154" s="72"/>
      <c r="OTM154" s="72"/>
      <c r="OTN154" s="72"/>
      <c r="OTO154" s="72"/>
      <c r="OTP154" s="72"/>
      <c r="OTQ154" s="72"/>
      <c r="OTR154" s="72"/>
      <c r="OTS154" s="72"/>
      <c r="OTT154" s="72"/>
      <c r="OTU154" s="72"/>
      <c r="OTV154" s="72"/>
      <c r="OTW154" s="72"/>
      <c r="OTX154" s="72"/>
      <c r="OTY154" s="72"/>
      <c r="OTZ154" s="72"/>
      <c r="OUA154" s="72"/>
      <c r="OUB154" s="72"/>
      <c r="OUC154" s="72"/>
      <c r="OUD154" s="72"/>
      <c r="OUE154" s="72"/>
      <c r="OUF154" s="72"/>
      <c r="OUG154" s="72"/>
      <c r="OUH154" s="72"/>
      <c r="OUI154" s="72"/>
      <c r="OUJ154" s="72"/>
      <c r="OUK154" s="72"/>
      <c r="OUL154" s="72"/>
      <c r="OUM154" s="72"/>
      <c r="OUN154" s="72"/>
      <c r="OUO154" s="72"/>
      <c r="OUP154" s="72"/>
      <c r="OUQ154" s="72"/>
      <c r="OUR154" s="72"/>
      <c r="OUS154" s="72"/>
      <c r="OUT154" s="72"/>
      <c r="OUU154" s="72"/>
      <c r="OUV154" s="72"/>
      <c r="OUW154" s="72"/>
      <c r="OUX154" s="72"/>
      <c r="OUY154" s="72"/>
      <c r="OUZ154" s="72"/>
      <c r="OVA154" s="72"/>
      <c r="OVB154" s="72"/>
      <c r="OVC154" s="72"/>
      <c r="OVD154" s="72"/>
      <c r="OVE154" s="72"/>
      <c r="OVF154" s="72"/>
      <c r="OVG154" s="72"/>
      <c r="OVH154" s="72"/>
      <c r="OVI154" s="72"/>
      <c r="OVJ154" s="72"/>
      <c r="OVK154" s="72"/>
      <c r="OVL154" s="72"/>
      <c r="OVM154" s="72"/>
      <c r="OVN154" s="72"/>
      <c r="OVO154" s="72"/>
      <c r="OVP154" s="72"/>
      <c r="OVQ154" s="72"/>
      <c r="OVR154" s="72"/>
      <c r="OVS154" s="72"/>
      <c r="OVT154" s="72"/>
      <c r="OVU154" s="72"/>
      <c r="OVV154" s="72"/>
      <c r="OVW154" s="72"/>
      <c r="OVX154" s="72"/>
      <c r="OVY154" s="72"/>
      <c r="OVZ154" s="72"/>
      <c r="OWA154" s="72"/>
      <c r="OWB154" s="72"/>
      <c r="OWC154" s="72"/>
      <c r="OWD154" s="72"/>
      <c r="OWE154" s="72"/>
      <c r="OWF154" s="72"/>
      <c r="OWG154" s="72"/>
      <c r="OWH154" s="72"/>
      <c r="OWI154" s="72"/>
      <c r="OWJ154" s="72"/>
      <c r="OWK154" s="72"/>
      <c r="OWL154" s="72"/>
      <c r="OWM154" s="72"/>
      <c r="OWN154" s="72"/>
      <c r="OWO154" s="72"/>
      <c r="OWP154" s="72"/>
      <c r="OWQ154" s="72"/>
      <c r="OWR154" s="72"/>
      <c r="OWS154" s="72"/>
      <c r="OWT154" s="72"/>
      <c r="OWU154" s="72"/>
      <c r="OWV154" s="72"/>
      <c r="OWW154" s="72"/>
      <c r="OWX154" s="72"/>
      <c r="OWY154" s="72"/>
      <c r="OWZ154" s="72"/>
      <c r="OXA154" s="72"/>
      <c r="OXB154" s="72"/>
      <c r="OXC154" s="72"/>
      <c r="OXD154" s="72"/>
      <c r="OXE154" s="72"/>
      <c r="OXF154" s="72"/>
      <c r="OXG154" s="72"/>
      <c r="OXH154" s="72"/>
      <c r="OXI154" s="72"/>
      <c r="OXJ154" s="72"/>
      <c r="OXK154" s="72"/>
      <c r="OXL154" s="72"/>
      <c r="OXM154" s="72"/>
      <c r="OXN154" s="72"/>
      <c r="OXO154" s="72"/>
      <c r="OXP154" s="72"/>
      <c r="OXQ154" s="72"/>
      <c r="OXR154" s="72"/>
      <c r="OXS154" s="72"/>
      <c r="OXT154" s="72"/>
      <c r="OXU154" s="72"/>
      <c r="OXV154" s="72"/>
      <c r="OXW154" s="72"/>
      <c r="OXX154" s="72"/>
      <c r="OXY154" s="72"/>
      <c r="OXZ154" s="72"/>
      <c r="OYA154" s="72"/>
      <c r="OYB154" s="72"/>
      <c r="OYC154" s="72"/>
      <c r="OYD154" s="72"/>
      <c r="OYE154" s="72"/>
      <c r="OYF154" s="72"/>
      <c r="OYG154" s="72"/>
      <c r="OYH154" s="72"/>
      <c r="OYI154" s="72"/>
      <c r="OYJ154" s="72"/>
      <c r="OYK154" s="72"/>
      <c r="OYL154" s="72"/>
      <c r="OYM154" s="72"/>
      <c r="OYN154" s="72"/>
      <c r="OYO154" s="72"/>
      <c r="OYP154" s="72"/>
      <c r="OYQ154" s="72"/>
      <c r="OYR154" s="72"/>
      <c r="OYS154" s="72"/>
      <c r="OYT154" s="72"/>
      <c r="OYU154" s="72"/>
      <c r="OYV154" s="72"/>
      <c r="OYW154" s="72"/>
      <c r="OYX154" s="72"/>
      <c r="OYY154" s="72"/>
      <c r="OYZ154" s="72"/>
      <c r="OZA154" s="72"/>
      <c r="OZB154" s="72"/>
      <c r="OZC154" s="72"/>
      <c r="OZD154" s="72"/>
      <c r="OZE154" s="72"/>
      <c r="OZF154" s="72"/>
      <c r="OZG154" s="72"/>
      <c r="OZH154" s="72"/>
      <c r="OZI154" s="72"/>
      <c r="OZJ154" s="72"/>
      <c r="OZK154" s="72"/>
      <c r="OZL154" s="72"/>
      <c r="OZM154" s="72"/>
      <c r="OZN154" s="72"/>
      <c r="OZO154" s="72"/>
      <c r="OZP154" s="72"/>
      <c r="OZQ154" s="72"/>
      <c r="OZR154" s="72"/>
      <c r="OZS154" s="72"/>
      <c r="OZT154" s="72"/>
      <c r="OZU154" s="72"/>
      <c r="OZV154" s="72"/>
      <c r="OZW154" s="72"/>
      <c r="OZX154" s="72"/>
      <c r="OZY154" s="72"/>
      <c r="OZZ154" s="72"/>
      <c r="PAA154" s="72"/>
      <c r="PAB154" s="72"/>
      <c r="PAC154" s="72"/>
      <c r="PAD154" s="72"/>
      <c r="PAE154" s="72"/>
      <c r="PAF154" s="72"/>
      <c r="PAG154" s="72"/>
      <c r="PAH154" s="72"/>
      <c r="PAI154" s="72"/>
      <c r="PAJ154" s="72"/>
      <c r="PAK154" s="72"/>
      <c r="PAL154" s="72"/>
      <c r="PAM154" s="72"/>
      <c r="PAN154" s="72"/>
      <c r="PAO154" s="72"/>
      <c r="PAP154" s="72"/>
      <c r="PAQ154" s="72"/>
      <c r="PAR154" s="72"/>
      <c r="PAS154" s="72"/>
      <c r="PAT154" s="72"/>
      <c r="PAU154" s="72"/>
      <c r="PAV154" s="72"/>
      <c r="PAW154" s="72"/>
      <c r="PAX154" s="72"/>
      <c r="PAY154" s="72"/>
      <c r="PAZ154" s="72"/>
      <c r="PBA154" s="72"/>
      <c r="PBB154" s="72"/>
      <c r="PBC154" s="72"/>
      <c r="PBD154" s="72"/>
      <c r="PBE154" s="72"/>
      <c r="PBF154" s="72"/>
      <c r="PBG154" s="72"/>
      <c r="PBH154" s="72"/>
      <c r="PBI154" s="72"/>
      <c r="PBJ154" s="72"/>
      <c r="PBK154" s="72"/>
      <c r="PBL154" s="72"/>
      <c r="PBM154" s="72"/>
      <c r="PBN154" s="72"/>
      <c r="PBO154" s="72"/>
      <c r="PBP154" s="72"/>
      <c r="PBQ154" s="72"/>
      <c r="PBR154" s="72"/>
      <c r="PBS154" s="72"/>
      <c r="PBT154" s="72"/>
      <c r="PBU154" s="72"/>
      <c r="PBV154" s="72"/>
      <c r="PBW154" s="72"/>
      <c r="PBX154" s="72"/>
      <c r="PBY154" s="72"/>
      <c r="PBZ154" s="72"/>
      <c r="PCA154" s="72"/>
      <c r="PCB154" s="72"/>
      <c r="PCC154" s="72"/>
      <c r="PCD154" s="72"/>
      <c r="PCE154" s="72"/>
      <c r="PCF154" s="72"/>
      <c r="PCG154" s="72"/>
      <c r="PCH154" s="72"/>
      <c r="PCI154" s="72"/>
      <c r="PCJ154" s="72"/>
      <c r="PCK154" s="72"/>
      <c r="PCL154" s="72"/>
      <c r="PCM154" s="72"/>
      <c r="PCN154" s="72"/>
      <c r="PCO154" s="72"/>
      <c r="PCP154" s="72"/>
      <c r="PCQ154" s="72"/>
      <c r="PCR154" s="72"/>
      <c r="PCS154" s="72"/>
      <c r="PCT154" s="72"/>
      <c r="PCU154" s="72"/>
      <c r="PCV154" s="72"/>
      <c r="PCW154" s="72"/>
      <c r="PCX154" s="72"/>
      <c r="PCY154" s="72"/>
      <c r="PCZ154" s="72"/>
      <c r="PDA154" s="72"/>
      <c r="PDB154" s="72"/>
      <c r="PDC154" s="72"/>
      <c r="PDD154" s="72"/>
      <c r="PDE154" s="72"/>
      <c r="PDF154" s="72"/>
      <c r="PDG154" s="72"/>
      <c r="PDH154" s="72"/>
      <c r="PDI154" s="72"/>
      <c r="PDJ154" s="72"/>
      <c r="PDK154" s="72"/>
      <c r="PDL154" s="72"/>
      <c r="PDM154" s="72"/>
      <c r="PDN154" s="72"/>
      <c r="PDO154" s="72"/>
      <c r="PDP154" s="72"/>
      <c r="PDQ154" s="72"/>
      <c r="PDR154" s="72"/>
      <c r="PDS154" s="72"/>
      <c r="PDT154" s="72"/>
      <c r="PDU154" s="72"/>
      <c r="PDV154" s="72"/>
      <c r="PDW154" s="72"/>
      <c r="PDX154" s="72"/>
      <c r="PDY154" s="72"/>
      <c r="PDZ154" s="72"/>
      <c r="PEA154" s="72"/>
      <c r="PEB154" s="72"/>
      <c r="PEC154" s="72"/>
      <c r="PED154" s="72"/>
      <c r="PEE154" s="72"/>
      <c r="PEF154" s="72"/>
      <c r="PEG154" s="72"/>
      <c r="PEH154" s="72"/>
      <c r="PEI154" s="72"/>
      <c r="PEJ154" s="72"/>
      <c r="PEK154" s="72"/>
      <c r="PEL154" s="72"/>
      <c r="PEM154" s="72"/>
      <c r="PEN154" s="72"/>
      <c r="PEO154" s="72"/>
      <c r="PEP154" s="72"/>
      <c r="PEQ154" s="72"/>
      <c r="PER154" s="72"/>
      <c r="PES154" s="72"/>
      <c r="PET154" s="72"/>
      <c r="PEU154" s="72"/>
      <c r="PEV154" s="72"/>
      <c r="PEW154" s="72"/>
      <c r="PEX154" s="72"/>
      <c r="PEY154" s="72"/>
      <c r="PEZ154" s="72"/>
      <c r="PFA154" s="72"/>
      <c r="PFB154" s="72"/>
      <c r="PFC154" s="72"/>
      <c r="PFD154" s="72"/>
      <c r="PFE154" s="72"/>
      <c r="PFF154" s="72"/>
      <c r="PFG154" s="72"/>
      <c r="PFH154" s="72"/>
      <c r="PFI154" s="72"/>
      <c r="PFJ154" s="72"/>
      <c r="PFK154" s="72"/>
      <c r="PFL154" s="72"/>
      <c r="PFM154" s="72"/>
      <c r="PFN154" s="72"/>
      <c r="PFO154" s="72"/>
      <c r="PFP154" s="72"/>
      <c r="PFQ154" s="72"/>
      <c r="PFR154" s="72"/>
      <c r="PFS154" s="72"/>
      <c r="PFT154" s="72"/>
      <c r="PFU154" s="72"/>
      <c r="PFV154" s="72"/>
      <c r="PFW154" s="72"/>
      <c r="PFX154" s="72"/>
      <c r="PFY154" s="72"/>
      <c r="PFZ154" s="72"/>
      <c r="PGA154" s="72"/>
      <c r="PGB154" s="72"/>
      <c r="PGC154" s="72"/>
      <c r="PGD154" s="72"/>
      <c r="PGE154" s="72"/>
      <c r="PGF154" s="72"/>
      <c r="PGG154" s="72"/>
      <c r="PGH154" s="72"/>
      <c r="PGI154" s="72"/>
      <c r="PGJ154" s="72"/>
      <c r="PGK154" s="72"/>
      <c r="PGL154" s="72"/>
      <c r="PGM154" s="72"/>
      <c r="PGN154" s="72"/>
      <c r="PGO154" s="72"/>
      <c r="PGP154" s="72"/>
      <c r="PGQ154" s="72"/>
      <c r="PGR154" s="72"/>
      <c r="PGS154" s="72"/>
      <c r="PGT154" s="72"/>
      <c r="PGU154" s="72"/>
      <c r="PGV154" s="72"/>
      <c r="PGW154" s="72"/>
      <c r="PGX154" s="72"/>
      <c r="PGY154" s="72"/>
      <c r="PGZ154" s="72"/>
      <c r="PHA154" s="72"/>
      <c r="PHB154" s="72"/>
      <c r="PHC154" s="72"/>
      <c r="PHD154" s="72"/>
      <c r="PHE154" s="72"/>
      <c r="PHF154" s="72"/>
      <c r="PHG154" s="72"/>
      <c r="PHH154" s="72"/>
      <c r="PHI154" s="72"/>
      <c r="PHJ154" s="72"/>
      <c r="PHK154" s="72"/>
      <c r="PHL154" s="72"/>
      <c r="PHM154" s="72"/>
      <c r="PHN154" s="72"/>
      <c r="PHO154" s="72"/>
      <c r="PHP154" s="72"/>
      <c r="PHQ154" s="72"/>
      <c r="PHR154" s="72"/>
      <c r="PHS154" s="72"/>
      <c r="PHT154" s="72"/>
      <c r="PHU154" s="72"/>
      <c r="PHV154" s="72"/>
      <c r="PHW154" s="72"/>
      <c r="PHX154" s="72"/>
      <c r="PHY154" s="72"/>
      <c r="PHZ154" s="72"/>
      <c r="PIA154" s="72"/>
      <c r="PIB154" s="72"/>
      <c r="PIC154" s="72"/>
      <c r="PID154" s="72"/>
      <c r="PIE154" s="72"/>
      <c r="PIF154" s="72"/>
      <c r="PIG154" s="72"/>
      <c r="PIH154" s="72"/>
      <c r="PII154" s="72"/>
      <c r="PIJ154" s="72"/>
      <c r="PIK154" s="72"/>
      <c r="PIL154" s="72"/>
      <c r="PIM154" s="72"/>
      <c r="PIN154" s="72"/>
      <c r="PIO154" s="72"/>
      <c r="PIP154" s="72"/>
      <c r="PIQ154" s="72"/>
      <c r="PIR154" s="72"/>
      <c r="PIS154" s="72"/>
      <c r="PIT154" s="72"/>
      <c r="PIU154" s="72"/>
      <c r="PIV154" s="72"/>
      <c r="PIW154" s="72"/>
      <c r="PIX154" s="72"/>
      <c r="PIY154" s="72"/>
      <c r="PIZ154" s="72"/>
      <c r="PJA154" s="72"/>
      <c r="PJB154" s="72"/>
      <c r="PJC154" s="72"/>
      <c r="PJD154" s="72"/>
      <c r="PJE154" s="72"/>
      <c r="PJF154" s="72"/>
      <c r="PJG154" s="72"/>
      <c r="PJH154" s="72"/>
      <c r="PJI154" s="72"/>
      <c r="PJJ154" s="72"/>
      <c r="PJK154" s="72"/>
      <c r="PJL154" s="72"/>
      <c r="PJM154" s="72"/>
      <c r="PJN154" s="72"/>
      <c r="PJO154" s="72"/>
      <c r="PJP154" s="72"/>
      <c r="PJQ154" s="72"/>
      <c r="PJR154" s="72"/>
      <c r="PJS154" s="72"/>
      <c r="PJT154" s="72"/>
      <c r="PJU154" s="72"/>
      <c r="PJV154" s="72"/>
      <c r="PJW154" s="72"/>
      <c r="PJX154" s="72"/>
      <c r="PJY154" s="72"/>
      <c r="PJZ154" s="72"/>
      <c r="PKA154" s="72"/>
      <c r="PKB154" s="72"/>
      <c r="PKC154" s="72"/>
      <c r="PKD154" s="72"/>
      <c r="PKE154" s="72"/>
      <c r="PKF154" s="72"/>
      <c r="PKG154" s="72"/>
      <c r="PKH154" s="72"/>
      <c r="PKI154" s="72"/>
      <c r="PKJ154" s="72"/>
      <c r="PKK154" s="72"/>
      <c r="PKL154" s="72"/>
      <c r="PKM154" s="72"/>
      <c r="PKN154" s="72"/>
      <c r="PKO154" s="72"/>
      <c r="PKP154" s="72"/>
      <c r="PKQ154" s="72"/>
      <c r="PKR154" s="72"/>
      <c r="PKS154" s="72"/>
      <c r="PKT154" s="72"/>
      <c r="PKU154" s="72"/>
      <c r="PKV154" s="72"/>
      <c r="PKW154" s="72"/>
      <c r="PKX154" s="72"/>
      <c r="PKY154" s="72"/>
      <c r="PKZ154" s="72"/>
      <c r="PLA154" s="72"/>
      <c r="PLB154" s="72"/>
      <c r="PLC154" s="72"/>
      <c r="PLD154" s="72"/>
      <c r="PLE154" s="72"/>
      <c r="PLF154" s="72"/>
      <c r="PLG154" s="72"/>
      <c r="PLH154" s="72"/>
      <c r="PLI154" s="72"/>
      <c r="PLJ154" s="72"/>
      <c r="PLK154" s="72"/>
      <c r="PLL154" s="72"/>
      <c r="PLM154" s="72"/>
      <c r="PLN154" s="72"/>
      <c r="PLO154" s="72"/>
      <c r="PLP154" s="72"/>
      <c r="PLQ154" s="72"/>
      <c r="PLR154" s="72"/>
      <c r="PLS154" s="72"/>
      <c r="PLT154" s="72"/>
      <c r="PLU154" s="72"/>
      <c r="PLV154" s="72"/>
      <c r="PLW154" s="72"/>
      <c r="PLX154" s="72"/>
      <c r="PLY154" s="72"/>
      <c r="PLZ154" s="72"/>
      <c r="PMA154" s="72"/>
      <c r="PMB154" s="72"/>
      <c r="PMC154" s="72"/>
      <c r="PMD154" s="72"/>
      <c r="PME154" s="72"/>
      <c r="PMF154" s="72"/>
      <c r="PMG154" s="72"/>
      <c r="PMH154" s="72"/>
      <c r="PMI154" s="72"/>
      <c r="PMJ154" s="72"/>
      <c r="PMK154" s="72"/>
      <c r="PML154" s="72"/>
      <c r="PMM154" s="72"/>
      <c r="PMN154" s="72"/>
      <c r="PMO154" s="72"/>
      <c r="PMP154" s="72"/>
      <c r="PMQ154" s="72"/>
      <c r="PMR154" s="72"/>
      <c r="PMS154" s="72"/>
      <c r="PMT154" s="72"/>
      <c r="PMU154" s="72"/>
      <c r="PMV154" s="72"/>
      <c r="PMW154" s="72"/>
      <c r="PMX154" s="72"/>
      <c r="PMY154" s="72"/>
      <c r="PMZ154" s="72"/>
      <c r="PNA154" s="72"/>
      <c r="PNB154" s="72"/>
      <c r="PNC154" s="72"/>
      <c r="PND154" s="72"/>
      <c r="PNE154" s="72"/>
      <c r="PNF154" s="72"/>
      <c r="PNG154" s="72"/>
      <c r="PNH154" s="72"/>
      <c r="PNI154" s="72"/>
      <c r="PNJ154" s="72"/>
      <c r="PNK154" s="72"/>
      <c r="PNL154" s="72"/>
      <c r="PNM154" s="72"/>
      <c r="PNN154" s="72"/>
      <c r="PNO154" s="72"/>
      <c r="PNP154" s="72"/>
      <c r="PNQ154" s="72"/>
      <c r="PNR154" s="72"/>
      <c r="PNS154" s="72"/>
      <c r="PNT154" s="72"/>
      <c r="PNU154" s="72"/>
      <c r="PNV154" s="72"/>
      <c r="PNW154" s="72"/>
      <c r="PNX154" s="72"/>
      <c r="PNY154" s="72"/>
      <c r="PNZ154" s="72"/>
      <c r="POA154" s="72"/>
      <c r="POB154" s="72"/>
      <c r="POC154" s="72"/>
      <c r="POD154" s="72"/>
      <c r="POE154" s="72"/>
      <c r="POF154" s="72"/>
      <c r="POG154" s="72"/>
      <c r="POH154" s="72"/>
      <c r="POI154" s="72"/>
      <c r="POJ154" s="72"/>
      <c r="POK154" s="72"/>
      <c r="POL154" s="72"/>
      <c r="POM154" s="72"/>
      <c r="PON154" s="72"/>
      <c r="POO154" s="72"/>
      <c r="POP154" s="72"/>
      <c r="POQ154" s="72"/>
      <c r="POR154" s="72"/>
      <c r="POS154" s="72"/>
      <c r="POT154" s="72"/>
      <c r="POU154" s="72"/>
      <c r="POV154" s="72"/>
      <c r="POW154" s="72"/>
      <c r="POX154" s="72"/>
      <c r="POY154" s="72"/>
      <c r="POZ154" s="72"/>
      <c r="PPA154" s="72"/>
      <c r="PPB154" s="72"/>
      <c r="PPC154" s="72"/>
      <c r="PPD154" s="72"/>
      <c r="PPE154" s="72"/>
      <c r="PPF154" s="72"/>
      <c r="PPG154" s="72"/>
      <c r="PPH154" s="72"/>
      <c r="PPI154" s="72"/>
      <c r="PPJ154" s="72"/>
      <c r="PPK154" s="72"/>
      <c r="PPL154" s="72"/>
      <c r="PPM154" s="72"/>
      <c r="PPN154" s="72"/>
      <c r="PPO154" s="72"/>
      <c r="PPP154" s="72"/>
      <c r="PPQ154" s="72"/>
      <c r="PPR154" s="72"/>
      <c r="PPS154" s="72"/>
      <c r="PPT154" s="72"/>
      <c r="PPU154" s="72"/>
      <c r="PPV154" s="72"/>
      <c r="PPW154" s="72"/>
      <c r="PPX154" s="72"/>
      <c r="PPY154" s="72"/>
      <c r="PPZ154" s="72"/>
      <c r="PQA154" s="72"/>
      <c r="PQB154" s="72"/>
      <c r="PQC154" s="72"/>
      <c r="PQD154" s="72"/>
      <c r="PQE154" s="72"/>
      <c r="PQF154" s="72"/>
      <c r="PQG154" s="72"/>
      <c r="PQH154" s="72"/>
      <c r="PQI154" s="72"/>
      <c r="PQJ154" s="72"/>
      <c r="PQK154" s="72"/>
      <c r="PQL154" s="72"/>
      <c r="PQM154" s="72"/>
      <c r="PQN154" s="72"/>
      <c r="PQO154" s="72"/>
      <c r="PQP154" s="72"/>
      <c r="PQQ154" s="72"/>
      <c r="PQR154" s="72"/>
      <c r="PQS154" s="72"/>
      <c r="PQT154" s="72"/>
      <c r="PQU154" s="72"/>
      <c r="PQV154" s="72"/>
      <c r="PQW154" s="72"/>
      <c r="PQX154" s="72"/>
      <c r="PQY154" s="72"/>
      <c r="PQZ154" s="72"/>
      <c r="PRA154" s="72"/>
      <c r="PRB154" s="72"/>
      <c r="PRC154" s="72"/>
      <c r="PRD154" s="72"/>
      <c r="PRE154" s="72"/>
      <c r="PRF154" s="72"/>
      <c r="PRG154" s="72"/>
      <c r="PRH154" s="72"/>
      <c r="PRI154" s="72"/>
      <c r="PRJ154" s="72"/>
      <c r="PRK154" s="72"/>
      <c r="PRL154" s="72"/>
      <c r="PRM154" s="72"/>
      <c r="PRN154" s="72"/>
      <c r="PRO154" s="72"/>
      <c r="PRP154" s="72"/>
      <c r="PRQ154" s="72"/>
      <c r="PRR154" s="72"/>
      <c r="PRS154" s="72"/>
      <c r="PRT154" s="72"/>
      <c r="PRU154" s="72"/>
      <c r="PRV154" s="72"/>
      <c r="PRW154" s="72"/>
      <c r="PRX154" s="72"/>
      <c r="PRY154" s="72"/>
      <c r="PRZ154" s="72"/>
      <c r="PSA154" s="72"/>
      <c r="PSB154" s="72"/>
      <c r="PSC154" s="72"/>
      <c r="PSD154" s="72"/>
      <c r="PSE154" s="72"/>
      <c r="PSF154" s="72"/>
      <c r="PSG154" s="72"/>
      <c r="PSH154" s="72"/>
      <c r="PSI154" s="72"/>
      <c r="PSJ154" s="72"/>
      <c r="PSK154" s="72"/>
      <c r="PSL154" s="72"/>
      <c r="PSM154" s="72"/>
      <c r="PSN154" s="72"/>
      <c r="PSO154" s="72"/>
      <c r="PSP154" s="72"/>
      <c r="PSQ154" s="72"/>
      <c r="PSR154" s="72"/>
      <c r="PSS154" s="72"/>
      <c r="PST154" s="72"/>
      <c r="PSU154" s="72"/>
      <c r="PSV154" s="72"/>
      <c r="PSW154" s="72"/>
      <c r="PSX154" s="72"/>
      <c r="PSY154" s="72"/>
      <c r="PSZ154" s="72"/>
      <c r="PTA154" s="72"/>
      <c r="PTB154" s="72"/>
      <c r="PTC154" s="72"/>
      <c r="PTD154" s="72"/>
      <c r="PTE154" s="72"/>
      <c r="PTF154" s="72"/>
      <c r="PTG154" s="72"/>
      <c r="PTH154" s="72"/>
      <c r="PTI154" s="72"/>
      <c r="PTJ154" s="72"/>
      <c r="PTK154" s="72"/>
      <c r="PTL154" s="72"/>
      <c r="PTM154" s="72"/>
      <c r="PTN154" s="72"/>
      <c r="PTO154" s="72"/>
      <c r="PTP154" s="72"/>
      <c r="PTQ154" s="72"/>
      <c r="PTR154" s="72"/>
      <c r="PTS154" s="72"/>
      <c r="PTT154" s="72"/>
      <c r="PTU154" s="72"/>
      <c r="PTV154" s="72"/>
      <c r="PTW154" s="72"/>
      <c r="PTX154" s="72"/>
      <c r="PTY154" s="72"/>
      <c r="PTZ154" s="72"/>
      <c r="PUA154" s="72"/>
      <c r="PUB154" s="72"/>
      <c r="PUC154" s="72"/>
      <c r="PUD154" s="72"/>
      <c r="PUE154" s="72"/>
      <c r="PUF154" s="72"/>
      <c r="PUG154" s="72"/>
      <c r="PUH154" s="72"/>
      <c r="PUI154" s="72"/>
      <c r="PUJ154" s="72"/>
      <c r="PUK154" s="72"/>
      <c r="PUL154" s="72"/>
      <c r="PUM154" s="72"/>
      <c r="PUN154" s="72"/>
      <c r="PUO154" s="72"/>
      <c r="PUP154" s="72"/>
      <c r="PUQ154" s="72"/>
      <c r="PUR154" s="72"/>
      <c r="PUS154" s="72"/>
      <c r="PUT154" s="72"/>
      <c r="PUU154" s="72"/>
      <c r="PUV154" s="72"/>
      <c r="PUW154" s="72"/>
      <c r="PUX154" s="72"/>
      <c r="PUY154" s="72"/>
      <c r="PUZ154" s="72"/>
      <c r="PVA154" s="72"/>
      <c r="PVB154" s="72"/>
      <c r="PVC154" s="72"/>
      <c r="PVD154" s="72"/>
      <c r="PVE154" s="72"/>
      <c r="PVF154" s="72"/>
      <c r="PVG154" s="72"/>
      <c r="PVH154" s="72"/>
      <c r="PVI154" s="72"/>
      <c r="PVJ154" s="72"/>
      <c r="PVK154" s="72"/>
      <c r="PVL154" s="72"/>
      <c r="PVM154" s="72"/>
      <c r="PVN154" s="72"/>
      <c r="PVO154" s="72"/>
      <c r="PVP154" s="72"/>
      <c r="PVQ154" s="72"/>
      <c r="PVR154" s="72"/>
      <c r="PVS154" s="72"/>
      <c r="PVT154" s="72"/>
      <c r="PVU154" s="72"/>
      <c r="PVV154" s="72"/>
      <c r="PVW154" s="72"/>
      <c r="PVX154" s="72"/>
      <c r="PVY154" s="72"/>
      <c r="PVZ154" s="72"/>
      <c r="PWA154" s="72"/>
      <c r="PWB154" s="72"/>
      <c r="PWC154" s="72"/>
      <c r="PWD154" s="72"/>
      <c r="PWE154" s="72"/>
      <c r="PWF154" s="72"/>
      <c r="PWG154" s="72"/>
      <c r="PWH154" s="72"/>
      <c r="PWI154" s="72"/>
      <c r="PWJ154" s="72"/>
      <c r="PWK154" s="72"/>
      <c r="PWL154" s="72"/>
      <c r="PWM154" s="72"/>
      <c r="PWN154" s="72"/>
      <c r="PWO154" s="72"/>
      <c r="PWP154" s="72"/>
      <c r="PWQ154" s="72"/>
      <c r="PWR154" s="72"/>
      <c r="PWS154" s="72"/>
      <c r="PWT154" s="72"/>
      <c r="PWU154" s="72"/>
      <c r="PWV154" s="72"/>
      <c r="PWW154" s="72"/>
      <c r="PWX154" s="72"/>
      <c r="PWY154" s="72"/>
      <c r="PWZ154" s="72"/>
      <c r="PXA154" s="72"/>
      <c r="PXB154" s="72"/>
      <c r="PXC154" s="72"/>
      <c r="PXD154" s="72"/>
      <c r="PXE154" s="72"/>
      <c r="PXF154" s="72"/>
      <c r="PXG154" s="72"/>
      <c r="PXH154" s="72"/>
      <c r="PXI154" s="72"/>
      <c r="PXJ154" s="72"/>
      <c r="PXK154" s="72"/>
      <c r="PXL154" s="72"/>
      <c r="PXM154" s="72"/>
      <c r="PXN154" s="72"/>
      <c r="PXO154" s="72"/>
      <c r="PXP154" s="72"/>
      <c r="PXQ154" s="72"/>
      <c r="PXR154" s="72"/>
      <c r="PXS154" s="72"/>
      <c r="PXT154" s="72"/>
      <c r="PXU154" s="72"/>
      <c r="PXV154" s="72"/>
      <c r="PXW154" s="72"/>
      <c r="PXX154" s="72"/>
      <c r="PXY154" s="72"/>
      <c r="PXZ154" s="72"/>
      <c r="PYA154" s="72"/>
      <c r="PYB154" s="72"/>
      <c r="PYC154" s="72"/>
      <c r="PYD154" s="72"/>
      <c r="PYE154" s="72"/>
      <c r="PYF154" s="72"/>
      <c r="PYG154" s="72"/>
      <c r="PYH154" s="72"/>
      <c r="PYI154" s="72"/>
      <c r="PYJ154" s="72"/>
      <c r="PYK154" s="72"/>
      <c r="PYL154" s="72"/>
      <c r="PYM154" s="72"/>
      <c r="PYN154" s="72"/>
      <c r="PYO154" s="72"/>
      <c r="PYP154" s="72"/>
      <c r="PYQ154" s="72"/>
      <c r="PYR154" s="72"/>
      <c r="PYS154" s="72"/>
      <c r="PYT154" s="72"/>
      <c r="PYU154" s="72"/>
      <c r="PYV154" s="72"/>
      <c r="PYW154" s="72"/>
      <c r="PYX154" s="72"/>
      <c r="PYY154" s="72"/>
      <c r="PYZ154" s="72"/>
      <c r="PZA154" s="72"/>
      <c r="PZB154" s="72"/>
      <c r="PZC154" s="72"/>
      <c r="PZD154" s="72"/>
      <c r="PZE154" s="72"/>
      <c r="PZF154" s="72"/>
      <c r="PZG154" s="72"/>
      <c r="PZH154" s="72"/>
      <c r="PZI154" s="72"/>
      <c r="PZJ154" s="72"/>
      <c r="PZK154" s="72"/>
      <c r="PZL154" s="72"/>
      <c r="PZM154" s="72"/>
      <c r="PZN154" s="72"/>
      <c r="PZO154" s="72"/>
      <c r="PZP154" s="72"/>
      <c r="PZQ154" s="72"/>
      <c r="PZR154" s="72"/>
      <c r="PZS154" s="72"/>
      <c r="PZT154" s="72"/>
      <c r="PZU154" s="72"/>
      <c r="PZV154" s="72"/>
      <c r="PZW154" s="72"/>
      <c r="PZX154" s="72"/>
      <c r="PZY154" s="72"/>
      <c r="PZZ154" s="72"/>
      <c r="QAA154" s="72"/>
      <c r="QAB154" s="72"/>
      <c r="QAC154" s="72"/>
      <c r="QAD154" s="72"/>
      <c r="QAE154" s="72"/>
      <c r="QAF154" s="72"/>
      <c r="QAG154" s="72"/>
      <c r="QAH154" s="72"/>
      <c r="QAI154" s="72"/>
      <c r="QAJ154" s="72"/>
      <c r="QAK154" s="72"/>
      <c r="QAL154" s="72"/>
      <c r="QAM154" s="72"/>
      <c r="QAN154" s="72"/>
      <c r="QAO154" s="72"/>
      <c r="QAP154" s="72"/>
      <c r="QAQ154" s="72"/>
      <c r="QAR154" s="72"/>
      <c r="QAS154" s="72"/>
      <c r="QAT154" s="72"/>
      <c r="QAU154" s="72"/>
      <c r="QAV154" s="72"/>
      <c r="QAW154" s="72"/>
      <c r="QAX154" s="72"/>
      <c r="QAY154" s="72"/>
      <c r="QAZ154" s="72"/>
      <c r="QBA154" s="72"/>
      <c r="QBB154" s="72"/>
      <c r="QBC154" s="72"/>
      <c r="QBD154" s="72"/>
      <c r="QBE154" s="72"/>
      <c r="QBF154" s="72"/>
      <c r="QBG154" s="72"/>
      <c r="QBH154" s="72"/>
      <c r="QBI154" s="72"/>
      <c r="QBJ154" s="72"/>
      <c r="QBK154" s="72"/>
      <c r="QBL154" s="72"/>
      <c r="QBM154" s="72"/>
      <c r="QBN154" s="72"/>
      <c r="QBO154" s="72"/>
      <c r="QBP154" s="72"/>
      <c r="QBQ154" s="72"/>
      <c r="QBR154" s="72"/>
      <c r="QBS154" s="72"/>
      <c r="QBT154" s="72"/>
      <c r="QBU154" s="72"/>
      <c r="QBV154" s="72"/>
      <c r="QBW154" s="72"/>
      <c r="QBX154" s="72"/>
      <c r="QBY154" s="72"/>
      <c r="QBZ154" s="72"/>
      <c r="QCA154" s="72"/>
      <c r="QCB154" s="72"/>
      <c r="QCC154" s="72"/>
      <c r="QCD154" s="72"/>
      <c r="QCE154" s="72"/>
      <c r="QCF154" s="72"/>
      <c r="QCG154" s="72"/>
      <c r="QCH154" s="72"/>
      <c r="QCI154" s="72"/>
      <c r="QCJ154" s="72"/>
      <c r="QCK154" s="72"/>
      <c r="QCL154" s="72"/>
      <c r="QCM154" s="72"/>
      <c r="QCN154" s="72"/>
      <c r="QCO154" s="72"/>
      <c r="QCP154" s="72"/>
      <c r="QCQ154" s="72"/>
      <c r="QCR154" s="72"/>
      <c r="QCS154" s="72"/>
      <c r="QCT154" s="72"/>
      <c r="QCU154" s="72"/>
      <c r="QCV154" s="72"/>
      <c r="QCW154" s="72"/>
      <c r="QCX154" s="72"/>
      <c r="QCY154" s="72"/>
      <c r="QCZ154" s="72"/>
      <c r="QDA154" s="72"/>
      <c r="QDB154" s="72"/>
      <c r="QDC154" s="72"/>
      <c r="QDD154" s="72"/>
      <c r="QDE154" s="72"/>
      <c r="QDF154" s="72"/>
      <c r="QDG154" s="72"/>
      <c r="QDH154" s="72"/>
      <c r="QDI154" s="72"/>
      <c r="QDJ154" s="72"/>
      <c r="QDK154" s="72"/>
      <c r="QDL154" s="72"/>
      <c r="QDM154" s="72"/>
      <c r="QDN154" s="72"/>
      <c r="QDO154" s="72"/>
      <c r="QDP154" s="72"/>
      <c r="QDQ154" s="72"/>
      <c r="QDR154" s="72"/>
      <c r="QDS154" s="72"/>
      <c r="QDT154" s="72"/>
      <c r="QDU154" s="72"/>
      <c r="QDV154" s="72"/>
      <c r="QDW154" s="72"/>
      <c r="QDX154" s="72"/>
      <c r="QDY154" s="72"/>
      <c r="QDZ154" s="72"/>
      <c r="QEA154" s="72"/>
      <c r="QEB154" s="72"/>
      <c r="QEC154" s="72"/>
      <c r="QED154" s="72"/>
      <c r="QEE154" s="72"/>
      <c r="QEF154" s="72"/>
      <c r="QEG154" s="72"/>
      <c r="QEH154" s="72"/>
      <c r="QEI154" s="72"/>
      <c r="QEJ154" s="72"/>
      <c r="QEK154" s="72"/>
      <c r="QEL154" s="72"/>
      <c r="QEM154" s="72"/>
      <c r="QEN154" s="72"/>
      <c r="QEO154" s="72"/>
      <c r="QEP154" s="72"/>
      <c r="QEQ154" s="72"/>
      <c r="QER154" s="72"/>
      <c r="QES154" s="72"/>
      <c r="QET154" s="72"/>
      <c r="QEU154" s="72"/>
      <c r="QEV154" s="72"/>
      <c r="QEW154" s="72"/>
      <c r="QEX154" s="72"/>
      <c r="QEY154" s="72"/>
      <c r="QEZ154" s="72"/>
      <c r="QFA154" s="72"/>
      <c r="QFB154" s="72"/>
      <c r="QFC154" s="72"/>
      <c r="QFD154" s="72"/>
      <c r="QFE154" s="72"/>
      <c r="QFF154" s="72"/>
      <c r="QFG154" s="72"/>
      <c r="QFH154" s="72"/>
      <c r="QFI154" s="72"/>
      <c r="QFJ154" s="72"/>
      <c r="QFK154" s="72"/>
      <c r="QFL154" s="72"/>
      <c r="QFM154" s="72"/>
      <c r="QFN154" s="72"/>
      <c r="QFO154" s="72"/>
      <c r="QFP154" s="72"/>
      <c r="QFQ154" s="72"/>
      <c r="QFR154" s="72"/>
      <c r="QFS154" s="72"/>
      <c r="QFT154" s="72"/>
      <c r="QFU154" s="72"/>
      <c r="QFV154" s="72"/>
      <c r="QFW154" s="72"/>
      <c r="QFX154" s="72"/>
      <c r="QFY154" s="72"/>
      <c r="QFZ154" s="72"/>
      <c r="QGA154" s="72"/>
      <c r="QGB154" s="72"/>
      <c r="QGC154" s="72"/>
      <c r="QGD154" s="72"/>
      <c r="QGE154" s="72"/>
      <c r="QGF154" s="72"/>
      <c r="QGG154" s="72"/>
      <c r="QGH154" s="72"/>
      <c r="QGI154" s="72"/>
      <c r="QGJ154" s="72"/>
      <c r="QGK154" s="72"/>
      <c r="QGL154" s="72"/>
      <c r="QGM154" s="72"/>
      <c r="QGN154" s="72"/>
      <c r="QGO154" s="72"/>
      <c r="QGP154" s="72"/>
      <c r="QGQ154" s="72"/>
      <c r="QGR154" s="72"/>
      <c r="QGS154" s="72"/>
      <c r="QGT154" s="72"/>
      <c r="QGU154" s="72"/>
      <c r="QGV154" s="72"/>
      <c r="QGW154" s="72"/>
      <c r="QGX154" s="72"/>
      <c r="QGY154" s="72"/>
      <c r="QGZ154" s="72"/>
      <c r="QHA154" s="72"/>
      <c r="QHB154" s="72"/>
      <c r="QHC154" s="72"/>
      <c r="QHD154" s="72"/>
      <c r="QHE154" s="72"/>
      <c r="QHF154" s="72"/>
      <c r="QHG154" s="72"/>
      <c r="QHH154" s="72"/>
      <c r="QHI154" s="72"/>
      <c r="QHJ154" s="72"/>
      <c r="QHK154" s="72"/>
      <c r="QHL154" s="72"/>
      <c r="QHM154" s="72"/>
      <c r="QHN154" s="72"/>
      <c r="QHO154" s="72"/>
      <c r="QHP154" s="72"/>
      <c r="QHQ154" s="72"/>
      <c r="QHR154" s="72"/>
      <c r="QHS154" s="72"/>
      <c r="QHT154" s="72"/>
      <c r="QHU154" s="72"/>
      <c r="QHV154" s="72"/>
      <c r="QHW154" s="72"/>
      <c r="QHX154" s="72"/>
      <c r="QHY154" s="72"/>
      <c r="QHZ154" s="72"/>
      <c r="QIA154" s="72"/>
      <c r="QIB154" s="72"/>
      <c r="QIC154" s="72"/>
      <c r="QID154" s="72"/>
      <c r="QIE154" s="72"/>
      <c r="QIF154" s="72"/>
      <c r="QIG154" s="72"/>
      <c r="QIH154" s="72"/>
      <c r="QII154" s="72"/>
      <c r="QIJ154" s="72"/>
      <c r="QIK154" s="72"/>
      <c r="QIL154" s="72"/>
      <c r="QIM154" s="72"/>
      <c r="QIN154" s="72"/>
      <c r="QIO154" s="72"/>
      <c r="QIP154" s="72"/>
      <c r="QIQ154" s="72"/>
      <c r="QIR154" s="72"/>
      <c r="QIS154" s="72"/>
      <c r="QIT154" s="72"/>
      <c r="QIU154" s="72"/>
      <c r="QIV154" s="72"/>
      <c r="QIW154" s="72"/>
      <c r="QIX154" s="72"/>
      <c r="QIY154" s="72"/>
      <c r="QIZ154" s="72"/>
      <c r="QJA154" s="72"/>
      <c r="QJB154" s="72"/>
      <c r="QJC154" s="72"/>
      <c r="QJD154" s="72"/>
      <c r="QJE154" s="72"/>
      <c r="QJF154" s="72"/>
      <c r="QJG154" s="72"/>
      <c r="QJH154" s="72"/>
      <c r="QJI154" s="72"/>
      <c r="QJJ154" s="72"/>
      <c r="QJK154" s="72"/>
      <c r="QJL154" s="72"/>
      <c r="QJM154" s="72"/>
      <c r="QJN154" s="72"/>
      <c r="QJO154" s="72"/>
      <c r="QJP154" s="72"/>
      <c r="QJQ154" s="72"/>
      <c r="QJR154" s="72"/>
      <c r="QJS154" s="72"/>
      <c r="QJT154" s="72"/>
      <c r="QJU154" s="72"/>
      <c r="QJV154" s="72"/>
      <c r="QJW154" s="72"/>
      <c r="QJX154" s="72"/>
      <c r="QJY154" s="72"/>
      <c r="QJZ154" s="72"/>
      <c r="QKA154" s="72"/>
      <c r="QKB154" s="72"/>
      <c r="QKC154" s="72"/>
      <c r="QKD154" s="72"/>
      <c r="QKE154" s="72"/>
      <c r="QKF154" s="72"/>
      <c r="QKG154" s="72"/>
      <c r="QKH154" s="72"/>
      <c r="QKI154" s="72"/>
      <c r="QKJ154" s="72"/>
      <c r="QKK154" s="72"/>
      <c r="QKL154" s="72"/>
      <c r="QKM154" s="72"/>
      <c r="QKN154" s="72"/>
      <c r="QKO154" s="72"/>
      <c r="QKP154" s="72"/>
      <c r="QKQ154" s="72"/>
      <c r="QKR154" s="72"/>
      <c r="QKS154" s="72"/>
      <c r="QKT154" s="72"/>
      <c r="QKU154" s="72"/>
      <c r="QKV154" s="72"/>
      <c r="QKW154" s="72"/>
      <c r="QKX154" s="72"/>
      <c r="QKY154" s="72"/>
      <c r="QKZ154" s="72"/>
      <c r="QLA154" s="72"/>
      <c r="QLB154" s="72"/>
      <c r="QLC154" s="72"/>
      <c r="QLD154" s="72"/>
      <c r="QLE154" s="72"/>
      <c r="QLF154" s="72"/>
      <c r="QLG154" s="72"/>
      <c r="QLH154" s="72"/>
      <c r="QLI154" s="72"/>
      <c r="QLJ154" s="72"/>
      <c r="QLK154" s="72"/>
      <c r="QLL154" s="72"/>
      <c r="QLM154" s="72"/>
      <c r="QLN154" s="72"/>
      <c r="QLO154" s="72"/>
      <c r="QLP154" s="72"/>
      <c r="QLQ154" s="72"/>
      <c r="QLR154" s="72"/>
      <c r="QLS154" s="72"/>
      <c r="QLT154" s="72"/>
      <c r="QLU154" s="72"/>
      <c r="QLV154" s="72"/>
      <c r="QLW154" s="72"/>
      <c r="QLX154" s="72"/>
      <c r="QLY154" s="72"/>
      <c r="QLZ154" s="72"/>
      <c r="QMA154" s="72"/>
      <c r="QMB154" s="72"/>
      <c r="QMC154" s="72"/>
      <c r="QMD154" s="72"/>
      <c r="QME154" s="72"/>
      <c r="QMF154" s="72"/>
      <c r="QMG154" s="72"/>
      <c r="QMH154" s="72"/>
      <c r="QMI154" s="72"/>
      <c r="QMJ154" s="72"/>
      <c r="QMK154" s="72"/>
      <c r="QML154" s="72"/>
      <c r="QMM154" s="72"/>
      <c r="QMN154" s="72"/>
      <c r="QMO154" s="72"/>
      <c r="QMP154" s="72"/>
      <c r="QMQ154" s="72"/>
      <c r="QMR154" s="72"/>
      <c r="QMS154" s="72"/>
      <c r="QMT154" s="72"/>
      <c r="QMU154" s="72"/>
      <c r="QMV154" s="72"/>
      <c r="QMW154" s="72"/>
      <c r="QMX154" s="72"/>
      <c r="QMY154" s="72"/>
      <c r="QMZ154" s="72"/>
      <c r="QNA154" s="72"/>
      <c r="QNB154" s="72"/>
      <c r="QNC154" s="72"/>
      <c r="QND154" s="72"/>
      <c r="QNE154" s="72"/>
      <c r="QNF154" s="72"/>
      <c r="QNG154" s="72"/>
      <c r="QNH154" s="72"/>
      <c r="QNI154" s="72"/>
      <c r="QNJ154" s="72"/>
      <c r="QNK154" s="72"/>
      <c r="QNL154" s="72"/>
      <c r="QNM154" s="72"/>
      <c r="QNN154" s="72"/>
      <c r="QNO154" s="72"/>
      <c r="QNP154" s="72"/>
      <c r="QNQ154" s="72"/>
      <c r="QNR154" s="72"/>
      <c r="QNS154" s="72"/>
      <c r="QNT154" s="72"/>
      <c r="QNU154" s="72"/>
      <c r="QNV154" s="72"/>
      <c r="QNW154" s="72"/>
      <c r="QNX154" s="72"/>
      <c r="QNY154" s="72"/>
      <c r="QNZ154" s="72"/>
      <c r="QOA154" s="72"/>
      <c r="QOB154" s="72"/>
      <c r="QOC154" s="72"/>
      <c r="QOD154" s="72"/>
      <c r="QOE154" s="72"/>
      <c r="QOF154" s="72"/>
      <c r="QOG154" s="72"/>
      <c r="QOH154" s="72"/>
      <c r="QOI154" s="72"/>
      <c r="QOJ154" s="72"/>
      <c r="QOK154" s="72"/>
      <c r="QOL154" s="72"/>
      <c r="QOM154" s="72"/>
      <c r="QON154" s="72"/>
      <c r="QOO154" s="72"/>
      <c r="QOP154" s="72"/>
      <c r="QOQ154" s="72"/>
      <c r="QOR154" s="72"/>
      <c r="QOS154" s="72"/>
      <c r="QOT154" s="72"/>
      <c r="QOU154" s="72"/>
      <c r="QOV154" s="72"/>
      <c r="QOW154" s="72"/>
      <c r="QOX154" s="72"/>
      <c r="QOY154" s="72"/>
      <c r="QOZ154" s="72"/>
      <c r="QPA154" s="72"/>
      <c r="QPB154" s="72"/>
      <c r="QPC154" s="72"/>
      <c r="QPD154" s="72"/>
      <c r="QPE154" s="72"/>
      <c r="QPF154" s="72"/>
      <c r="QPG154" s="72"/>
      <c r="QPH154" s="72"/>
      <c r="QPI154" s="72"/>
      <c r="QPJ154" s="72"/>
      <c r="QPK154" s="72"/>
      <c r="QPL154" s="72"/>
      <c r="QPM154" s="72"/>
      <c r="QPN154" s="72"/>
      <c r="QPO154" s="72"/>
      <c r="QPP154" s="72"/>
      <c r="QPQ154" s="72"/>
      <c r="QPR154" s="72"/>
      <c r="QPS154" s="72"/>
      <c r="QPT154" s="72"/>
      <c r="QPU154" s="72"/>
      <c r="QPV154" s="72"/>
      <c r="QPW154" s="72"/>
      <c r="QPX154" s="72"/>
      <c r="QPY154" s="72"/>
      <c r="QPZ154" s="72"/>
      <c r="QQA154" s="72"/>
      <c r="QQB154" s="72"/>
      <c r="QQC154" s="72"/>
      <c r="QQD154" s="72"/>
      <c r="QQE154" s="72"/>
      <c r="QQF154" s="72"/>
      <c r="QQG154" s="72"/>
      <c r="QQH154" s="72"/>
      <c r="QQI154" s="72"/>
      <c r="QQJ154" s="72"/>
      <c r="QQK154" s="72"/>
      <c r="QQL154" s="72"/>
      <c r="QQM154" s="72"/>
      <c r="QQN154" s="72"/>
      <c r="QQO154" s="72"/>
      <c r="QQP154" s="72"/>
      <c r="QQQ154" s="72"/>
      <c r="QQR154" s="72"/>
      <c r="QQS154" s="72"/>
      <c r="QQT154" s="72"/>
      <c r="QQU154" s="72"/>
      <c r="QQV154" s="72"/>
      <c r="QQW154" s="72"/>
      <c r="QQX154" s="72"/>
      <c r="QQY154" s="72"/>
      <c r="QQZ154" s="72"/>
      <c r="QRA154" s="72"/>
      <c r="QRB154" s="72"/>
      <c r="QRC154" s="72"/>
      <c r="QRD154" s="72"/>
      <c r="QRE154" s="72"/>
      <c r="QRF154" s="72"/>
      <c r="QRG154" s="72"/>
      <c r="QRH154" s="72"/>
      <c r="QRI154" s="72"/>
      <c r="QRJ154" s="72"/>
      <c r="QRK154" s="72"/>
      <c r="QRL154" s="72"/>
      <c r="QRM154" s="72"/>
      <c r="QRN154" s="72"/>
      <c r="QRO154" s="72"/>
      <c r="QRP154" s="72"/>
      <c r="QRQ154" s="72"/>
      <c r="QRR154" s="72"/>
      <c r="QRS154" s="72"/>
      <c r="QRT154" s="72"/>
      <c r="QRU154" s="72"/>
      <c r="QRV154" s="72"/>
      <c r="QRW154" s="72"/>
      <c r="QRX154" s="72"/>
      <c r="QRY154" s="72"/>
      <c r="QRZ154" s="72"/>
      <c r="QSA154" s="72"/>
      <c r="QSB154" s="72"/>
      <c r="QSC154" s="72"/>
      <c r="QSD154" s="72"/>
      <c r="QSE154" s="72"/>
      <c r="QSF154" s="72"/>
      <c r="QSG154" s="72"/>
      <c r="QSH154" s="72"/>
      <c r="QSI154" s="72"/>
      <c r="QSJ154" s="72"/>
      <c r="QSK154" s="72"/>
      <c r="QSL154" s="72"/>
      <c r="QSM154" s="72"/>
      <c r="QSN154" s="72"/>
      <c r="QSO154" s="72"/>
      <c r="QSP154" s="72"/>
      <c r="QSQ154" s="72"/>
      <c r="QSR154" s="72"/>
      <c r="QSS154" s="72"/>
      <c r="QST154" s="72"/>
      <c r="QSU154" s="72"/>
      <c r="QSV154" s="72"/>
      <c r="QSW154" s="72"/>
      <c r="QSX154" s="72"/>
      <c r="QSY154" s="72"/>
      <c r="QSZ154" s="72"/>
      <c r="QTA154" s="72"/>
      <c r="QTB154" s="72"/>
      <c r="QTC154" s="72"/>
      <c r="QTD154" s="72"/>
      <c r="QTE154" s="72"/>
      <c r="QTF154" s="72"/>
      <c r="QTG154" s="72"/>
      <c r="QTH154" s="72"/>
      <c r="QTI154" s="72"/>
      <c r="QTJ154" s="72"/>
      <c r="QTK154" s="72"/>
      <c r="QTL154" s="72"/>
      <c r="QTM154" s="72"/>
      <c r="QTN154" s="72"/>
      <c r="QTO154" s="72"/>
      <c r="QTP154" s="72"/>
      <c r="QTQ154" s="72"/>
      <c r="QTR154" s="72"/>
      <c r="QTS154" s="72"/>
      <c r="QTT154" s="72"/>
      <c r="QTU154" s="72"/>
      <c r="QTV154" s="72"/>
      <c r="QTW154" s="72"/>
      <c r="QTX154" s="72"/>
      <c r="QTY154" s="72"/>
      <c r="QTZ154" s="72"/>
      <c r="QUA154" s="72"/>
      <c r="QUB154" s="72"/>
      <c r="QUC154" s="72"/>
      <c r="QUD154" s="72"/>
      <c r="QUE154" s="72"/>
      <c r="QUF154" s="72"/>
      <c r="QUG154" s="72"/>
      <c r="QUH154" s="72"/>
      <c r="QUI154" s="72"/>
      <c r="QUJ154" s="72"/>
      <c r="QUK154" s="72"/>
      <c r="QUL154" s="72"/>
      <c r="QUM154" s="72"/>
      <c r="QUN154" s="72"/>
      <c r="QUO154" s="72"/>
      <c r="QUP154" s="72"/>
      <c r="QUQ154" s="72"/>
      <c r="QUR154" s="72"/>
      <c r="QUS154" s="72"/>
      <c r="QUT154" s="72"/>
      <c r="QUU154" s="72"/>
      <c r="QUV154" s="72"/>
      <c r="QUW154" s="72"/>
      <c r="QUX154" s="72"/>
      <c r="QUY154" s="72"/>
      <c r="QUZ154" s="72"/>
      <c r="QVA154" s="72"/>
      <c r="QVB154" s="72"/>
      <c r="QVC154" s="72"/>
      <c r="QVD154" s="72"/>
      <c r="QVE154" s="72"/>
      <c r="QVF154" s="72"/>
      <c r="QVG154" s="72"/>
      <c r="QVH154" s="72"/>
      <c r="QVI154" s="72"/>
      <c r="QVJ154" s="72"/>
      <c r="QVK154" s="72"/>
      <c r="QVL154" s="72"/>
      <c r="QVM154" s="72"/>
      <c r="QVN154" s="72"/>
      <c r="QVO154" s="72"/>
      <c r="QVP154" s="72"/>
      <c r="QVQ154" s="72"/>
      <c r="QVR154" s="72"/>
      <c r="QVS154" s="72"/>
      <c r="QVT154" s="72"/>
      <c r="QVU154" s="72"/>
      <c r="QVV154" s="72"/>
      <c r="QVW154" s="72"/>
      <c r="QVX154" s="72"/>
      <c r="QVY154" s="72"/>
      <c r="QVZ154" s="72"/>
      <c r="QWA154" s="72"/>
      <c r="QWB154" s="72"/>
      <c r="QWC154" s="72"/>
      <c r="QWD154" s="72"/>
      <c r="QWE154" s="72"/>
      <c r="QWF154" s="72"/>
      <c r="QWG154" s="72"/>
      <c r="QWH154" s="72"/>
      <c r="QWI154" s="72"/>
      <c r="QWJ154" s="72"/>
      <c r="QWK154" s="72"/>
      <c r="QWL154" s="72"/>
      <c r="QWM154" s="72"/>
      <c r="QWN154" s="72"/>
      <c r="QWO154" s="72"/>
      <c r="QWP154" s="72"/>
      <c r="QWQ154" s="72"/>
      <c r="QWR154" s="72"/>
      <c r="QWS154" s="72"/>
      <c r="QWT154" s="72"/>
      <c r="QWU154" s="72"/>
      <c r="QWV154" s="72"/>
      <c r="QWW154" s="72"/>
      <c r="QWX154" s="72"/>
      <c r="QWY154" s="72"/>
      <c r="QWZ154" s="72"/>
      <c r="QXA154" s="72"/>
      <c r="QXB154" s="72"/>
      <c r="QXC154" s="72"/>
      <c r="QXD154" s="72"/>
      <c r="QXE154" s="72"/>
      <c r="QXF154" s="72"/>
      <c r="QXG154" s="72"/>
      <c r="QXH154" s="72"/>
      <c r="QXI154" s="72"/>
      <c r="QXJ154" s="72"/>
      <c r="QXK154" s="72"/>
      <c r="QXL154" s="72"/>
      <c r="QXM154" s="72"/>
      <c r="QXN154" s="72"/>
      <c r="QXO154" s="72"/>
      <c r="QXP154" s="72"/>
      <c r="QXQ154" s="72"/>
      <c r="QXR154" s="72"/>
      <c r="QXS154" s="72"/>
      <c r="QXT154" s="72"/>
      <c r="QXU154" s="72"/>
      <c r="QXV154" s="72"/>
      <c r="QXW154" s="72"/>
      <c r="QXX154" s="72"/>
      <c r="QXY154" s="72"/>
      <c r="QXZ154" s="72"/>
      <c r="QYA154" s="72"/>
      <c r="QYB154" s="72"/>
      <c r="QYC154" s="72"/>
      <c r="QYD154" s="72"/>
      <c r="QYE154" s="72"/>
      <c r="QYF154" s="72"/>
      <c r="QYG154" s="72"/>
      <c r="QYH154" s="72"/>
      <c r="QYI154" s="72"/>
      <c r="QYJ154" s="72"/>
      <c r="QYK154" s="72"/>
      <c r="QYL154" s="72"/>
      <c r="QYM154" s="72"/>
      <c r="QYN154" s="72"/>
      <c r="QYO154" s="72"/>
      <c r="QYP154" s="72"/>
      <c r="QYQ154" s="72"/>
      <c r="QYR154" s="72"/>
      <c r="QYS154" s="72"/>
      <c r="QYT154" s="72"/>
      <c r="QYU154" s="72"/>
      <c r="QYV154" s="72"/>
      <c r="QYW154" s="72"/>
      <c r="QYX154" s="72"/>
      <c r="QYY154" s="72"/>
      <c r="QYZ154" s="72"/>
      <c r="QZA154" s="72"/>
      <c r="QZB154" s="72"/>
      <c r="QZC154" s="72"/>
      <c r="QZD154" s="72"/>
      <c r="QZE154" s="72"/>
      <c r="QZF154" s="72"/>
      <c r="QZG154" s="72"/>
      <c r="QZH154" s="72"/>
      <c r="QZI154" s="72"/>
      <c r="QZJ154" s="72"/>
      <c r="QZK154" s="72"/>
      <c r="QZL154" s="72"/>
      <c r="QZM154" s="72"/>
      <c r="QZN154" s="72"/>
      <c r="QZO154" s="72"/>
      <c r="QZP154" s="72"/>
      <c r="QZQ154" s="72"/>
      <c r="QZR154" s="72"/>
      <c r="QZS154" s="72"/>
      <c r="QZT154" s="72"/>
      <c r="QZU154" s="72"/>
      <c r="QZV154" s="72"/>
      <c r="QZW154" s="72"/>
      <c r="QZX154" s="72"/>
      <c r="QZY154" s="72"/>
      <c r="QZZ154" s="72"/>
      <c r="RAA154" s="72"/>
      <c r="RAB154" s="72"/>
      <c r="RAC154" s="72"/>
      <c r="RAD154" s="72"/>
      <c r="RAE154" s="72"/>
      <c r="RAF154" s="72"/>
      <c r="RAG154" s="72"/>
      <c r="RAH154" s="72"/>
      <c r="RAI154" s="72"/>
      <c r="RAJ154" s="72"/>
      <c r="RAK154" s="72"/>
      <c r="RAL154" s="72"/>
      <c r="RAM154" s="72"/>
      <c r="RAN154" s="72"/>
      <c r="RAO154" s="72"/>
      <c r="RAP154" s="72"/>
      <c r="RAQ154" s="72"/>
      <c r="RAR154" s="72"/>
      <c r="RAS154" s="72"/>
      <c r="RAT154" s="72"/>
      <c r="RAU154" s="72"/>
      <c r="RAV154" s="72"/>
      <c r="RAW154" s="72"/>
      <c r="RAX154" s="72"/>
      <c r="RAY154" s="72"/>
      <c r="RAZ154" s="72"/>
      <c r="RBA154" s="72"/>
      <c r="RBB154" s="72"/>
      <c r="RBC154" s="72"/>
      <c r="RBD154" s="72"/>
      <c r="RBE154" s="72"/>
      <c r="RBF154" s="72"/>
      <c r="RBG154" s="72"/>
      <c r="RBH154" s="72"/>
      <c r="RBI154" s="72"/>
      <c r="RBJ154" s="72"/>
      <c r="RBK154" s="72"/>
      <c r="RBL154" s="72"/>
      <c r="RBM154" s="72"/>
      <c r="RBN154" s="72"/>
      <c r="RBO154" s="72"/>
      <c r="RBP154" s="72"/>
      <c r="RBQ154" s="72"/>
      <c r="RBR154" s="72"/>
      <c r="RBS154" s="72"/>
      <c r="RBT154" s="72"/>
      <c r="RBU154" s="72"/>
      <c r="RBV154" s="72"/>
      <c r="RBW154" s="72"/>
      <c r="RBX154" s="72"/>
      <c r="RBY154" s="72"/>
      <c r="RBZ154" s="72"/>
      <c r="RCA154" s="72"/>
      <c r="RCB154" s="72"/>
      <c r="RCC154" s="72"/>
      <c r="RCD154" s="72"/>
      <c r="RCE154" s="72"/>
      <c r="RCF154" s="72"/>
      <c r="RCG154" s="72"/>
      <c r="RCH154" s="72"/>
      <c r="RCI154" s="72"/>
      <c r="RCJ154" s="72"/>
      <c r="RCK154" s="72"/>
      <c r="RCL154" s="72"/>
      <c r="RCM154" s="72"/>
      <c r="RCN154" s="72"/>
      <c r="RCO154" s="72"/>
      <c r="RCP154" s="72"/>
      <c r="RCQ154" s="72"/>
      <c r="RCR154" s="72"/>
      <c r="RCS154" s="72"/>
      <c r="RCT154" s="72"/>
      <c r="RCU154" s="72"/>
      <c r="RCV154" s="72"/>
      <c r="RCW154" s="72"/>
      <c r="RCX154" s="72"/>
      <c r="RCY154" s="72"/>
      <c r="RCZ154" s="72"/>
      <c r="RDA154" s="72"/>
      <c r="RDB154" s="72"/>
      <c r="RDC154" s="72"/>
      <c r="RDD154" s="72"/>
      <c r="RDE154" s="72"/>
      <c r="RDF154" s="72"/>
      <c r="RDG154" s="72"/>
      <c r="RDH154" s="72"/>
      <c r="RDI154" s="72"/>
      <c r="RDJ154" s="72"/>
      <c r="RDK154" s="72"/>
      <c r="RDL154" s="72"/>
      <c r="RDM154" s="72"/>
      <c r="RDN154" s="72"/>
      <c r="RDO154" s="72"/>
      <c r="RDP154" s="72"/>
      <c r="RDQ154" s="72"/>
      <c r="RDR154" s="72"/>
      <c r="RDS154" s="72"/>
      <c r="RDT154" s="72"/>
      <c r="RDU154" s="72"/>
      <c r="RDV154" s="72"/>
      <c r="RDW154" s="72"/>
      <c r="RDX154" s="72"/>
      <c r="RDY154" s="72"/>
      <c r="RDZ154" s="72"/>
      <c r="REA154" s="72"/>
      <c r="REB154" s="72"/>
      <c r="REC154" s="72"/>
      <c r="RED154" s="72"/>
      <c r="REE154" s="72"/>
      <c r="REF154" s="72"/>
      <c r="REG154" s="72"/>
      <c r="REH154" s="72"/>
      <c r="REI154" s="72"/>
      <c r="REJ154" s="72"/>
      <c r="REK154" s="72"/>
      <c r="REL154" s="72"/>
      <c r="REM154" s="72"/>
      <c r="REN154" s="72"/>
      <c r="REO154" s="72"/>
      <c r="REP154" s="72"/>
      <c r="REQ154" s="72"/>
      <c r="RER154" s="72"/>
      <c r="RES154" s="72"/>
      <c r="RET154" s="72"/>
      <c r="REU154" s="72"/>
      <c r="REV154" s="72"/>
      <c r="REW154" s="72"/>
      <c r="REX154" s="72"/>
      <c r="REY154" s="72"/>
      <c r="REZ154" s="72"/>
      <c r="RFA154" s="72"/>
      <c r="RFB154" s="72"/>
      <c r="RFC154" s="72"/>
      <c r="RFD154" s="72"/>
      <c r="RFE154" s="72"/>
      <c r="RFF154" s="72"/>
      <c r="RFG154" s="72"/>
      <c r="RFH154" s="72"/>
      <c r="RFI154" s="72"/>
      <c r="RFJ154" s="72"/>
      <c r="RFK154" s="72"/>
      <c r="RFL154" s="72"/>
      <c r="RFM154" s="72"/>
      <c r="RFN154" s="72"/>
      <c r="RFO154" s="72"/>
      <c r="RFP154" s="72"/>
      <c r="RFQ154" s="72"/>
      <c r="RFR154" s="72"/>
      <c r="RFS154" s="72"/>
      <c r="RFT154" s="72"/>
      <c r="RFU154" s="72"/>
      <c r="RFV154" s="72"/>
      <c r="RFW154" s="72"/>
      <c r="RFX154" s="72"/>
      <c r="RFY154" s="72"/>
      <c r="RFZ154" s="72"/>
      <c r="RGA154" s="72"/>
      <c r="RGB154" s="72"/>
      <c r="RGC154" s="72"/>
      <c r="RGD154" s="72"/>
      <c r="RGE154" s="72"/>
      <c r="RGF154" s="72"/>
      <c r="RGG154" s="72"/>
      <c r="RGH154" s="72"/>
      <c r="RGI154" s="72"/>
      <c r="RGJ154" s="72"/>
      <c r="RGK154" s="72"/>
      <c r="RGL154" s="72"/>
      <c r="RGM154" s="72"/>
      <c r="RGN154" s="72"/>
      <c r="RGO154" s="72"/>
      <c r="RGP154" s="72"/>
      <c r="RGQ154" s="72"/>
      <c r="RGR154" s="72"/>
      <c r="RGS154" s="72"/>
      <c r="RGT154" s="72"/>
      <c r="RGU154" s="72"/>
      <c r="RGV154" s="72"/>
      <c r="RGW154" s="72"/>
      <c r="RGX154" s="72"/>
      <c r="RGY154" s="72"/>
      <c r="RGZ154" s="72"/>
      <c r="RHA154" s="72"/>
      <c r="RHB154" s="72"/>
      <c r="RHC154" s="72"/>
      <c r="RHD154" s="72"/>
      <c r="RHE154" s="72"/>
      <c r="RHF154" s="72"/>
      <c r="RHG154" s="72"/>
      <c r="RHH154" s="72"/>
      <c r="RHI154" s="72"/>
      <c r="RHJ154" s="72"/>
      <c r="RHK154" s="72"/>
      <c r="RHL154" s="72"/>
      <c r="RHM154" s="72"/>
      <c r="RHN154" s="72"/>
      <c r="RHO154" s="72"/>
      <c r="RHP154" s="72"/>
      <c r="RHQ154" s="72"/>
      <c r="RHR154" s="72"/>
      <c r="RHS154" s="72"/>
      <c r="RHT154" s="72"/>
      <c r="RHU154" s="72"/>
      <c r="RHV154" s="72"/>
      <c r="RHW154" s="72"/>
      <c r="RHX154" s="72"/>
      <c r="RHY154" s="72"/>
      <c r="RHZ154" s="72"/>
      <c r="RIA154" s="72"/>
      <c r="RIB154" s="72"/>
      <c r="RIC154" s="72"/>
      <c r="RID154" s="72"/>
      <c r="RIE154" s="72"/>
      <c r="RIF154" s="72"/>
      <c r="RIG154" s="72"/>
      <c r="RIH154" s="72"/>
      <c r="RII154" s="72"/>
      <c r="RIJ154" s="72"/>
      <c r="RIK154" s="72"/>
      <c r="RIL154" s="72"/>
      <c r="RIM154" s="72"/>
      <c r="RIN154" s="72"/>
      <c r="RIO154" s="72"/>
      <c r="RIP154" s="72"/>
      <c r="RIQ154" s="72"/>
      <c r="RIR154" s="72"/>
      <c r="RIS154" s="72"/>
      <c r="RIT154" s="72"/>
      <c r="RIU154" s="72"/>
      <c r="RIV154" s="72"/>
      <c r="RIW154" s="72"/>
      <c r="RIX154" s="72"/>
      <c r="RIY154" s="72"/>
      <c r="RIZ154" s="72"/>
      <c r="RJA154" s="72"/>
      <c r="RJB154" s="72"/>
      <c r="RJC154" s="72"/>
      <c r="RJD154" s="72"/>
      <c r="RJE154" s="72"/>
      <c r="RJF154" s="72"/>
      <c r="RJG154" s="72"/>
      <c r="RJH154" s="72"/>
      <c r="RJI154" s="72"/>
      <c r="RJJ154" s="72"/>
      <c r="RJK154" s="72"/>
      <c r="RJL154" s="72"/>
      <c r="RJM154" s="72"/>
      <c r="RJN154" s="72"/>
      <c r="RJO154" s="72"/>
      <c r="RJP154" s="72"/>
      <c r="RJQ154" s="72"/>
      <c r="RJR154" s="72"/>
      <c r="RJS154" s="72"/>
      <c r="RJT154" s="72"/>
      <c r="RJU154" s="72"/>
      <c r="RJV154" s="72"/>
      <c r="RJW154" s="72"/>
      <c r="RJX154" s="72"/>
      <c r="RJY154" s="72"/>
      <c r="RJZ154" s="72"/>
      <c r="RKA154" s="72"/>
      <c r="RKB154" s="72"/>
      <c r="RKC154" s="72"/>
      <c r="RKD154" s="72"/>
      <c r="RKE154" s="72"/>
      <c r="RKF154" s="72"/>
      <c r="RKG154" s="72"/>
      <c r="RKH154" s="72"/>
      <c r="RKI154" s="72"/>
      <c r="RKJ154" s="72"/>
      <c r="RKK154" s="72"/>
      <c r="RKL154" s="72"/>
      <c r="RKM154" s="72"/>
      <c r="RKN154" s="72"/>
      <c r="RKO154" s="72"/>
      <c r="RKP154" s="72"/>
      <c r="RKQ154" s="72"/>
      <c r="RKR154" s="72"/>
      <c r="RKS154" s="72"/>
      <c r="RKT154" s="72"/>
      <c r="RKU154" s="72"/>
      <c r="RKV154" s="72"/>
      <c r="RKW154" s="72"/>
      <c r="RKX154" s="72"/>
      <c r="RKY154" s="72"/>
      <c r="RKZ154" s="72"/>
      <c r="RLA154" s="72"/>
      <c r="RLB154" s="72"/>
      <c r="RLC154" s="72"/>
      <c r="RLD154" s="72"/>
      <c r="RLE154" s="72"/>
      <c r="RLF154" s="72"/>
      <c r="RLG154" s="72"/>
      <c r="RLH154" s="72"/>
      <c r="RLI154" s="72"/>
      <c r="RLJ154" s="72"/>
      <c r="RLK154" s="72"/>
      <c r="RLL154" s="72"/>
      <c r="RLM154" s="72"/>
      <c r="RLN154" s="72"/>
      <c r="RLO154" s="72"/>
      <c r="RLP154" s="72"/>
      <c r="RLQ154" s="72"/>
      <c r="RLR154" s="72"/>
      <c r="RLS154" s="72"/>
      <c r="RLT154" s="72"/>
      <c r="RLU154" s="72"/>
      <c r="RLV154" s="72"/>
      <c r="RLW154" s="72"/>
      <c r="RLX154" s="72"/>
      <c r="RLY154" s="72"/>
      <c r="RLZ154" s="72"/>
      <c r="RMA154" s="72"/>
      <c r="RMB154" s="72"/>
      <c r="RMC154" s="72"/>
      <c r="RMD154" s="72"/>
      <c r="RME154" s="72"/>
      <c r="RMF154" s="72"/>
      <c r="RMG154" s="72"/>
      <c r="RMH154" s="72"/>
      <c r="RMI154" s="72"/>
      <c r="RMJ154" s="72"/>
      <c r="RMK154" s="72"/>
      <c r="RML154" s="72"/>
      <c r="RMM154" s="72"/>
      <c r="RMN154" s="72"/>
      <c r="RMO154" s="72"/>
      <c r="RMP154" s="72"/>
      <c r="RMQ154" s="72"/>
      <c r="RMR154" s="72"/>
      <c r="RMS154" s="72"/>
      <c r="RMT154" s="72"/>
      <c r="RMU154" s="72"/>
      <c r="RMV154" s="72"/>
      <c r="RMW154" s="72"/>
      <c r="RMX154" s="72"/>
      <c r="RMY154" s="72"/>
      <c r="RMZ154" s="72"/>
      <c r="RNA154" s="72"/>
      <c r="RNB154" s="72"/>
      <c r="RNC154" s="72"/>
      <c r="RND154" s="72"/>
      <c r="RNE154" s="72"/>
      <c r="RNF154" s="72"/>
      <c r="RNG154" s="72"/>
      <c r="RNH154" s="72"/>
      <c r="RNI154" s="72"/>
      <c r="RNJ154" s="72"/>
      <c r="RNK154" s="72"/>
      <c r="RNL154" s="72"/>
      <c r="RNM154" s="72"/>
      <c r="RNN154" s="72"/>
      <c r="RNO154" s="72"/>
      <c r="RNP154" s="72"/>
      <c r="RNQ154" s="72"/>
      <c r="RNR154" s="72"/>
      <c r="RNS154" s="72"/>
      <c r="RNT154" s="72"/>
      <c r="RNU154" s="72"/>
      <c r="RNV154" s="72"/>
      <c r="RNW154" s="72"/>
      <c r="RNX154" s="72"/>
      <c r="RNY154" s="72"/>
      <c r="RNZ154" s="72"/>
      <c r="ROA154" s="72"/>
      <c r="ROB154" s="72"/>
      <c r="ROC154" s="72"/>
      <c r="ROD154" s="72"/>
      <c r="ROE154" s="72"/>
      <c r="ROF154" s="72"/>
      <c r="ROG154" s="72"/>
      <c r="ROH154" s="72"/>
      <c r="ROI154" s="72"/>
      <c r="ROJ154" s="72"/>
      <c r="ROK154" s="72"/>
      <c r="ROL154" s="72"/>
      <c r="ROM154" s="72"/>
      <c r="RON154" s="72"/>
      <c r="ROO154" s="72"/>
      <c r="ROP154" s="72"/>
      <c r="ROQ154" s="72"/>
      <c r="ROR154" s="72"/>
      <c r="ROS154" s="72"/>
      <c r="ROT154" s="72"/>
      <c r="ROU154" s="72"/>
      <c r="ROV154" s="72"/>
      <c r="ROW154" s="72"/>
      <c r="ROX154" s="72"/>
      <c r="ROY154" s="72"/>
      <c r="ROZ154" s="72"/>
      <c r="RPA154" s="72"/>
      <c r="RPB154" s="72"/>
      <c r="RPC154" s="72"/>
      <c r="RPD154" s="72"/>
      <c r="RPE154" s="72"/>
      <c r="RPF154" s="72"/>
      <c r="RPG154" s="72"/>
      <c r="RPH154" s="72"/>
      <c r="RPI154" s="72"/>
      <c r="RPJ154" s="72"/>
      <c r="RPK154" s="72"/>
      <c r="RPL154" s="72"/>
      <c r="RPM154" s="72"/>
      <c r="RPN154" s="72"/>
      <c r="RPO154" s="72"/>
      <c r="RPP154" s="72"/>
      <c r="RPQ154" s="72"/>
      <c r="RPR154" s="72"/>
      <c r="RPS154" s="72"/>
      <c r="RPT154" s="72"/>
      <c r="RPU154" s="72"/>
      <c r="RPV154" s="72"/>
      <c r="RPW154" s="72"/>
      <c r="RPX154" s="72"/>
      <c r="RPY154" s="72"/>
      <c r="RPZ154" s="72"/>
      <c r="RQA154" s="72"/>
      <c r="RQB154" s="72"/>
      <c r="RQC154" s="72"/>
      <c r="RQD154" s="72"/>
      <c r="RQE154" s="72"/>
      <c r="RQF154" s="72"/>
      <c r="RQG154" s="72"/>
      <c r="RQH154" s="72"/>
      <c r="RQI154" s="72"/>
      <c r="RQJ154" s="72"/>
      <c r="RQK154" s="72"/>
      <c r="RQL154" s="72"/>
      <c r="RQM154" s="72"/>
      <c r="RQN154" s="72"/>
      <c r="RQO154" s="72"/>
      <c r="RQP154" s="72"/>
      <c r="RQQ154" s="72"/>
      <c r="RQR154" s="72"/>
      <c r="RQS154" s="72"/>
      <c r="RQT154" s="72"/>
      <c r="RQU154" s="72"/>
      <c r="RQV154" s="72"/>
      <c r="RQW154" s="72"/>
      <c r="RQX154" s="72"/>
      <c r="RQY154" s="72"/>
      <c r="RQZ154" s="72"/>
      <c r="RRA154" s="72"/>
      <c r="RRB154" s="72"/>
      <c r="RRC154" s="72"/>
      <c r="RRD154" s="72"/>
      <c r="RRE154" s="72"/>
      <c r="RRF154" s="72"/>
      <c r="RRG154" s="72"/>
      <c r="RRH154" s="72"/>
      <c r="RRI154" s="72"/>
      <c r="RRJ154" s="72"/>
      <c r="RRK154" s="72"/>
      <c r="RRL154" s="72"/>
      <c r="RRM154" s="72"/>
      <c r="RRN154" s="72"/>
      <c r="RRO154" s="72"/>
      <c r="RRP154" s="72"/>
      <c r="RRQ154" s="72"/>
      <c r="RRR154" s="72"/>
      <c r="RRS154" s="72"/>
      <c r="RRT154" s="72"/>
      <c r="RRU154" s="72"/>
      <c r="RRV154" s="72"/>
      <c r="RRW154" s="72"/>
      <c r="RRX154" s="72"/>
      <c r="RRY154" s="72"/>
      <c r="RRZ154" s="72"/>
      <c r="RSA154" s="72"/>
      <c r="RSB154" s="72"/>
      <c r="RSC154" s="72"/>
      <c r="RSD154" s="72"/>
      <c r="RSE154" s="72"/>
      <c r="RSF154" s="72"/>
      <c r="RSG154" s="72"/>
      <c r="RSH154" s="72"/>
      <c r="RSI154" s="72"/>
      <c r="RSJ154" s="72"/>
      <c r="RSK154" s="72"/>
      <c r="RSL154" s="72"/>
      <c r="RSM154" s="72"/>
      <c r="RSN154" s="72"/>
      <c r="RSO154" s="72"/>
      <c r="RSP154" s="72"/>
      <c r="RSQ154" s="72"/>
      <c r="RSR154" s="72"/>
      <c r="RSS154" s="72"/>
      <c r="RST154" s="72"/>
      <c r="RSU154" s="72"/>
      <c r="RSV154" s="72"/>
      <c r="RSW154" s="72"/>
      <c r="RSX154" s="72"/>
      <c r="RSY154" s="72"/>
      <c r="RSZ154" s="72"/>
      <c r="RTA154" s="72"/>
      <c r="RTB154" s="72"/>
      <c r="RTC154" s="72"/>
      <c r="RTD154" s="72"/>
      <c r="RTE154" s="72"/>
      <c r="RTF154" s="72"/>
      <c r="RTG154" s="72"/>
      <c r="RTH154" s="72"/>
      <c r="RTI154" s="72"/>
      <c r="RTJ154" s="72"/>
      <c r="RTK154" s="72"/>
      <c r="RTL154" s="72"/>
      <c r="RTM154" s="72"/>
      <c r="RTN154" s="72"/>
      <c r="RTO154" s="72"/>
      <c r="RTP154" s="72"/>
      <c r="RTQ154" s="72"/>
      <c r="RTR154" s="72"/>
      <c r="RTS154" s="72"/>
      <c r="RTT154" s="72"/>
      <c r="RTU154" s="72"/>
      <c r="RTV154" s="72"/>
      <c r="RTW154" s="72"/>
      <c r="RTX154" s="72"/>
      <c r="RTY154" s="72"/>
      <c r="RTZ154" s="72"/>
      <c r="RUA154" s="72"/>
      <c r="RUB154" s="72"/>
      <c r="RUC154" s="72"/>
      <c r="RUD154" s="72"/>
      <c r="RUE154" s="72"/>
      <c r="RUF154" s="72"/>
      <c r="RUG154" s="72"/>
      <c r="RUH154" s="72"/>
      <c r="RUI154" s="72"/>
      <c r="RUJ154" s="72"/>
      <c r="RUK154" s="72"/>
      <c r="RUL154" s="72"/>
      <c r="RUM154" s="72"/>
      <c r="RUN154" s="72"/>
      <c r="RUO154" s="72"/>
      <c r="RUP154" s="72"/>
      <c r="RUQ154" s="72"/>
      <c r="RUR154" s="72"/>
      <c r="RUS154" s="72"/>
      <c r="RUT154" s="72"/>
      <c r="RUU154" s="72"/>
      <c r="RUV154" s="72"/>
      <c r="RUW154" s="72"/>
      <c r="RUX154" s="72"/>
      <c r="RUY154" s="72"/>
      <c r="RUZ154" s="72"/>
      <c r="RVA154" s="72"/>
      <c r="RVB154" s="72"/>
      <c r="RVC154" s="72"/>
      <c r="RVD154" s="72"/>
      <c r="RVE154" s="72"/>
      <c r="RVF154" s="72"/>
      <c r="RVG154" s="72"/>
      <c r="RVH154" s="72"/>
      <c r="RVI154" s="72"/>
      <c r="RVJ154" s="72"/>
      <c r="RVK154" s="72"/>
      <c r="RVL154" s="72"/>
      <c r="RVM154" s="72"/>
      <c r="RVN154" s="72"/>
      <c r="RVO154" s="72"/>
      <c r="RVP154" s="72"/>
      <c r="RVQ154" s="72"/>
      <c r="RVR154" s="72"/>
      <c r="RVS154" s="72"/>
      <c r="RVT154" s="72"/>
      <c r="RVU154" s="72"/>
      <c r="RVV154" s="72"/>
      <c r="RVW154" s="72"/>
      <c r="RVX154" s="72"/>
      <c r="RVY154" s="72"/>
      <c r="RVZ154" s="72"/>
      <c r="RWA154" s="72"/>
      <c r="RWB154" s="72"/>
      <c r="RWC154" s="72"/>
      <c r="RWD154" s="72"/>
      <c r="RWE154" s="72"/>
      <c r="RWF154" s="72"/>
      <c r="RWG154" s="72"/>
      <c r="RWH154" s="72"/>
      <c r="RWI154" s="72"/>
      <c r="RWJ154" s="72"/>
      <c r="RWK154" s="72"/>
      <c r="RWL154" s="72"/>
      <c r="RWM154" s="72"/>
      <c r="RWN154" s="72"/>
      <c r="RWO154" s="72"/>
      <c r="RWP154" s="72"/>
      <c r="RWQ154" s="72"/>
      <c r="RWR154" s="72"/>
      <c r="RWS154" s="72"/>
      <c r="RWT154" s="72"/>
      <c r="RWU154" s="72"/>
      <c r="RWV154" s="72"/>
      <c r="RWW154" s="72"/>
      <c r="RWX154" s="72"/>
      <c r="RWY154" s="72"/>
      <c r="RWZ154" s="72"/>
      <c r="RXA154" s="72"/>
      <c r="RXB154" s="72"/>
      <c r="RXC154" s="72"/>
      <c r="RXD154" s="72"/>
      <c r="RXE154" s="72"/>
      <c r="RXF154" s="72"/>
      <c r="RXG154" s="72"/>
      <c r="RXH154" s="72"/>
      <c r="RXI154" s="72"/>
      <c r="RXJ154" s="72"/>
      <c r="RXK154" s="72"/>
      <c r="RXL154" s="72"/>
      <c r="RXM154" s="72"/>
      <c r="RXN154" s="72"/>
      <c r="RXO154" s="72"/>
      <c r="RXP154" s="72"/>
      <c r="RXQ154" s="72"/>
      <c r="RXR154" s="72"/>
      <c r="RXS154" s="72"/>
      <c r="RXT154" s="72"/>
      <c r="RXU154" s="72"/>
      <c r="RXV154" s="72"/>
      <c r="RXW154" s="72"/>
      <c r="RXX154" s="72"/>
      <c r="RXY154" s="72"/>
      <c r="RXZ154" s="72"/>
      <c r="RYA154" s="72"/>
      <c r="RYB154" s="72"/>
      <c r="RYC154" s="72"/>
      <c r="RYD154" s="72"/>
      <c r="RYE154" s="72"/>
      <c r="RYF154" s="72"/>
      <c r="RYG154" s="72"/>
      <c r="RYH154" s="72"/>
      <c r="RYI154" s="72"/>
      <c r="RYJ154" s="72"/>
      <c r="RYK154" s="72"/>
      <c r="RYL154" s="72"/>
      <c r="RYM154" s="72"/>
      <c r="RYN154" s="72"/>
      <c r="RYO154" s="72"/>
      <c r="RYP154" s="72"/>
      <c r="RYQ154" s="72"/>
      <c r="RYR154" s="72"/>
      <c r="RYS154" s="72"/>
      <c r="RYT154" s="72"/>
      <c r="RYU154" s="72"/>
      <c r="RYV154" s="72"/>
      <c r="RYW154" s="72"/>
      <c r="RYX154" s="72"/>
      <c r="RYY154" s="72"/>
      <c r="RYZ154" s="72"/>
      <c r="RZA154" s="72"/>
      <c r="RZB154" s="72"/>
      <c r="RZC154" s="72"/>
      <c r="RZD154" s="72"/>
      <c r="RZE154" s="72"/>
      <c r="RZF154" s="72"/>
      <c r="RZG154" s="72"/>
      <c r="RZH154" s="72"/>
      <c r="RZI154" s="72"/>
      <c r="RZJ154" s="72"/>
      <c r="RZK154" s="72"/>
      <c r="RZL154" s="72"/>
      <c r="RZM154" s="72"/>
      <c r="RZN154" s="72"/>
      <c r="RZO154" s="72"/>
      <c r="RZP154" s="72"/>
      <c r="RZQ154" s="72"/>
      <c r="RZR154" s="72"/>
      <c r="RZS154" s="72"/>
      <c r="RZT154" s="72"/>
      <c r="RZU154" s="72"/>
      <c r="RZV154" s="72"/>
      <c r="RZW154" s="72"/>
      <c r="RZX154" s="72"/>
      <c r="RZY154" s="72"/>
      <c r="RZZ154" s="72"/>
      <c r="SAA154" s="72"/>
      <c r="SAB154" s="72"/>
      <c r="SAC154" s="72"/>
      <c r="SAD154" s="72"/>
      <c r="SAE154" s="72"/>
      <c r="SAF154" s="72"/>
      <c r="SAG154" s="72"/>
      <c r="SAH154" s="72"/>
      <c r="SAI154" s="72"/>
      <c r="SAJ154" s="72"/>
      <c r="SAK154" s="72"/>
      <c r="SAL154" s="72"/>
      <c r="SAM154" s="72"/>
      <c r="SAN154" s="72"/>
      <c r="SAO154" s="72"/>
      <c r="SAP154" s="72"/>
      <c r="SAQ154" s="72"/>
      <c r="SAR154" s="72"/>
      <c r="SAS154" s="72"/>
      <c r="SAT154" s="72"/>
      <c r="SAU154" s="72"/>
      <c r="SAV154" s="72"/>
      <c r="SAW154" s="72"/>
      <c r="SAX154" s="72"/>
      <c r="SAY154" s="72"/>
      <c r="SAZ154" s="72"/>
      <c r="SBA154" s="72"/>
      <c r="SBB154" s="72"/>
      <c r="SBC154" s="72"/>
      <c r="SBD154" s="72"/>
      <c r="SBE154" s="72"/>
      <c r="SBF154" s="72"/>
      <c r="SBG154" s="72"/>
      <c r="SBH154" s="72"/>
      <c r="SBI154" s="72"/>
      <c r="SBJ154" s="72"/>
      <c r="SBK154" s="72"/>
      <c r="SBL154" s="72"/>
      <c r="SBM154" s="72"/>
      <c r="SBN154" s="72"/>
      <c r="SBO154" s="72"/>
      <c r="SBP154" s="72"/>
      <c r="SBQ154" s="72"/>
      <c r="SBR154" s="72"/>
      <c r="SBS154" s="72"/>
      <c r="SBT154" s="72"/>
      <c r="SBU154" s="72"/>
      <c r="SBV154" s="72"/>
      <c r="SBW154" s="72"/>
      <c r="SBX154" s="72"/>
      <c r="SBY154" s="72"/>
      <c r="SBZ154" s="72"/>
      <c r="SCA154" s="72"/>
      <c r="SCB154" s="72"/>
      <c r="SCC154" s="72"/>
      <c r="SCD154" s="72"/>
      <c r="SCE154" s="72"/>
      <c r="SCF154" s="72"/>
      <c r="SCG154" s="72"/>
      <c r="SCH154" s="72"/>
      <c r="SCI154" s="72"/>
      <c r="SCJ154" s="72"/>
      <c r="SCK154" s="72"/>
      <c r="SCL154" s="72"/>
      <c r="SCM154" s="72"/>
      <c r="SCN154" s="72"/>
      <c r="SCO154" s="72"/>
      <c r="SCP154" s="72"/>
      <c r="SCQ154" s="72"/>
      <c r="SCR154" s="72"/>
      <c r="SCS154" s="72"/>
      <c r="SCT154" s="72"/>
      <c r="SCU154" s="72"/>
      <c r="SCV154" s="72"/>
      <c r="SCW154" s="72"/>
      <c r="SCX154" s="72"/>
      <c r="SCY154" s="72"/>
      <c r="SCZ154" s="72"/>
      <c r="SDA154" s="72"/>
      <c r="SDB154" s="72"/>
      <c r="SDC154" s="72"/>
      <c r="SDD154" s="72"/>
      <c r="SDE154" s="72"/>
      <c r="SDF154" s="72"/>
      <c r="SDG154" s="72"/>
      <c r="SDH154" s="72"/>
      <c r="SDI154" s="72"/>
      <c r="SDJ154" s="72"/>
      <c r="SDK154" s="72"/>
      <c r="SDL154" s="72"/>
      <c r="SDM154" s="72"/>
      <c r="SDN154" s="72"/>
      <c r="SDO154" s="72"/>
      <c r="SDP154" s="72"/>
      <c r="SDQ154" s="72"/>
      <c r="SDR154" s="72"/>
      <c r="SDS154" s="72"/>
      <c r="SDT154" s="72"/>
      <c r="SDU154" s="72"/>
      <c r="SDV154" s="72"/>
      <c r="SDW154" s="72"/>
      <c r="SDX154" s="72"/>
      <c r="SDY154" s="72"/>
      <c r="SDZ154" s="72"/>
      <c r="SEA154" s="72"/>
      <c r="SEB154" s="72"/>
      <c r="SEC154" s="72"/>
      <c r="SED154" s="72"/>
      <c r="SEE154" s="72"/>
      <c r="SEF154" s="72"/>
      <c r="SEG154" s="72"/>
      <c r="SEH154" s="72"/>
      <c r="SEI154" s="72"/>
      <c r="SEJ154" s="72"/>
      <c r="SEK154" s="72"/>
      <c r="SEL154" s="72"/>
      <c r="SEM154" s="72"/>
      <c r="SEN154" s="72"/>
      <c r="SEO154" s="72"/>
      <c r="SEP154" s="72"/>
      <c r="SEQ154" s="72"/>
      <c r="SER154" s="72"/>
      <c r="SES154" s="72"/>
      <c r="SET154" s="72"/>
      <c r="SEU154" s="72"/>
      <c r="SEV154" s="72"/>
      <c r="SEW154" s="72"/>
      <c r="SEX154" s="72"/>
      <c r="SEY154" s="72"/>
      <c r="SEZ154" s="72"/>
      <c r="SFA154" s="72"/>
      <c r="SFB154" s="72"/>
      <c r="SFC154" s="72"/>
      <c r="SFD154" s="72"/>
      <c r="SFE154" s="72"/>
      <c r="SFF154" s="72"/>
      <c r="SFG154" s="72"/>
      <c r="SFH154" s="72"/>
      <c r="SFI154" s="72"/>
      <c r="SFJ154" s="72"/>
      <c r="SFK154" s="72"/>
      <c r="SFL154" s="72"/>
      <c r="SFM154" s="72"/>
      <c r="SFN154" s="72"/>
      <c r="SFO154" s="72"/>
      <c r="SFP154" s="72"/>
      <c r="SFQ154" s="72"/>
      <c r="SFR154" s="72"/>
      <c r="SFS154" s="72"/>
      <c r="SFT154" s="72"/>
      <c r="SFU154" s="72"/>
      <c r="SFV154" s="72"/>
      <c r="SFW154" s="72"/>
      <c r="SFX154" s="72"/>
      <c r="SFY154" s="72"/>
      <c r="SFZ154" s="72"/>
      <c r="SGA154" s="72"/>
      <c r="SGB154" s="72"/>
      <c r="SGC154" s="72"/>
      <c r="SGD154" s="72"/>
      <c r="SGE154" s="72"/>
      <c r="SGF154" s="72"/>
      <c r="SGG154" s="72"/>
      <c r="SGH154" s="72"/>
      <c r="SGI154" s="72"/>
      <c r="SGJ154" s="72"/>
      <c r="SGK154" s="72"/>
      <c r="SGL154" s="72"/>
      <c r="SGM154" s="72"/>
      <c r="SGN154" s="72"/>
      <c r="SGO154" s="72"/>
      <c r="SGP154" s="72"/>
      <c r="SGQ154" s="72"/>
      <c r="SGR154" s="72"/>
      <c r="SGS154" s="72"/>
      <c r="SGT154" s="72"/>
      <c r="SGU154" s="72"/>
      <c r="SGV154" s="72"/>
      <c r="SGW154" s="72"/>
      <c r="SGX154" s="72"/>
      <c r="SGY154" s="72"/>
      <c r="SGZ154" s="72"/>
      <c r="SHA154" s="72"/>
      <c r="SHB154" s="72"/>
      <c r="SHC154" s="72"/>
      <c r="SHD154" s="72"/>
      <c r="SHE154" s="72"/>
      <c r="SHF154" s="72"/>
      <c r="SHG154" s="72"/>
      <c r="SHH154" s="72"/>
      <c r="SHI154" s="72"/>
      <c r="SHJ154" s="72"/>
      <c r="SHK154" s="72"/>
      <c r="SHL154" s="72"/>
      <c r="SHM154" s="72"/>
      <c r="SHN154" s="72"/>
      <c r="SHO154" s="72"/>
      <c r="SHP154" s="72"/>
      <c r="SHQ154" s="72"/>
      <c r="SHR154" s="72"/>
      <c r="SHS154" s="72"/>
      <c r="SHT154" s="72"/>
      <c r="SHU154" s="72"/>
      <c r="SHV154" s="72"/>
      <c r="SHW154" s="72"/>
      <c r="SHX154" s="72"/>
      <c r="SHY154" s="72"/>
      <c r="SHZ154" s="72"/>
      <c r="SIA154" s="72"/>
      <c r="SIB154" s="72"/>
      <c r="SIC154" s="72"/>
      <c r="SID154" s="72"/>
      <c r="SIE154" s="72"/>
      <c r="SIF154" s="72"/>
      <c r="SIG154" s="72"/>
      <c r="SIH154" s="72"/>
      <c r="SII154" s="72"/>
      <c r="SIJ154" s="72"/>
      <c r="SIK154" s="72"/>
      <c r="SIL154" s="72"/>
      <c r="SIM154" s="72"/>
      <c r="SIN154" s="72"/>
      <c r="SIO154" s="72"/>
      <c r="SIP154" s="72"/>
      <c r="SIQ154" s="72"/>
      <c r="SIR154" s="72"/>
      <c r="SIS154" s="72"/>
      <c r="SIT154" s="72"/>
      <c r="SIU154" s="72"/>
      <c r="SIV154" s="72"/>
      <c r="SIW154" s="72"/>
      <c r="SIX154" s="72"/>
      <c r="SIY154" s="72"/>
      <c r="SIZ154" s="72"/>
      <c r="SJA154" s="72"/>
      <c r="SJB154" s="72"/>
      <c r="SJC154" s="72"/>
      <c r="SJD154" s="72"/>
      <c r="SJE154" s="72"/>
      <c r="SJF154" s="72"/>
      <c r="SJG154" s="72"/>
      <c r="SJH154" s="72"/>
      <c r="SJI154" s="72"/>
      <c r="SJJ154" s="72"/>
      <c r="SJK154" s="72"/>
      <c r="SJL154" s="72"/>
      <c r="SJM154" s="72"/>
      <c r="SJN154" s="72"/>
      <c r="SJO154" s="72"/>
      <c r="SJP154" s="72"/>
      <c r="SJQ154" s="72"/>
      <c r="SJR154" s="72"/>
      <c r="SJS154" s="72"/>
      <c r="SJT154" s="72"/>
      <c r="SJU154" s="72"/>
      <c r="SJV154" s="72"/>
      <c r="SJW154" s="72"/>
      <c r="SJX154" s="72"/>
      <c r="SJY154" s="72"/>
      <c r="SJZ154" s="72"/>
      <c r="SKA154" s="72"/>
      <c r="SKB154" s="72"/>
      <c r="SKC154" s="72"/>
      <c r="SKD154" s="72"/>
      <c r="SKE154" s="72"/>
      <c r="SKF154" s="72"/>
      <c r="SKG154" s="72"/>
      <c r="SKH154" s="72"/>
      <c r="SKI154" s="72"/>
      <c r="SKJ154" s="72"/>
      <c r="SKK154" s="72"/>
      <c r="SKL154" s="72"/>
      <c r="SKM154" s="72"/>
      <c r="SKN154" s="72"/>
      <c r="SKO154" s="72"/>
      <c r="SKP154" s="72"/>
      <c r="SKQ154" s="72"/>
      <c r="SKR154" s="72"/>
      <c r="SKS154" s="72"/>
      <c r="SKT154" s="72"/>
      <c r="SKU154" s="72"/>
      <c r="SKV154" s="72"/>
      <c r="SKW154" s="72"/>
      <c r="SKX154" s="72"/>
      <c r="SKY154" s="72"/>
      <c r="SKZ154" s="72"/>
      <c r="SLA154" s="72"/>
      <c r="SLB154" s="72"/>
      <c r="SLC154" s="72"/>
      <c r="SLD154" s="72"/>
      <c r="SLE154" s="72"/>
      <c r="SLF154" s="72"/>
      <c r="SLG154" s="72"/>
      <c r="SLH154" s="72"/>
      <c r="SLI154" s="72"/>
      <c r="SLJ154" s="72"/>
      <c r="SLK154" s="72"/>
      <c r="SLL154" s="72"/>
      <c r="SLM154" s="72"/>
      <c r="SLN154" s="72"/>
      <c r="SLO154" s="72"/>
      <c r="SLP154" s="72"/>
      <c r="SLQ154" s="72"/>
      <c r="SLR154" s="72"/>
      <c r="SLS154" s="72"/>
      <c r="SLT154" s="72"/>
      <c r="SLU154" s="72"/>
      <c r="SLV154" s="72"/>
      <c r="SLW154" s="72"/>
      <c r="SLX154" s="72"/>
      <c r="SLY154" s="72"/>
      <c r="SLZ154" s="72"/>
      <c r="SMA154" s="72"/>
      <c r="SMB154" s="72"/>
      <c r="SMC154" s="72"/>
      <c r="SMD154" s="72"/>
      <c r="SME154" s="72"/>
      <c r="SMF154" s="72"/>
      <c r="SMG154" s="72"/>
      <c r="SMH154" s="72"/>
      <c r="SMI154" s="72"/>
      <c r="SMJ154" s="72"/>
      <c r="SMK154" s="72"/>
      <c r="SML154" s="72"/>
      <c r="SMM154" s="72"/>
      <c r="SMN154" s="72"/>
      <c r="SMO154" s="72"/>
      <c r="SMP154" s="72"/>
      <c r="SMQ154" s="72"/>
      <c r="SMR154" s="72"/>
      <c r="SMS154" s="72"/>
      <c r="SMT154" s="72"/>
      <c r="SMU154" s="72"/>
      <c r="SMV154" s="72"/>
      <c r="SMW154" s="72"/>
      <c r="SMX154" s="72"/>
      <c r="SMY154" s="72"/>
      <c r="SMZ154" s="72"/>
      <c r="SNA154" s="72"/>
      <c r="SNB154" s="72"/>
      <c r="SNC154" s="72"/>
      <c r="SND154" s="72"/>
      <c r="SNE154" s="72"/>
      <c r="SNF154" s="72"/>
      <c r="SNG154" s="72"/>
      <c r="SNH154" s="72"/>
      <c r="SNI154" s="72"/>
      <c r="SNJ154" s="72"/>
      <c r="SNK154" s="72"/>
      <c r="SNL154" s="72"/>
      <c r="SNM154" s="72"/>
      <c r="SNN154" s="72"/>
      <c r="SNO154" s="72"/>
      <c r="SNP154" s="72"/>
      <c r="SNQ154" s="72"/>
      <c r="SNR154" s="72"/>
      <c r="SNS154" s="72"/>
      <c r="SNT154" s="72"/>
      <c r="SNU154" s="72"/>
      <c r="SNV154" s="72"/>
      <c r="SNW154" s="72"/>
      <c r="SNX154" s="72"/>
      <c r="SNY154" s="72"/>
      <c r="SNZ154" s="72"/>
      <c r="SOA154" s="72"/>
      <c r="SOB154" s="72"/>
      <c r="SOC154" s="72"/>
      <c r="SOD154" s="72"/>
      <c r="SOE154" s="72"/>
      <c r="SOF154" s="72"/>
      <c r="SOG154" s="72"/>
      <c r="SOH154" s="72"/>
      <c r="SOI154" s="72"/>
      <c r="SOJ154" s="72"/>
      <c r="SOK154" s="72"/>
      <c r="SOL154" s="72"/>
      <c r="SOM154" s="72"/>
      <c r="SON154" s="72"/>
      <c r="SOO154" s="72"/>
      <c r="SOP154" s="72"/>
      <c r="SOQ154" s="72"/>
      <c r="SOR154" s="72"/>
      <c r="SOS154" s="72"/>
      <c r="SOT154" s="72"/>
      <c r="SOU154" s="72"/>
      <c r="SOV154" s="72"/>
      <c r="SOW154" s="72"/>
      <c r="SOX154" s="72"/>
      <c r="SOY154" s="72"/>
      <c r="SOZ154" s="72"/>
      <c r="SPA154" s="72"/>
      <c r="SPB154" s="72"/>
      <c r="SPC154" s="72"/>
      <c r="SPD154" s="72"/>
      <c r="SPE154" s="72"/>
      <c r="SPF154" s="72"/>
      <c r="SPG154" s="72"/>
      <c r="SPH154" s="72"/>
      <c r="SPI154" s="72"/>
      <c r="SPJ154" s="72"/>
      <c r="SPK154" s="72"/>
      <c r="SPL154" s="72"/>
      <c r="SPM154" s="72"/>
      <c r="SPN154" s="72"/>
      <c r="SPO154" s="72"/>
      <c r="SPP154" s="72"/>
      <c r="SPQ154" s="72"/>
      <c r="SPR154" s="72"/>
      <c r="SPS154" s="72"/>
      <c r="SPT154" s="72"/>
      <c r="SPU154" s="72"/>
      <c r="SPV154" s="72"/>
      <c r="SPW154" s="72"/>
      <c r="SPX154" s="72"/>
      <c r="SPY154" s="72"/>
      <c r="SPZ154" s="72"/>
      <c r="SQA154" s="72"/>
      <c r="SQB154" s="72"/>
      <c r="SQC154" s="72"/>
      <c r="SQD154" s="72"/>
      <c r="SQE154" s="72"/>
      <c r="SQF154" s="72"/>
      <c r="SQG154" s="72"/>
      <c r="SQH154" s="72"/>
      <c r="SQI154" s="72"/>
      <c r="SQJ154" s="72"/>
      <c r="SQK154" s="72"/>
      <c r="SQL154" s="72"/>
      <c r="SQM154" s="72"/>
      <c r="SQN154" s="72"/>
      <c r="SQO154" s="72"/>
      <c r="SQP154" s="72"/>
      <c r="SQQ154" s="72"/>
      <c r="SQR154" s="72"/>
      <c r="SQS154" s="72"/>
      <c r="SQT154" s="72"/>
      <c r="SQU154" s="72"/>
      <c r="SQV154" s="72"/>
      <c r="SQW154" s="72"/>
      <c r="SQX154" s="72"/>
      <c r="SQY154" s="72"/>
      <c r="SQZ154" s="72"/>
      <c r="SRA154" s="72"/>
      <c r="SRB154" s="72"/>
      <c r="SRC154" s="72"/>
      <c r="SRD154" s="72"/>
      <c r="SRE154" s="72"/>
      <c r="SRF154" s="72"/>
      <c r="SRG154" s="72"/>
      <c r="SRH154" s="72"/>
      <c r="SRI154" s="72"/>
      <c r="SRJ154" s="72"/>
      <c r="SRK154" s="72"/>
      <c r="SRL154" s="72"/>
      <c r="SRM154" s="72"/>
      <c r="SRN154" s="72"/>
      <c r="SRO154" s="72"/>
      <c r="SRP154" s="72"/>
      <c r="SRQ154" s="72"/>
      <c r="SRR154" s="72"/>
      <c r="SRS154" s="72"/>
      <c r="SRT154" s="72"/>
      <c r="SRU154" s="72"/>
      <c r="SRV154" s="72"/>
      <c r="SRW154" s="72"/>
      <c r="SRX154" s="72"/>
      <c r="SRY154" s="72"/>
      <c r="SRZ154" s="72"/>
      <c r="SSA154" s="72"/>
      <c r="SSB154" s="72"/>
      <c r="SSC154" s="72"/>
      <c r="SSD154" s="72"/>
      <c r="SSE154" s="72"/>
      <c r="SSF154" s="72"/>
      <c r="SSG154" s="72"/>
      <c r="SSH154" s="72"/>
      <c r="SSI154" s="72"/>
      <c r="SSJ154" s="72"/>
      <c r="SSK154" s="72"/>
      <c r="SSL154" s="72"/>
      <c r="SSM154" s="72"/>
      <c r="SSN154" s="72"/>
      <c r="SSO154" s="72"/>
      <c r="SSP154" s="72"/>
      <c r="SSQ154" s="72"/>
      <c r="SSR154" s="72"/>
      <c r="SSS154" s="72"/>
      <c r="SST154" s="72"/>
      <c r="SSU154" s="72"/>
      <c r="SSV154" s="72"/>
      <c r="SSW154" s="72"/>
      <c r="SSX154" s="72"/>
      <c r="SSY154" s="72"/>
      <c r="SSZ154" s="72"/>
      <c r="STA154" s="72"/>
      <c r="STB154" s="72"/>
      <c r="STC154" s="72"/>
      <c r="STD154" s="72"/>
      <c r="STE154" s="72"/>
      <c r="STF154" s="72"/>
      <c r="STG154" s="72"/>
      <c r="STH154" s="72"/>
      <c r="STI154" s="72"/>
      <c r="STJ154" s="72"/>
      <c r="STK154" s="72"/>
      <c r="STL154" s="72"/>
      <c r="STM154" s="72"/>
      <c r="STN154" s="72"/>
      <c r="STO154" s="72"/>
      <c r="STP154" s="72"/>
      <c r="STQ154" s="72"/>
      <c r="STR154" s="72"/>
      <c r="STS154" s="72"/>
      <c r="STT154" s="72"/>
      <c r="STU154" s="72"/>
      <c r="STV154" s="72"/>
      <c r="STW154" s="72"/>
      <c r="STX154" s="72"/>
      <c r="STY154" s="72"/>
      <c r="STZ154" s="72"/>
      <c r="SUA154" s="72"/>
      <c r="SUB154" s="72"/>
      <c r="SUC154" s="72"/>
      <c r="SUD154" s="72"/>
      <c r="SUE154" s="72"/>
      <c r="SUF154" s="72"/>
      <c r="SUG154" s="72"/>
      <c r="SUH154" s="72"/>
      <c r="SUI154" s="72"/>
      <c r="SUJ154" s="72"/>
      <c r="SUK154" s="72"/>
      <c r="SUL154" s="72"/>
      <c r="SUM154" s="72"/>
      <c r="SUN154" s="72"/>
      <c r="SUO154" s="72"/>
      <c r="SUP154" s="72"/>
      <c r="SUQ154" s="72"/>
      <c r="SUR154" s="72"/>
      <c r="SUS154" s="72"/>
      <c r="SUT154" s="72"/>
      <c r="SUU154" s="72"/>
      <c r="SUV154" s="72"/>
      <c r="SUW154" s="72"/>
      <c r="SUX154" s="72"/>
      <c r="SUY154" s="72"/>
      <c r="SUZ154" s="72"/>
      <c r="SVA154" s="72"/>
      <c r="SVB154" s="72"/>
      <c r="SVC154" s="72"/>
      <c r="SVD154" s="72"/>
      <c r="SVE154" s="72"/>
      <c r="SVF154" s="72"/>
      <c r="SVG154" s="72"/>
      <c r="SVH154" s="72"/>
      <c r="SVI154" s="72"/>
      <c r="SVJ154" s="72"/>
      <c r="SVK154" s="72"/>
      <c r="SVL154" s="72"/>
      <c r="SVM154" s="72"/>
      <c r="SVN154" s="72"/>
      <c r="SVO154" s="72"/>
      <c r="SVP154" s="72"/>
      <c r="SVQ154" s="72"/>
      <c r="SVR154" s="72"/>
      <c r="SVS154" s="72"/>
      <c r="SVT154" s="72"/>
      <c r="SVU154" s="72"/>
      <c r="SVV154" s="72"/>
      <c r="SVW154" s="72"/>
      <c r="SVX154" s="72"/>
      <c r="SVY154" s="72"/>
      <c r="SVZ154" s="72"/>
      <c r="SWA154" s="72"/>
      <c r="SWB154" s="72"/>
      <c r="SWC154" s="72"/>
      <c r="SWD154" s="72"/>
      <c r="SWE154" s="72"/>
      <c r="SWF154" s="72"/>
      <c r="SWG154" s="72"/>
      <c r="SWH154" s="72"/>
      <c r="SWI154" s="72"/>
      <c r="SWJ154" s="72"/>
      <c r="SWK154" s="72"/>
      <c r="SWL154" s="72"/>
      <c r="SWM154" s="72"/>
      <c r="SWN154" s="72"/>
      <c r="SWO154" s="72"/>
      <c r="SWP154" s="72"/>
      <c r="SWQ154" s="72"/>
      <c r="SWR154" s="72"/>
      <c r="SWS154" s="72"/>
      <c r="SWT154" s="72"/>
      <c r="SWU154" s="72"/>
      <c r="SWV154" s="72"/>
      <c r="SWW154" s="72"/>
      <c r="SWX154" s="72"/>
      <c r="SWY154" s="72"/>
      <c r="SWZ154" s="72"/>
      <c r="SXA154" s="72"/>
      <c r="SXB154" s="72"/>
      <c r="SXC154" s="72"/>
      <c r="SXD154" s="72"/>
      <c r="SXE154" s="72"/>
      <c r="SXF154" s="72"/>
      <c r="SXG154" s="72"/>
      <c r="SXH154" s="72"/>
      <c r="SXI154" s="72"/>
      <c r="SXJ154" s="72"/>
      <c r="SXK154" s="72"/>
      <c r="SXL154" s="72"/>
      <c r="SXM154" s="72"/>
      <c r="SXN154" s="72"/>
      <c r="SXO154" s="72"/>
      <c r="SXP154" s="72"/>
      <c r="SXQ154" s="72"/>
      <c r="SXR154" s="72"/>
      <c r="SXS154" s="72"/>
      <c r="SXT154" s="72"/>
      <c r="SXU154" s="72"/>
      <c r="SXV154" s="72"/>
      <c r="SXW154" s="72"/>
      <c r="SXX154" s="72"/>
      <c r="SXY154" s="72"/>
      <c r="SXZ154" s="72"/>
      <c r="SYA154" s="72"/>
      <c r="SYB154" s="72"/>
      <c r="SYC154" s="72"/>
      <c r="SYD154" s="72"/>
      <c r="SYE154" s="72"/>
      <c r="SYF154" s="72"/>
      <c r="SYG154" s="72"/>
      <c r="SYH154" s="72"/>
      <c r="SYI154" s="72"/>
      <c r="SYJ154" s="72"/>
      <c r="SYK154" s="72"/>
      <c r="SYL154" s="72"/>
      <c r="SYM154" s="72"/>
      <c r="SYN154" s="72"/>
      <c r="SYO154" s="72"/>
      <c r="SYP154" s="72"/>
      <c r="SYQ154" s="72"/>
      <c r="SYR154" s="72"/>
      <c r="SYS154" s="72"/>
      <c r="SYT154" s="72"/>
      <c r="SYU154" s="72"/>
      <c r="SYV154" s="72"/>
      <c r="SYW154" s="72"/>
      <c r="SYX154" s="72"/>
      <c r="SYY154" s="72"/>
      <c r="SYZ154" s="72"/>
      <c r="SZA154" s="72"/>
      <c r="SZB154" s="72"/>
      <c r="SZC154" s="72"/>
      <c r="SZD154" s="72"/>
      <c r="SZE154" s="72"/>
      <c r="SZF154" s="72"/>
      <c r="SZG154" s="72"/>
      <c r="SZH154" s="72"/>
      <c r="SZI154" s="72"/>
      <c r="SZJ154" s="72"/>
      <c r="SZK154" s="72"/>
      <c r="SZL154" s="72"/>
      <c r="SZM154" s="72"/>
      <c r="SZN154" s="72"/>
      <c r="SZO154" s="72"/>
      <c r="SZP154" s="72"/>
      <c r="SZQ154" s="72"/>
      <c r="SZR154" s="72"/>
      <c r="SZS154" s="72"/>
      <c r="SZT154" s="72"/>
      <c r="SZU154" s="72"/>
      <c r="SZV154" s="72"/>
      <c r="SZW154" s="72"/>
      <c r="SZX154" s="72"/>
      <c r="SZY154" s="72"/>
      <c r="SZZ154" s="72"/>
      <c r="TAA154" s="72"/>
      <c r="TAB154" s="72"/>
      <c r="TAC154" s="72"/>
      <c r="TAD154" s="72"/>
      <c r="TAE154" s="72"/>
      <c r="TAF154" s="72"/>
      <c r="TAG154" s="72"/>
      <c r="TAH154" s="72"/>
      <c r="TAI154" s="72"/>
      <c r="TAJ154" s="72"/>
      <c r="TAK154" s="72"/>
      <c r="TAL154" s="72"/>
      <c r="TAM154" s="72"/>
      <c r="TAN154" s="72"/>
      <c r="TAO154" s="72"/>
      <c r="TAP154" s="72"/>
      <c r="TAQ154" s="72"/>
      <c r="TAR154" s="72"/>
      <c r="TAS154" s="72"/>
      <c r="TAT154" s="72"/>
      <c r="TAU154" s="72"/>
      <c r="TAV154" s="72"/>
      <c r="TAW154" s="72"/>
      <c r="TAX154" s="72"/>
      <c r="TAY154" s="72"/>
      <c r="TAZ154" s="72"/>
      <c r="TBA154" s="72"/>
      <c r="TBB154" s="72"/>
      <c r="TBC154" s="72"/>
      <c r="TBD154" s="72"/>
      <c r="TBE154" s="72"/>
      <c r="TBF154" s="72"/>
      <c r="TBG154" s="72"/>
      <c r="TBH154" s="72"/>
      <c r="TBI154" s="72"/>
      <c r="TBJ154" s="72"/>
      <c r="TBK154" s="72"/>
      <c r="TBL154" s="72"/>
      <c r="TBM154" s="72"/>
      <c r="TBN154" s="72"/>
      <c r="TBO154" s="72"/>
      <c r="TBP154" s="72"/>
      <c r="TBQ154" s="72"/>
      <c r="TBR154" s="72"/>
      <c r="TBS154" s="72"/>
      <c r="TBT154" s="72"/>
      <c r="TBU154" s="72"/>
      <c r="TBV154" s="72"/>
      <c r="TBW154" s="72"/>
      <c r="TBX154" s="72"/>
      <c r="TBY154" s="72"/>
      <c r="TBZ154" s="72"/>
      <c r="TCA154" s="72"/>
      <c r="TCB154" s="72"/>
      <c r="TCC154" s="72"/>
      <c r="TCD154" s="72"/>
      <c r="TCE154" s="72"/>
      <c r="TCF154" s="72"/>
      <c r="TCG154" s="72"/>
      <c r="TCH154" s="72"/>
      <c r="TCI154" s="72"/>
      <c r="TCJ154" s="72"/>
      <c r="TCK154" s="72"/>
      <c r="TCL154" s="72"/>
      <c r="TCM154" s="72"/>
      <c r="TCN154" s="72"/>
      <c r="TCO154" s="72"/>
      <c r="TCP154" s="72"/>
      <c r="TCQ154" s="72"/>
      <c r="TCR154" s="72"/>
      <c r="TCS154" s="72"/>
      <c r="TCT154" s="72"/>
      <c r="TCU154" s="72"/>
      <c r="TCV154" s="72"/>
      <c r="TCW154" s="72"/>
      <c r="TCX154" s="72"/>
      <c r="TCY154" s="72"/>
      <c r="TCZ154" s="72"/>
      <c r="TDA154" s="72"/>
      <c r="TDB154" s="72"/>
      <c r="TDC154" s="72"/>
      <c r="TDD154" s="72"/>
      <c r="TDE154" s="72"/>
      <c r="TDF154" s="72"/>
      <c r="TDG154" s="72"/>
      <c r="TDH154" s="72"/>
      <c r="TDI154" s="72"/>
      <c r="TDJ154" s="72"/>
      <c r="TDK154" s="72"/>
      <c r="TDL154" s="72"/>
      <c r="TDM154" s="72"/>
      <c r="TDN154" s="72"/>
      <c r="TDO154" s="72"/>
      <c r="TDP154" s="72"/>
      <c r="TDQ154" s="72"/>
      <c r="TDR154" s="72"/>
      <c r="TDS154" s="72"/>
      <c r="TDT154" s="72"/>
      <c r="TDU154" s="72"/>
      <c r="TDV154" s="72"/>
      <c r="TDW154" s="72"/>
      <c r="TDX154" s="72"/>
      <c r="TDY154" s="72"/>
      <c r="TDZ154" s="72"/>
      <c r="TEA154" s="72"/>
      <c r="TEB154" s="72"/>
      <c r="TEC154" s="72"/>
      <c r="TED154" s="72"/>
      <c r="TEE154" s="72"/>
      <c r="TEF154" s="72"/>
      <c r="TEG154" s="72"/>
      <c r="TEH154" s="72"/>
      <c r="TEI154" s="72"/>
      <c r="TEJ154" s="72"/>
      <c r="TEK154" s="72"/>
      <c r="TEL154" s="72"/>
      <c r="TEM154" s="72"/>
      <c r="TEN154" s="72"/>
      <c r="TEO154" s="72"/>
      <c r="TEP154" s="72"/>
      <c r="TEQ154" s="72"/>
      <c r="TER154" s="72"/>
      <c r="TES154" s="72"/>
      <c r="TET154" s="72"/>
      <c r="TEU154" s="72"/>
      <c r="TEV154" s="72"/>
      <c r="TEW154" s="72"/>
      <c r="TEX154" s="72"/>
      <c r="TEY154" s="72"/>
      <c r="TEZ154" s="72"/>
      <c r="TFA154" s="72"/>
      <c r="TFB154" s="72"/>
      <c r="TFC154" s="72"/>
      <c r="TFD154" s="72"/>
      <c r="TFE154" s="72"/>
      <c r="TFF154" s="72"/>
      <c r="TFG154" s="72"/>
      <c r="TFH154" s="72"/>
      <c r="TFI154" s="72"/>
      <c r="TFJ154" s="72"/>
      <c r="TFK154" s="72"/>
      <c r="TFL154" s="72"/>
      <c r="TFM154" s="72"/>
      <c r="TFN154" s="72"/>
      <c r="TFO154" s="72"/>
      <c r="TFP154" s="72"/>
      <c r="TFQ154" s="72"/>
      <c r="TFR154" s="72"/>
      <c r="TFS154" s="72"/>
      <c r="TFT154" s="72"/>
      <c r="TFU154" s="72"/>
      <c r="TFV154" s="72"/>
      <c r="TFW154" s="72"/>
      <c r="TFX154" s="72"/>
      <c r="TFY154" s="72"/>
      <c r="TFZ154" s="72"/>
      <c r="TGA154" s="72"/>
      <c r="TGB154" s="72"/>
      <c r="TGC154" s="72"/>
      <c r="TGD154" s="72"/>
      <c r="TGE154" s="72"/>
      <c r="TGF154" s="72"/>
      <c r="TGG154" s="72"/>
      <c r="TGH154" s="72"/>
      <c r="TGI154" s="72"/>
      <c r="TGJ154" s="72"/>
      <c r="TGK154" s="72"/>
      <c r="TGL154" s="72"/>
      <c r="TGM154" s="72"/>
      <c r="TGN154" s="72"/>
      <c r="TGO154" s="72"/>
      <c r="TGP154" s="72"/>
      <c r="TGQ154" s="72"/>
      <c r="TGR154" s="72"/>
      <c r="TGS154" s="72"/>
      <c r="TGT154" s="72"/>
      <c r="TGU154" s="72"/>
      <c r="TGV154" s="72"/>
      <c r="TGW154" s="72"/>
      <c r="TGX154" s="72"/>
      <c r="TGY154" s="72"/>
      <c r="TGZ154" s="72"/>
      <c r="THA154" s="72"/>
      <c r="THB154" s="72"/>
      <c r="THC154" s="72"/>
      <c r="THD154" s="72"/>
      <c r="THE154" s="72"/>
      <c r="THF154" s="72"/>
      <c r="THG154" s="72"/>
      <c r="THH154" s="72"/>
      <c r="THI154" s="72"/>
      <c r="THJ154" s="72"/>
      <c r="THK154" s="72"/>
      <c r="THL154" s="72"/>
      <c r="THM154" s="72"/>
      <c r="THN154" s="72"/>
      <c r="THO154" s="72"/>
      <c r="THP154" s="72"/>
      <c r="THQ154" s="72"/>
      <c r="THR154" s="72"/>
      <c r="THS154" s="72"/>
      <c r="THT154" s="72"/>
      <c r="THU154" s="72"/>
      <c r="THV154" s="72"/>
      <c r="THW154" s="72"/>
      <c r="THX154" s="72"/>
      <c r="THY154" s="72"/>
      <c r="THZ154" s="72"/>
      <c r="TIA154" s="72"/>
      <c r="TIB154" s="72"/>
      <c r="TIC154" s="72"/>
      <c r="TID154" s="72"/>
      <c r="TIE154" s="72"/>
      <c r="TIF154" s="72"/>
      <c r="TIG154" s="72"/>
      <c r="TIH154" s="72"/>
      <c r="TII154" s="72"/>
      <c r="TIJ154" s="72"/>
      <c r="TIK154" s="72"/>
      <c r="TIL154" s="72"/>
      <c r="TIM154" s="72"/>
      <c r="TIN154" s="72"/>
      <c r="TIO154" s="72"/>
      <c r="TIP154" s="72"/>
      <c r="TIQ154" s="72"/>
      <c r="TIR154" s="72"/>
      <c r="TIS154" s="72"/>
      <c r="TIT154" s="72"/>
      <c r="TIU154" s="72"/>
      <c r="TIV154" s="72"/>
      <c r="TIW154" s="72"/>
      <c r="TIX154" s="72"/>
      <c r="TIY154" s="72"/>
      <c r="TIZ154" s="72"/>
      <c r="TJA154" s="72"/>
      <c r="TJB154" s="72"/>
      <c r="TJC154" s="72"/>
      <c r="TJD154" s="72"/>
      <c r="TJE154" s="72"/>
      <c r="TJF154" s="72"/>
      <c r="TJG154" s="72"/>
      <c r="TJH154" s="72"/>
      <c r="TJI154" s="72"/>
      <c r="TJJ154" s="72"/>
      <c r="TJK154" s="72"/>
      <c r="TJL154" s="72"/>
      <c r="TJM154" s="72"/>
      <c r="TJN154" s="72"/>
      <c r="TJO154" s="72"/>
      <c r="TJP154" s="72"/>
      <c r="TJQ154" s="72"/>
      <c r="TJR154" s="72"/>
      <c r="TJS154" s="72"/>
      <c r="TJT154" s="72"/>
      <c r="TJU154" s="72"/>
      <c r="TJV154" s="72"/>
      <c r="TJW154" s="72"/>
      <c r="TJX154" s="72"/>
      <c r="TJY154" s="72"/>
      <c r="TJZ154" s="72"/>
      <c r="TKA154" s="72"/>
      <c r="TKB154" s="72"/>
      <c r="TKC154" s="72"/>
      <c r="TKD154" s="72"/>
      <c r="TKE154" s="72"/>
      <c r="TKF154" s="72"/>
      <c r="TKG154" s="72"/>
      <c r="TKH154" s="72"/>
      <c r="TKI154" s="72"/>
      <c r="TKJ154" s="72"/>
      <c r="TKK154" s="72"/>
      <c r="TKL154" s="72"/>
      <c r="TKM154" s="72"/>
      <c r="TKN154" s="72"/>
      <c r="TKO154" s="72"/>
      <c r="TKP154" s="72"/>
      <c r="TKQ154" s="72"/>
      <c r="TKR154" s="72"/>
      <c r="TKS154" s="72"/>
      <c r="TKT154" s="72"/>
      <c r="TKU154" s="72"/>
      <c r="TKV154" s="72"/>
      <c r="TKW154" s="72"/>
      <c r="TKX154" s="72"/>
      <c r="TKY154" s="72"/>
      <c r="TKZ154" s="72"/>
      <c r="TLA154" s="72"/>
      <c r="TLB154" s="72"/>
      <c r="TLC154" s="72"/>
      <c r="TLD154" s="72"/>
      <c r="TLE154" s="72"/>
      <c r="TLF154" s="72"/>
      <c r="TLG154" s="72"/>
      <c r="TLH154" s="72"/>
      <c r="TLI154" s="72"/>
      <c r="TLJ154" s="72"/>
      <c r="TLK154" s="72"/>
      <c r="TLL154" s="72"/>
      <c r="TLM154" s="72"/>
      <c r="TLN154" s="72"/>
      <c r="TLO154" s="72"/>
      <c r="TLP154" s="72"/>
      <c r="TLQ154" s="72"/>
      <c r="TLR154" s="72"/>
      <c r="TLS154" s="72"/>
      <c r="TLT154" s="72"/>
      <c r="TLU154" s="72"/>
      <c r="TLV154" s="72"/>
      <c r="TLW154" s="72"/>
      <c r="TLX154" s="72"/>
      <c r="TLY154" s="72"/>
      <c r="TLZ154" s="72"/>
      <c r="TMA154" s="72"/>
      <c r="TMB154" s="72"/>
      <c r="TMC154" s="72"/>
      <c r="TMD154" s="72"/>
      <c r="TME154" s="72"/>
      <c r="TMF154" s="72"/>
      <c r="TMG154" s="72"/>
      <c r="TMH154" s="72"/>
      <c r="TMI154" s="72"/>
      <c r="TMJ154" s="72"/>
      <c r="TMK154" s="72"/>
      <c r="TML154" s="72"/>
      <c r="TMM154" s="72"/>
      <c r="TMN154" s="72"/>
      <c r="TMO154" s="72"/>
      <c r="TMP154" s="72"/>
      <c r="TMQ154" s="72"/>
      <c r="TMR154" s="72"/>
      <c r="TMS154" s="72"/>
      <c r="TMT154" s="72"/>
      <c r="TMU154" s="72"/>
      <c r="TMV154" s="72"/>
      <c r="TMW154" s="72"/>
      <c r="TMX154" s="72"/>
      <c r="TMY154" s="72"/>
      <c r="TMZ154" s="72"/>
      <c r="TNA154" s="72"/>
      <c r="TNB154" s="72"/>
      <c r="TNC154" s="72"/>
      <c r="TND154" s="72"/>
      <c r="TNE154" s="72"/>
      <c r="TNF154" s="72"/>
      <c r="TNG154" s="72"/>
      <c r="TNH154" s="72"/>
      <c r="TNI154" s="72"/>
      <c r="TNJ154" s="72"/>
      <c r="TNK154" s="72"/>
      <c r="TNL154" s="72"/>
      <c r="TNM154" s="72"/>
      <c r="TNN154" s="72"/>
      <c r="TNO154" s="72"/>
      <c r="TNP154" s="72"/>
      <c r="TNQ154" s="72"/>
      <c r="TNR154" s="72"/>
      <c r="TNS154" s="72"/>
      <c r="TNT154" s="72"/>
      <c r="TNU154" s="72"/>
      <c r="TNV154" s="72"/>
      <c r="TNW154" s="72"/>
      <c r="TNX154" s="72"/>
      <c r="TNY154" s="72"/>
      <c r="TNZ154" s="72"/>
      <c r="TOA154" s="72"/>
      <c r="TOB154" s="72"/>
      <c r="TOC154" s="72"/>
      <c r="TOD154" s="72"/>
      <c r="TOE154" s="72"/>
      <c r="TOF154" s="72"/>
      <c r="TOG154" s="72"/>
      <c r="TOH154" s="72"/>
      <c r="TOI154" s="72"/>
      <c r="TOJ154" s="72"/>
      <c r="TOK154" s="72"/>
      <c r="TOL154" s="72"/>
      <c r="TOM154" s="72"/>
      <c r="TON154" s="72"/>
      <c r="TOO154" s="72"/>
      <c r="TOP154" s="72"/>
      <c r="TOQ154" s="72"/>
      <c r="TOR154" s="72"/>
      <c r="TOS154" s="72"/>
      <c r="TOT154" s="72"/>
      <c r="TOU154" s="72"/>
      <c r="TOV154" s="72"/>
      <c r="TOW154" s="72"/>
      <c r="TOX154" s="72"/>
      <c r="TOY154" s="72"/>
      <c r="TOZ154" s="72"/>
      <c r="TPA154" s="72"/>
      <c r="TPB154" s="72"/>
      <c r="TPC154" s="72"/>
      <c r="TPD154" s="72"/>
      <c r="TPE154" s="72"/>
      <c r="TPF154" s="72"/>
      <c r="TPG154" s="72"/>
      <c r="TPH154" s="72"/>
      <c r="TPI154" s="72"/>
      <c r="TPJ154" s="72"/>
      <c r="TPK154" s="72"/>
      <c r="TPL154" s="72"/>
      <c r="TPM154" s="72"/>
      <c r="TPN154" s="72"/>
      <c r="TPO154" s="72"/>
      <c r="TPP154" s="72"/>
      <c r="TPQ154" s="72"/>
      <c r="TPR154" s="72"/>
      <c r="TPS154" s="72"/>
      <c r="TPT154" s="72"/>
      <c r="TPU154" s="72"/>
      <c r="TPV154" s="72"/>
      <c r="TPW154" s="72"/>
      <c r="TPX154" s="72"/>
      <c r="TPY154" s="72"/>
      <c r="TPZ154" s="72"/>
      <c r="TQA154" s="72"/>
      <c r="TQB154" s="72"/>
      <c r="TQC154" s="72"/>
      <c r="TQD154" s="72"/>
      <c r="TQE154" s="72"/>
      <c r="TQF154" s="72"/>
      <c r="TQG154" s="72"/>
      <c r="TQH154" s="72"/>
      <c r="TQI154" s="72"/>
      <c r="TQJ154" s="72"/>
      <c r="TQK154" s="72"/>
      <c r="TQL154" s="72"/>
      <c r="TQM154" s="72"/>
      <c r="TQN154" s="72"/>
      <c r="TQO154" s="72"/>
      <c r="TQP154" s="72"/>
      <c r="TQQ154" s="72"/>
      <c r="TQR154" s="72"/>
      <c r="TQS154" s="72"/>
      <c r="TQT154" s="72"/>
      <c r="TQU154" s="72"/>
      <c r="TQV154" s="72"/>
      <c r="TQW154" s="72"/>
      <c r="TQX154" s="72"/>
      <c r="TQY154" s="72"/>
      <c r="TQZ154" s="72"/>
      <c r="TRA154" s="72"/>
      <c r="TRB154" s="72"/>
      <c r="TRC154" s="72"/>
      <c r="TRD154" s="72"/>
      <c r="TRE154" s="72"/>
      <c r="TRF154" s="72"/>
      <c r="TRG154" s="72"/>
      <c r="TRH154" s="72"/>
      <c r="TRI154" s="72"/>
      <c r="TRJ154" s="72"/>
      <c r="TRK154" s="72"/>
      <c r="TRL154" s="72"/>
      <c r="TRM154" s="72"/>
      <c r="TRN154" s="72"/>
      <c r="TRO154" s="72"/>
      <c r="TRP154" s="72"/>
      <c r="TRQ154" s="72"/>
      <c r="TRR154" s="72"/>
      <c r="TRS154" s="72"/>
      <c r="TRT154" s="72"/>
      <c r="TRU154" s="72"/>
      <c r="TRV154" s="72"/>
      <c r="TRW154" s="72"/>
      <c r="TRX154" s="72"/>
      <c r="TRY154" s="72"/>
      <c r="TRZ154" s="72"/>
      <c r="TSA154" s="72"/>
      <c r="TSB154" s="72"/>
      <c r="TSC154" s="72"/>
      <c r="TSD154" s="72"/>
      <c r="TSE154" s="72"/>
      <c r="TSF154" s="72"/>
      <c r="TSG154" s="72"/>
      <c r="TSH154" s="72"/>
      <c r="TSI154" s="72"/>
      <c r="TSJ154" s="72"/>
      <c r="TSK154" s="72"/>
      <c r="TSL154" s="72"/>
      <c r="TSM154" s="72"/>
      <c r="TSN154" s="72"/>
      <c r="TSO154" s="72"/>
      <c r="TSP154" s="72"/>
      <c r="TSQ154" s="72"/>
      <c r="TSR154" s="72"/>
      <c r="TSS154" s="72"/>
      <c r="TST154" s="72"/>
      <c r="TSU154" s="72"/>
      <c r="TSV154" s="72"/>
      <c r="TSW154" s="72"/>
      <c r="TSX154" s="72"/>
      <c r="TSY154" s="72"/>
      <c r="TSZ154" s="72"/>
      <c r="TTA154" s="72"/>
      <c r="TTB154" s="72"/>
      <c r="TTC154" s="72"/>
      <c r="TTD154" s="72"/>
      <c r="TTE154" s="72"/>
      <c r="TTF154" s="72"/>
      <c r="TTG154" s="72"/>
      <c r="TTH154" s="72"/>
      <c r="TTI154" s="72"/>
      <c r="TTJ154" s="72"/>
      <c r="TTK154" s="72"/>
      <c r="TTL154" s="72"/>
      <c r="TTM154" s="72"/>
      <c r="TTN154" s="72"/>
      <c r="TTO154" s="72"/>
      <c r="TTP154" s="72"/>
      <c r="TTQ154" s="72"/>
      <c r="TTR154" s="72"/>
      <c r="TTS154" s="72"/>
      <c r="TTT154" s="72"/>
      <c r="TTU154" s="72"/>
      <c r="TTV154" s="72"/>
      <c r="TTW154" s="72"/>
      <c r="TTX154" s="72"/>
      <c r="TTY154" s="72"/>
      <c r="TTZ154" s="72"/>
      <c r="TUA154" s="72"/>
      <c r="TUB154" s="72"/>
      <c r="TUC154" s="72"/>
      <c r="TUD154" s="72"/>
      <c r="TUE154" s="72"/>
      <c r="TUF154" s="72"/>
      <c r="TUG154" s="72"/>
      <c r="TUH154" s="72"/>
      <c r="TUI154" s="72"/>
      <c r="TUJ154" s="72"/>
      <c r="TUK154" s="72"/>
      <c r="TUL154" s="72"/>
      <c r="TUM154" s="72"/>
      <c r="TUN154" s="72"/>
      <c r="TUO154" s="72"/>
      <c r="TUP154" s="72"/>
      <c r="TUQ154" s="72"/>
      <c r="TUR154" s="72"/>
      <c r="TUS154" s="72"/>
      <c r="TUT154" s="72"/>
      <c r="TUU154" s="72"/>
      <c r="TUV154" s="72"/>
      <c r="TUW154" s="72"/>
      <c r="TUX154" s="72"/>
      <c r="TUY154" s="72"/>
      <c r="TUZ154" s="72"/>
      <c r="TVA154" s="72"/>
      <c r="TVB154" s="72"/>
      <c r="TVC154" s="72"/>
      <c r="TVD154" s="72"/>
      <c r="TVE154" s="72"/>
      <c r="TVF154" s="72"/>
      <c r="TVG154" s="72"/>
      <c r="TVH154" s="72"/>
      <c r="TVI154" s="72"/>
      <c r="TVJ154" s="72"/>
      <c r="TVK154" s="72"/>
      <c r="TVL154" s="72"/>
      <c r="TVM154" s="72"/>
      <c r="TVN154" s="72"/>
      <c r="TVO154" s="72"/>
      <c r="TVP154" s="72"/>
      <c r="TVQ154" s="72"/>
      <c r="TVR154" s="72"/>
      <c r="TVS154" s="72"/>
      <c r="TVT154" s="72"/>
      <c r="TVU154" s="72"/>
      <c r="TVV154" s="72"/>
      <c r="TVW154" s="72"/>
      <c r="TVX154" s="72"/>
      <c r="TVY154" s="72"/>
      <c r="TVZ154" s="72"/>
      <c r="TWA154" s="72"/>
      <c r="TWB154" s="72"/>
      <c r="TWC154" s="72"/>
      <c r="TWD154" s="72"/>
      <c r="TWE154" s="72"/>
      <c r="TWF154" s="72"/>
      <c r="TWG154" s="72"/>
      <c r="TWH154" s="72"/>
      <c r="TWI154" s="72"/>
      <c r="TWJ154" s="72"/>
      <c r="TWK154" s="72"/>
      <c r="TWL154" s="72"/>
      <c r="TWM154" s="72"/>
      <c r="TWN154" s="72"/>
      <c r="TWO154" s="72"/>
      <c r="TWP154" s="72"/>
      <c r="TWQ154" s="72"/>
      <c r="TWR154" s="72"/>
      <c r="TWS154" s="72"/>
      <c r="TWT154" s="72"/>
      <c r="TWU154" s="72"/>
      <c r="TWV154" s="72"/>
      <c r="TWW154" s="72"/>
      <c r="TWX154" s="72"/>
      <c r="TWY154" s="72"/>
      <c r="TWZ154" s="72"/>
      <c r="TXA154" s="72"/>
      <c r="TXB154" s="72"/>
      <c r="TXC154" s="72"/>
      <c r="TXD154" s="72"/>
      <c r="TXE154" s="72"/>
      <c r="TXF154" s="72"/>
      <c r="TXG154" s="72"/>
      <c r="TXH154" s="72"/>
      <c r="TXI154" s="72"/>
      <c r="TXJ154" s="72"/>
      <c r="TXK154" s="72"/>
      <c r="TXL154" s="72"/>
      <c r="TXM154" s="72"/>
      <c r="TXN154" s="72"/>
      <c r="TXO154" s="72"/>
      <c r="TXP154" s="72"/>
      <c r="TXQ154" s="72"/>
      <c r="TXR154" s="72"/>
      <c r="TXS154" s="72"/>
      <c r="TXT154" s="72"/>
      <c r="TXU154" s="72"/>
      <c r="TXV154" s="72"/>
      <c r="TXW154" s="72"/>
      <c r="TXX154" s="72"/>
      <c r="TXY154" s="72"/>
      <c r="TXZ154" s="72"/>
      <c r="TYA154" s="72"/>
      <c r="TYB154" s="72"/>
      <c r="TYC154" s="72"/>
      <c r="TYD154" s="72"/>
      <c r="TYE154" s="72"/>
      <c r="TYF154" s="72"/>
      <c r="TYG154" s="72"/>
      <c r="TYH154" s="72"/>
      <c r="TYI154" s="72"/>
      <c r="TYJ154" s="72"/>
      <c r="TYK154" s="72"/>
      <c r="TYL154" s="72"/>
      <c r="TYM154" s="72"/>
      <c r="TYN154" s="72"/>
      <c r="TYO154" s="72"/>
      <c r="TYP154" s="72"/>
      <c r="TYQ154" s="72"/>
      <c r="TYR154" s="72"/>
      <c r="TYS154" s="72"/>
      <c r="TYT154" s="72"/>
      <c r="TYU154" s="72"/>
      <c r="TYV154" s="72"/>
      <c r="TYW154" s="72"/>
      <c r="TYX154" s="72"/>
      <c r="TYY154" s="72"/>
      <c r="TYZ154" s="72"/>
      <c r="TZA154" s="72"/>
      <c r="TZB154" s="72"/>
      <c r="TZC154" s="72"/>
      <c r="TZD154" s="72"/>
      <c r="TZE154" s="72"/>
      <c r="TZF154" s="72"/>
      <c r="TZG154" s="72"/>
      <c r="TZH154" s="72"/>
      <c r="TZI154" s="72"/>
      <c r="TZJ154" s="72"/>
      <c r="TZK154" s="72"/>
      <c r="TZL154" s="72"/>
      <c r="TZM154" s="72"/>
      <c r="TZN154" s="72"/>
      <c r="TZO154" s="72"/>
      <c r="TZP154" s="72"/>
      <c r="TZQ154" s="72"/>
      <c r="TZR154" s="72"/>
      <c r="TZS154" s="72"/>
      <c r="TZT154" s="72"/>
      <c r="TZU154" s="72"/>
      <c r="TZV154" s="72"/>
      <c r="TZW154" s="72"/>
      <c r="TZX154" s="72"/>
      <c r="TZY154" s="72"/>
      <c r="TZZ154" s="72"/>
      <c r="UAA154" s="72"/>
      <c r="UAB154" s="72"/>
      <c r="UAC154" s="72"/>
      <c r="UAD154" s="72"/>
      <c r="UAE154" s="72"/>
      <c r="UAF154" s="72"/>
      <c r="UAG154" s="72"/>
      <c r="UAH154" s="72"/>
      <c r="UAI154" s="72"/>
      <c r="UAJ154" s="72"/>
      <c r="UAK154" s="72"/>
      <c r="UAL154" s="72"/>
      <c r="UAM154" s="72"/>
      <c r="UAN154" s="72"/>
      <c r="UAO154" s="72"/>
      <c r="UAP154" s="72"/>
      <c r="UAQ154" s="72"/>
      <c r="UAR154" s="72"/>
      <c r="UAS154" s="72"/>
      <c r="UAT154" s="72"/>
      <c r="UAU154" s="72"/>
      <c r="UAV154" s="72"/>
      <c r="UAW154" s="72"/>
      <c r="UAX154" s="72"/>
      <c r="UAY154" s="72"/>
      <c r="UAZ154" s="72"/>
      <c r="UBA154" s="72"/>
      <c r="UBB154" s="72"/>
      <c r="UBC154" s="72"/>
      <c r="UBD154" s="72"/>
      <c r="UBE154" s="72"/>
      <c r="UBF154" s="72"/>
      <c r="UBG154" s="72"/>
      <c r="UBH154" s="72"/>
      <c r="UBI154" s="72"/>
      <c r="UBJ154" s="72"/>
      <c r="UBK154" s="72"/>
      <c r="UBL154" s="72"/>
      <c r="UBM154" s="72"/>
      <c r="UBN154" s="72"/>
      <c r="UBO154" s="72"/>
      <c r="UBP154" s="72"/>
      <c r="UBQ154" s="72"/>
      <c r="UBR154" s="72"/>
      <c r="UBS154" s="72"/>
      <c r="UBT154" s="72"/>
      <c r="UBU154" s="72"/>
      <c r="UBV154" s="72"/>
      <c r="UBW154" s="72"/>
      <c r="UBX154" s="72"/>
      <c r="UBY154" s="72"/>
      <c r="UBZ154" s="72"/>
      <c r="UCA154" s="72"/>
      <c r="UCB154" s="72"/>
      <c r="UCC154" s="72"/>
      <c r="UCD154" s="72"/>
      <c r="UCE154" s="72"/>
      <c r="UCF154" s="72"/>
      <c r="UCG154" s="72"/>
      <c r="UCH154" s="72"/>
      <c r="UCI154" s="72"/>
      <c r="UCJ154" s="72"/>
      <c r="UCK154" s="72"/>
      <c r="UCL154" s="72"/>
      <c r="UCM154" s="72"/>
      <c r="UCN154" s="72"/>
      <c r="UCO154" s="72"/>
      <c r="UCP154" s="72"/>
      <c r="UCQ154" s="72"/>
      <c r="UCR154" s="72"/>
      <c r="UCS154" s="72"/>
      <c r="UCT154" s="72"/>
      <c r="UCU154" s="72"/>
      <c r="UCV154" s="72"/>
      <c r="UCW154" s="72"/>
      <c r="UCX154" s="72"/>
      <c r="UCY154" s="72"/>
      <c r="UCZ154" s="72"/>
      <c r="UDA154" s="72"/>
      <c r="UDB154" s="72"/>
      <c r="UDC154" s="72"/>
      <c r="UDD154" s="72"/>
      <c r="UDE154" s="72"/>
      <c r="UDF154" s="72"/>
      <c r="UDG154" s="72"/>
      <c r="UDH154" s="72"/>
      <c r="UDI154" s="72"/>
      <c r="UDJ154" s="72"/>
      <c r="UDK154" s="72"/>
      <c r="UDL154" s="72"/>
      <c r="UDM154" s="72"/>
      <c r="UDN154" s="72"/>
      <c r="UDO154" s="72"/>
      <c r="UDP154" s="72"/>
      <c r="UDQ154" s="72"/>
      <c r="UDR154" s="72"/>
      <c r="UDS154" s="72"/>
      <c r="UDT154" s="72"/>
      <c r="UDU154" s="72"/>
      <c r="UDV154" s="72"/>
      <c r="UDW154" s="72"/>
      <c r="UDX154" s="72"/>
      <c r="UDY154" s="72"/>
      <c r="UDZ154" s="72"/>
      <c r="UEA154" s="72"/>
      <c r="UEB154" s="72"/>
      <c r="UEC154" s="72"/>
      <c r="UED154" s="72"/>
      <c r="UEE154" s="72"/>
      <c r="UEF154" s="72"/>
      <c r="UEG154" s="72"/>
      <c r="UEH154" s="72"/>
      <c r="UEI154" s="72"/>
      <c r="UEJ154" s="72"/>
      <c r="UEK154" s="72"/>
      <c r="UEL154" s="72"/>
      <c r="UEM154" s="72"/>
      <c r="UEN154" s="72"/>
      <c r="UEO154" s="72"/>
      <c r="UEP154" s="72"/>
      <c r="UEQ154" s="72"/>
      <c r="UER154" s="72"/>
      <c r="UES154" s="72"/>
      <c r="UET154" s="72"/>
      <c r="UEU154" s="72"/>
      <c r="UEV154" s="72"/>
      <c r="UEW154" s="72"/>
      <c r="UEX154" s="72"/>
      <c r="UEY154" s="72"/>
      <c r="UEZ154" s="72"/>
      <c r="UFA154" s="72"/>
      <c r="UFB154" s="72"/>
      <c r="UFC154" s="72"/>
      <c r="UFD154" s="72"/>
      <c r="UFE154" s="72"/>
      <c r="UFF154" s="72"/>
      <c r="UFG154" s="72"/>
      <c r="UFH154" s="72"/>
      <c r="UFI154" s="72"/>
      <c r="UFJ154" s="72"/>
      <c r="UFK154" s="72"/>
      <c r="UFL154" s="72"/>
      <c r="UFM154" s="72"/>
      <c r="UFN154" s="72"/>
      <c r="UFO154" s="72"/>
      <c r="UFP154" s="72"/>
      <c r="UFQ154" s="72"/>
      <c r="UFR154" s="72"/>
      <c r="UFS154" s="72"/>
      <c r="UFT154" s="72"/>
      <c r="UFU154" s="72"/>
      <c r="UFV154" s="72"/>
      <c r="UFW154" s="72"/>
      <c r="UFX154" s="72"/>
      <c r="UFY154" s="72"/>
      <c r="UFZ154" s="72"/>
      <c r="UGA154" s="72"/>
      <c r="UGB154" s="72"/>
      <c r="UGC154" s="72"/>
      <c r="UGD154" s="72"/>
      <c r="UGE154" s="72"/>
      <c r="UGF154" s="72"/>
      <c r="UGG154" s="72"/>
      <c r="UGH154" s="72"/>
      <c r="UGI154" s="72"/>
      <c r="UGJ154" s="72"/>
      <c r="UGK154" s="72"/>
      <c r="UGL154" s="72"/>
      <c r="UGM154" s="72"/>
      <c r="UGN154" s="72"/>
      <c r="UGO154" s="72"/>
      <c r="UGP154" s="72"/>
      <c r="UGQ154" s="72"/>
      <c r="UGR154" s="72"/>
      <c r="UGS154" s="72"/>
      <c r="UGT154" s="72"/>
      <c r="UGU154" s="72"/>
      <c r="UGV154" s="72"/>
      <c r="UGW154" s="72"/>
      <c r="UGX154" s="72"/>
      <c r="UGY154" s="72"/>
      <c r="UGZ154" s="72"/>
      <c r="UHA154" s="72"/>
      <c r="UHB154" s="72"/>
      <c r="UHC154" s="72"/>
      <c r="UHD154" s="72"/>
      <c r="UHE154" s="72"/>
      <c r="UHF154" s="72"/>
      <c r="UHG154" s="72"/>
      <c r="UHH154" s="72"/>
      <c r="UHI154" s="72"/>
      <c r="UHJ154" s="72"/>
      <c r="UHK154" s="72"/>
      <c r="UHL154" s="72"/>
      <c r="UHM154" s="72"/>
      <c r="UHN154" s="72"/>
      <c r="UHO154" s="72"/>
      <c r="UHP154" s="72"/>
      <c r="UHQ154" s="72"/>
      <c r="UHR154" s="72"/>
      <c r="UHS154" s="72"/>
      <c r="UHT154" s="72"/>
      <c r="UHU154" s="72"/>
      <c r="UHV154" s="72"/>
      <c r="UHW154" s="72"/>
      <c r="UHX154" s="72"/>
      <c r="UHY154" s="72"/>
      <c r="UHZ154" s="72"/>
      <c r="UIA154" s="72"/>
      <c r="UIB154" s="72"/>
      <c r="UIC154" s="72"/>
      <c r="UID154" s="72"/>
      <c r="UIE154" s="72"/>
      <c r="UIF154" s="72"/>
      <c r="UIG154" s="72"/>
      <c r="UIH154" s="72"/>
      <c r="UII154" s="72"/>
      <c r="UIJ154" s="72"/>
      <c r="UIK154" s="72"/>
      <c r="UIL154" s="72"/>
      <c r="UIM154" s="72"/>
      <c r="UIN154" s="72"/>
      <c r="UIO154" s="72"/>
      <c r="UIP154" s="72"/>
      <c r="UIQ154" s="72"/>
      <c r="UIR154" s="72"/>
      <c r="UIS154" s="72"/>
      <c r="UIT154" s="72"/>
      <c r="UIU154" s="72"/>
      <c r="UIV154" s="72"/>
      <c r="UIW154" s="72"/>
      <c r="UIX154" s="72"/>
      <c r="UIY154" s="72"/>
      <c r="UIZ154" s="72"/>
      <c r="UJA154" s="72"/>
      <c r="UJB154" s="72"/>
      <c r="UJC154" s="72"/>
      <c r="UJD154" s="72"/>
      <c r="UJE154" s="72"/>
      <c r="UJF154" s="72"/>
      <c r="UJG154" s="72"/>
      <c r="UJH154" s="72"/>
      <c r="UJI154" s="72"/>
      <c r="UJJ154" s="72"/>
      <c r="UJK154" s="72"/>
      <c r="UJL154" s="72"/>
      <c r="UJM154" s="72"/>
      <c r="UJN154" s="72"/>
      <c r="UJO154" s="72"/>
      <c r="UJP154" s="72"/>
      <c r="UJQ154" s="72"/>
      <c r="UJR154" s="72"/>
      <c r="UJS154" s="72"/>
      <c r="UJT154" s="72"/>
      <c r="UJU154" s="72"/>
      <c r="UJV154" s="72"/>
      <c r="UJW154" s="72"/>
      <c r="UJX154" s="72"/>
      <c r="UJY154" s="72"/>
      <c r="UJZ154" s="72"/>
      <c r="UKA154" s="72"/>
      <c r="UKB154" s="72"/>
      <c r="UKC154" s="72"/>
      <c r="UKD154" s="72"/>
      <c r="UKE154" s="72"/>
      <c r="UKF154" s="72"/>
      <c r="UKG154" s="72"/>
      <c r="UKH154" s="72"/>
      <c r="UKI154" s="72"/>
      <c r="UKJ154" s="72"/>
      <c r="UKK154" s="72"/>
      <c r="UKL154" s="72"/>
      <c r="UKM154" s="72"/>
      <c r="UKN154" s="72"/>
      <c r="UKO154" s="72"/>
      <c r="UKP154" s="72"/>
      <c r="UKQ154" s="72"/>
      <c r="UKR154" s="72"/>
      <c r="UKS154" s="72"/>
      <c r="UKT154" s="72"/>
      <c r="UKU154" s="72"/>
      <c r="UKV154" s="72"/>
      <c r="UKW154" s="72"/>
      <c r="UKX154" s="72"/>
      <c r="UKY154" s="72"/>
      <c r="UKZ154" s="72"/>
      <c r="ULA154" s="72"/>
      <c r="ULB154" s="72"/>
      <c r="ULC154" s="72"/>
      <c r="ULD154" s="72"/>
      <c r="ULE154" s="72"/>
      <c r="ULF154" s="72"/>
      <c r="ULG154" s="72"/>
      <c r="ULH154" s="72"/>
      <c r="ULI154" s="72"/>
      <c r="ULJ154" s="72"/>
      <c r="ULK154" s="72"/>
      <c r="ULL154" s="72"/>
      <c r="ULM154" s="72"/>
      <c r="ULN154" s="72"/>
      <c r="ULO154" s="72"/>
      <c r="ULP154" s="72"/>
      <c r="ULQ154" s="72"/>
      <c r="ULR154" s="72"/>
      <c r="ULS154" s="72"/>
      <c r="ULT154" s="72"/>
      <c r="ULU154" s="72"/>
      <c r="ULV154" s="72"/>
      <c r="ULW154" s="72"/>
      <c r="ULX154" s="72"/>
      <c r="ULY154" s="72"/>
      <c r="ULZ154" s="72"/>
      <c r="UMA154" s="72"/>
      <c r="UMB154" s="72"/>
      <c r="UMC154" s="72"/>
      <c r="UMD154" s="72"/>
      <c r="UME154" s="72"/>
      <c r="UMF154" s="72"/>
      <c r="UMG154" s="72"/>
      <c r="UMH154" s="72"/>
      <c r="UMI154" s="72"/>
      <c r="UMJ154" s="72"/>
      <c r="UMK154" s="72"/>
      <c r="UML154" s="72"/>
      <c r="UMM154" s="72"/>
      <c r="UMN154" s="72"/>
      <c r="UMO154" s="72"/>
      <c r="UMP154" s="72"/>
      <c r="UMQ154" s="72"/>
      <c r="UMR154" s="72"/>
      <c r="UMS154" s="72"/>
      <c r="UMT154" s="72"/>
      <c r="UMU154" s="72"/>
      <c r="UMV154" s="72"/>
      <c r="UMW154" s="72"/>
      <c r="UMX154" s="72"/>
      <c r="UMY154" s="72"/>
      <c r="UMZ154" s="72"/>
      <c r="UNA154" s="72"/>
      <c r="UNB154" s="72"/>
      <c r="UNC154" s="72"/>
      <c r="UND154" s="72"/>
      <c r="UNE154" s="72"/>
      <c r="UNF154" s="72"/>
      <c r="UNG154" s="72"/>
      <c r="UNH154" s="72"/>
      <c r="UNI154" s="72"/>
      <c r="UNJ154" s="72"/>
      <c r="UNK154" s="72"/>
      <c r="UNL154" s="72"/>
      <c r="UNM154" s="72"/>
      <c r="UNN154" s="72"/>
      <c r="UNO154" s="72"/>
      <c r="UNP154" s="72"/>
      <c r="UNQ154" s="72"/>
      <c r="UNR154" s="72"/>
      <c r="UNS154" s="72"/>
      <c r="UNT154" s="72"/>
      <c r="UNU154" s="72"/>
      <c r="UNV154" s="72"/>
      <c r="UNW154" s="72"/>
      <c r="UNX154" s="72"/>
      <c r="UNY154" s="72"/>
      <c r="UNZ154" s="72"/>
      <c r="UOA154" s="72"/>
      <c r="UOB154" s="72"/>
      <c r="UOC154" s="72"/>
      <c r="UOD154" s="72"/>
      <c r="UOE154" s="72"/>
      <c r="UOF154" s="72"/>
      <c r="UOG154" s="72"/>
      <c r="UOH154" s="72"/>
      <c r="UOI154" s="72"/>
      <c r="UOJ154" s="72"/>
      <c r="UOK154" s="72"/>
      <c r="UOL154" s="72"/>
      <c r="UOM154" s="72"/>
      <c r="UON154" s="72"/>
      <c r="UOO154" s="72"/>
      <c r="UOP154" s="72"/>
      <c r="UOQ154" s="72"/>
      <c r="UOR154" s="72"/>
      <c r="UOS154" s="72"/>
      <c r="UOT154" s="72"/>
      <c r="UOU154" s="72"/>
      <c r="UOV154" s="72"/>
      <c r="UOW154" s="72"/>
      <c r="UOX154" s="72"/>
      <c r="UOY154" s="72"/>
      <c r="UOZ154" s="72"/>
      <c r="UPA154" s="72"/>
      <c r="UPB154" s="72"/>
      <c r="UPC154" s="72"/>
      <c r="UPD154" s="72"/>
      <c r="UPE154" s="72"/>
      <c r="UPF154" s="72"/>
      <c r="UPG154" s="72"/>
      <c r="UPH154" s="72"/>
      <c r="UPI154" s="72"/>
      <c r="UPJ154" s="72"/>
      <c r="UPK154" s="72"/>
      <c r="UPL154" s="72"/>
      <c r="UPM154" s="72"/>
      <c r="UPN154" s="72"/>
      <c r="UPO154" s="72"/>
      <c r="UPP154" s="72"/>
      <c r="UPQ154" s="72"/>
      <c r="UPR154" s="72"/>
      <c r="UPS154" s="72"/>
      <c r="UPT154" s="72"/>
      <c r="UPU154" s="72"/>
      <c r="UPV154" s="72"/>
      <c r="UPW154" s="72"/>
      <c r="UPX154" s="72"/>
      <c r="UPY154" s="72"/>
      <c r="UPZ154" s="72"/>
      <c r="UQA154" s="72"/>
      <c r="UQB154" s="72"/>
      <c r="UQC154" s="72"/>
      <c r="UQD154" s="72"/>
      <c r="UQE154" s="72"/>
      <c r="UQF154" s="72"/>
      <c r="UQG154" s="72"/>
      <c r="UQH154" s="72"/>
      <c r="UQI154" s="72"/>
      <c r="UQJ154" s="72"/>
      <c r="UQK154" s="72"/>
      <c r="UQL154" s="72"/>
      <c r="UQM154" s="72"/>
      <c r="UQN154" s="72"/>
      <c r="UQO154" s="72"/>
      <c r="UQP154" s="72"/>
      <c r="UQQ154" s="72"/>
      <c r="UQR154" s="72"/>
      <c r="UQS154" s="72"/>
      <c r="UQT154" s="72"/>
      <c r="UQU154" s="72"/>
      <c r="UQV154" s="72"/>
      <c r="UQW154" s="72"/>
      <c r="UQX154" s="72"/>
      <c r="UQY154" s="72"/>
      <c r="UQZ154" s="72"/>
      <c r="URA154" s="72"/>
      <c r="URB154" s="72"/>
      <c r="URC154" s="72"/>
      <c r="URD154" s="72"/>
      <c r="URE154" s="72"/>
      <c r="URF154" s="72"/>
      <c r="URG154" s="72"/>
      <c r="URH154" s="72"/>
      <c r="URI154" s="72"/>
      <c r="URJ154" s="72"/>
      <c r="URK154" s="72"/>
      <c r="URL154" s="72"/>
      <c r="URM154" s="72"/>
      <c r="URN154" s="72"/>
      <c r="URO154" s="72"/>
      <c r="URP154" s="72"/>
      <c r="URQ154" s="72"/>
      <c r="URR154" s="72"/>
      <c r="URS154" s="72"/>
      <c r="URT154" s="72"/>
      <c r="URU154" s="72"/>
      <c r="URV154" s="72"/>
      <c r="URW154" s="72"/>
      <c r="URX154" s="72"/>
      <c r="URY154" s="72"/>
      <c r="URZ154" s="72"/>
      <c r="USA154" s="72"/>
      <c r="USB154" s="72"/>
      <c r="USC154" s="72"/>
      <c r="USD154" s="72"/>
      <c r="USE154" s="72"/>
      <c r="USF154" s="72"/>
      <c r="USG154" s="72"/>
      <c r="USH154" s="72"/>
      <c r="USI154" s="72"/>
      <c r="USJ154" s="72"/>
      <c r="USK154" s="72"/>
      <c r="USL154" s="72"/>
      <c r="USM154" s="72"/>
      <c r="USN154" s="72"/>
      <c r="USO154" s="72"/>
      <c r="USP154" s="72"/>
      <c r="USQ154" s="72"/>
      <c r="USR154" s="72"/>
      <c r="USS154" s="72"/>
      <c r="UST154" s="72"/>
      <c r="USU154" s="72"/>
      <c r="USV154" s="72"/>
      <c r="USW154" s="72"/>
      <c r="USX154" s="72"/>
      <c r="USY154" s="72"/>
      <c r="USZ154" s="72"/>
      <c r="UTA154" s="72"/>
      <c r="UTB154" s="72"/>
      <c r="UTC154" s="72"/>
      <c r="UTD154" s="72"/>
      <c r="UTE154" s="72"/>
      <c r="UTF154" s="72"/>
      <c r="UTG154" s="72"/>
      <c r="UTH154" s="72"/>
      <c r="UTI154" s="72"/>
      <c r="UTJ154" s="72"/>
      <c r="UTK154" s="72"/>
      <c r="UTL154" s="72"/>
      <c r="UTM154" s="72"/>
      <c r="UTN154" s="72"/>
      <c r="UTO154" s="72"/>
      <c r="UTP154" s="72"/>
      <c r="UTQ154" s="72"/>
      <c r="UTR154" s="72"/>
      <c r="UTS154" s="72"/>
      <c r="UTT154" s="72"/>
      <c r="UTU154" s="72"/>
      <c r="UTV154" s="72"/>
      <c r="UTW154" s="72"/>
      <c r="UTX154" s="72"/>
      <c r="UTY154" s="72"/>
      <c r="UTZ154" s="72"/>
      <c r="UUA154" s="72"/>
      <c r="UUB154" s="72"/>
      <c r="UUC154" s="72"/>
      <c r="UUD154" s="72"/>
      <c r="UUE154" s="72"/>
      <c r="UUF154" s="72"/>
      <c r="UUG154" s="72"/>
      <c r="UUH154" s="72"/>
      <c r="UUI154" s="72"/>
      <c r="UUJ154" s="72"/>
      <c r="UUK154" s="72"/>
      <c r="UUL154" s="72"/>
      <c r="UUM154" s="72"/>
      <c r="UUN154" s="72"/>
      <c r="UUO154" s="72"/>
      <c r="UUP154" s="72"/>
      <c r="UUQ154" s="72"/>
      <c r="UUR154" s="72"/>
      <c r="UUS154" s="72"/>
      <c r="UUT154" s="72"/>
      <c r="UUU154" s="72"/>
      <c r="UUV154" s="72"/>
      <c r="UUW154" s="72"/>
      <c r="UUX154" s="72"/>
      <c r="UUY154" s="72"/>
      <c r="UUZ154" s="72"/>
      <c r="UVA154" s="72"/>
      <c r="UVB154" s="72"/>
      <c r="UVC154" s="72"/>
      <c r="UVD154" s="72"/>
      <c r="UVE154" s="72"/>
      <c r="UVF154" s="72"/>
      <c r="UVG154" s="72"/>
      <c r="UVH154" s="72"/>
      <c r="UVI154" s="72"/>
      <c r="UVJ154" s="72"/>
      <c r="UVK154" s="72"/>
      <c r="UVL154" s="72"/>
      <c r="UVM154" s="72"/>
      <c r="UVN154" s="72"/>
      <c r="UVO154" s="72"/>
      <c r="UVP154" s="72"/>
      <c r="UVQ154" s="72"/>
      <c r="UVR154" s="72"/>
      <c r="UVS154" s="72"/>
      <c r="UVT154" s="72"/>
      <c r="UVU154" s="72"/>
      <c r="UVV154" s="72"/>
      <c r="UVW154" s="72"/>
      <c r="UVX154" s="72"/>
      <c r="UVY154" s="72"/>
      <c r="UVZ154" s="72"/>
      <c r="UWA154" s="72"/>
      <c r="UWB154" s="72"/>
      <c r="UWC154" s="72"/>
      <c r="UWD154" s="72"/>
      <c r="UWE154" s="72"/>
      <c r="UWF154" s="72"/>
      <c r="UWG154" s="72"/>
      <c r="UWH154" s="72"/>
      <c r="UWI154" s="72"/>
      <c r="UWJ154" s="72"/>
      <c r="UWK154" s="72"/>
      <c r="UWL154" s="72"/>
      <c r="UWM154" s="72"/>
      <c r="UWN154" s="72"/>
      <c r="UWO154" s="72"/>
      <c r="UWP154" s="72"/>
      <c r="UWQ154" s="72"/>
      <c r="UWR154" s="72"/>
      <c r="UWS154" s="72"/>
      <c r="UWT154" s="72"/>
      <c r="UWU154" s="72"/>
      <c r="UWV154" s="72"/>
      <c r="UWW154" s="72"/>
      <c r="UWX154" s="72"/>
      <c r="UWY154" s="72"/>
      <c r="UWZ154" s="72"/>
      <c r="UXA154" s="72"/>
      <c r="UXB154" s="72"/>
      <c r="UXC154" s="72"/>
      <c r="UXD154" s="72"/>
      <c r="UXE154" s="72"/>
      <c r="UXF154" s="72"/>
      <c r="UXG154" s="72"/>
      <c r="UXH154" s="72"/>
      <c r="UXI154" s="72"/>
      <c r="UXJ154" s="72"/>
      <c r="UXK154" s="72"/>
      <c r="UXL154" s="72"/>
      <c r="UXM154" s="72"/>
      <c r="UXN154" s="72"/>
      <c r="UXO154" s="72"/>
      <c r="UXP154" s="72"/>
      <c r="UXQ154" s="72"/>
      <c r="UXR154" s="72"/>
      <c r="UXS154" s="72"/>
      <c r="UXT154" s="72"/>
      <c r="UXU154" s="72"/>
      <c r="UXV154" s="72"/>
      <c r="UXW154" s="72"/>
      <c r="UXX154" s="72"/>
      <c r="UXY154" s="72"/>
      <c r="UXZ154" s="72"/>
      <c r="UYA154" s="72"/>
      <c r="UYB154" s="72"/>
      <c r="UYC154" s="72"/>
      <c r="UYD154" s="72"/>
      <c r="UYE154" s="72"/>
      <c r="UYF154" s="72"/>
      <c r="UYG154" s="72"/>
      <c r="UYH154" s="72"/>
      <c r="UYI154" s="72"/>
      <c r="UYJ154" s="72"/>
      <c r="UYK154" s="72"/>
      <c r="UYL154" s="72"/>
      <c r="UYM154" s="72"/>
      <c r="UYN154" s="72"/>
      <c r="UYO154" s="72"/>
      <c r="UYP154" s="72"/>
      <c r="UYQ154" s="72"/>
      <c r="UYR154" s="72"/>
      <c r="UYS154" s="72"/>
      <c r="UYT154" s="72"/>
      <c r="UYU154" s="72"/>
      <c r="UYV154" s="72"/>
      <c r="UYW154" s="72"/>
      <c r="UYX154" s="72"/>
      <c r="UYY154" s="72"/>
      <c r="UYZ154" s="72"/>
      <c r="UZA154" s="72"/>
      <c r="UZB154" s="72"/>
      <c r="UZC154" s="72"/>
      <c r="UZD154" s="72"/>
      <c r="UZE154" s="72"/>
      <c r="UZF154" s="72"/>
      <c r="UZG154" s="72"/>
      <c r="UZH154" s="72"/>
      <c r="UZI154" s="72"/>
      <c r="UZJ154" s="72"/>
      <c r="UZK154" s="72"/>
      <c r="UZL154" s="72"/>
      <c r="UZM154" s="72"/>
      <c r="UZN154" s="72"/>
      <c r="UZO154" s="72"/>
      <c r="UZP154" s="72"/>
      <c r="UZQ154" s="72"/>
      <c r="UZR154" s="72"/>
      <c r="UZS154" s="72"/>
      <c r="UZT154" s="72"/>
      <c r="UZU154" s="72"/>
      <c r="UZV154" s="72"/>
      <c r="UZW154" s="72"/>
      <c r="UZX154" s="72"/>
      <c r="UZY154" s="72"/>
      <c r="UZZ154" s="72"/>
      <c r="VAA154" s="72"/>
      <c r="VAB154" s="72"/>
      <c r="VAC154" s="72"/>
      <c r="VAD154" s="72"/>
      <c r="VAE154" s="72"/>
      <c r="VAF154" s="72"/>
      <c r="VAG154" s="72"/>
      <c r="VAH154" s="72"/>
      <c r="VAI154" s="72"/>
      <c r="VAJ154" s="72"/>
      <c r="VAK154" s="72"/>
      <c r="VAL154" s="72"/>
      <c r="VAM154" s="72"/>
      <c r="VAN154" s="72"/>
      <c r="VAO154" s="72"/>
      <c r="VAP154" s="72"/>
      <c r="VAQ154" s="72"/>
      <c r="VAR154" s="72"/>
      <c r="VAS154" s="72"/>
      <c r="VAT154" s="72"/>
      <c r="VAU154" s="72"/>
      <c r="VAV154" s="72"/>
      <c r="VAW154" s="72"/>
      <c r="VAX154" s="72"/>
      <c r="VAY154" s="72"/>
      <c r="VAZ154" s="72"/>
      <c r="VBA154" s="72"/>
      <c r="VBB154" s="72"/>
      <c r="VBC154" s="72"/>
      <c r="VBD154" s="72"/>
      <c r="VBE154" s="72"/>
      <c r="VBF154" s="72"/>
      <c r="VBG154" s="72"/>
      <c r="VBH154" s="72"/>
      <c r="VBI154" s="72"/>
      <c r="VBJ154" s="72"/>
      <c r="VBK154" s="72"/>
      <c r="VBL154" s="72"/>
      <c r="VBM154" s="72"/>
      <c r="VBN154" s="72"/>
      <c r="VBO154" s="72"/>
      <c r="VBP154" s="72"/>
      <c r="VBQ154" s="72"/>
      <c r="VBR154" s="72"/>
      <c r="VBS154" s="72"/>
      <c r="VBT154" s="72"/>
      <c r="VBU154" s="72"/>
      <c r="VBV154" s="72"/>
      <c r="VBW154" s="72"/>
      <c r="VBX154" s="72"/>
      <c r="VBY154" s="72"/>
      <c r="VBZ154" s="72"/>
      <c r="VCA154" s="72"/>
      <c r="VCB154" s="72"/>
      <c r="VCC154" s="72"/>
      <c r="VCD154" s="72"/>
      <c r="VCE154" s="72"/>
      <c r="VCF154" s="72"/>
      <c r="VCG154" s="72"/>
      <c r="VCH154" s="72"/>
      <c r="VCI154" s="72"/>
      <c r="VCJ154" s="72"/>
      <c r="VCK154" s="72"/>
      <c r="VCL154" s="72"/>
      <c r="VCM154" s="72"/>
      <c r="VCN154" s="72"/>
      <c r="VCO154" s="72"/>
      <c r="VCP154" s="72"/>
      <c r="VCQ154" s="72"/>
      <c r="VCR154" s="72"/>
      <c r="VCS154" s="72"/>
      <c r="VCT154" s="72"/>
      <c r="VCU154" s="72"/>
      <c r="VCV154" s="72"/>
      <c r="VCW154" s="72"/>
      <c r="VCX154" s="72"/>
      <c r="VCY154" s="72"/>
      <c r="VCZ154" s="72"/>
      <c r="VDA154" s="72"/>
      <c r="VDB154" s="72"/>
      <c r="VDC154" s="72"/>
      <c r="VDD154" s="72"/>
      <c r="VDE154" s="72"/>
      <c r="VDF154" s="72"/>
      <c r="VDG154" s="72"/>
      <c r="VDH154" s="72"/>
      <c r="VDI154" s="72"/>
      <c r="VDJ154" s="72"/>
      <c r="VDK154" s="72"/>
      <c r="VDL154" s="72"/>
      <c r="VDM154" s="72"/>
      <c r="VDN154" s="72"/>
      <c r="VDO154" s="72"/>
      <c r="VDP154" s="72"/>
      <c r="VDQ154" s="72"/>
      <c r="VDR154" s="72"/>
      <c r="VDS154" s="72"/>
      <c r="VDT154" s="72"/>
      <c r="VDU154" s="72"/>
      <c r="VDV154" s="72"/>
      <c r="VDW154" s="72"/>
      <c r="VDX154" s="72"/>
      <c r="VDY154" s="72"/>
      <c r="VDZ154" s="72"/>
      <c r="VEA154" s="72"/>
      <c r="VEB154" s="72"/>
      <c r="VEC154" s="72"/>
      <c r="VED154" s="72"/>
      <c r="VEE154" s="72"/>
      <c r="VEF154" s="72"/>
      <c r="VEG154" s="72"/>
      <c r="VEH154" s="72"/>
      <c r="VEI154" s="72"/>
      <c r="VEJ154" s="72"/>
      <c r="VEK154" s="72"/>
      <c r="VEL154" s="72"/>
      <c r="VEM154" s="72"/>
      <c r="VEN154" s="72"/>
      <c r="VEO154" s="72"/>
      <c r="VEP154" s="72"/>
      <c r="VEQ154" s="72"/>
      <c r="VER154" s="72"/>
      <c r="VES154" s="72"/>
      <c r="VET154" s="72"/>
      <c r="VEU154" s="72"/>
      <c r="VEV154" s="72"/>
      <c r="VEW154" s="72"/>
      <c r="VEX154" s="72"/>
      <c r="VEY154" s="72"/>
      <c r="VEZ154" s="72"/>
      <c r="VFA154" s="72"/>
      <c r="VFB154" s="72"/>
      <c r="VFC154" s="72"/>
      <c r="VFD154" s="72"/>
      <c r="VFE154" s="72"/>
      <c r="VFF154" s="72"/>
      <c r="VFG154" s="72"/>
      <c r="VFH154" s="72"/>
      <c r="VFI154" s="72"/>
      <c r="VFJ154" s="72"/>
      <c r="VFK154" s="72"/>
      <c r="VFL154" s="72"/>
      <c r="VFM154" s="72"/>
      <c r="VFN154" s="72"/>
      <c r="VFO154" s="72"/>
      <c r="VFP154" s="72"/>
      <c r="VFQ154" s="72"/>
      <c r="VFR154" s="72"/>
      <c r="VFS154" s="72"/>
      <c r="VFT154" s="72"/>
      <c r="VFU154" s="72"/>
      <c r="VFV154" s="72"/>
      <c r="VFW154" s="72"/>
      <c r="VFX154" s="72"/>
      <c r="VFY154" s="72"/>
      <c r="VFZ154" s="72"/>
      <c r="VGA154" s="72"/>
      <c r="VGB154" s="72"/>
      <c r="VGC154" s="72"/>
      <c r="VGD154" s="72"/>
      <c r="VGE154" s="72"/>
      <c r="VGF154" s="72"/>
      <c r="VGG154" s="72"/>
      <c r="VGH154" s="72"/>
      <c r="VGI154" s="72"/>
      <c r="VGJ154" s="72"/>
      <c r="VGK154" s="72"/>
      <c r="VGL154" s="72"/>
      <c r="VGM154" s="72"/>
      <c r="VGN154" s="72"/>
      <c r="VGO154" s="72"/>
      <c r="VGP154" s="72"/>
      <c r="VGQ154" s="72"/>
      <c r="VGR154" s="72"/>
      <c r="VGS154" s="72"/>
      <c r="VGT154" s="72"/>
      <c r="VGU154" s="72"/>
      <c r="VGV154" s="72"/>
      <c r="VGW154" s="72"/>
      <c r="VGX154" s="72"/>
      <c r="VGY154" s="72"/>
      <c r="VGZ154" s="72"/>
      <c r="VHA154" s="72"/>
      <c r="VHB154" s="72"/>
      <c r="VHC154" s="72"/>
      <c r="VHD154" s="72"/>
      <c r="VHE154" s="72"/>
      <c r="VHF154" s="72"/>
      <c r="VHG154" s="72"/>
      <c r="VHH154" s="72"/>
      <c r="VHI154" s="72"/>
      <c r="VHJ154" s="72"/>
      <c r="VHK154" s="72"/>
      <c r="VHL154" s="72"/>
      <c r="VHM154" s="72"/>
      <c r="VHN154" s="72"/>
      <c r="VHO154" s="72"/>
      <c r="VHP154" s="72"/>
      <c r="VHQ154" s="72"/>
      <c r="VHR154" s="72"/>
      <c r="VHS154" s="72"/>
      <c r="VHT154" s="72"/>
      <c r="VHU154" s="72"/>
      <c r="VHV154" s="72"/>
      <c r="VHW154" s="72"/>
      <c r="VHX154" s="72"/>
      <c r="VHY154" s="72"/>
      <c r="VHZ154" s="72"/>
      <c r="VIA154" s="72"/>
      <c r="VIB154" s="72"/>
      <c r="VIC154" s="72"/>
      <c r="VID154" s="72"/>
      <c r="VIE154" s="72"/>
      <c r="VIF154" s="72"/>
      <c r="VIG154" s="72"/>
      <c r="VIH154" s="72"/>
      <c r="VII154" s="72"/>
      <c r="VIJ154" s="72"/>
      <c r="VIK154" s="72"/>
      <c r="VIL154" s="72"/>
      <c r="VIM154" s="72"/>
      <c r="VIN154" s="72"/>
      <c r="VIO154" s="72"/>
      <c r="VIP154" s="72"/>
      <c r="VIQ154" s="72"/>
      <c r="VIR154" s="72"/>
      <c r="VIS154" s="72"/>
      <c r="VIT154" s="72"/>
      <c r="VIU154" s="72"/>
      <c r="VIV154" s="72"/>
      <c r="VIW154" s="72"/>
      <c r="VIX154" s="72"/>
      <c r="VIY154" s="72"/>
      <c r="VIZ154" s="72"/>
      <c r="VJA154" s="72"/>
      <c r="VJB154" s="72"/>
      <c r="VJC154" s="72"/>
      <c r="VJD154" s="72"/>
      <c r="VJE154" s="72"/>
      <c r="VJF154" s="72"/>
      <c r="VJG154" s="72"/>
      <c r="VJH154" s="72"/>
      <c r="VJI154" s="72"/>
      <c r="VJJ154" s="72"/>
      <c r="VJK154" s="72"/>
      <c r="VJL154" s="72"/>
      <c r="VJM154" s="72"/>
      <c r="VJN154" s="72"/>
      <c r="VJO154" s="72"/>
      <c r="VJP154" s="72"/>
      <c r="VJQ154" s="72"/>
      <c r="VJR154" s="72"/>
      <c r="VJS154" s="72"/>
      <c r="VJT154" s="72"/>
      <c r="VJU154" s="72"/>
      <c r="VJV154" s="72"/>
      <c r="VJW154" s="72"/>
      <c r="VJX154" s="72"/>
      <c r="VJY154" s="72"/>
      <c r="VJZ154" s="72"/>
      <c r="VKA154" s="72"/>
      <c r="VKB154" s="72"/>
      <c r="VKC154" s="72"/>
      <c r="VKD154" s="72"/>
      <c r="VKE154" s="72"/>
      <c r="VKF154" s="72"/>
      <c r="VKG154" s="72"/>
      <c r="VKH154" s="72"/>
      <c r="VKI154" s="72"/>
      <c r="VKJ154" s="72"/>
      <c r="VKK154" s="72"/>
      <c r="VKL154" s="72"/>
      <c r="VKM154" s="72"/>
      <c r="VKN154" s="72"/>
      <c r="VKO154" s="72"/>
      <c r="VKP154" s="72"/>
      <c r="VKQ154" s="72"/>
      <c r="VKR154" s="72"/>
      <c r="VKS154" s="72"/>
      <c r="VKT154" s="72"/>
      <c r="VKU154" s="72"/>
      <c r="VKV154" s="72"/>
      <c r="VKW154" s="72"/>
      <c r="VKX154" s="72"/>
      <c r="VKY154" s="72"/>
      <c r="VKZ154" s="72"/>
      <c r="VLA154" s="72"/>
      <c r="VLB154" s="72"/>
      <c r="VLC154" s="72"/>
      <c r="VLD154" s="72"/>
      <c r="VLE154" s="72"/>
      <c r="VLF154" s="72"/>
      <c r="VLG154" s="72"/>
      <c r="VLH154" s="72"/>
      <c r="VLI154" s="72"/>
      <c r="VLJ154" s="72"/>
      <c r="VLK154" s="72"/>
      <c r="VLL154" s="72"/>
      <c r="VLM154" s="72"/>
      <c r="VLN154" s="72"/>
      <c r="VLO154" s="72"/>
      <c r="VLP154" s="72"/>
      <c r="VLQ154" s="72"/>
      <c r="VLR154" s="72"/>
      <c r="VLS154" s="72"/>
      <c r="VLT154" s="72"/>
      <c r="VLU154" s="72"/>
      <c r="VLV154" s="72"/>
      <c r="VLW154" s="72"/>
      <c r="VLX154" s="72"/>
      <c r="VLY154" s="72"/>
      <c r="VLZ154" s="72"/>
      <c r="VMA154" s="72"/>
      <c r="VMB154" s="72"/>
      <c r="VMC154" s="72"/>
      <c r="VMD154" s="72"/>
      <c r="VME154" s="72"/>
      <c r="VMF154" s="72"/>
      <c r="VMG154" s="72"/>
      <c r="VMH154" s="72"/>
      <c r="VMI154" s="72"/>
      <c r="VMJ154" s="72"/>
      <c r="VMK154" s="72"/>
      <c r="VML154" s="72"/>
      <c r="VMM154" s="72"/>
      <c r="VMN154" s="72"/>
      <c r="VMO154" s="72"/>
      <c r="VMP154" s="72"/>
      <c r="VMQ154" s="72"/>
      <c r="VMR154" s="72"/>
      <c r="VMS154" s="72"/>
      <c r="VMT154" s="72"/>
      <c r="VMU154" s="72"/>
      <c r="VMV154" s="72"/>
      <c r="VMW154" s="72"/>
      <c r="VMX154" s="72"/>
      <c r="VMY154" s="72"/>
      <c r="VMZ154" s="72"/>
      <c r="VNA154" s="72"/>
      <c r="VNB154" s="72"/>
      <c r="VNC154" s="72"/>
      <c r="VND154" s="72"/>
      <c r="VNE154" s="72"/>
      <c r="VNF154" s="72"/>
      <c r="VNG154" s="72"/>
      <c r="VNH154" s="72"/>
      <c r="VNI154" s="72"/>
      <c r="VNJ154" s="72"/>
      <c r="VNK154" s="72"/>
      <c r="VNL154" s="72"/>
      <c r="VNM154" s="72"/>
      <c r="VNN154" s="72"/>
      <c r="VNO154" s="72"/>
      <c r="VNP154" s="72"/>
      <c r="VNQ154" s="72"/>
      <c r="VNR154" s="72"/>
      <c r="VNS154" s="72"/>
      <c r="VNT154" s="72"/>
      <c r="VNU154" s="72"/>
      <c r="VNV154" s="72"/>
      <c r="VNW154" s="72"/>
      <c r="VNX154" s="72"/>
      <c r="VNY154" s="72"/>
      <c r="VNZ154" s="72"/>
      <c r="VOA154" s="72"/>
      <c r="VOB154" s="72"/>
      <c r="VOC154" s="72"/>
      <c r="VOD154" s="72"/>
      <c r="VOE154" s="72"/>
      <c r="VOF154" s="72"/>
      <c r="VOG154" s="72"/>
      <c r="VOH154" s="72"/>
      <c r="VOI154" s="72"/>
      <c r="VOJ154" s="72"/>
      <c r="VOK154" s="72"/>
      <c r="VOL154" s="72"/>
      <c r="VOM154" s="72"/>
      <c r="VON154" s="72"/>
      <c r="VOO154" s="72"/>
      <c r="VOP154" s="72"/>
      <c r="VOQ154" s="72"/>
      <c r="VOR154" s="72"/>
      <c r="VOS154" s="72"/>
      <c r="VOT154" s="72"/>
      <c r="VOU154" s="72"/>
      <c r="VOV154" s="72"/>
      <c r="VOW154" s="72"/>
      <c r="VOX154" s="72"/>
      <c r="VOY154" s="72"/>
      <c r="VOZ154" s="72"/>
      <c r="VPA154" s="72"/>
      <c r="VPB154" s="72"/>
      <c r="VPC154" s="72"/>
      <c r="VPD154" s="72"/>
      <c r="VPE154" s="72"/>
      <c r="VPF154" s="72"/>
      <c r="VPG154" s="72"/>
      <c r="VPH154" s="72"/>
      <c r="VPI154" s="72"/>
      <c r="VPJ154" s="72"/>
      <c r="VPK154" s="72"/>
      <c r="VPL154" s="72"/>
      <c r="VPM154" s="72"/>
      <c r="VPN154" s="72"/>
      <c r="VPO154" s="72"/>
      <c r="VPP154" s="72"/>
      <c r="VPQ154" s="72"/>
      <c r="VPR154" s="72"/>
      <c r="VPS154" s="72"/>
      <c r="VPT154" s="72"/>
      <c r="VPU154" s="72"/>
      <c r="VPV154" s="72"/>
      <c r="VPW154" s="72"/>
      <c r="VPX154" s="72"/>
      <c r="VPY154" s="72"/>
      <c r="VPZ154" s="72"/>
      <c r="VQA154" s="72"/>
      <c r="VQB154" s="72"/>
      <c r="VQC154" s="72"/>
      <c r="VQD154" s="72"/>
      <c r="VQE154" s="72"/>
      <c r="VQF154" s="72"/>
      <c r="VQG154" s="72"/>
      <c r="VQH154" s="72"/>
      <c r="VQI154" s="72"/>
      <c r="VQJ154" s="72"/>
      <c r="VQK154" s="72"/>
      <c r="VQL154" s="72"/>
      <c r="VQM154" s="72"/>
      <c r="VQN154" s="72"/>
      <c r="VQO154" s="72"/>
      <c r="VQP154" s="72"/>
      <c r="VQQ154" s="72"/>
      <c r="VQR154" s="72"/>
      <c r="VQS154" s="72"/>
      <c r="VQT154" s="72"/>
      <c r="VQU154" s="72"/>
      <c r="VQV154" s="72"/>
      <c r="VQW154" s="72"/>
      <c r="VQX154" s="72"/>
      <c r="VQY154" s="72"/>
      <c r="VQZ154" s="72"/>
      <c r="VRA154" s="72"/>
      <c r="VRB154" s="72"/>
      <c r="VRC154" s="72"/>
      <c r="VRD154" s="72"/>
      <c r="VRE154" s="72"/>
      <c r="VRF154" s="72"/>
      <c r="VRG154" s="72"/>
      <c r="VRH154" s="72"/>
      <c r="VRI154" s="72"/>
      <c r="VRJ154" s="72"/>
      <c r="VRK154" s="72"/>
      <c r="VRL154" s="72"/>
      <c r="VRM154" s="72"/>
      <c r="VRN154" s="72"/>
      <c r="VRO154" s="72"/>
      <c r="VRP154" s="72"/>
      <c r="VRQ154" s="72"/>
      <c r="VRR154" s="72"/>
      <c r="VRS154" s="72"/>
      <c r="VRT154" s="72"/>
      <c r="VRU154" s="72"/>
      <c r="VRV154" s="72"/>
      <c r="VRW154" s="72"/>
      <c r="VRX154" s="72"/>
      <c r="VRY154" s="72"/>
      <c r="VRZ154" s="72"/>
      <c r="VSA154" s="72"/>
      <c r="VSB154" s="72"/>
      <c r="VSC154" s="72"/>
      <c r="VSD154" s="72"/>
      <c r="VSE154" s="72"/>
      <c r="VSF154" s="72"/>
      <c r="VSG154" s="72"/>
      <c r="VSH154" s="72"/>
      <c r="VSI154" s="72"/>
      <c r="VSJ154" s="72"/>
      <c r="VSK154" s="72"/>
      <c r="VSL154" s="72"/>
      <c r="VSM154" s="72"/>
      <c r="VSN154" s="72"/>
      <c r="VSO154" s="72"/>
      <c r="VSP154" s="72"/>
      <c r="VSQ154" s="72"/>
      <c r="VSR154" s="72"/>
      <c r="VSS154" s="72"/>
      <c r="VST154" s="72"/>
      <c r="VSU154" s="72"/>
      <c r="VSV154" s="72"/>
      <c r="VSW154" s="72"/>
      <c r="VSX154" s="72"/>
      <c r="VSY154" s="72"/>
      <c r="VSZ154" s="72"/>
      <c r="VTA154" s="72"/>
      <c r="VTB154" s="72"/>
      <c r="VTC154" s="72"/>
      <c r="VTD154" s="72"/>
      <c r="VTE154" s="72"/>
      <c r="VTF154" s="72"/>
      <c r="VTG154" s="72"/>
      <c r="VTH154" s="72"/>
      <c r="VTI154" s="72"/>
      <c r="VTJ154" s="72"/>
      <c r="VTK154" s="72"/>
      <c r="VTL154" s="72"/>
      <c r="VTM154" s="72"/>
      <c r="VTN154" s="72"/>
      <c r="VTO154" s="72"/>
      <c r="VTP154" s="72"/>
      <c r="VTQ154" s="72"/>
      <c r="VTR154" s="72"/>
      <c r="VTS154" s="72"/>
      <c r="VTT154" s="72"/>
      <c r="VTU154" s="72"/>
      <c r="VTV154" s="72"/>
      <c r="VTW154" s="72"/>
      <c r="VTX154" s="72"/>
      <c r="VTY154" s="72"/>
      <c r="VTZ154" s="72"/>
      <c r="VUA154" s="72"/>
      <c r="VUB154" s="72"/>
      <c r="VUC154" s="72"/>
      <c r="VUD154" s="72"/>
      <c r="VUE154" s="72"/>
      <c r="VUF154" s="72"/>
      <c r="VUG154" s="72"/>
      <c r="VUH154" s="72"/>
      <c r="VUI154" s="72"/>
      <c r="VUJ154" s="72"/>
      <c r="VUK154" s="72"/>
      <c r="VUL154" s="72"/>
      <c r="VUM154" s="72"/>
      <c r="VUN154" s="72"/>
      <c r="VUO154" s="72"/>
      <c r="VUP154" s="72"/>
      <c r="VUQ154" s="72"/>
      <c r="VUR154" s="72"/>
      <c r="VUS154" s="72"/>
      <c r="VUT154" s="72"/>
      <c r="VUU154" s="72"/>
      <c r="VUV154" s="72"/>
      <c r="VUW154" s="72"/>
      <c r="VUX154" s="72"/>
      <c r="VUY154" s="72"/>
      <c r="VUZ154" s="72"/>
      <c r="VVA154" s="72"/>
      <c r="VVB154" s="72"/>
      <c r="VVC154" s="72"/>
      <c r="VVD154" s="72"/>
      <c r="VVE154" s="72"/>
      <c r="VVF154" s="72"/>
      <c r="VVG154" s="72"/>
      <c r="VVH154" s="72"/>
      <c r="VVI154" s="72"/>
      <c r="VVJ154" s="72"/>
      <c r="VVK154" s="72"/>
      <c r="VVL154" s="72"/>
      <c r="VVM154" s="72"/>
      <c r="VVN154" s="72"/>
      <c r="VVO154" s="72"/>
      <c r="VVP154" s="72"/>
      <c r="VVQ154" s="72"/>
      <c r="VVR154" s="72"/>
      <c r="VVS154" s="72"/>
      <c r="VVT154" s="72"/>
      <c r="VVU154" s="72"/>
      <c r="VVV154" s="72"/>
      <c r="VVW154" s="72"/>
      <c r="VVX154" s="72"/>
      <c r="VVY154" s="72"/>
      <c r="VVZ154" s="72"/>
      <c r="VWA154" s="72"/>
      <c r="VWB154" s="72"/>
      <c r="VWC154" s="72"/>
      <c r="VWD154" s="72"/>
      <c r="VWE154" s="72"/>
      <c r="VWF154" s="72"/>
      <c r="VWG154" s="72"/>
      <c r="VWH154" s="72"/>
      <c r="VWI154" s="72"/>
      <c r="VWJ154" s="72"/>
      <c r="VWK154" s="72"/>
      <c r="VWL154" s="72"/>
      <c r="VWM154" s="72"/>
      <c r="VWN154" s="72"/>
      <c r="VWO154" s="72"/>
      <c r="VWP154" s="72"/>
      <c r="VWQ154" s="72"/>
      <c r="VWR154" s="72"/>
      <c r="VWS154" s="72"/>
      <c r="VWT154" s="72"/>
      <c r="VWU154" s="72"/>
      <c r="VWV154" s="72"/>
      <c r="VWW154" s="72"/>
      <c r="VWX154" s="72"/>
      <c r="VWY154" s="72"/>
      <c r="VWZ154" s="72"/>
      <c r="VXA154" s="72"/>
      <c r="VXB154" s="72"/>
      <c r="VXC154" s="72"/>
      <c r="VXD154" s="72"/>
      <c r="VXE154" s="72"/>
      <c r="VXF154" s="72"/>
      <c r="VXG154" s="72"/>
      <c r="VXH154" s="72"/>
      <c r="VXI154" s="72"/>
      <c r="VXJ154" s="72"/>
      <c r="VXK154" s="72"/>
      <c r="VXL154" s="72"/>
      <c r="VXM154" s="72"/>
      <c r="VXN154" s="72"/>
      <c r="VXO154" s="72"/>
      <c r="VXP154" s="72"/>
      <c r="VXQ154" s="72"/>
      <c r="VXR154" s="72"/>
      <c r="VXS154" s="72"/>
      <c r="VXT154" s="72"/>
      <c r="VXU154" s="72"/>
      <c r="VXV154" s="72"/>
      <c r="VXW154" s="72"/>
      <c r="VXX154" s="72"/>
      <c r="VXY154" s="72"/>
      <c r="VXZ154" s="72"/>
      <c r="VYA154" s="72"/>
      <c r="VYB154" s="72"/>
      <c r="VYC154" s="72"/>
      <c r="VYD154" s="72"/>
      <c r="VYE154" s="72"/>
      <c r="VYF154" s="72"/>
      <c r="VYG154" s="72"/>
      <c r="VYH154" s="72"/>
      <c r="VYI154" s="72"/>
      <c r="VYJ154" s="72"/>
      <c r="VYK154" s="72"/>
      <c r="VYL154" s="72"/>
      <c r="VYM154" s="72"/>
      <c r="VYN154" s="72"/>
      <c r="VYO154" s="72"/>
      <c r="VYP154" s="72"/>
      <c r="VYQ154" s="72"/>
      <c r="VYR154" s="72"/>
      <c r="VYS154" s="72"/>
      <c r="VYT154" s="72"/>
      <c r="VYU154" s="72"/>
      <c r="VYV154" s="72"/>
      <c r="VYW154" s="72"/>
      <c r="VYX154" s="72"/>
      <c r="VYY154" s="72"/>
      <c r="VYZ154" s="72"/>
      <c r="VZA154" s="72"/>
      <c r="VZB154" s="72"/>
      <c r="VZC154" s="72"/>
      <c r="VZD154" s="72"/>
      <c r="VZE154" s="72"/>
      <c r="VZF154" s="72"/>
      <c r="VZG154" s="72"/>
      <c r="VZH154" s="72"/>
      <c r="VZI154" s="72"/>
      <c r="VZJ154" s="72"/>
      <c r="VZK154" s="72"/>
      <c r="VZL154" s="72"/>
      <c r="VZM154" s="72"/>
      <c r="VZN154" s="72"/>
      <c r="VZO154" s="72"/>
      <c r="VZP154" s="72"/>
      <c r="VZQ154" s="72"/>
      <c r="VZR154" s="72"/>
      <c r="VZS154" s="72"/>
      <c r="VZT154" s="72"/>
      <c r="VZU154" s="72"/>
      <c r="VZV154" s="72"/>
      <c r="VZW154" s="72"/>
      <c r="VZX154" s="72"/>
      <c r="VZY154" s="72"/>
      <c r="VZZ154" s="72"/>
      <c r="WAA154" s="72"/>
      <c r="WAB154" s="72"/>
      <c r="WAC154" s="72"/>
      <c r="WAD154" s="72"/>
      <c r="WAE154" s="72"/>
      <c r="WAF154" s="72"/>
      <c r="WAG154" s="72"/>
      <c r="WAH154" s="72"/>
      <c r="WAI154" s="72"/>
      <c r="WAJ154" s="72"/>
      <c r="WAK154" s="72"/>
      <c r="WAL154" s="72"/>
      <c r="WAM154" s="72"/>
      <c r="WAN154" s="72"/>
      <c r="WAO154" s="72"/>
      <c r="WAP154" s="72"/>
      <c r="WAQ154" s="72"/>
      <c r="WAR154" s="72"/>
      <c r="WAS154" s="72"/>
      <c r="WAT154" s="72"/>
      <c r="WAU154" s="72"/>
      <c r="WAV154" s="72"/>
      <c r="WAW154" s="72"/>
      <c r="WAX154" s="72"/>
      <c r="WAY154" s="72"/>
      <c r="WAZ154" s="72"/>
      <c r="WBA154" s="72"/>
      <c r="WBB154" s="72"/>
      <c r="WBC154" s="72"/>
      <c r="WBD154" s="72"/>
      <c r="WBE154" s="72"/>
      <c r="WBF154" s="72"/>
      <c r="WBG154" s="72"/>
      <c r="WBH154" s="72"/>
      <c r="WBI154" s="72"/>
      <c r="WBJ154" s="72"/>
      <c r="WBK154" s="72"/>
      <c r="WBL154" s="72"/>
      <c r="WBM154" s="72"/>
      <c r="WBN154" s="72"/>
      <c r="WBO154" s="72"/>
      <c r="WBP154" s="72"/>
      <c r="WBQ154" s="72"/>
      <c r="WBR154" s="72"/>
      <c r="WBS154" s="72"/>
      <c r="WBT154" s="72"/>
      <c r="WBU154" s="72"/>
      <c r="WBV154" s="72"/>
      <c r="WBW154" s="72"/>
      <c r="WBX154" s="72"/>
      <c r="WBY154" s="72"/>
      <c r="WBZ154" s="72"/>
      <c r="WCA154" s="72"/>
      <c r="WCB154" s="72"/>
      <c r="WCC154" s="72"/>
      <c r="WCD154" s="72"/>
      <c r="WCE154" s="72"/>
      <c r="WCF154" s="72"/>
      <c r="WCG154" s="72"/>
      <c r="WCH154" s="72"/>
      <c r="WCI154" s="72"/>
      <c r="WCJ154" s="72"/>
      <c r="WCK154" s="72"/>
      <c r="WCL154" s="72"/>
      <c r="WCM154" s="72"/>
      <c r="WCN154" s="72"/>
      <c r="WCO154" s="72"/>
      <c r="WCP154" s="72"/>
      <c r="WCQ154" s="72"/>
      <c r="WCR154" s="72"/>
      <c r="WCS154" s="72"/>
      <c r="WCT154" s="72"/>
      <c r="WCU154" s="72"/>
      <c r="WCV154" s="72"/>
      <c r="WCW154" s="72"/>
      <c r="WCX154" s="72"/>
      <c r="WCY154" s="72"/>
      <c r="WCZ154" s="72"/>
      <c r="WDA154" s="72"/>
      <c r="WDB154" s="72"/>
      <c r="WDC154" s="72"/>
      <c r="WDD154" s="72"/>
      <c r="WDE154" s="72"/>
      <c r="WDF154" s="72"/>
      <c r="WDG154" s="72"/>
      <c r="WDH154" s="72"/>
      <c r="WDI154" s="72"/>
      <c r="WDJ154" s="72"/>
      <c r="WDK154" s="72"/>
      <c r="WDL154" s="72"/>
      <c r="WDM154" s="72"/>
      <c r="WDN154" s="72"/>
      <c r="WDO154" s="72"/>
      <c r="WDP154" s="72"/>
      <c r="WDQ154" s="72"/>
      <c r="WDR154" s="72"/>
      <c r="WDS154" s="72"/>
      <c r="WDT154" s="72"/>
      <c r="WDU154" s="72"/>
      <c r="WDV154" s="72"/>
      <c r="WDW154" s="72"/>
      <c r="WDX154" s="72"/>
      <c r="WDY154" s="72"/>
      <c r="WDZ154" s="72"/>
      <c r="WEA154" s="72"/>
      <c r="WEB154" s="72"/>
      <c r="WEC154" s="72"/>
      <c r="WED154" s="72"/>
      <c r="WEE154" s="72"/>
      <c r="WEF154" s="72"/>
      <c r="WEG154" s="72"/>
      <c r="WEH154" s="72"/>
      <c r="WEI154" s="72"/>
      <c r="WEJ154" s="72"/>
      <c r="WEK154" s="72"/>
      <c r="WEL154" s="72"/>
      <c r="WEM154" s="72"/>
      <c r="WEN154" s="72"/>
      <c r="WEO154" s="72"/>
      <c r="WEP154" s="72"/>
      <c r="WEQ154" s="72"/>
      <c r="WER154" s="72"/>
      <c r="WES154" s="72"/>
      <c r="WET154" s="72"/>
      <c r="WEU154" s="72"/>
      <c r="WEV154" s="72"/>
      <c r="WEW154" s="72"/>
      <c r="WEX154" s="72"/>
      <c r="WEY154" s="72"/>
      <c r="WEZ154" s="72"/>
      <c r="WFA154" s="72"/>
      <c r="WFB154" s="72"/>
      <c r="WFC154" s="72"/>
      <c r="WFD154" s="72"/>
      <c r="WFE154" s="72"/>
      <c r="WFF154" s="72"/>
      <c r="WFG154" s="72"/>
      <c r="WFH154" s="72"/>
      <c r="WFI154" s="72"/>
      <c r="WFJ154" s="72"/>
      <c r="WFK154" s="72"/>
      <c r="WFL154" s="72"/>
      <c r="WFM154" s="72"/>
      <c r="WFN154" s="72"/>
      <c r="WFO154" s="72"/>
      <c r="WFP154" s="72"/>
      <c r="WFQ154" s="72"/>
      <c r="WFR154" s="72"/>
      <c r="WFS154" s="72"/>
      <c r="WFT154" s="72"/>
      <c r="WFU154" s="72"/>
      <c r="WFV154" s="72"/>
      <c r="WFW154" s="72"/>
      <c r="WFX154" s="72"/>
      <c r="WFY154" s="72"/>
      <c r="WFZ154" s="72"/>
      <c r="WGA154" s="72"/>
      <c r="WGB154" s="72"/>
      <c r="WGC154" s="72"/>
      <c r="WGD154" s="72"/>
      <c r="WGE154" s="72"/>
      <c r="WGF154" s="72"/>
      <c r="WGG154" s="72"/>
      <c r="WGH154" s="72"/>
      <c r="WGI154" s="72"/>
      <c r="WGJ154" s="72"/>
      <c r="WGK154" s="72"/>
      <c r="WGL154" s="72"/>
      <c r="WGM154" s="72"/>
      <c r="WGN154" s="72"/>
      <c r="WGO154" s="72"/>
      <c r="WGP154" s="72"/>
      <c r="WGQ154" s="72"/>
      <c r="WGR154" s="72"/>
      <c r="WGS154" s="72"/>
      <c r="WGT154" s="72"/>
      <c r="WGU154" s="72"/>
      <c r="WGV154" s="72"/>
      <c r="WGW154" s="72"/>
      <c r="WGX154" s="72"/>
      <c r="WGY154" s="72"/>
      <c r="WGZ154" s="72"/>
      <c r="WHA154" s="72"/>
      <c r="WHB154" s="72"/>
      <c r="WHC154" s="72"/>
      <c r="WHD154" s="72"/>
      <c r="WHE154" s="72"/>
      <c r="WHF154" s="72"/>
      <c r="WHG154" s="72"/>
      <c r="WHH154" s="72"/>
      <c r="WHI154" s="72"/>
      <c r="WHJ154" s="72"/>
      <c r="WHK154" s="72"/>
      <c r="WHL154" s="72"/>
      <c r="WHM154" s="72"/>
      <c r="WHN154" s="72"/>
      <c r="WHO154" s="72"/>
      <c r="WHP154" s="72"/>
      <c r="WHQ154" s="72"/>
      <c r="WHR154" s="72"/>
      <c r="WHS154" s="72"/>
      <c r="WHT154" s="72"/>
      <c r="WHU154" s="72"/>
      <c r="WHV154" s="72"/>
      <c r="WHW154" s="72"/>
      <c r="WHX154" s="72"/>
      <c r="WHY154" s="72"/>
      <c r="WHZ154" s="72"/>
      <c r="WIA154" s="72"/>
      <c r="WIB154" s="72"/>
      <c r="WIC154" s="72"/>
      <c r="WID154" s="72"/>
      <c r="WIE154" s="72"/>
      <c r="WIF154" s="72"/>
      <c r="WIG154" s="72"/>
      <c r="WIH154" s="72"/>
      <c r="WII154" s="72"/>
      <c r="WIJ154" s="72"/>
      <c r="WIK154" s="72"/>
      <c r="WIL154" s="72"/>
      <c r="WIM154" s="72"/>
      <c r="WIN154" s="72"/>
      <c r="WIO154" s="72"/>
      <c r="WIP154" s="72"/>
      <c r="WIQ154" s="72"/>
      <c r="WIR154" s="72"/>
      <c r="WIS154" s="72"/>
      <c r="WIT154" s="72"/>
      <c r="WIU154" s="72"/>
      <c r="WIV154" s="72"/>
      <c r="WIW154" s="72"/>
      <c r="WIX154" s="72"/>
      <c r="WIY154" s="72"/>
      <c r="WIZ154" s="72"/>
      <c r="WJA154" s="72"/>
      <c r="WJB154" s="72"/>
      <c r="WJC154" s="72"/>
      <c r="WJD154" s="72"/>
      <c r="WJE154" s="72"/>
      <c r="WJF154" s="72"/>
      <c r="WJG154" s="72"/>
      <c r="WJH154" s="72"/>
      <c r="WJI154" s="72"/>
      <c r="WJJ154" s="72"/>
      <c r="WJK154" s="72"/>
      <c r="WJL154" s="72"/>
      <c r="WJM154" s="72"/>
      <c r="WJN154" s="72"/>
      <c r="WJO154" s="72"/>
      <c r="WJP154" s="72"/>
      <c r="WJQ154" s="72"/>
      <c r="WJR154" s="72"/>
      <c r="WJS154" s="72"/>
      <c r="WJT154" s="72"/>
      <c r="WJU154" s="72"/>
      <c r="WJV154" s="72"/>
      <c r="WJW154" s="72"/>
      <c r="WJX154" s="72"/>
      <c r="WJY154" s="72"/>
      <c r="WJZ154" s="72"/>
      <c r="WKA154" s="72"/>
      <c r="WKB154" s="72"/>
      <c r="WKC154" s="72"/>
      <c r="WKD154" s="72"/>
      <c r="WKE154" s="72"/>
      <c r="WKF154" s="72"/>
      <c r="WKG154" s="72"/>
      <c r="WKH154" s="72"/>
      <c r="WKI154" s="72"/>
      <c r="WKJ154" s="72"/>
      <c r="WKK154" s="72"/>
      <c r="WKL154" s="72"/>
      <c r="WKM154" s="72"/>
      <c r="WKN154" s="72"/>
      <c r="WKO154" s="72"/>
      <c r="WKP154" s="72"/>
      <c r="WKQ154" s="72"/>
      <c r="WKR154" s="72"/>
      <c r="WKS154" s="72"/>
      <c r="WKT154" s="72"/>
      <c r="WKU154" s="72"/>
      <c r="WKV154" s="72"/>
      <c r="WKW154" s="72"/>
      <c r="WKX154" s="72"/>
      <c r="WKY154" s="72"/>
      <c r="WKZ154" s="72"/>
      <c r="WLA154" s="72"/>
      <c r="WLB154" s="72"/>
      <c r="WLC154" s="72"/>
      <c r="WLD154" s="72"/>
      <c r="WLE154" s="72"/>
      <c r="WLF154" s="72"/>
      <c r="WLG154" s="72"/>
      <c r="WLH154" s="72"/>
      <c r="WLI154" s="72"/>
      <c r="WLJ154" s="72"/>
      <c r="WLK154" s="72"/>
      <c r="WLL154" s="72"/>
      <c r="WLM154" s="72"/>
      <c r="WLN154" s="72"/>
      <c r="WLO154" s="72"/>
      <c r="WLP154" s="72"/>
      <c r="WLQ154" s="72"/>
      <c r="WLR154" s="72"/>
      <c r="WLS154" s="72"/>
      <c r="WLT154" s="72"/>
      <c r="WLU154" s="72"/>
      <c r="WLV154" s="72"/>
      <c r="WLW154" s="72"/>
      <c r="WLX154" s="72"/>
      <c r="WLY154" s="72"/>
      <c r="WLZ154" s="72"/>
      <c r="WMA154" s="72"/>
      <c r="WMB154" s="72"/>
      <c r="WMC154" s="72"/>
      <c r="WMD154" s="72"/>
      <c r="WME154" s="72"/>
      <c r="WMF154" s="72"/>
      <c r="WMG154" s="72"/>
      <c r="WMH154" s="72"/>
      <c r="WMI154" s="72"/>
      <c r="WMJ154" s="72"/>
      <c r="WMK154" s="72"/>
      <c r="WML154" s="72"/>
      <c r="WMM154" s="72"/>
      <c r="WMN154" s="72"/>
      <c r="WMO154" s="72"/>
      <c r="WMP154" s="72"/>
      <c r="WMQ154" s="72"/>
      <c r="WMR154" s="72"/>
      <c r="WMS154" s="72"/>
      <c r="WMT154" s="72"/>
      <c r="WMU154" s="72"/>
      <c r="WMV154" s="72"/>
      <c r="WMW154" s="72"/>
      <c r="WMX154" s="72"/>
      <c r="WMY154" s="72"/>
      <c r="WMZ154" s="72"/>
      <c r="WNA154" s="72"/>
      <c r="WNB154" s="72"/>
      <c r="WNC154" s="72"/>
      <c r="WND154" s="72"/>
      <c r="WNE154" s="72"/>
      <c r="WNF154" s="72"/>
      <c r="WNG154" s="72"/>
      <c r="WNH154" s="72"/>
      <c r="WNI154" s="72"/>
      <c r="WNJ154" s="72"/>
      <c r="WNK154" s="72"/>
      <c r="WNL154" s="72"/>
      <c r="WNM154" s="72"/>
      <c r="WNN154" s="72"/>
      <c r="WNO154" s="72"/>
      <c r="WNP154" s="72"/>
      <c r="WNQ154" s="72"/>
      <c r="WNR154" s="72"/>
      <c r="WNS154" s="72"/>
      <c r="WNT154" s="72"/>
      <c r="WNU154" s="72"/>
      <c r="WNV154" s="72"/>
      <c r="WNW154" s="72"/>
      <c r="WNX154" s="72"/>
      <c r="WNY154" s="72"/>
      <c r="WNZ154" s="72"/>
      <c r="WOA154" s="72"/>
      <c r="WOB154" s="72"/>
      <c r="WOC154" s="72"/>
      <c r="WOD154" s="72"/>
      <c r="WOE154" s="72"/>
      <c r="WOF154" s="72"/>
      <c r="WOG154" s="72"/>
      <c r="WOH154" s="72"/>
      <c r="WOI154" s="72"/>
      <c r="WOJ154" s="72"/>
      <c r="WOK154" s="72"/>
      <c r="WOL154" s="72"/>
      <c r="WOM154" s="72"/>
      <c r="WON154" s="72"/>
      <c r="WOO154" s="72"/>
      <c r="WOP154" s="72"/>
      <c r="WOQ154" s="72"/>
      <c r="WOR154" s="72"/>
      <c r="WOS154" s="72"/>
      <c r="WOT154" s="72"/>
      <c r="WOU154" s="72"/>
      <c r="WOV154" s="72"/>
      <c r="WOW154" s="72"/>
      <c r="WOX154" s="72"/>
      <c r="WOY154" s="72"/>
      <c r="WOZ154" s="72"/>
      <c r="WPA154" s="72"/>
      <c r="WPB154" s="72"/>
      <c r="WPC154" s="72"/>
      <c r="WPD154" s="72"/>
      <c r="WPE154" s="72"/>
      <c r="WPF154" s="72"/>
      <c r="WPG154" s="72"/>
      <c r="WPH154" s="72"/>
      <c r="WPI154" s="72"/>
      <c r="WPJ154" s="72"/>
      <c r="WPK154" s="72"/>
      <c r="WPL154" s="72"/>
      <c r="WPM154" s="72"/>
      <c r="WPN154" s="72"/>
      <c r="WPO154" s="72"/>
      <c r="WPP154" s="72"/>
      <c r="WPQ154" s="72"/>
      <c r="WPR154" s="72"/>
      <c r="WPS154" s="72"/>
      <c r="WPT154" s="72"/>
      <c r="WPU154" s="72"/>
      <c r="WPV154" s="72"/>
      <c r="WPW154" s="72"/>
      <c r="WPX154" s="72"/>
      <c r="WPY154" s="72"/>
      <c r="WPZ154" s="72"/>
      <c r="WQA154" s="72"/>
      <c r="WQB154" s="72"/>
      <c r="WQC154" s="72"/>
      <c r="WQD154" s="72"/>
      <c r="WQE154" s="72"/>
      <c r="WQF154" s="72"/>
      <c r="WQG154" s="72"/>
      <c r="WQH154" s="72"/>
      <c r="WQI154" s="72"/>
      <c r="WQJ154" s="72"/>
      <c r="WQK154" s="72"/>
      <c r="WQL154" s="72"/>
      <c r="WQM154" s="72"/>
      <c r="WQN154" s="72"/>
      <c r="WQO154" s="72"/>
      <c r="WQP154" s="72"/>
      <c r="WQQ154" s="72"/>
      <c r="WQR154" s="72"/>
      <c r="WQS154" s="72"/>
      <c r="WQT154" s="72"/>
      <c r="WQU154" s="72"/>
      <c r="WQV154" s="72"/>
      <c r="WQW154" s="72"/>
      <c r="WQX154" s="72"/>
      <c r="WQY154" s="72"/>
      <c r="WQZ154" s="72"/>
      <c r="WRA154" s="72"/>
      <c r="WRB154" s="72"/>
      <c r="WRC154" s="72"/>
      <c r="WRD154" s="72"/>
      <c r="WRE154" s="72"/>
      <c r="WRF154" s="72"/>
      <c r="WRG154" s="72"/>
      <c r="WRH154" s="72"/>
      <c r="WRI154" s="72"/>
      <c r="WRJ154" s="72"/>
      <c r="WRK154" s="72"/>
      <c r="WRL154" s="72"/>
      <c r="WRM154" s="72"/>
      <c r="WRN154" s="72"/>
      <c r="WRO154" s="72"/>
      <c r="WRP154" s="72"/>
      <c r="WRQ154" s="72"/>
      <c r="WRR154" s="72"/>
      <c r="WRS154" s="72"/>
      <c r="WRT154" s="72"/>
      <c r="WRU154" s="72"/>
      <c r="WRV154" s="72"/>
      <c r="WRW154" s="72"/>
      <c r="WRX154" s="72"/>
      <c r="WRY154" s="72"/>
      <c r="WRZ154" s="72"/>
      <c r="WSA154" s="72"/>
      <c r="WSB154" s="72"/>
      <c r="WSC154" s="72"/>
      <c r="WSD154" s="72"/>
      <c r="WSE154" s="72"/>
      <c r="WSF154" s="72"/>
      <c r="WSG154" s="72"/>
      <c r="WSH154" s="72"/>
      <c r="WSI154" s="72"/>
      <c r="WSJ154" s="72"/>
      <c r="WSK154" s="72"/>
      <c r="WSL154" s="72"/>
      <c r="WSM154" s="72"/>
      <c r="WSN154" s="72"/>
      <c r="WSO154" s="72"/>
      <c r="WSP154" s="72"/>
      <c r="WSQ154" s="72"/>
      <c r="WSR154" s="72"/>
      <c r="WSS154" s="72"/>
      <c r="WST154" s="72"/>
      <c r="WSU154" s="72"/>
      <c r="WSV154" s="72"/>
      <c r="WSW154" s="72"/>
      <c r="WSX154" s="72"/>
      <c r="WSY154" s="72"/>
      <c r="WSZ154" s="72"/>
      <c r="WTA154" s="72"/>
      <c r="WTB154" s="72"/>
      <c r="WTC154" s="72"/>
      <c r="WTD154" s="72"/>
      <c r="WTE154" s="72"/>
      <c r="WTF154" s="72"/>
      <c r="WTG154" s="72"/>
      <c r="WTH154" s="72"/>
      <c r="WTI154" s="72"/>
      <c r="WTJ154" s="72"/>
      <c r="WTK154" s="72"/>
      <c r="WTL154" s="72"/>
      <c r="WTM154" s="72"/>
      <c r="WTN154" s="72"/>
      <c r="WTO154" s="72"/>
      <c r="WTP154" s="72"/>
      <c r="WTQ154" s="72"/>
      <c r="WTR154" s="72"/>
      <c r="WTS154" s="72"/>
      <c r="WTT154" s="72"/>
      <c r="WTU154" s="72"/>
      <c r="WTV154" s="72"/>
      <c r="WTW154" s="72"/>
      <c r="WTX154" s="72"/>
      <c r="WTY154" s="72"/>
      <c r="WTZ154" s="72"/>
      <c r="WUA154" s="72"/>
      <c r="WUB154" s="72"/>
      <c r="WUC154" s="72"/>
      <c r="WUD154" s="72"/>
      <c r="WUE154" s="72"/>
      <c r="WUF154" s="72"/>
      <c r="WUG154" s="72"/>
      <c r="WUH154" s="72"/>
      <c r="WUI154" s="72"/>
      <c r="WUJ154" s="72"/>
      <c r="WUK154" s="72"/>
      <c r="WUL154" s="72"/>
      <c r="WUM154" s="72"/>
      <c r="WUN154" s="72"/>
      <c r="WUO154" s="72"/>
      <c r="WUP154" s="72"/>
      <c r="WUQ154" s="72"/>
      <c r="WUR154" s="72"/>
      <c r="WUS154" s="72"/>
      <c r="WUT154" s="72"/>
      <c r="WUU154" s="72"/>
      <c r="WUV154" s="72"/>
      <c r="WUW154" s="72"/>
      <c r="WUX154" s="72"/>
      <c r="WUY154" s="72"/>
      <c r="WUZ154" s="72"/>
      <c r="WVA154" s="72"/>
      <c r="WVB154" s="72"/>
      <c r="WVC154" s="72"/>
      <c r="WVD154" s="72"/>
      <c r="WVE154" s="72"/>
      <c r="WVF154" s="72"/>
      <c r="WVG154" s="72"/>
      <c r="WVH154" s="72"/>
      <c r="WVI154" s="72"/>
      <c r="WVJ154" s="72"/>
      <c r="WVK154" s="72"/>
      <c r="WVL154" s="72"/>
      <c r="WVM154" s="72"/>
      <c r="WVN154" s="72"/>
      <c r="WVO154" s="72"/>
      <c r="WVP154" s="72"/>
      <c r="WVQ154" s="72"/>
      <c r="WVR154" s="72"/>
      <c r="WVS154" s="72"/>
    </row>
    <row r="155" spans="1:16139" ht="156" customHeight="1" x14ac:dyDescent="0.25">
      <c r="A155" s="86">
        <v>133</v>
      </c>
      <c r="B155" s="86" t="s">
        <v>184</v>
      </c>
      <c r="C155" s="51" t="s">
        <v>41</v>
      </c>
      <c r="D155" s="45" t="s">
        <v>39</v>
      </c>
      <c r="E155" s="45" t="s">
        <v>38</v>
      </c>
      <c r="F155" s="45">
        <v>1500</v>
      </c>
      <c r="G155" s="45">
        <v>2400</v>
      </c>
      <c r="H155" s="46">
        <f>F155*G155/10^6</f>
        <v>3.6</v>
      </c>
      <c r="I155" s="45">
        <v>1</v>
      </c>
      <c r="J155" s="53">
        <v>3373000</v>
      </c>
      <c r="K155" s="47">
        <v>1850000</v>
      </c>
      <c r="L155" s="48">
        <f>IF(H155&lt;&gt;0,J155*H155*I155+K155*I155,IF(J155&lt;&gt;0,G155*I155*J155,I155*K155))</f>
        <v>13992800</v>
      </c>
      <c r="M155" s="28"/>
      <c r="N155" s="28"/>
      <c r="O155" s="28"/>
      <c r="P155" s="28"/>
      <c r="Q155" s="28"/>
      <c r="R155" s="28"/>
      <c r="S155" s="28"/>
      <c r="T155" s="28"/>
      <c r="U155" s="28"/>
      <c r="V155" s="28"/>
      <c r="W155" s="28"/>
      <c r="X155" s="28"/>
      <c r="Y155" s="28"/>
      <c r="Z155" s="28"/>
      <c r="AA155" s="28"/>
      <c r="AB155" s="28"/>
      <c r="AC155" s="28"/>
      <c r="AD155" s="28"/>
      <c r="AE155" s="28"/>
      <c r="AF155" s="28"/>
      <c r="AG155" s="28"/>
      <c r="AH155" s="28"/>
    </row>
    <row r="156" spans="1:16139" ht="156" customHeight="1" x14ac:dyDescent="0.25">
      <c r="A156" s="86">
        <v>134</v>
      </c>
      <c r="B156" s="86" t="s">
        <v>185</v>
      </c>
      <c r="C156" s="51" t="s">
        <v>41</v>
      </c>
      <c r="D156" s="45" t="s">
        <v>39</v>
      </c>
      <c r="E156" s="45" t="s">
        <v>38</v>
      </c>
      <c r="F156" s="45">
        <v>1650</v>
      </c>
      <c r="G156" s="45">
        <v>2300</v>
      </c>
      <c r="H156" s="46">
        <f>F156*G156/10^6</f>
        <v>3.7949999999999999</v>
      </c>
      <c r="I156" s="45">
        <v>1</v>
      </c>
      <c r="J156" s="53">
        <v>3296000</v>
      </c>
      <c r="K156" s="47">
        <v>1850000</v>
      </c>
      <c r="L156" s="48">
        <f>IF(H156&lt;&gt;0,J156*H156*I156+K156*I156,IF(J156&lt;&gt;0,G156*I156*J156,I156*K156))</f>
        <v>14358320</v>
      </c>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spans="1:16139" ht="156" customHeight="1" x14ac:dyDescent="0.25">
      <c r="A157" s="86">
        <v>135</v>
      </c>
      <c r="B157" s="86" t="s">
        <v>186</v>
      </c>
      <c r="C157" s="51" t="s">
        <v>42</v>
      </c>
      <c r="D157" s="45" t="s">
        <v>45</v>
      </c>
      <c r="E157" s="45"/>
      <c r="F157" s="45">
        <v>1640</v>
      </c>
      <c r="G157" s="45">
        <v>2300</v>
      </c>
      <c r="H157" s="46">
        <f t="shared" ref="H157" si="48">F157*G157/10^6</f>
        <v>3.7719999999999998</v>
      </c>
      <c r="I157" s="45">
        <v>1</v>
      </c>
      <c r="J157" s="53">
        <v>2301000</v>
      </c>
      <c r="K157" s="47"/>
      <c r="L157" s="48">
        <f t="shared" ref="L157" si="49">IF(H157&lt;&gt;0,J157*H157*I157+K157*I157,IF(J157&lt;&gt;0,G157*I157*J157,I157*K157))</f>
        <v>8679372</v>
      </c>
      <c r="M157" s="28"/>
      <c r="N157" s="28"/>
      <c r="O157" s="28"/>
      <c r="P157" s="28"/>
      <c r="Q157" s="28"/>
      <c r="R157" s="28"/>
      <c r="S157" s="28"/>
      <c r="T157" s="28"/>
      <c r="U157" s="28"/>
      <c r="V157" s="28"/>
      <c r="W157" s="28"/>
      <c r="X157" s="28"/>
      <c r="Y157" s="28"/>
      <c r="Z157" s="28"/>
      <c r="AA157" s="28"/>
      <c r="AB157" s="28"/>
      <c r="AC157" s="28"/>
      <c r="AD157" s="28"/>
      <c r="AE157" s="28"/>
      <c r="AF157" s="28"/>
      <c r="AG157" s="28"/>
      <c r="AH157" s="28"/>
    </row>
    <row r="158" spans="1:16139" ht="146.25" customHeight="1" x14ac:dyDescent="0.25">
      <c r="A158" s="135">
        <v>136</v>
      </c>
      <c r="B158" s="137" t="s">
        <v>187</v>
      </c>
      <c r="C158" s="58" t="s">
        <v>42</v>
      </c>
      <c r="D158" s="45" t="s">
        <v>45</v>
      </c>
      <c r="E158" s="45"/>
      <c r="F158" s="45">
        <v>1200</v>
      </c>
      <c r="G158" s="45">
        <v>2300</v>
      </c>
      <c r="H158" s="46">
        <f>F158*G158/10^6</f>
        <v>2.76</v>
      </c>
      <c r="I158" s="45">
        <v>1</v>
      </c>
      <c r="J158" s="53">
        <v>2422000</v>
      </c>
      <c r="K158" s="47"/>
      <c r="L158" s="48">
        <f>IF(H158&lt;&gt;0,J158*H158*I158+K158*I158,IF(J158&lt;&gt;0,G158*I158*J158,I158*K158))</f>
        <v>6684719.9999999991</v>
      </c>
      <c r="M158" s="28"/>
      <c r="N158" s="28"/>
      <c r="O158" s="28"/>
      <c r="P158" s="28"/>
      <c r="Q158" s="28"/>
      <c r="R158" s="28"/>
      <c r="S158" s="28"/>
      <c r="T158" s="28"/>
      <c r="U158" s="28"/>
      <c r="V158" s="28"/>
      <c r="W158" s="28"/>
      <c r="X158" s="28"/>
      <c r="Y158" s="28"/>
      <c r="Z158" s="28"/>
      <c r="AA158" s="28"/>
      <c r="AB158" s="28"/>
      <c r="AC158" s="28"/>
      <c r="AD158" s="28"/>
      <c r="AE158" s="28"/>
      <c r="AF158" s="28"/>
      <c r="AG158" s="28"/>
      <c r="AH158" s="28"/>
    </row>
    <row r="159" spans="1:16139" ht="146.25" customHeight="1" x14ac:dyDescent="0.25">
      <c r="A159" s="149"/>
      <c r="B159" s="150"/>
      <c r="C159" s="58" t="s">
        <v>42</v>
      </c>
      <c r="D159" s="45" t="s">
        <v>207</v>
      </c>
      <c r="E159" s="45"/>
      <c r="F159" s="45">
        <f>2098-1200</f>
        <v>898</v>
      </c>
      <c r="G159" s="45">
        <v>2300</v>
      </c>
      <c r="H159" s="46">
        <f>F159*G159/10^6</f>
        <v>2.0653999999999999</v>
      </c>
      <c r="I159" s="45">
        <v>1</v>
      </c>
      <c r="J159" s="53">
        <v>4231000</v>
      </c>
      <c r="K159" s="47"/>
      <c r="L159" s="48">
        <f>IF(H159&lt;&gt;0,J159*H159*I159+K159*I159,IF(J159&lt;&gt;0,G159*I159*J159,I159*K159))</f>
        <v>8738707.4000000004</v>
      </c>
      <c r="M159" s="28"/>
      <c r="N159" s="28"/>
      <c r="O159" s="28"/>
      <c r="P159" s="28"/>
      <c r="Q159" s="28"/>
      <c r="R159" s="28"/>
      <c r="S159" s="28"/>
      <c r="T159" s="28"/>
      <c r="U159" s="28"/>
      <c r="V159" s="28"/>
      <c r="W159" s="28"/>
      <c r="X159" s="28"/>
      <c r="Y159" s="28"/>
      <c r="Z159" s="28"/>
      <c r="AA159" s="28"/>
      <c r="AB159" s="28"/>
      <c r="AC159" s="28"/>
      <c r="AD159" s="28"/>
      <c r="AE159" s="28"/>
      <c r="AF159" s="28"/>
      <c r="AG159" s="28"/>
      <c r="AH159" s="28"/>
    </row>
    <row r="160" spans="1:16139" ht="30.75" customHeight="1" x14ac:dyDescent="0.25">
      <c r="A160" s="136"/>
      <c r="B160" s="138"/>
      <c r="C160" s="69" t="s">
        <v>201</v>
      </c>
      <c r="D160" s="59"/>
      <c r="E160" s="59"/>
      <c r="F160" s="59">
        <f>898+1000</f>
        <v>1898</v>
      </c>
      <c r="G160" s="59"/>
      <c r="H160" s="60">
        <f t="shared" ref="H160:H161" si="50">F160*G160/10^6</f>
        <v>0</v>
      </c>
      <c r="I160" s="59">
        <v>1</v>
      </c>
      <c r="J160" s="53">
        <v>550000</v>
      </c>
      <c r="K160" s="47"/>
      <c r="L160" s="70">
        <f>F160*I160*J160/1000</f>
        <v>1043900</v>
      </c>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c r="EZ160" s="72"/>
      <c r="FA160" s="72"/>
      <c r="FB160" s="72"/>
      <c r="FC160" s="72"/>
      <c r="FD160" s="72"/>
      <c r="FE160" s="72"/>
      <c r="FF160" s="72"/>
      <c r="FG160" s="72"/>
      <c r="FH160" s="72"/>
      <c r="FI160" s="72"/>
      <c r="FJ160" s="72"/>
      <c r="FK160" s="72"/>
      <c r="FL160" s="72"/>
      <c r="FM160" s="72"/>
      <c r="FN160" s="72"/>
      <c r="FO160" s="72"/>
      <c r="FP160" s="72"/>
      <c r="FQ160" s="72"/>
      <c r="FR160" s="72"/>
      <c r="FS160" s="72"/>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c r="ME160" s="72"/>
      <c r="MF160" s="72"/>
      <c r="MG160" s="72"/>
      <c r="MH160" s="72"/>
      <c r="MI160" s="72"/>
      <c r="MJ160" s="72"/>
      <c r="MK160" s="72"/>
      <c r="ML160" s="72"/>
      <c r="MM160" s="72"/>
      <c r="MN160" s="72"/>
      <c r="MO160" s="72"/>
      <c r="MP160" s="72"/>
      <c r="MQ160" s="72"/>
      <c r="MR160" s="72"/>
      <c r="MS160" s="72"/>
      <c r="MT160" s="72"/>
      <c r="MU160" s="72"/>
      <c r="MV160" s="72"/>
      <c r="MW160" s="72"/>
      <c r="MX160" s="72"/>
      <c r="MY160" s="72"/>
      <c r="MZ160" s="72"/>
      <c r="NA160" s="72"/>
      <c r="NB160" s="72"/>
      <c r="NC160" s="72"/>
      <c r="ND160" s="72"/>
      <c r="NE160" s="72"/>
      <c r="NF160" s="72"/>
      <c r="NG160" s="72"/>
      <c r="NH160" s="72"/>
      <c r="NI160" s="72"/>
      <c r="NJ160" s="72"/>
      <c r="NK160" s="72"/>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c r="ON160" s="72"/>
      <c r="OO160" s="72"/>
      <c r="OP160" s="72"/>
      <c r="OQ160" s="72"/>
      <c r="OR160" s="72"/>
      <c r="OS160" s="72"/>
      <c r="OT160" s="72"/>
      <c r="OU160" s="72"/>
      <c r="OV160" s="72"/>
      <c r="OW160" s="72"/>
      <c r="OX160" s="72"/>
      <c r="OY160" s="72"/>
      <c r="OZ160" s="72"/>
      <c r="PA160" s="72"/>
      <c r="PB160" s="72"/>
      <c r="PC160" s="72"/>
      <c r="PD160" s="72"/>
      <c r="PE160" s="72"/>
      <c r="PF160" s="72"/>
      <c r="PG160" s="72"/>
      <c r="PH160" s="72"/>
      <c r="PI160" s="72"/>
      <c r="PJ160" s="72"/>
      <c r="PK160" s="72"/>
      <c r="PL160" s="72"/>
      <c r="PM160" s="72"/>
      <c r="PN160" s="72"/>
      <c r="PO160" s="72"/>
      <c r="PP160" s="72"/>
      <c r="PQ160" s="72"/>
      <c r="PR160" s="72"/>
      <c r="PS160" s="72"/>
      <c r="PT160" s="72"/>
      <c r="PU160" s="72"/>
      <c r="PV160" s="72"/>
      <c r="PW160" s="72"/>
      <c r="PX160" s="72"/>
      <c r="PY160" s="72"/>
      <c r="PZ160" s="72"/>
      <c r="QA160" s="72"/>
      <c r="QB160" s="72"/>
      <c r="QC160" s="72"/>
      <c r="QD160" s="72"/>
      <c r="QE160" s="72"/>
      <c r="QF160" s="72"/>
      <c r="QG160" s="72"/>
      <c r="QH160" s="72"/>
      <c r="QI160" s="72"/>
      <c r="QJ160" s="72"/>
      <c r="QK160" s="72"/>
      <c r="QL160" s="72"/>
      <c r="QM160" s="72"/>
      <c r="QN160" s="72"/>
      <c r="QO160" s="72"/>
      <c r="QP160" s="72"/>
      <c r="QQ160" s="72"/>
      <c r="QR160" s="72"/>
      <c r="QS160" s="72"/>
      <c r="QT160" s="72"/>
      <c r="QU160" s="72"/>
      <c r="QV160" s="72"/>
      <c r="QW160" s="72"/>
      <c r="QX160" s="72"/>
      <c r="QY160" s="72"/>
      <c r="QZ160" s="72"/>
      <c r="RA160" s="72"/>
      <c r="RB160" s="72"/>
      <c r="RC160" s="72"/>
      <c r="RD160" s="72"/>
      <c r="RE160" s="72"/>
      <c r="RF160" s="72"/>
      <c r="RG160" s="72"/>
      <c r="RH160" s="72"/>
      <c r="RI160" s="72"/>
      <c r="RJ160" s="72"/>
      <c r="RK160" s="72"/>
      <c r="RL160" s="72"/>
      <c r="RM160" s="72"/>
      <c r="RN160" s="72"/>
      <c r="RO160" s="72"/>
      <c r="RP160" s="72"/>
      <c r="RQ160" s="72"/>
      <c r="RR160" s="72"/>
      <c r="RS160" s="72"/>
      <c r="RT160" s="72"/>
      <c r="RU160" s="72"/>
      <c r="RV160" s="72"/>
      <c r="RW160" s="72"/>
      <c r="RX160" s="72"/>
      <c r="RY160" s="72"/>
      <c r="RZ160" s="72"/>
      <c r="SA160" s="72"/>
      <c r="SB160" s="72"/>
      <c r="SC160" s="72"/>
      <c r="SD160" s="72"/>
      <c r="SE160" s="72"/>
      <c r="SF160" s="72"/>
      <c r="SG160" s="72"/>
      <c r="SH160" s="72"/>
      <c r="SI160" s="72"/>
      <c r="SJ160" s="72"/>
      <c r="SK160" s="72"/>
      <c r="SL160" s="72"/>
      <c r="SM160" s="72"/>
      <c r="SN160" s="72"/>
      <c r="SO160" s="72"/>
      <c r="SP160" s="72"/>
      <c r="SQ160" s="72"/>
      <c r="SR160" s="72"/>
      <c r="SS160" s="72"/>
      <c r="ST160" s="72"/>
      <c r="SU160" s="72"/>
      <c r="SV160" s="72"/>
      <c r="SW160" s="72"/>
      <c r="SX160" s="72"/>
      <c r="SY160" s="72"/>
      <c r="SZ160" s="72"/>
      <c r="TA160" s="72"/>
      <c r="TB160" s="72"/>
      <c r="TC160" s="72"/>
      <c r="TD160" s="72"/>
      <c r="TE160" s="72"/>
      <c r="TF160" s="72"/>
      <c r="TG160" s="72"/>
      <c r="TH160" s="72"/>
      <c r="TI160" s="72"/>
      <c r="TJ160" s="72"/>
      <c r="TK160" s="72"/>
      <c r="TL160" s="72"/>
      <c r="TM160" s="72"/>
      <c r="TN160" s="72"/>
      <c r="TO160" s="72"/>
      <c r="TP160" s="72"/>
      <c r="TQ160" s="72"/>
      <c r="TR160" s="72"/>
      <c r="TS160" s="72"/>
      <c r="TT160" s="72"/>
      <c r="TU160" s="72"/>
      <c r="TV160" s="72"/>
      <c r="TW160" s="72"/>
      <c r="TX160" s="72"/>
      <c r="TY160" s="72"/>
      <c r="TZ160" s="72"/>
      <c r="UA160" s="72"/>
      <c r="UB160" s="72"/>
      <c r="UC160" s="72"/>
      <c r="UD160" s="72"/>
      <c r="UE160" s="72"/>
      <c r="UF160" s="72"/>
      <c r="UG160" s="72"/>
      <c r="UH160" s="72"/>
      <c r="UI160" s="72"/>
      <c r="UJ160" s="72"/>
      <c r="UK160" s="72"/>
      <c r="UL160" s="72"/>
      <c r="UM160" s="72"/>
      <c r="UN160" s="72"/>
      <c r="UO160" s="72"/>
      <c r="UP160" s="72"/>
      <c r="UQ160" s="72"/>
      <c r="UR160" s="72"/>
      <c r="US160" s="72"/>
      <c r="UT160" s="72"/>
      <c r="UU160" s="72"/>
      <c r="UV160" s="72"/>
      <c r="UW160" s="72"/>
      <c r="UX160" s="72"/>
      <c r="UY160" s="72"/>
      <c r="UZ160" s="72"/>
      <c r="VA160" s="72"/>
      <c r="VB160" s="72"/>
      <c r="VC160" s="72"/>
      <c r="VD160" s="72"/>
      <c r="VE160" s="72"/>
      <c r="VF160" s="72"/>
      <c r="VG160" s="72"/>
      <c r="VH160" s="72"/>
      <c r="VI160" s="72"/>
      <c r="VJ160" s="72"/>
      <c r="VK160" s="72"/>
      <c r="VL160" s="72"/>
      <c r="VM160" s="72"/>
      <c r="VN160" s="72"/>
      <c r="VO160" s="72"/>
      <c r="VP160" s="72"/>
      <c r="VQ160" s="72"/>
      <c r="VR160" s="72"/>
      <c r="VS160" s="72"/>
      <c r="VT160" s="72"/>
      <c r="VU160" s="72"/>
      <c r="VV160" s="72"/>
      <c r="VW160" s="72"/>
      <c r="VX160" s="72"/>
      <c r="VY160" s="72"/>
      <c r="VZ160" s="72"/>
      <c r="WA160" s="72"/>
      <c r="WB160" s="72"/>
      <c r="WC160" s="72"/>
      <c r="WD160" s="72"/>
      <c r="WE160" s="72"/>
      <c r="WF160" s="72"/>
      <c r="WG160" s="72"/>
      <c r="WH160" s="72"/>
      <c r="WI160" s="72"/>
      <c r="WJ160" s="72"/>
      <c r="WK160" s="72"/>
      <c r="WL160" s="72"/>
      <c r="WM160" s="72"/>
      <c r="WN160" s="72"/>
      <c r="WO160" s="72"/>
      <c r="WP160" s="72"/>
      <c r="WQ160" s="72"/>
      <c r="WR160" s="72"/>
      <c r="WS160" s="72"/>
      <c r="WT160" s="72"/>
      <c r="WU160" s="72"/>
      <c r="WV160" s="72"/>
      <c r="WW160" s="72"/>
      <c r="WX160" s="72"/>
      <c r="WY160" s="72"/>
      <c r="WZ160" s="72"/>
      <c r="XA160" s="72"/>
      <c r="XB160" s="72"/>
      <c r="XC160" s="72"/>
      <c r="XD160" s="72"/>
      <c r="XE160" s="72"/>
      <c r="XF160" s="72"/>
      <c r="XG160" s="72"/>
      <c r="XH160" s="72"/>
      <c r="XI160" s="72"/>
      <c r="XJ160" s="72"/>
      <c r="XK160" s="72"/>
      <c r="XL160" s="72"/>
      <c r="XM160" s="72"/>
      <c r="XN160" s="72"/>
      <c r="XO160" s="72"/>
      <c r="XP160" s="72"/>
      <c r="XQ160" s="72"/>
      <c r="XR160" s="72"/>
      <c r="XS160" s="72"/>
      <c r="XT160" s="72"/>
      <c r="XU160" s="72"/>
      <c r="XV160" s="72"/>
      <c r="XW160" s="72"/>
      <c r="XX160" s="72"/>
      <c r="XY160" s="72"/>
      <c r="XZ160" s="72"/>
      <c r="YA160" s="72"/>
      <c r="YB160" s="72"/>
      <c r="YC160" s="72"/>
      <c r="YD160" s="72"/>
      <c r="YE160" s="72"/>
      <c r="YF160" s="72"/>
      <c r="YG160" s="72"/>
      <c r="YH160" s="72"/>
      <c r="YI160" s="72"/>
      <c r="YJ160" s="72"/>
      <c r="YK160" s="72"/>
      <c r="YL160" s="72"/>
      <c r="YM160" s="72"/>
      <c r="YN160" s="72"/>
      <c r="YO160" s="72"/>
      <c r="YP160" s="72"/>
      <c r="YQ160" s="72"/>
      <c r="YR160" s="72"/>
      <c r="YS160" s="72"/>
      <c r="YT160" s="72"/>
      <c r="YU160" s="72"/>
      <c r="YV160" s="72"/>
      <c r="YW160" s="72"/>
      <c r="YX160" s="72"/>
      <c r="YY160" s="72"/>
      <c r="YZ160" s="72"/>
      <c r="ZA160" s="72"/>
      <c r="ZB160" s="72"/>
      <c r="ZC160" s="72"/>
      <c r="ZD160" s="72"/>
      <c r="ZE160" s="72"/>
      <c r="ZF160" s="72"/>
      <c r="ZG160" s="72"/>
      <c r="ZH160" s="72"/>
      <c r="ZI160" s="72"/>
      <c r="ZJ160" s="72"/>
      <c r="ZK160" s="72"/>
      <c r="ZL160" s="72"/>
      <c r="ZM160" s="72"/>
      <c r="ZN160" s="72"/>
      <c r="ZO160" s="72"/>
      <c r="ZP160" s="72"/>
      <c r="ZQ160" s="72"/>
      <c r="ZR160" s="72"/>
      <c r="ZS160" s="72"/>
      <c r="ZT160" s="72"/>
      <c r="ZU160" s="72"/>
      <c r="ZV160" s="72"/>
      <c r="ZW160" s="72"/>
      <c r="ZX160" s="72"/>
      <c r="ZY160" s="72"/>
      <c r="ZZ160" s="72"/>
      <c r="AAA160" s="72"/>
      <c r="AAB160" s="72"/>
      <c r="AAC160" s="72"/>
      <c r="AAD160" s="72"/>
      <c r="AAE160" s="72"/>
      <c r="AAF160" s="72"/>
      <c r="AAG160" s="72"/>
      <c r="AAH160" s="72"/>
      <c r="AAI160" s="72"/>
      <c r="AAJ160" s="72"/>
      <c r="AAK160" s="72"/>
      <c r="AAL160" s="72"/>
      <c r="AAM160" s="72"/>
      <c r="AAN160" s="72"/>
      <c r="AAO160" s="72"/>
      <c r="AAP160" s="72"/>
      <c r="AAQ160" s="72"/>
      <c r="AAR160" s="72"/>
      <c r="AAS160" s="72"/>
      <c r="AAT160" s="72"/>
      <c r="AAU160" s="72"/>
      <c r="AAV160" s="72"/>
      <c r="AAW160" s="72"/>
      <c r="AAX160" s="72"/>
      <c r="AAY160" s="72"/>
      <c r="AAZ160" s="72"/>
      <c r="ABA160" s="72"/>
      <c r="ABB160" s="72"/>
      <c r="ABC160" s="72"/>
      <c r="ABD160" s="72"/>
      <c r="ABE160" s="72"/>
      <c r="ABF160" s="72"/>
      <c r="ABG160" s="72"/>
      <c r="ABH160" s="72"/>
      <c r="ABI160" s="72"/>
      <c r="ABJ160" s="72"/>
      <c r="ABK160" s="72"/>
      <c r="ABL160" s="72"/>
      <c r="ABM160" s="72"/>
      <c r="ABN160" s="72"/>
      <c r="ABO160" s="72"/>
      <c r="ABP160" s="72"/>
      <c r="ABQ160" s="72"/>
      <c r="ABR160" s="72"/>
      <c r="ABS160" s="72"/>
      <c r="ABT160" s="72"/>
      <c r="ABU160" s="72"/>
      <c r="ABV160" s="72"/>
      <c r="ABW160" s="72"/>
      <c r="ABX160" s="72"/>
      <c r="ABY160" s="72"/>
      <c r="ABZ160" s="72"/>
      <c r="ACA160" s="72"/>
      <c r="ACB160" s="72"/>
      <c r="ACC160" s="72"/>
      <c r="ACD160" s="72"/>
      <c r="ACE160" s="72"/>
      <c r="ACF160" s="72"/>
      <c r="ACG160" s="72"/>
      <c r="ACH160" s="72"/>
      <c r="ACI160" s="72"/>
      <c r="ACJ160" s="72"/>
      <c r="ACK160" s="72"/>
      <c r="ACL160" s="72"/>
      <c r="ACM160" s="72"/>
      <c r="ACN160" s="72"/>
      <c r="ACO160" s="72"/>
      <c r="ACP160" s="72"/>
      <c r="ACQ160" s="72"/>
      <c r="ACR160" s="72"/>
      <c r="ACS160" s="72"/>
      <c r="ACT160" s="72"/>
      <c r="ACU160" s="72"/>
      <c r="ACV160" s="72"/>
      <c r="ACW160" s="72"/>
      <c r="ACX160" s="72"/>
      <c r="ACY160" s="72"/>
      <c r="ACZ160" s="72"/>
      <c r="ADA160" s="72"/>
      <c r="ADB160" s="72"/>
      <c r="ADC160" s="72"/>
      <c r="ADD160" s="72"/>
      <c r="ADE160" s="72"/>
      <c r="ADF160" s="72"/>
      <c r="ADG160" s="72"/>
      <c r="ADH160" s="72"/>
      <c r="ADI160" s="72"/>
      <c r="ADJ160" s="72"/>
      <c r="ADK160" s="72"/>
      <c r="ADL160" s="72"/>
      <c r="ADM160" s="72"/>
      <c r="ADN160" s="72"/>
      <c r="ADO160" s="72"/>
      <c r="ADP160" s="72"/>
      <c r="ADQ160" s="72"/>
      <c r="ADR160" s="72"/>
      <c r="ADS160" s="72"/>
      <c r="ADT160" s="72"/>
      <c r="ADU160" s="72"/>
      <c r="ADV160" s="72"/>
      <c r="ADW160" s="72"/>
      <c r="ADX160" s="72"/>
      <c r="ADY160" s="72"/>
      <c r="ADZ160" s="72"/>
      <c r="AEA160" s="72"/>
      <c r="AEB160" s="72"/>
      <c r="AEC160" s="72"/>
      <c r="AED160" s="72"/>
      <c r="AEE160" s="72"/>
      <c r="AEF160" s="72"/>
      <c r="AEG160" s="72"/>
      <c r="AEH160" s="72"/>
      <c r="AEI160" s="72"/>
      <c r="AEJ160" s="72"/>
      <c r="AEK160" s="72"/>
      <c r="AEL160" s="72"/>
      <c r="AEM160" s="72"/>
      <c r="AEN160" s="72"/>
      <c r="AEO160" s="72"/>
      <c r="AEP160" s="72"/>
      <c r="AEQ160" s="72"/>
      <c r="AER160" s="72"/>
      <c r="AES160" s="72"/>
      <c r="AET160" s="72"/>
      <c r="AEU160" s="72"/>
      <c r="AEV160" s="72"/>
      <c r="AEW160" s="72"/>
      <c r="AEX160" s="72"/>
      <c r="AEY160" s="72"/>
      <c r="AEZ160" s="72"/>
      <c r="AFA160" s="72"/>
      <c r="AFB160" s="72"/>
      <c r="AFC160" s="72"/>
      <c r="AFD160" s="72"/>
      <c r="AFE160" s="72"/>
      <c r="AFF160" s="72"/>
      <c r="AFG160" s="72"/>
      <c r="AFH160" s="72"/>
      <c r="AFI160" s="72"/>
      <c r="AFJ160" s="72"/>
      <c r="AFK160" s="72"/>
      <c r="AFL160" s="72"/>
      <c r="AFM160" s="72"/>
      <c r="AFN160" s="72"/>
      <c r="AFO160" s="72"/>
      <c r="AFP160" s="72"/>
      <c r="AFQ160" s="72"/>
      <c r="AFR160" s="72"/>
      <c r="AFS160" s="72"/>
      <c r="AFT160" s="72"/>
      <c r="AFU160" s="72"/>
      <c r="AFV160" s="72"/>
      <c r="AFW160" s="72"/>
      <c r="AFX160" s="72"/>
      <c r="AFY160" s="72"/>
      <c r="AFZ160" s="72"/>
      <c r="AGA160" s="72"/>
      <c r="AGB160" s="72"/>
      <c r="AGC160" s="72"/>
      <c r="AGD160" s="72"/>
      <c r="AGE160" s="72"/>
      <c r="AGF160" s="72"/>
      <c r="AGG160" s="72"/>
      <c r="AGH160" s="72"/>
      <c r="AGI160" s="72"/>
      <c r="AGJ160" s="72"/>
      <c r="AGK160" s="72"/>
      <c r="AGL160" s="72"/>
      <c r="AGM160" s="72"/>
      <c r="AGN160" s="72"/>
      <c r="AGO160" s="72"/>
      <c r="AGP160" s="72"/>
      <c r="AGQ160" s="72"/>
      <c r="AGR160" s="72"/>
      <c r="AGS160" s="72"/>
      <c r="AGT160" s="72"/>
      <c r="AGU160" s="72"/>
      <c r="AGV160" s="72"/>
      <c r="AGW160" s="72"/>
      <c r="AGX160" s="72"/>
      <c r="AGY160" s="72"/>
      <c r="AGZ160" s="72"/>
      <c r="AHA160" s="72"/>
      <c r="AHB160" s="72"/>
      <c r="AHC160" s="72"/>
      <c r="AHD160" s="72"/>
      <c r="AHE160" s="72"/>
      <c r="AHF160" s="72"/>
      <c r="AHG160" s="72"/>
      <c r="AHH160" s="72"/>
      <c r="AHI160" s="72"/>
      <c r="AHJ160" s="72"/>
      <c r="AHK160" s="72"/>
      <c r="AHL160" s="72"/>
      <c r="AHM160" s="72"/>
      <c r="AHN160" s="72"/>
      <c r="AHO160" s="72"/>
      <c r="AHP160" s="72"/>
      <c r="AHQ160" s="72"/>
      <c r="AHR160" s="72"/>
      <c r="AHS160" s="72"/>
      <c r="AHT160" s="72"/>
      <c r="AHU160" s="72"/>
      <c r="AHV160" s="72"/>
      <c r="AHW160" s="72"/>
      <c r="AHX160" s="72"/>
      <c r="AHY160" s="72"/>
      <c r="AHZ160" s="72"/>
      <c r="AIA160" s="72"/>
      <c r="AIB160" s="72"/>
      <c r="AIC160" s="72"/>
      <c r="AID160" s="72"/>
      <c r="AIE160" s="72"/>
      <c r="AIF160" s="72"/>
      <c r="AIG160" s="72"/>
      <c r="AIH160" s="72"/>
      <c r="AII160" s="72"/>
      <c r="AIJ160" s="72"/>
      <c r="AIK160" s="72"/>
      <c r="AIL160" s="72"/>
      <c r="AIM160" s="72"/>
      <c r="AIN160" s="72"/>
      <c r="AIO160" s="72"/>
      <c r="AIP160" s="72"/>
      <c r="AIQ160" s="72"/>
      <c r="AIR160" s="72"/>
      <c r="AIS160" s="72"/>
      <c r="AIT160" s="72"/>
      <c r="AIU160" s="72"/>
      <c r="AIV160" s="72"/>
      <c r="AIW160" s="72"/>
      <c r="AIX160" s="72"/>
      <c r="AIY160" s="72"/>
      <c r="AIZ160" s="72"/>
      <c r="AJA160" s="72"/>
      <c r="AJB160" s="72"/>
      <c r="AJC160" s="72"/>
      <c r="AJD160" s="72"/>
      <c r="AJE160" s="72"/>
      <c r="AJF160" s="72"/>
      <c r="AJG160" s="72"/>
      <c r="AJH160" s="72"/>
      <c r="AJI160" s="72"/>
      <c r="AJJ160" s="72"/>
      <c r="AJK160" s="72"/>
      <c r="AJL160" s="72"/>
      <c r="AJM160" s="72"/>
      <c r="AJN160" s="72"/>
      <c r="AJO160" s="72"/>
      <c r="AJP160" s="72"/>
      <c r="AJQ160" s="72"/>
      <c r="AJR160" s="72"/>
      <c r="AJS160" s="72"/>
      <c r="AJT160" s="72"/>
      <c r="AJU160" s="72"/>
      <c r="AJV160" s="72"/>
      <c r="AJW160" s="72"/>
      <c r="AJX160" s="72"/>
      <c r="AJY160" s="72"/>
      <c r="AJZ160" s="72"/>
      <c r="AKA160" s="72"/>
      <c r="AKB160" s="72"/>
      <c r="AKC160" s="72"/>
      <c r="AKD160" s="72"/>
      <c r="AKE160" s="72"/>
      <c r="AKF160" s="72"/>
      <c r="AKG160" s="72"/>
      <c r="AKH160" s="72"/>
      <c r="AKI160" s="72"/>
      <c r="AKJ160" s="72"/>
      <c r="AKK160" s="72"/>
      <c r="AKL160" s="72"/>
      <c r="AKM160" s="72"/>
      <c r="AKN160" s="72"/>
      <c r="AKO160" s="72"/>
      <c r="AKP160" s="72"/>
      <c r="AKQ160" s="72"/>
      <c r="AKR160" s="72"/>
      <c r="AKS160" s="72"/>
      <c r="AKT160" s="72"/>
      <c r="AKU160" s="72"/>
      <c r="AKV160" s="72"/>
      <c r="AKW160" s="72"/>
      <c r="AKX160" s="72"/>
      <c r="AKY160" s="72"/>
      <c r="AKZ160" s="72"/>
      <c r="ALA160" s="72"/>
      <c r="ALB160" s="72"/>
      <c r="ALC160" s="72"/>
      <c r="ALD160" s="72"/>
      <c r="ALE160" s="72"/>
      <c r="ALF160" s="72"/>
      <c r="ALG160" s="72"/>
      <c r="ALH160" s="72"/>
      <c r="ALI160" s="72"/>
      <c r="ALJ160" s="72"/>
      <c r="ALK160" s="72"/>
      <c r="ALL160" s="72"/>
      <c r="ALM160" s="72"/>
      <c r="ALN160" s="72"/>
      <c r="ALO160" s="72"/>
      <c r="ALP160" s="72"/>
      <c r="ALQ160" s="72"/>
      <c r="ALR160" s="72"/>
      <c r="ALS160" s="72"/>
      <c r="ALT160" s="72"/>
      <c r="ALU160" s="72"/>
      <c r="ALV160" s="72"/>
      <c r="ALW160" s="72"/>
      <c r="ALX160" s="72"/>
      <c r="ALY160" s="72"/>
      <c r="ALZ160" s="72"/>
      <c r="AMA160" s="72"/>
      <c r="AMB160" s="72"/>
      <c r="AMC160" s="72"/>
      <c r="AMD160" s="72"/>
      <c r="AME160" s="72"/>
      <c r="AMF160" s="72"/>
      <c r="AMG160" s="72"/>
      <c r="AMH160" s="72"/>
      <c r="AMI160" s="72"/>
      <c r="AMJ160" s="72"/>
      <c r="AMK160" s="72"/>
      <c r="AML160" s="72"/>
      <c r="AMM160" s="72"/>
      <c r="AMN160" s="72"/>
      <c r="AMO160" s="72"/>
      <c r="AMP160" s="72"/>
      <c r="AMQ160" s="72"/>
      <c r="AMR160" s="72"/>
      <c r="AMS160" s="72"/>
      <c r="AMT160" s="72"/>
      <c r="AMU160" s="72"/>
      <c r="AMV160" s="72"/>
      <c r="AMW160" s="72"/>
      <c r="AMX160" s="72"/>
      <c r="AMY160" s="72"/>
      <c r="AMZ160" s="72"/>
      <c r="ANA160" s="72"/>
      <c r="ANB160" s="72"/>
      <c r="ANC160" s="72"/>
      <c r="AND160" s="72"/>
      <c r="ANE160" s="72"/>
      <c r="ANF160" s="72"/>
      <c r="ANG160" s="72"/>
      <c r="ANH160" s="72"/>
      <c r="ANI160" s="72"/>
      <c r="ANJ160" s="72"/>
      <c r="ANK160" s="72"/>
      <c r="ANL160" s="72"/>
      <c r="ANM160" s="72"/>
      <c r="ANN160" s="72"/>
      <c r="ANO160" s="72"/>
      <c r="ANP160" s="72"/>
      <c r="ANQ160" s="72"/>
      <c r="ANR160" s="72"/>
      <c r="ANS160" s="72"/>
      <c r="ANT160" s="72"/>
      <c r="ANU160" s="72"/>
      <c r="ANV160" s="72"/>
      <c r="ANW160" s="72"/>
      <c r="ANX160" s="72"/>
      <c r="ANY160" s="72"/>
      <c r="ANZ160" s="72"/>
      <c r="AOA160" s="72"/>
      <c r="AOB160" s="72"/>
      <c r="AOC160" s="72"/>
      <c r="AOD160" s="72"/>
      <c r="AOE160" s="72"/>
      <c r="AOF160" s="72"/>
      <c r="AOG160" s="72"/>
      <c r="AOH160" s="72"/>
      <c r="AOI160" s="72"/>
      <c r="AOJ160" s="72"/>
      <c r="AOK160" s="72"/>
      <c r="AOL160" s="72"/>
      <c r="AOM160" s="72"/>
      <c r="AON160" s="72"/>
      <c r="AOO160" s="72"/>
      <c r="AOP160" s="72"/>
      <c r="AOQ160" s="72"/>
      <c r="AOR160" s="72"/>
      <c r="AOS160" s="72"/>
      <c r="AOT160" s="72"/>
      <c r="AOU160" s="72"/>
      <c r="AOV160" s="72"/>
      <c r="AOW160" s="72"/>
      <c r="AOX160" s="72"/>
      <c r="AOY160" s="72"/>
      <c r="AOZ160" s="72"/>
      <c r="APA160" s="72"/>
      <c r="APB160" s="72"/>
      <c r="APC160" s="72"/>
      <c r="APD160" s="72"/>
      <c r="APE160" s="72"/>
      <c r="APF160" s="72"/>
      <c r="APG160" s="72"/>
      <c r="APH160" s="72"/>
      <c r="API160" s="72"/>
      <c r="APJ160" s="72"/>
      <c r="APK160" s="72"/>
      <c r="APL160" s="72"/>
      <c r="APM160" s="72"/>
      <c r="APN160" s="72"/>
      <c r="APO160" s="72"/>
      <c r="APP160" s="72"/>
      <c r="APQ160" s="72"/>
      <c r="APR160" s="72"/>
      <c r="APS160" s="72"/>
      <c r="APT160" s="72"/>
      <c r="APU160" s="72"/>
      <c r="APV160" s="72"/>
      <c r="APW160" s="72"/>
      <c r="APX160" s="72"/>
      <c r="APY160" s="72"/>
      <c r="APZ160" s="72"/>
      <c r="AQA160" s="72"/>
      <c r="AQB160" s="72"/>
      <c r="AQC160" s="72"/>
      <c r="AQD160" s="72"/>
      <c r="AQE160" s="72"/>
      <c r="AQF160" s="72"/>
      <c r="AQG160" s="72"/>
      <c r="AQH160" s="72"/>
      <c r="AQI160" s="72"/>
      <c r="AQJ160" s="72"/>
      <c r="AQK160" s="72"/>
      <c r="AQL160" s="72"/>
      <c r="AQM160" s="72"/>
      <c r="AQN160" s="72"/>
      <c r="AQO160" s="72"/>
      <c r="AQP160" s="72"/>
      <c r="AQQ160" s="72"/>
      <c r="AQR160" s="72"/>
      <c r="AQS160" s="72"/>
      <c r="AQT160" s="72"/>
      <c r="AQU160" s="72"/>
      <c r="AQV160" s="72"/>
      <c r="AQW160" s="72"/>
      <c r="AQX160" s="72"/>
      <c r="AQY160" s="72"/>
      <c r="AQZ160" s="72"/>
      <c r="ARA160" s="72"/>
      <c r="ARB160" s="72"/>
      <c r="ARC160" s="72"/>
      <c r="ARD160" s="72"/>
      <c r="ARE160" s="72"/>
      <c r="ARF160" s="72"/>
      <c r="ARG160" s="72"/>
      <c r="ARH160" s="72"/>
      <c r="ARI160" s="72"/>
      <c r="ARJ160" s="72"/>
      <c r="ARK160" s="72"/>
      <c r="ARL160" s="72"/>
      <c r="ARM160" s="72"/>
      <c r="ARN160" s="72"/>
      <c r="ARO160" s="72"/>
      <c r="ARP160" s="72"/>
      <c r="ARQ160" s="72"/>
      <c r="ARR160" s="72"/>
      <c r="ARS160" s="72"/>
      <c r="ART160" s="72"/>
      <c r="ARU160" s="72"/>
      <c r="ARV160" s="72"/>
      <c r="ARW160" s="72"/>
      <c r="ARX160" s="72"/>
      <c r="ARY160" s="72"/>
      <c r="ARZ160" s="72"/>
      <c r="ASA160" s="72"/>
      <c r="ASB160" s="72"/>
      <c r="ASC160" s="72"/>
      <c r="ASD160" s="72"/>
      <c r="ASE160" s="72"/>
      <c r="ASF160" s="72"/>
      <c r="ASG160" s="72"/>
      <c r="ASH160" s="72"/>
      <c r="ASI160" s="72"/>
      <c r="ASJ160" s="72"/>
      <c r="ASK160" s="72"/>
      <c r="ASL160" s="72"/>
      <c r="ASM160" s="72"/>
      <c r="ASN160" s="72"/>
      <c r="ASO160" s="72"/>
      <c r="ASP160" s="72"/>
      <c r="ASQ160" s="72"/>
      <c r="ASR160" s="72"/>
      <c r="ASS160" s="72"/>
      <c r="AST160" s="72"/>
      <c r="ASU160" s="72"/>
      <c r="ASV160" s="72"/>
      <c r="ASW160" s="72"/>
      <c r="ASX160" s="72"/>
      <c r="ASY160" s="72"/>
      <c r="ASZ160" s="72"/>
      <c r="ATA160" s="72"/>
      <c r="ATB160" s="72"/>
      <c r="ATC160" s="72"/>
      <c r="ATD160" s="72"/>
      <c r="ATE160" s="72"/>
      <c r="ATF160" s="72"/>
      <c r="ATG160" s="72"/>
      <c r="ATH160" s="72"/>
      <c r="ATI160" s="72"/>
      <c r="ATJ160" s="72"/>
      <c r="ATK160" s="72"/>
      <c r="ATL160" s="72"/>
      <c r="ATM160" s="72"/>
      <c r="ATN160" s="72"/>
      <c r="ATO160" s="72"/>
      <c r="ATP160" s="72"/>
      <c r="ATQ160" s="72"/>
      <c r="ATR160" s="72"/>
      <c r="ATS160" s="72"/>
      <c r="ATT160" s="72"/>
      <c r="ATU160" s="72"/>
      <c r="ATV160" s="72"/>
      <c r="ATW160" s="72"/>
      <c r="ATX160" s="72"/>
      <c r="ATY160" s="72"/>
      <c r="ATZ160" s="72"/>
      <c r="AUA160" s="72"/>
      <c r="AUB160" s="72"/>
      <c r="AUC160" s="72"/>
      <c r="AUD160" s="72"/>
      <c r="AUE160" s="72"/>
      <c r="AUF160" s="72"/>
      <c r="AUG160" s="72"/>
      <c r="AUH160" s="72"/>
      <c r="AUI160" s="72"/>
      <c r="AUJ160" s="72"/>
      <c r="AUK160" s="72"/>
      <c r="AUL160" s="72"/>
      <c r="AUM160" s="72"/>
      <c r="AUN160" s="72"/>
      <c r="AUO160" s="72"/>
      <c r="AUP160" s="72"/>
      <c r="AUQ160" s="72"/>
      <c r="AUR160" s="72"/>
      <c r="AUS160" s="72"/>
      <c r="AUT160" s="72"/>
      <c r="AUU160" s="72"/>
      <c r="AUV160" s="72"/>
      <c r="AUW160" s="72"/>
      <c r="AUX160" s="72"/>
      <c r="AUY160" s="72"/>
      <c r="AUZ160" s="72"/>
      <c r="AVA160" s="72"/>
      <c r="AVB160" s="72"/>
      <c r="AVC160" s="72"/>
      <c r="AVD160" s="72"/>
      <c r="AVE160" s="72"/>
      <c r="AVF160" s="72"/>
      <c r="AVG160" s="72"/>
      <c r="AVH160" s="72"/>
      <c r="AVI160" s="72"/>
      <c r="AVJ160" s="72"/>
      <c r="AVK160" s="72"/>
      <c r="AVL160" s="72"/>
      <c r="AVM160" s="72"/>
      <c r="AVN160" s="72"/>
      <c r="AVO160" s="72"/>
      <c r="AVP160" s="72"/>
      <c r="AVQ160" s="72"/>
      <c r="AVR160" s="72"/>
      <c r="AVS160" s="72"/>
      <c r="AVT160" s="72"/>
      <c r="AVU160" s="72"/>
      <c r="AVV160" s="72"/>
      <c r="AVW160" s="72"/>
      <c r="AVX160" s="72"/>
      <c r="AVY160" s="72"/>
      <c r="AVZ160" s="72"/>
      <c r="AWA160" s="72"/>
      <c r="AWB160" s="72"/>
      <c r="AWC160" s="72"/>
      <c r="AWD160" s="72"/>
      <c r="AWE160" s="72"/>
      <c r="AWF160" s="72"/>
      <c r="AWG160" s="72"/>
      <c r="AWH160" s="72"/>
      <c r="AWI160" s="72"/>
      <c r="AWJ160" s="72"/>
      <c r="AWK160" s="72"/>
      <c r="AWL160" s="72"/>
      <c r="AWM160" s="72"/>
      <c r="AWN160" s="72"/>
      <c r="AWO160" s="72"/>
      <c r="AWP160" s="72"/>
      <c r="AWQ160" s="72"/>
      <c r="AWR160" s="72"/>
      <c r="AWS160" s="72"/>
      <c r="AWT160" s="72"/>
      <c r="AWU160" s="72"/>
      <c r="AWV160" s="72"/>
      <c r="AWW160" s="72"/>
      <c r="AWX160" s="72"/>
      <c r="AWY160" s="72"/>
      <c r="AWZ160" s="72"/>
      <c r="AXA160" s="72"/>
      <c r="AXB160" s="72"/>
      <c r="AXC160" s="72"/>
      <c r="AXD160" s="72"/>
      <c r="AXE160" s="72"/>
      <c r="AXF160" s="72"/>
      <c r="AXG160" s="72"/>
      <c r="AXH160" s="72"/>
      <c r="AXI160" s="72"/>
      <c r="AXJ160" s="72"/>
      <c r="AXK160" s="72"/>
      <c r="AXL160" s="72"/>
      <c r="AXM160" s="72"/>
      <c r="AXN160" s="72"/>
      <c r="AXO160" s="72"/>
      <c r="AXP160" s="72"/>
      <c r="AXQ160" s="72"/>
      <c r="AXR160" s="72"/>
      <c r="AXS160" s="72"/>
      <c r="AXT160" s="72"/>
      <c r="AXU160" s="72"/>
      <c r="AXV160" s="72"/>
      <c r="AXW160" s="72"/>
      <c r="AXX160" s="72"/>
      <c r="AXY160" s="72"/>
      <c r="AXZ160" s="72"/>
      <c r="AYA160" s="72"/>
      <c r="AYB160" s="72"/>
      <c r="AYC160" s="72"/>
      <c r="AYD160" s="72"/>
      <c r="AYE160" s="72"/>
      <c r="AYF160" s="72"/>
      <c r="AYG160" s="72"/>
      <c r="AYH160" s="72"/>
      <c r="AYI160" s="72"/>
      <c r="AYJ160" s="72"/>
      <c r="AYK160" s="72"/>
      <c r="AYL160" s="72"/>
      <c r="AYM160" s="72"/>
      <c r="AYN160" s="72"/>
      <c r="AYO160" s="72"/>
      <c r="AYP160" s="72"/>
      <c r="AYQ160" s="72"/>
      <c r="AYR160" s="72"/>
      <c r="AYS160" s="72"/>
      <c r="AYT160" s="72"/>
      <c r="AYU160" s="72"/>
      <c r="AYV160" s="72"/>
      <c r="AYW160" s="72"/>
      <c r="AYX160" s="72"/>
      <c r="AYY160" s="72"/>
      <c r="AYZ160" s="72"/>
      <c r="AZA160" s="72"/>
      <c r="AZB160" s="72"/>
      <c r="AZC160" s="72"/>
      <c r="AZD160" s="72"/>
      <c r="AZE160" s="72"/>
      <c r="AZF160" s="72"/>
      <c r="AZG160" s="72"/>
      <c r="AZH160" s="72"/>
      <c r="AZI160" s="72"/>
      <c r="AZJ160" s="72"/>
      <c r="AZK160" s="72"/>
      <c r="AZL160" s="72"/>
      <c r="AZM160" s="72"/>
      <c r="AZN160" s="72"/>
      <c r="AZO160" s="72"/>
      <c r="AZP160" s="72"/>
      <c r="AZQ160" s="72"/>
      <c r="AZR160" s="72"/>
      <c r="AZS160" s="72"/>
      <c r="AZT160" s="72"/>
      <c r="AZU160" s="72"/>
      <c r="AZV160" s="72"/>
      <c r="AZW160" s="72"/>
      <c r="AZX160" s="72"/>
      <c r="AZY160" s="72"/>
      <c r="AZZ160" s="72"/>
      <c r="BAA160" s="72"/>
      <c r="BAB160" s="72"/>
      <c r="BAC160" s="72"/>
      <c r="BAD160" s="72"/>
      <c r="BAE160" s="72"/>
      <c r="BAF160" s="72"/>
      <c r="BAG160" s="72"/>
      <c r="BAH160" s="72"/>
      <c r="BAI160" s="72"/>
      <c r="BAJ160" s="72"/>
      <c r="BAK160" s="72"/>
      <c r="BAL160" s="72"/>
      <c r="BAM160" s="72"/>
      <c r="BAN160" s="72"/>
      <c r="BAO160" s="72"/>
      <c r="BAP160" s="72"/>
      <c r="BAQ160" s="72"/>
      <c r="BAR160" s="72"/>
      <c r="BAS160" s="72"/>
      <c r="BAT160" s="72"/>
      <c r="BAU160" s="72"/>
      <c r="BAV160" s="72"/>
      <c r="BAW160" s="72"/>
      <c r="BAX160" s="72"/>
      <c r="BAY160" s="72"/>
      <c r="BAZ160" s="72"/>
      <c r="BBA160" s="72"/>
      <c r="BBB160" s="72"/>
      <c r="BBC160" s="72"/>
      <c r="BBD160" s="72"/>
      <c r="BBE160" s="72"/>
      <c r="BBF160" s="72"/>
      <c r="BBG160" s="72"/>
      <c r="BBH160" s="72"/>
      <c r="BBI160" s="72"/>
      <c r="BBJ160" s="72"/>
      <c r="BBK160" s="72"/>
      <c r="BBL160" s="72"/>
      <c r="BBM160" s="72"/>
      <c r="BBN160" s="72"/>
      <c r="BBO160" s="72"/>
      <c r="BBP160" s="72"/>
      <c r="BBQ160" s="72"/>
      <c r="BBR160" s="72"/>
      <c r="BBS160" s="72"/>
      <c r="BBT160" s="72"/>
      <c r="BBU160" s="72"/>
      <c r="BBV160" s="72"/>
      <c r="BBW160" s="72"/>
      <c r="BBX160" s="72"/>
      <c r="BBY160" s="72"/>
      <c r="BBZ160" s="72"/>
      <c r="BCA160" s="72"/>
      <c r="BCB160" s="72"/>
      <c r="BCC160" s="72"/>
      <c r="BCD160" s="72"/>
      <c r="BCE160" s="72"/>
      <c r="BCF160" s="72"/>
      <c r="BCG160" s="72"/>
      <c r="BCH160" s="72"/>
      <c r="BCI160" s="72"/>
      <c r="BCJ160" s="72"/>
      <c r="BCK160" s="72"/>
      <c r="BCL160" s="72"/>
      <c r="BCM160" s="72"/>
      <c r="BCN160" s="72"/>
      <c r="BCO160" s="72"/>
      <c r="BCP160" s="72"/>
      <c r="BCQ160" s="72"/>
      <c r="BCR160" s="72"/>
      <c r="BCS160" s="72"/>
      <c r="BCT160" s="72"/>
      <c r="BCU160" s="72"/>
      <c r="BCV160" s="72"/>
      <c r="BCW160" s="72"/>
      <c r="BCX160" s="72"/>
      <c r="BCY160" s="72"/>
      <c r="BCZ160" s="72"/>
      <c r="BDA160" s="72"/>
      <c r="BDB160" s="72"/>
      <c r="BDC160" s="72"/>
      <c r="BDD160" s="72"/>
      <c r="BDE160" s="72"/>
      <c r="BDF160" s="72"/>
      <c r="BDG160" s="72"/>
      <c r="BDH160" s="72"/>
      <c r="BDI160" s="72"/>
      <c r="BDJ160" s="72"/>
      <c r="BDK160" s="72"/>
      <c r="BDL160" s="72"/>
      <c r="BDM160" s="72"/>
      <c r="BDN160" s="72"/>
      <c r="BDO160" s="72"/>
      <c r="BDP160" s="72"/>
      <c r="BDQ160" s="72"/>
      <c r="BDR160" s="72"/>
      <c r="BDS160" s="72"/>
      <c r="BDT160" s="72"/>
      <c r="BDU160" s="72"/>
      <c r="BDV160" s="72"/>
      <c r="BDW160" s="72"/>
      <c r="BDX160" s="72"/>
      <c r="BDY160" s="72"/>
      <c r="BDZ160" s="72"/>
      <c r="BEA160" s="72"/>
      <c r="BEB160" s="72"/>
      <c r="BEC160" s="72"/>
      <c r="BED160" s="72"/>
      <c r="BEE160" s="72"/>
      <c r="BEF160" s="72"/>
      <c r="BEG160" s="72"/>
      <c r="BEH160" s="72"/>
      <c r="BEI160" s="72"/>
      <c r="BEJ160" s="72"/>
      <c r="BEK160" s="72"/>
      <c r="BEL160" s="72"/>
      <c r="BEM160" s="72"/>
      <c r="BEN160" s="72"/>
      <c r="BEO160" s="72"/>
      <c r="BEP160" s="72"/>
      <c r="BEQ160" s="72"/>
      <c r="BER160" s="72"/>
      <c r="BES160" s="72"/>
      <c r="BET160" s="72"/>
      <c r="BEU160" s="72"/>
      <c r="BEV160" s="72"/>
      <c r="BEW160" s="72"/>
      <c r="BEX160" s="72"/>
      <c r="BEY160" s="72"/>
      <c r="BEZ160" s="72"/>
      <c r="BFA160" s="72"/>
      <c r="BFB160" s="72"/>
      <c r="BFC160" s="72"/>
      <c r="BFD160" s="72"/>
      <c r="BFE160" s="72"/>
      <c r="BFF160" s="72"/>
      <c r="BFG160" s="72"/>
      <c r="BFH160" s="72"/>
      <c r="BFI160" s="72"/>
      <c r="BFJ160" s="72"/>
      <c r="BFK160" s="72"/>
      <c r="BFL160" s="72"/>
      <c r="BFM160" s="72"/>
      <c r="BFN160" s="72"/>
      <c r="BFO160" s="72"/>
      <c r="BFP160" s="72"/>
      <c r="BFQ160" s="72"/>
      <c r="BFR160" s="72"/>
      <c r="BFS160" s="72"/>
      <c r="BFT160" s="72"/>
      <c r="BFU160" s="72"/>
      <c r="BFV160" s="72"/>
      <c r="BFW160" s="72"/>
      <c r="BFX160" s="72"/>
      <c r="BFY160" s="72"/>
      <c r="BFZ160" s="72"/>
      <c r="BGA160" s="72"/>
      <c r="BGB160" s="72"/>
      <c r="BGC160" s="72"/>
      <c r="BGD160" s="72"/>
      <c r="BGE160" s="72"/>
      <c r="BGF160" s="72"/>
      <c r="BGG160" s="72"/>
      <c r="BGH160" s="72"/>
      <c r="BGI160" s="72"/>
      <c r="BGJ160" s="72"/>
      <c r="BGK160" s="72"/>
      <c r="BGL160" s="72"/>
      <c r="BGM160" s="72"/>
      <c r="BGN160" s="72"/>
      <c r="BGO160" s="72"/>
      <c r="BGP160" s="72"/>
      <c r="BGQ160" s="72"/>
      <c r="BGR160" s="72"/>
      <c r="BGS160" s="72"/>
      <c r="BGT160" s="72"/>
      <c r="BGU160" s="72"/>
      <c r="BGV160" s="72"/>
      <c r="BGW160" s="72"/>
      <c r="BGX160" s="72"/>
      <c r="BGY160" s="72"/>
      <c r="BGZ160" s="72"/>
      <c r="BHA160" s="72"/>
      <c r="BHB160" s="72"/>
      <c r="BHC160" s="72"/>
      <c r="BHD160" s="72"/>
      <c r="BHE160" s="72"/>
      <c r="BHF160" s="72"/>
      <c r="BHG160" s="72"/>
      <c r="BHH160" s="72"/>
      <c r="BHI160" s="72"/>
      <c r="BHJ160" s="72"/>
      <c r="BHK160" s="72"/>
      <c r="BHL160" s="72"/>
      <c r="BHM160" s="72"/>
      <c r="BHN160" s="72"/>
      <c r="BHO160" s="72"/>
      <c r="BHP160" s="72"/>
      <c r="BHQ160" s="72"/>
      <c r="BHR160" s="72"/>
      <c r="BHS160" s="72"/>
      <c r="BHT160" s="72"/>
      <c r="BHU160" s="72"/>
      <c r="BHV160" s="72"/>
      <c r="BHW160" s="72"/>
      <c r="BHX160" s="72"/>
      <c r="BHY160" s="72"/>
      <c r="BHZ160" s="72"/>
      <c r="BIA160" s="72"/>
      <c r="BIB160" s="72"/>
      <c r="BIC160" s="72"/>
      <c r="BID160" s="72"/>
      <c r="BIE160" s="72"/>
      <c r="BIF160" s="72"/>
      <c r="BIG160" s="72"/>
      <c r="BIH160" s="72"/>
      <c r="BII160" s="72"/>
      <c r="BIJ160" s="72"/>
      <c r="BIK160" s="72"/>
      <c r="BIL160" s="72"/>
      <c r="BIM160" s="72"/>
      <c r="BIN160" s="72"/>
      <c r="BIO160" s="72"/>
      <c r="BIP160" s="72"/>
      <c r="BIQ160" s="72"/>
      <c r="BIR160" s="72"/>
      <c r="BIS160" s="72"/>
      <c r="BIT160" s="72"/>
      <c r="BIU160" s="72"/>
      <c r="BIV160" s="72"/>
      <c r="BIW160" s="72"/>
      <c r="BIX160" s="72"/>
      <c r="BIY160" s="72"/>
      <c r="BIZ160" s="72"/>
      <c r="BJA160" s="72"/>
      <c r="BJB160" s="72"/>
      <c r="BJC160" s="72"/>
      <c r="BJD160" s="72"/>
      <c r="BJE160" s="72"/>
      <c r="BJF160" s="72"/>
      <c r="BJG160" s="72"/>
      <c r="BJH160" s="72"/>
      <c r="BJI160" s="72"/>
      <c r="BJJ160" s="72"/>
      <c r="BJK160" s="72"/>
      <c r="BJL160" s="72"/>
      <c r="BJM160" s="72"/>
      <c r="BJN160" s="72"/>
      <c r="BJO160" s="72"/>
      <c r="BJP160" s="72"/>
      <c r="BJQ160" s="72"/>
      <c r="BJR160" s="72"/>
      <c r="BJS160" s="72"/>
      <c r="BJT160" s="72"/>
      <c r="BJU160" s="72"/>
      <c r="BJV160" s="72"/>
      <c r="BJW160" s="72"/>
      <c r="BJX160" s="72"/>
      <c r="BJY160" s="72"/>
      <c r="BJZ160" s="72"/>
      <c r="BKA160" s="72"/>
      <c r="BKB160" s="72"/>
      <c r="BKC160" s="72"/>
      <c r="BKD160" s="72"/>
      <c r="BKE160" s="72"/>
      <c r="BKF160" s="72"/>
      <c r="BKG160" s="72"/>
      <c r="BKH160" s="72"/>
      <c r="BKI160" s="72"/>
      <c r="BKJ160" s="72"/>
      <c r="BKK160" s="72"/>
      <c r="BKL160" s="72"/>
      <c r="BKM160" s="72"/>
      <c r="BKN160" s="72"/>
      <c r="BKO160" s="72"/>
      <c r="BKP160" s="72"/>
      <c r="BKQ160" s="72"/>
      <c r="BKR160" s="72"/>
      <c r="BKS160" s="72"/>
      <c r="BKT160" s="72"/>
      <c r="BKU160" s="72"/>
      <c r="BKV160" s="72"/>
      <c r="BKW160" s="72"/>
      <c r="BKX160" s="72"/>
      <c r="BKY160" s="72"/>
      <c r="BKZ160" s="72"/>
      <c r="BLA160" s="72"/>
      <c r="BLB160" s="72"/>
      <c r="BLC160" s="72"/>
      <c r="BLD160" s="72"/>
      <c r="BLE160" s="72"/>
      <c r="BLF160" s="72"/>
      <c r="BLG160" s="72"/>
      <c r="BLH160" s="72"/>
      <c r="BLI160" s="72"/>
      <c r="BLJ160" s="72"/>
      <c r="BLK160" s="72"/>
      <c r="BLL160" s="72"/>
      <c r="BLM160" s="72"/>
      <c r="BLN160" s="72"/>
      <c r="BLO160" s="72"/>
      <c r="BLP160" s="72"/>
      <c r="BLQ160" s="72"/>
      <c r="BLR160" s="72"/>
      <c r="BLS160" s="72"/>
      <c r="BLT160" s="72"/>
      <c r="BLU160" s="72"/>
      <c r="BLV160" s="72"/>
      <c r="BLW160" s="72"/>
      <c r="BLX160" s="72"/>
      <c r="BLY160" s="72"/>
      <c r="BLZ160" s="72"/>
      <c r="BMA160" s="72"/>
      <c r="BMB160" s="72"/>
      <c r="BMC160" s="72"/>
      <c r="BMD160" s="72"/>
      <c r="BME160" s="72"/>
      <c r="BMF160" s="72"/>
      <c r="BMG160" s="72"/>
      <c r="BMH160" s="72"/>
      <c r="BMI160" s="72"/>
      <c r="BMJ160" s="72"/>
      <c r="BMK160" s="72"/>
      <c r="BML160" s="72"/>
      <c r="BMM160" s="72"/>
      <c r="BMN160" s="72"/>
      <c r="BMO160" s="72"/>
      <c r="BMP160" s="72"/>
      <c r="BMQ160" s="72"/>
      <c r="BMR160" s="72"/>
      <c r="BMS160" s="72"/>
      <c r="BMT160" s="72"/>
      <c r="BMU160" s="72"/>
      <c r="BMV160" s="72"/>
      <c r="BMW160" s="72"/>
      <c r="BMX160" s="72"/>
      <c r="BMY160" s="72"/>
      <c r="BMZ160" s="72"/>
      <c r="BNA160" s="72"/>
      <c r="BNB160" s="72"/>
      <c r="BNC160" s="72"/>
      <c r="BND160" s="72"/>
      <c r="BNE160" s="72"/>
      <c r="BNF160" s="72"/>
      <c r="BNG160" s="72"/>
      <c r="BNH160" s="72"/>
      <c r="BNI160" s="72"/>
      <c r="BNJ160" s="72"/>
      <c r="BNK160" s="72"/>
      <c r="BNL160" s="72"/>
      <c r="BNM160" s="72"/>
      <c r="BNN160" s="72"/>
      <c r="BNO160" s="72"/>
      <c r="BNP160" s="72"/>
      <c r="BNQ160" s="72"/>
      <c r="BNR160" s="72"/>
      <c r="BNS160" s="72"/>
      <c r="BNT160" s="72"/>
      <c r="BNU160" s="72"/>
      <c r="BNV160" s="72"/>
      <c r="BNW160" s="72"/>
      <c r="BNX160" s="72"/>
      <c r="BNY160" s="72"/>
      <c r="BNZ160" s="72"/>
      <c r="BOA160" s="72"/>
      <c r="BOB160" s="72"/>
      <c r="BOC160" s="72"/>
      <c r="BOD160" s="72"/>
      <c r="BOE160" s="72"/>
      <c r="BOF160" s="72"/>
      <c r="BOG160" s="72"/>
      <c r="BOH160" s="72"/>
      <c r="BOI160" s="72"/>
      <c r="BOJ160" s="72"/>
      <c r="BOK160" s="72"/>
      <c r="BOL160" s="72"/>
      <c r="BOM160" s="72"/>
      <c r="BON160" s="72"/>
      <c r="BOO160" s="72"/>
      <c r="BOP160" s="72"/>
      <c r="BOQ160" s="72"/>
      <c r="BOR160" s="72"/>
      <c r="BOS160" s="72"/>
      <c r="BOT160" s="72"/>
      <c r="BOU160" s="72"/>
      <c r="BOV160" s="72"/>
      <c r="BOW160" s="72"/>
      <c r="BOX160" s="72"/>
      <c r="BOY160" s="72"/>
      <c r="BOZ160" s="72"/>
      <c r="BPA160" s="72"/>
      <c r="BPB160" s="72"/>
      <c r="BPC160" s="72"/>
      <c r="BPD160" s="72"/>
      <c r="BPE160" s="72"/>
      <c r="BPF160" s="72"/>
      <c r="BPG160" s="72"/>
      <c r="BPH160" s="72"/>
      <c r="BPI160" s="72"/>
      <c r="BPJ160" s="72"/>
      <c r="BPK160" s="72"/>
      <c r="BPL160" s="72"/>
      <c r="BPM160" s="72"/>
      <c r="BPN160" s="72"/>
      <c r="BPO160" s="72"/>
      <c r="BPP160" s="72"/>
      <c r="BPQ160" s="72"/>
      <c r="BPR160" s="72"/>
      <c r="BPS160" s="72"/>
      <c r="BPT160" s="72"/>
      <c r="BPU160" s="72"/>
      <c r="BPV160" s="72"/>
      <c r="BPW160" s="72"/>
      <c r="BPX160" s="72"/>
      <c r="BPY160" s="72"/>
      <c r="BPZ160" s="72"/>
      <c r="BQA160" s="72"/>
      <c r="BQB160" s="72"/>
      <c r="BQC160" s="72"/>
      <c r="BQD160" s="72"/>
      <c r="BQE160" s="72"/>
      <c r="BQF160" s="72"/>
      <c r="BQG160" s="72"/>
      <c r="BQH160" s="72"/>
      <c r="BQI160" s="72"/>
      <c r="BQJ160" s="72"/>
      <c r="BQK160" s="72"/>
      <c r="BQL160" s="72"/>
      <c r="BQM160" s="72"/>
      <c r="BQN160" s="72"/>
      <c r="BQO160" s="72"/>
      <c r="BQP160" s="72"/>
      <c r="BQQ160" s="72"/>
      <c r="BQR160" s="72"/>
      <c r="BQS160" s="72"/>
      <c r="BQT160" s="72"/>
      <c r="BQU160" s="72"/>
      <c r="BQV160" s="72"/>
      <c r="BQW160" s="72"/>
      <c r="BQX160" s="72"/>
      <c r="BQY160" s="72"/>
      <c r="BQZ160" s="72"/>
      <c r="BRA160" s="72"/>
      <c r="BRB160" s="72"/>
      <c r="BRC160" s="72"/>
      <c r="BRD160" s="72"/>
      <c r="BRE160" s="72"/>
      <c r="BRF160" s="72"/>
      <c r="BRG160" s="72"/>
      <c r="BRH160" s="72"/>
      <c r="BRI160" s="72"/>
      <c r="BRJ160" s="72"/>
      <c r="BRK160" s="72"/>
      <c r="BRL160" s="72"/>
      <c r="BRM160" s="72"/>
      <c r="BRN160" s="72"/>
      <c r="BRO160" s="72"/>
      <c r="BRP160" s="72"/>
      <c r="BRQ160" s="72"/>
      <c r="BRR160" s="72"/>
      <c r="BRS160" s="72"/>
      <c r="BRT160" s="72"/>
      <c r="BRU160" s="72"/>
      <c r="BRV160" s="72"/>
      <c r="BRW160" s="72"/>
      <c r="BRX160" s="72"/>
      <c r="BRY160" s="72"/>
      <c r="BRZ160" s="72"/>
      <c r="BSA160" s="72"/>
      <c r="BSB160" s="72"/>
      <c r="BSC160" s="72"/>
      <c r="BSD160" s="72"/>
      <c r="BSE160" s="72"/>
      <c r="BSF160" s="72"/>
      <c r="BSG160" s="72"/>
      <c r="BSH160" s="72"/>
      <c r="BSI160" s="72"/>
      <c r="BSJ160" s="72"/>
      <c r="BSK160" s="72"/>
      <c r="BSL160" s="72"/>
      <c r="BSM160" s="72"/>
      <c r="BSN160" s="72"/>
      <c r="BSO160" s="72"/>
      <c r="BSP160" s="72"/>
      <c r="BSQ160" s="72"/>
      <c r="BSR160" s="72"/>
      <c r="BSS160" s="72"/>
      <c r="BST160" s="72"/>
      <c r="BSU160" s="72"/>
      <c r="BSV160" s="72"/>
      <c r="BSW160" s="72"/>
      <c r="BSX160" s="72"/>
      <c r="BSY160" s="72"/>
      <c r="BSZ160" s="72"/>
      <c r="BTA160" s="72"/>
      <c r="BTB160" s="72"/>
      <c r="BTC160" s="72"/>
      <c r="BTD160" s="72"/>
      <c r="BTE160" s="72"/>
      <c r="BTF160" s="72"/>
      <c r="BTG160" s="72"/>
      <c r="BTH160" s="72"/>
      <c r="BTI160" s="72"/>
      <c r="BTJ160" s="72"/>
      <c r="BTK160" s="72"/>
      <c r="BTL160" s="72"/>
      <c r="BTM160" s="72"/>
      <c r="BTN160" s="72"/>
      <c r="BTO160" s="72"/>
      <c r="BTP160" s="72"/>
      <c r="BTQ160" s="72"/>
      <c r="BTR160" s="72"/>
      <c r="BTS160" s="72"/>
      <c r="BTT160" s="72"/>
      <c r="BTU160" s="72"/>
      <c r="BTV160" s="72"/>
      <c r="BTW160" s="72"/>
      <c r="BTX160" s="72"/>
      <c r="BTY160" s="72"/>
      <c r="BTZ160" s="72"/>
      <c r="BUA160" s="72"/>
      <c r="BUB160" s="72"/>
      <c r="BUC160" s="72"/>
      <c r="BUD160" s="72"/>
      <c r="BUE160" s="72"/>
      <c r="BUF160" s="72"/>
      <c r="BUG160" s="72"/>
      <c r="BUH160" s="72"/>
      <c r="BUI160" s="72"/>
      <c r="BUJ160" s="72"/>
      <c r="BUK160" s="72"/>
      <c r="BUL160" s="72"/>
      <c r="BUM160" s="72"/>
      <c r="BUN160" s="72"/>
      <c r="BUO160" s="72"/>
      <c r="BUP160" s="72"/>
      <c r="BUQ160" s="72"/>
      <c r="BUR160" s="72"/>
      <c r="BUS160" s="72"/>
      <c r="BUT160" s="72"/>
      <c r="BUU160" s="72"/>
      <c r="BUV160" s="72"/>
      <c r="BUW160" s="72"/>
      <c r="BUX160" s="72"/>
      <c r="BUY160" s="72"/>
      <c r="BUZ160" s="72"/>
      <c r="BVA160" s="72"/>
      <c r="BVB160" s="72"/>
      <c r="BVC160" s="72"/>
      <c r="BVD160" s="72"/>
      <c r="BVE160" s="72"/>
      <c r="BVF160" s="72"/>
      <c r="BVG160" s="72"/>
      <c r="BVH160" s="72"/>
      <c r="BVI160" s="72"/>
      <c r="BVJ160" s="72"/>
      <c r="BVK160" s="72"/>
      <c r="BVL160" s="72"/>
      <c r="BVM160" s="72"/>
      <c r="BVN160" s="72"/>
      <c r="BVO160" s="72"/>
      <c r="BVP160" s="72"/>
      <c r="BVQ160" s="72"/>
      <c r="BVR160" s="72"/>
      <c r="BVS160" s="72"/>
      <c r="BVT160" s="72"/>
      <c r="BVU160" s="72"/>
      <c r="BVV160" s="72"/>
      <c r="BVW160" s="72"/>
      <c r="BVX160" s="72"/>
      <c r="BVY160" s="72"/>
      <c r="BVZ160" s="72"/>
      <c r="BWA160" s="72"/>
      <c r="BWB160" s="72"/>
      <c r="BWC160" s="72"/>
      <c r="BWD160" s="72"/>
      <c r="BWE160" s="72"/>
      <c r="BWF160" s="72"/>
      <c r="BWG160" s="72"/>
      <c r="BWH160" s="72"/>
      <c r="BWI160" s="72"/>
      <c r="BWJ160" s="72"/>
      <c r="BWK160" s="72"/>
      <c r="BWL160" s="72"/>
      <c r="BWM160" s="72"/>
      <c r="BWN160" s="72"/>
      <c r="BWO160" s="72"/>
      <c r="BWP160" s="72"/>
      <c r="BWQ160" s="72"/>
      <c r="BWR160" s="72"/>
      <c r="BWS160" s="72"/>
      <c r="BWT160" s="72"/>
      <c r="BWU160" s="72"/>
      <c r="BWV160" s="72"/>
      <c r="BWW160" s="72"/>
      <c r="BWX160" s="72"/>
      <c r="BWY160" s="72"/>
      <c r="BWZ160" s="72"/>
      <c r="BXA160" s="72"/>
      <c r="BXB160" s="72"/>
      <c r="BXC160" s="72"/>
      <c r="BXD160" s="72"/>
      <c r="BXE160" s="72"/>
      <c r="BXF160" s="72"/>
      <c r="BXG160" s="72"/>
      <c r="BXH160" s="72"/>
      <c r="BXI160" s="72"/>
      <c r="BXJ160" s="72"/>
      <c r="BXK160" s="72"/>
      <c r="BXL160" s="72"/>
      <c r="BXM160" s="72"/>
      <c r="BXN160" s="72"/>
      <c r="BXO160" s="72"/>
      <c r="BXP160" s="72"/>
      <c r="BXQ160" s="72"/>
      <c r="BXR160" s="72"/>
      <c r="BXS160" s="72"/>
      <c r="BXT160" s="72"/>
      <c r="BXU160" s="72"/>
      <c r="BXV160" s="72"/>
      <c r="BXW160" s="72"/>
      <c r="BXX160" s="72"/>
      <c r="BXY160" s="72"/>
      <c r="BXZ160" s="72"/>
      <c r="BYA160" s="72"/>
      <c r="BYB160" s="72"/>
      <c r="BYC160" s="72"/>
      <c r="BYD160" s="72"/>
      <c r="BYE160" s="72"/>
      <c r="BYF160" s="72"/>
      <c r="BYG160" s="72"/>
      <c r="BYH160" s="72"/>
      <c r="BYI160" s="72"/>
      <c r="BYJ160" s="72"/>
      <c r="BYK160" s="72"/>
      <c r="BYL160" s="72"/>
      <c r="BYM160" s="72"/>
      <c r="BYN160" s="72"/>
      <c r="BYO160" s="72"/>
      <c r="BYP160" s="72"/>
      <c r="BYQ160" s="72"/>
      <c r="BYR160" s="72"/>
      <c r="BYS160" s="72"/>
      <c r="BYT160" s="72"/>
      <c r="BYU160" s="72"/>
      <c r="BYV160" s="72"/>
      <c r="BYW160" s="72"/>
      <c r="BYX160" s="72"/>
      <c r="BYY160" s="72"/>
      <c r="BYZ160" s="72"/>
      <c r="BZA160" s="72"/>
      <c r="BZB160" s="72"/>
      <c r="BZC160" s="72"/>
      <c r="BZD160" s="72"/>
      <c r="BZE160" s="72"/>
      <c r="BZF160" s="72"/>
      <c r="BZG160" s="72"/>
      <c r="BZH160" s="72"/>
      <c r="BZI160" s="72"/>
      <c r="BZJ160" s="72"/>
      <c r="BZK160" s="72"/>
      <c r="BZL160" s="72"/>
      <c r="BZM160" s="72"/>
      <c r="BZN160" s="72"/>
      <c r="BZO160" s="72"/>
      <c r="BZP160" s="72"/>
      <c r="BZQ160" s="72"/>
      <c r="BZR160" s="72"/>
      <c r="BZS160" s="72"/>
      <c r="BZT160" s="72"/>
      <c r="BZU160" s="72"/>
      <c r="BZV160" s="72"/>
      <c r="BZW160" s="72"/>
      <c r="BZX160" s="72"/>
      <c r="BZY160" s="72"/>
      <c r="BZZ160" s="72"/>
      <c r="CAA160" s="72"/>
      <c r="CAB160" s="72"/>
      <c r="CAC160" s="72"/>
      <c r="CAD160" s="72"/>
      <c r="CAE160" s="72"/>
      <c r="CAF160" s="72"/>
      <c r="CAG160" s="72"/>
      <c r="CAH160" s="72"/>
      <c r="CAI160" s="72"/>
      <c r="CAJ160" s="72"/>
      <c r="CAK160" s="72"/>
      <c r="CAL160" s="72"/>
      <c r="CAM160" s="72"/>
      <c r="CAN160" s="72"/>
      <c r="CAO160" s="72"/>
      <c r="CAP160" s="72"/>
      <c r="CAQ160" s="72"/>
      <c r="CAR160" s="72"/>
      <c r="CAS160" s="72"/>
      <c r="CAT160" s="72"/>
      <c r="CAU160" s="72"/>
      <c r="CAV160" s="72"/>
      <c r="CAW160" s="72"/>
      <c r="CAX160" s="72"/>
      <c r="CAY160" s="72"/>
      <c r="CAZ160" s="72"/>
      <c r="CBA160" s="72"/>
      <c r="CBB160" s="72"/>
      <c r="CBC160" s="72"/>
      <c r="CBD160" s="72"/>
      <c r="CBE160" s="72"/>
      <c r="CBF160" s="72"/>
      <c r="CBG160" s="72"/>
      <c r="CBH160" s="72"/>
      <c r="CBI160" s="72"/>
      <c r="CBJ160" s="72"/>
      <c r="CBK160" s="72"/>
      <c r="CBL160" s="72"/>
      <c r="CBM160" s="72"/>
      <c r="CBN160" s="72"/>
      <c r="CBO160" s="72"/>
      <c r="CBP160" s="72"/>
      <c r="CBQ160" s="72"/>
      <c r="CBR160" s="72"/>
      <c r="CBS160" s="72"/>
      <c r="CBT160" s="72"/>
      <c r="CBU160" s="72"/>
      <c r="CBV160" s="72"/>
      <c r="CBW160" s="72"/>
      <c r="CBX160" s="72"/>
      <c r="CBY160" s="72"/>
      <c r="CBZ160" s="72"/>
      <c r="CCA160" s="72"/>
      <c r="CCB160" s="72"/>
      <c r="CCC160" s="72"/>
      <c r="CCD160" s="72"/>
      <c r="CCE160" s="72"/>
      <c r="CCF160" s="72"/>
      <c r="CCG160" s="72"/>
      <c r="CCH160" s="72"/>
      <c r="CCI160" s="72"/>
      <c r="CCJ160" s="72"/>
      <c r="CCK160" s="72"/>
      <c r="CCL160" s="72"/>
      <c r="CCM160" s="72"/>
      <c r="CCN160" s="72"/>
      <c r="CCO160" s="72"/>
      <c r="CCP160" s="72"/>
      <c r="CCQ160" s="72"/>
      <c r="CCR160" s="72"/>
      <c r="CCS160" s="72"/>
      <c r="CCT160" s="72"/>
      <c r="CCU160" s="72"/>
      <c r="CCV160" s="72"/>
      <c r="CCW160" s="72"/>
      <c r="CCX160" s="72"/>
      <c r="CCY160" s="72"/>
      <c r="CCZ160" s="72"/>
      <c r="CDA160" s="72"/>
      <c r="CDB160" s="72"/>
      <c r="CDC160" s="72"/>
      <c r="CDD160" s="72"/>
      <c r="CDE160" s="72"/>
      <c r="CDF160" s="72"/>
      <c r="CDG160" s="72"/>
      <c r="CDH160" s="72"/>
      <c r="CDI160" s="72"/>
      <c r="CDJ160" s="72"/>
      <c r="CDK160" s="72"/>
      <c r="CDL160" s="72"/>
      <c r="CDM160" s="72"/>
      <c r="CDN160" s="72"/>
      <c r="CDO160" s="72"/>
      <c r="CDP160" s="72"/>
      <c r="CDQ160" s="72"/>
      <c r="CDR160" s="72"/>
      <c r="CDS160" s="72"/>
      <c r="CDT160" s="72"/>
      <c r="CDU160" s="72"/>
      <c r="CDV160" s="72"/>
      <c r="CDW160" s="72"/>
      <c r="CDX160" s="72"/>
      <c r="CDY160" s="72"/>
      <c r="CDZ160" s="72"/>
      <c r="CEA160" s="72"/>
      <c r="CEB160" s="72"/>
      <c r="CEC160" s="72"/>
      <c r="CED160" s="72"/>
      <c r="CEE160" s="72"/>
      <c r="CEF160" s="72"/>
      <c r="CEG160" s="72"/>
      <c r="CEH160" s="72"/>
      <c r="CEI160" s="72"/>
      <c r="CEJ160" s="72"/>
      <c r="CEK160" s="72"/>
      <c r="CEL160" s="72"/>
      <c r="CEM160" s="72"/>
      <c r="CEN160" s="72"/>
      <c r="CEO160" s="72"/>
      <c r="CEP160" s="72"/>
      <c r="CEQ160" s="72"/>
      <c r="CER160" s="72"/>
      <c r="CES160" s="72"/>
      <c r="CET160" s="72"/>
      <c r="CEU160" s="72"/>
      <c r="CEV160" s="72"/>
      <c r="CEW160" s="72"/>
      <c r="CEX160" s="72"/>
      <c r="CEY160" s="72"/>
      <c r="CEZ160" s="72"/>
      <c r="CFA160" s="72"/>
      <c r="CFB160" s="72"/>
      <c r="CFC160" s="72"/>
      <c r="CFD160" s="72"/>
      <c r="CFE160" s="72"/>
      <c r="CFF160" s="72"/>
      <c r="CFG160" s="72"/>
      <c r="CFH160" s="72"/>
      <c r="CFI160" s="72"/>
      <c r="CFJ160" s="72"/>
      <c r="CFK160" s="72"/>
      <c r="CFL160" s="72"/>
      <c r="CFM160" s="72"/>
      <c r="CFN160" s="72"/>
      <c r="CFO160" s="72"/>
      <c r="CFP160" s="72"/>
      <c r="CFQ160" s="72"/>
      <c r="CFR160" s="72"/>
      <c r="CFS160" s="72"/>
      <c r="CFT160" s="72"/>
      <c r="CFU160" s="72"/>
      <c r="CFV160" s="72"/>
      <c r="CFW160" s="72"/>
      <c r="CFX160" s="72"/>
      <c r="CFY160" s="72"/>
      <c r="CFZ160" s="72"/>
      <c r="CGA160" s="72"/>
      <c r="CGB160" s="72"/>
      <c r="CGC160" s="72"/>
      <c r="CGD160" s="72"/>
      <c r="CGE160" s="72"/>
      <c r="CGF160" s="72"/>
      <c r="CGG160" s="72"/>
      <c r="CGH160" s="72"/>
      <c r="CGI160" s="72"/>
      <c r="CGJ160" s="72"/>
      <c r="CGK160" s="72"/>
      <c r="CGL160" s="72"/>
      <c r="CGM160" s="72"/>
      <c r="CGN160" s="72"/>
      <c r="CGO160" s="72"/>
      <c r="CGP160" s="72"/>
      <c r="CGQ160" s="72"/>
      <c r="CGR160" s="72"/>
      <c r="CGS160" s="72"/>
      <c r="CGT160" s="72"/>
      <c r="CGU160" s="72"/>
      <c r="CGV160" s="72"/>
      <c r="CGW160" s="72"/>
      <c r="CGX160" s="72"/>
      <c r="CGY160" s="72"/>
      <c r="CGZ160" s="72"/>
      <c r="CHA160" s="72"/>
      <c r="CHB160" s="72"/>
      <c r="CHC160" s="72"/>
      <c r="CHD160" s="72"/>
      <c r="CHE160" s="72"/>
      <c r="CHF160" s="72"/>
      <c r="CHG160" s="72"/>
      <c r="CHH160" s="72"/>
      <c r="CHI160" s="72"/>
      <c r="CHJ160" s="72"/>
      <c r="CHK160" s="72"/>
      <c r="CHL160" s="72"/>
      <c r="CHM160" s="72"/>
      <c r="CHN160" s="72"/>
      <c r="CHO160" s="72"/>
      <c r="CHP160" s="72"/>
      <c r="CHQ160" s="72"/>
      <c r="CHR160" s="72"/>
      <c r="CHS160" s="72"/>
      <c r="CHT160" s="72"/>
      <c r="CHU160" s="72"/>
      <c r="CHV160" s="72"/>
      <c r="CHW160" s="72"/>
      <c r="CHX160" s="72"/>
      <c r="CHY160" s="72"/>
      <c r="CHZ160" s="72"/>
      <c r="CIA160" s="72"/>
      <c r="CIB160" s="72"/>
      <c r="CIC160" s="72"/>
      <c r="CID160" s="72"/>
      <c r="CIE160" s="72"/>
      <c r="CIF160" s="72"/>
      <c r="CIG160" s="72"/>
      <c r="CIH160" s="72"/>
      <c r="CII160" s="72"/>
      <c r="CIJ160" s="72"/>
      <c r="CIK160" s="72"/>
      <c r="CIL160" s="72"/>
      <c r="CIM160" s="72"/>
      <c r="CIN160" s="72"/>
      <c r="CIO160" s="72"/>
      <c r="CIP160" s="72"/>
      <c r="CIQ160" s="72"/>
      <c r="CIR160" s="72"/>
      <c r="CIS160" s="72"/>
      <c r="CIT160" s="72"/>
      <c r="CIU160" s="72"/>
      <c r="CIV160" s="72"/>
      <c r="CIW160" s="72"/>
      <c r="CIX160" s="72"/>
      <c r="CIY160" s="72"/>
      <c r="CIZ160" s="72"/>
      <c r="CJA160" s="72"/>
      <c r="CJB160" s="72"/>
      <c r="CJC160" s="72"/>
      <c r="CJD160" s="72"/>
      <c r="CJE160" s="72"/>
      <c r="CJF160" s="72"/>
      <c r="CJG160" s="72"/>
      <c r="CJH160" s="72"/>
      <c r="CJI160" s="72"/>
      <c r="CJJ160" s="72"/>
      <c r="CJK160" s="72"/>
      <c r="CJL160" s="72"/>
      <c r="CJM160" s="72"/>
      <c r="CJN160" s="72"/>
      <c r="CJO160" s="72"/>
      <c r="CJP160" s="72"/>
      <c r="CJQ160" s="72"/>
      <c r="CJR160" s="72"/>
      <c r="CJS160" s="72"/>
      <c r="CJT160" s="72"/>
      <c r="CJU160" s="72"/>
      <c r="CJV160" s="72"/>
      <c r="CJW160" s="72"/>
      <c r="CJX160" s="72"/>
      <c r="CJY160" s="72"/>
      <c r="CJZ160" s="72"/>
      <c r="CKA160" s="72"/>
      <c r="CKB160" s="72"/>
      <c r="CKC160" s="72"/>
      <c r="CKD160" s="72"/>
      <c r="CKE160" s="72"/>
      <c r="CKF160" s="72"/>
      <c r="CKG160" s="72"/>
      <c r="CKH160" s="72"/>
      <c r="CKI160" s="72"/>
      <c r="CKJ160" s="72"/>
      <c r="CKK160" s="72"/>
      <c r="CKL160" s="72"/>
      <c r="CKM160" s="72"/>
      <c r="CKN160" s="72"/>
      <c r="CKO160" s="72"/>
      <c r="CKP160" s="72"/>
      <c r="CKQ160" s="72"/>
      <c r="CKR160" s="72"/>
      <c r="CKS160" s="72"/>
      <c r="CKT160" s="72"/>
      <c r="CKU160" s="72"/>
      <c r="CKV160" s="72"/>
      <c r="CKW160" s="72"/>
      <c r="CKX160" s="72"/>
      <c r="CKY160" s="72"/>
      <c r="CKZ160" s="72"/>
      <c r="CLA160" s="72"/>
      <c r="CLB160" s="72"/>
      <c r="CLC160" s="72"/>
      <c r="CLD160" s="72"/>
      <c r="CLE160" s="72"/>
      <c r="CLF160" s="72"/>
      <c r="CLG160" s="72"/>
      <c r="CLH160" s="72"/>
      <c r="CLI160" s="72"/>
      <c r="CLJ160" s="72"/>
      <c r="CLK160" s="72"/>
      <c r="CLL160" s="72"/>
      <c r="CLM160" s="72"/>
      <c r="CLN160" s="72"/>
      <c r="CLO160" s="72"/>
      <c r="CLP160" s="72"/>
      <c r="CLQ160" s="72"/>
      <c r="CLR160" s="72"/>
      <c r="CLS160" s="72"/>
      <c r="CLT160" s="72"/>
      <c r="CLU160" s="72"/>
      <c r="CLV160" s="72"/>
      <c r="CLW160" s="72"/>
      <c r="CLX160" s="72"/>
      <c r="CLY160" s="72"/>
      <c r="CLZ160" s="72"/>
      <c r="CMA160" s="72"/>
      <c r="CMB160" s="72"/>
      <c r="CMC160" s="72"/>
      <c r="CMD160" s="72"/>
      <c r="CME160" s="72"/>
      <c r="CMF160" s="72"/>
      <c r="CMG160" s="72"/>
      <c r="CMH160" s="72"/>
      <c r="CMI160" s="72"/>
      <c r="CMJ160" s="72"/>
      <c r="CMK160" s="72"/>
      <c r="CML160" s="72"/>
      <c r="CMM160" s="72"/>
      <c r="CMN160" s="72"/>
      <c r="CMO160" s="72"/>
      <c r="CMP160" s="72"/>
      <c r="CMQ160" s="72"/>
      <c r="CMR160" s="72"/>
      <c r="CMS160" s="72"/>
      <c r="CMT160" s="72"/>
      <c r="CMU160" s="72"/>
      <c r="CMV160" s="72"/>
      <c r="CMW160" s="72"/>
      <c r="CMX160" s="72"/>
      <c r="CMY160" s="72"/>
      <c r="CMZ160" s="72"/>
      <c r="CNA160" s="72"/>
      <c r="CNB160" s="72"/>
      <c r="CNC160" s="72"/>
      <c r="CND160" s="72"/>
      <c r="CNE160" s="72"/>
      <c r="CNF160" s="72"/>
      <c r="CNG160" s="72"/>
      <c r="CNH160" s="72"/>
      <c r="CNI160" s="72"/>
      <c r="CNJ160" s="72"/>
      <c r="CNK160" s="72"/>
      <c r="CNL160" s="72"/>
      <c r="CNM160" s="72"/>
      <c r="CNN160" s="72"/>
      <c r="CNO160" s="72"/>
      <c r="CNP160" s="72"/>
      <c r="CNQ160" s="72"/>
      <c r="CNR160" s="72"/>
      <c r="CNS160" s="72"/>
      <c r="CNT160" s="72"/>
      <c r="CNU160" s="72"/>
      <c r="CNV160" s="72"/>
      <c r="CNW160" s="72"/>
      <c r="CNX160" s="72"/>
      <c r="CNY160" s="72"/>
      <c r="CNZ160" s="72"/>
      <c r="COA160" s="72"/>
      <c r="COB160" s="72"/>
      <c r="COC160" s="72"/>
      <c r="COD160" s="72"/>
      <c r="COE160" s="72"/>
      <c r="COF160" s="72"/>
      <c r="COG160" s="72"/>
      <c r="COH160" s="72"/>
      <c r="COI160" s="72"/>
      <c r="COJ160" s="72"/>
      <c r="COK160" s="72"/>
      <c r="COL160" s="72"/>
      <c r="COM160" s="72"/>
      <c r="CON160" s="72"/>
      <c r="COO160" s="72"/>
      <c r="COP160" s="72"/>
      <c r="COQ160" s="72"/>
      <c r="COR160" s="72"/>
      <c r="COS160" s="72"/>
      <c r="COT160" s="72"/>
      <c r="COU160" s="72"/>
      <c r="COV160" s="72"/>
      <c r="COW160" s="72"/>
      <c r="COX160" s="72"/>
      <c r="COY160" s="72"/>
      <c r="COZ160" s="72"/>
      <c r="CPA160" s="72"/>
      <c r="CPB160" s="72"/>
      <c r="CPC160" s="72"/>
      <c r="CPD160" s="72"/>
      <c r="CPE160" s="72"/>
      <c r="CPF160" s="72"/>
      <c r="CPG160" s="72"/>
      <c r="CPH160" s="72"/>
      <c r="CPI160" s="72"/>
      <c r="CPJ160" s="72"/>
      <c r="CPK160" s="72"/>
      <c r="CPL160" s="72"/>
      <c r="CPM160" s="72"/>
      <c r="CPN160" s="72"/>
      <c r="CPO160" s="72"/>
      <c r="CPP160" s="72"/>
      <c r="CPQ160" s="72"/>
      <c r="CPR160" s="72"/>
      <c r="CPS160" s="72"/>
      <c r="CPT160" s="72"/>
      <c r="CPU160" s="72"/>
      <c r="CPV160" s="72"/>
      <c r="CPW160" s="72"/>
      <c r="CPX160" s="72"/>
      <c r="CPY160" s="72"/>
      <c r="CPZ160" s="72"/>
      <c r="CQA160" s="72"/>
      <c r="CQB160" s="72"/>
      <c r="CQC160" s="72"/>
      <c r="CQD160" s="72"/>
      <c r="CQE160" s="72"/>
      <c r="CQF160" s="72"/>
      <c r="CQG160" s="72"/>
      <c r="CQH160" s="72"/>
      <c r="CQI160" s="72"/>
      <c r="CQJ160" s="72"/>
      <c r="CQK160" s="72"/>
      <c r="CQL160" s="72"/>
      <c r="CQM160" s="72"/>
      <c r="CQN160" s="72"/>
      <c r="CQO160" s="72"/>
      <c r="CQP160" s="72"/>
      <c r="CQQ160" s="72"/>
      <c r="CQR160" s="72"/>
      <c r="CQS160" s="72"/>
      <c r="CQT160" s="72"/>
      <c r="CQU160" s="72"/>
      <c r="CQV160" s="72"/>
      <c r="CQW160" s="72"/>
      <c r="CQX160" s="72"/>
      <c r="CQY160" s="72"/>
      <c r="CQZ160" s="72"/>
      <c r="CRA160" s="72"/>
      <c r="CRB160" s="72"/>
      <c r="CRC160" s="72"/>
      <c r="CRD160" s="72"/>
      <c r="CRE160" s="72"/>
      <c r="CRF160" s="72"/>
      <c r="CRG160" s="72"/>
      <c r="CRH160" s="72"/>
      <c r="CRI160" s="72"/>
      <c r="CRJ160" s="72"/>
      <c r="CRK160" s="72"/>
      <c r="CRL160" s="72"/>
      <c r="CRM160" s="72"/>
      <c r="CRN160" s="72"/>
      <c r="CRO160" s="72"/>
      <c r="CRP160" s="72"/>
      <c r="CRQ160" s="72"/>
      <c r="CRR160" s="72"/>
      <c r="CRS160" s="72"/>
      <c r="CRT160" s="72"/>
      <c r="CRU160" s="72"/>
      <c r="CRV160" s="72"/>
      <c r="CRW160" s="72"/>
      <c r="CRX160" s="72"/>
      <c r="CRY160" s="72"/>
      <c r="CRZ160" s="72"/>
      <c r="CSA160" s="72"/>
      <c r="CSB160" s="72"/>
      <c r="CSC160" s="72"/>
      <c r="CSD160" s="72"/>
      <c r="CSE160" s="72"/>
      <c r="CSF160" s="72"/>
      <c r="CSG160" s="72"/>
      <c r="CSH160" s="72"/>
      <c r="CSI160" s="72"/>
      <c r="CSJ160" s="72"/>
      <c r="CSK160" s="72"/>
      <c r="CSL160" s="72"/>
      <c r="CSM160" s="72"/>
      <c r="CSN160" s="72"/>
      <c r="CSO160" s="72"/>
      <c r="CSP160" s="72"/>
      <c r="CSQ160" s="72"/>
      <c r="CSR160" s="72"/>
      <c r="CSS160" s="72"/>
      <c r="CST160" s="72"/>
      <c r="CSU160" s="72"/>
      <c r="CSV160" s="72"/>
      <c r="CSW160" s="72"/>
      <c r="CSX160" s="72"/>
      <c r="CSY160" s="72"/>
      <c r="CSZ160" s="72"/>
      <c r="CTA160" s="72"/>
      <c r="CTB160" s="72"/>
      <c r="CTC160" s="72"/>
      <c r="CTD160" s="72"/>
      <c r="CTE160" s="72"/>
      <c r="CTF160" s="72"/>
      <c r="CTG160" s="72"/>
      <c r="CTH160" s="72"/>
      <c r="CTI160" s="72"/>
      <c r="CTJ160" s="72"/>
      <c r="CTK160" s="72"/>
      <c r="CTL160" s="72"/>
      <c r="CTM160" s="72"/>
      <c r="CTN160" s="72"/>
      <c r="CTO160" s="72"/>
      <c r="CTP160" s="72"/>
      <c r="CTQ160" s="72"/>
      <c r="CTR160" s="72"/>
      <c r="CTS160" s="72"/>
      <c r="CTT160" s="72"/>
      <c r="CTU160" s="72"/>
      <c r="CTV160" s="72"/>
      <c r="CTW160" s="72"/>
      <c r="CTX160" s="72"/>
      <c r="CTY160" s="72"/>
      <c r="CTZ160" s="72"/>
      <c r="CUA160" s="72"/>
      <c r="CUB160" s="72"/>
      <c r="CUC160" s="72"/>
      <c r="CUD160" s="72"/>
      <c r="CUE160" s="72"/>
      <c r="CUF160" s="72"/>
      <c r="CUG160" s="72"/>
      <c r="CUH160" s="72"/>
      <c r="CUI160" s="72"/>
      <c r="CUJ160" s="72"/>
      <c r="CUK160" s="72"/>
      <c r="CUL160" s="72"/>
      <c r="CUM160" s="72"/>
      <c r="CUN160" s="72"/>
      <c r="CUO160" s="72"/>
      <c r="CUP160" s="72"/>
      <c r="CUQ160" s="72"/>
      <c r="CUR160" s="72"/>
      <c r="CUS160" s="72"/>
      <c r="CUT160" s="72"/>
      <c r="CUU160" s="72"/>
      <c r="CUV160" s="72"/>
      <c r="CUW160" s="72"/>
      <c r="CUX160" s="72"/>
      <c r="CUY160" s="72"/>
      <c r="CUZ160" s="72"/>
      <c r="CVA160" s="72"/>
      <c r="CVB160" s="72"/>
      <c r="CVC160" s="72"/>
      <c r="CVD160" s="72"/>
      <c r="CVE160" s="72"/>
      <c r="CVF160" s="72"/>
      <c r="CVG160" s="72"/>
      <c r="CVH160" s="72"/>
      <c r="CVI160" s="72"/>
      <c r="CVJ160" s="72"/>
      <c r="CVK160" s="72"/>
      <c r="CVL160" s="72"/>
      <c r="CVM160" s="72"/>
      <c r="CVN160" s="72"/>
      <c r="CVO160" s="72"/>
      <c r="CVP160" s="72"/>
      <c r="CVQ160" s="72"/>
      <c r="CVR160" s="72"/>
      <c r="CVS160" s="72"/>
      <c r="CVT160" s="72"/>
      <c r="CVU160" s="72"/>
      <c r="CVV160" s="72"/>
      <c r="CVW160" s="72"/>
      <c r="CVX160" s="72"/>
      <c r="CVY160" s="72"/>
      <c r="CVZ160" s="72"/>
      <c r="CWA160" s="72"/>
      <c r="CWB160" s="72"/>
      <c r="CWC160" s="72"/>
      <c r="CWD160" s="72"/>
      <c r="CWE160" s="72"/>
      <c r="CWF160" s="72"/>
      <c r="CWG160" s="72"/>
      <c r="CWH160" s="72"/>
      <c r="CWI160" s="72"/>
      <c r="CWJ160" s="72"/>
      <c r="CWK160" s="72"/>
      <c r="CWL160" s="72"/>
      <c r="CWM160" s="72"/>
      <c r="CWN160" s="72"/>
      <c r="CWO160" s="72"/>
      <c r="CWP160" s="72"/>
      <c r="CWQ160" s="72"/>
      <c r="CWR160" s="72"/>
      <c r="CWS160" s="72"/>
      <c r="CWT160" s="72"/>
      <c r="CWU160" s="72"/>
      <c r="CWV160" s="72"/>
      <c r="CWW160" s="72"/>
      <c r="CWX160" s="72"/>
      <c r="CWY160" s="72"/>
      <c r="CWZ160" s="72"/>
      <c r="CXA160" s="72"/>
      <c r="CXB160" s="72"/>
      <c r="CXC160" s="72"/>
      <c r="CXD160" s="72"/>
      <c r="CXE160" s="72"/>
      <c r="CXF160" s="72"/>
      <c r="CXG160" s="72"/>
      <c r="CXH160" s="72"/>
      <c r="CXI160" s="72"/>
      <c r="CXJ160" s="72"/>
      <c r="CXK160" s="72"/>
      <c r="CXL160" s="72"/>
      <c r="CXM160" s="72"/>
      <c r="CXN160" s="72"/>
      <c r="CXO160" s="72"/>
      <c r="CXP160" s="72"/>
      <c r="CXQ160" s="72"/>
      <c r="CXR160" s="72"/>
      <c r="CXS160" s="72"/>
      <c r="CXT160" s="72"/>
      <c r="CXU160" s="72"/>
      <c r="CXV160" s="72"/>
      <c r="CXW160" s="72"/>
      <c r="CXX160" s="72"/>
      <c r="CXY160" s="72"/>
      <c r="CXZ160" s="72"/>
      <c r="CYA160" s="72"/>
      <c r="CYB160" s="72"/>
      <c r="CYC160" s="72"/>
      <c r="CYD160" s="72"/>
      <c r="CYE160" s="72"/>
      <c r="CYF160" s="72"/>
      <c r="CYG160" s="72"/>
      <c r="CYH160" s="72"/>
      <c r="CYI160" s="72"/>
      <c r="CYJ160" s="72"/>
      <c r="CYK160" s="72"/>
      <c r="CYL160" s="72"/>
      <c r="CYM160" s="72"/>
      <c r="CYN160" s="72"/>
      <c r="CYO160" s="72"/>
      <c r="CYP160" s="72"/>
      <c r="CYQ160" s="72"/>
      <c r="CYR160" s="72"/>
      <c r="CYS160" s="72"/>
      <c r="CYT160" s="72"/>
      <c r="CYU160" s="72"/>
      <c r="CYV160" s="72"/>
      <c r="CYW160" s="72"/>
      <c r="CYX160" s="72"/>
      <c r="CYY160" s="72"/>
      <c r="CYZ160" s="72"/>
      <c r="CZA160" s="72"/>
      <c r="CZB160" s="72"/>
      <c r="CZC160" s="72"/>
      <c r="CZD160" s="72"/>
      <c r="CZE160" s="72"/>
      <c r="CZF160" s="72"/>
      <c r="CZG160" s="72"/>
      <c r="CZH160" s="72"/>
      <c r="CZI160" s="72"/>
      <c r="CZJ160" s="72"/>
      <c r="CZK160" s="72"/>
      <c r="CZL160" s="72"/>
      <c r="CZM160" s="72"/>
      <c r="CZN160" s="72"/>
      <c r="CZO160" s="72"/>
      <c r="CZP160" s="72"/>
      <c r="CZQ160" s="72"/>
      <c r="CZR160" s="72"/>
      <c r="CZS160" s="72"/>
      <c r="CZT160" s="72"/>
      <c r="CZU160" s="72"/>
      <c r="CZV160" s="72"/>
      <c r="CZW160" s="72"/>
      <c r="CZX160" s="72"/>
      <c r="CZY160" s="72"/>
      <c r="CZZ160" s="72"/>
      <c r="DAA160" s="72"/>
      <c r="DAB160" s="72"/>
      <c r="DAC160" s="72"/>
      <c r="DAD160" s="72"/>
      <c r="DAE160" s="72"/>
      <c r="DAF160" s="72"/>
      <c r="DAG160" s="72"/>
      <c r="DAH160" s="72"/>
      <c r="DAI160" s="72"/>
      <c r="DAJ160" s="72"/>
      <c r="DAK160" s="72"/>
      <c r="DAL160" s="72"/>
      <c r="DAM160" s="72"/>
      <c r="DAN160" s="72"/>
      <c r="DAO160" s="72"/>
      <c r="DAP160" s="72"/>
      <c r="DAQ160" s="72"/>
      <c r="DAR160" s="72"/>
      <c r="DAS160" s="72"/>
      <c r="DAT160" s="72"/>
      <c r="DAU160" s="72"/>
      <c r="DAV160" s="72"/>
      <c r="DAW160" s="72"/>
      <c r="DAX160" s="72"/>
      <c r="DAY160" s="72"/>
      <c r="DAZ160" s="72"/>
      <c r="DBA160" s="72"/>
      <c r="DBB160" s="72"/>
      <c r="DBC160" s="72"/>
      <c r="DBD160" s="72"/>
      <c r="DBE160" s="72"/>
      <c r="DBF160" s="72"/>
      <c r="DBG160" s="72"/>
      <c r="DBH160" s="72"/>
      <c r="DBI160" s="72"/>
      <c r="DBJ160" s="72"/>
      <c r="DBK160" s="72"/>
      <c r="DBL160" s="72"/>
      <c r="DBM160" s="72"/>
      <c r="DBN160" s="72"/>
      <c r="DBO160" s="72"/>
      <c r="DBP160" s="72"/>
      <c r="DBQ160" s="72"/>
      <c r="DBR160" s="72"/>
      <c r="DBS160" s="72"/>
      <c r="DBT160" s="72"/>
      <c r="DBU160" s="72"/>
      <c r="DBV160" s="72"/>
      <c r="DBW160" s="72"/>
      <c r="DBX160" s="72"/>
      <c r="DBY160" s="72"/>
      <c r="DBZ160" s="72"/>
      <c r="DCA160" s="72"/>
      <c r="DCB160" s="72"/>
      <c r="DCC160" s="72"/>
      <c r="DCD160" s="72"/>
      <c r="DCE160" s="72"/>
      <c r="DCF160" s="72"/>
      <c r="DCG160" s="72"/>
      <c r="DCH160" s="72"/>
      <c r="DCI160" s="72"/>
      <c r="DCJ160" s="72"/>
      <c r="DCK160" s="72"/>
      <c r="DCL160" s="72"/>
      <c r="DCM160" s="72"/>
      <c r="DCN160" s="72"/>
      <c r="DCO160" s="72"/>
      <c r="DCP160" s="72"/>
      <c r="DCQ160" s="72"/>
      <c r="DCR160" s="72"/>
      <c r="DCS160" s="72"/>
      <c r="DCT160" s="72"/>
      <c r="DCU160" s="72"/>
      <c r="DCV160" s="72"/>
      <c r="DCW160" s="72"/>
      <c r="DCX160" s="72"/>
      <c r="DCY160" s="72"/>
      <c r="DCZ160" s="72"/>
      <c r="DDA160" s="72"/>
      <c r="DDB160" s="72"/>
      <c r="DDC160" s="72"/>
      <c r="DDD160" s="72"/>
      <c r="DDE160" s="72"/>
      <c r="DDF160" s="72"/>
      <c r="DDG160" s="72"/>
      <c r="DDH160" s="72"/>
      <c r="DDI160" s="72"/>
      <c r="DDJ160" s="72"/>
      <c r="DDK160" s="72"/>
      <c r="DDL160" s="72"/>
      <c r="DDM160" s="72"/>
      <c r="DDN160" s="72"/>
      <c r="DDO160" s="72"/>
      <c r="DDP160" s="72"/>
      <c r="DDQ160" s="72"/>
      <c r="DDR160" s="72"/>
      <c r="DDS160" s="72"/>
      <c r="DDT160" s="72"/>
      <c r="DDU160" s="72"/>
      <c r="DDV160" s="72"/>
      <c r="DDW160" s="72"/>
      <c r="DDX160" s="72"/>
      <c r="DDY160" s="72"/>
      <c r="DDZ160" s="72"/>
      <c r="DEA160" s="72"/>
      <c r="DEB160" s="72"/>
      <c r="DEC160" s="72"/>
      <c r="DED160" s="72"/>
      <c r="DEE160" s="72"/>
      <c r="DEF160" s="72"/>
      <c r="DEG160" s="72"/>
      <c r="DEH160" s="72"/>
      <c r="DEI160" s="72"/>
      <c r="DEJ160" s="72"/>
      <c r="DEK160" s="72"/>
      <c r="DEL160" s="72"/>
      <c r="DEM160" s="72"/>
      <c r="DEN160" s="72"/>
      <c r="DEO160" s="72"/>
      <c r="DEP160" s="72"/>
      <c r="DEQ160" s="72"/>
      <c r="DER160" s="72"/>
      <c r="DES160" s="72"/>
      <c r="DET160" s="72"/>
      <c r="DEU160" s="72"/>
      <c r="DEV160" s="72"/>
      <c r="DEW160" s="72"/>
      <c r="DEX160" s="72"/>
      <c r="DEY160" s="72"/>
      <c r="DEZ160" s="72"/>
      <c r="DFA160" s="72"/>
      <c r="DFB160" s="72"/>
      <c r="DFC160" s="72"/>
      <c r="DFD160" s="72"/>
      <c r="DFE160" s="72"/>
      <c r="DFF160" s="72"/>
      <c r="DFG160" s="72"/>
      <c r="DFH160" s="72"/>
      <c r="DFI160" s="72"/>
      <c r="DFJ160" s="72"/>
      <c r="DFK160" s="72"/>
      <c r="DFL160" s="72"/>
      <c r="DFM160" s="72"/>
      <c r="DFN160" s="72"/>
      <c r="DFO160" s="72"/>
      <c r="DFP160" s="72"/>
      <c r="DFQ160" s="72"/>
      <c r="DFR160" s="72"/>
      <c r="DFS160" s="72"/>
      <c r="DFT160" s="72"/>
      <c r="DFU160" s="72"/>
      <c r="DFV160" s="72"/>
      <c r="DFW160" s="72"/>
      <c r="DFX160" s="72"/>
      <c r="DFY160" s="72"/>
      <c r="DFZ160" s="72"/>
      <c r="DGA160" s="72"/>
      <c r="DGB160" s="72"/>
      <c r="DGC160" s="72"/>
      <c r="DGD160" s="72"/>
      <c r="DGE160" s="72"/>
      <c r="DGF160" s="72"/>
      <c r="DGG160" s="72"/>
      <c r="DGH160" s="72"/>
      <c r="DGI160" s="72"/>
      <c r="DGJ160" s="72"/>
      <c r="DGK160" s="72"/>
      <c r="DGL160" s="72"/>
      <c r="DGM160" s="72"/>
      <c r="DGN160" s="72"/>
      <c r="DGO160" s="72"/>
      <c r="DGP160" s="72"/>
      <c r="DGQ160" s="72"/>
      <c r="DGR160" s="72"/>
      <c r="DGS160" s="72"/>
      <c r="DGT160" s="72"/>
      <c r="DGU160" s="72"/>
      <c r="DGV160" s="72"/>
      <c r="DGW160" s="72"/>
      <c r="DGX160" s="72"/>
      <c r="DGY160" s="72"/>
      <c r="DGZ160" s="72"/>
      <c r="DHA160" s="72"/>
      <c r="DHB160" s="72"/>
      <c r="DHC160" s="72"/>
      <c r="DHD160" s="72"/>
      <c r="DHE160" s="72"/>
      <c r="DHF160" s="72"/>
      <c r="DHG160" s="72"/>
      <c r="DHH160" s="72"/>
      <c r="DHI160" s="72"/>
      <c r="DHJ160" s="72"/>
      <c r="DHK160" s="72"/>
      <c r="DHL160" s="72"/>
      <c r="DHM160" s="72"/>
      <c r="DHN160" s="72"/>
      <c r="DHO160" s="72"/>
      <c r="DHP160" s="72"/>
      <c r="DHQ160" s="72"/>
      <c r="DHR160" s="72"/>
      <c r="DHS160" s="72"/>
      <c r="DHT160" s="72"/>
      <c r="DHU160" s="72"/>
      <c r="DHV160" s="72"/>
      <c r="DHW160" s="72"/>
      <c r="DHX160" s="72"/>
      <c r="DHY160" s="72"/>
      <c r="DHZ160" s="72"/>
      <c r="DIA160" s="72"/>
      <c r="DIB160" s="72"/>
      <c r="DIC160" s="72"/>
      <c r="DID160" s="72"/>
      <c r="DIE160" s="72"/>
      <c r="DIF160" s="72"/>
      <c r="DIG160" s="72"/>
      <c r="DIH160" s="72"/>
      <c r="DII160" s="72"/>
      <c r="DIJ160" s="72"/>
      <c r="DIK160" s="72"/>
      <c r="DIL160" s="72"/>
      <c r="DIM160" s="72"/>
      <c r="DIN160" s="72"/>
      <c r="DIO160" s="72"/>
      <c r="DIP160" s="72"/>
      <c r="DIQ160" s="72"/>
      <c r="DIR160" s="72"/>
      <c r="DIS160" s="72"/>
      <c r="DIT160" s="72"/>
      <c r="DIU160" s="72"/>
      <c r="DIV160" s="72"/>
      <c r="DIW160" s="72"/>
      <c r="DIX160" s="72"/>
      <c r="DIY160" s="72"/>
      <c r="DIZ160" s="72"/>
      <c r="DJA160" s="72"/>
      <c r="DJB160" s="72"/>
      <c r="DJC160" s="72"/>
      <c r="DJD160" s="72"/>
      <c r="DJE160" s="72"/>
      <c r="DJF160" s="72"/>
      <c r="DJG160" s="72"/>
      <c r="DJH160" s="72"/>
      <c r="DJI160" s="72"/>
      <c r="DJJ160" s="72"/>
      <c r="DJK160" s="72"/>
      <c r="DJL160" s="72"/>
      <c r="DJM160" s="72"/>
      <c r="DJN160" s="72"/>
      <c r="DJO160" s="72"/>
      <c r="DJP160" s="72"/>
      <c r="DJQ160" s="72"/>
      <c r="DJR160" s="72"/>
      <c r="DJS160" s="72"/>
      <c r="DJT160" s="72"/>
      <c r="DJU160" s="72"/>
      <c r="DJV160" s="72"/>
      <c r="DJW160" s="72"/>
      <c r="DJX160" s="72"/>
      <c r="DJY160" s="72"/>
      <c r="DJZ160" s="72"/>
      <c r="DKA160" s="72"/>
      <c r="DKB160" s="72"/>
      <c r="DKC160" s="72"/>
      <c r="DKD160" s="72"/>
      <c r="DKE160" s="72"/>
      <c r="DKF160" s="72"/>
      <c r="DKG160" s="72"/>
      <c r="DKH160" s="72"/>
      <c r="DKI160" s="72"/>
      <c r="DKJ160" s="72"/>
      <c r="DKK160" s="72"/>
      <c r="DKL160" s="72"/>
      <c r="DKM160" s="72"/>
      <c r="DKN160" s="72"/>
      <c r="DKO160" s="72"/>
      <c r="DKP160" s="72"/>
      <c r="DKQ160" s="72"/>
      <c r="DKR160" s="72"/>
      <c r="DKS160" s="72"/>
      <c r="DKT160" s="72"/>
      <c r="DKU160" s="72"/>
      <c r="DKV160" s="72"/>
      <c r="DKW160" s="72"/>
      <c r="DKX160" s="72"/>
      <c r="DKY160" s="72"/>
      <c r="DKZ160" s="72"/>
      <c r="DLA160" s="72"/>
      <c r="DLB160" s="72"/>
      <c r="DLC160" s="72"/>
      <c r="DLD160" s="72"/>
      <c r="DLE160" s="72"/>
      <c r="DLF160" s="72"/>
      <c r="DLG160" s="72"/>
      <c r="DLH160" s="72"/>
      <c r="DLI160" s="72"/>
      <c r="DLJ160" s="72"/>
      <c r="DLK160" s="72"/>
      <c r="DLL160" s="72"/>
      <c r="DLM160" s="72"/>
      <c r="DLN160" s="72"/>
      <c r="DLO160" s="72"/>
      <c r="DLP160" s="72"/>
      <c r="DLQ160" s="72"/>
      <c r="DLR160" s="72"/>
      <c r="DLS160" s="72"/>
      <c r="DLT160" s="72"/>
      <c r="DLU160" s="72"/>
      <c r="DLV160" s="72"/>
      <c r="DLW160" s="72"/>
      <c r="DLX160" s="72"/>
      <c r="DLY160" s="72"/>
      <c r="DLZ160" s="72"/>
      <c r="DMA160" s="72"/>
      <c r="DMB160" s="72"/>
      <c r="DMC160" s="72"/>
      <c r="DMD160" s="72"/>
      <c r="DME160" s="72"/>
      <c r="DMF160" s="72"/>
      <c r="DMG160" s="72"/>
      <c r="DMH160" s="72"/>
      <c r="DMI160" s="72"/>
      <c r="DMJ160" s="72"/>
      <c r="DMK160" s="72"/>
      <c r="DML160" s="72"/>
      <c r="DMM160" s="72"/>
      <c r="DMN160" s="72"/>
      <c r="DMO160" s="72"/>
      <c r="DMP160" s="72"/>
      <c r="DMQ160" s="72"/>
      <c r="DMR160" s="72"/>
      <c r="DMS160" s="72"/>
      <c r="DMT160" s="72"/>
      <c r="DMU160" s="72"/>
      <c r="DMV160" s="72"/>
      <c r="DMW160" s="72"/>
      <c r="DMX160" s="72"/>
      <c r="DMY160" s="72"/>
      <c r="DMZ160" s="72"/>
      <c r="DNA160" s="72"/>
      <c r="DNB160" s="72"/>
      <c r="DNC160" s="72"/>
      <c r="DND160" s="72"/>
      <c r="DNE160" s="72"/>
      <c r="DNF160" s="72"/>
      <c r="DNG160" s="72"/>
      <c r="DNH160" s="72"/>
      <c r="DNI160" s="72"/>
      <c r="DNJ160" s="72"/>
      <c r="DNK160" s="72"/>
      <c r="DNL160" s="72"/>
      <c r="DNM160" s="72"/>
      <c r="DNN160" s="72"/>
      <c r="DNO160" s="72"/>
      <c r="DNP160" s="72"/>
      <c r="DNQ160" s="72"/>
      <c r="DNR160" s="72"/>
      <c r="DNS160" s="72"/>
      <c r="DNT160" s="72"/>
      <c r="DNU160" s="72"/>
      <c r="DNV160" s="72"/>
      <c r="DNW160" s="72"/>
      <c r="DNX160" s="72"/>
      <c r="DNY160" s="72"/>
      <c r="DNZ160" s="72"/>
      <c r="DOA160" s="72"/>
      <c r="DOB160" s="72"/>
      <c r="DOC160" s="72"/>
      <c r="DOD160" s="72"/>
      <c r="DOE160" s="72"/>
      <c r="DOF160" s="72"/>
      <c r="DOG160" s="72"/>
      <c r="DOH160" s="72"/>
      <c r="DOI160" s="72"/>
      <c r="DOJ160" s="72"/>
      <c r="DOK160" s="72"/>
      <c r="DOL160" s="72"/>
      <c r="DOM160" s="72"/>
      <c r="DON160" s="72"/>
      <c r="DOO160" s="72"/>
      <c r="DOP160" s="72"/>
      <c r="DOQ160" s="72"/>
      <c r="DOR160" s="72"/>
      <c r="DOS160" s="72"/>
      <c r="DOT160" s="72"/>
      <c r="DOU160" s="72"/>
      <c r="DOV160" s="72"/>
      <c r="DOW160" s="72"/>
      <c r="DOX160" s="72"/>
      <c r="DOY160" s="72"/>
      <c r="DOZ160" s="72"/>
      <c r="DPA160" s="72"/>
      <c r="DPB160" s="72"/>
      <c r="DPC160" s="72"/>
      <c r="DPD160" s="72"/>
      <c r="DPE160" s="72"/>
      <c r="DPF160" s="72"/>
      <c r="DPG160" s="72"/>
      <c r="DPH160" s="72"/>
      <c r="DPI160" s="72"/>
      <c r="DPJ160" s="72"/>
      <c r="DPK160" s="72"/>
      <c r="DPL160" s="72"/>
      <c r="DPM160" s="72"/>
      <c r="DPN160" s="72"/>
      <c r="DPO160" s="72"/>
      <c r="DPP160" s="72"/>
      <c r="DPQ160" s="72"/>
      <c r="DPR160" s="72"/>
      <c r="DPS160" s="72"/>
      <c r="DPT160" s="72"/>
      <c r="DPU160" s="72"/>
      <c r="DPV160" s="72"/>
      <c r="DPW160" s="72"/>
      <c r="DPX160" s="72"/>
      <c r="DPY160" s="72"/>
      <c r="DPZ160" s="72"/>
      <c r="DQA160" s="72"/>
      <c r="DQB160" s="72"/>
      <c r="DQC160" s="72"/>
      <c r="DQD160" s="72"/>
      <c r="DQE160" s="72"/>
      <c r="DQF160" s="72"/>
      <c r="DQG160" s="72"/>
      <c r="DQH160" s="72"/>
      <c r="DQI160" s="72"/>
      <c r="DQJ160" s="72"/>
      <c r="DQK160" s="72"/>
      <c r="DQL160" s="72"/>
      <c r="DQM160" s="72"/>
      <c r="DQN160" s="72"/>
      <c r="DQO160" s="72"/>
      <c r="DQP160" s="72"/>
      <c r="DQQ160" s="72"/>
      <c r="DQR160" s="72"/>
      <c r="DQS160" s="72"/>
      <c r="DQT160" s="72"/>
      <c r="DQU160" s="72"/>
      <c r="DQV160" s="72"/>
      <c r="DQW160" s="72"/>
      <c r="DQX160" s="72"/>
      <c r="DQY160" s="72"/>
      <c r="DQZ160" s="72"/>
      <c r="DRA160" s="72"/>
      <c r="DRB160" s="72"/>
      <c r="DRC160" s="72"/>
      <c r="DRD160" s="72"/>
      <c r="DRE160" s="72"/>
      <c r="DRF160" s="72"/>
      <c r="DRG160" s="72"/>
      <c r="DRH160" s="72"/>
      <c r="DRI160" s="72"/>
      <c r="DRJ160" s="72"/>
      <c r="DRK160" s="72"/>
      <c r="DRL160" s="72"/>
      <c r="DRM160" s="72"/>
      <c r="DRN160" s="72"/>
      <c r="DRO160" s="72"/>
      <c r="DRP160" s="72"/>
      <c r="DRQ160" s="72"/>
      <c r="DRR160" s="72"/>
      <c r="DRS160" s="72"/>
      <c r="DRT160" s="72"/>
      <c r="DRU160" s="72"/>
      <c r="DRV160" s="72"/>
      <c r="DRW160" s="72"/>
      <c r="DRX160" s="72"/>
      <c r="DRY160" s="72"/>
      <c r="DRZ160" s="72"/>
      <c r="DSA160" s="72"/>
      <c r="DSB160" s="72"/>
      <c r="DSC160" s="72"/>
      <c r="DSD160" s="72"/>
      <c r="DSE160" s="72"/>
      <c r="DSF160" s="72"/>
      <c r="DSG160" s="72"/>
      <c r="DSH160" s="72"/>
      <c r="DSI160" s="72"/>
      <c r="DSJ160" s="72"/>
      <c r="DSK160" s="72"/>
      <c r="DSL160" s="72"/>
      <c r="DSM160" s="72"/>
      <c r="DSN160" s="72"/>
      <c r="DSO160" s="72"/>
      <c r="DSP160" s="72"/>
      <c r="DSQ160" s="72"/>
      <c r="DSR160" s="72"/>
      <c r="DSS160" s="72"/>
      <c r="DST160" s="72"/>
      <c r="DSU160" s="72"/>
      <c r="DSV160" s="72"/>
      <c r="DSW160" s="72"/>
      <c r="DSX160" s="72"/>
      <c r="DSY160" s="72"/>
      <c r="DSZ160" s="72"/>
      <c r="DTA160" s="72"/>
      <c r="DTB160" s="72"/>
      <c r="DTC160" s="72"/>
      <c r="DTD160" s="72"/>
      <c r="DTE160" s="72"/>
      <c r="DTF160" s="72"/>
      <c r="DTG160" s="72"/>
      <c r="DTH160" s="72"/>
      <c r="DTI160" s="72"/>
      <c r="DTJ160" s="72"/>
      <c r="DTK160" s="72"/>
      <c r="DTL160" s="72"/>
      <c r="DTM160" s="72"/>
      <c r="DTN160" s="72"/>
      <c r="DTO160" s="72"/>
      <c r="DTP160" s="72"/>
      <c r="DTQ160" s="72"/>
      <c r="DTR160" s="72"/>
      <c r="DTS160" s="72"/>
      <c r="DTT160" s="72"/>
      <c r="DTU160" s="72"/>
      <c r="DTV160" s="72"/>
      <c r="DTW160" s="72"/>
      <c r="DTX160" s="72"/>
      <c r="DTY160" s="72"/>
      <c r="DTZ160" s="72"/>
      <c r="DUA160" s="72"/>
      <c r="DUB160" s="72"/>
      <c r="DUC160" s="72"/>
      <c r="DUD160" s="72"/>
      <c r="DUE160" s="72"/>
      <c r="DUF160" s="72"/>
      <c r="DUG160" s="72"/>
      <c r="DUH160" s="72"/>
      <c r="DUI160" s="72"/>
      <c r="DUJ160" s="72"/>
      <c r="DUK160" s="72"/>
      <c r="DUL160" s="72"/>
      <c r="DUM160" s="72"/>
      <c r="DUN160" s="72"/>
      <c r="DUO160" s="72"/>
      <c r="DUP160" s="72"/>
      <c r="DUQ160" s="72"/>
      <c r="DUR160" s="72"/>
      <c r="DUS160" s="72"/>
      <c r="DUT160" s="72"/>
      <c r="DUU160" s="72"/>
      <c r="DUV160" s="72"/>
      <c r="DUW160" s="72"/>
      <c r="DUX160" s="72"/>
      <c r="DUY160" s="72"/>
      <c r="DUZ160" s="72"/>
      <c r="DVA160" s="72"/>
      <c r="DVB160" s="72"/>
      <c r="DVC160" s="72"/>
      <c r="DVD160" s="72"/>
      <c r="DVE160" s="72"/>
      <c r="DVF160" s="72"/>
      <c r="DVG160" s="72"/>
      <c r="DVH160" s="72"/>
      <c r="DVI160" s="72"/>
      <c r="DVJ160" s="72"/>
      <c r="DVK160" s="72"/>
      <c r="DVL160" s="72"/>
      <c r="DVM160" s="72"/>
      <c r="DVN160" s="72"/>
      <c r="DVO160" s="72"/>
      <c r="DVP160" s="72"/>
      <c r="DVQ160" s="72"/>
      <c r="DVR160" s="72"/>
      <c r="DVS160" s="72"/>
      <c r="DVT160" s="72"/>
      <c r="DVU160" s="72"/>
      <c r="DVV160" s="72"/>
      <c r="DVW160" s="72"/>
      <c r="DVX160" s="72"/>
      <c r="DVY160" s="72"/>
      <c r="DVZ160" s="72"/>
      <c r="DWA160" s="72"/>
      <c r="DWB160" s="72"/>
      <c r="DWC160" s="72"/>
      <c r="DWD160" s="72"/>
      <c r="DWE160" s="72"/>
      <c r="DWF160" s="72"/>
      <c r="DWG160" s="72"/>
      <c r="DWH160" s="72"/>
      <c r="DWI160" s="72"/>
      <c r="DWJ160" s="72"/>
      <c r="DWK160" s="72"/>
      <c r="DWL160" s="72"/>
      <c r="DWM160" s="72"/>
      <c r="DWN160" s="72"/>
      <c r="DWO160" s="72"/>
      <c r="DWP160" s="72"/>
      <c r="DWQ160" s="72"/>
      <c r="DWR160" s="72"/>
      <c r="DWS160" s="72"/>
      <c r="DWT160" s="72"/>
      <c r="DWU160" s="72"/>
      <c r="DWV160" s="72"/>
      <c r="DWW160" s="72"/>
      <c r="DWX160" s="72"/>
      <c r="DWY160" s="72"/>
      <c r="DWZ160" s="72"/>
      <c r="DXA160" s="72"/>
      <c r="DXB160" s="72"/>
      <c r="DXC160" s="72"/>
      <c r="DXD160" s="72"/>
      <c r="DXE160" s="72"/>
      <c r="DXF160" s="72"/>
      <c r="DXG160" s="72"/>
      <c r="DXH160" s="72"/>
      <c r="DXI160" s="72"/>
      <c r="DXJ160" s="72"/>
      <c r="DXK160" s="72"/>
      <c r="DXL160" s="72"/>
      <c r="DXM160" s="72"/>
      <c r="DXN160" s="72"/>
      <c r="DXO160" s="72"/>
      <c r="DXP160" s="72"/>
      <c r="DXQ160" s="72"/>
      <c r="DXR160" s="72"/>
      <c r="DXS160" s="72"/>
      <c r="DXT160" s="72"/>
      <c r="DXU160" s="72"/>
      <c r="DXV160" s="72"/>
      <c r="DXW160" s="72"/>
      <c r="DXX160" s="72"/>
      <c r="DXY160" s="72"/>
      <c r="DXZ160" s="72"/>
      <c r="DYA160" s="72"/>
      <c r="DYB160" s="72"/>
      <c r="DYC160" s="72"/>
      <c r="DYD160" s="72"/>
      <c r="DYE160" s="72"/>
      <c r="DYF160" s="72"/>
      <c r="DYG160" s="72"/>
      <c r="DYH160" s="72"/>
      <c r="DYI160" s="72"/>
      <c r="DYJ160" s="72"/>
      <c r="DYK160" s="72"/>
      <c r="DYL160" s="72"/>
      <c r="DYM160" s="72"/>
      <c r="DYN160" s="72"/>
      <c r="DYO160" s="72"/>
      <c r="DYP160" s="72"/>
      <c r="DYQ160" s="72"/>
      <c r="DYR160" s="72"/>
      <c r="DYS160" s="72"/>
      <c r="DYT160" s="72"/>
      <c r="DYU160" s="72"/>
      <c r="DYV160" s="72"/>
      <c r="DYW160" s="72"/>
      <c r="DYX160" s="72"/>
      <c r="DYY160" s="72"/>
      <c r="DYZ160" s="72"/>
      <c r="DZA160" s="72"/>
      <c r="DZB160" s="72"/>
      <c r="DZC160" s="72"/>
      <c r="DZD160" s="72"/>
      <c r="DZE160" s="72"/>
      <c r="DZF160" s="72"/>
      <c r="DZG160" s="72"/>
      <c r="DZH160" s="72"/>
      <c r="DZI160" s="72"/>
      <c r="DZJ160" s="72"/>
      <c r="DZK160" s="72"/>
      <c r="DZL160" s="72"/>
      <c r="DZM160" s="72"/>
      <c r="DZN160" s="72"/>
      <c r="DZO160" s="72"/>
      <c r="DZP160" s="72"/>
      <c r="DZQ160" s="72"/>
      <c r="DZR160" s="72"/>
      <c r="DZS160" s="72"/>
      <c r="DZT160" s="72"/>
      <c r="DZU160" s="72"/>
      <c r="DZV160" s="72"/>
      <c r="DZW160" s="72"/>
      <c r="DZX160" s="72"/>
      <c r="DZY160" s="72"/>
      <c r="DZZ160" s="72"/>
      <c r="EAA160" s="72"/>
      <c r="EAB160" s="72"/>
      <c r="EAC160" s="72"/>
      <c r="EAD160" s="72"/>
      <c r="EAE160" s="72"/>
      <c r="EAF160" s="72"/>
      <c r="EAG160" s="72"/>
      <c r="EAH160" s="72"/>
      <c r="EAI160" s="72"/>
      <c r="EAJ160" s="72"/>
      <c r="EAK160" s="72"/>
      <c r="EAL160" s="72"/>
      <c r="EAM160" s="72"/>
      <c r="EAN160" s="72"/>
      <c r="EAO160" s="72"/>
      <c r="EAP160" s="72"/>
      <c r="EAQ160" s="72"/>
      <c r="EAR160" s="72"/>
      <c r="EAS160" s="72"/>
      <c r="EAT160" s="72"/>
      <c r="EAU160" s="72"/>
      <c r="EAV160" s="72"/>
      <c r="EAW160" s="72"/>
      <c r="EAX160" s="72"/>
      <c r="EAY160" s="72"/>
      <c r="EAZ160" s="72"/>
      <c r="EBA160" s="72"/>
      <c r="EBB160" s="72"/>
      <c r="EBC160" s="72"/>
      <c r="EBD160" s="72"/>
      <c r="EBE160" s="72"/>
      <c r="EBF160" s="72"/>
      <c r="EBG160" s="72"/>
      <c r="EBH160" s="72"/>
      <c r="EBI160" s="72"/>
      <c r="EBJ160" s="72"/>
      <c r="EBK160" s="72"/>
      <c r="EBL160" s="72"/>
      <c r="EBM160" s="72"/>
      <c r="EBN160" s="72"/>
      <c r="EBO160" s="72"/>
      <c r="EBP160" s="72"/>
      <c r="EBQ160" s="72"/>
      <c r="EBR160" s="72"/>
      <c r="EBS160" s="72"/>
      <c r="EBT160" s="72"/>
      <c r="EBU160" s="72"/>
      <c r="EBV160" s="72"/>
      <c r="EBW160" s="72"/>
      <c r="EBX160" s="72"/>
      <c r="EBY160" s="72"/>
      <c r="EBZ160" s="72"/>
      <c r="ECA160" s="72"/>
      <c r="ECB160" s="72"/>
      <c r="ECC160" s="72"/>
      <c r="ECD160" s="72"/>
      <c r="ECE160" s="72"/>
      <c r="ECF160" s="72"/>
      <c r="ECG160" s="72"/>
      <c r="ECH160" s="72"/>
      <c r="ECI160" s="72"/>
      <c r="ECJ160" s="72"/>
      <c r="ECK160" s="72"/>
      <c r="ECL160" s="72"/>
      <c r="ECM160" s="72"/>
      <c r="ECN160" s="72"/>
      <c r="ECO160" s="72"/>
      <c r="ECP160" s="72"/>
      <c r="ECQ160" s="72"/>
      <c r="ECR160" s="72"/>
      <c r="ECS160" s="72"/>
      <c r="ECT160" s="72"/>
      <c r="ECU160" s="72"/>
      <c r="ECV160" s="72"/>
      <c r="ECW160" s="72"/>
      <c r="ECX160" s="72"/>
      <c r="ECY160" s="72"/>
      <c r="ECZ160" s="72"/>
      <c r="EDA160" s="72"/>
      <c r="EDB160" s="72"/>
      <c r="EDC160" s="72"/>
      <c r="EDD160" s="72"/>
      <c r="EDE160" s="72"/>
      <c r="EDF160" s="72"/>
      <c r="EDG160" s="72"/>
      <c r="EDH160" s="72"/>
      <c r="EDI160" s="72"/>
      <c r="EDJ160" s="72"/>
      <c r="EDK160" s="72"/>
      <c r="EDL160" s="72"/>
      <c r="EDM160" s="72"/>
      <c r="EDN160" s="72"/>
      <c r="EDO160" s="72"/>
      <c r="EDP160" s="72"/>
      <c r="EDQ160" s="72"/>
      <c r="EDR160" s="72"/>
      <c r="EDS160" s="72"/>
      <c r="EDT160" s="72"/>
      <c r="EDU160" s="72"/>
      <c r="EDV160" s="72"/>
      <c r="EDW160" s="72"/>
      <c r="EDX160" s="72"/>
      <c r="EDY160" s="72"/>
      <c r="EDZ160" s="72"/>
      <c r="EEA160" s="72"/>
      <c r="EEB160" s="72"/>
      <c r="EEC160" s="72"/>
      <c r="EED160" s="72"/>
      <c r="EEE160" s="72"/>
      <c r="EEF160" s="72"/>
      <c r="EEG160" s="72"/>
      <c r="EEH160" s="72"/>
      <c r="EEI160" s="72"/>
      <c r="EEJ160" s="72"/>
      <c r="EEK160" s="72"/>
      <c r="EEL160" s="72"/>
      <c r="EEM160" s="72"/>
      <c r="EEN160" s="72"/>
      <c r="EEO160" s="72"/>
      <c r="EEP160" s="72"/>
      <c r="EEQ160" s="72"/>
      <c r="EER160" s="72"/>
      <c r="EES160" s="72"/>
      <c r="EET160" s="72"/>
      <c r="EEU160" s="72"/>
      <c r="EEV160" s="72"/>
      <c r="EEW160" s="72"/>
      <c r="EEX160" s="72"/>
      <c r="EEY160" s="72"/>
      <c r="EEZ160" s="72"/>
      <c r="EFA160" s="72"/>
      <c r="EFB160" s="72"/>
      <c r="EFC160" s="72"/>
      <c r="EFD160" s="72"/>
      <c r="EFE160" s="72"/>
      <c r="EFF160" s="72"/>
      <c r="EFG160" s="72"/>
      <c r="EFH160" s="72"/>
      <c r="EFI160" s="72"/>
      <c r="EFJ160" s="72"/>
      <c r="EFK160" s="72"/>
      <c r="EFL160" s="72"/>
      <c r="EFM160" s="72"/>
      <c r="EFN160" s="72"/>
      <c r="EFO160" s="72"/>
      <c r="EFP160" s="72"/>
      <c r="EFQ160" s="72"/>
      <c r="EFR160" s="72"/>
      <c r="EFS160" s="72"/>
      <c r="EFT160" s="72"/>
      <c r="EFU160" s="72"/>
      <c r="EFV160" s="72"/>
      <c r="EFW160" s="72"/>
      <c r="EFX160" s="72"/>
      <c r="EFY160" s="72"/>
      <c r="EFZ160" s="72"/>
      <c r="EGA160" s="72"/>
      <c r="EGB160" s="72"/>
      <c r="EGC160" s="72"/>
      <c r="EGD160" s="72"/>
      <c r="EGE160" s="72"/>
      <c r="EGF160" s="72"/>
      <c r="EGG160" s="72"/>
      <c r="EGH160" s="72"/>
      <c r="EGI160" s="72"/>
      <c r="EGJ160" s="72"/>
      <c r="EGK160" s="72"/>
      <c r="EGL160" s="72"/>
      <c r="EGM160" s="72"/>
      <c r="EGN160" s="72"/>
      <c r="EGO160" s="72"/>
      <c r="EGP160" s="72"/>
      <c r="EGQ160" s="72"/>
      <c r="EGR160" s="72"/>
      <c r="EGS160" s="72"/>
      <c r="EGT160" s="72"/>
      <c r="EGU160" s="72"/>
      <c r="EGV160" s="72"/>
      <c r="EGW160" s="72"/>
      <c r="EGX160" s="72"/>
      <c r="EGY160" s="72"/>
      <c r="EGZ160" s="72"/>
      <c r="EHA160" s="72"/>
      <c r="EHB160" s="72"/>
      <c r="EHC160" s="72"/>
      <c r="EHD160" s="72"/>
      <c r="EHE160" s="72"/>
      <c r="EHF160" s="72"/>
      <c r="EHG160" s="72"/>
      <c r="EHH160" s="72"/>
      <c r="EHI160" s="72"/>
      <c r="EHJ160" s="72"/>
      <c r="EHK160" s="72"/>
      <c r="EHL160" s="72"/>
      <c r="EHM160" s="72"/>
      <c r="EHN160" s="72"/>
      <c r="EHO160" s="72"/>
      <c r="EHP160" s="72"/>
      <c r="EHQ160" s="72"/>
      <c r="EHR160" s="72"/>
      <c r="EHS160" s="72"/>
      <c r="EHT160" s="72"/>
      <c r="EHU160" s="72"/>
      <c r="EHV160" s="72"/>
      <c r="EHW160" s="72"/>
      <c r="EHX160" s="72"/>
      <c r="EHY160" s="72"/>
      <c r="EHZ160" s="72"/>
      <c r="EIA160" s="72"/>
      <c r="EIB160" s="72"/>
      <c r="EIC160" s="72"/>
      <c r="EID160" s="72"/>
      <c r="EIE160" s="72"/>
      <c r="EIF160" s="72"/>
      <c r="EIG160" s="72"/>
      <c r="EIH160" s="72"/>
      <c r="EII160" s="72"/>
      <c r="EIJ160" s="72"/>
      <c r="EIK160" s="72"/>
      <c r="EIL160" s="72"/>
      <c r="EIM160" s="72"/>
      <c r="EIN160" s="72"/>
      <c r="EIO160" s="72"/>
      <c r="EIP160" s="72"/>
      <c r="EIQ160" s="72"/>
      <c r="EIR160" s="72"/>
      <c r="EIS160" s="72"/>
      <c r="EIT160" s="72"/>
      <c r="EIU160" s="72"/>
      <c r="EIV160" s="72"/>
      <c r="EIW160" s="72"/>
      <c r="EIX160" s="72"/>
      <c r="EIY160" s="72"/>
      <c r="EIZ160" s="72"/>
      <c r="EJA160" s="72"/>
      <c r="EJB160" s="72"/>
      <c r="EJC160" s="72"/>
      <c r="EJD160" s="72"/>
      <c r="EJE160" s="72"/>
      <c r="EJF160" s="72"/>
      <c r="EJG160" s="72"/>
      <c r="EJH160" s="72"/>
      <c r="EJI160" s="72"/>
      <c r="EJJ160" s="72"/>
      <c r="EJK160" s="72"/>
      <c r="EJL160" s="72"/>
      <c r="EJM160" s="72"/>
      <c r="EJN160" s="72"/>
      <c r="EJO160" s="72"/>
      <c r="EJP160" s="72"/>
      <c r="EJQ160" s="72"/>
      <c r="EJR160" s="72"/>
      <c r="EJS160" s="72"/>
      <c r="EJT160" s="72"/>
      <c r="EJU160" s="72"/>
      <c r="EJV160" s="72"/>
      <c r="EJW160" s="72"/>
      <c r="EJX160" s="72"/>
      <c r="EJY160" s="72"/>
      <c r="EJZ160" s="72"/>
      <c r="EKA160" s="72"/>
      <c r="EKB160" s="72"/>
      <c r="EKC160" s="72"/>
      <c r="EKD160" s="72"/>
      <c r="EKE160" s="72"/>
      <c r="EKF160" s="72"/>
      <c r="EKG160" s="72"/>
      <c r="EKH160" s="72"/>
      <c r="EKI160" s="72"/>
      <c r="EKJ160" s="72"/>
      <c r="EKK160" s="72"/>
      <c r="EKL160" s="72"/>
      <c r="EKM160" s="72"/>
      <c r="EKN160" s="72"/>
      <c r="EKO160" s="72"/>
      <c r="EKP160" s="72"/>
      <c r="EKQ160" s="72"/>
      <c r="EKR160" s="72"/>
      <c r="EKS160" s="72"/>
      <c r="EKT160" s="72"/>
      <c r="EKU160" s="72"/>
      <c r="EKV160" s="72"/>
      <c r="EKW160" s="72"/>
      <c r="EKX160" s="72"/>
      <c r="EKY160" s="72"/>
      <c r="EKZ160" s="72"/>
      <c r="ELA160" s="72"/>
      <c r="ELB160" s="72"/>
      <c r="ELC160" s="72"/>
      <c r="ELD160" s="72"/>
      <c r="ELE160" s="72"/>
      <c r="ELF160" s="72"/>
      <c r="ELG160" s="72"/>
      <c r="ELH160" s="72"/>
      <c r="ELI160" s="72"/>
      <c r="ELJ160" s="72"/>
      <c r="ELK160" s="72"/>
      <c r="ELL160" s="72"/>
      <c r="ELM160" s="72"/>
      <c r="ELN160" s="72"/>
      <c r="ELO160" s="72"/>
      <c r="ELP160" s="72"/>
      <c r="ELQ160" s="72"/>
      <c r="ELR160" s="72"/>
      <c r="ELS160" s="72"/>
      <c r="ELT160" s="72"/>
      <c r="ELU160" s="72"/>
      <c r="ELV160" s="72"/>
      <c r="ELW160" s="72"/>
      <c r="ELX160" s="72"/>
      <c r="ELY160" s="72"/>
      <c r="ELZ160" s="72"/>
      <c r="EMA160" s="72"/>
      <c r="EMB160" s="72"/>
      <c r="EMC160" s="72"/>
      <c r="EMD160" s="72"/>
      <c r="EME160" s="72"/>
      <c r="EMF160" s="72"/>
      <c r="EMG160" s="72"/>
      <c r="EMH160" s="72"/>
      <c r="EMI160" s="72"/>
      <c r="EMJ160" s="72"/>
      <c r="EMK160" s="72"/>
      <c r="EML160" s="72"/>
      <c r="EMM160" s="72"/>
      <c r="EMN160" s="72"/>
      <c r="EMO160" s="72"/>
      <c r="EMP160" s="72"/>
      <c r="EMQ160" s="72"/>
      <c r="EMR160" s="72"/>
      <c r="EMS160" s="72"/>
      <c r="EMT160" s="72"/>
      <c r="EMU160" s="72"/>
      <c r="EMV160" s="72"/>
      <c r="EMW160" s="72"/>
      <c r="EMX160" s="72"/>
      <c r="EMY160" s="72"/>
      <c r="EMZ160" s="72"/>
      <c r="ENA160" s="72"/>
      <c r="ENB160" s="72"/>
      <c r="ENC160" s="72"/>
      <c r="END160" s="72"/>
      <c r="ENE160" s="72"/>
      <c r="ENF160" s="72"/>
      <c r="ENG160" s="72"/>
      <c r="ENH160" s="72"/>
      <c r="ENI160" s="72"/>
      <c r="ENJ160" s="72"/>
      <c r="ENK160" s="72"/>
      <c r="ENL160" s="72"/>
      <c r="ENM160" s="72"/>
      <c r="ENN160" s="72"/>
      <c r="ENO160" s="72"/>
      <c r="ENP160" s="72"/>
      <c r="ENQ160" s="72"/>
      <c r="ENR160" s="72"/>
      <c r="ENS160" s="72"/>
      <c r="ENT160" s="72"/>
      <c r="ENU160" s="72"/>
      <c r="ENV160" s="72"/>
      <c r="ENW160" s="72"/>
      <c r="ENX160" s="72"/>
      <c r="ENY160" s="72"/>
      <c r="ENZ160" s="72"/>
      <c r="EOA160" s="72"/>
      <c r="EOB160" s="72"/>
      <c r="EOC160" s="72"/>
      <c r="EOD160" s="72"/>
      <c r="EOE160" s="72"/>
      <c r="EOF160" s="72"/>
      <c r="EOG160" s="72"/>
      <c r="EOH160" s="72"/>
      <c r="EOI160" s="72"/>
      <c r="EOJ160" s="72"/>
      <c r="EOK160" s="72"/>
      <c r="EOL160" s="72"/>
      <c r="EOM160" s="72"/>
      <c r="EON160" s="72"/>
      <c r="EOO160" s="72"/>
      <c r="EOP160" s="72"/>
      <c r="EOQ160" s="72"/>
      <c r="EOR160" s="72"/>
      <c r="EOS160" s="72"/>
      <c r="EOT160" s="72"/>
      <c r="EOU160" s="72"/>
      <c r="EOV160" s="72"/>
      <c r="EOW160" s="72"/>
      <c r="EOX160" s="72"/>
      <c r="EOY160" s="72"/>
      <c r="EOZ160" s="72"/>
      <c r="EPA160" s="72"/>
      <c r="EPB160" s="72"/>
      <c r="EPC160" s="72"/>
      <c r="EPD160" s="72"/>
      <c r="EPE160" s="72"/>
      <c r="EPF160" s="72"/>
      <c r="EPG160" s="72"/>
      <c r="EPH160" s="72"/>
      <c r="EPI160" s="72"/>
      <c r="EPJ160" s="72"/>
      <c r="EPK160" s="72"/>
      <c r="EPL160" s="72"/>
      <c r="EPM160" s="72"/>
      <c r="EPN160" s="72"/>
      <c r="EPO160" s="72"/>
      <c r="EPP160" s="72"/>
      <c r="EPQ160" s="72"/>
      <c r="EPR160" s="72"/>
      <c r="EPS160" s="72"/>
      <c r="EPT160" s="72"/>
      <c r="EPU160" s="72"/>
      <c r="EPV160" s="72"/>
      <c r="EPW160" s="72"/>
      <c r="EPX160" s="72"/>
      <c r="EPY160" s="72"/>
      <c r="EPZ160" s="72"/>
      <c r="EQA160" s="72"/>
      <c r="EQB160" s="72"/>
      <c r="EQC160" s="72"/>
      <c r="EQD160" s="72"/>
      <c r="EQE160" s="72"/>
      <c r="EQF160" s="72"/>
      <c r="EQG160" s="72"/>
      <c r="EQH160" s="72"/>
      <c r="EQI160" s="72"/>
      <c r="EQJ160" s="72"/>
      <c r="EQK160" s="72"/>
      <c r="EQL160" s="72"/>
      <c r="EQM160" s="72"/>
      <c r="EQN160" s="72"/>
      <c r="EQO160" s="72"/>
      <c r="EQP160" s="72"/>
      <c r="EQQ160" s="72"/>
      <c r="EQR160" s="72"/>
      <c r="EQS160" s="72"/>
      <c r="EQT160" s="72"/>
      <c r="EQU160" s="72"/>
      <c r="EQV160" s="72"/>
      <c r="EQW160" s="72"/>
      <c r="EQX160" s="72"/>
      <c r="EQY160" s="72"/>
      <c r="EQZ160" s="72"/>
      <c r="ERA160" s="72"/>
      <c r="ERB160" s="72"/>
      <c r="ERC160" s="72"/>
      <c r="ERD160" s="72"/>
      <c r="ERE160" s="72"/>
      <c r="ERF160" s="72"/>
      <c r="ERG160" s="72"/>
      <c r="ERH160" s="72"/>
      <c r="ERI160" s="72"/>
      <c r="ERJ160" s="72"/>
      <c r="ERK160" s="72"/>
      <c r="ERL160" s="72"/>
      <c r="ERM160" s="72"/>
      <c r="ERN160" s="72"/>
      <c r="ERO160" s="72"/>
      <c r="ERP160" s="72"/>
      <c r="ERQ160" s="72"/>
      <c r="ERR160" s="72"/>
      <c r="ERS160" s="72"/>
      <c r="ERT160" s="72"/>
      <c r="ERU160" s="72"/>
      <c r="ERV160" s="72"/>
      <c r="ERW160" s="72"/>
      <c r="ERX160" s="72"/>
      <c r="ERY160" s="72"/>
      <c r="ERZ160" s="72"/>
      <c r="ESA160" s="72"/>
      <c r="ESB160" s="72"/>
      <c r="ESC160" s="72"/>
      <c r="ESD160" s="72"/>
      <c r="ESE160" s="72"/>
      <c r="ESF160" s="72"/>
      <c r="ESG160" s="72"/>
      <c r="ESH160" s="72"/>
      <c r="ESI160" s="72"/>
      <c r="ESJ160" s="72"/>
      <c r="ESK160" s="72"/>
      <c r="ESL160" s="72"/>
      <c r="ESM160" s="72"/>
      <c r="ESN160" s="72"/>
      <c r="ESO160" s="72"/>
      <c r="ESP160" s="72"/>
      <c r="ESQ160" s="72"/>
      <c r="ESR160" s="72"/>
      <c r="ESS160" s="72"/>
      <c r="EST160" s="72"/>
      <c r="ESU160" s="72"/>
      <c r="ESV160" s="72"/>
      <c r="ESW160" s="72"/>
      <c r="ESX160" s="72"/>
      <c r="ESY160" s="72"/>
      <c r="ESZ160" s="72"/>
      <c r="ETA160" s="72"/>
      <c r="ETB160" s="72"/>
      <c r="ETC160" s="72"/>
      <c r="ETD160" s="72"/>
      <c r="ETE160" s="72"/>
      <c r="ETF160" s="72"/>
      <c r="ETG160" s="72"/>
      <c r="ETH160" s="72"/>
      <c r="ETI160" s="72"/>
      <c r="ETJ160" s="72"/>
      <c r="ETK160" s="72"/>
      <c r="ETL160" s="72"/>
      <c r="ETM160" s="72"/>
      <c r="ETN160" s="72"/>
      <c r="ETO160" s="72"/>
      <c r="ETP160" s="72"/>
      <c r="ETQ160" s="72"/>
      <c r="ETR160" s="72"/>
      <c r="ETS160" s="72"/>
      <c r="ETT160" s="72"/>
      <c r="ETU160" s="72"/>
      <c r="ETV160" s="72"/>
      <c r="ETW160" s="72"/>
      <c r="ETX160" s="72"/>
      <c r="ETY160" s="72"/>
      <c r="ETZ160" s="72"/>
      <c r="EUA160" s="72"/>
      <c r="EUB160" s="72"/>
      <c r="EUC160" s="72"/>
      <c r="EUD160" s="72"/>
      <c r="EUE160" s="72"/>
      <c r="EUF160" s="72"/>
      <c r="EUG160" s="72"/>
      <c r="EUH160" s="72"/>
      <c r="EUI160" s="72"/>
      <c r="EUJ160" s="72"/>
      <c r="EUK160" s="72"/>
      <c r="EUL160" s="72"/>
      <c r="EUM160" s="72"/>
      <c r="EUN160" s="72"/>
      <c r="EUO160" s="72"/>
      <c r="EUP160" s="72"/>
      <c r="EUQ160" s="72"/>
      <c r="EUR160" s="72"/>
      <c r="EUS160" s="72"/>
      <c r="EUT160" s="72"/>
      <c r="EUU160" s="72"/>
      <c r="EUV160" s="72"/>
      <c r="EUW160" s="72"/>
      <c r="EUX160" s="72"/>
      <c r="EUY160" s="72"/>
      <c r="EUZ160" s="72"/>
      <c r="EVA160" s="72"/>
      <c r="EVB160" s="72"/>
      <c r="EVC160" s="72"/>
      <c r="EVD160" s="72"/>
      <c r="EVE160" s="72"/>
      <c r="EVF160" s="72"/>
      <c r="EVG160" s="72"/>
      <c r="EVH160" s="72"/>
      <c r="EVI160" s="72"/>
      <c r="EVJ160" s="72"/>
      <c r="EVK160" s="72"/>
      <c r="EVL160" s="72"/>
      <c r="EVM160" s="72"/>
      <c r="EVN160" s="72"/>
      <c r="EVO160" s="72"/>
      <c r="EVP160" s="72"/>
      <c r="EVQ160" s="72"/>
      <c r="EVR160" s="72"/>
      <c r="EVS160" s="72"/>
      <c r="EVT160" s="72"/>
      <c r="EVU160" s="72"/>
      <c r="EVV160" s="72"/>
      <c r="EVW160" s="72"/>
      <c r="EVX160" s="72"/>
      <c r="EVY160" s="72"/>
      <c r="EVZ160" s="72"/>
      <c r="EWA160" s="72"/>
      <c r="EWB160" s="72"/>
      <c r="EWC160" s="72"/>
      <c r="EWD160" s="72"/>
      <c r="EWE160" s="72"/>
      <c r="EWF160" s="72"/>
      <c r="EWG160" s="72"/>
      <c r="EWH160" s="72"/>
      <c r="EWI160" s="72"/>
      <c r="EWJ160" s="72"/>
      <c r="EWK160" s="72"/>
      <c r="EWL160" s="72"/>
      <c r="EWM160" s="72"/>
      <c r="EWN160" s="72"/>
      <c r="EWO160" s="72"/>
      <c r="EWP160" s="72"/>
      <c r="EWQ160" s="72"/>
      <c r="EWR160" s="72"/>
      <c r="EWS160" s="72"/>
      <c r="EWT160" s="72"/>
      <c r="EWU160" s="72"/>
      <c r="EWV160" s="72"/>
      <c r="EWW160" s="72"/>
      <c r="EWX160" s="72"/>
      <c r="EWY160" s="72"/>
      <c r="EWZ160" s="72"/>
      <c r="EXA160" s="72"/>
      <c r="EXB160" s="72"/>
      <c r="EXC160" s="72"/>
      <c r="EXD160" s="72"/>
      <c r="EXE160" s="72"/>
      <c r="EXF160" s="72"/>
      <c r="EXG160" s="72"/>
      <c r="EXH160" s="72"/>
      <c r="EXI160" s="72"/>
      <c r="EXJ160" s="72"/>
      <c r="EXK160" s="72"/>
      <c r="EXL160" s="72"/>
      <c r="EXM160" s="72"/>
      <c r="EXN160" s="72"/>
      <c r="EXO160" s="72"/>
      <c r="EXP160" s="72"/>
      <c r="EXQ160" s="72"/>
      <c r="EXR160" s="72"/>
      <c r="EXS160" s="72"/>
      <c r="EXT160" s="72"/>
      <c r="EXU160" s="72"/>
      <c r="EXV160" s="72"/>
      <c r="EXW160" s="72"/>
      <c r="EXX160" s="72"/>
      <c r="EXY160" s="72"/>
      <c r="EXZ160" s="72"/>
      <c r="EYA160" s="72"/>
      <c r="EYB160" s="72"/>
      <c r="EYC160" s="72"/>
      <c r="EYD160" s="72"/>
      <c r="EYE160" s="72"/>
      <c r="EYF160" s="72"/>
      <c r="EYG160" s="72"/>
      <c r="EYH160" s="72"/>
      <c r="EYI160" s="72"/>
      <c r="EYJ160" s="72"/>
      <c r="EYK160" s="72"/>
      <c r="EYL160" s="72"/>
      <c r="EYM160" s="72"/>
      <c r="EYN160" s="72"/>
      <c r="EYO160" s="72"/>
      <c r="EYP160" s="72"/>
      <c r="EYQ160" s="72"/>
      <c r="EYR160" s="72"/>
      <c r="EYS160" s="72"/>
      <c r="EYT160" s="72"/>
      <c r="EYU160" s="72"/>
      <c r="EYV160" s="72"/>
      <c r="EYW160" s="72"/>
      <c r="EYX160" s="72"/>
      <c r="EYY160" s="72"/>
      <c r="EYZ160" s="72"/>
      <c r="EZA160" s="72"/>
      <c r="EZB160" s="72"/>
      <c r="EZC160" s="72"/>
      <c r="EZD160" s="72"/>
      <c r="EZE160" s="72"/>
      <c r="EZF160" s="72"/>
      <c r="EZG160" s="72"/>
      <c r="EZH160" s="72"/>
      <c r="EZI160" s="72"/>
      <c r="EZJ160" s="72"/>
      <c r="EZK160" s="72"/>
      <c r="EZL160" s="72"/>
      <c r="EZM160" s="72"/>
      <c r="EZN160" s="72"/>
      <c r="EZO160" s="72"/>
      <c r="EZP160" s="72"/>
      <c r="EZQ160" s="72"/>
      <c r="EZR160" s="72"/>
      <c r="EZS160" s="72"/>
      <c r="EZT160" s="72"/>
      <c r="EZU160" s="72"/>
      <c r="EZV160" s="72"/>
      <c r="EZW160" s="72"/>
      <c r="EZX160" s="72"/>
      <c r="EZY160" s="72"/>
      <c r="EZZ160" s="72"/>
      <c r="FAA160" s="72"/>
      <c r="FAB160" s="72"/>
      <c r="FAC160" s="72"/>
      <c r="FAD160" s="72"/>
      <c r="FAE160" s="72"/>
      <c r="FAF160" s="72"/>
      <c r="FAG160" s="72"/>
      <c r="FAH160" s="72"/>
      <c r="FAI160" s="72"/>
      <c r="FAJ160" s="72"/>
      <c r="FAK160" s="72"/>
      <c r="FAL160" s="72"/>
      <c r="FAM160" s="72"/>
      <c r="FAN160" s="72"/>
      <c r="FAO160" s="72"/>
      <c r="FAP160" s="72"/>
      <c r="FAQ160" s="72"/>
      <c r="FAR160" s="72"/>
      <c r="FAS160" s="72"/>
      <c r="FAT160" s="72"/>
      <c r="FAU160" s="72"/>
      <c r="FAV160" s="72"/>
      <c r="FAW160" s="72"/>
      <c r="FAX160" s="72"/>
      <c r="FAY160" s="72"/>
      <c r="FAZ160" s="72"/>
      <c r="FBA160" s="72"/>
      <c r="FBB160" s="72"/>
      <c r="FBC160" s="72"/>
      <c r="FBD160" s="72"/>
      <c r="FBE160" s="72"/>
      <c r="FBF160" s="72"/>
      <c r="FBG160" s="72"/>
      <c r="FBH160" s="72"/>
      <c r="FBI160" s="72"/>
      <c r="FBJ160" s="72"/>
      <c r="FBK160" s="72"/>
      <c r="FBL160" s="72"/>
      <c r="FBM160" s="72"/>
      <c r="FBN160" s="72"/>
      <c r="FBO160" s="72"/>
      <c r="FBP160" s="72"/>
      <c r="FBQ160" s="72"/>
      <c r="FBR160" s="72"/>
      <c r="FBS160" s="72"/>
      <c r="FBT160" s="72"/>
      <c r="FBU160" s="72"/>
      <c r="FBV160" s="72"/>
      <c r="FBW160" s="72"/>
      <c r="FBX160" s="72"/>
      <c r="FBY160" s="72"/>
      <c r="FBZ160" s="72"/>
      <c r="FCA160" s="72"/>
      <c r="FCB160" s="72"/>
      <c r="FCC160" s="72"/>
      <c r="FCD160" s="72"/>
      <c r="FCE160" s="72"/>
      <c r="FCF160" s="72"/>
      <c r="FCG160" s="72"/>
      <c r="FCH160" s="72"/>
      <c r="FCI160" s="72"/>
      <c r="FCJ160" s="72"/>
      <c r="FCK160" s="72"/>
      <c r="FCL160" s="72"/>
      <c r="FCM160" s="72"/>
      <c r="FCN160" s="72"/>
      <c r="FCO160" s="72"/>
      <c r="FCP160" s="72"/>
      <c r="FCQ160" s="72"/>
      <c r="FCR160" s="72"/>
      <c r="FCS160" s="72"/>
      <c r="FCT160" s="72"/>
      <c r="FCU160" s="72"/>
      <c r="FCV160" s="72"/>
      <c r="FCW160" s="72"/>
      <c r="FCX160" s="72"/>
      <c r="FCY160" s="72"/>
      <c r="FCZ160" s="72"/>
      <c r="FDA160" s="72"/>
      <c r="FDB160" s="72"/>
      <c r="FDC160" s="72"/>
      <c r="FDD160" s="72"/>
      <c r="FDE160" s="72"/>
      <c r="FDF160" s="72"/>
      <c r="FDG160" s="72"/>
      <c r="FDH160" s="72"/>
      <c r="FDI160" s="72"/>
      <c r="FDJ160" s="72"/>
      <c r="FDK160" s="72"/>
      <c r="FDL160" s="72"/>
      <c r="FDM160" s="72"/>
      <c r="FDN160" s="72"/>
      <c r="FDO160" s="72"/>
      <c r="FDP160" s="72"/>
      <c r="FDQ160" s="72"/>
      <c r="FDR160" s="72"/>
      <c r="FDS160" s="72"/>
      <c r="FDT160" s="72"/>
      <c r="FDU160" s="72"/>
      <c r="FDV160" s="72"/>
      <c r="FDW160" s="72"/>
      <c r="FDX160" s="72"/>
      <c r="FDY160" s="72"/>
      <c r="FDZ160" s="72"/>
      <c r="FEA160" s="72"/>
      <c r="FEB160" s="72"/>
      <c r="FEC160" s="72"/>
      <c r="FED160" s="72"/>
      <c r="FEE160" s="72"/>
      <c r="FEF160" s="72"/>
      <c r="FEG160" s="72"/>
      <c r="FEH160" s="72"/>
      <c r="FEI160" s="72"/>
      <c r="FEJ160" s="72"/>
      <c r="FEK160" s="72"/>
      <c r="FEL160" s="72"/>
      <c r="FEM160" s="72"/>
      <c r="FEN160" s="72"/>
      <c r="FEO160" s="72"/>
      <c r="FEP160" s="72"/>
      <c r="FEQ160" s="72"/>
      <c r="FER160" s="72"/>
      <c r="FES160" s="72"/>
      <c r="FET160" s="72"/>
      <c r="FEU160" s="72"/>
      <c r="FEV160" s="72"/>
      <c r="FEW160" s="72"/>
      <c r="FEX160" s="72"/>
      <c r="FEY160" s="72"/>
      <c r="FEZ160" s="72"/>
      <c r="FFA160" s="72"/>
      <c r="FFB160" s="72"/>
      <c r="FFC160" s="72"/>
      <c r="FFD160" s="72"/>
      <c r="FFE160" s="72"/>
      <c r="FFF160" s="72"/>
      <c r="FFG160" s="72"/>
      <c r="FFH160" s="72"/>
      <c r="FFI160" s="72"/>
      <c r="FFJ160" s="72"/>
      <c r="FFK160" s="72"/>
      <c r="FFL160" s="72"/>
      <c r="FFM160" s="72"/>
      <c r="FFN160" s="72"/>
      <c r="FFO160" s="72"/>
      <c r="FFP160" s="72"/>
      <c r="FFQ160" s="72"/>
      <c r="FFR160" s="72"/>
      <c r="FFS160" s="72"/>
      <c r="FFT160" s="72"/>
      <c r="FFU160" s="72"/>
      <c r="FFV160" s="72"/>
      <c r="FFW160" s="72"/>
      <c r="FFX160" s="72"/>
      <c r="FFY160" s="72"/>
      <c r="FFZ160" s="72"/>
      <c r="FGA160" s="72"/>
      <c r="FGB160" s="72"/>
      <c r="FGC160" s="72"/>
      <c r="FGD160" s="72"/>
      <c r="FGE160" s="72"/>
      <c r="FGF160" s="72"/>
      <c r="FGG160" s="72"/>
      <c r="FGH160" s="72"/>
      <c r="FGI160" s="72"/>
      <c r="FGJ160" s="72"/>
      <c r="FGK160" s="72"/>
      <c r="FGL160" s="72"/>
      <c r="FGM160" s="72"/>
      <c r="FGN160" s="72"/>
      <c r="FGO160" s="72"/>
      <c r="FGP160" s="72"/>
      <c r="FGQ160" s="72"/>
      <c r="FGR160" s="72"/>
      <c r="FGS160" s="72"/>
      <c r="FGT160" s="72"/>
      <c r="FGU160" s="72"/>
      <c r="FGV160" s="72"/>
      <c r="FGW160" s="72"/>
      <c r="FGX160" s="72"/>
      <c r="FGY160" s="72"/>
      <c r="FGZ160" s="72"/>
      <c r="FHA160" s="72"/>
      <c r="FHB160" s="72"/>
      <c r="FHC160" s="72"/>
      <c r="FHD160" s="72"/>
      <c r="FHE160" s="72"/>
      <c r="FHF160" s="72"/>
      <c r="FHG160" s="72"/>
      <c r="FHH160" s="72"/>
      <c r="FHI160" s="72"/>
      <c r="FHJ160" s="72"/>
      <c r="FHK160" s="72"/>
      <c r="FHL160" s="72"/>
      <c r="FHM160" s="72"/>
      <c r="FHN160" s="72"/>
      <c r="FHO160" s="72"/>
      <c r="FHP160" s="72"/>
      <c r="FHQ160" s="72"/>
      <c r="FHR160" s="72"/>
      <c r="FHS160" s="72"/>
      <c r="FHT160" s="72"/>
      <c r="FHU160" s="72"/>
      <c r="FHV160" s="72"/>
      <c r="FHW160" s="72"/>
      <c r="FHX160" s="72"/>
      <c r="FHY160" s="72"/>
      <c r="FHZ160" s="72"/>
      <c r="FIA160" s="72"/>
      <c r="FIB160" s="72"/>
      <c r="FIC160" s="72"/>
      <c r="FID160" s="72"/>
      <c r="FIE160" s="72"/>
      <c r="FIF160" s="72"/>
      <c r="FIG160" s="72"/>
      <c r="FIH160" s="72"/>
      <c r="FII160" s="72"/>
      <c r="FIJ160" s="72"/>
      <c r="FIK160" s="72"/>
      <c r="FIL160" s="72"/>
      <c r="FIM160" s="72"/>
      <c r="FIN160" s="72"/>
      <c r="FIO160" s="72"/>
      <c r="FIP160" s="72"/>
      <c r="FIQ160" s="72"/>
      <c r="FIR160" s="72"/>
      <c r="FIS160" s="72"/>
      <c r="FIT160" s="72"/>
      <c r="FIU160" s="72"/>
      <c r="FIV160" s="72"/>
      <c r="FIW160" s="72"/>
      <c r="FIX160" s="72"/>
      <c r="FIY160" s="72"/>
      <c r="FIZ160" s="72"/>
      <c r="FJA160" s="72"/>
      <c r="FJB160" s="72"/>
      <c r="FJC160" s="72"/>
      <c r="FJD160" s="72"/>
      <c r="FJE160" s="72"/>
      <c r="FJF160" s="72"/>
      <c r="FJG160" s="72"/>
      <c r="FJH160" s="72"/>
      <c r="FJI160" s="72"/>
      <c r="FJJ160" s="72"/>
      <c r="FJK160" s="72"/>
      <c r="FJL160" s="72"/>
      <c r="FJM160" s="72"/>
      <c r="FJN160" s="72"/>
      <c r="FJO160" s="72"/>
      <c r="FJP160" s="72"/>
      <c r="FJQ160" s="72"/>
      <c r="FJR160" s="72"/>
      <c r="FJS160" s="72"/>
      <c r="FJT160" s="72"/>
      <c r="FJU160" s="72"/>
      <c r="FJV160" s="72"/>
      <c r="FJW160" s="72"/>
      <c r="FJX160" s="72"/>
      <c r="FJY160" s="72"/>
      <c r="FJZ160" s="72"/>
      <c r="FKA160" s="72"/>
      <c r="FKB160" s="72"/>
      <c r="FKC160" s="72"/>
      <c r="FKD160" s="72"/>
      <c r="FKE160" s="72"/>
      <c r="FKF160" s="72"/>
      <c r="FKG160" s="72"/>
      <c r="FKH160" s="72"/>
      <c r="FKI160" s="72"/>
      <c r="FKJ160" s="72"/>
      <c r="FKK160" s="72"/>
      <c r="FKL160" s="72"/>
      <c r="FKM160" s="72"/>
      <c r="FKN160" s="72"/>
      <c r="FKO160" s="72"/>
      <c r="FKP160" s="72"/>
      <c r="FKQ160" s="72"/>
      <c r="FKR160" s="72"/>
      <c r="FKS160" s="72"/>
      <c r="FKT160" s="72"/>
      <c r="FKU160" s="72"/>
      <c r="FKV160" s="72"/>
      <c r="FKW160" s="72"/>
      <c r="FKX160" s="72"/>
      <c r="FKY160" s="72"/>
      <c r="FKZ160" s="72"/>
      <c r="FLA160" s="72"/>
      <c r="FLB160" s="72"/>
      <c r="FLC160" s="72"/>
      <c r="FLD160" s="72"/>
      <c r="FLE160" s="72"/>
      <c r="FLF160" s="72"/>
      <c r="FLG160" s="72"/>
      <c r="FLH160" s="72"/>
      <c r="FLI160" s="72"/>
      <c r="FLJ160" s="72"/>
      <c r="FLK160" s="72"/>
      <c r="FLL160" s="72"/>
      <c r="FLM160" s="72"/>
      <c r="FLN160" s="72"/>
      <c r="FLO160" s="72"/>
      <c r="FLP160" s="72"/>
      <c r="FLQ160" s="72"/>
      <c r="FLR160" s="72"/>
      <c r="FLS160" s="72"/>
      <c r="FLT160" s="72"/>
      <c r="FLU160" s="72"/>
      <c r="FLV160" s="72"/>
      <c r="FLW160" s="72"/>
      <c r="FLX160" s="72"/>
      <c r="FLY160" s="72"/>
      <c r="FLZ160" s="72"/>
      <c r="FMA160" s="72"/>
      <c r="FMB160" s="72"/>
      <c r="FMC160" s="72"/>
      <c r="FMD160" s="72"/>
      <c r="FME160" s="72"/>
      <c r="FMF160" s="72"/>
      <c r="FMG160" s="72"/>
      <c r="FMH160" s="72"/>
      <c r="FMI160" s="72"/>
      <c r="FMJ160" s="72"/>
      <c r="FMK160" s="72"/>
      <c r="FML160" s="72"/>
      <c r="FMM160" s="72"/>
      <c r="FMN160" s="72"/>
      <c r="FMO160" s="72"/>
      <c r="FMP160" s="72"/>
      <c r="FMQ160" s="72"/>
      <c r="FMR160" s="72"/>
      <c r="FMS160" s="72"/>
      <c r="FMT160" s="72"/>
      <c r="FMU160" s="72"/>
      <c r="FMV160" s="72"/>
      <c r="FMW160" s="72"/>
      <c r="FMX160" s="72"/>
      <c r="FMY160" s="72"/>
      <c r="FMZ160" s="72"/>
      <c r="FNA160" s="72"/>
      <c r="FNB160" s="72"/>
      <c r="FNC160" s="72"/>
      <c r="FND160" s="72"/>
      <c r="FNE160" s="72"/>
      <c r="FNF160" s="72"/>
      <c r="FNG160" s="72"/>
      <c r="FNH160" s="72"/>
      <c r="FNI160" s="72"/>
      <c r="FNJ160" s="72"/>
      <c r="FNK160" s="72"/>
      <c r="FNL160" s="72"/>
      <c r="FNM160" s="72"/>
      <c r="FNN160" s="72"/>
      <c r="FNO160" s="72"/>
      <c r="FNP160" s="72"/>
      <c r="FNQ160" s="72"/>
      <c r="FNR160" s="72"/>
      <c r="FNS160" s="72"/>
      <c r="FNT160" s="72"/>
      <c r="FNU160" s="72"/>
      <c r="FNV160" s="72"/>
      <c r="FNW160" s="72"/>
      <c r="FNX160" s="72"/>
      <c r="FNY160" s="72"/>
      <c r="FNZ160" s="72"/>
      <c r="FOA160" s="72"/>
      <c r="FOB160" s="72"/>
      <c r="FOC160" s="72"/>
      <c r="FOD160" s="72"/>
      <c r="FOE160" s="72"/>
      <c r="FOF160" s="72"/>
      <c r="FOG160" s="72"/>
      <c r="FOH160" s="72"/>
      <c r="FOI160" s="72"/>
      <c r="FOJ160" s="72"/>
      <c r="FOK160" s="72"/>
      <c r="FOL160" s="72"/>
      <c r="FOM160" s="72"/>
      <c r="FON160" s="72"/>
      <c r="FOO160" s="72"/>
      <c r="FOP160" s="72"/>
      <c r="FOQ160" s="72"/>
      <c r="FOR160" s="72"/>
      <c r="FOS160" s="72"/>
      <c r="FOT160" s="72"/>
      <c r="FOU160" s="72"/>
      <c r="FOV160" s="72"/>
      <c r="FOW160" s="72"/>
      <c r="FOX160" s="72"/>
      <c r="FOY160" s="72"/>
      <c r="FOZ160" s="72"/>
      <c r="FPA160" s="72"/>
      <c r="FPB160" s="72"/>
      <c r="FPC160" s="72"/>
      <c r="FPD160" s="72"/>
      <c r="FPE160" s="72"/>
      <c r="FPF160" s="72"/>
      <c r="FPG160" s="72"/>
      <c r="FPH160" s="72"/>
      <c r="FPI160" s="72"/>
      <c r="FPJ160" s="72"/>
      <c r="FPK160" s="72"/>
      <c r="FPL160" s="72"/>
      <c r="FPM160" s="72"/>
      <c r="FPN160" s="72"/>
      <c r="FPO160" s="72"/>
      <c r="FPP160" s="72"/>
      <c r="FPQ160" s="72"/>
      <c r="FPR160" s="72"/>
      <c r="FPS160" s="72"/>
      <c r="FPT160" s="72"/>
      <c r="FPU160" s="72"/>
      <c r="FPV160" s="72"/>
      <c r="FPW160" s="72"/>
      <c r="FPX160" s="72"/>
      <c r="FPY160" s="72"/>
      <c r="FPZ160" s="72"/>
      <c r="FQA160" s="72"/>
      <c r="FQB160" s="72"/>
      <c r="FQC160" s="72"/>
      <c r="FQD160" s="72"/>
      <c r="FQE160" s="72"/>
      <c r="FQF160" s="72"/>
      <c r="FQG160" s="72"/>
      <c r="FQH160" s="72"/>
      <c r="FQI160" s="72"/>
      <c r="FQJ160" s="72"/>
      <c r="FQK160" s="72"/>
      <c r="FQL160" s="72"/>
      <c r="FQM160" s="72"/>
      <c r="FQN160" s="72"/>
      <c r="FQO160" s="72"/>
      <c r="FQP160" s="72"/>
      <c r="FQQ160" s="72"/>
      <c r="FQR160" s="72"/>
      <c r="FQS160" s="72"/>
      <c r="FQT160" s="72"/>
      <c r="FQU160" s="72"/>
      <c r="FQV160" s="72"/>
      <c r="FQW160" s="72"/>
      <c r="FQX160" s="72"/>
      <c r="FQY160" s="72"/>
      <c r="FQZ160" s="72"/>
      <c r="FRA160" s="72"/>
      <c r="FRB160" s="72"/>
      <c r="FRC160" s="72"/>
      <c r="FRD160" s="72"/>
      <c r="FRE160" s="72"/>
      <c r="FRF160" s="72"/>
      <c r="FRG160" s="72"/>
      <c r="FRH160" s="72"/>
      <c r="FRI160" s="72"/>
      <c r="FRJ160" s="72"/>
      <c r="FRK160" s="72"/>
      <c r="FRL160" s="72"/>
      <c r="FRM160" s="72"/>
      <c r="FRN160" s="72"/>
      <c r="FRO160" s="72"/>
      <c r="FRP160" s="72"/>
      <c r="FRQ160" s="72"/>
      <c r="FRR160" s="72"/>
      <c r="FRS160" s="72"/>
      <c r="FRT160" s="72"/>
      <c r="FRU160" s="72"/>
      <c r="FRV160" s="72"/>
      <c r="FRW160" s="72"/>
      <c r="FRX160" s="72"/>
      <c r="FRY160" s="72"/>
      <c r="FRZ160" s="72"/>
      <c r="FSA160" s="72"/>
      <c r="FSB160" s="72"/>
      <c r="FSC160" s="72"/>
      <c r="FSD160" s="72"/>
      <c r="FSE160" s="72"/>
      <c r="FSF160" s="72"/>
      <c r="FSG160" s="72"/>
      <c r="FSH160" s="72"/>
      <c r="FSI160" s="72"/>
      <c r="FSJ160" s="72"/>
      <c r="FSK160" s="72"/>
      <c r="FSL160" s="72"/>
      <c r="FSM160" s="72"/>
      <c r="FSN160" s="72"/>
      <c r="FSO160" s="72"/>
      <c r="FSP160" s="72"/>
      <c r="FSQ160" s="72"/>
      <c r="FSR160" s="72"/>
      <c r="FSS160" s="72"/>
      <c r="FST160" s="72"/>
      <c r="FSU160" s="72"/>
      <c r="FSV160" s="72"/>
      <c r="FSW160" s="72"/>
      <c r="FSX160" s="72"/>
      <c r="FSY160" s="72"/>
      <c r="FSZ160" s="72"/>
      <c r="FTA160" s="72"/>
      <c r="FTB160" s="72"/>
      <c r="FTC160" s="72"/>
      <c r="FTD160" s="72"/>
      <c r="FTE160" s="72"/>
      <c r="FTF160" s="72"/>
      <c r="FTG160" s="72"/>
      <c r="FTH160" s="72"/>
      <c r="FTI160" s="72"/>
      <c r="FTJ160" s="72"/>
      <c r="FTK160" s="72"/>
      <c r="FTL160" s="72"/>
      <c r="FTM160" s="72"/>
      <c r="FTN160" s="72"/>
      <c r="FTO160" s="72"/>
      <c r="FTP160" s="72"/>
      <c r="FTQ160" s="72"/>
      <c r="FTR160" s="72"/>
      <c r="FTS160" s="72"/>
      <c r="FTT160" s="72"/>
      <c r="FTU160" s="72"/>
      <c r="FTV160" s="72"/>
      <c r="FTW160" s="72"/>
      <c r="FTX160" s="72"/>
      <c r="FTY160" s="72"/>
      <c r="FTZ160" s="72"/>
      <c r="FUA160" s="72"/>
      <c r="FUB160" s="72"/>
      <c r="FUC160" s="72"/>
      <c r="FUD160" s="72"/>
      <c r="FUE160" s="72"/>
      <c r="FUF160" s="72"/>
      <c r="FUG160" s="72"/>
      <c r="FUH160" s="72"/>
      <c r="FUI160" s="72"/>
      <c r="FUJ160" s="72"/>
      <c r="FUK160" s="72"/>
      <c r="FUL160" s="72"/>
      <c r="FUM160" s="72"/>
      <c r="FUN160" s="72"/>
      <c r="FUO160" s="72"/>
      <c r="FUP160" s="72"/>
      <c r="FUQ160" s="72"/>
      <c r="FUR160" s="72"/>
      <c r="FUS160" s="72"/>
      <c r="FUT160" s="72"/>
      <c r="FUU160" s="72"/>
      <c r="FUV160" s="72"/>
      <c r="FUW160" s="72"/>
      <c r="FUX160" s="72"/>
      <c r="FUY160" s="72"/>
      <c r="FUZ160" s="72"/>
      <c r="FVA160" s="72"/>
      <c r="FVB160" s="72"/>
      <c r="FVC160" s="72"/>
      <c r="FVD160" s="72"/>
      <c r="FVE160" s="72"/>
      <c r="FVF160" s="72"/>
      <c r="FVG160" s="72"/>
      <c r="FVH160" s="72"/>
      <c r="FVI160" s="72"/>
      <c r="FVJ160" s="72"/>
      <c r="FVK160" s="72"/>
      <c r="FVL160" s="72"/>
      <c r="FVM160" s="72"/>
      <c r="FVN160" s="72"/>
      <c r="FVO160" s="72"/>
      <c r="FVP160" s="72"/>
      <c r="FVQ160" s="72"/>
      <c r="FVR160" s="72"/>
      <c r="FVS160" s="72"/>
      <c r="FVT160" s="72"/>
      <c r="FVU160" s="72"/>
      <c r="FVV160" s="72"/>
      <c r="FVW160" s="72"/>
      <c r="FVX160" s="72"/>
      <c r="FVY160" s="72"/>
      <c r="FVZ160" s="72"/>
      <c r="FWA160" s="72"/>
      <c r="FWB160" s="72"/>
      <c r="FWC160" s="72"/>
      <c r="FWD160" s="72"/>
      <c r="FWE160" s="72"/>
      <c r="FWF160" s="72"/>
      <c r="FWG160" s="72"/>
      <c r="FWH160" s="72"/>
      <c r="FWI160" s="72"/>
      <c r="FWJ160" s="72"/>
      <c r="FWK160" s="72"/>
      <c r="FWL160" s="72"/>
      <c r="FWM160" s="72"/>
      <c r="FWN160" s="72"/>
      <c r="FWO160" s="72"/>
      <c r="FWP160" s="72"/>
      <c r="FWQ160" s="72"/>
      <c r="FWR160" s="72"/>
      <c r="FWS160" s="72"/>
      <c r="FWT160" s="72"/>
      <c r="FWU160" s="72"/>
      <c r="FWV160" s="72"/>
      <c r="FWW160" s="72"/>
      <c r="FWX160" s="72"/>
      <c r="FWY160" s="72"/>
      <c r="FWZ160" s="72"/>
      <c r="FXA160" s="72"/>
      <c r="FXB160" s="72"/>
      <c r="FXC160" s="72"/>
      <c r="FXD160" s="72"/>
      <c r="FXE160" s="72"/>
      <c r="FXF160" s="72"/>
      <c r="FXG160" s="72"/>
      <c r="FXH160" s="72"/>
      <c r="FXI160" s="72"/>
      <c r="FXJ160" s="72"/>
      <c r="FXK160" s="72"/>
      <c r="FXL160" s="72"/>
      <c r="FXM160" s="72"/>
      <c r="FXN160" s="72"/>
      <c r="FXO160" s="72"/>
      <c r="FXP160" s="72"/>
      <c r="FXQ160" s="72"/>
      <c r="FXR160" s="72"/>
      <c r="FXS160" s="72"/>
      <c r="FXT160" s="72"/>
      <c r="FXU160" s="72"/>
      <c r="FXV160" s="72"/>
      <c r="FXW160" s="72"/>
      <c r="FXX160" s="72"/>
      <c r="FXY160" s="72"/>
      <c r="FXZ160" s="72"/>
      <c r="FYA160" s="72"/>
      <c r="FYB160" s="72"/>
      <c r="FYC160" s="72"/>
      <c r="FYD160" s="72"/>
      <c r="FYE160" s="72"/>
      <c r="FYF160" s="72"/>
      <c r="FYG160" s="72"/>
      <c r="FYH160" s="72"/>
      <c r="FYI160" s="72"/>
      <c r="FYJ160" s="72"/>
      <c r="FYK160" s="72"/>
      <c r="FYL160" s="72"/>
      <c r="FYM160" s="72"/>
      <c r="FYN160" s="72"/>
      <c r="FYO160" s="72"/>
      <c r="FYP160" s="72"/>
      <c r="FYQ160" s="72"/>
      <c r="FYR160" s="72"/>
      <c r="FYS160" s="72"/>
      <c r="FYT160" s="72"/>
      <c r="FYU160" s="72"/>
      <c r="FYV160" s="72"/>
      <c r="FYW160" s="72"/>
      <c r="FYX160" s="72"/>
      <c r="FYY160" s="72"/>
      <c r="FYZ160" s="72"/>
      <c r="FZA160" s="72"/>
      <c r="FZB160" s="72"/>
      <c r="FZC160" s="72"/>
      <c r="FZD160" s="72"/>
      <c r="FZE160" s="72"/>
      <c r="FZF160" s="72"/>
      <c r="FZG160" s="72"/>
      <c r="FZH160" s="72"/>
      <c r="FZI160" s="72"/>
      <c r="FZJ160" s="72"/>
      <c r="FZK160" s="72"/>
      <c r="FZL160" s="72"/>
      <c r="FZM160" s="72"/>
      <c r="FZN160" s="72"/>
      <c r="FZO160" s="72"/>
      <c r="FZP160" s="72"/>
      <c r="FZQ160" s="72"/>
      <c r="FZR160" s="72"/>
      <c r="FZS160" s="72"/>
      <c r="FZT160" s="72"/>
      <c r="FZU160" s="72"/>
      <c r="FZV160" s="72"/>
      <c r="FZW160" s="72"/>
      <c r="FZX160" s="72"/>
      <c r="FZY160" s="72"/>
      <c r="FZZ160" s="72"/>
      <c r="GAA160" s="72"/>
      <c r="GAB160" s="72"/>
      <c r="GAC160" s="72"/>
      <c r="GAD160" s="72"/>
      <c r="GAE160" s="72"/>
      <c r="GAF160" s="72"/>
      <c r="GAG160" s="72"/>
      <c r="GAH160" s="72"/>
      <c r="GAI160" s="72"/>
      <c r="GAJ160" s="72"/>
      <c r="GAK160" s="72"/>
      <c r="GAL160" s="72"/>
      <c r="GAM160" s="72"/>
      <c r="GAN160" s="72"/>
      <c r="GAO160" s="72"/>
      <c r="GAP160" s="72"/>
      <c r="GAQ160" s="72"/>
      <c r="GAR160" s="72"/>
      <c r="GAS160" s="72"/>
      <c r="GAT160" s="72"/>
      <c r="GAU160" s="72"/>
      <c r="GAV160" s="72"/>
      <c r="GAW160" s="72"/>
      <c r="GAX160" s="72"/>
      <c r="GAY160" s="72"/>
      <c r="GAZ160" s="72"/>
      <c r="GBA160" s="72"/>
      <c r="GBB160" s="72"/>
      <c r="GBC160" s="72"/>
      <c r="GBD160" s="72"/>
      <c r="GBE160" s="72"/>
      <c r="GBF160" s="72"/>
      <c r="GBG160" s="72"/>
      <c r="GBH160" s="72"/>
      <c r="GBI160" s="72"/>
      <c r="GBJ160" s="72"/>
      <c r="GBK160" s="72"/>
      <c r="GBL160" s="72"/>
      <c r="GBM160" s="72"/>
      <c r="GBN160" s="72"/>
      <c r="GBO160" s="72"/>
      <c r="GBP160" s="72"/>
      <c r="GBQ160" s="72"/>
      <c r="GBR160" s="72"/>
      <c r="GBS160" s="72"/>
      <c r="GBT160" s="72"/>
      <c r="GBU160" s="72"/>
      <c r="GBV160" s="72"/>
      <c r="GBW160" s="72"/>
      <c r="GBX160" s="72"/>
      <c r="GBY160" s="72"/>
      <c r="GBZ160" s="72"/>
      <c r="GCA160" s="72"/>
      <c r="GCB160" s="72"/>
      <c r="GCC160" s="72"/>
      <c r="GCD160" s="72"/>
      <c r="GCE160" s="72"/>
      <c r="GCF160" s="72"/>
      <c r="GCG160" s="72"/>
      <c r="GCH160" s="72"/>
      <c r="GCI160" s="72"/>
      <c r="GCJ160" s="72"/>
      <c r="GCK160" s="72"/>
      <c r="GCL160" s="72"/>
      <c r="GCM160" s="72"/>
      <c r="GCN160" s="72"/>
      <c r="GCO160" s="72"/>
      <c r="GCP160" s="72"/>
      <c r="GCQ160" s="72"/>
      <c r="GCR160" s="72"/>
      <c r="GCS160" s="72"/>
      <c r="GCT160" s="72"/>
      <c r="GCU160" s="72"/>
      <c r="GCV160" s="72"/>
      <c r="GCW160" s="72"/>
      <c r="GCX160" s="72"/>
      <c r="GCY160" s="72"/>
      <c r="GCZ160" s="72"/>
      <c r="GDA160" s="72"/>
      <c r="GDB160" s="72"/>
      <c r="GDC160" s="72"/>
      <c r="GDD160" s="72"/>
      <c r="GDE160" s="72"/>
      <c r="GDF160" s="72"/>
      <c r="GDG160" s="72"/>
      <c r="GDH160" s="72"/>
      <c r="GDI160" s="72"/>
      <c r="GDJ160" s="72"/>
      <c r="GDK160" s="72"/>
      <c r="GDL160" s="72"/>
      <c r="GDM160" s="72"/>
      <c r="GDN160" s="72"/>
      <c r="GDO160" s="72"/>
      <c r="GDP160" s="72"/>
      <c r="GDQ160" s="72"/>
      <c r="GDR160" s="72"/>
      <c r="GDS160" s="72"/>
      <c r="GDT160" s="72"/>
      <c r="GDU160" s="72"/>
      <c r="GDV160" s="72"/>
      <c r="GDW160" s="72"/>
      <c r="GDX160" s="72"/>
      <c r="GDY160" s="72"/>
      <c r="GDZ160" s="72"/>
      <c r="GEA160" s="72"/>
      <c r="GEB160" s="72"/>
      <c r="GEC160" s="72"/>
      <c r="GED160" s="72"/>
      <c r="GEE160" s="72"/>
      <c r="GEF160" s="72"/>
      <c r="GEG160" s="72"/>
      <c r="GEH160" s="72"/>
      <c r="GEI160" s="72"/>
      <c r="GEJ160" s="72"/>
      <c r="GEK160" s="72"/>
      <c r="GEL160" s="72"/>
      <c r="GEM160" s="72"/>
      <c r="GEN160" s="72"/>
      <c r="GEO160" s="72"/>
      <c r="GEP160" s="72"/>
      <c r="GEQ160" s="72"/>
      <c r="GER160" s="72"/>
      <c r="GES160" s="72"/>
      <c r="GET160" s="72"/>
      <c r="GEU160" s="72"/>
      <c r="GEV160" s="72"/>
      <c r="GEW160" s="72"/>
      <c r="GEX160" s="72"/>
      <c r="GEY160" s="72"/>
      <c r="GEZ160" s="72"/>
      <c r="GFA160" s="72"/>
      <c r="GFB160" s="72"/>
      <c r="GFC160" s="72"/>
      <c r="GFD160" s="72"/>
      <c r="GFE160" s="72"/>
      <c r="GFF160" s="72"/>
      <c r="GFG160" s="72"/>
      <c r="GFH160" s="72"/>
      <c r="GFI160" s="72"/>
      <c r="GFJ160" s="72"/>
      <c r="GFK160" s="72"/>
      <c r="GFL160" s="72"/>
      <c r="GFM160" s="72"/>
      <c r="GFN160" s="72"/>
      <c r="GFO160" s="72"/>
      <c r="GFP160" s="72"/>
      <c r="GFQ160" s="72"/>
      <c r="GFR160" s="72"/>
      <c r="GFS160" s="72"/>
      <c r="GFT160" s="72"/>
      <c r="GFU160" s="72"/>
      <c r="GFV160" s="72"/>
      <c r="GFW160" s="72"/>
      <c r="GFX160" s="72"/>
      <c r="GFY160" s="72"/>
      <c r="GFZ160" s="72"/>
      <c r="GGA160" s="72"/>
      <c r="GGB160" s="72"/>
      <c r="GGC160" s="72"/>
      <c r="GGD160" s="72"/>
      <c r="GGE160" s="72"/>
      <c r="GGF160" s="72"/>
      <c r="GGG160" s="72"/>
      <c r="GGH160" s="72"/>
      <c r="GGI160" s="72"/>
      <c r="GGJ160" s="72"/>
      <c r="GGK160" s="72"/>
      <c r="GGL160" s="72"/>
      <c r="GGM160" s="72"/>
      <c r="GGN160" s="72"/>
      <c r="GGO160" s="72"/>
      <c r="GGP160" s="72"/>
      <c r="GGQ160" s="72"/>
      <c r="GGR160" s="72"/>
      <c r="GGS160" s="72"/>
      <c r="GGT160" s="72"/>
      <c r="GGU160" s="72"/>
      <c r="GGV160" s="72"/>
      <c r="GGW160" s="72"/>
      <c r="GGX160" s="72"/>
      <c r="GGY160" s="72"/>
      <c r="GGZ160" s="72"/>
      <c r="GHA160" s="72"/>
      <c r="GHB160" s="72"/>
      <c r="GHC160" s="72"/>
      <c r="GHD160" s="72"/>
      <c r="GHE160" s="72"/>
      <c r="GHF160" s="72"/>
      <c r="GHG160" s="72"/>
      <c r="GHH160" s="72"/>
      <c r="GHI160" s="72"/>
      <c r="GHJ160" s="72"/>
      <c r="GHK160" s="72"/>
      <c r="GHL160" s="72"/>
      <c r="GHM160" s="72"/>
      <c r="GHN160" s="72"/>
      <c r="GHO160" s="72"/>
      <c r="GHP160" s="72"/>
      <c r="GHQ160" s="72"/>
      <c r="GHR160" s="72"/>
      <c r="GHS160" s="72"/>
      <c r="GHT160" s="72"/>
      <c r="GHU160" s="72"/>
      <c r="GHV160" s="72"/>
      <c r="GHW160" s="72"/>
      <c r="GHX160" s="72"/>
      <c r="GHY160" s="72"/>
      <c r="GHZ160" s="72"/>
      <c r="GIA160" s="72"/>
      <c r="GIB160" s="72"/>
      <c r="GIC160" s="72"/>
      <c r="GID160" s="72"/>
      <c r="GIE160" s="72"/>
      <c r="GIF160" s="72"/>
      <c r="GIG160" s="72"/>
      <c r="GIH160" s="72"/>
      <c r="GII160" s="72"/>
      <c r="GIJ160" s="72"/>
      <c r="GIK160" s="72"/>
      <c r="GIL160" s="72"/>
      <c r="GIM160" s="72"/>
      <c r="GIN160" s="72"/>
      <c r="GIO160" s="72"/>
      <c r="GIP160" s="72"/>
      <c r="GIQ160" s="72"/>
      <c r="GIR160" s="72"/>
      <c r="GIS160" s="72"/>
      <c r="GIT160" s="72"/>
      <c r="GIU160" s="72"/>
      <c r="GIV160" s="72"/>
      <c r="GIW160" s="72"/>
      <c r="GIX160" s="72"/>
      <c r="GIY160" s="72"/>
      <c r="GIZ160" s="72"/>
      <c r="GJA160" s="72"/>
      <c r="GJB160" s="72"/>
      <c r="GJC160" s="72"/>
      <c r="GJD160" s="72"/>
      <c r="GJE160" s="72"/>
      <c r="GJF160" s="72"/>
      <c r="GJG160" s="72"/>
      <c r="GJH160" s="72"/>
      <c r="GJI160" s="72"/>
      <c r="GJJ160" s="72"/>
      <c r="GJK160" s="72"/>
      <c r="GJL160" s="72"/>
      <c r="GJM160" s="72"/>
      <c r="GJN160" s="72"/>
      <c r="GJO160" s="72"/>
      <c r="GJP160" s="72"/>
      <c r="GJQ160" s="72"/>
      <c r="GJR160" s="72"/>
      <c r="GJS160" s="72"/>
      <c r="GJT160" s="72"/>
      <c r="GJU160" s="72"/>
      <c r="GJV160" s="72"/>
      <c r="GJW160" s="72"/>
      <c r="GJX160" s="72"/>
      <c r="GJY160" s="72"/>
      <c r="GJZ160" s="72"/>
      <c r="GKA160" s="72"/>
      <c r="GKB160" s="72"/>
      <c r="GKC160" s="72"/>
      <c r="GKD160" s="72"/>
      <c r="GKE160" s="72"/>
      <c r="GKF160" s="72"/>
      <c r="GKG160" s="72"/>
      <c r="GKH160" s="72"/>
      <c r="GKI160" s="72"/>
      <c r="GKJ160" s="72"/>
      <c r="GKK160" s="72"/>
      <c r="GKL160" s="72"/>
      <c r="GKM160" s="72"/>
      <c r="GKN160" s="72"/>
      <c r="GKO160" s="72"/>
      <c r="GKP160" s="72"/>
      <c r="GKQ160" s="72"/>
      <c r="GKR160" s="72"/>
      <c r="GKS160" s="72"/>
      <c r="GKT160" s="72"/>
      <c r="GKU160" s="72"/>
      <c r="GKV160" s="72"/>
      <c r="GKW160" s="72"/>
      <c r="GKX160" s="72"/>
      <c r="GKY160" s="72"/>
      <c r="GKZ160" s="72"/>
      <c r="GLA160" s="72"/>
      <c r="GLB160" s="72"/>
      <c r="GLC160" s="72"/>
      <c r="GLD160" s="72"/>
      <c r="GLE160" s="72"/>
      <c r="GLF160" s="72"/>
      <c r="GLG160" s="72"/>
      <c r="GLH160" s="72"/>
      <c r="GLI160" s="72"/>
      <c r="GLJ160" s="72"/>
      <c r="GLK160" s="72"/>
      <c r="GLL160" s="72"/>
      <c r="GLM160" s="72"/>
      <c r="GLN160" s="72"/>
      <c r="GLO160" s="72"/>
      <c r="GLP160" s="72"/>
      <c r="GLQ160" s="72"/>
      <c r="GLR160" s="72"/>
      <c r="GLS160" s="72"/>
      <c r="GLT160" s="72"/>
      <c r="GLU160" s="72"/>
      <c r="GLV160" s="72"/>
      <c r="GLW160" s="72"/>
      <c r="GLX160" s="72"/>
      <c r="GLY160" s="72"/>
      <c r="GLZ160" s="72"/>
      <c r="GMA160" s="72"/>
      <c r="GMB160" s="72"/>
      <c r="GMC160" s="72"/>
      <c r="GMD160" s="72"/>
      <c r="GME160" s="72"/>
      <c r="GMF160" s="72"/>
      <c r="GMG160" s="72"/>
      <c r="GMH160" s="72"/>
      <c r="GMI160" s="72"/>
      <c r="GMJ160" s="72"/>
      <c r="GMK160" s="72"/>
      <c r="GML160" s="72"/>
      <c r="GMM160" s="72"/>
      <c r="GMN160" s="72"/>
      <c r="GMO160" s="72"/>
      <c r="GMP160" s="72"/>
      <c r="GMQ160" s="72"/>
      <c r="GMR160" s="72"/>
      <c r="GMS160" s="72"/>
      <c r="GMT160" s="72"/>
      <c r="GMU160" s="72"/>
      <c r="GMV160" s="72"/>
      <c r="GMW160" s="72"/>
      <c r="GMX160" s="72"/>
      <c r="GMY160" s="72"/>
      <c r="GMZ160" s="72"/>
      <c r="GNA160" s="72"/>
      <c r="GNB160" s="72"/>
      <c r="GNC160" s="72"/>
      <c r="GND160" s="72"/>
      <c r="GNE160" s="72"/>
      <c r="GNF160" s="72"/>
      <c r="GNG160" s="72"/>
      <c r="GNH160" s="72"/>
      <c r="GNI160" s="72"/>
      <c r="GNJ160" s="72"/>
      <c r="GNK160" s="72"/>
      <c r="GNL160" s="72"/>
      <c r="GNM160" s="72"/>
      <c r="GNN160" s="72"/>
      <c r="GNO160" s="72"/>
      <c r="GNP160" s="72"/>
      <c r="GNQ160" s="72"/>
      <c r="GNR160" s="72"/>
      <c r="GNS160" s="72"/>
      <c r="GNT160" s="72"/>
      <c r="GNU160" s="72"/>
      <c r="GNV160" s="72"/>
      <c r="GNW160" s="72"/>
      <c r="GNX160" s="72"/>
      <c r="GNY160" s="72"/>
      <c r="GNZ160" s="72"/>
      <c r="GOA160" s="72"/>
      <c r="GOB160" s="72"/>
      <c r="GOC160" s="72"/>
      <c r="GOD160" s="72"/>
      <c r="GOE160" s="72"/>
      <c r="GOF160" s="72"/>
      <c r="GOG160" s="72"/>
      <c r="GOH160" s="72"/>
      <c r="GOI160" s="72"/>
      <c r="GOJ160" s="72"/>
      <c r="GOK160" s="72"/>
      <c r="GOL160" s="72"/>
      <c r="GOM160" s="72"/>
      <c r="GON160" s="72"/>
      <c r="GOO160" s="72"/>
      <c r="GOP160" s="72"/>
      <c r="GOQ160" s="72"/>
      <c r="GOR160" s="72"/>
      <c r="GOS160" s="72"/>
      <c r="GOT160" s="72"/>
      <c r="GOU160" s="72"/>
      <c r="GOV160" s="72"/>
      <c r="GOW160" s="72"/>
      <c r="GOX160" s="72"/>
      <c r="GOY160" s="72"/>
      <c r="GOZ160" s="72"/>
      <c r="GPA160" s="72"/>
      <c r="GPB160" s="72"/>
      <c r="GPC160" s="72"/>
      <c r="GPD160" s="72"/>
      <c r="GPE160" s="72"/>
      <c r="GPF160" s="72"/>
      <c r="GPG160" s="72"/>
      <c r="GPH160" s="72"/>
      <c r="GPI160" s="72"/>
      <c r="GPJ160" s="72"/>
      <c r="GPK160" s="72"/>
      <c r="GPL160" s="72"/>
      <c r="GPM160" s="72"/>
      <c r="GPN160" s="72"/>
      <c r="GPO160" s="72"/>
      <c r="GPP160" s="72"/>
      <c r="GPQ160" s="72"/>
      <c r="GPR160" s="72"/>
      <c r="GPS160" s="72"/>
      <c r="GPT160" s="72"/>
      <c r="GPU160" s="72"/>
      <c r="GPV160" s="72"/>
      <c r="GPW160" s="72"/>
      <c r="GPX160" s="72"/>
      <c r="GPY160" s="72"/>
      <c r="GPZ160" s="72"/>
      <c r="GQA160" s="72"/>
      <c r="GQB160" s="72"/>
      <c r="GQC160" s="72"/>
      <c r="GQD160" s="72"/>
      <c r="GQE160" s="72"/>
      <c r="GQF160" s="72"/>
      <c r="GQG160" s="72"/>
      <c r="GQH160" s="72"/>
      <c r="GQI160" s="72"/>
      <c r="GQJ160" s="72"/>
      <c r="GQK160" s="72"/>
      <c r="GQL160" s="72"/>
      <c r="GQM160" s="72"/>
      <c r="GQN160" s="72"/>
      <c r="GQO160" s="72"/>
      <c r="GQP160" s="72"/>
      <c r="GQQ160" s="72"/>
      <c r="GQR160" s="72"/>
      <c r="GQS160" s="72"/>
      <c r="GQT160" s="72"/>
      <c r="GQU160" s="72"/>
      <c r="GQV160" s="72"/>
      <c r="GQW160" s="72"/>
      <c r="GQX160" s="72"/>
      <c r="GQY160" s="72"/>
      <c r="GQZ160" s="72"/>
      <c r="GRA160" s="72"/>
      <c r="GRB160" s="72"/>
      <c r="GRC160" s="72"/>
      <c r="GRD160" s="72"/>
      <c r="GRE160" s="72"/>
      <c r="GRF160" s="72"/>
      <c r="GRG160" s="72"/>
      <c r="GRH160" s="72"/>
      <c r="GRI160" s="72"/>
      <c r="GRJ160" s="72"/>
      <c r="GRK160" s="72"/>
      <c r="GRL160" s="72"/>
      <c r="GRM160" s="72"/>
      <c r="GRN160" s="72"/>
      <c r="GRO160" s="72"/>
      <c r="GRP160" s="72"/>
      <c r="GRQ160" s="72"/>
      <c r="GRR160" s="72"/>
      <c r="GRS160" s="72"/>
      <c r="GRT160" s="72"/>
      <c r="GRU160" s="72"/>
      <c r="GRV160" s="72"/>
      <c r="GRW160" s="72"/>
      <c r="GRX160" s="72"/>
      <c r="GRY160" s="72"/>
      <c r="GRZ160" s="72"/>
      <c r="GSA160" s="72"/>
      <c r="GSB160" s="72"/>
      <c r="GSC160" s="72"/>
      <c r="GSD160" s="72"/>
      <c r="GSE160" s="72"/>
      <c r="GSF160" s="72"/>
      <c r="GSG160" s="72"/>
      <c r="GSH160" s="72"/>
      <c r="GSI160" s="72"/>
      <c r="GSJ160" s="72"/>
      <c r="GSK160" s="72"/>
      <c r="GSL160" s="72"/>
      <c r="GSM160" s="72"/>
      <c r="GSN160" s="72"/>
      <c r="GSO160" s="72"/>
      <c r="GSP160" s="72"/>
      <c r="GSQ160" s="72"/>
      <c r="GSR160" s="72"/>
      <c r="GSS160" s="72"/>
      <c r="GST160" s="72"/>
      <c r="GSU160" s="72"/>
      <c r="GSV160" s="72"/>
      <c r="GSW160" s="72"/>
      <c r="GSX160" s="72"/>
      <c r="GSY160" s="72"/>
      <c r="GSZ160" s="72"/>
      <c r="GTA160" s="72"/>
      <c r="GTB160" s="72"/>
      <c r="GTC160" s="72"/>
      <c r="GTD160" s="72"/>
      <c r="GTE160" s="72"/>
      <c r="GTF160" s="72"/>
      <c r="GTG160" s="72"/>
      <c r="GTH160" s="72"/>
      <c r="GTI160" s="72"/>
      <c r="GTJ160" s="72"/>
      <c r="GTK160" s="72"/>
      <c r="GTL160" s="72"/>
      <c r="GTM160" s="72"/>
      <c r="GTN160" s="72"/>
      <c r="GTO160" s="72"/>
      <c r="GTP160" s="72"/>
      <c r="GTQ160" s="72"/>
      <c r="GTR160" s="72"/>
      <c r="GTS160" s="72"/>
      <c r="GTT160" s="72"/>
      <c r="GTU160" s="72"/>
      <c r="GTV160" s="72"/>
      <c r="GTW160" s="72"/>
      <c r="GTX160" s="72"/>
      <c r="GTY160" s="72"/>
      <c r="GTZ160" s="72"/>
      <c r="GUA160" s="72"/>
      <c r="GUB160" s="72"/>
      <c r="GUC160" s="72"/>
      <c r="GUD160" s="72"/>
      <c r="GUE160" s="72"/>
      <c r="GUF160" s="72"/>
      <c r="GUG160" s="72"/>
      <c r="GUH160" s="72"/>
      <c r="GUI160" s="72"/>
      <c r="GUJ160" s="72"/>
      <c r="GUK160" s="72"/>
      <c r="GUL160" s="72"/>
      <c r="GUM160" s="72"/>
      <c r="GUN160" s="72"/>
      <c r="GUO160" s="72"/>
      <c r="GUP160" s="72"/>
      <c r="GUQ160" s="72"/>
      <c r="GUR160" s="72"/>
      <c r="GUS160" s="72"/>
      <c r="GUT160" s="72"/>
      <c r="GUU160" s="72"/>
      <c r="GUV160" s="72"/>
      <c r="GUW160" s="72"/>
      <c r="GUX160" s="72"/>
      <c r="GUY160" s="72"/>
      <c r="GUZ160" s="72"/>
      <c r="GVA160" s="72"/>
      <c r="GVB160" s="72"/>
      <c r="GVC160" s="72"/>
      <c r="GVD160" s="72"/>
      <c r="GVE160" s="72"/>
      <c r="GVF160" s="72"/>
      <c r="GVG160" s="72"/>
      <c r="GVH160" s="72"/>
      <c r="GVI160" s="72"/>
      <c r="GVJ160" s="72"/>
      <c r="GVK160" s="72"/>
      <c r="GVL160" s="72"/>
      <c r="GVM160" s="72"/>
      <c r="GVN160" s="72"/>
      <c r="GVO160" s="72"/>
      <c r="GVP160" s="72"/>
      <c r="GVQ160" s="72"/>
      <c r="GVR160" s="72"/>
      <c r="GVS160" s="72"/>
      <c r="GVT160" s="72"/>
      <c r="GVU160" s="72"/>
      <c r="GVV160" s="72"/>
      <c r="GVW160" s="72"/>
      <c r="GVX160" s="72"/>
      <c r="GVY160" s="72"/>
      <c r="GVZ160" s="72"/>
      <c r="GWA160" s="72"/>
      <c r="GWB160" s="72"/>
      <c r="GWC160" s="72"/>
      <c r="GWD160" s="72"/>
      <c r="GWE160" s="72"/>
      <c r="GWF160" s="72"/>
      <c r="GWG160" s="72"/>
      <c r="GWH160" s="72"/>
      <c r="GWI160" s="72"/>
      <c r="GWJ160" s="72"/>
      <c r="GWK160" s="72"/>
      <c r="GWL160" s="72"/>
      <c r="GWM160" s="72"/>
      <c r="GWN160" s="72"/>
      <c r="GWO160" s="72"/>
      <c r="GWP160" s="72"/>
      <c r="GWQ160" s="72"/>
      <c r="GWR160" s="72"/>
      <c r="GWS160" s="72"/>
      <c r="GWT160" s="72"/>
      <c r="GWU160" s="72"/>
      <c r="GWV160" s="72"/>
      <c r="GWW160" s="72"/>
      <c r="GWX160" s="72"/>
      <c r="GWY160" s="72"/>
      <c r="GWZ160" s="72"/>
      <c r="GXA160" s="72"/>
      <c r="GXB160" s="72"/>
      <c r="GXC160" s="72"/>
      <c r="GXD160" s="72"/>
      <c r="GXE160" s="72"/>
      <c r="GXF160" s="72"/>
      <c r="GXG160" s="72"/>
      <c r="GXH160" s="72"/>
      <c r="GXI160" s="72"/>
      <c r="GXJ160" s="72"/>
      <c r="GXK160" s="72"/>
      <c r="GXL160" s="72"/>
      <c r="GXM160" s="72"/>
      <c r="GXN160" s="72"/>
      <c r="GXO160" s="72"/>
      <c r="GXP160" s="72"/>
      <c r="GXQ160" s="72"/>
      <c r="GXR160" s="72"/>
      <c r="GXS160" s="72"/>
      <c r="GXT160" s="72"/>
      <c r="GXU160" s="72"/>
      <c r="GXV160" s="72"/>
      <c r="GXW160" s="72"/>
      <c r="GXX160" s="72"/>
      <c r="GXY160" s="72"/>
      <c r="GXZ160" s="72"/>
      <c r="GYA160" s="72"/>
      <c r="GYB160" s="72"/>
      <c r="GYC160" s="72"/>
      <c r="GYD160" s="72"/>
      <c r="GYE160" s="72"/>
      <c r="GYF160" s="72"/>
      <c r="GYG160" s="72"/>
      <c r="GYH160" s="72"/>
      <c r="GYI160" s="72"/>
      <c r="GYJ160" s="72"/>
      <c r="GYK160" s="72"/>
      <c r="GYL160" s="72"/>
      <c r="GYM160" s="72"/>
      <c r="GYN160" s="72"/>
      <c r="GYO160" s="72"/>
      <c r="GYP160" s="72"/>
      <c r="GYQ160" s="72"/>
      <c r="GYR160" s="72"/>
      <c r="GYS160" s="72"/>
      <c r="GYT160" s="72"/>
      <c r="GYU160" s="72"/>
      <c r="GYV160" s="72"/>
      <c r="GYW160" s="72"/>
      <c r="GYX160" s="72"/>
      <c r="GYY160" s="72"/>
      <c r="GYZ160" s="72"/>
      <c r="GZA160" s="72"/>
      <c r="GZB160" s="72"/>
      <c r="GZC160" s="72"/>
      <c r="GZD160" s="72"/>
      <c r="GZE160" s="72"/>
      <c r="GZF160" s="72"/>
      <c r="GZG160" s="72"/>
      <c r="GZH160" s="72"/>
      <c r="GZI160" s="72"/>
      <c r="GZJ160" s="72"/>
      <c r="GZK160" s="72"/>
      <c r="GZL160" s="72"/>
      <c r="GZM160" s="72"/>
      <c r="GZN160" s="72"/>
      <c r="GZO160" s="72"/>
      <c r="GZP160" s="72"/>
      <c r="GZQ160" s="72"/>
      <c r="GZR160" s="72"/>
      <c r="GZS160" s="72"/>
      <c r="GZT160" s="72"/>
      <c r="GZU160" s="72"/>
      <c r="GZV160" s="72"/>
      <c r="GZW160" s="72"/>
      <c r="GZX160" s="72"/>
      <c r="GZY160" s="72"/>
      <c r="GZZ160" s="72"/>
      <c r="HAA160" s="72"/>
      <c r="HAB160" s="72"/>
      <c r="HAC160" s="72"/>
      <c r="HAD160" s="72"/>
      <c r="HAE160" s="72"/>
      <c r="HAF160" s="72"/>
      <c r="HAG160" s="72"/>
      <c r="HAH160" s="72"/>
      <c r="HAI160" s="72"/>
      <c r="HAJ160" s="72"/>
      <c r="HAK160" s="72"/>
      <c r="HAL160" s="72"/>
      <c r="HAM160" s="72"/>
      <c r="HAN160" s="72"/>
      <c r="HAO160" s="72"/>
      <c r="HAP160" s="72"/>
      <c r="HAQ160" s="72"/>
      <c r="HAR160" s="72"/>
      <c r="HAS160" s="72"/>
      <c r="HAT160" s="72"/>
      <c r="HAU160" s="72"/>
      <c r="HAV160" s="72"/>
      <c r="HAW160" s="72"/>
      <c r="HAX160" s="72"/>
      <c r="HAY160" s="72"/>
      <c r="HAZ160" s="72"/>
      <c r="HBA160" s="72"/>
      <c r="HBB160" s="72"/>
      <c r="HBC160" s="72"/>
      <c r="HBD160" s="72"/>
      <c r="HBE160" s="72"/>
      <c r="HBF160" s="72"/>
      <c r="HBG160" s="72"/>
      <c r="HBH160" s="72"/>
      <c r="HBI160" s="72"/>
      <c r="HBJ160" s="72"/>
      <c r="HBK160" s="72"/>
      <c r="HBL160" s="72"/>
      <c r="HBM160" s="72"/>
      <c r="HBN160" s="72"/>
      <c r="HBO160" s="72"/>
      <c r="HBP160" s="72"/>
      <c r="HBQ160" s="72"/>
      <c r="HBR160" s="72"/>
      <c r="HBS160" s="72"/>
      <c r="HBT160" s="72"/>
      <c r="HBU160" s="72"/>
      <c r="HBV160" s="72"/>
      <c r="HBW160" s="72"/>
      <c r="HBX160" s="72"/>
      <c r="HBY160" s="72"/>
      <c r="HBZ160" s="72"/>
      <c r="HCA160" s="72"/>
      <c r="HCB160" s="72"/>
      <c r="HCC160" s="72"/>
      <c r="HCD160" s="72"/>
      <c r="HCE160" s="72"/>
      <c r="HCF160" s="72"/>
      <c r="HCG160" s="72"/>
      <c r="HCH160" s="72"/>
      <c r="HCI160" s="72"/>
      <c r="HCJ160" s="72"/>
      <c r="HCK160" s="72"/>
      <c r="HCL160" s="72"/>
      <c r="HCM160" s="72"/>
      <c r="HCN160" s="72"/>
      <c r="HCO160" s="72"/>
      <c r="HCP160" s="72"/>
      <c r="HCQ160" s="72"/>
      <c r="HCR160" s="72"/>
      <c r="HCS160" s="72"/>
      <c r="HCT160" s="72"/>
      <c r="HCU160" s="72"/>
      <c r="HCV160" s="72"/>
      <c r="HCW160" s="72"/>
      <c r="HCX160" s="72"/>
      <c r="HCY160" s="72"/>
      <c r="HCZ160" s="72"/>
      <c r="HDA160" s="72"/>
      <c r="HDB160" s="72"/>
      <c r="HDC160" s="72"/>
      <c r="HDD160" s="72"/>
      <c r="HDE160" s="72"/>
      <c r="HDF160" s="72"/>
      <c r="HDG160" s="72"/>
      <c r="HDH160" s="72"/>
      <c r="HDI160" s="72"/>
      <c r="HDJ160" s="72"/>
      <c r="HDK160" s="72"/>
      <c r="HDL160" s="72"/>
      <c r="HDM160" s="72"/>
      <c r="HDN160" s="72"/>
      <c r="HDO160" s="72"/>
      <c r="HDP160" s="72"/>
      <c r="HDQ160" s="72"/>
      <c r="HDR160" s="72"/>
      <c r="HDS160" s="72"/>
      <c r="HDT160" s="72"/>
      <c r="HDU160" s="72"/>
      <c r="HDV160" s="72"/>
      <c r="HDW160" s="72"/>
      <c r="HDX160" s="72"/>
      <c r="HDY160" s="72"/>
      <c r="HDZ160" s="72"/>
      <c r="HEA160" s="72"/>
      <c r="HEB160" s="72"/>
      <c r="HEC160" s="72"/>
      <c r="HED160" s="72"/>
      <c r="HEE160" s="72"/>
      <c r="HEF160" s="72"/>
      <c r="HEG160" s="72"/>
      <c r="HEH160" s="72"/>
      <c r="HEI160" s="72"/>
      <c r="HEJ160" s="72"/>
      <c r="HEK160" s="72"/>
      <c r="HEL160" s="72"/>
      <c r="HEM160" s="72"/>
      <c r="HEN160" s="72"/>
      <c r="HEO160" s="72"/>
      <c r="HEP160" s="72"/>
      <c r="HEQ160" s="72"/>
      <c r="HER160" s="72"/>
      <c r="HES160" s="72"/>
      <c r="HET160" s="72"/>
      <c r="HEU160" s="72"/>
      <c r="HEV160" s="72"/>
      <c r="HEW160" s="72"/>
      <c r="HEX160" s="72"/>
      <c r="HEY160" s="72"/>
      <c r="HEZ160" s="72"/>
      <c r="HFA160" s="72"/>
      <c r="HFB160" s="72"/>
      <c r="HFC160" s="72"/>
      <c r="HFD160" s="72"/>
      <c r="HFE160" s="72"/>
      <c r="HFF160" s="72"/>
      <c r="HFG160" s="72"/>
      <c r="HFH160" s="72"/>
      <c r="HFI160" s="72"/>
      <c r="HFJ160" s="72"/>
      <c r="HFK160" s="72"/>
      <c r="HFL160" s="72"/>
      <c r="HFM160" s="72"/>
      <c r="HFN160" s="72"/>
      <c r="HFO160" s="72"/>
      <c r="HFP160" s="72"/>
      <c r="HFQ160" s="72"/>
      <c r="HFR160" s="72"/>
      <c r="HFS160" s="72"/>
      <c r="HFT160" s="72"/>
      <c r="HFU160" s="72"/>
      <c r="HFV160" s="72"/>
      <c r="HFW160" s="72"/>
      <c r="HFX160" s="72"/>
      <c r="HFY160" s="72"/>
      <c r="HFZ160" s="72"/>
      <c r="HGA160" s="72"/>
      <c r="HGB160" s="72"/>
      <c r="HGC160" s="72"/>
      <c r="HGD160" s="72"/>
      <c r="HGE160" s="72"/>
      <c r="HGF160" s="72"/>
      <c r="HGG160" s="72"/>
      <c r="HGH160" s="72"/>
      <c r="HGI160" s="72"/>
      <c r="HGJ160" s="72"/>
      <c r="HGK160" s="72"/>
      <c r="HGL160" s="72"/>
      <c r="HGM160" s="72"/>
      <c r="HGN160" s="72"/>
      <c r="HGO160" s="72"/>
      <c r="HGP160" s="72"/>
      <c r="HGQ160" s="72"/>
      <c r="HGR160" s="72"/>
      <c r="HGS160" s="72"/>
      <c r="HGT160" s="72"/>
      <c r="HGU160" s="72"/>
      <c r="HGV160" s="72"/>
      <c r="HGW160" s="72"/>
      <c r="HGX160" s="72"/>
      <c r="HGY160" s="72"/>
      <c r="HGZ160" s="72"/>
      <c r="HHA160" s="72"/>
      <c r="HHB160" s="72"/>
      <c r="HHC160" s="72"/>
      <c r="HHD160" s="72"/>
      <c r="HHE160" s="72"/>
      <c r="HHF160" s="72"/>
      <c r="HHG160" s="72"/>
      <c r="HHH160" s="72"/>
      <c r="HHI160" s="72"/>
      <c r="HHJ160" s="72"/>
      <c r="HHK160" s="72"/>
      <c r="HHL160" s="72"/>
      <c r="HHM160" s="72"/>
      <c r="HHN160" s="72"/>
      <c r="HHO160" s="72"/>
      <c r="HHP160" s="72"/>
      <c r="HHQ160" s="72"/>
      <c r="HHR160" s="72"/>
      <c r="HHS160" s="72"/>
      <c r="HHT160" s="72"/>
      <c r="HHU160" s="72"/>
      <c r="HHV160" s="72"/>
      <c r="HHW160" s="72"/>
      <c r="HHX160" s="72"/>
      <c r="HHY160" s="72"/>
      <c r="HHZ160" s="72"/>
      <c r="HIA160" s="72"/>
      <c r="HIB160" s="72"/>
      <c r="HIC160" s="72"/>
      <c r="HID160" s="72"/>
      <c r="HIE160" s="72"/>
      <c r="HIF160" s="72"/>
      <c r="HIG160" s="72"/>
      <c r="HIH160" s="72"/>
      <c r="HII160" s="72"/>
      <c r="HIJ160" s="72"/>
      <c r="HIK160" s="72"/>
      <c r="HIL160" s="72"/>
      <c r="HIM160" s="72"/>
      <c r="HIN160" s="72"/>
      <c r="HIO160" s="72"/>
      <c r="HIP160" s="72"/>
      <c r="HIQ160" s="72"/>
      <c r="HIR160" s="72"/>
      <c r="HIS160" s="72"/>
      <c r="HIT160" s="72"/>
      <c r="HIU160" s="72"/>
      <c r="HIV160" s="72"/>
      <c r="HIW160" s="72"/>
      <c r="HIX160" s="72"/>
      <c r="HIY160" s="72"/>
      <c r="HIZ160" s="72"/>
      <c r="HJA160" s="72"/>
      <c r="HJB160" s="72"/>
      <c r="HJC160" s="72"/>
      <c r="HJD160" s="72"/>
      <c r="HJE160" s="72"/>
      <c r="HJF160" s="72"/>
      <c r="HJG160" s="72"/>
      <c r="HJH160" s="72"/>
      <c r="HJI160" s="72"/>
      <c r="HJJ160" s="72"/>
      <c r="HJK160" s="72"/>
      <c r="HJL160" s="72"/>
      <c r="HJM160" s="72"/>
      <c r="HJN160" s="72"/>
      <c r="HJO160" s="72"/>
      <c r="HJP160" s="72"/>
      <c r="HJQ160" s="72"/>
      <c r="HJR160" s="72"/>
      <c r="HJS160" s="72"/>
      <c r="HJT160" s="72"/>
      <c r="HJU160" s="72"/>
      <c r="HJV160" s="72"/>
      <c r="HJW160" s="72"/>
      <c r="HJX160" s="72"/>
      <c r="HJY160" s="72"/>
      <c r="HJZ160" s="72"/>
      <c r="HKA160" s="72"/>
      <c r="HKB160" s="72"/>
      <c r="HKC160" s="72"/>
      <c r="HKD160" s="72"/>
      <c r="HKE160" s="72"/>
      <c r="HKF160" s="72"/>
      <c r="HKG160" s="72"/>
      <c r="HKH160" s="72"/>
      <c r="HKI160" s="72"/>
      <c r="HKJ160" s="72"/>
      <c r="HKK160" s="72"/>
      <c r="HKL160" s="72"/>
      <c r="HKM160" s="72"/>
      <c r="HKN160" s="72"/>
      <c r="HKO160" s="72"/>
      <c r="HKP160" s="72"/>
      <c r="HKQ160" s="72"/>
      <c r="HKR160" s="72"/>
      <c r="HKS160" s="72"/>
      <c r="HKT160" s="72"/>
      <c r="HKU160" s="72"/>
      <c r="HKV160" s="72"/>
      <c r="HKW160" s="72"/>
      <c r="HKX160" s="72"/>
      <c r="HKY160" s="72"/>
      <c r="HKZ160" s="72"/>
      <c r="HLA160" s="72"/>
      <c r="HLB160" s="72"/>
      <c r="HLC160" s="72"/>
      <c r="HLD160" s="72"/>
      <c r="HLE160" s="72"/>
      <c r="HLF160" s="72"/>
      <c r="HLG160" s="72"/>
      <c r="HLH160" s="72"/>
      <c r="HLI160" s="72"/>
      <c r="HLJ160" s="72"/>
      <c r="HLK160" s="72"/>
      <c r="HLL160" s="72"/>
      <c r="HLM160" s="72"/>
      <c r="HLN160" s="72"/>
      <c r="HLO160" s="72"/>
      <c r="HLP160" s="72"/>
      <c r="HLQ160" s="72"/>
      <c r="HLR160" s="72"/>
      <c r="HLS160" s="72"/>
      <c r="HLT160" s="72"/>
      <c r="HLU160" s="72"/>
      <c r="HLV160" s="72"/>
      <c r="HLW160" s="72"/>
      <c r="HLX160" s="72"/>
      <c r="HLY160" s="72"/>
      <c r="HLZ160" s="72"/>
      <c r="HMA160" s="72"/>
      <c r="HMB160" s="72"/>
      <c r="HMC160" s="72"/>
      <c r="HMD160" s="72"/>
      <c r="HME160" s="72"/>
      <c r="HMF160" s="72"/>
      <c r="HMG160" s="72"/>
      <c r="HMH160" s="72"/>
      <c r="HMI160" s="72"/>
      <c r="HMJ160" s="72"/>
      <c r="HMK160" s="72"/>
      <c r="HML160" s="72"/>
      <c r="HMM160" s="72"/>
      <c r="HMN160" s="72"/>
      <c r="HMO160" s="72"/>
      <c r="HMP160" s="72"/>
      <c r="HMQ160" s="72"/>
      <c r="HMR160" s="72"/>
      <c r="HMS160" s="72"/>
      <c r="HMT160" s="72"/>
      <c r="HMU160" s="72"/>
      <c r="HMV160" s="72"/>
      <c r="HMW160" s="72"/>
      <c r="HMX160" s="72"/>
      <c r="HMY160" s="72"/>
      <c r="HMZ160" s="72"/>
      <c r="HNA160" s="72"/>
      <c r="HNB160" s="72"/>
      <c r="HNC160" s="72"/>
      <c r="HND160" s="72"/>
      <c r="HNE160" s="72"/>
      <c r="HNF160" s="72"/>
      <c r="HNG160" s="72"/>
      <c r="HNH160" s="72"/>
      <c r="HNI160" s="72"/>
      <c r="HNJ160" s="72"/>
      <c r="HNK160" s="72"/>
      <c r="HNL160" s="72"/>
      <c r="HNM160" s="72"/>
      <c r="HNN160" s="72"/>
      <c r="HNO160" s="72"/>
      <c r="HNP160" s="72"/>
      <c r="HNQ160" s="72"/>
      <c r="HNR160" s="72"/>
      <c r="HNS160" s="72"/>
      <c r="HNT160" s="72"/>
      <c r="HNU160" s="72"/>
      <c r="HNV160" s="72"/>
      <c r="HNW160" s="72"/>
      <c r="HNX160" s="72"/>
      <c r="HNY160" s="72"/>
      <c r="HNZ160" s="72"/>
      <c r="HOA160" s="72"/>
      <c r="HOB160" s="72"/>
      <c r="HOC160" s="72"/>
      <c r="HOD160" s="72"/>
      <c r="HOE160" s="72"/>
      <c r="HOF160" s="72"/>
      <c r="HOG160" s="72"/>
      <c r="HOH160" s="72"/>
      <c r="HOI160" s="72"/>
      <c r="HOJ160" s="72"/>
      <c r="HOK160" s="72"/>
      <c r="HOL160" s="72"/>
      <c r="HOM160" s="72"/>
      <c r="HON160" s="72"/>
      <c r="HOO160" s="72"/>
      <c r="HOP160" s="72"/>
      <c r="HOQ160" s="72"/>
      <c r="HOR160" s="72"/>
      <c r="HOS160" s="72"/>
      <c r="HOT160" s="72"/>
      <c r="HOU160" s="72"/>
      <c r="HOV160" s="72"/>
      <c r="HOW160" s="72"/>
      <c r="HOX160" s="72"/>
      <c r="HOY160" s="72"/>
      <c r="HOZ160" s="72"/>
      <c r="HPA160" s="72"/>
      <c r="HPB160" s="72"/>
      <c r="HPC160" s="72"/>
      <c r="HPD160" s="72"/>
      <c r="HPE160" s="72"/>
      <c r="HPF160" s="72"/>
      <c r="HPG160" s="72"/>
      <c r="HPH160" s="72"/>
      <c r="HPI160" s="72"/>
      <c r="HPJ160" s="72"/>
      <c r="HPK160" s="72"/>
      <c r="HPL160" s="72"/>
      <c r="HPM160" s="72"/>
      <c r="HPN160" s="72"/>
      <c r="HPO160" s="72"/>
      <c r="HPP160" s="72"/>
      <c r="HPQ160" s="72"/>
      <c r="HPR160" s="72"/>
      <c r="HPS160" s="72"/>
      <c r="HPT160" s="72"/>
      <c r="HPU160" s="72"/>
      <c r="HPV160" s="72"/>
      <c r="HPW160" s="72"/>
      <c r="HPX160" s="72"/>
      <c r="HPY160" s="72"/>
      <c r="HPZ160" s="72"/>
      <c r="HQA160" s="72"/>
      <c r="HQB160" s="72"/>
      <c r="HQC160" s="72"/>
      <c r="HQD160" s="72"/>
      <c r="HQE160" s="72"/>
      <c r="HQF160" s="72"/>
      <c r="HQG160" s="72"/>
      <c r="HQH160" s="72"/>
      <c r="HQI160" s="72"/>
      <c r="HQJ160" s="72"/>
      <c r="HQK160" s="72"/>
      <c r="HQL160" s="72"/>
      <c r="HQM160" s="72"/>
      <c r="HQN160" s="72"/>
      <c r="HQO160" s="72"/>
      <c r="HQP160" s="72"/>
      <c r="HQQ160" s="72"/>
      <c r="HQR160" s="72"/>
      <c r="HQS160" s="72"/>
      <c r="HQT160" s="72"/>
      <c r="HQU160" s="72"/>
      <c r="HQV160" s="72"/>
      <c r="HQW160" s="72"/>
      <c r="HQX160" s="72"/>
      <c r="HQY160" s="72"/>
      <c r="HQZ160" s="72"/>
      <c r="HRA160" s="72"/>
      <c r="HRB160" s="72"/>
      <c r="HRC160" s="72"/>
      <c r="HRD160" s="72"/>
      <c r="HRE160" s="72"/>
      <c r="HRF160" s="72"/>
      <c r="HRG160" s="72"/>
      <c r="HRH160" s="72"/>
      <c r="HRI160" s="72"/>
      <c r="HRJ160" s="72"/>
      <c r="HRK160" s="72"/>
      <c r="HRL160" s="72"/>
      <c r="HRM160" s="72"/>
      <c r="HRN160" s="72"/>
      <c r="HRO160" s="72"/>
      <c r="HRP160" s="72"/>
      <c r="HRQ160" s="72"/>
      <c r="HRR160" s="72"/>
      <c r="HRS160" s="72"/>
      <c r="HRT160" s="72"/>
      <c r="HRU160" s="72"/>
      <c r="HRV160" s="72"/>
      <c r="HRW160" s="72"/>
      <c r="HRX160" s="72"/>
      <c r="HRY160" s="72"/>
      <c r="HRZ160" s="72"/>
      <c r="HSA160" s="72"/>
      <c r="HSB160" s="72"/>
      <c r="HSC160" s="72"/>
      <c r="HSD160" s="72"/>
      <c r="HSE160" s="72"/>
      <c r="HSF160" s="72"/>
      <c r="HSG160" s="72"/>
      <c r="HSH160" s="72"/>
      <c r="HSI160" s="72"/>
      <c r="HSJ160" s="72"/>
      <c r="HSK160" s="72"/>
      <c r="HSL160" s="72"/>
      <c r="HSM160" s="72"/>
      <c r="HSN160" s="72"/>
      <c r="HSO160" s="72"/>
      <c r="HSP160" s="72"/>
      <c r="HSQ160" s="72"/>
      <c r="HSR160" s="72"/>
      <c r="HSS160" s="72"/>
      <c r="HST160" s="72"/>
      <c r="HSU160" s="72"/>
      <c r="HSV160" s="72"/>
      <c r="HSW160" s="72"/>
      <c r="HSX160" s="72"/>
      <c r="HSY160" s="72"/>
      <c r="HSZ160" s="72"/>
      <c r="HTA160" s="72"/>
      <c r="HTB160" s="72"/>
      <c r="HTC160" s="72"/>
      <c r="HTD160" s="72"/>
      <c r="HTE160" s="72"/>
      <c r="HTF160" s="72"/>
      <c r="HTG160" s="72"/>
      <c r="HTH160" s="72"/>
      <c r="HTI160" s="72"/>
      <c r="HTJ160" s="72"/>
      <c r="HTK160" s="72"/>
      <c r="HTL160" s="72"/>
      <c r="HTM160" s="72"/>
      <c r="HTN160" s="72"/>
      <c r="HTO160" s="72"/>
      <c r="HTP160" s="72"/>
      <c r="HTQ160" s="72"/>
      <c r="HTR160" s="72"/>
      <c r="HTS160" s="72"/>
      <c r="HTT160" s="72"/>
      <c r="HTU160" s="72"/>
      <c r="HTV160" s="72"/>
      <c r="HTW160" s="72"/>
      <c r="HTX160" s="72"/>
      <c r="HTY160" s="72"/>
      <c r="HTZ160" s="72"/>
      <c r="HUA160" s="72"/>
      <c r="HUB160" s="72"/>
      <c r="HUC160" s="72"/>
      <c r="HUD160" s="72"/>
      <c r="HUE160" s="72"/>
      <c r="HUF160" s="72"/>
      <c r="HUG160" s="72"/>
      <c r="HUH160" s="72"/>
      <c r="HUI160" s="72"/>
      <c r="HUJ160" s="72"/>
      <c r="HUK160" s="72"/>
      <c r="HUL160" s="72"/>
      <c r="HUM160" s="72"/>
      <c r="HUN160" s="72"/>
      <c r="HUO160" s="72"/>
      <c r="HUP160" s="72"/>
      <c r="HUQ160" s="72"/>
      <c r="HUR160" s="72"/>
      <c r="HUS160" s="72"/>
      <c r="HUT160" s="72"/>
      <c r="HUU160" s="72"/>
      <c r="HUV160" s="72"/>
      <c r="HUW160" s="72"/>
      <c r="HUX160" s="72"/>
      <c r="HUY160" s="72"/>
      <c r="HUZ160" s="72"/>
      <c r="HVA160" s="72"/>
      <c r="HVB160" s="72"/>
      <c r="HVC160" s="72"/>
      <c r="HVD160" s="72"/>
      <c r="HVE160" s="72"/>
      <c r="HVF160" s="72"/>
      <c r="HVG160" s="72"/>
      <c r="HVH160" s="72"/>
      <c r="HVI160" s="72"/>
      <c r="HVJ160" s="72"/>
      <c r="HVK160" s="72"/>
      <c r="HVL160" s="72"/>
      <c r="HVM160" s="72"/>
      <c r="HVN160" s="72"/>
      <c r="HVO160" s="72"/>
      <c r="HVP160" s="72"/>
      <c r="HVQ160" s="72"/>
      <c r="HVR160" s="72"/>
      <c r="HVS160" s="72"/>
      <c r="HVT160" s="72"/>
      <c r="HVU160" s="72"/>
      <c r="HVV160" s="72"/>
      <c r="HVW160" s="72"/>
      <c r="HVX160" s="72"/>
      <c r="HVY160" s="72"/>
      <c r="HVZ160" s="72"/>
      <c r="HWA160" s="72"/>
      <c r="HWB160" s="72"/>
      <c r="HWC160" s="72"/>
      <c r="HWD160" s="72"/>
      <c r="HWE160" s="72"/>
      <c r="HWF160" s="72"/>
      <c r="HWG160" s="72"/>
      <c r="HWH160" s="72"/>
      <c r="HWI160" s="72"/>
      <c r="HWJ160" s="72"/>
      <c r="HWK160" s="72"/>
      <c r="HWL160" s="72"/>
      <c r="HWM160" s="72"/>
      <c r="HWN160" s="72"/>
      <c r="HWO160" s="72"/>
      <c r="HWP160" s="72"/>
      <c r="HWQ160" s="72"/>
      <c r="HWR160" s="72"/>
      <c r="HWS160" s="72"/>
      <c r="HWT160" s="72"/>
      <c r="HWU160" s="72"/>
      <c r="HWV160" s="72"/>
      <c r="HWW160" s="72"/>
      <c r="HWX160" s="72"/>
      <c r="HWY160" s="72"/>
      <c r="HWZ160" s="72"/>
      <c r="HXA160" s="72"/>
      <c r="HXB160" s="72"/>
      <c r="HXC160" s="72"/>
      <c r="HXD160" s="72"/>
      <c r="HXE160" s="72"/>
      <c r="HXF160" s="72"/>
      <c r="HXG160" s="72"/>
      <c r="HXH160" s="72"/>
      <c r="HXI160" s="72"/>
      <c r="HXJ160" s="72"/>
      <c r="HXK160" s="72"/>
      <c r="HXL160" s="72"/>
      <c r="HXM160" s="72"/>
      <c r="HXN160" s="72"/>
      <c r="HXO160" s="72"/>
      <c r="HXP160" s="72"/>
      <c r="HXQ160" s="72"/>
      <c r="HXR160" s="72"/>
      <c r="HXS160" s="72"/>
      <c r="HXT160" s="72"/>
      <c r="HXU160" s="72"/>
      <c r="HXV160" s="72"/>
      <c r="HXW160" s="72"/>
      <c r="HXX160" s="72"/>
      <c r="HXY160" s="72"/>
      <c r="HXZ160" s="72"/>
      <c r="HYA160" s="72"/>
      <c r="HYB160" s="72"/>
      <c r="HYC160" s="72"/>
      <c r="HYD160" s="72"/>
      <c r="HYE160" s="72"/>
      <c r="HYF160" s="72"/>
      <c r="HYG160" s="72"/>
      <c r="HYH160" s="72"/>
      <c r="HYI160" s="72"/>
      <c r="HYJ160" s="72"/>
      <c r="HYK160" s="72"/>
      <c r="HYL160" s="72"/>
      <c r="HYM160" s="72"/>
      <c r="HYN160" s="72"/>
      <c r="HYO160" s="72"/>
      <c r="HYP160" s="72"/>
      <c r="HYQ160" s="72"/>
      <c r="HYR160" s="72"/>
      <c r="HYS160" s="72"/>
      <c r="HYT160" s="72"/>
      <c r="HYU160" s="72"/>
      <c r="HYV160" s="72"/>
      <c r="HYW160" s="72"/>
      <c r="HYX160" s="72"/>
      <c r="HYY160" s="72"/>
      <c r="HYZ160" s="72"/>
      <c r="HZA160" s="72"/>
      <c r="HZB160" s="72"/>
      <c r="HZC160" s="72"/>
      <c r="HZD160" s="72"/>
      <c r="HZE160" s="72"/>
      <c r="HZF160" s="72"/>
      <c r="HZG160" s="72"/>
      <c r="HZH160" s="72"/>
      <c r="HZI160" s="72"/>
      <c r="HZJ160" s="72"/>
      <c r="HZK160" s="72"/>
      <c r="HZL160" s="72"/>
      <c r="HZM160" s="72"/>
      <c r="HZN160" s="72"/>
      <c r="HZO160" s="72"/>
      <c r="HZP160" s="72"/>
      <c r="HZQ160" s="72"/>
      <c r="HZR160" s="72"/>
      <c r="HZS160" s="72"/>
      <c r="HZT160" s="72"/>
      <c r="HZU160" s="72"/>
      <c r="HZV160" s="72"/>
      <c r="HZW160" s="72"/>
      <c r="HZX160" s="72"/>
      <c r="HZY160" s="72"/>
      <c r="HZZ160" s="72"/>
      <c r="IAA160" s="72"/>
      <c r="IAB160" s="72"/>
      <c r="IAC160" s="72"/>
      <c r="IAD160" s="72"/>
      <c r="IAE160" s="72"/>
      <c r="IAF160" s="72"/>
      <c r="IAG160" s="72"/>
      <c r="IAH160" s="72"/>
      <c r="IAI160" s="72"/>
      <c r="IAJ160" s="72"/>
      <c r="IAK160" s="72"/>
      <c r="IAL160" s="72"/>
      <c r="IAM160" s="72"/>
      <c r="IAN160" s="72"/>
      <c r="IAO160" s="72"/>
      <c r="IAP160" s="72"/>
      <c r="IAQ160" s="72"/>
      <c r="IAR160" s="72"/>
      <c r="IAS160" s="72"/>
      <c r="IAT160" s="72"/>
      <c r="IAU160" s="72"/>
      <c r="IAV160" s="72"/>
      <c r="IAW160" s="72"/>
      <c r="IAX160" s="72"/>
      <c r="IAY160" s="72"/>
      <c r="IAZ160" s="72"/>
      <c r="IBA160" s="72"/>
      <c r="IBB160" s="72"/>
      <c r="IBC160" s="72"/>
      <c r="IBD160" s="72"/>
      <c r="IBE160" s="72"/>
      <c r="IBF160" s="72"/>
      <c r="IBG160" s="72"/>
      <c r="IBH160" s="72"/>
      <c r="IBI160" s="72"/>
      <c r="IBJ160" s="72"/>
      <c r="IBK160" s="72"/>
      <c r="IBL160" s="72"/>
      <c r="IBM160" s="72"/>
      <c r="IBN160" s="72"/>
      <c r="IBO160" s="72"/>
      <c r="IBP160" s="72"/>
      <c r="IBQ160" s="72"/>
      <c r="IBR160" s="72"/>
      <c r="IBS160" s="72"/>
      <c r="IBT160" s="72"/>
      <c r="IBU160" s="72"/>
      <c r="IBV160" s="72"/>
      <c r="IBW160" s="72"/>
      <c r="IBX160" s="72"/>
      <c r="IBY160" s="72"/>
      <c r="IBZ160" s="72"/>
      <c r="ICA160" s="72"/>
      <c r="ICB160" s="72"/>
      <c r="ICC160" s="72"/>
      <c r="ICD160" s="72"/>
      <c r="ICE160" s="72"/>
      <c r="ICF160" s="72"/>
      <c r="ICG160" s="72"/>
      <c r="ICH160" s="72"/>
      <c r="ICI160" s="72"/>
      <c r="ICJ160" s="72"/>
      <c r="ICK160" s="72"/>
      <c r="ICL160" s="72"/>
      <c r="ICM160" s="72"/>
      <c r="ICN160" s="72"/>
      <c r="ICO160" s="72"/>
      <c r="ICP160" s="72"/>
      <c r="ICQ160" s="72"/>
      <c r="ICR160" s="72"/>
      <c r="ICS160" s="72"/>
      <c r="ICT160" s="72"/>
      <c r="ICU160" s="72"/>
      <c r="ICV160" s="72"/>
      <c r="ICW160" s="72"/>
      <c r="ICX160" s="72"/>
      <c r="ICY160" s="72"/>
      <c r="ICZ160" s="72"/>
      <c r="IDA160" s="72"/>
      <c r="IDB160" s="72"/>
      <c r="IDC160" s="72"/>
      <c r="IDD160" s="72"/>
      <c r="IDE160" s="72"/>
      <c r="IDF160" s="72"/>
      <c r="IDG160" s="72"/>
      <c r="IDH160" s="72"/>
      <c r="IDI160" s="72"/>
      <c r="IDJ160" s="72"/>
      <c r="IDK160" s="72"/>
      <c r="IDL160" s="72"/>
      <c r="IDM160" s="72"/>
      <c r="IDN160" s="72"/>
      <c r="IDO160" s="72"/>
      <c r="IDP160" s="72"/>
      <c r="IDQ160" s="72"/>
      <c r="IDR160" s="72"/>
      <c r="IDS160" s="72"/>
      <c r="IDT160" s="72"/>
      <c r="IDU160" s="72"/>
      <c r="IDV160" s="72"/>
      <c r="IDW160" s="72"/>
      <c r="IDX160" s="72"/>
      <c r="IDY160" s="72"/>
      <c r="IDZ160" s="72"/>
      <c r="IEA160" s="72"/>
      <c r="IEB160" s="72"/>
      <c r="IEC160" s="72"/>
      <c r="IED160" s="72"/>
      <c r="IEE160" s="72"/>
      <c r="IEF160" s="72"/>
      <c r="IEG160" s="72"/>
      <c r="IEH160" s="72"/>
      <c r="IEI160" s="72"/>
      <c r="IEJ160" s="72"/>
      <c r="IEK160" s="72"/>
      <c r="IEL160" s="72"/>
      <c r="IEM160" s="72"/>
      <c r="IEN160" s="72"/>
      <c r="IEO160" s="72"/>
      <c r="IEP160" s="72"/>
      <c r="IEQ160" s="72"/>
      <c r="IER160" s="72"/>
      <c r="IES160" s="72"/>
      <c r="IET160" s="72"/>
      <c r="IEU160" s="72"/>
      <c r="IEV160" s="72"/>
      <c r="IEW160" s="72"/>
      <c r="IEX160" s="72"/>
      <c r="IEY160" s="72"/>
      <c r="IEZ160" s="72"/>
      <c r="IFA160" s="72"/>
      <c r="IFB160" s="72"/>
      <c r="IFC160" s="72"/>
      <c r="IFD160" s="72"/>
      <c r="IFE160" s="72"/>
      <c r="IFF160" s="72"/>
      <c r="IFG160" s="72"/>
      <c r="IFH160" s="72"/>
      <c r="IFI160" s="72"/>
      <c r="IFJ160" s="72"/>
      <c r="IFK160" s="72"/>
      <c r="IFL160" s="72"/>
      <c r="IFM160" s="72"/>
      <c r="IFN160" s="72"/>
      <c r="IFO160" s="72"/>
      <c r="IFP160" s="72"/>
      <c r="IFQ160" s="72"/>
      <c r="IFR160" s="72"/>
      <c r="IFS160" s="72"/>
      <c r="IFT160" s="72"/>
      <c r="IFU160" s="72"/>
      <c r="IFV160" s="72"/>
      <c r="IFW160" s="72"/>
      <c r="IFX160" s="72"/>
      <c r="IFY160" s="72"/>
      <c r="IFZ160" s="72"/>
      <c r="IGA160" s="72"/>
      <c r="IGB160" s="72"/>
      <c r="IGC160" s="72"/>
      <c r="IGD160" s="72"/>
      <c r="IGE160" s="72"/>
      <c r="IGF160" s="72"/>
      <c r="IGG160" s="72"/>
      <c r="IGH160" s="72"/>
      <c r="IGI160" s="72"/>
      <c r="IGJ160" s="72"/>
      <c r="IGK160" s="72"/>
      <c r="IGL160" s="72"/>
      <c r="IGM160" s="72"/>
      <c r="IGN160" s="72"/>
      <c r="IGO160" s="72"/>
      <c r="IGP160" s="72"/>
      <c r="IGQ160" s="72"/>
      <c r="IGR160" s="72"/>
      <c r="IGS160" s="72"/>
      <c r="IGT160" s="72"/>
      <c r="IGU160" s="72"/>
      <c r="IGV160" s="72"/>
      <c r="IGW160" s="72"/>
      <c r="IGX160" s="72"/>
      <c r="IGY160" s="72"/>
      <c r="IGZ160" s="72"/>
      <c r="IHA160" s="72"/>
      <c r="IHB160" s="72"/>
      <c r="IHC160" s="72"/>
      <c r="IHD160" s="72"/>
      <c r="IHE160" s="72"/>
      <c r="IHF160" s="72"/>
      <c r="IHG160" s="72"/>
      <c r="IHH160" s="72"/>
      <c r="IHI160" s="72"/>
      <c r="IHJ160" s="72"/>
      <c r="IHK160" s="72"/>
      <c r="IHL160" s="72"/>
      <c r="IHM160" s="72"/>
      <c r="IHN160" s="72"/>
      <c r="IHO160" s="72"/>
      <c r="IHP160" s="72"/>
      <c r="IHQ160" s="72"/>
      <c r="IHR160" s="72"/>
      <c r="IHS160" s="72"/>
      <c r="IHT160" s="72"/>
      <c r="IHU160" s="72"/>
      <c r="IHV160" s="72"/>
      <c r="IHW160" s="72"/>
      <c r="IHX160" s="72"/>
      <c r="IHY160" s="72"/>
      <c r="IHZ160" s="72"/>
      <c r="IIA160" s="72"/>
      <c r="IIB160" s="72"/>
      <c r="IIC160" s="72"/>
      <c r="IID160" s="72"/>
      <c r="IIE160" s="72"/>
      <c r="IIF160" s="72"/>
      <c r="IIG160" s="72"/>
      <c r="IIH160" s="72"/>
      <c r="III160" s="72"/>
      <c r="IIJ160" s="72"/>
      <c r="IIK160" s="72"/>
      <c r="IIL160" s="72"/>
      <c r="IIM160" s="72"/>
      <c r="IIN160" s="72"/>
      <c r="IIO160" s="72"/>
      <c r="IIP160" s="72"/>
      <c r="IIQ160" s="72"/>
      <c r="IIR160" s="72"/>
      <c r="IIS160" s="72"/>
      <c r="IIT160" s="72"/>
      <c r="IIU160" s="72"/>
      <c r="IIV160" s="72"/>
      <c r="IIW160" s="72"/>
      <c r="IIX160" s="72"/>
      <c r="IIY160" s="72"/>
      <c r="IIZ160" s="72"/>
      <c r="IJA160" s="72"/>
      <c r="IJB160" s="72"/>
      <c r="IJC160" s="72"/>
      <c r="IJD160" s="72"/>
      <c r="IJE160" s="72"/>
      <c r="IJF160" s="72"/>
      <c r="IJG160" s="72"/>
      <c r="IJH160" s="72"/>
      <c r="IJI160" s="72"/>
      <c r="IJJ160" s="72"/>
      <c r="IJK160" s="72"/>
      <c r="IJL160" s="72"/>
      <c r="IJM160" s="72"/>
      <c r="IJN160" s="72"/>
      <c r="IJO160" s="72"/>
      <c r="IJP160" s="72"/>
      <c r="IJQ160" s="72"/>
      <c r="IJR160" s="72"/>
      <c r="IJS160" s="72"/>
      <c r="IJT160" s="72"/>
      <c r="IJU160" s="72"/>
      <c r="IJV160" s="72"/>
      <c r="IJW160" s="72"/>
      <c r="IJX160" s="72"/>
      <c r="IJY160" s="72"/>
      <c r="IJZ160" s="72"/>
      <c r="IKA160" s="72"/>
      <c r="IKB160" s="72"/>
      <c r="IKC160" s="72"/>
      <c r="IKD160" s="72"/>
      <c r="IKE160" s="72"/>
      <c r="IKF160" s="72"/>
      <c r="IKG160" s="72"/>
      <c r="IKH160" s="72"/>
      <c r="IKI160" s="72"/>
      <c r="IKJ160" s="72"/>
      <c r="IKK160" s="72"/>
      <c r="IKL160" s="72"/>
      <c r="IKM160" s="72"/>
      <c r="IKN160" s="72"/>
      <c r="IKO160" s="72"/>
      <c r="IKP160" s="72"/>
      <c r="IKQ160" s="72"/>
      <c r="IKR160" s="72"/>
      <c r="IKS160" s="72"/>
      <c r="IKT160" s="72"/>
      <c r="IKU160" s="72"/>
      <c r="IKV160" s="72"/>
      <c r="IKW160" s="72"/>
      <c r="IKX160" s="72"/>
      <c r="IKY160" s="72"/>
      <c r="IKZ160" s="72"/>
      <c r="ILA160" s="72"/>
      <c r="ILB160" s="72"/>
      <c r="ILC160" s="72"/>
      <c r="ILD160" s="72"/>
      <c r="ILE160" s="72"/>
      <c r="ILF160" s="72"/>
      <c r="ILG160" s="72"/>
      <c r="ILH160" s="72"/>
      <c r="ILI160" s="72"/>
      <c r="ILJ160" s="72"/>
      <c r="ILK160" s="72"/>
      <c r="ILL160" s="72"/>
      <c r="ILM160" s="72"/>
      <c r="ILN160" s="72"/>
      <c r="ILO160" s="72"/>
      <c r="ILP160" s="72"/>
      <c r="ILQ160" s="72"/>
      <c r="ILR160" s="72"/>
      <c r="ILS160" s="72"/>
      <c r="ILT160" s="72"/>
      <c r="ILU160" s="72"/>
      <c r="ILV160" s="72"/>
      <c r="ILW160" s="72"/>
      <c r="ILX160" s="72"/>
      <c r="ILY160" s="72"/>
      <c r="ILZ160" s="72"/>
      <c r="IMA160" s="72"/>
      <c r="IMB160" s="72"/>
      <c r="IMC160" s="72"/>
      <c r="IMD160" s="72"/>
      <c r="IME160" s="72"/>
      <c r="IMF160" s="72"/>
      <c r="IMG160" s="72"/>
      <c r="IMH160" s="72"/>
      <c r="IMI160" s="72"/>
      <c r="IMJ160" s="72"/>
      <c r="IMK160" s="72"/>
      <c r="IML160" s="72"/>
      <c r="IMM160" s="72"/>
      <c r="IMN160" s="72"/>
      <c r="IMO160" s="72"/>
      <c r="IMP160" s="72"/>
      <c r="IMQ160" s="72"/>
      <c r="IMR160" s="72"/>
      <c r="IMS160" s="72"/>
      <c r="IMT160" s="72"/>
      <c r="IMU160" s="72"/>
      <c r="IMV160" s="72"/>
      <c r="IMW160" s="72"/>
      <c r="IMX160" s="72"/>
      <c r="IMY160" s="72"/>
      <c r="IMZ160" s="72"/>
      <c r="INA160" s="72"/>
      <c r="INB160" s="72"/>
      <c r="INC160" s="72"/>
      <c r="IND160" s="72"/>
      <c r="INE160" s="72"/>
      <c r="INF160" s="72"/>
      <c r="ING160" s="72"/>
      <c r="INH160" s="72"/>
      <c r="INI160" s="72"/>
      <c r="INJ160" s="72"/>
      <c r="INK160" s="72"/>
      <c r="INL160" s="72"/>
      <c r="INM160" s="72"/>
      <c r="INN160" s="72"/>
      <c r="INO160" s="72"/>
      <c r="INP160" s="72"/>
      <c r="INQ160" s="72"/>
      <c r="INR160" s="72"/>
      <c r="INS160" s="72"/>
      <c r="INT160" s="72"/>
      <c r="INU160" s="72"/>
      <c r="INV160" s="72"/>
      <c r="INW160" s="72"/>
      <c r="INX160" s="72"/>
      <c r="INY160" s="72"/>
      <c r="INZ160" s="72"/>
      <c r="IOA160" s="72"/>
      <c r="IOB160" s="72"/>
      <c r="IOC160" s="72"/>
      <c r="IOD160" s="72"/>
      <c r="IOE160" s="72"/>
      <c r="IOF160" s="72"/>
      <c r="IOG160" s="72"/>
      <c r="IOH160" s="72"/>
      <c r="IOI160" s="72"/>
      <c r="IOJ160" s="72"/>
      <c r="IOK160" s="72"/>
      <c r="IOL160" s="72"/>
      <c r="IOM160" s="72"/>
      <c r="ION160" s="72"/>
      <c r="IOO160" s="72"/>
      <c r="IOP160" s="72"/>
      <c r="IOQ160" s="72"/>
      <c r="IOR160" s="72"/>
      <c r="IOS160" s="72"/>
      <c r="IOT160" s="72"/>
      <c r="IOU160" s="72"/>
      <c r="IOV160" s="72"/>
      <c r="IOW160" s="72"/>
      <c r="IOX160" s="72"/>
      <c r="IOY160" s="72"/>
      <c r="IOZ160" s="72"/>
      <c r="IPA160" s="72"/>
      <c r="IPB160" s="72"/>
      <c r="IPC160" s="72"/>
      <c r="IPD160" s="72"/>
      <c r="IPE160" s="72"/>
      <c r="IPF160" s="72"/>
      <c r="IPG160" s="72"/>
      <c r="IPH160" s="72"/>
      <c r="IPI160" s="72"/>
      <c r="IPJ160" s="72"/>
      <c r="IPK160" s="72"/>
      <c r="IPL160" s="72"/>
      <c r="IPM160" s="72"/>
      <c r="IPN160" s="72"/>
      <c r="IPO160" s="72"/>
      <c r="IPP160" s="72"/>
      <c r="IPQ160" s="72"/>
      <c r="IPR160" s="72"/>
      <c r="IPS160" s="72"/>
      <c r="IPT160" s="72"/>
      <c r="IPU160" s="72"/>
      <c r="IPV160" s="72"/>
      <c r="IPW160" s="72"/>
      <c r="IPX160" s="72"/>
      <c r="IPY160" s="72"/>
      <c r="IPZ160" s="72"/>
      <c r="IQA160" s="72"/>
      <c r="IQB160" s="72"/>
      <c r="IQC160" s="72"/>
      <c r="IQD160" s="72"/>
      <c r="IQE160" s="72"/>
      <c r="IQF160" s="72"/>
      <c r="IQG160" s="72"/>
      <c r="IQH160" s="72"/>
      <c r="IQI160" s="72"/>
      <c r="IQJ160" s="72"/>
      <c r="IQK160" s="72"/>
      <c r="IQL160" s="72"/>
      <c r="IQM160" s="72"/>
      <c r="IQN160" s="72"/>
      <c r="IQO160" s="72"/>
      <c r="IQP160" s="72"/>
      <c r="IQQ160" s="72"/>
      <c r="IQR160" s="72"/>
      <c r="IQS160" s="72"/>
      <c r="IQT160" s="72"/>
      <c r="IQU160" s="72"/>
      <c r="IQV160" s="72"/>
      <c r="IQW160" s="72"/>
      <c r="IQX160" s="72"/>
      <c r="IQY160" s="72"/>
      <c r="IQZ160" s="72"/>
      <c r="IRA160" s="72"/>
      <c r="IRB160" s="72"/>
      <c r="IRC160" s="72"/>
      <c r="IRD160" s="72"/>
      <c r="IRE160" s="72"/>
      <c r="IRF160" s="72"/>
      <c r="IRG160" s="72"/>
      <c r="IRH160" s="72"/>
      <c r="IRI160" s="72"/>
      <c r="IRJ160" s="72"/>
      <c r="IRK160" s="72"/>
      <c r="IRL160" s="72"/>
      <c r="IRM160" s="72"/>
      <c r="IRN160" s="72"/>
      <c r="IRO160" s="72"/>
      <c r="IRP160" s="72"/>
      <c r="IRQ160" s="72"/>
      <c r="IRR160" s="72"/>
      <c r="IRS160" s="72"/>
      <c r="IRT160" s="72"/>
      <c r="IRU160" s="72"/>
      <c r="IRV160" s="72"/>
      <c r="IRW160" s="72"/>
      <c r="IRX160" s="72"/>
      <c r="IRY160" s="72"/>
      <c r="IRZ160" s="72"/>
      <c r="ISA160" s="72"/>
      <c r="ISB160" s="72"/>
      <c r="ISC160" s="72"/>
      <c r="ISD160" s="72"/>
      <c r="ISE160" s="72"/>
      <c r="ISF160" s="72"/>
      <c r="ISG160" s="72"/>
      <c r="ISH160" s="72"/>
      <c r="ISI160" s="72"/>
      <c r="ISJ160" s="72"/>
      <c r="ISK160" s="72"/>
      <c r="ISL160" s="72"/>
      <c r="ISM160" s="72"/>
      <c r="ISN160" s="72"/>
      <c r="ISO160" s="72"/>
      <c r="ISP160" s="72"/>
      <c r="ISQ160" s="72"/>
      <c r="ISR160" s="72"/>
      <c r="ISS160" s="72"/>
      <c r="IST160" s="72"/>
      <c r="ISU160" s="72"/>
      <c r="ISV160" s="72"/>
      <c r="ISW160" s="72"/>
      <c r="ISX160" s="72"/>
      <c r="ISY160" s="72"/>
      <c r="ISZ160" s="72"/>
      <c r="ITA160" s="72"/>
      <c r="ITB160" s="72"/>
      <c r="ITC160" s="72"/>
      <c r="ITD160" s="72"/>
      <c r="ITE160" s="72"/>
      <c r="ITF160" s="72"/>
      <c r="ITG160" s="72"/>
      <c r="ITH160" s="72"/>
      <c r="ITI160" s="72"/>
      <c r="ITJ160" s="72"/>
      <c r="ITK160" s="72"/>
      <c r="ITL160" s="72"/>
      <c r="ITM160" s="72"/>
      <c r="ITN160" s="72"/>
      <c r="ITO160" s="72"/>
      <c r="ITP160" s="72"/>
      <c r="ITQ160" s="72"/>
      <c r="ITR160" s="72"/>
      <c r="ITS160" s="72"/>
      <c r="ITT160" s="72"/>
      <c r="ITU160" s="72"/>
      <c r="ITV160" s="72"/>
      <c r="ITW160" s="72"/>
      <c r="ITX160" s="72"/>
      <c r="ITY160" s="72"/>
      <c r="ITZ160" s="72"/>
      <c r="IUA160" s="72"/>
      <c r="IUB160" s="72"/>
      <c r="IUC160" s="72"/>
      <c r="IUD160" s="72"/>
      <c r="IUE160" s="72"/>
      <c r="IUF160" s="72"/>
      <c r="IUG160" s="72"/>
      <c r="IUH160" s="72"/>
      <c r="IUI160" s="72"/>
      <c r="IUJ160" s="72"/>
      <c r="IUK160" s="72"/>
      <c r="IUL160" s="72"/>
      <c r="IUM160" s="72"/>
      <c r="IUN160" s="72"/>
      <c r="IUO160" s="72"/>
      <c r="IUP160" s="72"/>
      <c r="IUQ160" s="72"/>
      <c r="IUR160" s="72"/>
      <c r="IUS160" s="72"/>
      <c r="IUT160" s="72"/>
      <c r="IUU160" s="72"/>
      <c r="IUV160" s="72"/>
      <c r="IUW160" s="72"/>
      <c r="IUX160" s="72"/>
      <c r="IUY160" s="72"/>
      <c r="IUZ160" s="72"/>
      <c r="IVA160" s="72"/>
      <c r="IVB160" s="72"/>
      <c r="IVC160" s="72"/>
      <c r="IVD160" s="72"/>
      <c r="IVE160" s="72"/>
      <c r="IVF160" s="72"/>
      <c r="IVG160" s="72"/>
      <c r="IVH160" s="72"/>
      <c r="IVI160" s="72"/>
      <c r="IVJ160" s="72"/>
      <c r="IVK160" s="72"/>
      <c r="IVL160" s="72"/>
      <c r="IVM160" s="72"/>
      <c r="IVN160" s="72"/>
      <c r="IVO160" s="72"/>
      <c r="IVP160" s="72"/>
      <c r="IVQ160" s="72"/>
      <c r="IVR160" s="72"/>
      <c r="IVS160" s="72"/>
      <c r="IVT160" s="72"/>
      <c r="IVU160" s="72"/>
      <c r="IVV160" s="72"/>
      <c r="IVW160" s="72"/>
      <c r="IVX160" s="72"/>
      <c r="IVY160" s="72"/>
      <c r="IVZ160" s="72"/>
      <c r="IWA160" s="72"/>
      <c r="IWB160" s="72"/>
      <c r="IWC160" s="72"/>
      <c r="IWD160" s="72"/>
      <c r="IWE160" s="72"/>
      <c r="IWF160" s="72"/>
      <c r="IWG160" s="72"/>
      <c r="IWH160" s="72"/>
      <c r="IWI160" s="72"/>
      <c r="IWJ160" s="72"/>
      <c r="IWK160" s="72"/>
      <c r="IWL160" s="72"/>
      <c r="IWM160" s="72"/>
      <c r="IWN160" s="72"/>
      <c r="IWO160" s="72"/>
      <c r="IWP160" s="72"/>
      <c r="IWQ160" s="72"/>
      <c r="IWR160" s="72"/>
      <c r="IWS160" s="72"/>
      <c r="IWT160" s="72"/>
      <c r="IWU160" s="72"/>
      <c r="IWV160" s="72"/>
      <c r="IWW160" s="72"/>
      <c r="IWX160" s="72"/>
      <c r="IWY160" s="72"/>
      <c r="IWZ160" s="72"/>
      <c r="IXA160" s="72"/>
      <c r="IXB160" s="72"/>
      <c r="IXC160" s="72"/>
      <c r="IXD160" s="72"/>
      <c r="IXE160" s="72"/>
      <c r="IXF160" s="72"/>
      <c r="IXG160" s="72"/>
      <c r="IXH160" s="72"/>
      <c r="IXI160" s="72"/>
      <c r="IXJ160" s="72"/>
      <c r="IXK160" s="72"/>
      <c r="IXL160" s="72"/>
      <c r="IXM160" s="72"/>
      <c r="IXN160" s="72"/>
      <c r="IXO160" s="72"/>
      <c r="IXP160" s="72"/>
      <c r="IXQ160" s="72"/>
      <c r="IXR160" s="72"/>
      <c r="IXS160" s="72"/>
      <c r="IXT160" s="72"/>
      <c r="IXU160" s="72"/>
      <c r="IXV160" s="72"/>
      <c r="IXW160" s="72"/>
      <c r="IXX160" s="72"/>
      <c r="IXY160" s="72"/>
      <c r="IXZ160" s="72"/>
      <c r="IYA160" s="72"/>
      <c r="IYB160" s="72"/>
      <c r="IYC160" s="72"/>
      <c r="IYD160" s="72"/>
      <c r="IYE160" s="72"/>
      <c r="IYF160" s="72"/>
      <c r="IYG160" s="72"/>
      <c r="IYH160" s="72"/>
      <c r="IYI160" s="72"/>
      <c r="IYJ160" s="72"/>
      <c r="IYK160" s="72"/>
      <c r="IYL160" s="72"/>
      <c r="IYM160" s="72"/>
      <c r="IYN160" s="72"/>
      <c r="IYO160" s="72"/>
      <c r="IYP160" s="72"/>
      <c r="IYQ160" s="72"/>
      <c r="IYR160" s="72"/>
      <c r="IYS160" s="72"/>
      <c r="IYT160" s="72"/>
      <c r="IYU160" s="72"/>
      <c r="IYV160" s="72"/>
      <c r="IYW160" s="72"/>
      <c r="IYX160" s="72"/>
      <c r="IYY160" s="72"/>
      <c r="IYZ160" s="72"/>
      <c r="IZA160" s="72"/>
      <c r="IZB160" s="72"/>
      <c r="IZC160" s="72"/>
      <c r="IZD160" s="72"/>
      <c r="IZE160" s="72"/>
      <c r="IZF160" s="72"/>
      <c r="IZG160" s="72"/>
      <c r="IZH160" s="72"/>
      <c r="IZI160" s="72"/>
      <c r="IZJ160" s="72"/>
      <c r="IZK160" s="72"/>
      <c r="IZL160" s="72"/>
      <c r="IZM160" s="72"/>
      <c r="IZN160" s="72"/>
      <c r="IZO160" s="72"/>
      <c r="IZP160" s="72"/>
      <c r="IZQ160" s="72"/>
      <c r="IZR160" s="72"/>
      <c r="IZS160" s="72"/>
      <c r="IZT160" s="72"/>
      <c r="IZU160" s="72"/>
      <c r="IZV160" s="72"/>
      <c r="IZW160" s="72"/>
      <c r="IZX160" s="72"/>
      <c r="IZY160" s="72"/>
      <c r="IZZ160" s="72"/>
      <c r="JAA160" s="72"/>
      <c r="JAB160" s="72"/>
      <c r="JAC160" s="72"/>
      <c r="JAD160" s="72"/>
      <c r="JAE160" s="72"/>
      <c r="JAF160" s="72"/>
      <c r="JAG160" s="72"/>
      <c r="JAH160" s="72"/>
      <c r="JAI160" s="72"/>
      <c r="JAJ160" s="72"/>
      <c r="JAK160" s="72"/>
      <c r="JAL160" s="72"/>
      <c r="JAM160" s="72"/>
      <c r="JAN160" s="72"/>
      <c r="JAO160" s="72"/>
      <c r="JAP160" s="72"/>
      <c r="JAQ160" s="72"/>
      <c r="JAR160" s="72"/>
      <c r="JAS160" s="72"/>
      <c r="JAT160" s="72"/>
      <c r="JAU160" s="72"/>
      <c r="JAV160" s="72"/>
      <c r="JAW160" s="72"/>
      <c r="JAX160" s="72"/>
      <c r="JAY160" s="72"/>
      <c r="JAZ160" s="72"/>
      <c r="JBA160" s="72"/>
      <c r="JBB160" s="72"/>
      <c r="JBC160" s="72"/>
      <c r="JBD160" s="72"/>
      <c r="JBE160" s="72"/>
      <c r="JBF160" s="72"/>
      <c r="JBG160" s="72"/>
      <c r="JBH160" s="72"/>
      <c r="JBI160" s="72"/>
      <c r="JBJ160" s="72"/>
      <c r="JBK160" s="72"/>
      <c r="JBL160" s="72"/>
      <c r="JBM160" s="72"/>
      <c r="JBN160" s="72"/>
      <c r="JBO160" s="72"/>
      <c r="JBP160" s="72"/>
      <c r="JBQ160" s="72"/>
      <c r="JBR160" s="72"/>
      <c r="JBS160" s="72"/>
      <c r="JBT160" s="72"/>
      <c r="JBU160" s="72"/>
      <c r="JBV160" s="72"/>
      <c r="JBW160" s="72"/>
      <c r="JBX160" s="72"/>
      <c r="JBY160" s="72"/>
      <c r="JBZ160" s="72"/>
      <c r="JCA160" s="72"/>
      <c r="JCB160" s="72"/>
      <c r="JCC160" s="72"/>
      <c r="JCD160" s="72"/>
      <c r="JCE160" s="72"/>
      <c r="JCF160" s="72"/>
      <c r="JCG160" s="72"/>
      <c r="JCH160" s="72"/>
      <c r="JCI160" s="72"/>
      <c r="JCJ160" s="72"/>
      <c r="JCK160" s="72"/>
      <c r="JCL160" s="72"/>
      <c r="JCM160" s="72"/>
      <c r="JCN160" s="72"/>
      <c r="JCO160" s="72"/>
      <c r="JCP160" s="72"/>
      <c r="JCQ160" s="72"/>
      <c r="JCR160" s="72"/>
      <c r="JCS160" s="72"/>
      <c r="JCT160" s="72"/>
      <c r="JCU160" s="72"/>
      <c r="JCV160" s="72"/>
      <c r="JCW160" s="72"/>
      <c r="JCX160" s="72"/>
      <c r="JCY160" s="72"/>
      <c r="JCZ160" s="72"/>
      <c r="JDA160" s="72"/>
      <c r="JDB160" s="72"/>
      <c r="JDC160" s="72"/>
      <c r="JDD160" s="72"/>
      <c r="JDE160" s="72"/>
      <c r="JDF160" s="72"/>
      <c r="JDG160" s="72"/>
      <c r="JDH160" s="72"/>
      <c r="JDI160" s="72"/>
      <c r="JDJ160" s="72"/>
      <c r="JDK160" s="72"/>
      <c r="JDL160" s="72"/>
      <c r="JDM160" s="72"/>
      <c r="JDN160" s="72"/>
      <c r="JDO160" s="72"/>
      <c r="JDP160" s="72"/>
      <c r="JDQ160" s="72"/>
      <c r="JDR160" s="72"/>
      <c r="JDS160" s="72"/>
      <c r="JDT160" s="72"/>
      <c r="JDU160" s="72"/>
      <c r="JDV160" s="72"/>
      <c r="JDW160" s="72"/>
      <c r="JDX160" s="72"/>
      <c r="JDY160" s="72"/>
      <c r="JDZ160" s="72"/>
      <c r="JEA160" s="72"/>
      <c r="JEB160" s="72"/>
      <c r="JEC160" s="72"/>
      <c r="JED160" s="72"/>
      <c r="JEE160" s="72"/>
      <c r="JEF160" s="72"/>
      <c r="JEG160" s="72"/>
      <c r="JEH160" s="72"/>
      <c r="JEI160" s="72"/>
      <c r="JEJ160" s="72"/>
      <c r="JEK160" s="72"/>
      <c r="JEL160" s="72"/>
      <c r="JEM160" s="72"/>
      <c r="JEN160" s="72"/>
      <c r="JEO160" s="72"/>
      <c r="JEP160" s="72"/>
      <c r="JEQ160" s="72"/>
      <c r="JER160" s="72"/>
      <c r="JES160" s="72"/>
      <c r="JET160" s="72"/>
      <c r="JEU160" s="72"/>
      <c r="JEV160" s="72"/>
      <c r="JEW160" s="72"/>
      <c r="JEX160" s="72"/>
      <c r="JEY160" s="72"/>
      <c r="JEZ160" s="72"/>
      <c r="JFA160" s="72"/>
      <c r="JFB160" s="72"/>
      <c r="JFC160" s="72"/>
      <c r="JFD160" s="72"/>
      <c r="JFE160" s="72"/>
      <c r="JFF160" s="72"/>
      <c r="JFG160" s="72"/>
      <c r="JFH160" s="72"/>
      <c r="JFI160" s="72"/>
      <c r="JFJ160" s="72"/>
      <c r="JFK160" s="72"/>
      <c r="JFL160" s="72"/>
      <c r="JFM160" s="72"/>
      <c r="JFN160" s="72"/>
      <c r="JFO160" s="72"/>
      <c r="JFP160" s="72"/>
      <c r="JFQ160" s="72"/>
      <c r="JFR160" s="72"/>
      <c r="JFS160" s="72"/>
      <c r="JFT160" s="72"/>
      <c r="JFU160" s="72"/>
      <c r="JFV160" s="72"/>
      <c r="JFW160" s="72"/>
      <c r="JFX160" s="72"/>
      <c r="JFY160" s="72"/>
      <c r="JFZ160" s="72"/>
      <c r="JGA160" s="72"/>
      <c r="JGB160" s="72"/>
      <c r="JGC160" s="72"/>
      <c r="JGD160" s="72"/>
      <c r="JGE160" s="72"/>
      <c r="JGF160" s="72"/>
      <c r="JGG160" s="72"/>
      <c r="JGH160" s="72"/>
      <c r="JGI160" s="72"/>
      <c r="JGJ160" s="72"/>
      <c r="JGK160" s="72"/>
      <c r="JGL160" s="72"/>
      <c r="JGM160" s="72"/>
      <c r="JGN160" s="72"/>
      <c r="JGO160" s="72"/>
      <c r="JGP160" s="72"/>
      <c r="JGQ160" s="72"/>
      <c r="JGR160" s="72"/>
      <c r="JGS160" s="72"/>
      <c r="JGT160" s="72"/>
      <c r="JGU160" s="72"/>
      <c r="JGV160" s="72"/>
      <c r="JGW160" s="72"/>
      <c r="JGX160" s="72"/>
      <c r="JGY160" s="72"/>
      <c r="JGZ160" s="72"/>
      <c r="JHA160" s="72"/>
      <c r="JHB160" s="72"/>
      <c r="JHC160" s="72"/>
      <c r="JHD160" s="72"/>
      <c r="JHE160" s="72"/>
      <c r="JHF160" s="72"/>
      <c r="JHG160" s="72"/>
      <c r="JHH160" s="72"/>
      <c r="JHI160" s="72"/>
      <c r="JHJ160" s="72"/>
      <c r="JHK160" s="72"/>
      <c r="JHL160" s="72"/>
      <c r="JHM160" s="72"/>
      <c r="JHN160" s="72"/>
      <c r="JHO160" s="72"/>
      <c r="JHP160" s="72"/>
      <c r="JHQ160" s="72"/>
      <c r="JHR160" s="72"/>
      <c r="JHS160" s="72"/>
      <c r="JHT160" s="72"/>
      <c r="JHU160" s="72"/>
      <c r="JHV160" s="72"/>
      <c r="JHW160" s="72"/>
      <c r="JHX160" s="72"/>
      <c r="JHY160" s="72"/>
      <c r="JHZ160" s="72"/>
      <c r="JIA160" s="72"/>
      <c r="JIB160" s="72"/>
      <c r="JIC160" s="72"/>
      <c r="JID160" s="72"/>
      <c r="JIE160" s="72"/>
      <c r="JIF160" s="72"/>
      <c r="JIG160" s="72"/>
      <c r="JIH160" s="72"/>
      <c r="JII160" s="72"/>
      <c r="JIJ160" s="72"/>
      <c r="JIK160" s="72"/>
      <c r="JIL160" s="72"/>
      <c r="JIM160" s="72"/>
      <c r="JIN160" s="72"/>
      <c r="JIO160" s="72"/>
      <c r="JIP160" s="72"/>
      <c r="JIQ160" s="72"/>
      <c r="JIR160" s="72"/>
      <c r="JIS160" s="72"/>
      <c r="JIT160" s="72"/>
      <c r="JIU160" s="72"/>
      <c r="JIV160" s="72"/>
      <c r="JIW160" s="72"/>
      <c r="JIX160" s="72"/>
      <c r="JIY160" s="72"/>
      <c r="JIZ160" s="72"/>
      <c r="JJA160" s="72"/>
      <c r="JJB160" s="72"/>
      <c r="JJC160" s="72"/>
      <c r="JJD160" s="72"/>
      <c r="JJE160" s="72"/>
      <c r="JJF160" s="72"/>
      <c r="JJG160" s="72"/>
      <c r="JJH160" s="72"/>
      <c r="JJI160" s="72"/>
      <c r="JJJ160" s="72"/>
      <c r="JJK160" s="72"/>
      <c r="JJL160" s="72"/>
      <c r="JJM160" s="72"/>
      <c r="JJN160" s="72"/>
      <c r="JJO160" s="72"/>
      <c r="JJP160" s="72"/>
      <c r="JJQ160" s="72"/>
      <c r="JJR160" s="72"/>
      <c r="JJS160" s="72"/>
      <c r="JJT160" s="72"/>
      <c r="JJU160" s="72"/>
      <c r="JJV160" s="72"/>
      <c r="JJW160" s="72"/>
      <c r="JJX160" s="72"/>
      <c r="JJY160" s="72"/>
      <c r="JJZ160" s="72"/>
      <c r="JKA160" s="72"/>
      <c r="JKB160" s="72"/>
      <c r="JKC160" s="72"/>
      <c r="JKD160" s="72"/>
      <c r="JKE160" s="72"/>
      <c r="JKF160" s="72"/>
      <c r="JKG160" s="72"/>
      <c r="JKH160" s="72"/>
      <c r="JKI160" s="72"/>
      <c r="JKJ160" s="72"/>
      <c r="JKK160" s="72"/>
      <c r="JKL160" s="72"/>
      <c r="JKM160" s="72"/>
      <c r="JKN160" s="72"/>
      <c r="JKO160" s="72"/>
      <c r="JKP160" s="72"/>
      <c r="JKQ160" s="72"/>
      <c r="JKR160" s="72"/>
      <c r="JKS160" s="72"/>
      <c r="JKT160" s="72"/>
      <c r="JKU160" s="72"/>
      <c r="JKV160" s="72"/>
      <c r="JKW160" s="72"/>
      <c r="JKX160" s="72"/>
      <c r="JKY160" s="72"/>
      <c r="JKZ160" s="72"/>
      <c r="JLA160" s="72"/>
      <c r="JLB160" s="72"/>
      <c r="JLC160" s="72"/>
      <c r="JLD160" s="72"/>
      <c r="JLE160" s="72"/>
      <c r="JLF160" s="72"/>
      <c r="JLG160" s="72"/>
      <c r="JLH160" s="72"/>
      <c r="JLI160" s="72"/>
      <c r="JLJ160" s="72"/>
      <c r="JLK160" s="72"/>
      <c r="JLL160" s="72"/>
      <c r="JLM160" s="72"/>
      <c r="JLN160" s="72"/>
      <c r="JLO160" s="72"/>
      <c r="JLP160" s="72"/>
      <c r="JLQ160" s="72"/>
      <c r="JLR160" s="72"/>
      <c r="JLS160" s="72"/>
      <c r="JLT160" s="72"/>
      <c r="JLU160" s="72"/>
      <c r="JLV160" s="72"/>
      <c r="JLW160" s="72"/>
      <c r="JLX160" s="72"/>
      <c r="JLY160" s="72"/>
      <c r="JLZ160" s="72"/>
      <c r="JMA160" s="72"/>
      <c r="JMB160" s="72"/>
      <c r="JMC160" s="72"/>
      <c r="JMD160" s="72"/>
      <c r="JME160" s="72"/>
      <c r="JMF160" s="72"/>
      <c r="JMG160" s="72"/>
      <c r="JMH160" s="72"/>
      <c r="JMI160" s="72"/>
      <c r="JMJ160" s="72"/>
      <c r="JMK160" s="72"/>
      <c r="JML160" s="72"/>
      <c r="JMM160" s="72"/>
      <c r="JMN160" s="72"/>
      <c r="JMO160" s="72"/>
      <c r="JMP160" s="72"/>
      <c r="JMQ160" s="72"/>
      <c r="JMR160" s="72"/>
      <c r="JMS160" s="72"/>
      <c r="JMT160" s="72"/>
      <c r="JMU160" s="72"/>
      <c r="JMV160" s="72"/>
      <c r="JMW160" s="72"/>
      <c r="JMX160" s="72"/>
      <c r="JMY160" s="72"/>
      <c r="JMZ160" s="72"/>
      <c r="JNA160" s="72"/>
      <c r="JNB160" s="72"/>
      <c r="JNC160" s="72"/>
      <c r="JND160" s="72"/>
      <c r="JNE160" s="72"/>
      <c r="JNF160" s="72"/>
      <c r="JNG160" s="72"/>
      <c r="JNH160" s="72"/>
      <c r="JNI160" s="72"/>
      <c r="JNJ160" s="72"/>
      <c r="JNK160" s="72"/>
      <c r="JNL160" s="72"/>
      <c r="JNM160" s="72"/>
      <c r="JNN160" s="72"/>
      <c r="JNO160" s="72"/>
      <c r="JNP160" s="72"/>
      <c r="JNQ160" s="72"/>
      <c r="JNR160" s="72"/>
      <c r="JNS160" s="72"/>
      <c r="JNT160" s="72"/>
      <c r="JNU160" s="72"/>
      <c r="JNV160" s="72"/>
      <c r="JNW160" s="72"/>
      <c r="JNX160" s="72"/>
      <c r="JNY160" s="72"/>
      <c r="JNZ160" s="72"/>
      <c r="JOA160" s="72"/>
      <c r="JOB160" s="72"/>
      <c r="JOC160" s="72"/>
      <c r="JOD160" s="72"/>
      <c r="JOE160" s="72"/>
      <c r="JOF160" s="72"/>
      <c r="JOG160" s="72"/>
      <c r="JOH160" s="72"/>
      <c r="JOI160" s="72"/>
      <c r="JOJ160" s="72"/>
      <c r="JOK160" s="72"/>
      <c r="JOL160" s="72"/>
      <c r="JOM160" s="72"/>
      <c r="JON160" s="72"/>
      <c r="JOO160" s="72"/>
      <c r="JOP160" s="72"/>
      <c r="JOQ160" s="72"/>
      <c r="JOR160" s="72"/>
      <c r="JOS160" s="72"/>
      <c r="JOT160" s="72"/>
      <c r="JOU160" s="72"/>
      <c r="JOV160" s="72"/>
      <c r="JOW160" s="72"/>
      <c r="JOX160" s="72"/>
      <c r="JOY160" s="72"/>
      <c r="JOZ160" s="72"/>
      <c r="JPA160" s="72"/>
      <c r="JPB160" s="72"/>
      <c r="JPC160" s="72"/>
      <c r="JPD160" s="72"/>
      <c r="JPE160" s="72"/>
      <c r="JPF160" s="72"/>
      <c r="JPG160" s="72"/>
      <c r="JPH160" s="72"/>
      <c r="JPI160" s="72"/>
      <c r="JPJ160" s="72"/>
      <c r="JPK160" s="72"/>
      <c r="JPL160" s="72"/>
      <c r="JPM160" s="72"/>
      <c r="JPN160" s="72"/>
      <c r="JPO160" s="72"/>
      <c r="JPP160" s="72"/>
      <c r="JPQ160" s="72"/>
      <c r="JPR160" s="72"/>
      <c r="JPS160" s="72"/>
      <c r="JPT160" s="72"/>
      <c r="JPU160" s="72"/>
      <c r="JPV160" s="72"/>
      <c r="JPW160" s="72"/>
      <c r="JPX160" s="72"/>
      <c r="JPY160" s="72"/>
      <c r="JPZ160" s="72"/>
      <c r="JQA160" s="72"/>
      <c r="JQB160" s="72"/>
      <c r="JQC160" s="72"/>
      <c r="JQD160" s="72"/>
      <c r="JQE160" s="72"/>
      <c r="JQF160" s="72"/>
      <c r="JQG160" s="72"/>
      <c r="JQH160" s="72"/>
      <c r="JQI160" s="72"/>
      <c r="JQJ160" s="72"/>
      <c r="JQK160" s="72"/>
      <c r="JQL160" s="72"/>
      <c r="JQM160" s="72"/>
      <c r="JQN160" s="72"/>
      <c r="JQO160" s="72"/>
      <c r="JQP160" s="72"/>
      <c r="JQQ160" s="72"/>
      <c r="JQR160" s="72"/>
      <c r="JQS160" s="72"/>
      <c r="JQT160" s="72"/>
      <c r="JQU160" s="72"/>
      <c r="JQV160" s="72"/>
      <c r="JQW160" s="72"/>
      <c r="JQX160" s="72"/>
      <c r="JQY160" s="72"/>
      <c r="JQZ160" s="72"/>
      <c r="JRA160" s="72"/>
      <c r="JRB160" s="72"/>
      <c r="JRC160" s="72"/>
      <c r="JRD160" s="72"/>
      <c r="JRE160" s="72"/>
      <c r="JRF160" s="72"/>
      <c r="JRG160" s="72"/>
      <c r="JRH160" s="72"/>
      <c r="JRI160" s="72"/>
      <c r="JRJ160" s="72"/>
      <c r="JRK160" s="72"/>
      <c r="JRL160" s="72"/>
      <c r="JRM160" s="72"/>
      <c r="JRN160" s="72"/>
      <c r="JRO160" s="72"/>
      <c r="JRP160" s="72"/>
      <c r="JRQ160" s="72"/>
      <c r="JRR160" s="72"/>
      <c r="JRS160" s="72"/>
      <c r="JRT160" s="72"/>
      <c r="JRU160" s="72"/>
      <c r="JRV160" s="72"/>
      <c r="JRW160" s="72"/>
      <c r="JRX160" s="72"/>
      <c r="JRY160" s="72"/>
      <c r="JRZ160" s="72"/>
      <c r="JSA160" s="72"/>
      <c r="JSB160" s="72"/>
      <c r="JSC160" s="72"/>
      <c r="JSD160" s="72"/>
      <c r="JSE160" s="72"/>
      <c r="JSF160" s="72"/>
      <c r="JSG160" s="72"/>
      <c r="JSH160" s="72"/>
      <c r="JSI160" s="72"/>
      <c r="JSJ160" s="72"/>
      <c r="JSK160" s="72"/>
      <c r="JSL160" s="72"/>
      <c r="JSM160" s="72"/>
      <c r="JSN160" s="72"/>
      <c r="JSO160" s="72"/>
      <c r="JSP160" s="72"/>
      <c r="JSQ160" s="72"/>
      <c r="JSR160" s="72"/>
      <c r="JSS160" s="72"/>
      <c r="JST160" s="72"/>
      <c r="JSU160" s="72"/>
      <c r="JSV160" s="72"/>
      <c r="JSW160" s="72"/>
      <c r="JSX160" s="72"/>
      <c r="JSY160" s="72"/>
      <c r="JSZ160" s="72"/>
      <c r="JTA160" s="72"/>
      <c r="JTB160" s="72"/>
      <c r="JTC160" s="72"/>
      <c r="JTD160" s="72"/>
      <c r="JTE160" s="72"/>
      <c r="JTF160" s="72"/>
      <c r="JTG160" s="72"/>
      <c r="JTH160" s="72"/>
      <c r="JTI160" s="72"/>
      <c r="JTJ160" s="72"/>
      <c r="JTK160" s="72"/>
      <c r="JTL160" s="72"/>
      <c r="JTM160" s="72"/>
      <c r="JTN160" s="72"/>
      <c r="JTO160" s="72"/>
      <c r="JTP160" s="72"/>
      <c r="JTQ160" s="72"/>
      <c r="JTR160" s="72"/>
      <c r="JTS160" s="72"/>
      <c r="JTT160" s="72"/>
      <c r="JTU160" s="72"/>
      <c r="JTV160" s="72"/>
      <c r="JTW160" s="72"/>
      <c r="JTX160" s="72"/>
      <c r="JTY160" s="72"/>
      <c r="JTZ160" s="72"/>
      <c r="JUA160" s="72"/>
      <c r="JUB160" s="72"/>
      <c r="JUC160" s="72"/>
      <c r="JUD160" s="72"/>
      <c r="JUE160" s="72"/>
      <c r="JUF160" s="72"/>
      <c r="JUG160" s="72"/>
      <c r="JUH160" s="72"/>
      <c r="JUI160" s="72"/>
      <c r="JUJ160" s="72"/>
      <c r="JUK160" s="72"/>
      <c r="JUL160" s="72"/>
      <c r="JUM160" s="72"/>
      <c r="JUN160" s="72"/>
      <c r="JUO160" s="72"/>
      <c r="JUP160" s="72"/>
      <c r="JUQ160" s="72"/>
      <c r="JUR160" s="72"/>
      <c r="JUS160" s="72"/>
      <c r="JUT160" s="72"/>
      <c r="JUU160" s="72"/>
      <c r="JUV160" s="72"/>
      <c r="JUW160" s="72"/>
      <c r="JUX160" s="72"/>
      <c r="JUY160" s="72"/>
      <c r="JUZ160" s="72"/>
      <c r="JVA160" s="72"/>
      <c r="JVB160" s="72"/>
      <c r="JVC160" s="72"/>
      <c r="JVD160" s="72"/>
      <c r="JVE160" s="72"/>
      <c r="JVF160" s="72"/>
      <c r="JVG160" s="72"/>
      <c r="JVH160" s="72"/>
      <c r="JVI160" s="72"/>
      <c r="JVJ160" s="72"/>
      <c r="JVK160" s="72"/>
      <c r="JVL160" s="72"/>
      <c r="JVM160" s="72"/>
      <c r="JVN160" s="72"/>
      <c r="JVO160" s="72"/>
      <c r="JVP160" s="72"/>
      <c r="JVQ160" s="72"/>
      <c r="JVR160" s="72"/>
      <c r="JVS160" s="72"/>
      <c r="JVT160" s="72"/>
      <c r="JVU160" s="72"/>
      <c r="JVV160" s="72"/>
      <c r="JVW160" s="72"/>
      <c r="JVX160" s="72"/>
      <c r="JVY160" s="72"/>
      <c r="JVZ160" s="72"/>
      <c r="JWA160" s="72"/>
      <c r="JWB160" s="72"/>
      <c r="JWC160" s="72"/>
      <c r="JWD160" s="72"/>
      <c r="JWE160" s="72"/>
      <c r="JWF160" s="72"/>
      <c r="JWG160" s="72"/>
      <c r="JWH160" s="72"/>
      <c r="JWI160" s="72"/>
      <c r="JWJ160" s="72"/>
      <c r="JWK160" s="72"/>
      <c r="JWL160" s="72"/>
      <c r="JWM160" s="72"/>
      <c r="JWN160" s="72"/>
      <c r="JWO160" s="72"/>
      <c r="JWP160" s="72"/>
      <c r="JWQ160" s="72"/>
      <c r="JWR160" s="72"/>
      <c r="JWS160" s="72"/>
      <c r="JWT160" s="72"/>
      <c r="JWU160" s="72"/>
      <c r="JWV160" s="72"/>
      <c r="JWW160" s="72"/>
      <c r="JWX160" s="72"/>
      <c r="JWY160" s="72"/>
      <c r="JWZ160" s="72"/>
      <c r="JXA160" s="72"/>
      <c r="JXB160" s="72"/>
      <c r="JXC160" s="72"/>
      <c r="JXD160" s="72"/>
      <c r="JXE160" s="72"/>
      <c r="JXF160" s="72"/>
      <c r="JXG160" s="72"/>
      <c r="JXH160" s="72"/>
      <c r="JXI160" s="72"/>
      <c r="JXJ160" s="72"/>
      <c r="JXK160" s="72"/>
      <c r="JXL160" s="72"/>
      <c r="JXM160" s="72"/>
      <c r="JXN160" s="72"/>
      <c r="JXO160" s="72"/>
      <c r="JXP160" s="72"/>
      <c r="JXQ160" s="72"/>
      <c r="JXR160" s="72"/>
      <c r="JXS160" s="72"/>
      <c r="JXT160" s="72"/>
      <c r="JXU160" s="72"/>
      <c r="JXV160" s="72"/>
      <c r="JXW160" s="72"/>
      <c r="JXX160" s="72"/>
      <c r="JXY160" s="72"/>
      <c r="JXZ160" s="72"/>
      <c r="JYA160" s="72"/>
      <c r="JYB160" s="72"/>
      <c r="JYC160" s="72"/>
      <c r="JYD160" s="72"/>
      <c r="JYE160" s="72"/>
      <c r="JYF160" s="72"/>
      <c r="JYG160" s="72"/>
      <c r="JYH160" s="72"/>
      <c r="JYI160" s="72"/>
      <c r="JYJ160" s="72"/>
      <c r="JYK160" s="72"/>
      <c r="JYL160" s="72"/>
      <c r="JYM160" s="72"/>
      <c r="JYN160" s="72"/>
      <c r="JYO160" s="72"/>
      <c r="JYP160" s="72"/>
      <c r="JYQ160" s="72"/>
      <c r="JYR160" s="72"/>
      <c r="JYS160" s="72"/>
      <c r="JYT160" s="72"/>
      <c r="JYU160" s="72"/>
      <c r="JYV160" s="72"/>
      <c r="JYW160" s="72"/>
      <c r="JYX160" s="72"/>
      <c r="JYY160" s="72"/>
      <c r="JYZ160" s="72"/>
      <c r="JZA160" s="72"/>
      <c r="JZB160" s="72"/>
      <c r="JZC160" s="72"/>
      <c r="JZD160" s="72"/>
      <c r="JZE160" s="72"/>
      <c r="JZF160" s="72"/>
      <c r="JZG160" s="72"/>
      <c r="JZH160" s="72"/>
      <c r="JZI160" s="72"/>
      <c r="JZJ160" s="72"/>
      <c r="JZK160" s="72"/>
      <c r="JZL160" s="72"/>
      <c r="JZM160" s="72"/>
      <c r="JZN160" s="72"/>
      <c r="JZO160" s="72"/>
      <c r="JZP160" s="72"/>
      <c r="JZQ160" s="72"/>
      <c r="JZR160" s="72"/>
      <c r="JZS160" s="72"/>
      <c r="JZT160" s="72"/>
      <c r="JZU160" s="72"/>
      <c r="JZV160" s="72"/>
      <c r="JZW160" s="72"/>
      <c r="JZX160" s="72"/>
      <c r="JZY160" s="72"/>
      <c r="JZZ160" s="72"/>
      <c r="KAA160" s="72"/>
      <c r="KAB160" s="72"/>
      <c r="KAC160" s="72"/>
      <c r="KAD160" s="72"/>
      <c r="KAE160" s="72"/>
      <c r="KAF160" s="72"/>
      <c r="KAG160" s="72"/>
      <c r="KAH160" s="72"/>
      <c r="KAI160" s="72"/>
      <c r="KAJ160" s="72"/>
      <c r="KAK160" s="72"/>
      <c r="KAL160" s="72"/>
      <c r="KAM160" s="72"/>
      <c r="KAN160" s="72"/>
      <c r="KAO160" s="72"/>
      <c r="KAP160" s="72"/>
      <c r="KAQ160" s="72"/>
      <c r="KAR160" s="72"/>
      <c r="KAS160" s="72"/>
      <c r="KAT160" s="72"/>
      <c r="KAU160" s="72"/>
      <c r="KAV160" s="72"/>
      <c r="KAW160" s="72"/>
      <c r="KAX160" s="72"/>
      <c r="KAY160" s="72"/>
      <c r="KAZ160" s="72"/>
      <c r="KBA160" s="72"/>
      <c r="KBB160" s="72"/>
      <c r="KBC160" s="72"/>
      <c r="KBD160" s="72"/>
      <c r="KBE160" s="72"/>
      <c r="KBF160" s="72"/>
      <c r="KBG160" s="72"/>
      <c r="KBH160" s="72"/>
      <c r="KBI160" s="72"/>
      <c r="KBJ160" s="72"/>
      <c r="KBK160" s="72"/>
      <c r="KBL160" s="72"/>
      <c r="KBM160" s="72"/>
      <c r="KBN160" s="72"/>
      <c r="KBO160" s="72"/>
      <c r="KBP160" s="72"/>
      <c r="KBQ160" s="72"/>
      <c r="KBR160" s="72"/>
      <c r="KBS160" s="72"/>
      <c r="KBT160" s="72"/>
      <c r="KBU160" s="72"/>
      <c r="KBV160" s="72"/>
      <c r="KBW160" s="72"/>
      <c r="KBX160" s="72"/>
      <c r="KBY160" s="72"/>
      <c r="KBZ160" s="72"/>
      <c r="KCA160" s="72"/>
      <c r="KCB160" s="72"/>
      <c r="KCC160" s="72"/>
      <c r="KCD160" s="72"/>
      <c r="KCE160" s="72"/>
      <c r="KCF160" s="72"/>
      <c r="KCG160" s="72"/>
      <c r="KCH160" s="72"/>
      <c r="KCI160" s="72"/>
      <c r="KCJ160" s="72"/>
      <c r="KCK160" s="72"/>
      <c r="KCL160" s="72"/>
      <c r="KCM160" s="72"/>
      <c r="KCN160" s="72"/>
      <c r="KCO160" s="72"/>
      <c r="KCP160" s="72"/>
      <c r="KCQ160" s="72"/>
      <c r="KCR160" s="72"/>
      <c r="KCS160" s="72"/>
      <c r="KCT160" s="72"/>
      <c r="KCU160" s="72"/>
      <c r="KCV160" s="72"/>
      <c r="KCW160" s="72"/>
      <c r="KCX160" s="72"/>
      <c r="KCY160" s="72"/>
      <c r="KCZ160" s="72"/>
      <c r="KDA160" s="72"/>
      <c r="KDB160" s="72"/>
      <c r="KDC160" s="72"/>
      <c r="KDD160" s="72"/>
      <c r="KDE160" s="72"/>
      <c r="KDF160" s="72"/>
      <c r="KDG160" s="72"/>
      <c r="KDH160" s="72"/>
      <c r="KDI160" s="72"/>
      <c r="KDJ160" s="72"/>
      <c r="KDK160" s="72"/>
      <c r="KDL160" s="72"/>
      <c r="KDM160" s="72"/>
      <c r="KDN160" s="72"/>
      <c r="KDO160" s="72"/>
      <c r="KDP160" s="72"/>
      <c r="KDQ160" s="72"/>
      <c r="KDR160" s="72"/>
      <c r="KDS160" s="72"/>
      <c r="KDT160" s="72"/>
      <c r="KDU160" s="72"/>
      <c r="KDV160" s="72"/>
      <c r="KDW160" s="72"/>
      <c r="KDX160" s="72"/>
      <c r="KDY160" s="72"/>
      <c r="KDZ160" s="72"/>
      <c r="KEA160" s="72"/>
      <c r="KEB160" s="72"/>
      <c r="KEC160" s="72"/>
      <c r="KED160" s="72"/>
      <c r="KEE160" s="72"/>
      <c r="KEF160" s="72"/>
      <c r="KEG160" s="72"/>
      <c r="KEH160" s="72"/>
      <c r="KEI160" s="72"/>
      <c r="KEJ160" s="72"/>
      <c r="KEK160" s="72"/>
      <c r="KEL160" s="72"/>
      <c r="KEM160" s="72"/>
      <c r="KEN160" s="72"/>
      <c r="KEO160" s="72"/>
      <c r="KEP160" s="72"/>
      <c r="KEQ160" s="72"/>
      <c r="KER160" s="72"/>
      <c r="KES160" s="72"/>
      <c r="KET160" s="72"/>
      <c r="KEU160" s="72"/>
      <c r="KEV160" s="72"/>
      <c r="KEW160" s="72"/>
      <c r="KEX160" s="72"/>
      <c r="KEY160" s="72"/>
      <c r="KEZ160" s="72"/>
      <c r="KFA160" s="72"/>
      <c r="KFB160" s="72"/>
      <c r="KFC160" s="72"/>
      <c r="KFD160" s="72"/>
      <c r="KFE160" s="72"/>
      <c r="KFF160" s="72"/>
      <c r="KFG160" s="72"/>
      <c r="KFH160" s="72"/>
      <c r="KFI160" s="72"/>
      <c r="KFJ160" s="72"/>
      <c r="KFK160" s="72"/>
      <c r="KFL160" s="72"/>
      <c r="KFM160" s="72"/>
      <c r="KFN160" s="72"/>
      <c r="KFO160" s="72"/>
      <c r="KFP160" s="72"/>
      <c r="KFQ160" s="72"/>
      <c r="KFR160" s="72"/>
      <c r="KFS160" s="72"/>
      <c r="KFT160" s="72"/>
      <c r="KFU160" s="72"/>
      <c r="KFV160" s="72"/>
      <c r="KFW160" s="72"/>
      <c r="KFX160" s="72"/>
      <c r="KFY160" s="72"/>
      <c r="KFZ160" s="72"/>
      <c r="KGA160" s="72"/>
      <c r="KGB160" s="72"/>
      <c r="KGC160" s="72"/>
      <c r="KGD160" s="72"/>
      <c r="KGE160" s="72"/>
      <c r="KGF160" s="72"/>
      <c r="KGG160" s="72"/>
      <c r="KGH160" s="72"/>
      <c r="KGI160" s="72"/>
      <c r="KGJ160" s="72"/>
      <c r="KGK160" s="72"/>
      <c r="KGL160" s="72"/>
      <c r="KGM160" s="72"/>
      <c r="KGN160" s="72"/>
      <c r="KGO160" s="72"/>
      <c r="KGP160" s="72"/>
      <c r="KGQ160" s="72"/>
      <c r="KGR160" s="72"/>
      <c r="KGS160" s="72"/>
      <c r="KGT160" s="72"/>
      <c r="KGU160" s="72"/>
      <c r="KGV160" s="72"/>
      <c r="KGW160" s="72"/>
      <c r="KGX160" s="72"/>
      <c r="KGY160" s="72"/>
      <c r="KGZ160" s="72"/>
      <c r="KHA160" s="72"/>
      <c r="KHB160" s="72"/>
      <c r="KHC160" s="72"/>
      <c r="KHD160" s="72"/>
      <c r="KHE160" s="72"/>
      <c r="KHF160" s="72"/>
      <c r="KHG160" s="72"/>
      <c r="KHH160" s="72"/>
      <c r="KHI160" s="72"/>
      <c r="KHJ160" s="72"/>
      <c r="KHK160" s="72"/>
      <c r="KHL160" s="72"/>
      <c r="KHM160" s="72"/>
      <c r="KHN160" s="72"/>
      <c r="KHO160" s="72"/>
      <c r="KHP160" s="72"/>
      <c r="KHQ160" s="72"/>
      <c r="KHR160" s="72"/>
      <c r="KHS160" s="72"/>
      <c r="KHT160" s="72"/>
      <c r="KHU160" s="72"/>
      <c r="KHV160" s="72"/>
      <c r="KHW160" s="72"/>
      <c r="KHX160" s="72"/>
      <c r="KHY160" s="72"/>
      <c r="KHZ160" s="72"/>
      <c r="KIA160" s="72"/>
      <c r="KIB160" s="72"/>
      <c r="KIC160" s="72"/>
      <c r="KID160" s="72"/>
      <c r="KIE160" s="72"/>
      <c r="KIF160" s="72"/>
      <c r="KIG160" s="72"/>
      <c r="KIH160" s="72"/>
      <c r="KII160" s="72"/>
      <c r="KIJ160" s="72"/>
      <c r="KIK160" s="72"/>
      <c r="KIL160" s="72"/>
      <c r="KIM160" s="72"/>
      <c r="KIN160" s="72"/>
      <c r="KIO160" s="72"/>
      <c r="KIP160" s="72"/>
      <c r="KIQ160" s="72"/>
      <c r="KIR160" s="72"/>
      <c r="KIS160" s="72"/>
      <c r="KIT160" s="72"/>
      <c r="KIU160" s="72"/>
      <c r="KIV160" s="72"/>
      <c r="KIW160" s="72"/>
      <c r="KIX160" s="72"/>
      <c r="KIY160" s="72"/>
      <c r="KIZ160" s="72"/>
      <c r="KJA160" s="72"/>
      <c r="KJB160" s="72"/>
      <c r="KJC160" s="72"/>
      <c r="KJD160" s="72"/>
      <c r="KJE160" s="72"/>
      <c r="KJF160" s="72"/>
      <c r="KJG160" s="72"/>
      <c r="KJH160" s="72"/>
      <c r="KJI160" s="72"/>
      <c r="KJJ160" s="72"/>
      <c r="KJK160" s="72"/>
      <c r="KJL160" s="72"/>
      <c r="KJM160" s="72"/>
      <c r="KJN160" s="72"/>
      <c r="KJO160" s="72"/>
      <c r="KJP160" s="72"/>
      <c r="KJQ160" s="72"/>
      <c r="KJR160" s="72"/>
      <c r="KJS160" s="72"/>
      <c r="KJT160" s="72"/>
      <c r="KJU160" s="72"/>
      <c r="KJV160" s="72"/>
      <c r="KJW160" s="72"/>
      <c r="KJX160" s="72"/>
      <c r="KJY160" s="72"/>
      <c r="KJZ160" s="72"/>
      <c r="KKA160" s="72"/>
      <c r="KKB160" s="72"/>
      <c r="KKC160" s="72"/>
      <c r="KKD160" s="72"/>
      <c r="KKE160" s="72"/>
      <c r="KKF160" s="72"/>
      <c r="KKG160" s="72"/>
      <c r="KKH160" s="72"/>
      <c r="KKI160" s="72"/>
      <c r="KKJ160" s="72"/>
      <c r="KKK160" s="72"/>
      <c r="KKL160" s="72"/>
      <c r="KKM160" s="72"/>
      <c r="KKN160" s="72"/>
      <c r="KKO160" s="72"/>
      <c r="KKP160" s="72"/>
      <c r="KKQ160" s="72"/>
      <c r="KKR160" s="72"/>
      <c r="KKS160" s="72"/>
      <c r="KKT160" s="72"/>
      <c r="KKU160" s="72"/>
      <c r="KKV160" s="72"/>
      <c r="KKW160" s="72"/>
      <c r="KKX160" s="72"/>
      <c r="KKY160" s="72"/>
      <c r="KKZ160" s="72"/>
      <c r="KLA160" s="72"/>
      <c r="KLB160" s="72"/>
      <c r="KLC160" s="72"/>
      <c r="KLD160" s="72"/>
      <c r="KLE160" s="72"/>
      <c r="KLF160" s="72"/>
      <c r="KLG160" s="72"/>
      <c r="KLH160" s="72"/>
      <c r="KLI160" s="72"/>
      <c r="KLJ160" s="72"/>
      <c r="KLK160" s="72"/>
      <c r="KLL160" s="72"/>
      <c r="KLM160" s="72"/>
      <c r="KLN160" s="72"/>
      <c r="KLO160" s="72"/>
      <c r="KLP160" s="72"/>
      <c r="KLQ160" s="72"/>
      <c r="KLR160" s="72"/>
      <c r="KLS160" s="72"/>
      <c r="KLT160" s="72"/>
      <c r="KLU160" s="72"/>
      <c r="KLV160" s="72"/>
      <c r="KLW160" s="72"/>
      <c r="KLX160" s="72"/>
      <c r="KLY160" s="72"/>
      <c r="KLZ160" s="72"/>
      <c r="KMA160" s="72"/>
      <c r="KMB160" s="72"/>
      <c r="KMC160" s="72"/>
      <c r="KMD160" s="72"/>
      <c r="KME160" s="72"/>
      <c r="KMF160" s="72"/>
      <c r="KMG160" s="72"/>
      <c r="KMH160" s="72"/>
      <c r="KMI160" s="72"/>
      <c r="KMJ160" s="72"/>
      <c r="KMK160" s="72"/>
      <c r="KML160" s="72"/>
      <c r="KMM160" s="72"/>
      <c r="KMN160" s="72"/>
      <c r="KMO160" s="72"/>
      <c r="KMP160" s="72"/>
      <c r="KMQ160" s="72"/>
      <c r="KMR160" s="72"/>
      <c r="KMS160" s="72"/>
      <c r="KMT160" s="72"/>
      <c r="KMU160" s="72"/>
      <c r="KMV160" s="72"/>
      <c r="KMW160" s="72"/>
      <c r="KMX160" s="72"/>
      <c r="KMY160" s="72"/>
      <c r="KMZ160" s="72"/>
      <c r="KNA160" s="72"/>
      <c r="KNB160" s="72"/>
      <c r="KNC160" s="72"/>
      <c r="KND160" s="72"/>
      <c r="KNE160" s="72"/>
      <c r="KNF160" s="72"/>
      <c r="KNG160" s="72"/>
      <c r="KNH160" s="72"/>
      <c r="KNI160" s="72"/>
      <c r="KNJ160" s="72"/>
      <c r="KNK160" s="72"/>
      <c r="KNL160" s="72"/>
      <c r="KNM160" s="72"/>
      <c r="KNN160" s="72"/>
      <c r="KNO160" s="72"/>
      <c r="KNP160" s="72"/>
      <c r="KNQ160" s="72"/>
      <c r="KNR160" s="72"/>
      <c r="KNS160" s="72"/>
      <c r="KNT160" s="72"/>
      <c r="KNU160" s="72"/>
      <c r="KNV160" s="72"/>
      <c r="KNW160" s="72"/>
      <c r="KNX160" s="72"/>
      <c r="KNY160" s="72"/>
      <c r="KNZ160" s="72"/>
      <c r="KOA160" s="72"/>
      <c r="KOB160" s="72"/>
      <c r="KOC160" s="72"/>
      <c r="KOD160" s="72"/>
      <c r="KOE160" s="72"/>
      <c r="KOF160" s="72"/>
      <c r="KOG160" s="72"/>
      <c r="KOH160" s="72"/>
      <c r="KOI160" s="72"/>
      <c r="KOJ160" s="72"/>
      <c r="KOK160" s="72"/>
      <c r="KOL160" s="72"/>
      <c r="KOM160" s="72"/>
      <c r="KON160" s="72"/>
      <c r="KOO160" s="72"/>
      <c r="KOP160" s="72"/>
      <c r="KOQ160" s="72"/>
      <c r="KOR160" s="72"/>
      <c r="KOS160" s="72"/>
      <c r="KOT160" s="72"/>
      <c r="KOU160" s="72"/>
      <c r="KOV160" s="72"/>
      <c r="KOW160" s="72"/>
      <c r="KOX160" s="72"/>
      <c r="KOY160" s="72"/>
      <c r="KOZ160" s="72"/>
      <c r="KPA160" s="72"/>
      <c r="KPB160" s="72"/>
      <c r="KPC160" s="72"/>
      <c r="KPD160" s="72"/>
      <c r="KPE160" s="72"/>
      <c r="KPF160" s="72"/>
      <c r="KPG160" s="72"/>
      <c r="KPH160" s="72"/>
      <c r="KPI160" s="72"/>
      <c r="KPJ160" s="72"/>
      <c r="KPK160" s="72"/>
      <c r="KPL160" s="72"/>
      <c r="KPM160" s="72"/>
      <c r="KPN160" s="72"/>
      <c r="KPO160" s="72"/>
      <c r="KPP160" s="72"/>
      <c r="KPQ160" s="72"/>
      <c r="KPR160" s="72"/>
      <c r="KPS160" s="72"/>
      <c r="KPT160" s="72"/>
      <c r="KPU160" s="72"/>
      <c r="KPV160" s="72"/>
      <c r="KPW160" s="72"/>
      <c r="KPX160" s="72"/>
      <c r="KPY160" s="72"/>
      <c r="KPZ160" s="72"/>
      <c r="KQA160" s="72"/>
      <c r="KQB160" s="72"/>
      <c r="KQC160" s="72"/>
      <c r="KQD160" s="72"/>
      <c r="KQE160" s="72"/>
      <c r="KQF160" s="72"/>
      <c r="KQG160" s="72"/>
      <c r="KQH160" s="72"/>
      <c r="KQI160" s="72"/>
      <c r="KQJ160" s="72"/>
      <c r="KQK160" s="72"/>
      <c r="KQL160" s="72"/>
      <c r="KQM160" s="72"/>
      <c r="KQN160" s="72"/>
      <c r="KQO160" s="72"/>
      <c r="KQP160" s="72"/>
      <c r="KQQ160" s="72"/>
      <c r="KQR160" s="72"/>
      <c r="KQS160" s="72"/>
      <c r="KQT160" s="72"/>
      <c r="KQU160" s="72"/>
      <c r="KQV160" s="72"/>
      <c r="KQW160" s="72"/>
      <c r="KQX160" s="72"/>
      <c r="KQY160" s="72"/>
      <c r="KQZ160" s="72"/>
      <c r="KRA160" s="72"/>
      <c r="KRB160" s="72"/>
      <c r="KRC160" s="72"/>
      <c r="KRD160" s="72"/>
      <c r="KRE160" s="72"/>
      <c r="KRF160" s="72"/>
      <c r="KRG160" s="72"/>
      <c r="KRH160" s="72"/>
      <c r="KRI160" s="72"/>
      <c r="KRJ160" s="72"/>
      <c r="KRK160" s="72"/>
      <c r="KRL160" s="72"/>
      <c r="KRM160" s="72"/>
      <c r="KRN160" s="72"/>
      <c r="KRO160" s="72"/>
      <c r="KRP160" s="72"/>
      <c r="KRQ160" s="72"/>
      <c r="KRR160" s="72"/>
      <c r="KRS160" s="72"/>
      <c r="KRT160" s="72"/>
      <c r="KRU160" s="72"/>
      <c r="KRV160" s="72"/>
      <c r="KRW160" s="72"/>
      <c r="KRX160" s="72"/>
      <c r="KRY160" s="72"/>
      <c r="KRZ160" s="72"/>
      <c r="KSA160" s="72"/>
      <c r="KSB160" s="72"/>
      <c r="KSC160" s="72"/>
      <c r="KSD160" s="72"/>
      <c r="KSE160" s="72"/>
      <c r="KSF160" s="72"/>
      <c r="KSG160" s="72"/>
      <c r="KSH160" s="72"/>
      <c r="KSI160" s="72"/>
      <c r="KSJ160" s="72"/>
      <c r="KSK160" s="72"/>
      <c r="KSL160" s="72"/>
      <c r="KSM160" s="72"/>
      <c r="KSN160" s="72"/>
      <c r="KSO160" s="72"/>
      <c r="KSP160" s="72"/>
      <c r="KSQ160" s="72"/>
      <c r="KSR160" s="72"/>
      <c r="KSS160" s="72"/>
      <c r="KST160" s="72"/>
      <c r="KSU160" s="72"/>
      <c r="KSV160" s="72"/>
      <c r="KSW160" s="72"/>
      <c r="KSX160" s="72"/>
      <c r="KSY160" s="72"/>
      <c r="KSZ160" s="72"/>
      <c r="KTA160" s="72"/>
      <c r="KTB160" s="72"/>
      <c r="KTC160" s="72"/>
      <c r="KTD160" s="72"/>
      <c r="KTE160" s="72"/>
      <c r="KTF160" s="72"/>
      <c r="KTG160" s="72"/>
      <c r="KTH160" s="72"/>
      <c r="KTI160" s="72"/>
      <c r="KTJ160" s="72"/>
      <c r="KTK160" s="72"/>
      <c r="KTL160" s="72"/>
      <c r="KTM160" s="72"/>
      <c r="KTN160" s="72"/>
      <c r="KTO160" s="72"/>
      <c r="KTP160" s="72"/>
      <c r="KTQ160" s="72"/>
      <c r="KTR160" s="72"/>
      <c r="KTS160" s="72"/>
      <c r="KTT160" s="72"/>
      <c r="KTU160" s="72"/>
      <c r="KTV160" s="72"/>
      <c r="KTW160" s="72"/>
      <c r="KTX160" s="72"/>
      <c r="KTY160" s="72"/>
      <c r="KTZ160" s="72"/>
      <c r="KUA160" s="72"/>
      <c r="KUB160" s="72"/>
      <c r="KUC160" s="72"/>
      <c r="KUD160" s="72"/>
      <c r="KUE160" s="72"/>
      <c r="KUF160" s="72"/>
      <c r="KUG160" s="72"/>
      <c r="KUH160" s="72"/>
      <c r="KUI160" s="72"/>
      <c r="KUJ160" s="72"/>
      <c r="KUK160" s="72"/>
      <c r="KUL160" s="72"/>
      <c r="KUM160" s="72"/>
      <c r="KUN160" s="72"/>
      <c r="KUO160" s="72"/>
      <c r="KUP160" s="72"/>
      <c r="KUQ160" s="72"/>
      <c r="KUR160" s="72"/>
      <c r="KUS160" s="72"/>
      <c r="KUT160" s="72"/>
      <c r="KUU160" s="72"/>
      <c r="KUV160" s="72"/>
      <c r="KUW160" s="72"/>
      <c r="KUX160" s="72"/>
      <c r="KUY160" s="72"/>
      <c r="KUZ160" s="72"/>
      <c r="KVA160" s="72"/>
      <c r="KVB160" s="72"/>
      <c r="KVC160" s="72"/>
      <c r="KVD160" s="72"/>
      <c r="KVE160" s="72"/>
      <c r="KVF160" s="72"/>
      <c r="KVG160" s="72"/>
      <c r="KVH160" s="72"/>
      <c r="KVI160" s="72"/>
      <c r="KVJ160" s="72"/>
      <c r="KVK160" s="72"/>
      <c r="KVL160" s="72"/>
      <c r="KVM160" s="72"/>
      <c r="KVN160" s="72"/>
      <c r="KVO160" s="72"/>
      <c r="KVP160" s="72"/>
      <c r="KVQ160" s="72"/>
      <c r="KVR160" s="72"/>
      <c r="KVS160" s="72"/>
      <c r="KVT160" s="72"/>
      <c r="KVU160" s="72"/>
      <c r="KVV160" s="72"/>
      <c r="KVW160" s="72"/>
      <c r="KVX160" s="72"/>
      <c r="KVY160" s="72"/>
      <c r="KVZ160" s="72"/>
      <c r="KWA160" s="72"/>
      <c r="KWB160" s="72"/>
      <c r="KWC160" s="72"/>
      <c r="KWD160" s="72"/>
      <c r="KWE160" s="72"/>
      <c r="KWF160" s="72"/>
      <c r="KWG160" s="72"/>
      <c r="KWH160" s="72"/>
      <c r="KWI160" s="72"/>
      <c r="KWJ160" s="72"/>
      <c r="KWK160" s="72"/>
      <c r="KWL160" s="72"/>
      <c r="KWM160" s="72"/>
      <c r="KWN160" s="72"/>
      <c r="KWO160" s="72"/>
      <c r="KWP160" s="72"/>
      <c r="KWQ160" s="72"/>
      <c r="KWR160" s="72"/>
      <c r="KWS160" s="72"/>
      <c r="KWT160" s="72"/>
      <c r="KWU160" s="72"/>
      <c r="KWV160" s="72"/>
      <c r="KWW160" s="72"/>
      <c r="KWX160" s="72"/>
      <c r="KWY160" s="72"/>
      <c r="KWZ160" s="72"/>
      <c r="KXA160" s="72"/>
      <c r="KXB160" s="72"/>
      <c r="KXC160" s="72"/>
      <c r="KXD160" s="72"/>
      <c r="KXE160" s="72"/>
      <c r="KXF160" s="72"/>
      <c r="KXG160" s="72"/>
      <c r="KXH160" s="72"/>
      <c r="KXI160" s="72"/>
      <c r="KXJ160" s="72"/>
      <c r="KXK160" s="72"/>
      <c r="KXL160" s="72"/>
      <c r="KXM160" s="72"/>
      <c r="KXN160" s="72"/>
      <c r="KXO160" s="72"/>
      <c r="KXP160" s="72"/>
      <c r="KXQ160" s="72"/>
      <c r="KXR160" s="72"/>
      <c r="KXS160" s="72"/>
      <c r="KXT160" s="72"/>
      <c r="KXU160" s="72"/>
      <c r="KXV160" s="72"/>
      <c r="KXW160" s="72"/>
      <c r="KXX160" s="72"/>
      <c r="KXY160" s="72"/>
      <c r="KXZ160" s="72"/>
      <c r="KYA160" s="72"/>
      <c r="KYB160" s="72"/>
      <c r="KYC160" s="72"/>
      <c r="KYD160" s="72"/>
      <c r="KYE160" s="72"/>
      <c r="KYF160" s="72"/>
      <c r="KYG160" s="72"/>
      <c r="KYH160" s="72"/>
      <c r="KYI160" s="72"/>
      <c r="KYJ160" s="72"/>
      <c r="KYK160" s="72"/>
      <c r="KYL160" s="72"/>
      <c r="KYM160" s="72"/>
      <c r="KYN160" s="72"/>
      <c r="KYO160" s="72"/>
      <c r="KYP160" s="72"/>
      <c r="KYQ160" s="72"/>
      <c r="KYR160" s="72"/>
      <c r="KYS160" s="72"/>
      <c r="KYT160" s="72"/>
      <c r="KYU160" s="72"/>
      <c r="KYV160" s="72"/>
      <c r="KYW160" s="72"/>
      <c r="KYX160" s="72"/>
      <c r="KYY160" s="72"/>
      <c r="KYZ160" s="72"/>
      <c r="KZA160" s="72"/>
      <c r="KZB160" s="72"/>
      <c r="KZC160" s="72"/>
      <c r="KZD160" s="72"/>
      <c r="KZE160" s="72"/>
      <c r="KZF160" s="72"/>
      <c r="KZG160" s="72"/>
      <c r="KZH160" s="72"/>
      <c r="KZI160" s="72"/>
      <c r="KZJ160" s="72"/>
      <c r="KZK160" s="72"/>
      <c r="KZL160" s="72"/>
      <c r="KZM160" s="72"/>
      <c r="KZN160" s="72"/>
      <c r="KZO160" s="72"/>
      <c r="KZP160" s="72"/>
      <c r="KZQ160" s="72"/>
      <c r="KZR160" s="72"/>
      <c r="KZS160" s="72"/>
      <c r="KZT160" s="72"/>
      <c r="KZU160" s="72"/>
      <c r="KZV160" s="72"/>
      <c r="KZW160" s="72"/>
      <c r="KZX160" s="72"/>
      <c r="KZY160" s="72"/>
      <c r="KZZ160" s="72"/>
      <c r="LAA160" s="72"/>
      <c r="LAB160" s="72"/>
      <c r="LAC160" s="72"/>
      <c r="LAD160" s="72"/>
      <c r="LAE160" s="72"/>
      <c r="LAF160" s="72"/>
      <c r="LAG160" s="72"/>
      <c r="LAH160" s="72"/>
      <c r="LAI160" s="72"/>
      <c r="LAJ160" s="72"/>
      <c r="LAK160" s="72"/>
      <c r="LAL160" s="72"/>
      <c r="LAM160" s="72"/>
      <c r="LAN160" s="72"/>
      <c r="LAO160" s="72"/>
      <c r="LAP160" s="72"/>
      <c r="LAQ160" s="72"/>
      <c r="LAR160" s="72"/>
      <c r="LAS160" s="72"/>
      <c r="LAT160" s="72"/>
      <c r="LAU160" s="72"/>
      <c r="LAV160" s="72"/>
      <c r="LAW160" s="72"/>
      <c r="LAX160" s="72"/>
      <c r="LAY160" s="72"/>
      <c r="LAZ160" s="72"/>
      <c r="LBA160" s="72"/>
      <c r="LBB160" s="72"/>
      <c r="LBC160" s="72"/>
      <c r="LBD160" s="72"/>
      <c r="LBE160" s="72"/>
      <c r="LBF160" s="72"/>
      <c r="LBG160" s="72"/>
      <c r="LBH160" s="72"/>
      <c r="LBI160" s="72"/>
      <c r="LBJ160" s="72"/>
      <c r="LBK160" s="72"/>
      <c r="LBL160" s="72"/>
      <c r="LBM160" s="72"/>
      <c r="LBN160" s="72"/>
      <c r="LBO160" s="72"/>
      <c r="LBP160" s="72"/>
      <c r="LBQ160" s="72"/>
      <c r="LBR160" s="72"/>
      <c r="LBS160" s="72"/>
      <c r="LBT160" s="72"/>
      <c r="LBU160" s="72"/>
      <c r="LBV160" s="72"/>
      <c r="LBW160" s="72"/>
      <c r="LBX160" s="72"/>
      <c r="LBY160" s="72"/>
      <c r="LBZ160" s="72"/>
      <c r="LCA160" s="72"/>
      <c r="LCB160" s="72"/>
      <c r="LCC160" s="72"/>
      <c r="LCD160" s="72"/>
      <c r="LCE160" s="72"/>
      <c r="LCF160" s="72"/>
      <c r="LCG160" s="72"/>
      <c r="LCH160" s="72"/>
      <c r="LCI160" s="72"/>
      <c r="LCJ160" s="72"/>
      <c r="LCK160" s="72"/>
      <c r="LCL160" s="72"/>
      <c r="LCM160" s="72"/>
      <c r="LCN160" s="72"/>
      <c r="LCO160" s="72"/>
      <c r="LCP160" s="72"/>
      <c r="LCQ160" s="72"/>
      <c r="LCR160" s="72"/>
      <c r="LCS160" s="72"/>
      <c r="LCT160" s="72"/>
      <c r="LCU160" s="72"/>
      <c r="LCV160" s="72"/>
      <c r="LCW160" s="72"/>
      <c r="LCX160" s="72"/>
      <c r="LCY160" s="72"/>
      <c r="LCZ160" s="72"/>
      <c r="LDA160" s="72"/>
      <c r="LDB160" s="72"/>
      <c r="LDC160" s="72"/>
      <c r="LDD160" s="72"/>
      <c r="LDE160" s="72"/>
      <c r="LDF160" s="72"/>
      <c r="LDG160" s="72"/>
      <c r="LDH160" s="72"/>
      <c r="LDI160" s="72"/>
      <c r="LDJ160" s="72"/>
      <c r="LDK160" s="72"/>
      <c r="LDL160" s="72"/>
      <c r="LDM160" s="72"/>
      <c r="LDN160" s="72"/>
      <c r="LDO160" s="72"/>
      <c r="LDP160" s="72"/>
      <c r="LDQ160" s="72"/>
      <c r="LDR160" s="72"/>
      <c r="LDS160" s="72"/>
      <c r="LDT160" s="72"/>
      <c r="LDU160" s="72"/>
      <c r="LDV160" s="72"/>
      <c r="LDW160" s="72"/>
      <c r="LDX160" s="72"/>
      <c r="LDY160" s="72"/>
      <c r="LDZ160" s="72"/>
      <c r="LEA160" s="72"/>
      <c r="LEB160" s="72"/>
      <c r="LEC160" s="72"/>
      <c r="LED160" s="72"/>
      <c r="LEE160" s="72"/>
      <c r="LEF160" s="72"/>
      <c r="LEG160" s="72"/>
      <c r="LEH160" s="72"/>
      <c r="LEI160" s="72"/>
      <c r="LEJ160" s="72"/>
      <c r="LEK160" s="72"/>
      <c r="LEL160" s="72"/>
      <c r="LEM160" s="72"/>
      <c r="LEN160" s="72"/>
      <c r="LEO160" s="72"/>
      <c r="LEP160" s="72"/>
      <c r="LEQ160" s="72"/>
      <c r="LER160" s="72"/>
      <c r="LES160" s="72"/>
      <c r="LET160" s="72"/>
      <c r="LEU160" s="72"/>
      <c r="LEV160" s="72"/>
      <c r="LEW160" s="72"/>
      <c r="LEX160" s="72"/>
      <c r="LEY160" s="72"/>
      <c r="LEZ160" s="72"/>
      <c r="LFA160" s="72"/>
      <c r="LFB160" s="72"/>
      <c r="LFC160" s="72"/>
      <c r="LFD160" s="72"/>
      <c r="LFE160" s="72"/>
      <c r="LFF160" s="72"/>
      <c r="LFG160" s="72"/>
      <c r="LFH160" s="72"/>
      <c r="LFI160" s="72"/>
      <c r="LFJ160" s="72"/>
      <c r="LFK160" s="72"/>
      <c r="LFL160" s="72"/>
      <c r="LFM160" s="72"/>
      <c r="LFN160" s="72"/>
      <c r="LFO160" s="72"/>
      <c r="LFP160" s="72"/>
      <c r="LFQ160" s="72"/>
      <c r="LFR160" s="72"/>
      <c r="LFS160" s="72"/>
      <c r="LFT160" s="72"/>
      <c r="LFU160" s="72"/>
      <c r="LFV160" s="72"/>
      <c r="LFW160" s="72"/>
      <c r="LFX160" s="72"/>
      <c r="LFY160" s="72"/>
      <c r="LFZ160" s="72"/>
      <c r="LGA160" s="72"/>
      <c r="LGB160" s="72"/>
      <c r="LGC160" s="72"/>
      <c r="LGD160" s="72"/>
      <c r="LGE160" s="72"/>
      <c r="LGF160" s="72"/>
      <c r="LGG160" s="72"/>
      <c r="LGH160" s="72"/>
      <c r="LGI160" s="72"/>
      <c r="LGJ160" s="72"/>
      <c r="LGK160" s="72"/>
      <c r="LGL160" s="72"/>
      <c r="LGM160" s="72"/>
      <c r="LGN160" s="72"/>
      <c r="LGO160" s="72"/>
      <c r="LGP160" s="72"/>
      <c r="LGQ160" s="72"/>
      <c r="LGR160" s="72"/>
      <c r="LGS160" s="72"/>
      <c r="LGT160" s="72"/>
      <c r="LGU160" s="72"/>
      <c r="LGV160" s="72"/>
      <c r="LGW160" s="72"/>
      <c r="LGX160" s="72"/>
      <c r="LGY160" s="72"/>
      <c r="LGZ160" s="72"/>
      <c r="LHA160" s="72"/>
      <c r="LHB160" s="72"/>
      <c r="LHC160" s="72"/>
      <c r="LHD160" s="72"/>
      <c r="LHE160" s="72"/>
      <c r="LHF160" s="72"/>
      <c r="LHG160" s="72"/>
      <c r="LHH160" s="72"/>
      <c r="LHI160" s="72"/>
      <c r="LHJ160" s="72"/>
      <c r="LHK160" s="72"/>
      <c r="LHL160" s="72"/>
      <c r="LHM160" s="72"/>
      <c r="LHN160" s="72"/>
      <c r="LHO160" s="72"/>
      <c r="LHP160" s="72"/>
      <c r="LHQ160" s="72"/>
      <c r="LHR160" s="72"/>
      <c r="LHS160" s="72"/>
      <c r="LHT160" s="72"/>
      <c r="LHU160" s="72"/>
      <c r="LHV160" s="72"/>
      <c r="LHW160" s="72"/>
      <c r="LHX160" s="72"/>
      <c r="LHY160" s="72"/>
      <c r="LHZ160" s="72"/>
      <c r="LIA160" s="72"/>
      <c r="LIB160" s="72"/>
      <c r="LIC160" s="72"/>
      <c r="LID160" s="72"/>
      <c r="LIE160" s="72"/>
      <c r="LIF160" s="72"/>
      <c r="LIG160" s="72"/>
      <c r="LIH160" s="72"/>
      <c r="LII160" s="72"/>
      <c r="LIJ160" s="72"/>
      <c r="LIK160" s="72"/>
      <c r="LIL160" s="72"/>
      <c r="LIM160" s="72"/>
      <c r="LIN160" s="72"/>
      <c r="LIO160" s="72"/>
      <c r="LIP160" s="72"/>
      <c r="LIQ160" s="72"/>
      <c r="LIR160" s="72"/>
      <c r="LIS160" s="72"/>
      <c r="LIT160" s="72"/>
      <c r="LIU160" s="72"/>
      <c r="LIV160" s="72"/>
      <c r="LIW160" s="72"/>
      <c r="LIX160" s="72"/>
      <c r="LIY160" s="72"/>
      <c r="LIZ160" s="72"/>
      <c r="LJA160" s="72"/>
      <c r="LJB160" s="72"/>
      <c r="LJC160" s="72"/>
      <c r="LJD160" s="72"/>
      <c r="LJE160" s="72"/>
      <c r="LJF160" s="72"/>
      <c r="LJG160" s="72"/>
      <c r="LJH160" s="72"/>
      <c r="LJI160" s="72"/>
      <c r="LJJ160" s="72"/>
      <c r="LJK160" s="72"/>
      <c r="LJL160" s="72"/>
      <c r="LJM160" s="72"/>
      <c r="LJN160" s="72"/>
      <c r="LJO160" s="72"/>
      <c r="LJP160" s="72"/>
      <c r="LJQ160" s="72"/>
      <c r="LJR160" s="72"/>
      <c r="LJS160" s="72"/>
      <c r="LJT160" s="72"/>
      <c r="LJU160" s="72"/>
      <c r="LJV160" s="72"/>
      <c r="LJW160" s="72"/>
      <c r="LJX160" s="72"/>
      <c r="LJY160" s="72"/>
      <c r="LJZ160" s="72"/>
      <c r="LKA160" s="72"/>
      <c r="LKB160" s="72"/>
      <c r="LKC160" s="72"/>
      <c r="LKD160" s="72"/>
      <c r="LKE160" s="72"/>
      <c r="LKF160" s="72"/>
      <c r="LKG160" s="72"/>
      <c r="LKH160" s="72"/>
      <c r="LKI160" s="72"/>
      <c r="LKJ160" s="72"/>
      <c r="LKK160" s="72"/>
      <c r="LKL160" s="72"/>
      <c r="LKM160" s="72"/>
      <c r="LKN160" s="72"/>
      <c r="LKO160" s="72"/>
      <c r="LKP160" s="72"/>
      <c r="LKQ160" s="72"/>
      <c r="LKR160" s="72"/>
      <c r="LKS160" s="72"/>
      <c r="LKT160" s="72"/>
      <c r="LKU160" s="72"/>
      <c r="LKV160" s="72"/>
      <c r="LKW160" s="72"/>
      <c r="LKX160" s="72"/>
      <c r="LKY160" s="72"/>
      <c r="LKZ160" s="72"/>
      <c r="LLA160" s="72"/>
      <c r="LLB160" s="72"/>
      <c r="LLC160" s="72"/>
      <c r="LLD160" s="72"/>
      <c r="LLE160" s="72"/>
      <c r="LLF160" s="72"/>
      <c r="LLG160" s="72"/>
      <c r="LLH160" s="72"/>
      <c r="LLI160" s="72"/>
      <c r="LLJ160" s="72"/>
      <c r="LLK160" s="72"/>
      <c r="LLL160" s="72"/>
      <c r="LLM160" s="72"/>
      <c r="LLN160" s="72"/>
      <c r="LLO160" s="72"/>
      <c r="LLP160" s="72"/>
      <c r="LLQ160" s="72"/>
      <c r="LLR160" s="72"/>
      <c r="LLS160" s="72"/>
      <c r="LLT160" s="72"/>
      <c r="LLU160" s="72"/>
      <c r="LLV160" s="72"/>
      <c r="LLW160" s="72"/>
      <c r="LLX160" s="72"/>
      <c r="LLY160" s="72"/>
      <c r="LLZ160" s="72"/>
      <c r="LMA160" s="72"/>
      <c r="LMB160" s="72"/>
      <c r="LMC160" s="72"/>
      <c r="LMD160" s="72"/>
      <c r="LME160" s="72"/>
      <c r="LMF160" s="72"/>
      <c r="LMG160" s="72"/>
      <c r="LMH160" s="72"/>
      <c r="LMI160" s="72"/>
      <c r="LMJ160" s="72"/>
      <c r="LMK160" s="72"/>
      <c r="LML160" s="72"/>
      <c r="LMM160" s="72"/>
      <c r="LMN160" s="72"/>
      <c r="LMO160" s="72"/>
      <c r="LMP160" s="72"/>
      <c r="LMQ160" s="72"/>
      <c r="LMR160" s="72"/>
      <c r="LMS160" s="72"/>
      <c r="LMT160" s="72"/>
      <c r="LMU160" s="72"/>
      <c r="LMV160" s="72"/>
      <c r="LMW160" s="72"/>
      <c r="LMX160" s="72"/>
      <c r="LMY160" s="72"/>
      <c r="LMZ160" s="72"/>
      <c r="LNA160" s="72"/>
      <c r="LNB160" s="72"/>
      <c r="LNC160" s="72"/>
      <c r="LND160" s="72"/>
      <c r="LNE160" s="72"/>
      <c r="LNF160" s="72"/>
      <c r="LNG160" s="72"/>
      <c r="LNH160" s="72"/>
      <c r="LNI160" s="72"/>
      <c r="LNJ160" s="72"/>
      <c r="LNK160" s="72"/>
      <c r="LNL160" s="72"/>
      <c r="LNM160" s="72"/>
      <c r="LNN160" s="72"/>
      <c r="LNO160" s="72"/>
      <c r="LNP160" s="72"/>
      <c r="LNQ160" s="72"/>
      <c r="LNR160" s="72"/>
      <c r="LNS160" s="72"/>
      <c r="LNT160" s="72"/>
      <c r="LNU160" s="72"/>
      <c r="LNV160" s="72"/>
      <c r="LNW160" s="72"/>
      <c r="LNX160" s="72"/>
      <c r="LNY160" s="72"/>
      <c r="LNZ160" s="72"/>
      <c r="LOA160" s="72"/>
      <c r="LOB160" s="72"/>
      <c r="LOC160" s="72"/>
      <c r="LOD160" s="72"/>
      <c r="LOE160" s="72"/>
      <c r="LOF160" s="72"/>
      <c r="LOG160" s="72"/>
      <c r="LOH160" s="72"/>
      <c r="LOI160" s="72"/>
      <c r="LOJ160" s="72"/>
      <c r="LOK160" s="72"/>
      <c r="LOL160" s="72"/>
      <c r="LOM160" s="72"/>
      <c r="LON160" s="72"/>
      <c r="LOO160" s="72"/>
      <c r="LOP160" s="72"/>
      <c r="LOQ160" s="72"/>
      <c r="LOR160" s="72"/>
      <c r="LOS160" s="72"/>
      <c r="LOT160" s="72"/>
      <c r="LOU160" s="72"/>
      <c r="LOV160" s="72"/>
      <c r="LOW160" s="72"/>
      <c r="LOX160" s="72"/>
      <c r="LOY160" s="72"/>
      <c r="LOZ160" s="72"/>
      <c r="LPA160" s="72"/>
      <c r="LPB160" s="72"/>
      <c r="LPC160" s="72"/>
      <c r="LPD160" s="72"/>
      <c r="LPE160" s="72"/>
      <c r="LPF160" s="72"/>
      <c r="LPG160" s="72"/>
      <c r="LPH160" s="72"/>
      <c r="LPI160" s="72"/>
      <c r="LPJ160" s="72"/>
      <c r="LPK160" s="72"/>
      <c r="LPL160" s="72"/>
      <c r="LPM160" s="72"/>
      <c r="LPN160" s="72"/>
      <c r="LPO160" s="72"/>
      <c r="LPP160" s="72"/>
      <c r="LPQ160" s="72"/>
      <c r="LPR160" s="72"/>
      <c r="LPS160" s="72"/>
      <c r="LPT160" s="72"/>
      <c r="LPU160" s="72"/>
      <c r="LPV160" s="72"/>
      <c r="LPW160" s="72"/>
      <c r="LPX160" s="72"/>
      <c r="LPY160" s="72"/>
      <c r="LPZ160" s="72"/>
      <c r="LQA160" s="72"/>
      <c r="LQB160" s="72"/>
      <c r="LQC160" s="72"/>
      <c r="LQD160" s="72"/>
      <c r="LQE160" s="72"/>
      <c r="LQF160" s="72"/>
      <c r="LQG160" s="72"/>
      <c r="LQH160" s="72"/>
      <c r="LQI160" s="72"/>
      <c r="LQJ160" s="72"/>
      <c r="LQK160" s="72"/>
      <c r="LQL160" s="72"/>
      <c r="LQM160" s="72"/>
      <c r="LQN160" s="72"/>
      <c r="LQO160" s="72"/>
      <c r="LQP160" s="72"/>
      <c r="LQQ160" s="72"/>
      <c r="LQR160" s="72"/>
      <c r="LQS160" s="72"/>
      <c r="LQT160" s="72"/>
      <c r="LQU160" s="72"/>
      <c r="LQV160" s="72"/>
      <c r="LQW160" s="72"/>
      <c r="LQX160" s="72"/>
      <c r="LQY160" s="72"/>
      <c r="LQZ160" s="72"/>
      <c r="LRA160" s="72"/>
      <c r="LRB160" s="72"/>
      <c r="LRC160" s="72"/>
      <c r="LRD160" s="72"/>
      <c r="LRE160" s="72"/>
      <c r="LRF160" s="72"/>
      <c r="LRG160" s="72"/>
      <c r="LRH160" s="72"/>
      <c r="LRI160" s="72"/>
      <c r="LRJ160" s="72"/>
      <c r="LRK160" s="72"/>
      <c r="LRL160" s="72"/>
      <c r="LRM160" s="72"/>
      <c r="LRN160" s="72"/>
      <c r="LRO160" s="72"/>
      <c r="LRP160" s="72"/>
      <c r="LRQ160" s="72"/>
      <c r="LRR160" s="72"/>
      <c r="LRS160" s="72"/>
      <c r="LRT160" s="72"/>
      <c r="LRU160" s="72"/>
      <c r="LRV160" s="72"/>
      <c r="LRW160" s="72"/>
      <c r="LRX160" s="72"/>
      <c r="LRY160" s="72"/>
      <c r="LRZ160" s="72"/>
      <c r="LSA160" s="72"/>
      <c r="LSB160" s="72"/>
      <c r="LSC160" s="72"/>
      <c r="LSD160" s="72"/>
      <c r="LSE160" s="72"/>
      <c r="LSF160" s="72"/>
      <c r="LSG160" s="72"/>
      <c r="LSH160" s="72"/>
      <c r="LSI160" s="72"/>
      <c r="LSJ160" s="72"/>
      <c r="LSK160" s="72"/>
      <c r="LSL160" s="72"/>
      <c r="LSM160" s="72"/>
      <c r="LSN160" s="72"/>
      <c r="LSO160" s="72"/>
      <c r="LSP160" s="72"/>
      <c r="LSQ160" s="72"/>
      <c r="LSR160" s="72"/>
      <c r="LSS160" s="72"/>
      <c r="LST160" s="72"/>
      <c r="LSU160" s="72"/>
      <c r="LSV160" s="72"/>
      <c r="LSW160" s="72"/>
      <c r="LSX160" s="72"/>
      <c r="LSY160" s="72"/>
      <c r="LSZ160" s="72"/>
      <c r="LTA160" s="72"/>
      <c r="LTB160" s="72"/>
      <c r="LTC160" s="72"/>
      <c r="LTD160" s="72"/>
      <c r="LTE160" s="72"/>
      <c r="LTF160" s="72"/>
      <c r="LTG160" s="72"/>
      <c r="LTH160" s="72"/>
      <c r="LTI160" s="72"/>
      <c r="LTJ160" s="72"/>
      <c r="LTK160" s="72"/>
      <c r="LTL160" s="72"/>
      <c r="LTM160" s="72"/>
      <c r="LTN160" s="72"/>
      <c r="LTO160" s="72"/>
      <c r="LTP160" s="72"/>
      <c r="LTQ160" s="72"/>
      <c r="LTR160" s="72"/>
      <c r="LTS160" s="72"/>
      <c r="LTT160" s="72"/>
      <c r="LTU160" s="72"/>
      <c r="LTV160" s="72"/>
      <c r="LTW160" s="72"/>
      <c r="LTX160" s="72"/>
      <c r="LTY160" s="72"/>
      <c r="LTZ160" s="72"/>
      <c r="LUA160" s="72"/>
      <c r="LUB160" s="72"/>
      <c r="LUC160" s="72"/>
      <c r="LUD160" s="72"/>
      <c r="LUE160" s="72"/>
      <c r="LUF160" s="72"/>
      <c r="LUG160" s="72"/>
      <c r="LUH160" s="72"/>
      <c r="LUI160" s="72"/>
      <c r="LUJ160" s="72"/>
      <c r="LUK160" s="72"/>
      <c r="LUL160" s="72"/>
      <c r="LUM160" s="72"/>
      <c r="LUN160" s="72"/>
      <c r="LUO160" s="72"/>
      <c r="LUP160" s="72"/>
      <c r="LUQ160" s="72"/>
      <c r="LUR160" s="72"/>
      <c r="LUS160" s="72"/>
      <c r="LUT160" s="72"/>
      <c r="LUU160" s="72"/>
      <c r="LUV160" s="72"/>
      <c r="LUW160" s="72"/>
      <c r="LUX160" s="72"/>
      <c r="LUY160" s="72"/>
      <c r="LUZ160" s="72"/>
      <c r="LVA160" s="72"/>
      <c r="LVB160" s="72"/>
      <c r="LVC160" s="72"/>
      <c r="LVD160" s="72"/>
      <c r="LVE160" s="72"/>
      <c r="LVF160" s="72"/>
      <c r="LVG160" s="72"/>
      <c r="LVH160" s="72"/>
      <c r="LVI160" s="72"/>
      <c r="LVJ160" s="72"/>
      <c r="LVK160" s="72"/>
      <c r="LVL160" s="72"/>
      <c r="LVM160" s="72"/>
      <c r="LVN160" s="72"/>
      <c r="LVO160" s="72"/>
      <c r="LVP160" s="72"/>
      <c r="LVQ160" s="72"/>
      <c r="LVR160" s="72"/>
      <c r="LVS160" s="72"/>
      <c r="LVT160" s="72"/>
      <c r="LVU160" s="72"/>
      <c r="LVV160" s="72"/>
      <c r="LVW160" s="72"/>
      <c r="LVX160" s="72"/>
      <c r="LVY160" s="72"/>
      <c r="LVZ160" s="72"/>
      <c r="LWA160" s="72"/>
      <c r="LWB160" s="72"/>
      <c r="LWC160" s="72"/>
      <c r="LWD160" s="72"/>
      <c r="LWE160" s="72"/>
      <c r="LWF160" s="72"/>
      <c r="LWG160" s="72"/>
      <c r="LWH160" s="72"/>
      <c r="LWI160" s="72"/>
      <c r="LWJ160" s="72"/>
      <c r="LWK160" s="72"/>
      <c r="LWL160" s="72"/>
      <c r="LWM160" s="72"/>
      <c r="LWN160" s="72"/>
      <c r="LWO160" s="72"/>
      <c r="LWP160" s="72"/>
      <c r="LWQ160" s="72"/>
      <c r="LWR160" s="72"/>
      <c r="LWS160" s="72"/>
      <c r="LWT160" s="72"/>
      <c r="LWU160" s="72"/>
      <c r="LWV160" s="72"/>
      <c r="LWW160" s="72"/>
      <c r="LWX160" s="72"/>
      <c r="LWY160" s="72"/>
      <c r="LWZ160" s="72"/>
      <c r="LXA160" s="72"/>
      <c r="LXB160" s="72"/>
      <c r="LXC160" s="72"/>
      <c r="LXD160" s="72"/>
      <c r="LXE160" s="72"/>
      <c r="LXF160" s="72"/>
      <c r="LXG160" s="72"/>
      <c r="LXH160" s="72"/>
      <c r="LXI160" s="72"/>
      <c r="LXJ160" s="72"/>
      <c r="LXK160" s="72"/>
      <c r="LXL160" s="72"/>
      <c r="LXM160" s="72"/>
      <c r="LXN160" s="72"/>
      <c r="LXO160" s="72"/>
      <c r="LXP160" s="72"/>
      <c r="LXQ160" s="72"/>
      <c r="LXR160" s="72"/>
      <c r="LXS160" s="72"/>
      <c r="LXT160" s="72"/>
      <c r="LXU160" s="72"/>
      <c r="LXV160" s="72"/>
      <c r="LXW160" s="72"/>
      <c r="LXX160" s="72"/>
      <c r="LXY160" s="72"/>
      <c r="LXZ160" s="72"/>
      <c r="LYA160" s="72"/>
      <c r="LYB160" s="72"/>
      <c r="LYC160" s="72"/>
      <c r="LYD160" s="72"/>
      <c r="LYE160" s="72"/>
      <c r="LYF160" s="72"/>
      <c r="LYG160" s="72"/>
      <c r="LYH160" s="72"/>
      <c r="LYI160" s="72"/>
      <c r="LYJ160" s="72"/>
      <c r="LYK160" s="72"/>
      <c r="LYL160" s="72"/>
      <c r="LYM160" s="72"/>
      <c r="LYN160" s="72"/>
      <c r="LYO160" s="72"/>
      <c r="LYP160" s="72"/>
      <c r="LYQ160" s="72"/>
      <c r="LYR160" s="72"/>
      <c r="LYS160" s="72"/>
      <c r="LYT160" s="72"/>
      <c r="LYU160" s="72"/>
      <c r="LYV160" s="72"/>
      <c r="LYW160" s="72"/>
      <c r="LYX160" s="72"/>
      <c r="LYY160" s="72"/>
      <c r="LYZ160" s="72"/>
      <c r="LZA160" s="72"/>
      <c r="LZB160" s="72"/>
      <c r="LZC160" s="72"/>
      <c r="LZD160" s="72"/>
      <c r="LZE160" s="72"/>
      <c r="LZF160" s="72"/>
      <c r="LZG160" s="72"/>
      <c r="LZH160" s="72"/>
      <c r="LZI160" s="72"/>
      <c r="LZJ160" s="72"/>
      <c r="LZK160" s="72"/>
      <c r="LZL160" s="72"/>
      <c r="LZM160" s="72"/>
      <c r="LZN160" s="72"/>
      <c r="LZO160" s="72"/>
      <c r="LZP160" s="72"/>
      <c r="LZQ160" s="72"/>
      <c r="LZR160" s="72"/>
      <c r="LZS160" s="72"/>
      <c r="LZT160" s="72"/>
      <c r="LZU160" s="72"/>
      <c r="LZV160" s="72"/>
      <c r="LZW160" s="72"/>
      <c r="LZX160" s="72"/>
      <c r="LZY160" s="72"/>
      <c r="LZZ160" s="72"/>
      <c r="MAA160" s="72"/>
      <c r="MAB160" s="72"/>
      <c r="MAC160" s="72"/>
      <c r="MAD160" s="72"/>
      <c r="MAE160" s="72"/>
      <c r="MAF160" s="72"/>
      <c r="MAG160" s="72"/>
      <c r="MAH160" s="72"/>
      <c r="MAI160" s="72"/>
      <c r="MAJ160" s="72"/>
      <c r="MAK160" s="72"/>
      <c r="MAL160" s="72"/>
      <c r="MAM160" s="72"/>
      <c r="MAN160" s="72"/>
      <c r="MAO160" s="72"/>
      <c r="MAP160" s="72"/>
      <c r="MAQ160" s="72"/>
      <c r="MAR160" s="72"/>
      <c r="MAS160" s="72"/>
      <c r="MAT160" s="72"/>
      <c r="MAU160" s="72"/>
      <c r="MAV160" s="72"/>
      <c r="MAW160" s="72"/>
      <c r="MAX160" s="72"/>
      <c r="MAY160" s="72"/>
      <c r="MAZ160" s="72"/>
      <c r="MBA160" s="72"/>
      <c r="MBB160" s="72"/>
      <c r="MBC160" s="72"/>
      <c r="MBD160" s="72"/>
      <c r="MBE160" s="72"/>
      <c r="MBF160" s="72"/>
      <c r="MBG160" s="72"/>
      <c r="MBH160" s="72"/>
      <c r="MBI160" s="72"/>
      <c r="MBJ160" s="72"/>
      <c r="MBK160" s="72"/>
      <c r="MBL160" s="72"/>
      <c r="MBM160" s="72"/>
      <c r="MBN160" s="72"/>
      <c r="MBO160" s="72"/>
      <c r="MBP160" s="72"/>
      <c r="MBQ160" s="72"/>
      <c r="MBR160" s="72"/>
      <c r="MBS160" s="72"/>
      <c r="MBT160" s="72"/>
      <c r="MBU160" s="72"/>
      <c r="MBV160" s="72"/>
      <c r="MBW160" s="72"/>
      <c r="MBX160" s="72"/>
      <c r="MBY160" s="72"/>
      <c r="MBZ160" s="72"/>
      <c r="MCA160" s="72"/>
      <c r="MCB160" s="72"/>
      <c r="MCC160" s="72"/>
      <c r="MCD160" s="72"/>
      <c r="MCE160" s="72"/>
      <c r="MCF160" s="72"/>
      <c r="MCG160" s="72"/>
      <c r="MCH160" s="72"/>
      <c r="MCI160" s="72"/>
      <c r="MCJ160" s="72"/>
      <c r="MCK160" s="72"/>
      <c r="MCL160" s="72"/>
      <c r="MCM160" s="72"/>
      <c r="MCN160" s="72"/>
      <c r="MCO160" s="72"/>
      <c r="MCP160" s="72"/>
      <c r="MCQ160" s="72"/>
      <c r="MCR160" s="72"/>
      <c r="MCS160" s="72"/>
      <c r="MCT160" s="72"/>
      <c r="MCU160" s="72"/>
      <c r="MCV160" s="72"/>
      <c r="MCW160" s="72"/>
      <c r="MCX160" s="72"/>
      <c r="MCY160" s="72"/>
      <c r="MCZ160" s="72"/>
      <c r="MDA160" s="72"/>
      <c r="MDB160" s="72"/>
      <c r="MDC160" s="72"/>
      <c r="MDD160" s="72"/>
      <c r="MDE160" s="72"/>
      <c r="MDF160" s="72"/>
      <c r="MDG160" s="72"/>
      <c r="MDH160" s="72"/>
      <c r="MDI160" s="72"/>
      <c r="MDJ160" s="72"/>
      <c r="MDK160" s="72"/>
      <c r="MDL160" s="72"/>
      <c r="MDM160" s="72"/>
      <c r="MDN160" s="72"/>
      <c r="MDO160" s="72"/>
      <c r="MDP160" s="72"/>
      <c r="MDQ160" s="72"/>
      <c r="MDR160" s="72"/>
      <c r="MDS160" s="72"/>
      <c r="MDT160" s="72"/>
      <c r="MDU160" s="72"/>
      <c r="MDV160" s="72"/>
      <c r="MDW160" s="72"/>
      <c r="MDX160" s="72"/>
      <c r="MDY160" s="72"/>
      <c r="MDZ160" s="72"/>
      <c r="MEA160" s="72"/>
      <c r="MEB160" s="72"/>
      <c r="MEC160" s="72"/>
      <c r="MED160" s="72"/>
      <c r="MEE160" s="72"/>
      <c r="MEF160" s="72"/>
      <c r="MEG160" s="72"/>
      <c r="MEH160" s="72"/>
      <c r="MEI160" s="72"/>
      <c r="MEJ160" s="72"/>
      <c r="MEK160" s="72"/>
      <c r="MEL160" s="72"/>
      <c r="MEM160" s="72"/>
      <c r="MEN160" s="72"/>
      <c r="MEO160" s="72"/>
      <c r="MEP160" s="72"/>
      <c r="MEQ160" s="72"/>
      <c r="MER160" s="72"/>
      <c r="MES160" s="72"/>
      <c r="MET160" s="72"/>
      <c r="MEU160" s="72"/>
      <c r="MEV160" s="72"/>
      <c r="MEW160" s="72"/>
      <c r="MEX160" s="72"/>
      <c r="MEY160" s="72"/>
      <c r="MEZ160" s="72"/>
      <c r="MFA160" s="72"/>
      <c r="MFB160" s="72"/>
      <c r="MFC160" s="72"/>
      <c r="MFD160" s="72"/>
      <c r="MFE160" s="72"/>
      <c r="MFF160" s="72"/>
      <c r="MFG160" s="72"/>
      <c r="MFH160" s="72"/>
      <c r="MFI160" s="72"/>
      <c r="MFJ160" s="72"/>
      <c r="MFK160" s="72"/>
      <c r="MFL160" s="72"/>
      <c r="MFM160" s="72"/>
      <c r="MFN160" s="72"/>
      <c r="MFO160" s="72"/>
      <c r="MFP160" s="72"/>
      <c r="MFQ160" s="72"/>
      <c r="MFR160" s="72"/>
      <c r="MFS160" s="72"/>
      <c r="MFT160" s="72"/>
      <c r="MFU160" s="72"/>
      <c r="MFV160" s="72"/>
      <c r="MFW160" s="72"/>
      <c r="MFX160" s="72"/>
      <c r="MFY160" s="72"/>
      <c r="MFZ160" s="72"/>
      <c r="MGA160" s="72"/>
      <c r="MGB160" s="72"/>
      <c r="MGC160" s="72"/>
      <c r="MGD160" s="72"/>
      <c r="MGE160" s="72"/>
      <c r="MGF160" s="72"/>
      <c r="MGG160" s="72"/>
      <c r="MGH160" s="72"/>
      <c r="MGI160" s="72"/>
      <c r="MGJ160" s="72"/>
      <c r="MGK160" s="72"/>
      <c r="MGL160" s="72"/>
      <c r="MGM160" s="72"/>
      <c r="MGN160" s="72"/>
      <c r="MGO160" s="72"/>
      <c r="MGP160" s="72"/>
      <c r="MGQ160" s="72"/>
      <c r="MGR160" s="72"/>
      <c r="MGS160" s="72"/>
      <c r="MGT160" s="72"/>
      <c r="MGU160" s="72"/>
      <c r="MGV160" s="72"/>
      <c r="MGW160" s="72"/>
      <c r="MGX160" s="72"/>
      <c r="MGY160" s="72"/>
      <c r="MGZ160" s="72"/>
      <c r="MHA160" s="72"/>
      <c r="MHB160" s="72"/>
      <c r="MHC160" s="72"/>
      <c r="MHD160" s="72"/>
      <c r="MHE160" s="72"/>
      <c r="MHF160" s="72"/>
      <c r="MHG160" s="72"/>
      <c r="MHH160" s="72"/>
      <c r="MHI160" s="72"/>
      <c r="MHJ160" s="72"/>
      <c r="MHK160" s="72"/>
      <c r="MHL160" s="72"/>
      <c r="MHM160" s="72"/>
      <c r="MHN160" s="72"/>
      <c r="MHO160" s="72"/>
      <c r="MHP160" s="72"/>
      <c r="MHQ160" s="72"/>
      <c r="MHR160" s="72"/>
      <c r="MHS160" s="72"/>
      <c r="MHT160" s="72"/>
      <c r="MHU160" s="72"/>
      <c r="MHV160" s="72"/>
      <c r="MHW160" s="72"/>
      <c r="MHX160" s="72"/>
      <c r="MHY160" s="72"/>
      <c r="MHZ160" s="72"/>
      <c r="MIA160" s="72"/>
      <c r="MIB160" s="72"/>
      <c r="MIC160" s="72"/>
      <c r="MID160" s="72"/>
      <c r="MIE160" s="72"/>
      <c r="MIF160" s="72"/>
      <c r="MIG160" s="72"/>
      <c r="MIH160" s="72"/>
      <c r="MII160" s="72"/>
      <c r="MIJ160" s="72"/>
      <c r="MIK160" s="72"/>
      <c r="MIL160" s="72"/>
      <c r="MIM160" s="72"/>
      <c r="MIN160" s="72"/>
      <c r="MIO160" s="72"/>
      <c r="MIP160" s="72"/>
      <c r="MIQ160" s="72"/>
      <c r="MIR160" s="72"/>
      <c r="MIS160" s="72"/>
      <c r="MIT160" s="72"/>
      <c r="MIU160" s="72"/>
      <c r="MIV160" s="72"/>
      <c r="MIW160" s="72"/>
      <c r="MIX160" s="72"/>
      <c r="MIY160" s="72"/>
      <c r="MIZ160" s="72"/>
      <c r="MJA160" s="72"/>
      <c r="MJB160" s="72"/>
      <c r="MJC160" s="72"/>
      <c r="MJD160" s="72"/>
      <c r="MJE160" s="72"/>
      <c r="MJF160" s="72"/>
      <c r="MJG160" s="72"/>
      <c r="MJH160" s="72"/>
      <c r="MJI160" s="72"/>
      <c r="MJJ160" s="72"/>
      <c r="MJK160" s="72"/>
      <c r="MJL160" s="72"/>
      <c r="MJM160" s="72"/>
      <c r="MJN160" s="72"/>
      <c r="MJO160" s="72"/>
      <c r="MJP160" s="72"/>
      <c r="MJQ160" s="72"/>
      <c r="MJR160" s="72"/>
      <c r="MJS160" s="72"/>
      <c r="MJT160" s="72"/>
      <c r="MJU160" s="72"/>
      <c r="MJV160" s="72"/>
      <c r="MJW160" s="72"/>
      <c r="MJX160" s="72"/>
      <c r="MJY160" s="72"/>
      <c r="MJZ160" s="72"/>
      <c r="MKA160" s="72"/>
      <c r="MKB160" s="72"/>
      <c r="MKC160" s="72"/>
      <c r="MKD160" s="72"/>
      <c r="MKE160" s="72"/>
      <c r="MKF160" s="72"/>
      <c r="MKG160" s="72"/>
      <c r="MKH160" s="72"/>
      <c r="MKI160" s="72"/>
      <c r="MKJ160" s="72"/>
      <c r="MKK160" s="72"/>
      <c r="MKL160" s="72"/>
      <c r="MKM160" s="72"/>
      <c r="MKN160" s="72"/>
      <c r="MKO160" s="72"/>
      <c r="MKP160" s="72"/>
      <c r="MKQ160" s="72"/>
      <c r="MKR160" s="72"/>
      <c r="MKS160" s="72"/>
      <c r="MKT160" s="72"/>
      <c r="MKU160" s="72"/>
      <c r="MKV160" s="72"/>
      <c r="MKW160" s="72"/>
      <c r="MKX160" s="72"/>
      <c r="MKY160" s="72"/>
      <c r="MKZ160" s="72"/>
      <c r="MLA160" s="72"/>
      <c r="MLB160" s="72"/>
      <c r="MLC160" s="72"/>
      <c r="MLD160" s="72"/>
      <c r="MLE160" s="72"/>
      <c r="MLF160" s="72"/>
      <c r="MLG160" s="72"/>
      <c r="MLH160" s="72"/>
      <c r="MLI160" s="72"/>
      <c r="MLJ160" s="72"/>
      <c r="MLK160" s="72"/>
      <c r="MLL160" s="72"/>
      <c r="MLM160" s="72"/>
      <c r="MLN160" s="72"/>
      <c r="MLO160" s="72"/>
      <c r="MLP160" s="72"/>
      <c r="MLQ160" s="72"/>
      <c r="MLR160" s="72"/>
      <c r="MLS160" s="72"/>
      <c r="MLT160" s="72"/>
      <c r="MLU160" s="72"/>
      <c r="MLV160" s="72"/>
      <c r="MLW160" s="72"/>
      <c r="MLX160" s="72"/>
      <c r="MLY160" s="72"/>
      <c r="MLZ160" s="72"/>
      <c r="MMA160" s="72"/>
      <c r="MMB160" s="72"/>
      <c r="MMC160" s="72"/>
      <c r="MMD160" s="72"/>
      <c r="MME160" s="72"/>
      <c r="MMF160" s="72"/>
      <c r="MMG160" s="72"/>
      <c r="MMH160" s="72"/>
      <c r="MMI160" s="72"/>
      <c r="MMJ160" s="72"/>
      <c r="MMK160" s="72"/>
      <c r="MML160" s="72"/>
      <c r="MMM160" s="72"/>
      <c r="MMN160" s="72"/>
      <c r="MMO160" s="72"/>
      <c r="MMP160" s="72"/>
      <c r="MMQ160" s="72"/>
      <c r="MMR160" s="72"/>
      <c r="MMS160" s="72"/>
      <c r="MMT160" s="72"/>
      <c r="MMU160" s="72"/>
      <c r="MMV160" s="72"/>
      <c r="MMW160" s="72"/>
      <c r="MMX160" s="72"/>
      <c r="MMY160" s="72"/>
      <c r="MMZ160" s="72"/>
      <c r="MNA160" s="72"/>
      <c r="MNB160" s="72"/>
      <c r="MNC160" s="72"/>
      <c r="MND160" s="72"/>
      <c r="MNE160" s="72"/>
      <c r="MNF160" s="72"/>
      <c r="MNG160" s="72"/>
      <c r="MNH160" s="72"/>
      <c r="MNI160" s="72"/>
      <c r="MNJ160" s="72"/>
      <c r="MNK160" s="72"/>
      <c r="MNL160" s="72"/>
      <c r="MNM160" s="72"/>
      <c r="MNN160" s="72"/>
      <c r="MNO160" s="72"/>
      <c r="MNP160" s="72"/>
      <c r="MNQ160" s="72"/>
      <c r="MNR160" s="72"/>
      <c r="MNS160" s="72"/>
      <c r="MNT160" s="72"/>
      <c r="MNU160" s="72"/>
      <c r="MNV160" s="72"/>
      <c r="MNW160" s="72"/>
      <c r="MNX160" s="72"/>
      <c r="MNY160" s="72"/>
      <c r="MNZ160" s="72"/>
      <c r="MOA160" s="72"/>
      <c r="MOB160" s="72"/>
      <c r="MOC160" s="72"/>
      <c r="MOD160" s="72"/>
      <c r="MOE160" s="72"/>
      <c r="MOF160" s="72"/>
      <c r="MOG160" s="72"/>
      <c r="MOH160" s="72"/>
      <c r="MOI160" s="72"/>
      <c r="MOJ160" s="72"/>
      <c r="MOK160" s="72"/>
      <c r="MOL160" s="72"/>
      <c r="MOM160" s="72"/>
      <c r="MON160" s="72"/>
      <c r="MOO160" s="72"/>
      <c r="MOP160" s="72"/>
      <c r="MOQ160" s="72"/>
      <c r="MOR160" s="72"/>
      <c r="MOS160" s="72"/>
      <c r="MOT160" s="72"/>
      <c r="MOU160" s="72"/>
      <c r="MOV160" s="72"/>
      <c r="MOW160" s="72"/>
      <c r="MOX160" s="72"/>
      <c r="MOY160" s="72"/>
      <c r="MOZ160" s="72"/>
      <c r="MPA160" s="72"/>
      <c r="MPB160" s="72"/>
      <c r="MPC160" s="72"/>
      <c r="MPD160" s="72"/>
      <c r="MPE160" s="72"/>
      <c r="MPF160" s="72"/>
      <c r="MPG160" s="72"/>
      <c r="MPH160" s="72"/>
      <c r="MPI160" s="72"/>
      <c r="MPJ160" s="72"/>
      <c r="MPK160" s="72"/>
      <c r="MPL160" s="72"/>
      <c r="MPM160" s="72"/>
      <c r="MPN160" s="72"/>
      <c r="MPO160" s="72"/>
      <c r="MPP160" s="72"/>
      <c r="MPQ160" s="72"/>
      <c r="MPR160" s="72"/>
      <c r="MPS160" s="72"/>
      <c r="MPT160" s="72"/>
      <c r="MPU160" s="72"/>
      <c r="MPV160" s="72"/>
      <c r="MPW160" s="72"/>
      <c r="MPX160" s="72"/>
      <c r="MPY160" s="72"/>
      <c r="MPZ160" s="72"/>
      <c r="MQA160" s="72"/>
      <c r="MQB160" s="72"/>
      <c r="MQC160" s="72"/>
      <c r="MQD160" s="72"/>
      <c r="MQE160" s="72"/>
      <c r="MQF160" s="72"/>
      <c r="MQG160" s="72"/>
      <c r="MQH160" s="72"/>
      <c r="MQI160" s="72"/>
      <c r="MQJ160" s="72"/>
      <c r="MQK160" s="72"/>
      <c r="MQL160" s="72"/>
      <c r="MQM160" s="72"/>
      <c r="MQN160" s="72"/>
      <c r="MQO160" s="72"/>
      <c r="MQP160" s="72"/>
      <c r="MQQ160" s="72"/>
      <c r="MQR160" s="72"/>
      <c r="MQS160" s="72"/>
      <c r="MQT160" s="72"/>
      <c r="MQU160" s="72"/>
      <c r="MQV160" s="72"/>
      <c r="MQW160" s="72"/>
      <c r="MQX160" s="72"/>
      <c r="MQY160" s="72"/>
      <c r="MQZ160" s="72"/>
      <c r="MRA160" s="72"/>
      <c r="MRB160" s="72"/>
      <c r="MRC160" s="72"/>
      <c r="MRD160" s="72"/>
      <c r="MRE160" s="72"/>
      <c r="MRF160" s="72"/>
      <c r="MRG160" s="72"/>
      <c r="MRH160" s="72"/>
      <c r="MRI160" s="72"/>
      <c r="MRJ160" s="72"/>
      <c r="MRK160" s="72"/>
      <c r="MRL160" s="72"/>
      <c r="MRM160" s="72"/>
      <c r="MRN160" s="72"/>
      <c r="MRO160" s="72"/>
      <c r="MRP160" s="72"/>
      <c r="MRQ160" s="72"/>
      <c r="MRR160" s="72"/>
      <c r="MRS160" s="72"/>
      <c r="MRT160" s="72"/>
      <c r="MRU160" s="72"/>
      <c r="MRV160" s="72"/>
      <c r="MRW160" s="72"/>
      <c r="MRX160" s="72"/>
      <c r="MRY160" s="72"/>
      <c r="MRZ160" s="72"/>
      <c r="MSA160" s="72"/>
      <c r="MSB160" s="72"/>
      <c r="MSC160" s="72"/>
      <c r="MSD160" s="72"/>
      <c r="MSE160" s="72"/>
      <c r="MSF160" s="72"/>
      <c r="MSG160" s="72"/>
      <c r="MSH160" s="72"/>
      <c r="MSI160" s="72"/>
      <c r="MSJ160" s="72"/>
      <c r="MSK160" s="72"/>
      <c r="MSL160" s="72"/>
      <c r="MSM160" s="72"/>
      <c r="MSN160" s="72"/>
      <c r="MSO160" s="72"/>
      <c r="MSP160" s="72"/>
      <c r="MSQ160" s="72"/>
      <c r="MSR160" s="72"/>
      <c r="MSS160" s="72"/>
      <c r="MST160" s="72"/>
      <c r="MSU160" s="72"/>
      <c r="MSV160" s="72"/>
      <c r="MSW160" s="72"/>
      <c r="MSX160" s="72"/>
      <c r="MSY160" s="72"/>
      <c r="MSZ160" s="72"/>
      <c r="MTA160" s="72"/>
      <c r="MTB160" s="72"/>
      <c r="MTC160" s="72"/>
      <c r="MTD160" s="72"/>
      <c r="MTE160" s="72"/>
      <c r="MTF160" s="72"/>
      <c r="MTG160" s="72"/>
      <c r="MTH160" s="72"/>
      <c r="MTI160" s="72"/>
      <c r="MTJ160" s="72"/>
      <c r="MTK160" s="72"/>
      <c r="MTL160" s="72"/>
      <c r="MTM160" s="72"/>
      <c r="MTN160" s="72"/>
      <c r="MTO160" s="72"/>
      <c r="MTP160" s="72"/>
      <c r="MTQ160" s="72"/>
      <c r="MTR160" s="72"/>
      <c r="MTS160" s="72"/>
      <c r="MTT160" s="72"/>
      <c r="MTU160" s="72"/>
      <c r="MTV160" s="72"/>
      <c r="MTW160" s="72"/>
      <c r="MTX160" s="72"/>
      <c r="MTY160" s="72"/>
      <c r="MTZ160" s="72"/>
      <c r="MUA160" s="72"/>
      <c r="MUB160" s="72"/>
      <c r="MUC160" s="72"/>
      <c r="MUD160" s="72"/>
      <c r="MUE160" s="72"/>
      <c r="MUF160" s="72"/>
      <c r="MUG160" s="72"/>
      <c r="MUH160" s="72"/>
      <c r="MUI160" s="72"/>
      <c r="MUJ160" s="72"/>
      <c r="MUK160" s="72"/>
      <c r="MUL160" s="72"/>
      <c r="MUM160" s="72"/>
      <c r="MUN160" s="72"/>
      <c r="MUO160" s="72"/>
      <c r="MUP160" s="72"/>
      <c r="MUQ160" s="72"/>
      <c r="MUR160" s="72"/>
      <c r="MUS160" s="72"/>
      <c r="MUT160" s="72"/>
      <c r="MUU160" s="72"/>
      <c r="MUV160" s="72"/>
      <c r="MUW160" s="72"/>
      <c r="MUX160" s="72"/>
      <c r="MUY160" s="72"/>
      <c r="MUZ160" s="72"/>
      <c r="MVA160" s="72"/>
      <c r="MVB160" s="72"/>
      <c r="MVC160" s="72"/>
      <c r="MVD160" s="72"/>
      <c r="MVE160" s="72"/>
      <c r="MVF160" s="72"/>
      <c r="MVG160" s="72"/>
      <c r="MVH160" s="72"/>
      <c r="MVI160" s="72"/>
      <c r="MVJ160" s="72"/>
      <c r="MVK160" s="72"/>
      <c r="MVL160" s="72"/>
      <c r="MVM160" s="72"/>
      <c r="MVN160" s="72"/>
      <c r="MVO160" s="72"/>
      <c r="MVP160" s="72"/>
      <c r="MVQ160" s="72"/>
      <c r="MVR160" s="72"/>
      <c r="MVS160" s="72"/>
      <c r="MVT160" s="72"/>
      <c r="MVU160" s="72"/>
      <c r="MVV160" s="72"/>
      <c r="MVW160" s="72"/>
      <c r="MVX160" s="72"/>
      <c r="MVY160" s="72"/>
      <c r="MVZ160" s="72"/>
      <c r="MWA160" s="72"/>
      <c r="MWB160" s="72"/>
      <c r="MWC160" s="72"/>
      <c r="MWD160" s="72"/>
      <c r="MWE160" s="72"/>
      <c r="MWF160" s="72"/>
      <c r="MWG160" s="72"/>
      <c r="MWH160" s="72"/>
      <c r="MWI160" s="72"/>
      <c r="MWJ160" s="72"/>
      <c r="MWK160" s="72"/>
      <c r="MWL160" s="72"/>
      <c r="MWM160" s="72"/>
      <c r="MWN160" s="72"/>
      <c r="MWO160" s="72"/>
      <c r="MWP160" s="72"/>
      <c r="MWQ160" s="72"/>
      <c r="MWR160" s="72"/>
      <c r="MWS160" s="72"/>
      <c r="MWT160" s="72"/>
      <c r="MWU160" s="72"/>
      <c r="MWV160" s="72"/>
      <c r="MWW160" s="72"/>
      <c r="MWX160" s="72"/>
      <c r="MWY160" s="72"/>
      <c r="MWZ160" s="72"/>
      <c r="MXA160" s="72"/>
      <c r="MXB160" s="72"/>
      <c r="MXC160" s="72"/>
      <c r="MXD160" s="72"/>
      <c r="MXE160" s="72"/>
      <c r="MXF160" s="72"/>
      <c r="MXG160" s="72"/>
      <c r="MXH160" s="72"/>
      <c r="MXI160" s="72"/>
      <c r="MXJ160" s="72"/>
      <c r="MXK160" s="72"/>
      <c r="MXL160" s="72"/>
      <c r="MXM160" s="72"/>
      <c r="MXN160" s="72"/>
      <c r="MXO160" s="72"/>
      <c r="MXP160" s="72"/>
      <c r="MXQ160" s="72"/>
      <c r="MXR160" s="72"/>
      <c r="MXS160" s="72"/>
      <c r="MXT160" s="72"/>
      <c r="MXU160" s="72"/>
      <c r="MXV160" s="72"/>
      <c r="MXW160" s="72"/>
      <c r="MXX160" s="72"/>
      <c r="MXY160" s="72"/>
      <c r="MXZ160" s="72"/>
      <c r="MYA160" s="72"/>
      <c r="MYB160" s="72"/>
      <c r="MYC160" s="72"/>
      <c r="MYD160" s="72"/>
      <c r="MYE160" s="72"/>
      <c r="MYF160" s="72"/>
      <c r="MYG160" s="72"/>
      <c r="MYH160" s="72"/>
      <c r="MYI160" s="72"/>
      <c r="MYJ160" s="72"/>
      <c r="MYK160" s="72"/>
      <c r="MYL160" s="72"/>
      <c r="MYM160" s="72"/>
      <c r="MYN160" s="72"/>
      <c r="MYO160" s="72"/>
      <c r="MYP160" s="72"/>
      <c r="MYQ160" s="72"/>
      <c r="MYR160" s="72"/>
      <c r="MYS160" s="72"/>
      <c r="MYT160" s="72"/>
      <c r="MYU160" s="72"/>
      <c r="MYV160" s="72"/>
      <c r="MYW160" s="72"/>
      <c r="MYX160" s="72"/>
      <c r="MYY160" s="72"/>
      <c r="MYZ160" s="72"/>
      <c r="MZA160" s="72"/>
      <c r="MZB160" s="72"/>
      <c r="MZC160" s="72"/>
      <c r="MZD160" s="72"/>
      <c r="MZE160" s="72"/>
      <c r="MZF160" s="72"/>
      <c r="MZG160" s="72"/>
      <c r="MZH160" s="72"/>
      <c r="MZI160" s="72"/>
      <c r="MZJ160" s="72"/>
      <c r="MZK160" s="72"/>
      <c r="MZL160" s="72"/>
      <c r="MZM160" s="72"/>
      <c r="MZN160" s="72"/>
      <c r="MZO160" s="72"/>
      <c r="MZP160" s="72"/>
      <c r="MZQ160" s="72"/>
      <c r="MZR160" s="72"/>
      <c r="MZS160" s="72"/>
      <c r="MZT160" s="72"/>
      <c r="MZU160" s="72"/>
      <c r="MZV160" s="72"/>
      <c r="MZW160" s="72"/>
      <c r="MZX160" s="72"/>
      <c r="MZY160" s="72"/>
      <c r="MZZ160" s="72"/>
      <c r="NAA160" s="72"/>
      <c r="NAB160" s="72"/>
      <c r="NAC160" s="72"/>
      <c r="NAD160" s="72"/>
      <c r="NAE160" s="72"/>
      <c r="NAF160" s="72"/>
      <c r="NAG160" s="72"/>
      <c r="NAH160" s="72"/>
      <c r="NAI160" s="72"/>
      <c r="NAJ160" s="72"/>
      <c r="NAK160" s="72"/>
      <c r="NAL160" s="72"/>
      <c r="NAM160" s="72"/>
      <c r="NAN160" s="72"/>
      <c r="NAO160" s="72"/>
      <c r="NAP160" s="72"/>
      <c r="NAQ160" s="72"/>
      <c r="NAR160" s="72"/>
      <c r="NAS160" s="72"/>
      <c r="NAT160" s="72"/>
      <c r="NAU160" s="72"/>
      <c r="NAV160" s="72"/>
      <c r="NAW160" s="72"/>
      <c r="NAX160" s="72"/>
      <c r="NAY160" s="72"/>
      <c r="NAZ160" s="72"/>
      <c r="NBA160" s="72"/>
      <c r="NBB160" s="72"/>
      <c r="NBC160" s="72"/>
      <c r="NBD160" s="72"/>
      <c r="NBE160" s="72"/>
      <c r="NBF160" s="72"/>
      <c r="NBG160" s="72"/>
      <c r="NBH160" s="72"/>
      <c r="NBI160" s="72"/>
      <c r="NBJ160" s="72"/>
      <c r="NBK160" s="72"/>
      <c r="NBL160" s="72"/>
      <c r="NBM160" s="72"/>
      <c r="NBN160" s="72"/>
      <c r="NBO160" s="72"/>
      <c r="NBP160" s="72"/>
      <c r="NBQ160" s="72"/>
      <c r="NBR160" s="72"/>
      <c r="NBS160" s="72"/>
      <c r="NBT160" s="72"/>
      <c r="NBU160" s="72"/>
      <c r="NBV160" s="72"/>
      <c r="NBW160" s="72"/>
      <c r="NBX160" s="72"/>
      <c r="NBY160" s="72"/>
      <c r="NBZ160" s="72"/>
      <c r="NCA160" s="72"/>
      <c r="NCB160" s="72"/>
      <c r="NCC160" s="72"/>
      <c r="NCD160" s="72"/>
      <c r="NCE160" s="72"/>
      <c r="NCF160" s="72"/>
      <c r="NCG160" s="72"/>
      <c r="NCH160" s="72"/>
      <c r="NCI160" s="72"/>
      <c r="NCJ160" s="72"/>
      <c r="NCK160" s="72"/>
      <c r="NCL160" s="72"/>
      <c r="NCM160" s="72"/>
      <c r="NCN160" s="72"/>
      <c r="NCO160" s="72"/>
      <c r="NCP160" s="72"/>
      <c r="NCQ160" s="72"/>
      <c r="NCR160" s="72"/>
      <c r="NCS160" s="72"/>
      <c r="NCT160" s="72"/>
      <c r="NCU160" s="72"/>
      <c r="NCV160" s="72"/>
      <c r="NCW160" s="72"/>
      <c r="NCX160" s="72"/>
      <c r="NCY160" s="72"/>
      <c r="NCZ160" s="72"/>
      <c r="NDA160" s="72"/>
      <c r="NDB160" s="72"/>
      <c r="NDC160" s="72"/>
      <c r="NDD160" s="72"/>
      <c r="NDE160" s="72"/>
      <c r="NDF160" s="72"/>
      <c r="NDG160" s="72"/>
      <c r="NDH160" s="72"/>
      <c r="NDI160" s="72"/>
      <c r="NDJ160" s="72"/>
      <c r="NDK160" s="72"/>
      <c r="NDL160" s="72"/>
      <c r="NDM160" s="72"/>
      <c r="NDN160" s="72"/>
      <c r="NDO160" s="72"/>
      <c r="NDP160" s="72"/>
      <c r="NDQ160" s="72"/>
      <c r="NDR160" s="72"/>
      <c r="NDS160" s="72"/>
      <c r="NDT160" s="72"/>
      <c r="NDU160" s="72"/>
      <c r="NDV160" s="72"/>
      <c r="NDW160" s="72"/>
      <c r="NDX160" s="72"/>
      <c r="NDY160" s="72"/>
      <c r="NDZ160" s="72"/>
      <c r="NEA160" s="72"/>
      <c r="NEB160" s="72"/>
      <c r="NEC160" s="72"/>
      <c r="NED160" s="72"/>
      <c r="NEE160" s="72"/>
      <c r="NEF160" s="72"/>
      <c r="NEG160" s="72"/>
      <c r="NEH160" s="72"/>
      <c r="NEI160" s="72"/>
      <c r="NEJ160" s="72"/>
      <c r="NEK160" s="72"/>
      <c r="NEL160" s="72"/>
      <c r="NEM160" s="72"/>
      <c r="NEN160" s="72"/>
      <c r="NEO160" s="72"/>
      <c r="NEP160" s="72"/>
      <c r="NEQ160" s="72"/>
      <c r="NER160" s="72"/>
      <c r="NES160" s="72"/>
      <c r="NET160" s="72"/>
      <c r="NEU160" s="72"/>
      <c r="NEV160" s="72"/>
      <c r="NEW160" s="72"/>
      <c r="NEX160" s="72"/>
      <c r="NEY160" s="72"/>
      <c r="NEZ160" s="72"/>
      <c r="NFA160" s="72"/>
      <c r="NFB160" s="72"/>
      <c r="NFC160" s="72"/>
      <c r="NFD160" s="72"/>
      <c r="NFE160" s="72"/>
      <c r="NFF160" s="72"/>
      <c r="NFG160" s="72"/>
      <c r="NFH160" s="72"/>
      <c r="NFI160" s="72"/>
      <c r="NFJ160" s="72"/>
      <c r="NFK160" s="72"/>
      <c r="NFL160" s="72"/>
      <c r="NFM160" s="72"/>
      <c r="NFN160" s="72"/>
      <c r="NFO160" s="72"/>
      <c r="NFP160" s="72"/>
      <c r="NFQ160" s="72"/>
      <c r="NFR160" s="72"/>
      <c r="NFS160" s="72"/>
      <c r="NFT160" s="72"/>
      <c r="NFU160" s="72"/>
      <c r="NFV160" s="72"/>
      <c r="NFW160" s="72"/>
      <c r="NFX160" s="72"/>
      <c r="NFY160" s="72"/>
      <c r="NFZ160" s="72"/>
      <c r="NGA160" s="72"/>
      <c r="NGB160" s="72"/>
      <c r="NGC160" s="72"/>
      <c r="NGD160" s="72"/>
      <c r="NGE160" s="72"/>
      <c r="NGF160" s="72"/>
      <c r="NGG160" s="72"/>
      <c r="NGH160" s="72"/>
      <c r="NGI160" s="72"/>
      <c r="NGJ160" s="72"/>
      <c r="NGK160" s="72"/>
      <c r="NGL160" s="72"/>
      <c r="NGM160" s="72"/>
      <c r="NGN160" s="72"/>
      <c r="NGO160" s="72"/>
      <c r="NGP160" s="72"/>
      <c r="NGQ160" s="72"/>
      <c r="NGR160" s="72"/>
      <c r="NGS160" s="72"/>
      <c r="NGT160" s="72"/>
      <c r="NGU160" s="72"/>
      <c r="NGV160" s="72"/>
      <c r="NGW160" s="72"/>
      <c r="NGX160" s="72"/>
      <c r="NGY160" s="72"/>
      <c r="NGZ160" s="72"/>
      <c r="NHA160" s="72"/>
      <c r="NHB160" s="72"/>
      <c r="NHC160" s="72"/>
      <c r="NHD160" s="72"/>
      <c r="NHE160" s="72"/>
      <c r="NHF160" s="72"/>
      <c r="NHG160" s="72"/>
      <c r="NHH160" s="72"/>
      <c r="NHI160" s="72"/>
      <c r="NHJ160" s="72"/>
      <c r="NHK160" s="72"/>
      <c r="NHL160" s="72"/>
      <c r="NHM160" s="72"/>
      <c r="NHN160" s="72"/>
      <c r="NHO160" s="72"/>
      <c r="NHP160" s="72"/>
      <c r="NHQ160" s="72"/>
      <c r="NHR160" s="72"/>
      <c r="NHS160" s="72"/>
      <c r="NHT160" s="72"/>
      <c r="NHU160" s="72"/>
      <c r="NHV160" s="72"/>
      <c r="NHW160" s="72"/>
      <c r="NHX160" s="72"/>
      <c r="NHY160" s="72"/>
      <c r="NHZ160" s="72"/>
      <c r="NIA160" s="72"/>
      <c r="NIB160" s="72"/>
      <c r="NIC160" s="72"/>
      <c r="NID160" s="72"/>
      <c r="NIE160" s="72"/>
      <c r="NIF160" s="72"/>
      <c r="NIG160" s="72"/>
      <c r="NIH160" s="72"/>
      <c r="NII160" s="72"/>
      <c r="NIJ160" s="72"/>
      <c r="NIK160" s="72"/>
      <c r="NIL160" s="72"/>
      <c r="NIM160" s="72"/>
      <c r="NIN160" s="72"/>
      <c r="NIO160" s="72"/>
      <c r="NIP160" s="72"/>
      <c r="NIQ160" s="72"/>
      <c r="NIR160" s="72"/>
      <c r="NIS160" s="72"/>
      <c r="NIT160" s="72"/>
      <c r="NIU160" s="72"/>
      <c r="NIV160" s="72"/>
      <c r="NIW160" s="72"/>
      <c r="NIX160" s="72"/>
      <c r="NIY160" s="72"/>
      <c r="NIZ160" s="72"/>
      <c r="NJA160" s="72"/>
      <c r="NJB160" s="72"/>
      <c r="NJC160" s="72"/>
      <c r="NJD160" s="72"/>
      <c r="NJE160" s="72"/>
      <c r="NJF160" s="72"/>
      <c r="NJG160" s="72"/>
      <c r="NJH160" s="72"/>
      <c r="NJI160" s="72"/>
      <c r="NJJ160" s="72"/>
      <c r="NJK160" s="72"/>
      <c r="NJL160" s="72"/>
      <c r="NJM160" s="72"/>
      <c r="NJN160" s="72"/>
      <c r="NJO160" s="72"/>
      <c r="NJP160" s="72"/>
      <c r="NJQ160" s="72"/>
      <c r="NJR160" s="72"/>
      <c r="NJS160" s="72"/>
      <c r="NJT160" s="72"/>
      <c r="NJU160" s="72"/>
      <c r="NJV160" s="72"/>
      <c r="NJW160" s="72"/>
      <c r="NJX160" s="72"/>
      <c r="NJY160" s="72"/>
      <c r="NJZ160" s="72"/>
      <c r="NKA160" s="72"/>
      <c r="NKB160" s="72"/>
      <c r="NKC160" s="72"/>
      <c r="NKD160" s="72"/>
      <c r="NKE160" s="72"/>
      <c r="NKF160" s="72"/>
      <c r="NKG160" s="72"/>
      <c r="NKH160" s="72"/>
      <c r="NKI160" s="72"/>
      <c r="NKJ160" s="72"/>
      <c r="NKK160" s="72"/>
      <c r="NKL160" s="72"/>
      <c r="NKM160" s="72"/>
      <c r="NKN160" s="72"/>
      <c r="NKO160" s="72"/>
      <c r="NKP160" s="72"/>
      <c r="NKQ160" s="72"/>
      <c r="NKR160" s="72"/>
      <c r="NKS160" s="72"/>
      <c r="NKT160" s="72"/>
      <c r="NKU160" s="72"/>
      <c r="NKV160" s="72"/>
      <c r="NKW160" s="72"/>
      <c r="NKX160" s="72"/>
      <c r="NKY160" s="72"/>
      <c r="NKZ160" s="72"/>
      <c r="NLA160" s="72"/>
      <c r="NLB160" s="72"/>
      <c r="NLC160" s="72"/>
      <c r="NLD160" s="72"/>
      <c r="NLE160" s="72"/>
      <c r="NLF160" s="72"/>
      <c r="NLG160" s="72"/>
      <c r="NLH160" s="72"/>
      <c r="NLI160" s="72"/>
      <c r="NLJ160" s="72"/>
      <c r="NLK160" s="72"/>
      <c r="NLL160" s="72"/>
      <c r="NLM160" s="72"/>
      <c r="NLN160" s="72"/>
      <c r="NLO160" s="72"/>
      <c r="NLP160" s="72"/>
      <c r="NLQ160" s="72"/>
      <c r="NLR160" s="72"/>
      <c r="NLS160" s="72"/>
      <c r="NLT160" s="72"/>
      <c r="NLU160" s="72"/>
      <c r="NLV160" s="72"/>
      <c r="NLW160" s="72"/>
      <c r="NLX160" s="72"/>
      <c r="NLY160" s="72"/>
      <c r="NLZ160" s="72"/>
      <c r="NMA160" s="72"/>
      <c r="NMB160" s="72"/>
      <c r="NMC160" s="72"/>
      <c r="NMD160" s="72"/>
      <c r="NME160" s="72"/>
      <c r="NMF160" s="72"/>
      <c r="NMG160" s="72"/>
      <c r="NMH160" s="72"/>
      <c r="NMI160" s="72"/>
      <c r="NMJ160" s="72"/>
      <c r="NMK160" s="72"/>
      <c r="NML160" s="72"/>
      <c r="NMM160" s="72"/>
      <c r="NMN160" s="72"/>
      <c r="NMO160" s="72"/>
      <c r="NMP160" s="72"/>
      <c r="NMQ160" s="72"/>
      <c r="NMR160" s="72"/>
      <c r="NMS160" s="72"/>
      <c r="NMT160" s="72"/>
      <c r="NMU160" s="72"/>
      <c r="NMV160" s="72"/>
      <c r="NMW160" s="72"/>
      <c r="NMX160" s="72"/>
      <c r="NMY160" s="72"/>
      <c r="NMZ160" s="72"/>
      <c r="NNA160" s="72"/>
      <c r="NNB160" s="72"/>
      <c r="NNC160" s="72"/>
      <c r="NND160" s="72"/>
      <c r="NNE160" s="72"/>
      <c r="NNF160" s="72"/>
      <c r="NNG160" s="72"/>
      <c r="NNH160" s="72"/>
      <c r="NNI160" s="72"/>
      <c r="NNJ160" s="72"/>
      <c r="NNK160" s="72"/>
      <c r="NNL160" s="72"/>
      <c r="NNM160" s="72"/>
      <c r="NNN160" s="72"/>
      <c r="NNO160" s="72"/>
      <c r="NNP160" s="72"/>
      <c r="NNQ160" s="72"/>
      <c r="NNR160" s="72"/>
      <c r="NNS160" s="72"/>
      <c r="NNT160" s="72"/>
      <c r="NNU160" s="72"/>
      <c r="NNV160" s="72"/>
      <c r="NNW160" s="72"/>
      <c r="NNX160" s="72"/>
      <c r="NNY160" s="72"/>
      <c r="NNZ160" s="72"/>
      <c r="NOA160" s="72"/>
      <c r="NOB160" s="72"/>
      <c r="NOC160" s="72"/>
      <c r="NOD160" s="72"/>
      <c r="NOE160" s="72"/>
      <c r="NOF160" s="72"/>
      <c r="NOG160" s="72"/>
      <c r="NOH160" s="72"/>
      <c r="NOI160" s="72"/>
      <c r="NOJ160" s="72"/>
      <c r="NOK160" s="72"/>
      <c r="NOL160" s="72"/>
      <c r="NOM160" s="72"/>
      <c r="NON160" s="72"/>
      <c r="NOO160" s="72"/>
      <c r="NOP160" s="72"/>
      <c r="NOQ160" s="72"/>
      <c r="NOR160" s="72"/>
      <c r="NOS160" s="72"/>
      <c r="NOT160" s="72"/>
      <c r="NOU160" s="72"/>
      <c r="NOV160" s="72"/>
      <c r="NOW160" s="72"/>
      <c r="NOX160" s="72"/>
      <c r="NOY160" s="72"/>
      <c r="NOZ160" s="72"/>
      <c r="NPA160" s="72"/>
      <c r="NPB160" s="72"/>
      <c r="NPC160" s="72"/>
      <c r="NPD160" s="72"/>
      <c r="NPE160" s="72"/>
      <c r="NPF160" s="72"/>
      <c r="NPG160" s="72"/>
      <c r="NPH160" s="72"/>
      <c r="NPI160" s="72"/>
      <c r="NPJ160" s="72"/>
      <c r="NPK160" s="72"/>
      <c r="NPL160" s="72"/>
      <c r="NPM160" s="72"/>
      <c r="NPN160" s="72"/>
      <c r="NPO160" s="72"/>
      <c r="NPP160" s="72"/>
      <c r="NPQ160" s="72"/>
      <c r="NPR160" s="72"/>
      <c r="NPS160" s="72"/>
      <c r="NPT160" s="72"/>
      <c r="NPU160" s="72"/>
      <c r="NPV160" s="72"/>
      <c r="NPW160" s="72"/>
      <c r="NPX160" s="72"/>
      <c r="NPY160" s="72"/>
      <c r="NPZ160" s="72"/>
      <c r="NQA160" s="72"/>
      <c r="NQB160" s="72"/>
      <c r="NQC160" s="72"/>
      <c r="NQD160" s="72"/>
      <c r="NQE160" s="72"/>
      <c r="NQF160" s="72"/>
      <c r="NQG160" s="72"/>
      <c r="NQH160" s="72"/>
      <c r="NQI160" s="72"/>
      <c r="NQJ160" s="72"/>
      <c r="NQK160" s="72"/>
      <c r="NQL160" s="72"/>
      <c r="NQM160" s="72"/>
      <c r="NQN160" s="72"/>
      <c r="NQO160" s="72"/>
      <c r="NQP160" s="72"/>
      <c r="NQQ160" s="72"/>
      <c r="NQR160" s="72"/>
      <c r="NQS160" s="72"/>
      <c r="NQT160" s="72"/>
      <c r="NQU160" s="72"/>
      <c r="NQV160" s="72"/>
      <c r="NQW160" s="72"/>
      <c r="NQX160" s="72"/>
      <c r="NQY160" s="72"/>
      <c r="NQZ160" s="72"/>
      <c r="NRA160" s="72"/>
      <c r="NRB160" s="72"/>
      <c r="NRC160" s="72"/>
      <c r="NRD160" s="72"/>
      <c r="NRE160" s="72"/>
      <c r="NRF160" s="72"/>
      <c r="NRG160" s="72"/>
      <c r="NRH160" s="72"/>
      <c r="NRI160" s="72"/>
      <c r="NRJ160" s="72"/>
      <c r="NRK160" s="72"/>
      <c r="NRL160" s="72"/>
      <c r="NRM160" s="72"/>
      <c r="NRN160" s="72"/>
      <c r="NRO160" s="72"/>
      <c r="NRP160" s="72"/>
      <c r="NRQ160" s="72"/>
      <c r="NRR160" s="72"/>
      <c r="NRS160" s="72"/>
      <c r="NRT160" s="72"/>
      <c r="NRU160" s="72"/>
      <c r="NRV160" s="72"/>
      <c r="NRW160" s="72"/>
      <c r="NRX160" s="72"/>
      <c r="NRY160" s="72"/>
      <c r="NRZ160" s="72"/>
      <c r="NSA160" s="72"/>
      <c r="NSB160" s="72"/>
      <c r="NSC160" s="72"/>
      <c r="NSD160" s="72"/>
      <c r="NSE160" s="72"/>
      <c r="NSF160" s="72"/>
      <c r="NSG160" s="72"/>
      <c r="NSH160" s="72"/>
      <c r="NSI160" s="72"/>
      <c r="NSJ160" s="72"/>
      <c r="NSK160" s="72"/>
      <c r="NSL160" s="72"/>
      <c r="NSM160" s="72"/>
      <c r="NSN160" s="72"/>
      <c r="NSO160" s="72"/>
      <c r="NSP160" s="72"/>
      <c r="NSQ160" s="72"/>
      <c r="NSR160" s="72"/>
      <c r="NSS160" s="72"/>
      <c r="NST160" s="72"/>
      <c r="NSU160" s="72"/>
      <c r="NSV160" s="72"/>
      <c r="NSW160" s="72"/>
      <c r="NSX160" s="72"/>
      <c r="NSY160" s="72"/>
      <c r="NSZ160" s="72"/>
      <c r="NTA160" s="72"/>
      <c r="NTB160" s="72"/>
      <c r="NTC160" s="72"/>
      <c r="NTD160" s="72"/>
      <c r="NTE160" s="72"/>
      <c r="NTF160" s="72"/>
      <c r="NTG160" s="72"/>
      <c r="NTH160" s="72"/>
      <c r="NTI160" s="72"/>
      <c r="NTJ160" s="72"/>
      <c r="NTK160" s="72"/>
      <c r="NTL160" s="72"/>
      <c r="NTM160" s="72"/>
      <c r="NTN160" s="72"/>
      <c r="NTO160" s="72"/>
      <c r="NTP160" s="72"/>
      <c r="NTQ160" s="72"/>
      <c r="NTR160" s="72"/>
      <c r="NTS160" s="72"/>
      <c r="NTT160" s="72"/>
      <c r="NTU160" s="72"/>
      <c r="NTV160" s="72"/>
      <c r="NTW160" s="72"/>
      <c r="NTX160" s="72"/>
      <c r="NTY160" s="72"/>
      <c r="NTZ160" s="72"/>
      <c r="NUA160" s="72"/>
      <c r="NUB160" s="72"/>
      <c r="NUC160" s="72"/>
      <c r="NUD160" s="72"/>
      <c r="NUE160" s="72"/>
      <c r="NUF160" s="72"/>
      <c r="NUG160" s="72"/>
      <c r="NUH160" s="72"/>
      <c r="NUI160" s="72"/>
      <c r="NUJ160" s="72"/>
      <c r="NUK160" s="72"/>
      <c r="NUL160" s="72"/>
      <c r="NUM160" s="72"/>
      <c r="NUN160" s="72"/>
      <c r="NUO160" s="72"/>
      <c r="NUP160" s="72"/>
      <c r="NUQ160" s="72"/>
      <c r="NUR160" s="72"/>
      <c r="NUS160" s="72"/>
      <c r="NUT160" s="72"/>
      <c r="NUU160" s="72"/>
      <c r="NUV160" s="72"/>
      <c r="NUW160" s="72"/>
      <c r="NUX160" s="72"/>
      <c r="NUY160" s="72"/>
      <c r="NUZ160" s="72"/>
      <c r="NVA160" s="72"/>
      <c r="NVB160" s="72"/>
      <c r="NVC160" s="72"/>
      <c r="NVD160" s="72"/>
      <c r="NVE160" s="72"/>
      <c r="NVF160" s="72"/>
      <c r="NVG160" s="72"/>
      <c r="NVH160" s="72"/>
      <c r="NVI160" s="72"/>
      <c r="NVJ160" s="72"/>
      <c r="NVK160" s="72"/>
      <c r="NVL160" s="72"/>
      <c r="NVM160" s="72"/>
      <c r="NVN160" s="72"/>
      <c r="NVO160" s="72"/>
      <c r="NVP160" s="72"/>
      <c r="NVQ160" s="72"/>
      <c r="NVR160" s="72"/>
      <c r="NVS160" s="72"/>
      <c r="NVT160" s="72"/>
      <c r="NVU160" s="72"/>
      <c r="NVV160" s="72"/>
      <c r="NVW160" s="72"/>
      <c r="NVX160" s="72"/>
      <c r="NVY160" s="72"/>
      <c r="NVZ160" s="72"/>
      <c r="NWA160" s="72"/>
      <c r="NWB160" s="72"/>
      <c r="NWC160" s="72"/>
      <c r="NWD160" s="72"/>
      <c r="NWE160" s="72"/>
      <c r="NWF160" s="72"/>
      <c r="NWG160" s="72"/>
      <c r="NWH160" s="72"/>
      <c r="NWI160" s="72"/>
      <c r="NWJ160" s="72"/>
      <c r="NWK160" s="72"/>
      <c r="NWL160" s="72"/>
      <c r="NWM160" s="72"/>
      <c r="NWN160" s="72"/>
      <c r="NWO160" s="72"/>
      <c r="NWP160" s="72"/>
      <c r="NWQ160" s="72"/>
      <c r="NWR160" s="72"/>
      <c r="NWS160" s="72"/>
      <c r="NWT160" s="72"/>
      <c r="NWU160" s="72"/>
      <c r="NWV160" s="72"/>
      <c r="NWW160" s="72"/>
      <c r="NWX160" s="72"/>
      <c r="NWY160" s="72"/>
      <c r="NWZ160" s="72"/>
      <c r="NXA160" s="72"/>
      <c r="NXB160" s="72"/>
      <c r="NXC160" s="72"/>
      <c r="NXD160" s="72"/>
      <c r="NXE160" s="72"/>
      <c r="NXF160" s="72"/>
      <c r="NXG160" s="72"/>
      <c r="NXH160" s="72"/>
      <c r="NXI160" s="72"/>
      <c r="NXJ160" s="72"/>
      <c r="NXK160" s="72"/>
      <c r="NXL160" s="72"/>
      <c r="NXM160" s="72"/>
      <c r="NXN160" s="72"/>
      <c r="NXO160" s="72"/>
      <c r="NXP160" s="72"/>
      <c r="NXQ160" s="72"/>
      <c r="NXR160" s="72"/>
      <c r="NXS160" s="72"/>
      <c r="NXT160" s="72"/>
      <c r="NXU160" s="72"/>
      <c r="NXV160" s="72"/>
      <c r="NXW160" s="72"/>
      <c r="NXX160" s="72"/>
      <c r="NXY160" s="72"/>
      <c r="NXZ160" s="72"/>
      <c r="NYA160" s="72"/>
      <c r="NYB160" s="72"/>
      <c r="NYC160" s="72"/>
      <c r="NYD160" s="72"/>
      <c r="NYE160" s="72"/>
      <c r="NYF160" s="72"/>
      <c r="NYG160" s="72"/>
      <c r="NYH160" s="72"/>
      <c r="NYI160" s="72"/>
      <c r="NYJ160" s="72"/>
      <c r="NYK160" s="72"/>
      <c r="NYL160" s="72"/>
      <c r="NYM160" s="72"/>
      <c r="NYN160" s="72"/>
      <c r="NYO160" s="72"/>
      <c r="NYP160" s="72"/>
      <c r="NYQ160" s="72"/>
      <c r="NYR160" s="72"/>
      <c r="NYS160" s="72"/>
      <c r="NYT160" s="72"/>
      <c r="NYU160" s="72"/>
      <c r="NYV160" s="72"/>
      <c r="NYW160" s="72"/>
      <c r="NYX160" s="72"/>
      <c r="NYY160" s="72"/>
      <c r="NYZ160" s="72"/>
      <c r="NZA160" s="72"/>
      <c r="NZB160" s="72"/>
      <c r="NZC160" s="72"/>
      <c r="NZD160" s="72"/>
      <c r="NZE160" s="72"/>
      <c r="NZF160" s="72"/>
      <c r="NZG160" s="72"/>
      <c r="NZH160" s="72"/>
      <c r="NZI160" s="72"/>
      <c r="NZJ160" s="72"/>
      <c r="NZK160" s="72"/>
      <c r="NZL160" s="72"/>
      <c r="NZM160" s="72"/>
      <c r="NZN160" s="72"/>
      <c r="NZO160" s="72"/>
      <c r="NZP160" s="72"/>
      <c r="NZQ160" s="72"/>
      <c r="NZR160" s="72"/>
      <c r="NZS160" s="72"/>
      <c r="NZT160" s="72"/>
      <c r="NZU160" s="72"/>
      <c r="NZV160" s="72"/>
      <c r="NZW160" s="72"/>
      <c r="NZX160" s="72"/>
      <c r="NZY160" s="72"/>
      <c r="NZZ160" s="72"/>
      <c r="OAA160" s="72"/>
      <c r="OAB160" s="72"/>
      <c r="OAC160" s="72"/>
      <c r="OAD160" s="72"/>
      <c r="OAE160" s="72"/>
      <c r="OAF160" s="72"/>
      <c r="OAG160" s="72"/>
      <c r="OAH160" s="72"/>
      <c r="OAI160" s="72"/>
      <c r="OAJ160" s="72"/>
      <c r="OAK160" s="72"/>
      <c r="OAL160" s="72"/>
      <c r="OAM160" s="72"/>
      <c r="OAN160" s="72"/>
      <c r="OAO160" s="72"/>
      <c r="OAP160" s="72"/>
      <c r="OAQ160" s="72"/>
      <c r="OAR160" s="72"/>
      <c r="OAS160" s="72"/>
      <c r="OAT160" s="72"/>
      <c r="OAU160" s="72"/>
      <c r="OAV160" s="72"/>
      <c r="OAW160" s="72"/>
      <c r="OAX160" s="72"/>
      <c r="OAY160" s="72"/>
      <c r="OAZ160" s="72"/>
      <c r="OBA160" s="72"/>
      <c r="OBB160" s="72"/>
      <c r="OBC160" s="72"/>
      <c r="OBD160" s="72"/>
      <c r="OBE160" s="72"/>
      <c r="OBF160" s="72"/>
      <c r="OBG160" s="72"/>
      <c r="OBH160" s="72"/>
      <c r="OBI160" s="72"/>
      <c r="OBJ160" s="72"/>
      <c r="OBK160" s="72"/>
      <c r="OBL160" s="72"/>
      <c r="OBM160" s="72"/>
      <c r="OBN160" s="72"/>
      <c r="OBO160" s="72"/>
      <c r="OBP160" s="72"/>
      <c r="OBQ160" s="72"/>
      <c r="OBR160" s="72"/>
      <c r="OBS160" s="72"/>
      <c r="OBT160" s="72"/>
      <c r="OBU160" s="72"/>
      <c r="OBV160" s="72"/>
      <c r="OBW160" s="72"/>
      <c r="OBX160" s="72"/>
      <c r="OBY160" s="72"/>
      <c r="OBZ160" s="72"/>
      <c r="OCA160" s="72"/>
      <c r="OCB160" s="72"/>
      <c r="OCC160" s="72"/>
      <c r="OCD160" s="72"/>
      <c r="OCE160" s="72"/>
      <c r="OCF160" s="72"/>
      <c r="OCG160" s="72"/>
      <c r="OCH160" s="72"/>
      <c r="OCI160" s="72"/>
      <c r="OCJ160" s="72"/>
      <c r="OCK160" s="72"/>
      <c r="OCL160" s="72"/>
      <c r="OCM160" s="72"/>
      <c r="OCN160" s="72"/>
      <c r="OCO160" s="72"/>
      <c r="OCP160" s="72"/>
      <c r="OCQ160" s="72"/>
      <c r="OCR160" s="72"/>
      <c r="OCS160" s="72"/>
      <c r="OCT160" s="72"/>
      <c r="OCU160" s="72"/>
      <c r="OCV160" s="72"/>
      <c r="OCW160" s="72"/>
      <c r="OCX160" s="72"/>
      <c r="OCY160" s="72"/>
      <c r="OCZ160" s="72"/>
      <c r="ODA160" s="72"/>
      <c r="ODB160" s="72"/>
      <c r="ODC160" s="72"/>
      <c r="ODD160" s="72"/>
      <c r="ODE160" s="72"/>
      <c r="ODF160" s="72"/>
      <c r="ODG160" s="72"/>
      <c r="ODH160" s="72"/>
      <c r="ODI160" s="72"/>
      <c r="ODJ160" s="72"/>
      <c r="ODK160" s="72"/>
      <c r="ODL160" s="72"/>
      <c r="ODM160" s="72"/>
      <c r="ODN160" s="72"/>
      <c r="ODO160" s="72"/>
      <c r="ODP160" s="72"/>
      <c r="ODQ160" s="72"/>
      <c r="ODR160" s="72"/>
      <c r="ODS160" s="72"/>
      <c r="ODT160" s="72"/>
      <c r="ODU160" s="72"/>
      <c r="ODV160" s="72"/>
      <c r="ODW160" s="72"/>
      <c r="ODX160" s="72"/>
      <c r="ODY160" s="72"/>
      <c r="ODZ160" s="72"/>
      <c r="OEA160" s="72"/>
      <c r="OEB160" s="72"/>
      <c r="OEC160" s="72"/>
      <c r="OED160" s="72"/>
      <c r="OEE160" s="72"/>
      <c r="OEF160" s="72"/>
      <c r="OEG160" s="72"/>
      <c r="OEH160" s="72"/>
      <c r="OEI160" s="72"/>
      <c r="OEJ160" s="72"/>
      <c r="OEK160" s="72"/>
      <c r="OEL160" s="72"/>
      <c r="OEM160" s="72"/>
      <c r="OEN160" s="72"/>
      <c r="OEO160" s="72"/>
      <c r="OEP160" s="72"/>
      <c r="OEQ160" s="72"/>
      <c r="OER160" s="72"/>
      <c r="OES160" s="72"/>
      <c r="OET160" s="72"/>
      <c r="OEU160" s="72"/>
      <c r="OEV160" s="72"/>
      <c r="OEW160" s="72"/>
      <c r="OEX160" s="72"/>
      <c r="OEY160" s="72"/>
      <c r="OEZ160" s="72"/>
      <c r="OFA160" s="72"/>
      <c r="OFB160" s="72"/>
      <c r="OFC160" s="72"/>
      <c r="OFD160" s="72"/>
      <c r="OFE160" s="72"/>
      <c r="OFF160" s="72"/>
      <c r="OFG160" s="72"/>
      <c r="OFH160" s="72"/>
      <c r="OFI160" s="72"/>
      <c r="OFJ160" s="72"/>
      <c r="OFK160" s="72"/>
      <c r="OFL160" s="72"/>
      <c r="OFM160" s="72"/>
      <c r="OFN160" s="72"/>
      <c r="OFO160" s="72"/>
      <c r="OFP160" s="72"/>
      <c r="OFQ160" s="72"/>
      <c r="OFR160" s="72"/>
      <c r="OFS160" s="72"/>
      <c r="OFT160" s="72"/>
      <c r="OFU160" s="72"/>
      <c r="OFV160" s="72"/>
      <c r="OFW160" s="72"/>
      <c r="OFX160" s="72"/>
      <c r="OFY160" s="72"/>
      <c r="OFZ160" s="72"/>
      <c r="OGA160" s="72"/>
      <c r="OGB160" s="72"/>
      <c r="OGC160" s="72"/>
      <c r="OGD160" s="72"/>
      <c r="OGE160" s="72"/>
      <c r="OGF160" s="72"/>
      <c r="OGG160" s="72"/>
      <c r="OGH160" s="72"/>
      <c r="OGI160" s="72"/>
      <c r="OGJ160" s="72"/>
      <c r="OGK160" s="72"/>
      <c r="OGL160" s="72"/>
      <c r="OGM160" s="72"/>
      <c r="OGN160" s="72"/>
      <c r="OGO160" s="72"/>
      <c r="OGP160" s="72"/>
      <c r="OGQ160" s="72"/>
      <c r="OGR160" s="72"/>
      <c r="OGS160" s="72"/>
      <c r="OGT160" s="72"/>
      <c r="OGU160" s="72"/>
      <c r="OGV160" s="72"/>
      <c r="OGW160" s="72"/>
      <c r="OGX160" s="72"/>
      <c r="OGY160" s="72"/>
      <c r="OGZ160" s="72"/>
      <c r="OHA160" s="72"/>
      <c r="OHB160" s="72"/>
      <c r="OHC160" s="72"/>
      <c r="OHD160" s="72"/>
      <c r="OHE160" s="72"/>
      <c r="OHF160" s="72"/>
      <c r="OHG160" s="72"/>
      <c r="OHH160" s="72"/>
      <c r="OHI160" s="72"/>
      <c r="OHJ160" s="72"/>
      <c r="OHK160" s="72"/>
      <c r="OHL160" s="72"/>
      <c r="OHM160" s="72"/>
      <c r="OHN160" s="72"/>
      <c r="OHO160" s="72"/>
      <c r="OHP160" s="72"/>
      <c r="OHQ160" s="72"/>
      <c r="OHR160" s="72"/>
      <c r="OHS160" s="72"/>
      <c r="OHT160" s="72"/>
      <c r="OHU160" s="72"/>
      <c r="OHV160" s="72"/>
      <c r="OHW160" s="72"/>
      <c r="OHX160" s="72"/>
      <c r="OHY160" s="72"/>
      <c r="OHZ160" s="72"/>
      <c r="OIA160" s="72"/>
      <c r="OIB160" s="72"/>
      <c r="OIC160" s="72"/>
      <c r="OID160" s="72"/>
      <c r="OIE160" s="72"/>
      <c r="OIF160" s="72"/>
      <c r="OIG160" s="72"/>
      <c r="OIH160" s="72"/>
      <c r="OII160" s="72"/>
      <c r="OIJ160" s="72"/>
      <c r="OIK160" s="72"/>
      <c r="OIL160" s="72"/>
      <c r="OIM160" s="72"/>
      <c r="OIN160" s="72"/>
      <c r="OIO160" s="72"/>
      <c r="OIP160" s="72"/>
      <c r="OIQ160" s="72"/>
      <c r="OIR160" s="72"/>
      <c r="OIS160" s="72"/>
      <c r="OIT160" s="72"/>
      <c r="OIU160" s="72"/>
      <c r="OIV160" s="72"/>
      <c r="OIW160" s="72"/>
      <c r="OIX160" s="72"/>
      <c r="OIY160" s="72"/>
      <c r="OIZ160" s="72"/>
      <c r="OJA160" s="72"/>
      <c r="OJB160" s="72"/>
      <c r="OJC160" s="72"/>
      <c r="OJD160" s="72"/>
      <c r="OJE160" s="72"/>
      <c r="OJF160" s="72"/>
      <c r="OJG160" s="72"/>
      <c r="OJH160" s="72"/>
      <c r="OJI160" s="72"/>
      <c r="OJJ160" s="72"/>
      <c r="OJK160" s="72"/>
      <c r="OJL160" s="72"/>
      <c r="OJM160" s="72"/>
      <c r="OJN160" s="72"/>
      <c r="OJO160" s="72"/>
      <c r="OJP160" s="72"/>
      <c r="OJQ160" s="72"/>
      <c r="OJR160" s="72"/>
      <c r="OJS160" s="72"/>
      <c r="OJT160" s="72"/>
      <c r="OJU160" s="72"/>
      <c r="OJV160" s="72"/>
      <c r="OJW160" s="72"/>
      <c r="OJX160" s="72"/>
      <c r="OJY160" s="72"/>
      <c r="OJZ160" s="72"/>
      <c r="OKA160" s="72"/>
      <c r="OKB160" s="72"/>
      <c r="OKC160" s="72"/>
      <c r="OKD160" s="72"/>
      <c r="OKE160" s="72"/>
      <c r="OKF160" s="72"/>
      <c r="OKG160" s="72"/>
      <c r="OKH160" s="72"/>
      <c r="OKI160" s="72"/>
      <c r="OKJ160" s="72"/>
      <c r="OKK160" s="72"/>
      <c r="OKL160" s="72"/>
      <c r="OKM160" s="72"/>
      <c r="OKN160" s="72"/>
      <c r="OKO160" s="72"/>
      <c r="OKP160" s="72"/>
      <c r="OKQ160" s="72"/>
      <c r="OKR160" s="72"/>
      <c r="OKS160" s="72"/>
      <c r="OKT160" s="72"/>
      <c r="OKU160" s="72"/>
      <c r="OKV160" s="72"/>
      <c r="OKW160" s="72"/>
      <c r="OKX160" s="72"/>
      <c r="OKY160" s="72"/>
      <c r="OKZ160" s="72"/>
      <c r="OLA160" s="72"/>
      <c r="OLB160" s="72"/>
      <c r="OLC160" s="72"/>
      <c r="OLD160" s="72"/>
      <c r="OLE160" s="72"/>
      <c r="OLF160" s="72"/>
      <c r="OLG160" s="72"/>
      <c r="OLH160" s="72"/>
      <c r="OLI160" s="72"/>
      <c r="OLJ160" s="72"/>
      <c r="OLK160" s="72"/>
      <c r="OLL160" s="72"/>
      <c r="OLM160" s="72"/>
      <c r="OLN160" s="72"/>
      <c r="OLO160" s="72"/>
      <c r="OLP160" s="72"/>
      <c r="OLQ160" s="72"/>
      <c r="OLR160" s="72"/>
      <c r="OLS160" s="72"/>
      <c r="OLT160" s="72"/>
      <c r="OLU160" s="72"/>
      <c r="OLV160" s="72"/>
      <c r="OLW160" s="72"/>
      <c r="OLX160" s="72"/>
      <c r="OLY160" s="72"/>
      <c r="OLZ160" s="72"/>
      <c r="OMA160" s="72"/>
      <c r="OMB160" s="72"/>
      <c r="OMC160" s="72"/>
      <c r="OMD160" s="72"/>
      <c r="OME160" s="72"/>
      <c r="OMF160" s="72"/>
      <c r="OMG160" s="72"/>
      <c r="OMH160" s="72"/>
      <c r="OMI160" s="72"/>
      <c r="OMJ160" s="72"/>
      <c r="OMK160" s="72"/>
      <c r="OML160" s="72"/>
      <c r="OMM160" s="72"/>
      <c r="OMN160" s="72"/>
      <c r="OMO160" s="72"/>
      <c r="OMP160" s="72"/>
      <c r="OMQ160" s="72"/>
      <c r="OMR160" s="72"/>
      <c r="OMS160" s="72"/>
      <c r="OMT160" s="72"/>
      <c r="OMU160" s="72"/>
      <c r="OMV160" s="72"/>
      <c r="OMW160" s="72"/>
      <c r="OMX160" s="72"/>
      <c r="OMY160" s="72"/>
      <c r="OMZ160" s="72"/>
      <c r="ONA160" s="72"/>
      <c r="ONB160" s="72"/>
      <c r="ONC160" s="72"/>
      <c r="OND160" s="72"/>
      <c r="ONE160" s="72"/>
      <c r="ONF160" s="72"/>
      <c r="ONG160" s="72"/>
      <c r="ONH160" s="72"/>
      <c r="ONI160" s="72"/>
      <c r="ONJ160" s="72"/>
      <c r="ONK160" s="72"/>
      <c r="ONL160" s="72"/>
      <c r="ONM160" s="72"/>
      <c r="ONN160" s="72"/>
      <c r="ONO160" s="72"/>
      <c r="ONP160" s="72"/>
      <c r="ONQ160" s="72"/>
      <c r="ONR160" s="72"/>
      <c r="ONS160" s="72"/>
      <c r="ONT160" s="72"/>
      <c r="ONU160" s="72"/>
      <c r="ONV160" s="72"/>
      <c r="ONW160" s="72"/>
      <c r="ONX160" s="72"/>
      <c r="ONY160" s="72"/>
      <c r="ONZ160" s="72"/>
      <c r="OOA160" s="72"/>
      <c r="OOB160" s="72"/>
      <c r="OOC160" s="72"/>
      <c r="OOD160" s="72"/>
      <c r="OOE160" s="72"/>
      <c r="OOF160" s="72"/>
      <c r="OOG160" s="72"/>
      <c r="OOH160" s="72"/>
      <c r="OOI160" s="72"/>
      <c r="OOJ160" s="72"/>
      <c r="OOK160" s="72"/>
      <c r="OOL160" s="72"/>
      <c r="OOM160" s="72"/>
      <c r="OON160" s="72"/>
      <c r="OOO160" s="72"/>
      <c r="OOP160" s="72"/>
      <c r="OOQ160" s="72"/>
      <c r="OOR160" s="72"/>
      <c r="OOS160" s="72"/>
      <c r="OOT160" s="72"/>
      <c r="OOU160" s="72"/>
      <c r="OOV160" s="72"/>
      <c r="OOW160" s="72"/>
      <c r="OOX160" s="72"/>
      <c r="OOY160" s="72"/>
      <c r="OOZ160" s="72"/>
      <c r="OPA160" s="72"/>
      <c r="OPB160" s="72"/>
      <c r="OPC160" s="72"/>
      <c r="OPD160" s="72"/>
      <c r="OPE160" s="72"/>
      <c r="OPF160" s="72"/>
      <c r="OPG160" s="72"/>
      <c r="OPH160" s="72"/>
      <c r="OPI160" s="72"/>
      <c r="OPJ160" s="72"/>
      <c r="OPK160" s="72"/>
      <c r="OPL160" s="72"/>
      <c r="OPM160" s="72"/>
      <c r="OPN160" s="72"/>
      <c r="OPO160" s="72"/>
      <c r="OPP160" s="72"/>
      <c r="OPQ160" s="72"/>
      <c r="OPR160" s="72"/>
      <c r="OPS160" s="72"/>
      <c r="OPT160" s="72"/>
      <c r="OPU160" s="72"/>
      <c r="OPV160" s="72"/>
      <c r="OPW160" s="72"/>
      <c r="OPX160" s="72"/>
      <c r="OPY160" s="72"/>
      <c r="OPZ160" s="72"/>
      <c r="OQA160" s="72"/>
      <c r="OQB160" s="72"/>
      <c r="OQC160" s="72"/>
      <c r="OQD160" s="72"/>
      <c r="OQE160" s="72"/>
      <c r="OQF160" s="72"/>
      <c r="OQG160" s="72"/>
      <c r="OQH160" s="72"/>
      <c r="OQI160" s="72"/>
      <c r="OQJ160" s="72"/>
      <c r="OQK160" s="72"/>
      <c r="OQL160" s="72"/>
      <c r="OQM160" s="72"/>
      <c r="OQN160" s="72"/>
      <c r="OQO160" s="72"/>
      <c r="OQP160" s="72"/>
      <c r="OQQ160" s="72"/>
      <c r="OQR160" s="72"/>
      <c r="OQS160" s="72"/>
      <c r="OQT160" s="72"/>
      <c r="OQU160" s="72"/>
      <c r="OQV160" s="72"/>
      <c r="OQW160" s="72"/>
      <c r="OQX160" s="72"/>
      <c r="OQY160" s="72"/>
      <c r="OQZ160" s="72"/>
      <c r="ORA160" s="72"/>
      <c r="ORB160" s="72"/>
      <c r="ORC160" s="72"/>
      <c r="ORD160" s="72"/>
      <c r="ORE160" s="72"/>
      <c r="ORF160" s="72"/>
      <c r="ORG160" s="72"/>
      <c r="ORH160" s="72"/>
      <c r="ORI160" s="72"/>
      <c r="ORJ160" s="72"/>
      <c r="ORK160" s="72"/>
      <c r="ORL160" s="72"/>
      <c r="ORM160" s="72"/>
      <c r="ORN160" s="72"/>
      <c r="ORO160" s="72"/>
      <c r="ORP160" s="72"/>
      <c r="ORQ160" s="72"/>
      <c r="ORR160" s="72"/>
      <c r="ORS160" s="72"/>
      <c r="ORT160" s="72"/>
      <c r="ORU160" s="72"/>
      <c r="ORV160" s="72"/>
      <c r="ORW160" s="72"/>
      <c r="ORX160" s="72"/>
      <c r="ORY160" s="72"/>
      <c r="ORZ160" s="72"/>
      <c r="OSA160" s="72"/>
      <c r="OSB160" s="72"/>
      <c r="OSC160" s="72"/>
      <c r="OSD160" s="72"/>
      <c r="OSE160" s="72"/>
      <c r="OSF160" s="72"/>
      <c r="OSG160" s="72"/>
      <c r="OSH160" s="72"/>
      <c r="OSI160" s="72"/>
      <c r="OSJ160" s="72"/>
      <c r="OSK160" s="72"/>
      <c r="OSL160" s="72"/>
      <c r="OSM160" s="72"/>
      <c r="OSN160" s="72"/>
      <c r="OSO160" s="72"/>
      <c r="OSP160" s="72"/>
      <c r="OSQ160" s="72"/>
      <c r="OSR160" s="72"/>
      <c r="OSS160" s="72"/>
      <c r="OST160" s="72"/>
      <c r="OSU160" s="72"/>
      <c r="OSV160" s="72"/>
      <c r="OSW160" s="72"/>
      <c r="OSX160" s="72"/>
      <c r="OSY160" s="72"/>
      <c r="OSZ160" s="72"/>
      <c r="OTA160" s="72"/>
      <c r="OTB160" s="72"/>
      <c r="OTC160" s="72"/>
      <c r="OTD160" s="72"/>
      <c r="OTE160" s="72"/>
      <c r="OTF160" s="72"/>
      <c r="OTG160" s="72"/>
      <c r="OTH160" s="72"/>
      <c r="OTI160" s="72"/>
      <c r="OTJ160" s="72"/>
      <c r="OTK160" s="72"/>
      <c r="OTL160" s="72"/>
      <c r="OTM160" s="72"/>
      <c r="OTN160" s="72"/>
      <c r="OTO160" s="72"/>
      <c r="OTP160" s="72"/>
      <c r="OTQ160" s="72"/>
      <c r="OTR160" s="72"/>
      <c r="OTS160" s="72"/>
      <c r="OTT160" s="72"/>
      <c r="OTU160" s="72"/>
      <c r="OTV160" s="72"/>
      <c r="OTW160" s="72"/>
      <c r="OTX160" s="72"/>
      <c r="OTY160" s="72"/>
      <c r="OTZ160" s="72"/>
      <c r="OUA160" s="72"/>
      <c r="OUB160" s="72"/>
      <c r="OUC160" s="72"/>
      <c r="OUD160" s="72"/>
      <c r="OUE160" s="72"/>
      <c r="OUF160" s="72"/>
      <c r="OUG160" s="72"/>
      <c r="OUH160" s="72"/>
      <c r="OUI160" s="72"/>
      <c r="OUJ160" s="72"/>
      <c r="OUK160" s="72"/>
      <c r="OUL160" s="72"/>
      <c r="OUM160" s="72"/>
      <c r="OUN160" s="72"/>
      <c r="OUO160" s="72"/>
      <c r="OUP160" s="72"/>
      <c r="OUQ160" s="72"/>
      <c r="OUR160" s="72"/>
      <c r="OUS160" s="72"/>
      <c r="OUT160" s="72"/>
      <c r="OUU160" s="72"/>
      <c r="OUV160" s="72"/>
      <c r="OUW160" s="72"/>
      <c r="OUX160" s="72"/>
      <c r="OUY160" s="72"/>
      <c r="OUZ160" s="72"/>
      <c r="OVA160" s="72"/>
      <c r="OVB160" s="72"/>
      <c r="OVC160" s="72"/>
      <c r="OVD160" s="72"/>
      <c r="OVE160" s="72"/>
      <c r="OVF160" s="72"/>
      <c r="OVG160" s="72"/>
      <c r="OVH160" s="72"/>
      <c r="OVI160" s="72"/>
      <c r="OVJ160" s="72"/>
      <c r="OVK160" s="72"/>
      <c r="OVL160" s="72"/>
      <c r="OVM160" s="72"/>
      <c r="OVN160" s="72"/>
      <c r="OVO160" s="72"/>
      <c r="OVP160" s="72"/>
      <c r="OVQ160" s="72"/>
      <c r="OVR160" s="72"/>
      <c r="OVS160" s="72"/>
      <c r="OVT160" s="72"/>
      <c r="OVU160" s="72"/>
      <c r="OVV160" s="72"/>
      <c r="OVW160" s="72"/>
      <c r="OVX160" s="72"/>
      <c r="OVY160" s="72"/>
      <c r="OVZ160" s="72"/>
      <c r="OWA160" s="72"/>
      <c r="OWB160" s="72"/>
      <c r="OWC160" s="72"/>
      <c r="OWD160" s="72"/>
      <c r="OWE160" s="72"/>
      <c r="OWF160" s="72"/>
      <c r="OWG160" s="72"/>
      <c r="OWH160" s="72"/>
      <c r="OWI160" s="72"/>
      <c r="OWJ160" s="72"/>
      <c r="OWK160" s="72"/>
      <c r="OWL160" s="72"/>
      <c r="OWM160" s="72"/>
      <c r="OWN160" s="72"/>
      <c r="OWO160" s="72"/>
      <c r="OWP160" s="72"/>
      <c r="OWQ160" s="72"/>
      <c r="OWR160" s="72"/>
      <c r="OWS160" s="72"/>
      <c r="OWT160" s="72"/>
      <c r="OWU160" s="72"/>
      <c r="OWV160" s="72"/>
      <c r="OWW160" s="72"/>
      <c r="OWX160" s="72"/>
      <c r="OWY160" s="72"/>
      <c r="OWZ160" s="72"/>
      <c r="OXA160" s="72"/>
      <c r="OXB160" s="72"/>
      <c r="OXC160" s="72"/>
      <c r="OXD160" s="72"/>
      <c r="OXE160" s="72"/>
      <c r="OXF160" s="72"/>
      <c r="OXG160" s="72"/>
      <c r="OXH160" s="72"/>
      <c r="OXI160" s="72"/>
      <c r="OXJ160" s="72"/>
      <c r="OXK160" s="72"/>
      <c r="OXL160" s="72"/>
      <c r="OXM160" s="72"/>
      <c r="OXN160" s="72"/>
      <c r="OXO160" s="72"/>
      <c r="OXP160" s="72"/>
      <c r="OXQ160" s="72"/>
      <c r="OXR160" s="72"/>
      <c r="OXS160" s="72"/>
      <c r="OXT160" s="72"/>
      <c r="OXU160" s="72"/>
      <c r="OXV160" s="72"/>
      <c r="OXW160" s="72"/>
      <c r="OXX160" s="72"/>
      <c r="OXY160" s="72"/>
      <c r="OXZ160" s="72"/>
      <c r="OYA160" s="72"/>
      <c r="OYB160" s="72"/>
      <c r="OYC160" s="72"/>
      <c r="OYD160" s="72"/>
      <c r="OYE160" s="72"/>
      <c r="OYF160" s="72"/>
      <c r="OYG160" s="72"/>
      <c r="OYH160" s="72"/>
      <c r="OYI160" s="72"/>
      <c r="OYJ160" s="72"/>
      <c r="OYK160" s="72"/>
      <c r="OYL160" s="72"/>
      <c r="OYM160" s="72"/>
      <c r="OYN160" s="72"/>
      <c r="OYO160" s="72"/>
      <c r="OYP160" s="72"/>
      <c r="OYQ160" s="72"/>
      <c r="OYR160" s="72"/>
      <c r="OYS160" s="72"/>
      <c r="OYT160" s="72"/>
      <c r="OYU160" s="72"/>
      <c r="OYV160" s="72"/>
      <c r="OYW160" s="72"/>
      <c r="OYX160" s="72"/>
      <c r="OYY160" s="72"/>
      <c r="OYZ160" s="72"/>
      <c r="OZA160" s="72"/>
      <c r="OZB160" s="72"/>
      <c r="OZC160" s="72"/>
      <c r="OZD160" s="72"/>
      <c r="OZE160" s="72"/>
      <c r="OZF160" s="72"/>
      <c r="OZG160" s="72"/>
      <c r="OZH160" s="72"/>
      <c r="OZI160" s="72"/>
      <c r="OZJ160" s="72"/>
      <c r="OZK160" s="72"/>
      <c r="OZL160" s="72"/>
      <c r="OZM160" s="72"/>
      <c r="OZN160" s="72"/>
      <c r="OZO160" s="72"/>
      <c r="OZP160" s="72"/>
      <c r="OZQ160" s="72"/>
      <c r="OZR160" s="72"/>
      <c r="OZS160" s="72"/>
      <c r="OZT160" s="72"/>
      <c r="OZU160" s="72"/>
      <c r="OZV160" s="72"/>
      <c r="OZW160" s="72"/>
      <c r="OZX160" s="72"/>
      <c r="OZY160" s="72"/>
      <c r="OZZ160" s="72"/>
      <c r="PAA160" s="72"/>
      <c r="PAB160" s="72"/>
      <c r="PAC160" s="72"/>
      <c r="PAD160" s="72"/>
      <c r="PAE160" s="72"/>
      <c r="PAF160" s="72"/>
      <c r="PAG160" s="72"/>
      <c r="PAH160" s="72"/>
      <c r="PAI160" s="72"/>
      <c r="PAJ160" s="72"/>
      <c r="PAK160" s="72"/>
      <c r="PAL160" s="72"/>
      <c r="PAM160" s="72"/>
      <c r="PAN160" s="72"/>
      <c r="PAO160" s="72"/>
      <c r="PAP160" s="72"/>
      <c r="PAQ160" s="72"/>
      <c r="PAR160" s="72"/>
      <c r="PAS160" s="72"/>
      <c r="PAT160" s="72"/>
      <c r="PAU160" s="72"/>
      <c r="PAV160" s="72"/>
      <c r="PAW160" s="72"/>
      <c r="PAX160" s="72"/>
      <c r="PAY160" s="72"/>
      <c r="PAZ160" s="72"/>
      <c r="PBA160" s="72"/>
      <c r="PBB160" s="72"/>
      <c r="PBC160" s="72"/>
      <c r="PBD160" s="72"/>
      <c r="PBE160" s="72"/>
      <c r="PBF160" s="72"/>
      <c r="PBG160" s="72"/>
      <c r="PBH160" s="72"/>
      <c r="PBI160" s="72"/>
      <c r="PBJ160" s="72"/>
      <c r="PBK160" s="72"/>
      <c r="PBL160" s="72"/>
      <c r="PBM160" s="72"/>
      <c r="PBN160" s="72"/>
      <c r="PBO160" s="72"/>
      <c r="PBP160" s="72"/>
      <c r="PBQ160" s="72"/>
      <c r="PBR160" s="72"/>
      <c r="PBS160" s="72"/>
      <c r="PBT160" s="72"/>
      <c r="PBU160" s="72"/>
      <c r="PBV160" s="72"/>
      <c r="PBW160" s="72"/>
      <c r="PBX160" s="72"/>
      <c r="PBY160" s="72"/>
      <c r="PBZ160" s="72"/>
      <c r="PCA160" s="72"/>
      <c r="PCB160" s="72"/>
      <c r="PCC160" s="72"/>
      <c r="PCD160" s="72"/>
      <c r="PCE160" s="72"/>
      <c r="PCF160" s="72"/>
      <c r="PCG160" s="72"/>
      <c r="PCH160" s="72"/>
      <c r="PCI160" s="72"/>
      <c r="PCJ160" s="72"/>
      <c r="PCK160" s="72"/>
      <c r="PCL160" s="72"/>
      <c r="PCM160" s="72"/>
      <c r="PCN160" s="72"/>
      <c r="PCO160" s="72"/>
      <c r="PCP160" s="72"/>
      <c r="PCQ160" s="72"/>
      <c r="PCR160" s="72"/>
      <c r="PCS160" s="72"/>
      <c r="PCT160" s="72"/>
      <c r="PCU160" s="72"/>
      <c r="PCV160" s="72"/>
      <c r="PCW160" s="72"/>
      <c r="PCX160" s="72"/>
      <c r="PCY160" s="72"/>
      <c r="PCZ160" s="72"/>
      <c r="PDA160" s="72"/>
      <c r="PDB160" s="72"/>
      <c r="PDC160" s="72"/>
      <c r="PDD160" s="72"/>
      <c r="PDE160" s="72"/>
      <c r="PDF160" s="72"/>
      <c r="PDG160" s="72"/>
      <c r="PDH160" s="72"/>
      <c r="PDI160" s="72"/>
      <c r="PDJ160" s="72"/>
      <c r="PDK160" s="72"/>
      <c r="PDL160" s="72"/>
      <c r="PDM160" s="72"/>
      <c r="PDN160" s="72"/>
      <c r="PDO160" s="72"/>
      <c r="PDP160" s="72"/>
      <c r="PDQ160" s="72"/>
      <c r="PDR160" s="72"/>
      <c r="PDS160" s="72"/>
      <c r="PDT160" s="72"/>
      <c r="PDU160" s="72"/>
      <c r="PDV160" s="72"/>
      <c r="PDW160" s="72"/>
      <c r="PDX160" s="72"/>
      <c r="PDY160" s="72"/>
      <c r="PDZ160" s="72"/>
      <c r="PEA160" s="72"/>
      <c r="PEB160" s="72"/>
      <c r="PEC160" s="72"/>
      <c r="PED160" s="72"/>
      <c r="PEE160" s="72"/>
      <c r="PEF160" s="72"/>
      <c r="PEG160" s="72"/>
      <c r="PEH160" s="72"/>
      <c r="PEI160" s="72"/>
      <c r="PEJ160" s="72"/>
      <c r="PEK160" s="72"/>
      <c r="PEL160" s="72"/>
      <c r="PEM160" s="72"/>
      <c r="PEN160" s="72"/>
      <c r="PEO160" s="72"/>
      <c r="PEP160" s="72"/>
      <c r="PEQ160" s="72"/>
      <c r="PER160" s="72"/>
      <c r="PES160" s="72"/>
      <c r="PET160" s="72"/>
      <c r="PEU160" s="72"/>
      <c r="PEV160" s="72"/>
      <c r="PEW160" s="72"/>
      <c r="PEX160" s="72"/>
      <c r="PEY160" s="72"/>
      <c r="PEZ160" s="72"/>
      <c r="PFA160" s="72"/>
      <c r="PFB160" s="72"/>
      <c r="PFC160" s="72"/>
      <c r="PFD160" s="72"/>
      <c r="PFE160" s="72"/>
      <c r="PFF160" s="72"/>
      <c r="PFG160" s="72"/>
      <c r="PFH160" s="72"/>
      <c r="PFI160" s="72"/>
      <c r="PFJ160" s="72"/>
      <c r="PFK160" s="72"/>
      <c r="PFL160" s="72"/>
      <c r="PFM160" s="72"/>
      <c r="PFN160" s="72"/>
      <c r="PFO160" s="72"/>
      <c r="PFP160" s="72"/>
      <c r="PFQ160" s="72"/>
      <c r="PFR160" s="72"/>
      <c r="PFS160" s="72"/>
      <c r="PFT160" s="72"/>
      <c r="PFU160" s="72"/>
      <c r="PFV160" s="72"/>
      <c r="PFW160" s="72"/>
      <c r="PFX160" s="72"/>
      <c r="PFY160" s="72"/>
      <c r="PFZ160" s="72"/>
      <c r="PGA160" s="72"/>
      <c r="PGB160" s="72"/>
      <c r="PGC160" s="72"/>
      <c r="PGD160" s="72"/>
      <c r="PGE160" s="72"/>
      <c r="PGF160" s="72"/>
      <c r="PGG160" s="72"/>
      <c r="PGH160" s="72"/>
      <c r="PGI160" s="72"/>
      <c r="PGJ160" s="72"/>
      <c r="PGK160" s="72"/>
      <c r="PGL160" s="72"/>
      <c r="PGM160" s="72"/>
      <c r="PGN160" s="72"/>
      <c r="PGO160" s="72"/>
      <c r="PGP160" s="72"/>
      <c r="PGQ160" s="72"/>
      <c r="PGR160" s="72"/>
      <c r="PGS160" s="72"/>
      <c r="PGT160" s="72"/>
      <c r="PGU160" s="72"/>
      <c r="PGV160" s="72"/>
      <c r="PGW160" s="72"/>
      <c r="PGX160" s="72"/>
      <c r="PGY160" s="72"/>
      <c r="PGZ160" s="72"/>
      <c r="PHA160" s="72"/>
      <c r="PHB160" s="72"/>
      <c r="PHC160" s="72"/>
      <c r="PHD160" s="72"/>
      <c r="PHE160" s="72"/>
      <c r="PHF160" s="72"/>
      <c r="PHG160" s="72"/>
      <c r="PHH160" s="72"/>
      <c r="PHI160" s="72"/>
      <c r="PHJ160" s="72"/>
      <c r="PHK160" s="72"/>
      <c r="PHL160" s="72"/>
      <c r="PHM160" s="72"/>
      <c r="PHN160" s="72"/>
      <c r="PHO160" s="72"/>
      <c r="PHP160" s="72"/>
      <c r="PHQ160" s="72"/>
      <c r="PHR160" s="72"/>
      <c r="PHS160" s="72"/>
      <c r="PHT160" s="72"/>
      <c r="PHU160" s="72"/>
      <c r="PHV160" s="72"/>
      <c r="PHW160" s="72"/>
      <c r="PHX160" s="72"/>
      <c r="PHY160" s="72"/>
      <c r="PHZ160" s="72"/>
      <c r="PIA160" s="72"/>
      <c r="PIB160" s="72"/>
      <c r="PIC160" s="72"/>
      <c r="PID160" s="72"/>
      <c r="PIE160" s="72"/>
      <c r="PIF160" s="72"/>
      <c r="PIG160" s="72"/>
      <c r="PIH160" s="72"/>
      <c r="PII160" s="72"/>
      <c r="PIJ160" s="72"/>
      <c r="PIK160" s="72"/>
      <c r="PIL160" s="72"/>
      <c r="PIM160" s="72"/>
      <c r="PIN160" s="72"/>
      <c r="PIO160" s="72"/>
      <c r="PIP160" s="72"/>
      <c r="PIQ160" s="72"/>
      <c r="PIR160" s="72"/>
      <c r="PIS160" s="72"/>
      <c r="PIT160" s="72"/>
      <c r="PIU160" s="72"/>
      <c r="PIV160" s="72"/>
      <c r="PIW160" s="72"/>
      <c r="PIX160" s="72"/>
      <c r="PIY160" s="72"/>
      <c r="PIZ160" s="72"/>
      <c r="PJA160" s="72"/>
      <c r="PJB160" s="72"/>
      <c r="PJC160" s="72"/>
      <c r="PJD160" s="72"/>
      <c r="PJE160" s="72"/>
      <c r="PJF160" s="72"/>
      <c r="PJG160" s="72"/>
      <c r="PJH160" s="72"/>
      <c r="PJI160" s="72"/>
      <c r="PJJ160" s="72"/>
      <c r="PJK160" s="72"/>
      <c r="PJL160" s="72"/>
      <c r="PJM160" s="72"/>
      <c r="PJN160" s="72"/>
      <c r="PJO160" s="72"/>
      <c r="PJP160" s="72"/>
      <c r="PJQ160" s="72"/>
      <c r="PJR160" s="72"/>
      <c r="PJS160" s="72"/>
      <c r="PJT160" s="72"/>
      <c r="PJU160" s="72"/>
      <c r="PJV160" s="72"/>
      <c r="PJW160" s="72"/>
      <c r="PJX160" s="72"/>
      <c r="PJY160" s="72"/>
      <c r="PJZ160" s="72"/>
      <c r="PKA160" s="72"/>
      <c r="PKB160" s="72"/>
      <c r="PKC160" s="72"/>
      <c r="PKD160" s="72"/>
      <c r="PKE160" s="72"/>
      <c r="PKF160" s="72"/>
      <c r="PKG160" s="72"/>
      <c r="PKH160" s="72"/>
      <c r="PKI160" s="72"/>
      <c r="PKJ160" s="72"/>
      <c r="PKK160" s="72"/>
      <c r="PKL160" s="72"/>
      <c r="PKM160" s="72"/>
      <c r="PKN160" s="72"/>
      <c r="PKO160" s="72"/>
      <c r="PKP160" s="72"/>
      <c r="PKQ160" s="72"/>
      <c r="PKR160" s="72"/>
      <c r="PKS160" s="72"/>
      <c r="PKT160" s="72"/>
      <c r="PKU160" s="72"/>
      <c r="PKV160" s="72"/>
      <c r="PKW160" s="72"/>
      <c r="PKX160" s="72"/>
      <c r="PKY160" s="72"/>
      <c r="PKZ160" s="72"/>
      <c r="PLA160" s="72"/>
      <c r="PLB160" s="72"/>
      <c r="PLC160" s="72"/>
      <c r="PLD160" s="72"/>
      <c r="PLE160" s="72"/>
      <c r="PLF160" s="72"/>
      <c r="PLG160" s="72"/>
      <c r="PLH160" s="72"/>
      <c r="PLI160" s="72"/>
      <c r="PLJ160" s="72"/>
      <c r="PLK160" s="72"/>
      <c r="PLL160" s="72"/>
      <c r="PLM160" s="72"/>
      <c r="PLN160" s="72"/>
      <c r="PLO160" s="72"/>
      <c r="PLP160" s="72"/>
      <c r="PLQ160" s="72"/>
      <c r="PLR160" s="72"/>
      <c r="PLS160" s="72"/>
      <c r="PLT160" s="72"/>
      <c r="PLU160" s="72"/>
      <c r="PLV160" s="72"/>
      <c r="PLW160" s="72"/>
      <c r="PLX160" s="72"/>
      <c r="PLY160" s="72"/>
      <c r="PLZ160" s="72"/>
      <c r="PMA160" s="72"/>
      <c r="PMB160" s="72"/>
      <c r="PMC160" s="72"/>
      <c r="PMD160" s="72"/>
      <c r="PME160" s="72"/>
      <c r="PMF160" s="72"/>
      <c r="PMG160" s="72"/>
      <c r="PMH160" s="72"/>
      <c r="PMI160" s="72"/>
      <c r="PMJ160" s="72"/>
      <c r="PMK160" s="72"/>
      <c r="PML160" s="72"/>
      <c r="PMM160" s="72"/>
      <c r="PMN160" s="72"/>
      <c r="PMO160" s="72"/>
      <c r="PMP160" s="72"/>
      <c r="PMQ160" s="72"/>
      <c r="PMR160" s="72"/>
      <c r="PMS160" s="72"/>
      <c r="PMT160" s="72"/>
      <c r="PMU160" s="72"/>
      <c r="PMV160" s="72"/>
      <c r="PMW160" s="72"/>
      <c r="PMX160" s="72"/>
      <c r="PMY160" s="72"/>
      <c r="PMZ160" s="72"/>
      <c r="PNA160" s="72"/>
      <c r="PNB160" s="72"/>
      <c r="PNC160" s="72"/>
      <c r="PND160" s="72"/>
      <c r="PNE160" s="72"/>
      <c r="PNF160" s="72"/>
      <c r="PNG160" s="72"/>
      <c r="PNH160" s="72"/>
      <c r="PNI160" s="72"/>
      <c r="PNJ160" s="72"/>
      <c r="PNK160" s="72"/>
      <c r="PNL160" s="72"/>
      <c r="PNM160" s="72"/>
      <c r="PNN160" s="72"/>
      <c r="PNO160" s="72"/>
      <c r="PNP160" s="72"/>
      <c r="PNQ160" s="72"/>
      <c r="PNR160" s="72"/>
      <c r="PNS160" s="72"/>
      <c r="PNT160" s="72"/>
      <c r="PNU160" s="72"/>
      <c r="PNV160" s="72"/>
      <c r="PNW160" s="72"/>
      <c r="PNX160" s="72"/>
      <c r="PNY160" s="72"/>
      <c r="PNZ160" s="72"/>
      <c r="POA160" s="72"/>
      <c r="POB160" s="72"/>
      <c r="POC160" s="72"/>
      <c r="POD160" s="72"/>
      <c r="POE160" s="72"/>
      <c r="POF160" s="72"/>
      <c r="POG160" s="72"/>
      <c r="POH160" s="72"/>
      <c r="POI160" s="72"/>
      <c r="POJ160" s="72"/>
      <c r="POK160" s="72"/>
      <c r="POL160" s="72"/>
      <c r="POM160" s="72"/>
      <c r="PON160" s="72"/>
      <c r="POO160" s="72"/>
      <c r="POP160" s="72"/>
      <c r="POQ160" s="72"/>
      <c r="POR160" s="72"/>
      <c r="POS160" s="72"/>
      <c r="POT160" s="72"/>
      <c r="POU160" s="72"/>
      <c r="POV160" s="72"/>
      <c r="POW160" s="72"/>
      <c r="POX160" s="72"/>
      <c r="POY160" s="72"/>
      <c r="POZ160" s="72"/>
      <c r="PPA160" s="72"/>
      <c r="PPB160" s="72"/>
      <c r="PPC160" s="72"/>
      <c r="PPD160" s="72"/>
      <c r="PPE160" s="72"/>
      <c r="PPF160" s="72"/>
      <c r="PPG160" s="72"/>
      <c r="PPH160" s="72"/>
      <c r="PPI160" s="72"/>
      <c r="PPJ160" s="72"/>
      <c r="PPK160" s="72"/>
      <c r="PPL160" s="72"/>
      <c r="PPM160" s="72"/>
      <c r="PPN160" s="72"/>
      <c r="PPO160" s="72"/>
      <c r="PPP160" s="72"/>
      <c r="PPQ160" s="72"/>
      <c r="PPR160" s="72"/>
      <c r="PPS160" s="72"/>
      <c r="PPT160" s="72"/>
      <c r="PPU160" s="72"/>
      <c r="PPV160" s="72"/>
      <c r="PPW160" s="72"/>
      <c r="PPX160" s="72"/>
      <c r="PPY160" s="72"/>
      <c r="PPZ160" s="72"/>
      <c r="PQA160" s="72"/>
      <c r="PQB160" s="72"/>
      <c r="PQC160" s="72"/>
      <c r="PQD160" s="72"/>
      <c r="PQE160" s="72"/>
      <c r="PQF160" s="72"/>
      <c r="PQG160" s="72"/>
      <c r="PQH160" s="72"/>
      <c r="PQI160" s="72"/>
      <c r="PQJ160" s="72"/>
      <c r="PQK160" s="72"/>
      <c r="PQL160" s="72"/>
      <c r="PQM160" s="72"/>
      <c r="PQN160" s="72"/>
      <c r="PQO160" s="72"/>
      <c r="PQP160" s="72"/>
      <c r="PQQ160" s="72"/>
      <c r="PQR160" s="72"/>
      <c r="PQS160" s="72"/>
      <c r="PQT160" s="72"/>
      <c r="PQU160" s="72"/>
      <c r="PQV160" s="72"/>
      <c r="PQW160" s="72"/>
      <c r="PQX160" s="72"/>
      <c r="PQY160" s="72"/>
      <c r="PQZ160" s="72"/>
      <c r="PRA160" s="72"/>
      <c r="PRB160" s="72"/>
      <c r="PRC160" s="72"/>
      <c r="PRD160" s="72"/>
      <c r="PRE160" s="72"/>
      <c r="PRF160" s="72"/>
      <c r="PRG160" s="72"/>
      <c r="PRH160" s="72"/>
      <c r="PRI160" s="72"/>
      <c r="PRJ160" s="72"/>
      <c r="PRK160" s="72"/>
      <c r="PRL160" s="72"/>
      <c r="PRM160" s="72"/>
      <c r="PRN160" s="72"/>
      <c r="PRO160" s="72"/>
      <c r="PRP160" s="72"/>
      <c r="PRQ160" s="72"/>
      <c r="PRR160" s="72"/>
      <c r="PRS160" s="72"/>
      <c r="PRT160" s="72"/>
      <c r="PRU160" s="72"/>
      <c r="PRV160" s="72"/>
      <c r="PRW160" s="72"/>
      <c r="PRX160" s="72"/>
      <c r="PRY160" s="72"/>
      <c r="PRZ160" s="72"/>
      <c r="PSA160" s="72"/>
      <c r="PSB160" s="72"/>
      <c r="PSC160" s="72"/>
      <c r="PSD160" s="72"/>
      <c r="PSE160" s="72"/>
      <c r="PSF160" s="72"/>
      <c r="PSG160" s="72"/>
      <c r="PSH160" s="72"/>
      <c r="PSI160" s="72"/>
      <c r="PSJ160" s="72"/>
      <c r="PSK160" s="72"/>
      <c r="PSL160" s="72"/>
      <c r="PSM160" s="72"/>
      <c r="PSN160" s="72"/>
      <c r="PSO160" s="72"/>
      <c r="PSP160" s="72"/>
      <c r="PSQ160" s="72"/>
      <c r="PSR160" s="72"/>
      <c r="PSS160" s="72"/>
      <c r="PST160" s="72"/>
      <c r="PSU160" s="72"/>
      <c r="PSV160" s="72"/>
      <c r="PSW160" s="72"/>
      <c r="PSX160" s="72"/>
      <c r="PSY160" s="72"/>
      <c r="PSZ160" s="72"/>
      <c r="PTA160" s="72"/>
      <c r="PTB160" s="72"/>
      <c r="PTC160" s="72"/>
      <c r="PTD160" s="72"/>
      <c r="PTE160" s="72"/>
      <c r="PTF160" s="72"/>
      <c r="PTG160" s="72"/>
      <c r="PTH160" s="72"/>
      <c r="PTI160" s="72"/>
      <c r="PTJ160" s="72"/>
      <c r="PTK160" s="72"/>
      <c r="PTL160" s="72"/>
      <c r="PTM160" s="72"/>
      <c r="PTN160" s="72"/>
      <c r="PTO160" s="72"/>
      <c r="PTP160" s="72"/>
      <c r="PTQ160" s="72"/>
      <c r="PTR160" s="72"/>
      <c r="PTS160" s="72"/>
      <c r="PTT160" s="72"/>
      <c r="PTU160" s="72"/>
      <c r="PTV160" s="72"/>
      <c r="PTW160" s="72"/>
      <c r="PTX160" s="72"/>
      <c r="PTY160" s="72"/>
      <c r="PTZ160" s="72"/>
      <c r="PUA160" s="72"/>
      <c r="PUB160" s="72"/>
      <c r="PUC160" s="72"/>
      <c r="PUD160" s="72"/>
      <c r="PUE160" s="72"/>
      <c r="PUF160" s="72"/>
      <c r="PUG160" s="72"/>
      <c r="PUH160" s="72"/>
      <c r="PUI160" s="72"/>
      <c r="PUJ160" s="72"/>
      <c r="PUK160" s="72"/>
      <c r="PUL160" s="72"/>
      <c r="PUM160" s="72"/>
      <c r="PUN160" s="72"/>
      <c r="PUO160" s="72"/>
      <c r="PUP160" s="72"/>
      <c r="PUQ160" s="72"/>
      <c r="PUR160" s="72"/>
      <c r="PUS160" s="72"/>
      <c r="PUT160" s="72"/>
      <c r="PUU160" s="72"/>
      <c r="PUV160" s="72"/>
      <c r="PUW160" s="72"/>
      <c r="PUX160" s="72"/>
      <c r="PUY160" s="72"/>
      <c r="PUZ160" s="72"/>
      <c r="PVA160" s="72"/>
      <c r="PVB160" s="72"/>
      <c r="PVC160" s="72"/>
      <c r="PVD160" s="72"/>
      <c r="PVE160" s="72"/>
      <c r="PVF160" s="72"/>
      <c r="PVG160" s="72"/>
      <c r="PVH160" s="72"/>
      <c r="PVI160" s="72"/>
      <c r="PVJ160" s="72"/>
      <c r="PVK160" s="72"/>
      <c r="PVL160" s="72"/>
      <c r="PVM160" s="72"/>
      <c r="PVN160" s="72"/>
      <c r="PVO160" s="72"/>
      <c r="PVP160" s="72"/>
      <c r="PVQ160" s="72"/>
      <c r="PVR160" s="72"/>
      <c r="PVS160" s="72"/>
      <c r="PVT160" s="72"/>
      <c r="PVU160" s="72"/>
      <c r="PVV160" s="72"/>
      <c r="PVW160" s="72"/>
      <c r="PVX160" s="72"/>
      <c r="PVY160" s="72"/>
      <c r="PVZ160" s="72"/>
      <c r="PWA160" s="72"/>
      <c r="PWB160" s="72"/>
      <c r="PWC160" s="72"/>
      <c r="PWD160" s="72"/>
      <c r="PWE160" s="72"/>
      <c r="PWF160" s="72"/>
      <c r="PWG160" s="72"/>
      <c r="PWH160" s="72"/>
      <c r="PWI160" s="72"/>
      <c r="PWJ160" s="72"/>
      <c r="PWK160" s="72"/>
      <c r="PWL160" s="72"/>
      <c r="PWM160" s="72"/>
      <c r="PWN160" s="72"/>
      <c r="PWO160" s="72"/>
      <c r="PWP160" s="72"/>
      <c r="PWQ160" s="72"/>
      <c r="PWR160" s="72"/>
      <c r="PWS160" s="72"/>
      <c r="PWT160" s="72"/>
      <c r="PWU160" s="72"/>
      <c r="PWV160" s="72"/>
      <c r="PWW160" s="72"/>
      <c r="PWX160" s="72"/>
      <c r="PWY160" s="72"/>
      <c r="PWZ160" s="72"/>
      <c r="PXA160" s="72"/>
      <c r="PXB160" s="72"/>
      <c r="PXC160" s="72"/>
      <c r="PXD160" s="72"/>
      <c r="PXE160" s="72"/>
      <c r="PXF160" s="72"/>
      <c r="PXG160" s="72"/>
      <c r="PXH160" s="72"/>
      <c r="PXI160" s="72"/>
      <c r="PXJ160" s="72"/>
      <c r="PXK160" s="72"/>
      <c r="PXL160" s="72"/>
      <c r="PXM160" s="72"/>
      <c r="PXN160" s="72"/>
      <c r="PXO160" s="72"/>
      <c r="PXP160" s="72"/>
      <c r="PXQ160" s="72"/>
      <c r="PXR160" s="72"/>
      <c r="PXS160" s="72"/>
      <c r="PXT160" s="72"/>
      <c r="PXU160" s="72"/>
      <c r="PXV160" s="72"/>
      <c r="PXW160" s="72"/>
      <c r="PXX160" s="72"/>
      <c r="PXY160" s="72"/>
      <c r="PXZ160" s="72"/>
      <c r="PYA160" s="72"/>
      <c r="PYB160" s="72"/>
      <c r="PYC160" s="72"/>
      <c r="PYD160" s="72"/>
      <c r="PYE160" s="72"/>
      <c r="PYF160" s="72"/>
      <c r="PYG160" s="72"/>
      <c r="PYH160" s="72"/>
      <c r="PYI160" s="72"/>
      <c r="PYJ160" s="72"/>
      <c r="PYK160" s="72"/>
      <c r="PYL160" s="72"/>
      <c r="PYM160" s="72"/>
      <c r="PYN160" s="72"/>
      <c r="PYO160" s="72"/>
      <c r="PYP160" s="72"/>
      <c r="PYQ160" s="72"/>
      <c r="PYR160" s="72"/>
      <c r="PYS160" s="72"/>
      <c r="PYT160" s="72"/>
      <c r="PYU160" s="72"/>
      <c r="PYV160" s="72"/>
      <c r="PYW160" s="72"/>
      <c r="PYX160" s="72"/>
      <c r="PYY160" s="72"/>
      <c r="PYZ160" s="72"/>
      <c r="PZA160" s="72"/>
      <c r="PZB160" s="72"/>
      <c r="PZC160" s="72"/>
      <c r="PZD160" s="72"/>
      <c r="PZE160" s="72"/>
      <c r="PZF160" s="72"/>
      <c r="PZG160" s="72"/>
      <c r="PZH160" s="72"/>
      <c r="PZI160" s="72"/>
      <c r="PZJ160" s="72"/>
      <c r="PZK160" s="72"/>
      <c r="PZL160" s="72"/>
      <c r="PZM160" s="72"/>
      <c r="PZN160" s="72"/>
      <c r="PZO160" s="72"/>
      <c r="PZP160" s="72"/>
      <c r="PZQ160" s="72"/>
      <c r="PZR160" s="72"/>
      <c r="PZS160" s="72"/>
      <c r="PZT160" s="72"/>
      <c r="PZU160" s="72"/>
      <c r="PZV160" s="72"/>
      <c r="PZW160" s="72"/>
      <c r="PZX160" s="72"/>
      <c r="PZY160" s="72"/>
      <c r="PZZ160" s="72"/>
      <c r="QAA160" s="72"/>
      <c r="QAB160" s="72"/>
      <c r="QAC160" s="72"/>
      <c r="QAD160" s="72"/>
      <c r="QAE160" s="72"/>
      <c r="QAF160" s="72"/>
      <c r="QAG160" s="72"/>
      <c r="QAH160" s="72"/>
      <c r="QAI160" s="72"/>
      <c r="QAJ160" s="72"/>
      <c r="QAK160" s="72"/>
      <c r="QAL160" s="72"/>
      <c r="QAM160" s="72"/>
      <c r="QAN160" s="72"/>
      <c r="QAO160" s="72"/>
      <c r="QAP160" s="72"/>
      <c r="QAQ160" s="72"/>
      <c r="QAR160" s="72"/>
      <c r="QAS160" s="72"/>
      <c r="QAT160" s="72"/>
      <c r="QAU160" s="72"/>
      <c r="QAV160" s="72"/>
      <c r="QAW160" s="72"/>
      <c r="QAX160" s="72"/>
      <c r="QAY160" s="72"/>
      <c r="QAZ160" s="72"/>
      <c r="QBA160" s="72"/>
      <c r="QBB160" s="72"/>
      <c r="QBC160" s="72"/>
      <c r="QBD160" s="72"/>
      <c r="QBE160" s="72"/>
      <c r="QBF160" s="72"/>
      <c r="QBG160" s="72"/>
      <c r="QBH160" s="72"/>
      <c r="QBI160" s="72"/>
      <c r="QBJ160" s="72"/>
      <c r="QBK160" s="72"/>
      <c r="QBL160" s="72"/>
      <c r="QBM160" s="72"/>
      <c r="QBN160" s="72"/>
      <c r="QBO160" s="72"/>
      <c r="QBP160" s="72"/>
      <c r="QBQ160" s="72"/>
      <c r="QBR160" s="72"/>
      <c r="QBS160" s="72"/>
      <c r="QBT160" s="72"/>
      <c r="QBU160" s="72"/>
      <c r="QBV160" s="72"/>
      <c r="QBW160" s="72"/>
      <c r="QBX160" s="72"/>
      <c r="QBY160" s="72"/>
      <c r="QBZ160" s="72"/>
      <c r="QCA160" s="72"/>
      <c r="QCB160" s="72"/>
      <c r="QCC160" s="72"/>
      <c r="QCD160" s="72"/>
      <c r="QCE160" s="72"/>
      <c r="QCF160" s="72"/>
      <c r="QCG160" s="72"/>
      <c r="QCH160" s="72"/>
      <c r="QCI160" s="72"/>
      <c r="QCJ160" s="72"/>
      <c r="QCK160" s="72"/>
      <c r="QCL160" s="72"/>
      <c r="QCM160" s="72"/>
      <c r="QCN160" s="72"/>
      <c r="QCO160" s="72"/>
      <c r="QCP160" s="72"/>
      <c r="QCQ160" s="72"/>
      <c r="QCR160" s="72"/>
      <c r="QCS160" s="72"/>
      <c r="QCT160" s="72"/>
      <c r="QCU160" s="72"/>
      <c r="QCV160" s="72"/>
      <c r="QCW160" s="72"/>
      <c r="QCX160" s="72"/>
      <c r="QCY160" s="72"/>
      <c r="QCZ160" s="72"/>
      <c r="QDA160" s="72"/>
      <c r="QDB160" s="72"/>
      <c r="QDC160" s="72"/>
      <c r="QDD160" s="72"/>
      <c r="QDE160" s="72"/>
      <c r="QDF160" s="72"/>
      <c r="QDG160" s="72"/>
      <c r="QDH160" s="72"/>
      <c r="QDI160" s="72"/>
      <c r="QDJ160" s="72"/>
      <c r="QDK160" s="72"/>
      <c r="QDL160" s="72"/>
      <c r="QDM160" s="72"/>
      <c r="QDN160" s="72"/>
      <c r="QDO160" s="72"/>
      <c r="QDP160" s="72"/>
      <c r="QDQ160" s="72"/>
      <c r="QDR160" s="72"/>
      <c r="QDS160" s="72"/>
      <c r="QDT160" s="72"/>
      <c r="QDU160" s="72"/>
      <c r="QDV160" s="72"/>
      <c r="QDW160" s="72"/>
      <c r="QDX160" s="72"/>
      <c r="QDY160" s="72"/>
      <c r="QDZ160" s="72"/>
      <c r="QEA160" s="72"/>
      <c r="QEB160" s="72"/>
      <c r="QEC160" s="72"/>
      <c r="QED160" s="72"/>
      <c r="QEE160" s="72"/>
      <c r="QEF160" s="72"/>
      <c r="QEG160" s="72"/>
      <c r="QEH160" s="72"/>
      <c r="QEI160" s="72"/>
      <c r="QEJ160" s="72"/>
      <c r="QEK160" s="72"/>
      <c r="QEL160" s="72"/>
      <c r="QEM160" s="72"/>
      <c r="QEN160" s="72"/>
      <c r="QEO160" s="72"/>
      <c r="QEP160" s="72"/>
      <c r="QEQ160" s="72"/>
      <c r="QER160" s="72"/>
      <c r="QES160" s="72"/>
      <c r="QET160" s="72"/>
      <c r="QEU160" s="72"/>
      <c r="QEV160" s="72"/>
      <c r="QEW160" s="72"/>
      <c r="QEX160" s="72"/>
      <c r="QEY160" s="72"/>
      <c r="QEZ160" s="72"/>
      <c r="QFA160" s="72"/>
      <c r="QFB160" s="72"/>
      <c r="QFC160" s="72"/>
      <c r="QFD160" s="72"/>
      <c r="QFE160" s="72"/>
      <c r="QFF160" s="72"/>
      <c r="QFG160" s="72"/>
      <c r="QFH160" s="72"/>
      <c r="QFI160" s="72"/>
      <c r="QFJ160" s="72"/>
      <c r="QFK160" s="72"/>
      <c r="QFL160" s="72"/>
      <c r="QFM160" s="72"/>
      <c r="QFN160" s="72"/>
      <c r="QFO160" s="72"/>
      <c r="QFP160" s="72"/>
      <c r="QFQ160" s="72"/>
      <c r="QFR160" s="72"/>
      <c r="QFS160" s="72"/>
      <c r="QFT160" s="72"/>
      <c r="QFU160" s="72"/>
      <c r="QFV160" s="72"/>
      <c r="QFW160" s="72"/>
      <c r="QFX160" s="72"/>
      <c r="QFY160" s="72"/>
      <c r="QFZ160" s="72"/>
      <c r="QGA160" s="72"/>
      <c r="QGB160" s="72"/>
      <c r="QGC160" s="72"/>
      <c r="QGD160" s="72"/>
      <c r="QGE160" s="72"/>
      <c r="QGF160" s="72"/>
      <c r="QGG160" s="72"/>
      <c r="QGH160" s="72"/>
      <c r="QGI160" s="72"/>
      <c r="QGJ160" s="72"/>
      <c r="QGK160" s="72"/>
      <c r="QGL160" s="72"/>
      <c r="QGM160" s="72"/>
      <c r="QGN160" s="72"/>
      <c r="QGO160" s="72"/>
      <c r="QGP160" s="72"/>
      <c r="QGQ160" s="72"/>
      <c r="QGR160" s="72"/>
      <c r="QGS160" s="72"/>
      <c r="QGT160" s="72"/>
      <c r="QGU160" s="72"/>
      <c r="QGV160" s="72"/>
      <c r="QGW160" s="72"/>
      <c r="QGX160" s="72"/>
      <c r="QGY160" s="72"/>
      <c r="QGZ160" s="72"/>
      <c r="QHA160" s="72"/>
      <c r="QHB160" s="72"/>
      <c r="QHC160" s="72"/>
      <c r="QHD160" s="72"/>
      <c r="QHE160" s="72"/>
      <c r="QHF160" s="72"/>
      <c r="QHG160" s="72"/>
      <c r="QHH160" s="72"/>
      <c r="QHI160" s="72"/>
      <c r="QHJ160" s="72"/>
      <c r="QHK160" s="72"/>
      <c r="QHL160" s="72"/>
      <c r="QHM160" s="72"/>
      <c r="QHN160" s="72"/>
      <c r="QHO160" s="72"/>
      <c r="QHP160" s="72"/>
      <c r="QHQ160" s="72"/>
      <c r="QHR160" s="72"/>
      <c r="QHS160" s="72"/>
      <c r="QHT160" s="72"/>
      <c r="QHU160" s="72"/>
      <c r="QHV160" s="72"/>
      <c r="QHW160" s="72"/>
      <c r="QHX160" s="72"/>
      <c r="QHY160" s="72"/>
      <c r="QHZ160" s="72"/>
      <c r="QIA160" s="72"/>
      <c r="QIB160" s="72"/>
      <c r="QIC160" s="72"/>
      <c r="QID160" s="72"/>
      <c r="QIE160" s="72"/>
      <c r="QIF160" s="72"/>
      <c r="QIG160" s="72"/>
      <c r="QIH160" s="72"/>
      <c r="QII160" s="72"/>
      <c r="QIJ160" s="72"/>
      <c r="QIK160" s="72"/>
      <c r="QIL160" s="72"/>
      <c r="QIM160" s="72"/>
      <c r="QIN160" s="72"/>
      <c r="QIO160" s="72"/>
      <c r="QIP160" s="72"/>
      <c r="QIQ160" s="72"/>
      <c r="QIR160" s="72"/>
      <c r="QIS160" s="72"/>
      <c r="QIT160" s="72"/>
      <c r="QIU160" s="72"/>
      <c r="QIV160" s="72"/>
      <c r="QIW160" s="72"/>
      <c r="QIX160" s="72"/>
      <c r="QIY160" s="72"/>
      <c r="QIZ160" s="72"/>
      <c r="QJA160" s="72"/>
      <c r="QJB160" s="72"/>
      <c r="QJC160" s="72"/>
      <c r="QJD160" s="72"/>
      <c r="QJE160" s="72"/>
      <c r="QJF160" s="72"/>
      <c r="QJG160" s="72"/>
      <c r="QJH160" s="72"/>
      <c r="QJI160" s="72"/>
      <c r="QJJ160" s="72"/>
      <c r="QJK160" s="72"/>
      <c r="QJL160" s="72"/>
      <c r="QJM160" s="72"/>
      <c r="QJN160" s="72"/>
      <c r="QJO160" s="72"/>
      <c r="QJP160" s="72"/>
      <c r="QJQ160" s="72"/>
      <c r="QJR160" s="72"/>
      <c r="QJS160" s="72"/>
      <c r="QJT160" s="72"/>
      <c r="QJU160" s="72"/>
      <c r="QJV160" s="72"/>
      <c r="QJW160" s="72"/>
      <c r="QJX160" s="72"/>
      <c r="QJY160" s="72"/>
      <c r="QJZ160" s="72"/>
      <c r="QKA160" s="72"/>
      <c r="QKB160" s="72"/>
      <c r="QKC160" s="72"/>
      <c r="QKD160" s="72"/>
      <c r="QKE160" s="72"/>
      <c r="QKF160" s="72"/>
      <c r="QKG160" s="72"/>
      <c r="QKH160" s="72"/>
      <c r="QKI160" s="72"/>
      <c r="QKJ160" s="72"/>
      <c r="QKK160" s="72"/>
      <c r="QKL160" s="72"/>
      <c r="QKM160" s="72"/>
      <c r="QKN160" s="72"/>
      <c r="QKO160" s="72"/>
      <c r="QKP160" s="72"/>
      <c r="QKQ160" s="72"/>
      <c r="QKR160" s="72"/>
      <c r="QKS160" s="72"/>
      <c r="QKT160" s="72"/>
      <c r="QKU160" s="72"/>
      <c r="QKV160" s="72"/>
      <c r="QKW160" s="72"/>
      <c r="QKX160" s="72"/>
      <c r="QKY160" s="72"/>
      <c r="QKZ160" s="72"/>
      <c r="QLA160" s="72"/>
      <c r="QLB160" s="72"/>
      <c r="QLC160" s="72"/>
      <c r="QLD160" s="72"/>
      <c r="QLE160" s="72"/>
      <c r="QLF160" s="72"/>
      <c r="QLG160" s="72"/>
      <c r="QLH160" s="72"/>
      <c r="QLI160" s="72"/>
      <c r="QLJ160" s="72"/>
      <c r="QLK160" s="72"/>
      <c r="QLL160" s="72"/>
      <c r="QLM160" s="72"/>
      <c r="QLN160" s="72"/>
      <c r="QLO160" s="72"/>
      <c r="QLP160" s="72"/>
      <c r="QLQ160" s="72"/>
      <c r="QLR160" s="72"/>
      <c r="QLS160" s="72"/>
      <c r="QLT160" s="72"/>
      <c r="QLU160" s="72"/>
      <c r="QLV160" s="72"/>
      <c r="QLW160" s="72"/>
      <c r="QLX160" s="72"/>
      <c r="QLY160" s="72"/>
      <c r="QLZ160" s="72"/>
      <c r="QMA160" s="72"/>
      <c r="QMB160" s="72"/>
      <c r="QMC160" s="72"/>
      <c r="QMD160" s="72"/>
      <c r="QME160" s="72"/>
      <c r="QMF160" s="72"/>
      <c r="QMG160" s="72"/>
      <c r="QMH160" s="72"/>
      <c r="QMI160" s="72"/>
      <c r="QMJ160" s="72"/>
      <c r="QMK160" s="72"/>
      <c r="QML160" s="72"/>
      <c r="QMM160" s="72"/>
      <c r="QMN160" s="72"/>
      <c r="QMO160" s="72"/>
      <c r="QMP160" s="72"/>
      <c r="QMQ160" s="72"/>
      <c r="QMR160" s="72"/>
      <c r="QMS160" s="72"/>
      <c r="QMT160" s="72"/>
      <c r="QMU160" s="72"/>
      <c r="QMV160" s="72"/>
      <c r="QMW160" s="72"/>
      <c r="QMX160" s="72"/>
      <c r="QMY160" s="72"/>
      <c r="QMZ160" s="72"/>
      <c r="QNA160" s="72"/>
      <c r="QNB160" s="72"/>
      <c r="QNC160" s="72"/>
      <c r="QND160" s="72"/>
      <c r="QNE160" s="72"/>
      <c r="QNF160" s="72"/>
      <c r="QNG160" s="72"/>
      <c r="QNH160" s="72"/>
      <c r="QNI160" s="72"/>
      <c r="QNJ160" s="72"/>
      <c r="QNK160" s="72"/>
      <c r="QNL160" s="72"/>
      <c r="QNM160" s="72"/>
      <c r="QNN160" s="72"/>
      <c r="QNO160" s="72"/>
      <c r="QNP160" s="72"/>
      <c r="QNQ160" s="72"/>
      <c r="QNR160" s="72"/>
      <c r="QNS160" s="72"/>
      <c r="QNT160" s="72"/>
      <c r="QNU160" s="72"/>
      <c r="QNV160" s="72"/>
      <c r="QNW160" s="72"/>
      <c r="QNX160" s="72"/>
      <c r="QNY160" s="72"/>
      <c r="QNZ160" s="72"/>
      <c r="QOA160" s="72"/>
      <c r="QOB160" s="72"/>
      <c r="QOC160" s="72"/>
      <c r="QOD160" s="72"/>
      <c r="QOE160" s="72"/>
      <c r="QOF160" s="72"/>
      <c r="QOG160" s="72"/>
      <c r="QOH160" s="72"/>
      <c r="QOI160" s="72"/>
      <c r="QOJ160" s="72"/>
      <c r="QOK160" s="72"/>
      <c r="QOL160" s="72"/>
      <c r="QOM160" s="72"/>
      <c r="QON160" s="72"/>
      <c r="QOO160" s="72"/>
      <c r="QOP160" s="72"/>
      <c r="QOQ160" s="72"/>
      <c r="QOR160" s="72"/>
      <c r="QOS160" s="72"/>
      <c r="QOT160" s="72"/>
      <c r="QOU160" s="72"/>
      <c r="QOV160" s="72"/>
      <c r="QOW160" s="72"/>
      <c r="QOX160" s="72"/>
      <c r="QOY160" s="72"/>
      <c r="QOZ160" s="72"/>
      <c r="QPA160" s="72"/>
      <c r="QPB160" s="72"/>
      <c r="QPC160" s="72"/>
      <c r="QPD160" s="72"/>
      <c r="QPE160" s="72"/>
      <c r="QPF160" s="72"/>
      <c r="QPG160" s="72"/>
      <c r="QPH160" s="72"/>
      <c r="QPI160" s="72"/>
      <c r="QPJ160" s="72"/>
      <c r="QPK160" s="72"/>
      <c r="QPL160" s="72"/>
      <c r="QPM160" s="72"/>
      <c r="QPN160" s="72"/>
      <c r="QPO160" s="72"/>
      <c r="QPP160" s="72"/>
      <c r="QPQ160" s="72"/>
      <c r="QPR160" s="72"/>
      <c r="QPS160" s="72"/>
      <c r="QPT160" s="72"/>
      <c r="QPU160" s="72"/>
      <c r="QPV160" s="72"/>
      <c r="QPW160" s="72"/>
      <c r="QPX160" s="72"/>
      <c r="QPY160" s="72"/>
      <c r="QPZ160" s="72"/>
      <c r="QQA160" s="72"/>
      <c r="QQB160" s="72"/>
      <c r="QQC160" s="72"/>
      <c r="QQD160" s="72"/>
      <c r="QQE160" s="72"/>
      <c r="QQF160" s="72"/>
      <c r="QQG160" s="72"/>
      <c r="QQH160" s="72"/>
      <c r="QQI160" s="72"/>
      <c r="QQJ160" s="72"/>
      <c r="QQK160" s="72"/>
      <c r="QQL160" s="72"/>
      <c r="QQM160" s="72"/>
      <c r="QQN160" s="72"/>
      <c r="QQO160" s="72"/>
      <c r="QQP160" s="72"/>
      <c r="QQQ160" s="72"/>
      <c r="QQR160" s="72"/>
      <c r="QQS160" s="72"/>
      <c r="QQT160" s="72"/>
      <c r="QQU160" s="72"/>
      <c r="QQV160" s="72"/>
      <c r="QQW160" s="72"/>
      <c r="QQX160" s="72"/>
      <c r="QQY160" s="72"/>
      <c r="QQZ160" s="72"/>
      <c r="QRA160" s="72"/>
      <c r="QRB160" s="72"/>
      <c r="QRC160" s="72"/>
      <c r="QRD160" s="72"/>
      <c r="QRE160" s="72"/>
      <c r="QRF160" s="72"/>
      <c r="QRG160" s="72"/>
      <c r="QRH160" s="72"/>
      <c r="QRI160" s="72"/>
      <c r="QRJ160" s="72"/>
      <c r="QRK160" s="72"/>
      <c r="QRL160" s="72"/>
      <c r="QRM160" s="72"/>
      <c r="QRN160" s="72"/>
      <c r="QRO160" s="72"/>
      <c r="QRP160" s="72"/>
      <c r="QRQ160" s="72"/>
      <c r="QRR160" s="72"/>
      <c r="QRS160" s="72"/>
      <c r="QRT160" s="72"/>
      <c r="QRU160" s="72"/>
      <c r="QRV160" s="72"/>
      <c r="QRW160" s="72"/>
      <c r="QRX160" s="72"/>
      <c r="QRY160" s="72"/>
      <c r="QRZ160" s="72"/>
      <c r="QSA160" s="72"/>
      <c r="QSB160" s="72"/>
      <c r="QSC160" s="72"/>
      <c r="QSD160" s="72"/>
      <c r="QSE160" s="72"/>
      <c r="QSF160" s="72"/>
      <c r="QSG160" s="72"/>
      <c r="QSH160" s="72"/>
      <c r="QSI160" s="72"/>
      <c r="QSJ160" s="72"/>
      <c r="QSK160" s="72"/>
      <c r="QSL160" s="72"/>
      <c r="QSM160" s="72"/>
      <c r="QSN160" s="72"/>
      <c r="QSO160" s="72"/>
      <c r="QSP160" s="72"/>
      <c r="QSQ160" s="72"/>
      <c r="QSR160" s="72"/>
      <c r="QSS160" s="72"/>
      <c r="QST160" s="72"/>
      <c r="QSU160" s="72"/>
      <c r="QSV160" s="72"/>
      <c r="QSW160" s="72"/>
      <c r="QSX160" s="72"/>
      <c r="QSY160" s="72"/>
      <c r="QSZ160" s="72"/>
      <c r="QTA160" s="72"/>
      <c r="QTB160" s="72"/>
      <c r="QTC160" s="72"/>
      <c r="QTD160" s="72"/>
      <c r="QTE160" s="72"/>
      <c r="QTF160" s="72"/>
      <c r="QTG160" s="72"/>
      <c r="QTH160" s="72"/>
      <c r="QTI160" s="72"/>
      <c r="QTJ160" s="72"/>
      <c r="QTK160" s="72"/>
      <c r="QTL160" s="72"/>
      <c r="QTM160" s="72"/>
      <c r="QTN160" s="72"/>
      <c r="QTO160" s="72"/>
      <c r="QTP160" s="72"/>
      <c r="QTQ160" s="72"/>
      <c r="QTR160" s="72"/>
      <c r="QTS160" s="72"/>
      <c r="QTT160" s="72"/>
      <c r="QTU160" s="72"/>
      <c r="QTV160" s="72"/>
      <c r="QTW160" s="72"/>
      <c r="QTX160" s="72"/>
      <c r="QTY160" s="72"/>
      <c r="QTZ160" s="72"/>
      <c r="QUA160" s="72"/>
      <c r="QUB160" s="72"/>
      <c r="QUC160" s="72"/>
      <c r="QUD160" s="72"/>
      <c r="QUE160" s="72"/>
      <c r="QUF160" s="72"/>
      <c r="QUG160" s="72"/>
      <c r="QUH160" s="72"/>
      <c r="QUI160" s="72"/>
      <c r="QUJ160" s="72"/>
      <c r="QUK160" s="72"/>
      <c r="QUL160" s="72"/>
      <c r="QUM160" s="72"/>
      <c r="QUN160" s="72"/>
      <c r="QUO160" s="72"/>
      <c r="QUP160" s="72"/>
      <c r="QUQ160" s="72"/>
      <c r="QUR160" s="72"/>
      <c r="QUS160" s="72"/>
      <c r="QUT160" s="72"/>
      <c r="QUU160" s="72"/>
      <c r="QUV160" s="72"/>
      <c r="QUW160" s="72"/>
      <c r="QUX160" s="72"/>
      <c r="QUY160" s="72"/>
      <c r="QUZ160" s="72"/>
      <c r="QVA160" s="72"/>
      <c r="QVB160" s="72"/>
      <c r="QVC160" s="72"/>
      <c r="QVD160" s="72"/>
      <c r="QVE160" s="72"/>
      <c r="QVF160" s="72"/>
      <c r="QVG160" s="72"/>
      <c r="QVH160" s="72"/>
      <c r="QVI160" s="72"/>
      <c r="QVJ160" s="72"/>
      <c r="QVK160" s="72"/>
      <c r="QVL160" s="72"/>
      <c r="QVM160" s="72"/>
      <c r="QVN160" s="72"/>
      <c r="QVO160" s="72"/>
      <c r="QVP160" s="72"/>
      <c r="QVQ160" s="72"/>
      <c r="QVR160" s="72"/>
      <c r="QVS160" s="72"/>
      <c r="QVT160" s="72"/>
      <c r="QVU160" s="72"/>
      <c r="QVV160" s="72"/>
      <c r="QVW160" s="72"/>
      <c r="QVX160" s="72"/>
      <c r="QVY160" s="72"/>
      <c r="QVZ160" s="72"/>
      <c r="QWA160" s="72"/>
      <c r="QWB160" s="72"/>
      <c r="QWC160" s="72"/>
      <c r="QWD160" s="72"/>
      <c r="QWE160" s="72"/>
      <c r="QWF160" s="72"/>
      <c r="QWG160" s="72"/>
      <c r="QWH160" s="72"/>
      <c r="QWI160" s="72"/>
      <c r="QWJ160" s="72"/>
      <c r="QWK160" s="72"/>
      <c r="QWL160" s="72"/>
      <c r="QWM160" s="72"/>
      <c r="QWN160" s="72"/>
      <c r="QWO160" s="72"/>
      <c r="QWP160" s="72"/>
      <c r="QWQ160" s="72"/>
      <c r="QWR160" s="72"/>
      <c r="QWS160" s="72"/>
      <c r="QWT160" s="72"/>
      <c r="QWU160" s="72"/>
      <c r="QWV160" s="72"/>
      <c r="QWW160" s="72"/>
      <c r="QWX160" s="72"/>
      <c r="QWY160" s="72"/>
      <c r="QWZ160" s="72"/>
      <c r="QXA160" s="72"/>
      <c r="QXB160" s="72"/>
      <c r="QXC160" s="72"/>
      <c r="QXD160" s="72"/>
      <c r="QXE160" s="72"/>
      <c r="QXF160" s="72"/>
      <c r="QXG160" s="72"/>
      <c r="QXH160" s="72"/>
      <c r="QXI160" s="72"/>
      <c r="QXJ160" s="72"/>
      <c r="QXK160" s="72"/>
      <c r="QXL160" s="72"/>
      <c r="QXM160" s="72"/>
      <c r="QXN160" s="72"/>
      <c r="QXO160" s="72"/>
      <c r="QXP160" s="72"/>
      <c r="QXQ160" s="72"/>
      <c r="QXR160" s="72"/>
      <c r="QXS160" s="72"/>
      <c r="QXT160" s="72"/>
      <c r="QXU160" s="72"/>
      <c r="QXV160" s="72"/>
      <c r="QXW160" s="72"/>
      <c r="QXX160" s="72"/>
      <c r="QXY160" s="72"/>
      <c r="QXZ160" s="72"/>
      <c r="QYA160" s="72"/>
      <c r="QYB160" s="72"/>
      <c r="QYC160" s="72"/>
      <c r="QYD160" s="72"/>
      <c r="QYE160" s="72"/>
      <c r="QYF160" s="72"/>
      <c r="QYG160" s="72"/>
      <c r="QYH160" s="72"/>
      <c r="QYI160" s="72"/>
      <c r="QYJ160" s="72"/>
      <c r="QYK160" s="72"/>
      <c r="QYL160" s="72"/>
      <c r="QYM160" s="72"/>
      <c r="QYN160" s="72"/>
      <c r="QYO160" s="72"/>
      <c r="QYP160" s="72"/>
      <c r="QYQ160" s="72"/>
      <c r="QYR160" s="72"/>
      <c r="QYS160" s="72"/>
      <c r="QYT160" s="72"/>
      <c r="QYU160" s="72"/>
      <c r="QYV160" s="72"/>
      <c r="QYW160" s="72"/>
      <c r="QYX160" s="72"/>
      <c r="QYY160" s="72"/>
      <c r="QYZ160" s="72"/>
      <c r="QZA160" s="72"/>
      <c r="QZB160" s="72"/>
      <c r="QZC160" s="72"/>
      <c r="QZD160" s="72"/>
      <c r="QZE160" s="72"/>
      <c r="QZF160" s="72"/>
      <c r="QZG160" s="72"/>
      <c r="QZH160" s="72"/>
      <c r="QZI160" s="72"/>
      <c r="QZJ160" s="72"/>
      <c r="QZK160" s="72"/>
      <c r="QZL160" s="72"/>
      <c r="QZM160" s="72"/>
      <c r="QZN160" s="72"/>
      <c r="QZO160" s="72"/>
      <c r="QZP160" s="72"/>
      <c r="QZQ160" s="72"/>
      <c r="QZR160" s="72"/>
      <c r="QZS160" s="72"/>
      <c r="QZT160" s="72"/>
      <c r="QZU160" s="72"/>
      <c r="QZV160" s="72"/>
      <c r="QZW160" s="72"/>
      <c r="QZX160" s="72"/>
      <c r="QZY160" s="72"/>
      <c r="QZZ160" s="72"/>
      <c r="RAA160" s="72"/>
      <c r="RAB160" s="72"/>
      <c r="RAC160" s="72"/>
      <c r="RAD160" s="72"/>
      <c r="RAE160" s="72"/>
      <c r="RAF160" s="72"/>
      <c r="RAG160" s="72"/>
      <c r="RAH160" s="72"/>
      <c r="RAI160" s="72"/>
      <c r="RAJ160" s="72"/>
      <c r="RAK160" s="72"/>
      <c r="RAL160" s="72"/>
      <c r="RAM160" s="72"/>
      <c r="RAN160" s="72"/>
      <c r="RAO160" s="72"/>
      <c r="RAP160" s="72"/>
      <c r="RAQ160" s="72"/>
      <c r="RAR160" s="72"/>
      <c r="RAS160" s="72"/>
      <c r="RAT160" s="72"/>
      <c r="RAU160" s="72"/>
      <c r="RAV160" s="72"/>
      <c r="RAW160" s="72"/>
      <c r="RAX160" s="72"/>
      <c r="RAY160" s="72"/>
      <c r="RAZ160" s="72"/>
      <c r="RBA160" s="72"/>
      <c r="RBB160" s="72"/>
      <c r="RBC160" s="72"/>
      <c r="RBD160" s="72"/>
      <c r="RBE160" s="72"/>
      <c r="RBF160" s="72"/>
      <c r="RBG160" s="72"/>
      <c r="RBH160" s="72"/>
      <c r="RBI160" s="72"/>
      <c r="RBJ160" s="72"/>
      <c r="RBK160" s="72"/>
      <c r="RBL160" s="72"/>
      <c r="RBM160" s="72"/>
      <c r="RBN160" s="72"/>
      <c r="RBO160" s="72"/>
      <c r="RBP160" s="72"/>
      <c r="RBQ160" s="72"/>
      <c r="RBR160" s="72"/>
      <c r="RBS160" s="72"/>
      <c r="RBT160" s="72"/>
      <c r="RBU160" s="72"/>
      <c r="RBV160" s="72"/>
      <c r="RBW160" s="72"/>
      <c r="RBX160" s="72"/>
      <c r="RBY160" s="72"/>
      <c r="RBZ160" s="72"/>
      <c r="RCA160" s="72"/>
      <c r="RCB160" s="72"/>
      <c r="RCC160" s="72"/>
      <c r="RCD160" s="72"/>
      <c r="RCE160" s="72"/>
      <c r="RCF160" s="72"/>
      <c r="RCG160" s="72"/>
      <c r="RCH160" s="72"/>
      <c r="RCI160" s="72"/>
      <c r="RCJ160" s="72"/>
      <c r="RCK160" s="72"/>
      <c r="RCL160" s="72"/>
      <c r="RCM160" s="72"/>
      <c r="RCN160" s="72"/>
      <c r="RCO160" s="72"/>
      <c r="RCP160" s="72"/>
      <c r="RCQ160" s="72"/>
      <c r="RCR160" s="72"/>
      <c r="RCS160" s="72"/>
      <c r="RCT160" s="72"/>
      <c r="RCU160" s="72"/>
      <c r="RCV160" s="72"/>
      <c r="RCW160" s="72"/>
      <c r="RCX160" s="72"/>
      <c r="RCY160" s="72"/>
      <c r="RCZ160" s="72"/>
      <c r="RDA160" s="72"/>
      <c r="RDB160" s="72"/>
      <c r="RDC160" s="72"/>
      <c r="RDD160" s="72"/>
      <c r="RDE160" s="72"/>
      <c r="RDF160" s="72"/>
      <c r="RDG160" s="72"/>
      <c r="RDH160" s="72"/>
      <c r="RDI160" s="72"/>
      <c r="RDJ160" s="72"/>
      <c r="RDK160" s="72"/>
      <c r="RDL160" s="72"/>
      <c r="RDM160" s="72"/>
      <c r="RDN160" s="72"/>
      <c r="RDO160" s="72"/>
      <c r="RDP160" s="72"/>
      <c r="RDQ160" s="72"/>
      <c r="RDR160" s="72"/>
      <c r="RDS160" s="72"/>
      <c r="RDT160" s="72"/>
      <c r="RDU160" s="72"/>
      <c r="RDV160" s="72"/>
      <c r="RDW160" s="72"/>
      <c r="RDX160" s="72"/>
      <c r="RDY160" s="72"/>
      <c r="RDZ160" s="72"/>
      <c r="REA160" s="72"/>
      <c r="REB160" s="72"/>
      <c r="REC160" s="72"/>
      <c r="RED160" s="72"/>
      <c r="REE160" s="72"/>
      <c r="REF160" s="72"/>
      <c r="REG160" s="72"/>
      <c r="REH160" s="72"/>
      <c r="REI160" s="72"/>
      <c r="REJ160" s="72"/>
      <c r="REK160" s="72"/>
      <c r="REL160" s="72"/>
      <c r="REM160" s="72"/>
      <c r="REN160" s="72"/>
      <c r="REO160" s="72"/>
      <c r="REP160" s="72"/>
      <c r="REQ160" s="72"/>
      <c r="RER160" s="72"/>
      <c r="RES160" s="72"/>
      <c r="RET160" s="72"/>
      <c r="REU160" s="72"/>
      <c r="REV160" s="72"/>
      <c r="REW160" s="72"/>
      <c r="REX160" s="72"/>
      <c r="REY160" s="72"/>
      <c r="REZ160" s="72"/>
      <c r="RFA160" s="72"/>
      <c r="RFB160" s="72"/>
      <c r="RFC160" s="72"/>
      <c r="RFD160" s="72"/>
      <c r="RFE160" s="72"/>
      <c r="RFF160" s="72"/>
      <c r="RFG160" s="72"/>
      <c r="RFH160" s="72"/>
      <c r="RFI160" s="72"/>
      <c r="RFJ160" s="72"/>
      <c r="RFK160" s="72"/>
      <c r="RFL160" s="72"/>
      <c r="RFM160" s="72"/>
      <c r="RFN160" s="72"/>
      <c r="RFO160" s="72"/>
      <c r="RFP160" s="72"/>
      <c r="RFQ160" s="72"/>
      <c r="RFR160" s="72"/>
      <c r="RFS160" s="72"/>
      <c r="RFT160" s="72"/>
      <c r="RFU160" s="72"/>
      <c r="RFV160" s="72"/>
      <c r="RFW160" s="72"/>
      <c r="RFX160" s="72"/>
      <c r="RFY160" s="72"/>
      <c r="RFZ160" s="72"/>
      <c r="RGA160" s="72"/>
      <c r="RGB160" s="72"/>
      <c r="RGC160" s="72"/>
      <c r="RGD160" s="72"/>
      <c r="RGE160" s="72"/>
      <c r="RGF160" s="72"/>
      <c r="RGG160" s="72"/>
      <c r="RGH160" s="72"/>
      <c r="RGI160" s="72"/>
      <c r="RGJ160" s="72"/>
      <c r="RGK160" s="72"/>
      <c r="RGL160" s="72"/>
      <c r="RGM160" s="72"/>
      <c r="RGN160" s="72"/>
      <c r="RGO160" s="72"/>
      <c r="RGP160" s="72"/>
      <c r="RGQ160" s="72"/>
      <c r="RGR160" s="72"/>
      <c r="RGS160" s="72"/>
      <c r="RGT160" s="72"/>
      <c r="RGU160" s="72"/>
      <c r="RGV160" s="72"/>
      <c r="RGW160" s="72"/>
      <c r="RGX160" s="72"/>
      <c r="RGY160" s="72"/>
      <c r="RGZ160" s="72"/>
      <c r="RHA160" s="72"/>
      <c r="RHB160" s="72"/>
      <c r="RHC160" s="72"/>
      <c r="RHD160" s="72"/>
      <c r="RHE160" s="72"/>
      <c r="RHF160" s="72"/>
      <c r="RHG160" s="72"/>
      <c r="RHH160" s="72"/>
      <c r="RHI160" s="72"/>
      <c r="RHJ160" s="72"/>
      <c r="RHK160" s="72"/>
      <c r="RHL160" s="72"/>
      <c r="RHM160" s="72"/>
      <c r="RHN160" s="72"/>
      <c r="RHO160" s="72"/>
      <c r="RHP160" s="72"/>
      <c r="RHQ160" s="72"/>
      <c r="RHR160" s="72"/>
      <c r="RHS160" s="72"/>
      <c r="RHT160" s="72"/>
      <c r="RHU160" s="72"/>
      <c r="RHV160" s="72"/>
      <c r="RHW160" s="72"/>
      <c r="RHX160" s="72"/>
      <c r="RHY160" s="72"/>
      <c r="RHZ160" s="72"/>
      <c r="RIA160" s="72"/>
      <c r="RIB160" s="72"/>
      <c r="RIC160" s="72"/>
      <c r="RID160" s="72"/>
      <c r="RIE160" s="72"/>
      <c r="RIF160" s="72"/>
      <c r="RIG160" s="72"/>
      <c r="RIH160" s="72"/>
      <c r="RII160" s="72"/>
      <c r="RIJ160" s="72"/>
      <c r="RIK160" s="72"/>
      <c r="RIL160" s="72"/>
      <c r="RIM160" s="72"/>
      <c r="RIN160" s="72"/>
      <c r="RIO160" s="72"/>
      <c r="RIP160" s="72"/>
      <c r="RIQ160" s="72"/>
      <c r="RIR160" s="72"/>
      <c r="RIS160" s="72"/>
      <c r="RIT160" s="72"/>
      <c r="RIU160" s="72"/>
      <c r="RIV160" s="72"/>
      <c r="RIW160" s="72"/>
      <c r="RIX160" s="72"/>
      <c r="RIY160" s="72"/>
      <c r="RIZ160" s="72"/>
      <c r="RJA160" s="72"/>
      <c r="RJB160" s="72"/>
      <c r="RJC160" s="72"/>
      <c r="RJD160" s="72"/>
      <c r="RJE160" s="72"/>
      <c r="RJF160" s="72"/>
      <c r="RJG160" s="72"/>
      <c r="RJH160" s="72"/>
      <c r="RJI160" s="72"/>
      <c r="RJJ160" s="72"/>
      <c r="RJK160" s="72"/>
      <c r="RJL160" s="72"/>
      <c r="RJM160" s="72"/>
      <c r="RJN160" s="72"/>
      <c r="RJO160" s="72"/>
      <c r="RJP160" s="72"/>
      <c r="RJQ160" s="72"/>
      <c r="RJR160" s="72"/>
      <c r="RJS160" s="72"/>
      <c r="RJT160" s="72"/>
      <c r="RJU160" s="72"/>
      <c r="RJV160" s="72"/>
      <c r="RJW160" s="72"/>
      <c r="RJX160" s="72"/>
      <c r="RJY160" s="72"/>
      <c r="RJZ160" s="72"/>
      <c r="RKA160" s="72"/>
      <c r="RKB160" s="72"/>
      <c r="RKC160" s="72"/>
      <c r="RKD160" s="72"/>
      <c r="RKE160" s="72"/>
      <c r="RKF160" s="72"/>
      <c r="RKG160" s="72"/>
      <c r="RKH160" s="72"/>
      <c r="RKI160" s="72"/>
      <c r="RKJ160" s="72"/>
      <c r="RKK160" s="72"/>
      <c r="RKL160" s="72"/>
      <c r="RKM160" s="72"/>
      <c r="RKN160" s="72"/>
      <c r="RKO160" s="72"/>
      <c r="RKP160" s="72"/>
      <c r="RKQ160" s="72"/>
      <c r="RKR160" s="72"/>
      <c r="RKS160" s="72"/>
      <c r="RKT160" s="72"/>
      <c r="RKU160" s="72"/>
      <c r="RKV160" s="72"/>
      <c r="RKW160" s="72"/>
      <c r="RKX160" s="72"/>
      <c r="RKY160" s="72"/>
      <c r="RKZ160" s="72"/>
      <c r="RLA160" s="72"/>
      <c r="RLB160" s="72"/>
      <c r="RLC160" s="72"/>
      <c r="RLD160" s="72"/>
      <c r="RLE160" s="72"/>
      <c r="RLF160" s="72"/>
      <c r="RLG160" s="72"/>
      <c r="RLH160" s="72"/>
      <c r="RLI160" s="72"/>
      <c r="RLJ160" s="72"/>
      <c r="RLK160" s="72"/>
      <c r="RLL160" s="72"/>
      <c r="RLM160" s="72"/>
      <c r="RLN160" s="72"/>
      <c r="RLO160" s="72"/>
      <c r="RLP160" s="72"/>
      <c r="RLQ160" s="72"/>
      <c r="RLR160" s="72"/>
      <c r="RLS160" s="72"/>
      <c r="RLT160" s="72"/>
      <c r="RLU160" s="72"/>
      <c r="RLV160" s="72"/>
      <c r="RLW160" s="72"/>
      <c r="RLX160" s="72"/>
      <c r="RLY160" s="72"/>
      <c r="RLZ160" s="72"/>
      <c r="RMA160" s="72"/>
      <c r="RMB160" s="72"/>
      <c r="RMC160" s="72"/>
      <c r="RMD160" s="72"/>
      <c r="RME160" s="72"/>
      <c r="RMF160" s="72"/>
      <c r="RMG160" s="72"/>
      <c r="RMH160" s="72"/>
      <c r="RMI160" s="72"/>
      <c r="RMJ160" s="72"/>
      <c r="RMK160" s="72"/>
      <c r="RML160" s="72"/>
      <c r="RMM160" s="72"/>
      <c r="RMN160" s="72"/>
      <c r="RMO160" s="72"/>
      <c r="RMP160" s="72"/>
      <c r="RMQ160" s="72"/>
      <c r="RMR160" s="72"/>
      <c r="RMS160" s="72"/>
      <c r="RMT160" s="72"/>
      <c r="RMU160" s="72"/>
      <c r="RMV160" s="72"/>
      <c r="RMW160" s="72"/>
      <c r="RMX160" s="72"/>
      <c r="RMY160" s="72"/>
      <c r="RMZ160" s="72"/>
      <c r="RNA160" s="72"/>
      <c r="RNB160" s="72"/>
      <c r="RNC160" s="72"/>
      <c r="RND160" s="72"/>
      <c r="RNE160" s="72"/>
      <c r="RNF160" s="72"/>
      <c r="RNG160" s="72"/>
      <c r="RNH160" s="72"/>
      <c r="RNI160" s="72"/>
      <c r="RNJ160" s="72"/>
      <c r="RNK160" s="72"/>
      <c r="RNL160" s="72"/>
      <c r="RNM160" s="72"/>
      <c r="RNN160" s="72"/>
      <c r="RNO160" s="72"/>
      <c r="RNP160" s="72"/>
      <c r="RNQ160" s="72"/>
      <c r="RNR160" s="72"/>
      <c r="RNS160" s="72"/>
      <c r="RNT160" s="72"/>
      <c r="RNU160" s="72"/>
      <c r="RNV160" s="72"/>
      <c r="RNW160" s="72"/>
      <c r="RNX160" s="72"/>
      <c r="RNY160" s="72"/>
      <c r="RNZ160" s="72"/>
      <c r="ROA160" s="72"/>
      <c r="ROB160" s="72"/>
      <c r="ROC160" s="72"/>
      <c r="ROD160" s="72"/>
      <c r="ROE160" s="72"/>
      <c r="ROF160" s="72"/>
      <c r="ROG160" s="72"/>
      <c r="ROH160" s="72"/>
      <c r="ROI160" s="72"/>
      <c r="ROJ160" s="72"/>
      <c r="ROK160" s="72"/>
      <c r="ROL160" s="72"/>
      <c r="ROM160" s="72"/>
      <c r="RON160" s="72"/>
      <c r="ROO160" s="72"/>
      <c r="ROP160" s="72"/>
      <c r="ROQ160" s="72"/>
      <c r="ROR160" s="72"/>
      <c r="ROS160" s="72"/>
      <c r="ROT160" s="72"/>
      <c r="ROU160" s="72"/>
      <c r="ROV160" s="72"/>
      <c r="ROW160" s="72"/>
      <c r="ROX160" s="72"/>
      <c r="ROY160" s="72"/>
      <c r="ROZ160" s="72"/>
      <c r="RPA160" s="72"/>
      <c r="RPB160" s="72"/>
      <c r="RPC160" s="72"/>
      <c r="RPD160" s="72"/>
      <c r="RPE160" s="72"/>
      <c r="RPF160" s="72"/>
      <c r="RPG160" s="72"/>
      <c r="RPH160" s="72"/>
      <c r="RPI160" s="72"/>
      <c r="RPJ160" s="72"/>
      <c r="RPK160" s="72"/>
      <c r="RPL160" s="72"/>
      <c r="RPM160" s="72"/>
      <c r="RPN160" s="72"/>
      <c r="RPO160" s="72"/>
      <c r="RPP160" s="72"/>
      <c r="RPQ160" s="72"/>
      <c r="RPR160" s="72"/>
      <c r="RPS160" s="72"/>
      <c r="RPT160" s="72"/>
      <c r="RPU160" s="72"/>
      <c r="RPV160" s="72"/>
      <c r="RPW160" s="72"/>
      <c r="RPX160" s="72"/>
      <c r="RPY160" s="72"/>
      <c r="RPZ160" s="72"/>
      <c r="RQA160" s="72"/>
      <c r="RQB160" s="72"/>
      <c r="RQC160" s="72"/>
      <c r="RQD160" s="72"/>
      <c r="RQE160" s="72"/>
      <c r="RQF160" s="72"/>
      <c r="RQG160" s="72"/>
      <c r="RQH160" s="72"/>
      <c r="RQI160" s="72"/>
      <c r="RQJ160" s="72"/>
      <c r="RQK160" s="72"/>
      <c r="RQL160" s="72"/>
      <c r="RQM160" s="72"/>
      <c r="RQN160" s="72"/>
      <c r="RQO160" s="72"/>
      <c r="RQP160" s="72"/>
      <c r="RQQ160" s="72"/>
      <c r="RQR160" s="72"/>
      <c r="RQS160" s="72"/>
      <c r="RQT160" s="72"/>
      <c r="RQU160" s="72"/>
      <c r="RQV160" s="72"/>
      <c r="RQW160" s="72"/>
      <c r="RQX160" s="72"/>
      <c r="RQY160" s="72"/>
      <c r="RQZ160" s="72"/>
      <c r="RRA160" s="72"/>
      <c r="RRB160" s="72"/>
      <c r="RRC160" s="72"/>
      <c r="RRD160" s="72"/>
      <c r="RRE160" s="72"/>
      <c r="RRF160" s="72"/>
      <c r="RRG160" s="72"/>
      <c r="RRH160" s="72"/>
      <c r="RRI160" s="72"/>
      <c r="RRJ160" s="72"/>
      <c r="RRK160" s="72"/>
      <c r="RRL160" s="72"/>
      <c r="RRM160" s="72"/>
      <c r="RRN160" s="72"/>
      <c r="RRO160" s="72"/>
      <c r="RRP160" s="72"/>
      <c r="RRQ160" s="72"/>
      <c r="RRR160" s="72"/>
      <c r="RRS160" s="72"/>
      <c r="RRT160" s="72"/>
      <c r="RRU160" s="72"/>
      <c r="RRV160" s="72"/>
      <c r="RRW160" s="72"/>
      <c r="RRX160" s="72"/>
      <c r="RRY160" s="72"/>
      <c r="RRZ160" s="72"/>
      <c r="RSA160" s="72"/>
      <c r="RSB160" s="72"/>
      <c r="RSC160" s="72"/>
      <c r="RSD160" s="72"/>
      <c r="RSE160" s="72"/>
      <c r="RSF160" s="72"/>
      <c r="RSG160" s="72"/>
      <c r="RSH160" s="72"/>
      <c r="RSI160" s="72"/>
      <c r="RSJ160" s="72"/>
      <c r="RSK160" s="72"/>
      <c r="RSL160" s="72"/>
      <c r="RSM160" s="72"/>
      <c r="RSN160" s="72"/>
      <c r="RSO160" s="72"/>
      <c r="RSP160" s="72"/>
      <c r="RSQ160" s="72"/>
      <c r="RSR160" s="72"/>
      <c r="RSS160" s="72"/>
      <c r="RST160" s="72"/>
      <c r="RSU160" s="72"/>
      <c r="RSV160" s="72"/>
      <c r="RSW160" s="72"/>
      <c r="RSX160" s="72"/>
      <c r="RSY160" s="72"/>
      <c r="RSZ160" s="72"/>
      <c r="RTA160" s="72"/>
      <c r="RTB160" s="72"/>
      <c r="RTC160" s="72"/>
      <c r="RTD160" s="72"/>
      <c r="RTE160" s="72"/>
      <c r="RTF160" s="72"/>
      <c r="RTG160" s="72"/>
      <c r="RTH160" s="72"/>
      <c r="RTI160" s="72"/>
      <c r="RTJ160" s="72"/>
      <c r="RTK160" s="72"/>
      <c r="RTL160" s="72"/>
      <c r="RTM160" s="72"/>
      <c r="RTN160" s="72"/>
      <c r="RTO160" s="72"/>
      <c r="RTP160" s="72"/>
      <c r="RTQ160" s="72"/>
      <c r="RTR160" s="72"/>
      <c r="RTS160" s="72"/>
      <c r="RTT160" s="72"/>
      <c r="RTU160" s="72"/>
      <c r="RTV160" s="72"/>
      <c r="RTW160" s="72"/>
      <c r="RTX160" s="72"/>
      <c r="RTY160" s="72"/>
      <c r="RTZ160" s="72"/>
      <c r="RUA160" s="72"/>
      <c r="RUB160" s="72"/>
      <c r="RUC160" s="72"/>
      <c r="RUD160" s="72"/>
      <c r="RUE160" s="72"/>
      <c r="RUF160" s="72"/>
      <c r="RUG160" s="72"/>
      <c r="RUH160" s="72"/>
      <c r="RUI160" s="72"/>
      <c r="RUJ160" s="72"/>
      <c r="RUK160" s="72"/>
      <c r="RUL160" s="72"/>
      <c r="RUM160" s="72"/>
      <c r="RUN160" s="72"/>
      <c r="RUO160" s="72"/>
      <c r="RUP160" s="72"/>
      <c r="RUQ160" s="72"/>
      <c r="RUR160" s="72"/>
      <c r="RUS160" s="72"/>
      <c r="RUT160" s="72"/>
      <c r="RUU160" s="72"/>
      <c r="RUV160" s="72"/>
      <c r="RUW160" s="72"/>
      <c r="RUX160" s="72"/>
      <c r="RUY160" s="72"/>
      <c r="RUZ160" s="72"/>
      <c r="RVA160" s="72"/>
      <c r="RVB160" s="72"/>
      <c r="RVC160" s="72"/>
      <c r="RVD160" s="72"/>
      <c r="RVE160" s="72"/>
      <c r="RVF160" s="72"/>
      <c r="RVG160" s="72"/>
      <c r="RVH160" s="72"/>
      <c r="RVI160" s="72"/>
      <c r="RVJ160" s="72"/>
      <c r="RVK160" s="72"/>
      <c r="RVL160" s="72"/>
      <c r="RVM160" s="72"/>
      <c r="RVN160" s="72"/>
      <c r="RVO160" s="72"/>
      <c r="RVP160" s="72"/>
      <c r="RVQ160" s="72"/>
      <c r="RVR160" s="72"/>
      <c r="RVS160" s="72"/>
      <c r="RVT160" s="72"/>
      <c r="RVU160" s="72"/>
      <c r="RVV160" s="72"/>
      <c r="RVW160" s="72"/>
      <c r="RVX160" s="72"/>
      <c r="RVY160" s="72"/>
      <c r="RVZ160" s="72"/>
      <c r="RWA160" s="72"/>
      <c r="RWB160" s="72"/>
      <c r="RWC160" s="72"/>
      <c r="RWD160" s="72"/>
      <c r="RWE160" s="72"/>
      <c r="RWF160" s="72"/>
      <c r="RWG160" s="72"/>
      <c r="RWH160" s="72"/>
      <c r="RWI160" s="72"/>
      <c r="RWJ160" s="72"/>
      <c r="RWK160" s="72"/>
      <c r="RWL160" s="72"/>
      <c r="RWM160" s="72"/>
      <c r="RWN160" s="72"/>
      <c r="RWO160" s="72"/>
      <c r="RWP160" s="72"/>
      <c r="RWQ160" s="72"/>
      <c r="RWR160" s="72"/>
      <c r="RWS160" s="72"/>
      <c r="RWT160" s="72"/>
      <c r="RWU160" s="72"/>
      <c r="RWV160" s="72"/>
      <c r="RWW160" s="72"/>
      <c r="RWX160" s="72"/>
      <c r="RWY160" s="72"/>
      <c r="RWZ160" s="72"/>
      <c r="RXA160" s="72"/>
      <c r="RXB160" s="72"/>
      <c r="RXC160" s="72"/>
      <c r="RXD160" s="72"/>
      <c r="RXE160" s="72"/>
      <c r="RXF160" s="72"/>
      <c r="RXG160" s="72"/>
      <c r="RXH160" s="72"/>
      <c r="RXI160" s="72"/>
      <c r="RXJ160" s="72"/>
      <c r="RXK160" s="72"/>
      <c r="RXL160" s="72"/>
      <c r="RXM160" s="72"/>
      <c r="RXN160" s="72"/>
      <c r="RXO160" s="72"/>
      <c r="RXP160" s="72"/>
      <c r="RXQ160" s="72"/>
      <c r="RXR160" s="72"/>
      <c r="RXS160" s="72"/>
      <c r="RXT160" s="72"/>
      <c r="RXU160" s="72"/>
      <c r="RXV160" s="72"/>
      <c r="RXW160" s="72"/>
      <c r="RXX160" s="72"/>
      <c r="RXY160" s="72"/>
      <c r="RXZ160" s="72"/>
      <c r="RYA160" s="72"/>
      <c r="RYB160" s="72"/>
      <c r="RYC160" s="72"/>
      <c r="RYD160" s="72"/>
      <c r="RYE160" s="72"/>
      <c r="RYF160" s="72"/>
      <c r="RYG160" s="72"/>
      <c r="RYH160" s="72"/>
      <c r="RYI160" s="72"/>
      <c r="RYJ160" s="72"/>
      <c r="RYK160" s="72"/>
      <c r="RYL160" s="72"/>
      <c r="RYM160" s="72"/>
      <c r="RYN160" s="72"/>
      <c r="RYO160" s="72"/>
      <c r="RYP160" s="72"/>
      <c r="RYQ160" s="72"/>
      <c r="RYR160" s="72"/>
      <c r="RYS160" s="72"/>
      <c r="RYT160" s="72"/>
      <c r="RYU160" s="72"/>
      <c r="RYV160" s="72"/>
      <c r="RYW160" s="72"/>
      <c r="RYX160" s="72"/>
      <c r="RYY160" s="72"/>
      <c r="RYZ160" s="72"/>
      <c r="RZA160" s="72"/>
      <c r="RZB160" s="72"/>
      <c r="RZC160" s="72"/>
      <c r="RZD160" s="72"/>
      <c r="RZE160" s="72"/>
      <c r="RZF160" s="72"/>
      <c r="RZG160" s="72"/>
      <c r="RZH160" s="72"/>
      <c r="RZI160" s="72"/>
      <c r="RZJ160" s="72"/>
      <c r="RZK160" s="72"/>
      <c r="RZL160" s="72"/>
      <c r="RZM160" s="72"/>
      <c r="RZN160" s="72"/>
      <c r="RZO160" s="72"/>
      <c r="RZP160" s="72"/>
      <c r="RZQ160" s="72"/>
      <c r="RZR160" s="72"/>
      <c r="RZS160" s="72"/>
      <c r="RZT160" s="72"/>
      <c r="RZU160" s="72"/>
      <c r="RZV160" s="72"/>
      <c r="RZW160" s="72"/>
      <c r="RZX160" s="72"/>
      <c r="RZY160" s="72"/>
      <c r="RZZ160" s="72"/>
      <c r="SAA160" s="72"/>
      <c r="SAB160" s="72"/>
      <c r="SAC160" s="72"/>
      <c r="SAD160" s="72"/>
      <c r="SAE160" s="72"/>
      <c r="SAF160" s="72"/>
      <c r="SAG160" s="72"/>
      <c r="SAH160" s="72"/>
      <c r="SAI160" s="72"/>
      <c r="SAJ160" s="72"/>
      <c r="SAK160" s="72"/>
      <c r="SAL160" s="72"/>
      <c r="SAM160" s="72"/>
      <c r="SAN160" s="72"/>
      <c r="SAO160" s="72"/>
      <c r="SAP160" s="72"/>
      <c r="SAQ160" s="72"/>
      <c r="SAR160" s="72"/>
      <c r="SAS160" s="72"/>
      <c r="SAT160" s="72"/>
      <c r="SAU160" s="72"/>
      <c r="SAV160" s="72"/>
      <c r="SAW160" s="72"/>
      <c r="SAX160" s="72"/>
      <c r="SAY160" s="72"/>
      <c r="SAZ160" s="72"/>
      <c r="SBA160" s="72"/>
      <c r="SBB160" s="72"/>
      <c r="SBC160" s="72"/>
      <c r="SBD160" s="72"/>
      <c r="SBE160" s="72"/>
      <c r="SBF160" s="72"/>
      <c r="SBG160" s="72"/>
      <c r="SBH160" s="72"/>
      <c r="SBI160" s="72"/>
      <c r="SBJ160" s="72"/>
      <c r="SBK160" s="72"/>
      <c r="SBL160" s="72"/>
      <c r="SBM160" s="72"/>
      <c r="SBN160" s="72"/>
      <c r="SBO160" s="72"/>
      <c r="SBP160" s="72"/>
      <c r="SBQ160" s="72"/>
      <c r="SBR160" s="72"/>
      <c r="SBS160" s="72"/>
      <c r="SBT160" s="72"/>
      <c r="SBU160" s="72"/>
      <c r="SBV160" s="72"/>
      <c r="SBW160" s="72"/>
      <c r="SBX160" s="72"/>
      <c r="SBY160" s="72"/>
      <c r="SBZ160" s="72"/>
      <c r="SCA160" s="72"/>
      <c r="SCB160" s="72"/>
      <c r="SCC160" s="72"/>
      <c r="SCD160" s="72"/>
      <c r="SCE160" s="72"/>
      <c r="SCF160" s="72"/>
      <c r="SCG160" s="72"/>
      <c r="SCH160" s="72"/>
      <c r="SCI160" s="72"/>
      <c r="SCJ160" s="72"/>
      <c r="SCK160" s="72"/>
      <c r="SCL160" s="72"/>
      <c r="SCM160" s="72"/>
      <c r="SCN160" s="72"/>
      <c r="SCO160" s="72"/>
      <c r="SCP160" s="72"/>
      <c r="SCQ160" s="72"/>
      <c r="SCR160" s="72"/>
      <c r="SCS160" s="72"/>
      <c r="SCT160" s="72"/>
      <c r="SCU160" s="72"/>
      <c r="SCV160" s="72"/>
      <c r="SCW160" s="72"/>
      <c r="SCX160" s="72"/>
      <c r="SCY160" s="72"/>
      <c r="SCZ160" s="72"/>
      <c r="SDA160" s="72"/>
      <c r="SDB160" s="72"/>
      <c r="SDC160" s="72"/>
      <c r="SDD160" s="72"/>
      <c r="SDE160" s="72"/>
      <c r="SDF160" s="72"/>
      <c r="SDG160" s="72"/>
      <c r="SDH160" s="72"/>
      <c r="SDI160" s="72"/>
      <c r="SDJ160" s="72"/>
      <c r="SDK160" s="72"/>
      <c r="SDL160" s="72"/>
      <c r="SDM160" s="72"/>
      <c r="SDN160" s="72"/>
      <c r="SDO160" s="72"/>
      <c r="SDP160" s="72"/>
      <c r="SDQ160" s="72"/>
      <c r="SDR160" s="72"/>
      <c r="SDS160" s="72"/>
      <c r="SDT160" s="72"/>
      <c r="SDU160" s="72"/>
      <c r="SDV160" s="72"/>
      <c r="SDW160" s="72"/>
      <c r="SDX160" s="72"/>
      <c r="SDY160" s="72"/>
      <c r="SDZ160" s="72"/>
      <c r="SEA160" s="72"/>
      <c r="SEB160" s="72"/>
      <c r="SEC160" s="72"/>
      <c r="SED160" s="72"/>
      <c r="SEE160" s="72"/>
      <c r="SEF160" s="72"/>
      <c r="SEG160" s="72"/>
      <c r="SEH160" s="72"/>
      <c r="SEI160" s="72"/>
      <c r="SEJ160" s="72"/>
      <c r="SEK160" s="72"/>
      <c r="SEL160" s="72"/>
      <c r="SEM160" s="72"/>
      <c r="SEN160" s="72"/>
      <c r="SEO160" s="72"/>
      <c r="SEP160" s="72"/>
      <c r="SEQ160" s="72"/>
      <c r="SER160" s="72"/>
      <c r="SES160" s="72"/>
      <c r="SET160" s="72"/>
      <c r="SEU160" s="72"/>
      <c r="SEV160" s="72"/>
      <c r="SEW160" s="72"/>
      <c r="SEX160" s="72"/>
      <c r="SEY160" s="72"/>
      <c r="SEZ160" s="72"/>
      <c r="SFA160" s="72"/>
      <c r="SFB160" s="72"/>
      <c r="SFC160" s="72"/>
      <c r="SFD160" s="72"/>
      <c r="SFE160" s="72"/>
      <c r="SFF160" s="72"/>
      <c r="SFG160" s="72"/>
      <c r="SFH160" s="72"/>
      <c r="SFI160" s="72"/>
      <c r="SFJ160" s="72"/>
      <c r="SFK160" s="72"/>
      <c r="SFL160" s="72"/>
      <c r="SFM160" s="72"/>
      <c r="SFN160" s="72"/>
      <c r="SFO160" s="72"/>
      <c r="SFP160" s="72"/>
      <c r="SFQ160" s="72"/>
      <c r="SFR160" s="72"/>
      <c r="SFS160" s="72"/>
      <c r="SFT160" s="72"/>
      <c r="SFU160" s="72"/>
      <c r="SFV160" s="72"/>
      <c r="SFW160" s="72"/>
      <c r="SFX160" s="72"/>
      <c r="SFY160" s="72"/>
      <c r="SFZ160" s="72"/>
      <c r="SGA160" s="72"/>
      <c r="SGB160" s="72"/>
      <c r="SGC160" s="72"/>
      <c r="SGD160" s="72"/>
      <c r="SGE160" s="72"/>
      <c r="SGF160" s="72"/>
      <c r="SGG160" s="72"/>
      <c r="SGH160" s="72"/>
      <c r="SGI160" s="72"/>
      <c r="SGJ160" s="72"/>
      <c r="SGK160" s="72"/>
      <c r="SGL160" s="72"/>
      <c r="SGM160" s="72"/>
      <c r="SGN160" s="72"/>
      <c r="SGO160" s="72"/>
      <c r="SGP160" s="72"/>
      <c r="SGQ160" s="72"/>
      <c r="SGR160" s="72"/>
      <c r="SGS160" s="72"/>
      <c r="SGT160" s="72"/>
      <c r="SGU160" s="72"/>
      <c r="SGV160" s="72"/>
      <c r="SGW160" s="72"/>
      <c r="SGX160" s="72"/>
      <c r="SGY160" s="72"/>
      <c r="SGZ160" s="72"/>
      <c r="SHA160" s="72"/>
      <c r="SHB160" s="72"/>
      <c r="SHC160" s="72"/>
      <c r="SHD160" s="72"/>
      <c r="SHE160" s="72"/>
      <c r="SHF160" s="72"/>
      <c r="SHG160" s="72"/>
      <c r="SHH160" s="72"/>
      <c r="SHI160" s="72"/>
      <c r="SHJ160" s="72"/>
      <c r="SHK160" s="72"/>
      <c r="SHL160" s="72"/>
      <c r="SHM160" s="72"/>
      <c r="SHN160" s="72"/>
      <c r="SHO160" s="72"/>
      <c r="SHP160" s="72"/>
      <c r="SHQ160" s="72"/>
      <c r="SHR160" s="72"/>
      <c r="SHS160" s="72"/>
      <c r="SHT160" s="72"/>
      <c r="SHU160" s="72"/>
      <c r="SHV160" s="72"/>
      <c r="SHW160" s="72"/>
      <c r="SHX160" s="72"/>
      <c r="SHY160" s="72"/>
      <c r="SHZ160" s="72"/>
      <c r="SIA160" s="72"/>
      <c r="SIB160" s="72"/>
      <c r="SIC160" s="72"/>
      <c r="SID160" s="72"/>
      <c r="SIE160" s="72"/>
      <c r="SIF160" s="72"/>
      <c r="SIG160" s="72"/>
      <c r="SIH160" s="72"/>
      <c r="SII160" s="72"/>
      <c r="SIJ160" s="72"/>
      <c r="SIK160" s="72"/>
      <c r="SIL160" s="72"/>
      <c r="SIM160" s="72"/>
      <c r="SIN160" s="72"/>
      <c r="SIO160" s="72"/>
      <c r="SIP160" s="72"/>
      <c r="SIQ160" s="72"/>
      <c r="SIR160" s="72"/>
      <c r="SIS160" s="72"/>
      <c r="SIT160" s="72"/>
      <c r="SIU160" s="72"/>
      <c r="SIV160" s="72"/>
      <c r="SIW160" s="72"/>
      <c r="SIX160" s="72"/>
      <c r="SIY160" s="72"/>
      <c r="SIZ160" s="72"/>
      <c r="SJA160" s="72"/>
      <c r="SJB160" s="72"/>
      <c r="SJC160" s="72"/>
      <c r="SJD160" s="72"/>
      <c r="SJE160" s="72"/>
      <c r="SJF160" s="72"/>
      <c r="SJG160" s="72"/>
      <c r="SJH160" s="72"/>
      <c r="SJI160" s="72"/>
      <c r="SJJ160" s="72"/>
      <c r="SJK160" s="72"/>
      <c r="SJL160" s="72"/>
      <c r="SJM160" s="72"/>
      <c r="SJN160" s="72"/>
      <c r="SJO160" s="72"/>
      <c r="SJP160" s="72"/>
      <c r="SJQ160" s="72"/>
      <c r="SJR160" s="72"/>
      <c r="SJS160" s="72"/>
      <c r="SJT160" s="72"/>
      <c r="SJU160" s="72"/>
      <c r="SJV160" s="72"/>
      <c r="SJW160" s="72"/>
      <c r="SJX160" s="72"/>
      <c r="SJY160" s="72"/>
      <c r="SJZ160" s="72"/>
      <c r="SKA160" s="72"/>
      <c r="SKB160" s="72"/>
      <c r="SKC160" s="72"/>
      <c r="SKD160" s="72"/>
      <c r="SKE160" s="72"/>
      <c r="SKF160" s="72"/>
      <c r="SKG160" s="72"/>
      <c r="SKH160" s="72"/>
      <c r="SKI160" s="72"/>
      <c r="SKJ160" s="72"/>
      <c r="SKK160" s="72"/>
      <c r="SKL160" s="72"/>
      <c r="SKM160" s="72"/>
      <c r="SKN160" s="72"/>
      <c r="SKO160" s="72"/>
      <c r="SKP160" s="72"/>
      <c r="SKQ160" s="72"/>
      <c r="SKR160" s="72"/>
      <c r="SKS160" s="72"/>
      <c r="SKT160" s="72"/>
      <c r="SKU160" s="72"/>
      <c r="SKV160" s="72"/>
      <c r="SKW160" s="72"/>
      <c r="SKX160" s="72"/>
      <c r="SKY160" s="72"/>
      <c r="SKZ160" s="72"/>
      <c r="SLA160" s="72"/>
      <c r="SLB160" s="72"/>
      <c r="SLC160" s="72"/>
      <c r="SLD160" s="72"/>
      <c r="SLE160" s="72"/>
      <c r="SLF160" s="72"/>
      <c r="SLG160" s="72"/>
      <c r="SLH160" s="72"/>
      <c r="SLI160" s="72"/>
      <c r="SLJ160" s="72"/>
      <c r="SLK160" s="72"/>
      <c r="SLL160" s="72"/>
      <c r="SLM160" s="72"/>
      <c r="SLN160" s="72"/>
      <c r="SLO160" s="72"/>
      <c r="SLP160" s="72"/>
      <c r="SLQ160" s="72"/>
      <c r="SLR160" s="72"/>
      <c r="SLS160" s="72"/>
      <c r="SLT160" s="72"/>
      <c r="SLU160" s="72"/>
      <c r="SLV160" s="72"/>
      <c r="SLW160" s="72"/>
      <c r="SLX160" s="72"/>
      <c r="SLY160" s="72"/>
      <c r="SLZ160" s="72"/>
      <c r="SMA160" s="72"/>
      <c r="SMB160" s="72"/>
      <c r="SMC160" s="72"/>
      <c r="SMD160" s="72"/>
      <c r="SME160" s="72"/>
      <c r="SMF160" s="72"/>
      <c r="SMG160" s="72"/>
      <c r="SMH160" s="72"/>
      <c r="SMI160" s="72"/>
      <c r="SMJ160" s="72"/>
      <c r="SMK160" s="72"/>
      <c r="SML160" s="72"/>
      <c r="SMM160" s="72"/>
      <c r="SMN160" s="72"/>
      <c r="SMO160" s="72"/>
      <c r="SMP160" s="72"/>
      <c r="SMQ160" s="72"/>
      <c r="SMR160" s="72"/>
      <c r="SMS160" s="72"/>
      <c r="SMT160" s="72"/>
      <c r="SMU160" s="72"/>
      <c r="SMV160" s="72"/>
      <c r="SMW160" s="72"/>
      <c r="SMX160" s="72"/>
      <c r="SMY160" s="72"/>
      <c r="SMZ160" s="72"/>
      <c r="SNA160" s="72"/>
      <c r="SNB160" s="72"/>
      <c r="SNC160" s="72"/>
      <c r="SND160" s="72"/>
      <c r="SNE160" s="72"/>
      <c r="SNF160" s="72"/>
      <c r="SNG160" s="72"/>
      <c r="SNH160" s="72"/>
      <c r="SNI160" s="72"/>
      <c r="SNJ160" s="72"/>
      <c r="SNK160" s="72"/>
      <c r="SNL160" s="72"/>
      <c r="SNM160" s="72"/>
      <c r="SNN160" s="72"/>
      <c r="SNO160" s="72"/>
      <c r="SNP160" s="72"/>
      <c r="SNQ160" s="72"/>
      <c r="SNR160" s="72"/>
      <c r="SNS160" s="72"/>
      <c r="SNT160" s="72"/>
      <c r="SNU160" s="72"/>
      <c r="SNV160" s="72"/>
      <c r="SNW160" s="72"/>
      <c r="SNX160" s="72"/>
      <c r="SNY160" s="72"/>
      <c r="SNZ160" s="72"/>
      <c r="SOA160" s="72"/>
      <c r="SOB160" s="72"/>
      <c r="SOC160" s="72"/>
      <c r="SOD160" s="72"/>
      <c r="SOE160" s="72"/>
      <c r="SOF160" s="72"/>
      <c r="SOG160" s="72"/>
      <c r="SOH160" s="72"/>
      <c r="SOI160" s="72"/>
      <c r="SOJ160" s="72"/>
      <c r="SOK160" s="72"/>
      <c r="SOL160" s="72"/>
      <c r="SOM160" s="72"/>
      <c r="SON160" s="72"/>
      <c r="SOO160" s="72"/>
      <c r="SOP160" s="72"/>
      <c r="SOQ160" s="72"/>
      <c r="SOR160" s="72"/>
      <c r="SOS160" s="72"/>
      <c r="SOT160" s="72"/>
      <c r="SOU160" s="72"/>
      <c r="SOV160" s="72"/>
      <c r="SOW160" s="72"/>
      <c r="SOX160" s="72"/>
      <c r="SOY160" s="72"/>
      <c r="SOZ160" s="72"/>
      <c r="SPA160" s="72"/>
      <c r="SPB160" s="72"/>
      <c r="SPC160" s="72"/>
      <c r="SPD160" s="72"/>
      <c r="SPE160" s="72"/>
      <c r="SPF160" s="72"/>
      <c r="SPG160" s="72"/>
      <c r="SPH160" s="72"/>
      <c r="SPI160" s="72"/>
      <c r="SPJ160" s="72"/>
      <c r="SPK160" s="72"/>
      <c r="SPL160" s="72"/>
      <c r="SPM160" s="72"/>
      <c r="SPN160" s="72"/>
      <c r="SPO160" s="72"/>
      <c r="SPP160" s="72"/>
      <c r="SPQ160" s="72"/>
      <c r="SPR160" s="72"/>
      <c r="SPS160" s="72"/>
      <c r="SPT160" s="72"/>
      <c r="SPU160" s="72"/>
      <c r="SPV160" s="72"/>
      <c r="SPW160" s="72"/>
      <c r="SPX160" s="72"/>
      <c r="SPY160" s="72"/>
      <c r="SPZ160" s="72"/>
      <c r="SQA160" s="72"/>
      <c r="SQB160" s="72"/>
      <c r="SQC160" s="72"/>
      <c r="SQD160" s="72"/>
      <c r="SQE160" s="72"/>
      <c r="SQF160" s="72"/>
      <c r="SQG160" s="72"/>
      <c r="SQH160" s="72"/>
      <c r="SQI160" s="72"/>
      <c r="SQJ160" s="72"/>
      <c r="SQK160" s="72"/>
      <c r="SQL160" s="72"/>
      <c r="SQM160" s="72"/>
      <c r="SQN160" s="72"/>
      <c r="SQO160" s="72"/>
      <c r="SQP160" s="72"/>
      <c r="SQQ160" s="72"/>
      <c r="SQR160" s="72"/>
      <c r="SQS160" s="72"/>
      <c r="SQT160" s="72"/>
      <c r="SQU160" s="72"/>
      <c r="SQV160" s="72"/>
      <c r="SQW160" s="72"/>
      <c r="SQX160" s="72"/>
      <c r="SQY160" s="72"/>
      <c r="SQZ160" s="72"/>
      <c r="SRA160" s="72"/>
      <c r="SRB160" s="72"/>
      <c r="SRC160" s="72"/>
      <c r="SRD160" s="72"/>
      <c r="SRE160" s="72"/>
      <c r="SRF160" s="72"/>
      <c r="SRG160" s="72"/>
      <c r="SRH160" s="72"/>
      <c r="SRI160" s="72"/>
      <c r="SRJ160" s="72"/>
      <c r="SRK160" s="72"/>
      <c r="SRL160" s="72"/>
      <c r="SRM160" s="72"/>
      <c r="SRN160" s="72"/>
      <c r="SRO160" s="72"/>
      <c r="SRP160" s="72"/>
      <c r="SRQ160" s="72"/>
      <c r="SRR160" s="72"/>
      <c r="SRS160" s="72"/>
      <c r="SRT160" s="72"/>
      <c r="SRU160" s="72"/>
      <c r="SRV160" s="72"/>
      <c r="SRW160" s="72"/>
      <c r="SRX160" s="72"/>
      <c r="SRY160" s="72"/>
      <c r="SRZ160" s="72"/>
      <c r="SSA160" s="72"/>
      <c r="SSB160" s="72"/>
      <c r="SSC160" s="72"/>
      <c r="SSD160" s="72"/>
      <c r="SSE160" s="72"/>
      <c r="SSF160" s="72"/>
      <c r="SSG160" s="72"/>
      <c r="SSH160" s="72"/>
      <c r="SSI160" s="72"/>
      <c r="SSJ160" s="72"/>
      <c r="SSK160" s="72"/>
      <c r="SSL160" s="72"/>
      <c r="SSM160" s="72"/>
      <c r="SSN160" s="72"/>
      <c r="SSO160" s="72"/>
      <c r="SSP160" s="72"/>
      <c r="SSQ160" s="72"/>
      <c r="SSR160" s="72"/>
      <c r="SSS160" s="72"/>
      <c r="SST160" s="72"/>
      <c r="SSU160" s="72"/>
      <c r="SSV160" s="72"/>
      <c r="SSW160" s="72"/>
      <c r="SSX160" s="72"/>
      <c r="SSY160" s="72"/>
      <c r="SSZ160" s="72"/>
      <c r="STA160" s="72"/>
      <c r="STB160" s="72"/>
      <c r="STC160" s="72"/>
      <c r="STD160" s="72"/>
      <c r="STE160" s="72"/>
      <c r="STF160" s="72"/>
      <c r="STG160" s="72"/>
      <c r="STH160" s="72"/>
      <c r="STI160" s="72"/>
      <c r="STJ160" s="72"/>
      <c r="STK160" s="72"/>
      <c r="STL160" s="72"/>
      <c r="STM160" s="72"/>
      <c r="STN160" s="72"/>
      <c r="STO160" s="72"/>
      <c r="STP160" s="72"/>
      <c r="STQ160" s="72"/>
      <c r="STR160" s="72"/>
      <c r="STS160" s="72"/>
      <c r="STT160" s="72"/>
      <c r="STU160" s="72"/>
      <c r="STV160" s="72"/>
      <c r="STW160" s="72"/>
      <c r="STX160" s="72"/>
      <c r="STY160" s="72"/>
      <c r="STZ160" s="72"/>
      <c r="SUA160" s="72"/>
      <c r="SUB160" s="72"/>
      <c r="SUC160" s="72"/>
      <c r="SUD160" s="72"/>
      <c r="SUE160" s="72"/>
      <c r="SUF160" s="72"/>
      <c r="SUG160" s="72"/>
      <c r="SUH160" s="72"/>
      <c r="SUI160" s="72"/>
      <c r="SUJ160" s="72"/>
      <c r="SUK160" s="72"/>
      <c r="SUL160" s="72"/>
      <c r="SUM160" s="72"/>
      <c r="SUN160" s="72"/>
      <c r="SUO160" s="72"/>
      <c r="SUP160" s="72"/>
      <c r="SUQ160" s="72"/>
      <c r="SUR160" s="72"/>
      <c r="SUS160" s="72"/>
      <c r="SUT160" s="72"/>
      <c r="SUU160" s="72"/>
      <c r="SUV160" s="72"/>
      <c r="SUW160" s="72"/>
      <c r="SUX160" s="72"/>
      <c r="SUY160" s="72"/>
      <c r="SUZ160" s="72"/>
      <c r="SVA160" s="72"/>
      <c r="SVB160" s="72"/>
      <c r="SVC160" s="72"/>
      <c r="SVD160" s="72"/>
      <c r="SVE160" s="72"/>
      <c r="SVF160" s="72"/>
      <c r="SVG160" s="72"/>
      <c r="SVH160" s="72"/>
      <c r="SVI160" s="72"/>
      <c r="SVJ160" s="72"/>
      <c r="SVK160" s="72"/>
      <c r="SVL160" s="72"/>
      <c r="SVM160" s="72"/>
      <c r="SVN160" s="72"/>
      <c r="SVO160" s="72"/>
      <c r="SVP160" s="72"/>
      <c r="SVQ160" s="72"/>
      <c r="SVR160" s="72"/>
      <c r="SVS160" s="72"/>
      <c r="SVT160" s="72"/>
      <c r="SVU160" s="72"/>
      <c r="SVV160" s="72"/>
      <c r="SVW160" s="72"/>
      <c r="SVX160" s="72"/>
      <c r="SVY160" s="72"/>
      <c r="SVZ160" s="72"/>
      <c r="SWA160" s="72"/>
      <c r="SWB160" s="72"/>
      <c r="SWC160" s="72"/>
      <c r="SWD160" s="72"/>
      <c r="SWE160" s="72"/>
      <c r="SWF160" s="72"/>
      <c r="SWG160" s="72"/>
      <c r="SWH160" s="72"/>
      <c r="SWI160" s="72"/>
      <c r="SWJ160" s="72"/>
      <c r="SWK160" s="72"/>
      <c r="SWL160" s="72"/>
      <c r="SWM160" s="72"/>
      <c r="SWN160" s="72"/>
      <c r="SWO160" s="72"/>
      <c r="SWP160" s="72"/>
      <c r="SWQ160" s="72"/>
      <c r="SWR160" s="72"/>
      <c r="SWS160" s="72"/>
      <c r="SWT160" s="72"/>
      <c r="SWU160" s="72"/>
      <c r="SWV160" s="72"/>
      <c r="SWW160" s="72"/>
      <c r="SWX160" s="72"/>
      <c r="SWY160" s="72"/>
      <c r="SWZ160" s="72"/>
      <c r="SXA160" s="72"/>
      <c r="SXB160" s="72"/>
      <c r="SXC160" s="72"/>
      <c r="SXD160" s="72"/>
      <c r="SXE160" s="72"/>
      <c r="SXF160" s="72"/>
      <c r="SXG160" s="72"/>
      <c r="SXH160" s="72"/>
      <c r="SXI160" s="72"/>
      <c r="SXJ160" s="72"/>
      <c r="SXK160" s="72"/>
      <c r="SXL160" s="72"/>
      <c r="SXM160" s="72"/>
      <c r="SXN160" s="72"/>
      <c r="SXO160" s="72"/>
      <c r="SXP160" s="72"/>
      <c r="SXQ160" s="72"/>
      <c r="SXR160" s="72"/>
      <c r="SXS160" s="72"/>
      <c r="SXT160" s="72"/>
      <c r="SXU160" s="72"/>
      <c r="SXV160" s="72"/>
      <c r="SXW160" s="72"/>
      <c r="SXX160" s="72"/>
      <c r="SXY160" s="72"/>
      <c r="SXZ160" s="72"/>
      <c r="SYA160" s="72"/>
      <c r="SYB160" s="72"/>
      <c r="SYC160" s="72"/>
      <c r="SYD160" s="72"/>
      <c r="SYE160" s="72"/>
      <c r="SYF160" s="72"/>
      <c r="SYG160" s="72"/>
      <c r="SYH160" s="72"/>
      <c r="SYI160" s="72"/>
      <c r="SYJ160" s="72"/>
      <c r="SYK160" s="72"/>
      <c r="SYL160" s="72"/>
      <c r="SYM160" s="72"/>
      <c r="SYN160" s="72"/>
      <c r="SYO160" s="72"/>
      <c r="SYP160" s="72"/>
      <c r="SYQ160" s="72"/>
      <c r="SYR160" s="72"/>
      <c r="SYS160" s="72"/>
      <c r="SYT160" s="72"/>
      <c r="SYU160" s="72"/>
      <c r="SYV160" s="72"/>
      <c r="SYW160" s="72"/>
      <c r="SYX160" s="72"/>
      <c r="SYY160" s="72"/>
      <c r="SYZ160" s="72"/>
      <c r="SZA160" s="72"/>
      <c r="SZB160" s="72"/>
      <c r="SZC160" s="72"/>
      <c r="SZD160" s="72"/>
      <c r="SZE160" s="72"/>
      <c r="SZF160" s="72"/>
      <c r="SZG160" s="72"/>
      <c r="SZH160" s="72"/>
      <c r="SZI160" s="72"/>
      <c r="SZJ160" s="72"/>
      <c r="SZK160" s="72"/>
      <c r="SZL160" s="72"/>
      <c r="SZM160" s="72"/>
      <c r="SZN160" s="72"/>
      <c r="SZO160" s="72"/>
      <c r="SZP160" s="72"/>
      <c r="SZQ160" s="72"/>
      <c r="SZR160" s="72"/>
      <c r="SZS160" s="72"/>
      <c r="SZT160" s="72"/>
      <c r="SZU160" s="72"/>
      <c r="SZV160" s="72"/>
      <c r="SZW160" s="72"/>
      <c r="SZX160" s="72"/>
      <c r="SZY160" s="72"/>
      <c r="SZZ160" s="72"/>
      <c r="TAA160" s="72"/>
      <c r="TAB160" s="72"/>
      <c r="TAC160" s="72"/>
      <c r="TAD160" s="72"/>
      <c r="TAE160" s="72"/>
      <c r="TAF160" s="72"/>
      <c r="TAG160" s="72"/>
      <c r="TAH160" s="72"/>
      <c r="TAI160" s="72"/>
      <c r="TAJ160" s="72"/>
      <c r="TAK160" s="72"/>
      <c r="TAL160" s="72"/>
      <c r="TAM160" s="72"/>
      <c r="TAN160" s="72"/>
      <c r="TAO160" s="72"/>
      <c r="TAP160" s="72"/>
      <c r="TAQ160" s="72"/>
      <c r="TAR160" s="72"/>
      <c r="TAS160" s="72"/>
      <c r="TAT160" s="72"/>
      <c r="TAU160" s="72"/>
      <c r="TAV160" s="72"/>
      <c r="TAW160" s="72"/>
      <c r="TAX160" s="72"/>
      <c r="TAY160" s="72"/>
      <c r="TAZ160" s="72"/>
      <c r="TBA160" s="72"/>
      <c r="TBB160" s="72"/>
      <c r="TBC160" s="72"/>
      <c r="TBD160" s="72"/>
      <c r="TBE160" s="72"/>
      <c r="TBF160" s="72"/>
      <c r="TBG160" s="72"/>
      <c r="TBH160" s="72"/>
      <c r="TBI160" s="72"/>
      <c r="TBJ160" s="72"/>
      <c r="TBK160" s="72"/>
      <c r="TBL160" s="72"/>
      <c r="TBM160" s="72"/>
      <c r="TBN160" s="72"/>
      <c r="TBO160" s="72"/>
      <c r="TBP160" s="72"/>
      <c r="TBQ160" s="72"/>
      <c r="TBR160" s="72"/>
      <c r="TBS160" s="72"/>
      <c r="TBT160" s="72"/>
      <c r="TBU160" s="72"/>
      <c r="TBV160" s="72"/>
      <c r="TBW160" s="72"/>
      <c r="TBX160" s="72"/>
      <c r="TBY160" s="72"/>
      <c r="TBZ160" s="72"/>
      <c r="TCA160" s="72"/>
      <c r="TCB160" s="72"/>
      <c r="TCC160" s="72"/>
      <c r="TCD160" s="72"/>
      <c r="TCE160" s="72"/>
      <c r="TCF160" s="72"/>
      <c r="TCG160" s="72"/>
      <c r="TCH160" s="72"/>
      <c r="TCI160" s="72"/>
      <c r="TCJ160" s="72"/>
      <c r="TCK160" s="72"/>
      <c r="TCL160" s="72"/>
      <c r="TCM160" s="72"/>
      <c r="TCN160" s="72"/>
      <c r="TCO160" s="72"/>
      <c r="TCP160" s="72"/>
      <c r="TCQ160" s="72"/>
      <c r="TCR160" s="72"/>
      <c r="TCS160" s="72"/>
      <c r="TCT160" s="72"/>
      <c r="TCU160" s="72"/>
      <c r="TCV160" s="72"/>
      <c r="TCW160" s="72"/>
      <c r="TCX160" s="72"/>
      <c r="TCY160" s="72"/>
      <c r="TCZ160" s="72"/>
      <c r="TDA160" s="72"/>
      <c r="TDB160" s="72"/>
      <c r="TDC160" s="72"/>
      <c r="TDD160" s="72"/>
      <c r="TDE160" s="72"/>
      <c r="TDF160" s="72"/>
      <c r="TDG160" s="72"/>
      <c r="TDH160" s="72"/>
      <c r="TDI160" s="72"/>
      <c r="TDJ160" s="72"/>
      <c r="TDK160" s="72"/>
      <c r="TDL160" s="72"/>
      <c r="TDM160" s="72"/>
      <c r="TDN160" s="72"/>
      <c r="TDO160" s="72"/>
      <c r="TDP160" s="72"/>
      <c r="TDQ160" s="72"/>
      <c r="TDR160" s="72"/>
      <c r="TDS160" s="72"/>
      <c r="TDT160" s="72"/>
      <c r="TDU160" s="72"/>
      <c r="TDV160" s="72"/>
      <c r="TDW160" s="72"/>
      <c r="TDX160" s="72"/>
      <c r="TDY160" s="72"/>
      <c r="TDZ160" s="72"/>
      <c r="TEA160" s="72"/>
      <c r="TEB160" s="72"/>
      <c r="TEC160" s="72"/>
      <c r="TED160" s="72"/>
      <c r="TEE160" s="72"/>
      <c r="TEF160" s="72"/>
      <c r="TEG160" s="72"/>
      <c r="TEH160" s="72"/>
      <c r="TEI160" s="72"/>
      <c r="TEJ160" s="72"/>
      <c r="TEK160" s="72"/>
      <c r="TEL160" s="72"/>
      <c r="TEM160" s="72"/>
      <c r="TEN160" s="72"/>
      <c r="TEO160" s="72"/>
      <c r="TEP160" s="72"/>
      <c r="TEQ160" s="72"/>
      <c r="TER160" s="72"/>
      <c r="TES160" s="72"/>
      <c r="TET160" s="72"/>
      <c r="TEU160" s="72"/>
      <c r="TEV160" s="72"/>
      <c r="TEW160" s="72"/>
      <c r="TEX160" s="72"/>
      <c r="TEY160" s="72"/>
      <c r="TEZ160" s="72"/>
      <c r="TFA160" s="72"/>
      <c r="TFB160" s="72"/>
      <c r="TFC160" s="72"/>
      <c r="TFD160" s="72"/>
      <c r="TFE160" s="72"/>
      <c r="TFF160" s="72"/>
      <c r="TFG160" s="72"/>
      <c r="TFH160" s="72"/>
      <c r="TFI160" s="72"/>
      <c r="TFJ160" s="72"/>
      <c r="TFK160" s="72"/>
      <c r="TFL160" s="72"/>
      <c r="TFM160" s="72"/>
      <c r="TFN160" s="72"/>
      <c r="TFO160" s="72"/>
      <c r="TFP160" s="72"/>
      <c r="TFQ160" s="72"/>
      <c r="TFR160" s="72"/>
      <c r="TFS160" s="72"/>
      <c r="TFT160" s="72"/>
      <c r="TFU160" s="72"/>
      <c r="TFV160" s="72"/>
      <c r="TFW160" s="72"/>
      <c r="TFX160" s="72"/>
      <c r="TFY160" s="72"/>
      <c r="TFZ160" s="72"/>
      <c r="TGA160" s="72"/>
      <c r="TGB160" s="72"/>
      <c r="TGC160" s="72"/>
      <c r="TGD160" s="72"/>
      <c r="TGE160" s="72"/>
      <c r="TGF160" s="72"/>
      <c r="TGG160" s="72"/>
      <c r="TGH160" s="72"/>
      <c r="TGI160" s="72"/>
      <c r="TGJ160" s="72"/>
      <c r="TGK160" s="72"/>
      <c r="TGL160" s="72"/>
      <c r="TGM160" s="72"/>
      <c r="TGN160" s="72"/>
      <c r="TGO160" s="72"/>
      <c r="TGP160" s="72"/>
      <c r="TGQ160" s="72"/>
      <c r="TGR160" s="72"/>
      <c r="TGS160" s="72"/>
      <c r="TGT160" s="72"/>
      <c r="TGU160" s="72"/>
      <c r="TGV160" s="72"/>
      <c r="TGW160" s="72"/>
      <c r="TGX160" s="72"/>
      <c r="TGY160" s="72"/>
      <c r="TGZ160" s="72"/>
      <c r="THA160" s="72"/>
      <c r="THB160" s="72"/>
      <c r="THC160" s="72"/>
      <c r="THD160" s="72"/>
      <c r="THE160" s="72"/>
      <c r="THF160" s="72"/>
      <c r="THG160" s="72"/>
      <c r="THH160" s="72"/>
      <c r="THI160" s="72"/>
      <c r="THJ160" s="72"/>
      <c r="THK160" s="72"/>
      <c r="THL160" s="72"/>
      <c r="THM160" s="72"/>
      <c r="THN160" s="72"/>
      <c r="THO160" s="72"/>
      <c r="THP160" s="72"/>
      <c r="THQ160" s="72"/>
      <c r="THR160" s="72"/>
      <c r="THS160" s="72"/>
      <c r="THT160" s="72"/>
      <c r="THU160" s="72"/>
      <c r="THV160" s="72"/>
      <c r="THW160" s="72"/>
      <c r="THX160" s="72"/>
      <c r="THY160" s="72"/>
      <c r="THZ160" s="72"/>
      <c r="TIA160" s="72"/>
      <c r="TIB160" s="72"/>
      <c r="TIC160" s="72"/>
      <c r="TID160" s="72"/>
      <c r="TIE160" s="72"/>
      <c r="TIF160" s="72"/>
      <c r="TIG160" s="72"/>
      <c r="TIH160" s="72"/>
      <c r="TII160" s="72"/>
      <c r="TIJ160" s="72"/>
      <c r="TIK160" s="72"/>
      <c r="TIL160" s="72"/>
      <c r="TIM160" s="72"/>
      <c r="TIN160" s="72"/>
      <c r="TIO160" s="72"/>
      <c r="TIP160" s="72"/>
      <c r="TIQ160" s="72"/>
      <c r="TIR160" s="72"/>
      <c r="TIS160" s="72"/>
      <c r="TIT160" s="72"/>
      <c r="TIU160" s="72"/>
      <c r="TIV160" s="72"/>
      <c r="TIW160" s="72"/>
      <c r="TIX160" s="72"/>
      <c r="TIY160" s="72"/>
      <c r="TIZ160" s="72"/>
      <c r="TJA160" s="72"/>
      <c r="TJB160" s="72"/>
      <c r="TJC160" s="72"/>
      <c r="TJD160" s="72"/>
      <c r="TJE160" s="72"/>
      <c r="TJF160" s="72"/>
      <c r="TJG160" s="72"/>
      <c r="TJH160" s="72"/>
      <c r="TJI160" s="72"/>
      <c r="TJJ160" s="72"/>
      <c r="TJK160" s="72"/>
      <c r="TJL160" s="72"/>
      <c r="TJM160" s="72"/>
      <c r="TJN160" s="72"/>
      <c r="TJO160" s="72"/>
      <c r="TJP160" s="72"/>
      <c r="TJQ160" s="72"/>
      <c r="TJR160" s="72"/>
      <c r="TJS160" s="72"/>
      <c r="TJT160" s="72"/>
      <c r="TJU160" s="72"/>
      <c r="TJV160" s="72"/>
      <c r="TJW160" s="72"/>
      <c r="TJX160" s="72"/>
      <c r="TJY160" s="72"/>
      <c r="TJZ160" s="72"/>
      <c r="TKA160" s="72"/>
      <c r="TKB160" s="72"/>
      <c r="TKC160" s="72"/>
      <c r="TKD160" s="72"/>
      <c r="TKE160" s="72"/>
      <c r="TKF160" s="72"/>
      <c r="TKG160" s="72"/>
      <c r="TKH160" s="72"/>
      <c r="TKI160" s="72"/>
      <c r="TKJ160" s="72"/>
      <c r="TKK160" s="72"/>
      <c r="TKL160" s="72"/>
      <c r="TKM160" s="72"/>
      <c r="TKN160" s="72"/>
      <c r="TKO160" s="72"/>
      <c r="TKP160" s="72"/>
      <c r="TKQ160" s="72"/>
      <c r="TKR160" s="72"/>
      <c r="TKS160" s="72"/>
      <c r="TKT160" s="72"/>
      <c r="TKU160" s="72"/>
      <c r="TKV160" s="72"/>
      <c r="TKW160" s="72"/>
      <c r="TKX160" s="72"/>
      <c r="TKY160" s="72"/>
      <c r="TKZ160" s="72"/>
      <c r="TLA160" s="72"/>
      <c r="TLB160" s="72"/>
      <c r="TLC160" s="72"/>
      <c r="TLD160" s="72"/>
      <c r="TLE160" s="72"/>
      <c r="TLF160" s="72"/>
      <c r="TLG160" s="72"/>
      <c r="TLH160" s="72"/>
      <c r="TLI160" s="72"/>
      <c r="TLJ160" s="72"/>
      <c r="TLK160" s="72"/>
      <c r="TLL160" s="72"/>
      <c r="TLM160" s="72"/>
      <c r="TLN160" s="72"/>
      <c r="TLO160" s="72"/>
      <c r="TLP160" s="72"/>
      <c r="TLQ160" s="72"/>
      <c r="TLR160" s="72"/>
      <c r="TLS160" s="72"/>
      <c r="TLT160" s="72"/>
      <c r="TLU160" s="72"/>
      <c r="TLV160" s="72"/>
      <c r="TLW160" s="72"/>
      <c r="TLX160" s="72"/>
      <c r="TLY160" s="72"/>
      <c r="TLZ160" s="72"/>
      <c r="TMA160" s="72"/>
      <c r="TMB160" s="72"/>
      <c r="TMC160" s="72"/>
      <c r="TMD160" s="72"/>
      <c r="TME160" s="72"/>
      <c r="TMF160" s="72"/>
      <c r="TMG160" s="72"/>
      <c r="TMH160" s="72"/>
      <c r="TMI160" s="72"/>
      <c r="TMJ160" s="72"/>
      <c r="TMK160" s="72"/>
      <c r="TML160" s="72"/>
      <c r="TMM160" s="72"/>
      <c r="TMN160" s="72"/>
      <c r="TMO160" s="72"/>
      <c r="TMP160" s="72"/>
      <c r="TMQ160" s="72"/>
      <c r="TMR160" s="72"/>
      <c r="TMS160" s="72"/>
      <c r="TMT160" s="72"/>
      <c r="TMU160" s="72"/>
      <c r="TMV160" s="72"/>
      <c r="TMW160" s="72"/>
      <c r="TMX160" s="72"/>
      <c r="TMY160" s="72"/>
      <c r="TMZ160" s="72"/>
      <c r="TNA160" s="72"/>
      <c r="TNB160" s="72"/>
      <c r="TNC160" s="72"/>
      <c r="TND160" s="72"/>
      <c r="TNE160" s="72"/>
      <c r="TNF160" s="72"/>
      <c r="TNG160" s="72"/>
      <c r="TNH160" s="72"/>
      <c r="TNI160" s="72"/>
      <c r="TNJ160" s="72"/>
      <c r="TNK160" s="72"/>
      <c r="TNL160" s="72"/>
      <c r="TNM160" s="72"/>
      <c r="TNN160" s="72"/>
      <c r="TNO160" s="72"/>
      <c r="TNP160" s="72"/>
      <c r="TNQ160" s="72"/>
      <c r="TNR160" s="72"/>
      <c r="TNS160" s="72"/>
      <c r="TNT160" s="72"/>
      <c r="TNU160" s="72"/>
      <c r="TNV160" s="72"/>
      <c r="TNW160" s="72"/>
      <c r="TNX160" s="72"/>
      <c r="TNY160" s="72"/>
      <c r="TNZ160" s="72"/>
      <c r="TOA160" s="72"/>
      <c r="TOB160" s="72"/>
      <c r="TOC160" s="72"/>
      <c r="TOD160" s="72"/>
      <c r="TOE160" s="72"/>
      <c r="TOF160" s="72"/>
      <c r="TOG160" s="72"/>
      <c r="TOH160" s="72"/>
      <c r="TOI160" s="72"/>
      <c r="TOJ160" s="72"/>
      <c r="TOK160" s="72"/>
      <c r="TOL160" s="72"/>
      <c r="TOM160" s="72"/>
      <c r="TON160" s="72"/>
      <c r="TOO160" s="72"/>
      <c r="TOP160" s="72"/>
      <c r="TOQ160" s="72"/>
      <c r="TOR160" s="72"/>
      <c r="TOS160" s="72"/>
      <c r="TOT160" s="72"/>
      <c r="TOU160" s="72"/>
      <c r="TOV160" s="72"/>
      <c r="TOW160" s="72"/>
      <c r="TOX160" s="72"/>
      <c r="TOY160" s="72"/>
      <c r="TOZ160" s="72"/>
      <c r="TPA160" s="72"/>
      <c r="TPB160" s="72"/>
      <c r="TPC160" s="72"/>
      <c r="TPD160" s="72"/>
      <c r="TPE160" s="72"/>
      <c r="TPF160" s="72"/>
      <c r="TPG160" s="72"/>
      <c r="TPH160" s="72"/>
      <c r="TPI160" s="72"/>
      <c r="TPJ160" s="72"/>
      <c r="TPK160" s="72"/>
      <c r="TPL160" s="72"/>
      <c r="TPM160" s="72"/>
      <c r="TPN160" s="72"/>
      <c r="TPO160" s="72"/>
      <c r="TPP160" s="72"/>
      <c r="TPQ160" s="72"/>
      <c r="TPR160" s="72"/>
      <c r="TPS160" s="72"/>
      <c r="TPT160" s="72"/>
      <c r="TPU160" s="72"/>
      <c r="TPV160" s="72"/>
      <c r="TPW160" s="72"/>
      <c r="TPX160" s="72"/>
      <c r="TPY160" s="72"/>
      <c r="TPZ160" s="72"/>
      <c r="TQA160" s="72"/>
      <c r="TQB160" s="72"/>
      <c r="TQC160" s="72"/>
      <c r="TQD160" s="72"/>
      <c r="TQE160" s="72"/>
      <c r="TQF160" s="72"/>
      <c r="TQG160" s="72"/>
      <c r="TQH160" s="72"/>
      <c r="TQI160" s="72"/>
      <c r="TQJ160" s="72"/>
      <c r="TQK160" s="72"/>
      <c r="TQL160" s="72"/>
      <c r="TQM160" s="72"/>
      <c r="TQN160" s="72"/>
      <c r="TQO160" s="72"/>
      <c r="TQP160" s="72"/>
      <c r="TQQ160" s="72"/>
      <c r="TQR160" s="72"/>
      <c r="TQS160" s="72"/>
      <c r="TQT160" s="72"/>
      <c r="TQU160" s="72"/>
      <c r="TQV160" s="72"/>
      <c r="TQW160" s="72"/>
      <c r="TQX160" s="72"/>
      <c r="TQY160" s="72"/>
      <c r="TQZ160" s="72"/>
      <c r="TRA160" s="72"/>
      <c r="TRB160" s="72"/>
      <c r="TRC160" s="72"/>
      <c r="TRD160" s="72"/>
      <c r="TRE160" s="72"/>
      <c r="TRF160" s="72"/>
      <c r="TRG160" s="72"/>
      <c r="TRH160" s="72"/>
      <c r="TRI160" s="72"/>
      <c r="TRJ160" s="72"/>
      <c r="TRK160" s="72"/>
      <c r="TRL160" s="72"/>
      <c r="TRM160" s="72"/>
      <c r="TRN160" s="72"/>
      <c r="TRO160" s="72"/>
      <c r="TRP160" s="72"/>
      <c r="TRQ160" s="72"/>
      <c r="TRR160" s="72"/>
      <c r="TRS160" s="72"/>
      <c r="TRT160" s="72"/>
      <c r="TRU160" s="72"/>
      <c r="TRV160" s="72"/>
      <c r="TRW160" s="72"/>
      <c r="TRX160" s="72"/>
      <c r="TRY160" s="72"/>
      <c r="TRZ160" s="72"/>
      <c r="TSA160" s="72"/>
      <c r="TSB160" s="72"/>
      <c r="TSC160" s="72"/>
      <c r="TSD160" s="72"/>
      <c r="TSE160" s="72"/>
      <c r="TSF160" s="72"/>
      <c r="TSG160" s="72"/>
      <c r="TSH160" s="72"/>
      <c r="TSI160" s="72"/>
      <c r="TSJ160" s="72"/>
      <c r="TSK160" s="72"/>
      <c r="TSL160" s="72"/>
      <c r="TSM160" s="72"/>
      <c r="TSN160" s="72"/>
      <c r="TSO160" s="72"/>
      <c r="TSP160" s="72"/>
      <c r="TSQ160" s="72"/>
      <c r="TSR160" s="72"/>
      <c r="TSS160" s="72"/>
      <c r="TST160" s="72"/>
      <c r="TSU160" s="72"/>
      <c r="TSV160" s="72"/>
      <c r="TSW160" s="72"/>
      <c r="TSX160" s="72"/>
      <c r="TSY160" s="72"/>
      <c r="TSZ160" s="72"/>
      <c r="TTA160" s="72"/>
      <c r="TTB160" s="72"/>
      <c r="TTC160" s="72"/>
      <c r="TTD160" s="72"/>
      <c r="TTE160" s="72"/>
      <c r="TTF160" s="72"/>
      <c r="TTG160" s="72"/>
      <c r="TTH160" s="72"/>
      <c r="TTI160" s="72"/>
      <c r="TTJ160" s="72"/>
      <c r="TTK160" s="72"/>
      <c r="TTL160" s="72"/>
      <c r="TTM160" s="72"/>
      <c r="TTN160" s="72"/>
      <c r="TTO160" s="72"/>
      <c r="TTP160" s="72"/>
      <c r="TTQ160" s="72"/>
      <c r="TTR160" s="72"/>
      <c r="TTS160" s="72"/>
      <c r="TTT160" s="72"/>
      <c r="TTU160" s="72"/>
      <c r="TTV160" s="72"/>
      <c r="TTW160" s="72"/>
      <c r="TTX160" s="72"/>
      <c r="TTY160" s="72"/>
      <c r="TTZ160" s="72"/>
      <c r="TUA160" s="72"/>
      <c r="TUB160" s="72"/>
      <c r="TUC160" s="72"/>
      <c r="TUD160" s="72"/>
      <c r="TUE160" s="72"/>
      <c r="TUF160" s="72"/>
      <c r="TUG160" s="72"/>
      <c r="TUH160" s="72"/>
      <c r="TUI160" s="72"/>
      <c r="TUJ160" s="72"/>
      <c r="TUK160" s="72"/>
      <c r="TUL160" s="72"/>
      <c r="TUM160" s="72"/>
      <c r="TUN160" s="72"/>
      <c r="TUO160" s="72"/>
      <c r="TUP160" s="72"/>
      <c r="TUQ160" s="72"/>
      <c r="TUR160" s="72"/>
      <c r="TUS160" s="72"/>
      <c r="TUT160" s="72"/>
      <c r="TUU160" s="72"/>
      <c r="TUV160" s="72"/>
      <c r="TUW160" s="72"/>
      <c r="TUX160" s="72"/>
      <c r="TUY160" s="72"/>
      <c r="TUZ160" s="72"/>
      <c r="TVA160" s="72"/>
      <c r="TVB160" s="72"/>
      <c r="TVC160" s="72"/>
      <c r="TVD160" s="72"/>
      <c r="TVE160" s="72"/>
      <c r="TVF160" s="72"/>
      <c r="TVG160" s="72"/>
      <c r="TVH160" s="72"/>
      <c r="TVI160" s="72"/>
      <c r="TVJ160" s="72"/>
      <c r="TVK160" s="72"/>
      <c r="TVL160" s="72"/>
      <c r="TVM160" s="72"/>
      <c r="TVN160" s="72"/>
      <c r="TVO160" s="72"/>
      <c r="TVP160" s="72"/>
      <c r="TVQ160" s="72"/>
      <c r="TVR160" s="72"/>
      <c r="TVS160" s="72"/>
      <c r="TVT160" s="72"/>
      <c r="TVU160" s="72"/>
      <c r="TVV160" s="72"/>
      <c r="TVW160" s="72"/>
      <c r="TVX160" s="72"/>
      <c r="TVY160" s="72"/>
      <c r="TVZ160" s="72"/>
      <c r="TWA160" s="72"/>
      <c r="TWB160" s="72"/>
      <c r="TWC160" s="72"/>
      <c r="TWD160" s="72"/>
      <c r="TWE160" s="72"/>
      <c r="TWF160" s="72"/>
      <c r="TWG160" s="72"/>
      <c r="TWH160" s="72"/>
      <c r="TWI160" s="72"/>
      <c r="TWJ160" s="72"/>
      <c r="TWK160" s="72"/>
      <c r="TWL160" s="72"/>
      <c r="TWM160" s="72"/>
      <c r="TWN160" s="72"/>
      <c r="TWO160" s="72"/>
      <c r="TWP160" s="72"/>
      <c r="TWQ160" s="72"/>
      <c r="TWR160" s="72"/>
      <c r="TWS160" s="72"/>
      <c r="TWT160" s="72"/>
      <c r="TWU160" s="72"/>
      <c r="TWV160" s="72"/>
      <c r="TWW160" s="72"/>
      <c r="TWX160" s="72"/>
      <c r="TWY160" s="72"/>
      <c r="TWZ160" s="72"/>
      <c r="TXA160" s="72"/>
      <c r="TXB160" s="72"/>
      <c r="TXC160" s="72"/>
      <c r="TXD160" s="72"/>
      <c r="TXE160" s="72"/>
      <c r="TXF160" s="72"/>
      <c r="TXG160" s="72"/>
      <c r="TXH160" s="72"/>
      <c r="TXI160" s="72"/>
      <c r="TXJ160" s="72"/>
      <c r="TXK160" s="72"/>
      <c r="TXL160" s="72"/>
      <c r="TXM160" s="72"/>
      <c r="TXN160" s="72"/>
      <c r="TXO160" s="72"/>
      <c r="TXP160" s="72"/>
      <c r="TXQ160" s="72"/>
      <c r="TXR160" s="72"/>
      <c r="TXS160" s="72"/>
      <c r="TXT160" s="72"/>
      <c r="TXU160" s="72"/>
      <c r="TXV160" s="72"/>
      <c r="TXW160" s="72"/>
      <c r="TXX160" s="72"/>
      <c r="TXY160" s="72"/>
      <c r="TXZ160" s="72"/>
      <c r="TYA160" s="72"/>
      <c r="TYB160" s="72"/>
      <c r="TYC160" s="72"/>
      <c r="TYD160" s="72"/>
      <c r="TYE160" s="72"/>
      <c r="TYF160" s="72"/>
      <c r="TYG160" s="72"/>
      <c r="TYH160" s="72"/>
      <c r="TYI160" s="72"/>
      <c r="TYJ160" s="72"/>
      <c r="TYK160" s="72"/>
      <c r="TYL160" s="72"/>
      <c r="TYM160" s="72"/>
      <c r="TYN160" s="72"/>
      <c r="TYO160" s="72"/>
      <c r="TYP160" s="72"/>
      <c r="TYQ160" s="72"/>
      <c r="TYR160" s="72"/>
      <c r="TYS160" s="72"/>
      <c r="TYT160" s="72"/>
      <c r="TYU160" s="72"/>
      <c r="TYV160" s="72"/>
      <c r="TYW160" s="72"/>
      <c r="TYX160" s="72"/>
      <c r="TYY160" s="72"/>
      <c r="TYZ160" s="72"/>
      <c r="TZA160" s="72"/>
      <c r="TZB160" s="72"/>
      <c r="TZC160" s="72"/>
      <c r="TZD160" s="72"/>
      <c r="TZE160" s="72"/>
      <c r="TZF160" s="72"/>
      <c r="TZG160" s="72"/>
      <c r="TZH160" s="72"/>
      <c r="TZI160" s="72"/>
      <c r="TZJ160" s="72"/>
      <c r="TZK160" s="72"/>
      <c r="TZL160" s="72"/>
      <c r="TZM160" s="72"/>
      <c r="TZN160" s="72"/>
      <c r="TZO160" s="72"/>
      <c r="TZP160" s="72"/>
      <c r="TZQ160" s="72"/>
      <c r="TZR160" s="72"/>
      <c r="TZS160" s="72"/>
      <c r="TZT160" s="72"/>
      <c r="TZU160" s="72"/>
      <c r="TZV160" s="72"/>
      <c r="TZW160" s="72"/>
      <c r="TZX160" s="72"/>
      <c r="TZY160" s="72"/>
      <c r="TZZ160" s="72"/>
      <c r="UAA160" s="72"/>
      <c r="UAB160" s="72"/>
      <c r="UAC160" s="72"/>
      <c r="UAD160" s="72"/>
      <c r="UAE160" s="72"/>
      <c r="UAF160" s="72"/>
      <c r="UAG160" s="72"/>
      <c r="UAH160" s="72"/>
      <c r="UAI160" s="72"/>
      <c r="UAJ160" s="72"/>
      <c r="UAK160" s="72"/>
      <c r="UAL160" s="72"/>
      <c r="UAM160" s="72"/>
      <c r="UAN160" s="72"/>
      <c r="UAO160" s="72"/>
      <c r="UAP160" s="72"/>
      <c r="UAQ160" s="72"/>
      <c r="UAR160" s="72"/>
      <c r="UAS160" s="72"/>
      <c r="UAT160" s="72"/>
      <c r="UAU160" s="72"/>
      <c r="UAV160" s="72"/>
      <c r="UAW160" s="72"/>
      <c r="UAX160" s="72"/>
      <c r="UAY160" s="72"/>
      <c r="UAZ160" s="72"/>
      <c r="UBA160" s="72"/>
      <c r="UBB160" s="72"/>
      <c r="UBC160" s="72"/>
      <c r="UBD160" s="72"/>
      <c r="UBE160" s="72"/>
      <c r="UBF160" s="72"/>
      <c r="UBG160" s="72"/>
      <c r="UBH160" s="72"/>
      <c r="UBI160" s="72"/>
      <c r="UBJ160" s="72"/>
      <c r="UBK160" s="72"/>
      <c r="UBL160" s="72"/>
      <c r="UBM160" s="72"/>
      <c r="UBN160" s="72"/>
      <c r="UBO160" s="72"/>
      <c r="UBP160" s="72"/>
      <c r="UBQ160" s="72"/>
      <c r="UBR160" s="72"/>
      <c r="UBS160" s="72"/>
      <c r="UBT160" s="72"/>
      <c r="UBU160" s="72"/>
      <c r="UBV160" s="72"/>
      <c r="UBW160" s="72"/>
      <c r="UBX160" s="72"/>
      <c r="UBY160" s="72"/>
      <c r="UBZ160" s="72"/>
      <c r="UCA160" s="72"/>
      <c r="UCB160" s="72"/>
      <c r="UCC160" s="72"/>
      <c r="UCD160" s="72"/>
      <c r="UCE160" s="72"/>
      <c r="UCF160" s="72"/>
      <c r="UCG160" s="72"/>
      <c r="UCH160" s="72"/>
      <c r="UCI160" s="72"/>
      <c r="UCJ160" s="72"/>
      <c r="UCK160" s="72"/>
      <c r="UCL160" s="72"/>
      <c r="UCM160" s="72"/>
      <c r="UCN160" s="72"/>
      <c r="UCO160" s="72"/>
      <c r="UCP160" s="72"/>
      <c r="UCQ160" s="72"/>
      <c r="UCR160" s="72"/>
      <c r="UCS160" s="72"/>
      <c r="UCT160" s="72"/>
      <c r="UCU160" s="72"/>
      <c r="UCV160" s="72"/>
      <c r="UCW160" s="72"/>
      <c r="UCX160" s="72"/>
      <c r="UCY160" s="72"/>
      <c r="UCZ160" s="72"/>
      <c r="UDA160" s="72"/>
      <c r="UDB160" s="72"/>
      <c r="UDC160" s="72"/>
      <c r="UDD160" s="72"/>
      <c r="UDE160" s="72"/>
      <c r="UDF160" s="72"/>
      <c r="UDG160" s="72"/>
      <c r="UDH160" s="72"/>
      <c r="UDI160" s="72"/>
      <c r="UDJ160" s="72"/>
      <c r="UDK160" s="72"/>
      <c r="UDL160" s="72"/>
      <c r="UDM160" s="72"/>
      <c r="UDN160" s="72"/>
      <c r="UDO160" s="72"/>
      <c r="UDP160" s="72"/>
      <c r="UDQ160" s="72"/>
      <c r="UDR160" s="72"/>
      <c r="UDS160" s="72"/>
      <c r="UDT160" s="72"/>
      <c r="UDU160" s="72"/>
      <c r="UDV160" s="72"/>
      <c r="UDW160" s="72"/>
      <c r="UDX160" s="72"/>
      <c r="UDY160" s="72"/>
      <c r="UDZ160" s="72"/>
      <c r="UEA160" s="72"/>
      <c r="UEB160" s="72"/>
      <c r="UEC160" s="72"/>
      <c r="UED160" s="72"/>
      <c r="UEE160" s="72"/>
      <c r="UEF160" s="72"/>
      <c r="UEG160" s="72"/>
      <c r="UEH160" s="72"/>
      <c r="UEI160" s="72"/>
      <c r="UEJ160" s="72"/>
      <c r="UEK160" s="72"/>
      <c r="UEL160" s="72"/>
      <c r="UEM160" s="72"/>
      <c r="UEN160" s="72"/>
      <c r="UEO160" s="72"/>
      <c r="UEP160" s="72"/>
      <c r="UEQ160" s="72"/>
      <c r="UER160" s="72"/>
      <c r="UES160" s="72"/>
      <c r="UET160" s="72"/>
      <c r="UEU160" s="72"/>
      <c r="UEV160" s="72"/>
      <c r="UEW160" s="72"/>
      <c r="UEX160" s="72"/>
      <c r="UEY160" s="72"/>
      <c r="UEZ160" s="72"/>
      <c r="UFA160" s="72"/>
      <c r="UFB160" s="72"/>
      <c r="UFC160" s="72"/>
      <c r="UFD160" s="72"/>
      <c r="UFE160" s="72"/>
      <c r="UFF160" s="72"/>
      <c r="UFG160" s="72"/>
      <c r="UFH160" s="72"/>
      <c r="UFI160" s="72"/>
      <c r="UFJ160" s="72"/>
      <c r="UFK160" s="72"/>
      <c r="UFL160" s="72"/>
      <c r="UFM160" s="72"/>
      <c r="UFN160" s="72"/>
      <c r="UFO160" s="72"/>
      <c r="UFP160" s="72"/>
      <c r="UFQ160" s="72"/>
      <c r="UFR160" s="72"/>
      <c r="UFS160" s="72"/>
      <c r="UFT160" s="72"/>
      <c r="UFU160" s="72"/>
      <c r="UFV160" s="72"/>
      <c r="UFW160" s="72"/>
      <c r="UFX160" s="72"/>
      <c r="UFY160" s="72"/>
      <c r="UFZ160" s="72"/>
      <c r="UGA160" s="72"/>
      <c r="UGB160" s="72"/>
      <c r="UGC160" s="72"/>
      <c r="UGD160" s="72"/>
      <c r="UGE160" s="72"/>
      <c r="UGF160" s="72"/>
      <c r="UGG160" s="72"/>
      <c r="UGH160" s="72"/>
      <c r="UGI160" s="72"/>
      <c r="UGJ160" s="72"/>
      <c r="UGK160" s="72"/>
      <c r="UGL160" s="72"/>
      <c r="UGM160" s="72"/>
      <c r="UGN160" s="72"/>
      <c r="UGO160" s="72"/>
      <c r="UGP160" s="72"/>
      <c r="UGQ160" s="72"/>
      <c r="UGR160" s="72"/>
      <c r="UGS160" s="72"/>
      <c r="UGT160" s="72"/>
      <c r="UGU160" s="72"/>
      <c r="UGV160" s="72"/>
      <c r="UGW160" s="72"/>
      <c r="UGX160" s="72"/>
      <c r="UGY160" s="72"/>
      <c r="UGZ160" s="72"/>
      <c r="UHA160" s="72"/>
      <c r="UHB160" s="72"/>
      <c r="UHC160" s="72"/>
      <c r="UHD160" s="72"/>
      <c r="UHE160" s="72"/>
      <c r="UHF160" s="72"/>
      <c r="UHG160" s="72"/>
      <c r="UHH160" s="72"/>
      <c r="UHI160" s="72"/>
      <c r="UHJ160" s="72"/>
      <c r="UHK160" s="72"/>
      <c r="UHL160" s="72"/>
      <c r="UHM160" s="72"/>
      <c r="UHN160" s="72"/>
      <c r="UHO160" s="72"/>
      <c r="UHP160" s="72"/>
      <c r="UHQ160" s="72"/>
      <c r="UHR160" s="72"/>
      <c r="UHS160" s="72"/>
      <c r="UHT160" s="72"/>
      <c r="UHU160" s="72"/>
      <c r="UHV160" s="72"/>
      <c r="UHW160" s="72"/>
      <c r="UHX160" s="72"/>
      <c r="UHY160" s="72"/>
      <c r="UHZ160" s="72"/>
      <c r="UIA160" s="72"/>
      <c r="UIB160" s="72"/>
      <c r="UIC160" s="72"/>
      <c r="UID160" s="72"/>
      <c r="UIE160" s="72"/>
      <c r="UIF160" s="72"/>
      <c r="UIG160" s="72"/>
      <c r="UIH160" s="72"/>
      <c r="UII160" s="72"/>
      <c r="UIJ160" s="72"/>
      <c r="UIK160" s="72"/>
      <c r="UIL160" s="72"/>
      <c r="UIM160" s="72"/>
      <c r="UIN160" s="72"/>
      <c r="UIO160" s="72"/>
      <c r="UIP160" s="72"/>
      <c r="UIQ160" s="72"/>
      <c r="UIR160" s="72"/>
      <c r="UIS160" s="72"/>
      <c r="UIT160" s="72"/>
      <c r="UIU160" s="72"/>
      <c r="UIV160" s="72"/>
      <c r="UIW160" s="72"/>
      <c r="UIX160" s="72"/>
      <c r="UIY160" s="72"/>
      <c r="UIZ160" s="72"/>
      <c r="UJA160" s="72"/>
      <c r="UJB160" s="72"/>
      <c r="UJC160" s="72"/>
      <c r="UJD160" s="72"/>
      <c r="UJE160" s="72"/>
      <c r="UJF160" s="72"/>
      <c r="UJG160" s="72"/>
      <c r="UJH160" s="72"/>
      <c r="UJI160" s="72"/>
      <c r="UJJ160" s="72"/>
      <c r="UJK160" s="72"/>
      <c r="UJL160" s="72"/>
      <c r="UJM160" s="72"/>
      <c r="UJN160" s="72"/>
      <c r="UJO160" s="72"/>
      <c r="UJP160" s="72"/>
      <c r="UJQ160" s="72"/>
      <c r="UJR160" s="72"/>
      <c r="UJS160" s="72"/>
      <c r="UJT160" s="72"/>
      <c r="UJU160" s="72"/>
      <c r="UJV160" s="72"/>
      <c r="UJW160" s="72"/>
      <c r="UJX160" s="72"/>
      <c r="UJY160" s="72"/>
      <c r="UJZ160" s="72"/>
      <c r="UKA160" s="72"/>
      <c r="UKB160" s="72"/>
      <c r="UKC160" s="72"/>
      <c r="UKD160" s="72"/>
      <c r="UKE160" s="72"/>
      <c r="UKF160" s="72"/>
      <c r="UKG160" s="72"/>
      <c r="UKH160" s="72"/>
      <c r="UKI160" s="72"/>
      <c r="UKJ160" s="72"/>
      <c r="UKK160" s="72"/>
      <c r="UKL160" s="72"/>
      <c r="UKM160" s="72"/>
      <c r="UKN160" s="72"/>
      <c r="UKO160" s="72"/>
      <c r="UKP160" s="72"/>
      <c r="UKQ160" s="72"/>
      <c r="UKR160" s="72"/>
      <c r="UKS160" s="72"/>
      <c r="UKT160" s="72"/>
      <c r="UKU160" s="72"/>
      <c r="UKV160" s="72"/>
      <c r="UKW160" s="72"/>
      <c r="UKX160" s="72"/>
      <c r="UKY160" s="72"/>
      <c r="UKZ160" s="72"/>
      <c r="ULA160" s="72"/>
      <c r="ULB160" s="72"/>
      <c r="ULC160" s="72"/>
      <c r="ULD160" s="72"/>
      <c r="ULE160" s="72"/>
      <c r="ULF160" s="72"/>
      <c r="ULG160" s="72"/>
      <c r="ULH160" s="72"/>
      <c r="ULI160" s="72"/>
      <c r="ULJ160" s="72"/>
      <c r="ULK160" s="72"/>
      <c r="ULL160" s="72"/>
      <c r="ULM160" s="72"/>
      <c r="ULN160" s="72"/>
      <c r="ULO160" s="72"/>
      <c r="ULP160" s="72"/>
      <c r="ULQ160" s="72"/>
      <c r="ULR160" s="72"/>
      <c r="ULS160" s="72"/>
      <c r="ULT160" s="72"/>
      <c r="ULU160" s="72"/>
      <c r="ULV160" s="72"/>
      <c r="ULW160" s="72"/>
      <c r="ULX160" s="72"/>
      <c r="ULY160" s="72"/>
      <c r="ULZ160" s="72"/>
      <c r="UMA160" s="72"/>
      <c r="UMB160" s="72"/>
      <c r="UMC160" s="72"/>
      <c r="UMD160" s="72"/>
      <c r="UME160" s="72"/>
      <c r="UMF160" s="72"/>
      <c r="UMG160" s="72"/>
      <c r="UMH160" s="72"/>
      <c r="UMI160" s="72"/>
      <c r="UMJ160" s="72"/>
      <c r="UMK160" s="72"/>
      <c r="UML160" s="72"/>
      <c r="UMM160" s="72"/>
      <c r="UMN160" s="72"/>
      <c r="UMO160" s="72"/>
      <c r="UMP160" s="72"/>
      <c r="UMQ160" s="72"/>
      <c r="UMR160" s="72"/>
      <c r="UMS160" s="72"/>
      <c r="UMT160" s="72"/>
      <c r="UMU160" s="72"/>
      <c r="UMV160" s="72"/>
      <c r="UMW160" s="72"/>
      <c r="UMX160" s="72"/>
      <c r="UMY160" s="72"/>
      <c r="UMZ160" s="72"/>
      <c r="UNA160" s="72"/>
      <c r="UNB160" s="72"/>
      <c r="UNC160" s="72"/>
      <c r="UND160" s="72"/>
      <c r="UNE160" s="72"/>
      <c r="UNF160" s="72"/>
      <c r="UNG160" s="72"/>
      <c r="UNH160" s="72"/>
      <c r="UNI160" s="72"/>
      <c r="UNJ160" s="72"/>
      <c r="UNK160" s="72"/>
      <c r="UNL160" s="72"/>
      <c r="UNM160" s="72"/>
      <c r="UNN160" s="72"/>
      <c r="UNO160" s="72"/>
      <c r="UNP160" s="72"/>
      <c r="UNQ160" s="72"/>
      <c r="UNR160" s="72"/>
      <c r="UNS160" s="72"/>
      <c r="UNT160" s="72"/>
      <c r="UNU160" s="72"/>
      <c r="UNV160" s="72"/>
      <c r="UNW160" s="72"/>
      <c r="UNX160" s="72"/>
      <c r="UNY160" s="72"/>
      <c r="UNZ160" s="72"/>
      <c r="UOA160" s="72"/>
      <c r="UOB160" s="72"/>
      <c r="UOC160" s="72"/>
      <c r="UOD160" s="72"/>
      <c r="UOE160" s="72"/>
      <c r="UOF160" s="72"/>
      <c r="UOG160" s="72"/>
      <c r="UOH160" s="72"/>
      <c r="UOI160" s="72"/>
      <c r="UOJ160" s="72"/>
      <c r="UOK160" s="72"/>
      <c r="UOL160" s="72"/>
      <c r="UOM160" s="72"/>
      <c r="UON160" s="72"/>
      <c r="UOO160" s="72"/>
      <c r="UOP160" s="72"/>
      <c r="UOQ160" s="72"/>
      <c r="UOR160" s="72"/>
      <c r="UOS160" s="72"/>
      <c r="UOT160" s="72"/>
      <c r="UOU160" s="72"/>
      <c r="UOV160" s="72"/>
      <c r="UOW160" s="72"/>
      <c r="UOX160" s="72"/>
      <c r="UOY160" s="72"/>
      <c r="UOZ160" s="72"/>
      <c r="UPA160" s="72"/>
      <c r="UPB160" s="72"/>
      <c r="UPC160" s="72"/>
      <c r="UPD160" s="72"/>
      <c r="UPE160" s="72"/>
      <c r="UPF160" s="72"/>
      <c r="UPG160" s="72"/>
      <c r="UPH160" s="72"/>
      <c r="UPI160" s="72"/>
      <c r="UPJ160" s="72"/>
      <c r="UPK160" s="72"/>
      <c r="UPL160" s="72"/>
      <c r="UPM160" s="72"/>
      <c r="UPN160" s="72"/>
      <c r="UPO160" s="72"/>
      <c r="UPP160" s="72"/>
      <c r="UPQ160" s="72"/>
      <c r="UPR160" s="72"/>
      <c r="UPS160" s="72"/>
      <c r="UPT160" s="72"/>
      <c r="UPU160" s="72"/>
      <c r="UPV160" s="72"/>
      <c r="UPW160" s="72"/>
      <c r="UPX160" s="72"/>
      <c r="UPY160" s="72"/>
      <c r="UPZ160" s="72"/>
      <c r="UQA160" s="72"/>
      <c r="UQB160" s="72"/>
      <c r="UQC160" s="72"/>
      <c r="UQD160" s="72"/>
      <c r="UQE160" s="72"/>
      <c r="UQF160" s="72"/>
      <c r="UQG160" s="72"/>
      <c r="UQH160" s="72"/>
      <c r="UQI160" s="72"/>
      <c r="UQJ160" s="72"/>
      <c r="UQK160" s="72"/>
      <c r="UQL160" s="72"/>
      <c r="UQM160" s="72"/>
      <c r="UQN160" s="72"/>
      <c r="UQO160" s="72"/>
      <c r="UQP160" s="72"/>
      <c r="UQQ160" s="72"/>
      <c r="UQR160" s="72"/>
      <c r="UQS160" s="72"/>
      <c r="UQT160" s="72"/>
      <c r="UQU160" s="72"/>
      <c r="UQV160" s="72"/>
      <c r="UQW160" s="72"/>
      <c r="UQX160" s="72"/>
      <c r="UQY160" s="72"/>
      <c r="UQZ160" s="72"/>
      <c r="URA160" s="72"/>
      <c r="URB160" s="72"/>
      <c r="URC160" s="72"/>
      <c r="URD160" s="72"/>
      <c r="URE160" s="72"/>
      <c r="URF160" s="72"/>
      <c r="URG160" s="72"/>
      <c r="URH160" s="72"/>
      <c r="URI160" s="72"/>
      <c r="URJ160" s="72"/>
      <c r="URK160" s="72"/>
      <c r="URL160" s="72"/>
      <c r="URM160" s="72"/>
      <c r="URN160" s="72"/>
      <c r="URO160" s="72"/>
      <c r="URP160" s="72"/>
      <c r="URQ160" s="72"/>
      <c r="URR160" s="72"/>
      <c r="URS160" s="72"/>
      <c r="URT160" s="72"/>
      <c r="URU160" s="72"/>
      <c r="URV160" s="72"/>
      <c r="URW160" s="72"/>
      <c r="URX160" s="72"/>
      <c r="URY160" s="72"/>
      <c r="URZ160" s="72"/>
      <c r="USA160" s="72"/>
      <c r="USB160" s="72"/>
      <c r="USC160" s="72"/>
      <c r="USD160" s="72"/>
      <c r="USE160" s="72"/>
      <c r="USF160" s="72"/>
      <c r="USG160" s="72"/>
      <c r="USH160" s="72"/>
      <c r="USI160" s="72"/>
      <c r="USJ160" s="72"/>
      <c r="USK160" s="72"/>
      <c r="USL160" s="72"/>
      <c r="USM160" s="72"/>
      <c r="USN160" s="72"/>
      <c r="USO160" s="72"/>
      <c r="USP160" s="72"/>
      <c r="USQ160" s="72"/>
      <c r="USR160" s="72"/>
      <c r="USS160" s="72"/>
      <c r="UST160" s="72"/>
      <c r="USU160" s="72"/>
      <c r="USV160" s="72"/>
      <c r="USW160" s="72"/>
      <c r="USX160" s="72"/>
      <c r="USY160" s="72"/>
      <c r="USZ160" s="72"/>
      <c r="UTA160" s="72"/>
      <c r="UTB160" s="72"/>
      <c r="UTC160" s="72"/>
      <c r="UTD160" s="72"/>
      <c r="UTE160" s="72"/>
      <c r="UTF160" s="72"/>
      <c r="UTG160" s="72"/>
      <c r="UTH160" s="72"/>
      <c r="UTI160" s="72"/>
      <c r="UTJ160" s="72"/>
      <c r="UTK160" s="72"/>
      <c r="UTL160" s="72"/>
      <c r="UTM160" s="72"/>
      <c r="UTN160" s="72"/>
      <c r="UTO160" s="72"/>
      <c r="UTP160" s="72"/>
      <c r="UTQ160" s="72"/>
      <c r="UTR160" s="72"/>
      <c r="UTS160" s="72"/>
      <c r="UTT160" s="72"/>
      <c r="UTU160" s="72"/>
      <c r="UTV160" s="72"/>
      <c r="UTW160" s="72"/>
      <c r="UTX160" s="72"/>
      <c r="UTY160" s="72"/>
      <c r="UTZ160" s="72"/>
      <c r="UUA160" s="72"/>
      <c r="UUB160" s="72"/>
      <c r="UUC160" s="72"/>
      <c r="UUD160" s="72"/>
      <c r="UUE160" s="72"/>
      <c r="UUF160" s="72"/>
      <c r="UUG160" s="72"/>
      <c r="UUH160" s="72"/>
      <c r="UUI160" s="72"/>
      <c r="UUJ160" s="72"/>
      <c r="UUK160" s="72"/>
      <c r="UUL160" s="72"/>
      <c r="UUM160" s="72"/>
      <c r="UUN160" s="72"/>
      <c r="UUO160" s="72"/>
      <c r="UUP160" s="72"/>
      <c r="UUQ160" s="72"/>
      <c r="UUR160" s="72"/>
      <c r="UUS160" s="72"/>
      <c r="UUT160" s="72"/>
      <c r="UUU160" s="72"/>
      <c r="UUV160" s="72"/>
      <c r="UUW160" s="72"/>
      <c r="UUX160" s="72"/>
      <c r="UUY160" s="72"/>
      <c r="UUZ160" s="72"/>
      <c r="UVA160" s="72"/>
      <c r="UVB160" s="72"/>
      <c r="UVC160" s="72"/>
      <c r="UVD160" s="72"/>
      <c r="UVE160" s="72"/>
      <c r="UVF160" s="72"/>
      <c r="UVG160" s="72"/>
      <c r="UVH160" s="72"/>
      <c r="UVI160" s="72"/>
      <c r="UVJ160" s="72"/>
      <c r="UVK160" s="72"/>
      <c r="UVL160" s="72"/>
      <c r="UVM160" s="72"/>
      <c r="UVN160" s="72"/>
      <c r="UVO160" s="72"/>
      <c r="UVP160" s="72"/>
      <c r="UVQ160" s="72"/>
      <c r="UVR160" s="72"/>
      <c r="UVS160" s="72"/>
      <c r="UVT160" s="72"/>
      <c r="UVU160" s="72"/>
      <c r="UVV160" s="72"/>
      <c r="UVW160" s="72"/>
      <c r="UVX160" s="72"/>
      <c r="UVY160" s="72"/>
      <c r="UVZ160" s="72"/>
      <c r="UWA160" s="72"/>
      <c r="UWB160" s="72"/>
      <c r="UWC160" s="72"/>
      <c r="UWD160" s="72"/>
      <c r="UWE160" s="72"/>
      <c r="UWF160" s="72"/>
      <c r="UWG160" s="72"/>
      <c r="UWH160" s="72"/>
      <c r="UWI160" s="72"/>
      <c r="UWJ160" s="72"/>
      <c r="UWK160" s="72"/>
      <c r="UWL160" s="72"/>
      <c r="UWM160" s="72"/>
      <c r="UWN160" s="72"/>
      <c r="UWO160" s="72"/>
      <c r="UWP160" s="72"/>
      <c r="UWQ160" s="72"/>
      <c r="UWR160" s="72"/>
      <c r="UWS160" s="72"/>
      <c r="UWT160" s="72"/>
      <c r="UWU160" s="72"/>
      <c r="UWV160" s="72"/>
      <c r="UWW160" s="72"/>
      <c r="UWX160" s="72"/>
      <c r="UWY160" s="72"/>
      <c r="UWZ160" s="72"/>
      <c r="UXA160" s="72"/>
      <c r="UXB160" s="72"/>
      <c r="UXC160" s="72"/>
      <c r="UXD160" s="72"/>
      <c r="UXE160" s="72"/>
      <c r="UXF160" s="72"/>
      <c r="UXG160" s="72"/>
      <c r="UXH160" s="72"/>
      <c r="UXI160" s="72"/>
      <c r="UXJ160" s="72"/>
      <c r="UXK160" s="72"/>
      <c r="UXL160" s="72"/>
      <c r="UXM160" s="72"/>
      <c r="UXN160" s="72"/>
      <c r="UXO160" s="72"/>
      <c r="UXP160" s="72"/>
      <c r="UXQ160" s="72"/>
      <c r="UXR160" s="72"/>
      <c r="UXS160" s="72"/>
      <c r="UXT160" s="72"/>
      <c r="UXU160" s="72"/>
      <c r="UXV160" s="72"/>
      <c r="UXW160" s="72"/>
      <c r="UXX160" s="72"/>
      <c r="UXY160" s="72"/>
      <c r="UXZ160" s="72"/>
      <c r="UYA160" s="72"/>
      <c r="UYB160" s="72"/>
      <c r="UYC160" s="72"/>
      <c r="UYD160" s="72"/>
      <c r="UYE160" s="72"/>
      <c r="UYF160" s="72"/>
      <c r="UYG160" s="72"/>
      <c r="UYH160" s="72"/>
      <c r="UYI160" s="72"/>
      <c r="UYJ160" s="72"/>
      <c r="UYK160" s="72"/>
      <c r="UYL160" s="72"/>
      <c r="UYM160" s="72"/>
      <c r="UYN160" s="72"/>
      <c r="UYO160" s="72"/>
      <c r="UYP160" s="72"/>
      <c r="UYQ160" s="72"/>
      <c r="UYR160" s="72"/>
      <c r="UYS160" s="72"/>
      <c r="UYT160" s="72"/>
      <c r="UYU160" s="72"/>
      <c r="UYV160" s="72"/>
      <c r="UYW160" s="72"/>
      <c r="UYX160" s="72"/>
      <c r="UYY160" s="72"/>
      <c r="UYZ160" s="72"/>
      <c r="UZA160" s="72"/>
      <c r="UZB160" s="72"/>
      <c r="UZC160" s="72"/>
      <c r="UZD160" s="72"/>
      <c r="UZE160" s="72"/>
      <c r="UZF160" s="72"/>
      <c r="UZG160" s="72"/>
      <c r="UZH160" s="72"/>
      <c r="UZI160" s="72"/>
      <c r="UZJ160" s="72"/>
      <c r="UZK160" s="72"/>
      <c r="UZL160" s="72"/>
      <c r="UZM160" s="72"/>
      <c r="UZN160" s="72"/>
      <c r="UZO160" s="72"/>
      <c r="UZP160" s="72"/>
      <c r="UZQ160" s="72"/>
      <c r="UZR160" s="72"/>
      <c r="UZS160" s="72"/>
      <c r="UZT160" s="72"/>
      <c r="UZU160" s="72"/>
      <c r="UZV160" s="72"/>
      <c r="UZW160" s="72"/>
      <c r="UZX160" s="72"/>
      <c r="UZY160" s="72"/>
      <c r="UZZ160" s="72"/>
      <c r="VAA160" s="72"/>
      <c r="VAB160" s="72"/>
      <c r="VAC160" s="72"/>
      <c r="VAD160" s="72"/>
      <c r="VAE160" s="72"/>
      <c r="VAF160" s="72"/>
      <c r="VAG160" s="72"/>
      <c r="VAH160" s="72"/>
      <c r="VAI160" s="72"/>
      <c r="VAJ160" s="72"/>
      <c r="VAK160" s="72"/>
      <c r="VAL160" s="72"/>
      <c r="VAM160" s="72"/>
      <c r="VAN160" s="72"/>
      <c r="VAO160" s="72"/>
      <c r="VAP160" s="72"/>
      <c r="VAQ160" s="72"/>
      <c r="VAR160" s="72"/>
      <c r="VAS160" s="72"/>
      <c r="VAT160" s="72"/>
      <c r="VAU160" s="72"/>
      <c r="VAV160" s="72"/>
      <c r="VAW160" s="72"/>
      <c r="VAX160" s="72"/>
      <c r="VAY160" s="72"/>
      <c r="VAZ160" s="72"/>
      <c r="VBA160" s="72"/>
      <c r="VBB160" s="72"/>
      <c r="VBC160" s="72"/>
      <c r="VBD160" s="72"/>
      <c r="VBE160" s="72"/>
      <c r="VBF160" s="72"/>
      <c r="VBG160" s="72"/>
      <c r="VBH160" s="72"/>
      <c r="VBI160" s="72"/>
      <c r="VBJ160" s="72"/>
      <c r="VBK160" s="72"/>
      <c r="VBL160" s="72"/>
      <c r="VBM160" s="72"/>
      <c r="VBN160" s="72"/>
      <c r="VBO160" s="72"/>
      <c r="VBP160" s="72"/>
      <c r="VBQ160" s="72"/>
      <c r="VBR160" s="72"/>
      <c r="VBS160" s="72"/>
      <c r="VBT160" s="72"/>
      <c r="VBU160" s="72"/>
      <c r="VBV160" s="72"/>
      <c r="VBW160" s="72"/>
      <c r="VBX160" s="72"/>
      <c r="VBY160" s="72"/>
      <c r="VBZ160" s="72"/>
      <c r="VCA160" s="72"/>
      <c r="VCB160" s="72"/>
      <c r="VCC160" s="72"/>
      <c r="VCD160" s="72"/>
      <c r="VCE160" s="72"/>
      <c r="VCF160" s="72"/>
      <c r="VCG160" s="72"/>
      <c r="VCH160" s="72"/>
      <c r="VCI160" s="72"/>
      <c r="VCJ160" s="72"/>
      <c r="VCK160" s="72"/>
      <c r="VCL160" s="72"/>
      <c r="VCM160" s="72"/>
      <c r="VCN160" s="72"/>
      <c r="VCO160" s="72"/>
      <c r="VCP160" s="72"/>
      <c r="VCQ160" s="72"/>
      <c r="VCR160" s="72"/>
      <c r="VCS160" s="72"/>
      <c r="VCT160" s="72"/>
      <c r="VCU160" s="72"/>
      <c r="VCV160" s="72"/>
      <c r="VCW160" s="72"/>
      <c r="VCX160" s="72"/>
      <c r="VCY160" s="72"/>
      <c r="VCZ160" s="72"/>
      <c r="VDA160" s="72"/>
      <c r="VDB160" s="72"/>
      <c r="VDC160" s="72"/>
      <c r="VDD160" s="72"/>
      <c r="VDE160" s="72"/>
      <c r="VDF160" s="72"/>
      <c r="VDG160" s="72"/>
      <c r="VDH160" s="72"/>
      <c r="VDI160" s="72"/>
      <c r="VDJ160" s="72"/>
      <c r="VDK160" s="72"/>
      <c r="VDL160" s="72"/>
      <c r="VDM160" s="72"/>
      <c r="VDN160" s="72"/>
      <c r="VDO160" s="72"/>
      <c r="VDP160" s="72"/>
      <c r="VDQ160" s="72"/>
      <c r="VDR160" s="72"/>
      <c r="VDS160" s="72"/>
      <c r="VDT160" s="72"/>
      <c r="VDU160" s="72"/>
      <c r="VDV160" s="72"/>
      <c r="VDW160" s="72"/>
      <c r="VDX160" s="72"/>
      <c r="VDY160" s="72"/>
      <c r="VDZ160" s="72"/>
      <c r="VEA160" s="72"/>
      <c r="VEB160" s="72"/>
      <c r="VEC160" s="72"/>
      <c r="VED160" s="72"/>
      <c r="VEE160" s="72"/>
      <c r="VEF160" s="72"/>
      <c r="VEG160" s="72"/>
      <c r="VEH160" s="72"/>
      <c r="VEI160" s="72"/>
      <c r="VEJ160" s="72"/>
      <c r="VEK160" s="72"/>
      <c r="VEL160" s="72"/>
      <c r="VEM160" s="72"/>
      <c r="VEN160" s="72"/>
      <c r="VEO160" s="72"/>
      <c r="VEP160" s="72"/>
      <c r="VEQ160" s="72"/>
      <c r="VER160" s="72"/>
      <c r="VES160" s="72"/>
      <c r="VET160" s="72"/>
      <c r="VEU160" s="72"/>
      <c r="VEV160" s="72"/>
      <c r="VEW160" s="72"/>
      <c r="VEX160" s="72"/>
      <c r="VEY160" s="72"/>
      <c r="VEZ160" s="72"/>
      <c r="VFA160" s="72"/>
      <c r="VFB160" s="72"/>
      <c r="VFC160" s="72"/>
      <c r="VFD160" s="72"/>
      <c r="VFE160" s="72"/>
      <c r="VFF160" s="72"/>
      <c r="VFG160" s="72"/>
      <c r="VFH160" s="72"/>
      <c r="VFI160" s="72"/>
      <c r="VFJ160" s="72"/>
      <c r="VFK160" s="72"/>
      <c r="VFL160" s="72"/>
      <c r="VFM160" s="72"/>
      <c r="VFN160" s="72"/>
      <c r="VFO160" s="72"/>
      <c r="VFP160" s="72"/>
      <c r="VFQ160" s="72"/>
      <c r="VFR160" s="72"/>
      <c r="VFS160" s="72"/>
      <c r="VFT160" s="72"/>
      <c r="VFU160" s="72"/>
      <c r="VFV160" s="72"/>
      <c r="VFW160" s="72"/>
      <c r="VFX160" s="72"/>
      <c r="VFY160" s="72"/>
      <c r="VFZ160" s="72"/>
      <c r="VGA160" s="72"/>
      <c r="VGB160" s="72"/>
      <c r="VGC160" s="72"/>
      <c r="VGD160" s="72"/>
      <c r="VGE160" s="72"/>
      <c r="VGF160" s="72"/>
      <c r="VGG160" s="72"/>
      <c r="VGH160" s="72"/>
      <c r="VGI160" s="72"/>
      <c r="VGJ160" s="72"/>
      <c r="VGK160" s="72"/>
      <c r="VGL160" s="72"/>
      <c r="VGM160" s="72"/>
      <c r="VGN160" s="72"/>
      <c r="VGO160" s="72"/>
      <c r="VGP160" s="72"/>
      <c r="VGQ160" s="72"/>
      <c r="VGR160" s="72"/>
      <c r="VGS160" s="72"/>
      <c r="VGT160" s="72"/>
      <c r="VGU160" s="72"/>
      <c r="VGV160" s="72"/>
      <c r="VGW160" s="72"/>
      <c r="VGX160" s="72"/>
      <c r="VGY160" s="72"/>
      <c r="VGZ160" s="72"/>
      <c r="VHA160" s="72"/>
      <c r="VHB160" s="72"/>
      <c r="VHC160" s="72"/>
      <c r="VHD160" s="72"/>
      <c r="VHE160" s="72"/>
      <c r="VHF160" s="72"/>
      <c r="VHG160" s="72"/>
      <c r="VHH160" s="72"/>
      <c r="VHI160" s="72"/>
      <c r="VHJ160" s="72"/>
      <c r="VHK160" s="72"/>
      <c r="VHL160" s="72"/>
      <c r="VHM160" s="72"/>
      <c r="VHN160" s="72"/>
      <c r="VHO160" s="72"/>
      <c r="VHP160" s="72"/>
      <c r="VHQ160" s="72"/>
      <c r="VHR160" s="72"/>
      <c r="VHS160" s="72"/>
      <c r="VHT160" s="72"/>
      <c r="VHU160" s="72"/>
      <c r="VHV160" s="72"/>
      <c r="VHW160" s="72"/>
      <c r="VHX160" s="72"/>
      <c r="VHY160" s="72"/>
      <c r="VHZ160" s="72"/>
      <c r="VIA160" s="72"/>
      <c r="VIB160" s="72"/>
      <c r="VIC160" s="72"/>
      <c r="VID160" s="72"/>
      <c r="VIE160" s="72"/>
      <c r="VIF160" s="72"/>
      <c r="VIG160" s="72"/>
      <c r="VIH160" s="72"/>
      <c r="VII160" s="72"/>
      <c r="VIJ160" s="72"/>
      <c r="VIK160" s="72"/>
      <c r="VIL160" s="72"/>
      <c r="VIM160" s="72"/>
      <c r="VIN160" s="72"/>
      <c r="VIO160" s="72"/>
      <c r="VIP160" s="72"/>
      <c r="VIQ160" s="72"/>
      <c r="VIR160" s="72"/>
      <c r="VIS160" s="72"/>
      <c r="VIT160" s="72"/>
      <c r="VIU160" s="72"/>
      <c r="VIV160" s="72"/>
      <c r="VIW160" s="72"/>
      <c r="VIX160" s="72"/>
      <c r="VIY160" s="72"/>
      <c r="VIZ160" s="72"/>
      <c r="VJA160" s="72"/>
      <c r="VJB160" s="72"/>
      <c r="VJC160" s="72"/>
      <c r="VJD160" s="72"/>
      <c r="VJE160" s="72"/>
      <c r="VJF160" s="72"/>
      <c r="VJG160" s="72"/>
      <c r="VJH160" s="72"/>
      <c r="VJI160" s="72"/>
      <c r="VJJ160" s="72"/>
      <c r="VJK160" s="72"/>
      <c r="VJL160" s="72"/>
      <c r="VJM160" s="72"/>
      <c r="VJN160" s="72"/>
      <c r="VJO160" s="72"/>
      <c r="VJP160" s="72"/>
      <c r="VJQ160" s="72"/>
      <c r="VJR160" s="72"/>
      <c r="VJS160" s="72"/>
      <c r="VJT160" s="72"/>
      <c r="VJU160" s="72"/>
      <c r="VJV160" s="72"/>
      <c r="VJW160" s="72"/>
      <c r="VJX160" s="72"/>
      <c r="VJY160" s="72"/>
      <c r="VJZ160" s="72"/>
      <c r="VKA160" s="72"/>
      <c r="VKB160" s="72"/>
      <c r="VKC160" s="72"/>
      <c r="VKD160" s="72"/>
      <c r="VKE160" s="72"/>
      <c r="VKF160" s="72"/>
      <c r="VKG160" s="72"/>
      <c r="VKH160" s="72"/>
      <c r="VKI160" s="72"/>
      <c r="VKJ160" s="72"/>
      <c r="VKK160" s="72"/>
      <c r="VKL160" s="72"/>
      <c r="VKM160" s="72"/>
      <c r="VKN160" s="72"/>
      <c r="VKO160" s="72"/>
      <c r="VKP160" s="72"/>
      <c r="VKQ160" s="72"/>
      <c r="VKR160" s="72"/>
      <c r="VKS160" s="72"/>
      <c r="VKT160" s="72"/>
      <c r="VKU160" s="72"/>
      <c r="VKV160" s="72"/>
      <c r="VKW160" s="72"/>
      <c r="VKX160" s="72"/>
      <c r="VKY160" s="72"/>
      <c r="VKZ160" s="72"/>
      <c r="VLA160" s="72"/>
      <c r="VLB160" s="72"/>
      <c r="VLC160" s="72"/>
      <c r="VLD160" s="72"/>
      <c r="VLE160" s="72"/>
      <c r="VLF160" s="72"/>
      <c r="VLG160" s="72"/>
      <c r="VLH160" s="72"/>
      <c r="VLI160" s="72"/>
      <c r="VLJ160" s="72"/>
      <c r="VLK160" s="72"/>
      <c r="VLL160" s="72"/>
      <c r="VLM160" s="72"/>
      <c r="VLN160" s="72"/>
      <c r="VLO160" s="72"/>
      <c r="VLP160" s="72"/>
      <c r="VLQ160" s="72"/>
      <c r="VLR160" s="72"/>
      <c r="VLS160" s="72"/>
      <c r="VLT160" s="72"/>
      <c r="VLU160" s="72"/>
      <c r="VLV160" s="72"/>
      <c r="VLW160" s="72"/>
      <c r="VLX160" s="72"/>
      <c r="VLY160" s="72"/>
      <c r="VLZ160" s="72"/>
      <c r="VMA160" s="72"/>
      <c r="VMB160" s="72"/>
      <c r="VMC160" s="72"/>
      <c r="VMD160" s="72"/>
      <c r="VME160" s="72"/>
      <c r="VMF160" s="72"/>
      <c r="VMG160" s="72"/>
      <c r="VMH160" s="72"/>
      <c r="VMI160" s="72"/>
      <c r="VMJ160" s="72"/>
      <c r="VMK160" s="72"/>
      <c r="VML160" s="72"/>
      <c r="VMM160" s="72"/>
      <c r="VMN160" s="72"/>
      <c r="VMO160" s="72"/>
      <c r="VMP160" s="72"/>
      <c r="VMQ160" s="72"/>
      <c r="VMR160" s="72"/>
      <c r="VMS160" s="72"/>
      <c r="VMT160" s="72"/>
      <c r="VMU160" s="72"/>
      <c r="VMV160" s="72"/>
      <c r="VMW160" s="72"/>
      <c r="VMX160" s="72"/>
      <c r="VMY160" s="72"/>
      <c r="VMZ160" s="72"/>
      <c r="VNA160" s="72"/>
      <c r="VNB160" s="72"/>
      <c r="VNC160" s="72"/>
      <c r="VND160" s="72"/>
      <c r="VNE160" s="72"/>
      <c r="VNF160" s="72"/>
      <c r="VNG160" s="72"/>
      <c r="VNH160" s="72"/>
      <c r="VNI160" s="72"/>
      <c r="VNJ160" s="72"/>
      <c r="VNK160" s="72"/>
      <c r="VNL160" s="72"/>
      <c r="VNM160" s="72"/>
      <c r="VNN160" s="72"/>
      <c r="VNO160" s="72"/>
      <c r="VNP160" s="72"/>
      <c r="VNQ160" s="72"/>
      <c r="VNR160" s="72"/>
      <c r="VNS160" s="72"/>
      <c r="VNT160" s="72"/>
      <c r="VNU160" s="72"/>
      <c r="VNV160" s="72"/>
      <c r="VNW160" s="72"/>
      <c r="VNX160" s="72"/>
      <c r="VNY160" s="72"/>
      <c r="VNZ160" s="72"/>
      <c r="VOA160" s="72"/>
      <c r="VOB160" s="72"/>
      <c r="VOC160" s="72"/>
      <c r="VOD160" s="72"/>
      <c r="VOE160" s="72"/>
      <c r="VOF160" s="72"/>
      <c r="VOG160" s="72"/>
      <c r="VOH160" s="72"/>
      <c r="VOI160" s="72"/>
      <c r="VOJ160" s="72"/>
      <c r="VOK160" s="72"/>
      <c r="VOL160" s="72"/>
      <c r="VOM160" s="72"/>
      <c r="VON160" s="72"/>
      <c r="VOO160" s="72"/>
      <c r="VOP160" s="72"/>
      <c r="VOQ160" s="72"/>
      <c r="VOR160" s="72"/>
      <c r="VOS160" s="72"/>
      <c r="VOT160" s="72"/>
      <c r="VOU160" s="72"/>
      <c r="VOV160" s="72"/>
      <c r="VOW160" s="72"/>
      <c r="VOX160" s="72"/>
      <c r="VOY160" s="72"/>
      <c r="VOZ160" s="72"/>
      <c r="VPA160" s="72"/>
      <c r="VPB160" s="72"/>
      <c r="VPC160" s="72"/>
      <c r="VPD160" s="72"/>
      <c r="VPE160" s="72"/>
      <c r="VPF160" s="72"/>
      <c r="VPG160" s="72"/>
      <c r="VPH160" s="72"/>
      <c r="VPI160" s="72"/>
      <c r="VPJ160" s="72"/>
      <c r="VPK160" s="72"/>
      <c r="VPL160" s="72"/>
      <c r="VPM160" s="72"/>
      <c r="VPN160" s="72"/>
      <c r="VPO160" s="72"/>
      <c r="VPP160" s="72"/>
      <c r="VPQ160" s="72"/>
      <c r="VPR160" s="72"/>
      <c r="VPS160" s="72"/>
      <c r="VPT160" s="72"/>
      <c r="VPU160" s="72"/>
      <c r="VPV160" s="72"/>
      <c r="VPW160" s="72"/>
      <c r="VPX160" s="72"/>
      <c r="VPY160" s="72"/>
      <c r="VPZ160" s="72"/>
      <c r="VQA160" s="72"/>
      <c r="VQB160" s="72"/>
      <c r="VQC160" s="72"/>
      <c r="VQD160" s="72"/>
      <c r="VQE160" s="72"/>
      <c r="VQF160" s="72"/>
      <c r="VQG160" s="72"/>
      <c r="VQH160" s="72"/>
      <c r="VQI160" s="72"/>
      <c r="VQJ160" s="72"/>
      <c r="VQK160" s="72"/>
      <c r="VQL160" s="72"/>
      <c r="VQM160" s="72"/>
      <c r="VQN160" s="72"/>
      <c r="VQO160" s="72"/>
      <c r="VQP160" s="72"/>
      <c r="VQQ160" s="72"/>
      <c r="VQR160" s="72"/>
      <c r="VQS160" s="72"/>
      <c r="VQT160" s="72"/>
      <c r="VQU160" s="72"/>
      <c r="VQV160" s="72"/>
      <c r="VQW160" s="72"/>
      <c r="VQX160" s="72"/>
      <c r="VQY160" s="72"/>
      <c r="VQZ160" s="72"/>
      <c r="VRA160" s="72"/>
      <c r="VRB160" s="72"/>
      <c r="VRC160" s="72"/>
      <c r="VRD160" s="72"/>
      <c r="VRE160" s="72"/>
      <c r="VRF160" s="72"/>
      <c r="VRG160" s="72"/>
      <c r="VRH160" s="72"/>
      <c r="VRI160" s="72"/>
      <c r="VRJ160" s="72"/>
      <c r="VRK160" s="72"/>
      <c r="VRL160" s="72"/>
      <c r="VRM160" s="72"/>
      <c r="VRN160" s="72"/>
      <c r="VRO160" s="72"/>
      <c r="VRP160" s="72"/>
      <c r="VRQ160" s="72"/>
      <c r="VRR160" s="72"/>
      <c r="VRS160" s="72"/>
      <c r="VRT160" s="72"/>
      <c r="VRU160" s="72"/>
      <c r="VRV160" s="72"/>
      <c r="VRW160" s="72"/>
      <c r="VRX160" s="72"/>
      <c r="VRY160" s="72"/>
      <c r="VRZ160" s="72"/>
      <c r="VSA160" s="72"/>
      <c r="VSB160" s="72"/>
      <c r="VSC160" s="72"/>
      <c r="VSD160" s="72"/>
      <c r="VSE160" s="72"/>
      <c r="VSF160" s="72"/>
      <c r="VSG160" s="72"/>
      <c r="VSH160" s="72"/>
      <c r="VSI160" s="72"/>
      <c r="VSJ160" s="72"/>
      <c r="VSK160" s="72"/>
      <c r="VSL160" s="72"/>
      <c r="VSM160" s="72"/>
      <c r="VSN160" s="72"/>
      <c r="VSO160" s="72"/>
      <c r="VSP160" s="72"/>
      <c r="VSQ160" s="72"/>
      <c r="VSR160" s="72"/>
      <c r="VSS160" s="72"/>
      <c r="VST160" s="72"/>
      <c r="VSU160" s="72"/>
      <c r="VSV160" s="72"/>
      <c r="VSW160" s="72"/>
      <c r="VSX160" s="72"/>
      <c r="VSY160" s="72"/>
      <c r="VSZ160" s="72"/>
      <c r="VTA160" s="72"/>
      <c r="VTB160" s="72"/>
      <c r="VTC160" s="72"/>
      <c r="VTD160" s="72"/>
      <c r="VTE160" s="72"/>
      <c r="VTF160" s="72"/>
      <c r="VTG160" s="72"/>
      <c r="VTH160" s="72"/>
      <c r="VTI160" s="72"/>
      <c r="VTJ160" s="72"/>
      <c r="VTK160" s="72"/>
      <c r="VTL160" s="72"/>
      <c r="VTM160" s="72"/>
      <c r="VTN160" s="72"/>
      <c r="VTO160" s="72"/>
      <c r="VTP160" s="72"/>
      <c r="VTQ160" s="72"/>
      <c r="VTR160" s="72"/>
      <c r="VTS160" s="72"/>
      <c r="VTT160" s="72"/>
      <c r="VTU160" s="72"/>
      <c r="VTV160" s="72"/>
      <c r="VTW160" s="72"/>
      <c r="VTX160" s="72"/>
      <c r="VTY160" s="72"/>
      <c r="VTZ160" s="72"/>
      <c r="VUA160" s="72"/>
      <c r="VUB160" s="72"/>
      <c r="VUC160" s="72"/>
      <c r="VUD160" s="72"/>
      <c r="VUE160" s="72"/>
      <c r="VUF160" s="72"/>
      <c r="VUG160" s="72"/>
      <c r="VUH160" s="72"/>
      <c r="VUI160" s="72"/>
      <c r="VUJ160" s="72"/>
      <c r="VUK160" s="72"/>
      <c r="VUL160" s="72"/>
      <c r="VUM160" s="72"/>
      <c r="VUN160" s="72"/>
      <c r="VUO160" s="72"/>
      <c r="VUP160" s="72"/>
      <c r="VUQ160" s="72"/>
      <c r="VUR160" s="72"/>
      <c r="VUS160" s="72"/>
      <c r="VUT160" s="72"/>
      <c r="VUU160" s="72"/>
      <c r="VUV160" s="72"/>
      <c r="VUW160" s="72"/>
      <c r="VUX160" s="72"/>
      <c r="VUY160" s="72"/>
      <c r="VUZ160" s="72"/>
      <c r="VVA160" s="72"/>
      <c r="VVB160" s="72"/>
      <c r="VVC160" s="72"/>
      <c r="VVD160" s="72"/>
      <c r="VVE160" s="72"/>
      <c r="VVF160" s="72"/>
      <c r="VVG160" s="72"/>
      <c r="VVH160" s="72"/>
      <c r="VVI160" s="72"/>
      <c r="VVJ160" s="72"/>
      <c r="VVK160" s="72"/>
      <c r="VVL160" s="72"/>
      <c r="VVM160" s="72"/>
      <c r="VVN160" s="72"/>
      <c r="VVO160" s="72"/>
      <c r="VVP160" s="72"/>
      <c r="VVQ160" s="72"/>
      <c r="VVR160" s="72"/>
      <c r="VVS160" s="72"/>
      <c r="VVT160" s="72"/>
      <c r="VVU160" s="72"/>
      <c r="VVV160" s="72"/>
      <c r="VVW160" s="72"/>
      <c r="VVX160" s="72"/>
      <c r="VVY160" s="72"/>
      <c r="VVZ160" s="72"/>
      <c r="VWA160" s="72"/>
      <c r="VWB160" s="72"/>
      <c r="VWC160" s="72"/>
      <c r="VWD160" s="72"/>
      <c r="VWE160" s="72"/>
      <c r="VWF160" s="72"/>
      <c r="VWG160" s="72"/>
      <c r="VWH160" s="72"/>
      <c r="VWI160" s="72"/>
      <c r="VWJ160" s="72"/>
      <c r="VWK160" s="72"/>
      <c r="VWL160" s="72"/>
      <c r="VWM160" s="72"/>
      <c r="VWN160" s="72"/>
      <c r="VWO160" s="72"/>
      <c r="VWP160" s="72"/>
      <c r="VWQ160" s="72"/>
      <c r="VWR160" s="72"/>
      <c r="VWS160" s="72"/>
      <c r="VWT160" s="72"/>
      <c r="VWU160" s="72"/>
      <c r="VWV160" s="72"/>
      <c r="VWW160" s="72"/>
      <c r="VWX160" s="72"/>
      <c r="VWY160" s="72"/>
      <c r="VWZ160" s="72"/>
      <c r="VXA160" s="72"/>
      <c r="VXB160" s="72"/>
      <c r="VXC160" s="72"/>
      <c r="VXD160" s="72"/>
      <c r="VXE160" s="72"/>
      <c r="VXF160" s="72"/>
      <c r="VXG160" s="72"/>
      <c r="VXH160" s="72"/>
      <c r="VXI160" s="72"/>
      <c r="VXJ160" s="72"/>
      <c r="VXK160" s="72"/>
      <c r="VXL160" s="72"/>
      <c r="VXM160" s="72"/>
      <c r="VXN160" s="72"/>
      <c r="VXO160" s="72"/>
      <c r="VXP160" s="72"/>
      <c r="VXQ160" s="72"/>
      <c r="VXR160" s="72"/>
      <c r="VXS160" s="72"/>
      <c r="VXT160" s="72"/>
      <c r="VXU160" s="72"/>
      <c r="VXV160" s="72"/>
      <c r="VXW160" s="72"/>
      <c r="VXX160" s="72"/>
      <c r="VXY160" s="72"/>
      <c r="VXZ160" s="72"/>
      <c r="VYA160" s="72"/>
      <c r="VYB160" s="72"/>
      <c r="VYC160" s="72"/>
      <c r="VYD160" s="72"/>
      <c r="VYE160" s="72"/>
      <c r="VYF160" s="72"/>
      <c r="VYG160" s="72"/>
      <c r="VYH160" s="72"/>
      <c r="VYI160" s="72"/>
      <c r="VYJ160" s="72"/>
      <c r="VYK160" s="72"/>
      <c r="VYL160" s="72"/>
      <c r="VYM160" s="72"/>
      <c r="VYN160" s="72"/>
      <c r="VYO160" s="72"/>
      <c r="VYP160" s="72"/>
      <c r="VYQ160" s="72"/>
      <c r="VYR160" s="72"/>
      <c r="VYS160" s="72"/>
      <c r="VYT160" s="72"/>
      <c r="VYU160" s="72"/>
      <c r="VYV160" s="72"/>
      <c r="VYW160" s="72"/>
      <c r="VYX160" s="72"/>
      <c r="VYY160" s="72"/>
      <c r="VYZ160" s="72"/>
      <c r="VZA160" s="72"/>
      <c r="VZB160" s="72"/>
      <c r="VZC160" s="72"/>
      <c r="VZD160" s="72"/>
      <c r="VZE160" s="72"/>
      <c r="VZF160" s="72"/>
      <c r="VZG160" s="72"/>
      <c r="VZH160" s="72"/>
      <c r="VZI160" s="72"/>
      <c r="VZJ160" s="72"/>
      <c r="VZK160" s="72"/>
      <c r="VZL160" s="72"/>
      <c r="VZM160" s="72"/>
      <c r="VZN160" s="72"/>
      <c r="VZO160" s="72"/>
      <c r="VZP160" s="72"/>
      <c r="VZQ160" s="72"/>
      <c r="VZR160" s="72"/>
      <c r="VZS160" s="72"/>
      <c r="VZT160" s="72"/>
      <c r="VZU160" s="72"/>
      <c r="VZV160" s="72"/>
      <c r="VZW160" s="72"/>
      <c r="VZX160" s="72"/>
      <c r="VZY160" s="72"/>
      <c r="VZZ160" s="72"/>
      <c r="WAA160" s="72"/>
      <c r="WAB160" s="72"/>
      <c r="WAC160" s="72"/>
      <c r="WAD160" s="72"/>
      <c r="WAE160" s="72"/>
      <c r="WAF160" s="72"/>
      <c r="WAG160" s="72"/>
      <c r="WAH160" s="72"/>
      <c r="WAI160" s="72"/>
      <c r="WAJ160" s="72"/>
      <c r="WAK160" s="72"/>
      <c r="WAL160" s="72"/>
      <c r="WAM160" s="72"/>
      <c r="WAN160" s="72"/>
      <c r="WAO160" s="72"/>
      <c r="WAP160" s="72"/>
      <c r="WAQ160" s="72"/>
      <c r="WAR160" s="72"/>
      <c r="WAS160" s="72"/>
      <c r="WAT160" s="72"/>
      <c r="WAU160" s="72"/>
      <c r="WAV160" s="72"/>
      <c r="WAW160" s="72"/>
      <c r="WAX160" s="72"/>
      <c r="WAY160" s="72"/>
      <c r="WAZ160" s="72"/>
      <c r="WBA160" s="72"/>
      <c r="WBB160" s="72"/>
      <c r="WBC160" s="72"/>
      <c r="WBD160" s="72"/>
      <c r="WBE160" s="72"/>
      <c r="WBF160" s="72"/>
      <c r="WBG160" s="72"/>
      <c r="WBH160" s="72"/>
      <c r="WBI160" s="72"/>
      <c r="WBJ160" s="72"/>
      <c r="WBK160" s="72"/>
      <c r="WBL160" s="72"/>
      <c r="WBM160" s="72"/>
      <c r="WBN160" s="72"/>
      <c r="WBO160" s="72"/>
      <c r="WBP160" s="72"/>
      <c r="WBQ160" s="72"/>
      <c r="WBR160" s="72"/>
      <c r="WBS160" s="72"/>
      <c r="WBT160" s="72"/>
      <c r="WBU160" s="72"/>
      <c r="WBV160" s="72"/>
      <c r="WBW160" s="72"/>
      <c r="WBX160" s="72"/>
      <c r="WBY160" s="72"/>
      <c r="WBZ160" s="72"/>
      <c r="WCA160" s="72"/>
      <c r="WCB160" s="72"/>
      <c r="WCC160" s="72"/>
      <c r="WCD160" s="72"/>
      <c r="WCE160" s="72"/>
      <c r="WCF160" s="72"/>
      <c r="WCG160" s="72"/>
      <c r="WCH160" s="72"/>
      <c r="WCI160" s="72"/>
      <c r="WCJ160" s="72"/>
      <c r="WCK160" s="72"/>
      <c r="WCL160" s="72"/>
      <c r="WCM160" s="72"/>
      <c r="WCN160" s="72"/>
      <c r="WCO160" s="72"/>
      <c r="WCP160" s="72"/>
      <c r="WCQ160" s="72"/>
      <c r="WCR160" s="72"/>
      <c r="WCS160" s="72"/>
      <c r="WCT160" s="72"/>
      <c r="WCU160" s="72"/>
      <c r="WCV160" s="72"/>
      <c r="WCW160" s="72"/>
      <c r="WCX160" s="72"/>
      <c r="WCY160" s="72"/>
      <c r="WCZ160" s="72"/>
      <c r="WDA160" s="72"/>
      <c r="WDB160" s="72"/>
      <c r="WDC160" s="72"/>
      <c r="WDD160" s="72"/>
      <c r="WDE160" s="72"/>
      <c r="WDF160" s="72"/>
      <c r="WDG160" s="72"/>
      <c r="WDH160" s="72"/>
      <c r="WDI160" s="72"/>
      <c r="WDJ160" s="72"/>
      <c r="WDK160" s="72"/>
      <c r="WDL160" s="72"/>
      <c r="WDM160" s="72"/>
      <c r="WDN160" s="72"/>
      <c r="WDO160" s="72"/>
      <c r="WDP160" s="72"/>
      <c r="WDQ160" s="72"/>
      <c r="WDR160" s="72"/>
      <c r="WDS160" s="72"/>
      <c r="WDT160" s="72"/>
      <c r="WDU160" s="72"/>
      <c r="WDV160" s="72"/>
      <c r="WDW160" s="72"/>
      <c r="WDX160" s="72"/>
      <c r="WDY160" s="72"/>
      <c r="WDZ160" s="72"/>
      <c r="WEA160" s="72"/>
      <c r="WEB160" s="72"/>
      <c r="WEC160" s="72"/>
      <c r="WED160" s="72"/>
      <c r="WEE160" s="72"/>
      <c r="WEF160" s="72"/>
      <c r="WEG160" s="72"/>
      <c r="WEH160" s="72"/>
      <c r="WEI160" s="72"/>
      <c r="WEJ160" s="72"/>
      <c r="WEK160" s="72"/>
      <c r="WEL160" s="72"/>
      <c r="WEM160" s="72"/>
      <c r="WEN160" s="72"/>
      <c r="WEO160" s="72"/>
      <c r="WEP160" s="72"/>
      <c r="WEQ160" s="72"/>
      <c r="WER160" s="72"/>
      <c r="WES160" s="72"/>
      <c r="WET160" s="72"/>
      <c r="WEU160" s="72"/>
      <c r="WEV160" s="72"/>
      <c r="WEW160" s="72"/>
      <c r="WEX160" s="72"/>
      <c r="WEY160" s="72"/>
      <c r="WEZ160" s="72"/>
      <c r="WFA160" s="72"/>
      <c r="WFB160" s="72"/>
      <c r="WFC160" s="72"/>
      <c r="WFD160" s="72"/>
      <c r="WFE160" s="72"/>
      <c r="WFF160" s="72"/>
      <c r="WFG160" s="72"/>
      <c r="WFH160" s="72"/>
      <c r="WFI160" s="72"/>
      <c r="WFJ160" s="72"/>
      <c r="WFK160" s="72"/>
      <c r="WFL160" s="72"/>
      <c r="WFM160" s="72"/>
      <c r="WFN160" s="72"/>
      <c r="WFO160" s="72"/>
      <c r="WFP160" s="72"/>
      <c r="WFQ160" s="72"/>
      <c r="WFR160" s="72"/>
      <c r="WFS160" s="72"/>
      <c r="WFT160" s="72"/>
      <c r="WFU160" s="72"/>
      <c r="WFV160" s="72"/>
      <c r="WFW160" s="72"/>
      <c r="WFX160" s="72"/>
      <c r="WFY160" s="72"/>
      <c r="WFZ160" s="72"/>
      <c r="WGA160" s="72"/>
      <c r="WGB160" s="72"/>
      <c r="WGC160" s="72"/>
      <c r="WGD160" s="72"/>
      <c r="WGE160" s="72"/>
      <c r="WGF160" s="72"/>
      <c r="WGG160" s="72"/>
      <c r="WGH160" s="72"/>
      <c r="WGI160" s="72"/>
      <c r="WGJ160" s="72"/>
      <c r="WGK160" s="72"/>
      <c r="WGL160" s="72"/>
      <c r="WGM160" s="72"/>
      <c r="WGN160" s="72"/>
      <c r="WGO160" s="72"/>
      <c r="WGP160" s="72"/>
      <c r="WGQ160" s="72"/>
      <c r="WGR160" s="72"/>
      <c r="WGS160" s="72"/>
      <c r="WGT160" s="72"/>
      <c r="WGU160" s="72"/>
      <c r="WGV160" s="72"/>
      <c r="WGW160" s="72"/>
      <c r="WGX160" s="72"/>
      <c r="WGY160" s="72"/>
      <c r="WGZ160" s="72"/>
      <c r="WHA160" s="72"/>
      <c r="WHB160" s="72"/>
      <c r="WHC160" s="72"/>
      <c r="WHD160" s="72"/>
      <c r="WHE160" s="72"/>
      <c r="WHF160" s="72"/>
      <c r="WHG160" s="72"/>
      <c r="WHH160" s="72"/>
      <c r="WHI160" s="72"/>
      <c r="WHJ160" s="72"/>
      <c r="WHK160" s="72"/>
      <c r="WHL160" s="72"/>
      <c r="WHM160" s="72"/>
      <c r="WHN160" s="72"/>
      <c r="WHO160" s="72"/>
      <c r="WHP160" s="72"/>
      <c r="WHQ160" s="72"/>
      <c r="WHR160" s="72"/>
      <c r="WHS160" s="72"/>
      <c r="WHT160" s="72"/>
      <c r="WHU160" s="72"/>
      <c r="WHV160" s="72"/>
      <c r="WHW160" s="72"/>
      <c r="WHX160" s="72"/>
      <c r="WHY160" s="72"/>
      <c r="WHZ160" s="72"/>
      <c r="WIA160" s="72"/>
      <c r="WIB160" s="72"/>
      <c r="WIC160" s="72"/>
      <c r="WID160" s="72"/>
      <c r="WIE160" s="72"/>
      <c r="WIF160" s="72"/>
      <c r="WIG160" s="72"/>
      <c r="WIH160" s="72"/>
      <c r="WII160" s="72"/>
      <c r="WIJ160" s="72"/>
      <c r="WIK160" s="72"/>
      <c r="WIL160" s="72"/>
      <c r="WIM160" s="72"/>
      <c r="WIN160" s="72"/>
      <c r="WIO160" s="72"/>
      <c r="WIP160" s="72"/>
      <c r="WIQ160" s="72"/>
      <c r="WIR160" s="72"/>
      <c r="WIS160" s="72"/>
      <c r="WIT160" s="72"/>
      <c r="WIU160" s="72"/>
      <c r="WIV160" s="72"/>
      <c r="WIW160" s="72"/>
      <c r="WIX160" s="72"/>
      <c r="WIY160" s="72"/>
      <c r="WIZ160" s="72"/>
      <c r="WJA160" s="72"/>
      <c r="WJB160" s="72"/>
      <c r="WJC160" s="72"/>
      <c r="WJD160" s="72"/>
      <c r="WJE160" s="72"/>
      <c r="WJF160" s="72"/>
      <c r="WJG160" s="72"/>
      <c r="WJH160" s="72"/>
      <c r="WJI160" s="72"/>
      <c r="WJJ160" s="72"/>
      <c r="WJK160" s="72"/>
      <c r="WJL160" s="72"/>
      <c r="WJM160" s="72"/>
      <c r="WJN160" s="72"/>
      <c r="WJO160" s="72"/>
      <c r="WJP160" s="72"/>
      <c r="WJQ160" s="72"/>
      <c r="WJR160" s="72"/>
      <c r="WJS160" s="72"/>
      <c r="WJT160" s="72"/>
      <c r="WJU160" s="72"/>
      <c r="WJV160" s="72"/>
      <c r="WJW160" s="72"/>
      <c r="WJX160" s="72"/>
      <c r="WJY160" s="72"/>
      <c r="WJZ160" s="72"/>
      <c r="WKA160" s="72"/>
      <c r="WKB160" s="72"/>
      <c r="WKC160" s="72"/>
      <c r="WKD160" s="72"/>
      <c r="WKE160" s="72"/>
      <c r="WKF160" s="72"/>
      <c r="WKG160" s="72"/>
      <c r="WKH160" s="72"/>
      <c r="WKI160" s="72"/>
      <c r="WKJ160" s="72"/>
      <c r="WKK160" s="72"/>
      <c r="WKL160" s="72"/>
      <c r="WKM160" s="72"/>
      <c r="WKN160" s="72"/>
      <c r="WKO160" s="72"/>
      <c r="WKP160" s="72"/>
      <c r="WKQ160" s="72"/>
      <c r="WKR160" s="72"/>
      <c r="WKS160" s="72"/>
      <c r="WKT160" s="72"/>
      <c r="WKU160" s="72"/>
      <c r="WKV160" s="72"/>
      <c r="WKW160" s="72"/>
      <c r="WKX160" s="72"/>
      <c r="WKY160" s="72"/>
      <c r="WKZ160" s="72"/>
      <c r="WLA160" s="72"/>
      <c r="WLB160" s="72"/>
      <c r="WLC160" s="72"/>
      <c r="WLD160" s="72"/>
      <c r="WLE160" s="72"/>
      <c r="WLF160" s="72"/>
      <c r="WLG160" s="72"/>
      <c r="WLH160" s="72"/>
      <c r="WLI160" s="72"/>
      <c r="WLJ160" s="72"/>
      <c r="WLK160" s="72"/>
      <c r="WLL160" s="72"/>
      <c r="WLM160" s="72"/>
      <c r="WLN160" s="72"/>
      <c r="WLO160" s="72"/>
      <c r="WLP160" s="72"/>
      <c r="WLQ160" s="72"/>
      <c r="WLR160" s="72"/>
      <c r="WLS160" s="72"/>
      <c r="WLT160" s="72"/>
      <c r="WLU160" s="72"/>
      <c r="WLV160" s="72"/>
      <c r="WLW160" s="72"/>
      <c r="WLX160" s="72"/>
      <c r="WLY160" s="72"/>
      <c r="WLZ160" s="72"/>
      <c r="WMA160" s="72"/>
      <c r="WMB160" s="72"/>
      <c r="WMC160" s="72"/>
      <c r="WMD160" s="72"/>
      <c r="WME160" s="72"/>
      <c r="WMF160" s="72"/>
      <c r="WMG160" s="72"/>
      <c r="WMH160" s="72"/>
      <c r="WMI160" s="72"/>
      <c r="WMJ160" s="72"/>
      <c r="WMK160" s="72"/>
      <c r="WML160" s="72"/>
      <c r="WMM160" s="72"/>
      <c r="WMN160" s="72"/>
      <c r="WMO160" s="72"/>
      <c r="WMP160" s="72"/>
      <c r="WMQ160" s="72"/>
      <c r="WMR160" s="72"/>
      <c r="WMS160" s="72"/>
      <c r="WMT160" s="72"/>
      <c r="WMU160" s="72"/>
      <c r="WMV160" s="72"/>
      <c r="WMW160" s="72"/>
      <c r="WMX160" s="72"/>
      <c r="WMY160" s="72"/>
      <c r="WMZ160" s="72"/>
      <c r="WNA160" s="72"/>
      <c r="WNB160" s="72"/>
      <c r="WNC160" s="72"/>
      <c r="WND160" s="72"/>
      <c r="WNE160" s="72"/>
      <c r="WNF160" s="72"/>
      <c r="WNG160" s="72"/>
      <c r="WNH160" s="72"/>
      <c r="WNI160" s="72"/>
      <c r="WNJ160" s="72"/>
      <c r="WNK160" s="72"/>
      <c r="WNL160" s="72"/>
      <c r="WNM160" s="72"/>
      <c r="WNN160" s="72"/>
      <c r="WNO160" s="72"/>
      <c r="WNP160" s="72"/>
      <c r="WNQ160" s="72"/>
      <c r="WNR160" s="72"/>
      <c r="WNS160" s="72"/>
      <c r="WNT160" s="72"/>
      <c r="WNU160" s="72"/>
      <c r="WNV160" s="72"/>
      <c r="WNW160" s="72"/>
      <c r="WNX160" s="72"/>
      <c r="WNY160" s="72"/>
      <c r="WNZ160" s="72"/>
      <c r="WOA160" s="72"/>
      <c r="WOB160" s="72"/>
      <c r="WOC160" s="72"/>
      <c r="WOD160" s="72"/>
      <c r="WOE160" s="72"/>
      <c r="WOF160" s="72"/>
      <c r="WOG160" s="72"/>
      <c r="WOH160" s="72"/>
      <c r="WOI160" s="72"/>
      <c r="WOJ160" s="72"/>
      <c r="WOK160" s="72"/>
      <c r="WOL160" s="72"/>
      <c r="WOM160" s="72"/>
      <c r="WON160" s="72"/>
      <c r="WOO160" s="72"/>
      <c r="WOP160" s="72"/>
      <c r="WOQ160" s="72"/>
      <c r="WOR160" s="72"/>
      <c r="WOS160" s="72"/>
      <c r="WOT160" s="72"/>
      <c r="WOU160" s="72"/>
      <c r="WOV160" s="72"/>
      <c r="WOW160" s="72"/>
      <c r="WOX160" s="72"/>
      <c r="WOY160" s="72"/>
      <c r="WOZ160" s="72"/>
      <c r="WPA160" s="72"/>
      <c r="WPB160" s="72"/>
      <c r="WPC160" s="72"/>
      <c r="WPD160" s="72"/>
      <c r="WPE160" s="72"/>
      <c r="WPF160" s="72"/>
      <c r="WPG160" s="72"/>
      <c r="WPH160" s="72"/>
      <c r="WPI160" s="72"/>
      <c r="WPJ160" s="72"/>
      <c r="WPK160" s="72"/>
      <c r="WPL160" s="72"/>
      <c r="WPM160" s="72"/>
      <c r="WPN160" s="72"/>
      <c r="WPO160" s="72"/>
      <c r="WPP160" s="72"/>
      <c r="WPQ160" s="72"/>
      <c r="WPR160" s="72"/>
      <c r="WPS160" s="72"/>
      <c r="WPT160" s="72"/>
      <c r="WPU160" s="72"/>
      <c r="WPV160" s="72"/>
      <c r="WPW160" s="72"/>
      <c r="WPX160" s="72"/>
      <c r="WPY160" s="72"/>
      <c r="WPZ160" s="72"/>
      <c r="WQA160" s="72"/>
      <c r="WQB160" s="72"/>
      <c r="WQC160" s="72"/>
      <c r="WQD160" s="72"/>
      <c r="WQE160" s="72"/>
      <c r="WQF160" s="72"/>
      <c r="WQG160" s="72"/>
      <c r="WQH160" s="72"/>
      <c r="WQI160" s="72"/>
      <c r="WQJ160" s="72"/>
      <c r="WQK160" s="72"/>
      <c r="WQL160" s="72"/>
      <c r="WQM160" s="72"/>
      <c r="WQN160" s="72"/>
      <c r="WQO160" s="72"/>
      <c r="WQP160" s="72"/>
      <c r="WQQ160" s="72"/>
      <c r="WQR160" s="72"/>
      <c r="WQS160" s="72"/>
      <c r="WQT160" s="72"/>
      <c r="WQU160" s="72"/>
      <c r="WQV160" s="72"/>
      <c r="WQW160" s="72"/>
      <c r="WQX160" s="72"/>
      <c r="WQY160" s="72"/>
      <c r="WQZ160" s="72"/>
      <c r="WRA160" s="72"/>
      <c r="WRB160" s="72"/>
      <c r="WRC160" s="72"/>
      <c r="WRD160" s="72"/>
      <c r="WRE160" s="72"/>
      <c r="WRF160" s="72"/>
      <c r="WRG160" s="72"/>
      <c r="WRH160" s="72"/>
      <c r="WRI160" s="72"/>
      <c r="WRJ160" s="72"/>
      <c r="WRK160" s="72"/>
      <c r="WRL160" s="72"/>
      <c r="WRM160" s="72"/>
      <c r="WRN160" s="72"/>
      <c r="WRO160" s="72"/>
      <c r="WRP160" s="72"/>
      <c r="WRQ160" s="72"/>
      <c r="WRR160" s="72"/>
      <c r="WRS160" s="72"/>
      <c r="WRT160" s="72"/>
      <c r="WRU160" s="72"/>
      <c r="WRV160" s="72"/>
      <c r="WRW160" s="72"/>
      <c r="WRX160" s="72"/>
      <c r="WRY160" s="72"/>
      <c r="WRZ160" s="72"/>
      <c r="WSA160" s="72"/>
      <c r="WSB160" s="72"/>
      <c r="WSC160" s="72"/>
      <c r="WSD160" s="72"/>
      <c r="WSE160" s="72"/>
      <c r="WSF160" s="72"/>
      <c r="WSG160" s="72"/>
      <c r="WSH160" s="72"/>
      <c r="WSI160" s="72"/>
      <c r="WSJ160" s="72"/>
      <c r="WSK160" s="72"/>
      <c r="WSL160" s="72"/>
      <c r="WSM160" s="72"/>
      <c r="WSN160" s="72"/>
      <c r="WSO160" s="72"/>
      <c r="WSP160" s="72"/>
      <c r="WSQ160" s="72"/>
      <c r="WSR160" s="72"/>
      <c r="WSS160" s="72"/>
      <c r="WST160" s="72"/>
      <c r="WSU160" s="72"/>
      <c r="WSV160" s="72"/>
      <c r="WSW160" s="72"/>
      <c r="WSX160" s="72"/>
      <c r="WSY160" s="72"/>
      <c r="WSZ160" s="72"/>
      <c r="WTA160" s="72"/>
      <c r="WTB160" s="72"/>
      <c r="WTC160" s="72"/>
      <c r="WTD160" s="72"/>
      <c r="WTE160" s="72"/>
      <c r="WTF160" s="72"/>
      <c r="WTG160" s="72"/>
      <c r="WTH160" s="72"/>
      <c r="WTI160" s="72"/>
      <c r="WTJ160" s="72"/>
      <c r="WTK160" s="72"/>
      <c r="WTL160" s="72"/>
      <c r="WTM160" s="72"/>
      <c r="WTN160" s="72"/>
      <c r="WTO160" s="72"/>
      <c r="WTP160" s="72"/>
      <c r="WTQ160" s="72"/>
      <c r="WTR160" s="72"/>
      <c r="WTS160" s="72"/>
      <c r="WTT160" s="72"/>
      <c r="WTU160" s="72"/>
      <c r="WTV160" s="72"/>
      <c r="WTW160" s="72"/>
      <c r="WTX160" s="72"/>
      <c r="WTY160" s="72"/>
      <c r="WTZ160" s="72"/>
      <c r="WUA160" s="72"/>
      <c r="WUB160" s="72"/>
      <c r="WUC160" s="72"/>
      <c r="WUD160" s="72"/>
      <c r="WUE160" s="72"/>
      <c r="WUF160" s="72"/>
      <c r="WUG160" s="72"/>
      <c r="WUH160" s="72"/>
      <c r="WUI160" s="72"/>
      <c r="WUJ160" s="72"/>
      <c r="WUK160" s="72"/>
      <c r="WUL160" s="72"/>
      <c r="WUM160" s="72"/>
      <c r="WUN160" s="72"/>
      <c r="WUO160" s="72"/>
      <c r="WUP160" s="72"/>
      <c r="WUQ160" s="72"/>
      <c r="WUR160" s="72"/>
      <c r="WUS160" s="72"/>
      <c r="WUT160" s="72"/>
      <c r="WUU160" s="72"/>
      <c r="WUV160" s="72"/>
      <c r="WUW160" s="72"/>
      <c r="WUX160" s="72"/>
      <c r="WUY160" s="72"/>
      <c r="WUZ160" s="72"/>
      <c r="WVA160" s="72"/>
      <c r="WVB160" s="72"/>
      <c r="WVC160" s="72"/>
      <c r="WVD160" s="72"/>
      <c r="WVE160" s="72"/>
      <c r="WVF160" s="72"/>
      <c r="WVG160" s="72"/>
      <c r="WVH160" s="72"/>
      <c r="WVI160" s="72"/>
      <c r="WVJ160" s="72"/>
      <c r="WVK160" s="72"/>
      <c r="WVL160" s="72"/>
      <c r="WVM160" s="72"/>
      <c r="WVN160" s="72"/>
      <c r="WVO160" s="72"/>
      <c r="WVP160" s="72"/>
      <c r="WVQ160" s="72"/>
      <c r="WVR160" s="72"/>
      <c r="WVS160" s="72"/>
    </row>
    <row r="161" spans="1:16139" ht="156" customHeight="1" x14ac:dyDescent="0.25">
      <c r="A161" s="86">
        <v>137</v>
      </c>
      <c r="B161" s="87" t="s">
        <v>188</v>
      </c>
      <c r="C161" s="51" t="s">
        <v>42</v>
      </c>
      <c r="D161" s="45" t="s">
        <v>45</v>
      </c>
      <c r="E161" s="45"/>
      <c r="F161" s="45">
        <v>2000</v>
      </c>
      <c r="G161" s="45">
        <v>2300</v>
      </c>
      <c r="H161" s="46">
        <f t="shared" si="50"/>
        <v>4.5999999999999996</v>
      </c>
      <c r="I161" s="45">
        <v>1</v>
      </c>
      <c r="J161" s="53">
        <v>2256000</v>
      </c>
      <c r="K161" s="47"/>
      <c r="L161" s="48">
        <f t="shared" ref="L161" si="51">IF(H161&lt;&gt;0,J161*H161*I161+K161*I161,IF(J161&lt;&gt;0,G161*I161*J161,I161*K161))</f>
        <v>10377600</v>
      </c>
      <c r="M161" s="28"/>
      <c r="N161" s="28"/>
      <c r="O161" s="28"/>
      <c r="P161" s="28"/>
      <c r="Q161" s="28"/>
      <c r="R161" s="28"/>
      <c r="S161" s="28"/>
      <c r="T161" s="28"/>
      <c r="U161" s="28"/>
      <c r="V161" s="28"/>
      <c r="W161" s="28"/>
      <c r="X161" s="28"/>
      <c r="Y161" s="28"/>
      <c r="Z161" s="28"/>
      <c r="AA161" s="28"/>
      <c r="AB161" s="28"/>
      <c r="AC161" s="28"/>
      <c r="AD161" s="28"/>
      <c r="AE161" s="28"/>
      <c r="AF161" s="28"/>
      <c r="AG161" s="28"/>
      <c r="AH161" s="28"/>
    </row>
    <row r="162" spans="1:16139" s="8" customFormat="1" ht="31.5" customHeight="1" x14ac:dyDescent="0.25">
      <c r="A162" s="132" t="s">
        <v>189</v>
      </c>
      <c r="B162" s="133"/>
      <c r="C162" s="133"/>
      <c r="D162" s="133"/>
      <c r="E162" s="134"/>
      <c r="F162" s="64"/>
      <c r="G162" s="64"/>
      <c r="H162" s="65"/>
      <c r="I162" s="45"/>
      <c r="J162" s="53"/>
      <c r="K162" s="47"/>
      <c r="L162" s="67"/>
    </row>
    <row r="163" spans="1:16139" s="3" customFormat="1" ht="159" customHeight="1" x14ac:dyDescent="0.25">
      <c r="A163" s="86">
        <v>138</v>
      </c>
      <c r="B163" s="86" t="s">
        <v>190</v>
      </c>
      <c r="C163" s="51" t="s">
        <v>40</v>
      </c>
      <c r="D163" s="45" t="s">
        <v>39</v>
      </c>
      <c r="E163" s="45" t="s">
        <v>38</v>
      </c>
      <c r="F163" s="45">
        <v>897</v>
      </c>
      <c r="G163" s="45">
        <v>1995</v>
      </c>
      <c r="H163" s="46">
        <f t="shared" ref="H163:H164" si="52">F163*G163/10^6</f>
        <v>1.789515</v>
      </c>
      <c r="I163" s="45">
        <v>1</v>
      </c>
      <c r="J163" s="53">
        <v>3445000</v>
      </c>
      <c r="K163" s="47">
        <v>1819000</v>
      </c>
      <c r="L163" s="48">
        <f t="shared" ref="L163:L164" si="53">IF(H163&lt;&gt;0,J163*H163*I163+K163*I163,IF(J163&lt;&gt;0,G163*I163*J163,I163*K163))</f>
        <v>7983879.1749999998</v>
      </c>
      <c r="M163" s="28"/>
      <c r="N163" s="28"/>
      <c r="O163" s="28"/>
      <c r="P163" s="28"/>
      <c r="Q163" s="28"/>
      <c r="R163" s="28"/>
      <c r="S163" s="28"/>
      <c r="T163" s="28"/>
      <c r="U163" s="28"/>
      <c r="V163" s="28"/>
      <c r="W163" s="28"/>
      <c r="X163" s="28"/>
      <c r="Y163" s="28"/>
      <c r="Z163" s="28"/>
      <c r="AA163" s="28"/>
      <c r="AB163" s="28"/>
      <c r="AC163" s="28"/>
      <c r="AD163" s="28"/>
      <c r="AE163" s="28"/>
      <c r="AF163" s="28"/>
    </row>
    <row r="164" spans="1:16139" s="3" customFormat="1" ht="159" customHeight="1" x14ac:dyDescent="0.25">
      <c r="A164" s="86">
        <v>139</v>
      </c>
      <c r="B164" s="86" t="s">
        <v>191</v>
      </c>
      <c r="C164" s="51" t="s">
        <v>40</v>
      </c>
      <c r="D164" s="45" t="s">
        <v>39</v>
      </c>
      <c r="E164" s="45" t="s">
        <v>38</v>
      </c>
      <c r="F164" s="45">
        <v>897</v>
      </c>
      <c r="G164" s="45">
        <v>1995</v>
      </c>
      <c r="H164" s="46">
        <f t="shared" si="52"/>
        <v>1.789515</v>
      </c>
      <c r="I164" s="45">
        <v>1</v>
      </c>
      <c r="J164" s="53">
        <v>3445000</v>
      </c>
      <c r="K164" s="47">
        <v>1819000</v>
      </c>
      <c r="L164" s="48">
        <f t="shared" si="53"/>
        <v>7983879.1749999998</v>
      </c>
      <c r="M164" s="28"/>
      <c r="N164" s="28"/>
      <c r="O164" s="28"/>
      <c r="P164" s="28"/>
      <c r="Q164" s="28"/>
      <c r="R164" s="28"/>
      <c r="S164" s="28"/>
      <c r="T164" s="28"/>
      <c r="U164" s="28"/>
      <c r="V164" s="28"/>
      <c r="W164" s="28"/>
      <c r="X164" s="28"/>
      <c r="Y164" s="28"/>
      <c r="Z164" s="28"/>
      <c r="AA164" s="28"/>
      <c r="AB164" s="28"/>
      <c r="AC164" s="28"/>
      <c r="AD164" s="28"/>
      <c r="AE164" s="28"/>
      <c r="AF164" s="28"/>
    </row>
    <row r="165" spans="1:16139" ht="146.25" customHeight="1" x14ac:dyDescent="0.25">
      <c r="A165" s="135">
        <v>140</v>
      </c>
      <c r="B165" s="137" t="s">
        <v>192</v>
      </c>
      <c r="C165" s="58" t="s">
        <v>42</v>
      </c>
      <c r="D165" s="45" t="s">
        <v>207</v>
      </c>
      <c r="E165" s="45"/>
      <c r="F165" s="45">
        <v>1617</v>
      </c>
      <c r="G165" s="45">
        <v>1245</v>
      </c>
      <c r="H165" s="46">
        <f>F165*G165/10^6</f>
        <v>2.0131649999999999</v>
      </c>
      <c r="I165" s="45">
        <v>1</v>
      </c>
      <c r="J165" s="53">
        <v>4185000</v>
      </c>
      <c r="K165" s="47"/>
      <c r="L165" s="48">
        <f>IF(H165&lt;&gt;0,J165*H165*I165+K165*I165,IF(J165&lt;&gt;0,G165*I165*J165,I165*K165))</f>
        <v>8425095.5250000004</v>
      </c>
      <c r="M165" s="28"/>
      <c r="N165" s="28"/>
      <c r="O165" s="28"/>
      <c r="P165" s="28"/>
      <c r="Q165" s="28"/>
      <c r="R165" s="28"/>
      <c r="S165" s="28"/>
      <c r="T165" s="28"/>
      <c r="U165" s="28"/>
      <c r="V165" s="28"/>
      <c r="W165" s="28"/>
      <c r="X165" s="28"/>
      <c r="Y165" s="28"/>
      <c r="Z165" s="28"/>
      <c r="AA165" s="28"/>
      <c r="AB165" s="28"/>
      <c r="AC165" s="28"/>
      <c r="AD165" s="28"/>
      <c r="AE165" s="28"/>
      <c r="AF165" s="28"/>
      <c r="AG165" s="28"/>
      <c r="AH165" s="28"/>
    </row>
    <row r="166" spans="1:16139" ht="30.75" customHeight="1" x14ac:dyDescent="0.25">
      <c r="A166" s="136"/>
      <c r="B166" s="138"/>
      <c r="C166" s="69" t="s">
        <v>201</v>
      </c>
      <c r="D166" s="59"/>
      <c r="E166" s="59"/>
      <c r="F166" s="59">
        <f>1617+1000</f>
        <v>2617</v>
      </c>
      <c r="G166" s="59"/>
      <c r="H166" s="60">
        <f t="shared" ref="H166:H175" si="54">F166*G166/10^6</f>
        <v>0</v>
      </c>
      <c r="I166" s="59">
        <v>1</v>
      </c>
      <c r="J166" s="53">
        <v>550000</v>
      </c>
      <c r="K166" s="47"/>
      <c r="L166" s="70">
        <f>F166*I166*J166/1000</f>
        <v>1439350</v>
      </c>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c r="EC166" s="72"/>
      <c r="ED166" s="72"/>
      <c r="EE166" s="72"/>
      <c r="EF166" s="72"/>
      <c r="EG166" s="72"/>
      <c r="EH166" s="72"/>
      <c r="EI166" s="72"/>
      <c r="EJ166" s="72"/>
      <c r="EK166" s="72"/>
      <c r="EL166" s="72"/>
      <c r="EM166" s="72"/>
      <c r="EN166" s="72"/>
      <c r="EO166" s="72"/>
      <c r="EP166" s="72"/>
      <c r="EQ166" s="72"/>
      <c r="ER166" s="72"/>
      <c r="ES166" s="72"/>
      <c r="ET166" s="72"/>
      <c r="EU166" s="72"/>
      <c r="EV166" s="72"/>
      <c r="EW166" s="72"/>
      <c r="EX166" s="72"/>
      <c r="EY166" s="72"/>
      <c r="EZ166" s="72"/>
      <c r="FA166" s="72"/>
      <c r="FB166" s="72"/>
      <c r="FC166" s="72"/>
      <c r="FD166" s="72"/>
      <c r="FE166" s="72"/>
      <c r="FF166" s="72"/>
      <c r="FG166" s="72"/>
      <c r="FH166" s="72"/>
      <c r="FI166" s="72"/>
      <c r="FJ166" s="72"/>
      <c r="FK166" s="72"/>
      <c r="FL166" s="72"/>
      <c r="FM166" s="72"/>
      <c r="FN166" s="72"/>
      <c r="FO166" s="72"/>
      <c r="FP166" s="72"/>
      <c r="FQ166" s="72"/>
      <c r="FR166" s="72"/>
      <c r="FS166" s="72"/>
      <c r="FT166" s="72"/>
      <c r="FU166" s="72"/>
      <c r="FV166" s="72"/>
      <c r="FW166" s="72"/>
      <c r="FX166" s="72"/>
      <c r="FY166" s="72"/>
      <c r="FZ166" s="72"/>
      <c r="GA166" s="72"/>
      <c r="GB166" s="72"/>
      <c r="GC166" s="72"/>
      <c r="GD166" s="72"/>
      <c r="GE166" s="72"/>
      <c r="GF166" s="72"/>
      <c r="GG166" s="72"/>
      <c r="GH166" s="72"/>
      <c r="GI166" s="72"/>
      <c r="GJ166" s="72"/>
      <c r="GK166" s="72"/>
      <c r="GL166" s="72"/>
      <c r="GM166" s="72"/>
      <c r="GN166" s="72"/>
      <c r="GO166" s="72"/>
      <c r="GP166" s="72"/>
      <c r="GQ166" s="72"/>
      <c r="GR166" s="72"/>
      <c r="GS166" s="72"/>
      <c r="GT166" s="72"/>
      <c r="GU166" s="72"/>
      <c r="GV166" s="72"/>
      <c r="GW166" s="72"/>
      <c r="GX166" s="72"/>
      <c r="GY166" s="72"/>
      <c r="GZ166" s="72"/>
      <c r="HA166" s="72"/>
      <c r="HB166" s="72"/>
      <c r="HC166" s="72"/>
      <c r="HD166" s="72"/>
      <c r="HE166" s="72"/>
      <c r="HF166" s="72"/>
      <c r="HG166" s="72"/>
      <c r="HH166" s="72"/>
      <c r="HI166" s="72"/>
      <c r="HJ166" s="72"/>
      <c r="HK166" s="72"/>
      <c r="HL166" s="72"/>
      <c r="HM166" s="72"/>
      <c r="HN166" s="72"/>
      <c r="HO166" s="72"/>
      <c r="HP166" s="72"/>
      <c r="HQ166" s="72"/>
      <c r="HR166" s="72"/>
      <c r="HS166" s="72"/>
      <c r="HT166" s="72"/>
      <c r="HU166" s="72"/>
      <c r="HV166" s="72"/>
      <c r="HW166" s="72"/>
      <c r="HX166" s="72"/>
      <c r="HY166" s="72"/>
      <c r="HZ166" s="72"/>
      <c r="IA166" s="72"/>
      <c r="IB166" s="72"/>
      <c r="IC166" s="72"/>
      <c r="ID166" s="72"/>
      <c r="IE166" s="72"/>
      <c r="IF166" s="72"/>
      <c r="IG166" s="72"/>
      <c r="IH166" s="72"/>
      <c r="II166" s="72"/>
      <c r="IJ166" s="72"/>
      <c r="IK166" s="72"/>
      <c r="IL166" s="72"/>
      <c r="IM166" s="72"/>
      <c r="IN166" s="72"/>
      <c r="IO166" s="72"/>
      <c r="IP166" s="72"/>
      <c r="IQ166" s="72"/>
      <c r="IR166" s="72"/>
      <c r="IS166" s="72"/>
      <c r="IT166" s="72"/>
      <c r="IU166" s="72"/>
      <c r="IV166" s="72"/>
      <c r="IW166" s="72"/>
      <c r="IX166" s="72"/>
      <c r="IY166" s="72"/>
      <c r="IZ166" s="72"/>
      <c r="JA166" s="72"/>
      <c r="JB166" s="72"/>
      <c r="JC166" s="72"/>
      <c r="JD166" s="72"/>
      <c r="JE166" s="72"/>
      <c r="JF166" s="72"/>
      <c r="JG166" s="72"/>
      <c r="JH166" s="72"/>
      <c r="JI166" s="72"/>
      <c r="JJ166" s="72"/>
      <c r="JK166" s="72"/>
      <c r="JL166" s="72"/>
      <c r="JM166" s="72"/>
      <c r="JN166" s="72"/>
      <c r="JO166" s="72"/>
      <c r="JP166" s="72"/>
      <c r="JQ166" s="72"/>
      <c r="JR166" s="72"/>
      <c r="JS166" s="72"/>
      <c r="JT166" s="72"/>
      <c r="JU166" s="72"/>
      <c r="JV166" s="72"/>
      <c r="JW166" s="72"/>
      <c r="JX166" s="72"/>
      <c r="JY166" s="72"/>
      <c r="JZ166" s="72"/>
      <c r="KA166" s="72"/>
      <c r="KB166" s="72"/>
      <c r="KC166" s="72"/>
      <c r="KD166" s="72"/>
      <c r="KE166" s="72"/>
      <c r="KF166" s="72"/>
      <c r="KG166" s="72"/>
      <c r="KH166" s="72"/>
      <c r="KI166" s="72"/>
      <c r="KJ166" s="72"/>
      <c r="KK166" s="72"/>
      <c r="KL166" s="72"/>
      <c r="KM166" s="72"/>
      <c r="KN166" s="72"/>
      <c r="KO166" s="72"/>
      <c r="KP166" s="72"/>
      <c r="KQ166" s="72"/>
      <c r="KR166" s="72"/>
      <c r="KS166" s="72"/>
      <c r="KT166" s="72"/>
      <c r="KU166" s="72"/>
      <c r="KV166" s="72"/>
      <c r="KW166" s="72"/>
      <c r="KX166" s="72"/>
      <c r="KY166" s="72"/>
      <c r="KZ166" s="72"/>
      <c r="LA166" s="72"/>
      <c r="LB166" s="72"/>
      <c r="LC166" s="72"/>
      <c r="LD166" s="72"/>
      <c r="LE166" s="72"/>
      <c r="LF166" s="72"/>
      <c r="LG166" s="72"/>
      <c r="LH166" s="72"/>
      <c r="LI166" s="72"/>
      <c r="LJ166" s="72"/>
      <c r="LK166" s="72"/>
      <c r="LL166" s="72"/>
      <c r="LM166" s="72"/>
      <c r="LN166" s="72"/>
      <c r="LO166" s="72"/>
      <c r="LP166" s="72"/>
      <c r="LQ166" s="72"/>
      <c r="LR166" s="72"/>
      <c r="LS166" s="72"/>
      <c r="LT166" s="72"/>
      <c r="LU166" s="72"/>
      <c r="LV166" s="72"/>
      <c r="LW166" s="72"/>
      <c r="LX166" s="72"/>
      <c r="LY166" s="72"/>
      <c r="LZ166" s="72"/>
      <c r="MA166" s="72"/>
      <c r="MB166" s="72"/>
      <c r="MC166" s="72"/>
      <c r="MD166" s="72"/>
      <c r="ME166" s="72"/>
      <c r="MF166" s="72"/>
      <c r="MG166" s="72"/>
      <c r="MH166" s="72"/>
      <c r="MI166" s="72"/>
      <c r="MJ166" s="72"/>
      <c r="MK166" s="72"/>
      <c r="ML166" s="72"/>
      <c r="MM166" s="72"/>
      <c r="MN166" s="72"/>
      <c r="MO166" s="72"/>
      <c r="MP166" s="72"/>
      <c r="MQ166" s="72"/>
      <c r="MR166" s="72"/>
      <c r="MS166" s="72"/>
      <c r="MT166" s="72"/>
      <c r="MU166" s="72"/>
      <c r="MV166" s="72"/>
      <c r="MW166" s="72"/>
      <c r="MX166" s="72"/>
      <c r="MY166" s="72"/>
      <c r="MZ166" s="72"/>
      <c r="NA166" s="72"/>
      <c r="NB166" s="72"/>
      <c r="NC166" s="72"/>
      <c r="ND166" s="72"/>
      <c r="NE166" s="72"/>
      <c r="NF166" s="72"/>
      <c r="NG166" s="72"/>
      <c r="NH166" s="72"/>
      <c r="NI166" s="72"/>
      <c r="NJ166" s="72"/>
      <c r="NK166" s="72"/>
      <c r="NL166" s="72"/>
      <c r="NM166" s="72"/>
      <c r="NN166" s="72"/>
      <c r="NO166" s="72"/>
      <c r="NP166" s="72"/>
      <c r="NQ166" s="72"/>
      <c r="NR166" s="72"/>
      <c r="NS166" s="72"/>
      <c r="NT166" s="72"/>
      <c r="NU166" s="72"/>
      <c r="NV166" s="72"/>
      <c r="NW166" s="72"/>
      <c r="NX166" s="72"/>
      <c r="NY166" s="72"/>
      <c r="NZ166" s="72"/>
      <c r="OA166" s="72"/>
      <c r="OB166" s="72"/>
      <c r="OC166" s="72"/>
      <c r="OD166" s="72"/>
      <c r="OE166" s="72"/>
      <c r="OF166" s="72"/>
      <c r="OG166" s="72"/>
      <c r="OH166" s="72"/>
      <c r="OI166" s="72"/>
      <c r="OJ166" s="72"/>
      <c r="OK166" s="72"/>
      <c r="OL166" s="72"/>
      <c r="OM166" s="72"/>
      <c r="ON166" s="72"/>
      <c r="OO166" s="72"/>
      <c r="OP166" s="72"/>
      <c r="OQ166" s="72"/>
      <c r="OR166" s="72"/>
      <c r="OS166" s="72"/>
      <c r="OT166" s="72"/>
      <c r="OU166" s="72"/>
      <c r="OV166" s="72"/>
      <c r="OW166" s="72"/>
      <c r="OX166" s="72"/>
      <c r="OY166" s="72"/>
      <c r="OZ166" s="72"/>
      <c r="PA166" s="72"/>
      <c r="PB166" s="72"/>
      <c r="PC166" s="72"/>
      <c r="PD166" s="72"/>
      <c r="PE166" s="72"/>
      <c r="PF166" s="72"/>
      <c r="PG166" s="72"/>
      <c r="PH166" s="72"/>
      <c r="PI166" s="72"/>
      <c r="PJ166" s="72"/>
      <c r="PK166" s="72"/>
      <c r="PL166" s="72"/>
      <c r="PM166" s="72"/>
      <c r="PN166" s="72"/>
      <c r="PO166" s="72"/>
      <c r="PP166" s="72"/>
      <c r="PQ166" s="72"/>
      <c r="PR166" s="72"/>
      <c r="PS166" s="72"/>
      <c r="PT166" s="72"/>
      <c r="PU166" s="72"/>
      <c r="PV166" s="72"/>
      <c r="PW166" s="72"/>
      <c r="PX166" s="72"/>
      <c r="PY166" s="72"/>
      <c r="PZ166" s="72"/>
      <c r="QA166" s="72"/>
      <c r="QB166" s="72"/>
      <c r="QC166" s="72"/>
      <c r="QD166" s="72"/>
      <c r="QE166" s="72"/>
      <c r="QF166" s="72"/>
      <c r="QG166" s="72"/>
      <c r="QH166" s="72"/>
      <c r="QI166" s="72"/>
      <c r="QJ166" s="72"/>
      <c r="QK166" s="72"/>
      <c r="QL166" s="72"/>
      <c r="QM166" s="72"/>
      <c r="QN166" s="72"/>
      <c r="QO166" s="72"/>
      <c r="QP166" s="72"/>
      <c r="QQ166" s="72"/>
      <c r="QR166" s="72"/>
      <c r="QS166" s="72"/>
      <c r="QT166" s="72"/>
      <c r="QU166" s="72"/>
      <c r="QV166" s="72"/>
      <c r="QW166" s="72"/>
      <c r="QX166" s="72"/>
      <c r="QY166" s="72"/>
      <c r="QZ166" s="72"/>
      <c r="RA166" s="72"/>
      <c r="RB166" s="72"/>
      <c r="RC166" s="72"/>
      <c r="RD166" s="72"/>
      <c r="RE166" s="72"/>
      <c r="RF166" s="72"/>
      <c r="RG166" s="72"/>
      <c r="RH166" s="72"/>
      <c r="RI166" s="72"/>
      <c r="RJ166" s="72"/>
      <c r="RK166" s="72"/>
      <c r="RL166" s="72"/>
      <c r="RM166" s="72"/>
      <c r="RN166" s="72"/>
      <c r="RO166" s="72"/>
      <c r="RP166" s="72"/>
      <c r="RQ166" s="72"/>
      <c r="RR166" s="72"/>
      <c r="RS166" s="72"/>
      <c r="RT166" s="72"/>
      <c r="RU166" s="72"/>
      <c r="RV166" s="72"/>
      <c r="RW166" s="72"/>
      <c r="RX166" s="72"/>
      <c r="RY166" s="72"/>
      <c r="RZ166" s="72"/>
      <c r="SA166" s="72"/>
      <c r="SB166" s="72"/>
      <c r="SC166" s="72"/>
      <c r="SD166" s="72"/>
      <c r="SE166" s="72"/>
      <c r="SF166" s="72"/>
      <c r="SG166" s="72"/>
      <c r="SH166" s="72"/>
      <c r="SI166" s="72"/>
      <c r="SJ166" s="72"/>
      <c r="SK166" s="72"/>
      <c r="SL166" s="72"/>
      <c r="SM166" s="72"/>
      <c r="SN166" s="72"/>
      <c r="SO166" s="72"/>
      <c r="SP166" s="72"/>
      <c r="SQ166" s="72"/>
      <c r="SR166" s="72"/>
      <c r="SS166" s="72"/>
      <c r="ST166" s="72"/>
      <c r="SU166" s="72"/>
      <c r="SV166" s="72"/>
      <c r="SW166" s="72"/>
      <c r="SX166" s="72"/>
      <c r="SY166" s="72"/>
      <c r="SZ166" s="72"/>
      <c r="TA166" s="72"/>
      <c r="TB166" s="72"/>
      <c r="TC166" s="72"/>
      <c r="TD166" s="72"/>
      <c r="TE166" s="72"/>
      <c r="TF166" s="72"/>
      <c r="TG166" s="72"/>
      <c r="TH166" s="72"/>
      <c r="TI166" s="72"/>
      <c r="TJ166" s="72"/>
      <c r="TK166" s="72"/>
      <c r="TL166" s="72"/>
      <c r="TM166" s="72"/>
      <c r="TN166" s="72"/>
      <c r="TO166" s="72"/>
      <c r="TP166" s="72"/>
      <c r="TQ166" s="72"/>
      <c r="TR166" s="72"/>
      <c r="TS166" s="72"/>
      <c r="TT166" s="72"/>
      <c r="TU166" s="72"/>
      <c r="TV166" s="72"/>
      <c r="TW166" s="72"/>
      <c r="TX166" s="72"/>
      <c r="TY166" s="72"/>
      <c r="TZ166" s="72"/>
      <c r="UA166" s="72"/>
      <c r="UB166" s="72"/>
      <c r="UC166" s="72"/>
      <c r="UD166" s="72"/>
      <c r="UE166" s="72"/>
      <c r="UF166" s="72"/>
      <c r="UG166" s="72"/>
      <c r="UH166" s="72"/>
      <c r="UI166" s="72"/>
      <c r="UJ166" s="72"/>
      <c r="UK166" s="72"/>
      <c r="UL166" s="72"/>
      <c r="UM166" s="72"/>
      <c r="UN166" s="72"/>
      <c r="UO166" s="72"/>
      <c r="UP166" s="72"/>
      <c r="UQ166" s="72"/>
      <c r="UR166" s="72"/>
      <c r="US166" s="72"/>
      <c r="UT166" s="72"/>
      <c r="UU166" s="72"/>
      <c r="UV166" s="72"/>
      <c r="UW166" s="72"/>
      <c r="UX166" s="72"/>
      <c r="UY166" s="72"/>
      <c r="UZ166" s="72"/>
      <c r="VA166" s="72"/>
      <c r="VB166" s="72"/>
      <c r="VC166" s="72"/>
      <c r="VD166" s="72"/>
      <c r="VE166" s="72"/>
      <c r="VF166" s="72"/>
      <c r="VG166" s="72"/>
      <c r="VH166" s="72"/>
      <c r="VI166" s="72"/>
      <c r="VJ166" s="72"/>
      <c r="VK166" s="72"/>
      <c r="VL166" s="72"/>
      <c r="VM166" s="72"/>
      <c r="VN166" s="72"/>
      <c r="VO166" s="72"/>
      <c r="VP166" s="72"/>
      <c r="VQ166" s="72"/>
      <c r="VR166" s="72"/>
      <c r="VS166" s="72"/>
      <c r="VT166" s="72"/>
      <c r="VU166" s="72"/>
      <c r="VV166" s="72"/>
      <c r="VW166" s="72"/>
      <c r="VX166" s="72"/>
      <c r="VY166" s="72"/>
      <c r="VZ166" s="72"/>
      <c r="WA166" s="72"/>
      <c r="WB166" s="72"/>
      <c r="WC166" s="72"/>
      <c r="WD166" s="72"/>
      <c r="WE166" s="72"/>
      <c r="WF166" s="72"/>
      <c r="WG166" s="72"/>
      <c r="WH166" s="72"/>
      <c r="WI166" s="72"/>
      <c r="WJ166" s="72"/>
      <c r="WK166" s="72"/>
      <c r="WL166" s="72"/>
      <c r="WM166" s="72"/>
      <c r="WN166" s="72"/>
      <c r="WO166" s="72"/>
      <c r="WP166" s="72"/>
      <c r="WQ166" s="72"/>
      <c r="WR166" s="72"/>
      <c r="WS166" s="72"/>
      <c r="WT166" s="72"/>
      <c r="WU166" s="72"/>
      <c r="WV166" s="72"/>
      <c r="WW166" s="72"/>
      <c r="WX166" s="72"/>
      <c r="WY166" s="72"/>
      <c r="WZ166" s="72"/>
      <c r="XA166" s="72"/>
      <c r="XB166" s="72"/>
      <c r="XC166" s="72"/>
      <c r="XD166" s="72"/>
      <c r="XE166" s="72"/>
      <c r="XF166" s="72"/>
      <c r="XG166" s="72"/>
      <c r="XH166" s="72"/>
      <c r="XI166" s="72"/>
      <c r="XJ166" s="72"/>
      <c r="XK166" s="72"/>
      <c r="XL166" s="72"/>
      <c r="XM166" s="72"/>
      <c r="XN166" s="72"/>
      <c r="XO166" s="72"/>
      <c r="XP166" s="72"/>
      <c r="XQ166" s="72"/>
      <c r="XR166" s="72"/>
      <c r="XS166" s="72"/>
      <c r="XT166" s="72"/>
      <c r="XU166" s="72"/>
      <c r="XV166" s="72"/>
      <c r="XW166" s="72"/>
      <c r="XX166" s="72"/>
      <c r="XY166" s="72"/>
      <c r="XZ166" s="72"/>
      <c r="YA166" s="72"/>
      <c r="YB166" s="72"/>
      <c r="YC166" s="72"/>
      <c r="YD166" s="72"/>
      <c r="YE166" s="72"/>
      <c r="YF166" s="72"/>
      <c r="YG166" s="72"/>
      <c r="YH166" s="72"/>
      <c r="YI166" s="72"/>
      <c r="YJ166" s="72"/>
      <c r="YK166" s="72"/>
      <c r="YL166" s="72"/>
      <c r="YM166" s="72"/>
      <c r="YN166" s="72"/>
      <c r="YO166" s="72"/>
      <c r="YP166" s="72"/>
      <c r="YQ166" s="72"/>
      <c r="YR166" s="72"/>
      <c r="YS166" s="72"/>
      <c r="YT166" s="72"/>
      <c r="YU166" s="72"/>
      <c r="YV166" s="72"/>
      <c r="YW166" s="72"/>
      <c r="YX166" s="72"/>
      <c r="YY166" s="72"/>
      <c r="YZ166" s="72"/>
      <c r="ZA166" s="72"/>
      <c r="ZB166" s="72"/>
      <c r="ZC166" s="72"/>
      <c r="ZD166" s="72"/>
      <c r="ZE166" s="72"/>
      <c r="ZF166" s="72"/>
      <c r="ZG166" s="72"/>
      <c r="ZH166" s="72"/>
      <c r="ZI166" s="72"/>
      <c r="ZJ166" s="72"/>
      <c r="ZK166" s="72"/>
      <c r="ZL166" s="72"/>
      <c r="ZM166" s="72"/>
      <c r="ZN166" s="72"/>
      <c r="ZO166" s="72"/>
      <c r="ZP166" s="72"/>
      <c r="ZQ166" s="72"/>
      <c r="ZR166" s="72"/>
      <c r="ZS166" s="72"/>
      <c r="ZT166" s="72"/>
      <c r="ZU166" s="72"/>
      <c r="ZV166" s="72"/>
      <c r="ZW166" s="72"/>
      <c r="ZX166" s="72"/>
      <c r="ZY166" s="72"/>
      <c r="ZZ166" s="72"/>
      <c r="AAA166" s="72"/>
      <c r="AAB166" s="72"/>
      <c r="AAC166" s="72"/>
      <c r="AAD166" s="72"/>
      <c r="AAE166" s="72"/>
      <c r="AAF166" s="72"/>
      <c r="AAG166" s="72"/>
      <c r="AAH166" s="72"/>
      <c r="AAI166" s="72"/>
      <c r="AAJ166" s="72"/>
      <c r="AAK166" s="72"/>
      <c r="AAL166" s="72"/>
      <c r="AAM166" s="72"/>
      <c r="AAN166" s="72"/>
      <c r="AAO166" s="72"/>
      <c r="AAP166" s="72"/>
      <c r="AAQ166" s="72"/>
      <c r="AAR166" s="72"/>
      <c r="AAS166" s="72"/>
      <c r="AAT166" s="72"/>
      <c r="AAU166" s="72"/>
      <c r="AAV166" s="72"/>
      <c r="AAW166" s="72"/>
      <c r="AAX166" s="72"/>
      <c r="AAY166" s="72"/>
      <c r="AAZ166" s="72"/>
      <c r="ABA166" s="72"/>
      <c r="ABB166" s="72"/>
      <c r="ABC166" s="72"/>
      <c r="ABD166" s="72"/>
      <c r="ABE166" s="72"/>
      <c r="ABF166" s="72"/>
      <c r="ABG166" s="72"/>
      <c r="ABH166" s="72"/>
      <c r="ABI166" s="72"/>
      <c r="ABJ166" s="72"/>
      <c r="ABK166" s="72"/>
      <c r="ABL166" s="72"/>
      <c r="ABM166" s="72"/>
      <c r="ABN166" s="72"/>
      <c r="ABO166" s="72"/>
      <c r="ABP166" s="72"/>
      <c r="ABQ166" s="72"/>
      <c r="ABR166" s="72"/>
      <c r="ABS166" s="72"/>
      <c r="ABT166" s="72"/>
      <c r="ABU166" s="72"/>
      <c r="ABV166" s="72"/>
      <c r="ABW166" s="72"/>
      <c r="ABX166" s="72"/>
      <c r="ABY166" s="72"/>
      <c r="ABZ166" s="72"/>
      <c r="ACA166" s="72"/>
      <c r="ACB166" s="72"/>
      <c r="ACC166" s="72"/>
      <c r="ACD166" s="72"/>
      <c r="ACE166" s="72"/>
      <c r="ACF166" s="72"/>
      <c r="ACG166" s="72"/>
      <c r="ACH166" s="72"/>
      <c r="ACI166" s="72"/>
      <c r="ACJ166" s="72"/>
      <c r="ACK166" s="72"/>
      <c r="ACL166" s="72"/>
      <c r="ACM166" s="72"/>
      <c r="ACN166" s="72"/>
      <c r="ACO166" s="72"/>
      <c r="ACP166" s="72"/>
      <c r="ACQ166" s="72"/>
      <c r="ACR166" s="72"/>
      <c r="ACS166" s="72"/>
      <c r="ACT166" s="72"/>
      <c r="ACU166" s="72"/>
      <c r="ACV166" s="72"/>
      <c r="ACW166" s="72"/>
      <c r="ACX166" s="72"/>
      <c r="ACY166" s="72"/>
      <c r="ACZ166" s="72"/>
      <c r="ADA166" s="72"/>
      <c r="ADB166" s="72"/>
      <c r="ADC166" s="72"/>
      <c r="ADD166" s="72"/>
      <c r="ADE166" s="72"/>
      <c r="ADF166" s="72"/>
      <c r="ADG166" s="72"/>
      <c r="ADH166" s="72"/>
      <c r="ADI166" s="72"/>
      <c r="ADJ166" s="72"/>
      <c r="ADK166" s="72"/>
      <c r="ADL166" s="72"/>
      <c r="ADM166" s="72"/>
      <c r="ADN166" s="72"/>
      <c r="ADO166" s="72"/>
      <c r="ADP166" s="72"/>
      <c r="ADQ166" s="72"/>
      <c r="ADR166" s="72"/>
      <c r="ADS166" s="72"/>
      <c r="ADT166" s="72"/>
      <c r="ADU166" s="72"/>
      <c r="ADV166" s="72"/>
      <c r="ADW166" s="72"/>
      <c r="ADX166" s="72"/>
      <c r="ADY166" s="72"/>
      <c r="ADZ166" s="72"/>
      <c r="AEA166" s="72"/>
      <c r="AEB166" s="72"/>
      <c r="AEC166" s="72"/>
      <c r="AED166" s="72"/>
      <c r="AEE166" s="72"/>
      <c r="AEF166" s="72"/>
      <c r="AEG166" s="72"/>
      <c r="AEH166" s="72"/>
      <c r="AEI166" s="72"/>
      <c r="AEJ166" s="72"/>
      <c r="AEK166" s="72"/>
      <c r="AEL166" s="72"/>
      <c r="AEM166" s="72"/>
      <c r="AEN166" s="72"/>
      <c r="AEO166" s="72"/>
      <c r="AEP166" s="72"/>
      <c r="AEQ166" s="72"/>
      <c r="AER166" s="72"/>
      <c r="AES166" s="72"/>
      <c r="AET166" s="72"/>
      <c r="AEU166" s="72"/>
      <c r="AEV166" s="72"/>
      <c r="AEW166" s="72"/>
      <c r="AEX166" s="72"/>
      <c r="AEY166" s="72"/>
      <c r="AEZ166" s="72"/>
      <c r="AFA166" s="72"/>
      <c r="AFB166" s="72"/>
      <c r="AFC166" s="72"/>
      <c r="AFD166" s="72"/>
      <c r="AFE166" s="72"/>
      <c r="AFF166" s="72"/>
      <c r="AFG166" s="72"/>
      <c r="AFH166" s="72"/>
      <c r="AFI166" s="72"/>
      <c r="AFJ166" s="72"/>
      <c r="AFK166" s="72"/>
      <c r="AFL166" s="72"/>
      <c r="AFM166" s="72"/>
      <c r="AFN166" s="72"/>
      <c r="AFO166" s="72"/>
      <c r="AFP166" s="72"/>
      <c r="AFQ166" s="72"/>
      <c r="AFR166" s="72"/>
      <c r="AFS166" s="72"/>
      <c r="AFT166" s="72"/>
      <c r="AFU166" s="72"/>
      <c r="AFV166" s="72"/>
      <c r="AFW166" s="72"/>
      <c r="AFX166" s="72"/>
      <c r="AFY166" s="72"/>
      <c r="AFZ166" s="72"/>
      <c r="AGA166" s="72"/>
      <c r="AGB166" s="72"/>
      <c r="AGC166" s="72"/>
      <c r="AGD166" s="72"/>
      <c r="AGE166" s="72"/>
      <c r="AGF166" s="72"/>
      <c r="AGG166" s="72"/>
      <c r="AGH166" s="72"/>
      <c r="AGI166" s="72"/>
      <c r="AGJ166" s="72"/>
      <c r="AGK166" s="72"/>
      <c r="AGL166" s="72"/>
      <c r="AGM166" s="72"/>
      <c r="AGN166" s="72"/>
      <c r="AGO166" s="72"/>
      <c r="AGP166" s="72"/>
      <c r="AGQ166" s="72"/>
      <c r="AGR166" s="72"/>
      <c r="AGS166" s="72"/>
      <c r="AGT166" s="72"/>
      <c r="AGU166" s="72"/>
      <c r="AGV166" s="72"/>
      <c r="AGW166" s="72"/>
      <c r="AGX166" s="72"/>
      <c r="AGY166" s="72"/>
      <c r="AGZ166" s="72"/>
      <c r="AHA166" s="72"/>
      <c r="AHB166" s="72"/>
      <c r="AHC166" s="72"/>
      <c r="AHD166" s="72"/>
      <c r="AHE166" s="72"/>
      <c r="AHF166" s="72"/>
      <c r="AHG166" s="72"/>
      <c r="AHH166" s="72"/>
      <c r="AHI166" s="72"/>
      <c r="AHJ166" s="72"/>
      <c r="AHK166" s="72"/>
      <c r="AHL166" s="72"/>
      <c r="AHM166" s="72"/>
      <c r="AHN166" s="72"/>
      <c r="AHO166" s="72"/>
      <c r="AHP166" s="72"/>
      <c r="AHQ166" s="72"/>
      <c r="AHR166" s="72"/>
      <c r="AHS166" s="72"/>
      <c r="AHT166" s="72"/>
      <c r="AHU166" s="72"/>
      <c r="AHV166" s="72"/>
      <c r="AHW166" s="72"/>
      <c r="AHX166" s="72"/>
      <c r="AHY166" s="72"/>
      <c r="AHZ166" s="72"/>
      <c r="AIA166" s="72"/>
      <c r="AIB166" s="72"/>
      <c r="AIC166" s="72"/>
      <c r="AID166" s="72"/>
      <c r="AIE166" s="72"/>
      <c r="AIF166" s="72"/>
      <c r="AIG166" s="72"/>
      <c r="AIH166" s="72"/>
      <c r="AII166" s="72"/>
      <c r="AIJ166" s="72"/>
      <c r="AIK166" s="72"/>
      <c r="AIL166" s="72"/>
      <c r="AIM166" s="72"/>
      <c r="AIN166" s="72"/>
      <c r="AIO166" s="72"/>
      <c r="AIP166" s="72"/>
      <c r="AIQ166" s="72"/>
      <c r="AIR166" s="72"/>
      <c r="AIS166" s="72"/>
      <c r="AIT166" s="72"/>
      <c r="AIU166" s="72"/>
      <c r="AIV166" s="72"/>
      <c r="AIW166" s="72"/>
      <c r="AIX166" s="72"/>
      <c r="AIY166" s="72"/>
      <c r="AIZ166" s="72"/>
      <c r="AJA166" s="72"/>
      <c r="AJB166" s="72"/>
      <c r="AJC166" s="72"/>
      <c r="AJD166" s="72"/>
      <c r="AJE166" s="72"/>
      <c r="AJF166" s="72"/>
      <c r="AJG166" s="72"/>
      <c r="AJH166" s="72"/>
      <c r="AJI166" s="72"/>
      <c r="AJJ166" s="72"/>
      <c r="AJK166" s="72"/>
      <c r="AJL166" s="72"/>
      <c r="AJM166" s="72"/>
      <c r="AJN166" s="72"/>
      <c r="AJO166" s="72"/>
      <c r="AJP166" s="72"/>
      <c r="AJQ166" s="72"/>
      <c r="AJR166" s="72"/>
      <c r="AJS166" s="72"/>
      <c r="AJT166" s="72"/>
      <c r="AJU166" s="72"/>
      <c r="AJV166" s="72"/>
      <c r="AJW166" s="72"/>
      <c r="AJX166" s="72"/>
      <c r="AJY166" s="72"/>
      <c r="AJZ166" s="72"/>
      <c r="AKA166" s="72"/>
      <c r="AKB166" s="72"/>
      <c r="AKC166" s="72"/>
      <c r="AKD166" s="72"/>
      <c r="AKE166" s="72"/>
      <c r="AKF166" s="72"/>
      <c r="AKG166" s="72"/>
      <c r="AKH166" s="72"/>
      <c r="AKI166" s="72"/>
      <c r="AKJ166" s="72"/>
      <c r="AKK166" s="72"/>
      <c r="AKL166" s="72"/>
      <c r="AKM166" s="72"/>
      <c r="AKN166" s="72"/>
      <c r="AKO166" s="72"/>
      <c r="AKP166" s="72"/>
      <c r="AKQ166" s="72"/>
      <c r="AKR166" s="72"/>
      <c r="AKS166" s="72"/>
      <c r="AKT166" s="72"/>
      <c r="AKU166" s="72"/>
      <c r="AKV166" s="72"/>
      <c r="AKW166" s="72"/>
      <c r="AKX166" s="72"/>
      <c r="AKY166" s="72"/>
      <c r="AKZ166" s="72"/>
      <c r="ALA166" s="72"/>
      <c r="ALB166" s="72"/>
      <c r="ALC166" s="72"/>
      <c r="ALD166" s="72"/>
      <c r="ALE166" s="72"/>
      <c r="ALF166" s="72"/>
      <c r="ALG166" s="72"/>
      <c r="ALH166" s="72"/>
      <c r="ALI166" s="72"/>
      <c r="ALJ166" s="72"/>
      <c r="ALK166" s="72"/>
      <c r="ALL166" s="72"/>
      <c r="ALM166" s="72"/>
      <c r="ALN166" s="72"/>
      <c r="ALO166" s="72"/>
      <c r="ALP166" s="72"/>
      <c r="ALQ166" s="72"/>
      <c r="ALR166" s="72"/>
      <c r="ALS166" s="72"/>
      <c r="ALT166" s="72"/>
      <c r="ALU166" s="72"/>
      <c r="ALV166" s="72"/>
      <c r="ALW166" s="72"/>
      <c r="ALX166" s="72"/>
      <c r="ALY166" s="72"/>
      <c r="ALZ166" s="72"/>
      <c r="AMA166" s="72"/>
      <c r="AMB166" s="72"/>
      <c r="AMC166" s="72"/>
      <c r="AMD166" s="72"/>
      <c r="AME166" s="72"/>
      <c r="AMF166" s="72"/>
      <c r="AMG166" s="72"/>
      <c r="AMH166" s="72"/>
      <c r="AMI166" s="72"/>
      <c r="AMJ166" s="72"/>
      <c r="AMK166" s="72"/>
      <c r="AML166" s="72"/>
      <c r="AMM166" s="72"/>
      <c r="AMN166" s="72"/>
      <c r="AMO166" s="72"/>
      <c r="AMP166" s="72"/>
      <c r="AMQ166" s="72"/>
      <c r="AMR166" s="72"/>
      <c r="AMS166" s="72"/>
      <c r="AMT166" s="72"/>
      <c r="AMU166" s="72"/>
      <c r="AMV166" s="72"/>
      <c r="AMW166" s="72"/>
      <c r="AMX166" s="72"/>
      <c r="AMY166" s="72"/>
      <c r="AMZ166" s="72"/>
      <c r="ANA166" s="72"/>
      <c r="ANB166" s="72"/>
      <c r="ANC166" s="72"/>
      <c r="AND166" s="72"/>
      <c r="ANE166" s="72"/>
      <c r="ANF166" s="72"/>
      <c r="ANG166" s="72"/>
      <c r="ANH166" s="72"/>
      <c r="ANI166" s="72"/>
      <c r="ANJ166" s="72"/>
      <c r="ANK166" s="72"/>
      <c r="ANL166" s="72"/>
      <c r="ANM166" s="72"/>
      <c r="ANN166" s="72"/>
      <c r="ANO166" s="72"/>
      <c r="ANP166" s="72"/>
      <c r="ANQ166" s="72"/>
      <c r="ANR166" s="72"/>
      <c r="ANS166" s="72"/>
      <c r="ANT166" s="72"/>
      <c r="ANU166" s="72"/>
      <c r="ANV166" s="72"/>
      <c r="ANW166" s="72"/>
      <c r="ANX166" s="72"/>
      <c r="ANY166" s="72"/>
      <c r="ANZ166" s="72"/>
      <c r="AOA166" s="72"/>
      <c r="AOB166" s="72"/>
      <c r="AOC166" s="72"/>
      <c r="AOD166" s="72"/>
      <c r="AOE166" s="72"/>
      <c r="AOF166" s="72"/>
      <c r="AOG166" s="72"/>
      <c r="AOH166" s="72"/>
      <c r="AOI166" s="72"/>
      <c r="AOJ166" s="72"/>
      <c r="AOK166" s="72"/>
      <c r="AOL166" s="72"/>
      <c r="AOM166" s="72"/>
      <c r="AON166" s="72"/>
      <c r="AOO166" s="72"/>
      <c r="AOP166" s="72"/>
      <c r="AOQ166" s="72"/>
      <c r="AOR166" s="72"/>
      <c r="AOS166" s="72"/>
      <c r="AOT166" s="72"/>
      <c r="AOU166" s="72"/>
      <c r="AOV166" s="72"/>
      <c r="AOW166" s="72"/>
      <c r="AOX166" s="72"/>
      <c r="AOY166" s="72"/>
      <c r="AOZ166" s="72"/>
      <c r="APA166" s="72"/>
      <c r="APB166" s="72"/>
      <c r="APC166" s="72"/>
      <c r="APD166" s="72"/>
      <c r="APE166" s="72"/>
      <c r="APF166" s="72"/>
      <c r="APG166" s="72"/>
      <c r="APH166" s="72"/>
      <c r="API166" s="72"/>
      <c r="APJ166" s="72"/>
      <c r="APK166" s="72"/>
      <c r="APL166" s="72"/>
      <c r="APM166" s="72"/>
      <c r="APN166" s="72"/>
      <c r="APO166" s="72"/>
      <c r="APP166" s="72"/>
      <c r="APQ166" s="72"/>
      <c r="APR166" s="72"/>
      <c r="APS166" s="72"/>
      <c r="APT166" s="72"/>
      <c r="APU166" s="72"/>
      <c r="APV166" s="72"/>
      <c r="APW166" s="72"/>
      <c r="APX166" s="72"/>
      <c r="APY166" s="72"/>
      <c r="APZ166" s="72"/>
      <c r="AQA166" s="72"/>
      <c r="AQB166" s="72"/>
      <c r="AQC166" s="72"/>
      <c r="AQD166" s="72"/>
      <c r="AQE166" s="72"/>
      <c r="AQF166" s="72"/>
      <c r="AQG166" s="72"/>
      <c r="AQH166" s="72"/>
      <c r="AQI166" s="72"/>
      <c r="AQJ166" s="72"/>
      <c r="AQK166" s="72"/>
      <c r="AQL166" s="72"/>
      <c r="AQM166" s="72"/>
      <c r="AQN166" s="72"/>
      <c r="AQO166" s="72"/>
      <c r="AQP166" s="72"/>
      <c r="AQQ166" s="72"/>
      <c r="AQR166" s="72"/>
      <c r="AQS166" s="72"/>
      <c r="AQT166" s="72"/>
      <c r="AQU166" s="72"/>
      <c r="AQV166" s="72"/>
      <c r="AQW166" s="72"/>
      <c r="AQX166" s="72"/>
      <c r="AQY166" s="72"/>
      <c r="AQZ166" s="72"/>
      <c r="ARA166" s="72"/>
      <c r="ARB166" s="72"/>
      <c r="ARC166" s="72"/>
      <c r="ARD166" s="72"/>
      <c r="ARE166" s="72"/>
      <c r="ARF166" s="72"/>
      <c r="ARG166" s="72"/>
      <c r="ARH166" s="72"/>
      <c r="ARI166" s="72"/>
      <c r="ARJ166" s="72"/>
      <c r="ARK166" s="72"/>
      <c r="ARL166" s="72"/>
      <c r="ARM166" s="72"/>
      <c r="ARN166" s="72"/>
      <c r="ARO166" s="72"/>
      <c r="ARP166" s="72"/>
      <c r="ARQ166" s="72"/>
      <c r="ARR166" s="72"/>
      <c r="ARS166" s="72"/>
      <c r="ART166" s="72"/>
      <c r="ARU166" s="72"/>
      <c r="ARV166" s="72"/>
      <c r="ARW166" s="72"/>
      <c r="ARX166" s="72"/>
      <c r="ARY166" s="72"/>
      <c r="ARZ166" s="72"/>
      <c r="ASA166" s="72"/>
      <c r="ASB166" s="72"/>
      <c r="ASC166" s="72"/>
      <c r="ASD166" s="72"/>
      <c r="ASE166" s="72"/>
      <c r="ASF166" s="72"/>
      <c r="ASG166" s="72"/>
      <c r="ASH166" s="72"/>
      <c r="ASI166" s="72"/>
      <c r="ASJ166" s="72"/>
      <c r="ASK166" s="72"/>
      <c r="ASL166" s="72"/>
      <c r="ASM166" s="72"/>
      <c r="ASN166" s="72"/>
      <c r="ASO166" s="72"/>
      <c r="ASP166" s="72"/>
      <c r="ASQ166" s="72"/>
      <c r="ASR166" s="72"/>
      <c r="ASS166" s="72"/>
      <c r="AST166" s="72"/>
      <c r="ASU166" s="72"/>
      <c r="ASV166" s="72"/>
      <c r="ASW166" s="72"/>
      <c r="ASX166" s="72"/>
      <c r="ASY166" s="72"/>
      <c r="ASZ166" s="72"/>
      <c r="ATA166" s="72"/>
      <c r="ATB166" s="72"/>
      <c r="ATC166" s="72"/>
      <c r="ATD166" s="72"/>
      <c r="ATE166" s="72"/>
      <c r="ATF166" s="72"/>
      <c r="ATG166" s="72"/>
      <c r="ATH166" s="72"/>
      <c r="ATI166" s="72"/>
      <c r="ATJ166" s="72"/>
      <c r="ATK166" s="72"/>
      <c r="ATL166" s="72"/>
      <c r="ATM166" s="72"/>
      <c r="ATN166" s="72"/>
      <c r="ATO166" s="72"/>
      <c r="ATP166" s="72"/>
      <c r="ATQ166" s="72"/>
      <c r="ATR166" s="72"/>
      <c r="ATS166" s="72"/>
      <c r="ATT166" s="72"/>
      <c r="ATU166" s="72"/>
      <c r="ATV166" s="72"/>
      <c r="ATW166" s="72"/>
      <c r="ATX166" s="72"/>
      <c r="ATY166" s="72"/>
      <c r="ATZ166" s="72"/>
      <c r="AUA166" s="72"/>
      <c r="AUB166" s="72"/>
      <c r="AUC166" s="72"/>
      <c r="AUD166" s="72"/>
      <c r="AUE166" s="72"/>
      <c r="AUF166" s="72"/>
      <c r="AUG166" s="72"/>
      <c r="AUH166" s="72"/>
      <c r="AUI166" s="72"/>
      <c r="AUJ166" s="72"/>
      <c r="AUK166" s="72"/>
      <c r="AUL166" s="72"/>
      <c r="AUM166" s="72"/>
      <c r="AUN166" s="72"/>
      <c r="AUO166" s="72"/>
      <c r="AUP166" s="72"/>
      <c r="AUQ166" s="72"/>
      <c r="AUR166" s="72"/>
      <c r="AUS166" s="72"/>
      <c r="AUT166" s="72"/>
      <c r="AUU166" s="72"/>
      <c r="AUV166" s="72"/>
      <c r="AUW166" s="72"/>
      <c r="AUX166" s="72"/>
      <c r="AUY166" s="72"/>
      <c r="AUZ166" s="72"/>
      <c r="AVA166" s="72"/>
      <c r="AVB166" s="72"/>
      <c r="AVC166" s="72"/>
      <c r="AVD166" s="72"/>
      <c r="AVE166" s="72"/>
      <c r="AVF166" s="72"/>
      <c r="AVG166" s="72"/>
      <c r="AVH166" s="72"/>
      <c r="AVI166" s="72"/>
      <c r="AVJ166" s="72"/>
      <c r="AVK166" s="72"/>
      <c r="AVL166" s="72"/>
      <c r="AVM166" s="72"/>
      <c r="AVN166" s="72"/>
      <c r="AVO166" s="72"/>
      <c r="AVP166" s="72"/>
      <c r="AVQ166" s="72"/>
      <c r="AVR166" s="72"/>
      <c r="AVS166" s="72"/>
      <c r="AVT166" s="72"/>
      <c r="AVU166" s="72"/>
      <c r="AVV166" s="72"/>
      <c r="AVW166" s="72"/>
      <c r="AVX166" s="72"/>
      <c r="AVY166" s="72"/>
      <c r="AVZ166" s="72"/>
      <c r="AWA166" s="72"/>
      <c r="AWB166" s="72"/>
      <c r="AWC166" s="72"/>
      <c r="AWD166" s="72"/>
      <c r="AWE166" s="72"/>
      <c r="AWF166" s="72"/>
      <c r="AWG166" s="72"/>
      <c r="AWH166" s="72"/>
      <c r="AWI166" s="72"/>
      <c r="AWJ166" s="72"/>
      <c r="AWK166" s="72"/>
      <c r="AWL166" s="72"/>
      <c r="AWM166" s="72"/>
      <c r="AWN166" s="72"/>
      <c r="AWO166" s="72"/>
      <c r="AWP166" s="72"/>
      <c r="AWQ166" s="72"/>
      <c r="AWR166" s="72"/>
      <c r="AWS166" s="72"/>
      <c r="AWT166" s="72"/>
      <c r="AWU166" s="72"/>
      <c r="AWV166" s="72"/>
      <c r="AWW166" s="72"/>
      <c r="AWX166" s="72"/>
      <c r="AWY166" s="72"/>
      <c r="AWZ166" s="72"/>
      <c r="AXA166" s="72"/>
      <c r="AXB166" s="72"/>
      <c r="AXC166" s="72"/>
      <c r="AXD166" s="72"/>
      <c r="AXE166" s="72"/>
      <c r="AXF166" s="72"/>
      <c r="AXG166" s="72"/>
      <c r="AXH166" s="72"/>
      <c r="AXI166" s="72"/>
      <c r="AXJ166" s="72"/>
      <c r="AXK166" s="72"/>
      <c r="AXL166" s="72"/>
      <c r="AXM166" s="72"/>
      <c r="AXN166" s="72"/>
      <c r="AXO166" s="72"/>
      <c r="AXP166" s="72"/>
      <c r="AXQ166" s="72"/>
      <c r="AXR166" s="72"/>
      <c r="AXS166" s="72"/>
      <c r="AXT166" s="72"/>
      <c r="AXU166" s="72"/>
      <c r="AXV166" s="72"/>
      <c r="AXW166" s="72"/>
      <c r="AXX166" s="72"/>
      <c r="AXY166" s="72"/>
      <c r="AXZ166" s="72"/>
      <c r="AYA166" s="72"/>
      <c r="AYB166" s="72"/>
      <c r="AYC166" s="72"/>
      <c r="AYD166" s="72"/>
      <c r="AYE166" s="72"/>
      <c r="AYF166" s="72"/>
      <c r="AYG166" s="72"/>
      <c r="AYH166" s="72"/>
      <c r="AYI166" s="72"/>
      <c r="AYJ166" s="72"/>
      <c r="AYK166" s="72"/>
      <c r="AYL166" s="72"/>
      <c r="AYM166" s="72"/>
      <c r="AYN166" s="72"/>
      <c r="AYO166" s="72"/>
      <c r="AYP166" s="72"/>
      <c r="AYQ166" s="72"/>
      <c r="AYR166" s="72"/>
      <c r="AYS166" s="72"/>
      <c r="AYT166" s="72"/>
      <c r="AYU166" s="72"/>
      <c r="AYV166" s="72"/>
      <c r="AYW166" s="72"/>
      <c r="AYX166" s="72"/>
      <c r="AYY166" s="72"/>
      <c r="AYZ166" s="72"/>
      <c r="AZA166" s="72"/>
      <c r="AZB166" s="72"/>
      <c r="AZC166" s="72"/>
      <c r="AZD166" s="72"/>
      <c r="AZE166" s="72"/>
      <c r="AZF166" s="72"/>
      <c r="AZG166" s="72"/>
      <c r="AZH166" s="72"/>
      <c r="AZI166" s="72"/>
      <c r="AZJ166" s="72"/>
      <c r="AZK166" s="72"/>
      <c r="AZL166" s="72"/>
      <c r="AZM166" s="72"/>
      <c r="AZN166" s="72"/>
      <c r="AZO166" s="72"/>
      <c r="AZP166" s="72"/>
      <c r="AZQ166" s="72"/>
      <c r="AZR166" s="72"/>
      <c r="AZS166" s="72"/>
      <c r="AZT166" s="72"/>
      <c r="AZU166" s="72"/>
      <c r="AZV166" s="72"/>
      <c r="AZW166" s="72"/>
      <c r="AZX166" s="72"/>
      <c r="AZY166" s="72"/>
      <c r="AZZ166" s="72"/>
      <c r="BAA166" s="72"/>
      <c r="BAB166" s="72"/>
      <c r="BAC166" s="72"/>
      <c r="BAD166" s="72"/>
      <c r="BAE166" s="72"/>
      <c r="BAF166" s="72"/>
      <c r="BAG166" s="72"/>
      <c r="BAH166" s="72"/>
      <c r="BAI166" s="72"/>
      <c r="BAJ166" s="72"/>
      <c r="BAK166" s="72"/>
      <c r="BAL166" s="72"/>
      <c r="BAM166" s="72"/>
      <c r="BAN166" s="72"/>
      <c r="BAO166" s="72"/>
      <c r="BAP166" s="72"/>
      <c r="BAQ166" s="72"/>
      <c r="BAR166" s="72"/>
      <c r="BAS166" s="72"/>
      <c r="BAT166" s="72"/>
      <c r="BAU166" s="72"/>
      <c r="BAV166" s="72"/>
      <c r="BAW166" s="72"/>
      <c r="BAX166" s="72"/>
      <c r="BAY166" s="72"/>
      <c r="BAZ166" s="72"/>
      <c r="BBA166" s="72"/>
      <c r="BBB166" s="72"/>
      <c r="BBC166" s="72"/>
      <c r="BBD166" s="72"/>
      <c r="BBE166" s="72"/>
      <c r="BBF166" s="72"/>
      <c r="BBG166" s="72"/>
      <c r="BBH166" s="72"/>
      <c r="BBI166" s="72"/>
      <c r="BBJ166" s="72"/>
      <c r="BBK166" s="72"/>
      <c r="BBL166" s="72"/>
      <c r="BBM166" s="72"/>
      <c r="BBN166" s="72"/>
      <c r="BBO166" s="72"/>
      <c r="BBP166" s="72"/>
      <c r="BBQ166" s="72"/>
      <c r="BBR166" s="72"/>
      <c r="BBS166" s="72"/>
      <c r="BBT166" s="72"/>
      <c r="BBU166" s="72"/>
      <c r="BBV166" s="72"/>
      <c r="BBW166" s="72"/>
      <c r="BBX166" s="72"/>
      <c r="BBY166" s="72"/>
      <c r="BBZ166" s="72"/>
      <c r="BCA166" s="72"/>
      <c r="BCB166" s="72"/>
      <c r="BCC166" s="72"/>
      <c r="BCD166" s="72"/>
      <c r="BCE166" s="72"/>
      <c r="BCF166" s="72"/>
      <c r="BCG166" s="72"/>
      <c r="BCH166" s="72"/>
      <c r="BCI166" s="72"/>
      <c r="BCJ166" s="72"/>
      <c r="BCK166" s="72"/>
      <c r="BCL166" s="72"/>
      <c r="BCM166" s="72"/>
      <c r="BCN166" s="72"/>
      <c r="BCO166" s="72"/>
      <c r="BCP166" s="72"/>
      <c r="BCQ166" s="72"/>
      <c r="BCR166" s="72"/>
      <c r="BCS166" s="72"/>
      <c r="BCT166" s="72"/>
      <c r="BCU166" s="72"/>
      <c r="BCV166" s="72"/>
      <c r="BCW166" s="72"/>
      <c r="BCX166" s="72"/>
      <c r="BCY166" s="72"/>
      <c r="BCZ166" s="72"/>
      <c r="BDA166" s="72"/>
      <c r="BDB166" s="72"/>
      <c r="BDC166" s="72"/>
      <c r="BDD166" s="72"/>
      <c r="BDE166" s="72"/>
      <c r="BDF166" s="72"/>
      <c r="BDG166" s="72"/>
      <c r="BDH166" s="72"/>
      <c r="BDI166" s="72"/>
      <c r="BDJ166" s="72"/>
      <c r="BDK166" s="72"/>
      <c r="BDL166" s="72"/>
      <c r="BDM166" s="72"/>
      <c r="BDN166" s="72"/>
      <c r="BDO166" s="72"/>
      <c r="BDP166" s="72"/>
      <c r="BDQ166" s="72"/>
      <c r="BDR166" s="72"/>
      <c r="BDS166" s="72"/>
      <c r="BDT166" s="72"/>
      <c r="BDU166" s="72"/>
      <c r="BDV166" s="72"/>
      <c r="BDW166" s="72"/>
      <c r="BDX166" s="72"/>
      <c r="BDY166" s="72"/>
      <c r="BDZ166" s="72"/>
      <c r="BEA166" s="72"/>
      <c r="BEB166" s="72"/>
      <c r="BEC166" s="72"/>
      <c r="BED166" s="72"/>
      <c r="BEE166" s="72"/>
      <c r="BEF166" s="72"/>
      <c r="BEG166" s="72"/>
      <c r="BEH166" s="72"/>
      <c r="BEI166" s="72"/>
      <c r="BEJ166" s="72"/>
      <c r="BEK166" s="72"/>
      <c r="BEL166" s="72"/>
      <c r="BEM166" s="72"/>
      <c r="BEN166" s="72"/>
      <c r="BEO166" s="72"/>
      <c r="BEP166" s="72"/>
      <c r="BEQ166" s="72"/>
      <c r="BER166" s="72"/>
      <c r="BES166" s="72"/>
      <c r="BET166" s="72"/>
      <c r="BEU166" s="72"/>
      <c r="BEV166" s="72"/>
      <c r="BEW166" s="72"/>
      <c r="BEX166" s="72"/>
      <c r="BEY166" s="72"/>
      <c r="BEZ166" s="72"/>
      <c r="BFA166" s="72"/>
      <c r="BFB166" s="72"/>
      <c r="BFC166" s="72"/>
      <c r="BFD166" s="72"/>
      <c r="BFE166" s="72"/>
      <c r="BFF166" s="72"/>
      <c r="BFG166" s="72"/>
      <c r="BFH166" s="72"/>
      <c r="BFI166" s="72"/>
      <c r="BFJ166" s="72"/>
      <c r="BFK166" s="72"/>
      <c r="BFL166" s="72"/>
      <c r="BFM166" s="72"/>
      <c r="BFN166" s="72"/>
      <c r="BFO166" s="72"/>
      <c r="BFP166" s="72"/>
      <c r="BFQ166" s="72"/>
      <c r="BFR166" s="72"/>
      <c r="BFS166" s="72"/>
      <c r="BFT166" s="72"/>
      <c r="BFU166" s="72"/>
      <c r="BFV166" s="72"/>
      <c r="BFW166" s="72"/>
      <c r="BFX166" s="72"/>
      <c r="BFY166" s="72"/>
      <c r="BFZ166" s="72"/>
      <c r="BGA166" s="72"/>
      <c r="BGB166" s="72"/>
      <c r="BGC166" s="72"/>
      <c r="BGD166" s="72"/>
      <c r="BGE166" s="72"/>
      <c r="BGF166" s="72"/>
      <c r="BGG166" s="72"/>
      <c r="BGH166" s="72"/>
      <c r="BGI166" s="72"/>
      <c r="BGJ166" s="72"/>
      <c r="BGK166" s="72"/>
      <c r="BGL166" s="72"/>
      <c r="BGM166" s="72"/>
      <c r="BGN166" s="72"/>
      <c r="BGO166" s="72"/>
      <c r="BGP166" s="72"/>
      <c r="BGQ166" s="72"/>
      <c r="BGR166" s="72"/>
      <c r="BGS166" s="72"/>
      <c r="BGT166" s="72"/>
      <c r="BGU166" s="72"/>
      <c r="BGV166" s="72"/>
      <c r="BGW166" s="72"/>
      <c r="BGX166" s="72"/>
      <c r="BGY166" s="72"/>
      <c r="BGZ166" s="72"/>
      <c r="BHA166" s="72"/>
      <c r="BHB166" s="72"/>
      <c r="BHC166" s="72"/>
      <c r="BHD166" s="72"/>
      <c r="BHE166" s="72"/>
      <c r="BHF166" s="72"/>
      <c r="BHG166" s="72"/>
      <c r="BHH166" s="72"/>
      <c r="BHI166" s="72"/>
      <c r="BHJ166" s="72"/>
      <c r="BHK166" s="72"/>
      <c r="BHL166" s="72"/>
      <c r="BHM166" s="72"/>
      <c r="BHN166" s="72"/>
      <c r="BHO166" s="72"/>
      <c r="BHP166" s="72"/>
      <c r="BHQ166" s="72"/>
      <c r="BHR166" s="72"/>
      <c r="BHS166" s="72"/>
      <c r="BHT166" s="72"/>
      <c r="BHU166" s="72"/>
      <c r="BHV166" s="72"/>
      <c r="BHW166" s="72"/>
      <c r="BHX166" s="72"/>
      <c r="BHY166" s="72"/>
      <c r="BHZ166" s="72"/>
      <c r="BIA166" s="72"/>
      <c r="BIB166" s="72"/>
      <c r="BIC166" s="72"/>
      <c r="BID166" s="72"/>
      <c r="BIE166" s="72"/>
      <c r="BIF166" s="72"/>
      <c r="BIG166" s="72"/>
      <c r="BIH166" s="72"/>
      <c r="BII166" s="72"/>
      <c r="BIJ166" s="72"/>
      <c r="BIK166" s="72"/>
      <c r="BIL166" s="72"/>
      <c r="BIM166" s="72"/>
      <c r="BIN166" s="72"/>
      <c r="BIO166" s="72"/>
      <c r="BIP166" s="72"/>
      <c r="BIQ166" s="72"/>
      <c r="BIR166" s="72"/>
      <c r="BIS166" s="72"/>
      <c r="BIT166" s="72"/>
      <c r="BIU166" s="72"/>
      <c r="BIV166" s="72"/>
      <c r="BIW166" s="72"/>
      <c r="BIX166" s="72"/>
      <c r="BIY166" s="72"/>
      <c r="BIZ166" s="72"/>
      <c r="BJA166" s="72"/>
      <c r="BJB166" s="72"/>
      <c r="BJC166" s="72"/>
      <c r="BJD166" s="72"/>
      <c r="BJE166" s="72"/>
      <c r="BJF166" s="72"/>
      <c r="BJG166" s="72"/>
      <c r="BJH166" s="72"/>
      <c r="BJI166" s="72"/>
      <c r="BJJ166" s="72"/>
      <c r="BJK166" s="72"/>
      <c r="BJL166" s="72"/>
      <c r="BJM166" s="72"/>
      <c r="BJN166" s="72"/>
      <c r="BJO166" s="72"/>
      <c r="BJP166" s="72"/>
      <c r="BJQ166" s="72"/>
      <c r="BJR166" s="72"/>
      <c r="BJS166" s="72"/>
      <c r="BJT166" s="72"/>
      <c r="BJU166" s="72"/>
      <c r="BJV166" s="72"/>
      <c r="BJW166" s="72"/>
      <c r="BJX166" s="72"/>
      <c r="BJY166" s="72"/>
      <c r="BJZ166" s="72"/>
      <c r="BKA166" s="72"/>
      <c r="BKB166" s="72"/>
      <c r="BKC166" s="72"/>
      <c r="BKD166" s="72"/>
      <c r="BKE166" s="72"/>
      <c r="BKF166" s="72"/>
      <c r="BKG166" s="72"/>
      <c r="BKH166" s="72"/>
      <c r="BKI166" s="72"/>
      <c r="BKJ166" s="72"/>
      <c r="BKK166" s="72"/>
      <c r="BKL166" s="72"/>
      <c r="BKM166" s="72"/>
      <c r="BKN166" s="72"/>
      <c r="BKO166" s="72"/>
      <c r="BKP166" s="72"/>
      <c r="BKQ166" s="72"/>
      <c r="BKR166" s="72"/>
      <c r="BKS166" s="72"/>
      <c r="BKT166" s="72"/>
      <c r="BKU166" s="72"/>
      <c r="BKV166" s="72"/>
      <c r="BKW166" s="72"/>
      <c r="BKX166" s="72"/>
      <c r="BKY166" s="72"/>
      <c r="BKZ166" s="72"/>
      <c r="BLA166" s="72"/>
      <c r="BLB166" s="72"/>
      <c r="BLC166" s="72"/>
      <c r="BLD166" s="72"/>
      <c r="BLE166" s="72"/>
      <c r="BLF166" s="72"/>
      <c r="BLG166" s="72"/>
      <c r="BLH166" s="72"/>
      <c r="BLI166" s="72"/>
      <c r="BLJ166" s="72"/>
      <c r="BLK166" s="72"/>
      <c r="BLL166" s="72"/>
      <c r="BLM166" s="72"/>
      <c r="BLN166" s="72"/>
      <c r="BLO166" s="72"/>
      <c r="BLP166" s="72"/>
      <c r="BLQ166" s="72"/>
      <c r="BLR166" s="72"/>
      <c r="BLS166" s="72"/>
      <c r="BLT166" s="72"/>
      <c r="BLU166" s="72"/>
      <c r="BLV166" s="72"/>
      <c r="BLW166" s="72"/>
      <c r="BLX166" s="72"/>
      <c r="BLY166" s="72"/>
      <c r="BLZ166" s="72"/>
      <c r="BMA166" s="72"/>
      <c r="BMB166" s="72"/>
      <c r="BMC166" s="72"/>
      <c r="BMD166" s="72"/>
      <c r="BME166" s="72"/>
      <c r="BMF166" s="72"/>
      <c r="BMG166" s="72"/>
      <c r="BMH166" s="72"/>
      <c r="BMI166" s="72"/>
      <c r="BMJ166" s="72"/>
      <c r="BMK166" s="72"/>
      <c r="BML166" s="72"/>
      <c r="BMM166" s="72"/>
      <c r="BMN166" s="72"/>
      <c r="BMO166" s="72"/>
      <c r="BMP166" s="72"/>
      <c r="BMQ166" s="72"/>
      <c r="BMR166" s="72"/>
      <c r="BMS166" s="72"/>
      <c r="BMT166" s="72"/>
      <c r="BMU166" s="72"/>
      <c r="BMV166" s="72"/>
      <c r="BMW166" s="72"/>
      <c r="BMX166" s="72"/>
      <c r="BMY166" s="72"/>
      <c r="BMZ166" s="72"/>
      <c r="BNA166" s="72"/>
      <c r="BNB166" s="72"/>
      <c r="BNC166" s="72"/>
      <c r="BND166" s="72"/>
      <c r="BNE166" s="72"/>
      <c r="BNF166" s="72"/>
      <c r="BNG166" s="72"/>
      <c r="BNH166" s="72"/>
      <c r="BNI166" s="72"/>
      <c r="BNJ166" s="72"/>
      <c r="BNK166" s="72"/>
      <c r="BNL166" s="72"/>
      <c r="BNM166" s="72"/>
      <c r="BNN166" s="72"/>
      <c r="BNO166" s="72"/>
      <c r="BNP166" s="72"/>
      <c r="BNQ166" s="72"/>
      <c r="BNR166" s="72"/>
      <c r="BNS166" s="72"/>
      <c r="BNT166" s="72"/>
      <c r="BNU166" s="72"/>
      <c r="BNV166" s="72"/>
      <c r="BNW166" s="72"/>
      <c r="BNX166" s="72"/>
      <c r="BNY166" s="72"/>
      <c r="BNZ166" s="72"/>
      <c r="BOA166" s="72"/>
      <c r="BOB166" s="72"/>
      <c r="BOC166" s="72"/>
      <c r="BOD166" s="72"/>
      <c r="BOE166" s="72"/>
      <c r="BOF166" s="72"/>
      <c r="BOG166" s="72"/>
      <c r="BOH166" s="72"/>
      <c r="BOI166" s="72"/>
      <c r="BOJ166" s="72"/>
      <c r="BOK166" s="72"/>
      <c r="BOL166" s="72"/>
      <c r="BOM166" s="72"/>
      <c r="BON166" s="72"/>
      <c r="BOO166" s="72"/>
      <c r="BOP166" s="72"/>
      <c r="BOQ166" s="72"/>
      <c r="BOR166" s="72"/>
      <c r="BOS166" s="72"/>
      <c r="BOT166" s="72"/>
      <c r="BOU166" s="72"/>
      <c r="BOV166" s="72"/>
      <c r="BOW166" s="72"/>
      <c r="BOX166" s="72"/>
      <c r="BOY166" s="72"/>
      <c r="BOZ166" s="72"/>
      <c r="BPA166" s="72"/>
      <c r="BPB166" s="72"/>
      <c r="BPC166" s="72"/>
      <c r="BPD166" s="72"/>
      <c r="BPE166" s="72"/>
      <c r="BPF166" s="72"/>
      <c r="BPG166" s="72"/>
      <c r="BPH166" s="72"/>
      <c r="BPI166" s="72"/>
      <c r="BPJ166" s="72"/>
      <c r="BPK166" s="72"/>
      <c r="BPL166" s="72"/>
      <c r="BPM166" s="72"/>
      <c r="BPN166" s="72"/>
      <c r="BPO166" s="72"/>
      <c r="BPP166" s="72"/>
      <c r="BPQ166" s="72"/>
      <c r="BPR166" s="72"/>
      <c r="BPS166" s="72"/>
      <c r="BPT166" s="72"/>
      <c r="BPU166" s="72"/>
      <c r="BPV166" s="72"/>
      <c r="BPW166" s="72"/>
      <c r="BPX166" s="72"/>
      <c r="BPY166" s="72"/>
      <c r="BPZ166" s="72"/>
      <c r="BQA166" s="72"/>
      <c r="BQB166" s="72"/>
      <c r="BQC166" s="72"/>
      <c r="BQD166" s="72"/>
      <c r="BQE166" s="72"/>
      <c r="BQF166" s="72"/>
      <c r="BQG166" s="72"/>
      <c r="BQH166" s="72"/>
      <c r="BQI166" s="72"/>
      <c r="BQJ166" s="72"/>
      <c r="BQK166" s="72"/>
      <c r="BQL166" s="72"/>
      <c r="BQM166" s="72"/>
      <c r="BQN166" s="72"/>
      <c r="BQO166" s="72"/>
      <c r="BQP166" s="72"/>
      <c r="BQQ166" s="72"/>
      <c r="BQR166" s="72"/>
      <c r="BQS166" s="72"/>
      <c r="BQT166" s="72"/>
      <c r="BQU166" s="72"/>
      <c r="BQV166" s="72"/>
      <c r="BQW166" s="72"/>
      <c r="BQX166" s="72"/>
      <c r="BQY166" s="72"/>
      <c r="BQZ166" s="72"/>
      <c r="BRA166" s="72"/>
      <c r="BRB166" s="72"/>
      <c r="BRC166" s="72"/>
      <c r="BRD166" s="72"/>
      <c r="BRE166" s="72"/>
      <c r="BRF166" s="72"/>
      <c r="BRG166" s="72"/>
      <c r="BRH166" s="72"/>
      <c r="BRI166" s="72"/>
      <c r="BRJ166" s="72"/>
      <c r="BRK166" s="72"/>
      <c r="BRL166" s="72"/>
      <c r="BRM166" s="72"/>
      <c r="BRN166" s="72"/>
      <c r="BRO166" s="72"/>
      <c r="BRP166" s="72"/>
      <c r="BRQ166" s="72"/>
      <c r="BRR166" s="72"/>
      <c r="BRS166" s="72"/>
      <c r="BRT166" s="72"/>
      <c r="BRU166" s="72"/>
      <c r="BRV166" s="72"/>
      <c r="BRW166" s="72"/>
      <c r="BRX166" s="72"/>
      <c r="BRY166" s="72"/>
      <c r="BRZ166" s="72"/>
      <c r="BSA166" s="72"/>
      <c r="BSB166" s="72"/>
      <c r="BSC166" s="72"/>
      <c r="BSD166" s="72"/>
      <c r="BSE166" s="72"/>
      <c r="BSF166" s="72"/>
      <c r="BSG166" s="72"/>
      <c r="BSH166" s="72"/>
      <c r="BSI166" s="72"/>
      <c r="BSJ166" s="72"/>
      <c r="BSK166" s="72"/>
      <c r="BSL166" s="72"/>
      <c r="BSM166" s="72"/>
      <c r="BSN166" s="72"/>
      <c r="BSO166" s="72"/>
      <c r="BSP166" s="72"/>
      <c r="BSQ166" s="72"/>
      <c r="BSR166" s="72"/>
      <c r="BSS166" s="72"/>
      <c r="BST166" s="72"/>
      <c r="BSU166" s="72"/>
      <c r="BSV166" s="72"/>
      <c r="BSW166" s="72"/>
      <c r="BSX166" s="72"/>
      <c r="BSY166" s="72"/>
      <c r="BSZ166" s="72"/>
      <c r="BTA166" s="72"/>
      <c r="BTB166" s="72"/>
      <c r="BTC166" s="72"/>
      <c r="BTD166" s="72"/>
      <c r="BTE166" s="72"/>
      <c r="BTF166" s="72"/>
      <c r="BTG166" s="72"/>
      <c r="BTH166" s="72"/>
      <c r="BTI166" s="72"/>
      <c r="BTJ166" s="72"/>
      <c r="BTK166" s="72"/>
      <c r="BTL166" s="72"/>
      <c r="BTM166" s="72"/>
      <c r="BTN166" s="72"/>
      <c r="BTO166" s="72"/>
      <c r="BTP166" s="72"/>
      <c r="BTQ166" s="72"/>
      <c r="BTR166" s="72"/>
      <c r="BTS166" s="72"/>
      <c r="BTT166" s="72"/>
      <c r="BTU166" s="72"/>
      <c r="BTV166" s="72"/>
      <c r="BTW166" s="72"/>
      <c r="BTX166" s="72"/>
      <c r="BTY166" s="72"/>
      <c r="BTZ166" s="72"/>
      <c r="BUA166" s="72"/>
      <c r="BUB166" s="72"/>
      <c r="BUC166" s="72"/>
      <c r="BUD166" s="72"/>
      <c r="BUE166" s="72"/>
      <c r="BUF166" s="72"/>
      <c r="BUG166" s="72"/>
      <c r="BUH166" s="72"/>
      <c r="BUI166" s="72"/>
      <c r="BUJ166" s="72"/>
      <c r="BUK166" s="72"/>
      <c r="BUL166" s="72"/>
      <c r="BUM166" s="72"/>
      <c r="BUN166" s="72"/>
      <c r="BUO166" s="72"/>
      <c r="BUP166" s="72"/>
      <c r="BUQ166" s="72"/>
      <c r="BUR166" s="72"/>
      <c r="BUS166" s="72"/>
      <c r="BUT166" s="72"/>
      <c r="BUU166" s="72"/>
      <c r="BUV166" s="72"/>
      <c r="BUW166" s="72"/>
      <c r="BUX166" s="72"/>
      <c r="BUY166" s="72"/>
      <c r="BUZ166" s="72"/>
      <c r="BVA166" s="72"/>
      <c r="BVB166" s="72"/>
      <c r="BVC166" s="72"/>
      <c r="BVD166" s="72"/>
      <c r="BVE166" s="72"/>
      <c r="BVF166" s="72"/>
      <c r="BVG166" s="72"/>
      <c r="BVH166" s="72"/>
      <c r="BVI166" s="72"/>
      <c r="BVJ166" s="72"/>
      <c r="BVK166" s="72"/>
      <c r="BVL166" s="72"/>
      <c r="BVM166" s="72"/>
      <c r="BVN166" s="72"/>
      <c r="BVO166" s="72"/>
      <c r="BVP166" s="72"/>
      <c r="BVQ166" s="72"/>
      <c r="BVR166" s="72"/>
      <c r="BVS166" s="72"/>
      <c r="BVT166" s="72"/>
      <c r="BVU166" s="72"/>
      <c r="BVV166" s="72"/>
      <c r="BVW166" s="72"/>
      <c r="BVX166" s="72"/>
      <c r="BVY166" s="72"/>
      <c r="BVZ166" s="72"/>
      <c r="BWA166" s="72"/>
      <c r="BWB166" s="72"/>
      <c r="BWC166" s="72"/>
      <c r="BWD166" s="72"/>
      <c r="BWE166" s="72"/>
      <c r="BWF166" s="72"/>
      <c r="BWG166" s="72"/>
      <c r="BWH166" s="72"/>
      <c r="BWI166" s="72"/>
      <c r="BWJ166" s="72"/>
      <c r="BWK166" s="72"/>
      <c r="BWL166" s="72"/>
      <c r="BWM166" s="72"/>
      <c r="BWN166" s="72"/>
      <c r="BWO166" s="72"/>
      <c r="BWP166" s="72"/>
      <c r="BWQ166" s="72"/>
      <c r="BWR166" s="72"/>
      <c r="BWS166" s="72"/>
      <c r="BWT166" s="72"/>
      <c r="BWU166" s="72"/>
      <c r="BWV166" s="72"/>
      <c r="BWW166" s="72"/>
      <c r="BWX166" s="72"/>
      <c r="BWY166" s="72"/>
      <c r="BWZ166" s="72"/>
      <c r="BXA166" s="72"/>
      <c r="BXB166" s="72"/>
      <c r="BXC166" s="72"/>
      <c r="BXD166" s="72"/>
      <c r="BXE166" s="72"/>
      <c r="BXF166" s="72"/>
      <c r="BXG166" s="72"/>
      <c r="BXH166" s="72"/>
      <c r="BXI166" s="72"/>
      <c r="BXJ166" s="72"/>
      <c r="BXK166" s="72"/>
      <c r="BXL166" s="72"/>
      <c r="BXM166" s="72"/>
      <c r="BXN166" s="72"/>
      <c r="BXO166" s="72"/>
      <c r="BXP166" s="72"/>
      <c r="BXQ166" s="72"/>
      <c r="BXR166" s="72"/>
      <c r="BXS166" s="72"/>
      <c r="BXT166" s="72"/>
      <c r="BXU166" s="72"/>
      <c r="BXV166" s="72"/>
      <c r="BXW166" s="72"/>
      <c r="BXX166" s="72"/>
      <c r="BXY166" s="72"/>
      <c r="BXZ166" s="72"/>
      <c r="BYA166" s="72"/>
      <c r="BYB166" s="72"/>
      <c r="BYC166" s="72"/>
      <c r="BYD166" s="72"/>
      <c r="BYE166" s="72"/>
      <c r="BYF166" s="72"/>
      <c r="BYG166" s="72"/>
      <c r="BYH166" s="72"/>
      <c r="BYI166" s="72"/>
      <c r="BYJ166" s="72"/>
      <c r="BYK166" s="72"/>
      <c r="BYL166" s="72"/>
      <c r="BYM166" s="72"/>
      <c r="BYN166" s="72"/>
      <c r="BYO166" s="72"/>
      <c r="BYP166" s="72"/>
      <c r="BYQ166" s="72"/>
      <c r="BYR166" s="72"/>
      <c r="BYS166" s="72"/>
      <c r="BYT166" s="72"/>
      <c r="BYU166" s="72"/>
      <c r="BYV166" s="72"/>
      <c r="BYW166" s="72"/>
      <c r="BYX166" s="72"/>
      <c r="BYY166" s="72"/>
      <c r="BYZ166" s="72"/>
      <c r="BZA166" s="72"/>
      <c r="BZB166" s="72"/>
      <c r="BZC166" s="72"/>
      <c r="BZD166" s="72"/>
      <c r="BZE166" s="72"/>
      <c r="BZF166" s="72"/>
      <c r="BZG166" s="72"/>
      <c r="BZH166" s="72"/>
      <c r="BZI166" s="72"/>
      <c r="BZJ166" s="72"/>
      <c r="BZK166" s="72"/>
      <c r="BZL166" s="72"/>
      <c r="BZM166" s="72"/>
      <c r="BZN166" s="72"/>
      <c r="BZO166" s="72"/>
      <c r="BZP166" s="72"/>
      <c r="BZQ166" s="72"/>
      <c r="BZR166" s="72"/>
      <c r="BZS166" s="72"/>
      <c r="BZT166" s="72"/>
      <c r="BZU166" s="72"/>
      <c r="BZV166" s="72"/>
      <c r="BZW166" s="72"/>
      <c r="BZX166" s="72"/>
      <c r="BZY166" s="72"/>
      <c r="BZZ166" s="72"/>
      <c r="CAA166" s="72"/>
      <c r="CAB166" s="72"/>
      <c r="CAC166" s="72"/>
      <c r="CAD166" s="72"/>
      <c r="CAE166" s="72"/>
      <c r="CAF166" s="72"/>
      <c r="CAG166" s="72"/>
      <c r="CAH166" s="72"/>
      <c r="CAI166" s="72"/>
      <c r="CAJ166" s="72"/>
      <c r="CAK166" s="72"/>
      <c r="CAL166" s="72"/>
      <c r="CAM166" s="72"/>
      <c r="CAN166" s="72"/>
      <c r="CAO166" s="72"/>
      <c r="CAP166" s="72"/>
      <c r="CAQ166" s="72"/>
      <c r="CAR166" s="72"/>
      <c r="CAS166" s="72"/>
      <c r="CAT166" s="72"/>
      <c r="CAU166" s="72"/>
      <c r="CAV166" s="72"/>
      <c r="CAW166" s="72"/>
      <c r="CAX166" s="72"/>
      <c r="CAY166" s="72"/>
      <c r="CAZ166" s="72"/>
      <c r="CBA166" s="72"/>
      <c r="CBB166" s="72"/>
      <c r="CBC166" s="72"/>
      <c r="CBD166" s="72"/>
      <c r="CBE166" s="72"/>
      <c r="CBF166" s="72"/>
      <c r="CBG166" s="72"/>
      <c r="CBH166" s="72"/>
      <c r="CBI166" s="72"/>
      <c r="CBJ166" s="72"/>
      <c r="CBK166" s="72"/>
      <c r="CBL166" s="72"/>
      <c r="CBM166" s="72"/>
      <c r="CBN166" s="72"/>
      <c r="CBO166" s="72"/>
      <c r="CBP166" s="72"/>
      <c r="CBQ166" s="72"/>
      <c r="CBR166" s="72"/>
      <c r="CBS166" s="72"/>
      <c r="CBT166" s="72"/>
      <c r="CBU166" s="72"/>
      <c r="CBV166" s="72"/>
      <c r="CBW166" s="72"/>
      <c r="CBX166" s="72"/>
      <c r="CBY166" s="72"/>
      <c r="CBZ166" s="72"/>
      <c r="CCA166" s="72"/>
      <c r="CCB166" s="72"/>
      <c r="CCC166" s="72"/>
      <c r="CCD166" s="72"/>
      <c r="CCE166" s="72"/>
      <c r="CCF166" s="72"/>
      <c r="CCG166" s="72"/>
      <c r="CCH166" s="72"/>
      <c r="CCI166" s="72"/>
      <c r="CCJ166" s="72"/>
      <c r="CCK166" s="72"/>
      <c r="CCL166" s="72"/>
      <c r="CCM166" s="72"/>
      <c r="CCN166" s="72"/>
      <c r="CCO166" s="72"/>
      <c r="CCP166" s="72"/>
      <c r="CCQ166" s="72"/>
      <c r="CCR166" s="72"/>
      <c r="CCS166" s="72"/>
      <c r="CCT166" s="72"/>
      <c r="CCU166" s="72"/>
      <c r="CCV166" s="72"/>
      <c r="CCW166" s="72"/>
      <c r="CCX166" s="72"/>
      <c r="CCY166" s="72"/>
      <c r="CCZ166" s="72"/>
      <c r="CDA166" s="72"/>
      <c r="CDB166" s="72"/>
      <c r="CDC166" s="72"/>
      <c r="CDD166" s="72"/>
      <c r="CDE166" s="72"/>
      <c r="CDF166" s="72"/>
      <c r="CDG166" s="72"/>
      <c r="CDH166" s="72"/>
      <c r="CDI166" s="72"/>
      <c r="CDJ166" s="72"/>
      <c r="CDK166" s="72"/>
      <c r="CDL166" s="72"/>
      <c r="CDM166" s="72"/>
      <c r="CDN166" s="72"/>
      <c r="CDO166" s="72"/>
      <c r="CDP166" s="72"/>
      <c r="CDQ166" s="72"/>
      <c r="CDR166" s="72"/>
      <c r="CDS166" s="72"/>
      <c r="CDT166" s="72"/>
      <c r="CDU166" s="72"/>
      <c r="CDV166" s="72"/>
      <c r="CDW166" s="72"/>
      <c r="CDX166" s="72"/>
      <c r="CDY166" s="72"/>
      <c r="CDZ166" s="72"/>
      <c r="CEA166" s="72"/>
      <c r="CEB166" s="72"/>
      <c r="CEC166" s="72"/>
      <c r="CED166" s="72"/>
      <c r="CEE166" s="72"/>
      <c r="CEF166" s="72"/>
      <c r="CEG166" s="72"/>
      <c r="CEH166" s="72"/>
      <c r="CEI166" s="72"/>
      <c r="CEJ166" s="72"/>
      <c r="CEK166" s="72"/>
      <c r="CEL166" s="72"/>
      <c r="CEM166" s="72"/>
      <c r="CEN166" s="72"/>
      <c r="CEO166" s="72"/>
      <c r="CEP166" s="72"/>
      <c r="CEQ166" s="72"/>
      <c r="CER166" s="72"/>
      <c r="CES166" s="72"/>
      <c r="CET166" s="72"/>
      <c r="CEU166" s="72"/>
      <c r="CEV166" s="72"/>
      <c r="CEW166" s="72"/>
      <c r="CEX166" s="72"/>
      <c r="CEY166" s="72"/>
      <c r="CEZ166" s="72"/>
      <c r="CFA166" s="72"/>
      <c r="CFB166" s="72"/>
      <c r="CFC166" s="72"/>
      <c r="CFD166" s="72"/>
      <c r="CFE166" s="72"/>
      <c r="CFF166" s="72"/>
      <c r="CFG166" s="72"/>
      <c r="CFH166" s="72"/>
      <c r="CFI166" s="72"/>
      <c r="CFJ166" s="72"/>
      <c r="CFK166" s="72"/>
      <c r="CFL166" s="72"/>
      <c r="CFM166" s="72"/>
      <c r="CFN166" s="72"/>
      <c r="CFO166" s="72"/>
      <c r="CFP166" s="72"/>
      <c r="CFQ166" s="72"/>
      <c r="CFR166" s="72"/>
      <c r="CFS166" s="72"/>
      <c r="CFT166" s="72"/>
      <c r="CFU166" s="72"/>
      <c r="CFV166" s="72"/>
      <c r="CFW166" s="72"/>
      <c r="CFX166" s="72"/>
      <c r="CFY166" s="72"/>
      <c r="CFZ166" s="72"/>
      <c r="CGA166" s="72"/>
      <c r="CGB166" s="72"/>
      <c r="CGC166" s="72"/>
      <c r="CGD166" s="72"/>
      <c r="CGE166" s="72"/>
      <c r="CGF166" s="72"/>
      <c r="CGG166" s="72"/>
      <c r="CGH166" s="72"/>
      <c r="CGI166" s="72"/>
      <c r="CGJ166" s="72"/>
      <c r="CGK166" s="72"/>
      <c r="CGL166" s="72"/>
      <c r="CGM166" s="72"/>
      <c r="CGN166" s="72"/>
      <c r="CGO166" s="72"/>
      <c r="CGP166" s="72"/>
      <c r="CGQ166" s="72"/>
      <c r="CGR166" s="72"/>
      <c r="CGS166" s="72"/>
      <c r="CGT166" s="72"/>
      <c r="CGU166" s="72"/>
      <c r="CGV166" s="72"/>
      <c r="CGW166" s="72"/>
      <c r="CGX166" s="72"/>
      <c r="CGY166" s="72"/>
      <c r="CGZ166" s="72"/>
      <c r="CHA166" s="72"/>
      <c r="CHB166" s="72"/>
      <c r="CHC166" s="72"/>
      <c r="CHD166" s="72"/>
      <c r="CHE166" s="72"/>
      <c r="CHF166" s="72"/>
      <c r="CHG166" s="72"/>
      <c r="CHH166" s="72"/>
      <c r="CHI166" s="72"/>
      <c r="CHJ166" s="72"/>
      <c r="CHK166" s="72"/>
      <c r="CHL166" s="72"/>
      <c r="CHM166" s="72"/>
      <c r="CHN166" s="72"/>
      <c r="CHO166" s="72"/>
      <c r="CHP166" s="72"/>
      <c r="CHQ166" s="72"/>
      <c r="CHR166" s="72"/>
      <c r="CHS166" s="72"/>
      <c r="CHT166" s="72"/>
      <c r="CHU166" s="72"/>
      <c r="CHV166" s="72"/>
      <c r="CHW166" s="72"/>
      <c r="CHX166" s="72"/>
      <c r="CHY166" s="72"/>
      <c r="CHZ166" s="72"/>
      <c r="CIA166" s="72"/>
      <c r="CIB166" s="72"/>
      <c r="CIC166" s="72"/>
      <c r="CID166" s="72"/>
      <c r="CIE166" s="72"/>
      <c r="CIF166" s="72"/>
      <c r="CIG166" s="72"/>
      <c r="CIH166" s="72"/>
      <c r="CII166" s="72"/>
      <c r="CIJ166" s="72"/>
      <c r="CIK166" s="72"/>
      <c r="CIL166" s="72"/>
      <c r="CIM166" s="72"/>
      <c r="CIN166" s="72"/>
      <c r="CIO166" s="72"/>
      <c r="CIP166" s="72"/>
      <c r="CIQ166" s="72"/>
      <c r="CIR166" s="72"/>
      <c r="CIS166" s="72"/>
      <c r="CIT166" s="72"/>
      <c r="CIU166" s="72"/>
      <c r="CIV166" s="72"/>
      <c r="CIW166" s="72"/>
      <c r="CIX166" s="72"/>
      <c r="CIY166" s="72"/>
      <c r="CIZ166" s="72"/>
      <c r="CJA166" s="72"/>
      <c r="CJB166" s="72"/>
      <c r="CJC166" s="72"/>
      <c r="CJD166" s="72"/>
      <c r="CJE166" s="72"/>
      <c r="CJF166" s="72"/>
      <c r="CJG166" s="72"/>
      <c r="CJH166" s="72"/>
      <c r="CJI166" s="72"/>
      <c r="CJJ166" s="72"/>
      <c r="CJK166" s="72"/>
      <c r="CJL166" s="72"/>
      <c r="CJM166" s="72"/>
      <c r="CJN166" s="72"/>
      <c r="CJO166" s="72"/>
      <c r="CJP166" s="72"/>
      <c r="CJQ166" s="72"/>
      <c r="CJR166" s="72"/>
      <c r="CJS166" s="72"/>
      <c r="CJT166" s="72"/>
      <c r="CJU166" s="72"/>
      <c r="CJV166" s="72"/>
      <c r="CJW166" s="72"/>
      <c r="CJX166" s="72"/>
      <c r="CJY166" s="72"/>
      <c r="CJZ166" s="72"/>
      <c r="CKA166" s="72"/>
      <c r="CKB166" s="72"/>
      <c r="CKC166" s="72"/>
      <c r="CKD166" s="72"/>
      <c r="CKE166" s="72"/>
      <c r="CKF166" s="72"/>
      <c r="CKG166" s="72"/>
      <c r="CKH166" s="72"/>
      <c r="CKI166" s="72"/>
      <c r="CKJ166" s="72"/>
      <c r="CKK166" s="72"/>
      <c r="CKL166" s="72"/>
      <c r="CKM166" s="72"/>
      <c r="CKN166" s="72"/>
      <c r="CKO166" s="72"/>
      <c r="CKP166" s="72"/>
      <c r="CKQ166" s="72"/>
      <c r="CKR166" s="72"/>
      <c r="CKS166" s="72"/>
      <c r="CKT166" s="72"/>
      <c r="CKU166" s="72"/>
      <c r="CKV166" s="72"/>
      <c r="CKW166" s="72"/>
      <c r="CKX166" s="72"/>
      <c r="CKY166" s="72"/>
      <c r="CKZ166" s="72"/>
      <c r="CLA166" s="72"/>
      <c r="CLB166" s="72"/>
      <c r="CLC166" s="72"/>
      <c r="CLD166" s="72"/>
      <c r="CLE166" s="72"/>
      <c r="CLF166" s="72"/>
      <c r="CLG166" s="72"/>
      <c r="CLH166" s="72"/>
      <c r="CLI166" s="72"/>
      <c r="CLJ166" s="72"/>
      <c r="CLK166" s="72"/>
      <c r="CLL166" s="72"/>
      <c r="CLM166" s="72"/>
      <c r="CLN166" s="72"/>
      <c r="CLO166" s="72"/>
      <c r="CLP166" s="72"/>
      <c r="CLQ166" s="72"/>
      <c r="CLR166" s="72"/>
      <c r="CLS166" s="72"/>
      <c r="CLT166" s="72"/>
      <c r="CLU166" s="72"/>
      <c r="CLV166" s="72"/>
      <c r="CLW166" s="72"/>
      <c r="CLX166" s="72"/>
      <c r="CLY166" s="72"/>
      <c r="CLZ166" s="72"/>
      <c r="CMA166" s="72"/>
      <c r="CMB166" s="72"/>
      <c r="CMC166" s="72"/>
      <c r="CMD166" s="72"/>
      <c r="CME166" s="72"/>
      <c r="CMF166" s="72"/>
      <c r="CMG166" s="72"/>
      <c r="CMH166" s="72"/>
      <c r="CMI166" s="72"/>
      <c r="CMJ166" s="72"/>
      <c r="CMK166" s="72"/>
      <c r="CML166" s="72"/>
      <c r="CMM166" s="72"/>
      <c r="CMN166" s="72"/>
      <c r="CMO166" s="72"/>
      <c r="CMP166" s="72"/>
      <c r="CMQ166" s="72"/>
      <c r="CMR166" s="72"/>
      <c r="CMS166" s="72"/>
      <c r="CMT166" s="72"/>
      <c r="CMU166" s="72"/>
      <c r="CMV166" s="72"/>
      <c r="CMW166" s="72"/>
      <c r="CMX166" s="72"/>
      <c r="CMY166" s="72"/>
      <c r="CMZ166" s="72"/>
      <c r="CNA166" s="72"/>
      <c r="CNB166" s="72"/>
      <c r="CNC166" s="72"/>
      <c r="CND166" s="72"/>
      <c r="CNE166" s="72"/>
      <c r="CNF166" s="72"/>
      <c r="CNG166" s="72"/>
      <c r="CNH166" s="72"/>
      <c r="CNI166" s="72"/>
      <c r="CNJ166" s="72"/>
      <c r="CNK166" s="72"/>
      <c r="CNL166" s="72"/>
      <c r="CNM166" s="72"/>
      <c r="CNN166" s="72"/>
      <c r="CNO166" s="72"/>
      <c r="CNP166" s="72"/>
      <c r="CNQ166" s="72"/>
      <c r="CNR166" s="72"/>
      <c r="CNS166" s="72"/>
      <c r="CNT166" s="72"/>
      <c r="CNU166" s="72"/>
      <c r="CNV166" s="72"/>
      <c r="CNW166" s="72"/>
      <c r="CNX166" s="72"/>
      <c r="CNY166" s="72"/>
      <c r="CNZ166" s="72"/>
      <c r="COA166" s="72"/>
      <c r="COB166" s="72"/>
      <c r="COC166" s="72"/>
      <c r="COD166" s="72"/>
      <c r="COE166" s="72"/>
      <c r="COF166" s="72"/>
      <c r="COG166" s="72"/>
      <c r="COH166" s="72"/>
      <c r="COI166" s="72"/>
      <c r="COJ166" s="72"/>
      <c r="COK166" s="72"/>
      <c r="COL166" s="72"/>
      <c r="COM166" s="72"/>
      <c r="CON166" s="72"/>
      <c r="COO166" s="72"/>
      <c r="COP166" s="72"/>
      <c r="COQ166" s="72"/>
      <c r="COR166" s="72"/>
      <c r="COS166" s="72"/>
      <c r="COT166" s="72"/>
      <c r="COU166" s="72"/>
      <c r="COV166" s="72"/>
      <c r="COW166" s="72"/>
      <c r="COX166" s="72"/>
      <c r="COY166" s="72"/>
      <c r="COZ166" s="72"/>
      <c r="CPA166" s="72"/>
      <c r="CPB166" s="72"/>
      <c r="CPC166" s="72"/>
      <c r="CPD166" s="72"/>
      <c r="CPE166" s="72"/>
      <c r="CPF166" s="72"/>
      <c r="CPG166" s="72"/>
      <c r="CPH166" s="72"/>
      <c r="CPI166" s="72"/>
      <c r="CPJ166" s="72"/>
      <c r="CPK166" s="72"/>
      <c r="CPL166" s="72"/>
      <c r="CPM166" s="72"/>
      <c r="CPN166" s="72"/>
      <c r="CPO166" s="72"/>
      <c r="CPP166" s="72"/>
      <c r="CPQ166" s="72"/>
      <c r="CPR166" s="72"/>
      <c r="CPS166" s="72"/>
      <c r="CPT166" s="72"/>
      <c r="CPU166" s="72"/>
      <c r="CPV166" s="72"/>
      <c r="CPW166" s="72"/>
      <c r="CPX166" s="72"/>
      <c r="CPY166" s="72"/>
      <c r="CPZ166" s="72"/>
      <c r="CQA166" s="72"/>
      <c r="CQB166" s="72"/>
      <c r="CQC166" s="72"/>
      <c r="CQD166" s="72"/>
      <c r="CQE166" s="72"/>
      <c r="CQF166" s="72"/>
      <c r="CQG166" s="72"/>
      <c r="CQH166" s="72"/>
      <c r="CQI166" s="72"/>
      <c r="CQJ166" s="72"/>
      <c r="CQK166" s="72"/>
      <c r="CQL166" s="72"/>
      <c r="CQM166" s="72"/>
      <c r="CQN166" s="72"/>
      <c r="CQO166" s="72"/>
      <c r="CQP166" s="72"/>
      <c r="CQQ166" s="72"/>
      <c r="CQR166" s="72"/>
      <c r="CQS166" s="72"/>
      <c r="CQT166" s="72"/>
      <c r="CQU166" s="72"/>
      <c r="CQV166" s="72"/>
      <c r="CQW166" s="72"/>
      <c r="CQX166" s="72"/>
      <c r="CQY166" s="72"/>
      <c r="CQZ166" s="72"/>
      <c r="CRA166" s="72"/>
      <c r="CRB166" s="72"/>
      <c r="CRC166" s="72"/>
      <c r="CRD166" s="72"/>
      <c r="CRE166" s="72"/>
      <c r="CRF166" s="72"/>
      <c r="CRG166" s="72"/>
      <c r="CRH166" s="72"/>
      <c r="CRI166" s="72"/>
      <c r="CRJ166" s="72"/>
      <c r="CRK166" s="72"/>
      <c r="CRL166" s="72"/>
      <c r="CRM166" s="72"/>
      <c r="CRN166" s="72"/>
      <c r="CRO166" s="72"/>
      <c r="CRP166" s="72"/>
      <c r="CRQ166" s="72"/>
      <c r="CRR166" s="72"/>
      <c r="CRS166" s="72"/>
      <c r="CRT166" s="72"/>
      <c r="CRU166" s="72"/>
      <c r="CRV166" s="72"/>
      <c r="CRW166" s="72"/>
      <c r="CRX166" s="72"/>
      <c r="CRY166" s="72"/>
      <c r="CRZ166" s="72"/>
      <c r="CSA166" s="72"/>
      <c r="CSB166" s="72"/>
      <c r="CSC166" s="72"/>
      <c r="CSD166" s="72"/>
      <c r="CSE166" s="72"/>
      <c r="CSF166" s="72"/>
      <c r="CSG166" s="72"/>
      <c r="CSH166" s="72"/>
      <c r="CSI166" s="72"/>
      <c r="CSJ166" s="72"/>
      <c r="CSK166" s="72"/>
      <c r="CSL166" s="72"/>
      <c r="CSM166" s="72"/>
      <c r="CSN166" s="72"/>
      <c r="CSO166" s="72"/>
      <c r="CSP166" s="72"/>
      <c r="CSQ166" s="72"/>
      <c r="CSR166" s="72"/>
      <c r="CSS166" s="72"/>
      <c r="CST166" s="72"/>
      <c r="CSU166" s="72"/>
      <c r="CSV166" s="72"/>
      <c r="CSW166" s="72"/>
      <c r="CSX166" s="72"/>
      <c r="CSY166" s="72"/>
      <c r="CSZ166" s="72"/>
      <c r="CTA166" s="72"/>
      <c r="CTB166" s="72"/>
      <c r="CTC166" s="72"/>
      <c r="CTD166" s="72"/>
      <c r="CTE166" s="72"/>
      <c r="CTF166" s="72"/>
      <c r="CTG166" s="72"/>
      <c r="CTH166" s="72"/>
      <c r="CTI166" s="72"/>
      <c r="CTJ166" s="72"/>
      <c r="CTK166" s="72"/>
      <c r="CTL166" s="72"/>
      <c r="CTM166" s="72"/>
      <c r="CTN166" s="72"/>
      <c r="CTO166" s="72"/>
      <c r="CTP166" s="72"/>
      <c r="CTQ166" s="72"/>
      <c r="CTR166" s="72"/>
      <c r="CTS166" s="72"/>
      <c r="CTT166" s="72"/>
      <c r="CTU166" s="72"/>
      <c r="CTV166" s="72"/>
      <c r="CTW166" s="72"/>
      <c r="CTX166" s="72"/>
      <c r="CTY166" s="72"/>
      <c r="CTZ166" s="72"/>
      <c r="CUA166" s="72"/>
      <c r="CUB166" s="72"/>
      <c r="CUC166" s="72"/>
      <c r="CUD166" s="72"/>
      <c r="CUE166" s="72"/>
      <c r="CUF166" s="72"/>
      <c r="CUG166" s="72"/>
      <c r="CUH166" s="72"/>
      <c r="CUI166" s="72"/>
      <c r="CUJ166" s="72"/>
      <c r="CUK166" s="72"/>
      <c r="CUL166" s="72"/>
      <c r="CUM166" s="72"/>
      <c r="CUN166" s="72"/>
      <c r="CUO166" s="72"/>
      <c r="CUP166" s="72"/>
      <c r="CUQ166" s="72"/>
      <c r="CUR166" s="72"/>
      <c r="CUS166" s="72"/>
      <c r="CUT166" s="72"/>
      <c r="CUU166" s="72"/>
      <c r="CUV166" s="72"/>
      <c r="CUW166" s="72"/>
      <c r="CUX166" s="72"/>
      <c r="CUY166" s="72"/>
      <c r="CUZ166" s="72"/>
      <c r="CVA166" s="72"/>
      <c r="CVB166" s="72"/>
      <c r="CVC166" s="72"/>
      <c r="CVD166" s="72"/>
      <c r="CVE166" s="72"/>
      <c r="CVF166" s="72"/>
      <c r="CVG166" s="72"/>
      <c r="CVH166" s="72"/>
      <c r="CVI166" s="72"/>
      <c r="CVJ166" s="72"/>
      <c r="CVK166" s="72"/>
      <c r="CVL166" s="72"/>
      <c r="CVM166" s="72"/>
      <c r="CVN166" s="72"/>
      <c r="CVO166" s="72"/>
      <c r="CVP166" s="72"/>
      <c r="CVQ166" s="72"/>
      <c r="CVR166" s="72"/>
      <c r="CVS166" s="72"/>
      <c r="CVT166" s="72"/>
      <c r="CVU166" s="72"/>
      <c r="CVV166" s="72"/>
      <c r="CVW166" s="72"/>
      <c r="CVX166" s="72"/>
      <c r="CVY166" s="72"/>
      <c r="CVZ166" s="72"/>
      <c r="CWA166" s="72"/>
      <c r="CWB166" s="72"/>
      <c r="CWC166" s="72"/>
      <c r="CWD166" s="72"/>
      <c r="CWE166" s="72"/>
      <c r="CWF166" s="72"/>
      <c r="CWG166" s="72"/>
      <c r="CWH166" s="72"/>
      <c r="CWI166" s="72"/>
      <c r="CWJ166" s="72"/>
      <c r="CWK166" s="72"/>
      <c r="CWL166" s="72"/>
      <c r="CWM166" s="72"/>
      <c r="CWN166" s="72"/>
      <c r="CWO166" s="72"/>
      <c r="CWP166" s="72"/>
      <c r="CWQ166" s="72"/>
      <c r="CWR166" s="72"/>
      <c r="CWS166" s="72"/>
      <c r="CWT166" s="72"/>
      <c r="CWU166" s="72"/>
      <c r="CWV166" s="72"/>
      <c r="CWW166" s="72"/>
      <c r="CWX166" s="72"/>
      <c r="CWY166" s="72"/>
      <c r="CWZ166" s="72"/>
      <c r="CXA166" s="72"/>
      <c r="CXB166" s="72"/>
      <c r="CXC166" s="72"/>
      <c r="CXD166" s="72"/>
      <c r="CXE166" s="72"/>
      <c r="CXF166" s="72"/>
      <c r="CXG166" s="72"/>
      <c r="CXH166" s="72"/>
      <c r="CXI166" s="72"/>
      <c r="CXJ166" s="72"/>
      <c r="CXK166" s="72"/>
      <c r="CXL166" s="72"/>
      <c r="CXM166" s="72"/>
      <c r="CXN166" s="72"/>
      <c r="CXO166" s="72"/>
      <c r="CXP166" s="72"/>
      <c r="CXQ166" s="72"/>
      <c r="CXR166" s="72"/>
      <c r="CXS166" s="72"/>
      <c r="CXT166" s="72"/>
      <c r="CXU166" s="72"/>
      <c r="CXV166" s="72"/>
      <c r="CXW166" s="72"/>
      <c r="CXX166" s="72"/>
      <c r="CXY166" s="72"/>
      <c r="CXZ166" s="72"/>
      <c r="CYA166" s="72"/>
      <c r="CYB166" s="72"/>
      <c r="CYC166" s="72"/>
      <c r="CYD166" s="72"/>
      <c r="CYE166" s="72"/>
      <c r="CYF166" s="72"/>
      <c r="CYG166" s="72"/>
      <c r="CYH166" s="72"/>
      <c r="CYI166" s="72"/>
      <c r="CYJ166" s="72"/>
      <c r="CYK166" s="72"/>
      <c r="CYL166" s="72"/>
      <c r="CYM166" s="72"/>
      <c r="CYN166" s="72"/>
      <c r="CYO166" s="72"/>
      <c r="CYP166" s="72"/>
      <c r="CYQ166" s="72"/>
      <c r="CYR166" s="72"/>
      <c r="CYS166" s="72"/>
      <c r="CYT166" s="72"/>
      <c r="CYU166" s="72"/>
      <c r="CYV166" s="72"/>
      <c r="CYW166" s="72"/>
      <c r="CYX166" s="72"/>
      <c r="CYY166" s="72"/>
      <c r="CYZ166" s="72"/>
      <c r="CZA166" s="72"/>
      <c r="CZB166" s="72"/>
      <c r="CZC166" s="72"/>
      <c r="CZD166" s="72"/>
      <c r="CZE166" s="72"/>
      <c r="CZF166" s="72"/>
      <c r="CZG166" s="72"/>
      <c r="CZH166" s="72"/>
      <c r="CZI166" s="72"/>
      <c r="CZJ166" s="72"/>
      <c r="CZK166" s="72"/>
      <c r="CZL166" s="72"/>
      <c r="CZM166" s="72"/>
      <c r="CZN166" s="72"/>
      <c r="CZO166" s="72"/>
      <c r="CZP166" s="72"/>
      <c r="CZQ166" s="72"/>
      <c r="CZR166" s="72"/>
      <c r="CZS166" s="72"/>
      <c r="CZT166" s="72"/>
      <c r="CZU166" s="72"/>
      <c r="CZV166" s="72"/>
      <c r="CZW166" s="72"/>
      <c r="CZX166" s="72"/>
      <c r="CZY166" s="72"/>
      <c r="CZZ166" s="72"/>
      <c r="DAA166" s="72"/>
      <c r="DAB166" s="72"/>
      <c r="DAC166" s="72"/>
      <c r="DAD166" s="72"/>
      <c r="DAE166" s="72"/>
      <c r="DAF166" s="72"/>
      <c r="DAG166" s="72"/>
      <c r="DAH166" s="72"/>
      <c r="DAI166" s="72"/>
      <c r="DAJ166" s="72"/>
      <c r="DAK166" s="72"/>
      <c r="DAL166" s="72"/>
      <c r="DAM166" s="72"/>
      <c r="DAN166" s="72"/>
      <c r="DAO166" s="72"/>
      <c r="DAP166" s="72"/>
      <c r="DAQ166" s="72"/>
      <c r="DAR166" s="72"/>
      <c r="DAS166" s="72"/>
      <c r="DAT166" s="72"/>
      <c r="DAU166" s="72"/>
      <c r="DAV166" s="72"/>
      <c r="DAW166" s="72"/>
      <c r="DAX166" s="72"/>
      <c r="DAY166" s="72"/>
      <c r="DAZ166" s="72"/>
      <c r="DBA166" s="72"/>
      <c r="DBB166" s="72"/>
      <c r="DBC166" s="72"/>
      <c r="DBD166" s="72"/>
      <c r="DBE166" s="72"/>
      <c r="DBF166" s="72"/>
      <c r="DBG166" s="72"/>
      <c r="DBH166" s="72"/>
      <c r="DBI166" s="72"/>
      <c r="DBJ166" s="72"/>
      <c r="DBK166" s="72"/>
      <c r="DBL166" s="72"/>
      <c r="DBM166" s="72"/>
      <c r="DBN166" s="72"/>
      <c r="DBO166" s="72"/>
      <c r="DBP166" s="72"/>
      <c r="DBQ166" s="72"/>
      <c r="DBR166" s="72"/>
      <c r="DBS166" s="72"/>
      <c r="DBT166" s="72"/>
      <c r="DBU166" s="72"/>
      <c r="DBV166" s="72"/>
      <c r="DBW166" s="72"/>
      <c r="DBX166" s="72"/>
      <c r="DBY166" s="72"/>
      <c r="DBZ166" s="72"/>
      <c r="DCA166" s="72"/>
      <c r="DCB166" s="72"/>
      <c r="DCC166" s="72"/>
      <c r="DCD166" s="72"/>
      <c r="DCE166" s="72"/>
      <c r="DCF166" s="72"/>
      <c r="DCG166" s="72"/>
      <c r="DCH166" s="72"/>
      <c r="DCI166" s="72"/>
      <c r="DCJ166" s="72"/>
      <c r="DCK166" s="72"/>
      <c r="DCL166" s="72"/>
      <c r="DCM166" s="72"/>
      <c r="DCN166" s="72"/>
      <c r="DCO166" s="72"/>
      <c r="DCP166" s="72"/>
      <c r="DCQ166" s="72"/>
      <c r="DCR166" s="72"/>
      <c r="DCS166" s="72"/>
      <c r="DCT166" s="72"/>
      <c r="DCU166" s="72"/>
      <c r="DCV166" s="72"/>
      <c r="DCW166" s="72"/>
      <c r="DCX166" s="72"/>
      <c r="DCY166" s="72"/>
      <c r="DCZ166" s="72"/>
      <c r="DDA166" s="72"/>
      <c r="DDB166" s="72"/>
      <c r="DDC166" s="72"/>
      <c r="DDD166" s="72"/>
      <c r="DDE166" s="72"/>
      <c r="DDF166" s="72"/>
      <c r="DDG166" s="72"/>
      <c r="DDH166" s="72"/>
      <c r="DDI166" s="72"/>
      <c r="DDJ166" s="72"/>
      <c r="DDK166" s="72"/>
      <c r="DDL166" s="72"/>
      <c r="DDM166" s="72"/>
      <c r="DDN166" s="72"/>
      <c r="DDO166" s="72"/>
      <c r="DDP166" s="72"/>
      <c r="DDQ166" s="72"/>
      <c r="DDR166" s="72"/>
      <c r="DDS166" s="72"/>
      <c r="DDT166" s="72"/>
      <c r="DDU166" s="72"/>
      <c r="DDV166" s="72"/>
      <c r="DDW166" s="72"/>
      <c r="DDX166" s="72"/>
      <c r="DDY166" s="72"/>
      <c r="DDZ166" s="72"/>
      <c r="DEA166" s="72"/>
      <c r="DEB166" s="72"/>
      <c r="DEC166" s="72"/>
      <c r="DED166" s="72"/>
      <c r="DEE166" s="72"/>
      <c r="DEF166" s="72"/>
      <c r="DEG166" s="72"/>
      <c r="DEH166" s="72"/>
      <c r="DEI166" s="72"/>
      <c r="DEJ166" s="72"/>
      <c r="DEK166" s="72"/>
      <c r="DEL166" s="72"/>
      <c r="DEM166" s="72"/>
      <c r="DEN166" s="72"/>
      <c r="DEO166" s="72"/>
      <c r="DEP166" s="72"/>
      <c r="DEQ166" s="72"/>
      <c r="DER166" s="72"/>
      <c r="DES166" s="72"/>
      <c r="DET166" s="72"/>
      <c r="DEU166" s="72"/>
      <c r="DEV166" s="72"/>
      <c r="DEW166" s="72"/>
      <c r="DEX166" s="72"/>
      <c r="DEY166" s="72"/>
      <c r="DEZ166" s="72"/>
      <c r="DFA166" s="72"/>
      <c r="DFB166" s="72"/>
      <c r="DFC166" s="72"/>
      <c r="DFD166" s="72"/>
      <c r="DFE166" s="72"/>
      <c r="DFF166" s="72"/>
      <c r="DFG166" s="72"/>
      <c r="DFH166" s="72"/>
      <c r="DFI166" s="72"/>
      <c r="DFJ166" s="72"/>
      <c r="DFK166" s="72"/>
      <c r="DFL166" s="72"/>
      <c r="DFM166" s="72"/>
      <c r="DFN166" s="72"/>
      <c r="DFO166" s="72"/>
      <c r="DFP166" s="72"/>
      <c r="DFQ166" s="72"/>
      <c r="DFR166" s="72"/>
      <c r="DFS166" s="72"/>
      <c r="DFT166" s="72"/>
      <c r="DFU166" s="72"/>
      <c r="DFV166" s="72"/>
      <c r="DFW166" s="72"/>
      <c r="DFX166" s="72"/>
      <c r="DFY166" s="72"/>
      <c r="DFZ166" s="72"/>
      <c r="DGA166" s="72"/>
      <c r="DGB166" s="72"/>
      <c r="DGC166" s="72"/>
      <c r="DGD166" s="72"/>
      <c r="DGE166" s="72"/>
      <c r="DGF166" s="72"/>
      <c r="DGG166" s="72"/>
      <c r="DGH166" s="72"/>
      <c r="DGI166" s="72"/>
      <c r="DGJ166" s="72"/>
      <c r="DGK166" s="72"/>
      <c r="DGL166" s="72"/>
      <c r="DGM166" s="72"/>
      <c r="DGN166" s="72"/>
      <c r="DGO166" s="72"/>
      <c r="DGP166" s="72"/>
      <c r="DGQ166" s="72"/>
      <c r="DGR166" s="72"/>
      <c r="DGS166" s="72"/>
      <c r="DGT166" s="72"/>
      <c r="DGU166" s="72"/>
      <c r="DGV166" s="72"/>
      <c r="DGW166" s="72"/>
      <c r="DGX166" s="72"/>
      <c r="DGY166" s="72"/>
      <c r="DGZ166" s="72"/>
      <c r="DHA166" s="72"/>
      <c r="DHB166" s="72"/>
      <c r="DHC166" s="72"/>
      <c r="DHD166" s="72"/>
      <c r="DHE166" s="72"/>
      <c r="DHF166" s="72"/>
      <c r="DHG166" s="72"/>
      <c r="DHH166" s="72"/>
      <c r="DHI166" s="72"/>
      <c r="DHJ166" s="72"/>
      <c r="DHK166" s="72"/>
      <c r="DHL166" s="72"/>
      <c r="DHM166" s="72"/>
      <c r="DHN166" s="72"/>
      <c r="DHO166" s="72"/>
      <c r="DHP166" s="72"/>
      <c r="DHQ166" s="72"/>
      <c r="DHR166" s="72"/>
      <c r="DHS166" s="72"/>
      <c r="DHT166" s="72"/>
      <c r="DHU166" s="72"/>
      <c r="DHV166" s="72"/>
      <c r="DHW166" s="72"/>
      <c r="DHX166" s="72"/>
      <c r="DHY166" s="72"/>
      <c r="DHZ166" s="72"/>
      <c r="DIA166" s="72"/>
      <c r="DIB166" s="72"/>
      <c r="DIC166" s="72"/>
      <c r="DID166" s="72"/>
      <c r="DIE166" s="72"/>
      <c r="DIF166" s="72"/>
      <c r="DIG166" s="72"/>
      <c r="DIH166" s="72"/>
      <c r="DII166" s="72"/>
      <c r="DIJ166" s="72"/>
      <c r="DIK166" s="72"/>
      <c r="DIL166" s="72"/>
      <c r="DIM166" s="72"/>
      <c r="DIN166" s="72"/>
      <c r="DIO166" s="72"/>
      <c r="DIP166" s="72"/>
      <c r="DIQ166" s="72"/>
      <c r="DIR166" s="72"/>
      <c r="DIS166" s="72"/>
      <c r="DIT166" s="72"/>
      <c r="DIU166" s="72"/>
      <c r="DIV166" s="72"/>
      <c r="DIW166" s="72"/>
      <c r="DIX166" s="72"/>
      <c r="DIY166" s="72"/>
      <c r="DIZ166" s="72"/>
      <c r="DJA166" s="72"/>
      <c r="DJB166" s="72"/>
      <c r="DJC166" s="72"/>
      <c r="DJD166" s="72"/>
      <c r="DJE166" s="72"/>
      <c r="DJF166" s="72"/>
      <c r="DJG166" s="72"/>
      <c r="DJH166" s="72"/>
      <c r="DJI166" s="72"/>
      <c r="DJJ166" s="72"/>
      <c r="DJK166" s="72"/>
      <c r="DJL166" s="72"/>
      <c r="DJM166" s="72"/>
      <c r="DJN166" s="72"/>
      <c r="DJO166" s="72"/>
      <c r="DJP166" s="72"/>
      <c r="DJQ166" s="72"/>
      <c r="DJR166" s="72"/>
      <c r="DJS166" s="72"/>
      <c r="DJT166" s="72"/>
      <c r="DJU166" s="72"/>
      <c r="DJV166" s="72"/>
      <c r="DJW166" s="72"/>
      <c r="DJX166" s="72"/>
      <c r="DJY166" s="72"/>
      <c r="DJZ166" s="72"/>
      <c r="DKA166" s="72"/>
      <c r="DKB166" s="72"/>
      <c r="DKC166" s="72"/>
      <c r="DKD166" s="72"/>
      <c r="DKE166" s="72"/>
      <c r="DKF166" s="72"/>
      <c r="DKG166" s="72"/>
      <c r="DKH166" s="72"/>
      <c r="DKI166" s="72"/>
      <c r="DKJ166" s="72"/>
      <c r="DKK166" s="72"/>
      <c r="DKL166" s="72"/>
      <c r="DKM166" s="72"/>
      <c r="DKN166" s="72"/>
      <c r="DKO166" s="72"/>
      <c r="DKP166" s="72"/>
      <c r="DKQ166" s="72"/>
      <c r="DKR166" s="72"/>
      <c r="DKS166" s="72"/>
      <c r="DKT166" s="72"/>
      <c r="DKU166" s="72"/>
      <c r="DKV166" s="72"/>
      <c r="DKW166" s="72"/>
      <c r="DKX166" s="72"/>
      <c r="DKY166" s="72"/>
      <c r="DKZ166" s="72"/>
      <c r="DLA166" s="72"/>
      <c r="DLB166" s="72"/>
      <c r="DLC166" s="72"/>
      <c r="DLD166" s="72"/>
      <c r="DLE166" s="72"/>
      <c r="DLF166" s="72"/>
      <c r="DLG166" s="72"/>
      <c r="DLH166" s="72"/>
      <c r="DLI166" s="72"/>
      <c r="DLJ166" s="72"/>
      <c r="DLK166" s="72"/>
      <c r="DLL166" s="72"/>
      <c r="DLM166" s="72"/>
      <c r="DLN166" s="72"/>
      <c r="DLO166" s="72"/>
      <c r="DLP166" s="72"/>
      <c r="DLQ166" s="72"/>
      <c r="DLR166" s="72"/>
      <c r="DLS166" s="72"/>
      <c r="DLT166" s="72"/>
      <c r="DLU166" s="72"/>
      <c r="DLV166" s="72"/>
      <c r="DLW166" s="72"/>
      <c r="DLX166" s="72"/>
      <c r="DLY166" s="72"/>
      <c r="DLZ166" s="72"/>
      <c r="DMA166" s="72"/>
      <c r="DMB166" s="72"/>
      <c r="DMC166" s="72"/>
      <c r="DMD166" s="72"/>
      <c r="DME166" s="72"/>
      <c r="DMF166" s="72"/>
      <c r="DMG166" s="72"/>
      <c r="DMH166" s="72"/>
      <c r="DMI166" s="72"/>
      <c r="DMJ166" s="72"/>
      <c r="DMK166" s="72"/>
      <c r="DML166" s="72"/>
      <c r="DMM166" s="72"/>
      <c r="DMN166" s="72"/>
      <c r="DMO166" s="72"/>
      <c r="DMP166" s="72"/>
      <c r="DMQ166" s="72"/>
      <c r="DMR166" s="72"/>
      <c r="DMS166" s="72"/>
      <c r="DMT166" s="72"/>
      <c r="DMU166" s="72"/>
      <c r="DMV166" s="72"/>
      <c r="DMW166" s="72"/>
      <c r="DMX166" s="72"/>
      <c r="DMY166" s="72"/>
      <c r="DMZ166" s="72"/>
      <c r="DNA166" s="72"/>
      <c r="DNB166" s="72"/>
      <c r="DNC166" s="72"/>
      <c r="DND166" s="72"/>
      <c r="DNE166" s="72"/>
      <c r="DNF166" s="72"/>
      <c r="DNG166" s="72"/>
      <c r="DNH166" s="72"/>
      <c r="DNI166" s="72"/>
      <c r="DNJ166" s="72"/>
      <c r="DNK166" s="72"/>
      <c r="DNL166" s="72"/>
      <c r="DNM166" s="72"/>
      <c r="DNN166" s="72"/>
      <c r="DNO166" s="72"/>
      <c r="DNP166" s="72"/>
      <c r="DNQ166" s="72"/>
      <c r="DNR166" s="72"/>
      <c r="DNS166" s="72"/>
      <c r="DNT166" s="72"/>
      <c r="DNU166" s="72"/>
      <c r="DNV166" s="72"/>
      <c r="DNW166" s="72"/>
      <c r="DNX166" s="72"/>
      <c r="DNY166" s="72"/>
      <c r="DNZ166" s="72"/>
      <c r="DOA166" s="72"/>
      <c r="DOB166" s="72"/>
      <c r="DOC166" s="72"/>
      <c r="DOD166" s="72"/>
      <c r="DOE166" s="72"/>
      <c r="DOF166" s="72"/>
      <c r="DOG166" s="72"/>
      <c r="DOH166" s="72"/>
      <c r="DOI166" s="72"/>
      <c r="DOJ166" s="72"/>
      <c r="DOK166" s="72"/>
      <c r="DOL166" s="72"/>
      <c r="DOM166" s="72"/>
      <c r="DON166" s="72"/>
      <c r="DOO166" s="72"/>
      <c r="DOP166" s="72"/>
      <c r="DOQ166" s="72"/>
      <c r="DOR166" s="72"/>
      <c r="DOS166" s="72"/>
      <c r="DOT166" s="72"/>
      <c r="DOU166" s="72"/>
      <c r="DOV166" s="72"/>
      <c r="DOW166" s="72"/>
      <c r="DOX166" s="72"/>
      <c r="DOY166" s="72"/>
      <c r="DOZ166" s="72"/>
      <c r="DPA166" s="72"/>
      <c r="DPB166" s="72"/>
      <c r="DPC166" s="72"/>
      <c r="DPD166" s="72"/>
      <c r="DPE166" s="72"/>
      <c r="DPF166" s="72"/>
      <c r="DPG166" s="72"/>
      <c r="DPH166" s="72"/>
      <c r="DPI166" s="72"/>
      <c r="DPJ166" s="72"/>
      <c r="DPK166" s="72"/>
      <c r="DPL166" s="72"/>
      <c r="DPM166" s="72"/>
      <c r="DPN166" s="72"/>
      <c r="DPO166" s="72"/>
      <c r="DPP166" s="72"/>
      <c r="DPQ166" s="72"/>
      <c r="DPR166" s="72"/>
      <c r="DPS166" s="72"/>
      <c r="DPT166" s="72"/>
      <c r="DPU166" s="72"/>
      <c r="DPV166" s="72"/>
      <c r="DPW166" s="72"/>
      <c r="DPX166" s="72"/>
      <c r="DPY166" s="72"/>
      <c r="DPZ166" s="72"/>
      <c r="DQA166" s="72"/>
      <c r="DQB166" s="72"/>
      <c r="DQC166" s="72"/>
      <c r="DQD166" s="72"/>
      <c r="DQE166" s="72"/>
      <c r="DQF166" s="72"/>
      <c r="DQG166" s="72"/>
      <c r="DQH166" s="72"/>
      <c r="DQI166" s="72"/>
      <c r="DQJ166" s="72"/>
      <c r="DQK166" s="72"/>
      <c r="DQL166" s="72"/>
      <c r="DQM166" s="72"/>
      <c r="DQN166" s="72"/>
      <c r="DQO166" s="72"/>
      <c r="DQP166" s="72"/>
      <c r="DQQ166" s="72"/>
      <c r="DQR166" s="72"/>
      <c r="DQS166" s="72"/>
      <c r="DQT166" s="72"/>
      <c r="DQU166" s="72"/>
      <c r="DQV166" s="72"/>
      <c r="DQW166" s="72"/>
      <c r="DQX166" s="72"/>
      <c r="DQY166" s="72"/>
      <c r="DQZ166" s="72"/>
      <c r="DRA166" s="72"/>
      <c r="DRB166" s="72"/>
      <c r="DRC166" s="72"/>
      <c r="DRD166" s="72"/>
      <c r="DRE166" s="72"/>
      <c r="DRF166" s="72"/>
      <c r="DRG166" s="72"/>
      <c r="DRH166" s="72"/>
      <c r="DRI166" s="72"/>
      <c r="DRJ166" s="72"/>
      <c r="DRK166" s="72"/>
      <c r="DRL166" s="72"/>
      <c r="DRM166" s="72"/>
      <c r="DRN166" s="72"/>
      <c r="DRO166" s="72"/>
      <c r="DRP166" s="72"/>
      <c r="DRQ166" s="72"/>
      <c r="DRR166" s="72"/>
      <c r="DRS166" s="72"/>
      <c r="DRT166" s="72"/>
      <c r="DRU166" s="72"/>
      <c r="DRV166" s="72"/>
      <c r="DRW166" s="72"/>
      <c r="DRX166" s="72"/>
      <c r="DRY166" s="72"/>
      <c r="DRZ166" s="72"/>
      <c r="DSA166" s="72"/>
      <c r="DSB166" s="72"/>
      <c r="DSC166" s="72"/>
      <c r="DSD166" s="72"/>
      <c r="DSE166" s="72"/>
      <c r="DSF166" s="72"/>
      <c r="DSG166" s="72"/>
      <c r="DSH166" s="72"/>
      <c r="DSI166" s="72"/>
      <c r="DSJ166" s="72"/>
      <c r="DSK166" s="72"/>
      <c r="DSL166" s="72"/>
      <c r="DSM166" s="72"/>
      <c r="DSN166" s="72"/>
      <c r="DSO166" s="72"/>
      <c r="DSP166" s="72"/>
      <c r="DSQ166" s="72"/>
      <c r="DSR166" s="72"/>
      <c r="DSS166" s="72"/>
      <c r="DST166" s="72"/>
      <c r="DSU166" s="72"/>
      <c r="DSV166" s="72"/>
      <c r="DSW166" s="72"/>
      <c r="DSX166" s="72"/>
      <c r="DSY166" s="72"/>
      <c r="DSZ166" s="72"/>
      <c r="DTA166" s="72"/>
      <c r="DTB166" s="72"/>
      <c r="DTC166" s="72"/>
      <c r="DTD166" s="72"/>
      <c r="DTE166" s="72"/>
      <c r="DTF166" s="72"/>
      <c r="DTG166" s="72"/>
      <c r="DTH166" s="72"/>
      <c r="DTI166" s="72"/>
      <c r="DTJ166" s="72"/>
      <c r="DTK166" s="72"/>
      <c r="DTL166" s="72"/>
      <c r="DTM166" s="72"/>
      <c r="DTN166" s="72"/>
      <c r="DTO166" s="72"/>
      <c r="DTP166" s="72"/>
      <c r="DTQ166" s="72"/>
      <c r="DTR166" s="72"/>
      <c r="DTS166" s="72"/>
      <c r="DTT166" s="72"/>
      <c r="DTU166" s="72"/>
      <c r="DTV166" s="72"/>
      <c r="DTW166" s="72"/>
      <c r="DTX166" s="72"/>
      <c r="DTY166" s="72"/>
      <c r="DTZ166" s="72"/>
      <c r="DUA166" s="72"/>
      <c r="DUB166" s="72"/>
      <c r="DUC166" s="72"/>
      <c r="DUD166" s="72"/>
      <c r="DUE166" s="72"/>
      <c r="DUF166" s="72"/>
      <c r="DUG166" s="72"/>
      <c r="DUH166" s="72"/>
      <c r="DUI166" s="72"/>
      <c r="DUJ166" s="72"/>
      <c r="DUK166" s="72"/>
      <c r="DUL166" s="72"/>
      <c r="DUM166" s="72"/>
      <c r="DUN166" s="72"/>
      <c r="DUO166" s="72"/>
      <c r="DUP166" s="72"/>
      <c r="DUQ166" s="72"/>
      <c r="DUR166" s="72"/>
      <c r="DUS166" s="72"/>
      <c r="DUT166" s="72"/>
      <c r="DUU166" s="72"/>
      <c r="DUV166" s="72"/>
      <c r="DUW166" s="72"/>
      <c r="DUX166" s="72"/>
      <c r="DUY166" s="72"/>
      <c r="DUZ166" s="72"/>
      <c r="DVA166" s="72"/>
      <c r="DVB166" s="72"/>
      <c r="DVC166" s="72"/>
      <c r="DVD166" s="72"/>
      <c r="DVE166" s="72"/>
      <c r="DVF166" s="72"/>
      <c r="DVG166" s="72"/>
      <c r="DVH166" s="72"/>
      <c r="DVI166" s="72"/>
      <c r="DVJ166" s="72"/>
      <c r="DVK166" s="72"/>
      <c r="DVL166" s="72"/>
      <c r="DVM166" s="72"/>
      <c r="DVN166" s="72"/>
      <c r="DVO166" s="72"/>
      <c r="DVP166" s="72"/>
      <c r="DVQ166" s="72"/>
      <c r="DVR166" s="72"/>
      <c r="DVS166" s="72"/>
      <c r="DVT166" s="72"/>
      <c r="DVU166" s="72"/>
      <c r="DVV166" s="72"/>
      <c r="DVW166" s="72"/>
      <c r="DVX166" s="72"/>
      <c r="DVY166" s="72"/>
      <c r="DVZ166" s="72"/>
      <c r="DWA166" s="72"/>
      <c r="DWB166" s="72"/>
      <c r="DWC166" s="72"/>
      <c r="DWD166" s="72"/>
      <c r="DWE166" s="72"/>
      <c r="DWF166" s="72"/>
      <c r="DWG166" s="72"/>
      <c r="DWH166" s="72"/>
      <c r="DWI166" s="72"/>
      <c r="DWJ166" s="72"/>
      <c r="DWK166" s="72"/>
      <c r="DWL166" s="72"/>
      <c r="DWM166" s="72"/>
      <c r="DWN166" s="72"/>
      <c r="DWO166" s="72"/>
      <c r="DWP166" s="72"/>
      <c r="DWQ166" s="72"/>
      <c r="DWR166" s="72"/>
      <c r="DWS166" s="72"/>
      <c r="DWT166" s="72"/>
      <c r="DWU166" s="72"/>
      <c r="DWV166" s="72"/>
      <c r="DWW166" s="72"/>
      <c r="DWX166" s="72"/>
      <c r="DWY166" s="72"/>
      <c r="DWZ166" s="72"/>
      <c r="DXA166" s="72"/>
      <c r="DXB166" s="72"/>
      <c r="DXC166" s="72"/>
      <c r="DXD166" s="72"/>
      <c r="DXE166" s="72"/>
      <c r="DXF166" s="72"/>
      <c r="DXG166" s="72"/>
      <c r="DXH166" s="72"/>
      <c r="DXI166" s="72"/>
      <c r="DXJ166" s="72"/>
      <c r="DXK166" s="72"/>
      <c r="DXL166" s="72"/>
      <c r="DXM166" s="72"/>
      <c r="DXN166" s="72"/>
      <c r="DXO166" s="72"/>
      <c r="DXP166" s="72"/>
      <c r="DXQ166" s="72"/>
      <c r="DXR166" s="72"/>
      <c r="DXS166" s="72"/>
      <c r="DXT166" s="72"/>
      <c r="DXU166" s="72"/>
      <c r="DXV166" s="72"/>
      <c r="DXW166" s="72"/>
      <c r="DXX166" s="72"/>
      <c r="DXY166" s="72"/>
      <c r="DXZ166" s="72"/>
      <c r="DYA166" s="72"/>
      <c r="DYB166" s="72"/>
      <c r="DYC166" s="72"/>
      <c r="DYD166" s="72"/>
      <c r="DYE166" s="72"/>
      <c r="DYF166" s="72"/>
      <c r="DYG166" s="72"/>
      <c r="DYH166" s="72"/>
      <c r="DYI166" s="72"/>
      <c r="DYJ166" s="72"/>
      <c r="DYK166" s="72"/>
      <c r="DYL166" s="72"/>
      <c r="DYM166" s="72"/>
      <c r="DYN166" s="72"/>
      <c r="DYO166" s="72"/>
      <c r="DYP166" s="72"/>
      <c r="DYQ166" s="72"/>
      <c r="DYR166" s="72"/>
      <c r="DYS166" s="72"/>
      <c r="DYT166" s="72"/>
      <c r="DYU166" s="72"/>
      <c r="DYV166" s="72"/>
      <c r="DYW166" s="72"/>
      <c r="DYX166" s="72"/>
      <c r="DYY166" s="72"/>
      <c r="DYZ166" s="72"/>
      <c r="DZA166" s="72"/>
      <c r="DZB166" s="72"/>
      <c r="DZC166" s="72"/>
      <c r="DZD166" s="72"/>
      <c r="DZE166" s="72"/>
      <c r="DZF166" s="72"/>
      <c r="DZG166" s="72"/>
      <c r="DZH166" s="72"/>
      <c r="DZI166" s="72"/>
      <c r="DZJ166" s="72"/>
      <c r="DZK166" s="72"/>
      <c r="DZL166" s="72"/>
      <c r="DZM166" s="72"/>
      <c r="DZN166" s="72"/>
      <c r="DZO166" s="72"/>
      <c r="DZP166" s="72"/>
      <c r="DZQ166" s="72"/>
      <c r="DZR166" s="72"/>
      <c r="DZS166" s="72"/>
      <c r="DZT166" s="72"/>
      <c r="DZU166" s="72"/>
      <c r="DZV166" s="72"/>
      <c r="DZW166" s="72"/>
      <c r="DZX166" s="72"/>
      <c r="DZY166" s="72"/>
      <c r="DZZ166" s="72"/>
      <c r="EAA166" s="72"/>
      <c r="EAB166" s="72"/>
      <c r="EAC166" s="72"/>
      <c r="EAD166" s="72"/>
      <c r="EAE166" s="72"/>
      <c r="EAF166" s="72"/>
      <c r="EAG166" s="72"/>
      <c r="EAH166" s="72"/>
      <c r="EAI166" s="72"/>
      <c r="EAJ166" s="72"/>
      <c r="EAK166" s="72"/>
      <c r="EAL166" s="72"/>
      <c r="EAM166" s="72"/>
      <c r="EAN166" s="72"/>
      <c r="EAO166" s="72"/>
      <c r="EAP166" s="72"/>
      <c r="EAQ166" s="72"/>
      <c r="EAR166" s="72"/>
      <c r="EAS166" s="72"/>
      <c r="EAT166" s="72"/>
      <c r="EAU166" s="72"/>
      <c r="EAV166" s="72"/>
      <c r="EAW166" s="72"/>
      <c r="EAX166" s="72"/>
      <c r="EAY166" s="72"/>
      <c r="EAZ166" s="72"/>
      <c r="EBA166" s="72"/>
      <c r="EBB166" s="72"/>
      <c r="EBC166" s="72"/>
      <c r="EBD166" s="72"/>
      <c r="EBE166" s="72"/>
      <c r="EBF166" s="72"/>
      <c r="EBG166" s="72"/>
      <c r="EBH166" s="72"/>
      <c r="EBI166" s="72"/>
      <c r="EBJ166" s="72"/>
      <c r="EBK166" s="72"/>
      <c r="EBL166" s="72"/>
      <c r="EBM166" s="72"/>
      <c r="EBN166" s="72"/>
      <c r="EBO166" s="72"/>
      <c r="EBP166" s="72"/>
      <c r="EBQ166" s="72"/>
      <c r="EBR166" s="72"/>
      <c r="EBS166" s="72"/>
      <c r="EBT166" s="72"/>
      <c r="EBU166" s="72"/>
      <c r="EBV166" s="72"/>
      <c r="EBW166" s="72"/>
      <c r="EBX166" s="72"/>
      <c r="EBY166" s="72"/>
      <c r="EBZ166" s="72"/>
      <c r="ECA166" s="72"/>
      <c r="ECB166" s="72"/>
      <c r="ECC166" s="72"/>
      <c r="ECD166" s="72"/>
      <c r="ECE166" s="72"/>
      <c r="ECF166" s="72"/>
      <c r="ECG166" s="72"/>
      <c r="ECH166" s="72"/>
      <c r="ECI166" s="72"/>
      <c r="ECJ166" s="72"/>
      <c r="ECK166" s="72"/>
      <c r="ECL166" s="72"/>
      <c r="ECM166" s="72"/>
      <c r="ECN166" s="72"/>
      <c r="ECO166" s="72"/>
      <c r="ECP166" s="72"/>
      <c r="ECQ166" s="72"/>
      <c r="ECR166" s="72"/>
      <c r="ECS166" s="72"/>
      <c r="ECT166" s="72"/>
      <c r="ECU166" s="72"/>
      <c r="ECV166" s="72"/>
      <c r="ECW166" s="72"/>
      <c r="ECX166" s="72"/>
      <c r="ECY166" s="72"/>
      <c r="ECZ166" s="72"/>
      <c r="EDA166" s="72"/>
      <c r="EDB166" s="72"/>
      <c r="EDC166" s="72"/>
      <c r="EDD166" s="72"/>
      <c r="EDE166" s="72"/>
      <c r="EDF166" s="72"/>
      <c r="EDG166" s="72"/>
      <c r="EDH166" s="72"/>
      <c r="EDI166" s="72"/>
      <c r="EDJ166" s="72"/>
      <c r="EDK166" s="72"/>
      <c r="EDL166" s="72"/>
      <c r="EDM166" s="72"/>
      <c r="EDN166" s="72"/>
      <c r="EDO166" s="72"/>
      <c r="EDP166" s="72"/>
      <c r="EDQ166" s="72"/>
      <c r="EDR166" s="72"/>
      <c r="EDS166" s="72"/>
      <c r="EDT166" s="72"/>
      <c r="EDU166" s="72"/>
      <c r="EDV166" s="72"/>
      <c r="EDW166" s="72"/>
      <c r="EDX166" s="72"/>
      <c r="EDY166" s="72"/>
      <c r="EDZ166" s="72"/>
      <c r="EEA166" s="72"/>
      <c r="EEB166" s="72"/>
      <c r="EEC166" s="72"/>
      <c r="EED166" s="72"/>
      <c r="EEE166" s="72"/>
      <c r="EEF166" s="72"/>
      <c r="EEG166" s="72"/>
      <c r="EEH166" s="72"/>
      <c r="EEI166" s="72"/>
      <c r="EEJ166" s="72"/>
      <c r="EEK166" s="72"/>
      <c r="EEL166" s="72"/>
      <c r="EEM166" s="72"/>
      <c r="EEN166" s="72"/>
      <c r="EEO166" s="72"/>
      <c r="EEP166" s="72"/>
      <c r="EEQ166" s="72"/>
      <c r="EER166" s="72"/>
      <c r="EES166" s="72"/>
      <c r="EET166" s="72"/>
      <c r="EEU166" s="72"/>
      <c r="EEV166" s="72"/>
      <c r="EEW166" s="72"/>
      <c r="EEX166" s="72"/>
      <c r="EEY166" s="72"/>
      <c r="EEZ166" s="72"/>
      <c r="EFA166" s="72"/>
      <c r="EFB166" s="72"/>
      <c r="EFC166" s="72"/>
      <c r="EFD166" s="72"/>
      <c r="EFE166" s="72"/>
      <c r="EFF166" s="72"/>
      <c r="EFG166" s="72"/>
      <c r="EFH166" s="72"/>
      <c r="EFI166" s="72"/>
      <c r="EFJ166" s="72"/>
      <c r="EFK166" s="72"/>
      <c r="EFL166" s="72"/>
      <c r="EFM166" s="72"/>
      <c r="EFN166" s="72"/>
      <c r="EFO166" s="72"/>
      <c r="EFP166" s="72"/>
      <c r="EFQ166" s="72"/>
      <c r="EFR166" s="72"/>
      <c r="EFS166" s="72"/>
      <c r="EFT166" s="72"/>
      <c r="EFU166" s="72"/>
      <c r="EFV166" s="72"/>
      <c r="EFW166" s="72"/>
      <c r="EFX166" s="72"/>
      <c r="EFY166" s="72"/>
      <c r="EFZ166" s="72"/>
      <c r="EGA166" s="72"/>
      <c r="EGB166" s="72"/>
      <c r="EGC166" s="72"/>
      <c r="EGD166" s="72"/>
      <c r="EGE166" s="72"/>
      <c r="EGF166" s="72"/>
      <c r="EGG166" s="72"/>
      <c r="EGH166" s="72"/>
      <c r="EGI166" s="72"/>
      <c r="EGJ166" s="72"/>
      <c r="EGK166" s="72"/>
      <c r="EGL166" s="72"/>
      <c r="EGM166" s="72"/>
      <c r="EGN166" s="72"/>
      <c r="EGO166" s="72"/>
      <c r="EGP166" s="72"/>
      <c r="EGQ166" s="72"/>
      <c r="EGR166" s="72"/>
      <c r="EGS166" s="72"/>
      <c r="EGT166" s="72"/>
      <c r="EGU166" s="72"/>
      <c r="EGV166" s="72"/>
      <c r="EGW166" s="72"/>
      <c r="EGX166" s="72"/>
      <c r="EGY166" s="72"/>
      <c r="EGZ166" s="72"/>
      <c r="EHA166" s="72"/>
      <c r="EHB166" s="72"/>
      <c r="EHC166" s="72"/>
      <c r="EHD166" s="72"/>
      <c r="EHE166" s="72"/>
      <c r="EHF166" s="72"/>
      <c r="EHG166" s="72"/>
      <c r="EHH166" s="72"/>
      <c r="EHI166" s="72"/>
      <c r="EHJ166" s="72"/>
      <c r="EHK166" s="72"/>
      <c r="EHL166" s="72"/>
      <c r="EHM166" s="72"/>
      <c r="EHN166" s="72"/>
      <c r="EHO166" s="72"/>
      <c r="EHP166" s="72"/>
      <c r="EHQ166" s="72"/>
      <c r="EHR166" s="72"/>
      <c r="EHS166" s="72"/>
      <c r="EHT166" s="72"/>
      <c r="EHU166" s="72"/>
      <c r="EHV166" s="72"/>
      <c r="EHW166" s="72"/>
      <c r="EHX166" s="72"/>
      <c r="EHY166" s="72"/>
      <c r="EHZ166" s="72"/>
      <c r="EIA166" s="72"/>
      <c r="EIB166" s="72"/>
      <c r="EIC166" s="72"/>
      <c r="EID166" s="72"/>
      <c r="EIE166" s="72"/>
      <c r="EIF166" s="72"/>
      <c r="EIG166" s="72"/>
      <c r="EIH166" s="72"/>
      <c r="EII166" s="72"/>
      <c r="EIJ166" s="72"/>
      <c r="EIK166" s="72"/>
      <c r="EIL166" s="72"/>
      <c r="EIM166" s="72"/>
      <c r="EIN166" s="72"/>
      <c r="EIO166" s="72"/>
      <c r="EIP166" s="72"/>
      <c r="EIQ166" s="72"/>
      <c r="EIR166" s="72"/>
      <c r="EIS166" s="72"/>
      <c r="EIT166" s="72"/>
      <c r="EIU166" s="72"/>
      <c r="EIV166" s="72"/>
      <c r="EIW166" s="72"/>
      <c r="EIX166" s="72"/>
      <c r="EIY166" s="72"/>
      <c r="EIZ166" s="72"/>
      <c r="EJA166" s="72"/>
      <c r="EJB166" s="72"/>
      <c r="EJC166" s="72"/>
      <c r="EJD166" s="72"/>
      <c r="EJE166" s="72"/>
      <c r="EJF166" s="72"/>
      <c r="EJG166" s="72"/>
      <c r="EJH166" s="72"/>
      <c r="EJI166" s="72"/>
      <c r="EJJ166" s="72"/>
      <c r="EJK166" s="72"/>
      <c r="EJL166" s="72"/>
      <c r="EJM166" s="72"/>
      <c r="EJN166" s="72"/>
      <c r="EJO166" s="72"/>
      <c r="EJP166" s="72"/>
      <c r="EJQ166" s="72"/>
      <c r="EJR166" s="72"/>
      <c r="EJS166" s="72"/>
      <c r="EJT166" s="72"/>
      <c r="EJU166" s="72"/>
      <c r="EJV166" s="72"/>
      <c r="EJW166" s="72"/>
      <c r="EJX166" s="72"/>
      <c r="EJY166" s="72"/>
      <c r="EJZ166" s="72"/>
      <c r="EKA166" s="72"/>
      <c r="EKB166" s="72"/>
      <c r="EKC166" s="72"/>
      <c r="EKD166" s="72"/>
      <c r="EKE166" s="72"/>
      <c r="EKF166" s="72"/>
      <c r="EKG166" s="72"/>
      <c r="EKH166" s="72"/>
      <c r="EKI166" s="72"/>
      <c r="EKJ166" s="72"/>
      <c r="EKK166" s="72"/>
      <c r="EKL166" s="72"/>
      <c r="EKM166" s="72"/>
      <c r="EKN166" s="72"/>
      <c r="EKO166" s="72"/>
      <c r="EKP166" s="72"/>
      <c r="EKQ166" s="72"/>
      <c r="EKR166" s="72"/>
      <c r="EKS166" s="72"/>
      <c r="EKT166" s="72"/>
      <c r="EKU166" s="72"/>
      <c r="EKV166" s="72"/>
      <c r="EKW166" s="72"/>
      <c r="EKX166" s="72"/>
      <c r="EKY166" s="72"/>
      <c r="EKZ166" s="72"/>
      <c r="ELA166" s="72"/>
      <c r="ELB166" s="72"/>
      <c r="ELC166" s="72"/>
      <c r="ELD166" s="72"/>
      <c r="ELE166" s="72"/>
      <c r="ELF166" s="72"/>
      <c r="ELG166" s="72"/>
      <c r="ELH166" s="72"/>
      <c r="ELI166" s="72"/>
      <c r="ELJ166" s="72"/>
      <c r="ELK166" s="72"/>
      <c r="ELL166" s="72"/>
      <c r="ELM166" s="72"/>
      <c r="ELN166" s="72"/>
      <c r="ELO166" s="72"/>
      <c r="ELP166" s="72"/>
      <c r="ELQ166" s="72"/>
      <c r="ELR166" s="72"/>
      <c r="ELS166" s="72"/>
      <c r="ELT166" s="72"/>
      <c r="ELU166" s="72"/>
      <c r="ELV166" s="72"/>
      <c r="ELW166" s="72"/>
      <c r="ELX166" s="72"/>
      <c r="ELY166" s="72"/>
      <c r="ELZ166" s="72"/>
      <c r="EMA166" s="72"/>
      <c r="EMB166" s="72"/>
      <c r="EMC166" s="72"/>
      <c r="EMD166" s="72"/>
      <c r="EME166" s="72"/>
      <c r="EMF166" s="72"/>
      <c r="EMG166" s="72"/>
      <c r="EMH166" s="72"/>
      <c r="EMI166" s="72"/>
      <c r="EMJ166" s="72"/>
      <c r="EMK166" s="72"/>
      <c r="EML166" s="72"/>
      <c r="EMM166" s="72"/>
      <c r="EMN166" s="72"/>
      <c r="EMO166" s="72"/>
      <c r="EMP166" s="72"/>
      <c r="EMQ166" s="72"/>
      <c r="EMR166" s="72"/>
      <c r="EMS166" s="72"/>
      <c r="EMT166" s="72"/>
      <c r="EMU166" s="72"/>
      <c r="EMV166" s="72"/>
      <c r="EMW166" s="72"/>
      <c r="EMX166" s="72"/>
      <c r="EMY166" s="72"/>
      <c r="EMZ166" s="72"/>
      <c r="ENA166" s="72"/>
      <c r="ENB166" s="72"/>
      <c r="ENC166" s="72"/>
      <c r="END166" s="72"/>
      <c r="ENE166" s="72"/>
      <c r="ENF166" s="72"/>
      <c r="ENG166" s="72"/>
      <c r="ENH166" s="72"/>
      <c r="ENI166" s="72"/>
      <c r="ENJ166" s="72"/>
      <c r="ENK166" s="72"/>
      <c r="ENL166" s="72"/>
      <c r="ENM166" s="72"/>
      <c r="ENN166" s="72"/>
      <c r="ENO166" s="72"/>
      <c r="ENP166" s="72"/>
      <c r="ENQ166" s="72"/>
      <c r="ENR166" s="72"/>
      <c r="ENS166" s="72"/>
      <c r="ENT166" s="72"/>
      <c r="ENU166" s="72"/>
      <c r="ENV166" s="72"/>
      <c r="ENW166" s="72"/>
      <c r="ENX166" s="72"/>
      <c r="ENY166" s="72"/>
      <c r="ENZ166" s="72"/>
      <c r="EOA166" s="72"/>
      <c r="EOB166" s="72"/>
      <c r="EOC166" s="72"/>
      <c r="EOD166" s="72"/>
      <c r="EOE166" s="72"/>
      <c r="EOF166" s="72"/>
      <c r="EOG166" s="72"/>
      <c r="EOH166" s="72"/>
      <c r="EOI166" s="72"/>
      <c r="EOJ166" s="72"/>
      <c r="EOK166" s="72"/>
      <c r="EOL166" s="72"/>
      <c r="EOM166" s="72"/>
      <c r="EON166" s="72"/>
      <c r="EOO166" s="72"/>
      <c r="EOP166" s="72"/>
      <c r="EOQ166" s="72"/>
      <c r="EOR166" s="72"/>
      <c r="EOS166" s="72"/>
      <c r="EOT166" s="72"/>
      <c r="EOU166" s="72"/>
      <c r="EOV166" s="72"/>
      <c r="EOW166" s="72"/>
      <c r="EOX166" s="72"/>
      <c r="EOY166" s="72"/>
      <c r="EOZ166" s="72"/>
      <c r="EPA166" s="72"/>
      <c r="EPB166" s="72"/>
      <c r="EPC166" s="72"/>
      <c r="EPD166" s="72"/>
      <c r="EPE166" s="72"/>
      <c r="EPF166" s="72"/>
      <c r="EPG166" s="72"/>
      <c r="EPH166" s="72"/>
      <c r="EPI166" s="72"/>
      <c r="EPJ166" s="72"/>
      <c r="EPK166" s="72"/>
      <c r="EPL166" s="72"/>
      <c r="EPM166" s="72"/>
      <c r="EPN166" s="72"/>
      <c r="EPO166" s="72"/>
      <c r="EPP166" s="72"/>
      <c r="EPQ166" s="72"/>
      <c r="EPR166" s="72"/>
      <c r="EPS166" s="72"/>
      <c r="EPT166" s="72"/>
      <c r="EPU166" s="72"/>
      <c r="EPV166" s="72"/>
      <c r="EPW166" s="72"/>
      <c r="EPX166" s="72"/>
      <c r="EPY166" s="72"/>
      <c r="EPZ166" s="72"/>
      <c r="EQA166" s="72"/>
      <c r="EQB166" s="72"/>
      <c r="EQC166" s="72"/>
      <c r="EQD166" s="72"/>
      <c r="EQE166" s="72"/>
      <c r="EQF166" s="72"/>
      <c r="EQG166" s="72"/>
      <c r="EQH166" s="72"/>
      <c r="EQI166" s="72"/>
      <c r="EQJ166" s="72"/>
      <c r="EQK166" s="72"/>
      <c r="EQL166" s="72"/>
      <c r="EQM166" s="72"/>
      <c r="EQN166" s="72"/>
      <c r="EQO166" s="72"/>
      <c r="EQP166" s="72"/>
      <c r="EQQ166" s="72"/>
      <c r="EQR166" s="72"/>
      <c r="EQS166" s="72"/>
      <c r="EQT166" s="72"/>
      <c r="EQU166" s="72"/>
      <c r="EQV166" s="72"/>
      <c r="EQW166" s="72"/>
      <c r="EQX166" s="72"/>
      <c r="EQY166" s="72"/>
      <c r="EQZ166" s="72"/>
      <c r="ERA166" s="72"/>
      <c r="ERB166" s="72"/>
      <c r="ERC166" s="72"/>
      <c r="ERD166" s="72"/>
      <c r="ERE166" s="72"/>
      <c r="ERF166" s="72"/>
      <c r="ERG166" s="72"/>
      <c r="ERH166" s="72"/>
      <c r="ERI166" s="72"/>
      <c r="ERJ166" s="72"/>
      <c r="ERK166" s="72"/>
      <c r="ERL166" s="72"/>
      <c r="ERM166" s="72"/>
      <c r="ERN166" s="72"/>
      <c r="ERO166" s="72"/>
      <c r="ERP166" s="72"/>
      <c r="ERQ166" s="72"/>
      <c r="ERR166" s="72"/>
      <c r="ERS166" s="72"/>
      <c r="ERT166" s="72"/>
      <c r="ERU166" s="72"/>
      <c r="ERV166" s="72"/>
      <c r="ERW166" s="72"/>
      <c r="ERX166" s="72"/>
      <c r="ERY166" s="72"/>
      <c r="ERZ166" s="72"/>
      <c r="ESA166" s="72"/>
      <c r="ESB166" s="72"/>
      <c r="ESC166" s="72"/>
      <c r="ESD166" s="72"/>
      <c r="ESE166" s="72"/>
      <c r="ESF166" s="72"/>
      <c r="ESG166" s="72"/>
      <c r="ESH166" s="72"/>
      <c r="ESI166" s="72"/>
      <c r="ESJ166" s="72"/>
      <c r="ESK166" s="72"/>
      <c r="ESL166" s="72"/>
      <c r="ESM166" s="72"/>
      <c r="ESN166" s="72"/>
      <c r="ESO166" s="72"/>
      <c r="ESP166" s="72"/>
      <c r="ESQ166" s="72"/>
      <c r="ESR166" s="72"/>
      <c r="ESS166" s="72"/>
      <c r="EST166" s="72"/>
      <c r="ESU166" s="72"/>
      <c r="ESV166" s="72"/>
      <c r="ESW166" s="72"/>
      <c r="ESX166" s="72"/>
      <c r="ESY166" s="72"/>
      <c r="ESZ166" s="72"/>
      <c r="ETA166" s="72"/>
      <c r="ETB166" s="72"/>
      <c r="ETC166" s="72"/>
      <c r="ETD166" s="72"/>
      <c r="ETE166" s="72"/>
      <c r="ETF166" s="72"/>
      <c r="ETG166" s="72"/>
      <c r="ETH166" s="72"/>
      <c r="ETI166" s="72"/>
      <c r="ETJ166" s="72"/>
      <c r="ETK166" s="72"/>
      <c r="ETL166" s="72"/>
      <c r="ETM166" s="72"/>
      <c r="ETN166" s="72"/>
      <c r="ETO166" s="72"/>
      <c r="ETP166" s="72"/>
      <c r="ETQ166" s="72"/>
      <c r="ETR166" s="72"/>
      <c r="ETS166" s="72"/>
      <c r="ETT166" s="72"/>
      <c r="ETU166" s="72"/>
      <c r="ETV166" s="72"/>
      <c r="ETW166" s="72"/>
      <c r="ETX166" s="72"/>
      <c r="ETY166" s="72"/>
      <c r="ETZ166" s="72"/>
      <c r="EUA166" s="72"/>
      <c r="EUB166" s="72"/>
      <c r="EUC166" s="72"/>
      <c r="EUD166" s="72"/>
      <c r="EUE166" s="72"/>
      <c r="EUF166" s="72"/>
      <c r="EUG166" s="72"/>
      <c r="EUH166" s="72"/>
      <c r="EUI166" s="72"/>
      <c r="EUJ166" s="72"/>
      <c r="EUK166" s="72"/>
      <c r="EUL166" s="72"/>
      <c r="EUM166" s="72"/>
      <c r="EUN166" s="72"/>
      <c r="EUO166" s="72"/>
      <c r="EUP166" s="72"/>
      <c r="EUQ166" s="72"/>
      <c r="EUR166" s="72"/>
      <c r="EUS166" s="72"/>
      <c r="EUT166" s="72"/>
      <c r="EUU166" s="72"/>
      <c r="EUV166" s="72"/>
      <c r="EUW166" s="72"/>
      <c r="EUX166" s="72"/>
      <c r="EUY166" s="72"/>
      <c r="EUZ166" s="72"/>
      <c r="EVA166" s="72"/>
      <c r="EVB166" s="72"/>
      <c r="EVC166" s="72"/>
      <c r="EVD166" s="72"/>
      <c r="EVE166" s="72"/>
      <c r="EVF166" s="72"/>
      <c r="EVG166" s="72"/>
      <c r="EVH166" s="72"/>
      <c r="EVI166" s="72"/>
      <c r="EVJ166" s="72"/>
      <c r="EVK166" s="72"/>
      <c r="EVL166" s="72"/>
      <c r="EVM166" s="72"/>
      <c r="EVN166" s="72"/>
      <c r="EVO166" s="72"/>
      <c r="EVP166" s="72"/>
      <c r="EVQ166" s="72"/>
      <c r="EVR166" s="72"/>
      <c r="EVS166" s="72"/>
      <c r="EVT166" s="72"/>
      <c r="EVU166" s="72"/>
      <c r="EVV166" s="72"/>
      <c r="EVW166" s="72"/>
      <c r="EVX166" s="72"/>
      <c r="EVY166" s="72"/>
      <c r="EVZ166" s="72"/>
      <c r="EWA166" s="72"/>
      <c r="EWB166" s="72"/>
      <c r="EWC166" s="72"/>
      <c r="EWD166" s="72"/>
      <c r="EWE166" s="72"/>
      <c r="EWF166" s="72"/>
      <c r="EWG166" s="72"/>
      <c r="EWH166" s="72"/>
      <c r="EWI166" s="72"/>
      <c r="EWJ166" s="72"/>
      <c r="EWK166" s="72"/>
      <c r="EWL166" s="72"/>
      <c r="EWM166" s="72"/>
      <c r="EWN166" s="72"/>
      <c r="EWO166" s="72"/>
      <c r="EWP166" s="72"/>
      <c r="EWQ166" s="72"/>
      <c r="EWR166" s="72"/>
      <c r="EWS166" s="72"/>
      <c r="EWT166" s="72"/>
      <c r="EWU166" s="72"/>
      <c r="EWV166" s="72"/>
      <c r="EWW166" s="72"/>
      <c r="EWX166" s="72"/>
      <c r="EWY166" s="72"/>
      <c r="EWZ166" s="72"/>
      <c r="EXA166" s="72"/>
      <c r="EXB166" s="72"/>
      <c r="EXC166" s="72"/>
      <c r="EXD166" s="72"/>
      <c r="EXE166" s="72"/>
      <c r="EXF166" s="72"/>
      <c r="EXG166" s="72"/>
      <c r="EXH166" s="72"/>
      <c r="EXI166" s="72"/>
      <c r="EXJ166" s="72"/>
      <c r="EXK166" s="72"/>
      <c r="EXL166" s="72"/>
      <c r="EXM166" s="72"/>
      <c r="EXN166" s="72"/>
      <c r="EXO166" s="72"/>
      <c r="EXP166" s="72"/>
      <c r="EXQ166" s="72"/>
      <c r="EXR166" s="72"/>
      <c r="EXS166" s="72"/>
      <c r="EXT166" s="72"/>
      <c r="EXU166" s="72"/>
      <c r="EXV166" s="72"/>
      <c r="EXW166" s="72"/>
      <c r="EXX166" s="72"/>
      <c r="EXY166" s="72"/>
      <c r="EXZ166" s="72"/>
      <c r="EYA166" s="72"/>
      <c r="EYB166" s="72"/>
      <c r="EYC166" s="72"/>
      <c r="EYD166" s="72"/>
      <c r="EYE166" s="72"/>
      <c r="EYF166" s="72"/>
      <c r="EYG166" s="72"/>
      <c r="EYH166" s="72"/>
      <c r="EYI166" s="72"/>
      <c r="EYJ166" s="72"/>
      <c r="EYK166" s="72"/>
      <c r="EYL166" s="72"/>
      <c r="EYM166" s="72"/>
      <c r="EYN166" s="72"/>
      <c r="EYO166" s="72"/>
      <c r="EYP166" s="72"/>
      <c r="EYQ166" s="72"/>
      <c r="EYR166" s="72"/>
      <c r="EYS166" s="72"/>
      <c r="EYT166" s="72"/>
      <c r="EYU166" s="72"/>
      <c r="EYV166" s="72"/>
      <c r="EYW166" s="72"/>
      <c r="EYX166" s="72"/>
      <c r="EYY166" s="72"/>
      <c r="EYZ166" s="72"/>
      <c r="EZA166" s="72"/>
      <c r="EZB166" s="72"/>
      <c r="EZC166" s="72"/>
      <c r="EZD166" s="72"/>
      <c r="EZE166" s="72"/>
      <c r="EZF166" s="72"/>
      <c r="EZG166" s="72"/>
      <c r="EZH166" s="72"/>
      <c r="EZI166" s="72"/>
      <c r="EZJ166" s="72"/>
      <c r="EZK166" s="72"/>
      <c r="EZL166" s="72"/>
      <c r="EZM166" s="72"/>
      <c r="EZN166" s="72"/>
      <c r="EZO166" s="72"/>
      <c r="EZP166" s="72"/>
      <c r="EZQ166" s="72"/>
      <c r="EZR166" s="72"/>
      <c r="EZS166" s="72"/>
      <c r="EZT166" s="72"/>
      <c r="EZU166" s="72"/>
      <c r="EZV166" s="72"/>
      <c r="EZW166" s="72"/>
      <c r="EZX166" s="72"/>
      <c r="EZY166" s="72"/>
      <c r="EZZ166" s="72"/>
      <c r="FAA166" s="72"/>
      <c r="FAB166" s="72"/>
      <c r="FAC166" s="72"/>
      <c r="FAD166" s="72"/>
      <c r="FAE166" s="72"/>
      <c r="FAF166" s="72"/>
      <c r="FAG166" s="72"/>
      <c r="FAH166" s="72"/>
      <c r="FAI166" s="72"/>
      <c r="FAJ166" s="72"/>
      <c r="FAK166" s="72"/>
      <c r="FAL166" s="72"/>
      <c r="FAM166" s="72"/>
      <c r="FAN166" s="72"/>
      <c r="FAO166" s="72"/>
      <c r="FAP166" s="72"/>
      <c r="FAQ166" s="72"/>
      <c r="FAR166" s="72"/>
      <c r="FAS166" s="72"/>
      <c r="FAT166" s="72"/>
      <c r="FAU166" s="72"/>
      <c r="FAV166" s="72"/>
      <c r="FAW166" s="72"/>
      <c r="FAX166" s="72"/>
      <c r="FAY166" s="72"/>
      <c r="FAZ166" s="72"/>
      <c r="FBA166" s="72"/>
      <c r="FBB166" s="72"/>
      <c r="FBC166" s="72"/>
      <c r="FBD166" s="72"/>
      <c r="FBE166" s="72"/>
      <c r="FBF166" s="72"/>
      <c r="FBG166" s="72"/>
      <c r="FBH166" s="72"/>
      <c r="FBI166" s="72"/>
      <c r="FBJ166" s="72"/>
      <c r="FBK166" s="72"/>
      <c r="FBL166" s="72"/>
      <c r="FBM166" s="72"/>
      <c r="FBN166" s="72"/>
      <c r="FBO166" s="72"/>
      <c r="FBP166" s="72"/>
      <c r="FBQ166" s="72"/>
      <c r="FBR166" s="72"/>
      <c r="FBS166" s="72"/>
      <c r="FBT166" s="72"/>
      <c r="FBU166" s="72"/>
      <c r="FBV166" s="72"/>
      <c r="FBW166" s="72"/>
      <c r="FBX166" s="72"/>
      <c r="FBY166" s="72"/>
      <c r="FBZ166" s="72"/>
      <c r="FCA166" s="72"/>
      <c r="FCB166" s="72"/>
      <c r="FCC166" s="72"/>
      <c r="FCD166" s="72"/>
      <c r="FCE166" s="72"/>
      <c r="FCF166" s="72"/>
      <c r="FCG166" s="72"/>
      <c r="FCH166" s="72"/>
      <c r="FCI166" s="72"/>
      <c r="FCJ166" s="72"/>
      <c r="FCK166" s="72"/>
      <c r="FCL166" s="72"/>
      <c r="FCM166" s="72"/>
      <c r="FCN166" s="72"/>
      <c r="FCO166" s="72"/>
      <c r="FCP166" s="72"/>
      <c r="FCQ166" s="72"/>
      <c r="FCR166" s="72"/>
      <c r="FCS166" s="72"/>
      <c r="FCT166" s="72"/>
      <c r="FCU166" s="72"/>
      <c r="FCV166" s="72"/>
      <c r="FCW166" s="72"/>
      <c r="FCX166" s="72"/>
      <c r="FCY166" s="72"/>
      <c r="FCZ166" s="72"/>
      <c r="FDA166" s="72"/>
      <c r="FDB166" s="72"/>
      <c r="FDC166" s="72"/>
      <c r="FDD166" s="72"/>
      <c r="FDE166" s="72"/>
      <c r="FDF166" s="72"/>
      <c r="FDG166" s="72"/>
      <c r="FDH166" s="72"/>
      <c r="FDI166" s="72"/>
      <c r="FDJ166" s="72"/>
      <c r="FDK166" s="72"/>
      <c r="FDL166" s="72"/>
      <c r="FDM166" s="72"/>
      <c r="FDN166" s="72"/>
      <c r="FDO166" s="72"/>
      <c r="FDP166" s="72"/>
      <c r="FDQ166" s="72"/>
      <c r="FDR166" s="72"/>
      <c r="FDS166" s="72"/>
      <c r="FDT166" s="72"/>
      <c r="FDU166" s="72"/>
      <c r="FDV166" s="72"/>
      <c r="FDW166" s="72"/>
      <c r="FDX166" s="72"/>
      <c r="FDY166" s="72"/>
      <c r="FDZ166" s="72"/>
      <c r="FEA166" s="72"/>
      <c r="FEB166" s="72"/>
      <c r="FEC166" s="72"/>
      <c r="FED166" s="72"/>
      <c r="FEE166" s="72"/>
      <c r="FEF166" s="72"/>
      <c r="FEG166" s="72"/>
      <c r="FEH166" s="72"/>
      <c r="FEI166" s="72"/>
      <c r="FEJ166" s="72"/>
      <c r="FEK166" s="72"/>
      <c r="FEL166" s="72"/>
      <c r="FEM166" s="72"/>
      <c r="FEN166" s="72"/>
      <c r="FEO166" s="72"/>
      <c r="FEP166" s="72"/>
      <c r="FEQ166" s="72"/>
      <c r="FER166" s="72"/>
      <c r="FES166" s="72"/>
      <c r="FET166" s="72"/>
      <c r="FEU166" s="72"/>
      <c r="FEV166" s="72"/>
      <c r="FEW166" s="72"/>
      <c r="FEX166" s="72"/>
      <c r="FEY166" s="72"/>
      <c r="FEZ166" s="72"/>
      <c r="FFA166" s="72"/>
      <c r="FFB166" s="72"/>
      <c r="FFC166" s="72"/>
      <c r="FFD166" s="72"/>
      <c r="FFE166" s="72"/>
      <c r="FFF166" s="72"/>
      <c r="FFG166" s="72"/>
      <c r="FFH166" s="72"/>
      <c r="FFI166" s="72"/>
      <c r="FFJ166" s="72"/>
      <c r="FFK166" s="72"/>
      <c r="FFL166" s="72"/>
      <c r="FFM166" s="72"/>
      <c r="FFN166" s="72"/>
      <c r="FFO166" s="72"/>
      <c r="FFP166" s="72"/>
      <c r="FFQ166" s="72"/>
      <c r="FFR166" s="72"/>
      <c r="FFS166" s="72"/>
      <c r="FFT166" s="72"/>
      <c r="FFU166" s="72"/>
      <c r="FFV166" s="72"/>
      <c r="FFW166" s="72"/>
      <c r="FFX166" s="72"/>
      <c r="FFY166" s="72"/>
      <c r="FFZ166" s="72"/>
      <c r="FGA166" s="72"/>
      <c r="FGB166" s="72"/>
      <c r="FGC166" s="72"/>
      <c r="FGD166" s="72"/>
      <c r="FGE166" s="72"/>
      <c r="FGF166" s="72"/>
      <c r="FGG166" s="72"/>
      <c r="FGH166" s="72"/>
      <c r="FGI166" s="72"/>
      <c r="FGJ166" s="72"/>
      <c r="FGK166" s="72"/>
      <c r="FGL166" s="72"/>
      <c r="FGM166" s="72"/>
      <c r="FGN166" s="72"/>
      <c r="FGO166" s="72"/>
      <c r="FGP166" s="72"/>
      <c r="FGQ166" s="72"/>
      <c r="FGR166" s="72"/>
      <c r="FGS166" s="72"/>
      <c r="FGT166" s="72"/>
      <c r="FGU166" s="72"/>
      <c r="FGV166" s="72"/>
      <c r="FGW166" s="72"/>
      <c r="FGX166" s="72"/>
      <c r="FGY166" s="72"/>
      <c r="FGZ166" s="72"/>
      <c r="FHA166" s="72"/>
      <c r="FHB166" s="72"/>
      <c r="FHC166" s="72"/>
      <c r="FHD166" s="72"/>
      <c r="FHE166" s="72"/>
      <c r="FHF166" s="72"/>
      <c r="FHG166" s="72"/>
      <c r="FHH166" s="72"/>
      <c r="FHI166" s="72"/>
      <c r="FHJ166" s="72"/>
      <c r="FHK166" s="72"/>
      <c r="FHL166" s="72"/>
      <c r="FHM166" s="72"/>
      <c r="FHN166" s="72"/>
      <c r="FHO166" s="72"/>
      <c r="FHP166" s="72"/>
      <c r="FHQ166" s="72"/>
      <c r="FHR166" s="72"/>
      <c r="FHS166" s="72"/>
      <c r="FHT166" s="72"/>
      <c r="FHU166" s="72"/>
      <c r="FHV166" s="72"/>
      <c r="FHW166" s="72"/>
      <c r="FHX166" s="72"/>
      <c r="FHY166" s="72"/>
      <c r="FHZ166" s="72"/>
      <c r="FIA166" s="72"/>
      <c r="FIB166" s="72"/>
      <c r="FIC166" s="72"/>
      <c r="FID166" s="72"/>
      <c r="FIE166" s="72"/>
      <c r="FIF166" s="72"/>
      <c r="FIG166" s="72"/>
      <c r="FIH166" s="72"/>
      <c r="FII166" s="72"/>
      <c r="FIJ166" s="72"/>
      <c r="FIK166" s="72"/>
      <c r="FIL166" s="72"/>
      <c r="FIM166" s="72"/>
      <c r="FIN166" s="72"/>
      <c r="FIO166" s="72"/>
      <c r="FIP166" s="72"/>
      <c r="FIQ166" s="72"/>
      <c r="FIR166" s="72"/>
      <c r="FIS166" s="72"/>
      <c r="FIT166" s="72"/>
      <c r="FIU166" s="72"/>
      <c r="FIV166" s="72"/>
      <c r="FIW166" s="72"/>
      <c r="FIX166" s="72"/>
      <c r="FIY166" s="72"/>
      <c r="FIZ166" s="72"/>
      <c r="FJA166" s="72"/>
      <c r="FJB166" s="72"/>
      <c r="FJC166" s="72"/>
      <c r="FJD166" s="72"/>
      <c r="FJE166" s="72"/>
      <c r="FJF166" s="72"/>
      <c r="FJG166" s="72"/>
      <c r="FJH166" s="72"/>
      <c r="FJI166" s="72"/>
      <c r="FJJ166" s="72"/>
      <c r="FJK166" s="72"/>
      <c r="FJL166" s="72"/>
      <c r="FJM166" s="72"/>
      <c r="FJN166" s="72"/>
      <c r="FJO166" s="72"/>
      <c r="FJP166" s="72"/>
      <c r="FJQ166" s="72"/>
      <c r="FJR166" s="72"/>
      <c r="FJS166" s="72"/>
      <c r="FJT166" s="72"/>
      <c r="FJU166" s="72"/>
      <c r="FJV166" s="72"/>
      <c r="FJW166" s="72"/>
      <c r="FJX166" s="72"/>
      <c r="FJY166" s="72"/>
      <c r="FJZ166" s="72"/>
      <c r="FKA166" s="72"/>
      <c r="FKB166" s="72"/>
      <c r="FKC166" s="72"/>
      <c r="FKD166" s="72"/>
      <c r="FKE166" s="72"/>
      <c r="FKF166" s="72"/>
      <c r="FKG166" s="72"/>
      <c r="FKH166" s="72"/>
      <c r="FKI166" s="72"/>
      <c r="FKJ166" s="72"/>
      <c r="FKK166" s="72"/>
      <c r="FKL166" s="72"/>
      <c r="FKM166" s="72"/>
      <c r="FKN166" s="72"/>
      <c r="FKO166" s="72"/>
      <c r="FKP166" s="72"/>
      <c r="FKQ166" s="72"/>
      <c r="FKR166" s="72"/>
      <c r="FKS166" s="72"/>
      <c r="FKT166" s="72"/>
      <c r="FKU166" s="72"/>
      <c r="FKV166" s="72"/>
      <c r="FKW166" s="72"/>
      <c r="FKX166" s="72"/>
      <c r="FKY166" s="72"/>
      <c r="FKZ166" s="72"/>
      <c r="FLA166" s="72"/>
      <c r="FLB166" s="72"/>
      <c r="FLC166" s="72"/>
      <c r="FLD166" s="72"/>
      <c r="FLE166" s="72"/>
      <c r="FLF166" s="72"/>
      <c r="FLG166" s="72"/>
      <c r="FLH166" s="72"/>
      <c r="FLI166" s="72"/>
      <c r="FLJ166" s="72"/>
      <c r="FLK166" s="72"/>
      <c r="FLL166" s="72"/>
      <c r="FLM166" s="72"/>
      <c r="FLN166" s="72"/>
      <c r="FLO166" s="72"/>
      <c r="FLP166" s="72"/>
      <c r="FLQ166" s="72"/>
      <c r="FLR166" s="72"/>
      <c r="FLS166" s="72"/>
      <c r="FLT166" s="72"/>
      <c r="FLU166" s="72"/>
      <c r="FLV166" s="72"/>
      <c r="FLW166" s="72"/>
      <c r="FLX166" s="72"/>
      <c r="FLY166" s="72"/>
      <c r="FLZ166" s="72"/>
      <c r="FMA166" s="72"/>
      <c r="FMB166" s="72"/>
      <c r="FMC166" s="72"/>
      <c r="FMD166" s="72"/>
      <c r="FME166" s="72"/>
      <c r="FMF166" s="72"/>
      <c r="FMG166" s="72"/>
      <c r="FMH166" s="72"/>
      <c r="FMI166" s="72"/>
      <c r="FMJ166" s="72"/>
      <c r="FMK166" s="72"/>
      <c r="FML166" s="72"/>
      <c r="FMM166" s="72"/>
      <c r="FMN166" s="72"/>
      <c r="FMO166" s="72"/>
      <c r="FMP166" s="72"/>
      <c r="FMQ166" s="72"/>
      <c r="FMR166" s="72"/>
      <c r="FMS166" s="72"/>
      <c r="FMT166" s="72"/>
      <c r="FMU166" s="72"/>
      <c r="FMV166" s="72"/>
      <c r="FMW166" s="72"/>
      <c r="FMX166" s="72"/>
      <c r="FMY166" s="72"/>
      <c r="FMZ166" s="72"/>
      <c r="FNA166" s="72"/>
      <c r="FNB166" s="72"/>
      <c r="FNC166" s="72"/>
      <c r="FND166" s="72"/>
      <c r="FNE166" s="72"/>
      <c r="FNF166" s="72"/>
      <c r="FNG166" s="72"/>
      <c r="FNH166" s="72"/>
      <c r="FNI166" s="72"/>
      <c r="FNJ166" s="72"/>
      <c r="FNK166" s="72"/>
      <c r="FNL166" s="72"/>
      <c r="FNM166" s="72"/>
      <c r="FNN166" s="72"/>
      <c r="FNO166" s="72"/>
      <c r="FNP166" s="72"/>
      <c r="FNQ166" s="72"/>
      <c r="FNR166" s="72"/>
      <c r="FNS166" s="72"/>
      <c r="FNT166" s="72"/>
      <c r="FNU166" s="72"/>
      <c r="FNV166" s="72"/>
      <c r="FNW166" s="72"/>
      <c r="FNX166" s="72"/>
      <c r="FNY166" s="72"/>
      <c r="FNZ166" s="72"/>
      <c r="FOA166" s="72"/>
      <c r="FOB166" s="72"/>
      <c r="FOC166" s="72"/>
      <c r="FOD166" s="72"/>
      <c r="FOE166" s="72"/>
      <c r="FOF166" s="72"/>
      <c r="FOG166" s="72"/>
      <c r="FOH166" s="72"/>
      <c r="FOI166" s="72"/>
      <c r="FOJ166" s="72"/>
      <c r="FOK166" s="72"/>
      <c r="FOL166" s="72"/>
      <c r="FOM166" s="72"/>
      <c r="FON166" s="72"/>
      <c r="FOO166" s="72"/>
      <c r="FOP166" s="72"/>
      <c r="FOQ166" s="72"/>
      <c r="FOR166" s="72"/>
      <c r="FOS166" s="72"/>
      <c r="FOT166" s="72"/>
      <c r="FOU166" s="72"/>
      <c r="FOV166" s="72"/>
      <c r="FOW166" s="72"/>
      <c r="FOX166" s="72"/>
      <c r="FOY166" s="72"/>
      <c r="FOZ166" s="72"/>
      <c r="FPA166" s="72"/>
      <c r="FPB166" s="72"/>
      <c r="FPC166" s="72"/>
      <c r="FPD166" s="72"/>
      <c r="FPE166" s="72"/>
      <c r="FPF166" s="72"/>
      <c r="FPG166" s="72"/>
      <c r="FPH166" s="72"/>
      <c r="FPI166" s="72"/>
      <c r="FPJ166" s="72"/>
      <c r="FPK166" s="72"/>
      <c r="FPL166" s="72"/>
      <c r="FPM166" s="72"/>
      <c r="FPN166" s="72"/>
      <c r="FPO166" s="72"/>
      <c r="FPP166" s="72"/>
      <c r="FPQ166" s="72"/>
      <c r="FPR166" s="72"/>
      <c r="FPS166" s="72"/>
      <c r="FPT166" s="72"/>
      <c r="FPU166" s="72"/>
      <c r="FPV166" s="72"/>
      <c r="FPW166" s="72"/>
      <c r="FPX166" s="72"/>
      <c r="FPY166" s="72"/>
      <c r="FPZ166" s="72"/>
      <c r="FQA166" s="72"/>
      <c r="FQB166" s="72"/>
      <c r="FQC166" s="72"/>
      <c r="FQD166" s="72"/>
      <c r="FQE166" s="72"/>
      <c r="FQF166" s="72"/>
      <c r="FQG166" s="72"/>
      <c r="FQH166" s="72"/>
      <c r="FQI166" s="72"/>
      <c r="FQJ166" s="72"/>
      <c r="FQK166" s="72"/>
      <c r="FQL166" s="72"/>
      <c r="FQM166" s="72"/>
      <c r="FQN166" s="72"/>
      <c r="FQO166" s="72"/>
      <c r="FQP166" s="72"/>
      <c r="FQQ166" s="72"/>
      <c r="FQR166" s="72"/>
      <c r="FQS166" s="72"/>
      <c r="FQT166" s="72"/>
      <c r="FQU166" s="72"/>
      <c r="FQV166" s="72"/>
      <c r="FQW166" s="72"/>
      <c r="FQX166" s="72"/>
      <c r="FQY166" s="72"/>
      <c r="FQZ166" s="72"/>
      <c r="FRA166" s="72"/>
      <c r="FRB166" s="72"/>
      <c r="FRC166" s="72"/>
      <c r="FRD166" s="72"/>
      <c r="FRE166" s="72"/>
      <c r="FRF166" s="72"/>
      <c r="FRG166" s="72"/>
      <c r="FRH166" s="72"/>
      <c r="FRI166" s="72"/>
      <c r="FRJ166" s="72"/>
      <c r="FRK166" s="72"/>
      <c r="FRL166" s="72"/>
      <c r="FRM166" s="72"/>
      <c r="FRN166" s="72"/>
      <c r="FRO166" s="72"/>
      <c r="FRP166" s="72"/>
      <c r="FRQ166" s="72"/>
      <c r="FRR166" s="72"/>
      <c r="FRS166" s="72"/>
      <c r="FRT166" s="72"/>
      <c r="FRU166" s="72"/>
      <c r="FRV166" s="72"/>
      <c r="FRW166" s="72"/>
      <c r="FRX166" s="72"/>
      <c r="FRY166" s="72"/>
      <c r="FRZ166" s="72"/>
      <c r="FSA166" s="72"/>
      <c r="FSB166" s="72"/>
      <c r="FSC166" s="72"/>
      <c r="FSD166" s="72"/>
      <c r="FSE166" s="72"/>
      <c r="FSF166" s="72"/>
      <c r="FSG166" s="72"/>
      <c r="FSH166" s="72"/>
      <c r="FSI166" s="72"/>
      <c r="FSJ166" s="72"/>
      <c r="FSK166" s="72"/>
      <c r="FSL166" s="72"/>
      <c r="FSM166" s="72"/>
      <c r="FSN166" s="72"/>
      <c r="FSO166" s="72"/>
      <c r="FSP166" s="72"/>
      <c r="FSQ166" s="72"/>
      <c r="FSR166" s="72"/>
      <c r="FSS166" s="72"/>
      <c r="FST166" s="72"/>
      <c r="FSU166" s="72"/>
      <c r="FSV166" s="72"/>
      <c r="FSW166" s="72"/>
      <c r="FSX166" s="72"/>
      <c r="FSY166" s="72"/>
      <c r="FSZ166" s="72"/>
      <c r="FTA166" s="72"/>
      <c r="FTB166" s="72"/>
      <c r="FTC166" s="72"/>
      <c r="FTD166" s="72"/>
      <c r="FTE166" s="72"/>
      <c r="FTF166" s="72"/>
      <c r="FTG166" s="72"/>
      <c r="FTH166" s="72"/>
      <c r="FTI166" s="72"/>
      <c r="FTJ166" s="72"/>
      <c r="FTK166" s="72"/>
      <c r="FTL166" s="72"/>
      <c r="FTM166" s="72"/>
      <c r="FTN166" s="72"/>
      <c r="FTO166" s="72"/>
      <c r="FTP166" s="72"/>
      <c r="FTQ166" s="72"/>
      <c r="FTR166" s="72"/>
      <c r="FTS166" s="72"/>
      <c r="FTT166" s="72"/>
      <c r="FTU166" s="72"/>
      <c r="FTV166" s="72"/>
      <c r="FTW166" s="72"/>
      <c r="FTX166" s="72"/>
      <c r="FTY166" s="72"/>
      <c r="FTZ166" s="72"/>
      <c r="FUA166" s="72"/>
      <c r="FUB166" s="72"/>
      <c r="FUC166" s="72"/>
      <c r="FUD166" s="72"/>
      <c r="FUE166" s="72"/>
      <c r="FUF166" s="72"/>
      <c r="FUG166" s="72"/>
      <c r="FUH166" s="72"/>
      <c r="FUI166" s="72"/>
      <c r="FUJ166" s="72"/>
      <c r="FUK166" s="72"/>
      <c r="FUL166" s="72"/>
      <c r="FUM166" s="72"/>
      <c r="FUN166" s="72"/>
      <c r="FUO166" s="72"/>
      <c r="FUP166" s="72"/>
      <c r="FUQ166" s="72"/>
      <c r="FUR166" s="72"/>
      <c r="FUS166" s="72"/>
      <c r="FUT166" s="72"/>
      <c r="FUU166" s="72"/>
      <c r="FUV166" s="72"/>
      <c r="FUW166" s="72"/>
      <c r="FUX166" s="72"/>
      <c r="FUY166" s="72"/>
      <c r="FUZ166" s="72"/>
      <c r="FVA166" s="72"/>
      <c r="FVB166" s="72"/>
      <c r="FVC166" s="72"/>
      <c r="FVD166" s="72"/>
      <c r="FVE166" s="72"/>
      <c r="FVF166" s="72"/>
      <c r="FVG166" s="72"/>
      <c r="FVH166" s="72"/>
      <c r="FVI166" s="72"/>
      <c r="FVJ166" s="72"/>
      <c r="FVK166" s="72"/>
      <c r="FVL166" s="72"/>
      <c r="FVM166" s="72"/>
      <c r="FVN166" s="72"/>
      <c r="FVO166" s="72"/>
      <c r="FVP166" s="72"/>
      <c r="FVQ166" s="72"/>
      <c r="FVR166" s="72"/>
      <c r="FVS166" s="72"/>
      <c r="FVT166" s="72"/>
      <c r="FVU166" s="72"/>
      <c r="FVV166" s="72"/>
      <c r="FVW166" s="72"/>
      <c r="FVX166" s="72"/>
      <c r="FVY166" s="72"/>
      <c r="FVZ166" s="72"/>
      <c r="FWA166" s="72"/>
      <c r="FWB166" s="72"/>
      <c r="FWC166" s="72"/>
      <c r="FWD166" s="72"/>
      <c r="FWE166" s="72"/>
      <c r="FWF166" s="72"/>
      <c r="FWG166" s="72"/>
      <c r="FWH166" s="72"/>
      <c r="FWI166" s="72"/>
      <c r="FWJ166" s="72"/>
      <c r="FWK166" s="72"/>
      <c r="FWL166" s="72"/>
      <c r="FWM166" s="72"/>
      <c r="FWN166" s="72"/>
      <c r="FWO166" s="72"/>
      <c r="FWP166" s="72"/>
      <c r="FWQ166" s="72"/>
      <c r="FWR166" s="72"/>
      <c r="FWS166" s="72"/>
      <c r="FWT166" s="72"/>
      <c r="FWU166" s="72"/>
      <c r="FWV166" s="72"/>
      <c r="FWW166" s="72"/>
      <c r="FWX166" s="72"/>
      <c r="FWY166" s="72"/>
      <c r="FWZ166" s="72"/>
      <c r="FXA166" s="72"/>
      <c r="FXB166" s="72"/>
      <c r="FXC166" s="72"/>
      <c r="FXD166" s="72"/>
      <c r="FXE166" s="72"/>
      <c r="FXF166" s="72"/>
      <c r="FXG166" s="72"/>
      <c r="FXH166" s="72"/>
      <c r="FXI166" s="72"/>
      <c r="FXJ166" s="72"/>
      <c r="FXK166" s="72"/>
      <c r="FXL166" s="72"/>
      <c r="FXM166" s="72"/>
      <c r="FXN166" s="72"/>
      <c r="FXO166" s="72"/>
      <c r="FXP166" s="72"/>
      <c r="FXQ166" s="72"/>
      <c r="FXR166" s="72"/>
      <c r="FXS166" s="72"/>
      <c r="FXT166" s="72"/>
      <c r="FXU166" s="72"/>
      <c r="FXV166" s="72"/>
      <c r="FXW166" s="72"/>
      <c r="FXX166" s="72"/>
      <c r="FXY166" s="72"/>
      <c r="FXZ166" s="72"/>
      <c r="FYA166" s="72"/>
      <c r="FYB166" s="72"/>
      <c r="FYC166" s="72"/>
      <c r="FYD166" s="72"/>
      <c r="FYE166" s="72"/>
      <c r="FYF166" s="72"/>
      <c r="FYG166" s="72"/>
      <c r="FYH166" s="72"/>
      <c r="FYI166" s="72"/>
      <c r="FYJ166" s="72"/>
      <c r="FYK166" s="72"/>
      <c r="FYL166" s="72"/>
      <c r="FYM166" s="72"/>
      <c r="FYN166" s="72"/>
      <c r="FYO166" s="72"/>
      <c r="FYP166" s="72"/>
      <c r="FYQ166" s="72"/>
      <c r="FYR166" s="72"/>
      <c r="FYS166" s="72"/>
      <c r="FYT166" s="72"/>
      <c r="FYU166" s="72"/>
      <c r="FYV166" s="72"/>
      <c r="FYW166" s="72"/>
      <c r="FYX166" s="72"/>
      <c r="FYY166" s="72"/>
      <c r="FYZ166" s="72"/>
      <c r="FZA166" s="72"/>
      <c r="FZB166" s="72"/>
      <c r="FZC166" s="72"/>
      <c r="FZD166" s="72"/>
      <c r="FZE166" s="72"/>
      <c r="FZF166" s="72"/>
      <c r="FZG166" s="72"/>
      <c r="FZH166" s="72"/>
      <c r="FZI166" s="72"/>
      <c r="FZJ166" s="72"/>
      <c r="FZK166" s="72"/>
      <c r="FZL166" s="72"/>
      <c r="FZM166" s="72"/>
      <c r="FZN166" s="72"/>
      <c r="FZO166" s="72"/>
      <c r="FZP166" s="72"/>
      <c r="FZQ166" s="72"/>
      <c r="FZR166" s="72"/>
      <c r="FZS166" s="72"/>
      <c r="FZT166" s="72"/>
      <c r="FZU166" s="72"/>
      <c r="FZV166" s="72"/>
      <c r="FZW166" s="72"/>
      <c r="FZX166" s="72"/>
      <c r="FZY166" s="72"/>
      <c r="FZZ166" s="72"/>
      <c r="GAA166" s="72"/>
      <c r="GAB166" s="72"/>
      <c r="GAC166" s="72"/>
      <c r="GAD166" s="72"/>
      <c r="GAE166" s="72"/>
      <c r="GAF166" s="72"/>
      <c r="GAG166" s="72"/>
      <c r="GAH166" s="72"/>
      <c r="GAI166" s="72"/>
      <c r="GAJ166" s="72"/>
      <c r="GAK166" s="72"/>
      <c r="GAL166" s="72"/>
      <c r="GAM166" s="72"/>
      <c r="GAN166" s="72"/>
      <c r="GAO166" s="72"/>
      <c r="GAP166" s="72"/>
      <c r="GAQ166" s="72"/>
      <c r="GAR166" s="72"/>
      <c r="GAS166" s="72"/>
      <c r="GAT166" s="72"/>
      <c r="GAU166" s="72"/>
      <c r="GAV166" s="72"/>
      <c r="GAW166" s="72"/>
      <c r="GAX166" s="72"/>
      <c r="GAY166" s="72"/>
      <c r="GAZ166" s="72"/>
      <c r="GBA166" s="72"/>
      <c r="GBB166" s="72"/>
      <c r="GBC166" s="72"/>
      <c r="GBD166" s="72"/>
      <c r="GBE166" s="72"/>
      <c r="GBF166" s="72"/>
      <c r="GBG166" s="72"/>
      <c r="GBH166" s="72"/>
      <c r="GBI166" s="72"/>
      <c r="GBJ166" s="72"/>
      <c r="GBK166" s="72"/>
      <c r="GBL166" s="72"/>
      <c r="GBM166" s="72"/>
      <c r="GBN166" s="72"/>
      <c r="GBO166" s="72"/>
      <c r="GBP166" s="72"/>
      <c r="GBQ166" s="72"/>
      <c r="GBR166" s="72"/>
      <c r="GBS166" s="72"/>
      <c r="GBT166" s="72"/>
      <c r="GBU166" s="72"/>
      <c r="GBV166" s="72"/>
      <c r="GBW166" s="72"/>
      <c r="GBX166" s="72"/>
      <c r="GBY166" s="72"/>
      <c r="GBZ166" s="72"/>
      <c r="GCA166" s="72"/>
      <c r="GCB166" s="72"/>
      <c r="GCC166" s="72"/>
      <c r="GCD166" s="72"/>
      <c r="GCE166" s="72"/>
      <c r="GCF166" s="72"/>
      <c r="GCG166" s="72"/>
      <c r="GCH166" s="72"/>
      <c r="GCI166" s="72"/>
      <c r="GCJ166" s="72"/>
      <c r="GCK166" s="72"/>
      <c r="GCL166" s="72"/>
      <c r="GCM166" s="72"/>
      <c r="GCN166" s="72"/>
      <c r="GCO166" s="72"/>
      <c r="GCP166" s="72"/>
      <c r="GCQ166" s="72"/>
      <c r="GCR166" s="72"/>
      <c r="GCS166" s="72"/>
      <c r="GCT166" s="72"/>
      <c r="GCU166" s="72"/>
      <c r="GCV166" s="72"/>
      <c r="GCW166" s="72"/>
      <c r="GCX166" s="72"/>
      <c r="GCY166" s="72"/>
      <c r="GCZ166" s="72"/>
      <c r="GDA166" s="72"/>
      <c r="GDB166" s="72"/>
      <c r="GDC166" s="72"/>
      <c r="GDD166" s="72"/>
      <c r="GDE166" s="72"/>
      <c r="GDF166" s="72"/>
      <c r="GDG166" s="72"/>
      <c r="GDH166" s="72"/>
      <c r="GDI166" s="72"/>
      <c r="GDJ166" s="72"/>
      <c r="GDK166" s="72"/>
      <c r="GDL166" s="72"/>
      <c r="GDM166" s="72"/>
      <c r="GDN166" s="72"/>
      <c r="GDO166" s="72"/>
      <c r="GDP166" s="72"/>
      <c r="GDQ166" s="72"/>
      <c r="GDR166" s="72"/>
      <c r="GDS166" s="72"/>
      <c r="GDT166" s="72"/>
      <c r="GDU166" s="72"/>
      <c r="GDV166" s="72"/>
      <c r="GDW166" s="72"/>
      <c r="GDX166" s="72"/>
      <c r="GDY166" s="72"/>
      <c r="GDZ166" s="72"/>
      <c r="GEA166" s="72"/>
      <c r="GEB166" s="72"/>
      <c r="GEC166" s="72"/>
      <c r="GED166" s="72"/>
      <c r="GEE166" s="72"/>
      <c r="GEF166" s="72"/>
      <c r="GEG166" s="72"/>
      <c r="GEH166" s="72"/>
      <c r="GEI166" s="72"/>
      <c r="GEJ166" s="72"/>
      <c r="GEK166" s="72"/>
      <c r="GEL166" s="72"/>
      <c r="GEM166" s="72"/>
      <c r="GEN166" s="72"/>
      <c r="GEO166" s="72"/>
      <c r="GEP166" s="72"/>
      <c r="GEQ166" s="72"/>
      <c r="GER166" s="72"/>
      <c r="GES166" s="72"/>
      <c r="GET166" s="72"/>
      <c r="GEU166" s="72"/>
      <c r="GEV166" s="72"/>
      <c r="GEW166" s="72"/>
      <c r="GEX166" s="72"/>
      <c r="GEY166" s="72"/>
      <c r="GEZ166" s="72"/>
      <c r="GFA166" s="72"/>
      <c r="GFB166" s="72"/>
      <c r="GFC166" s="72"/>
      <c r="GFD166" s="72"/>
      <c r="GFE166" s="72"/>
      <c r="GFF166" s="72"/>
      <c r="GFG166" s="72"/>
      <c r="GFH166" s="72"/>
      <c r="GFI166" s="72"/>
      <c r="GFJ166" s="72"/>
      <c r="GFK166" s="72"/>
      <c r="GFL166" s="72"/>
      <c r="GFM166" s="72"/>
      <c r="GFN166" s="72"/>
      <c r="GFO166" s="72"/>
      <c r="GFP166" s="72"/>
      <c r="GFQ166" s="72"/>
      <c r="GFR166" s="72"/>
      <c r="GFS166" s="72"/>
      <c r="GFT166" s="72"/>
      <c r="GFU166" s="72"/>
      <c r="GFV166" s="72"/>
      <c r="GFW166" s="72"/>
      <c r="GFX166" s="72"/>
      <c r="GFY166" s="72"/>
      <c r="GFZ166" s="72"/>
      <c r="GGA166" s="72"/>
      <c r="GGB166" s="72"/>
      <c r="GGC166" s="72"/>
      <c r="GGD166" s="72"/>
      <c r="GGE166" s="72"/>
      <c r="GGF166" s="72"/>
      <c r="GGG166" s="72"/>
      <c r="GGH166" s="72"/>
      <c r="GGI166" s="72"/>
      <c r="GGJ166" s="72"/>
      <c r="GGK166" s="72"/>
      <c r="GGL166" s="72"/>
      <c r="GGM166" s="72"/>
      <c r="GGN166" s="72"/>
      <c r="GGO166" s="72"/>
      <c r="GGP166" s="72"/>
      <c r="GGQ166" s="72"/>
      <c r="GGR166" s="72"/>
      <c r="GGS166" s="72"/>
      <c r="GGT166" s="72"/>
      <c r="GGU166" s="72"/>
      <c r="GGV166" s="72"/>
      <c r="GGW166" s="72"/>
      <c r="GGX166" s="72"/>
      <c r="GGY166" s="72"/>
      <c r="GGZ166" s="72"/>
      <c r="GHA166" s="72"/>
      <c r="GHB166" s="72"/>
      <c r="GHC166" s="72"/>
      <c r="GHD166" s="72"/>
      <c r="GHE166" s="72"/>
      <c r="GHF166" s="72"/>
      <c r="GHG166" s="72"/>
      <c r="GHH166" s="72"/>
      <c r="GHI166" s="72"/>
      <c r="GHJ166" s="72"/>
      <c r="GHK166" s="72"/>
      <c r="GHL166" s="72"/>
      <c r="GHM166" s="72"/>
      <c r="GHN166" s="72"/>
      <c r="GHO166" s="72"/>
      <c r="GHP166" s="72"/>
      <c r="GHQ166" s="72"/>
      <c r="GHR166" s="72"/>
      <c r="GHS166" s="72"/>
      <c r="GHT166" s="72"/>
      <c r="GHU166" s="72"/>
      <c r="GHV166" s="72"/>
      <c r="GHW166" s="72"/>
      <c r="GHX166" s="72"/>
      <c r="GHY166" s="72"/>
      <c r="GHZ166" s="72"/>
      <c r="GIA166" s="72"/>
      <c r="GIB166" s="72"/>
      <c r="GIC166" s="72"/>
      <c r="GID166" s="72"/>
      <c r="GIE166" s="72"/>
      <c r="GIF166" s="72"/>
      <c r="GIG166" s="72"/>
      <c r="GIH166" s="72"/>
      <c r="GII166" s="72"/>
      <c r="GIJ166" s="72"/>
      <c r="GIK166" s="72"/>
      <c r="GIL166" s="72"/>
      <c r="GIM166" s="72"/>
      <c r="GIN166" s="72"/>
      <c r="GIO166" s="72"/>
      <c r="GIP166" s="72"/>
      <c r="GIQ166" s="72"/>
      <c r="GIR166" s="72"/>
      <c r="GIS166" s="72"/>
      <c r="GIT166" s="72"/>
      <c r="GIU166" s="72"/>
      <c r="GIV166" s="72"/>
      <c r="GIW166" s="72"/>
      <c r="GIX166" s="72"/>
      <c r="GIY166" s="72"/>
      <c r="GIZ166" s="72"/>
      <c r="GJA166" s="72"/>
      <c r="GJB166" s="72"/>
      <c r="GJC166" s="72"/>
      <c r="GJD166" s="72"/>
      <c r="GJE166" s="72"/>
      <c r="GJF166" s="72"/>
      <c r="GJG166" s="72"/>
      <c r="GJH166" s="72"/>
      <c r="GJI166" s="72"/>
      <c r="GJJ166" s="72"/>
      <c r="GJK166" s="72"/>
      <c r="GJL166" s="72"/>
      <c r="GJM166" s="72"/>
      <c r="GJN166" s="72"/>
      <c r="GJO166" s="72"/>
      <c r="GJP166" s="72"/>
      <c r="GJQ166" s="72"/>
      <c r="GJR166" s="72"/>
      <c r="GJS166" s="72"/>
      <c r="GJT166" s="72"/>
      <c r="GJU166" s="72"/>
      <c r="GJV166" s="72"/>
      <c r="GJW166" s="72"/>
      <c r="GJX166" s="72"/>
      <c r="GJY166" s="72"/>
      <c r="GJZ166" s="72"/>
      <c r="GKA166" s="72"/>
      <c r="GKB166" s="72"/>
      <c r="GKC166" s="72"/>
      <c r="GKD166" s="72"/>
      <c r="GKE166" s="72"/>
      <c r="GKF166" s="72"/>
      <c r="GKG166" s="72"/>
      <c r="GKH166" s="72"/>
      <c r="GKI166" s="72"/>
      <c r="GKJ166" s="72"/>
      <c r="GKK166" s="72"/>
      <c r="GKL166" s="72"/>
      <c r="GKM166" s="72"/>
      <c r="GKN166" s="72"/>
      <c r="GKO166" s="72"/>
      <c r="GKP166" s="72"/>
      <c r="GKQ166" s="72"/>
      <c r="GKR166" s="72"/>
      <c r="GKS166" s="72"/>
      <c r="GKT166" s="72"/>
      <c r="GKU166" s="72"/>
      <c r="GKV166" s="72"/>
      <c r="GKW166" s="72"/>
      <c r="GKX166" s="72"/>
      <c r="GKY166" s="72"/>
      <c r="GKZ166" s="72"/>
      <c r="GLA166" s="72"/>
      <c r="GLB166" s="72"/>
      <c r="GLC166" s="72"/>
      <c r="GLD166" s="72"/>
      <c r="GLE166" s="72"/>
      <c r="GLF166" s="72"/>
      <c r="GLG166" s="72"/>
      <c r="GLH166" s="72"/>
      <c r="GLI166" s="72"/>
      <c r="GLJ166" s="72"/>
      <c r="GLK166" s="72"/>
      <c r="GLL166" s="72"/>
      <c r="GLM166" s="72"/>
      <c r="GLN166" s="72"/>
      <c r="GLO166" s="72"/>
      <c r="GLP166" s="72"/>
      <c r="GLQ166" s="72"/>
      <c r="GLR166" s="72"/>
      <c r="GLS166" s="72"/>
      <c r="GLT166" s="72"/>
      <c r="GLU166" s="72"/>
      <c r="GLV166" s="72"/>
      <c r="GLW166" s="72"/>
      <c r="GLX166" s="72"/>
      <c r="GLY166" s="72"/>
      <c r="GLZ166" s="72"/>
      <c r="GMA166" s="72"/>
      <c r="GMB166" s="72"/>
      <c r="GMC166" s="72"/>
      <c r="GMD166" s="72"/>
      <c r="GME166" s="72"/>
      <c r="GMF166" s="72"/>
      <c r="GMG166" s="72"/>
      <c r="GMH166" s="72"/>
      <c r="GMI166" s="72"/>
      <c r="GMJ166" s="72"/>
      <c r="GMK166" s="72"/>
      <c r="GML166" s="72"/>
      <c r="GMM166" s="72"/>
      <c r="GMN166" s="72"/>
      <c r="GMO166" s="72"/>
      <c r="GMP166" s="72"/>
      <c r="GMQ166" s="72"/>
      <c r="GMR166" s="72"/>
      <c r="GMS166" s="72"/>
      <c r="GMT166" s="72"/>
      <c r="GMU166" s="72"/>
      <c r="GMV166" s="72"/>
      <c r="GMW166" s="72"/>
      <c r="GMX166" s="72"/>
      <c r="GMY166" s="72"/>
      <c r="GMZ166" s="72"/>
      <c r="GNA166" s="72"/>
      <c r="GNB166" s="72"/>
      <c r="GNC166" s="72"/>
      <c r="GND166" s="72"/>
      <c r="GNE166" s="72"/>
      <c r="GNF166" s="72"/>
      <c r="GNG166" s="72"/>
      <c r="GNH166" s="72"/>
      <c r="GNI166" s="72"/>
      <c r="GNJ166" s="72"/>
      <c r="GNK166" s="72"/>
      <c r="GNL166" s="72"/>
      <c r="GNM166" s="72"/>
      <c r="GNN166" s="72"/>
      <c r="GNO166" s="72"/>
      <c r="GNP166" s="72"/>
      <c r="GNQ166" s="72"/>
      <c r="GNR166" s="72"/>
      <c r="GNS166" s="72"/>
      <c r="GNT166" s="72"/>
      <c r="GNU166" s="72"/>
      <c r="GNV166" s="72"/>
      <c r="GNW166" s="72"/>
      <c r="GNX166" s="72"/>
      <c r="GNY166" s="72"/>
      <c r="GNZ166" s="72"/>
      <c r="GOA166" s="72"/>
      <c r="GOB166" s="72"/>
      <c r="GOC166" s="72"/>
      <c r="GOD166" s="72"/>
      <c r="GOE166" s="72"/>
      <c r="GOF166" s="72"/>
      <c r="GOG166" s="72"/>
      <c r="GOH166" s="72"/>
      <c r="GOI166" s="72"/>
      <c r="GOJ166" s="72"/>
      <c r="GOK166" s="72"/>
      <c r="GOL166" s="72"/>
      <c r="GOM166" s="72"/>
      <c r="GON166" s="72"/>
      <c r="GOO166" s="72"/>
      <c r="GOP166" s="72"/>
      <c r="GOQ166" s="72"/>
      <c r="GOR166" s="72"/>
      <c r="GOS166" s="72"/>
      <c r="GOT166" s="72"/>
      <c r="GOU166" s="72"/>
      <c r="GOV166" s="72"/>
      <c r="GOW166" s="72"/>
      <c r="GOX166" s="72"/>
      <c r="GOY166" s="72"/>
      <c r="GOZ166" s="72"/>
      <c r="GPA166" s="72"/>
      <c r="GPB166" s="72"/>
      <c r="GPC166" s="72"/>
      <c r="GPD166" s="72"/>
      <c r="GPE166" s="72"/>
      <c r="GPF166" s="72"/>
      <c r="GPG166" s="72"/>
      <c r="GPH166" s="72"/>
      <c r="GPI166" s="72"/>
      <c r="GPJ166" s="72"/>
      <c r="GPK166" s="72"/>
      <c r="GPL166" s="72"/>
      <c r="GPM166" s="72"/>
      <c r="GPN166" s="72"/>
      <c r="GPO166" s="72"/>
      <c r="GPP166" s="72"/>
      <c r="GPQ166" s="72"/>
      <c r="GPR166" s="72"/>
      <c r="GPS166" s="72"/>
      <c r="GPT166" s="72"/>
      <c r="GPU166" s="72"/>
      <c r="GPV166" s="72"/>
      <c r="GPW166" s="72"/>
      <c r="GPX166" s="72"/>
      <c r="GPY166" s="72"/>
      <c r="GPZ166" s="72"/>
      <c r="GQA166" s="72"/>
      <c r="GQB166" s="72"/>
      <c r="GQC166" s="72"/>
      <c r="GQD166" s="72"/>
      <c r="GQE166" s="72"/>
      <c r="GQF166" s="72"/>
      <c r="GQG166" s="72"/>
      <c r="GQH166" s="72"/>
      <c r="GQI166" s="72"/>
      <c r="GQJ166" s="72"/>
      <c r="GQK166" s="72"/>
      <c r="GQL166" s="72"/>
      <c r="GQM166" s="72"/>
      <c r="GQN166" s="72"/>
      <c r="GQO166" s="72"/>
      <c r="GQP166" s="72"/>
      <c r="GQQ166" s="72"/>
      <c r="GQR166" s="72"/>
      <c r="GQS166" s="72"/>
      <c r="GQT166" s="72"/>
      <c r="GQU166" s="72"/>
      <c r="GQV166" s="72"/>
      <c r="GQW166" s="72"/>
      <c r="GQX166" s="72"/>
      <c r="GQY166" s="72"/>
      <c r="GQZ166" s="72"/>
      <c r="GRA166" s="72"/>
      <c r="GRB166" s="72"/>
      <c r="GRC166" s="72"/>
      <c r="GRD166" s="72"/>
      <c r="GRE166" s="72"/>
      <c r="GRF166" s="72"/>
      <c r="GRG166" s="72"/>
      <c r="GRH166" s="72"/>
      <c r="GRI166" s="72"/>
      <c r="GRJ166" s="72"/>
      <c r="GRK166" s="72"/>
      <c r="GRL166" s="72"/>
      <c r="GRM166" s="72"/>
      <c r="GRN166" s="72"/>
      <c r="GRO166" s="72"/>
      <c r="GRP166" s="72"/>
      <c r="GRQ166" s="72"/>
      <c r="GRR166" s="72"/>
      <c r="GRS166" s="72"/>
      <c r="GRT166" s="72"/>
      <c r="GRU166" s="72"/>
      <c r="GRV166" s="72"/>
      <c r="GRW166" s="72"/>
      <c r="GRX166" s="72"/>
      <c r="GRY166" s="72"/>
      <c r="GRZ166" s="72"/>
      <c r="GSA166" s="72"/>
      <c r="GSB166" s="72"/>
      <c r="GSC166" s="72"/>
      <c r="GSD166" s="72"/>
      <c r="GSE166" s="72"/>
      <c r="GSF166" s="72"/>
      <c r="GSG166" s="72"/>
      <c r="GSH166" s="72"/>
      <c r="GSI166" s="72"/>
      <c r="GSJ166" s="72"/>
      <c r="GSK166" s="72"/>
      <c r="GSL166" s="72"/>
      <c r="GSM166" s="72"/>
      <c r="GSN166" s="72"/>
      <c r="GSO166" s="72"/>
      <c r="GSP166" s="72"/>
      <c r="GSQ166" s="72"/>
      <c r="GSR166" s="72"/>
      <c r="GSS166" s="72"/>
      <c r="GST166" s="72"/>
      <c r="GSU166" s="72"/>
      <c r="GSV166" s="72"/>
      <c r="GSW166" s="72"/>
      <c r="GSX166" s="72"/>
      <c r="GSY166" s="72"/>
      <c r="GSZ166" s="72"/>
      <c r="GTA166" s="72"/>
      <c r="GTB166" s="72"/>
      <c r="GTC166" s="72"/>
      <c r="GTD166" s="72"/>
      <c r="GTE166" s="72"/>
      <c r="GTF166" s="72"/>
      <c r="GTG166" s="72"/>
      <c r="GTH166" s="72"/>
      <c r="GTI166" s="72"/>
      <c r="GTJ166" s="72"/>
      <c r="GTK166" s="72"/>
      <c r="GTL166" s="72"/>
      <c r="GTM166" s="72"/>
      <c r="GTN166" s="72"/>
      <c r="GTO166" s="72"/>
      <c r="GTP166" s="72"/>
      <c r="GTQ166" s="72"/>
      <c r="GTR166" s="72"/>
      <c r="GTS166" s="72"/>
      <c r="GTT166" s="72"/>
      <c r="GTU166" s="72"/>
      <c r="GTV166" s="72"/>
      <c r="GTW166" s="72"/>
      <c r="GTX166" s="72"/>
      <c r="GTY166" s="72"/>
      <c r="GTZ166" s="72"/>
      <c r="GUA166" s="72"/>
      <c r="GUB166" s="72"/>
      <c r="GUC166" s="72"/>
      <c r="GUD166" s="72"/>
      <c r="GUE166" s="72"/>
      <c r="GUF166" s="72"/>
      <c r="GUG166" s="72"/>
      <c r="GUH166" s="72"/>
      <c r="GUI166" s="72"/>
      <c r="GUJ166" s="72"/>
      <c r="GUK166" s="72"/>
      <c r="GUL166" s="72"/>
      <c r="GUM166" s="72"/>
      <c r="GUN166" s="72"/>
      <c r="GUO166" s="72"/>
      <c r="GUP166" s="72"/>
      <c r="GUQ166" s="72"/>
      <c r="GUR166" s="72"/>
      <c r="GUS166" s="72"/>
      <c r="GUT166" s="72"/>
      <c r="GUU166" s="72"/>
      <c r="GUV166" s="72"/>
      <c r="GUW166" s="72"/>
      <c r="GUX166" s="72"/>
      <c r="GUY166" s="72"/>
      <c r="GUZ166" s="72"/>
      <c r="GVA166" s="72"/>
      <c r="GVB166" s="72"/>
      <c r="GVC166" s="72"/>
      <c r="GVD166" s="72"/>
      <c r="GVE166" s="72"/>
      <c r="GVF166" s="72"/>
      <c r="GVG166" s="72"/>
      <c r="GVH166" s="72"/>
      <c r="GVI166" s="72"/>
      <c r="GVJ166" s="72"/>
      <c r="GVK166" s="72"/>
      <c r="GVL166" s="72"/>
      <c r="GVM166" s="72"/>
      <c r="GVN166" s="72"/>
      <c r="GVO166" s="72"/>
      <c r="GVP166" s="72"/>
      <c r="GVQ166" s="72"/>
      <c r="GVR166" s="72"/>
      <c r="GVS166" s="72"/>
      <c r="GVT166" s="72"/>
      <c r="GVU166" s="72"/>
      <c r="GVV166" s="72"/>
      <c r="GVW166" s="72"/>
      <c r="GVX166" s="72"/>
      <c r="GVY166" s="72"/>
      <c r="GVZ166" s="72"/>
      <c r="GWA166" s="72"/>
      <c r="GWB166" s="72"/>
      <c r="GWC166" s="72"/>
      <c r="GWD166" s="72"/>
      <c r="GWE166" s="72"/>
      <c r="GWF166" s="72"/>
      <c r="GWG166" s="72"/>
      <c r="GWH166" s="72"/>
      <c r="GWI166" s="72"/>
      <c r="GWJ166" s="72"/>
      <c r="GWK166" s="72"/>
      <c r="GWL166" s="72"/>
      <c r="GWM166" s="72"/>
      <c r="GWN166" s="72"/>
      <c r="GWO166" s="72"/>
      <c r="GWP166" s="72"/>
      <c r="GWQ166" s="72"/>
      <c r="GWR166" s="72"/>
      <c r="GWS166" s="72"/>
      <c r="GWT166" s="72"/>
      <c r="GWU166" s="72"/>
      <c r="GWV166" s="72"/>
      <c r="GWW166" s="72"/>
      <c r="GWX166" s="72"/>
      <c r="GWY166" s="72"/>
      <c r="GWZ166" s="72"/>
      <c r="GXA166" s="72"/>
      <c r="GXB166" s="72"/>
      <c r="GXC166" s="72"/>
      <c r="GXD166" s="72"/>
      <c r="GXE166" s="72"/>
      <c r="GXF166" s="72"/>
      <c r="GXG166" s="72"/>
      <c r="GXH166" s="72"/>
      <c r="GXI166" s="72"/>
      <c r="GXJ166" s="72"/>
      <c r="GXK166" s="72"/>
      <c r="GXL166" s="72"/>
      <c r="GXM166" s="72"/>
      <c r="GXN166" s="72"/>
      <c r="GXO166" s="72"/>
      <c r="GXP166" s="72"/>
      <c r="GXQ166" s="72"/>
      <c r="GXR166" s="72"/>
      <c r="GXS166" s="72"/>
      <c r="GXT166" s="72"/>
      <c r="GXU166" s="72"/>
      <c r="GXV166" s="72"/>
      <c r="GXW166" s="72"/>
      <c r="GXX166" s="72"/>
      <c r="GXY166" s="72"/>
      <c r="GXZ166" s="72"/>
      <c r="GYA166" s="72"/>
      <c r="GYB166" s="72"/>
      <c r="GYC166" s="72"/>
      <c r="GYD166" s="72"/>
      <c r="GYE166" s="72"/>
      <c r="GYF166" s="72"/>
      <c r="GYG166" s="72"/>
      <c r="GYH166" s="72"/>
      <c r="GYI166" s="72"/>
      <c r="GYJ166" s="72"/>
      <c r="GYK166" s="72"/>
      <c r="GYL166" s="72"/>
      <c r="GYM166" s="72"/>
      <c r="GYN166" s="72"/>
      <c r="GYO166" s="72"/>
      <c r="GYP166" s="72"/>
      <c r="GYQ166" s="72"/>
      <c r="GYR166" s="72"/>
      <c r="GYS166" s="72"/>
      <c r="GYT166" s="72"/>
      <c r="GYU166" s="72"/>
      <c r="GYV166" s="72"/>
      <c r="GYW166" s="72"/>
      <c r="GYX166" s="72"/>
      <c r="GYY166" s="72"/>
      <c r="GYZ166" s="72"/>
      <c r="GZA166" s="72"/>
      <c r="GZB166" s="72"/>
      <c r="GZC166" s="72"/>
      <c r="GZD166" s="72"/>
      <c r="GZE166" s="72"/>
      <c r="GZF166" s="72"/>
      <c r="GZG166" s="72"/>
      <c r="GZH166" s="72"/>
      <c r="GZI166" s="72"/>
      <c r="GZJ166" s="72"/>
      <c r="GZK166" s="72"/>
      <c r="GZL166" s="72"/>
      <c r="GZM166" s="72"/>
      <c r="GZN166" s="72"/>
      <c r="GZO166" s="72"/>
      <c r="GZP166" s="72"/>
      <c r="GZQ166" s="72"/>
      <c r="GZR166" s="72"/>
      <c r="GZS166" s="72"/>
      <c r="GZT166" s="72"/>
      <c r="GZU166" s="72"/>
      <c r="GZV166" s="72"/>
      <c r="GZW166" s="72"/>
      <c r="GZX166" s="72"/>
      <c r="GZY166" s="72"/>
      <c r="GZZ166" s="72"/>
      <c r="HAA166" s="72"/>
      <c r="HAB166" s="72"/>
      <c r="HAC166" s="72"/>
      <c r="HAD166" s="72"/>
      <c r="HAE166" s="72"/>
      <c r="HAF166" s="72"/>
      <c r="HAG166" s="72"/>
      <c r="HAH166" s="72"/>
      <c r="HAI166" s="72"/>
      <c r="HAJ166" s="72"/>
      <c r="HAK166" s="72"/>
      <c r="HAL166" s="72"/>
      <c r="HAM166" s="72"/>
      <c r="HAN166" s="72"/>
      <c r="HAO166" s="72"/>
      <c r="HAP166" s="72"/>
      <c r="HAQ166" s="72"/>
      <c r="HAR166" s="72"/>
      <c r="HAS166" s="72"/>
      <c r="HAT166" s="72"/>
      <c r="HAU166" s="72"/>
      <c r="HAV166" s="72"/>
      <c r="HAW166" s="72"/>
      <c r="HAX166" s="72"/>
      <c r="HAY166" s="72"/>
      <c r="HAZ166" s="72"/>
      <c r="HBA166" s="72"/>
      <c r="HBB166" s="72"/>
      <c r="HBC166" s="72"/>
      <c r="HBD166" s="72"/>
      <c r="HBE166" s="72"/>
      <c r="HBF166" s="72"/>
      <c r="HBG166" s="72"/>
      <c r="HBH166" s="72"/>
      <c r="HBI166" s="72"/>
      <c r="HBJ166" s="72"/>
      <c r="HBK166" s="72"/>
      <c r="HBL166" s="72"/>
      <c r="HBM166" s="72"/>
      <c r="HBN166" s="72"/>
      <c r="HBO166" s="72"/>
      <c r="HBP166" s="72"/>
      <c r="HBQ166" s="72"/>
      <c r="HBR166" s="72"/>
      <c r="HBS166" s="72"/>
      <c r="HBT166" s="72"/>
      <c r="HBU166" s="72"/>
      <c r="HBV166" s="72"/>
      <c r="HBW166" s="72"/>
      <c r="HBX166" s="72"/>
      <c r="HBY166" s="72"/>
      <c r="HBZ166" s="72"/>
      <c r="HCA166" s="72"/>
      <c r="HCB166" s="72"/>
      <c r="HCC166" s="72"/>
      <c r="HCD166" s="72"/>
      <c r="HCE166" s="72"/>
      <c r="HCF166" s="72"/>
      <c r="HCG166" s="72"/>
      <c r="HCH166" s="72"/>
      <c r="HCI166" s="72"/>
      <c r="HCJ166" s="72"/>
      <c r="HCK166" s="72"/>
      <c r="HCL166" s="72"/>
      <c r="HCM166" s="72"/>
      <c r="HCN166" s="72"/>
      <c r="HCO166" s="72"/>
      <c r="HCP166" s="72"/>
      <c r="HCQ166" s="72"/>
      <c r="HCR166" s="72"/>
      <c r="HCS166" s="72"/>
      <c r="HCT166" s="72"/>
      <c r="HCU166" s="72"/>
      <c r="HCV166" s="72"/>
      <c r="HCW166" s="72"/>
      <c r="HCX166" s="72"/>
      <c r="HCY166" s="72"/>
      <c r="HCZ166" s="72"/>
      <c r="HDA166" s="72"/>
      <c r="HDB166" s="72"/>
      <c r="HDC166" s="72"/>
      <c r="HDD166" s="72"/>
      <c r="HDE166" s="72"/>
      <c r="HDF166" s="72"/>
      <c r="HDG166" s="72"/>
      <c r="HDH166" s="72"/>
      <c r="HDI166" s="72"/>
      <c r="HDJ166" s="72"/>
      <c r="HDK166" s="72"/>
      <c r="HDL166" s="72"/>
      <c r="HDM166" s="72"/>
      <c r="HDN166" s="72"/>
      <c r="HDO166" s="72"/>
      <c r="HDP166" s="72"/>
      <c r="HDQ166" s="72"/>
      <c r="HDR166" s="72"/>
      <c r="HDS166" s="72"/>
      <c r="HDT166" s="72"/>
      <c r="HDU166" s="72"/>
      <c r="HDV166" s="72"/>
      <c r="HDW166" s="72"/>
      <c r="HDX166" s="72"/>
      <c r="HDY166" s="72"/>
      <c r="HDZ166" s="72"/>
      <c r="HEA166" s="72"/>
      <c r="HEB166" s="72"/>
      <c r="HEC166" s="72"/>
      <c r="HED166" s="72"/>
      <c r="HEE166" s="72"/>
      <c r="HEF166" s="72"/>
      <c r="HEG166" s="72"/>
      <c r="HEH166" s="72"/>
      <c r="HEI166" s="72"/>
      <c r="HEJ166" s="72"/>
      <c r="HEK166" s="72"/>
      <c r="HEL166" s="72"/>
      <c r="HEM166" s="72"/>
      <c r="HEN166" s="72"/>
      <c r="HEO166" s="72"/>
      <c r="HEP166" s="72"/>
      <c r="HEQ166" s="72"/>
      <c r="HER166" s="72"/>
      <c r="HES166" s="72"/>
      <c r="HET166" s="72"/>
      <c r="HEU166" s="72"/>
      <c r="HEV166" s="72"/>
      <c r="HEW166" s="72"/>
      <c r="HEX166" s="72"/>
      <c r="HEY166" s="72"/>
      <c r="HEZ166" s="72"/>
      <c r="HFA166" s="72"/>
      <c r="HFB166" s="72"/>
      <c r="HFC166" s="72"/>
      <c r="HFD166" s="72"/>
      <c r="HFE166" s="72"/>
      <c r="HFF166" s="72"/>
      <c r="HFG166" s="72"/>
      <c r="HFH166" s="72"/>
      <c r="HFI166" s="72"/>
      <c r="HFJ166" s="72"/>
      <c r="HFK166" s="72"/>
      <c r="HFL166" s="72"/>
      <c r="HFM166" s="72"/>
      <c r="HFN166" s="72"/>
      <c r="HFO166" s="72"/>
      <c r="HFP166" s="72"/>
      <c r="HFQ166" s="72"/>
      <c r="HFR166" s="72"/>
      <c r="HFS166" s="72"/>
      <c r="HFT166" s="72"/>
      <c r="HFU166" s="72"/>
      <c r="HFV166" s="72"/>
      <c r="HFW166" s="72"/>
      <c r="HFX166" s="72"/>
      <c r="HFY166" s="72"/>
      <c r="HFZ166" s="72"/>
      <c r="HGA166" s="72"/>
      <c r="HGB166" s="72"/>
      <c r="HGC166" s="72"/>
      <c r="HGD166" s="72"/>
      <c r="HGE166" s="72"/>
      <c r="HGF166" s="72"/>
      <c r="HGG166" s="72"/>
      <c r="HGH166" s="72"/>
      <c r="HGI166" s="72"/>
      <c r="HGJ166" s="72"/>
      <c r="HGK166" s="72"/>
      <c r="HGL166" s="72"/>
      <c r="HGM166" s="72"/>
      <c r="HGN166" s="72"/>
      <c r="HGO166" s="72"/>
      <c r="HGP166" s="72"/>
      <c r="HGQ166" s="72"/>
      <c r="HGR166" s="72"/>
      <c r="HGS166" s="72"/>
      <c r="HGT166" s="72"/>
      <c r="HGU166" s="72"/>
      <c r="HGV166" s="72"/>
      <c r="HGW166" s="72"/>
      <c r="HGX166" s="72"/>
      <c r="HGY166" s="72"/>
      <c r="HGZ166" s="72"/>
      <c r="HHA166" s="72"/>
      <c r="HHB166" s="72"/>
      <c r="HHC166" s="72"/>
      <c r="HHD166" s="72"/>
      <c r="HHE166" s="72"/>
      <c r="HHF166" s="72"/>
      <c r="HHG166" s="72"/>
      <c r="HHH166" s="72"/>
      <c r="HHI166" s="72"/>
      <c r="HHJ166" s="72"/>
      <c r="HHK166" s="72"/>
      <c r="HHL166" s="72"/>
      <c r="HHM166" s="72"/>
      <c r="HHN166" s="72"/>
      <c r="HHO166" s="72"/>
      <c r="HHP166" s="72"/>
      <c r="HHQ166" s="72"/>
      <c r="HHR166" s="72"/>
      <c r="HHS166" s="72"/>
      <c r="HHT166" s="72"/>
      <c r="HHU166" s="72"/>
      <c r="HHV166" s="72"/>
      <c r="HHW166" s="72"/>
      <c r="HHX166" s="72"/>
      <c r="HHY166" s="72"/>
      <c r="HHZ166" s="72"/>
      <c r="HIA166" s="72"/>
      <c r="HIB166" s="72"/>
      <c r="HIC166" s="72"/>
      <c r="HID166" s="72"/>
      <c r="HIE166" s="72"/>
      <c r="HIF166" s="72"/>
      <c r="HIG166" s="72"/>
      <c r="HIH166" s="72"/>
      <c r="HII166" s="72"/>
      <c r="HIJ166" s="72"/>
      <c r="HIK166" s="72"/>
      <c r="HIL166" s="72"/>
      <c r="HIM166" s="72"/>
      <c r="HIN166" s="72"/>
      <c r="HIO166" s="72"/>
      <c r="HIP166" s="72"/>
      <c r="HIQ166" s="72"/>
      <c r="HIR166" s="72"/>
      <c r="HIS166" s="72"/>
      <c r="HIT166" s="72"/>
      <c r="HIU166" s="72"/>
      <c r="HIV166" s="72"/>
      <c r="HIW166" s="72"/>
      <c r="HIX166" s="72"/>
      <c r="HIY166" s="72"/>
      <c r="HIZ166" s="72"/>
      <c r="HJA166" s="72"/>
      <c r="HJB166" s="72"/>
      <c r="HJC166" s="72"/>
      <c r="HJD166" s="72"/>
      <c r="HJE166" s="72"/>
      <c r="HJF166" s="72"/>
      <c r="HJG166" s="72"/>
      <c r="HJH166" s="72"/>
      <c r="HJI166" s="72"/>
      <c r="HJJ166" s="72"/>
      <c r="HJK166" s="72"/>
      <c r="HJL166" s="72"/>
      <c r="HJM166" s="72"/>
      <c r="HJN166" s="72"/>
      <c r="HJO166" s="72"/>
      <c r="HJP166" s="72"/>
      <c r="HJQ166" s="72"/>
      <c r="HJR166" s="72"/>
      <c r="HJS166" s="72"/>
      <c r="HJT166" s="72"/>
      <c r="HJU166" s="72"/>
      <c r="HJV166" s="72"/>
      <c r="HJW166" s="72"/>
      <c r="HJX166" s="72"/>
      <c r="HJY166" s="72"/>
      <c r="HJZ166" s="72"/>
      <c r="HKA166" s="72"/>
      <c r="HKB166" s="72"/>
      <c r="HKC166" s="72"/>
      <c r="HKD166" s="72"/>
      <c r="HKE166" s="72"/>
      <c r="HKF166" s="72"/>
      <c r="HKG166" s="72"/>
      <c r="HKH166" s="72"/>
      <c r="HKI166" s="72"/>
      <c r="HKJ166" s="72"/>
      <c r="HKK166" s="72"/>
      <c r="HKL166" s="72"/>
      <c r="HKM166" s="72"/>
      <c r="HKN166" s="72"/>
      <c r="HKO166" s="72"/>
      <c r="HKP166" s="72"/>
      <c r="HKQ166" s="72"/>
      <c r="HKR166" s="72"/>
      <c r="HKS166" s="72"/>
      <c r="HKT166" s="72"/>
      <c r="HKU166" s="72"/>
      <c r="HKV166" s="72"/>
      <c r="HKW166" s="72"/>
      <c r="HKX166" s="72"/>
      <c r="HKY166" s="72"/>
      <c r="HKZ166" s="72"/>
      <c r="HLA166" s="72"/>
      <c r="HLB166" s="72"/>
      <c r="HLC166" s="72"/>
      <c r="HLD166" s="72"/>
      <c r="HLE166" s="72"/>
      <c r="HLF166" s="72"/>
      <c r="HLG166" s="72"/>
      <c r="HLH166" s="72"/>
      <c r="HLI166" s="72"/>
      <c r="HLJ166" s="72"/>
      <c r="HLK166" s="72"/>
      <c r="HLL166" s="72"/>
      <c r="HLM166" s="72"/>
      <c r="HLN166" s="72"/>
      <c r="HLO166" s="72"/>
      <c r="HLP166" s="72"/>
      <c r="HLQ166" s="72"/>
      <c r="HLR166" s="72"/>
      <c r="HLS166" s="72"/>
      <c r="HLT166" s="72"/>
      <c r="HLU166" s="72"/>
      <c r="HLV166" s="72"/>
      <c r="HLW166" s="72"/>
      <c r="HLX166" s="72"/>
      <c r="HLY166" s="72"/>
      <c r="HLZ166" s="72"/>
      <c r="HMA166" s="72"/>
      <c r="HMB166" s="72"/>
      <c r="HMC166" s="72"/>
      <c r="HMD166" s="72"/>
      <c r="HME166" s="72"/>
      <c r="HMF166" s="72"/>
      <c r="HMG166" s="72"/>
      <c r="HMH166" s="72"/>
      <c r="HMI166" s="72"/>
      <c r="HMJ166" s="72"/>
      <c r="HMK166" s="72"/>
      <c r="HML166" s="72"/>
      <c r="HMM166" s="72"/>
      <c r="HMN166" s="72"/>
      <c r="HMO166" s="72"/>
      <c r="HMP166" s="72"/>
      <c r="HMQ166" s="72"/>
      <c r="HMR166" s="72"/>
      <c r="HMS166" s="72"/>
      <c r="HMT166" s="72"/>
      <c r="HMU166" s="72"/>
      <c r="HMV166" s="72"/>
      <c r="HMW166" s="72"/>
      <c r="HMX166" s="72"/>
      <c r="HMY166" s="72"/>
      <c r="HMZ166" s="72"/>
      <c r="HNA166" s="72"/>
      <c r="HNB166" s="72"/>
      <c r="HNC166" s="72"/>
      <c r="HND166" s="72"/>
      <c r="HNE166" s="72"/>
      <c r="HNF166" s="72"/>
      <c r="HNG166" s="72"/>
      <c r="HNH166" s="72"/>
      <c r="HNI166" s="72"/>
      <c r="HNJ166" s="72"/>
      <c r="HNK166" s="72"/>
      <c r="HNL166" s="72"/>
      <c r="HNM166" s="72"/>
      <c r="HNN166" s="72"/>
      <c r="HNO166" s="72"/>
      <c r="HNP166" s="72"/>
      <c r="HNQ166" s="72"/>
      <c r="HNR166" s="72"/>
      <c r="HNS166" s="72"/>
      <c r="HNT166" s="72"/>
      <c r="HNU166" s="72"/>
      <c r="HNV166" s="72"/>
      <c r="HNW166" s="72"/>
      <c r="HNX166" s="72"/>
      <c r="HNY166" s="72"/>
      <c r="HNZ166" s="72"/>
      <c r="HOA166" s="72"/>
      <c r="HOB166" s="72"/>
      <c r="HOC166" s="72"/>
      <c r="HOD166" s="72"/>
      <c r="HOE166" s="72"/>
      <c r="HOF166" s="72"/>
      <c r="HOG166" s="72"/>
      <c r="HOH166" s="72"/>
      <c r="HOI166" s="72"/>
      <c r="HOJ166" s="72"/>
      <c r="HOK166" s="72"/>
      <c r="HOL166" s="72"/>
      <c r="HOM166" s="72"/>
      <c r="HON166" s="72"/>
      <c r="HOO166" s="72"/>
      <c r="HOP166" s="72"/>
      <c r="HOQ166" s="72"/>
      <c r="HOR166" s="72"/>
      <c r="HOS166" s="72"/>
      <c r="HOT166" s="72"/>
      <c r="HOU166" s="72"/>
      <c r="HOV166" s="72"/>
      <c r="HOW166" s="72"/>
      <c r="HOX166" s="72"/>
      <c r="HOY166" s="72"/>
      <c r="HOZ166" s="72"/>
      <c r="HPA166" s="72"/>
      <c r="HPB166" s="72"/>
      <c r="HPC166" s="72"/>
      <c r="HPD166" s="72"/>
      <c r="HPE166" s="72"/>
      <c r="HPF166" s="72"/>
      <c r="HPG166" s="72"/>
      <c r="HPH166" s="72"/>
      <c r="HPI166" s="72"/>
      <c r="HPJ166" s="72"/>
      <c r="HPK166" s="72"/>
      <c r="HPL166" s="72"/>
      <c r="HPM166" s="72"/>
      <c r="HPN166" s="72"/>
      <c r="HPO166" s="72"/>
      <c r="HPP166" s="72"/>
      <c r="HPQ166" s="72"/>
      <c r="HPR166" s="72"/>
      <c r="HPS166" s="72"/>
      <c r="HPT166" s="72"/>
      <c r="HPU166" s="72"/>
      <c r="HPV166" s="72"/>
      <c r="HPW166" s="72"/>
      <c r="HPX166" s="72"/>
      <c r="HPY166" s="72"/>
      <c r="HPZ166" s="72"/>
      <c r="HQA166" s="72"/>
      <c r="HQB166" s="72"/>
      <c r="HQC166" s="72"/>
      <c r="HQD166" s="72"/>
      <c r="HQE166" s="72"/>
      <c r="HQF166" s="72"/>
      <c r="HQG166" s="72"/>
      <c r="HQH166" s="72"/>
      <c r="HQI166" s="72"/>
      <c r="HQJ166" s="72"/>
      <c r="HQK166" s="72"/>
      <c r="HQL166" s="72"/>
      <c r="HQM166" s="72"/>
      <c r="HQN166" s="72"/>
      <c r="HQO166" s="72"/>
      <c r="HQP166" s="72"/>
      <c r="HQQ166" s="72"/>
      <c r="HQR166" s="72"/>
      <c r="HQS166" s="72"/>
      <c r="HQT166" s="72"/>
      <c r="HQU166" s="72"/>
      <c r="HQV166" s="72"/>
      <c r="HQW166" s="72"/>
      <c r="HQX166" s="72"/>
      <c r="HQY166" s="72"/>
      <c r="HQZ166" s="72"/>
      <c r="HRA166" s="72"/>
      <c r="HRB166" s="72"/>
      <c r="HRC166" s="72"/>
      <c r="HRD166" s="72"/>
      <c r="HRE166" s="72"/>
      <c r="HRF166" s="72"/>
      <c r="HRG166" s="72"/>
      <c r="HRH166" s="72"/>
      <c r="HRI166" s="72"/>
      <c r="HRJ166" s="72"/>
      <c r="HRK166" s="72"/>
      <c r="HRL166" s="72"/>
      <c r="HRM166" s="72"/>
      <c r="HRN166" s="72"/>
      <c r="HRO166" s="72"/>
      <c r="HRP166" s="72"/>
      <c r="HRQ166" s="72"/>
      <c r="HRR166" s="72"/>
      <c r="HRS166" s="72"/>
      <c r="HRT166" s="72"/>
      <c r="HRU166" s="72"/>
      <c r="HRV166" s="72"/>
      <c r="HRW166" s="72"/>
      <c r="HRX166" s="72"/>
      <c r="HRY166" s="72"/>
      <c r="HRZ166" s="72"/>
      <c r="HSA166" s="72"/>
      <c r="HSB166" s="72"/>
      <c r="HSC166" s="72"/>
      <c r="HSD166" s="72"/>
      <c r="HSE166" s="72"/>
      <c r="HSF166" s="72"/>
      <c r="HSG166" s="72"/>
      <c r="HSH166" s="72"/>
      <c r="HSI166" s="72"/>
      <c r="HSJ166" s="72"/>
      <c r="HSK166" s="72"/>
      <c r="HSL166" s="72"/>
      <c r="HSM166" s="72"/>
      <c r="HSN166" s="72"/>
      <c r="HSO166" s="72"/>
      <c r="HSP166" s="72"/>
      <c r="HSQ166" s="72"/>
      <c r="HSR166" s="72"/>
      <c r="HSS166" s="72"/>
      <c r="HST166" s="72"/>
      <c r="HSU166" s="72"/>
      <c r="HSV166" s="72"/>
      <c r="HSW166" s="72"/>
      <c r="HSX166" s="72"/>
      <c r="HSY166" s="72"/>
      <c r="HSZ166" s="72"/>
      <c r="HTA166" s="72"/>
      <c r="HTB166" s="72"/>
      <c r="HTC166" s="72"/>
      <c r="HTD166" s="72"/>
      <c r="HTE166" s="72"/>
      <c r="HTF166" s="72"/>
      <c r="HTG166" s="72"/>
      <c r="HTH166" s="72"/>
      <c r="HTI166" s="72"/>
      <c r="HTJ166" s="72"/>
      <c r="HTK166" s="72"/>
      <c r="HTL166" s="72"/>
      <c r="HTM166" s="72"/>
      <c r="HTN166" s="72"/>
      <c r="HTO166" s="72"/>
      <c r="HTP166" s="72"/>
      <c r="HTQ166" s="72"/>
      <c r="HTR166" s="72"/>
      <c r="HTS166" s="72"/>
      <c r="HTT166" s="72"/>
      <c r="HTU166" s="72"/>
      <c r="HTV166" s="72"/>
      <c r="HTW166" s="72"/>
      <c r="HTX166" s="72"/>
      <c r="HTY166" s="72"/>
      <c r="HTZ166" s="72"/>
      <c r="HUA166" s="72"/>
      <c r="HUB166" s="72"/>
      <c r="HUC166" s="72"/>
      <c r="HUD166" s="72"/>
      <c r="HUE166" s="72"/>
      <c r="HUF166" s="72"/>
      <c r="HUG166" s="72"/>
      <c r="HUH166" s="72"/>
      <c r="HUI166" s="72"/>
      <c r="HUJ166" s="72"/>
      <c r="HUK166" s="72"/>
      <c r="HUL166" s="72"/>
      <c r="HUM166" s="72"/>
      <c r="HUN166" s="72"/>
      <c r="HUO166" s="72"/>
      <c r="HUP166" s="72"/>
      <c r="HUQ166" s="72"/>
      <c r="HUR166" s="72"/>
      <c r="HUS166" s="72"/>
      <c r="HUT166" s="72"/>
      <c r="HUU166" s="72"/>
      <c r="HUV166" s="72"/>
      <c r="HUW166" s="72"/>
      <c r="HUX166" s="72"/>
      <c r="HUY166" s="72"/>
      <c r="HUZ166" s="72"/>
      <c r="HVA166" s="72"/>
      <c r="HVB166" s="72"/>
      <c r="HVC166" s="72"/>
      <c r="HVD166" s="72"/>
      <c r="HVE166" s="72"/>
      <c r="HVF166" s="72"/>
      <c r="HVG166" s="72"/>
      <c r="HVH166" s="72"/>
      <c r="HVI166" s="72"/>
      <c r="HVJ166" s="72"/>
      <c r="HVK166" s="72"/>
      <c r="HVL166" s="72"/>
      <c r="HVM166" s="72"/>
      <c r="HVN166" s="72"/>
      <c r="HVO166" s="72"/>
      <c r="HVP166" s="72"/>
      <c r="HVQ166" s="72"/>
      <c r="HVR166" s="72"/>
      <c r="HVS166" s="72"/>
      <c r="HVT166" s="72"/>
      <c r="HVU166" s="72"/>
      <c r="HVV166" s="72"/>
      <c r="HVW166" s="72"/>
      <c r="HVX166" s="72"/>
      <c r="HVY166" s="72"/>
      <c r="HVZ166" s="72"/>
      <c r="HWA166" s="72"/>
      <c r="HWB166" s="72"/>
      <c r="HWC166" s="72"/>
      <c r="HWD166" s="72"/>
      <c r="HWE166" s="72"/>
      <c r="HWF166" s="72"/>
      <c r="HWG166" s="72"/>
      <c r="HWH166" s="72"/>
      <c r="HWI166" s="72"/>
      <c r="HWJ166" s="72"/>
      <c r="HWK166" s="72"/>
      <c r="HWL166" s="72"/>
      <c r="HWM166" s="72"/>
      <c r="HWN166" s="72"/>
      <c r="HWO166" s="72"/>
      <c r="HWP166" s="72"/>
      <c r="HWQ166" s="72"/>
      <c r="HWR166" s="72"/>
      <c r="HWS166" s="72"/>
      <c r="HWT166" s="72"/>
      <c r="HWU166" s="72"/>
      <c r="HWV166" s="72"/>
      <c r="HWW166" s="72"/>
      <c r="HWX166" s="72"/>
      <c r="HWY166" s="72"/>
      <c r="HWZ166" s="72"/>
      <c r="HXA166" s="72"/>
      <c r="HXB166" s="72"/>
      <c r="HXC166" s="72"/>
      <c r="HXD166" s="72"/>
      <c r="HXE166" s="72"/>
      <c r="HXF166" s="72"/>
      <c r="HXG166" s="72"/>
      <c r="HXH166" s="72"/>
      <c r="HXI166" s="72"/>
      <c r="HXJ166" s="72"/>
      <c r="HXK166" s="72"/>
      <c r="HXL166" s="72"/>
      <c r="HXM166" s="72"/>
      <c r="HXN166" s="72"/>
      <c r="HXO166" s="72"/>
      <c r="HXP166" s="72"/>
      <c r="HXQ166" s="72"/>
      <c r="HXR166" s="72"/>
      <c r="HXS166" s="72"/>
      <c r="HXT166" s="72"/>
      <c r="HXU166" s="72"/>
      <c r="HXV166" s="72"/>
      <c r="HXW166" s="72"/>
      <c r="HXX166" s="72"/>
      <c r="HXY166" s="72"/>
      <c r="HXZ166" s="72"/>
      <c r="HYA166" s="72"/>
      <c r="HYB166" s="72"/>
      <c r="HYC166" s="72"/>
      <c r="HYD166" s="72"/>
      <c r="HYE166" s="72"/>
      <c r="HYF166" s="72"/>
      <c r="HYG166" s="72"/>
      <c r="HYH166" s="72"/>
      <c r="HYI166" s="72"/>
      <c r="HYJ166" s="72"/>
      <c r="HYK166" s="72"/>
      <c r="HYL166" s="72"/>
      <c r="HYM166" s="72"/>
      <c r="HYN166" s="72"/>
      <c r="HYO166" s="72"/>
      <c r="HYP166" s="72"/>
      <c r="HYQ166" s="72"/>
      <c r="HYR166" s="72"/>
      <c r="HYS166" s="72"/>
      <c r="HYT166" s="72"/>
      <c r="HYU166" s="72"/>
      <c r="HYV166" s="72"/>
      <c r="HYW166" s="72"/>
      <c r="HYX166" s="72"/>
      <c r="HYY166" s="72"/>
      <c r="HYZ166" s="72"/>
      <c r="HZA166" s="72"/>
      <c r="HZB166" s="72"/>
      <c r="HZC166" s="72"/>
      <c r="HZD166" s="72"/>
      <c r="HZE166" s="72"/>
      <c r="HZF166" s="72"/>
      <c r="HZG166" s="72"/>
      <c r="HZH166" s="72"/>
      <c r="HZI166" s="72"/>
      <c r="HZJ166" s="72"/>
      <c r="HZK166" s="72"/>
      <c r="HZL166" s="72"/>
      <c r="HZM166" s="72"/>
      <c r="HZN166" s="72"/>
      <c r="HZO166" s="72"/>
      <c r="HZP166" s="72"/>
      <c r="HZQ166" s="72"/>
      <c r="HZR166" s="72"/>
      <c r="HZS166" s="72"/>
      <c r="HZT166" s="72"/>
      <c r="HZU166" s="72"/>
      <c r="HZV166" s="72"/>
      <c r="HZW166" s="72"/>
      <c r="HZX166" s="72"/>
      <c r="HZY166" s="72"/>
      <c r="HZZ166" s="72"/>
      <c r="IAA166" s="72"/>
      <c r="IAB166" s="72"/>
      <c r="IAC166" s="72"/>
      <c r="IAD166" s="72"/>
      <c r="IAE166" s="72"/>
      <c r="IAF166" s="72"/>
      <c r="IAG166" s="72"/>
      <c r="IAH166" s="72"/>
      <c r="IAI166" s="72"/>
      <c r="IAJ166" s="72"/>
      <c r="IAK166" s="72"/>
      <c r="IAL166" s="72"/>
      <c r="IAM166" s="72"/>
      <c r="IAN166" s="72"/>
      <c r="IAO166" s="72"/>
      <c r="IAP166" s="72"/>
      <c r="IAQ166" s="72"/>
      <c r="IAR166" s="72"/>
      <c r="IAS166" s="72"/>
      <c r="IAT166" s="72"/>
      <c r="IAU166" s="72"/>
      <c r="IAV166" s="72"/>
      <c r="IAW166" s="72"/>
      <c r="IAX166" s="72"/>
      <c r="IAY166" s="72"/>
      <c r="IAZ166" s="72"/>
      <c r="IBA166" s="72"/>
      <c r="IBB166" s="72"/>
      <c r="IBC166" s="72"/>
      <c r="IBD166" s="72"/>
      <c r="IBE166" s="72"/>
      <c r="IBF166" s="72"/>
      <c r="IBG166" s="72"/>
      <c r="IBH166" s="72"/>
      <c r="IBI166" s="72"/>
      <c r="IBJ166" s="72"/>
      <c r="IBK166" s="72"/>
      <c r="IBL166" s="72"/>
      <c r="IBM166" s="72"/>
      <c r="IBN166" s="72"/>
      <c r="IBO166" s="72"/>
      <c r="IBP166" s="72"/>
      <c r="IBQ166" s="72"/>
      <c r="IBR166" s="72"/>
      <c r="IBS166" s="72"/>
      <c r="IBT166" s="72"/>
      <c r="IBU166" s="72"/>
      <c r="IBV166" s="72"/>
      <c r="IBW166" s="72"/>
      <c r="IBX166" s="72"/>
      <c r="IBY166" s="72"/>
      <c r="IBZ166" s="72"/>
      <c r="ICA166" s="72"/>
      <c r="ICB166" s="72"/>
      <c r="ICC166" s="72"/>
      <c r="ICD166" s="72"/>
      <c r="ICE166" s="72"/>
      <c r="ICF166" s="72"/>
      <c r="ICG166" s="72"/>
      <c r="ICH166" s="72"/>
      <c r="ICI166" s="72"/>
      <c r="ICJ166" s="72"/>
      <c r="ICK166" s="72"/>
      <c r="ICL166" s="72"/>
      <c r="ICM166" s="72"/>
      <c r="ICN166" s="72"/>
      <c r="ICO166" s="72"/>
      <c r="ICP166" s="72"/>
      <c r="ICQ166" s="72"/>
      <c r="ICR166" s="72"/>
      <c r="ICS166" s="72"/>
      <c r="ICT166" s="72"/>
      <c r="ICU166" s="72"/>
      <c r="ICV166" s="72"/>
      <c r="ICW166" s="72"/>
      <c r="ICX166" s="72"/>
      <c r="ICY166" s="72"/>
      <c r="ICZ166" s="72"/>
      <c r="IDA166" s="72"/>
      <c r="IDB166" s="72"/>
      <c r="IDC166" s="72"/>
      <c r="IDD166" s="72"/>
      <c r="IDE166" s="72"/>
      <c r="IDF166" s="72"/>
      <c r="IDG166" s="72"/>
      <c r="IDH166" s="72"/>
      <c r="IDI166" s="72"/>
      <c r="IDJ166" s="72"/>
      <c r="IDK166" s="72"/>
      <c r="IDL166" s="72"/>
      <c r="IDM166" s="72"/>
      <c r="IDN166" s="72"/>
      <c r="IDO166" s="72"/>
      <c r="IDP166" s="72"/>
      <c r="IDQ166" s="72"/>
      <c r="IDR166" s="72"/>
      <c r="IDS166" s="72"/>
      <c r="IDT166" s="72"/>
      <c r="IDU166" s="72"/>
      <c r="IDV166" s="72"/>
      <c r="IDW166" s="72"/>
      <c r="IDX166" s="72"/>
      <c r="IDY166" s="72"/>
      <c r="IDZ166" s="72"/>
      <c r="IEA166" s="72"/>
      <c r="IEB166" s="72"/>
      <c r="IEC166" s="72"/>
      <c r="IED166" s="72"/>
      <c r="IEE166" s="72"/>
      <c r="IEF166" s="72"/>
      <c r="IEG166" s="72"/>
      <c r="IEH166" s="72"/>
      <c r="IEI166" s="72"/>
      <c r="IEJ166" s="72"/>
      <c r="IEK166" s="72"/>
      <c r="IEL166" s="72"/>
      <c r="IEM166" s="72"/>
      <c r="IEN166" s="72"/>
      <c r="IEO166" s="72"/>
      <c r="IEP166" s="72"/>
      <c r="IEQ166" s="72"/>
      <c r="IER166" s="72"/>
      <c r="IES166" s="72"/>
      <c r="IET166" s="72"/>
      <c r="IEU166" s="72"/>
      <c r="IEV166" s="72"/>
      <c r="IEW166" s="72"/>
      <c r="IEX166" s="72"/>
      <c r="IEY166" s="72"/>
      <c r="IEZ166" s="72"/>
      <c r="IFA166" s="72"/>
      <c r="IFB166" s="72"/>
      <c r="IFC166" s="72"/>
      <c r="IFD166" s="72"/>
      <c r="IFE166" s="72"/>
      <c r="IFF166" s="72"/>
      <c r="IFG166" s="72"/>
      <c r="IFH166" s="72"/>
      <c r="IFI166" s="72"/>
      <c r="IFJ166" s="72"/>
      <c r="IFK166" s="72"/>
      <c r="IFL166" s="72"/>
      <c r="IFM166" s="72"/>
      <c r="IFN166" s="72"/>
      <c r="IFO166" s="72"/>
      <c r="IFP166" s="72"/>
      <c r="IFQ166" s="72"/>
      <c r="IFR166" s="72"/>
      <c r="IFS166" s="72"/>
      <c r="IFT166" s="72"/>
      <c r="IFU166" s="72"/>
      <c r="IFV166" s="72"/>
      <c r="IFW166" s="72"/>
      <c r="IFX166" s="72"/>
      <c r="IFY166" s="72"/>
      <c r="IFZ166" s="72"/>
      <c r="IGA166" s="72"/>
      <c r="IGB166" s="72"/>
      <c r="IGC166" s="72"/>
      <c r="IGD166" s="72"/>
      <c r="IGE166" s="72"/>
      <c r="IGF166" s="72"/>
      <c r="IGG166" s="72"/>
      <c r="IGH166" s="72"/>
      <c r="IGI166" s="72"/>
      <c r="IGJ166" s="72"/>
      <c r="IGK166" s="72"/>
      <c r="IGL166" s="72"/>
      <c r="IGM166" s="72"/>
      <c r="IGN166" s="72"/>
      <c r="IGO166" s="72"/>
      <c r="IGP166" s="72"/>
      <c r="IGQ166" s="72"/>
      <c r="IGR166" s="72"/>
      <c r="IGS166" s="72"/>
      <c r="IGT166" s="72"/>
      <c r="IGU166" s="72"/>
      <c r="IGV166" s="72"/>
      <c r="IGW166" s="72"/>
      <c r="IGX166" s="72"/>
      <c r="IGY166" s="72"/>
      <c r="IGZ166" s="72"/>
      <c r="IHA166" s="72"/>
      <c r="IHB166" s="72"/>
      <c r="IHC166" s="72"/>
      <c r="IHD166" s="72"/>
      <c r="IHE166" s="72"/>
      <c r="IHF166" s="72"/>
      <c r="IHG166" s="72"/>
      <c r="IHH166" s="72"/>
      <c r="IHI166" s="72"/>
      <c r="IHJ166" s="72"/>
      <c r="IHK166" s="72"/>
      <c r="IHL166" s="72"/>
      <c r="IHM166" s="72"/>
      <c r="IHN166" s="72"/>
      <c r="IHO166" s="72"/>
      <c r="IHP166" s="72"/>
      <c r="IHQ166" s="72"/>
      <c r="IHR166" s="72"/>
      <c r="IHS166" s="72"/>
      <c r="IHT166" s="72"/>
      <c r="IHU166" s="72"/>
      <c r="IHV166" s="72"/>
      <c r="IHW166" s="72"/>
      <c r="IHX166" s="72"/>
      <c r="IHY166" s="72"/>
      <c r="IHZ166" s="72"/>
      <c r="IIA166" s="72"/>
      <c r="IIB166" s="72"/>
      <c r="IIC166" s="72"/>
      <c r="IID166" s="72"/>
      <c r="IIE166" s="72"/>
      <c r="IIF166" s="72"/>
      <c r="IIG166" s="72"/>
      <c r="IIH166" s="72"/>
      <c r="III166" s="72"/>
      <c r="IIJ166" s="72"/>
      <c r="IIK166" s="72"/>
      <c r="IIL166" s="72"/>
      <c r="IIM166" s="72"/>
      <c r="IIN166" s="72"/>
      <c r="IIO166" s="72"/>
      <c r="IIP166" s="72"/>
      <c r="IIQ166" s="72"/>
      <c r="IIR166" s="72"/>
      <c r="IIS166" s="72"/>
      <c r="IIT166" s="72"/>
      <c r="IIU166" s="72"/>
      <c r="IIV166" s="72"/>
      <c r="IIW166" s="72"/>
      <c r="IIX166" s="72"/>
      <c r="IIY166" s="72"/>
      <c r="IIZ166" s="72"/>
      <c r="IJA166" s="72"/>
      <c r="IJB166" s="72"/>
      <c r="IJC166" s="72"/>
      <c r="IJD166" s="72"/>
      <c r="IJE166" s="72"/>
      <c r="IJF166" s="72"/>
      <c r="IJG166" s="72"/>
      <c r="IJH166" s="72"/>
      <c r="IJI166" s="72"/>
      <c r="IJJ166" s="72"/>
      <c r="IJK166" s="72"/>
      <c r="IJL166" s="72"/>
      <c r="IJM166" s="72"/>
      <c r="IJN166" s="72"/>
      <c r="IJO166" s="72"/>
      <c r="IJP166" s="72"/>
      <c r="IJQ166" s="72"/>
      <c r="IJR166" s="72"/>
      <c r="IJS166" s="72"/>
      <c r="IJT166" s="72"/>
      <c r="IJU166" s="72"/>
      <c r="IJV166" s="72"/>
      <c r="IJW166" s="72"/>
      <c r="IJX166" s="72"/>
      <c r="IJY166" s="72"/>
      <c r="IJZ166" s="72"/>
      <c r="IKA166" s="72"/>
      <c r="IKB166" s="72"/>
      <c r="IKC166" s="72"/>
      <c r="IKD166" s="72"/>
      <c r="IKE166" s="72"/>
      <c r="IKF166" s="72"/>
      <c r="IKG166" s="72"/>
      <c r="IKH166" s="72"/>
      <c r="IKI166" s="72"/>
      <c r="IKJ166" s="72"/>
      <c r="IKK166" s="72"/>
      <c r="IKL166" s="72"/>
      <c r="IKM166" s="72"/>
      <c r="IKN166" s="72"/>
      <c r="IKO166" s="72"/>
      <c r="IKP166" s="72"/>
      <c r="IKQ166" s="72"/>
      <c r="IKR166" s="72"/>
      <c r="IKS166" s="72"/>
      <c r="IKT166" s="72"/>
      <c r="IKU166" s="72"/>
      <c r="IKV166" s="72"/>
      <c r="IKW166" s="72"/>
      <c r="IKX166" s="72"/>
      <c r="IKY166" s="72"/>
      <c r="IKZ166" s="72"/>
      <c r="ILA166" s="72"/>
      <c r="ILB166" s="72"/>
      <c r="ILC166" s="72"/>
      <c r="ILD166" s="72"/>
      <c r="ILE166" s="72"/>
      <c r="ILF166" s="72"/>
      <c r="ILG166" s="72"/>
      <c r="ILH166" s="72"/>
      <c r="ILI166" s="72"/>
      <c r="ILJ166" s="72"/>
      <c r="ILK166" s="72"/>
      <c r="ILL166" s="72"/>
      <c r="ILM166" s="72"/>
      <c r="ILN166" s="72"/>
      <c r="ILO166" s="72"/>
      <c r="ILP166" s="72"/>
      <c r="ILQ166" s="72"/>
      <c r="ILR166" s="72"/>
      <c r="ILS166" s="72"/>
      <c r="ILT166" s="72"/>
      <c r="ILU166" s="72"/>
      <c r="ILV166" s="72"/>
      <c r="ILW166" s="72"/>
      <c r="ILX166" s="72"/>
      <c r="ILY166" s="72"/>
      <c r="ILZ166" s="72"/>
      <c r="IMA166" s="72"/>
      <c r="IMB166" s="72"/>
      <c r="IMC166" s="72"/>
      <c r="IMD166" s="72"/>
      <c r="IME166" s="72"/>
      <c r="IMF166" s="72"/>
      <c r="IMG166" s="72"/>
      <c r="IMH166" s="72"/>
      <c r="IMI166" s="72"/>
      <c r="IMJ166" s="72"/>
      <c r="IMK166" s="72"/>
      <c r="IML166" s="72"/>
      <c r="IMM166" s="72"/>
      <c r="IMN166" s="72"/>
      <c r="IMO166" s="72"/>
      <c r="IMP166" s="72"/>
      <c r="IMQ166" s="72"/>
      <c r="IMR166" s="72"/>
      <c r="IMS166" s="72"/>
      <c r="IMT166" s="72"/>
      <c r="IMU166" s="72"/>
      <c r="IMV166" s="72"/>
      <c r="IMW166" s="72"/>
      <c r="IMX166" s="72"/>
      <c r="IMY166" s="72"/>
      <c r="IMZ166" s="72"/>
      <c r="INA166" s="72"/>
      <c r="INB166" s="72"/>
      <c r="INC166" s="72"/>
      <c r="IND166" s="72"/>
      <c r="INE166" s="72"/>
      <c r="INF166" s="72"/>
      <c r="ING166" s="72"/>
      <c r="INH166" s="72"/>
      <c r="INI166" s="72"/>
      <c r="INJ166" s="72"/>
      <c r="INK166" s="72"/>
      <c r="INL166" s="72"/>
      <c r="INM166" s="72"/>
      <c r="INN166" s="72"/>
      <c r="INO166" s="72"/>
      <c r="INP166" s="72"/>
      <c r="INQ166" s="72"/>
      <c r="INR166" s="72"/>
      <c r="INS166" s="72"/>
      <c r="INT166" s="72"/>
      <c r="INU166" s="72"/>
      <c r="INV166" s="72"/>
      <c r="INW166" s="72"/>
      <c r="INX166" s="72"/>
      <c r="INY166" s="72"/>
      <c r="INZ166" s="72"/>
      <c r="IOA166" s="72"/>
      <c r="IOB166" s="72"/>
      <c r="IOC166" s="72"/>
      <c r="IOD166" s="72"/>
      <c r="IOE166" s="72"/>
      <c r="IOF166" s="72"/>
      <c r="IOG166" s="72"/>
      <c r="IOH166" s="72"/>
      <c r="IOI166" s="72"/>
      <c r="IOJ166" s="72"/>
      <c r="IOK166" s="72"/>
      <c r="IOL166" s="72"/>
      <c r="IOM166" s="72"/>
      <c r="ION166" s="72"/>
      <c r="IOO166" s="72"/>
      <c r="IOP166" s="72"/>
      <c r="IOQ166" s="72"/>
      <c r="IOR166" s="72"/>
      <c r="IOS166" s="72"/>
      <c r="IOT166" s="72"/>
      <c r="IOU166" s="72"/>
      <c r="IOV166" s="72"/>
      <c r="IOW166" s="72"/>
      <c r="IOX166" s="72"/>
      <c r="IOY166" s="72"/>
      <c r="IOZ166" s="72"/>
      <c r="IPA166" s="72"/>
      <c r="IPB166" s="72"/>
      <c r="IPC166" s="72"/>
      <c r="IPD166" s="72"/>
      <c r="IPE166" s="72"/>
      <c r="IPF166" s="72"/>
      <c r="IPG166" s="72"/>
      <c r="IPH166" s="72"/>
      <c r="IPI166" s="72"/>
      <c r="IPJ166" s="72"/>
      <c r="IPK166" s="72"/>
      <c r="IPL166" s="72"/>
      <c r="IPM166" s="72"/>
      <c r="IPN166" s="72"/>
      <c r="IPO166" s="72"/>
      <c r="IPP166" s="72"/>
      <c r="IPQ166" s="72"/>
      <c r="IPR166" s="72"/>
      <c r="IPS166" s="72"/>
      <c r="IPT166" s="72"/>
      <c r="IPU166" s="72"/>
      <c r="IPV166" s="72"/>
      <c r="IPW166" s="72"/>
      <c r="IPX166" s="72"/>
      <c r="IPY166" s="72"/>
      <c r="IPZ166" s="72"/>
      <c r="IQA166" s="72"/>
      <c r="IQB166" s="72"/>
      <c r="IQC166" s="72"/>
      <c r="IQD166" s="72"/>
      <c r="IQE166" s="72"/>
      <c r="IQF166" s="72"/>
      <c r="IQG166" s="72"/>
      <c r="IQH166" s="72"/>
      <c r="IQI166" s="72"/>
      <c r="IQJ166" s="72"/>
      <c r="IQK166" s="72"/>
      <c r="IQL166" s="72"/>
      <c r="IQM166" s="72"/>
      <c r="IQN166" s="72"/>
      <c r="IQO166" s="72"/>
      <c r="IQP166" s="72"/>
      <c r="IQQ166" s="72"/>
      <c r="IQR166" s="72"/>
      <c r="IQS166" s="72"/>
      <c r="IQT166" s="72"/>
      <c r="IQU166" s="72"/>
      <c r="IQV166" s="72"/>
      <c r="IQW166" s="72"/>
      <c r="IQX166" s="72"/>
      <c r="IQY166" s="72"/>
      <c r="IQZ166" s="72"/>
      <c r="IRA166" s="72"/>
      <c r="IRB166" s="72"/>
      <c r="IRC166" s="72"/>
      <c r="IRD166" s="72"/>
      <c r="IRE166" s="72"/>
      <c r="IRF166" s="72"/>
      <c r="IRG166" s="72"/>
      <c r="IRH166" s="72"/>
      <c r="IRI166" s="72"/>
      <c r="IRJ166" s="72"/>
      <c r="IRK166" s="72"/>
      <c r="IRL166" s="72"/>
      <c r="IRM166" s="72"/>
      <c r="IRN166" s="72"/>
      <c r="IRO166" s="72"/>
      <c r="IRP166" s="72"/>
      <c r="IRQ166" s="72"/>
      <c r="IRR166" s="72"/>
      <c r="IRS166" s="72"/>
      <c r="IRT166" s="72"/>
      <c r="IRU166" s="72"/>
      <c r="IRV166" s="72"/>
      <c r="IRW166" s="72"/>
      <c r="IRX166" s="72"/>
      <c r="IRY166" s="72"/>
      <c r="IRZ166" s="72"/>
      <c r="ISA166" s="72"/>
      <c r="ISB166" s="72"/>
      <c r="ISC166" s="72"/>
      <c r="ISD166" s="72"/>
      <c r="ISE166" s="72"/>
      <c r="ISF166" s="72"/>
      <c r="ISG166" s="72"/>
      <c r="ISH166" s="72"/>
      <c r="ISI166" s="72"/>
      <c r="ISJ166" s="72"/>
      <c r="ISK166" s="72"/>
      <c r="ISL166" s="72"/>
      <c r="ISM166" s="72"/>
      <c r="ISN166" s="72"/>
      <c r="ISO166" s="72"/>
      <c r="ISP166" s="72"/>
      <c r="ISQ166" s="72"/>
      <c r="ISR166" s="72"/>
      <c r="ISS166" s="72"/>
      <c r="IST166" s="72"/>
      <c r="ISU166" s="72"/>
      <c r="ISV166" s="72"/>
      <c r="ISW166" s="72"/>
      <c r="ISX166" s="72"/>
      <c r="ISY166" s="72"/>
      <c r="ISZ166" s="72"/>
      <c r="ITA166" s="72"/>
      <c r="ITB166" s="72"/>
      <c r="ITC166" s="72"/>
      <c r="ITD166" s="72"/>
      <c r="ITE166" s="72"/>
      <c r="ITF166" s="72"/>
      <c r="ITG166" s="72"/>
      <c r="ITH166" s="72"/>
      <c r="ITI166" s="72"/>
      <c r="ITJ166" s="72"/>
      <c r="ITK166" s="72"/>
      <c r="ITL166" s="72"/>
      <c r="ITM166" s="72"/>
      <c r="ITN166" s="72"/>
      <c r="ITO166" s="72"/>
      <c r="ITP166" s="72"/>
      <c r="ITQ166" s="72"/>
      <c r="ITR166" s="72"/>
      <c r="ITS166" s="72"/>
      <c r="ITT166" s="72"/>
      <c r="ITU166" s="72"/>
      <c r="ITV166" s="72"/>
      <c r="ITW166" s="72"/>
      <c r="ITX166" s="72"/>
      <c r="ITY166" s="72"/>
      <c r="ITZ166" s="72"/>
      <c r="IUA166" s="72"/>
      <c r="IUB166" s="72"/>
      <c r="IUC166" s="72"/>
      <c r="IUD166" s="72"/>
      <c r="IUE166" s="72"/>
      <c r="IUF166" s="72"/>
      <c r="IUG166" s="72"/>
      <c r="IUH166" s="72"/>
      <c r="IUI166" s="72"/>
      <c r="IUJ166" s="72"/>
      <c r="IUK166" s="72"/>
      <c r="IUL166" s="72"/>
      <c r="IUM166" s="72"/>
      <c r="IUN166" s="72"/>
      <c r="IUO166" s="72"/>
      <c r="IUP166" s="72"/>
      <c r="IUQ166" s="72"/>
      <c r="IUR166" s="72"/>
      <c r="IUS166" s="72"/>
      <c r="IUT166" s="72"/>
      <c r="IUU166" s="72"/>
      <c r="IUV166" s="72"/>
      <c r="IUW166" s="72"/>
      <c r="IUX166" s="72"/>
      <c r="IUY166" s="72"/>
      <c r="IUZ166" s="72"/>
      <c r="IVA166" s="72"/>
      <c r="IVB166" s="72"/>
      <c r="IVC166" s="72"/>
      <c r="IVD166" s="72"/>
      <c r="IVE166" s="72"/>
      <c r="IVF166" s="72"/>
      <c r="IVG166" s="72"/>
      <c r="IVH166" s="72"/>
      <c r="IVI166" s="72"/>
      <c r="IVJ166" s="72"/>
      <c r="IVK166" s="72"/>
      <c r="IVL166" s="72"/>
      <c r="IVM166" s="72"/>
      <c r="IVN166" s="72"/>
      <c r="IVO166" s="72"/>
      <c r="IVP166" s="72"/>
      <c r="IVQ166" s="72"/>
      <c r="IVR166" s="72"/>
      <c r="IVS166" s="72"/>
      <c r="IVT166" s="72"/>
      <c r="IVU166" s="72"/>
      <c r="IVV166" s="72"/>
      <c r="IVW166" s="72"/>
      <c r="IVX166" s="72"/>
      <c r="IVY166" s="72"/>
      <c r="IVZ166" s="72"/>
      <c r="IWA166" s="72"/>
      <c r="IWB166" s="72"/>
      <c r="IWC166" s="72"/>
      <c r="IWD166" s="72"/>
      <c r="IWE166" s="72"/>
      <c r="IWF166" s="72"/>
      <c r="IWG166" s="72"/>
      <c r="IWH166" s="72"/>
      <c r="IWI166" s="72"/>
      <c r="IWJ166" s="72"/>
      <c r="IWK166" s="72"/>
      <c r="IWL166" s="72"/>
      <c r="IWM166" s="72"/>
      <c r="IWN166" s="72"/>
      <c r="IWO166" s="72"/>
      <c r="IWP166" s="72"/>
      <c r="IWQ166" s="72"/>
      <c r="IWR166" s="72"/>
      <c r="IWS166" s="72"/>
      <c r="IWT166" s="72"/>
      <c r="IWU166" s="72"/>
      <c r="IWV166" s="72"/>
      <c r="IWW166" s="72"/>
      <c r="IWX166" s="72"/>
      <c r="IWY166" s="72"/>
      <c r="IWZ166" s="72"/>
      <c r="IXA166" s="72"/>
      <c r="IXB166" s="72"/>
      <c r="IXC166" s="72"/>
      <c r="IXD166" s="72"/>
      <c r="IXE166" s="72"/>
      <c r="IXF166" s="72"/>
      <c r="IXG166" s="72"/>
      <c r="IXH166" s="72"/>
      <c r="IXI166" s="72"/>
      <c r="IXJ166" s="72"/>
      <c r="IXK166" s="72"/>
      <c r="IXL166" s="72"/>
      <c r="IXM166" s="72"/>
      <c r="IXN166" s="72"/>
      <c r="IXO166" s="72"/>
      <c r="IXP166" s="72"/>
      <c r="IXQ166" s="72"/>
      <c r="IXR166" s="72"/>
      <c r="IXS166" s="72"/>
      <c r="IXT166" s="72"/>
      <c r="IXU166" s="72"/>
      <c r="IXV166" s="72"/>
      <c r="IXW166" s="72"/>
      <c r="IXX166" s="72"/>
      <c r="IXY166" s="72"/>
      <c r="IXZ166" s="72"/>
      <c r="IYA166" s="72"/>
      <c r="IYB166" s="72"/>
      <c r="IYC166" s="72"/>
      <c r="IYD166" s="72"/>
      <c r="IYE166" s="72"/>
      <c r="IYF166" s="72"/>
      <c r="IYG166" s="72"/>
      <c r="IYH166" s="72"/>
      <c r="IYI166" s="72"/>
      <c r="IYJ166" s="72"/>
      <c r="IYK166" s="72"/>
      <c r="IYL166" s="72"/>
      <c r="IYM166" s="72"/>
      <c r="IYN166" s="72"/>
      <c r="IYO166" s="72"/>
      <c r="IYP166" s="72"/>
      <c r="IYQ166" s="72"/>
      <c r="IYR166" s="72"/>
      <c r="IYS166" s="72"/>
      <c r="IYT166" s="72"/>
      <c r="IYU166" s="72"/>
      <c r="IYV166" s="72"/>
      <c r="IYW166" s="72"/>
      <c r="IYX166" s="72"/>
      <c r="IYY166" s="72"/>
      <c r="IYZ166" s="72"/>
      <c r="IZA166" s="72"/>
      <c r="IZB166" s="72"/>
      <c r="IZC166" s="72"/>
      <c r="IZD166" s="72"/>
      <c r="IZE166" s="72"/>
      <c r="IZF166" s="72"/>
      <c r="IZG166" s="72"/>
      <c r="IZH166" s="72"/>
      <c r="IZI166" s="72"/>
      <c r="IZJ166" s="72"/>
      <c r="IZK166" s="72"/>
      <c r="IZL166" s="72"/>
      <c r="IZM166" s="72"/>
      <c r="IZN166" s="72"/>
      <c r="IZO166" s="72"/>
      <c r="IZP166" s="72"/>
      <c r="IZQ166" s="72"/>
      <c r="IZR166" s="72"/>
      <c r="IZS166" s="72"/>
      <c r="IZT166" s="72"/>
      <c r="IZU166" s="72"/>
      <c r="IZV166" s="72"/>
      <c r="IZW166" s="72"/>
      <c r="IZX166" s="72"/>
      <c r="IZY166" s="72"/>
      <c r="IZZ166" s="72"/>
      <c r="JAA166" s="72"/>
      <c r="JAB166" s="72"/>
      <c r="JAC166" s="72"/>
      <c r="JAD166" s="72"/>
      <c r="JAE166" s="72"/>
      <c r="JAF166" s="72"/>
      <c r="JAG166" s="72"/>
      <c r="JAH166" s="72"/>
      <c r="JAI166" s="72"/>
      <c r="JAJ166" s="72"/>
      <c r="JAK166" s="72"/>
      <c r="JAL166" s="72"/>
      <c r="JAM166" s="72"/>
      <c r="JAN166" s="72"/>
      <c r="JAO166" s="72"/>
      <c r="JAP166" s="72"/>
      <c r="JAQ166" s="72"/>
      <c r="JAR166" s="72"/>
      <c r="JAS166" s="72"/>
      <c r="JAT166" s="72"/>
      <c r="JAU166" s="72"/>
      <c r="JAV166" s="72"/>
      <c r="JAW166" s="72"/>
      <c r="JAX166" s="72"/>
      <c r="JAY166" s="72"/>
      <c r="JAZ166" s="72"/>
      <c r="JBA166" s="72"/>
      <c r="JBB166" s="72"/>
      <c r="JBC166" s="72"/>
      <c r="JBD166" s="72"/>
      <c r="JBE166" s="72"/>
      <c r="JBF166" s="72"/>
      <c r="JBG166" s="72"/>
      <c r="JBH166" s="72"/>
      <c r="JBI166" s="72"/>
      <c r="JBJ166" s="72"/>
      <c r="JBK166" s="72"/>
      <c r="JBL166" s="72"/>
      <c r="JBM166" s="72"/>
      <c r="JBN166" s="72"/>
      <c r="JBO166" s="72"/>
      <c r="JBP166" s="72"/>
      <c r="JBQ166" s="72"/>
      <c r="JBR166" s="72"/>
      <c r="JBS166" s="72"/>
      <c r="JBT166" s="72"/>
      <c r="JBU166" s="72"/>
      <c r="JBV166" s="72"/>
      <c r="JBW166" s="72"/>
      <c r="JBX166" s="72"/>
      <c r="JBY166" s="72"/>
      <c r="JBZ166" s="72"/>
      <c r="JCA166" s="72"/>
      <c r="JCB166" s="72"/>
      <c r="JCC166" s="72"/>
      <c r="JCD166" s="72"/>
      <c r="JCE166" s="72"/>
      <c r="JCF166" s="72"/>
      <c r="JCG166" s="72"/>
      <c r="JCH166" s="72"/>
      <c r="JCI166" s="72"/>
      <c r="JCJ166" s="72"/>
      <c r="JCK166" s="72"/>
      <c r="JCL166" s="72"/>
      <c r="JCM166" s="72"/>
      <c r="JCN166" s="72"/>
      <c r="JCO166" s="72"/>
      <c r="JCP166" s="72"/>
      <c r="JCQ166" s="72"/>
      <c r="JCR166" s="72"/>
      <c r="JCS166" s="72"/>
      <c r="JCT166" s="72"/>
      <c r="JCU166" s="72"/>
      <c r="JCV166" s="72"/>
      <c r="JCW166" s="72"/>
      <c r="JCX166" s="72"/>
      <c r="JCY166" s="72"/>
      <c r="JCZ166" s="72"/>
      <c r="JDA166" s="72"/>
      <c r="JDB166" s="72"/>
      <c r="JDC166" s="72"/>
      <c r="JDD166" s="72"/>
      <c r="JDE166" s="72"/>
      <c r="JDF166" s="72"/>
      <c r="JDG166" s="72"/>
      <c r="JDH166" s="72"/>
      <c r="JDI166" s="72"/>
      <c r="JDJ166" s="72"/>
      <c r="JDK166" s="72"/>
      <c r="JDL166" s="72"/>
      <c r="JDM166" s="72"/>
      <c r="JDN166" s="72"/>
      <c r="JDO166" s="72"/>
      <c r="JDP166" s="72"/>
      <c r="JDQ166" s="72"/>
      <c r="JDR166" s="72"/>
      <c r="JDS166" s="72"/>
      <c r="JDT166" s="72"/>
      <c r="JDU166" s="72"/>
      <c r="JDV166" s="72"/>
      <c r="JDW166" s="72"/>
      <c r="JDX166" s="72"/>
      <c r="JDY166" s="72"/>
      <c r="JDZ166" s="72"/>
      <c r="JEA166" s="72"/>
      <c r="JEB166" s="72"/>
      <c r="JEC166" s="72"/>
      <c r="JED166" s="72"/>
      <c r="JEE166" s="72"/>
      <c r="JEF166" s="72"/>
      <c r="JEG166" s="72"/>
      <c r="JEH166" s="72"/>
      <c r="JEI166" s="72"/>
      <c r="JEJ166" s="72"/>
      <c r="JEK166" s="72"/>
      <c r="JEL166" s="72"/>
      <c r="JEM166" s="72"/>
      <c r="JEN166" s="72"/>
      <c r="JEO166" s="72"/>
      <c r="JEP166" s="72"/>
      <c r="JEQ166" s="72"/>
      <c r="JER166" s="72"/>
      <c r="JES166" s="72"/>
      <c r="JET166" s="72"/>
      <c r="JEU166" s="72"/>
      <c r="JEV166" s="72"/>
      <c r="JEW166" s="72"/>
      <c r="JEX166" s="72"/>
      <c r="JEY166" s="72"/>
      <c r="JEZ166" s="72"/>
      <c r="JFA166" s="72"/>
      <c r="JFB166" s="72"/>
      <c r="JFC166" s="72"/>
      <c r="JFD166" s="72"/>
      <c r="JFE166" s="72"/>
      <c r="JFF166" s="72"/>
      <c r="JFG166" s="72"/>
      <c r="JFH166" s="72"/>
      <c r="JFI166" s="72"/>
      <c r="JFJ166" s="72"/>
      <c r="JFK166" s="72"/>
      <c r="JFL166" s="72"/>
      <c r="JFM166" s="72"/>
      <c r="JFN166" s="72"/>
      <c r="JFO166" s="72"/>
      <c r="JFP166" s="72"/>
      <c r="JFQ166" s="72"/>
      <c r="JFR166" s="72"/>
      <c r="JFS166" s="72"/>
      <c r="JFT166" s="72"/>
      <c r="JFU166" s="72"/>
      <c r="JFV166" s="72"/>
      <c r="JFW166" s="72"/>
      <c r="JFX166" s="72"/>
      <c r="JFY166" s="72"/>
      <c r="JFZ166" s="72"/>
      <c r="JGA166" s="72"/>
      <c r="JGB166" s="72"/>
      <c r="JGC166" s="72"/>
      <c r="JGD166" s="72"/>
      <c r="JGE166" s="72"/>
      <c r="JGF166" s="72"/>
      <c r="JGG166" s="72"/>
      <c r="JGH166" s="72"/>
      <c r="JGI166" s="72"/>
      <c r="JGJ166" s="72"/>
      <c r="JGK166" s="72"/>
      <c r="JGL166" s="72"/>
      <c r="JGM166" s="72"/>
      <c r="JGN166" s="72"/>
      <c r="JGO166" s="72"/>
      <c r="JGP166" s="72"/>
      <c r="JGQ166" s="72"/>
      <c r="JGR166" s="72"/>
      <c r="JGS166" s="72"/>
      <c r="JGT166" s="72"/>
      <c r="JGU166" s="72"/>
      <c r="JGV166" s="72"/>
      <c r="JGW166" s="72"/>
      <c r="JGX166" s="72"/>
      <c r="JGY166" s="72"/>
      <c r="JGZ166" s="72"/>
      <c r="JHA166" s="72"/>
      <c r="JHB166" s="72"/>
      <c r="JHC166" s="72"/>
      <c r="JHD166" s="72"/>
      <c r="JHE166" s="72"/>
      <c r="JHF166" s="72"/>
      <c r="JHG166" s="72"/>
      <c r="JHH166" s="72"/>
      <c r="JHI166" s="72"/>
      <c r="JHJ166" s="72"/>
      <c r="JHK166" s="72"/>
      <c r="JHL166" s="72"/>
      <c r="JHM166" s="72"/>
      <c r="JHN166" s="72"/>
      <c r="JHO166" s="72"/>
      <c r="JHP166" s="72"/>
      <c r="JHQ166" s="72"/>
      <c r="JHR166" s="72"/>
      <c r="JHS166" s="72"/>
      <c r="JHT166" s="72"/>
      <c r="JHU166" s="72"/>
      <c r="JHV166" s="72"/>
      <c r="JHW166" s="72"/>
      <c r="JHX166" s="72"/>
      <c r="JHY166" s="72"/>
      <c r="JHZ166" s="72"/>
      <c r="JIA166" s="72"/>
      <c r="JIB166" s="72"/>
      <c r="JIC166" s="72"/>
      <c r="JID166" s="72"/>
      <c r="JIE166" s="72"/>
      <c r="JIF166" s="72"/>
      <c r="JIG166" s="72"/>
      <c r="JIH166" s="72"/>
      <c r="JII166" s="72"/>
      <c r="JIJ166" s="72"/>
      <c r="JIK166" s="72"/>
      <c r="JIL166" s="72"/>
      <c r="JIM166" s="72"/>
      <c r="JIN166" s="72"/>
      <c r="JIO166" s="72"/>
      <c r="JIP166" s="72"/>
      <c r="JIQ166" s="72"/>
      <c r="JIR166" s="72"/>
      <c r="JIS166" s="72"/>
      <c r="JIT166" s="72"/>
      <c r="JIU166" s="72"/>
      <c r="JIV166" s="72"/>
      <c r="JIW166" s="72"/>
      <c r="JIX166" s="72"/>
      <c r="JIY166" s="72"/>
      <c r="JIZ166" s="72"/>
      <c r="JJA166" s="72"/>
      <c r="JJB166" s="72"/>
      <c r="JJC166" s="72"/>
      <c r="JJD166" s="72"/>
      <c r="JJE166" s="72"/>
      <c r="JJF166" s="72"/>
      <c r="JJG166" s="72"/>
      <c r="JJH166" s="72"/>
      <c r="JJI166" s="72"/>
      <c r="JJJ166" s="72"/>
      <c r="JJK166" s="72"/>
      <c r="JJL166" s="72"/>
      <c r="JJM166" s="72"/>
      <c r="JJN166" s="72"/>
      <c r="JJO166" s="72"/>
      <c r="JJP166" s="72"/>
      <c r="JJQ166" s="72"/>
      <c r="JJR166" s="72"/>
      <c r="JJS166" s="72"/>
      <c r="JJT166" s="72"/>
      <c r="JJU166" s="72"/>
      <c r="JJV166" s="72"/>
      <c r="JJW166" s="72"/>
      <c r="JJX166" s="72"/>
      <c r="JJY166" s="72"/>
      <c r="JJZ166" s="72"/>
      <c r="JKA166" s="72"/>
      <c r="JKB166" s="72"/>
      <c r="JKC166" s="72"/>
      <c r="JKD166" s="72"/>
      <c r="JKE166" s="72"/>
      <c r="JKF166" s="72"/>
      <c r="JKG166" s="72"/>
      <c r="JKH166" s="72"/>
      <c r="JKI166" s="72"/>
      <c r="JKJ166" s="72"/>
      <c r="JKK166" s="72"/>
      <c r="JKL166" s="72"/>
      <c r="JKM166" s="72"/>
      <c r="JKN166" s="72"/>
      <c r="JKO166" s="72"/>
      <c r="JKP166" s="72"/>
      <c r="JKQ166" s="72"/>
      <c r="JKR166" s="72"/>
      <c r="JKS166" s="72"/>
      <c r="JKT166" s="72"/>
      <c r="JKU166" s="72"/>
      <c r="JKV166" s="72"/>
      <c r="JKW166" s="72"/>
      <c r="JKX166" s="72"/>
      <c r="JKY166" s="72"/>
      <c r="JKZ166" s="72"/>
      <c r="JLA166" s="72"/>
      <c r="JLB166" s="72"/>
      <c r="JLC166" s="72"/>
      <c r="JLD166" s="72"/>
      <c r="JLE166" s="72"/>
      <c r="JLF166" s="72"/>
      <c r="JLG166" s="72"/>
      <c r="JLH166" s="72"/>
      <c r="JLI166" s="72"/>
      <c r="JLJ166" s="72"/>
      <c r="JLK166" s="72"/>
      <c r="JLL166" s="72"/>
      <c r="JLM166" s="72"/>
      <c r="JLN166" s="72"/>
      <c r="JLO166" s="72"/>
      <c r="JLP166" s="72"/>
      <c r="JLQ166" s="72"/>
      <c r="JLR166" s="72"/>
      <c r="JLS166" s="72"/>
      <c r="JLT166" s="72"/>
      <c r="JLU166" s="72"/>
      <c r="JLV166" s="72"/>
      <c r="JLW166" s="72"/>
      <c r="JLX166" s="72"/>
      <c r="JLY166" s="72"/>
      <c r="JLZ166" s="72"/>
      <c r="JMA166" s="72"/>
      <c r="JMB166" s="72"/>
      <c r="JMC166" s="72"/>
      <c r="JMD166" s="72"/>
      <c r="JME166" s="72"/>
      <c r="JMF166" s="72"/>
      <c r="JMG166" s="72"/>
      <c r="JMH166" s="72"/>
      <c r="JMI166" s="72"/>
      <c r="JMJ166" s="72"/>
      <c r="JMK166" s="72"/>
      <c r="JML166" s="72"/>
      <c r="JMM166" s="72"/>
      <c r="JMN166" s="72"/>
      <c r="JMO166" s="72"/>
      <c r="JMP166" s="72"/>
      <c r="JMQ166" s="72"/>
      <c r="JMR166" s="72"/>
      <c r="JMS166" s="72"/>
      <c r="JMT166" s="72"/>
      <c r="JMU166" s="72"/>
      <c r="JMV166" s="72"/>
      <c r="JMW166" s="72"/>
      <c r="JMX166" s="72"/>
      <c r="JMY166" s="72"/>
      <c r="JMZ166" s="72"/>
      <c r="JNA166" s="72"/>
      <c r="JNB166" s="72"/>
      <c r="JNC166" s="72"/>
      <c r="JND166" s="72"/>
      <c r="JNE166" s="72"/>
      <c r="JNF166" s="72"/>
      <c r="JNG166" s="72"/>
      <c r="JNH166" s="72"/>
      <c r="JNI166" s="72"/>
      <c r="JNJ166" s="72"/>
      <c r="JNK166" s="72"/>
      <c r="JNL166" s="72"/>
      <c r="JNM166" s="72"/>
      <c r="JNN166" s="72"/>
      <c r="JNO166" s="72"/>
      <c r="JNP166" s="72"/>
      <c r="JNQ166" s="72"/>
      <c r="JNR166" s="72"/>
      <c r="JNS166" s="72"/>
      <c r="JNT166" s="72"/>
      <c r="JNU166" s="72"/>
      <c r="JNV166" s="72"/>
      <c r="JNW166" s="72"/>
      <c r="JNX166" s="72"/>
      <c r="JNY166" s="72"/>
      <c r="JNZ166" s="72"/>
      <c r="JOA166" s="72"/>
      <c r="JOB166" s="72"/>
      <c r="JOC166" s="72"/>
      <c r="JOD166" s="72"/>
      <c r="JOE166" s="72"/>
      <c r="JOF166" s="72"/>
      <c r="JOG166" s="72"/>
      <c r="JOH166" s="72"/>
      <c r="JOI166" s="72"/>
      <c r="JOJ166" s="72"/>
      <c r="JOK166" s="72"/>
      <c r="JOL166" s="72"/>
      <c r="JOM166" s="72"/>
      <c r="JON166" s="72"/>
      <c r="JOO166" s="72"/>
      <c r="JOP166" s="72"/>
      <c r="JOQ166" s="72"/>
      <c r="JOR166" s="72"/>
      <c r="JOS166" s="72"/>
      <c r="JOT166" s="72"/>
      <c r="JOU166" s="72"/>
      <c r="JOV166" s="72"/>
      <c r="JOW166" s="72"/>
      <c r="JOX166" s="72"/>
      <c r="JOY166" s="72"/>
      <c r="JOZ166" s="72"/>
      <c r="JPA166" s="72"/>
      <c r="JPB166" s="72"/>
      <c r="JPC166" s="72"/>
      <c r="JPD166" s="72"/>
      <c r="JPE166" s="72"/>
      <c r="JPF166" s="72"/>
      <c r="JPG166" s="72"/>
      <c r="JPH166" s="72"/>
      <c r="JPI166" s="72"/>
      <c r="JPJ166" s="72"/>
      <c r="JPK166" s="72"/>
      <c r="JPL166" s="72"/>
      <c r="JPM166" s="72"/>
      <c r="JPN166" s="72"/>
      <c r="JPO166" s="72"/>
      <c r="JPP166" s="72"/>
      <c r="JPQ166" s="72"/>
      <c r="JPR166" s="72"/>
      <c r="JPS166" s="72"/>
      <c r="JPT166" s="72"/>
      <c r="JPU166" s="72"/>
      <c r="JPV166" s="72"/>
      <c r="JPW166" s="72"/>
      <c r="JPX166" s="72"/>
      <c r="JPY166" s="72"/>
      <c r="JPZ166" s="72"/>
      <c r="JQA166" s="72"/>
      <c r="JQB166" s="72"/>
      <c r="JQC166" s="72"/>
      <c r="JQD166" s="72"/>
      <c r="JQE166" s="72"/>
      <c r="JQF166" s="72"/>
      <c r="JQG166" s="72"/>
      <c r="JQH166" s="72"/>
      <c r="JQI166" s="72"/>
      <c r="JQJ166" s="72"/>
      <c r="JQK166" s="72"/>
      <c r="JQL166" s="72"/>
      <c r="JQM166" s="72"/>
      <c r="JQN166" s="72"/>
      <c r="JQO166" s="72"/>
      <c r="JQP166" s="72"/>
      <c r="JQQ166" s="72"/>
      <c r="JQR166" s="72"/>
      <c r="JQS166" s="72"/>
      <c r="JQT166" s="72"/>
      <c r="JQU166" s="72"/>
      <c r="JQV166" s="72"/>
      <c r="JQW166" s="72"/>
      <c r="JQX166" s="72"/>
      <c r="JQY166" s="72"/>
      <c r="JQZ166" s="72"/>
      <c r="JRA166" s="72"/>
      <c r="JRB166" s="72"/>
      <c r="JRC166" s="72"/>
      <c r="JRD166" s="72"/>
      <c r="JRE166" s="72"/>
      <c r="JRF166" s="72"/>
      <c r="JRG166" s="72"/>
      <c r="JRH166" s="72"/>
      <c r="JRI166" s="72"/>
      <c r="JRJ166" s="72"/>
      <c r="JRK166" s="72"/>
      <c r="JRL166" s="72"/>
      <c r="JRM166" s="72"/>
      <c r="JRN166" s="72"/>
      <c r="JRO166" s="72"/>
      <c r="JRP166" s="72"/>
      <c r="JRQ166" s="72"/>
      <c r="JRR166" s="72"/>
      <c r="JRS166" s="72"/>
      <c r="JRT166" s="72"/>
      <c r="JRU166" s="72"/>
      <c r="JRV166" s="72"/>
      <c r="JRW166" s="72"/>
      <c r="JRX166" s="72"/>
      <c r="JRY166" s="72"/>
      <c r="JRZ166" s="72"/>
      <c r="JSA166" s="72"/>
      <c r="JSB166" s="72"/>
      <c r="JSC166" s="72"/>
      <c r="JSD166" s="72"/>
      <c r="JSE166" s="72"/>
      <c r="JSF166" s="72"/>
      <c r="JSG166" s="72"/>
      <c r="JSH166" s="72"/>
      <c r="JSI166" s="72"/>
      <c r="JSJ166" s="72"/>
      <c r="JSK166" s="72"/>
      <c r="JSL166" s="72"/>
      <c r="JSM166" s="72"/>
      <c r="JSN166" s="72"/>
      <c r="JSO166" s="72"/>
      <c r="JSP166" s="72"/>
      <c r="JSQ166" s="72"/>
      <c r="JSR166" s="72"/>
      <c r="JSS166" s="72"/>
      <c r="JST166" s="72"/>
      <c r="JSU166" s="72"/>
      <c r="JSV166" s="72"/>
      <c r="JSW166" s="72"/>
      <c r="JSX166" s="72"/>
      <c r="JSY166" s="72"/>
      <c r="JSZ166" s="72"/>
      <c r="JTA166" s="72"/>
      <c r="JTB166" s="72"/>
      <c r="JTC166" s="72"/>
      <c r="JTD166" s="72"/>
      <c r="JTE166" s="72"/>
      <c r="JTF166" s="72"/>
      <c r="JTG166" s="72"/>
      <c r="JTH166" s="72"/>
      <c r="JTI166" s="72"/>
      <c r="JTJ166" s="72"/>
      <c r="JTK166" s="72"/>
      <c r="JTL166" s="72"/>
      <c r="JTM166" s="72"/>
      <c r="JTN166" s="72"/>
      <c r="JTO166" s="72"/>
      <c r="JTP166" s="72"/>
      <c r="JTQ166" s="72"/>
      <c r="JTR166" s="72"/>
      <c r="JTS166" s="72"/>
      <c r="JTT166" s="72"/>
      <c r="JTU166" s="72"/>
      <c r="JTV166" s="72"/>
      <c r="JTW166" s="72"/>
      <c r="JTX166" s="72"/>
      <c r="JTY166" s="72"/>
      <c r="JTZ166" s="72"/>
      <c r="JUA166" s="72"/>
      <c r="JUB166" s="72"/>
      <c r="JUC166" s="72"/>
      <c r="JUD166" s="72"/>
      <c r="JUE166" s="72"/>
      <c r="JUF166" s="72"/>
      <c r="JUG166" s="72"/>
      <c r="JUH166" s="72"/>
      <c r="JUI166" s="72"/>
      <c r="JUJ166" s="72"/>
      <c r="JUK166" s="72"/>
      <c r="JUL166" s="72"/>
      <c r="JUM166" s="72"/>
      <c r="JUN166" s="72"/>
      <c r="JUO166" s="72"/>
      <c r="JUP166" s="72"/>
      <c r="JUQ166" s="72"/>
      <c r="JUR166" s="72"/>
      <c r="JUS166" s="72"/>
      <c r="JUT166" s="72"/>
      <c r="JUU166" s="72"/>
      <c r="JUV166" s="72"/>
      <c r="JUW166" s="72"/>
      <c r="JUX166" s="72"/>
      <c r="JUY166" s="72"/>
      <c r="JUZ166" s="72"/>
      <c r="JVA166" s="72"/>
      <c r="JVB166" s="72"/>
      <c r="JVC166" s="72"/>
      <c r="JVD166" s="72"/>
      <c r="JVE166" s="72"/>
      <c r="JVF166" s="72"/>
      <c r="JVG166" s="72"/>
      <c r="JVH166" s="72"/>
      <c r="JVI166" s="72"/>
      <c r="JVJ166" s="72"/>
      <c r="JVK166" s="72"/>
      <c r="JVL166" s="72"/>
      <c r="JVM166" s="72"/>
      <c r="JVN166" s="72"/>
      <c r="JVO166" s="72"/>
      <c r="JVP166" s="72"/>
      <c r="JVQ166" s="72"/>
      <c r="JVR166" s="72"/>
      <c r="JVS166" s="72"/>
      <c r="JVT166" s="72"/>
      <c r="JVU166" s="72"/>
      <c r="JVV166" s="72"/>
      <c r="JVW166" s="72"/>
      <c r="JVX166" s="72"/>
      <c r="JVY166" s="72"/>
      <c r="JVZ166" s="72"/>
      <c r="JWA166" s="72"/>
      <c r="JWB166" s="72"/>
      <c r="JWC166" s="72"/>
      <c r="JWD166" s="72"/>
      <c r="JWE166" s="72"/>
      <c r="JWF166" s="72"/>
      <c r="JWG166" s="72"/>
      <c r="JWH166" s="72"/>
      <c r="JWI166" s="72"/>
      <c r="JWJ166" s="72"/>
      <c r="JWK166" s="72"/>
      <c r="JWL166" s="72"/>
      <c r="JWM166" s="72"/>
      <c r="JWN166" s="72"/>
      <c r="JWO166" s="72"/>
      <c r="JWP166" s="72"/>
      <c r="JWQ166" s="72"/>
      <c r="JWR166" s="72"/>
      <c r="JWS166" s="72"/>
      <c r="JWT166" s="72"/>
      <c r="JWU166" s="72"/>
      <c r="JWV166" s="72"/>
      <c r="JWW166" s="72"/>
      <c r="JWX166" s="72"/>
      <c r="JWY166" s="72"/>
      <c r="JWZ166" s="72"/>
      <c r="JXA166" s="72"/>
      <c r="JXB166" s="72"/>
      <c r="JXC166" s="72"/>
      <c r="JXD166" s="72"/>
      <c r="JXE166" s="72"/>
      <c r="JXF166" s="72"/>
      <c r="JXG166" s="72"/>
      <c r="JXH166" s="72"/>
      <c r="JXI166" s="72"/>
      <c r="JXJ166" s="72"/>
      <c r="JXK166" s="72"/>
      <c r="JXL166" s="72"/>
      <c r="JXM166" s="72"/>
      <c r="JXN166" s="72"/>
      <c r="JXO166" s="72"/>
      <c r="JXP166" s="72"/>
      <c r="JXQ166" s="72"/>
      <c r="JXR166" s="72"/>
      <c r="JXS166" s="72"/>
      <c r="JXT166" s="72"/>
      <c r="JXU166" s="72"/>
      <c r="JXV166" s="72"/>
      <c r="JXW166" s="72"/>
      <c r="JXX166" s="72"/>
      <c r="JXY166" s="72"/>
      <c r="JXZ166" s="72"/>
      <c r="JYA166" s="72"/>
      <c r="JYB166" s="72"/>
      <c r="JYC166" s="72"/>
      <c r="JYD166" s="72"/>
      <c r="JYE166" s="72"/>
      <c r="JYF166" s="72"/>
      <c r="JYG166" s="72"/>
      <c r="JYH166" s="72"/>
      <c r="JYI166" s="72"/>
      <c r="JYJ166" s="72"/>
      <c r="JYK166" s="72"/>
      <c r="JYL166" s="72"/>
      <c r="JYM166" s="72"/>
      <c r="JYN166" s="72"/>
      <c r="JYO166" s="72"/>
      <c r="JYP166" s="72"/>
      <c r="JYQ166" s="72"/>
      <c r="JYR166" s="72"/>
      <c r="JYS166" s="72"/>
      <c r="JYT166" s="72"/>
      <c r="JYU166" s="72"/>
      <c r="JYV166" s="72"/>
      <c r="JYW166" s="72"/>
      <c r="JYX166" s="72"/>
      <c r="JYY166" s="72"/>
      <c r="JYZ166" s="72"/>
      <c r="JZA166" s="72"/>
      <c r="JZB166" s="72"/>
      <c r="JZC166" s="72"/>
      <c r="JZD166" s="72"/>
      <c r="JZE166" s="72"/>
      <c r="JZF166" s="72"/>
      <c r="JZG166" s="72"/>
      <c r="JZH166" s="72"/>
      <c r="JZI166" s="72"/>
      <c r="JZJ166" s="72"/>
      <c r="JZK166" s="72"/>
      <c r="JZL166" s="72"/>
      <c r="JZM166" s="72"/>
      <c r="JZN166" s="72"/>
      <c r="JZO166" s="72"/>
      <c r="JZP166" s="72"/>
      <c r="JZQ166" s="72"/>
      <c r="JZR166" s="72"/>
      <c r="JZS166" s="72"/>
      <c r="JZT166" s="72"/>
      <c r="JZU166" s="72"/>
      <c r="JZV166" s="72"/>
      <c r="JZW166" s="72"/>
      <c r="JZX166" s="72"/>
      <c r="JZY166" s="72"/>
      <c r="JZZ166" s="72"/>
      <c r="KAA166" s="72"/>
      <c r="KAB166" s="72"/>
      <c r="KAC166" s="72"/>
      <c r="KAD166" s="72"/>
      <c r="KAE166" s="72"/>
      <c r="KAF166" s="72"/>
      <c r="KAG166" s="72"/>
      <c r="KAH166" s="72"/>
      <c r="KAI166" s="72"/>
      <c r="KAJ166" s="72"/>
      <c r="KAK166" s="72"/>
      <c r="KAL166" s="72"/>
      <c r="KAM166" s="72"/>
      <c r="KAN166" s="72"/>
      <c r="KAO166" s="72"/>
      <c r="KAP166" s="72"/>
      <c r="KAQ166" s="72"/>
      <c r="KAR166" s="72"/>
      <c r="KAS166" s="72"/>
      <c r="KAT166" s="72"/>
      <c r="KAU166" s="72"/>
      <c r="KAV166" s="72"/>
      <c r="KAW166" s="72"/>
      <c r="KAX166" s="72"/>
      <c r="KAY166" s="72"/>
      <c r="KAZ166" s="72"/>
      <c r="KBA166" s="72"/>
      <c r="KBB166" s="72"/>
      <c r="KBC166" s="72"/>
      <c r="KBD166" s="72"/>
      <c r="KBE166" s="72"/>
      <c r="KBF166" s="72"/>
      <c r="KBG166" s="72"/>
      <c r="KBH166" s="72"/>
      <c r="KBI166" s="72"/>
      <c r="KBJ166" s="72"/>
      <c r="KBK166" s="72"/>
      <c r="KBL166" s="72"/>
      <c r="KBM166" s="72"/>
      <c r="KBN166" s="72"/>
      <c r="KBO166" s="72"/>
      <c r="KBP166" s="72"/>
      <c r="KBQ166" s="72"/>
      <c r="KBR166" s="72"/>
      <c r="KBS166" s="72"/>
      <c r="KBT166" s="72"/>
      <c r="KBU166" s="72"/>
      <c r="KBV166" s="72"/>
      <c r="KBW166" s="72"/>
      <c r="KBX166" s="72"/>
      <c r="KBY166" s="72"/>
      <c r="KBZ166" s="72"/>
      <c r="KCA166" s="72"/>
      <c r="KCB166" s="72"/>
      <c r="KCC166" s="72"/>
      <c r="KCD166" s="72"/>
      <c r="KCE166" s="72"/>
      <c r="KCF166" s="72"/>
      <c r="KCG166" s="72"/>
      <c r="KCH166" s="72"/>
      <c r="KCI166" s="72"/>
      <c r="KCJ166" s="72"/>
      <c r="KCK166" s="72"/>
      <c r="KCL166" s="72"/>
      <c r="KCM166" s="72"/>
      <c r="KCN166" s="72"/>
      <c r="KCO166" s="72"/>
      <c r="KCP166" s="72"/>
      <c r="KCQ166" s="72"/>
      <c r="KCR166" s="72"/>
      <c r="KCS166" s="72"/>
      <c r="KCT166" s="72"/>
      <c r="KCU166" s="72"/>
      <c r="KCV166" s="72"/>
      <c r="KCW166" s="72"/>
      <c r="KCX166" s="72"/>
      <c r="KCY166" s="72"/>
      <c r="KCZ166" s="72"/>
      <c r="KDA166" s="72"/>
      <c r="KDB166" s="72"/>
      <c r="KDC166" s="72"/>
      <c r="KDD166" s="72"/>
      <c r="KDE166" s="72"/>
      <c r="KDF166" s="72"/>
      <c r="KDG166" s="72"/>
      <c r="KDH166" s="72"/>
      <c r="KDI166" s="72"/>
      <c r="KDJ166" s="72"/>
      <c r="KDK166" s="72"/>
      <c r="KDL166" s="72"/>
      <c r="KDM166" s="72"/>
      <c r="KDN166" s="72"/>
      <c r="KDO166" s="72"/>
      <c r="KDP166" s="72"/>
      <c r="KDQ166" s="72"/>
      <c r="KDR166" s="72"/>
      <c r="KDS166" s="72"/>
      <c r="KDT166" s="72"/>
      <c r="KDU166" s="72"/>
      <c r="KDV166" s="72"/>
      <c r="KDW166" s="72"/>
      <c r="KDX166" s="72"/>
      <c r="KDY166" s="72"/>
      <c r="KDZ166" s="72"/>
      <c r="KEA166" s="72"/>
      <c r="KEB166" s="72"/>
      <c r="KEC166" s="72"/>
      <c r="KED166" s="72"/>
      <c r="KEE166" s="72"/>
      <c r="KEF166" s="72"/>
      <c r="KEG166" s="72"/>
      <c r="KEH166" s="72"/>
      <c r="KEI166" s="72"/>
      <c r="KEJ166" s="72"/>
      <c r="KEK166" s="72"/>
      <c r="KEL166" s="72"/>
      <c r="KEM166" s="72"/>
      <c r="KEN166" s="72"/>
      <c r="KEO166" s="72"/>
      <c r="KEP166" s="72"/>
      <c r="KEQ166" s="72"/>
      <c r="KER166" s="72"/>
      <c r="KES166" s="72"/>
      <c r="KET166" s="72"/>
      <c r="KEU166" s="72"/>
      <c r="KEV166" s="72"/>
      <c r="KEW166" s="72"/>
      <c r="KEX166" s="72"/>
      <c r="KEY166" s="72"/>
      <c r="KEZ166" s="72"/>
      <c r="KFA166" s="72"/>
      <c r="KFB166" s="72"/>
      <c r="KFC166" s="72"/>
      <c r="KFD166" s="72"/>
      <c r="KFE166" s="72"/>
      <c r="KFF166" s="72"/>
      <c r="KFG166" s="72"/>
      <c r="KFH166" s="72"/>
      <c r="KFI166" s="72"/>
      <c r="KFJ166" s="72"/>
      <c r="KFK166" s="72"/>
      <c r="KFL166" s="72"/>
      <c r="KFM166" s="72"/>
      <c r="KFN166" s="72"/>
      <c r="KFO166" s="72"/>
      <c r="KFP166" s="72"/>
      <c r="KFQ166" s="72"/>
      <c r="KFR166" s="72"/>
      <c r="KFS166" s="72"/>
      <c r="KFT166" s="72"/>
      <c r="KFU166" s="72"/>
      <c r="KFV166" s="72"/>
      <c r="KFW166" s="72"/>
      <c r="KFX166" s="72"/>
      <c r="KFY166" s="72"/>
      <c r="KFZ166" s="72"/>
      <c r="KGA166" s="72"/>
      <c r="KGB166" s="72"/>
      <c r="KGC166" s="72"/>
      <c r="KGD166" s="72"/>
      <c r="KGE166" s="72"/>
      <c r="KGF166" s="72"/>
      <c r="KGG166" s="72"/>
      <c r="KGH166" s="72"/>
      <c r="KGI166" s="72"/>
      <c r="KGJ166" s="72"/>
      <c r="KGK166" s="72"/>
      <c r="KGL166" s="72"/>
      <c r="KGM166" s="72"/>
      <c r="KGN166" s="72"/>
      <c r="KGO166" s="72"/>
      <c r="KGP166" s="72"/>
      <c r="KGQ166" s="72"/>
      <c r="KGR166" s="72"/>
      <c r="KGS166" s="72"/>
      <c r="KGT166" s="72"/>
      <c r="KGU166" s="72"/>
      <c r="KGV166" s="72"/>
      <c r="KGW166" s="72"/>
      <c r="KGX166" s="72"/>
      <c r="KGY166" s="72"/>
      <c r="KGZ166" s="72"/>
      <c r="KHA166" s="72"/>
      <c r="KHB166" s="72"/>
      <c r="KHC166" s="72"/>
      <c r="KHD166" s="72"/>
      <c r="KHE166" s="72"/>
      <c r="KHF166" s="72"/>
      <c r="KHG166" s="72"/>
      <c r="KHH166" s="72"/>
      <c r="KHI166" s="72"/>
      <c r="KHJ166" s="72"/>
      <c r="KHK166" s="72"/>
      <c r="KHL166" s="72"/>
      <c r="KHM166" s="72"/>
      <c r="KHN166" s="72"/>
      <c r="KHO166" s="72"/>
      <c r="KHP166" s="72"/>
      <c r="KHQ166" s="72"/>
      <c r="KHR166" s="72"/>
      <c r="KHS166" s="72"/>
      <c r="KHT166" s="72"/>
      <c r="KHU166" s="72"/>
      <c r="KHV166" s="72"/>
      <c r="KHW166" s="72"/>
      <c r="KHX166" s="72"/>
      <c r="KHY166" s="72"/>
      <c r="KHZ166" s="72"/>
      <c r="KIA166" s="72"/>
      <c r="KIB166" s="72"/>
      <c r="KIC166" s="72"/>
      <c r="KID166" s="72"/>
      <c r="KIE166" s="72"/>
      <c r="KIF166" s="72"/>
      <c r="KIG166" s="72"/>
      <c r="KIH166" s="72"/>
      <c r="KII166" s="72"/>
      <c r="KIJ166" s="72"/>
      <c r="KIK166" s="72"/>
      <c r="KIL166" s="72"/>
      <c r="KIM166" s="72"/>
      <c r="KIN166" s="72"/>
      <c r="KIO166" s="72"/>
      <c r="KIP166" s="72"/>
      <c r="KIQ166" s="72"/>
      <c r="KIR166" s="72"/>
      <c r="KIS166" s="72"/>
      <c r="KIT166" s="72"/>
      <c r="KIU166" s="72"/>
      <c r="KIV166" s="72"/>
      <c r="KIW166" s="72"/>
      <c r="KIX166" s="72"/>
      <c r="KIY166" s="72"/>
      <c r="KIZ166" s="72"/>
      <c r="KJA166" s="72"/>
      <c r="KJB166" s="72"/>
      <c r="KJC166" s="72"/>
      <c r="KJD166" s="72"/>
      <c r="KJE166" s="72"/>
      <c r="KJF166" s="72"/>
      <c r="KJG166" s="72"/>
      <c r="KJH166" s="72"/>
      <c r="KJI166" s="72"/>
      <c r="KJJ166" s="72"/>
      <c r="KJK166" s="72"/>
      <c r="KJL166" s="72"/>
      <c r="KJM166" s="72"/>
      <c r="KJN166" s="72"/>
      <c r="KJO166" s="72"/>
      <c r="KJP166" s="72"/>
      <c r="KJQ166" s="72"/>
      <c r="KJR166" s="72"/>
      <c r="KJS166" s="72"/>
      <c r="KJT166" s="72"/>
      <c r="KJU166" s="72"/>
      <c r="KJV166" s="72"/>
      <c r="KJW166" s="72"/>
      <c r="KJX166" s="72"/>
      <c r="KJY166" s="72"/>
      <c r="KJZ166" s="72"/>
      <c r="KKA166" s="72"/>
      <c r="KKB166" s="72"/>
      <c r="KKC166" s="72"/>
      <c r="KKD166" s="72"/>
      <c r="KKE166" s="72"/>
      <c r="KKF166" s="72"/>
      <c r="KKG166" s="72"/>
      <c r="KKH166" s="72"/>
      <c r="KKI166" s="72"/>
      <c r="KKJ166" s="72"/>
      <c r="KKK166" s="72"/>
      <c r="KKL166" s="72"/>
      <c r="KKM166" s="72"/>
      <c r="KKN166" s="72"/>
      <c r="KKO166" s="72"/>
      <c r="KKP166" s="72"/>
      <c r="KKQ166" s="72"/>
      <c r="KKR166" s="72"/>
      <c r="KKS166" s="72"/>
      <c r="KKT166" s="72"/>
      <c r="KKU166" s="72"/>
      <c r="KKV166" s="72"/>
      <c r="KKW166" s="72"/>
      <c r="KKX166" s="72"/>
      <c r="KKY166" s="72"/>
      <c r="KKZ166" s="72"/>
      <c r="KLA166" s="72"/>
      <c r="KLB166" s="72"/>
      <c r="KLC166" s="72"/>
      <c r="KLD166" s="72"/>
      <c r="KLE166" s="72"/>
      <c r="KLF166" s="72"/>
      <c r="KLG166" s="72"/>
      <c r="KLH166" s="72"/>
      <c r="KLI166" s="72"/>
      <c r="KLJ166" s="72"/>
      <c r="KLK166" s="72"/>
      <c r="KLL166" s="72"/>
      <c r="KLM166" s="72"/>
      <c r="KLN166" s="72"/>
      <c r="KLO166" s="72"/>
      <c r="KLP166" s="72"/>
      <c r="KLQ166" s="72"/>
      <c r="KLR166" s="72"/>
      <c r="KLS166" s="72"/>
      <c r="KLT166" s="72"/>
      <c r="KLU166" s="72"/>
      <c r="KLV166" s="72"/>
      <c r="KLW166" s="72"/>
      <c r="KLX166" s="72"/>
      <c r="KLY166" s="72"/>
      <c r="KLZ166" s="72"/>
      <c r="KMA166" s="72"/>
      <c r="KMB166" s="72"/>
      <c r="KMC166" s="72"/>
      <c r="KMD166" s="72"/>
      <c r="KME166" s="72"/>
      <c r="KMF166" s="72"/>
      <c r="KMG166" s="72"/>
      <c r="KMH166" s="72"/>
      <c r="KMI166" s="72"/>
      <c r="KMJ166" s="72"/>
      <c r="KMK166" s="72"/>
      <c r="KML166" s="72"/>
      <c r="KMM166" s="72"/>
      <c r="KMN166" s="72"/>
      <c r="KMO166" s="72"/>
      <c r="KMP166" s="72"/>
      <c r="KMQ166" s="72"/>
      <c r="KMR166" s="72"/>
      <c r="KMS166" s="72"/>
      <c r="KMT166" s="72"/>
      <c r="KMU166" s="72"/>
      <c r="KMV166" s="72"/>
      <c r="KMW166" s="72"/>
      <c r="KMX166" s="72"/>
      <c r="KMY166" s="72"/>
      <c r="KMZ166" s="72"/>
      <c r="KNA166" s="72"/>
      <c r="KNB166" s="72"/>
      <c r="KNC166" s="72"/>
      <c r="KND166" s="72"/>
      <c r="KNE166" s="72"/>
      <c r="KNF166" s="72"/>
      <c r="KNG166" s="72"/>
      <c r="KNH166" s="72"/>
      <c r="KNI166" s="72"/>
      <c r="KNJ166" s="72"/>
      <c r="KNK166" s="72"/>
      <c r="KNL166" s="72"/>
      <c r="KNM166" s="72"/>
      <c r="KNN166" s="72"/>
      <c r="KNO166" s="72"/>
      <c r="KNP166" s="72"/>
      <c r="KNQ166" s="72"/>
      <c r="KNR166" s="72"/>
      <c r="KNS166" s="72"/>
      <c r="KNT166" s="72"/>
      <c r="KNU166" s="72"/>
      <c r="KNV166" s="72"/>
      <c r="KNW166" s="72"/>
      <c r="KNX166" s="72"/>
      <c r="KNY166" s="72"/>
      <c r="KNZ166" s="72"/>
      <c r="KOA166" s="72"/>
      <c r="KOB166" s="72"/>
      <c r="KOC166" s="72"/>
      <c r="KOD166" s="72"/>
      <c r="KOE166" s="72"/>
      <c r="KOF166" s="72"/>
      <c r="KOG166" s="72"/>
      <c r="KOH166" s="72"/>
      <c r="KOI166" s="72"/>
      <c r="KOJ166" s="72"/>
      <c r="KOK166" s="72"/>
      <c r="KOL166" s="72"/>
      <c r="KOM166" s="72"/>
      <c r="KON166" s="72"/>
      <c r="KOO166" s="72"/>
      <c r="KOP166" s="72"/>
      <c r="KOQ166" s="72"/>
      <c r="KOR166" s="72"/>
      <c r="KOS166" s="72"/>
      <c r="KOT166" s="72"/>
      <c r="KOU166" s="72"/>
      <c r="KOV166" s="72"/>
      <c r="KOW166" s="72"/>
      <c r="KOX166" s="72"/>
      <c r="KOY166" s="72"/>
      <c r="KOZ166" s="72"/>
      <c r="KPA166" s="72"/>
      <c r="KPB166" s="72"/>
      <c r="KPC166" s="72"/>
      <c r="KPD166" s="72"/>
      <c r="KPE166" s="72"/>
      <c r="KPF166" s="72"/>
      <c r="KPG166" s="72"/>
      <c r="KPH166" s="72"/>
      <c r="KPI166" s="72"/>
      <c r="KPJ166" s="72"/>
      <c r="KPK166" s="72"/>
      <c r="KPL166" s="72"/>
      <c r="KPM166" s="72"/>
      <c r="KPN166" s="72"/>
      <c r="KPO166" s="72"/>
      <c r="KPP166" s="72"/>
      <c r="KPQ166" s="72"/>
      <c r="KPR166" s="72"/>
      <c r="KPS166" s="72"/>
      <c r="KPT166" s="72"/>
      <c r="KPU166" s="72"/>
      <c r="KPV166" s="72"/>
      <c r="KPW166" s="72"/>
      <c r="KPX166" s="72"/>
      <c r="KPY166" s="72"/>
      <c r="KPZ166" s="72"/>
      <c r="KQA166" s="72"/>
      <c r="KQB166" s="72"/>
      <c r="KQC166" s="72"/>
      <c r="KQD166" s="72"/>
      <c r="KQE166" s="72"/>
      <c r="KQF166" s="72"/>
      <c r="KQG166" s="72"/>
      <c r="KQH166" s="72"/>
      <c r="KQI166" s="72"/>
      <c r="KQJ166" s="72"/>
      <c r="KQK166" s="72"/>
      <c r="KQL166" s="72"/>
      <c r="KQM166" s="72"/>
      <c r="KQN166" s="72"/>
      <c r="KQO166" s="72"/>
      <c r="KQP166" s="72"/>
      <c r="KQQ166" s="72"/>
      <c r="KQR166" s="72"/>
      <c r="KQS166" s="72"/>
      <c r="KQT166" s="72"/>
      <c r="KQU166" s="72"/>
      <c r="KQV166" s="72"/>
      <c r="KQW166" s="72"/>
      <c r="KQX166" s="72"/>
      <c r="KQY166" s="72"/>
      <c r="KQZ166" s="72"/>
      <c r="KRA166" s="72"/>
      <c r="KRB166" s="72"/>
      <c r="KRC166" s="72"/>
      <c r="KRD166" s="72"/>
      <c r="KRE166" s="72"/>
      <c r="KRF166" s="72"/>
      <c r="KRG166" s="72"/>
      <c r="KRH166" s="72"/>
      <c r="KRI166" s="72"/>
      <c r="KRJ166" s="72"/>
      <c r="KRK166" s="72"/>
      <c r="KRL166" s="72"/>
      <c r="KRM166" s="72"/>
      <c r="KRN166" s="72"/>
      <c r="KRO166" s="72"/>
      <c r="KRP166" s="72"/>
      <c r="KRQ166" s="72"/>
      <c r="KRR166" s="72"/>
      <c r="KRS166" s="72"/>
      <c r="KRT166" s="72"/>
      <c r="KRU166" s="72"/>
      <c r="KRV166" s="72"/>
      <c r="KRW166" s="72"/>
      <c r="KRX166" s="72"/>
      <c r="KRY166" s="72"/>
      <c r="KRZ166" s="72"/>
      <c r="KSA166" s="72"/>
      <c r="KSB166" s="72"/>
      <c r="KSC166" s="72"/>
      <c r="KSD166" s="72"/>
      <c r="KSE166" s="72"/>
      <c r="KSF166" s="72"/>
      <c r="KSG166" s="72"/>
      <c r="KSH166" s="72"/>
      <c r="KSI166" s="72"/>
      <c r="KSJ166" s="72"/>
      <c r="KSK166" s="72"/>
      <c r="KSL166" s="72"/>
      <c r="KSM166" s="72"/>
      <c r="KSN166" s="72"/>
      <c r="KSO166" s="72"/>
      <c r="KSP166" s="72"/>
      <c r="KSQ166" s="72"/>
      <c r="KSR166" s="72"/>
      <c r="KSS166" s="72"/>
      <c r="KST166" s="72"/>
      <c r="KSU166" s="72"/>
      <c r="KSV166" s="72"/>
      <c r="KSW166" s="72"/>
      <c r="KSX166" s="72"/>
      <c r="KSY166" s="72"/>
      <c r="KSZ166" s="72"/>
      <c r="KTA166" s="72"/>
      <c r="KTB166" s="72"/>
      <c r="KTC166" s="72"/>
      <c r="KTD166" s="72"/>
      <c r="KTE166" s="72"/>
      <c r="KTF166" s="72"/>
      <c r="KTG166" s="72"/>
      <c r="KTH166" s="72"/>
      <c r="KTI166" s="72"/>
      <c r="KTJ166" s="72"/>
      <c r="KTK166" s="72"/>
      <c r="KTL166" s="72"/>
      <c r="KTM166" s="72"/>
      <c r="KTN166" s="72"/>
      <c r="KTO166" s="72"/>
      <c r="KTP166" s="72"/>
      <c r="KTQ166" s="72"/>
      <c r="KTR166" s="72"/>
      <c r="KTS166" s="72"/>
      <c r="KTT166" s="72"/>
      <c r="KTU166" s="72"/>
      <c r="KTV166" s="72"/>
      <c r="KTW166" s="72"/>
      <c r="KTX166" s="72"/>
      <c r="KTY166" s="72"/>
      <c r="KTZ166" s="72"/>
      <c r="KUA166" s="72"/>
      <c r="KUB166" s="72"/>
      <c r="KUC166" s="72"/>
      <c r="KUD166" s="72"/>
      <c r="KUE166" s="72"/>
      <c r="KUF166" s="72"/>
      <c r="KUG166" s="72"/>
      <c r="KUH166" s="72"/>
      <c r="KUI166" s="72"/>
      <c r="KUJ166" s="72"/>
      <c r="KUK166" s="72"/>
      <c r="KUL166" s="72"/>
      <c r="KUM166" s="72"/>
      <c r="KUN166" s="72"/>
      <c r="KUO166" s="72"/>
      <c r="KUP166" s="72"/>
      <c r="KUQ166" s="72"/>
      <c r="KUR166" s="72"/>
      <c r="KUS166" s="72"/>
      <c r="KUT166" s="72"/>
      <c r="KUU166" s="72"/>
      <c r="KUV166" s="72"/>
      <c r="KUW166" s="72"/>
      <c r="KUX166" s="72"/>
      <c r="KUY166" s="72"/>
      <c r="KUZ166" s="72"/>
      <c r="KVA166" s="72"/>
      <c r="KVB166" s="72"/>
      <c r="KVC166" s="72"/>
      <c r="KVD166" s="72"/>
      <c r="KVE166" s="72"/>
      <c r="KVF166" s="72"/>
      <c r="KVG166" s="72"/>
      <c r="KVH166" s="72"/>
      <c r="KVI166" s="72"/>
      <c r="KVJ166" s="72"/>
      <c r="KVK166" s="72"/>
      <c r="KVL166" s="72"/>
      <c r="KVM166" s="72"/>
      <c r="KVN166" s="72"/>
      <c r="KVO166" s="72"/>
      <c r="KVP166" s="72"/>
      <c r="KVQ166" s="72"/>
      <c r="KVR166" s="72"/>
      <c r="KVS166" s="72"/>
      <c r="KVT166" s="72"/>
      <c r="KVU166" s="72"/>
      <c r="KVV166" s="72"/>
      <c r="KVW166" s="72"/>
      <c r="KVX166" s="72"/>
      <c r="KVY166" s="72"/>
      <c r="KVZ166" s="72"/>
      <c r="KWA166" s="72"/>
      <c r="KWB166" s="72"/>
      <c r="KWC166" s="72"/>
      <c r="KWD166" s="72"/>
      <c r="KWE166" s="72"/>
      <c r="KWF166" s="72"/>
      <c r="KWG166" s="72"/>
      <c r="KWH166" s="72"/>
      <c r="KWI166" s="72"/>
      <c r="KWJ166" s="72"/>
      <c r="KWK166" s="72"/>
      <c r="KWL166" s="72"/>
      <c r="KWM166" s="72"/>
      <c r="KWN166" s="72"/>
      <c r="KWO166" s="72"/>
      <c r="KWP166" s="72"/>
      <c r="KWQ166" s="72"/>
      <c r="KWR166" s="72"/>
      <c r="KWS166" s="72"/>
      <c r="KWT166" s="72"/>
      <c r="KWU166" s="72"/>
      <c r="KWV166" s="72"/>
      <c r="KWW166" s="72"/>
      <c r="KWX166" s="72"/>
      <c r="KWY166" s="72"/>
      <c r="KWZ166" s="72"/>
      <c r="KXA166" s="72"/>
      <c r="KXB166" s="72"/>
      <c r="KXC166" s="72"/>
      <c r="KXD166" s="72"/>
      <c r="KXE166" s="72"/>
      <c r="KXF166" s="72"/>
      <c r="KXG166" s="72"/>
      <c r="KXH166" s="72"/>
      <c r="KXI166" s="72"/>
      <c r="KXJ166" s="72"/>
      <c r="KXK166" s="72"/>
      <c r="KXL166" s="72"/>
      <c r="KXM166" s="72"/>
      <c r="KXN166" s="72"/>
      <c r="KXO166" s="72"/>
      <c r="KXP166" s="72"/>
      <c r="KXQ166" s="72"/>
      <c r="KXR166" s="72"/>
      <c r="KXS166" s="72"/>
      <c r="KXT166" s="72"/>
      <c r="KXU166" s="72"/>
      <c r="KXV166" s="72"/>
      <c r="KXW166" s="72"/>
      <c r="KXX166" s="72"/>
      <c r="KXY166" s="72"/>
      <c r="KXZ166" s="72"/>
      <c r="KYA166" s="72"/>
      <c r="KYB166" s="72"/>
      <c r="KYC166" s="72"/>
      <c r="KYD166" s="72"/>
      <c r="KYE166" s="72"/>
      <c r="KYF166" s="72"/>
      <c r="KYG166" s="72"/>
      <c r="KYH166" s="72"/>
      <c r="KYI166" s="72"/>
      <c r="KYJ166" s="72"/>
      <c r="KYK166" s="72"/>
      <c r="KYL166" s="72"/>
      <c r="KYM166" s="72"/>
      <c r="KYN166" s="72"/>
      <c r="KYO166" s="72"/>
      <c r="KYP166" s="72"/>
      <c r="KYQ166" s="72"/>
      <c r="KYR166" s="72"/>
      <c r="KYS166" s="72"/>
      <c r="KYT166" s="72"/>
      <c r="KYU166" s="72"/>
      <c r="KYV166" s="72"/>
      <c r="KYW166" s="72"/>
      <c r="KYX166" s="72"/>
      <c r="KYY166" s="72"/>
      <c r="KYZ166" s="72"/>
      <c r="KZA166" s="72"/>
      <c r="KZB166" s="72"/>
      <c r="KZC166" s="72"/>
      <c r="KZD166" s="72"/>
      <c r="KZE166" s="72"/>
      <c r="KZF166" s="72"/>
      <c r="KZG166" s="72"/>
      <c r="KZH166" s="72"/>
      <c r="KZI166" s="72"/>
      <c r="KZJ166" s="72"/>
      <c r="KZK166" s="72"/>
      <c r="KZL166" s="72"/>
      <c r="KZM166" s="72"/>
      <c r="KZN166" s="72"/>
      <c r="KZO166" s="72"/>
      <c r="KZP166" s="72"/>
      <c r="KZQ166" s="72"/>
      <c r="KZR166" s="72"/>
      <c r="KZS166" s="72"/>
      <c r="KZT166" s="72"/>
      <c r="KZU166" s="72"/>
      <c r="KZV166" s="72"/>
      <c r="KZW166" s="72"/>
      <c r="KZX166" s="72"/>
      <c r="KZY166" s="72"/>
      <c r="KZZ166" s="72"/>
      <c r="LAA166" s="72"/>
      <c r="LAB166" s="72"/>
      <c r="LAC166" s="72"/>
      <c r="LAD166" s="72"/>
      <c r="LAE166" s="72"/>
      <c r="LAF166" s="72"/>
      <c r="LAG166" s="72"/>
      <c r="LAH166" s="72"/>
      <c r="LAI166" s="72"/>
      <c r="LAJ166" s="72"/>
      <c r="LAK166" s="72"/>
      <c r="LAL166" s="72"/>
      <c r="LAM166" s="72"/>
      <c r="LAN166" s="72"/>
      <c r="LAO166" s="72"/>
      <c r="LAP166" s="72"/>
      <c r="LAQ166" s="72"/>
      <c r="LAR166" s="72"/>
      <c r="LAS166" s="72"/>
      <c r="LAT166" s="72"/>
      <c r="LAU166" s="72"/>
      <c r="LAV166" s="72"/>
      <c r="LAW166" s="72"/>
      <c r="LAX166" s="72"/>
      <c r="LAY166" s="72"/>
      <c r="LAZ166" s="72"/>
      <c r="LBA166" s="72"/>
      <c r="LBB166" s="72"/>
      <c r="LBC166" s="72"/>
      <c r="LBD166" s="72"/>
      <c r="LBE166" s="72"/>
      <c r="LBF166" s="72"/>
      <c r="LBG166" s="72"/>
      <c r="LBH166" s="72"/>
      <c r="LBI166" s="72"/>
      <c r="LBJ166" s="72"/>
      <c r="LBK166" s="72"/>
      <c r="LBL166" s="72"/>
      <c r="LBM166" s="72"/>
      <c r="LBN166" s="72"/>
      <c r="LBO166" s="72"/>
      <c r="LBP166" s="72"/>
      <c r="LBQ166" s="72"/>
      <c r="LBR166" s="72"/>
      <c r="LBS166" s="72"/>
      <c r="LBT166" s="72"/>
      <c r="LBU166" s="72"/>
      <c r="LBV166" s="72"/>
      <c r="LBW166" s="72"/>
      <c r="LBX166" s="72"/>
      <c r="LBY166" s="72"/>
      <c r="LBZ166" s="72"/>
      <c r="LCA166" s="72"/>
      <c r="LCB166" s="72"/>
      <c r="LCC166" s="72"/>
      <c r="LCD166" s="72"/>
      <c r="LCE166" s="72"/>
      <c r="LCF166" s="72"/>
      <c r="LCG166" s="72"/>
      <c r="LCH166" s="72"/>
      <c r="LCI166" s="72"/>
      <c r="LCJ166" s="72"/>
      <c r="LCK166" s="72"/>
      <c r="LCL166" s="72"/>
      <c r="LCM166" s="72"/>
      <c r="LCN166" s="72"/>
      <c r="LCO166" s="72"/>
      <c r="LCP166" s="72"/>
      <c r="LCQ166" s="72"/>
      <c r="LCR166" s="72"/>
      <c r="LCS166" s="72"/>
      <c r="LCT166" s="72"/>
      <c r="LCU166" s="72"/>
      <c r="LCV166" s="72"/>
      <c r="LCW166" s="72"/>
      <c r="LCX166" s="72"/>
      <c r="LCY166" s="72"/>
      <c r="LCZ166" s="72"/>
      <c r="LDA166" s="72"/>
      <c r="LDB166" s="72"/>
      <c r="LDC166" s="72"/>
      <c r="LDD166" s="72"/>
      <c r="LDE166" s="72"/>
      <c r="LDF166" s="72"/>
      <c r="LDG166" s="72"/>
      <c r="LDH166" s="72"/>
      <c r="LDI166" s="72"/>
      <c r="LDJ166" s="72"/>
      <c r="LDK166" s="72"/>
      <c r="LDL166" s="72"/>
      <c r="LDM166" s="72"/>
      <c r="LDN166" s="72"/>
      <c r="LDO166" s="72"/>
      <c r="LDP166" s="72"/>
      <c r="LDQ166" s="72"/>
      <c r="LDR166" s="72"/>
      <c r="LDS166" s="72"/>
      <c r="LDT166" s="72"/>
      <c r="LDU166" s="72"/>
      <c r="LDV166" s="72"/>
      <c r="LDW166" s="72"/>
      <c r="LDX166" s="72"/>
      <c r="LDY166" s="72"/>
      <c r="LDZ166" s="72"/>
      <c r="LEA166" s="72"/>
      <c r="LEB166" s="72"/>
      <c r="LEC166" s="72"/>
      <c r="LED166" s="72"/>
      <c r="LEE166" s="72"/>
      <c r="LEF166" s="72"/>
      <c r="LEG166" s="72"/>
      <c r="LEH166" s="72"/>
      <c r="LEI166" s="72"/>
      <c r="LEJ166" s="72"/>
      <c r="LEK166" s="72"/>
      <c r="LEL166" s="72"/>
      <c r="LEM166" s="72"/>
      <c r="LEN166" s="72"/>
      <c r="LEO166" s="72"/>
      <c r="LEP166" s="72"/>
      <c r="LEQ166" s="72"/>
      <c r="LER166" s="72"/>
      <c r="LES166" s="72"/>
      <c r="LET166" s="72"/>
      <c r="LEU166" s="72"/>
      <c r="LEV166" s="72"/>
      <c r="LEW166" s="72"/>
      <c r="LEX166" s="72"/>
      <c r="LEY166" s="72"/>
      <c r="LEZ166" s="72"/>
      <c r="LFA166" s="72"/>
      <c r="LFB166" s="72"/>
      <c r="LFC166" s="72"/>
      <c r="LFD166" s="72"/>
      <c r="LFE166" s="72"/>
      <c r="LFF166" s="72"/>
      <c r="LFG166" s="72"/>
      <c r="LFH166" s="72"/>
      <c r="LFI166" s="72"/>
      <c r="LFJ166" s="72"/>
      <c r="LFK166" s="72"/>
      <c r="LFL166" s="72"/>
      <c r="LFM166" s="72"/>
      <c r="LFN166" s="72"/>
      <c r="LFO166" s="72"/>
      <c r="LFP166" s="72"/>
      <c r="LFQ166" s="72"/>
      <c r="LFR166" s="72"/>
      <c r="LFS166" s="72"/>
      <c r="LFT166" s="72"/>
      <c r="LFU166" s="72"/>
      <c r="LFV166" s="72"/>
      <c r="LFW166" s="72"/>
      <c r="LFX166" s="72"/>
      <c r="LFY166" s="72"/>
      <c r="LFZ166" s="72"/>
      <c r="LGA166" s="72"/>
      <c r="LGB166" s="72"/>
      <c r="LGC166" s="72"/>
      <c r="LGD166" s="72"/>
      <c r="LGE166" s="72"/>
      <c r="LGF166" s="72"/>
      <c r="LGG166" s="72"/>
      <c r="LGH166" s="72"/>
      <c r="LGI166" s="72"/>
      <c r="LGJ166" s="72"/>
      <c r="LGK166" s="72"/>
      <c r="LGL166" s="72"/>
      <c r="LGM166" s="72"/>
      <c r="LGN166" s="72"/>
      <c r="LGO166" s="72"/>
      <c r="LGP166" s="72"/>
      <c r="LGQ166" s="72"/>
      <c r="LGR166" s="72"/>
      <c r="LGS166" s="72"/>
      <c r="LGT166" s="72"/>
      <c r="LGU166" s="72"/>
      <c r="LGV166" s="72"/>
      <c r="LGW166" s="72"/>
      <c r="LGX166" s="72"/>
      <c r="LGY166" s="72"/>
      <c r="LGZ166" s="72"/>
      <c r="LHA166" s="72"/>
      <c r="LHB166" s="72"/>
      <c r="LHC166" s="72"/>
      <c r="LHD166" s="72"/>
      <c r="LHE166" s="72"/>
      <c r="LHF166" s="72"/>
      <c r="LHG166" s="72"/>
      <c r="LHH166" s="72"/>
      <c r="LHI166" s="72"/>
      <c r="LHJ166" s="72"/>
      <c r="LHK166" s="72"/>
      <c r="LHL166" s="72"/>
      <c r="LHM166" s="72"/>
      <c r="LHN166" s="72"/>
      <c r="LHO166" s="72"/>
      <c r="LHP166" s="72"/>
      <c r="LHQ166" s="72"/>
      <c r="LHR166" s="72"/>
      <c r="LHS166" s="72"/>
      <c r="LHT166" s="72"/>
      <c r="LHU166" s="72"/>
      <c r="LHV166" s="72"/>
      <c r="LHW166" s="72"/>
      <c r="LHX166" s="72"/>
      <c r="LHY166" s="72"/>
      <c r="LHZ166" s="72"/>
      <c r="LIA166" s="72"/>
      <c r="LIB166" s="72"/>
      <c r="LIC166" s="72"/>
      <c r="LID166" s="72"/>
      <c r="LIE166" s="72"/>
      <c r="LIF166" s="72"/>
      <c r="LIG166" s="72"/>
      <c r="LIH166" s="72"/>
      <c r="LII166" s="72"/>
      <c r="LIJ166" s="72"/>
      <c r="LIK166" s="72"/>
      <c r="LIL166" s="72"/>
      <c r="LIM166" s="72"/>
      <c r="LIN166" s="72"/>
      <c r="LIO166" s="72"/>
      <c r="LIP166" s="72"/>
      <c r="LIQ166" s="72"/>
      <c r="LIR166" s="72"/>
      <c r="LIS166" s="72"/>
      <c r="LIT166" s="72"/>
      <c r="LIU166" s="72"/>
      <c r="LIV166" s="72"/>
      <c r="LIW166" s="72"/>
      <c r="LIX166" s="72"/>
      <c r="LIY166" s="72"/>
      <c r="LIZ166" s="72"/>
      <c r="LJA166" s="72"/>
      <c r="LJB166" s="72"/>
      <c r="LJC166" s="72"/>
      <c r="LJD166" s="72"/>
      <c r="LJE166" s="72"/>
      <c r="LJF166" s="72"/>
      <c r="LJG166" s="72"/>
      <c r="LJH166" s="72"/>
      <c r="LJI166" s="72"/>
      <c r="LJJ166" s="72"/>
      <c r="LJK166" s="72"/>
      <c r="LJL166" s="72"/>
      <c r="LJM166" s="72"/>
      <c r="LJN166" s="72"/>
      <c r="LJO166" s="72"/>
      <c r="LJP166" s="72"/>
      <c r="LJQ166" s="72"/>
      <c r="LJR166" s="72"/>
      <c r="LJS166" s="72"/>
      <c r="LJT166" s="72"/>
      <c r="LJU166" s="72"/>
      <c r="LJV166" s="72"/>
      <c r="LJW166" s="72"/>
      <c r="LJX166" s="72"/>
      <c r="LJY166" s="72"/>
      <c r="LJZ166" s="72"/>
      <c r="LKA166" s="72"/>
      <c r="LKB166" s="72"/>
      <c r="LKC166" s="72"/>
      <c r="LKD166" s="72"/>
      <c r="LKE166" s="72"/>
      <c r="LKF166" s="72"/>
      <c r="LKG166" s="72"/>
      <c r="LKH166" s="72"/>
      <c r="LKI166" s="72"/>
      <c r="LKJ166" s="72"/>
      <c r="LKK166" s="72"/>
      <c r="LKL166" s="72"/>
      <c r="LKM166" s="72"/>
      <c r="LKN166" s="72"/>
      <c r="LKO166" s="72"/>
      <c r="LKP166" s="72"/>
      <c r="LKQ166" s="72"/>
      <c r="LKR166" s="72"/>
      <c r="LKS166" s="72"/>
      <c r="LKT166" s="72"/>
      <c r="LKU166" s="72"/>
      <c r="LKV166" s="72"/>
      <c r="LKW166" s="72"/>
      <c r="LKX166" s="72"/>
      <c r="LKY166" s="72"/>
      <c r="LKZ166" s="72"/>
      <c r="LLA166" s="72"/>
      <c r="LLB166" s="72"/>
      <c r="LLC166" s="72"/>
      <c r="LLD166" s="72"/>
      <c r="LLE166" s="72"/>
      <c r="LLF166" s="72"/>
      <c r="LLG166" s="72"/>
      <c r="LLH166" s="72"/>
      <c r="LLI166" s="72"/>
      <c r="LLJ166" s="72"/>
      <c r="LLK166" s="72"/>
      <c r="LLL166" s="72"/>
      <c r="LLM166" s="72"/>
      <c r="LLN166" s="72"/>
      <c r="LLO166" s="72"/>
      <c r="LLP166" s="72"/>
      <c r="LLQ166" s="72"/>
      <c r="LLR166" s="72"/>
      <c r="LLS166" s="72"/>
      <c r="LLT166" s="72"/>
      <c r="LLU166" s="72"/>
      <c r="LLV166" s="72"/>
      <c r="LLW166" s="72"/>
      <c r="LLX166" s="72"/>
      <c r="LLY166" s="72"/>
      <c r="LLZ166" s="72"/>
      <c r="LMA166" s="72"/>
      <c r="LMB166" s="72"/>
      <c r="LMC166" s="72"/>
      <c r="LMD166" s="72"/>
      <c r="LME166" s="72"/>
      <c r="LMF166" s="72"/>
      <c r="LMG166" s="72"/>
      <c r="LMH166" s="72"/>
      <c r="LMI166" s="72"/>
      <c r="LMJ166" s="72"/>
      <c r="LMK166" s="72"/>
      <c r="LML166" s="72"/>
      <c r="LMM166" s="72"/>
      <c r="LMN166" s="72"/>
      <c r="LMO166" s="72"/>
      <c r="LMP166" s="72"/>
      <c r="LMQ166" s="72"/>
      <c r="LMR166" s="72"/>
      <c r="LMS166" s="72"/>
      <c r="LMT166" s="72"/>
      <c r="LMU166" s="72"/>
      <c r="LMV166" s="72"/>
      <c r="LMW166" s="72"/>
      <c r="LMX166" s="72"/>
      <c r="LMY166" s="72"/>
      <c r="LMZ166" s="72"/>
      <c r="LNA166" s="72"/>
      <c r="LNB166" s="72"/>
      <c r="LNC166" s="72"/>
      <c r="LND166" s="72"/>
      <c r="LNE166" s="72"/>
      <c r="LNF166" s="72"/>
      <c r="LNG166" s="72"/>
      <c r="LNH166" s="72"/>
      <c r="LNI166" s="72"/>
      <c r="LNJ166" s="72"/>
      <c r="LNK166" s="72"/>
      <c r="LNL166" s="72"/>
      <c r="LNM166" s="72"/>
      <c r="LNN166" s="72"/>
      <c r="LNO166" s="72"/>
      <c r="LNP166" s="72"/>
      <c r="LNQ166" s="72"/>
      <c r="LNR166" s="72"/>
      <c r="LNS166" s="72"/>
      <c r="LNT166" s="72"/>
      <c r="LNU166" s="72"/>
      <c r="LNV166" s="72"/>
      <c r="LNW166" s="72"/>
      <c r="LNX166" s="72"/>
      <c r="LNY166" s="72"/>
      <c r="LNZ166" s="72"/>
      <c r="LOA166" s="72"/>
      <c r="LOB166" s="72"/>
      <c r="LOC166" s="72"/>
      <c r="LOD166" s="72"/>
      <c r="LOE166" s="72"/>
      <c r="LOF166" s="72"/>
      <c r="LOG166" s="72"/>
      <c r="LOH166" s="72"/>
      <c r="LOI166" s="72"/>
      <c r="LOJ166" s="72"/>
      <c r="LOK166" s="72"/>
      <c r="LOL166" s="72"/>
      <c r="LOM166" s="72"/>
      <c r="LON166" s="72"/>
      <c r="LOO166" s="72"/>
      <c r="LOP166" s="72"/>
      <c r="LOQ166" s="72"/>
      <c r="LOR166" s="72"/>
      <c r="LOS166" s="72"/>
      <c r="LOT166" s="72"/>
      <c r="LOU166" s="72"/>
      <c r="LOV166" s="72"/>
      <c r="LOW166" s="72"/>
      <c r="LOX166" s="72"/>
      <c r="LOY166" s="72"/>
      <c r="LOZ166" s="72"/>
      <c r="LPA166" s="72"/>
      <c r="LPB166" s="72"/>
      <c r="LPC166" s="72"/>
      <c r="LPD166" s="72"/>
      <c r="LPE166" s="72"/>
      <c r="LPF166" s="72"/>
      <c r="LPG166" s="72"/>
      <c r="LPH166" s="72"/>
      <c r="LPI166" s="72"/>
      <c r="LPJ166" s="72"/>
      <c r="LPK166" s="72"/>
      <c r="LPL166" s="72"/>
      <c r="LPM166" s="72"/>
      <c r="LPN166" s="72"/>
      <c r="LPO166" s="72"/>
      <c r="LPP166" s="72"/>
      <c r="LPQ166" s="72"/>
      <c r="LPR166" s="72"/>
      <c r="LPS166" s="72"/>
      <c r="LPT166" s="72"/>
      <c r="LPU166" s="72"/>
      <c r="LPV166" s="72"/>
      <c r="LPW166" s="72"/>
      <c r="LPX166" s="72"/>
      <c r="LPY166" s="72"/>
      <c r="LPZ166" s="72"/>
      <c r="LQA166" s="72"/>
      <c r="LQB166" s="72"/>
      <c r="LQC166" s="72"/>
      <c r="LQD166" s="72"/>
      <c r="LQE166" s="72"/>
      <c r="LQF166" s="72"/>
      <c r="LQG166" s="72"/>
      <c r="LQH166" s="72"/>
      <c r="LQI166" s="72"/>
      <c r="LQJ166" s="72"/>
      <c r="LQK166" s="72"/>
      <c r="LQL166" s="72"/>
      <c r="LQM166" s="72"/>
      <c r="LQN166" s="72"/>
      <c r="LQO166" s="72"/>
      <c r="LQP166" s="72"/>
      <c r="LQQ166" s="72"/>
      <c r="LQR166" s="72"/>
      <c r="LQS166" s="72"/>
      <c r="LQT166" s="72"/>
      <c r="LQU166" s="72"/>
      <c r="LQV166" s="72"/>
      <c r="LQW166" s="72"/>
      <c r="LQX166" s="72"/>
      <c r="LQY166" s="72"/>
      <c r="LQZ166" s="72"/>
      <c r="LRA166" s="72"/>
      <c r="LRB166" s="72"/>
      <c r="LRC166" s="72"/>
      <c r="LRD166" s="72"/>
      <c r="LRE166" s="72"/>
      <c r="LRF166" s="72"/>
      <c r="LRG166" s="72"/>
      <c r="LRH166" s="72"/>
      <c r="LRI166" s="72"/>
      <c r="LRJ166" s="72"/>
      <c r="LRK166" s="72"/>
      <c r="LRL166" s="72"/>
      <c r="LRM166" s="72"/>
      <c r="LRN166" s="72"/>
      <c r="LRO166" s="72"/>
      <c r="LRP166" s="72"/>
      <c r="LRQ166" s="72"/>
      <c r="LRR166" s="72"/>
      <c r="LRS166" s="72"/>
      <c r="LRT166" s="72"/>
      <c r="LRU166" s="72"/>
      <c r="LRV166" s="72"/>
      <c r="LRW166" s="72"/>
      <c r="LRX166" s="72"/>
      <c r="LRY166" s="72"/>
      <c r="LRZ166" s="72"/>
      <c r="LSA166" s="72"/>
      <c r="LSB166" s="72"/>
      <c r="LSC166" s="72"/>
      <c r="LSD166" s="72"/>
      <c r="LSE166" s="72"/>
      <c r="LSF166" s="72"/>
      <c r="LSG166" s="72"/>
      <c r="LSH166" s="72"/>
      <c r="LSI166" s="72"/>
      <c r="LSJ166" s="72"/>
      <c r="LSK166" s="72"/>
      <c r="LSL166" s="72"/>
      <c r="LSM166" s="72"/>
      <c r="LSN166" s="72"/>
      <c r="LSO166" s="72"/>
      <c r="LSP166" s="72"/>
      <c r="LSQ166" s="72"/>
      <c r="LSR166" s="72"/>
      <c r="LSS166" s="72"/>
      <c r="LST166" s="72"/>
      <c r="LSU166" s="72"/>
      <c r="LSV166" s="72"/>
      <c r="LSW166" s="72"/>
      <c r="LSX166" s="72"/>
      <c r="LSY166" s="72"/>
      <c r="LSZ166" s="72"/>
      <c r="LTA166" s="72"/>
      <c r="LTB166" s="72"/>
      <c r="LTC166" s="72"/>
      <c r="LTD166" s="72"/>
      <c r="LTE166" s="72"/>
      <c r="LTF166" s="72"/>
      <c r="LTG166" s="72"/>
      <c r="LTH166" s="72"/>
      <c r="LTI166" s="72"/>
      <c r="LTJ166" s="72"/>
      <c r="LTK166" s="72"/>
      <c r="LTL166" s="72"/>
      <c r="LTM166" s="72"/>
      <c r="LTN166" s="72"/>
      <c r="LTO166" s="72"/>
      <c r="LTP166" s="72"/>
      <c r="LTQ166" s="72"/>
      <c r="LTR166" s="72"/>
      <c r="LTS166" s="72"/>
      <c r="LTT166" s="72"/>
      <c r="LTU166" s="72"/>
      <c r="LTV166" s="72"/>
      <c r="LTW166" s="72"/>
      <c r="LTX166" s="72"/>
      <c r="LTY166" s="72"/>
      <c r="LTZ166" s="72"/>
      <c r="LUA166" s="72"/>
      <c r="LUB166" s="72"/>
      <c r="LUC166" s="72"/>
      <c r="LUD166" s="72"/>
      <c r="LUE166" s="72"/>
      <c r="LUF166" s="72"/>
      <c r="LUG166" s="72"/>
      <c r="LUH166" s="72"/>
      <c r="LUI166" s="72"/>
      <c r="LUJ166" s="72"/>
      <c r="LUK166" s="72"/>
      <c r="LUL166" s="72"/>
      <c r="LUM166" s="72"/>
      <c r="LUN166" s="72"/>
      <c r="LUO166" s="72"/>
      <c r="LUP166" s="72"/>
      <c r="LUQ166" s="72"/>
      <c r="LUR166" s="72"/>
      <c r="LUS166" s="72"/>
      <c r="LUT166" s="72"/>
      <c r="LUU166" s="72"/>
      <c r="LUV166" s="72"/>
      <c r="LUW166" s="72"/>
      <c r="LUX166" s="72"/>
      <c r="LUY166" s="72"/>
      <c r="LUZ166" s="72"/>
      <c r="LVA166" s="72"/>
      <c r="LVB166" s="72"/>
      <c r="LVC166" s="72"/>
      <c r="LVD166" s="72"/>
      <c r="LVE166" s="72"/>
      <c r="LVF166" s="72"/>
      <c r="LVG166" s="72"/>
      <c r="LVH166" s="72"/>
      <c r="LVI166" s="72"/>
      <c r="LVJ166" s="72"/>
      <c r="LVK166" s="72"/>
      <c r="LVL166" s="72"/>
      <c r="LVM166" s="72"/>
      <c r="LVN166" s="72"/>
      <c r="LVO166" s="72"/>
      <c r="LVP166" s="72"/>
      <c r="LVQ166" s="72"/>
      <c r="LVR166" s="72"/>
      <c r="LVS166" s="72"/>
      <c r="LVT166" s="72"/>
      <c r="LVU166" s="72"/>
      <c r="LVV166" s="72"/>
      <c r="LVW166" s="72"/>
      <c r="LVX166" s="72"/>
      <c r="LVY166" s="72"/>
      <c r="LVZ166" s="72"/>
      <c r="LWA166" s="72"/>
      <c r="LWB166" s="72"/>
      <c r="LWC166" s="72"/>
      <c r="LWD166" s="72"/>
      <c r="LWE166" s="72"/>
      <c r="LWF166" s="72"/>
      <c r="LWG166" s="72"/>
      <c r="LWH166" s="72"/>
      <c r="LWI166" s="72"/>
      <c r="LWJ166" s="72"/>
      <c r="LWK166" s="72"/>
      <c r="LWL166" s="72"/>
      <c r="LWM166" s="72"/>
      <c r="LWN166" s="72"/>
      <c r="LWO166" s="72"/>
      <c r="LWP166" s="72"/>
      <c r="LWQ166" s="72"/>
      <c r="LWR166" s="72"/>
      <c r="LWS166" s="72"/>
      <c r="LWT166" s="72"/>
      <c r="LWU166" s="72"/>
      <c r="LWV166" s="72"/>
      <c r="LWW166" s="72"/>
      <c r="LWX166" s="72"/>
      <c r="LWY166" s="72"/>
      <c r="LWZ166" s="72"/>
      <c r="LXA166" s="72"/>
      <c r="LXB166" s="72"/>
      <c r="LXC166" s="72"/>
      <c r="LXD166" s="72"/>
      <c r="LXE166" s="72"/>
      <c r="LXF166" s="72"/>
      <c r="LXG166" s="72"/>
      <c r="LXH166" s="72"/>
      <c r="LXI166" s="72"/>
      <c r="LXJ166" s="72"/>
      <c r="LXK166" s="72"/>
      <c r="LXL166" s="72"/>
      <c r="LXM166" s="72"/>
      <c r="LXN166" s="72"/>
      <c r="LXO166" s="72"/>
      <c r="LXP166" s="72"/>
      <c r="LXQ166" s="72"/>
      <c r="LXR166" s="72"/>
      <c r="LXS166" s="72"/>
      <c r="LXT166" s="72"/>
      <c r="LXU166" s="72"/>
      <c r="LXV166" s="72"/>
      <c r="LXW166" s="72"/>
      <c r="LXX166" s="72"/>
      <c r="LXY166" s="72"/>
      <c r="LXZ166" s="72"/>
      <c r="LYA166" s="72"/>
      <c r="LYB166" s="72"/>
      <c r="LYC166" s="72"/>
      <c r="LYD166" s="72"/>
      <c r="LYE166" s="72"/>
      <c r="LYF166" s="72"/>
      <c r="LYG166" s="72"/>
      <c r="LYH166" s="72"/>
      <c r="LYI166" s="72"/>
      <c r="LYJ166" s="72"/>
      <c r="LYK166" s="72"/>
      <c r="LYL166" s="72"/>
      <c r="LYM166" s="72"/>
      <c r="LYN166" s="72"/>
      <c r="LYO166" s="72"/>
      <c r="LYP166" s="72"/>
      <c r="LYQ166" s="72"/>
      <c r="LYR166" s="72"/>
      <c r="LYS166" s="72"/>
      <c r="LYT166" s="72"/>
      <c r="LYU166" s="72"/>
      <c r="LYV166" s="72"/>
      <c r="LYW166" s="72"/>
      <c r="LYX166" s="72"/>
      <c r="LYY166" s="72"/>
      <c r="LYZ166" s="72"/>
      <c r="LZA166" s="72"/>
      <c r="LZB166" s="72"/>
      <c r="LZC166" s="72"/>
      <c r="LZD166" s="72"/>
      <c r="LZE166" s="72"/>
      <c r="LZF166" s="72"/>
      <c r="LZG166" s="72"/>
      <c r="LZH166" s="72"/>
      <c r="LZI166" s="72"/>
      <c r="LZJ166" s="72"/>
      <c r="LZK166" s="72"/>
      <c r="LZL166" s="72"/>
      <c r="LZM166" s="72"/>
      <c r="LZN166" s="72"/>
      <c r="LZO166" s="72"/>
      <c r="LZP166" s="72"/>
      <c r="LZQ166" s="72"/>
      <c r="LZR166" s="72"/>
      <c r="LZS166" s="72"/>
      <c r="LZT166" s="72"/>
      <c r="LZU166" s="72"/>
      <c r="LZV166" s="72"/>
      <c r="LZW166" s="72"/>
      <c r="LZX166" s="72"/>
      <c r="LZY166" s="72"/>
      <c r="LZZ166" s="72"/>
      <c r="MAA166" s="72"/>
      <c r="MAB166" s="72"/>
      <c r="MAC166" s="72"/>
      <c r="MAD166" s="72"/>
      <c r="MAE166" s="72"/>
      <c r="MAF166" s="72"/>
      <c r="MAG166" s="72"/>
      <c r="MAH166" s="72"/>
      <c r="MAI166" s="72"/>
      <c r="MAJ166" s="72"/>
      <c r="MAK166" s="72"/>
      <c r="MAL166" s="72"/>
      <c r="MAM166" s="72"/>
      <c r="MAN166" s="72"/>
      <c r="MAO166" s="72"/>
      <c r="MAP166" s="72"/>
      <c r="MAQ166" s="72"/>
      <c r="MAR166" s="72"/>
      <c r="MAS166" s="72"/>
      <c r="MAT166" s="72"/>
      <c r="MAU166" s="72"/>
      <c r="MAV166" s="72"/>
      <c r="MAW166" s="72"/>
      <c r="MAX166" s="72"/>
      <c r="MAY166" s="72"/>
      <c r="MAZ166" s="72"/>
      <c r="MBA166" s="72"/>
      <c r="MBB166" s="72"/>
      <c r="MBC166" s="72"/>
      <c r="MBD166" s="72"/>
      <c r="MBE166" s="72"/>
      <c r="MBF166" s="72"/>
      <c r="MBG166" s="72"/>
      <c r="MBH166" s="72"/>
      <c r="MBI166" s="72"/>
      <c r="MBJ166" s="72"/>
      <c r="MBK166" s="72"/>
      <c r="MBL166" s="72"/>
      <c r="MBM166" s="72"/>
      <c r="MBN166" s="72"/>
      <c r="MBO166" s="72"/>
      <c r="MBP166" s="72"/>
      <c r="MBQ166" s="72"/>
      <c r="MBR166" s="72"/>
      <c r="MBS166" s="72"/>
      <c r="MBT166" s="72"/>
      <c r="MBU166" s="72"/>
      <c r="MBV166" s="72"/>
      <c r="MBW166" s="72"/>
      <c r="MBX166" s="72"/>
      <c r="MBY166" s="72"/>
      <c r="MBZ166" s="72"/>
      <c r="MCA166" s="72"/>
      <c r="MCB166" s="72"/>
      <c r="MCC166" s="72"/>
      <c r="MCD166" s="72"/>
      <c r="MCE166" s="72"/>
      <c r="MCF166" s="72"/>
      <c r="MCG166" s="72"/>
      <c r="MCH166" s="72"/>
      <c r="MCI166" s="72"/>
      <c r="MCJ166" s="72"/>
      <c r="MCK166" s="72"/>
      <c r="MCL166" s="72"/>
      <c r="MCM166" s="72"/>
      <c r="MCN166" s="72"/>
      <c r="MCO166" s="72"/>
      <c r="MCP166" s="72"/>
      <c r="MCQ166" s="72"/>
      <c r="MCR166" s="72"/>
      <c r="MCS166" s="72"/>
      <c r="MCT166" s="72"/>
      <c r="MCU166" s="72"/>
      <c r="MCV166" s="72"/>
      <c r="MCW166" s="72"/>
      <c r="MCX166" s="72"/>
      <c r="MCY166" s="72"/>
      <c r="MCZ166" s="72"/>
      <c r="MDA166" s="72"/>
      <c r="MDB166" s="72"/>
      <c r="MDC166" s="72"/>
      <c r="MDD166" s="72"/>
      <c r="MDE166" s="72"/>
      <c r="MDF166" s="72"/>
      <c r="MDG166" s="72"/>
      <c r="MDH166" s="72"/>
      <c r="MDI166" s="72"/>
      <c r="MDJ166" s="72"/>
      <c r="MDK166" s="72"/>
      <c r="MDL166" s="72"/>
      <c r="MDM166" s="72"/>
      <c r="MDN166" s="72"/>
      <c r="MDO166" s="72"/>
      <c r="MDP166" s="72"/>
      <c r="MDQ166" s="72"/>
      <c r="MDR166" s="72"/>
      <c r="MDS166" s="72"/>
      <c r="MDT166" s="72"/>
      <c r="MDU166" s="72"/>
      <c r="MDV166" s="72"/>
      <c r="MDW166" s="72"/>
      <c r="MDX166" s="72"/>
      <c r="MDY166" s="72"/>
      <c r="MDZ166" s="72"/>
      <c r="MEA166" s="72"/>
      <c r="MEB166" s="72"/>
      <c r="MEC166" s="72"/>
      <c r="MED166" s="72"/>
      <c r="MEE166" s="72"/>
      <c r="MEF166" s="72"/>
      <c r="MEG166" s="72"/>
      <c r="MEH166" s="72"/>
      <c r="MEI166" s="72"/>
      <c r="MEJ166" s="72"/>
      <c r="MEK166" s="72"/>
      <c r="MEL166" s="72"/>
      <c r="MEM166" s="72"/>
      <c r="MEN166" s="72"/>
      <c r="MEO166" s="72"/>
      <c r="MEP166" s="72"/>
      <c r="MEQ166" s="72"/>
      <c r="MER166" s="72"/>
      <c r="MES166" s="72"/>
      <c r="MET166" s="72"/>
      <c r="MEU166" s="72"/>
      <c r="MEV166" s="72"/>
      <c r="MEW166" s="72"/>
      <c r="MEX166" s="72"/>
      <c r="MEY166" s="72"/>
      <c r="MEZ166" s="72"/>
      <c r="MFA166" s="72"/>
      <c r="MFB166" s="72"/>
      <c r="MFC166" s="72"/>
      <c r="MFD166" s="72"/>
      <c r="MFE166" s="72"/>
      <c r="MFF166" s="72"/>
      <c r="MFG166" s="72"/>
      <c r="MFH166" s="72"/>
      <c r="MFI166" s="72"/>
      <c r="MFJ166" s="72"/>
      <c r="MFK166" s="72"/>
      <c r="MFL166" s="72"/>
      <c r="MFM166" s="72"/>
      <c r="MFN166" s="72"/>
      <c r="MFO166" s="72"/>
      <c r="MFP166" s="72"/>
      <c r="MFQ166" s="72"/>
      <c r="MFR166" s="72"/>
      <c r="MFS166" s="72"/>
      <c r="MFT166" s="72"/>
      <c r="MFU166" s="72"/>
      <c r="MFV166" s="72"/>
      <c r="MFW166" s="72"/>
      <c r="MFX166" s="72"/>
      <c r="MFY166" s="72"/>
      <c r="MFZ166" s="72"/>
      <c r="MGA166" s="72"/>
      <c r="MGB166" s="72"/>
      <c r="MGC166" s="72"/>
      <c r="MGD166" s="72"/>
      <c r="MGE166" s="72"/>
      <c r="MGF166" s="72"/>
      <c r="MGG166" s="72"/>
      <c r="MGH166" s="72"/>
      <c r="MGI166" s="72"/>
      <c r="MGJ166" s="72"/>
      <c r="MGK166" s="72"/>
      <c r="MGL166" s="72"/>
      <c r="MGM166" s="72"/>
      <c r="MGN166" s="72"/>
      <c r="MGO166" s="72"/>
      <c r="MGP166" s="72"/>
      <c r="MGQ166" s="72"/>
      <c r="MGR166" s="72"/>
      <c r="MGS166" s="72"/>
      <c r="MGT166" s="72"/>
      <c r="MGU166" s="72"/>
      <c r="MGV166" s="72"/>
      <c r="MGW166" s="72"/>
      <c r="MGX166" s="72"/>
      <c r="MGY166" s="72"/>
      <c r="MGZ166" s="72"/>
      <c r="MHA166" s="72"/>
      <c r="MHB166" s="72"/>
      <c r="MHC166" s="72"/>
      <c r="MHD166" s="72"/>
      <c r="MHE166" s="72"/>
      <c r="MHF166" s="72"/>
      <c r="MHG166" s="72"/>
      <c r="MHH166" s="72"/>
      <c r="MHI166" s="72"/>
      <c r="MHJ166" s="72"/>
      <c r="MHK166" s="72"/>
      <c r="MHL166" s="72"/>
      <c r="MHM166" s="72"/>
      <c r="MHN166" s="72"/>
      <c r="MHO166" s="72"/>
      <c r="MHP166" s="72"/>
      <c r="MHQ166" s="72"/>
      <c r="MHR166" s="72"/>
      <c r="MHS166" s="72"/>
      <c r="MHT166" s="72"/>
      <c r="MHU166" s="72"/>
      <c r="MHV166" s="72"/>
      <c r="MHW166" s="72"/>
      <c r="MHX166" s="72"/>
      <c r="MHY166" s="72"/>
      <c r="MHZ166" s="72"/>
      <c r="MIA166" s="72"/>
      <c r="MIB166" s="72"/>
      <c r="MIC166" s="72"/>
      <c r="MID166" s="72"/>
      <c r="MIE166" s="72"/>
      <c r="MIF166" s="72"/>
      <c r="MIG166" s="72"/>
      <c r="MIH166" s="72"/>
      <c r="MII166" s="72"/>
      <c r="MIJ166" s="72"/>
      <c r="MIK166" s="72"/>
      <c r="MIL166" s="72"/>
      <c r="MIM166" s="72"/>
      <c r="MIN166" s="72"/>
      <c r="MIO166" s="72"/>
      <c r="MIP166" s="72"/>
      <c r="MIQ166" s="72"/>
      <c r="MIR166" s="72"/>
      <c r="MIS166" s="72"/>
      <c r="MIT166" s="72"/>
      <c r="MIU166" s="72"/>
      <c r="MIV166" s="72"/>
      <c r="MIW166" s="72"/>
      <c r="MIX166" s="72"/>
      <c r="MIY166" s="72"/>
      <c r="MIZ166" s="72"/>
      <c r="MJA166" s="72"/>
      <c r="MJB166" s="72"/>
      <c r="MJC166" s="72"/>
      <c r="MJD166" s="72"/>
      <c r="MJE166" s="72"/>
      <c r="MJF166" s="72"/>
      <c r="MJG166" s="72"/>
      <c r="MJH166" s="72"/>
      <c r="MJI166" s="72"/>
      <c r="MJJ166" s="72"/>
      <c r="MJK166" s="72"/>
      <c r="MJL166" s="72"/>
      <c r="MJM166" s="72"/>
      <c r="MJN166" s="72"/>
      <c r="MJO166" s="72"/>
      <c r="MJP166" s="72"/>
      <c r="MJQ166" s="72"/>
      <c r="MJR166" s="72"/>
      <c r="MJS166" s="72"/>
      <c r="MJT166" s="72"/>
      <c r="MJU166" s="72"/>
      <c r="MJV166" s="72"/>
      <c r="MJW166" s="72"/>
      <c r="MJX166" s="72"/>
      <c r="MJY166" s="72"/>
      <c r="MJZ166" s="72"/>
      <c r="MKA166" s="72"/>
      <c r="MKB166" s="72"/>
      <c r="MKC166" s="72"/>
      <c r="MKD166" s="72"/>
      <c r="MKE166" s="72"/>
      <c r="MKF166" s="72"/>
      <c r="MKG166" s="72"/>
      <c r="MKH166" s="72"/>
      <c r="MKI166" s="72"/>
      <c r="MKJ166" s="72"/>
      <c r="MKK166" s="72"/>
      <c r="MKL166" s="72"/>
      <c r="MKM166" s="72"/>
      <c r="MKN166" s="72"/>
      <c r="MKO166" s="72"/>
      <c r="MKP166" s="72"/>
      <c r="MKQ166" s="72"/>
      <c r="MKR166" s="72"/>
      <c r="MKS166" s="72"/>
      <c r="MKT166" s="72"/>
      <c r="MKU166" s="72"/>
      <c r="MKV166" s="72"/>
      <c r="MKW166" s="72"/>
      <c r="MKX166" s="72"/>
      <c r="MKY166" s="72"/>
      <c r="MKZ166" s="72"/>
      <c r="MLA166" s="72"/>
      <c r="MLB166" s="72"/>
      <c r="MLC166" s="72"/>
      <c r="MLD166" s="72"/>
      <c r="MLE166" s="72"/>
      <c r="MLF166" s="72"/>
      <c r="MLG166" s="72"/>
      <c r="MLH166" s="72"/>
      <c r="MLI166" s="72"/>
      <c r="MLJ166" s="72"/>
      <c r="MLK166" s="72"/>
      <c r="MLL166" s="72"/>
      <c r="MLM166" s="72"/>
      <c r="MLN166" s="72"/>
      <c r="MLO166" s="72"/>
      <c r="MLP166" s="72"/>
      <c r="MLQ166" s="72"/>
      <c r="MLR166" s="72"/>
      <c r="MLS166" s="72"/>
      <c r="MLT166" s="72"/>
      <c r="MLU166" s="72"/>
      <c r="MLV166" s="72"/>
      <c r="MLW166" s="72"/>
      <c r="MLX166" s="72"/>
      <c r="MLY166" s="72"/>
      <c r="MLZ166" s="72"/>
      <c r="MMA166" s="72"/>
      <c r="MMB166" s="72"/>
      <c r="MMC166" s="72"/>
      <c r="MMD166" s="72"/>
      <c r="MME166" s="72"/>
      <c r="MMF166" s="72"/>
      <c r="MMG166" s="72"/>
      <c r="MMH166" s="72"/>
      <c r="MMI166" s="72"/>
      <c r="MMJ166" s="72"/>
      <c r="MMK166" s="72"/>
      <c r="MML166" s="72"/>
      <c r="MMM166" s="72"/>
      <c r="MMN166" s="72"/>
      <c r="MMO166" s="72"/>
      <c r="MMP166" s="72"/>
      <c r="MMQ166" s="72"/>
      <c r="MMR166" s="72"/>
      <c r="MMS166" s="72"/>
      <c r="MMT166" s="72"/>
      <c r="MMU166" s="72"/>
      <c r="MMV166" s="72"/>
      <c r="MMW166" s="72"/>
      <c r="MMX166" s="72"/>
      <c r="MMY166" s="72"/>
      <c r="MMZ166" s="72"/>
      <c r="MNA166" s="72"/>
      <c r="MNB166" s="72"/>
      <c r="MNC166" s="72"/>
      <c r="MND166" s="72"/>
      <c r="MNE166" s="72"/>
      <c r="MNF166" s="72"/>
      <c r="MNG166" s="72"/>
      <c r="MNH166" s="72"/>
      <c r="MNI166" s="72"/>
      <c r="MNJ166" s="72"/>
      <c r="MNK166" s="72"/>
      <c r="MNL166" s="72"/>
      <c r="MNM166" s="72"/>
      <c r="MNN166" s="72"/>
      <c r="MNO166" s="72"/>
      <c r="MNP166" s="72"/>
      <c r="MNQ166" s="72"/>
      <c r="MNR166" s="72"/>
      <c r="MNS166" s="72"/>
      <c r="MNT166" s="72"/>
      <c r="MNU166" s="72"/>
      <c r="MNV166" s="72"/>
      <c r="MNW166" s="72"/>
      <c r="MNX166" s="72"/>
      <c r="MNY166" s="72"/>
      <c r="MNZ166" s="72"/>
      <c r="MOA166" s="72"/>
      <c r="MOB166" s="72"/>
      <c r="MOC166" s="72"/>
      <c r="MOD166" s="72"/>
      <c r="MOE166" s="72"/>
      <c r="MOF166" s="72"/>
      <c r="MOG166" s="72"/>
      <c r="MOH166" s="72"/>
      <c r="MOI166" s="72"/>
      <c r="MOJ166" s="72"/>
      <c r="MOK166" s="72"/>
      <c r="MOL166" s="72"/>
      <c r="MOM166" s="72"/>
      <c r="MON166" s="72"/>
      <c r="MOO166" s="72"/>
      <c r="MOP166" s="72"/>
      <c r="MOQ166" s="72"/>
      <c r="MOR166" s="72"/>
      <c r="MOS166" s="72"/>
      <c r="MOT166" s="72"/>
      <c r="MOU166" s="72"/>
      <c r="MOV166" s="72"/>
      <c r="MOW166" s="72"/>
      <c r="MOX166" s="72"/>
      <c r="MOY166" s="72"/>
      <c r="MOZ166" s="72"/>
      <c r="MPA166" s="72"/>
      <c r="MPB166" s="72"/>
      <c r="MPC166" s="72"/>
      <c r="MPD166" s="72"/>
      <c r="MPE166" s="72"/>
      <c r="MPF166" s="72"/>
      <c r="MPG166" s="72"/>
      <c r="MPH166" s="72"/>
      <c r="MPI166" s="72"/>
      <c r="MPJ166" s="72"/>
      <c r="MPK166" s="72"/>
      <c r="MPL166" s="72"/>
      <c r="MPM166" s="72"/>
      <c r="MPN166" s="72"/>
      <c r="MPO166" s="72"/>
      <c r="MPP166" s="72"/>
      <c r="MPQ166" s="72"/>
      <c r="MPR166" s="72"/>
      <c r="MPS166" s="72"/>
      <c r="MPT166" s="72"/>
      <c r="MPU166" s="72"/>
      <c r="MPV166" s="72"/>
      <c r="MPW166" s="72"/>
      <c r="MPX166" s="72"/>
      <c r="MPY166" s="72"/>
      <c r="MPZ166" s="72"/>
      <c r="MQA166" s="72"/>
      <c r="MQB166" s="72"/>
      <c r="MQC166" s="72"/>
      <c r="MQD166" s="72"/>
      <c r="MQE166" s="72"/>
      <c r="MQF166" s="72"/>
      <c r="MQG166" s="72"/>
      <c r="MQH166" s="72"/>
      <c r="MQI166" s="72"/>
      <c r="MQJ166" s="72"/>
      <c r="MQK166" s="72"/>
      <c r="MQL166" s="72"/>
      <c r="MQM166" s="72"/>
      <c r="MQN166" s="72"/>
      <c r="MQO166" s="72"/>
      <c r="MQP166" s="72"/>
      <c r="MQQ166" s="72"/>
      <c r="MQR166" s="72"/>
      <c r="MQS166" s="72"/>
      <c r="MQT166" s="72"/>
      <c r="MQU166" s="72"/>
      <c r="MQV166" s="72"/>
      <c r="MQW166" s="72"/>
      <c r="MQX166" s="72"/>
      <c r="MQY166" s="72"/>
      <c r="MQZ166" s="72"/>
      <c r="MRA166" s="72"/>
      <c r="MRB166" s="72"/>
      <c r="MRC166" s="72"/>
      <c r="MRD166" s="72"/>
      <c r="MRE166" s="72"/>
      <c r="MRF166" s="72"/>
      <c r="MRG166" s="72"/>
      <c r="MRH166" s="72"/>
      <c r="MRI166" s="72"/>
      <c r="MRJ166" s="72"/>
      <c r="MRK166" s="72"/>
      <c r="MRL166" s="72"/>
      <c r="MRM166" s="72"/>
      <c r="MRN166" s="72"/>
      <c r="MRO166" s="72"/>
      <c r="MRP166" s="72"/>
      <c r="MRQ166" s="72"/>
      <c r="MRR166" s="72"/>
      <c r="MRS166" s="72"/>
      <c r="MRT166" s="72"/>
      <c r="MRU166" s="72"/>
      <c r="MRV166" s="72"/>
      <c r="MRW166" s="72"/>
      <c r="MRX166" s="72"/>
      <c r="MRY166" s="72"/>
      <c r="MRZ166" s="72"/>
      <c r="MSA166" s="72"/>
      <c r="MSB166" s="72"/>
      <c r="MSC166" s="72"/>
      <c r="MSD166" s="72"/>
      <c r="MSE166" s="72"/>
      <c r="MSF166" s="72"/>
      <c r="MSG166" s="72"/>
      <c r="MSH166" s="72"/>
      <c r="MSI166" s="72"/>
      <c r="MSJ166" s="72"/>
      <c r="MSK166" s="72"/>
      <c r="MSL166" s="72"/>
      <c r="MSM166" s="72"/>
      <c r="MSN166" s="72"/>
      <c r="MSO166" s="72"/>
      <c r="MSP166" s="72"/>
      <c r="MSQ166" s="72"/>
      <c r="MSR166" s="72"/>
      <c r="MSS166" s="72"/>
      <c r="MST166" s="72"/>
      <c r="MSU166" s="72"/>
      <c r="MSV166" s="72"/>
      <c r="MSW166" s="72"/>
      <c r="MSX166" s="72"/>
      <c r="MSY166" s="72"/>
      <c r="MSZ166" s="72"/>
      <c r="MTA166" s="72"/>
      <c r="MTB166" s="72"/>
      <c r="MTC166" s="72"/>
      <c r="MTD166" s="72"/>
      <c r="MTE166" s="72"/>
      <c r="MTF166" s="72"/>
      <c r="MTG166" s="72"/>
      <c r="MTH166" s="72"/>
      <c r="MTI166" s="72"/>
      <c r="MTJ166" s="72"/>
      <c r="MTK166" s="72"/>
      <c r="MTL166" s="72"/>
      <c r="MTM166" s="72"/>
      <c r="MTN166" s="72"/>
      <c r="MTO166" s="72"/>
      <c r="MTP166" s="72"/>
      <c r="MTQ166" s="72"/>
      <c r="MTR166" s="72"/>
      <c r="MTS166" s="72"/>
      <c r="MTT166" s="72"/>
      <c r="MTU166" s="72"/>
      <c r="MTV166" s="72"/>
      <c r="MTW166" s="72"/>
      <c r="MTX166" s="72"/>
      <c r="MTY166" s="72"/>
      <c r="MTZ166" s="72"/>
      <c r="MUA166" s="72"/>
      <c r="MUB166" s="72"/>
      <c r="MUC166" s="72"/>
      <c r="MUD166" s="72"/>
      <c r="MUE166" s="72"/>
      <c r="MUF166" s="72"/>
      <c r="MUG166" s="72"/>
      <c r="MUH166" s="72"/>
      <c r="MUI166" s="72"/>
      <c r="MUJ166" s="72"/>
      <c r="MUK166" s="72"/>
      <c r="MUL166" s="72"/>
      <c r="MUM166" s="72"/>
      <c r="MUN166" s="72"/>
      <c r="MUO166" s="72"/>
      <c r="MUP166" s="72"/>
      <c r="MUQ166" s="72"/>
      <c r="MUR166" s="72"/>
      <c r="MUS166" s="72"/>
      <c r="MUT166" s="72"/>
      <c r="MUU166" s="72"/>
      <c r="MUV166" s="72"/>
      <c r="MUW166" s="72"/>
      <c r="MUX166" s="72"/>
      <c r="MUY166" s="72"/>
      <c r="MUZ166" s="72"/>
      <c r="MVA166" s="72"/>
      <c r="MVB166" s="72"/>
      <c r="MVC166" s="72"/>
      <c r="MVD166" s="72"/>
      <c r="MVE166" s="72"/>
      <c r="MVF166" s="72"/>
      <c r="MVG166" s="72"/>
      <c r="MVH166" s="72"/>
      <c r="MVI166" s="72"/>
      <c r="MVJ166" s="72"/>
      <c r="MVK166" s="72"/>
      <c r="MVL166" s="72"/>
      <c r="MVM166" s="72"/>
      <c r="MVN166" s="72"/>
      <c r="MVO166" s="72"/>
      <c r="MVP166" s="72"/>
      <c r="MVQ166" s="72"/>
      <c r="MVR166" s="72"/>
      <c r="MVS166" s="72"/>
      <c r="MVT166" s="72"/>
      <c r="MVU166" s="72"/>
      <c r="MVV166" s="72"/>
      <c r="MVW166" s="72"/>
      <c r="MVX166" s="72"/>
      <c r="MVY166" s="72"/>
      <c r="MVZ166" s="72"/>
      <c r="MWA166" s="72"/>
      <c r="MWB166" s="72"/>
      <c r="MWC166" s="72"/>
      <c r="MWD166" s="72"/>
      <c r="MWE166" s="72"/>
      <c r="MWF166" s="72"/>
      <c r="MWG166" s="72"/>
      <c r="MWH166" s="72"/>
      <c r="MWI166" s="72"/>
      <c r="MWJ166" s="72"/>
      <c r="MWK166" s="72"/>
      <c r="MWL166" s="72"/>
      <c r="MWM166" s="72"/>
      <c r="MWN166" s="72"/>
      <c r="MWO166" s="72"/>
      <c r="MWP166" s="72"/>
      <c r="MWQ166" s="72"/>
      <c r="MWR166" s="72"/>
      <c r="MWS166" s="72"/>
      <c r="MWT166" s="72"/>
      <c r="MWU166" s="72"/>
      <c r="MWV166" s="72"/>
      <c r="MWW166" s="72"/>
      <c r="MWX166" s="72"/>
      <c r="MWY166" s="72"/>
      <c r="MWZ166" s="72"/>
      <c r="MXA166" s="72"/>
      <c r="MXB166" s="72"/>
      <c r="MXC166" s="72"/>
      <c r="MXD166" s="72"/>
      <c r="MXE166" s="72"/>
      <c r="MXF166" s="72"/>
      <c r="MXG166" s="72"/>
      <c r="MXH166" s="72"/>
      <c r="MXI166" s="72"/>
      <c r="MXJ166" s="72"/>
      <c r="MXK166" s="72"/>
      <c r="MXL166" s="72"/>
      <c r="MXM166" s="72"/>
      <c r="MXN166" s="72"/>
      <c r="MXO166" s="72"/>
      <c r="MXP166" s="72"/>
      <c r="MXQ166" s="72"/>
      <c r="MXR166" s="72"/>
      <c r="MXS166" s="72"/>
      <c r="MXT166" s="72"/>
      <c r="MXU166" s="72"/>
      <c r="MXV166" s="72"/>
      <c r="MXW166" s="72"/>
      <c r="MXX166" s="72"/>
      <c r="MXY166" s="72"/>
      <c r="MXZ166" s="72"/>
      <c r="MYA166" s="72"/>
      <c r="MYB166" s="72"/>
      <c r="MYC166" s="72"/>
      <c r="MYD166" s="72"/>
      <c r="MYE166" s="72"/>
      <c r="MYF166" s="72"/>
      <c r="MYG166" s="72"/>
      <c r="MYH166" s="72"/>
      <c r="MYI166" s="72"/>
      <c r="MYJ166" s="72"/>
      <c r="MYK166" s="72"/>
      <c r="MYL166" s="72"/>
      <c r="MYM166" s="72"/>
      <c r="MYN166" s="72"/>
      <c r="MYO166" s="72"/>
      <c r="MYP166" s="72"/>
      <c r="MYQ166" s="72"/>
      <c r="MYR166" s="72"/>
      <c r="MYS166" s="72"/>
      <c r="MYT166" s="72"/>
      <c r="MYU166" s="72"/>
      <c r="MYV166" s="72"/>
      <c r="MYW166" s="72"/>
      <c r="MYX166" s="72"/>
      <c r="MYY166" s="72"/>
      <c r="MYZ166" s="72"/>
      <c r="MZA166" s="72"/>
      <c r="MZB166" s="72"/>
      <c r="MZC166" s="72"/>
      <c r="MZD166" s="72"/>
      <c r="MZE166" s="72"/>
      <c r="MZF166" s="72"/>
      <c r="MZG166" s="72"/>
      <c r="MZH166" s="72"/>
      <c r="MZI166" s="72"/>
      <c r="MZJ166" s="72"/>
      <c r="MZK166" s="72"/>
      <c r="MZL166" s="72"/>
      <c r="MZM166" s="72"/>
      <c r="MZN166" s="72"/>
      <c r="MZO166" s="72"/>
      <c r="MZP166" s="72"/>
      <c r="MZQ166" s="72"/>
      <c r="MZR166" s="72"/>
      <c r="MZS166" s="72"/>
      <c r="MZT166" s="72"/>
      <c r="MZU166" s="72"/>
      <c r="MZV166" s="72"/>
      <c r="MZW166" s="72"/>
      <c r="MZX166" s="72"/>
      <c r="MZY166" s="72"/>
      <c r="MZZ166" s="72"/>
      <c r="NAA166" s="72"/>
      <c r="NAB166" s="72"/>
      <c r="NAC166" s="72"/>
      <c r="NAD166" s="72"/>
      <c r="NAE166" s="72"/>
      <c r="NAF166" s="72"/>
      <c r="NAG166" s="72"/>
      <c r="NAH166" s="72"/>
      <c r="NAI166" s="72"/>
      <c r="NAJ166" s="72"/>
      <c r="NAK166" s="72"/>
      <c r="NAL166" s="72"/>
      <c r="NAM166" s="72"/>
      <c r="NAN166" s="72"/>
      <c r="NAO166" s="72"/>
      <c r="NAP166" s="72"/>
      <c r="NAQ166" s="72"/>
      <c r="NAR166" s="72"/>
      <c r="NAS166" s="72"/>
      <c r="NAT166" s="72"/>
      <c r="NAU166" s="72"/>
      <c r="NAV166" s="72"/>
      <c r="NAW166" s="72"/>
      <c r="NAX166" s="72"/>
      <c r="NAY166" s="72"/>
      <c r="NAZ166" s="72"/>
      <c r="NBA166" s="72"/>
      <c r="NBB166" s="72"/>
      <c r="NBC166" s="72"/>
      <c r="NBD166" s="72"/>
      <c r="NBE166" s="72"/>
      <c r="NBF166" s="72"/>
      <c r="NBG166" s="72"/>
      <c r="NBH166" s="72"/>
      <c r="NBI166" s="72"/>
      <c r="NBJ166" s="72"/>
      <c r="NBK166" s="72"/>
      <c r="NBL166" s="72"/>
      <c r="NBM166" s="72"/>
      <c r="NBN166" s="72"/>
      <c r="NBO166" s="72"/>
      <c r="NBP166" s="72"/>
      <c r="NBQ166" s="72"/>
      <c r="NBR166" s="72"/>
      <c r="NBS166" s="72"/>
      <c r="NBT166" s="72"/>
      <c r="NBU166" s="72"/>
      <c r="NBV166" s="72"/>
      <c r="NBW166" s="72"/>
      <c r="NBX166" s="72"/>
      <c r="NBY166" s="72"/>
      <c r="NBZ166" s="72"/>
      <c r="NCA166" s="72"/>
      <c r="NCB166" s="72"/>
      <c r="NCC166" s="72"/>
      <c r="NCD166" s="72"/>
      <c r="NCE166" s="72"/>
      <c r="NCF166" s="72"/>
      <c r="NCG166" s="72"/>
      <c r="NCH166" s="72"/>
      <c r="NCI166" s="72"/>
      <c r="NCJ166" s="72"/>
      <c r="NCK166" s="72"/>
      <c r="NCL166" s="72"/>
      <c r="NCM166" s="72"/>
      <c r="NCN166" s="72"/>
      <c r="NCO166" s="72"/>
      <c r="NCP166" s="72"/>
      <c r="NCQ166" s="72"/>
      <c r="NCR166" s="72"/>
      <c r="NCS166" s="72"/>
      <c r="NCT166" s="72"/>
      <c r="NCU166" s="72"/>
      <c r="NCV166" s="72"/>
      <c r="NCW166" s="72"/>
      <c r="NCX166" s="72"/>
      <c r="NCY166" s="72"/>
      <c r="NCZ166" s="72"/>
      <c r="NDA166" s="72"/>
      <c r="NDB166" s="72"/>
      <c r="NDC166" s="72"/>
      <c r="NDD166" s="72"/>
      <c r="NDE166" s="72"/>
      <c r="NDF166" s="72"/>
      <c r="NDG166" s="72"/>
      <c r="NDH166" s="72"/>
      <c r="NDI166" s="72"/>
      <c r="NDJ166" s="72"/>
      <c r="NDK166" s="72"/>
      <c r="NDL166" s="72"/>
      <c r="NDM166" s="72"/>
      <c r="NDN166" s="72"/>
      <c r="NDO166" s="72"/>
      <c r="NDP166" s="72"/>
      <c r="NDQ166" s="72"/>
      <c r="NDR166" s="72"/>
      <c r="NDS166" s="72"/>
      <c r="NDT166" s="72"/>
      <c r="NDU166" s="72"/>
      <c r="NDV166" s="72"/>
      <c r="NDW166" s="72"/>
      <c r="NDX166" s="72"/>
      <c r="NDY166" s="72"/>
      <c r="NDZ166" s="72"/>
      <c r="NEA166" s="72"/>
      <c r="NEB166" s="72"/>
      <c r="NEC166" s="72"/>
      <c r="NED166" s="72"/>
      <c r="NEE166" s="72"/>
      <c r="NEF166" s="72"/>
      <c r="NEG166" s="72"/>
      <c r="NEH166" s="72"/>
      <c r="NEI166" s="72"/>
      <c r="NEJ166" s="72"/>
      <c r="NEK166" s="72"/>
      <c r="NEL166" s="72"/>
      <c r="NEM166" s="72"/>
      <c r="NEN166" s="72"/>
      <c r="NEO166" s="72"/>
      <c r="NEP166" s="72"/>
      <c r="NEQ166" s="72"/>
      <c r="NER166" s="72"/>
      <c r="NES166" s="72"/>
      <c r="NET166" s="72"/>
      <c r="NEU166" s="72"/>
      <c r="NEV166" s="72"/>
      <c r="NEW166" s="72"/>
      <c r="NEX166" s="72"/>
      <c r="NEY166" s="72"/>
      <c r="NEZ166" s="72"/>
      <c r="NFA166" s="72"/>
      <c r="NFB166" s="72"/>
      <c r="NFC166" s="72"/>
      <c r="NFD166" s="72"/>
      <c r="NFE166" s="72"/>
      <c r="NFF166" s="72"/>
      <c r="NFG166" s="72"/>
      <c r="NFH166" s="72"/>
      <c r="NFI166" s="72"/>
      <c r="NFJ166" s="72"/>
      <c r="NFK166" s="72"/>
      <c r="NFL166" s="72"/>
      <c r="NFM166" s="72"/>
      <c r="NFN166" s="72"/>
      <c r="NFO166" s="72"/>
      <c r="NFP166" s="72"/>
      <c r="NFQ166" s="72"/>
      <c r="NFR166" s="72"/>
      <c r="NFS166" s="72"/>
      <c r="NFT166" s="72"/>
      <c r="NFU166" s="72"/>
      <c r="NFV166" s="72"/>
      <c r="NFW166" s="72"/>
      <c r="NFX166" s="72"/>
      <c r="NFY166" s="72"/>
      <c r="NFZ166" s="72"/>
      <c r="NGA166" s="72"/>
      <c r="NGB166" s="72"/>
      <c r="NGC166" s="72"/>
      <c r="NGD166" s="72"/>
      <c r="NGE166" s="72"/>
      <c r="NGF166" s="72"/>
      <c r="NGG166" s="72"/>
      <c r="NGH166" s="72"/>
      <c r="NGI166" s="72"/>
      <c r="NGJ166" s="72"/>
      <c r="NGK166" s="72"/>
      <c r="NGL166" s="72"/>
      <c r="NGM166" s="72"/>
      <c r="NGN166" s="72"/>
      <c r="NGO166" s="72"/>
      <c r="NGP166" s="72"/>
      <c r="NGQ166" s="72"/>
      <c r="NGR166" s="72"/>
      <c r="NGS166" s="72"/>
      <c r="NGT166" s="72"/>
      <c r="NGU166" s="72"/>
      <c r="NGV166" s="72"/>
      <c r="NGW166" s="72"/>
      <c r="NGX166" s="72"/>
      <c r="NGY166" s="72"/>
      <c r="NGZ166" s="72"/>
      <c r="NHA166" s="72"/>
      <c r="NHB166" s="72"/>
      <c r="NHC166" s="72"/>
      <c r="NHD166" s="72"/>
      <c r="NHE166" s="72"/>
      <c r="NHF166" s="72"/>
      <c r="NHG166" s="72"/>
      <c r="NHH166" s="72"/>
      <c r="NHI166" s="72"/>
      <c r="NHJ166" s="72"/>
      <c r="NHK166" s="72"/>
      <c r="NHL166" s="72"/>
      <c r="NHM166" s="72"/>
      <c r="NHN166" s="72"/>
      <c r="NHO166" s="72"/>
      <c r="NHP166" s="72"/>
      <c r="NHQ166" s="72"/>
      <c r="NHR166" s="72"/>
      <c r="NHS166" s="72"/>
      <c r="NHT166" s="72"/>
      <c r="NHU166" s="72"/>
      <c r="NHV166" s="72"/>
      <c r="NHW166" s="72"/>
      <c r="NHX166" s="72"/>
      <c r="NHY166" s="72"/>
      <c r="NHZ166" s="72"/>
      <c r="NIA166" s="72"/>
      <c r="NIB166" s="72"/>
      <c r="NIC166" s="72"/>
      <c r="NID166" s="72"/>
      <c r="NIE166" s="72"/>
      <c r="NIF166" s="72"/>
      <c r="NIG166" s="72"/>
      <c r="NIH166" s="72"/>
      <c r="NII166" s="72"/>
      <c r="NIJ166" s="72"/>
      <c r="NIK166" s="72"/>
      <c r="NIL166" s="72"/>
      <c r="NIM166" s="72"/>
      <c r="NIN166" s="72"/>
      <c r="NIO166" s="72"/>
      <c r="NIP166" s="72"/>
      <c r="NIQ166" s="72"/>
      <c r="NIR166" s="72"/>
      <c r="NIS166" s="72"/>
      <c r="NIT166" s="72"/>
      <c r="NIU166" s="72"/>
      <c r="NIV166" s="72"/>
      <c r="NIW166" s="72"/>
      <c r="NIX166" s="72"/>
      <c r="NIY166" s="72"/>
      <c r="NIZ166" s="72"/>
      <c r="NJA166" s="72"/>
      <c r="NJB166" s="72"/>
      <c r="NJC166" s="72"/>
      <c r="NJD166" s="72"/>
      <c r="NJE166" s="72"/>
      <c r="NJF166" s="72"/>
      <c r="NJG166" s="72"/>
      <c r="NJH166" s="72"/>
      <c r="NJI166" s="72"/>
      <c r="NJJ166" s="72"/>
      <c r="NJK166" s="72"/>
      <c r="NJL166" s="72"/>
      <c r="NJM166" s="72"/>
      <c r="NJN166" s="72"/>
      <c r="NJO166" s="72"/>
      <c r="NJP166" s="72"/>
      <c r="NJQ166" s="72"/>
      <c r="NJR166" s="72"/>
      <c r="NJS166" s="72"/>
      <c r="NJT166" s="72"/>
      <c r="NJU166" s="72"/>
      <c r="NJV166" s="72"/>
      <c r="NJW166" s="72"/>
      <c r="NJX166" s="72"/>
      <c r="NJY166" s="72"/>
      <c r="NJZ166" s="72"/>
      <c r="NKA166" s="72"/>
      <c r="NKB166" s="72"/>
      <c r="NKC166" s="72"/>
      <c r="NKD166" s="72"/>
      <c r="NKE166" s="72"/>
      <c r="NKF166" s="72"/>
      <c r="NKG166" s="72"/>
      <c r="NKH166" s="72"/>
      <c r="NKI166" s="72"/>
      <c r="NKJ166" s="72"/>
      <c r="NKK166" s="72"/>
      <c r="NKL166" s="72"/>
      <c r="NKM166" s="72"/>
      <c r="NKN166" s="72"/>
      <c r="NKO166" s="72"/>
      <c r="NKP166" s="72"/>
      <c r="NKQ166" s="72"/>
      <c r="NKR166" s="72"/>
      <c r="NKS166" s="72"/>
      <c r="NKT166" s="72"/>
      <c r="NKU166" s="72"/>
      <c r="NKV166" s="72"/>
      <c r="NKW166" s="72"/>
      <c r="NKX166" s="72"/>
      <c r="NKY166" s="72"/>
      <c r="NKZ166" s="72"/>
      <c r="NLA166" s="72"/>
      <c r="NLB166" s="72"/>
      <c r="NLC166" s="72"/>
      <c r="NLD166" s="72"/>
      <c r="NLE166" s="72"/>
      <c r="NLF166" s="72"/>
      <c r="NLG166" s="72"/>
      <c r="NLH166" s="72"/>
      <c r="NLI166" s="72"/>
      <c r="NLJ166" s="72"/>
      <c r="NLK166" s="72"/>
      <c r="NLL166" s="72"/>
      <c r="NLM166" s="72"/>
      <c r="NLN166" s="72"/>
      <c r="NLO166" s="72"/>
      <c r="NLP166" s="72"/>
      <c r="NLQ166" s="72"/>
      <c r="NLR166" s="72"/>
      <c r="NLS166" s="72"/>
      <c r="NLT166" s="72"/>
      <c r="NLU166" s="72"/>
      <c r="NLV166" s="72"/>
      <c r="NLW166" s="72"/>
      <c r="NLX166" s="72"/>
      <c r="NLY166" s="72"/>
      <c r="NLZ166" s="72"/>
      <c r="NMA166" s="72"/>
      <c r="NMB166" s="72"/>
      <c r="NMC166" s="72"/>
      <c r="NMD166" s="72"/>
      <c r="NME166" s="72"/>
      <c r="NMF166" s="72"/>
      <c r="NMG166" s="72"/>
      <c r="NMH166" s="72"/>
      <c r="NMI166" s="72"/>
      <c r="NMJ166" s="72"/>
      <c r="NMK166" s="72"/>
      <c r="NML166" s="72"/>
      <c r="NMM166" s="72"/>
      <c r="NMN166" s="72"/>
      <c r="NMO166" s="72"/>
      <c r="NMP166" s="72"/>
      <c r="NMQ166" s="72"/>
      <c r="NMR166" s="72"/>
      <c r="NMS166" s="72"/>
      <c r="NMT166" s="72"/>
      <c r="NMU166" s="72"/>
      <c r="NMV166" s="72"/>
      <c r="NMW166" s="72"/>
      <c r="NMX166" s="72"/>
      <c r="NMY166" s="72"/>
      <c r="NMZ166" s="72"/>
      <c r="NNA166" s="72"/>
      <c r="NNB166" s="72"/>
      <c r="NNC166" s="72"/>
      <c r="NND166" s="72"/>
      <c r="NNE166" s="72"/>
      <c r="NNF166" s="72"/>
      <c r="NNG166" s="72"/>
      <c r="NNH166" s="72"/>
      <c r="NNI166" s="72"/>
      <c r="NNJ166" s="72"/>
      <c r="NNK166" s="72"/>
      <c r="NNL166" s="72"/>
      <c r="NNM166" s="72"/>
      <c r="NNN166" s="72"/>
      <c r="NNO166" s="72"/>
      <c r="NNP166" s="72"/>
      <c r="NNQ166" s="72"/>
      <c r="NNR166" s="72"/>
      <c r="NNS166" s="72"/>
      <c r="NNT166" s="72"/>
      <c r="NNU166" s="72"/>
      <c r="NNV166" s="72"/>
      <c r="NNW166" s="72"/>
      <c r="NNX166" s="72"/>
      <c r="NNY166" s="72"/>
      <c r="NNZ166" s="72"/>
      <c r="NOA166" s="72"/>
      <c r="NOB166" s="72"/>
      <c r="NOC166" s="72"/>
      <c r="NOD166" s="72"/>
      <c r="NOE166" s="72"/>
      <c r="NOF166" s="72"/>
      <c r="NOG166" s="72"/>
      <c r="NOH166" s="72"/>
      <c r="NOI166" s="72"/>
      <c r="NOJ166" s="72"/>
      <c r="NOK166" s="72"/>
      <c r="NOL166" s="72"/>
      <c r="NOM166" s="72"/>
      <c r="NON166" s="72"/>
      <c r="NOO166" s="72"/>
      <c r="NOP166" s="72"/>
      <c r="NOQ166" s="72"/>
      <c r="NOR166" s="72"/>
      <c r="NOS166" s="72"/>
      <c r="NOT166" s="72"/>
      <c r="NOU166" s="72"/>
      <c r="NOV166" s="72"/>
      <c r="NOW166" s="72"/>
      <c r="NOX166" s="72"/>
      <c r="NOY166" s="72"/>
      <c r="NOZ166" s="72"/>
      <c r="NPA166" s="72"/>
      <c r="NPB166" s="72"/>
      <c r="NPC166" s="72"/>
      <c r="NPD166" s="72"/>
      <c r="NPE166" s="72"/>
      <c r="NPF166" s="72"/>
      <c r="NPG166" s="72"/>
      <c r="NPH166" s="72"/>
      <c r="NPI166" s="72"/>
      <c r="NPJ166" s="72"/>
      <c r="NPK166" s="72"/>
      <c r="NPL166" s="72"/>
      <c r="NPM166" s="72"/>
      <c r="NPN166" s="72"/>
      <c r="NPO166" s="72"/>
      <c r="NPP166" s="72"/>
      <c r="NPQ166" s="72"/>
      <c r="NPR166" s="72"/>
      <c r="NPS166" s="72"/>
      <c r="NPT166" s="72"/>
      <c r="NPU166" s="72"/>
      <c r="NPV166" s="72"/>
      <c r="NPW166" s="72"/>
      <c r="NPX166" s="72"/>
      <c r="NPY166" s="72"/>
      <c r="NPZ166" s="72"/>
      <c r="NQA166" s="72"/>
      <c r="NQB166" s="72"/>
      <c r="NQC166" s="72"/>
      <c r="NQD166" s="72"/>
      <c r="NQE166" s="72"/>
      <c r="NQF166" s="72"/>
      <c r="NQG166" s="72"/>
      <c r="NQH166" s="72"/>
      <c r="NQI166" s="72"/>
      <c r="NQJ166" s="72"/>
      <c r="NQK166" s="72"/>
      <c r="NQL166" s="72"/>
      <c r="NQM166" s="72"/>
      <c r="NQN166" s="72"/>
      <c r="NQO166" s="72"/>
      <c r="NQP166" s="72"/>
      <c r="NQQ166" s="72"/>
      <c r="NQR166" s="72"/>
      <c r="NQS166" s="72"/>
      <c r="NQT166" s="72"/>
      <c r="NQU166" s="72"/>
      <c r="NQV166" s="72"/>
      <c r="NQW166" s="72"/>
      <c r="NQX166" s="72"/>
      <c r="NQY166" s="72"/>
      <c r="NQZ166" s="72"/>
      <c r="NRA166" s="72"/>
      <c r="NRB166" s="72"/>
      <c r="NRC166" s="72"/>
      <c r="NRD166" s="72"/>
      <c r="NRE166" s="72"/>
      <c r="NRF166" s="72"/>
      <c r="NRG166" s="72"/>
      <c r="NRH166" s="72"/>
      <c r="NRI166" s="72"/>
      <c r="NRJ166" s="72"/>
      <c r="NRK166" s="72"/>
      <c r="NRL166" s="72"/>
      <c r="NRM166" s="72"/>
      <c r="NRN166" s="72"/>
      <c r="NRO166" s="72"/>
      <c r="NRP166" s="72"/>
      <c r="NRQ166" s="72"/>
      <c r="NRR166" s="72"/>
      <c r="NRS166" s="72"/>
      <c r="NRT166" s="72"/>
      <c r="NRU166" s="72"/>
      <c r="NRV166" s="72"/>
      <c r="NRW166" s="72"/>
      <c r="NRX166" s="72"/>
      <c r="NRY166" s="72"/>
      <c r="NRZ166" s="72"/>
      <c r="NSA166" s="72"/>
      <c r="NSB166" s="72"/>
      <c r="NSC166" s="72"/>
      <c r="NSD166" s="72"/>
      <c r="NSE166" s="72"/>
      <c r="NSF166" s="72"/>
      <c r="NSG166" s="72"/>
      <c r="NSH166" s="72"/>
      <c r="NSI166" s="72"/>
      <c r="NSJ166" s="72"/>
      <c r="NSK166" s="72"/>
      <c r="NSL166" s="72"/>
      <c r="NSM166" s="72"/>
      <c r="NSN166" s="72"/>
      <c r="NSO166" s="72"/>
      <c r="NSP166" s="72"/>
      <c r="NSQ166" s="72"/>
      <c r="NSR166" s="72"/>
      <c r="NSS166" s="72"/>
      <c r="NST166" s="72"/>
      <c r="NSU166" s="72"/>
      <c r="NSV166" s="72"/>
      <c r="NSW166" s="72"/>
      <c r="NSX166" s="72"/>
      <c r="NSY166" s="72"/>
      <c r="NSZ166" s="72"/>
      <c r="NTA166" s="72"/>
      <c r="NTB166" s="72"/>
      <c r="NTC166" s="72"/>
      <c r="NTD166" s="72"/>
      <c r="NTE166" s="72"/>
      <c r="NTF166" s="72"/>
      <c r="NTG166" s="72"/>
      <c r="NTH166" s="72"/>
      <c r="NTI166" s="72"/>
      <c r="NTJ166" s="72"/>
      <c r="NTK166" s="72"/>
      <c r="NTL166" s="72"/>
      <c r="NTM166" s="72"/>
      <c r="NTN166" s="72"/>
      <c r="NTO166" s="72"/>
      <c r="NTP166" s="72"/>
      <c r="NTQ166" s="72"/>
      <c r="NTR166" s="72"/>
      <c r="NTS166" s="72"/>
      <c r="NTT166" s="72"/>
      <c r="NTU166" s="72"/>
      <c r="NTV166" s="72"/>
      <c r="NTW166" s="72"/>
      <c r="NTX166" s="72"/>
      <c r="NTY166" s="72"/>
      <c r="NTZ166" s="72"/>
      <c r="NUA166" s="72"/>
      <c r="NUB166" s="72"/>
      <c r="NUC166" s="72"/>
      <c r="NUD166" s="72"/>
      <c r="NUE166" s="72"/>
      <c r="NUF166" s="72"/>
      <c r="NUG166" s="72"/>
      <c r="NUH166" s="72"/>
      <c r="NUI166" s="72"/>
      <c r="NUJ166" s="72"/>
      <c r="NUK166" s="72"/>
      <c r="NUL166" s="72"/>
      <c r="NUM166" s="72"/>
      <c r="NUN166" s="72"/>
      <c r="NUO166" s="72"/>
      <c r="NUP166" s="72"/>
      <c r="NUQ166" s="72"/>
      <c r="NUR166" s="72"/>
      <c r="NUS166" s="72"/>
      <c r="NUT166" s="72"/>
      <c r="NUU166" s="72"/>
      <c r="NUV166" s="72"/>
      <c r="NUW166" s="72"/>
      <c r="NUX166" s="72"/>
      <c r="NUY166" s="72"/>
      <c r="NUZ166" s="72"/>
      <c r="NVA166" s="72"/>
      <c r="NVB166" s="72"/>
      <c r="NVC166" s="72"/>
      <c r="NVD166" s="72"/>
      <c r="NVE166" s="72"/>
      <c r="NVF166" s="72"/>
      <c r="NVG166" s="72"/>
      <c r="NVH166" s="72"/>
      <c r="NVI166" s="72"/>
      <c r="NVJ166" s="72"/>
      <c r="NVK166" s="72"/>
      <c r="NVL166" s="72"/>
      <c r="NVM166" s="72"/>
      <c r="NVN166" s="72"/>
      <c r="NVO166" s="72"/>
      <c r="NVP166" s="72"/>
      <c r="NVQ166" s="72"/>
      <c r="NVR166" s="72"/>
      <c r="NVS166" s="72"/>
      <c r="NVT166" s="72"/>
      <c r="NVU166" s="72"/>
      <c r="NVV166" s="72"/>
      <c r="NVW166" s="72"/>
      <c r="NVX166" s="72"/>
      <c r="NVY166" s="72"/>
      <c r="NVZ166" s="72"/>
      <c r="NWA166" s="72"/>
      <c r="NWB166" s="72"/>
      <c r="NWC166" s="72"/>
      <c r="NWD166" s="72"/>
      <c r="NWE166" s="72"/>
      <c r="NWF166" s="72"/>
      <c r="NWG166" s="72"/>
      <c r="NWH166" s="72"/>
      <c r="NWI166" s="72"/>
      <c r="NWJ166" s="72"/>
      <c r="NWK166" s="72"/>
      <c r="NWL166" s="72"/>
      <c r="NWM166" s="72"/>
      <c r="NWN166" s="72"/>
      <c r="NWO166" s="72"/>
      <c r="NWP166" s="72"/>
      <c r="NWQ166" s="72"/>
      <c r="NWR166" s="72"/>
      <c r="NWS166" s="72"/>
      <c r="NWT166" s="72"/>
      <c r="NWU166" s="72"/>
      <c r="NWV166" s="72"/>
      <c r="NWW166" s="72"/>
      <c r="NWX166" s="72"/>
      <c r="NWY166" s="72"/>
      <c r="NWZ166" s="72"/>
      <c r="NXA166" s="72"/>
      <c r="NXB166" s="72"/>
      <c r="NXC166" s="72"/>
      <c r="NXD166" s="72"/>
      <c r="NXE166" s="72"/>
      <c r="NXF166" s="72"/>
      <c r="NXG166" s="72"/>
      <c r="NXH166" s="72"/>
      <c r="NXI166" s="72"/>
      <c r="NXJ166" s="72"/>
      <c r="NXK166" s="72"/>
      <c r="NXL166" s="72"/>
      <c r="NXM166" s="72"/>
      <c r="NXN166" s="72"/>
      <c r="NXO166" s="72"/>
      <c r="NXP166" s="72"/>
      <c r="NXQ166" s="72"/>
      <c r="NXR166" s="72"/>
      <c r="NXS166" s="72"/>
      <c r="NXT166" s="72"/>
      <c r="NXU166" s="72"/>
      <c r="NXV166" s="72"/>
      <c r="NXW166" s="72"/>
      <c r="NXX166" s="72"/>
      <c r="NXY166" s="72"/>
      <c r="NXZ166" s="72"/>
      <c r="NYA166" s="72"/>
      <c r="NYB166" s="72"/>
      <c r="NYC166" s="72"/>
      <c r="NYD166" s="72"/>
      <c r="NYE166" s="72"/>
      <c r="NYF166" s="72"/>
      <c r="NYG166" s="72"/>
      <c r="NYH166" s="72"/>
      <c r="NYI166" s="72"/>
      <c r="NYJ166" s="72"/>
      <c r="NYK166" s="72"/>
      <c r="NYL166" s="72"/>
      <c r="NYM166" s="72"/>
      <c r="NYN166" s="72"/>
      <c r="NYO166" s="72"/>
      <c r="NYP166" s="72"/>
      <c r="NYQ166" s="72"/>
      <c r="NYR166" s="72"/>
      <c r="NYS166" s="72"/>
      <c r="NYT166" s="72"/>
      <c r="NYU166" s="72"/>
      <c r="NYV166" s="72"/>
      <c r="NYW166" s="72"/>
      <c r="NYX166" s="72"/>
      <c r="NYY166" s="72"/>
      <c r="NYZ166" s="72"/>
      <c r="NZA166" s="72"/>
      <c r="NZB166" s="72"/>
      <c r="NZC166" s="72"/>
      <c r="NZD166" s="72"/>
      <c r="NZE166" s="72"/>
      <c r="NZF166" s="72"/>
      <c r="NZG166" s="72"/>
      <c r="NZH166" s="72"/>
      <c r="NZI166" s="72"/>
      <c r="NZJ166" s="72"/>
      <c r="NZK166" s="72"/>
      <c r="NZL166" s="72"/>
      <c r="NZM166" s="72"/>
      <c r="NZN166" s="72"/>
      <c r="NZO166" s="72"/>
      <c r="NZP166" s="72"/>
      <c r="NZQ166" s="72"/>
      <c r="NZR166" s="72"/>
      <c r="NZS166" s="72"/>
      <c r="NZT166" s="72"/>
      <c r="NZU166" s="72"/>
      <c r="NZV166" s="72"/>
      <c r="NZW166" s="72"/>
      <c r="NZX166" s="72"/>
      <c r="NZY166" s="72"/>
      <c r="NZZ166" s="72"/>
      <c r="OAA166" s="72"/>
      <c r="OAB166" s="72"/>
      <c r="OAC166" s="72"/>
      <c r="OAD166" s="72"/>
      <c r="OAE166" s="72"/>
      <c r="OAF166" s="72"/>
      <c r="OAG166" s="72"/>
      <c r="OAH166" s="72"/>
      <c r="OAI166" s="72"/>
      <c r="OAJ166" s="72"/>
      <c r="OAK166" s="72"/>
      <c r="OAL166" s="72"/>
      <c r="OAM166" s="72"/>
      <c r="OAN166" s="72"/>
      <c r="OAO166" s="72"/>
      <c r="OAP166" s="72"/>
      <c r="OAQ166" s="72"/>
      <c r="OAR166" s="72"/>
      <c r="OAS166" s="72"/>
      <c r="OAT166" s="72"/>
      <c r="OAU166" s="72"/>
      <c r="OAV166" s="72"/>
      <c r="OAW166" s="72"/>
      <c r="OAX166" s="72"/>
      <c r="OAY166" s="72"/>
      <c r="OAZ166" s="72"/>
      <c r="OBA166" s="72"/>
      <c r="OBB166" s="72"/>
      <c r="OBC166" s="72"/>
      <c r="OBD166" s="72"/>
      <c r="OBE166" s="72"/>
      <c r="OBF166" s="72"/>
      <c r="OBG166" s="72"/>
      <c r="OBH166" s="72"/>
      <c r="OBI166" s="72"/>
      <c r="OBJ166" s="72"/>
      <c r="OBK166" s="72"/>
      <c r="OBL166" s="72"/>
      <c r="OBM166" s="72"/>
      <c r="OBN166" s="72"/>
      <c r="OBO166" s="72"/>
      <c r="OBP166" s="72"/>
      <c r="OBQ166" s="72"/>
      <c r="OBR166" s="72"/>
      <c r="OBS166" s="72"/>
      <c r="OBT166" s="72"/>
      <c r="OBU166" s="72"/>
      <c r="OBV166" s="72"/>
      <c r="OBW166" s="72"/>
      <c r="OBX166" s="72"/>
      <c r="OBY166" s="72"/>
      <c r="OBZ166" s="72"/>
      <c r="OCA166" s="72"/>
      <c r="OCB166" s="72"/>
      <c r="OCC166" s="72"/>
      <c r="OCD166" s="72"/>
      <c r="OCE166" s="72"/>
      <c r="OCF166" s="72"/>
      <c r="OCG166" s="72"/>
      <c r="OCH166" s="72"/>
      <c r="OCI166" s="72"/>
      <c r="OCJ166" s="72"/>
      <c r="OCK166" s="72"/>
      <c r="OCL166" s="72"/>
      <c r="OCM166" s="72"/>
      <c r="OCN166" s="72"/>
      <c r="OCO166" s="72"/>
      <c r="OCP166" s="72"/>
      <c r="OCQ166" s="72"/>
      <c r="OCR166" s="72"/>
      <c r="OCS166" s="72"/>
      <c r="OCT166" s="72"/>
      <c r="OCU166" s="72"/>
      <c r="OCV166" s="72"/>
      <c r="OCW166" s="72"/>
      <c r="OCX166" s="72"/>
      <c r="OCY166" s="72"/>
      <c r="OCZ166" s="72"/>
      <c r="ODA166" s="72"/>
      <c r="ODB166" s="72"/>
      <c r="ODC166" s="72"/>
      <c r="ODD166" s="72"/>
      <c r="ODE166" s="72"/>
      <c r="ODF166" s="72"/>
      <c r="ODG166" s="72"/>
      <c r="ODH166" s="72"/>
      <c r="ODI166" s="72"/>
      <c r="ODJ166" s="72"/>
      <c r="ODK166" s="72"/>
      <c r="ODL166" s="72"/>
      <c r="ODM166" s="72"/>
      <c r="ODN166" s="72"/>
      <c r="ODO166" s="72"/>
      <c r="ODP166" s="72"/>
      <c r="ODQ166" s="72"/>
      <c r="ODR166" s="72"/>
      <c r="ODS166" s="72"/>
      <c r="ODT166" s="72"/>
      <c r="ODU166" s="72"/>
      <c r="ODV166" s="72"/>
      <c r="ODW166" s="72"/>
      <c r="ODX166" s="72"/>
      <c r="ODY166" s="72"/>
      <c r="ODZ166" s="72"/>
      <c r="OEA166" s="72"/>
      <c r="OEB166" s="72"/>
      <c r="OEC166" s="72"/>
      <c r="OED166" s="72"/>
      <c r="OEE166" s="72"/>
      <c r="OEF166" s="72"/>
      <c r="OEG166" s="72"/>
      <c r="OEH166" s="72"/>
      <c r="OEI166" s="72"/>
      <c r="OEJ166" s="72"/>
      <c r="OEK166" s="72"/>
      <c r="OEL166" s="72"/>
      <c r="OEM166" s="72"/>
      <c r="OEN166" s="72"/>
      <c r="OEO166" s="72"/>
      <c r="OEP166" s="72"/>
      <c r="OEQ166" s="72"/>
      <c r="OER166" s="72"/>
      <c r="OES166" s="72"/>
      <c r="OET166" s="72"/>
      <c r="OEU166" s="72"/>
      <c r="OEV166" s="72"/>
      <c r="OEW166" s="72"/>
      <c r="OEX166" s="72"/>
      <c r="OEY166" s="72"/>
      <c r="OEZ166" s="72"/>
      <c r="OFA166" s="72"/>
      <c r="OFB166" s="72"/>
      <c r="OFC166" s="72"/>
      <c r="OFD166" s="72"/>
      <c r="OFE166" s="72"/>
      <c r="OFF166" s="72"/>
      <c r="OFG166" s="72"/>
      <c r="OFH166" s="72"/>
      <c r="OFI166" s="72"/>
      <c r="OFJ166" s="72"/>
      <c r="OFK166" s="72"/>
      <c r="OFL166" s="72"/>
      <c r="OFM166" s="72"/>
      <c r="OFN166" s="72"/>
      <c r="OFO166" s="72"/>
      <c r="OFP166" s="72"/>
      <c r="OFQ166" s="72"/>
      <c r="OFR166" s="72"/>
      <c r="OFS166" s="72"/>
      <c r="OFT166" s="72"/>
      <c r="OFU166" s="72"/>
      <c r="OFV166" s="72"/>
      <c r="OFW166" s="72"/>
      <c r="OFX166" s="72"/>
      <c r="OFY166" s="72"/>
      <c r="OFZ166" s="72"/>
      <c r="OGA166" s="72"/>
      <c r="OGB166" s="72"/>
      <c r="OGC166" s="72"/>
      <c r="OGD166" s="72"/>
      <c r="OGE166" s="72"/>
      <c r="OGF166" s="72"/>
      <c r="OGG166" s="72"/>
      <c r="OGH166" s="72"/>
      <c r="OGI166" s="72"/>
      <c r="OGJ166" s="72"/>
      <c r="OGK166" s="72"/>
      <c r="OGL166" s="72"/>
      <c r="OGM166" s="72"/>
      <c r="OGN166" s="72"/>
      <c r="OGO166" s="72"/>
      <c r="OGP166" s="72"/>
      <c r="OGQ166" s="72"/>
      <c r="OGR166" s="72"/>
      <c r="OGS166" s="72"/>
      <c r="OGT166" s="72"/>
      <c r="OGU166" s="72"/>
      <c r="OGV166" s="72"/>
      <c r="OGW166" s="72"/>
      <c r="OGX166" s="72"/>
      <c r="OGY166" s="72"/>
      <c r="OGZ166" s="72"/>
      <c r="OHA166" s="72"/>
      <c r="OHB166" s="72"/>
      <c r="OHC166" s="72"/>
      <c r="OHD166" s="72"/>
      <c r="OHE166" s="72"/>
      <c r="OHF166" s="72"/>
      <c r="OHG166" s="72"/>
      <c r="OHH166" s="72"/>
      <c r="OHI166" s="72"/>
      <c r="OHJ166" s="72"/>
      <c r="OHK166" s="72"/>
      <c r="OHL166" s="72"/>
      <c r="OHM166" s="72"/>
      <c r="OHN166" s="72"/>
      <c r="OHO166" s="72"/>
      <c r="OHP166" s="72"/>
      <c r="OHQ166" s="72"/>
      <c r="OHR166" s="72"/>
      <c r="OHS166" s="72"/>
      <c r="OHT166" s="72"/>
      <c r="OHU166" s="72"/>
      <c r="OHV166" s="72"/>
      <c r="OHW166" s="72"/>
      <c r="OHX166" s="72"/>
      <c r="OHY166" s="72"/>
      <c r="OHZ166" s="72"/>
      <c r="OIA166" s="72"/>
      <c r="OIB166" s="72"/>
      <c r="OIC166" s="72"/>
      <c r="OID166" s="72"/>
      <c r="OIE166" s="72"/>
      <c r="OIF166" s="72"/>
      <c r="OIG166" s="72"/>
      <c r="OIH166" s="72"/>
      <c r="OII166" s="72"/>
      <c r="OIJ166" s="72"/>
      <c r="OIK166" s="72"/>
      <c r="OIL166" s="72"/>
      <c r="OIM166" s="72"/>
      <c r="OIN166" s="72"/>
      <c r="OIO166" s="72"/>
      <c r="OIP166" s="72"/>
      <c r="OIQ166" s="72"/>
      <c r="OIR166" s="72"/>
      <c r="OIS166" s="72"/>
      <c r="OIT166" s="72"/>
      <c r="OIU166" s="72"/>
      <c r="OIV166" s="72"/>
      <c r="OIW166" s="72"/>
      <c r="OIX166" s="72"/>
      <c r="OIY166" s="72"/>
      <c r="OIZ166" s="72"/>
      <c r="OJA166" s="72"/>
      <c r="OJB166" s="72"/>
      <c r="OJC166" s="72"/>
      <c r="OJD166" s="72"/>
      <c r="OJE166" s="72"/>
      <c r="OJF166" s="72"/>
      <c r="OJG166" s="72"/>
      <c r="OJH166" s="72"/>
      <c r="OJI166" s="72"/>
      <c r="OJJ166" s="72"/>
      <c r="OJK166" s="72"/>
      <c r="OJL166" s="72"/>
      <c r="OJM166" s="72"/>
      <c r="OJN166" s="72"/>
      <c r="OJO166" s="72"/>
      <c r="OJP166" s="72"/>
      <c r="OJQ166" s="72"/>
      <c r="OJR166" s="72"/>
      <c r="OJS166" s="72"/>
      <c r="OJT166" s="72"/>
      <c r="OJU166" s="72"/>
      <c r="OJV166" s="72"/>
      <c r="OJW166" s="72"/>
      <c r="OJX166" s="72"/>
      <c r="OJY166" s="72"/>
      <c r="OJZ166" s="72"/>
      <c r="OKA166" s="72"/>
      <c r="OKB166" s="72"/>
      <c r="OKC166" s="72"/>
      <c r="OKD166" s="72"/>
      <c r="OKE166" s="72"/>
      <c r="OKF166" s="72"/>
      <c r="OKG166" s="72"/>
      <c r="OKH166" s="72"/>
      <c r="OKI166" s="72"/>
      <c r="OKJ166" s="72"/>
      <c r="OKK166" s="72"/>
      <c r="OKL166" s="72"/>
      <c r="OKM166" s="72"/>
      <c r="OKN166" s="72"/>
      <c r="OKO166" s="72"/>
      <c r="OKP166" s="72"/>
      <c r="OKQ166" s="72"/>
      <c r="OKR166" s="72"/>
      <c r="OKS166" s="72"/>
      <c r="OKT166" s="72"/>
      <c r="OKU166" s="72"/>
      <c r="OKV166" s="72"/>
      <c r="OKW166" s="72"/>
      <c r="OKX166" s="72"/>
      <c r="OKY166" s="72"/>
      <c r="OKZ166" s="72"/>
      <c r="OLA166" s="72"/>
      <c r="OLB166" s="72"/>
      <c r="OLC166" s="72"/>
      <c r="OLD166" s="72"/>
      <c r="OLE166" s="72"/>
      <c r="OLF166" s="72"/>
      <c r="OLG166" s="72"/>
      <c r="OLH166" s="72"/>
      <c r="OLI166" s="72"/>
      <c r="OLJ166" s="72"/>
      <c r="OLK166" s="72"/>
      <c r="OLL166" s="72"/>
      <c r="OLM166" s="72"/>
      <c r="OLN166" s="72"/>
      <c r="OLO166" s="72"/>
      <c r="OLP166" s="72"/>
      <c r="OLQ166" s="72"/>
      <c r="OLR166" s="72"/>
      <c r="OLS166" s="72"/>
      <c r="OLT166" s="72"/>
      <c r="OLU166" s="72"/>
      <c r="OLV166" s="72"/>
      <c r="OLW166" s="72"/>
      <c r="OLX166" s="72"/>
      <c r="OLY166" s="72"/>
      <c r="OLZ166" s="72"/>
      <c r="OMA166" s="72"/>
      <c r="OMB166" s="72"/>
      <c r="OMC166" s="72"/>
      <c r="OMD166" s="72"/>
      <c r="OME166" s="72"/>
      <c r="OMF166" s="72"/>
      <c r="OMG166" s="72"/>
      <c r="OMH166" s="72"/>
      <c r="OMI166" s="72"/>
      <c r="OMJ166" s="72"/>
      <c r="OMK166" s="72"/>
      <c r="OML166" s="72"/>
      <c r="OMM166" s="72"/>
      <c r="OMN166" s="72"/>
      <c r="OMO166" s="72"/>
      <c r="OMP166" s="72"/>
      <c r="OMQ166" s="72"/>
      <c r="OMR166" s="72"/>
      <c r="OMS166" s="72"/>
      <c r="OMT166" s="72"/>
      <c r="OMU166" s="72"/>
      <c r="OMV166" s="72"/>
      <c r="OMW166" s="72"/>
      <c r="OMX166" s="72"/>
      <c r="OMY166" s="72"/>
      <c r="OMZ166" s="72"/>
      <c r="ONA166" s="72"/>
      <c r="ONB166" s="72"/>
      <c r="ONC166" s="72"/>
      <c r="OND166" s="72"/>
      <c r="ONE166" s="72"/>
      <c r="ONF166" s="72"/>
      <c r="ONG166" s="72"/>
      <c r="ONH166" s="72"/>
      <c r="ONI166" s="72"/>
      <c r="ONJ166" s="72"/>
      <c r="ONK166" s="72"/>
      <c r="ONL166" s="72"/>
      <c r="ONM166" s="72"/>
      <c r="ONN166" s="72"/>
      <c r="ONO166" s="72"/>
      <c r="ONP166" s="72"/>
      <c r="ONQ166" s="72"/>
      <c r="ONR166" s="72"/>
      <c r="ONS166" s="72"/>
      <c r="ONT166" s="72"/>
      <c r="ONU166" s="72"/>
      <c r="ONV166" s="72"/>
      <c r="ONW166" s="72"/>
      <c r="ONX166" s="72"/>
      <c r="ONY166" s="72"/>
      <c r="ONZ166" s="72"/>
      <c r="OOA166" s="72"/>
      <c r="OOB166" s="72"/>
      <c r="OOC166" s="72"/>
      <c r="OOD166" s="72"/>
      <c r="OOE166" s="72"/>
      <c r="OOF166" s="72"/>
      <c r="OOG166" s="72"/>
      <c r="OOH166" s="72"/>
      <c r="OOI166" s="72"/>
      <c r="OOJ166" s="72"/>
      <c r="OOK166" s="72"/>
      <c r="OOL166" s="72"/>
      <c r="OOM166" s="72"/>
      <c r="OON166" s="72"/>
      <c r="OOO166" s="72"/>
      <c r="OOP166" s="72"/>
      <c r="OOQ166" s="72"/>
      <c r="OOR166" s="72"/>
      <c r="OOS166" s="72"/>
      <c r="OOT166" s="72"/>
      <c r="OOU166" s="72"/>
      <c r="OOV166" s="72"/>
      <c r="OOW166" s="72"/>
      <c r="OOX166" s="72"/>
      <c r="OOY166" s="72"/>
      <c r="OOZ166" s="72"/>
      <c r="OPA166" s="72"/>
      <c r="OPB166" s="72"/>
      <c r="OPC166" s="72"/>
      <c r="OPD166" s="72"/>
      <c r="OPE166" s="72"/>
      <c r="OPF166" s="72"/>
      <c r="OPG166" s="72"/>
      <c r="OPH166" s="72"/>
      <c r="OPI166" s="72"/>
      <c r="OPJ166" s="72"/>
      <c r="OPK166" s="72"/>
      <c r="OPL166" s="72"/>
      <c r="OPM166" s="72"/>
      <c r="OPN166" s="72"/>
      <c r="OPO166" s="72"/>
      <c r="OPP166" s="72"/>
      <c r="OPQ166" s="72"/>
      <c r="OPR166" s="72"/>
      <c r="OPS166" s="72"/>
      <c r="OPT166" s="72"/>
      <c r="OPU166" s="72"/>
      <c r="OPV166" s="72"/>
      <c r="OPW166" s="72"/>
      <c r="OPX166" s="72"/>
      <c r="OPY166" s="72"/>
      <c r="OPZ166" s="72"/>
      <c r="OQA166" s="72"/>
      <c r="OQB166" s="72"/>
      <c r="OQC166" s="72"/>
      <c r="OQD166" s="72"/>
      <c r="OQE166" s="72"/>
      <c r="OQF166" s="72"/>
      <c r="OQG166" s="72"/>
      <c r="OQH166" s="72"/>
      <c r="OQI166" s="72"/>
      <c r="OQJ166" s="72"/>
      <c r="OQK166" s="72"/>
      <c r="OQL166" s="72"/>
      <c r="OQM166" s="72"/>
      <c r="OQN166" s="72"/>
      <c r="OQO166" s="72"/>
      <c r="OQP166" s="72"/>
      <c r="OQQ166" s="72"/>
      <c r="OQR166" s="72"/>
      <c r="OQS166" s="72"/>
      <c r="OQT166" s="72"/>
      <c r="OQU166" s="72"/>
      <c r="OQV166" s="72"/>
      <c r="OQW166" s="72"/>
      <c r="OQX166" s="72"/>
      <c r="OQY166" s="72"/>
      <c r="OQZ166" s="72"/>
      <c r="ORA166" s="72"/>
      <c r="ORB166" s="72"/>
      <c r="ORC166" s="72"/>
      <c r="ORD166" s="72"/>
      <c r="ORE166" s="72"/>
      <c r="ORF166" s="72"/>
      <c r="ORG166" s="72"/>
      <c r="ORH166" s="72"/>
      <c r="ORI166" s="72"/>
      <c r="ORJ166" s="72"/>
      <c r="ORK166" s="72"/>
      <c r="ORL166" s="72"/>
      <c r="ORM166" s="72"/>
      <c r="ORN166" s="72"/>
      <c r="ORO166" s="72"/>
      <c r="ORP166" s="72"/>
      <c r="ORQ166" s="72"/>
      <c r="ORR166" s="72"/>
      <c r="ORS166" s="72"/>
      <c r="ORT166" s="72"/>
      <c r="ORU166" s="72"/>
      <c r="ORV166" s="72"/>
      <c r="ORW166" s="72"/>
      <c r="ORX166" s="72"/>
      <c r="ORY166" s="72"/>
      <c r="ORZ166" s="72"/>
      <c r="OSA166" s="72"/>
      <c r="OSB166" s="72"/>
      <c r="OSC166" s="72"/>
      <c r="OSD166" s="72"/>
      <c r="OSE166" s="72"/>
      <c r="OSF166" s="72"/>
      <c r="OSG166" s="72"/>
      <c r="OSH166" s="72"/>
      <c r="OSI166" s="72"/>
      <c r="OSJ166" s="72"/>
      <c r="OSK166" s="72"/>
      <c r="OSL166" s="72"/>
      <c r="OSM166" s="72"/>
      <c r="OSN166" s="72"/>
      <c r="OSO166" s="72"/>
      <c r="OSP166" s="72"/>
      <c r="OSQ166" s="72"/>
      <c r="OSR166" s="72"/>
      <c r="OSS166" s="72"/>
      <c r="OST166" s="72"/>
      <c r="OSU166" s="72"/>
      <c r="OSV166" s="72"/>
      <c r="OSW166" s="72"/>
      <c r="OSX166" s="72"/>
      <c r="OSY166" s="72"/>
      <c r="OSZ166" s="72"/>
      <c r="OTA166" s="72"/>
      <c r="OTB166" s="72"/>
      <c r="OTC166" s="72"/>
      <c r="OTD166" s="72"/>
      <c r="OTE166" s="72"/>
      <c r="OTF166" s="72"/>
      <c r="OTG166" s="72"/>
      <c r="OTH166" s="72"/>
      <c r="OTI166" s="72"/>
      <c r="OTJ166" s="72"/>
      <c r="OTK166" s="72"/>
      <c r="OTL166" s="72"/>
      <c r="OTM166" s="72"/>
      <c r="OTN166" s="72"/>
      <c r="OTO166" s="72"/>
      <c r="OTP166" s="72"/>
      <c r="OTQ166" s="72"/>
      <c r="OTR166" s="72"/>
      <c r="OTS166" s="72"/>
      <c r="OTT166" s="72"/>
      <c r="OTU166" s="72"/>
      <c r="OTV166" s="72"/>
      <c r="OTW166" s="72"/>
      <c r="OTX166" s="72"/>
      <c r="OTY166" s="72"/>
      <c r="OTZ166" s="72"/>
      <c r="OUA166" s="72"/>
      <c r="OUB166" s="72"/>
      <c r="OUC166" s="72"/>
      <c r="OUD166" s="72"/>
      <c r="OUE166" s="72"/>
      <c r="OUF166" s="72"/>
      <c r="OUG166" s="72"/>
      <c r="OUH166" s="72"/>
      <c r="OUI166" s="72"/>
      <c r="OUJ166" s="72"/>
      <c r="OUK166" s="72"/>
      <c r="OUL166" s="72"/>
      <c r="OUM166" s="72"/>
      <c r="OUN166" s="72"/>
      <c r="OUO166" s="72"/>
      <c r="OUP166" s="72"/>
      <c r="OUQ166" s="72"/>
      <c r="OUR166" s="72"/>
      <c r="OUS166" s="72"/>
      <c r="OUT166" s="72"/>
      <c r="OUU166" s="72"/>
      <c r="OUV166" s="72"/>
      <c r="OUW166" s="72"/>
      <c r="OUX166" s="72"/>
      <c r="OUY166" s="72"/>
      <c r="OUZ166" s="72"/>
      <c r="OVA166" s="72"/>
      <c r="OVB166" s="72"/>
      <c r="OVC166" s="72"/>
      <c r="OVD166" s="72"/>
      <c r="OVE166" s="72"/>
      <c r="OVF166" s="72"/>
      <c r="OVG166" s="72"/>
      <c r="OVH166" s="72"/>
      <c r="OVI166" s="72"/>
      <c r="OVJ166" s="72"/>
      <c r="OVK166" s="72"/>
      <c r="OVL166" s="72"/>
      <c r="OVM166" s="72"/>
      <c r="OVN166" s="72"/>
      <c r="OVO166" s="72"/>
      <c r="OVP166" s="72"/>
      <c r="OVQ166" s="72"/>
      <c r="OVR166" s="72"/>
      <c r="OVS166" s="72"/>
      <c r="OVT166" s="72"/>
      <c r="OVU166" s="72"/>
      <c r="OVV166" s="72"/>
      <c r="OVW166" s="72"/>
      <c r="OVX166" s="72"/>
      <c r="OVY166" s="72"/>
      <c r="OVZ166" s="72"/>
      <c r="OWA166" s="72"/>
      <c r="OWB166" s="72"/>
      <c r="OWC166" s="72"/>
      <c r="OWD166" s="72"/>
      <c r="OWE166" s="72"/>
      <c r="OWF166" s="72"/>
      <c r="OWG166" s="72"/>
      <c r="OWH166" s="72"/>
      <c r="OWI166" s="72"/>
      <c r="OWJ166" s="72"/>
      <c r="OWK166" s="72"/>
      <c r="OWL166" s="72"/>
      <c r="OWM166" s="72"/>
      <c r="OWN166" s="72"/>
      <c r="OWO166" s="72"/>
      <c r="OWP166" s="72"/>
      <c r="OWQ166" s="72"/>
      <c r="OWR166" s="72"/>
      <c r="OWS166" s="72"/>
      <c r="OWT166" s="72"/>
      <c r="OWU166" s="72"/>
      <c r="OWV166" s="72"/>
      <c r="OWW166" s="72"/>
      <c r="OWX166" s="72"/>
      <c r="OWY166" s="72"/>
      <c r="OWZ166" s="72"/>
      <c r="OXA166" s="72"/>
      <c r="OXB166" s="72"/>
      <c r="OXC166" s="72"/>
      <c r="OXD166" s="72"/>
      <c r="OXE166" s="72"/>
      <c r="OXF166" s="72"/>
      <c r="OXG166" s="72"/>
      <c r="OXH166" s="72"/>
      <c r="OXI166" s="72"/>
      <c r="OXJ166" s="72"/>
      <c r="OXK166" s="72"/>
      <c r="OXL166" s="72"/>
      <c r="OXM166" s="72"/>
      <c r="OXN166" s="72"/>
      <c r="OXO166" s="72"/>
      <c r="OXP166" s="72"/>
      <c r="OXQ166" s="72"/>
      <c r="OXR166" s="72"/>
      <c r="OXS166" s="72"/>
      <c r="OXT166" s="72"/>
      <c r="OXU166" s="72"/>
      <c r="OXV166" s="72"/>
      <c r="OXW166" s="72"/>
      <c r="OXX166" s="72"/>
      <c r="OXY166" s="72"/>
      <c r="OXZ166" s="72"/>
      <c r="OYA166" s="72"/>
      <c r="OYB166" s="72"/>
      <c r="OYC166" s="72"/>
      <c r="OYD166" s="72"/>
      <c r="OYE166" s="72"/>
      <c r="OYF166" s="72"/>
      <c r="OYG166" s="72"/>
      <c r="OYH166" s="72"/>
      <c r="OYI166" s="72"/>
      <c r="OYJ166" s="72"/>
      <c r="OYK166" s="72"/>
      <c r="OYL166" s="72"/>
      <c r="OYM166" s="72"/>
      <c r="OYN166" s="72"/>
      <c r="OYO166" s="72"/>
      <c r="OYP166" s="72"/>
      <c r="OYQ166" s="72"/>
      <c r="OYR166" s="72"/>
      <c r="OYS166" s="72"/>
      <c r="OYT166" s="72"/>
      <c r="OYU166" s="72"/>
      <c r="OYV166" s="72"/>
      <c r="OYW166" s="72"/>
      <c r="OYX166" s="72"/>
      <c r="OYY166" s="72"/>
      <c r="OYZ166" s="72"/>
      <c r="OZA166" s="72"/>
      <c r="OZB166" s="72"/>
      <c r="OZC166" s="72"/>
      <c r="OZD166" s="72"/>
      <c r="OZE166" s="72"/>
      <c r="OZF166" s="72"/>
      <c r="OZG166" s="72"/>
      <c r="OZH166" s="72"/>
      <c r="OZI166" s="72"/>
      <c r="OZJ166" s="72"/>
      <c r="OZK166" s="72"/>
      <c r="OZL166" s="72"/>
      <c r="OZM166" s="72"/>
      <c r="OZN166" s="72"/>
      <c r="OZO166" s="72"/>
      <c r="OZP166" s="72"/>
      <c r="OZQ166" s="72"/>
      <c r="OZR166" s="72"/>
      <c r="OZS166" s="72"/>
      <c r="OZT166" s="72"/>
      <c r="OZU166" s="72"/>
      <c r="OZV166" s="72"/>
      <c r="OZW166" s="72"/>
      <c r="OZX166" s="72"/>
      <c r="OZY166" s="72"/>
      <c r="OZZ166" s="72"/>
      <c r="PAA166" s="72"/>
      <c r="PAB166" s="72"/>
      <c r="PAC166" s="72"/>
      <c r="PAD166" s="72"/>
      <c r="PAE166" s="72"/>
      <c r="PAF166" s="72"/>
      <c r="PAG166" s="72"/>
      <c r="PAH166" s="72"/>
      <c r="PAI166" s="72"/>
      <c r="PAJ166" s="72"/>
      <c r="PAK166" s="72"/>
      <c r="PAL166" s="72"/>
      <c r="PAM166" s="72"/>
      <c r="PAN166" s="72"/>
      <c r="PAO166" s="72"/>
      <c r="PAP166" s="72"/>
      <c r="PAQ166" s="72"/>
      <c r="PAR166" s="72"/>
      <c r="PAS166" s="72"/>
      <c r="PAT166" s="72"/>
      <c r="PAU166" s="72"/>
      <c r="PAV166" s="72"/>
      <c r="PAW166" s="72"/>
      <c r="PAX166" s="72"/>
      <c r="PAY166" s="72"/>
      <c r="PAZ166" s="72"/>
      <c r="PBA166" s="72"/>
      <c r="PBB166" s="72"/>
      <c r="PBC166" s="72"/>
      <c r="PBD166" s="72"/>
      <c r="PBE166" s="72"/>
      <c r="PBF166" s="72"/>
      <c r="PBG166" s="72"/>
      <c r="PBH166" s="72"/>
      <c r="PBI166" s="72"/>
      <c r="PBJ166" s="72"/>
      <c r="PBK166" s="72"/>
      <c r="PBL166" s="72"/>
      <c r="PBM166" s="72"/>
      <c r="PBN166" s="72"/>
      <c r="PBO166" s="72"/>
      <c r="PBP166" s="72"/>
      <c r="PBQ166" s="72"/>
      <c r="PBR166" s="72"/>
      <c r="PBS166" s="72"/>
      <c r="PBT166" s="72"/>
      <c r="PBU166" s="72"/>
      <c r="PBV166" s="72"/>
      <c r="PBW166" s="72"/>
      <c r="PBX166" s="72"/>
      <c r="PBY166" s="72"/>
      <c r="PBZ166" s="72"/>
      <c r="PCA166" s="72"/>
      <c r="PCB166" s="72"/>
      <c r="PCC166" s="72"/>
      <c r="PCD166" s="72"/>
      <c r="PCE166" s="72"/>
      <c r="PCF166" s="72"/>
      <c r="PCG166" s="72"/>
      <c r="PCH166" s="72"/>
      <c r="PCI166" s="72"/>
      <c r="PCJ166" s="72"/>
      <c r="PCK166" s="72"/>
      <c r="PCL166" s="72"/>
      <c r="PCM166" s="72"/>
      <c r="PCN166" s="72"/>
      <c r="PCO166" s="72"/>
      <c r="PCP166" s="72"/>
      <c r="PCQ166" s="72"/>
      <c r="PCR166" s="72"/>
      <c r="PCS166" s="72"/>
      <c r="PCT166" s="72"/>
      <c r="PCU166" s="72"/>
      <c r="PCV166" s="72"/>
      <c r="PCW166" s="72"/>
      <c r="PCX166" s="72"/>
      <c r="PCY166" s="72"/>
      <c r="PCZ166" s="72"/>
      <c r="PDA166" s="72"/>
      <c r="PDB166" s="72"/>
      <c r="PDC166" s="72"/>
      <c r="PDD166" s="72"/>
      <c r="PDE166" s="72"/>
      <c r="PDF166" s="72"/>
      <c r="PDG166" s="72"/>
      <c r="PDH166" s="72"/>
      <c r="PDI166" s="72"/>
      <c r="PDJ166" s="72"/>
      <c r="PDK166" s="72"/>
      <c r="PDL166" s="72"/>
      <c r="PDM166" s="72"/>
      <c r="PDN166" s="72"/>
      <c r="PDO166" s="72"/>
      <c r="PDP166" s="72"/>
      <c r="PDQ166" s="72"/>
      <c r="PDR166" s="72"/>
      <c r="PDS166" s="72"/>
      <c r="PDT166" s="72"/>
      <c r="PDU166" s="72"/>
      <c r="PDV166" s="72"/>
      <c r="PDW166" s="72"/>
      <c r="PDX166" s="72"/>
      <c r="PDY166" s="72"/>
      <c r="PDZ166" s="72"/>
      <c r="PEA166" s="72"/>
      <c r="PEB166" s="72"/>
      <c r="PEC166" s="72"/>
      <c r="PED166" s="72"/>
      <c r="PEE166" s="72"/>
      <c r="PEF166" s="72"/>
      <c r="PEG166" s="72"/>
      <c r="PEH166" s="72"/>
      <c r="PEI166" s="72"/>
      <c r="PEJ166" s="72"/>
      <c r="PEK166" s="72"/>
      <c r="PEL166" s="72"/>
      <c r="PEM166" s="72"/>
      <c r="PEN166" s="72"/>
      <c r="PEO166" s="72"/>
      <c r="PEP166" s="72"/>
      <c r="PEQ166" s="72"/>
      <c r="PER166" s="72"/>
      <c r="PES166" s="72"/>
      <c r="PET166" s="72"/>
      <c r="PEU166" s="72"/>
      <c r="PEV166" s="72"/>
      <c r="PEW166" s="72"/>
      <c r="PEX166" s="72"/>
      <c r="PEY166" s="72"/>
      <c r="PEZ166" s="72"/>
      <c r="PFA166" s="72"/>
      <c r="PFB166" s="72"/>
      <c r="PFC166" s="72"/>
      <c r="PFD166" s="72"/>
      <c r="PFE166" s="72"/>
      <c r="PFF166" s="72"/>
      <c r="PFG166" s="72"/>
      <c r="PFH166" s="72"/>
      <c r="PFI166" s="72"/>
      <c r="PFJ166" s="72"/>
      <c r="PFK166" s="72"/>
      <c r="PFL166" s="72"/>
      <c r="PFM166" s="72"/>
      <c r="PFN166" s="72"/>
      <c r="PFO166" s="72"/>
      <c r="PFP166" s="72"/>
      <c r="PFQ166" s="72"/>
      <c r="PFR166" s="72"/>
      <c r="PFS166" s="72"/>
      <c r="PFT166" s="72"/>
      <c r="PFU166" s="72"/>
      <c r="PFV166" s="72"/>
      <c r="PFW166" s="72"/>
      <c r="PFX166" s="72"/>
      <c r="PFY166" s="72"/>
      <c r="PFZ166" s="72"/>
      <c r="PGA166" s="72"/>
      <c r="PGB166" s="72"/>
      <c r="PGC166" s="72"/>
      <c r="PGD166" s="72"/>
      <c r="PGE166" s="72"/>
      <c r="PGF166" s="72"/>
      <c r="PGG166" s="72"/>
      <c r="PGH166" s="72"/>
      <c r="PGI166" s="72"/>
      <c r="PGJ166" s="72"/>
      <c r="PGK166" s="72"/>
      <c r="PGL166" s="72"/>
      <c r="PGM166" s="72"/>
      <c r="PGN166" s="72"/>
      <c r="PGO166" s="72"/>
      <c r="PGP166" s="72"/>
      <c r="PGQ166" s="72"/>
      <c r="PGR166" s="72"/>
      <c r="PGS166" s="72"/>
      <c r="PGT166" s="72"/>
      <c r="PGU166" s="72"/>
      <c r="PGV166" s="72"/>
      <c r="PGW166" s="72"/>
      <c r="PGX166" s="72"/>
      <c r="PGY166" s="72"/>
      <c r="PGZ166" s="72"/>
      <c r="PHA166" s="72"/>
      <c r="PHB166" s="72"/>
      <c r="PHC166" s="72"/>
      <c r="PHD166" s="72"/>
      <c r="PHE166" s="72"/>
      <c r="PHF166" s="72"/>
      <c r="PHG166" s="72"/>
      <c r="PHH166" s="72"/>
      <c r="PHI166" s="72"/>
      <c r="PHJ166" s="72"/>
      <c r="PHK166" s="72"/>
      <c r="PHL166" s="72"/>
      <c r="PHM166" s="72"/>
      <c r="PHN166" s="72"/>
      <c r="PHO166" s="72"/>
      <c r="PHP166" s="72"/>
      <c r="PHQ166" s="72"/>
      <c r="PHR166" s="72"/>
      <c r="PHS166" s="72"/>
      <c r="PHT166" s="72"/>
      <c r="PHU166" s="72"/>
      <c r="PHV166" s="72"/>
      <c r="PHW166" s="72"/>
      <c r="PHX166" s="72"/>
      <c r="PHY166" s="72"/>
      <c r="PHZ166" s="72"/>
      <c r="PIA166" s="72"/>
      <c r="PIB166" s="72"/>
      <c r="PIC166" s="72"/>
      <c r="PID166" s="72"/>
      <c r="PIE166" s="72"/>
      <c r="PIF166" s="72"/>
      <c r="PIG166" s="72"/>
      <c r="PIH166" s="72"/>
      <c r="PII166" s="72"/>
      <c r="PIJ166" s="72"/>
      <c r="PIK166" s="72"/>
      <c r="PIL166" s="72"/>
      <c r="PIM166" s="72"/>
      <c r="PIN166" s="72"/>
      <c r="PIO166" s="72"/>
      <c r="PIP166" s="72"/>
      <c r="PIQ166" s="72"/>
      <c r="PIR166" s="72"/>
      <c r="PIS166" s="72"/>
      <c r="PIT166" s="72"/>
      <c r="PIU166" s="72"/>
      <c r="PIV166" s="72"/>
      <c r="PIW166" s="72"/>
      <c r="PIX166" s="72"/>
      <c r="PIY166" s="72"/>
      <c r="PIZ166" s="72"/>
      <c r="PJA166" s="72"/>
      <c r="PJB166" s="72"/>
      <c r="PJC166" s="72"/>
      <c r="PJD166" s="72"/>
      <c r="PJE166" s="72"/>
      <c r="PJF166" s="72"/>
      <c r="PJG166" s="72"/>
      <c r="PJH166" s="72"/>
      <c r="PJI166" s="72"/>
      <c r="PJJ166" s="72"/>
      <c r="PJK166" s="72"/>
      <c r="PJL166" s="72"/>
      <c r="PJM166" s="72"/>
      <c r="PJN166" s="72"/>
      <c r="PJO166" s="72"/>
      <c r="PJP166" s="72"/>
      <c r="PJQ166" s="72"/>
      <c r="PJR166" s="72"/>
      <c r="PJS166" s="72"/>
      <c r="PJT166" s="72"/>
      <c r="PJU166" s="72"/>
      <c r="PJV166" s="72"/>
      <c r="PJW166" s="72"/>
      <c r="PJX166" s="72"/>
      <c r="PJY166" s="72"/>
      <c r="PJZ166" s="72"/>
      <c r="PKA166" s="72"/>
      <c r="PKB166" s="72"/>
      <c r="PKC166" s="72"/>
      <c r="PKD166" s="72"/>
      <c r="PKE166" s="72"/>
      <c r="PKF166" s="72"/>
      <c r="PKG166" s="72"/>
      <c r="PKH166" s="72"/>
      <c r="PKI166" s="72"/>
      <c r="PKJ166" s="72"/>
      <c r="PKK166" s="72"/>
      <c r="PKL166" s="72"/>
      <c r="PKM166" s="72"/>
      <c r="PKN166" s="72"/>
      <c r="PKO166" s="72"/>
      <c r="PKP166" s="72"/>
      <c r="PKQ166" s="72"/>
      <c r="PKR166" s="72"/>
      <c r="PKS166" s="72"/>
      <c r="PKT166" s="72"/>
      <c r="PKU166" s="72"/>
      <c r="PKV166" s="72"/>
      <c r="PKW166" s="72"/>
      <c r="PKX166" s="72"/>
      <c r="PKY166" s="72"/>
      <c r="PKZ166" s="72"/>
      <c r="PLA166" s="72"/>
      <c r="PLB166" s="72"/>
      <c r="PLC166" s="72"/>
      <c r="PLD166" s="72"/>
      <c r="PLE166" s="72"/>
      <c r="PLF166" s="72"/>
      <c r="PLG166" s="72"/>
      <c r="PLH166" s="72"/>
      <c r="PLI166" s="72"/>
      <c r="PLJ166" s="72"/>
      <c r="PLK166" s="72"/>
      <c r="PLL166" s="72"/>
      <c r="PLM166" s="72"/>
      <c r="PLN166" s="72"/>
      <c r="PLO166" s="72"/>
      <c r="PLP166" s="72"/>
      <c r="PLQ166" s="72"/>
      <c r="PLR166" s="72"/>
      <c r="PLS166" s="72"/>
      <c r="PLT166" s="72"/>
      <c r="PLU166" s="72"/>
      <c r="PLV166" s="72"/>
      <c r="PLW166" s="72"/>
      <c r="PLX166" s="72"/>
      <c r="PLY166" s="72"/>
      <c r="PLZ166" s="72"/>
      <c r="PMA166" s="72"/>
      <c r="PMB166" s="72"/>
      <c r="PMC166" s="72"/>
      <c r="PMD166" s="72"/>
      <c r="PME166" s="72"/>
      <c r="PMF166" s="72"/>
      <c r="PMG166" s="72"/>
      <c r="PMH166" s="72"/>
      <c r="PMI166" s="72"/>
      <c r="PMJ166" s="72"/>
      <c r="PMK166" s="72"/>
      <c r="PML166" s="72"/>
      <c r="PMM166" s="72"/>
      <c r="PMN166" s="72"/>
      <c r="PMO166" s="72"/>
      <c r="PMP166" s="72"/>
      <c r="PMQ166" s="72"/>
      <c r="PMR166" s="72"/>
      <c r="PMS166" s="72"/>
      <c r="PMT166" s="72"/>
      <c r="PMU166" s="72"/>
      <c r="PMV166" s="72"/>
      <c r="PMW166" s="72"/>
      <c r="PMX166" s="72"/>
      <c r="PMY166" s="72"/>
      <c r="PMZ166" s="72"/>
      <c r="PNA166" s="72"/>
      <c r="PNB166" s="72"/>
      <c r="PNC166" s="72"/>
      <c r="PND166" s="72"/>
      <c r="PNE166" s="72"/>
      <c r="PNF166" s="72"/>
      <c r="PNG166" s="72"/>
      <c r="PNH166" s="72"/>
      <c r="PNI166" s="72"/>
      <c r="PNJ166" s="72"/>
      <c r="PNK166" s="72"/>
      <c r="PNL166" s="72"/>
      <c r="PNM166" s="72"/>
      <c r="PNN166" s="72"/>
      <c r="PNO166" s="72"/>
      <c r="PNP166" s="72"/>
      <c r="PNQ166" s="72"/>
      <c r="PNR166" s="72"/>
      <c r="PNS166" s="72"/>
      <c r="PNT166" s="72"/>
      <c r="PNU166" s="72"/>
      <c r="PNV166" s="72"/>
      <c r="PNW166" s="72"/>
      <c r="PNX166" s="72"/>
      <c r="PNY166" s="72"/>
      <c r="PNZ166" s="72"/>
      <c r="POA166" s="72"/>
      <c r="POB166" s="72"/>
      <c r="POC166" s="72"/>
      <c r="POD166" s="72"/>
      <c r="POE166" s="72"/>
      <c r="POF166" s="72"/>
      <c r="POG166" s="72"/>
      <c r="POH166" s="72"/>
      <c r="POI166" s="72"/>
      <c r="POJ166" s="72"/>
      <c r="POK166" s="72"/>
      <c r="POL166" s="72"/>
      <c r="POM166" s="72"/>
      <c r="PON166" s="72"/>
      <c r="POO166" s="72"/>
      <c r="POP166" s="72"/>
      <c r="POQ166" s="72"/>
      <c r="POR166" s="72"/>
      <c r="POS166" s="72"/>
      <c r="POT166" s="72"/>
      <c r="POU166" s="72"/>
      <c r="POV166" s="72"/>
      <c r="POW166" s="72"/>
      <c r="POX166" s="72"/>
      <c r="POY166" s="72"/>
      <c r="POZ166" s="72"/>
      <c r="PPA166" s="72"/>
      <c r="PPB166" s="72"/>
      <c r="PPC166" s="72"/>
      <c r="PPD166" s="72"/>
      <c r="PPE166" s="72"/>
      <c r="PPF166" s="72"/>
      <c r="PPG166" s="72"/>
      <c r="PPH166" s="72"/>
      <c r="PPI166" s="72"/>
      <c r="PPJ166" s="72"/>
      <c r="PPK166" s="72"/>
      <c r="PPL166" s="72"/>
      <c r="PPM166" s="72"/>
      <c r="PPN166" s="72"/>
      <c r="PPO166" s="72"/>
      <c r="PPP166" s="72"/>
      <c r="PPQ166" s="72"/>
      <c r="PPR166" s="72"/>
      <c r="PPS166" s="72"/>
      <c r="PPT166" s="72"/>
      <c r="PPU166" s="72"/>
      <c r="PPV166" s="72"/>
      <c r="PPW166" s="72"/>
      <c r="PPX166" s="72"/>
      <c r="PPY166" s="72"/>
      <c r="PPZ166" s="72"/>
      <c r="PQA166" s="72"/>
      <c r="PQB166" s="72"/>
      <c r="PQC166" s="72"/>
      <c r="PQD166" s="72"/>
      <c r="PQE166" s="72"/>
      <c r="PQF166" s="72"/>
      <c r="PQG166" s="72"/>
      <c r="PQH166" s="72"/>
      <c r="PQI166" s="72"/>
      <c r="PQJ166" s="72"/>
      <c r="PQK166" s="72"/>
      <c r="PQL166" s="72"/>
      <c r="PQM166" s="72"/>
      <c r="PQN166" s="72"/>
      <c r="PQO166" s="72"/>
      <c r="PQP166" s="72"/>
      <c r="PQQ166" s="72"/>
      <c r="PQR166" s="72"/>
      <c r="PQS166" s="72"/>
      <c r="PQT166" s="72"/>
      <c r="PQU166" s="72"/>
      <c r="PQV166" s="72"/>
      <c r="PQW166" s="72"/>
      <c r="PQX166" s="72"/>
      <c r="PQY166" s="72"/>
      <c r="PQZ166" s="72"/>
      <c r="PRA166" s="72"/>
      <c r="PRB166" s="72"/>
      <c r="PRC166" s="72"/>
      <c r="PRD166" s="72"/>
      <c r="PRE166" s="72"/>
      <c r="PRF166" s="72"/>
      <c r="PRG166" s="72"/>
      <c r="PRH166" s="72"/>
      <c r="PRI166" s="72"/>
      <c r="PRJ166" s="72"/>
      <c r="PRK166" s="72"/>
      <c r="PRL166" s="72"/>
      <c r="PRM166" s="72"/>
      <c r="PRN166" s="72"/>
      <c r="PRO166" s="72"/>
      <c r="PRP166" s="72"/>
      <c r="PRQ166" s="72"/>
      <c r="PRR166" s="72"/>
      <c r="PRS166" s="72"/>
      <c r="PRT166" s="72"/>
      <c r="PRU166" s="72"/>
      <c r="PRV166" s="72"/>
      <c r="PRW166" s="72"/>
      <c r="PRX166" s="72"/>
      <c r="PRY166" s="72"/>
      <c r="PRZ166" s="72"/>
      <c r="PSA166" s="72"/>
      <c r="PSB166" s="72"/>
      <c r="PSC166" s="72"/>
      <c r="PSD166" s="72"/>
      <c r="PSE166" s="72"/>
      <c r="PSF166" s="72"/>
      <c r="PSG166" s="72"/>
      <c r="PSH166" s="72"/>
      <c r="PSI166" s="72"/>
      <c r="PSJ166" s="72"/>
      <c r="PSK166" s="72"/>
      <c r="PSL166" s="72"/>
      <c r="PSM166" s="72"/>
      <c r="PSN166" s="72"/>
      <c r="PSO166" s="72"/>
      <c r="PSP166" s="72"/>
      <c r="PSQ166" s="72"/>
      <c r="PSR166" s="72"/>
      <c r="PSS166" s="72"/>
      <c r="PST166" s="72"/>
      <c r="PSU166" s="72"/>
      <c r="PSV166" s="72"/>
      <c r="PSW166" s="72"/>
      <c r="PSX166" s="72"/>
      <c r="PSY166" s="72"/>
      <c r="PSZ166" s="72"/>
      <c r="PTA166" s="72"/>
      <c r="PTB166" s="72"/>
      <c r="PTC166" s="72"/>
      <c r="PTD166" s="72"/>
      <c r="PTE166" s="72"/>
      <c r="PTF166" s="72"/>
      <c r="PTG166" s="72"/>
      <c r="PTH166" s="72"/>
      <c r="PTI166" s="72"/>
      <c r="PTJ166" s="72"/>
      <c r="PTK166" s="72"/>
      <c r="PTL166" s="72"/>
      <c r="PTM166" s="72"/>
      <c r="PTN166" s="72"/>
      <c r="PTO166" s="72"/>
      <c r="PTP166" s="72"/>
      <c r="PTQ166" s="72"/>
      <c r="PTR166" s="72"/>
      <c r="PTS166" s="72"/>
      <c r="PTT166" s="72"/>
      <c r="PTU166" s="72"/>
      <c r="PTV166" s="72"/>
      <c r="PTW166" s="72"/>
      <c r="PTX166" s="72"/>
      <c r="PTY166" s="72"/>
      <c r="PTZ166" s="72"/>
      <c r="PUA166" s="72"/>
      <c r="PUB166" s="72"/>
      <c r="PUC166" s="72"/>
      <c r="PUD166" s="72"/>
      <c r="PUE166" s="72"/>
      <c r="PUF166" s="72"/>
      <c r="PUG166" s="72"/>
      <c r="PUH166" s="72"/>
      <c r="PUI166" s="72"/>
      <c r="PUJ166" s="72"/>
      <c r="PUK166" s="72"/>
      <c r="PUL166" s="72"/>
      <c r="PUM166" s="72"/>
      <c r="PUN166" s="72"/>
      <c r="PUO166" s="72"/>
      <c r="PUP166" s="72"/>
      <c r="PUQ166" s="72"/>
      <c r="PUR166" s="72"/>
      <c r="PUS166" s="72"/>
      <c r="PUT166" s="72"/>
      <c r="PUU166" s="72"/>
      <c r="PUV166" s="72"/>
      <c r="PUW166" s="72"/>
      <c r="PUX166" s="72"/>
      <c r="PUY166" s="72"/>
      <c r="PUZ166" s="72"/>
      <c r="PVA166" s="72"/>
      <c r="PVB166" s="72"/>
      <c r="PVC166" s="72"/>
      <c r="PVD166" s="72"/>
      <c r="PVE166" s="72"/>
      <c r="PVF166" s="72"/>
      <c r="PVG166" s="72"/>
      <c r="PVH166" s="72"/>
      <c r="PVI166" s="72"/>
      <c r="PVJ166" s="72"/>
      <c r="PVK166" s="72"/>
      <c r="PVL166" s="72"/>
      <c r="PVM166" s="72"/>
      <c r="PVN166" s="72"/>
      <c r="PVO166" s="72"/>
      <c r="PVP166" s="72"/>
      <c r="PVQ166" s="72"/>
      <c r="PVR166" s="72"/>
      <c r="PVS166" s="72"/>
      <c r="PVT166" s="72"/>
      <c r="PVU166" s="72"/>
      <c r="PVV166" s="72"/>
      <c r="PVW166" s="72"/>
      <c r="PVX166" s="72"/>
      <c r="PVY166" s="72"/>
      <c r="PVZ166" s="72"/>
      <c r="PWA166" s="72"/>
      <c r="PWB166" s="72"/>
      <c r="PWC166" s="72"/>
      <c r="PWD166" s="72"/>
      <c r="PWE166" s="72"/>
      <c r="PWF166" s="72"/>
      <c r="PWG166" s="72"/>
      <c r="PWH166" s="72"/>
      <c r="PWI166" s="72"/>
      <c r="PWJ166" s="72"/>
      <c r="PWK166" s="72"/>
      <c r="PWL166" s="72"/>
      <c r="PWM166" s="72"/>
      <c r="PWN166" s="72"/>
      <c r="PWO166" s="72"/>
      <c r="PWP166" s="72"/>
      <c r="PWQ166" s="72"/>
      <c r="PWR166" s="72"/>
      <c r="PWS166" s="72"/>
      <c r="PWT166" s="72"/>
      <c r="PWU166" s="72"/>
      <c r="PWV166" s="72"/>
      <c r="PWW166" s="72"/>
      <c r="PWX166" s="72"/>
      <c r="PWY166" s="72"/>
      <c r="PWZ166" s="72"/>
      <c r="PXA166" s="72"/>
      <c r="PXB166" s="72"/>
      <c r="PXC166" s="72"/>
      <c r="PXD166" s="72"/>
      <c r="PXE166" s="72"/>
      <c r="PXF166" s="72"/>
      <c r="PXG166" s="72"/>
      <c r="PXH166" s="72"/>
      <c r="PXI166" s="72"/>
      <c r="PXJ166" s="72"/>
      <c r="PXK166" s="72"/>
      <c r="PXL166" s="72"/>
      <c r="PXM166" s="72"/>
      <c r="PXN166" s="72"/>
      <c r="PXO166" s="72"/>
      <c r="PXP166" s="72"/>
      <c r="PXQ166" s="72"/>
      <c r="PXR166" s="72"/>
      <c r="PXS166" s="72"/>
      <c r="PXT166" s="72"/>
      <c r="PXU166" s="72"/>
      <c r="PXV166" s="72"/>
      <c r="PXW166" s="72"/>
      <c r="PXX166" s="72"/>
      <c r="PXY166" s="72"/>
      <c r="PXZ166" s="72"/>
      <c r="PYA166" s="72"/>
      <c r="PYB166" s="72"/>
      <c r="PYC166" s="72"/>
      <c r="PYD166" s="72"/>
      <c r="PYE166" s="72"/>
      <c r="PYF166" s="72"/>
      <c r="PYG166" s="72"/>
      <c r="PYH166" s="72"/>
      <c r="PYI166" s="72"/>
      <c r="PYJ166" s="72"/>
      <c r="PYK166" s="72"/>
      <c r="PYL166" s="72"/>
      <c r="PYM166" s="72"/>
      <c r="PYN166" s="72"/>
      <c r="PYO166" s="72"/>
      <c r="PYP166" s="72"/>
      <c r="PYQ166" s="72"/>
      <c r="PYR166" s="72"/>
      <c r="PYS166" s="72"/>
      <c r="PYT166" s="72"/>
      <c r="PYU166" s="72"/>
      <c r="PYV166" s="72"/>
      <c r="PYW166" s="72"/>
      <c r="PYX166" s="72"/>
      <c r="PYY166" s="72"/>
      <c r="PYZ166" s="72"/>
      <c r="PZA166" s="72"/>
      <c r="PZB166" s="72"/>
      <c r="PZC166" s="72"/>
      <c r="PZD166" s="72"/>
      <c r="PZE166" s="72"/>
      <c r="PZF166" s="72"/>
      <c r="PZG166" s="72"/>
      <c r="PZH166" s="72"/>
      <c r="PZI166" s="72"/>
      <c r="PZJ166" s="72"/>
      <c r="PZK166" s="72"/>
      <c r="PZL166" s="72"/>
      <c r="PZM166" s="72"/>
      <c r="PZN166" s="72"/>
      <c r="PZO166" s="72"/>
      <c r="PZP166" s="72"/>
      <c r="PZQ166" s="72"/>
      <c r="PZR166" s="72"/>
      <c r="PZS166" s="72"/>
      <c r="PZT166" s="72"/>
      <c r="PZU166" s="72"/>
      <c r="PZV166" s="72"/>
      <c r="PZW166" s="72"/>
      <c r="PZX166" s="72"/>
      <c r="PZY166" s="72"/>
      <c r="PZZ166" s="72"/>
      <c r="QAA166" s="72"/>
      <c r="QAB166" s="72"/>
      <c r="QAC166" s="72"/>
      <c r="QAD166" s="72"/>
      <c r="QAE166" s="72"/>
      <c r="QAF166" s="72"/>
      <c r="QAG166" s="72"/>
      <c r="QAH166" s="72"/>
      <c r="QAI166" s="72"/>
      <c r="QAJ166" s="72"/>
      <c r="QAK166" s="72"/>
      <c r="QAL166" s="72"/>
      <c r="QAM166" s="72"/>
      <c r="QAN166" s="72"/>
      <c r="QAO166" s="72"/>
      <c r="QAP166" s="72"/>
      <c r="QAQ166" s="72"/>
      <c r="QAR166" s="72"/>
      <c r="QAS166" s="72"/>
      <c r="QAT166" s="72"/>
      <c r="QAU166" s="72"/>
      <c r="QAV166" s="72"/>
      <c r="QAW166" s="72"/>
      <c r="QAX166" s="72"/>
      <c r="QAY166" s="72"/>
      <c r="QAZ166" s="72"/>
      <c r="QBA166" s="72"/>
      <c r="QBB166" s="72"/>
      <c r="QBC166" s="72"/>
      <c r="QBD166" s="72"/>
      <c r="QBE166" s="72"/>
      <c r="QBF166" s="72"/>
      <c r="QBG166" s="72"/>
      <c r="QBH166" s="72"/>
      <c r="QBI166" s="72"/>
      <c r="QBJ166" s="72"/>
      <c r="QBK166" s="72"/>
      <c r="QBL166" s="72"/>
      <c r="QBM166" s="72"/>
      <c r="QBN166" s="72"/>
      <c r="QBO166" s="72"/>
      <c r="QBP166" s="72"/>
      <c r="QBQ166" s="72"/>
      <c r="QBR166" s="72"/>
      <c r="QBS166" s="72"/>
      <c r="QBT166" s="72"/>
      <c r="QBU166" s="72"/>
      <c r="QBV166" s="72"/>
      <c r="QBW166" s="72"/>
      <c r="QBX166" s="72"/>
      <c r="QBY166" s="72"/>
      <c r="QBZ166" s="72"/>
      <c r="QCA166" s="72"/>
      <c r="QCB166" s="72"/>
      <c r="QCC166" s="72"/>
      <c r="QCD166" s="72"/>
      <c r="QCE166" s="72"/>
      <c r="QCF166" s="72"/>
      <c r="QCG166" s="72"/>
      <c r="QCH166" s="72"/>
      <c r="QCI166" s="72"/>
      <c r="QCJ166" s="72"/>
      <c r="QCK166" s="72"/>
      <c r="QCL166" s="72"/>
      <c r="QCM166" s="72"/>
      <c r="QCN166" s="72"/>
      <c r="QCO166" s="72"/>
      <c r="QCP166" s="72"/>
      <c r="QCQ166" s="72"/>
      <c r="QCR166" s="72"/>
      <c r="QCS166" s="72"/>
      <c r="QCT166" s="72"/>
      <c r="QCU166" s="72"/>
      <c r="QCV166" s="72"/>
      <c r="QCW166" s="72"/>
      <c r="QCX166" s="72"/>
      <c r="QCY166" s="72"/>
      <c r="QCZ166" s="72"/>
      <c r="QDA166" s="72"/>
      <c r="QDB166" s="72"/>
      <c r="QDC166" s="72"/>
      <c r="QDD166" s="72"/>
      <c r="QDE166" s="72"/>
      <c r="QDF166" s="72"/>
      <c r="QDG166" s="72"/>
      <c r="QDH166" s="72"/>
      <c r="QDI166" s="72"/>
      <c r="QDJ166" s="72"/>
      <c r="QDK166" s="72"/>
      <c r="QDL166" s="72"/>
      <c r="QDM166" s="72"/>
      <c r="QDN166" s="72"/>
      <c r="QDO166" s="72"/>
      <c r="QDP166" s="72"/>
      <c r="QDQ166" s="72"/>
      <c r="QDR166" s="72"/>
      <c r="QDS166" s="72"/>
      <c r="QDT166" s="72"/>
      <c r="QDU166" s="72"/>
      <c r="QDV166" s="72"/>
      <c r="QDW166" s="72"/>
      <c r="QDX166" s="72"/>
      <c r="QDY166" s="72"/>
      <c r="QDZ166" s="72"/>
      <c r="QEA166" s="72"/>
      <c r="QEB166" s="72"/>
      <c r="QEC166" s="72"/>
      <c r="QED166" s="72"/>
      <c r="QEE166" s="72"/>
      <c r="QEF166" s="72"/>
      <c r="QEG166" s="72"/>
      <c r="QEH166" s="72"/>
      <c r="QEI166" s="72"/>
      <c r="QEJ166" s="72"/>
      <c r="QEK166" s="72"/>
      <c r="QEL166" s="72"/>
      <c r="QEM166" s="72"/>
      <c r="QEN166" s="72"/>
      <c r="QEO166" s="72"/>
      <c r="QEP166" s="72"/>
      <c r="QEQ166" s="72"/>
      <c r="QER166" s="72"/>
      <c r="QES166" s="72"/>
      <c r="QET166" s="72"/>
      <c r="QEU166" s="72"/>
      <c r="QEV166" s="72"/>
      <c r="QEW166" s="72"/>
      <c r="QEX166" s="72"/>
      <c r="QEY166" s="72"/>
      <c r="QEZ166" s="72"/>
      <c r="QFA166" s="72"/>
      <c r="QFB166" s="72"/>
      <c r="QFC166" s="72"/>
      <c r="QFD166" s="72"/>
      <c r="QFE166" s="72"/>
      <c r="QFF166" s="72"/>
      <c r="QFG166" s="72"/>
      <c r="QFH166" s="72"/>
      <c r="QFI166" s="72"/>
      <c r="QFJ166" s="72"/>
      <c r="QFK166" s="72"/>
      <c r="QFL166" s="72"/>
      <c r="QFM166" s="72"/>
      <c r="QFN166" s="72"/>
      <c r="QFO166" s="72"/>
      <c r="QFP166" s="72"/>
      <c r="QFQ166" s="72"/>
      <c r="QFR166" s="72"/>
      <c r="QFS166" s="72"/>
      <c r="QFT166" s="72"/>
      <c r="QFU166" s="72"/>
      <c r="QFV166" s="72"/>
      <c r="QFW166" s="72"/>
      <c r="QFX166" s="72"/>
      <c r="QFY166" s="72"/>
      <c r="QFZ166" s="72"/>
      <c r="QGA166" s="72"/>
      <c r="QGB166" s="72"/>
      <c r="QGC166" s="72"/>
      <c r="QGD166" s="72"/>
      <c r="QGE166" s="72"/>
      <c r="QGF166" s="72"/>
      <c r="QGG166" s="72"/>
      <c r="QGH166" s="72"/>
      <c r="QGI166" s="72"/>
      <c r="QGJ166" s="72"/>
      <c r="QGK166" s="72"/>
      <c r="QGL166" s="72"/>
      <c r="QGM166" s="72"/>
      <c r="QGN166" s="72"/>
      <c r="QGO166" s="72"/>
      <c r="QGP166" s="72"/>
      <c r="QGQ166" s="72"/>
      <c r="QGR166" s="72"/>
      <c r="QGS166" s="72"/>
      <c r="QGT166" s="72"/>
      <c r="QGU166" s="72"/>
      <c r="QGV166" s="72"/>
      <c r="QGW166" s="72"/>
      <c r="QGX166" s="72"/>
      <c r="QGY166" s="72"/>
      <c r="QGZ166" s="72"/>
      <c r="QHA166" s="72"/>
      <c r="QHB166" s="72"/>
      <c r="QHC166" s="72"/>
      <c r="QHD166" s="72"/>
      <c r="QHE166" s="72"/>
      <c r="QHF166" s="72"/>
      <c r="QHG166" s="72"/>
      <c r="QHH166" s="72"/>
      <c r="QHI166" s="72"/>
      <c r="QHJ166" s="72"/>
      <c r="QHK166" s="72"/>
      <c r="QHL166" s="72"/>
      <c r="QHM166" s="72"/>
      <c r="QHN166" s="72"/>
      <c r="QHO166" s="72"/>
      <c r="QHP166" s="72"/>
      <c r="QHQ166" s="72"/>
      <c r="QHR166" s="72"/>
      <c r="QHS166" s="72"/>
      <c r="QHT166" s="72"/>
      <c r="QHU166" s="72"/>
      <c r="QHV166" s="72"/>
      <c r="QHW166" s="72"/>
      <c r="QHX166" s="72"/>
      <c r="QHY166" s="72"/>
      <c r="QHZ166" s="72"/>
      <c r="QIA166" s="72"/>
      <c r="QIB166" s="72"/>
      <c r="QIC166" s="72"/>
      <c r="QID166" s="72"/>
      <c r="QIE166" s="72"/>
      <c r="QIF166" s="72"/>
      <c r="QIG166" s="72"/>
      <c r="QIH166" s="72"/>
      <c r="QII166" s="72"/>
      <c r="QIJ166" s="72"/>
      <c r="QIK166" s="72"/>
      <c r="QIL166" s="72"/>
      <c r="QIM166" s="72"/>
      <c r="QIN166" s="72"/>
      <c r="QIO166" s="72"/>
      <c r="QIP166" s="72"/>
      <c r="QIQ166" s="72"/>
      <c r="QIR166" s="72"/>
      <c r="QIS166" s="72"/>
      <c r="QIT166" s="72"/>
      <c r="QIU166" s="72"/>
      <c r="QIV166" s="72"/>
      <c r="QIW166" s="72"/>
      <c r="QIX166" s="72"/>
      <c r="QIY166" s="72"/>
      <c r="QIZ166" s="72"/>
      <c r="QJA166" s="72"/>
      <c r="QJB166" s="72"/>
      <c r="QJC166" s="72"/>
      <c r="QJD166" s="72"/>
      <c r="QJE166" s="72"/>
      <c r="QJF166" s="72"/>
      <c r="QJG166" s="72"/>
      <c r="QJH166" s="72"/>
      <c r="QJI166" s="72"/>
      <c r="QJJ166" s="72"/>
      <c r="QJK166" s="72"/>
      <c r="QJL166" s="72"/>
      <c r="QJM166" s="72"/>
      <c r="QJN166" s="72"/>
      <c r="QJO166" s="72"/>
      <c r="QJP166" s="72"/>
      <c r="QJQ166" s="72"/>
      <c r="QJR166" s="72"/>
      <c r="QJS166" s="72"/>
      <c r="QJT166" s="72"/>
      <c r="QJU166" s="72"/>
      <c r="QJV166" s="72"/>
      <c r="QJW166" s="72"/>
      <c r="QJX166" s="72"/>
      <c r="QJY166" s="72"/>
      <c r="QJZ166" s="72"/>
      <c r="QKA166" s="72"/>
      <c r="QKB166" s="72"/>
      <c r="QKC166" s="72"/>
      <c r="QKD166" s="72"/>
      <c r="QKE166" s="72"/>
      <c r="QKF166" s="72"/>
      <c r="QKG166" s="72"/>
      <c r="QKH166" s="72"/>
      <c r="QKI166" s="72"/>
      <c r="QKJ166" s="72"/>
      <c r="QKK166" s="72"/>
      <c r="QKL166" s="72"/>
      <c r="QKM166" s="72"/>
      <c r="QKN166" s="72"/>
      <c r="QKO166" s="72"/>
      <c r="QKP166" s="72"/>
      <c r="QKQ166" s="72"/>
      <c r="QKR166" s="72"/>
      <c r="QKS166" s="72"/>
      <c r="QKT166" s="72"/>
      <c r="QKU166" s="72"/>
      <c r="QKV166" s="72"/>
      <c r="QKW166" s="72"/>
      <c r="QKX166" s="72"/>
      <c r="QKY166" s="72"/>
      <c r="QKZ166" s="72"/>
      <c r="QLA166" s="72"/>
      <c r="QLB166" s="72"/>
      <c r="QLC166" s="72"/>
      <c r="QLD166" s="72"/>
      <c r="QLE166" s="72"/>
      <c r="QLF166" s="72"/>
      <c r="QLG166" s="72"/>
      <c r="QLH166" s="72"/>
      <c r="QLI166" s="72"/>
      <c r="QLJ166" s="72"/>
      <c r="QLK166" s="72"/>
      <c r="QLL166" s="72"/>
      <c r="QLM166" s="72"/>
      <c r="QLN166" s="72"/>
      <c r="QLO166" s="72"/>
      <c r="QLP166" s="72"/>
      <c r="QLQ166" s="72"/>
      <c r="QLR166" s="72"/>
      <c r="QLS166" s="72"/>
      <c r="QLT166" s="72"/>
      <c r="QLU166" s="72"/>
      <c r="QLV166" s="72"/>
      <c r="QLW166" s="72"/>
      <c r="QLX166" s="72"/>
      <c r="QLY166" s="72"/>
      <c r="QLZ166" s="72"/>
      <c r="QMA166" s="72"/>
      <c r="QMB166" s="72"/>
      <c r="QMC166" s="72"/>
      <c r="QMD166" s="72"/>
      <c r="QME166" s="72"/>
      <c r="QMF166" s="72"/>
      <c r="QMG166" s="72"/>
      <c r="QMH166" s="72"/>
      <c r="QMI166" s="72"/>
      <c r="QMJ166" s="72"/>
      <c r="QMK166" s="72"/>
      <c r="QML166" s="72"/>
      <c r="QMM166" s="72"/>
      <c r="QMN166" s="72"/>
      <c r="QMO166" s="72"/>
      <c r="QMP166" s="72"/>
      <c r="QMQ166" s="72"/>
      <c r="QMR166" s="72"/>
      <c r="QMS166" s="72"/>
      <c r="QMT166" s="72"/>
      <c r="QMU166" s="72"/>
      <c r="QMV166" s="72"/>
      <c r="QMW166" s="72"/>
      <c r="QMX166" s="72"/>
      <c r="QMY166" s="72"/>
      <c r="QMZ166" s="72"/>
      <c r="QNA166" s="72"/>
      <c r="QNB166" s="72"/>
      <c r="QNC166" s="72"/>
      <c r="QND166" s="72"/>
      <c r="QNE166" s="72"/>
      <c r="QNF166" s="72"/>
      <c r="QNG166" s="72"/>
      <c r="QNH166" s="72"/>
      <c r="QNI166" s="72"/>
      <c r="QNJ166" s="72"/>
      <c r="QNK166" s="72"/>
      <c r="QNL166" s="72"/>
      <c r="QNM166" s="72"/>
      <c r="QNN166" s="72"/>
      <c r="QNO166" s="72"/>
      <c r="QNP166" s="72"/>
      <c r="QNQ166" s="72"/>
      <c r="QNR166" s="72"/>
      <c r="QNS166" s="72"/>
      <c r="QNT166" s="72"/>
      <c r="QNU166" s="72"/>
      <c r="QNV166" s="72"/>
      <c r="QNW166" s="72"/>
      <c r="QNX166" s="72"/>
      <c r="QNY166" s="72"/>
      <c r="QNZ166" s="72"/>
      <c r="QOA166" s="72"/>
      <c r="QOB166" s="72"/>
      <c r="QOC166" s="72"/>
      <c r="QOD166" s="72"/>
      <c r="QOE166" s="72"/>
      <c r="QOF166" s="72"/>
      <c r="QOG166" s="72"/>
      <c r="QOH166" s="72"/>
      <c r="QOI166" s="72"/>
      <c r="QOJ166" s="72"/>
      <c r="QOK166" s="72"/>
      <c r="QOL166" s="72"/>
      <c r="QOM166" s="72"/>
      <c r="QON166" s="72"/>
      <c r="QOO166" s="72"/>
      <c r="QOP166" s="72"/>
      <c r="QOQ166" s="72"/>
      <c r="QOR166" s="72"/>
      <c r="QOS166" s="72"/>
      <c r="QOT166" s="72"/>
      <c r="QOU166" s="72"/>
      <c r="QOV166" s="72"/>
      <c r="QOW166" s="72"/>
      <c r="QOX166" s="72"/>
      <c r="QOY166" s="72"/>
      <c r="QOZ166" s="72"/>
      <c r="QPA166" s="72"/>
      <c r="QPB166" s="72"/>
      <c r="QPC166" s="72"/>
      <c r="QPD166" s="72"/>
      <c r="QPE166" s="72"/>
      <c r="QPF166" s="72"/>
      <c r="QPG166" s="72"/>
      <c r="QPH166" s="72"/>
      <c r="QPI166" s="72"/>
      <c r="QPJ166" s="72"/>
      <c r="QPK166" s="72"/>
      <c r="QPL166" s="72"/>
      <c r="QPM166" s="72"/>
      <c r="QPN166" s="72"/>
      <c r="QPO166" s="72"/>
      <c r="QPP166" s="72"/>
      <c r="QPQ166" s="72"/>
      <c r="QPR166" s="72"/>
      <c r="QPS166" s="72"/>
      <c r="QPT166" s="72"/>
      <c r="QPU166" s="72"/>
      <c r="QPV166" s="72"/>
      <c r="QPW166" s="72"/>
      <c r="QPX166" s="72"/>
      <c r="QPY166" s="72"/>
      <c r="QPZ166" s="72"/>
      <c r="QQA166" s="72"/>
      <c r="QQB166" s="72"/>
      <c r="QQC166" s="72"/>
      <c r="QQD166" s="72"/>
      <c r="QQE166" s="72"/>
      <c r="QQF166" s="72"/>
      <c r="QQG166" s="72"/>
      <c r="QQH166" s="72"/>
      <c r="QQI166" s="72"/>
      <c r="QQJ166" s="72"/>
      <c r="QQK166" s="72"/>
      <c r="QQL166" s="72"/>
      <c r="QQM166" s="72"/>
      <c r="QQN166" s="72"/>
      <c r="QQO166" s="72"/>
      <c r="QQP166" s="72"/>
      <c r="QQQ166" s="72"/>
      <c r="QQR166" s="72"/>
      <c r="QQS166" s="72"/>
      <c r="QQT166" s="72"/>
      <c r="QQU166" s="72"/>
      <c r="QQV166" s="72"/>
      <c r="QQW166" s="72"/>
      <c r="QQX166" s="72"/>
      <c r="QQY166" s="72"/>
      <c r="QQZ166" s="72"/>
      <c r="QRA166" s="72"/>
      <c r="QRB166" s="72"/>
      <c r="QRC166" s="72"/>
      <c r="QRD166" s="72"/>
      <c r="QRE166" s="72"/>
      <c r="QRF166" s="72"/>
      <c r="QRG166" s="72"/>
      <c r="QRH166" s="72"/>
      <c r="QRI166" s="72"/>
      <c r="QRJ166" s="72"/>
      <c r="QRK166" s="72"/>
      <c r="QRL166" s="72"/>
      <c r="QRM166" s="72"/>
      <c r="QRN166" s="72"/>
      <c r="QRO166" s="72"/>
      <c r="QRP166" s="72"/>
      <c r="QRQ166" s="72"/>
      <c r="QRR166" s="72"/>
      <c r="QRS166" s="72"/>
      <c r="QRT166" s="72"/>
      <c r="QRU166" s="72"/>
      <c r="QRV166" s="72"/>
      <c r="QRW166" s="72"/>
      <c r="QRX166" s="72"/>
      <c r="QRY166" s="72"/>
      <c r="QRZ166" s="72"/>
      <c r="QSA166" s="72"/>
      <c r="QSB166" s="72"/>
      <c r="QSC166" s="72"/>
      <c r="QSD166" s="72"/>
      <c r="QSE166" s="72"/>
      <c r="QSF166" s="72"/>
      <c r="QSG166" s="72"/>
      <c r="QSH166" s="72"/>
      <c r="QSI166" s="72"/>
      <c r="QSJ166" s="72"/>
      <c r="QSK166" s="72"/>
      <c r="QSL166" s="72"/>
      <c r="QSM166" s="72"/>
      <c r="QSN166" s="72"/>
      <c r="QSO166" s="72"/>
      <c r="QSP166" s="72"/>
      <c r="QSQ166" s="72"/>
      <c r="QSR166" s="72"/>
      <c r="QSS166" s="72"/>
      <c r="QST166" s="72"/>
      <c r="QSU166" s="72"/>
      <c r="QSV166" s="72"/>
      <c r="QSW166" s="72"/>
      <c r="QSX166" s="72"/>
      <c r="QSY166" s="72"/>
      <c r="QSZ166" s="72"/>
      <c r="QTA166" s="72"/>
      <c r="QTB166" s="72"/>
      <c r="QTC166" s="72"/>
      <c r="QTD166" s="72"/>
      <c r="QTE166" s="72"/>
      <c r="QTF166" s="72"/>
      <c r="QTG166" s="72"/>
      <c r="QTH166" s="72"/>
      <c r="QTI166" s="72"/>
      <c r="QTJ166" s="72"/>
      <c r="QTK166" s="72"/>
      <c r="QTL166" s="72"/>
      <c r="QTM166" s="72"/>
      <c r="QTN166" s="72"/>
      <c r="QTO166" s="72"/>
      <c r="QTP166" s="72"/>
      <c r="QTQ166" s="72"/>
      <c r="QTR166" s="72"/>
      <c r="QTS166" s="72"/>
      <c r="QTT166" s="72"/>
      <c r="QTU166" s="72"/>
      <c r="QTV166" s="72"/>
      <c r="QTW166" s="72"/>
      <c r="QTX166" s="72"/>
      <c r="QTY166" s="72"/>
      <c r="QTZ166" s="72"/>
      <c r="QUA166" s="72"/>
      <c r="QUB166" s="72"/>
      <c r="QUC166" s="72"/>
      <c r="QUD166" s="72"/>
      <c r="QUE166" s="72"/>
      <c r="QUF166" s="72"/>
      <c r="QUG166" s="72"/>
      <c r="QUH166" s="72"/>
      <c r="QUI166" s="72"/>
      <c r="QUJ166" s="72"/>
      <c r="QUK166" s="72"/>
      <c r="QUL166" s="72"/>
      <c r="QUM166" s="72"/>
      <c r="QUN166" s="72"/>
      <c r="QUO166" s="72"/>
      <c r="QUP166" s="72"/>
      <c r="QUQ166" s="72"/>
      <c r="QUR166" s="72"/>
      <c r="QUS166" s="72"/>
      <c r="QUT166" s="72"/>
      <c r="QUU166" s="72"/>
      <c r="QUV166" s="72"/>
      <c r="QUW166" s="72"/>
      <c r="QUX166" s="72"/>
      <c r="QUY166" s="72"/>
      <c r="QUZ166" s="72"/>
      <c r="QVA166" s="72"/>
      <c r="QVB166" s="72"/>
      <c r="QVC166" s="72"/>
      <c r="QVD166" s="72"/>
      <c r="QVE166" s="72"/>
      <c r="QVF166" s="72"/>
      <c r="QVG166" s="72"/>
      <c r="QVH166" s="72"/>
      <c r="QVI166" s="72"/>
      <c r="QVJ166" s="72"/>
      <c r="QVK166" s="72"/>
      <c r="QVL166" s="72"/>
      <c r="QVM166" s="72"/>
      <c r="QVN166" s="72"/>
      <c r="QVO166" s="72"/>
      <c r="QVP166" s="72"/>
      <c r="QVQ166" s="72"/>
      <c r="QVR166" s="72"/>
      <c r="QVS166" s="72"/>
      <c r="QVT166" s="72"/>
      <c r="QVU166" s="72"/>
      <c r="QVV166" s="72"/>
      <c r="QVW166" s="72"/>
      <c r="QVX166" s="72"/>
      <c r="QVY166" s="72"/>
      <c r="QVZ166" s="72"/>
      <c r="QWA166" s="72"/>
      <c r="QWB166" s="72"/>
      <c r="QWC166" s="72"/>
      <c r="QWD166" s="72"/>
      <c r="QWE166" s="72"/>
      <c r="QWF166" s="72"/>
      <c r="QWG166" s="72"/>
      <c r="QWH166" s="72"/>
      <c r="QWI166" s="72"/>
      <c r="QWJ166" s="72"/>
      <c r="QWK166" s="72"/>
      <c r="QWL166" s="72"/>
      <c r="QWM166" s="72"/>
      <c r="QWN166" s="72"/>
      <c r="QWO166" s="72"/>
      <c r="QWP166" s="72"/>
      <c r="QWQ166" s="72"/>
      <c r="QWR166" s="72"/>
      <c r="QWS166" s="72"/>
      <c r="QWT166" s="72"/>
      <c r="QWU166" s="72"/>
      <c r="QWV166" s="72"/>
      <c r="QWW166" s="72"/>
      <c r="QWX166" s="72"/>
      <c r="QWY166" s="72"/>
      <c r="QWZ166" s="72"/>
      <c r="QXA166" s="72"/>
      <c r="QXB166" s="72"/>
      <c r="QXC166" s="72"/>
      <c r="QXD166" s="72"/>
      <c r="QXE166" s="72"/>
      <c r="QXF166" s="72"/>
      <c r="QXG166" s="72"/>
      <c r="QXH166" s="72"/>
      <c r="QXI166" s="72"/>
      <c r="QXJ166" s="72"/>
      <c r="QXK166" s="72"/>
      <c r="QXL166" s="72"/>
      <c r="QXM166" s="72"/>
      <c r="QXN166" s="72"/>
      <c r="QXO166" s="72"/>
      <c r="QXP166" s="72"/>
      <c r="QXQ166" s="72"/>
      <c r="QXR166" s="72"/>
      <c r="QXS166" s="72"/>
      <c r="QXT166" s="72"/>
      <c r="QXU166" s="72"/>
      <c r="QXV166" s="72"/>
      <c r="QXW166" s="72"/>
      <c r="QXX166" s="72"/>
      <c r="QXY166" s="72"/>
      <c r="QXZ166" s="72"/>
      <c r="QYA166" s="72"/>
      <c r="QYB166" s="72"/>
      <c r="QYC166" s="72"/>
      <c r="QYD166" s="72"/>
      <c r="QYE166" s="72"/>
      <c r="QYF166" s="72"/>
      <c r="QYG166" s="72"/>
      <c r="QYH166" s="72"/>
      <c r="QYI166" s="72"/>
      <c r="QYJ166" s="72"/>
      <c r="QYK166" s="72"/>
      <c r="QYL166" s="72"/>
      <c r="QYM166" s="72"/>
      <c r="QYN166" s="72"/>
      <c r="QYO166" s="72"/>
      <c r="QYP166" s="72"/>
      <c r="QYQ166" s="72"/>
      <c r="QYR166" s="72"/>
      <c r="QYS166" s="72"/>
      <c r="QYT166" s="72"/>
      <c r="QYU166" s="72"/>
      <c r="QYV166" s="72"/>
      <c r="QYW166" s="72"/>
      <c r="QYX166" s="72"/>
      <c r="QYY166" s="72"/>
      <c r="QYZ166" s="72"/>
      <c r="QZA166" s="72"/>
      <c r="QZB166" s="72"/>
      <c r="QZC166" s="72"/>
      <c r="QZD166" s="72"/>
      <c r="QZE166" s="72"/>
      <c r="QZF166" s="72"/>
      <c r="QZG166" s="72"/>
      <c r="QZH166" s="72"/>
      <c r="QZI166" s="72"/>
      <c r="QZJ166" s="72"/>
      <c r="QZK166" s="72"/>
      <c r="QZL166" s="72"/>
      <c r="QZM166" s="72"/>
      <c r="QZN166" s="72"/>
      <c r="QZO166" s="72"/>
      <c r="QZP166" s="72"/>
      <c r="QZQ166" s="72"/>
      <c r="QZR166" s="72"/>
      <c r="QZS166" s="72"/>
      <c r="QZT166" s="72"/>
      <c r="QZU166" s="72"/>
      <c r="QZV166" s="72"/>
      <c r="QZW166" s="72"/>
      <c r="QZX166" s="72"/>
      <c r="QZY166" s="72"/>
      <c r="QZZ166" s="72"/>
      <c r="RAA166" s="72"/>
      <c r="RAB166" s="72"/>
      <c r="RAC166" s="72"/>
      <c r="RAD166" s="72"/>
      <c r="RAE166" s="72"/>
      <c r="RAF166" s="72"/>
      <c r="RAG166" s="72"/>
      <c r="RAH166" s="72"/>
      <c r="RAI166" s="72"/>
      <c r="RAJ166" s="72"/>
      <c r="RAK166" s="72"/>
      <c r="RAL166" s="72"/>
      <c r="RAM166" s="72"/>
      <c r="RAN166" s="72"/>
      <c r="RAO166" s="72"/>
      <c r="RAP166" s="72"/>
      <c r="RAQ166" s="72"/>
      <c r="RAR166" s="72"/>
      <c r="RAS166" s="72"/>
      <c r="RAT166" s="72"/>
      <c r="RAU166" s="72"/>
      <c r="RAV166" s="72"/>
      <c r="RAW166" s="72"/>
      <c r="RAX166" s="72"/>
      <c r="RAY166" s="72"/>
      <c r="RAZ166" s="72"/>
      <c r="RBA166" s="72"/>
      <c r="RBB166" s="72"/>
      <c r="RBC166" s="72"/>
      <c r="RBD166" s="72"/>
      <c r="RBE166" s="72"/>
      <c r="RBF166" s="72"/>
      <c r="RBG166" s="72"/>
      <c r="RBH166" s="72"/>
      <c r="RBI166" s="72"/>
      <c r="RBJ166" s="72"/>
      <c r="RBK166" s="72"/>
      <c r="RBL166" s="72"/>
      <c r="RBM166" s="72"/>
      <c r="RBN166" s="72"/>
      <c r="RBO166" s="72"/>
      <c r="RBP166" s="72"/>
      <c r="RBQ166" s="72"/>
      <c r="RBR166" s="72"/>
      <c r="RBS166" s="72"/>
      <c r="RBT166" s="72"/>
      <c r="RBU166" s="72"/>
      <c r="RBV166" s="72"/>
      <c r="RBW166" s="72"/>
      <c r="RBX166" s="72"/>
      <c r="RBY166" s="72"/>
      <c r="RBZ166" s="72"/>
      <c r="RCA166" s="72"/>
      <c r="RCB166" s="72"/>
      <c r="RCC166" s="72"/>
      <c r="RCD166" s="72"/>
      <c r="RCE166" s="72"/>
      <c r="RCF166" s="72"/>
      <c r="RCG166" s="72"/>
      <c r="RCH166" s="72"/>
      <c r="RCI166" s="72"/>
      <c r="RCJ166" s="72"/>
      <c r="RCK166" s="72"/>
      <c r="RCL166" s="72"/>
      <c r="RCM166" s="72"/>
      <c r="RCN166" s="72"/>
      <c r="RCO166" s="72"/>
      <c r="RCP166" s="72"/>
      <c r="RCQ166" s="72"/>
      <c r="RCR166" s="72"/>
      <c r="RCS166" s="72"/>
      <c r="RCT166" s="72"/>
      <c r="RCU166" s="72"/>
      <c r="RCV166" s="72"/>
      <c r="RCW166" s="72"/>
      <c r="RCX166" s="72"/>
      <c r="RCY166" s="72"/>
      <c r="RCZ166" s="72"/>
      <c r="RDA166" s="72"/>
      <c r="RDB166" s="72"/>
      <c r="RDC166" s="72"/>
      <c r="RDD166" s="72"/>
      <c r="RDE166" s="72"/>
      <c r="RDF166" s="72"/>
      <c r="RDG166" s="72"/>
      <c r="RDH166" s="72"/>
      <c r="RDI166" s="72"/>
      <c r="RDJ166" s="72"/>
      <c r="RDK166" s="72"/>
      <c r="RDL166" s="72"/>
      <c r="RDM166" s="72"/>
      <c r="RDN166" s="72"/>
      <c r="RDO166" s="72"/>
      <c r="RDP166" s="72"/>
      <c r="RDQ166" s="72"/>
      <c r="RDR166" s="72"/>
      <c r="RDS166" s="72"/>
      <c r="RDT166" s="72"/>
      <c r="RDU166" s="72"/>
      <c r="RDV166" s="72"/>
      <c r="RDW166" s="72"/>
      <c r="RDX166" s="72"/>
      <c r="RDY166" s="72"/>
      <c r="RDZ166" s="72"/>
      <c r="REA166" s="72"/>
      <c r="REB166" s="72"/>
      <c r="REC166" s="72"/>
      <c r="RED166" s="72"/>
      <c r="REE166" s="72"/>
      <c r="REF166" s="72"/>
      <c r="REG166" s="72"/>
      <c r="REH166" s="72"/>
      <c r="REI166" s="72"/>
      <c r="REJ166" s="72"/>
      <c r="REK166" s="72"/>
      <c r="REL166" s="72"/>
      <c r="REM166" s="72"/>
      <c r="REN166" s="72"/>
      <c r="REO166" s="72"/>
      <c r="REP166" s="72"/>
      <c r="REQ166" s="72"/>
      <c r="RER166" s="72"/>
      <c r="RES166" s="72"/>
      <c r="RET166" s="72"/>
      <c r="REU166" s="72"/>
      <c r="REV166" s="72"/>
      <c r="REW166" s="72"/>
      <c r="REX166" s="72"/>
      <c r="REY166" s="72"/>
      <c r="REZ166" s="72"/>
      <c r="RFA166" s="72"/>
      <c r="RFB166" s="72"/>
      <c r="RFC166" s="72"/>
      <c r="RFD166" s="72"/>
      <c r="RFE166" s="72"/>
      <c r="RFF166" s="72"/>
      <c r="RFG166" s="72"/>
      <c r="RFH166" s="72"/>
      <c r="RFI166" s="72"/>
      <c r="RFJ166" s="72"/>
      <c r="RFK166" s="72"/>
      <c r="RFL166" s="72"/>
      <c r="RFM166" s="72"/>
      <c r="RFN166" s="72"/>
      <c r="RFO166" s="72"/>
      <c r="RFP166" s="72"/>
      <c r="RFQ166" s="72"/>
      <c r="RFR166" s="72"/>
      <c r="RFS166" s="72"/>
      <c r="RFT166" s="72"/>
      <c r="RFU166" s="72"/>
      <c r="RFV166" s="72"/>
      <c r="RFW166" s="72"/>
      <c r="RFX166" s="72"/>
      <c r="RFY166" s="72"/>
      <c r="RFZ166" s="72"/>
      <c r="RGA166" s="72"/>
      <c r="RGB166" s="72"/>
      <c r="RGC166" s="72"/>
      <c r="RGD166" s="72"/>
      <c r="RGE166" s="72"/>
      <c r="RGF166" s="72"/>
      <c r="RGG166" s="72"/>
      <c r="RGH166" s="72"/>
      <c r="RGI166" s="72"/>
      <c r="RGJ166" s="72"/>
      <c r="RGK166" s="72"/>
      <c r="RGL166" s="72"/>
      <c r="RGM166" s="72"/>
      <c r="RGN166" s="72"/>
      <c r="RGO166" s="72"/>
      <c r="RGP166" s="72"/>
      <c r="RGQ166" s="72"/>
      <c r="RGR166" s="72"/>
      <c r="RGS166" s="72"/>
      <c r="RGT166" s="72"/>
      <c r="RGU166" s="72"/>
      <c r="RGV166" s="72"/>
      <c r="RGW166" s="72"/>
      <c r="RGX166" s="72"/>
      <c r="RGY166" s="72"/>
      <c r="RGZ166" s="72"/>
      <c r="RHA166" s="72"/>
      <c r="RHB166" s="72"/>
      <c r="RHC166" s="72"/>
      <c r="RHD166" s="72"/>
      <c r="RHE166" s="72"/>
      <c r="RHF166" s="72"/>
      <c r="RHG166" s="72"/>
      <c r="RHH166" s="72"/>
      <c r="RHI166" s="72"/>
      <c r="RHJ166" s="72"/>
      <c r="RHK166" s="72"/>
      <c r="RHL166" s="72"/>
      <c r="RHM166" s="72"/>
      <c r="RHN166" s="72"/>
      <c r="RHO166" s="72"/>
      <c r="RHP166" s="72"/>
      <c r="RHQ166" s="72"/>
      <c r="RHR166" s="72"/>
      <c r="RHS166" s="72"/>
      <c r="RHT166" s="72"/>
      <c r="RHU166" s="72"/>
      <c r="RHV166" s="72"/>
      <c r="RHW166" s="72"/>
      <c r="RHX166" s="72"/>
      <c r="RHY166" s="72"/>
      <c r="RHZ166" s="72"/>
      <c r="RIA166" s="72"/>
      <c r="RIB166" s="72"/>
      <c r="RIC166" s="72"/>
      <c r="RID166" s="72"/>
      <c r="RIE166" s="72"/>
      <c r="RIF166" s="72"/>
      <c r="RIG166" s="72"/>
      <c r="RIH166" s="72"/>
      <c r="RII166" s="72"/>
      <c r="RIJ166" s="72"/>
      <c r="RIK166" s="72"/>
      <c r="RIL166" s="72"/>
      <c r="RIM166" s="72"/>
      <c r="RIN166" s="72"/>
      <c r="RIO166" s="72"/>
      <c r="RIP166" s="72"/>
      <c r="RIQ166" s="72"/>
      <c r="RIR166" s="72"/>
      <c r="RIS166" s="72"/>
      <c r="RIT166" s="72"/>
      <c r="RIU166" s="72"/>
      <c r="RIV166" s="72"/>
      <c r="RIW166" s="72"/>
      <c r="RIX166" s="72"/>
      <c r="RIY166" s="72"/>
      <c r="RIZ166" s="72"/>
      <c r="RJA166" s="72"/>
      <c r="RJB166" s="72"/>
      <c r="RJC166" s="72"/>
      <c r="RJD166" s="72"/>
      <c r="RJE166" s="72"/>
      <c r="RJF166" s="72"/>
      <c r="RJG166" s="72"/>
      <c r="RJH166" s="72"/>
      <c r="RJI166" s="72"/>
      <c r="RJJ166" s="72"/>
      <c r="RJK166" s="72"/>
      <c r="RJL166" s="72"/>
      <c r="RJM166" s="72"/>
      <c r="RJN166" s="72"/>
      <c r="RJO166" s="72"/>
      <c r="RJP166" s="72"/>
      <c r="RJQ166" s="72"/>
      <c r="RJR166" s="72"/>
      <c r="RJS166" s="72"/>
      <c r="RJT166" s="72"/>
      <c r="RJU166" s="72"/>
      <c r="RJV166" s="72"/>
      <c r="RJW166" s="72"/>
      <c r="RJX166" s="72"/>
      <c r="RJY166" s="72"/>
      <c r="RJZ166" s="72"/>
      <c r="RKA166" s="72"/>
      <c r="RKB166" s="72"/>
      <c r="RKC166" s="72"/>
      <c r="RKD166" s="72"/>
      <c r="RKE166" s="72"/>
      <c r="RKF166" s="72"/>
      <c r="RKG166" s="72"/>
      <c r="RKH166" s="72"/>
      <c r="RKI166" s="72"/>
      <c r="RKJ166" s="72"/>
      <c r="RKK166" s="72"/>
      <c r="RKL166" s="72"/>
      <c r="RKM166" s="72"/>
      <c r="RKN166" s="72"/>
      <c r="RKO166" s="72"/>
      <c r="RKP166" s="72"/>
      <c r="RKQ166" s="72"/>
      <c r="RKR166" s="72"/>
      <c r="RKS166" s="72"/>
      <c r="RKT166" s="72"/>
      <c r="RKU166" s="72"/>
      <c r="RKV166" s="72"/>
      <c r="RKW166" s="72"/>
      <c r="RKX166" s="72"/>
      <c r="RKY166" s="72"/>
      <c r="RKZ166" s="72"/>
      <c r="RLA166" s="72"/>
      <c r="RLB166" s="72"/>
      <c r="RLC166" s="72"/>
      <c r="RLD166" s="72"/>
      <c r="RLE166" s="72"/>
      <c r="RLF166" s="72"/>
      <c r="RLG166" s="72"/>
      <c r="RLH166" s="72"/>
      <c r="RLI166" s="72"/>
      <c r="RLJ166" s="72"/>
      <c r="RLK166" s="72"/>
      <c r="RLL166" s="72"/>
      <c r="RLM166" s="72"/>
      <c r="RLN166" s="72"/>
      <c r="RLO166" s="72"/>
      <c r="RLP166" s="72"/>
      <c r="RLQ166" s="72"/>
      <c r="RLR166" s="72"/>
      <c r="RLS166" s="72"/>
      <c r="RLT166" s="72"/>
      <c r="RLU166" s="72"/>
      <c r="RLV166" s="72"/>
      <c r="RLW166" s="72"/>
      <c r="RLX166" s="72"/>
      <c r="RLY166" s="72"/>
      <c r="RLZ166" s="72"/>
      <c r="RMA166" s="72"/>
      <c r="RMB166" s="72"/>
      <c r="RMC166" s="72"/>
      <c r="RMD166" s="72"/>
      <c r="RME166" s="72"/>
      <c r="RMF166" s="72"/>
      <c r="RMG166" s="72"/>
      <c r="RMH166" s="72"/>
      <c r="RMI166" s="72"/>
      <c r="RMJ166" s="72"/>
      <c r="RMK166" s="72"/>
      <c r="RML166" s="72"/>
      <c r="RMM166" s="72"/>
      <c r="RMN166" s="72"/>
      <c r="RMO166" s="72"/>
      <c r="RMP166" s="72"/>
      <c r="RMQ166" s="72"/>
      <c r="RMR166" s="72"/>
      <c r="RMS166" s="72"/>
      <c r="RMT166" s="72"/>
      <c r="RMU166" s="72"/>
      <c r="RMV166" s="72"/>
      <c r="RMW166" s="72"/>
      <c r="RMX166" s="72"/>
      <c r="RMY166" s="72"/>
      <c r="RMZ166" s="72"/>
      <c r="RNA166" s="72"/>
      <c r="RNB166" s="72"/>
      <c r="RNC166" s="72"/>
      <c r="RND166" s="72"/>
      <c r="RNE166" s="72"/>
      <c r="RNF166" s="72"/>
      <c r="RNG166" s="72"/>
      <c r="RNH166" s="72"/>
      <c r="RNI166" s="72"/>
      <c r="RNJ166" s="72"/>
      <c r="RNK166" s="72"/>
      <c r="RNL166" s="72"/>
      <c r="RNM166" s="72"/>
      <c r="RNN166" s="72"/>
      <c r="RNO166" s="72"/>
      <c r="RNP166" s="72"/>
      <c r="RNQ166" s="72"/>
      <c r="RNR166" s="72"/>
      <c r="RNS166" s="72"/>
      <c r="RNT166" s="72"/>
      <c r="RNU166" s="72"/>
      <c r="RNV166" s="72"/>
      <c r="RNW166" s="72"/>
      <c r="RNX166" s="72"/>
      <c r="RNY166" s="72"/>
      <c r="RNZ166" s="72"/>
      <c r="ROA166" s="72"/>
      <c r="ROB166" s="72"/>
      <c r="ROC166" s="72"/>
      <c r="ROD166" s="72"/>
      <c r="ROE166" s="72"/>
      <c r="ROF166" s="72"/>
      <c r="ROG166" s="72"/>
      <c r="ROH166" s="72"/>
      <c r="ROI166" s="72"/>
      <c r="ROJ166" s="72"/>
      <c r="ROK166" s="72"/>
      <c r="ROL166" s="72"/>
      <c r="ROM166" s="72"/>
      <c r="RON166" s="72"/>
      <c r="ROO166" s="72"/>
      <c r="ROP166" s="72"/>
      <c r="ROQ166" s="72"/>
      <c r="ROR166" s="72"/>
      <c r="ROS166" s="72"/>
      <c r="ROT166" s="72"/>
      <c r="ROU166" s="72"/>
      <c r="ROV166" s="72"/>
      <c r="ROW166" s="72"/>
      <c r="ROX166" s="72"/>
      <c r="ROY166" s="72"/>
      <c r="ROZ166" s="72"/>
      <c r="RPA166" s="72"/>
      <c r="RPB166" s="72"/>
      <c r="RPC166" s="72"/>
      <c r="RPD166" s="72"/>
      <c r="RPE166" s="72"/>
      <c r="RPF166" s="72"/>
      <c r="RPG166" s="72"/>
      <c r="RPH166" s="72"/>
      <c r="RPI166" s="72"/>
      <c r="RPJ166" s="72"/>
      <c r="RPK166" s="72"/>
      <c r="RPL166" s="72"/>
      <c r="RPM166" s="72"/>
      <c r="RPN166" s="72"/>
      <c r="RPO166" s="72"/>
      <c r="RPP166" s="72"/>
      <c r="RPQ166" s="72"/>
      <c r="RPR166" s="72"/>
      <c r="RPS166" s="72"/>
      <c r="RPT166" s="72"/>
      <c r="RPU166" s="72"/>
      <c r="RPV166" s="72"/>
      <c r="RPW166" s="72"/>
      <c r="RPX166" s="72"/>
      <c r="RPY166" s="72"/>
      <c r="RPZ166" s="72"/>
      <c r="RQA166" s="72"/>
      <c r="RQB166" s="72"/>
      <c r="RQC166" s="72"/>
      <c r="RQD166" s="72"/>
      <c r="RQE166" s="72"/>
      <c r="RQF166" s="72"/>
      <c r="RQG166" s="72"/>
      <c r="RQH166" s="72"/>
      <c r="RQI166" s="72"/>
      <c r="RQJ166" s="72"/>
      <c r="RQK166" s="72"/>
      <c r="RQL166" s="72"/>
      <c r="RQM166" s="72"/>
      <c r="RQN166" s="72"/>
      <c r="RQO166" s="72"/>
      <c r="RQP166" s="72"/>
      <c r="RQQ166" s="72"/>
      <c r="RQR166" s="72"/>
      <c r="RQS166" s="72"/>
      <c r="RQT166" s="72"/>
      <c r="RQU166" s="72"/>
      <c r="RQV166" s="72"/>
      <c r="RQW166" s="72"/>
      <c r="RQX166" s="72"/>
      <c r="RQY166" s="72"/>
      <c r="RQZ166" s="72"/>
      <c r="RRA166" s="72"/>
      <c r="RRB166" s="72"/>
      <c r="RRC166" s="72"/>
      <c r="RRD166" s="72"/>
      <c r="RRE166" s="72"/>
      <c r="RRF166" s="72"/>
      <c r="RRG166" s="72"/>
      <c r="RRH166" s="72"/>
      <c r="RRI166" s="72"/>
      <c r="RRJ166" s="72"/>
      <c r="RRK166" s="72"/>
      <c r="RRL166" s="72"/>
      <c r="RRM166" s="72"/>
      <c r="RRN166" s="72"/>
      <c r="RRO166" s="72"/>
      <c r="RRP166" s="72"/>
      <c r="RRQ166" s="72"/>
      <c r="RRR166" s="72"/>
      <c r="RRS166" s="72"/>
      <c r="RRT166" s="72"/>
      <c r="RRU166" s="72"/>
      <c r="RRV166" s="72"/>
      <c r="RRW166" s="72"/>
      <c r="RRX166" s="72"/>
      <c r="RRY166" s="72"/>
      <c r="RRZ166" s="72"/>
      <c r="RSA166" s="72"/>
      <c r="RSB166" s="72"/>
      <c r="RSC166" s="72"/>
      <c r="RSD166" s="72"/>
      <c r="RSE166" s="72"/>
      <c r="RSF166" s="72"/>
      <c r="RSG166" s="72"/>
      <c r="RSH166" s="72"/>
      <c r="RSI166" s="72"/>
      <c r="RSJ166" s="72"/>
      <c r="RSK166" s="72"/>
      <c r="RSL166" s="72"/>
      <c r="RSM166" s="72"/>
      <c r="RSN166" s="72"/>
      <c r="RSO166" s="72"/>
      <c r="RSP166" s="72"/>
      <c r="RSQ166" s="72"/>
      <c r="RSR166" s="72"/>
      <c r="RSS166" s="72"/>
      <c r="RST166" s="72"/>
      <c r="RSU166" s="72"/>
      <c r="RSV166" s="72"/>
      <c r="RSW166" s="72"/>
      <c r="RSX166" s="72"/>
      <c r="RSY166" s="72"/>
      <c r="RSZ166" s="72"/>
      <c r="RTA166" s="72"/>
      <c r="RTB166" s="72"/>
      <c r="RTC166" s="72"/>
      <c r="RTD166" s="72"/>
      <c r="RTE166" s="72"/>
      <c r="RTF166" s="72"/>
      <c r="RTG166" s="72"/>
      <c r="RTH166" s="72"/>
      <c r="RTI166" s="72"/>
      <c r="RTJ166" s="72"/>
      <c r="RTK166" s="72"/>
      <c r="RTL166" s="72"/>
      <c r="RTM166" s="72"/>
      <c r="RTN166" s="72"/>
      <c r="RTO166" s="72"/>
      <c r="RTP166" s="72"/>
      <c r="RTQ166" s="72"/>
      <c r="RTR166" s="72"/>
      <c r="RTS166" s="72"/>
      <c r="RTT166" s="72"/>
      <c r="RTU166" s="72"/>
      <c r="RTV166" s="72"/>
      <c r="RTW166" s="72"/>
      <c r="RTX166" s="72"/>
      <c r="RTY166" s="72"/>
      <c r="RTZ166" s="72"/>
      <c r="RUA166" s="72"/>
      <c r="RUB166" s="72"/>
      <c r="RUC166" s="72"/>
      <c r="RUD166" s="72"/>
      <c r="RUE166" s="72"/>
      <c r="RUF166" s="72"/>
      <c r="RUG166" s="72"/>
      <c r="RUH166" s="72"/>
      <c r="RUI166" s="72"/>
      <c r="RUJ166" s="72"/>
      <c r="RUK166" s="72"/>
      <c r="RUL166" s="72"/>
      <c r="RUM166" s="72"/>
      <c r="RUN166" s="72"/>
      <c r="RUO166" s="72"/>
      <c r="RUP166" s="72"/>
      <c r="RUQ166" s="72"/>
      <c r="RUR166" s="72"/>
      <c r="RUS166" s="72"/>
      <c r="RUT166" s="72"/>
      <c r="RUU166" s="72"/>
      <c r="RUV166" s="72"/>
      <c r="RUW166" s="72"/>
      <c r="RUX166" s="72"/>
      <c r="RUY166" s="72"/>
      <c r="RUZ166" s="72"/>
      <c r="RVA166" s="72"/>
      <c r="RVB166" s="72"/>
      <c r="RVC166" s="72"/>
      <c r="RVD166" s="72"/>
      <c r="RVE166" s="72"/>
      <c r="RVF166" s="72"/>
      <c r="RVG166" s="72"/>
      <c r="RVH166" s="72"/>
      <c r="RVI166" s="72"/>
      <c r="RVJ166" s="72"/>
      <c r="RVK166" s="72"/>
      <c r="RVL166" s="72"/>
      <c r="RVM166" s="72"/>
      <c r="RVN166" s="72"/>
      <c r="RVO166" s="72"/>
      <c r="RVP166" s="72"/>
      <c r="RVQ166" s="72"/>
      <c r="RVR166" s="72"/>
      <c r="RVS166" s="72"/>
      <c r="RVT166" s="72"/>
      <c r="RVU166" s="72"/>
      <c r="RVV166" s="72"/>
      <c r="RVW166" s="72"/>
      <c r="RVX166" s="72"/>
      <c r="RVY166" s="72"/>
      <c r="RVZ166" s="72"/>
      <c r="RWA166" s="72"/>
      <c r="RWB166" s="72"/>
      <c r="RWC166" s="72"/>
      <c r="RWD166" s="72"/>
      <c r="RWE166" s="72"/>
      <c r="RWF166" s="72"/>
      <c r="RWG166" s="72"/>
      <c r="RWH166" s="72"/>
      <c r="RWI166" s="72"/>
      <c r="RWJ166" s="72"/>
      <c r="RWK166" s="72"/>
      <c r="RWL166" s="72"/>
      <c r="RWM166" s="72"/>
      <c r="RWN166" s="72"/>
      <c r="RWO166" s="72"/>
      <c r="RWP166" s="72"/>
      <c r="RWQ166" s="72"/>
      <c r="RWR166" s="72"/>
      <c r="RWS166" s="72"/>
      <c r="RWT166" s="72"/>
      <c r="RWU166" s="72"/>
      <c r="RWV166" s="72"/>
      <c r="RWW166" s="72"/>
      <c r="RWX166" s="72"/>
      <c r="RWY166" s="72"/>
      <c r="RWZ166" s="72"/>
      <c r="RXA166" s="72"/>
      <c r="RXB166" s="72"/>
      <c r="RXC166" s="72"/>
      <c r="RXD166" s="72"/>
      <c r="RXE166" s="72"/>
      <c r="RXF166" s="72"/>
      <c r="RXG166" s="72"/>
      <c r="RXH166" s="72"/>
      <c r="RXI166" s="72"/>
      <c r="RXJ166" s="72"/>
      <c r="RXK166" s="72"/>
      <c r="RXL166" s="72"/>
      <c r="RXM166" s="72"/>
      <c r="RXN166" s="72"/>
      <c r="RXO166" s="72"/>
      <c r="RXP166" s="72"/>
      <c r="RXQ166" s="72"/>
      <c r="RXR166" s="72"/>
      <c r="RXS166" s="72"/>
      <c r="RXT166" s="72"/>
      <c r="RXU166" s="72"/>
      <c r="RXV166" s="72"/>
      <c r="RXW166" s="72"/>
      <c r="RXX166" s="72"/>
      <c r="RXY166" s="72"/>
      <c r="RXZ166" s="72"/>
      <c r="RYA166" s="72"/>
      <c r="RYB166" s="72"/>
      <c r="RYC166" s="72"/>
      <c r="RYD166" s="72"/>
      <c r="RYE166" s="72"/>
      <c r="RYF166" s="72"/>
      <c r="RYG166" s="72"/>
      <c r="RYH166" s="72"/>
      <c r="RYI166" s="72"/>
      <c r="RYJ166" s="72"/>
      <c r="RYK166" s="72"/>
      <c r="RYL166" s="72"/>
      <c r="RYM166" s="72"/>
      <c r="RYN166" s="72"/>
      <c r="RYO166" s="72"/>
      <c r="RYP166" s="72"/>
      <c r="RYQ166" s="72"/>
      <c r="RYR166" s="72"/>
      <c r="RYS166" s="72"/>
      <c r="RYT166" s="72"/>
      <c r="RYU166" s="72"/>
      <c r="RYV166" s="72"/>
      <c r="RYW166" s="72"/>
      <c r="RYX166" s="72"/>
      <c r="RYY166" s="72"/>
      <c r="RYZ166" s="72"/>
      <c r="RZA166" s="72"/>
      <c r="RZB166" s="72"/>
      <c r="RZC166" s="72"/>
      <c r="RZD166" s="72"/>
      <c r="RZE166" s="72"/>
      <c r="RZF166" s="72"/>
      <c r="RZG166" s="72"/>
      <c r="RZH166" s="72"/>
      <c r="RZI166" s="72"/>
      <c r="RZJ166" s="72"/>
      <c r="RZK166" s="72"/>
      <c r="RZL166" s="72"/>
      <c r="RZM166" s="72"/>
      <c r="RZN166" s="72"/>
      <c r="RZO166" s="72"/>
      <c r="RZP166" s="72"/>
      <c r="RZQ166" s="72"/>
      <c r="RZR166" s="72"/>
      <c r="RZS166" s="72"/>
      <c r="RZT166" s="72"/>
      <c r="RZU166" s="72"/>
      <c r="RZV166" s="72"/>
      <c r="RZW166" s="72"/>
      <c r="RZX166" s="72"/>
      <c r="RZY166" s="72"/>
      <c r="RZZ166" s="72"/>
      <c r="SAA166" s="72"/>
      <c r="SAB166" s="72"/>
      <c r="SAC166" s="72"/>
      <c r="SAD166" s="72"/>
      <c r="SAE166" s="72"/>
      <c r="SAF166" s="72"/>
      <c r="SAG166" s="72"/>
      <c r="SAH166" s="72"/>
      <c r="SAI166" s="72"/>
      <c r="SAJ166" s="72"/>
      <c r="SAK166" s="72"/>
      <c r="SAL166" s="72"/>
      <c r="SAM166" s="72"/>
      <c r="SAN166" s="72"/>
      <c r="SAO166" s="72"/>
      <c r="SAP166" s="72"/>
      <c r="SAQ166" s="72"/>
      <c r="SAR166" s="72"/>
      <c r="SAS166" s="72"/>
      <c r="SAT166" s="72"/>
      <c r="SAU166" s="72"/>
      <c r="SAV166" s="72"/>
      <c r="SAW166" s="72"/>
      <c r="SAX166" s="72"/>
      <c r="SAY166" s="72"/>
      <c r="SAZ166" s="72"/>
      <c r="SBA166" s="72"/>
      <c r="SBB166" s="72"/>
      <c r="SBC166" s="72"/>
      <c r="SBD166" s="72"/>
      <c r="SBE166" s="72"/>
      <c r="SBF166" s="72"/>
      <c r="SBG166" s="72"/>
      <c r="SBH166" s="72"/>
      <c r="SBI166" s="72"/>
      <c r="SBJ166" s="72"/>
      <c r="SBK166" s="72"/>
      <c r="SBL166" s="72"/>
      <c r="SBM166" s="72"/>
      <c r="SBN166" s="72"/>
      <c r="SBO166" s="72"/>
      <c r="SBP166" s="72"/>
      <c r="SBQ166" s="72"/>
      <c r="SBR166" s="72"/>
      <c r="SBS166" s="72"/>
      <c r="SBT166" s="72"/>
      <c r="SBU166" s="72"/>
      <c r="SBV166" s="72"/>
      <c r="SBW166" s="72"/>
      <c r="SBX166" s="72"/>
      <c r="SBY166" s="72"/>
      <c r="SBZ166" s="72"/>
      <c r="SCA166" s="72"/>
      <c r="SCB166" s="72"/>
      <c r="SCC166" s="72"/>
      <c r="SCD166" s="72"/>
      <c r="SCE166" s="72"/>
      <c r="SCF166" s="72"/>
      <c r="SCG166" s="72"/>
      <c r="SCH166" s="72"/>
      <c r="SCI166" s="72"/>
      <c r="SCJ166" s="72"/>
      <c r="SCK166" s="72"/>
      <c r="SCL166" s="72"/>
      <c r="SCM166" s="72"/>
      <c r="SCN166" s="72"/>
      <c r="SCO166" s="72"/>
      <c r="SCP166" s="72"/>
      <c r="SCQ166" s="72"/>
      <c r="SCR166" s="72"/>
      <c r="SCS166" s="72"/>
      <c r="SCT166" s="72"/>
      <c r="SCU166" s="72"/>
      <c r="SCV166" s="72"/>
      <c r="SCW166" s="72"/>
      <c r="SCX166" s="72"/>
      <c r="SCY166" s="72"/>
      <c r="SCZ166" s="72"/>
      <c r="SDA166" s="72"/>
      <c r="SDB166" s="72"/>
      <c r="SDC166" s="72"/>
      <c r="SDD166" s="72"/>
      <c r="SDE166" s="72"/>
      <c r="SDF166" s="72"/>
      <c r="SDG166" s="72"/>
      <c r="SDH166" s="72"/>
      <c r="SDI166" s="72"/>
      <c r="SDJ166" s="72"/>
      <c r="SDK166" s="72"/>
      <c r="SDL166" s="72"/>
      <c r="SDM166" s="72"/>
      <c r="SDN166" s="72"/>
      <c r="SDO166" s="72"/>
      <c r="SDP166" s="72"/>
      <c r="SDQ166" s="72"/>
      <c r="SDR166" s="72"/>
      <c r="SDS166" s="72"/>
      <c r="SDT166" s="72"/>
      <c r="SDU166" s="72"/>
      <c r="SDV166" s="72"/>
      <c r="SDW166" s="72"/>
      <c r="SDX166" s="72"/>
      <c r="SDY166" s="72"/>
      <c r="SDZ166" s="72"/>
      <c r="SEA166" s="72"/>
      <c r="SEB166" s="72"/>
      <c r="SEC166" s="72"/>
      <c r="SED166" s="72"/>
      <c r="SEE166" s="72"/>
      <c r="SEF166" s="72"/>
      <c r="SEG166" s="72"/>
      <c r="SEH166" s="72"/>
      <c r="SEI166" s="72"/>
      <c r="SEJ166" s="72"/>
      <c r="SEK166" s="72"/>
      <c r="SEL166" s="72"/>
      <c r="SEM166" s="72"/>
      <c r="SEN166" s="72"/>
      <c r="SEO166" s="72"/>
      <c r="SEP166" s="72"/>
      <c r="SEQ166" s="72"/>
      <c r="SER166" s="72"/>
      <c r="SES166" s="72"/>
      <c r="SET166" s="72"/>
      <c r="SEU166" s="72"/>
      <c r="SEV166" s="72"/>
      <c r="SEW166" s="72"/>
      <c r="SEX166" s="72"/>
      <c r="SEY166" s="72"/>
      <c r="SEZ166" s="72"/>
      <c r="SFA166" s="72"/>
      <c r="SFB166" s="72"/>
      <c r="SFC166" s="72"/>
      <c r="SFD166" s="72"/>
      <c r="SFE166" s="72"/>
      <c r="SFF166" s="72"/>
      <c r="SFG166" s="72"/>
      <c r="SFH166" s="72"/>
      <c r="SFI166" s="72"/>
      <c r="SFJ166" s="72"/>
      <c r="SFK166" s="72"/>
      <c r="SFL166" s="72"/>
      <c r="SFM166" s="72"/>
      <c r="SFN166" s="72"/>
      <c r="SFO166" s="72"/>
      <c r="SFP166" s="72"/>
      <c r="SFQ166" s="72"/>
      <c r="SFR166" s="72"/>
      <c r="SFS166" s="72"/>
      <c r="SFT166" s="72"/>
      <c r="SFU166" s="72"/>
      <c r="SFV166" s="72"/>
      <c r="SFW166" s="72"/>
      <c r="SFX166" s="72"/>
      <c r="SFY166" s="72"/>
      <c r="SFZ166" s="72"/>
      <c r="SGA166" s="72"/>
      <c r="SGB166" s="72"/>
      <c r="SGC166" s="72"/>
      <c r="SGD166" s="72"/>
      <c r="SGE166" s="72"/>
      <c r="SGF166" s="72"/>
      <c r="SGG166" s="72"/>
      <c r="SGH166" s="72"/>
      <c r="SGI166" s="72"/>
      <c r="SGJ166" s="72"/>
      <c r="SGK166" s="72"/>
      <c r="SGL166" s="72"/>
      <c r="SGM166" s="72"/>
      <c r="SGN166" s="72"/>
      <c r="SGO166" s="72"/>
      <c r="SGP166" s="72"/>
      <c r="SGQ166" s="72"/>
      <c r="SGR166" s="72"/>
      <c r="SGS166" s="72"/>
      <c r="SGT166" s="72"/>
      <c r="SGU166" s="72"/>
      <c r="SGV166" s="72"/>
      <c r="SGW166" s="72"/>
      <c r="SGX166" s="72"/>
      <c r="SGY166" s="72"/>
      <c r="SGZ166" s="72"/>
      <c r="SHA166" s="72"/>
      <c r="SHB166" s="72"/>
      <c r="SHC166" s="72"/>
      <c r="SHD166" s="72"/>
      <c r="SHE166" s="72"/>
      <c r="SHF166" s="72"/>
      <c r="SHG166" s="72"/>
      <c r="SHH166" s="72"/>
      <c r="SHI166" s="72"/>
      <c r="SHJ166" s="72"/>
      <c r="SHK166" s="72"/>
      <c r="SHL166" s="72"/>
      <c r="SHM166" s="72"/>
      <c r="SHN166" s="72"/>
      <c r="SHO166" s="72"/>
      <c r="SHP166" s="72"/>
      <c r="SHQ166" s="72"/>
      <c r="SHR166" s="72"/>
      <c r="SHS166" s="72"/>
      <c r="SHT166" s="72"/>
      <c r="SHU166" s="72"/>
      <c r="SHV166" s="72"/>
      <c r="SHW166" s="72"/>
      <c r="SHX166" s="72"/>
      <c r="SHY166" s="72"/>
      <c r="SHZ166" s="72"/>
      <c r="SIA166" s="72"/>
      <c r="SIB166" s="72"/>
      <c r="SIC166" s="72"/>
      <c r="SID166" s="72"/>
      <c r="SIE166" s="72"/>
      <c r="SIF166" s="72"/>
      <c r="SIG166" s="72"/>
      <c r="SIH166" s="72"/>
      <c r="SII166" s="72"/>
      <c r="SIJ166" s="72"/>
      <c r="SIK166" s="72"/>
      <c r="SIL166" s="72"/>
      <c r="SIM166" s="72"/>
      <c r="SIN166" s="72"/>
      <c r="SIO166" s="72"/>
      <c r="SIP166" s="72"/>
      <c r="SIQ166" s="72"/>
      <c r="SIR166" s="72"/>
      <c r="SIS166" s="72"/>
      <c r="SIT166" s="72"/>
      <c r="SIU166" s="72"/>
      <c r="SIV166" s="72"/>
      <c r="SIW166" s="72"/>
      <c r="SIX166" s="72"/>
      <c r="SIY166" s="72"/>
      <c r="SIZ166" s="72"/>
      <c r="SJA166" s="72"/>
      <c r="SJB166" s="72"/>
      <c r="SJC166" s="72"/>
      <c r="SJD166" s="72"/>
      <c r="SJE166" s="72"/>
      <c r="SJF166" s="72"/>
      <c r="SJG166" s="72"/>
      <c r="SJH166" s="72"/>
      <c r="SJI166" s="72"/>
      <c r="SJJ166" s="72"/>
      <c r="SJK166" s="72"/>
      <c r="SJL166" s="72"/>
      <c r="SJM166" s="72"/>
      <c r="SJN166" s="72"/>
      <c r="SJO166" s="72"/>
      <c r="SJP166" s="72"/>
      <c r="SJQ166" s="72"/>
      <c r="SJR166" s="72"/>
      <c r="SJS166" s="72"/>
      <c r="SJT166" s="72"/>
      <c r="SJU166" s="72"/>
      <c r="SJV166" s="72"/>
      <c r="SJW166" s="72"/>
      <c r="SJX166" s="72"/>
      <c r="SJY166" s="72"/>
      <c r="SJZ166" s="72"/>
      <c r="SKA166" s="72"/>
      <c r="SKB166" s="72"/>
      <c r="SKC166" s="72"/>
      <c r="SKD166" s="72"/>
      <c r="SKE166" s="72"/>
      <c r="SKF166" s="72"/>
      <c r="SKG166" s="72"/>
      <c r="SKH166" s="72"/>
      <c r="SKI166" s="72"/>
      <c r="SKJ166" s="72"/>
      <c r="SKK166" s="72"/>
      <c r="SKL166" s="72"/>
      <c r="SKM166" s="72"/>
      <c r="SKN166" s="72"/>
      <c r="SKO166" s="72"/>
      <c r="SKP166" s="72"/>
      <c r="SKQ166" s="72"/>
      <c r="SKR166" s="72"/>
      <c r="SKS166" s="72"/>
      <c r="SKT166" s="72"/>
      <c r="SKU166" s="72"/>
      <c r="SKV166" s="72"/>
      <c r="SKW166" s="72"/>
      <c r="SKX166" s="72"/>
      <c r="SKY166" s="72"/>
      <c r="SKZ166" s="72"/>
      <c r="SLA166" s="72"/>
      <c r="SLB166" s="72"/>
      <c r="SLC166" s="72"/>
      <c r="SLD166" s="72"/>
      <c r="SLE166" s="72"/>
      <c r="SLF166" s="72"/>
      <c r="SLG166" s="72"/>
      <c r="SLH166" s="72"/>
      <c r="SLI166" s="72"/>
      <c r="SLJ166" s="72"/>
      <c r="SLK166" s="72"/>
      <c r="SLL166" s="72"/>
      <c r="SLM166" s="72"/>
      <c r="SLN166" s="72"/>
      <c r="SLO166" s="72"/>
      <c r="SLP166" s="72"/>
      <c r="SLQ166" s="72"/>
      <c r="SLR166" s="72"/>
      <c r="SLS166" s="72"/>
      <c r="SLT166" s="72"/>
      <c r="SLU166" s="72"/>
      <c r="SLV166" s="72"/>
      <c r="SLW166" s="72"/>
      <c r="SLX166" s="72"/>
      <c r="SLY166" s="72"/>
      <c r="SLZ166" s="72"/>
      <c r="SMA166" s="72"/>
      <c r="SMB166" s="72"/>
      <c r="SMC166" s="72"/>
      <c r="SMD166" s="72"/>
      <c r="SME166" s="72"/>
      <c r="SMF166" s="72"/>
      <c r="SMG166" s="72"/>
      <c r="SMH166" s="72"/>
      <c r="SMI166" s="72"/>
      <c r="SMJ166" s="72"/>
      <c r="SMK166" s="72"/>
      <c r="SML166" s="72"/>
      <c r="SMM166" s="72"/>
      <c r="SMN166" s="72"/>
      <c r="SMO166" s="72"/>
      <c r="SMP166" s="72"/>
      <c r="SMQ166" s="72"/>
      <c r="SMR166" s="72"/>
      <c r="SMS166" s="72"/>
      <c r="SMT166" s="72"/>
      <c r="SMU166" s="72"/>
      <c r="SMV166" s="72"/>
      <c r="SMW166" s="72"/>
      <c r="SMX166" s="72"/>
      <c r="SMY166" s="72"/>
      <c r="SMZ166" s="72"/>
      <c r="SNA166" s="72"/>
      <c r="SNB166" s="72"/>
      <c r="SNC166" s="72"/>
      <c r="SND166" s="72"/>
      <c r="SNE166" s="72"/>
      <c r="SNF166" s="72"/>
      <c r="SNG166" s="72"/>
      <c r="SNH166" s="72"/>
      <c r="SNI166" s="72"/>
      <c r="SNJ166" s="72"/>
      <c r="SNK166" s="72"/>
      <c r="SNL166" s="72"/>
      <c r="SNM166" s="72"/>
      <c r="SNN166" s="72"/>
      <c r="SNO166" s="72"/>
      <c r="SNP166" s="72"/>
      <c r="SNQ166" s="72"/>
      <c r="SNR166" s="72"/>
      <c r="SNS166" s="72"/>
      <c r="SNT166" s="72"/>
      <c r="SNU166" s="72"/>
      <c r="SNV166" s="72"/>
      <c r="SNW166" s="72"/>
      <c r="SNX166" s="72"/>
      <c r="SNY166" s="72"/>
      <c r="SNZ166" s="72"/>
      <c r="SOA166" s="72"/>
      <c r="SOB166" s="72"/>
      <c r="SOC166" s="72"/>
      <c r="SOD166" s="72"/>
      <c r="SOE166" s="72"/>
      <c r="SOF166" s="72"/>
      <c r="SOG166" s="72"/>
      <c r="SOH166" s="72"/>
      <c r="SOI166" s="72"/>
      <c r="SOJ166" s="72"/>
      <c r="SOK166" s="72"/>
      <c r="SOL166" s="72"/>
      <c r="SOM166" s="72"/>
      <c r="SON166" s="72"/>
      <c r="SOO166" s="72"/>
      <c r="SOP166" s="72"/>
      <c r="SOQ166" s="72"/>
      <c r="SOR166" s="72"/>
      <c r="SOS166" s="72"/>
      <c r="SOT166" s="72"/>
      <c r="SOU166" s="72"/>
      <c r="SOV166" s="72"/>
      <c r="SOW166" s="72"/>
      <c r="SOX166" s="72"/>
      <c r="SOY166" s="72"/>
      <c r="SOZ166" s="72"/>
      <c r="SPA166" s="72"/>
      <c r="SPB166" s="72"/>
      <c r="SPC166" s="72"/>
      <c r="SPD166" s="72"/>
      <c r="SPE166" s="72"/>
      <c r="SPF166" s="72"/>
      <c r="SPG166" s="72"/>
      <c r="SPH166" s="72"/>
      <c r="SPI166" s="72"/>
      <c r="SPJ166" s="72"/>
      <c r="SPK166" s="72"/>
      <c r="SPL166" s="72"/>
      <c r="SPM166" s="72"/>
      <c r="SPN166" s="72"/>
      <c r="SPO166" s="72"/>
      <c r="SPP166" s="72"/>
      <c r="SPQ166" s="72"/>
      <c r="SPR166" s="72"/>
      <c r="SPS166" s="72"/>
      <c r="SPT166" s="72"/>
      <c r="SPU166" s="72"/>
      <c r="SPV166" s="72"/>
      <c r="SPW166" s="72"/>
      <c r="SPX166" s="72"/>
      <c r="SPY166" s="72"/>
      <c r="SPZ166" s="72"/>
      <c r="SQA166" s="72"/>
      <c r="SQB166" s="72"/>
      <c r="SQC166" s="72"/>
      <c r="SQD166" s="72"/>
      <c r="SQE166" s="72"/>
      <c r="SQF166" s="72"/>
      <c r="SQG166" s="72"/>
      <c r="SQH166" s="72"/>
      <c r="SQI166" s="72"/>
      <c r="SQJ166" s="72"/>
      <c r="SQK166" s="72"/>
      <c r="SQL166" s="72"/>
      <c r="SQM166" s="72"/>
      <c r="SQN166" s="72"/>
      <c r="SQO166" s="72"/>
      <c r="SQP166" s="72"/>
      <c r="SQQ166" s="72"/>
      <c r="SQR166" s="72"/>
      <c r="SQS166" s="72"/>
      <c r="SQT166" s="72"/>
      <c r="SQU166" s="72"/>
      <c r="SQV166" s="72"/>
      <c r="SQW166" s="72"/>
      <c r="SQX166" s="72"/>
      <c r="SQY166" s="72"/>
      <c r="SQZ166" s="72"/>
      <c r="SRA166" s="72"/>
      <c r="SRB166" s="72"/>
      <c r="SRC166" s="72"/>
      <c r="SRD166" s="72"/>
      <c r="SRE166" s="72"/>
      <c r="SRF166" s="72"/>
      <c r="SRG166" s="72"/>
      <c r="SRH166" s="72"/>
      <c r="SRI166" s="72"/>
      <c r="SRJ166" s="72"/>
      <c r="SRK166" s="72"/>
      <c r="SRL166" s="72"/>
      <c r="SRM166" s="72"/>
      <c r="SRN166" s="72"/>
      <c r="SRO166" s="72"/>
      <c r="SRP166" s="72"/>
      <c r="SRQ166" s="72"/>
      <c r="SRR166" s="72"/>
      <c r="SRS166" s="72"/>
      <c r="SRT166" s="72"/>
      <c r="SRU166" s="72"/>
      <c r="SRV166" s="72"/>
      <c r="SRW166" s="72"/>
      <c r="SRX166" s="72"/>
      <c r="SRY166" s="72"/>
      <c r="SRZ166" s="72"/>
      <c r="SSA166" s="72"/>
      <c r="SSB166" s="72"/>
      <c r="SSC166" s="72"/>
      <c r="SSD166" s="72"/>
      <c r="SSE166" s="72"/>
      <c r="SSF166" s="72"/>
      <c r="SSG166" s="72"/>
      <c r="SSH166" s="72"/>
      <c r="SSI166" s="72"/>
      <c r="SSJ166" s="72"/>
      <c r="SSK166" s="72"/>
      <c r="SSL166" s="72"/>
      <c r="SSM166" s="72"/>
      <c r="SSN166" s="72"/>
      <c r="SSO166" s="72"/>
      <c r="SSP166" s="72"/>
      <c r="SSQ166" s="72"/>
      <c r="SSR166" s="72"/>
      <c r="SSS166" s="72"/>
      <c r="SST166" s="72"/>
      <c r="SSU166" s="72"/>
      <c r="SSV166" s="72"/>
      <c r="SSW166" s="72"/>
      <c r="SSX166" s="72"/>
      <c r="SSY166" s="72"/>
      <c r="SSZ166" s="72"/>
      <c r="STA166" s="72"/>
      <c r="STB166" s="72"/>
      <c r="STC166" s="72"/>
      <c r="STD166" s="72"/>
      <c r="STE166" s="72"/>
      <c r="STF166" s="72"/>
      <c r="STG166" s="72"/>
      <c r="STH166" s="72"/>
      <c r="STI166" s="72"/>
      <c r="STJ166" s="72"/>
      <c r="STK166" s="72"/>
      <c r="STL166" s="72"/>
      <c r="STM166" s="72"/>
      <c r="STN166" s="72"/>
      <c r="STO166" s="72"/>
      <c r="STP166" s="72"/>
      <c r="STQ166" s="72"/>
      <c r="STR166" s="72"/>
      <c r="STS166" s="72"/>
      <c r="STT166" s="72"/>
      <c r="STU166" s="72"/>
      <c r="STV166" s="72"/>
      <c r="STW166" s="72"/>
      <c r="STX166" s="72"/>
      <c r="STY166" s="72"/>
      <c r="STZ166" s="72"/>
      <c r="SUA166" s="72"/>
      <c r="SUB166" s="72"/>
      <c r="SUC166" s="72"/>
      <c r="SUD166" s="72"/>
      <c r="SUE166" s="72"/>
      <c r="SUF166" s="72"/>
      <c r="SUG166" s="72"/>
      <c r="SUH166" s="72"/>
      <c r="SUI166" s="72"/>
      <c r="SUJ166" s="72"/>
      <c r="SUK166" s="72"/>
      <c r="SUL166" s="72"/>
      <c r="SUM166" s="72"/>
      <c r="SUN166" s="72"/>
      <c r="SUO166" s="72"/>
      <c r="SUP166" s="72"/>
      <c r="SUQ166" s="72"/>
      <c r="SUR166" s="72"/>
      <c r="SUS166" s="72"/>
      <c r="SUT166" s="72"/>
      <c r="SUU166" s="72"/>
      <c r="SUV166" s="72"/>
      <c r="SUW166" s="72"/>
      <c r="SUX166" s="72"/>
      <c r="SUY166" s="72"/>
      <c r="SUZ166" s="72"/>
      <c r="SVA166" s="72"/>
      <c r="SVB166" s="72"/>
      <c r="SVC166" s="72"/>
      <c r="SVD166" s="72"/>
      <c r="SVE166" s="72"/>
      <c r="SVF166" s="72"/>
      <c r="SVG166" s="72"/>
      <c r="SVH166" s="72"/>
      <c r="SVI166" s="72"/>
      <c r="SVJ166" s="72"/>
      <c r="SVK166" s="72"/>
      <c r="SVL166" s="72"/>
      <c r="SVM166" s="72"/>
      <c r="SVN166" s="72"/>
      <c r="SVO166" s="72"/>
      <c r="SVP166" s="72"/>
      <c r="SVQ166" s="72"/>
      <c r="SVR166" s="72"/>
      <c r="SVS166" s="72"/>
      <c r="SVT166" s="72"/>
      <c r="SVU166" s="72"/>
      <c r="SVV166" s="72"/>
      <c r="SVW166" s="72"/>
      <c r="SVX166" s="72"/>
      <c r="SVY166" s="72"/>
      <c r="SVZ166" s="72"/>
      <c r="SWA166" s="72"/>
      <c r="SWB166" s="72"/>
      <c r="SWC166" s="72"/>
      <c r="SWD166" s="72"/>
      <c r="SWE166" s="72"/>
      <c r="SWF166" s="72"/>
      <c r="SWG166" s="72"/>
      <c r="SWH166" s="72"/>
      <c r="SWI166" s="72"/>
      <c r="SWJ166" s="72"/>
      <c r="SWK166" s="72"/>
      <c r="SWL166" s="72"/>
      <c r="SWM166" s="72"/>
      <c r="SWN166" s="72"/>
      <c r="SWO166" s="72"/>
      <c r="SWP166" s="72"/>
      <c r="SWQ166" s="72"/>
      <c r="SWR166" s="72"/>
      <c r="SWS166" s="72"/>
      <c r="SWT166" s="72"/>
      <c r="SWU166" s="72"/>
      <c r="SWV166" s="72"/>
      <c r="SWW166" s="72"/>
      <c r="SWX166" s="72"/>
      <c r="SWY166" s="72"/>
      <c r="SWZ166" s="72"/>
      <c r="SXA166" s="72"/>
      <c r="SXB166" s="72"/>
      <c r="SXC166" s="72"/>
      <c r="SXD166" s="72"/>
      <c r="SXE166" s="72"/>
      <c r="SXF166" s="72"/>
      <c r="SXG166" s="72"/>
      <c r="SXH166" s="72"/>
      <c r="SXI166" s="72"/>
      <c r="SXJ166" s="72"/>
      <c r="SXK166" s="72"/>
      <c r="SXL166" s="72"/>
      <c r="SXM166" s="72"/>
      <c r="SXN166" s="72"/>
      <c r="SXO166" s="72"/>
      <c r="SXP166" s="72"/>
      <c r="SXQ166" s="72"/>
      <c r="SXR166" s="72"/>
      <c r="SXS166" s="72"/>
      <c r="SXT166" s="72"/>
      <c r="SXU166" s="72"/>
      <c r="SXV166" s="72"/>
      <c r="SXW166" s="72"/>
      <c r="SXX166" s="72"/>
      <c r="SXY166" s="72"/>
      <c r="SXZ166" s="72"/>
      <c r="SYA166" s="72"/>
      <c r="SYB166" s="72"/>
      <c r="SYC166" s="72"/>
      <c r="SYD166" s="72"/>
      <c r="SYE166" s="72"/>
      <c r="SYF166" s="72"/>
      <c r="SYG166" s="72"/>
      <c r="SYH166" s="72"/>
      <c r="SYI166" s="72"/>
      <c r="SYJ166" s="72"/>
      <c r="SYK166" s="72"/>
      <c r="SYL166" s="72"/>
      <c r="SYM166" s="72"/>
      <c r="SYN166" s="72"/>
      <c r="SYO166" s="72"/>
      <c r="SYP166" s="72"/>
      <c r="SYQ166" s="72"/>
      <c r="SYR166" s="72"/>
      <c r="SYS166" s="72"/>
      <c r="SYT166" s="72"/>
      <c r="SYU166" s="72"/>
      <c r="SYV166" s="72"/>
      <c r="SYW166" s="72"/>
      <c r="SYX166" s="72"/>
      <c r="SYY166" s="72"/>
      <c r="SYZ166" s="72"/>
      <c r="SZA166" s="72"/>
      <c r="SZB166" s="72"/>
      <c r="SZC166" s="72"/>
      <c r="SZD166" s="72"/>
      <c r="SZE166" s="72"/>
      <c r="SZF166" s="72"/>
      <c r="SZG166" s="72"/>
      <c r="SZH166" s="72"/>
      <c r="SZI166" s="72"/>
      <c r="SZJ166" s="72"/>
      <c r="SZK166" s="72"/>
      <c r="SZL166" s="72"/>
      <c r="SZM166" s="72"/>
      <c r="SZN166" s="72"/>
      <c r="SZO166" s="72"/>
      <c r="SZP166" s="72"/>
      <c r="SZQ166" s="72"/>
      <c r="SZR166" s="72"/>
      <c r="SZS166" s="72"/>
      <c r="SZT166" s="72"/>
      <c r="SZU166" s="72"/>
      <c r="SZV166" s="72"/>
      <c r="SZW166" s="72"/>
      <c r="SZX166" s="72"/>
      <c r="SZY166" s="72"/>
      <c r="SZZ166" s="72"/>
      <c r="TAA166" s="72"/>
      <c r="TAB166" s="72"/>
      <c r="TAC166" s="72"/>
      <c r="TAD166" s="72"/>
      <c r="TAE166" s="72"/>
      <c r="TAF166" s="72"/>
      <c r="TAG166" s="72"/>
      <c r="TAH166" s="72"/>
      <c r="TAI166" s="72"/>
      <c r="TAJ166" s="72"/>
      <c r="TAK166" s="72"/>
      <c r="TAL166" s="72"/>
      <c r="TAM166" s="72"/>
      <c r="TAN166" s="72"/>
      <c r="TAO166" s="72"/>
      <c r="TAP166" s="72"/>
      <c r="TAQ166" s="72"/>
      <c r="TAR166" s="72"/>
      <c r="TAS166" s="72"/>
      <c r="TAT166" s="72"/>
      <c r="TAU166" s="72"/>
      <c r="TAV166" s="72"/>
      <c r="TAW166" s="72"/>
      <c r="TAX166" s="72"/>
      <c r="TAY166" s="72"/>
      <c r="TAZ166" s="72"/>
      <c r="TBA166" s="72"/>
      <c r="TBB166" s="72"/>
      <c r="TBC166" s="72"/>
      <c r="TBD166" s="72"/>
      <c r="TBE166" s="72"/>
      <c r="TBF166" s="72"/>
      <c r="TBG166" s="72"/>
      <c r="TBH166" s="72"/>
      <c r="TBI166" s="72"/>
      <c r="TBJ166" s="72"/>
      <c r="TBK166" s="72"/>
      <c r="TBL166" s="72"/>
      <c r="TBM166" s="72"/>
      <c r="TBN166" s="72"/>
      <c r="TBO166" s="72"/>
      <c r="TBP166" s="72"/>
      <c r="TBQ166" s="72"/>
      <c r="TBR166" s="72"/>
      <c r="TBS166" s="72"/>
      <c r="TBT166" s="72"/>
      <c r="TBU166" s="72"/>
      <c r="TBV166" s="72"/>
      <c r="TBW166" s="72"/>
      <c r="TBX166" s="72"/>
      <c r="TBY166" s="72"/>
      <c r="TBZ166" s="72"/>
      <c r="TCA166" s="72"/>
      <c r="TCB166" s="72"/>
      <c r="TCC166" s="72"/>
      <c r="TCD166" s="72"/>
      <c r="TCE166" s="72"/>
      <c r="TCF166" s="72"/>
      <c r="TCG166" s="72"/>
      <c r="TCH166" s="72"/>
      <c r="TCI166" s="72"/>
      <c r="TCJ166" s="72"/>
      <c r="TCK166" s="72"/>
      <c r="TCL166" s="72"/>
      <c r="TCM166" s="72"/>
      <c r="TCN166" s="72"/>
      <c r="TCO166" s="72"/>
      <c r="TCP166" s="72"/>
      <c r="TCQ166" s="72"/>
      <c r="TCR166" s="72"/>
      <c r="TCS166" s="72"/>
      <c r="TCT166" s="72"/>
      <c r="TCU166" s="72"/>
      <c r="TCV166" s="72"/>
      <c r="TCW166" s="72"/>
      <c r="TCX166" s="72"/>
      <c r="TCY166" s="72"/>
      <c r="TCZ166" s="72"/>
      <c r="TDA166" s="72"/>
      <c r="TDB166" s="72"/>
      <c r="TDC166" s="72"/>
      <c r="TDD166" s="72"/>
      <c r="TDE166" s="72"/>
      <c r="TDF166" s="72"/>
      <c r="TDG166" s="72"/>
      <c r="TDH166" s="72"/>
      <c r="TDI166" s="72"/>
      <c r="TDJ166" s="72"/>
      <c r="TDK166" s="72"/>
      <c r="TDL166" s="72"/>
      <c r="TDM166" s="72"/>
      <c r="TDN166" s="72"/>
      <c r="TDO166" s="72"/>
      <c r="TDP166" s="72"/>
      <c r="TDQ166" s="72"/>
      <c r="TDR166" s="72"/>
      <c r="TDS166" s="72"/>
      <c r="TDT166" s="72"/>
      <c r="TDU166" s="72"/>
      <c r="TDV166" s="72"/>
      <c r="TDW166" s="72"/>
      <c r="TDX166" s="72"/>
      <c r="TDY166" s="72"/>
      <c r="TDZ166" s="72"/>
      <c r="TEA166" s="72"/>
      <c r="TEB166" s="72"/>
      <c r="TEC166" s="72"/>
      <c r="TED166" s="72"/>
      <c r="TEE166" s="72"/>
      <c r="TEF166" s="72"/>
      <c r="TEG166" s="72"/>
      <c r="TEH166" s="72"/>
      <c r="TEI166" s="72"/>
      <c r="TEJ166" s="72"/>
      <c r="TEK166" s="72"/>
      <c r="TEL166" s="72"/>
      <c r="TEM166" s="72"/>
      <c r="TEN166" s="72"/>
      <c r="TEO166" s="72"/>
      <c r="TEP166" s="72"/>
      <c r="TEQ166" s="72"/>
      <c r="TER166" s="72"/>
      <c r="TES166" s="72"/>
      <c r="TET166" s="72"/>
      <c r="TEU166" s="72"/>
      <c r="TEV166" s="72"/>
      <c r="TEW166" s="72"/>
      <c r="TEX166" s="72"/>
      <c r="TEY166" s="72"/>
      <c r="TEZ166" s="72"/>
      <c r="TFA166" s="72"/>
      <c r="TFB166" s="72"/>
      <c r="TFC166" s="72"/>
      <c r="TFD166" s="72"/>
      <c r="TFE166" s="72"/>
      <c r="TFF166" s="72"/>
      <c r="TFG166" s="72"/>
      <c r="TFH166" s="72"/>
      <c r="TFI166" s="72"/>
      <c r="TFJ166" s="72"/>
      <c r="TFK166" s="72"/>
      <c r="TFL166" s="72"/>
      <c r="TFM166" s="72"/>
      <c r="TFN166" s="72"/>
      <c r="TFO166" s="72"/>
      <c r="TFP166" s="72"/>
      <c r="TFQ166" s="72"/>
      <c r="TFR166" s="72"/>
      <c r="TFS166" s="72"/>
      <c r="TFT166" s="72"/>
      <c r="TFU166" s="72"/>
      <c r="TFV166" s="72"/>
      <c r="TFW166" s="72"/>
      <c r="TFX166" s="72"/>
      <c r="TFY166" s="72"/>
      <c r="TFZ166" s="72"/>
      <c r="TGA166" s="72"/>
      <c r="TGB166" s="72"/>
      <c r="TGC166" s="72"/>
      <c r="TGD166" s="72"/>
      <c r="TGE166" s="72"/>
      <c r="TGF166" s="72"/>
      <c r="TGG166" s="72"/>
      <c r="TGH166" s="72"/>
      <c r="TGI166" s="72"/>
      <c r="TGJ166" s="72"/>
      <c r="TGK166" s="72"/>
      <c r="TGL166" s="72"/>
      <c r="TGM166" s="72"/>
      <c r="TGN166" s="72"/>
      <c r="TGO166" s="72"/>
      <c r="TGP166" s="72"/>
      <c r="TGQ166" s="72"/>
      <c r="TGR166" s="72"/>
      <c r="TGS166" s="72"/>
      <c r="TGT166" s="72"/>
      <c r="TGU166" s="72"/>
      <c r="TGV166" s="72"/>
      <c r="TGW166" s="72"/>
      <c r="TGX166" s="72"/>
      <c r="TGY166" s="72"/>
      <c r="TGZ166" s="72"/>
      <c r="THA166" s="72"/>
      <c r="THB166" s="72"/>
      <c r="THC166" s="72"/>
      <c r="THD166" s="72"/>
      <c r="THE166" s="72"/>
      <c r="THF166" s="72"/>
      <c r="THG166" s="72"/>
      <c r="THH166" s="72"/>
      <c r="THI166" s="72"/>
      <c r="THJ166" s="72"/>
      <c r="THK166" s="72"/>
      <c r="THL166" s="72"/>
      <c r="THM166" s="72"/>
      <c r="THN166" s="72"/>
      <c r="THO166" s="72"/>
      <c r="THP166" s="72"/>
      <c r="THQ166" s="72"/>
      <c r="THR166" s="72"/>
      <c r="THS166" s="72"/>
      <c r="THT166" s="72"/>
      <c r="THU166" s="72"/>
      <c r="THV166" s="72"/>
      <c r="THW166" s="72"/>
      <c r="THX166" s="72"/>
      <c r="THY166" s="72"/>
      <c r="THZ166" s="72"/>
      <c r="TIA166" s="72"/>
      <c r="TIB166" s="72"/>
      <c r="TIC166" s="72"/>
      <c r="TID166" s="72"/>
      <c r="TIE166" s="72"/>
      <c r="TIF166" s="72"/>
      <c r="TIG166" s="72"/>
      <c r="TIH166" s="72"/>
      <c r="TII166" s="72"/>
      <c r="TIJ166" s="72"/>
      <c r="TIK166" s="72"/>
      <c r="TIL166" s="72"/>
      <c r="TIM166" s="72"/>
      <c r="TIN166" s="72"/>
      <c r="TIO166" s="72"/>
      <c r="TIP166" s="72"/>
      <c r="TIQ166" s="72"/>
      <c r="TIR166" s="72"/>
      <c r="TIS166" s="72"/>
      <c r="TIT166" s="72"/>
      <c r="TIU166" s="72"/>
      <c r="TIV166" s="72"/>
      <c r="TIW166" s="72"/>
      <c r="TIX166" s="72"/>
      <c r="TIY166" s="72"/>
      <c r="TIZ166" s="72"/>
      <c r="TJA166" s="72"/>
      <c r="TJB166" s="72"/>
      <c r="TJC166" s="72"/>
      <c r="TJD166" s="72"/>
      <c r="TJE166" s="72"/>
      <c r="TJF166" s="72"/>
      <c r="TJG166" s="72"/>
      <c r="TJH166" s="72"/>
      <c r="TJI166" s="72"/>
      <c r="TJJ166" s="72"/>
      <c r="TJK166" s="72"/>
      <c r="TJL166" s="72"/>
      <c r="TJM166" s="72"/>
      <c r="TJN166" s="72"/>
      <c r="TJO166" s="72"/>
      <c r="TJP166" s="72"/>
      <c r="TJQ166" s="72"/>
      <c r="TJR166" s="72"/>
      <c r="TJS166" s="72"/>
      <c r="TJT166" s="72"/>
      <c r="TJU166" s="72"/>
      <c r="TJV166" s="72"/>
      <c r="TJW166" s="72"/>
      <c r="TJX166" s="72"/>
      <c r="TJY166" s="72"/>
      <c r="TJZ166" s="72"/>
      <c r="TKA166" s="72"/>
      <c r="TKB166" s="72"/>
      <c r="TKC166" s="72"/>
      <c r="TKD166" s="72"/>
      <c r="TKE166" s="72"/>
      <c r="TKF166" s="72"/>
      <c r="TKG166" s="72"/>
      <c r="TKH166" s="72"/>
      <c r="TKI166" s="72"/>
      <c r="TKJ166" s="72"/>
      <c r="TKK166" s="72"/>
      <c r="TKL166" s="72"/>
      <c r="TKM166" s="72"/>
      <c r="TKN166" s="72"/>
      <c r="TKO166" s="72"/>
      <c r="TKP166" s="72"/>
      <c r="TKQ166" s="72"/>
      <c r="TKR166" s="72"/>
      <c r="TKS166" s="72"/>
      <c r="TKT166" s="72"/>
      <c r="TKU166" s="72"/>
      <c r="TKV166" s="72"/>
      <c r="TKW166" s="72"/>
      <c r="TKX166" s="72"/>
      <c r="TKY166" s="72"/>
      <c r="TKZ166" s="72"/>
      <c r="TLA166" s="72"/>
      <c r="TLB166" s="72"/>
      <c r="TLC166" s="72"/>
      <c r="TLD166" s="72"/>
      <c r="TLE166" s="72"/>
      <c r="TLF166" s="72"/>
      <c r="TLG166" s="72"/>
      <c r="TLH166" s="72"/>
      <c r="TLI166" s="72"/>
      <c r="TLJ166" s="72"/>
      <c r="TLK166" s="72"/>
      <c r="TLL166" s="72"/>
      <c r="TLM166" s="72"/>
      <c r="TLN166" s="72"/>
      <c r="TLO166" s="72"/>
      <c r="TLP166" s="72"/>
      <c r="TLQ166" s="72"/>
      <c r="TLR166" s="72"/>
      <c r="TLS166" s="72"/>
      <c r="TLT166" s="72"/>
      <c r="TLU166" s="72"/>
      <c r="TLV166" s="72"/>
      <c r="TLW166" s="72"/>
      <c r="TLX166" s="72"/>
      <c r="TLY166" s="72"/>
      <c r="TLZ166" s="72"/>
      <c r="TMA166" s="72"/>
      <c r="TMB166" s="72"/>
      <c r="TMC166" s="72"/>
      <c r="TMD166" s="72"/>
      <c r="TME166" s="72"/>
      <c r="TMF166" s="72"/>
      <c r="TMG166" s="72"/>
      <c r="TMH166" s="72"/>
      <c r="TMI166" s="72"/>
      <c r="TMJ166" s="72"/>
      <c r="TMK166" s="72"/>
      <c r="TML166" s="72"/>
      <c r="TMM166" s="72"/>
      <c r="TMN166" s="72"/>
      <c r="TMO166" s="72"/>
      <c r="TMP166" s="72"/>
      <c r="TMQ166" s="72"/>
      <c r="TMR166" s="72"/>
      <c r="TMS166" s="72"/>
      <c r="TMT166" s="72"/>
      <c r="TMU166" s="72"/>
      <c r="TMV166" s="72"/>
      <c r="TMW166" s="72"/>
      <c r="TMX166" s="72"/>
      <c r="TMY166" s="72"/>
      <c r="TMZ166" s="72"/>
      <c r="TNA166" s="72"/>
      <c r="TNB166" s="72"/>
      <c r="TNC166" s="72"/>
      <c r="TND166" s="72"/>
      <c r="TNE166" s="72"/>
      <c r="TNF166" s="72"/>
      <c r="TNG166" s="72"/>
      <c r="TNH166" s="72"/>
      <c r="TNI166" s="72"/>
      <c r="TNJ166" s="72"/>
      <c r="TNK166" s="72"/>
      <c r="TNL166" s="72"/>
      <c r="TNM166" s="72"/>
      <c r="TNN166" s="72"/>
      <c r="TNO166" s="72"/>
      <c r="TNP166" s="72"/>
      <c r="TNQ166" s="72"/>
      <c r="TNR166" s="72"/>
      <c r="TNS166" s="72"/>
      <c r="TNT166" s="72"/>
      <c r="TNU166" s="72"/>
      <c r="TNV166" s="72"/>
      <c r="TNW166" s="72"/>
      <c r="TNX166" s="72"/>
      <c r="TNY166" s="72"/>
      <c r="TNZ166" s="72"/>
      <c r="TOA166" s="72"/>
      <c r="TOB166" s="72"/>
      <c r="TOC166" s="72"/>
      <c r="TOD166" s="72"/>
      <c r="TOE166" s="72"/>
      <c r="TOF166" s="72"/>
      <c r="TOG166" s="72"/>
      <c r="TOH166" s="72"/>
      <c r="TOI166" s="72"/>
      <c r="TOJ166" s="72"/>
      <c r="TOK166" s="72"/>
      <c r="TOL166" s="72"/>
      <c r="TOM166" s="72"/>
      <c r="TON166" s="72"/>
      <c r="TOO166" s="72"/>
      <c r="TOP166" s="72"/>
      <c r="TOQ166" s="72"/>
      <c r="TOR166" s="72"/>
      <c r="TOS166" s="72"/>
      <c r="TOT166" s="72"/>
      <c r="TOU166" s="72"/>
      <c r="TOV166" s="72"/>
      <c r="TOW166" s="72"/>
      <c r="TOX166" s="72"/>
      <c r="TOY166" s="72"/>
      <c r="TOZ166" s="72"/>
      <c r="TPA166" s="72"/>
      <c r="TPB166" s="72"/>
      <c r="TPC166" s="72"/>
      <c r="TPD166" s="72"/>
      <c r="TPE166" s="72"/>
      <c r="TPF166" s="72"/>
      <c r="TPG166" s="72"/>
      <c r="TPH166" s="72"/>
      <c r="TPI166" s="72"/>
      <c r="TPJ166" s="72"/>
      <c r="TPK166" s="72"/>
      <c r="TPL166" s="72"/>
      <c r="TPM166" s="72"/>
      <c r="TPN166" s="72"/>
      <c r="TPO166" s="72"/>
      <c r="TPP166" s="72"/>
      <c r="TPQ166" s="72"/>
      <c r="TPR166" s="72"/>
      <c r="TPS166" s="72"/>
      <c r="TPT166" s="72"/>
      <c r="TPU166" s="72"/>
      <c r="TPV166" s="72"/>
      <c r="TPW166" s="72"/>
      <c r="TPX166" s="72"/>
      <c r="TPY166" s="72"/>
      <c r="TPZ166" s="72"/>
      <c r="TQA166" s="72"/>
      <c r="TQB166" s="72"/>
      <c r="TQC166" s="72"/>
      <c r="TQD166" s="72"/>
      <c r="TQE166" s="72"/>
      <c r="TQF166" s="72"/>
      <c r="TQG166" s="72"/>
      <c r="TQH166" s="72"/>
      <c r="TQI166" s="72"/>
      <c r="TQJ166" s="72"/>
      <c r="TQK166" s="72"/>
      <c r="TQL166" s="72"/>
      <c r="TQM166" s="72"/>
      <c r="TQN166" s="72"/>
      <c r="TQO166" s="72"/>
      <c r="TQP166" s="72"/>
      <c r="TQQ166" s="72"/>
      <c r="TQR166" s="72"/>
      <c r="TQS166" s="72"/>
      <c r="TQT166" s="72"/>
      <c r="TQU166" s="72"/>
      <c r="TQV166" s="72"/>
      <c r="TQW166" s="72"/>
      <c r="TQX166" s="72"/>
      <c r="TQY166" s="72"/>
      <c r="TQZ166" s="72"/>
      <c r="TRA166" s="72"/>
      <c r="TRB166" s="72"/>
      <c r="TRC166" s="72"/>
      <c r="TRD166" s="72"/>
      <c r="TRE166" s="72"/>
      <c r="TRF166" s="72"/>
      <c r="TRG166" s="72"/>
      <c r="TRH166" s="72"/>
      <c r="TRI166" s="72"/>
      <c r="TRJ166" s="72"/>
      <c r="TRK166" s="72"/>
      <c r="TRL166" s="72"/>
      <c r="TRM166" s="72"/>
      <c r="TRN166" s="72"/>
      <c r="TRO166" s="72"/>
      <c r="TRP166" s="72"/>
      <c r="TRQ166" s="72"/>
      <c r="TRR166" s="72"/>
      <c r="TRS166" s="72"/>
      <c r="TRT166" s="72"/>
      <c r="TRU166" s="72"/>
      <c r="TRV166" s="72"/>
      <c r="TRW166" s="72"/>
      <c r="TRX166" s="72"/>
      <c r="TRY166" s="72"/>
      <c r="TRZ166" s="72"/>
      <c r="TSA166" s="72"/>
      <c r="TSB166" s="72"/>
      <c r="TSC166" s="72"/>
      <c r="TSD166" s="72"/>
      <c r="TSE166" s="72"/>
      <c r="TSF166" s="72"/>
      <c r="TSG166" s="72"/>
      <c r="TSH166" s="72"/>
      <c r="TSI166" s="72"/>
      <c r="TSJ166" s="72"/>
      <c r="TSK166" s="72"/>
      <c r="TSL166" s="72"/>
      <c r="TSM166" s="72"/>
      <c r="TSN166" s="72"/>
      <c r="TSO166" s="72"/>
      <c r="TSP166" s="72"/>
      <c r="TSQ166" s="72"/>
      <c r="TSR166" s="72"/>
      <c r="TSS166" s="72"/>
      <c r="TST166" s="72"/>
      <c r="TSU166" s="72"/>
      <c r="TSV166" s="72"/>
      <c r="TSW166" s="72"/>
      <c r="TSX166" s="72"/>
      <c r="TSY166" s="72"/>
      <c r="TSZ166" s="72"/>
      <c r="TTA166" s="72"/>
      <c r="TTB166" s="72"/>
      <c r="TTC166" s="72"/>
      <c r="TTD166" s="72"/>
      <c r="TTE166" s="72"/>
      <c r="TTF166" s="72"/>
      <c r="TTG166" s="72"/>
      <c r="TTH166" s="72"/>
      <c r="TTI166" s="72"/>
      <c r="TTJ166" s="72"/>
      <c r="TTK166" s="72"/>
      <c r="TTL166" s="72"/>
      <c r="TTM166" s="72"/>
      <c r="TTN166" s="72"/>
      <c r="TTO166" s="72"/>
      <c r="TTP166" s="72"/>
      <c r="TTQ166" s="72"/>
      <c r="TTR166" s="72"/>
      <c r="TTS166" s="72"/>
      <c r="TTT166" s="72"/>
      <c r="TTU166" s="72"/>
      <c r="TTV166" s="72"/>
      <c r="TTW166" s="72"/>
      <c r="TTX166" s="72"/>
      <c r="TTY166" s="72"/>
      <c r="TTZ166" s="72"/>
      <c r="TUA166" s="72"/>
      <c r="TUB166" s="72"/>
      <c r="TUC166" s="72"/>
      <c r="TUD166" s="72"/>
      <c r="TUE166" s="72"/>
      <c r="TUF166" s="72"/>
      <c r="TUG166" s="72"/>
      <c r="TUH166" s="72"/>
      <c r="TUI166" s="72"/>
      <c r="TUJ166" s="72"/>
      <c r="TUK166" s="72"/>
      <c r="TUL166" s="72"/>
      <c r="TUM166" s="72"/>
      <c r="TUN166" s="72"/>
      <c r="TUO166" s="72"/>
      <c r="TUP166" s="72"/>
      <c r="TUQ166" s="72"/>
      <c r="TUR166" s="72"/>
      <c r="TUS166" s="72"/>
      <c r="TUT166" s="72"/>
      <c r="TUU166" s="72"/>
      <c r="TUV166" s="72"/>
      <c r="TUW166" s="72"/>
      <c r="TUX166" s="72"/>
      <c r="TUY166" s="72"/>
      <c r="TUZ166" s="72"/>
      <c r="TVA166" s="72"/>
      <c r="TVB166" s="72"/>
      <c r="TVC166" s="72"/>
      <c r="TVD166" s="72"/>
      <c r="TVE166" s="72"/>
      <c r="TVF166" s="72"/>
      <c r="TVG166" s="72"/>
      <c r="TVH166" s="72"/>
      <c r="TVI166" s="72"/>
      <c r="TVJ166" s="72"/>
      <c r="TVK166" s="72"/>
      <c r="TVL166" s="72"/>
      <c r="TVM166" s="72"/>
      <c r="TVN166" s="72"/>
      <c r="TVO166" s="72"/>
      <c r="TVP166" s="72"/>
      <c r="TVQ166" s="72"/>
      <c r="TVR166" s="72"/>
      <c r="TVS166" s="72"/>
      <c r="TVT166" s="72"/>
      <c r="TVU166" s="72"/>
      <c r="TVV166" s="72"/>
      <c r="TVW166" s="72"/>
      <c r="TVX166" s="72"/>
      <c r="TVY166" s="72"/>
      <c r="TVZ166" s="72"/>
      <c r="TWA166" s="72"/>
      <c r="TWB166" s="72"/>
      <c r="TWC166" s="72"/>
      <c r="TWD166" s="72"/>
      <c r="TWE166" s="72"/>
      <c r="TWF166" s="72"/>
      <c r="TWG166" s="72"/>
      <c r="TWH166" s="72"/>
      <c r="TWI166" s="72"/>
      <c r="TWJ166" s="72"/>
      <c r="TWK166" s="72"/>
      <c r="TWL166" s="72"/>
      <c r="TWM166" s="72"/>
      <c r="TWN166" s="72"/>
      <c r="TWO166" s="72"/>
      <c r="TWP166" s="72"/>
      <c r="TWQ166" s="72"/>
      <c r="TWR166" s="72"/>
      <c r="TWS166" s="72"/>
      <c r="TWT166" s="72"/>
      <c r="TWU166" s="72"/>
      <c r="TWV166" s="72"/>
      <c r="TWW166" s="72"/>
      <c r="TWX166" s="72"/>
      <c r="TWY166" s="72"/>
      <c r="TWZ166" s="72"/>
      <c r="TXA166" s="72"/>
      <c r="TXB166" s="72"/>
      <c r="TXC166" s="72"/>
      <c r="TXD166" s="72"/>
      <c r="TXE166" s="72"/>
      <c r="TXF166" s="72"/>
      <c r="TXG166" s="72"/>
      <c r="TXH166" s="72"/>
      <c r="TXI166" s="72"/>
      <c r="TXJ166" s="72"/>
      <c r="TXK166" s="72"/>
      <c r="TXL166" s="72"/>
      <c r="TXM166" s="72"/>
      <c r="TXN166" s="72"/>
      <c r="TXO166" s="72"/>
      <c r="TXP166" s="72"/>
      <c r="TXQ166" s="72"/>
      <c r="TXR166" s="72"/>
      <c r="TXS166" s="72"/>
      <c r="TXT166" s="72"/>
      <c r="TXU166" s="72"/>
      <c r="TXV166" s="72"/>
      <c r="TXW166" s="72"/>
      <c r="TXX166" s="72"/>
      <c r="TXY166" s="72"/>
      <c r="TXZ166" s="72"/>
      <c r="TYA166" s="72"/>
      <c r="TYB166" s="72"/>
      <c r="TYC166" s="72"/>
      <c r="TYD166" s="72"/>
      <c r="TYE166" s="72"/>
      <c r="TYF166" s="72"/>
      <c r="TYG166" s="72"/>
      <c r="TYH166" s="72"/>
      <c r="TYI166" s="72"/>
      <c r="TYJ166" s="72"/>
      <c r="TYK166" s="72"/>
      <c r="TYL166" s="72"/>
      <c r="TYM166" s="72"/>
      <c r="TYN166" s="72"/>
      <c r="TYO166" s="72"/>
      <c r="TYP166" s="72"/>
      <c r="TYQ166" s="72"/>
      <c r="TYR166" s="72"/>
      <c r="TYS166" s="72"/>
      <c r="TYT166" s="72"/>
      <c r="TYU166" s="72"/>
      <c r="TYV166" s="72"/>
      <c r="TYW166" s="72"/>
      <c r="TYX166" s="72"/>
      <c r="TYY166" s="72"/>
      <c r="TYZ166" s="72"/>
      <c r="TZA166" s="72"/>
      <c r="TZB166" s="72"/>
      <c r="TZC166" s="72"/>
      <c r="TZD166" s="72"/>
      <c r="TZE166" s="72"/>
      <c r="TZF166" s="72"/>
      <c r="TZG166" s="72"/>
      <c r="TZH166" s="72"/>
      <c r="TZI166" s="72"/>
      <c r="TZJ166" s="72"/>
      <c r="TZK166" s="72"/>
      <c r="TZL166" s="72"/>
      <c r="TZM166" s="72"/>
      <c r="TZN166" s="72"/>
      <c r="TZO166" s="72"/>
      <c r="TZP166" s="72"/>
      <c r="TZQ166" s="72"/>
      <c r="TZR166" s="72"/>
      <c r="TZS166" s="72"/>
      <c r="TZT166" s="72"/>
      <c r="TZU166" s="72"/>
      <c r="TZV166" s="72"/>
      <c r="TZW166" s="72"/>
      <c r="TZX166" s="72"/>
      <c r="TZY166" s="72"/>
      <c r="TZZ166" s="72"/>
      <c r="UAA166" s="72"/>
      <c r="UAB166" s="72"/>
      <c r="UAC166" s="72"/>
      <c r="UAD166" s="72"/>
      <c r="UAE166" s="72"/>
      <c r="UAF166" s="72"/>
      <c r="UAG166" s="72"/>
      <c r="UAH166" s="72"/>
      <c r="UAI166" s="72"/>
      <c r="UAJ166" s="72"/>
      <c r="UAK166" s="72"/>
      <c r="UAL166" s="72"/>
      <c r="UAM166" s="72"/>
      <c r="UAN166" s="72"/>
      <c r="UAO166" s="72"/>
      <c r="UAP166" s="72"/>
      <c r="UAQ166" s="72"/>
      <c r="UAR166" s="72"/>
      <c r="UAS166" s="72"/>
      <c r="UAT166" s="72"/>
      <c r="UAU166" s="72"/>
      <c r="UAV166" s="72"/>
      <c r="UAW166" s="72"/>
      <c r="UAX166" s="72"/>
      <c r="UAY166" s="72"/>
      <c r="UAZ166" s="72"/>
      <c r="UBA166" s="72"/>
      <c r="UBB166" s="72"/>
      <c r="UBC166" s="72"/>
      <c r="UBD166" s="72"/>
      <c r="UBE166" s="72"/>
      <c r="UBF166" s="72"/>
      <c r="UBG166" s="72"/>
      <c r="UBH166" s="72"/>
      <c r="UBI166" s="72"/>
      <c r="UBJ166" s="72"/>
      <c r="UBK166" s="72"/>
      <c r="UBL166" s="72"/>
      <c r="UBM166" s="72"/>
      <c r="UBN166" s="72"/>
      <c r="UBO166" s="72"/>
      <c r="UBP166" s="72"/>
      <c r="UBQ166" s="72"/>
      <c r="UBR166" s="72"/>
      <c r="UBS166" s="72"/>
      <c r="UBT166" s="72"/>
      <c r="UBU166" s="72"/>
      <c r="UBV166" s="72"/>
      <c r="UBW166" s="72"/>
      <c r="UBX166" s="72"/>
      <c r="UBY166" s="72"/>
      <c r="UBZ166" s="72"/>
      <c r="UCA166" s="72"/>
      <c r="UCB166" s="72"/>
      <c r="UCC166" s="72"/>
      <c r="UCD166" s="72"/>
      <c r="UCE166" s="72"/>
      <c r="UCF166" s="72"/>
      <c r="UCG166" s="72"/>
      <c r="UCH166" s="72"/>
      <c r="UCI166" s="72"/>
      <c r="UCJ166" s="72"/>
      <c r="UCK166" s="72"/>
      <c r="UCL166" s="72"/>
      <c r="UCM166" s="72"/>
      <c r="UCN166" s="72"/>
      <c r="UCO166" s="72"/>
      <c r="UCP166" s="72"/>
      <c r="UCQ166" s="72"/>
      <c r="UCR166" s="72"/>
      <c r="UCS166" s="72"/>
      <c r="UCT166" s="72"/>
      <c r="UCU166" s="72"/>
      <c r="UCV166" s="72"/>
      <c r="UCW166" s="72"/>
      <c r="UCX166" s="72"/>
      <c r="UCY166" s="72"/>
      <c r="UCZ166" s="72"/>
      <c r="UDA166" s="72"/>
      <c r="UDB166" s="72"/>
      <c r="UDC166" s="72"/>
      <c r="UDD166" s="72"/>
      <c r="UDE166" s="72"/>
      <c r="UDF166" s="72"/>
      <c r="UDG166" s="72"/>
      <c r="UDH166" s="72"/>
      <c r="UDI166" s="72"/>
      <c r="UDJ166" s="72"/>
      <c r="UDK166" s="72"/>
      <c r="UDL166" s="72"/>
      <c r="UDM166" s="72"/>
      <c r="UDN166" s="72"/>
      <c r="UDO166" s="72"/>
      <c r="UDP166" s="72"/>
      <c r="UDQ166" s="72"/>
      <c r="UDR166" s="72"/>
      <c r="UDS166" s="72"/>
      <c r="UDT166" s="72"/>
      <c r="UDU166" s="72"/>
      <c r="UDV166" s="72"/>
      <c r="UDW166" s="72"/>
      <c r="UDX166" s="72"/>
      <c r="UDY166" s="72"/>
      <c r="UDZ166" s="72"/>
      <c r="UEA166" s="72"/>
      <c r="UEB166" s="72"/>
      <c r="UEC166" s="72"/>
      <c r="UED166" s="72"/>
      <c r="UEE166" s="72"/>
      <c r="UEF166" s="72"/>
      <c r="UEG166" s="72"/>
      <c r="UEH166" s="72"/>
      <c r="UEI166" s="72"/>
      <c r="UEJ166" s="72"/>
      <c r="UEK166" s="72"/>
      <c r="UEL166" s="72"/>
      <c r="UEM166" s="72"/>
      <c r="UEN166" s="72"/>
      <c r="UEO166" s="72"/>
      <c r="UEP166" s="72"/>
      <c r="UEQ166" s="72"/>
      <c r="UER166" s="72"/>
      <c r="UES166" s="72"/>
      <c r="UET166" s="72"/>
      <c r="UEU166" s="72"/>
      <c r="UEV166" s="72"/>
      <c r="UEW166" s="72"/>
      <c r="UEX166" s="72"/>
      <c r="UEY166" s="72"/>
      <c r="UEZ166" s="72"/>
      <c r="UFA166" s="72"/>
      <c r="UFB166" s="72"/>
      <c r="UFC166" s="72"/>
      <c r="UFD166" s="72"/>
      <c r="UFE166" s="72"/>
      <c r="UFF166" s="72"/>
      <c r="UFG166" s="72"/>
      <c r="UFH166" s="72"/>
      <c r="UFI166" s="72"/>
      <c r="UFJ166" s="72"/>
      <c r="UFK166" s="72"/>
      <c r="UFL166" s="72"/>
      <c r="UFM166" s="72"/>
      <c r="UFN166" s="72"/>
      <c r="UFO166" s="72"/>
      <c r="UFP166" s="72"/>
      <c r="UFQ166" s="72"/>
      <c r="UFR166" s="72"/>
      <c r="UFS166" s="72"/>
      <c r="UFT166" s="72"/>
      <c r="UFU166" s="72"/>
      <c r="UFV166" s="72"/>
      <c r="UFW166" s="72"/>
      <c r="UFX166" s="72"/>
      <c r="UFY166" s="72"/>
      <c r="UFZ166" s="72"/>
      <c r="UGA166" s="72"/>
      <c r="UGB166" s="72"/>
      <c r="UGC166" s="72"/>
      <c r="UGD166" s="72"/>
      <c r="UGE166" s="72"/>
      <c r="UGF166" s="72"/>
      <c r="UGG166" s="72"/>
      <c r="UGH166" s="72"/>
      <c r="UGI166" s="72"/>
      <c r="UGJ166" s="72"/>
      <c r="UGK166" s="72"/>
      <c r="UGL166" s="72"/>
      <c r="UGM166" s="72"/>
      <c r="UGN166" s="72"/>
      <c r="UGO166" s="72"/>
      <c r="UGP166" s="72"/>
      <c r="UGQ166" s="72"/>
      <c r="UGR166" s="72"/>
      <c r="UGS166" s="72"/>
      <c r="UGT166" s="72"/>
      <c r="UGU166" s="72"/>
      <c r="UGV166" s="72"/>
      <c r="UGW166" s="72"/>
      <c r="UGX166" s="72"/>
      <c r="UGY166" s="72"/>
      <c r="UGZ166" s="72"/>
      <c r="UHA166" s="72"/>
      <c r="UHB166" s="72"/>
      <c r="UHC166" s="72"/>
      <c r="UHD166" s="72"/>
      <c r="UHE166" s="72"/>
      <c r="UHF166" s="72"/>
      <c r="UHG166" s="72"/>
      <c r="UHH166" s="72"/>
      <c r="UHI166" s="72"/>
      <c r="UHJ166" s="72"/>
      <c r="UHK166" s="72"/>
      <c r="UHL166" s="72"/>
      <c r="UHM166" s="72"/>
      <c r="UHN166" s="72"/>
      <c r="UHO166" s="72"/>
      <c r="UHP166" s="72"/>
      <c r="UHQ166" s="72"/>
      <c r="UHR166" s="72"/>
      <c r="UHS166" s="72"/>
      <c r="UHT166" s="72"/>
      <c r="UHU166" s="72"/>
      <c r="UHV166" s="72"/>
      <c r="UHW166" s="72"/>
      <c r="UHX166" s="72"/>
      <c r="UHY166" s="72"/>
      <c r="UHZ166" s="72"/>
      <c r="UIA166" s="72"/>
      <c r="UIB166" s="72"/>
      <c r="UIC166" s="72"/>
      <c r="UID166" s="72"/>
      <c r="UIE166" s="72"/>
      <c r="UIF166" s="72"/>
      <c r="UIG166" s="72"/>
      <c r="UIH166" s="72"/>
      <c r="UII166" s="72"/>
      <c r="UIJ166" s="72"/>
      <c r="UIK166" s="72"/>
      <c r="UIL166" s="72"/>
      <c r="UIM166" s="72"/>
      <c r="UIN166" s="72"/>
      <c r="UIO166" s="72"/>
      <c r="UIP166" s="72"/>
      <c r="UIQ166" s="72"/>
      <c r="UIR166" s="72"/>
      <c r="UIS166" s="72"/>
      <c r="UIT166" s="72"/>
      <c r="UIU166" s="72"/>
      <c r="UIV166" s="72"/>
      <c r="UIW166" s="72"/>
      <c r="UIX166" s="72"/>
      <c r="UIY166" s="72"/>
      <c r="UIZ166" s="72"/>
      <c r="UJA166" s="72"/>
      <c r="UJB166" s="72"/>
      <c r="UJC166" s="72"/>
      <c r="UJD166" s="72"/>
      <c r="UJE166" s="72"/>
      <c r="UJF166" s="72"/>
      <c r="UJG166" s="72"/>
      <c r="UJH166" s="72"/>
      <c r="UJI166" s="72"/>
      <c r="UJJ166" s="72"/>
      <c r="UJK166" s="72"/>
      <c r="UJL166" s="72"/>
      <c r="UJM166" s="72"/>
      <c r="UJN166" s="72"/>
      <c r="UJO166" s="72"/>
      <c r="UJP166" s="72"/>
      <c r="UJQ166" s="72"/>
      <c r="UJR166" s="72"/>
      <c r="UJS166" s="72"/>
      <c r="UJT166" s="72"/>
      <c r="UJU166" s="72"/>
      <c r="UJV166" s="72"/>
      <c r="UJW166" s="72"/>
      <c r="UJX166" s="72"/>
      <c r="UJY166" s="72"/>
      <c r="UJZ166" s="72"/>
      <c r="UKA166" s="72"/>
      <c r="UKB166" s="72"/>
      <c r="UKC166" s="72"/>
      <c r="UKD166" s="72"/>
      <c r="UKE166" s="72"/>
      <c r="UKF166" s="72"/>
      <c r="UKG166" s="72"/>
      <c r="UKH166" s="72"/>
      <c r="UKI166" s="72"/>
      <c r="UKJ166" s="72"/>
      <c r="UKK166" s="72"/>
      <c r="UKL166" s="72"/>
      <c r="UKM166" s="72"/>
      <c r="UKN166" s="72"/>
      <c r="UKO166" s="72"/>
      <c r="UKP166" s="72"/>
      <c r="UKQ166" s="72"/>
      <c r="UKR166" s="72"/>
      <c r="UKS166" s="72"/>
      <c r="UKT166" s="72"/>
      <c r="UKU166" s="72"/>
      <c r="UKV166" s="72"/>
      <c r="UKW166" s="72"/>
      <c r="UKX166" s="72"/>
      <c r="UKY166" s="72"/>
      <c r="UKZ166" s="72"/>
      <c r="ULA166" s="72"/>
      <c r="ULB166" s="72"/>
      <c r="ULC166" s="72"/>
      <c r="ULD166" s="72"/>
      <c r="ULE166" s="72"/>
      <c r="ULF166" s="72"/>
      <c r="ULG166" s="72"/>
      <c r="ULH166" s="72"/>
      <c r="ULI166" s="72"/>
      <c r="ULJ166" s="72"/>
      <c r="ULK166" s="72"/>
      <c r="ULL166" s="72"/>
      <c r="ULM166" s="72"/>
      <c r="ULN166" s="72"/>
      <c r="ULO166" s="72"/>
      <c r="ULP166" s="72"/>
      <c r="ULQ166" s="72"/>
      <c r="ULR166" s="72"/>
      <c r="ULS166" s="72"/>
      <c r="ULT166" s="72"/>
      <c r="ULU166" s="72"/>
      <c r="ULV166" s="72"/>
      <c r="ULW166" s="72"/>
      <c r="ULX166" s="72"/>
      <c r="ULY166" s="72"/>
      <c r="ULZ166" s="72"/>
      <c r="UMA166" s="72"/>
      <c r="UMB166" s="72"/>
      <c r="UMC166" s="72"/>
      <c r="UMD166" s="72"/>
      <c r="UME166" s="72"/>
      <c r="UMF166" s="72"/>
      <c r="UMG166" s="72"/>
      <c r="UMH166" s="72"/>
      <c r="UMI166" s="72"/>
      <c r="UMJ166" s="72"/>
      <c r="UMK166" s="72"/>
      <c r="UML166" s="72"/>
      <c r="UMM166" s="72"/>
      <c r="UMN166" s="72"/>
      <c r="UMO166" s="72"/>
      <c r="UMP166" s="72"/>
      <c r="UMQ166" s="72"/>
      <c r="UMR166" s="72"/>
      <c r="UMS166" s="72"/>
      <c r="UMT166" s="72"/>
      <c r="UMU166" s="72"/>
      <c r="UMV166" s="72"/>
      <c r="UMW166" s="72"/>
      <c r="UMX166" s="72"/>
      <c r="UMY166" s="72"/>
      <c r="UMZ166" s="72"/>
      <c r="UNA166" s="72"/>
      <c r="UNB166" s="72"/>
      <c r="UNC166" s="72"/>
      <c r="UND166" s="72"/>
      <c r="UNE166" s="72"/>
      <c r="UNF166" s="72"/>
      <c r="UNG166" s="72"/>
      <c r="UNH166" s="72"/>
      <c r="UNI166" s="72"/>
      <c r="UNJ166" s="72"/>
      <c r="UNK166" s="72"/>
      <c r="UNL166" s="72"/>
      <c r="UNM166" s="72"/>
      <c r="UNN166" s="72"/>
      <c r="UNO166" s="72"/>
      <c r="UNP166" s="72"/>
      <c r="UNQ166" s="72"/>
      <c r="UNR166" s="72"/>
      <c r="UNS166" s="72"/>
      <c r="UNT166" s="72"/>
      <c r="UNU166" s="72"/>
      <c r="UNV166" s="72"/>
      <c r="UNW166" s="72"/>
      <c r="UNX166" s="72"/>
      <c r="UNY166" s="72"/>
      <c r="UNZ166" s="72"/>
      <c r="UOA166" s="72"/>
      <c r="UOB166" s="72"/>
      <c r="UOC166" s="72"/>
      <c r="UOD166" s="72"/>
      <c r="UOE166" s="72"/>
      <c r="UOF166" s="72"/>
      <c r="UOG166" s="72"/>
      <c r="UOH166" s="72"/>
      <c r="UOI166" s="72"/>
      <c r="UOJ166" s="72"/>
      <c r="UOK166" s="72"/>
      <c r="UOL166" s="72"/>
      <c r="UOM166" s="72"/>
      <c r="UON166" s="72"/>
      <c r="UOO166" s="72"/>
      <c r="UOP166" s="72"/>
      <c r="UOQ166" s="72"/>
      <c r="UOR166" s="72"/>
      <c r="UOS166" s="72"/>
      <c r="UOT166" s="72"/>
      <c r="UOU166" s="72"/>
      <c r="UOV166" s="72"/>
      <c r="UOW166" s="72"/>
      <c r="UOX166" s="72"/>
      <c r="UOY166" s="72"/>
      <c r="UOZ166" s="72"/>
      <c r="UPA166" s="72"/>
      <c r="UPB166" s="72"/>
      <c r="UPC166" s="72"/>
      <c r="UPD166" s="72"/>
      <c r="UPE166" s="72"/>
      <c r="UPF166" s="72"/>
      <c r="UPG166" s="72"/>
      <c r="UPH166" s="72"/>
      <c r="UPI166" s="72"/>
      <c r="UPJ166" s="72"/>
      <c r="UPK166" s="72"/>
      <c r="UPL166" s="72"/>
      <c r="UPM166" s="72"/>
      <c r="UPN166" s="72"/>
      <c r="UPO166" s="72"/>
      <c r="UPP166" s="72"/>
      <c r="UPQ166" s="72"/>
      <c r="UPR166" s="72"/>
      <c r="UPS166" s="72"/>
      <c r="UPT166" s="72"/>
      <c r="UPU166" s="72"/>
      <c r="UPV166" s="72"/>
      <c r="UPW166" s="72"/>
      <c r="UPX166" s="72"/>
      <c r="UPY166" s="72"/>
      <c r="UPZ166" s="72"/>
      <c r="UQA166" s="72"/>
      <c r="UQB166" s="72"/>
      <c r="UQC166" s="72"/>
      <c r="UQD166" s="72"/>
      <c r="UQE166" s="72"/>
      <c r="UQF166" s="72"/>
      <c r="UQG166" s="72"/>
      <c r="UQH166" s="72"/>
      <c r="UQI166" s="72"/>
      <c r="UQJ166" s="72"/>
      <c r="UQK166" s="72"/>
      <c r="UQL166" s="72"/>
      <c r="UQM166" s="72"/>
      <c r="UQN166" s="72"/>
      <c r="UQO166" s="72"/>
      <c r="UQP166" s="72"/>
      <c r="UQQ166" s="72"/>
      <c r="UQR166" s="72"/>
      <c r="UQS166" s="72"/>
      <c r="UQT166" s="72"/>
      <c r="UQU166" s="72"/>
      <c r="UQV166" s="72"/>
      <c r="UQW166" s="72"/>
      <c r="UQX166" s="72"/>
      <c r="UQY166" s="72"/>
      <c r="UQZ166" s="72"/>
      <c r="URA166" s="72"/>
      <c r="URB166" s="72"/>
      <c r="URC166" s="72"/>
      <c r="URD166" s="72"/>
      <c r="URE166" s="72"/>
      <c r="URF166" s="72"/>
      <c r="URG166" s="72"/>
      <c r="URH166" s="72"/>
      <c r="URI166" s="72"/>
      <c r="URJ166" s="72"/>
      <c r="URK166" s="72"/>
      <c r="URL166" s="72"/>
      <c r="URM166" s="72"/>
      <c r="URN166" s="72"/>
      <c r="URO166" s="72"/>
      <c r="URP166" s="72"/>
      <c r="URQ166" s="72"/>
      <c r="URR166" s="72"/>
      <c r="URS166" s="72"/>
      <c r="URT166" s="72"/>
      <c r="URU166" s="72"/>
      <c r="URV166" s="72"/>
      <c r="URW166" s="72"/>
      <c r="URX166" s="72"/>
      <c r="URY166" s="72"/>
      <c r="URZ166" s="72"/>
      <c r="USA166" s="72"/>
      <c r="USB166" s="72"/>
      <c r="USC166" s="72"/>
      <c r="USD166" s="72"/>
      <c r="USE166" s="72"/>
      <c r="USF166" s="72"/>
      <c r="USG166" s="72"/>
      <c r="USH166" s="72"/>
      <c r="USI166" s="72"/>
      <c r="USJ166" s="72"/>
      <c r="USK166" s="72"/>
      <c r="USL166" s="72"/>
      <c r="USM166" s="72"/>
      <c r="USN166" s="72"/>
      <c r="USO166" s="72"/>
      <c r="USP166" s="72"/>
      <c r="USQ166" s="72"/>
      <c r="USR166" s="72"/>
      <c r="USS166" s="72"/>
      <c r="UST166" s="72"/>
      <c r="USU166" s="72"/>
      <c r="USV166" s="72"/>
      <c r="USW166" s="72"/>
      <c r="USX166" s="72"/>
      <c r="USY166" s="72"/>
      <c r="USZ166" s="72"/>
      <c r="UTA166" s="72"/>
      <c r="UTB166" s="72"/>
      <c r="UTC166" s="72"/>
      <c r="UTD166" s="72"/>
      <c r="UTE166" s="72"/>
      <c r="UTF166" s="72"/>
      <c r="UTG166" s="72"/>
      <c r="UTH166" s="72"/>
      <c r="UTI166" s="72"/>
      <c r="UTJ166" s="72"/>
      <c r="UTK166" s="72"/>
      <c r="UTL166" s="72"/>
      <c r="UTM166" s="72"/>
      <c r="UTN166" s="72"/>
      <c r="UTO166" s="72"/>
      <c r="UTP166" s="72"/>
      <c r="UTQ166" s="72"/>
      <c r="UTR166" s="72"/>
      <c r="UTS166" s="72"/>
      <c r="UTT166" s="72"/>
      <c r="UTU166" s="72"/>
      <c r="UTV166" s="72"/>
      <c r="UTW166" s="72"/>
      <c r="UTX166" s="72"/>
      <c r="UTY166" s="72"/>
      <c r="UTZ166" s="72"/>
      <c r="UUA166" s="72"/>
      <c r="UUB166" s="72"/>
      <c r="UUC166" s="72"/>
      <c r="UUD166" s="72"/>
      <c r="UUE166" s="72"/>
      <c r="UUF166" s="72"/>
      <c r="UUG166" s="72"/>
      <c r="UUH166" s="72"/>
      <c r="UUI166" s="72"/>
      <c r="UUJ166" s="72"/>
      <c r="UUK166" s="72"/>
      <c r="UUL166" s="72"/>
      <c r="UUM166" s="72"/>
      <c r="UUN166" s="72"/>
      <c r="UUO166" s="72"/>
      <c r="UUP166" s="72"/>
      <c r="UUQ166" s="72"/>
      <c r="UUR166" s="72"/>
      <c r="UUS166" s="72"/>
      <c r="UUT166" s="72"/>
      <c r="UUU166" s="72"/>
      <c r="UUV166" s="72"/>
      <c r="UUW166" s="72"/>
      <c r="UUX166" s="72"/>
      <c r="UUY166" s="72"/>
      <c r="UUZ166" s="72"/>
      <c r="UVA166" s="72"/>
      <c r="UVB166" s="72"/>
      <c r="UVC166" s="72"/>
      <c r="UVD166" s="72"/>
      <c r="UVE166" s="72"/>
      <c r="UVF166" s="72"/>
      <c r="UVG166" s="72"/>
      <c r="UVH166" s="72"/>
      <c r="UVI166" s="72"/>
      <c r="UVJ166" s="72"/>
      <c r="UVK166" s="72"/>
      <c r="UVL166" s="72"/>
      <c r="UVM166" s="72"/>
      <c r="UVN166" s="72"/>
      <c r="UVO166" s="72"/>
      <c r="UVP166" s="72"/>
      <c r="UVQ166" s="72"/>
      <c r="UVR166" s="72"/>
      <c r="UVS166" s="72"/>
      <c r="UVT166" s="72"/>
      <c r="UVU166" s="72"/>
      <c r="UVV166" s="72"/>
      <c r="UVW166" s="72"/>
      <c r="UVX166" s="72"/>
      <c r="UVY166" s="72"/>
      <c r="UVZ166" s="72"/>
      <c r="UWA166" s="72"/>
      <c r="UWB166" s="72"/>
      <c r="UWC166" s="72"/>
      <c r="UWD166" s="72"/>
      <c r="UWE166" s="72"/>
      <c r="UWF166" s="72"/>
      <c r="UWG166" s="72"/>
      <c r="UWH166" s="72"/>
      <c r="UWI166" s="72"/>
      <c r="UWJ166" s="72"/>
      <c r="UWK166" s="72"/>
      <c r="UWL166" s="72"/>
      <c r="UWM166" s="72"/>
      <c r="UWN166" s="72"/>
      <c r="UWO166" s="72"/>
      <c r="UWP166" s="72"/>
      <c r="UWQ166" s="72"/>
      <c r="UWR166" s="72"/>
      <c r="UWS166" s="72"/>
      <c r="UWT166" s="72"/>
      <c r="UWU166" s="72"/>
      <c r="UWV166" s="72"/>
      <c r="UWW166" s="72"/>
      <c r="UWX166" s="72"/>
      <c r="UWY166" s="72"/>
      <c r="UWZ166" s="72"/>
      <c r="UXA166" s="72"/>
      <c r="UXB166" s="72"/>
      <c r="UXC166" s="72"/>
      <c r="UXD166" s="72"/>
      <c r="UXE166" s="72"/>
      <c r="UXF166" s="72"/>
      <c r="UXG166" s="72"/>
      <c r="UXH166" s="72"/>
      <c r="UXI166" s="72"/>
      <c r="UXJ166" s="72"/>
      <c r="UXK166" s="72"/>
      <c r="UXL166" s="72"/>
      <c r="UXM166" s="72"/>
      <c r="UXN166" s="72"/>
      <c r="UXO166" s="72"/>
      <c r="UXP166" s="72"/>
      <c r="UXQ166" s="72"/>
      <c r="UXR166" s="72"/>
      <c r="UXS166" s="72"/>
      <c r="UXT166" s="72"/>
      <c r="UXU166" s="72"/>
      <c r="UXV166" s="72"/>
      <c r="UXW166" s="72"/>
      <c r="UXX166" s="72"/>
      <c r="UXY166" s="72"/>
      <c r="UXZ166" s="72"/>
      <c r="UYA166" s="72"/>
      <c r="UYB166" s="72"/>
      <c r="UYC166" s="72"/>
      <c r="UYD166" s="72"/>
      <c r="UYE166" s="72"/>
      <c r="UYF166" s="72"/>
      <c r="UYG166" s="72"/>
      <c r="UYH166" s="72"/>
      <c r="UYI166" s="72"/>
      <c r="UYJ166" s="72"/>
      <c r="UYK166" s="72"/>
      <c r="UYL166" s="72"/>
      <c r="UYM166" s="72"/>
      <c r="UYN166" s="72"/>
      <c r="UYO166" s="72"/>
      <c r="UYP166" s="72"/>
      <c r="UYQ166" s="72"/>
      <c r="UYR166" s="72"/>
      <c r="UYS166" s="72"/>
      <c r="UYT166" s="72"/>
      <c r="UYU166" s="72"/>
      <c r="UYV166" s="72"/>
      <c r="UYW166" s="72"/>
      <c r="UYX166" s="72"/>
      <c r="UYY166" s="72"/>
      <c r="UYZ166" s="72"/>
      <c r="UZA166" s="72"/>
      <c r="UZB166" s="72"/>
      <c r="UZC166" s="72"/>
      <c r="UZD166" s="72"/>
      <c r="UZE166" s="72"/>
      <c r="UZF166" s="72"/>
      <c r="UZG166" s="72"/>
      <c r="UZH166" s="72"/>
      <c r="UZI166" s="72"/>
      <c r="UZJ166" s="72"/>
      <c r="UZK166" s="72"/>
      <c r="UZL166" s="72"/>
      <c r="UZM166" s="72"/>
      <c r="UZN166" s="72"/>
      <c r="UZO166" s="72"/>
      <c r="UZP166" s="72"/>
      <c r="UZQ166" s="72"/>
      <c r="UZR166" s="72"/>
      <c r="UZS166" s="72"/>
      <c r="UZT166" s="72"/>
      <c r="UZU166" s="72"/>
      <c r="UZV166" s="72"/>
      <c r="UZW166" s="72"/>
      <c r="UZX166" s="72"/>
      <c r="UZY166" s="72"/>
      <c r="UZZ166" s="72"/>
      <c r="VAA166" s="72"/>
      <c r="VAB166" s="72"/>
      <c r="VAC166" s="72"/>
      <c r="VAD166" s="72"/>
      <c r="VAE166" s="72"/>
      <c r="VAF166" s="72"/>
      <c r="VAG166" s="72"/>
      <c r="VAH166" s="72"/>
      <c r="VAI166" s="72"/>
      <c r="VAJ166" s="72"/>
      <c r="VAK166" s="72"/>
      <c r="VAL166" s="72"/>
      <c r="VAM166" s="72"/>
      <c r="VAN166" s="72"/>
      <c r="VAO166" s="72"/>
      <c r="VAP166" s="72"/>
      <c r="VAQ166" s="72"/>
      <c r="VAR166" s="72"/>
      <c r="VAS166" s="72"/>
      <c r="VAT166" s="72"/>
      <c r="VAU166" s="72"/>
      <c r="VAV166" s="72"/>
      <c r="VAW166" s="72"/>
      <c r="VAX166" s="72"/>
      <c r="VAY166" s="72"/>
      <c r="VAZ166" s="72"/>
      <c r="VBA166" s="72"/>
      <c r="VBB166" s="72"/>
      <c r="VBC166" s="72"/>
      <c r="VBD166" s="72"/>
      <c r="VBE166" s="72"/>
      <c r="VBF166" s="72"/>
      <c r="VBG166" s="72"/>
      <c r="VBH166" s="72"/>
      <c r="VBI166" s="72"/>
      <c r="VBJ166" s="72"/>
      <c r="VBK166" s="72"/>
      <c r="VBL166" s="72"/>
      <c r="VBM166" s="72"/>
      <c r="VBN166" s="72"/>
      <c r="VBO166" s="72"/>
      <c r="VBP166" s="72"/>
      <c r="VBQ166" s="72"/>
      <c r="VBR166" s="72"/>
      <c r="VBS166" s="72"/>
      <c r="VBT166" s="72"/>
      <c r="VBU166" s="72"/>
      <c r="VBV166" s="72"/>
      <c r="VBW166" s="72"/>
      <c r="VBX166" s="72"/>
      <c r="VBY166" s="72"/>
      <c r="VBZ166" s="72"/>
      <c r="VCA166" s="72"/>
      <c r="VCB166" s="72"/>
      <c r="VCC166" s="72"/>
      <c r="VCD166" s="72"/>
      <c r="VCE166" s="72"/>
      <c r="VCF166" s="72"/>
      <c r="VCG166" s="72"/>
      <c r="VCH166" s="72"/>
      <c r="VCI166" s="72"/>
      <c r="VCJ166" s="72"/>
      <c r="VCK166" s="72"/>
      <c r="VCL166" s="72"/>
      <c r="VCM166" s="72"/>
      <c r="VCN166" s="72"/>
      <c r="VCO166" s="72"/>
      <c r="VCP166" s="72"/>
      <c r="VCQ166" s="72"/>
      <c r="VCR166" s="72"/>
      <c r="VCS166" s="72"/>
      <c r="VCT166" s="72"/>
      <c r="VCU166" s="72"/>
      <c r="VCV166" s="72"/>
      <c r="VCW166" s="72"/>
      <c r="VCX166" s="72"/>
      <c r="VCY166" s="72"/>
      <c r="VCZ166" s="72"/>
      <c r="VDA166" s="72"/>
      <c r="VDB166" s="72"/>
      <c r="VDC166" s="72"/>
      <c r="VDD166" s="72"/>
      <c r="VDE166" s="72"/>
      <c r="VDF166" s="72"/>
      <c r="VDG166" s="72"/>
      <c r="VDH166" s="72"/>
      <c r="VDI166" s="72"/>
      <c r="VDJ166" s="72"/>
      <c r="VDK166" s="72"/>
      <c r="VDL166" s="72"/>
      <c r="VDM166" s="72"/>
      <c r="VDN166" s="72"/>
      <c r="VDO166" s="72"/>
      <c r="VDP166" s="72"/>
      <c r="VDQ166" s="72"/>
      <c r="VDR166" s="72"/>
      <c r="VDS166" s="72"/>
      <c r="VDT166" s="72"/>
      <c r="VDU166" s="72"/>
      <c r="VDV166" s="72"/>
      <c r="VDW166" s="72"/>
      <c r="VDX166" s="72"/>
      <c r="VDY166" s="72"/>
      <c r="VDZ166" s="72"/>
      <c r="VEA166" s="72"/>
      <c r="VEB166" s="72"/>
      <c r="VEC166" s="72"/>
      <c r="VED166" s="72"/>
      <c r="VEE166" s="72"/>
      <c r="VEF166" s="72"/>
      <c r="VEG166" s="72"/>
      <c r="VEH166" s="72"/>
      <c r="VEI166" s="72"/>
      <c r="VEJ166" s="72"/>
      <c r="VEK166" s="72"/>
      <c r="VEL166" s="72"/>
      <c r="VEM166" s="72"/>
      <c r="VEN166" s="72"/>
      <c r="VEO166" s="72"/>
      <c r="VEP166" s="72"/>
      <c r="VEQ166" s="72"/>
      <c r="VER166" s="72"/>
      <c r="VES166" s="72"/>
      <c r="VET166" s="72"/>
      <c r="VEU166" s="72"/>
      <c r="VEV166" s="72"/>
      <c r="VEW166" s="72"/>
      <c r="VEX166" s="72"/>
      <c r="VEY166" s="72"/>
      <c r="VEZ166" s="72"/>
      <c r="VFA166" s="72"/>
      <c r="VFB166" s="72"/>
      <c r="VFC166" s="72"/>
      <c r="VFD166" s="72"/>
      <c r="VFE166" s="72"/>
      <c r="VFF166" s="72"/>
      <c r="VFG166" s="72"/>
      <c r="VFH166" s="72"/>
      <c r="VFI166" s="72"/>
      <c r="VFJ166" s="72"/>
      <c r="VFK166" s="72"/>
      <c r="VFL166" s="72"/>
      <c r="VFM166" s="72"/>
      <c r="VFN166" s="72"/>
      <c r="VFO166" s="72"/>
      <c r="VFP166" s="72"/>
      <c r="VFQ166" s="72"/>
      <c r="VFR166" s="72"/>
      <c r="VFS166" s="72"/>
      <c r="VFT166" s="72"/>
      <c r="VFU166" s="72"/>
      <c r="VFV166" s="72"/>
      <c r="VFW166" s="72"/>
      <c r="VFX166" s="72"/>
      <c r="VFY166" s="72"/>
      <c r="VFZ166" s="72"/>
      <c r="VGA166" s="72"/>
      <c r="VGB166" s="72"/>
      <c r="VGC166" s="72"/>
      <c r="VGD166" s="72"/>
      <c r="VGE166" s="72"/>
      <c r="VGF166" s="72"/>
      <c r="VGG166" s="72"/>
      <c r="VGH166" s="72"/>
      <c r="VGI166" s="72"/>
      <c r="VGJ166" s="72"/>
      <c r="VGK166" s="72"/>
      <c r="VGL166" s="72"/>
      <c r="VGM166" s="72"/>
      <c r="VGN166" s="72"/>
      <c r="VGO166" s="72"/>
      <c r="VGP166" s="72"/>
      <c r="VGQ166" s="72"/>
      <c r="VGR166" s="72"/>
      <c r="VGS166" s="72"/>
      <c r="VGT166" s="72"/>
      <c r="VGU166" s="72"/>
      <c r="VGV166" s="72"/>
      <c r="VGW166" s="72"/>
      <c r="VGX166" s="72"/>
      <c r="VGY166" s="72"/>
      <c r="VGZ166" s="72"/>
      <c r="VHA166" s="72"/>
      <c r="VHB166" s="72"/>
      <c r="VHC166" s="72"/>
      <c r="VHD166" s="72"/>
      <c r="VHE166" s="72"/>
      <c r="VHF166" s="72"/>
      <c r="VHG166" s="72"/>
      <c r="VHH166" s="72"/>
      <c r="VHI166" s="72"/>
      <c r="VHJ166" s="72"/>
      <c r="VHK166" s="72"/>
      <c r="VHL166" s="72"/>
      <c r="VHM166" s="72"/>
      <c r="VHN166" s="72"/>
      <c r="VHO166" s="72"/>
      <c r="VHP166" s="72"/>
      <c r="VHQ166" s="72"/>
      <c r="VHR166" s="72"/>
      <c r="VHS166" s="72"/>
      <c r="VHT166" s="72"/>
      <c r="VHU166" s="72"/>
      <c r="VHV166" s="72"/>
      <c r="VHW166" s="72"/>
      <c r="VHX166" s="72"/>
      <c r="VHY166" s="72"/>
      <c r="VHZ166" s="72"/>
      <c r="VIA166" s="72"/>
      <c r="VIB166" s="72"/>
      <c r="VIC166" s="72"/>
      <c r="VID166" s="72"/>
      <c r="VIE166" s="72"/>
      <c r="VIF166" s="72"/>
      <c r="VIG166" s="72"/>
      <c r="VIH166" s="72"/>
      <c r="VII166" s="72"/>
      <c r="VIJ166" s="72"/>
      <c r="VIK166" s="72"/>
      <c r="VIL166" s="72"/>
      <c r="VIM166" s="72"/>
      <c r="VIN166" s="72"/>
      <c r="VIO166" s="72"/>
      <c r="VIP166" s="72"/>
      <c r="VIQ166" s="72"/>
      <c r="VIR166" s="72"/>
      <c r="VIS166" s="72"/>
      <c r="VIT166" s="72"/>
      <c r="VIU166" s="72"/>
      <c r="VIV166" s="72"/>
      <c r="VIW166" s="72"/>
      <c r="VIX166" s="72"/>
      <c r="VIY166" s="72"/>
      <c r="VIZ166" s="72"/>
      <c r="VJA166" s="72"/>
      <c r="VJB166" s="72"/>
      <c r="VJC166" s="72"/>
      <c r="VJD166" s="72"/>
      <c r="VJE166" s="72"/>
      <c r="VJF166" s="72"/>
      <c r="VJG166" s="72"/>
      <c r="VJH166" s="72"/>
      <c r="VJI166" s="72"/>
      <c r="VJJ166" s="72"/>
      <c r="VJK166" s="72"/>
      <c r="VJL166" s="72"/>
      <c r="VJM166" s="72"/>
      <c r="VJN166" s="72"/>
      <c r="VJO166" s="72"/>
      <c r="VJP166" s="72"/>
      <c r="VJQ166" s="72"/>
      <c r="VJR166" s="72"/>
      <c r="VJS166" s="72"/>
      <c r="VJT166" s="72"/>
      <c r="VJU166" s="72"/>
      <c r="VJV166" s="72"/>
      <c r="VJW166" s="72"/>
      <c r="VJX166" s="72"/>
      <c r="VJY166" s="72"/>
      <c r="VJZ166" s="72"/>
      <c r="VKA166" s="72"/>
      <c r="VKB166" s="72"/>
      <c r="VKC166" s="72"/>
      <c r="VKD166" s="72"/>
      <c r="VKE166" s="72"/>
      <c r="VKF166" s="72"/>
      <c r="VKG166" s="72"/>
      <c r="VKH166" s="72"/>
      <c r="VKI166" s="72"/>
      <c r="VKJ166" s="72"/>
      <c r="VKK166" s="72"/>
      <c r="VKL166" s="72"/>
      <c r="VKM166" s="72"/>
      <c r="VKN166" s="72"/>
      <c r="VKO166" s="72"/>
      <c r="VKP166" s="72"/>
      <c r="VKQ166" s="72"/>
      <c r="VKR166" s="72"/>
      <c r="VKS166" s="72"/>
      <c r="VKT166" s="72"/>
      <c r="VKU166" s="72"/>
      <c r="VKV166" s="72"/>
      <c r="VKW166" s="72"/>
      <c r="VKX166" s="72"/>
      <c r="VKY166" s="72"/>
      <c r="VKZ166" s="72"/>
      <c r="VLA166" s="72"/>
      <c r="VLB166" s="72"/>
      <c r="VLC166" s="72"/>
      <c r="VLD166" s="72"/>
      <c r="VLE166" s="72"/>
      <c r="VLF166" s="72"/>
      <c r="VLG166" s="72"/>
      <c r="VLH166" s="72"/>
      <c r="VLI166" s="72"/>
      <c r="VLJ166" s="72"/>
      <c r="VLK166" s="72"/>
      <c r="VLL166" s="72"/>
      <c r="VLM166" s="72"/>
      <c r="VLN166" s="72"/>
      <c r="VLO166" s="72"/>
      <c r="VLP166" s="72"/>
      <c r="VLQ166" s="72"/>
      <c r="VLR166" s="72"/>
      <c r="VLS166" s="72"/>
      <c r="VLT166" s="72"/>
      <c r="VLU166" s="72"/>
      <c r="VLV166" s="72"/>
      <c r="VLW166" s="72"/>
      <c r="VLX166" s="72"/>
      <c r="VLY166" s="72"/>
      <c r="VLZ166" s="72"/>
      <c r="VMA166" s="72"/>
      <c r="VMB166" s="72"/>
      <c r="VMC166" s="72"/>
      <c r="VMD166" s="72"/>
      <c r="VME166" s="72"/>
      <c r="VMF166" s="72"/>
      <c r="VMG166" s="72"/>
      <c r="VMH166" s="72"/>
      <c r="VMI166" s="72"/>
      <c r="VMJ166" s="72"/>
      <c r="VMK166" s="72"/>
      <c r="VML166" s="72"/>
      <c r="VMM166" s="72"/>
      <c r="VMN166" s="72"/>
      <c r="VMO166" s="72"/>
      <c r="VMP166" s="72"/>
      <c r="VMQ166" s="72"/>
      <c r="VMR166" s="72"/>
      <c r="VMS166" s="72"/>
      <c r="VMT166" s="72"/>
      <c r="VMU166" s="72"/>
      <c r="VMV166" s="72"/>
      <c r="VMW166" s="72"/>
      <c r="VMX166" s="72"/>
      <c r="VMY166" s="72"/>
      <c r="VMZ166" s="72"/>
      <c r="VNA166" s="72"/>
      <c r="VNB166" s="72"/>
      <c r="VNC166" s="72"/>
      <c r="VND166" s="72"/>
      <c r="VNE166" s="72"/>
      <c r="VNF166" s="72"/>
      <c r="VNG166" s="72"/>
      <c r="VNH166" s="72"/>
      <c r="VNI166" s="72"/>
      <c r="VNJ166" s="72"/>
      <c r="VNK166" s="72"/>
      <c r="VNL166" s="72"/>
      <c r="VNM166" s="72"/>
      <c r="VNN166" s="72"/>
      <c r="VNO166" s="72"/>
      <c r="VNP166" s="72"/>
      <c r="VNQ166" s="72"/>
      <c r="VNR166" s="72"/>
      <c r="VNS166" s="72"/>
      <c r="VNT166" s="72"/>
      <c r="VNU166" s="72"/>
      <c r="VNV166" s="72"/>
      <c r="VNW166" s="72"/>
      <c r="VNX166" s="72"/>
      <c r="VNY166" s="72"/>
      <c r="VNZ166" s="72"/>
      <c r="VOA166" s="72"/>
      <c r="VOB166" s="72"/>
      <c r="VOC166" s="72"/>
      <c r="VOD166" s="72"/>
      <c r="VOE166" s="72"/>
      <c r="VOF166" s="72"/>
      <c r="VOG166" s="72"/>
      <c r="VOH166" s="72"/>
      <c r="VOI166" s="72"/>
      <c r="VOJ166" s="72"/>
      <c r="VOK166" s="72"/>
      <c r="VOL166" s="72"/>
      <c r="VOM166" s="72"/>
      <c r="VON166" s="72"/>
      <c r="VOO166" s="72"/>
      <c r="VOP166" s="72"/>
      <c r="VOQ166" s="72"/>
      <c r="VOR166" s="72"/>
      <c r="VOS166" s="72"/>
      <c r="VOT166" s="72"/>
      <c r="VOU166" s="72"/>
      <c r="VOV166" s="72"/>
      <c r="VOW166" s="72"/>
      <c r="VOX166" s="72"/>
      <c r="VOY166" s="72"/>
      <c r="VOZ166" s="72"/>
      <c r="VPA166" s="72"/>
      <c r="VPB166" s="72"/>
      <c r="VPC166" s="72"/>
      <c r="VPD166" s="72"/>
      <c r="VPE166" s="72"/>
      <c r="VPF166" s="72"/>
      <c r="VPG166" s="72"/>
      <c r="VPH166" s="72"/>
      <c r="VPI166" s="72"/>
      <c r="VPJ166" s="72"/>
      <c r="VPK166" s="72"/>
      <c r="VPL166" s="72"/>
      <c r="VPM166" s="72"/>
      <c r="VPN166" s="72"/>
      <c r="VPO166" s="72"/>
      <c r="VPP166" s="72"/>
      <c r="VPQ166" s="72"/>
      <c r="VPR166" s="72"/>
      <c r="VPS166" s="72"/>
      <c r="VPT166" s="72"/>
      <c r="VPU166" s="72"/>
      <c r="VPV166" s="72"/>
      <c r="VPW166" s="72"/>
      <c r="VPX166" s="72"/>
      <c r="VPY166" s="72"/>
      <c r="VPZ166" s="72"/>
      <c r="VQA166" s="72"/>
      <c r="VQB166" s="72"/>
      <c r="VQC166" s="72"/>
      <c r="VQD166" s="72"/>
      <c r="VQE166" s="72"/>
      <c r="VQF166" s="72"/>
      <c r="VQG166" s="72"/>
      <c r="VQH166" s="72"/>
      <c r="VQI166" s="72"/>
      <c r="VQJ166" s="72"/>
      <c r="VQK166" s="72"/>
      <c r="VQL166" s="72"/>
      <c r="VQM166" s="72"/>
      <c r="VQN166" s="72"/>
      <c r="VQO166" s="72"/>
      <c r="VQP166" s="72"/>
      <c r="VQQ166" s="72"/>
      <c r="VQR166" s="72"/>
      <c r="VQS166" s="72"/>
      <c r="VQT166" s="72"/>
      <c r="VQU166" s="72"/>
      <c r="VQV166" s="72"/>
      <c r="VQW166" s="72"/>
      <c r="VQX166" s="72"/>
      <c r="VQY166" s="72"/>
      <c r="VQZ166" s="72"/>
      <c r="VRA166" s="72"/>
      <c r="VRB166" s="72"/>
      <c r="VRC166" s="72"/>
      <c r="VRD166" s="72"/>
      <c r="VRE166" s="72"/>
      <c r="VRF166" s="72"/>
      <c r="VRG166" s="72"/>
      <c r="VRH166" s="72"/>
      <c r="VRI166" s="72"/>
      <c r="VRJ166" s="72"/>
      <c r="VRK166" s="72"/>
      <c r="VRL166" s="72"/>
      <c r="VRM166" s="72"/>
      <c r="VRN166" s="72"/>
      <c r="VRO166" s="72"/>
      <c r="VRP166" s="72"/>
      <c r="VRQ166" s="72"/>
      <c r="VRR166" s="72"/>
      <c r="VRS166" s="72"/>
      <c r="VRT166" s="72"/>
      <c r="VRU166" s="72"/>
      <c r="VRV166" s="72"/>
      <c r="VRW166" s="72"/>
      <c r="VRX166" s="72"/>
      <c r="VRY166" s="72"/>
      <c r="VRZ166" s="72"/>
      <c r="VSA166" s="72"/>
      <c r="VSB166" s="72"/>
      <c r="VSC166" s="72"/>
      <c r="VSD166" s="72"/>
      <c r="VSE166" s="72"/>
      <c r="VSF166" s="72"/>
      <c r="VSG166" s="72"/>
      <c r="VSH166" s="72"/>
      <c r="VSI166" s="72"/>
      <c r="VSJ166" s="72"/>
      <c r="VSK166" s="72"/>
      <c r="VSL166" s="72"/>
      <c r="VSM166" s="72"/>
      <c r="VSN166" s="72"/>
      <c r="VSO166" s="72"/>
      <c r="VSP166" s="72"/>
      <c r="VSQ166" s="72"/>
      <c r="VSR166" s="72"/>
      <c r="VSS166" s="72"/>
      <c r="VST166" s="72"/>
      <c r="VSU166" s="72"/>
      <c r="VSV166" s="72"/>
      <c r="VSW166" s="72"/>
      <c r="VSX166" s="72"/>
      <c r="VSY166" s="72"/>
      <c r="VSZ166" s="72"/>
      <c r="VTA166" s="72"/>
      <c r="VTB166" s="72"/>
      <c r="VTC166" s="72"/>
      <c r="VTD166" s="72"/>
      <c r="VTE166" s="72"/>
      <c r="VTF166" s="72"/>
      <c r="VTG166" s="72"/>
      <c r="VTH166" s="72"/>
      <c r="VTI166" s="72"/>
      <c r="VTJ166" s="72"/>
      <c r="VTK166" s="72"/>
      <c r="VTL166" s="72"/>
      <c r="VTM166" s="72"/>
      <c r="VTN166" s="72"/>
      <c r="VTO166" s="72"/>
      <c r="VTP166" s="72"/>
      <c r="VTQ166" s="72"/>
      <c r="VTR166" s="72"/>
      <c r="VTS166" s="72"/>
      <c r="VTT166" s="72"/>
      <c r="VTU166" s="72"/>
      <c r="VTV166" s="72"/>
      <c r="VTW166" s="72"/>
      <c r="VTX166" s="72"/>
      <c r="VTY166" s="72"/>
      <c r="VTZ166" s="72"/>
      <c r="VUA166" s="72"/>
      <c r="VUB166" s="72"/>
      <c r="VUC166" s="72"/>
      <c r="VUD166" s="72"/>
      <c r="VUE166" s="72"/>
      <c r="VUF166" s="72"/>
      <c r="VUG166" s="72"/>
      <c r="VUH166" s="72"/>
      <c r="VUI166" s="72"/>
      <c r="VUJ166" s="72"/>
      <c r="VUK166" s="72"/>
      <c r="VUL166" s="72"/>
      <c r="VUM166" s="72"/>
      <c r="VUN166" s="72"/>
      <c r="VUO166" s="72"/>
      <c r="VUP166" s="72"/>
      <c r="VUQ166" s="72"/>
      <c r="VUR166" s="72"/>
      <c r="VUS166" s="72"/>
      <c r="VUT166" s="72"/>
      <c r="VUU166" s="72"/>
      <c r="VUV166" s="72"/>
      <c r="VUW166" s="72"/>
      <c r="VUX166" s="72"/>
      <c r="VUY166" s="72"/>
      <c r="VUZ166" s="72"/>
      <c r="VVA166" s="72"/>
      <c r="VVB166" s="72"/>
      <c r="VVC166" s="72"/>
      <c r="VVD166" s="72"/>
      <c r="VVE166" s="72"/>
      <c r="VVF166" s="72"/>
      <c r="VVG166" s="72"/>
      <c r="VVH166" s="72"/>
      <c r="VVI166" s="72"/>
      <c r="VVJ166" s="72"/>
      <c r="VVK166" s="72"/>
      <c r="VVL166" s="72"/>
      <c r="VVM166" s="72"/>
      <c r="VVN166" s="72"/>
      <c r="VVO166" s="72"/>
      <c r="VVP166" s="72"/>
      <c r="VVQ166" s="72"/>
      <c r="VVR166" s="72"/>
      <c r="VVS166" s="72"/>
      <c r="VVT166" s="72"/>
      <c r="VVU166" s="72"/>
      <c r="VVV166" s="72"/>
      <c r="VVW166" s="72"/>
      <c r="VVX166" s="72"/>
      <c r="VVY166" s="72"/>
      <c r="VVZ166" s="72"/>
      <c r="VWA166" s="72"/>
      <c r="VWB166" s="72"/>
      <c r="VWC166" s="72"/>
      <c r="VWD166" s="72"/>
      <c r="VWE166" s="72"/>
      <c r="VWF166" s="72"/>
      <c r="VWG166" s="72"/>
      <c r="VWH166" s="72"/>
      <c r="VWI166" s="72"/>
      <c r="VWJ166" s="72"/>
      <c r="VWK166" s="72"/>
      <c r="VWL166" s="72"/>
      <c r="VWM166" s="72"/>
      <c r="VWN166" s="72"/>
      <c r="VWO166" s="72"/>
      <c r="VWP166" s="72"/>
      <c r="VWQ166" s="72"/>
      <c r="VWR166" s="72"/>
      <c r="VWS166" s="72"/>
      <c r="VWT166" s="72"/>
      <c r="VWU166" s="72"/>
      <c r="VWV166" s="72"/>
      <c r="VWW166" s="72"/>
      <c r="VWX166" s="72"/>
      <c r="VWY166" s="72"/>
      <c r="VWZ166" s="72"/>
      <c r="VXA166" s="72"/>
      <c r="VXB166" s="72"/>
      <c r="VXC166" s="72"/>
      <c r="VXD166" s="72"/>
      <c r="VXE166" s="72"/>
      <c r="VXF166" s="72"/>
      <c r="VXG166" s="72"/>
      <c r="VXH166" s="72"/>
      <c r="VXI166" s="72"/>
      <c r="VXJ166" s="72"/>
      <c r="VXK166" s="72"/>
      <c r="VXL166" s="72"/>
      <c r="VXM166" s="72"/>
      <c r="VXN166" s="72"/>
      <c r="VXO166" s="72"/>
      <c r="VXP166" s="72"/>
      <c r="VXQ166" s="72"/>
      <c r="VXR166" s="72"/>
      <c r="VXS166" s="72"/>
      <c r="VXT166" s="72"/>
      <c r="VXU166" s="72"/>
      <c r="VXV166" s="72"/>
      <c r="VXW166" s="72"/>
      <c r="VXX166" s="72"/>
      <c r="VXY166" s="72"/>
      <c r="VXZ166" s="72"/>
      <c r="VYA166" s="72"/>
      <c r="VYB166" s="72"/>
      <c r="VYC166" s="72"/>
      <c r="VYD166" s="72"/>
      <c r="VYE166" s="72"/>
      <c r="VYF166" s="72"/>
      <c r="VYG166" s="72"/>
      <c r="VYH166" s="72"/>
      <c r="VYI166" s="72"/>
      <c r="VYJ166" s="72"/>
      <c r="VYK166" s="72"/>
      <c r="VYL166" s="72"/>
      <c r="VYM166" s="72"/>
      <c r="VYN166" s="72"/>
      <c r="VYO166" s="72"/>
      <c r="VYP166" s="72"/>
      <c r="VYQ166" s="72"/>
      <c r="VYR166" s="72"/>
      <c r="VYS166" s="72"/>
      <c r="VYT166" s="72"/>
      <c r="VYU166" s="72"/>
      <c r="VYV166" s="72"/>
      <c r="VYW166" s="72"/>
      <c r="VYX166" s="72"/>
      <c r="VYY166" s="72"/>
      <c r="VYZ166" s="72"/>
      <c r="VZA166" s="72"/>
      <c r="VZB166" s="72"/>
      <c r="VZC166" s="72"/>
      <c r="VZD166" s="72"/>
      <c r="VZE166" s="72"/>
      <c r="VZF166" s="72"/>
      <c r="VZG166" s="72"/>
      <c r="VZH166" s="72"/>
      <c r="VZI166" s="72"/>
      <c r="VZJ166" s="72"/>
      <c r="VZK166" s="72"/>
      <c r="VZL166" s="72"/>
      <c r="VZM166" s="72"/>
      <c r="VZN166" s="72"/>
      <c r="VZO166" s="72"/>
      <c r="VZP166" s="72"/>
      <c r="VZQ166" s="72"/>
      <c r="VZR166" s="72"/>
      <c r="VZS166" s="72"/>
      <c r="VZT166" s="72"/>
      <c r="VZU166" s="72"/>
      <c r="VZV166" s="72"/>
      <c r="VZW166" s="72"/>
      <c r="VZX166" s="72"/>
      <c r="VZY166" s="72"/>
      <c r="VZZ166" s="72"/>
      <c r="WAA166" s="72"/>
      <c r="WAB166" s="72"/>
      <c r="WAC166" s="72"/>
      <c r="WAD166" s="72"/>
      <c r="WAE166" s="72"/>
      <c r="WAF166" s="72"/>
      <c r="WAG166" s="72"/>
      <c r="WAH166" s="72"/>
      <c r="WAI166" s="72"/>
      <c r="WAJ166" s="72"/>
      <c r="WAK166" s="72"/>
      <c r="WAL166" s="72"/>
      <c r="WAM166" s="72"/>
      <c r="WAN166" s="72"/>
      <c r="WAO166" s="72"/>
      <c r="WAP166" s="72"/>
      <c r="WAQ166" s="72"/>
      <c r="WAR166" s="72"/>
      <c r="WAS166" s="72"/>
      <c r="WAT166" s="72"/>
      <c r="WAU166" s="72"/>
      <c r="WAV166" s="72"/>
      <c r="WAW166" s="72"/>
      <c r="WAX166" s="72"/>
      <c r="WAY166" s="72"/>
      <c r="WAZ166" s="72"/>
      <c r="WBA166" s="72"/>
      <c r="WBB166" s="72"/>
      <c r="WBC166" s="72"/>
      <c r="WBD166" s="72"/>
      <c r="WBE166" s="72"/>
      <c r="WBF166" s="72"/>
      <c r="WBG166" s="72"/>
      <c r="WBH166" s="72"/>
      <c r="WBI166" s="72"/>
      <c r="WBJ166" s="72"/>
      <c r="WBK166" s="72"/>
      <c r="WBL166" s="72"/>
      <c r="WBM166" s="72"/>
      <c r="WBN166" s="72"/>
      <c r="WBO166" s="72"/>
      <c r="WBP166" s="72"/>
      <c r="WBQ166" s="72"/>
      <c r="WBR166" s="72"/>
      <c r="WBS166" s="72"/>
      <c r="WBT166" s="72"/>
      <c r="WBU166" s="72"/>
      <c r="WBV166" s="72"/>
      <c r="WBW166" s="72"/>
      <c r="WBX166" s="72"/>
      <c r="WBY166" s="72"/>
      <c r="WBZ166" s="72"/>
      <c r="WCA166" s="72"/>
      <c r="WCB166" s="72"/>
      <c r="WCC166" s="72"/>
      <c r="WCD166" s="72"/>
      <c r="WCE166" s="72"/>
      <c r="WCF166" s="72"/>
      <c r="WCG166" s="72"/>
      <c r="WCH166" s="72"/>
      <c r="WCI166" s="72"/>
      <c r="WCJ166" s="72"/>
      <c r="WCK166" s="72"/>
      <c r="WCL166" s="72"/>
      <c r="WCM166" s="72"/>
      <c r="WCN166" s="72"/>
      <c r="WCO166" s="72"/>
      <c r="WCP166" s="72"/>
      <c r="WCQ166" s="72"/>
      <c r="WCR166" s="72"/>
      <c r="WCS166" s="72"/>
      <c r="WCT166" s="72"/>
      <c r="WCU166" s="72"/>
      <c r="WCV166" s="72"/>
      <c r="WCW166" s="72"/>
      <c r="WCX166" s="72"/>
      <c r="WCY166" s="72"/>
      <c r="WCZ166" s="72"/>
      <c r="WDA166" s="72"/>
      <c r="WDB166" s="72"/>
      <c r="WDC166" s="72"/>
      <c r="WDD166" s="72"/>
      <c r="WDE166" s="72"/>
      <c r="WDF166" s="72"/>
      <c r="WDG166" s="72"/>
      <c r="WDH166" s="72"/>
      <c r="WDI166" s="72"/>
      <c r="WDJ166" s="72"/>
      <c r="WDK166" s="72"/>
      <c r="WDL166" s="72"/>
      <c r="WDM166" s="72"/>
      <c r="WDN166" s="72"/>
      <c r="WDO166" s="72"/>
      <c r="WDP166" s="72"/>
      <c r="WDQ166" s="72"/>
      <c r="WDR166" s="72"/>
      <c r="WDS166" s="72"/>
      <c r="WDT166" s="72"/>
      <c r="WDU166" s="72"/>
      <c r="WDV166" s="72"/>
      <c r="WDW166" s="72"/>
      <c r="WDX166" s="72"/>
      <c r="WDY166" s="72"/>
      <c r="WDZ166" s="72"/>
      <c r="WEA166" s="72"/>
      <c r="WEB166" s="72"/>
      <c r="WEC166" s="72"/>
      <c r="WED166" s="72"/>
      <c r="WEE166" s="72"/>
      <c r="WEF166" s="72"/>
      <c r="WEG166" s="72"/>
      <c r="WEH166" s="72"/>
      <c r="WEI166" s="72"/>
      <c r="WEJ166" s="72"/>
      <c r="WEK166" s="72"/>
      <c r="WEL166" s="72"/>
      <c r="WEM166" s="72"/>
      <c r="WEN166" s="72"/>
      <c r="WEO166" s="72"/>
      <c r="WEP166" s="72"/>
      <c r="WEQ166" s="72"/>
      <c r="WER166" s="72"/>
      <c r="WES166" s="72"/>
      <c r="WET166" s="72"/>
      <c r="WEU166" s="72"/>
      <c r="WEV166" s="72"/>
      <c r="WEW166" s="72"/>
      <c r="WEX166" s="72"/>
      <c r="WEY166" s="72"/>
      <c r="WEZ166" s="72"/>
      <c r="WFA166" s="72"/>
      <c r="WFB166" s="72"/>
      <c r="WFC166" s="72"/>
      <c r="WFD166" s="72"/>
      <c r="WFE166" s="72"/>
      <c r="WFF166" s="72"/>
      <c r="WFG166" s="72"/>
      <c r="WFH166" s="72"/>
      <c r="WFI166" s="72"/>
      <c r="WFJ166" s="72"/>
      <c r="WFK166" s="72"/>
      <c r="WFL166" s="72"/>
      <c r="WFM166" s="72"/>
      <c r="WFN166" s="72"/>
      <c r="WFO166" s="72"/>
      <c r="WFP166" s="72"/>
      <c r="WFQ166" s="72"/>
      <c r="WFR166" s="72"/>
      <c r="WFS166" s="72"/>
      <c r="WFT166" s="72"/>
      <c r="WFU166" s="72"/>
      <c r="WFV166" s="72"/>
      <c r="WFW166" s="72"/>
      <c r="WFX166" s="72"/>
      <c r="WFY166" s="72"/>
      <c r="WFZ166" s="72"/>
      <c r="WGA166" s="72"/>
      <c r="WGB166" s="72"/>
      <c r="WGC166" s="72"/>
      <c r="WGD166" s="72"/>
      <c r="WGE166" s="72"/>
      <c r="WGF166" s="72"/>
      <c r="WGG166" s="72"/>
      <c r="WGH166" s="72"/>
      <c r="WGI166" s="72"/>
      <c r="WGJ166" s="72"/>
      <c r="WGK166" s="72"/>
      <c r="WGL166" s="72"/>
      <c r="WGM166" s="72"/>
      <c r="WGN166" s="72"/>
      <c r="WGO166" s="72"/>
      <c r="WGP166" s="72"/>
      <c r="WGQ166" s="72"/>
      <c r="WGR166" s="72"/>
      <c r="WGS166" s="72"/>
      <c r="WGT166" s="72"/>
      <c r="WGU166" s="72"/>
      <c r="WGV166" s="72"/>
      <c r="WGW166" s="72"/>
      <c r="WGX166" s="72"/>
      <c r="WGY166" s="72"/>
      <c r="WGZ166" s="72"/>
      <c r="WHA166" s="72"/>
      <c r="WHB166" s="72"/>
      <c r="WHC166" s="72"/>
      <c r="WHD166" s="72"/>
      <c r="WHE166" s="72"/>
      <c r="WHF166" s="72"/>
      <c r="WHG166" s="72"/>
      <c r="WHH166" s="72"/>
      <c r="WHI166" s="72"/>
      <c r="WHJ166" s="72"/>
      <c r="WHK166" s="72"/>
      <c r="WHL166" s="72"/>
      <c r="WHM166" s="72"/>
      <c r="WHN166" s="72"/>
      <c r="WHO166" s="72"/>
      <c r="WHP166" s="72"/>
      <c r="WHQ166" s="72"/>
      <c r="WHR166" s="72"/>
      <c r="WHS166" s="72"/>
      <c r="WHT166" s="72"/>
      <c r="WHU166" s="72"/>
      <c r="WHV166" s="72"/>
      <c r="WHW166" s="72"/>
      <c r="WHX166" s="72"/>
      <c r="WHY166" s="72"/>
      <c r="WHZ166" s="72"/>
      <c r="WIA166" s="72"/>
      <c r="WIB166" s="72"/>
      <c r="WIC166" s="72"/>
      <c r="WID166" s="72"/>
      <c r="WIE166" s="72"/>
      <c r="WIF166" s="72"/>
      <c r="WIG166" s="72"/>
      <c r="WIH166" s="72"/>
      <c r="WII166" s="72"/>
      <c r="WIJ166" s="72"/>
      <c r="WIK166" s="72"/>
      <c r="WIL166" s="72"/>
      <c r="WIM166" s="72"/>
      <c r="WIN166" s="72"/>
      <c r="WIO166" s="72"/>
      <c r="WIP166" s="72"/>
      <c r="WIQ166" s="72"/>
      <c r="WIR166" s="72"/>
      <c r="WIS166" s="72"/>
      <c r="WIT166" s="72"/>
      <c r="WIU166" s="72"/>
      <c r="WIV166" s="72"/>
      <c r="WIW166" s="72"/>
      <c r="WIX166" s="72"/>
      <c r="WIY166" s="72"/>
      <c r="WIZ166" s="72"/>
      <c r="WJA166" s="72"/>
      <c r="WJB166" s="72"/>
      <c r="WJC166" s="72"/>
      <c r="WJD166" s="72"/>
      <c r="WJE166" s="72"/>
      <c r="WJF166" s="72"/>
      <c r="WJG166" s="72"/>
      <c r="WJH166" s="72"/>
      <c r="WJI166" s="72"/>
      <c r="WJJ166" s="72"/>
      <c r="WJK166" s="72"/>
      <c r="WJL166" s="72"/>
      <c r="WJM166" s="72"/>
      <c r="WJN166" s="72"/>
      <c r="WJO166" s="72"/>
      <c r="WJP166" s="72"/>
      <c r="WJQ166" s="72"/>
      <c r="WJR166" s="72"/>
      <c r="WJS166" s="72"/>
      <c r="WJT166" s="72"/>
      <c r="WJU166" s="72"/>
      <c r="WJV166" s="72"/>
      <c r="WJW166" s="72"/>
      <c r="WJX166" s="72"/>
      <c r="WJY166" s="72"/>
      <c r="WJZ166" s="72"/>
      <c r="WKA166" s="72"/>
      <c r="WKB166" s="72"/>
      <c r="WKC166" s="72"/>
      <c r="WKD166" s="72"/>
      <c r="WKE166" s="72"/>
      <c r="WKF166" s="72"/>
      <c r="WKG166" s="72"/>
      <c r="WKH166" s="72"/>
      <c r="WKI166" s="72"/>
      <c r="WKJ166" s="72"/>
      <c r="WKK166" s="72"/>
      <c r="WKL166" s="72"/>
      <c r="WKM166" s="72"/>
      <c r="WKN166" s="72"/>
      <c r="WKO166" s="72"/>
      <c r="WKP166" s="72"/>
      <c r="WKQ166" s="72"/>
      <c r="WKR166" s="72"/>
      <c r="WKS166" s="72"/>
      <c r="WKT166" s="72"/>
      <c r="WKU166" s="72"/>
      <c r="WKV166" s="72"/>
      <c r="WKW166" s="72"/>
      <c r="WKX166" s="72"/>
      <c r="WKY166" s="72"/>
      <c r="WKZ166" s="72"/>
      <c r="WLA166" s="72"/>
      <c r="WLB166" s="72"/>
      <c r="WLC166" s="72"/>
      <c r="WLD166" s="72"/>
      <c r="WLE166" s="72"/>
      <c r="WLF166" s="72"/>
      <c r="WLG166" s="72"/>
      <c r="WLH166" s="72"/>
      <c r="WLI166" s="72"/>
      <c r="WLJ166" s="72"/>
      <c r="WLK166" s="72"/>
      <c r="WLL166" s="72"/>
      <c r="WLM166" s="72"/>
      <c r="WLN166" s="72"/>
      <c r="WLO166" s="72"/>
      <c r="WLP166" s="72"/>
      <c r="WLQ166" s="72"/>
      <c r="WLR166" s="72"/>
      <c r="WLS166" s="72"/>
      <c r="WLT166" s="72"/>
      <c r="WLU166" s="72"/>
      <c r="WLV166" s="72"/>
      <c r="WLW166" s="72"/>
      <c r="WLX166" s="72"/>
      <c r="WLY166" s="72"/>
      <c r="WLZ166" s="72"/>
      <c r="WMA166" s="72"/>
      <c r="WMB166" s="72"/>
      <c r="WMC166" s="72"/>
      <c r="WMD166" s="72"/>
      <c r="WME166" s="72"/>
      <c r="WMF166" s="72"/>
      <c r="WMG166" s="72"/>
      <c r="WMH166" s="72"/>
      <c r="WMI166" s="72"/>
      <c r="WMJ166" s="72"/>
      <c r="WMK166" s="72"/>
      <c r="WML166" s="72"/>
      <c r="WMM166" s="72"/>
      <c r="WMN166" s="72"/>
      <c r="WMO166" s="72"/>
      <c r="WMP166" s="72"/>
      <c r="WMQ166" s="72"/>
      <c r="WMR166" s="72"/>
      <c r="WMS166" s="72"/>
      <c r="WMT166" s="72"/>
      <c r="WMU166" s="72"/>
      <c r="WMV166" s="72"/>
      <c r="WMW166" s="72"/>
      <c r="WMX166" s="72"/>
      <c r="WMY166" s="72"/>
      <c r="WMZ166" s="72"/>
      <c r="WNA166" s="72"/>
      <c r="WNB166" s="72"/>
      <c r="WNC166" s="72"/>
      <c r="WND166" s="72"/>
      <c r="WNE166" s="72"/>
      <c r="WNF166" s="72"/>
      <c r="WNG166" s="72"/>
      <c r="WNH166" s="72"/>
      <c r="WNI166" s="72"/>
      <c r="WNJ166" s="72"/>
      <c r="WNK166" s="72"/>
      <c r="WNL166" s="72"/>
      <c r="WNM166" s="72"/>
      <c r="WNN166" s="72"/>
      <c r="WNO166" s="72"/>
      <c r="WNP166" s="72"/>
      <c r="WNQ166" s="72"/>
      <c r="WNR166" s="72"/>
      <c r="WNS166" s="72"/>
      <c r="WNT166" s="72"/>
      <c r="WNU166" s="72"/>
      <c r="WNV166" s="72"/>
      <c r="WNW166" s="72"/>
      <c r="WNX166" s="72"/>
      <c r="WNY166" s="72"/>
      <c r="WNZ166" s="72"/>
      <c r="WOA166" s="72"/>
      <c r="WOB166" s="72"/>
      <c r="WOC166" s="72"/>
      <c r="WOD166" s="72"/>
      <c r="WOE166" s="72"/>
      <c r="WOF166" s="72"/>
      <c r="WOG166" s="72"/>
      <c r="WOH166" s="72"/>
      <c r="WOI166" s="72"/>
      <c r="WOJ166" s="72"/>
      <c r="WOK166" s="72"/>
      <c r="WOL166" s="72"/>
      <c r="WOM166" s="72"/>
      <c r="WON166" s="72"/>
      <c r="WOO166" s="72"/>
      <c r="WOP166" s="72"/>
      <c r="WOQ166" s="72"/>
      <c r="WOR166" s="72"/>
      <c r="WOS166" s="72"/>
      <c r="WOT166" s="72"/>
      <c r="WOU166" s="72"/>
      <c r="WOV166" s="72"/>
      <c r="WOW166" s="72"/>
      <c r="WOX166" s="72"/>
      <c r="WOY166" s="72"/>
      <c r="WOZ166" s="72"/>
      <c r="WPA166" s="72"/>
      <c r="WPB166" s="72"/>
      <c r="WPC166" s="72"/>
      <c r="WPD166" s="72"/>
      <c r="WPE166" s="72"/>
      <c r="WPF166" s="72"/>
      <c r="WPG166" s="72"/>
      <c r="WPH166" s="72"/>
      <c r="WPI166" s="72"/>
      <c r="WPJ166" s="72"/>
      <c r="WPK166" s="72"/>
      <c r="WPL166" s="72"/>
      <c r="WPM166" s="72"/>
      <c r="WPN166" s="72"/>
      <c r="WPO166" s="72"/>
      <c r="WPP166" s="72"/>
      <c r="WPQ166" s="72"/>
      <c r="WPR166" s="72"/>
      <c r="WPS166" s="72"/>
      <c r="WPT166" s="72"/>
      <c r="WPU166" s="72"/>
      <c r="WPV166" s="72"/>
      <c r="WPW166" s="72"/>
      <c r="WPX166" s="72"/>
      <c r="WPY166" s="72"/>
      <c r="WPZ166" s="72"/>
      <c r="WQA166" s="72"/>
      <c r="WQB166" s="72"/>
      <c r="WQC166" s="72"/>
      <c r="WQD166" s="72"/>
      <c r="WQE166" s="72"/>
      <c r="WQF166" s="72"/>
      <c r="WQG166" s="72"/>
      <c r="WQH166" s="72"/>
      <c r="WQI166" s="72"/>
      <c r="WQJ166" s="72"/>
      <c r="WQK166" s="72"/>
      <c r="WQL166" s="72"/>
      <c r="WQM166" s="72"/>
      <c r="WQN166" s="72"/>
      <c r="WQO166" s="72"/>
      <c r="WQP166" s="72"/>
      <c r="WQQ166" s="72"/>
      <c r="WQR166" s="72"/>
      <c r="WQS166" s="72"/>
      <c r="WQT166" s="72"/>
      <c r="WQU166" s="72"/>
      <c r="WQV166" s="72"/>
      <c r="WQW166" s="72"/>
      <c r="WQX166" s="72"/>
      <c r="WQY166" s="72"/>
      <c r="WQZ166" s="72"/>
      <c r="WRA166" s="72"/>
      <c r="WRB166" s="72"/>
      <c r="WRC166" s="72"/>
      <c r="WRD166" s="72"/>
      <c r="WRE166" s="72"/>
      <c r="WRF166" s="72"/>
      <c r="WRG166" s="72"/>
      <c r="WRH166" s="72"/>
      <c r="WRI166" s="72"/>
      <c r="WRJ166" s="72"/>
      <c r="WRK166" s="72"/>
      <c r="WRL166" s="72"/>
      <c r="WRM166" s="72"/>
      <c r="WRN166" s="72"/>
      <c r="WRO166" s="72"/>
      <c r="WRP166" s="72"/>
      <c r="WRQ166" s="72"/>
      <c r="WRR166" s="72"/>
      <c r="WRS166" s="72"/>
      <c r="WRT166" s="72"/>
      <c r="WRU166" s="72"/>
      <c r="WRV166" s="72"/>
      <c r="WRW166" s="72"/>
      <c r="WRX166" s="72"/>
      <c r="WRY166" s="72"/>
      <c r="WRZ166" s="72"/>
      <c r="WSA166" s="72"/>
      <c r="WSB166" s="72"/>
      <c r="WSC166" s="72"/>
      <c r="WSD166" s="72"/>
      <c r="WSE166" s="72"/>
      <c r="WSF166" s="72"/>
      <c r="WSG166" s="72"/>
      <c r="WSH166" s="72"/>
      <c r="WSI166" s="72"/>
      <c r="WSJ166" s="72"/>
      <c r="WSK166" s="72"/>
      <c r="WSL166" s="72"/>
      <c r="WSM166" s="72"/>
      <c r="WSN166" s="72"/>
      <c r="WSO166" s="72"/>
      <c r="WSP166" s="72"/>
      <c r="WSQ166" s="72"/>
      <c r="WSR166" s="72"/>
      <c r="WSS166" s="72"/>
      <c r="WST166" s="72"/>
      <c r="WSU166" s="72"/>
      <c r="WSV166" s="72"/>
      <c r="WSW166" s="72"/>
      <c r="WSX166" s="72"/>
      <c r="WSY166" s="72"/>
      <c r="WSZ166" s="72"/>
      <c r="WTA166" s="72"/>
      <c r="WTB166" s="72"/>
      <c r="WTC166" s="72"/>
      <c r="WTD166" s="72"/>
      <c r="WTE166" s="72"/>
      <c r="WTF166" s="72"/>
      <c r="WTG166" s="72"/>
      <c r="WTH166" s="72"/>
      <c r="WTI166" s="72"/>
      <c r="WTJ166" s="72"/>
      <c r="WTK166" s="72"/>
      <c r="WTL166" s="72"/>
      <c r="WTM166" s="72"/>
      <c r="WTN166" s="72"/>
      <c r="WTO166" s="72"/>
      <c r="WTP166" s="72"/>
      <c r="WTQ166" s="72"/>
      <c r="WTR166" s="72"/>
      <c r="WTS166" s="72"/>
      <c r="WTT166" s="72"/>
      <c r="WTU166" s="72"/>
      <c r="WTV166" s="72"/>
      <c r="WTW166" s="72"/>
      <c r="WTX166" s="72"/>
      <c r="WTY166" s="72"/>
      <c r="WTZ166" s="72"/>
      <c r="WUA166" s="72"/>
      <c r="WUB166" s="72"/>
      <c r="WUC166" s="72"/>
      <c r="WUD166" s="72"/>
      <c r="WUE166" s="72"/>
      <c r="WUF166" s="72"/>
      <c r="WUG166" s="72"/>
      <c r="WUH166" s="72"/>
      <c r="WUI166" s="72"/>
      <c r="WUJ166" s="72"/>
      <c r="WUK166" s="72"/>
      <c r="WUL166" s="72"/>
      <c r="WUM166" s="72"/>
      <c r="WUN166" s="72"/>
      <c r="WUO166" s="72"/>
      <c r="WUP166" s="72"/>
      <c r="WUQ166" s="72"/>
      <c r="WUR166" s="72"/>
      <c r="WUS166" s="72"/>
      <c r="WUT166" s="72"/>
      <c r="WUU166" s="72"/>
      <c r="WUV166" s="72"/>
      <c r="WUW166" s="72"/>
      <c r="WUX166" s="72"/>
      <c r="WUY166" s="72"/>
      <c r="WUZ166" s="72"/>
      <c r="WVA166" s="72"/>
      <c r="WVB166" s="72"/>
      <c r="WVC166" s="72"/>
      <c r="WVD166" s="72"/>
      <c r="WVE166" s="72"/>
      <c r="WVF166" s="72"/>
      <c r="WVG166" s="72"/>
      <c r="WVH166" s="72"/>
      <c r="WVI166" s="72"/>
      <c r="WVJ166" s="72"/>
      <c r="WVK166" s="72"/>
      <c r="WVL166" s="72"/>
      <c r="WVM166" s="72"/>
      <c r="WVN166" s="72"/>
      <c r="WVO166" s="72"/>
      <c r="WVP166" s="72"/>
      <c r="WVQ166" s="72"/>
      <c r="WVR166" s="72"/>
      <c r="WVS166" s="72"/>
    </row>
    <row r="167" spans="1:16139" ht="147" customHeight="1" x14ac:dyDescent="0.25">
      <c r="A167" s="86">
        <v>141</v>
      </c>
      <c r="B167" s="86" t="s">
        <v>193</v>
      </c>
      <c r="C167" s="51" t="s">
        <v>42</v>
      </c>
      <c r="D167" s="45" t="s">
        <v>39</v>
      </c>
      <c r="E167" s="45"/>
      <c r="F167" s="45">
        <v>995</v>
      </c>
      <c r="G167" s="45">
        <v>1245</v>
      </c>
      <c r="H167" s="46">
        <f t="shared" si="54"/>
        <v>1.238775</v>
      </c>
      <c r="I167" s="45">
        <v>1</v>
      </c>
      <c r="J167" s="53">
        <v>2534000</v>
      </c>
      <c r="K167" s="47"/>
      <c r="L167" s="48">
        <f t="shared" ref="L167:L174" si="55">IF(H167&lt;&gt;0,J167*H167*I167+K167*I167,IF(J167&lt;&gt;0,G167*I167*J167,I167*K167))</f>
        <v>3139055.85</v>
      </c>
      <c r="M167" s="28"/>
      <c r="N167" s="28"/>
      <c r="O167" s="28"/>
      <c r="P167" s="28"/>
      <c r="Q167" s="28"/>
      <c r="R167" s="28"/>
      <c r="S167" s="28"/>
      <c r="T167" s="28"/>
      <c r="U167" s="28"/>
      <c r="V167" s="28"/>
      <c r="W167" s="28"/>
      <c r="X167" s="28"/>
      <c r="Y167" s="28"/>
      <c r="Z167" s="28"/>
      <c r="AA167" s="28"/>
      <c r="AB167" s="28"/>
      <c r="AC167" s="28"/>
      <c r="AD167" s="28"/>
      <c r="AE167" s="28"/>
      <c r="AF167" s="28"/>
      <c r="AG167" s="28"/>
      <c r="AH167" s="28"/>
    </row>
    <row r="168" spans="1:16139" ht="147" customHeight="1" x14ac:dyDescent="0.25">
      <c r="A168" s="86">
        <v>142</v>
      </c>
      <c r="B168" s="86" t="s">
        <v>194</v>
      </c>
      <c r="C168" s="51" t="s">
        <v>42</v>
      </c>
      <c r="D168" s="45" t="s">
        <v>39</v>
      </c>
      <c r="E168" s="45"/>
      <c r="F168" s="45">
        <v>1595</v>
      </c>
      <c r="G168" s="45">
        <v>1245</v>
      </c>
      <c r="H168" s="46">
        <f t="shared" si="54"/>
        <v>1.9857750000000001</v>
      </c>
      <c r="I168" s="45">
        <v>1</v>
      </c>
      <c r="J168" s="53">
        <v>2368000</v>
      </c>
      <c r="K168" s="47"/>
      <c r="L168" s="48">
        <f t="shared" si="55"/>
        <v>4702315.2</v>
      </c>
      <c r="M168" s="28"/>
      <c r="N168" s="28"/>
      <c r="O168" s="28"/>
      <c r="P168" s="28"/>
      <c r="Q168" s="28"/>
      <c r="R168" s="28"/>
      <c r="S168" s="28"/>
      <c r="T168" s="28"/>
      <c r="U168" s="28"/>
      <c r="V168" s="28"/>
      <c r="W168" s="28"/>
      <c r="X168" s="28"/>
      <c r="Y168" s="28"/>
      <c r="Z168" s="28"/>
      <c r="AA168" s="28"/>
      <c r="AB168" s="28"/>
      <c r="AC168" s="28"/>
      <c r="AD168" s="28"/>
      <c r="AE168" s="28"/>
      <c r="AF168" s="28"/>
      <c r="AG168" s="28"/>
      <c r="AH168" s="28"/>
    </row>
    <row r="169" spans="1:16139" ht="147" customHeight="1" x14ac:dyDescent="0.25">
      <c r="A169" s="86">
        <v>143</v>
      </c>
      <c r="B169" s="86" t="s">
        <v>195</v>
      </c>
      <c r="C169" s="51" t="s">
        <v>42</v>
      </c>
      <c r="D169" s="45" t="s">
        <v>39</v>
      </c>
      <c r="E169" s="45"/>
      <c r="F169" s="45">
        <v>1000</v>
      </c>
      <c r="G169" s="45">
        <v>1245</v>
      </c>
      <c r="H169" s="46">
        <f t="shared" si="54"/>
        <v>1.2450000000000001</v>
      </c>
      <c r="I169" s="45">
        <v>1</v>
      </c>
      <c r="J169" s="53">
        <v>2532000</v>
      </c>
      <c r="K169" s="47"/>
      <c r="L169" s="48">
        <f t="shared" si="55"/>
        <v>3152340.0000000005</v>
      </c>
      <c r="M169" s="28"/>
      <c r="N169" s="28"/>
      <c r="O169" s="28"/>
      <c r="P169" s="28"/>
      <c r="Q169" s="28"/>
      <c r="R169" s="28"/>
      <c r="S169" s="28"/>
      <c r="T169" s="28"/>
      <c r="U169" s="28"/>
      <c r="V169" s="28"/>
      <c r="W169" s="28"/>
      <c r="X169" s="28"/>
      <c r="Y169" s="28"/>
      <c r="Z169" s="28"/>
      <c r="AA169" s="28"/>
      <c r="AB169" s="28"/>
      <c r="AC169" s="28"/>
      <c r="AD169" s="28"/>
      <c r="AE169" s="28"/>
      <c r="AF169" s="28"/>
      <c r="AG169" s="28"/>
      <c r="AH169" s="28"/>
    </row>
    <row r="170" spans="1:16139" ht="147" customHeight="1" x14ac:dyDescent="0.25">
      <c r="A170" s="135">
        <v>144</v>
      </c>
      <c r="B170" s="135" t="s">
        <v>196</v>
      </c>
      <c r="C170" s="51" t="s">
        <v>42</v>
      </c>
      <c r="D170" s="45" t="s">
        <v>207</v>
      </c>
      <c r="E170" s="45"/>
      <c r="F170" s="45">
        <v>1617</v>
      </c>
      <c r="G170" s="45">
        <v>1245</v>
      </c>
      <c r="H170" s="46">
        <f t="shared" si="54"/>
        <v>2.0131649999999999</v>
      </c>
      <c r="I170" s="45">
        <v>1</v>
      </c>
      <c r="J170" s="53">
        <v>4185000</v>
      </c>
      <c r="K170" s="47"/>
      <c r="L170" s="48">
        <f t="shared" si="55"/>
        <v>8425095.5250000004</v>
      </c>
      <c r="M170" s="28"/>
      <c r="N170" s="28"/>
      <c r="O170" s="28"/>
      <c r="P170" s="28"/>
      <c r="Q170" s="28"/>
      <c r="R170" s="28"/>
      <c r="S170" s="28"/>
      <c r="T170" s="28"/>
      <c r="U170" s="28"/>
      <c r="V170" s="28"/>
      <c r="W170" s="28"/>
      <c r="X170" s="28"/>
      <c r="Y170" s="28"/>
      <c r="Z170" s="28"/>
      <c r="AA170" s="28"/>
      <c r="AB170" s="28"/>
      <c r="AC170" s="28"/>
      <c r="AD170" s="28"/>
      <c r="AE170" s="28"/>
      <c r="AF170" s="28"/>
      <c r="AG170" s="28"/>
      <c r="AH170" s="28"/>
    </row>
    <row r="171" spans="1:16139" ht="30.75" customHeight="1" x14ac:dyDescent="0.25">
      <c r="A171" s="136"/>
      <c r="B171" s="136"/>
      <c r="C171" s="69" t="s">
        <v>201</v>
      </c>
      <c r="D171" s="59"/>
      <c r="E171" s="59"/>
      <c r="F171" s="59">
        <f>1617+1000</f>
        <v>2617</v>
      </c>
      <c r="G171" s="59"/>
      <c r="H171" s="60">
        <f t="shared" si="54"/>
        <v>0</v>
      </c>
      <c r="I171" s="59">
        <v>1</v>
      </c>
      <c r="J171" s="53">
        <v>550000</v>
      </c>
      <c r="K171" s="47"/>
      <c r="L171" s="70">
        <f>F171*I171*J171/1000</f>
        <v>1439350</v>
      </c>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c r="FM171" s="72"/>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c r="ME171" s="72"/>
      <c r="MF171" s="72"/>
      <c r="MG171" s="72"/>
      <c r="MH171" s="72"/>
      <c r="MI171" s="72"/>
      <c r="MJ171" s="72"/>
      <c r="MK171" s="72"/>
      <c r="ML171" s="72"/>
      <c r="MM171" s="72"/>
      <c r="MN171" s="72"/>
      <c r="MO171" s="72"/>
      <c r="MP171" s="72"/>
      <c r="MQ171" s="72"/>
      <c r="MR171" s="72"/>
      <c r="MS171" s="72"/>
      <c r="MT171" s="72"/>
      <c r="MU171" s="72"/>
      <c r="MV171" s="72"/>
      <c r="MW171" s="72"/>
      <c r="MX171" s="72"/>
      <c r="MY171" s="72"/>
      <c r="MZ171" s="72"/>
      <c r="NA171" s="72"/>
      <c r="NB171" s="72"/>
      <c r="NC171" s="72"/>
      <c r="ND171" s="72"/>
      <c r="NE171" s="72"/>
      <c r="NF171" s="72"/>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c r="OI171" s="72"/>
      <c r="OJ171" s="72"/>
      <c r="OK171" s="72"/>
      <c r="OL171" s="72"/>
      <c r="OM171" s="72"/>
      <c r="ON171" s="72"/>
      <c r="OO171" s="72"/>
      <c r="OP171" s="72"/>
      <c r="OQ171" s="72"/>
      <c r="OR171" s="72"/>
      <c r="OS171" s="72"/>
      <c r="OT171" s="72"/>
      <c r="OU171" s="72"/>
      <c r="OV171" s="72"/>
      <c r="OW171" s="72"/>
      <c r="OX171" s="72"/>
      <c r="OY171" s="72"/>
      <c r="OZ171" s="72"/>
      <c r="PA171" s="72"/>
      <c r="PB171" s="72"/>
      <c r="PC171" s="72"/>
      <c r="PD171" s="72"/>
      <c r="PE171" s="72"/>
      <c r="PF171" s="72"/>
      <c r="PG171" s="72"/>
      <c r="PH171" s="72"/>
      <c r="PI171" s="72"/>
      <c r="PJ171" s="72"/>
      <c r="PK171" s="72"/>
      <c r="PL171" s="72"/>
      <c r="PM171" s="72"/>
      <c r="PN171" s="72"/>
      <c r="PO171" s="72"/>
      <c r="PP171" s="72"/>
      <c r="PQ171" s="72"/>
      <c r="PR171" s="72"/>
      <c r="PS171" s="72"/>
      <c r="PT171" s="72"/>
      <c r="PU171" s="72"/>
      <c r="PV171" s="72"/>
      <c r="PW171" s="72"/>
      <c r="PX171" s="72"/>
      <c r="PY171" s="72"/>
      <c r="PZ171" s="72"/>
      <c r="QA171" s="72"/>
      <c r="QB171" s="72"/>
      <c r="QC171" s="72"/>
      <c r="QD171" s="72"/>
      <c r="QE171" s="72"/>
      <c r="QF171" s="72"/>
      <c r="QG171" s="72"/>
      <c r="QH171" s="72"/>
      <c r="QI171" s="72"/>
      <c r="QJ171" s="72"/>
      <c r="QK171" s="72"/>
      <c r="QL171" s="72"/>
      <c r="QM171" s="72"/>
      <c r="QN171" s="72"/>
      <c r="QO171" s="72"/>
      <c r="QP171" s="72"/>
      <c r="QQ171" s="72"/>
      <c r="QR171" s="72"/>
      <c r="QS171" s="72"/>
      <c r="QT171" s="72"/>
      <c r="QU171" s="72"/>
      <c r="QV171" s="72"/>
      <c r="QW171" s="72"/>
      <c r="QX171" s="72"/>
      <c r="QY171" s="72"/>
      <c r="QZ171" s="72"/>
      <c r="RA171" s="72"/>
      <c r="RB171" s="72"/>
      <c r="RC171" s="72"/>
      <c r="RD171" s="72"/>
      <c r="RE171" s="72"/>
      <c r="RF171" s="72"/>
      <c r="RG171" s="72"/>
      <c r="RH171" s="72"/>
      <c r="RI171" s="72"/>
      <c r="RJ171" s="72"/>
      <c r="RK171" s="72"/>
      <c r="RL171" s="72"/>
      <c r="RM171" s="72"/>
      <c r="RN171" s="72"/>
      <c r="RO171" s="72"/>
      <c r="RP171" s="72"/>
      <c r="RQ171" s="72"/>
      <c r="RR171" s="72"/>
      <c r="RS171" s="72"/>
      <c r="RT171" s="72"/>
      <c r="RU171" s="72"/>
      <c r="RV171" s="72"/>
      <c r="RW171" s="72"/>
      <c r="RX171" s="72"/>
      <c r="RY171" s="72"/>
      <c r="RZ171" s="72"/>
      <c r="SA171" s="72"/>
      <c r="SB171" s="72"/>
      <c r="SC171" s="72"/>
      <c r="SD171" s="72"/>
      <c r="SE171" s="72"/>
      <c r="SF171" s="72"/>
      <c r="SG171" s="72"/>
      <c r="SH171" s="72"/>
      <c r="SI171" s="72"/>
      <c r="SJ171" s="72"/>
      <c r="SK171" s="72"/>
      <c r="SL171" s="72"/>
      <c r="SM171" s="72"/>
      <c r="SN171" s="72"/>
      <c r="SO171" s="72"/>
      <c r="SP171" s="72"/>
      <c r="SQ171" s="72"/>
      <c r="SR171" s="72"/>
      <c r="SS171" s="72"/>
      <c r="ST171" s="72"/>
      <c r="SU171" s="72"/>
      <c r="SV171" s="72"/>
      <c r="SW171" s="72"/>
      <c r="SX171" s="72"/>
      <c r="SY171" s="72"/>
      <c r="SZ171" s="72"/>
      <c r="TA171" s="72"/>
      <c r="TB171" s="72"/>
      <c r="TC171" s="72"/>
      <c r="TD171" s="72"/>
      <c r="TE171" s="72"/>
      <c r="TF171" s="72"/>
      <c r="TG171" s="72"/>
      <c r="TH171" s="72"/>
      <c r="TI171" s="72"/>
      <c r="TJ171" s="72"/>
      <c r="TK171" s="72"/>
      <c r="TL171" s="72"/>
      <c r="TM171" s="72"/>
      <c r="TN171" s="72"/>
      <c r="TO171" s="72"/>
      <c r="TP171" s="72"/>
      <c r="TQ171" s="72"/>
      <c r="TR171" s="72"/>
      <c r="TS171" s="72"/>
      <c r="TT171" s="72"/>
      <c r="TU171" s="72"/>
      <c r="TV171" s="72"/>
      <c r="TW171" s="72"/>
      <c r="TX171" s="72"/>
      <c r="TY171" s="72"/>
      <c r="TZ171" s="72"/>
      <c r="UA171" s="72"/>
      <c r="UB171" s="72"/>
      <c r="UC171" s="72"/>
      <c r="UD171" s="72"/>
      <c r="UE171" s="72"/>
      <c r="UF171" s="72"/>
      <c r="UG171" s="72"/>
      <c r="UH171" s="72"/>
      <c r="UI171" s="72"/>
      <c r="UJ171" s="72"/>
      <c r="UK171" s="72"/>
      <c r="UL171" s="72"/>
      <c r="UM171" s="72"/>
      <c r="UN171" s="72"/>
      <c r="UO171" s="72"/>
      <c r="UP171" s="72"/>
      <c r="UQ171" s="72"/>
      <c r="UR171" s="72"/>
      <c r="US171" s="72"/>
      <c r="UT171" s="72"/>
      <c r="UU171" s="72"/>
      <c r="UV171" s="72"/>
      <c r="UW171" s="72"/>
      <c r="UX171" s="72"/>
      <c r="UY171" s="72"/>
      <c r="UZ171" s="72"/>
      <c r="VA171" s="72"/>
      <c r="VB171" s="72"/>
      <c r="VC171" s="72"/>
      <c r="VD171" s="72"/>
      <c r="VE171" s="72"/>
      <c r="VF171" s="72"/>
      <c r="VG171" s="72"/>
      <c r="VH171" s="72"/>
      <c r="VI171" s="72"/>
      <c r="VJ171" s="72"/>
      <c r="VK171" s="72"/>
      <c r="VL171" s="72"/>
      <c r="VM171" s="72"/>
      <c r="VN171" s="72"/>
      <c r="VO171" s="72"/>
      <c r="VP171" s="72"/>
      <c r="VQ171" s="72"/>
      <c r="VR171" s="72"/>
      <c r="VS171" s="72"/>
      <c r="VT171" s="72"/>
      <c r="VU171" s="72"/>
      <c r="VV171" s="72"/>
      <c r="VW171" s="72"/>
      <c r="VX171" s="72"/>
      <c r="VY171" s="72"/>
      <c r="VZ171" s="72"/>
      <c r="WA171" s="72"/>
      <c r="WB171" s="72"/>
      <c r="WC171" s="72"/>
      <c r="WD171" s="72"/>
      <c r="WE171" s="72"/>
      <c r="WF171" s="72"/>
      <c r="WG171" s="72"/>
      <c r="WH171" s="72"/>
      <c r="WI171" s="72"/>
      <c r="WJ171" s="72"/>
      <c r="WK171" s="72"/>
      <c r="WL171" s="72"/>
      <c r="WM171" s="72"/>
      <c r="WN171" s="72"/>
      <c r="WO171" s="72"/>
      <c r="WP171" s="72"/>
      <c r="WQ171" s="72"/>
      <c r="WR171" s="72"/>
      <c r="WS171" s="72"/>
      <c r="WT171" s="72"/>
      <c r="WU171" s="72"/>
      <c r="WV171" s="72"/>
      <c r="WW171" s="72"/>
      <c r="WX171" s="72"/>
      <c r="WY171" s="72"/>
      <c r="WZ171" s="72"/>
      <c r="XA171" s="72"/>
      <c r="XB171" s="72"/>
      <c r="XC171" s="72"/>
      <c r="XD171" s="72"/>
      <c r="XE171" s="72"/>
      <c r="XF171" s="72"/>
      <c r="XG171" s="72"/>
      <c r="XH171" s="72"/>
      <c r="XI171" s="72"/>
      <c r="XJ171" s="72"/>
      <c r="XK171" s="72"/>
      <c r="XL171" s="72"/>
      <c r="XM171" s="72"/>
      <c r="XN171" s="72"/>
      <c r="XO171" s="72"/>
      <c r="XP171" s="72"/>
      <c r="XQ171" s="72"/>
      <c r="XR171" s="72"/>
      <c r="XS171" s="72"/>
      <c r="XT171" s="72"/>
      <c r="XU171" s="72"/>
      <c r="XV171" s="72"/>
      <c r="XW171" s="72"/>
      <c r="XX171" s="72"/>
      <c r="XY171" s="72"/>
      <c r="XZ171" s="72"/>
      <c r="YA171" s="72"/>
      <c r="YB171" s="72"/>
      <c r="YC171" s="72"/>
      <c r="YD171" s="72"/>
      <c r="YE171" s="72"/>
      <c r="YF171" s="72"/>
      <c r="YG171" s="72"/>
      <c r="YH171" s="72"/>
      <c r="YI171" s="72"/>
      <c r="YJ171" s="72"/>
      <c r="YK171" s="72"/>
      <c r="YL171" s="72"/>
      <c r="YM171" s="72"/>
      <c r="YN171" s="72"/>
      <c r="YO171" s="72"/>
      <c r="YP171" s="72"/>
      <c r="YQ171" s="72"/>
      <c r="YR171" s="72"/>
      <c r="YS171" s="72"/>
      <c r="YT171" s="72"/>
      <c r="YU171" s="72"/>
      <c r="YV171" s="72"/>
      <c r="YW171" s="72"/>
      <c r="YX171" s="72"/>
      <c r="YY171" s="72"/>
      <c r="YZ171" s="72"/>
      <c r="ZA171" s="72"/>
      <c r="ZB171" s="72"/>
      <c r="ZC171" s="72"/>
      <c r="ZD171" s="72"/>
      <c r="ZE171" s="72"/>
      <c r="ZF171" s="72"/>
      <c r="ZG171" s="72"/>
      <c r="ZH171" s="72"/>
      <c r="ZI171" s="72"/>
      <c r="ZJ171" s="72"/>
      <c r="ZK171" s="72"/>
      <c r="ZL171" s="72"/>
      <c r="ZM171" s="72"/>
      <c r="ZN171" s="72"/>
      <c r="ZO171" s="72"/>
      <c r="ZP171" s="72"/>
      <c r="ZQ171" s="72"/>
      <c r="ZR171" s="72"/>
      <c r="ZS171" s="72"/>
      <c r="ZT171" s="72"/>
      <c r="ZU171" s="72"/>
      <c r="ZV171" s="72"/>
      <c r="ZW171" s="72"/>
      <c r="ZX171" s="72"/>
      <c r="ZY171" s="72"/>
      <c r="ZZ171" s="72"/>
      <c r="AAA171" s="72"/>
      <c r="AAB171" s="72"/>
      <c r="AAC171" s="72"/>
      <c r="AAD171" s="72"/>
      <c r="AAE171" s="72"/>
      <c r="AAF171" s="72"/>
      <c r="AAG171" s="72"/>
      <c r="AAH171" s="72"/>
      <c r="AAI171" s="72"/>
      <c r="AAJ171" s="72"/>
      <c r="AAK171" s="72"/>
      <c r="AAL171" s="72"/>
      <c r="AAM171" s="72"/>
      <c r="AAN171" s="72"/>
      <c r="AAO171" s="72"/>
      <c r="AAP171" s="72"/>
      <c r="AAQ171" s="72"/>
      <c r="AAR171" s="72"/>
      <c r="AAS171" s="72"/>
      <c r="AAT171" s="72"/>
      <c r="AAU171" s="72"/>
      <c r="AAV171" s="72"/>
      <c r="AAW171" s="72"/>
      <c r="AAX171" s="72"/>
      <c r="AAY171" s="72"/>
      <c r="AAZ171" s="72"/>
      <c r="ABA171" s="72"/>
      <c r="ABB171" s="72"/>
      <c r="ABC171" s="72"/>
      <c r="ABD171" s="72"/>
      <c r="ABE171" s="72"/>
      <c r="ABF171" s="72"/>
      <c r="ABG171" s="72"/>
      <c r="ABH171" s="72"/>
      <c r="ABI171" s="72"/>
      <c r="ABJ171" s="72"/>
      <c r="ABK171" s="72"/>
      <c r="ABL171" s="72"/>
      <c r="ABM171" s="72"/>
      <c r="ABN171" s="72"/>
      <c r="ABO171" s="72"/>
      <c r="ABP171" s="72"/>
      <c r="ABQ171" s="72"/>
      <c r="ABR171" s="72"/>
      <c r="ABS171" s="72"/>
      <c r="ABT171" s="72"/>
      <c r="ABU171" s="72"/>
      <c r="ABV171" s="72"/>
      <c r="ABW171" s="72"/>
      <c r="ABX171" s="72"/>
      <c r="ABY171" s="72"/>
      <c r="ABZ171" s="72"/>
      <c r="ACA171" s="72"/>
      <c r="ACB171" s="72"/>
      <c r="ACC171" s="72"/>
      <c r="ACD171" s="72"/>
      <c r="ACE171" s="72"/>
      <c r="ACF171" s="72"/>
      <c r="ACG171" s="72"/>
      <c r="ACH171" s="72"/>
      <c r="ACI171" s="72"/>
      <c r="ACJ171" s="72"/>
      <c r="ACK171" s="72"/>
      <c r="ACL171" s="72"/>
      <c r="ACM171" s="72"/>
      <c r="ACN171" s="72"/>
      <c r="ACO171" s="72"/>
      <c r="ACP171" s="72"/>
      <c r="ACQ171" s="72"/>
      <c r="ACR171" s="72"/>
      <c r="ACS171" s="72"/>
      <c r="ACT171" s="72"/>
      <c r="ACU171" s="72"/>
      <c r="ACV171" s="72"/>
      <c r="ACW171" s="72"/>
      <c r="ACX171" s="72"/>
      <c r="ACY171" s="72"/>
      <c r="ACZ171" s="72"/>
      <c r="ADA171" s="72"/>
      <c r="ADB171" s="72"/>
      <c r="ADC171" s="72"/>
      <c r="ADD171" s="72"/>
      <c r="ADE171" s="72"/>
      <c r="ADF171" s="72"/>
      <c r="ADG171" s="72"/>
      <c r="ADH171" s="72"/>
      <c r="ADI171" s="72"/>
      <c r="ADJ171" s="72"/>
      <c r="ADK171" s="72"/>
      <c r="ADL171" s="72"/>
      <c r="ADM171" s="72"/>
      <c r="ADN171" s="72"/>
      <c r="ADO171" s="72"/>
      <c r="ADP171" s="72"/>
      <c r="ADQ171" s="72"/>
      <c r="ADR171" s="72"/>
      <c r="ADS171" s="72"/>
      <c r="ADT171" s="72"/>
      <c r="ADU171" s="72"/>
      <c r="ADV171" s="72"/>
      <c r="ADW171" s="72"/>
      <c r="ADX171" s="72"/>
      <c r="ADY171" s="72"/>
      <c r="ADZ171" s="72"/>
      <c r="AEA171" s="72"/>
      <c r="AEB171" s="72"/>
      <c r="AEC171" s="72"/>
      <c r="AED171" s="72"/>
      <c r="AEE171" s="72"/>
      <c r="AEF171" s="72"/>
      <c r="AEG171" s="72"/>
      <c r="AEH171" s="72"/>
      <c r="AEI171" s="72"/>
      <c r="AEJ171" s="72"/>
      <c r="AEK171" s="72"/>
      <c r="AEL171" s="72"/>
      <c r="AEM171" s="72"/>
      <c r="AEN171" s="72"/>
      <c r="AEO171" s="72"/>
      <c r="AEP171" s="72"/>
      <c r="AEQ171" s="72"/>
      <c r="AER171" s="72"/>
      <c r="AES171" s="72"/>
      <c r="AET171" s="72"/>
      <c r="AEU171" s="72"/>
      <c r="AEV171" s="72"/>
      <c r="AEW171" s="72"/>
      <c r="AEX171" s="72"/>
      <c r="AEY171" s="72"/>
      <c r="AEZ171" s="72"/>
      <c r="AFA171" s="72"/>
      <c r="AFB171" s="72"/>
      <c r="AFC171" s="72"/>
      <c r="AFD171" s="72"/>
      <c r="AFE171" s="72"/>
      <c r="AFF171" s="72"/>
      <c r="AFG171" s="72"/>
      <c r="AFH171" s="72"/>
      <c r="AFI171" s="72"/>
      <c r="AFJ171" s="72"/>
      <c r="AFK171" s="72"/>
      <c r="AFL171" s="72"/>
      <c r="AFM171" s="72"/>
      <c r="AFN171" s="72"/>
      <c r="AFO171" s="72"/>
      <c r="AFP171" s="72"/>
      <c r="AFQ171" s="72"/>
      <c r="AFR171" s="72"/>
      <c r="AFS171" s="72"/>
      <c r="AFT171" s="72"/>
      <c r="AFU171" s="72"/>
      <c r="AFV171" s="72"/>
      <c r="AFW171" s="72"/>
      <c r="AFX171" s="72"/>
      <c r="AFY171" s="72"/>
      <c r="AFZ171" s="72"/>
      <c r="AGA171" s="72"/>
      <c r="AGB171" s="72"/>
      <c r="AGC171" s="72"/>
      <c r="AGD171" s="72"/>
      <c r="AGE171" s="72"/>
      <c r="AGF171" s="72"/>
      <c r="AGG171" s="72"/>
      <c r="AGH171" s="72"/>
      <c r="AGI171" s="72"/>
      <c r="AGJ171" s="72"/>
      <c r="AGK171" s="72"/>
      <c r="AGL171" s="72"/>
      <c r="AGM171" s="72"/>
      <c r="AGN171" s="72"/>
      <c r="AGO171" s="72"/>
      <c r="AGP171" s="72"/>
      <c r="AGQ171" s="72"/>
      <c r="AGR171" s="72"/>
      <c r="AGS171" s="72"/>
      <c r="AGT171" s="72"/>
      <c r="AGU171" s="72"/>
      <c r="AGV171" s="72"/>
      <c r="AGW171" s="72"/>
      <c r="AGX171" s="72"/>
      <c r="AGY171" s="72"/>
      <c r="AGZ171" s="72"/>
      <c r="AHA171" s="72"/>
      <c r="AHB171" s="72"/>
      <c r="AHC171" s="72"/>
      <c r="AHD171" s="72"/>
      <c r="AHE171" s="72"/>
      <c r="AHF171" s="72"/>
      <c r="AHG171" s="72"/>
      <c r="AHH171" s="72"/>
      <c r="AHI171" s="72"/>
      <c r="AHJ171" s="72"/>
      <c r="AHK171" s="72"/>
      <c r="AHL171" s="72"/>
      <c r="AHM171" s="72"/>
      <c r="AHN171" s="72"/>
      <c r="AHO171" s="72"/>
      <c r="AHP171" s="72"/>
      <c r="AHQ171" s="72"/>
      <c r="AHR171" s="72"/>
      <c r="AHS171" s="72"/>
      <c r="AHT171" s="72"/>
      <c r="AHU171" s="72"/>
      <c r="AHV171" s="72"/>
      <c r="AHW171" s="72"/>
      <c r="AHX171" s="72"/>
      <c r="AHY171" s="72"/>
      <c r="AHZ171" s="72"/>
      <c r="AIA171" s="72"/>
      <c r="AIB171" s="72"/>
      <c r="AIC171" s="72"/>
      <c r="AID171" s="72"/>
      <c r="AIE171" s="72"/>
      <c r="AIF171" s="72"/>
      <c r="AIG171" s="72"/>
      <c r="AIH171" s="72"/>
      <c r="AII171" s="72"/>
      <c r="AIJ171" s="72"/>
      <c r="AIK171" s="72"/>
      <c r="AIL171" s="72"/>
      <c r="AIM171" s="72"/>
      <c r="AIN171" s="72"/>
      <c r="AIO171" s="72"/>
      <c r="AIP171" s="72"/>
      <c r="AIQ171" s="72"/>
      <c r="AIR171" s="72"/>
      <c r="AIS171" s="72"/>
      <c r="AIT171" s="72"/>
      <c r="AIU171" s="72"/>
      <c r="AIV171" s="72"/>
      <c r="AIW171" s="72"/>
      <c r="AIX171" s="72"/>
      <c r="AIY171" s="72"/>
      <c r="AIZ171" s="72"/>
      <c r="AJA171" s="72"/>
      <c r="AJB171" s="72"/>
      <c r="AJC171" s="72"/>
      <c r="AJD171" s="72"/>
      <c r="AJE171" s="72"/>
      <c r="AJF171" s="72"/>
      <c r="AJG171" s="72"/>
      <c r="AJH171" s="72"/>
      <c r="AJI171" s="72"/>
      <c r="AJJ171" s="72"/>
      <c r="AJK171" s="72"/>
      <c r="AJL171" s="72"/>
      <c r="AJM171" s="72"/>
      <c r="AJN171" s="72"/>
      <c r="AJO171" s="72"/>
      <c r="AJP171" s="72"/>
      <c r="AJQ171" s="72"/>
      <c r="AJR171" s="72"/>
      <c r="AJS171" s="72"/>
      <c r="AJT171" s="72"/>
      <c r="AJU171" s="72"/>
      <c r="AJV171" s="72"/>
      <c r="AJW171" s="72"/>
      <c r="AJX171" s="72"/>
      <c r="AJY171" s="72"/>
      <c r="AJZ171" s="72"/>
      <c r="AKA171" s="72"/>
      <c r="AKB171" s="72"/>
      <c r="AKC171" s="72"/>
      <c r="AKD171" s="72"/>
      <c r="AKE171" s="72"/>
      <c r="AKF171" s="72"/>
      <c r="AKG171" s="72"/>
      <c r="AKH171" s="72"/>
      <c r="AKI171" s="72"/>
      <c r="AKJ171" s="72"/>
      <c r="AKK171" s="72"/>
      <c r="AKL171" s="72"/>
      <c r="AKM171" s="72"/>
      <c r="AKN171" s="72"/>
      <c r="AKO171" s="72"/>
      <c r="AKP171" s="72"/>
      <c r="AKQ171" s="72"/>
      <c r="AKR171" s="72"/>
      <c r="AKS171" s="72"/>
      <c r="AKT171" s="72"/>
      <c r="AKU171" s="72"/>
      <c r="AKV171" s="72"/>
      <c r="AKW171" s="72"/>
      <c r="AKX171" s="72"/>
      <c r="AKY171" s="72"/>
      <c r="AKZ171" s="72"/>
      <c r="ALA171" s="72"/>
      <c r="ALB171" s="72"/>
      <c r="ALC171" s="72"/>
      <c r="ALD171" s="72"/>
      <c r="ALE171" s="72"/>
      <c r="ALF171" s="72"/>
      <c r="ALG171" s="72"/>
      <c r="ALH171" s="72"/>
      <c r="ALI171" s="72"/>
      <c r="ALJ171" s="72"/>
      <c r="ALK171" s="72"/>
      <c r="ALL171" s="72"/>
      <c r="ALM171" s="72"/>
      <c r="ALN171" s="72"/>
      <c r="ALO171" s="72"/>
      <c r="ALP171" s="72"/>
      <c r="ALQ171" s="72"/>
      <c r="ALR171" s="72"/>
      <c r="ALS171" s="72"/>
      <c r="ALT171" s="72"/>
      <c r="ALU171" s="72"/>
      <c r="ALV171" s="72"/>
      <c r="ALW171" s="72"/>
      <c r="ALX171" s="72"/>
      <c r="ALY171" s="72"/>
      <c r="ALZ171" s="72"/>
      <c r="AMA171" s="72"/>
      <c r="AMB171" s="72"/>
      <c r="AMC171" s="72"/>
      <c r="AMD171" s="72"/>
      <c r="AME171" s="72"/>
      <c r="AMF171" s="72"/>
      <c r="AMG171" s="72"/>
      <c r="AMH171" s="72"/>
      <c r="AMI171" s="72"/>
      <c r="AMJ171" s="72"/>
      <c r="AMK171" s="72"/>
      <c r="AML171" s="72"/>
      <c r="AMM171" s="72"/>
      <c r="AMN171" s="72"/>
      <c r="AMO171" s="72"/>
      <c r="AMP171" s="72"/>
      <c r="AMQ171" s="72"/>
      <c r="AMR171" s="72"/>
      <c r="AMS171" s="72"/>
      <c r="AMT171" s="72"/>
      <c r="AMU171" s="72"/>
      <c r="AMV171" s="72"/>
      <c r="AMW171" s="72"/>
      <c r="AMX171" s="72"/>
      <c r="AMY171" s="72"/>
      <c r="AMZ171" s="72"/>
      <c r="ANA171" s="72"/>
      <c r="ANB171" s="72"/>
      <c r="ANC171" s="72"/>
      <c r="AND171" s="72"/>
      <c r="ANE171" s="72"/>
      <c r="ANF171" s="72"/>
      <c r="ANG171" s="72"/>
      <c r="ANH171" s="72"/>
      <c r="ANI171" s="72"/>
      <c r="ANJ171" s="72"/>
      <c r="ANK171" s="72"/>
      <c r="ANL171" s="72"/>
      <c r="ANM171" s="72"/>
      <c r="ANN171" s="72"/>
      <c r="ANO171" s="72"/>
      <c r="ANP171" s="72"/>
      <c r="ANQ171" s="72"/>
      <c r="ANR171" s="72"/>
      <c r="ANS171" s="72"/>
      <c r="ANT171" s="72"/>
      <c r="ANU171" s="72"/>
      <c r="ANV171" s="72"/>
      <c r="ANW171" s="72"/>
      <c r="ANX171" s="72"/>
      <c r="ANY171" s="72"/>
      <c r="ANZ171" s="72"/>
      <c r="AOA171" s="72"/>
      <c r="AOB171" s="72"/>
      <c r="AOC171" s="72"/>
      <c r="AOD171" s="72"/>
      <c r="AOE171" s="72"/>
      <c r="AOF171" s="72"/>
      <c r="AOG171" s="72"/>
      <c r="AOH171" s="72"/>
      <c r="AOI171" s="72"/>
      <c r="AOJ171" s="72"/>
      <c r="AOK171" s="72"/>
      <c r="AOL171" s="72"/>
      <c r="AOM171" s="72"/>
      <c r="AON171" s="72"/>
      <c r="AOO171" s="72"/>
      <c r="AOP171" s="72"/>
      <c r="AOQ171" s="72"/>
      <c r="AOR171" s="72"/>
      <c r="AOS171" s="72"/>
      <c r="AOT171" s="72"/>
      <c r="AOU171" s="72"/>
      <c r="AOV171" s="72"/>
      <c r="AOW171" s="72"/>
      <c r="AOX171" s="72"/>
      <c r="AOY171" s="72"/>
      <c r="AOZ171" s="72"/>
      <c r="APA171" s="72"/>
      <c r="APB171" s="72"/>
      <c r="APC171" s="72"/>
      <c r="APD171" s="72"/>
      <c r="APE171" s="72"/>
      <c r="APF171" s="72"/>
      <c r="APG171" s="72"/>
      <c r="APH171" s="72"/>
      <c r="API171" s="72"/>
      <c r="APJ171" s="72"/>
      <c r="APK171" s="72"/>
      <c r="APL171" s="72"/>
      <c r="APM171" s="72"/>
      <c r="APN171" s="72"/>
      <c r="APO171" s="72"/>
      <c r="APP171" s="72"/>
      <c r="APQ171" s="72"/>
      <c r="APR171" s="72"/>
      <c r="APS171" s="72"/>
      <c r="APT171" s="72"/>
      <c r="APU171" s="72"/>
      <c r="APV171" s="72"/>
      <c r="APW171" s="72"/>
      <c r="APX171" s="72"/>
      <c r="APY171" s="72"/>
      <c r="APZ171" s="72"/>
      <c r="AQA171" s="72"/>
      <c r="AQB171" s="72"/>
      <c r="AQC171" s="72"/>
      <c r="AQD171" s="72"/>
      <c r="AQE171" s="72"/>
      <c r="AQF171" s="72"/>
      <c r="AQG171" s="72"/>
      <c r="AQH171" s="72"/>
      <c r="AQI171" s="72"/>
      <c r="AQJ171" s="72"/>
      <c r="AQK171" s="72"/>
      <c r="AQL171" s="72"/>
      <c r="AQM171" s="72"/>
      <c r="AQN171" s="72"/>
      <c r="AQO171" s="72"/>
      <c r="AQP171" s="72"/>
      <c r="AQQ171" s="72"/>
      <c r="AQR171" s="72"/>
      <c r="AQS171" s="72"/>
      <c r="AQT171" s="72"/>
      <c r="AQU171" s="72"/>
      <c r="AQV171" s="72"/>
      <c r="AQW171" s="72"/>
      <c r="AQX171" s="72"/>
      <c r="AQY171" s="72"/>
      <c r="AQZ171" s="72"/>
      <c r="ARA171" s="72"/>
      <c r="ARB171" s="72"/>
      <c r="ARC171" s="72"/>
      <c r="ARD171" s="72"/>
      <c r="ARE171" s="72"/>
      <c r="ARF171" s="72"/>
      <c r="ARG171" s="72"/>
      <c r="ARH171" s="72"/>
      <c r="ARI171" s="72"/>
      <c r="ARJ171" s="72"/>
      <c r="ARK171" s="72"/>
      <c r="ARL171" s="72"/>
      <c r="ARM171" s="72"/>
      <c r="ARN171" s="72"/>
      <c r="ARO171" s="72"/>
      <c r="ARP171" s="72"/>
      <c r="ARQ171" s="72"/>
      <c r="ARR171" s="72"/>
      <c r="ARS171" s="72"/>
      <c r="ART171" s="72"/>
      <c r="ARU171" s="72"/>
      <c r="ARV171" s="72"/>
      <c r="ARW171" s="72"/>
      <c r="ARX171" s="72"/>
      <c r="ARY171" s="72"/>
      <c r="ARZ171" s="72"/>
      <c r="ASA171" s="72"/>
      <c r="ASB171" s="72"/>
      <c r="ASC171" s="72"/>
      <c r="ASD171" s="72"/>
      <c r="ASE171" s="72"/>
      <c r="ASF171" s="72"/>
      <c r="ASG171" s="72"/>
      <c r="ASH171" s="72"/>
      <c r="ASI171" s="72"/>
      <c r="ASJ171" s="72"/>
      <c r="ASK171" s="72"/>
      <c r="ASL171" s="72"/>
      <c r="ASM171" s="72"/>
      <c r="ASN171" s="72"/>
      <c r="ASO171" s="72"/>
      <c r="ASP171" s="72"/>
      <c r="ASQ171" s="72"/>
      <c r="ASR171" s="72"/>
      <c r="ASS171" s="72"/>
      <c r="AST171" s="72"/>
      <c r="ASU171" s="72"/>
      <c r="ASV171" s="72"/>
      <c r="ASW171" s="72"/>
      <c r="ASX171" s="72"/>
      <c r="ASY171" s="72"/>
      <c r="ASZ171" s="72"/>
      <c r="ATA171" s="72"/>
      <c r="ATB171" s="72"/>
      <c r="ATC171" s="72"/>
      <c r="ATD171" s="72"/>
      <c r="ATE171" s="72"/>
      <c r="ATF171" s="72"/>
      <c r="ATG171" s="72"/>
      <c r="ATH171" s="72"/>
      <c r="ATI171" s="72"/>
      <c r="ATJ171" s="72"/>
      <c r="ATK171" s="72"/>
      <c r="ATL171" s="72"/>
      <c r="ATM171" s="72"/>
      <c r="ATN171" s="72"/>
      <c r="ATO171" s="72"/>
      <c r="ATP171" s="72"/>
      <c r="ATQ171" s="72"/>
      <c r="ATR171" s="72"/>
      <c r="ATS171" s="72"/>
      <c r="ATT171" s="72"/>
      <c r="ATU171" s="72"/>
      <c r="ATV171" s="72"/>
      <c r="ATW171" s="72"/>
      <c r="ATX171" s="72"/>
      <c r="ATY171" s="72"/>
      <c r="ATZ171" s="72"/>
      <c r="AUA171" s="72"/>
      <c r="AUB171" s="72"/>
      <c r="AUC171" s="72"/>
      <c r="AUD171" s="72"/>
      <c r="AUE171" s="72"/>
      <c r="AUF171" s="72"/>
      <c r="AUG171" s="72"/>
      <c r="AUH171" s="72"/>
      <c r="AUI171" s="72"/>
      <c r="AUJ171" s="72"/>
      <c r="AUK171" s="72"/>
      <c r="AUL171" s="72"/>
      <c r="AUM171" s="72"/>
      <c r="AUN171" s="72"/>
      <c r="AUO171" s="72"/>
      <c r="AUP171" s="72"/>
      <c r="AUQ171" s="72"/>
      <c r="AUR171" s="72"/>
      <c r="AUS171" s="72"/>
      <c r="AUT171" s="72"/>
      <c r="AUU171" s="72"/>
      <c r="AUV171" s="72"/>
      <c r="AUW171" s="72"/>
      <c r="AUX171" s="72"/>
      <c r="AUY171" s="72"/>
      <c r="AUZ171" s="72"/>
      <c r="AVA171" s="72"/>
      <c r="AVB171" s="72"/>
      <c r="AVC171" s="72"/>
      <c r="AVD171" s="72"/>
      <c r="AVE171" s="72"/>
      <c r="AVF171" s="72"/>
      <c r="AVG171" s="72"/>
      <c r="AVH171" s="72"/>
      <c r="AVI171" s="72"/>
      <c r="AVJ171" s="72"/>
      <c r="AVK171" s="72"/>
      <c r="AVL171" s="72"/>
      <c r="AVM171" s="72"/>
      <c r="AVN171" s="72"/>
      <c r="AVO171" s="72"/>
      <c r="AVP171" s="72"/>
      <c r="AVQ171" s="72"/>
      <c r="AVR171" s="72"/>
      <c r="AVS171" s="72"/>
      <c r="AVT171" s="72"/>
      <c r="AVU171" s="72"/>
      <c r="AVV171" s="72"/>
      <c r="AVW171" s="72"/>
      <c r="AVX171" s="72"/>
      <c r="AVY171" s="72"/>
      <c r="AVZ171" s="72"/>
      <c r="AWA171" s="72"/>
      <c r="AWB171" s="72"/>
      <c r="AWC171" s="72"/>
      <c r="AWD171" s="72"/>
      <c r="AWE171" s="72"/>
      <c r="AWF171" s="72"/>
      <c r="AWG171" s="72"/>
      <c r="AWH171" s="72"/>
      <c r="AWI171" s="72"/>
      <c r="AWJ171" s="72"/>
      <c r="AWK171" s="72"/>
      <c r="AWL171" s="72"/>
      <c r="AWM171" s="72"/>
      <c r="AWN171" s="72"/>
      <c r="AWO171" s="72"/>
      <c r="AWP171" s="72"/>
      <c r="AWQ171" s="72"/>
      <c r="AWR171" s="72"/>
      <c r="AWS171" s="72"/>
      <c r="AWT171" s="72"/>
      <c r="AWU171" s="72"/>
      <c r="AWV171" s="72"/>
      <c r="AWW171" s="72"/>
      <c r="AWX171" s="72"/>
      <c r="AWY171" s="72"/>
      <c r="AWZ171" s="72"/>
      <c r="AXA171" s="72"/>
      <c r="AXB171" s="72"/>
      <c r="AXC171" s="72"/>
      <c r="AXD171" s="72"/>
      <c r="AXE171" s="72"/>
      <c r="AXF171" s="72"/>
      <c r="AXG171" s="72"/>
      <c r="AXH171" s="72"/>
      <c r="AXI171" s="72"/>
      <c r="AXJ171" s="72"/>
      <c r="AXK171" s="72"/>
      <c r="AXL171" s="72"/>
      <c r="AXM171" s="72"/>
      <c r="AXN171" s="72"/>
      <c r="AXO171" s="72"/>
      <c r="AXP171" s="72"/>
      <c r="AXQ171" s="72"/>
      <c r="AXR171" s="72"/>
      <c r="AXS171" s="72"/>
      <c r="AXT171" s="72"/>
      <c r="AXU171" s="72"/>
      <c r="AXV171" s="72"/>
      <c r="AXW171" s="72"/>
      <c r="AXX171" s="72"/>
      <c r="AXY171" s="72"/>
      <c r="AXZ171" s="72"/>
      <c r="AYA171" s="72"/>
      <c r="AYB171" s="72"/>
      <c r="AYC171" s="72"/>
      <c r="AYD171" s="72"/>
      <c r="AYE171" s="72"/>
      <c r="AYF171" s="72"/>
      <c r="AYG171" s="72"/>
      <c r="AYH171" s="72"/>
      <c r="AYI171" s="72"/>
      <c r="AYJ171" s="72"/>
      <c r="AYK171" s="72"/>
      <c r="AYL171" s="72"/>
      <c r="AYM171" s="72"/>
      <c r="AYN171" s="72"/>
      <c r="AYO171" s="72"/>
      <c r="AYP171" s="72"/>
      <c r="AYQ171" s="72"/>
      <c r="AYR171" s="72"/>
      <c r="AYS171" s="72"/>
      <c r="AYT171" s="72"/>
      <c r="AYU171" s="72"/>
      <c r="AYV171" s="72"/>
      <c r="AYW171" s="72"/>
      <c r="AYX171" s="72"/>
      <c r="AYY171" s="72"/>
      <c r="AYZ171" s="72"/>
      <c r="AZA171" s="72"/>
      <c r="AZB171" s="72"/>
      <c r="AZC171" s="72"/>
      <c r="AZD171" s="72"/>
      <c r="AZE171" s="72"/>
      <c r="AZF171" s="72"/>
      <c r="AZG171" s="72"/>
      <c r="AZH171" s="72"/>
      <c r="AZI171" s="72"/>
      <c r="AZJ171" s="72"/>
      <c r="AZK171" s="72"/>
      <c r="AZL171" s="72"/>
      <c r="AZM171" s="72"/>
      <c r="AZN171" s="72"/>
      <c r="AZO171" s="72"/>
      <c r="AZP171" s="72"/>
      <c r="AZQ171" s="72"/>
      <c r="AZR171" s="72"/>
      <c r="AZS171" s="72"/>
      <c r="AZT171" s="72"/>
      <c r="AZU171" s="72"/>
      <c r="AZV171" s="72"/>
      <c r="AZW171" s="72"/>
      <c r="AZX171" s="72"/>
      <c r="AZY171" s="72"/>
      <c r="AZZ171" s="72"/>
      <c r="BAA171" s="72"/>
      <c r="BAB171" s="72"/>
      <c r="BAC171" s="72"/>
      <c r="BAD171" s="72"/>
      <c r="BAE171" s="72"/>
      <c r="BAF171" s="72"/>
      <c r="BAG171" s="72"/>
      <c r="BAH171" s="72"/>
      <c r="BAI171" s="72"/>
      <c r="BAJ171" s="72"/>
      <c r="BAK171" s="72"/>
      <c r="BAL171" s="72"/>
      <c r="BAM171" s="72"/>
      <c r="BAN171" s="72"/>
      <c r="BAO171" s="72"/>
      <c r="BAP171" s="72"/>
      <c r="BAQ171" s="72"/>
      <c r="BAR171" s="72"/>
      <c r="BAS171" s="72"/>
      <c r="BAT171" s="72"/>
      <c r="BAU171" s="72"/>
      <c r="BAV171" s="72"/>
      <c r="BAW171" s="72"/>
      <c r="BAX171" s="72"/>
      <c r="BAY171" s="72"/>
      <c r="BAZ171" s="72"/>
      <c r="BBA171" s="72"/>
      <c r="BBB171" s="72"/>
      <c r="BBC171" s="72"/>
      <c r="BBD171" s="72"/>
      <c r="BBE171" s="72"/>
      <c r="BBF171" s="72"/>
      <c r="BBG171" s="72"/>
      <c r="BBH171" s="72"/>
      <c r="BBI171" s="72"/>
      <c r="BBJ171" s="72"/>
      <c r="BBK171" s="72"/>
      <c r="BBL171" s="72"/>
      <c r="BBM171" s="72"/>
      <c r="BBN171" s="72"/>
      <c r="BBO171" s="72"/>
      <c r="BBP171" s="72"/>
      <c r="BBQ171" s="72"/>
      <c r="BBR171" s="72"/>
      <c r="BBS171" s="72"/>
      <c r="BBT171" s="72"/>
      <c r="BBU171" s="72"/>
      <c r="BBV171" s="72"/>
      <c r="BBW171" s="72"/>
      <c r="BBX171" s="72"/>
      <c r="BBY171" s="72"/>
      <c r="BBZ171" s="72"/>
      <c r="BCA171" s="72"/>
      <c r="BCB171" s="72"/>
      <c r="BCC171" s="72"/>
      <c r="BCD171" s="72"/>
      <c r="BCE171" s="72"/>
      <c r="BCF171" s="72"/>
      <c r="BCG171" s="72"/>
      <c r="BCH171" s="72"/>
      <c r="BCI171" s="72"/>
      <c r="BCJ171" s="72"/>
      <c r="BCK171" s="72"/>
      <c r="BCL171" s="72"/>
      <c r="BCM171" s="72"/>
      <c r="BCN171" s="72"/>
      <c r="BCO171" s="72"/>
      <c r="BCP171" s="72"/>
      <c r="BCQ171" s="72"/>
      <c r="BCR171" s="72"/>
      <c r="BCS171" s="72"/>
      <c r="BCT171" s="72"/>
      <c r="BCU171" s="72"/>
      <c r="BCV171" s="72"/>
      <c r="BCW171" s="72"/>
      <c r="BCX171" s="72"/>
      <c r="BCY171" s="72"/>
      <c r="BCZ171" s="72"/>
      <c r="BDA171" s="72"/>
      <c r="BDB171" s="72"/>
      <c r="BDC171" s="72"/>
      <c r="BDD171" s="72"/>
      <c r="BDE171" s="72"/>
      <c r="BDF171" s="72"/>
      <c r="BDG171" s="72"/>
      <c r="BDH171" s="72"/>
      <c r="BDI171" s="72"/>
      <c r="BDJ171" s="72"/>
      <c r="BDK171" s="72"/>
      <c r="BDL171" s="72"/>
      <c r="BDM171" s="72"/>
      <c r="BDN171" s="72"/>
      <c r="BDO171" s="72"/>
      <c r="BDP171" s="72"/>
      <c r="BDQ171" s="72"/>
      <c r="BDR171" s="72"/>
      <c r="BDS171" s="72"/>
      <c r="BDT171" s="72"/>
      <c r="BDU171" s="72"/>
      <c r="BDV171" s="72"/>
      <c r="BDW171" s="72"/>
      <c r="BDX171" s="72"/>
      <c r="BDY171" s="72"/>
      <c r="BDZ171" s="72"/>
      <c r="BEA171" s="72"/>
      <c r="BEB171" s="72"/>
      <c r="BEC171" s="72"/>
      <c r="BED171" s="72"/>
      <c r="BEE171" s="72"/>
      <c r="BEF171" s="72"/>
      <c r="BEG171" s="72"/>
      <c r="BEH171" s="72"/>
      <c r="BEI171" s="72"/>
      <c r="BEJ171" s="72"/>
      <c r="BEK171" s="72"/>
      <c r="BEL171" s="72"/>
      <c r="BEM171" s="72"/>
      <c r="BEN171" s="72"/>
      <c r="BEO171" s="72"/>
      <c r="BEP171" s="72"/>
      <c r="BEQ171" s="72"/>
      <c r="BER171" s="72"/>
      <c r="BES171" s="72"/>
      <c r="BET171" s="72"/>
      <c r="BEU171" s="72"/>
      <c r="BEV171" s="72"/>
      <c r="BEW171" s="72"/>
      <c r="BEX171" s="72"/>
      <c r="BEY171" s="72"/>
      <c r="BEZ171" s="72"/>
      <c r="BFA171" s="72"/>
      <c r="BFB171" s="72"/>
      <c r="BFC171" s="72"/>
      <c r="BFD171" s="72"/>
      <c r="BFE171" s="72"/>
      <c r="BFF171" s="72"/>
      <c r="BFG171" s="72"/>
      <c r="BFH171" s="72"/>
      <c r="BFI171" s="72"/>
      <c r="BFJ171" s="72"/>
      <c r="BFK171" s="72"/>
      <c r="BFL171" s="72"/>
      <c r="BFM171" s="72"/>
      <c r="BFN171" s="72"/>
      <c r="BFO171" s="72"/>
      <c r="BFP171" s="72"/>
      <c r="BFQ171" s="72"/>
      <c r="BFR171" s="72"/>
      <c r="BFS171" s="72"/>
      <c r="BFT171" s="72"/>
      <c r="BFU171" s="72"/>
      <c r="BFV171" s="72"/>
      <c r="BFW171" s="72"/>
      <c r="BFX171" s="72"/>
      <c r="BFY171" s="72"/>
      <c r="BFZ171" s="72"/>
      <c r="BGA171" s="72"/>
      <c r="BGB171" s="72"/>
      <c r="BGC171" s="72"/>
      <c r="BGD171" s="72"/>
      <c r="BGE171" s="72"/>
      <c r="BGF171" s="72"/>
      <c r="BGG171" s="72"/>
      <c r="BGH171" s="72"/>
      <c r="BGI171" s="72"/>
      <c r="BGJ171" s="72"/>
      <c r="BGK171" s="72"/>
      <c r="BGL171" s="72"/>
      <c r="BGM171" s="72"/>
      <c r="BGN171" s="72"/>
      <c r="BGO171" s="72"/>
      <c r="BGP171" s="72"/>
      <c r="BGQ171" s="72"/>
      <c r="BGR171" s="72"/>
      <c r="BGS171" s="72"/>
      <c r="BGT171" s="72"/>
      <c r="BGU171" s="72"/>
      <c r="BGV171" s="72"/>
      <c r="BGW171" s="72"/>
      <c r="BGX171" s="72"/>
      <c r="BGY171" s="72"/>
      <c r="BGZ171" s="72"/>
      <c r="BHA171" s="72"/>
      <c r="BHB171" s="72"/>
      <c r="BHC171" s="72"/>
      <c r="BHD171" s="72"/>
      <c r="BHE171" s="72"/>
      <c r="BHF171" s="72"/>
      <c r="BHG171" s="72"/>
      <c r="BHH171" s="72"/>
      <c r="BHI171" s="72"/>
      <c r="BHJ171" s="72"/>
      <c r="BHK171" s="72"/>
      <c r="BHL171" s="72"/>
      <c r="BHM171" s="72"/>
      <c r="BHN171" s="72"/>
      <c r="BHO171" s="72"/>
      <c r="BHP171" s="72"/>
      <c r="BHQ171" s="72"/>
      <c r="BHR171" s="72"/>
      <c r="BHS171" s="72"/>
      <c r="BHT171" s="72"/>
      <c r="BHU171" s="72"/>
      <c r="BHV171" s="72"/>
      <c r="BHW171" s="72"/>
      <c r="BHX171" s="72"/>
      <c r="BHY171" s="72"/>
      <c r="BHZ171" s="72"/>
      <c r="BIA171" s="72"/>
      <c r="BIB171" s="72"/>
      <c r="BIC171" s="72"/>
      <c r="BID171" s="72"/>
      <c r="BIE171" s="72"/>
      <c r="BIF171" s="72"/>
      <c r="BIG171" s="72"/>
      <c r="BIH171" s="72"/>
      <c r="BII171" s="72"/>
      <c r="BIJ171" s="72"/>
      <c r="BIK171" s="72"/>
      <c r="BIL171" s="72"/>
      <c r="BIM171" s="72"/>
      <c r="BIN171" s="72"/>
      <c r="BIO171" s="72"/>
      <c r="BIP171" s="72"/>
      <c r="BIQ171" s="72"/>
      <c r="BIR171" s="72"/>
      <c r="BIS171" s="72"/>
      <c r="BIT171" s="72"/>
      <c r="BIU171" s="72"/>
      <c r="BIV171" s="72"/>
      <c r="BIW171" s="72"/>
      <c r="BIX171" s="72"/>
      <c r="BIY171" s="72"/>
      <c r="BIZ171" s="72"/>
      <c r="BJA171" s="72"/>
      <c r="BJB171" s="72"/>
      <c r="BJC171" s="72"/>
      <c r="BJD171" s="72"/>
      <c r="BJE171" s="72"/>
      <c r="BJF171" s="72"/>
      <c r="BJG171" s="72"/>
      <c r="BJH171" s="72"/>
      <c r="BJI171" s="72"/>
      <c r="BJJ171" s="72"/>
      <c r="BJK171" s="72"/>
      <c r="BJL171" s="72"/>
      <c r="BJM171" s="72"/>
      <c r="BJN171" s="72"/>
      <c r="BJO171" s="72"/>
      <c r="BJP171" s="72"/>
      <c r="BJQ171" s="72"/>
      <c r="BJR171" s="72"/>
      <c r="BJS171" s="72"/>
      <c r="BJT171" s="72"/>
      <c r="BJU171" s="72"/>
      <c r="BJV171" s="72"/>
      <c r="BJW171" s="72"/>
      <c r="BJX171" s="72"/>
      <c r="BJY171" s="72"/>
      <c r="BJZ171" s="72"/>
      <c r="BKA171" s="72"/>
      <c r="BKB171" s="72"/>
      <c r="BKC171" s="72"/>
      <c r="BKD171" s="72"/>
      <c r="BKE171" s="72"/>
      <c r="BKF171" s="72"/>
      <c r="BKG171" s="72"/>
      <c r="BKH171" s="72"/>
      <c r="BKI171" s="72"/>
      <c r="BKJ171" s="72"/>
      <c r="BKK171" s="72"/>
      <c r="BKL171" s="72"/>
      <c r="BKM171" s="72"/>
      <c r="BKN171" s="72"/>
      <c r="BKO171" s="72"/>
      <c r="BKP171" s="72"/>
      <c r="BKQ171" s="72"/>
      <c r="BKR171" s="72"/>
      <c r="BKS171" s="72"/>
      <c r="BKT171" s="72"/>
      <c r="BKU171" s="72"/>
      <c r="BKV171" s="72"/>
      <c r="BKW171" s="72"/>
      <c r="BKX171" s="72"/>
      <c r="BKY171" s="72"/>
      <c r="BKZ171" s="72"/>
      <c r="BLA171" s="72"/>
      <c r="BLB171" s="72"/>
      <c r="BLC171" s="72"/>
      <c r="BLD171" s="72"/>
      <c r="BLE171" s="72"/>
      <c r="BLF171" s="72"/>
      <c r="BLG171" s="72"/>
      <c r="BLH171" s="72"/>
      <c r="BLI171" s="72"/>
      <c r="BLJ171" s="72"/>
      <c r="BLK171" s="72"/>
      <c r="BLL171" s="72"/>
      <c r="BLM171" s="72"/>
      <c r="BLN171" s="72"/>
      <c r="BLO171" s="72"/>
      <c r="BLP171" s="72"/>
      <c r="BLQ171" s="72"/>
      <c r="BLR171" s="72"/>
      <c r="BLS171" s="72"/>
      <c r="BLT171" s="72"/>
      <c r="BLU171" s="72"/>
      <c r="BLV171" s="72"/>
      <c r="BLW171" s="72"/>
      <c r="BLX171" s="72"/>
      <c r="BLY171" s="72"/>
      <c r="BLZ171" s="72"/>
      <c r="BMA171" s="72"/>
      <c r="BMB171" s="72"/>
      <c r="BMC171" s="72"/>
      <c r="BMD171" s="72"/>
      <c r="BME171" s="72"/>
      <c r="BMF171" s="72"/>
      <c r="BMG171" s="72"/>
      <c r="BMH171" s="72"/>
      <c r="BMI171" s="72"/>
      <c r="BMJ171" s="72"/>
      <c r="BMK171" s="72"/>
      <c r="BML171" s="72"/>
      <c r="BMM171" s="72"/>
      <c r="BMN171" s="72"/>
      <c r="BMO171" s="72"/>
      <c r="BMP171" s="72"/>
      <c r="BMQ171" s="72"/>
      <c r="BMR171" s="72"/>
      <c r="BMS171" s="72"/>
      <c r="BMT171" s="72"/>
      <c r="BMU171" s="72"/>
      <c r="BMV171" s="72"/>
      <c r="BMW171" s="72"/>
      <c r="BMX171" s="72"/>
      <c r="BMY171" s="72"/>
      <c r="BMZ171" s="72"/>
      <c r="BNA171" s="72"/>
      <c r="BNB171" s="72"/>
      <c r="BNC171" s="72"/>
      <c r="BND171" s="72"/>
      <c r="BNE171" s="72"/>
      <c r="BNF171" s="72"/>
      <c r="BNG171" s="72"/>
      <c r="BNH171" s="72"/>
      <c r="BNI171" s="72"/>
      <c r="BNJ171" s="72"/>
      <c r="BNK171" s="72"/>
      <c r="BNL171" s="72"/>
      <c r="BNM171" s="72"/>
      <c r="BNN171" s="72"/>
      <c r="BNO171" s="72"/>
      <c r="BNP171" s="72"/>
      <c r="BNQ171" s="72"/>
      <c r="BNR171" s="72"/>
      <c r="BNS171" s="72"/>
      <c r="BNT171" s="72"/>
      <c r="BNU171" s="72"/>
      <c r="BNV171" s="72"/>
      <c r="BNW171" s="72"/>
      <c r="BNX171" s="72"/>
      <c r="BNY171" s="72"/>
      <c r="BNZ171" s="72"/>
      <c r="BOA171" s="72"/>
      <c r="BOB171" s="72"/>
      <c r="BOC171" s="72"/>
      <c r="BOD171" s="72"/>
      <c r="BOE171" s="72"/>
      <c r="BOF171" s="72"/>
      <c r="BOG171" s="72"/>
      <c r="BOH171" s="72"/>
      <c r="BOI171" s="72"/>
      <c r="BOJ171" s="72"/>
      <c r="BOK171" s="72"/>
      <c r="BOL171" s="72"/>
      <c r="BOM171" s="72"/>
      <c r="BON171" s="72"/>
      <c r="BOO171" s="72"/>
      <c r="BOP171" s="72"/>
      <c r="BOQ171" s="72"/>
      <c r="BOR171" s="72"/>
      <c r="BOS171" s="72"/>
      <c r="BOT171" s="72"/>
      <c r="BOU171" s="72"/>
      <c r="BOV171" s="72"/>
      <c r="BOW171" s="72"/>
      <c r="BOX171" s="72"/>
      <c r="BOY171" s="72"/>
      <c r="BOZ171" s="72"/>
      <c r="BPA171" s="72"/>
      <c r="BPB171" s="72"/>
      <c r="BPC171" s="72"/>
      <c r="BPD171" s="72"/>
      <c r="BPE171" s="72"/>
      <c r="BPF171" s="72"/>
      <c r="BPG171" s="72"/>
      <c r="BPH171" s="72"/>
      <c r="BPI171" s="72"/>
      <c r="BPJ171" s="72"/>
      <c r="BPK171" s="72"/>
      <c r="BPL171" s="72"/>
      <c r="BPM171" s="72"/>
      <c r="BPN171" s="72"/>
      <c r="BPO171" s="72"/>
      <c r="BPP171" s="72"/>
      <c r="BPQ171" s="72"/>
      <c r="BPR171" s="72"/>
      <c r="BPS171" s="72"/>
      <c r="BPT171" s="72"/>
      <c r="BPU171" s="72"/>
      <c r="BPV171" s="72"/>
      <c r="BPW171" s="72"/>
      <c r="BPX171" s="72"/>
      <c r="BPY171" s="72"/>
      <c r="BPZ171" s="72"/>
      <c r="BQA171" s="72"/>
      <c r="BQB171" s="72"/>
      <c r="BQC171" s="72"/>
      <c r="BQD171" s="72"/>
      <c r="BQE171" s="72"/>
      <c r="BQF171" s="72"/>
      <c r="BQG171" s="72"/>
      <c r="BQH171" s="72"/>
      <c r="BQI171" s="72"/>
      <c r="BQJ171" s="72"/>
      <c r="BQK171" s="72"/>
      <c r="BQL171" s="72"/>
      <c r="BQM171" s="72"/>
      <c r="BQN171" s="72"/>
      <c r="BQO171" s="72"/>
      <c r="BQP171" s="72"/>
      <c r="BQQ171" s="72"/>
      <c r="BQR171" s="72"/>
      <c r="BQS171" s="72"/>
      <c r="BQT171" s="72"/>
      <c r="BQU171" s="72"/>
      <c r="BQV171" s="72"/>
      <c r="BQW171" s="72"/>
      <c r="BQX171" s="72"/>
      <c r="BQY171" s="72"/>
      <c r="BQZ171" s="72"/>
      <c r="BRA171" s="72"/>
      <c r="BRB171" s="72"/>
      <c r="BRC171" s="72"/>
      <c r="BRD171" s="72"/>
      <c r="BRE171" s="72"/>
      <c r="BRF171" s="72"/>
      <c r="BRG171" s="72"/>
      <c r="BRH171" s="72"/>
      <c r="BRI171" s="72"/>
      <c r="BRJ171" s="72"/>
      <c r="BRK171" s="72"/>
      <c r="BRL171" s="72"/>
      <c r="BRM171" s="72"/>
      <c r="BRN171" s="72"/>
      <c r="BRO171" s="72"/>
      <c r="BRP171" s="72"/>
      <c r="BRQ171" s="72"/>
      <c r="BRR171" s="72"/>
      <c r="BRS171" s="72"/>
      <c r="BRT171" s="72"/>
      <c r="BRU171" s="72"/>
      <c r="BRV171" s="72"/>
      <c r="BRW171" s="72"/>
      <c r="BRX171" s="72"/>
      <c r="BRY171" s="72"/>
      <c r="BRZ171" s="72"/>
      <c r="BSA171" s="72"/>
      <c r="BSB171" s="72"/>
      <c r="BSC171" s="72"/>
      <c r="BSD171" s="72"/>
      <c r="BSE171" s="72"/>
      <c r="BSF171" s="72"/>
      <c r="BSG171" s="72"/>
      <c r="BSH171" s="72"/>
      <c r="BSI171" s="72"/>
      <c r="BSJ171" s="72"/>
      <c r="BSK171" s="72"/>
      <c r="BSL171" s="72"/>
      <c r="BSM171" s="72"/>
      <c r="BSN171" s="72"/>
      <c r="BSO171" s="72"/>
      <c r="BSP171" s="72"/>
      <c r="BSQ171" s="72"/>
      <c r="BSR171" s="72"/>
      <c r="BSS171" s="72"/>
      <c r="BST171" s="72"/>
      <c r="BSU171" s="72"/>
      <c r="BSV171" s="72"/>
      <c r="BSW171" s="72"/>
      <c r="BSX171" s="72"/>
      <c r="BSY171" s="72"/>
      <c r="BSZ171" s="72"/>
      <c r="BTA171" s="72"/>
      <c r="BTB171" s="72"/>
      <c r="BTC171" s="72"/>
      <c r="BTD171" s="72"/>
      <c r="BTE171" s="72"/>
      <c r="BTF171" s="72"/>
      <c r="BTG171" s="72"/>
      <c r="BTH171" s="72"/>
      <c r="BTI171" s="72"/>
      <c r="BTJ171" s="72"/>
      <c r="BTK171" s="72"/>
      <c r="BTL171" s="72"/>
      <c r="BTM171" s="72"/>
      <c r="BTN171" s="72"/>
      <c r="BTO171" s="72"/>
      <c r="BTP171" s="72"/>
      <c r="BTQ171" s="72"/>
      <c r="BTR171" s="72"/>
      <c r="BTS171" s="72"/>
      <c r="BTT171" s="72"/>
      <c r="BTU171" s="72"/>
      <c r="BTV171" s="72"/>
      <c r="BTW171" s="72"/>
      <c r="BTX171" s="72"/>
      <c r="BTY171" s="72"/>
      <c r="BTZ171" s="72"/>
      <c r="BUA171" s="72"/>
      <c r="BUB171" s="72"/>
      <c r="BUC171" s="72"/>
      <c r="BUD171" s="72"/>
      <c r="BUE171" s="72"/>
      <c r="BUF171" s="72"/>
      <c r="BUG171" s="72"/>
      <c r="BUH171" s="72"/>
      <c r="BUI171" s="72"/>
      <c r="BUJ171" s="72"/>
      <c r="BUK171" s="72"/>
      <c r="BUL171" s="72"/>
      <c r="BUM171" s="72"/>
      <c r="BUN171" s="72"/>
      <c r="BUO171" s="72"/>
      <c r="BUP171" s="72"/>
      <c r="BUQ171" s="72"/>
      <c r="BUR171" s="72"/>
      <c r="BUS171" s="72"/>
      <c r="BUT171" s="72"/>
      <c r="BUU171" s="72"/>
      <c r="BUV171" s="72"/>
      <c r="BUW171" s="72"/>
      <c r="BUX171" s="72"/>
      <c r="BUY171" s="72"/>
      <c r="BUZ171" s="72"/>
      <c r="BVA171" s="72"/>
      <c r="BVB171" s="72"/>
      <c r="BVC171" s="72"/>
      <c r="BVD171" s="72"/>
      <c r="BVE171" s="72"/>
      <c r="BVF171" s="72"/>
      <c r="BVG171" s="72"/>
      <c r="BVH171" s="72"/>
      <c r="BVI171" s="72"/>
      <c r="BVJ171" s="72"/>
      <c r="BVK171" s="72"/>
      <c r="BVL171" s="72"/>
      <c r="BVM171" s="72"/>
      <c r="BVN171" s="72"/>
      <c r="BVO171" s="72"/>
      <c r="BVP171" s="72"/>
      <c r="BVQ171" s="72"/>
      <c r="BVR171" s="72"/>
      <c r="BVS171" s="72"/>
      <c r="BVT171" s="72"/>
      <c r="BVU171" s="72"/>
      <c r="BVV171" s="72"/>
      <c r="BVW171" s="72"/>
      <c r="BVX171" s="72"/>
      <c r="BVY171" s="72"/>
      <c r="BVZ171" s="72"/>
      <c r="BWA171" s="72"/>
      <c r="BWB171" s="72"/>
      <c r="BWC171" s="72"/>
      <c r="BWD171" s="72"/>
      <c r="BWE171" s="72"/>
      <c r="BWF171" s="72"/>
      <c r="BWG171" s="72"/>
      <c r="BWH171" s="72"/>
      <c r="BWI171" s="72"/>
      <c r="BWJ171" s="72"/>
      <c r="BWK171" s="72"/>
      <c r="BWL171" s="72"/>
      <c r="BWM171" s="72"/>
      <c r="BWN171" s="72"/>
      <c r="BWO171" s="72"/>
      <c r="BWP171" s="72"/>
      <c r="BWQ171" s="72"/>
      <c r="BWR171" s="72"/>
      <c r="BWS171" s="72"/>
      <c r="BWT171" s="72"/>
      <c r="BWU171" s="72"/>
      <c r="BWV171" s="72"/>
      <c r="BWW171" s="72"/>
      <c r="BWX171" s="72"/>
      <c r="BWY171" s="72"/>
      <c r="BWZ171" s="72"/>
      <c r="BXA171" s="72"/>
      <c r="BXB171" s="72"/>
      <c r="BXC171" s="72"/>
      <c r="BXD171" s="72"/>
      <c r="BXE171" s="72"/>
      <c r="BXF171" s="72"/>
      <c r="BXG171" s="72"/>
      <c r="BXH171" s="72"/>
      <c r="BXI171" s="72"/>
      <c r="BXJ171" s="72"/>
      <c r="BXK171" s="72"/>
      <c r="BXL171" s="72"/>
      <c r="BXM171" s="72"/>
      <c r="BXN171" s="72"/>
      <c r="BXO171" s="72"/>
      <c r="BXP171" s="72"/>
      <c r="BXQ171" s="72"/>
      <c r="BXR171" s="72"/>
      <c r="BXS171" s="72"/>
      <c r="BXT171" s="72"/>
      <c r="BXU171" s="72"/>
      <c r="BXV171" s="72"/>
      <c r="BXW171" s="72"/>
      <c r="BXX171" s="72"/>
      <c r="BXY171" s="72"/>
      <c r="BXZ171" s="72"/>
      <c r="BYA171" s="72"/>
      <c r="BYB171" s="72"/>
      <c r="BYC171" s="72"/>
      <c r="BYD171" s="72"/>
      <c r="BYE171" s="72"/>
      <c r="BYF171" s="72"/>
      <c r="BYG171" s="72"/>
      <c r="BYH171" s="72"/>
      <c r="BYI171" s="72"/>
      <c r="BYJ171" s="72"/>
      <c r="BYK171" s="72"/>
      <c r="BYL171" s="72"/>
      <c r="BYM171" s="72"/>
      <c r="BYN171" s="72"/>
      <c r="BYO171" s="72"/>
      <c r="BYP171" s="72"/>
      <c r="BYQ171" s="72"/>
      <c r="BYR171" s="72"/>
      <c r="BYS171" s="72"/>
      <c r="BYT171" s="72"/>
      <c r="BYU171" s="72"/>
      <c r="BYV171" s="72"/>
      <c r="BYW171" s="72"/>
      <c r="BYX171" s="72"/>
      <c r="BYY171" s="72"/>
      <c r="BYZ171" s="72"/>
      <c r="BZA171" s="72"/>
      <c r="BZB171" s="72"/>
      <c r="BZC171" s="72"/>
      <c r="BZD171" s="72"/>
      <c r="BZE171" s="72"/>
      <c r="BZF171" s="72"/>
      <c r="BZG171" s="72"/>
      <c r="BZH171" s="72"/>
      <c r="BZI171" s="72"/>
      <c r="BZJ171" s="72"/>
      <c r="BZK171" s="72"/>
      <c r="BZL171" s="72"/>
      <c r="BZM171" s="72"/>
      <c r="BZN171" s="72"/>
      <c r="BZO171" s="72"/>
      <c r="BZP171" s="72"/>
      <c r="BZQ171" s="72"/>
      <c r="BZR171" s="72"/>
      <c r="BZS171" s="72"/>
      <c r="BZT171" s="72"/>
      <c r="BZU171" s="72"/>
      <c r="BZV171" s="72"/>
      <c r="BZW171" s="72"/>
      <c r="BZX171" s="72"/>
      <c r="BZY171" s="72"/>
      <c r="BZZ171" s="72"/>
      <c r="CAA171" s="72"/>
      <c r="CAB171" s="72"/>
      <c r="CAC171" s="72"/>
      <c r="CAD171" s="72"/>
      <c r="CAE171" s="72"/>
      <c r="CAF171" s="72"/>
      <c r="CAG171" s="72"/>
      <c r="CAH171" s="72"/>
      <c r="CAI171" s="72"/>
      <c r="CAJ171" s="72"/>
      <c r="CAK171" s="72"/>
      <c r="CAL171" s="72"/>
      <c r="CAM171" s="72"/>
      <c r="CAN171" s="72"/>
      <c r="CAO171" s="72"/>
      <c r="CAP171" s="72"/>
      <c r="CAQ171" s="72"/>
      <c r="CAR171" s="72"/>
      <c r="CAS171" s="72"/>
      <c r="CAT171" s="72"/>
      <c r="CAU171" s="72"/>
      <c r="CAV171" s="72"/>
      <c r="CAW171" s="72"/>
      <c r="CAX171" s="72"/>
      <c r="CAY171" s="72"/>
      <c r="CAZ171" s="72"/>
      <c r="CBA171" s="72"/>
      <c r="CBB171" s="72"/>
      <c r="CBC171" s="72"/>
      <c r="CBD171" s="72"/>
      <c r="CBE171" s="72"/>
      <c r="CBF171" s="72"/>
      <c r="CBG171" s="72"/>
      <c r="CBH171" s="72"/>
      <c r="CBI171" s="72"/>
      <c r="CBJ171" s="72"/>
      <c r="CBK171" s="72"/>
      <c r="CBL171" s="72"/>
      <c r="CBM171" s="72"/>
      <c r="CBN171" s="72"/>
      <c r="CBO171" s="72"/>
      <c r="CBP171" s="72"/>
      <c r="CBQ171" s="72"/>
      <c r="CBR171" s="72"/>
      <c r="CBS171" s="72"/>
      <c r="CBT171" s="72"/>
      <c r="CBU171" s="72"/>
      <c r="CBV171" s="72"/>
      <c r="CBW171" s="72"/>
      <c r="CBX171" s="72"/>
      <c r="CBY171" s="72"/>
      <c r="CBZ171" s="72"/>
      <c r="CCA171" s="72"/>
      <c r="CCB171" s="72"/>
      <c r="CCC171" s="72"/>
      <c r="CCD171" s="72"/>
      <c r="CCE171" s="72"/>
      <c r="CCF171" s="72"/>
      <c r="CCG171" s="72"/>
      <c r="CCH171" s="72"/>
      <c r="CCI171" s="72"/>
      <c r="CCJ171" s="72"/>
      <c r="CCK171" s="72"/>
      <c r="CCL171" s="72"/>
      <c r="CCM171" s="72"/>
      <c r="CCN171" s="72"/>
      <c r="CCO171" s="72"/>
      <c r="CCP171" s="72"/>
      <c r="CCQ171" s="72"/>
      <c r="CCR171" s="72"/>
      <c r="CCS171" s="72"/>
      <c r="CCT171" s="72"/>
      <c r="CCU171" s="72"/>
      <c r="CCV171" s="72"/>
      <c r="CCW171" s="72"/>
      <c r="CCX171" s="72"/>
      <c r="CCY171" s="72"/>
      <c r="CCZ171" s="72"/>
      <c r="CDA171" s="72"/>
      <c r="CDB171" s="72"/>
      <c r="CDC171" s="72"/>
      <c r="CDD171" s="72"/>
      <c r="CDE171" s="72"/>
      <c r="CDF171" s="72"/>
      <c r="CDG171" s="72"/>
      <c r="CDH171" s="72"/>
      <c r="CDI171" s="72"/>
      <c r="CDJ171" s="72"/>
      <c r="CDK171" s="72"/>
      <c r="CDL171" s="72"/>
      <c r="CDM171" s="72"/>
      <c r="CDN171" s="72"/>
      <c r="CDO171" s="72"/>
      <c r="CDP171" s="72"/>
      <c r="CDQ171" s="72"/>
      <c r="CDR171" s="72"/>
      <c r="CDS171" s="72"/>
      <c r="CDT171" s="72"/>
      <c r="CDU171" s="72"/>
      <c r="CDV171" s="72"/>
      <c r="CDW171" s="72"/>
      <c r="CDX171" s="72"/>
      <c r="CDY171" s="72"/>
      <c r="CDZ171" s="72"/>
      <c r="CEA171" s="72"/>
      <c r="CEB171" s="72"/>
      <c r="CEC171" s="72"/>
      <c r="CED171" s="72"/>
      <c r="CEE171" s="72"/>
      <c r="CEF171" s="72"/>
      <c r="CEG171" s="72"/>
      <c r="CEH171" s="72"/>
      <c r="CEI171" s="72"/>
      <c r="CEJ171" s="72"/>
      <c r="CEK171" s="72"/>
      <c r="CEL171" s="72"/>
      <c r="CEM171" s="72"/>
      <c r="CEN171" s="72"/>
      <c r="CEO171" s="72"/>
      <c r="CEP171" s="72"/>
      <c r="CEQ171" s="72"/>
      <c r="CER171" s="72"/>
      <c r="CES171" s="72"/>
      <c r="CET171" s="72"/>
      <c r="CEU171" s="72"/>
      <c r="CEV171" s="72"/>
      <c r="CEW171" s="72"/>
      <c r="CEX171" s="72"/>
      <c r="CEY171" s="72"/>
      <c r="CEZ171" s="72"/>
      <c r="CFA171" s="72"/>
      <c r="CFB171" s="72"/>
      <c r="CFC171" s="72"/>
      <c r="CFD171" s="72"/>
      <c r="CFE171" s="72"/>
      <c r="CFF171" s="72"/>
      <c r="CFG171" s="72"/>
      <c r="CFH171" s="72"/>
      <c r="CFI171" s="72"/>
      <c r="CFJ171" s="72"/>
      <c r="CFK171" s="72"/>
      <c r="CFL171" s="72"/>
      <c r="CFM171" s="72"/>
      <c r="CFN171" s="72"/>
      <c r="CFO171" s="72"/>
      <c r="CFP171" s="72"/>
      <c r="CFQ171" s="72"/>
      <c r="CFR171" s="72"/>
      <c r="CFS171" s="72"/>
      <c r="CFT171" s="72"/>
      <c r="CFU171" s="72"/>
      <c r="CFV171" s="72"/>
      <c r="CFW171" s="72"/>
      <c r="CFX171" s="72"/>
      <c r="CFY171" s="72"/>
      <c r="CFZ171" s="72"/>
      <c r="CGA171" s="72"/>
      <c r="CGB171" s="72"/>
      <c r="CGC171" s="72"/>
      <c r="CGD171" s="72"/>
      <c r="CGE171" s="72"/>
      <c r="CGF171" s="72"/>
      <c r="CGG171" s="72"/>
      <c r="CGH171" s="72"/>
      <c r="CGI171" s="72"/>
      <c r="CGJ171" s="72"/>
      <c r="CGK171" s="72"/>
      <c r="CGL171" s="72"/>
      <c r="CGM171" s="72"/>
      <c r="CGN171" s="72"/>
      <c r="CGO171" s="72"/>
      <c r="CGP171" s="72"/>
      <c r="CGQ171" s="72"/>
      <c r="CGR171" s="72"/>
      <c r="CGS171" s="72"/>
      <c r="CGT171" s="72"/>
      <c r="CGU171" s="72"/>
      <c r="CGV171" s="72"/>
      <c r="CGW171" s="72"/>
      <c r="CGX171" s="72"/>
      <c r="CGY171" s="72"/>
      <c r="CGZ171" s="72"/>
      <c r="CHA171" s="72"/>
      <c r="CHB171" s="72"/>
      <c r="CHC171" s="72"/>
      <c r="CHD171" s="72"/>
      <c r="CHE171" s="72"/>
      <c r="CHF171" s="72"/>
      <c r="CHG171" s="72"/>
      <c r="CHH171" s="72"/>
      <c r="CHI171" s="72"/>
      <c r="CHJ171" s="72"/>
      <c r="CHK171" s="72"/>
      <c r="CHL171" s="72"/>
      <c r="CHM171" s="72"/>
      <c r="CHN171" s="72"/>
      <c r="CHO171" s="72"/>
      <c r="CHP171" s="72"/>
      <c r="CHQ171" s="72"/>
      <c r="CHR171" s="72"/>
      <c r="CHS171" s="72"/>
      <c r="CHT171" s="72"/>
      <c r="CHU171" s="72"/>
      <c r="CHV171" s="72"/>
      <c r="CHW171" s="72"/>
      <c r="CHX171" s="72"/>
      <c r="CHY171" s="72"/>
      <c r="CHZ171" s="72"/>
      <c r="CIA171" s="72"/>
      <c r="CIB171" s="72"/>
      <c r="CIC171" s="72"/>
      <c r="CID171" s="72"/>
      <c r="CIE171" s="72"/>
      <c r="CIF171" s="72"/>
      <c r="CIG171" s="72"/>
      <c r="CIH171" s="72"/>
      <c r="CII171" s="72"/>
      <c r="CIJ171" s="72"/>
      <c r="CIK171" s="72"/>
      <c r="CIL171" s="72"/>
      <c r="CIM171" s="72"/>
      <c r="CIN171" s="72"/>
      <c r="CIO171" s="72"/>
      <c r="CIP171" s="72"/>
      <c r="CIQ171" s="72"/>
      <c r="CIR171" s="72"/>
      <c r="CIS171" s="72"/>
      <c r="CIT171" s="72"/>
      <c r="CIU171" s="72"/>
      <c r="CIV171" s="72"/>
      <c r="CIW171" s="72"/>
      <c r="CIX171" s="72"/>
      <c r="CIY171" s="72"/>
      <c r="CIZ171" s="72"/>
      <c r="CJA171" s="72"/>
      <c r="CJB171" s="72"/>
      <c r="CJC171" s="72"/>
      <c r="CJD171" s="72"/>
      <c r="CJE171" s="72"/>
      <c r="CJF171" s="72"/>
      <c r="CJG171" s="72"/>
      <c r="CJH171" s="72"/>
      <c r="CJI171" s="72"/>
      <c r="CJJ171" s="72"/>
      <c r="CJK171" s="72"/>
      <c r="CJL171" s="72"/>
      <c r="CJM171" s="72"/>
      <c r="CJN171" s="72"/>
      <c r="CJO171" s="72"/>
      <c r="CJP171" s="72"/>
      <c r="CJQ171" s="72"/>
      <c r="CJR171" s="72"/>
      <c r="CJS171" s="72"/>
      <c r="CJT171" s="72"/>
      <c r="CJU171" s="72"/>
      <c r="CJV171" s="72"/>
      <c r="CJW171" s="72"/>
      <c r="CJX171" s="72"/>
      <c r="CJY171" s="72"/>
      <c r="CJZ171" s="72"/>
      <c r="CKA171" s="72"/>
      <c r="CKB171" s="72"/>
      <c r="CKC171" s="72"/>
      <c r="CKD171" s="72"/>
      <c r="CKE171" s="72"/>
      <c r="CKF171" s="72"/>
      <c r="CKG171" s="72"/>
      <c r="CKH171" s="72"/>
      <c r="CKI171" s="72"/>
      <c r="CKJ171" s="72"/>
      <c r="CKK171" s="72"/>
      <c r="CKL171" s="72"/>
      <c r="CKM171" s="72"/>
      <c r="CKN171" s="72"/>
      <c r="CKO171" s="72"/>
      <c r="CKP171" s="72"/>
      <c r="CKQ171" s="72"/>
      <c r="CKR171" s="72"/>
      <c r="CKS171" s="72"/>
      <c r="CKT171" s="72"/>
      <c r="CKU171" s="72"/>
      <c r="CKV171" s="72"/>
      <c r="CKW171" s="72"/>
      <c r="CKX171" s="72"/>
      <c r="CKY171" s="72"/>
      <c r="CKZ171" s="72"/>
      <c r="CLA171" s="72"/>
      <c r="CLB171" s="72"/>
      <c r="CLC171" s="72"/>
      <c r="CLD171" s="72"/>
      <c r="CLE171" s="72"/>
      <c r="CLF171" s="72"/>
      <c r="CLG171" s="72"/>
      <c r="CLH171" s="72"/>
      <c r="CLI171" s="72"/>
      <c r="CLJ171" s="72"/>
      <c r="CLK171" s="72"/>
      <c r="CLL171" s="72"/>
      <c r="CLM171" s="72"/>
      <c r="CLN171" s="72"/>
      <c r="CLO171" s="72"/>
      <c r="CLP171" s="72"/>
      <c r="CLQ171" s="72"/>
      <c r="CLR171" s="72"/>
      <c r="CLS171" s="72"/>
      <c r="CLT171" s="72"/>
      <c r="CLU171" s="72"/>
      <c r="CLV171" s="72"/>
      <c r="CLW171" s="72"/>
      <c r="CLX171" s="72"/>
      <c r="CLY171" s="72"/>
      <c r="CLZ171" s="72"/>
      <c r="CMA171" s="72"/>
      <c r="CMB171" s="72"/>
      <c r="CMC171" s="72"/>
      <c r="CMD171" s="72"/>
      <c r="CME171" s="72"/>
      <c r="CMF171" s="72"/>
      <c r="CMG171" s="72"/>
      <c r="CMH171" s="72"/>
      <c r="CMI171" s="72"/>
      <c r="CMJ171" s="72"/>
      <c r="CMK171" s="72"/>
      <c r="CML171" s="72"/>
      <c r="CMM171" s="72"/>
      <c r="CMN171" s="72"/>
      <c r="CMO171" s="72"/>
      <c r="CMP171" s="72"/>
      <c r="CMQ171" s="72"/>
      <c r="CMR171" s="72"/>
      <c r="CMS171" s="72"/>
      <c r="CMT171" s="72"/>
      <c r="CMU171" s="72"/>
      <c r="CMV171" s="72"/>
      <c r="CMW171" s="72"/>
      <c r="CMX171" s="72"/>
      <c r="CMY171" s="72"/>
      <c r="CMZ171" s="72"/>
      <c r="CNA171" s="72"/>
      <c r="CNB171" s="72"/>
      <c r="CNC171" s="72"/>
      <c r="CND171" s="72"/>
      <c r="CNE171" s="72"/>
      <c r="CNF171" s="72"/>
      <c r="CNG171" s="72"/>
      <c r="CNH171" s="72"/>
      <c r="CNI171" s="72"/>
      <c r="CNJ171" s="72"/>
      <c r="CNK171" s="72"/>
      <c r="CNL171" s="72"/>
      <c r="CNM171" s="72"/>
      <c r="CNN171" s="72"/>
      <c r="CNO171" s="72"/>
      <c r="CNP171" s="72"/>
      <c r="CNQ171" s="72"/>
      <c r="CNR171" s="72"/>
      <c r="CNS171" s="72"/>
      <c r="CNT171" s="72"/>
      <c r="CNU171" s="72"/>
      <c r="CNV171" s="72"/>
      <c r="CNW171" s="72"/>
      <c r="CNX171" s="72"/>
      <c r="CNY171" s="72"/>
      <c r="CNZ171" s="72"/>
      <c r="COA171" s="72"/>
      <c r="COB171" s="72"/>
      <c r="COC171" s="72"/>
      <c r="COD171" s="72"/>
      <c r="COE171" s="72"/>
      <c r="COF171" s="72"/>
      <c r="COG171" s="72"/>
      <c r="COH171" s="72"/>
      <c r="COI171" s="72"/>
      <c r="COJ171" s="72"/>
      <c r="COK171" s="72"/>
      <c r="COL171" s="72"/>
      <c r="COM171" s="72"/>
      <c r="CON171" s="72"/>
      <c r="COO171" s="72"/>
      <c r="COP171" s="72"/>
      <c r="COQ171" s="72"/>
      <c r="COR171" s="72"/>
      <c r="COS171" s="72"/>
      <c r="COT171" s="72"/>
      <c r="COU171" s="72"/>
      <c r="COV171" s="72"/>
      <c r="COW171" s="72"/>
      <c r="COX171" s="72"/>
      <c r="COY171" s="72"/>
      <c r="COZ171" s="72"/>
      <c r="CPA171" s="72"/>
      <c r="CPB171" s="72"/>
      <c r="CPC171" s="72"/>
      <c r="CPD171" s="72"/>
      <c r="CPE171" s="72"/>
      <c r="CPF171" s="72"/>
      <c r="CPG171" s="72"/>
      <c r="CPH171" s="72"/>
      <c r="CPI171" s="72"/>
      <c r="CPJ171" s="72"/>
      <c r="CPK171" s="72"/>
      <c r="CPL171" s="72"/>
      <c r="CPM171" s="72"/>
      <c r="CPN171" s="72"/>
      <c r="CPO171" s="72"/>
      <c r="CPP171" s="72"/>
      <c r="CPQ171" s="72"/>
      <c r="CPR171" s="72"/>
      <c r="CPS171" s="72"/>
      <c r="CPT171" s="72"/>
      <c r="CPU171" s="72"/>
      <c r="CPV171" s="72"/>
      <c r="CPW171" s="72"/>
      <c r="CPX171" s="72"/>
      <c r="CPY171" s="72"/>
      <c r="CPZ171" s="72"/>
      <c r="CQA171" s="72"/>
      <c r="CQB171" s="72"/>
      <c r="CQC171" s="72"/>
      <c r="CQD171" s="72"/>
      <c r="CQE171" s="72"/>
      <c r="CQF171" s="72"/>
      <c r="CQG171" s="72"/>
      <c r="CQH171" s="72"/>
      <c r="CQI171" s="72"/>
      <c r="CQJ171" s="72"/>
      <c r="CQK171" s="72"/>
      <c r="CQL171" s="72"/>
      <c r="CQM171" s="72"/>
      <c r="CQN171" s="72"/>
      <c r="CQO171" s="72"/>
      <c r="CQP171" s="72"/>
      <c r="CQQ171" s="72"/>
      <c r="CQR171" s="72"/>
      <c r="CQS171" s="72"/>
      <c r="CQT171" s="72"/>
      <c r="CQU171" s="72"/>
      <c r="CQV171" s="72"/>
      <c r="CQW171" s="72"/>
      <c r="CQX171" s="72"/>
      <c r="CQY171" s="72"/>
      <c r="CQZ171" s="72"/>
      <c r="CRA171" s="72"/>
      <c r="CRB171" s="72"/>
      <c r="CRC171" s="72"/>
      <c r="CRD171" s="72"/>
      <c r="CRE171" s="72"/>
      <c r="CRF171" s="72"/>
      <c r="CRG171" s="72"/>
      <c r="CRH171" s="72"/>
      <c r="CRI171" s="72"/>
      <c r="CRJ171" s="72"/>
      <c r="CRK171" s="72"/>
      <c r="CRL171" s="72"/>
      <c r="CRM171" s="72"/>
      <c r="CRN171" s="72"/>
      <c r="CRO171" s="72"/>
      <c r="CRP171" s="72"/>
      <c r="CRQ171" s="72"/>
      <c r="CRR171" s="72"/>
      <c r="CRS171" s="72"/>
      <c r="CRT171" s="72"/>
      <c r="CRU171" s="72"/>
      <c r="CRV171" s="72"/>
      <c r="CRW171" s="72"/>
      <c r="CRX171" s="72"/>
      <c r="CRY171" s="72"/>
      <c r="CRZ171" s="72"/>
      <c r="CSA171" s="72"/>
      <c r="CSB171" s="72"/>
      <c r="CSC171" s="72"/>
      <c r="CSD171" s="72"/>
      <c r="CSE171" s="72"/>
      <c r="CSF171" s="72"/>
      <c r="CSG171" s="72"/>
      <c r="CSH171" s="72"/>
      <c r="CSI171" s="72"/>
      <c r="CSJ171" s="72"/>
      <c r="CSK171" s="72"/>
      <c r="CSL171" s="72"/>
      <c r="CSM171" s="72"/>
      <c r="CSN171" s="72"/>
      <c r="CSO171" s="72"/>
      <c r="CSP171" s="72"/>
      <c r="CSQ171" s="72"/>
      <c r="CSR171" s="72"/>
      <c r="CSS171" s="72"/>
      <c r="CST171" s="72"/>
      <c r="CSU171" s="72"/>
      <c r="CSV171" s="72"/>
      <c r="CSW171" s="72"/>
      <c r="CSX171" s="72"/>
      <c r="CSY171" s="72"/>
      <c r="CSZ171" s="72"/>
      <c r="CTA171" s="72"/>
      <c r="CTB171" s="72"/>
      <c r="CTC171" s="72"/>
      <c r="CTD171" s="72"/>
      <c r="CTE171" s="72"/>
      <c r="CTF171" s="72"/>
      <c r="CTG171" s="72"/>
      <c r="CTH171" s="72"/>
      <c r="CTI171" s="72"/>
      <c r="CTJ171" s="72"/>
      <c r="CTK171" s="72"/>
      <c r="CTL171" s="72"/>
      <c r="CTM171" s="72"/>
      <c r="CTN171" s="72"/>
      <c r="CTO171" s="72"/>
      <c r="CTP171" s="72"/>
      <c r="CTQ171" s="72"/>
      <c r="CTR171" s="72"/>
      <c r="CTS171" s="72"/>
      <c r="CTT171" s="72"/>
      <c r="CTU171" s="72"/>
      <c r="CTV171" s="72"/>
      <c r="CTW171" s="72"/>
      <c r="CTX171" s="72"/>
      <c r="CTY171" s="72"/>
      <c r="CTZ171" s="72"/>
      <c r="CUA171" s="72"/>
      <c r="CUB171" s="72"/>
      <c r="CUC171" s="72"/>
      <c r="CUD171" s="72"/>
      <c r="CUE171" s="72"/>
      <c r="CUF171" s="72"/>
      <c r="CUG171" s="72"/>
      <c r="CUH171" s="72"/>
      <c r="CUI171" s="72"/>
      <c r="CUJ171" s="72"/>
      <c r="CUK171" s="72"/>
      <c r="CUL171" s="72"/>
      <c r="CUM171" s="72"/>
      <c r="CUN171" s="72"/>
      <c r="CUO171" s="72"/>
      <c r="CUP171" s="72"/>
      <c r="CUQ171" s="72"/>
      <c r="CUR171" s="72"/>
      <c r="CUS171" s="72"/>
      <c r="CUT171" s="72"/>
      <c r="CUU171" s="72"/>
      <c r="CUV171" s="72"/>
      <c r="CUW171" s="72"/>
      <c r="CUX171" s="72"/>
      <c r="CUY171" s="72"/>
      <c r="CUZ171" s="72"/>
      <c r="CVA171" s="72"/>
      <c r="CVB171" s="72"/>
      <c r="CVC171" s="72"/>
      <c r="CVD171" s="72"/>
      <c r="CVE171" s="72"/>
      <c r="CVF171" s="72"/>
      <c r="CVG171" s="72"/>
      <c r="CVH171" s="72"/>
      <c r="CVI171" s="72"/>
      <c r="CVJ171" s="72"/>
      <c r="CVK171" s="72"/>
      <c r="CVL171" s="72"/>
      <c r="CVM171" s="72"/>
      <c r="CVN171" s="72"/>
      <c r="CVO171" s="72"/>
      <c r="CVP171" s="72"/>
      <c r="CVQ171" s="72"/>
      <c r="CVR171" s="72"/>
      <c r="CVS171" s="72"/>
      <c r="CVT171" s="72"/>
      <c r="CVU171" s="72"/>
      <c r="CVV171" s="72"/>
      <c r="CVW171" s="72"/>
      <c r="CVX171" s="72"/>
      <c r="CVY171" s="72"/>
      <c r="CVZ171" s="72"/>
      <c r="CWA171" s="72"/>
      <c r="CWB171" s="72"/>
      <c r="CWC171" s="72"/>
      <c r="CWD171" s="72"/>
      <c r="CWE171" s="72"/>
      <c r="CWF171" s="72"/>
      <c r="CWG171" s="72"/>
      <c r="CWH171" s="72"/>
      <c r="CWI171" s="72"/>
      <c r="CWJ171" s="72"/>
      <c r="CWK171" s="72"/>
      <c r="CWL171" s="72"/>
      <c r="CWM171" s="72"/>
      <c r="CWN171" s="72"/>
      <c r="CWO171" s="72"/>
      <c r="CWP171" s="72"/>
      <c r="CWQ171" s="72"/>
      <c r="CWR171" s="72"/>
      <c r="CWS171" s="72"/>
      <c r="CWT171" s="72"/>
      <c r="CWU171" s="72"/>
      <c r="CWV171" s="72"/>
      <c r="CWW171" s="72"/>
      <c r="CWX171" s="72"/>
      <c r="CWY171" s="72"/>
      <c r="CWZ171" s="72"/>
      <c r="CXA171" s="72"/>
      <c r="CXB171" s="72"/>
      <c r="CXC171" s="72"/>
      <c r="CXD171" s="72"/>
      <c r="CXE171" s="72"/>
      <c r="CXF171" s="72"/>
      <c r="CXG171" s="72"/>
      <c r="CXH171" s="72"/>
      <c r="CXI171" s="72"/>
      <c r="CXJ171" s="72"/>
      <c r="CXK171" s="72"/>
      <c r="CXL171" s="72"/>
      <c r="CXM171" s="72"/>
      <c r="CXN171" s="72"/>
      <c r="CXO171" s="72"/>
      <c r="CXP171" s="72"/>
      <c r="CXQ171" s="72"/>
      <c r="CXR171" s="72"/>
      <c r="CXS171" s="72"/>
      <c r="CXT171" s="72"/>
      <c r="CXU171" s="72"/>
      <c r="CXV171" s="72"/>
      <c r="CXW171" s="72"/>
      <c r="CXX171" s="72"/>
      <c r="CXY171" s="72"/>
      <c r="CXZ171" s="72"/>
      <c r="CYA171" s="72"/>
      <c r="CYB171" s="72"/>
      <c r="CYC171" s="72"/>
      <c r="CYD171" s="72"/>
      <c r="CYE171" s="72"/>
      <c r="CYF171" s="72"/>
      <c r="CYG171" s="72"/>
      <c r="CYH171" s="72"/>
      <c r="CYI171" s="72"/>
      <c r="CYJ171" s="72"/>
      <c r="CYK171" s="72"/>
      <c r="CYL171" s="72"/>
      <c r="CYM171" s="72"/>
      <c r="CYN171" s="72"/>
      <c r="CYO171" s="72"/>
      <c r="CYP171" s="72"/>
      <c r="CYQ171" s="72"/>
      <c r="CYR171" s="72"/>
      <c r="CYS171" s="72"/>
      <c r="CYT171" s="72"/>
      <c r="CYU171" s="72"/>
      <c r="CYV171" s="72"/>
      <c r="CYW171" s="72"/>
      <c r="CYX171" s="72"/>
      <c r="CYY171" s="72"/>
      <c r="CYZ171" s="72"/>
      <c r="CZA171" s="72"/>
      <c r="CZB171" s="72"/>
      <c r="CZC171" s="72"/>
      <c r="CZD171" s="72"/>
      <c r="CZE171" s="72"/>
      <c r="CZF171" s="72"/>
      <c r="CZG171" s="72"/>
      <c r="CZH171" s="72"/>
      <c r="CZI171" s="72"/>
      <c r="CZJ171" s="72"/>
      <c r="CZK171" s="72"/>
      <c r="CZL171" s="72"/>
      <c r="CZM171" s="72"/>
      <c r="CZN171" s="72"/>
      <c r="CZO171" s="72"/>
      <c r="CZP171" s="72"/>
      <c r="CZQ171" s="72"/>
      <c r="CZR171" s="72"/>
      <c r="CZS171" s="72"/>
      <c r="CZT171" s="72"/>
      <c r="CZU171" s="72"/>
      <c r="CZV171" s="72"/>
      <c r="CZW171" s="72"/>
      <c r="CZX171" s="72"/>
      <c r="CZY171" s="72"/>
      <c r="CZZ171" s="72"/>
      <c r="DAA171" s="72"/>
      <c r="DAB171" s="72"/>
      <c r="DAC171" s="72"/>
      <c r="DAD171" s="72"/>
      <c r="DAE171" s="72"/>
      <c r="DAF171" s="72"/>
      <c r="DAG171" s="72"/>
      <c r="DAH171" s="72"/>
      <c r="DAI171" s="72"/>
      <c r="DAJ171" s="72"/>
      <c r="DAK171" s="72"/>
      <c r="DAL171" s="72"/>
      <c r="DAM171" s="72"/>
      <c r="DAN171" s="72"/>
      <c r="DAO171" s="72"/>
      <c r="DAP171" s="72"/>
      <c r="DAQ171" s="72"/>
      <c r="DAR171" s="72"/>
      <c r="DAS171" s="72"/>
      <c r="DAT171" s="72"/>
      <c r="DAU171" s="72"/>
      <c r="DAV171" s="72"/>
      <c r="DAW171" s="72"/>
      <c r="DAX171" s="72"/>
      <c r="DAY171" s="72"/>
      <c r="DAZ171" s="72"/>
      <c r="DBA171" s="72"/>
      <c r="DBB171" s="72"/>
      <c r="DBC171" s="72"/>
      <c r="DBD171" s="72"/>
      <c r="DBE171" s="72"/>
      <c r="DBF171" s="72"/>
      <c r="DBG171" s="72"/>
      <c r="DBH171" s="72"/>
      <c r="DBI171" s="72"/>
      <c r="DBJ171" s="72"/>
      <c r="DBK171" s="72"/>
      <c r="DBL171" s="72"/>
      <c r="DBM171" s="72"/>
      <c r="DBN171" s="72"/>
      <c r="DBO171" s="72"/>
      <c r="DBP171" s="72"/>
      <c r="DBQ171" s="72"/>
      <c r="DBR171" s="72"/>
      <c r="DBS171" s="72"/>
      <c r="DBT171" s="72"/>
      <c r="DBU171" s="72"/>
      <c r="DBV171" s="72"/>
      <c r="DBW171" s="72"/>
      <c r="DBX171" s="72"/>
      <c r="DBY171" s="72"/>
      <c r="DBZ171" s="72"/>
      <c r="DCA171" s="72"/>
      <c r="DCB171" s="72"/>
      <c r="DCC171" s="72"/>
      <c r="DCD171" s="72"/>
      <c r="DCE171" s="72"/>
      <c r="DCF171" s="72"/>
      <c r="DCG171" s="72"/>
      <c r="DCH171" s="72"/>
      <c r="DCI171" s="72"/>
      <c r="DCJ171" s="72"/>
      <c r="DCK171" s="72"/>
      <c r="DCL171" s="72"/>
      <c r="DCM171" s="72"/>
      <c r="DCN171" s="72"/>
      <c r="DCO171" s="72"/>
      <c r="DCP171" s="72"/>
      <c r="DCQ171" s="72"/>
      <c r="DCR171" s="72"/>
      <c r="DCS171" s="72"/>
      <c r="DCT171" s="72"/>
      <c r="DCU171" s="72"/>
      <c r="DCV171" s="72"/>
      <c r="DCW171" s="72"/>
      <c r="DCX171" s="72"/>
      <c r="DCY171" s="72"/>
      <c r="DCZ171" s="72"/>
      <c r="DDA171" s="72"/>
      <c r="DDB171" s="72"/>
      <c r="DDC171" s="72"/>
      <c r="DDD171" s="72"/>
      <c r="DDE171" s="72"/>
      <c r="DDF171" s="72"/>
      <c r="DDG171" s="72"/>
      <c r="DDH171" s="72"/>
      <c r="DDI171" s="72"/>
      <c r="DDJ171" s="72"/>
      <c r="DDK171" s="72"/>
      <c r="DDL171" s="72"/>
      <c r="DDM171" s="72"/>
      <c r="DDN171" s="72"/>
      <c r="DDO171" s="72"/>
      <c r="DDP171" s="72"/>
      <c r="DDQ171" s="72"/>
      <c r="DDR171" s="72"/>
      <c r="DDS171" s="72"/>
      <c r="DDT171" s="72"/>
      <c r="DDU171" s="72"/>
      <c r="DDV171" s="72"/>
      <c r="DDW171" s="72"/>
      <c r="DDX171" s="72"/>
      <c r="DDY171" s="72"/>
      <c r="DDZ171" s="72"/>
      <c r="DEA171" s="72"/>
      <c r="DEB171" s="72"/>
      <c r="DEC171" s="72"/>
      <c r="DED171" s="72"/>
      <c r="DEE171" s="72"/>
      <c r="DEF171" s="72"/>
      <c r="DEG171" s="72"/>
      <c r="DEH171" s="72"/>
      <c r="DEI171" s="72"/>
      <c r="DEJ171" s="72"/>
      <c r="DEK171" s="72"/>
      <c r="DEL171" s="72"/>
      <c r="DEM171" s="72"/>
      <c r="DEN171" s="72"/>
      <c r="DEO171" s="72"/>
      <c r="DEP171" s="72"/>
      <c r="DEQ171" s="72"/>
      <c r="DER171" s="72"/>
      <c r="DES171" s="72"/>
      <c r="DET171" s="72"/>
      <c r="DEU171" s="72"/>
      <c r="DEV171" s="72"/>
      <c r="DEW171" s="72"/>
      <c r="DEX171" s="72"/>
      <c r="DEY171" s="72"/>
      <c r="DEZ171" s="72"/>
      <c r="DFA171" s="72"/>
      <c r="DFB171" s="72"/>
      <c r="DFC171" s="72"/>
      <c r="DFD171" s="72"/>
      <c r="DFE171" s="72"/>
      <c r="DFF171" s="72"/>
      <c r="DFG171" s="72"/>
      <c r="DFH171" s="72"/>
      <c r="DFI171" s="72"/>
      <c r="DFJ171" s="72"/>
      <c r="DFK171" s="72"/>
      <c r="DFL171" s="72"/>
      <c r="DFM171" s="72"/>
      <c r="DFN171" s="72"/>
      <c r="DFO171" s="72"/>
      <c r="DFP171" s="72"/>
      <c r="DFQ171" s="72"/>
      <c r="DFR171" s="72"/>
      <c r="DFS171" s="72"/>
      <c r="DFT171" s="72"/>
      <c r="DFU171" s="72"/>
      <c r="DFV171" s="72"/>
      <c r="DFW171" s="72"/>
      <c r="DFX171" s="72"/>
      <c r="DFY171" s="72"/>
      <c r="DFZ171" s="72"/>
      <c r="DGA171" s="72"/>
      <c r="DGB171" s="72"/>
      <c r="DGC171" s="72"/>
      <c r="DGD171" s="72"/>
      <c r="DGE171" s="72"/>
      <c r="DGF171" s="72"/>
      <c r="DGG171" s="72"/>
      <c r="DGH171" s="72"/>
      <c r="DGI171" s="72"/>
      <c r="DGJ171" s="72"/>
      <c r="DGK171" s="72"/>
      <c r="DGL171" s="72"/>
      <c r="DGM171" s="72"/>
      <c r="DGN171" s="72"/>
      <c r="DGO171" s="72"/>
      <c r="DGP171" s="72"/>
      <c r="DGQ171" s="72"/>
      <c r="DGR171" s="72"/>
      <c r="DGS171" s="72"/>
      <c r="DGT171" s="72"/>
      <c r="DGU171" s="72"/>
      <c r="DGV171" s="72"/>
      <c r="DGW171" s="72"/>
      <c r="DGX171" s="72"/>
      <c r="DGY171" s="72"/>
      <c r="DGZ171" s="72"/>
      <c r="DHA171" s="72"/>
      <c r="DHB171" s="72"/>
      <c r="DHC171" s="72"/>
      <c r="DHD171" s="72"/>
      <c r="DHE171" s="72"/>
      <c r="DHF171" s="72"/>
      <c r="DHG171" s="72"/>
      <c r="DHH171" s="72"/>
      <c r="DHI171" s="72"/>
      <c r="DHJ171" s="72"/>
      <c r="DHK171" s="72"/>
      <c r="DHL171" s="72"/>
      <c r="DHM171" s="72"/>
      <c r="DHN171" s="72"/>
      <c r="DHO171" s="72"/>
      <c r="DHP171" s="72"/>
      <c r="DHQ171" s="72"/>
      <c r="DHR171" s="72"/>
      <c r="DHS171" s="72"/>
      <c r="DHT171" s="72"/>
      <c r="DHU171" s="72"/>
      <c r="DHV171" s="72"/>
      <c r="DHW171" s="72"/>
      <c r="DHX171" s="72"/>
      <c r="DHY171" s="72"/>
      <c r="DHZ171" s="72"/>
      <c r="DIA171" s="72"/>
      <c r="DIB171" s="72"/>
      <c r="DIC171" s="72"/>
      <c r="DID171" s="72"/>
      <c r="DIE171" s="72"/>
      <c r="DIF171" s="72"/>
      <c r="DIG171" s="72"/>
      <c r="DIH171" s="72"/>
      <c r="DII171" s="72"/>
      <c r="DIJ171" s="72"/>
      <c r="DIK171" s="72"/>
      <c r="DIL171" s="72"/>
      <c r="DIM171" s="72"/>
      <c r="DIN171" s="72"/>
      <c r="DIO171" s="72"/>
      <c r="DIP171" s="72"/>
      <c r="DIQ171" s="72"/>
      <c r="DIR171" s="72"/>
      <c r="DIS171" s="72"/>
      <c r="DIT171" s="72"/>
      <c r="DIU171" s="72"/>
      <c r="DIV171" s="72"/>
      <c r="DIW171" s="72"/>
      <c r="DIX171" s="72"/>
      <c r="DIY171" s="72"/>
      <c r="DIZ171" s="72"/>
      <c r="DJA171" s="72"/>
      <c r="DJB171" s="72"/>
      <c r="DJC171" s="72"/>
      <c r="DJD171" s="72"/>
      <c r="DJE171" s="72"/>
      <c r="DJF171" s="72"/>
      <c r="DJG171" s="72"/>
      <c r="DJH171" s="72"/>
      <c r="DJI171" s="72"/>
      <c r="DJJ171" s="72"/>
      <c r="DJK171" s="72"/>
      <c r="DJL171" s="72"/>
      <c r="DJM171" s="72"/>
      <c r="DJN171" s="72"/>
      <c r="DJO171" s="72"/>
      <c r="DJP171" s="72"/>
      <c r="DJQ171" s="72"/>
      <c r="DJR171" s="72"/>
      <c r="DJS171" s="72"/>
      <c r="DJT171" s="72"/>
      <c r="DJU171" s="72"/>
      <c r="DJV171" s="72"/>
      <c r="DJW171" s="72"/>
      <c r="DJX171" s="72"/>
      <c r="DJY171" s="72"/>
      <c r="DJZ171" s="72"/>
      <c r="DKA171" s="72"/>
      <c r="DKB171" s="72"/>
      <c r="DKC171" s="72"/>
      <c r="DKD171" s="72"/>
      <c r="DKE171" s="72"/>
      <c r="DKF171" s="72"/>
      <c r="DKG171" s="72"/>
      <c r="DKH171" s="72"/>
      <c r="DKI171" s="72"/>
      <c r="DKJ171" s="72"/>
      <c r="DKK171" s="72"/>
      <c r="DKL171" s="72"/>
      <c r="DKM171" s="72"/>
      <c r="DKN171" s="72"/>
      <c r="DKO171" s="72"/>
      <c r="DKP171" s="72"/>
      <c r="DKQ171" s="72"/>
      <c r="DKR171" s="72"/>
      <c r="DKS171" s="72"/>
      <c r="DKT171" s="72"/>
      <c r="DKU171" s="72"/>
      <c r="DKV171" s="72"/>
      <c r="DKW171" s="72"/>
      <c r="DKX171" s="72"/>
      <c r="DKY171" s="72"/>
      <c r="DKZ171" s="72"/>
      <c r="DLA171" s="72"/>
      <c r="DLB171" s="72"/>
      <c r="DLC171" s="72"/>
      <c r="DLD171" s="72"/>
      <c r="DLE171" s="72"/>
      <c r="DLF171" s="72"/>
      <c r="DLG171" s="72"/>
      <c r="DLH171" s="72"/>
      <c r="DLI171" s="72"/>
      <c r="DLJ171" s="72"/>
      <c r="DLK171" s="72"/>
      <c r="DLL171" s="72"/>
      <c r="DLM171" s="72"/>
      <c r="DLN171" s="72"/>
      <c r="DLO171" s="72"/>
      <c r="DLP171" s="72"/>
      <c r="DLQ171" s="72"/>
      <c r="DLR171" s="72"/>
      <c r="DLS171" s="72"/>
      <c r="DLT171" s="72"/>
      <c r="DLU171" s="72"/>
      <c r="DLV171" s="72"/>
      <c r="DLW171" s="72"/>
      <c r="DLX171" s="72"/>
      <c r="DLY171" s="72"/>
      <c r="DLZ171" s="72"/>
      <c r="DMA171" s="72"/>
      <c r="DMB171" s="72"/>
      <c r="DMC171" s="72"/>
      <c r="DMD171" s="72"/>
      <c r="DME171" s="72"/>
      <c r="DMF171" s="72"/>
      <c r="DMG171" s="72"/>
      <c r="DMH171" s="72"/>
      <c r="DMI171" s="72"/>
      <c r="DMJ171" s="72"/>
      <c r="DMK171" s="72"/>
      <c r="DML171" s="72"/>
      <c r="DMM171" s="72"/>
      <c r="DMN171" s="72"/>
      <c r="DMO171" s="72"/>
      <c r="DMP171" s="72"/>
      <c r="DMQ171" s="72"/>
      <c r="DMR171" s="72"/>
      <c r="DMS171" s="72"/>
      <c r="DMT171" s="72"/>
      <c r="DMU171" s="72"/>
      <c r="DMV171" s="72"/>
      <c r="DMW171" s="72"/>
      <c r="DMX171" s="72"/>
      <c r="DMY171" s="72"/>
      <c r="DMZ171" s="72"/>
      <c r="DNA171" s="72"/>
      <c r="DNB171" s="72"/>
      <c r="DNC171" s="72"/>
      <c r="DND171" s="72"/>
      <c r="DNE171" s="72"/>
      <c r="DNF171" s="72"/>
      <c r="DNG171" s="72"/>
      <c r="DNH171" s="72"/>
      <c r="DNI171" s="72"/>
      <c r="DNJ171" s="72"/>
      <c r="DNK171" s="72"/>
      <c r="DNL171" s="72"/>
      <c r="DNM171" s="72"/>
      <c r="DNN171" s="72"/>
      <c r="DNO171" s="72"/>
      <c r="DNP171" s="72"/>
      <c r="DNQ171" s="72"/>
      <c r="DNR171" s="72"/>
      <c r="DNS171" s="72"/>
      <c r="DNT171" s="72"/>
      <c r="DNU171" s="72"/>
      <c r="DNV171" s="72"/>
      <c r="DNW171" s="72"/>
      <c r="DNX171" s="72"/>
      <c r="DNY171" s="72"/>
      <c r="DNZ171" s="72"/>
      <c r="DOA171" s="72"/>
      <c r="DOB171" s="72"/>
      <c r="DOC171" s="72"/>
      <c r="DOD171" s="72"/>
      <c r="DOE171" s="72"/>
      <c r="DOF171" s="72"/>
      <c r="DOG171" s="72"/>
      <c r="DOH171" s="72"/>
      <c r="DOI171" s="72"/>
      <c r="DOJ171" s="72"/>
      <c r="DOK171" s="72"/>
      <c r="DOL171" s="72"/>
      <c r="DOM171" s="72"/>
      <c r="DON171" s="72"/>
      <c r="DOO171" s="72"/>
      <c r="DOP171" s="72"/>
      <c r="DOQ171" s="72"/>
      <c r="DOR171" s="72"/>
      <c r="DOS171" s="72"/>
      <c r="DOT171" s="72"/>
      <c r="DOU171" s="72"/>
      <c r="DOV171" s="72"/>
      <c r="DOW171" s="72"/>
      <c r="DOX171" s="72"/>
      <c r="DOY171" s="72"/>
      <c r="DOZ171" s="72"/>
      <c r="DPA171" s="72"/>
      <c r="DPB171" s="72"/>
      <c r="DPC171" s="72"/>
      <c r="DPD171" s="72"/>
      <c r="DPE171" s="72"/>
      <c r="DPF171" s="72"/>
      <c r="DPG171" s="72"/>
      <c r="DPH171" s="72"/>
      <c r="DPI171" s="72"/>
      <c r="DPJ171" s="72"/>
      <c r="DPK171" s="72"/>
      <c r="DPL171" s="72"/>
      <c r="DPM171" s="72"/>
      <c r="DPN171" s="72"/>
      <c r="DPO171" s="72"/>
      <c r="DPP171" s="72"/>
      <c r="DPQ171" s="72"/>
      <c r="DPR171" s="72"/>
      <c r="DPS171" s="72"/>
      <c r="DPT171" s="72"/>
      <c r="DPU171" s="72"/>
      <c r="DPV171" s="72"/>
      <c r="DPW171" s="72"/>
      <c r="DPX171" s="72"/>
      <c r="DPY171" s="72"/>
      <c r="DPZ171" s="72"/>
      <c r="DQA171" s="72"/>
      <c r="DQB171" s="72"/>
      <c r="DQC171" s="72"/>
      <c r="DQD171" s="72"/>
      <c r="DQE171" s="72"/>
      <c r="DQF171" s="72"/>
      <c r="DQG171" s="72"/>
      <c r="DQH171" s="72"/>
      <c r="DQI171" s="72"/>
      <c r="DQJ171" s="72"/>
      <c r="DQK171" s="72"/>
      <c r="DQL171" s="72"/>
      <c r="DQM171" s="72"/>
      <c r="DQN171" s="72"/>
      <c r="DQO171" s="72"/>
      <c r="DQP171" s="72"/>
      <c r="DQQ171" s="72"/>
      <c r="DQR171" s="72"/>
      <c r="DQS171" s="72"/>
      <c r="DQT171" s="72"/>
      <c r="DQU171" s="72"/>
      <c r="DQV171" s="72"/>
      <c r="DQW171" s="72"/>
      <c r="DQX171" s="72"/>
      <c r="DQY171" s="72"/>
      <c r="DQZ171" s="72"/>
      <c r="DRA171" s="72"/>
      <c r="DRB171" s="72"/>
      <c r="DRC171" s="72"/>
      <c r="DRD171" s="72"/>
      <c r="DRE171" s="72"/>
      <c r="DRF171" s="72"/>
      <c r="DRG171" s="72"/>
      <c r="DRH171" s="72"/>
      <c r="DRI171" s="72"/>
      <c r="DRJ171" s="72"/>
      <c r="DRK171" s="72"/>
      <c r="DRL171" s="72"/>
      <c r="DRM171" s="72"/>
      <c r="DRN171" s="72"/>
      <c r="DRO171" s="72"/>
      <c r="DRP171" s="72"/>
      <c r="DRQ171" s="72"/>
      <c r="DRR171" s="72"/>
      <c r="DRS171" s="72"/>
      <c r="DRT171" s="72"/>
      <c r="DRU171" s="72"/>
      <c r="DRV171" s="72"/>
      <c r="DRW171" s="72"/>
      <c r="DRX171" s="72"/>
      <c r="DRY171" s="72"/>
      <c r="DRZ171" s="72"/>
      <c r="DSA171" s="72"/>
      <c r="DSB171" s="72"/>
      <c r="DSC171" s="72"/>
      <c r="DSD171" s="72"/>
      <c r="DSE171" s="72"/>
      <c r="DSF171" s="72"/>
      <c r="DSG171" s="72"/>
      <c r="DSH171" s="72"/>
      <c r="DSI171" s="72"/>
      <c r="DSJ171" s="72"/>
      <c r="DSK171" s="72"/>
      <c r="DSL171" s="72"/>
      <c r="DSM171" s="72"/>
      <c r="DSN171" s="72"/>
      <c r="DSO171" s="72"/>
      <c r="DSP171" s="72"/>
      <c r="DSQ171" s="72"/>
      <c r="DSR171" s="72"/>
      <c r="DSS171" s="72"/>
      <c r="DST171" s="72"/>
      <c r="DSU171" s="72"/>
      <c r="DSV171" s="72"/>
      <c r="DSW171" s="72"/>
      <c r="DSX171" s="72"/>
      <c r="DSY171" s="72"/>
      <c r="DSZ171" s="72"/>
      <c r="DTA171" s="72"/>
      <c r="DTB171" s="72"/>
      <c r="DTC171" s="72"/>
      <c r="DTD171" s="72"/>
      <c r="DTE171" s="72"/>
      <c r="DTF171" s="72"/>
      <c r="DTG171" s="72"/>
      <c r="DTH171" s="72"/>
      <c r="DTI171" s="72"/>
      <c r="DTJ171" s="72"/>
      <c r="DTK171" s="72"/>
      <c r="DTL171" s="72"/>
      <c r="DTM171" s="72"/>
      <c r="DTN171" s="72"/>
      <c r="DTO171" s="72"/>
      <c r="DTP171" s="72"/>
      <c r="DTQ171" s="72"/>
      <c r="DTR171" s="72"/>
      <c r="DTS171" s="72"/>
      <c r="DTT171" s="72"/>
      <c r="DTU171" s="72"/>
      <c r="DTV171" s="72"/>
      <c r="DTW171" s="72"/>
      <c r="DTX171" s="72"/>
      <c r="DTY171" s="72"/>
      <c r="DTZ171" s="72"/>
      <c r="DUA171" s="72"/>
      <c r="DUB171" s="72"/>
      <c r="DUC171" s="72"/>
      <c r="DUD171" s="72"/>
      <c r="DUE171" s="72"/>
      <c r="DUF171" s="72"/>
      <c r="DUG171" s="72"/>
      <c r="DUH171" s="72"/>
      <c r="DUI171" s="72"/>
      <c r="DUJ171" s="72"/>
      <c r="DUK171" s="72"/>
      <c r="DUL171" s="72"/>
      <c r="DUM171" s="72"/>
      <c r="DUN171" s="72"/>
      <c r="DUO171" s="72"/>
      <c r="DUP171" s="72"/>
      <c r="DUQ171" s="72"/>
      <c r="DUR171" s="72"/>
      <c r="DUS171" s="72"/>
      <c r="DUT171" s="72"/>
      <c r="DUU171" s="72"/>
      <c r="DUV171" s="72"/>
      <c r="DUW171" s="72"/>
      <c r="DUX171" s="72"/>
      <c r="DUY171" s="72"/>
      <c r="DUZ171" s="72"/>
      <c r="DVA171" s="72"/>
      <c r="DVB171" s="72"/>
      <c r="DVC171" s="72"/>
      <c r="DVD171" s="72"/>
      <c r="DVE171" s="72"/>
      <c r="DVF171" s="72"/>
      <c r="DVG171" s="72"/>
      <c r="DVH171" s="72"/>
      <c r="DVI171" s="72"/>
      <c r="DVJ171" s="72"/>
      <c r="DVK171" s="72"/>
      <c r="DVL171" s="72"/>
      <c r="DVM171" s="72"/>
      <c r="DVN171" s="72"/>
      <c r="DVO171" s="72"/>
      <c r="DVP171" s="72"/>
      <c r="DVQ171" s="72"/>
      <c r="DVR171" s="72"/>
      <c r="DVS171" s="72"/>
      <c r="DVT171" s="72"/>
      <c r="DVU171" s="72"/>
      <c r="DVV171" s="72"/>
      <c r="DVW171" s="72"/>
      <c r="DVX171" s="72"/>
      <c r="DVY171" s="72"/>
      <c r="DVZ171" s="72"/>
      <c r="DWA171" s="72"/>
      <c r="DWB171" s="72"/>
      <c r="DWC171" s="72"/>
      <c r="DWD171" s="72"/>
      <c r="DWE171" s="72"/>
      <c r="DWF171" s="72"/>
      <c r="DWG171" s="72"/>
      <c r="DWH171" s="72"/>
      <c r="DWI171" s="72"/>
      <c r="DWJ171" s="72"/>
      <c r="DWK171" s="72"/>
      <c r="DWL171" s="72"/>
      <c r="DWM171" s="72"/>
      <c r="DWN171" s="72"/>
      <c r="DWO171" s="72"/>
      <c r="DWP171" s="72"/>
      <c r="DWQ171" s="72"/>
      <c r="DWR171" s="72"/>
      <c r="DWS171" s="72"/>
      <c r="DWT171" s="72"/>
      <c r="DWU171" s="72"/>
      <c r="DWV171" s="72"/>
      <c r="DWW171" s="72"/>
      <c r="DWX171" s="72"/>
      <c r="DWY171" s="72"/>
      <c r="DWZ171" s="72"/>
      <c r="DXA171" s="72"/>
      <c r="DXB171" s="72"/>
      <c r="DXC171" s="72"/>
      <c r="DXD171" s="72"/>
      <c r="DXE171" s="72"/>
      <c r="DXF171" s="72"/>
      <c r="DXG171" s="72"/>
      <c r="DXH171" s="72"/>
      <c r="DXI171" s="72"/>
      <c r="DXJ171" s="72"/>
      <c r="DXK171" s="72"/>
      <c r="DXL171" s="72"/>
      <c r="DXM171" s="72"/>
      <c r="DXN171" s="72"/>
      <c r="DXO171" s="72"/>
      <c r="DXP171" s="72"/>
      <c r="DXQ171" s="72"/>
      <c r="DXR171" s="72"/>
      <c r="DXS171" s="72"/>
      <c r="DXT171" s="72"/>
      <c r="DXU171" s="72"/>
      <c r="DXV171" s="72"/>
      <c r="DXW171" s="72"/>
      <c r="DXX171" s="72"/>
      <c r="DXY171" s="72"/>
      <c r="DXZ171" s="72"/>
      <c r="DYA171" s="72"/>
      <c r="DYB171" s="72"/>
      <c r="DYC171" s="72"/>
      <c r="DYD171" s="72"/>
      <c r="DYE171" s="72"/>
      <c r="DYF171" s="72"/>
      <c r="DYG171" s="72"/>
      <c r="DYH171" s="72"/>
      <c r="DYI171" s="72"/>
      <c r="DYJ171" s="72"/>
      <c r="DYK171" s="72"/>
      <c r="DYL171" s="72"/>
      <c r="DYM171" s="72"/>
      <c r="DYN171" s="72"/>
      <c r="DYO171" s="72"/>
      <c r="DYP171" s="72"/>
      <c r="DYQ171" s="72"/>
      <c r="DYR171" s="72"/>
      <c r="DYS171" s="72"/>
      <c r="DYT171" s="72"/>
      <c r="DYU171" s="72"/>
      <c r="DYV171" s="72"/>
      <c r="DYW171" s="72"/>
      <c r="DYX171" s="72"/>
      <c r="DYY171" s="72"/>
      <c r="DYZ171" s="72"/>
      <c r="DZA171" s="72"/>
      <c r="DZB171" s="72"/>
      <c r="DZC171" s="72"/>
      <c r="DZD171" s="72"/>
      <c r="DZE171" s="72"/>
      <c r="DZF171" s="72"/>
      <c r="DZG171" s="72"/>
      <c r="DZH171" s="72"/>
      <c r="DZI171" s="72"/>
      <c r="DZJ171" s="72"/>
      <c r="DZK171" s="72"/>
      <c r="DZL171" s="72"/>
      <c r="DZM171" s="72"/>
      <c r="DZN171" s="72"/>
      <c r="DZO171" s="72"/>
      <c r="DZP171" s="72"/>
      <c r="DZQ171" s="72"/>
      <c r="DZR171" s="72"/>
      <c r="DZS171" s="72"/>
      <c r="DZT171" s="72"/>
      <c r="DZU171" s="72"/>
      <c r="DZV171" s="72"/>
      <c r="DZW171" s="72"/>
      <c r="DZX171" s="72"/>
      <c r="DZY171" s="72"/>
      <c r="DZZ171" s="72"/>
      <c r="EAA171" s="72"/>
      <c r="EAB171" s="72"/>
      <c r="EAC171" s="72"/>
      <c r="EAD171" s="72"/>
      <c r="EAE171" s="72"/>
      <c r="EAF171" s="72"/>
      <c r="EAG171" s="72"/>
      <c r="EAH171" s="72"/>
      <c r="EAI171" s="72"/>
      <c r="EAJ171" s="72"/>
      <c r="EAK171" s="72"/>
      <c r="EAL171" s="72"/>
      <c r="EAM171" s="72"/>
      <c r="EAN171" s="72"/>
      <c r="EAO171" s="72"/>
      <c r="EAP171" s="72"/>
      <c r="EAQ171" s="72"/>
      <c r="EAR171" s="72"/>
      <c r="EAS171" s="72"/>
      <c r="EAT171" s="72"/>
      <c r="EAU171" s="72"/>
      <c r="EAV171" s="72"/>
      <c r="EAW171" s="72"/>
      <c r="EAX171" s="72"/>
      <c r="EAY171" s="72"/>
      <c r="EAZ171" s="72"/>
      <c r="EBA171" s="72"/>
      <c r="EBB171" s="72"/>
      <c r="EBC171" s="72"/>
      <c r="EBD171" s="72"/>
      <c r="EBE171" s="72"/>
      <c r="EBF171" s="72"/>
      <c r="EBG171" s="72"/>
      <c r="EBH171" s="72"/>
      <c r="EBI171" s="72"/>
      <c r="EBJ171" s="72"/>
      <c r="EBK171" s="72"/>
      <c r="EBL171" s="72"/>
      <c r="EBM171" s="72"/>
      <c r="EBN171" s="72"/>
      <c r="EBO171" s="72"/>
      <c r="EBP171" s="72"/>
      <c r="EBQ171" s="72"/>
      <c r="EBR171" s="72"/>
      <c r="EBS171" s="72"/>
      <c r="EBT171" s="72"/>
      <c r="EBU171" s="72"/>
      <c r="EBV171" s="72"/>
      <c r="EBW171" s="72"/>
      <c r="EBX171" s="72"/>
      <c r="EBY171" s="72"/>
      <c r="EBZ171" s="72"/>
      <c r="ECA171" s="72"/>
      <c r="ECB171" s="72"/>
      <c r="ECC171" s="72"/>
      <c r="ECD171" s="72"/>
      <c r="ECE171" s="72"/>
      <c r="ECF171" s="72"/>
      <c r="ECG171" s="72"/>
      <c r="ECH171" s="72"/>
      <c r="ECI171" s="72"/>
      <c r="ECJ171" s="72"/>
      <c r="ECK171" s="72"/>
      <c r="ECL171" s="72"/>
      <c r="ECM171" s="72"/>
      <c r="ECN171" s="72"/>
      <c r="ECO171" s="72"/>
      <c r="ECP171" s="72"/>
      <c r="ECQ171" s="72"/>
      <c r="ECR171" s="72"/>
      <c r="ECS171" s="72"/>
      <c r="ECT171" s="72"/>
      <c r="ECU171" s="72"/>
      <c r="ECV171" s="72"/>
      <c r="ECW171" s="72"/>
      <c r="ECX171" s="72"/>
      <c r="ECY171" s="72"/>
      <c r="ECZ171" s="72"/>
      <c r="EDA171" s="72"/>
      <c r="EDB171" s="72"/>
      <c r="EDC171" s="72"/>
      <c r="EDD171" s="72"/>
      <c r="EDE171" s="72"/>
      <c r="EDF171" s="72"/>
      <c r="EDG171" s="72"/>
      <c r="EDH171" s="72"/>
      <c r="EDI171" s="72"/>
      <c r="EDJ171" s="72"/>
      <c r="EDK171" s="72"/>
      <c r="EDL171" s="72"/>
      <c r="EDM171" s="72"/>
      <c r="EDN171" s="72"/>
      <c r="EDO171" s="72"/>
      <c r="EDP171" s="72"/>
      <c r="EDQ171" s="72"/>
      <c r="EDR171" s="72"/>
      <c r="EDS171" s="72"/>
      <c r="EDT171" s="72"/>
      <c r="EDU171" s="72"/>
      <c r="EDV171" s="72"/>
      <c r="EDW171" s="72"/>
      <c r="EDX171" s="72"/>
      <c r="EDY171" s="72"/>
      <c r="EDZ171" s="72"/>
      <c r="EEA171" s="72"/>
      <c r="EEB171" s="72"/>
      <c r="EEC171" s="72"/>
      <c r="EED171" s="72"/>
      <c r="EEE171" s="72"/>
      <c r="EEF171" s="72"/>
      <c r="EEG171" s="72"/>
      <c r="EEH171" s="72"/>
      <c r="EEI171" s="72"/>
      <c r="EEJ171" s="72"/>
      <c r="EEK171" s="72"/>
      <c r="EEL171" s="72"/>
      <c r="EEM171" s="72"/>
      <c r="EEN171" s="72"/>
      <c r="EEO171" s="72"/>
      <c r="EEP171" s="72"/>
      <c r="EEQ171" s="72"/>
      <c r="EER171" s="72"/>
      <c r="EES171" s="72"/>
      <c r="EET171" s="72"/>
      <c r="EEU171" s="72"/>
      <c r="EEV171" s="72"/>
      <c r="EEW171" s="72"/>
      <c r="EEX171" s="72"/>
      <c r="EEY171" s="72"/>
      <c r="EEZ171" s="72"/>
      <c r="EFA171" s="72"/>
      <c r="EFB171" s="72"/>
      <c r="EFC171" s="72"/>
      <c r="EFD171" s="72"/>
      <c r="EFE171" s="72"/>
      <c r="EFF171" s="72"/>
      <c r="EFG171" s="72"/>
      <c r="EFH171" s="72"/>
      <c r="EFI171" s="72"/>
      <c r="EFJ171" s="72"/>
      <c r="EFK171" s="72"/>
      <c r="EFL171" s="72"/>
      <c r="EFM171" s="72"/>
      <c r="EFN171" s="72"/>
      <c r="EFO171" s="72"/>
      <c r="EFP171" s="72"/>
      <c r="EFQ171" s="72"/>
      <c r="EFR171" s="72"/>
      <c r="EFS171" s="72"/>
      <c r="EFT171" s="72"/>
      <c r="EFU171" s="72"/>
      <c r="EFV171" s="72"/>
      <c r="EFW171" s="72"/>
      <c r="EFX171" s="72"/>
      <c r="EFY171" s="72"/>
      <c r="EFZ171" s="72"/>
      <c r="EGA171" s="72"/>
      <c r="EGB171" s="72"/>
      <c r="EGC171" s="72"/>
      <c r="EGD171" s="72"/>
      <c r="EGE171" s="72"/>
      <c r="EGF171" s="72"/>
      <c r="EGG171" s="72"/>
      <c r="EGH171" s="72"/>
      <c r="EGI171" s="72"/>
      <c r="EGJ171" s="72"/>
      <c r="EGK171" s="72"/>
      <c r="EGL171" s="72"/>
      <c r="EGM171" s="72"/>
      <c r="EGN171" s="72"/>
      <c r="EGO171" s="72"/>
      <c r="EGP171" s="72"/>
      <c r="EGQ171" s="72"/>
      <c r="EGR171" s="72"/>
      <c r="EGS171" s="72"/>
      <c r="EGT171" s="72"/>
      <c r="EGU171" s="72"/>
      <c r="EGV171" s="72"/>
      <c r="EGW171" s="72"/>
      <c r="EGX171" s="72"/>
      <c r="EGY171" s="72"/>
      <c r="EGZ171" s="72"/>
      <c r="EHA171" s="72"/>
      <c r="EHB171" s="72"/>
      <c r="EHC171" s="72"/>
      <c r="EHD171" s="72"/>
      <c r="EHE171" s="72"/>
      <c r="EHF171" s="72"/>
      <c r="EHG171" s="72"/>
      <c r="EHH171" s="72"/>
      <c r="EHI171" s="72"/>
      <c r="EHJ171" s="72"/>
      <c r="EHK171" s="72"/>
      <c r="EHL171" s="72"/>
      <c r="EHM171" s="72"/>
      <c r="EHN171" s="72"/>
      <c r="EHO171" s="72"/>
      <c r="EHP171" s="72"/>
      <c r="EHQ171" s="72"/>
      <c r="EHR171" s="72"/>
      <c r="EHS171" s="72"/>
      <c r="EHT171" s="72"/>
      <c r="EHU171" s="72"/>
      <c r="EHV171" s="72"/>
      <c r="EHW171" s="72"/>
      <c r="EHX171" s="72"/>
      <c r="EHY171" s="72"/>
      <c r="EHZ171" s="72"/>
      <c r="EIA171" s="72"/>
      <c r="EIB171" s="72"/>
      <c r="EIC171" s="72"/>
      <c r="EID171" s="72"/>
      <c r="EIE171" s="72"/>
      <c r="EIF171" s="72"/>
      <c r="EIG171" s="72"/>
      <c r="EIH171" s="72"/>
      <c r="EII171" s="72"/>
      <c r="EIJ171" s="72"/>
      <c r="EIK171" s="72"/>
      <c r="EIL171" s="72"/>
      <c r="EIM171" s="72"/>
      <c r="EIN171" s="72"/>
      <c r="EIO171" s="72"/>
      <c r="EIP171" s="72"/>
      <c r="EIQ171" s="72"/>
      <c r="EIR171" s="72"/>
      <c r="EIS171" s="72"/>
      <c r="EIT171" s="72"/>
      <c r="EIU171" s="72"/>
      <c r="EIV171" s="72"/>
      <c r="EIW171" s="72"/>
      <c r="EIX171" s="72"/>
      <c r="EIY171" s="72"/>
      <c r="EIZ171" s="72"/>
      <c r="EJA171" s="72"/>
      <c r="EJB171" s="72"/>
      <c r="EJC171" s="72"/>
      <c r="EJD171" s="72"/>
      <c r="EJE171" s="72"/>
      <c r="EJF171" s="72"/>
      <c r="EJG171" s="72"/>
      <c r="EJH171" s="72"/>
      <c r="EJI171" s="72"/>
      <c r="EJJ171" s="72"/>
      <c r="EJK171" s="72"/>
      <c r="EJL171" s="72"/>
      <c r="EJM171" s="72"/>
      <c r="EJN171" s="72"/>
      <c r="EJO171" s="72"/>
      <c r="EJP171" s="72"/>
      <c r="EJQ171" s="72"/>
      <c r="EJR171" s="72"/>
      <c r="EJS171" s="72"/>
      <c r="EJT171" s="72"/>
      <c r="EJU171" s="72"/>
      <c r="EJV171" s="72"/>
      <c r="EJW171" s="72"/>
      <c r="EJX171" s="72"/>
      <c r="EJY171" s="72"/>
      <c r="EJZ171" s="72"/>
      <c r="EKA171" s="72"/>
      <c r="EKB171" s="72"/>
      <c r="EKC171" s="72"/>
      <c r="EKD171" s="72"/>
      <c r="EKE171" s="72"/>
      <c r="EKF171" s="72"/>
      <c r="EKG171" s="72"/>
      <c r="EKH171" s="72"/>
      <c r="EKI171" s="72"/>
      <c r="EKJ171" s="72"/>
      <c r="EKK171" s="72"/>
      <c r="EKL171" s="72"/>
      <c r="EKM171" s="72"/>
      <c r="EKN171" s="72"/>
      <c r="EKO171" s="72"/>
      <c r="EKP171" s="72"/>
      <c r="EKQ171" s="72"/>
      <c r="EKR171" s="72"/>
      <c r="EKS171" s="72"/>
      <c r="EKT171" s="72"/>
      <c r="EKU171" s="72"/>
      <c r="EKV171" s="72"/>
      <c r="EKW171" s="72"/>
      <c r="EKX171" s="72"/>
      <c r="EKY171" s="72"/>
      <c r="EKZ171" s="72"/>
      <c r="ELA171" s="72"/>
      <c r="ELB171" s="72"/>
      <c r="ELC171" s="72"/>
      <c r="ELD171" s="72"/>
      <c r="ELE171" s="72"/>
      <c r="ELF171" s="72"/>
      <c r="ELG171" s="72"/>
      <c r="ELH171" s="72"/>
      <c r="ELI171" s="72"/>
      <c r="ELJ171" s="72"/>
      <c r="ELK171" s="72"/>
      <c r="ELL171" s="72"/>
      <c r="ELM171" s="72"/>
      <c r="ELN171" s="72"/>
      <c r="ELO171" s="72"/>
      <c r="ELP171" s="72"/>
      <c r="ELQ171" s="72"/>
      <c r="ELR171" s="72"/>
      <c r="ELS171" s="72"/>
      <c r="ELT171" s="72"/>
      <c r="ELU171" s="72"/>
      <c r="ELV171" s="72"/>
      <c r="ELW171" s="72"/>
      <c r="ELX171" s="72"/>
      <c r="ELY171" s="72"/>
      <c r="ELZ171" s="72"/>
      <c r="EMA171" s="72"/>
      <c r="EMB171" s="72"/>
      <c r="EMC171" s="72"/>
      <c r="EMD171" s="72"/>
      <c r="EME171" s="72"/>
      <c r="EMF171" s="72"/>
      <c r="EMG171" s="72"/>
      <c r="EMH171" s="72"/>
      <c r="EMI171" s="72"/>
      <c r="EMJ171" s="72"/>
      <c r="EMK171" s="72"/>
      <c r="EML171" s="72"/>
      <c r="EMM171" s="72"/>
      <c r="EMN171" s="72"/>
      <c r="EMO171" s="72"/>
      <c r="EMP171" s="72"/>
      <c r="EMQ171" s="72"/>
      <c r="EMR171" s="72"/>
      <c r="EMS171" s="72"/>
      <c r="EMT171" s="72"/>
      <c r="EMU171" s="72"/>
      <c r="EMV171" s="72"/>
      <c r="EMW171" s="72"/>
      <c r="EMX171" s="72"/>
      <c r="EMY171" s="72"/>
      <c r="EMZ171" s="72"/>
      <c r="ENA171" s="72"/>
      <c r="ENB171" s="72"/>
      <c r="ENC171" s="72"/>
      <c r="END171" s="72"/>
      <c r="ENE171" s="72"/>
      <c r="ENF171" s="72"/>
      <c r="ENG171" s="72"/>
      <c r="ENH171" s="72"/>
      <c r="ENI171" s="72"/>
      <c r="ENJ171" s="72"/>
      <c r="ENK171" s="72"/>
      <c r="ENL171" s="72"/>
      <c r="ENM171" s="72"/>
      <c r="ENN171" s="72"/>
      <c r="ENO171" s="72"/>
      <c r="ENP171" s="72"/>
      <c r="ENQ171" s="72"/>
      <c r="ENR171" s="72"/>
      <c r="ENS171" s="72"/>
      <c r="ENT171" s="72"/>
      <c r="ENU171" s="72"/>
      <c r="ENV171" s="72"/>
      <c r="ENW171" s="72"/>
      <c r="ENX171" s="72"/>
      <c r="ENY171" s="72"/>
      <c r="ENZ171" s="72"/>
      <c r="EOA171" s="72"/>
      <c r="EOB171" s="72"/>
      <c r="EOC171" s="72"/>
      <c r="EOD171" s="72"/>
      <c r="EOE171" s="72"/>
      <c r="EOF171" s="72"/>
      <c r="EOG171" s="72"/>
      <c r="EOH171" s="72"/>
      <c r="EOI171" s="72"/>
      <c r="EOJ171" s="72"/>
      <c r="EOK171" s="72"/>
      <c r="EOL171" s="72"/>
      <c r="EOM171" s="72"/>
      <c r="EON171" s="72"/>
      <c r="EOO171" s="72"/>
      <c r="EOP171" s="72"/>
      <c r="EOQ171" s="72"/>
      <c r="EOR171" s="72"/>
      <c r="EOS171" s="72"/>
      <c r="EOT171" s="72"/>
      <c r="EOU171" s="72"/>
      <c r="EOV171" s="72"/>
      <c r="EOW171" s="72"/>
      <c r="EOX171" s="72"/>
      <c r="EOY171" s="72"/>
      <c r="EOZ171" s="72"/>
      <c r="EPA171" s="72"/>
      <c r="EPB171" s="72"/>
      <c r="EPC171" s="72"/>
      <c r="EPD171" s="72"/>
      <c r="EPE171" s="72"/>
      <c r="EPF171" s="72"/>
      <c r="EPG171" s="72"/>
      <c r="EPH171" s="72"/>
      <c r="EPI171" s="72"/>
      <c r="EPJ171" s="72"/>
      <c r="EPK171" s="72"/>
      <c r="EPL171" s="72"/>
      <c r="EPM171" s="72"/>
      <c r="EPN171" s="72"/>
      <c r="EPO171" s="72"/>
      <c r="EPP171" s="72"/>
      <c r="EPQ171" s="72"/>
      <c r="EPR171" s="72"/>
      <c r="EPS171" s="72"/>
      <c r="EPT171" s="72"/>
      <c r="EPU171" s="72"/>
      <c r="EPV171" s="72"/>
      <c r="EPW171" s="72"/>
      <c r="EPX171" s="72"/>
      <c r="EPY171" s="72"/>
      <c r="EPZ171" s="72"/>
      <c r="EQA171" s="72"/>
      <c r="EQB171" s="72"/>
      <c r="EQC171" s="72"/>
      <c r="EQD171" s="72"/>
      <c r="EQE171" s="72"/>
      <c r="EQF171" s="72"/>
      <c r="EQG171" s="72"/>
      <c r="EQH171" s="72"/>
      <c r="EQI171" s="72"/>
      <c r="EQJ171" s="72"/>
      <c r="EQK171" s="72"/>
      <c r="EQL171" s="72"/>
      <c r="EQM171" s="72"/>
      <c r="EQN171" s="72"/>
      <c r="EQO171" s="72"/>
      <c r="EQP171" s="72"/>
      <c r="EQQ171" s="72"/>
      <c r="EQR171" s="72"/>
      <c r="EQS171" s="72"/>
      <c r="EQT171" s="72"/>
      <c r="EQU171" s="72"/>
      <c r="EQV171" s="72"/>
      <c r="EQW171" s="72"/>
      <c r="EQX171" s="72"/>
      <c r="EQY171" s="72"/>
      <c r="EQZ171" s="72"/>
      <c r="ERA171" s="72"/>
      <c r="ERB171" s="72"/>
      <c r="ERC171" s="72"/>
      <c r="ERD171" s="72"/>
      <c r="ERE171" s="72"/>
      <c r="ERF171" s="72"/>
      <c r="ERG171" s="72"/>
      <c r="ERH171" s="72"/>
      <c r="ERI171" s="72"/>
      <c r="ERJ171" s="72"/>
      <c r="ERK171" s="72"/>
      <c r="ERL171" s="72"/>
      <c r="ERM171" s="72"/>
      <c r="ERN171" s="72"/>
      <c r="ERO171" s="72"/>
      <c r="ERP171" s="72"/>
      <c r="ERQ171" s="72"/>
      <c r="ERR171" s="72"/>
      <c r="ERS171" s="72"/>
      <c r="ERT171" s="72"/>
      <c r="ERU171" s="72"/>
      <c r="ERV171" s="72"/>
      <c r="ERW171" s="72"/>
      <c r="ERX171" s="72"/>
      <c r="ERY171" s="72"/>
      <c r="ERZ171" s="72"/>
      <c r="ESA171" s="72"/>
      <c r="ESB171" s="72"/>
      <c r="ESC171" s="72"/>
      <c r="ESD171" s="72"/>
      <c r="ESE171" s="72"/>
      <c r="ESF171" s="72"/>
      <c r="ESG171" s="72"/>
      <c r="ESH171" s="72"/>
      <c r="ESI171" s="72"/>
      <c r="ESJ171" s="72"/>
      <c r="ESK171" s="72"/>
      <c r="ESL171" s="72"/>
      <c r="ESM171" s="72"/>
      <c r="ESN171" s="72"/>
      <c r="ESO171" s="72"/>
      <c r="ESP171" s="72"/>
      <c r="ESQ171" s="72"/>
      <c r="ESR171" s="72"/>
      <c r="ESS171" s="72"/>
      <c r="EST171" s="72"/>
      <c r="ESU171" s="72"/>
      <c r="ESV171" s="72"/>
      <c r="ESW171" s="72"/>
      <c r="ESX171" s="72"/>
      <c r="ESY171" s="72"/>
      <c r="ESZ171" s="72"/>
      <c r="ETA171" s="72"/>
      <c r="ETB171" s="72"/>
      <c r="ETC171" s="72"/>
      <c r="ETD171" s="72"/>
      <c r="ETE171" s="72"/>
      <c r="ETF171" s="72"/>
      <c r="ETG171" s="72"/>
      <c r="ETH171" s="72"/>
      <c r="ETI171" s="72"/>
      <c r="ETJ171" s="72"/>
      <c r="ETK171" s="72"/>
      <c r="ETL171" s="72"/>
      <c r="ETM171" s="72"/>
      <c r="ETN171" s="72"/>
      <c r="ETO171" s="72"/>
      <c r="ETP171" s="72"/>
      <c r="ETQ171" s="72"/>
      <c r="ETR171" s="72"/>
      <c r="ETS171" s="72"/>
      <c r="ETT171" s="72"/>
      <c r="ETU171" s="72"/>
      <c r="ETV171" s="72"/>
      <c r="ETW171" s="72"/>
      <c r="ETX171" s="72"/>
      <c r="ETY171" s="72"/>
      <c r="ETZ171" s="72"/>
      <c r="EUA171" s="72"/>
      <c r="EUB171" s="72"/>
      <c r="EUC171" s="72"/>
      <c r="EUD171" s="72"/>
      <c r="EUE171" s="72"/>
      <c r="EUF171" s="72"/>
      <c r="EUG171" s="72"/>
      <c r="EUH171" s="72"/>
      <c r="EUI171" s="72"/>
      <c r="EUJ171" s="72"/>
      <c r="EUK171" s="72"/>
      <c r="EUL171" s="72"/>
      <c r="EUM171" s="72"/>
      <c r="EUN171" s="72"/>
      <c r="EUO171" s="72"/>
      <c r="EUP171" s="72"/>
      <c r="EUQ171" s="72"/>
      <c r="EUR171" s="72"/>
      <c r="EUS171" s="72"/>
      <c r="EUT171" s="72"/>
      <c r="EUU171" s="72"/>
      <c r="EUV171" s="72"/>
      <c r="EUW171" s="72"/>
      <c r="EUX171" s="72"/>
      <c r="EUY171" s="72"/>
      <c r="EUZ171" s="72"/>
      <c r="EVA171" s="72"/>
      <c r="EVB171" s="72"/>
      <c r="EVC171" s="72"/>
      <c r="EVD171" s="72"/>
      <c r="EVE171" s="72"/>
      <c r="EVF171" s="72"/>
      <c r="EVG171" s="72"/>
      <c r="EVH171" s="72"/>
      <c r="EVI171" s="72"/>
      <c r="EVJ171" s="72"/>
      <c r="EVK171" s="72"/>
      <c r="EVL171" s="72"/>
      <c r="EVM171" s="72"/>
      <c r="EVN171" s="72"/>
      <c r="EVO171" s="72"/>
      <c r="EVP171" s="72"/>
      <c r="EVQ171" s="72"/>
      <c r="EVR171" s="72"/>
      <c r="EVS171" s="72"/>
      <c r="EVT171" s="72"/>
      <c r="EVU171" s="72"/>
      <c r="EVV171" s="72"/>
      <c r="EVW171" s="72"/>
      <c r="EVX171" s="72"/>
      <c r="EVY171" s="72"/>
      <c r="EVZ171" s="72"/>
      <c r="EWA171" s="72"/>
      <c r="EWB171" s="72"/>
      <c r="EWC171" s="72"/>
      <c r="EWD171" s="72"/>
      <c r="EWE171" s="72"/>
      <c r="EWF171" s="72"/>
      <c r="EWG171" s="72"/>
      <c r="EWH171" s="72"/>
      <c r="EWI171" s="72"/>
      <c r="EWJ171" s="72"/>
      <c r="EWK171" s="72"/>
      <c r="EWL171" s="72"/>
      <c r="EWM171" s="72"/>
      <c r="EWN171" s="72"/>
      <c r="EWO171" s="72"/>
      <c r="EWP171" s="72"/>
      <c r="EWQ171" s="72"/>
      <c r="EWR171" s="72"/>
      <c r="EWS171" s="72"/>
      <c r="EWT171" s="72"/>
      <c r="EWU171" s="72"/>
      <c r="EWV171" s="72"/>
      <c r="EWW171" s="72"/>
      <c r="EWX171" s="72"/>
      <c r="EWY171" s="72"/>
      <c r="EWZ171" s="72"/>
      <c r="EXA171" s="72"/>
      <c r="EXB171" s="72"/>
      <c r="EXC171" s="72"/>
      <c r="EXD171" s="72"/>
      <c r="EXE171" s="72"/>
      <c r="EXF171" s="72"/>
      <c r="EXG171" s="72"/>
      <c r="EXH171" s="72"/>
      <c r="EXI171" s="72"/>
      <c r="EXJ171" s="72"/>
      <c r="EXK171" s="72"/>
      <c r="EXL171" s="72"/>
      <c r="EXM171" s="72"/>
      <c r="EXN171" s="72"/>
      <c r="EXO171" s="72"/>
      <c r="EXP171" s="72"/>
      <c r="EXQ171" s="72"/>
      <c r="EXR171" s="72"/>
      <c r="EXS171" s="72"/>
      <c r="EXT171" s="72"/>
      <c r="EXU171" s="72"/>
      <c r="EXV171" s="72"/>
      <c r="EXW171" s="72"/>
      <c r="EXX171" s="72"/>
      <c r="EXY171" s="72"/>
      <c r="EXZ171" s="72"/>
      <c r="EYA171" s="72"/>
      <c r="EYB171" s="72"/>
      <c r="EYC171" s="72"/>
      <c r="EYD171" s="72"/>
      <c r="EYE171" s="72"/>
      <c r="EYF171" s="72"/>
      <c r="EYG171" s="72"/>
      <c r="EYH171" s="72"/>
      <c r="EYI171" s="72"/>
      <c r="EYJ171" s="72"/>
      <c r="EYK171" s="72"/>
      <c r="EYL171" s="72"/>
      <c r="EYM171" s="72"/>
      <c r="EYN171" s="72"/>
      <c r="EYO171" s="72"/>
      <c r="EYP171" s="72"/>
      <c r="EYQ171" s="72"/>
      <c r="EYR171" s="72"/>
      <c r="EYS171" s="72"/>
      <c r="EYT171" s="72"/>
      <c r="EYU171" s="72"/>
      <c r="EYV171" s="72"/>
      <c r="EYW171" s="72"/>
      <c r="EYX171" s="72"/>
      <c r="EYY171" s="72"/>
      <c r="EYZ171" s="72"/>
      <c r="EZA171" s="72"/>
      <c r="EZB171" s="72"/>
      <c r="EZC171" s="72"/>
      <c r="EZD171" s="72"/>
      <c r="EZE171" s="72"/>
      <c r="EZF171" s="72"/>
      <c r="EZG171" s="72"/>
      <c r="EZH171" s="72"/>
      <c r="EZI171" s="72"/>
      <c r="EZJ171" s="72"/>
      <c r="EZK171" s="72"/>
      <c r="EZL171" s="72"/>
      <c r="EZM171" s="72"/>
      <c r="EZN171" s="72"/>
      <c r="EZO171" s="72"/>
      <c r="EZP171" s="72"/>
      <c r="EZQ171" s="72"/>
      <c r="EZR171" s="72"/>
      <c r="EZS171" s="72"/>
      <c r="EZT171" s="72"/>
      <c r="EZU171" s="72"/>
      <c r="EZV171" s="72"/>
      <c r="EZW171" s="72"/>
      <c r="EZX171" s="72"/>
      <c r="EZY171" s="72"/>
      <c r="EZZ171" s="72"/>
      <c r="FAA171" s="72"/>
      <c r="FAB171" s="72"/>
      <c r="FAC171" s="72"/>
      <c r="FAD171" s="72"/>
      <c r="FAE171" s="72"/>
      <c r="FAF171" s="72"/>
      <c r="FAG171" s="72"/>
      <c r="FAH171" s="72"/>
      <c r="FAI171" s="72"/>
      <c r="FAJ171" s="72"/>
      <c r="FAK171" s="72"/>
      <c r="FAL171" s="72"/>
      <c r="FAM171" s="72"/>
      <c r="FAN171" s="72"/>
      <c r="FAO171" s="72"/>
      <c r="FAP171" s="72"/>
      <c r="FAQ171" s="72"/>
      <c r="FAR171" s="72"/>
      <c r="FAS171" s="72"/>
      <c r="FAT171" s="72"/>
      <c r="FAU171" s="72"/>
      <c r="FAV171" s="72"/>
      <c r="FAW171" s="72"/>
      <c r="FAX171" s="72"/>
      <c r="FAY171" s="72"/>
      <c r="FAZ171" s="72"/>
      <c r="FBA171" s="72"/>
      <c r="FBB171" s="72"/>
      <c r="FBC171" s="72"/>
      <c r="FBD171" s="72"/>
      <c r="FBE171" s="72"/>
      <c r="FBF171" s="72"/>
      <c r="FBG171" s="72"/>
      <c r="FBH171" s="72"/>
      <c r="FBI171" s="72"/>
      <c r="FBJ171" s="72"/>
      <c r="FBK171" s="72"/>
      <c r="FBL171" s="72"/>
      <c r="FBM171" s="72"/>
      <c r="FBN171" s="72"/>
      <c r="FBO171" s="72"/>
      <c r="FBP171" s="72"/>
      <c r="FBQ171" s="72"/>
      <c r="FBR171" s="72"/>
      <c r="FBS171" s="72"/>
      <c r="FBT171" s="72"/>
      <c r="FBU171" s="72"/>
      <c r="FBV171" s="72"/>
      <c r="FBW171" s="72"/>
      <c r="FBX171" s="72"/>
      <c r="FBY171" s="72"/>
      <c r="FBZ171" s="72"/>
      <c r="FCA171" s="72"/>
      <c r="FCB171" s="72"/>
      <c r="FCC171" s="72"/>
      <c r="FCD171" s="72"/>
      <c r="FCE171" s="72"/>
      <c r="FCF171" s="72"/>
      <c r="FCG171" s="72"/>
      <c r="FCH171" s="72"/>
      <c r="FCI171" s="72"/>
      <c r="FCJ171" s="72"/>
      <c r="FCK171" s="72"/>
      <c r="FCL171" s="72"/>
      <c r="FCM171" s="72"/>
      <c r="FCN171" s="72"/>
      <c r="FCO171" s="72"/>
      <c r="FCP171" s="72"/>
      <c r="FCQ171" s="72"/>
      <c r="FCR171" s="72"/>
      <c r="FCS171" s="72"/>
      <c r="FCT171" s="72"/>
      <c r="FCU171" s="72"/>
      <c r="FCV171" s="72"/>
      <c r="FCW171" s="72"/>
      <c r="FCX171" s="72"/>
      <c r="FCY171" s="72"/>
      <c r="FCZ171" s="72"/>
      <c r="FDA171" s="72"/>
      <c r="FDB171" s="72"/>
      <c r="FDC171" s="72"/>
      <c r="FDD171" s="72"/>
      <c r="FDE171" s="72"/>
      <c r="FDF171" s="72"/>
      <c r="FDG171" s="72"/>
      <c r="FDH171" s="72"/>
      <c r="FDI171" s="72"/>
      <c r="FDJ171" s="72"/>
      <c r="FDK171" s="72"/>
      <c r="FDL171" s="72"/>
      <c r="FDM171" s="72"/>
      <c r="FDN171" s="72"/>
      <c r="FDO171" s="72"/>
      <c r="FDP171" s="72"/>
      <c r="FDQ171" s="72"/>
      <c r="FDR171" s="72"/>
      <c r="FDS171" s="72"/>
      <c r="FDT171" s="72"/>
      <c r="FDU171" s="72"/>
      <c r="FDV171" s="72"/>
      <c r="FDW171" s="72"/>
      <c r="FDX171" s="72"/>
      <c r="FDY171" s="72"/>
      <c r="FDZ171" s="72"/>
      <c r="FEA171" s="72"/>
      <c r="FEB171" s="72"/>
      <c r="FEC171" s="72"/>
      <c r="FED171" s="72"/>
      <c r="FEE171" s="72"/>
      <c r="FEF171" s="72"/>
      <c r="FEG171" s="72"/>
      <c r="FEH171" s="72"/>
      <c r="FEI171" s="72"/>
      <c r="FEJ171" s="72"/>
      <c r="FEK171" s="72"/>
      <c r="FEL171" s="72"/>
      <c r="FEM171" s="72"/>
      <c r="FEN171" s="72"/>
      <c r="FEO171" s="72"/>
      <c r="FEP171" s="72"/>
      <c r="FEQ171" s="72"/>
      <c r="FER171" s="72"/>
      <c r="FES171" s="72"/>
      <c r="FET171" s="72"/>
      <c r="FEU171" s="72"/>
      <c r="FEV171" s="72"/>
      <c r="FEW171" s="72"/>
      <c r="FEX171" s="72"/>
      <c r="FEY171" s="72"/>
      <c r="FEZ171" s="72"/>
      <c r="FFA171" s="72"/>
      <c r="FFB171" s="72"/>
      <c r="FFC171" s="72"/>
      <c r="FFD171" s="72"/>
      <c r="FFE171" s="72"/>
      <c r="FFF171" s="72"/>
      <c r="FFG171" s="72"/>
      <c r="FFH171" s="72"/>
      <c r="FFI171" s="72"/>
      <c r="FFJ171" s="72"/>
      <c r="FFK171" s="72"/>
      <c r="FFL171" s="72"/>
      <c r="FFM171" s="72"/>
      <c r="FFN171" s="72"/>
      <c r="FFO171" s="72"/>
      <c r="FFP171" s="72"/>
      <c r="FFQ171" s="72"/>
      <c r="FFR171" s="72"/>
      <c r="FFS171" s="72"/>
      <c r="FFT171" s="72"/>
      <c r="FFU171" s="72"/>
      <c r="FFV171" s="72"/>
      <c r="FFW171" s="72"/>
      <c r="FFX171" s="72"/>
      <c r="FFY171" s="72"/>
      <c r="FFZ171" s="72"/>
      <c r="FGA171" s="72"/>
      <c r="FGB171" s="72"/>
      <c r="FGC171" s="72"/>
      <c r="FGD171" s="72"/>
      <c r="FGE171" s="72"/>
      <c r="FGF171" s="72"/>
      <c r="FGG171" s="72"/>
      <c r="FGH171" s="72"/>
      <c r="FGI171" s="72"/>
      <c r="FGJ171" s="72"/>
      <c r="FGK171" s="72"/>
      <c r="FGL171" s="72"/>
      <c r="FGM171" s="72"/>
      <c r="FGN171" s="72"/>
      <c r="FGO171" s="72"/>
      <c r="FGP171" s="72"/>
      <c r="FGQ171" s="72"/>
      <c r="FGR171" s="72"/>
      <c r="FGS171" s="72"/>
      <c r="FGT171" s="72"/>
      <c r="FGU171" s="72"/>
      <c r="FGV171" s="72"/>
      <c r="FGW171" s="72"/>
      <c r="FGX171" s="72"/>
      <c r="FGY171" s="72"/>
      <c r="FGZ171" s="72"/>
      <c r="FHA171" s="72"/>
      <c r="FHB171" s="72"/>
      <c r="FHC171" s="72"/>
      <c r="FHD171" s="72"/>
      <c r="FHE171" s="72"/>
      <c r="FHF171" s="72"/>
      <c r="FHG171" s="72"/>
      <c r="FHH171" s="72"/>
      <c r="FHI171" s="72"/>
      <c r="FHJ171" s="72"/>
      <c r="FHK171" s="72"/>
      <c r="FHL171" s="72"/>
      <c r="FHM171" s="72"/>
      <c r="FHN171" s="72"/>
      <c r="FHO171" s="72"/>
      <c r="FHP171" s="72"/>
      <c r="FHQ171" s="72"/>
      <c r="FHR171" s="72"/>
      <c r="FHS171" s="72"/>
      <c r="FHT171" s="72"/>
      <c r="FHU171" s="72"/>
      <c r="FHV171" s="72"/>
      <c r="FHW171" s="72"/>
      <c r="FHX171" s="72"/>
      <c r="FHY171" s="72"/>
      <c r="FHZ171" s="72"/>
      <c r="FIA171" s="72"/>
      <c r="FIB171" s="72"/>
      <c r="FIC171" s="72"/>
      <c r="FID171" s="72"/>
      <c r="FIE171" s="72"/>
      <c r="FIF171" s="72"/>
      <c r="FIG171" s="72"/>
      <c r="FIH171" s="72"/>
      <c r="FII171" s="72"/>
      <c r="FIJ171" s="72"/>
      <c r="FIK171" s="72"/>
      <c r="FIL171" s="72"/>
      <c r="FIM171" s="72"/>
      <c r="FIN171" s="72"/>
      <c r="FIO171" s="72"/>
      <c r="FIP171" s="72"/>
      <c r="FIQ171" s="72"/>
      <c r="FIR171" s="72"/>
      <c r="FIS171" s="72"/>
      <c r="FIT171" s="72"/>
      <c r="FIU171" s="72"/>
      <c r="FIV171" s="72"/>
      <c r="FIW171" s="72"/>
      <c r="FIX171" s="72"/>
      <c r="FIY171" s="72"/>
      <c r="FIZ171" s="72"/>
      <c r="FJA171" s="72"/>
      <c r="FJB171" s="72"/>
      <c r="FJC171" s="72"/>
      <c r="FJD171" s="72"/>
      <c r="FJE171" s="72"/>
      <c r="FJF171" s="72"/>
      <c r="FJG171" s="72"/>
      <c r="FJH171" s="72"/>
      <c r="FJI171" s="72"/>
      <c r="FJJ171" s="72"/>
      <c r="FJK171" s="72"/>
      <c r="FJL171" s="72"/>
      <c r="FJM171" s="72"/>
      <c r="FJN171" s="72"/>
      <c r="FJO171" s="72"/>
      <c r="FJP171" s="72"/>
      <c r="FJQ171" s="72"/>
      <c r="FJR171" s="72"/>
      <c r="FJS171" s="72"/>
      <c r="FJT171" s="72"/>
      <c r="FJU171" s="72"/>
      <c r="FJV171" s="72"/>
      <c r="FJW171" s="72"/>
      <c r="FJX171" s="72"/>
      <c r="FJY171" s="72"/>
      <c r="FJZ171" s="72"/>
      <c r="FKA171" s="72"/>
      <c r="FKB171" s="72"/>
      <c r="FKC171" s="72"/>
      <c r="FKD171" s="72"/>
      <c r="FKE171" s="72"/>
      <c r="FKF171" s="72"/>
      <c r="FKG171" s="72"/>
      <c r="FKH171" s="72"/>
      <c r="FKI171" s="72"/>
      <c r="FKJ171" s="72"/>
      <c r="FKK171" s="72"/>
      <c r="FKL171" s="72"/>
      <c r="FKM171" s="72"/>
      <c r="FKN171" s="72"/>
      <c r="FKO171" s="72"/>
      <c r="FKP171" s="72"/>
      <c r="FKQ171" s="72"/>
      <c r="FKR171" s="72"/>
      <c r="FKS171" s="72"/>
      <c r="FKT171" s="72"/>
      <c r="FKU171" s="72"/>
      <c r="FKV171" s="72"/>
      <c r="FKW171" s="72"/>
      <c r="FKX171" s="72"/>
      <c r="FKY171" s="72"/>
      <c r="FKZ171" s="72"/>
      <c r="FLA171" s="72"/>
      <c r="FLB171" s="72"/>
      <c r="FLC171" s="72"/>
      <c r="FLD171" s="72"/>
      <c r="FLE171" s="72"/>
      <c r="FLF171" s="72"/>
      <c r="FLG171" s="72"/>
      <c r="FLH171" s="72"/>
      <c r="FLI171" s="72"/>
      <c r="FLJ171" s="72"/>
      <c r="FLK171" s="72"/>
      <c r="FLL171" s="72"/>
      <c r="FLM171" s="72"/>
      <c r="FLN171" s="72"/>
      <c r="FLO171" s="72"/>
      <c r="FLP171" s="72"/>
      <c r="FLQ171" s="72"/>
      <c r="FLR171" s="72"/>
      <c r="FLS171" s="72"/>
      <c r="FLT171" s="72"/>
      <c r="FLU171" s="72"/>
      <c r="FLV171" s="72"/>
      <c r="FLW171" s="72"/>
      <c r="FLX171" s="72"/>
      <c r="FLY171" s="72"/>
      <c r="FLZ171" s="72"/>
      <c r="FMA171" s="72"/>
      <c r="FMB171" s="72"/>
      <c r="FMC171" s="72"/>
      <c r="FMD171" s="72"/>
      <c r="FME171" s="72"/>
      <c r="FMF171" s="72"/>
      <c r="FMG171" s="72"/>
      <c r="FMH171" s="72"/>
      <c r="FMI171" s="72"/>
      <c r="FMJ171" s="72"/>
      <c r="FMK171" s="72"/>
      <c r="FML171" s="72"/>
      <c r="FMM171" s="72"/>
      <c r="FMN171" s="72"/>
      <c r="FMO171" s="72"/>
      <c r="FMP171" s="72"/>
      <c r="FMQ171" s="72"/>
      <c r="FMR171" s="72"/>
      <c r="FMS171" s="72"/>
      <c r="FMT171" s="72"/>
      <c r="FMU171" s="72"/>
      <c r="FMV171" s="72"/>
      <c r="FMW171" s="72"/>
      <c r="FMX171" s="72"/>
      <c r="FMY171" s="72"/>
      <c r="FMZ171" s="72"/>
      <c r="FNA171" s="72"/>
      <c r="FNB171" s="72"/>
      <c r="FNC171" s="72"/>
      <c r="FND171" s="72"/>
      <c r="FNE171" s="72"/>
      <c r="FNF171" s="72"/>
      <c r="FNG171" s="72"/>
      <c r="FNH171" s="72"/>
      <c r="FNI171" s="72"/>
      <c r="FNJ171" s="72"/>
      <c r="FNK171" s="72"/>
      <c r="FNL171" s="72"/>
      <c r="FNM171" s="72"/>
      <c r="FNN171" s="72"/>
      <c r="FNO171" s="72"/>
      <c r="FNP171" s="72"/>
      <c r="FNQ171" s="72"/>
      <c r="FNR171" s="72"/>
      <c r="FNS171" s="72"/>
      <c r="FNT171" s="72"/>
      <c r="FNU171" s="72"/>
      <c r="FNV171" s="72"/>
      <c r="FNW171" s="72"/>
      <c r="FNX171" s="72"/>
      <c r="FNY171" s="72"/>
      <c r="FNZ171" s="72"/>
      <c r="FOA171" s="72"/>
      <c r="FOB171" s="72"/>
      <c r="FOC171" s="72"/>
      <c r="FOD171" s="72"/>
      <c r="FOE171" s="72"/>
      <c r="FOF171" s="72"/>
      <c r="FOG171" s="72"/>
      <c r="FOH171" s="72"/>
      <c r="FOI171" s="72"/>
      <c r="FOJ171" s="72"/>
      <c r="FOK171" s="72"/>
      <c r="FOL171" s="72"/>
      <c r="FOM171" s="72"/>
      <c r="FON171" s="72"/>
      <c r="FOO171" s="72"/>
      <c r="FOP171" s="72"/>
      <c r="FOQ171" s="72"/>
      <c r="FOR171" s="72"/>
      <c r="FOS171" s="72"/>
      <c r="FOT171" s="72"/>
      <c r="FOU171" s="72"/>
      <c r="FOV171" s="72"/>
      <c r="FOW171" s="72"/>
      <c r="FOX171" s="72"/>
      <c r="FOY171" s="72"/>
      <c r="FOZ171" s="72"/>
      <c r="FPA171" s="72"/>
      <c r="FPB171" s="72"/>
      <c r="FPC171" s="72"/>
      <c r="FPD171" s="72"/>
      <c r="FPE171" s="72"/>
      <c r="FPF171" s="72"/>
      <c r="FPG171" s="72"/>
      <c r="FPH171" s="72"/>
      <c r="FPI171" s="72"/>
      <c r="FPJ171" s="72"/>
      <c r="FPK171" s="72"/>
      <c r="FPL171" s="72"/>
      <c r="FPM171" s="72"/>
      <c r="FPN171" s="72"/>
      <c r="FPO171" s="72"/>
      <c r="FPP171" s="72"/>
      <c r="FPQ171" s="72"/>
      <c r="FPR171" s="72"/>
      <c r="FPS171" s="72"/>
      <c r="FPT171" s="72"/>
      <c r="FPU171" s="72"/>
      <c r="FPV171" s="72"/>
      <c r="FPW171" s="72"/>
      <c r="FPX171" s="72"/>
      <c r="FPY171" s="72"/>
      <c r="FPZ171" s="72"/>
      <c r="FQA171" s="72"/>
      <c r="FQB171" s="72"/>
      <c r="FQC171" s="72"/>
      <c r="FQD171" s="72"/>
      <c r="FQE171" s="72"/>
      <c r="FQF171" s="72"/>
      <c r="FQG171" s="72"/>
      <c r="FQH171" s="72"/>
      <c r="FQI171" s="72"/>
      <c r="FQJ171" s="72"/>
      <c r="FQK171" s="72"/>
      <c r="FQL171" s="72"/>
      <c r="FQM171" s="72"/>
      <c r="FQN171" s="72"/>
      <c r="FQO171" s="72"/>
      <c r="FQP171" s="72"/>
      <c r="FQQ171" s="72"/>
      <c r="FQR171" s="72"/>
      <c r="FQS171" s="72"/>
      <c r="FQT171" s="72"/>
      <c r="FQU171" s="72"/>
      <c r="FQV171" s="72"/>
      <c r="FQW171" s="72"/>
      <c r="FQX171" s="72"/>
      <c r="FQY171" s="72"/>
      <c r="FQZ171" s="72"/>
      <c r="FRA171" s="72"/>
      <c r="FRB171" s="72"/>
      <c r="FRC171" s="72"/>
      <c r="FRD171" s="72"/>
      <c r="FRE171" s="72"/>
      <c r="FRF171" s="72"/>
      <c r="FRG171" s="72"/>
      <c r="FRH171" s="72"/>
      <c r="FRI171" s="72"/>
      <c r="FRJ171" s="72"/>
      <c r="FRK171" s="72"/>
      <c r="FRL171" s="72"/>
      <c r="FRM171" s="72"/>
      <c r="FRN171" s="72"/>
      <c r="FRO171" s="72"/>
      <c r="FRP171" s="72"/>
      <c r="FRQ171" s="72"/>
      <c r="FRR171" s="72"/>
      <c r="FRS171" s="72"/>
      <c r="FRT171" s="72"/>
      <c r="FRU171" s="72"/>
      <c r="FRV171" s="72"/>
      <c r="FRW171" s="72"/>
      <c r="FRX171" s="72"/>
      <c r="FRY171" s="72"/>
      <c r="FRZ171" s="72"/>
      <c r="FSA171" s="72"/>
      <c r="FSB171" s="72"/>
      <c r="FSC171" s="72"/>
      <c r="FSD171" s="72"/>
      <c r="FSE171" s="72"/>
      <c r="FSF171" s="72"/>
      <c r="FSG171" s="72"/>
      <c r="FSH171" s="72"/>
      <c r="FSI171" s="72"/>
      <c r="FSJ171" s="72"/>
      <c r="FSK171" s="72"/>
      <c r="FSL171" s="72"/>
      <c r="FSM171" s="72"/>
      <c r="FSN171" s="72"/>
      <c r="FSO171" s="72"/>
      <c r="FSP171" s="72"/>
      <c r="FSQ171" s="72"/>
      <c r="FSR171" s="72"/>
      <c r="FSS171" s="72"/>
      <c r="FST171" s="72"/>
      <c r="FSU171" s="72"/>
      <c r="FSV171" s="72"/>
      <c r="FSW171" s="72"/>
      <c r="FSX171" s="72"/>
      <c r="FSY171" s="72"/>
      <c r="FSZ171" s="72"/>
      <c r="FTA171" s="72"/>
      <c r="FTB171" s="72"/>
      <c r="FTC171" s="72"/>
      <c r="FTD171" s="72"/>
      <c r="FTE171" s="72"/>
      <c r="FTF171" s="72"/>
      <c r="FTG171" s="72"/>
      <c r="FTH171" s="72"/>
      <c r="FTI171" s="72"/>
      <c r="FTJ171" s="72"/>
      <c r="FTK171" s="72"/>
      <c r="FTL171" s="72"/>
      <c r="FTM171" s="72"/>
      <c r="FTN171" s="72"/>
      <c r="FTO171" s="72"/>
      <c r="FTP171" s="72"/>
      <c r="FTQ171" s="72"/>
      <c r="FTR171" s="72"/>
      <c r="FTS171" s="72"/>
      <c r="FTT171" s="72"/>
      <c r="FTU171" s="72"/>
      <c r="FTV171" s="72"/>
      <c r="FTW171" s="72"/>
      <c r="FTX171" s="72"/>
      <c r="FTY171" s="72"/>
      <c r="FTZ171" s="72"/>
      <c r="FUA171" s="72"/>
      <c r="FUB171" s="72"/>
      <c r="FUC171" s="72"/>
      <c r="FUD171" s="72"/>
      <c r="FUE171" s="72"/>
      <c r="FUF171" s="72"/>
      <c r="FUG171" s="72"/>
      <c r="FUH171" s="72"/>
      <c r="FUI171" s="72"/>
      <c r="FUJ171" s="72"/>
      <c r="FUK171" s="72"/>
      <c r="FUL171" s="72"/>
      <c r="FUM171" s="72"/>
      <c r="FUN171" s="72"/>
      <c r="FUO171" s="72"/>
      <c r="FUP171" s="72"/>
      <c r="FUQ171" s="72"/>
      <c r="FUR171" s="72"/>
      <c r="FUS171" s="72"/>
      <c r="FUT171" s="72"/>
      <c r="FUU171" s="72"/>
      <c r="FUV171" s="72"/>
      <c r="FUW171" s="72"/>
      <c r="FUX171" s="72"/>
      <c r="FUY171" s="72"/>
      <c r="FUZ171" s="72"/>
      <c r="FVA171" s="72"/>
      <c r="FVB171" s="72"/>
      <c r="FVC171" s="72"/>
      <c r="FVD171" s="72"/>
      <c r="FVE171" s="72"/>
      <c r="FVF171" s="72"/>
      <c r="FVG171" s="72"/>
      <c r="FVH171" s="72"/>
      <c r="FVI171" s="72"/>
      <c r="FVJ171" s="72"/>
      <c r="FVK171" s="72"/>
      <c r="FVL171" s="72"/>
      <c r="FVM171" s="72"/>
      <c r="FVN171" s="72"/>
      <c r="FVO171" s="72"/>
      <c r="FVP171" s="72"/>
      <c r="FVQ171" s="72"/>
      <c r="FVR171" s="72"/>
      <c r="FVS171" s="72"/>
      <c r="FVT171" s="72"/>
      <c r="FVU171" s="72"/>
      <c r="FVV171" s="72"/>
      <c r="FVW171" s="72"/>
      <c r="FVX171" s="72"/>
      <c r="FVY171" s="72"/>
      <c r="FVZ171" s="72"/>
      <c r="FWA171" s="72"/>
      <c r="FWB171" s="72"/>
      <c r="FWC171" s="72"/>
      <c r="FWD171" s="72"/>
      <c r="FWE171" s="72"/>
      <c r="FWF171" s="72"/>
      <c r="FWG171" s="72"/>
      <c r="FWH171" s="72"/>
      <c r="FWI171" s="72"/>
      <c r="FWJ171" s="72"/>
      <c r="FWK171" s="72"/>
      <c r="FWL171" s="72"/>
      <c r="FWM171" s="72"/>
      <c r="FWN171" s="72"/>
      <c r="FWO171" s="72"/>
      <c r="FWP171" s="72"/>
      <c r="FWQ171" s="72"/>
      <c r="FWR171" s="72"/>
      <c r="FWS171" s="72"/>
      <c r="FWT171" s="72"/>
      <c r="FWU171" s="72"/>
      <c r="FWV171" s="72"/>
      <c r="FWW171" s="72"/>
      <c r="FWX171" s="72"/>
      <c r="FWY171" s="72"/>
      <c r="FWZ171" s="72"/>
      <c r="FXA171" s="72"/>
      <c r="FXB171" s="72"/>
      <c r="FXC171" s="72"/>
      <c r="FXD171" s="72"/>
      <c r="FXE171" s="72"/>
      <c r="FXF171" s="72"/>
      <c r="FXG171" s="72"/>
      <c r="FXH171" s="72"/>
      <c r="FXI171" s="72"/>
      <c r="FXJ171" s="72"/>
      <c r="FXK171" s="72"/>
      <c r="FXL171" s="72"/>
      <c r="FXM171" s="72"/>
      <c r="FXN171" s="72"/>
      <c r="FXO171" s="72"/>
      <c r="FXP171" s="72"/>
      <c r="FXQ171" s="72"/>
      <c r="FXR171" s="72"/>
      <c r="FXS171" s="72"/>
      <c r="FXT171" s="72"/>
      <c r="FXU171" s="72"/>
      <c r="FXV171" s="72"/>
      <c r="FXW171" s="72"/>
      <c r="FXX171" s="72"/>
      <c r="FXY171" s="72"/>
      <c r="FXZ171" s="72"/>
      <c r="FYA171" s="72"/>
      <c r="FYB171" s="72"/>
      <c r="FYC171" s="72"/>
      <c r="FYD171" s="72"/>
      <c r="FYE171" s="72"/>
      <c r="FYF171" s="72"/>
      <c r="FYG171" s="72"/>
      <c r="FYH171" s="72"/>
      <c r="FYI171" s="72"/>
      <c r="FYJ171" s="72"/>
      <c r="FYK171" s="72"/>
      <c r="FYL171" s="72"/>
      <c r="FYM171" s="72"/>
      <c r="FYN171" s="72"/>
      <c r="FYO171" s="72"/>
      <c r="FYP171" s="72"/>
      <c r="FYQ171" s="72"/>
      <c r="FYR171" s="72"/>
      <c r="FYS171" s="72"/>
      <c r="FYT171" s="72"/>
      <c r="FYU171" s="72"/>
      <c r="FYV171" s="72"/>
      <c r="FYW171" s="72"/>
      <c r="FYX171" s="72"/>
      <c r="FYY171" s="72"/>
      <c r="FYZ171" s="72"/>
      <c r="FZA171" s="72"/>
      <c r="FZB171" s="72"/>
      <c r="FZC171" s="72"/>
      <c r="FZD171" s="72"/>
      <c r="FZE171" s="72"/>
      <c r="FZF171" s="72"/>
      <c r="FZG171" s="72"/>
      <c r="FZH171" s="72"/>
      <c r="FZI171" s="72"/>
      <c r="FZJ171" s="72"/>
      <c r="FZK171" s="72"/>
      <c r="FZL171" s="72"/>
      <c r="FZM171" s="72"/>
      <c r="FZN171" s="72"/>
      <c r="FZO171" s="72"/>
      <c r="FZP171" s="72"/>
      <c r="FZQ171" s="72"/>
      <c r="FZR171" s="72"/>
      <c r="FZS171" s="72"/>
      <c r="FZT171" s="72"/>
      <c r="FZU171" s="72"/>
      <c r="FZV171" s="72"/>
      <c r="FZW171" s="72"/>
      <c r="FZX171" s="72"/>
      <c r="FZY171" s="72"/>
      <c r="FZZ171" s="72"/>
      <c r="GAA171" s="72"/>
      <c r="GAB171" s="72"/>
      <c r="GAC171" s="72"/>
      <c r="GAD171" s="72"/>
      <c r="GAE171" s="72"/>
      <c r="GAF171" s="72"/>
      <c r="GAG171" s="72"/>
      <c r="GAH171" s="72"/>
      <c r="GAI171" s="72"/>
      <c r="GAJ171" s="72"/>
      <c r="GAK171" s="72"/>
      <c r="GAL171" s="72"/>
      <c r="GAM171" s="72"/>
      <c r="GAN171" s="72"/>
      <c r="GAO171" s="72"/>
      <c r="GAP171" s="72"/>
      <c r="GAQ171" s="72"/>
      <c r="GAR171" s="72"/>
      <c r="GAS171" s="72"/>
      <c r="GAT171" s="72"/>
      <c r="GAU171" s="72"/>
      <c r="GAV171" s="72"/>
      <c r="GAW171" s="72"/>
      <c r="GAX171" s="72"/>
      <c r="GAY171" s="72"/>
      <c r="GAZ171" s="72"/>
      <c r="GBA171" s="72"/>
      <c r="GBB171" s="72"/>
      <c r="GBC171" s="72"/>
      <c r="GBD171" s="72"/>
      <c r="GBE171" s="72"/>
      <c r="GBF171" s="72"/>
      <c r="GBG171" s="72"/>
      <c r="GBH171" s="72"/>
      <c r="GBI171" s="72"/>
      <c r="GBJ171" s="72"/>
      <c r="GBK171" s="72"/>
      <c r="GBL171" s="72"/>
      <c r="GBM171" s="72"/>
      <c r="GBN171" s="72"/>
      <c r="GBO171" s="72"/>
      <c r="GBP171" s="72"/>
      <c r="GBQ171" s="72"/>
      <c r="GBR171" s="72"/>
      <c r="GBS171" s="72"/>
      <c r="GBT171" s="72"/>
      <c r="GBU171" s="72"/>
      <c r="GBV171" s="72"/>
      <c r="GBW171" s="72"/>
      <c r="GBX171" s="72"/>
      <c r="GBY171" s="72"/>
      <c r="GBZ171" s="72"/>
      <c r="GCA171" s="72"/>
      <c r="GCB171" s="72"/>
      <c r="GCC171" s="72"/>
      <c r="GCD171" s="72"/>
      <c r="GCE171" s="72"/>
      <c r="GCF171" s="72"/>
      <c r="GCG171" s="72"/>
      <c r="GCH171" s="72"/>
      <c r="GCI171" s="72"/>
      <c r="GCJ171" s="72"/>
      <c r="GCK171" s="72"/>
      <c r="GCL171" s="72"/>
      <c r="GCM171" s="72"/>
      <c r="GCN171" s="72"/>
      <c r="GCO171" s="72"/>
      <c r="GCP171" s="72"/>
      <c r="GCQ171" s="72"/>
      <c r="GCR171" s="72"/>
      <c r="GCS171" s="72"/>
      <c r="GCT171" s="72"/>
      <c r="GCU171" s="72"/>
      <c r="GCV171" s="72"/>
      <c r="GCW171" s="72"/>
      <c r="GCX171" s="72"/>
      <c r="GCY171" s="72"/>
      <c r="GCZ171" s="72"/>
      <c r="GDA171" s="72"/>
      <c r="GDB171" s="72"/>
      <c r="GDC171" s="72"/>
      <c r="GDD171" s="72"/>
      <c r="GDE171" s="72"/>
      <c r="GDF171" s="72"/>
      <c r="GDG171" s="72"/>
      <c r="GDH171" s="72"/>
      <c r="GDI171" s="72"/>
      <c r="GDJ171" s="72"/>
      <c r="GDK171" s="72"/>
      <c r="GDL171" s="72"/>
      <c r="GDM171" s="72"/>
      <c r="GDN171" s="72"/>
      <c r="GDO171" s="72"/>
      <c r="GDP171" s="72"/>
      <c r="GDQ171" s="72"/>
      <c r="GDR171" s="72"/>
      <c r="GDS171" s="72"/>
      <c r="GDT171" s="72"/>
      <c r="GDU171" s="72"/>
      <c r="GDV171" s="72"/>
      <c r="GDW171" s="72"/>
      <c r="GDX171" s="72"/>
      <c r="GDY171" s="72"/>
      <c r="GDZ171" s="72"/>
      <c r="GEA171" s="72"/>
      <c r="GEB171" s="72"/>
      <c r="GEC171" s="72"/>
      <c r="GED171" s="72"/>
      <c r="GEE171" s="72"/>
      <c r="GEF171" s="72"/>
      <c r="GEG171" s="72"/>
      <c r="GEH171" s="72"/>
      <c r="GEI171" s="72"/>
      <c r="GEJ171" s="72"/>
      <c r="GEK171" s="72"/>
      <c r="GEL171" s="72"/>
      <c r="GEM171" s="72"/>
      <c r="GEN171" s="72"/>
      <c r="GEO171" s="72"/>
      <c r="GEP171" s="72"/>
      <c r="GEQ171" s="72"/>
      <c r="GER171" s="72"/>
      <c r="GES171" s="72"/>
      <c r="GET171" s="72"/>
      <c r="GEU171" s="72"/>
      <c r="GEV171" s="72"/>
      <c r="GEW171" s="72"/>
      <c r="GEX171" s="72"/>
      <c r="GEY171" s="72"/>
      <c r="GEZ171" s="72"/>
      <c r="GFA171" s="72"/>
      <c r="GFB171" s="72"/>
      <c r="GFC171" s="72"/>
      <c r="GFD171" s="72"/>
      <c r="GFE171" s="72"/>
      <c r="GFF171" s="72"/>
      <c r="GFG171" s="72"/>
      <c r="GFH171" s="72"/>
      <c r="GFI171" s="72"/>
      <c r="GFJ171" s="72"/>
      <c r="GFK171" s="72"/>
      <c r="GFL171" s="72"/>
      <c r="GFM171" s="72"/>
      <c r="GFN171" s="72"/>
      <c r="GFO171" s="72"/>
      <c r="GFP171" s="72"/>
      <c r="GFQ171" s="72"/>
      <c r="GFR171" s="72"/>
      <c r="GFS171" s="72"/>
      <c r="GFT171" s="72"/>
      <c r="GFU171" s="72"/>
      <c r="GFV171" s="72"/>
      <c r="GFW171" s="72"/>
      <c r="GFX171" s="72"/>
      <c r="GFY171" s="72"/>
      <c r="GFZ171" s="72"/>
      <c r="GGA171" s="72"/>
      <c r="GGB171" s="72"/>
      <c r="GGC171" s="72"/>
      <c r="GGD171" s="72"/>
      <c r="GGE171" s="72"/>
      <c r="GGF171" s="72"/>
      <c r="GGG171" s="72"/>
      <c r="GGH171" s="72"/>
      <c r="GGI171" s="72"/>
      <c r="GGJ171" s="72"/>
      <c r="GGK171" s="72"/>
      <c r="GGL171" s="72"/>
      <c r="GGM171" s="72"/>
      <c r="GGN171" s="72"/>
      <c r="GGO171" s="72"/>
      <c r="GGP171" s="72"/>
      <c r="GGQ171" s="72"/>
      <c r="GGR171" s="72"/>
      <c r="GGS171" s="72"/>
      <c r="GGT171" s="72"/>
      <c r="GGU171" s="72"/>
      <c r="GGV171" s="72"/>
      <c r="GGW171" s="72"/>
      <c r="GGX171" s="72"/>
      <c r="GGY171" s="72"/>
      <c r="GGZ171" s="72"/>
      <c r="GHA171" s="72"/>
      <c r="GHB171" s="72"/>
      <c r="GHC171" s="72"/>
      <c r="GHD171" s="72"/>
      <c r="GHE171" s="72"/>
      <c r="GHF171" s="72"/>
      <c r="GHG171" s="72"/>
      <c r="GHH171" s="72"/>
      <c r="GHI171" s="72"/>
      <c r="GHJ171" s="72"/>
      <c r="GHK171" s="72"/>
      <c r="GHL171" s="72"/>
      <c r="GHM171" s="72"/>
      <c r="GHN171" s="72"/>
      <c r="GHO171" s="72"/>
      <c r="GHP171" s="72"/>
      <c r="GHQ171" s="72"/>
      <c r="GHR171" s="72"/>
      <c r="GHS171" s="72"/>
      <c r="GHT171" s="72"/>
      <c r="GHU171" s="72"/>
      <c r="GHV171" s="72"/>
      <c r="GHW171" s="72"/>
      <c r="GHX171" s="72"/>
      <c r="GHY171" s="72"/>
      <c r="GHZ171" s="72"/>
      <c r="GIA171" s="72"/>
      <c r="GIB171" s="72"/>
      <c r="GIC171" s="72"/>
      <c r="GID171" s="72"/>
      <c r="GIE171" s="72"/>
      <c r="GIF171" s="72"/>
      <c r="GIG171" s="72"/>
      <c r="GIH171" s="72"/>
      <c r="GII171" s="72"/>
      <c r="GIJ171" s="72"/>
      <c r="GIK171" s="72"/>
      <c r="GIL171" s="72"/>
      <c r="GIM171" s="72"/>
      <c r="GIN171" s="72"/>
      <c r="GIO171" s="72"/>
      <c r="GIP171" s="72"/>
      <c r="GIQ171" s="72"/>
      <c r="GIR171" s="72"/>
      <c r="GIS171" s="72"/>
      <c r="GIT171" s="72"/>
      <c r="GIU171" s="72"/>
      <c r="GIV171" s="72"/>
      <c r="GIW171" s="72"/>
      <c r="GIX171" s="72"/>
      <c r="GIY171" s="72"/>
      <c r="GIZ171" s="72"/>
      <c r="GJA171" s="72"/>
      <c r="GJB171" s="72"/>
      <c r="GJC171" s="72"/>
      <c r="GJD171" s="72"/>
      <c r="GJE171" s="72"/>
      <c r="GJF171" s="72"/>
      <c r="GJG171" s="72"/>
      <c r="GJH171" s="72"/>
      <c r="GJI171" s="72"/>
      <c r="GJJ171" s="72"/>
      <c r="GJK171" s="72"/>
      <c r="GJL171" s="72"/>
      <c r="GJM171" s="72"/>
      <c r="GJN171" s="72"/>
      <c r="GJO171" s="72"/>
      <c r="GJP171" s="72"/>
      <c r="GJQ171" s="72"/>
      <c r="GJR171" s="72"/>
      <c r="GJS171" s="72"/>
      <c r="GJT171" s="72"/>
      <c r="GJU171" s="72"/>
      <c r="GJV171" s="72"/>
      <c r="GJW171" s="72"/>
      <c r="GJX171" s="72"/>
      <c r="GJY171" s="72"/>
      <c r="GJZ171" s="72"/>
      <c r="GKA171" s="72"/>
      <c r="GKB171" s="72"/>
      <c r="GKC171" s="72"/>
      <c r="GKD171" s="72"/>
      <c r="GKE171" s="72"/>
      <c r="GKF171" s="72"/>
      <c r="GKG171" s="72"/>
      <c r="GKH171" s="72"/>
      <c r="GKI171" s="72"/>
      <c r="GKJ171" s="72"/>
      <c r="GKK171" s="72"/>
      <c r="GKL171" s="72"/>
      <c r="GKM171" s="72"/>
      <c r="GKN171" s="72"/>
      <c r="GKO171" s="72"/>
      <c r="GKP171" s="72"/>
      <c r="GKQ171" s="72"/>
      <c r="GKR171" s="72"/>
      <c r="GKS171" s="72"/>
      <c r="GKT171" s="72"/>
      <c r="GKU171" s="72"/>
      <c r="GKV171" s="72"/>
      <c r="GKW171" s="72"/>
      <c r="GKX171" s="72"/>
      <c r="GKY171" s="72"/>
      <c r="GKZ171" s="72"/>
      <c r="GLA171" s="72"/>
      <c r="GLB171" s="72"/>
      <c r="GLC171" s="72"/>
      <c r="GLD171" s="72"/>
      <c r="GLE171" s="72"/>
      <c r="GLF171" s="72"/>
      <c r="GLG171" s="72"/>
      <c r="GLH171" s="72"/>
      <c r="GLI171" s="72"/>
      <c r="GLJ171" s="72"/>
      <c r="GLK171" s="72"/>
      <c r="GLL171" s="72"/>
      <c r="GLM171" s="72"/>
      <c r="GLN171" s="72"/>
      <c r="GLO171" s="72"/>
      <c r="GLP171" s="72"/>
      <c r="GLQ171" s="72"/>
      <c r="GLR171" s="72"/>
      <c r="GLS171" s="72"/>
      <c r="GLT171" s="72"/>
      <c r="GLU171" s="72"/>
      <c r="GLV171" s="72"/>
      <c r="GLW171" s="72"/>
      <c r="GLX171" s="72"/>
      <c r="GLY171" s="72"/>
      <c r="GLZ171" s="72"/>
      <c r="GMA171" s="72"/>
      <c r="GMB171" s="72"/>
      <c r="GMC171" s="72"/>
      <c r="GMD171" s="72"/>
      <c r="GME171" s="72"/>
      <c r="GMF171" s="72"/>
      <c r="GMG171" s="72"/>
      <c r="GMH171" s="72"/>
      <c r="GMI171" s="72"/>
      <c r="GMJ171" s="72"/>
      <c r="GMK171" s="72"/>
      <c r="GML171" s="72"/>
      <c r="GMM171" s="72"/>
      <c r="GMN171" s="72"/>
      <c r="GMO171" s="72"/>
      <c r="GMP171" s="72"/>
      <c r="GMQ171" s="72"/>
      <c r="GMR171" s="72"/>
      <c r="GMS171" s="72"/>
      <c r="GMT171" s="72"/>
      <c r="GMU171" s="72"/>
      <c r="GMV171" s="72"/>
      <c r="GMW171" s="72"/>
      <c r="GMX171" s="72"/>
      <c r="GMY171" s="72"/>
      <c r="GMZ171" s="72"/>
      <c r="GNA171" s="72"/>
      <c r="GNB171" s="72"/>
      <c r="GNC171" s="72"/>
      <c r="GND171" s="72"/>
      <c r="GNE171" s="72"/>
      <c r="GNF171" s="72"/>
      <c r="GNG171" s="72"/>
      <c r="GNH171" s="72"/>
      <c r="GNI171" s="72"/>
      <c r="GNJ171" s="72"/>
      <c r="GNK171" s="72"/>
      <c r="GNL171" s="72"/>
      <c r="GNM171" s="72"/>
      <c r="GNN171" s="72"/>
      <c r="GNO171" s="72"/>
      <c r="GNP171" s="72"/>
      <c r="GNQ171" s="72"/>
      <c r="GNR171" s="72"/>
      <c r="GNS171" s="72"/>
      <c r="GNT171" s="72"/>
      <c r="GNU171" s="72"/>
      <c r="GNV171" s="72"/>
      <c r="GNW171" s="72"/>
      <c r="GNX171" s="72"/>
      <c r="GNY171" s="72"/>
      <c r="GNZ171" s="72"/>
      <c r="GOA171" s="72"/>
      <c r="GOB171" s="72"/>
      <c r="GOC171" s="72"/>
      <c r="GOD171" s="72"/>
      <c r="GOE171" s="72"/>
      <c r="GOF171" s="72"/>
      <c r="GOG171" s="72"/>
      <c r="GOH171" s="72"/>
      <c r="GOI171" s="72"/>
      <c r="GOJ171" s="72"/>
      <c r="GOK171" s="72"/>
      <c r="GOL171" s="72"/>
      <c r="GOM171" s="72"/>
      <c r="GON171" s="72"/>
      <c r="GOO171" s="72"/>
      <c r="GOP171" s="72"/>
      <c r="GOQ171" s="72"/>
      <c r="GOR171" s="72"/>
      <c r="GOS171" s="72"/>
      <c r="GOT171" s="72"/>
      <c r="GOU171" s="72"/>
      <c r="GOV171" s="72"/>
      <c r="GOW171" s="72"/>
      <c r="GOX171" s="72"/>
      <c r="GOY171" s="72"/>
      <c r="GOZ171" s="72"/>
      <c r="GPA171" s="72"/>
      <c r="GPB171" s="72"/>
      <c r="GPC171" s="72"/>
      <c r="GPD171" s="72"/>
      <c r="GPE171" s="72"/>
      <c r="GPF171" s="72"/>
      <c r="GPG171" s="72"/>
      <c r="GPH171" s="72"/>
      <c r="GPI171" s="72"/>
      <c r="GPJ171" s="72"/>
      <c r="GPK171" s="72"/>
      <c r="GPL171" s="72"/>
      <c r="GPM171" s="72"/>
      <c r="GPN171" s="72"/>
      <c r="GPO171" s="72"/>
      <c r="GPP171" s="72"/>
      <c r="GPQ171" s="72"/>
      <c r="GPR171" s="72"/>
      <c r="GPS171" s="72"/>
      <c r="GPT171" s="72"/>
      <c r="GPU171" s="72"/>
      <c r="GPV171" s="72"/>
      <c r="GPW171" s="72"/>
      <c r="GPX171" s="72"/>
      <c r="GPY171" s="72"/>
      <c r="GPZ171" s="72"/>
      <c r="GQA171" s="72"/>
      <c r="GQB171" s="72"/>
      <c r="GQC171" s="72"/>
      <c r="GQD171" s="72"/>
      <c r="GQE171" s="72"/>
      <c r="GQF171" s="72"/>
      <c r="GQG171" s="72"/>
      <c r="GQH171" s="72"/>
      <c r="GQI171" s="72"/>
      <c r="GQJ171" s="72"/>
      <c r="GQK171" s="72"/>
      <c r="GQL171" s="72"/>
      <c r="GQM171" s="72"/>
      <c r="GQN171" s="72"/>
      <c r="GQO171" s="72"/>
      <c r="GQP171" s="72"/>
      <c r="GQQ171" s="72"/>
      <c r="GQR171" s="72"/>
      <c r="GQS171" s="72"/>
      <c r="GQT171" s="72"/>
      <c r="GQU171" s="72"/>
      <c r="GQV171" s="72"/>
      <c r="GQW171" s="72"/>
      <c r="GQX171" s="72"/>
      <c r="GQY171" s="72"/>
      <c r="GQZ171" s="72"/>
      <c r="GRA171" s="72"/>
      <c r="GRB171" s="72"/>
      <c r="GRC171" s="72"/>
      <c r="GRD171" s="72"/>
      <c r="GRE171" s="72"/>
      <c r="GRF171" s="72"/>
      <c r="GRG171" s="72"/>
      <c r="GRH171" s="72"/>
      <c r="GRI171" s="72"/>
      <c r="GRJ171" s="72"/>
      <c r="GRK171" s="72"/>
      <c r="GRL171" s="72"/>
      <c r="GRM171" s="72"/>
      <c r="GRN171" s="72"/>
      <c r="GRO171" s="72"/>
      <c r="GRP171" s="72"/>
      <c r="GRQ171" s="72"/>
      <c r="GRR171" s="72"/>
      <c r="GRS171" s="72"/>
      <c r="GRT171" s="72"/>
      <c r="GRU171" s="72"/>
      <c r="GRV171" s="72"/>
      <c r="GRW171" s="72"/>
      <c r="GRX171" s="72"/>
      <c r="GRY171" s="72"/>
      <c r="GRZ171" s="72"/>
      <c r="GSA171" s="72"/>
      <c r="GSB171" s="72"/>
      <c r="GSC171" s="72"/>
      <c r="GSD171" s="72"/>
      <c r="GSE171" s="72"/>
      <c r="GSF171" s="72"/>
      <c r="GSG171" s="72"/>
      <c r="GSH171" s="72"/>
      <c r="GSI171" s="72"/>
      <c r="GSJ171" s="72"/>
      <c r="GSK171" s="72"/>
      <c r="GSL171" s="72"/>
      <c r="GSM171" s="72"/>
      <c r="GSN171" s="72"/>
      <c r="GSO171" s="72"/>
      <c r="GSP171" s="72"/>
      <c r="GSQ171" s="72"/>
      <c r="GSR171" s="72"/>
      <c r="GSS171" s="72"/>
      <c r="GST171" s="72"/>
      <c r="GSU171" s="72"/>
      <c r="GSV171" s="72"/>
      <c r="GSW171" s="72"/>
      <c r="GSX171" s="72"/>
      <c r="GSY171" s="72"/>
      <c r="GSZ171" s="72"/>
      <c r="GTA171" s="72"/>
      <c r="GTB171" s="72"/>
      <c r="GTC171" s="72"/>
      <c r="GTD171" s="72"/>
      <c r="GTE171" s="72"/>
      <c r="GTF171" s="72"/>
      <c r="GTG171" s="72"/>
      <c r="GTH171" s="72"/>
      <c r="GTI171" s="72"/>
      <c r="GTJ171" s="72"/>
      <c r="GTK171" s="72"/>
      <c r="GTL171" s="72"/>
      <c r="GTM171" s="72"/>
      <c r="GTN171" s="72"/>
      <c r="GTO171" s="72"/>
      <c r="GTP171" s="72"/>
      <c r="GTQ171" s="72"/>
      <c r="GTR171" s="72"/>
      <c r="GTS171" s="72"/>
      <c r="GTT171" s="72"/>
      <c r="GTU171" s="72"/>
      <c r="GTV171" s="72"/>
      <c r="GTW171" s="72"/>
      <c r="GTX171" s="72"/>
      <c r="GTY171" s="72"/>
      <c r="GTZ171" s="72"/>
      <c r="GUA171" s="72"/>
      <c r="GUB171" s="72"/>
      <c r="GUC171" s="72"/>
      <c r="GUD171" s="72"/>
      <c r="GUE171" s="72"/>
      <c r="GUF171" s="72"/>
      <c r="GUG171" s="72"/>
      <c r="GUH171" s="72"/>
      <c r="GUI171" s="72"/>
      <c r="GUJ171" s="72"/>
      <c r="GUK171" s="72"/>
      <c r="GUL171" s="72"/>
      <c r="GUM171" s="72"/>
      <c r="GUN171" s="72"/>
      <c r="GUO171" s="72"/>
      <c r="GUP171" s="72"/>
      <c r="GUQ171" s="72"/>
      <c r="GUR171" s="72"/>
      <c r="GUS171" s="72"/>
      <c r="GUT171" s="72"/>
      <c r="GUU171" s="72"/>
      <c r="GUV171" s="72"/>
      <c r="GUW171" s="72"/>
      <c r="GUX171" s="72"/>
      <c r="GUY171" s="72"/>
      <c r="GUZ171" s="72"/>
      <c r="GVA171" s="72"/>
      <c r="GVB171" s="72"/>
      <c r="GVC171" s="72"/>
      <c r="GVD171" s="72"/>
      <c r="GVE171" s="72"/>
      <c r="GVF171" s="72"/>
      <c r="GVG171" s="72"/>
      <c r="GVH171" s="72"/>
      <c r="GVI171" s="72"/>
      <c r="GVJ171" s="72"/>
      <c r="GVK171" s="72"/>
      <c r="GVL171" s="72"/>
      <c r="GVM171" s="72"/>
      <c r="GVN171" s="72"/>
      <c r="GVO171" s="72"/>
      <c r="GVP171" s="72"/>
      <c r="GVQ171" s="72"/>
      <c r="GVR171" s="72"/>
      <c r="GVS171" s="72"/>
      <c r="GVT171" s="72"/>
      <c r="GVU171" s="72"/>
      <c r="GVV171" s="72"/>
      <c r="GVW171" s="72"/>
      <c r="GVX171" s="72"/>
      <c r="GVY171" s="72"/>
      <c r="GVZ171" s="72"/>
      <c r="GWA171" s="72"/>
      <c r="GWB171" s="72"/>
      <c r="GWC171" s="72"/>
      <c r="GWD171" s="72"/>
      <c r="GWE171" s="72"/>
      <c r="GWF171" s="72"/>
      <c r="GWG171" s="72"/>
      <c r="GWH171" s="72"/>
      <c r="GWI171" s="72"/>
      <c r="GWJ171" s="72"/>
      <c r="GWK171" s="72"/>
      <c r="GWL171" s="72"/>
      <c r="GWM171" s="72"/>
      <c r="GWN171" s="72"/>
      <c r="GWO171" s="72"/>
      <c r="GWP171" s="72"/>
      <c r="GWQ171" s="72"/>
      <c r="GWR171" s="72"/>
      <c r="GWS171" s="72"/>
      <c r="GWT171" s="72"/>
      <c r="GWU171" s="72"/>
      <c r="GWV171" s="72"/>
      <c r="GWW171" s="72"/>
      <c r="GWX171" s="72"/>
      <c r="GWY171" s="72"/>
      <c r="GWZ171" s="72"/>
      <c r="GXA171" s="72"/>
      <c r="GXB171" s="72"/>
      <c r="GXC171" s="72"/>
      <c r="GXD171" s="72"/>
      <c r="GXE171" s="72"/>
      <c r="GXF171" s="72"/>
      <c r="GXG171" s="72"/>
      <c r="GXH171" s="72"/>
      <c r="GXI171" s="72"/>
      <c r="GXJ171" s="72"/>
      <c r="GXK171" s="72"/>
      <c r="GXL171" s="72"/>
      <c r="GXM171" s="72"/>
      <c r="GXN171" s="72"/>
      <c r="GXO171" s="72"/>
      <c r="GXP171" s="72"/>
      <c r="GXQ171" s="72"/>
      <c r="GXR171" s="72"/>
      <c r="GXS171" s="72"/>
      <c r="GXT171" s="72"/>
      <c r="GXU171" s="72"/>
      <c r="GXV171" s="72"/>
      <c r="GXW171" s="72"/>
      <c r="GXX171" s="72"/>
      <c r="GXY171" s="72"/>
      <c r="GXZ171" s="72"/>
      <c r="GYA171" s="72"/>
      <c r="GYB171" s="72"/>
      <c r="GYC171" s="72"/>
      <c r="GYD171" s="72"/>
      <c r="GYE171" s="72"/>
      <c r="GYF171" s="72"/>
      <c r="GYG171" s="72"/>
      <c r="GYH171" s="72"/>
      <c r="GYI171" s="72"/>
      <c r="GYJ171" s="72"/>
      <c r="GYK171" s="72"/>
      <c r="GYL171" s="72"/>
      <c r="GYM171" s="72"/>
      <c r="GYN171" s="72"/>
      <c r="GYO171" s="72"/>
      <c r="GYP171" s="72"/>
      <c r="GYQ171" s="72"/>
      <c r="GYR171" s="72"/>
      <c r="GYS171" s="72"/>
      <c r="GYT171" s="72"/>
      <c r="GYU171" s="72"/>
      <c r="GYV171" s="72"/>
      <c r="GYW171" s="72"/>
      <c r="GYX171" s="72"/>
      <c r="GYY171" s="72"/>
      <c r="GYZ171" s="72"/>
      <c r="GZA171" s="72"/>
      <c r="GZB171" s="72"/>
      <c r="GZC171" s="72"/>
      <c r="GZD171" s="72"/>
      <c r="GZE171" s="72"/>
      <c r="GZF171" s="72"/>
      <c r="GZG171" s="72"/>
      <c r="GZH171" s="72"/>
      <c r="GZI171" s="72"/>
      <c r="GZJ171" s="72"/>
      <c r="GZK171" s="72"/>
      <c r="GZL171" s="72"/>
      <c r="GZM171" s="72"/>
      <c r="GZN171" s="72"/>
      <c r="GZO171" s="72"/>
      <c r="GZP171" s="72"/>
      <c r="GZQ171" s="72"/>
      <c r="GZR171" s="72"/>
      <c r="GZS171" s="72"/>
      <c r="GZT171" s="72"/>
      <c r="GZU171" s="72"/>
      <c r="GZV171" s="72"/>
      <c r="GZW171" s="72"/>
      <c r="GZX171" s="72"/>
      <c r="GZY171" s="72"/>
      <c r="GZZ171" s="72"/>
      <c r="HAA171" s="72"/>
      <c r="HAB171" s="72"/>
      <c r="HAC171" s="72"/>
      <c r="HAD171" s="72"/>
      <c r="HAE171" s="72"/>
      <c r="HAF171" s="72"/>
      <c r="HAG171" s="72"/>
      <c r="HAH171" s="72"/>
      <c r="HAI171" s="72"/>
      <c r="HAJ171" s="72"/>
      <c r="HAK171" s="72"/>
      <c r="HAL171" s="72"/>
      <c r="HAM171" s="72"/>
      <c r="HAN171" s="72"/>
      <c r="HAO171" s="72"/>
      <c r="HAP171" s="72"/>
      <c r="HAQ171" s="72"/>
      <c r="HAR171" s="72"/>
      <c r="HAS171" s="72"/>
      <c r="HAT171" s="72"/>
      <c r="HAU171" s="72"/>
      <c r="HAV171" s="72"/>
      <c r="HAW171" s="72"/>
      <c r="HAX171" s="72"/>
      <c r="HAY171" s="72"/>
      <c r="HAZ171" s="72"/>
      <c r="HBA171" s="72"/>
      <c r="HBB171" s="72"/>
      <c r="HBC171" s="72"/>
      <c r="HBD171" s="72"/>
      <c r="HBE171" s="72"/>
      <c r="HBF171" s="72"/>
      <c r="HBG171" s="72"/>
      <c r="HBH171" s="72"/>
      <c r="HBI171" s="72"/>
      <c r="HBJ171" s="72"/>
      <c r="HBK171" s="72"/>
      <c r="HBL171" s="72"/>
      <c r="HBM171" s="72"/>
      <c r="HBN171" s="72"/>
      <c r="HBO171" s="72"/>
      <c r="HBP171" s="72"/>
      <c r="HBQ171" s="72"/>
      <c r="HBR171" s="72"/>
      <c r="HBS171" s="72"/>
      <c r="HBT171" s="72"/>
      <c r="HBU171" s="72"/>
      <c r="HBV171" s="72"/>
      <c r="HBW171" s="72"/>
      <c r="HBX171" s="72"/>
      <c r="HBY171" s="72"/>
      <c r="HBZ171" s="72"/>
      <c r="HCA171" s="72"/>
      <c r="HCB171" s="72"/>
      <c r="HCC171" s="72"/>
      <c r="HCD171" s="72"/>
      <c r="HCE171" s="72"/>
      <c r="HCF171" s="72"/>
      <c r="HCG171" s="72"/>
      <c r="HCH171" s="72"/>
      <c r="HCI171" s="72"/>
      <c r="HCJ171" s="72"/>
      <c r="HCK171" s="72"/>
      <c r="HCL171" s="72"/>
      <c r="HCM171" s="72"/>
      <c r="HCN171" s="72"/>
      <c r="HCO171" s="72"/>
      <c r="HCP171" s="72"/>
      <c r="HCQ171" s="72"/>
      <c r="HCR171" s="72"/>
      <c r="HCS171" s="72"/>
      <c r="HCT171" s="72"/>
      <c r="HCU171" s="72"/>
      <c r="HCV171" s="72"/>
      <c r="HCW171" s="72"/>
      <c r="HCX171" s="72"/>
      <c r="HCY171" s="72"/>
      <c r="HCZ171" s="72"/>
      <c r="HDA171" s="72"/>
      <c r="HDB171" s="72"/>
      <c r="HDC171" s="72"/>
      <c r="HDD171" s="72"/>
      <c r="HDE171" s="72"/>
      <c r="HDF171" s="72"/>
      <c r="HDG171" s="72"/>
      <c r="HDH171" s="72"/>
      <c r="HDI171" s="72"/>
      <c r="HDJ171" s="72"/>
      <c r="HDK171" s="72"/>
      <c r="HDL171" s="72"/>
      <c r="HDM171" s="72"/>
      <c r="HDN171" s="72"/>
      <c r="HDO171" s="72"/>
      <c r="HDP171" s="72"/>
      <c r="HDQ171" s="72"/>
      <c r="HDR171" s="72"/>
      <c r="HDS171" s="72"/>
      <c r="HDT171" s="72"/>
      <c r="HDU171" s="72"/>
      <c r="HDV171" s="72"/>
      <c r="HDW171" s="72"/>
      <c r="HDX171" s="72"/>
      <c r="HDY171" s="72"/>
      <c r="HDZ171" s="72"/>
      <c r="HEA171" s="72"/>
      <c r="HEB171" s="72"/>
      <c r="HEC171" s="72"/>
      <c r="HED171" s="72"/>
      <c r="HEE171" s="72"/>
      <c r="HEF171" s="72"/>
      <c r="HEG171" s="72"/>
      <c r="HEH171" s="72"/>
      <c r="HEI171" s="72"/>
      <c r="HEJ171" s="72"/>
      <c r="HEK171" s="72"/>
      <c r="HEL171" s="72"/>
      <c r="HEM171" s="72"/>
      <c r="HEN171" s="72"/>
      <c r="HEO171" s="72"/>
      <c r="HEP171" s="72"/>
      <c r="HEQ171" s="72"/>
      <c r="HER171" s="72"/>
      <c r="HES171" s="72"/>
      <c r="HET171" s="72"/>
      <c r="HEU171" s="72"/>
      <c r="HEV171" s="72"/>
      <c r="HEW171" s="72"/>
      <c r="HEX171" s="72"/>
      <c r="HEY171" s="72"/>
      <c r="HEZ171" s="72"/>
      <c r="HFA171" s="72"/>
      <c r="HFB171" s="72"/>
      <c r="HFC171" s="72"/>
      <c r="HFD171" s="72"/>
      <c r="HFE171" s="72"/>
      <c r="HFF171" s="72"/>
      <c r="HFG171" s="72"/>
      <c r="HFH171" s="72"/>
      <c r="HFI171" s="72"/>
      <c r="HFJ171" s="72"/>
      <c r="HFK171" s="72"/>
      <c r="HFL171" s="72"/>
      <c r="HFM171" s="72"/>
      <c r="HFN171" s="72"/>
      <c r="HFO171" s="72"/>
      <c r="HFP171" s="72"/>
      <c r="HFQ171" s="72"/>
      <c r="HFR171" s="72"/>
      <c r="HFS171" s="72"/>
      <c r="HFT171" s="72"/>
      <c r="HFU171" s="72"/>
      <c r="HFV171" s="72"/>
      <c r="HFW171" s="72"/>
      <c r="HFX171" s="72"/>
      <c r="HFY171" s="72"/>
      <c r="HFZ171" s="72"/>
      <c r="HGA171" s="72"/>
      <c r="HGB171" s="72"/>
      <c r="HGC171" s="72"/>
      <c r="HGD171" s="72"/>
      <c r="HGE171" s="72"/>
      <c r="HGF171" s="72"/>
      <c r="HGG171" s="72"/>
      <c r="HGH171" s="72"/>
      <c r="HGI171" s="72"/>
      <c r="HGJ171" s="72"/>
      <c r="HGK171" s="72"/>
      <c r="HGL171" s="72"/>
      <c r="HGM171" s="72"/>
      <c r="HGN171" s="72"/>
      <c r="HGO171" s="72"/>
      <c r="HGP171" s="72"/>
      <c r="HGQ171" s="72"/>
      <c r="HGR171" s="72"/>
      <c r="HGS171" s="72"/>
      <c r="HGT171" s="72"/>
      <c r="HGU171" s="72"/>
      <c r="HGV171" s="72"/>
      <c r="HGW171" s="72"/>
      <c r="HGX171" s="72"/>
      <c r="HGY171" s="72"/>
      <c r="HGZ171" s="72"/>
      <c r="HHA171" s="72"/>
      <c r="HHB171" s="72"/>
      <c r="HHC171" s="72"/>
      <c r="HHD171" s="72"/>
      <c r="HHE171" s="72"/>
      <c r="HHF171" s="72"/>
      <c r="HHG171" s="72"/>
      <c r="HHH171" s="72"/>
      <c r="HHI171" s="72"/>
      <c r="HHJ171" s="72"/>
      <c r="HHK171" s="72"/>
      <c r="HHL171" s="72"/>
      <c r="HHM171" s="72"/>
      <c r="HHN171" s="72"/>
      <c r="HHO171" s="72"/>
      <c r="HHP171" s="72"/>
      <c r="HHQ171" s="72"/>
      <c r="HHR171" s="72"/>
      <c r="HHS171" s="72"/>
      <c r="HHT171" s="72"/>
      <c r="HHU171" s="72"/>
      <c r="HHV171" s="72"/>
      <c r="HHW171" s="72"/>
      <c r="HHX171" s="72"/>
      <c r="HHY171" s="72"/>
      <c r="HHZ171" s="72"/>
      <c r="HIA171" s="72"/>
      <c r="HIB171" s="72"/>
      <c r="HIC171" s="72"/>
      <c r="HID171" s="72"/>
      <c r="HIE171" s="72"/>
      <c r="HIF171" s="72"/>
      <c r="HIG171" s="72"/>
      <c r="HIH171" s="72"/>
      <c r="HII171" s="72"/>
      <c r="HIJ171" s="72"/>
      <c r="HIK171" s="72"/>
      <c r="HIL171" s="72"/>
      <c r="HIM171" s="72"/>
      <c r="HIN171" s="72"/>
      <c r="HIO171" s="72"/>
      <c r="HIP171" s="72"/>
      <c r="HIQ171" s="72"/>
      <c r="HIR171" s="72"/>
      <c r="HIS171" s="72"/>
      <c r="HIT171" s="72"/>
      <c r="HIU171" s="72"/>
      <c r="HIV171" s="72"/>
      <c r="HIW171" s="72"/>
      <c r="HIX171" s="72"/>
      <c r="HIY171" s="72"/>
      <c r="HIZ171" s="72"/>
      <c r="HJA171" s="72"/>
      <c r="HJB171" s="72"/>
      <c r="HJC171" s="72"/>
      <c r="HJD171" s="72"/>
      <c r="HJE171" s="72"/>
      <c r="HJF171" s="72"/>
      <c r="HJG171" s="72"/>
      <c r="HJH171" s="72"/>
      <c r="HJI171" s="72"/>
      <c r="HJJ171" s="72"/>
      <c r="HJK171" s="72"/>
      <c r="HJL171" s="72"/>
      <c r="HJM171" s="72"/>
      <c r="HJN171" s="72"/>
      <c r="HJO171" s="72"/>
      <c r="HJP171" s="72"/>
      <c r="HJQ171" s="72"/>
      <c r="HJR171" s="72"/>
      <c r="HJS171" s="72"/>
      <c r="HJT171" s="72"/>
      <c r="HJU171" s="72"/>
      <c r="HJV171" s="72"/>
      <c r="HJW171" s="72"/>
      <c r="HJX171" s="72"/>
      <c r="HJY171" s="72"/>
      <c r="HJZ171" s="72"/>
      <c r="HKA171" s="72"/>
      <c r="HKB171" s="72"/>
      <c r="HKC171" s="72"/>
      <c r="HKD171" s="72"/>
      <c r="HKE171" s="72"/>
      <c r="HKF171" s="72"/>
      <c r="HKG171" s="72"/>
      <c r="HKH171" s="72"/>
      <c r="HKI171" s="72"/>
      <c r="HKJ171" s="72"/>
      <c r="HKK171" s="72"/>
      <c r="HKL171" s="72"/>
      <c r="HKM171" s="72"/>
      <c r="HKN171" s="72"/>
      <c r="HKO171" s="72"/>
      <c r="HKP171" s="72"/>
      <c r="HKQ171" s="72"/>
      <c r="HKR171" s="72"/>
      <c r="HKS171" s="72"/>
      <c r="HKT171" s="72"/>
      <c r="HKU171" s="72"/>
      <c r="HKV171" s="72"/>
      <c r="HKW171" s="72"/>
      <c r="HKX171" s="72"/>
      <c r="HKY171" s="72"/>
      <c r="HKZ171" s="72"/>
      <c r="HLA171" s="72"/>
      <c r="HLB171" s="72"/>
      <c r="HLC171" s="72"/>
      <c r="HLD171" s="72"/>
      <c r="HLE171" s="72"/>
      <c r="HLF171" s="72"/>
      <c r="HLG171" s="72"/>
      <c r="HLH171" s="72"/>
      <c r="HLI171" s="72"/>
      <c r="HLJ171" s="72"/>
      <c r="HLK171" s="72"/>
      <c r="HLL171" s="72"/>
      <c r="HLM171" s="72"/>
      <c r="HLN171" s="72"/>
      <c r="HLO171" s="72"/>
      <c r="HLP171" s="72"/>
      <c r="HLQ171" s="72"/>
      <c r="HLR171" s="72"/>
      <c r="HLS171" s="72"/>
      <c r="HLT171" s="72"/>
      <c r="HLU171" s="72"/>
      <c r="HLV171" s="72"/>
      <c r="HLW171" s="72"/>
      <c r="HLX171" s="72"/>
      <c r="HLY171" s="72"/>
      <c r="HLZ171" s="72"/>
      <c r="HMA171" s="72"/>
      <c r="HMB171" s="72"/>
      <c r="HMC171" s="72"/>
      <c r="HMD171" s="72"/>
      <c r="HME171" s="72"/>
      <c r="HMF171" s="72"/>
      <c r="HMG171" s="72"/>
      <c r="HMH171" s="72"/>
      <c r="HMI171" s="72"/>
      <c r="HMJ171" s="72"/>
      <c r="HMK171" s="72"/>
      <c r="HML171" s="72"/>
      <c r="HMM171" s="72"/>
      <c r="HMN171" s="72"/>
      <c r="HMO171" s="72"/>
      <c r="HMP171" s="72"/>
      <c r="HMQ171" s="72"/>
      <c r="HMR171" s="72"/>
      <c r="HMS171" s="72"/>
      <c r="HMT171" s="72"/>
      <c r="HMU171" s="72"/>
      <c r="HMV171" s="72"/>
      <c r="HMW171" s="72"/>
      <c r="HMX171" s="72"/>
      <c r="HMY171" s="72"/>
      <c r="HMZ171" s="72"/>
      <c r="HNA171" s="72"/>
      <c r="HNB171" s="72"/>
      <c r="HNC171" s="72"/>
      <c r="HND171" s="72"/>
      <c r="HNE171" s="72"/>
      <c r="HNF171" s="72"/>
      <c r="HNG171" s="72"/>
      <c r="HNH171" s="72"/>
      <c r="HNI171" s="72"/>
      <c r="HNJ171" s="72"/>
      <c r="HNK171" s="72"/>
      <c r="HNL171" s="72"/>
      <c r="HNM171" s="72"/>
      <c r="HNN171" s="72"/>
      <c r="HNO171" s="72"/>
      <c r="HNP171" s="72"/>
      <c r="HNQ171" s="72"/>
      <c r="HNR171" s="72"/>
      <c r="HNS171" s="72"/>
      <c r="HNT171" s="72"/>
      <c r="HNU171" s="72"/>
      <c r="HNV171" s="72"/>
      <c r="HNW171" s="72"/>
      <c r="HNX171" s="72"/>
      <c r="HNY171" s="72"/>
      <c r="HNZ171" s="72"/>
      <c r="HOA171" s="72"/>
      <c r="HOB171" s="72"/>
      <c r="HOC171" s="72"/>
      <c r="HOD171" s="72"/>
      <c r="HOE171" s="72"/>
      <c r="HOF171" s="72"/>
      <c r="HOG171" s="72"/>
      <c r="HOH171" s="72"/>
      <c r="HOI171" s="72"/>
      <c r="HOJ171" s="72"/>
      <c r="HOK171" s="72"/>
      <c r="HOL171" s="72"/>
      <c r="HOM171" s="72"/>
      <c r="HON171" s="72"/>
      <c r="HOO171" s="72"/>
      <c r="HOP171" s="72"/>
      <c r="HOQ171" s="72"/>
      <c r="HOR171" s="72"/>
      <c r="HOS171" s="72"/>
      <c r="HOT171" s="72"/>
      <c r="HOU171" s="72"/>
      <c r="HOV171" s="72"/>
      <c r="HOW171" s="72"/>
      <c r="HOX171" s="72"/>
      <c r="HOY171" s="72"/>
      <c r="HOZ171" s="72"/>
      <c r="HPA171" s="72"/>
      <c r="HPB171" s="72"/>
      <c r="HPC171" s="72"/>
      <c r="HPD171" s="72"/>
      <c r="HPE171" s="72"/>
      <c r="HPF171" s="72"/>
      <c r="HPG171" s="72"/>
      <c r="HPH171" s="72"/>
      <c r="HPI171" s="72"/>
      <c r="HPJ171" s="72"/>
      <c r="HPK171" s="72"/>
      <c r="HPL171" s="72"/>
      <c r="HPM171" s="72"/>
      <c r="HPN171" s="72"/>
      <c r="HPO171" s="72"/>
      <c r="HPP171" s="72"/>
      <c r="HPQ171" s="72"/>
      <c r="HPR171" s="72"/>
      <c r="HPS171" s="72"/>
      <c r="HPT171" s="72"/>
      <c r="HPU171" s="72"/>
      <c r="HPV171" s="72"/>
      <c r="HPW171" s="72"/>
      <c r="HPX171" s="72"/>
      <c r="HPY171" s="72"/>
      <c r="HPZ171" s="72"/>
      <c r="HQA171" s="72"/>
      <c r="HQB171" s="72"/>
      <c r="HQC171" s="72"/>
      <c r="HQD171" s="72"/>
      <c r="HQE171" s="72"/>
      <c r="HQF171" s="72"/>
      <c r="HQG171" s="72"/>
      <c r="HQH171" s="72"/>
      <c r="HQI171" s="72"/>
      <c r="HQJ171" s="72"/>
      <c r="HQK171" s="72"/>
      <c r="HQL171" s="72"/>
      <c r="HQM171" s="72"/>
      <c r="HQN171" s="72"/>
      <c r="HQO171" s="72"/>
      <c r="HQP171" s="72"/>
      <c r="HQQ171" s="72"/>
      <c r="HQR171" s="72"/>
      <c r="HQS171" s="72"/>
      <c r="HQT171" s="72"/>
      <c r="HQU171" s="72"/>
      <c r="HQV171" s="72"/>
      <c r="HQW171" s="72"/>
      <c r="HQX171" s="72"/>
      <c r="HQY171" s="72"/>
      <c r="HQZ171" s="72"/>
      <c r="HRA171" s="72"/>
      <c r="HRB171" s="72"/>
      <c r="HRC171" s="72"/>
      <c r="HRD171" s="72"/>
      <c r="HRE171" s="72"/>
      <c r="HRF171" s="72"/>
      <c r="HRG171" s="72"/>
      <c r="HRH171" s="72"/>
      <c r="HRI171" s="72"/>
      <c r="HRJ171" s="72"/>
      <c r="HRK171" s="72"/>
      <c r="HRL171" s="72"/>
      <c r="HRM171" s="72"/>
      <c r="HRN171" s="72"/>
      <c r="HRO171" s="72"/>
      <c r="HRP171" s="72"/>
      <c r="HRQ171" s="72"/>
      <c r="HRR171" s="72"/>
      <c r="HRS171" s="72"/>
      <c r="HRT171" s="72"/>
      <c r="HRU171" s="72"/>
      <c r="HRV171" s="72"/>
      <c r="HRW171" s="72"/>
      <c r="HRX171" s="72"/>
      <c r="HRY171" s="72"/>
      <c r="HRZ171" s="72"/>
      <c r="HSA171" s="72"/>
      <c r="HSB171" s="72"/>
      <c r="HSC171" s="72"/>
      <c r="HSD171" s="72"/>
      <c r="HSE171" s="72"/>
      <c r="HSF171" s="72"/>
      <c r="HSG171" s="72"/>
      <c r="HSH171" s="72"/>
      <c r="HSI171" s="72"/>
      <c r="HSJ171" s="72"/>
      <c r="HSK171" s="72"/>
      <c r="HSL171" s="72"/>
      <c r="HSM171" s="72"/>
      <c r="HSN171" s="72"/>
      <c r="HSO171" s="72"/>
      <c r="HSP171" s="72"/>
      <c r="HSQ171" s="72"/>
      <c r="HSR171" s="72"/>
      <c r="HSS171" s="72"/>
      <c r="HST171" s="72"/>
      <c r="HSU171" s="72"/>
      <c r="HSV171" s="72"/>
      <c r="HSW171" s="72"/>
      <c r="HSX171" s="72"/>
      <c r="HSY171" s="72"/>
      <c r="HSZ171" s="72"/>
      <c r="HTA171" s="72"/>
      <c r="HTB171" s="72"/>
      <c r="HTC171" s="72"/>
      <c r="HTD171" s="72"/>
      <c r="HTE171" s="72"/>
      <c r="HTF171" s="72"/>
      <c r="HTG171" s="72"/>
      <c r="HTH171" s="72"/>
      <c r="HTI171" s="72"/>
      <c r="HTJ171" s="72"/>
      <c r="HTK171" s="72"/>
      <c r="HTL171" s="72"/>
      <c r="HTM171" s="72"/>
      <c r="HTN171" s="72"/>
      <c r="HTO171" s="72"/>
      <c r="HTP171" s="72"/>
      <c r="HTQ171" s="72"/>
      <c r="HTR171" s="72"/>
      <c r="HTS171" s="72"/>
      <c r="HTT171" s="72"/>
      <c r="HTU171" s="72"/>
      <c r="HTV171" s="72"/>
      <c r="HTW171" s="72"/>
      <c r="HTX171" s="72"/>
      <c r="HTY171" s="72"/>
      <c r="HTZ171" s="72"/>
      <c r="HUA171" s="72"/>
      <c r="HUB171" s="72"/>
      <c r="HUC171" s="72"/>
      <c r="HUD171" s="72"/>
      <c r="HUE171" s="72"/>
      <c r="HUF171" s="72"/>
      <c r="HUG171" s="72"/>
      <c r="HUH171" s="72"/>
      <c r="HUI171" s="72"/>
      <c r="HUJ171" s="72"/>
      <c r="HUK171" s="72"/>
      <c r="HUL171" s="72"/>
      <c r="HUM171" s="72"/>
      <c r="HUN171" s="72"/>
      <c r="HUO171" s="72"/>
      <c r="HUP171" s="72"/>
      <c r="HUQ171" s="72"/>
      <c r="HUR171" s="72"/>
      <c r="HUS171" s="72"/>
      <c r="HUT171" s="72"/>
      <c r="HUU171" s="72"/>
      <c r="HUV171" s="72"/>
      <c r="HUW171" s="72"/>
      <c r="HUX171" s="72"/>
      <c r="HUY171" s="72"/>
      <c r="HUZ171" s="72"/>
      <c r="HVA171" s="72"/>
      <c r="HVB171" s="72"/>
      <c r="HVC171" s="72"/>
      <c r="HVD171" s="72"/>
      <c r="HVE171" s="72"/>
      <c r="HVF171" s="72"/>
      <c r="HVG171" s="72"/>
      <c r="HVH171" s="72"/>
      <c r="HVI171" s="72"/>
      <c r="HVJ171" s="72"/>
      <c r="HVK171" s="72"/>
      <c r="HVL171" s="72"/>
      <c r="HVM171" s="72"/>
      <c r="HVN171" s="72"/>
      <c r="HVO171" s="72"/>
      <c r="HVP171" s="72"/>
      <c r="HVQ171" s="72"/>
      <c r="HVR171" s="72"/>
      <c r="HVS171" s="72"/>
      <c r="HVT171" s="72"/>
      <c r="HVU171" s="72"/>
      <c r="HVV171" s="72"/>
      <c r="HVW171" s="72"/>
      <c r="HVX171" s="72"/>
      <c r="HVY171" s="72"/>
      <c r="HVZ171" s="72"/>
      <c r="HWA171" s="72"/>
      <c r="HWB171" s="72"/>
      <c r="HWC171" s="72"/>
      <c r="HWD171" s="72"/>
      <c r="HWE171" s="72"/>
      <c r="HWF171" s="72"/>
      <c r="HWG171" s="72"/>
      <c r="HWH171" s="72"/>
      <c r="HWI171" s="72"/>
      <c r="HWJ171" s="72"/>
      <c r="HWK171" s="72"/>
      <c r="HWL171" s="72"/>
      <c r="HWM171" s="72"/>
      <c r="HWN171" s="72"/>
      <c r="HWO171" s="72"/>
      <c r="HWP171" s="72"/>
      <c r="HWQ171" s="72"/>
      <c r="HWR171" s="72"/>
      <c r="HWS171" s="72"/>
      <c r="HWT171" s="72"/>
      <c r="HWU171" s="72"/>
      <c r="HWV171" s="72"/>
      <c r="HWW171" s="72"/>
      <c r="HWX171" s="72"/>
      <c r="HWY171" s="72"/>
      <c r="HWZ171" s="72"/>
      <c r="HXA171" s="72"/>
      <c r="HXB171" s="72"/>
      <c r="HXC171" s="72"/>
      <c r="HXD171" s="72"/>
      <c r="HXE171" s="72"/>
      <c r="HXF171" s="72"/>
      <c r="HXG171" s="72"/>
      <c r="HXH171" s="72"/>
      <c r="HXI171" s="72"/>
      <c r="HXJ171" s="72"/>
      <c r="HXK171" s="72"/>
      <c r="HXL171" s="72"/>
      <c r="HXM171" s="72"/>
      <c r="HXN171" s="72"/>
      <c r="HXO171" s="72"/>
      <c r="HXP171" s="72"/>
      <c r="HXQ171" s="72"/>
      <c r="HXR171" s="72"/>
      <c r="HXS171" s="72"/>
      <c r="HXT171" s="72"/>
      <c r="HXU171" s="72"/>
      <c r="HXV171" s="72"/>
      <c r="HXW171" s="72"/>
      <c r="HXX171" s="72"/>
      <c r="HXY171" s="72"/>
      <c r="HXZ171" s="72"/>
      <c r="HYA171" s="72"/>
      <c r="HYB171" s="72"/>
      <c r="HYC171" s="72"/>
      <c r="HYD171" s="72"/>
      <c r="HYE171" s="72"/>
      <c r="HYF171" s="72"/>
      <c r="HYG171" s="72"/>
      <c r="HYH171" s="72"/>
      <c r="HYI171" s="72"/>
      <c r="HYJ171" s="72"/>
      <c r="HYK171" s="72"/>
      <c r="HYL171" s="72"/>
      <c r="HYM171" s="72"/>
      <c r="HYN171" s="72"/>
      <c r="HYO171" s="72"/>
      <c r="HYP171" s="72"/>
      <c r="HYQ171" s="72"/>
      <c r="HYR171" s="72"/>
      <c r="HYS171" s="72"/>
      <c r="HYT171" s="72"/>
      <c r="HYU171" s="72"/>
      <c r="HYV171" s="72"/>
      <c r="HYW171" s="72"/>
      <c r="HYX171" s="72"/>
      <c r="HYY171" s="72"/>
      <c r="HYZ171" s="72"/>
      <c r="HZA171" s="72"/>
      <c r="HZB171" s="72"/>
      <c r="HZC171" s="72"/>
      <c r="HZD171" s="72"/>
      <c r="HZE171" s="72"/>
      <c r="HZF171" s="72"/>
      <c r="HZG171" s="72"/>
      <c r="HZH171" s="72"/>
      <c r="HZI171" s="72"/>
      <c r="HZJ171" s="72"/>
      <c r="HZK171" s="72"/>
      <c r="HZL171" s="72"/>
      <c r="HZM171" s="72"/>
      <c r="HZN171" s="72"/>
      <c r="HZO171" s="72"/>
      <c r="HZP171" s="72"/>
      <c r="HZQ171" s="72"/>
      <c r="HZR171" s="72"/>
      <c r="HZS171" s="72"/>
      <c r="HZT171" s="72"/>
      <c r="HZU171" s="72"/>
      <c r="HZV171" s="72"/>
      <c r="HZW171" s="72"/>
      <c r="HZX171" s="72"/>
      <c r="HZY171" s="72"/>
      <c r="HZZ171" s="72"/>
      <c r="IAA171" s="72"/>
      <c r="IAB171" s="72"/>
      <c r="IAC171" s="72"/>
      <c r="IAD171" s="72"/>
      <c r="IAE171" s="72"/>
      <c r="IAF171" s="72"/>
      <c r="IAG171" s="72"/>
      <c r="IAH171" s="72"/>
      <c r="IAI171" s="72"/>
      <c r="IAJ171" s="72"/>
      <c r="IAK171" s="72"/>
      <c r="IAL171" s="72"/>
      <c r="IAM171" s="72"/>
      <c r="IAN171" s="72"/>
      <c r="IAO171" s="72"/>
      <c r="IAP171" s="72"/>
      <c r="IAQ171" s="72"/>
      <c r="IAR171" s="72"/>
      <c r="IAS171" s="72"/>
      <c r="IAT171" s="72"/>
      <c r="IAU171" s="72"/>
      <c r="IAV171" s="72"/>
      <c r="IAW171" s="72"/>
      <c r="IAX171" s="72"/>
      <c r="IAY171" s="72"/>
      <c r="IAZ171" s="72"/>
      <c r="IBA171" s="72"/>
      <c r="IBB171" s="72"/>
      <c r="IBC171" s="72"/>
      <c r="IBD171" s="72"/>
      <c r="IBE171" s="72"/>
      <c r="IBF171" s="72"/>
      <c r="IBG171" s="72"/>
      <c r="IBH171" s="72"/>
      <c r="IBI171" s="72"/>
      <c r="IBJ171" s="72"/>
      <c r="IBK171" s="72"/>
      <c r="IBL171" s="72"/>
      <c r="IBM171" s="72"/>
      <c r="IBN171" s="72"/>
      <c r="IBO171" s="72"/>
      <c r="IBP171" s="72"/>
      <c r="IBQ171" s="72"/>
      <c r="IBR171" s="72"/>
      <c r="IBS171" s="72"/>
      <c r="IBT171" s="72"/>
      <c r="IBU171" s="72"/>
      <c r="IBV171" s="72"/>
      <c r="IBW171" s="72"/>
      <c r="IBX171" s="72"/>
      <c r="IBY171" s="72"/>
      <c r="IBZ171" s="72"/>
      <c r="ICA171" s="72"/>
      <c r="ICB171" s="72"/>
      <c r="ICC171" s="72"/>
      <c r="ICD171" s="72"/>
      <c r="ICE171" s="72"/>
      <c r="ICF171" s="72"/>
      <c r="ICG171" s="72"/>
      <c r="ICH171" s="72"/>
      <c r="ICI171" s="72"/>
      <c r="ICJ171" s="72"/>
      <c r="ICK171" s="72"/>
      <c r="ICL171" s="72"/>
      <c r="ICM171" s="72"/>
      <c r="ICN171" s="72"/>
      <c r="ICO171" s="72"/>
      <c r="ICP171" s="72"/>
      <c r="ICQ171" s="72"/>
      <c r="ICR171" s="72"/>
      <c r="ICS171" s="72"/>
      <c r="ICT171" s="72"/>
      <c r="ICU171" s="72"/>
      <c r="ICV171" s="72"/>
      <c r="ICW171" s="72"/>
      <c r="ICX171" s="72"/>
      <c r="ICY171" s="72"/>
      <c r="ICZ171" s="72"/>
      <c r="IDA171" s="72"/>
      <c r="IDB171" s="72"/>
      <c r="IDC171" s="72"/>
      <c r="IDD171" s="72"/>
      <c r="IDE171" s="72"/>
      <c r="IDF171" s="72"/>
      <c r="IDG171" s="72"/>
      <c r="IDH171" s="72"/>
      <c r="IDI171" s="72"/>
      <c r="IDJ171" s="72"/>
      <c r="IDK171" s="72"/>
      <c r="IDL171" s="72"/>
      <c r="IDM171" s="72"/>
      <c r="IDN171" s="72"/>
      <c r="IDO171" s="72"/>
      <c r="IDP171" s="72"/>
      <c r="IDQ171" s="72"/>
      <c r="IDR171" s="72"/>
      <c r="IDS171" s="72"/>
      <c r="IDT171" s="72"/>
      <c r="IDU171" s="72"/>
      <c r="IDV171" s="72"/>
      <c r="IDW171" s="72"/>
      <c r="IDX171" s="72"/>
      <c r="IDY171" s="72"/>
      <c r="IDZ171" s="72"/>
      <c r="IEA171" s="72"/>
      <c r="IEB171" s="72"/>
      <c r="IEC171" s="72"/>
      <c r="IED171" s="72"/>
      <c r="IEE171" s="72"/>
      <c r="IEF171" s="72"/>
      <c r="IEG171" s="72"/>
      <c r="IEH171" s="72"/>
      <c r="IEI171" s="72"/>
      <c r="IEJ171" s="72"/>
      <c r="IEK171" s="72"/>
      <c r="IEL171" s="72"/>
      <c r="IEM171" s="72"/>
      <c r="IEN171" s="72"/>
      <c r="IEO171" s="72"/>
      <c r="IEP171" s="72"/>
      <c r="IEQ171" s="72"/>
      <c r="IER171" s="72"/>
      <c r="IES171" s="72"/>
      <c r="IET171" s="72"/>
      <c r="IEU171" s="72"/>
      <c r="IEV171" s="72"/>
      <c r="IEW171" s="72"/>
      <c r="IEX171" s="72"/>
      <c r="IEY171" s="72"/>
      <c r="IEZ171" s="72"/>
      <c r="IFA171" s="72"/>
      <c r="IFB171" s="72"/>
      <c r="IFC171" s="72"/>
      <c r="IFD171" s="72"/>
      <c r="IFE171" s="72"/>
      <c r="IFF171" s="72"/>
      <c r="IFG171" s="72"/>
      <c r="IFH171" s="72"/>
      <c r="IFI171" s="72"/>
      <c r="IFJ171" s="72"/>
      <c r="IFK171" s="72"/>
      <c r="IFL171" s="72"/>
      <c r="IFM171" s="72"/>
      <c r="IFN171" s="72"/>
      <c r="IFO171" s="72"/>
      <c r="IFP171" s="72"/>
      <c r="IFQ171" s="72"/>
      <c r="IFR171" s="72"/>
      <c r="IFS171" s="72"/>
      <c r="IFT171" s="72"/>
      <c r="IFU171" s="72"/>
      <c r="IFV171" s="72"/>
      <c r="IFW171" s="72"/>
      <c r="IFX171" s="72"/>
      <c r="IFY171" s="72"/>
      <c r="IFZ171" s="72"/>
      <c r="IGA171" s="72"/>
      <c r="IGB171" s="72"/>
      <c r="IGC171" s="72"/>
      <c r="IGD171" s="72"/>
      <c r="IGE171" s="72"/>
      <c r="IGF171" s="72"/>
      <c r="IGG171" s="72"/>
      <c r="IGH171" s="72"/>
      <c r="IGI171" s="72"/>
      <c r="IGJ171" s="72"/>
      <c r="IGK171" s="72"/>
      <c r="IGL171" s="72"/>
      <c r="IGM171" s="72"/>
      <c r="IGN171" s="72"/>
      <c r="IGO171" s="72"/>
      <c r="IGP171" s="72"/>
      <c r="IGQ171" s="72"/>
      <c r="IGR171" s="72"/>
      <c r="IGS171" s="72"/>
      <c r="IGT171" s="72"/>
      <c r="IGU171" s="72"/>
      <c r="IGV171" s="72"/>
      <c r="IGW171" s="72"/>
      <c r="IGX171" s="72"/>
      <c r="IGY171" s="72"/>
      <c r="IGZ171" s="72"/>
      <c r="IHA171" s="72"/>
      <c r="IHB171" s="72"/>
      <c r="IHC171" s="72"/>
      <c r="IHD171" s="72"/>
      <c r="IHE171" s="72"/>
      <c r="IHF171" s="72"/>
      <c r="IHG171" s="72"/>
      <c r="IHH171" s="72"/>
      <c r="IHI171" s="72"/>
      <c r="IHJ171" s="72"/>
      <c r="IHK171" s="72"/>
      <c r="IHL171" s="72"/>
      <c r="IHM171" s="72"/>
      <c r="IHN171" s="72"/>
      <c r="IHO171" s="72"/>
      <c r="IHP171" s="72"/>
      <c r="IHQ171" s="72"/>
      <c r="IHR171" s="72"/>
      <c r="IHS171" s="72"/>
      <c r="IHT171" s="72"/>
      <c r="IHU171" s="72"/>
      <c r="IHV171" s="72"/>
      <c r="IHW171" s="72"/>
      <c r="IHX171" s="72"/>
      <c r="IHY171" s="72"/>
      <c r="IHZ171" s="72"/>
      <c r="IIA171" s="72"/>
      <c r="IIB171" s="72"/>
      <c r="IIC171" s="72"/>
      <c r="IID171" s="72"/>
      <c r="IIE171" s="72"/>
      <c r="IIF171" s="72"/>
      <c r="IIG171" s="72"/>
      <c r="IIH171" s="72"/>
      <c r="III171" s="72"/>
      <c r="IIJ171" s="72"/>
      <c r="IIK171" s="72"/>
      <c r="IIL171" s="72"/>
      <c r="IIM171" s="72"/>
      <c r="IIN171" s="72"/>
      <c r="IIO171" s="72"/>
      <c r="IIP171" s="72"/>
      <c r="IIQ171" s="72"/>
      <c r="IIR171" s="72"/>
      <c r="IIS171" s="72"/>
      <c r="IIT171" s="72"/>
      <c r="IIU171" s="72"/>
      <c r="IIV171" s="72"/>
      <c r="IIW171" s="72"/>
      <c r="IIX171" s="72"/>
      <c r="IIY171" s="72"/>
      <c r="IIZ171" s="72"/>
      <c r="IJA171" s="72"/>
      <c r="IJB171" s="72"/>
      <c r="IJC171" s="72"/>
      <c r="IJD171" s="72"/>
      <c r="IJE171" s="72"/>
      <c r="IJF171" s="72"/>
      <c r="IJG171" s="72"/>
      <c r="IJH171" s="72"/>
      <c r="IJI171" s="72"/>
      <c r="IJJ171" s="72"/>
      <c r="IJK171" s="72"/>
      <c r="IJL171" s="72"/>
      <c r="IJM171" s="72"/>
      <c r="IJN171" s="72"/>
      <c r="IJO171" s="72"/>
      <c r="IJP171" s="72"/>
      <c r="IJQ171" s="72"/>
      <c r="IJR171" s="72"/>
      <c r="IJS171" s="72"/>
      <c r="IJT171" s="72"/>
      <c r="IJU171" s="72"/>
      <c r="IJV171" s="72"/>
      <c r="IJW171" s="72"/>
      <c r="IJX171" s="72"/>
      <c r="IJY171" s="72"/>
      <c r="IJZ171" s="72"/>
      <c r="IKA171" s="72"/>
      <c r="IKB171" s="72"/>
      <c r="IKC171" s="72"/>
      <c r="IKD171" s="72"/>
      <c r="IKE171" s="72"/>
      <c r="IKF171" s="72"/>
      <c r="IKG171" s="72"/>
      <c r="IKH171" s="72"/>
      <c r="IKI171" s="72"/>
      <c r="IKJ171" s="72"/>
      <c r="IKK171" s="72"/>
      <c r="IKL171" s="72"/>
      <c r="IKM171" s="72"/>
      <c r="IKN171" s="72"/>
      <c r="IKO171" s="72"/>
      <c r="IKP171" s="72"/>
      <c r="IKQ171" s="72"/>
      <c r="IKR171" s="72"/>
      <c r="IKS171" s="72"/>
      <c r="IKT171" s="72"/>
      <c r="IKU171" s="72"/>
      <c r="IKV171" s="72"/>
      <c r="IKW171" s="72"/>
      <c r="IKX171" s="72"/>
      <c r="IKY171" s="72"/>
      <c r="IKZ171" s="72"/>
      <c r="ILA171" s="72"/>
      <c r="ILB171" s="72"/>
      <c r="ILC171" s="72"/>
      <c r="ILD171" s="72"/>
      <c r="ILE171" s="72"/>
      <c r="ILF171" s="72"/>
      <c r="ILG171" s="72"/>
      <c r="ILH171" s="72"/>
      <c r="ILI171" s="72"/>
      <c r="ILJ171" s="72"/>
      <c r="ILK171" s="72"/>
      <c r="ILL171" s="72"/>
      <c r="ILM171" s="72"/>
      <c r="ILN171" s="72"/>
      <c r="ILO171" s="72"/>
      <c r="ILP171" s="72"/>
      <c r="ILQ171" s="72"/>
      <c r="ILR171" s="72"/>
      <c r="ILS171" s="72"/>
      <c r="ILT171" s="72"/>
      <c r="ILU171" s="72"/>
      <c r="ILV171" s="72"/>
      <c r="ILW171" s="72"/>
      <c r="ILX171" s="72"/>
      <c r="ILY171" s="72"/>
      <c r="ILZ171" s="72"/>
      <c r="IMA171" s="72"/>
      <c r="IMB171" s="72"/>
      <c r="IMC171" s="72"/>
      <c r="IMD171" s="72"/>
      <c r="IME171" s="72"/>
      <c r="IMF171" s="72"/>
      <c r="IMG171" s="72"/>
      <c r="IMH171" s="72"/>
      <c r="IMI171" s="72"/>
      <c r="IMJ171" s="72"/>
      <c r="IMK171" s="72"/>
      <c r="IML171" s="72"/>
      <c r="IMM171" s="72"/>
      <c r="IMN171" s="72"/>
      <c r="IMO171" s="72"/>
      <c r="IMP171" s="72"/>
      <c r="IMQ171" s="72"/>
      <c r="IMR171" s="72"/>
      <c r="IMS171" s="72"/>
      <c r="IMT171" s="72"/>
      <c r="IMU171" s="72"/>
      <c r="IMV171" s="72"/>
      <c r="IMW171" s="72"/>
      <c r="IMX171" s="72"/>
      <c r="IMY171" s="72"/>
      <c r="IMZ171" s="72"/>
      <c r="INA171" s="72"/>
      <c r="INB171" s="72"/>
      <c r="INC171" s="72"/>
      <c r="IND171" s="72"/>
      <c r="INE171" s="72"/>
      <c r="INF171" s="72"/>
      <c r="ING171" s="72"/>
      <c r="INH171" s="72"/>
      <c r="INI171" s="72"/>
      <c r="INJ171" s="72"/>
      <c r="INK171" s="72"/>
      <c r="INL171" s="72"/>
      <c r="INM171" s="72"/>
      <c r="INN171" s="72"/>
      <c r="INO171" s="72"/>
      <c r="INP171" s="72"/>
      <c r="INQ171" s="72"/>
      <c r="INR171" s="72"/>
      <c r="INS171" s="72"/>
      <c r="INT171" s="72"/>
      <c r="INU171" s="72"/>
      <c r="INV171" s="72"/>
      <c r="INW171" s="72"/>
      <c r="INX171" s="72"/>
      <c r="INY171" s="72"/>
      <c r="INZ171" s="72"/>
      <c r="IOA171" s="72"/>
      <c r="IOB171" s="72"/>
      <c r="IOC171" s="72"/>
      <c r="IOD171" s="72"/>
      <c r="IOE171" s="72"/>
      <c r="IOF171" s="72"/>
      <c r="IOG171" s="72"/>
      <c r="IOH171" s="72"/>
      <c r="IOI171" s="72"/>
      <c r="IOJ171" s="72"/>
      <c r="IOK171" s="72"/>
      <c r="IOL171" s="72"/>
      <c r="IOM171" s="72"/>
      <c r="ION171" s="72"/>
      <c r="IOO171" s="72"/>
      <c r="IOP171" s="72"/>
      <c r="IOQ171" s="72"/>
      <c r="IOR171" s="72"/>
      <c r="IOS171" s="72"/>
      <c r="IOT171" s="72"/>
      <c r="IOU171" s="72"/>
      <c r="IOV171" s="72"/>
      <c r="IOW171" s="72"/>
      <c r="IOX171" s="72"/>
      <c r="IOY171" s="72"/>
      <c r="IOZ171" s="72"/>
      <c r="IPA171" s="72"/>
      <c r="IPB171" s="72"/>
      <c r="IPC171" s="72"/>
      <c r="IPD171" s="72"/>
      <c r="IPE171" s="72"/>
      <c r="IPF171" s="72"/>
      <c r="IPG171" s="72"/>
      <c r="IPH171" s="72"/>
      <c r="IPI171" s="72"/>
      <c r="IPJ171" s="72"/>
      <c r="IPK171" s="72"/>
      <c r="IPL171" s="72"/>
      <c r="IPM171" s="72"/>
      <c r="IPN171" s="72"/>
      <c r="IPO171" s="72"/>
      <c r="IPP171" s="72"/>
      <c r="IPQ171" s="72"/>
      <c r="IPR171" s="72"/>
      <c r="IPS171" s="72"/>
      <c r="IPT171" s="72"/>
      <c r="IPU171" s="72"/>
      <c r="IPV171" s="72"/>
      <c r="IPW171" s="72"/>
      <c r="IPX171" s="72"/>
      <c r="IPY171" s="72"/>
      <c r="IPZ171" s="72"/>
      <c r="IQA171" s="72"/>
      <c r="IQB171" s="72"/>
      <c r="IQC171" s="72"/>
      <c r="IQD171" s="72"/>
      <c r="IQE171" s="72"/>
      <c r="IQF171" s="72"/>
      <c r="IQG171" s="72"/>
      <c r="IQH171" s="72"/>
      <c r="IQI171" s="72"/>
      <c r="IQJ171" s="72"/>
      <c r="IQK171" s="72"/>
      <c r="IQL171" s="72"/>
      <c r="IQM171" s="72"/>
      <c r="IQN171" s="72"/>
      <c r="IQO171" s="72"/>
      <c r="IQP171" s="72"/>
      <c r="IQQ171" s="72"/>
      <c r="IQR171" s="72"/>
      <c r="IQS171" s="72"/>
      <c r="IQT171" s="72"/>
      <c r="IQU171" s="72"/>
      <c r="IQV171" s="72"/>
      <c r="IQW171" s="72"/>
      <c r="IQX171" s="72"/>
      <c r="IQY171" s="72"/>
      <c r="IQZ171" s="72"/>
      <c r="IRA171" s="72"/>
      <c r="IRB171" s="72"/>
      <c r="IRC171" s="72"/>
      <c r="IRD171" s="72"/>
      <c r="IRE171" s="72"/>
      <c r="IRF171" s="72"/>
      <c r="IRG171" s="72"/>
      <c r="IRH171" s="72"/>
      <c r="IRI171" s="72"/>
      <c r="IRJ171" s="72"/>
      <c r="IRK171" s="72"/>
      <c r="IRL171" s="72"/>
      <c r="IRM171" s="72"/>
      <c r="IRN171" s="72"/>
      <c r="IRO171" s="72"/>
      <c r="IRP171" s="72"/>
      <c r="IRQ171" s="72"/>
      <c r="IRR171" s="72"/>
      <c r="IRS171" s="72"/>
      <c r="IRT171" s="72"/>
      <c r="IRU171" s="72"/>
      <c r="IRV171" s="72"/>
      <c r="IRW171" s="72"/>
      <c r="IRX171" s="72"/>
      <c r="IRY171" s="72"/>
      <c r="IRZ171" s="72"/>
      <c r="ISA171" s="72"/>
      <c r="ISB171" s="72"/>
      <c r="ISC171" s="72"/>
      <c r="ISD171" s="72"/>
      <c r="ISE171" s="72"/>
      <c r="ISF171" s="72"/>
      <c r="ISG171" s="72"/>
      <c r="ISH171" s="72"/>
      <c r="ISI171" s="72"/>
      <c r="ISJ171" s="72"/>
      <c r="ISK171" s="72"/>
      <c r="ISL171" s="72"/>
      <c r="ISM171" s="72"/>
      <c r="ISN171" s="72"/>
      <c r="ISO171" s="72"/>
      <c r="ISP171" s="72"/>
      <c r="ISQ171" s="72"/>
      <c r="ISR171" s="72"/>
      <c r="ISS171" s="72"/>
      <c r="IST171" s="72"/>
      <c r="ISU171" s="72"/>
      <c r="ISV171" s="72"/>
      <c r="ISW171" s="72"/>
      <c r="ISX171" s="72"/>
      <c r="ISY171" s="72"/>
      <c r="ISZ171" s="72"/>
      <c r="ITA171" s="72"/>
      <c r="ITB171" s="72"/>
      <c r="ITC171" s="72"/>
      <c r="ITD171" s="72"/>
      <c r="ITE171" s="72"/>
      <c r="ITF171" s="72"/>
      <c r="ITG171" s="72"/>
      <c r="ITH171" s="72"/>
      <c r="ITI171" s="72"/>
      <c r="ITJ171" s="72"/>
      <c r="ITK171" s="72"/>
      <c r="ITL171" s="72"/>
      <c r="ITM171" s="72"/>
      <c r="ITN171" s="72"/>
      <c r="ITO171" s="72"/>
      <c r="ITP171" s="72"/>
      <c r="ITQ171" s="72"/>
      <c r="ITR171" s="72"/>
      <c r="ITS171" s="72"/>
      <c r="ITT171" s="72"/>
      <c r="ITU171" s="72"/>
      <c r="ITV171" s="72"/>
      <c r="ITW171" s="72"/>
      <c r="ITX171" s="72"/>
      <c r="ITY171" s="72"/>
      <c r="ITZ171" s="72"/>
      <c r="IUA171" s="72"/>
      <c r="IUB171" s="72"/>
      <c r="IUC171" s="72"/>
      <c r="IUD171" s="72"/>
      <c r="IUE171" s="72"/>
      <c r="IUF171" s="72"/>
      <c r="IUG171" s="72"/>
      <c r="IUH171" s="72"/>
      <c r="IUI171" s="72"/>
      <c r="IUJ171" s="72"/>
      <c r="IUK171" s="72"/>
      <c r="IUL171" s="72"/>
      <c r="IUM171" s="72"/>
      <c r="IUN171" s="72"/>
      <c r="IUO171" s="72"/>
      <c r="IUP171" s="72"/>
      <c r="IUQ171" s="72"/>
      <c r="IUR171" s="72"/>
      <c r="IUS171" s="72"/>
      <c r="IUT171" s="72"/>
      <c r="IUU171" s="72"/>
      <c r="IUV171" s="72"/>
      <c r="IUW171" s="72"/>
      <c r="IUX171" s="72"/>
      <c r="IUY171" s="72"/>
      <c r="IUZ171" s="72"/>
      <c r="IVA171" s="72"/>
      <c r="IVB171" s="72"/>
      <c r="IVC171" s="72"/>
      <c r="IVD171" s="72"/>
      <c r="IVE171" s="72"/>
      <c r="IVF171" s="72"/>
      <c r="IVG171" s="72"/>
      <c r="IVH171" s="72"/>
      <c r="IVI171" s="72"/>
      <c r="IVJ171" s="72"/>
      <c r="IVK171" s="72"/>
      <c r="IVL171" s="72"/>
      <c r="IVM171" s="72"/>
      <c r="IVN171" s="72"/>
      <c r="IVO171" s="72"/>
      <c r="IVP171" s="72"/>
      <c r="IVQ171" s="72"/>
      <c r="IVR171" s="72"/>
      <c r="IVS171" s="72"/>
      <c r="IVT171" s="72"/>
      <c r="IVU171" s="72"/>
      <c r="IVV171" s="72"/>
      <c r="IVW171" s="72"/>
      <c r="IVX171" s="72"/>
      <c r="IVY171" s="72"/>
      <c r="IVZ171" s="72"/>
      <c r="IWA171" s="72"/>
      <c r="IWB171" s="72"/>
      <c r="IWC171" s="72"/>
      <c r="IWD171" s="72"/>
      <c r="IWE171" s="72"/>
      <c r="IWF171" s="72"/>
      <c r="IWG171" s="72"/>
      <c r="IWH171" s="72"/>
      <c r="IWI171" s="72"/>
      <c r="IWJ171" s="72"/>
      <c r="IWK171" s="72"/>
      <c r="IWL171" s="72"/>
      <c r="IWM171" s="72"/>
      <c r="IWN171" s="72"/>
      <c r="IWO171" s="72"/>
      <c r="IWP171" s="72"/>
      <c r="IWQ171" s="72"/>
      <c r="IWR171" s="72"/>
      <c r="IWS171" s="72"/>
      <c r="IWT171" s="72"/>
      <c r="IWU171" s="72"/>
      <c r="IWV171" s="72"/>
      <c r="IWW171" s="72"/>
      <c r="IWX171" s="72"/>
      <c r="IWY171" s="72"/>
      <c r="IWZ171" s="72"/>
      <c r="IXA171" s="72"/>
      <c r="IXB171" s="72"/>
      <c r="IXC171" s="72"/>
      <c r="IXD171" s="72"/>
      <c r="IXE171" s="72"/>
      <c r="IXF171" s="72"/>
      <c r="IXG171" s="72"/>
      <c r="IXH171" s="72"/>
      <c r="IXI171" s="72"/>
      <c r="IXJ171" s="72"/>
      <c r="IXK171" s="72"/>
      <c r="IXL171" s="72"/>
      <c r="IXM171" s="72"/>
      <c r="IXN171" s="72"/>
      <c r="IXO171" s="72"/>
      <c r="IXP171" s="72"/>
      <c r="IXQ171" s="72"/>
      <c r="IXR171" s="72"/>
      <c r="IXS171" s="72"/>
      <c r="IXT171" s="72"/>
      <c r="IXU171" s="72"/>
      <c r="IXV171" s="72"/>
      <c r="IXW171" s="72"/>
      <c r="IXX171" s="72"/>
      <c r="IXY171" s="72"/>
      <c r="IXZ171" s="72"/>
      <c r="IYA171" s="72"/>
      <c r="IYB171" s="72"/>
      <c r="IYC171" s="72"/>
      <c r="IYD171" s="72"/>
      <c r="IYE171" s="72"/>
      <c r="IYF171" s="72"/>
      <c r="IYG171" s="72"/>
      <c r="IYH171" s="72"/>
      <c r="IYI171" s="72"/>
      <c r="IYJ171" s="72"/>
      <c r="IYK171" s="72"/>
      <c r="IYL171" s="72"/>
      <c r="IYM171" s="72"/>
      <c r="IYN171" s="72"/>
      <c r="IYO171" s="72"/>
      <c r="IYP171" s="72"/>
      <c r="IYQ171" s="72"/>
      <c r="IYR171" s="72"/>
      <c r="IYS171" s="72"/>
      <c r="IYT171" s="72"/>
      <c r="IYU171" s="72"/>
      <c r="IYV171" s="72"/>
      <c r="IYW171" s="72"/>
      <c r="IYX171" s="72"/>
      <c r="IYY171" s="72"/>
      <c r="IYZ171" s="72"/>
      <c r="IZA171" s="72"/>
      <c r="IZB171" s="72"/>
      <c r="IZC171" s="72"/>
      <c r="IZD171" s="72"/>
      <c r="IZE171" s="72"/>
      <c r="IZF171" s="72"/>
      <c r="IZG171" s="72"/>
      <c r="IZH171" s="72"/>
      <c r="IZI171" s="72"/>
      <c r="IZJ171" s="72"/>
      <c r="IZK171" s="72"/>
      <c r="IZL171" s="72"/>
      <c r="IZM171" s="72"/>
      <c r="IZN171" s="72"/>
      <c r="IZO171" s="72"/>
      <c r="IZP171" s="72"/>
      <c r="IZQ171" s="72"/>
      <c r="IZR171" s="72"/>
      <c r="IZS171" s="72"/>
      <c r="IZT171" s="72"/>
      <c r="IZU171" s="72"/>
      <c r="IZV171" s="72"/>
      <c r="IZW171" s="72"/>
      <c r="IZX171" s="72"/>
      <c r="IZY171" s="72"/>
      <c r="IZZ171" s="72"/>
      <c r="JAA171" s="72"/>
      <c r="JAB171" s="72"/>
      <c r="JAC171" s="72"/>
      <c r="JAD171" s="72"/>
      <c r="JAE171" s="72"/>
      <c r="JAF171" s="72"/>
      <c r="JAG171" s="72"/>
      <c r="JAH171" s="72"/>
      <c r="JAI171" s="72"/>
      <c r="JAJ171" s="72"/>
      <c r="JAK171" s="72"/>
      <c r="JAL171" s="72"/>
      <c r="JAM171" s="72"/>
      <c r="JAN171" s="72"/>
      <c r="JAO171" s="72"/>
      <c r="JAP171" s="72"/>
      <c r="JAQ171" s="72"/>
      <c r="JAR171" s="72"/>
      <c r="JAS171" s="72"/>
      <c r="JAT171" s="72"/>
      <c r="JAU171" s="72"/>
      <c r="JAV171" s="72"/>
      <c r="JAW171" s="72"/>
      <c r="JAX171" s="72"/>
      <c r="JAY171" s="72"/>
      <c r="JAZ171" s="72"/>
      <c r="JBA171" s="72"/>
      <c r="JBB171" s="72"/>
      <c r="JBC171" s="72"/>
      <c r="JBD171" s="72"/>
      <c r="JBE171" s="72"/>
      <c r="JBF171" s="72"/>
      <c r="JBG171" s="72"/>
      <c r="JBH171" s="72"/>
      <c r="JBI171" s="72"/>
      <c r="JBJ171" s="72"/>
      <c r="JBK171" s="72"/>
      <c r="JBL171" s="72"/>
      <c r="JBM171" s="72"/>
      <c r="JBN171" s="72"/>
      <c r="JBO171" s="72"/>
      <c r="JBP171" s="72"/>
      <c r="JBQ171" s="72"/>
      <c r="JBR171" s="72"/>
      <c r="JBS171" s="72"/>
      <c r="JBT171" s="72"/>
      <c r="JBU171" s="72"/>
      <c r="JBV171" s="72"/>
      <c r="JBW171" s="72"/>
      <c r="JBX171" s="72"/>
      <c r="JBY171" s="72"/>
      <c r="JBZ171" s="72"/>
      <c r="JCA171" s="72"/>
      <c r="JCB171" s="72"/>
      <c r="JCC171" s="72"/>
      <c r="JCD171" s="72"/>
      <c r="JCE171" s="72"/>
      <c r="JCF171" s="72"/>
      <c r="JCG171" s="72"/>
      <c r="JCH171" s="72"/>
      <c r="JCI171" s="72"/>
      <c r="JCJ171" s="72"/>
      <c r="JCK171" s="72"/>
      <c r="JCL171" s="72"/>
      <c r="JCM171" s="72"/>
      <c r="JCN171" s="72"/>
      <c r="JCO171" s="72"/>
      <c r="JCP171" s="72"/>
      <c r="JCQ171" s="72"/>
      <c r="JCR171" s="72"/>
      <c r="JCS171" s="72"/>
      <c r="JCT171" s="72"/>
      <c r="JCU171" s="72"/>
      <c r="JCV171" s="72"/>
      <c r="JCW171" s="72"/>
      <c r="JCX171" s="72"/>
      <c r="JCY171" s="72"/>
      <c r="JCZ171" s="72"/>
      <c r="JDA171" s="72"/>
      <c r="JDB171" s="72"/>
      <c r="JDC171" s="72"/>
      <c r="JDD171" s="72"/>
      <c r="JDE171" s="72"/>
      <c r="JDF171" s="72"/>
      <c r="JDG171" s="72"/>
      <c r="JDH171" s="72"/>
      <c r="JDI171" s="72"/>
      <c r="JDJ171" s="72"/>
      <c r="JDK171" s="72"/>
      <c r="JDL171" s="72"/>
      <c r="JDM171" s="72"/>
      <c r="JDN171" s="72"/>
      <c r="JDO171" s="72"/>
      <c r="JDP171" s="72"/>
      <c r="JDQ171" s="72"/>
      <c r="JDR171" s="72"/>
      <c r="JDS171" s="72"/>
      <c r="JDT171" s="72"/>
      <c r="JDU171" s="72"/>
      <c r="JDV171" s="72"/>
      <c r="JDW171" s="72"/>
      <c r="JDX171" s="72"/>
      <c r="JDY171" s="72"/>
      <c r="JDZ171" s="72"/>
      <c r="JEA171" s="72"/>
      <c r="JEB171" s="72"/>
      <c r="JEC171" s="72"/>
      <c r="JED171" s="72"/>
      <c r="JEE171" s="72"/>
      <c r="JEF171" s="72"/>
      <c r="JEG171" s="72"/>
      <c r="JEH171" s="72"/>
      <c r="JEI171" s="72"/>
      <c r="JEJ171" s="72"/>
      <c r="JEK171" s="72"/>
      <c r="JEL171" s="72"/>
      <c r="JEM171" s="72"/>
      <c r="JEN171" s="72"/>
      <c r="JEO171" s="72"/>
      <c r="JEP171" s="72"/>
      <c r="JEQ171" s="72"/>
      <c r="JER171" s="72"/>
      <c r="JES171" s="72"/>
      <c r="JET171" s="72"/>
      <c r="JEU171" s="72"/>
      <c r="JEV171" s="72"/>
      <c r="JEW171" s="72"/>
      <c r="JEX171" s="72"/>
      <c r="JEY171" s="72"/>
      <c r="JEZ171" s="72"/>
      <c r="JFA171" s="72"/>
      <c r="JFB171" s="72"/>
      <c r="JFC171" s="72"/>
      <c r="JFD171" s="72"/>
      <c r="JFE171" s="72"/>
      <c r="JFF171" s="72"/>
      <c r="JFG171" s="72"/>
      <c r="JFH171" s="72"/>
      <c r="JFI171" s="72"/>
      <c r="JFJ171" s="72"/>
      <c r="JFK171" s="72"/>
      <c r="JFL171" s="72"/>
      <c r="JFM171" s="72"/>
      <c r="JFN171" s="72"/>
      <c r="JFO171" s="72"/>
      <c r="JFP171" s="72"/>
      <c r="JFQ171" s="72"/>
      <c r="JFR171" s="72"/>
      <c r="JFS171" s="72"/>
      <c r="JFT171" s="72"/>
      <c r="JFU171" s="72"/>
      <c r="JFV171" s="72"/>
      <c r="JFW171" s="72"/>
      <c r="JFX171" s="72"/>
      <c r="JFY171" s="72"/>
      <c r="JFZ171" s="72"/>
      <c r="JGA171" s="72"/>
      <c r="JGB171" s="72"/>
      <c r="JGC171" s="72"/>
      <c r="JGD171" s="72"/>
      <c r="JGE171" s="72"/>
      <c r="JGF171" s="72"/>
      <c r="JGG171" s="72"/>
      <c r="JGH171" s="72"/>
      <c r="JGI171" s="72"/>
      <c r="JGJ171" s="72"/>
      <c r="JGK171" s="72"/>
      <c r="JGL171" s="72"/>
      <c r="JGM171" s="72"/>
      <c r="JGN171" s="72"/>
      <c r="JGO171" s="72"/>
      <c r="JGP171" s="72"/>
      <c r="JGQ171" s="72"/>
      <c r="JGR171" s="72"/>
      <c r="JGS171" s="72"/>
      <c r="JGT171" s="72"/>
      <c r="JGU171" s="72"/>
      <c r="JGV171" s="72"/>
      <c r="JGW171" s="72"/>
      <c r="JGX171" s="72"/>
      <c r="JGY171" s="72"/>
      <c r="JGZ171" s="72"/>
      <c r="JHA171" s="72"/>
      <c r="JHB171" s="72"/>
      <c r="JHC171" s="72"/>
      <c r="JHD171" s="72"/>
      <c r="JHE171" s="72"/>
      <c r="JHF171" s="72"/>
      <c r="JHG171" s="72"/>
      <c r="JHH171" s="72"/>
      <c r="JHI171" s="72"/>
      <c r="JHJ171" s="72"/>
      <c r="JHK171" s="72"/>
      <c r="JHL171" s="72"/>
      <c r="JHM171" s="72"/>
      <c r="JHN171" s="72"/>
      <c r="JHO171" s="72"/>
      <c r="JHP171" s="72"/>
      <c r="JHQ171" s="72"/>
      <c r="JHR171" s="72"/>
      <c r="JHS171" s="72"/>
      <c r="JHT171" s="72"/>
      <c r="JHU171" s="72"/>
      <c r="JHV171" s="72"/>
      <c r="JHW171" s="72"/>
      <c r="JHX171" s="72"/>
      <c r="JHY171" s="72"/>
      <c r="JHZ171" s="72"/>
      <c r="JIA171" s="72"/>
      <c r="JIB171" s="72"/>
      <c r="JIC171" s="72"/>
      <c r="JID171" s="72"/>
      <c r="JIE171" s="72"/>
      <c r="JIF171" s="72"/>
      <c r="JIG171" s="72"/>
      <c r="JIH171" s="72"/>
      <c r="JII171" s="72"/>
      <c r="JIJ171" s="72"/>
      <c r="JIK171" s="72"/>
      <c r="JIL171" s="72"/>
      <c r="JIM171" s="72"/>
      <c r="JIN171" s="72"/>
      <c r="JIO171" s="72"/>
      <c r="JIP171" s="72"/>
      <c r="JIQ171" s="72"/>
      <c r="JIR171" s="72"/>
      <c r="JIS171" s="72"/>
      <c r="JIT171" s="72"/>
      <c r="JIU171" s="72"/>
      <c r="JIV171" s="72"/>
      <c r="JIW171" s="72"/>
      <c r="JIX171" s="72"/>
      <c r="JIY171" s="72"/>
      <c r="JIZ171" s="72"/>
      <c r="JJA171" s="72"/>
      <c r="JJB171" s="72"/>
      <c r="JJC171" s="72"/>
      <c r="JJD171" s="72"/>
      <c r="JJE171" s="72"/>
      <c r="JJF171" s="72"/>
      <c r="JJG171" s="72"/>
      <c r="JJH171" s="72"/>
      <c r="JJI171" s="72"/>
      <c r="JJJ171" s="72"/>
      <c r="JJK171" s="72"/>
      <c r="JJL171" s="72"/>
      <c r="JJM171" s="72"/>
      <c r="JJN171" s="72"/>
      <c r="JJO171" s="72"/>
      <c r="JJP171" s="72"/>
      <c r="JJQ171" s="72"/>
      <c r="JJR171" s="72"/>
      <c r="JJS171" s="72"/>
      <c r="JJT171" s="72"/>
      <c r="JJU171" s="72"/>
      <c r="JJV171" s="72"/>
      <c r="JJW171" s="72"/>
      <c r="JJX171" s="72"/>
      <c r="JJY171" s="72"/>
      <c r="JJZ171" s="72"/>
      <c r="JKA171" s="72"/>
      <c r="JKB171" s="72"/>
      <c r="JKC171" s="72"/>
      <c r="JKD171" s="72"/>
      <c r="JKE171" s="72"/>
      <c r="JKF171" s="72"/>
      <c r="JKG171" s="72"/>
      <c r="JKH171" s="72"/>
      <c r="JKI171" s="72"/>
      <c r="JKJ171" s="72"/>
      <c r="JKK171" s="72"/>
      <c r="JKL171" s="72"/>
      <c r="JKM171" s="72"/>
      <c r="JKN171" s="72"/>
      <c r="JKO171" s="72"/>
      <c r="JKP171" s="72"/>
      <c r="JKQ171" s="72"/>
      <c r="JKR171" s="72"/>
      <c r="JKS171" s="72"/>
      <c r="JKT171" s="72"/>
      <c r="JKU171" s="72"/>
      <c r="JKV171" s="72"/>
      <c r="JKW171" s="72"/>
      <c r="JKX171" s="72"/>
      <c r="JKY171" s="72"/>
      <c r="JKZ171" s="72"/>
      <c r="JLA171" s="72"/>
      <c r="JLB171" s="72"/>
      <c r="JLC171" s="72"/>
      <c r="JLD171" s="72"/>
      <c r="JLE171" s="72"/>
      <c r="JLF171" s="72"/>
      <c r="JLG171" s="72"/>
      <c r="JLH171" s="72"/>
      <c r="JLI171" s="72"/>
      <c r="JLJ171" s="72"/>
      <c r="JLK171" s="72"/>
      <c r="JLL171" s="72"/>
      <c r="JLM171" s="72"/>
      <c r="JLN171" s="72"/>
      <c r="JLO171" s="72"/>
      <c r="JLP171" s="72"/>
      <c r="JLQ171" s="72"/>
      <c r="JLR171" s="72"/>
      <c r="JLS171" s="72"/>
      <c r="JLT171" s="72"/>
      <c r="JLU171" s="72"/>
      <c r="JLV171" s="72"/>
      <c r="JLW171" s="72"/>
      <c r="JLX171" s="72"/>
      <c r="JLY171" s="72"/>
      <c r="JLZ171" s="72"/>
      <c r="JMA171" s="72"/>
      <c r="JMB171" s="72"/>
      <c r="JMC171" s="72"/>
      <c r="JMD171" s="72"/>
      <c r="JME171" s="72"/>
      <c r="JMF171" s="72"/>
      <c r="JMG171" s="72"/>
      <c r="JMH171" s="72"/>
      <c r="JMI171" s="72"/>
      <c r="JMJ171" s="72"/>
      <c r="JMK171" s="72"/>
      <c r="JML171" s="72"/>
      <c r="JMM171" s="72"/>
      <c r="JMN171" s="72"/>
      <c r="JMO171" s="72"/>
      <c r="JMP171" s="72"/>
      <c r="JMQ171" s="72"/>
      <c r="JMR171" s="72"/>
      <c r="JMS171" s="72"/>
      <c r="JMT171" s="72"/>
      <c r="JMU171" s="72"/>
      <c r="JMV171" s="72"/>
      <c r="JMW171" s="72"/>
      <c r="JMX171" s="72"/>
      <c r="JMY171" s="72"/>
      <c r="JMZ171" s="72"/>
      <c r="JNA171" s="72"/>
      <c r="JNB171" s="72"/>
      <c r="JNC171" s="72"/>
      <c r="JND171" s="72"/>
      <c r="JNE171" s="72"/>
      <c r="JNF171" s="72"/>
      <c r="JNG171" s="72"/>
      <c r="JNH171" s="72"/>
      <c r="JNI171" s="72"/>
      <c r="JNJ171" s="72"/>
      <c r="JNK171" s="72"/>
      <c r="JNL171" s="72"/>
      <c r="JNM171" s="72"/>
      <c r="JNN171" s="72"/>
      <c r="JNO171" s="72"/>
      <c r="JNP171" s="72"/>
      <c r="JNQ171" s="72"/>
      <c r="JNR171" s="72"/>
      <c r="JNS171" s="72"/>
      <c r="JNT171" s="72"/>
      <c r="JNU171" s="72"/>
      <c r="JNV171" s="72"/>
      <c r="JNW171" s="72"/>
      <c r="JNX171" s="72"/>
      <c r="JNY171" s="72"/>
      <c r="JNZ171" s="72"/>
      <c r="JOA171" s="72"/>
      <c r="JOB171" s="72"/>
      <c r="JOC171" s="72"/>
      <c r="JOD171" s="72"/>
      <c r="JOE171" s="72"/>
      <c r="JOF171" s="72"/>
      <c r="JOG171" s="72"/>
      <c r="JOH171" s="72"/>
      <c r="JOI171" s="72"/>
      <c r="JOJ171" s="72"/>
      <c r="JOK171" s="72"/>
      <c r="JOL171" s="72"/>
      <c r="JOM171" s="72"/>
      <c r="JON171" s="72"/>
      <c r="JOO171" s="72"/>
      <c r="JOP171" s="72"/>
      <c r="JOQ171" s="72"/>
      <c r="JOR171" s="72"/>
      <c r="JOS171" s="72"/>
      <c r="JOT171" s="72"/>
      <c r="JOU171" s="72"/>
      <c r="JOV171" s="72"/>
      <c r="JOW171" s="72"/>
      <c r="JOX171" s="72"/>
      <c r="JOY171" s="72"/>
      <c r="JOZ171" s="72"/>
      <c r="JPA171" s="72"/>
      <c r="JPB171" s="72"/>
      <c r="JPC171" s="72"/>
      <c r="JPD171" s="72"/>
      <c r="JPE171" s="72"/>
      <c r="JPF171" s="72"/>
      <c r="JPG171" s="72"/>
      <c r="JPH171" s="72"/>
      <c r="JPI171" s="72"/>
      <c r="JPJ171" s="72"/>
      <c r="JPK171" s="72"/>
      <c r="JPL171" s="72"/>
      <c r="JPM171" s="72"/>
      <c r="JPN171" s="72"/>
      <c r="JPO171" s="72"/>
      <c r="JPP171" s="72"/>
      <c r="JPQ171" s="72"/>
      <c r="JPR171" s="72"/>
      <c r="JPS171" s="72"/>
      <c r="JPT171" s="72"/>
      <c r="JPU171" s="72"/>
      <c r="JPV171" s="72"/>
      <c r="JPW171" s="72"/>
      <c r="JPX171" s="72"/>
      <c r="JPY171" s="72"/>
      <c r="JPZ171" s="72"/>
      <c r="JQA171" s="72"/>
      <c r="JQB171" s="72"/>
      <c r="JQC171" s="72"/>
      <c r="JQD171" s="72"/>
      <c r="JQE171" s="72"/>
      <c r="JQF171" s="72"/>
      <c r="JQG171" s="72"/>
      <c r="JQH171" s="72"/>
      <c r="JQI171" s="72"/>
      <c r="JQJ171" s="72"/>
      <c r="JQK171" s="72"/>
      <c r="JQL171" s="72"/>
      <c r="JQM171" s="72"/>
      <c r="JQN171" s="72"/>
      <c r="JQO171" s="72"/>
      <c r="JQP171" s="72"/>
      <c r="JQQ171" s="72"/>
      <c r="JQR171" s="72"/>
      <c r="JQS171" s="72"/>
      <c r="JQT171" s="72"/>
      <c r="JQU171" s="72"/>
      <c r="JQV171" s="72"/>
      <c r="JQW171" s="72"/>
      <c r="JQX171" s="72"/>
      <c r="JQY171" s="72"/>
      <c r="JQZ171" s="72"/>
      <c r="JRA171" s="72"/>
      <c r="JRB171" s="72"/>
      <c r="JRC171" s="72"/>
      <c r="JRD171" s="72"/>
      <c r="JRE171" s="72"/>
      <c r="JRF171" s="72"/>
      <c r="JRG171" s="72"/>
      <c r="JRH171" s="72"/>
      <c r="JRI171" s="72"/>
      <c r="JRJ171" s="72"/>
      <c r="JRK171" s="72"/>
      <c r="JRL171" s="72"/>
      <c r="JRM171" s="72"/>
      <c r="JRN171" s="72"/>
      <c r="JRO171" s="72"/>
      <c r="JRP171" s="72"/>
      <c r="JRQ171" s="72"/>
      <c r="JRR171" s="72"/>
      <c r="JRS171" s="72"/>
      <c r="JRT171" s="72"/>
      <c r="JRU171" s="72"/>
      <c r="JRV171" s="72"/>
      <c r="JRW171" s="72"/>
      <c r="JRX171" s="72"/>
      <c r="JRY171" s="72"/>
      <c r="JRZ171" s="72"/>
      <c r="JSA171" s="72"/>
      <c r="JSB171" s="72"/>
      <c r="JSC171" s="72"/>
      <c r="JSD171" s="72"/>
      <c r="JSE171" s="72"/>
      <c r="JSF171" s="72"/>
      <c r="JSG171" s="72"/>
      <c r="JSH171" s="72"/>
      <c r="JSI171" s="72"/>
      <c r="JSJ171" s="72"/>
      <c r="JSK171" s="72"/>
      <c r="JSL171" s="72"/>
      <c r="JSM171" s="72"/>
      <c r="JSN171" s="72"/>
      <c r="JSO171" s="72"/>
      <c r="JSP171" s="72"/>
      <c r="JSQ171" s="72"/>
      <c r="JSR171" s="72"/>
      <c r="JSS171" s="72"/>
      <c r="JST171" s="72"/>
      <c r="JSU171" s="72"/>
      <c r="JSV171" s="72"/>
      <c r="JSW171" s="72"/>
      <c r="JSX171" s="72"/>
      <c r="JSY171" s="72"/>
      <c r="JSZ171" s="72"/>
      <c r="JTA171" s="72"/>
      <c r="JTB171" s="72"/>
      <c r="JTC171" s="72"/>
      <c r="JTD171" s="72"/>
      <c r="JTE171" s="72"/>
      <c r="JTF171" s="72"/>
      <c r="JTG171" s="72"/>
      <c r="JTH171" s="72"/>
      <c r="JTI171" s="72"/>
      <c r="JTJ171" s="72"/>
      <c r="JTK171" s="72"/>
      <c r="JTL171" s="72"/>
      <c r="JTM171" s="72"/>
      <c r="JTN171" s="72"/>
      <c r="JTO171" s="72"/>
      <c r="JTP171" s="72"/>
      <c r="JTQ171" s="72"/>
      <c r="JTR171" s="72"/>
      <c r="JTS171" s="72"/>
      <c r="JTT171" s="72"/>
      <c r="JTU171" s="72"/>
      <c r="JTV171" s="72"/>
      <c r="JTW171" s="72"/>
      <c r="JTX171" s="72"/>
      <c r="JTY171" s="72"/>
      <c r="JTZ171" s="72"/>
      <c r="JUA171" s="72"/>
      <c r="JUB171" s="72"/>
      <c r="JUC171" s="72"/>
      <c r="JUD171" s="72"/>
      <c r="JUE171" s="72"/>
      <c r="JUF171" s="72"/>
      <c r="JUG171" s="72"/>
      <c r="JUH171" s="72"/>
      <c r="JUI171" s="72"/>
      <c r="JUJ171" s="72"/>
      <c r="JUK171" s="72"/>
      <c r="JUL171" s="72"/>
      <c r="JUM171" s="72"/>
      <c r="JUN171" s="72"/>
      <c r="JUO171" s="72"/>
      <c r="JUP171" s="72"/>
      <c r="JUQ171" s="72"/>
      <c r="JUR171" s="72"/>
      <c r="JUS171" s="72"/>
      <c r="JUT171" s="72"/>
      <c r="JUU171" s="72"/>
      <c r="JUV171" s="72"/>
      <c r="JUW171" s="72"/>
      <c r="JUX171" s="72"/>
      <c r="JUY171" s="72"/>
      <c r="JUZ171" s="72"/>
      <c r="JVA171" s="72"/>
      <c r="JVB171" s="72"/>
      <c r="JVC171" s="72"/>
      <c r="JVD171" s="72"/>
      <c r="JVE171" s="72"/>
      <c r="JVF171" s="72"/>
      <c r="JVG171" s="72"/>
      <c r="JVH171" s="72"/>
      <c r="JVI171" s="72"/>
      <c r="JVJ171" s="72"/>
      <c r="JVK171" s="72"/>
      <c r="JVL171" s="72"/>
      <c r="JVM171" s="72"/>
      <c r="JVN171" s="72"/>
      <c r="JVO171" s="72"/>
      <c r="JVP171" s="72"/>
      <c r="JVQ171" s="72"/>
      <c r="JVR171" s="72"/>
      <c r="JVS171" s="72"/>
      <c r="JVT171" s="72"/>
      <c r="JVU171" s="72"/>
      <c r="JVV171" s="72"/>
      <c r="JVW171" s="72"/>
      <c r="JVX171" s="72"/>
      <c r="JVY171" s="72"/>
      <c r="JVZ171" s="72"/>
      <c r="JWA171" s="72"/>
      <c r="JWB171" s="72"/>
      <c r="JWC171" s="72"/>
      <c r="JWD171" s="72"/>
      <c r="JWE171" s="72"/>
      <c r="JWF171" s="72"/>
      <c r="JWG171" s="72"/>
      <c r="JWH171" s="72"/>
      <c r="JWI171" s="72"/>
      <c r="JWJ171" s="72"/>
      <c r="JWK171" s="72"/>
      <c r="JWL171" s="72"/>
      <c r="JWM171" s="72"/>
      <c r="JWN171" s="72"/>
      <c r="JWO171" s="72"/>
      <c r="JWP171" s="72"/>
      <c r="JWQ171" s="72"/>
      <c r="JWR171" s="72"/>
      <c r="JWS171" s="72"/>
      <c r="JWT171" s="72"/>
      <c r="JWU171" s="72"/>
      <c r="JWV171" s="72"/>
      <c r="JWW171" s="72"/>
      <c r="JWX171" s="72"/>
      <c r="JWY171" s="72"/>
      <c r="JWZ171" s="72"/>
      <c r="JXA171" s="72"/>
      <c r="JXB171" s="72"/>
      <c r="JXC171" s="72"/>
      <c r="JXD171" s="72"/>
      <c r="JXE171" s="72"/>
      <c r="JXF171" s="72"/>
      <c r="JXG171" s="72"/>
      <c r="JXH171" s="72"/>
      <c r="JXI171" s="72"/>
      <c r="JXJ171" s="72"/>
      <c r="JXK171" s="72"/>
      <c r="JXL171" s="72"/>
      <c r="JXM171" s="72"/>
      <c r="JXN171" s="72"/>
      <c r="JXO171" s="72"/>
      <c r="JXP171" s="72"/>
      <c r="JXQ171" s="72"/>
      <c r="JXR171" s="72"/>
      <c r="JXS171" s="72"/>
      <c r="JXT171" s="72"/>
      <c r="JXU171" s="72"/>
      <c r="JXV171" s="72"/>
      <c r="JXW171" s="72"/>
      <c r="JXX171" s="72"/>
      <c r="JXY171" s="72"/>
      <c r="JXZ171" s="72"/>
      <c r="JYA171" s="72"/>
      <c r="JYB171" s="72"/>
      <c r="JYC171" s="72"/>
      <c r="JYD171" s="72"/>
      <c r="JYE171" s="72"/>
      <c r="JYF171" s="72"/>
      <c r="JYG171" s="72"/>
      <c r="JYH171" s="72"/>
      <c r="JYI171" s="72"/>
      <c r="JYJ171" s="72"/>
      <c r="JYK171" s="72"/>
      <c r="JYL171" s="72"/>
      <c r="JYM171" s="72"/>
      <c r="JYN171" s="72"/>
      <c r="JYO171" s="72"/>
      <c r="JYP171" s="72"/>
      <c r="JYQ171" s="72"/>
      <c r="JYR171" s="72"/>
      <c r="JYS171" s="72"/>
      <c r="JYT171" s="72"/>
      <c r="JYU171" s="72"/>
      <c r="JYV171" s="72"/>
      <c r="JYW171" s="72"/>
      <c r="JYX171" s="72"/>
      <c r="JYY171" s="72"/>
      <c r="JYZ171" s="72"/>
      <c r="JZA171" s="72"/>
      <c r="JZB171" s="72"/>
      <c r="JZC171" s="72"/>
      <c r="JZD171" s="72"/>
      <c r="JZE171" s="72"/>
      <c r="JZF171" s="72"/>
      <c r="JZG171" s="72"/>
      <c r="JZH171" s="72"/>
      <c r="JZI171" s="72"/>
      <c r="JZJ171" s="72"/>
      <c r="JZK171" s="72"/>
      <c r="JZL171" s="72"/>
      <c r="JZM171" s="72"/>
      <c r="JZN171" s="72"/>
      <c r="JZO171" s="72"/>
      <c r="JZP171" s="72"/>
      <c r="JZQ171" s="72"/>
      <c r="JZR171" s="72"/>
      <c r="JZS171" s="72"/>
      <c r="JZT171" s="72"/>
      <c r="JZU171" s="72"/>
      <c r="JZV171" s="72"/>
      <c r="JZW171" s="72"/>
      <c r="JZX171" s="72"/>
      <c r="JZY171" s="72"/>
      <c r="JZZ171" s="72"/>
      <c r="KAA171" s="72"/>
      <c r="KAB171" s="72"/>
      <c r="KAC171" s="72"/>
      <c r="KAD171" s="72"/>
      <c r="KAE171" s="72"/>
      <c r="KAF171" s="72"/>
      <c r="KAG171" s="72"/>
      <c r="KAH171" s="72"/>
      <c r="KAI171" s="72"/>
      <c r="KAJ171" s="72"/>
      <c r="KAK171" s="72"/>
      <c r="KAL171" s="72"/>
      <c r="KAM171" s="72"/>
      <c r="KAN171" s="72"/>
      <c r="KAO171" s="72"/>
      <c r="KAP171" s="72"/>
      <c r="KAQ171" s="72"/>
      <c r="KAR171" s="72"/>
      <c r="KAS171" s="72"/>
      <c r="KAT171" s="72"/>
      <c r="KAU171" s="72"/>
      <c r="KAV171" s="72"/>
      <c r="KAW171" s="72"/>
      <c r="KAX171" s="72"/>
      <c r="KAY171" s="72"/>
      <c r="KAZ171" s="72"/>
      <c r="KBA171" s="72"/>
      <c r="KBB171" s="72"/>
      <c r="KBC171" s="72"/>
      <c r="KBD171" s="72"/>
      <c r="KBE171" s="72"/>
      <c r="KBF171" s="72"/>
      <c r="KBG171" s="72"/>
      <c r="KBH171" s="72"/>
      <c r="KBI171" s="72"/>
      <c r="KBJ171" s="72"/>
      <c r="KBK171" s="72"/>
      <c r="KBL171" s="72"/>
      <c r="KBM171" s="72"/>
      <c r="KBN171" s="72"/>
      <c r="KBO171" s="72"/>
      <c r="KBP171" s="72"/>
      <c r="KBQ171" s="72"/>
      <c r="KBR171" s="72"/>
      <c r="KBS171" s="72"/>
      <c r="KBT171" s="72"/>
      <c r="KBU171" s="72"/>
      <c r="KBV171" s="72"/>
      <c r="KBW171" s="72"/>
      <c r="KBX171" s="72"/>
      <c r="KBY171" s="72"/>
      <c r="KBZ171" s="72"/>
      <c r="KCA171" s="72"/>
      <c r="KCB171" s="72"/>
      <c r="KCC171" s="72"/>
      <c r="KCD171" s="72"/>
      <c r="KCE171" s="72"/>
      <c r="KCF171" s="72"/>
      <c r="KCG171" s="72"/>
      <c r="KCH171" s="72"/>
      <c r="KCI171" s="72"/>
      <c r="KCJ171" s="72"/>
      <c r="KCK171" s="72"/>
      <c r="KCL171" s="72"/>
      <c r="KCM171" s="72"/>
      <c r="KCN171" s="72"/>
      <c r="KCO171" s="72"/>
      <c r="KCP171" s="72"/>
      <c r="KCQ171" s="72"/>
      <c r="KCR171" s="72"/>
      <c r="KCS171" s="72"/>
      <c r="KCT171" s="72"/>
      <c r="KCU171" s="72"/>
      <c r="KCV171" s="72"/>
      <c r="KCW171" s="72"/>
      <c r="KCX171" s="72"/>
      <c r="KCY171" s="72"/>
      <c r="KCZ171" s="72"/>
      <c r="KDA171" s="72"/>
      <c r="KDB171" s="72"/>
      <c r="KDC171" s="72"/>
      <c r="KDD171" s="72"/>
      <c r="KDE171" s="72"/>
      <c r="KDF171" s="72"/>
      <c r="KDG171" s="72"/>
      <c r="KDH171" s="72"/>
      <c r="KDI171" s="72"/>
      <c r="KDJ171" s="72"/>
      <c r="KDK171" s="72"/>
      <c r="KDL171" s="72"/>
      <c r="KDM171" s="72"/>
      <c r="KDN171" s="72"/>
      <c r="KDO171" s="72"/>
      <c r="KDP171" s="72"/>
      <c r="KDQ171" s="72"/>
      <c r="KDR171" s="72"/>
      <c r="KDS171" s="72"/>
      <c r="KDT171" s="72"/>
      <c r="KDU171" s="72"/>
      <c r="KDV171" s="72"/>
      <c r="KDW171" s="72"/>
      <c r="KDX171" s="72"/>
      <c r="KDY171" s="72"/>
      <c r="KDZ171" s="72"/>
      <c r="KEA171" s="72"/>
      <c r="KEB171" s="72"/>
      <c r="KEC171" s="72"/>
      <c r="KED171" s="72"/>
      <c r="KEE171" s="72"/>
      <c r="KEF171" s="72"/>
      <c r="KEG171" s="72"/>
      <c r="KEH171" s="72"/>
      <c r="KEI171" s="72"/>
      <c r="KEJ171" s="72"/>
      <c r="KEK171" s="72"/>
      <c r="KEL171" s="72"/>
      <c r="KEM171" s="72"/>
      <c r="KEN171" s="72"/>
      <c r="KEO171" s="72"/>
      <c r="KEP171" s="72"/>
      <c r="KEQ171" s="72"/>
      <c r="KER171" s="72"/>
      <c r="KES171" s="72"/>
      <c r="KET171" s="72"/>
      <c r="KEU171" s="72"/>
      <c r="KEV171" s="72"/>
      <c r="KEW171" s="72"/>
      <c r="KEX171" s="72"/>
      <c r="KEY171" s="72"/>
      <c r="KEZ171" s="72"/>
      <c r="KFA171" s="72"/>
      <c r="KFB171" s="72"/>
      <c r="KFC171" s="72"/>
      <c r="KFD171" s="72"/>
      <c r="KFE171" s="72"/>
      <c r="KFF171" s="72"/>
      <c r="KFG171" s="72"/>
      <c r="KFH171" s="72"/>
      <c r="KFI171" s="72"/>
      <c r="KFJ171" s="72"/>
      <c r="KFK171" s="72"/>
      <c r="KFL171" s="72"/>
      <c r="KFM171" s="72"/>
      <c r="KFN171" s="72"/>
      <c r="KFO171" s="72"/>
      <c r="KFP171" s="72"/>
      <c r="KFQ171" s="72"/>
      <c r="KFR171" s="72"/>
      <c r="KFS171" s="72"/>
      <c r="KFT171" s="72"/>
      <c r="KFU171" s="72"/>
      <c r="KFV171" s="72"/>
      <c r="KFW171" s="72"/>
      <c r="KFX171" s="72"/>
      <c r="KFY171" s="72"/>
      <c r="KFZ171" s="72"/>
      <c r="KGA171" s="72"/>
      <c r="KGB171" s="72"/>
      <c r="KGC171" s="72"/>
      <c r="KGD171" s="72"/>
      <c r="KGE171" s="72"/>
      <c r="KGF171" s="72"/>
      <c r="KGG171" s="72"/>
      <c r="KGH171" s="72"/>
      <c r="KGI171" s="72"/>
      <c r="KGJ171" s="72"/>
      <c r="KGK171" s="72"/>
      <c r="KGL171" s="72"/>
      <c r="KGM171" s="72"/>
      <c r="KGN171" s="72"/>
      <c r="KGO171" s="72"/>
      <c r="KGP171" s="72"/>
      <c r="KGQ171" s="72"/>
      <c r="KGR171" s="72"/>
      <c r="KGS171" s="72"/>
      <c r="KGT171" s="72"/>
      <c r="KGU171" s="72"/>
      <c r="KGV171" s="72"/>
      <c r="KGW171" s="72"/>
      <c r="KGX171" s="72"/>
      <c r="KGY171" s="72"/>
      <c r="KGZ171" s="72"/>
      <c r="KHA171" s="72"/>
      <c r="KHB171" s="72"/>
      <c r="KHC171" s="72"/>
      <c r="KHD171" s="72"/>
      <c r="KHE171" s="72"/>
      <c r="KHF171" s="72"/>
      <c r="KHG171" s="72"/>
      <c r="KHH171" s="72"/>
      <c r="KHI171" s="72"/>
      <c r="KHJ171" s="72"/>
      <c r="KHK171" s="72"/>
      <c r="KHL171" s="72"/>
      <c r="KHM171" s="72"/>
      <c r="KHN171" s="72"/>
      <c r="KHO171" s="72"/>
      <c r="KHP171" s="72"/>
      <c r="KHQ171" s="72"/>
      <c r="KHR171" s="72"/>
      <c r="KHS171" s="72"/>
      <c r="KHT171" s="72"/>
      <c r="KHU171" s="72"/>
      <c r="KHV171" s="72"/>
      <c r="KHW171" s="72"/>
      <c r="KHX171" s="72"/>
      <c r="KHY171" s="72"/>
      <c r="KHZ171" s="72"/>
      <c r="KIA171" s="72"/>
      <c r="KIB171" s="72"/>
      <c r="KIC171" s="72"/>
      <c r="KID171" s="72"/>
      <c r="KIE171" s="72"/>
      <c r="KIF171" s="72"/>
      <c r="KIG171" s="72"/>
      <c r="KIH171" s="72"/>
      <c r="KII171" s="72"/>
      <c r="KIJ171" s="72"/>
      <c r="KIK171" s="72"/>
      <c r="KIL171" s="72"/>
      <c r="KIM171" s="72"/>
      <c r="KIN171" s="72"/>
      <c r="KIO171" s="72"/>
      <c r="KIP171" s="72"/>
      <c r="KIQ171" s="72"/>
      <c r="KIR171" s="72"/>
      <c r="KIS171" s="72"/>
      <c r="KIT171" s="72"/>
      <c r="KIU171" s="72"/>
      <c r="KIV171" s="72"/>
      <c r="KIW171" s="72"/>
      <c r="KIX171" s="72"/>
      <c r="KIY171" s="72"/>
      <c r="KIZ171" s="72"/>
      <c r="KJA171" s="72"/>
      <c r="KJB171" s="72"/>
      <c r="KJC171" s="72"/>
      <c r="KJD171" s="72"/>
      <c r="KJE171" s="72"/>
      <c r="KJF171" s="72"/>
      <c r="KJG171" s="72"/>
      <c r="KJH171" s="72"/>
      <c r="KJI171" s="72"/>
      <c r="KJJ171" s="72"/>
      <c r="KJK171" s="72"/>
      <c r="KJL171" s="72"/>
      <c r="KJM171" s="72"/>
      <c r="KJN171" s="72"/>
      <c r="KJO171" s="72"/>
      <c r="KJP171" s="72"/>
      <c r="KJQ171" s="72"/>
      <c r="KJR171" s="72"/>
      <c r="KJS171" s="72"/>
      <c r="KJT171" s="72"/>
      <c r="KJU171" s="72"/>
      <c r="KJV171" s="72"/>
      <c r="KJW171" s="72"/>
      <c r="KJX171" s="72"/>
      <c r="KJY171" s="72"/>
      <c r="KJZ171" s="72"/>
      <c r="KKA171" s="72"/>
      <c r="KKB171" s="72"/>
      <c r="KKC171" s="72"/>
      <c r="KKD171" s="72"/>
      <c r="KKE171" s="72"/>
      <c r="KKF171" s="72"/>
      <c r="KKG171" s="72"/>
      <c r="KKH171" s="72"/>
      <c r="KKI171" s="72"/>
      <c r="KKJ171" s="72"/>
      <c r="KKK171" s="72"/>
      <c r="KKL171" s="72"/>
      <c r="KKM171" s="72"/>
      <c r="KKN171" s="72"/>
      <c r="KKO171" s="72"/>
      <c r="KKP171" s="72"/>
      <c r="KKQ171" s="72"/>
      <c r="KKR171" s="72"/>
      <c r="KKS171" s="72"/>
      <c r="KKT171" s="72"/>
      <c r="KKU171" s="72"/>
      <c r="KKV171" s="72"/>
      <c r="KKW171" s="72"/>
      <c r="KKX171" s="72"/>
      <c r="KKY171" s="72"/>
      <c r="KKZ171" s="72"/>
      <c r="KLA171" s="72"/>
      <c r="KLB171" s="72"/>
      <c r="KLC171" s="72"/>
      <c r="KLD171" s="72"/>
      <c r="KLE171" s="72"/>
      <c r="KLF171" s="72"/>
      <c r="KLG171" s="72"/>
      <c r="KLH171" s="72"/>
      <c r="KLI171" s="72"/>
      <c r="KLJ171" s="72"/>
      <c r="KLK171" s="72"/>
      <c r="KLL171" s="72"/>
      <c r="KLM171" s="72"/>
      <c r="KLN171" s="72"/>
      <c r="KLO171" s="72"/>
      <c r="KLP171" s="72"/>
      <c r="KLQ171" s="72"/>
      <c r="KLR171" s="72"/>
      <c r="KLS171" s="72"/>
      <c r="KLT171" s="72"/>
      <c r="KLU171" s="72"/>
      <c r="KLV171" s="72"/>
      <c r="KLW171" s="72"/>
      <c r="KLX171" s="72"/>
      <c r="KLY171" s="72"/>
      <c r="KLZ171" s="72"/>
      <c r="KMA171" s="72"/>
      <c r="KMB171" s="72"/>
      <c r="KMC171" s="72"/>
      <c r="KMD171" s="72"/>
      <c r="KME171" s="72"/>
      <c r="KMF171" s="72"/>
      <c r="KMG171" s="72"/>
      <c r="KMH171" s="72"/>
      <c r="KMI171" s="72"/>
      <c r="KMJ171" s="72"/>
      <c r="KMK171" s="72"/>
      <c r="KML171" s="72"/>
      <c r="KMM171" s="72"/>
      <c r="KMN171" s="72"/>
      <c r="KMO171" s="72"/>
      <c r="KMP171" s="72"/>
      <c r="KMQ171" s="72"/>
      <c r="KMR171" s="72"/>
      <c r="KMS171" s="72"/>
      <c r="KMT171" s="72"/>
      <c r="KMU171" s="72"/>
      <c r="KMV171" s="72"/>
      <c r="KMW171" s="72"/>
      <c r="KMX171" s="72"/>
      <c r="KMY171" s="72"/>
      <c r="KMZ171" s="72"/>
      <c r="KNA171" s="72"/>
      <c r="KNB171" s="72"/>
      <c r="KNC171" s="72"/>
      <c r="KND171" s="72"/>
      <c r="KNE171" s="72"/>
      <c r="KNF171" s="72"/>
      <c r="KNG171" s="72"/>
      <c r="KNH171" s="72"/>
      <c r="KNI171" s="72"/>
      <c r="KNJ171" s="72"/>
      <c r="KNK171" s="72"/>
      <c r="KNL171" s="72"/>
      <c r="KNM171" s="72"/>
      <c r="KNN171" s="72"/>
      <c r="KNO171" s="72"/>
      <c r="KNP171" s="72"/>
      <c r="KNQ171" s="72"/>
      <c r="KNR171" s="72"/>
      <c r="KNS171" s="72"/>
      <c r="KNT171" s="72"/>
      <c r="KNU171" s="72"/>
      <c r="KNV171" s="72"/>
      <c r="KNW171" s="72"/>
      <c r="KNX171" s="72"/>
      <c r="KNY171" s="72"/>
      <c r="KNZ171" s="72"/>
      <c r="KOA171" s="72"/>
      <c r="KOB171" s="72"/>
      <c r="KOC171" s="72"/>
      <c r="KOD171" s="72"/>
      <c r="KOE171" s="72"/>
      <c r="KOF171" s="72"/>
      <c r="KOG171" s="72"/>
      <c r="KOH171" s="72"/>
      <c r="KOI171" s="72"/>
      <c r="KOJ171" s="72"/>
      <c r="KOK171" s="72"/>
      <c r="KOL171" s="72"/>
      <c r="KOM171" s="72"/>
      <c r="KON171" s="72"/>
      <c r="KOO171" s="72"/>
      <c r="KOP171" s="72"/>
      <c r="KOQ171" s="72"/>
      <c r="KOR171" s="72"/>
      <c r="KOS171" s="72"/>
      <c r="KOT171" s="72"/>
      <c r="KOU171" s="72"/>
      <c r="KOV171" s="72"/>
      <c r="KOW171" s="72"/>
      <c r="KOX171" s="72"/>
      <c r="KOY171" s="72"/>
      <c r="KOZ171" s="72"/>
      <c r="KPA171" s="72"/>
      <c r="KPB171" s="72"/>
      <c r="KPC171" s="72"/>
      <c r="KPD171" s="72"/>
      <c r="KPE171" s="72"/>
      <c r="KPF171" s="72"/>
      <c r="KPG171" s="72"/>
      <c r="KPH171" s="72"/>
      <c r="KPI171" s="72"/>
      <c r="KPJ171" s="72"/>
      <c r="KPK171" s="72"/>
      <c r="KPL171" s="72"/>
      <c r="KPM171" s="72"/>
      <c r="KPN171" s="72"/>
      <c r="KPO171" s="72"/>
      <c r="KPP171" s="72"/>
      <c r="KPQ171" s="72"/>
      <c r="KPR171" s="72"/>
      <c r="KPS171" s="72"/>
      <c r="KPT171" s="72"/>
      <c r="KPU171" s="72"/>
      <c r="KPV171" s="72"/>
      <c r="KPW171" s="72"/>
      <c r="KPX171" s="72"/>
      <c r="KPY171" s="72"/>
      <c r="KPZ171" s="72"/>
      <c r="KQA171" s="72"/>
      <c r="KQB171" s="72"/>
      <c r="KQC171" s="72"/>
      <c r="KQD171" s="72"/>
      <c r="KQE171" s="72"/>
      <c r="KQF171" s="72"/>
      <c r="KQG171" s="72"/>
      <c r="KQH171" s="72"/>
      <c r="KQI171" s="72"/>
      <c r="KQJ171" s="72"/>
      <c r="KQK171" s="72"/>
      <c r="KQL171" s="72"/>
      <c r="KQM171" s="72"/>
      <c r="KQN171" s="72"/>
      <c r="KQO171" s="72"/>
      <c r="KQP171" s="72"/>
      <c r="KQQ171" s="72"/>
      <c r="KQR171" s="72"/>
      <c r="KQS171" s="72"/>
      <c r="KQT171" s="72"/>
      <c r="KQU171" s="72"/>
      <c r="KQV171" s="72"/>
      <c r="KQW171" s="72"/>
      <c r="KQX171" s="72"/>
      <c r="KQY171" s="72"/>
      <c r="KQZ171" s="72"/>
      <c r="KRA171" s="72"/>
      <c r="KRB171" s="72"/>
      <c r="KRC171" s="72"/>
      <c r="KRD171" s="72"/>
      <c r="KRE171" s="72"/>
      <c r="KRF171" s="72"/>
      <c r="KRG171" s="72"/>
      <c r="KRH171" s="72"/>
      <c r="KRI171" s="72"/>
      <c r="KRJ171" s="72"/>
      <c r="KRK171" s="72"/>
      <c r="KRL171" s="72"/>
      <c r="KRM171" s="72"/>
      <c r="KRN171" s="72"/>
      <c r="KRO171" s="72"/>
      <c r="KRP171" s="72"/>
      <c r="KRQ171" s="72"/>
      <c r="KRR171" s="72"/>
      <c r="KRS171" s="72"/>
      <c r="KRT171" s="72"/>
      <c r="KRU171" s="72"/>
      <c r="KRV171" s="72"/>
      <c r="KRW171" s="72"/>
      <c r="KRX171" s="72"/>
      <c r="KRY171" s="72"/>
      <c r="KRZ171" s="72"/>
      <c r="KSA171" s="72"/>
      <c r="KSB171" s="72"/>
      <c r="KSC171" s="72"/>
      <c r="KSD171" s="72"/>
      <c r="KSE171" s="72"/>
      <c r="KSF171" s="72"/>
      <c r="KSG171" s="72"/>
      <c r="KSH171" s="72"/>
      <c r="KSI171" s="72"/>
      <c r="KSJ171" s="72"/>
      <c r="KSK171" s="72"/>
      <c r="KSL171" s="72"/>
      <c r="KSM171" s="72"/>
      <c r="KSN171" s="72"/>
      <c r="KSO171" s="72"/>
      <c r="KSP171" s="72"/>
      <c r="KSQ171" s="72"/>
      <c r="KSR171" s="72"/>
      <c r="KSS171" s="72"/>
      <c r="KST171" s="72"/>
      <c r="KSU171" s="72"/>
      <c r="KSV171" s="72"/>
      <c r="KSW171" s="72"/>
      <c r="KSX171" s="72"/>
      <c r="KSY171" s="72"/>
      <c r="KSZ171" s="72"/>
      <c r="KTA171" s="72"/>
      <c r="KTB171" s="72"/>
      <c r="KTC171" s="72"/>
      <c r="KTD171" s="72"/>
      <c r="KTE171" s="72"/>
      <c r="KTF171" s="72"/>
      <c r="KTG171" s="72"/>
      <c r="KTH171" s="72"/>
      <c r="KTI171" s="72"/>
      <c r="KTJ171" s="72"/>
      <c r="KTK171" s="72"/>
      <c r="KTL171" s="72"/>
      <c r="KTM171" s="72"/>
      <c r="KTN171" s="72"/>
      <c r="KTO171" s="72"/>
      <c r="KTP171" s="72"/>
      <c r="KTQ171" s="72"/>
      <c r="KTR171" s="72"/>
      <c r="KTS171" s="72"/>
      <c r="KTT171" s="72"/>
      <c r="KTU171" s="72"/>
      <c r="KTV171" s="72"/>
      <c r="KTW171" s="72"/>
      <c r="KTX171" s="72"/>
      <c r="KTY171" s="72"/>
      <c r="KTZ171" s="72"/>
      <c r="KUA171" s="72"/>
      <c r="KUB171" s="72"/>
      <c r="KUC171" s="72"/>
      <c r="KUD171" s="72"/>
      <c r="KUE171" s="72"/>
      <c r="KUF171" s="72"/>
      <c r="KUG171" s="72"/>
      <c r="KUH171" s="72"/>
      <c r="KUI171" s="72"/>
      <c r="KUJ171" s="72"/>
      <c r="KUK171" s="72"/>
      <c r="KUL171" s="72"/>
      <c r="KUM171" s="72"/>
      <c r="KUN171" s="72"/>
      <c r="KUO171" s="72"/>
      <c r="KUP171" s="72"/>
      <c r="KUQ171" s="72"/>
      <c r="KUR171" s="72"/>
      <c r="KUS171" s="72"/>
      <c r="KUT171" s="72"/>
      <c r="KUU171" s="72"/>
      <c r="KUV171" s="72"/>
      <c r="KUW171" s="72"/>
      <c r="KUX171" s="72"/>
      <c r="KUY171" s="72"/>
      <c r="KUZ171" s="72"/>
      <c r="KVA171" s="72"/>
      <c r="KVB171" s="72"/>
      <c r="KVC171" s="72"/>
      <c r="KVD171" s="72"/>
      <c r="KVE171" s="72"/>
      <c r="KVF171" s="72"/>
      <c r="KVG171" s="72"/>
      <c r="KVH171" s="72"/>
      <c r="KVI171" s="72"/>
      <c r="KVJ171" s="72"/>
      <c r="KVK171" s="72"/>
      <c r="KVL171" s="72"/>
      <c r="KVM171" s="72"/>
      <c r="KVN171" s="72"/>
      <c r="KVO171" s="72"/>
      <c r="KVP171" s="72"/>
      <c r="KVQ171" s="72"/>
      <c r="KVR171" s="72"/>
      <c r="KVS171" s="72"/>
      <c r="KVT171" s="72"/>
      <c r="KVU171" s="72"/>
      <c r="KVV171" s="72"/>
      <c r="KVW171" s="72"/>
      <c r="KVX171" s="72"/>
      <c r="KVY171" s="72"/>
      <c r="KVZ171" s="72"/>
      <c r="KWA171" s="72"/>
      <c r="KWB171" s="72"/>
      <c r="KWC171" s="72"/>
      <c r="KWD171" s="72"/>
      <c r="KWE171" s="72"/>
      <c r="KWF171" s="72"/>
      <c r="KWG171" s="72"/>
      <c r="KWH171" s="72"/>
      <c r="KWI171" s="72"/>
      <c r="KWJ171" s="72"/>
      <c r="KWK171" s="72"/>
      <c r="KWL171" s="72"/>
      <c r="KWM171" s="72"/>
      <c r="KWN171" s="72"/>
      <c r="KWO171" s="72"/>
      <c r="KWP171" s="72"/>
      <c r="KWQ171" s="72"/>
      <c r="KWR171" s="72"/>
      <c r="KWS171" s="72"/>
      <c r="KWT171" s="72"/>
      <c r="KWU171" s="72"/>
      <c r="KWV171" s="72"/>
      <c r="KWW171" s="72"/>
      <c r="KWX171" s="72"/>
      <c r="KWY171" s="72"/>
      <c r="KWZ171" s="72"/>
      <c r="KXA171" s="72"/>
      <c r="KXB171" s="72"/>
      <c r="KXC171" s="72"/>
      <c r="KXD171" s="72"/>
      <c r="KXE171" s="72"/>
      <c r="KXF171" s="72"/>
      <c r="KXG171" s="72"/>
      <c r="KXH171" s="72"/>
      <c r="KXI171" s="72"/>
      <c r="KXJ171" s="72"/>
      <c r="KXK171" s="72"/>
      <c r="KXL171" s="72"/>
      <c r="KXM171" s="72"/>
      <c r="KXN171" s="72"/>
      <c r="KXO171" s="72"/>
      <c r="KXP171" s="72"/>
      <c r="KXQ171" s="72"/>
      <c r="KXR171" s="72"/>
      <c r="KXS171" s="72"/>
      <c r="KXT171" s="72"/>
      <c r="KXU171" s="72"/>
      <c r="KXV171" s="72"/>
      <c r="KXW171" s="72"/>
      <c r="KXX171" s="72"/>
      <c r="KXY171" s="72"/>
      <c r="KXZ171" s="72"/>
      <c r="KYA171" s="72"/>
      <c r="KYB171" s="72"/>
      <c r="KYC171" s="72"/>
      <c r="KYD171" s="72"/>
      <c r="KYE171" s="72"/>
      <c r="KYF171" s="72"/>
      <c r="KYG171" s="72"/>
      <c r="KYH171" s="72"/>
      <c r="KYI171" s="72"/>
      <c r="KYJ171" s="72"/>
      <c r="KYK171" s="72"/>
      <c r="KYL171" s="72"/>
      <c r="KYM171" s="72"/>
      <c r="KYN171" s="72"/>
      <c r="KYO171" s="72"/>
      <c r="KYP171" s="72"/>
      <c r="KYQ171" s="72"/>
      <c r="KYR171" s="72"/>
      <c r="KYS171" s="72"/>
      <c r="KYT171" s="72"/>
      <c r="KYU171" s="72"/>
      <c r="KYV171" s="72"/>
      <c r="KYW171" s="72"/>
      <c r="KYX171" s="72"/>
      <c r="KYY171" s="72"/>
      <c r="KYZ171" s="72"/>
      <c r="KZA171" s="72"/>
      <c r="KZB171" s="72"/>
      <c r="KZC171" s="72"/>
      <c r="KZD171" s="72"/>
      <c r="KZE171" s="72"/>
      <c r="KZF171" s="72"/>
      <c r="KZG171" s="72"/>
      <c r="KZH171" s="72"/>
      <c r="KZI171" s="72"/>
      <c r="KZJ171" s="72"/>
      <c r="KZK171" s="72"/>
      <c r="KZL171" s="72"/>
      <c r="KZM171" s="72"/>
      <c r="KZN171" s="72"/>
      <c r="KZO171" s="72"/>
      <c r="KZP171" s="72"/>
      <c r="KZQ171" s="72"/>
      <c r="KZR171" s="72"/>
      <c r="KZS171" s="72"/>
      <c r="KZT171" s="72"/>
      <c r="KZU171" s="72"/>
      <c r="KZV171" s="72"/>
      <c r="KZW171" s="72"/>
      <c r="KZX171" s="72"/>
      <c r="KZY171" s="72"/>
      <c r="KZZ171" s="72"/>
      <c r="LAA171" s="72"/>
      <c r="LAB171" s="72"/>
      <c r="LAC171" s="72"/>
      <c r="LAD171" s="72"/>
      <c r="LAE171" s="72"/>
      <c r="LAF171" s="72"/>
      <c r="LAG171" s="72"/>
      <c r="LAH171" s="72"/>
      <c r="LAI171" s="72"/>
      <c r="LAJ171" s="72"/>
      <c r="LAK171" s="72"/>
      <c r="LAL171" s="72"/>
      <c r="LAM171" s="72"/>
      <c r="LAN171" s="72"/>
      <c r="LAO171" s="72"/>
      <c r="LAP171" s="72"/>
      <c r="LAQ171" s="72"/>
      <c r="LAR171" s="72"/>
      <c r="LAS171" s="72"/>
      <c r="LAT171" s="72"/>
      <c r="LAU171" s="72"/>
      <c r="LAV171" s="72"/>
      <c r="LAW171" s="72"/>
      <c r="LAX171" s="72"/>
      <c r="LAY171" s="72"/>
      <c r="LAZ171" s="72"/>
      <c r="LBA171" s="72"/>
      <c r="LBB171" s="72"/>
      <c r="LBC171" s="72"/>
      <c r="LBD171" s="72"/>
      <c r="LBE171" s="72"/>
      <c r="LBF171" s="72"/>
      <c r="LBG171" s="72"/>
      <c r="LBH171" s="72"/>
      <c r="LBI171" s="72"/>
      <c r="LBJ171" s="72"/>
      <c r="LBK171" s="72"/>
      <c r="LBL171" s="72"/>
      <c r="LBM171" s="72"/>
      <c r="LBN171" s="72"/>
      <c r="LBO171" s="72"/>
      <c r="LBP171" s="72"/>
      <c r="LBQ171" s="72"/>
      <c r="LBR171" s="72"/>
      <c r="LBS171" s="72"/>
      <c r="LBT171" s="72"/>
      <c r="LBU171" s="72"/>
      <c r="LBV171" s="72"/>
      <c r="LBW171" s="72"/>
      <c r="LBX171" s="72"/>
      <c r="LBY171" s="72"/>
      <c r="LBZ171" s="72"/>
      <c r="LCA171" s="72"/>
      <c r="LCB171" s="72"/>
      <c r="LCC171" s="72"/>
      <c r="LCD171" s="72"/>
      <c r="LCE171" s="72"/>
      <c r="LCF171" s="72"/>
      <c r="LCG171" s="72"/>
      <c r="LCH171" s="72"/>
      <c r="LCI171" s="72"/>
      <c r="LCJ171" s="72"/>
      <c r="LCK171" s="72"/>
      <c r="LCL171" s="72"/>
      <c r="LCM171" s="72"/>
      <c r="LCN171" s="72"/>
      <c r="LCO171" s="72"/>
      <c r="LCP171" s="72"/>
      <c r="LCQ171" s="72"/>
      <c r="LCR171" s="72"/>
      <c r="LCS171" s="72"/>
      <c r="LCT171" s="72"/>
      <c r="LCU171" s="72"/>
      <c r="LCV171" s="72"/>
      <c r="LCW171" s="72"/>
      <c r="LCX171" s="72"/>
      <c r="LCY171" s="72"/>
      <c r="LCZ171" s="72"/>
      <c r="LDA171" s="72"/>
      <c r="LDB171" s="72"/>
      <c r="LDC171" s="72"/>
      <c r="LDD171" s="72"/>
      <c r="LDE171" s="72"/>
      <c r="LDF171" s="72"/>
      <c r="LDG171" s="72"/>
      <c r="LDH171" s="72"/>
      <c r="LDI171" s="72"/>
      <c r="LDJ171" s="72"/>
      <c r="LDK171" s="72"/>
      <c r="LDL171" s="72"/>
      <c r="LDM171" s="72"/>
      <c r="LDN171" s="72"/>
      <c r="LDO171" s="72"/>
      <c r="LDP171" s="72"/>
      <c r="LDQ171" s="72"/>
      <c r="LDR171" s="72"/>
      <c r="LDS171" s="72"/>
      <c r="LDT171" s="72"/>
      <c r="LDU171" s="72"/>
      <c r="LDV171" s="72"/>
      <c r="LDW171" s="72"/>
      <c r="LDX171" s="72"/>
      <c r="LDY171" s="72"/>
      <c r="LDZ171" s="72"/>
      <c r="LEA171" s="72"/>
      <c r="LEB171" s="72"/>
      <c r="LEC171" s="72"/>
      <c r="LED171" s="72"/>
      <c r="LEE171" s="72"/>
      <c r="LEF171" s="72"/>
      <c r="LEG171" s="72"/>
      <c r="LEH171" s="72"/>
      <c r="LEI171" s="72"/>
      <c r="LEJ171" s="72"/>
      <c r="LEK171" s="72"/>
      <c r="LEL171" s="72"/>
      <c r="LEM171" s="72"/>
      <c r="LEN171" s="72"/>
      <c r="LEO171" s="72"/>
      <c r="LEP171" s="72"/>
      <c r="LEQ171" s="72"/>
      <c r="LER171" s="72"/>
      <c r="LES171" s="72"/>
      <c r="LET171" s="72"/>
      <c r="LEU171" s="72"/>
      <c r="LEV171" s="72"/>
      <c r="LEW171" s="72"/>
      <c r="LEX171" s="72"/>
      <c r="LEY171" s="72"/>
      <c r="LEZ171" s="72"/>
      <c r="LFA171" s="72"/>
      <c r="LFB171" s="72"/>
      <c r="LFC171" s="72"/>
      <c r="LFD171" s="72"/>
      <c r="LFE171" s="72"/>
      <c r="LFF171" s="72"/>
      <c r="LFG171" s="72"/>
      <c r="LFH171" s="72"/>
      <c r="LFI171" s="72"/>
      <c r="LFJ171" s="72"/>
      <c r="LFK171" s="72"/>
      <c r="LFL171" s="72"/>
      <c r="LFM171" s="72"/>
      <c r="LFN171" s="72"/>
      <c r="LFO171" s="72"/>
      <c r="LFP171" s="72"/>
      <c r="LFQ171" s="72"/>
      <c r="LFR171" s="72"/>
      <c r="LFS171" s="72"/>
      <c r="LFT171" s="72"/>
      <c r="LFU171" s="72"/>
      <c r="LFV171" s="72"/>
      <c r="LFW171" s="72"/>
      <c r="LFX171" s="72"/>
      <c r="LFY171" s="72"/>
      <c r="LFZ171" s="72"/>
      <c r="LGA171" s="72"/>
      <c r="LGB171" s="72"/>
      <c r="LGC171" s="72"/>
      <c r="LGD171" s="72"/>
      <c r="LGE171" s="72"/>
      <c r="LGF171" s="72"/>
      <c r="LGG171" s="72"/>
      <c r="LGH171" s="72"/>
      <c r="LGI171" s="72"/>
      <c r="LGJ171" s="72"/>
      <c r="LGK171" s="72"/>
      <c r="LGL171" s="72"/>
      <c r="LGM171" s="72"/>
      <c r="LGN171" s="72"/>
      <c r="LGO171" s="72"/>
      <c r="LGP171" s="72"/>
      <c r="LGQ171" s="72"/>
      <c r="LGR171" s="72"/>
      <c r="LGS171" s="72"/>
      <c r="LGT171" s="72"/>
      <c r="LGU171" s="72"/>
      <c r="LGV171" s="72"/>
      <c r="LGW171" s="72"/>
      <c r="LGX171" s="72"/>
      <c r="LGY171" s="72"/>
      <c r="LGZ171" s="72"/>
      <c r="LHA171" s="72"/>
      <c r="LHB171" s="72"/>
      <c r="LHC171" s="72"/>
      <c r="LHD171" s="72"/>
      <c r="LHE171" s="72"/>
      <c r="LHF171" s="72"/>
      <c r="LHG171" s="72"/>
      <c r="LHH171" s="72"/>
      <c r="LHI171" s="72"/>
      <c r="LHJ171" s="72"/>
      <c r="LHK171" s="72"/>
      <c r="LHL171" s="72"/>
      <c r="LHM171" s="72"/>
      <c r="LHN171" s="72"/>
      <c r="LHO171" s="72"/>
      <c r="LHP171" s="72"/>
      <c r="LHQ171" s="72"/>
      <c r="LHR171" s="72"/>
      <c r="LHS171" s="72"/>
      <c r="LHT171" s="72"/>
      <c r="LHU171" s="72"/>
      <c r="LHV171" s="72"/>
      <c r="LHW171" s="72"/>
      <c r="LHX171" s="72"/>
      <c r="LHY171" s="72"/>
      <c r="LHZ171" s="72"/>
      <c r="LIA171" s="72"/>
      <c r="LIB171" s="72"/>
      <c r="LIC171" s="72"/>
      <c r="LID171" s="72"/>
      <c r="LIE171" s="72"/>
      <c r="LIF171" s="72"/>
      <c r="LIG171" s="72"/>
      <c r="LIH171" s="72"/>
      <c r="LII171" s="72"/>
      <c r="LIJ171" s="72"/>
      <c r="LIK171" s="72"/>
      <c r="LIL171" s="72"/>
      <c r="LIM171" s="72"/>
      <c r="LIN171" s="72"/>
      <c r="LIO171" s="72"/>
      <c r="LIP171" s="72"/>
      <c r="LIQ171" s="72"/>
      <c r="LIR171" s="72"/>
      <c r="LIS171" s="72"/>
      <c r="LIT171" s="72"/>
      <c r="LIU171" s="72"/>
      <c r="LIV171" s="72"/>
      <c r="LIW171" s="72"/>
      <c r="LIX171" s="72"/>
      <c r="LIY171" s="72"/>
      <c r="LIZ171" s="72"/>
      <c r="LJA171" s="72"/>
      <c r="LJB171" s="72"/>
      <c r="LJC171" s="72"/>
      <c r="LJD171" s="72"/>
      <c r="LJE171" s="72"/>
      <c r="LJF171" s="72"/>
      <c r="LJG171" s="72"/>
      <c r="LJH171" s="72"/>
      <c r="LJI171" s="72"/>
      <c r="LJJ171" s="72"/>
      <c r="LJK171" s="72"/>
      <c r="LJL171" s="72"/>
      <c r="LJM171" s="72"/>
      <c r="LJN171" s="72"/>
      <c r="LJO171" s="72"/>
      <c r="LJP171" s="72"/>
      <c r="LJQ171" s="72"/>
      <c r="LJR171" s="72"/>
      <c r="LJS171" s="72"/>
      <c r="LJT171" s="72"/>
      <c r="LJU171" s="72"/>
      <c r="LJV171" s="72"/>
      <c r="LJW171" s="72"/>
      <c r="LJX171" s="72"/>
      <c r="LJY171" s="72"/>
      <c r="LJZ171" s="72"/>
      <c r="LKA171" s="72"/>
      <c r="LKB171" s="72"/>
      <c r="LKC171" s="72"/>
      <c r="LKD171" s="72"/>
      <c r="LKE171" s="72"/>
      <c r="LKF171" s="72"/>
      <c r="LKG171" s="72"/>
      <c r="LKH171" s="72"/>
      <c r="LKI171" s="72"/>
      <c r="LKJ171" s="72"/>
      <c r="LKK171" s="72"/>
      <c r="LKL171" s="72"/>
      <c r="LKM171" s="72"/>
      <c r="LKN171" s="72"/>
      <c r="LKO171" s="72"/>
      <c r="LKP171" s="72"/>
      <c r="LKQ171" s="72"/>
      <c r="LKR171" s="72"/>
      <c r="LKS171" s="72"/>
      <c r="LKT171" s="72"/>
      <c r="LKU171" s="72"/>
      <c r="LKV171" s="72"/>
      <c r="LKW171" s="72"/>
      <c r="LKX171" s="72"/>
      <c r="LKY171" s="72"/>
      <c r="LKZ171" s="72"/>
      <c r="LLA171" s="72"/>
      <c r="LLB171" s="72"/>
      <c r="LLC171" s="72"/>
      <c r="LLD171" s="72"/>
      <c r="LLE171" s="72"/>
      <c r="LLF171" s="72"/>
      <c r="LLG171" s="72"/>
      <c r="LLH171" s="72"/>
      <c r="LLI171" s="72"/>
      <c r="LLJ171" s="72"/>
      <c r="LLK171" s="72"/>
      <c r="LLL171" s="72"/>
      <c r="LLM171" s="72"/>
      <c r="LLN171" s="72"/>
      <c r="LLO171" s="72"/>
      <c r="LLP171" s="72"/>
      <c r="LLQ171" s="72"/>
      <c r="LLR171" s="72"/>
      <c r="LLS171" s="72"/>
      <c r="LLT171" s="72"/>
      <c r="LLU171" s="72"/>
      <c r="LLV171" s="72"/>
      <c r="LLW171" s="72"/>
      <c r="LLX171" s="72"/>
      <c r="LLY171" s="72"/>
      <c r="LLZ171" s="72"/>
      <c r="LMA171" s="72"/>
      <c r="LMB171" s="72"/>
      <c r="LMC171" s="72"/>
      <c r="LMD171" s="72"/>
      <c r="LME171" s="72"/>
      <c r="LMF171" s="72"/>
      <c r="LMG171" s="72"/>
      <c r="LMH171" s="72"/>
      <c r="LMI171" s="72"/>
      <c r="LMJ171" s="72"/>
      <c r="LMK171" s="72"/>
      <c r="LML171" s="72"/>
      <c r="LMM171" s="72"/>
      <c r="LMN171" s="72"/>
      <c r="LMO171" s="72"/>
      <c r="LMP171" s="72"/>
      <c r="LMQ171" s="72"/>
      <c r="LMR171" s="72"/>
      <c r="LMS171" s="72"/>
      <c r="LMT171" s="72"/>
      <c r="LMU171" s="72"/>
      <c r="LMV171" s="72"/>
      <c r="LMW171" s="72"/>
      <c r="LMX171" s="72"/>
      <c r="LMY171" s="72"/>
      <c r="LMZ171" s="72"/>
      <c r="LNA171" s="72"/>
      <c r="LNB171" s="72"/>
      <c r="LNC171" s="72"/>
      <c r="LND171" s="72"/>
      <c r="LNE171" s="72"/>
      <c r="LNF171" s="72"/>
      <c r="LNG171" s="72"/>
      <c r="LNH171" s="72"/>
      <c r="LNI171" s="72"/>
      <c r="LNJ171" s="72"/>
      <c r="LNK171" s="72"/>
      <c r="LNL171" s="72"/>
      <c r="LNM171" s="72"/>
      <c r="LNN171" s="72"/>
      <c r="LNO171" s="72"/>
      <c r="LNP171" s="72"/>
      <c r="LNQ171" s="72"/>
      <c r="LNR171" s="72"/>
      <c r="LNS171" s="72"/>
      <c r="LNT171" s="72"/>
      <c r="LNU171" s="72"/>
      <c r="LNV171" s="72"/>
      <c r="LNW171" s="72"/>
      <c r="LNX171" s="72"/>
      <c r="LNY171" s="72"/>
      <c r="LNZ171" s="72"/>
      <c r="LOA171" s="72"/>
      <c r="LOB171" s="72"/>
      <c r="LOC171" s="72"/>
      <c r="LOD171" s="72"/>
      <c r="LOE171" s="72"/>
      <c r="LOF171" s="72"/>
      <c r="LOG171" s="72"/>
      <c r="LOH171" s="72"/>
      <c r="LOI171" s="72"/>
      <c r="LOJ171" s="72"/>
      <c r="LOK171" s="72"/>
      <c r="LOL171" s="72"/>
      <c r="LOM171" s="72"/>
      <c r="LON171" s="72"/>
      <c r="LOO171" s="72"/>
      <c r="LOP171" s="72"/>
      <c r="LOQ171" s="72"/>
      <c r="LOR171" s="72"/>
      <c r="LOS171" s="72"/>
      <c r="LOT171" s="72"/>
      <c r="LOU171" s="72"/>
      <c r="LOV171" s="72"/>
      <c r="LOW171" s="72"/>
      <c r="LOX171" s="72"/>
      <c r="LOY171" s="72"/>
      <c r="LOZ171" s="72"/>
      <c r="LPA171" s="72"/>
      <c r="LPB171" s="72"/>
      <c r="LPC171" s="72"/>
      <c r="LPD171" s="72"/>
      <c r="LPE171" s="72"/>
      <c r="LPF171" s="72"/>
      <c r="LPG171" s="72"/>
      <c r="LPH171" s="72"/>
      <c r="LPI171" s="72"/>
      <c r="LPJ171" s="72"/>
      <c r="LPK171" s="72"/>
      <c r="LPL171" s="72"/>
      <c r="LPM171" s="72"/>
      <c r="LPN171" s="72"/>
      <c r="LPO171" s="72"/>
      <c r="LPP171" s="72"/>
      <c r="LPQ171" s="72"/>
      <c r="LPR171" s="72"/>
      <c r="LPS171" s="72"/>
      <c r="LPT171" s="72"/>
      <c r="LPU171" s="72"/>
      <c r="LPV171" s="72"/>
      <c r="LPW171" s="72"/>
      <c r="LPX171" s="72"/>
      <c r="LPY171" s="72"/>
      <c r="LPZ171" s="72"/>
      <c r="LQA171" s="72"/>
      <c r="LQB171" s="72"/>
      <c r="LQC171" s="72"/>
      <c r="LQD171" s="72"/>
      <c r="LQE171" s="72"/>
      <c r="LQF171" s="72"/>
      <c r="LQG171" s="72"/>
      <c r="LQH171" s="72"/>
      <c r="LQI171" s="72"/>
      <c r="LQJ171" s="72"/>
      <c r="LQK171" s="72"/>
      <c r="LQL171" s="72"/>
      <c r="LQM171" s="72"/>
      <c r="LQN171" s="72"/>
      <c r="LQO171" s="72"/>
      <c r="LQP171" s="72"/>
      <c r="LQQ171" s="72"/>
      <c r="LQR171" s="72"/>
      <c r="LQS171" s="72"/>
      <c r="LQT171" s="72"/>
      <c r="LQU171" s="72"/>
      <c r="LQV171" s="72"/>
      <c r="LQW171" s="72"/>
      <c r="LQX171" s="72"/>
      <c r="LQY171" s="72"/>
      <c r="LQZ171" s="72"/>
      <c r="LRA171" s="72"/>
      <c r="LRB171" s="72"/>
      <c r="LRC171" s="72"/>
      <c r="LRD171" s="72"/>
      <c r="LRE171" s="72"/>
      <c r="LRF171" s="72"/>
      <c r="LRG171" s="72"/>
      <c r="LRH171" s="72"/>
      <c r="LRI171" s="72"/>
      <c r="LRJ171" s="72"/>
      <c r="LRK171" s="72"/>
      <c r="LRL171" s="72"/>
      <c r="LRM171" s="72"/>
      <c r="LRN171" s="72"/>
      <c r="LRO171" s="72"/>
      <c r="LRP171" s="72"/>
      <c r="LRQ171" s="72"/>
      <c r="LRR171" s="72"/>
      <c r="LRS171" s="72"/>
      <c r="LRT171" s="72"/>
      <c r="LRU171" s="72"/>
      <c r="LRV171" s="72"/>
      <c r="LRW171" s="72"/>
      <c r="LRX171" s="72"/>
      <c r="LRY171" s="72"/>
      <c r="LRZ171" s="72"/>
      <c r="LSA171" s="72"/>
      <c r="LSB171" s="72"/>
      <c r="LSC171" s="72"/>
      <c r="LSD171" s="72"/>
      <c r="LSE171" s="72"/>
      <c r="LSF171" s="72"/>
      <c r="LSG171" s="72"/>
      <c r="LSH171" s="72"/>
      <c r="LSI171" s="72"/>
      <c r="LSJ171" s="72"/>
      <c r="LSK171" s="72"/>
      <c r="LSL171" s="72"/>
      <c r="LSM171" s="72"/>
      <c r="LSN171" s="72"/>
      <c r="LSO171" s="72"/>
      <c r="LSP171" s="72"/>
      <c r="LSQ171" s="72"/>
      <c r="LSR171" s="72"/>
      <c r="LSS171" s="72"/>
      <c r="LST171" s="72"/>
      <c r="LSU171" s="72"/>
      <c r="LSV171" s="72"/>
      <c r="LSW171" s="72"/>
      <c r="LSX171" s="72"/>
      <c r="LSY171" s="72"/>
      <c r="LSZ171" s="72"/>
      <c r="LTA171" s="72"/>
      <c r="LTB171" s="72"/>
      <c r="LTC171" s="72"/>
      <c r="LTD171" s="72"/>
      <c r="LTE171" s="72"/>
      <c r="LTF171" s="72"/>
      <c r="LTG171" s="72"/>
      <c r="LTH171" s="72"/>
      <c r="LTI171" s="72"/>
      <c r="LTJ171" s="72"/>
      <c r="LTK171" s="72"/>
      <c r="LTL171" s="72"/>
      <c r="LTM171" s="72"/>
      <c r="LTN171" s="72"/>
      <c r="LTO171" s="72"/>
      <c r="LTP171" s="72"/>
      <c r="LTQ171" s="72"/>
      <c r="LTR171" s="72"/>
      <c r="LTS171" s="72"/>
      <c r="LTT171" s="72"/>
      <c r="LTU171" s="72"/>
      <c r="LTV171" s="72"/>
      <c r="LTW171" s="72"/>
      <c r="LTX171" s="72"/>
      <c r="LTY171" s="72"/>
      <c r="LTZ171" s="72"/>
      <c r="LUA171" s="72"/>
      <c r="LUB171" s="72"/>
      <c r="LUC171" s="72"/>
      <c r="LUD171" s="72"/>
      <c r="LUE171" s="72"/>
      <c r="LUF171" s="72"/>
      <c r="LUG171" s="72"/>
      <c r="LUH171" s="72"/>
      <c r="LUI171" s="72"/>
      <c r="LUJ171" s="72"/>
      <c r="LUK171" s="72"/>
      <c r="LUL171" s="72"/>
      <c r="LUM171" s="72"/>
      <c r="LUN171" s="72"/>
      <c r="LUO171" s="72"/>
      <c r="LUP171" s="72"/>
      <c r="LUQ171" s="72"/>
      <c r="LUR171" s="72"/>
      <c r="LUS171" s="72"/>
      <c r="LUT171" s="72"/>
      <c r="LUU171" s="72"/>
      <c r="LUV171" s="72"/>
      <c r="LUW171" s="72"/>
      <c r="LUX171" s="72"/>
      <c r="LUY171" s="72"/>
      <c r="LUZ171" s="72"/>
      <c r="LVA171" s="72"/>
      <c r="LVB171" s="72"/>
      <c r="LVC171" s="72"/>
      <c r="LVD171" s="72"/>
      <c r="LVE171" s="72"/>
      <c r="LVF171" s="72"/>
      <c r="LVG171" s="72"/>
      <c r="LVH171" s="72"/>
      <c r="LVI171" s="72"/>
      <c r="LVJ171" s="72"/>
      <c r="LVK171" s="72"/>
      <c r="LVL171" s="72"/>
      <c r="LVM171" s="72"/>
      <c r="LVN171" s="72"/>
      <c r="LVO171" s="72"/>
      <c r="LVP171" s="72"/>
      <c r="LVQ171" s="72"/>
      <c r="LVR171" s="72"/>
      <c r="LVS171" s="72"/>
      <c r="LVT171" s="72"/>
      <c r="LVU171" s="72"/>
      <c r="LVV171" s="72"/>
      <c r="LVW171" s="72"/>
      <c r="LVX171" s="72"/>
      <c r="LVY171" s="72"/>
      <c r="LVZ171" s="72"/>
      <c r="LWA171" s="72"/>
      <c r="LWB171" s="72"/>
      <c r="LWC171" s="72"/>
      <c r="LWD171" s="72"/>
      <c r="LWE171" s="72"/>
      <c r="LWF171" s="72"/>
      <c r="LWG171" s="72"/>
      <c r="LWH171" s="72"/>
      <c r="LWI171" s="72"/>
      <c r="LWJ171" s="72"/>
      <c r="LWK171" s="72"/>
      <c r="LWL171" s="72"/>
      <c r="LWM171" s="72"/>
      <c r="LWN171" s="72"/>
      <c r="LWO171" s="72"/>
      <c r="LWP171" s="72"/>
      <c r="LWQ171" s="72"/>
      <c r="LWR171" s="72"/>
      <c r="LWS171" s="72"/>
      <c r="LWT171" s="72"/>
      <c r="LWU171" s="72"/>
      <c r="LWV171" s="72"/>
      <c r="LWW171" s="72"/>
      <c r="LWX171" s="72"/>
      <c r="LWY171" s="72"/>
      <c r="LWZ171" s="72"/>
      <c r="LXA171" s="72"/>
      <c r="LXB171" s="72"/>
      <c r="LXC171" s="72"/>
      <c r="LXD171" s="72"/>
      <c r="LXE171" s="72"/>
      <c r="LXF171" s="72"/>
      <c r="LXG171" s="72"/>
      <c r="LXH171" s="72"/>
      <c r="LXI171" s="72"/>
      <c r="LXJ171" s="72"/>
      <c r="LXK171" s="72"/>
      <c r="LXL171" s="72"/>
      <c r="LXM171" s="72"/>
      <c r="LXN171" s="72"/>
      <c r="LXO171" s="72"/>
      <c r="LXP171" s="72"/>
      <c r="LXQ171" s="72"/>
      <c r="LXR171" s="72"/>
      <c r="LXS171" s="72"/>
      <c r="LXT171" s="72"/>
      <c r="LXU171" s="72"/>
      <c r="LXV171" s="72"/>
      <c r="LXW171" s="72"/>
      <c r="LXX171" s="72"/>
      <c r="LXY171" s="72"/>
      <c r="LXZ171" s="72"/>
      <c r="LYA171" s="72"/>
      <c r="LYB171" s="72"/>
      <c r="LYC171" s="72"/>
      <c r="LYD171" s="72"/>
      <c r="LYE171" s="72"/>
      <c r="LYF171" s="72"/>
      <c r="LYG171" s="72"/>
      <c r="LYH171" s="72"/>
      <c r="LYI171" s="72"/>
      <c r="LYJ171" s="72"/>
      <c r="LYK171" s="72"/>
      <c r="LYL171" s="72"/>
      <c r="LYM171" s="72"/>
      <c r="LYN171" s="72"/>
      <c r="LYO171" s="72"/>
      <c r="LYP171" s="72"/>
      <c r="LYQ171" s="72"/>
      <c r="LYR171" s="72"/>
      <c r="LYS171" s="72"/>
      <c r="LYT171" s="72"/>
      <c r="LYU171" s="72"/>
      <c r="LYV171" s="72"/>
      <c r="LYW171" s="72"/>
      <c r="LYX171" s="72"/>
      <c r="LYY171" s="72"/>
      <c r="LYZ171" s="72"/>
      <c r="LZA171" s="72"/>
      <c r="LZB171" s="72"/>
      <c r="LZC171" s="72"/>
      <c r="LZD171" s="72"/>
      <c r="LZE171" s="72"/>
      <c r="LZF171" s="72"/>
      <c r="LZG171" s="72"/>
      <c r="LZH171" s="72"/>
      <c r="LZI171" s="72"/>
      <c r="LZJ171" s="72"/>
      <c r="LZK171" s="72"/>
      <c r="LZL171" s="72"/>
      <c r="LZM171" s="72"/>
      <c r="LZN171" s="72"/>
      <c r="LZO171" s="72"/>
      <c r="LZP171" s="72"/>
      <c r="LZQ171" s="72"/>
      <c r="LZR171" s="72"/>
      <c r="LZS171" s="72"/>
      <c r="LZT171" s="72"/>
      <c r="LZU171" s="72"/>
      <c r="LZV171" s="72"/>
      <c r="LZW171" s="72"/>
      <c r="LZX171" s="72"/>
      <c r="LZY171" s="72"/>
      <c r="LZZ171" s="72"/>
      <c r="MAA171" s="72"/>
      <c r="MAB171" s="72"/>
      <c r="MAC171" s="72"/>
      <c r="MAD171" s="72"/>
      <c r="MAE171" s="72"/>
      <c r="MAF171" s="72"/>
      <c r="MAG171" s="72"/>
      <c r="MAH171" s="72"/>
      <c r="MAI171" s="72"/>
      <c r="MAJ171" s="72"/>
      <c r="MAK171" s="72"/>
      <c r="MAL171" s="72"/>
      <c r="MAM171" s="72"/>
      <c r="MAN171" s="72"/>
      <c r="MAO171" s="72"/>
      <c r="MAP171" s="72"/>
      <c r="MAQ171" s="72"/>
      <c r="MAR171" s="72"/>
      <c r="MAS171" s="72"/>
      <c r="MAT171" s="72"/>
      <c r="MAU171" s="72"/>
      <c r="MAV171" s="72"/>
      <c r="MAW171" s="72"/>
      <c r="MAX171" s="72"/>
      <c r="MAY171" s="72"/>
      <c r="MAZ171" s="72"/>
      <c r="MBA171" s="72"/>
      <c r="MBB171" s="72"/>
      <c r="MBC171" s="72"/>
      <c r="MBD171" s="72"/>
      <c r="MBE171" s="72"/>
      <c r="MBF171" s="72"/>
      <c r="MBG171" s="72"/>
      <c r="MBH171" s="72"/>
      <c r="MBI171" s="72"/>
      <c r="MBJ171" s="72"/>
      <c r="MBK171" s="72"/>
      <c r="MBL171" s="72"/>
      <c r="MBM171" s="72"/>
      <c r="MBN171" s="72"/>
      <c r="MBO171" s="72"/>
      <c r="MBP171" s="72"/>
      <c r="MBQ171" s="72"/>
      <c r="MBR171" s="72"/>
      <c r="MBS171" s="72"/>
      <c r="MBT171" s="72"/>
      <c r="MBU171" s="72"/>
      <c r="MBV171" s="72"/>
      <c r="MBW171" s="72"/>
      <c r="MBX171" s="72"/>
      <c r="MBY171" s="72"/>
      <c r="MBZ171" s="72"/>
      <c r="MCA171" s="72"/>
      <c r="MCB171" s="72"/>
      <c r="MCC171" s="72"/>
      <c r="MCD171" s="72"/>
      <c r="MCE171" s="72"/>
      <c r="MCF171" s="72"/>
      <c r="MCG171" s="72"/>
      <c r="MCH171" s="72"/>
      <c r="MCI171" s="72"/>
      <c r="MCJ171" s="72"/>
      <c r="MCK171" s="72"/>
      <c r="MCL171" s="72"/>
      <c r="MCM171" s="72"/>
      <c r="MCN171" s="72"/>
      <c r="MCO171" s="72"/>
      <c r="MCP171" s="72"/>
      <c r="MCQ171" s="72"/>
      <c r="MCR171" s="72"/>
      <c r="MCS171" s="72"/>
      <c r="MCT171" s="72"/>
      <c r="MCU171" s="72"/>
      <c r="MCV171" s="72"/>
      <c r="MCW171" s="72"/>
      <c r="MCX171" s="72"/>
      <c r="MCY171" s="72"/>
      <c r="MCZ171" s="72"/>
      <c r="MDA171" s="72"/>
      <c r="MDB171" s="72"/>
      <c r="MDC171" s="72"/>
      <c r="MDD171" s="72"/>
      <c r="MDE171" s="72"/>
      <c r="MDF171" s="72"/>
      <c r="MDG171" s="72"/>
      <c r="MDH171" s="72"/>
      <c r="MDI171" s="72"/>
      <c r="MDJ171" s="72"/>
      <c r="MDK171" s="72"/>
      <c r="MDL171" s="72"/>
      <c r="MDM171" s="72"/>
      <c r="MDN171" s="72"/>
      <c r="MDO171" s="72"/>
      <c r="MDP171" s="72"/>
      <c r="MDQ171" s="72"/>
      <c r="MDR171" s="72"/>
      <c r="MDS171" s="72"/>
      <c r="MDT171" s="72"/>
      <c r="MDU171" s="72"/>
      <c r="MDV171" s="72"/>
      <c r="MDW171" s="72"/>
      <c r="MDX171" s="72"/>
      <c r="MDY171" s="72"/>
      <c r="MDZ171" s="72"/>
      <c r="MEA171" s="72"/>
      <c r="MEB171" s="72"/>
      <c r="MEC171" s="72"/>
      <c r="MED171" s="72"/>
      <c r="MEE171" s="72"/>
      <c r="MEF171" s="72"/>
      <c r="MEG171" s="72"/>
      <c r="MEH171" s="72"/>
      <c r="MEI171" s="72"/>
      <c r="MEJ171" s="72"/>
      <c r="MEK171" s="72"/>
      <c r="MEL171" s="72"/>
      <c r="MEM171" s="72"/>
      <c r="MEN171" s="72"/>
      <c r="MEO171" s="72"/>
      <c r="MEP171" s="72"/>
      <c r="MEQ171" s="72"/>
      <c r="MER171" s="72"/>
      <c r="MES171" s="72"/>
      <c r="MET171" s="72"/>
      <c r="MEU171" s="72"/>
      <c r="MEV171" s="72"/>
      <c r="MEW171" s="72"/>
      <c r="MEX171" s="72"/>
      <c r="MEY171" s="72"/>
      <c r="MEZ171" s="72"/>
      <c r="MFA171" s="72"/>
      <c r="MFB171" s="72"/>
      <c r="MFC171" s="72"/>
      <c r="MFD171" s="72"/>
      <c r="MFE171" s="72"/>
      <c r="MFF171" s="72"/>
      <c r="MFG171" s="72"/>
      <c r="MFH171" s="72"/>
      <c r="MFI171" s="72"/>
      <c r="MFJ171" s="72"/>
      <c r="MFK171" s="72"/>
      <c r="MFL171" s="72"/>
      <c r="MFM171" s="72"/>
      <c r="MFN171" s="72"/>
      <c r="MFO171" s="72"/>
      <c r="MFP171" s="72"/>
      <c r="MFQ171" s="72"/>
      <c r="MFR171" s="72"/>
      <c r="MFS171" s="72"/>
      <c r="MFT171" s="72"/>
      <c r="MFU171" s="72"/>
      <c r="MFV171" s="72"/>
      <c r="MFW171" s="72"/>
      <c r="MFX171" s="72"/>
      <c r="MFY171" s="72"/>
      <c r="MFZ171" s="72"/>
      <c r="MGA171" s="72"/>
      <c r="MGB171" s="72"/>
      <c r="MGC171" s="72"/>
      <c r="MGD171" s="72"/>
      <c r="MGE171" s="72"/>
      <c r="MGF171" s="72"/>
      <c r="MGG171" s="72"/>
      <c r="MGH171" s="72"/>
      <c r="MGI171" s="72"/>
      <c r="MGJ171" s="72"/>
      <c r="MGK171" s="72"/>
      <c r="MGL171" s="72"/>
      <c r="MGM171" s="72"/>
      <c r="MGN171" s="72"/>
      <c r="MGO171" s="72"/>
      <c r="MGP171" s="72"/>
      <c r="MGQ171" s="72"/>
      <c r="MGR171" s="72"/>
      <c r="MGS171" s="72"/>
      <c r="MGT171" s="72"/>
      <c r="MGU171" s="72"/>
      <c r="MGV171" s="72"/>
      <c r="MGW171" s="72"/>
      <c r="MGX171" s="72"/>
      <c r="MGY171" s="72"/>
      <c r="MGZ171" s="72"/>
      <c r="MHA171" s="72"/>
      <c r="MHB171" s="72"/>
      <c r="MHC171" s="72"/>
      <c r="MHD171" s="72"/>
      <c r="MHE171" s="72"/>
      <c r="MHF171" s="72"/>
      <c r="MHG171" s="72"/>
      <c r="MHH171" s="72"/>
      <c r="MHI171" s="72"/>
      <c r="MHJ171" s="72"/>
      <c r="MHK171" s="72"/>
      <c r="MHL171" s="72"/>
      <c r="MHM171" s="72"/>
      <c r="MHN171" s="72"/>
      <c r="MHO171" s="72"/>
      <c r="MHP171" s="72"/>
      <c r="MHQ171" s="72"/>
      <c r="MHR171" s="72"/>
      <c r="MHS171" s="72"/>
      <c r="MHT171" s="72"/>
      <c r="MHU171" s="72"/>
      <c r="MHV171" s="72"/>
      <c r="MHW171" s="72"/>
      <c r="MHX171" s="72"/>
      <c r="MHY171" s="72"/>
      <c r="MHZ171" s="72"/>
      <c r="MIA171" s="72"/>
      <c r="MIB171" s="72"/>
      <c r="MIC171" s="72"/>
      <c r="MID171" s="72"/>
      <c r="MIE171" s="72"/>
      <c r="MIF171" s="72"/>
      <c r="MIG171" s="72"/>
      <c r="MIH171" s="72"/>
      <c r="MII171" s="72"/>
      <c r="MIJ171" s="72"/>
      <c r="MIK171" s="72"/>
      <c r="MIL171" s="72"/>
      <c r="MIM171" s="72"/>
      <c r="MIN171" s="72"/>
      <c r="MIO171" s="72"/>
      <c r="MIP171" s="72"/>
      <c r="MIQ171" s="72"/>
      <c r="MIR171" s="72"/>
      <c r="MIS171" s="72"/>
      <c r="MIT171" s="72"/>
      <c r="MIU171" s="72"/>
      <c r="MIV171" s="72"/>
      <c r="MIW171" s="72"/>
      <c r="MIX171" s="72"/>
      <c r="MIY171" s="72"/>
      <c r="MIZ171" s="72"/>
      <c r="MJA171" s="72"/>
      <c r="MJB171" s="72"/>
      <c r="MJC171" s="72"/>
      <c r="MJD171" s="72"/>
      <c r="MJE171" s="72"/>
      <c r="MJF171" s="72"/>
      <c r="MJG171" s="72"/>
      <c r="MJH171" s="72"/>
      <c r="MJI171" s="72"/>
      <c r="MJJ171" s="72"/>
      <c r="MJK171" s="72"/>
      <c r="MJL171" s="72"/>
      <c r="MJM171" s="72"/>
      <c r="MJN171" s="72"/>
      <c r="MJO171" s="72"/>
      <c r="MJP171" s="72"/>
      <c r="MJQ171" s="72"/>
      <c r="MJR171" s="72"/>
      <c r="MJS171" s="72"/>
      <c r="MJT171" s="72"/>
      <c r="MJU171" s="72"/>
      <c r="MJV171" s="72"/>
      <c r="MJW171" s="72"/>
      <c r="MJX171" s="72"/>
      <c r="MJY171" s="72"/>
      <c r="MJZ171" s="72"/>
      <c r="MKA171" s="72"/>
      <c r="MKB171" s="72"/>
      <c r="MKC171" s="72"/>
      <c r="MKD171" s="72"/>
      <c r="MKE171" s="72"/>
      <c r="MKF171" s="72"/>
      <c r="MKG171" s="72"/>
      <c r="MKH171" s="72"/>
      <c r="MKI171" s="72"/>
      <c r="MKJ171" s="72"/>
      <c r="MKK171" s="72"/>
      <c r="MKL171" s="72"/>
      <c r="MKM171" s="72"/>
      <c r="MKN171" s="72"/>
      <c r="MKO171" s="72"/>
      <c r="MKP171" s="72"/>
      <c r="MKQ171" s="72"/>
      <c r="MKR171" s="72"/>
      <c r="MKS171" s="72"/>
      <c r="MKT171" s="72"/>
      <c r="MKU171" s="72"/>
      <c r="MKV171" s="72"/>
      <c r="MKW171" s="72"/>
      <c r="MKX171" s="72"/>
      <c r="MKY171" s="72"/>
      <c r="MKZ171" s="72"/>
      <c r="MLA171" s="72"/>
      <c r="MLB171" s="72"/>
      <c r="MLC171" s="72"/>
      <c r="MLD171" s="72"/>
      <c r="MLE171" s="72"/>
      <c r="MLF171" s="72"/>
      <c r="MLG171" s="72"/>
      <c r="MLH171" s="72"/>
      <c r="MLI171" s="72"/>
      <c r="MLJ171" s="72"/>
      <c r="MLK171" s="72"/>
      <c r="MLL171" s="72"/>
      <c r="MLM171" s="72"/>
      <c r="MLN171" s="72"/>
      <c r="MLO171" s="72"/>
      <c r="MLP171" s="72"/>
      <c r="MLQ171" s="72"/>
      <c r="MLR171" s="72"/>
      <c r="MLS171" s="72"/>
      <c r="MLT171" s="72"/>
      <c r="MLU171" s="72"/>
      <c r="MLV171" s="72"/>
      <c r="MLW171" s="72"/>
      <c r="MLX171" s="72"/>
      <c r="MLY171" s="72"/>
      <c r="MLZ171" s="72"/>
      <c r="MMA171" s="72"/>
      <c r="MMB171" s="72"/>
      <c r="MMC171" s="72"/>
      <c r="MMD171" s="72"/>
      <c r="MME171" s="72"/>
      <c r="MMF171" s="72"/>
      <c r="MMG171" s="72"/>
      <c r="MMH171" s="72"/>
      <c r="MMI171" s="72"/>
      <c r="MMJ171" s="72"/>
      <c r="MMK171" s="72"/>
      <c r="MML171" s="72"/>
      <c r="MMM171" s="72"/>
      <c r="MMN171" s="72"/>
      <c r="MMO171" s="72"/>
      <c r="MMP171" s="72"/>
      <c r="MMQ171" s="72"/>
      <c r="MMR171" s="72"/>
      <c r="MMS171" s="72"/>
      <c r="MMT171" s="72"/>
      <c r="MMU171" s="72"/>
      <c r="MMV171" s="72"/>
      <c r="MMW171" s="72"/>
      <c r="MMX171" s="72"/>
      <c r="MMY171" s="72"/>
      <c r="MMZ171" s="72"/>
      <c r="MNA171" s="72"/>
      <c r="MNB171" s="72"/>
      <c r="MNC171" s="72"/>
      <c r="MND171" s="72"/>
      <c r="MNE171" s="72"/>
      <c r="MNF171" s="72"/>
      <c r="MNG171" s="72"/>
      <c r="MNH171" s="72"/>
      <c r="MNI171" s="72"/>
      <c r="MNJ171" s="72"/>
      <c r="MNK171" s="72"/>
      <c r="MNL171" s="72"/>
      <c r="MNM171" s="72"/>
      <c r="MNN171" s="72"/>
      <c r="MNO171" s="72"/>
      <c r="MNP171" s="72"/>
      <c r="MNQ171" s="72"/>
      <c r="MNR171" s="72"/>
      <c r="MNS171" s="72"/>
      <c r="MNT171" s="72"/>
      <c r="MNU171" s="72"/>
      <c r="MNV171" s="72"/>
      <c r="MNW171" s="72"/>
      <c r="MNX171" s="72"/>
      <c r="MNY171" s="72"/>
      <c r="MNZ171" s="72"/>
      <c r="MOA171" s="72"/>
      <c r="MOB171" s="72"/>
      <c r="MOC171" s="72"/>
      <c r="MOD171" s="72"/>
      <c r="MOE171" s="72"/>
      <c r="MOF171" s="72"/>
      <c r="MOG171" s="72"/>
      <c r="MOH171" s="72"/>
      <c r="MOI171" s="72"/>
      <c r="MOJ171" s="72"/>
      <c r="MOK171" s="72"/>
      <c r="MOL171" s="72"/>
      <c r="MOM171" s="72"/>
      <c r="MON171" s="72"/>
      <c r="MOO171" s="72"/>
      <c r="MOP171" s="72"/>
      <c r="MOQ171" s="72"/>
      <c r="MOR171" s="72"/>
      <c r="MOS171" s="72"/>
      <c r="MOT171" s="72"/>
      <c r="MOU171" s="72"/>
      <c r="MOV171" s="72"/>
      <c r="MOW171" s="72"/>
      <c r="MOX171" s="72"/>
      <c r="MOY171" s="72"/>
      <c r="MOZ171" s="72"/>
      <c r="MPA171" s="72"/>
      <c r="MPB171" s="72"/>
      <c r="MPC171" s="72"/>
      <c r="MPD171" s="72"/>
      <c r="MPE171" s="72"/>
      <c r="MPF171" s="72"/>
      <c r="MPG171" s="72"/>
      <c r="MPH171" s="72"/>
      <c r="MPI171" s="72"/>
      <c r="MPJ171" s="72"/>
      <c r="MPK171" s="72"/>
      <c r="MPL171" s="72"/>
      <c r="MPM171" s="72"/>
      <c r="MPN171" s="72"/>
      <c r="MPO171" s="72"/>
      <c r="MPP171" s="72"/>
      <c r="MPQ171" s="72"/>
      <c r="MPR171" s="72"/>
      <c r="MPS171" s="72"/>
      <c r="MPT171" s="72"/>
      <c r="MPU171" s="72"/>
      <c r="MPV171" s="72"/>
      <c r="MPW171" s="72"/>
      <c r="MPX171" s="72"/>
      <c r="MPY171" s="72"/>
      <c r="MPZ171" s="72"/>
      <c r="MQA171" s="72"/>
      <c r="MQB171" s="72"/>
      <c r="MQC171" s="72"/>
      <c r="MQD171" s="72"/>
      <c r="MQE171" s="72"/>
      <c r="MQF171" s="72"/>
      <c r="MQG171" s="72"/>
      <c r="MQH171" s="72"/>
      <c r="MQI171" s="72"/>
      <c r="MQJ171" s="72"/>
      <c r="MQK171" s="72"/>
      <c r="MQL171" s="72"/>
      <c r="MQM171" s="72"/>
      <c r="MQN171" s="72"/>
      <c r="MQO171" s="72"/>
      <c r="MQP171" s="72"/>
      <c r="MQQ171" s="72"/>
      <c r="MQR171" s="72"/>
      <c r="MQS171" s="72"/>
      <c r="MQT171" s="72"/>
      <c r="MQU171" s="72"/>
      <c r="MQV171" s="72"/>
      <c r="MQW171" s="72"/>
      <c r="MQX171" s="72"/>
      <c r="MQY171" s="72"/>
      <c r="MQZ171" s="72"/>
      <c r="MRA171" s="72"/>
      <c r="MRB171" s="72"/>
      <c r="MRC171" s="72"/>
      <c r="MRD171" s="72"/>
      <c r="MRE171" s="72"/>
      <c r="MRF171" s="72"/>
      <c r="MRG171" s="72"/>
      <c r="MRH171" s="72"/>
      <c r="MRI171" s="72"/>
      <c r="MRJ171" s="72"/>
      <c r="MRK171" s="72"/>
      <c r="MRL171" s="72"/>
      <c r="MRM171" s="72"/>
      <c r="MRN171" s="72"/>
      <c r="MRO171" s="72"/>
      <c r="MRP171" s="72"/>
      <c r="MRQ171" s="72"/>
      <c r="MRR171" s="72"/>
      <c r="MRS171" s="72"/>
      <c r="MRT171" s="72"/>
      <c r="MRU171" s="72"/>
      <c r="MRV171" s="72"/>
      <c r="MRW171" s="72"/>
      <c r="MRX171" s="72"/>
      <c r="MRY171" s="72"/>
      <c r="MRZ171" s="72"/>
      <c r="MSA171" s="72"/>
      <c r="MSB171" s="72"/>
      <c r="MSC171" s="72"/>
      <c r="MSD171" s="72"/>
      <c r="MSE171" s="72"/>
      <c r="MSF171" s="72"/>
      <c r="MSG171" s="72"/>
      <c r="MSH171" s="72"/>
      <c r="MSI171" s="72"/>
      <c r="MSJ171" s="72"/>
      <c r="MSK171" s="72"/>
      <c r="MSL171" s="72"/>
      <c r="MSM171" s="72"/>
      <c r="MSN171" s="72"/>
      <c r="MSO171" s="72"/>
      <c r="MSP171" s="72"/>
      <c r="MSQ171" s="72"/>
      <c r="MSR171" s="72"/>
      <c r="MSS171" s="72"/>
      <c r="MST171" s="72"/>
      <c r="MSU171" s="72"/>
      <c r="MSV171" s="72"/>
      <c r="MSW171" s="72"/>
      <c r="MSX171" s="72"/>
      <c r="MSY171" s="72"/>
      <c r="MSZ171" s="72"/>
      <c r="MTA171" s="72"/>
      <c r="MTB171" s="72"/>
      <c r="MTC171" s="72"/>
      <c r="MTD171" s="72"/>
      <c r="MTE171" s="72"/>
      <c r="MTF171" s="72"/>
      <c r="MTG171" s="72"/>
      <c r="MTH171" s="72"/>
      <c r="MTI171" s="72"/>
      <c r="MTJ171" s="72"/>
      <c r="MTK171" s="72"/>
      <c r="MTL171" s="72"/>
      <c r="MTM171" s="72"/>
      <c r="MTN171" s="72"/>
      <c r="MTO171" s="72"/>
      <c r="MTP171" s="72"/>
      <c r="MTQ171" s="72"/>
      <c r="MTR171" s="72"/>
      <c r="MTS171" s="72"/>
      <c r="MTT171" s="72"/>
      <c r="MTU171" s="72"/>
      <c r="MTV171" s="72"/>
      <c r="MTW171" s="72"/>
      <c r="MTX171" s="72"/>
      <c r="MTY171" s="72"/>
      <c r="MTZ171" s="72"/>
      <c r="MUA171" s="72"/>
      <c r="MUB171" s="72"/>
      <c r="MUC171" s="72"/>
      <c r="MUD171" s="72"/>
      <c r="MUE171" s="72"/>
      <c r="MUF171" s="72"/>
      <c r="MUG171" s="72"/>
      <c r="MUH171" s="72"/>
      <c r="MUI171" s="72"/>
      <c r="MUJ171" s="72"/>
      <c r="MUK171" s="72"/>
      <c r="MUL171" s="72"/>
      <c r="MUM171" s="72"/>
      <c r="MUN171" s="72"/>
      <c r="MUO171" s="72"/>
      <c r="MUP171" s="72"/>
      <c r="MUQ171" s="72"/>
      <c r="MUR171" s="72"/>
      <c r="MUS171" s="72"/>
      <c r="MUT171" s="72"/>
      <c r="MUU171" s="72"/>
      <c r="MUV171" s="72"/>
      <c r="MUW171" s="72"/>
      <c r="MUX171" s="72"/>
      <c r="MUY171" s="72"/>
      <c r="MUZ171" s="72"/>
      <c r="MVA171" s="72"/>
      <c r="MVB171" s="72"/>
      <c r="MVC171" s="72"/>
      <c r="MVD171" s="72"/>
      <c r="MVE171" s="72"/>
      <c r="MVF171" s="72"/>
      <c r="MVG171" s="72"/>
      <c r="MVH171" s="72"/>
      <c r="MVI171" s="72"/>
      <c r="MVJ171" s="72"/>
      <c r="MVK171" s="72"/>
      <c r="MVL171" s="72"/>
      <c r="MVM171" s="72"/>
      <c r="MVN171" s="72"/>
      <c r="MVO171" s="72"/>
      <c r="MVP171" s="72"/>
      <c r="MVQ171" s="72"/>
      <c r="MVR171" s="72"/>
      <c r="MVS171" s="72"/>
      <c r="MVT171" s="72"/>
      <c r="MVU171" s="72"/>
      <c r="MVV171" s="72"/>
      <c r="MVW171" s="72"/>
      <c r="MVX171" s="72"/>
      <c r="MVY171" s="72"/>
      <c r="MVZ171" s="72"/>
      <c r="MWA171" s="72"/>
      <c r="MWB171" s="72"/>
      <c r="MWC171" s="72"/>
      <c r="MWD171" s="72"/>
      <c r="MWE171" s="72"/>
      <c r="MWF171" s="72"/>
      <c r="MWG171" s="72"/>
      <c r="MWH171" s="72"/>
      <c r="MWI171" s="72"/>
      <c r="MWJ171" s="72"/>
      <c r="MWK171" s="72"/>
      <c r="MWL171" s="72"/>
      <c r="MWM171" s="72"/>
      <c r="MWN171" s="72"/>
      <c r="MWO171" s="72"/>
      <c r="MWP171" s="72"/>
      <c r="MWQ171" s="72"/>
      <c r="MWR171" s="72"/>
      <c r="MWS171" s="72"/>
      <c r="MWT171" s="72"/>
      <c r="MWU171" s="72"/>
      <c r="MWV171" s="72"/>
      <c r="MWW171" s="72"/>
      <c r="MWX171" s="72"/>
      <c r="MWY171" s="72"/>
      <c r="MWZ171" s="72"/>
      <c r="MXA171" s="72"/>
      <c r="MXB171" s="72"/>
      <c r="MXC171" s="72"/>
      <c r="MXD171" s="72"/>
      <c r="MXE171" s="72"/>
      <c r="MXF171" s="72"/>
      <c r="MXG171" s="72"/>
      <c r="MXH171" s="72"/>
      <c r="MXI171" s="72"/>
      <c r="MXJ171" s="72"/>
      <c r="MXK171" s="72"/>
      <c r="MXL171" s="72"/>
      <c r="MXM171" s="72"/>
      <c r="MXN171" s="72"/>
      <c r="MXO171" s="72"/>
      <c r="MXP171" s="72"/>
      <c r="MXQ171" s="72"/>
      <c r="MXR171" s="72"/>
      <c r="MXS171" s="72"/>
      <c r="MXT171" s="72"/>
      <c r="MXU171" s="72"/>
      <c r="MXV171" s="72"/>
      <c r="MXW171" s="72"/>
      <c r="MXX171" s="72"/>
      <c r="MXY171" s="72"/>
      <c r="MXZ171" s="72"/>
      <c r="MYA171" s="72"/>
      <c r="MYB171" s="72"/>
      <c r="MYC171" s="72"/>
      <c r="MYD171" s="72"/>
      <c r="MYE171" s="72"/>
      <c r="MYF171" s="72"/>
      <c r="MYG171" s="72"/>
      <c r="MYH171" s="72"/>
      <c r="MYI171" s="72"/>
      <c r="MYJ171" s="72"/>
      <c r="MYK171" s="72"/>
      <c r="MYL171" s="72"/>
      <c r="MYM171" s="72"/>
      <c r="MYN171" s="72"/>
      <c r="MYO171" s="72"/>
      <c r="MYP171" s="72"/>
      <c r="MYQ171" s="72"/>
      <c r="MYR171" s="72"/>
      <c r="MYS171" s="72"/>
      <c r="MYT171" s="72"/>
      <c r="MYU171" s="72"/>
      <c r="MYV171" s="72"/>
      <c r="MYW171" s="72"/>
      <c r="MYX171" s="72"/>
      <c r="MYY171" s="72"/>
      <c r="MYZ171" s="72"/>
      <c r="MZA171" s="72"/>
      <c r="MZB171" s="72"/>
      <c r="MZC171" s="72"/>
      <c r="MZD171" s="72"/>
      <c r="MZE171" s="72"/>
      <c r="MZF171" s="72"/>
      <c r="MZG171" s="72"/>
      <c r="MZH171" s="72"/>
      <c r="MZI171" s="72"/>
      <c r="MZJ171" s="72"/>
      <c r="MZK171" s="72"/>
      <c r="MZL171" s="72"/>
      <c r="MZM171" s="72"/>
      <c r="MZN171" s="72"/>
      <c r="MZO171" s="72"/>
      <c r="MZP171" s="72"/>
      <c r="MZQ171" s="72"/>
      <c r="MZR171" s="72"/>
      <c r="MZS171" s="72"/>
      <c r="MZT171" s="72"/>
      <c r="MZU171" s="72"/>
      <c r="MZV171" s="72"/>
      <c r="MZW171" s="72"/>
      <c r="MZX171" s="72"/>
      <c r="MZY171" s="72"/>
      <c r="MZZ171" s="72"/>
      <c r="NAA171" s="72"/>
      <c r="NAB171" s="72"/>
      <c r="NAC171" s="72"/>
      <c r="NAD171" s="72"/>
      <c r="NAE171" s="72"/>
      <c r="NAF171" s="72"/>
      <c r="NAG171" s="72"/>
      <c r="NAH171" s="72"/>
      <c r="NAI171" s="72"/>
      <c r="NAJ171" s="72"/>
      <c r="NAK171" s="72"/>
      <c r="NAL171" s="72"/>
      <c r="NAM171" s="72"/>
      <c r="NAN171" s="72"/>
      <c r="NAO171" s="72"/>
      <c r="NAP171" s="72"/>
      <c r="NAQ171" s="72"/>
      <c r="NAR171" s="72"/>
      <c r="NAS171" s="72"/>
      <c r="NAT171" s="72"/>
      <c r="NAU171" s="72"/>
      <c r="NAV171" s="72"/>
      <c r="NAW171" s="72"/>
      <c r="NAX171" s="72"/>
      <c r="NAY171" s="72"/>
      <c r="NAZ171" s="72"/>
      <c r="NBA171" s="72"/>
      <c r="NBB171" s="72"/>
      <c r="NBC171" s="72"/>
      <c r="NBD171" s="72"/>
      <c r="NBE171" s="72"/>
      <c r="NBF171" s="72"/>
      <c r="NBG171" s="72"/>
      <c r="NBH171" s="72"/>
      <c r="NBI171" s="72"/>
      <c r="NBJ171" s="72"/>
      <c r="NBK171" s="72"/>
      <c r="NBL171" s="72"/>
      <c r="NBM171" s="72"/>
      <c r="NBN171" s="72"/>
      <c r="NBO171" s="72"/>
      <c r="NBP171" s="72"/>
      <c r="NBQ171" s="72"/>
      <c r="NBR171" s="72"/>
      <c r="NBS171" s="72"/>
      <c r="NBT171" s="72"/>
      <c r="NBU171" s="72"/>
      <c r="NBV171" s="72"/>
      <c r="NBW171" s="72"/>
      <c r="NBX171" s="72"/>
      <c r="NBY171" s="72"/>
      <c r="NBZ171" s="72"/>
      <c r="NCA171" s="72"/>
      <c r="NCB171" s="72"/>
      <c r="NCC171" s="72"/>
      <c r="NCD171" s="72"/>
      <c r="NCE171" s="72"/>
      <c r="NCF171" s="72"/>
      <c r="NCG171" s="72"/>
      <c r="NCH171" s="72"/>
      <c r="NCI171" s="72"/>
      <c r="NCJ171" s="72"/>
      <c r="NCK171" s="72"/>
      <c r="NCL171" s="72"/>
      <c r="NCM171" s="72"/>
      <c r="NCN171" s="72"/>
      <c r="NCO171" s="72"/>
      <c r="NCP171" s="72"/>
      <c r="NCQ171" s="72"/>
      <c r="NCR171" s="72"/>
      <c r="NCS171" s="72"/>
      <c r="NCT171" s="72"/>
      <c r="NCU171" s="72"/>
      <c r="NCV171" s="72"/>
      <c r="NCW171" s="72"/>
      <c r="NCX171" s="72"/>
      <c r="NCY171" s="72"/>
      <c r="NCZ171" s="72"/>
      <c r="NDA171" s="72"/>
      <c r="NDB171" s="72"/>
      <c r="NDC171" s="72"/>
      <c r="NDD171" s="72"/>
      <c r="NDE171" s="72"/>
      <c r="NDF171" s="72"/>
      <c r="NDG171" s="72"/>
      <c r="NDH171" s="72"/>
      <c r="NDI171" s="72"/>
      <c r="NDJ171" s="72"/>
      <c r="NDK171" s="72"/>
      <c r="NDL171" s="72"/>
      <c r="NDM171" s="72"/>
      <c r="NDN171" s="72"/>
      <c r="NDO171" s="72"/>
      <c r="NDP171" s="72"/>
      <c r="NDQ171" s="72"/>
      <c r="NDR171" s="72"/>
      <c r="NDS171" s="72"/>
      <c r="NDT171" s="72"/>
      <c r="NDU171" s="72"/>
      <c r="NDV171" s="72"/>
      <c r="NDW171" s="72"/>
      <c r="NDX171" s="72"/>
      <c r="NDY171" s="72"/>
      <c r="NDZ171" s="72"/>
      <c r="NEA171" s="72"/>
      <c r="NEB171" s="72"/>
      <c r="NEC171" s="72"/>
      <c r="NED171" s="72"/>
      <c r="NEE171" s="72"/>
      <c r="NEF171" s="72"/>
      <c r="NEG171" s="72"/>
      <c r="NEH171" s="72"/>
      <c r="NEI171" s="72"/>
      <c r="NEJ171" s="72"/>
      <c r="NEK171" s="72"/>
      <c r="NEL171" s="72"/>
      <c r="NEM171" s="72"/>
      <c r="NEN171" s="72"/>
      <c r="NEO171" s="72"/>
      <c r="NEP171" s="72"/>
      <c r="NEQ171" s="72"/>
      <c r="NER171" s="72"/>
      <c r="NES171" s="72"/>
      <c r="NET171" s="72"/>
      <c r="NEU171" s="72"/>
      <c r="NEV171" s="72"/>
      <c r="NEW171" s="72"/>
      <c r="NEX171" s="72"/>
      <c r="NEY171" s="72"/>
      <c r="NEZ171" s="72"/>
      <c r="NFA171" s="72"/>
      <c r="NFB171" s="72"/>
      <c r="NFC171" s="72"/>
      <c r="NFD171" s="72"/>
      <c r="NFE171" s="72"/>
      <c r="NFF171" s="72"/>
      <c r="NFG171" s="72"/>
      <c r="NFH171" s="72"/>
      <c r="NFI171" s="72"/>
      <c r="NFJ171" s="72"/>
      <c r="NFK171" s="72"/>
      <c r="NFL171" s="72"/>
      <c r="NFM171" s="72"/>
      <c r="NFN171" s="72"/>
      <c r="NFO171" s="72"/>
      <c r="NFP171" s="72"/>
      <c r="NFQ171" s="72"/>
      <c r="NFR171" s="72"/>
      <c r="NFS171" s="72"/>
      <c r="NFT171" s="72"/>
      <c r="NFU171" s="72"/>
      <c r="NFV171" s="72"/>
      <c r="NFW171" s="72"/>
      <c r="NFX171" s="72"/>
      <c r="NFY171" s="72"/>
      <c r="NFZ171" s="72"/>
      <c r="NGA171" s="72"/>
      <c r="NGB171" s="72"/>
      <c r="NGC171" s="72"/>
      <c r="NGD171" s="72"/>
      <c r="NGE171" s="72"/>
      <c r="NGF171" s="72"/>
      <c r="NGG171" s="72"/>
      <c r="NGH171" s="72"/>
      <c r="NGI171" s="72"/>
      <c r="NGJ171" s="72"/>
      <c r="NGK171" s="72"/>
      <c r="NGL171" s="72"/>
      <c r="NGM171" s="72"/>
      <c r="NGN171" s="72"/>
      <c r="NGO171" s="72"/>
      <c r="NGP171" s="72"/>
      <c r="NGQ171" s="72"/>
      <c r="NGR171" s="72"/>
      <c r="NGS171" s="72"/>
      <c r="NGT171" s="72"/>
      <c r="NGU171" s="72"/>
      <c r="NGV171" s="72"/>
      <c r="NGW171" s="72"/>
      <c r="NGX171" s="72"/>
      <c r="NGY171" s="72"/>
      <c r="NGZ171" s="72"/>
      <c r="NHA171" s="72"/>
      <c r="NHB171" s="72"/>
      <c r="NHC171" s="72"/>
      <c r="NHD171" s="72"/>
      <c r="NHE171" s="72"/>
      <c r="NHF171" s="72"/>
      <c r="NHG171" s="72"/>
      <c r="NHH171" s="72"/>
      <c r="NHI171" s="72"/>
      <c r="NHJ171" s="72"/>
      <c r="NHK171" s="72"/>
      <c r="NHL171" s="72"/>
      <c r="NHM171" s="72"/>
      <c r="NHN171" s="72"/>
      <c r="NHO171" s="72"/>
      <c r="NHP171" s="72"/>
      <c r="NHQ171" s="72"/>
      <c r="NHR171" s="72"/>
      <c r="NHS171" s="72"/>
      <c r="NHT171" s="72"/>
      <c r="NHU171" s="72"/>
      <c r="NHV171" s="72"/>
      <c r="NHW171" s="72"/>
      <c r="NHX171" s="72"/>
      <c r="NHY171" s="72"/>
      <c r="NHZ171" s="72"/>
      <c r="NIA171" s="72"/>
      <c r="NIB171" s="72"/>
      <c r="NIC171" s="72"/>
      <c r="NID171" s="72"/>
      <c r="NIE171" s="72"/>
      <c r="NIF171" s="72"/>
      <c r="NIG171" s="72"/>
      <c r="NIH171" s="72"/>
      <c r="NII171" s="72"/>
      <c r="NIJ171" s="72"/>
      <c r="NIK171" s="72"/>
      <c r="NIL171" s="72"/>
      <c r="NIM171" s="72"/>
      <c r="NIN171" s="72"/>
      <c r="NIO171" s="72"/>
      <c r="NIP171" s="72"/>
      <c r="NIQ171" s="72"/>
      <c r="NIR171" s="72"/>
      <c r="NIS171" s="72"/>
      <c r="NIT171" s="72"/>
      <c r="NIU171" s="72"/>
      <c r="NIV171" s="72"/>
      <c r="NIW171" s="72"/>
      <c r="NIX171" s="72"/>
      <c r="NIY171" s="72"/>
      <c r="NIZ171" s="72"/>
      <c r="NJA171" s="72"/>
      <c r="NJB171" s="72"/>
      <c r="NJC171" s="72"/>
      <c r="NJD171" s="72"/>
      <c r="NJE171" s="72"/>
      <c r="NJF171" s="72"/>
      <c r="NJG171" s="72"/>
      <c r="NJH171" s="72"/>
      <c r="NJI171" s="72"/>
      <c r="NJJ171" s="72"/>
      <c r="NJK171" s="72"/>
      <c r="NJL171" s="72"/>
      <c r="NJM171" s="72"/>
      <c r="NJN171" s="72"/>
      <c r="NJO171" s="72"/>
      <c r="NJP171" s="72"/>
      <c r="NJQ171" s="72"/>
      <c r="NJR171" s="72"/>
      <c r="NJS171" s="72"/>
      <c r="NJT171" s="72"/>
      <c r="NJU171" s="72"/>
      <c r="NJV171" s="72"/>
      <c r="NJW171" s="72"/>
      <c r="NJX171" s="72"/>
      <c r="NJY171" s="72"/>
      <c r="NJZ171" s="72"/>
      <c r="NKA171" s="72"/>
      <c r="NKB171" s="72"/>
      <c r="NKC171" s="72"/>
      <c r="NKD171" s="72"/>
      <c r="NKE171" s="72"/>
      <c r="NKF171" s="72"/>
      <c r="NKG171" s="72"/>
      <c r="NKH171" s="72"/>
      <c r="NKI171" s="72"/>
      <c r="NKJ171" s="72"/>
      <c r="NKK171" s="72"/>
      <c r="NKL171" s="72"/>
      <c r="NKM171" s="72"/>
      <c r="NKN171" s="72"/>
      <c r="NKO171" s="72"/>
      <c r="NKP171" s="72"/>
      <c r="NKQ171" s="72"/>
      <c r="NKR171" s="72"/>
      <c r="NKS171" s="72"/>
      <c r="NKT171" s="72"/>
      <c r="NKU171" s="72"/>
      <c r="NKV171" s="72"/>
      <c r="NKW171" s="72"/>
      <c r="NKX171" s="72"/>
      <c r="NKY171" s="72"/>
      <c r="NKZ171" s="72"/>
      <c r="NLA171" s="72"/>
      <c r="NLB171" s="72"/>
      <c r="NLC171" s="72"/>
      <c r="NLD171" s="72"/>
      <c r="NLE171" s="72"/>
      <c r="NLF171" s="72"/>
      <c r="NLG171" s="72"/>
      <c r="NLH171" s="72"/>
      <c r="NLI171" s="72"/>
      <c r="NLJ171" s="72"/>
      <c r="NLK171" s="72"/>
      <c r="NLL171" s="72"/>
      <c r="NLM171" s="72"/>
      <c r="NLN171" s="72"/>
      <c r="NLO171" s="72"/>
      <c r="NLP171" s="72"/>
      <c r="NLQ171" s="72"/>
      <c r="NLR171" s="72"/>
      <c r="NLS171" s="72"/>
      <c r="NLT171" s="72"/>
      <c r="NLU171" s="72"/>
      <c r="NLV171" s="72"/>
      <c r="NLW171" s="72"/>
      <c r="NLX171" s="72"/>
      <c r="NLY171" s="72"/>
      <c r="NLZ171" s="72"/>
      <c r="NMA171" s="72"/>
      <c r="NMB171" s="72"/>
      <c r="NMC171" s="72"/>
      <c r="NMD171" s="72"/>
      <c r="NME171" s="72"/>
      <c r="NMF171" s="72"/>
      <c r="NMG171" s="72"/>
      <c r="NMH171" s="72"/>
      <c r="NMI171" s="72"/>
      <c r="NMJ171" s="72"/>
      <c r="NMK171" s="72"/>
      <c r="NML171" s="72"/>
      <c r="NMM171" s="72"/>
      <c r="NMN171" s="72"/>
      <c r="NMO171" s="72"/>
      <c r="NMP171" s="72"/>
      <c r="NMQ171" s="72"/>
      <c r="NMR171" s="72"/>
      <c r="NMS171" s="72"/>
      <c r="NMT171" s="72"/>
      <c r="NMU171" s="72"/>
      <c r="NMV171" s="72"/>
      <c r="NMW171" s="72"/>
      <c r="NMX171" s="72"/>
      <c r="NMY171" s="72"/>
      <c r="NMZ171" s="72"/>
      <c r="NNA171" s="72"/>
      <c r="NNB171" s="72"/>
      <c r="NNC171" s="72"/>
      <c r="NND171" s="72"/>
      <c r="NNE171" s="72"/>
      <c r="NNF171" s="72"/>
      <c r="NNG171" s="72"/>
      <c r="NNH171" s="72"/>
      <c r="NNI171" s="72"/>
      <c r="NNJ171" s="72"/>
      <c r="NNK171" s="72"/>
      <c r="NNL171" s="72"/>
      <c r="NNM171" s="72"/>
      <c r="NNN171" s="72"/>
      <c r="NNO171" s="72"/>
      <c r="NNP171" s="72"/>
      <c r="NNQ171" s="72"/>
      <c r="NNR171" s="72"/>
      <c r="NNS171" s="72"/>
      <c r="NNT171" s="72"/>
      <c r="NNU171" s="72"/>
      <c r="NNV171" s="72"/>
      <c r="NNW171" s="72"/>
      <c r="NNX171" s="72"/>
      <c r="NNY171" s="72"/>
      <c r="NNZ171" s="72"/>
      <c r="NOA171" s="72"/>
      <c r="NOB171" s="72"/>
      <c r="NOC171" s="72"/>
      <c r="NOD171" s="72"/>
      <c r="NOE171" s="72"/>
      <c r="NOF171" s="72"/>
      <c r="NOG171" s="72"/>
      <c r="NOH171" s="72"/>
      <c r="NOI171" s="72"/>
      <c r="NOJ171" s="72"/>
      <c r="NOK171" s="72"/>
      <c r="NOL171" s="72"/>
      <c r="NOM171" s="72"/>
      <c r="NON171" s="72"/>
      <c r="NOO171" s="72"/>
      <c r="NOP171" s="72"/>
      <c r="NOQ171" s="72"/>
      <c r="NOR171" s="72"/>
      <c r="NOS171" s="72"/>
      <c r="NOT171" s="72"/>
      <c r="NOU171" s="72"/>
      <c r="NOV171" s="72"/>
      <c r="NOW171" s="72"/>
      <c r="NOX171" s="72"/>
      <c r="NOY171" s="72"/>
      <c r="NOZ171" s="72"/>
      <c r="NPA171" s="72"/>
      <c r="NPB171" s="72"/>
      <c r="NPC171" s="72"/>
      <c r="NPD171" s="72"/>
      <c r="NPE171" s="72"/>
      <c r="NPF171" s="72"/>
      <c r="NPG171" s="72"/>
      <c r="NPH171" s="72"/>
      <c r="NPI171" s="72"/>
      <c r="NPJ171" s="72"/>
      <c r="NPK171" s="72"/>
      <c r="NPL171" s="72"/>
      <c r="NPM171" s="72"/>
      <c r="NPN171" s="72"/>
      <c r="NPO171" s="72"/>
      <c r="NPP171" s="72"/>
      <c r="NPQ171" s="72"/>
      <c r="NPR171" s="72"/>
      <c r="NPS171" s="72"/>
      <c r="NPT171" s="72"/>
      <c r="NPU171" s="72"/>
      <c r="NPV171" s="72"/>
      <c r="NPW171" s="72"/>
      <c r="NPX171" s="72"/>
      <c r="NPY171" s="72"/>
      <c r="NPZ171" s="72"/>
      <c r="NQA171" s="72"/>
      <c r="NQB171" s="72"/>
      <c r="NQC171" s="72"/>
      <c r="NQD171" s="72"/>
      <c r="NQE171" s="72"/>
      <c r="NQF171" s="72"/>
      <c r="NQG171" s="72"/>
      <c r="NQH171" s="72"/>
      <c r="NQI171" s="72"/>
      <c r="NQJ171" s="72"/>
      <c r="NQK171" s="72"/>
      <c r="NQL171" s="72"/>
      <c r="NQM171" s="72"/>
      <c r="NQN171" s="72"/>
      <c r="NQO171" s="72"/>
      <c r="NQP171" s="72"/>
      <c r="NQQ171" s="72"/>
      <c r="NQR171" s="72"/>
      <c r="NQS171" s="72"/>
      <c r="NQT171" s="72"/>
      <c r="NQU171" s="72"/>
      <c r="NQV171" s="72"/>
      <c r="NQW171" s="72"/>
      <c r="NQX171" s="72"/>
      <c r="NQY171" s="72"/>
      <c r="NQZ171" s="72"/>
      <c r="NRA171" s="72"/>
      <c r="NRB171" s="72"/>
      <c r="NRC171" s="72"/>
      <c r="NRD171" s="72"/>
      <c r="NRE171" s="72"/>
      <c r="NRF171" s="72"/>
      <c r="NRG171" s="72"/>
      <c r="NRH171" s="72"/>
      <c r="NRI171" s="72"/>
      <c r="NRJ171" s="72"/>
      <c r="NRK171" s="72"/>
      <c r="NRL171" s="72"/>
      <c r="NRM171" s="72"/>
      <c r="NRN171" s="72"/>
      <c r="NRO171" s="72"/>
      <c r="NRP171" s="72"/>
      <c r="NRQ171" s="72"/>
      <c r="NRR171" s="72"/>
      <c r="NRS171" s="72"/>
      <c r="NRT171" s="72"/>
      <c r="NRU171" s="72"/>
      <c r="NRV171" s="72"/>
      <c r="NRW171" s="72"/>
      <c r="NRX171" s="72"/>
      <c r="NRY171" s="72"/>
      <c r="NRZ171" s="72"/>
      <c r="NSA171" s="72"/>
      <c r="NSB171" s="72"/>
      <c r="NSC171" s="72"/>
      <c r="NSD171" s="72"/>
      <c r="NSE171" s="72"/>
      <c r="NSF171" s="72"/>
      <c r="NSG171" s="72"/>
      <c r="NSH171" s="72"/>
      <c r="NSI171" s="72"/>
      <c r="NSJ171" s="72"/>
      <c r="NSK171" s="72"/>
      <c r="NSL171" s="72"/>
      <c r="NSM171" s="72"/>
      <c r="NSN171" s="72"/>
      <c r="NSO171" s="72"/>
      <c r="NSP171" s="72"/>
      <c r="NSQ171" s="72"/>
      <c r="NSR171" s="72"/>
      <c r="NSS171" s="72"/>
      <c r="NST171" s="72"/>
      <c r="NSU171" s="72"/>
      <c r="NSV171" s="72"/>
      <c r="NSW171" s="72"/>
      <c r="NSX171" s="72"/>
      <c r="NSY171" s="72"/>
      <c r="NSZ171" s="72"/>
      <c r="NTA171" s="72"/>
      <c r="NTB171" s="72"/>
      <c r="NTC171" s="72"/>
      <c r="NTD171" s="72"/>
      <c r="NTE171" s="72"/>
      <c r="NTF171" s="72"/>
      <c r="NTG171" s="72"/>
      <c r="NTH171" s="72"/>
      <c r="NTI171" s="72"/>
      <c r="NTJ171" s="72"/>
      <c r="NTK171" s="72"/>
      <c r="NTL171" s="72"/>
      <c r="NTM171" s="72"/>
      <c r="NTN171" s="72"/>
      <c r="NTO171" s="72"/>
      <c r="NTP171" s="72"/>
      <c r="NTQ171" s="72"/>
      <c r="NTR171" s="72"/>
      <c r="NTS171" s="72"/>
      <c r="NTT171" s="72"/>
      <c r="NTU171" s="72"/>
      <c r="NTV171" s="72"/>
      <c r="NTW171" s="72"/>
      <c r="NTX171" s="72"/>
      <c r="NTY171" s="72"/>
      <c r="NTZ171" s="72"/>
      <c r="NUA171" s="72"/>
      <c r="NUB171" s="72"/>
      <c r="NUC171" s="72"/>
      <c r="NUD171" s="72"/>
      <c r="NUE171" s="72"/>
      <c r="NUF171" s="72"/>
      <c r="NUG171" s="72"/>
      <c r="NUH171" s="72"/>
      <c r="NUI171" s="72"/>
      <c r="NUJ171" s="72"/>
      <c r="NUK171" s="72"/>
      <c r="NUL171" s="72"/>
      <c r="NUM171" s="72"/>
      <c r="NUN171" s="72"/>
      <c r="NUO171" s="72"/>
      <c r="NUP171" s="72"/>
      <c r="NUQ171" s="72"/>
      <c r="NUR171" s="72"/>
      <c r="NUS171" s="72"/>
      <c r="NUT171" s="72"/>
      <c r="NUU171" s="72"/>
      <c r="NUV171" s="72"/>
      <c r="NUW171" s="72"/>
      <c r="NUX171" s="72"/>
      <c r="NUY171" s="72"/>
      <c r="NUZ171" s="72"/>
      <c r="NVA171" s="72"/>
      <c r="NVB171" s="72"/>
      <c r="NVC171" s="72"/>
      <c r="NVD171" s="72"/>
      <c r="NVE171" s="72"/>
      <c r="NVF171" s="72"/>
      <c r="NVG171" s="72"/>
      <c r="NVH171" s="72"/>
      <c r="NVI171" s="72"/>
      <c r="NVJ171" s="72"/>
      <c r="NVK171" s="72"/>
      <c r="NVL171" s="72"/>
      <c r="NVM171" s="72"/>
      <c r="NVN171" s="72"/>
      <c r="NVO171" s="72"/>
      <c r="NVP171" s="72"/>
      <c r="NVQ171" s="72"/>
      <c r="NVR171" s="72"/>
      <c r="NVS171" s="72"/>
      <c r="NVT171" s="72"/>
      <c r="NVU171" s="72"/>
      <c r="NVV171" s="72"/>
      <c r="NVW171" s="72"/>
      <c r="NVX171" s="72"/>
      <c r="NVY171" s="72"/>
      <c r="NVZ171" s="72"/>
      <c r="NWA171" s="72"/>
      <c r="NWB171" s="72"/>
      <c r="NWC171" s="72"/>
      <c r="NWD171" s="72"/>
      <c r="NWE171" s="72"/>
      <c r="NWF171" s="72"/>
      <c r="NWG171" s="72"/>
      <c r="NWH171" s="72"/>
      <c r="NWI171" s="72"/>
      <c r="NWJ171" s="72"/>
      <c r="NWK171" s="72"/>
      <c r="NWL171" s="72"/>
      <c r="NWM171" s="72"/>
      <c r="NWN171" s="72"/>
      <c r="NWO171" s="72"/>
      <c r="NWP171" s="72"/>
      <c r="NWQ171" s="72"/>
      <c r="NWR171" s="72"/>
      <c r="NWS171" s="72"/>
      <c r="NWT171" s="72"/>
      <c r="NWU171" s="72"/>
      <c r="NWV171" s="72"/>
      <c r="NWW171" s="72"/>
      <c r="NWX171" s="72"/>
      <c r="NWY171" s="72"/>
      <c r="NWZ171" s="72"/>
      <c r="NXA171" s="72"/>
      <c r="NXB171" s="72"/>
      <c r="NXC171" s="72"/>
      <c r="NXD171" s="72"/>
      <c r="NXE171" s="72"/>
      <c r="NXF171" s="72"/>
      <c r="NXG171" s="72"/>
      <c r="NXH171" s="72"/>
      <c r="NXI171" s="72"/>
      <c r="NXJ171" s="72"/>
      <c r="NXK171" s="72"/>
      <c r="NXL171" s="72"/>
      <c r="NXM171" s="72"/>
      <c r="NXN171" s="72"/>
      <c r="NXO171" s="72"/>
      <c r="NXP171" s="72"/>
      <c r="NXQ171" s="72"/>
      <c r="NXR171" s="72"/>
      <c r="NXS171" s="72"/>
      <c r="NXT171" s="72"/>
      <c r="NXU171" s="72"/>
      <c r="NXV171" s="72"/>
      <c r="NXW171" s="72"/>
      <c r="NXX171" s="72"/>
      <c r="NXY171" s="72"/>
      <c r="NXZ171" s="72"/>
      <c r="NYA171" s="72"/>
      <c r="NYB171" s="72"/>
      <c r="NYC171" s="72"/>
      <c r="NYD171" s="72"/>
      <c r="NYE171" s="72"/>
      <c r="NYF171" s="72"/>
      <c r="NYG171" s="72"/>
      <c r="NYH171" s="72"/>
      <c r="NYI171" s="72"/>
      <c r="NYJ171" s="72"/>
      <c r="NYK171" s="72"/>
      <c r="NYL171" s="72"/>
      <c r="NYM171" s="72"/>
      <c r="NYN171" s="72"/>
      <c r="NYO171" s="72"/>
      <c r="NYP171" s="72"/>
      <c r="NYQ171" s="72"/>
      <c r="NYR171" s="72"/>
      <c r="NYS171" s="72"/>
      <c r="NYT171" s="72"/>
      <c r="NYU171" s="72"/>
      <c r="NYV171" s="72"/>
      <c r="NYW171" s="72"/>
      <c r="NYX171" s="72"/>
      <c r="NYY171" s="72"/>
      <c r="NYZ171" s="72"/>
      <c r="NZA171" s="72"/>
      <c r="NZB171" s="72"/>
      <c r="NZC171" s="72"/>
      <c r="NZD171" s="72"/>
      <c r="NZE171" s="72"/>
      <c r="NZF171" s="72"/>
      <c r="NZG171" s="72"/>
      <c r="NZH171" s="72"/>
      <c r="NZI171" s="72"/>
      <c r="NZJ171" s="72"/>
      <c r="NZK171" s="72"/>
      <c r="NZL171" s="72"/>
      <c r="NZM171" s="72"/>
      <c r="NZN171" s="72"/>
      <c r="NZO171" s="72"/>
      <c r="NZP171" s="72"/>
      <c r="NZQ171" s="72"/>
      <c r="NZR171" s="72"/>
      <c r="NZS171" s="72"/>
      <c r="NZT171" s="72"/>
      <c r="NZU171" s="72"/>
      <c r="NZV171" s="72"/>
      <c r="NZW171" s="72"/>
      <c r="NZX171" s="72"/>
      <c r="NZY171" s="72"/>
      <c r="NZZ171" s="72"/>
      <c r="OAA171" s="72"/>
      <c r="OAB171" s="72"/>
      <c r="OAC171" s="72"/>
      <c r="OAD171" s="72"/>
      <c r="OAE171" s="72"/>
      <c r="OAF171" s="72"/>
      <c r="OAG171" s="72"/>
      <c r="OAH171" s="72"/>
      <c r="OAI171" s="72"/>
      <c r="OAJ171" s="72"/>
      <c r="OAK171" s="72"/>
      <c r="OAL171" s="72"/>
      <c r="OAM171" s="72"/>
      <c r="OAN171" s="72"/>
      <c r="OAO171" s="72"/>
      <c r="OAP171" s="72"/>
      <c r="OAQ171" s="72"/>
      <c r="OAR171" s="72"/>
      <c r="OAS171" s="72"/>
      <c r="OAT171" s="72"/>
      <c r="OAU171" s="72"/>
      <c r="OAV171" s="72"/>
      <c r="OAW171" s="72"/>
      <c r="OAX171" s="72"/>
      <c r="OAY171" s="72"/>
      <c r="OAZ171" s="72"/>
      <c r="OBA171" s="72"/>
      <c r="OBB171" s="72"/>
      <c r="OBC171" s="72"/>
      <c r="OBD171" s="72"/>
      <c r="OBE171" s="72"/>
      <c r="OBF171" s="72"/>
      <c r="OBG171" s="72"/>
      <c r="OBH171" s="72"/>
      <c r="OBI171" s="72"/>
      <c r="OBJ171" s="72"/>
      <c r="OBK171" s="72"/>
      <c r="OBL171" s="72"/>
      <c r="OBM171" s="72"/>
      <c r="OBN171" s="72"/>
      <c r="OBO171" s="72"/>
      <c r="OBP171" s="72"/>
      <c r="OBQ171" s="72"/>
      <c r="OBR171" s="72"/>
      <c r="OBS171" s="72"/>
      <c r="OBT171" s="72"/>
      <c r="OBU171" s="72"/>
      <c r="OBV171" s="72"/>
      <c r="OBW171" s="72"/>
      <c r="OBX171" s="72"/>
      <c r="OBY171" s="72"/>
      <c r="OBZ171" s="72"/>
      <c r="OCA171" s="72"/>
      <c r="OCB171" s="72"/>
      <c r="OCC171" s="72"/>
      <c r="OCD171" s="72"/>
      <c r="OCE171" s="72"/>
      <c r="OCF171" s="72"/>
      <c r="OCG171" s="72"/>
      <c r="OCH171" s="72"/>
      <c r="OCI171" s="72"/>
      <c r="OCJ171" s="72"/>
      <c r="OCK171" s="72"/>
      <c r="OCL171" s="72"/>
      <c r="OCM171" s="72"/>
      <c r="OCN171" s="72"/>
      <c r="OCO171" s="72"/>
      <c r="OCP171" s="72"/>
      <c r="OCQ171" s="72"/>
      <c r="OCR171" s="72"/>
      <c r="OCS171" s="72"/>
      <c r="OCT171" s="72"/>
      <c r="OCU171" s="72"/>
      <c r="OCV171" s="72"/>
      <c r="OCW171" s="72"/>
      <c r="OCX171" s="72"/>
      <c r="OCY171" s="72"/>
      <c r="OCZ171" s="72"/>
      <c r="ODA171" s="72"/>
      <c r="ODB171" s="72"/>
      <c r="ODC171" s="72"/>
      <c r="ODD171" s="72"/>
      <c r="ODE171" s="72"/>
      <c r="ODF171" s="72"/>
      <c r="ODG171" s="72"/>
      <c r="ODH171" s="72"/>
      <c r="ODI171" s="72"/>
      <c r="ODJ171" s="72"/>
      <c r="ODK171" s="72"/>
      <c r="ODL171" s="72"/>
      <c r="ODM171" s="72"/>
      <c r="ODN171" s="72"/>
      <c r="ODO171" s="72"/>
      <c r="ODP171" s="72"/>
      <c r="ODQ171" s="72"/>
      <c r="ODR171" s="72"/>
      <c r="ODS171" s="72"/>
      <c r="ODT171" s="72"/>
      <c r="ODU171" s="72"/>
      <c r="ODV171" s="72"/>
      <c r="ODW171" s="72"/>
      <c r="ODX171" s="72"/>
      <c r="ODY171" s="72"/>
      <c r="ODZ171" s="72"/>
      <c r="OEA171" s="72"/>
      <c r="OEB171" s="72"/>
      <c r="OEC171" s="72"/>
      <c r="OED171" s="72"/>
      <c r="OEE171" s="72"/>
      <c r="OEF171" s="72"/>
      <c r="OEG171" s="72"/>
      <c r="OEH171" s="72"/>
      <c r="OEI171" s="72"/>
      <c r="OEJ171" s="72"/>
      <c r="OEK171" s="72"/>
      <c r="OEL171" s="72"/>
      <c r="OEM171" s="72"/>
      <c r="OEN171" s="72"/>
      <c r="OEO171" s="72"/>
      <c r="OEP171" s="72"/>
      <c r="OEQ171" s="72"/>
      <c r="OER171" s="72"/>
      <c r="OES171" s="72"/>
      <c r="OET171" s="72"/>
      <c r="OEU171" s="72"/>
      <c r="OEV171" s="72"/>
      <c r="OEW171" s="72"/>
      <c r="OEX171" s="72"/>
      <c r="OEY171" s="72"/>
      <c r="OEZ171" s="72"/>
      <c r="OFA171" s="72"/>
      <c r="OFB171" s="72"/>
      <c r="OFC171" s="72"/>
      <c r="OFD171" s="72"/>
      <c r="OFE171" s="72"/>
      <c r="OFF171" s="72"/>
      <c r="OFG171" s="72"/>
      <c r="OFH171" s="72"/>
      <c r="OFI171" s="72"/>
      <c r="OFJ171" s="72"/>
      <c r="OFK171" s="72"/>
      <c r="OFL171" s="72"/>
      <c r="OFM171" s="72"/>
      <c r="OFN171" s="72"/>
      <c r="OFO171" s="72"/>
      <c r="OFP171" s="72"/>
      <c r="OFQ171" s="72"/>
      <c r="OFR171" s="72"/>
      <c r="OFS171" s="72"/>
      <c r="OFT171" s="72"/>
      <c r="OFU171" s="72"/>
      <c r="OFV171" s="72"/>
      <c r="OFW171" s="72"/>
      <c r="OFX171" s="72"/>
      <c r="OFY171" s="72"/>
      <c r="OFZ171" s="72"/>
      <c r="OGA171" s="72"/>
      <c r="OGB171" s="72"/>
      <c r="OGC171" s="72"/>
      <c r="OGD171" s="72"/>
      <c r="OGE171" s="72"/>
      <c r="OGF171" s="72"/>
      <c r="OGG171" s="72"/>
      <c r="OGH171" s="72"/>
      <c r="OGI171" s="72"/>
      <c r="OGJ171" s="72"/>
      <c r="OGK171" s="72"/>
      <c r="OGL171" s="72"/>
      <c r="OGM171" s="72"/>
      <c r="OGN171" s="72"/>
      <c r="OGO171" s="72"/>
      <c r="OGP171" s="72"/>
      <c r="OGQ171" s="72"/>
      <c r="OGR171" s="72"/>
      <c r="OGS171" s="72"/>
      <c r="OGT171" s="72"/>
      <c r="OGU171" s="72"/>
      <c r="OGV171" s="72"/>
      <c r="OGW171" s="72"/>
      <c r="OGX171" s="72"/>
      <c r="OGY171" s="72"/>
      <c r="OGZ171" s="72"/>
      <c r="OHA171" s="72"/>
      <c r="OHB171" s="72"/>
      <c r="OHC171" s="72"/>
      <c r="OHD171" s="72"/>
      <c r="OHE171" s="72"/>
      <c r="OHF171" s="72"/>
      <c r="OHG171" s="72"/>
      <c r="OHH171" s="72"/>
      <c r="OHI171" s="72"/>
      <c r="OHJ171" s="72"/>
      <c r="OHK171" s="72"/>
      <c r="OHL171" s="72"/>
      <c r="OHM171" s="72"/>
      <c r="OHN171" s="72"/>
      <c r="OHO171" s="72"/>
      <c r="OHP171" s="72"/>
      <c r="OHQ171" s="72"/>
      <c r="OHR171" s="72"/>
      <c r="OHS171" s="72"/>
      <c r="OHT171" s="72"/>
      <c r="OHU171" s="72"/>
      <c r="OHV171" s="72"/>
      <c r="OHW171" s="72"/>
      <c r="OHX171" s="72"/>
      <c r="OHY171" s="72"/>
      <c r="OHZ171" s="72"/>
      <c r="OIA171" s="72"/>
      <c r="OIB171" s="72"/>
      <c r="OIC171" s="72"/>
      <c r="OID171" s="72"/>
      <c r="OIE171" s="72"/>
      <c r="OIF171" s="72"/>
      <c r="OIG171" s="72"/>
      <c r="OIH171" s="72"/>
      <c r="OII171" s="72"/>
      <c r="OIJ171" s="72"/>
      <c r="OIK171" s="72"/>
      <c r="OIL171" s="72"/>
      <c r="OIM171" s="72"/>
      <c r="OIN171" s="72"/>
      <c r="OIO171" s="72"/>
      <c r="OIP171" s="72"/>
      <c r="OIQ171" s="72"/>
      <c r="OIR171" s="72"/>
      <c r="OIS171" s="72"/>
      <c r="OIT171" s="72"/>
      <c r="OIU171" s="72"/>
      <c r="OIV171" s="72"/>
      <c r="OIW171" s="72"/>
      <c r="OIX171" s="72"/>
      <c r="OIY171" s="72"/>
      <c r="OIZ171" s="72"/>
      <c r="OJA171" s="72"/>
      <c r="OJB171" s="72"/>
      <c r="OJC171" s="72"/>
      <c r="OJD171" s="72"/>
      <c r="OJE171" s="72"/>
      <c r="OJF171" s="72"/>
      <c r="OJG171" s="72"/>
      <c r="OJH171" s="72"/>
      <c r="OJI171" s="72"/>
      <c r="OJJ171" s="72"/>
      <c r="OJK171" s="72"/>
      <c r="OJL171" s="72"/>
      <c r="OJM171" s="72"/>
      <c r="OJN171" s="72"/>
      <c r="OJO171" s="72"/>
      <c r="OJP171" s="72"/>
      <c r="OJQ171" s="72"/>
      <c r="OJR171" s="72"/>
      <c r="OJS171" s="72"/>
      <c r="OJT171" s="72"/>
      <c r="OJU171" s="72"/>
      <c r="OJV171" s="72"/>
      <c r="OJW171" s="72"/>
      <c r="OJX171" s="72"/>
      <c r="OJY171" s="72"/>
      <c r="OJZ171" s="72"/>
      <c r="OKA171" s="72"/>
      <c r="OKB171" s="72"/>
      <c r="OKC171" s="72"/>
      <c r="OKD171" s="72"/>
      <c r="OKE171" s="72"/>
      <c r="OKF171" s="72"/>
      <c r="OKG171" s="72"/>
      <c r="OKH171" s="72"/>
      <c r="OKI171" s="72"/>
      <c r="OKJ171" s="72"/>
      <c r="OKK171" s="72"/>
      <c r="OKL171" s="72"/>
      <c r="OKM171" s="72"/>
      <c r="OKN171" s="72"/>
      <c r="OKO171" s="72"/>
      <c r="OKP171" s="72"/>
      <c r="OKQ171" s="72"/>
      <c r="OKR171" s="72"/>
      <c r="OKS171" s="72"/>
      <c r="OKT171" s="72"/>
      <c r="OKU171" s="72"/>
      <c r="OKV171" s="72"/>
      <c r="OKW171" s="72"/>
      <c r="OKX171" s="72"/>
      <c r="OKY171" s="72"/>
      <c r="OKZ171" s="72"/>
      <c r="OLA171" s="72"/>
      <c r="OLB171" s="72"/>
      <c r="OLC171" s="72"/>
      <c r="OLD171" s="72"/>
      <c r="OLE171" s="72"/>
      <c r="OLF171" s="72"/>
      <c r="OLG171" s="72"/>
      <c r="OLH171" s="72"/>
      <c r="OLI171" s="72"/>
      <c r="OLJ171" s="72"/>
      <c r="OLK171" s="72"/>
      <c r="OLL171" s="72"/>
      <c r="OLM171" s="72"/>
      <c r="OLN171" s="72"/>
      <c r="OLO171" s="72"/>
      <c r="OLP171" s="72"/>
      <c r="OLQ171" s="72"/>
      <c r="OLR171" s="72"/>
      <c r="OLS171" s="72"/>
      <c r="OLT171" s="72"/>
      <c r="OLU171" s="72"/>
      <c r="OLV171" s="72"/>
      <c r="OLW171" s="72"/>
      <c r="OLX171" s="72"/>
      <c r="OLY171" s="72"/>
      <c r="OLZ171" s="72"/>
      <c r="OMA171" s="72"/>
      <c r="OMB171" s="72"/>
      <c r="OMC171" s="72"/>
      <c r="OMD171" s="72"/>
      <c r="OME171" s="72"/>
      <c r="OMF171" s="72"/>
      <c r="OMG171" s="72"/>
      <c r="OMH171" s="72"/>
      <c r="OMI171" s="72"/>
      <c r="OMJ171" s="72"/>
      <c r="OMK171" s="72"/>
      <c r="OML171" s="72"/>
      <c r="OMM171" s="72"/>
      <c r="OMN171" s="72"/>
      <c r="OMO171" s="72"/>
      <c r="OMP171" s="72"/>
      <c r="OMQ171" s="72"/>
      <c r="OMR171" s="72"/>
      <c r="OMS171" s="72"/>
      <c r="OMT171" s="72"/>
      <c r="OMU171" s="72"/>
      <c r="OMV171" s="72"/>
      <c r="OMW171" s="72"/>
      <c r="OMX171" s="72"/>
      <c r="OMY171" s="72"/>
      <c r="OMZ171" s="72"/>
      <c r="ONA171" s="72"/>
      <c r="ONB171" s="72"/>
      <c r="ONC171" s="72"/>
      <c r="OND171" s="72"/>
      <c r="ONE171" s="72"/>
      <c r="ONF171" s="72"/>
      <c r="ONG171" s="72"/>
      <c r="ONH171" s="72"/>
      <c r="ONI171" s="72"/>
      <c r="ONJ171" s="72"/>
      <c r="ONK171" s="72"/>
      <c r="ONL171" s="72"/>
      <c r="ONM171" s="72"/>
      <c r="ONN171" s="72"/>
      <c r="ONO171" s="72"/>
      <c r="ONP171" s="72"/>
      <c r="ONQ171" s="72"/>
      <c r="ONR171" s="72"/>
      <c r="ONS171" s="72"/>
      <c r="ONT171" s="72"/>
      <c r="ONU171" s="72"/>
      <c r="ONV171" s="72"/>
      <c r="ONW171" s="72"/>
      <c r="ONX171" s="72"/>
      <c r="ONY171" s="72"/>
      <c r="ONZ171" s="72"/>
      <c r="OOA171" s="72"/>
      <c r="OOB171" s="72"/>
      <c r="OOC171" s="72"/>
      <c r="OOD171" s="72"/>
      <c r="OOE171" s="72"/>
      <c r="OOF171" s="72"/>
      <c r="OOG171" s="72"/>
      <c r="OOH171" s="72"/>
      <c r="OOI171" s="72"/>
      <c r="OOJ171" s="72"/>
      <c r="OOK171" s="72"/>
      <c r="OOL171" s="72"/>
      <c r="OOM171" s="72"/>
      <c r="OON171" s="72"/>
      <c r="OOO171" s="72"/>
      <c r="OOP171" s="72"/>
      <c r="OOQ171" s="72"/>
      <c r="OOR171" s="72"/>
      <c r="OOS171" s="72"/>
      <c r="OOT171" s="72"/>
      <c r="OOU171" s="72"/>
      <c r="OOV171" s="72"/>
      <c r="OOW171" s="72"/>
      <c r="OOX171" s="72"/>
      <c r="OOY171" s="72"/>
      <c r="OOZ171" s="72"/>
      <c r="OPA171" s="72"/>
      <c r="OPB171" s="72"/>
      <c r="OPC171" s="72"/>
      <c r="OPD171" s="72"/>
      <c r="OPE171" s="72"/>
      <c r="OPF171" s="72"/>
      <c r="OPG171" s="72"/>
      <c r="OPH171" s="72"/>
      <c r="OPI171" s="72"/>
      <c r="OPJ171" s="72"/>
      <c r="OPK171" s="72"/>
      <c r="OPL171" s="72"/>
      <c r="OPM171" s="72"/>
      <c r="OPN171" s="72"/>
      <c r="OPO171" s="72"/>
      <c r="OPP171" s="72"/>
      <c r="OPQ171" s="72"/>
      <c r="OPR171" s="72"/>
      <c r="OPS171" s="72"/>
      <c r="OPT171" s="72"/>
      <c r="OPU171" s="72"/>
      <c r="OPV171" s="72"/>
      <c r="OPW171" s="72"/>
      <c r="OPX171" s="72"/>
      <c r="OPY171" s="72"/>
      <c r="OPZ171" s="72"/>
      <c r="OQA171" s="72"/>
      <c r="OQB171" s="72"/>
      <c r="OQC171" s="72"/>
      <c r="OQD171" s="72"/>
      <c r="OQE171" s="72"/>
      <c r="OQF171" s="72"/>
      <c r="OQG171" s="72"/>
      <c r="OQH171" s="72"/>
      <c r="OQI171" s="72"/>
      <c r="OQJ171" s="72"/>
      <c r="OQK171" s="72"/>
      <c r="OQL171" s="72"/>
      <c r="OQM171" s="72"/>
      <c r="OQN171" s="72"/>
      <c r="OQO171" s="72"/>
      <c r="OQP171" s="72"/>
      <c r="OQQ171" s="72"/>
      <c r="OQR171" s="72"/>
      <c r="OQS171" s="72"/>
      <c r="OQT171" s="72"/>
      <c r="OQU171" s="72"/>
      <c r="OQV171" s="72"/>
      <c r="OQW171" s="72"/>
      <c r="OQX171" s="72"/>
      <c r="OQY171" s="72"/>
      <c r="OQZ171" s="72"/>
      <c r="ORA171" s="72"/>
      <c r="ORB171" s="72"/>
      <c r="ORC171" s="72"/>
      <c r="ORD171" s="72"/>
      <c r="ORE171" s="72"/>
      <c r="ORF171" s="72"/>
      <c r="ORG171" s="72"/>
      <c r="ORH171" s="72"/>
      <c r="ORI171" s="72"/>
      <c r="ORJ171" s="72"/>
      <c r="ORK171" s="72"/>
      <c r="ORL171" s="72"/>
      <c r="ORM171" s="72"/>
      <c r="ORN171" s="72"/>
      <c r="ORO171" s="72"/>
      <c r="ORP171" s="72"/>
      <c r="ORQ171" s="72"/>
      <c r="ORR171" s="72"/>
      <c r="ORS171" s="72"/>
      <c r="ORT171" s="72"/>
      <c r="ORU171" s="72"/>
      <c r="ORV171" s="72"/>
      <c r="ORW171" s="72"/>
      <c r="ORX171" s="72"/>
      <c r="ORY171" s="72"/>
      <c r="ORZ171" s="72"/>
      <c r="OSA171" s="72"/>
      <c r="OSB171" s="72"/>
      <c r="OSC171" s="72"/>
      <c r="OSD171" s="72"/>
      <c r="OSE171" s="72"/>
      <c r="OSF171" s="72"/>
      <c r="OSG171" s="72"/>
      <c r="OSH171" s="72"/>
      <c r="OSI171" s="72"/>
      <c r="OSJ171" s="72"/>
      <c r="OSK171" s="72"/>
      <c r="OSL171" s="72"/>
      <c r="OSM171" s="72"/>
      <c r="OSN171" s="72"/>
      <c r="OSO171" s="72"/>
      <c r="OSP171" s="72"/>
      <c r="OSQ171" s="72"/>
      <c r="OSR171" s="72"/>
      <c r="OSS171" s="72"/>
      <c r="OST171" s="72"/>
      <c r="OSU171" s="72"/>
      <c r="OSV171" s="72"/>
      <c r="OSW171" s="72"/>
      <c r="OSX171" s="72"/>
      <c r="OSY171" s="72"/>
      <c r="OSZ171" s="72"/>
      <c r="OTA171" s="72"/>
      <c r="OTB171" s="72"/>
      <c r="OTC171" s="72"/>
      <c r="OTD171" s="72"/>
      <c r="OTE171" s="72"/>
      <c r="OTF171" s="72"/>
      <c r="OTG171" s="72"/>
      <c r="OTH171" s="72"/>
      <c r="OTI171" s="72"/>
      <c r="OTJ171" s="72"/>
      <c r="OTK171" s="72"/>
      <c r="OTL171" s="72"/>
      <c r="OTM171" s="72"/>
      <c r="OTN171" s="72"/>
      <c r="OTO171" s="72"/>
      <c r="OTP171" s="72"/>
      <c r="OTQ171" s="72"/>
      <c r="OTR171" s="72"/>
      <c r="OTS171" s="72"/>
      <c r="OTT171" s="72"/>
      <c r="OTU171" s="72"/>
      <c r="OTV171" s="72"/>
      <c r="OTW171" s="72"/>
      <c r="OTX171" s="72"/>
      <c r="OTY171" s="72"/>
      <c r="OTZ171" s="72"/>
      <c r="OUA171" s="72"/>
      <c r="OUB171" s="72"/>
      <c r="OUC171" s="72"/>
      <c r="OUD171" s="72"/>
      <c r="OUE171" s="72"/>
      <c r="OUF171" s="72"/>
      <c r="OUG171" s="72"/>
      <c r="OUH171" s="72"/>
      <c r="OUI171" s="72"/>
      <c r="OUJ171" s="72"/>
      <c r="OUK171" s="72"/>
      <c r="OUL171" s="72"/>
      <c r="OUM171" s="72"/>
      <c r="OUN171" s="72"/>
      <c r="OUO171" s="72"/>
      <c r="OUP171" s="72"/>
      <c r="OUQ171" s="72"/>
      <c r="OUR171" s="72"/>
      <c r="OUS171" s="72"/>
      <c r="OUT171" s="72"/>
      <c r="OUU171" s="72"/>
      <c r="OUV171" s="72"/>
      <c r="OUW171" s="72"/>
      <c r="OUX171" s="72"/>
      <c r="OUY171" s="72"/>
      <c r="OUZ171" s="72"/>
      <c r="OVA171" s="72"/>
      <c r="OVB171" s="72"/>
      <c r="OVC171" s="72"/>
      <c r="OVD171" s="72"/>
      <c r="OVE171" s="72"/>
      <c r="OVF171" s="72"/>
      <c r="OVG171" s="72"/>
      <c r="OVH171" s="72"/>
      <c r="OVI171" s="72"/>
      <c r="OVJ171" s="72"/>
      <c r="OVK171" s="72"/>
      <c r="OVL171" s="72"/>
      <c r="OVM171" s="72"/>
      <c r="OVN171" s="72"/>
      <c r="OVO171" s="72"/>
      <c r="OVP171" s="72"/>
      <c r="OVQ171" s="72"/>
      <c r="OVR171" s="72"/>
      <c r="OVS171" s="72"/>
      <c r="OVT171" s="72"/>
      <c r="OVU171" s="72"/>
      <c r="OVV171" s="72"/>
      <c r="OVW171" s="72"/>
      <c r="OVX171" s="72"/>
      <c r="OVY171" s="72"/>
      <c r="OVZ171" s="72"/>
      <c r="OWA171" s="72"/>
      <c r="OWB171" s="72"/>
      <c r="OWC171" s="72"/>
      <c r="OWD171" s="72"/>
      <c r="OWE171" s="72"/>
      <c r="OWF171" s="72"/>
      <c r="OWG171" s="72"/>
      <c r="OWH171" s="72"/>
      <c r="OWI171" s="72"/>
      <c r="OWJ171" s="72"/>
      <c r="OWK171" s="72"/>
      <c r="OWL171" s="72"/>
      <c r="OWM171" s="72"/>
      <c r="OWN171" s="72"/>
      <c r="OWO171" s="72"/>
      <c r="OWP171" s="72"/>
      <c r="OWQ171" s="72"/>
      <c r="OWR171" s="72"/>
      <c r="OWS171" s="72"/>
      <c r="OWT171" s="72"/>
      <c r="OWU171" s="72"/>
      <c r="OWV171" s="72"/>
      <c r="OWW171" s="72"/>
      <c r="OWX171" s="72"/>
      <c r="OWY171" s="72"/>
      <c r="OWZ171" s="72"/>
      <c r="OXA171" s="72"/>
      <c r="OXB171" s="72"/>
      <c r="OXC171" s="72"/>
      <c r="OXD171" s="72"/>
      <c r="OXE171" s="72"/>
      <c r="OXF171" s="72"/>
      <c r="OXG171" s="72"/>
      <c r="OXH171" s="72"/>
      <c r="OXI171" s="72"/>
      <c r="OXJ171" s="72"/>
      <c r="OXK171" s="72"/>
      <c r="OXL171" s="72"/>
      <c r="OXM171" s="72"/>
      <c r="OXN171" s="72"/>
      <c r="OXO171" s="72"/>
      <c r="OXP171" s="72"/>
      <c r="OXQ171" s="72"/>
      <c r="OXR171" s="72"/>
      <c r="OXS171" s="72"/>
      <c r="OXT171" s="72"/>
      <c r="OXU171" s="72"/>
      <c r="OXV171" s="72"/>
      <c r="OXW171" s="72"/>
      <c r="OXX171" s="72"/>
      <c r="OXY171" s="72"/>
      <c r="OXZ171" s="72"/>
      <c r="OYA171" s="72"/>
      <c r="OYB171" s="72"/>
      <c r="OYC171" s="72"/>
      <c r="OYD171" s="72"/>
      <c r="OYE171" s="72"/>
      <c r="OYF171" s="72"/>
      <c r="OYG171" s="72"/>
      <c r="OYH171" s="72"/>
      <c r="OYI171" s="72"/>
      <c r="OYJ171" s="72"/>
      <c r="OYK171" s="72"/>
      <c r="OYL171" s="72"/>
      <c r="OYM171" s="72"/>
      <c r="OYN171" s="72"/>
      <c r="OYO171" s="72"/>
      <c r="OYP171" s="72"/>
      <c r="OYQ171" s="72"/>
      <c r="OYR171" s="72"/>
      <c r="OYS171" s="72"/>
      <c r="OYT171" s="72"/>
      <c r="OYU171" s="72"/>
      <c r="OYV171" s="72"/>
      <c r="OYW171" s="72"/>
      <c r="OYX171" s="72"/>
      <c r="OYY171" s="72"/>
      <c r="OYZ171" s="72"/>
      <c r="OZA171" s="72"/>
      <c r="OZB171" s="72"/>
      <c r="OZC171" s="72"/>
      <c r="OZD171" s="72"/>
      <c r="OZE171" s="72"/>
      <c r="OZF171" s="72"/>
      <c r="OZG171" s="72"/>
      <c r="OZH171" s="72"/>
      <c r="OZI171" s="72"/>
      <c r="OZJ171" s="72"/>
      <c r="OZK171" s="72"/>
      <c r="OZL171" s="72"/>
      <c r="OZM171" s="72"/>
      <c r="OZN171" s="72"/>
      <c r="OZO171" s="72"/>
      <c r="OZP171" s="72"/>
      <c r="OZQ171" s="72"/>
      <c r="OZR171" s="72"/>
      <c r="OZS171" s="72"/>
      <c r="OZT171" s="72"/>
      <c r="OZU171" s="72"/>
      <c r="OZV171" s="72"/>
      <c r="OZW171" s="72"/>
      <c r="OZX171" s="72"/>
      <c r="OZY171" s="72"/>
      <c r="OZZ171" s="72"/>
      <c r="PAA171" s="72"/>
      <c r="PAB171" s="72"/>
      <c r="PAC171" s="72"/>
      <c r="PAD171" s="72"/>
      <c r="PAE171" s="72"/>
      <c r="PAF171" s="72"/>
      <c r="PAG171" s="72"/>
      <c r="PAH171" s="72"/>
      <c r="PAI171" s="72"/>
      <c r="PAJ171" s="72"/>
      <c r="PAK171" s="72"/>
      <c r="PAL171" s="72"/>
      <c r="PAM171" s="72"/>
      <c r="PAN171" s="72"/>
      <c r="PAO171" s="72"/>
      <c r="PAP171" s="72"/>
      <c r="PAQ171" s="72"/>
      <c r="PAR171" s="72"/>
      <c r="PAS171" s="72"/>
      <c r="PAT171" s="72"/>
      <c r="PAU171" s="72"/>
      <c r="PAV171" s="72"/>
      <c r="PAW171" s="72"/>
      <c r="PAX171" s="72"/>
      <c r="PAY171" s="72"/>
      <c r="PAZ171" s="72"/>
      <c r="PBA171" s="72"/>
      <c r="PBB171" s="72"/>
      <c r="PBC171" s="72"/>
      <c r="PBD171" s="72"/>
      <c r="PBE171" s="72"/>
      <c r="PBF171" s="72"/>
      <c r="PBG171" s="72"/>
      <c r="PBH171" s="72"/>
      <c r="PBI171" s="72"/>
      <c r="PBJ171" s="72"/>
      <c r="PBK171" s="72"/>
      <c r="PBL171" s="72"/>
      <c r="PBM171" s="72"/>
      <c r="PBN171" s="72"/>
      <c r="PBO171" s="72"/>
      <c r="PBP171" s="72"/>
      <c r="PBQ171" s="72"/>
      <c r="PBR171" s="72"/>
      <c r="PBS171" s="72"/>
      <c r="PBT171" s="72"/>
      <c r="PBU171" s="72"/>
      <c r="PBV171" s="72"/>
      <c r="PBW171" s="72"/>
      <c r="PBX171" s="72"/>
      <c r="PBY171" s="72"/>
      <c r="PBZ171" s="72"/>
      <c r="PCA171" s="72"/>
      <c r="PCB171" s="72"/>
      <c r="PCC171" s="72"/>
      <c r="PCD171" s="72"/>
      <c r="PCE171" s="72"/>
      <c r="PCF171" s="72"/>
      <c r="PCG171" s="72"/>
      <c r="PCH171" s="72"/>
      <c r="PCI171" s="72"/>
      <c r="PCJ171" s="72"/>
      <c r="PCK171" s="72"/>
      <c r="PCL171" s="72"/>
      <c r="PCM171" s="72"/>
      <c r="PCN171" s="72"/>
      <c r="PCO171" s="72"/>
      <c r="PCP171" s="72"/>
      <c r="PCQ171" s="72"/>
      <c r="PCR171" s="72"/>
      <c r="PCS171" s="72"/>
      <c r="PCT171" s="72"/>
      <c r="PCU171" s="72"/>
      <c r="PCV171" s="72"/>
      <c r="PCW171" s="72"/>
      <c r="PCX171" s="72"/>
      <c r="PCY171" s="72"/>
      <c r="PCZ171" s="72"/>
      <c r="PDA171" s="72"/>
      <c r="PDB171" s="72"/>
      <c r="PDC171" s="72"/>
      <c r="PDD171" s="72"/>
      <c r="PDE171" s="72"/>
      <c r="PDF171" s="72"/>
      <c r="PDG171" s="72"/>
      <c r="PDH171" s="72"/>
      <c r="PDI171" s="72"/>
      <c r="PDJ171" s="72"/>
      <c r="PDK171" s="72"/>
      <c r="PDL171" s="72"/>
      <c r="PDM171" s="72"/>
      <c r="PDN171" s="72"/>
      <c r="PDO171" s="72"/>
      <c r="PDP171" s="72"/>
      <c r="PDQ171" s="72"/>
      <c r="PDR171" s="72"/>
      <c r="PDS171" s="72"/>
      <c r="PDT171" s="72"/>
      <c r="PDU171" s="72"/>
      <c r="PDV171" s="72"/>
      <c r="PDW171" s="72"/>
      <c r="PDX171" s="72"/>
      <c r="PDY171" s="72"/>
      <c r="PDZ171" s="72"/>
      <c r="PEA171" s="72"/>
      <c r="PEB171" s="72"/>
      <c r="PEC171" s="72"/>
      <c r="PED171" s="72"/>
      <c r="PEE171" s="72"/>
      <c r="PEF171" s="72"/>
      <c r="PEG171" s="72"/>
      <c r="PEH171" s="72"/>
      <c r="PEI171" s="72"/>
      <c r="PEJ171" s="72"/>
      <c r="PEK171" s="72"/>
      <c r="PEL171" s="72"/>
      <c r="PEM171" s="72"/>
      <c r="PEN171" s="72"/>
      <c r="PEO171" s="72"/>
      <c r="PEP171" s="72"/>
      <c r="PEQ171" s="72"/>
      <c r="PER171" s="72"/>
      <c r="PES171" s="72"/>
      <c r="PET171" s="72"/>
      <c r="PEU171" s="72"/>
      <c r="PEV171" s="72"/>
      <c r="PEW171" s="72"/>
      <c r="PEX171" s="72"/>
      <c r="PEY171" s="72"/>
      <c r="PEZ171" s="72"/>
      <c r="PFA171" s="72"/>
      <c r="PFB171" s="72"/>
      <c r="PFC171" s="72"/>
      <c r="PFD171" s="72"/>
      <c r="PFE171" s="72"/>
      <c r="PFF171" s="72"/>
      <c r="PFG171" s="72"/>
      <c r="PFH171" s="72"/>
      <c r="PFI171" s="72"/>
      <c r="PFJ171" s="72"/>
      <c r="PFK171" s="72"/>
      <c r="PFL171" s="72"/>
      <c r="PFM171" s="72"/>
      <c r="PFN171" s="72"/>
      <c r="PFO171" s="72"/>
      <c r="PFP171" s="72"/>
      <c r="PFQ171" s="72"/>
      <c r="PFR171" s="72"/>
      <c r="PFS171" s="72"/>
      <c r="PFT171" s="72"/>
      <c r="PFU171" s="72"/>
      <c r="PFV171" s="72"/>
      <c r="PFW171" s="72"/>
      <c r="PFX171" s="72"/>
      <c r="PFY171" s="72"/>
      <c r="PFZ171" s="72"/>
      <c r="PGA171" s="72"/>
      <c r="PGB171" s="72"/>
      <c r="PGC171" s="72"/>
      <c r="PGD171" s="72"/>
      <c r="PGE171" s="72"/>
      <c r="PGF171" s="72"/>
      <c r="PGG171" s="72"/>
      <c r="PGH171" s="72"/>
      <c r="PGI171" s="72"/>
      <c r="PGJ171" s="72"/>
      <c r="PGK171" s="72"/>
      <c r="PGL171" s="72"/>
      <c r="PGM171" s="72"/>
      <c r="PGN171" s="72"/>
      <c r="PGO171" s="72"/>
      <c r="PGP171" s="72"/>
      <c r="PGQ171" s="72"/>
      <c r="PGR171" s="72"/>
      <c r="PGS171" s="72"/>
      <c r="PGT171" s="72"/>
      <c r="PGU171" s="72"/>
      <c r="PGV171" s="72"/>
      <c r="PGW171" s="72"/>
      <c r="PGX171" s="72"/>
      <c r="PGY171" s="72"/>
      <c r="PGZ171" s="72"/>
      <c r="PHA171" s="72"/>
      <c r="PHB171" s="72"/>
      <c r="PHC171" s="72"/>
      <c r="PHD171" s="72"/>
      <c r="PHE171" s="72"/>
      <c r="PHF171" s="72"/>
      <c r="PHG171" s="72"/>
      <c r="PHH171" s="72"/>
      <c r="PHI171" s="72"/>
      <c r="PHJ171" s="72"/>
      <c r="PHK171" s="72"/>
      <c r="PHL171" s="72"/>
      <c r="PHM171" s="72"/>
      <c r="PHN171" s="72"/>
      <c r="PHO171" s="72"/>
      <c r="PHP171" s="72"/>
      <c r="PHQ171" s="72"/>
      <c r="PHR171" s="72"/>
      <c r="PHS171" s="72"/>
      <c r="PHT171" s="72"/>
      <c r="PHU171" s="72"/>
      <c r="PHV171" s="72"/>
      <c r="PHW171" s="72"/>
      <c r="PHX171" s="72"/>
      <c r="PHY171" s="72"/>
      <c r="PHZ171" s="72"/>
      <c r="PIA171" s="72"/>
      <c r="PIB171" s="72"/>
      <c r="PIC171" s="72"/>
      <c r="PID171" s="72"/>
      <c r="PIE171" s="72"/>
      <c r="PIF171" s="72"/>
      <c r="PIG171" s="72"/>
      <c r="PIH171" s="72"/>
      <c r="PII171" s="72"/>
      <c r="PIJ171" s="72"/>
      <c r="PIK171" s="72"/>
      <c r="PIL171" s="72"/>
      <c r="PIM171" s="72"/>
      <c r="PIN171" s="72"/>
      <c r="PIO171" s="72"/>
      <c r="PIP171" s="72"/>
      <c r="PIQ171" s="72"/>
      <c r="PIR171" s="72"/>
      <c r="PIS171" s="72"/>
      <c r="PIT171" s="72"/>
      <c r="PIU171" s="72"/>
      <c r="PIV171" s="72"/>
      <c r="PIW171" s="72"/>
      <c r="PIX171" s="72"/>
      <c r="PIY171" s="72"/>
      <c r="PIZ171" s="72"/>
      <c r="PJA171" s="72"/>
      <c r="PJB171" s="72"/>
      <c r="PJC171" s="72"/>
      <c r="PJD171" s="72"/>
      <c r="PJE171" s="72"/>
      <c r="PJF171" s="72"/>
      <c r="PJG171" s="72"/>
      <c r="PJH171" s="72"/>
      <c r="PJI171" s="72"/>
      <c r="PJJ171" s="72"/>
      <c r="PJK171" s="72"/>
      <c r="PJL171" s="72"/>
      <c r="PJM171" s="72"/>
      <c r="PJN171" s="72"/>
      <c r="PJO171" s="72"/>
      <c r="PJP171" s="72"/>
      <c r="PJQ171" s="72"/>
      <c r="PJR171" s="72"/>
      <c r="PJS171" s="72"/>
      <c r="PJT171" s="72"/>
      <c r="PJU171" s="72"/>
      <c r="PJV171" s="72"/>
      <c r="PJW171" s="72"/>
      <c r="PJX171" s="72"/>
      <c r="PJY171" s="72"/>
      <c r="PJZ171" s="72"/>
      <c r="PKA171" s="72"/>
      <c r="PKB171" s="72"/>
      <c r="PKC171" s="72"/>
      <c r="PKD171" s="72"/>
      <c r="PKE171" s="72"/>
      <c r="PKF171" s="72"/>
      <c r="PKG171" s="72"/>
      <c r="PKH171" s="72"/>
      <c r="PKI171" s="72"/>
      <c r="PKJ171" s="72"/>
      <c r="PKK171" s="72"/>
      <c r="PKL171" s="72"/>
      <c r="PKM171" s="72"/>
      <c r="PKN171" s="72"/>
      <c r="PKO171" s="72"/>
      <c r="PKP171" s="72"/>
      <c r="PKQ171" s="72"/>
      <c r="PKR171" s="72"/>
      <c r="PKS171" s="72"/>
      <c r="PKT171" s="72"/>
      <c r="PKU171" s="72"/>
      <c r="PKV171" s="72"/>
      <c r="PKW171" s="72"/>
      <c r="PKX171" s="72"/>
      <c r="PKY171" s="72"/>
      <c r="PKZ171" s="72"/>
      <c r="PLA171" s="72"/>
      <c r="PLB171" s="72"/>
      <c r="PLC171" s="72"/>
      <c r="PLD171" s="72"/>
      <c r="PLE171" s="72"/>
      <c r="PLF171" s="72"/>
      <c r="PLG171" s="72"/>
      <c r="PLH171" s="72"/>
      <c r="PLI171" s="72"/>
      <c r="PLJ171" s="72"/>
      <c r="PLK171" s="72"/>
      <c r="PLL171" s="72"/>
      <c r="PLM171" s="72"/>
      <c r="PLN171" s="72"/>
      <c r="PLO171" s="72"/>
      <c r="PLP171" s="72"/>
      <c r="PLQ171" s="72"/>
      <c r="PLR171" s="72"/>
      <c r="PLS171" s="72"/>
      <c r="PLT171" s="72"/>
      <c r="PLU171" s="72"/>
      <c r="PLV171" s="72"/>
      <c r="PLW171" s="72"/>
      <c r="PLX171" s="72"/>
      <c r="PLY171" s="72"/>
      <c r="PLZ171" s="72"/>
      <c r="PMA171" s="72"/>
      <c r="PMB171" s="72"/>
      <c r="PMC171" s="72"/>
      <c r="PMD171" s="72"/>
      <c r="PME171" s="72"/>
      <c r="PMF171" s="72"/>
      <c r="PMG171" s="72"/>
      <c r="PMH171" s="72"/>
      <c r="PMI171" s="72"/>
      <c r="PMJ171" s="72"/>
      <c r="PMK171" s="72"/>
      <c r="PML171" s="72"/>
      <c r="PMM171" s="72"/>
      <c r="PMN171" s="72"/>
      <c r="PMO171" s="72"/>
      <c r="PMP171" s="72"/>
      <c r="PMQ171" s="72"/>
      <c r="PMR171" s="72"/>
      <c r="PMS171" s="72"/>
      <c r="PMT171" s="72"/>
      <c r="PMU171" s="72"/>
      <c r="PMV171" s="72"/>
      <c r="PMW171" s="72"/>
      <c r="PMX171" s="72"/>
      <c r="PMY171" s="72"/>
      <c r="PMZ171" s="72"/>
      <c r="PNA171" s="72"/>
      <c r="PNB171" s="72"/>
      <c r="PNC171" s="72"/>
      <c r="PND171" s="72"/>
      <c r="PNE171" s="72"/>
      <c r="PNF171" s="72"/>
      <c r="PNG171" s="72"/>
      <c r="PNH171" s="72"/>
      <c r="PNI171" s="72"/>
      <c r="PNJ171" s="72"/>
      <c r="PNK171" s="72"/>
      <c r="PNL171" s="72"/>
      <c r="PNM171" s="72"/>
      <c r="PNN171" s="72"/>
      <c r="PNO171" s="72"/>
      <c r="PNP171" s="72"/>
      <c r="PNQ171" s="72"/>
      <c r="PNR171" s="72"/>
      <c r="PNS171" s="72"/>
      <c r="PNT171" s="72"/>
      <c r="PNU171" s="72"/>
      <c r="PNV171" s="72"/>
      <c r="PNW171" s="72"/>
      <c r="PNX171" s="72"/>
      <c r="PNY171" s="72"/>
      <c r="PNZ171" s="72"/>
      <c r="POA171" s="72"/>
      <c r="POB171" s="72"/>
      <c r="POC171" s="72"/>
      <c r="POD171" s="72"/>
      <c r="POE171" s="72"/>
      <c r="POF171" s="72"/>
      <c r="POG171" s="72"/>
      <c r="POH171" s="72"/>
      <c r="POI171" s="72"/>
      <c r="POJ171" s="72"/>
      <c r="POK171" s="72"/>
      <c r="POL171" s="72"/>
      <c r="POM171" s="72"/>
      <c r="PON171" s="72"/>
      <c r="POO171" s="72"/>
      <c r="POP171" s="72"/>
      <c r="POQ171" s="72"/>
      <c r="POR171" s="72"/>
      <c r="POS171" s="72"/>
      <c r="POT171" s="72"/>
      <c r="POU171" s="72"/>
      <c r="POV171" s="72"/>
      <c r="POW171" s="72"/>
      <c r="POX171" s="72"/>
      <c r="POY171" s="72"/>
      <c r="POZ171" s="72"/>
      <c r="PPA171" s="72"/>
      <c r="PPB171" s="72"/>
      <c r="PPC171" s="72"/>
      <c r="PPD171" s="72"/>
      <c r="PPE171" s="72"/>
      <c r="PPF171" s="72"/>
      <c r="PPG171" s="72"/>
      <c r="PPH171" s="72"/>
      <c r="PPI171" s="72"/>
      <c r="PPJ171" s="72"/>
      <c r="PPK171" s="72"/>
      <c r="PPL171" s="72"/>
      <c r="PPM171" s="72"/>
      <c r="PPN171" s="72"/>
      <c r="PPO171" s="72"/>
      <c r="PPP171" s="72"/>
      <c r="PPQ171" s="72"/>
      <c r="PPR171" s="72"/>
      <c r="PPS171" s="72"/>
      <c r="PPT171" s="72"/>
      <c r="PPU171" s="72"/>
      <c r="PPV171" s="72"/>
      <c r="PPW171" s="72"/>
      <c r="PPX171" s="72"/>
      <c r="PPY171" s="72"/>
      <c r="PPZ171" s="72"/>
      <c r="PQA171" s="72"/>
      <c r="PQB171" s="72"/>
      <c r="PQC171" s="72"/>
      <c r="PQD171" s="72"/>
      <c r="PQE171" s="72"/>
      <c r="PQF171" s="72"/>
      <c r="PQG171" s="72"/>
      <c r="PQH171" s="72"/>
      <c r="PQI171" s="72"/>
      <c r="PQJ171" s="72"/>
      <c r="PQK171" s="72"/>
      <c r="PQL171" s="72"/>
      <c r="PQM171" s="72"/>
      <c r="PQN171" s="72"/>
      <c r="PQO171" s="72"/>
      <c r="PQP171" s="72"/>
      <c r="PQQ171" s="72"/>
      <c r="PQR171" s="72"/>
      <c r="PQS171" s="72"/>
      <c r="PQT171" s="72"/>
      <c r="PQU171" s="72"/>
      <c r="PQV171" s="72"/>
      <c r="PQW171" s="72"/>
      <c r="PQX171" s="72"/>
      <c r="PQY171" s="72"/>
      <c r="PQZ171" s="72"/>
      <c r="PRA171" s="72"/>
      <c r="PRB171" s="72"/>
      <c r="PRC171" s="72"/>
      <c r="PRD171" s="72"/>
      <c r="PRE171" s="72"/>
      <c r="PRF171" s="72"/>
      <c r="PRG171" s="72"/>
      <c r="PRH171" s="72"/>
      <c r="PRI171" s="72"/>
      <c r="PRJ171" s="72"/>
      <c r="PRK171" s="72"/>
      <c r="PRL171" s="72"/>
      <c r="PRM171" s="72"/>
      <c r="PRN171" s="72"/>
      <c r="PRO171" s="72"/>
      <c r="PRP171" s="72"/>
      <c r="PRQ171" s="72"/>
      <c r="PRR171" s="72"/>
      <c r="PRS171" s="72"/>
      <c r="PRT171" s="72"/>
      <c r="PRU171" s="72"/>
      <c r="PRV171" s="72"/>
      <c r="PRW171" s="72"/>
      <c r="PRX171" s="72"/>
      <c r="PRY171" s="72"/>
      <c r="PRZ171" s="72"/>
      <c r="PSA171" s="72"/>
      <c r="PSB171" s="72"/>
      <c r="PSC171" s="72"/>
      <c r="PSD171" s="72"/>
      <c r="PSE171" s="72"/>
      <c r="PSF171" s="72"/>
      <c r="PSG171" s="72"/>
      <c r="PSH171" s="72"/>
      <c r="PSI171" s="72"/>
      <c r="PSJ171" s="72"/>
      <c r="PSK171" s="72"/>
      <c r="PSL171" s="72"/>
      <c r="PSM171" s="72"/>
      <c r="PSN171" s="72"/>
      <c r="PSO171" s="72"/>
      <c r="PSP171" s="72"/>
      <c r="PSQ171" s="72"/>
      <c r="PSR171" s="72"/>
      <c r="PSS171" s="72"/>
      <c r="PST171" s="72"/>
      <c r="PSU171" s="72"/>
      <c r="PSV171" s="72"/>
      <c r="PSW171" s="72"/>
      <c r="PSX171" s="72"/>
      <c r="PSY171" s="72"/>
      <c r="PSZ171" s="72"/>
      <c r="PTA171" s="72"/>
      <c r="PTB171" s="72"/>
      <c r="PTC171" s="72"/>
      <c r="PTD171" s="72"/>
      <c r="PTE171" s="72"/>
      <c r="PTF171" s="72"/>
      <c r="PTG171" s="72"/>
      <c r="PTH171" s="72"/>
      <c r="PTI171" s="72"/>
      <c r="PTJ171" s="72"/>
      <c r="PTK171" s="72"/>
      <c r="PTL171" s="72"/>
      <c r="PTM171" s="72"/>
      <c r="PTN171" s="72"/>
      <c r="PTO171" s="72"/>
      <c r="PTP171" s="72"/>
      <c r="PTQ171" s="72"/>
      <c r="PTR171" s="72"/>
      <c r="PTS171" s="72"/>
      <c r="PTT171" s="72"/>
      <c r="PTU171" s="72"/>
      <c r="PTV171" s="72"/>
      <c r="PTW171" s="72"/>
      <c r="PTX171" s="72"/>
      <c r="PTY171" s="72"/>
      <c r="PTZ171" s="72"/>
      <c r="PUA171" s="72"/>
      <c r="PUB171" s="72"/>
      <c r="PUC171" s="72"/>
      <c r="PUD171" s="72"/>
      <c r="PUE171" s="72"/>
      <c r="PUF171" s="72"/>
      <c r="PUG171" s="72"/>
      <c r="PUH171" s="72"/>
      <c r="PUI171" s="72"/>
      <c r="PUJ171" s="72"/>
      <c r="PUK171" s="72"/>
      <c r="PUL171" s="72"/>
      <c r="PUM171" s="72"/>
      <c r="PUN171" s="72"/>
      <c r="PUO171" s="72"/>
      <c r="PUP171" s="72"/>
      <c r="PUQ171" s="72"/>
      <c r="PUR171" s="72"/>
      <c r="PUS171" s="72"/>
      <c r="PUT171" s="72"/>
      <c r="PUU171" s="72"/>
      <c r="PUV171" s="72"/>
      <c r="PUW171" s="72"/>
      <c r="PUX171" s="72"/>
      <c r="PUY171" s="72"/>
      <c r="PUZ171" s="72"/>
      <c r="PVA171" s="72"/>
      <c r="PVB171" s="72"/>
      <c r="PVC171" s="72"/>
      <c r="PVD171" s="72"/>
      <c r="PVE171" s="72"/>
      <c r="PVF171" s="72"/>
      <c r="PVG171" s="72"/>
      <c r="PVH171" s="72"/>
      <c r="PVI171" s="72"/>
      <c r="PVJ171" s="72"/>
      <c r="PVK171" s="72"/>
      <c r="PVL171" s="72"/>
      <c r="PVM171" s="72"/>
      <c r="PVN171" s="72"/>
      <c r="PVO171" s="72"/>
      <c r="PVP171" s="72"/>
      <c r="PVQ171" s="72"/>
      <c r="PVR171" s="72"/>
      <c r="PVS171" s="72"/>
      <c r="PVT171" s="72"/>
      <c r="PVU171" s="72"/>
      <c r="PVV171" s="72"/>
      <c r="PVW171" s="72"/>
      <c r="PVX171" s="72"/>
      <c r="PVY171" s="72"/>
      <c r="PVZ171" s="72"/>
      <c r="PWA171" s="72"/>
      <c r="PWB171" s="72"/>
      <c r="PWC171" s="72"/>
      <c r="PWD171" s="72"/>
      <c r="PWE171" s="72"/>
      <c r="PWF171" s="72"/>
      <c r="PWG171" s="72"/>
      <c r="PWH171" s="72"/>
      <c r="PWI171" s="72"/>
      <c r="PWJ171" s="72"/>
      <c r="PWK171" s="72"/>
      <c r="PWL171" s="72"/>
      <c r="PWM171" s="72"/>
      <c r="PWN171" s="72"/>
      <c r="PWO171" s="72"/>
      <c r="PWP171" s="72"/>
      <c r="PWQ171" s="72"/>
      <c r="PWR171" s="72"/>
      <c r="PWS171" s="72"/>
      <c r="PWT171" s="72"/>
      <c r="PWU171" s="72"/>
      <c r="PWV171" s="72"/>
      <c r="PWW171" s="72"/>
      <c r="PWX171" s="72"/>
      <c r="PWY171" s="72"/>
      <c r="PWZ171" s="72"/>
      <c r="PXA171" s="72"/>
      <c r="PXB171" s="72"/>
      <c r="PXC171" s="72"/>
      <c r="PXD171" s="72"/>
      <c r="PXE171" s="72"/>
      <c r="PXF171" s="72"/>
      <c r="PXG171" s="72"/>
      <c r="PXH171" s="72"/>
      <c r="PXI171" s="72"/>
      <c r="PXJ171" s="72"/>
      <c r="PXK171" s="72"/>
      <c r="PXL171" s="72"/>
      <c r="PXM171" s="72"/>
      <c r="PXN171" s="72"/>
      <c r="PXO171" s="72"/>
      <c r="PXP171" s="72"/>
      <c r="PXQ171" s="72"/>
      <c r="PXR171" s="72"/>
      <c r="PXS171" s="72"/>
      <c r="PXT171" s="72"/>
      <c r="PXU171" s="72"/>
      <c r="PXV171" s="72"/>
      <c r="PXW171" s="72"/>
      <c r="PXX171" s="72"/>
      <c r="PXY171" s="72"/>
      <c r="PXZ171" s="72"/>
      <c r="PYA171" s="72"/>
      <c r="PYB171" s="72"/>
      <c r="PYC171" s="72"/>
      <c r="PYD171" s="72"/>
      <c r="PYE171" s="72"/>
      <c r="PYF171" s="72"/>
      <c r="PYG171" s="72"/>
      <c r="PYH171" s="72"/>
      <c r="PYI171" s="72"/>
      <c r="PYJ171" s="72"/>
      <c r="PYK171" s="72"/>
      <c r="PYL171" s="72"/>
      <c r="PYM171" s="72"/>
      <c r="PYN171" s="72"/>
      <c r="PYO171" s="72"/>
      <c r="PYP171" s="72"/>
      <c r="PYQ171" s="72"/>
      <c r="PYR171" s="72"/>
      <c r="PYS171" s="72"/>
      <c r="PYT171" s="72"/>
      <c r="PYU171" s="72"/>
      <c r="PYV171" s="72"/>
      <c r="PYW171" s="72"/>
      <c r="PYX171" s="72"/>
      <c r="PYY171" s="72"/>
      <c r="PYZ171" s="72"/>
      <c r="PZA171" s="72"/>
      <c r="PZB171" s="72"/>
      <c r="PZC171" s="72"/>
      <c r="PZD171" s="72"/>
      <c r="PZE171" s="72"/>
      <c r="PZF171" s="72"/>
      <c r="PZG171" s="72"/>
      <c r="PZH171" s="72"/>
      <c r="PZI171" s="72"/>
      <c r="PZJ171" s="72"/>
      <c r="PZK171" s="72"/>
      <c r="PZL171" s="72"/>
      <c r="PZM171" s="72"/>
      <c r="PZN171" s="72"/>
      <c r="PZO171" s="72"/>
      <c r="PZP171" s="72"/>
      <c r="PZQ171" s="72"/>
      <c r="PZR171" s="72"/>
      <c r="PZS171" s="72"/>
      <c r="PZT171" s="72"/>
      <c r="PZU171" s="72"/>
      <c r="PZV171" s="72"/>
      <c r="PZW171" s="72"/>
      <c r="PZX171" s="72"/>
      <c r="PZY171" s="72"/>
      <c r="PZZ171" s="72"/>
      <c r="QAA171" s="72"/>
      <c r="QAB171" s="72"/>
      <c r="QAC171" s="72"/>
      <c r="QAD171" s="72"/>
      <c r="QAE171" s="72"/>
      <c r="QAF171" s="72"/>
      <c r="QAG171" s="72"/>
      <c r="QAH171" s="72"/>
      <c r="QAI171" s="72"/>
      <c r="QAJ171" s="72"/>
      <c r="QAK171" s="72"/>
      <c r="QAL171" s="72"/>
      <c r="QAM171" s="72"/>
      <c r="QAN171" s="72"/>
      <c r="QAO171" s="72"/>
      <c r="QAP171" s="72"/>
      <c r="QAQ171" s="72"/>
      <c r="QAR171" s="72"/>
      <c r="QAS171" s="72"/>
      <c r="QAT171" s="72"/>
      <c r="QAU171" s="72"/>
      <c r="QAV171" s="72"/>
      <c r="QAW171" s="72"/>
      <c r="QAX171" s="72"/>
      <c r="QAY171" s="72"/>
      <c r="QAZ171" s="72"/>
      <c r="QBA171" s="72"/>
      <c r="QBB171" s="72"/>
      <c r="QBC171" s="72"/>
      <c r="QBD171" s="72"/>
      <c r="QBE171" s="72"/>
      <c r="QBF171" s="72"/>
      <c r="QBG171" s="72"/>
      <c r="QBH171" s="72"/>
      <c r="QBI171" s="72"/>
      <c r="QBJ171" s="72"/>
      <c r="QBK171" s="72"/>
      <c r="QBL171" s="72"/>
      <c r="QBM171" s="72"/>
      <c r="QBN171" s="72"/>
      <c r="QBO171" s="72"/>
      <c r="QBP171" s="72"/>
      <c r="QBQ171" s="72"/>
      <c r="QBR171" s="72"/>
      <c r="QBS171" s="72"/>
      <c r="QBT171" s="72"/>
      <c r="QBU171" s="72"/>
      <c r="QBV171" s="72"/>
      <c r="QBW171" s="72"/>
      <c r="QBX171" s="72"/>
      <c r="QBY171" s="72"/>
      <c r="QBZ171" s="72"/>
      <c r="QCA171" s="72"/>
      <c r="QCB171" s="72"/>
      <c r="QCC171" s="72"/>
      <c r="QCD171" s="72"/>
      <c r="QCE171" s="72"/>
      <c r="QCF171" s="72"/>
      <c r="QCG171" s="72"/>
      <c r="QCH171" s="72"/>
      <c r="QCI171" s="72"/>
      <c r="QCJ171" s="72"/>
      <c r="QCK171" s="72"/>
      <c r="QCL171" s="72"/>
      <c r="QCM171" s="72"/>
      <c r="QCN171" s="72"/>
      <c r="QCO171" s="72"/>
      <c r="QCP171" s="72"/>
      <c r="QCQ171" s="72"/>
      <c r="QCR171" s="72"/>
      <c r="QCS171" s="72"/>
      <c r="QCT171" s="72"/>
      <c r="QCU171" s="72"/>
      <c r="QCV171" s="72"/>
      <c r="QCW171" s="72"/>
      <c r="QCX171" s="72"/>
      <c r="QCY171" s="72"/>
      <c r="QCZ171" s="72"/>
      <c r="QDA171" s="72"/>
      <c r="QDB171" s="72"/>
      <c r="QDC171" s="72"/>
      <c r="QDD171" s="72"/>
      <c r="QDE171" s="72"/>
      <c r="QDF171" s="72"/>
      <c r="QDG171" s="72"/>
      <c r="QDH171" s="72"/>
      <c r="QDI171" s="72"/>
      <c r="QDJ171" s="72"/>
      <c r="QDK171" s="72"/>
      <c r="QDL171" s="72"/>
      <c r="QDM171" s="72"/>
      <c r="QDN171" s="72"/>
      <c r="QDO171" s="72"/>
      <c r="QDP171" s="72"/>
      <c r="QDQ171" s="72"/>
      <c r="QDR171" s="72"/>
      <c r="QDS171" s="72"/>
      <c r="QDT171" s="72"/>
      <c r="QDU171" s="72"/>
      <c r="QDV171" s="72"/>
      <c r="QDW171" s="72"/>
      <c r="QDX171" s="72"/>
      <c r="QDY171" s="72"/>
      <c r="QDZ171" s="72"/>
      <c r="QEA171" s="72"/>
      <c r="QEB171" s="72"/>
      <c r="QEC171" s="72"/>
      <c r="QED171" s="72"/>
      <c r="QEE171" s="72"/>
      <c r="QEF171" s="72"/>
      <c r="QEG171" s="72"/>
      <c r="QEH171" s="72"/>
      <c r="QEI171" s="72"/>
      <c r="QEJ171" s="72"/>
      <c r="QEK171" s="72"/>
      <c r="QEL171" s="72"/>
      <c r="QEM171" s="72"/>
      <c r="QEN171" s="72"/>
      <c r="QEO171" s="72"/>
      <c r="QEP171" s="72"/>
      <c r="QEQ171" s="72"/>
      <c r="QER171" s="72"/>
      <c r="QES171" s="72"/>
      <c r="QET171" s="72"/>
      <c r="QEU171" s="72"/>
      <c r="QEV171" s="72"/>
      <c r="QEW171" s="72"/>
      <c r="QEX171" s="72"/>
      <c r="QEY171" s="72"/>
      <c r="QEZ171" s="72"/>
      <c r="QFA171" s="72"/>
      <c r="QFB171" s="72"/>
      <c r="QFC171" s="72"/>
      <c r="QFD171" s="72"/>
      <c r="QFE171" s="72"/>
      <c r="QFF171" s="72"/>
      <c r="QFG171" s="72"/>
      <c r="QFH171" s="72"/>
      <c r="QFI171" s="72"/>
      <c r="QFJ171" s="72"/>
      <c r="QFK171" s="72"/>
      <c r="QFL171" s="72"/>
      <c r="QFM171" s="72"/>
      <c r="QFN171" s="72"/>
      <c r="QFO171" s="72"/>
      <c r="QFP171" s="72"/>
      <c r="QFQ171" s="72"/>
      <c r="QFR171" s="72"/>
      <c r="QFS171" s="72"/>
      <c r="QFT171" s="72"/>
      <c r="QFU171" s="72"/>
      <c r="QFV171" s="72"/>
      <c r="QFW171" s="72"/>
      <c r="QFX171" s="72"/>
      <c r="QFY171" s="72"/>
      <c r="QFZ171" s="72"/>
      <c r="QGA171" s="72"/>
      <c r="QGB171" s="72"/>
      <c r="QGC171" s="72"/>
      <c r="QGD171" s="72"/>
      <c r="QGE171" s="72"/>
      <c r="QGF171" s="72"/>
      <c r="QGG171" s="72"/>
      <c r="QGH171" s="72"/>
      <c r="QGI171" s="72"/>
      <c r="QGJ171" s="72"/>
      <c r="QGK171" s="72"/>
      <c r="QGL171" s="72"/>
      <c r="QGM171" s="72"/>
      <c r="QGN171" s="72"/>
      <c r="QGO171" s="72"/>
      <c r="QGP171" s="72"/>
      <c r="QGQ171" s="72"/>
      <c r="QGR171" s="72"/>
      <c r="QGS171" s="72"/>
      <c r="QGT171" s="72"/>
      <c r="QGU171" s="72"/>
      <c r="QGV171" s="72"/>
      <c r="QGW171" s="72"/>
      <c r="QGX171" s="72"/>
      <c r="QGY171" s="72"/>
      <c r="QGZ171" s="72"/>
      <c r="QHA171" s="72"/>
      <c r="QHB171" s="72"/>
      <c r="QHC171" s="72"/>
      <c r="QHD171" s="72"/>
      <c r="QHE171" s="72"/>
      <c r="QHF171" s="72"/>
      <c r="QHG171" s="72"/>
      <c r="QHH171" s="72"/>
      <c r="QHI171" s="72"/>
      <c r="QHJ171" s="72"/>
      <c r="QHK171" s="72"/>
      <c r="QHL171" s="72"/>
      <c r="QHM171" s="72"/>
      <c r="QHN171" s="72"/>
      <c r="QHO171" s="72"/>
      <c r="QHP171" s="72"/>
      <c r="QHQ171" s="72"/>
      <c r="QHR171" s="72"/>
      <c r="QHS171" s="72"/>
      <c r="QHT171" s="72"/>
      <c r="QHU171" s="72"/>
      <c r="QHV171" s="72"/>
      <c r="QHW171" s="72"/>
      <c r="QHX171" s="72"/>
      <c r="QHY171" s="72"/>
      <c r="QHZ171" s="72"/>
      <c r="QIA171" s="72"/>
      <c r="QIB171" s="72"/>
      <c r="QIC171" s="72"/>
      <c r="QID171" s="72"/>
      <c r="QIE171" s="72"/>
      <c r="QIF171" s="72"/>
      <c r="QIG171" s="72"/>
      <c r="QIH171" s="72"/>
      <c r="QII171" s="72"/>
      <c r="QIJ171" s="72"/>
      <c r="QIK171" s="72"/>
      <c r="QIL171" s="72"/>
      <c r="QIM171" s="72"/>
      <c r="QIN171" s="72"/>
      <c r="QIO171" s="72"/>
      <c r="QIP171" s="72"/>
      <c r="QIQ171" s="72"/>
      <c r="QIR171" s="72"/>
      <c r="QIS171" s="72"/>
      <c r="QIT171" s="72"/>
      <c r="QIU171" s="72"/>
      <c r="QIV171" s="72"/>
      <c r="QIW171" s="72"/>
      <c r="QIX171" s="72"/>
      <c r="QIY171" s="72"/>
      <c r="QIZ171" s="72"/>
      <c r="QJA171" s="72"/>
      <c r="QJB171" s="72"/>
      <c r="QJC171" s="72"/>
      <c r="QJD171" s="72"/>
      <c r="QJE171" s="72"/>
      <c r="QJF171" s="72"/>
      <c r="QJG171" s="72"/>
      <c r="QJH171" s="72"/>
      <c r="QJI171" s="72"/>
      <c r="QJJ171" s="72"/>
      <c r="QJK171" s="72"/>
      <c r="QJL171" s="72"/>
      <c r="QJM171" s="72"/>
      <c r="QJN171" s="72"/>
      <c r="QJO171" s="72"/>
      <c r="QJP171" s="72"/>
      <c r="QJQ171" s="72"/>
      <c r="QJR171" s="72"/>
      <c r="QJS171" s="72"/>
      <c r="QJT171" s="72"/>
      <c r="QJU171" s="72"/>
      <c r="QJV171" s="72"/>
      <c r="QJW171" s="72"/>
      <c r="QJX171" s="72"/>
      <c r="QJY171" s="72"/>
      <c r="QJZ171" s="72"/>
      <c r="QKA171" s="72"/>
      <c r="QKB171" s="72"/>
      <c r="QKC171" s="72"/>
      <c r="QKD171" s="72"/>
      <c r="QKE171" s="72"/>
      <c r="QKF171" s="72"/>
      <c r="QKG171" s="72"/>
      <c r="QKH171" s="72"/>
      <c r="QKI171" s="72"/>
      <c r="QKJ171" s="72"/>
      <c r="QKK171" s="72"/>
      <c r="QKL171" s="72"/>
      <c r="QKM171" s="72"/>
      <c r="QKN171" s="72"/>
      <c r="QKO171" s="72"/>
      <c r="QKP171" s="72"/>
      <c r="QKQ171" s="72"/>
      <c r="QKR171" s="72"/>
      <c r="QKS171" s="72"/>
      <c r="QKT171" s="72"/>
      <c r="QKU171" s="72"/>
      <c r="QKV171" s="72"/>
      <c r="QKW171" s="72"/>
      <c r="QKX171" s="72"/>
      <c r="QKY171" s="72"/>
      <c r="QKZ171" s="72"/>
      <c r="QLA171" s="72"/>
      <c r="QLB171" s="72"/>
      <c r="QLC171" s="72"/>
      <c r="QLD171" s="72"/>
      <c r="QLE171" s="72"/>
      <c r="QLF171" s="72"/>
      <c r="QLG171" s="72"/>
      <c r="QLH171" s="72"/>
      <c r="QLI171" s="72"/>
      <c r="QLJ171" s="72"/>
      <c r="QLK171" s="72"/>
      <c r="QLL171" s="72"/>
      <c r="QLM171" s="72"/>
      <c r="QLN171" s="72"/>
      <c r="QLO171" s="72"/>
      <c r="QLP171" s="72"/>
      <c r="QLQ171" s="72"/>
      <c r="QLR171" s="72"/>
      <c r="QLS171" s="72"/>
      <c r="QLT171" s="72"/>
      <c r="QLU171" s="72"/>
      <c r="QLV171" s="72"/>
      <c r="QLW171" s="72"/>
      <c r="QLX171" s="72"/>
      <c r="QLY171" s="72"/>
      <c r="QLZ171" s="72"/>
      <c r="QMA171" s="72"/>
      <c r="QMB171" s="72"/>
      <c r="QMC171" s="72"/>
      <c r="QMD171" s="72"/>
      <c r="QME171" s="72"/>
      <c r="QMF171" s="72"/>
      <c r="QMG171" s="72"/>
      <c r="QMH171" s="72"/>
      <c r="QMI171" s="72"/>
      <c r="QMJ171" s="72"/>
      <c r="QMK171" s="72"/>
      <c r="QML171" s="72"/>
      <c r="QMM171" s="72"/>
      <c r="QMN171" s="72"/>
      <c r="QMO171" s="72"/>
      <c r="QMP171" s="72"/>
      <c r="QMQ171" s="72"/>
      <c r="QMR171" s="72"/>
      <c r="QMS171" s="72"/>
      <c r="QMT171" s="72"/>
      <c r="QMU171" s="72"/>
      <c r="QMV171" s="72"/>
      <c r="QMW171" s="72"/>
      <c r="QMX171" s="72"/>
      <c r="QMY171" s="72"/>
      <c r="QMZ171" s="72"/>
      <c r="QNA171" s="72"/>
      <c r="QNB171" s="72"/>
      <c r="QNC171" s="72"/>
      <c r="QND171" s="72"/>
      <c r="QNE171" s="72"/>
      <c r="QNF171" s="72"/>
      <c r="QNG171" s="72"/>
      <c r="QNH171" s="72"/>
      <c r="QNI171" s="72"/>
      <c r="QNJ171" s="72"/>
      <c r="QNK171" s="72"/>
      <c r="QNL171" s="72"/>
      <c r="QNM171" s="72"/>
      <c r="QNN171" s="72"/>
      <c r="QNO171" s="72"/>
      <c r="QNP171" s="72"/>
      <c r="QNQ171" s="72"/>
      <c r="QNR171" s="72"/>
      <c r="QNS171" s="72"/>
      <c r="QNT171" s="72"/>
      <c r="QNU171" s="72"/>
      <c r="QNV171" s="72"/>
      <c r="QNW171" s="72"/>
      <c r="QNX171" s="72"/>
      <c r="QNY171" s="72"/>
      <c r="QNZ171" s="72"/>
      <c r="QOA171" s="72"/>
      <c r="QOB171" s="72"/>
      <c r="QOC171" s="72"/>
      <c r="QOD171" s="72"/>
      <c r="QOE171" s="72"/>
      <c r="QOF171" s="72"/>
      <c r="QOG171" s="72"/>
      <c r="QOH171" s="72"/>
      <c r="QOI171" s="72"/>
      <c r="QOJ171" s="72"/>
      <c r="QOK171" s="72"/>
      <c r="QOL171" s="72"/>
      <c r="QOM171" s="72"/>
      <c r="QON171" s="72"/>
      <c r="QOO171" s="72"/>
      <c r="QOP171" s="72"/>
      <c r="QOQ171" s="72"/>
      <c r="QOR171" s="72"/>
      <c r="QOS171" s="72"/>
      <c r="QOT171" s="72"/>
      <c r="QOU171" s="72"/>
      <c r="QOV171" s="72"/>
      <c r="QOW171" s="72"/>
      <c r="QOX171" s="72"/>
      <c r="QOY171" s="72"/>
      <c r="QOZ171" s="72"/>
      <c r="QPA171" s="72"/>
      <c r="QPB171" s="72"/>
      <c r="QPC171" s="72"/>
      <c r="QPD171" s="72"/>
      <c r="QPE171" s="72"/>
      <c r="QPF171" s="72"/>
      <c r="QPG171" s="72"/>
      <c r="QPH171" s="72"/>
      <c r="QPI171" s="72"/>
      <c r="QPJ171" s="72"/>
      <c r="QPK171" s="72"/>
      <c r="QPL171" s="72"/>
      <c r="QPM171" s="72"/>
      <c r="QPN171" s="72"/>
      <c r="QPO171" s="72"/>
      <c r="QPP171" s="72"/>
      <c r="QPQ171" s="72"/>
      <c r="QPR171" s="72"/>
      <c r="QPS171" s="72"/>
      <c r="QPT171" s="72"/>
      <c r="QPU171" s="72"/>
      <c r="QPV171" s="72"/>
      <c r="QPW171" s="72"/>
      <c r="QPX171" s="72"/>
      <c r="QPY171" s="72"/>
      <c r="QPZ171" s="72"/>
      <c r="QQA171" s="72"/>
      <c r="QQB171" s="72"/>
      <c r="QQC171" s="72"/>
      <c r="QQD171" s="72"/>
      <c r="QQE171" s="72"/>
      <c r="QQF171" s="72"/>
      <c r="QQG171" s="72"/>
      <c r="QQH171" s="72"/>
      <c r="QQI171" s="72"/>
      <c r="QQJ171" s="72"/>
      <c r="QQK171" s="72"/>
      <c r="QQL171" s="72"/>
      <c r="QQM171" s="72"/>
      <c r="QQN171" s="72"/>
      <c r="QQO171" s="72"/>
      <c r="QQP171" s="72"/>
      <c r="QQQ171" s="72"/>
      <c r="QQR171" s="72"/>
      <c r="QQS171" s="72"/>
      <c r="QQT171" s="72"/>
      <c r="QQU171" s="72"/>
      <c r="QQV171" s="72"/>
      <c r="QQW171" s="72"/>
      <c r="QQX171" s="72"/>
      <c r="QQY171" s="72"/>
      <c r="QQZ171" s="72"/>
      <c r="QRA171" s="72"/>
      <c r="QRB171" s="72"/>
      <c r="QRC171" s="72"/>
      <c r="QRD171" s="72"/>
      <c r="QRE171" s="72"/>
      <c r="QRF171" s="72"/>
      <c r="QRG171" s="72"/>
      <c r="QRH171" s="72"/>
      <c r="QRI171" s="72"/>
      <c r="QRJ171" s="72"/>
      <c r="QRK171" s="72"/>
      <c r="QRL171" s="72"/>
      <c r="QRM171" s="72"/>
      <c r="QRN171" s="72"/>
      <c r="QRO171" s="72"/>
      <c r="QRP171" s="72"/>
      <c r="QRQ171" s="72"/>
      <c r="QRR171" s="72"/>
      <c r="QRS171" s="72"/>
      <c r="QRT171" s="72"/>
      <c r="QRU171" s="72"/>
      <c r="QRV171" s="72"/>
      <c r="QRW171" s="72"/>
      <c r="QRX171" s="72"/>
      <c r="QRY171" s="72"/>
      <c r="QRZ171" s="72"/>
      <c r="QSA171" s="72"/>
      <c r="QSB171" s="72"/>
      <c r="QSC171" s="72"/>
      <c r="QSD171" s="72"/>
      <c r="QSE171" s="72"/>
      <c r="QSF171" s="72"/>
      <c r="QSG171" s="72"/>
      <c r="QSH171" s="72"/>
      <c r="QSI171" s="72"/>
      <c r="QSJ171" s="72"/>
      <c r="QSK171" s="72"/>
      <c r="QSL171" s="72"/>
      <c r="QSM171" s="72"/>
      <c r="QSN171" s="72"/>
      <c r="QSO171" s="72"/>
      <c r="QSP171" s="72"/>
      <c r="QSQ171" s="72"/>
      <c r="QSR171" s="72"/>
      <c r="QSS171" s="72"/>
      <c r="QST171" s="72"/>
      <c r="QSU171" s="72"/>
      <c r="QSV171" s="72"/>
      <c r="QSW171" s="72"/>
      <c r="QSX171" s="72"/>
      <c r="QSY171" s="72"/>
      <c r="QSZ171" s="72"/>
      <c r="QTA171" s="72"/>
      <c r="QTB171" s="72"/>
      <c r="QTC171" s="72"/>
      <c r="QTD171" s="72"/>
      <c r="QTE171" s="72"/>
      <c r="QTF171" s="72"/>
      <c r="QTG171" s="72"/>
      <c r="QTH171" s="72"/>
      <c r="QTI171" s="72"/>
      <c r="QTJ171" s="72"/>
      <c r="QTK171" s="72"/>
      <c r="QTL171" s="72"/>
      <c r="QTM171" s="72"/>
      <c r="QTN171" s="72"/>
      <c r="QTO171" s="72"/>
      <c r="QTP171" s="72"/>
      <c r="QTQ171" s="72"/>
      <c r="QTR171" s="72"/>
      <c r="QTS171" s="72"/>
      <c r="QTT171" s="72"/>
      <c r="QTU171" s="72"/>
      <c r="QTV171" s="72"/>
      <c r="QTW171" s="72"/>
      <c r="QTX171" s="72"/>
      <c r="QTY171" s="72"/>
      <c r="QTZ171" s="72"/>
      <c r="QUA171" s="72"/>
      <c r="QUB171" s="72"/>
      <c r="QUC171" s="72"/>
      <c r="QUD171" s="72"/>
      <c r="QUE171" s="72"/>
      <c r="QUF171" s="72"/>
      <c r="QUG171" s="72"/>
      <c r="QUH171" s="72"/>
      <c r="QUI171" s="72"/>
      <c r="QUJ171" s="72"/>
      <c r="QUK171" s="72"/>
      <c r="QUL171" s="72"/>
      <c r="QUM171" s="72"/>
      <c r="QUN171" s="72"/>
      <c r="QUO171" s="72"/>
      <c r="QUP171" s="72"/>
      <c r="QUQ171" s="72"/>
      <c r="QUR171" s="72"/>
      <c r="QUS171" s="72"/>
      <c r="QUT171" s="72"/>
      <c r="QUU171" s="72"/>
      <c r="QUV171" s="72"/>
      <c r="QUW171" s="72"/>
      <c r="QUX171" s="72"/>
      <c r="QUY171" s="72"/>
      <c r="QUZ171" s="72"/>
      <c r="QVA171" s="72"/>
      <c r="QVB171" s="72"/>
      <c r="QVC171" s="72"/>
      <c r="QVD171" s="72"/>
      <c r="QVE171" s="72"/>
      <c r="QVF171" s="72"/>
      <c r="QVG171" s="72"/>
      <c r="QVH171" s="72"/>
      <c r="QVI171" s="72"/>
      <c r="QVJ171" s="72"/>
      <c r="QVK171" s="72"/>
      <c r="QVL171" s="72"/>
      <c r="QVM171" s="72"/>
      <c r="QVN171" s="72"/>
      <c r="QVO171" s="72"/>
      <c r="QVP171" s="72"/>
      <c r="QVQ171" s="72"/>
      <c r="QVR171" s="72"/>
      <c r="QVS171" s="72"/>
      <c r="QVT171" s="72"/>
      <c r="QVU171" s="72"/>
      <c r="QVV171" s="72"/>
      <c r="QVW171" s="72"/>
      <c r="QVX171" s="72"/>
      <c r="QVY171" s="72"/>
      <c r="QVZ171" s="72"/>
      <c r="QWA171" s="72"/>
      <c r="QWB171" s="72"/>
      <c r="QWC171" s="72"/>
      <c r="QWD171" s="72"/>
      <c r="QWE171" s="72"/>
      <c r="QWF171" s="72"/>
      <c r="QWG171" s="72"/>
      <c r="QWH171" s="72"/>
      <c r="QWI171" s="72"/>
      <c r="QWJ171" s="72"/>
      <c r="QWK171" s="72"/>
      <c r="QWL171" s="72"/>
      <c r="QWM171" s="72"/>
      <c r="QWN171" s="72"/>
      <c r="QWO171" s="72"/>
      <c r="QWP171" s="72"/>
      <c r="QWQ171" s="72"/>
      <c r="QWR171" s="72"/>
      <c r="QWS171" s="72"/>
      <c r="QWT171" s="72"/>
      <c r="QWU171" s="72"/>
      <c r="QWV171" s="72"/>
      <c r="QWW171" s="72"/>
      <c r="QWX171" s="72"/>
      <c r="QWY171" s="72"/>
      <c r="QWZ171" s="72"/>
      <c r="QXA171" s="72"/>
      <c r="QXB171" s="72"/>
      <c r="QXC171" s="72"/>
      <c r="QXD171" s="72"/>
      <c r="QXE171" s="72"/>
      <c r="QXF171" s="72"/>
      <c r="QXG171" s="72"/>
      <c r="QXH171" s="72"/>
      <c r="QXI171" s="72"/>
      <c r="QXJ171" s="72"/>
      <c r="QXK171" s="72"/>
      <c r="QXL171" s="72"/>
      <c r="QXM171" s="72"/>
      <c r="QXN171" s="72"/>
      <c r="QXO171" s="72"/>
      <c r="QXP171" s="72"/>
      <c r="QXQ171" s="72"/>
      <c r="QXR171" s="72"/>
      <c r="QXS171" s="72"/>
      <c r="QXT171" s="72"/>
      <c r="QXU171" s="72"/>
      <c r="QXV171" s="72"/>
      <c r="QXW171" s="72"/>
      <c r="QXX171" s="72"/>
      <c r="QXY171" s="72"/>
      <c r="QXZ171" s="72"/>
      <c r="QYA171" s="72"/>
      <c r="QYB171" s="72"/>
      <c r="QYC171" s="72"/>
      <c r="QYD171" s="72"/>
      <c r="QYE171" s="72"/>
      <c r="QYF171" s="72"/>
      <c r="QYG171" s="72"/>
      <c r="QYH171" s="72"/>
      <c r="QYI171" s="72"/>
      <c r="QYJ171" s="72"/>
      <c r="QYK171" s="72"/>
      <c r="QYL171" s="72"/>
      <c r="QYM171" s="72"/>
      <c r="QYN171" s="72"/>
      <c r="QYO171" s="72"/>
      <c r="QYP171" s="72"/>
      <c r="QYQ171" s="72"/>
      <c r="QYR171" s="72"/>
      <c r="QYS171" s="72"/>
      <c r="QYT171" s="72"/>
      <c r="QYU171" s="72"/>
      <c r="QYV171" s="72"/>
      <c r="QYW171" s="72"/>
      <c r="QYX171" s="72"/>
      <c r="QYY171" s="72"/>
      <c r="QYZ171" s="72"/>
      <c r="QZA171" s="72"/>
      <c r="QZB171" s="72"/>
      <c r="QZC171" s="72"/>
      <c r="QZD171" s="72"/>
      <c r="QZE171" s="72"/>
      <c r="QZF171" s="72"/>
      <c r="QZG171" s="72"/>
      <c r="QZH171" s="72"/>
      <c r="QZI171" s="72"/>
      <c r="QZJ171" s="72"/>
      <c r="QZK171" s="72"/>
      <c r="QZL171" s="72"/>
      <c r="QZM171" s="72"/>
      <c r="QZN171" s="72"/>
      <c r="QZO171" s="72"/>
      <c r="QZP171" s="72"/>
      <c r="QZQ171" s="72"/>
      <c r="QZR171" s="72"/>
      <c r="QZS171" s="72"/>
      <c r="QZT171" s="72"/>
      <c r="QZU171" s="72"/>
      <c r="QZV171" s="72"/>
      <c r="QZW171" s="72"/>
      <c r="QZX171" s="72"/>
      <c r="QZY171" s="72"/>
      <c r="QZZ171" s="72"/>
      <c r="RAA171" s="72"/>
      <c r="RAB171" s="72"/>
      <c r="RAC171" s="72"/>
      <c r="RAD171" s="72"/>
      <c r="RAE171" s="72"/>
      <c r="RAF171" s="72"/>
      <c r="RAG171" s="72"/>
      <c r="RAH171" s="72"/>
      <c r="RAI171" s="72"/>
      <c r="RAJ171" s="72"/>
      <c r="RAK171" s="72"/>
      <c r="RAL171" s="72"/>
      <c r="RAM171" s="72"/>
      <c r="RAN171" s="72"/>
      <c r="RAO171" s="72"/>
      <c r="RAP171" s="72"/>
      <c r="RAQ171" s="72"/>
      <c r="RAR171" s="72"/>
      <c r="RAS171" s="72"/>
      <c r="RAT171" s="72"/>
      <c r="RAU171" s="72"/>
      <c r="RAV171" s="72"/>
      <c r="RAW171" s="72"/>
      <c r="RAX171" s="72"/>
      <c r="RAY171" s="72"/>
      <c r="RAZ171" s="72"/>
      <c r="RBA171" s="72"/>
      <c r="RBB171" s="72"/>
      <c r="RBC171" s="72"/>
      <c r="RBD171" s="72"/>
      <c r="RBE171" s="72"/>
      <c r="RBF171" s="72"/>
      <c r="RBG171" s="72"/>
      <c r="RBH171" s="72"/>
      <c r="RBI171" s="72"/>
      <c r="RBJ171" s="72"/>
      <c r="RBK171" s="72"/>
      <c r="RBL171" s="72"/>
      <c r="RBM171" s="72"/>
      <c r="RBN171" s="72"/>
      <c r="RBO171" s="72"/>
      <c r="RBP171" s="72"/>
      <c r="RBQ171" s="72"/>
      <c r="RBR171" s="72"/>
      <c r="RBS171" s="72"/>
      <c r="RBT171" s="72"/>
      <c r="RBU171" s="72"/>
      <c r="RBV171" s="72"/>
      <c r="RBW171" s="72"/>
      <c r="RBX171" s="72"/>
      <c r="RBY171" s="72"/>
      <c r="RBZ171" s="72"/>
      <c r="RCA171" s="72"/>
      <c r="RCB171" s="72"/>
      <c r="RCC171" s="72"/>
      <c r="RCD171" s="72"/>
      <c r="RCE171" s="72"/>
      <c r="RCF171" s="72"/>
      <c r="RCG171" s="72"/>
      <c r="RCH171" s="72"/>
      <c r="RCI171" s="72"/>
      <c r="RCJ171" s="72"/>
      <c r="RCK171" s="72"/>
      <c r="RCL171" s="72"/>
      <c r="RCM171" s="72"/>
      <c r="RCN171" s="72"/>
      <c r="RCO171" s="72"/>
      <c r="RCP171" s="72"/>
      <c r="RCQ171" s="72"/>
      <c r="RCR171" s="72"/>
      <c r="RCS171" s="72"/>
      <c r="RCT171" s="72"/>
      <c r="RCU171" s="72"/>
      <c r="RCV171" s="72"/>
      <c r="RCW171" s="72"/>
      <c r="RCX171" s="72"/>
      <c r="RCY171" s="72"/>
      <c r="RCZ171" s="72"/>
      <c r="RDA171" s="72"/>
      <c r="RDB171" s="72"/>
      <c r="RDC171" s="72"/>
      <c r="RDD171" s="72"/>
      <c r="RDE171" s="72"/>
      <c r="RDF171" s="72"/>
      <c r="RDG171" s="72"/>
      <c r="RDH171" s="72"/>
      <c r="RDI171" s="72"/>
      <c r="RDJ171" s="72"/>
      <c r="RDK171" s="72"/>
      <c r="RDL171" s="72"/>
      <c r="RDM171" s="72"/>
      <c r="RDN171" s="72"/>
      <c r="RDO171" s="72"/>
      <c r="RDP171" s="72"/>
      <c r="RDQ171" s="72"/>
      <c r="RDR171" s="72"/>
      <c r="RDS171" s="72"/>
      <c r="RDT171" s="72"/>
      <c r="RDU171" s="72"/>
      <c r="RDV171" s="72"/>
      <c r="RDW171" s="72"/>
      <c r="RDX171" s="72"/>
      <c r="RDY171" s="72"/>
      <c r="RDZ171" s="72"/>
      <c r="REA171" s="72"/>
      <c r="REB171" s="72"/>
      <c r="REC171" s="72"/>
      <c r="RED171" s="72"/>
      <c r="REE171" s="72"/>
      <c r="REF171" s="72"/>
      <c r="REG171" s="72"/>
      <c r="REH171" s="72"/>
      <c r="REI171" s="72"/>
      <c r="REJ171" s="72"/>
      <c r="REK171" s="72"/>
      <c r="REL171" s="72"/>
      <c r="REM171" s="72"/>
      <c r="REN171" s="72"/>
      <c r="REO171" s="72"/>
      <c r="REP171" s="72"/>
      <c r="REQ171" s="72"/>
      <c r="RER171" s="72"/>
      <c r="RES171" s="72"/>
      <c r="RET171" s="72"/>
      <c r="REU171" s="72"/>
      <c r="REV171" s="72"/>
      <c r="REW171" s="72"/>
      <c r="REX171" s="72"/>
      <c r="REY171" s="72"/>
      <c r="REZ171" s="72"/>
      <c r="RFA171" s="72"/>
      <c r="RFB171" s="72"/>
      <c r="RFC171" s="72"/>
      <c r="RFD171" s="72"/>
      <c r="RFE171" s="72"/>
      <c r="RFF171" s="72"/>
      <c r="RFG171" s="72"/>
      <c r="RFH171" s="72"/>
      <c r="RFI171" s="72"/>
      <c r="RFJ171" s="72"/>
      <c r="RFK171" s="72"/>
      <c r="RFL171" s="72"/>
      <c r="RFM171" s="72"/>
      <c r="RFN171" s="72"/>
      <c r="RFO171" s="72"/>
      <c r="RFP171" s="72"/>
      <c r="RFQ171" s="72"/>
      <c r="RFR171" s="72"/>
      <c r="RFS171" s="72"/>
      <c r="RFT171" s="72"/>
      <c r="RFU171" s="72"/>
      <c r="RFV171" s="72"/>
      <c r="RFW171" s="72"/>
      <c r="RFX171" s="72"/>
      <c r="RFY171" s="72"/>
      <c r="RFZ171" s="72"/>
      <c r="RGA171" s="72"/>
      <c r="RGB171" s="72"/>
      <c r="RGC171" s="72"/>
      <c r="RGD171" s="72"/>
      <c r="RGE171" s="72"/>
      <c r="RGF171" s="72"/>
      <c r="RGG171" s="72"/>
      <c r="RGH171" s="72"/>
      <c r="RGI171" s="72"/>
      <c r="RGJ171" s="72"/>
      <c r="RGK171" s="72"/>
      <c r="RGL171" s="72"/>
      <c r="RGM171" s="72"/>
      <c r="RGN171" s="72"/>
      <c r="RGO171" s="72"/>
      <c r="RGP171" s="72"/>
      <c r="RGQ171" s="72"/>
      <c r="RGR171" s="72"/>
      <c r="RGS171" s="72"/>
      <c r="RGT171" s="72"/>
      <c r="RGU171" s="72"/>
      <c r="RGV171" s="72"/>
      <c r="RGW171" s="72"/>
      <c r="RGX171" s="72"/>
      <c r="RGY171" s="72"/>
      <c r="RGZ171" s="72"/>
      <c r="RHA171" s="72"/>
      <c r="RHB171" s="72"/>
      <c r="RHC171" s="72"/>
      <c r="RHD171" s="72"/>
      <c r="RHE171" s="72"/>
      <c r="RHF171" s="72"/>
      <c r="RHG171" s="72"/>
      <c r="RHH171" s="72"/>
      <c r="RHI171" s="72"/>
      <c r="RHJ171" s="72"/>
      <c r="RHK171" s="72"/>
      <c r="RHL171" s="72"/>
      <c r="RHM171" s="72"/>
      <c r="RHN171" s="72"/>
      <c r="RHO171" s="72"/>
      <c r="RHP171" s="72"/>
      <c r="RHQ171" s="72"/>
      <c r="RHR171" s="72"/>
      <c r="RHS171" s="72"/>
      <c r="RHT171" s="72"/>
      <c r="RHU171" s="72"/>
      <c r="RHV171" s="72"/>
      <c r="RHW171" s="72"/>
      <c r="RHX171" s="72"/>
      <c r="RHY171" s="72"/>
      <c r="RHZ171" s="72"/>
      <c r="RIA171" s="72"/>
      <c r="RIB171" s="72"/>
      <c r="RIC171" s="72"/>
      <c r="RID171" s="72"/>
      <c r="RIE171" s="72"/>
      <c r="RIF171" s="72"/>
      <c r="RIG171" s="72"/>
      <c r="RIH171" s="72"/>
      <c r="RII171" s="72"/>
      <c r="RIJ171" s="72"/>
      <c r="RIK171" s="72"/>
      <c r="RIL171" s="72"/>
      <c r="RIM171" s="72"/>
      <c r="RIN171" s="72"/>
      <c r="RIO171" s="72"/>
      <c r="RIP171" s="72"/>
      <c r="RIQ171" s="72"/>
      <c r="RIR171" s="72"/>
      <c r="RIS171" s="72"/>
      <c r="RIT171" s="72"/>
      <c r="RIU171" s="72"/>
      <c r="RIV171" s="72"/>
      <c r="RIW171" s="72"/>
      <c r="RIX171" s="72"/>
      <c r="RIY171" s="72"/>
      <c r="RIZ171" s="72"/>
      <c r="RJA171" s="72"/>
      <c r="RJB171" s="72"/>
      <c r="RJC171" s="72"/>
      <c r="RJD171" s="72"/>
      <c r="RJE171" s="72"/>
      <c r="RJF171" s="72"/>
      <c r="RJG171" s="72"/>
      <c r="RJH171" s="72"/>
      <c r="RJI171" s="72"/>
      <c r="RJJ171" s="72"/>
      <c r="RJK171" s="72"/>
      <c r="RJL171" s="72"/>
      <c r="RJM171" s="72"/>
      <c r="RJN171" s="72"/>
      <c r="RJO171" s="72"/>
      <c r="RJP171" s="72"/>
      <c r="RJQ171" s="72"/>
      <c r="RJR171" s="72"/>
      <c r="RJS171" s="72"/>
      <c r="RJT171" s="72"/>
      <c r="RJU171" s="72"/>
      <c r="RJV171" s="72"/>
      <c r="RJW171" s="72"/>
      <c r="RJX171" s="72"/>
      <c r="RJY171" s="72"/>
      <c r="RJZ171" s="72"/>
      <c r="RKA171" s="72"/>
      <c r="RKB171" s="72"/>
      <c r="RKC171" s="72"/>
      <c r="RKD171" s="72"/>
      <c r="RKE171" s="72"/>
      <c r="RKF171" s="72"/>
      <c r="RKG171" s="72"/>
      <c r="RKH171" s="72"/>
      <c r="RKI171" s="72"/>
      <c r="RKJ171" s="72"/>
      <c r="RKK171" s="72"/>
      <c r="RKL171" s="72"/>
      <c r="RKM171" s="72"/>
      <c r="RKN171" s="72"/>
      <c r="RKO171" s="72"/>
      <c r="RKP171" s="72"/>
      <c r="RKQ171" s="72"/>
      <c r="RKR171" s="72"/>
      <c r="RKS171" s="72"/>
      <c r="RKT171" s="72"/>
      <c r="RKU171" s="72"/>
      <c r="RKV171" s="72"/>
      <c r="RKW171" s="72"/>
      <c r="RKX171" s="72"/>
      <c r="RKY171" s="72"/>
      <c r="RKZ171" s="72"/>
      <c r="RLA171" s="72"/>
      <c r="RLB171" s="72"/>
      <c r="RLC171" s="72"/>
      <c r="RLD171" s="72"/>
      <c r="RLE171" s="72"/>
      <c r="RLF171" s="72"/>
      <c r="RLG171" s="72"/>
      <c r="RLH171" s="72"/>
      <c r="RLI171" s="72"/>
      <c r="RLJ171" s="72"/>
      <c r="RLK171" s="72"/>
      <c r="RLL171" s="72"/>
      <c r="RLM171" s="72"/>
      <c r="RLN171" s="72"/>
      <c r="RLO171" s="72"/>
      <c r="RLP171" s="72"/>
      <c r="RLQ171" s="72"/>
      <c r="RLR171" s="72"/>
      <c r="RLS171" s="72"/>
      <c r="RLT171" s="72"/>
      <c r="RLU171" s="72"/>
      <c r="RLV171" s="72"/>
      <c r="RLW171" s="72"/>
      <c r="RLX171" s="72"/>
      <c r="RLY171" s="72"/>
      <c r="RLZ171" s="72"/>
      <c r="RMA171" s="72"/>
      <c r="RMB171" s="72"/>
      <c r="RMC171" s="72"/>
      <c r="RMD171" s="72"/>
      <c r="RME171" s="72"/>
      <c r="RMF171" s="72"/>
      <c r="RMG171" s="72"/>
      <c r="RMH171" s="72"/>
      <c r="RMI171" s="72"/>
      <c r="RMJ171" s="72"/>
      <c r="RMK171" s="72"/>
      <c r="RML171" s="72"/>
      <c r="RMM171" s="72"/>
      <c r="RMN171" s="72"/>
      <c r="RMO171" s="72"/>
      <c r="RMP171" s="72"/>
      <c r="RMQ171" s="72"/>
      <c r="RMR171" s="72"/>
      <c r="RMS171" s="72"/>
      <c r="RMT171" s="72"/>
      <c r="RMU171" s="72"/>
      <c r="RMV171" s="72"/>
      <c r="RMW171" s="72"/>
      <c r="RMX171" s="72"/>
      <c r="RMY171" s="72"/>
      <c r="RMZ171" s="72"/>
      <c r="RNA171" s="72"/>
      <c r="RNB171" s="72"/>
      <c r="RNC171" s="72"/>
      <c r="RND171" s="72"/>
      <c r="RNE171" s="72"/>
      <c r="RNF171" s="72"/>
      <c r="RNG171" s="72"/>
      <c r="RNH171" s="72"/>
      <c r="RNI171" s="72"/>
      <c r="RNJ171" s="72"/>
      <c r="RNK171" s="72"/>
      <c r="RNL171" s="72"/>
      <c r="RNM171" s="72"/>
      <c r="RNN171" s="72"/>
      <c r="RNO171" s="72"/>
      <c r="RNP171" s="72"/>
      <c r="RNQ171" s="72"/>
      <c r="RNR171" s="72"/>
      <c r="RNS171" s="72"/>
      <c r="RNT171" s="72"/>
      <c r="RNU171" s="72"/>
      <c r="RNV171" s="72"/>
      <c r="RNW171" s="72"/>
      <c r="RNX171" s="72"/>
      <c r="RNY171" s="72"/>
      <c r="RNZ171" s="72"/>
      <c r="ROA171" s="72"/>
      <c r="ROB171" s="72"/>
      <c r="ROC171" s="72"/>
      <c r="ROD171" s="72"/>
      <c r="ROE171" s="72"/>
      <c r="ROF171" s="72"/>
      <c r="ROG171" s="72"/>
      <c r="ROH171" s="72"/>
      <c r="ROI171" s="72"/>
      <c r="ROJ171" s="72"/>
      <c r="ROK171" s="72"/>
      <c r="ROL171" s="72"/>
      <c r="ROM171" s="72"/>
      <c r="RON171" s="72"/>
      <c r="ROO171" s="72"/>
      <c r="ROP171" s="72"/>
      <c r="ROQ171" s="72"/>
      <c r="ROR171" s="72"/>
      <c r="ROS171" s="72"/>
      <c r="ROT171" s="72"/>
      <c r="ROU171" s="72"/>
      <c r="ROV171" s="72"/>
      <c r="ROW171" s="72"/>
      <c r="ROX171" s="72"/>
      <c r="ROY171" s="72"/>
      <c r="ROZ171" s="72"/>
      <c r="RPA171" s="72"/>
      <c r="RPB171" s="72"/>
      <c r="RPC171" s="72"/>
      <c r="RPD171" s="72"/>
      <c r="RPE171" s="72"/>
      <c r="RPF171" s="72"/>
      <c r="RPG171" s="72"/>
      <c r="RPH171" s="72"/>
      <c r="RPI171" s="72"/>
      <c r="RPJ171" s="72"/>
      <c r="RPK171" s="72"/>
      <c r="RPL171" s="72"/>
      <c r="RPM171" s="72"/>
      <c r="RPN171" s="72"/>
      <c r="RPO171" s="72"/>
      <c r="RPP171" s="72"/>
      <c r="RPQ171" s="72"/>
      <c r="RPR171" s="72"/>
      <c r="RPS171" s="72"/>
      <c r="RPT171" s="72"/>
      <c r="RPU171" s="72"/>
      <c r="RPV171" s="72"/>
      <c r="RPW171" s="72"/>
      <c r="RPX171" s="72"/>
      <c r="RPY171" s="72"/>
      <c r="RPZ171" s="72"/>
      <c r="RQA171" s="72"/>
      <c r="RQB171" s="72"/>
      <c r="RQC171" s="72"/>
      <c r="RQD171" s="72"/>
      <c r="RQE171" s="72"/>
      <c r="RQF171" s="72"/>
      <c r="RQG171" s="72"/>
      <c r="RQH171" s="72"/>
      <c r="RQI171" s="72"/>
      <c r="RQJ171" s="72"/>
      <c r="RQK171" s="72"/>
      <c r="RQL171" s="72"/>
      <c r="RQM171" s="72"/>
      <c r="RQN171" s="72"/>
      <c r="RQO171" s="72"/>
      <c r="RQP171" s="72"/>
      <c r="RQQ171" s="72"/>
      <c r="RQR171" s="72"/>
      <c r="RQS171" s="72"/>
      <c r="RQT171" s="72"/>
      <c r="RQU171" s="72"/>
      <c r="RQV171" s="72"/>
      <c r="RQW171" s="72"/>
      <c r="RQX171" s="72"/>
      <c r="RQY171" s="72"/>
      <c r="RQZ171" s="72"/>
      <c r="RRA171" s="72"/>
      <c r="RRB171" s="72"/>
      <c r="RRC171" s="72"/>
      <c r="RRD171" s="72"/>
      <c r="RRE171" s="72"/>
      <c r="RRF171" s="72"/>
      <c r="RRG171" s="72"/>
      <c r="RRH171" s="72"/>
      <c r="RRI171" s="72"/>
      <c r="RRJ171" s="72"/>
      <c r="RRK171" s="72"/>
      <c r="RRL171" s="72"/>
      <c r="RRM171" s="72"/>
      <c r="RRN171" s="72"/>
      <c r="RRO171" s="72"/>
      <c r="RRP171" s="72"/>
      <c r="RRQ171" s="72"/>
      <c r="RRR171" s="72"/>
      <c r="RRS171" s="72"/>
      <c r="RRT171" s="72"/>
      <c r="RRU171" s="72"/>
      <c r="RRV171" s="72"/>
      <c r="RRW171" s="72"/>
      <c r="RRX171" s="72"/>
      <c r="RRY171" s="72"/>
      <c r="RRZ171" s="72"/>
      <c r="RSA171" s="72"/>
      <c r="RSB171" s="72"/>
      <c r="RSC171" s="72"/>
      <c r="RSD171" s="72"/>
      <c r="RSE171" s="72"/>
      <c r="RSF171" s="72"/>
      <c r="RSG171" s="72"/>
      <c r="RSH171" s="72"/>
      <c r="RSI171" s="72"/>
      <c r="RSJ171" s="72"/>
      <c r="RSK171" s="72"/>
      <c r="RSL171" s="72"/>
      <c r="RSM171" s="72"/>
      <c r="RSN171" s="72"/>
      <c r="RSO171" s="72"/>
      <c r="RSP171" s="72"/>
      <c r="RSQ171" s="72"/>
      <c r="RSR171" s="72"/>
      <c r="RSS171" s="72"/>
      <c r="RST171" s="72"/>
      <c r="RSU171" s="72"/>
      <c r="RSV171" s="72"/>
      <c r="RSW171" s="72"/>
      <c r="RSX171" s="72"/>
      <c r="RSY171" s="72"/>
      <c r="RSZ171" s="72"/>
      <c r="RTA171" s="72"/>
      <c r="RTB171" s="72"/>
      <c r="RTC171" s="72"/>
      <c r="RTD171" s="72"/>
      <c r="RTE171" s="72"/>
      <c r="RTF171" s="72"/>
      <c r="RTG171" s="72"/>
      <c r="RTH171" s="72"/>
      <c r="RTI171" s="72"/>
      <c r="RTJ171" s="72"/>
      <c r="RTK171" s="72"/>
      <c r="RTL171" s="72"/>
      <c r="RTM171" s="72"/>
      <c r="RTN171" s="72"/>
      <c r="RTO171" s="72"/>
      <c r="RTP171" s="72"/>
      <c r="RTQ171" s="72"/>
      <c r="RTR171" s="72"/>
      <c r="RTS171" s="72"/>
      <c r="RTT171" s="72"/>
      <c r="RTU171" s="72"/>
      <c r="RTV171" s="72"/>
      <c r="RTW171" s="72"/>
      <c r="RTX171" s="72"/>
      <c r="RTY171" s="72"/>
      <c r="RTZ171" s="72"/>
      <c r="RUA171" s="72"/>
      <c r="RUB171" s="72"/>
      <c r="RUC171" s="72"/>
      <c r="RUD171" s="72"/>
      <c r="RUE171" s="72"/>
      <c r="RUF171" s="72"/>
      <c r="RUG171" s="72"/>
      <c r="RUH171" s="72"/>
      <c r="RUI171" s="72"/>
      <c r="RUJ171" s="72"/>
      <c r="RUK171" s="72"/>
      <c r="RUL171" s="72"/>
      <c r="RUM171" s="72"/>
      <c r="RUN171" s="72"/>
      <c r="RUO171" s="72"/>
      <c r="RUP171" s="72"/>
      <c r="RUQ171" s="72"/>
      <c r="RUR171" s="72"/>
      <c r="RUS171" s="72"/>
      <c r="RUT171" s="72"/>
      <c r="RUU171" s="72"/>
      <c r="RUV171" s="72"/>
      <c r="RUW171" s="72"/>
      <c r="RUX171" s="72"/>
      <c r="RUY171" s="72"/>
      <c r="RUZ171" s="72"/>
      <c r="RVA171" s="72"/>
      <c r="RVB171" s="72"/>
      <c r="RVC171" s="72"/>
      <c r="RVD171" s="72"/>
      <c r="RVE171" s="72"/>
      <c r="RVF171" s="72"/>
      <c r="RVG171" s="72"/>
      <c r="RVH171" s="72"/>
      <c r="RVI171" s="72"/>
      <c r="RVJ171" s="72"/>
      <c r="RVK171" s="72"/>
      <c r="RVL171" s="72"/>
      <c r="RVM171" s="72"/>
      <c r="RVN171" s="72"/>
      <c r="RVO171" s="72"/>
      <c r="RVP171" s="72"/>
      <c r="RVQ171" s="72"/>
      <c r="RVR171" s="72"/>
      <c r="RVS171" s="72"/>
      <c r="RVT171" s="72"/>
      <c r="RVU171" s="72"/>
      <c r="RVV171" s="72"/>
      <c r="RVW171" s="72"/>
      <c r="RVX171" s="72"/>
      <c r="RVY171" s="72"/>
      <c r="RVZ171" s="72"/>
      <c r="RWA171" s="72"/>
      <c r="RWB171" s="72"/>
      <c r="RWC171" s="72"/>
      <c r="RWD171" s="72"/>
      <c r="RWE171" s="72"/>
      <c r="RWF171" s="72"/>
      <c r="RWG171" s="72"/>
      <c r="RWH171" s="72"/>
      <c r="RWI171" s="72"/>
      <c r="RWJ171" s="72"/>
      <c r="RWK171" s="72"/>
      <c r="RWL171" s="72"/>
      <c r="RWM171" s="72"/>
      <c r="RWN171" s="72"/>
      <c r="RWO171" s="72"/>
      <c r="RWP171" s="72"/>
      <c r="RWQ171" s="72"/>
      <c r="RWR171" s="72"/>
      <c r="RWS171" s="72"/>
      <c r="RWT171" s="72"/>
      <c r="RWU171" s="72"/>
      <c r="RWV171" s="72"/>
      <c r="RWW171" s="72"/>
      <c r="RWX171" s="72"/>
      <c r="RWY171" s="72"/>
      <c r="RWZ171" s="72"/>
      <c r="RXA171" s="72"/>
      <c r="RXB171" s="72"/>
      <c r="RXC171" s="72"/>
      <c r="RXD171" s="72"/>
      <c r="RXE171" s="72"/>
      <c r="RXF171" s="72"/>
      <c r="RXG171" s="72"/>
      <c r="RXH171" s="72"/>
      <c r="RXI171" s="72"/>
      <c r="RXJ171" s="72"/>
      <c r="RXK171" s="72"/>
      <c r="RXL171" s="72"/>
      <c r="RXM171" s="72"/>
      <c r="RXN171" s="72"/>
      <c r="RXO171" s="72"/>
      <c r="RXP171" s="72"/>
      <c r="RXQ171" s="72"/>
      <c r="RXR171" s="72"/>
      <c r="RXS171" s="72"/>
      <c r="RXT171" s="72"/>
      <c r="RXU171" s="72"/>
      <c r="RXV171" s="72"/>
      <c r="RXW171" s="72"/>
      <c r="RXX171" s="72"/>
      <c r="RXY171" s="72"/>
      <c r="RXZ171" s="72"/>
      <c r="RYA171" s="72"/>
      <c r="RYB171" s="72"/>
      <c r="RYC171" s="72"/>
      <c r="RYD171" s="72"/>
      <c r="RYE171" s="72"/>
      <c r="RYF171" s="72"/>
      <c r="RYG171" s="72"/>
      <c r="RYH171" s="72"/>
      <c r="RYI171" s="72"/>
      <c r="RYJ171" s="72"/>
      <c r="RYK171" s="72"/>
      <c r="RYL171" s="72"/>
      <c r="RYM171" s="72"/>
      <c r="RYN171" s="72"/>
      <c r="RYO171" s="72"/>
      <c r="RYP171" s="72"/>
      <c r="RYQ171" s="72"/>
      <c r="RYR171" s="72"/>
      <c r="RYS171" s="72"/>
      <c r="RYT171" s="72"/>
      <c r="RYU171" s="72"/>
      <c r="RYV171" s="72"/>
      <c r="RYW171" s="72"/>
      <c r="RYX171" s="72"/>
      <c r="RYY171" s="72"/>
      <c r="RYZ171" s="72"/>
      <c r="RZA171" s="72"/>
      <c r="RZB171" s="72"/>
      <c r="RZC171" s="72"/>
      <c r="RZD171" s="72"/>
      <c r="RZE171" s="72"/>
      <c r="RZF171" s="72"/>
      <c r="RZG171" s="72"/>
      <c r="RZH171" s="72"/>
      <c r="RZI171" s="72"/>
      <c r="RZJ171" s="72"/>
      <c r="RZK171" s="72"/>
      <c r="RZL171" s="72"/>
      <c r="RZM171" s="72"/>
      <c r="RZN171" s="72"/>
      <c r="RZO171" s="72"/>
      <c r="RZP171" s="72"/>
      <c r="RZQ171" s="72"/>
      <c r="RZR171" s="72"/>
      <c r="RZS171" s="72"/>
      <c r="RZT171" s="72"/>
      <c r="RZU171" s="72"/>
      <c r="RZV171" s="72"/>
      <c r="RZW171" s="72"/>
      <c r="RZX171" s="72"/>
      <c r="RZY171" s="72"/>
      <c r="RZZ171" s="72"/>
      <c r="SAA171" s="72"/>
      <c r="SAB171" s="72"/>
      <c r="SAC171" s="72"/>
      <c r="SAD171" s="72"/>
      <c r="SAE171" s="72"/>
      <c r="SAF171" s="72"/>
      <c r="SAG171" s="72"/>
      <c r="SAH171" s="72"/>
      <c r="SAI171" s="72"/>
      <c r="SAJ171" s="72"/>
      <c r="SAK171" s="72"/>
      <c r="SAL171" s="72"/>
      <c r="SAM171" s="72"/>
      <c r="SAN171" s="72"/>
      <c r="SAO171" s="72"/>
      <c r="SAP171" s="72"/>
      <c r="SAQ171" s="72"/>
      <c r="SAR171" s="72"/>
      <c r="SAS171" s="72"/>
      <c r="SAT171" s="72"/>
      <c r="SAU171" s="72"/>
      <c r="SAV171" s="72"/>
      <c r="SAW171" s="72"/>
      <c r="SAX171" s="72"/>
      <c r="SAY171" s="72"/>
      <c r="SAZ171" s="72"/>
      <c r="SBA171" s="72"/>
      <c r="SBB171" s="72"/>
      <c r="SBC171" s="72"/>
      <c r="SBD171" s="72"/>
      <c r="SBE171" s="72"/>
      <c r="SBF171" s="72"/>
      <c r="SBG171" s="72"/>
      <c r="SBH171" s="72"/>
      <c r="SBI171" s="72"/>
      <c r="SBJ171" s="72"/>
      <c r="SBK171" s="72"/>
      <c r="SBL171" s="72"/>
      <c r="SBM171" s="72"/>
      <c r="SBN171" s="72"/>
      <c r="SBO171" s="72"/>
      <c r="SBP171" s="72"/>
      <c r="SBQ171" s="72"/>
      <c r="SBR171" s="72"/>
      <c r="SBS171" s="72"/>
      <c r="SBT171" s="72"/>
      <c r="SBU171" s="72"/>
      <c r="SBV171" s="72"/>
      <c r="SBW171" s="72"/>
      <c r="SBX171" s="72"/>
      <c r="SBY171" s="72"/>
      <c r="SBZ171" s="72"/>
      <c r="SCA171" s="72"/>
      <c r="SCB171" s="72"/>
      <c r="SCC171" s="72"/>
      <c r="SCD171" s="72"/>
      <c r="SCE171" s="72"/>
      <c r="SCF171" s="72"/>
      <c r="SCG171" s="72"/>
      <c r="SCH171" s="72"/>
      <c r="SCI171" s="72"/>
      <c r="SCJ171" s="72"/>
      <c r="SCK171" s="72"/>
      <c r="SCL171" s="72"/>
      <c r="SCM171" s="72"/>
      <c r="SCN171" s="72"/>
      <c r="SCO171" s="72"/>
      <c r="SCP171" s="72"/>
      <c r="SCQ171" s="72"/>
      <c r="SCR171" s="72"/>
      <c r="SCS171" s="72"/>
      <c r="SCT171" s="72"/>
      <c r="SCU171" s="72"/>
      <c r="SCV171" s="72"/>
      <c r="SCW171" s="72"/>
      <c r="SCX171" s="72"/>
      <c r="SCY171" s="72"/>
      <c r="SCZ171" s="72"/>
      <c r="SDA171" s="72"/>
      <c r="SDB171" s="72"/>
      <c r="SDC171" s="72"/>
      <c r="SDD171" s="72"/>
      <c r="SDE171" s="72"/>
      <c r="SDF171" s="72"/>
      <c r="SDG171" s="72"/>
      <c r="SDH171" s="72"/>
      <c r="SDI171" s="72"/>
      <c r="SDJ171" s="72"/>
      <c r="SDK171" s="72"/>
      <c r="SDL171" s="72"/>
      <c r="SDM171" s="72"/>
      <c r="SDN171" s="72"/>
      <c r="SDO171" s="72"/>
      <c r="SDP171" s="72"/>
      <c r="SDQ171" s="72"/>
      <c r="SDR171" s="72"/>
      <c r="SDS171" s="72"/>
      <c r="SDT171" s="72"/>
      <c r="SDU171" s="72"/>
      <c r="SDV171" s="72"/>
      <c r="SDW171" s="72"/>
      <c r="SDX171" s="72"/>
      <c r="SDY171" s="72"/>
      <c r="SDZ171" s="72"/>
      <c r="SEA171" s="72"/>
      <c r="SEB171" s="72"/>
      <c r="SEC171" s="72"/>
      <c r="SED171" s="72"/>
      <c r="SEE171" s="72"/>
      <c r="SEF171" s="72"/>
      <c r="SEG171" s="72"/>
      <c r="SEH171" s="72"/>
      <c r="SEI171" s="72"/>
      <c r="SEJ171" s="72"/>
      <c r="SEK171" s="72"/>
      <c r="SEL171" s="72"/>
      <c r="SEM171" s="72"/>
      <c r="SEN171" s="72"/>
      <c r="SEO171" s="72"/>
      <c r="SEP171" s="72"/>
      <c r="SEQ171" s="72"/>
      <c r="SER171" s="72"/>
      <c r="SES171" s="72"/>
      <c r="SET171" s="72"/>
      <c r="SEU171" s="72"/>
      <c r="SEV171" s="72"/>
      <c r="SEW171" s="72"/>
      <c r="SEX171" s="72"/>
      <c r="SEY171" s="72"/>
      <c r="SEZ171" s="72"/>
      <c r="SFA171" s="72"/>
      <c r="SFB171" s="72"/>
      <c r="SFC171" s="72"/>
      <c r="SFD171" s="72"/>
      <c r="SFE171" s="72"/>
      <c r="SFF171" s="72"/>
      <c r="SFG171" s="72"/>
      <c r="SFH171" s="72"/>
      <c r="SFI171" s="72"/>
      <c r="SFJ171" s="72"/>
      <c r="SFK171" s="72"/>
      <c r="SFL171" s="72"/>
      <c r="SFM171" s="72"/>
      <c r="SFN171" s="72"/>
      <c r="SFO171" s="72"/>
      <c r="SFP171" s="72"/>
      <c r="SFQ171" s="72"/>
      <c r="SFR171" s="72"/>
      <c r="SFS171" s="72"/>
      <c r="SFT171" s="72"/>
      <c r="SFU171" s="72"/>
      <c r="SFV171" s="72"/>
      <c r="SFW171" s="72"/>
      <c r="SFX171" s="72"/>
      <c r="SFY171" s="72"/>
      <c r="SFZ171" s="72"/>
      <c r="SGA171" s="72"/>
      <c r="SGB171" s="72"/>
      <c r="SGC171" s="72"/>
      <c r="SGD171" s="72"/>
      <c r="SGE171" s="72"/>
      <c r="SGF171" s="72"/>
      <c r="SGG171" s="72"/>
      <c r="SGH171" s="72"/>
      <c r="SGI171" s="72"/>
      <c r="SGJ171" s="72"/>
      <c r="SGK171" s="72"/>
      <c r="SGL171" s="72"/>
      <c r="SGM171" s="72"/>
      <c r="SGN171" s="72"/>
      <c r="SGO171" s="72"/>
      <c r="SGP171" s="72"/>
      <c r="SGQ171" s="72"/>
      <c r="SGR171" s="72"/>
      <c r="SGS171" s="72"/>
      <c r="SGT171" s="72"/>
      <c r="SGU171" s="72"/>
      <c r="SGV171" s="72"/>
      <c r="SGW171" s="72"/>
      <c r="SGX171" s="72"/>
      <c r="SGY171" s="72"/>
      <c r="SGZ171" s="72"/>
      <c r="SHA171" s="72"/>
      <c r="SHB171" s="72"/>
      <c r="SHC171" s="72"/>
      <c r="SHD171" s="72"/>
      <c r="SHE171" s="72"/>
      <c r="SHF171" s="72"/>
      <c r="SHG171" s="72"/>
      <c r="SHH171" s="72"/>
      <c r="SHI171" s="72"/>
      <c r="SHJ171" s="72"/>
      <c r="SHK171" s="72"/>
      <c r="SHL171" s="72"/>
      <c r="SHM171" s="72"/>
      <c r="SHN171" s="72"/>
      <c r="SHO171" s="72"/>
      <c r="SHP171" s="72"/>
      <c r="SHQ171" s="72"/>
      <c r="SHR171" s="72"/>
      <c r="SHS171" s="72"/>
      <c r="SHT171" s="72"/>
      <c r="SHU171" s="72"/>
      <c r="SHV171" s="72"/>
      <c r="SHW171" s="72"/>
      <c r="SHX171" s="72"/>
      <c r="SHY171" s="72"/>
      <c r="SHZ171" s="72"/>
      <c r="SIA171" s="72"/>
      <c r="SIB171" s="72"/>
      <c r="SIC171" s="72"/>
      <c r="SID171" s="72"/>
      <c r="SIE171" s="72"/>
      <c r="SIF171" s="72"/>
      <c r="SIG171" s="72"/>
      <c r="SIH171" s="72"/>
      <c r="SII171" s="72"/>
      <c r="SIJ171" s="72"/>
      <c r="SIK171" s="72"/>
      <c r="SIL171" s="72"/>
      <c r="SIM171" s="72"/>
      <c r="SIN171" s="72"/>
      <c r="SIO171" s="72"/>
      <c r="SIP171" s="72"/>
      <c r="SIQ171" s="72"/>
      <c r="SIR171" s="72"/>
      <c r="SIS171" s="72"/>
      <c r="SIT171" s="72"/>
      <c r="SIU171" s="72"/>
      <c r="SIV171" s="72"/>
      <c r="SIW171" s="72"/>
      <c r="SIX171" s="72"/>
      <c r="SIY171" s="72"/>
      <c r="SIZ171" s="72"/>
      <c r="SJA171" s="72"/>
      <c r="SJB171" s="72"/>
      <c r="SJC171" s="72"/>
      <c r="SJD171" s="72"/>
      <c r="SJE171" s="72"/>
      <c r="SJF171" s="72"/>
      <c r="SJG171" s="72"/>
      <c r="SJH171" s="72"/>
      <c r="SJI171" s="72"/>
      <c r="SJJ171" s="72"/>
      <c r="SJK171" s="72"/>
      <c r="SJL171" s="72"/>
      <c r="SJM171" s="72"/>
      <c r="SJN171" s="72"/>
      <c r="SJO171" s="72"/>
      <c r="SJP171" s="72"/>
      <c r="SJQ171" s="72"/>
      <c r="SJR171" s="72"/>
      <c r="SJS171" s="72"/>
      <c r="SJT171" s="72"/>
      <c r="SJU171" s="72"/>
      <c r="SJV171" s="72"/>
      <c r="SJW171" s="72"/>
      <c r="SJX171" s="72"/>
      <c r="SJY171" s="72"/>
      <c r="SJZ171" s="72"/>
      <c r="SKA171" s="72"/>
      <c r="SKB171" s="72"/>
      <c r="SKC171" s="72"/>
      <c r="SKD171" s="72"/>
      <c r="SKE171" s="72"/>
      <c r="SKF171" s="72"/>
      <c r="SKG171" s="72"/>
      <c r="SKH171" s="72"/>
      <c r="SKI171" s="72"/>
      <c r="SKJ171" s="72"/>
      <c r="SKK171" s="72"/>
      <c r="SKL171" s="72"/>
      <c r="SKM171" s="72"/>
      <c r="SKN171" s="72"/>
      <c r="SKO171" s="72"/>
      <c r="SKP171" s="72"/>
      <c r="SKQ171" s="72"/>
      <c r="SKR171" s="72"/>
      <c r="SKS171" s="72"/>
      <c r="SKT171" s="72"/>
      <c r="SKU171" s="72"/>
      <c r="SKV171" s="72"/>
      <c r="SKW171" s="72"/>
      <c r="SKX171" s="72"/>
      <c r="SKY171" s="72"/>
      <c r="SKZ171" s="72"/>
      <c r="SLA171" s="72"/>
      <c r="SLB171" s="72"/>
      <c r="SLC171" s="72"/>
      <c r="SLD171" s="72"/>
      <c r="SLE171" s="72"/>
      <c r="SLF171" s="72"/>
      <c r="SLG171" s="72"/>
      <c r="SLH171" s="72"/>
      <c r="SLI171" s="72"/>
      <c r="SLJ171" s="72"/>
      <c r="SLK171" s="72"/>
      <c r="SLL171" s="72"/>
      <c r="SLM171" s="72"/>
      <c r="SLN171" s="72"/>
      <c r="SLO171" s="72"/>
      <c r="SLP171" s="72"/>
      <c r="SLQ171" s="72"/>
      <c r="SLR171" s="72"/>
      <c r="SLS171" s="72"/>
      <c r="SLT171" s="72"/>
      <c r="SLU171" s="72"/>
      <c r="SLV171" s="72"/>
      <c r="SLW171" s="72"/>
      <c r="SLX171" s="72"/>
      <c r="SLY171" s="72"/>
      <c r="SLZ171" s="72"/>
      <c r="SMA171" s="72"/>
      <c r="SMB171" s="72"/>
      <c r="SMC171" s="72"/>
      <c r="SMD171" s="72"/>
      <c r="SME171" s="72"/>
      <c r="SMF171" s="72"/>
      <c r="SMG171" s="72"/>
      <c r="SMH171" s="72"/>
      <c r="SMI171" s="72"/>
      <c r="SMJ171" s="72"/>
      <c r="SMK171" s="72"/>
      <c r="SML171" s="72"/>
      <c r="SMM171" s="72"/>
      <c r="SMN171" s="72"/>
      <c r="SMO171" s="72"/>
      <c r="SMP171" s="72"/>
      <c r="SMQ171" s="72"/>
      <c r="SMR171" s="72"/>
      <c r="SMS171" s="72"/>
      <c r="SMT171" s="72"/>
      <c r="SMU171" s="72"/>
      <c r="SMV171" s="72"/>
      <c r="SMW171" s="72"/>
      <c r="SMX171" s="72"/>
      <c r="SMY171" s="72"/>
      <c r="SMZ171" s="72"/>
      <c r="SNA171" s="72"/>
      <c r="SNB171" s="72"/>
      <c r="SNC171" s="72"/>
      <c r="SND171" s="72"/>
      <c r="SNE171" s="72"/>
      <c r="SNF171" s="72"/>
      <c r="SNG171" s="72"/>
      <c r="SNH171" s="72"/>
      <c r="SNI171" s="72"/>
      <c r="SNJ171" s="72"/>
      <c r="SNK171" s="72"/>
      <c r="SNL171" s="72"/>
      <c r="SNM171" s="72"/>
      <c r="SNN171" s="72"/>
      <c r="SNO171" s="72"/>
      <c r="SNP171" s="72"/>
      <c r="SNQ171" s="72"/>
      <c r="SNR171" s="72"/>
      <c r="SNS171" s="72"/>
      <c r="SNT171" s="72"/>
      <c r="SNU171" s="72"/>
      <c r="SNV171" s="72"/>
      <c r="SNW171" s="72"/>
      <c r="SNX171" s="72"/>
      <c r="SNY171" s="72"/>
      <c r="SNZ171" s="72"/>
      <c r="SOA171" s="72"/>
      <c r="SOB171" s="72"/>
      <c r="SOC171" s="72"/>
      <c r="SOD171" s="72"/>
      <c r="SOE171" s="72"/>
      <c r="SOF171" s="72"/>
      <c r="SOG171" s="72"/>
      <c r="SOH171" s="72"/>
      <c r="SOI171" s="72"/>
      <c r="SOJ171" s="72"/>
      <c r="SOK171" s="72"/>
      <c r="SOL171" s="72"/>
      <c r="SOM171" s="72"/>
      <c r="SON171" s="72"/>
      <c r="SOO171" s="72"/>
      <c r="SOP171" s="72"/>
      <c r="SOQ171" s="72"/>
      <c r="SOR171" s="72"/>
      <c r="SOS171" s="72"/>
      <c r="SOT171" s="72"/>
      <c r="SOU171" s="72"/>
      <c r="SOV171" s="72"/>
      <c r="SOW171" s="72"/>
      <c r="SOX171" s="72"/>
      <c r="SOY171" s="72"/>
      <c r="SOZ171" s="72"/>
      <c r="SPA171" s="72"/>
      <c r="SPB171" s="72"/>
      <c r="SPC171" s="72"/>
      <c r="SPD171" s="72"/>
      <c r="SPE171" s="72"/>
      <c r="SPF171" s="72"/>
      <c r="SPG171" s="72"/>
      <c r="SPH171" s="72"/>
      <c r="SPI171" s="72"/>
      <c r="SPJ171" s="72"/>
      <c r="SPK171" s="72"/>
      <c r="SPL171" s="72"/>
      <c r="SPM171" s="72"/>
      <c r="SPN171" s="72"/>
      <c r="SPO171" s="72"/>
      <c r="SPP171" s="72"/>
      <c r="SPQ171" s="72"/>
      <c r="SPR171" s="72"/>
      <c r="SPS171" s="72"/>
      <c r="SPT171" s="72"/>
      <c r="SPU171" s="72"/>
      <c r="SPV171" s="72"/>
      <c r="SPW171" s="72"/>
      <c r="SPX171" s="72"/>
      <c r="SPY171" s="72"/>
      <c r="SPZ171" s="72"/>
      <c r="SQA171" s="72"/>
      <c r="SQB171" s="72"/>
      <c r="SQC171" s="72"/>
      <c r="SQD171" s="72"/>
      <c r="SQE171" s="72"/>
      <c r="SQF171" s="72"/>
      <c r="SQG171" s="72"/>
      <c r="SQH171" s="72"/>
      <c r="SQI171" s="72"/>
      <c r="SQJ171" s="72"/>
      <c r="SQK171" s="72"/>
      <c r="SQL171" s="72"/>
      <c r="SQM171" s="72"/>
      <c r="SQN171" s="72"/>
      <c r="SQO171" s="72"/>
      <c r="SQP171" s="72"/>
      <c r="SQQ171" s="72"/>
      <c r="SQR171" s="72"/>
      <c r="SQS171" s="72"/>
      <c r="SQT171" s="72"/>
      <c r="SQU171" s="72"/>
      <c r="SQV171" s="72"/>
      <c r="SQW171" s="72"/>
      <c r="SQX171" s="72"/>
      <c r="SQY171" s="72"/>
      <c r="SQZ171" s="72"/>
      <c r="SRA171" s="72"/>
      <c r="SRB171" s="72"/>
      <c r="SRC171" s="72"/>
      <c r="SRD171" s="72"/>
      <c r="SRE171" s="72"/>
      <c r="SRF171" s="72"/>
      <c r="SRG171" s="72"/>
      <c r="SRH171" s="72"/>
      <c r="SRI171" s="72"/>
      <c r="SRJ171" s="72"/>
      <c r="SRK171" s="72"/>
      <c r="SRL171" s="72"/>
      <c r="SRM171" s="72"/>
      <c r="SRN171" s="72"/>
      <c r="SRO171" s="72"/>
      <c r="SRP171" s="72"/>
      <c r="SRQ171" s="72"/>
      <c r="SRR171" s="72"/>
      <c r="SRS171" s="72"/>
      <c r="SRT171" s="72"/>
      <c r="SRU171" s="72"/>
      <c r="SRV171" s="72"/>
      <c r="SRW171" s="72"/>
      <c r="SRX171" s="72"/>
      <c r="SRY171" s="72"/>
      <c r="SRZ171" s="72"/>
      <c r="SSA171" s="72"/>
      <c r="SSB171" s="72"/>
      <c r="SSC171" s="72"/>
      <c r="SSD171" s="72"/>
      <c r="SSE171" s="72"/>
      <c r="SSF171" s="72"/>
      <c r="SSG171" s="72"/>
      <c r="SSH171" s="72"/>
      <c r="SSI171" s="72"/>
      <c r="SSJ171" s="72"/>
      <c r="SSK171" s="72"/>
      <c r="SSL171" s="72"/>
      <c r="SSM171" s="72"/>
      <c r="SSN171" s="72"/>
      <c r="SSO171" s="72"/>
      <c r="SSP171" s="72"/>
      <c r="SSQ171" s="72"/>
      <c r="SSR171" s="72"/>
      <c r="SSS171" s="72"/>
      <c r="SST171" s="72"/>
      <c r="SSU171" s="72"/>
      <c r="SSV171" s="72"/>
      <c r="SSW171" s="72"/>
      <c r="SSX171" s="72"/>
      <c r="SSY171" s="72"/>
      <c r="SSZ171" s="72"/>
      <c r="STA171" s="72"/>
      <c r="STB171" s="72"/>
      <c r="STC171" s="72"/>
      <c r="STD171" s="72"/>
      <c r="STE171" s="72"/>
      <c r="STF171" s="72"/>
      <c r="STG171" s="72"/>
      <c r="STH171" s="72"/>
      <c r="STI171" s="72"/>
      <c r="STJ171" s="72"/>
      <c r="STK171" s="72"/>
      <c r="STL171" s="72"/>
      <c r="STM171" s="72"/>
      <c r="STN171" s="72"/>
      <c r="STO171" s="72"/>
      <c r="STP171" s="72"/>
      <c r="STQ171" s="72"/>
      <c r="STR171" s="72"/>
      <c r="STS171" s="72"/>
      <c r="STT171" s="72"/>
      <c r="STU171" s="72"/>
      <c r="STV171" s="72"/>
      <c r="STW171" s="72"/>
      <c r="STX171" s="72"/>
      <c r="STY171" s="72"/>
      <c r="STZ171" s="72"/>
      <c r="SUA171" s="72"/>
      <c r="SUB171" s="72"/>
      <c r="SUC171" s="72"/>
      <c r="SUD171" s="72"/>
      <c r="SUE171" s="72"/>
      <c r="SUF171" s="72"/>
      <c r="SUG171" s="72"/>
      <c r="SUH171" s="72"/>
      <c r="SUI171" s="72"/>
      <c r="SUJ171" s="72"/>
      <c r="SUK171" s="72"/>
      <c r="SUL171" s="72"/>
      <c r="SUM171" s="72"/>
      <c r="SUN171" s="72"/>
      <c r="SUO171" s="72"/>
      <c r="SUP171" s="72"/>
      <c r="SUQ171" s="72"/>
      <c r="SUR171" s="72"/>
      <c r="SUS171" s="72"/>
      <c r="SUT171" s="72"/>
      <c r="SUU171" s="72"/>
      <c r="SUV171" s="72"/>
      <c r="SUW171" s="72"/>
      <c r="SUX171" s="72"/>
      <c r="SUY171" s="72"/>
      <c r="SUZ171" s="72"/>
      <c r="SVA171" s="72"/>
      <c r="SVB171" s="72"/>
      <c r="SVC171" s="72"/>
      <c r="SVD171" s="72"/>
      <c r="SVE171" s="72"/>
      <c r="SVF171" s="72"/>
      <c r="SVG171" s="72"/>
      <c r="SVH171" s="72"/>
      <c r="SVI171" s="72"/>
      <c r="SVJ171" s="72"/>
      <c r="SVK171" s="72"/>
      <c r="SVL171" s="72"/>
      <c r="SVM171" s="72"/>
      <c r="SVN171" s="72"/>
      <c r="SVO171" s="72"/>
      <c r="SVP171" s="72"/>
      <c r="SVQ171" s="72"/>
      <c r="SVR171" s="72"/>
      <c r="SVS171" s="72"/>
      <c r="SVT171" s="72"/>
      <c r="SVU171" s="72"/>
      <c r="SVV171" s="72"/>
      <c r="SVW171" s="72"/>
      <c r="SVX171" s="72"/>
      <c r="SVY171" s="72"/>
      <c r="SVZ171" s="72"/>
      <c r="SWA171" s="72"/>
      <c r="SWB171" s="72"/>
      <c r="SWC171" s="72"/>
      <c r="SWD171" s="72"/>
      <c r="SWE171" s="72"/>
      <c r="SWF171" s="72"/>
      <c r="SWG171" s="72"/>
      <c r="SWH171" s="72"/>
      <c r="SWI171" s="72"/>
      <c r="SWJ171" s="72"/>
      <c r="SWK171" s="72"/>
      <c r="SWL171" s="72"/>
      <c r="SWM171" s="72"/>
      <c r="SWN171" s="72"/>
      <c r="SWO171" s="72"/>
      <c r="SWP171" s="72"/>
      <c r="SWQ171" s="72"/>
      <c r="SWR171" s="72"/>
      <c r="SWS171" s="72"/>
      <c r="SWT171" s="72"/>
      <c r="SWU171" s="72"/>
      <c r="SWV171" s="72"/>
      <c r="SWW171" s="72"/>
      <c r="SWX171" s="72"/>
      <c r="SWY171" s="72"/>
      <c r="SWZ171" s="72"/>
      <c r="SXA171" s="72"/>
      <c r="SXB171" s="72"/>
      <c r="SXC171" s="72"/>
      <c r="SXD171" s="72"/>
      <c r="SXE171" s="72"/>
      <c r="SXF171" s="72"/>
      <c r="SXG171" s="72"/>
      <c r="SXH171" s="72"/>
      <c r="SXI171" s="72"/>
      <c r="SXJ171" s="72"/>
      <c r="SXK171" s="72"/>
      <c r="SXL171" s="72"/>
      <c r="SXM171" s="72"/>
      <c r="SXN171" s="72"/>
      <c r="SXO171" s="72"/>
      <c r="SXP171" s="72"/>
      <c r="SXQ171" s="72"/>
      <c r="SXR171" s="72"/>
      <c r="SXS171" s="72"/>
      <c r="SXT171" s="72"/>
      <c r="SXU171" s="72"/>
      <c r="SXV171" s="72"/>
      <c r="SXW171" s="72"/>
      <c r="SXX171" s="72"/>
      <c r="SXY171" s="72"/>
      <c r="SXZ171" s="72"/>
      <c r="SYA171" s="72"/>
      <c r="SYB171" s="72"/>
      <c r="SYC171" s="72"/>
      <c r="SYD171" s="72"/>
      <c r="SYE171" s="72"/>
      <c r="SYF171" s="72"/>
      <c r="SYG171" s="72"/>
      <c r="SYH171" s="72"/>
      <c r="SYI171" s="72"/>
      <c r="SYJ171" s="72"/>
      <c r="SYK171" s="72"/>
      <c r="SYL171" s="72"/>
      <c r="SYM171" s="72"/>
      <c r="SYN171" s="72"/>
      <c r="SYO171" s="72"/>
      <c r="SYP171" s="72"/>
      <c r="SYQ171" s="72"/>
      <c r="SYR171" s="72"/>
      <c r="SYS171" s="72"/>
      <c r="SYT171" s="72"/>
      <c r="SYU171" s="72"/>
      <c r="SYV171" s="72"/>
      <c r="SYW171" s="72"/>
      <c r="SYX171" s="72"/>
      <c r="SYY171" s="72"/>
      <c r="SYZ171" s="72"/>
      <c r="SZA171" s="72"/>
      <c r="SZB171" s="72"/>
      <c r="SZC171" s="72"/>
      <c r="SZD171" s="72"/>
      <c r="SZE171" s="72"/>
      <c r="SZF171" s="72"/>
      <c r="SZG171" s="72"/>
      <c r="SZH171" s="72"/>
      <c r="SZI171" s="72"/>
      <c r="SZJ171" s="72"/>
      <c r="SZK171" s="72"/>
      <c r="SZL171" s="72"/>
      <c r="SZM171" s="72"/>
      <c r="SZN171" s="72"/>
      <c r="SZO171" s="72"/>
      <c r="SZP171" s="72"/>
      <c r="SZQ171" s="72"/>
      <c r="SZR171" s="72"/>
      <c r="SZS171" s="72"/>
      <c r="SZT171" s="72"/>
      <c r="SZU171" s="72"/>
      <c r="SZV171" s="72"/>
      <c r="SZW171" s="72"/>
      <c r="SZX171" s="72"/>
      <c r="SZY171" s="72"/>
      <c r="SZZ171" s="72"/>
      <c r="TAA171" s="72"/>
      <c r="TAB171" s="72"/>
      <c r="TAC171" s="72"/>
      <c r="TAD171" s="72"/>
      <c r="TAE171" s="72"/>
      <c r="TAF171" s="72"/>
      <c r="TAG171" s="72"/>
      <c r="TAH171" s="72"/>
      <c r="TAI171" s="72"/>
      <c r="TAJ171" s="72"/>
      <c r="TAK171" s="72"/>
      <c r="TAL171" s="72"/>
      <c r="TAM171" s="72"/>
      <c r="TAN171" s="72"/>
      <c r="TAO171" s="72"/>
      <c r="TAP171" s="72"/>
      <c r="TAQ171" s="72"/>
      <c r="TAR171" s="72"/>
      <c r="TAS171" s="72"/>
      <c r="TAT171" s="72"/>
      <c r="TAU171" s="72"/>
      <c r="TAV171" s="72"/>
      <c r="TAW171" s="72"/>
      <c r="TAX171" s="72"/>
      <c r="TAY171" s="72"/>
      <c r="TAZ171" s="72"/>
      <c r="TBA171" s="72"/>
      <c r="TBB171" s="72"/>
      <c r="TBC171" s="72"/>
      <c r="TBD171" s="72"/>
      <c r="TBE171" s="72"/>
      <c r="TBF171" s="72"/>
      <c r="TBG171" s="72"/>
      <c r="TBH171" s="72"/>
      <c r="TBI171" s="72"/>
      <c r="TBJ171" s="72"/>
      <c r="TBK171" s="72"/>
      <c r="TBL171" s="72"/>
      <c r="TBM171" s="72"/>
      <c r="TBN171" s="72"/>
      <c r="TBO171" s="72"/>
      <c r="TBP171" s="72"/>
      <c r="TBQ171" s="72"/>
      <c r="TBR171" s="72"/>
      <c r="TBS171" s="72"/>
      <c r="TBT171" s="72"/>
      <c r="TBU171" s="72"/>
      <c r="TBV171" s="72"/>
      <c r="TBW171" s="72"/>
      <c r="TBX171" s="72"/>
      <c r="TBY171" s="72"/>
      <c r="TBZ171" s="72"/>
      <c r="TCA171" s="72"/>
      <c r="TCB171" s="72"/>
      <c r="TCC171" s="72"/>
      <c r="TCD171" s="72"/>
      <c r="TCE171" s="72"/>
      <c r="TCF171" s="72"/>
      <c r="TCG171" s="72"/>
      <c r="TCH171" s="72"/>
      <c r="TCI171" s="72"/>
      <c r="TCJ171" s="72"/>
      <c r="TCK171" s="72"/>
      <c r="TCL171" s="72"/>
      <c r="TCM171" s="72"/>
      <c r="TCN171" s="72"/>
      <c r="TCO171" s="72"/>
      <c r="TCP171" s="72"/>
      <c r="TCQ171" s="72"/>
      <c r="TCR171" s="72"/>
      <c r="TCS171" s="72"/>
      <c r="TCT171" s="72"/>
      <c r="TCU171" s="72"/>
      <c r="TCV171" s="72"/>
      <c r="TCW171" s="72"/>
      <c r="TCX171" s="72"/>
      <c r="TCY171" s="72"/>
      <c r="TCZ171" s="72"/>
      <c r="TDA171" s="72"/>
      <c r="TDB171" s="72"/>
      <c r="TDC171" s="72"/>
      <c r="TDD171" s="72"/>
      <c r="TDE171" s="72"/>
      <c r="TDF171" s="72"/>
      <c r="TDG171" s="72"/>
      <c r="TDH171" s="72"/>
      <c r="TDI171" s="72"/>
      <c r="TDJ171" s="72"/>
      <c r="TDK171" s="72"/>
      <c r="TDL171" s="72"/>
      <c r="TDM171" s="72"/>
      <c r="TDN171" s="72"/>
      <c r="TDO171" s="72"/>
      <c r="TDP171" s="72"/>
      <c r="TDQ171" s="72"/>
      <c r="TDR171" s="72"/>
      <c r="TDS171" s="72"/>
      <c r="TDT171" s="72"/>
      <c r="TDU171" s="72"/>
      <c r="TDV171" s="72"/>
      <c r="TDW171" s="72"/>
      <c r="TDX171" s="72"/>
      <c r="TDY171" s="72"/>
      <c r="TDZ171" s="72"/>
      <c r="TEA171" s="72"/>
      <c r="TEB171" s="72"/>
      <c r="TEC171" s="72"/>
      <c r="TED171" s="72"/>
      <c r="TEE171" s="72"/>
      <c r="TEF171" s="72"/>
      <c r="TEG171" s="72"/>
      <c r="TEH171" s="72"/>
      <c r="TEI171" s="72"/>
      <c r="TEJ171" s="72"/>
      <c r="TEK171" s="72"/>
      <c r="TEL171" s="72"/>
      <c r="TEM171" s="72"/>
      <c r="TEN171" s="72"/>
      <c r="TEO171" s="72"/>
      <c r="TEP171" s="72"/>
      <c r="TEQ171" s="72"/>
      <c r="TER171" s="72"/>
      <c r="TES171" s="72"/>
      <c r="TET171" s="72"/>
      <c r="TEU171" s="72"/>
      <c r="TEV171" s="72"/>
      <c r="TEW171" s="72"/>
      <c r="TEX171" s="72"/>
      <c r="TEY171" s="72"/>
      <c r="TEZ171" s="72"/>
      <c r="TFA171" s="72"/>
      <c r="TFB171" s="72"/>
      <c r="TFC171" s="72"/>
      <c r="TFD171" s="72"/>
      <c r="TFE171" s="72"/>
      <c r="TFF171" s="72"/>
      <c r="TFG171" s="72"/>
      <c r="TFH171" s="72"/>
      <c r="TFI171" s="72"/>
      <c r="TFJ171" s="72"/>
      <c r="TFK171" s="72"/>
      <c r="TFL171" s="72"/>
      <c r="TFM171" s="72"/>
      <c r="TFN171" s="72"/>
      <c r="TFO171" s="72"/>
      <c r="TFP171" s="72"/>
      <c r="TFQ171" s="72"/>
      <c r="TFR171" s="72"/>
      <c r="TFS171" s="72"/>
      <c r="TFT171" s="72"/>
      <c r="TFU171" s="72"/>
      <c r="TFV171" s="72"/>
      <c r="TFW171" s="72"/>
      <c r="TFX171" s="72"/>
      <c r="TFY171" s="72"/>
      <c r="TFZ171" s="72"/>
      <c r="TGA171" s="72"/>
      <c r="TGB171" s="72"/>
      <c r="TGC171" s="72"/>
      <c r="TGD171" s="72"/>
      <c r="TGE171" s="72"/>
      <c r="TGF171" s="72"/>
      <c r="TGG171" s="72"/>
      <c r="TGH171" s="72"/>
      <c r="TGI171" s="72"/>
      <c r="TGJ171" s="72"/>
      <c r="TGK171" s="72"/>
      <c r="TGL171" s="72"/>
      <c r="TGM171" s="72"/>
      <c r="TGN171" s="72"/>
      <c r="TGO171" s="72"/>
      <c r="TGP171" s="72"/>
      <c r="TGQ171" s="72"/>
      <c r="TGR171" s="72"/>
      <c r="TGS171" s="72"/>
      <c r="TGT171" s="72"/>
      <c r="TGU171" s="72"/>
      <c r="TGV171" s="72"/>
      <c r="TGW171" s="72"/>
      <c r="TGX171" s="72"/>
      <c r="TGY171" s="72"/>
      <c r="TGZ171" s="72"/>
      <c r="THA171" s="72"/>
      <c r="THB171" s="72"/>
      <c r="THC171" s="72"/>
      <c r="THD171" s="72"/>
      <c r="THE171" s="72"/>
      <c r="THF171" s="72"/>
      <c r="THG171" s="72"/>
      <c r="THH171" s="72"/>
      <c r="THI171" s="72"/>
      <c r="THJ171" s="72"/>
      <c r="THK171" s="72"/>
      <c r="THL171" s="72"/>
      <c r="THM171" s="72"/>
      <c r="THN171" s="72"/>
      <c r="THO171" s="72"/>
      <c r="THP171" s="72"/>
      <c r="THQ171" s="72"/>
      <c r="THR171" s="72"/>
      <c r="THS171" s="72"/>
      <c r="THT171" s="72"/>
      <c r="THU171" s="72"/>
      <c r="THV171" s="72"/>
      <c r="THW171" s="72"/>
      <c r="THX171" s="72"/>
      <c r="THY171" s="72"/>
      <c r="THZ171" s="72"/>
      <c r="TIA171" s="72"/>
      <c r="TIB171" s="72"/>
      <c r="TIC171" s="72"/>
      <c r="TID171" s="72"/>
      <c r="TIE171" s="72"/>
      <c r="TIF171" s="72"/>
      <c r="TIG171" s="72"/>
      <c r="TIH171" s="72"/>
      <c r="TII171" s="72"/>
      <c r="TIJ171" s="72"/>
      <c r="TIK171" s="72"/>
      <c r="TIL171" s="72"/>
      <c r="TIM171" s="72"/>
      <c r="TIN171" s="72"/>
      <c r="TIO171" s="72"/>
      <c r="TIP171" s="72"/>
      <c r="TIQ171" s="72"/>
      <c r="TIR171" s="72"/>
      <c r="TIS171" s="72"/>
      <c r="TIT171" s="72"/>
      <c r="TIU171" s="72"/>
      <c r="TIV171" s="72"/>
      <c r="TIW171" s="72"/>
      <c r="TIX171" s="72"/>
      <c r="TIY171" s="72"/>
      <c r="TIZ171" s="72"/>
      <c r="TJA171" s="72"/>
      <c r="TJB171" s="72"/>
      <c r="TJC171" s="72"/>
      <c r="TJD171" s="72"/>
      <c r="TJE171" s="72"/>
      <c r="TJF171" s="72"/>
      <c r="TJG171" s="72"/>
      <c r="TJH171" s="72"/>
      <c r="TJI171" s="72"/>
      <c r="TJJ171" s="72"/>
      <c r="TJK171" s="72"/>
      <c r="TJL171" s="72"/>
      <c r="TJM171" s="72"/>
      <c r="TJN171" s="72"/>
      <c r="TJO171" s="72"/>
      <c r="TJP171" s="72"/>
      <c r="TJQ171" s="72"/>
      <c r="TJR171" s="72"/>
      <c r="TJS171" s="72"/>
      <c r="TJT171" s="72"/>
      <c r="TJU171" s="72"/>
      <c r="TJV171" s="72"/>
      <c r="TJW171" s="72"/>
      <c r="TJX171" s="72"/>
      <c r="TJY171" s="72"/>
      <c r="TJZ171" s="72"/>
      <c r="TKA171" s="72"/>
      <c r="TKB171" s="72"/>
      <c r="TKC171" s="72"/>
      <c r="TKD171" s="72"/>
      <c r="TKE171" s="72"/>
      <c r="TKF171" s="72"/>
      <c r="TKG171" s="72"/>
      <c r="TKH171" s="72"/>
      <c r="TKI171" s="72"/>
      <c r="TKJ171" s="72"/>
      <c r="TKK171" s="72"/>
      <c r="TKL171" s="72"/>
      <c r="TKM171" s="72"/>
      <c r="TKN171" s="72"/>
      <c r="TKO171" s="72"/>
      <c r="TKP171" s="72"/>
      <c r="TKQ171" s="72"/>
      <c r="TKR171" s="72"/>
      <c r="TKS171" s="72"/>
      <c r="TKT171" s="72"/>
      <c r="TKU171" s="72"/>
      <c r="TKV171" s="72"/>
      <c r="TKW171" s="72"/>
      <c r="TKX171" s="72"/>
      <c r="TKY171" s="72"/>
      <c r="TKZ171" s="72"/>
      <c r="TLA171" s="72"/>
      <c r="TLB171" s="72"/>
      <c r="TLC171" s="72"/>
      <c r="TLD171" s="72"/>
      <c r="TLE171" s="72"/>
      <c r="TLF171" s="72"/>
      <c r="TLG171" s="72"/>
      <c r="TLH171" s="72"/>
      <c r="TLI171" s="72"/>
      <c r="TLJ171" s="72"/>
      <c r="TLK171" s="72"/>
      <c r="TLL171" s="72"/>
      <c r="TLM171" s="72"/>
      <c r="TLN171" s="72"/>
      <c r="TLO171" s="72"/>
      <c r="TLP171" s="72"/>
      <c r="TLQ171" s="72"/>
      <c r="TLR171" s="72"/>
      <c r="TLS171" s="72"/>
      <c r="TLT171" s="72"/>
      <c r="TLU171" s="72"/>
      <c r="TLV171" s="72"/>
      <c r="TLW171" s="72"/>
      <c r="TLX171" s="72"/>
      <c r="TLY171" s="72"/>
      <c r="TLZ171" s="72"/>
      <c r="TMA171" s="72"/>
      <c r="TMB171" s="72"/>
      <c r="TMC171" s="72"/>
      <c r="TMD171" s="72"/>
      <c r="TME171" s="72"/>
      <c r="TMF171" s="72"/>
      <c r="TMG171" s="72"/>
      <c r="TMH171" s="72"/>
      <c r="TMI171" s="72"/>
      <c r="TMJ171" s="72"/>
      <c r="TMK171" s="72"/>
      <c r="TML171" s="72"/>
      <c r="TMM171" s="72"/>
      <c r="TMN171" s="72"/>
      <c r="TMO171" s="72"/>
      <c r="TMP171" s="72"/>
      <c r="TMQ171" s="72"/>
      <c r="TMR171" s="72"/>
      <c r="TMS171" s="72"/>
      <c r="TMT171" s="72"/>
      <c r="TMU171" s="72"/>
      <c r="TMV171" s="72"/>
      <c r="TMW171" s="72"/>
      <c r="TMX171" s="72"/>
      <c r="TMY171" s="72"/>
      <c r="TMZ171" s="72"/>
      <c r="TNA171" s="72"/>
      <c r="TNB171" s="72"/>
      <c r="TNC171" s="72"/>
      <c r="TND171" s="72"/>
      <c r="TNE171" s="72"/>
      <c r="TNF171" s="72"/>
      <c r="TNG171" s="72"/>
      <c r="TNH171" s="72"/>
      <c r="TNI171" s="72"/>
      <c r="TNJ171" s="72"/>
      <c r="TNK171" s="72"/>
      <c r="TNL171" s="72"/>
      <c r="TNM171" s="72"/>
      <c r="TNN171" s="72"/>
      <c r="TNO171" s="72"/>
      <c r="TNP171" s="72"/>
      <c r="TNQ171" s="72"/>
      <c r="TNR171" s="72"/>
      <c r="TNS171" s="72"/>
      <c r="TNT171" s="72"/>
      <c r="TNU171" s="72"/>
      <c r="TNV171" s="72"/>
      <c r="TNW171" s="72"/>
      <c r="TNX171" s="72"/>
      <c r="TNY171" s="72"/>
      <c r="TNZ171" s="72"/>
      <c r="TOA171" s="72"/>
      <c r="TOB171" s="72"/>
      <c r="TOC171" s="72"/>
      <c r="TOD171" s="72"/>
      <c r="TOE171" s="72"/>
      <c r="TOF171" s="72"/>
      <c r="TOG171" s="72"/>
      <c r="TOH171" s="72"/>
      <c r="TOI171" s="72"/>
      <c r="TOJ171" s="72"/>
      <c r="TOK171" s="72"/>
      <c r="TOL171" s="72"/>
      <c r="TOM171" s="72"/>
      <c r="TON171" s="72"/>
      <c r="TOO171" s="72"/>
      <c r="TOP171" s="72"/>
      <c r="TOQ171" s="72"/>
      <c r="TOR171" s="72"/>
      <c r="TOS171" s="72"/>
      <c r="TOT171" s="72"/>
      <c r="TOU171" s="72"/>
      <c r="TOV171" s="72"/>
      <c r="TOW171" s="72"/>
      <c r="TOX171" s="72"/>
      <c r="TOY171" s="72"/>
      <c r="TOZ171" s="72"/>
      <c r="TPA171" s="72"/>
      <c r="TPB171" s="72"/>
      <c r="TPC171" s="72"/>
      <c r="TPD171" s="72"/>
      <c r="TPE171" s="72"/>
      <c r="TPF171" s="72"/>
      <c r="TPG171" s="72"/>
      <c r="TPH171" s="72"/>
      <c r="TPI171" s="72"/>
      <c r="TPJ171" s="72"/>
      <c r="TPK171" s="72"/>
      <c r="TPL171" s="72"/>
      <c r="TPM171" s="72"/>
      <c r="TPN171" s="72"/>
      <c r="TPO171" s="72"/>
      <c r="TPP171" s="72"/>
      <c r="TPQ171" s="72"/>
      <c r="TPR171" s="72"/>
      <c r="TPS171" s="72"/>
      <c r="TPT171" s="72"/>
      <c r="TPU171" s="72"/>
      <c r="TPV171" s="72"/>
      <c r="TPW171" s="72"/>
      <c r="TPX171" s="72"/>
      <c r="TPY171" s="72"/>
      <c r="TPZ171" s="72"/>
      <c r="TQA171" s="72"/>
      <c r="TQB171" s="72"/>
      <c r="TQC171" s="72"/>
      <c r="TQD171" s="72"/>
      <c r="TQE171" s="72"/>
      <c r="TQF171" s="72"/>
      <c r="TQG171" s="72"/>
      <c r="TQH171" s="72"/>
      <c r="TQI171" s="72"/>
      <c r="TQJ171" s="72"/>
      <c r="TQK171" s="72"/>
      <c r="TQL171" s="72"/>
      <c r="TQM171" s="72"/>
      <c r="TQN171" s="72"/>
      <c r="TQO171" s="72"/>
      <c r="TQP171" s="72"/>
      <c r="TQQ171" s="72"/>
      <c r="TQR171" s="72"/>
      <c r="TQS171" s="72"/>
      <c r="TQT171" s="72"/>
      <c r="TQU171" s="72"/>
      <c r="TQV171" s="72"/>
      <c r="TQW171" s="72"/>
      <c r="TQX171" s="72"/>
      <c r="TQY171" s="72"/>
      <c r="TQZ171" s="72"/>
      <c r="TRA171" s="72"/>
      <c r="TRB171" s="72"/>
      <c r="TRC171" s="72"/>
      <c r="TRD171" s="72"/>
      <c r="TRE171" s="72"/>
      <c r="TRF171" s="72"/>
      <c r="TRG171" s="72"/>
      <c r="TRH171" s="72"/>
      <c r="TRI171" s="72"/>
      <c r="TRJ171" s="72"/>
      <c r="TRK171" s="72"/>
      <c r="TRL171" s="72"/>
      <c r="TRM171" s="72"/>
      <c r="TRN171" s="72"/>
      <c r="TRO171" s="72"/>
      <c r="TRP171" s="72"/>
      <c r="TRQ171" s="72"/>
      <c r="TRR171" s="72"/>
      <c r="TRS171" s="72"/>
      <c r="TRT171" s="72"/>
      <c r="TRU171" s="72"/>
      <c r="TRV171" s="72"/>
      <c r="TRW171" s="72"/>
      <c r="TRX171" s="72"/>
      <c r="TRY171" s="72"/>
      <c r="TRZ171" s="72"/>
      <c r="TSA171" s="72"/>
      <c r="TSB171" s="72"/>
      <c r="TSC171" s="72"/>
      <c r="TSD171" s="72"/>
      <c r="TSE171" s="72"/>
      <c r="TSF171" s="72"/>
      <c r="TSG171" s="72"/>
      <c r="TSH171" s="72"/>
      <c r="TSI171" s="72"/>
      <c r="TSJ171" s="72"/>
      <c r="TSK171" s="72"/>
      <c r="TSL171" s="72"/>
      <c r="TSM171" s="72"/>
      <c r="TSN171" s="72"/>
      <c r="TSO171" s="72"/>
      <c r="TSP171" s="72"/>
      <c r="TSQ171" s="72"/>
      <c r="TSR171" s="72"/>
      <c r="TSS171" s="72"/>
      <c r="TST171" s="72"/>
      <c r="TSU171" s="72"/>
      <c r="TSV171" s="72"/>
      <c r="TSW171" s="72"/>
      <c r="TSX171" s="72"/>
      <c r="TSY171" s="72"/>
      <c r="TSZ171" s="72"/>
      <c r="TTA171" s="72"/>
      <c r="TTB171" s="72"/>
      <c r="TTC171" s="72"/>
      <c r="TTD171" s="72"/>
      <c r="TTE171" s="72"/>
      <c r="TTF171" s="72"/>
      <c r="TTG171" s="72"/>
      <c r="TTH171" s="72"/>
      <c r="TTI171" s="72"/>
      <c r="TTJ171" s="72"/>
      <c r="TTK171" s="72"/>
      <c r="TTL171" s="72"/>
      <c r="TTM171" s="72"/>
      <c r="TTN171" s="72"/>
      <c r="TTO171" s="72"/>
      <c r="TTP171" s="72"/>
      <c r="TTQ171" s="72"/>
      <c r="TTR171" s="72"/>
      <c r="TTS171" s="72"/>
      <c r="TTT171" s="72"/>
      <c r="TTU171" s="72"/>
      <c r="TTV171" s="72"/>
      <c r="TTW171" s="72"/>
      <c r="TTX171" s="72"/>
      <c r="TTY171" s="72"/>
      <c r="TTZ171" s="72"/>
      <c r="TUA171" s="72"/>
      <c r="TUB171" s="72"/>
      <c r="TUC171" s="72"/>
      <c r="TUD171" s="72"/>
      <c r="TUE171" s="72"/>
      <c r="TUF171" s="72"/>
      <c r="TUG171" s="72"/>
      <c r="TUH171" s="72"/>
      <c r="TUI171" s="72"/>
      <c r="TUJ171" s="72"/>
      <c r="TUK171" s="72"/>
      <c r="TUL171" s="72"/>
      <c r="TUM171" s="72"/>
      <c r="TUN171" s="72"/>
      <c r="TUO171" s="72"/>
      <c r="TUP171" s="72"/>
      <c r="TUQ171" s="72"/>
      <c r="TUR171" s="72"/>
      <c r="TUS171" s="72"/>
      <c r="TUT171" s="72"/>
      <c r="TUU171" s="72"/>
      <c r="TUV171" s="72"/>
      <c r="TUW171" s="72"/>
      <c r="TUX171" s="72"/>
      <c r="TUY171" s="72"/>
      <c r="TUZ171" s="72"/>
      <c r="TVA171" s="72"/>
      <c r="TVB171" s="72"/>
      <c r="TVC171" s="72"/>
      <c r="TVD171" s="72"/>
      <c r="TVE171" s="72"/>
      <c r="TVF171" s="72"/>
      <c r="TVG171" s="72"/>
      <c r="TVH171" s="72"/>
      <c r="TVI171" s="72"/>
      <c r="TVJ171" s="72"/>
      <c r="TVK171" s="72"/>
      <c r="TVL171" s="72"/>
      <c r="TVM171" s="72"/>
      <c r="TVN171" s="72"/>
      <c r="TVO171" s="72"/>
      <c r="TVP171" s="72"/>
      <c r="TVQ171" s="72"/>
      <c r="TVR171" s="72"/>
      <c r="TVS171" s="72"/>
      <c r="TVT171" s="72"/>
      <c r="TVU171" s="72"/>
      <c r="TVV171" s="72"/>
      <c r="TVW171" s="72"/>
      <c r="TVX171" s="72"/>
      <c r="TVY171" s="72"/>
      <c r="TVZ171" s="72"/>
      <c r="TWA171" s="72"/>
      <c r="TWB171" s="72"/>
      <c r="TWC171" s="72"/>
      <c r="TWD171" s="72"/>
      <c r="TWE171" s="72"/>
      <c r="TWF171" s="72"/>
      <c r="TWG171" s="72"/>
      <c r="TWH171" s="72"/>
      <c r="TWI171" s="72"/>
      <c r="TWJ171" s="72"/>
      <c r="TWK171" s="72"/>
      <c r="TWL171" s="72"/>
      <c r="TWM171" s="72"/>
      <c r="TWN171" s="72"/>
      <c r="TWO171" s="72"/>
      <c r="TWP171" s="72"/>
      <c r="TWQ171" s="72"/>
      <c r="TWR171" s="72"/>
      <c r="TWS171" s="72"/>
      <c r="TWT171" s="72"/>
      <c r="TWU171" s="72"/>
      <c r="TWV171" s="72"/>
      <c r="TWW171" s="72"/>
      <c r="TWX171" s="72"/>
      <c r="TWY171" s="72"/>
      <c r="TWZ171" s="72"/>
      <c r="TXA171" s="72"/>
      <c r="TXB171" s="72"/>
      <c r="TXC171" s="72"/>
      <c r="TXD171" s="72"/>
      <c r="TXE171" s="72"/>
      <c r="TXF171" s="72"/>
      <c r="TXG171" s="72"/>
      <c r="TXH171" s="72"/>
      <c r="TXI171" s="72"/>
      <c r="TXJ171" s="72"/>
      <c r="TXK171" s="72"/>
      <c r="TXL171" s="72"/>
      <c r="TXM171" s="72"/>
      <c r="TXN171" s="72"/>
      <c r="TXO171" s="72"/>
      <c r="TXP171" s="72"/>
      <c r="TXQ171" s="72"/>
      <c r="TXR171" s="72"/>
      <c r="TXS171" s="72"/>
      <c r="TXT171" s="72"/>
      <c r="TXU171" s="72"/>
      <c r="TXV171" s="72"/>
      <c r="TXW171" s="72"/>
      <c r="TXX171" s="72"/>
      <c r="TXY171" s="72"/>
      <c r="TXZ171" s="72"/>
      <c r="TYA171" s="72"/>
      <c r="TYB171" s="72"/>
      <c r="TYC171" s="72"/>
      <c r="TYD171" s="72"/>
      <c r="TYE171" s="72"/>
      <c r="TYF171" s="72"/>
      <c r="TYG171" s="72"/>
      <c r="TYH171" s="72"/>
      <c r="TYI171" s="72"/>
      <c r="TYJ171" s="72"/>
      <c r="TYK171" s="72"/>
      <c r="TYL171" s="72"/>
      <c r="TYM171" s="72"/>
      <c r="TYN171" s="72"/>
      <c r="TYO171" s="72"/>
      <c r="TYP171" s="72"/>
      <c r="TYQ171" s="72"/>
      <c r="TYR171" s="72"/>
      <c r="TYS171" s="72"/>
      <c r="TYT171" s="72"/>
      <c r="TYU171" s="72"/>
      <c r="TYV171" s="72"/>
      <c r="TYW171" s="72"/>
      <c r="TYX171" s="72"/>
      <c r="TYY171" s="72"/>
      <c r="TYZ171" s="72"/>
      <c r="TZA171" s="72"/>
      <c r="TZB171" s="72"/>
      <c r="TZC171" s="72"/>
      <c r="TZD171" s="72"/>
      <c r="TZE171" s="72"/>
      <c r="TZF171" s="72"/>
      <c r="TZG171" s="72"/>
      <c r="TZH171" s="72"/>
      <c r="TZI171" s="72"/>
      <c r="TZJ171" s="72"/>
      <c r="TZK171" s="72"/>
      <c r="TZL171" s="72"/>
      <c r="TZM171" s="72"/>
      <c r="TZN171" s="72"/>
      <c r="TZO171" s="72"/>
      <c r="TZP171" s="72"/>
      <c r="TZQ171" s="72"/>
      <c r="TZR171" s="72"/>
      <c r="TZS171" s="72"/>
      <c r="TZT171" s="72"/>
      <c r="TZU171" s="72"/>
      <c r="TZV171" s="72"/>
      <c r="TZW171" s="72"/>
      <c r="TZX171" s="72"/>
      <c r="TZY171" s="72"/>
      <c r="TZZ171" s="72"/>
      <c r="UAA171" s="72"/>
      <c r="UAB171" s="72"/>
      <c r="UAC171" s="72"/>
      <c r="UAD171" s="72"/>
      <c r="UAE171" s="72"/>
      <c r="UAF171" s="72"/>
      <c r="UAG171" s="72"/>
      <c r="UAH171" s="72"/>
      <c r="UAI171" s="72"/>
      <c r="UAJ171" s="72"/>
      <c r="UAK171" s="72"/>
      <c r="UAL171" s="72"/>
      <c r="UAM171" s="72"/>
      <c r="UAN171" s="72"/>
      <c r="UAO171" s="72"/>
      <c r="UAP171" s="72"/>
      <c r="UAQ171" s="72"/>
      <c r="UAR171" s="72"/>
      <c r="UAS171" s="72"/>
      <c r="UAT171" s="72"/>
      <c r="UAU171" s="72"/>
      <c r="UAV171" s="72"/>
      <c r="UAW171" s="72"/>
      <c r="UAX171" s="72"/>
      <c r="UAY171" s="72"/>
      <c r="UAZ171" s="72"/>
      <c r="UBA171" s="72"/>
      <c r="UBB171" s="72"/>
      <c r="UBC171" s="72"/>
      <c r="UBD171" s="72"/>
      <c r="UBE171" s="72"/>
      <c r="UBF171" s="72"/>
      <c r="UBG171" s="72"/>
      <c r="UBH171" s="72"/>
      <c r="UBI171" s="72"/>
      <c r="UBJ171" s="72"/>
      <c r="UBK171" s="72"/>
      <c r="UBL171" s="72"/>
      <c r="UBM171" s="72"/>
      <c r="UBN171" s="72"/>
      <c r="UBO171" s="72"/>
      <c r="UBP171" s="72"/>
      <c r="UBQ171" s="72"/>
      <c r="UBR171" s="72"/>
      <c r="UBS171" s="72"/>
      <c r="UBT171" s="72"/>
      <c r="UBU171" s="72"/>
      <c r="UBV171" s="72"/>
      <c r="UBW171" s="72"/>
      <c r="UBX171" s="72"/>
      <c r="UBY171" s="72"/>
      <c r="UBZ171" s="72"/>
      <c r="UCA171" s="72"/>
      <c r="UCB171" s="72"/>
      <c r="UCC171" s="72"/>
      <c r="UCD171" s="72"/>
      <c r="UCE171" s="72"/>
      <c r="UCF171" s="72"/>
      <c r="UCG171" s="72"/>
      <c r="UCH171" s="72"/>
      <c r="UCI171" s="72"/>
      <c r="UCJ171" s="72"/>
      <c r="UCK171" s="72"/>
      <c r="UCL171" s="72"/>
      <c r="UCM171" s="72"/>
      <c r="UCN171" s="72"/>
      <c r="UCO171" s="72"/>
      <c r="UCP171" s="72"/>
      <c r="UCQ171" s="72"/>
      <c r="UCR171" s="72"/>
      <c r="UCS171" s="72"/>
      <c r="UCT171" s="72"/>
      <c r="UCU171" s="72"/>
      <c r="UCV171" s="72"/>
      <c r="UCW171" s="72"/>
      <c r="UCX171" s="72"/>
      <c r="UCY171" s="72"/>
      <c r="UCZ171" s="72"/>
      <c r="UDA171" s="72"/>
      <c r="UDB171" s="72"/>
      <c r="UDC171" s="72"/>
      <c r="UDD171" s="72"/>
      <c r="UDE171" s="72"/>
      <c r="UDF171" s="72"/>
      <c r="UDG171" s="72"/>
      <c r="UDH171" s="72"/>
      <c r="UDI171" s="72"/>
      <c r="UDJ171" s="72"/>
      <c r="UDK171" s="72"/>
      <c r="UDL171" s="72"/>
      <c r="UDM171" s="72"/>
      <c r="UDN171" s="72"/>
      <c r="UDO171" s="72"/>
      <c r="UDP171" s="72"/>
      <c r="UDQ171" s="72"/>
      <c r="UDR171" s="72"/>
      <c r="UDS171" s="72"/>
      <c r="UDT171" s="72"/>
      <c r="UDU171" s="72"/>
      <c r="UDV171" s="72"/>
      <c r="UDW171" s="72"/>
      <c r="UDX171" s="72"/>
      <c r="UDY171" s="72"/>
      <c r="UDZ171" s="72"/>
      <c r="UEA171" s="72"/>
      <c r="UEB171" s="72"/>
      <c r="UEC171" s="72"/>
      <c r="UED171" s="72"/>
      <c r="UEE171" s="72"/>
      <c r="UEF171" s="72"/>
      <c r="UEG171" s="72"/>
      <c r="UEH171" s="72"/>
      <c r="UEI171" s="72"/>
      <c r="UEJ171" s="72"/>
      <c r="UEK171" s="72"/>
      <c r="UEL171" s="72"/>
      <c r="UEM171" s="72"/>
      <c r="UEN171" s="72"/>
      <c r="UEO171" s="72"/>
      <c r="UEP171" s="72"/>
      <c r="UEQ171" s="72"/>
      <c r="UER171" s="72"/>
      <c r="UES171" s="72"/>
      <c r="UET171" s="72"/>
      <c r="UEU171" s="72"/>
      <c r="UEV171" s="72"/>
      <c r="UEW171" s="72"/>
      <c r="UEX171" s="72"/>
      <c r="UEY171" s="72"/>
      <c r="UEZ171" s="72"/>
      <c r="UFA171" s="72"/>
      <c r="UFB171" s="72"/>
      <c r="UFC171" s="72"/>
      <c r="UFD171" s="72"/>
      <c r="UFE171" s="72"/>
      <c r="UFF171" s="72"/>
      <c r="UFG171" s="72"/>
      <c r="UFH171" s="72"/>
      <c r="UFI171" s="72"/>
      <c r="UFJ171" s="72"/>
      <c r="UFK171" s="72"/>
      <c r="UFL171" s="72"/>
      <c r="UFM171" s="72"/>
      <c r="UFN171" s="72"/>
      <c r="UFO171" s="72"/>
      <c r="UFP171" s="72"/>
      <c r="UFQ171" s="72"/>
      <c r="UFR171" s="72"/>
      <c r="UFS171" s="72"/>
      <c r="UFT171" s="72"/>
      <c r="UFU171" s="72"/>
      <c r="UFV171" s="72"/>
      <c r="UFW171" s="72"/>
      <c r="UFX171" s="72"/>
      <c r="UFY171" s="72"/>
      <c r="UFZ171" s="72"/>
      <c r="UGA171" s="72"/>
      <c r="UGB171" s="72"/>
      <c r="UGC171" s="72"/>
      <c r="UGD171" s="72"/>
      <c r="UGE171" s="72"/>
      <c r="UGF171" s="72"/>
      <c r="UGG171" s="72"/>
      <c r="UGH171" s="72"/>
      <c r="UGI171" s="72"/>
      <c r="UGJ171" s="72"/>
      <c r="UGK171" s="72"/>
      <c r="UGL171" s="72"/>
      <c r="UGM171" s="72"/>
      <c r="UGN171" s="72"/>
      <c r="UGO171" s="72"/>
      <c r="UGP171" s="72"/>
      <c r="UGQ171" s="72"/>
      <c r="UGR171" s="72"/>
      <c r="UGS171" s="72"/>
      <c r="UGT171" s="72"/>
      <c r="UGU171" s="72"/>
      <c r="UGV171" s="72"/>
      <c r="UGW171" s="72"/>
      <c r="UGX171" s="72"/>
      <c r="UGY171" s="72"/>
      <c r="UGZ171" s="72"/>
      <c r="UHA171" s="72"/>
      <c r="UHB171" s="72"/>
      <c r="UHC171" s="72"/>
      <c r="UHD171" s="72"/>
      <c r="UHE171" s="72"/>
      <c r="UHF171" s="72"/>
      <c r="UHG171" s="72"/>
      <c r="UHH171" s="72"/>
      <c r="UHI171" s="72"/>
      <c r="UHJ171" s="72"/>
      <c r="UHK171" s="72"/>
      <c r="UHL171" s="72"/>
      <c r="UHM171" s="72"/>
      <c r="UHN171" s="72"/>
      <c r="UHO171" s="72"/>
      <c r="UHP171" s="72"/>
      <c r="UHQ171" s="72"/>
      <c r="UHR171" s="72"/>
      <c r="UHS171" s="72"/>
      <c r="UHT171" s="72"/>
      <c r="UHU171" s="72"/>
      <c r="UHV171" s="72"/>
      <c r="UHW171" s="72"/>
      <c r="UHX171" s="72"/>
      <c r="UHY171" s="72"/>
      <c r="UHZ171" s="72"/>
      <c r="UIA171" s="72"/>
      <c r="UIB171" s="72"/>
      <c r="UIC171" s="72"/>
      <c r="UID171" s="72"/>
      <c r="UIE171" s="72"/>
      <c r="UIF171" s="72"/>
      <c r="UIG171" s="72"/>
      <c r="UIH171" s="72"/>
      <c r="UII171" s="72"/>
      <c r="UIJ171" s="72"/>
      <c r="UIK171" s="72"/>
      <c r="UIL171" s="72"/>
      <c r="UIM171" s="72"/>
      <c r="UIN171" s="72"/>
      <c r="UIO171" s="72"/>
      <c r="UIP171" s="72"/>
      <c r="UIQ171" s="72"/>
      <c r="UIR171" s="72"/>
      <c r="UIS171" s="72"/>
      <c r="UIT171" s="72"/>
      <c r="UIU171" s="72"/>
      <c r="UIV171" s="72"/>
      <c r="UIW171" s="72"/>
      <c r="UIX171" s="72"/>
      <c r="UIY171" s="72"/>
      <c r="UIZ171" s="72"/>
      <c r="UJA171" s="72"/>
      <c r="UJB171" s="72"/>
      <c r="UJC171" s="72"/>
      <c r="UJD171" s="72"/>
      <c r="UJE171" s="72"/>
      <c r="UJF171" s="72"/>
      <c r="UJG171" s="72"/>
      <c r="UJH171" s="72"/>
      <c r="UJI171" s="72"/>
      <c r="UJJ171" s="72"/>
      <c r="UJK171" s="72"/>
      <c r="UJL171" s="72"/>
      <c r="UJM171" s="72"/>
      <c r="UJN171" s="72"/>
      <c r="UJO171" s="72"/>
      <c r="UJP171" s="72"/>
      <c r="UJQ171" s="72"/>
      <c r="UJR171" s="72"/>
      <c r="UJS171" s="72"/>
      <c r="UJT171" s="72"/>
      <c r="UJU171" s="72"/>
      <c r="UJV171" s="72"/>
      <c r="UJW171" s="72"/>
      <c r="UJX171" s="72"/>
      <c r="UJY171" s="72"/>
      <c r="UJZ171" s="72"/>
      <c r="UKA171" s="72"/>
      <c r="UKB171" s="72"/>
      <c r="UKC171" s="72"/>
      <c r="UKD171" s="72"/>
      <c r="UKE171" s="72"/>
      <c r="UKF171" s="72"/>
      <c r="UKG171" s="72"/>
      <c r="UKH171" s="72"/>
      <c r="UKI171" s="72"/>
      <c r="UKJ171" s="72"/>
      <c r="UKK171" s="72"/>
      <c r="UKL171" s="72"/>
      <c r="UKM171" s="72"/>
      <c r="UKN171" s="72"/>
      <c r="UKO171" s="72"/>
      <c r="UKP171" s="72"/>
      <c r="UKQ171" s="72"/>
      <c r="UKR171" s="72"/>
      <c r="UKS171" s="72"/>
      <c r="UKT171" s="72"/>
      <c r="UKU171" s="72"/>
      <c r="UKV171" s="72"/>
      <c r="UKW171" s="72"/>
      <c r="UKX171" s="72"/>
      <c r="UKY171" s="72"/>
      <c r="UKZ171" s="72"/>
      <c r="ULA171" s="72"/>
      <c r="ULB171" s="72"/>
      <c r="ULC171" s="72"/>
      <c r="ULD171" s="72"/>
      <c r="ULE171" s="72"/>
      <c r="ULF171" s="72"/>
      <c r="ULG171" s="72"/>
      <c r="ULH171" s="72"/>
      <c r="ULI171" s="72"/>
      <c r="ULJ171" s="72"/>
      <c r="ULK171" s="72"/>
      <c r="ULL171" s="72"/>
      <c r="ULM171" s="72"/>
      <c r="ULN171" s="72"/>
      <c r="ULO171" s="72"/>
      <c r="ULP171" s="72"/>
      <c r="ULQ171" s="72"/>
      <c r="ULR171" s="72"/>
      <c r="ULS171" s="72"/>
      <c r="ULT171" s="72"/>
      <c r="ULU171" s="72"/>
      <c r="ULV171" s="72"/>
      <c r="ULW171" s="72"/>
      <c r="ULX171" s="72"/>
      <c r="ULY171" s="72"/>
      <c r="ULZ171" s="72"/>
      <c r="UMA171" s="72"/>
      <c r="UMB171" s="72"/>
      <c r="UMC171" s="72"/>
      <c r="UMD171" s="72"/>
      <c r="UME171" s="72"/>
      <c r="UMF171" s="72"/>
      <c r="UMG171" s="72"/>
      <c r="UMH171" s="72"/>
      <c r="UMI171" s="72"/>
      <c r="UMJ171" s="72"/>
      <c r="UMK171" s="72"/>
      <c r="UML171" s="72"/>
      <c r="UMM171" s="72"/>
      <c r="UMN171" s="72"/>
      <c r="UMO171" s="72"/>
      <c r="UMP171" s="72"/>
      <c r="UMQ171" s="72"/>
      <c r="UMR171" s="72"/>
      <c r="UMS171" s="72"/>
      <c r="UMT171" s="72"/>
      <c r="UMU171" s="72"/>
      <c r="UMV171" s="72"/>
      <c r="UMW171" s="72"/>
      <c r="UMX171" s="72"/>
      <c r="UMY171" s="72"/>
      <c r="UMZ171" s="72"/>
      <c r="UNA171" s="72"/>
      <c r="UNB171" s="72"/>
      <c r="UNC171" s="72"/>
      <c r="UND171" s="72"/>
      <c r="UNE171" s="72"/>
      <c r="UNF171" s="72"/>
      <c r="UNG171" s="72"/>
      <c r="UNH171" s="72"/>
      <c r="UNI171" s="72"/>
      <c r="UNJ171" s="72"/>
      <c r="UNK171" s="72"/>
      <c r="UNL171" s="72"/>
      <c r="UNM171" s="72"/>
      <c r="UNN171" s="72"/>
      <c r="UNO171" s="72"/>
      <c r="UNP171" s="72"/>
      <c r="UNQ171" s="72"/>
      <c r="UNR171" s="72"/>
      <c r="UNS171" s="72"/>
      <c r="UNT171" s="72"/>
      <c r="UNU171" s="72"/>
      <c r="UNV171" s="72"/>
      <c r="UNW171" s="72"/>
      <c r="UNX171" s="72"/>
      <c r="UNY171" s="72"/>
      <c r="UNZ171" s="72"/>
      <c r="UOA171" s="72"/>
      <c r="UOB171" s="72"/>
      <c r="UOC171" s="72"/>
      <c r="UOD171" s="72"/>
      <c r="UOE171" s="72"/>
      <c r="UOF171" s="72"/>
      <c r="UOG171" s="72"/>
      <c r="UOH171" s="72"/>
      <c r="UOI171" s="72"/>
      <c r="UOJ171" s="72"/>
      <c r="UOK171" s="72"/>
      <c r="UOL171" s="72"/>
      <c r="UOM171" s="72"/>
      <c r="UON171" s="72"/>
      <c r="UOO171" s="72"/>
      <c r="UOP171" s="72"/>
      <c r="UOQ171" s="72"/>
      <c r="UOR171" s="72"/>
      <c r="UOS171" s="72"/>
      <c r="UOT171" s="72"/>
      <c r="UOU171" s="72"/>
      <c r="UOV171" s="72"/>
      <c r="UOW171" s="72"/>
      <c r="UOX171" s="72"/>
      <c r="UOY171" s="72"/>
      <c r="UOZ171" s="72"/>
      <c r="UPA171" s="72"/>
      <c r="UPB171" s="72"/>
      <c r="UPC171" s="72"/>
      <c r="UPD171" s="72"/>
      <c r="UPE171" s="72"/>
      <c r="UPF171" s="72"/>
      <c r="UPG171" s="72"/>
      <c r="UPH171" s="72"/>
      <c r="UPI171" s="72"/>
      <c r="UPJ171" s="72"/>
      <c r="UPK171" s="72"/>
      <c r="UPL171" s="72"/>
      <c r="UPM171" s="72"/>
      <c r="UPN171" s="72"/>
      <c r="UPO171" s="72"/>
      <c r="UPP171" s="72"/>
      <c r="UPQ171" s="72"/>
      <c r="UPR171" s="72"/>
      <c r="UPS171" s="72"/>
      <c r="UPT171" s="72"/>
      <c r="UPU171" s="72"/>
      <c r="UPV171" s="72"/>
      <c r="UPW171" s="72"/>
      <c r="UPX171" s="72"/>
      <c r="UPY171" s="72"/>
      <c r="UPZ171" s="72"/>
      <c r="UQA171" s="72"/>
      <c r="UQB171" s="72"/>
      <c r="UQC171" s="72"/>
      <c r="UQD171" s="72"/>
      <c r="UQE171" s="72"/>
      <c r="UQF171" s="72"/>
      <c r="UQG171" s="72"/>
      <c r="UQH171" s="72"/>
      <c r="UQI171" s="72"/>
      <c r="UQJ171" s="72"/>
      <c r="UQK171" s="72"/>
      <c r="UQL171" s="72"/>
      <c r="UQM171" s="72"/>
      <c r="UQN171" s="72"/>
      <c r="UQO171" s="72"/>
      <c r="UQP171" s="72"/>
      <c r="UQQ171" s="72"/>
      <c r="UQR171" s="72"/>
      <c r="UQS171" s="72"/>
      <c r="UQT171" s="72"/>
      <c r="UQU171" s="72"/>
      <c r="UQV171" s="72"/>
      <c r="UQW171" s="72"/>
      <c r="UQX171" s="72"/>
      <c r="UQY171" s="72"/>
      <c r="UQZ171" s="72"/>
      <c r="URA171" s="72"/>
      <c r="URB171" s="72"/>
      <c r="URC171" s="72"/>
      <c r="URD171" s="72"/>
      <c r="URE171" s="72"/>
      <c r="URF171" s="72"/>
      <c r="URG171" s="72"/>
      <c r="URH171" s="72"/>
      <c r="URI171" s="72"/>
      <c r="URJ171" s="72"/>
      <c r="URK171" s="72"/>
      <c r="URL171" s="72"/>
      <c r="URM171" s="72"/>
      <c r="URN171" s="72"/>
      <c r="URO171" s="72"/>
      <c r="URP171" s="72"/>
      <c r="URQ171" s="72"/>
      <c r="URR171" s="72"/>
      <c r="URS171" s="72"/>
      <c r="URT171" s="72"/>
      <c r="URU171" s="72"/>
      <c r="URV171" s="72"/>
      <c r="URW171" s="72"/>
      <c r="URX171" s="72"/>
      <c r="URY171" s="72"/>
      <c r="URZ171" s="72"/>
      <c r="USA171" s="72"/>
      <c r="USB171" s="72"/>
      <c r="USC171" s="72"/>
      <c r="USD171" s="72"/>
      <c r="USE171" s="72"/>
      <c r="USF171" s="72"/>
      <c r="USG171" s="72"/>
      <c r="USH171" s="72"/>
      <c r="USI171" s="72"/>
      <c r="USJ171" s="72"/>
      <c r="USK171" s="72"/>
      <c r="USL171" s="72"/>
      <c r="USM171" s="72"/>
      <c r="USN171" s="72"/>
      <c r="USO171" s="72"/>
      <c r="USP171" s="72"/>
      <c r="USQ171" s="72"/>
      <c r="USR171" s="72"/>
      <c r="USS171" s="72"/>
      <c r="UST171" s="72"/>
      <c r="USU171" s="72"/>
      <c r="USV171" s="72"/>
      <c r="USW171" s="72"/>
      <c r="USX171" s="72"/>
      <c r="USY171" s="72"/>
      <c r="USZ171" s="72"/>
      <c r="UTA171" s="72"/>
      <c r="UTB171" s="72"/>
      <c r="UTC171" s="72"/>
      <c r="UTD171" s="72"/>
      <c r="UTE171" s="72"/>
      <c r="UTF171" s="72"/>
      <c r="UTG171" s="72"/>
      <c r="UTH171" s="72"/>
      <c r="UTI171" s="72"/>
      <c r="UTJ171" s="72"/>
      <c r="UTK171" s="72"/>
      <c r="UTL171" s="72"/>
      <c r="UTM171" s="72"/>
      <c r="UTN171" s="72"/>
      <c r="UTO171" s="72"/>
      <c r="UTP171" s="72"/>
      <c r="UTQ171" s="72"/>
      <c r="UTR171" s="72"/>
      <c r="UTS171" s="72"/>
      <c r="UTT171" s="72"/>
      <c r="UTU171" s="72"/>
      <c r="UTV171" s="72"/>
      <c r="UTW171" s="72"/>
      <c r="UTX171" s="72"/>
      <c r="UTY171" s="72"/>
      <c r="UTZ171" s="72"/>
      <c r="UUA171" s="72"/>
      <c r="UUB171" s="72"/>
      <c r="UUC171" s="72"/>
      <c r="UUD171" s="72"/>
      <c r="UUE171" s="72"/>
      <c r="UUF171" s="72"/>
      <c r="UUG171" s="72"/>
      <c r="UUH171" s="72"/>
      <c r="UUI171" s="72"/>
      <c r="UUJ171" s="72"/>
      <c r="UUK171" s="72"/>
      <c r="UUL171" s="72"/>
      <c r="UUM171" s="72"/>
      <c r="UUN171" s="72"/>
      <c r="UUO171" s="72"/>
      <c r="UUP171" s="72"/>
      <c r="UUQ171" s="72"/>
      <c r="UUR171" s="72"/>
      <c r="UUS171" s="72"/>
      <c r="UUT171" s="72"/>
      <c r="UUU171" s="72"/>
      <c r="UUV171" s="72"/>
      <c r="UUW171" s="72"/>
      <c r="UUX171" s="72"/>
      <c r="UUY171" s="72"/>
      <c r="UUZ171" s="72"/>
      <c r="UVA171" s="72"/>
      <c r="UVB171" s="72"/>
      <c r="UVC171" s="72"/>
      <c r="UVD171" s="72"/>
      <c r="UVE171" s="72"/>
      <c r="UVF171" s="72"/>
      <c r="UVG171" s="72"/>
      <c r="UVH171" s="72"/>
      <c r="UVI171" s="72"/>
      <c r="UVJ171" s="72"/>
      <c r="UVK171" s="72"/>
      <c r="UVL171" s="72"/>
      <c r="UVM171" s="72"/>
      <c r="UVN171" s="72"/>
      <c r="UVO171" s="72"/>
      <c r="UVP171" s="72"/>
      <c r="UVQ171" s="72"/>
      <c r="UVR171" s="72"/>
      <c r="UVS171" s="72"/>
      <c r="UVT171" s="72"/>
      <c r="UVU171" s="72"/>
      <c r="UVV171" s="72"/>
      <c r="UVW171" s="72"/>
      <c r="UVX171" s="72"/>
      <c r="UVY171" s="72"/>
      <c r="UVZ171" s="72"/>
      <c r="UWA171" s="72"/>
      <c r="UWB171" s="72"/>
      <c r="UWC171" s="72"/>
      <c r="UWD171" s="72"/>
      <c r="UWE171" s="72"/>
      <c r="UWF171" s="72"/>
      <c r="UWG171" s="72"/>
      <c r="UWH171" s="72"/>
      <c r="UWI171" s="72"/>
      <c r="UWJ171" s="72"/>
      <c r="UWK171" s="72"/>
      <c r="UWL171" s="72"/>
      <c r="UWM171" s="72"/>
      <c r="UWN171" s="72"/>
      <c r="UWO171" s="72"/>
      <c r="UWP171" s="72"/>
      <c r="UWQ171" s="72"/>
      <c r="UWR171" s="72"/>
      <c r="UWS171" s="72"/>
      <c r="UWT171" s="72"/>
      <c r="UWU171" s="72"/>
      <c r="UWV171" s="72"/>
      <c r="UWW171" s="72"/>
      <c r="UWX171" s="72"/>
      <c r="UWY171" s="72"/>
      <c r="UWZ171" s="72"/>
      <c r="UXA171" s="72"/>
      <c r="UXB171" s="72"/>
      <c r="UXC171" s="72"/>
      <c r="UXD171" s="72"/>
      <c r="UXE171" s="72"/>
      <c r="UXF171" s="72"/>
      <c r="UXG171" s="72"/>
      <c r="UXH171" s="72"/>
      <c r="UXI171" s="72"/>
      <c r="UXJ171" s="72"/>
      <c r="UXK171" s="72"/>
      <c r="UXL171" s="72"/>
      <c r="UXM171" s="72"/>
      <c r="UXN171" s="72"/>
      <c r="UXO171" s="72"/>
      <c r="UXP171" s="72"/>
      <c r="UXQ171" s="72"/>
      <c r="UXR171" s="72"/>
      <c r="UXS171" s="72"/>
      <c r="UXT171" s="72"/>
      <c r="UXU171" s="72"/>
      <c r="UXV171" s="72"/>
      <c r="UXW171" s="72"/>
      <c r="UXX171" s="72"/>
      <c r="UXY171" s="72"/>
      <c r="UXZ171" s="72"/>
      <c r="UYA171" s="72"/>
      <c r="UYB171" s="72"/>
      <c r="UYC171" s="72"/>
      <c r="UYD171" s="72"/>
      <c r="UYE171" s="72"/>
      <c r="UYF171" s="72"/>
      <c r="UYG171" s="72"/>
      <c r="UYH171" s="72"/>
      <c r="UYI171" s="72"/>
      <c r="UYJ171" s="72"/>
      <c r="UYK171" s="72"/>
      <c r="UYL171" s="72"/>
      <c r="UYM171" s="72"/>
      <c r="UYN171" s="72"/>
      <c r="UYO171" s="72"/>
      <c r="UYP171" s="72"/>
      <c r="UYQ171" s="72"/>
      <c r="UYR171" s="72"/>
      <c r="UYS171" s="72"/>
      <c r="UYT171" s="72"/>
      <c r="UYU171" s="72"/>
      <c r="UYV171" s="72"/>
      <c r="UYW171" s="72"/>
      <c r="UYX171" s="72"/>
      <c r="UYY171" s="72"/>
      <c r="UYZ171" s="72"/>
      <c r="UZA171" s="72"/>
      <c r="UZB171" s="72"/>
      <c r="UZC171" s="72"/>
      <c r="UZD171" s="72"/>
      <c r="UZE171" s="72"/>
      <c r="UZF171" s="72"/>
      <c r="UZG171" s="72"/>
      <c r="UZH171" s="72"/>
      <c r="UZI171" s="72"/>
      <c r="UZJ171" s="72"/>
      <c r="UZK171" s="72"/>
      <c r="UZL171" s="72"/>
      <c r="UZM171" s="72"/>
      <c r="UZN171" s="72"/>
      <c r="UZO171" s="72"/>
      <c r="UZP171" s="72"/>
      <c r="UZQ171" s="72"/>
      <c r="UZR171" s="72"/>
      <c r="UZS171" s="72"/>
      <c r="UZT171" s="72"/>
      <c r="UZU171" s="72"/>
      <c r="UZV171" s="72"/>
      <c r="UZW171" s="72"/>
      <c r="UZX171" s="72"/>
      <c r="UZY171" s="72"/>
      <c r="UZZ171" s="72"/>
      <c r="VAA171" s="72"/>
      <c r="VAB171" s="72"/>
      <c r="VAC171" s="72"/>
      <c r="VAD171" s="72"/>
      <c r="VAE171" s="72"/>
      <c r="VAF171" s="72"/>
      <c r="VAG171" s="72"/>
      <c r="VAH171" s="72"/>
      <c r="VAI171" s="72"/>
      <c r="VAJ171" s="72"/>
      <c r="VAK171" s="72"/>
      <c r="VAL171" s="72"/>
      <c r="VAM171" s="72"/>
      <c r="VAN171" s="72"/>
      <c r="VAO171" s="72"/>
      <c r="VAP171" s="72"/>
      <c r="VAQ171" s="72"/>
      <c r="VAR171" s="72"/>
      <c r="VAS171" s="72"/>
      <c r="VAT171" s="72"/>
      <c r="VAU171" s="72"/>
      <c r="VAV171" s="72"/>
      <c r="VAW171" s="72"/>
      <c r="VAX171" s="72"/>
      <c r="VAY171" s="72"/>
      <c r="VAZ171" s="72"/>
      <c r="VBA171" s="72"/>
      <c r="VBB171" s="72"/>
      <c r="VBC171" s="72"/>
      <c r="VBD171" s="72"/>
      <c r="VBE171" s="72"/>
      <c r="VBF171" s="72"/>
      <c r="VBG171" s="72"/>
      <c r="VBH171" s="72"/>
      <c r="VBI171" s="72"/>
      <c r="VBJ171" s="72"/>
      <c r="VBK171" s="72"/>
      <c r="VBL171" s="72"/>
      <c r="VBM171" s="72"/>
      <c r="VBN171" s="72"/>
      <c r="VBO171" s="72"/>
      <c r="VBP171" s="72"/>
      <c r="VBQ171" s="72"/>
      <c r="VBR171" s="72"/>
      <c r="VBS171" s="72"/>
      <c r="VBT171" s="72"/>
      <c r="VBU171" s="72"/>
      <c r="VBV171" s="72"/>
      <c r="VBW171" s="72"/>
      <c r="VBX171" s="72"/>
      <c r="VBY171" s="72"/>
      <c r="VBZ171" s="72"/>
      <c r="VCA171" s="72"/>
      <c r="VCB171" s="72"/>
      <c r="VCC171" s="72"/>
      <c r="VCD171" s="72"/>
      <c r="VCE171" s="72"/>
      <c r="VCF171" s="72"/>
      <c r="VCG171" s="72"/>
      <c r="VCH171" s="72"/>
      <c r="VCI171" s="72"/>
      <c r="VCJ171" s="72"/>
      <c r="VCK171" s="72"/>
      <c r="VCL171" s="72"/>
      <c r="VCM171" s="72"/>
      <c r="VCN171" s="72"/>
      <c r="VCO171" s="72"/>
      <c r="VCP171" s="72"/>
      <c r="VCQ171" s="72"/>
      <c r="VCR171" s="72"/>
      <c r="VCS171" s="72"/>
      <c r="VCT171" s="72"/>
      <c r="VCU171" s="72"/>
      <c r="VCV171" s="72"/>
      <c r="VCW171" s="72"/>
      <c r="VCX171" s="72"/>
      <c r="VCY171" s="72"/>
      <c r="VCZ171" s="72"/>
      <c r="VDA171" s="72"/>
      <c r="VDB171" s="72"/>
      <c r="VDC171" s="72"/>
      <c r="VDD171" s="72"/>
      <c r="VDE171" s="72"/>
      <c r="VDF171" s="72"/>
      <c r="VDG171" s="72"/>
      <c r="VDH171" s="72"/>
      <c r="VDI171" s="72"/>
      <c r="VDJ171" s="72"/>
      <c r="VDK171" s="72"/>
      <c r="VDL171" s="72"/>
      <c r="VDM171" s="72"/>
      <c r="VDN171" s="72"/>
      <c r="VDO171" s="72"/>
      <c r="VDP171" s="72"/>
      <c r="VDQ171" s="72"/>
      <c r="VDR171" s="72"/>
      <c r="VDS171" s="72"/>
      <c r="VDT171" s="72"/>
      <c r="VDU171" s="72"/>
      <c r="VDV171" s="72"/>
      <c r="VDW171" s="72"/>
      <c r="VDX171" s="72"/>
      <c r="VDY171" s="72"/>
      <c r="VDZ171" s="72"/>
      <c r="VEA171" s="72"/>
      <c r="VEB171" s="72"/>
      <c r="VEC171" s="72"/>
      <c r="VED171" s="72"/>
      <c r="VEE171" s="72"/>
      <c r="VEF171" s="72"/>
      <c r="VEG171" s="72"/>
      <c r="VEH171" s="72"/>
      <c r="VEI171" s="72"/>
      <c r="VEJ171" s="72"/>
      <c r="VEK171" s="72"/>
      <c r="VEL171" s="72"/>
      <c r="VEM171" s="72"/>
      <c r="VEN171" s="72"/>
      <c r="VEO171" s="72"/>
      <c r="VEP171" s="72"/>
      <c r="VEQ171" s="72"/>
      <c r="VER171" s="72"/>
      <c r="VES171" s="72"/>
      <c r="VET171" s="72"/>
      <c r="VEU171" s="72"/>
      <c r="VEV171" s="72"/>
      <c r="VEW171" s="72"/>
      <c r="VEX171" s="72"/>
      <c r="VEY171" s="72"/>
      <c r="VEZ171" s="72"/>
      <c r="VFA171" s="72"/>
      <c r="VFB171" s="72"/>
      <c r="VFC171" s="72"/>
      <c r="VFD171" s="72"/>
      <c r="VFE171" s="72"/>
      <c r="VFF171" s="72"/>
      <c r="VFG171" s="72"/>
      <c r="VFH171" s="72"/>
      <c r="VFI171" s="72"/>
      <c r="VFJ171" s="72"/>
      <c r="VFK171" s="72"/>
      <c r="VFL171" s="72"/>
      <c r="VFM171" s="72"/>
      <c r="VFN171" s="72"/>
      <c r="VFO171" s="72"/>
      <c r="VFP171" s="72"/>
      <c r="VFQ171" s="72"/>
      <c r="VFR171" s="72"/>
      <c r="VFS171" s="72"/>
      <c r="VFT171" s="72"/>
      <c r="VFU171" s="72"/>
      <c r="VFV171" s="72"/>
      <c r="VFW171" s="72"/>
      <c r="VFX171" s="72"/>
      <c r="VFY171" s="72"/>
      <c r="VFZ171" s="72"/>
      <c r="VGA171" s="72"/>
      <c r="VGB171" s="72"/>
      <c r="VGC171" s="72"/>
      <c r="VGD171" s="72"/>
      <c r="VGE171" s="72"/>
      <c r="VGF171" s="72"/>
      <c r="VGG171" s="72"/>
      <c r="VGH171" s="72"/>
      <c r="VGI171" s="72"/>
      <c r="VGJ171" s="72"/>
      <c r="VGK171" s="72"/>
      <c r="VGL171" s="72"/>
      <c r="VGM171" s="72"/>
      <c r="VGN171" s="72"/>
      <c r="VGO171" s="72"/>
      <c r="VGP171" s="72"/>
      <c r="VGQ171" s="72"/>
      <c r="VGR171" s="72"/>
      <c r="VGS171" s="72"/>
      <c r="VGT171" s="72"/>
      <c r="VGU171" s="72"/>
      <c r="VGV171" s="72"/>
      <c r="VGW171" s="72"/>
      <c r="VGX171" s="72"/>
      <c r="VGY171" s="72"/>
      <c r="VGZ171" s="72"/>
      <c r="VHA171" s="72"/>
      <c r="VHB171" s="72"/>
      <c r="VHC171" s="72"/>
      <c r="VHD171" s="72"/>
      <c r="VHE171" s="72"/>
      <c r="VHF171" s="72"/>
      <c r="VHG171" s="72"/>
      <c r="VHH171" s="72"/>
      <c r="VHI171" s="72"/>
      <c r="VHJ171" s="72"/>
      <c r="VHK171" s="72"/>
      <c r="VHL171" s="72"/>
      <c r="VHM171" s="72"/>
      <c r="VHN171" s="72"/>
      <c r="VHO171" s="72"/>
      <c r="VHP171" s="72"/>
      <c r="VHQ171" s="72"/>
      <c r="VHR171" s="72"/>
      <c r="VHS171" s="72"/>
      <c r="VHT171" s="72"/>
      <c r="VHU171" s="72"/>
      <c r="VHV171" s="72"/>
      <c r="VHW171" s="72"/>
      <c r="VHX171" s="72"/>
      <c r="VHY171" s="72"/>
      <c r="VHZ171" s="72"/>
      <c r="VIA171" s="72"/>
      <c r="VIB171" s="72"/>
      <c r="VIC171" s="72"/>
      <c r="VID171" s="72"/>
      <c r="VIE171" s="72"/>
      <c r="VIF171" s="72"/>
      <c r="VIG171" s="72"/>
      <c r="VIH171" s="72"/>
      <c r="VII171" s="72"/>
      <c r="VIJ171" s="72"/>
      <c r="VIK171" s="72"/>
      <c r="VIL171" s="72"/>
      <c r="VIM171" s="72"/>
      <c r="VIN171" s="72"/>
      <c r="VIO171" s="72"/>
      <c r="VIP171" s="72"/>
      <c r="VIQ171" s="72"/>
      <c r="VIR171" s="72"/>
      <c r="VIS171" s="72"/>
      <c r="VIT171" s="72"/>
      <c r="VIU171" s="72"/>
      <c r="VIV171" s="72"/>
      <c r="VIW171" s="72"/>
      <c r="VIX171" s="72"/>
      <c r="VIY171" s="72"/>
      <c r="VIZ171" s="72"/>
      <c r="VJA171" s="72"/>
      <c r="VJB171" s="72"/>
      <c r="VJC171" s="72"/>
      <c r="VJD171" s="72"/>
      <c r="VJE171" s="72"/>
      <c r="VJF171" s="72"/>
      <c r="VJG171" s="72"/>
      <c r="VJH171" s="72"/>
      <c r="VJI171" s="72"/>
      <c r="VJJ171" s="72"/>
      <c r="VJK171" s="72"/>
      <c r="VJL171" s="72"/>
      <c r="VJM171" s="72"/>
      <c r="VJN171" s="72"/>
      <c r="VJO171" s="72"/>
      <c r="VJP171" s="72"/>
      <c r="VJQ171" s="72"/>
      <c r="VJR171" s="72"/>
      <c r="VJS171" s="72"/>
      <c r="VJT171" s="72"/>
      <c r="VJU171" s="72"/>
      <c r="VJV171" s="72"/>
      <c r="VJW171" s="72"/>
      <c r="VJX171" s="72"/>
      <c r="VJY171" s="72"/>
      <c r="VJZ171" s="72"/>
      <c r="VKA171" s="72"/>
      <c r="VKB171" s="72"/>
      <c r="VKC171" s="72"/>
      <c r="VKD171" s="72"/>
      <c r="VKE171" s="72"/>
      <c r="VKF171" s="72"/>
      <c r="VKG171" s="72"/>
      <c r="VKH171" s="72"/>
      <c r="VKI171" s="72"/>
      <c r="VKJ171" s="72"/>
      <c r="VKK171" s="72"/>
      <c r="VKL171" s="72"/>
      <c r="VKM171" s="72"/>
      <c r="VKN171" s="72"/>
      <c r="VKO171" s="72"/>
      <c r="VKP171" s="72"/>
      <c r="VKQ171" s="72"/>
      <c r="VKR171" s="72"/>
      <c r="VKS171" s="72"/>
      <c r="VKT171" s="72"/>
      <c r="VKU171" s="72"/>
      <c r="VKV171" s="72"/>
      <c r="VKW171" s="72"/>
      <c r="VKX171" s="72"/>
      <c r="VKY171" s="72"/>
      <c r="VKZ171" s="72"/>
      <c r="VLA171" s="72"/>
      <c r="VLB171" s="72"/>
      <c r="VLC171" s="72"/>
      <c r="VLD171" s="72"/>
      <c r="VLE171" s="72"/>
      <c r="VLF171" s="72"/>
      <c r="VLG171" s="72"/>
      <c r="VLH171" s="72"/>
      <c r="VLI171" s="72"/>
      <c r="VLJ171" s="72"/>
      <c r="VLK171" s="72"/>
      <c r="VLL171" s="72"/>
      <c r="VLM171" s="72"/>
      <c r="VLN171" s="72"/>
      <c r="VLO171" s="72"/>
      <c r="VLP171" s="72"/>
      <c r="VLQ171" s="72"/>
      <c r="VLR171" s="72"/>
      <c r="VLS171" s="72"/>
      <c r="VLT171" s="72"/>
      <c r="VLU171" s="72"/>
      <c r="VLV171" s="72"/>
      <c r="VLW171" s="72"/>
      <c r="VLX171" s="72"/>
      <c r="VLY171" s="72"/>
      <c r="VLZ171" s="72"/>
      <c r="VMA171" s="72"/>
      <c r="VMB171" s="72"/>
      <c r="VMC171" s="72"/>
      <c r="VMD171" s="72"/>
      <c r="VME171" s="72"/>
      <c r="VMF171" s="72"/>
      <c r="VMG171" s="72"/>
      <c r="VMH171" s="72"/>
      <c r="VMI171" s="72"/>
      <c r="VMJ171" s="72"/>
      <c r="VMK171" s="72"/>
      <c r="VML171" s="72"/>
      <c r="VMM171" s="72"/>
      <c r="VMN171" s="72"/>
      <c r="VMO171" s="72"/>
      <c r="VMP171" s="72"/>
      <c r="VMQ171" s="72"/>
      <c r="VMR171" s="72"/>
      <c r="VMS171" s="72"/>
      <c r="VMT171" s="72"/>
      <c r="VMU171" s="72"/>
      <c r="VMV171" s="72"/>
      <c r="VMW171" s="72"/>
      <c r="VMX171" s="72"/>
      <c r="VMY171" s="72"/>
      <c r="VMZ171" s="72"/>
      <c r="VNA171" s="72"/>
      <c r="VNB171" s="72"/>
      <c r="VNC171" s="72"/>
      <c r="VND171" s="72"/>
      <c r="VNE171" s="72"/>
      <c r="VNF171" s="72"/>
      <c r="VNG171" s="72"/>
      <c r="VNH171" s="72"/>
      <c r="VNI171" s="72"/>
      <c r="VNJ171" s="72"/>
      <c r="VNK171" s="72"/>
      <c r="VNL171" s="72"/>
      <c r="VNM171" s="72"/>
      <c r="VNN171" s="72"/>
      <c r="VNO171" s="72"/>
      <c r="VNP171" s="72"/>
      <c r="VNQ171" s="72"/>
      <c r="VNR171" s="72"/>
      <c r="VNS171" s="72"/>
      <c r="VNT171" s="72"/>
      <c r="VNU171" s="72"/>
      <c r="VNV171" s="72"/>
      <c r="VNW171" s="72"/>
      <c r="VNX171" s="72"/>
      <c r="VNY171" s="72"/>
      <c r="VNZ171" s="72"/>
      <c r="VOA171" s="72"/>
      <c r="VOB171" s="72"/>
      <c r="VOC171" s="72"/>
      <c r="VOD171" s="72"/>
      <c r="VOE171" s="72"/>
      <c r="VOF171" s="72"/>
      <c r="VOG171" s="72"/>
      <c r="VOH171" s="72"/>
      <c r="VOI171" s="72"/>
      <c r="VOJ171" s="72"/>
      <c r="VOK171" s="72"/>
      <c r="VOL171" s="72"/>
      <c r="VOM171" s="72"/>
      <c r="VON171" s="72"/>
      <c r="VOO171" s="72"/>
      <c r="VOP171" s="72"/>
      <c r="VOQ171" s="72"/>
      <c r="VOR171" s="72"/>
      <c r="VOS171" s="72"/>
      <c r="VOT171" s="72"/>
      <c r="VOU171" s="72"/>
      <c r="VOV171" s="72"/>
      <c r="VOW171" s="72"/>
      <c r="VOX171" s="72"/>
      <c r="VOY171" s="72"/>
      <c r="VOZ171" s="72"/>
      <c r="VPA171" s="72"/>
      <c r="VPB171" s="72"/>
      <c r="VPC171" s="72"/>
      <c r="VPD171" s="72"/>
      <c r="VPE171" s="72"/>
      <c r="VPF171" s="72"/>
      <c r="VPG171" s="72"/>
      <c r="VPH171" s="72"/>
      <c r="VPI171" s="72"/>
      <c r="VPJ171" s="72"/>
      <c r="VPK171" s="72"/>
      <c r="VPL171" s="72"/>
      <c r="VPM171" s="72"/>
      <c r="VPN171" s="72"/>
      <c r="VPO171" s="72"/>
      <c r="VPP171" s="72"/>
      <c r="VPQ171" s="72"/>
      <c r="VPR171" s="72"/>
      <c r="VPS171" s="72"/>
      <c r="VPT171" s="72"/>
      <c r="VPU171" s="72"/>
      <c r="VPV171" s="72"/>
      <c r="VPW171" s="72"/>
      <c r="VPX171" s="72"/>
      <c r="VPY171" s="72"/>
      <c r="VPZ171" s="72"/>
      <c r="VQA171" s="72"/>
      <c r="VQB171" s="72"/>
      <c r="VQC171" s="72"/>
      <c r="VQD171" s="72"/>
      <c r="VQE171" s="72"/>
      <c r="VQF171" s="72"/>
      <c r="VQG171" s="72"/>
      <c r="VQH171" s="72"/>
      <c r="VQI171" s="72"/>
      <c r="VQJ171" s="72"/>
      <c r="VQK171" s="72"/>
      <c r="VQL171" s="72"/>
      <c r="VQM171" s="72"/>
      <c r="VQN171" s="72"/>
      <c r="VQO171" s="72"/>
      <c r="VQP171" s="72"/>
      <c r="VQQ171" s="72"/>
      <c r="VQR171" s="72"/>
      <c r="VQS171" s="72"/>
      <c r="VQT171" s="72"/>
      <c r="VQU171" s="72"/>
      <c r="VQV171" s="72"/>
      <c r="VQW171" s="72"/>
      <c r="VQX171" s="72"/>
      <c r="VQY171" s="72"/>
      <c r="VQZ171" s="72"/>
      <c r="VRA171" s="72"/>
      <c r="VRB171" s="72"/>
      <c r="VRC171" s="72"/>
      <c r="VRD171" s="72"/>
      <c r="VRE171" s="72"/>
      <c r="VRF171" s="72"/>
      <c r="VRG171" s="72"/>
      <c r="VRH171" s="72"/>
      <c r="VRI171" s="72"/>
      <c r="VRJ171" s="72"/>
      <c r="VRK171" s="72"/>
      <c r="VRL171" s="72"/>
      <c r="VRM171" s="72"/>
      <c r="VRN171" s="72"/>
      <c r="VRO171" s="72"/>
      <c r="VRP171" s="72"/>
      <c r="VRQ171" s="72"/>
      <c r="VRR171" s="72"/>
      <c r="VRS171" s="72"/>
      <c r="VRT171" s="72"/>
      <c r="VRU171" s="72"/>
      <c r="VRV171" s="72"/>
      <c r="VRW171" s="72"/>
      <c r="VRX171" s="72"/>
      <c r="VRY171" s="72"/>
      <c r="VRZ171" s="72"/>
      <c r="VSA171" s="72"/>
      <c r="VSB171" s="72"/>
      <c r="VSC171" s="72"/>
      <c r="VSD171" s="72"/>
      <c r="VSE171" s="72"/>
      <c r="VSF171" s="72"/>
      <c r="VSG171" s="72"/>
      <c r="VSH171" s="72"/>
      <c r="VSI171" s="72"/>
      <c r="VSJ171" s="72"/>
      <c r="VSK171" s="72"/>
      <c r="VSL171" s="72"/>
      <c r="VSM171" s="72"/>
      <c r="VSN171" s="72"/>
      <c r="VSO171" s="72"/>
      <c r="VSP171" s="72"/>
      <c r="VSQ171" s="72"/>
      <c r="VSR171" s="72"/>
      <c r="VSS171" s="72"/>
      <c r="VST171" s="72"/>
      <c r="VSU171" s="72"/>
      <c r="VSV171" s="72"/>
      <c r="VSW171" s="72"/>
      <c r="VSX171" s="72"/>
      <c r="VSY171" s="72"/>
      <c r="VSZ171" s="72"/>
      <c r="VTA171" s="72"/>
      <c r="VTB171" s="72"/>
      <c r="VTC171" s="72"/>
      <c r="VTD171" s="72"/>
      <c r="VTE171" s="72"/>
      <c r="VTF171" s="72"/>
      <c r="VTG171" s="72"/>
      <c r="VTH171" s="72"/>
      <c r="VTI171" s="72"/>
      <c r="VTJ171" s="72"/>
      <c r="VTK171" s="72"/>
      <c r="VTL171" s="72"/>
      <c r="VTM171" s="72"/>
      <c r="VTN171" s="72"/>
      <c r="VTO171" s="72"/>
      <c r="VTP171" s="72"/>
      <c r="VTQ171" s="72"/>
      <c r="VTR171" s="72"/>
      <c r="VTS171" s="72"/>
      <c r="VTT171" s="72"/>
      <c r="VTU171" s="72"/>
      <c r="VTV171" s="72"/>
      <c r="VTW171" s="72"/>
      <c r="VTX171" s="72"/>
      <c r="VTY171" s="72"/>
      <c r="VTZ171" s="72"/>
      <c r="VUA171" s="72"/>
      <c r="VUB171" s="72"/>
      <c r="VUC171" s="72"/>
      <c r="VUD171" s="72"/>
      <c r="VUE171" s="72"/>
      <c r="VUF171" s="72"/>
      <c r="VUG171" s="72"/>
      <c r="VUH171" s="72"/>
      <c r="VUI171" s="72"/>
      <c r="VUJ171" s="72"/>
      <c r="VUK171" s="72"/>
      <c r="VUL171" s="72"/>
      <c r="VUM171" s="72"/>
      <c r="VUN171" s="72"/>
      <c r="VUO171" s="72"/>
      <c r="VUP171" s="72"/>
      <c r="VUQ171" s="72"/>
      <c r="VUR171" s="72"/>
      <c r="VUS171" s="72"/>
      <c r="VUT171" s="72"/>
      <c r="VUU171" s="72"/>
      <c r="VUV171" s="72"/>
      <c r="VUW171" s="72"/>
      <c r="VUX171" s="72"/>
      <c r="VUY171" s="72"/>
      <c r="VUZ171" s="72"/>
      <c r="VVA171" s="72"/>
      <c r="VVB171" s="72"/>
      <c r="VVC171" s="72"/>
      <c r="VVD171" s="72"/>
      <c r="VVE171" s="72"/>
      <c r="VVF171" s="72"/>
      <c r="VVG171" s="72"/>
      <c r="VVH171" s="72"/>
      <c r="VVI171" s="72"/>
      <c r="VVJ171" s="72"/>
      <c r="VVK171" s="72"/>
      <c r="VVL171" s="72"/>
      <c r="VVM171" s="72"/>
      <c r="VVN171" s="72"/>
      <c r="VVO171" s="72"/>
      <c r="VVP171" s="72"/>
      <c r="VVQ171" s="72"/>
      <c r="VVR171" s="72"/>
      <c r="VVS171" s="72"/>
      <c r="VVT171" s="72"/>
      <c r="VVU171" s="72"/>
      <c r="VVV171" s="72"/>
      <c r="VVW171" s="72"/>
      <c r="VVX171" s="72"/>
      <c r="VVY171" s="72"/>
      <c r="VVZ171" s="72"/>
      <c r="VWA171" s="72"/>
      <c r="VWB171" s="72"/>
      <c r="VWC171" s="72"/>
      <c r="VWD171" s="72"/>
      <c r="VWE171" s="72"/>
      <c r="VWF171" s="72"/>
      <c r="VWG171" s="72"/>
      <c r="VWH171" s="72"/>
      <c r="VWI171" s="72"/>
      <c r="VWJ171" s="72"/>
      <c r="VWK171" s="72"/>
      <c r="VWL171" s="72"/>
      <c r="VWM171" s="72"/>
      <c r="VWN171" s="72"/>
      <c r="VWO171" s="72"/>
      <c r="VWP171" s="72"/>
      <c r="VWQ171" s="72"/>
      <c r="VWR171" s="72"/>
      <c r="VWS171" s="72"/>
      <c r="VWT171" s="72"/>
      <c r="VWU171" s="72"/>
      <c r="VWV171" s="72"/>
      <c r="VWW171" s="72"/>
      <c r="VWX171" s="72"/>
      <c r="VWY171" s="72"/>
      <c r="VWZ171" s="72"/>
      <c r="VXA171" s="72"/>
      <c r="VXB171" s="72"/>
      <c r="VXC171" s="72"/>
      <c r="VXD171" s="72"/>
      <c r="VXE171" s="72"/>
      <c r="VXF171" s="72"/>
      <c r="VXG171" s="72"/>
      <c r="VXH171" s="72"/>
      <c r="VXI171" s="72"/>
      <c r="VXJ171" s="72"/>
      <c r="VXK171" s="72"/>
      <c r="VXL171" s="72"/>
      <c r="VXM171" s="72"/>
      <c r="VXN171" s="72"/>
      <c r="VXO171" s="72"/>
      <c r="VXP171" s="72"/>
      <c r="VXQ171" s="72"/>
      <c r="VXR171" s="72"/>
      <c r="VXS171" s="72"/>
      <c r="VXT171" s="72"/>
      <c r="VXU171" s="72"/>
      <c r="VXV171" s="72"/>
      <c r="VXW171" s="72"/>
      <c r="VXX171" s="72"/>
      <c r="VXY171" s="72"/>
      <c r="VXZ171" s="72"/>
      <c r="VYA171" s="72"/>
      <c r="VYB171" s="72"/>
      <c r="VYC171" s="72"/>
      <c r="VYD171" s="72"/>
      <c r="VYE171" s="72"/>
      <c r="VYF171" s="72"/>
      <c r="VYG171" s="72"/>
      <c r="VYH171" s="72"/>
      <c r="VYI171" s="72"/>
      <c r="VYJ171" s="72"/>
      <c r="VYK171" s="72"/>
      <c r="VYL171" s="72"/>
      <c r="VYM171" s="72"/>
      <c r="VYN171" s="72"/>
      <c r="VYO171" s="72"/>
      <c r="VYP171" s="72"/>
      <c r="VYQ171" s="72"/>
      <c r="VYR171" s="72"/>
      <c r="VYS171" s="72"/>
      <c r="VYT171" s="72"/>
      <c r="VYU171" s="72"/>
      <c r="VYV171" s="72"/>
      <c r="VYW171" s="72"/>
      <c r="VYX171" s="72"/>
      <c r="VYY171" s="72"/>
      <c r="VYZ171" s="72"/>
      <c r="VZA171" s="72"/>
      <c r="VZB171" s="72"/>
      <c r="VZC171" s="72"/>
      <c r="VZD171" s="72"/>
      <c r="VZE171" s="72"/>
      <c r="VZF171" s="72"/>
      <c r="VZG171" s="72"/>
      <c r="VZH171" s="72"/>
      <c r="VZI171" s="72"/>
      <c r="VZJ171" s="72"/>
      <c r="VZK171" s="72"/>
      <c r="VZL171" s="72"/>
      <c r="VZM171" s="72"/>
      <c r="VZN171" s="72"/>
      <c r="VZO171" s="72"/>
      <c r="VZP171" s="72"/>
      <c r="VZQ171" s="72"/>
      <c r="VZR171" s="72"/>
      <c r="VZS171" s="72"/>
      <c r="VZT171" s="72"/>
      <c r="VZU171" s="72"/>
      <c r="VZV171" s="72"/>
      <c r="VZW171" s="72"/>
      <c r="VZX171" s="72"/>
      <c r="VZY171" s="72"/>
      <c r="VZZ171" s="72"/>
      <c r="WAA171" s="72"/>
      <c r="WAB171" s="72"/>
      <c r="WAC171" s="72"/>
      <c r="WAD171" s="72"/>
      <c r="WAE171" s="72"/>
      <c r="WAF171" s="72"/>
      <c r="WAG171" s="72"/>
      <c r="WAH171" s="72"/>
      <c r="WAI171" s="72"/>
      <c r="WAJ171" s="72"/>
      <c r="WAK171" s="72"/>
      <c r="WAL171" s="72"/>
      <c r="WAM171" s="72"/>
      <c r="WAN171" s="72"/>
      <c r="WAO171" s="72"/>
      <c r="WAP171" s="72"/>
      <c r="WAQ171" s="72"/>
      <c r="WAR171" s="72"/>
      <c r="WAS171" s="72"/>
      <c r="WAT171" s="72"/>
      <c r="WAU171" s="72"/>
      <c r="WAV171" s="72"/>
      <c r="WAW171" s="72"/>
      <c r="WAX171" s="72"/>
      <c r="WAY171" s="72"/>
      <c r="WAZ171" s="72"/>
      <c r="WBA171" s="72"/>
      <c r="WBB171" s="72"/>
      <c r="WBC171" s="72"/>
      <c r="WBD171" s="72"/>
      <c r="WBE171" s="72"/>
      <c r="WBF171" s="72"/>
      <c r="WBG171" s="72"/>
      <c r="WBH171" s="72"/>
      <c r="WBI171" s="72"/>
      <c r="WBJ171" s="72"/>
      <c r="WBK171" s="72"/>
      <c r="WBL171" s="72"/>
      <c r="WBM171" s="72"/>
      <c r="WBN171" s="72"/>
      <c r="WBO171" s="72"/>
      <c r="WBP171" s="72"/>
      <c r="WBQ171" s="72"/>
      <c r="WBR171" s="72"/>
      <c r="WBS171" s="72"/>
      <c r="WBT171" s="72"/>
      <c r="WBU171" s="72"/>
      <c r="WBV171" s="72"/>
      <c r="WBW171" s="72"/>
      <c r="WBX171" s="72"/>
      <c r="WBY171" s="72"/>
      <c r="WBZ171" s="72"/>
      <c r="WCA171" s="72"/>
      <c r="WCB171" s="72"/>
      <c r="WCC171" s="72"/>
      <c r="WCD171" s="72"/>
      <c r="WCE171" s="72"/>
      <c r="WCF171" s="72"/>
      <c r="WCG171" s="72"/>
      <c r="WCH171" s="72"/>
      <c r="WCI171" s="72"/>
      <c r="WCJ171" s="72"/>
      <c r="WCK171" s="72"/>
      <c r="WCL171" s="72"/>
      <c r="WCM171" s="72"/>
      <c r="WCN171" s="72"/>
      <c r="WCO171" s="72"/>
      <c r="WCP171" s="72"/>
      <c r="WCQ171" s="72"/>
      <c r="WCR171" s="72"/>
      <c r="WCS171" s="72"/>
      <c r="WCT171" s="72"/>
      <c r="WCU171" s="72"/>
      <c r="WCV171" s="72"/>
      <c r="WCW171" s="72"/>
      <c r="WCX171" s="72"/>
      <c r="WCY171" s="72"/>
      <c r="WCZ171" s="72"/>
      <c r="WDA171" s="72"/>
      <c r="WDB171" s="72"/>
      <c r="WDC171" s="72"/>
      <c r="WDD171" s="72"/>
      <c r="WDE171" s="72"/>
      <c r="WDF171" s="72"/>
      <c r="WDG171" s="72"/>
      <c r="WDH171" s="72"/>
      <c r="WDI171" s="72"/>
      <c r="WDJ171" s="72"/>
      <c r="WDK171" s="72"/>
      <c r="WDL171" s="72"/>
      <c r="WDM171" s="72"/>
      <c r="WDN171" s="72"/>
      <c r="WDO171" s="72"/>
      <c r="WDP171" s="72"/>
      <c r="WDQ171" s="72"/>
      <c r="WDR171" s="72"/>
      <c r="WDS171" s="72"/>
      <c r="WDT171" s="72"/>
      <c r="WDU171" s="72"/>
      <c r="WDV171" s="72"/>
      <c r="WDW171" s="72"/>
      <c r="WDX171" s="72"/>
      <c r="WDY171" s="72"/>
      <c r="WDZ171" s="72"/>
      <c r="WEA171" s="72"/>
      <c r="WEB171" s="72"/>
      <c r="WEC171" s="72"/>
      <c r="WED171" s="72"/>
      <c r="WEE171" s="72"/>
      <c r="WEF171" s="72"/>
      <c r="WEG171" s="72"/>
      <c r="WEH171" s="72"/>
      <c r="WEI171" s="72"/>
      <c r="WEJ171" s="72"/>
      <c r="WEK171" s="72"/>
      <c r="WEL171" s="72"/>
      <c r="WEM171" s="72"/>
      <c r="WEN171" s="72"/>
      <c r="WEO171" s="72"/>
      <c r="WEP171" s="72"/>
      <c r="WEQ171" s="72"/>
      <c r="WER171" s="72"/>
      <c r="WES171" s="72"/>
      <c r="WET171" s="72"/>
      <c r="WEU171" s="72"/>
      <c r="WEV171" s="72"/>
      <c r="WEW171" s="72"/>
      <c r="WEX171" s="72"/>
      <c r="WEY171" s="72"/>
      <c r="WEZ171" s="72"/>
      <c r="WFA171" s="72"/>
      <c r="WFB171" s="72"/>
      <c r="WFC171" s="72"/>
      <c r="WFD171" s="72"/>
      <c r="WFE171" s="72"/>
      <c r="WFF171" s="72"/>
      <c r="WFG171" s="72"/>
      <c r="WFH171" s="72"/>
      <c r="WFI171" s="72"/>
      <c r="WFJ171" s="72"/>
      <c r="WFK171" s="72"/>
      <c r="WFL171" s="72"/>
      <c r="WFM171" s="72"/>
      <c r="WFN171" s="72"/>
      <c r="WFO171" s="72"/>
      <c r="WFP171" s="72"/>
      <c r="WFQ171" s="72"/>
      <c r="WFR171" s="72"/>
      <c r="WFS171" s="72"/>
      <c r="WFT171" s="72"/>
      <c r="WFU171" s="72"/>
      <c r="WFV171" s="72"/>
      <c r="WFW171" s="72"/>
      <c r="WFX171" s="72"/>
      <c r="WFY171" s="72"/>
      <c r="WFZ171" s="72"/>
      <c r="WGA171" s="72"/>
      <c r="WGB171" s="72"/>
      <c r="WGC171" s="72"/>
      <c r="WGD171" s="72"/>
      <c r="WGE171" s="72"/>
      <c r="WGF171" s="72"/>
      <c r="WGG171" s="72"/>
      <c r="WGH171" s="72"/>
      <c r="WGI171" s="72"/>
      <c r="WGJ171" s="72"/>
      <c r="WGK171" s="72"/>
      <c r="WGL171" s="72"/>
      <c r="WGM171" s="72"/>
      <c r="WGN171" s="72"/>
      <c r="WGO171" s="72"/>
      <c r="WGP171" s="72"/>
      <c r="WGQ171" s="72"/>
      <c r="WGR171" s="72"/>
      <c r="WGS171" s="72"/>
      <c r="WGT171" s="72"/>
      <c r="WGU171" s="72"/>
      <c r="WGV171" s="72"/>
      <c r="WGW171" s="72"/>
      <c r="WGX171" s="72"/>
      <c r="WGY171" s="72"/>
      <c r="WGZ171" s="72"/>
      <c r="WHA171" s="72"/>
      <c r="WHB171" s="72"/>
      <c r="WHC171" s="72"/>
      <c r="WHD171" s="72"/>
      <c r="WHE171" s="72"/>
      <c r="WHF171" s="72"/>
      <c r="WHG171" s="72"/>
      <c r="WHH171" s="72"/>
      <c r="WHI171" s="72"/>
      <c r="WHJ171" s="72"/>
      <c r="WHK171" s="72"/>
      <c r="WHL171" s="72"/>
      <c r="WHM171" s="72"/>
      <c r="WHN171" s="72"/>
      <c r="WHO171" s="72"/>
      <c r="WHP171" s="72"/>
      <c r="WHQ171" s="72"/>
      <c r="WHR171" s="72"/>
      <c r="WHS171" s="72"/>
      <c r="WHT171" s="72"/>
      <c r="WHU171" s="72"/>
      <c r="WHV171" s="72"/>
      <c r="WHW171" s="72"/>
      <c r="WHX171" s="72"/>
      <c r="WHY171" s="72"/>
      <c r="WHZ171" s="72"/>
      <c r="WIA171" s="72"/>
      <c r="WIB171" s="72"/>
      <c r="WIC171" s="72"/>
      <c r="WID171" s="72"/>
      <c r="WIE171" s="72"/>
      <c r="WIF171" s="72"/>
      <c r="WIG171" s="72"/>
      <c r="WIH171" s="72"/>
      <c r="WII171" s="72"/>
      <c r="WIJ171" s="72"/>
      <c r="WIK171" s="72"/>
      <c r="WIL171" s="72"/>
      <c r="WIM171" s="72"/>
      <c r="WIN171" s="72"/>
      <c r="WIO171" s="72"/>
      <c r="WIP171" s="72"/>
      <c r="WIQ171" s="72"/>
      <c r="WIR171" s="72"/>
      <c r="WIS171" s="72"/>
      <c r="WIT171" s="72"/>
      <c r="WIU171" s="72"/>
      <c r="WIV171" s="72"/>
      <c r="WIW171" s="72"/>
      <c r="WIX171" s="72"/>
      <c r="WIY171" s="72"/>
      <c r="WIZ171" s="72"/>
      <c r="WJA171" s="72"/>
      <c r="WJB171" s="72"/>
      <c r="WJC171" s="72"/>
      <c r="WJD171" s="72"/>
      <c r="WJE171" s="72"/>
      <c r="WJF171" s="72"/>
      <c r="WJG171" s="72"/>
      <c r="WJH171" s="72"/>
      <c r="WJI171" s="72"/>
      <c r="WJJ171" s="72"/>
      <c r="WJK171" s="72"/>
      <c r="WJL171" s="72"/>
      <c r="WJM171" s="72"/>
      <c r="WJN171" s="72"/>
      <c r="WJO171" s="72"/>
      <c r="WJP171" s="72"/>
      <c r="WJQ171" s="72"/>
      <c r="WJR171" s="72"/>
      <c r="WJS171" s="72"/>
      <c r="WJT171" s="72"/>
      <c r="WJU171" s="72"/>
      <c r="WJV171" s="72"/>
      <c r="WJW171" s="72"/>
      <c r="WJX171" s="72"/>
      <c r="WJY171" s="72"/>
      <c r="WJZ171" s="72"/>
      <c r="WKA171" s="72"/>
      <c r="WKB171" s="72"/>
      <c r="WKC171" s="72"/>
      <c r="WKD171" s="72"/>
      <c r="WKE171" s="72"/>
      <c r="WKF171" s="72"/>
      <c r="WKG171" s="72"/>
      <c r="WKH171" s="72"/>
      <c r="WKI171" s="72"/>
      <c r="WKJ171" s="72"/>
      <c r="WKK171" s="72"/>
      <c r="WKL171" s="72"/>
      <c r="WKM171" s="72"/>
      <c r="WKN171" s="72"/>
      <c r="WKO171" s="72"/>
      <c r="WKP171" s="72"/>
      <c r="WKQ171" s="72"/>
      <c r="WKR171" s="72"/>
      <c r="WKS171" s="72"/>
      <c r="WKT171" s="72"/>
      <c r="WKU171" s="72"/>
      <c r="WKV171" s="72"/>
      <c r="WKW171" s="72"/>
      <c r="WKX171" s="72"/>
      <c r="WKY171" s="72"/>
      <c r="WKZ171" s="72"/>
      <c r="WLA171" s="72"/>
      <c r="WLB171" s="72"/>
      <c r="WLC171" s="72"/>
      <c r="WLD171" s="72"/>
      <c r="WLE171" s="72"/>
      <c r="WLF171" s="72"/>
      <c r="WLG171" s="72"/>
      <c r="WLH171" s="72"/>
      <c r="WLI171" s="72"/>
      <c r="WLJ171" s="72"/>
      <c r="WLK171" s="72"/>
      <c r="WLL171" s="72"/>
      <c r="WLM171" s="72"/>
      <c r="WLN171" s="72"/>
      <c r="WLO171" s="72"/>
      <c r="WLP171" s="72"/>
      <c r="WLQ171" s="72"/>
      <c r="WLR171" s="72"/>
      <c r="WLS171" s="72"/>
      <c r="WLT171" s="72"/>
      <c r="WLU171" s="72"/>
      <c r="WLV171" s="72"/>
      <c r="WLW171" s="72"/>
      <c r="WLX171" s="72"/>
      <c r="WLY171" s="72"/>
      <c r="WLZ171" s="72"/>
      <c r="WMA171" s="72"/>
      <c r="WMB171" s="72"/>
      <c r="WMC171" s="72"/>
      <c r="WMD171" s="72"/>
      <c r="WME171" s="72"/>
      <c r="WMF171" s="72"/>
      <c r="WMG171" s="72"/>
      <c r="WMH171" s="72"/>
      <c r="WMI171" s="72"/>
      <c r="WMJ171" s="72"/>
      <c r="WMK171" s="72"/>
      <c r="WML171" s="72"/>
      <c r="WMM171" s="72"/>
      <c r="WMN171" s="72"/>
      <c r="WMO171" s="72"/>
      <c r="WMP171" s="72"/>
      <c r="WMQ171" s="72"/>
      <c r="WMR171" s="72"/>
      <c r="WMS171" s="72"/>
      <c r="WMT171" s="72"/>
      <c r="WMU171" s="72"/>
      <c r="WMV171" s="72"/>
      <c r="WMW171" s="72"/>
      <c r="WMX171" s="72"/>
      <c r="WMY171" s="72"/>
      <c r="WMZ171" s="72"/>
      <c r="WNA171" s="72"/>
      <c r="WNB171" s="72"/>
      <c r="WNC171" s="72"/>
      <c r="WND171" s="72"/>
      <c r="WNE171" s="72"/>
      <c r="WNF171" s="72"/>
      <c r="WNG171" s="72"/>
      <c r="WNH171" s="72"/>
      <c r="WNI171" s="72"/>
      <c r="WNJ171" s="72"/>
      <c r="WNK171" s="72"/>
      <c r="WNL171" s="72"/>
      <c r="WNM171" s="72"/>
      <c r="WNN171" s="72"/>
      <c r="WNO171" s="72"/>
      <c r="WNP171" s="72"/>
      <c r="WNQ171" s="72"/>
      <c r="WNR171" s="72"/>
      <c r="WNS171" s="72"/>
      <c r="WNT171" s="72"/>
      <c r="WNU171" s="72"/>
      <c r="WNV171" s="72"/>
      <c r="WNW171" s="72"/>
      <c r="WNX171" s="72"/>
      <c r="WNY171" s="72"/>
      <c r="WNZ171" s="72"/>
      <c r="WOA171" s="72"/>
      <c r="WOB171" s="72"/>
      <c r="WOC171" s="72"/>
      <c r="WOD171" s="72"/>
      <c r="WOE171" s="72"/>
      <c r="WOF171" s="72"/>
      <c r="WOG171" s="72"/>
      <c r="WOH171" s="72"/>
      <c r="WOI171" s="72"/>
      <c r="WOJ171" s="72"/>
      <c r="WOK171" s="72"/>
      <c r="WOL171" s="72"/>
      <c r="WOM171" s="72"/>
      <c r="WON171" s="72"/>
      <c r="WOO171" s="72"/>
      <c r="WOP171" s="72"/>
      <c r="WOQ171" s="72"/>
      <c r="WOR171" s="72"/>
      <c r="WOS171" s="72"/>
      <c r="WOT171" s="72"/>
      <c r="WOU171" s="72"/>
      <c r="WOV171" s="72"/>
      <c r="WOW171" s="72"/>
      <c r="WOX171" s="72"/>
      <c r="WOY171" s="72"/>
      <c r="WOZ171" s="72"/>
      <c r="WPA171" s="72"/>
      <c r="WPB171" s="72"/>
      <c r="WPC171" s="72"/>
      <c r="WPD171" s="72"/>
      <c r="WPE171" s="72"/>
      <c r="WPF171" s="72"/>
      <c r="WPG171" s="72"/>
      <c r="WPH171" s="72"/>
      <c r="WPI171" s="72"/>
      <c r="WPJ171" s="72"/>
      <c r="WPK171" s="72"/>
      <c r="WPL171" s="72"/>
      <c r="WPM171" s="72"/>
      <c r="WPN171" s="72"/>
      <c r="WPO171" s="72"/>
      <c r="WPP171" s="72"/>
      <c r="WPQ171" s="72"/>
      <c r="WPR171" s="72"/>
      <c r="WPS171" s="72"/>
      <c r="WPT171" s="72"/>
      <c r="WPU171" s="72"/>
      <c r="WPV171" s="72"/>
      <c r="WPW171" s="72"/>
      <c r="WPX171" s="72"/>
      <c r="WPY171" s="72"/>
      <c r="WPZ171" s="72"/>
      <c r="WQA171" s="72"/>
      <c r="WQB171" s="72"/>
      <c r="WQC171" s="72"/>
      <c r="WQD171" s="72"/>
      <c r="WQE171" s="72"/>
      <c r="WQF171" s="72"/>
      <c r="WQG171" s="72"/>
      <c r="WQH171" s="72"/>
      <c r="WQI171" s="72"/>
      <c r="WQJ171" s="72"/>
      <c r="WQK171" s="72"/>
      <c r="WQL171" s="72"/>
      <c r="WQM171" s="72"/>
      <c r="WQN171" s="72"/>
      <c r="WQO171" s="72"/>
      <c r="WQP171" s="72"/>
      <c r="WQQ171" s="72"/>
      <c r="WQR171" s="72"/>
      <c r="WQS171" s="72"/>
      <c r="WQT171" s="72"/>
      <c r="WQU171" s="72"/>
      <c r="WQV171" s="72"/>
      <c r="WQW171" s="72"/>
      <c r="WQX171" s="72"/>
      <c r="WQY171" s="72"/>
      <c r="WQZ171" s="72"/>
      <c r="WRA171" s="72"/>
      <c r="WRB171" s="72"/>
      <c r="WRC171" s="72"/>
      <c r="WRD171" s="72"/>
      <c r="WRE171" s="72"/>
      <c r="WRF171" s="72"/>
      <c r="WRG171" s="72"/>
      <c r="WRH171" s="72"/>
      <c r="WRI171" s="72"/>
      <c r="WRJ171" s="72"/>
      <c r="WRK171" s="72"/>
      <c r="WRL171" s="72"/>
      <c r="WRM171" s="72"/>
      <c r="WRN171" s="72"/>
      <c r="WRO171" s="72"/>
      <c r="WRP171" s="72"/>
      <c r="WRQ171" s="72"/>
      <c r="WRR171" s="72"/>
      <c r="WRS171" s="72"/>
      <c r="WRT171" s="72"/>
      <c r="WRU171" s="72"/>
      <c r="WRV171" s="72"/>
      <c r="WRW171" s="72"/>
      <c r="WRX171" s="72"/>
      <c r="WRY171" s="72"/>
      <c r="WRZ171" s="72"/>
      <c r="WSA171" s="72"/>
      <c r="WSB171" s="72"/>
      <c r="WSC171" s="72"/>
      <c r="WSD171" s="72"/>
      <c r="WSE171" s="72"/>
      <c r="WSF171" s="72"/>
      <c r="WSG171" s="72"/>
      <c r="WSH171" s="72"/>
      <c r="WSI171" s="72"/>
      <c r="WSJ171" s="72"/>
      <c r="WSK171" s="72"/>
      <c r="WSL171" s="72"/>
      <c r="WSM171" s="72"/>
      <c r="WSN171" s="72"/>
      <c r="WSO171" s="72"/>
      <c r="WSP171" s="72"/>
      <c r="WSQ171" s="72"/>
      <c r="WSR171" s="72"/>
      <c r="WSS171" s="72"/>
      <c r="WST171" s="72"/>
      <c r="WSU171" s="72"/>
      <c r="WSV171" s="72"/>
      <c r="WSW171" s="72"/>
      <c r="WSX171" s="72"/>
      <c r="WSY171" s="72"/>
      <c r="WSZ171" s="72"/>
      <c r="WTA171" s="72"/>
      <c r="WTB171" s="72"/>
      <c r="WTC171" s="72"/>
      <c r="WTD171" s="72"/>
      <c r="WTE171" s="72"/>
      <c r="WTF171" s="72"/>
      <c r="WTG171" s="72"/>
      <c r="WTH171" s="72"/>
      <c r="WTI171" s="72"/>
      <c r="WTJ171" s="72"/>
      <c r="WTK171" s="72"/>
      <c r="WTL171" s="72"/>
      <c r="WTM171" s="72"/>
      <c r="WTN171" s="72"/>
      <c r="WTO171" s="72"/>
      <c r="WTP171" s="72"/>
      <c r="WTQ171" s="72"/>
      <c r="WTR171" s="72"/>
      <c r="WTS171" s="72"/>
      <c r="WTT171" s="72"/>
      <c r="WTU171" s="72"/>
      <c r="WTV171" s="72"/>
      <c r="WTW171" s="72"/>
      <c r="WTX171" s="72"/>
      <c r="WTY171" s="72"/>
      <c r="WTZ171" s="72"/>
      <c r="WUA171" s="72"/>
      <c r="WUB171" s="72"/>
      <c r="WUC171" s="72"/>
      <c r="WUD171" s="72"/>
      <c r="WUE171" s="72"/>
      <c r="WUF171" s="72"/>
      <c r="WUG171" s="72"/>
      <c r="WUH171" s="72"/>
      <c r="WUI171" s="72"/>
      <c r="WUJ171" s="72"/>
      <c r="WUK171" s="72"/>
      <c r="WUL171" s="72"/>
      <c r="WUM171" s="72"/>
      <c r="WUN171" s="72"/>
      <c r="WUO171" s="72"/>
      <c r="WUP171" s="72"/>
      <c r="WUQ171" s="72"/>
      <c r="WUR171" s="72"/>
      <c r="WUS171" s="72"/>
      <c r="WUT171" s="72"/>
      <c r="WUU171" s="72"/>
      <c r="WUV171" s="72"/>
      <c r="WUW171" s="72"/>
      <c r="WUX171" s="72"/>
      <c r="WUY171" s="72"/>
      <c r="WUZ171" s="72"/>
      <c r="WVA171" s="72"/>
      <c r="WVB171" s="72"/>
      <c r="WVC171" s="72"/>
      <c r="WVD171" s="72"/>
      <c r="WVE171" s="72"/>
      <c r="WVF171" s="72"/>
      <c r="WVG171" s="72"/>
      <c r="WVH171" s="72"/>
      <c r="WVI171" s="72"/>
      <c r="WVJ171" s="72"/>
      <c r="WVK171" s="72"/>
      <c r="WVL171" s="72"/>
      <c r="WVM171" s="72"/>
      <c r="WVN171" s="72"/>
      <c r="WVO171" s="72"/>
      <c r="WVP171" s="72"/>
      <c r="WVQ171" s="72"/>
      <c r="WVR171" s="72"/>
      <c r="WVS171" s="72"/>
    </row>
    <row r="172" spans="1:16139" s="3" customFormat="1" ht="159" customHeight="1" x14ac:dyDescent="0.25">
      <c r="A172" s="86">
        <v>145</v>
      </c>
      <c r="B172" s="86" t="s">
        <v>197</v>
      </c>
      <c r="C172" s="51" t="s">
        <v>40</v>
      </c>
      <c r="D172" s="45" t="s">
        <v>39</v>
      </c>
      <c r="E172" s="45" t="s">
        <v>38</v>
      </c>
      <c r="F172" s="45">
        <v>897</v>
      </c>
      <c r="G172" s="45">
        <v>1995</v>
      </c>
      <c r="H172" s="46">
        <f t="shared" si="54"/>
        <v>1.789515</v>
      </c>
      <c r="I172" s="45">
        <v>1</v>
      </c>
      <c r="J172" s="53">
        <v>3445000</v>
      </c>
      <c r="K172" s="47">
        <v>1819000</v>
      </c>
      <c r="L172" s="48">
        <f t="shared" si="55"/>
        <v>7983879.1749999998</v>
      </c>
      <c r="M172" s="28"/>
      <c r="N172" s="28"/>
      <c r="O172" s="28"/>
      <c r="P172" s="28"/>
      <c r="Q172" s="28"/>
      <c r="R172" s="28"/>
      <c r="S172" s="28"/>
      <c r="T172" s="28"/>
      <c r="U172" s="28"/>
      <c r="V172" s="28"/>
      <c r="W172" s="28"/>
      <c r="X172" s="28"/>
      <c r="Y172" s="28"/>
      <c r="Z172" s="28"/>
      <c r="AA172" s="28"/>
      <c r="AB172" s="28"/>
      <c r="AC172" s="28"/>
      <c r="AD172" s="28"/>
      <c r="AE172" s="28"/>
      <c r="AF172" s="28"/>
    </row>
    <row r="173" spans="1:16139" s="3" customFormat="1" ht="159" customHeight="1" x14ac:dyDescent="0.25">
      <c r="A173" s="86">
        <v>146</v>
      </c>
      <c r="B173" s="86" t="s">
        <v>198</v>
      </c>
      <c r="C173" s="51" t="s">
        <v>40</v>
      </c>
      <c r="D173" s="45" t="s">
        <v>39</v>
      </c>
      <c r="E173" s="45" t="s">
        <v>38</v>
      </c>
      <c r="F173" s="45">
        <v>897</v>
      </c>
      <c r="G173" s="45">
        <v>1995</v>
      </c>
      <c r="H173" s="46">
        <f t="shared" si="54"/>
        <v>1.789515</v>
      </c>
      <c r="I173" s="45">
        <v>1</v>
      </c>
      <c r="J173" s="53">
        <v>3445000</v>
      </c>
      <c r="K173" s="47">
        <v>1819000</v>
      </c>
      <c r="L173" s="48">
        <f t="shared" si="55"/>
        <v>7983879.1749999998</v>
      </c>
      <c r="M173" s="28"/>
      <c r="N173" s="28"/>
      <c r="O173" s="28"/>
      <c r="P173" s="28"/>
      <c r="Q173" s="28"/>
      <c r="R173" s="28"/>
      <c r="S173" s="28"/>
      <c r="T173" s="28"/>
      <c r="U173" s="28"/>
      <c r="V173" s="28"/>
      <c r="W173" s="28"/>
      <c r="X173" s="28"/>
      <c r="Y173" s="28"/>
      <c r="Z173" s="28"/>
      <c r="AA173" s="28"/>
      <c r="AB173" s="28"/>
      <c r="AC173" s="28"/>
      <c r="AD173" s="28"/>
      <c r="AE173" s="28"/>
      <c r="AF173" s="28"/>
    </row>
    <row r="174" spans="1:16139" ht="147" customHeight="1" x14ac:dyDescent="0.25">
      <c r="A174" s="135">
        <v>147</v>
      </c>
      <c r="B174" s="135" t="s">
        <v>204</v>
      </c>
      <c r="C174" s="51" t="s">
        <v>205</v>
      </c>
      <c r="D174" s="45" t="s">
        <v>206</v>
      </c>
      <c r="E174" s="45"/>
      <c r="F174" s="45">
        <v>6000</v>
      </c>
      <c r="G174" s="45">
        <v>1500</v>
      </c>
      <c r="H174" s="46">
        <f t="shared" si="54"/>
        <v>9</v>
      </c>
      <c r="I174" s="45">
        <v>2</v>
      </c>
      <c r="J174" s="53">
        <v>2808000</v>
      </c>
      <c r="K174" s="47"/>
      <c r="L174" s="48">
        <f t="shared" si="55"/>
        <v>50544000</v>
      </c>
      <c r="M174" s="28"/>
      <c r="N174" s="28"/>
      <c r="O174" s="28"/>
      <c r="P174" s="28"/>
      <c r="Q174" s="28"/>
      <c r="R174" s="28"/>
      <c r="S174" s="28"/>
      <c r="T174" s="28"/>
      <c r="U174" s="28"/>
      <c r="V174" s="28"/>
      <c r="W174" s="28"/>
      <c r="X174" s="28"/>
      <c r="Y174" s="28"/>
      <c r="Z174" s="28"/>
      <c r="AA174" s="28"/>
      <c r="AB174" s="28"/>
      <c r="AC174" s="28"/>
      <c r="AD174" s="28"/>
      <c r="AE174" s="28"/>
      <c r="AF174" s="28"/>
      <c r="AG174" s="28"/>
      <c r="AH174" s="28"/>
    </row>
    <row r="175" spans="1:16139" ht="30.75" customHeight="1" x14ac:dyDescent="0.25">
      <c r="A175" s="136"/>
      <c r="B175" s="136"/>
      <c r="C175" s="69" t="s">
        <v>201</v>
      </c>
      <c r="D175" s="59"/>
      <c r="E175" s="59"/>
      <c r="F175" s="59">
        <f>6000*2</f>
        <v>12000</v>
      </c>
      <c r="G175" s="59"/>
      <c r="H175" s="60">
        <f t="shared" si="54"/>
        <v>0</v>
      </c>
      <c r="I175" s="59">
        <v>2</v>
      </c>
      <c r="J175" s="53">
        <v>550000</v>
      </c>
      <c r="K175" s="47"/>
      <c r="L175" s="70">
        <f>F175*I175*J175/1000</f>
        <v>13200000</v>
      </c>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c r="FP175" s="72"/>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2"/>
      <c r="MQ175" s="72"/>
      <c r="MR175" s="72"/>
      <c r="MS175" s="72"/>
      <c r="MT175" s="72"/>
      <c r="MU175" s="72"/>
      <c r="MV175" s="72"/>
      <c r="MW175" s="72"/>
      <c r="MX175" s="72"/>
      <c r="MY175" s="72"/>
      <c r="MZ175" s="72"/>
      <c r="NA175" s="72"/>
      <c r="NB175" s="72"/>
      <c r="NC175" s="72"/>
      <c r="ND175" s="72"/>
      <c r="NE175" s="72"/>
      <c r="NF175" s="72"/>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c r="OJ175" s="72"/>
      <c r="OK175" s="72"/>
      <c r="OL175" s="72"/>
      <c r="OM175" s="72"/>
      <c r="ON175" s="72"/>
      <c r="OO175" s="72"/>
      <c r="OP175" s="72"/>
      <c r="OQ175" s="72"/>
      <c r="OR175" s="72"/>
      <c r="OS175" s="72"/>
      <c r="OT175" s="72"/>
      <c r="OU175" s="72"/>
      <c r="OV175" s="72"/>
      <c r="OW175" s="72"/>
      <c r="OX175" s="72"/>
      <c r="OY175" s="72"/>
      <c r="OZ175" s="72"/>
      <c r="PA175" s="72"/>
      <c r="PB175" s="72"/>
      <c r="PC175" s="72"/>
      <c r="PD175" s="72"/>
      <c r="PE175" s="72"/>
      <c r="PF175" s="72"/>
      <c r="PG175" s="72"/>
      <c r="PH175" s="72"/>
      <c r="PI175" s="72"/>
      <c r="PJ175" s="72"/>
      <c r="PK175" s="72"/>
      <c r="PL175" s="72"/>
      <c r="PM175" s="72"/>
      <c r="PN175" s="72"/>
      <c r="PO175" s="72"/>
      <c r="PP175" s="72"/>
      <c r="PQ175" s="72"/>
      <c r="PR175" s="72"/>
      <c r="PS175" s="72"/>
      <c r="PT175" s="72"/>
      <c r="PU175" s="72"/>
      <c r="PV175" s="72"/>
      <c r="PW175" s="72"/>
      <c r="PX175" s="72"/>
      <c r="PY175" s="72"/>
      <c r="PZ175" s="72"/>
      <c r="QA175" s="72"/>
      <c r="QB175" s="72"/>
      <c r="QC175" s="72"/>
      <c r="QD175" s="72"/>
      <c r="QE175" s="72"/>
      <c r="QF175" s="72"/>
      <c r="QG175" s="72"/>
      <c r="QH175" s="72"/>
      <c r="QI175" s="72"/>
      <c r="QJ175" s="72"/>
      <c r="QK175" s="72"/>
      <c r="QL175" s="72"/>
      <c r="QM175" s="72"/>
      <c r="QN175" s="72"/>
      <c r="QO175" s="72"/>
      <c r="QP175" s="72"/>
      <c r="QQ175" s="72"/>
      <c r="QR175" s="72"/>
      <c r="QS175" s="72"/>
      <c r="QT175" s="72"/>
      <c r="QU175" s="72"/>
      <c r="QV175" s="72"/>
      <c r="QW175" s="72"/>
      <c r="QX175" s="72"/>
      <c r="QY175" s="72"/>
      <c r="QZ175" s="72"/>
      <c r="RA175" s="72"/>
      <c r="RB175" s="72"/>
      <c r="RC175" s="72"/>
      <c r="RD175" s="72"/>
      <c r="RE175" s="72"/>
      <c r="RF175" s="72"/>
      <c r="RG175" s="72"/>
      <c r="RH175" s="72"/>
      <c r="RI175" s="72"/>
      <c r="RJ175" s="72"/>
      <c r="RK175" s="72"/>
      <c r="RL175" s="72"/>
      <c r="RM175" s="72"/>
      <c r="RN175" s="72"/>
      <c r="RO175" s="72"/>
      <c r="RP175" s="72"/>
      <c r="RQ175" s="72"/>
      <c r="RR175" s="72"/>
      <c r="RS175" s="72"/>
      <c r="RT175" s="72"/>
      <c r="RU175" s="72"/>
      <c r="RV175" s="72"/>
      <c r="RW175" s="72"/>
      <c r="RX175" s="72"/>
      <c r="RY175" s="72"/>
      <c r="RZ175" s="72"/>
      <c r="SA175" s="72"/>
      <c r="SB175" s="72"/>
      <c r="SC175" s="72"/>
      <c r="SD175" s="72"/>
      <c r="SE175" s="72"/>
      <c r="SF175" s="72"/>
      <c r="SG175" s="72"/>
      <c r="SH175" s="72"/>
      <c r="SI175" s="72"/>
      <c r="SJ175" s="72"/>
      <c r="SK175" s="72"/>
      <c r="SL175" s="72"/>
      <c r="SM175" s="72"/>
      <c r="SN175" s="72"/>
      <c r="SO175" s="72"/>
      <c r="SP175" s="72"/>
      <c r="SQ175" s="72"/>
      <c r="SR175" s="72"/>
      <c r="SS175" s="72"/>
      <c r="ST175" s="72"/>
      <c r="SU175" s="72"/>
      <c r="SV175" s="72"/>
      <c r="SW175" s="72"/>
      <c r="SX175" s="72"/>
      <c r="SY175" s="72"/>
      <c r="SZ175" s="72"/>
      <c r="TA175" s="72"/>
      <c r="TB175" s="72"/>
      <c r="TC175" s="72"/>
      <c r="TD175" s="72"/>
      <c r="TE175" s="72"/>
      <c r="TF175" s="72"/>
      <c r="TG175" s="72"/>
      <c r="TH175" s="72"/>
      <c r="TI175" s="72"/>
      <c r="TJ175" s="72"/>
      <c r="TK175" s="72"/>
      <c r="TL175" s="72"/>
      <c r="TM175" s="72"/>
      <c r="TN175" s="72"/>
      <c r="TO175" s="72"/>
      <c r="TP175" s="72"/>
      <c r="TQ175" s="72"/>
      <c r="TR175" s="72"/>
      <c r="TS175" s="72"/>
      <c r="TT175" s="72"/>
      <c r="TU175" s="72"/>
      <c r="TV175" s="72"/>
      <c r="TW175" s="72"/>
      <c r="TX175" s="72"/>
      <c r="TY175" s="72"/>
      <c r="TZ175" s="72"/>
      <c r="UA175" s="72"/>
      <c r="UB175" s="72"/>
      <c r="UC175" s="72"/>
      <c r="UD175" s="72"/>
      <c r="UE175" s="72"/>
      <c r="UF175" s="72"/>
      <c r="UG175" s="72"/>
      <c r="UH175" s="72"/>
      <c r="UI175" s="72"/>
      <c r="UJ175" s="72"/>
      <c r="UK175" s="72"/>
      <c r="UL175" s="72"/>
      <c r="UM175" s="72"/>
      <c r="UN175" s="72"/>
      <c r="UO175" s="72"/>
      <c r="UP175" s="72"/>
      <c r="UQ175" s="72"/>
      <c r="UR175" s="72"/>
      <c r="US175" s="72"/>
      <c r="UT175" s="72"/>
      <c r="UU175" s="72"/>
      <c r="UV175" s="72"/>
      <c r="UW175" s="72"/>
      <c r="UX175" s="72"/>
      <c r="UY175" s="72"/>
      <c r="UZ175" s="72"/>
      <c r="VA175" s="72"/>
      <c r="VB175" s="72"/>
      <c r="VC175" s="72"/>
      <c r="VD175" s="72"/>
      <c r="VE175" s="72"/>
      <c r="VF175" s="72"/>
      <c r="VG175" s="72"/>
      <c r="VH175" s="72"/>
      <c r="VI175" s="72"/>
      <c r="VJ175" s="72"/>
      <c r="VK175" s="72"/>
      <c r="VL175" s="72"/>
      <c r="VM175" s="72"/>
      <c r="VN175" s="72"/>
      <c r="VO175" s="72"/>
      <c r="VP175" s="72"/>
      <c r="VQ175" s="72"/>
      <c r="VR175" s="72"/>
      <c r="VS175" s="72"/>
      <c r="VT175" s="72"/>
      <c r="VU175" s="72"/>
      <c r="VV175" s="72"/>
      <c r="VW175" s="72"/>
      <c r="VX175" s="72"/>
      <c r="VY175" s="72"/>
      <c r="VZ175" s="72"/>
      <c r="WA175" s="72"/>
      <c r="WB175" s="72"/>
      <c r="WC175" s="72"/>
      <c r="WD175" s="72"/>
      <c r="WE175" s="72"/>
      <c r="WF175" s="72"/>
      <c r="WG175" s="72"/>
      <c r="WH175" s="72"/>
      <c r="WI175" s="72"/>
      <c r="WJ175" s="72"/>
      <c r="WK175" s="72"/>
      <c r="WL175" s="72"/>
      <c r="WM175" s="72"/>
      <c r="WN175" s="72"/>
      <c r="WO175" s="72"/>
      <c r="WP175" s="72"/>
      <c r="WQ175" s="72"/>
      <c r="WR175" s="72"/>
      <c r="WS175" s="72"/>
      <c r="WT175" s="72"/>
      <c r="WU175" s="72"/>
      <c r="WV175" s="72"/>
      <c r="WW175" s="72"/>
      <c r="WX175" s="72"/>
      <c r="WY175" s="72"/>
      <c r="WZ175" s="72"/>
      <c r="XA175" s="72"/>
      <c r="XB175" s="72"/>
      <c r="XC175" s="72"/>
      <c r="XD175" s="72"/>
      <c r="XE175" s="72"/>
      <c r="XF175" s="72"/>
      <c r="XG175" s="72"/>
      <c r="XH175" s="72"/>
      <c r="XI175" s="72"/>
      <c r="XJ175" s="72"/>
      <c r="XK175" s="72"/>
      <c r="XL175" s="72"/>
      <c r="XM175" s="72"/>
      <c r="XN175" s="72"/>
      <c r="XO175" s="72"/>
      <c r="XP175" s="72"/>
      <c r="XQ175" s="72"/>
      <c r="XR175" s="72"/>
      <c r="XS175" s="72"/>
      <c r="XT175" s="72"/>
      <c r="XU175" s="72"/>
      <c r="XV175" s="72"/>
      <c r="XW175" s="72"/>
      <c r="XX175" s="72"/>
      <c r="XY175" s="72"/>
      <c r="XZ175" s="72"/>
      <c r="YA175" s="72"/>
      <c r="YB175" s="72"/>
      <c r="YC175" s="72"/>
      <c r="YD175" s="72"/>
      <c r="YE175" s="72"/>
      <c r="YF175" s="72"/>
      <c r="YG175" s="72"/>
      <c r="YH175" s="72"/>
      <c r="YI175" s="72"/>
      <c r="YJ175" s="72"/>
      <c r="YK175" s="72"/>
      <c r="YL175" s="72"/>
      <c r="YM175" s="72"/>
      <c r="YN175" s="72"/>
      <c r="YO175" s="72"/>
      <c r="YP175" s="72"/>
      <c r="YQ175" s="72"/>
      <c r="YR175" s="72"/>
      <c r="YS175" s="72"/>
      <c r="YT175" s="72"/>
      <c r="YU175" s="72"/>
      <c r="YV175" s="72"/>
      <c r="YW175" s="72"/>
      <c r="YX175" s="72"/>
      <c r="YY175" s="72"/>
      <c r="YZ175" s="72"/>
      <c r="ZA175" s="72"/>
      <c r="ZB175" s="72"/>
      <c r="ZC175" s="72"/>
      <c r="ZD175" s="72"/>
      <c r="ZE175" s="72"/>
      <c r="ZF175" s="72"/>
      <c r="ZG175" s="72"/>
      <c r="ZH175" s="72"/>
      <c r="ZI175" s="72"/>
      <c r="ZJ175" s="72"/>
      <c r="ZK175" s="72"/>
      <c r="ZL175" s="72"/>
      <c r="ZM175" s="72"/>
      <c r="ZN175" s="72"/>
      <c r="ZO175" s="72"/>
      <c r="ZP175" s="72"/>
      <c r="ZQ175" s="72"/>
      <c r="ZR175" s="72"/>
      <c r="ZS175" s="72"/>
      <c r="ZT175" s="72"/>
      <c r="ZU175" s="72"/>
      <c r="ZV175" s="72"/>
      <c r="ZW175" s="72"/>
      <c r="ZX175" s="72"/>
      <c r="ZY175" s="72"/>
      <c r="ZZ175" s="72"/>
      <c r="AAA175" s="72"/>
      <c r="AAB175" s="72"/>
      <c r="AAC175" s="72"/>
      <c r="AAD175" s="72"/>
      <c r="AAE175" s="72"/>
      <c r="AAF175" s="72"/>
      <c r="AAG175" s="72"/>
      <c r="AAH175" s="72"/>
      <c r="AAI175" s="72"/>
      <c r="AAJ175" s="72"/>
      <c r="AAK175" s="72"/>
      <c r="AAL175" s="72"/>
      <c r="AAM175" s="72"/>
      <c r="AAN175" s="72"/>
      <c r="AAO175" s="72"/>
      <c r="AAP175" s="72"/>
      <c r="AAQ175" s="72"/>
      <c r="AAR175" s="72"/>
      <c r="AAS175" s="72"/>
      <c r="AAT175" s="72"/>
      <c r="AAU175" s="72"/>
      <c r="AAV175" s="72"/>
      <c r="AAW175" s="72"/>
      <c r="AAX175" s="72"/>
      <c r="AAY175" s="72"/>
      <c r="AAZ175" s="72"/>
      <c r="ABA175" s="72"/>
      <c r="ABB175" s="72"/>
      <c r="ABC175" s="72"/>
      <c r="ABD175" s="72"/>
      <c r="ABE175" s="72"/>
      <c r="ABF175" s="72"/>
      <c r="ABG175" s="72"/>
      <c r="ABH175" s="72"/>
      <c r="ABI175" s="72"/>
      <c r="ABJ175" s="72"/>
      <c r="ABK175" s="72"/>
      <c r="ABL175" s="72"/>
      <c r="ABM175" s="72"/>
      <c r="ABN175" s="72"/>
      <c r="ABO175" s="72"/>
      <c r="ABP175" s="72"/>
      <c r="ABQ175" s="72"/>
      <c r="ABR175" s="72"/>
      <c r="ABS175" s="72"/>
      <c r="ABT175" s="72"/>
      <c r="ABU175" s="72"/>
      <c r="ABV175" s="72"/>
      <c r="ABW175" s="72"/>
      <c r="ABX175" s="72"/>
      <c r="ABY175" s="72"/>
      <c r="ABZ175" s="72"/>
      <c r="ACA175" s="72"/>
      <c r="ACB175" s="72"/>
      <c r="ACC175" s="72"/>
      <c r="ACD175" s="72"/>
      <c r="ACE175" s="72"/>
      <c r="ACF175" s="72"/>
      <c r="ACG175" s="72"/>
      <c r="ACH175" s="72"/>
      <c r="ACI175" s="72"/>
      <c r="ACJ175" s="72"/>
      <c r="ACK175" s="72"/>
      <c r="ACL175" s="72"/>
      <c r="ACM175" s="72"/>
      <c r="ACN175" s="72"/>
      <c r="ACO175" s="72"/>
      <c r="ACP175" s="72"/>
      <c r="ACQ175" s="72"/>
      <c r="ACR175" s="72"/>
      <c r="ACS175" s="72"/>
      <c r="ACT175" s="72"/>
      <c r="ACU175" s="72"/>
      <c r="ACV175" s="72"/>
      <c r="ACW175" s="72"/>
      <c r="ACX175" s="72"/>
      <c r="ACY175" s="72"/>
      <c r="ACZ175" s="72"/>
      <c r="ADA175" s="72"/>
      <c r="ADB175" s="72"/>
      <c r="ADC175" s="72"/>
      <c r="ADD175" s="72"/>
      <c r="ADE175" s="72"/>
      <c r="ADF175" s="72"/>
      <c r="ADG175" s="72"/>
      <c r="ADH175" s="72"/>
      <c r="ADI175" s="72"/>
      <c r="ADJ175" s="72"/>
      <c r="ADK175" s="72"/>
      <c r="ADL175" s="72"/>
      <c r="ADM175" s="72"/>
      <c r="ADN175" s="72"/>
      <c r="ADO175" s="72"/>
      <c r="ADP175" s="72"/>
      <c r="ADQ175" s="72"/>
      <c r="ADR175" s="72"/>
      <c r="ADS175" s="72"/>
      <c r="ADT175" s="72"/>
      <c r="ADU175" s="72"/>
      <c r="ADV175" s="72"/>
      <c r="ADW175" s="72"/>
      <c r="ADX175" s="72"/>
      <c r="ADY175" s="72"/>
      <c r="ADZ175" s="72"/>
      <c r="AEA175" s="72"/>
      <c r="AEB175" s="72"/>
      <c r="AEC175" s="72"/>
      <c r="AED175" s="72"/>
      <c r="AEE175" s="72"/>
      <c r="AEF175" s="72"/>
      <c r="AEG175" s="72"/>
      <c r="AEH175" s="72"/>
      <c r="AEI175" s="72"/>
      <c r="AEJ175" s="72"/>
      <c r="AEK175" s="72"/>
      <c r="AEL175" s="72"/>
      <c r="AEM175" s="72"/>
      <c r="AEN175" s="72"/>
      <c r="AEO175" s="72"/>
      <c r="AEP175" s="72"/>
      <c r="AEQ175" s="72"/>
      <c r="AER175" s="72"/>
      <c r="AES175" s="72"/>
      <c r="AET175" s="72"/>
      <c r="AEU175" s="72"/>
      <c r="AEV175" s="72"/>
      <c r="AEW175" s="72"/>
      <c r="AEX175" s="72"/>
      <c r="AEY175" s="72"/>
      <c r="AEZ175" s="72"/>
      <c r="AFA175" s="72"/>
      <c r="AFB175" s="72"/>
      <c r="AFC175" s="72"/>
      <c r="AFD175" s="72"/>
      <c r="AFE175" s="72"/>
      <c r="AFF175" s="72"/>
      <c r="AFG175" s="72"/>
      <c r="AFH175" s="72"/>
      <c r="AFI175" s="72"/>
      <c r="AFJ175" s="72"/>
      <c r="AFK175" s="72"/>
      <c r="AFL175" s="72"/>
      <c r="AFM175" s="72"/>
      <c r="AFN175" s="72"/>
      <c r="AFO175" s="72"/>
      <c r="AFP175" s="72"/>
      <c r="AFQ175" s="72"/>
      <c r="AFR175" s="72"/>
      <c r="AFS175" s="72"/>
      <c r="AFT175" s="72"/>
      <c r="AFU175" s="72"/>
      <c r="AFV175" s="72"/>
      <c r="AFW175" s="72"/>
      <c r="AFX175" s="72"/>
      <c r="AFY175" s="72"/>
      <c r="AFZ175" s="72"/>
      <c r="AGA175" s="72"/>
      <c r="AGB175" s="72"/>
      <c r="AGC175" s="72"/>
      <c r="AGD175" s="72"/>
      <c r="AGE175" s="72"/>
      <c r="AGF175" s="72"/>
      <c r="AGG175" s="72"/>
      <c r="AGH175" s="72"/>
      <c r="AGI175" s="72"/>
      <c r="AGJ175" s="72"/>
      <c r="AGK175" s="72"/>
      <c r="AGL175" s="72"/>
      <c r="AGM175" s="72"/>
      <c r="AGN175" s="72"/>
      <c r="AGO175" s="72"/>
      <c r="AGP175" s="72"/>
      <c r="AGQ175" s="72"/>
      <c r="AGR175" s="72"/>
      <c r="AGS175" s="72"/>
      <c r="AGT175" s="72"/>
      <c r="AGU175" s="72"/>
      <c r="AGV175" s="72"/>
      <c r="AGW175" s="72"/>
      <c r="AGX175" s="72"/>
      <c r="AGY175" s="72"/>
      <c r="AGZ175" s="72"/>
      <c r="AHA175" s="72"/>
      <c r="AHB175" s="72"/>
      <c r="AHC175" s="72"/>
      <c r="AHD175" s="72"/>
      <c r="AHE175" s="72"/>
      <c r="AHF175" s="72"/>
      <c r="AHG175" s="72"/>
      <c r="AHH175" s="72"/>
      <c r="AHI175" s="72"/>
      <c r="AHJ175" s="72"/>
      <c r="AHK175" s="72"/>
      <c r="AHL175" s="72"/>
      <c r="AHM175" s="72"/>
      <c r="AHN175" s="72"/>
      <c r="AHO175" s="72"/>
      <c r="AHP175" s="72"/>
      <c r="AHQ175" s="72"/>
      <c r="AHR175" s="72"/>
      <c r="AHS175" s="72"/>
      <c r="AHT175" s="72"/>
      <c r="AHU175" s="72"/>
      <c r="AHV175" s="72"/>
      <c r="AHW175" s="72"/>
      <c r="AHX175" s="72"/>
      <c r="AHY175" s="72"/>
      <c r="AHZ175" s="72"/>
      <c r="AIA175" s="72"/>
      <c r="AIB175" s="72"/>
      <c r="AIC175" s="72"/>
      <c r="AID175" s="72"/>
      <c r="AIE175" s="72"/>
      <c r="AIF175" s="72"/>
      <c r="AIG175" s="72"/>
      <c r="AIH175" s="72"/>
      <c r="AII175" s="72"/>
      <c r="AIJ175" s="72"/>
      <c r="AIK175" s="72"/>
      <c r="AIL175" s="72"/>
      <c r="AIM175" s="72"/>
      <c r="AIN175" s="72"/>
      <c r="AIO175" s="72"/>
      <c r="AIP175" s="72"/>
      <c r="AIQ175" s="72"/>
      <c r="AIR175" s="72"/>
      <c r="AIS175" s="72"/>
      <c r="AIT175" s="72"/>
      <c r="AIU175" s="72"/>
      <c r="AIV175" s="72"/>
      <c r="AIW175" s="72"/>
      <c r="AIX175" s="72"/>
      <c r="AIY175" s="72"/>
      <c r="AIZ175" s="72"/>
      <c r="AJA175" s="72"/>
      <c r="AJB175" s="72"/>
      <c r="AJC175" s="72"/>
      <c r="AJD175" s="72"/>
      <c r="AJE175" s="72"/>
      <c r="AJF175" s="72"/>
      <c r="AJG175" s="72"/>
      <c r="AJH175" s="72"/>
      <c r="AJI175" s="72"/>
      <c r="AJJ175" s="72"/>
      <c r="AJK175" s="72"/>
      <c r="AJL175" s="72"/>
      <c r="AJM175" s="72"/>
      <c r="AJN175" s="72"/>
      <c r="AJO175" s="72"/>
      <c r="AJP175" s="72"/>
      <c r="AJQ175" s="72"/>
      <c r="AJR175" s="72"/>
      <c r="AJS175" s="72"/>
      <c r="AJT175" s="72"/>
      <c r="AJU175" s="72"/>
      <c r="AJV175" s="72"/>
      <c r="AJW175" s="72"/>
      <c r="AJX175" s="72"/>
      <c r="AJY175" s="72"/>
      <c r="AJZ175" s="72"/>
      <c r="AKA175" s="72"/>
      <c r="AKB175" s="72"/>
      <c r="AKC175" s="72"/>
      <c r="AKD175" s="72"/>
      <c r="AKE175" s="72"/>
      <c r="AKF175" s="72"/>
      <c r="AKG175" s="72"/>
      <c r="AKH175" s="72"/>
      <c r="AKI175" s="72"/>
      <c r="AKJ175" s="72"/>
      <c r="AKK175" s="72"/>
      <c r="AKL175" s="72"/>
      <c r="AKM175" s="72"/>
      <c r="AKN175" s="72"/>
      <c r="AKO175" s="72"/>
      <c r="AKP175" s="72"/>
      <c r="AKQ175" s="72"/>
      <c r="AKR175" s="72"/>
      <c r="AKS175" s="72"/>
      <c r="AKT175" s="72"/>
      <c r="AKU175" s="72"/>
      <c r="AKV175" s="72"/>
      <c r="AKW175" s="72"/>
      <c r="AKX175" s="72"/>
      <c r="AKY175" s="72"/>
      <c r="AKZ175" s="72"/>
      <c r="ALA175" s="72"/>
      <c r="ALB175" s="72"/>
      <c r="ALC175" s="72"/>
      <c r="ALD175" s="72"/>
      <c r="ALE175" s="72"/>
      <c r="ALF175" s="72"/>
      <c r="ALG175" s="72"/>
      <c r="ALH175" s="72"/>
      <c r="ALI175" s="72"/>
      <c r="ALJ175" s="72"/>
      <c r="ALK175" s="72"/>
      <c r="ALL175" s="72"/>
      <c r="ALM175" s="72"/>
      <c r="ALN175" s="72"/>
      <c r="ALO175" s="72"/>
      <c r="ALP175" s="72"/>
      <c r="ALQ175" s="72"/>
      <c r="ALR175" s="72"/>
      <c r="ALS175" s="72"/>
      <c r="ALT175" s="72"/>
      <c r="ALU175" s="72"/>
      <c r="ALV175" s="72"/>
      <c r="ALW175" s="72"/>
      <c r="ALX175" s="72"/>
      <c r="ALY175" s="72"/>
      <c r="ALZ175" s="72"/>
      <c r="AMA175" s="72"/>
      <c r="AMB175" s="72"/>
      <c r="AMC175" s="72"/>
      <c r="AMD175" s="72"/>
      <c r="AME175" s="72"/>
      <c r="AMF175" s="72"/>
      <c r="AMG175" s="72"/>
      <c r="AMH175" s="72"/>
      <c r="AMI175" s="72"/>
      <c r="AMJ175" s="72"/>
      <c r="AMK175" s="72"/>
      <c r="AML175" s="72"/>
      <c r="AMM175" s="72"/>
      <c r="AMN175" s="72"/>
      <c r="AMO175" s="72"/>
      <c r="AMP175" s="72"/>
      <c r="AMQ175" s="72"/>
      <c r="AMR175" s="72"/>
      <c r="AMS175" s="72"/>
      <c r="AMT175" s="72"/>
      <c r="AMU175" s="72"/>
      <c r="AMV175" s="72"/>
      <c r="AMW175" s="72"/>
      <c r="AMX175" s="72"/>
      <c r="AMY175" s="72"/>
      <c r="AMZ175" s="72"/>
      <c r="ANA175" s="72"/>
      <c r="ANB175" s="72"/>
      <c r="ANC175" s="72"/>
      <c r="AND175" s="72"/>
      <c r="ANE175" s="72"/>
      <c r="ANF175" s="72"/>
      <c r="ANG175" s="72"/>
      <c r="ANH175" s="72"/>
      <c r="ANI175" s="72"/>
      <c r="ANJ175" s="72"/>
      <c r="ANK175" s="72"/>
      <c r="ANL175" s="72"/>
      <c r="ANM175" s="72"/>
      <c r="ANN175" s="72"/>
      <c r="ANO175" s="72"/>
      <c r="ANP175" s="72"/>
      <c r="ANQ175" s="72"/>
      <c r="ANR175" s="72"/>
      <c r="ANS175" s="72"/>
      <c r="ANT175" s="72"/>
      <c r="ANU175" s="72"/>
      <c r="ANV175" s="72"/>
      <c r="ANW175" s="72"/>
      <c r="ANX175" s="72"/>
      <c r="ANY175" s="72"/>
      <c r="ANZ175" s="72"/>
      <c r="AOA175" s="72"/>
      <c r="AOB175" s="72"/>
      <c r="AOC175" s="72"/>
      <c r="AOD175" s="72"/>
      <c r="AOE175" s="72"/>
      <c r="AOF175" s="72"/>
      <c r="AOG175" s="72"/>
      <c r="AOH175" s="72"/>
      <c r="AOI175" s="72"/>
      <c r="AOJ175" s="72"/>
      <c r="AOK175" s="72"/>
      <c r="AOL175" s="72"/>
      <c r="AOM175" s="72"/>
      <c r="AON175" s="72"/>
      <c r="AOO175" s="72"/>
      <c r="AOP175" s="72"/>
      <c r="AOQ175" s="72"/>
      <c r="AOR175" s="72"/>
      <c r="AOS175" s="72"/>
      <c r="AOT175" s="72"/>
      <c r="AOU175" s="72"/>
      <c r="AOV175" s="72"/>
      <c r="AOW175" s="72"/>
      <c r="AOX175" s="72"/>
      <c r="AOY175" s="72"/>
      <c r="AOZ175" s="72"/>
      <c r="APA175" s="72"/>
      <c r="APB175" s="72"/>
      <c r="APC175" s="72"/>
      <c r="APD175" s="72"/>
      <c r="APE175" s="72"/>
      <c r="APF175" s="72"/>
      <c r="APG175" s="72"/>
      <c r="APH175" s="72"/>
      <c r="API175" s="72"/>
      <c r="APJ175" s="72"/>
      <c r="APK175" s="72"/>
      <c r="APL175" s="72"/>
      <c r="APM175" s="72"/>
      <c r="APN175" s="72"/>
      <c r="APO175" s="72"/>
      <c r="APP175" s="72"/>
      <c r="APQ175" s="72"/>
      <c r="APR175" s="72"/>
      <c r="APS175" s="72"/>
      <c r="APT175" s="72"/>
      <c r="APU175" s="72"/>
      <c r="APV175" s="72"/>
      <c r="APW175" s="72"/>
      <c r="APX175" s="72"/>
      <c r="APY175" s="72"/>
      <c r="APZ175" s="72"/>
      <c r="AQA175" s="72"/>
      <c r="AQB175" s="72"/>
      <c r="AQC175" s="72"/>
      <c r="AQD175" s="72"/>
      <c r="AQE175" s="72"/>
      <c r="AQF175" s="72"/>
      <c r="AQG175" s="72"/>
      <c r="AQH175" s="72"/>
      <c r="AQI175" s="72"/>
      <c r="AQJ175" s="72"/>
      <c r="AQK175" s="72"/>
      <c r="AQL175" s="72"/>
      <c r="AQM175" s="72"/>
      <c r="AQN175" s="72"/>
      <c r="AQO175" s="72"/>
      <c r="AQP175" s="72"/>
      <c r="AQQ175" s="72"/>
      <c r="AQR175" s="72"/>
      <c r="AQS175" s="72"/>
      <c r="AQT175" s="72"/>
      <c r="AQU175" s="72"/>
      <c r="AQV175" s="72"/>
      <c r="AQW175" s="72"/>
      <c r="AQX175" s="72"/>
      <c r="AQY175" s="72"/>
      <c r="AQZ175" s="72"/>
      <c r="ARA175" s="72"/>
      <c r="ARB175" s="72"/>
      <c r="ARC175" s="72"/>
      <c r="ARD175" s="72"/>
      <c r="ARE175" s="72"/>
      <c r="ARF175" s="72"/>
      <c r="ARG175" s="72"/>
      <c r="ARH175" s="72"/>
      <c r="ARI175" s="72"/>
      <c r="ARJ175" s="72"/>
      <c r="ARK175" s="72"/>
      <c r="ARL175" s="72"/>
      <c r="ARM175" s="72"/>
      <c r="ARN175" s="72"/>
      <c r="ARO175" s="72"/>
      <c r="ARP175" s="72"/>
      <c r="ARQ175" s="72"/>
      <c r="ARR175" s="72"/>
      <c r="ARS175" s="72"/>
      <c r="ART175" s="72"/>
      <c r="ARU175" s="72"/>
      <c r="ARV175" s="72"/>
      <c r="ARW175" s="72"/>
      <c r="ARX175" s="72"/>
      <c r="ARY175" s="72"/>
      <c r="ARZ175" s="72"/>
      <c r="ASA175" s="72"/>
      <c r="ASB175" s="72"/>
      <c r="ASC175" s="72"/>
      <c r="ASD175" s="72"/>
      <c r="ASE175" s="72"/>
      <c r="ASF175" s="72"/>
      <c r="ASG175" s="72"/>
      <c r="ASH175" s="72"/>
      <c r="ASI175" s="72"/>
      <c r="ASJ175" s="72"/>
      <c r="ASK175" s="72"/>
      <c r="ASL175" s="72"/>
      <c r="ASM175" s="72"/>
      <c r="ASN175" s="72"/>
      <c r="ASO175" s="72"/>
      <c r="ASP175" s="72"/>
      <c r="ASQ175" s="72"/>
      <c r="ASR175" s="72"/>
      <c r="ASS175" s="72"/>
      <c r="AST175" s="72"/>
      <c r="ASU175" s="72"/>
      <c r="ASV175" s="72"/>
      <c r="ASW175" s="72"/>
      <c r="ASX175" s="72"/>
      <c r="ASY175" s="72"/>
      <c r="ASZ175" s="72"/>
      <c r="ATA175" s="72"/>
      <c r="ATB175" s="72"/>
      <c r="ATC175" s="72"/>
      <c r="ATD175" s="72"/>
      <c r="ATE175" s="72"/>
      <c r="ATF175" s="72"/>
      <c r="ATG175" s="72"/>
      <c r="ATH175" s="72"/>
      <c r="ATI175" s="72"/>
      <c r="ATJ175" s="72"/>
      <c r="ATK175" s="72"/>
      <c r="ATL175" s="72"/>
      <c r="ATM175" s="72"/>
      <c r="ATN175" s="72"/>
      <c r="ATO175" s="72"/>
      <c r="ATP175" s="72"/>
      <c r="ATQ175" s="72"/>
      <c r="ATR175" s="72"/>
      <c r="ATS175" s="72"/>
      <c r="ATT175" s="72"/>
      <c r="ATU175" s="72"/>
      <c r="ATV175" s="72"/>
      <c r="ATW175" s="72"/>
      <c r="ATX175" s="72"/>
      <c r="ATY175" s="72"/>
      <c r="ATZ175" s="72"/>
      <c r="AUA175" s="72"/>
      <c r="AUB175" s="72"/>
      <c r="AUC175" s="72"/>
      <c r="AUD175" s="72"/>
      <c r="AUE175" s="72"/>
      <c r="AUF175" s="72"/>
      <c r="AUG175" s="72"/>
      <c r="AUH175" s="72"/>
      <c r="AUI175" s="72"/>
      <c r="AUJ175" s="72"/>
      <c r="AUK175" s="72"/>
      <c r="AUL175" s="72"/>
      <c r="AUM175" s="72"/>
      <c r="AUN175" s="72"/>
      <c r="AUO175" s="72"/>
      <c r="AUP175" s="72"/>
      <c r="AUQ175" s="72"/>
      <c r="AUR175" s="72"/>
      <c r="AUS175" s="72"/>
      <c r="AUT175" s="72"/>
      <c r="AUU175" s="72"/>
      <c r="AUV175" s="72"/>
      <c r="AUW175" s="72"/>
      <c r="AUX175" s="72"/>
      <c r="AUY175" s="72"/>
      <c r="AUZ175" s="72"/>
      <c r="AVA175" s="72"/>
      <c r="AVB175" s="72"/>
      <c r="AVC175" s="72"/>
      <c r="AVD175" s="72"/>
      <c r="AVE175" s="72"/>
      <c r="AVF175" s="72"/>
      <c r="AVG175" s="72"/>
      <c r="AVH175" s="72"/>
      <c r="AVI175" s="72"/>
      <c r="AVJ175" s="72"/>
      <c r="AVK175" s="72"/>
      <c r="AVL175" s="72"/>
      <c r="AVM175" s="72"/>
      <c r="AVN175" s="72"/>
      <c r="AVO175" s="72"/>
      <c r="AVP175" s="72"/>
      <c r="AVQ175" s="72"/>
      <c r="AVR175" s="72"/>
      <c r="AVS175" s="72"/>
      <c r="AVT175" s="72"/>
      <c r="AVU175" s="72"/>
      <c r="AVV175" s="72"/>
      <c r="AVW175" s="72"/>
      <c r="AVX175" s="72"/>
      <c r="AVY175" s="72"/>
      <c r="AVZ175" s="72"/>
      <c r="AWA175" s="72"/>
      <c r="AWB175" s="72"/>
      <c r="AWC175" s="72"/>
      <c r="AWD175" s="72"/>
      <c r="AWE175" s="72"/>
      <c r="AWF175" s="72"/>
      <c r="AWG175" s="72"/>
      <c r="AWH175" s="72"/>
      <c r="AWI175" s="72"/>
      <c r="AWJ175" s="72"/>
      <c r="AWK175" s="72"/>
      <c r="AWL175" s="72"/>
      <c r="AWM175" s="72"/>
      <c r="AWN175" s="72"/>
      <c r="AWO175" s="72"/>
      <c r="AWP175" s="72"/>
      <c r="AWQ175" s="72"/>
      <c r="AWR175" s="72"/>
      <c r="AWS175" s="72"/>
      <c r="AWT175" s="72"/>
      <c r="AWU175" s="72"/>
      <c r="AWV175" s="72"/>
      <c r="AWW175" s="72"/>
      <c r="AWX175" s="72"/>
      <c r="AWY175" s="72"/>
      <c r="AWZ175" s="72"/>
      <c r="AXA175" s="72"/>
      <c r="AXB175" s="72"/>
      <c r="AXC175" s="72"/>
      <c r="AXD175" s="72"/>
      <c r="AXE175" s="72"/>
      <c r="AXF175" s="72"/>
      <c r="AXG175" s="72"/>
      <c r="AXH175" s="72"/>
      <c r="AXI175" s="72"/>
      <c r="AXJ175" s="72"/>
      <c r="AXK175" s="72"/>
      <c r="AXL175" s="72"/>
      <c r="AXM175" s="72"/>
      <c r="AXN175" s="72"/>
      <c r="AXO175" s="72"/>
      <c r="AXP175" s="72"/>
      <c r="AXQ175" s="72"/>
      <c r="AXR175" s="72"/>
      <c r="AXS175" s="72"/>
      <c r="AXT175" s="72"/>
      <c r="AXU175" s="72"/>
      <c r="AXV175" s="72"/>
      <c r="AXW175" s="72"/>
      <c r="AXX175" s="72"/>
      <c r="AXY175" s="72"/>
      <c r="AXZ175" s="72"/>
      <c r="AYA175" s="72"/>
      <c r="AYB175" s="72"/>
      <c r="AYC175" s="72"/>
      <c r="AYD175" s="72"/>
      <c r="AYE175" s="72"/>
      <c r="AYF175" s="72"/>
      <c r="AYG175" s="72"/>
      <c r="AYH175" s="72"/>
      <c r="AYI175" s="72"/>
      <c r="AYJ175" s="72"/>
      <c r="AYK175" s="72"/>
      <c r="AYL175" s="72"/>
      <c r="AYM175" s="72"/>
      <c r="AYN175" s="72"/>
      <c r="AYO175" s="72"/>
      <c r="AYP175" s="72"/>
      <c r="AYQ175" s="72"/>
      <c r="AYR175" s="72"/>
      <c r="AYS175" s="72"/>
      <c r="AYT175" s="72"/>
      <c r="AYU175" s="72"/>
      <c r="AYV175" s="72"/>
      <c r="AYW175" s="72"/>
      <c r="AYX175" s="72"/>
      <c r="AYY175" s="72"/>
      <c r="AYZ175" s="72"/>
      <c r="AZA175" s="72"/>
      <c r="AZB175" s="72"/>
      <c r="AZC175" s="72"/>
      <c r="AZD175" s="72"/>
      <c r="AZE175" s="72"/>
      <c r="AZF175" s="72"/>
      <c r="AZG175" s="72"/>
      <c r="AZH175" s="72"/>
      <c r="AZI175" s="72"/>
      <c r="AZJ175" s="72"/>
      <c r="AZK175" s="72"/>
      <c r="AZL175" s="72"/>
      <c r="AZM175" s="72"/>
      <c r="AZN175" s="72"/>
      <c r="AZO175" s="72"/>
      <c r="AZP175" s="72"/>
      <c r="AZQ175" s="72"/>
      <c r="AZR175" s="72"/>
      <c r="AZS175" s="72"/>
      <c r="AZT175" s="72"/>
      <c r="AZU175" s="72"/>
      <c r="AZV175" s="72"/>
      <c r="AZW175" s="72"/>
      <c r="AZX175" s="72"/>
      <c r="AZY175" s="72"/>
      <c r="AZZ175" s="72"/>
      <c r="BAA175" s="72"/>
      <c r="BAB175" s="72"/>
      <c r="BAC175" s="72"/>
      <c r="BAD175" s="72"/>
      <c r="BAE175" s="72"/>
      <c r="BAF175" s="72"/>
      <c r="BAG175" s="72"/>
      <c r="BAH175" s="72"/>
      <c r="BAI175" s="72"/>
      <c r="BAJ175" s="72"/>
      <c r="BAK175" s="72"/>
      <c r="BAL175" s="72"/>
      <c r="BAM175" s="72"/>
      <c r="BAN175" s="72"/>
      <c r="BAO175" s="72"/>
      <c r="BAP175" s="72"/>
      <c r="BAQ175" s="72"/>
      <c r="BAR175" s="72"/>
      <c r="BAS175" s="72"/>
      <c r="BAT175" s="72"/>
      <c r="BAU175" s="72"/>
      <c r="BAV175" s="72"/>
      <c r="BAW175" s="72"/>
      <c r="BAX175" s="72"/>
      <c r="BAY175" s="72"/>
      <c r="BAZ175" s="72"/>
      <c r="BBA175" s="72"/>
      <c r="BBB175" s="72"/>
      <c r="BBC175" s="72"/>
      <c r="BBD175" s="72"/>
      <c r="BBE175" s="72"/>
      <c r="BBF175" s="72"/>
      <c r="BBG175" s="72"/>
      <c r="BBH175" s="72"/>
      <c r="BBI175" s="72"/>
      <c r="BBJ175" s="72"/>
      <c r="BBK175" s="72"/>
      <c r="BBL175" s="72"/>
      <c r="BBM175" s="72"/>
      <c r="BBN175" s="72"/>
      <c r="BBO175" s="72"/>
      <c r="BBP175" s="72"/>
      <c r="BBQ175" s="72"/>
      <c r="BBR175" s="72"/>
      <c r="BBS175" s="72"/>
      <c r="BBT175" s="72"/>
      <c r="BBU175" s="72"/>
      <c r="BBV175" s="72"/>
      <c r="BBW175" s="72"/>
      <c r="BBX175" s="72"/>
      <c r="BBY175" s="72"/>
      <c r="BBZ175" s="72"/>
      <c r="BCA175" s="72"/>
      <c r="BCB175" s="72"/>
      <c r="BCC175" s="72"/>
      <c r="BCD175" s="72"/>
      <c r="BCE175" s="72"/>
      <c r="BCF175" s="72"/>
      <c r="BCG175" s="72"/>
      <c r="BCH175" s="72"/>
      <c r="BCI175" s="72"/>
      <c r="BCJ175" s="72"/>
      <c r="BCK175" s="72"/>
      <c r="BCL175" s="72"/>
      <c r="BCM175" s="72"/>
      <c r="BCN175" s="72"/>
      <c r="BCO175" s="72"/>
      <c r="BCP175" s="72"/>
      <c r="BCQ175" s="72"/>
      <c r="BCR175" s="72"/>
      <c r="BCS175" s="72"/>
      <c r="BCT175" s="72"/>
      <c r="BCU175" s="72"/>
      <c r="BCV175" s="72"/>
      <c r="BCW175" s="72"/>
      <c r="BCX175" s="72"/>
      <c r="BCY175" s="72"/>
      <c r="BCZ175" s="72"/>
      <c r="BDA175" s="72"/>
      <c r="BDB175" s="72"/>
      <c r="BDC175" s="72"/>
      <c r="BDD175" s="72"/>
      <c r="BDE175" s="72"/>
      <c r="BDF175" s="72"/>
      <c r="BDG175" s="72"/>
      <c r="BDH175" s="72"/>
      <c r="BDI175" s="72"/>
      <c r="BDJ175" s="72"/>
      <c r="BDK175" s="72"/>
      <c r="BDL175" s="72"/>
      <c r="BDM175" s="72"/>
      <c r="BDN175" s="72"/>
      <c r="BDO175" s="72"/>
      <c r="BDP175" s="72"/>
      <c r="BDQ175" s="72"/>
      <c r="BDR175" s="72"/>
      <c r="BDS175" s="72"/>
      <c r="BDT175" s="72"/>
      <c r="BDU175" s="72"/>
      <c r="BDV175" s="72"/>
      <c r="BDW175" s="72"/>
      <c r="BDX175" s="72"/>
      <c r="BDY175" s="72"/>
      <c r="BDZ175" s="72"/>
      <c r="BEA175" s="72"/>
      <c r="BEB175" s="72"/>
      <c r="BEC175" s="72"/>
      <c r="BED175" s="72"/>
      <c r="BEE175" s="72"/>
      <c r="BEF175" s="72"/>
      <c r="BEG175" s="72"/>
      <c r="BEH175" s="72"/>
      <c r="BEI175" s="72"/>
      <c r="BEJ175" s="72"/>
      <c r="BEK175" s="72"/>
      <c r="BEL175" s="72"/>
      <c r="BEM175" s="72"/>
      <c r="BEN175" s="72"/>
      <c r="BEO175" s="72"/>
      <c r="BEP175" s="72"/>
      <c r="BEQ175" s="72"/>
      <c r="BER175" s="72"/>
      <c r="BES175" s="72"/>
      <c r="BET175" s="72"/>
      <c r="BEU175" s="72"/>
      <c r="BEV175" s="72"/>
      <c r="BEW175" s="72"/>
      <c r="BEX175" s="72"/>
      <c r="BEY175" s="72"/>
      <c r="BEZ175" s="72"/>
      <c r="BFA175" s="72"/>
      <c r="BFB175" s="72"/>
      <c r="BFC175" s="72"/>
      <c r="BFD175" s="72"/>
      <c r="BFE175" s="72"/>
      <c r="BFF175" s="72"/>
      <c r="BFG175" s="72"/>
      <c r="BFH175" s="72"/>
      <c r="BFI175" s="72"/>
      <c r="BFJ175" s="72"/>
      <c r="BFK175" s="72"/>
      <c r="BFL175" s="72"/>
      <c r="BFM175" s="72"/>
      <c r="BFN175" s="72"/>
      <c r="BFO175" s="72"/>
      <c r="BFP175" s="72"/>
      <c r="BFQ175" s="72"/>
      <c r="BFR175" s="72"/>
      <c r="BFS175" s="72"/>
      <c r="BFT175" s="72"/>
      <c r="BFU175" s="72"/>
      <c r="BFV175" s="72"/>
      <c r="BFW175" s="72"/>
      <c r="BFX175" s="72"/>
      <c r="BFY175" s="72"/>
      <c r="BFZ175" s="72"/>
      <c r="BGA175" s="72"/>
      <c r="BGB175" s="72"/>
      <c r="BGC175" s="72"/>
      <c r="BGD175" s="72"/>
      <c r="BGE175" s="72"/>
      <c r="BGF175" s="72"/>
      <c r="BGG175" s="72"/>
      <c r="BGH175" s="72"/>
      <c r="BGI175" s="72"/>
      <c r="BGJ175" s="72"/>
      <c r="BGK175" s="72"/>
      <c r="BGL175" s="72"/>
      <c r="BGM175" s="72"/>
      <c r="BGN175" s="72"/>
      <c r="BGO175" s="72"/>
      <c r="BGP175" s="72"/>
      <c r="BGQ175" s="72"/>
      <c r="BGR175" s="72"/>
      <c r="BGS175" s="72"/>
      <c r="BGT175" s="72"/>
      <c r="BGU175" s="72"/>
      <c r="BGV175" s="72"/>
      <c r="BGW175" s="72"/>
      <c r="BGX175" s="72"/>
      <c r="BGY175" s="72"/>
      <c r="BGZ175" s="72"/>
      <c r="BHA175" s="72"/>
      <c r="BHB175" s="72"/>
      <c r="BHC175" s="72"/>
      <c r="BHD175" s="72"/>
      <c r="BHE175" s="72"/>
      <c r="BHF175" s="72"/>
      <c r="BHG175" s="72"/>
      <c r="BHH175" s="72"/>
      <c r="BHI175" s="72"/>
      <c r="BHJ175" s="72"/>
      <c r="BHK175" s="72"/>
      <c r="BHL175" s="72"/>
      <c r="BHM175" s="72"/>
      <c r="BHN175" s="72"/>
      <c r="BHO175" s="72"/>
      <c r="BHP175" s="72"/>
      <c r="BHQ175" s="72"/>
      <c r="BHR175" s="72"/>
      <c r="BHS175" s="72"/>
      <c r="BHT175" s="72"/>
      <c r="BHU175" s="72"/>
      <c r="BHV175" s="72"/>
      <c r="BHW175" s="72"/>
      <c r="BHX175" s="72"/>
      <c r="BHY175" s="72"/>
      <c r="BHZ175" s="72"/>
      <c r="BIA175" s="72"/>
      <c r="BIB175" s="72"/>
      <c r="BIC175" s="72"/>
      <c r="BID175" s="72"/>
      <c r="BIE175" s="72"/>
      <c r="BIF175" s="72"/>
      <c r="BIG175" s="72"/>
      <c r="BIH175" s="72"/>
      <c r="BII175" s="72"/>
      <c r="BIJ175" s="72"/>
      <c r="BIK175" s="72"/>
      <c r="BIL175" s="72"/>
      <c r="BIM175" s="72"/>
      <c r="BIN175" s="72"/>
      <c r="BIO175" s="72"/>
      <c r="BIP175" s="72"/>
      <c r="BIQ175" s="72"/>
      <c r="BIR175" s="72"/>
      <c r="BIS175" s="72"/>
      <c r="BIT175" s="72"/>
      <c r="BIU175" s="72"/>
      <c r="BIV175" s="72"/>
      <c r="BIW175" s="72"/>
      <c r="BIX175" s="72"/>
      <c r="BIY175" s="72"/>
      <c r="BIZ175" s="72"/>
      <c r="BJA175" s="72"/>
      <c r="BJB175" s="72"/>
      <c r="BJC175" s="72"/>
      <c r="BJD175" s="72"/>
      <c r="BJE175" s="72"/>
      <c r="BJF175" s="72"/>
      <c r="BJG175" s="72"/>
      <c r="BJH175" s="72"/>
      <c r="BJI175" s="72"/>
      <c r="BJJ175" s="72"/>
      <c r="BJK175" s="72"/>
      <c r="BJL175" s="72"/>
      <c r="BJM175" s="72"/>
      <c r="BJN175" s="72"/>
      <c r="BJO175" s="72"/>
      <c r="BJP175" s="72"/>
      <c r="BJQ175" s="72"/>
      <c r="BJR175" s="72"/>
      <c r="BJS175" s="72"/>
      <c r="BJT175" s="72"/>
      <c r="BJU175" s="72"/>
      <c r="BJV175" s="72"/>
      <c r="BJW175" s="72"/>
      <c r="BJX175" s="72"/>
      <c r="BJY175" s="72"/>
      <c r="BJZ175" s="72"/>
      <c r="BKA175" s="72"/>
      <c r="BKB175" s="72"/>
      <c r="BKC175" s="72"/>
      <c r="BKD175" s="72"/>
      <c r="BKE175" s="72"/>
      <c r="BKF175" s="72"/>
      <c r="BKG175" s="72"/>
      <c r="BKH175" s="72"/>
      <c r="BKI175" s="72"/>
      <c r="BKJ175" s="72"/>
      <c r="BKK175" s="72"/>
      <c r="BKL175" s="72"/>
      <c r="BKM175" s="72"/>
      <c r="BKN175" s="72"/>
      <c r="BKO175" s="72"/>
      <c r="BKP175" s="72"/>
      <c r="BKQ175" s="72"/>
      <c r="BKR175" s="72"/>
      <c r="BKS175" s="72"/>
      <c r="BKT175" s="72"/>
      <c r="BKU175" s="72"/>
      <c r="BKV175" s="72"/>
      <c r="BKW175" s="72"/>
      <c r="BKX175" s="72"/>
      <c r="BKY175" s="72"/>
      <c r="BKZ175" s="72"/>
      <c r="BLA175" s="72"/>
      <c r="BLB175" s="72"/>
      <c r="BLC175" s="72"/>
      <c r="BLD175" s="72"/>
      <c r="BLE175" s="72"/>
      <c r="BLF175" s="72"/>
      <c r="BLG175" s="72"/>
      <c r="BLH175" s="72"/>
      <c r="BLI175" s="72"/>
      <c r="BLJ175" s="72"/>
      <c r="BLK175" s="72"/>
      <c r="BLL175" s="72"/>
      <c r="BLM175" s="72"/>
      <c r="BLN175" s="72"/>
      <c r="BLO175" s="72"/>
      <c r="BLP175" s="72"/>
      <c r="BLQ175" s="72"/>
      <c r="BLR175" s="72"/>
      <c r="BLS175" s="72"/>
      <c r="BLT175" s="72"/>
      <c r="BLU175" s="72"/>
      <c r="BLV175" s="72"/>
      <c r="BLW175" s="72"/>
      <c r="BLX175" s="72"/>
      <c r="BLY175" s="72"/>
      <c r="BLZ175" s="72"/>
      <c r="BMA175" s="72"/>
      <c r="BMB175" s="72"/>
      <c r="BMC175" s="72"/>
      <c r="BMD175" s="72"/>
      <c r="BME175" s="72"/>
      <c r="BMF175" s="72"/>
      <c r="BMG175" s="72"/>
      <c r="BMH175" s="72"/>
      <c r="BMI175" s="72"/>
      <c r="BMJ175" s="72"/>
      <c r="BMK175" s="72"/>
      <c r="BML175" s="72"/>
      <c r="BMM175" s="72"/>
      <c r="BMN175" s="72"/>
      <c r="BMO175" s="72"/>
      <c r="BMP175" s="72"/>
      <c r="BMQ175" s="72"/>
      <c r="BMR175" s="72"/>
      <c r="BMS175" s="72"/>
      <c r="BMT175" s="72"/>
      <c r="BMU175" s="72"/>
      <c r="BMV175" s="72"/>
      <c r="BMW175" s="72"/>
      <c r="BMX175" s="72"/>
      <c r="BMY175" s="72"/>
      <c r="BMZ175" s="72"/>
      <c r="BNA175" s="72"/>
      <c r="BNB175" s="72"/>
      <c r="BNC175" s="72"/>
      <c r="BND175" s="72"/>
      <c r="BNE175" s="72"/>
      <c r="BNF175" s="72"/>
      <c r="BNG175" s="72"/>
      <c r="BNH175" s="72"/>
      <c r="BNI175" s="72"/>
      <c r="BNJ175" s="72"/>
      <c r="BNK175" s="72"/>
      <c r="BNL175" s="72"/>
      <c r="BNM175" s="72"/>
      <c r="BNN175" s="72"/>
      <c r="BNO175" s="72"/>
      <c r="BNP175" s="72"/>
      <c r="BNQ175" s="72"/>
      <c r="BNR175" s="72"/>
      <c r="BNS175" s="72"/>
      <c r="BNT175" s="72"/>
      <c r="BNU175" s="72"/>
      <c r="BNV175" s="72"/>
      <c r="BNW175" s="72"/>
      <c r="BNX175" s="72"/>
      <c r="BNY175" s="72"/>
      <c r="BNZ175" s="72"/>
      <c r="BOA175" s="72"/>
      <c r="BOB175" s="72"/>
      <c r="BOC175" s="72"/>
      <c r="BOD175" s="72"/>
      <c r="BOE175" s="72"/>
      <c r="BOF175" s="72"/>
      <c r="BOG175" s="72"/>
      <c r="BOH175" s="72"/>
      <c r="BOI175" s="72"/>
      <c r="BOJ175" s="72"/>
      <c r="BOK175" s="72"/>
      <c r="BOL175" s="72"/>
      <c r="BOM175" s="72"/>
      <c r="BON175" s="72"/>
      <c r="BOO175" s="72"/>
      <c r="BOP175" s="72"/>
      <c r="BOQ175" s="72"/>
      <c r="BOR175" s="72"/>
      <c r="BOS175" s="72"/>
      <c r="BOT175" s="72"/>
      <c r="BOU175" s="72"/>
      <c r="BOV175" s="72"/>
      <c r="BOW175" s="72"/>
      <c r="BOX175" s="72"/>
      <c r="BOY175" s="72"/>
      <c r="BOZ175" s="72"/>
      <c r="BPA175" s="72"/>
      <c r="BPB175" s="72"/>
      <c r="BPC175" s="72"/>
      <c r="BPD175" s="72"/>
      <c r="BPE175" s="72"/>
      <c r="BPF175" s="72"/>
      <c r="BPG175" s="72"/>
      <c r="BPH175" s="72"/>
      <c r="BPI175" s="72"/>
      <c r="BPJ175" s="72"/>
      <c r="BPK175" s="72"/>
      <c r="BPL175" s="72"/>
      <c r="BPM175" s="72"/>
      <c r="BPN175" s="72"/>
      <c r="BPO175" s="72"/>
      <c r="BPP175" s="72"/>
      <c r="BPQ175" s="72"/>
      <c r="BPR175" s="72"/>
      <c r="BPS175" s="72"/>
      <c r="BPT175" s="72"/>
      <c r="BPU175" s="72"/>
      <c r="BPV175" s="72"/>
      <c r="BPW175" s="72"/>
      <c r="BPX175" s="72"/>
      <c r="BPY175" s="72"/>
      <c r="BPZ175" s="72"/>
      <c r="BQA175" s="72"/>
      <c r="BQB175" s="72"/>
      <c r="BQC175" s="72"/>
      <c r="BQD175" s="72"/>
      <c r="BQE175" s="72"/>
      <c r="BQF175" s="72"/>
      <c r="BQG175" s="72"/>
      <c r="BQH175" s="72"/>
      <c r="BQI175" s="72"/>
      <c r="BQJ175" s="72"/>
      <c r="BQK175" s="72"/>
      <c r="BQL175" s="72"/>
      <c r="BQM175" s="72"/>
      <c r="BQN175" s="72"/>
      <c r="BQO175" s="72"/>
      <c r="BQP175" s="72"/>
      <c r="BQQ175" s="72"/>
      <c r="BQR175" s="72"/>
      <c r="BQS175" s="72"/>
      <c r="BQT175" s="72"/>
      <c r="BQU175" s="72"/>
      <c r="BQV175" s="72"/>
      <c r="BQW175" s="72"/>
      <c r="BQX175" s="72"/>
      <c r="BQY175" s="72"/>
      <c r="BQZ175" s="72"/>
      <c r="BRA175" s="72"/>
      <c r="BRB175" s="72"/>
      <c r="BRC175" s="72"/>
      <c r="BRD175" s="72"/>
      <c r="BRE175" s="72"/>
      <c r="BRF175" s="72"/>
      <c r="BRG175" s="72"/>
      <c r="BRH175" s="72"/>
      <c r="BRI175" s="72"/>
      <c r="BRJ175" s="72"/>
      <c r="BRK175" s="72"/>
      <c r="BRL175" s="72"/>
      <c r="BRM175" s="72"/>
      <c r="BRN175" s="72"/>
      <c r="BRO175" s="72"/>
      <c r="BRP175" s="72"/>
      <c r="BRQ175" s="72"/>
      <c r="BRR175" s="72"/>
      <c r="BRS175" s="72"/>
      <c r="BRT175" s="72"/>
      <c r="BRU175" s="72"/>
      <c r="BRV175" s="72"/>
      <c r="BRW175" s="72"/>
      <c r="BRX175" s="72"/>
      <c r="BRY175" s="72"/>
      <c r="BRZ175" s="72"/>
      <c r="BSA175" s="72"/>
      <c r="BSB175" s="72"/>
      <c r="BSC175" s="72"/>
      <c r="BSD175" s="72"/>
      <c r="BSE175" s="72"/>
      <c r="BSF175" s="72"/>
      <c r="BSG175" s="72"/>
      <c r="BSH175" s="72"/>
      <c r="BSI175" s="72"/>
      <c r="BSJ175" s="72"/>
      <c r="BSK175" s="72"/>
      <c r="BSL175" s="72"/>
      <c r="BSM175" s="72"/>
      <c r="BSN175" s="72"/>
      <c r="BSO175" s="72"/>
      <c r="BSP175" s="72"/>
      <c r="BSQ175" s="72"/>
      <c r="BSR175" s="72"/>
      <c r="BSS175" s="72"/>
      <c r="BST175" s="72"/>
      <c r="BSU175" s="72"/>
      <c r="BSV175" s="72"/>
      <c r="BSW175" s="72"/>
      <c r="BSX175" s="72"/>
      <c r="BSY175" s="72"/>
      <c r="BSZ175" s="72"/>
      <c r="BTA175" s="72"/>
      <c r="BTB175" s="72"/>
      <c r="BTC175" s="72"/>
      <c r="BTD175" s="72"/>
      <c r="BTE175" s="72"/>
      <c r="BTF175" s="72"/>
      <c r="BTG175" s="72"/>
      <c r="BTH175" s="72"/>
      <c r="BTI175" s="72"/>
      <c r="BTJ175" s="72"/>
      <c r="BTK175" s="72"/>
      <c r="BTL175" s="72"/>
      <c r="BTM175" s="72"/>
      <c r="BTN175" s="72"/>
      <c r="BTO175" s="72"/>
      <c r="BTP175" s="72"/>
      <c r="BTQ175" s="72"/>
      <c r="BTR175" s="72"/>
      <c r="BTS175" s="72"/>
      <c r="BTT175" s="72"/>
      <c r="BTU175" s="72"/>
      <c r="BTV175" s="72"/>
      <c r="BTW175" s="72"/>
      <c r="BTX175" s="72"/>
      <c r="BTY175" s="72"/>
      <c r="BTZ175" s="72"/>
      <c r="BUA175" s="72"/>
      <c r="BUB175" s="72"/>
      <c r="BUC175" s="72"/>
      <c r="BUD175" s="72"/>
      <c r="BUE175" s="72"/>
      <c r="BUF175" s="72"/>
      <c r="BUG175" s="72"/>
      <c r="BUH175" s="72"/>
      <c r="BUI175" s="72"/>
      <c r="BUJ175" s="72"/>
      <c r="BUK175" s="72"/>
      <c r="BUL175" s="72"/>
      <c r="BUM175" s="72"/>
      <c r="BUN175" s="72"/>
      <c r="BUO175" s="72"/>
      <c r="BUP175" s="72"/>
      <c r="BUQ175" s="72"/>
      <c r="BUR175" s="72"/>
      <c r="BUS175" s="72"/>
      <c r="BUT175" s="72"/>
      <c r="BUU175" s="72"/>
      <c r="BUV175" s="72"/>
      <c r="BUW175" s="72"/>
      <c r="BUX175" s="72"/>
      <c r="BUY175" s="72"/>
      <c r="BUZ175" s="72"/>
      <c r="BVA175" s="72"/>
      <c r="BVB175" s="72"/>
      <c r="BVC175" s="72"/>
      <c r="BVD175" s="72"/>
      <c r="BVE175" s="72"/>
      <c r="BVF175" s="72"/>
      <c r="BVG175" s="72"/>
      <c r="BVH175" s="72"/>
      <c r="BVI175" s="72"/>
      <c r="BVJ175" s="72"/>
      <c r="BVK175" s="72"/>
      <c r="BVL175" s="72"/>
      <c r="BVM175" s="72"/>
      <c r="BVN175" s="72"/>
      <c r="BVO175" s="72"/>
      <c r="BVP175" s="72"/>
      <c r="BVQ175" s="72"/>
      <c r="BVR175" s="72"/>
      <c r="BVS175" s="72"/>
      <c r="BVT175" s="72"/>
      <c r="BVU175" s="72"/>
      <c r="BVV175" s="72"/>
      <c r="BVW175" s="72"/>
      <c r="BVX175" s="72"/>
      <c r="BVY175" s="72"/>
      <c r="BVZ175" s="72"/>
      <c r="BWA175" s="72"/>
      <c r="BWB175" s="72"/>
      <c r="BWC175" s="72"/>
      <c r="BWD175" s="72"/>
      <c r="BWE175" s="72"/>
      <c r="BWF175" s="72"/>
      <c r="BWG175" s="72"/>
      <c r="BWH175" s="72"/>
      <c r="BWI175" s="72"/>
      <c r="BWJ175" s="72"/>
      <c r="BWK175" s="72"/>
      <c r="BWL175" s="72"/>
      <c r="BWM175" s="72"/>
      <c r="BWN175" s="72"/>
      <c r="BWO175" s="72"/>
      <c r="BWP175" s="72"/>
      <c r="BWQ175" s="72"/>
      <c r="BWR175" s="72"/>
      <c r="BWS175" s="72"/>
      <c r="BWT175" s="72"/>
      <c r="BWU175" s="72"/>
      <c r="BWV175" s="72"/>
      <c r="BWW175" s="72"/>
      <c r="BWX175" s="72"/>
      <c r="BWY175" s="72"/>
      <c r="BWZ175" s="72"/>
      <c r="BXA175" s="72"/>
      <c r="BXB175" s="72"/>
      <c r="BXC175" s="72"/>
      <c r="BXD175" s="72"/>
      <c r="BXE175" s="72"/>
      <c r="BXF175" s="72"/>
      <c r="BXG175" s="72"/>
      <c r="BXH175" s="72"/>
      <c r="BXI175" s="72"/>
      <c r="BXJ175" s="72"/>
      <c r="BXK175" s="72"/>
      <c r="BXL175" s="72"/>
      <c r="BXM175" s="72"/>
      <c r="BXN175" s="72"/>
      <c r="BXO175" s="72"/>
      <c r="BXP175" s="72"/>
      <c r="BXQ175" s="72"/>
      <c r="BXR175" s="72"/>
      <c r="BXS175" s="72"/>
      <c r="BXT175" s="72"/>
      <c r="BXU175" s="72"/>
      <c r="BXV175" s="72"/>
      <c r="BXW175" s="72"/>
      <c r="BXX175" s="72"/>
      <c r="BXY175" s="72"/>
      <c r="BXZ175" s="72"/>
      <c r="BYA175" s="72"/>
      <c r="BYB175" s="72"/>
      <c r="BYC175" s="72"/>
      <c r="BYD175" s="72"/>
      <c r="BYE175" s="72"/>
      <c r="BYF175" s="72"/>
      <c r="BYG175" s="72"/>
      <c r="BYH175" s="72"/>
      <c r="BYI175" s="72"/>
      <c r="BYJ175" s="72"/>
      <c r="BYK175" s="72"/>
      <c r="BYL175" s="72"/>
      <c r="BYM175" s="72"/>
      <c r="BYN175" s="72"/>
      <c r="BYO175" s="72"/>
      <c r="BYP175" s="72"/>
      <c r="BYQ175" s="72"/>
      <c r="BYR175" s="72"/>
      <c r="BYS175" s="72"/>
      <c r="BYT175" s="72"/>
      <c r="BYU175" s="72"/>
      <c r="BYV175" s="72"/>
      <c r="BYW175" s="72"/>
      <c r="BYX175" s="72"/>
      <c r="BYY175" s="72"/>
      <c r="BYZ175" s="72"/>
      <c r="BZA175" s="72"/>
      <c r="BZB175" s="72"/>
      <c r="BZC175" s="72"/>
      <c r="BZD175" s="72"/>
      <c r="BZE175" s="72"/>
      <c r="BZF175" s="72"/>
      <c r="BZG175" s="72"/>
      <c r="BZH175" s="72"/>
      <c r="BZI175" s="72"/>
      <c r="BZJ175" s="72"/>
      <c r="BZK175" s="72"/>
      <c r="BZL175" s="72"/>
      <c r="BZM175" s="72"/>
      <c r="BZN175" s="72"/>
      <c r="BZO175" s="72"/>
      <c r="BZP175" s="72"/>
      <c r="BZQ175" s="72"/>
      <c r="BZR175" s="72"/>
      <c r="BZS175" s="72"/>
      <c r="BZT175" s="72"/>
      <c r="BZU175" s="72"/>
      <c r="BZV175" s="72"/>
      <c r="BZW175" s="72"/>
      <c r="BZX175" s="72"/>
      <c r="BZY175" s="72"/>
      <c r="BZZ175" s="72"/>
      <c r="CAA175" s="72"/>
      <c r="CAB175" s="72"/>
      <c r="CAC175" s="72"/>
      <c r="CAD175" s="72"/>
      <c r="CAE175" s="72"/>
      <c r="CAF175" s="72"/>
      <c r="CAG175" s="72"/>
      <c r="CAH175" s="72"/>
      <c r="CAI175" s="72"/>
      <c r="CAJ175" s="72"/>
      <c r="CAK175" s="72"/>
      <c r="CAL175" s="72"/>
      <c r="CAM175" s="72"/>
      <c r="CAN175" s="72"/>
      <c r="CAO175" s="72"/>
      <c r="CAP175" s="72"/>
      <c r="CAQ175" s="72"/>
      <c r="CAR175" s="72"/>
      <c r="CAS175" s="72"/>
      <c r="CAT175" s="72"/>
      <c r="CAU175" s="72"/>
      <c r="CAV175" s="72"/>
      <c r="CAW175" s="72"/>
      <c r="CAX175" s="72"/>
      <c r="CAY175" s="72"/>
      <c r="CAZ175" s="72"/>
      <c r="CBA175" s="72"/>
      <c r="CBB175" s="72"/>
      <c r="CBC175" s="72"/>
      <c r="CBD175" s="72"/>
      <c r="CBE175" s="72"/>
      <c r="CBF175" s="72"/>
      <c r="CBG175" s="72"/>
      <c r="CBH175" s="72"/>
      <c r="CBI175" s="72"/>
      <c r="CBJ175" s="72"/>
      <c r="CBK175" s="72"/>
      <c r="CBL175" s="72"/>
      <c r="CBM175" s="72"/>
      <c r="CBN175" s="72"/>
      <c r="CBO175" s="72"/>
      <c r="CBP175" s="72"/>
      <c r="CBQ175" s="72"/>
      <c r="CBR175" s="72"/>
      <c r="CBS175" s="72"/>
      <c r="CBT175" s="72"/>
      <c r="CBU175" s="72"/>
      <c r="CBV175" s="72"/>
      <c r="CBW175" s="72"/>
      <c r="CBX175" s="72"/>
      <c r="CBY175" s="72"/>
      <c r="CBZ175" s="72"/>
      <c r="CCA175" s="72"/>
      <c r="CCB175" s="72"/>
      <c r="CCC175" s="72"/>
      <c r="CCD175" s="72"/>
      <c r="CCE175" s="72"/>
      <c r="CCF175" s="72"/>
      <c r="CCG175" s="72"/>
      <c r="CCH175" s="72"/>
      <c r="CCI175" s="72"/>
      <c r="CCJ175" s="72"/>
      <c r="CCK175" s="72"/>
      <c r="CCL175" s="72"/>
      <c r="CCM175" s="72"/>
      <c r="CCN175" s="72"/>
      <c r="CCO175" s="72"/>
      <c r="CCP175" s="72"/>
      <c r="CCQ175" s="72"/>
      <c r="CCR175" s="72"/>
      <c r="CCS175" s="72"/>
      <c r="CCT175" s="72"/>
      <c r="CCU175" s="72"/>
      <c r="CCV175" s="72"/>
      <c r="CCW175" s="72"/>
      <c r="CCX175" s="72"/>
      <c r="CCY175" s="72"/>
      <c r="CCZ175" s="72"/>
      <c r="CDA175" s="72"/>
      <c r="CDB175" s="72"/>
      <c r="CDC175" s="72"/>
      <c r="CDD175" s="72"/>
      <c r="CDE175" s="72"/>
      <c r="CDF175" s="72"/>
      <c r="CDG175" s="72"/>
      <c r="CDH175" s="72"/>
      <c r="CDI175" s="72"/>
      <c r="CDJ175" s="72"/>
      <c r="CDK175" s="72"/>
      <c r="CDL175" s="72"/>
      <c r="CDM175" s="72"/>
      <c r="CDN175" s="72"/>
      <c r="CDO175" s="72"/>
      <c r="CDP175" s="72"/>
      <c r="CDQ175" s="72"/>
      <c r="CDR175" s="72"/>
      <c r="CDS175" s="72"/>
      <c r="CDT175" s="72"/>
      <c r="CDU175" s="72"/>
      <c r="CDV175" s="72"/>
      <c r="CDW175" s="72"/>
      <c r="CDX175" s="72"/>
      <c r="CDY175" s="72"/>
      <c r="CDZ175" s="72"/>
      <c r="CEA175" s="72"/>
      <c r="CEB175" s="72"/>
      <c r="CEC175" s="72"/>
      <c r="CED175" s="72"/>
      <c r="CEE175" s="72"/>
      <c r="CEF175" s="72"/>
      <c r="CEG175" s="72"/>
      <c r="CEH175" s="72"/>
      <c r="CEI175" s="72"/>
      <c r="CEJ175" s="72"/>
      <c r="CEK175" s="72"/>
      <c r="CEL175" s="72"/>
      <c r="CEM175" s="72"/>
      <c r="CEN175" s="72"/>
      <c r="CEO175" s="72"/>
      <c r="CEP175" s="72"/>
      <c r="CEQ175" s="72"/>
      <c r="CER175" s="72"/>
      <c r="CES175" s="72"/>
      <c r="CET175" s="72"/>
      <c r="CEU175" s="72"/>
      <c r="CEV175" s="72"/>
      <c r="CEW175" s="72"/>
      <c r="CEX175" s="72"/>
      <c r="CEY175" s="72"/>
      <c r="CEZ175" s="72"/>
      <c r="CFA175" s="72"/>
      <c r="CFB175" s="72"/>
      <c r="CFC175" s="72"/>
      <c r="CFD175" s="72"/>
      <c r="CFE175" s="72"/>
      <c r="CFF175" s="72"/>
      <c r="CFG175" s="72"/>
      <c r="CFH175" s="72"/>
      <c r="CFI175" s="72"/>
      <c r="CFJ175" s="72"/>
      <c r="CFK175" s="72"/>
      <c r="CFL175" s="72"/>
      <c r="CFM175" s="72"/>
      <c r="CFN175" s="72"/>
      <c r="CFO175" s="72"/>
      <c r="CFP175" s="72"/>
      <c r="CFQ175" s="72"/>
      <c r="CFR175" s="72"/>
      <c r="CFS175" s="72"/>
      <c r="CFT175" s="72"/>
      <c r="CFU175" s="72"/>
      <c r="CFV175" s="72"/>
      <c r="CFW175" s="72"/>
      <c r="CFX175" s="72"/>
      <c r="CFY175" s="72"/>
      <c r="CFZ175" s="72"/>
      <c r="CGA175" s="72"/>
      <c r="CGB175" s="72"/>
      <c r="CGC175" s="72"/>
      <c r="CGD175" s="72"/>
      <c r="CGE175" s="72"/>
      <c r="CGF175" s="72"/>
      <c r="CGG175" s="72"/>
      <c r="CGH175" s="72"/>
      <c r="CGI175" s="72"/>
      <c r="CGJ175" s="72"/>
      <c r="CGK175" s="72"/>
      <c r="CGL175" s="72"/>
      <c r="CGM175" s="72"/>
      <c r="CGN175" s="72"/>
      <c r="CGO175" s="72"/>
      <c r="CGP175" s="72"/>
      <c r="CGQ175" s="72"/>
      <c r="CGR175" s="72"/>
      <c r="CGS175" s="72"/>
      <c r="CGT175" s="72"/>
      <c r="CGU175" s="72"/>
      <c r="CGV175" s="72"/>
      <c r="CGW175" s="72"/>
      <c r="CGX175" s="72"/>
      <c r="CGY175" s="72"/>
      <c r="CGZ175" s="72"/>
      <c r="CHA175" s="72"/>
      <c r="CHB175" s="72"/>
      <c r="CHC175" s="72"/>
      <c r="CHD175" s="72"/>
      <c r="CHE175" s="72"/>
      <c r="CHF175" s="72"/>
      <c r="CHG175" s="72"/>
      <c r="CHH175" s="72"/>
      <c r="CHI175" s="72"/>
      <c r="CHJ175" s="72"/>
      <c r="CHK175" s="72"/>
      <c r="CHL175" s="72"/>
      <c r="CHM175" s="72"/>
      <c r="CHN175" s="72"/>
      <c r="CHO175" s="72"/>
      <c r="CHP175" s="72"/>
      <c r="CHQ175" s="72"/>
      <c r="CHR175" s="72"/>
      <c r="CHS175" s="72"/>
      <c r="CHT175" s="72"/>
      <c r="CHU175" s="72"/>
      <c r="CHV175" s="72"/>
      <c r="CHW175" s="72"/>
      <c r="CHX175" s="72"/>
      <c r="CHY175" s="72"/>
      <c r="CHZ175" s="72"/>
      <c r="CIA175" s="72"/>
      <c r="CIB175" s="72"/>
      <c r="CIC175" s="72"/>
      <c r="CID175" s="72"/>
      <c r="CIE175" s="72"/>
      <c r="CIF175" s="72"/>
      <c r="CIG175" s="72"/>
      <c r="CIH175" s="72"/>
      <c r="CII175" s="72"/>
      <c r="CIJ175" s="72"/>
      <c r="CIK175" s="72"/>
      <c r="CIL175" s="72"/>
      <c r="CIM175" s="72"/>
      <c r="CIN175" s="72"/>
      <c r="CIO175" s="72"/>
      <c r="CIP175" s="72"/>
      <c r="CIQ175" s="72"/>
      <c r="CIR175" s="72"/>
      <c r="CIS175" s="72"/>
      <c r="CIT175" s="72"/>
      <c r="CIU175" s="72"/>
      <c r="CIV175" s="72"/>
      <c r="CIW175" s="72"/>
      <c r="CIX175" s="72"/>
      <c r="CIY175" s="72"/>
      <c r="CIZ175" s="72"/>
      <c r="CJA175" s="72"/>
      <c r="CJB175" s="72"/>
      <c r="CJC175" s="72"/>
      <c r="CJD175" s="72"/>
      <c r="CJE175" s="72"/>
      <c r="CJF175" s="72"/>
      <c r="CJG175" s="72"/>
      <c r="CJH175" s="72"/>
      <c r="CJI175" s="72"/>
      <c r="CJJ175" s="72"/>
      <c r="CJK175" s="72"/>
      <c r="CJL175" s="72"/>
      <c r="CJM175" s="72"/>
      <c r="CJN175" s="72"/>
      <c r="CJO175" s="72"/>
      <c r="CJP175" s="72"/>
      <c r="CJQ175" s="72"/>
      <c r="CJR175" s="72"/>
      <c r="CJS175" s="72"/>
      <c r="CJT175" s="72"/>
      <c r="CJU175" s="72"/>
      <c r="CJV175" s="72"/>
      <c r="CJW175" s="72"/>
      <c r="CJX175" s="72"/>
      <c r="CJY175" s="72"/>
      <c r="CJZ175" s="72"/>
      <c r="CKA175" s="72"/>
      <c r="CKB175" s="72"/>
      <c r="CKC175" s="72"/>
      <c r="CKD175" s="72"/>
      <c r="CKE175" s="72"/>
      <c r="CKF175" s="72"/>
      <c r="CKG175" s="72"/>
      <c r="CKH175" s="72"/>
      <c r="CKI175" s="72"/>
      <c r="CKJ175" s="72"/>
      <c r="CKK175" s="72"/>
      <c r="CKL175" s="72"/>
      <c r="CKM175" s="72"/>
      <c r="CKN175" s="72"/>
      <c r="CKO175" s="72"/>
      <c r="CKP175" s="72"/>
      <c r="CKQ175" s="72"/>
      <c r="CKR175" s="72"/>
      <c r="CKS175" s="72"/>
      <c r="CKT175" s="72"/>
      <c r="CKU175" s="72"/>
      <c r="CKV175" s="72"/>
      <c r="CKW175" s="72"/>
      <c r="CKX175" s="72"/>
      <c r="CKY175" s="72"/>
      <c r="CKZ175" s="72"/>
      <c r="CLA175" s="72"/>
      <c r="CLB175" s="72"/>
      <c r="CLC175" s="72"/>
      <c r="CLD175" s="72"/>
      <c r="CLE175" s="72"/>
      <c r="CLF175" s="72"/>
      <c r="CLG175" s="72"/>
      <c r="CLH175" s="72"/>
      <c r="CLI175" s="72"/>
      <c r="CLJ175" s="72"/>
      <c r="CLK175" s="72"/>
      <c r="CLL175" s="72"/>
      <c r="CLM175" s="72"/>
      <c r="CLN175" s="72"/>
      <c r="CLO175" s="72"/>
      <c r="CLP175" s="72"/>
      <c r="CLQ175" s="72"/>
      <c r="CLR175" s="72"/>
      <c r="CLS175" s="72"/>
      <c r="CLT175" s="72"/>
      <c r="CLU175" s="72"/>
      <c r="CLV175" s="72"/>
      <c r="CLW175" s="72"/>
      <c r="CLX175" s="72"/>
      <c r="CLY175" s="72"/>
      <c r="CLZ175" s="72"/>
      <c r="CMA175" s="72"/>
      <c r="CMB175" s="72"/>
      <c r="CMC175" s="72"/>
      <c r="CMD175" s="72"/>
      <c r="CME175" s="72"/>
      <c r="CMF175" s="72"/>
      <c r="CMG175" s="72"/>
      <c r="CMH175" s="72"/>
      <c r="CMI175" s="72"/>
      <c r="CMJ175" s="72"/>
      <c r="CMK175" s="72"/>
      <c r="CML175" s="72"/>
      <c r="CMM175" s="72"/>
      <c r="CMN175" s="72"/>
      <c r="CMO175" s="72"/>
      <c r="CMP175" s="72"/>
      <c r="CMQ175" s="72"/>
      <c r="CMR175" s="72"/>
      <c r="CMS175" s="72"/>
      <c r="CMT175" s="72"/>
      <c r="CMU175" s="72"/>
      <c r="CMV175" s="72"/>
      <c r="CMW175" s="72"/>
      <c r="CMX175" s="72"/>
      <c r="CMY175" s="72"/>
      <c r="CMZ175" s="72"/>
      <c r="CNA175" s="72"/>
      <c r="CNB175" s="72"/>
      <c r="CNC175" s="72"/>
      <c r="CND175" s="72"/>
      <c r="CNE175" s="72"/>
      <c r="CNF175" s="72"/>
      <c r="CNG175" s="72"/>
      <c r="CNH175" s="72"/>
      <c r="CNI175" s="72"/>
      <c r="CNJ175" s="72"/>
      <c r="CNK175" s="72"/>
      <c r="CNL175" s="72"/>
      <c r="CNM175" s="72"/>
      <c r="CNN175" s="72"/>
      <c r="CNO175" s="72"/>
      <c r="CNP175" s="72"/>
      <c r="CNQ175" s="72"/>
      <c r="CNR175" s="72"/>
      <c r="CNS175" s="72"/>
      <c r="CNT175" s="72"/>
      <c r="CNU175" s="72"/>
      <c r="CNV175" s="72"/>
      <c r="CNW175" s="72"/>
      <c r="CNX175" s="72"/>
      <c r="CNY175" s="72"/>
      <c r="CNZ175" s="72"/>
      <c r="COA175" s="72"/>
      <c r="COB175" s="72"/>
      <c r="COC175" s="72"/>
      <c r="COD175" s="72"/>
      <c r="COE175" s="72"/>
      <c r="COF175" s="72"/>
      <c r="COG175" s="72"/>
      <c r="COH175" s="72"/>
      <c r="COI175" s="72"/>
      <c r="COJ175" s="72"/>
      <c r="COK175" s="72"/>
      <c r="COL175" s="72"/>
      <c r="COM175" s="72"/>
      <c r="CON175" s="72"/>
      <c r="COO175" s="72"/>
      <c r="COP175" s="72"/>
      <c r="COQ175" s="72"/>
      <c r="COR175" s="72"/>
      <c r="COS175" s="72"/>
      <c r="COT175" s="72"/>
      <c r="COU175" s="72"/>
      <c r="COV175" s="72"/>
      <c r="COW175" s="72"/>
      <c r="COX175" s="72"/>
      <c r="COY175" s="72"/>
      <c r="COZ175" s="72"/>
      <c r="CPA175" s="72"/>
      <c r="CPB175" s="72"/>
      <c r="CPC175" s="72"/>
      <c r="CPD175" s="72"/>
      <c r="CPE175" s="72"/>
      <c r="CPF175" s="72"/>
      <c r="CPG175" s="72"/>
      <c r="CPH175" s="72"/>
      <c r="CPI175" s="72"/>
      <c r="CPJ175" s="72"/>
      <c r="CPK175" s="72"/>
      <c r="CPL175" s="72"/>
      <c r="CPM175" s="72"/>
      <c r="CPN175" s="72"/>
      <c r="CPO175" s="72"/>
      <c r="CPP175" s="72"/>
      <c r="CPQ175" s="72"/>
      <c r="CPR175" s="72"/>
      <c r="CPS175" s="72"/>
      <c r="CPT175" s="72"/>
      <c r="CPU175" s="72"/>
      <c r="CPV175" s="72"/>
      <c r="CPW175" s="72"/>
      <c r="CPX175" s="72"/>
      <c r="CPY175" s="72"/>
      <c r="CPZ175" s="72"/>
      <c r="CQA175" s="72"/>
      <c r="CQB175" s="72"/>
      <c r="CQC175" s="72"/>
      <c r="CQD175" s="72"/>
      <c r="CQE175" s="72"/>
      <c r="CQF175" s="72"/>
      <c r="CQG175" s="72"/>
      <c r="CQH175" s="72"/>
      <c r="CQI175" s="72"/>
      <c r="CQJ175" s="72"/>
      <c r="CQK175" s="72"/>
      <c r="CQL175" s="72"/>
      <c r="CQM175" s="72"/>
      <c r="CQN175" s="72"/>
      <c r="CQO175" s="72"/>
      <c r="CQP175" s="72"/>
      <c r="CQQ175" s="72"/>
      <c r="CQR175" s="72"/>
      <c r="CQS175" s="72"/>
      <c r="CQT175" s="72"/>
      <c r="CQU175" s="72"/>
      <c r="CQV175" s="72"/>
      <c r="CQW175" s="72"/>
      <c r="CQX175" s="72"/>
      <c r="CQY175" s="72"/>
      <c r="CQZ175" s="72"/>
      <c r="CRA175" s="72"/>
      <c r="CRB175" s="72"/>
      <c r="CRC175" s="72"/>
      <c r="CRD175" s="72"/>
      <c r="CRE175" s="72"/>
      <c r="CRF175" s="72"/>
      <c r="CRG175" s="72"/>
      <c r="CRH175" s="72"/>
      <c r="CRI175" s="72"/>
      <c r="CRJ175" s="72"/>
      <c r="CRK175" s="72"/>
      <c r="CRL175" s="72"/>
      <c r="CRM175" s="72"/>
      <c r="CRN175" s="72"/>
      <c r="CRO175" s="72"/>
      <c r="CRP175" s="72"/>
      <c r="CRQ175" s="72"/>
      <c r="CRR175" s="72"/>
      <c r="CRS175" s="72"/>
      <c r="CRT175" s="72"/>
      <c r="CRU175" s="72"/>
      <c r="CRV175" s="72"/>
      <c r="CRW175" s="72"/>
      <c r="CRX175" s="72"/>
      <c r="CRY175" s="72"/>
      <c r="CRZ175" s="72"/>
      <c r="CSA175" s="72"/>
      <c r="CSB175" s="72"/>
      <c r="CSC175" s="72"/>
      <c r="CSD175" s="72"/>
      <c r="CSE175" s="72"/>
      <c r="CSF175" s="72"/>
      <c r="CSG175" s="72"/>
      <c r="CSH175" s="72"/>
      <c r="CSI175" s="72"/>
      <c r="CSJ175" s="72"/>
      <c r="CSK175" s="72"/>
      <c r="CSL175" s="72"/>
      <c r="CSM175" s="72"/>
      <c r="CSN175" s="72"/>
      <c r="CSO175" s="72"/>
      <c r="CSP175" s="72"/>
      <c r="CSQ175" s="72"/>
      <c r="CSR175" s="72"/>
      <c r="CSS175" s="72"/>
      <c r="CST175" s="72"/>
      <c r="CSU175" s="72"/>
      <c r="CSV175" s="72"/>
      <c r="CSW175" s="72"/>
      <c r="CSX175" s="72"/>
      <c r="CSY175" s="72"/>
      <c r="CSZ175" s="72"/>
      <c r="CTA175" s="72"/>
      <c r="CTB175" s="72"/>
      <c r="CTC175" s="72"/>
      <c r="CTD175" s="72"/>
      <c r="CTE175" s="72"/>
      <c r="CTF175" s="72"/>
      <c r="CTG175" s="72"/>
      <c r="CTH175" s="72"/>
      <c r="CTI175" s="72"/>
      <c r="CTJ175" s="72"/>
      <c r="CTK175" s="72"/>
      <c r="CTL175" s="72"/>
      <c r="CTM175" s="72"/>
      <c r="CTN175" s="72"/>
      <c r="CTO175" s="72"/>
      <c r="CTP175" s="72"/>
      <c r="CTQ175" s="72"/>
      <c r="CTR175" s="72"/>
      <c r="CTS175" s="72"/>
      <c r="CTT175" s="72"/>
      <c r="CTU175" s="72"/>
      <c r="CTV175" s="72"/>
      <c r="CTW175" s="72"/>
      <c r="CTX175" s="72"/>
      <c r="CTY175" s="72"/>
      <c r="CTZ175" s="72"/>
      <c r="CUA175" s="72"/>
      <c r="CUB175" s="72"/>
      <c r="CUC175" s="72"/>
      <c r="CUD175" s="72"/>
      <c r="CUE175" s="72"/>
      <c r="CUF175" s="72"/>
      <c r="CUG175" s="72"/>
      <c r="CUH175" s="72"/>
      <c r="CUI175" s="72"/>
      <c r="CUJ175" s="72"/>
      <c r="CUK175" s="72"/>
      <c r="CUL175" s="72"/>
      <c r="CUM175" s="72"/>
      <c r="CUN175" s="72"/>
      <c r="CUO175" s="72"/>
      <c r="CUP175" s="72"/>
      <c r="CUQ175" s="72"/>
      <c r="CUR175" s="72"/>
      <c r="CUS175" s="72"/>
      <c r="CUT175" s="72"/>
      <c r="CUU175" s="72"/>
      <c r="CUV175" s="72"/>
      <c r="CUW175" s="72"/>
      <c r="CUX175" s="72"/>
      <c r="CUY175" s="72"/>
      <c r="CUZ175" s="72"/>
      <c r="CVA175" s="72"/>
      <c r="CVB175" s="72"/>
      <c r="CVC175" s="72"/>
      <c r="CVD175" s="72"/>
      <c r="CVE175" s="72"/>
      <c r="CVF175" s="72"/>
      <c r="CVG175" s="72"/>
      <c r="CVH175" s="72"/>
      <c r="CVI175" s="72"/>
      <c r="CVJ175" s="72"/>
      <c r="CVK175" s="72"/>
      <c r="CVL175" s="72"/>
      <c r="CVM175" s="72"/>
      <c r="CVN175" s="72"/>
      <c r="CVO175" s="72"/>
      <c r="CVP175" s="72"/>
      <c r="CVQ175" s="72"/>
      <c r="CVR175" s="72"/>
      <c r="CVS175" s="72"/>
      <c r="CVT175" s="72"/>
      <c r="CVU175" s="72"/>
      <c r="CVV175" s="72"/>
      <c r="CVW175" s="72"/>
      <c r="CVX175" s="72"/>
      <c r="CVY175" s="72"/>
      <c r="CVZ175" s="72"/>
      <c r="CWA175" s="72"/>
      <c r="CWB175" s="72"/>
      <c r="CWC175" s="72"/>
      <c r="CWD175" s="72"/>
      <c r="CWE175" s="72"/>
      <c r="CWF175" s="72"/>
      <c r="CWG175" s="72"/>
      <c r="CWH175" s="72"/>
      <c r="CWI175" s="72"/>
      <c r="CWJ175" s="72"/>
      <c r="CWK175" s="72"/>
      <c r="CWL175" s="72"/>
      <c r="CWM175" s="72"/>
      <c r="CWN175" s="72"/>
      <c r="CWO175" s="72"/>
      <c r="CWP175" s="72"/>
      <c r="CWQ175" s="72"/>
      <c r="CWR175" s="72"/>
      <c r="CWS175" s="72"/>
      <c r="CWT175" s="72"/>
      <c r="CWU175" s="72"/>
      <c r="CWV175" s="72"/>
      <c r="CWW175" s="72"/>
      <c r="CWX175" s="72"/>
      <c r="CWY175" s="72"/>
      <c r="CWZ175" s="72"/>
      <c r="CXA175" s="72"/>
      <c r="CXB175" s="72"/>
      <c r="CXC175" s="72"/>
      <c r="CXD175" s="72"/>
      <c r="CXE175" s="72"/>
      <c r="CXF175" s="72"/>
      <c r="CXG175" s="72"/>
      <c r="CXH175" s="72"/>
      <c r="CXI175" s="72"/>
      <c r="CXJ175" s="72"/>
      <c r="CXK175" s="72"/>
      <c r="CXL175" s="72"/>
      <c r="CXM175" s="72"/>
      <c r="CXN175" s="72"/>
      <c r="CXO175" s="72"/>
      <c r="CXP175" s="72"/>
      <c r="CXQ175" s="72"/>
      <c r="CXR175" s="72"/>
      <c r="CXS175" s="72"/>
      <c r="CXT175" s="72"/>
      <c r="CXU175" s="72"/>
      <c r="CXV175" s="72"/>
      <c r="CXW175" s="72"/>
      <c r="CXX175" s="72"/>
      <c r="CXY175" s="72"/>
      <c r="CXZ175" s="72"/>
      <c r="CYA175" s="72"/>
      <c r="CYB175" s="72"/>
      <c r="CYC175" s="72"/>
      <c r="CYD175" s="72"/>
      <c r="CYE175" s="72"/>
      <c r="CYF175" s="72"/>
      <c r="CYG175" s="72"/>
      <c r="CYH175" s="72"/>
      <c r="CYI175" s="72"/>
      <c r="CYJ175" s="72"/>
      <c r="CYK175" s="72"/>
      <c r="CYL175" s="72"/>
      <c r="CYM175" s="72"/>
      <c r="CYN175" s="72"/>
      <c r="CYO175" s="72"/>
      <c r="CYP175" s="72"/>
      <c r="CYQ175" s="72"/>
      <c r="CYR175" s="72"/>
      <c r="CYS175" s="72"/>
      <c r="CYT175" s="72"/>
      <c r="CYU175" s="72"/>
      <c r="CYV175" s="72"/>
      <c r="CYW175" s="72"/>
      <c r="CYX175" s="72"/>
      <c r="CYY175" s="72"/>
      <c r="CYZ175" s="72"/>
      <c r="CZA175" s="72"/>
      <c r="CZB175" s="72"/>
      <c r="CZC175" s="72"/>
      <c r="CZD175" s="72"/>
      <c r="CZE175" s="72"/>
      <c r="CZF175" s="72"/>
      <c r="CZG175" s="72"/>
      <c r="CZH175" s="72"/>
      <c r="CZI175" s="72"/>
      <c r="CZJ175" s="72"/>
      <c r="CZK175" s="72"/>
      <c r="CZL175" s="72"/>
      <c r="CZM175" s="72"/>
      <c r="CZN175" s="72"/>
      <c r="CZO175" s="72"/>
      <c r="CZP175" s="72"/>
      <c r="CZQ175" s="72"/>
      <c r="CZR175" s="72"/>
      <c r="CZS175" s="72"/>
      <c r="CZT175" s="72"/>
      <c r="CZU175" s="72"/>
      <c r="CZV175" s="72"/>
      <c r="CZW175" s="72"/>
      <c r="CZX175" s="72"/>
      <c r="CZY175" s="72"/>
      <c r="CZZ175" s="72"/>
      <c r="DAA175" s="72"/>
      <c r="DAB175" s="72"/>
      <c r="DAC175" s="72"/>
      <c r="DAD175" s="72"/>
      <c r="DAE175" s="72"/>
      <c r="DAF175" s="72"/>
      <c r="DAG175" s="72"/>
      <c r="DAH175" s="72"/>
      <c r="DAI175" s="72"/>
      <c r="DAJ175" s="72"/>
      <c r="DAK175" s="72"/>
      <c r="DAL175" s="72"/>
      <c r="DAM175" s="72"/>
      <c r="DAN175" s="72"/>
      <c r="DAO175" s="72"/>
      <c r="DAP175" s="72"/>
      <c r="DAQ175" s="72"/>
      <c r="DAR175" s="72"/>
      <c r="DAS175" s="72"/>
      <c r="DAT175" s="72"/>
      <c r="DAU175" s="72"/>
      <c r="DAV175" s="72"/>
      <c r="DAW175" s="72"/>
      <c r="DAX175" s="72"/>
      <c r="DAY175" s="72"/>
      <c r="DAZ175" s="72"/>
      <c r="DBA175" s="72"/>
      <c r="DBB175" s="72"/>
      <c r="DBC175" s="72"/>
      <c r="DBD175" s="72"/>
      <c r="DBE175" s="72"/>
      <c r="DBF175" s="72"/>
      <c r="DBG175" s="72"/>
      <c r="DBH175" s="72"/>
      <c r="DBI175" s="72"/>
      <c r="DBJ175" s="72"/>
      <c r="DBK175" s="72"/>
      <c r="DBL175" s="72"/>
      <c r="DBM175" s="72"/>
      <c r="DBN175" s="72"/>
      <c r="DBO175" s="72"/>
      <c r="DBP175" s="72"/>
      <c r="DBQ175" s="72"/>
      <c r="DBR175" s="72"/>
      <c r="DBS175" s="72"/>
      <c r="DBT175" s="72"/>
      <c r="DBU175" s="72"/>
      <c r="DBV175" s="72"/>
      <c r="DBW175" s="72"/>
      <c r="DBX175" s="72"/>
      <c r="DBY175" s="72"/>
      <c r="DBZ175" s="72"/>
      <c r="DCA175" s="72"/>
      <c r="DCB175" s="72"/>
      <c r="DCC175" s="72"/>
      <c r="DCD175" s="72"/>
      <c r="DCE175" s="72"/>
      <c r="DCF175" s="72"/>
      <c r="DCG175" s="72"/>
      <c r="DCH175" s="72"/>
      <c r="DCI175" s="72"/>
      <c r="DCJ175" s="72"/>
      <c r="DCK175" s="72"/>
      <c r="DCL175" s="72"/>
      <c r="DCM175" s="72"/>
      <c r="DCN175" s="72"/>
      <c r="DCO175" s="72"/>
      <c r="DCP175" s="72"/>
      <c r="DCQ175" s="72"/>
      <c r="DCR175" s="72"/>
      <c r="DCS175" s="72"/>
      <c r="DCT175" s="72"/>
      <c r="DCU175" s="72"/>
      <c r="DCV175" s="72"/>
      <c r="DCW175" s="72"/>
      <c r="DCX175" s="72"/>
      <c r="DCY175" s="72"/>
      <c r="DCZ175" s="72"/>
      <c r="DDA175" s="72"/>
      <c r="DDB175" s="72"/>
      <c r="DDC175" s="72"/>
      <c r="DDD175" s="72"/>
      <c r="DDE175" s="72"/>
      <c r="DDF175" s="72"/>
      <c r="DDG175" s="72"/>
      <c r="DDH175" s="72"/>
      <c r="DDI175" s="72"/>
      <c r="DDJ175" s="72"/>
      <c r="DDK175" s="72"/>
      <c r="DDL175" s="72"/>
      <c r="DDM175" s="72"/>
      <c r="DDN175" s="72"/>
      <c r="DDO175" s="72"/>
      <c r="DDP175" s="72"/>
      <c r="DDQ175" s="72"/>
      <c r="DDR175" s="72"/>
      <c r="DDS175" s="72"/>
      <c r="DDT175" s="72"/>
      <c r="DDU175" s="72"/>
      <c r="DDV175" s="72"/>
      <c r="DDW175" s="72"/>
      <c r="DDX175" s="72"/>
      <c r="DDY175" s="72"/>
      <c r="DDZ175" s="72"/>
      <c r="DEA175" s="72"/>
      <c r="DEB175" s="72"/>
      <c r="DEC175" s="72"/>
      <c r="DED175" s="72"/>
      <c r="DEE175" s="72"/>
      <c r="DEF175" s="72"/>
      <c r="DEG175" s="72"/>
      <c r="DEH175" s="72"/>
      <c r="DEI175" s="72"/>
      <c r="DEJ175" s="72"/>
      <c r="DEK175" s="72"/>
      <c r="DEL175" s="72"/>
      <c r="DEM175" s="72"/>
      <c r="DEN175" s="72"/>
      <c r="DEO175" s="72"/>
      <c r="DEP175" s="72"/>
      <c r="DEQ175" s="72"/>
      <c r="DER175" s="72"/>
      <c r="DES175" s="72"/>
      <c r="DET175" s="72"/>
      <c r="DEU175" s="72"/>
      <c r="DEV175" s="72"/>
      <c r="DEW175" s="72"/>
      <c r="DEX175" s="72"/>
      <c r="DEY175" s="72"/>
      <c r="DEZ175" s="72"/>
      <c r="DFA175" s="72"/>
      <c r="DFB175" s="72"/>
      <c r="DFC175" s="72"/>
      <c r="DFD175" s="72"/>
      <c r="DFE175" s="72"/>
      <c r="DFF175" s="72"/>
      <c r="DFG175" s="72"/>
      <c r="DFH175" s="72"/>
      <c r="DFI175" s="72"/>
      <c r="DFJ175" s="72"/>
      <c r="DFK175" s="72"/>
      <c r="DFL175" s="72"/>
      <c r="DFM175" s="72"/>
      <c r="DFN175" s="72"/>
      <c r="DFO175" s="72"/>
      <c r="DFP175" s="72"/>
      <c r="DFQ175" s="72"/>
      <c r="DFR175" s="72"/>
      <c r="DFS175" s="72"/>
      <c r="DFT175" s="72"/>
      <c r="DFU175" s="72"/>
      <c r="DFV175" s="72"/>
      <c r="DFW175" s="72"/>
      <c r="DFX175" s="72"/>
      <c r="DFY175" s="72"/>
      <c r="DFZ175" s="72"/>
      <c r="DGA175" s="72"/>
      <c r="DGB175" s="72"/>
      <c r="DGC175" s="72"/>
      <c r="DGD175" s="72"/>
      <c r="DGE175" s="72"/>
      <c r="DGF175" s="72"/>
      <c r="DGG175" s="72"/>
      <c r="DGH175" s="72"/>
      <c r="DGI175" s="72"/>
      <c r="DGJ175" s="72"/>
      <c r="DGK175" s="72"/>
      <c r="DGL175" s="72"/>
      <c r="DGM175" s="72"/>
      <c r="DGN175" s="72"/>
      <c r="DGO175" s="72"/>
      <c r="DGP175" s="72"/>
      <c r="DGQ175" s="72"/>
      <c r="DGR175" s="72"/>
      <c r="DGS175" s="72"/>
      <c r="DGT175" s="72"/>
      <c r="DGU175" s="72"/>
      <c r="DGV175" s="72"/>
      <c r="DGW175" s="72"/>
      <c r="DGX175" s="72"/>
      <c r="DGY175" s="72"/>
      <c r="DGZ175" s="72"/>
      <c r="DHA175" s="72"/>
      <c r="DHB175" s="72"/>
      <c r="DHC175" s="72"/>
      <c r="DHD175" s="72"/>
      <c r="DHE175" s="72"/>
      <c r="DHF175" s="72"/>
      <c r="DHG175" s="72"/>
      <c r="DHH175" s="72"/>
      <c r="DHI175" s="72"/>
      <c r="DHJ175" s="72"/>
      <c r="DHK175" s="72"/>
      <c r="DHL175" s="72"/>
      <c r="DHM175" s="72"/>
      <c r="DHN175" s="72"/>
      <c r="DHO175" s="72"/>
      <c r="DHP175" s="72"/>
      <c r="DHQ175" s="72"/>
      <c r="DHR175" s="72"/>
      <c r="DHS175" s="72"/>
      <c r="DHT175" s="72"/>
      <c r="DHU175" s="72"/>
      <c r="DHV175" s="72"/>
      <c r="DHW175" s="72"/>
      <c r="DHX175" s="72"/>
      <c r="DHY175" s="72"/>
      <c r="DHZ175" s="72"/>
      <c r="DIA175" s="72"/>
      <c r="DIB175" s="72"/>
      <c r="DIC175" s="72"/>
      <c r="DID175" s="72"/>
      <c r="DIE175" s="72"/>
      <c r="DIF175" s="72"/>
      <c r="DIG175" s="72"/>
      <c r="DIH175" s="72"/>
      <c r="DII175" s="72"/>
      <c r="DIJ175" s="72"/>
      <c r="DIK175" s="72"/>
      <c r="DIL175" s="72"/>
      <c r="DIM175" s="72"/>
      <c r="DIN175" s="72"/>
      <c r="DIO175" s="72"/>
      <c r="DIP175" s="72"/>
      <c r="DIQ175" s="72"/>
      <c r="DIR175" s="72"/>
      <c r="DIS175" s="72"/>
      <c r="DIT175" s="72"/>
      <c r="DIU175" s="72"/>
      <c r="DIV175" s="72"/>
      <c r="DIW175" s="72"/>
      <c r="DIX175" s="72"/>
      <c r="DIY175" s="72"/>
      <c r="DIZ175" s="72"/>
      <c r="DJA175" s="72"/>
      <c r="DJB175" s="72"/>
      <c r="DJC175" s="72"/>
      <c r="DJD175" s="72"/>
      <c r="DJE175" s="72"/>
      <c r="DJF175" s="72"/>
      <c r="DJG175" s="72"/>
      <c r="DJH175" s="72"/>
      <c r="DJI175" s="72"/>
      <c r="DJJ175" s="72"/>
      <c r="DJK175" s="72"/>
      <c r="DJL175" s="72"/>
      <c r="DJM175" s="72"/>
      <c r="DJN175" s="72"/>
      <c r="DJO175" s="72"/>
      <c r="DJP175" s="72"/>
      <c r="DJQ175" s="72"/>
      <c r="DJR175" s="72"/>
      <c r="DJS175" s="72"/>
      <c r="DJT175" s="72"/>
      <c r="DJU175" s="72"/>
      <c r="DJV175" s="72"/>
      <c r="DJW175" s="72"/>
      <c r="DJX175" s="72"/>
      <c r="DJY175" s="72"/>
      <c r="DJZ175" s="72"/>
      <c r="DKA175" s="72"/>
      <c r="DKB175" s="72"/>
      <c r="DKC175" s="72"/>
      <c r="DKD175" s="72"/>
      <c r="DKE175" s="72"/>
      <c r="DKF175" s="72"/>
      <c r="DKG175" s="72"/>
      <c r="DKH175" s="72"/>
      <c r="DKI175" s="72"/>
      <c r="DKJ175" s="72"/>
      <c r="DKK175" s="72"/>
      <c r="DKL175" s="72"/>
      <c r="DKM175" s="72"/>
      <c r="DKN175" s="72"/>
      <c r="DKO175" s="72"/>
      <c r="DKP175" s="72"/>
      <c r="DKQ175" s="72"/>
      <c r="DKR175" s="72"/>
      <c r="DKS175" s="72"/>
      <c r="DKT175" s="72"/>
      <c r="DKU175" s="72"/>
      <c r="DKV175" s="72"/>
      <c r="DKW175" s="72"/>
      <c r="DKX175" s="72"/>
      <c r="DKY175" s="72"/>
      <c r="DKZ175" s="72"/>
      <c r="DLA175" s="72"/>
      <c r="DLB175" s="72"/>
      <c r="DLC175" s="72"/>
      <c r="DLD175" s="72"/>
      <c r="DLE175" s="72"/>
      <c r="DLF175" s="72"/>
      <c r="DLG175" s="72"/>
      <c r="DLH175" s="72"/>
      <c r="DLI175" s="72"/>
      <c r="DLJ175" s="72"/>
      <c r="DLK175" s="72"/>
      <c r="DLL175" s="72"/>
      <c r="DLM175" s="72"/>
      <c r="DLN175" s="72"/>
      <c r="DLO175" s="72"/>
      <c r="DLP175" s="72"/>
      <c r="DLQ175" s="72"/>
      <c r="DLR175" s="72"/>
      <c r="DLS175" s="72"/>
      <c r="DLT175" s="72"/>
      <c r="DLU175" s="72"/>
      <c r="DLV175" s="72"/>
      <c r="DLW175" s="72"/>
      <c r="DLX175" s="72"/>
      <c r="DLY175" s="72"/>
      <c r="DLZ175" s="72"/>
      <c r="DMA175" s="72"/>
      <c r="DMB175" s="72"/>
      <c r="DMC175" s="72"/>
      <c r="DMD175" s="72"/>
      <c r="DME175" s="72"/>
      <c r="DMF175" s="72"/>
      <c r="DMG175" s="72"/>
      <c r="DMH175" s="72"/>
      <c r="DMI175" s="72"/>
      <c r="DMJ175" s="72"/>
      <c r="DMK175" s="72"/>
      <c r="DML175" s="72"/>
      <c r="DMM175" s="72"/>
      <c r="DMN175" s="72"/>
      <c r="DMO175" s="72"/>
      <c r="DMP175" s="72"/>
      <c r="DMQ175" s="72"/>
      <c r="DMR175" s="72"/>
      <c r="DMS175" s="72"/>
      <c r="DMT175" s="72"/>
      <c r="DMU175" s="72"/>
      <c r="DMV175" s="72"/>
      <c r="DMW175" s="72"/>
      <c r="DMX175" s="72"/>
      <c r="DMY175" s="72"/>
      <c r="DMZ175" s="72"/>
      <c r="DNA175" s="72"/>
      <c r="DNB175" s="72"/>
      <c r="DNC175" s="72"/>
      <c r="DND175" s="72"/>
      <c r="DNE175" s="72"/>
      <c r="DNF175" s="72"/>
      <c r="DNG175" s="72"/>
      <c r="DNH175" s="72"/>
      <c r="DNI175" s="72"/>
      <c r="DNJ175" s="72"/>
      <c r="DNK175" s="72"/>
      <c r="DNL175" s="72"/>
      <c r="DNM175" s="72"/>
      <c r="DNN175" s="72"/>
      <c r="DNO175" s="72"/>
      <c r="DNP175" s="72"/>
      <c r="DNQ175" s="72"/>
      <c r="DNR175" s="72"/>
      <c r="DNS175" s="72"/>
      <c r="DNT175" s="72"/>
      <c r="DNU175" s="72"/>
      <c r="DNV175" s="72"/>
      <c r="DNW175" s="72"/>
      <c r="DNX175" s="72"/>
      <c r="DNY175" s="72"/>
      <c r="DNZ175" s="72"/>
      <c r="DOA175" s="72"/>
      <c r="DOB175" s="72"/>
      <c r="DOC175" s="72"/>
      <c r="DOD175" s="72"/>
      <c r="DOE175" s="72"/>
      <c r="DOF175" s="72"/>
      <c r="DOG175" s="72"/>
      <c r="DOH175" s="72"/>
      <c r="DOI175" s="72"/>
      <c r="DOJ175" s="72"/>
      <c r="DOK175" s="72"/>
      <c r="DOL175" s="72"/>
      <c r="DOM175" s="72"/>
      <c r="DON175" s="72"/>
      <c r="DOO175" s="72"/>
      <c r="DOP175" s="72"/>
      <c r="DOQ175" s="72"/>
      <c r="DOR175" s="72"/>
      <c r="DOS175" s="72"/>
      <c r="DOT175" s="72"/>
      <c r="DOU175" s="72"/>
      <c r="DOV175" s="72"/>
      <c r="DOW175" s="72"/>
      <c r="DOX175" s="72"/>
      <c r="DOY175" s="72"/>
      <c r="DOZ175" s="72"/>
      <c r="DPA175" s="72"/>
      <c r="DPB175" s="72"/>
      <c r="DPC175" s="72"/>
      <c r="DPD175" s="72"/>
      <c r="DPE175" s="72"/>
      <c r="DPF175" s="72"/>
      <c r="DPG175" s="72"/>
      <c r="DPH175" s="72"/>
      <c r="DPI175" s="72"/>
      <c r="DPJ175" s="72"/>
      <c r="DPK175" s="72"/>
      <c r="DPL175" s="72"/>
      <c r="DPM175" s="72"/>
      <c r="DPN175" s="72"/>
      <c r="DPO175" s="72"/>
      <c r="DPP175" s="72"/>
      <c r="DPQ175" s="72"/>
      <c r="DPR175" s="72"/>
      <c r="DPS175" s="72"/>
      <c r="DPT175" s="72"/>
      <c r="DPU175" s="72"/>
      <c r="DPV175" s="72"/>
      <c r="DPW175" s="72"/>
      <c r="DPX175" s="72"/>
      <c r="DPY175" s="72"/>
      <c r="DPZ175" s="72"/>
      <c r="DQA175" s="72"/>
      <c r="DQB175" s="72"/>
      <c r="DQC175" s="72"/>
      <c r="DQD175" s="72"/>
      <c r="DQE175" s="72"/>
      <c r="DQF175" s="72"/>
      <c r="DQG175" s="72"/>
      <c r="DQH175" s="72"/>
      <c r="DQI175" s="72"/>
      <c r="DQJ175" s="72"/>
      <c r="DQK175" s="72"/>
      <c r="DQL175" s="72"/>
      <c r="DQM175" s="72"/>
      <c r="DQN175" s="72"/>
      <c r="DQO175" s="72"/>
      <c r="DQP175" s="72"/>
      <c r="DQQ175" s="72"/>
      <c r="DQR175" s="72"/>
      <c r="DQS175" s="72"/>
      <c r="DQT175" s="72"/>
      <c r="DQU175" s="72"/>
      <c r="DQV175" s="72"/>
      <c r="DQW175" s="72"/>
      <c r="DQX175" s="72"/>
      <c r="DQY175" s="72"/>
      <c r="DQZ175" s="72"/>
      <c r="DRA175" s="72"/>
      <c r="DRB175" s="72"/>
      <c r="DRC175" s="72"/>
      <c r="DRD175" s="72"/>
      <c r="DRE175" s="72"/>
      <c r="DRF175" s="72"/>
      <c r="DRG175" s="72"/>
      <c r="DRH175" s="72"/>
      <c r="DRI175" s="72"/>
      <c r="DRJ175" s="72"/>
      <c r="DRK175" s="72"/>
      <c r="DRL175" s="72"/>
      <c r="DRM175" s="72"/>
      <c r="DRN175" s="72"/>
      <c r="DRO175" s="72"/>
      <c r="DRP175" s="72"/>
      <c r="DRQ175" s="72"/>
      <c r="DRR175" s="72"/>
      <c r="DRS175" s="72"/>
      <c r="DRT175" s="72"/>
      <c r="DRU175" s="72"/>
      <c r="DRV175" s="72"/>
      <c r="DRW175" s="72"/>
      <c r="DRX175" s="72"/>
      <c r="DRY175" s="72"/>
      <c r="DRZ175" s="72"/>
      <c r="DSA175" s="72"/>
      <c r="DSB175" s="72"/>
      <c r="DSC175" s="72"/>
      <c r="DSD175" s="72"/>
      <c r="DSE175" s="72"/>
      <c r="DSF175" s="72"/>
      <c r="DSG175" s="72"/>
      <c r="DSH175" s="72"/>
      <c r="DSI175" s="72"/>
      <c r="DSJ175" s="72"/>
      <c r="DSK175" s="72"/>
      <c r="DSL175" s="72"/>
      <c r="DSM175" s="72"/>
      <c r="DSN175" s="72"/>
      <c r="DSO175" s="72"/>
      <c r="DSP175" s="72"/>
      <c r="DSQ175" s="72"/>
      <c r="DSR175" s="72"/>
      <c r="DSS175" s="72"/>
      <c r="DST175" s="72"/>
      <c r="DSU175" s="72"/>
      <c r="DSV175" s="72"/>
      <c r="DSW175" s="72"/>
      <c r="DSX175" s="72"/>
      <c r="DSY175" s="72"/>
      <c r="DSZ175" s="72"/>
      <c r="DTA175" s="72"/>
      <c r="DTB175" s="72"/>
      <c r="DTC175" s="72"/>
      <c r="DTD175" s="72"/>
      <c r="DTE175" s="72"/>
      <c r="DTF175" s="72"/>
      <c r="DTG175" s="72"/>
      <c r="DTH175" s="72"/>
      <c r="DTI175" s="72"/>
      <c r="DTJ175" s="72"/>
      <c r="DTK175" s="72"/>
      <c r="DTL175" s="72"/>
      <c r="DTM175" s="72"/>
      <c r="DTN175" s="72"/>
      <c r="DTO175" s="72"/>
      <c r="DTP175" s="72"/>
      <c r="DTQ175" s="72"/>
      <c r="DTR175" s="72"/>
      <c r="DTS175" s="72"/>
      <c r="DTT175" s="72"/>
      <c r="DTU175" s="72"/>
      <c r="DTV175" s="72"/>
      <c r="DTW175" s="72"/>
      <c r="DTX175" s="72"/>
      <c r="DTY175" s="72"/>
      <c r="DTZ175" s="72"/>
      <c r="DUA175" s="72"/>
      <c r="DUB175" s="72"/>
      <c r="DUC175" s="72"/>
      <c r="DUD175" s="72"/>
      <c r="DUE175" s="72"/>
      <c r="DUF175" s="72"/>
      <c r="DUG175" s="72"/>
      <c r="DUH175" s="72"/>
      <c r="DUI175" s="72"/>
      <c r="DUJ175" s="72"/>
      <c r="DUK175" s="72"/>
      <c r="DUL175" s="72"/>
      <c r="DUM175" s="72"/>
      <c r="DUN175" s="72"/>
      <c r="DUO175" s="72"/>
      <c r="DUP175" s="72"/>
      <c r="DUQ175" s="72"/>
      <c r="DUR175" s="72"/>
      <c r="DUS175" s="72"/>
      <c r="DUT175" s="72"/>
      <c r="DUU175" s="72"/>
      <c r="DUV175" s="72"/>
      <c r="DUW175" s="72"/>
      <c r="DUX175" s="72"/>
      <c r="DUY175" s="72"/>
      <c r="DUZ175" s="72"/>
      <c r="DVA175" s="72"/>
      <c r="DVB175" s="72"/>
      <c r="DVC175" s="72"/>
      <c r="DVD175" s="72"/>
      <c r="DVE175" s="72"/>
      <c r="DVF175" s="72"/>
      <c r="DVG175" s="72"/>
      <c r="DVH175" s="72"/>
      <c r="DVI175" s="72"/>
      <c r="DVJ175" s="72"/>
      <c r="DVK175" s="72"/>
      <c r="DVL175" s="72"/>
      <c r="DVM175" s="72"/>
      <c r="DVN175" s="72"/>
      <c r="DVO175" s="72"/>
      <c r="DVP175" s="72"/>
      <c r="DVQ175" s="72"/>
      <c r="DVR175" s="72"/>
      <c r="DVS175" s="72"/>
      <c r="DVT175" s="72"/>
      <c r="DVU175" s="72"/>
      <c r="DVV175" s="72"/>
      <c r="DVW175" s="72"/>
      <c r="DVX175" s="72"/>
      <c r="DVY175" s="72"/>
      <c r="DVZ175" s="72"/>
      <c r="DWA175" s="72"/>
      <c r="DWB175" s="72"/>
      <c r="DWC175" s="72"/>
      <c r="DWD175" s="72"/>
      <c r="DWE175" s="72"/>
      <c r="DWF175" s="72"/>
      <c r="DWG175" s="72"/>
      <c r="DWH175" s="72"/>
      <c r="DWI175" s="72"/>
      <c r="DWJ175" s="72"/>
      <c r="DWK175" s="72"/>
      <c r="DWL175" s="72"/>
      <c r="DWM175" s="72"/>
      <c r="DWN175" s="72"/>
      <c r="DWO175" s="72"/>
      <c r="DWP175" s="72"/>
      <c r="DWQ175" s="72"/>
      <c r="DWR175" s="72"/>
      <c r="DWS175" s="72"/>
      <c r="DWT175" s="72"/>
      <c r="DWU175" s="72"/>
      <c r="DWV175" s="72"/>
      <c r="DWW175" s="72"/>
      <c r="DWX175" s="72"/>
      <c r="DWY175" s="72"/>
      <c r="DWZ175" s="72"/>
      <c r="DXA175" s="72"/>
      <c r="DXB175" s="72"/>
      <c r="DXC175" s="72"/>
      <c r="DXD175" s="72"/>
      <c r="DXE175" s="72"/>
      <c r="DXF175" s="72"/>
      <c r="DXG175" s="72"/>
      <c r="DXH175" s="72"/>
      <c r="DXI175" s="72"/>
      <c r="DXJ175" s="72"/>
      <c r="DXK175" s="72"/>
      <c r="DXL175" s="72"/>
      <c r="DXM175" s="72"/>
      <c r="DXN175" s="72"/>
      <c r="DXO175" s="72"/>
      <c r="DXP175" s="72"/>
      <c r="DXQ175" s="72"/>
      <c r="DXR175" s="72"/>
      <c r="DXS175" s="72"/>
      <c r="DXT175" s="72"/>
      <c r="DXU175" s="72"/>
      <c r="DXV175" s="72"/>
      <c r="DXW175" s="72"/>
      <c r="DXX175" s="72"/>
      <c r="DXY175" s="72"/>
      <c r="DXZ175" s="72"/>
      <c r="DYA175" s="72"/>
      <c r="DYB175" s="72"/>
      <c r="DYC175" s="72"/>
      <c r="DYD175" s="72"/>
      <c r="DYE175" s="72"/>
      <c r="DYF175" s="72"/>
      <c r="DYG175" s="72"/>
      <c r="DYH175" s="72"/>
      <c r="DYI175" s="72"/>
      <c r="DYJ175" s="72"/>
      <c r="DYK175" s="72"/>
      <c r="DYL175" s="72"/>
      <c r="DYM175" s="72"/>
      <c r="DYN175" s="72"/>
      <c r="DYO175" s="72"/>
      <c r="DYP175" s="72"/>
      <c r="DYQ175" s="72"/>
      <c r="DYR175" s="72"/>
      <c r="DYS175" s="72"/>
      <c r="DYT175" s="72"/>
      <c r="DYU175" s="72"/>
      <c r="DYV175" s="72"/>
      <c r="DYW175" s="72"/>
      <c r="DYX175" s="72"/>
      <c r="DYY175" s="72"/>
      <c r="DYZ175" s="72"/>
      <c r="DZA175" s="72"/>
      <c r="DZB175" s="72"/>
      <c r="DZC175" s="72"/>
      <c r="DZD175" s="72"/>
      <c r="DZE175" s="72"/>
      <c r="DZF175" s="72"/>
      <c r="DZG175" s="72"/>
      <c r="DZH175" s="72"/>
      <c r="DZI175" s="72"/>
      <c r="DZJ175" s="72"/>
      <c r="DZK175" s="72"/>
      <c r="DZL175" s="72"/>
      <c r="DZM175" s="72"/>
      <c r="DZN175" s="72"/>
      <c r="DZO175" s="72"/>
      <c r="DZP175" s="72"/>
      <c r="DZQ175" s="72"/>
      <c r="DZR175" s="72"/>
      <c r="DZS175" s="72"/>
      <c r="DZT175" s="72"/>
      <c r="DZU175" s="72"/>
      <c r="DZV175" s="72"/>
      <c r="DZW175" s="72"/>
      <c r="DZX175" s="72"/>
      <c r="DZY175" s="72"/>
      <c r="DZZ175" s="72"/>
      <c r="EAA175" s="72"/>
      <c r="EAB175" s="72"/>
      <c r="EAC175" s="72"/>
      <c r="EAD175" s="72"/>
      <c r="EAE175" s="72"/>
      <c r="EAF175" s="72"/>
      <c r="EAG175" s="72"/>
      <c r="EAH175" s="72"/>
      <c r="EAI175" s="72"/>
      <c r="EAJ175" s="72"/>
      <c r="EAK175" s="72"/>
      <c r="EAL175" s="72"/>
      <c r="EAM175" s="72"/>
      <c r="EAN175" s="72"/>
      <c r="EAO175" s="72"/>
      <c r="EAP175" s="72"/>
      <c r="EAQ175" s="72"/>
      <c r="EAR175" s="72"/>
      <c r="EAS175" s="72"/>
      <c r="EAT175" s="72"/>
      <c r="EAU175" s="72"/>
      <c r="EAV175" s="72"/>
      <c r="EAW175" s="72"/>
      <c r="EAX175" s="72"/>
      <c r="EAY175" s="72"/>
      <c r="EAZ175" s="72"/>
      <c r="EBA175" s="72"/>
      <c r="EBB175" s="72"/>
      <c r="EBC175" s="72"/>
      <c r="EBD175" s="72"/>
      <c r="EBE175" s="72"/>
      <c r="EBF175" s="72"/>
      <c r="EBG175" s="72"/>
      <c r="EBH175" s="72"/>
      <c r="EBI175" s="72"/>
      <c r="EBJ175" s="72"/>
      <c r="EBK175" s="72"/>
      <c r="EBL175" s="72"/>
      <c r="EBM175" s="72"/>
      <c r="EBN175" s="72"/>
      <c r="EBO175" s="72"/>
      <c r="EBP175" s="72"/>
      <c r="EBQ175" s="72"/>
      <c r="EBR175" s="72"/>
      <c r="EBS175" s="72"/>
      <c r="EBT175" s="72"/>
      <c r="EBU175" s="72"/>
      <c r="EBV175" s="72"/>
      <c r="EBW175" s="72"/>
      <c r="EBX175" s="72"/>
      <c r="EBY175" s="72"/>
      <c r="EBZ175" s="72"/>
      <c r="ECA175" s="72"/>
      <c r="ECB175" s="72"/>
      <c r="ECC175" s="72"/>
      <c r="ECD175" s="72"/>
      <c r="ECE175" s="72"/>
      <c r="ECF175" s="72"/>
      <c r="ECG175" s="72"/>
      <c r="ECH175" s="72"/>
      <c r="ECI175" s="72"/>
      <c r="ECJ175" s="72"/>
      <c r="ECK175" s="72"/>
      <c r="ECL175" s="72"/>
      <c r="ECM175" s="72"/>
      <c r="ECN175" s="72"/>
      <c r="ECO175" s="72"/>
      <c r="ECP175" s="72"/>
      <c r="ECQ175" s="72"/>
      <c r="ECR175" s="72"/>
      <c r="ECS175" s="72"/>
      <c r="ECT175" s="72"/>
      <c r="ECU175" s="72"/>
      <c r="ECV175" s="72"/>
      <c r="ECW175" s="72"/>
      <c r="ECX175" s="72"/>
      <c r="ECY175" s="72"/>
      <c r="ECZ175" s="72"/>
      <c r="EDA175" s="72"/>
      <c r="EDB175" s="72"/>
      <c r="EDC175" s="72"/>
      <c r="EDD175" s="72"/>
      <c r="EDE175" s="72"/>
      <c r="EDF175" s="72"/>
      <c r="EDG175" s="72"/>
      <c r="EDH175" s="72"/>
      <c r="EDI175" s="72"/>
      <c r="EDJ175" s="72"/>
      <c r="EDK175" s="72"/>
      <c r="EDL175" s="72"/>
      <c r="EDM175" s="72"/>
      <c r="EDN175" s="72"/>
      <c r="EDO175" s="72"/>
      <c r="EDP175" s="72"/>
      <c r="EDQ175" s="72"/>
      <c r="EDR175" s="72"/>
      <c r="EDS175" s="72"/>
      <c r="EDT175" s="72"/>
      <c r="EDU175" s="72"/>
      <c r="EDV175" s="72"/>
      <c r="EDW175" s="72"/>
      <c r="EDX175" s="72"/>
      <c r="EDY175" s="72"/>
      <c r="EDZ175" s="72"/>
      <c r="EEA175" s="72"/>
      <c r="EEB175" s="72"/>
      <c r="EEC175" s="72"/>
      <c r="EED175" s="72"/>
      <c r="EEE175" s="72"/>
      <c r="EEF175" s="72"/>
      <c r="EEG175" s="72"/>
      <c r="EEH175" s="72"/>
      <c r="EEI175" s="72"/>
      <c r="EEJ175" s="72"/>
      <c r="EEK175" s="72"/>
      <c r="EEL175" s="72"/>
      <c r="EEM175" s="72"/>
      <c r="EEN175" s="72"/>
      <c r="EEO175" s="72"/>
      <c r="EEP175" s="72"/>
      <c r="EEQ175" s="72"/>
      <c r="EER175" s="72"/>
      <c r="EES175" s="72"/>
      <c r="EET175" s="72"/>
      <c r="EEU175" s="72"/>
      <c r="EEV175" s="72"/>
      <c r="EEW175" s="72"/>
      <c r="EEX175" s="72"/>
      <c r="EEY175" s="72"/>
      <c r="EEZ175" s="72"/>
      <c r="EFA175" s="72"/>
      <c r="EFB175" s="72"/>
      <c r="EFC175" s="72"/>
      <c r="EFD175" s="72"/>
      <c r="EFE175" s="72"/>
      <c r="EFF175" s="72"/>
      <c r="EFG175" s="72"/>
      <c r="EFH175" s="72"/>
      <c r="EFI175" s="72"/>
      <c r="EFJ175" s="72"/>
      <c r="EFK175" s="72"/>
      <c r="EFL175" s="72"/>
      <c r="EFM175" s="72"/>
      <c r="EFN175" s="72"/>
      <c r="EFO175" s="72"/>
      <c r="EFP175" s="72"/>
      <c r="EFQ175" s="72"/>
      <c r="EFR175" s="72"/>
      <c r="EFS175" s="72"/>
      <c r="EFT175" s="72"/>
      <c r="EFU175" s="72"/>
      <c r="EFV175" s="72"/>
      <c r="EFW175" s="72"/>
      <c r="EFX175" s="72"/>
      <c r="EFY175" s="72"/>
      <c r="EFZ175" s="72"/>
      <c r="EGA175" s="72"/>
      <c r="EGB175" s="72"/>
      <c r="EGC175" s="72"/>
      <c r="EGD175" s="72"/>
      <c r="EGE175" s="72"/>
      <c r="EGF175" s="72"/>
      <c r="EGG175" s="72"/>
      <c r="EGH175" s="72"/>
      <c r="EGI175" s="72"/>
      <c r="EGJ175" s="72"/>
      <c r="EGK175" s="72"/>
      <c r="EGL175" s="72"/>
      <c r="EGM175" s="72"/>
      <c r="EGN175" s="72"/>
      <c r="EGO175" s="72"/>
      <c r="EGP175" s="72"/>
      <c r="EGQ175" s="72"/>
      <c r="EGR175" s="72"/>
      <c r="EGS175" s="72"/>
      <c r="EGT175" s="72"/>
      <c r="EGU175" s="72"/>
      <c r="EGV175" s="72"/>
      <c r="EGW175" s="72"/>
      <c r="EGX175" s="72"/>
      <c r="EGY175" s="72"/>
      <c r="EGZ175" s="72"/>
      <c r="EHA175" s="72"/>
      <c r="EHB175" s="72"/>
      <c r="EHC175" s="72"/>
      <c r="EHD175" s="72"/>
      <c r="EHE175" s="72"/>
      <c r="EHF175" s="72"/>
      <c r="EHG175" s="72"/>
      <c r="EHH175" s="72"/>
      <c r="EHI175" s="72"/>
      <c r="EHJ175" s="72"/>
      <c r="EHK175" s="72"/>
      <c r="EHL175" s="72"/>
      <c r="EHM175" s="72"/>
      <c r="EHN175" s="72"/>
      <c r="EHO175" s="72"/>
      <c r="EHP175" s="72"/>
      <c r="EHQ175" s="72"/>
      <c r="EHR175" s="72"/>
      <c r="EHS175" s="72"/>
      <c r="EHT175" s="72"/>
      <c r="EHU175" s="72"/>
      <c r="EHV175" s="72"/>
      <c r="EHW175" s="72"/>
      <c r="EHX175" s="72"/>
      <c r="EHY175" s="72"/>
      <c r="EHZ175" s="72"/>
      <c r="EIA175" s="72"/>
      <c r="EIB175" s="72"/>
      <c r="EIC175" s="72"/>
      <c r="EID175" s="72"/>
      <c r="EIE175" s="72"/>
      <c r="EIF175" s="72"/>
      <c r="EIG175" s="72"/>
      <c r="EIH175" s="72"/>
      <c r="EII175" s="72"/>
      <c r="EIJ175" s="72"/>
      <c r="EIK175" s="72"/>
      <c r="EIL175" s="72"/>
      <c r="EIM175" s="72"/>
      <c r="EIN175" s="72"/>
      <c r="EIO175" s="72"/>
      <c r="EIP175" s="72"/>
      <c r="EIQ175" s="72"/>
      <c r="EIR175" s="72"/>
      <c r="EIS175" s="72"/>
      <c r="EIT175" s="72"/>
      <c r="EIU175" s="72"/>
      <c r="EIV175" s="72"/>
      <c r="EIW175" s="72"/>
      <c r="EIX175" s="72"/>
      <c r="EIY175" s="72"/>
      <c r="EIZ175" s="72"/>
      <c r="EJA175" s="72"/>
      <c r="EJB175" s="72"/>
      <c r="EJC175" s="72"/>
      <c r="EJD175" s="72"/>
      <c r="EJE175" s="72"/>
      <c r="EJF175" s="72"/>
      <c r="EJG175" s="72"/>
      <c r="EJH175" s="72"/>
      <c r="EJI175" s="72"/>
      <c r="EJJ175" s="72"/>
      <c r="EJK175" s="72"/>
      <c r="EJL175" s="72"/>
      <c r="EJM175" s="72"/>
      <c r="EJN175" s="72"/>
      <c r="EJO175" s="72"/>
      <c r="EJP175" s="72"/>
      <c r="EJQ175" s="72"/>
      <c r="EJR175" s="72"/>
      <c r="EJS175" s="72"/>
      <c r="EJT175" s="72"/>
      <c r="EJU175" s="72"/>
      <c r="EJV175" s="72"/>
      <c r="EJW175" s="72"/>
      <c r="EJX175" s="72"/>
      <c r="EJY175" s="72"/>
      <c r="EJZ175" s="72"/>
      <c r="EKA175" s="72"/>
      <c r="EKB175" s="72"/>
      <c r="EKC175" s="72"/>
      <c r="EKD175" s="72"/>
      <c r="EKE175" s="72"/>
      <c r="EKF175" s="72"/>
      <c r="EKG175" s="72"/>
      <c r="EKH175" s="72"/>
      <c r="EKI175" s="72"/>
      <c r="EKJ175" s="72"/>
      <c r="EKK175" s="72"/>
      <c r="EKL175" s="72"/>
      <c r="EKM175" s="72"/>
      <c r="EKN175" s="72"/>
      <c r="EKO175" s="72"/>
      <c r="EKP175" s="72"/>
      <c r="EKQ175" s="72"/>
      <c r="EKR175" s="72"/>
      <c r="EKS175" s="72"/>
      <c r="EKT175" s="72"/>
      <c r="EKU175" s="72"/>
      <c r="EKV175" s="72"/>
      <c r="EKW175" s="72"/>
      <c r="EKX175" s="72"/>
      <c r="EKY175" s="72"/>
      <c r="EKZ175" s="72"/>
      <c r="ELA175" s="72"/>
      <c r="ELB175" s="72"/>
      <c r="ELC175" s="72"/>
      <c r="ELD175" s="72"/>
      <c r="ELE175" s="72"/>
      <c r="ELF175" s="72"/>
      <c r="ELG175" s="72"/>
      <c r="ELH175" s="72"/>
      <c r="ELI175" s="72"/>
      <c r="ELJ175" s="72"/>
      <c r="ELK175" s="72"/>
      <c r="ELL175" s="72"/>
      <c r="ELM175" s="72"/>
      <c r="ELN175" s="72"/>
      <c r="ELO175" s="72"/>
      <c r="ELP175" s="72"/>
      <c r="ELQ175" s="72"/>
      <c r="ELR175" s="72"/>
      <c r="ELS175" s="72"/>
      <c r="ELT175" s="72"/>
      <c r="ELU175" s="72"/>
      <c r="ELV175" s="72"/>
      <c r="ELW175" s="72"/>
      <c r="ELX175" s="72"/>
      <c r="ELY175" s="72"/>
      <c r="ELZ175" s="72"/>
      <c r="EMA175" s="72"/>
      <c r="EMB175" s="72"/>
      <c r="EMC175" s="72"/>
      <c r="EMD175" s="72"/>
      <c r="EME175" s="72"/>
      <c r="EMF175" s="72"/>
      <c r="EMG175" s="72"/>
      <c r="EMH175" s="72"/>
      <c r="EMI175" s="72"/>
      <c r="EMJ175" s="72"/>
      <c r="EMK175" s="72"/>
      <c r="EML175" s="72"/>
      <c r="EMM175" s="72"/>
      <c r="EMN175" s="72"/>
      <c r="EMO175" s="72"/>
      <c r="EMP175" s="72"/>
      <c r="EMQ175" s="72"/>
      <c r="EMR175" s="72"/>
      <c r="EMS175" s="72"/>
      <c r="EMT175" s="72"/>
      <c r="EMU175" s="72"/>
      <c r="EMV175" s="72"/>
      <c r="EMW175" s="72"/>
      <c r="EMX175" s="72"/>
      <c r="EMY175" s="72"/>
      <c r="EMZ175" s="72"/>
      <c r="ENA175" s="72"/>
      <c r="ENB175" s="72"/>
      <c r="ENC175" s="72"/>
      <c r="END175" s="72"/>
      <c r="ENE175" s="72"/>
      <c r="ENF175" s="72"/>
      <c r="ENG175" s="72"/>
      <c r="ENH175" s="72"/>
      <c r="ENI175" s="72"/>
      <c r="ENJ175" s="72"/>
      <c r="ENK175" s="72"/>
      <c r="ENL175" s="72"/>
      <c r="ENM175" s="72"/>
      <c r="ENN175" s="72"/>
      <c r="ENO175" s="72"/>
      <c r="ENP175" s="72"/>
      <c r="ENQ175" s="72"/>
      <c r="ENR175" s="72"/>
      <c r="ENS175" s="72"/>
      <c r="ENT175" s="72"/>
      <c r="ENU175" s="72"/>
      <c r="ENV175" s="72"/>
      <c r="ENW175" s="72"/>
      <c r="ENX175" s="72"/>
      <c r="ENY175" s="72"/>
      <c r="ENZ175" s="72"/>
      <c r="EOA175" s="72"/>
      <c r="EOB175" s="72"/>
      <c r="EOC175" s="72"/>
      <c r="EOD175" s="72"/>
      <c r="EOE175" s="72"/>
      <c r="EOF175" s="72"/>
      <c r="EOG175" s="72"/>
      <c r="EOH175" s="72"/>
      <c r="EOI175" s="72"/>
      <c r="EOJ175" s="72"/>
      <c r="EOK175" s="72"/>
      <c r="EOL175" s="72"/>
      <c r="EOM175" s="72"/>
      <c r="EON175" s="72"/>
      <c r="EOO175" s="72"/>
      <c r="EOP175" s="72"/>
      <c r="EOQ175" s="72"/>
      <c r="EOR175" s="72"/>
      <c r="EOS175" s="72"/>
      <c r="EOT175" s="72"/>
      <c r="EOU175" s="72"/>
      <c r="EOV175" s="72"/>
      <c r="EOW175" s="72"/>
      <c r="EOX175" s="72"/>
      <c r="EOY175" s="72"/>
      <c r="EOZ175" s="72"/>
      <c r="EPA175" s="72"/>
      <c r="EPB175" s="72"/>
      <c r="EPC175" s="72"/>
      <c r="EPD175" s="72"/>
      <c r="EPE175" s="72"/>
      <c r="EPF175" s="72"/>
      <c r="EPG175" s="72"/>
      <c r="EPH175" s="72"/>
      <c r="EPI175" s="72"/>
      <c r="EPJ175" s="72"/>
      <c r="EPK175" s="72"/>
      <c r="EPL175" s="72"/>
      <c r="EPM175" s="72"/>
      <c r="EPN175" s="72"/>
      <c r="EPO175" s="72"/>
      <c r="EPP175" s="72"/>
      <c r="EPQ175" s="72"/>
      <c r="EPR175" s="72"/>
      <c r="EPS175" s="72"/>
      <c r="EPT175" s="72"/>
      <c r="EPU175" s="72"/>
      <c r="EPV175" s="72"/>
      <c r="EPW175" s="72"/>
      <c r="EPX175" s="72"/>
      <c r="EPY175" s="72"/>
      <c r="EPZ175" s="72"/>
      <c r="EQA175" s="72"/>
      <c r="EQB175" s="72"/>
      <c r="EQC175" s="72"/>
      <c r="EQD175" s="72"/>
      <c r="EQE175" s="72"/>
      <c r="EQF175" s="72"/>
      <c r="EQG175" s="72"/>
      <c r="EQH175" s="72"/>
      <c r="EQI175" s="72"/>
      <c r="EQJ175" s="72"/>
      <c r="EQK175" s="72"/>
      <c r="EQL175" s="72"/>
      <c r="EQM175" s="72"/>
      <c r="EQN175" s="72"/>
      <c r="EQO175" s="72"/>
      <c r="EQP175" s="72"/>
      <c r="EQQ175" s="72"/>
      <c r="EQR175" s="72"/>
      <c r="EQS175" s="72"/>
      <c r="EQT175" s="72"/>
      <c r="EQU175" s="72"/>
      <c r="EQV175" s="72"/>
      <c r="EQW175" s="72"/>
      <c r="EQX175" s="72"/>
      <c r="EQY175" s="72"/>
      <c r="EQZ175" s="72"/>
      <c r="ERA175" s="72"/>
      <c r="ERB175" s="72"/>
      <c r="ERC175" s="72"/>
      <c r="ERD175" s="72"/>
      <c r="ERE175" s="72"/>
      <c r="ERF175" s="72"/>
      <c r="ERG175" s="72"/>
      <c r="ERH175" s="72"/>
      <c r="ERI175" s="72"/>
      <c r="ERJ175" s="72"/>
      <c r="ERK175" s="72"/>
      <c r="ERL175" s="72"/>
      <c r="ERM175" s="72"/>
      <c r="ERN175" s="72"/>
      <c r="ERO175" s="72"/>
      <c r="ERP175" s="72"/>
      <c r="ERQ175" s="72"/>
      <c r="ERR175" s="72"/>
      <c r="ERS175" s="72"/>
      <c r="ERT175" s="72"/>
      <c r="ERU175" s="72"/>
      <c r="ERV175" s="72"/>
      <c r="ERW175" s="72"/>
      <c r="ERX175" s="72"/>
      <c r="ERY175" s="72"/>
      <c r="ERZ175" s="72"/>
      <c r="ESA175" s="72"/>
      <c r="ESB175" s="72"/>
      <c r="ESC175" s="72"/>
      <c r="ESD175" s="72"/>
      <c r="ESE175" s="72"/>
      <c r="ESF175" s="72"/>
      <c r="ESG175" s="72"/>
      <c r="ESH175" s="72"/>
      <c r="ESI175" s="72"/>
      <c r="ESJ175" s="72"/>
      <c r="ESK175" s="72"/>
      <c r="ESL175" s="72"/>
      <c r="ESM175" s="72"/>
      <c r="ESN175" s="72"/>
      <c r="ESO175" s="72"/>
      <c r="ESP175" s="72"/>
      <c r="ESQ175" s="72"/>
      <c r="ESR175" s="72"/>
      <c r="ESS175" s="72"/>
      <c r="EST175" s="72"/>
      <c r="ESU175" s="72"/>
      <c r="ESV175" s="72"/>
      <c r="ESW175" s="72"/>
      <c r="ESX175" s="72"/>
      <c r="ESY175" s="72"/>
      <c r="ESZ175" s="72"/>
      <c r="ETA175" s="72"/>
      <c r="ETB175" s="72"/>
      <c r="ETC175" s="72"/>
      <c r="ETD175" s="72"/>
      <c r="ETE175" s="72"/>
      <c r="ETF175" s="72"/>
      <c r="ETG175" s="72"/>
      <c r="ETH175" s="72"/>
      <c r="ETI175" s="72"/>
      <c r="ETJ175" s="72"/>
      <c r="ETK175" s="72"/>
      <c r="ETL175" s="72"/>
      <c r="ETM175" s="72"/>
      <c r="ETN175" s="72"/>
      <c r="ETO175" s="72"/>
      <c r="ETP175" s="72"/>
      <c r="ETQ175" s="72"/>
      <c r="ETR175" s="72"/>
      <c r="ETS175" s="72"/>
      <c r="ETT175" s="72"/>
      <c r="ETU175" s="72"/>
      <c r="ETV175" s="72"/>
      <c r="ETW175" s="72"/>
      <c r="ETX175" s="72"/>
      <c r="ETY175" s="72"/>
      <c r="ETZ175" s="72"/>
      <c r="EUA175" s="72"/>
      <c r="EUB175" s="72"/>
      <c r="EUC175" s="72"/>
      <c r="EUD175" s="72"/>
      <c r="EUE175" s="72"/>
      <c r="EUF175" s="72"/>
      <c r="EUG175" s="72"/>
      <c r="EUH175" s="72"/>
      <c r="EUI175" s="72"/>
      <c r="EUJ175" s="72"/>
      <c r="EUK175" s="72"/>
      <c r="EUL175" s="72"/>
      <c r="EUM175" s="72"/>
      <c r="EUN175" s="72"/>
      <c r="EUO175" s="72"/>
      <c r="EUP175" s="72"/>
      <c r="EUQ175" s="72"/>
      <c r="EUR175" s="72"/>
      <c r="EUS175" s="72"/>
      <c r="EUT175" s="72"/>
      <c r="EUU175" s="72"/>
      <c r="EUV175" s="72"/>
      <c r="EUW175" s="72"/>
      <c r="EUX175" s="72"/>
      <c r="EUY175" s="72"/>
      <c r="EUZ175" s="72"/>
      <c r="EVA175" s="72"/>
      <c r="EVB175" s="72"/>
      <c r="EVC175" s="72"/>
      <c r="EVD175" s="72"/>
      <c r="EVE175" s="72"/>
      <c r="EVF175" s="72"/>
      <c r="EVG175" s="72"/>
      <c r="EVH175" s="72"/>
      <c r="EVI175" s="72"/>
      <c r="EVJ175" s="72"/>
      <c r="EVK175" s="72"/>
      <c r="EVL175" s="72"/>
      <c r="EVM175" s="72"/>
      <c r="EVN175" s="72"/>
      <c r="EVO175" s="72"/>
      <c r="EVP175" s="72"/>
      <c r="EVQ175" s="72"/>
      <c r="EVR175" s="72"/>
      <c r="EVS175" s="72"/>
      <c r="EVT175" s="72"/>
      <c r="EVU175" s="72"/>
      <c r="EVV175" s="72"/>
      <c r="EVW175" s="72"/>
      <c r="EVX175" s="72"/>
      <c r="EVY175" s="72"/>
      <c r="EVZ175" s="72"/>
      <c r="EWA175" s="72"/>
      <c r="EWB175" s="72"/>
      <c r="EWC175" s="72"/>
      <c r="EWD175" s="72"/>
      <c r="EWE175" s="72"/>
      <c r="EWF175" s="72"/>
      <c r="EWG175" s="72"/>
      <c r="EWH175" s="72"/>
      <c r="EWI175" s="72"/>
      <c r="EWJ175" s="72"/>
      <c r="EWK175" s="72"/>
      <c r="EWL175" s="72"/>
      <c r="EWM175" s="72"/>
      <c r="EWN175" s="72"/>
      <c r="EWO175" s="72"/>
      <c r="EWP175" s="72"/>
      <c r="EWQ175" s="72"/>
      <c r="EWR175" s="72"/>
      <c r="EWS175" s="72"/>
      <c r="EWT175" s="72"/>
      <c r="EWU175" s="72"/>
      <c r="EWV175" s="72"/>
      <c r="EWW175" s="72"/>
      <c r="EWX175" s="72"/>
      <c r="EWY175" s="72"/>
      <c r="EWZ175" s="72"/>
      <c r="EXA175" s="72"/>
      <c r="EXB175" s="72"/>
      <c r="EXC175" s="72"/>
      <c r="EXD175" s="72"/>
      <c r="EXE175" s="72"/>
      <c r="EXF175" s="72"/>
      <c r="EXG175" s="72"/>
      <c r="EXH175" s="72"/>
      <c r="EXI175" s="72"/>
      <c r="EXJ175" s="72"/>
      <c r="EXK175" s="72"/>
      <c r="EXL175" s="72"/>
      <c r="EXM175" s="72"/>
      <c r="EXN175" s="72"/>
      <c r="EXO175" s="72"/>
      <c r="EXP175" s="72"/>
      <c r="EXQ175" s="72"/>
      <c r="EXR175" s="72"/>
      <c r="EXS175" s="72"/>
      <c r="EXT175" s="72"/>
      <c r="EXU175" s="72"/>
      <c r="EXV175" s="72"/>
      <c r="EXW175" s="72"/>
      <c r="EXX175" s="72"/>
      <c r="EXY175" s="72"/>
      <c r="EXZ175" s="72"/>
      <c r="EYA175" s="72"/>
      <c r="EYB175" s="72"/>
      <c r="EYC175" s="72"/>
      <c r="EYD175" s="72"/>
      <c r="EYE175" s="72"/>
      <c r="EYF175" s="72"/>
      <c r="EYG175" s="72"/>
      <c r="EYH175" s="72"/>
      <c r="EYI175" s="72"/>
      <c r="EYJ175" s="72"/>
      <c r="EYK175" s="72"/>
      <c r="EYL175" s="72"/>
      <c r="EYM175" s="72"/>
      <c r="EYN175" s="72"/>
      <c r="EYO175" s="72"/>
      <c r="EYP175" s="72"/>
      <c r="EYQ175" s="72"/>
      <c r="EYR175" s="72"/>
      <c r="EYS175" s="72"/>
      <c r="EYT175" s="72"/>
      <c r="EYU175" s="72"/>
      <c r="EYV175" s="72"/>
      <c r="EYW175" s="72"/>
      <c r="EYX175" s="72"/>
      <c r="EYY175" s="72"/>
      <c r="EYZ175" s="72"/>
      <c r="EZA175" s="72"/>
      <c r="EZB175" s="72"/>
      <c r="EZC175" s="72"/>
      <c r="EZD175" s="72"/>
      <c r="EZE175" s="72"/>
      <c r="EZF175" s="72"/>
      <c r="EZG175" s="72"/>
      <c r="EZH175" s="72"/>
      <c r="EZI175" s="72"/>
      <c r="EZJ175" s="72"/>
      <c r="EZK175" s="72"/>
      <c r="EZL175" s="72"/>
      <c r="EZM175" s="72"/>
      <c r="EZN175" s="72"/>
      <c r="EZO175" s="72"/>
      <c r="EZP175" s="72"/>
      <c r="EZQ175" s="72"/>
      <c r="EZR175" s="72"/>
      <c r="EZS175" s="72"/>
      <c r="EZT175" s="72"/>
      <c r="EZU175" s="72"/>
      <c r="EZV175" s="72"/>
      <c r="EZW175" s="72"/>
      <c r="EZX175" s="72"/>
      <c r="EZY175" s="72"/>
      <c r="EZZ175" s="72"/>
      <c r="FAA175" s="72"/>
      <c r="FAB175" s="72"/>
      <c r="FAC175" s="72"/>
      <c r="FAD175" s="72"/>
      <c r="FAE175" s="72"/>
      <c r="FAF175" s="72"/>
      <c r="FAG175" s="72"/>
      <c r="FAH175" s="72"/>
      <c r="FAI175" s="72"/>
      <c r="FAJ175" s="72"/>
      <c r="FAK175" s="72"/>
      <c r="FAL175" s="72"/>
      <c r="FAM175" s="72"/>
      <c r="FAN175" s="72"/>
      <c r="FAO175" s="72"/>
      <c r="FAP175" s="72"/>
      <c r="FAQ175" s="72"/>
      <c r="FAR175" s="72"/>
      <c r="FAS175" s="72"/>
      <c r="FAT175" s="72"/>
      <c r="FAU175" s="72"/>
      <c r="FAV175" s="72"/>
      <c r="FAW175" s="72"/>
      <c r="FAX175" s="72"/>
      <c r="FAY175" s="72"/>
      <c r="FAZ175" s="72"/>
      <c r="FBA175" s="72"/>
      <c r="FBB175" s="72"/>
      <c r="FBC175" s="72"/>
      <c r="FBD175" s="72"/>
      <c r="FBE175" s="72"/>
      <c r="FBF175" s="72"/>
      <c r="FBG175" s="72"/>
      <c r="FBH175" s="72"/>
      <c r="FBI175" s="72"/>
      <c r="FBJ175" s="72"/>
      <c r="FBK175" s="72"/>
      <c r="FBL175" s="72"/>
      <c r="FBM175" s="72"/>
      <c r="FBN175" s="72"/>
      <c r="FBO175" s="72"/>
      <c r="FBP175" s="72"/>
      <c r="FBQ175" s="72"/>
      <c r="FBR175" s="72"/>
      <c r="FBS175" s="72"/>
      <c r="FBT175" s="72"/>
      <c r="FBU175" s="72"/>
      <c r="FBV175" s="72"/>
      <c r="FBW175" s="72"/>
      <c r="FBX175" s="72"/>
      <c r="FBY175" s="72"/>
      <c r="FBZ175" s="72"/>
      <c r="FCA175" s="72"/>
      <c r="FCB175" s="72"/>
      <c r="FCC175" s="72"/>
      <c r="FCD175" s="72"/>
      <c r="FCE175" s="72"/>
      <c r="FCF175" s="72"/>
      <c r="FCG175" s="72"/>
      <c r="FCH175" s="72"/>
      <c r="FCI175" s="72"/>
      <c r="FCJ175" s="72"/>
      <c r="FCK175" s="72"/>
      <c r="FCL175" s="72"/>
      <c r="FCM175" s="72"/>
      <c r="FCN175" s="72"/>
      <c r="FCO175" s="72"/>
      <c r="FCP175" s="72"/>
      <c r="FCQ175" s="72"/>
      <c r="FCR175" s="72"/>
      <c r="FCS175" s="72"/>
      <c r="FCT175" s="72"/>
      <c r="FCU175" s="72"/>
      <c r="FCV175" s="72"/>
      <c r="FCW175" s="72"/>
      <c r="FCX175" s="72"/>
      <c r="FCY175" s="72"/>
      <c r="FCZ175" s="72"/>
      <c r="FDA175" s="72"/>
      <c r="FDB175" s="72"/>
      <c r="FDC175" s="72"/>
      <c r="FDD175" s="72"/>
      <c r="FDE175" s="72"/>
      <c r="FDF175" s="72"/>
      <c r="FDG175" s="72"/>
      <c r="FDH175" s="72"/>
      <c r="FDI175" s="72"/>
      <c r="FDJ175" s="72"/>
      <c r="FDK175" s="72"/>
      <c r="FDL175" s="72"/>
      <c r="FDM175" s="72"/>
      <c r="FDN175" s="72"/>
      <c r="FDO175" s="72"/>
      <c r="FDP175" s="72"/>
      <c r="FDQ175" s="72"/>
      <c r="FDR175" s="72"/>
      <c r="FDS175" s="72"/>
      <c r="FDT175" s="72"/>
      <c r="FDU175" s="72"/>
      <c r="FDV175" s="72"/>
      <c r="FDW175" s="72"/>
      <c r="FDX175" s="72"/>
      <c r="FDY175" s="72"/>
      <c r="FDZ175" s="72"/>
      <c r="FEA175" s="72"/>
      <c r="FEB175" s="72"/>
      <c r="FEC175" s="72"/>
      <c r="FED175" s="72"/>
      <c r="FEE175" s="72"/>
      <c r="FEF175" s="72"/>
      <c r="FEG175" s="72"/>
      <c r="FEH175" s="72"/>
      <c r="FEI175" s="72"/>
      <c r="FEJ175" s="72"/>
      <c r="FEK175" s="72"/>
      <c r="FEL175" s="72"/>
      <c r="FEM175" s="72"/>
      <c r="FEN175" s="72"/>
      <c r="FEO175" s="72"/>
      <c r="FEP175" s="72"/>
      <c r="FEQ175" s="72"/>
      <c r="FER175" s="72"/>
      <c r="FES175" s="72"/>
      <c r="FET175" s="72"/>
      <c r="FEU175" s="72"/>
      <c r="FEV175" s="72"/>
      <c r="FEW175" s="72"/>
      <c r="FEX175" s="72"/>
      <c r="FEY175" s="72"/>
      <c r="FEZ175" s="72"/>
      <c r="FFA175" s="72"/>
      <c r="FFB175" s="72"/>
      <c r="FFC175" s="72"/>
      <c r="FFD175" s="72"/>
      <c r="FFE175" s="72"/>
      <c r="FFF175" s="72"/>
      <c r="FFG175" s="72"/>
      <c r="FFH175" s="72"/>
      <c r="FFI175" s="72"/>
      <c r="FFJ175" s="72"/>
      <c r="FFK175" s="72"/>
      <c r="FFL175" s="72"/>
      <c r="FFM175" s="72"/>
      <c r="FFN175" s="72"/>
      <c r="FFO175" s="72"/>
      <c r="FFP175" s="72"/>
      <c r="FFQ175" s="72"/>
      <c r="FFR175" s="72"/>
      <c r="FFS175" s="72"/>
      <c r="FFT175" s="72"/>
      <c r="FFU175" s="72"/>
      <c r="FFV175" s="72"/>
      <c r="FFW175" s="72"/>
      <c r="FFX175" s="72"/>
      <c r="FFY175" s="72"/>
      <c r="FFZ175" s="72"/>
      <c r="FGA175" s="72"/>
      <c r="FGB175" s="72"/>
      <c r="FGC175" s="72"/>
      <c r="FGD175" s="72"/>
      <c r="FGE175" s="72"/>
      <c r="FGF175" s="72"/>
      <c r="FGG175" s="72"/>
      <c r="FGH175" s="72"/>
      <c r="FGI175" s="72"/>
      <c r="FGJ175" s="72"/>
      <c r="FGK175" s="72"/>
      <c r="FGL175" s="72"/>
      <c r="FGM175" s="72"/>
      <c r="FGN175" s="72"/>
      <c r="FGO175" s="72"/>
      <c r="FGP175" s="72"/>
      <c r="FGQ175" s="72"/>
      <c r="FGR175" s="72"/>
      <c r="FGS175" s="72"/>
      <c r="FGT175" s="72"/>
      <c r="FGU175" s="72"/>
      <c r="FGV175" s="72"/>
      <c r="FGW175" s="72"/>
      <c r="FGX175" s="72"/>
      <c r="FGY175" s="72"/>
      <c r="FGZ175" s="72"/>
      <c r="FHA175" s="72"/>
      <c r="FHB175" s="72"/>
      <c r="FHC175" s="72"/>
      <c r="FHD175" s="72"/>
      <c r="FHE175" s="72"/>
      <c r="FHF175" s="72"/>
      <c r="FHG175" s="72"/>
      <c r="FHH175" s="72"/>
      <c r="FHI175" s="72"/>
      <c r="FHJ175" s="72"/>
      <c r="FHK175" s="72"/>
      <c r="FHL175" s="72"/>
      <c r="FHM175" s="72"/>
      <c r="FHN175" s="72"/>
      <c r="FHO175" s="72"/>
      <c r="FHP175" s="72"/>
      <c r="FHQ175" s="72"/>
      <c r="FHR175" s="72"/>
      <c r="FHS175" s="72"/>
      <c r="FHT175" s="72"/>
      <c r="FHU175" s="72"/>
      <c r="FHV175" s="72"/>
      <c r="FHW175" s="72"/>
      <c r="FHX175" s="72"/>
      <c r="FHY175" s="72"/>
      <c r="FHZ175" s="72"/>
      <c r="FIA175" s="72"/>
      <c r="FIB175" s="72"/>
      <c r="FIC175" s="72"/>
      <c r="FID175" s="72"/>
      <c r="FIE175" s="72"/>
      <c r="FIF175" s="72"/>
      <c r="FIG175" s="72"/>
      <c r="FIH175" s="72"/>
      <c r="FII175" s="72"/>
      <c r="FIJ175" s="72"/>
      <c r="FIK175" s="72"/>
      <c r="FIL175" s="72"/>
      <c r="FIM175" s="72"/>
      <c r="FIN175" s="72"/>
      <c r="FIO175" s="72"/>
      <c r="FIP175" s="72"/>
      <c r="FIQ175" s="72"/>
      <c r="FIR175" s="72"/>
      <c r="FIS175" s="72"/>
      <c r="FIT175" s="72"/>
      <c r="FIU175" s="72"/>
      <c r="FIV175" s="72"/>
      <c r="FIW175" s="72"/>
      <c r="FIX175" s="72"/>
      <c r="FIY175" s="72"/>
      <c r="FIZ175" s="72"/>
      <c r="FJA175" s="72"/>
      <c r="FJB175" s="72"/>
      <c r="FJC175" s="72"/>
      <c r="FJD175" s="72"/>
      <c r="FJE175" s="72"/>
      <c r="FJF175" s="72"/>
      <c r="FJG175" s="72"/>
      <c r="FJH175" s="72"/>
      <c r="FJI175" s="72"/>
      <c r="FJJ175" s="72"/>
      <c r="FJK175" s="72"/>
      <c r="FJL175" s="72"/>
      <c r="FJM175" s="72"/>
      <c r="FJN175" s="72"/>
      <c r="FJO175" s="72"/>
      <c r="FJP175" s="72"/>
      <c r="FJQ175" s="72"/>
      <c r="FJR175" s="72"/>
      <c r="FJS175" s="72"/>
      <c r="FJT175" s="72"/>
      <c r="FJU175" s="72"/>
      <c r="FJV175" s="72"/>
      <c r="FJW175" s="72"/>
      <c r="FJX175" s="72"/>
      <c r="FJY175" s="72"/>
      <c r="FJZ175" s="72"/>
      <c r="FKA175" s="72"/>
      <c r="FKB175" s="72"/>
      <c r="FKC175" s="72"/>
      <c r="FKD175" s="72"/>
      <c r="FKE175" s="72"/>
      <c r="FKF175" s="72"/>
      <c r="FKG175" s="72"/>
      <c r="FKH175" s="72"/>
      <c r="FKI175" s="72"/>
      <c r="FKJ175" s="72"/>
      <c r="FKK175" s="72"/>
      <c r="FKL175" s="72"/>
      <c r="FKM175" s="72"/>
      <c r="FKN175" s="72"/>
      <c r="FKO175" s="72"/>
      <c r="FKP175" s="72"/>
      <c r="FKQ175" s="72"/>
      <c r="FKR175" s="72"/>
      <c r="FKS175" s="72"/>
      <c r="FKT175" s="72"/>
      <c r="FKU175" s="72"/>
      <c r="FKV175" s="72"/>
      <c r="FKW175" s="72"/>
      <c r="FKX175" s="72"/>
      <c r="FKY175" s="72"/>
      <c r="FKZ175" s="72"/>
      <c r="FLA175" s="72"/>
      <c r="FLB175" s="72"/>
      <c r="FLC175" s="72"/>
      <c r="FLD175" s="72"/>
      <c r="FLE175" s="72"/>
      <c r="FLF175" s="72"/>
      <c r="FLG175" s="72"/>
      <c r="FLH175" s="72"/>
      <c r="FLI175" s="72"/>
      <c r="FLJ175" s="72"/>
      <c r="FLK175" s="72"/>
      <c r="FLL175" s="72"/>
      <c r="FLM175" s="72"/>
      <c r="FLN175" s="72"/>
      <c r="FLO175" s="72"/>
      <c r="FLP175" s="72"/>
      <c r="FLQ175" s="72"/>
      <c r="FLR175" s="72"/>
      <c r="FLS175" s="72"/>
      <c r="FLT175" s="72"/>
      <c r="FLU175" s="72"/>
      <c r="FLV175" s="72"/>
      <c r="FLW175" s="72"/>
      <c r="FLX175" s="72"/>
      <c r="FLY175" s="72"/>
      <c r="FLZ175" s="72"/>
      <c r="FMA175" s="72"/>
      <c r="FMB175" s="72"/>
      <c r="FMC175" s="72"/>
      <c r="FMD175" s="72"/>
      <c r="FME175" s="72"/>
      <c r="FMF175" s="72"/>
      <c r="FMG175" s="72"/>
      <c r="FMH175" s="72"/>
      <c r="FMI175" s="72"/>
      <c r="FMJ175" s="72"/>
      <c r="FMK175" s="72"/>
      <c r="FML175" s="72"/>
      <c r="FMM175" s="72"/>
      <c r="FMN175" s="72"/>
      <c r="FMO175" s="72"/>
      <c r="FMP175" s="72"/>
      <c r="FMQ175" s="72"/>
      <c r="FMR175" s="72"/>
      <c r="FMS175" s="72"/>
      <c r="FMT175" s="72"/>
      <c r="FMU175" s="72"/>
      <c r="FMV175" s="72"/>
      <c r="FMW175" s="72"/>
      <c r="FMX175" s="72"/>
      <c r="FMY175" s="72"/>
      <c r="FMZ175" s="72"/>
      <c r="FNA175" s="72"/>
      <c r="FNB175" s="72"/>
      <c r="FNC175" s="72"/>
      <c r="FND175" s="72"/>
      <c r="FNE175" s="72"/>
      <c r="FNF175" s="72"/>
      <c r="FNG175" s="72"/>
      <c r="FNH175" s="72"/>
      <c r="FNI175" s="72"/>
      <c r="FNJ175" s="72"/>
      <c r="FNK175" s="72"/>
      <c r="FNL175" s="72"/>
      <c r="FNM175" s="72"/>
      <c r="FNN175" s="72"/>
      <c r="FNO175" s="72"/>
      <c r="FNP175" s="72"/>
      <c r="FNQ175" s="72"/>
      <c r="FNR175" s="72"/>
      <c r="FNS175" s="72"/>
      <c r="FNT175" s="72"/>
      <c r="FNU175" s="72"/>
      <c r="FNV175" s="72"/>
      <c r="FNW175" s="72"/>
      <c r="FNX175" s="72"/>
      <c r="FNY175" s="72"/>
      <c r="FNZ175" s="72"/>
      <c r="FOA175" s="72"/>
      <c r="FOB175" s="72"/>
      <c r="FOC175" s="72"/>
      <c r="FOD175" s="72"/>
      <c r="FOE175" s="72"/>
      <c r="FOF175" s="72"/>
      <c r="FOG175" s="72"/>
      <c r="FOH175" s="72"/>
      <c r="FOI175" s="72"/>
      <c r="FOJ175" s="72"/>
      <c r="FOK175" s="72"/>
      <c r="FOL175" s="72"/>
      <c r="FOM175" s="72"/>
      <c r="FON175" s="72"/>
      <c r="FOO175" s="72"/>
      <c r="FOP175" s="72"/>
      <c r="FOQ175" s="72"/>
      <c r="FOR175" s="72"/>
      <c r="FOS175" s="72"/>
      <c r="FOT175" s="72"/>
      <c r="FOU175" s="72"/>
      <c r="FOV175" s="72"/>
      <c r="FOW175" s="72"/>
      <c r="FOX175" s="72"/>
      <c r="FOY175" s="72"/>
      <c r="FOZ175" s="72"/>
      <c r="FPA175" s="72"/>
      <c r="FPB175" s="72"/>
      <c r="FPC175" s="72"/>
      <c r="FPD175" s="72"/>
      <c r="FPE175" s="72"/>
      <c r="FPF175" s="72"/>
      <c r="FPG175" s="72"/>
      <c r="FPH175" s="72"/>
      <c r="FPI175" s="72"/>
      <c r="FPJ175" s="72"/>
      <c r="FPK175" s="72"/>
      <c r="FPL175" s="72"/>
      <c r="FPM175" s="72"/>
      <c r="FPN175" s="72"/>
      <c r="FPO175" s="72"/>
      <c r="FPP175" s="72"/>
      <c r="FPQ175" s="72"/>
      <c r="FPR175" s="72"/>
      <c r="FPS175" s="72"/>
      <c r="FPT175" s="72"/>
      <c r="FPU175" s="72"/>
      <c r="FPV175" s="72"/>
      <c r="FPW175" s="72"/>
      <c r="FPX175" s="72"/>
      <c r="FPY175" s="72"/>
      <c r="FPZ175" s="72"/>
      <c r="FQA175" s="72"/>
      <c r="FQB175" s="72"/>
      <c r="FQC175" s="72"/>
      <c r="FQD175" s="72"/>
      <c r="FQE175" s="72"/>
      <c r="FQF175" s="72"/>
      <c r="FQG175" s="72"/>
      <c r="FQH175" s="72"/>
      <c r="FQI175" s="72"/>
      <c r="FQJ175" s="72"/>
      <c r="FQK175" s="72"/>
      <c r="FQL175" s="72"/>
      <c r="FQM175" s="72"/>
      <c r="FQN175" s="72"/>
      <c r="FQO175" s="72"/>
      <c r="FQP175" s="72"/>
      <c r="FQQ175" s="72"/>
      <c r="FQR175" s="72"/>
      <c r="FQS175" s="72"/>
      <c r="FQT175" s="72"/>
      <c r="FQU175" s="72"/>
      <c r="FQV175" s="72"/>
      <c r="FQW175" s="72"/>
      <c r="FQX175" s="72"/>
      <c r="FQY175" s="72"/>
      <c r="FQZ175" s="72"/>
      <c r="FRA175" s="72"/>
      <c r="FRB175" s="72"/>
      <c r="FRC175" s="72"/>
      <c r="FRD175" s="72"/>
      <c r="FRE175" s="72"/>
      <c r="FRF175" s="72"/>
      <c r="FRG175" s="72"/>
      <c r="FRH175" s="72"/>
      <c r="FRI175" s="72"/>
      <c r="FRJ175" s="72"/>
      <c r="FRK175" s="72"/>
      <c r="FRL175" s="72"/>
      <c r="FRM175" s="72"/>
      <c r="FRN175" s="72"/>
      <c r="FRO175" s="72"/>
      <c r="FRP175" s="72"/>
      <c r="FRQ175" s="72"/>
      <c r="FRR175" s="72"/>
      <c r="FRS175" s="72"/>
      <c r="FRT175" s="72"/>
      <c r="FRU175" s="72"/>
      <c r="FRV175" s="72"/>
      <c r="FRW175" s="72"/>
      <c r="FRX175" s="72"/>
      <c r="FRY175" s="72"/>
      <c r="FRZ175" s="72"/>
      <c r="FSA175" s="72"/>
      <c r="FSB175" s="72"/>
      <c r="FSC175" s="72"/>
      <c r="FSD175" s="72"/>
      <c r="FSE175" s="72"/>
      <c r="FSF175" s="72"/>
      <c r="FSG175" s="72"/>
      <c r="FSH175" s="72"/>
      <c r="FSI175" s="72"/>
      <c r="FSJ175" s="72"/>
      <c r="FSK175" s="72"/>
      <c r="FSL175" s="72"/>
      <c r="FSM175" s="72"/>
      <c r="FSN175" s="72"/>
      <c r="FSO175" s="72"/>
      <c r="FSP175" s="72"/>
      <c r="FSQ175" s="72"/>
      <c r="FSR175" s="72"/>
      <c r="FSS175" s="72"/>
      <c r="FST175" s="72"/>
      <c r="FSU175" s="72"/>
      <c r="FSV175" s="72"/>
      <c r="FSW175" s="72"/>
      <c r="FSX175" s="72"/>
      <c r="FSY175" s="72"/>
      <c r="FSZ175" s="72"/>
      <c r="FTA175" s="72"/>
      <c r="FTB175" s="72"/>
      <c r="FTC175" s="72"/>
      <c r="FTD175" s="72"/>
      <c r="FTE175" s="72"/>
      <c r="FTF175" s="72"/>
      <c r="FTG175" s="72"/>
      <c r="FTH175" s="72"/>
      <c r="FTI175" s="72"/>
      <c r="FTJ175" s="72"/>
      <c r="FTK175" s="72"/>
      <c r="FTL175" s="72"/>
      <c r="FTM175" s="72"/>
      <c r="FTN175" s="72"/>
      <c r="FTO175" s="72"/>
      <c r="FTP175" s="72"/>
      <c r="FTQ175" s="72"/>
      <c r="FTR175" s="72"/>
      <c r="FTS175" s="72"/>
      <c r="FTT175" s="72"/>
      <c r="FTU175" s="72"/>
      <c r="FTV175" s="72"/>
      <c r="FTW175" s="72"/>
      <c r="FTX175" s="72"/>
      <c r="FTY175" s="72"/>
      <c r="FTZ175" s="72"/>
      <c r="FUA175" s="72"/>
      <c r="FUB175" s="72"/>
      <c r="FUC175" s="72"/>
      <c r="FUD175" s="72"/>
      <c r="FUE175" s="72"/>
      <c r="FUF175" s="72"/>
      <c r="FUG175" s="72"/>
      <c r="FUH175" s="72"/>
      <c r="FUI175" s="72"/>
      <c r="FUJ175" s="72"/>
      <c r="FUK175" s="72"/>
      <c r="FUL175" s="72"/>
      <c r="FUM175" s="72"/>
      <c r="FUN175" s="72"/>
      <c r="FUO175" s="72"/>
      <c r="FUP175" s="72"/>
      <c r="FUQ175" s="72"/>
      <c r="FUR175" s="72"/>
      <c r="FUS175" s="72"/>
      <c r="FUT175" s="72"/>
      <c r="FUU175" s="72"/>
      <c r="FUV175" s="72"/>
      <c r="FUW175" s="72"/>
      <c r="FUX175" s="72"/>
      <c r="FUY175" s="72"/>
      <c r="FUZ175" s="72"/>
      <c r="FVA175" s="72"/>
      <c r="FVB175" s="72"/>
      <c r="FVC175" s="72"/>
      <c r="FVD175" s="72"/>
      <c r="FVE175" s="72"/>
      <c r="FVF175" s="72"/>
      <c r="FVG175" s="72"/>
      <c r="FVH175" s="72"/>
      <c r="FVI175" s="72"/>
      <c r="FVJ175" s="72"/>
      <c r="FVK175" s="72"/>
      <c r="FVL175" s="72"/>
      <c r="FVM175" s="72"/>
      <c r="FVN175" s="72"/>
      <c r="FVO175" s="72"/>
      <c r="FVP175" s="72"/>
      <c r="FVQ175" s="72"/>
      <c r="FVR175" s="72"/>
      <c r="FVS175" s="72"/>
      <c r="FVT175" s="72"/>
      <c r="FVU175" s="72"/>
      <c r="FVV175" s="72"/>
      <c r="FVW175" s="72"/>
      <c r="FVX175" s="72"/>
      <c r="FVY175" s="72"/>
      <c r="FVZ175" s="72"/>
      <c r="FWA175" s="72"/>
      <c r="FWB175" s="72"/>
      <c r="FWC175" s="72"/>
      <c r="FWD175" s="72"/>
      <c r="FWE175" s="72"/>
      <c r="FWF175" s="72"/>
      <c r="FWG175" s="72"/>
      <c r="FWH175" s="72"/>
      <c r="FWI175" s="72"/>
      <c r="FWJ175" s="72"/>
      <c r="FWK175" s="72"/>
      <c r="FWL175" s="72"/>
      <c r="FWM175" s="72"/>
      <c r="FWN175" s="72"/>
      <c r="FWO175" s="72"/>
      <c r="FWP175" s="72"/>
      <c r="FWQ175" s="72"/>
      <c r="FWR175" s="72"/>
      <c r="FWS175" s="72"/>
      <c r="FWT175" s="72"/>
      <c r="FWU175" s="72"/>
      <c r="FWV175" s="72"/>
      <c r="FWW175" s="72"/>
      <c r="FWX175" s="72"/>
      <c r="FWY175" s="72"/>
      <c r="FWZ175" s="72"/>
      <c r="FXA175" s="72"/>
      <c r="FXB175" s="72"/>
      <c r="FXC175" s="72"/>
      <c r="FXD175" s="72"/>
      <c r="FXE175" s="72"/>
      <c r="FXF175" s="72"/>
      <c r="FXG175" s="72"/>
      <c r="FXH175" s="72"/>
      <c r="FXI175" s="72"/>
      <c r="FXJ175" s="72"/>
      <c r="FXK175" s="72"/>
      <c r="FXL175" s="72"/>
      <c r="FXM175" s="72"/>
      <c r="FXN175" s="72"/>
      <c r="FXO175" s="72"/>
      <c r="FXP175" s="72"/>
      <c r="FXQ175" s="72"/>
      <c r="FXR175" s="72"/>
      <c r="FXS175" s="72"/>
      <c r="FXT175" s="72"/>
      <c r="FXU175" s="72"/>
      <c r="FXV175" s="72"/>
      <c r="FXW175" s="72"/>
      <c r="FXX175" s="72"/>
      <c r="FXY175" s="72"/>
      <c r="FXZ175" s="72"/>
      <c r="FYA175" s="72"/>
      <c r="FYB175" s="72"/>
      <c r="FYC175" s="72"/>
      <c r="FYD175" s="72"/>
      <c r="FYE175" s="72"/>
      <c r="FYF175" s="72"/>
      <c r="FYG175" s="72"/>
      <c r="FYH175" s="72"/>
      <c r="FYI175" s="72"/>
      <c r="FYJ175" s="72"/>
      <c r="FYK175" s="72"/>
      <c r="FYL175" s="72"/>
      <c r="FYM175" s="72"/>
      <c r="FYN175" s="72"/>
      <c r="FYO175" s="72"/>
      <c r="FYP175" s="72"/>
      <c r="FYQ175" s="72"/>
      <c r="FYR175" s="72"/>
      <c r="FYS175" s="72"/>
      <c r="FYT175" s="72"/>
      <c r="FYU175" s="72"/>
      <c r="FYV175" s="72"/>
      <c r="FYW175" s="72"/>
      <c r="FYX175" s="72"/>
      <c r="FYY175" s="72"/>
      <c r="FYZ175" s="72"/>
      <c r="FZA175" s="72"/>
      <c r="FZB175" s="72"/>
      <c r="FZC175" s="72"/>
      <c r="FZD175" s="72"/>
      <c r="FZE175" s="72"/>
      <c r="FZF175" s="72"/>
      <c r="FZG175" s="72"/>
      <c r="FZH175" s="72"/>
      <c r="FZI175" s="72"/>
      <c r="FZJ175" s="72"/>
      <c r="FZK175" s="72"/>
      <c r="FZL175" s="72"/>
      <c r="FZM175" s="72"/>
      <c r="FZN175" s="72"/>
      <c r="FZO175" s="72"/>
      <c r="FZP175" s="72"/>
      <c r="FZQ175" s="72"/>
      <c r="FZR175" s="72"/>
      <c r="FZS175" s="72"/>
      <c r="FZT175" s="72"/>
      <c r="FZU175" s="72"/>
      <c r="FZV175" s="72"/>
      <c r="FZW175" s="72"/>
      <c r="FZX175" s="72"/>
      <c r="FZY175" s="72"/>
      <c r="FZZ175" s="72"/>
      <c r="GAA175" s="72"/>
      <c r="GAB175" s="72"/>
      <c r="GAC175" s="72"/>
      <c r="GAD175" s="72"/>
      <c r="GAE175" s="72"/>
      <c r="GAF175" s="72"/>
      <c r="GAG175" s="72"/>
      <c r="GAH175" s="72"/>
      <c r="GAI175" s="72"/>
      <c r="GAJ175" s="72"/>
      <c r="GAK175" s="72"/>
      <c r="GAL175" s="72"/>
      <c r="GAM175" s="72"/>
      <c r="GAN175" s="72"/>
      <c r="GAO175" s="72"/>
      <c r="GAP175" s="72"/>
      <c r="GAQ175" s="72"/>
      <c r="GAR175" s="72"/>
      <c r="GAS175" s="72"/>
      <c r="GAT175" s="72"/>
      <c r="GAU175" s="72"/>
      <c r="GAV175" s="72"/>
      <c r="GAW175" s="72"/>
      <c r="GAX175" s="72"/>
      <c r="GAY175" s="72"/>
      <c r="GAZ175" s="72"/>
      <c r="GBA175" s="72"/>
      <c r="GBB175" s="72"/>
      <c r="GBC175" s="72"/>
      <c r="GBD175" s="72"/>
      <c r="GBE175" s="72"/>
      <c r="GBF175" s="72"/>
      <c r="GBG175" s="72"/>
      <c r="GBH175" s="72"/>
      <c r="GBI175" s="72"/>
      <c r="GBJ175" s="72"/>
      <c r="GBK175" s="72"/>
      <c r="GBL175" s="72"/>
      <c r="GBM175" s="72"/>
      <c r="GBN175" s="72"/>
      <c r="GBO175" s="72"/>
      <c r="GBP175" s="72"/>
      <c r="GBQ175" s="72"/>
      <c r="GBR175" s="72"/>
      <c r="GBS175" s="72"/>
      <c r="GBT175" s="72"/>
      <c r="GBU175" s="72"/>
      <c r="GBV175" s="72"/>
      <c r="GBW175" s="72"/>
      <c r="GBX175" s="72"/>
      <c r="GBY175" s="72"/>
      <c r="GBZ175" s="72"/>
      <c r="GCA175" s="72"/>
      <c r="GCB175" s="72"/>
      <c r="GCC175" s="72"/>
      <c r="GCD175" s="72"/>
      <c r="GCE175" s="72"/>
      <c r="GCF175" s="72"/>
      <c r="GCG175" s="72"/>
      <c r="GCH175" s="72"/>
      <c r="GCI175" s="72"/>
      <c r="GCJ175" s="72"/>
      <c r="GCK175" s="72"/>
      <c r="GCL175" s="72"/>
      <c r="GCM175" s="72"/>
      <c r="GCN175" s="72"/>
      <c r="GCO175" s="72"/>
      <c r="GCP175" s="72"/>
      <c r="GCQ175" s="72"/>
      <c r="GCR175" s="72"/>
      <c r="GCS175" s="72"/>
      <c r="GCT175" s="72"/>
      <c r="GCU175" s="72"/>
      <c r="GCV175" s="72"/>
      <c r="GCW175" s="72"/>
      <c r="GCX175" s="72"/>
      <c r="GCY175" s="72"/>
      <c r="GCZ175" s="72"/>
      <c r="GDA175" s="72"/>
      <c r="GDB175" s="72"/>
      <c r="GDC175" s="72"/>
      <c r="GDD175" s="72"/>
      <c r="GDE175" s="72"/>
      <c r="GDF175" s="72"/>
      <c r="GDG175" s="72"/>
      <c r="GDH175" s="72"/>
      <c r="GDI175" s="72"/>
      <c r="GDJ175" s="72"/>
      <c r="GDK175" s="72"/>
      <c r="GDL175" s="72"/>
      <c r="GDM175" s="72"/>
      <c r="GDN175" s="72"/>
      <c r="GDO175" s="72"/>
      <c r="GDP175" s="72"/>
      <c r="GDQ175" s="72"/>
      <c r="GDR175" s="72"/>
      <c r="GDS175" s="72"/>
      <c r="GDT175" s="72"/>
      <c r="GDU175" s="72"/>
      <c r="GDV175" s="72"/>
      <c r="GDW175" s="72"/>
      <c r="GDX175" s="72"/>
      <c r="GDY175" s="72"/>
      <c r="GDZ175" s="72"/>
      <c r="GEA175" s="72"/>
      <c r="GEB175" s="72"/>
      <c r="GEC175" s="72"/>
      <c r="GED175" s="72"/>
      <c r="GEE175" s="72"/>
      <c r="GEF175" s="72"/>
      <c r="GEG175" s="72"/>
      <c r="GEH175" s="72"/>
      <c r="GEI175" s="72"/>
      <c r="GEJ175" s="72"/>
      <c r="GEK175" s="72"/>
      <c r="GEL175" s="72"/>
      <c r="GEM175" s="72"/>
      <c r="GEN175" s="72"/>
      <c r="GEO175" s="72"/>
      <c r="GEP175" s="72"/>
      <c r="GEQ175" s="72"/>
      <c r="GER175" s="72"/>
      <c r="GES175" s="72"/>
      <c r="GET175" s="72"/>
      <c r="GEU175" s="72"/>
      <c r="GEV175" s="72"/>
      <c r="GEW175" s="72"/>
      <c r="GEX175" s="72"/>
      <c r="GEY175" s="72"/>
      <c r="GEZ175" s="72"/>
      <c r="GFA175" s="72"/>
      <c r="GFB175" s="72"/>
      <c r="GFC175" s="72"/>
      <c r="GFD175" s="72"/>
      <c r="GFE175" s="72"/>
      <c r="GFF175" s="72"/>
      <c r="GFG175" s="72"/>
      <c r="GFH175" s="72"/>
      <c r="GFI175" s="72"/>
      <c r="GFJ175" s="72"/>
      <c r="GFK175" s="72"/>
      <c r="GFL175" s="72"/>
      <c r="GFM175" s="72"/>
      <c r="GFN175" s="72"/>
      <c r="GFO175" s="72"/>
      <c r="GFP175" s="72"/>
      <c r="GFQ175" s="72"/>
      <c r="GFR175" s="72"/>
      <c r="GFS175" s="72"/>
      <c r="GFT175" s="72"/>
      <c r="GFU175" s="72"/>
      <c r="GFV175" s="72"/>
      <c r="GFW175" s="72"/>
      <c r="GFX175" s="72"/>
      <c r="GFY175" s="72"/>
      <c r="GFZ175" s="72"/>
      <c r="GGA175" s="72"/>
      <c r="GGB175" s="72"/>
      <c r="GGC175" s="72"/>
      <c r="GGD175" s="72"/>
      <c r="GGE175" s="72"/>
      <c r="GGF175" s="72"/>
      <c r="GGG175" s="72"/>
      <c r="GGH175" s="72"/>
      <c r="GGI175" s="72"/>
      <c r="GGJ175" s="72"/>
      <c r="GGK175" s="72"/>
      <c r="GGL175" s="72"/>
      <c r="GGM175" s="72"/>
      <c r="GGN175" s="72"/>
      <c r="GGO175" s="72"/>
      <c r="GGP175" s="72"/>
      <c r="GGQ175" s="72"/>
      <c r="GGR175" s="72"/>
      <c r="GGS175" s="72"/>
      <c r="GGT175" s="72"/>
      <c r="GGU175" s="72"/>
      <c r="GGV175" s="72"/>
      <c r="GGW175" s="72"/>
      <c r="GGX175" s="72"/>
      <c r="GGY175" s="72"/>
      <c r="GGZ175" s="72"/>
      <c r="GHA175" s="72"/>
      <c r="GHB175" s="72"/>
      <c r="GHC175" s="72"/>
      <c r="GHD175" s="72"/>
      <c r="GHE175" s="72"/>
      <c r="GHF175" s="72"/>
      <c r="GHG175" s="72"/>
      <c r="GHH175" s="72"/>
      <c r="GHI175" s="72"/>
      <c r="GHJ175" s="72"/>
      <c r="GHK175" s="72"/>
      <c r="GHL175" s="72"/>
      <c r="GHM175" s="72"/>
      <c r="GHN175" s="72"/>
      <c r="GHO175" s="72"/>
      <c r="GHP175" s="72"/>
      <c r="GHQ175" s="72"/>
      <c r="GHR175" s="72"/>
      <c r="GHS175" s="72"/>
      <c r="GHT175" s="72"/>
      <c r="GHU175" s="72"/>
      <c r="GHV175" s="72"/>
      <c r="GHW175" s="72"/>
      <c r="GHX175" s="72"/>
      <c r="GHY175" s="72"/>
      <c r="GHZ175" s="72"/>
      <c r="GIA175" s="72"/>
      <c r="GIB175" s="72"/>
      <c r="GIC175" s="72"/>
      <c r="GID175" s="72"/>
      <c r="GIE175" s="72"/>
      <c r="GIF175" s="72"/>
      <c r="GIG175" s="72"/>
      <c r="GIH175" s="72"/>
      <c r="GII175" s="72"/>
      <c r="GIJ175" s="72"/>
      <c r="GIK175" s="72"/>
      <c r="GIL175" s="72"/>
      <c r="GIM175" s="72"/>
      <c r="GIN175" s="72"/>
      <c r="GIO175" s="72"/>
      <c r="GIP175" s="72"/>
      <c r="GIQ175" s="72"/>
      <c r="GIR175" s="72"/>
      <c r="GIS175" s="72"/>
      <c r="GIT175" s="72"/>
      <c r="GIU175" s="72"/>
      <c r="GIV175" s="72"/>
      <c r="GIW175" s="72"/>
      <c r="GIX175" s="72"/>
      <c r="GIY175" s="72"/>
      <c r="GIZ175" s="72"/>
      <c r="GJA175" s="72"/>
      <c r="GJB175" s="72"/>
      <c r="GJC175" s="72"/>
      <c r="GJD175" s="72"/>
      <c r="GJE175" s="72"/>
      <c r="GJF175" s="72"/>
      <c r="GJG175" s="72"/>
      <c r="GJH175" s="72"/>
      <c r="GJI175" s="72"/>
      <c r="GJJ175" s="72"/>
      <c r="GJK175" s="72"/>
      <c r="GJL175" s="72"/>
      <c r="GJM175" s="72"/>
      <c r="GJN175" s="72"/>
      <c r="GJO175" s="72"/>
      <c r="GJP175" s="72"/>
      <c r="GJQ175" s="72"/>
      <c r="GJR175" s="72"/>
      <c r="GJS175" s="72"/>
      <c r="GJT175" s="72"/>
      <c r="GJU175" s="72"/>
      <c r="GJV175" s="72"/>
      <c r="GJW175" s="72"/>
      <c r="GJX175" s="72"/>
      <c r="GJY175" s="72"/>
      <c r="GJZ175" s="72"/>
      <c r="GKA175" s="72"/>
      <c r="GKB175" s="72"/>
      <c r="GKC175" s="72"/>
      <c r="GKD175" s="72"/>
      <c r="GKE175" s="72"/>
      <c r="GKF175" s="72"/>
      <c r="GKG175" s="72"/>
      <c r="GKH175" s="72"/>
      <c r="GKI175" s="72"/>
      <c r="GKJ175" s="72"/>
      <c r="GKK175" s="72"/>
      <c r="GKL175" s="72"/>
      <c r="GKM175" s="72"/>
      <c r="GKN175" s="72"/>
      <c r="GKO175" s="72"/>
      <c r="GKP175" s="72"/>
      <c r="GKQ175" s="72"/>
      <c r="GKR175" s="72"/>
      <c r="GKS175" s="72"/>
      <c r="GKT175" s="72"/>
      <c r="GKU175" s="72"/>
      <c r="GKV175" s="72"/>
      <c r="GKW175" s="72"/>
      <c r="GKX175" s="72"/>
      <c r="GKY175" s="72"/>
      <c r="GKZ175" s="72"/>
      <c r="GLA175" s="72"/>
      <c r="GLB175" s="72"/>
      <c r="GLC175" s="72"/>
      <c r="GLD175" s="72"/>
      <c r="GLE175" s="72"/>
      <c r="GLF175" s="72"/>
      <c r="GLG175" s="72"/>
      <c r="GLH175" s="72"/>
      <c r="GLI175" s="72"/>
      <c r="GLJ175" s="72"/>
      <c r="GLK175" s="72"/>
      <c r="GLL175" s="72"/>
      <c r="GLM175" s="72"/>
      <c r="GLN175" s="72"/>
      <c r="GLO175" s="72"/>
      <c r="GLP175" s="72"/>
      <c r="GLQ175" s="72"/>
      <c r="GLR175" s="72"/>
      <c r="GLS175" s="72"/>
      <c r="GLT175" s="72"/>
      <c r="GLU175" s="72"/>
      <c r="GLV175" s="72"/>
      <c r="GLW175" s="72"/>
      <c r="GLX175" s="72"/>
      <c r="GLY175" s="72"/>
      <c r="GLZ175" s="72"/>
      <c r="GMA175" s="72"/>
      <c r="GMB175" s="72"/>
      <c r="GMC175" s="72"/>
      <c r="GMD175" s="72"/>
      <c r="GME175" s="72"/>
      <c r="GMF175" s="72"/>
      <c r="GMG175" s="72"/>
      <c r="GMH175" s="72"/>
      <c r="GMI175" s="72"/>
      <c r="GMJ175" s="72"/>
      <c r="GMK175" s="72"/>
      <c r="GML175" s="72"/>
      <c r="GMM175" s="72"/>
      <c r="GMN175" s="72"/>
      <c r="GMO175" s="72"/>
      <c r="GMP175" s="72"/>
      <c r="GMQ175" s="72"/>
      <c r="GMR175" s="72"/>
      <c r="GMS175" s="72"/>
      <c r="GMT175" s="72"/>
      <c r="GMU175" s="72"/>
      <c r="GMV175" s="72"/>
      <c r="GMW175" s="72"/>
      <c r="GMX175" s="72"/>
      <c r="GMY175" s="72"/>
      <c r="GMZ175" s="72"/>
      <c r="GNA175" s="72"/>
      <c r="GNB175" s="72"/>
      <c r="GNC175" s="72"/>
      <c r="GND175" s="72"/>
      <c r="GNE175" s="72"/>
      <c r="GNF175" s="72"/>
      <c r="GNG175" s="72"/>
      <c r="GNH175" s="72"/>
      <c r="GNI175" s="72"/>
      <c r="GNJ175" s="72"/>
      <c r="GNK175" s="72"/>
      <c r="GNL175" s="72"/>
      <c r="GNM175" s="72"/>
      <c r="GNN175" s="72"/>
      <c r="GNO175" s="72"/>
      <c r="GNP175" s="72"/>
      <c r="GNQ175" s="72"/>
      <c r="GNR175" s="72"/>
      <c r="GNS175" s="72"/>
      <c r="GNT175" s="72"/>
      <c r="GNU175" s="72"/>
      <c r="GNV175" s="72"/>
      <c r="GNW175" s="72"/>
      <c r="GNX175" s="72"/>
      <c r="GNY175" s="72"/>
      <c r="GNZ175" s="72"/>
      <c r="GOA175" s="72"/>
      <c r="GOB175" s="72"/>
      <c r="GOC175" s="72"/>
      <c r="GOD175" s="72"/>
      <c r="GOE175" s="72"/>
      <c r="GOF175" s="72"/>
      <c r="GOG175" s="72"/>
      <c r="GOH175" s="72"/>
      <c r="GOI175" s="72"/>
      <c r="GOJ175" s="72"/>
      <c r="GOK175" s="72"/>
      <c r="GOL175" s="72"/>
      <c r="GOM175" s="72"/>
      <c r="GON175" s="72"/>
      <c r="GOO175" s="72"/>
      <c r="GOP175" s="72"/>
      <c r="GOQ175" s="72"/>
      <c r="GOR175" s="72"/>
      <c r="GOS175" s="72"/>
      <c r="GOT175" s="72"/>
      <c r="GOU175" s="72"/>
      <c r="GOV175" s="72"/>
      <c r="GOW175" s="72"/>
      <c r="GOX175" s="72"/>
      <c r="GOY175" s="72"/>
      <c r="GOZ175" s="72"/>
      <c r="GPA175" s="72"/>
      <c r="GPB175" s="72"/>
      <c r="GPC175" s="72"/>
      <c r="GPD175" s="72"/>
      <c r="GPE175" s="72"/>
      <c r="GPF175" s="72"/>
      <c r="GPG175" s="72"/>
      <c r="GPH175" s="72"/>
      <c r="GPI175" s="72"/>
      <c r="GPJ175" s="72"/>
      <c r="GPK175" s="72"/>
      <c r="GPL175" s="72"/>
      <c r="GPM175" s="72"/>
      <c r="GPN175" s="72"/>
      <c r="GPO175" s="72"/>
      <c r="GPP175" s="72"/>
      <c r="GPQ175" s="72"/>
      <c r="GPR175" s="72"/>
      <c r="GPS175" s="72"/>
      <c r="GPT175" s="72"/>
      <c r="GPU175" s="72"/>
      <c r="GPV175" s="72"/>
      <c r="GPW175" s="72"/>
      <c r="GPX175" s="72"/>
      <c r="GPY175" s="72"/>
      <c r="GPZ175" s="72"/>
      <c r="GQA175" s="72"/>
      <c r="GQB175" s="72"/>
      <c r="GQC175" s="72"/>
      <c r="GQD175" s="72"/>
      <c r="GQE175" s="72"/>
      <c r="GQF175" s="72"/>
      <c r="GQG175" s="72"/>
      <c r="GQH175" s="72"/>
      <c r="GQI175" s="72"/>
      <c r="GQJ175" s="72"/>
      <c r="GQK175" s="72"/>
      <c r="GQL175" s="72"/>
      <c r="GQM175" s="72"/>
      <c r="GQN175" s="72"/>
      <c r="GQO175" s="72"/>
      <c r="GQP175" s="72"/>
      <c r="GQQ175" s="72"/>
      <c r="GQR175" s="72"/>
      <c r="GQS175" s="72"/>
      <c r="GQT175" s="72"/>
      <c r="GQU175" s="72"/>
      <c r="GQV175" s="72"/>
      <c r="GQW175" s="72"/>
      <c r="GQX175" s="72"/>
      <c r="GQY175" s="72"/>
      <c r="GQZ175" s="72"/>
      <c r="GRA175" s="72"/>
      <c r="GRB175" s="72"/>
      <c r="GRC175" s="72"/>
      <c r="GRD175" s="72"/>
      <c r="GRE175" s="72"/>
      <c r="GRF175" s="72"/>
      <c r="GRG175" s="72"/>
      <c r="GRH175" s="72"/>
      <c r="GRI175" s="72"/>
      <c r="GRJ175" s="72"/>
      <c r="GRK175" s="72"/>
      <c r="GRL175" s="72"/>
      <c r="GRM175" s="72"/>
      <c r="GRN175" s="72"/>
      <c r="GRO175" s="72"/>
      <c r="GRP175" s="72"/>
      <c r="GRQ175" s="72"/>
      <c r="GRR175" s="72"/>
      <c r="GRS175" s="72"/>
      <c r="GRT175" s="72"/>
      <c r="GRU175" s="72"/>
      <c r="GRV175" s="72"/>
      <c r="GRW175" s="72"/>
      <c r="GRX175" s="72"/>
      <c r="GRY175" s="72"/>
      <c r="GRZ175" s="72"/>
      <c r="GSA175" s="72"/>
      <c r="GSB175" s="72"/>
      <c r="GSC175" s="72"/>
      <c r="GSD175" s="72"/>
      <c r="GSE175" s="72"/>
      <c r="GSF175" s="72"/>
      <c r="GSG175" s="72"/>
      <c r="GSH175" s="72"/>
      <c r="GSI175" s="72"/>
      <c r="GSJ175" s="72"/>
      <c r="GSK175" s="72"/>
      <c r="GSL175" s="72"/>
      <c r="GSM175" s="72"/>
      <c r="GSN175" s="72"/>
      <c r="GSO175" s="72"/>
      <c r="GSP175" s="72"/>
      <c r="GSQ175" s="72"/>
      <c r="GSR175" s="72"/>
      <c r="GSS175" s="72"/>
      <c r="GST175" s="72"/>
      <c r="GSU175" s="72"/>
      <c r="GSV175" s="72"/>
      <c r="GSW175" s="72"/>
      <c r="GSX175" s="72"/>
      <c r="GSY175" s="72"/>
      <c r="GSZ175" s="72"/>
      <c r="GTA175" s="72"/>
      <c r="GTB175" s="72"/>
      <c r="GTC175" s="72"/>
      <c r="GTD175" s="72"/>
      <c r="GTE175" s="72"/>
      <c r="GTF175" s="72"/>
      <c r="GTG175" s="72"/>
      <c r="GTH175" s="72"/>
      <c r="GTI175" s="72"/>
      <c r="GTJ175" s="72"/>
      <c r="GTK175" s="72"/>
      <c r="GTL175" s="72"/>
      <c r="GTM175" s="72"/>
      <c r="GTN175" s="72"/>
      <c r="GTO175" s="72"/>
      <c r="GTP175" s="72"/>
      <c r="GTQ175" s="72"/>
      <c r="GTR175" s="72"/>
      <c r="GTS175" s="72"/>
      <c r="GTT175" s="72"/>
      <c r="GTU175" s="72"/>
      <c r="GTV175" s="72"/>
      <c r="GTW175" s="72"/>
      <c r="GTX175" s="72"/>
      <c r="GTY175" s="72"/>
      <c r="GTZ175" s="72"/>
      <c r="GUA175" s="72"/>
      <c r="GUB175" s="72"/>
      <c r="GUC175" s="72"/>
      <c r="GUD175" s="72"/>
      <c r="GUE175" s="72"/>
      <c r="GUF175" s="72"/>
      <c r="GUG175" s="72"/>
      <c r="GUH175" s="72"/>
      <c r="GUI175" s="72"/>
      <c r="GUJ175" s="72"/>
      <c r="GUK175" s="72"/>
      <c r="GUL175" s="72"/>
      <c r="GUM175" s="72"/>
      <c r="GUN175" s="72"/>
      <c r="GUO175" s="72"/>
      <c r="GUP175" s="72"/>
      <c r="GUQ175" s="72"/>
      <c r="GUR175" s="72"/>
      <c r="GUS175" s="72"/>
      <c r="GUT175" s="72"/>
      <c r="GUU175" s="72"/>
      <c r="GUV175" s="72"/>
      <c r="GUW175" s="72"/>
      <c r="GUX175" s="72"/>
      <c r="GUY175" s="72"/>
      <c r="GUZ175" s="72"/>
      <c r="GVA175" s="72"/>
      <c r="GVB175" s="72"/>
      <c r="GVC175" s="72"/>
      <c r="GVD175" s="72"/>
      <c r="GVE175" s="72"/>
      <c r="GVF175" s="72"/>
      <c r="GVG175" s="72"/>
      <c r="GVH175" s="72"/>
      <c r="GVI175" s="72"/>
      <c r="GVJ175" s="72"/>
      <c r="GVK175" s="72"/>
      <c r="GVL175" s="72"/>
      <c r="GVM175" s="72"/>
      <c r="GVN175" s="72"/>
      <c r="GVO175" s="72"/>
      <c r="GVP175" s="72"/>
      <c r="GVQ175" s="72"/>
      <c r="GVR175" s="72"/>
      <c r="GVS175" s="72"/>
      <c r="GVT175" s="72"/>
      <c r="GVU175" s="72"/>
      <c r="GVV175" s="72"/>
      <c r="GVW175" s="72"/>
      <c r="GVX175" s="72"/>
      <c r="GVY175" s="72"/>
      <c r="GVZ175" s="72"/>
      <c r="GWA175" s="72"/>
      <c r="GWB175" s="72"/>
      <c r="GWC175" s="72"/>
      <c r="GWD175" s="72"/>
      <c r="GWE175" s="72"/>
      <c r="GWF175" s="72"/>
      <c r="GWG175" s="72"/>
      <c r="GWH175" s="72"/>
      <c r="GWI175" s="72"/>
      <c r="GWJ175" s="72"/>
      <c r="GWK175" s="72"/>
      <c r="GWL175" s="72"/>
      <c r="GWM175" s="72"/>
      <c r="GWN175" s="72"/>
      <c r="GWO175" s="72"/>
      <c r="GWP175" s="72"/>
      <c r="GWQ175" s="72"/>
      <c r="GWR175" s="72"/>
      <c r="GWS175" s="72"/>
      <c r="GWT175" s="72"/>
      <c r="GWU175" s="72"/>
      <c r="GWV175" s="72"/>
      <c r="GWW175" s="72"/>
      <c r="GWX175" s="72"/>
      <c r="GWY175" s="72"/>
      <c r="GWZ175" s="72"/>
      <c r="GXA175" s="72"/>
      <c r="GXB175" s="72"/>
      <c r="GXC175" s="72"/>
      <c r="GXD175" s="72"/>
      <c r="GXE175" s="72"/>
      <c r="GXF175" s="72"/>
      <c r="GXG175" s="72"/>
      <c r="GXH175" s="72"/>
      <c r="GXI175" s="72"/>
      <c r="GXJ175" s="72"/>
      <c r="GXK175" s="72"/>
      <c r="GXL175" s="72"/>
      <c r="GXM175" s="72"/>
      <c r="GXN175" s="72"/>
      <c r="GXO175" s="72"/>
      <c r="GXP175" s="72"/>
      <c r="GXQ175" s="72"/>
      <c r="GXR175" s="72"/>
      <c r="GXS175" s="72"/>
      <c r="GXT175" s="72"/>
      <c r="GXU175" s="72"/>
      <c r="GXV175" s="72"/>
      <c r="GXW175" s="72"/>
      <c r="GXX175" s="72"/>
      <c r="GXY175" s="72"/>
      <c r="GXZ175" s="72"/>
      <c r="GYA175" s="72"/>
      <c r="GYB175" s="72"/>
      <c r="GYC175" s="72"/>
      <c r="GYD175" s="72"/>
      <c r="GYE175" s="72"/>
      <c r="GYF175" s="72"/>
      <c r="GYG175" s="72"/>
      <c r="GYH175" s="72"/>
      <c r="GYI175" s="72"/>
      <c r="GYJ175" s="72"/>
      <c r="GYK175" s="72"/>
      <c r="GYL175" s="72"/>
      <c r="GYM175" s="72"/>
      <c r="GYN175" s="72"/>
      <c r="GYO175" s="72"/>
      <c r="GYP175" s="72"/>
      <c r="GYQ175" s="72"/>
      <c r="GYR175" s="72"/>
      <c r="GYS175" s="72"/>
      <c r="GYT175" s="72"/>
      <c r="GYU175" s="72"/>
      <c r="GYV175" s="72"/>
      <c r="GYW175" s="72"/>
      <c r="GYX175" s="72"/>
      <c r="GYY175" s="72"/>
      <c r="GYZ175" s="72"/>
      <c r="GZA175" s="72"/>
      <c r="GZB175" s="72"/>
      <c r="GZC175" s="72"/>
      <c r="GZD175" s="72"/>
      <c r="GZE175" s="72"/>
      <c r="GZF175" s="72"/>
      <c r="GZG175" s="72"/>
      <c r="GZH175" s="72"/>
      <c r="GZI175" s="72"/>
      <c r="GZJ175" s="72"/>
      <c r="GZK175" s="72"/>
      <c r="GZL175" s="72"/>
      <c r="GZM175" s="72"/>
      <c r="GZN175" s="72"/>
      <c r="GZO175" s="72"/>
      <c r="GZP175" s="72"/>
      <c r="GZQ175" s="72"/>
      <c r="GZR175" s="72"/>
      <c r="GZS175" s="72"/>
      <c r="GZT175" s="72"/>
      <c r="GZU175" s="72"/>
      <c r="GZV175" s="72"/>
      <c r="GZW175" s="72"/>
      <c r="GZX175" s="72"/>
      <c r="GZY175" s="72"/>
      <c r="GZZ175" s="72"/>
      <c r="HAA175" s="72"/>
      <c r="HAB175" s="72"/>
      <c r="HAC175" s="72"/>
      <c r="HAD175" s="72"/>
      <c r="HAE175" s="72"/>
      <c r="HAF175" s="72"/>
      <c r="HAG175" s="72"/>
      <c r="HAH175" s="72"/>
      <c r="HAI175" s="72"/>
      <c r="HAJ175" s="72"/>
      <c r="HAK175" s="72"/>
      <c r="HAL175" s="72"/>
      <c r="HAM175" s="72"/>
      <c r="HAN175" s="72"/>
      <c r="HAO175" s="72"/>
      <c r="HAP175" s="72"/>
      <c r="HAQ175" s="72"/>
      <c r="HAR175" s="72"/>
      <c r="HAS175" s="72"/>
      <c r="HAT175" s="72"/>
      <c r="HAU175" s="72"/>
      <c r="HAV175" s="72"/>
      <c r="HAW175" s="72"/>
      <c r="HAX175" s="72"/>
      <c r="HAY175" s="72"/>
      <c r="HAZ175" s="72"/>
      <c r="HBA175" s="72"/>
      <c r="HBB175" s="72"/>
      <c r="HBC175" s="72"/>
      <c r="HBD175" s="72"/>
      <c r="HBE175" s="72"/>
      <c r="HBF175" s="72"/>
      <c r="HBG175" s="72"/>
      <c r="HBH175" s="72"/>
      <c r="HBI175" s="72"/>
      <c r="HBJ175" s="72"/>
      <c r="HBK175" s="72"/>
      <c r="HBL175" s="72"/>
      <c r="HBM175" s="72"/>
      <c r="HBN175" s="72"/>
      <c r="HBO175" s="72"/>
      <c r="HBP175" s="72"/>
      <c r="HBQ175" s="72"/>
      <c r="HBR175" s="72"/>
      <c r="HBS175" s="72"/>
      <c r="HBT175" s="72"/>
      <c r="HBU175" s="72"/>
      <c r="HBV175" s="72"/>
      <c r="HBW175" s="72"/>
      <c r="HBX175" s="72"/>
      <c r="HBY175" s="72"/>
      <c r="HBZ175" s="72"/>
      <c r="HCA175" s="72"/>
      <c r="HCB175" s="72"/>
      <c r="HCC175" s="72"/>
      <c r="HCD175" s="72"/>
      <c r="HCE175" s="72"/>
      <c r="HCF175" s="72"/>
      <c r="HCG175" s="72"/>
      <c r="HCH175" s="72"/>
      <c r="HCI175" s="72"/>
      <c r="HCJ175" s="72"/>
      <c r="HCK175" s="72"/>
      <c r="HCL175" s="72"/>
      <c r="HCM175" s="72"/>
      <c r="HCN175" s="72"/>
      <c r="HCO175" s="72"/>
      <c r="HCP175" s="72"/>
      <c r="HCQ175" s="72"/>
      <c r="HCR175" s="72"/>
      <c r="HCS175" s="72"/>
      <c r="HCT175" s="72"/>
      <c r="HCU175" s="72"/>
      <c r="HCV175" s="72"/>
      <c r="HCW175" s="72"/>
      <c r="HCX175" s="72"/>
      <c r="HCY175" s="72"/>
      <c r="HCZ175" s="72"/>
      <c r="HDA175" s="72"/>
      <c r="HDB175" s="72"/>
      <c r="HDC175" s="72"/>
      <c r="HDD175" s="72"/>
      <c r="HDE175" s="72"/>
      <c r="HDF175" s="72"/>
      <c r="HDG175" s="72"/>
      <c r="HDH175" s="72"/>
      <c r="HDI175" s="72"/>
      <c r="HDJ175" s="72"/>
      <c r="HDK175" s="72"/>
      <c r="HDL175" s="72"/>
      <c r="HDM175" s="72"/>
      <c r="HDN175" s="72"/>
      <c r="HDO175" s="72"/>
      <c r="HDP175" s="72"/>
      <c r="HDQ175" s="72"/>
      <c r="HDR175" s="72"/>
      <c r="HDS175" s="72"/>
      <c r="HDT175" s="72"/>
      <c r="HDU175" s="72"/>
      <c r="HDV175" s="72"/>
      <c r="HDW175" s="72"/>
      <c r="HDX175" s="72"/>
      <c r="HDY175" s="72"/>
      <c r="HDZ175" s="72"/>
      <c r="HEA175" s="72"/>
      <c r="HEB175" s="72"/>
      <c r="HEC175" s="72"/>
      <c r="HED175" s="72"/>
      <c r="HEE175" s="72"/>
      <c r="HEF175" s="72"/>
      <c r="HEG175" s="72"/>
      <c r="HEH175" s="72"/>
      <c r="HEI175" s="72"/>
      <c r="HEJ175" s="72"/>
      <c r="HEK175" s="72"/>
      <c r="HEL175" s="72"/>
      <c r="HEM175" s="72"/>
      <c r="HEN175" s="72"/>
      <c r="HEO175" s="72"/>
      <c r="HEP175" s="72"/>
      <c r="HEQ175" s="72"/>
      <c r="HER175" s="72"/>
      <c r="HES175" s="72"/>
      <c r="HET175" s="72"/>
      <c r="HEU175" s="72"/>
      <c r="HEV175" s="72"/>
      <c r="HEW175" s="72"/>
      <c r="HEX175" s="72"/>
      <c r="HEY175" s="72"/>
      <c r="HEZ175" s="72"/>
      <c r="HFA175" s="72"/>
      <c r="HFB175" s="72"/>
      <c r="HFC175" s="72"/>
      <c r="HFD175" s="72"/>
      <c r="HFE175" s="72"/>
      <c r="HFF175" s="72"/>
      <c r="HFG175" s="72"/>
      <c r="HFH175" s="72"/>
      <c r="HFI175" s="72"/>
      <c r="HFJ175" s="72"/>
      <c r="HFK175" s="72"/>
      <c r="HFL175" s="72"/>
      <c r="HFM175" s="72"/>
      <c r="HFN175" s="72"/>
      <c r="HFO175" s="72"/>
      <c r="HFP175" s="72"/>
      <c r="HFQ175" s="72"/>
      <c r="HFR175" s="72"/>
      <c r="HFS175" s="72"/>
      <c r="HFT175" s="72"/>
      <c r="HFU175" s="72"/>
      <c r="HFV175" s="72"/>
      <c r="HFW175" s="72"/>
      <c r="HFX175" s="72"/>
      <c r="HFY175" s="72"/>
      <c r="HFZ175" s="72"/>
      <c r="HGA175" s="72"/>
      <c r="HGB175" s="72"/>
      <c r="HGC175" s="72"/>
      <c r="HGD175" s="72"/>
      <c r="HGE175" s="72"/>
      <c r="HGF175" s="72"/>
      <c r="HGG175" s="72"/>
      <c r="HGH175" s="72"/>
      <c r="HGI175" s="72"/>
      <c r="HGJ175" s="72"/>
      <c r="HGK175" s="72"/>
      <c r="HGL175" s="72"/>
      <c r="HGM175" s="72"/>
      <c r="HGN175" s="72"/>
      <c r="HGO175" s="72"/>
      <c r="HGP175" s="72"/>
      <c r="HGQ175" s="72"/>
      <c r="HGR175" s="72"/>
      <c r="HGS175" s="72"/>
      <c r="HGT175" s="72"/>
      <c r="HGU175" s="72"/>
      <c r="HGV175" s="72"/>
      <c r="HGW175" s="72"/>
      <c r="HGX175" s="72"/>
      <c r="HGY175" s="72"/>
      <c r="HGZ175" s="72"/>
      <c r="HHA175" s="72"/>
      <c r="HHB175" s="72"/>
      <c r="HHC175" s="72"/>
      <c r="HHD175" s="72"/>
      <c r="HHE175" s="72"/>
      <c r="HHF175" s="72"/>
      <c r="HHG175" s="72"/>
      <c r="HHH175" s="72"/>
      <c r="HHI175" s="72"/>
      <c r="HHJ175" s="72"/>
      <c r="HHK175" s="72"/>
      <c r="HHL175" s="72"/>
      <c r="HHM175" s="72"/>
      <c r="HHN175" s="72"/>
      <c r="HHO175" s="72"/>
      <c r="HHP175" s="72"/>
      <c r="HHQ175" s="72"/>
      <c r="HHR175" s="72"/>
      <c r="HHS175" s="72"/>
      <c r="HHT175" s="72"/>
      <c r="HHU175" s="72"/>
      <c r="HHV175" s="72"/>
      <c r="HHW175" s="72"/>
      <c r="HHX175" s="72"/>
      <c r="HHY175" s="72"/>
      <c r="HHZ175" s="72"/>
      <c r="HIA175" s="72"/>
      <c r="HIB175" s="72"/>
      <c r="HIC175" s="72"/>
      <c r="HID175" s="72"/>
      <c r="HIE175" s="72"/>
      <c r="HIF175" s="72"/>
      <c r="HIG175" s="72"/>
      <c r="HIH175" s="72"/>
      <c r="HII175" s="72"/>
      <c r="HIJ175" s="72"/>
      <c r="HIK175" s="72"/>
      <c r="HIL175" s="72"/>
      <c r="HIM175" s="72"/>
      <c r="HIN175" s="72"/>
      <c r="HIO175" s="72"/>
      <c r="HIP175" s="72"/>
      <c r="HIQ175" s="72"/>
      <c r="HIR175" s="72"/>
      <c r="HIS175" s="72"/>
      <c r="HIT175" s="72"/>
      <c r="HIU175" s="72"/>
      <c r="HIV175" s="72"/>
      <c r="HIW175" s="72"/>
      <c r="HIX175" s="72"/>
      <c r="HIY175" s="72"/>
      <c r="HIZ175" s="72"/>
      <c r="HJA175" s="72"/>
      <c r="HJB175" s="72"/>
      <c r="HJC175" s="72"/>
      <c r="HJD175" s="72"/>
      <c r="HJE175" s="72"/>
      <c r="HJF175" s="72"/>
      <c r="HJG175" s="72"/>
      <c r="HJH175" s="72"/>
      <c r="HJI175" s="72"/>
      <c r="HJJ175" s="72"/>
      <c r="HJK175" s="72"/>
      <c r="HJL175" s="72"/>
      <c r="HJM175" s="72"/>
      <c r="HJN175" s="72"/>
      <c r="HJO175" s="72"/>
      <c r="HJP175" s="72"/>
      <c r="HJQ175" s="72"/>
      <c r="HJR175" s="72"/>
      <c r="HJS175" s="72"/>
      <c r="HJT175" s="72"/>
      <c r="HJU175" s="72"/>
      <c r="HJV175" s="72"/>
      <c r="HJW175" s="72"/>
      <c r="HJX175" s="72"/>
      <c r="HJY175" s="72"/>
      <c r="HJZ175" s="72"/>
      <c r="HKA175" s="72"/>
      <c r="HKB175" s="72"/>
      <c r="HKC175" s="72"/>
      <c r="HKD175" s="72"/>
      <c r="HKE175" s="72"/>
      <c r="HKF175" s="72"/>
      <c r="HKG175" s="72"/>
      <c r="HKH175" s="72"/>
      <c r="HKI175" s="72"/>
      <c r="HKJ175" s="72"/>
      <c r="HKK175" s="72"/>
      <c r="HKL175" s="72"/>
      <c r="HKM175" s="72"/>
      <c r="HKN175" s="72"/>
      <c r="HKO175" s="72"/>
      <c r="HKP175" s="72"/>
      <c r="HKQ175" s="72"/>
      <c r="HKR175" s="72"/>
      <c r="HKS175" s="72"/>
      <c r="HKT175" s="72"/>
      <c r="HKU175" s="72"/>
      <c r="HKV175" s="72"/>
      <c r="HKW175" s="72"/>
      <c r="HKX175" s="72"/>
      <c r="HKY175" s="72"/>
      <c r="HKZ175" s="72"/>
      <c r="HLA175" s="72"/>
      <c r="HLB175" s="72"/>
      <c r="HLC175" s="72"/>
      <c r="HLD175" s="72"/>
      <c r="HLE175" s="72"/>
      <c r="HLF175" s="72"/>
      <c r="HLG175" s="72"/>
      <c r="HLH175" s="72"/>
      <c r="HLI175" s="72"/>
      <c r="HLJ175" s="72"/>
      <c r="HLK175" s="72"/>
      <c r="HLL175" s="72"/>
      <c r="HLM175" s="72"/>
      <c r="HLN175" s="72"/>
      <c r="HLO175" s="72"/>
      <c r="HLP175" s="72"/>
      <c r="HLQ175" s="72"/>
      <c r="HLR175" s="72"/>
      <c r="HLS175" s="72"/>
      <c r="HLT175" s="72"/>
      <c r="HLU175" s="72"/>
      <c r="HLV175" s="72"/>
      <c r="HLW175" s="72"/>
      <c r="HLX175" s="72"/>
      <c r="HLY175" s="72"/>
      <c r="HLZ175" s="72"/>
      <c r="HMA175" s="72"/>
      <c r="HMB175" s="72"/>
      <c r="HMC175" s="72"/>
      <c r="HMD175" s="72"/>
      <c r="HME175" s="72"/>
      <c r="HMF175" s="72"/>
      <c r="HMG175" s="72"/>
      <c r="HMH175" s="72"/>
      <c r="HMI175" s="72"/>
      <c r="HMJ175" s="72"/>
      <c r="HMK175" s="72"/>
      <c r="HML175" s="72"/>
      <c r="HMM175" s="72"/>
      <c r="HMN175" s="72"/>
      <c r="HMO175" s="72"/>
      <c r="HMP175" s="72"/>
      <c r="HMQ175" s="72"/>
      <c r="HMR175" s="72"/>
      <c r="HMS175" s="72"/>
      <c r="HMT175" s="72"/>
      <c r="HMU175" s="72"/>
      <c r="HMV175" s="72"/>
      <c r="HMW175" s="72"/>
      <c r="HMX175" s="72"/>
      <c r="HMY175" s="72"/>
      <c r="HMZ175" s="72"/>
      <c r="HNA175" s="72"/>
      <c r="HNB175" s="72"/>
      <c r="HNC175" s="72"/>
      <c r="HND175" s="72"/>
      <c r="HNE175" s="72"/>
      <c r="HNF175" s="72"/>
      <c r="HNG175" s="72"/>
      <c r="HNH175" s="72"/>
      <c r="HNI175" s="72"/>
      <c r="HNJ175" s="72"/>
      <c r="HNK175" s="72"/>
      <c r="HNL175" s="72"/>
      <c r="HNM175" s="72"/>
      <c r="HNN175" s="72"/>
      <c r="HNO175" s="72"/>
      <c r="HNP175" s="72"/>
      <c r="HNQ175" s="72"/>
      <c r="HNR175" s="72"/>
      <c r="HNS175" s="72"/>
      <c r="HNT175" s="72"/>
      <c r="HNU175" s="72"/>
      <c r="HNV175" s="72"/>
      <c r="HNW175" s="72"/>
      <c r="HNX175" s="72"/>
      <c r="HNY175" s="72"/>
      <c r="HNZ175" s="72"/>
      <c r="HOA175" s="72"/>
      <c r="HOB175" s="72"/>
      <c r="HOC175" s="72"/>
      <c r="HOD175" s="72"/>
      <c r="HOE175" s="72"/>
      <c r="HOF175" s="72"/>
      <c r="HOG175" s="72"/>
      <c r="HOH175" s="72"/>
      <c r="HOI175" s="72"/>
      <c r="HOJ175" s="72"/>
      <c r="HOK175" s="72"/>
      <c r="HOL175" s="72"/>
      <c r="HOM175" s="72"/>
      <c r="HON175" s="72"/>
      <c r="HOO175" s="72"/>
      <c r="HOP175" s="72"/>
      <c r="HOQ175" s="72"/>
      <c r="HOR175" s="72"/>
      <c r="HOS175" s="72"/>
      <c r="HOT175" s="72"/>
      <c r="HOU175" s="72"/>
      <c r="HOV175" s="72"/>
      <c r="HOW175" s="72"/>
      <c r="HOX175" s="72"/>
      <c r="HOY175" s="72"/>
      <c r="HOZ175" s="72"/>
      <c r="HPA175" s="72"/>
      <c r="HPB175" s="72"/>
      <c r="HPC175" s="72"/>
      <c r="HPD175" s="72"/>
      <c r="HPE175" s="72"/>
      <c r="HPF175" s="72"/>
      <c r="HPG175" s="72"/>
      <c r="HPH175" s="72"/>
      <c r="HPI175" s="72"/>
      <c r="HPJ175" s="72"/>
      <c r="HPK175" s="72"/>
      <c r="HPL175" s="72"/>
      <c r="HPM175" s="72"/>
      <c r="HPN175" s="72"/>
      <c r="HPO175" s="72"/>
      <c r="HPP175" s="72"/>
      <c r="HPQ175" s="72"/>
      <c r="HPR175" s="72"/>
      <c r="HPS175" s="72"/>
      <c r="HPT175" s="72"/>
      <c r="HPU175" s="72"/>
      <c r="HPV175" s="72"/>
      <c r="HPW175" s="72"/>
      <c r="HPX175" s="72"/>
      <c r="HPY175" s="72"/>
      <c r="HPZ175" s="72"/>
      <c r="HQA175" s="72"/>
      <c r="HQB175" s="72"/>
      <c r="HQC175" s="72"/>
      <c r="HQD175" s="72"/>
      <c r="HQE175" s="72"/>
      <c r="HQF175" s="72"/>
      <c r="HQG175" s="72"/>
      <c r="HQH175" s="72"/>
      <c r="HQI175" s="72"/>
      <c r="HQJ175" s="72"/>
      <c r="HQK175" s="72"/>
      <c r="HQL175" s="72"/>
      <c r="HQM175" s="72"/>
      <c r="HQN175" s="72"/>
      <c r="HQO175" s="72"/>
      <c r="HQP175" s="72"/>
      <c r="HQQ175" s="72"/>
      <c r="HQR175" s="72"/>
      <c r="HQS175" s="72"/>
      <c r="HQT175" s="72"/>
      <c r="HQU175" s="72"/>
      <c r="HQV175" s="72"/>
      <c r="HQW175" s="72"/>
      <c r="HQX175" s="72"/>
      <c r="HQY175" s="72"/>
      <c r="HQZ175" s="72"/>
      <c r="HRA175" s="72"/>
      <c r="HRB175" s="72"/>
      <c r="HRC175" s="72"/>
      <c r="HRD175" s="72"/>
      <c r="HRE175" s="72"/>
      <c r="HRF175" s="72"/>
      <c r="HRG175" s="72"/>
      <c r="HRH175" s="72"/>
      <c r="HRI175" s="72"/>
      <c r="HRJ175" s="72"/>
      <c r="HRK175" s="72"/>
      <c r="HRL175" s="72"/>
      <c r="HRM175" s="72"/>
      <c r="HRN175" s="72"/>
      <c r="HRO175" s="72"/>
      <c r="HRP175" s="72"/>
      <c r="HRQ175" s="72"/>
      <c r="HRR175" s="72"/>
      <c r="HRS175" s="72"/>
      <c r="HRT175" s="72"/>
      <c r="HRU175" s="72"/>
      <c r="HRV175" s="72"/>
      <c r="HRW175" s="72"/>
      <c r="HRX175" s="72"/>
      <c r="HRY175" s="72"/>
      <c r="HRZ175" s="72"/>
      <c r="HSA175" s="72"/>
      <c r="HSB175" s="72"/>
      <c r="HSC175" s="72"/>
      <c r="HSD175" s="72"/>
      <c r="HSE175" s="72"/>
      <c r="HSF175" s="72"/>
      <c r="HSG175" s="72"/>
      <c r="HSH175" s="72"/>
      <c r="HSI175" s="72"/>
      <c r="HSJ175" s="72"/>
      <c r="HSK175" s="72"/>
      <c r="HSL175" s="72"/>
      <c r="HSM175" s="72"/>
      <c r="HSN175" s="72"/>
      <c r="HSO175" s="72"/>
      <c r="HSP175" s="72"/>
      <c r="HSQ175" s="72"/>
      <c r="HSR175" s="72"/>
      <c r="HSS175" s="72"/>
      <c r="HST175" s="72"/>
      <c r="HSU175" s="72"/>
      <c r="HSV175" s="72"/>
      <c r="HSW175" s="72"/>
      <c r="HSX175" s="72"/>
      <c r="HSY175" s="72"/>
      <c r="HSZ175" s="72"/>
      <c r="HTA175" s="72"/>
      <c r="HTB175" s="72"/>
      <c r="HTC175" s="72"/>
      <c r="HTD175" s="72"/>
      <c r="HTE175" s="72"/>
      <c r="HTF175" s="72"/>
      <c r="HTG175" s="72"/>
      <c r="HTH175" s="72"/>
      <c r="HTI175" s="72"/>
      <c r="HTJ175" s="72"/>
      <c r="HTK175" s="72"/>
      <c r="HTL175" s="72"/>
      <c r="HTM175" s="72"/>
      <c r="HTN175" s="72"/>
      <c r="HTO175" s="72"/>
      <c r="HTP175" s="72"/>
      <c r="HTQ175" s="72"/>
      <c r="HTR175" s="72"/>
      <c r="HTS175" s="72"/>
      <c r="HTT175" s="72"/>
      <c r="HTU175" s="72"/>
      <c r="HTV175" s="72"/>
      <c r="HTW175" s="72"/>
      <c r="HTX175" s="72"/>
      <c r="HTY175" s="72"/>
      <c r="HTZ175" s="72"/>
      <c r="HUA175" s="72"/>
      <c r="HUB175" s="72"/>
      <c r="HUC175" s="72"/>
      <c r="HUD175" s="72"/>
      <c r="HUE175" s="72"/>
      <c r="HUF175" s="72"/>
      <c r="HUG175" s="72"/>
      <c r="HUH175" s="72"/>
      <c r="HUI175" s="72"/>
      <c r="HUJ175" s="72"/>
      <c r="HUK175" s="72"/>
      <c r="HUL175" s="72"/>
      <c r="HUM175" s="72"/>
      <c r="HUN175" s="72"/>
      <c r="HUO175" s="72"/>
      <c r="HUP175" s="72"/>
      <c r="HUQ175" s="72"/>
      <c r="HUR175" s="72"/>
      <c r="HUS175" s="72"/>
      <c r="HUT175" s="72"/>
      <c r="HUU175" s="72"/>
      <c r="HUV175" s="72"/>
      <c r="HUW175" s="72"/>
      <c r="HUX175" s="72"/>
      <c r="HUY175" s="72"/>
      <c r="HUZ175" s="72"/>
      <c r="HVA175" s="72"/>
      <c r="HVB175" s="72"/>
      <c r="HVC175" s="72"/>
      <c r="HVD175" s="72"/>
      <c r="HVE175" s="72"/>
      <c r="HVF175" s="72"/>
      <c r="HVG175" s="72"/>
      <c r="HVH175" s="72"/>
      <c r="HVI175" s="72"/>
      <c r="HVJ175" s="72"/>
      <c r="HVK175" s="72"/>
      <c r="HVL175" s="72"/>
      <c r="HVM175" s="72"/>
      <c r="HVN175" s="72"/>
      <c r="HVO175" s="72"/>
      <c r="HVP175" s="72"/>
      <c r="HVQ175" s="72"/>
      <c r="HVR175" s="72"/>
      <c r="HVS175" s="72"/>
      <c r="HVT175" s="72"/>
      <c r="HVU175" s="72"/>
      <c r="HVV175" s="72"/>
      <c r="HVW175" s="72"/>
      <c r="HVX175" s="72"/>
      <c r="HVY175" s="72"/>
      <c r="HVZ175" s="72"/>
      <c r="HWA175" s="72"/>
      <c r="HWB175" s="72"/>
      <c r="HWC175" s="72"/>
      <c r="HWD175" s="72"/>
      <c r="HWE175" s="72"/>
      <c r="HWF175" s="72"/>
      <c r="HWG175" s="72"/>
      <c r="HWH175" s="72"/>
      <c r="HWI175" s="72"/>
      <c r="HWJ175" s="72"/>
      <c r="HWK175" s="72"/>
      <c r="HWL175" s="72"/>
      <c r="HWM175" s="72"/>
      <c r="HWN175" s="72"/>
      <c r="HWO175" s="72"/>
      <c r="HWP175" s="72"/>
      <c r="HWQ175" s="72"/>
      <c r="HWR175" s="72"/>
      <c r="HWS175" s="72"/>
      <c r="HWT175" s="72"/>
      <c r="HWU175" s="72"/>
      <c r="HWV175" s="72"/>
      <c r="HWW175" s="72"/>
      <c r="HWX175" s="72"/>
      <c r="HWY175" s="72"/>
      <c r="HWZ175" s="72"/>
      <c r="HXA175" s="72"/>
      <c r="HXB175" s="72"/>
      <c r="HXC175" s="72"/>
      <c r="HXD175" s="72"/>
      <c r="HXE175" s="72"/>
      <c r="HXF175" s="72"/>
      <c r="HXG175" s="72"/>
      <c r="HXH175" s="72"/>
      <c r="HXI175" s="72"/>
      <c r="HXJ175" s="72"/>
      <c r="HXK175" s="72"/>
      <c r="HXL175" s="72"/>
      <c r="HXM175" s="72"/>
      <c r="HXN175" s="72"/>
      <c r="HXO175" s="72"/>
      <c r="HXP175" s="72"/>
      <c r="HXQ175" s="72"/>
      <c r="HXR175" s="72"/>
      <c r="HXS175" s="72"/>
      <c r="HXT175" s="72"/>
      <c r="HXU175" s="72"/>
      <c r="HXV175" s="72"/>
      <c r="HXW175" s="72"/>
      <c r="HXX175" s="72"/>
      <c r="HXY175" s="72"/>
      <c r="HXZ175" s="72"/>
      <c r="HYA175" s="72"/>
      <c r="HYB175" s="72"/>
      <c r="HYC175" s="72"/>
      <c r="HYD175" s="72"/>
      <c r="HYE175" s="72"/>
      <c r="HYF175" s="72"/>
      <c r="HYG175" s="72"/>
      <c r="HYH175" s="72"/>
      <c r="HYI175" s="72"/>
      <c r="HYJ175" s="72"/>
      <c r="HYK175" s="72"/>
      <c r="HYL175" s="72"/>
      <c r="HYM175" s="72"/>
      <c r="HYN175" s="72"/>
      <c r="HYO175" s="72"/>
      <c r="HYP175" s="72"/>
      <c r="HYQ175" s="72"/>
      <c r="HYR175" s="72"/>
      <c r="HYS175" s="72"/>
      <c r="HYT175" s="72"/>
      <c r="HYU175" s="72"/>
      <c r="HYV175" s="72"/>
      <c r="HYW175" s="72"/>
      <c r="HYX175" s="72"/>
      <c r="HYY175" s="72"/>
      <c r="HYZ175" s="72"/>
      <c r="HZA175" s="72"/>
      <c r="HZB175" s="72"/>
      <c r="HZC175" s="72"/>
      <c r="HZD175" s="72"/>
      <c r="HZE175" s="72"/>
      <c r="HZF175" s="72"/>
      <c r="HZG175" s="72"/>
      <c r="HZH175" s="72"/>
      <c r="HZI175" s="72"/>
      <c r="HZJ175" s="72"/>
      <c r="HZK175" s="72"/>
      <c r="HZL175" s="72"/>
      <c r="HZM175" s="72"/>
      <c r="HZN175" s="72"/>
      <c r="HZO175" s="72"/>
      <c r="HZP175" s="72"/>
      <c r="HZQ175" s="72"/>
      <c r="HZR175" s="72"/>
      <c r="HZS175" s="72"/>
      <c r="HZT175" s="72"/>
      <c r="HZU175" s="72"/>
      <c r="HZV175" s="72"/>
      <c r="HZW175" s="72"/>
      <c r="HZX175" s="72"/>
      <c r="HZY175" s="72"/>
      <c r="HZZ175" s="72"/>
      <c r="IAA175" s="72"/>
      <c r="IAB175" s="72"/>
      <c r="IAC175" s="72"/>
      <c r="IAD175" s="72"/>
      <c r="IAE175" s="72"/>
      <c r="IAF175" s="72"/>
      <c r="IAG175" s="72"/>
      <c r="IAH175" s="72"/>
      <c r="IAI175" s="72"/>
      <c r="IAJ175" s="72"/>
      <c r="IAK175" s="72"/>
      <c r="IAL175" s="72"/>
      <c r="IAM175" s="72"/>
      <c r="IAN175" s="72"/>
      <c r="IAO175" s="72"/>
      <c r="IAP175" s="72"/>
      <c r="IAQ175" s="72"/>
      <c r="IAR175" s="72"/>
      <c r="IAS175" s="72"/>
      <c r="IAT175" s="72"/>
      <c r="IAU175" s="72"/>
      <c r="IAV175" s="72"/>
      <c r="IAW175" s="72"/>
      <c r="IAX175" s="72"/>
      <c r="IAY175" s="72"/>
      <c r="IAZ175" s="72"/>
      <c r="IBA175" s="72"/>
      <c r="IBB175" s="72"/>
      <c r="IBC175" s="72"/>
      <c r="IBD175" s="72"/>
      <c r="IBE175" s="72"/>
      <c r="IBF175" s="72"/>
      <c r="IBG175" s="72"/>
      <c r="IBH175" s="72"/>
      <c r="IBI175" s="72"/>
      <c r="IBJ175" s="72"/>
      <c r="IBK175" s="72"/>
      <c r="IBL175" s="72"/>
      <c r="IBM175" s="72"/>
      <c r="IBN175" s="72"/>
      <c r="IBO175" s="72"/>
      <c r="IBP175" s="72"/>
      <c r="IBQ175" s="72"/>
      <c r="IBR175" s="72"/>
      <c r="IBS175" s="72"/>
      <c r="IBT175" s="72"/>
      <c r="IBU175" s="72"/>
      <c r="IBV175" s="72"/>
      <c r="IBW175" s="72"/>
      <c r="IBX175" s="72"/>
      <c r="IBY175" s="72"/>
      <c r="IBZ175" s="72"/>
      <c r="ICA175" s="72"/>
      <c r="ICB175" s="72"/>
      <c r="ICC175" s="72"/>
      <c r="ICD175" s="72"/>
      <c r="ICE175" s="72"/>
      <c r="ICF175" s="72"/>
      <c r="ICG175" s="72"/>
      <c r="ICH175" s="72"/>
      <c r="ICI175" s="72"/>
      <c r="ICJ175" s="72"/>
      <c r="ICK175" s="72"/>
      <c r="ICL175" s="72"/>
      <c r="ICM175" s="72"/>
      <c r="ICN175" s="72"/>
      <c r="ICO175" s="72"/>
      <c r="ICP175" s="72"/>
      <c r="ICQ175" s="72"/>
      <c r="ICR175" s="72"/>
      <c r="ICS175" s="72"/>
      <c r="ICT175" s="72"/>
      <c r="ICU175" s="72"/>
      <c r="ICV175" s="72"/>
      <c r="ICW175" s="72"/>
      <c r="ICX175" s="72"/>
      <c r="ICY175" s="72"/>
      <c r="ICZ175" s="72"/>
      <c r="IDA175" s="72"/>
      <c r="IDB175" s="72"/>
      <c r="IDC175" s="72"/>
      <c r="IDD175" s="72"/>
      <c r="IDE175" s="72"/>
      <c r="IDF175" s="72"/>
      <c r="IDG175" s="72"/>
      <c r="IDH175" s="72"/>
      <c r="IDI175" s="72"/>
      <c r="IDJ175" s="72"/>
      <c r="IDK175" s="72"/>
      <c r="IDL175" s="72"/>
      <c r="IDM175" s="72"/>
      <c r="IDN175" s="72"/>
      <c r="IDO175" s="72"/>
      <c r="IDP175" s="72"/>
      <c r="IDQ175" s="72"/>
      <c r="IDR175" s="72"/>
      <c r="IDS175" s="72"/>
      <c r="IDT175" s="72"/>
      <c r="IDU175" s="72"/>
      <c r="IDV175" s="72"/>
      <c r="IDW175" s="72"/>
      <c r="IDX175" s="72"/>
      <c r="IDY175" s="72"/>
      <c r="IDZ175" s="72"/>
      <c r="IEA175" s="72"/>
      <c r="IEB175" s="72"/>
      <c r="IEC175" s="72"/>
      <c r="IED175" s="72"/>
      <c r="IEE175" s="72"/>
      <c r="IEF175" s="72"/>
      <c r="IEG175" s="72"/>
      <c r="IEH175" s="72"/>
      <c r="IEI175" s="72"/>
      <c r="IEJ175" s="72"/>
      <c r="IEK175" s="72"/>
      <c r="IEL175" s="72"/>
      <c r="IEM175" s="72"/>
      <c r="IEN175" s="72"/>
      <c r="IEO175" s="72"/>
      <c r="IEP175" s="72"/>
      <c r="IEQ175" s="72"/>
      <c r="IER175" s="72"/>
      <c r="IES175" s="72"/>
      <c r="IET175" s="72"/>
      <c r="IEU175" s="72"/>
      <c r="IEV175" s="72"/>
      <c r="IEW175" s="72"/>
      <c r="IEX175" s="72"/>
      <c r="IEY175" s="72"/>
      <c r="IEZ175" s="72"/>
      <c r="IFA175" s="72"/>
      <c r="IFB175" s="72"/>
      <c r="IFC175" s="72"/>
      <c r="IFD175" s="72"/>
      <c r="IFE175" s="72"/>
      <c r="IFF175" s="72"/>
      <c r="IFG175" s="72"/>
      <c r="IFH175" s="72"/>
      <c r="IFI175" s="72"/>
      <c r="IFJ175" s="72"/>
      <c r="IFK175" s="72"/>
      <c r="IFL175" s="72"/>
      <c r="IFM175" s="72"/>
      <c r="IFN175" s="72"/>
      <c r="IFO175" s="72"/>
      <c r="IFP175" s="72"/>
      <c r="IFQ175" s="72"/>
      <c r="IFR175" s="72"/>
      <c r="IFS175" s="72"/>
      <c r="IFT175" s="72"/>
      <c r="IFU175" s="72"/>
      <c r="IFV175" s="72"/>
      <c r="IFW175" s="72"/>
      <c r="IFX175" s="72"/>
      <c r="IFY175" s="72"/>
      <c r="IFZ175" s="72"/>
      <c r="IGA175" s="72"/>
      <c r="IGB175" s="72"/>
      <c r="IGC175" s="72"/>
      <c r="IGD175" s="72"/>
      <c r="IGE175" s="72"/>
      <c r="IGF175" s="72"/>
      <c r="IGG175" s="72"/>
      <c r="IGH175" s="72"/>
      <c r="IGI175" s="72"/>
      <c r="IGJ175" s="72"/>
      <c r="IGK175" s="72"/>
      <c r="IGL175" s="72"/>
      <c r="IGM175" s="72"/>
      <c r="IGN175" s="72"/>
      <c r="IGO175" s="72"/>
      <c r="IGP175" s="72"/>
      <c r="IGQ175" s="72"/>
      <c r="IGR175" s="72"/>
      <c r="IGS175" s="72"/>
      <c r="IGT175" s="72"/>
      <c r="IGU175" s="72"/>
      <c r="IGV175" s="72"/>
      <c r="IGW175" s="72"/>
      <c r="IGX175" s="72"/>
      <c r="IGY175" s="72"/>
      <c r="IGZ175" s="72"/>
      <c r="IHA175" s="72"/>
      <c r="IHB175" s="72"/>
      <c r="IHC175" s="72"/>
      <c r="IHD175" s="72"/>
      <c r="IHE175" s="72"/>
      <c r="IHF175" s="72"/>
      <c r="IHG175" s="72"/>
      <c r="IHH175" s="72"/>
      <c r="IHI175" s="72"/>
      <c r="IHJ175" s="72"/>
      <c r="IHK175" s="72"/>
      <c r="IHL175" s="72"/>
      <c r="IHM175" s="72"/>
      <c r="IHN175" s="72"/>
      <c r="IHO175" s="72"/>
      <c r="IHP175" s="72"/>
      <c r="IHQ175" s="72"/>
      <c r="IHR175" s="72"/>
      <c r="IHS175" s="72"/>
      <c r="IHT175" s="72"/>
      <c r="IHU175" s="72"/>
      <c r="IHV175" s="72"/>
      <c r="IHW175" s="72"/>
      <c r="IHX175" s="72"/>
      <c r="IHY175" s="72"/>
      <c r="IHZ175" s="72"/>
      <c r="IIA175" s="72"/>
      <c r="IIB175" s="72"/>
      <c r="IIC175" s="72"/>
      <c r="IID175" s="72"/>
      <c r="IIE175" s="72"/>
      <c r="IIF175" s="72"/>
      <c r="IIG175" s="72"/>
      <c r="IIH175" s="72"/>
      <c r="III175" s="72"/>
      <c r="IIJ175" s="72"/>
      <c r="IIK175" s="72"/>
      <c r="IIL175" s="72"/>
      <c r="IIM175" s="72"/>
      <c r="IIN175" s="72"/>
      <c r="IIO175" s="72"/>
      <c r="IIP175" s="72"/>
      <c r="IIQ175" s="72"/>
      <c r="IIR175" s="72"/>
      <c r="IIS175" s="72"/>
      <c r="IIT175" s="72"/>
      <c r="IIU175" s="72"/>
      <c r="IIV175" s="72"/>
      <c r="IIW175" s="72"/>
      <c r="IIX175" s="72"/>
      <c r="IIY175" s="72"/>
      <c r="IIZ175" s="72"/>
      <c r="IJA175" s="72"/>
      <c r="IJB175" s="72"/>
      <c r="IJC175" s="72"/>
      <c r="IJD175" s="72"/>
      <c r="IJE175" s="72"/>
      <c r="IJF175" s="72"/>
      <c r="IJG175" s="72"/>
      <c r="IJH175" s="72"/>
      <c r="IJI175" s="72"/>
      <c r="IJJ175" s="72"/>
      <c r="IJK175" s="72"/>
      <c r="IJL175" s="72"/>
      <c r="IJM175" s="72"/>
      <c r="IJN175" s="72"/>
      <c r="IJO175" s="72"/>
      <c r="IJP175" s="72"/>
      <c r="IJQ175" s="72"/>
      <c r="IJR175" s="72"/>
      <c r="IJS175" s="72"/>
      <c r="IJT175" s="72"/>
      <c r="IJU175" s="72"/>
      <c r="IJV175" s="72"/>
      <c r="IJW175" s="72"/>
      <c r="IJX175" s="72"/>
      <c r="IJY175" s="72"/>
      <c r="IJZ175" s="72"/>
      <c r="IKA175" s="72"/>
      <c r="IKB175" s="72"/>
      <c r="IKC175" s="72"/>
      <c r="IKD175" s="72"/>
      <c r="IKE175" s="72"/>
      <c r="IKF175" s="72"/>
      <c r="IKG175" s="72"/>
      <c r="IKH175" s="72"/>
      <c r="IKI175" s="72"/>
      <c r="IKJ175" s="72"/>
      <c r="IKK175" s="72"/>
      <c r="IKL175" s="72"/>
      <c r="IKM175" s="72"/>
      <c r="IKN175" s="72"/>
      <c r="IKO175" s="72"/>
      <c r="IKP175" s="72"/>
      <c r="IKQ175" s="72"/>
      <c r="IKR175" s="72"/>
      <c r="IKS175" s="72"/>
      <c r="IKT175" s="72"/>
      <c r="IKU175" s="72"/>
      <c r="IKV175" s="72"/>
      <c r="IKW175" s="72"/>
      <c r="IKX175" s="72"/>
      <c r="IKY175" s="72"/>
      <c r="IKZ175" s="72"/>
      <c r="ILA175" s="72"/>
      <c r="ILB175" s="72"/>
      <c r="ILC175" s="72"/>
      <c r="ILD175" s="72"/>
      <c r="ILE175" s="72"/>
      <c r="ILF175" s="72"/>
      <c r="ILG175" s="72"/>
      <c r="ILH175" s="72"/>
      <c r="ILI175" s="72"/>
      <c r="ILJ175" s="72"/>
      <c r="ILK175" s="72"/>
      <c r="ILL175" s="72"/>
      <c r="ILM175" s="72"/>
      <c r="ILN175" s="72"/>
      <c r="ILO175" s="72"/>
      <c r="ILP175" s="72"/>
      <c r="ILQ175" s="72"/>
      <c r="ILR175" s="72"/>
      <c r="ILS175" s="72"/>
      <c r="ILT175" s="72"/>
      <c r="ILU175" s="72"/>
      <c r="ILV175" s="72"/>
      <c r="ILW175" s="72"/>
      <c r="ILX175" s="72"/>
      <c r="ILY175" s="72"/>
      <c r="ILZ175" s="72"/>
      <c r="IMA175" s="72"/>
      <c r="IMB175" s="72"/>
      <c r="IMC175" s="72"/>
      <c r="IMD175" s="72"/>
      <c r="IME175" s="72"/>
      <c r="IMF175" s="72"/>
      <c r="IMG175" s="72"/>
      <c r="IMH175" s="72"/>
      <c r="IMI175" s="72"/>
      <c r="IMJ175" s="72"/>
      <c r="IMK175" s="72"/>
      <c r="IML175" s="72"/>
      <c r="IMM175" s="72"/>
      <c r="IMN175" s="72"/>
      <c r="IMO175" s="72"/>
      <c r="IMP175" s="72"/>
      <c r="IMQ175" s="72"/>
      <c r="IMR175" s="72"/>
      <c r="IMS175" s="72"/>
      <c r="IMT175" s="72"/>
      <c r="IMU175" s="72"/>
      <c r="IMV175" s="72"/>
      <c r="IMW175" s="72"/>
      <c r="IMX175" s="72"/>
      <c r="IMY175" s="72"/>
      <c r="IMZ175" s="72"/>
      <c r="INA175" s="72"/>
      <c r="INB175" s="72"/>
      <c r="INC175" s="72"/>
      <c r="IND175" s="72"/>
      <c r="INE175" s="72"/>
      <c r="INF175" s="72"/>
      <c r="ING175" s="72"/>
      <c r="INH175" s="72"/>
      <c r="INI175" s="72"/>
      <c r="INJ175" s="72"/>
      <c r="INK175" s="72"/>
      <c r="INL175" s="72"/>
      <c r="INM175" s="72"/>
      <c r="INN175" s="72"/>
      <c r="INO175" s="72"/>
      <c r="INP175" s="72"/>
      <c r="INQ175" s="72"/>
      <c r="INR175" s="72"/>
      <c r="INS175" s="72"/>
      <c r="INT175" s="72"/>
      <c r="INU175" s="72"/>
      <c r="INV175" s="72"/>
      <c r="INW175" s="72"/>
      <c r="INX175" s="72"/>
      <c r="INY175" s="72"/>
      <c r="INZ175" s="72"/>
      <c r="IOA175" s="72"/>
      <c r="IOB175" s="72"/>
      <c r="IOC175" s="72"/>
      <c r="IOD175" s="72"/>
      <c r="IOE175" s="72"/>
      <c r="IOF175" s="72"/>
      <c r="IOG175" s="72"/>
      <c r="IOH175" s="72"/>
      <c r="IOI175" s="72"/>
      <c r="IOJ175" s="72"/>
      <c r="IOK175" s="72"/>
      <c r="IOL175" s="72"/>
      <c r="IOM175" s="72"/>
      <c r="ION175" s="72"/>
      <c r="IOO175" s="72"/>
      <c r="IOP175" s="72"/>
      <c r="IOQ175" s="72"/>
      <c r="IOR175" s="72"/>
      <c r="IOS175" s="72"/>
      <c r="IOT175" s="72"/>
      <c r="IOU175" s="72"/>
      <c r="IOV175" s="72"/>
      <c r="IOW175" s="72"/>
      <c r="IOX175" s="72"/>
      <c r="IOY175" s="72"/>
      <c r="IOZ175" s="72"/>
      <c r="IPA175" s="72"/>
      <c r="IPB175" s="72"/>
      <c r="IPC175" s="72"/>
      <c r="IPD175" s="72"/>
      <c r="IPE175" s="72"/>
      <c r="IPF175" s="72"/>
      <c r="IPG175" s="72"/>
      <c r="IPH175" s="72"/>
      <c r="IPI175" s="72"/>
      <c r="IPJ175" s="72"/>
      <c r="IPK175" s="72"/>
      <c r="IPL175" s="72"/>
      <c r="IPM175" s="72"/>
      <c r="IPN175" s="72"/>
      <c r="IPO175" s="72"/>
      <c r="IPP175" s="72"/>
      <c r="IPQ175" s="72"/>
      <c r="IPR175" s="72"/>
      <c r="IPS175" s="72"/>
      <c r="IPT175" s="72"/>
      <c r="IPU175" s="72"/>
      <c r="IPV175" s="72"/>
      <c r="IPW175" s="72"/>
      <c r="IPX175" s="72"/>
      <c r="IPY175" s="72"/>
      <c r="IPZ175" s="72"/>
      <c r="IQA175" s="72"/>
      <c r="IQB175" s="72"/>
      <c r="IQC175" s="72"/>
      <c r="IQD175" s="72"/>
      <c r="IQE175" s="72"/>
      <c r="IQF175" s="72"/>
      <c r="IQG175" s="72"/>
      <c r="IQH175" s="72"/>
      <c r="IQI175" s="72"/>
      <c r="IQJ175" s="72"/>
      <c r="IQK175" s="72"/>
      <c r="IQL175" s="72"/>
      <c r="IQM175" s="72"/>
      <c r="IQN175" s="72"/>
      <c r="IQO175" s="72"/>
      <c r="IQP175" s="72"/>
      <c r="IQQ175" s="72"/>
      <c r="IQR175" s="72"/>
      <c r="IQS175" s="72"/>
      <c r="IQT175" s="72"/>
      <c r="IQU175" s="72"/>
      <c r="IQV175" s="72"/>
      <c r="IQW175" s="72"/>
      <c r="IQX175" s="72"/>
      <c r="IQY175" s="72"/>
      <c r="IQZ175" s="72"/>
      <c r="IRA175" s="72"/>
      <c r="IRB175" s="72"/>
      <c r="IRC175" s="72"/>
      <c r="IRD175" s="72"/>
      <c r="IRE175" s="72"/>
      <c r="IRF175" s="72"/>
      <c r="IRG175" s="72"/>
      <c r="IRH175" s="72"/>
      <c r="IRI175" s="72"/>
      <c r="IRJ175" s="72"/>
      <c r="IRK175" s="72"/>
      <c r="IRL175" s="72"/>
      <c r="IRM175" s="72"/>
      <c r="IRN175" s="72"/>
      <c r="IRO175" s="72"/>
      <c r="IRP175" s="72"/>
      <c r="IRQ175" s="72"/>
      <c r="IRR175" s="72"/>
      <c r="IRS175" s="72"/>
      <c r="IRT175" s="72"/>
      <c r="IRU175" s="72"/>
      <c r="IRV175" s="72"/>
      <c r="IRW175" s="72"/>
      <c r="IRX175" s="72"/>
      <c r="IRY175" s="72"/>
      <c r="IRZ175" s="72"/>
      <c r="ISA175" s="72"/>
      <c r="ISB175" s="72"/>
      <c r="ISC175" s="72"/>
      <c r="ISD175" s="72"/>
      <c r="ISE175" s="72"/>
      <c r="ISF175" s="72"/>
      <c r="ISG175" s="72"/>
      <c r="ISH175" s="72"/>
      <c r="ISI175" s="72"/>
      <c r="ISJ175" s="72"/>
      <c r="ISK175" s="72"/>
      <c r="ISL175" s="72"/>
      <c r="ISM175" s="72"/>
      <c r="ISN175" s="72"/>
      <c r="ISO175" s="72"/>
      <c r="ISP175" s="72"/>
      <c r="ISQ175" s="72"/>
      <c r="ISR175" s="72"/>
      <c r="ISS175" s="72"/>
      <c r="IST175" s="72"/>
      <c r="ISU175" s="72"/>
      <c r="ISV175" s="72"/>
      <c r="ISW175" s="72"/>
      <c r="ISX175" s="72"/>
      <c r="ISY175" s="72"/>
      <c r="ISZ175" s="72"/>
      <c r="ITA175" s="72"/>
      <c r="ITB175" s="72"/>
      <c r="ITC175" s="72"/>
      <c r="ITD175" s="72"/>
      <c r="ITE175" s="72"/>
      <c r="ITF175" s="72"/>
      <c r="ITG175" s="72"/>
      <c r="ITH175" s="72"/>
      <c r="ITI175" s="72"/>
      <c r="ITJ175" s="72"/>
      <c r="ITK175" s="72"/>
      <c r="ITL175" s="72"/>
      <c r="ITM175" s="72"/>
      <c r="ITN175" s="72"/>
      <c r="ITO175" s="72"/>
      <c r="ITP175" s="72"/>
      <c r="ITQ175" s="72"/>
      <c r="ITR175" s="72"/>
      <c r="ITS175" s="72"/>
      <c r="ITT175" s="72"/>
      <c r="ITU175" s="72"/>
      <c r="ITV175" s="72"/>
      <c r="ITW175" s="72"/>
      <c r="ITX175" s="72"/>
      <c r="ITY175" s="72"/>
      <c r="ITZ175" s="72"/>
      <c r="IUA175" s="72"/>
      <c r="IUB175" s="72"/>
      <c r="IUC175" s="72"/>
      <c r="IUD175" s="72"/>
      <c r="IUE175" s="72"/>
      <c r="IUF175" s="72"/>
      <c r="IUG175" s="72"/>
      <c r="IUH175" s="72"/>
      <c r="IUI175" s="72"/>
      <c r="IUJ175" s="72"/>
      <c r="IUK175" s="72"/>
      <c r="IUL175" s="72"/>
      <c r="IUM175" s="72"/>
      <c r="IUN175" s="72"/>
      <c r="IUO175" s="72"/>
      <c r="IUP175" s="72"/>
      <c r="IUQ175" s="72"/>
      <c r="IUR175" s="72"/>
      <c r="IUS175" s="72"/>
      <c r="IUT175" s="72"/>
      <c r="IUU175" s="72"/>
      <c r="IUV175" s="72"/>
      <c r="IUW175" s="72"/>
      <c r="IUX175" s="72"/>
      <c r="IUY175" s="72"/>
      <c r="IUZ175" s="72"/>
      <c r="IVA175" s="72"/>
      <c r="IVB175" s="72"/>
      <c r="IVC175" s="72"/>
      <c r="IVD175" s="72"/>
      <c r="IVE175" s="72"/>
      <c r="IVF175" s="72"/>
      <c r="IVG175" s="72"/>
      <c r="IVH175" s="72"/>
      <c r="IVI175" s="72"/>
      <c r="IVJ175" s="72"/>
      <c r="IVK175" s="72"/>
      <c r="IVL175" s="72"/>
      <c r="IVM175" s="72"/>
      <c r="IVN175" s="72"/>
      <c r="IVO175" s="72"/>
      <c r="IVP175" s="72"/>
      <c r="IVQ175" s="72"/>
      <c r="IVR175" s="72"/>
      <c r="IVS175" s="72"/>
      <c r="IVT175" s="72"/>
      <c r="IVU175" s="72"/>
      <c r="IVV175" s="72"/>
      <c r="IVW175" s="72"/>
      <c r="IVX175" s="72"/>
      <c r="IVY175" s="72"/>
      <c r="IVZ175" s="72"/>
      <c r="IWA175" s="72"/>
      <c r="IWB175" s="72"/>
      <c r="IWC175" s="72"/>
      <c r="IWD175" s="72"/>
      <c r="IWE175" s="72"/>
      <c r="IWF175" s="72"/>
      <c r="IWG175" s="72"/>
      <c r="IWH175" s="72"/>
      <c r="IWI175" s="72"/>
      <c r="IWJ175" s="72"/>
      <c r="IWK175" s="72"/>
      <c r="IWL175" s="72"/>
      <c r="IWM175" s="72"/>
      <c r="IWN175" s="72"/>
      <c r="IWO175" s="72"/>
      <c r="IWP175" s="72"/>
      <c r="IWQ175" s="72"/>
      <c r="IWR175" s="72"/>
      <c r="IWS175" s="72"/>
      <c r="IWT175" s="72"/>
      <c r="IWU175" s="72"/>
      <c r="IWV175" s="72"/>
      <c r="IWW175" s="72"/>
      <c r="IWX175" s="72"/>
      <c r="IWY175" s="72"/>
      <c r="IWZ175" s="72"/>
      <c r="IXA175" s="72"/>
      <c r="IXB175" s="72"/>
      <c r="IXC175" s="72"/>
      <c r="IXD175" s="72"/>
      <c r="IXE175" s="72"/>
      <c r="IXF175" s="72"/>
      <c r="IXG175" s="72"/>
      <c r="IXH175" s="72"/>
      <c r="IXI175" s="72"/>
      <c r="IXJ175" s="72"/>
      <c r="IXK175" s="72"/>
      <c r="IXL175" s="72"/>
      <c r="IXM175" s="72"/>
      <c r="IXN175" s="72"/>
      <c r="IXO175" s="72"/>
      <c r="IXP175" s="72"/>
      <c r="IXQ175" s="72"/>
      <c r="IXR175" s="72"/>
      <c r="IXS175" s="72"/>
      <c r="IXT175" s="72"/>
      <c r="IXU175" s="72"/>
      <c r="IXV175" s="72"/>
      <c r="IXW175" s="72"/>
      <c r="IXX175" s="72"/>
      <c r="IXY175" s="72"/>
      <c r="IXZ175" s="72"/>
      <c r="IYA175" s="72"/>
      <c r="IYB175" s="72"/>
      <c r="IYC175" s="72"/>
      <c r="IYD175" s="72"/>
      <c r="IYE175" s="72"/>
      <c r="IYF175" s="72"/>
      <c r="IYG175" s="72"/>
      <c r="IYH175" s="72"/>
      <c r="IYI175" s="72"/>
      <c r="IYJ175" s="72"/>
      <c r="IYK175" s="72"/>
      <c r="IYL175" s="72"/>
      <c r="IYM175" s="72"/>
      <c r="IYN175" s="72"/>
      <c r="IYO175" s="72"/>
      <c r="IYP175" s="72"/>
      <c r="IYQ175" s="72"/>
      <c r="IYR175" s="72"/>
      <c r="IYS175" s="72"/>
      <c r="IYT175" s="72"/>
      <c r="IYU175" s="72"/>
      <c r="IYV175" s="72"/>
      <c r="IYW175" s="72"/>
      <c r="IYX175" s="72"/>
      <c r="IYY175" s="72"/>
      <c r="IYZ175" s="72"/>
      <c r="IZA175" s="72"/>
      <c r="IZB175" s="72"/>
      <c r="IZC175" s="72"/>
      <c r="IZD175" s="72"/>
      <c r="IZE175" s="72"/>
      <c r="IZF175" s="72"/>
      <c r="IZG175" s="72"/>
      <c r="IZH175" s="72"/>
      <c r="IZI175" s="72"/>
      <c r="IZJ175" s="72"/>
      <c r="IZK175" s="72"/>
      <c r="IZL175" s="72"/>
      <c r="IZM175" s="72"/>
      <c r="IZN175" s="72"/>
      <c r="IZO175" s="72"/>
      <c r="IZP175" s="72"/>
      <c r="IZQ175" s="72"/>
      <c r="IZR175" s="72"/>
      <c r="IZS175" s="72"/>
      <c r="IZT175" s="72"/>
      <c r="IZU175" s="72"/>
      <c r="IZV175" s="72"/>
      <c r="IZW175" s="72"/>
      <c r="IZX175" s="72"/>
      <c r="IZY175" s="72"/>
      <c r="IZZ175" s="72"/>
      <c r="JAA175" s="72"/>
      <c r="JAB175" s="72"/>
      <c r="JAC175" s="72"/>
      <c r="JAD175" s="72"/>
      <c r="JAE175" s="72"/>
      <c r="JAF175" s="72"/>
      <c r="JAG175" s="72"/>
      <c r="JAH175" s="72"/>
      <c r="JAI175" s="72"/>
      <c r="JAJ175" s="72"/>
      <c r="JAK175" s="72"/>
      <c r="JAL175" s="72"/>
      <c r="JAM175" s="72"/>
      <c r="JAN175" s="72"/>
      <c r="JAO175" s="72"/>
      <c r="JAP175" s="72"/>
      <c r="JAQ175" s="72"/>
      <c r="JAR175" s="72"/>
      <c r="JAS175" s="72"/>
      <c r="JAT175" s="72"/>
      <c r="JAU175" s="72"/>
      <c r="JAV175" s="72"/>
      <c r="JAW175" s="72"/>
      <c r="JAX175" s="72"/>
      <c r="JAY175" s="72"/>
      <c r="JAZ175" s="72"/>
      <c r="JBA175" s="72"/>
      <c r="JBB175" s="72"/>
      <c r="JBC175" s="72"/>
      <c r="JBD175" s="72"/>
      <c r="JBE175" s="72"/>
      <c r="JBF175" s="72"/>
      <c r="JBG175" s="72"/>
      <c r="JBH175" s="72"/>
      <c r="JBI175" s="72"/>
      <c r="JBJ175" s="72"/>
      <c r="JBK175" s="72"/>
      <c r="JBL175" s="72"/>
      <c r="JBM175" s="72"/>
      <c r="JBN175" s="72"/>
      <c r="JBO175" s="72"/>
      <c r="JBP175" s="72"/>
      <c r="JBQ175" s="72"/>
      <c r="JBR175" s="72"/>
      <c r="JBS175" s="72"/>
      <c r="JBT175" s="72"/>
      <c r="JBU175" s="72"/>
      <c r="JBV175" s="72"/>
      <c r="JBW175" s="72"/>
      <c r="JBX175" s="72"/>
      <c r="JBY175" s="72"/>
      <c r="JBZ175" s="72"/>
      <c r="JCA175" s="72"/>
      <c r="JCB175" s="72"/>
      <c r="JCC175" s="72"/>
      <c r="JCD175" s="72"/>
      <c r="JCE175" s="72"/>
      <c r="JCF175" s="72"/>
      <c r="JCG175" s="72"/>
      <c r="JCH175" s="72"/>
      <c r="JCI175" s="72"/>
      <c r="JCJ175" s="72"/>
      <c r="JCK175" s="72"/>
      <c r="JCL175" s="72"/>
      <c r="JCM175" s="72"/>
      <c r="JCN175" s="72"/>
      <c r="JCO175" s="72"/>
      <c r="JCP175" s="72"/>
      <c r="JCQ175" s="72"/>
      <c r="JCR175" s="72"/>
      <c r="JCS175" s="72"/>
      <c r="JCT175" s="72"/>
      <c r="JCU175" s="72"/>
      <c r="JCV175" s="72"/>
      <c r="JCW175" s="72"/>
      <c r="JCX175" s="72"/>
      <c r="JCY175" s="72"/>
      <c r="JCZ175" s="72"/>
      <c r="JDA175" s="72"/>
      <c r="JDB175" s="72"/>
      <c r="JDC175" s="72"/>
      <c r="JDD175" s="72"/>
      <c r="JDE175" s="72"/>
      <c r="JDF175" s="72"/>
      <c r="JDG175" s="72"/>
      <c r="JDH175" s="72"/>
      <c r="JDI175" s="72"/>
      <c r="JDJ175" s="72"/>
      <c r="JDK175" s="72"/>
      <c r="JDL175" s="72"/>
      <c r="JDM175" s="72"/>
      <c r="JDN175" s="72"/>
      <c r="JDO175" s="72"/>
      <c r="JDP175" s="72"/>
      <c r="JDQ175" s="72"/>
      <c r="JDR175" s="72"/>
      <c r="JDS175" s="72"/>
      <c r="JDT175" s="72"/>
      <c r="JDU175" s="72"/>
      <c r="JDV175" s="72"/>
      <c r="JDW175" s="72"/>
      <c r="JDX175" s="72"/>
      <c r="JDY175" s="72"/>
      <c r="JDZ175" s="72"/>
      <c r="JEA175" s="72"/>
      <c r="JEB175" s="72"/>
      <c r="JEC175" s="72"/>
      <c r="JED175" s="72"/>
      <c r="JEE175" s="72"/>
      <c r="JEF175" s="72"/>
      <c r="JEG175" s="72"/>
      <c r="JEH175" s="72"/>
      <c r="JEI175" s="72"/>
      <c r="JEJ175" s="72"/>
      <c r="JEK175" s="72"/>
      <c r="JEL175" s="72"/>
      <c r="JEM175" s="72"/>
      <c r="JEN175" s="72"/>
      <c r="JEO175" s="72"/>
      <c r="JEP175" s="72"/>
      <c r="JEQ175" s="72"/>
      <c r="JER175" s="72"/>
      <c r="JES175" s="72"/>
      <c r="JET175" s="72"/>
      <c r="JEU175" s="72"/>
      <c r="JEV175" s="72"/>
      <c r="JEW175" s="72"/>
      <c r="JEX175" s="72"/>
      <c r="JEY175" s="72"/>
      <c r="JEZ175" s="72"/>
      <c r="JFA175" s="72"/>
      <c r="JFB175" s="72"/>
      <c r="JFC175" s="72"/>
      <c r="JFD175" s="72"/>
      <c r="JFE175" s="72"/>
      <c r="JFF175" s="72"/>
      <c r="JFG175" s="72"/>
      <c r="JFH175" s="72"/>
      <c r="JFI175" s="72"/>
      <c r="JFJ175" s="72"/>
      <c r="JFK175" s="72"/>
      <c r="JFL175" s="72"/>
      <c r="JFM175" s="72"/>
      <c r="JFN175" s="72"/>
      <c r="JFO175" s="72"/>
      <c r="JFP175" s="72"/>
      <c r="JFQ175" s="72"/>
      <c r="JFR175" s="72"/>
      <c r="JFS175" s="72"/>
      <c r="JFT175" s="72"/>
      <c r="JFU175" s="72"/>
      <c r="JFV175" s="72"/>
      <c r="JFW175" s="72"/>
      <c r="JFX175" s="72"/>
      <c r="JFY175" s="72"/>
      <c r="JFZ175" s="72"/>
      <c r="JGA175" s="72"/>
      <c r="JGB175" s="72"/>
      <c r="JGC175" s="72"/>
      <c r="JGD175" s="72"/>
      <c r="JGE175" s="72"/>
      <c r="JGF175" s="72"/>
      <c r="JGG175" s="72"/>
      <c r="JGH175" s="72"/>
      <c r="JGI175" s="72"/>
      <c r="JGJ175" s="72"/>
      <c r="JGK175" s="72"/>
      <c r="JGL175" s="72"/>
      <c r="JGM175" s="72"/>
      <c r="JGN175" s="72"/>
      <c r="JGO175" s="72"/>
      <c r="JGP175" s="72"/>
      <c r="JGQ175" s="72"/>
      <c r="JGR175" s="72"/>
      <c r="JGS175" s="72"/>
      <c r="JGT175" s="72"/>
      <c r="JGU175" s="72"/>
      <c r="JGV175" s="72"/>
      <c r="JGW175" s="72"/>
      <c r="JGX175" s="72"/>
      <c r="JGY175" s="72"/>
      <c r="JGZ175" s="72"/>
      <c r="JHA175" s="72"/>
      <c r="JHB175" s="72"/>
      <c r="JHC175" s="72"/>
      <c r="JHD175" s="72"/>
      <c r="JHE175" s="72"/>
      <c r="JHF175" s="72"/>
      <c r="JHG175" s="72"/>
      <c r="JHH175" s="72"/>
      <c r="JHI175" s="72"/>
      <c r="JHJ175" s="72"/>
      <c r="JHK175" s="72"/>
      <c r="JHL175" s="72"/>
      <c r="JHM175" s="72"/>
      <c r="JHN175" s="72"/>
      <c r="JHO175" s="72"/>
      <c r="JHP175" s="72"/>
      <c r="JHQ175" s="72"/>
      <c r="JHR175" s="72"/>
      <c r="JHS175" s="72"/>
      <c r="JHT175" s="72"/>
      <c r="JHU175" s="72"/>
      <c r="JHV175" s="72"/>
      <c r="JHW175" s="72"/>
      <c r="JHX175" s="72"/>
      <c r="JHY175" s="72"/>
      <c r="JHZ175" s="72"/>
      <c r="JIA175" s="72"/>
      <c r="JIB175" s="72"/>
      <c r="JIC175" s="72"/>
      <c r="JID175" s="72"/>
      <c r="JIE175" s="72"/>
      <c r="JIF175" s="72"/>
      <c r="JIG175" s="72"/>
      <c r="JIH175" s="72"/>
      <c r="JII175" s="72"/>
      <c r="JIJ175" s="72"/>
      <c r="JIK175" s="72"/>
      <c r="JIL175" s="72"/>
      <c r="JIM175" s="72"/>
      <c r="JIN175" s="72"/>
      <c r="JIO175" s="72"/>
      <c r="JIP175" s="72"/>
      <c r="JIQ175" s="72"/>
      <c r="JIR175" s="72"/>
      <c r="JIS175" s="72"/>
      <c r="JIT175" s="72"/>
      <c r="JIU175" s="72"/>
      <c r="JIV175" s="72"/>
      <c r="JIW175" s="72"/>
      <c r="JIX175" s="72"/>
      <c r="JIY175" s="72"/>
      <c r="JIZ175" s="72"/>
      <c r="JJA175" s="72"/>
      <c r="JJB175" s="72"/>
      <c r="JJC175" s="72"/>
      <c r="JJD175" s="72"/>
      <c r="JJE175" s="72"/>
      <c r="JJF175" s="72"/>
      <c r="JJG175" s="72"/>
      <c r="JJH175" s="72"/>
      <c r="JJI175" s="72"/>
      <c r="JJJ175" s="72"/>
      <c r="JJK175" s="72"/>
      <c r="JJL175" s="72"/>
      <c r="JJM175" s="72"/>
      <c r="JJN175" s="72"/>
      <c r="JJO175" s="72"/>
      <c r="JJP175" s="72"/>
      <c r="JJQ175" s="72"/>
      <c r="JJR175" s="72"/>
      <c r="JJS175" s="72"/>
      <c r="JJT175" s="72"/>
      <c r="JJU175" s="72"/>
      <c r="JJV175" s="72"/>
      <c r="JJW175" s="72"/>
      <c r="JJX175" s="72"/>
      <c r="JJY175" s="72"/>
      <c r="JJZ175" s="72"/>
      <c r="JKA175" s="72"/>
      <c r="JKB175" s="72"/>
      <c r="JKC175" s="72"/>
      <c r="JKD175" s="72"/>
      <c r="JKE175" s="72"/>
      <c r="JKF175" s="72"/>
      <c r="JKG175" s="72"/>
      <c r="JKH175" s="72"/>
      <c r="JKI175" s="72"/>
      <c r="JKJ175" s="72"/>
      <c r="JKK175" s="72"/>
      <c r="JKL175" s="72"/>
      <c r="JKM175" s="72"/>
      <c r="JKN175" s="72"/>
      <c r="JKO175" s="72"/>
      <c r="JKP175" s="72"/>
      <c r="JKQ175" s="72"/>
      <c r="JKR175" s="72"/>
      <c r="JKS175" s="72"/>
      <c r="JKT175" s="72"/>
      <c r="JKU175" s="72"/>
      <c r="JKV175" s="72"/>
      <c r="JKW175" s="72"/>
      <c r="JKX175" s="72"/>
      <c r="JKY175" s="72"/>
      <c r="JKZ175" s="72"/>
      <c r="JLA175" s="72"/>
      <c r="JLB175" s="72"/>
      <c r="JLC175" s="72"/>
      <c r="JLD175" s="72"/>
      <c r="JLE175" s="72"/>
      <c r="JLF175" s="72"/>
      <c r="JLG175" s="72"/>
      <c r="JLH175" s="72"/>
      <c r="JLI175" s="72"/>
      <c r="JLJ175" s="72"/>
      <c r="JLK175" s="72"/>
      <c r="JLL175" s="72"/>
      <c r="JLM175" s="72"/>
      <c r="JLN175" s="72"/>
      <c r="JLO175" s="72"/>
      <c r="JLP175" s="72"/>
      <c r="JLQ175" s="72"/>
      <c r="JLR175" s="72"/>
      <c r="JLS175" s="72"/>
      <c r="JLT175" s="72"/>
      <c r="JLU175" s="72"/>
      <c r="JLV175" s="72"/>
      <c r="JLW175" s="72"/>
      <c r="JLX175" s="72"/>
      <c r="JLY175" s="72"/>
      <c r="JLZ175" s="72"/>
      <c r="JMA175" s="72"/>
      <c r="JMB175" s="72"/>
      <c r="JMC175" s="72"/>
      <c r="JMD175" s="72"/>
      <c r="JME175" s="72"/>
      <c r="JMF175" s="72"/>
      <c r="JMG175" s="72"/>
      <c r="JMH175" s="72"/>
      <c r="JMI175" s="72"/>
      <c r="JMJ175" s="72"/>
      <c r="JMK175" s="72"/>
      <c r="JML175" s="72"/>
      <c r="JMM175" s="72"/>
      <c r="JMN175" s="72"/>
      <c r="JMO175" s="72"/>
      <c r="JMP175" s="72"/>
      <c r="JMQ175" s="72"/>
      <c r="JMR175" s="72"/>
      <c r="JMS175" s="72"/>
      <c r="JMT175" s="72"/>
      <c r="JMU175" s="72"/>
      <c r="JMV175" s="72"/>
      <c r="JMW175" s="72"/>
      <c r="JMX175" s="72"/>
      <c r="JMY175" s="72"/>
      <c r="JMZ175" s="72"/>
      <c r="JNA175" s="72"/>
      <c r="JNB175" s="72"/>
      <c r="JNC175" s="72"/>
      <c r="JND175" s="72"/>
      <c r="JNE175" s="72"/>
      <c r="JNF175" s="72"/>
      <c r="JNG175" s="72"/>
      <c r="JNH175" s="72"/>
      <c r="JNI175" s="72"/>
      <c r="JNJ175" s="72"/>
      <c r="JNK175" s="72"/>
      <c r="JNL175" s="72"/>
      <c r="JNM175" s="72"/>
      <c r="JNN175" s="72"/>
      <c r="JNO175" s="72"/>
      <c r="JNP175" s="72"/>
      <c r="JNQ175" s="72"/>
      <c r="JNR175" s="72"/>
      <c r="JNS175" s="72"/>
      <c r="JNT175" s="72"/>
      <c r="JNU175" s="72"/>
      <c r="JNV175" s="72"/>
      <c r="JNW175" s="72"/>
      <c r="JNX175" s="72"/>
      <c r="JNY175" s="72"/>
      <c r="JNZ175" s="72"/>
      <c r="JOA175" s="72"/>
      <c r="JOB175" s="72"/>
      <c r="JOC175" s="72"/>
      <c r="JOD175" s="72"/>
      <c r="JOE175" s="72"/>
      <c r="JOF175" s="72"/>
      <c r="JOG175" s="72"/>
      <c r="JOH175" s="72"/>
      <c r="JOI175" s="72"/>
      <c r="JOJ175" s="72"/>
      <c r="JOK175" s="72"/>
      <c r="JOL175" s="72"/>
      <c r="JOM175" s="72"/>
      <c r="JON175" s="72"/>
      <c r="JOO175" s="72"/>
      <c r="JOP175" s="72"/>
      <c r="JOQ175" s="72"/>
      <c r="JOR175" s="72"/>
      <c r="JOS175" s="72"/>
      <c r="JOT175" s="72"/>
      <c r="JOU175" s="72"/>
      <c r="JOV175" s="72"/>
      <c r="JOW175" s="72"/>
      <c r="JOX175" s="72"/>
      <c r="JOY175" s="72"/>
      <c r="JOZ175" s="72"/>
      <c r="JPA175" s="72"/>
      <c r="JPB175" s="72"/>
      <c r="JPC175" s="72"/>
      <c r="JPD175" s="72"/>
      <c r="JPE175" s="72"/>
      <c r="JPF175" s="72"/>
      <c r="JPG175" s="72"/>
      <c r="JPH175" s="72"/>
      <c r="JPI175" s="72"/>
      <c r="JPJ175" s="72"/>
      <c r="JPK175" s="72"/>
      <c r="JPL175" s="72"/>
      <c r="JPM175" s="72"/>
      <c r="JPN175" s="72"/>
      <c r="JPO175" s="72"/>
      <c r="JPP175" s="72"/>
      <c r="JPQ175" s="72"/>
      <c r="JPR175" s="72"/>
      <c r="JPS175" s="72"/>
      <c r="JPT175" s="72"/>
      <c r="JPU175" s="72"/>
      <c r="JPV175" s="72"/>
      <c r="JPW175" s="72"/>
      <c r="JPX175" s="72"/>
      <c r="JPY175" s="72"/>
      <c r="JPZ175" s="72"/>
      <c r="JQA175" s="72"/>
      <c r="JQB175" s="72"/>
      <c r="JQC175" s="72"/>
      <c r="JQD175" s="72"/>
      <c r="JQE175" s="72"/>
      <c r="JQF175" s="72"/>
      <c r="JQG175" s="72"/>
      <c r="JQH175" s="72"/>
      <c r="JQI175" s="72"/>
      <c r="JQJ175" s="72"/>
      <c r="JQK175" s="72"/>
      <c r="JQL175" s="72"/>
      <c r="JQM175" s="72"/>
      <c r="JQN175" s="72"/>
      <c r="JQO175" s="72"/>
      <c r="JQP175" s="72"/>
      <c r="JQQ175" s="72"/>
      <c r="JQR175" s="72"/>
      <c r="JQS175" s="72"/>
      <c r="JQT175" s="72"/>
      <c r="JQU175" s="72"/>
      <c r="JQV175" s="72"/>
      <c r="JQW175" s="72"/>
      <c r="JQX175" s="72"/>
      <c r="JQY175" s="72"/>
      <c r="JQZ175" s="72"/>
      <c r="JRA175" s="72"/>
      <c r="JRB175" s="72"/>
      <c r="JRC175" s="72"/>
      <c r="JRD175" s="72"/>
      <c r="JRE175" s="72"/>
      <c r="JRF175" s="72"/>
      <c r="JRG175" s="72"/>
      <c r="JRH175" s="72"/>
      <c r="JRI175" s="72"/>
      <c r="JRJ175" s="72"/>
      <c r="JRK175" s="72"/>
      <c r="JRL175" s="72"/>
      <c r="JRM175" s="72"/>
      <c r="JRN175" s="72"/>
      <c r="JRO175" s="72"/>
      <c r="JRP175" s="72"/>
      <c r="JRQ175" s="72"/>
      <c r="JRR175" s="72"/>
      <c r="JRS175" s="72"/>
      <c r="JRT175" s="72"/>
      <c r="JRU175" s="72"/>
      <c r="JRV175" s="72"/>
      <c r="JRW175" s="72"/>
      <c r="JRX175" s="72"/>
      <c r="JRY175" s="72"/>
      <c r="JRZ175" s="72"/>
      <c r="JSA175" s="72"/>
      <c r="JSB175" s="72"/>
      <c r="JSC175" s="72"/>
      <c r="JSD175" s="72"/>
      <c r="JSE175" s="72"/>
      <c r="JSF175" s="72"/>
      <c r="JSG175" s="72"/>
      <c r="JSH175" s="72"/>
      <c r="JSI175" s="72"/>
      <c r="JSJ175" s="72"/>
      <c r="JSK175" s="72"/>
      <c r="JSL175" s="72"/>
      <c r="JSM175" s="72"/>
      <c r="JSN175" s="72"/>
      <c r="JSO175" s="72"/>
      <c r="JSP175" s="72"/>
      <c r="JSQ175" s="72"/>
      <c r="JSR175" s="72"/>
      <c r="JSS175" s="72"/>
      <c r="JST175" s="72"/>
      <c r="JSU175" s="72"/>
      <c r="JSV175" s="72"/>
      <c r="JSW175" s="72"/>
      <c r="JSX175" s="72"/>
      <c r="JSY175" s="72"/>
      <c r="JSZ175" s="72"/>
      <c r="JTA175" s="72"/>
      <c r="JTB175" s="72"/>
      <c r="JTC175" s="72"/>
      <c r="JTD175" s="72"/>
      <c r="JTE175" s="72"/>
      <c r="JTF175" s="72"/>
      <c r="JTG175" s="72"/>
      <c r="JTH175" s="72"/>
      <c r="JTI175" s="72"/>
      <c r="JTJ175" s="72"/>
      <c r="JTK175" s="72"/>
      <c r="JTL175" s="72"/>
      <c r="JTM175" s="72"/>
      <c r="JTN175" s="72"/>
      <c r="JTO175" s="72"/>
      <c r="JTP175" s="72"/>
      <c r="JTQ175" s="72"/>
      <c r="JTR175" s="72"/>
      <c r="JTS175" s="72"/>
      <c r="JTT175" s="72"/>
      <c r="JTU175" s="72"/>
      <c r="JTV175" s="72"/>
      <c r="JTW175" s="72"/>
      <c r="JTX175" s="72"/>
      <c r="JTY175" s="72"/>
      <c r="JTZ175" s="72"/>
      <c r="JUA175" s="72"/>
      <c r="JUB175" s="72"/>
      <c r="JUC175" s="72"/>
      <c r="JUD175" s="72"/>
      <c r="JUE175" s="72"/>
      <c r="JUF175" s="72"/>
      <c r="JUG175" s="72"/>
      <c r="JUH175" s="72"/>
      <c r="JUI175" s="72"/>
      <c r="JUJ175" s="72"/>
      <c r="JUK175" s="72"/>
      <c r="JUL175" s="72"/>
      <c r="JUM175" s="72"/>
      <c r="JUN175" s="72"/>
      <c r="JUO175" s="72"/>
      <c r="JUP175" s="72"/>
      <c r="JUQ175" s="72"/>
      <c r="JUR175" s="72"/>
      <c r="JUS175" s="72"/>
      <c r="JUT175" s="72"/>
      <c r="JUU175" s="72"/>
      <c r="JUV175" s="72"/>
      <c r="JUW175" s="72"/>
      <c r="JUX175" s="72"/>
      <c r="JUY175" s="72"/>
      <c r="JUZ175" s="72"/>
      <c r="JVA175" s="72"/>
      <c r="JVB175" s="72"/>
      <c r="JVC175" s="72"/>
      <c r="JVD175" s="72"/>
      <c r="JVE175" s="72"/>
      <c r="JVF175" s="72"/>
      <c r="JVG175" s="72"/>
      <c r="JVH175" s="72"/>
      <c r="JVI175" s="72"/>
      <c r="JVJ175" s="72"/>
      <c r="JVK175" s="72"/>
      <c r="JVL175" s="72"/>
      <c r="JVM175" s="72"/>
      <c r="JVN175" s="72"/>
      <c r="JVO175" s="72"/>
      <c r="JVP175" s="72"/>
      <c r="JVQ175" s="72"/>
      <c r="JVR175" s="72"/>
      <c r="JVS175" s="72"/>
      <c r="JVT175" s="72"/>
      <c r="JVU175" s="72"/>
      <c r="JVV175" s="72"/>
      <c r="JVW175" s="72"/>
      <c r="JVX175" s="72"/>
      <c r="JVY175" s="72"/>
      <c r="JVZ175" s="72"/>
      <c r="JWA175" s="72"/>
      <c r="JWB175" s="72"/>
      <c r="JWC175" s="72"/>
      <c r="JWD175" s="72"/>
      <c r="JWE175" s="72"/>
      <c r="JWF175" s="72"/>
      <c r="JWG175" s="72"/>
      <c r="JWH175" s="72"/>
      <c r="JWI175" s="72"/>
      <c r="JWJ175" s="72"/>
      <c r="JWK175" s="72"/>
      <c r="JWL175" s="72"/>
      <c r="JWM175" s="72"/>
      <c r="JWN175" s="72"/>
      <c r="JWO175" s="72"/>
      <c r="JWP175" s="72"/>
      <c r="JWQ175" s="72"/>
      <c r="JWR175" s="72"/>
      <c r="JWS175" s="72"/>
      <c r="JWT175" s="72"/>
      <c r="JWU175" s="72"/>
      <c r="JWV175" s="72"/>
      <c r="JWW175" s="72"/>
      <c r="JWX175" s="72"/>
      <c r="JWY175" s="72"/>
      <c r="JWZ175" s="72"/>
      <c r="JXA175" s="72"/>
      <c r="JXB175" s="72"/>
      <c r="JXC175" s="72"/>
      <c r="JXD175" s="72"/>
      <c r="JXE175" s="72"/>
      <c r="JXF175" s="72"/>
      <c r="JXG175" s="72"/>
      <c r="JXH175" s="72"/>
      <c r="JXI175" s="72"/>
      <c r="JXJ175" s="72"/>
      <c r="JXK175" s="72"/>
      <c r="JXL175" s="72"/>
      <c r="JXM175" s="72"/>
      <c r="JXN175" s="72"/>
      <c r="JXO175" s="72"/>
      <c r="JXP175" s="72"/>
      <c r="JXQ175" s="72"/>
      <c r="JXR175" s="72"/>
      <c r="JXS175" s="72"/>
      <c r="JXT175" s="72"/>
      <c r="JXU175" s="72"/>
      <c r="JXV175" s="72"/>
      <c r="JXW175" s="72"/>
      <c r="JXX175" s="72"/>
      <c r="JXY175" s="72"/>
      <c r="JXZ175" s="72"/>
      <c r="JYA175" s="72"/>
      <c r="JYB175" s="72"/>
      <c r="JYC175" s="72"/>
      <c r="JYD175" s="72"/>
      <c r="JYE175" s="72"/>
      <c r="JYF175" s="72"/>
      <c r="JYG175" s="72"/>
      <c r="JYH175" s="72"/>
      <c r="JYI175" s="72"/>
      <c r="JYJ175" s="72"/>
      <c r="JYK175" s="72"/>
      <c r="JYL175" s="72"/>
      <c r="JYM175" s="72"/>
      <c r="JYN175" s="72"/>
      <c r="JYO175" s="72"/>
      <c r="JYP175" s="72"/>
      <c r="JYQ175" s="72"/>
      <c r="JYR175" s="72"/>
      <c r="JYS175" s="72"/>
      <c r="JYT175" s="72"/>
      <c r="JYU175" s="72"/>
      <c r="JYV175" s="72"/>
      <c r="JYW175" s="72"/>
      <c r="JYX175" s="72"/>
      <c r="JYY175" s="72"/>
      <c r="JYZ175" s="72"/>
      <c r="JZA175" s="72"/>
      <c r="JZB175" s="72"/>
      <c r="JZC175" s="72"/>
      <c r="JZD175" s="72"/>
      <c r="JZE175" s="72"/>
      <c r="JZF175" s="72"/>
      <c r="JZG175" s="72"/>
      <c r="JZH175" s="72"/>
      <c r="JZI175" s="72"/>
      <c r="JZJ175" s="72"/>
      <c r="JZK175" s="72"/>
      <c r="JZL175" s="72"/>
      <c r="JZM175" s="72"/>
      <c r="JZN175" s="72"/>
      <c r="JZO175" s="72"/>
      <c r="JZP175" s="72"/>
      <c r="JZQ175" s="72"/>
      <c r="JZR175" s="72"/>
      <c r="JZS175" s="72"/>
      <c r="JZT175" s="72"/>
      <c r="JZU175" s="72"/>
      <c r="JZV175" s="72"/>
      <c r="JZW175" s="72"/>
      <c r="JZX175" s="72"/>
      <c r="JZY175" s="72"/>
      <c r="JZZ175" s="72"/>
      <c r="KAA175" s="72"/>
      <c r="KAB175" s="72"/>
      <c r="KAC175" s="72"/>
      <c r="KAD175" s="72"/>
      <c r="KAE175" s="72"/>
      <c r="KAF175" s="72"/>
      <c r="KAG175" s="72"/>
      <c r="KAH175" s="72"/>
      <c r="KAI175" s="72"/>
      <c r="KAJ175" s="72"/>
      <c r="KAK175" s="72"/>
      <c r="KAL175" s="72"/>
      <c r="KAM175" s="72"/>
      <c r="KAN175" s="72"/>
      <c r="KAO175" s="72"/>
      <c r="KAP175" s="72"/>
      <c r="KAQ175" s="72"/>
      <c r="KAR175" s="72"/>
      <c r="KAS175" s="72"/>
      <c r="KAT175" s="72"/>
      <c r="KAU175" s="72"/>
      <c r="KAV175" s="72"/>
      <c r="KAW175" s="72"/>
      <c r="KAX175" s="72"/>
      <c r="KAY175" s="72"/>
      <c r="KAZ175" s="72"/>
      <c r="KBA175" s="72"/>
      <c r="KBB175" s="72"/>
      <c r="KBC175" s="72"/>
      <c r="KBD175" s="72"/>
      <c r="KBE175" s="72"/>
      <c r="KBF175" s="72"/>
      <c r="KBG175" s="72"/>
      <c r="KBH175" s="72"/>
      <c r="KBI175" s="72"/>
      <c r="KBJ175" s="72"/>
      <c r="KBK175" s="72"/>
      <c r="KBL175" s="72"/>
      <c r="KBM175" s="72"/>
      <c r="KBN175" s="72"/>
      <c r="KBO175" s="72"/>
      <c r="KBP175" s="72"/>
      <c r="KBQ175" s="72"/>
      <c r="KBR175" s="72"/>
      <c r="KBS175" s="72"/>
      <c r="KBT175" s="72"/>
      <c r="KBU175" s="72"/>
      <c r="KBV175" s="72"/>
      <c r="KBW175" s="72"/>
      <c r="KBX175" s="72"/>
      <c r="KBY175" s="72"/>
      <c r="KBZ175" s="72"/>
      <c r="KCA175" s="72"/>
      <c r="KCB175" s="72"/>
      <c r="KCC175" s="72"/>
      <c r="KCD175" s="72"/>
      <c r="KCE175" s="72"/>
      <c r="KCF175" s="72"/>
      <c r="KCG175" s="72"/>
      <c r="KCH175" s="72"/>
      <c r="KCI175" s="72"/>
      <c r="KCJ175" s="72"/>
      <c r="KCK175" s="72"/>
      <c r="KCL175" s="72"/>
      <c r="KCM175" s="72"/>
      <c r="KCN175" s="72"/>
      <c r="KCO175" s="72"/>
      <c r="KCP175" s="72"/>
      <c r="KCQ175" s="72"/>
      <c r="KCR175" s="72"/>
      <c r="KCS175" s="72"/>
      <c r="KCT175" s="72"/>
      <c r="KCU175" s="72"/>
      <c r="KCV175" s="72"/>
      <c r="KCW175" s="72"/>
      <c r="KCX175" s="72"/>
      <c r="KCY175" s="72"/>
      <c r="KCZ175" s="72"/>
      <c r="KDA175" s="72"/>
      <c r="KDB175" s="72"/>
      <c r="KDC175" s="72"/>
      <c r="KDD175" s="72"/>
      <c r="KDE175" s="72"/>
      <c r="KDF175" s="72"/>
      <c r="KDG175" s="72"/>
      <c r="KDH175" s="72"/>
      <c r="KDI175" s="72"/>
      <c r="KDJ175" s="72"/>
      <c r="KDK175" s="72"/>
      <c r="KDL175" s="72"/>
      <c r="KDM175" s="72"/>
      <c r="KDN175" s="72"/>
      <c r="KDO175" s="72"/>
      <c r="KDP175" s="72"/>
      <c r="KDQ175" s="72"/>
      <c r="KDR175" s="72"/>
      <c r="KDS175" s="72"/>
      <c r="KDT175" s="72"/>
      <c r="KDU175" s="72"/>
      <c r="KDV175" s="72"/>
      <c r="KDW175" s="72"/>
      <c r="KDX175" s="72"/>
      <c r="KDY175" s="72"/>
      <c r="KDZ175" s="72"/>
      <c r="KEA175" s="72"/>
      <c r="KEB175" s="72"/>
      <c r="KEC175" s="72"/>
      <c r="KED175" s="72"/>
      <c r="KEE175" s="72"/>
      <c r="KEF175" s="72"/>
      <c r="KEG175" s="72"/>
      <c r="KEH175" s="72"/>
      <c r="KEI175" s="72"/>
      <c r="KEJ175" s="72"/>
      <c r="KEK175" s="72"/>
      <c r="KEL175" s="72"/>
      <c r="KEM175" s="72"/>
      <c r="KEN175" s="72"/>
      <c r="KEO175" s="72"/>
      <c r="KEP175" s="72"/>
      <c r="KEQ175" s="72"/>
      <c r="KER175" s="72"/>
      <c r="KES175" s="72"/>
      <c r="KET175" s="72"/>
      <c r="KEU175" s="72"/>
      <c r="KEV175" s="72"/>
      <c r="KEW175" s="72"/>
      <c r="KEX175" s="72"/>
      <c r="KEY175" s="72"/>
      <c r="KEZ175" s="72"/>
      <c r="KFA175" s="72"/>
      <c r="KFB175" s="72"/>
      <c r="KFC175" s="72"/>
      <c r="KFD175" s="72"/>
      <c r="KFE175" s="72"/>
      <c r="KFF175" s="72"/>
      <c r="KFG175" s="72"/>
      <c r="KFH175" s="72"/>
      <c r="KFI175" s="72"/>
      <c r="KFJ175" s="72"/>
      <c r="KFK175" s="72"/>
      <c r="KFL175" s="72"/>
      <c r="KFM175" s="72"/>
      <c r="KFN175" s="72"/>
      <c r="KFO175" s="72"/>
      <c r="KFP175" s="72"/>
      <c r="KFQ175" s="72"/>
      <c r="KFR175" s="72"/>
      <c r="KFS175" s="72"/>
      <c r="KFT175" s="72"/>
      <c r="KFU175" s="72"/>
      <c r="KFV175" s="72"/>
      <c r="KFW175" s="72"/>
      <c r="KFX175" s="72"/>
      <c r="KFY175" s="72"/>
      <c r="KFZ175" s="72"/>
      <c r="KGA175" s="72"/>
      <c r="KGB175" s="72"/>
      <c r="KGC175" s="72"/>
      <c r="KGD175" s="72"/>
      <c r="KGE175" s="72"/>
      <c r="KGF175" s="72"/>
      <c r="KGG175" s="72"/>
      <c r="KGH175" s="72"/>
      <c r="KGI175" s="72"/>
      <c r="KGJ175" s="72"/>
      <c r="KGK175" s="72"/>
      <c r="KGL175" s="72"/>
      <c r="KGM175" s="72"/>
      <c r="KGN175" s="72"/>
      <c r="KGO175" s="72"/>
      <c r="KGP175" s="72"/>
      <c r="KGQ175" s="72"/>
      <c r="KGR175" s="72"/>
      <c r="KGS175" s="72"/>
      <c r="KGT175" s="72"/>
      <c r="KGU175" s="72"/>
      <c r="KGV175" s="72"/>
      <c r="KGW175" s="72"/>
      <c r="KGX175" s="72"/>
      <c r="KGY175" s="72"/>
      <c r="KGZ175" s="72"/>
      <c r="KHA175" s="72"/>
      <c r="KHB175" s="72"/>
      <c r="KHC175" s="72"/>
      <c r="KHD175" s="72"/>
      <c r="KHE175" s="72"/>
      <c r="KHF175" s="72"/>
      <c r="KHG175" s="72"/>
      <c r="KHH175" s="72"/>
      <c r="KHI175" s="72"/>
      <c r="KHJ175" s="72"/>
      <c r="KHK175" s="72"/>
      <c r="KHL175" s="72"/>
      <c r="KHM175" s="72"/>
      <c r="KHN175" s="72"/>
      <c r="KHO175" s="72"/>
      <c r="KHP175" s="72"/>
      <c r="KHQ175" s="72"/>
      <c r="KHR175" s="72"/>
      <c r="KHS175" s="72"/>
      <c r="KHT175" s="72"/>
      <c r="KHU175" s="72"/>
      <c r="KHV175" s="72"/>
      <c r="KHW175" s="72"/>
      <c r="KHX175" s="72"/>
      <c r="KHY175" s="72"/>
      <c r="KHZ175" s="72"/>
      <c r="KIA175" s="72"/>
      <c r="KIB175" s="72"/>
      <c r="KIC175" s="72"/>
      <c r="KID175" s="72"/>
      <c r="KIE175" s="72"/>
      <c r="KIF175" s="72"/>
      <c r="KIG175" s="72"/>
      <c r="KIH175" s="72"/>
      <c r="KII175" s="72"/>
      <c r="KIJ175" s="72"/>
      <c r="KIK175" s="72"/>
      <c r="KIL175" s="72"/>
      <c r="KIM175" s="72"/>
      <c r="KIN175" s="72"/>
      <c r="KIO175" s="72"/>
      <c r="KIP175" s="72"/>
      <c r="KIQ175" s="72"/>
      <c r="KIR175" s="72"/>
      <c r="KIS175" s="72"/>
      <c r="KIT175" s="72"/>
      <c r="KIU175" s="72"/>
      <c r="KIV175" s="72"/>
      <c r="KIW175" s="72"/>
      <c r="KIX175" s="72"/>
      <c r="KIY175" s="72"/>
      <c r="KIZ175" s="72"/>
      <c r="KJA175" s="72"/>
      <c r="KJB175" s="72"/>
      <c r="KJC175" s="72"/>
      <c r="KJD175" s="72"/>
      <c r="KJE175" s="72"/>
      <c r="KJF175" s="72"/>
      <c r="KJG175" s="72"/>
      <c r="KJH175" s="72"/>
      <c r="KJI175" s="72"/>
      <c r="KJJ175" s="72"/>
      <c r="KJK175" s="72"/>
      <c r="KJL175" s="72"/>
      <c r="KJM175" s="72"/>
      <c r="KJN175" s="72"/>
      <c r="KJO175" s="72"/>
      <c r="KJP175" s="72"/>
      <c r="KJQ175" s="72"/>
      <c r="KJR175" s="72"/>
      <c r="KJS175" s="72"/>
      <c r="KJT175" s="72"/>
      <c r="KJU175" s="72"/>
      <c r="KJV175" s="72"/>
      <c r="KJW175" s="72"/>
      <c r="KJX175" s="72"/>
      <c r="KJY175" s="72"/>
      <c r="KJZ175" s="72"/>
      <c r="KKA175" s="72"/>
      <c r="KKB175" s="72"/>
      <c r="KKC175" s="72"/>
      <c r="KKD175" s="72"/>
      <c r="KKE175" s="72"/>
      <c r="KKF175" s="72"/>
      <c r="KKG175" s="72"/>
      <c r="KKH175" s="72"/>
      <c r="KKI175" s="72"/>
      <c r="KKJ175" s="72"/>
      <c r="KKK175" s="72"/>
      <c r="KKL175" s="72"/>
      <c r="KKM175" s="72"/>
      <c r="KKN175" s="72"/>
      <c r="KKO175" s="72"/>
      <c r="KKP175" s="72"/>
      <c r="KKQ175" s="72"/>
      <c r="KKR175" s="72"/>
      <c r="KKS175" s="72"/>
      <c r="KKT175" s="72"/>
      <c r="KKU175" s="72"/>
      <c r="KKV175" s="72"/>
      <c r="KKW175" s="72"/>
      <c r="KKX175" s="72"/>
      <c r="KKY175" s="72"/>
      <c r="KKZ175" s="72"/>
      <c r="KLA175" s="72"/>
      <c r="KLB175" s="72"/>
      <c r="KLC175" s="72"/>
      <c r="KLD175" s="72"/>
      <c r="KLE175" s="72"/>
      <c r="KLF175" s="72"/>
      <c r="KLG175" s="72"/>
      <c r="KLH175" s="72"/>
      <c r="KLI175" s="72"/>
      <c r="KLJ175" s="72"/>
      <c r="KLK175" s="72"/>
      <c r="KLL175" s="72"/>
      <c r="KLM175" s="72"/>
      <c r="KLN175" s="72"/>
      <c r="KLO175" s="72"/>
      <c r="KLP175" s="72"/>
      <c r="KLQ175" s="72"/>
      <c r="KLR175" s="72"/>
      <c r="KLS175" s="72"/>
      <c r="KLT175" s="72"/>
      <c r="KLU175" s="72"/>
      <c r="KLV175" s="72"/>
      <c r="KLW175" s="72"/>
      <c r="KLX175" s="72"/>
      <c r="KLY175" s="72"/>
      <c r="KLZ175" s="72"/>
      <c r="KMA175" s="72"/>
      <c r="KMB175" s="72"/>
      <c r="KMC175" s="72"/>
      <c r="KMD175" s="72"/>
      <c r="KME175" s="72"/>
      <c r="KMF175" s="72"/>
      <c r="KMG175" s="72"/>
      <c r="KMH175" s="72"/>
      <c r="KMI175" s="72"/>
      <c r="KMJ175" s="72"/>
      <c r="KMK175" s="72"/>
      <c r="KML175" s="72"/>
      <c r="KMM175" s="72"/>
      <c r="KMN175" s="72"/>
      <c r="KMO175" s="72"/>
      <c r="KMP175" s="72"/>
      <c r="KMQ175" s="72"/>
      <c r="KMR175" s="72"/>
      <c r="KMS175" s="72"/>
      <c r="KMT175" s="72"/>
      <c r="KMU175" s="72"/>
      <c r="KMV175" s="72"/>
      <c r="KMW175" s="72"/>
      <c r="KMX175" s="72"/>
      <c r="KMY175" s="72"/>
      <c r="KMZ175" s="72"/>
      <c r="KNA175" s="72"/>
      <c r="KNB175" s="72"/>
      <c r="KNC175" s="72"/>
      <c r="KND175" s="72"/>
      <c r="KNE175" s="72"/>
      <c r="KNF175" s="72"/>
      <c r="KNG175" s="72"/>
      <c r="KNH175" s="72"/>
      <c r="KNI175" s="72"/>
      <c r="KNJ175" s="72"/>
      <c r="KNK175" s="72"/>
      <c r="KNL175" s="72"/>
      <c r="KNM175" s="72"/>
      <c r="KNN175" s="72"/>
      <c r="KNO175" s="72"/>
      <c r="KNP175" s="72"/>
      <c r="KNQ175" s="72"/>
      <c r="KNR175" s="72"/>
      <c r="KNS175" s="72"/>
      <c r="KNT175" s="72"/>
      <c r="KNU175" s="72"/>
      <c r="KNV175" s="72"/>
      <c r="KNW175" s="72"/>
      <c r="KNX175" s="72"/>
      <c r="KNY175" s="72"/>
      <c r="KNZ175" s="72"/>
      <c r="KOA175" s="72"/>
      <c r="KOB175" s="72"/>
      <c r="KOC175" s="72"/>
      <c r="KOD175" s="72"/>
      <c r="KOE175" s="72"/>
      <c r="KOF175" s="72"/>
      <c r="KOG175" s="72"/>
      <c r="KOH175" s="72"/>
      <c r="KOI175" s="72"/>
      <c r="KOJ175" s="72"/>
      <c r="KOK175" s="72"/>
      <c r="KOL175" s="72"/>
      <c r="KOM175" s="72"/>
      <c r="KON175" s="72"/>
      <c r="KOO175" s="72"/>
      <c r="KOP175" s="72"/>
      <c r="KOQ175" s="72"/>
      <c r="KOR175" s="72"/>
      <c r="KOS175" s="72"/>
      <c r="KOT175" s="72"/>
      <c r="KOU175" s="72"/>
      <c r="KOV175" s="72"/>
      <c r="KOW175" s="72"/>
      <c r="KOX175" s="72"/>
      <c r="KOY175" s="72"/>
      <c r="KOZ175" s="72"/>
      <c r="KPA175" s="72"/>
      <c r="KPB175" s="72"/>
      <c r="KPC175" s="72"/>
      <c r="KPD175" s="72"/>
      <c r="KPE175" s="72"/>
      <c r="KPF175" s="72"/>
      <c r="KPG175" s="72"/>
      <c r="KPH175" s="72"/>
      <c r="KPI175" s="72"/>
      <c r="KPJ175" s="72"/>
      <c r="KPK175" s="72"/>
      <c r="KPL175" s="72"/>
      <c r="KPM175" s="72"/>
      <c r="KPN175" s="72"/>
      <c r="KPO175" s="72"/>
      <c r="KPP175" s="72"/>
      <c r="KPQ175" s="72"/>
      <c r="KPR175" s="72"/>
      <c r="KPS175" s="72"/>
      <c r="KPT175" s="72"/>
      <c r="KPU175" s="72"/>
      <c r="KPV175" s="72"/>
      <c r="KPW175" s="72"/>
      <c r="KPX175" s="72"/>
      <c r="KPY175" s="72"/>
      <c r="KPZ175" s="72"/>
      <c r="KQA175" s="72"/>
      <c r="KQB175" s="72"/>
      <c r="KQC175" s="72"/>
      <c r="KQD175" s="72"/>
      <c r="KQE175" s="72"/>
      <c r="KQF175" s="72"/>
      <c r="KQG175" s="72"/>
      <c r="KQH175" s="72"/>
      <c r="KQI175" s="72"/>
      <c r="KQJ175" s="72"/>
      <c r="KQK175" s="72"/>
      <c r="KQL175" s="72"/>
      <c r="KQM175" s="72"/>
      <c r="KQN175" s="72"/>
      <c r="KQO175" s="72"/>
      <c r="KQP175" s="72"/>
      <c r="KQQ175" s="72"/>
      <c r="KQR175" s="72"/>
      <c r="KQS175" s="72"/>
      <c r="KQT175" s="72"/>
      <c r="KQU175" s="72"/>
      <c r="KQV175" s="72"/>
      <c r="KQW175" s="72"/>
      <c r="KQX175" s="72"/>
      <c r="KQY175" s="72"/>
      <c r="KQZ175" s="72"/>
      <c r="KRA175" s="72"/>
      <c r="KRB175" s="72"/>
      <c r="KRC175" s="72"/>
      <c r="KRD175" s="72"/>
      <c r="KRE175" s="72"/>
      <c r="KRF175" s="72"/>
      <c r="KRG175" s="72"/>
      <c r="KRH175" s="72"/>
      <c r="KRI175" s="72"/>
      <c r="KRJ175" s="72"/>
      <c r="KRK175" s="72"/>
      <c r="KRL175" s="72"/>
      <c r="KRM175" s="72"/>
      <c r="KRN175" s="72"/>
      <c r="KRO175" s="72"/>
      <c r="KRP175" s="72"/>
      <c r="KRQ175" s="72"/>
      <c r="KRR175" s="72"/>
      <c r="KRS175" s="72"/>
      <c r="KRT175" s="72"/>
      <c r="KRU175" s="72"/>
      <c r="KRV175" s="72"/>
      <c r="KRW175" s="72"/>
      <c r="KRX175" s="72"/>
      <c r="KRY175" s="72"/>
      <c r="KRZ175" s="72"/>
      <c r="KSA175" s="72"/>
      <c r="KSB175" s="72"/>
      <c r="KSC175" s="72"/>
      <c r="KSD175" s="72"/>
      <c r="KSE175" s="72"/>
      <c r="KSF175" s="72"/>
      <c r="KSG175" s="72"/>
      <c r="KSH175" s="72"/>
      <c r="KSI175" s="72"/>
      <c r="KSJ175" s="72"/>
      <c r="KSK175" s="72"/>
      <c r="KSL175" s="72"/>
      <c r="KSM175" s="72"/>
      <c r="KSN175" s="72"/>
      <c r="KSO175" s="72"/>
      <c r="KSP175" s="72"/>
      <c r="KSQ175" s="72"/>
      <c r="KSR175" s="72"/>
      <c r="KSS175" s="72"/>
      <c r="KST175" s="72"/>
      <c r="KSU175" s="72"/>
      <c r="KSV175" s="72"/>
      <c r="KSW175" s="72"/>
      <c r="KSX175" s="72"/>
      <c r="KSY175" s="72"/>
      <c r="KSZ175" s="72"/>
      <c r="KTA175" s="72"/>
      <c r="KTB175" s="72"/>
      <c r="KTC175" s="72"/>
      <c r="KTD175" s="72"/>
      <c r="KTE175" s="72"/>
      <c r="KTF175" s="72"/>
      <c r="KTG175" s="72"/>
      <c r="KTH175" s="72"/>
      <c r="KTI175" s="72"/>
      <c r="KTJ175" s="72"/>
      <c r="KTK175" s="72"/>
      <c r="KTL175" s="72"/>
      <c r="KTM175" s="72"/>
      <c r="KTN175" s="72"/>
      <c r="KTO175" s="72"/>
      <c r="KTP175" s="72"/>
      <c r="KTQ175" s="72"/>
      <c r="KTR175" s="72"/>
      <c r="KTS175" s="72"/>
      <c r="KTT175" s="72"/>
      <c r="KTU175" s="72"/>
      <c r="KTV175" s="72"/>
      <c r="KTW175" s="72"/>
      <c r="KTX175" s="72"/>
      <c r="KTY175" s="72"/>
      <c r="KTZ175" s="72"/>
      <c r="KUA175" s="72"/>
      <c r="KUB175" s="72"/>
      <c r="KUC175" s="72"/>
      <c r="KUD175" s="72"/>
      <c r="KUE175" s="72"/>
      <c r="KUF175" s="72"/>
      <c r="KUG175" s="72"/>
      <c r="KUH175" s="72"/>
      <c r="KUI175" s="72"/>
      <c r="KUJ175" s="72"/>
      <c r="KUK175" s="72"/>
      <c r="KUL175" s="72"/>
      <c r="KUM175" s="72"/>
      <c r="KUN175" s="72"/>
      <c r="KUO175" s="72"/>
      <c r="KUP175" s="72"/>
      <c r="KUQ175" s="72"/>
      <c r="KUR175" s="72"/>
      <c r="KUS175" s="72"/>
      <c r="KUT175" s="72"/>
      <c r="KUU175" s="72"/>
      <c r="KUV175" s="72"/>
      <c r="KUW175" s="72"/>
      <c r="KUX175" s="72"/>
      <c r="KUY175" s="72"/>
      <c r="KUZ175" s="72"/>
      <c r="KVA175" s="72"/>
      <c r="KVB175" s="72"/>
      <c r="KVC175" s="72"/>
      <c r="KVD175" s="72"/>
      <c r="KVE175" s="72"/>
      <c r="KVF175" s="72"/>
      <c r="KVG175" s="72"/>
      <c r="KVH175" s="72"/>
      <c r="KVI175" s="72"/>
      <c r="KVJ175" s="72"/>
      <c r="KVK175" s="72"/>
      <c r="KVL175" s="72"/>
      <c r="KVM175" s="72"/>
      <c r="KVN175" s="72"/>
      <c r="KVO175" s="72"/>
      <c r="KVP175" s="72"/>
      <c r="KVQ175" s="72"/>
      <c r="KVR175" s="72"/>
      <c r="KVS175" s="72"/>
      <c r="KVT175" s="72"/>
      <c r="KVU175" s="72"/>
      <c r="KVV175" s="72"/>
      <c r="KVW175" s="72"/>
      <c r="KVX175" s="72"/>
      <c r="KVY175" s="72"/>
      <c r="KVZ175" s="72"/>
      <c r="KWA175" s="72"/>
      <c r="KWB175" s="72"/>
      <c r="KWC175" s="72"/>
      <c r="KWD175" s="72"/>
      <c r="KWE175" s="72"/>
      <c r="KWF175" s="72"/>
      <c r="KWG175" s="72"/>
      <c r="KWH175" s="72"/>
      <c r="KWI175" s="72"/>
      <c r="KWJ175" s="72"/>
      <c r="KWK175" s="72"/>
      <c r="KWL175" s="72"/>
      <c r="KWM175" s="72"/>
      <c r="KWN175" s="72"/>
      <c r="KWO175" s="72"/>
      <c r="KWP175" s="72"/>
      <c r="KWQ175" s="72"/>
      <c r="KWR175" s="72"/>
      <c r="KWS175" s="72"/>
      <c r="KWT175" s="72"/>
      <c r="KWU175" s="72"/>
      <c r="KWV175" s="72"/>
      <c r="KWW175" s="72"/>
      <c r="KWX175" s="72"/>
      <c r="KWY175" s="72"/>
      <c r="KWZ175" s="72"/>
      <c r="KXA175" s="72"/>
      <c r="KXB175" s="72"/>
      <c r="KXC175" s="72"/>
      <c r="KXD175" s="72"/>
      <c r="KXE175" s="72"/>
      <c r="KXF175" s="72"/>
      <c r="KXG175" s="72"/>
      <c r="KXH175" s="72"/>
      <c r="KXI175" s="72"/>
      <c r="KXJ175" s="72"/>
      <c r="KXK175" s="72"/>
      <c r="KXL175" s="72"/>
      <c r="KXM175" s="72"/>
      <c r="KXN175" s="72"/>
      <c r="KXO175" s="72"/>
      <c r="KXP175" s="72"/>
      <c r="KXQ175" s="72"/>
      <c r="KXR175" s="72"/>
      <c r="KXS175" s="72"/>
      <c r="KXT175" s="72"/>
      <c r="KXU175" s="72"/>
      <c r="KXV175" s="72"/>
      <c r="KXW175" s="72"/>
      <c r="KXX175" s="72"/>
      <c r="KXY175" s="72"/>
      <c r="KXZ175" s="72"/>
      <c r="KYA175" s="72"/>
      <c r="KYB175" s="72"/>
      <c r="KYC175" s="72"/>
      <c r="KYD175" s="72"/>
      <c r="KYE175" s="72"/>
      <c r="KYF175" s="72"/>
      <c r="KYG175" s="72"/>
      <c r="KYH175" s="72"/>
      <c r="KYI175" s="72"/>
      <c r="KYJ175" s="72"/>
      <c r="KYK175" s="72"/>
      <c r="KYL175" s="72"/>
      <c r="KYM175" s="72"/>
      <c r="KYN175" s="72"/>
      <c r="KYO175" s="72"/>
      <c r="KYP175" s="72"/>
      <c r="KYQ175" s="72"/>
      <c r="KYR175" s="72"/>
      <c r="KYS175" s="72"/>
      <c r="KYT175" s="72"/>
      <c r="KYU175" s="72"/>
      <c r="KYV175" s="72"/>
      <c r="KYW175" s="72"/>
      <c r="KYX175" s="72"/>
      <c r="KYY175" s="72"/>
      <c r="KYZ175" s="72"/>
      <c r="KZA175" s="72"/>
      <c r="KZB175" s="72"/>
      <c r="KZC175" s="72"/>
      <c r="KZD175" s="72"/>
      <c r="KZE175" s="72"/>
      <c r="KZF175" s="72"/>
      <c r="KZG175" s="72"/>
      <c r="KZH175" s="72"/>
      <c r="KZI175" s="72"/>
      <c r="KZJ175" s="72"/>
      <c r="KZK175" s="72"/>
      <c r="KZL175" s="72"/>
      <c r="KZM175" s="72"/>
      <c r="KZN175" s="72"/>
      <c r="KZO175" s="72"/>
      <c r="KZP175" s="72"/>
      <c r="KZQ175" s="72"/>
      <c r="KZR175" s="72"/>
      <c r="KZS175" s="72"/>
      <c r="KZT175" s="72"/>
      <c r="KZU175" s="72"/>
      <c r="KZV175" s="72"/>
      <c r="KZW175" s="72"/>
      <c r="KZX175" s="72"/>
      <c r="KZY175" s="72"/>
      <c r="KZZ175" s="72"/>
      <c r="LAA175" s="72"/>
      <c r="LAB175" s="72"/>
      <c r="LAC175" s="72"/>
      <c r="LAD175" s="72"/>
      <c r="LAE175" s="72"/>
      <c r="LAF175" s="72"/>
      <c r="LAG175" s="72"/>
      <c r="LAH175" s="72"/>
      <c r="LAI175" s="72"/>
      <c r="LAJ175" s="72"/>
      <c r="LAK175" s="72"/>
      <c r="LAL175" s="72"/>
      <c r="LAM175" s="72"/>
      <c r="LAN175" s="72"/>
      <c r="LAO175" s="72"/>
      <c r="LAP175" s="72"/>
      <c r="LAQ175" s="72"/>
      <c r="LAR175" s="72"/>
      <c r="LAS175" s="72"/>
      <c r="LAT175" s="72"/>
      <c r="LAU175" s="72"/>
      <c r="LAV175" s="72"/>
      <c r="LAW175" s="72"/>
      <c r="LAX175" s="72"/>
      <c r="LAY175" s="72"/>
      <c r="LAZ175" s="72"/>
      <c r="LBA175" s="72"/>
      <c r="LBB175" s="72"/>
      <c r="LBC175" s="72"/>
      <c r="LBD175" s="72"/>
      <c r="LBE175" s="72"/>
      <c r="LBF175" s="72"/>
      <c r="LBG175" s="72"/>
      <c r="LBH175" s="72"/>
      <c r="LBI175" s="72"/>
      <c r="LBJ175" s="72"/>
      <c r="LBK175" s="72"/>
      <c r="LBL175" s="72"/>
      <c r="LBM175" s="72"/>
      <c r="LBN175" s="72"/>
      <c r="LBO175" s="72"/>
      <c r="LBP175" s="72"/>
      <c r="LBQ175" s="72"/>
      <c r="LBR175" s="72"/>
      <c r="LBS175" s="72"/>
      <c r="LBT175" s="72"/>
      <c r="LBU175" s="72"/>
      <c r="LBV175" s="72"/>
      <c r="LBW175" s="72"/>
      <c r="LBX175" s="72"/>
      <c r="LBY175" s="72"/>
      <c r="LBZ175" s="72"/>
      <c r="LCA175" s="72"/>
      <c r="LCB175" s="72"/>
      <c r="LCC175" s="72"/>
      <c r="LCD175" s="72"/>
      <c r="LCE175" s="72"/>
      <c r="LCF175" s="72"/>
      <c r="LCG175" s="72"/>
      <c r="LCH175" s="72"/>
      <c r="LCI175" s="72"/>
      <c r="LCJ175" s="72"/>
      <c r="LCK175" s="72"/>
      <c r="LCL175" s="72"/>
      <c r="LCM175" s="72"/>
      <c r="LCN175" s="72"/>
      <c r="LCO175" s="72"/>
      <c r="LCP175" s="72"/>
      <c r="LCQ175" s="72"/>
      <c r="LCR175" s="72"/>
      <c r="LCS175" s="72"/>
      <c r="LCT175" s="72"/>
      <c r="LCU175" s="72"/>
      <c r="LCV175" s="72"/>
      <c r="LCW175" s="72"/>
      <c r="LCX175" s="72"/>
      <c r="LCY175" s="72"/>
      <c r="LCZ175" s="72"/>
      <c r="LDA175" s="72"/>
      <c r="LDB175" s="72"/>
      <c r="LDC175" s="72"/>
      <c r="LDD175" s="72"/>
      <c r="LDE175" s="72"/>
      <c r="LDF175" s="72"/>
      <c r="LDG175" s="72"/>
      <c r="LDH175" s="72"/>
      <c r="LDI175" s="72"/>
      <c r="LDJ175" s="72"/>
      <c r="LDK175" s="72"/>
      <c r="LDL175" s="72"/>
      <c r="LDM175" s="72"/>
      <c r="LDN175" s="72"/>
      <c r="LDO175" s="72"/>
      <c r="LDP175" s="72"/>
      <c r="LDQ175" s="72"/>
      <c r="LDR175" s="72"/>
      <c r="LDS175" s="72"/>
      <c r="LDT175" s="72"/>
      <c r="LDU175" s="72"/>
      <c r="LDV175" s="72"/>
      <c r="LDW175" s="72"/>
      <c r="LDX175" s="72"/>
      <c r="LDY175" s="72"/>
      <c r="LDZ175" s="72"/>
      <c r="LEA175" s="72"/>
      <c r="LEB175" s="72"/>
      <c r="LEC175" s="72"/>
      <c r="LED175" s="72"/>
      <c r="LEE175" s="72"/>
      <c r="LEF175" s="72"/>
      <c r="LEG175" s="72"/>
      <c r="LEH175" s="72"/>
      <c r="LEI175" s="72"/>
      <c r="LEJ175" s="72"/>
      <c r="LEK175" s="72"/>
      <c r="LEL175" s="72"/>
      <c r="LEM175" s="72"/>
      <c r="LEN175" s="72"/>
      <c r="LEO175" s="72"/>
      <c r="LEP175" s="72"/>
      <c r="LEQ175" s="72"/>
      <c r="LER175" s="72"/>
      <c r="LES175" s="72"/>
      <c r="LET175" s="72"/>
      <c r="LEU175" s="72"/>
      <c r="LEV175" s="72"/>
      <c r="LEW175" s="72"/>
      <c r="LEX175" s="72"/>
      <c r="LEY175" s="72"/>
      <c r="LEZ175" s="72"/>
      <c r="LFA175" s="72"/>
      <c r="LFB175" s="72"/>
      <c r="LFC175" s="72"/>
      <c r="LFD175" s="72"/>
      <c r="LFE175" s="72"/>
      <c r="LFF175" s="72"/>
      <c r="LFG175" s="72"/>
      <c r="LFH175" s="72"/>
      <c r="LFI175" s="72"/>
      <c r="LFJ175" s="72"/>
      <c r="LFK175" s="72"/>
      <c r="LFL175" s="72"/>
      <c r="LFM175" s="72"/>
      <c r="LFN175" s="72"/>
      <c r="LFO175" s="72"/>
      <c r="LFP175" s="72"/>
      <c r="LFQ175" s="72"/>
      <c r="LFR175" s="72"/>
      <c r="LFS175" s="72"/>
      <c r="LFT175" s="72"/>
      <c r="LFU175" s="72"/>
      <c r="LFV175" s="72"/>
      <c r="LFW175" s="72"/>
      <c r="LFX175" s="72"/>
      <c r="LFY175" s="72"/>
      <c r="LFZ175" s="72"/>
      <c r="LGA175" s="72"/>
      <c r="LGB175" s="72"/>
      <c r="LGC175" s="72"/>
      <c r="LGD175" s="72"/>
      <c r="LGE175" s="72"/>
      <c r="LGF175" s="72"/>
      <c r="LGG175" s="72"/>
      <c r="LGH175" s="72"/>
      <c r="LGI175" s="72"/>
      <c r="LGJ175" s="72"/>
      <c r="LGK175" s="72"/>
      <c r="LGL175" s="72"/>
      <c r="LGM175" s="72"/>
      <c r="LGN175" s="72"/>
      <c r="LGO175" s="72"/>
      <c r="LGP175" s="72"/>
      <c r="LGQ175" s="72"/>
      <c r="LGR175" s="72"/>
      <c r="LGS175" s="72"/>
      <c r="LGT175" s="72"/>
      <c r="LGU175" s="72"/>
      <c r="LGV175" s="72"/>
      <c r="LGW175" s="72"/>
      <c r="LGX175" s="72"/>
      <c r="LGY175" s="72"/>
      <c r="LGZ175" s="72"/>
      <c r="LHA175" s="72"/>
      <c r="LHB175" s="72"/>
      <c r="LHC175" s="72"/>
      <c r="LHD175" s="72"/>
      <c r="LHE175" s="72"/>
      <c r="LHF175" s="72"/>
      <c r="LHG175" s="72"/>
      <c r="LHH175" s="72"/>
      <c r="LHI175" s="72"/>
      <c r="LHJ175" s="72"/>
      <c r="LHK175" s="72"/>
      <c r="LHL175" s="72"/>
      <c r="LHM175" s="72"/>
      <c r="LHN175" s="72"/>
      <c r="LHO175" s="72"/>
      <c r="LHP175" s="72"/>
      <c r="LHQ175" s="72"/>
      <c r="LHR175" s="72"/>
      <c r="LHS175" s="72"/>
      <c r="LHT175" s="72"/>
      <c r="LHU175" s="72"/>
      <c r="LHV175" s="72"/>
      <c r="LHW175" s="72"/>
      <c r="LHX175" s="72"/>
      <c r="LHY175" s="72"/>
      <c r="LHZ175" s="72"/>
      <c r="LIA175" s="72"/>
      <c r="LIB175" s="72"/>
      <c r="LIC175" s="72"/>
      <c r="LID175" s="72"/>
      <c r="LIE175" s="72"/>
      <c r="LIF175" s="72"/>
      <c r="LIG175" s="72"/>
      <c r="LIH175" s="72"/>
      <c r="LII175" s="72"/>
      <c r="LIJ175" s="72"/>
      <c r="LIK175" s="72"/>
      <c r="LIL175" s="72"/>
      <c r="LIM175" s="72"/>
      <c r="LIN175" s="72"/>
      <c r="LIO175" s="72"/>
      <c r="LIP175" s="72"/>
      <c r="LIQ175" s="72"/>
      <c r="LIR175" s="72"/>
      <c r="LIS175" s="72"/>
      <c r="LIT175" s="72"/>
      <c r="LIU175" s="72"/>
      <c r="LIV175" s="72"/>
      <c r="LIW175" s="72"/>
      <c r="LIX175" s="72"/>
      <c r="LIY175" s="72"/>
      <c r="LIZ175" s="72"/>
      <c r="LJA175" s="72"/>
      <c r="LJB175" s="72"/>
      <c r="LJC175" s="72"/>
      <c r="LJD175" s="72"/>
      <c r="LJE175" s="72"/>
      <c r="LJF175" s="72"/>
      <c r="LJG175" s="72"/>
      <c r="LJH175" s="72"/>
      <c r="LJI175" s="72"/>
      <c r="LJJ175" s="72"/>
      <c r="LJK175" s="72"/>
      <c r="LJL175" s="72"/>
      <c r="LJM175" s="72"/>
      <c r="LJN175" s="72"/>
      <c r="LJO175" s="72"/>
      <c r="LJP175" s="72"/>
      <c r="LJQ175" s="72"/>
      <c r="LJR175" s="72"/>
      <c r="LJS175" s="72"/>
      <c r="LJT175" s="72"/>
      <c r="LJU175" s="72"/>
      <c r="LJV175" s="72"/>
      <c r="LJW175" s="72"/>
      <c r="LJX175" s="72"/>
      <c r="LJY175" s="72"/>
      <c r="LJZ175" s="72"/>
      <c r="LKA175" s="72"/>
      <c r="LKB175" s="72"/>
      <c r="LKC175" s="72"/>
      <c r="LKD175" s="72"/>
      <c r="LKE175" s="72"/>
      <c r="LKF175" s="72"/>
      <c r="LKG175" s="72"/>
      <c r="LKH175" s="72"/>
      <c r="LKI175" s="72"/>
      <c r="LKJ175" s="72"/>
      <c r="LKK175" s="72"/>
      <c r="LKL175" s="72"/>
      <c r="LKM175" s="72"/>
      <c r="LKN175" s="72"/>
      <c r="LKO175" s="72"/>
      <c r="LKP175" s="72"/>
      <c r="LKQ175" s="72"/>
      <c r="LKR175" s="72"/>
      <c r="LKS175" s="72"/>
      <c r="LKT175" s="72"/>
      <c r="LKU175" s="72"/>
      <c r="LKV175" s="72"/>
      <c r="LKW175" s="72"/>
      <c r="LKX175" s="72"/>
      <c r="LKY175" s="72"/>
      <c r="LKZ175" s="72"/>
      <c r="LLA175" s="72"/>
      <c r="LLB175" s="72"/>
      <c r="LLC175" s="72"/>
      <c r="LLD175" s="72"/>
      <c r="LLE175" s="72"/>
      <c r="LLF175" s="72"/>
      <c r="LLG175" s="72"/>
      <c r="LLH175" s="72"/>
      <c r="LLI175" s="72"/>
      <c r="LLJ175" s="72"/>
      <c r="LLK175" s="72"/>
      <c r="LLL175" s="72"/>
      <c r="LLM175" s="72"/>
      <c r="LLN175" s="72"/>
      <c r="LLO175" s="72"/>
      <c r="LLP175" s="72"/>
      <c r="LLQ175" s="72"/>
      <c r="LLR175" s="72"/>
      <c r="LLS175" s="72"/>
      <c r="LLT175" s="72"/>
      <c r="LLU175" s="72"/>
      <c r="LLV175" s="72"/>
      <c r="LLW175" s="72"/>
      <c r="LLX175" s="72"/>
      <c r="LLY175" s="72"/>
      <c r="LLZ175" s="72"/>
      <c r="LMA175" s="72"/>
      <c r="LMB175" s="72"/>
      <c r="LMC175" s="72"/>
      <c r="LMD175" s="72"/>
      <c r="LME175" s="72"/>
      <c r="LMF175" s="72"/>
      <c r="LMG175" s="72"/>
      <c r="LMH175" s="72"/>
      <c r="LMI175" s="72"/>
      <c r="LMJ175" s="72"/>
      <c r="LMK175" s="72"/>
      <c r="LML175" s="72"/>
      <c r="LMM175" s="72"/>
      <c r="LMN175" s="72"/>
      <c r="LMO175" s="72"/>
      <c r="LMP175" s="72"/>
      <c r="LMQ175" s="72"/>
      <c r="LMR175" s="72"/>
      <c r="LMS175" s="72"/>
      <c r="LMT175" s="72"/>
      <c r="LMU175" s="72"/>
      <c r="LMV175" s="72"/>
      <c r="LMW175" s="72"/>
      <c r="LMX175" s="72"/>
      <c r="LMY175" s="72"/>
      <c r="LMZ175" s="72"/>
      <c r="LNA175" s="72"/>
      <c r="LNB175" s="72"/>
      <c r="LNC175" s="72"/>
      <c r="LND175" s="72"/>
      <c r="LNE175" s="72"/>
      <c r="LNF175" s="72"/>
      <c r="LNG175" s="72"/>
      <c r="LNH175" s="72"/>
      <c r="LNI175" s="72"/>
      <c r="LNJ175" s="72"/>
      <c r="LNK175" s="72"/>
      <c r="LNL175" s="72"/>
      <c r="LNM175" s="72"/>
      <c r="LNN175" s="72"/>
      <c r="LNO175" s="72"/>
      <c r="LNP175" s="72"/>
      <c r="LNQ175" s="72"/>
      <c r="LNR175" s="72"/>
      <c r="LNS175" s="72"/>
      <c r="LNT175" s="72"/>
      <c r="LNU175" s="72"/>
      <c r="LNV175" s="72"/>
      <c r="LNW175" s="72"/>
      <c r="LNX175" s="72"/>
      <c r="LNY175" s="72"/>
      <c r="LNZ175" s="72"/>
      <c r="LOA175" s="72"/>
      <c r="LOB175" s="72"/>
      <c r="LOC175" s="72"/>
      <c r="LOD175" s="72"/>
      <c r="LOE175" s="72"/>
      <c r="LOF175" s="72"/>
      <c r="LOG175" s="72"/>
      <c r="LOH175" s="72"/>
      <c r="LOI175" s="72"/>
      <c r="LOJ175" s="72"/>
      <c r="LOK175" s="72"/>
      <c r="LOL175" s="72"/>
      <c r="LOM175" s="72"/>
      <c r="LON175" s="72"/>
      <c r="LOO175" s="72"/>
      <c r="LOP175" s="72"/>
      <c r="LOQ175" s="72"/>
      <c r="LOR175" s="72"/>
      <c r="LOS175" s="72"/>
      <c r="LOT175" s="72"/>
      <c r="LOU175" s="72"/>
      <c r="LOV175" s="72"/>
      <c r="LOW175" s="72"/>
      <c r="LOX175" s="72"/>
      <c r="LOY175" s="72"/>
      <c r="LOZ175" s="72"/>
      <c r="LPA175" s="72"/>
      <c r="LPB175" s="72"/>
      <c r="LPC175" s="72"/>
      <c r="LPD175" s="72"/>
      <c r="LPE175" s="72"/>
      <c r="LPF175" s="72"/>
      <c r="LPG175" s="72"/>
      <c r="LPH175" s="72"/>
      <c r="LPI175" s="72"/>
      <c r="LPJ175" s="72"/>
      <c r="LPK175" s="72"/>
      <c r="LPL175" s="72"/>
      <c r="LPM175" s="72"/>
      <c r="LPN175" s="72"/>
      <c r="LPO175" s="72"/>
      <c r="LPP175" s="72"/>
      <c r="LPQ175" s="72"/>
      <c r="LPR175" s="72"/>
      <c r="LPS175" s="72"/>
      <c r="LPT175" s="72"/>
      <c r="LPU175" s="72"/>
      <c r="LPV175" s="72"/>
      <c r="LPW175" s="72"/>
      <c r="LPX175" s="72"/>
      <c r="LPY175" s="72"/>
      <c r="LPZ175" s="72"/>
      <c r="LQA175" s="72"/>
      <c r="LQB175" s="72"/>
      <c r="LQC175" s="72"/>
      <c r="LQD175" s="72"/>
      <c r="LQE175" s="72"/>
      <c r="LQF175" s="72"/>
      <c r="LQG175" s="72"/>
      <c r="LQH175" s="72"/>
      <c r="LQI175" s="72"/>
      <c r="LQJ175" s="72"/>
      <c r="LQK175" s="72"/>
      <c r="LQL175" s="72"/>
      <c r="LQM175" s="72"/>
      <c r="LQN175" s="72"/>
      <c r="LQO175" s="72"/>
      <c r="LQP175" s="72"/>
      <c r="LQQ175" s="72"/>
      <c r="LQR175" s="72"/>
      <c r="LQS175" s="72"/>
      <c r="LQT175" s="72"/>
      <c r="LQU175" s="72"/>
      <c r="LQV175" s="72"/>
      <c r="LQW175" s="72"/>
      <c r="LQX175" s="72"/>
      <c r="LQY175" s="72"/>
      <c r="LQZ175" s="72"/>
      <c r="LRA175" s="72"/>
      <c r="LRB175" s="72"/>
      <c r="LRC175" s="72"/>
      <c r="LRD175" s="72"/>
      <c r="LRE175" s="72"/>
      <c r="LRF175" s="72"/>
      <c r="LRG175" s="72"/>
      <c r="LRH175" s="72"/>
      <c r="LRI175" s="72"/>
      <c r="LRJ175" s="72"/>
      <c r="LRK175" s="72"/>
      <c r="LRL175" s="72"/>
      <c r="LRM175" s="72"/>
      <c r="LRN175" s="72"/>
      <c r="LRO175" s="72"/>
      <c r="LRP175" s="72"/>
      <c r="LRQ175" s="72"/>
      <c r="LRR175" s="72"/>
      <c r="LRS175" s="72"/>
      <c r="LRT175" s="72"/>
      <c r="LRU175" s="72"/>
      <c r="LRV175" s="72"/>
      <c r="LRW175" s="72"/>
      <c r="LRX175" s="72"/>
      <c r="LRY175" s="72"/>
      <c r="LRZ175" s="72"/>
      <c r="LSA175" s="72"/>
      <c r="LSB175" s="72"/>
      <c r="LSC175" s="72"/>
      <c r="LSD175" s="72"/>
      <c r="LSE175" s="72"/>
      <c r="LSF175" s="72"/>
      <c r="LSG175" s="72"/>
      <c r="LSH175" s="72"/>
      <c r="LSI175" s="72"/>
      <c r="LSJ175" s="72"/>
      <c r="LSK175" s="72"/>
      <c r="LSL175" s="72"/>
      <c r="LSM175" s="72"/>
      <c r="LSN175" s="72"/>
      <c r="LSO175" s="72"/>
      <c r="LSP175" s="72"/>
      <c r="LSQ175" s="72"/>
      <c r="LSR175" s="72"/>
      <c r="LSS175" s="72"/>
      <c r="LST175" s="72"/>
      <c r="LSU175" s="72"/>
      <c r="LSV175" s="72"/>
      <c r="LSW175" s="72"/>
      <c r="LSX175" s="72"/>
      <c r="LSY175" s="72"/>
      <c r="LSZ175" s="72"/>
      <c r="LTA175" s="72"/>
      <c r="LTB175" s="72"/>
      <c r="LTC175" s="72"/>
      <c r="LTD175" s="72"/>
      <c r="LTE175" s="72"/>
      <c r="LTF175" s="72"/>
      <c r="LTG175" s="72"/>
      <c r="LTH175" s="72"/>
      <c r="LTI175" s="72"/>
      <c r="LTJ175" s="72"/>
      <c r="LTK175" s="72"/>
      <c r="LTL175" s="72"/>
      <c r="LTM175" s="72"/>
      <c r="LTN175" s="72"/>
      <c r="LTO175" s="72"/>
      <c r="LTP175" s="72"/>
      <c r="LTQ175" s="72"/>
      <c r="LTR175" s="72"/>
      <c r="LTS175" s="72"/>
      <c r="LTT175" s="72"/>
      <c r="LTU175" s="72"/>
      <c r="LTV175" s="72"/>
      <c r="LTW175" s="72"/>
      <c r="LTX175" s="72"/>
      <c r="LTY175" s="72"/>
      <c r="LTZ175" s="72"/>
      <c r="LUA175" s="72"/>
      <c r="LUB175" s="72"/>
      <c r="LUC175" s="72"/>
      <c r="LUD175" s="72"/>
      <c r="LUE175" s="72"/>
      <c r="LUF175" s="72"/>
      <c r="LUG175" s="72"/>
      <c r="LUH175" s="72"/>
      <c r="LUI175" s="72"/>
      <c r="LUJ175" s="72"/>
      <c r="LUK175" s="72"/>
      <c r="LUL175" s="72"/>
      <c r="LUM175" s="72"/>
      <c r="LUN175" s="72"/>
      <c r="LUO175" s="72"/>
      <c r="LUP175" s="72"/>
      <c r="LUQ175" s="72"/>
      <c r="LUR175" s="72"/>
      <c r="LUS175" s="72"/>
      <c r="LUT175" s="72"/>
      <c r="LUU175" s="72"/>
      <c r="LUV175" s="72"/>
      <c r="LUW175" s="72"/>
      <c r="LUX175" s="72"/>
      <c r="LUY175" s="72"/>
      <c r="LUZ175" s="72"/>
      <c r="LVA175" s="72"/>
      <c r="LVB175" s="72"/>
      <c r="LVC175" s="72"/>
      <c r="LVD175" s="72"/>
      <c r="LVE175" s="72"/>
      <c r="LVF175" s="72"/>
      <c r="LVG175" s="72"/>
      <c r="LVH175" s="72"/>
      <c r="LVI175" s="72"/>
      <c r="LVJ175" s="72"/>
      <c r="LVK175" s="72"/>
      <c r="LVL175" s="72"/>
      <c r="LVM175" s="72"/>
      <c r="LVN175" s="72"/>
      <c r="LVO175" s="72"/>
      <c r="LVP175" s="72"/>
      <c r="LVQ175" s="72"/>
      <c r="LVR175" s="72"/>
      <c r="LVS175" s="72"/>
      <c r="LVT175" s="72"/>
      <c r="LVU175" s="72"/>
      <c r="LVV175" s="72"/>
      <c r="LVW175" s="72"/>
      <c r="LVX175" s="72"/>
      <c r="LVY175" s="72"/>
      <c r="LVZ175" s="72"/>
      <c r="LWA175" s="72"/>
      <c r="LWB175" s="72"/>
      <c r="LWC175" s="72"/>
      <c r="LWD175" s="72"/>
      <c r="LWE175" s="72"/>
      <c r="LWF175" s="72"/>
      <c r="LWG175" s="72"/>
      <c r="LWH175" s="72"/>
      <c r="LWI175" s="72"/>
      <c r="LWJ175" s="72"/>
      <c r="LWK175" s="72"/>
      <c r="LWL175" s="72"/>
      <c r="LWM175" s="72"/>
      <c r="LWN175" s="72"/>
      <c r="LWO175" s="72"/>
      <c r="LWP175" s="72"/>
      <c r="LWQ175" s="72"/>
      <c r="LWR175" s="72"/>
      <c r="LWS175" s="72"/>
      <c r="LWT175" s="72"/>
      <c r="LWU175" s="72"/>
      <c r="LWV175" s="72"/>
      <c r="LWW175" s="72"/>
      <c r="LWX175" s="72"/>
      <c r="LWY175" s="72"/>
      <c r="LWZ175" s="72"/>
      <c r="LXA175" s="72"/>
      <c r="LXB175" s="72"/>
      <c r="LXC175" s="72"/>
      <c r="LXD175" s="72"/>
      <c r="LXE175" s="72"/>
      <c r="LXF175" s="72"/>
      <c r="LXG175" s="72"/>
      <c r="LXH175" s="72"/>
      <c r="LXI175" s="72"/>
      <c r="LXJ175" s="72"/>
      <c r="LXK175" s="72"/>
      <c r="LXL175" s="72"/>
      <c r="LXM175" s="72"/>
      <c r="LXN175" s="72"/>
      <c r="LXO175" s="72"/>
      <c r="LXP175" s="72"/>
      <c r="LXQ175" s="72"/>
      <c r="LXR175" s="72"/>
      <c r="LXS175" s="72"/>
      <c r="LXT175" s="72"/>
      <c r="LXU175" s="72"/>
      <c r="LXV175" s="72"/>
      <c r="LXW175" s="72"/>
      <c r="LXX175" s="72"/>
      <c r="LXY175" s="72"/>
      <c r="LXZ175" s="72"/>
      <c r="LYA175" s="72"/>
      <c r="LYB175" s="72"/>
      <c r="LYC175" s="72"/>
      <c r="LYD175" s="72"/>
      <c r="LYE175" s="72"/>
      <c r="LYF175" s="72"/>
      <c r="LYG175" s="72"/>
      <c r="LYH175" s="72"/>
      <c r="LYI175" s="72"/>
      <c r="LYJ175" s="72"/>
      <c r="LYK175" s="72"/>
      <c r="LYL175" s="72"/>
      <c r="LYM175" s="72"/>
      <c r="LYN175" s="72"/>
      <c r="LYO175" s="72"/>
      <c r="LYP175" s="72"/>
      <c r="LYQ175" s="72"/>
      <c r="LYR175" s="72"/>
      <c r="LYS175" s="72"/>
      <c r="LYT175" s="72"/>
      <c r="LYU175" s="72"/>
      <c r="LYV175" s="72"/>
      <c r="LYW175" s="72"/>
      <c r="LYX175" s="72"/>
      <c r="LYY175" s="72"/>
      <c r="LYZ175" s="72"/>
      <c r="LZA175" s="72"/>
      <c r="LZB175" s="72"/>
      <c r="LZC175" s="72"/>
      <c r="LZD175" s="72"/>
      <c r="LZE175" s="72"/>
      <c r="LZF175" s="72"/>
      <c r="LZG175" s="72"/>
      <c r="LZH175" s="72"/>
      <c r="LZI175" s="72"/>
      <c r="LZJ175" s="72"/>
      <c r="LZK175" s="72"/>
      <c r="LZL175" s="72"/>
      <c r="LZM175" s="72"/>
      <c r="LZN175" s="72"/>
      <c r="LZO175" s="72"/>
      <c r="LZP175" s="72"/>
      <c r="LZQ175" s="72"/>
      <c r="LZR175" s="72"/>
      <c r="LZS175" s="72"/>
      <c r="LZT175" s="72"/>
      <c r="LZU175" s="72"/>
      <c r="LZV175" s="72"/>
      <c r="LZW175" s="72"/>
      <c r="LZX175" s="72"/>
      <c r="LZY175" s="72"/>
      <c r="LZZ175" s="72"/>
      <c r="MAA175" s="72"/>
      <c r="MAB175" s="72"/>
      <c r="MAC175" s="72"/>
      <c r="MAD175" s="72"/>
      <c r="MAE175" s="72"/>
      <c r="MAF175" s="72"/>
      <c r="MAG175" s="72"/>
      <c r="MAH175" s="72"/>
      <c r="MAI175" s="72"/>
      <c r="MAJ175" s="72"/>
      <c r="MAK175" s="72"/>
      <c r="MAL175" s="72"/>
      <c r="MAM175" s="72"/>
      <c r="MAN175" s="72"/>
      <c r="MAO175" s="72"/>
      <c r="MAP175" s="72"/>
      <c r="MAQ175" s="72"/>
      <c r="MAR175" s="72"/>
      <c r="MAS175" s="72"/>
      <c r="MAT175" s="72"/>
      <c r="MAU175" s="72"/>
      <c r="MAV175" s="72"/>
      <c r="MAW175" s="72"/>
      <c r="MAX175" s="72"/>
      <c r="MAY175" s="72"/>
      <c r="MAZ175" s="72"/>
      <c r="MBA175" s="72"/>
      <c r="MBB175" s="72"/>
      <c r="MBC175" s="72"/>
      <c r="MBD175" s="72"/>
      <c r="MBE175" s="72"/>
      <c r="MBF175" s="72"/>
      <c r="MBG175" s="72"/>
      <c r="MBH175" s="72"/>
      <c r="MBI175" s="72"/>
      <c r="MBJ175" s="72"/>
      <c r="MBK175" s="72"/>
      <c r="MBL175" s="72"/>
      <c r="MBM175" s="72"/>
      <c r="MBN175" s="72"/>
      <c r="MBO175" s="72"/>
      <c r="MBP175" s="72"/>
      <c r="MBQ175" s="72"/>
      <c r="MBR175" s="72"/>
      <c r="MBS175" s="72"/>
      <c r="MBT175" s="72"/>
      <c r="MBU175" s="72"/>
      <c r="MBV175" s="72"/>
      <c r="MBW175" s="72"/>
      <c r="MBX175" s="72"/>
      <c r="MBY175" s="72"/>
      <c r="MBZ175" s="72"/>
      <c r="MCA175" s="72"/>
      <c r="MCB175" s="72"/>
      <c r="MCC175" s="72"/>
      <c r="MCD175" s="72"/>
      <c r="MCE175" s="72"/>
      <c r="MCF175" s="72"/>
      <c r="MCG175" s="72"/>
      <c r="MCH175" s="72"/>
      <c r="MCI175" s="72"/>
      <c r="MCJ175" s="72"/>
      <c r="MCK175" s="72"/>
      <c r="MCL175" s="72"/>
      <c r="MCM175" s="72"/>
      <c r="MCN175" s="72"/>
      <c r="MCO175" s="72"/>
      <c r="MCP175" s="72"/>
      <c r="MCQ175" s="72"/>
      <c r="MCR175" s="72"/>
      <c r="MCS175" s="72"/>
      <c r="MCT175" s="72"/>
      <c r="MCU175" s="72"/>
      <c r="MCV175" s="72"/>
      <c r="MCW175" s="72"/>
      <c r="MCX175" s="72"/>
      <c r="MCY175" s="72"/>
      <c r="MCZ175" s="72"/>
      <c r="MDA175" s="72"/>
      <c r="MDB175" s="72"/>
      <c r="MDC175" s="72"/>
      <c r="MDD175" s="72"/>
      <c r="MDE175" s="72"/>
      <c r="MDF175" s="72"/>
      <c r="MDG175" s="72"/>
      <c r="MDH175" s="72"/>
      <c r="MDI175" s="72"/>
      <c r="MDJ175" s="72"/>
      <c r="MDK175" s="72"/>
      <c r="MDL175" s="72"/>
      <c r="MDM175" s="72"/>
      <c r="MDN175" s="72"/>
      <c r="MDO175" s="72"/>
      <c r="MDP175" s="72"/>
      <c r="MDQ175" s="72"/>
      <c r="MDR175" s="72"/>
      <c r="MDS175" s="72"/>
      <c r="MDT175" s="72"/>
      <c r="MDU175" s="72"/>
      <c r="MDV175" s="72"/>
      <c r="MDW175" s="72"/>
      <c r="MDX175" s="72"/>
      <c r="MDY175" s="72"/>
      <c r="MDZ175" s="72"/>
      <c r="MEA175" s="72"/>
      <c r="MEB175" s="72"/>
      <c r="MEC175" s="72"/>
      <c r="MED175" s="72"/>
      <c r="MEE175" s="72"/>
      <c r="MEF175" s="72"/>
      <c r="MEG175" s="72"/>
      <c r="MEH175" s="72"/>
      <c r="MEI175" s="72"/>
      <c r="MEJ175" s="72"/>
      <c r="MEK175" s="72"/>
      <c r="MEL175" s="72"/>
      <c r="MEM175" s="72"/>
      <c r="MEN175" s="72"/>
      <c r="MEO175" s="72"/>
      <c r="MEP175" s="72"/>
      <c r="MEQ175" s="72"/>
      <c r="MER175" s="72"/>
      <c r="MES175" s="72"/>
      <c r="MET175" s="72"/>
      <c r="MEU175" s="72"/>
      <c r="MEV175" s="72"/>
      <c r="MEW175" s="72"/>
      <c r="MEX175" s="72"/>
      <c r="MEY175" s="72"/>
      <c r="MEZ175" s="72"/>
      <c r="MFA175" s="72"/>
      <c r="MFB175" s="72"/>
      <c r="MFC175" s="72"/>
      <c r="MFD175" s="72"/>
      <c r="MFE175" s="72"/>
      <c r="MFF175" s="72"/>
      <c r="MFG175" s="72"/>
      <c r="MFH175" s="72"/>
      <c r="MFI175" s="72"/>
      <c r="MFJ175" s="72"/>
      <c r="MFK175" s="72"/>
      <c r="MFL175" s="72"/>
      <c r="MFM175" s="72"/>
      <c r="MFN175" s="72"/>
      <c r="MFO175" s="72"/>
      <c r="MFP175" s="72"/>
      <c r="MFQ175" s="72"/>
      <c r="MFR175" s="72"/>
      <c r="MFS175" s="72"/>
      <c r="MFT175" s="72"/>
      <c r="MFU175" s="72"/>
      <c r="MFV175" s="72"/>
      <c r="MFW175" s="72"/>
      <c r="MFX175" s="72"/>
      <c r="MFY175" s="72"/>
      <c r="MFZ175" s="72"/>
      <c r="MGA175" s="72"/>
      <c r="MGB175" s="72"/>
      <c r="MGC175" s="72"/>
      <c r="MGD175" s="72"/>
      <c r="MGE175" s="72"/>
      <c r="MGF175" s="72"/>
      <c r="MGG175" s="72"/>
      <c r="MGH175" s="72"/>
      <c r="MGI175" s="72"/>
      <c r="MGJ175" s="72"/>
      <c r="MGK175" s="72"/>
      <c r="MGL175" s="72"/>
      <c r="MGM175" s="72"/>
      <c r="MGN175" s="72"/>
      <c r="MGO175" s="72"/>
      <c r="MGP175" s="72"/>
      <c r="MGQ175" s="72"/>
      <c r="MGR175" s="72"/>
      <c r="MGS175" s="72"/>
      <c r="MGT175" s="72"/>
      <c r="MGU175" s="72"/>
      <c r="MGV175" s="72"/>
      <c r="MGW175" s="72"/>
      <c r="MGX175" s="72"/>
      <c r="MGY175" s="72"/>
      <c r="MGZ175" s="72"/>
      <c r="MHA175" s="72"/>
      <c r="MHB175" s="72"/>
      <c r="MHC175" s="72"/>
      <c r="MHD175" s="72"/>
      <c r="MHE175" s="72"/>
      <c r="MHF175" s="72"/>
      <c r="MHG175" s="72"/>
      <c r="MHH175" s="72"/>
      <c r="MHI175" s="72"/>
      <c r="MHJ175" s="72"/>
      <c r="MHK175" s="72"/>
      <c r="MHL175" s="72"/>
      <c r="MHM175" s="72"/>
      <c r="MHN175" s="72"/>
      <c r="MHO175" s="72"/>
      <c r="MHP175" s="72"/>
      <c r="MHQ175" s="72"/>
      <c r="MHR175" s="72"/>
      <c r="MHS175" s="72"/>
      <c r="MHT175" s="72"/>
      <c r="MHU175" s="72"/>
      <c r="MHV175" s="72"/>
      <c r="MHW175" s="72"/>
      <c r="MHX175" s="72"/>
      <c r="MHY175" s="72"/>
      <c r="MHZ175" s="72"/>
      <c r="MIA175" s="72"/>
      <c r="MIB175" s="72"/>
      <c r="MIC175" s="72"/>
      <c r="MID175" s="72"/>
      <c r="MIE175" s="72"/>
      <c r="MIF175" s="72"/>
      <c r="MIG175" s="72"/>
      <c r="MIH175" s="72"/>
      <c r="MII175" s="72"/>
      <c r="MIJ175" s="72"/>
      <c r="MIK175" s="72"/>
      <c r="MIL175" s="72"/>
      <c r="MIM175" s="72"/>
      <c r="MIN175" s="72"/>
      <c r="MIO175" s="72"/>
      <c r="MIP175" s="72"/>
      <c r="MIQ175" s="72"/>
      <c r="MIR175" s="72"/>
      <c r="MIS175" s="72"/>
      <c r="MIT175" s="72"/>
      <c r="MIU175" s="72"/>
      <c r="MIV175" s="72"/>
      <c r="MIW175" s="72"/>
      <c r="MIX175" s="72"/>
      <c r="MIY175" s="72"/>
      <c r="MIZ175" s="72"/>
      <c r="MJA175" s="72"/>
      <c r="MJB175" s="72"/>
      <c r="MJC175" s="72"/>
      <c r="MJD175" s="72"/>
      <c r="MJE175" s="72"/>
      <c r="MJF175" s="72"/>
      <c r="MJG175" s="72"/>
      <c r="MJH175" s="72"/>
      <c r="MJI175" s="72"/>
      <c r="MJJ175" s="72"/>
      <c r="MJK175" s="72"/>
      <c r="MJL175" s="72"/>
      <c r="MJM175" s="72"/>
      <c r="MJN175" s="72"/>
      <c r="MJO175" s="72"/>
      <c r="MJP175" s="72"/>
      <c r="MJQ175" s="72"/>
      <c r="MJR175" s="72"/>
      <c r="MJS175" s="72"/>
      <c r="MJT175" s="72"/>
      <c r="MJU175" s="72"/>
      <c r="MJV175" s="72"/>
      <c r="MJW175" s="72"/>
      <c r="MJX175" s="72"/>
      <c r="MJY175" s="72"/>
      <c r="MJZ175" s="72"/>
      <c r="MKA175" s="72"/>
      <c r="MKB175" s="72"/>
      <c r="MKC175" s="72"/>
      <c r="MKD175" s="72"/>
      <c r="MKE175" s="72"/>
      <c r="MKF175" s="72"/>
      <c r="MKG175" s="72"/>
      <c r="MKH175" s="72"/>
      <c r="MKI175" s="72"/>
      <c r="MKJ175" s="72"/>
      <c r="MKK175" s="72"/>
      <c r="MKL175" s="72"/>
      <c r="MKM175" s="72"/>
      <c r="MKN175" s="72"/>
      <c r="MKO175" s="72"/>
      <c r="MKP175" s="72"/>
      <c r="MKQ175" s="72"/>
      <c r="MKR175" s="72"/>
      <c r="MKS175" s="72"/>
      <c r="MKT175" s="72"/>
      <c r="MKU175" s="72"/>
      <c r="MKV175" s="72"/>
      <c r="MKW175" s="72"/>
      <c r="MKX175" s="72"/>
      <c r="MKY175" s="72"/>
      <c r="MKZ175" s="72"/>
      <c r="MLA175" s="72"/>
      <c r="MLB175" s="72"/>
      <c r="MLC175" s="72"/>
      <c r="MLD175" s="72"/>
      <c r="MLE175" s="72"/>
      <c r="MLF175" s="72"/>
      <c r="MLG175" s="72"/>
      <c r="MLH175" s="72"/>
      <c r="MLI175" s="72"/>
      <c r="MLJ175" s="72"/>
      <c r="MLK175" s="72"/>
      <c r="MLL175" s="72"/>
      <c r="MLM175" s="72"/>
      <c r="MLN175" s="72"/>
      <c r="MLO175" s="72"/>
      <c r="MLP175" s="72"/>
      <c r="MLQ175" s="72"/>
      <c r="MLR175" s="72"/>
      <c r="MLS175" s="72"/>
      <c r="MLT175" s="72"/>
      <c r="MLU175" s="72"/>
      <c r="MLV175" s="72"/>
      <c r="MLW175" s="72"/>
      <c r="MLX175" s="72"/>
      <c r="MLY175" s="72"/>
      <c r="MLZ175" s="72"/>
      <c r="MMA175" s="72"/>
      <c r="MMB175" s="72"/>
      <c r="MMC175" s="72"/>
      <c r="MMD175" s="72"/>
      <c r="MME175" s="72"/>
      <c r="MMF175" s="72"/>
      <c r="MMG175" s="72"/>
      <c r="MMH175" s="72"/>
      <c r="MMI175" s="72"/>
      <c r="MMJ175" s="72"/>
      <c r="MMK175" s="72"/>
      <c r="MML175" s="72"/>
      <c r="MMM175" s="72"/>
      <c r="MMN175" s="72"/>
      <c r="MMO175" s="72"/>
      <c r="MMP175" s="72"/>
      <c r="MMQ175" s="72"/>
      <c r="MMR175" s="72"/>
      <c r="MMS175" s="72"/>
      <c r="MMT175" s="72"/>
      <c r="MMU175" s="72"/>
      <c r="MMV175" s="72"/>
      <c r="MMW175" s="72"/>
      <c r="MMX175" s="72"/>
      <c r="MMY175" s="72"/>
      <c r="MMZ175" s="72"/>
      <c r="MNA175" s="72"/>
      <c r="MNB175" s="72"/>
      <c r="MNC175" s="72"/>
      <c r="MND175" s="72"/>
      <c r="MNE175" s="72"/>
      <c r="MNF175" s="72"/>
      <c r="MNG175" s="72"/>
      <c r="MNH175" s="72"/>
      <c r="MNI175" s="72"/>
      <c r="MNJ175" s="72"/>
      <c r="MNK175" s="72"/>
      <c r="MNL175" s="72"/>
      <c r="MNM175" s="72"/>
      <c r="MNN175" s="72"/>
      <c r="MNO175" s="72"/>
      <c r="MNP175" s="72"/>
      <c r="MNQ175" s="72"/>
      <c r="MNR175" s="72"/>
      <c r="MNS175" s="72"/>
      <c r="MNT175" s="72"/>
      <c r="MNU175" s="72"/>
      <c r="MNV175" s="72"/>
      <c r="MNW175" s="72"/>
      <c r="MNX175" s="72"/>
      <c r="MNY175" s="72"/>
      <c r="MNZ175" s="72"/>
      <c r="MOA175" s="72"/>
      <c r="MOB175" s="72"/>
      <c r="MOC175" s="72"/>
      <c r="MOD175" s="72"/>
      <c r="MOE175" s="72"/>
      <c r="MOF175" s="72"/>
      <c r="MOG175" s="72"/>
      <c r="MOH175" s="72"/>
      <c r="MOI175" s="72"/>
      <c r="MOJ175" s="72"/>
      <c r="MOK175" s="72"/>
      <c r="MOL175" s="72"/>
      <c r="MOM175" s="72"/>
      <c r="MON175" s="72"/>
      <c r="MOO175" s="72"/>
      <c r="MOP175" s="72"/>
      <c r="MOQ175" s="72"/>
      <c r="MOR175" s="72"/>
      <c r="MOS175" s="72"/>
      <c r="MOT175" s="72"/>
      <c r="MOU175" s="72"/>
      <c r="MOV175" s="72"/>
      <c r="MOW175" s="72"/>
      <c r="MOX175" s="72"/>
      <c r="MOY175" s="72"/>
      <c r="MOZ175" s="72"/>
      <c r="MPA175" s="72"/>
      <c r="MPB175" s="72"/>
      <c r="MPC175" s="72"/>
      <c r="MPD175" s="72"/>
      <c r="MPE175" s="72"/>
      <c r="MPF175" s="72"/>
      <c r="MPG175" s="72"/>
      <c r="MPH175" s="72"/>
      <c r="MPI175" s="72"/>
      <c r="MPJ175" s="72"/>
      <c r="MPK175" s="72"/>
      <c r="MPL175" s="72"/>
      <c r="MPM175" s="72"/>
      <c r="MPN175" s="72"/>
      <c r="MPO175" s="72"/>
      <c r="MPP175" s="72"/>
      <c r="MPQ175" s="72"/>
      <c r="MPR175" s="72"/>
      <c r="MPS175" s="72"/>
      <c r="MPT175" s="72"/>
      <c r="MPU175" s="72"/>
      <c r="MPV175" s="72"/>
      <c r="MPW175" s="72"/>
      <c r="MPX175" s="72"/>
      <c r="MPY175" s="72"/>
      <c r="MPZ175" s="72"/>
      <c r="MQA175" s="72"/>
      <c r="MQB175" s="72"/>
      <c r="MQC175" s="72"/>
      <c r="MQD175" s="72"/>
      <c r="MQE175" s="72"/>
      <c r="MQF175" s="72"/>
      <c r="MQG175" s="72"/>
      <c r="MQH175" s="72"/>
      <c r="MQI175" s="72"/>
      <c r="MQJ175" s="72"/>
      <c r="MQK175" s="72"/>
      <c r="MQL175" s="72"/>
      <c r="MQM175" s="72"/>
      <c r="MQN175" s="72"/>
      <c r="MQO175" s="72"/>
      <c r="MQP175" s="72"/>
      <c r="MQQ175" s="72"/>
      <c r="MQR175" s="72"/>
      <c r="MQS175" s="72"/>
      <c r="MQT175" s="72"/>
      <c r="MQU175" s="72"/>
      <c r="MQV175" s="72"/>
      <c r="MQW175" s="72"/>
      <c r="MQX175" s="72"/>
      <c r="MQY175" s="72"/>
      <c r="MQZ175" s="72"/>
      <c r="MRA175" s="72"/>
      <c r="MRB175" s="72"/>
      <c r="MRC175" s="72"/>
      <c r="MRD175" s="72"/>
      <c r="MRE175" s="72"/>
      <c r="MRF175" s="72"/>
      <c r="MRG175" s="72"/>
      <c r="MRH175" s="72"/>
      <c r="MRI175" s="72"/>
      <c r="MRJ175" s="72"/>
      <c r="MRK175" s="72"/>
      <c r="MRL175" s="72"/>
      <c r="MRM175" s="72"/>
      <c r="MRN175" s="72"/>
      <c r="MRO175" s="72"/>
      <c r="MRP175" s="72"/>
      <c r="MRQ175" s="72"/>
      <c r="MRR175" s="72"/>
      <c r="MRS175" s="72"/>
      <c r="MRT175" s="72"/>
      <c r="MRU175" s="72"/>
      <c r="MRV175" s="72"/>
      <c r="MRW175" s="72"/>
      <c r="MRX175" s="72"/>
      <c r="MRY175" s="72"/>
      <c r="MRZ175" s="72"/>
      <c r="MSA175" s="72"/>
      <c r="MSB175" s="72"/>
      <c r="MSC175" s="72"/>
      <c r="MSD175" s="72"/>
      <c r="MSE175" s="72"/>
      <c r="MSF175" s="72"/>
      <c r="MSG175" s="72"/>
      <c r="MSH175" s="72"/>
      <c r="MSI175" s="72"/>
      <c r="MSJ175" s="72"/>
      <c r="MSK175" s="72"/>
      <c r="MSL175" s="72"/>
      <c r="MSM175" s="72"/>
      <c r="MSN175" s="72"/>
      <c r="MSO175" s="72"/>
      <c r="MSP175" s="72"/>
      <c r="MSQ175" s="72"/>
      <c r="MSR175" s="72"/>
      <c r="MSS175" s="72"/>
      <c r="MST175" s="72"/>
      <c r="MSU175" s="72"/>
      <c r="MSV175" s="72"/>
      <c r="MSW175" s="72"/>
      <c r="MSX175" s="72"/>
      <c r="MSY175" s="72"/>
      <c r="MSZ175" s="72"/>
      <c r="MTA175" s="72"/>
      <c r="MTB175" s="72"/>
      <c r="MTC175" s="72"/>
      <c r="MTD175" s="72"/>
      <c r="MTE175" s="72"/>
      <c r="MTF175" s="72"/>
      <c r="MTG175" s="72"/>
      <c r="MTH175" s="72"/>
      <c r="MTI175" s="72"/>
      <c r="MTJ175" s="72"/>
      <c r="MTK175" s="72"/>
      <c r="MTL175" s="72"/>
      <c r="MTM175" s="72"/>
      <c r="MTN175" s="72"/>
      <c r="MTO175" s="72"/>
      <c r="MTP175" s="72"/>
      <c r="MTQ175" s="72"/>
      <c r="MTR175" s="72"/>
      <c r="MTS175" s="72"/>
      <c r="MTT175" s="72"/>
      <c r="MTU175" s="72"/>
      <c r="MTV175" s="72"/>
      <c r="MTW175" s="72"/>
      <c r="MTX175" s="72"/>
      <c r="MTY175" s="72"/>
      <c r="MTZ175" s="72"/>
      <c r="MUA175" s="72"/>
      <c r="MUB175" s="72"/>
      <c r="MUC175" s="72"/>
      <c r="MUD175" s="72"/>
      <c r="MUE175" s="72"/>
      <c r="MUF175" s="72"/>
      <c r="MUG175" s="72"/>
      <c r="MUH175" s="72"/>
      <c r="MUI175" s="72"/>
      <c r="MUJ175" s="72"/>
      <c r="MUK175" s="72"/>
      <c r="MUL175" s="72"/>
      <c r="MUM175" s="72"/>
      <c r="MUN175" s="72"/>
      <c r="MUO175" s="72"/>
      <c r="MUP175" s="72"/>
      <c r="MUQ175" s="72"/>
      <c r="MUR175" s="72"/>
      <c r="MUS175" s="72"/>
      <c r="MUT175" s="72"/>
      <c r="MUU175" s="72"/>
      <c r="MUV175" s="72"/>
      <c r="MUW175" s="72"/>
      <c r="MUX175" s="72"/>
      <c r="MUY175" s="72"/>
      <c r="MUZ175" s="72"/>
      <c r="MVA175" s="72"/>
      <c r="MVB175" s="72"/>
      <c r="MVC175" s="72"/>
      <c r="MVD175" s="72"/>
      <c r="MVE175" s="72"/>
      <c r="MVF175" s="72"/>
      <c r="MVG175" s="72"/>
      <c r="MVH175" s="72"/>
      <c r="MVI175" s="72"/>
      <c r="MVJ175" s="72"/>
      <c r="MVK175" s="72"/>
      <c r="MVL175" s="72"/>
      <c r="MVM175" s="72"/>
      <c r="MVN175" s="72"/>
      <c r="MVO175" s="72"/>
      <c r="MVP175" s="72"/>
      <c r="MVQ175" s="72"/>
      <c r="MVR175" s="72"/>
      <c r="MVS175" s="72"/>
      <c r="MVT175" s="72"/>
      <c r="MVU175" s="72"/>
      <c r="MVV175" s="72"/>
      <c r="MVW175" s="72"/>
      <c r="MVX175" s="72"/>
      <c r="MVY175" s="72"/>
      <c r="MVZ175" s="72"/>
      <c r="MWA175" s="72"/>
      <c r="MWB175" s="72"/>
      <c r="MWC175" s="72"/>
      <c r="MWD175" s="72"/>
      <c r="MWE175" s="72"/>
      <c r="MWF175" s="72"/>
      <c r="MWG175" s="72"/>
      <c r="MWH175" s="72"/>
      <c r="MWI175" s="72"/>
      <c r="MWJ175" s="72"/>
      <c r="MWK175" s="72"/>
      <c r="MWL175" s="72"/>
      <c r="MWM175" s="72"/>
      <c r="MWN175" s="72"/>
      <c r="MWO175" s="72"/>
      <c r="MWP175" s="72"/>
      <c r="MWQ175" s="72"/>
      <c r="MWR175" s="72"/>
      <c r="MWS175" s="72"/>
      <c r="MWT175" s="72"/>
      <c r="MWU175" s="72"/>
      <c r="MWV175" s="72"/>
      <c r="MWW175" s="72"/>
      <c r="MWX175" s="72"/>
      <c r="MWY175" s="72"/>
      <c r="MWZ175" s="72"/>
      <c r="MXA175" s="72"/>
      <c r="MXB175" s="72"/>
      <c r="MXC175" s="72"/>
      <c r="MXD175" s="72"/>
      <c r="MXE175" s="72"/>
      <c r="MXF175" s="72"/>
      <c r="MXG175" s="72"/>
      <c r="MXH175" s="72"/>
      <c r="MXI175" s="72"/>
      <c r="MXJ175" s="72"/>
      <c r="MXK175" s="72"/>
      <c r="MXL175" s="72"/>
      <c r="MXM175" s="72"/>
      <c r="MXN175" s="72"/>
      <c r="MXO175" s="72"/>
      <c r="MXP175" s="72"/>
      <c r="MXQ175" s="72"/>
      <c r="MXR175" s="72"/>
      <c r="MXS175" s="72"/>
      <c r="MXT175" s="72"/>
      <c r="MXU175" s="72"/>
      <c r="MXV175" s="72"/>
      <c r="MXW175" s="72"/>
      <c r="MXX175" s="72"/>
      <c r="MXY175" s="72"/>
      <c r="MXZ175" s="72"/>
      <c r="MYA175" s="72"/>
      <c r="MYB175" s="72"/>
      <c r="MYC175" s="72"/>
      <c r="MYD175" s="72"/>
      <c r="MYE175" s="72"/>
      <c r="MYF175" s="72"/>
      <c r="MYG175" s="72"/>
      <c r="MYH175" s="72"/>
      <c r="MYI175" s="72"/>
      <c r="MYJ175" s="72"/>
      <c r="MYK175" s="72"/>
      <c r="MYL175" s="72"/>
      <c r="MYM175" s="72"/>
      <c r="MYN175" s="72"/>
      <c r="MYO175" s="72"/>
      <c r="MYP175" s="72"/>
      <c r="MYQ175" s="72"/>
      <c r="MYR175" s="72"/>
      <c r="MYS175" s="72"/>
      <c r="MYT175" s="72"/>
      <c r="MYU175" s="72"/>
      <c r="MYV175" s="72"/>
      <c r="MYW175" s="72"/>
      <c r="MYX175" s="72"/>
      <c r="MYY175" s="72"/>
      <c r="MYZ175" s="72"/>
      <c r="MZA175" s="72"/>
      <c r="MZB175" s="72"/>
      <c r="MZC175" s="72"/>
      <c r="MZD175" s="72"/>
      <c r="MZE175" s="72"/>
      <c r="MZF175" s="72"/>
      <c r="MZG175" s="72"/>
      <c r="MZH175" s="72"/>
      <c r="MZI175" s="72"/>
      <c r="MZJ175" s="72"/>
      <c r="MZK175" s="72"/>
      <c r="MZL175" s="72"/>
      <c r="MZM175" s="72"/>
      <c r="MZN175" s="72"/>
      <c r="MZO175" s="72"/>
      <c r="MZP175" s="72"/>
      <c r="MZQ175" s="72"/>
      <c r="MZR175" s="72"/>
      <c r="MZS175" s="72"/>
      <c r="MZT175" s="72"/>
      <c r="MZU175" s="72"/>
      <c r="MZV175" s="72"/>
      <c r="MZW175" s="72"/>
      <c r="MZX175" s="72"/>
      <c r="MZY175" s="72"/>
      <c r="MZZ175" s="72"/>
      <c r="NAA175" s="72"/>
      <c r="NAB175" s="72"/>
      <c r="NAC175" s="72"/>
      <c r="NAD175" s="72"/>
      <c r="NAE175" s="72"/>
      <c r="NAF175" s="72"/>
      <c r="NAG175" s="72"/>
      <c r="NAH175" s="72"/>
      <c r="NAI175" s="72"/>
      <c r="NAJ175" s="72"/>
      <c r="NAK175" s="72"/>
      <c r="NAL175" s="72"/>
      <c r="NAM175" s="72"/>
      <c r="NAN175" s="72"/>
      <c r="NAO175" s="72"/>
      <c r="NAP175" s="72"/>
      <c r="NAQ175" s="72"/>
      <c r="NAR175" s="72"/>
      <c r="NAS175" s="72"/>
      <c r="NAT175" s="72"/>
      <c r="NAU175" s="72"/>
      <c r="NAV175" s="72"/>
      <c r="NAW175" s="72"/>
      <c r="NAX175" s="72"/>
      <c r="NAY175" s="72"/>
      <c r="NAZ175" s="72"/>
      <c r="NBA175" s="72"/>
      <c r="NBB175" s="72"/>
      <c r="NBC175" s="72"/>
      <c r="NBD175" s="72"/>
      <c r="NBE175" s="72"/>
      <c r="NBF175" s="72"/>
      <c r="NBG175" s="72"/>
      <c r="NBH175" s="72"/>
      <c r="NBI175" s="72"/>
      <c r="NBJ175" s="72"/>
      <c r="NBK175" s="72"/>
      <c r="NBL175" s="72"/>
      <c r="NBM175" s="72"/>
      <c r="NBN175" s="72"/>
      <c r="NBO175" s="72"/>
      <c r="NBP175" s="72"/>
      <c r="NBQ175" s="72"/>
      <c r="NBR175" s="72"/>
      <c r="NBS175" s="72"/>
      <c r="NBT175" s="72"/>
      <c r="NBU175" s="72"/>
      <c r="NBV175" s="72"/>
      <c r="NBW175" s="72"/>
      <c r="NBX175" s="72"/>
      <c r="NBY175" s="72"/>
      <c r="NBZ175" s="72"/>
      <c r="NCA175" s="72"/>
      <c r="NCB175" s="72"/>
      <c r="NCC175" s="72"/>
      <c r="NCD175" s="72"/>
      <c r="NCE175" s="72"/>
      <c r="NCF175" s="72"/>
      <c r="NCG175" s="72"/>
      <c r="NCH175" s="72"/>
      <c r="NCI175" s="72"/>
      <c r="NCJ175" s="72"/>
      <c r="NCK175" s="72"/>
      <c r="NCL175" s="72"/>
      <c r="NCM175" s="72"/>
      <c r="NCN175" s="72"/>
      <c r="NCO175" s="72"/>
      <c r="NCP175" s="72"/>
      <c r="NCQ175" s="72"/>
      <c r="NCR175" s="72"/>
      <c r="NCS175" s="72"/>
      <c r="NCT175" s="72"/>
      <c r="NCU175" s="72"/>
      <c r="NCV175" s="72"/>
      <c r="NCW175" s="72"/>
      <c r="NCX175" s="72"/>
      <c r="NCY175" s="72"/>
      <c r="NCZ175" s="72"/>
      <c r="NDA175" s="72"/>
      <c r="NDB175" s="72"/>
      <c r="NDC175" s="72"/>
      <c r="NDD175" s="72"/>
      <c r="NDE175" s="72"/>
      <c r="NDF175" s="72"/>
      <c r="NDG175" s="72"/>
      <c r="NDH175" s="72"/>
      <c r="NDI175" s="72"/>
      <c r="NDJ175" s="72"/>
      <c r="NDK175" s="72"/>
      <c r="NDL175" s="72"/>
      <c r="NDM175" s="72"/>
      <c r="NDN175" s="72"/>
      <c r="NDO175" s="72"/>
      <c r="NDP175" s="72"/>
      <c r="NDQ175" s="72"/>
      <c r="NDR175" s="72"/>
      <c r="NDS175" s="72"/>
      <c r="NDT175" s="72"/>
      <c r="NDU175" s="72"/>
      <c r="NDV175" s="72"/>
      <c r="NDW175" s="72"/>
      <c r="NDX175" s="72"/>
      <c r="NDY175" s="72"/>
      <c r="NDZ175" s="72"/>
      <c r="NEA175" s="72"/>
      <c r="NEB175" s="72"/>
      <c r="NEC175" s="72"/>
      <c r="NED175" s="72"/>
      <c r="NEE175" s="72"/>
      <c r="NEF175" s="72"/>
      <c r="NEG175" s="72"/>
      <c r="NEH175" s="72"/>
      <c r="NEI175" s="72"/>
      <c r="NEJ175" s="72"/>
      <c r="NEK175" s="72"/>
      <c r="NEL175" s="72"/>
      <c r="NEM175" s="72"/>
      <c r="NEN175" s="72"/>
      <c r="NEO175" s="72"/>
      <c r="NEP175" s="72"/>
      <c r="NEQ175" s="72"/>
      <c r="NER175" s="72"/>
      <c r="NES175" s="72"/>
      <c r="NET175" s="72"/>
      <c r="NEU175" s="72"/>
      <c r="NEV175" s="72"/>
      <c r="NEW175" s="72"/>
      <c r="NEX175" s="72"/>
      <c r="NEY175" s="72"/>
      <c r="NEZ175" s="72"/>
      <c r="NFA175" s="72"/>
      <c r="NFB175" s="72"/>
      <c r="NFC175" s="72"/>
      <c r="NFD175" s="72"/>
      <c r="NFE175" s="72"/>
      <c r="NFF175" s="72"/>
      <c r="NFG175" s="72"/>
      <c r="NFH175" s="72"/>
      <c r="NFI175" s="72"/>
      <c r="NFJ175" s="72"/>
      <c r="NFK175" s="72"/>
      <c r="NFL175" s="72"/>
      <c r="NFM175" s="72"/>
      <c r="NFN175" s="72"/>
      <c r="NFO175" s="72"/>
      <c r="NFP175" s="72"/>
      <c r="NFQ175" s="72"/>
      <c r="NFR175" s="72"/>
      <c r="NFS175" s="72"/>
      <c r="NFT175" s="72"/>
      <c r="NFU175" s="72"/>
      <c r="NFV175" s="72"/>
      <c r="NFW175" s="72"/>
      <c r="NFX175" s="72"/>
      <c r="NFY175" s="72"/>
      <c r="NFZ175" s="72"/>
      <c r="NGA175" s="72"/>
      <c r="NGB175" s="72"/>
      <c r="NGC175" s="72"/>
      <c r="NGD175" s="72"/>
      <c r="NGE175" s="72"/>
      <c r="NGF175" s="72"/>
      <c r="NGG175" s="72"/>
      <c r="NGH175" s="72"/>
      <c r="NGI175" s="72"/>
      <c r="NGJ175" s="72"/>
      <c r="NGK175" s="72"/>
      <c r="NGL175" s="72"/>
      <c r="NGM175" s="72"/>
      <c r="NGN175" s="72"/>
      <c r="NGO175" s="72"/>
      <c r="NGP175" s="72"/>
      <c r="NGQ175" s="72"/>
      <c r="NGR175" s="72"/>
      <c r="NGS175" s="72"/>
      <c r="NGT175" s="72"/>
      <c r="NGU175" s="72"/>
      <c r="NGV175" s="72"/>
      <c r="NGW175" s="72"/>
      <c r="NGX175" s="72"/>
      <c r="NGY175" s="72"/>
      <c r="NGZ175" s="72"/>
      <c r="NHA175" s="72"/>
      <c r="NHB175" s="72"/>
      <c r="NHC175" s="72"/>
      <c r="NHD175" s="72"/>
      <c r="NHE175" s="72"/>
      <c r="NHF175" s="72"/>
      <c r="NHG175" s="72"/>
      <c r="NHH175" s="72"/>
      <c r="NHI175" s="72"/>
      <c r="NHJ175" s="72"/>
      <c r="NHK175" s="72"/>
      <c r="NHL175" s="72"/>
      <c r="NHM175" s="72"/>
      <c r="NHN175" s="72"/>
      <c r="NHO175" s="72"/>
      <c r="NHP175" s="72"/>
      <c r="NHQ175" s="72"/>
      <c r="NHR175" s="72"/>
      <c r="NHS175" s="72"/>
      <c r="NHT175" s="72"/>
      <c r="NHU175" s="72"/>
      <c r="NHV175" s="72"/>
      <c r="NHW175" s="72"/>
      <c r="NHX175" s="72"/>
      <c r="NHY175" s="72"/>
      <c r="NHZ175" s="72"/>
      <c r="NIA175" s="72"/>
      <c r="NIB175" s="72"/>
      <c r="NIC175" s="72"/>
      <c r="NID175" s="72"/>
      <c r="NIE175" s="72"/>
      <c r="NIF175" s="72"/>
      <c r="NIG175" s="72"/>
      <c r="NIH175" s="72"/>
      <c r="NII175" s="72"/>
      <c r="NIJ175" s="72"/>
      <c r="NIK175" s="72"/>
      <c r="NIL175" s="72"/>
      <c r="NIM175" s="72"/>
      <c r="NIN175" s="72"/>
      <c r="NIO175" s="72"/>
      <c r="NIP175" s="72"/>
      <c r="NIQ175" s="72"/>
      <c r="NIR175" s="72"/>
      <c r="NIS175" s="72"/>
      <c r="NIT175" s="72"/>
      <c r="NIU175" s="72"/>
      <c r="NIV175" s="72"/>
      <c r="NIW175" s="72"/>
      <c r="NIX175" s="72"/>
      <c r="NIY175" s="72"/>
      <c r="NIZ175" s="72"/>
      <c r="NJA175" s="72"/>
      <c r="NJB175" s="72"/>
      <c r="NJC175" s="72"/>
      <c r="NJD175" s="72"/>
      <c r="NJE175" s="72"/>
      <c r="NJF175" s="72"/>
      <c r="NJG175" s="72"/>
      <c r="NJH175" s="72"/>
      <c r="NJI175" s="72"/>
      <c r="NJJ175" s="72"/>
      <c r="NJK175" s="72"/>
      <c r="NJL175" s="72"/>
      <c r="NJM175" s="72"/>
      <c r="NJN175" s="72"/>
      <c r="NJO175" s="72"/>
      <c r="NJP175" s="72"/>
      <c r="NJQ175" s="72"/>
      <c r="NJR175" s="72"/>
      <c r="NJS175" s="72"/>
      <c r="NJT175" s="72"/>
      <c r="NJU175" s="72"/>
      <c r="NJV175" s="72"/>
      <c r="NJW175" s="72"/>
      <c r="NJX175" s="72"/>
      <c r="NJY175" s="72"/>
      <c r="NJZ175" s="72"/>
      <c r="NKA175" s="72"/>
      <c r="NKB175" s="72"/>
      <c r="NKC175" s="72"/>
      <c r="NKD175" s="72"/>
      <c r="NKE175" s="72"/>
      <c r="NKF175" s="72"/>
      <c r="NKG175" s="72"/>
      <c r="NKH175" s="72"/>
      <c r="NKI175" s="72"/>
      <c r="NKJ175" s="72"/>
      <c r="NKK175" s="72"/>
      <c r="NKL175" s="72"/>
      <c r="NKM175" s="72"/>
      <c r="NKN175" s="72"/>
      <c r="NKO175" s="72"/>
      <c r="NKP175" s="72"/>
      <c r="NKQ175" s="72"/>
      <c r="NKR175" s="72"/>
      <c r="NKS175" s="72"/>
      <c r="NKT175" s="72"/>
      <c r="NKU175" s="72"/>
      <c r="NKV175" s="72"/>
      <c r="NKW175" s="72"/>
      <c r="NKX175" s="72"/>
      <c r="NKY175" s="72"/>
      <c r="NKZ175" s="72"/>
      <c r="NLA175" s="72"/>
      <c r="NLB175" s="72"/>
      <c r="NLC175" s="72"/>
      <c r="NLD175" s="72"/>
      <c r="NLE175" s="72"/>
      <c r="NLF175" s="72"/>
      <c r="NLG175" s="72"/>
      <c r="NLH175" s="72"/>
      <c r="NLI175" s="72"/>
      <c r="NLJ175" s="72"/>
      <c r="NLK175" s="72"/>
      <c r="NLL175" s="72"/>
      <c r="NLM175" s="72"/>
      <c r="NLN175" s="72"/>
      <c r="NLO175" s="72"/>
      <c r="NLP175" s="72"/>
      <c r="NLQ175" s="72"/>
      <c r="NLR175" s="72"/>
      <c r="NLS175" s="72"/>
      <c r="NLT175" s="72"/>
      <c r="NLU175" s="72"/>
      <c r="NLV175" s="72"/>
      <c r="NLW175" s="72"/>
      <c r="NLX175" s="72"/>
      <c r="NLY175" s="72"/>
      <c r="NLZ175" s="72"/>
      <c r="NMA175" s="72"/>
      <c r="NMB175" s="72"/>
      <c r="NMC175" s="72"/>
      <c r="NMD175" s="72"/>
      <c r="NME175" s="72"/>
      <c r="NMF175" s="72"/>
      <c r="NMG175" s="72"/>
      <c r="NMH175" s="72"/>
      <c r="NMI175" s="72"/>
      <c r="NMJ175" s="72"/>
      <c r="NMK175" s="72"/>
      <c r="NML175" s="72"/>
      <c r="NMM175" s="72"/>
      <c r="NMN175" s="72"/>
      <c r="NMO175" s="72"/>
      <c r="NMP175" s="72"/>
      <c r="NMQ175" s="72"/>
      <c r="NMR175" s="72"/>
      <c r="NMS175" s="72"/>
      <c r="NMT175" s="72"/>
      <c r="NMU175" s="72"/>
      <c r="NMV175" s="72"/>
      <c r="NMW175" s="72"/>
      <c r="NMX175" s="72"/>
      <c r="NMY175" s="72"/>
      <c r="NMZ175" s="72"/>
      <c r="NNA175" s="72"/>
      <c r="NNB175" s="72"/>
      <c r="NNC175" s="72"/>
      <c r="NND175" s="72"/>
      <c r="NNE175" s="72"/>
      <c r="NNF175" s="72"/>
      <c r="NNG175" s="72"/>
      <c r="NNH175" s="72"/>
      <c r="NNI175" s="72"/>
      <c r="NNJ175" s="72"/>
      <c r="NNK175" s="72"/>
      <c r="NNL175" s="72"/>
      <c r="NNM175" s="72"/>
      <c r="NNN175" s="72"/>
      <c r="NNO175" s="72"/>
      <c r="NNP175" s="72"/>
      <c r="NNQ175" s="72"/>
      <c r="NNR175" s="72"/>
      <c r="NNS175" s="72"/>
      <c r="NNT175" s="72"/>
      <c r="NNU175" s="72"/>
      <c r="NNV175" s="72"/>
      <c r="NNW175" s="72"/>
      <c r="NNX175" s="72"/>
      <c r="NNY175" s="72"/>
      <c r="NNZ175" s="72"/>
      <c r="NOA175" s="72"/>
      <c r="NOB175" s="72"/>
      <c r="NOC175" s="72"/>
      <c r="NOD175" s="72"/>
      <c r="NOE175" s="72"/>
      <c r="NOF175" s="72"/>
      <c r="NOG175" s="72"/>
      <c r="NOH175" s="72"/>
      <c r="NOI175" s="72"/>
      <c r="NOJ175" s="72"/>
      <c r="NOK175" s="72"/>
      <c r="NOL175" s="72"/>
      <c r="NOM175" s="72"/>
      <c r="NON175" s="72"/>
      <c r="NOO175" s="72"/>
      <c r="NOP175" s="72"/>
      <c r="NOQ175" s="72"/>
      <c r="NOR175" s="72"/>
      <c r="NOS175" s="72"/>
      <c r="NOT175" s="72"/>
      <c r="NOU175" s="72"/>
      <c r="NOV175" s="72"/>
      <c r="NOW175" s="72"/>
      <c r="NOX175" s="72"/>
      <c r="NOY175" s="72"/>
      <c r="NOZ175" s="72"/>
      <c r="NPA175" s="72"/>
      <c r="NPB175" s="72"/>
      <c r="NPC175" s="72"/>
      <c r="NPD175" s="72"/>
      <c r="NPE175" s="72"/>
      <c r="NPF175" s="72"/>
      <c r="NPG175" s="72"/>
      <c r="NPH175" s="72"/>
      <c r="NPI175" s="72"/>
      <c r="NPJ175" s="72"/>
      <c r="NPK175" s="72"/>
      <c r="NPL175" s="72"/>
      <c r="NPM175" s="72"/>
      <c r="NPN175" s="72"/>
      <c r="NPO175" s="72"/>
      <c r="NPP175" s="72"/>
      <c r="NPQ175" s="72"/>
      <c r="NPR175" s="72"/>
      <c r="NPS175" s="72"/>
      <c r="NPT175" s="72"/>
      <c r="NPU175" s="72"/>
      <c r="NPV175" s="72"/>
      <c r="NPW175" s="72"/>
      <c r="NPX175" s="72"/>
      <c r="NPY175" s="72"/>
      <c r="NPZ175" s="72"/>
      <c r="NQA175" s="72"/>
      <c r="NQB175" s="72"/>
      <c r="NQC175" s="72"/>
      <c r="NQD175" s="72"/>
      <c r="NQE175" s="72"/>
      <c r="NQF175" s="72"/>
      <c r="NQG175" s="72"/>
      <c r="NQH175" s="72"/>
      <c r="NQI175" s="72"/>
      <c r="NQJ175" s="72"/>
      <c r="NQK175" s="72"/>
      <c r="NQL175" s="72"/>
      <c r="NQM175" s="72"/>
      <c r="NQN175" s="72"/>
      <c r="NQO175" s="72"/>
      <c r="NQP175" s="72"/>
      <c r="NQQ175" s="72"/>
      <c r="NQR175" s="72"/>
      <c r="NQS175" s="72"/>
      <c r="NQT175" s="72"/>
      <c r="NQU175" s="72"/>
      <c r="NQV175" s="72"/>
      <c r="NQW175" s="72"/>
      <c r="NQX175" s="72"/>
      <c r="NQY175" s="72"/>
      <c r="NQZ175" s="72"/>
      <c r="NRA175" s="72"/>
      <c r="NRB175" s="72"/>
      <c r="NRC175" s="72"/>
      <c r="NRD175" s="72"/>
      <c r="NRE175" s="72"/>
      <c r="NRF175" s="72"/>
      <c r="NRG175" s="72"/>
      <c r="NRH175" s="72"/>
      <c r="NRI175" s="72"/>
      <c r="NRJ175" s="72"/>
      <c r="NRK175" s="72"/>
      <c r="NRL175" s="72"/>
      <c r="NRM175" s="72"/>
      <c r="NRN175" s="72"/>
      <c r="NRO175" s="72"/>
      <c r="NRP175" s="72"/>
      <c r="NRQ175" s="72"/>
      <c r="NRR175" s="72"/>
      <c r="NRS175" s="72"/>
      <c r="NRT175" s="72"/>
      <c r="NRU175" s="72"/>
      <c r="NRV175" s="72"/>
      <c r="NRW175" s="72"/>
      <c r="NRX175" s="72"/>
      <c r="NRY175" s="72"/>
      <c r="NRZ175" s="72"/>
      <c r="NSA175" s="72"/>
      <c r="NSB175" s="72"/>
      <c r="NSC175" s="72"/>
      <c r="NSD175" s="72"/>
      <c r="NSE175" s="72"/>
      <c r="NSF175" s="72"/>
      <c r="NSG175" s="72"/>
      <c r="NSH175" s="72"/>
      <c r="NSI175" s="72"/>
      <c r="NSJ175" s="72"/>
      <c r="NSK175" s="72"/>
      <c r="NSL175" s="72"/>
      <c r="NSM175" s="72"/>
      <c r="NSN175" s="72"/>
      <c r="NSO175" s="72"/>
      <c r="NSP175" s="72"/>
      <c r="NSQ175" s="72"/>
      <c r="NSR175" s="72"/>
      <c r="NSS175" s="72"/>
      <c r="NST175" s="72"/>
      <c r="NSU175" s="72"/>
      <c r="NSV175" s="72"/>
      <c r="NSW175" s="72"/>
      <c r="NSX175" s="72"/>
      <c r="NSY175" s="72"/>
      <c r="NSZ175" s="72"/>
      <c r="NTA175" s="72"/>
      <c r="NTB175" s="72"/>
      <c r="NTC175" s="72"/>
      <c r="NTD175" s="72"/>
      <c r="NTE175" s="72"/>
      <c r="NTF175" s="72"/>
      <c r="NTG175" s="72"/>
      <c r="NTH175" s="72"/>
      <c r="NTI175" s="72"/>
      <c r="NTJ175" s="72"/>
      <c r="NTK175" s="72"/>
      <c r="NTL175" s="72"/>
      <c r="NTM175" s="72"/>
      <c r="NTN175" s="72"/>
      <c r="NTO175" s="72"/>
      <c r="NTP175" s="72"/>
      <c r="NTQ175" s="72"/>
      <c r="NTR175" s="72"/>
      <c r="NTS175" s="72"/>
      <c r="NTT175" s="72"/>
      <c r="NTU175" s="72"/>
      <c r="NTV175" s="72"/>
      <c r="NTW175" s="72"/>
      <c r="NTX175" s="72"/>
      <c r="NTY175" s="72"/>
      <c r="NTZ175" s="72"/>
      <c r="NUA175" s="72"/>
      <c r="NUB175" s="72"/>
      <c r="NUC175" s="72"/>
      <c r="NUD175" s="72"/>
      <c r="NUE175" s="72"/>
      <c r="NUF175" s="72"/>
      <c r="NUG175" s="72"/>
      <c r="NUH175" s="72"/>
      <c r="NUI175" s="72"/>
      <c r="NUJ175" s="72"/>
      <c r="NUK175" s="72"/>
      <c r="NUL175" s="72"/>
      <c r="NUM175" s="72"/>
      <c r="NUN175" s="72"/>
      <c r="NUO175" s="72"/>
      <c r="NUP175" s="72"/>
      <c r="NUQ175" s="72"/>
      <c r="NUR175" s="72"/>
      <c r="NUS175" s="72"/>
      <c r="NUT175" s="72"/>
      <c r="NUU175" s="72"/>
      <c r="NUV175" s="72"/>
      <c r="NUW175" s="72"/>
      <c r="NUX175" s="72"/>
      <c r="NUY175" s="72"/>
      <c r="NUZ175" s="72"/>
      <c r="NVA175" s="72"/>
      <c r="NVB175" s="72"/>
      <c r="NVC175" s="72"/>
      <c r="NVD175" s="72"/>
      <c r="NVE175" s="72"/>
      <c r="NVF175" s="72"/>
      <c r="NVG175" s="72"/>
      <c r="NVH175" s="72"/>
      <c r="NVI175" s="72"/>
      <c r="NVJ175" s="72"/>
      <c r="NVK175" s="72"/>
      <c r="NVL175" s="72"/>
      <c r="NVM175" s="72"/>
      <c r="NVN175" s="72"/>
      <c r="NVO175" s="72"/>
      <c r="NVP175" s="72"/>
      <c r="NVQ175" s="72"/>
      <c r="NVR175" s="72"/>
      <c r="NVS175" s="72"/>
      <c r="NVT175" s="72"/>
      <c r="NVU175" s="72"/>
      <c r="NVV175" s="72"/>
      <c r="NVW175" s="72"/>
      <c r="NVX175" s="72"/>
      <c r="NVY175" s="72"/>
      <c r="NVZ175" s="72"/>
      <c r="NWA175" s="72"/>
      <c r="NWB175" s="72"/>
      <c r="NWC175" s="72"/>
      <c r="NWD175" s="72"/>
      <c r="NWE175" s="72"/>
      <c r="NWF175" s="72"/>
      <c r="NWG175" s="72"/>
      <c r="NWH175" s="72"/>
      <c r="NWI175" s="72"/>
      <c r="NWJ175" s="72"/>
      <c r="NWK175" s="72"/>
      <c r="NWL175" s="72"/>
      <c r="NWM175" s="72"/>
      <c r="NWN175" s="72"/>
      <c r="NWO175" s="72"/>
      <c r="NWP175" s="72"/>
      <c r="NWQ175" s="72"/>
      <c r="NWR175" s="72"/>
      <c r="NWS175" s="72"/>
      <c r="NWT175" s="72"/>
      <c r="NWU175" s="72"/>
      <c r="NWV175" s="72"/>
      <c r="NWW175" s="72"/>
      <c r="NWX175" s="72"/>
      <c r="NWY175" s="72"/>
      <c r="NWZ175" s="72"/>
      <c r="NXA175" s="72"/>
      <c r="NXB175" s="72"/>
      <c r="NXC175" s="72"/>
      <c r="NXD175" s="72"/>
      <c r="NXE175" s="72"/>
      <c r="NXF175" s="72"/>
      <c r="NXG175" s="72"/>
      <c r="NXH175" s="72"/>
      <c r="NXI175" s="72"/>
      <c r="NXJ175" s="72"/>
      <c r="NXK175" s="72"/>
      <c r="NXL175" s="72"/>
      <c r="NXM175" s="72"/>
      <c r="NXN175" s="72"/>
      <c r="NXO175" s="72"/>
      <c r="NXP175" s="72"/>
      <c r="NXQ175" s="72"/>
      <c r="NXR175" s="72"/>
      <c r="NXS175" s="72"/>
      <c r="NXT175" s="72"/>
      <c r="NXU175" s="72"/>
      <c r="NXV175" s="72"/>
      <c r="NXW175" s="72"/>
      <c r="NXX175" s="72"/>
      <c r="NXY175" s="72"/>
      <c r="NXZ175" s="72"/>
      <c r="NYA175" s="72"/>
      <c r="NYB175" s="72"/>
      <c r="NYC175" s="72"/>
      <c r="NYD175" s="72"/>
      <c r="NYE175" s="72"/>
      <c r="NYF175" s="72"/>
      <c r="NYG175" s="72"/>
      <c r="NYH175" s="72"/>
      <c r="NYI175" s="72"/>
      <c r="NYJ175" s="72"/>
      <c r="NYK175" s="72"/>
      <c r="NYL175" s="72"/>
      <c r="NYM175" s="72"/>
      <c r="NYN175" s="72"/>
      <c r="NYO175" s="72"/>
      <c r="NYP175" s="72"/>
      <c r="NYQ175" s="72"/>
      <c r="NYR175" s="72"/>
      <c r="NYS175" s="72"/>
      <c r="NYT175" s="72"/>
      <c r="NYU175" s="72"/>
      <c r="NYV175" s="72"/>
      <c r="NYW175" s="72"/>
      <c r="NYX175" s="72"/>
      <c r="NYY175" s="72"/>
      <c r="NYZ175" s="72"/>
      <c r="NZA175" s="72"/>
      <c r="NZB175" s="72"/>
      <c r="NZC175" s="72"/>
      <c r="NZD175" s="72"/>
      <c r="NZE175" s="72"/>
      <c r="NZF175" s="72"/>
      <c r="NZG175" s="72"/>
      <c r="NZH175" s="72"/>
      <c r="NZI175" s="72"/>
      <c r="NZJ175" s="72"/>
      <c r="NZK175" s="72"/>
      <c r="NZL175" s="72"/>
      <c r="NZM175" s="72"/>
      <c r="NZN175" s="72"/>
      <c r="NZO175" s="72"/>
      <c r="NZP175" s="72"/>
      <c r="NZQ175" s="72"/>
      <c r="NZR175" s="72"/>
      <c r="NZS175" s="72"/>
      <c r="NZT175" s="72"/>
      <c r="NZU175" s="72"/>
      <c r="NZV175" s="72"/>
      <c r="NZW175" s="72"/>
      <c r="NZX175" s="72"/>
      <c r="NZY175" s="72"/>
      <c r="NZZ175" s="72"/>
      <c r="OAA175" s="72"/>
      <c r="OAB175" s="72"/>
      <c r="OAC175" s="72"/>
      <c r="OAD175" s="72"/>
      <c r="OAE175" s="72"/>
      <c r="OAF175" s="72"/>
      <c r="OAG175" s="72"/>
      <c r="OAH175" s="72"/>
      <c r="OAI175" s="72"/>
      <c r="OAJ175" s="72"/>
      <c r="OAK175" s="72"/>
      <c r="OAL175" s="72"/>
      <c r="OAM175" s="72"/>
      <c r="OAN175" s="72"/>
      <c r="OAO175" s="72"/>
      <c r="OAP175" s="72"/>
      <c r="OAQ175" s="72"/>
      <c r="OAR175" s="72"/>
      <c r="OAS175" s="72"/>
      <c r="OAT175" s="72"/>
      <c r="OAU175" s="72"/>
      <c r="OAV175" s="72"/>
      <c r="OAW175" s="72"/>
      <c r="OAX175" s="72"/>
      <c r="OAY175" s="72"/>
      <c r="OAZ175" s="72"/>
      <c r="OBA175" s="72"/>
      <c r="OBB175" s="72"/>
      <c r="OBC175" s="72"/>
      <c r="OBD175" s="72"/>
      <c r="OBE175" s="72"/>
      <c r="OBF175" s="72"/>
      <c r="OBG175" s="72"/>
      <c r="OBH175" s="72"/>
      <c r="OBI175" s="72"/>
      <c r="OBJ175" s="72"/>
      <c r="OBK175" s="72"/>
      <c r="OBL175" s="72"/>
      <c r="OBM175" s="72"/>
      <c r="OBN175" s="72"/>
      <c r="OBO175" s="72"/>
      <c r="OBP175" s="72"/>
      <c r="OBQ175" s="72"/>
      <c r="OBR175" s="72"/>
      <c r="OBS175" s="72"/>
      <c r="OBT175" s="72"/>
      <c r="OBU175" s="72"/>
      <c r="OBV175" s="72"/>
      <c r="OBW175" s="72"/>
      <c r="OBX175" s="72"/>
      <c r="OBY175" s="72"/>
      <c r="OBZ175" s="72"/>
      <c r="OCA175" s="72"/>
      <c r="OCB175" s="72"/>
      <c r="OCC175" s="72"/>
      <c r="OCD175" s="72"/>
      <c r="OCE175" s="72"/>
      <c r="OCF175" s="72"/>
      <c r="OCG175" s="72"/>
      <c r="OCH175" s="72"/>
      <c r="OCI175" s="72"/>
      <c r="OCJ175" s="72"/>
      <c r="OCK175" s="72"/>
      <c r="OCL175" s="72"/>
      <c r="OCM175" s="72"/>
      <c r="OCN175" s="72"/>
      <c r="OCO175" s="72"/>
      <c r="OCP175" s="72"/>
      <c r="OCQ175" s="72"/>
      <c r="OCR175" s="72"/>
      <c r="OCS175" s="72"/>
      <c r="OCT175" s="72"/>
      <c r="OCU175" s="72"/>
      <c r="OCV175" s="72"/>
      <c r="OCW175" s="72"/>
      <c r="OCX175" s="72"/>
      <c r="OCY175" s="72"/>
      <c r="OCZ175" s="72"/>
      <c r="ODA175" s="72"/>
      <c r="ODB175" s="72"/>
      <c r="ODC175" s="72"/>
      <c r="ODD175" s="72"/>
      <c r="ODE175" s="72"/>
      <c r="ODF175" s="72"/>
      <c r="ODG175" s="72"/>
      <c r="ODH175" s="72"/>
      <c r="ODI175" s="72"/>
      <c r="ODJ175" s="72"/>
      <c r="ODK175" s="72"/>
      <c r="ODL175" s="72"/>
      <c r="ODM175" s="72"/>
      <c r="ODN175" s="72"/>
      <c r="ODO175" s="72"/>
      <c r="ODP175" s="72"/>
      <c r="ODQ175" s="72"/>
      <c r="ODR175" s="72"/>
      <c r="ODS175" s="72"/>
      <c r="ODT175" s="72"/>
      <c r="ODU175" s="72"/>
      <c r="ODV175" s="72"/>
      <c r="ODW175" s="72"/>
      <c r="ODX175" s="72"/>
      <c r="ODY175" s="72"/>
      <c r="ODZ175" s="72"/>
      <c r="OEA175" s="72"/>
      <c r="OEB175" s="72"/>
      <c r="OEC175" s="72"/>
      <c r="OED175" s="72"/>
      <c r="OEE175" s="72"/>
      <c r="OEF175" s="72"/>
      <c r="OEG175" s="72"/>
      <c r="OEH175" s="72"/>
      <c r="OEI175" s="72"/>
      <c r="OEJ175" s="72"/>
      <c r="OEK175" s="72"/>
      <c r="OEL175" s="72"/>
      <c r="OEM175" s="72"/>
      <c r="OEN175" s="72"/>
      <c r="OEO175" s="72"/>
      <c r="OEP175" s="72"/>
      <c r="OEQ175" s="72"/>
      <c r="OER175" s="72"/>
      <c r="OES175" s="72"/>
      <c r="OET175" s="72"/>
      <c r="OEU175" s="72"/>
      <c r="OEV175" s="72"/>
      <c r="OEW175" s="72"/>
      <c r="OEX175" s="72"/>
      <c r="OEY175" s="72"/>
      <c r="OEZ175" s="72"/>
      <c r="OFA175" s="72"/>
      <c r="OFB175" s="72"/>
      <c r="OFC175" s="72"/>
      <c r="OFD175" s="72"/>
      <c r="OFE175" s="72"/>
      <c r="OFF175" s="72"/>
      <c r="OFG175" s="72"/>
      <c r="OFH175" s="72"/>
      <c r="OFI175" s="72"/>
      <c r="OFJ175" s="72"/>
      <c r="OFK175" s="72"/>
      <c r="OFL175" s="72"/>
      <c r="OFM175" s="72"/>
      <c r="OFN175" s="72"/>
      <c r="OFO175" s="72"/>
      <c r="OFP175" s="72"/>
      <c r="OFQ175" s="72"/>
      <c r="OFR175" s="72"/>
      <c r="OFS175" s="72"/>
      <c r="OFT175" s="72"/>
      <c r="OFU175" s="72"/>
      <c r="OFV175" s="72"/>
      <c r="OFW175" s="72"/>
      <c r="OFX175" s="72"/>
      <c r="OFY175" s="72"/>
      <c r="OFZ175" s="72"/>
      <c r="OGA175" s="72"/>
      <c r="OGB175" s="72"/>
      <c r="OGC175" s="72"/>
      <c r="OGD175" s="72"/>
      <c r="OGE175" s="72"/>
      <c r="OGF175" s="72"/>
      <c r="OGG175" s="72"/>
      <c r="OGH175" s="72"/>
      <c r="OGI175" s="72"/>
      <c r="OGJ175" s="72"/>
      <c r="OGK175" s="72"/>
      <c r="OGL175" s="72"/>
      <c r="OGM175" s="72"/>
      <c r="OGN175" s="72"/>
      <c r="OGO175" s="72"/>
      <c r="OGP175" s="72"/>
      <c r="OGQ175" s="72"/>
      <c r="OGR175" s="72"/>
      <c r="OGS175" s="72"/>
      <c r="OGT175" s="72"/>
      <c r="OGU175" s="72"/>
      <c r="OGV175" s="72"/>
      <c r="OGW175" s="72"/>
      <c r="OGX175" s="72"/>
      <c r="OGY175" s="72"/>
      <c r="OGZ175" s="72"/>
      <c r="OHA175" s="72"/>
      <c r="OHB175" s="72"/>
      <c r="OHC175" s="72"/>
      <c r="OHD175" s="72"/>
      <c r="OHE175" s="72"/>
      <c r="OHF175" s="72"/>
      <c r="OHG175" s="72"/>
      <c r="OHH175" s="72"/>
      <c r="OHI175" s="72"/>
      <c r="OHJ175" s="72"/>
      <c r="OHK175" s="72"/>
      <c r="OHL175" s="72"/>
      <c r="OHM175" s="72"/>
      <c r="OHN175" s="72"/>
      <c r="OHO175" s="72"/>
      <c r="OHP175" s="72"/>
      <c r="OHQ175" s="72"/>
      <c r="OHR175" s="72"/>
      <c r="OHS175" s="72"/>
      <c r="OHT175" s="72"/>
      <c r="OHU175" s="72"/>
      <c r="OHV175" s="72"/>
      <c r="OHW175" s="72"/>
      <c r="OHX175" s="72"/>
      <c r="OHY175" s="72"/>
      <c r="OHZ175" s="72"/>
      <c r="OIA175" s="72"/>
      <c r="OIB175" s="72"/>
      <c r="OIC175" s="72"/>
      <c r="OID175" s="72"/>
      <c r="OIE175" s="72"/>
      <c r="OIF175" s="72"/>
      <c r="OIG175" s="72"/>
      <c r="OIH175" s="72"/>
      <c r="OII175" s="72"/>
      <c r="OIJ175" s="72"/>
      <c r="OIK175" s="72"/>
      <c r="OIL175" s="72"/>
      <c r="OIM175" s="72"/>
      <c r="OIN175" s="72"/>
      <c r="OIO175" s="72"/>
      <c r="OIP175" s="72"/>
      <c r="OIQ175" s="72"/>
      <c r="OIR175" s="72"/>
      <c r="OIS175" s="72"/>
      <c r="OIT175" s="72"/>
      <c r="OIU175" s="72"/>
      <c r="OIV175" s="72"/>
      <c r="OIW175" s="72"/>
      <c r="OIX175" s="72"/>
      <c r="OIY175" s="72"/>
      <c r="OIZ175" s="72"/>
      <c r="OJA175" s="72"/>
      <c r="OJB175" s="72"/>
      <c r="OJC175" s="72"/>
      <c r="OJD175" s="72"/>
      <c r="OJE175" s="72"/>
      <c r="OJF175" s="72"/>
      <c r="OJG175" s="72"/>
      <c r="OJH175" s="72"/>
      <c r="OJI175" s="72"/>
      <c r="OJJ175" s="72"/>
      <c r="OJK175" s="72"/>
      <c r="OJL175" s="72"/>
      <c r="OJM175" s="72"/>
      <c r="OJN175" s="72"/>
      <c r="OJO175" s="72"/>
      <c r="OJP175" s="72"/>
      <c r="OJQ175" s="72"/>
      <c r="OJR175" s="72"/>
      <c r="OJS175" s="72"/>
      <c r="OJT175" s="72"/>
      <c r="OJU175" s="72"/>
      <c r="OJV175" s="72"/>
      <c r="OJW175" s="72"/>
      <c r="OJX175" s="72"/>
      <c r="OJY175" s="72"/>
      <c r="OJZ175" s="72"/>
      <c r="OKA175" s="72"/>
      <c r="OKB175" s="72"/>
      <c r="OKC175" s="72"/>
      <c r="OKD175" s="72"/>
      <c r="OKE175" s="72"/>
      <c r="OKF175" s="72"/>
      <c r="OKG175" s="72"/>
      <c r="OKH175" s="72"/>
      <c r="OKI175" s="72"/>
      <c r="OKJ175" s="72"/>
      <c r="OKK175" s="72"/>
      <c r="OKL175" s="72"/>
      <c r="OKM175" s="72"/>
      <c r="OKN175" s="72"/>
      <c r="OKO175" s="72"/>
      <c r="OKP175" s="72"/>
      <c r="OKQ175" s="72"/>
      <c r="OKR175" s="72"/>
      <c r="OKS175" s="72"/>
      <c r="OKT175" s="72"/>
      <c r="OKU175" s="72"/>
      <c r="OKV175" s="72"/>
      <c r="OKW175" s="72"/>
      <c r="OKX175" s="72"/>
      <c r="OKY175" s="72"/>
      <c r="OKZ175" s="72"/>
      <c r="OLA175" s="72"/>
      <c r="OLB175" s="72"/>
      <c r="OLC175" s="72"/>
      <c r="OLD175" s="72"/>
      <c r="OLE175" s="72"/>
      <c r="OLF175" s="72"/>
      <c r="OLG175" s="72"/>
      <c r="OLH175" s="72"/>
      <c r="OLI175" s="72"/>
      <c r="OLJ175" s="72"/>
      <c r="OLK175" s="72"/>
      <c r="OLL175" s="72"/>
      <c r="OLM175" s="72"/>
      <c r="OLN175" s="72"/>
      <c r="OLO175" s="72"/>
      <c r="OLP175" s="72"/>
      <c r="OLQ175" s="72"/>
      <c r="OLR175" s="72"/>
      <c r="OLS175" s="72"/>
      <c r="OLT175" s="72"/>
      <c r="OLU175" s="72"/>
      <c r="OLV175" s="72"/>
      <c r="OLW175" s="72"/>
      <c r="OLX175" s="72"/>
      <c r="OLY175" s="72"/>
      <c r="OLZ175" s="72"/>
      <c r="OMA175" s="72"/>
      <c r="OMB175" s="72"/>
      <c r="OMC175" s="72"/>
      <c r="OMD175" s="72"/>
      <c r="OME175" s="72"/>
      <c r="OMF175" s="72"/>
      <c r="OMG175" s="72"/>
      <c r="OMH175" s="72"/>
      <c r="OMI175" s="72"/>
      <c r="OMJ175" s="72"/>
      <c r="OMK175" s="72"/>
      <c r="OML175" s="72"/>
      <c r="OMM175" s="72"/>
      <c r="OMN175" s="72"/>
      <c r="OMO175" s="72"/>
      <c r="OMP175" s="72"/>
      <c r="OMQ175" s="72"/>
      <c r="OMR175" s="72"/>
      <c r="OMS175" s="72"/>
      <c r="OMT175" s="72"/>
      <c r="OMU175" s="72"/>
      <c r="OMV175" s="72"/>
      <c r="OMW175" s="72"/>
      <c r="OMX175" s="72"/>
      <c r="OMY175" s="72"/>
      <c r="OMZ175" s="72"/>
      <c r="ONA175" s="72"/>
      <c r="ONB175" s="72"/>
      <c r="ONC175" s="72"/>
      <c r="OND175" s="72"/>
      <c r="ONE175" s="72"/>
      <c r="ONF175" s="72"/>
      <c r="ONG175" s="72"/>
      <c r="ONH175" s="72"/>
      <c r="ONI175" s="72"/>
      <c r="ONJ175" s="72"/>
      <c r="ONK175" s="72"/>
      <c r="ONL175" s="72"/>
      <c r="ONM175" s="72"/>
      <c r="ONN175" s="72"/>
      <c r="ONO175" s="72"/>
      <c r="ONP175" s="72"/>
      <c r="ONQ175" s="72"/>
      <c r="ONR175" s="72"/>
      <c r="ONS175" s="72"/>
      <c r="ONT175" s="72"/>
      <c r="ONU175" s="72"/>
      <c r="ONV175" s="72"/>
      <c r="ONW175" s="72"/>
      <c r="ONX175" s="72"/>
      <c r="ONY175" s="72"/>
      <c r="ONZ175" s="72"/>
      <c r="OOA175" s="72"/>
      <c r="OOB175" s="72"/>
      <c r="OOC175" s="72"/>
      <c r="OOD175" s="72"/>
      <c r="OOE175" s="72"/>
      <c r="OOF175" s="72"/>
      <c r="OOG175" s="72"/>
      <c r="OOH175" s="72"/>
      <c r="OOI175" s="72"/>
      <c r="OOJ175" s="72"/>
      <c r="OOK175" s="72"/>
      <c r="OOL175" s="72"/>
      <c r="OOM175" s="72"/>
      <c r="OON175" s="72"/>
      <c r="OOO175" s="72"/>
      <c r="OOP175" s="72"/>
      <c r="OOQ175" s="72"/>
      <c r="OOR175" s="72"/>
      <c r="OOS175" s="72"/>
      <c r="OOT175" s="72"/>
      <c r="OOU175" s="72"/>
      <c r="OOV175" s="72"/>
      <c r="OOW175" s="72"/>
      <c r="OOX175" s="72"/>
      <c r="OOY175" s="72"/>
      <c r="OOZ175" s="72"/>
      <c r="OPA175" s="72"/>
      <c r="OPB175" s="72"/>
      <c r="OPC175" s="72"/>
      <c r="OPD175" s="72"/>
      <c r="OPE175" s="72"/>
      <c r="OPF175" s="72"/>
      <c r="OPG175" s="72"/>
      <c r="OPH175" s="72"/>
      <c r="OPI175" s="72"/>
      <c r="OPJ175" s="72"/>
      <c r="OPK175" s="72"/>
      <c r="OPL175" s="72"/>
      <c r="OPM175" s="72"/>
      <c r="OPN175" s="72"/>
      <c r="OPO175" s="72"/>
      <c r="OPP175" s="72"/>
      <c r="OPQ175" s="72"/>
      <c r="OPR175" s="72"/>
      <c r="OPS175" s="72"/>
      <c r="OPT175" s="72"/>
      <c r="OPU175" s="72"/>
      <c r="OPV175" s="72"/>
      <c r="OPW175" s="72"/>
      <c r="OPX175" s="72"/>
      <c r="OPY175" s="72"/>
      <c r="OPZ175" s="72"/>
      <c r="OQA175" s="72"/>
      <c r="OQB175" s="72"/>
      <c r="OQC175" s="72"/>
      <c r="OQD175" s="72"/>
      <c r="OQE175" s="72"/>
      <c r="OQF175" s="72"/>
      <c r="OQG175" s="72"/>
      <c r="OQH175" s="72"/>
      <c r="OQI175" s="72"/>
      <c r="OQJ175" s="72"/>
      <c r="OQK175" s="72"/>
      <c r="OQL175" s="72"/>
      <c r="OQM175" s="72"/>
      <c r="OQN175" s="72"/>
      <c r="OQO175" s="72"/>
      <c r="OQP175" s="72"/>
      <c r="OQQ175" s="72"/>
      <c r="OQR175" s="72"/>
      <c r="OQS175" s="72"/>
      <c r="OQT175" s="72"/>
      <c r="OQU175" s="72"/>
      <c r="OQV175" s="72"/>
      <c r="OQW175" s="72"/>
      <c r="OQX175" s="72"/>
      <c r="OQY175" s="72"/>
      <c r="OQZ175" s="72"/>
      <c r="ORA175" s="72"/>
      <c r="ORB175" s="72"/>
      <c r="ORC175" s="72"/>
      <c r="ORD175" s="72"/>
      <c r="ORE175" s="72"/>
      <c r="ORF175" s="72"/>
      <c r="ORG175" s="72"/>
      <c r="ORH175" s="72"/>
      <c r="ORI175" s="72"/>
      <c r="ORJ175" s="72"/>
      <c r="ORK175" s="72"/>
      <c r="ORL175" s="72"/>
      <c r="ORM175" s="72"/>
      <c r="ORN175" s="72"/>
      <c r="ORO175" s="72"/>
      <c r="ORP175" s="72"/>
      <c r="ORQ175" s="72"/>
      <c r="ORR175" s="72"/>
      <c r="ORS175" s="72"/>
      <c r="ORT175" s="72"/>
      <c r="ORU175" s="72"/>
      <c r="ORV175" s="72"/>
      <c r="ORW175" s="72"/>
      <c r="ORX175" s="72"/>
      <c r="ORY175" s="72"/>
      <c r="ORZ175" s="72"/>
      <c r="OSA175" s="72"/>
      <c r="OSB175" s="72"/>
      <c r="OSC175" s="72"/>
      <c r="OSD175" s="72"/>
      <c r="OSE175" s="72"/>
      <c r="OSF175" s="72"/>
      <c r="OSG175" s="72"/>
      <c r="OSH175" s="72"/>
      <c r="OSI175" s="72"/>
      <c r="OSJ175" s="72"/>
      <c r="OSK175" s="72"/>
      <c r="OSL175" s="72"/>
      <c r="OSM175" s="72"/>
      <c r="OSN175" s="72"/>
      <c r="OSO175" s="72"/>
      <c r="OSP175" s="72"/>
      <c r="OSQ175" s="72"/>
      <c r="OSR175" s="72"/>
      <c r="OSS175" s="72"/>
      <c r="OST175" s="72"/>
      <c r="OSU175" s="72"/>
      <c r="OSV175" s="72"/>
      <c r="OSW175" s="72"/>
      <c r="OSX175" s="72"/>
      <c r="OSY175" s="72"/>
      <c r="OSZ175" s="72"/>
      <c r="OTA175" s="72"/>
      <c r="OTB175" s="72"/>
      <c r="OTC175" s="72"/>
      <c r="OTD175" s="72"/>
      <c r="OTE175" s="72"/>
      <c r="OTF175" s="72"/>
      <c r="OTG175" s="72"/>
      <c r="OTH175" s="72"/>
      <c r="OTI175" s="72"/>
      <c r="OTJ175" s="72"/>
      <c r="OTK175" s="72"/>
      <c r="OTL175" s="72"/>
      <c r="OTM175" s="72"/>
      <c r="OTN175" s="72"/>
      <c r="OTO175" s="72"/>
      <c r="OTP175" s="72"/>
      <c r="OTQ175" s="72"/>
      <c r="OTR175" s="72"/>
      <c r="OTS175" s="72"/>
      <c r="OTT175" s="72"/>
      <c r="OTU175" s="72"/>
      <c r="OTV175" s="72"/>
      <c r="OTW175" s="72"/>
      <c r="OTX175" s="72"/>
      <c r="OTY175" s="72"/>
      <c r="OTZ175" s="72"/>
      <c r="OUA175" s="72"/>
      <c r="OUB175" s="72"/>
      <c r="OUC175" s="72"/>
      <c r="OUD175" s="72"/>
      <c r="OUE175" s="72"/>
      <c r="OUF175" s="72"/>
      <c r="OUG175" s="72"/>
      <c r="OUH175" s="72"/>
      <c r="OUI175" s="72"/>
      <c r="OUJ175" s="72"/>
      <c r="OUK175" s="72"/>
      <c r="OUL175" s="72"/>
      <c r="OUM175" s="72"/>
      <c r="OUN175" s="72"/>
      <c r="OUO175" s="72"/>
      <c r="OUP175" s="72"/>
      <c r="OUQ175" s="72"/>
      <c r="OUR175" s="72"/>
      <c r="OUS175" s="72"/>
      <c r="OUT175" s="72"/>
      <c r="OUU175" s="72"/>
      <c r="OUV175" s="72"/>
      <c r="OUW175" s="72"/>
      <c r="OUX175" s="72"/>
      <c r="OUY175" s="72"/>
      <c r="OUZ175" s="72"/>
      <c r="OVA175" s="72"/>
      <c r="OVB175" s="72"/>
      <c r="OVC175" s="72"/>
      <c r="OVD175" s="72"/>
      <c r="OVE175" s="72"/>
      <c r="OVF175" s="72"/>
      <c r="OVG175" s="72"/>
      <c r="OVH175" s="72"/>
      <c r="OVI175" s="72"/>
      <c r="OVJ175" s="72"/>
      <c r="OVK175" s="72"/>
      <c r="OVL175" s="72"/>
      <c r="OVM175" s="72"/>
      <c r="OVN175" s="72"/>
      <c r="OVO175" s="72"/>
      <c r="OVP175" s="72"/>
      <c r="OVQ175" s="72"/>
      <c r="OVR175" s="72"/>
      <c r="OVS175" s="72"/>
      <c r="OVT175" s="72"/>
      <c r="OVU175" s="72"/>
      <c r="OVV175" s="72"/>
      <c r="OVW175" s="72"/>
      <c r="OVX175" s="72"/>
      <c r="OVY175" s="72"/>
      <c r="OVZ175" s="72"/>
      <c r="OWA175" s="72"/>
      <c r="OWB175" s="72"/>
      <c r="OWC175" s="72"/>
      <c r="OWD175" s="72"/>
      <c r="OWE175" s="72"/>
      <c r="OWF175" s="72"/>
      <c r="OWG175" s="72"/>
      <c r="OWH175" s="72"/>
      <c r="OWI175" s="72"/>
      <c r="OWJ175" s="72"/>
      <c r="OWK175" s="72"/>
      <c r="OWL175" s="72"/>
      <c r="OWM175" s="72"/>
      <c r="OWN175" s="72"/>
      <c r="OWO175" s="72"/>
      <c r="OWP175" s="72"/>
      <c r="OWQ175" s="72"/>
      <c r="OWR175" s="72"/>
      <c r="OWS175" s="72"/>
      <c r="OWT175" s="72"/>
      <c r="OWU175" s="72"/>
      <c r="OWV175" s="72"/>
      <c r="OWW175" s="72"/>
      <c r="OWX175" s="72"/>
      <c r="OWY175" s="72"/>
      <c r="OWZ175" s="72"/>
      <c r="OXA175" s="72"/>
      <c r="OXB175" s="72"/>
      <c r="OXC175" s="72"/>
      <c r="OXD175" s="72"/>
      <c r="OXE175" s="72"/>
      <c r="OXF175" s="72"/>
      <c r="OXG175" s="72"/>
      <c r="OXH175" s="72"/>
      <c r="OXI175" s="72"/>
      <c r="OXJ175" s="72"/>
      <c r="OXK175" s="72"/>
      <c r="OXL175" s="72"/>
      <c r="OXM175" s="72"/>
      <c r="OXN175" s="72"/>
      <c r="OXO175" s="72"/>
      <c r="OXP175" s="72"/>
      <c r="OXQ175" s="72"/>
      <c r="OXR175" s="72"/>
      <c r="OXS175" s="72"/>
      <c r="OXT175" s="72"/>
      <c r="OXU175" s="72"/>
      <c r="OXV175" s="72"/>
      <c r="OXW175" s="72"/>
      <c r="OXX175" s="72"/>
      <c r="OXY175" s="72"/>
      <c r="OXZ175" s="72"/>
      <c r="OYA175" s="72"/>
      <c r="OYB175" s="72"/>
      <c r="OYC175" s="72"/>
      <c r="OYD175" s="72"/>
      <c r="OYE175" s="72"/>
      <c r="OYF175" s="72"/>
      <c r="OYG175" s="72"/>
      <c r="OYH175" s="72"/>
      <c r="OYI175" s="72"/>
      <c r="OYJ175" s="72"/>
      <c r="OYK175" s="72"/>
      <c r="OYL175" s="72"/>
      <c r="OYM175" s="72"/>
      <c r="OYN175" s="72"/>
      <c r="OYO175" s="72"/>
      <c r="OYP175" s="72"/>
      <c r="OYQ175" s="72"/>
      <c r="OYR175" s="72"/>
      <c r="OYS175" s="72"/>
      <c r="OYT175" s="72"/>
      <c r="OYU175" s="72"/>
      <c r="OYV175" s="72"/>
      <c r="OYW175" s="72"/>
      <c r="OYX175" s="72"/>
      <c r="OYY175" s="72"/>
      <c r="OYZ175" s="72"/>
      <c r="OZA175" s="72"/>
      <c r="OZB175" s="72"/>
      <c r="OZC175" s="72"/>
      <c r="OZD175" s="72"/>
      <c r="OZE175" s="72"/>
      <c r="OZF175" s="72"/>
      <c r="OZG175" s="72"/>
      <c r="OZH175" s="72"/>
      <c r="OZI175" s="72"/>
      <c r="OZJ175" s="72"/>
      <c r="OZK175" s="72"/>
      <c r="OZL175" s="72"/>
      <c r="OZM175" s="72"/>
      <c r="OZN175" s="72"/>
      <c r="OZO175" s="72"/>
      <c r="OZP175" s="72"/>
      <c r="OZQ175" s="72"/>
      <c r="OZR175" s="72"/>
      <c r="OZS175" s="72"/>
      <c r="OZT175" s="72"/>
      <c r="OZU175" s="72"/>
      <c r="OZV175" s="72"/>
      <c r="OZW175" s="72"/>
      <c r="OZX175" s="72"/>
      <c r="OZY175" s="72"/>
      <c r="OZZ175" s="72"/>
      <c r="PAA175" s="72"/>
      <c r="PAB175" s="72"/>
      <c r="PAC175" s="72"/>
      <c r="PAD175" s="72"/>
      <c r="PAE175" s="72"/>
      <c r="PAF175" s="72"/>
      <c r="PAG175" s="72"/>
      <c r="PAH175" s="72"/>
      <c r="PAI175" s="72"/>
      <c r="PAJ175" s="72"/>
      <c r="PAK175" s="72"/>
      <c r="PAL175" s="72"/>
      <c r="PAM175" s="72"/>
      <c r="PAN175" s="72"/>
      <c r="PAO175" s="72"/>
      <c r="PAP175" s="72"/>
      <c r="PAQ175" s="72"/>
      <c r="PAR175" s="72"/>
      <c r="PAS175" s="72"/>
      <c r="PAT175" s="72"/>
      <c r="PAU175" s="72"/>
      <c r="PAV175" s="72"/>
      <c r="PAW175" s="72"/>
      <c r="PAX175" s="72"/>
      <c r="PAY175" s="72"/>
      <c r="PAZ175" s="72"/>
      <c r="PBA175" s="72"/>
      <c r="PBB175" s="72"/>
      <c r="PBC175" s="72"/>
      <c r="PBD175" s="72"/>
      <c r="PBE175" s="72"/>
      <c r="PBF175" s="72"/>
      <c r="PBG175" s="72"/>
      <c r="PBH175" s="72"/>
      <c r="PBI175" s="72"/>
      <c r="PBJ175" s="72"/>
      <c r="PBK175" s="72"/>
      <c r="PBL175" s="72"/>
      <c r="PBM175" s="72"/>
      <c r="PBN175" s="72"/>
      <c r="PBO175" s="72"/>
      <c r="PBP175" s="72"/>
      <c r="PBQ175" s="72"/>
      <c r="PBR175" s="72"/>
      <c r="PBS175" s="72"/>
      <c r="PBT175" s="72"/>
      <c r="PBU175" s="72"/>
      <c r="PBV175" s="72"/>
      <c r="PBW175" s="72"/>
      <c r="PBX175" s="72"/>
      <c r="PBY175" s="72"/>
      <c r="PBZ175" s="72"/>
      <c r="PCA175" s="72"/>
      <c r="PCB175" s="72"/>
      <c r="PCC175" s="72"/>
      <c r="PCD175" s="72"/>
      <c r="PCE175" s="72"/>
      <c r="PCF175" s="72"/>
      <c r="PCG175" s="72"/>
      <c r="PCH175" s="72"/>
      <c r="PCI175" s="72"/>
      <c r="PCJ175" s="72"/>
      <c r="PCK175" s="72"/>
      <c r="PCL175" s="72"/>
      <c r="PCM175" s="72"/>
      <c r="PCN175" s="72"/>
      <c r="PCO175" s="72"/>
      <c r="PCP175" s="72"/>
      <c r="PCQ175" s="72"/>
      <c r="PCR175" s="72"/>
      <c r="PCS175" s="72"/>
      <c r="PCT175" s="72"/>
      <c r="PCU175" s="72"/>
      <c r="PCV175" s="72"/>
      <c r="PCW175" s="72"/>
      <c r="PCX175" s="72"/>
      <c r="PCY175" s="72"/>
      <c r="PCZ175" s="72"/>
      <c r="PDA175" s="72"/>
      <c r="PDB175" s="72"/>
      <c r="PDC175" s="72"/>
      <c r="PDD175" s="72"/>
      <c r="PDE175" s="72"/>
      <c r="PDF175" s="72"/>
      <c r="PDG175" s="72"/>
      <c r="PDH175" s="72"/>
      <c r="PDI175" s="72"/>
      <c r="PDJ175" s="72"/>
      <c r="PDK175" s="72"/>
      <c r="PDL175" s="72"/>
      <c r="PDM175" s="72"/>
      <c r="PDN175" s="72"/>
      <c r="PDO175" s="72"/>
      <c r="PDP175" s="72"/>
      <c r="PDQ175" s="72"/>
      <c r="PDR175" s="72"/>
      <c r="PDS175" s="72"/>
      <c r="PDT175" s="72"/>
      <c r="PDU175" s="72"/>
      <c r="PDV175" s="72"/>
      <c r="PDW175" s="72"/>
      <c r="PDX175" s="72"/>
      <c r="PDY175" s="72"/>
      <c r="PDZ175" s="72"/>
      <c r="PEA175" s="72"/>
      <c r="PEB175" s="72"/>
      <c r="PEC175" s="72"/>
      <c r="PED175" s="72"/>
      <c r="PEE175" s="72"/>
      <c r="PEF175" s="72"/>
      <c r="PEG175" s="72"/>
      <c r="PEH175" s="72"/>
      <c r="PEI175" s="72"/>
      <c r="PEJ175" s="72"/>
      <c r="PEK175" s="72"/>
      <c r="PEL175" s="72"/>
      <c r="PEM175" s="72"/>
      <c r="PEN175" s="72"/>
      <c r="PEO175" s="72"/>
      <c r="PEP175" s="72"/>
      <c r="PEQ175" s="72"/>
      <c r="PER175" s="72"/>
      <c r="PES175" s="72"/>
      <c r="PET175" s="72"/>
      <c r="PEU175" s="72"/>
      <c r="PEV175" s="72"/>
      <c r="PEW175" s="72"/>
      <c r="PEX175" s="72"/>
      <c r="PEY175" s="72"/>
      <c r="PEZ175" s="72"/>
      <c r="PFA175" s="72"/>
      <c r="PFB175" s="72"/>
      <c r="PFC175" s="72"/>
      <c r="PFD175" s="72"/>
      <c r="PFE175" s="72"/>
      <c r="PFF175" s="72"/>
      <c r="PFG175" s="72"/>
      <c r="PFH175" s="72"/>
      <c r="PFI175" s="72"/>
      <c r="PFJ175" s="72"/>
      <c r="PFK175" s="72"/>
      <c r="PFL175" s="72"/>
      <c r="PFM175" s="72"/>
      <c r="PFN175" s="72"/>
      <c r="PFO175" s="72"/>
      <c r="PFP175" s="72"/>
      <c r="PFQ175" s="72"/>
      <c r="PFR175" s="72"/>
      <c r="PFS175" s="72"/>
      <c r="PFT175" s="72"/>
      <c r="PFU175" s="72"/>
      <c r="PFV175" s="72"/>
      <c r="PFW175" s="72"/>
      <c r="PFX175" s="72"/>
      <c r="PFY175" s="72"/>
      <c r="PFZ175" s="72"/>
      <c r="PGA175" s="72"/>
      <c r="PGB175" s="72"/>
      <c r="PGC175" s="72"/>
      <c r="PGD175" s="72"/>
      <c r="PGE175" s="72"/>
      <c r="PGF175" s="72"/>
      <c r="PGG175" s="72"/>
      <c r="PGH175" s="72"/>
      <c r="PGI175" s="72"/>
      <c r="PGJ175" s="72"/>
      <c r="PGK175" s="72"/>
      <c r="PGL175" s="72"/>
      <c r="PGM175" s="72"/>
      <c r="PGN175" s="72"/>
      <c r="PGO175" s="72"/>
      <c r="PGP175" s="72"/>
      <c r="PGQ175" s="72"/>
      <c r="PGR175" s="72"/>
      <c r="PGS175" s="72"/>
      <c r="PGT175" s="72"/>
      <c r="PGU175" s="72"/>
      <c r="PGV175" s="72"/>
      <c r="PGW175" s="72"/>
      <c r="PGX175" s="72"/>
      <c r="PGY175" s="72"/>
      <c r="PGZ175" s="72"/>
      <c r="PHA175" s="72"/>
      <c r="PHB175" s="72"/>
      <c r="PHC175" s="72"/>
      <c r="PHD175" s="72"/>
      <c r="PHE175" s="72"/>
      <c r="PHF175" s="72"/>
      <c r="PHG175" s="72"/>
      <c r="PHH175" s="72"/>
      <c r="PHI175" s="72"/>
      <c r="PHJ175" s="72"/>
      <c r="PHK175" s="72"/>
      <c r="PHL175" s="72"/>
      <c r="PHM175" s="72"/>
      <c r="PHN175" s="72"/>
      <c r="PHO175" s="72"/>
      <c r="PHP175" s="72"/>
      <c r="PHQ175" s="72"/>
      <c r="PHR175" s="72"/>
      <c r="PHS175" s="72"/>
      <c r="PHT175" s="72"/>
      <c r="PHU175" s="72"/>
      <c r="PHV175" s="72"/>
      <c r="PHW175" s="72"/>
      <c r="PHX175" s="72"/>
      <c r="PHY175" s="72"/>
      <c r="PHZ175" s="72"/>
      <c r="PIA175" s="72"/>
      <c r="PIB175" s="72"/>
      <c r="PIC175" s="72"/>
      <c r="PID175" s="72"/>
      <c r="PIE175" s="72"/>
      <c r="PIF175" s="72"/>
      <c r="PIG175" s="72"/>
      <c r="PIH175" s="72"/>
      <c r="PII175" s="72"/>
      <c r="PIJ175" s="72"/>
      <c r="PIK175" s="72"/>
      <c r="PIL175" s="72"/>
      <c r="PIM175" s="72"/>
      <c r="PIN175" s="72"/>
      <c r="PIO175" s="72"/>
      <c r="PIP175" s="72"/>
      <c r="PIQ175" s="72"/>
      <c r="PIR175" s="72"/>
      <c r="PIS175" s="72"/>
      <c r="PIT175" s="72"/>
      <c r="PIU175" s="72"/>
      <c r="PIV175" s="72"/>
      <c r="PIW175" s="72"/>
      <c r="PIX175" s="72"/>
      <c r="PIY175" s="72"/>
      <c r="PIZ175" s="72"/>
      <c r="PJA175" s="72"/>
      <c r="PJB175" s="72"/>
      <c r="PJC175" s="72"/>
      <c r="PJD175" s="72"/>
      <c r="PJE175" s="72"/>
      <c r="PJF175" s="72"/>
      <c r="PJG175" s="72"/>
      <c r="PJH175" s="72"/>
      <c r="PJI175" s="72"/>
      <c r="PJJ175" s="72"/>
      <c r="PJK175" s="72"/>
      <c r="PJL175" s="72"/>
      <c r="PJM175" s="72"/>
      <c r="PJN175" s="72"/>
      <c r="PJO175" s="72"/>
      <c r="PJP175" s="72"/>
      <c r="PJQ175" s="72"/>
      <c r="PJR175" s="72"/>
      <c r="PJS175" s="72"/>
      <c r="PJT175" s="72"/>
      <c r="PJU175" s="72"/>
      <c r="PJV175" s="72"/>
      <c r="PJW175" s="72"/>
      <c r="PJX175" s="72"/>
      <c r="PJY175" s="72"/>
      <c r="PJZ175" s="72"/>
      <c r="PKA175" s="72"/>
      <c r="PKB175" s="72"/>
      <c r="PKC175" s="72"/>
      <c r="PKD175" s="72"/>
      <c r="PKE175" s="72"/>
      <c r="PKF175" s="72"/>
      <c r="PKG175" s="72"/>
      <c r="PKH175" s="72"/>
      <c r="PKI175" s="72"/>
      <c r="PKJ175" s="72"/>
      <c r="PKK175" s="72"/>
      <c r="PKL175" s="72"/>
      <c r="PKM175" s="72"/>
      <c r="PKN175" s="72"/>
      <c r="PKO175" s="72"/>
      <c r="PKP175" s="72"/>
      <c r="PKQ175" s="72"/>
      <c r="PKR175" s="72"/>
      <c r="PKS175" s="72"/>
      <c r="PKT175" s="72"/>
      <c r="PKU175" s="72"/>
      <c r="PKV175" s="72"/>
      <c r="PKW175" s="72"/>
      <c r="PKX175" s="72"/>
      <c r="PKY175" s="72"/>
      <c r="PKZ175" s="72"/>
      <c r="PLA175" s="72"/>
      <c r="PLB175" s="72"/>
      <c r="PLC175" s="72"/>
      <c r="PLD175" s="72"/>
      <c r="PLE175" s="72"/>
      <c r="PLF175" s="72"/>
      <c r="PLG175" s="72"/>
      <c r="PLH175" s="72"/>
      <c r="PLI175" s="72"/>
      <c r="PLJ175" s="72"/>
      <c r="PLK175" s="72"/>
      <c r="PLL175" s="72"/>
      <c r="PLM175" s="72"/>
      <c r="PLN175" s="72"/>
      <c r="PLO175" s="72"/>
      <c r="PLP175" s="72"/>
      <c r="PLQ175" s="72"/>
      <c r="PLR175" s="72"/>
      <c r="PLS175" s="72"/>
      <c r="PLT175" s="72"/>
      <c r="PLU175" s="72"/>
      <c r="PLV175" s="72"/>
      <c r="PLW175" s="72"/>
      <c r="PLX175" s="72"/>
      <c r="PLY175" s="72"/>
      <c r="PLZ175" s="72"/>
      <c r="PMA175" s="72"/>
      <c r="PMB175" s="72"/>
      <c r="PMC175" s="72"/>
      <c r="PMD175" s="72"/>
      <c r="PME175" s="72"/>
      <c r="PMF175" s="72"/>
      <c r="PMG175" s="72"/>
      <c r="PMH175" s="72"/>
      <c r="PMI175" s="72"/>
      <c r="PMJ175" s="72"/>
      <c r="PMK175" s="72"/>
      <c r="PML175" s="72"/>
      <c r="PMM175" s="72"/>
      <c r="PMN175" s="72"/>
      <c r="PMO175" s="72"/>
      <c r="PMP175" s="72"/>
      <c r="PMQ175" s="72"/>
      <c r="PMR175" s="72"/>
      <c r="PMS175" s="72"/>
      <c r="PMT175" s="72"/>
      <c r="PMU175" s="72"/>
      <c r="PMV175" s="72"/>
      <c r="PMW175" s="72"/>
      <c r="PMX175" s="72"/>
      <c r="PMY175" s="72"/>
      <c r="PMZ175" s="72"/>
      <c r="PNA175" s="72"/>
      <c r="PNB175" s="72"/>
      <c r="PNC175" s="72"/>
      <c r="PND175" s="72"/>
      <c r="PNE175" s="72"/>
      <c r="PNF175" s="72"/>
      <c r="PNG175" s="72"/>
      <c r="PNH175" s="72"/>
      <c r="PNI175" s="72"/>
      <c r="PNJ175" s="72"/>
      <c r="PNK175" s="72"/>
      <c r="PNL175" s="72"/>
      <c r="PNM175" s="72"/>
      <c r="PNN175" s="72"/>
      <c r="PNO175" s="72"/>
      <c r="PNP175" s="72"/>
      <c r="PNQ175" s="72"/>
      <c r="PNR175" s="72"/>
      <c r="PNS175" s="72"/>
      <c r="PNT175" s="72"/>
      <c r="PNU175" s="72"/>
      <c r="PNV175" s="72"/>
      <c r="PNW175" s="72"/>
      <c r="PNX175" s="72"/>
      <c r="PNY175" s="72"/>
      <c r="PNZ175" s="72"/>
      <c r="POA175" s="72"/>
      <c r="POB175" s="72"/>
      <c r="POC175" s="72"/>
      <c r="POD175" s="72"/>
      <c r="POE175" s="72"/>
      <c r="POF175" s="72"/>
      <c r="POG175" s="72"/>
      <c r="POH175" s="72"/>
      <c r="POI175" s="72"/>
      <c r="POJ175" s="72"/>
      <c r="POK175" s="72"/>
      <c r="POL175" s="72"/>
      <c r="POM175" s="72"/>
      <c r="PON175" s="72"/>
      <c r="POO175" s="72"/>
      <c r="POP175" s="72"/>
      <c r="POQ175" s="72"/>
      <c r="POR175" s="72"/>
      <c r="POS175" s="72"/>
      <c r="POT175" s="72"/>
      <c r="POU175" s="72"/>
      <c r="POV175" s="72"/>
      <c r="POW175" s="72"/>
      <c r="POX175" s="72"/>
      <c r="POY175" s="72"/>
      <c r="POZ175" s="72"/>
      <c r="PPA175" s="72"/>
      <c r="PPB175" s="72"/>
      <c r="PPC175" s="72"/>
      <c r="PPD175" s="72"/>
      <c r="PPE175" s="72"/>
      <c r="PPF175" s="72"/>
      <c r="PPG175" s="72"/>
      <c r="PPH175" s="72"/>
      <c r="PPI175" s="72"/>
      <c r="PPJ175" s="72"/>
      <c r="PPK175" s="72"/>
      <c r="PPL175" s="72"/>
      <c r="PPM175" s="72"/>
      <c r="PPN175" s="72"/>
      <c r="PPO175" s="72"/>
      <c r="PPP175" s="72"/>
      <c r="PPQ175" s="72"/>
      <c r="PPR175" s="72"/>
      <c r="PPS175" s="72"/>
      <c r="PPT175" s="72"/>
      <c r="PPU175" s="72"/>
      <c r="PPV175" s="72"/>
      <c r="PPW175" s="72"/>
      <c r="PPX175" s="72"/>
      <c r="PPY175" s="72"/>
      <c r="PPZ175" s="72"/>
      <c r="PQA175" s="72"/>
      <c r="PQB175" s="72"/>
      <c r="PQC175" s="72"/>
      <c r="PQD175" s="72"/>
      <c r="PQE175" s="72"/>
      <c r="PQF175" s="72"/>
      <c r="PQG175" s="72"/>
      <c r="PQH175" s="72"/>
      <c r="PQI175" s="72"/>
      <c r="PQJ175" s="72"/>
      <c r="PQK175" s="72"/>
      <c r="PQL175" s="72"/>
      <c r="PQM175" s="72"/>
      <c r="PQN175" s="72"/>
      <c r="PQO175" s="72"/>
      <c r="PQP175" s="72"/>
      <c r="PQQ175" s="72"/>
      <c r="PQR175" s="72"/>
      <c r="PQS175" s="72"/>
      <c r="PQT175" s="72"/>
      <c r="PQU175" s="72"/>
      <c r="PQV175" s="72"/>
      <c r="PQW175" s="72"/>
      <c r="PQX175" s="72"/>
      <c r="PQY175" s="72"/>
      <c r="PQZ175" s="72"/>
      <c r="PRA175" s="72"/>
      <c r="PRB175" s="72"/>
      <c r="PRC175" s="72"/>
      <c r="PRD175" s="72"/>
      <c r="PRE175" s="72"/>
      <c r="PRF175" s="72"/>
      <c r="PRG175" s="72"/>
      <c r="PRH175" s="72"/>
      <c r="PRI175" s="72"/>
      <c r="PRJ175" s="72"/>
      <c r="PRK175" s="72"/>
      <c r="PRL175" s="72"/>
      <c r="PRM175" s="72"/>
      <c r="PRN175" s="72"/>
      <c r="PRO175" s="72"/>
      <c r="PRP175" s="72"/>
      <c r="PRQ175" s="72"/>
      <c r="PRR175" s="72"/>
      <c r="PRS175" s="72"/>
      <c r="PRT175" s="72"/>
      <c r="PRU175" s="72"/>
      <c r="PRV175" s="72"/>
      <c r="PRW175" s="72"/>
      <c r="PRX175" s="72"/>
      <c r="PRY175" s="72"/>
      <c r="PRZ175" s="72"/>
      <c r="PSA175" s="72"/>
      <c r="PSB175" s="72"/>
      <c r="PSC175" s="72"/>
      <c r="PSD175" s="72"/>
      <c r="PSE175" s="72"/>
      <c r="PSF175" s="72"/>
      <c r="PSG175" s="72"/>
      <c r="PSH175" s="72"/>
      <c r="PSI175" s="72"/>
      <c r="PSJ175" s="72"/>
      <c r="PSK175" s="72"/>
      <c r="PSL175" s="72"/>
      <c r="PSM175" s="72"/>
      <c r="PSN175" s="72"/>
      <c r="PSO175" s="72"/>
      <c r="PSP175" s="72"/>
      <c r="PSQ175" s="72"/>
      <c r="PSR175" s="72"/>
      <c r="PSS175" s="72"/>
      <c r="PST175" s="72"/>
      <c r="PSU175" s="72"/>
      <c r="PSV175" s="72"/>
      <c r="PSW175" s="72"/>
      <c r="PSX175" s="72"/>
      <c r="PSY175" s="72"/>
      <c r="PSZ175" s="72"/>
      <c r="PTA175" s="72"/>
      <c r="PTB175" s="72"/>
      <c r="PTC175" s="72"/>
      <c r="PTD175" s="72"/>
      <c r="PTE175" s="72"/>
      <c r="PTF175" s="72"/>
      <c r="PTG175" s="72"/>
      <c r="PTH175" s="72"/>
      <c r="PTI175" s="72"/>
      <c r="PTJ175" s="72"/>
      <c r="PTK175" s="72"/>
      <c r="PTL175" s="72"/>
      <c r="PTM175" s="72"/>
      <c r="PTN175" s="72"/>
      <c r="PTO175" s="72"/>
      <c r="PTP175" s="72"/>
      <c r="PTQ175" s="72"/>
      <c r="PTR175" s="72"/>
      <c r="PTS175" s="72"/>
      <c r="PTT175" s="72"/>
      <c r="PTU175" s="72"/>
      <c r="PTV175" s="72"/>
      <c r="PTW175" s="72"/>
      <c r="PTX175" s="72"/>
      <c r="PTY175" s="72"/>
      <c r="PTZ175" s="72"/>
      <c r="PUA175" s="72"/>
      <c r="PUB175" s="72"/>
      <c r="PUC175" s="72"/>
      <c r="PUD175" s="72"/>
      <c r="PUE175" s="72"/>
      <c r="PUF175" s="72"/>
      <c r="PUG175" s="72"/>
      <c r="PUH175" s="72"/>
      <c r="PUI175" s="72"/>
      <c r="PUJ175" s="72"/>
      <c r="PUK175" s="72"/>
      <c r="PUL175" s="72"/>
      <c r="PUM175" s="72"/>
      <c r="PUN175" s="72"/>
      <c r="PUO175" s="72"/>
      <c r="PUP175" s="72"/>
      <c r="PUQ175" s="72"/>
      <c r="PUR175" s="72"/>
      <c r="PUS175" s="72"/>
      <c r="PUT175" s="72"/>
      <c r="PUU175" s="72"/>
      <c r="PUV175" s="72"/>
      <c r="PUW175" s="72"/>
      <c r="PUX175" s="72"/>
      <c r="PUY175" s="72"/>
      <c r="PUZ175" s="72"/>
      <c r="PVA175" s="72"/>
      <c r="PVB175" s="72"/>
      <c r="PVC175" s="72"/>
      <c r="PVD175" s="72"/>
      <c r="PVE175" s="72"/>
      <c r="PVF175" s="72"/>
      <c r="PVG175" s="72"/>
      <c r="PVH175" s="72"/>
      <c r="PVI175" s="72"/>
      <c r="PVJ175" s="72"/>
      <c r="PVK175" s="72"/>
      <c r="PVL175" s="72"/>
      <c r="PVM175" s="72"/>
      <c r="PVN175" s="72"/>
      <c r="PVO175" s="72"/>
      <c r="PVP175" s="72"/>
      <c r="PVQ175" s="72"/>
      <c r="PVR175" s="72"/>
      <c r="PVS175" s="72"/>
      <c r="PVT175" s="72"/>
      <c r="PVU175" s="72"/>
      <c r="PVV175" s="72"/>
      <c r="PVW175" s="72"/>
      <c r="PVX175" s="72"/>
      <c r="PVY175" s="72"/>
      <c r="PVZ175" s="72"/>
      <c r="PWA175" s="72"/>
      <c r="PWB175" s="72"/>
      <c r="PWC175" s="72"/>
      <c r="PWD175" s="72"/>
      <c r="PWE175" s="72"/>
      <c r="PWF175" s="72"/>
      <c r="PWG175" s="72"/>
      <c r="PWH175" s="72"/>
      <c r="PWI175" s="72"/>
      <c r="PWJ175" s="72"/>
      <c r="PWK175" s="72"/>
      <c r="PWL175" s="72"/>
      <c r="PWM175" s="72"/>
      <c r="PWN175" s="72"/>
      <c r="PWO175" s="72"/>
      <c r="PWP175" s="72"/>
      <c r="PWQ175" s="72"/>
      <c r="PWR175" s="72"/>
      <c r="PWS175" s="72"/>
      <c r="PWT175" s="72"/>
      <c r="PWU175" s="72"/>
      <c r="PWV175" s="72"/>
      <c r="PWW175" s="72"/>
      <c r="PWX175" s="72"/>
      <c r="PWY175" s="72"/>
      <c r="PWZ175" s="72"/>
      <c r="PXA175" s="72"/>
      <c r="PXB175" s="72"/>
      <c r="PXC175" s="72"/>
      <c r="PXD175" s="72"/>
      <c r="PXE175" s="72"/>
      <c r="PXF175" s="72"/>
      <c r="PXG175" s="72"/>
      <c r="PXH175" s="72"/>
      <c r="PXI175" s="72"/>
      <c r="PXJ175" s="72"/>
      <c r="PXK175" s="72"/>
      <c r="PXL175" s="72"/>
      <c r="PXM175" s="72"/>
      <c r="PXN175" s="72"/>
      <c r="PXO175" s="72"/>
      <c r="PXP175" s="72"/>
      <c r="PXQ175" s="72"/>
      <c r="PXR175" s="72"/>
      <c r="PXS175" s="72"/>
      <c r="PXT175" s="72"/>
      <c r="PXU175" s="72"/>
      <c r="PXV175" s="72"/>
      <c r="PXW175" s="72"/>
      <c r="PXX175" s="72"/>
      <c r="PXY175" s="72"/>
      <c r="PXZ175" s="72"/>
      <c r="PYA175" s="72"/>
      <c r="PYB175" s="72"/>
      <c r="PYC175" s="72"/>
      <c r="PYD175" s="72"/>
      <c r="PYE175" s="72"/>
      <c r="PYF175" s="72"/>
      <c r="PYG175" s="72"/>
      <c r="PYH175" s="72"/>
      <c r="PYI175" s="72"/>
      <c r="PYJ175" s="72"/>
      <c r="PYK175" s="72"/>
      <c r="PYL175" s="72"/>
      <c r="PYM175" s="72"/>
      <c r="PYN175" s="72"/>
      <c r="PYO175" s="72"/>
      <c r="PYP175" s="72"/>
      <c r="PYQ175" s="72"/>
      <c r="PYR175" s="72"/>
      <c r="PYS175" s="72"/>
      <c r="PYT175" s="72"/>
      <c r="PYU175" s="72"/>
      <c r="PYV175" s="72"/>
      <c r="PYW175" s="72"/>
      <c r="PYX175" s="72"/>
      <c r="PYY175" s="72"/>
      <c r="PYZ175" s="72"/>
      <c r="PZA175" s="72"/>
      <c r="PZB175" s="72"/>
      <c r="PZC175" s="72"/>
      <c r="PZD175" s="72"/>
      <c r="PZE175" s="72"/>
      <c r="PZF175" s="72"/>
      <c r="PZG175" s="72"/>
      <c r="PZH175" s="72"/>
      <c r="PZI175" s="72"/>
      <c r="PZJ175" s="72"/>
      <c r="PZK175" s="72"/>
      <c r="PZL175" s="72"/>
      <c r="PZM175" s="72"/>
      <c r="PZN175" s="72"/>
      <c r="PZO175" s="72"/>
      <c r="PZP175" s="72"/>
      <c r="PZQ175" s="72"/>
      <c r="PZR175" s="72"/>
      <c r="PZS175" s="72"/>
      <c r="PZT175" s="72"/>
      <c r="PZU175" s="72"/>
      <c r="PZV175" s="72"/>
      <c r="PZW175" s="72"/>
      <c r="PZX175" s="72"/>
      <c r="PZY175" s="72"/>
      <c r="PZZ175" s="72"/>
      <c r="QAA175" s="72"/>
      <c r="QAB175" s="72"/>
      <c r="QAC175" s="72"/>
      <c r="QAD175" s="72"/>
      <c r="QAE175" s="72"/>
      <c r="QAF175" s="72"/>
      <c r="QAG175" s="72"/>
      <c r="QAH175" s="72"/>
      <c r="QAI175" s="72"/>
      <c r="QAJ175" s="72"/>
      <c r="QAK175" s="72"/>
      <c r="QAL175" s="72"/>
      <c r="QAM175" s="72"/>
      <c r="QAN175" s="72"/>
      <c r="QAO175" s="72"/>
      <c r="QAP175" s="72"/>
      <c r="QAQ175" s="72"/>
      <c r="QAR175" s="72"/>
      <c r="QAS175" s="72"/>
      <c r="QAT175" s="72"/>
      <c r="QAU175" s="72"/>
      <c r="QAV175" s="72"/>
      <c r="QAW175" s="72"/>
      <c r="QAX175" s="72"/>
      <c r="QAY175" s="72"/>
      <c r="QAZ175" s="72"/>
      <c r="QBA175" s="72"/>
      <c r="QBB175" s="72"/>
      <c r="QBC175" s="72"/>
      <c r="QBD175" s="72"/>
      <c r="QBE175" s="72"/>
      <c r="QBF175" s="72"/>
      <c r="QBG175" s="72"/>
      <c r="QBH175" s="72"/>
      <c r="QBI175" s="72"/>
      <c r="QBJ175" s="72"/>
      <c r="QBK175" s="72"/>
      <c r="QBL175" s="72"/>
      <c r="QBM175" s="72"/>
      <c r="QBN175" s="72"/>
      <c r="QBO175" s="72"/>
      <c r="QBP175" s="72"/>
      <c r="QBQ175" s="72"/>
      <c r="QBR175" s="72"/>
      <c r="QBS175" s="72"/>
      <c r="QBT175" s="72"/>
      <c r="QBU175" s="72"/>
      <c r="QBV175" s="72"/>
      <c r="QBW175" s="72"/>
      <c r="QBX175" s="72"/>
      <c r="QBY175" s="72"/>
      <c r="QBZ175" s="72"/>
      <c r="QCA175" s="72"/>
      <c r="QCB175" s="72"/>
      <c r="QCC175" s="72"/>
      <c r="QCD175" s="72"/>
      <c r="QCE175" s="72"/>
      <c r="QCF175" s="72"/>
      <c r="QCG175" s="72"/>
      <c r="QCH175" s="72"/>
      <c r="QCI175" s="72"/>
      <c r="QCJ175" s="72"/>
      <c r="QCK175" s="72"/>
      <c r="QCL175" s="72"/>
      <c r="QCM175" s="72"/>
      <c r="QCN175" s="72"/>
      <c r="QCO175" s="72"/>
      <c r="QCP175" s="72"/>
      <c r="QCQ175" s="72"/>
      <c r="QCR175" s="72"/>
      <c r="QCS175" s="72"/>
      <c r="QCT175" s="72"/>
      <c r="QCU175" s="72"/>
      <c r="QCV175" s="72"/>
      <c r="QCW175" s="72"/>
      <c r="QCX175" s="72"/>
      <c r="QCY175" s="72"/>
      <c r="QCZ175" s="72"/>
      <c r="QDA175" s="72"/>
      <c r="QDB175" s="72"/>
      <c r="QDC175" s="72"/>
      <c r="QDD175" s="72"/>
      <c r="QDE175" s="72"/>
      <c r="QDF175" s="72"/>
      <c r="QDG175" s="72"/>
      <c r="QDH175" s="72"/>
      <c r="QDI175" s="72"/>
      <c r="QDJ175" s="72"/>
      <c r="QDK175" s="72"/>
      <c r="QDL175" s="72"/>
      <c r="QDM175" s="72"/>
      <c r="QDN175" s="72"/>
      <c r="QDO175" s="72"/>
      <c r="QDP175" s="72"/>
      <c r="QDQ175" s="72"/>
      <c r="QDR175" s="72"/>
      <c r="QDS175" s="72"/>
      <c r="QDT175" s="72"/>
      <c r="QDU175" s="72"/>
      <c r="QDV175" s="72"/>
      <c r="QDW175" s="72"/>
      <c r="QDX175" s="72"/>
      <c r="QDY175" s="72"/>
      <c r="QDZ175" s="72"/>
      <c r="QEA175" s="72"/>
      <c r="QEB175" s="72"/>
      <c r="QEC175" s="72"/>
      <c r="QED175" s="72"/>
      <c r="QEE175" s="72"/>
      <c r="QEF175" s="72"/>
      <c r="QEG175" s="72"/>
      <c r="QEH175" s="72"/>
      <c r="QEI175" s="72"/>
      <c r="QEJ175" s="72"/>
      <c r="QEK175" s="72"/>
      <c r="QEL175" s="72"/>
      <c r="QEM175" s="72"/>
      <c r="QEN175" s="72"/>
      <c r="QEO175" s="72"/>
      <c r="QEP175" s="72"/>
      <c r="QEQ175" s="72"/>
      <c r="QER175" s="72"/>
      <c r="QES175" s="72"/>
      <c r="QET175" s="72"/>
      <c r="QEU175" s="72"/>
      <c r="QEV175" s="72"/>
      <c r="QEW175" s="72"/>
      <c r="QEX175" s="72"/>
      <c r="QEY175" s="72"/>
      <c r="QEZ175" s="72"/>
      <c r="QFA175" s="72"/>
      <c r="QFB175" s="72"/>
      <c r="QFC175" s="72"/>
      <c r="QFD175" s="72"/>
      <c r="QFE175" s="72"/>
      <c r="QFF175" s="72"/>
      <c r="QFG175" s="72"/>
      <c r="QFH175" s="72"/>
      <c r="QFI175" s="72"/>
      <c r="QFJ175" s="72"/>
      <c r="QFK175" s="72"/>
      <c r="QFL175" s="72"/>
      <c r="QFM175" s="72"/>
      <c r="QFN175" s="72"/>
      <c r="QFO175" s="72"/>
      <c r="QFP175" s="72"/>
      <c r="QFQ175" s="72"/>
      <c r="QFR175" s="72"/>
      <c r="QFS175" s="72"/>
      <c r="QFT175" s="72"/>
      <c r="QFU175" s="72"/>
      <c r="QFV175" s="72"/>
      <c r="QFW175" s="72"/>
      <c r="QFX175" s="72"/>
      <c r="QFY175" s="72"/>
      <c r="QFZ175" s="72"/>
      <c r="QGA175" s="72"/>
      <c r="QGB175" s="72"/>
      <c r="QGC175" s="72"/>
      <c r="QGD175" s="72"/>
      <c r="QGE175" s="72"/>
      <c r="QGF175" s="72"/>
      <c r="QGG175" s="72"/>
      <c r="QGH175" s="72"/>
      <c r="QGI175" s="72"/>
      <c r="QGJ175" s="72"/>
      <c r="QGK175" s="72"/>
      <c r="QGL175" s="72"/>
      <c r="QGM175" s="72"/>
      <c r="QGN175" s="72"/>
      <c r="QGO175" s="72"/>
      <c r="QGP175" s="72"/>
      <c r="QGQ175" s="72"/>
      <c r="QGR175" s="72"/>
      <c r="QGS175" s="72"/>
      <c r="QGT175" s="72"/>
      <c r="QGU175" s="72"/>
      <c r="QGV175" s="72"/>
      <c r="QGW175" s="72"/>
      <c r="QGX175" s="72"/>
      <c r="QGY175" s="72"/>
      <c r="QGZ175" s="72"/>
      <c r="QHA175" s="72"/>
      <c r="QHB175" s="72"/>
      <c r="QHC175" s="72"/>
      <c r="QHD175" s="72"/>
      <c r="QHE175" s="72"/>
      <c r="QHF175" s="72"/>
      <c r="QHG175" s="72"/>
      <c r="QHH175" s="72"/>
      <c r="QHI175" s="72"/>
      <c r="QHJ175" s="72"/>
      <c r="QHK175" s="72"/>
      <c r="QHL175" s="72"/>
      <c r="QHM175" s="72"/>
      <c r="QHN175" s="72"/>
      <c r="QHO175" s="72"/>
      <c r="QHP175" s="72"/>
      <c r="QHQ175" s="72"/>
      <c r="QHR175" s="72"/>
      <c r="QHS175" s="72"/>
      <c r="QHT175" s="72"/>
      <c r="QHU175" s="72"/>
      <c r="QHV175" s="72"/>
      <c r="QHW175" s="72"/>
      <c r="QHX175" s="72"/>
      <c r="QHY175" s="72"/>
      <c r="QHZ175" s="72"/>
      <c r="QIA175" s="72"/>
      <c r="QIB175" s="72"/>
      <c r="QIC175" s="72"/>
      <c r="QID175" s="72"/>
      <c r="QIE175" s="72"/>
      <c r="QIF175" s="72"/>
      <c r="QIG175" s="72"/>
      <c r="QIH175" s="72"/>
      <c r="QII175" s="72"/>
      <c r="QIJ175" s="72"/>
      <c r="QIK175" s="72"/>
      <c r="QIL175" s="72"/>
      <c r="QIM175" s="72"/>
      <c r="QIN175" s="72"/>
      <c r="QIO175" s="72"/>
      <c r="QIP175" s="72"/>
      <c r="QIQ175" s="72"/>
      <c r="QIR175" s="72"/>
      <c r="QIS175" s="72"/>
      <c r="QIT175" s="72"/>
      <c r="QIU175" s="72"/>
      <c r="QIV175" s="72"/>
      <c r="QIW175" s="72"/>
      <c r="QIX175" s="72"/>
      <c r="QIY175" s="72"/>
      <c r="QIZ175" s="72"/>
      <c r="QJA175" s="72"/>
      <c r="QJB175" s="72"/>
      <c r="QJC175" s="72"/>
      <c r="QJD175" s="72"/>
      <c r="QJE175" s="72"/>
      <c r="QJF175" s="72"/>
      <c r="QJG175" s="72"/>
      <c r="QJH175" s="72"/>
      <c r="QJI175" s="72"/>
      <c r="QJJ175" s="72"/>
      <c r="QJK175" s="72"/>
      <c r="QJL175" s="72"/>
      <c r="QJM175" s="72"/>
      <c r="QJN175" s="72"/>
      <c r="QJO175" s="72"/>
      <c r="QJP175" s="72"/>
      <c r="QJQ175" s="72"/>
      <c r="QJR175" s="72"/>
      <c r="QJS175" s="72"/>
      <c r="QJT175" s="72"/>
      <c r="QJU175" s="72"/>
      <c r="QJV175" s="72"/>
      <c r="QJW175" s="72"/>
      <c r="QJX175" s="72"/>
      <c r="QJY175" s="72"/>
      <c r="QJZ175" s="72"/>
      <c r="QKA175" s="72"/>
      <c r="QKB175" s="72"/>
      <c r="QKC175" s="72"/>
      <c r="QKD175" s="72"/>
      <c r="QKE175" s="72"/>
      <c r="QKF175" s="72"/>
      <c r="QKG175" s="72"/>
      <c r="QKH175" s="72"/>
      <c r="QKI175" s="72"/>
      <c r="QKJ175" s="72"/>
      <c r="QKK175" s="72"/>
      <c r="QKL175" s="72"/>
      <c r="QKM175" s="72"/>
      <c r="QKN175" s="72"/>
      <c r="QKO175" s="72"/>
      <c r="QKP175" s="72"/>
      <c r="QKQ175" s="72"/>
      <c r="QKR175" s="72"/>
      <c r="QKS175" s="72"/>
      <c r="QKT175" s="72"/>
      <c r="QKU175" s="72"/>
      <c r="QKV175" s="72"/>
      <c r="QKW175" s="72"/>
      <c r="QKX175" s="72"/>
      <c r="QKY175" s="72"/>
      <c r="QKZ175" s="72"/>
      <c r="QLA175" s="72"/>
      <c r="QLB175" s="72"/>
      <c r="QLC175" s="72"/>
      <c r="QLD175" s="72"/>
      <c r="QLE175" s="72"/>
      <c r="QLF175" s="72"/>
      <c r="QLG175" s="72"/>
      <c r="QLH175" s="72"/>
      <c r="QLI175" s="72"/>
      <c r="QLJ175" s="72"/>
      <c r="QLK175" s="72"/>
      <c r="QLL175" s="72"/>
      <c r="QLM175" s="72"/>
      <c r="QLN175" s="72"/>
      <c r="QLO175" s="72"/>
      <c r="QLP175" s="72"/>
      <c r="QLQ175" s="72"/>
      <c r="QLR175" s="72"/>
      <c r="QLS175" s="72"/>
      <c r="QLT175" s="72"/>
      <c r="QLU175" s="72"/>
      <c r="QLV175" s="72"/>
      <c r="QLW175" s="72"/>
      <c r="QLX175" s="72"/>
      <c r="QLY175" s="72"/>
      <c r="QLZ175" s="72"/>
      <c r="QMA175" s="72"/>
      <c r="QMB175" s="72"/>
      <c r="QMC175" s="72"/>
      <c r="QMD175" s="72"/>
      <c r="QME175" s="72"/>
      <c r="QMF175" s="72"/>
      <c r="QMG175" s="72"/>
      <c r="QMH175" s="72"/>
      <c r="QMI175" s="72"/>
      <c r="QMJ175" s="72"/>
      <c r="QMK175" s="72"/>
      <c r="QML175" s="72"/>
      <c r="QMM175" s="72"/>
      <c r="QMN175" s="72"/>
      <c r="QMO175" s="72"/>
      <c r="QMP175" s="72"/>
      <c r="QMQ175" s="72"/>
      <c r="QMR175" s="72"/>
      <c r="QMS175" s="72"/>
      <c r="QMT175" s="72"/>
      <c r="QMU175" s="72"/>
      <c r="QMV175" s="72"/>
      <c r="QMW175" s="72"/>
      <c r="QMX175" s="72"/>
      <c r="QMY175" s="72"/>
      <c r="QMZ175" s="72"/>
      <c r="QNA175" s="72"/>
      <c r="QNB175" s="72"/>
      <c r="QNC175" s="72"/>
      <c r="QND175" s="72"/>
      <c r="QNE175" s="72"/>
      <c r="QNF175" s="72"/>
      <c r="QNG175" s="72"/>
      <c r="QNH175" s="72"/>
      <c r="QNI175" s="72"/>
      <c r="QNJ175" s="72"/>
      <c r="QNK175" s="72"/>
      <c r="QNL175" s="72"/>
      <c r="QNM175" s="72"/>
      <c r="QNN175" s="72"/>
      <c r="QNO175" s="72"/>
      <c r="QNP175" s="72"/>
      <c r="QNQ175" s="72"/>
      <c r="QNR175" s="72"/>
      <c r="QNS175" s="72"/>
      <c r="QNT175" s="72"/>
      <c r="QNU175" s="72"/>
      <c r="QNV175" s="72"/>
      <c r="QNW175" s="72"/>
      <c r="QNX175" s="72"/>
      <c r="QNY175" s="72"/>
      <c r="QNZ175" s="72"/>
      <c r="QOA175" s="72"/>
      <c r="QOB175" s="72"/>
      <c r="QOC175" s="72"/>
      <c r="QOD175" s="72"/>
      <c r="QOE175" s="72"/>
      <c r="QOF175" s="72"/>
      <c r="QOG175" s="72"/>
      <c r="QOH175" s="72"/>
      <c r="QOI175" s="72"/>
      <c r="QOJ175" s="72"/>
      <c r="QOK175" s="72"/>
      <c r="QOL175" s="72"/>
      <c r="QOM175" s="72"/>
      <c r="QON175" s="72"/>
      <c r="QOO175" s="72"/>
      <c r="QOP175" s="72"/>
      <c r="QOQ175" s="72"/>
      <c r="QOR175" s="72"/>
      <c r="QOS175" s="72"/>
      <c r="QOT175" s="72"/>
      <c r="QOU175" s="72"/>
      <c r="QOV175" s="72"/>
      <c r="QOW175" s="72"/>
      <c r="QOX175" s="72"/>
      <c r="QOY175" s="72"/>
      <c r="QOZ175" s="72"/>
      <c r="QPA175" s="72"/>
      <c r="QPB175" s="72"/>
      <c r="QPC175" s="72"/>
      <c r="QPD175" s="72"/>
      <c r="QPE175" s="72"/>
      <c r="QPF175" s="72"/>
      <c r="QPG175" s="72"/>
      <c r="QPH175" s="72"/>
      <c r="QPI175" s="72"/>
      <c r="QPJ175" s="72"/>
      <c r="QPK175" s="72"/>
      <c r="QPL175" s="72"/>
      <c r="QPM175" s="72"/>
      <c r="QPN175" s="72"/>
      <c r="QPO175" s="72"/>
      <c r="QPP175" s="72"/>
      <c r="QPQ175" s="72"/>
      <c r="QPR175" s="72"/>
      <c r="QPS175" s="72"/>
      <c r="QPT175" s="72"/>
      <c r="QPU175" s="72"/>
      <c r="QPV175" s="72"/>
      <c r="QPW175" s="72"/>
      <c r="QPX175" s="72"/>
      <c r="QPY175" s="72"/>
      <c r="QPZ175" s="72"/>
      <c r="QQA175" s="72"/>
      <c r="QQB175" s="72"/>
      <c r="QQC175" s="72"/>
      <c r="QQD175" s="72"/>
      <c r="QQE175" s="72"/>
      <c r="QQF175" s="72"/>
      <c r="QQG175" s="72"/>
      <c r="QQH175" s="72"/>
      <c r="QQI175" s="72"/>
      <c r="QQJ175" s="72"/>
      <c r="QQK175" s="72"/>
      <c r="QQL175" s="72"/>
      <c r="QQM175" s="72"/>
      <c r="QQN175" s="72"/>
      <c r="QQO175" s="72"/>
      <c r="QQP175" s="72"/>
      <c r="QQQ175" s="72"/>
      <c r="QQR175" s="72"/>
      <c r="QQS175" s="72"/>
      <c r="QQT175" s="72"/>
      <c r="QQU175" s="72"/>
      <c r="QQV175" s="72"/>
      <c r="QQW175" s="72"/>
      <c r="QQX175" s="72"/>
      <c r="QQY175" s="72"/>
      <c r="QQZ175" s="72"/>
      <c r="QRA175" s="72"/>
      <c r="QRB175" s="72"/>
      <c r="QRC175" s="72"/>
      <c r="QRD175" s="72"/>
      <c r="QRE175" s="72"/>
      <c r="QRF175" s="72"/>
      <c r="QRG175" s="72"/>
      <c r="QRH175" s="72"/>
      <c r="QRI175" s="72"/>
      <c r="QRJ175" s="72"/>
      <c r="QRK175" s="72"/>
      <c r="QRL175" s="72"/>
      <c r="QRM175" s="72"/>
      <c r="QRN175" s="72"/>
      <c r="QRO175" s="72"/>
      <c r="QRP175" s="72"/>
      <c r="QRQ175" s="72"/>
      <c r="QRR175" s="72"/>
      <c r="QRS175" s="72"/>
      <c r="QRT175" s="72"/>
      <c r="QRU175" s="72"/>
      <c r="QRV175" s="72"/>
      <c r="QRW175" s="72"/>
      <c r="QRX175" s="72"/>
      <c r="QRY175" s="72"/>
      <c r="QRZ175" s="72"/>
      <c r="QSA175" s="72"/>
      <c r="QSB175" s="72"/>
      <c r="QSC175" s="72"/>
      <c r="QSD175" s="72"/>
      <c r="QSE175" s="72"/>
      <c r="QSF175" s="72"/>
      <c r="QSG175" s="72"/>
      <c r="QSH175" s="72"/>
      <c r="QSI175" s="72"/>
      <c r="QSJ175" s="72"/>
      <c r="QSK175" s="72"/>
      <c r="QSL175" s="72"/>
      <c r="QSM175" s="72"/>
      <c r="QSN175" s="72"/>
      <c r="QSO175" s="72"/>
      <c r="QSP175" s="72"/>
      <c r="QSQ175" s="72"/>
      <c r="QSR175" s="72"/>
      <c r="QSS175" s="72"/>
      <c r="QST175" s="72"/>
      <c r="QSU175" s="72"/>
      <c r="QSV175" s="72"/>
      <c r="QSW175" s="72"/>
      <c r="QSX175" s="72"/>
      <c r="QSY175" s="72"/>
      <c r="QSZ175" s="72"/>
      <c r="QTA175" s="72"/>
      <c r="QTB175" s="72"/>
      <c r="QTC175" s="72"/>
      <c r="QTD175" s="72"/>
      <c r="QTE175" s="72"/>
      <c r="QTF175" s="72"/>
      <c r="QTG175" s="72"/>
      <c r="QTH175" s="72"/>
      <c r="QTI175" s="72"/>
      <c r="QTJ175" s="72"/>
      <c r="QTK175" s="72"/>
      <c r="QTL175" s="72"/>
      <c r="QTM175" s="72"/>
      <c r="QTN175" s="72"/>
      <c r="QTO175" s="72"/>
      <c r="QTP175" s="72"/>
      <c r="QTQ175" s="72"/>
      <c r="QTR175" s="72"/>
      <c r="QTS175" s="72"/>
      <c r="QTT175" s="72"/>
      <c r="QTU175" s="72"/>
      <c r="QTV175" s="72"/>
      <c r="QTW175" s="72"/>
      <c r="QTX175" s="72"/>
      <c r="QTY175" s="72"/>
      <c r="QTZ175" s="72"/>
      <c r="QUA175" s="72"/>
      <c r="QUB175" s="72"/>
      <c r="QUC175" s="72"/>
      <c r="QUD175" s="72"/>
      <c r="QUE175" s="72"/>
      <c r="QUF175" s="72"/>
      <c r="QUG175" s="72"/>
      <c r="QUH175" s="72"/>
      <c r="QUI175" s="72"/>
      <c r="QUJ175" s="72"/>
      <c r="QUK175" s="72"/>
      <c r="QUL175" s="72"/>
      <c r="QUM175" s="72"/>
      <c r="QUN175" s="72"/>
      <c r="QUO175" s="72"/>
      <c r="QUP175" s="72"/>
      <c r="QUQ175" s="72"/>
      <c r="QUR175" s="72"/>
      <c r="QUS175" s="72"/>
      <c r="QUT175" s="72"/>
      <c r="QUU175" s="72"/>
      <c r="QUV175" s="72"/>
      <c r="QUW175" s="72"/>
      <c r="QUX175" s="72"/>
      <c r="QUY175" s="72"/>
      <c r="QUZ175" s="72"/>
      <c r="QVA175" s="72"/>
      <c r="QVB175" s="72"/>
      <c r="QVC175" s="72"/>
      <c r="QVD175" s="72"/>
      <c r="QVE175" s="72"/>
      <c r="QVF175" s="72"/>
      <c r="QVG175" s="72"/>
      <c r="QVH175" s="72"/>
      <c r="QVI175" s="72"/>
      <c r="QVJ175" s="72"/>
      <c r="QVK175" s="72"/>
      <c r="QVL175" s="72"/>
      <c r="QVM175" s="72"/>
      <c r="QVN175" s="72"/>
      <c r="QVO175" s="72"/>
      <c r="QVP175" s="72"/>
      <c r="QVQ175" s="72"/>
      <c r="QVR175" s="72"/>
      <c r="QVS175" s="72"/>
      <c r="QVT175" s="72"/>
      <c r="QVU175" s="72"/>
      <c r="QVV175" s="72"/>
      <c r="QVW175" s="72"/>
      <c r="QVX175" s="72"/>
      <c r="QVY175" s="72"/>
      <c r="QVZ175" s="72"/>
      <c r="QWA175" s="72"/>
      <c r="QWB175" s="72"/>
      <c r="QWC175" s="72"/>
      <c r="QWD175" s="72"/>
      <c r="QWE175" s="72"/>
      <c r="QWF175" s="72"/>
      <c r="QWG175" s="72"/>
      <c r="QWH175" s="72"/>
      <c r="QWI175" s="72"/>
      <c r="QWJ175" s="72"/>
      <c r="QWK175" s="72"/>
      <c r="QWL175" s="72"/>
      <c r="QWM175" s="72"/>
      <c r="QWN175" s="72"/>
      <c r="QWO175" s="72"/>
      <c r="QWP175" s="72"/>
      <c r="QWQ175" s="72"/>
      <c r="QWR175" s="72"/>
      <c r="QWS175" s="72"/>
      <c r="QWT175" s="72"/>
      <c r="QWU175" s="72"/>
      <c r="QWV175" s="72"/>
      <c r="QWW175" s="72"/>
      <c r="QWX175" s="72"/>
      <c r="QWY175" s="72"/>
      <c r="QWZ175" s="72"/>
      <c r="QXA175" s="72"/>
      <c r="QXB175" s="72"/>
      <c r="QXC175" s="72"/>
      <c r="QXD175" s="72"/>
      <c r="QXE175" s="72"/>
      <c r="QXF175" s="72"/>
      <c r="QXG175" s="72"/>
      <c r="QXH175" s="72"/>
      <c r="QXI175" s="72"/>
      <c r="QXJ175" s="72"/>
      <c r="QXK175" s="72"/>
      <c r="QXL175" s="72"/>
      <c r="QXM175" s="72"/>
      <c r="QXN175" s="72"/>
      <c r="QXO175" s="72"/>
      <c r="QXP175" s="72"/>
      <c r="QXQ175" s="72"/>
      <c r="QXR175" s="72"/>
      <c r="QXS175" s="72"/>
      <c r="QXT175" s="72"/>
      <c r="QXU175" s="72"/>
      <c r="QXV175" s="72"/>
      <c r="QXW175" s="72"/>
      <c r="QXX175" s="72"/>
      <c r="QXY175" s="72"/>
      <c r="QXZ175" s="72"/>
      <c r="QYA175" s="72"/>
      <c r="QYB175" s="72"/>
      <c r="QYC175" s="72"/>
      <c r="QYD175" s="72"/>
      <c r="QYE175" s="72"/>
      <c r="QYF175" s="72"/>
      <c r="QYG175" s="72"/>
      <c r="QYH175" s="72"/>
      <c r="QYI175" s="72"/>
      <c r="QYJ175" s="72"/>
      <c r="QYK175" s="72"/>
      <c r="QYL175" s="72"/>
      <c r="QYM175" s="72"/>
      <c r="QYN175" s="72"/>
      <c r="QYO175" s="72"/>
      <c r="QYP175" s="72"/>
      <c r="QYQ175" s="72"/>
      <c r="QYR175" s="72"/>
      <c r="QYS175" s="72"/>
      <c r="QYT175" s="72"/>
      <c r="QYU175" s="72"/>
      <c r="QYV175" s="72"/>
      <c r="QYW175" s="72"/>
      <c r="QYX175" s="72"/>
      <c r="QYY175" s="72"/>
      <c r="QYZ175" s="72"/>
      <c r="QZA175" s="72"/>
      <c r="QZB175" s="72"/>
      <c r="QZC175" s="72"/>
      <c r="QZD175" s="72"/>
      <c r="QZE175" s="72"/>
      <c r="QZF175" s="72"/>
      <c r="QZG175" s="72"/>
      <c r="QZH175" s="72"/>
      <c r="QZI175" s="72"/>
      <c r="QZJ175" s="72"/>
      <c r="QZK175" s="72"/>
      <c r="QZL175" s="72"/>
      <c r="QZM175" s="72"/>
      <c r="QZN175" s="72"/>
      <c r="QZO175" s="72"/>
      <c r="QZP175" s="72"/>
      <c r="QZQ175" s="72"/>
      <c r="QZR175" s="72"/>
      <c r="QZS175" s="72"/>
      <c r="QZT175" s="72"/>
      <c r="QZU175" s="72"/>
      <c r="QZV175" s="72"/>
      <c r="QZW175" s="72"/>
      <c r="QZX175" s="72"/>
      <c r="QZY175" s="72"/>
      <c r="QZZ175" s="72"/>
      <c r="RAA175" s="72"/>
      <c r="RAB175" s="72"/>
      <c r="RAC175" s="72"/>
      <c r="RAD175" s="72"/>
      <c r="RAE175" s="72"/>
      <c r="RAF175" s="72"/>
      <c r="RAG175" s="72"/>
      <c r="RAH175" s="72"/>
      <c r="RAI175" s="72"/>
      <c r="RAJ175" s="72"/>
      <c r="RAK175" s="72"/>
      <c r="RAL175" s="72"/>
      <c r="RAM175" s="72"/>
      <c r="RAN175" s="72"/>
      <c r="RAO175" s="72"/>
      <c r="RAP175" s="72"/>
      <c r="RAQ175" s="72"/>
      <c r="RAR175" s="72"/>
      <c r="RAS175" s="72"/>
      <c r="RAT175" s="72"/>
      <c r="RAU175" s="72"/>
      <c r="RAV175" s="72"/>
      <c r="RAW175" s="72"/>
      <c r="RAX175" s="72"/>
      <c r="RAY175" s="72"/>
      <c r="RAZ175" s="72"/>
      <c r="RBA175" s="72"/>
      <c r="RBB175" s="72"/>
      <c r="RBC175" s="72"/>
      <c r="RBD175" s="72"/>
      <c r="RBE175" s="72"/>
      <c r="RBF175" s="72"/>
      <c r="RBG175" s="72"/>
      <c r="RBH175" s="72"/>
      <c r="RBI175" s="72"/>
      <c r="RBJ175" s="72"/>
      <c r="RBK175" s="72"/>
      <c r="RBL175" s="72"/>
      <c r="RBM175" s="72"/>
      <c r="RBN175" s="72"/>
      <c r="RBO175" s="72"/>
      <c r="RBP175" s="72"/>
      <c r="RBQ175" s="72"/>
      <c r="RBR175" s="72"/>
      <c r="RBS175" s="72"/>
      <c r="RBT175" s="72"/>
      <c r="RBU175" s="72"/>
      <c r="RBV175" s="72"/>
      <c r="RBW175" s="72"/>
      <c r="RBX175" s="72"/>
      <c r="RBY175" s="72"/>
      <c r="RBZ175" s="72"/>
      <c r="RCA175" s="72"/>
      <c r="RCB175" s="72"/>
      <c r="RCC175" s="72"/>
      <c r="RCD175" s="72"/>
      <c r="RCE175" s="72"/>
      <c r="RCF175" s="72"/>
      <c r="RCG175" s="72"/>
      <c r="RCH175" s="72"/>
      <c r="RCI175" s="72"/>
      <c r="RCJ175" s="72"/>
      <c r="RCK175" s="72"/>
      <c r="RCL175" s="72"/>
      <c r="RCM175" s="72"/>
      <c r="RCN175" s="72"/>
      <c r="RCO175" s="72"/>
      <c r="RCP175" s="72"/>
      <c r="RCQ175" s="72"/>
      <c r="RCR175" s="72"/>
      <c r="RCS175" s="72"/>
      <c r="RCT175" s="72"/>
      <c r="RCU175" s="72"/>
      <c r="RCV175" s="72"/>
      <c r="RCW175" s="72"/>
      <c r="RCX175" s="72"/>
      <c r="RCY175" s="72"/>
      <c r="RCZ175" s="72"/>
      <c r="RDA175" s="72"/>
      <c r="RDB175" s="72"/>
      <c r="RDC175" s="72"/>
      <c r="RDD175" s="72"/>
      <c r="RDE175" s="72"/>
      <c r="RDF175" s="72"/>
      <c r="RDG175" s="72"/>
      <c r="RDH175" s="72"/>
      <c r="RDI175" s="72"/>
      <c r="RDJ175" s="72"/>
      <c r="RDK175" s="72"/>
      <c r="RDL175" s="72"/>
      <c r="RDM175" s="72"/>
      <c r="RDN175" s="72"/>
      <c r="RDO175" s="72"/>
      <c r="RDP175" s="72"/>
      <c r="RDQ175" s="72"/>
      <c r="RDR175" s="72"/>
      <c r="RDS175" s="72"/>
      <c r="RDT175" s="72"/>
      <c r="RDU175" s="72"/>
      <c r="RDV175" s="72"/>
      <c r="RDW175" s="72"/>
      <c r="RDX175" s="72"/>
      <c r="RDY175" s="72"/>
      <c r="RDZ175" s="72"/>
      <c r="REA175" s="72"/>
      <c r="REB175" s="72"/>
      <c r="REC175" s="72"/>
      <c r="RED175" s="72"/>
      <c r="REE175" s="72"/>
      <c r="REF175" s="72"/>
      <c r="REG175" s="72"/>
      <c r="REH175" s="72"/>
      <c r="REI175" s="72"/>
      <c r="REJ175" s="72"/>
      <c r="REK175" s="72"/>
      <c r="REL175" s="72"/>
      <c r="REM175" s="72"/>
      <c r="REN175" s="72"/>
      <c r="REO175" s="72"/>
      <c r="REP175" s="72"/>
      <c r="REQ175" s="72"/>
      <c r="RER175" s="72"/>
      <c r="RES175" s="72"/>
      <c r="RET175" s="72"/>
      <c r="REU175" s="72"/>
      <c r="REV175" s="72"/>
      <c r="REW175" s="72"/>
      <c r="REX175" s="72"/>
      <c r="REY175" s="72"/>
      <c r="REZ175" s="72"/>
      <c r="RFA175" s="72"/>
      <c r="RFB175" s="72"/>
      <c r="RFC175" s="72"/>
      <c r="RFD175" s="72"/>
      <c r="RFE175" s="72"/>
      <c r="RFF175" s="72"/>
      <c r="RFG175" s="72"/>
      <c r="RFH175" s="72"/>
      <c r="RFI175" s="72"/>
      <c r="RFJ175" s="72"/>
      <c r="RFK175" s="72"/>
      <c r="RFL175" s="72"/>
      <c r="RFM175" s="72"/>
      <c r="RFN175" s="72"/>
      <c r="RFO175" s="72"/>
      <c r="RFP175" s="72"/>
      <c r="RFQ175" s="72"/>
      <c r="RFR175" s="72"/>
      <c r="RFS175" s="72"/>
      <c r="RFT175" s="72"/>
      <c r="RFU175" s="72"/>
      <c r="RFV175" s="72"/>
      <c r="RFW175" s="72"/>
      <c r="RFX175" s="72"/>
      <c r="RFY175" s="72"/>
      <c r="RFZ175" s="72"/>
      <c r="RGA175" s="72"/>
      <c r="RGB175" s="72"/>
      <c r="RGC175" s="72"/>
      <c r="RGD175" s="72"/>
      <c r="RGE175" s="72"/>
      <c r="RGF175" s="72"/>
      <c r="RGG175" s="72"/>
      <c r="RGH175" s="72"/>
      <c r="RGI175" s="72"/>
      <c r="RGJ175" s="72"/>
      <c r="RGK175" s="72"/>
      <c r="RGL175" s="72"/>
      <c r="RGM175" s="72"/>
      <c r="RGN175" s="72"/>
      <c r="RGO175" s="72"/>
      <c r="RGP175" s="72"/>
      <c r="RGQ175" s="72"/>
      <c r="RGR175" s="72"/>
      <c r="RGS175" s="72"/>
      <c r="RGT175" s="72"/>
      <c r="RGU175" s="72"/>
      <c r="RGV175" s="72"/>
      <c r="RGW175" s="72"/>
      <c r="RGX175" s="72"/>
      <c r="RGY175" s="72"/>
      <c r="RGZ175" s="72"/>
      <c r="RHA175" s="72"/>
      <c r="RHB175" s="72"/>
      <c r="RHC175" s="72"/>
      <c r="RHD175" s="72"/>
      <c r="RHE175" s="72"/>
      <c r="RHF175" s="72"/>
      <c r="RHG175" s="72"/>
      <c r="RHH175" s="72"/>
      <c r="RHI175" s="72"/>
      <c r="RHJ175" s="72"/>
      <c r="RHK175" s="72"/>
      <c r="RHL175" s="72"/>
      <c r="RHM175" s="72"/>
      <c r="RHN175" s="72"/>
      <c r="RHO175" s="72"/>
      <c r="RHP175" s="72"/>
      <c r="RHQ175" s="72"/>
      <c r="RHR175" s="72"/>
      <c r="RHS175" s="72"/>
      <c r="RHT175" s="72"/>
      <c r="RHU175" s="72"/>
      <c r="RHV175" s="72"/>
      <c r="RHW175" s="72"/>
      <c r="RHX175" s="72"/>
      <c r="RHY175" s="72"/>
      <c r="RHZ175" s="72"/>
      <c r="RIA175" s="72"/>
      <c r="RIB175" s="72"/>
      <c r="RIC175" s="72"/>
      <c r="RID175" s="72"/>
      <c r="RIE175" s="72"/>
      <c r="RIF175" s="72"/>
      <c r="RIG175" s="72"/>
      <c r="RIH175" s="72"/>
      <c r="RII175" s="72"/>
      <c r="RIJ175" s="72"/>
      <c r="RIK175" s="72"/>
      <c r="RIL175" s="72"/>
      <c r="RIM175" s="72"/>
      <c r="RIN175" s="72"/>
      <c r="RIO175" s="72"/>
      <c r="RIP175" s="72"/>
      <c r="RIQ175" s="72"/>
      <c r="RIR175" s="72"/>
      <c r="RIS175" s="72"/>
      <c r="RIT175" s="72"/>
      <c r="RIU175" s="72"/>
      <c r="RIV175" s="72"/>
      <c r="RIW175" s="72"/>
      <c r="RIX175" s="72"/>
      <c r="RIY175" s="72"/>
      <c r="RIZ175" s="72"/>
      <c r="RJA175" s="72"/>
      <c r="RJB175" s="72"/>
      <c r="RJC175" s="72"/>
      <c r="RJD175" s="72"/>
      <c r="RJE175" s="72"/>
      <c r="RJF175" s="72"/>
      <c r="RJG175" s="72"/>
      <c r="RJH175" s="72"/>
      <c r="RJI175" s="72"/>
      <c r="RJJ175" s="72"/>
      <c r="RJK175" s="72"/>
      <c r="RJL175" s="72"/>
      <c r="RJM175" s="72"/>
      <c r="RJN175" s="72"/>
      <c r="RJO175" s="72"/>
      <c r="RJP175" s="72"/>
      <c r="RJQ175" s="72"/>
      <c r="RJR175" s="72"/>
      <c r="RJS175" s="72"/>
      <c r="RJT175" s="72"/>
      <c r="RJU175" s="72"/>
      <c r="RJV175" s="72"/>
      <c r="RJW175" s="72"/>
      <c r="RJX175" s="72"/>
      <c r="RJY175" s="72"/>
      <c r="RJZ175" s="72"/>
      <c r="RKA175" s="72"/>
      <c r="RKB175" s="72"/>
      <c r="RKC175" s="72"/>
      <c r="RKD175" s="72"/>
      <c r="RKE175" s="72"/>
      <c r="RKF175" s="72"/>
      <c r="RKG175" s="72"/>
      <c r="RKH175" s="72"/>
      <c r="RKI175" s="72"/>
      <c r="RKJ175" s="72"/>
      <c r="RKK175" s="72"/>
      <c r="RKL175" s="72"/>
      <c r="RKM175" s="72"/>
      <c r="RKN175" s="72"/>
      <c r="RKO175" s="72"/>
      <c r="RKP175" s="72"/>
      <c r="RKQ175" s="72"/>
      <c r="RKR175" s="72"/>
      <c r="RKS175" s="72"/>
      <c r="RKT175" s="72"/>
      <c r="RKU175" s="72"/>
      <c r="RKV175" s="72"/>
      <c r="RKW175" s="72"/>
      <c r="RKX175" s="72"/>
      <c r="RKY175" s="72"/>
      <c r="RKZ175" s="72"/>
      <c r="RLA175" s="72"/>
      <c r="RLB175" s="72"/>
      <c r="RLC175" s="72"/>
      <c r="RLD175" s="72"/>
      <c r="RLE175" s="72"/>
      <c r="RLF175" s="72"/>
      <c r="RLG175" s="72"/>
      <c r="RLH175" s="72"/>
      <c r="RLI175" s="72"/>
      <c r="RLJ175" s="72"/>
      <c r="RLK175" s="72"/>
      <c r="RLL175" s="72"/>
      <c r="RLM175" s="72"/>
      <c r="RLN175" s="72"/>
      <c r="RLO175" s="72"/>
      <c r="RLP175" s="72"/>
      <c r="RLQ175" s="72"/>
      <c r="RLR175" s="72"/>
      <c r="RLS175" s="72"/>
      <c r="RLT175" s="72"/>
      <c r="RLU175" s="72"/>
      <c r="RLV175" s="72"/>
      <c r="RLW175" s="72"/>
      <c r="RLX175" s="72"/>
      <c r="RLY175" s="72"/>
      <c r="RLZ175" s="72"/>
      <c r="RMA175" s="72"/>
      <c r="RMB175" s="72"/>
      <c r="RMC175" s="72"/>
      <c r="RMD175" s="72"/>
      <c r="RME175" s="72"/>
      <c r="RMF175" s="72"/>
      <c r="RMG175" s="72"/>
      <c r="RMH175" s="72"/>
      <c r="RMI175" s="72"/>
      <c r="RMJ175" s="72"/>
      <c r="RMK175" s="72"/>
      <c r="RML175" s="72"/>
      <c r="RMM175" s="72"/>
      <c r="RMN175" s="72"/>
      <c r="RMO175" s="72"/>
      <c r="RMP175" s="72"/>
      <c r="RMQ175" s="72"/>
      <c r="RMR175" s="72"/>
      <c r="RMS175" s="72"/>
      <c r="RMT175" s="72"/>
      <c r="RMU175" s="72"/>
      <c r="RMV175" s="72"/>
      <c r="RMW175" s="72"/>
      <c r="RMX175" s="72"/>
      <c r="RMY175" s="72"/>
      <c r="RMZ175" s="72"/>
      <c r="RNA175" s="72"/>
      <c r="RNB175" s="72"/>
      <c r="RNC175" s="72"/>
      <c r="RND175" s="72"/>
      <c r="RNE175" s="72"/>
      <c r="RNF175" s="72"/>
      <c r="RNG175" s="72"/>
      <c r="RNH175" s="72"/>
      <c r="RNI175" s="72"/>
      <c r="RNJ175" s="72"/>
      <c r="RNK175" s="72"/>
      <c r="RNL175" s="72"/>
      <c r="RNM175" s="72"/>
      <c r="RNN175" s="72"/>
      <c r="RNO175" s="72"/>
      <c r="RNP175" s="72"/>
      <c r="RNQ175" s="72"/>
      <c r="RNR175" s="72"/>
      <c r="RNS175" s="72"/>
      <c r="RNT175" s="72"/>
      <c r="RNU175" s="72"/>
      <c r="RNV175" s="72"/>
      <c r="RNW175" s="72"/>
      <c r="RNX175" s="72"/>
      <c r="RNY175" s="72"/>
      <c r="RNZ175" s="72"/>
      <c r="ROA175" s="72"/>
      <c r="ROB175" s="72"/>
      <c r="ROC175" s="72"/>
      <c r="ROD175" s="72"/>
      <c r="ROE175" s="72"/>
      <c r="ROF175" s="72"/>
      <c r="ROG175" s="72"/>
      <c r="ROH175" s="72"/>
      <c r="ROI175" s="72"/>
      <c r="ROJ175" s="72"/>
      <c r="ROK175" s="72"/>
      <c r="ROL175" s="72"/>
      <c r="ROM175" s="72"/>
      <c r="RON175" s="72"/>
      <c r="ROO175" s="72"/>
      <c r="ROP175" s="72"/>
      <c r="ROQ175" s="72"/>
      <c r="ROR175" s="72"/>
      <c r="ROS175" s="72"/>
      <c r="ROT175" s="72"/>
      <c r="ROU175" s="72"/>
      <c r="ROV175" s="72"/>
      <c r="ROW175" s="72"/>
      <c r="ROX175" s="72"/>
      <c r="ROY175" s="72"/>
      <c r="ROZ175" s="72"/>
      <c r="RPA175" s="72"/>
      <c r="RPB175" s="72"/>
      <c r="RPC175" s="72"/>
      <c r="RPD175" s="72"/>
      <c r="RPE175" s="72"/>
      <c r="RPF175" s="72"/>
      <c r="RPG175" s="72"/>
      <c r="RPH175" s="72"/>
      <c r="RPI175" s="72"/>
      <c r="RPJ175" s="72"/>
      <c r="RPK175" s="72"/>
      <c r="RPL175" s="72"/>
      <c r="RPM175" s="72"/>
      <c r="RPN175" s="72"/>
      <c r="RPO175" s="72"/>
      <c r="RPP175" s="72"/>
      <c r="RPQ175" s="72"/>
      <c r="RPR175" s="72"/>
      <c r="RPS175" s="72"/>
      <c r="RPT175" s="72"/>
      <c r="RPU175" s="72"/>
      <c r="RPV175" s="72"/>
      <c r="RPW175" s="72"/>
      <c r="RPX175" s="72"/>
      <c r="RPY175" s="72"/>
      <c r="RPZ175" s="72"/>
      <c r="RQA175" s="72"/>
      <c r="RQB175" s="72"/>
      <c r="RQC175" s="72"/>
      <c r="RQD175" s="72"/>
      <c r="RQE175" s="72"/>
      <c r="RQF175" s="72"/>
      <c r="RQG175" s="72"/>
      <c r="RQH175" s="72"/>
      <c r="RQI175" s="72"/>
      <c r="RQJ175" s="72"/>
      <c r="RQK175" s="72"/>
      <c r="RQL175" s="72"/>
      <c r="RQM175" s="72"/>
      <c r="RQN175" s="72"/>
      <c r="RQO175" s="72"/>
      <c r="RQP175" s="72"/>
      <c r="RQQ175" s="72"/>
      <c r="RQR175" s="72"/>
      <c r="RQS175" s="72"/>
      <c r="RQT175" s="72"/>
      <c r="RQU175" s="72"/>
      <c r="RQV175" s="72"/>
      <c r="RQW175" s="72"/>
      <c r="RQX175" s="72"/>
      <c r="RQY175" s="72"/>
      <c r="RQZ175" s="72"/>
      <c r="RRA175" s="72"/>
      <c r="RRB175" s="72"/>
      <c r="RRC175" s="72"/>
      <c r="RRD175" s="72"/>
      <c r="RRE175" s="72"/>
      <c r="RRF175" s="72"/>
      <c r="RRG175" s="72"/>
      <c r="RRH175" s="72"/>
      <c r="RRI175" s="72"/>
      <c r="RRJ175" s="72"/>
      <c r="RRK175" s="72"/>
      <c r="RRL175" s="72"/>
      <c r="RRM175" s="72"/>
      <c r="RRN175" s="72"/>
      <c r="RRO175" s="72"/>
      <c r="RRP175" s="72"/>
      <c r="RRQ175" s="72"/>
      <c r="RRR175" s="72"/>
      <c r="RRS175" s="72"/>
      <c r="RRT175" s="72"/>
      <c r="RRU175" s="72"/>
      <c r="RRV175" s="72"/>
      <c r="RRW175" s="72"/>
      <c r="RRX175" s="72"/>
      <c r="RRY175" s="72"/>
      <c r="RRZ175" s="72"/>
      <c r="RSA175" s="72"/>
      <c r="RSB175" s="72"/>
      <c r="RSC175" s="72"/>
      <c r="RSD175" s="72"/>
      <c r="RSE175" s="72"/>
      <c r="RSF175" s="72"/>
      <c r="RSG175" s="72"/>
      <c r="RSH175" s="72"/>
      <c r="RSI175" s="72"/>
      <c r="RSJ175" s="72"/>
      <c r="RSK175" s="72"/>
      <c r="RSL175" s="72"/>
      <c r="RSM175" s="72"/>
      <c r="RSN175" s="72"/>
      <c r="RSO175" s="72"/>
      <c r="RSP175" s="72"/>
      <c r="RSQ175" s="72"/>
      <c r="RSR175" s="72"/>
      <c r="RSS175" s="72"/>
      <c r="RST175" s="72"/>
      <c r="RSU175" s="72"/>
      <c r="RSV175" s="72"/>
      <c r="RSW175" s="72"/>
      <c r="RSX175" s="72"/>
      <c r="RSY175" s="72"/>
      <c r="RSZ175" s="72"/>
      <c r="RTA175" s="72"/>
      <c r="RTB175" s="72"/>
      <c r="RTC175" s="72"/>
      <c r="RTD175" s="72"/>
      <c r="RTE175" s="72"/>
      <c r="RTF175" s="72"/>
      <c r="RTG175" s="72"/>
      <c r="RTH175" s="72"/>
      <c r="RTI175" s="72"/>
      <c r="RTJ175" s="72"/>
      <c r="RTK175" s="72"/>
      <c r="RTL175" s="72"/>
      <c r="RTM175" s="72"/>
      <c r="RTN175" s="72"/>
      <c r="RTO175" s="72"/>
      <c r="RTP175" s="72"/>
      <c r="RTQ175" s="72"/>
      <c r="RTR175" s="72"/>
      <c r="RTS175" s="72"/>
      <c r="RTT175" s="72"/>
      <c r="RTU175" s="72"/>
      <c r="RTV175" s="72"/>
      <c r="RTW175" s="72"/>
      <c r="RTX175" s="72"/>
      <c r="RTY175" s="72"/>
      <c r="RTZ175" s="72"/>
      <c r="RUA175" s="72"/>
      <c r="RUB175" s="72"/>
      <c r="RUC175" s="72"/>
      <c r="RUD175" s="72"/>
      <c r="RUE175" s="72"/>
      <c r="RUF175" s="72"/>
      <c r="RUG175" s="72"/>
      <c r="RUH175" s="72"/>
      <c r="RUI175" s="72"/>
      <c r="RUJ175" s="72"/>
      <c r="RUK175" s="72"/>
      <c r="RUL175" s="72"/>
      <c r="RUM175" s="72"/>
      <c r="RUN175" s="72"/>
      <c r="RUO175" s="72"/>
      <c r="RUP175" s="72"/>
      <c r="RUQ175" s="72"/>
      <c r="RUR175" s="72"/>
      <c r="RUS175" s="72"/>
      <c r="RUT175" s="72"/>
      <c r="RUU175" s="72"/>
      <c r="RUV175" s="72"/>
      <c r="RUW175" s="72"/>
      <c r="RUX175" s="72"/>
      <c r="RUY175" s="72"/>
      <c r="RUZ175" s="72"/>
      <c r="RVA175" s="72"/>
      <c r="RVB175" s="72"/>
      <c r="RVC175" s="72"/>
      <c r="RVD175" s="72"/>
      <c r="RVE175" s="72"/>
      <c r="RVF175" s="72"/>
      <c r="RVG175" s="72"/>
      <c r="RVH175" s="72"/>
      <c r="RVI175" s="72"/>
      <c r="RVJ175" s="72"/>
      <c r="RVK175" s="72"/>
      <c r="RVL175" s="72"/>
      <c r="RVM175" s="72"/>
      <c r="RVN175" s="72"/>
      <c r="RVO175" s="72"/>
      <c r="RVP175" s="72"/>
      <c r="RVQ175" s="72"/>
      <c r="RVR175" s="72"/>
      <c r="RVS175" s="72"/>
      <c r="RVT175" s="72"/>
      <c r="RVU175" s="72"/>
      <c r="RVV175" s="72"/>
      <c r="RVW175" s="72"/>
      <c r="RVX175" s="72"/>
      <c r="RVY175" s="72"/>
      <c r="RVZ175" s="72"/>
      <c r="RWA175" s="72"/>
      <c r="RWB175" s="72"/>
      <c r="RWC175" s="72"/>
      <c r="RWD175" s="72"/>
      <c r="RWE175" s="72"/>
      <c r="RWF175" s="72"/>
      <c r="RWG175" s="72"/>
      <c r="RWH175" s="72"/>
      <c r="RWI175" s="72"/>
      <c r="RWJ175" s="72"/>
      <c r="RWK175" s="72"/>
      <c r="RWL175" s="72"/>
      <c r="RWM175" s="72"/>
      <c r="RWN175" s="72"/>
      <c r="RWO175" s="72"/>
      <c r="RWP175" s="72"/>
      <c r="RWQ175" s="72"/>
      <c r="RWR175" s="72"/>
      <c r="RWS175" s="72"/>
      <c r="RWT175" s="72"/>
      <c r="RWU175" s="72"/>
      <c r="RWV175" s="72"/>
      <c r="RWW175" s="72"/>
      <c r="RWX175" s="72"/>
      <c r="RWY175" s="72"/>
      <c r="RWZ175" s="72"/>
      <c r="RXA175" s="72"/>
      <c r="RXB175" s="72"/>
      <c r="RXC175" s="72"/>
      <c r="RXD175" s="72"/>
      <c r="RXE175" s="72"/>
      <c r="RXF175" s="72"/>
      <c r="RXG175" s="72"/>
      <c r="RXH175" s="72"/>
      <c r="RXI175" s="72"/>
      <c r="RXJ175" s="72"/>
      <c r="RXK175" s="72"/>
      <c r="RXL175" s="72"/>
      <c r="RXM175" s="72"/>
      <c r="RXN175" s="72"/>
      <c r="RXO175" s="72"/>
      <c r="RXP175" s="72"/>
      <c r="RXQ175" s="72"/>
      <c r="RXR175" s="72"/>
      <c r="RXS175" s="72"/>
      <c r="RXT175" s="72"/>
      <c r="RXU175" s="72"/>
      <c r="RXV175" s="72"/>
      <c r="RXW175" s="72"/>
      <c r="RXX175" s="72"/>
      <c r="RXY175" s="72"/>
      <c r="RXZ175" s="72"/>
      <c r="RYA175" s="72"/>
      <c r="RYB175" s="72"/>
      <c r="RYC175" s="72"/>
      <c r="RYD175" s="72"/>
      <c r="RYE175" s="72"/>
      <c r="RYF175" s="72"/>
      <c r="RYG175" s="72"/>
      <c r="RYH175" s="72"/>
      <c r="RYI175" s="72"/>
      <c r="RYJ175" s="72"/>
      <c r="RYK175" s="72"/>
      <c r="RYL175" s="72"/>
      <c r="RYM175" s="72"/>
      <c r="RYN175" s="72"/>
      <c r="RYO175" s="72"/>
      <c r="RYP175" s="72"/>
      <c r="RYQ175" s="72"/>
      <c r="RYR175" s="72"/>
      <c r="RYS175" s="72"/>
      <c r="RYT175" s="72"/>
      <c r="RYU175" s="72"/>
      <c r="RYV175" s="72"/>
      <c r="RYW175" s="72"/>
      <c r="RYX175" s="72"/>
      <c r="RYY175" s="72"/>
      <c r="RYZ175" s="72"/>
      <c r="RZA175" s="72"/>
      <c r="RZB175" s="72"/>
      <c r="RZC175" s="72"/>
      <c r="RZD175" s="72"/>
      <c r="RZE175" s="72"/>
      <c r="RZF175" s="72"/>
      <c r="RZG175" s="72"/>
      <c r="RZH175" s="72"/>
      <c r="RZI175" s="72"/>
      <c r="RZJ175" s="72"/>
      <c r="RZK175" s="72"/>
      <c r="RZL175" s="72"/>
      <c r="RZM175" s="72"/>
      <c r="RZN175" s="72"/>
      <c r="RZO175" s="72"/>
      <c r="RZP175" s="72"/>
      <c r="RZQ175" s="72"/>
      <c r="RZR175" s="72"/>
      <c r="RZS175" s="72"/>
      <c r="RZT175" s="72"/>
      <c r="RZU175" s="72"/>
      <c r="RZV175" s="72"/>
      <c r="RZW175" s="72"/>
      <c r="RZX175" s="72"/>
      <c r="RZY175" s="72"/>
      <c r="RZZ175" s="72"/>
      <c r="SAA175" s="72"/>
      <c r="SAB175" s="72"/>
      <c r="SAC175" s="72"/>
      <c r="SAD175" s="72"/>
      <c r="SAE175" s="72"/>
      <c r="SAF175" s="72"/>
      <c r="SAG175" s="72"/>
      <c r="SAH175" s="72"/>
      <c r="SAI175" s="72"/>
      <c r="SAJ175" s="72"/>
      <c r="SAK175" s="72"/>
      <c r="SAL175" s="72"/>
      <c r="SAM175" s="72"/>
      <c r="SAN175" s="72"/>
      <c r="SAO175" s="72"/>
      <c r="SAP175" s="72"/>
      <c r="SAQ175" s="72"/>
      <c r="SAR175" s="72"/>
      <c r="SAS175" s="72"/>
      <c r="SAT175" s="72"/>
      <c r="SAU175" s="72"/>
      <c r="SAV175" s="72"/>
      <c r="SAW175" s="72"/>
      <c r="SAX175" s="72"/>
      <c r="SAY175" s="72"/>
      <c r="SAZ175" s="72"/>
      <c r="SBA175" s="72"/>
      <c r="SBB175" s="72"/>
      <c r="SBC175" s="72"/>
      <c r="SBD175" s="72"/>
      <c r="SBE175" s="72"/>
      <c r="SBF175" s="72"/>
      <c r="SBG175" s="72"/>
      <c r="SBH175" s="72"/>
      <c r="SBI175" s="72"/>
      <c r="SBJ175" s="72"/>
      <c r="SBK175" s="72"/>
      <c r="SBL175" s="72"/>
      <c r="SBM175" s="72"/>
      <c r="SBN175" s="72"/>
      <c r="SBO175" s="72"/>
      <c r="SBP175" s="72"/>
      <c r="SBQ175" s="72"/>
      <c r="SBR175" s="72"/>
      <c r="SBS175" s="72"/>
      <c r="SBT175" s="72"/>
      <c r="SBU175" s="72"/>
      <c r="SBV175" s="72"/>
      <c r="SBW175" s="72"/>
      <c r="SBX175" s="72"/>
      <c r="SBY175" s="72"/>
      <c r="SBZ175" s="72"/>
      <c r="SCA175" s="72"/>
      <c r="SCB175" s="72"/>
      <c r="SCC175" s="72"/>
      <c r="SCD175" s="72"/>
      <c r="SCE175" s="72"/>
      <c r="SCF175" s="72"/>
      <c r="SCG175" s="72"/>
      <c r="SCH175" s="72"/>
      <c r="SCI175" s="72"/>
      <c r="SCJ175" s="72"/>
      <c r="SCK175" s="72"/>
      <c r="SCL175" s="72"/>
      <c r="SCM175" s="72"/>
      <c r="SCN175" s="72"/>
      <c r="SCO175" s="72"/>
      <c r="SCP175" s="72"/>
      <c r="SCQ175" s="72"/>
      <c r="SCR175" s="72"/>
      <c r="SCS175" s="72"/>
      <c r="SCT175" s="72"/>
      <c r="SCU175" s="72"/>
      <c r="SCV175" s="72"/>
      <c r="SCW175" s="72"/>
      <c r="SCX175" s="72"/>
      <c r="SCY175" s="72"/>
      <c r="SCZ175" s="72"/>
      <c r="SDA175" s="72"/>
      <c r="SDB175" s="72"/>
      <c r="SDC175" s="72"/>
      <c r="SDD175" s="72"/>
      <c r="SDE175" s="72"/>
      <c r="SDF175" s="72"/>
      <c r="SDG175" s="72"/>
      <c r="SDH175" s="72"/>
      <c r="SDI175" s="72"/>
      <c r="SDJ175" s="72"/>
      <c r="SDK175" s="72"/>
      <c r="SDL175" s="72"/>
      <c r="SDM175" s="72"/>
      <c r="SDN175" s="72"/>
      <c r="SDO175" s="72"/>
      <c r="SDP175" s="72"/>
      <c r="SDQ175" s="72"/>
      <c r="SDR175" s="72"/>
      <c r="SDS175" s="72"/>
      <c r="SDT175" s="72"/>
      <c r="SDU175" s="72"/>
      <c r="SDV175" s="72"/>
      <c r="SDW175" s="72"/>
      <c r="SDX175" s="72"/>
      <c r="SDY175" s="72"/>
      <c r="SDZ175" s="72"/>
      <c r="SEA175" s="72"/>
      <c r="SEB175" s="72"/>
      <c r="SEC175" s="72"/>
      <c r="SED175" s="72"/>
      <c r="SEE175" s="72"/>
      <c r="SEF175" s="72"/>
      <c r="SEG175" s="72"/>
      <c r="SEH175" s="72"/>
      <c r="SEI175" s="72"/>
      <c r="SEJ175" s="72"/>
      <c r="SEK175" s="72"/>
      <c r="SEL175" s="72"/>
      <c r="SEM175" s="72"/>
      <c r="SEN175" s="72"/>
      <c r="SEO175" s="72"/>
      <c r="SEP175" s="72"/>
      <c r="SEQ175" s="72"/>
      <c r="SER175" s="72"/>
      <c r="SES175" s="72"/>
      <c r="SET175" s="72"/>
      <c r="SEU175" s="72"/>
      <c r="SEV175" s="72"/>
      <c r="SEW175" s="72"/>
      <c r="SEX175" s="72"/>
      <c r="SEY175" s="72"/>
      <c r="SEZ175" s="72"/>
      <c r="SFA175" s="72"/>
      <c r="SFB175" s="72"/>
      <c r="SFC175" s="72"/>
      <c r="SFD175" s="72"/>
      <c r="SFE175" s="72"/>
      <c r="SFF175" s="72"/>
      <c r="SFG175" s="72"/>
      <c r="SFH175" s="72"/>
      <c r="SFI175" s="72"/>
      <c r="SFJ175" s="72"/>
      <c r="SFK175" s="72"/>
      <c r="SFL175" s="72"/>
      <c r="SFM175" s="72"/>
      <c r="SFN175" s="72"/>
      <c r="SFO175" s="72"/>
      <c r="SFP175" s="72"/>
      <c r="SFQ175" s="72"/>
      <c r="SFR175" s="72"/>
      <c r="SFS175" s="72"/>
      <c r="SFT175" s="72"/>
      <c r="SFU175" s="72"/>
      <c r="SFV175" s="72"/>
      <c r="SFW175" s="72"/>
      <c r="SFX175" s="72"/>
      <c r="SFY175" s="72"/>
      <c r="SFZ175" s="72"/>
      <c r="SGA175" s="72"/>
      <c r="SGB175" s="72"/>
      <c r="SGC175" s="72"/>
      <c r="SGD175" s="72"/>
      <c r="SGE175" s="72"/>
      <c r="SGF175" s="72"/>
      <c r="SGG175" s="72"/>
      <c r="SGH175" s="72"/>
      <c r="SGI175" s="72"/>
      <c r="SGJ175" s="72"/>
      <c r="SGK175" s="72"/>
      <c r="SGL175" s="72"/>
      <c r="SGM175" s="72"/>
      <c r="SGN175" s="72"/>
      <c r="SGO175" s="72"/>
      <c r="SGP175" s="72"/>
      <c r="SGQ175" s="72"/>
      <c r="SGR175" s="72"/>
      <c r="SGS175" s="72"/>
      <c r="SGT175" s="72"/>
      <c r="SGU175" s="72"/>
      <c r="SGV175" s="72"/>
      <c r="SGW175" s="72"/>
      <c r="SGX175" s="72"/>
      <c r="SGY175" s="72"/>
      <c r="SGZ175" s="72"/>
      <c r="SHA175" s="72"/>
      <c r="SHB175" s="72"/>
      <c r="SHC175" s="72"/>
      <c r="SHD175" s="72"/>
      <c r="SHE175" s="72"/>
      <c r="SHF175" s="72"/>
      <c r="SHG175" s="72"/>
      <c r="SHH175" s="72"/>
      <c r="SHI175" s="72"/>
      <c r="SHJ175" s="72"/>
      <c r="SHK175" s="72"/>
      <c r="SHL175" s="72"/>
      <c r="SHM175" s="72"/>
      <c r="SHN175" s="72"/>
      <c r="SHO175" s="72"/>
      <c r="SHP175" s="72"/>
      <c r="SHQ175" s="72"/>
      <c r="SHR175" s="72"/>
      <c r="SHS175" s="72"/>
      <c r="SHT175" s="72"/>
      <c r="SHU175" s="72"/>
      <c r="SHV175" s="72"/>
      <c r="SHW175" s="72"/>
      <c r="SHX175" s="72"/>
      <c r="SHY175" s="72"/>
      <c r="SHZ175" s="72"/>
      <c r="SIA175" s="72"/>
      <c r="SIB175" s="72"/>
      <c r="SIC175" s="72"/>
      <c r="SID175" s="72"/>
      <c r="SIE175" s="72"/>
      <c r="SIF175" s="72"/>
      <c r="SIG175" s="72"/>
      <c r="SIH175" s="72"/>
      <c r="SII175" s="72"/>
      <c r="SIJ175" s="72"/>
      <c r="SIK175" s="72"/>
      <c r="SIL175" s="72"/>
      <c r="SIM175" s="72"/>
      <c r="SIN175" s="72"/>
      <c r="SIO175" s="72"/>
      <c r="SIP175" s="72"/>
      <c r="SIQ175" s="72"/>
      <c r="SIR175" s="72"/>
      <c r="SIS175" s="72"/>
      <c r="SIT175" s="72"/>
      <c r="SIU175" s="72"/>
      <c r="SIV175" s="72"/>
      <c r="SIW175" s="72"/>
      <c r="SIX175" s="72"/>
      <c r="SIY175" s="72"/>
      <c r="SIZ175" s="72"/>
      <c r="SJA175" s="72"/>
      <c r="SJB175" s="72"/>
      <c r="SJC175" s="72"/>
      <c r="SJD175" s="72"/>
      <c r="SJE175" s="72"/>
      <c r="SJF175" s="72"/>
      <c r="SJG175" s="72"/>
      <c r="SJH175" s="72"/>
      <c r="SJI175" s="72"/>
      <c r="SJJ175" s="72"/>
      <c r="SJK175" s="72"/>
      <c r="SJL175" s="72"/>
      <c r="SJM175" s="72"/>
      <c r="SJN175" s="72"/>
      <c r="SJO175" s="72"/>
      <c r="SJP175" s="72"/>
      <c r="SJQ175" s="72"/>
      <c r="SJR175" s="72"/>
      <c r="SJS175" s="72"/>
      <c r="SJT175" s="72"/>
      <c r="SJU175" s="72"/>
      <c r="SJV175" s="72"/>
      <c r="SJW175" s="72"/>
      <c r="SJX175" s="72"/>
      <c r="SJY175" s="72"/>
      <c r="SJZ175" s="72"/>
      <c r="SKA175" s="72"/>
      <c r="SKB175" s="72"/>
      <c r="SKC175" s="72"/>
      <c r="SKD175" s="72"/>
      <c r="SKE175" s="72"/>
      <c r="SKF175" s="72"/>
      <c r="SKG175" s="72"/>
      <c r="SKH175" s="72"/>
      <c r="SKI175" s="72"/>
      <c r="SKJ175" s="72"/>
      <c r="SKK175" s="72"/>
      <c r="SKL175" s="72"/>
      <c r="SKM175" s="72"/>
      <c r="SKN175" s="72"/>
      <c r="SKO175" s="72"/>
      <c r="SKP175" s="72"/>
      <c r="SKQ175" s="72"/>
      <c r="SKR175" s="72"/>
      <c r="SKS175" s="72"/>
      <c r="SKT175" s="72"/>
      <c r="SKU175" s="72"/>
      <c r="SKV175" s="72"/>
      <c r="SKW175" s="72"/>
      <c r="SKX175" s="72"/>
      <c r="SKY175" s="72"/>
      <c r="SKZ175" s="72"/>
      <c r="SLA175" s="72"/>
      <c r="SLB175" s="72"/>
      <c r="SLC175" s="72"/>
      <c r="SLD175" s="72"/>
      <c r="SLE175" s="72"/>
      <c r="SLF175" s="72"/>
      <c r="SLG175" s="72"/>
      <c r="SLH175" s="72"/>
      <c r="SLI175" s="72"/>
      <c r="SLJ175" s="72"/>
      <c r="SLK175" s="72"/>
      <c r="SLL175" s="72"/>
      <c r="SLM175" s="72"/>
      <c r="SLN175" s="72"/>
      <c r="SLO175" s="72"/>
      <c r="SLP175" s="72"/>
      <c r="SLQ175" s="72"/>
      <c r="SLR175" s="72"/>
      <c r="SLS175" s="72"/>
      <c r="SLT175" s="72"/>
      <c r="SLU175" s="72"/>
      <c r="SLV175" s="72"/>
      <c r="SLW175" s="72"/>
      <c r="SLX175" s="72"/>
      <c r="SLY175" s="72"/>
      <c r="SLZ175" s="72"/>
      <c r="SMA175" s="72"/>
      <c r="SMB175" s="72"/>
      <c r="SMC175" s="72"/>
      <c r="SMD175" s="72"/>
      <c r="SME175" s="72"/>
      <c r="SMF175" s="72"/>
      <c r="SMG175" s="72"/>
      <c r="SMH175" s="72"/>
      <c r="SMI175" s="72"/>
      <c r="SMJ175" s="72"/>
      <c r="SMK175" s="72"/>
      <c r="SML175" s="72"/>
      <c r="SMM175" s="72"/>
      <c r="SMN175" s="72"/>
      <c r="SMO175" s="72"/>
      <c r="SMP175" s="72"/>
      <c r="SMQ175" s="72"/>
      <c r="SMR175" s="72"/>
      <c r="SMS175" s="72"/>
      <c r="SMT175" s="72"/>
      <c r="SMU175" s="72"/>
      <c r="SMV175" s="72"/>
      <c r="SMW175" s="72"/>
      <c r="SMX175" s="72"/>
      <c r="SMY175" s="72"/>
      <c r="SMZ175" s="72"/>
      <c r="SNA175" s="72"/>
      <c r="SNB175" s="72"/>
      <c r="SNC175" s="72"/>
      <c r="SND175" s="72"/>
      <c r="SNE175" s="72"/>
      <c r="SNF175" s="72"/>
      <c r="SNG175" s="72"/>
      <c r="SNH175" s="72"/>
      <c r="SNI175" s="72"/>
      <c r="SNJ175" s="72"/>
      <c r="SNK175" s="72"/>
      <c r="SNL175" s="72"/>
      <c r="SNM175" s="72"/>
      <c r="SNN175" s="72"/>
      <c r="SNO175" s="72"/>
      <c r="SNP175" s="72"/>
      <c r="SNQ175" s="72"/>
      <c r="SNR175" s="72"/>
      <c r="SNS175" s="72"/>
      <c r="SNT175" s="72"/>
      <c r="SNU175" s="72"/>
      <c r="SNV175" s="72"/>
      <c r="SNW175" s="72"/>
      <c r="SNX175" s="72"/>
      <c r="SNY175" s="72"/>
      <c r="SNZ175" s="72"/>
      <c r="SOA175" s="72"/>
      <c r="SOB175" s="72"/>
      <c r="SOC175" s="72"/>
      <c r="SOD175" s="72"/>
      <c r="SOE175" s="72"/>
      <c r="SOF175" s="72"/>
      <c r="SOG175" s="72"/>
      <c r="SOH175" s="72"/>
      <c r="SOI175" s="72"/>
      <c r="SOJ175" s="72"/>
      <c r="SOK175" s="72"/>
      <c r="SOL175" s="72"/>
      <c r="SOM175" s="72"/>
      <c r="SON175" s="72"/>
      <c r="SOO175" s="72"/>
      <c r="SOP175" s="72"/>
      <c r="SOQ175" s="72"/>
      <c r="SOR175" s="72"/>
      <c r="SOS175" s="72"/>
      <c r="SOT175" s="72"/>
      <c r="SOU175" s="72"/>
      <c r="SOV175" s="72"/>
      <c r="SOW175" s="72"/>
      <c r="SOX175" s="72"/>
      <c r="SOY175" s="72"/>
      <c r="SOZ175" s="72"/>
      <c r="SPA175" s="72"/>
      <c r="SPB175" s="72"/>
      <c r="SPC175" s="72"/>
      <c r="SPD175" s="72"/>
      <c r="SPE175" s="72"/>
      <c r="SPF175" s="72"/>
      <c r="SPG175" s="72"/>
      <c r="SPH175" s="72"/>
      <c r="SPI175" s="72"/>
      <c r="SPJ175" s="72"/>
      <c r="SPK175" s="72"/>
      <c r="SPL175" s="72"/>
      <c r="SPM175" s="72"/>
      <c r="SPN175" s="72"/>
      <c r="SPO175" s="72"/>
      <c r="SPP175" s="72"/>
      <c r="SPQ175" s="72"/>
      <c r="SPR175" s="72"/>
      <c r="SPS175" s="72"/>
      <c r="SPT175" s="72"/>
      <c r="SPU175" s="72"/>
      <c r="SPV175" s="72"/>
      <c r="SPW175" s="72"/>
      <c r="SPX175" s="72"/>
      <c r="SPY175" s="72"/>
      <c r="SPZ175" s="72"/>
      <c r="SQA175" s="72"/>
      <c r="SQB175" s="72"/>
      <c r="SQC175" s="72"/>
      <c r="SQD175" s="72"/>
      <c r="SQE175" s="72"/>
      <c r="SQF175" s="72"/>
      <c r="SQG175" s="72"/>
      <c r="SQH175" s="72"/>
      <c r="SQI175" s="72"/>
      <c r="SQJ175" s="72"/>
      <c r="SQK175" s="72"/>
      <c r="SQL175" s="72"/>
      <c r="SQM175" s="72"/>
      <c r="SQN175" s="72"/>
      <c r="SQO175" s="72"/>
      <c r="SQP175" s="72"/>
      <c r="SQQ175" s="72"/>
      <c r="SQR175" s="72"/>
      <c r="SQS175" s="72"/>
      <c r="SQT175" s="72"/>
      <c r="SQU175" s="72"/>
      <c r="SQV175" s="72"/>
      <c r="SQW175" s="72"/>
      <c r="SQX175" s="72"/>
      <c r="SQY175" s="72"/>
      <c r="SQZ175" s="72"/>
      <c r="SRA175" s="72"/>
      <c r="SRB175" s="72"/>
      <c r="SRC175" s="72"/>
      <c r="SRD175" s="72"/>
      <c r="SRE175" s="72"/>
      <c r="SRF175" s="72"/>
      <c r="SRG175" s="72"/>
      <c r="SRH175" s="72"/>
      <c r="SRI175" s="72"/>
      <c r="SRJ175" s="72"/>
      <c r="SRK175" s="72"/>
      <c r="SRL175" s="72"/>
      <c r="SRM175" s="72"/>
      <c r="SRN175" s="72"/>
      <c r="SRO175" s="72"/>
      <c r="SRP175" s="72"/>
      <c r="SRQ175" s="72"/>
      <c r="SRR175" s="72"/>
      <c r="SRS175" s="72"/>
      <c r="SRT175" s="72"/>
      <c r="SRU175" s="72"/>
      <c r="SRV175" s="72"/>
      <c r="SRW175" s="72"/>
      <c r="SRX175" s="72"/>
      <c r="SRY175" s="72"/>
      <c r="SRZ175" s="72"/>
      <c r="SSA175" s="72"/>
      <c r="SSB175" s="72"/>
      <c r="SSC175" s="72"/>
      <c r="SSD175" s="72"/>
      <c r="SSE175" s="72"/>
      <c r="SSF175" s="72"/>
      <c r="SSG175" s="72"/>
      <c r="SSH175" s="72"/>
      <c r="SSI175" s="72"/>
      <c r="SSJ175" s="72"/>
      <c r="SSK175" s="72"/>
      <c r="SSL175" s="72"/>
      <c r="SSM175" s="72"/>
      <c r="SSN175" s="72"/>
      <c r="SSO175" s="72"/>
      <c r="SSP175" s="72"/>
      <c r="SSQ175" s="72"/>
      <c r="SSR175" s="72"/>
      <c r="SSS175" s="72"/>
      <c r="SST175" s="72"/>
      <c r="SSU175" s="72"/>
      <c r="SSV175" s="72"/>
      <c r="SSW175" s="72"/>
      <c r="SSX175" s="72"/>
      <c r="SSY175" s="72"/>
      <c r="SSZ175" s="72"/>
      <c r="STA175" s="72"/>
      <c r="STB175" s="72"/>
      <c r="STC175" s="72"/>
      <c r="STD175" s="72"/>
      <c r="STE175" s="72"/>
      <c r="STF175" s="72"/>
      <c r="STG175" s="72"/>
      <c r="STH175" s="72"/>
      <c r="STI175" s="72"/>
      <c r="STJ175" s="72"/>
      <c r="STK175" s="72"/>
      <c r="STL175" s="72"/>
      <c r="STM175" s="72"/>
      <c r="STN175" s="72"/>
      <c r="STO175" s="72"/>
      <c r="STP175" s="72"/>
      <c r="STQ175" s="72"/>
      <c r="STR175" s="72"/>
      <c r="STS175" s="72"/>
      <c r="STT175" s="72"/>
      <c r="STU175" s="72"/>
      <c r="STV175" s="72"/>
      <c r="STW175" s="72"/>
      <c r="STX175" s="72"/>
      <c r="STY175" s="72"/>
      <c r="STZ175" s="72"/>
      <c r="SUA175" s="72"/>
      <c r="SUB175" s="72"/>
      <c r="SUC175" s="72"/>
      <c r="SUD175" s="72"/>
      <c r="SUE175" s="72"/>
      <c r="SUF175" s="72"/>
      <c r="SUG175" s="72"/>
      <c r="SUH175" s="72"/>
      <c r="SUI175" s="72"/>
      <c r="SUJ175" s="72"/>
      <c r="SUK175" s="72"/>
      <c r="SUL175" s="72"/>
      <c r="SUM175" s="72"/>
      <c r="SUN175" s="72"/>
      <c r="SUO175" s="72"/>
      <c r="SUP175" s="72"/>
      <c r="SUQ175" s="72"/>
      <c r="SUR175" s="72"/>
      <c r="SUS175" s="72"/>
      <c r="SUT175" s="72"/>
      <c r="SUU175" s="72"/>
      <c r="SUV175" s="72"/>
      <c r="SUW175" s="72"/>
      <c r="SUX175" s="72"/>
      <c r="SUY175" s="72"/>
      <c r="SUZ175" s="72"/>
      <c r="SVA175" s="72"/>
      <c r="SVB175" s="72"/>
      <c r="SVC175" s="72"/>
      <c r="SVD175" s="72"/>
      <c r="SVE175" s="72"/>
      <c r="SVF175" s="72"/>
      <c r="SVG175" s="72"/>
      <c r="SVH175" s="72"/>
      <c r="SVI175" s="72"/>
      <c r="SVJ175" s="72"/>
      <c r="SVK175" s="72"/>
      <c r="SVL175" s="72"/>
      <c r="SVM175" s="72"/>
      <c r="SVN175" s="72"/>
      <c r="SVO175" s="72"/>
      <c r="SVP175" s="72"/>
      <c r="SVQ175" s="72"/>
      <c r="SVR175" s="72"/>
      <c r="SVS175" s="72"/>
      <c r="SVT175" s="72"/>
      <c r="SVU175" s="72"/>
      <c r="SVV175" s="72"/>
      <c r="SVW175" s="72"/>
      <c r="SVX175" s="72"/>
      <c r="SVY175" s="72"/>
      <c r="SVZ175" s="72"/>
      <c r="SWA175" s="72"/>
      <c r="SWB175" s="72"/>
      <c r="SWC175" s="72"/>
      <c r="SWD175" s="72"/>
      <c r="SWE175" s="72"/>
      <c r="SWF175" s="72"/>
      <c r="SWG175" s="72"/>
      <c r="SWH175" s="72"/>
      <c r="SWI175" s="72"/>
      <c r="SWJ175" s="72"/>
      <c r="SWK175" s="72"/>
      <c r="SWL175" s="72"/>
      <c r="SWM175" s="72"/>
      <c r="SWN175" s="72"/>
      <c r="SWO175" s="72"/>
      <c r="SWP175" s="72"/>
      <c r="SWQ175" s="72"/>
      <c r="SWR175" s="72"/>
      <c r="SWS175" s="72"/>
      <c r="SWT175" s="72"/>
      <c r="SWU175" s="72"/>
      <c r="SWV175" s="72"/>
      <c r="SWW175" s="72"/>
      <c r="SWX175" s="72"/>
      <c r="SWY175" s="72"/>
      <c r="SWZ175" s="72"/>
      <c r="SXA175" s="72"/>
      <c r="SXB175" s="72"/>
      <c r="SXC175" s="72"/>
      <c r="SXD175" s="72"/>
      <c r="SXE175" s="72"/>
      <c r="SXF175" s="72"/>
      <c r="SXG175" s="72"/>
      <c r="SXH175" s="72"/>
      <c r="SXI175" s="72"/>
      <c r="SXJ175" s="72"/>
      <c r="SXK175" s="72"/>
      <c r="SXL175" s="72"/>
      <c r="SXM175" s="72"/>
      <c r="SXN175" s="72"/>
      <c r="SXO175" s="72"/>
      <c r="SXP175" s="72"/>
      <c r="SXQ175" s="72"/>
      <c r="SXR175" s="72"/>
      <c r="SXS175" s="72"/>
      <c r="SXT175" s="72"/>
      <c r="SXU175" s="72"/>
      <c r="SXV175" s="72"/>
      <c r="SXW175" s="72"/>
      <c r="SXX175" s="72"/>
      <c r="SXY175" s="72"/>
      <c r="SXZ175" s="72"/>
      <c r="SYA175" s="72"/>
      <c r="SYB175" s="72"/>
      <c r="SYC175" s="72"/>
      <c r="SYD175" s="72"/>
      <c r="SYE175" s="72"/>
      <c r="SYF175" s="72"/>
      <c r="SYG175" s="72"/>
      <c r="SYH175" s="72"/>
      <c r="SYI175" s="72"/>
      <c r="SYJ175" s="72"/>
      <c r="SYK175" s="72"/>
      <c r="SYL175" s="72"/>
      <c r="SYM175" s="72"/>
      <c r="SYN175" s="72"/>
      <c r="SYO175" s="72"/>
      <c r="SYP175" s="72"/>
      <c r="SYQ175" s="72"/>
      <c r="SYR175" s="72"/>
      <c r="SYS175" s="72"/>
      <c r="SYT175" s="72"/>
      <c r="SYU175" s="72"/>
      <c r="SYV175" s="72"/>
      <c r="SYW175" s="72"/>
      <c r="SYX175" s="72"/>
      <c r="SYY175" s="72"/>
      <c r="SYZ175" s="72"/>
      <c r="SZA175" s="72"/>
      <c r="SZB175" s="72"/>
      <c r="SZC175" s="72"/>
      <c r="SZD175" s="72"/>
      <c r="SZE175" s="72"/>
      <c r="SZF175" s="72"/>
      <c r="SZG175" s="72"/>
      <c r="SZH175" s="72"/>
      <c r="SZI175" s="72"/>
      <c r="SZJ175" s="72"/>
      <c r="SZK175" s="72"/>
      <c r="SZL175" s="72"/>
      <c r="SZM175" s="72"/>
      <c r="SZN175" s="72"/>
      <c r="SZO175" s="72"/>
      <c r="SZP175" s="72"/>
      <c r="SZQ175" s="72"/>
      <c r="SZR175" s="72"/>
      <c r="SZS175" s="72"/>
      <c r="SZT175" s="72"/>
      <c r="SZU175" s="72"/>
      <c r="SZV175" s="72"/>
      <c r="SZW175" s="72"/>
      <c r="SZX175" s="72"/>
      <c r="SZY175" s="72"/>
      <c r="SZZ175" s="72"/>
      <c r="TAA175" s="72"/>
      <c r="TAB175" s="72"/>
      <c r="TAC175" s="72"/>
      <c r="TAD175" s="72"/>
      <c r="TAE175" s="72"/>
      <c r="TAF175" s="72"/>
      <c r="TAG175" s="72"/>
      <c r="TAH175" s="72"/>
      <c r="TAI175" s="72"/>
      <c r="TAJ175" s="72"/>
      <c r="TAK175" s="72"/>
      <c r="TAL175" s="72"/>
      <c r="TAM175" s="72"/>
      <c r="TAN175" s="72"/>
      <c r="TAO175" s="72"/>
      <c r="TAP175" s="72"/>
      <c r="TAQ175" s="72"/>
      <c r="TAR175" s="72"/>
      <c r="TAS175" s="72"/>
      <c r="TAT175" s="72"/>
      <c r="TAU175" s="72"/>
      <c r="TAV175" s="72"/>
      <c r="TAW175" s="72"/>
      <c r="TAX175" s="72"/>
      <c r="TAY175" s="72"/>
      <c r="TAZ175" s="72"/>
      <c r="TBA175" s="72"/>
      <c r="TBB175" s="72"/>
      <c r="TBC175" s="72"/>
      <c r="TBD175" s="72"/>
      <c r="TBE175" s="72"/>
      <c r="TBF175" s="72"/>
      <c r="TBG175" s="72"/>
      <c r="TBH175" s="72"/>
      <c r="TBI175" s="72"/>
      <c r="TBJ175" s="72"/>
      <c r="TBK175" s="72"/>
      <c r="TBL175" s="72"/>
      <c r="TBM175" s="72"/>
      <c r="TBN175" s="72"/>
      <c r="TBO175" s="72"/>
      <c r="TBP175" s="72"/>
      <c r="TBQ175" s="72"/>
      <c r="TBR175" s="72"/>
      <c r="TBS175" s="72"/>
      <c r="TBT175" s="72"/>
      <c r="TBU175" s="72"/>
      <c r="TBV175" s="72"/>
      <c r="TBW175" s="72"/>
      <c r="TBX175" s="72"/>
      <c r="TBY175" s="72"/>
      <c r="TBZ175" s="72"/>
      <c r="TCA175" s="72"/>
      <c r="TCB175" s="72"/>
      <c r="TCC175" s="72"/>
      <c r="TCD175" s="72"/>
      <c r="TCE175" s="72"/>
      <c r="TCF175" s="72"/>
      <c r="TCG175" s="72"/>
      <c r="TCH175" s="72"/>
      <c r="TCI175" s="72"/>
      <c r="TCJ175" s="72"/>
      <c r="TCK175" s="72"/>
      <c r="TCL175" s="72"/>
      <c r="TCM175" s="72"/>
      <c r="TCN175" s="72"/>
      <c r="TCO175" s="72"/>
      <c r="TCP175" s="72"/>
      <c r="TCQ175" s="72"/>
      <c r="TCR175" s="72"/>
      <c r="TCS175" s="72"/>
      <c r="TCT175" s="72"/>
      <c r="TCU175" s="72"/>
      <c r="TCV175" s="72"/>
      <c r="TCW175" s="72"/>
      <c r="TCX175" s="72"/>
      <c r="TCY175" s="72"/>
      <c r="TCZ175" s="72"/>
      <c r="TDA175" s="72"/>
      <c r="TDB175" s="72"/>
      <c r="TDC175" s="72"/>
      <c r="TDD175" s="72"/>
      <c r="TDE175" s="72"/>
      <c r="TDF175" s="72"/>
      <c r="TDG175" s="72"/>
      <c r="TDH175" s="72"/>
      <c r="TDI175" s="72"/>
      <c r="TDJ175" s="72"/>
      <c r="TDK175" s="72"/>
      <c r="TDL175" s="72"/>
      <c r="TDM175" s="72"/>
      <c r="TDN175" s="72"/>
      <c r="TDO175" s="72"/>
      <c r="TDP175" s="72"/>
      <c r="TDQ175" s="72"/>
      <c r="TDR175" s="72"/>
      <c r="TDS175" s="72"/>
      <c r="TDT175" s="72"/>
      <c r="TDU175" s="72"/>
      <c r="TDV175" s="72"/>
      <c r="TDW175" s="72"/>
      <c r="TDX175" s="72"/>
      <c r="TDY175" s="72"/>
      <c r="TDZ175" s="72"/>
      <c r="TEA175" s="72"/>
      <c r="TEB175" s="72"/>
      <c r="TEC175" s="72"/>
      <c r="TED175" s="72"/>
      <c r="TEE175" s="72"/>
      <c r="TEF175" s="72"/>
      <c r="TEG175" s="72"/>
      <c r="TEH175" s="72"/>
      <c r="TEI175" s="72"/>
      <c r="TEJ175" s="72"/>
      <c r="TEK175" s="72"/>
      <c r="TEL175" s="72"/>
      <c r="TEM175" s="72"/>
      <c r="TEN175" s="72"/>
      <c r="TEO175" s="72"/>
      <c r="TEP175" s="72"/>
      <c r="TEQ175" s="72"/>
      <c r="TER175" s="72"/>
      <c r="TES175" s="72"/>
      <c r="TET175" s="72"/>
      <c r="TEU175" s="72"/>
      <c r="TEV175" s="72"/>
      <c r="TEW175" s="72"/>
      <c r="TEX175" s="72"/>
      <c r="TEY175" s="72"/>
      <c r="TEZ175" s="72"/>
      <c r="TFA175" s="72"/>
      <c r="TFB175" s="72"/>
      <c r="TFC175" s="72"/>
      <c r="TFD175" s="72"/>
      <c r="TFE175" s="72"/>
      <c r="TFF175" s="72"/>
      <c r="TFG175" s="72"/>
      <c r="TFH175" s="72"/>
      <c r="TFI175" s="72"/>
      <c r="TFJ175" s="72"/>
      <c r="TFK175" s="72"/>
      <c r="TFL175" s="72"/>
      <c r="TFM175" s="72"/>
      <c r="TFN175" s="72"/>
      <c r="TFO175" s="72"/>
      <c r="TFP175" s="72"/>
      <c r="TFQ175" s="72"/>
      <c r="TFR175" s="72"/>
      <c r="TFS175" s="72"/>
      <c r="TFT175" s="72"/>
      <c r="TFU175" s="72"/>
      <c r="TFV175" s="72"/>
      <c r="TFW175" s="72"/>
      <c r="TFX175" s="72"/>
      <c r="TFY175" s="72"/>
      <c r="TFZ175" s="72"/>
      <c r="TGA175" s="72"/>
      <c r="TGB175" s="72"/>
      <c r="TGC175" s="72"/>
      <c r="TGD175" s="72"/>
      <c r="TGE175" s="72"/>
      <c r="TGF175" s="72"/>
      <c r="TGG175" s="72"/>
      <c r="TGH175" s="72"/>
      <c r="TGI175" s="72"/>
      <c r="TGJ175" s="72"/>
      <c r="TGK175" s="72"/>
      <c r="TGL175" s="72"/>
      <c r="TGM175" s="72"/>
      <c r="TGN175" s="72"/>
      <c r="TGO175" s="72"/>
      <c r="TGP175" s="72"/>
      <c r="TGQ175" s="72"/>
      <c r="TGR175" s="72"/>
      <c r="TGS175" s="72"/>
      <c r="TGT175" s="72"/>
      <c r="TGU175" s="72"/>
      <c r="TGV175" s="72"/>
      <c r="TGW175" s="72"/>
      <c r="TGX175" s="72"/>
      <c r="TGY175" s="72"/>
      <c r="TGZ175" s="72"/>
      <c r="THA175" s="72"/>
      <c r="THB175" s="72"/>
      <c r="THC175" s="72"/>
      <c r="THD175" s="72"/>
      <c r="THE175" s="72"/>
      <c r="THF175" s="72"/>
      <c r="THG175" s="72"/>
      <c r="THH175" s="72"/>
      <c r="THI175" s="72"/>
      <c r="THJ175" s="72"/>
      <c r="THK175" s="72"/>
      <c r="THL175" s="72"/>
      <c r="THM175" s="72"/>
      <c r="THN175" s="72"/>
      <c r="THO175" s="72"/>
      <c r="THP175" s="72"/>
      <c r="THQ175" s="72"/>
      <c r="THR175" s="72"/>
      <c r="THS175" s="72"/>
      <c r="THT175" s="72"/>
      <c r="THU175" s="72"/>
      <c r="THV175" s="72"/>
      <c r="THW175" s="72"/>
      <c r="THX175" s="72"/>
      <c r="THY175" s="72"/>
      <c r="THZ175" s="72"/>
      <c r="TIA175" s="72"/>
      <c r="TIB175" s="72"/>
      <c r="TIC175" s="72"/>
      <c r="TID175" s="72"/>
      <c r="TIE175" s="72"/>
      <c r="TIF175" s="72"/>
      <c r="TIG175" s="72"/>
      <c r="TIH175" s="72"/>
      <c r="TII175" s="72"/>
      <c r="TIJ175" s="72"/>
      <c r="TIK175" s="72"/>
      <c r="TIL175" s="72"/>
      <c r="TIM175" s="72"/>
      <c r="TIN175" s="72"/>
      <c r="TIO175" s="72"/>
      <c r="TIP175" s="72"/>
      <c r="TIQ175" s="72"/>
      <c r="TIR175" s="72"/>
      <c r="TIS175" s="72"/>
      <c r="TIT175" s="72"/>
      <c r="TIU175" s="72"/>
      <c r="TIV175" s="72"/>
      <c r="TIW175" s="72"/>
      <c r="TIX175" s="72"/>
      <c r="TIY175" s="72"/>
      <c r="TIZ175" s="72"/>
      <c r="TJA175" s="72"/>
      <c r="TJB175" s="72"/>
      <c r="TJC175" s="72"/>
      <c r="TJD175" s="72"/>
      <c r="TJE175" s="72"/>
      <c r="TJF175" s="72"/>
      <c r="TJG175" s="72"/>
      <c r="TJH175" s="72"/>
      <c r="TJI175" s="72"/>
      <c r="TJJ175" s="72"/>
      <c r="TJK175" s="72"/>
      <c r="TJL175" s="72"/>
      <c r="TJM175" s="72"/>
      <c r="TJN175" s="72"/>
      <c r="TJO175" s="72"/>
      <c r="TJP175" s="72"/>
      <c r="TJQ175" s="72"/>
      <c r="TJR175" s="72"/>
      <c r="TJS175" s="72"/>
      <c r="TJT175" s="72"/>
      <c r="TJU175" s="72"/>
      <c r="TJV175" s="72"/>
      <c r="TJW175" s="72"/>
      <c r="TJX175" s="72"/>
      <c r="TJY175" s="72"/>
      <c r="TJZ175" s="72"/>
      <c r="TKA175" s="72"/>
      <c r="TKB175" s="72"/>
      <c r="TKC175" s="72"/>
      <c r="TKD175" s="72"/>
      <c r="TKE175" s="72"/>
      <c r="TKF175" s="72"/>
      <c r="TKG175" s="72"/>
      <c r="TKH175" s="72"/>
      <c r="TKI175" s="72"/>
      <c r="TKJ175" s="72"/>
      <c r="TKK175" s="72"/>
      <c r="TKL175" s="72"/>
      <c r="TKM175" s="72"/>
      <c r="TKN175" s="72"/>
      <c r="TKO175" s="72"/>
      <c r="TKP175" s="72"/>
      <c r="TKQ175" s="72"/>
      <c r="TKR175" s="72"/>
      <c r="TKS175" s="72"/>
      <c r="TKT175" s="72"/>
      <c r="TKU175" s="72"/>
      <c r="TKV175" s="72"/>
      <c r="TKW175" s="72"/>
      <c r="TKX175" s="72"/>
      <c r="TKY175" s="72"/>
      <c r="TKZ175" s="72"/>
      <c r="TLA175" s="72"/>
      <c r="TLB175" s="72"/>
      <c r="TLC175" s="72"/>
      <c r="TLD175" s="72"/>
      <c r="TLE175" s="72"/>
      <c r="TLF175" s="72"/>
      <c r="TLG175" s="72"/>
      <c r="TLH175" s="72"/>
      <c r="TLI175" s="72"/>
      <c r="TLJ175" s="72"/>
      <c r="TLK175" s="72"/>
      <c r="TLL175" s="72"/>
      <c r="TLM175" s="72"/>
      <c r="TLN175" s="72"/>
      <c r="TLO175" s="72"/>
      <c r="TLP175" s="72"/>
      <c r="TLQ175" s="72"/>
      <c r="TLR175" s="72"/>
      <c r="TLS175" s="72"/>
      <c r="TLT175" s="72"/>
      <c r="TLU175" s="72"/>
      <c r="TLV175" s="72"/>
      <c r="TLW175" s="72"/>
      <c r="TLX175" s="72"/>
      <c r="TLY175" s="72"/>
      <c r="TLZ175" s="72"/>
      <c r="TMA175" s="72"/>
      <c r="TMB175" s="72"/>
      <c r="TMC175" s="72"/>
      <c r="TMD175" s="72"/>
      <c r="TME175" s="72"/>
      <c r="TMF175" s="72"/>
      <c r="TMG175" s="72"/>
      <c r="TMH175" s="72"/>
      <c r="TMI175" s="72"/>
      <c r="TMJ175" s="72"/>
      <c r="TMK175" s="72"/>
      <c r="TML175" s="72"/>
      <c r="TMM175" s="72"/>
      <c r="TMN175" s="72"/>
      <c r="TMO175" s="72"/>
      <c r="TMP175" s="72"/>
      <c r="TMQ175" s="72"/>
      <c r="TMR175" s="72"/>
      <c r="TMS175" s="72"/>
      <c r="TMT175" s="72"/>
      <c r="TMU175" s="72"/>
      <c r="TMV175" s="72"/>
      <c r="TMW175" s="72"/>
      <c r="TMX175" s="72"/>
      <c r="TMY175" s="72"/>
      <c r="TMZ175" s="72"/>
      <c r="TNA175" s="72"/>
      <c r="TNB175" s="72"/>
      <c r="TNC175" s="72"/>
      <c r="TND175" s="72"/>
      <c r="TNE175" s="72"/>
      <c r="TNF175" s="72"/>
      <c r="TNG175" s="72"/>
      <c r="TNH175" s="72"/>
      <c r="TNI175" s="72"/>
      <c r="TNJ175" s="72"/>
      <c r="TNK175" s="72"/>
      <c r="TNL175" s="72"/>
      <c r="TNM175" s="72"/>
      <c r="TNN175" s="72"/>
      <c r="TNO175" s="72"/>
      <c r="TNP175" s="72"/>
      <c r="TNQ175" s="72"/>
      <c r="TNR175" s="72"/>
      <c r="TNS175" s="72"/>
      <c r="TNT175" s="72"/>
      <c r="TNU175" s="72"/>
      <c r="TNV175" s="72"/>
      <c r="TNW175" s="72"/>
      <c r="TNX175" s="72"/>
      <c r="TNY175" s="72"/>
      <c r="TNZ175" s="72"/>
      <c r="TOA175" s="72"/>
      <c r="TOB175" s="72"/>
      <c r="TOC175" s="72"/>
      <c r="TOD175" s="72"/>
      <c r="TOE175" s="72"/>
      <c r="TOF175" s="72"/>
      <c r="TOG175" s="72"/>
      <c r="TOH175" s="72"/>
      <c r="TOI175" s="72"/>
      <c r="TOJ175" s="72"/>
      <c r="TOK175" s="72"/>
      <c r="TOL175" s="72"/>
      <c r="TOM175" s="72"/>
      <c r="TON175" s="72"/>
      <c r="TOO175" s="72"/>
      <c r="TOP175" s="72"/>
      <c r="TOQ175" s="72"/>
      <c r="TOR175" s="72"/>
      <c r="TOS175" s="72"/>
      <c r="TOT175" s="72"/>
      <c r="TOU175" s="72"/>
      <c r="TOV175" s="72"/>
      <c r="TOW175" s="72"/>
      <c r="TOX175" s="72"/>
      <c r="TOY175" s="72"/>
      <c r="TOZ175" s="72"/>
      <c r="TPA175" s="72"/>
      <c r="TPB175" s="72"/>
      <c r="TPC175" s="72"/>
      <c r="TPD175" s="72"/>
      <c r="TPE175" s="72"/>
      <c r="TPF175" s="72"/>
      <c r="TPG175" s="72"/>
      <c r="TPH175" s="72"/>
      <c r="TPI175" s="72"/>
      <c r="TPJ175" s="72"/>
      <c r="TPK175" s="72"/>
      <c r="TPL175" s="72"/>
      <c r="TPM175" s="72"/>
      <c r="TPN175" s="72"/>
      <c r="TPO175" s="72"/>
      <c r="TPP175" s="72"/>
      <c r="TPQ175" s="72"/>
      <c r="TPR175" s="72"/>
      <c r="TPS175" s="72"/>
      <c r="TPT175" s="72"/>
      <c r="TPU175" s="72"/>
      <c r="TPV175" s="72"/>
      <c r="TPW175" s="72"/>
      <c r="TPX175" s="72"/>
      <c r="TPY175" s="72"/>
      <c r="TPZ175" s="72"/>
      <c r="TQA175" s="72"/>
      <c r="TQB175" s="72"/>
      <c r="TQC175" s="72"/>
      <c r="TQD175" s="72"/>
      <c r="TQE175" s="72"/>
      <c r="TQF175" s="72"/>
      <c r="TQG175" s="72"/>
      <c r="TQH175" s="72"/>
      <c r="TQI175" s="72"/>
      <c r="TQJ175" s="72"/>
      <c r="TQK175" s="72"/>
      <c r="TQL175" s="72"/>
      <c r="TQM175" s="72"/>
      <c r="TQN175" s="72"/>
      <c r="TQO175" s="72"/>
      <c r="TQP175" s="72"/>
      <c r="TQQ175" s="72"/>
      <c r="TQR175" s="72"/>
      <c r="TQS175" s="72"/>
      <c r="TQT175" s="72"/>
      <c r="TQU175" s="72"/>
      <c r="TQV175" s="72"/>
      <c r="TQW175" s="72"/>
      <c r="TQX175" s="72"/>
      <c r="TQY175" s="72"/>
      <c r="TQZ175" s="72"/>
      <c r="TRA175" s="72"/>
      <c r="TRB175" s="72"/>
      <c r="TRC175" s="72"/>
      <c r="TRD175" s="72"/>
      <c r="TRE175" s="72"/>
      <c r="TRF175" s="72"/>
      <c r="TRG175" s="72"/>
      <c r="TRH175" s="72"/>
      <c r="TRI175" s="72"/>
      <c r="TRJ175" s="72"/>
      <c r="TRK175" s="72"/>
      <c r="TRL175" s="72"/>
      <c r="TRM175" s="72"/>
      <c r="TRN175" s="72"/>
      <c r="TRO175" s="72"/>
      <c r="TRP175" s="72"/>
      <c r="TRQ175" s="72"/>
      <c r="TRR175" s="72"/>
      <c r="TRS175" s="72"/>
      <c r="TRT175" s="72"/>
      <c r="TRU175" s="72"/>
      <c r="TRV175" s="72"/>
      <c r="TRW175" s="72"/>
      <c r="TRX175" s="72"/>
      <c r="TRY175" s="72"/>
      <c r="TRZ175" s="72"/>
      <c r="TSA175" s="72"/>
      <c r="TSB175" s="72"/>
      <c r="TSC175" s="72"/>
      <c r="TSD175" s="72"/>
      <c r="TSE175" s="72"/>
      <c r="TSF175" s="72"/>
      <c r="TSG175" s="72"/>
      <c r="TSH175" s="72"/>
      <c r="TSI175" s="72"/>
      <c r="TSJ175" s="72"/>
      <c r="TSK175" s="72"/>
      <c r="TSL175" s="72"/>
      <c r="TSM175" s="72"/>
      <c r="TSN175" s="72"/>
      <c r="TSO175" s="72"/>
      <c r="TSP175" s="72"/>
      <c r="TSQ175" s="72"/>
      <c r="TSR175" s="72"/>
      <c r="TSS175" s="72"/>
      <c r="TST175" s="72"/>
      <c r="TSU175" s="72"/>
      <c r="TSV175" s="72"/>
      <c r="TSW175" s="72"/>
      <c r="TSX175" s="72"/>
      <c r="TSY175" s="72"/>
      <c r="TSZ175" s="72"/>
      <c r="TTA175" s="72"/>
      <c r="TTB175" s="72"/>
      <c r="TTC175" s="72"/>
      <c r="TTD175" s="72"/>
      <c r="TTE175" s="72"/>
      <c r="TTF175" s="72"/>
      <c r="TTG175" s="72"/>
      <c r="TTH175" s="72"/>
      <c r="TTI175" s="72"/>
      <c r="TTJ175" s="72"/>
      <c r="TTK175" s="72"/>
      <c r="TTL175" s="72"/>
      <c r="TTM175" s="72"/>
      <c r="TTN175" s="72"/>
      <c r="TTO175" s="72"/>
      <c r="TTP175" s="72"/>
      <c r="TTQ175" s="72"/>
      <c r="TTR175" s="72"/>
      <c r="TTS175" s="72"/>
      <c r="TTT175" s="72"/>
      <c r="TTU175" s="72"/>
      <c r="TTV175" s="72"/>
      <c r="TTW175" s="72"/>
      <c r="TTX175" s="72"/>
      <c r="TTY175" s="72"/>
      <c r="TTZ175" s="72"/>
      <c r="TUA175" s="72"/>
      <c r="TUB175" s="72"/>
      <c r="TUC175" s="72"/>
      <c r="TUD175" s="72"/>
      <c r="TUE175" s="72"/>
      <c r="TUF175" s="72"/>
      <c r="TUG175" s="72"/>
      <c r="TUH175" s="72"/>
      <c r="TUI175" s="72"/>
      <c r="TUJ175" s="72"/>
      <c r="TUK175" s="72"/>
      <c r="TUL175" s="72"/>
      <c r="TUM175" s="72"/>
      <c r="TUN175" s="72"/>
      <c r="TUO175" s="72"/>
      <c r="TUP175" s="72"/>
      <c r="TUQ175" s="72"/>
      <c r="TUR175" s="72"/>
      <c r="TUS175" s="72"/>
      <c r="TUT175" s="72"/>
      <c r="TUU175" s="72"/>
      <c r="TUV175" s="72"/>
      <c r="TUW175" s="72"/>
      <c r="TUX175" s="72"/>
      <c r="TUY175" s="72"/>
      <c r="TUZ175" s="72"/>
      <c r="TVA175" s="72"/>
      <c r="TVB175" s="72"/>
      <c r="TVC175" s="72"/>
      <c r="TVD175" s="72"/>
      <c r="TVE175" s="72"/>
      <c r="TVF175" s="72"/>
      <c r="TVG175" s="72"/>
      <c r="TVH175" s="72"/>
      <c r="TVI175" s="72"/>
      <c r="TVJ175" s="72"/>
      <c r="TVK175" s="72"/>
      <c r="TVL175" s="72"/>
      <c r="TVM175" s="72"/>
      <c r="TVN175" s="72"/>
      <c r="TVO175" s="72"/>
      <c r="TVP175" s="72"/>
      <c r="TVQ175" s="72"/>
      <c r="TVR175" s="72"/>
      <c r="TVS175" s="72"/>
      <c r="TVT175" s="72"/>
      <c r="TVU175" s="72"/>
      <c r="TVV175" s="72"/>
      <c r="TVW175" s="72"/>
      <c r="TVX175" s="72"/>
      <c r="TVY175" s="72"/>
      <c r="TVZ175" s="72"/>
      <c r="TWA175" s="72"/>
      <c r="TWB175" s="72"/>
      <c r="TWC175" s="72"/>
      <c r="TWD175" s="72"/>
      <c r="TWE175" s="72"/>
      <c r="TWF175" s="72"/>
      <c r="TWG175" s="72"/>
      <c r="TWH175" s="72"/>
      <c r="TWI175" s="72"/>
      <c r="TWJ175" s="72"/>
      <c r="TWK175" s="72"/>
      <c r="TWL175" s="72"/>
      <c r="TWM175" s="72"/>
      <c r="TWN175" s="72"/>
      <c r="TWO175" s="72"/>
      <c r="TWP175" s="72"/>
      <c r="TWQ175" s="72"/>
      <c r="TWR175" s="72"/>
      <c r="TWS175" s="72"/>
      <c r="TWT175" s="72"/>
      <c r="TWU175" s="72"/>
      <c r="TWV175" s="72"/>
      <c r="TWW175" s="72"/>
      <c r="TWX175" s="72"/>
      <c r="TWY175" s="72"/>
      <c r="TWZ175" s="72"/>
      <c r="TXA175" s="72"/>
      <c r="TXB175" s="72"/>
      <c r="TXC175" s="72"/>
      <c r="TXD175" s="72"/>
      <c r="TXE175" s="72"/>
      <c r="TXF175" s="72"/>
      <c r="TXG175" s="72"/>
      <c r="TXH175" s="72"/>
      <c r="TXI175" s="72"/>
      <c r="TXJ175" s="72"/>
      <c r="TXK175" s="72"/>
      <c r="TXL175" s="72"/>
      <c r="TXM175" s="72"/>
      <c r="TXN175" s="72"/>
      <c r="TXO175" s="72"/>
      <c r="TXP175" s="72"/>
      <c r="TXQ175" s="72"/>
      <c r="TXR175" s="72"/>
      <c r="TXS175" s="72"/>
      <c r="TXT175" s="72"/>
      <c r="TXU175" s="72"/>
      <c r="TXV175" s="72"/>
      <c r="TXW175" s="72"/>
      <c r="TXX175" s="72"/>
      <c r="TXY175" s="72"/>
      <c r="TXZ175" s="72"/>
      <c r="TYA175" s="72"/>
      <c r="TYB175" s="72"/>
      <c r="TYC175" s="72"/>
      <c r="TYD175" s="72"/>
      <c r="TYE175" s="72"/>
      <c r="TYF175" s="72"/>
      <c r="TYG175" s="72"/>
      <c r="TYH175" s="72"/>
      <c r="TYI175" s="72"/>
      <c r="TYJ175" s="72"/>
      <c r="TYK175" s="72"/>
      <c r="TYL175" s="72"/>
      <c r="TYM175" s="72"/>
      <c r="TYN175" s="72"/>
      <c r="TYO175" s="72"/>
      <c r="TYP175" s="72"/>
      <c r="TYQ175" s="72"/>
      <c r="TYR175" s="72"/>
      <c r="TYS175" s="72"/>
      <c r="TYT175" s="72"/>
      <c r="TYU175" s="72"/>
      <c r="TYV175" s="72"/>
      <c r="TYW175" s="72"/>
      <c r="TYX175" s="72"/>
      <c r="TYY175" s="72"/>
      <c r="TYZ175" s="72"/>
      <c r="TZA175" s="72"/>
      <c r="TZB175" s="72"/>
      <c r="TZC175" s="72"/>
      <c r="TZD175" s="72"/>
      <c r="TZE175" s="72"/>
      <c r="TZF175" s="72"/>
      <c r="TZG175" s="72"/>
      <c r="TZH175" s="72"/>
      <c r="TZI175" s="72"/>
      <c r="TZJ175" s="72"/>
      <c r="TZK175" s="72"/>
      <c r="TZL175" s="72"/>
      <c r="TZM175" s="72"/>
      <c r="TZN175" s="72"/>
      <c r="TZO175" s="72"/>
      <c r="TZP175" s="72"/>
      <c r="TZQ175" s="72"/>
      <c r="TZR175" s="72"/>
      <c r="TZS175" s="72"/>
      <c r="TZT175" s="72"/>
      <c r="TZU175" s="72"/>
      <c r="TZV175" s="72"/>
      <c r="TZW175" s="72"/>
      <c r="TZX175" s="72"/>
      <c r="TZY175" s="72"/>
      <c r="TZZ175" s="72"/>
      <c r="UAA175" s="72"/>
      <c r="UAB175" s="72"/>
      <c r="UAC175" s="72"/>
      <c r="UAD175" s="72"/>
      <c r="UAE175" s="72"/>
      <c r="UAF175" s="72"/>
      <c r="UAG175" s="72"/>
      <c r="UAH175" s="72"/>
      <c r="UAI175" s="72"/>
      <c r="UAJ175" s="72"/>
      <c r="UAK175" s="72"/>
      <c r="UAL175" s="72"/>
      <c r="UAM175" s="72"/>
      <c r="UAN175" s="72"/>
      <c r="UAO175" s="72"/>
      <c r="UAP175" s="72"/>
      <c r="UAQ175" s="72"/>
      <c r="UAR175" s="72"/>
      <c r="UAS175" s="72"/>
      <c r="UAT175" s="72"/>
      <c r="UAU175" s="72"/>
      <c r="UAV175" s="72"/>
      <c r="UAW175" s="72"/>
      <c r="UAX175" s="72"/>
      <c r="UAY175" s="72"/>
      <c r="UAZ175" s="72"/>
      <c r="UBA175" s="72"/>
      <c r="UBB175" s="72"/>
      <c r="UBC175" s="72"/>
      <c r="UBD175" s="72"/>
      <c r="UBE175" s="72"/>
      <c r="UBF175" s="72"/>
      <c r="UBG175" s="72"/>
      <c r="UBH175" s="72"/>
      <c r="UBI175" s="72"/>
      <c r="UBJ175" s="72"/>
      <c r="UBK175" s="72"/>
      <c r="UBL175" s="72"/>
      <c r="UBM175" s="72"/>
      <c r="UBN175" s="72"/>
      <c r="UBO175" s="72"/>
      <c r="UBP175" s="72"/>
      <c r="UBQ175" s="72"/>
      <c r="UBR175" s="72"/>
      <c r="UBS175" s="72"/>
      <c r="UBT175" s="72"/>
      <c r="UBU175" s="72"/>
      <c r="UBV175" s="72"/>
      <c r="UBW175" s="72"/>
      <c r="UBX175" s="72"/>
      <c r="UBY175" s="72"/>
      <c r="UBZ175" s="72"/>
      <c r="UCA175" s="72"/>
      <c r="UCB175" s="72"/>
      <c r="UCC175" s="72"/>
      <c r="UCD175" s="72"/>
      <c r="UCE175" s="72"/>
      <c r="UCF175" s="72"/>
      <c r="UCG175" s="72"/>
      <c r="UCH175" s="72"/>
      <c r="UCI175" s="72"/>
      <c r="UCJ175" s="72"/>
      <c r="UCK175" s="72"/>
      <c r="UCL175" s="72"/>
      <c r="UCM175" s="72"/>
      <c r="UCN175" s="72"/>
      <c r="UCO175" s="72"/>
      <c r="UCP175" s="72"/>
      <c r="UCQ175" s="72"/>
      <c r="UCR175" s="72"/>
      <c r="UCS175" s="72"/>
      <c r="UCT175" s="72"/>
      <c r="UCU175" s="72"/>
      <c r="UCV175" s="72"/>
      <c r="UCW175" s="72"/>
      <c r="UCX175" s="72"/>
      <c r="UCY175" s="72"/>
      <c r="UCZ175" s="72"/>
      <c r="UDA175" s="72"/>
      <c r="UDB175" s="72"/>
      <c r="UDC175" s="72"/>
      <c r="UDD175" s="72"/>
      <c r="UDE175" s="72"/>
      <c r="UDF175" s="72"/>
      <c r="UDG175" s="72"/>
      <c r="UDH175" s="72"/>
      <c r="UDI175" s="72"/>
      <c r="UDJ175" s="72"/>
      <c r="UDK175" s="72"/>
      <c r="UDL175" s="72"/>
      <c r="UDM175" s="72"/>
      <c r="UDN175" s="72"/>
      <c r="UDO175" s="72"/>
      <c r="UDP175" s="72"/>
      <c r="UDQ175" s="72"/>
      <c r="UDR175" s="72"/>
      <c r="UDS175" s="72"/>
      <c r="UDT175" s="72"/>
      <c r="UDU175" s="72"/>
      <c r="UDV175" s="72"/>
      <c r="UDW175" s="72"/>
      <c r="UDX175" s="72"/>
      <c r="UDY175" s="72"/>
      <c r="UDZ175" s="72"/>
      <c r="UEA175" s="72"/>
      <c r="UEB175" s="72"/>
      <c r="UEC175" s="72"/>
      <c r="UED175" s="72"/>
      <c r="UEE175" s="72"/>
      <c r="UEF175" s="72"/>
      <c r="UEG175" s="72"/>
      <c r="UEH175" s="72"/>
      <c r="UEI175" s="72"/>
      <c r="UEJ175" s="72"/>
      <c r="UEK175" s="72"/>
      <c r="UEL175" s="72"/>
      <c r="UEM175" s="72"/>
      <c r="UEN175" s="72"/>
      <c r="UEO175" s="72"/>
      <c r="UEP175" s="72"/>
      <c r="UEQ175" s="72"/>
      <c r="UER175" s="72"/>
      <c r="UES175" s="72"/>
      <c r="UET175" s="72"/>
      <c r="UEU175" s="72"/>
      <c r="UEV175" s="72"/>
      <c r="UEW175" s="72"/>
      <c r="UEX175" s="72"/>
      <c r="UEY175" s="72"/>
      <c r="UEZ175" s="72"/>
      <c r="UFA175" s="72"/>
      <c r="UFB175" s="72"/>
      <c r="UFC175" s="72"/>
      <c r="UFD175" s="72"/>
      <c r="UFE175" s="72"/>
      <c r="UFF175" s="72"/>
      <c r="UFG175" s="72"/>
      <c r="UFH175" s="72"/>
      <c r="UFI175" s="72"/>
      <c r="UFJ175" s="72"/>
      <c r="UFK175" s="72"/>
      <c r="UFL175" s="72"/>
      <c r="UFM175" s="72"/>
      <c r="UFN175" s="72"/>
      <c r="UFO175" s="72"/>
      <c r="UFP175" s="72"/>
      <c r="UFQ175" s="72"/>
      <c r="UFR175" s="72"/>
      <c r="UFS175" s="72"/>
      <c r="UFT175" s="72"/>
      <c r="UFU175" s="72"/>
      <c r="UFV175" s="72"/>
      <c r="UFW175" s="72"/>
      <c r="UFX175" s="72"/>
      <c r="UFY175" s="72"/>
      <c r="UFZ175" s="72"/>
      <c r="UGA175" s="72"/>
      <c r="UGB175" s="72"/>
      <c r="UGC175" s="72"/>
      <c r="UGD175" s="72"/>
      <c r="UGE175" s="72"/>
      <c r="UGF175" s="72"/>
      <c r="UGG175" s="72"/>
      <c r="UGH175" s="72"/>
      <c r="UGI175" s="72"/>
      <c r="UGJ175" s="72"/>
      <c r="UGK175" s="72"/>
      <c r="UGL175" s="72"/>
      <c r="UGM175" s="72"/>
      <c r="UGN175" s="72"/>
      <c r="UGO175" s="72"/>
      <c r="UGP175" s="72"/>
      <c r="UGQ175" s="72"/>
      <c r="UGR175" s="72"/>
      <c r="UGS175" s="72"/>
      <c r="UGT175" s="72"/>
      <c r="UGU175" s="72"/>
      <c r="UGV175" s="72"/>
      <c r="UGW175" s="72"/>
      <c r="UGX175" s="72"/>
      <c r="UGY175" s="72"/>
      <c r="UGZ175" s="72"/>
      <c r="UHA175" s="72"/>
      <c r="UHB175" s="72"/>
      <c r="UHC175" s="72"/>
      <c r="UHD175" s="72"/>
      <c r="UHE175" s="72"/>
      <c r="UHF175" s="72"/>
      <c r="UHG175" s="72"/>
      <c r="UHH175" s="72"/>
      <c r="UHI175" s="72"/>
      <c r="UHJ175" s="72"/>
      <c r="UHK175" s="72"/>
      <c r="UHL175" s="72"/>
      <c r="UHM175" s="72"/>
      <c r="UHN175" s="72"/>
      <c r="UHO175" s="72"/>
      <c r="UHP175" s="72"/>
      <c r="UHQ175" s="72"/>
      <c r="UHR175" s="72"/>
      <c r="UHS175" s="72"/>
      <c r="UHT175" s="72"/>
      <c r="UHU175" s="72"/>
      <c r="UHV175" s="72"/>
      <c r="UHW175" s="72"/>
      <c r="UHX175" s="72"/>
      <c r="UHY175" s="72"/>
      <c r="UHZ175" s="72"/>
      <c r="UIA175" s="72"/>
      <c r="UIB175" s="72"/>
      <c r="UIC175" s="72"/>
      <c r="UID175" s="72"/>
      <c r="UIE175" s="72"/>
      <c r="UIF175" s="72"/>
      <c r="UIG175" s="72"/>
      <c r="UIH175" s="72"/>
      <c r="UII175" s="72"/>
      <c r="UIJ175" s="72"/>
      <c r="UIK175" s="72"/>
      <c r="UIL175" s="72"/>
      <c r="UIM175" s="72"/>
      <c r="UIN175" s="72"/>
      <c r="UIO175" s="72"/>
      <c r="UIP175" s="72"/>
      <c r="UIQ175" s="72"/>
      <c r="UIR175" s="72"/>
      <c r="UIS175" s="72"/>
      <c r="UIT175" s="72"/>
      <c r="UIU175" s="72"/>
      <c r="UIV175" s="72"/>
      <c r="UIW175" s="72"/>
      <c r="UIX175" s="72"/>
      <c r="UIY175" s="72"/>
      <c r="UIZ175" s="72"/>
      <c r="UJA175" s="72"/>
      <c r="UJB175" s="72"/>
      <c r="UJC175" s="72"/>
      <c r="UJD175" s="72"/>
      <c r="UJE175" s="72"/>
      <c r="UJF175" s="72"/>
      <c r="UJG175" s="72"/>
      <c r="UJH175" s="72"/>
      <c r="UJI175" s="72"/>
      <c r="UJJ175" s="72"/>
      <c r="UJK175" s="72"/>
      <c r="UJL175" s="72"/>
      <c r="UJM175" s="72"/>
      <c r="UJN175" s="72"/>
      <c r="UJO175" s="72"/>
      <c r="UJP175" s="72"/>
      <c r="UJQ175" s="72"/>
      <c r="UJR175" s="72"/>
      <c r="UJS175" s="72"/>
      <c r="UJT175" s="72"/>
      <c r="UJU175" s="72"/>
      <c r="UJV175" s="72"/>
      <c r="UJW175" s="72"/>
      <c r="UJX175" s="72"/>
      <c r="UJY175" s="72"/>
      <c r="UJZ175" s="72"/>
      <c r="UKA175" s="72"/>
      <c r="UKB175" s="72"/>
      <c r="UKC175" s="72"/>
      <c r="UKD175" s="72"/>
      <c r="UKE175" s="72"/>
      <c r="UKF175" s="72"/>
      <c r="UKG175" s="72"/>
      <c r="UKH175" s="72"/>
      <c r="UKI175" s="72"/>
      <c r="UKJ175" s="72"/>
      <c r="UKK175" s="72"/>
      <c r="UKL175" s="72"/>
      <c r="UKM175" s="72"/>
      <c r="UKN175" s="72"/>
      <c r="UKO175" s="72"/>
      <c r="UKP175" s="72"/>
      <c r="UKQ175" s="72"/>
      <c r="UKR175" s="72"/>
      <c r="UKS175" s="72"/>
      <c r="UKT175" s="72"/>
      <c r="UKU175" s="72"/>
      <c r="UKV175" s="72"/>
      <c r="UKW175" s="72"/>
      <c r="UKX175" s="72"/>
      <c r="UKY175" s="72"/>
      <c r="UKZ175" s="72"/>
      <c r="ULA175" s="72"/>
      <c r="ULB175" s="72"/>
      <c r="ULC175" s="72"/>
      <c r="ULD175" s="72"/>
      <c r="ULE175" s="72"/>
      <c r="ULF175" s="72"/>
      <c r="ULG175" s="72"/>
      <c r="ULH175" s="72"/>
      <c r="ULI175" s="72"/>
      <c r="ULJ175" s="72"/>
      <c r="ULK175" s="72"/>
      <c r="ULL175" s="72"/>
      <c r="ULM175" s="72"/>
      <c r="ULN175" s="72"/>
      <c r="ULO175" s="72"/>
      <c r="ULP175" s="72"/>
      <c r="ULQ175" s="72"/>
      <c r="ULR175" s="72"/>
      <c r="ULS175" s="72"/>
      <c r="ULT175" s="72"/>
      <c r="ULU175" s="72"/>
      <c r="ULV175" s="72"/>
      <c r="ULW175" s="72"/>
      <c r="ULX175" s="72"/>
      <c r="ULY175" s="72"/>
      <c r="ULZ175" s="72"/>
      <c r="UMA175" s="72"/>
      <c r="UMB175" s="72"/>
      <c r="UMC175" s="72"/>
      <c r="UMD175" s="72"/>
      <c r="UME175" s="72"/>
      <c r="UMF175" s="72"/>
      <c r="UMG175" s="72"/>
      <c r="UMH175" s="72"/>
      <c r="UMI175" s="72"/>
      <c r="UMJ175" s="72"/>
      <c r="UMK175" s="72"/>
      <c r="UML175" s="72"/>
      <c r="UMM175" s="72"/>
      <c r="UMN175" s="72"/>
      <c r="UMO175" s="72"/>
      <c r="UMP175" s="72"/>
      <c r="UMQ175" s="72"/>
      <c r="UMR175" s="72"/>
      <c r="UMS175" s="72"/>
      <c r="UMT175" s="72"/>
      <c r="UMU175" s="72"/>
      <c r="UMV175" s="72"/>
      <c r="UMW175" s="72"/>
      <c r="UMX175" s="72"/>
      <c r="UMY175" s="72"/>
      <c r="UMZ175" s="72"/>
      <c r="UNA175" s="72"/>
      <c r="UNB175" s="72"/>
      <c r="UNC175" s="72"/>
      <c r="UND175" s="72"/>
      <c r="UNE175" s="72"/>
      <c r="UNF175" s="72"/>
      <c r="UNG175" s="72"/>
      <c r="UNH175" s="72"/>
      <c r="UNI175" s="72"/>
      <c r="UNJ175" s="72"/>
      <c r="UNK175" s="72"/>
      <c r="UNL175" s="72"/>
      <c r="UNM175" s="72"/>
      <c r="UNN175" s="72"/>
      <c r="UNO175" s="72"/>
      <c r="UNP175" s="72"/>
      <c r="UNQ175" s="72"/>
      <c r="UNR175" s="72"/>
      <c r="UNS175" s="72"/>
      <c r="UNT175" s="72"/>
      <c r="UNU175" s="72"/>
      <c r="UNV175" s="72"/>
      <c r="UNW175" s="72"/>
      <c r="UNX175" s="72"/>
      <c r="UNY175" s="72"/>
      <c r="UNZ175" s="72"/>
      <c r="UOA175" s="72"/>
      <c r="UOB175" s="72"/>
      <c r="UOC175" s="72"/>
      <c r="UOD175" s="72"/>
      <c r="UOE175" s="72"/>
      <c r="UOF175" s="72"/>
      <c r="UOG175" s="72"/>
      <c r="UOH175" s="72"/>
      <c r="UOI175" s="72"/>
      <c r="UOJ175" s="72"/>
      <c r="UOK175" s="72"/>
      <c r="UOL175" s="72"/>
      <c r="UOM175" s="72"/>
      <c r="UON175" s="72"/>
      <c r="UOO175" s="72"/>
      <c r="UOP175" s="72"/>
      <c r="UOQ175" s="72"/>
      <c r="UOR175" s="72"/>
      <c r="UOS175" s="72"/>
      <c r="UOT175" s="72"/>
      <c r="UOU175" s="72"/>
      <c r="UOV175" s="72"/>
      <c r="UOW175" s="72"/>
      <c r="UOX175" s="72"/>
      <c r="UOY175" s="72"/>
      <c r="UOZ175" s="72"/>
      <c r="UPA175" s="72"/>
      <c r="UPB175" s="72"/>
      <c r="UPC175" s="72"/>
      <c r="UPD175" s="72"/>
      <c r="UPE175" s="72"/>
      <c r="UPF175" s="72"/>
      <c r="UPG175" s="72"/>
      <c r="UPH175" s="72"/>
      <c r="UPI175" s="72"/>
      <c r="UPJ175" s="72"/>
      <c r="UPK175" s="72"/>
      <c r="UPL175" s="72"/>
      <c r="UPM175" s="72"/>
      <c r="UPN175" s="72"/>
      <c r="UPO175" s="72"/>
      <c r="UPP175" s="72"/>
      <c r="UPQ175" s="72"/>
      <c r="UPR175" s="72"/>
      <c r="UPS175" s="72"/>
      <c r="UPT175" s="72"/>
      <c r="UPU175" s="72"/>
      <c r="UPV175" s="72"/>
      <c r="UPW175" s="72"/>
      <c r="UPX175" s="72"/>
      <c r="UPY175" s="72"/>
      <c r="UPZ175" s="72"/>
      <c r="UQA175" s="72"/>
      <c r="UQB175" s="72"/>
      <c r="UQC175" s="72"/>
      <c r="UQD175" s="72"/>
      <c r="UQE175" s="72"/>
      <c r="UQF175" s="72"/>
      <c r="UQG175" s="72"/>
      <c r="UQH175" s="72"/>
      <c r="UQI175" s="72"/>
      <c r="UQJ175" s="72"/>
      <c r="UQK175" s="72"/>
      <c r="UQL175" s="72"/>
      <c r="UQM175" s="72"/>
      <c r="UQN175" s="72"/>
      <c r="UQO175" s="72"/>
      <c r="UQP175" s="72"/>
      <c r="UQQ175" s="72"/>
      <c r="UQR175" s="72"/>
      <c r="UQS175" s="72"/>
      <c r="UQT175" s="72"/>
      <c r="UQU175" s="72"/>
      <c r="UQV175" s="72"/>
      <c r="UQW175" s="72"/>
      <c r="UQX175" s="72"/>
      <c r="UQY175" s="72"/>
      <c r="UQZ175" s="72"/>
      <c r="URA175" s="72"/>
      <c r="URB175" s="72"/>
      <c r="URC175" s="72"/>
      <c r="URD175" s="72"/>
      <c r="URE175" s="72"/>
      <c r="URF175" s="72"/>
      <c r="URG175" s="72"/>
      <c r="URH175" s="72"/>
      <c r="URI175" s="72"/>
      <c r="URJ175" s="72"/>
      <c r="URK175" s="72"/>
      <c r="URL175" s="72"/>
      <c r="URM175" s="72"/>
      <c r="URN175" s="72"/>
      <c r="URO175" s="72"/>
      <c r="URP175" s="72"/>
      <c r="URQ175" s="72"/>
      <c r="URR175" s="72"/>
      <c r="URS175" s="72"/>
      <c r="URT175" s="72"/>
      <c r="URU175" s="72"/>
      <c r="URV175" s="72"/>
      <c r="URW175" s="72"/>
      <c r="URX175" s="72"/>
      <c r="URY175" s="72"/>
      <c r="URZ175" s="72"/>
      <c r="USA175" s="72"/>
      <c r="USB175" s="72"/>
      <c r="USC175" s="72"/>
      <c r="USD175" s="72"/>
      <c r="USE175" s="72"/>
      <c r="USF175" s="72"/>
      <c r="USG175" s="72"/>
      <c r="USH175" s="72"/>
      <c r="USI175" s="72"/>
      <c r="USJ175" s="72"/>
      <c r="USK175" s="72"/>
      <c r="USL175" s="72"/>
      <c r="USM175" s="72"/>
      <c r="USN175" s="72"/>
      <c r="USO175" s="72"/>
      <c r="USP175" s="72"/>
      <c r="USQ175" s="72"/>
      <c r="USR175" s="72"/>
      <c r="USS175" s="72"/>
      <c r="UST175" s="72"/>
      <c r="USU175" s="72"/>
      <c r="USV175" s="72"/>
      <c r="USW175" s="72"/>
      <c r="USX175" s="72"/>
      <c r="USY175" s="72"/>
      <c r="USZ175" s="72"/>
      <c r="UTA175" s="72"/>
      <c r="UTB175" s="72"/>
      <c r="UTC175" s="72"/>
      <c r="UTD175" s="72"/>
      <c r="UTE175" s="72"/>
      <c r="UTF175" s="72"/>
      <c r="UTG175" s="72"/>
      <c r="UTH175" s="72"/>
      <c r="UTI175" s="72"/>
      <c r="UTJ175" s="72"/>
      <c r="UTK175" s="72"/>
      <c r="UTL175" s="72"/>
      <c r="UTM175" s="72"/>
      <c r="UTN175" s="72"/>
      <c r="UTO175" s="72"/>
      <c r="UTP175" s="72"/>
      <c r="UTQ175" s="72"/>
      <c r="UTR175" s="72"/>
      <c r="UTS175" s="72"/>
      <c r="UTT175" s="72"/>
      <c r="UTU175" s="72"/>
      <c r="UTV175" s="72"/>
      <c r="UTW175" s="72"/>
      <c r="UTX175" s="72"/>
      <c r="UTY175" s="72"/>
      <c r="UTZ175" s="72"/>
      <c r="UUA175" s="72"/>
      <c r="UUB175" s="72"/>
      <c r="UUC175" s="72"/>
      <c r="UUD175" s="72"/>
      <c r="UUE175" s="72"/>
      <c r="UUF175" s="72"/>
      <c r="UUG175" s="72"/>
      <c r="UUH175" s="72"/>
      <c r="UUI175" s="72"/>
      <c r="UUJ175" s="72"/>
      <c r="UUK175" s="72"/>
      <c r="UUL175" s="72"/>
      <c r="UUM175" s="72"/>
      <c r="UUN175" s="72"/>
      <c r="UUO175" s="72"/>
      <c r="UUP175" s="72"/>
      <c r="UUQ175" s="72"/>
      <c r="UUR175" s="72"/>
      <c r="UUS175" s="72"/>
      <c r="UUT175" s="72"/>
      <c r="UUU175" s="72"/>
      <c r="UUV175" s="72"/>
      <c r="UUW175" s="72"/>
      <c r="UUX175" s="72"/>
      <c r="UUY175" s="72"/>
      <c r="UUZ175" s="72"/>
      <c r="UVA175" s="72"/>
      <c r="UVB175" s="72"/>
      <c r="UVC175" s="72"/>
      <c r="UVD175" s="72"/>
      <c r="UVE175" s="72"/>
      <c r="UVF175" s="72"/>
      <c r="UVG175" s="72"/>
      <c r="UVH175" s="72"/>
      <c r="UVI175" s="72"/>
      <c r="UVJ175" s="72"/>
      <c r="UVK175" s="72"/>
      <c r="UVL175" s="72"/>
      <c r="UVM175" s="72"/>
      <c r="UVN175" s="72"/>
      <c r="UVO175" s="72"/>
      <c r="UVP175" s="72"/>
      <c r="UVQ175" s="72"/>
      <c r="UVR175" s="72"/>
      <c r="UVS175" s="72"/>
      <c r="UVT175" s="72"/>
      <c r="UVU175" s="72"/>
      <c r="UVV175" s="72"/>
      <c r="UVW175" s="72"/>
      <c r="UVX175" s="72"/>
      <c r="UVY175" s="72"/>
      <c r="UVZ175" s="72"/>
      <c r="UWA175" s="72"/>
      <c r="UWB175" s="72"/>
      <c r="UWC175" s="72"/>
      <c r="UWD175" s="72"/>
      <c r="UWE175" s="72"/>
      <c r="UWF175" s="72"/>
      <c r="UWG175" s="72"/>
      <c r="UWH175" s="72"/>
      <c r="UWI175" s="72"/>
      <c r="UWJ175" s="72"/>
      <c r="UWK175" s="72"/>
      <c r="UWL175" s="72"/>
      <c r="UWM175" s="72"/>
      <c r="UWN175" s="72"/>
      <c r="UWO175" s="72"/>
      <c r="UWP175" s="72"/>
      <c r="UWQ175" s="72"/>
      <c r="UWR175" s="72"/>
      <c r="UWS175" s="72"/>
      <c r="UWT175" s="72"/>
      <c r="UWU175" s="72"/>
      <c r="UWV175" s="72"/>
      <c r="UWW175" s="72"/>
      <c r="UWX175" s="72"/>
      <c r="UWY175" s="72"/>
      <c r="UWZ175" s="72"/>
      <c r="UXA175" s="72"/>
      <c r="UXB175" s="72"/>
      <c r="UXC175" s="72"/>
      <c r="UXD175" s="72"/>
      <c r="UXE175" s="72"/>
      <c r="UXF175" s="72"/>
      <c r="UXG175" s="72"/>
      <c r="UXH175" s="72"/>
      <c r="UXI175" s="72"/>
      <c r="UXJ175" s="72"/>
      <c r="UXK175" s="72"/>
      <c r="UXL175" s="72"/>
      <c r="UXM175" s="72"/>
      <c r="UXN175" s="72"/>
      <c r="UXO175" s="72"/>
      <c r="UXP175" s="72"/>
      <c r="UXQ175" s="72"/>
      <c r="UXR175" s="72"/>
      <c r="UXS175" s="72"/>
      <c r="UXT175" s="72"/>
      <c r="UXU175" s="72"/>
      <c r="UXV175" s="72"/>
      <c r="UXW175" s="72"/>
      <c r="UXX175" s="72"/>
      <c r="UXY175" s="72"/>
      <c r="UXZ175" s="72"/>
      <c r="UYA175" s="72"/>
      <c r="UYB175" s="72"/>
      <c r="UYC175" s="72"/>
      <c r="UYD175" s="72"/>
      <c r="UYE175" s="72"/>
      <c r="UYF175" s="72"/>
      <c r="UYG175" s="72"/>
      <c r="UYH175" s="72"/>
      <c r="UYI175" s="72"/>
      <c r="UYJ175" s="72"/>
      <c r="UYK175" s="72"/>
      <c r="UYL175" s="72"/>
      <c r="UYM175" s="72"/>
      <c r="UYN175" s="72"/>
      <c r="UYO175" s="72"/>
      <c r="UYP175" s="72"/>
      <c r="UYQ175" s="72"/>
      <c r="UYR175" s="72"/>
      <c r="UYS175" s="72"/>
      <c r="UYT175" s="72"/>
      <c r="UYU175" s="72"/>
      <c r="UYV175" s="72"/>
      <c r="UYW175" s="72"/>
      <c r="UYX175" s="72"/>
      <c r="UYY175" s="72"/>
      <c r="UYZ175" s="72"/>
      <c r="UZA175" s="72"/>
      <c r="UZB175" s="72"/>
      <c r="UZC175" s="72"/>
      <c r="UZD175" s="72"/>
      <c r="UZE175" s="72"/>
      <c r="UZF175" s="72"/>
      <c r="UZG175" s="72"/>
      <c r="UZH175" s="72"/>
      <c r="UZI175" s="72"/>
      <c r="UZJ175" s="72"/>
      <c r="UZK175" s="72"/>
      <c r="UZL175" s="72"/>
      <c r="UZM175" s="72"/>
      <c r="UZN175" s="72"/>
      <c r="UZO175" s="72"/>
      <c r="UZP175" s="72"/>
      <c r="UZQ175" s="72"/>
      <c r="UZR175" s="72"/>
      <c r="UZS175" s="72"/>
      <c r="UZT175" s="72"/>
      <c r="UZU175" s="72"/>
      <c r="UZV175" s="72"/>
      <c r="UZW175" s="72"/>
      <c r="UZX175" s="72"/>
      <c r="UZY175" s="72"/>
      <c r="UZZ175" s="72"/>
      <c r="VAA175" s="72"/>
      <c r="VAB175" s="72"/>
      <c r="VAC175" s="72"/>
      <c r="VAD175" s="72"/>
      <c r="VAE175" s="72"/>
      <c r="VAF175" s="72"/>
      <c r="VAG175" s="72"/>
      <c r="VAH175" s="72"/>
      <c r="VAI175" s="72"/>
      <c r="VAJ175" s="72"/>
      <c r="VAK175" s="72"/>
      <c r="VAL175" s="72"/>
      <c r="VAM175" s="72"/>
      <c r="VAN175" s="72"/>
      <c r="VAO175" s="72"/>
      <c r="VAP175" s="72"/>
      <c r="VAQ175" s="72"/>
      <c r="VAR175" s="72"/>
      <c r="VAS175" s="72"/>
      <c r="VAT175" s="72"/>
      <c r="VAU175" s="72"/>
      <c r="VAV175" s="72"/>
      <c r="VAW175" s="72"/>
      <c r="VAX175" s="72"/>
      <c r="VAY175" s="72"/>
      <c r="VAZ175" s="72"/>
      <c r="VBA175" s="72"/>
      <c r="VBB175" s="72"/>
      <c r="VBC175" s="72"/>
      <c r="VBD175" s="72"/>
      <c r="VBE175" s="72"/>
      <c r="VBF175" s="72"/>
      <c r="VBG175" s="72"/>
      <c r="VBH175" s="72"/>
      <c r="VBI175" s="72"/>
      <c r="VBJ175" s="72"/>
      <c r="VBK175" s="72"/>
      <c r="VBL175" s="72"/>
      <c r="VBM175" s="72"/>
      <c r="VBN175" s="72"/>
      <c r="VBO175" s="72"/>
      <c r="VBP175" s="72"/>
      <c r="VBQ175" s="72"/>
      <c r="VBR175" s="72"/>
      <c r="VBS175" s="72"/>
      <c r="VBT175" s="72"/>
      <c r="VBU175" s="72"/>
      <c r="VBV175" s="72"/>
      <c r="VBW175" s="72"/>
      <c r="VBX175" s="72"/>
      <c r="VBY175" s="72"/>
      <c r="VBZ175" s="72"/>
      <c r="VCA175" s="72"/>
      <c r="VCB175" s="72"/>
      <c r="VCC175" s="72"/>
      <c r="VCD175" s="72"/>
      <c r="VCE175" s="72"/>
      <c r="VCF175" s="72"/>
      <c r="VCG175" s="72"/>
      <c r="VCH175" s="72"/>
      <c r="VCI175" s="72"/>
      <c r="VCJ175" s="72"/>
      <c r="VCK175" s="72"/>
      <c r="VCL175" s="72"/>
      <c r="VCM175" s="72"/>
      <c r="VCN175" s="72"/>
      <c r="VCO175" s="72"/>
      <c r="VCP175" s="72"/>
      <c r="VCQ175" s="72"/>
      <c r="VCR175" s="72"/>
      <c r="VCS175" s="72"/>
      <c r="VCT175" s="72"/>
      <c r="VCU175" s="72"/>
      <c r="VCV175" s="72"/>
      <c r="VCW175" s="72"/>
      <c r="VCX175" s="72"/>
      <c r="VCY175" s="72"/>
      <c r="VCZ175" s="72"/>
      <c r="VDA175" s="72"/>
      <c r="VDB175" s="72"/>
      <c r="VDC175" s="72"/>
      <c r="VDD175" s="72"/>
      <c r="VDE175" s="72"/>
      <c r="VDF175" s="72"/>
      <c r="VDG175" s="72"/>
      <c r="VDH175" s="72"/>
      <c r="VDI175" s="72"/>
      <c r="VDJ175" s="72"/>
      <c r="VDK175" s="72"/>
      <c r="VDL175" s="72"/>
      <c r="VDM175" s="72"/>
      <c r="VDN175" s="72"/>
      <c r="VDO175" s="72"/>
      <c r="VDP175" s="72"/>
      <c r="VDQ175" s="72"/>
      <c r="VDR175" s="72"/>
      <c r="VDS175" s="72"/>
      <c r="VDT175" s="72"/>
      <c r="VDU175" s="72"/>
      <c r="VDV175" s="72"/>
      <c r="VDW175" s="72"/>
      <c r="VDX175" s="72"/>
      <c r="VDY175" s="72"/>
      <c r="VDZ175" s="72"/>
      <c r="VEA175" s="72"/>
      <c r="VEB175" s="72"/>
      <c r="VEC175" s="72"/>
      <c r="VED175" s="72"/>
      <c r="VEE175" s="72"/>
      <c r="VEF175" s="72"/>
      <c r="VEG175" s="72"/>
      <c r="VEH175" s="72"/>
      <c r="VEI175" s="72"/>
      <c r="VEJ175" s="72"/>
      <c r="VEK175" s="72"/>
      <c r="VEL175" s="72"/>
      <c r="VEM175" s="72"/>
      <c r="VEN175" s="72"/>
      <c r="VEO175" s="72"/>
      <c r="VEP175" s="72"/>
      <c r="VEQ175" s="72"/>
      <c r="VER175" s="72"/>
      <c r="VES175" s="72"/>
      <c r="VET175" s="72"/>
      <c r="VEU175" s="72"/>
      <c r="VEV175" s="72"/>
      <c r="VEW175" s="72"/>
      <c r="VEX175" s="72"/>
      <c r="VEY175" s="72"/>
      <c r="VEZ175" s="72"/>
      <c r="VFA175" s="72"/>
      <c r="VFB175" s="72"/>
      <c r="VFC175" s="72"/>
      <c r="VFD175" s="72"/>
      <c r="VFE175" s="72"/>
      <c r="VFF175" s="72"/>
      <c r="VFG175" s="72"/>
      <c r="VFH175" s="72"/>
      <c r="VFI175" s="72"/>
      <c r="VFJ175" s="72"/>
      <c r="VFK175" s="72"/>
      <c r="VFL175" s="72"/>
      <c r="VFM175" s="72"/>
      <c r="VFN175" s="72"/>
      <c r="VFO175" s="72"/>
      <c r="VFP175" s="72"/>
      <c r="VFQ175" s="72"/>
      <c r="VFR175" s="72"/>
      <c r="VFS175" s="72"/>
      <c r="VFT175" s="72"/>
      <c r="VFU175" s="72"/>
      <c r="VFV175" s="72"/>
      <c r="VFW175" s="72"/>
      <c r="VFX175" s="72"/>
      <c r="VFY175" s="72"/>
      <c r="VFZ175" s="72"/>
      <c r="VGA175" s="72"/>
      <c r="VGB175" s="72"/>
      <c r="VGC175" s="72"/>
      <c r="VGD175" s="72"/>
      <c r="VGE175" s="72"/>
      <c r="VGF175" s="72"/>
      <c r="VGG175" s="72"/>
      <c r="VGH175" s="72"/>
      <c r="VGI175" s="72"/>
      <c r="VGJ175" s="72"/>
      <c r="VGK175" s="72"/>
      <c r="VGL175" s="72"/>
      <c r="VGM175" s="72"/>
      <c r="VGN175" s="72"/>
      <c r="VGO175" s="72"/>
      <c r="VGP175" s="72"/>
      <c r="VGQ175" s="72"/>
      <c r="VGR175" s="72"/>
      <c r="VGS175" s="72"/>
      <c r="VGT175" s="72"/>
      <c r="VGU175" s="72"/>
      <c r="VGV175" s="72"/>
      <c r="VGW175" s="72"/>
      <c r="VGX175" s="72"/>
      <c r="VGY175" s="72"/>
      <c r="VGZ175" s="72"/>
      <c r="VHA175" s="72"/>
      <c r="VHB175" s="72"/>
      <c r="VHC175" s="72"/>
      <c r="VHD175" s="72"/>
      <c r="VHE175" s="72"/>
      <c r="VHF175" s="72"/>
      <c r="VHG175" s="72"/>
      <c r="VHH175" s="72"/>
      <c r="VHI175" s="72"/>
      <c r="VHJ175" s="72"/>
      <c r="VHK175" s="72"/>
      <c r="VHL175" s="72"/>
      <c r="VHM175" s="72"/>
      <c r="VHN175" s="72"/>
      <c r="VHO175" s="72"/>
      <c r="VHP175" s="72"/>
      <c r="VHQ175" s="72"/>
      <c r="VHR175" s="72"/>
      <c r="VHS175" s="72"/>
      <c r="VHT175" s="72"/>
      <c r="VHU175" s="72"/>
      <c r="VHV175" s="72"/>
      <c r="VHW175" s="72"/>
      <c r="VHX175" s="72"/>
      <c r="VHY175" s="72"/>
      <c r="VHZ175" s="72"/>
      <c r="VIA175" s="72"/>
      <c r="VIB175" s="72"/>
      <c r="VIC175" s="72"/>
      <c r="VID175" s="72"/>
      <c r="VIE175" s="72"/>
      <c r="VIF175" s="72"/>
      <c r="VIG175" s="72"/>
      <c r="VIH175" s="72"/>
      <c r="VII175" s="72"/>
      <c r="VIJ175" s="72"/>
      <c r="VIK175" s="72"/>
      <c r="VIL175" s="72"/>
      <c r="VIM175" s="72"/>
      <c r="VIN175" s="72"/>
      <c r="VIO175" s="72"/>
      <c r="VIP175" s="72"/>
      <c r="VIQ175" s="72"/>
      <c r="VIR175" s="72"/>
      <c r="VIS175" s="72"/>
      <c r="VIT175" s="72"/>
      <c r="VIU175" s="72"/>
      <c r="VIV175" s="72"/>
      <c r="VIW175" s="72"/>
      <c r="VIX175" s="72"/>
      <c r="VIY175" s="72"/>
      <c r="VIZ175" s="72"/>
      <c r="VJA175" s="72"/>
      <c r="VJB175" s="72"/>
      <c r="VJC175" s="72"/>
      <c r="VJD175" s="72"/>
      <c r="VJE175" s="72"/>
      <c r="VJF175" s="72"/>
      <c r="VJG175" s="72"/>
      <c r="VJH175" s="72"/>
      <c r="VJI175" s="72"/>
      <c r="VJJ175" s="72"/>
      <c r="VJK175" s="72"/>
      <c r="VJL175" s="72"/>
      <c r="VJM175" s="72"/>
      <c r="VJN175" s="72"/>
      <c r="VJO175" s="72"/>
      <c r="VJP175" s="72"/>
      <c r="VJQ175" s="72"/>
      <c r="VJR175" s="72"/>
      <c r="VJS175" s="72"/>
      <c r="VJT175" s="72"/>
      <c r="VJU175" s="72"/>
      <c r="VJV175" s="72"/>
      <c r="VJW175" s="72"/>
      <c r="VJX175" s="72"/>
      <c r="VJY175" s="72"/>
      <c r="VJZ175" s="72"/>
      <c r="VKA175" s="72"/>
      <c r="VKB175" s="72"/>
      <c r="VKC175" s="72"/>
      <c r="VKD175" s="72"/>
      <c r="VKE175" s="72"/>
      <c r="VKF175" s="72"/>
      <c r="VKG175" s="72"/>
      <c r="VKH175" s="72"/>
      <c r="VKI175" s="72"/>
      <c r="VKJ175" s="72"/>
      <c r="VKK175" s="72"/>
      <c r="VKL175" s="72"/>
      <c r="VKM175" s="72"/>
      <c r="VKN175" s="72"/>
      <c r="VKO175" s="72"/>
      <c r="VKP175" s="72"/>
      <c r="VKQ175" s="72"/>
      <c r="VKR175" s="72"/>
      <c r="VKS175" s="72"/>
      <c r="VKT175" s="72"/>
      <c r="VKU175" s="72"/>
      <c r="VKV175" s="72"/>
      <c r="VKW175" s="72"/>
      <c r="VKX175" s="72"/>
      <c r="VKY175" s="72"/>
      <c r="VKZ175" s="72"/>
      <c r="VLA175" s="72"/>
      <c r="VLB175" s="72"/>
      <c r="VLC175" s="72"/>
      <c r="VLD175" s="72"/>
      <c r="VLE175" s="72"/>
      <c r="VLF175" s="72"/>
      <c r="VLG175" s="72"/>
      <c r="VLH175" s="72"/>
      <c r="VLI175" s="72"/>
      <c r="VLJ175" s="72"/>
      <c r="VLK175" s="72"/>
      <c r="VLL175" s="72"/>
      <c r="VLM175" s="72"/>
      <c r="VLN175" s="72"/>
      <c r="VLO175" s="72"/>
      <c r="VLP175" s="72"/>
      <c r="VLQ175" s="72"/>
      <c r="VLR175" s="72"/>
      <c r="VLS175" s="72"/>
      <c r="VLT175" s="72"/>
      <c r="VLU175" s="72"/>
      <c r="VLV175" s="72"/>
      <c r="VLW175" s="72"/>
      <c r="VLX175" s="72"/>
      <c r="VLY175" s="72"/>
      <c r="VLZ175" s="72"/>
      <c r="VMA175" s="72"/>
      <c r="VMB175" s="72"/>
      <c r="VMC175" s="72"/>
      <c r="VMD175" s="72"/>
      <c r="VME175" s="72"/>
      <c r="VMF175" s="72"/>
      <c r="VMG175" s="72"/>
      <c r="VMH175" s="72"/>
      <c r="VMI175" s="72"/>
      <c r="VMJ175" s="72"/>
      <c r="VMK175" s="72"/>
      <c r="VML175" s="72"/>
      <c r="VMM175" s="72"/>
      <c r="VMN175" s="72"/>
      <c r="VMO175" s="72"/>
      <c r="VMP175" s="72"/>
      <c r="VMQ175" s="72"/>
      <c r="VMR175" s="72"/>
      <c r="VMS175" s="72"/>
      <c r="VMT175" s="72"/>
      <c r="VMU175" s="72"/>
      <c r="VMV175" s="72"/>
      <c r="VMW175" s="72"/>
      <c r="VMX175" s="72"/>
      <c r="VMY175" s="72"/>
      <c r="VMZ175" s="72"/>
      <c r="VNA175" s="72"/>
      <c r="VNB175" s="72"/>
      <c r="VNC175" s="72"/>
      <c r="VND175" s="72"/>
      <c r="VNE175" s="72"/>
      <c r="VNF175" s="72"/>
      <c r="VNG175" s="72"/>
      <c r="VNH175" s="72"/>
      <c r="VNI175" s="72"/>
      <c r="VNJ175" s="72"/>
      <c r="VNK175" s="72"/>
      <c r="VNL175" s="72"/>
      <c r="VNM175" s="72"/>
      <c r="VNN175" s="72"/>
      <c r="VNO175" s="72"/>
      <c r="VNP175" s="72"/>
      <c r="VNQ175" s="72"/>
      <c r="VNR175" s="72"/>
      <c r="VNS175" s="72"/>
      <c r="VNT175" s="72"/>
      <c r="VNU175" s="72"/>
      <c r="VNV175" s="72"/>
      <c r="VNW175" s="72"/>
      <c r="VNX175" s="72"/>
      <c r="VNY175" s="72"/>
      <c r="VNZ175" s="72"/>
      <c r="VOA175" s="72"/>
      <c r="VOB175" s="72"/>
      <c r="VOC175" s="72"/>
      <c r="VOD175" s="72"/>
      <c r="VOE175" s="72"/>
      <c r="VOF175" s="72"/>
      <c r="VOG175" s="72"/>
      <c r="VOH175" s="72"/>
      <c r="VOI175" s="72"/>
      <c r="VOJ175" s="72"/>
      <c r="VOK175" s="72"/>
      <c r="VOL175" s="72"/>
      <c r="VOM175" s="72"/>
      <c r="VON175" s="72"/>
      <c r="VOO175" s="72"/>
      <c r="VOP175" s="72"/>
      <c r="VOQ175" s="72"/>
      <c r="VOR175" s="72"/>
      <c r="VOS175" s="72"/>
      <c r="VOT175" s="72"/>
      <c r="VOU175" s="72"/>
      <c r="VOV175" s="72"/>
      <c r="VOW175" s="72"/>
      <c r="VOX175" s="72"/>
      <c r="VOY175" s="72"/>
      <c r="VOZ175" s="72"/>
      <c r="VPA175" s="72"/>
      <c r="VPB175" s="72"/>
      <c r="VPC175" s="72"/>
      <c r="VPD175" s="72"/>
      <c r="VPE175" s="72"/>
      <c r="VPF175" s="72"/>
      <c r="VPG175" s="72"/>
      <c r="VPH175" s="72"/>
      <c r="VPI175" s="72"/>
      <c r="VPJ175" s="72"/>
      <c r="VPK175" s="72"/>
      <c r="VPL175" s="72"/>
      <c r="VPM175" s="72"/>
      <c r="VPN175" s="72"/>
      <c r="VPO175" s="72"/>
      <c r="VPP175" s="72"/>
      <c r="VPQ175" s="72"/>
      <c r="VPR175" s="72"/>
      <c r="VPS175" s="72"/>
      <c r="VPT175" s="72"/>
      <c r="VPU175" s="72"/>
      <c r="VPV175" s="72"/>
      <c r="VPW175" s="72"/>
      <c r="VPX175" s="72"/>
      <c r="VPY175" s="72"/>
      <c r="VPZ175" s="72"/>
      <c r="VQA175" s="72"/>
      <c r="VQB175" s="72"/>
      <c r="VQC175" s="72"/>
      <c r="VQD175" s="72"/>
      <c r="VQE175" s="72"/>
      <c r="VQF175" s="72"/>
      <c r="VQG175" s="72"/>
      <c r="VQH175" s="72"/>
      <c r="VQI175" s="72"/>
      <c r="VQJ175" s="72"/>
      <c r="VQK175" s="72"/>
      <c r="VQL175" s="72"/>
      <c r="VQM175" s="72"/>
      <c r="VQN175" s="72"/>
      <c r="VQO175" s="72"/>
      <c r="VQP175" s="72"/>
      <c r="VQQ175" s="72"/>
      <c r="VQR175" s="72"/>
      <c r="VQS175" s="72"/>
      <c r="VQT175" s="72"/>
      <c r="VQU175" s="72"/>
      <c r="VQV175" s="72"/>
      <c r="VQW175" s="72"/>
      <c r="VQX175" s="72"/>
      <c r="VQY175" s="72"/>
      <c r="VQZ175" s="72"/>
      <c r="VRA175" s="72"/>
      <c r="VRB175" s="72"/>
      <c r="VRC175" s="72"/>
      <c r="VRD175" s="72"/>
      <c r="VRE175" s="72"/>
      <c r="VRF175" s="72"/>
      <c r="VRG175" s="72"/>
      <c r="VRH175" s="72"/>
      <c r="VRI175" s="72"/>
      <c r="VRJ175" s="72"/>
      <c r="VRK175" s="72"/>
      <c r="VRL175" s="72"/>
      <c r="VRM175" s="72"/>
      <c r="VRN175" s="72"/>
      <c r="VRO175" s="72"/>
      <c r="VRP175" s="72"/>
      <c r="VRQ175" s="72"/>
      <c r="VRR175" s="72"/>
      <c r="VRS175" s="72"/>
      <c r="VRT175" s="72"/>
      <c r="VRU175" s="72"/>
      <c r="VRV175" s="72"/>
      <c r="VRW175" s="72"/>
      <c r="VRX175" s="72"/>
      <c r="VRY175" s="72"/>
      <c r="VRZ175" s="72"/>
      <c r="VSA175" s="72"/>
      <c r="VSB175" s="72"/>
      <c r="VSC175" s="72"/>
      <c r="VSD175" s="72"/>
      <c r="VSE175" s="72"/>
      <c r="VSF175" s="72"/>
      <c r="VSG175" s="72"/>
      <c r="VSH175" s="72"/>
      <c r="VSI175" s="72"/>
      <c r="VSJ175" s="72"/>
      <c r="VSK175" s="72"/>
      <c r="VSL175" s="72"/>
      <c r="VSM175" s="72"/>
      <c r="VSN175" s="72"/>
      <c r="VSO175" s="72"/>
      <c r="VSP175" s="72"/>
      <c r="VSQ175" s="72"/>
      <c r="VSR175" s="72"/>
      <c r="VSS175" s="72"/>
      <c r="VST175" s="72"/>
      <c r="VSU175" s="72"/>
      <c r="VSV175" s="72"/>
      <c r="VSW175" s="72"/>
      <c r="VSX175" s="72"/>
      <c r="VSY175" s="72"/>
      <c r="VSZ175" s="72"/>
      <c r="VTA175" s="72"/>
      <c r="VTB175" s="72"/>
      <c r="VTC175" s="72"/>
      <c r="VTD175" s="72"/>
      <c r="VTE175" s="72"/>
      <c r="VTF175" s="72"/>
      <c r="VTG175" s="72"/>
      <c r="VTH175" s="72"/>
      <c r="VTI175" s="72"/>
      <c r="VTJ175" s="72"/>
      <c r="VTK175" s="72"/>
      <c r="VTL175" s="72"/>
      <c r="VTM175" s="72"/>
      <c r="VTN175" s="72"/>
      <c r="VTO175" s="72"/>
      <c r="VTP175" s="72"/>
      <c r="VTQ175" s="72"/>
      <c r="VTR175" s="72"/>
      <c r="VTS175" s="72"/>
      <c r="VTT175" s="72"/>
      <c r="VTU175" s="72"/>
      <c r="VTV175" s="72"/>
      <c r="VTW175" s="72"/>
      <c r="VTX175" s="72"/>
      <c r="VTY175" s="72"/>
      <c r="VTZ175" s="72"/>
      <c r="VUA175" s="72"/>
      <c r="VUB175" s="72"/>
      <c r="VUC175" s="72"/>
      <c r="VUD175" s="72"/>
      <c r="VUE175" s="72"/>
      <c r="VUF175" s="72"/>
      <c r="VUG175" s="72"/>
      <c r="VUH175" s="72"/>
      <c r="VUI175" s="72"/>
      <c r="VUJ175" s="72"/>
      <c r="VUK175" s="72"/>
      <c r="VUL175" s="72"/>
      <c r="VUM175" s="72"/>
      <c r="VUN175" s="72"/>
      <c r="VUO175" s="72"/>
      <c r="VUP175" s="72"/>
      <c r="VUQ175" s="72"/>
      <c r="VUR175" s="72"/>
      <c r="VUS175" s="72"/>
      <c r="VUT175" s="72"/>
      <c r="VUU175" s="72"/>
      <c r="VUV175" s="72"/>
      <c r="VUW175" s="72"/>
      <c r="VUX175" s="72"/>
      <c r="VUY175" s="72"/>
      <c r="VUZ175" s="72"/>
      <c r="VVA175" s="72"/>
      <c r="VVB175" s="72"/>
      <c r="VVC175" s="72"/>
      <c r="VVD175" s="72"/>
      <c r="VVE175" s="72"/>
      <c r="VVF175" s="72"/>
      <c r="VVG175" s="72"/>
      <c r="VVH175" s="72"/>
      <c r="VVI175" s="72"/>
      <c r="VVJ175" s="72"/>
      <c r="VVK175" s="72"/>
      <c r="VVL175" s="72"/>
      <c r="VVM175" s="72"/>
      <c r="VVN175" s="72"/>
      <c r="VVO175" s="72"/>
      <c r="VVP175" s="72"/>
      <c r="VVQ175" s="72"/>
      <c r="VVR175" s="72"/>
      <c r="VVS175" s="72"/>
      <c r="VVT175" s="72"/>
      <c r="VVU175" s="72"/>
      <c r="VVV175" s="72"/>
      <c r="VVW175" s="72"/>
      <c r="VVX175" s="72"/>
      <c r="VVY175" s="72"/>
      <c r="VVZ175" s="72"/>
      <c r="VWA175" s="72"/>
      <c r="VWB175" s="72"/>
      <c r="VWC175" s="72"/>
      <c r="VWD175" s="72"/>
      <c r="VWE175" s="72"/>
      <c r="VWF175" s="72"/>
      <c r="VWG175" s="72"/>
      <c r="VWH175" s="72"/>
      <c r="VWI175" s="72"/>
      <c r="VWJ175" s="72"/>
      <c r="VWK175" s="72"/>
      <c r="VWL175" s="72"/>
      <c r="VWM175" s="72"/>
      <c r="VWN175" s="72"/>
      <c r="VWO175" s="72"/>
      <c r="VWP175" s="72"/>
      <c r="VWQ175" s="72"/>
      <c r="VWR175" s="72"/>
      <c r="VWS175" s="72"/>
      <c r="VWT175" s="72"/>
      <c r="VWU175" s="72"/>
      <c r="VWV175" s="72"/>
      <c r="VWW175" s="72"/>
      <c r="VWX175" s="72"/>
      <c r="VWY175" s="72"/>
      <c r="VWZ175" s="72"/>
      <c r="VXA175" s="72"/>
      <c r="VXB175" s="72"/>
      <c r="VXC175" s="72"/>
      <c r="VXD175" s="72"/>
      <c r="VXE175" s="72"/>
      <c r="VXF175" s="72"/>
      <c r="VXG175" s="72"/>
      <c r="VXH175" s="72"/>
      <c r="VXI175" s="72"/>
      <c r="VXJ175" s="72"/>
      <c r="VXK175" s="72"/>
      <c r="VXL175" s="72"/>
      <c r="VXM175" s="72"/>
      <c r="VXN175" s="72"/>
      <c r="VXO175" s="72"/>
      <c r="VXP175" s="72"/>
      <c r="VXQ175" s="72"/>
      <c r="VXR175" s="72"/>
      <c r="VXS175" s="72"/>
      <c r="VXT175" s="72"/>
      <c r="VXU175" s="72"/>
      <c r="VXV175" s="72"/>
      <c r="VXW175" s="72"/>
      <c r="VXX175" s="72"/>
      <c r="VXY175" s="72"/>
      <c r="VXZ175" s="72"/>
      <c r="VYA175" s="72"/>
      <c r="VYB175" s="72"/>
      <c r="VYC175" s="72"/>
      <c r="VYD175" s="72"/>
      <c r="VYE175" s="72"/>
      <c r="VYF175" s="72"/>
      <c r="VYG175" s="72"/>
      <c r="VYH175" s="72"/>
      <c r="VYI175" s="72"/>
      <c r="VYJ175" s="72"/>
      <c r="VYK175" s="72"/>
      <c r="VYL175" s="72"/>
      <c r="VYM175" s="72"/>
      <c r="VYN175" s="72"/>
      <c r="VYO175" s="72"/>
      <c r="VYP175" s="72"/>
      <c r="VYQ175" s="72"/>
      <c r="VYR175" s="72"/>
      <c r="VYS175" s="72"/>
      <c r="VYT175" s="72"/>
      <c r="VYU175" s="72"/>
      <c r="VYV175" s="72"/>
      <c r="VYW175" s="72"/>
      <c r="VYX175" s="72"/>
      <c r="VYY175" s="72"/>
      <c r="VYZ175" s="72"/>
      <c r="VZA175" s="72"/>
      <c r="VZB175" s="72"/>
      <c r="VZC175" s="72"/>
      <c r="VZD175" s="72"/>
      <c r="VZE175" s="72"/>
      <c r="VZF175" s="72"/>
      <c r="VZG175" s="72"/>
      <c r="VZH175" s="72"/>
      <c r="VZI175" s="72"/>
      <c r="VZJ175" s="72"/>
      <c r="VZK175" s="72"/>
      <c r="VZL175" s="72"/>
      <c r="VZM175" s="72"/>
      <c r="VZN175" s="72"/>
      <c r="VZO175" s="72"/>
      <c r="VZP175" s="72"/>
      <c r="VZQ175" s="72"/>
      <c r="VZR175" s="72"/>
      <c r="VZS175" s="72"/>
      <c r="VZT175" s="72"/>
      <c r="VZU175" s="72"/>
      <c r="VZV175" s="72"/>
      <c r="VZW175" s="72"/>
      <c r="VZX175" s="72"/>
      <c r="VZY175" s="72"/>
      <c r="VZZ175" s="72"/>
      <c r="WAA175" s="72"/>
      <c r="WAB175" s="72"/>
      <c r="WAC175" s="72"/>
      <c r="WAD175" s="72"/>
      <c r="WAE175" s="72"/>
      <c r="WAF175" s="72"/>
      <c r="WAG175" s="72"/>
      <c r="WAH175" s="72"/>
      <c r="WAI175" s="72"/>
      <c r="WAJ175" s="72"/>
      <c r="WAK175" s="72"/>
      <c r="WAL175" s="72"/>
      <c r="WAM175" s="72"/>
      <c r="WAN175" s="72"/>
      <c r="WAO175" s="72"/>
      <c r="WAP175" s="72"/>
      <c r="WAQ175" s="72"/>
      <c r="WAR175" s="72"/>
      <c r="WAS175" s="72"/>
      <c r="WAT175" s="72"/>
      <c r="WAU175" s="72"/>
      <c r="WAV175" s="72"/>
      <c r="WAW175" s="72"/>
      <c r="WAX175" s="72"/>
      <c r="WAY175" s="72"/>
      <c r="WAZ175" s="72"/>
      <c r="WBA175" s="72"/>
      <c r="WBB175" s="72"/>
      <c r="WBC175" s="72"/>
      <c r="WBD175" s="72"/>
      <c r="WBE175" s="72"/>
      <c r="WBF175" s="72"/>
      <c r="WBG175" s="72"/>
      <c r="WBH175" s="72"/>
      <c r="WBI175" s="72"/>
      <c r="WBJ175" s="72"/>
      <c r="WBK175" s="72"/>
      <c r="WBL175" s="72"/>
      <c r="WBM175" s="72"/>
      <c r="WBN175" s="72"/>
      <c r="WBO175" s="72"/>
      <c r="WBP175" s="72"/>
      <c r="WBQ175" s="72"/>
      <c r="WBR175" s="72"/>
      <c r="WBS175" s="72"/>
      <c r="WBT175" s="72"/>
      <c r="WBU175" s="72"/>
      <c r="WBV175" s="72"/>
      <c r="WBW175" s="72"/>
      <c r="WBX175" s="72"/>
      <c r="WBY175" s="72"/>
      <c r="WBZ175" s="72"/>
      <c r="WCA175" s="72"/>
      <c r="WCB175" s="72"/>
      <c r="WCC175" s="72"/>
      <c r="WCD175" s="72"/>
      <c r="WCE175" s="72"/>
      <c r="WCF175" s="72"/>
      <c r="WCG175" s="72"/>
      <c r="WCH175" s="72"/>
      <c r="WCI175" s="72"/>
      <c r="WCJ175" s="72"/>
      <c r="WCK175" s="72"/>
      <c r="WCL175" s="72"/>
      <c r="WCM175" s="72"/>
      <c r="WCN175" s="72"/>
      <c r="WCO175" s="72"/>
      <c r="WCP175" s="72"/>
      <c r="WCQ175" s="72"/>
      <c r="WCR175" s="72"/>
      <c r="WCS175" s="72"/>
      <c r="WCT175" s="72"/>
      <c r="WCU175" s="72"/>
      <c r="WCV175" s="72"/>
      <c r="WCW175" s="72"/>
      <c r="WCX175" s="72"/>
      <c r="WCY175" s="72"/>
      <c r="WCZ175" s="72"/>
      <c r="WDA175" s="72"/>
      <c r="WDB175" s="72"/>
      <c r="WDC175" s="72"/>
      <c r="WDD175" s="72"/>
      <c r="WDE175" s="72"/>
      <c r="WDF175" s="72"/>
      <c r="WDG175" s="72"/>
      <c r="WDH175" s="72"/>
      <c r="WDI175" s="72"/>
      <c r="WDJ175" s="72"/>
      <c r="WDK175" s="72"/>
      <c r="WDL175" s="72"/>
      <c r="WDM175" s="72"/>
      <c r="WDN175" s="72"/>
      <c r="WDO175" s="72"/>
      <c r="WDP175" s="72"/>
      <c r="WDQ175" s="72"/>
      <c r="WDR175" s="72"/>
      <c r="WDS175" s="72"/>
      <c r="WDT175" s="72"/>
      <c r="WDU175" s="72"/>
      <c r="WDV175" s="72"/>
      <c r="WDW175" s="72"/>
      <c r="WDX175" s="72"/>
      <c r="WDY175" s="72"/>
      <c r="WDZ175" s="72"/>
      <c r="WEA175" s="72"/>
      <c r="WEB175" s="72"/>
      <c r="WEC175" s="72"/>
      <c r="WED175" s="72"/>
      <c r="WEE175" s="72"/>
      <c r="WEF175" s="72"/>
      <c r="WEG175" s="72"/>
      <c r="WEH175" s="72"/>
      <c r="WEI175" s="72"/>
      <c r="WEJ175" s="72"/>
      <c r="WEK175" s="72"/>
      <c r="WEL175" s="72"/>
      <c r="WEM175" s="72"/>
      <c r="WEN175" s="72"/>
      <c r="WEO175" s="72"/>
      <c r="WEP175" s="72"/>
      <c r="WEQ175" s="72"/>
      <c r="WER175" s="72"/>
      <c r="WES175" s="72"/>
      <c r="WET175" s="72"/>
      <c r="WEU175" s="72"/>
      <c r="WEV175" s="72"/>
      <c r="WEW175" s="72"/>
      <c r="WEX175" s="72"/>
      <c r="WEY175" s="72"/>
      <c r="WEZ175" s="72"/>
      <c r="WFA175" s="72"/>
      <c r="WFB175" s="72"/>
      <c r="WFC175" s="72"/>
      <c r="WFD175" s="72"/>
      <c r="WFE175" s="72"/>
      <c r="WFF175" s="72"/>
      <c r="WFG175" s="72"/>
      <c r="WFH175" s="72"/>
      <c r="WFI175" s="72"/>
      <c r="WFJ175" s="72"/>
      <c r="WFK175" s="72"/>
      <c r="WFL175" s="72"/>
      <c r="WFM175" s="72"/>
      <c r="WFN175" s="72"/>
      <c r="WFO175" s="72"/>
      <c r="WFP175" s="72"/>
      <c r="WFQ175" s="72"/>
      <c r="WFR175" s="72"/>
      <c r="WFS175" s="72"/>
      <c r="WFT175" s="72"/>
      <c r="WFU175" s="72"/>
      <c r="WFV175" s="72"/>
      <c r="WFW175" s="72"/>
      <c r="WFX175" s="72"/>
      <c r="WFY175" s="72"/>
      <c r="WFZ175" s="72"/>
      <c r="WGA175" s="72"/>
      <c r="WGB175" s="72"/>
      <c r="WGC175" s="72"/>
      <c r="WGD175" s="72"/>
      <c r="WGE175" s="72"/>
      <c r="WGF175" s="72"/>
      <c r="WGG175" s="72"/>
      <c r="WGH175" s="72"/>
      <c r="WGI175" s="72"/>
      <c r="WGJ175" s="72"/>
      <c r="WGK175" s="72"/>
      <c r="WGL175" s="72"/>
      <c r="WGM175" s="72"/>
      <c r="WGN175" s="72"/>
      <c r="WGO175" s="72"/>
      <c r="WGP175" s="72"/>
      <c r="WGQ175" s="72"/>
      <c r="WGR175" s="72"/>
      <c r="WGS175" s="72"/>
      <c r="WGT175" s="72"/>
      <c r="WGU175" s="72"/>
      <c r="WGV175" s="72"/>
      <c r="WGW175" s="72"/>
      <c r="WGX175" s="72"/>
      <c r="WGY175" s="72"/>
      <c r="WGZ175" s="72"/>
      <c r="WHA175" s="72"/>
      <c r="WHB175" s="72"/>
      <c r="WHC175" s="72"/>
      <c r="WHD175" s="72"/>
      <c r="WHE175" s="72"/>
      <c r="WHF175" s="72"/>
      <c r="WHG175" s="72"/>
      <c r="WHH175" s="72"/>
      <c r="WHI175" s="72"/>
      <c r="WHJ175" s="72"/>
      <c r="WHK175" s="72"/>
      <c r="WHL175" s="72"/>
      <c r="WHM175" s="72"/>
      <c r="WHN175" s="72"/>
      <c r="WHO175" s="72"/>
      <c r="WHP175" s="72"/>
      <c r="WHQ175" s="72"/>
      <c r="WHR175" s="72"/>
      <c r="WHS175" s="72"/>
      <c r="WHT175" s="72"/>
      <c r="WHU175" s="72"/>
      <c r="WHV175" s="72"/>
      <c r="WHW175" s="72"/>
      <c r="WHX175" s="72"/>
      <c r="WHY175" s="72"/>
      <c r="WHZ175" s="72"/>
      <c r="WIA175" s="72"/>
      <c r="WIB175" s="72"/>
      <c r="WIC175" s="72"/>
      <c r="WID175" s="72"/>
      <c r="WIE175" s="72"/>
      <c r="WIF175" s="72"/>
      <c r="WIG175" s="72"/>
      <c r="WIH175" s="72"/>
      <c r="WII175" s="72"/>
      <c r="WIJ175" s="72"/>
      <c r="WIK175" s="72"/>
      <c r="WIL175" s="72"/>
      <c r="WIM175" s="72"/>
      <c r="WIN175" s="72"/>
      <c r="WIO175" s="72"/>
      <c r="WIP175" s="72"/>
      <c r="WIQ175" s="72"/>
      <c r="WIR175" s="72"/>
      <c r="WIS175" s="72"/>
      <c r="WIT175" s="72"/>
      <c r="WIU175" s="72"/>
      <c r="WIV175" s="72"/>
      <c r="WIW175" s="72"/>
      <c r="WIX175" s="72"/>
      <c r="WIY175" s="72"/>
      <c r="WIZ175" s="72"/>
      <c r="WJA175" s="72"/>
      <c r="WJB175" s="72"/>
      <c r="WJC175" s="72"/>
      <c r="WJD175" s="72"/>
      <c r="WJE175" s="72"/>
      <c r="WJF175" s="72"/>
      <c r="WJG175" s="72"/>
      <c r="WJH175" s="72"/>
      <c r="WJI175" s="72"/>
      <c r="WJJ175" s="72"/>
      <c r="WJK175" s="72"/>
      <c r="WJL175" s="72"/>
      <c r="WJM175" s="72"/>
      <c r="WJN175" s="72"/>
      <c r="WJO175" s="72"/>
      <c r="WJP175" s="72"/>
      <c r="WJQ175" s="72"/>
      <c r="WJR175" s="72"/>
      <c r="WJS175" s="72"/>
      <c r="WJT175" s="72"/>
      <c r="WJU175" s="72"/>
      <c r="WJV175" s="72"/>
      <c r="WJW175" s="72"/>
      <c r="WJX175" s="72"/>
      <c r="WJY175" s="72"/>
      <c r="WJZ175" s="72"/>
      <c r="WKA175" s="72"/>
      <c r="WKB175" s="72"/>
      <c r="WKC175" s="72"/>
      <c r="WKD175" s="72"/>
      <c r="WKE175" s="72"/>
      <c r="WKF175" s="72"/>
      <c r="WKG175" s="72"/>
      <c r="WKH175" s="72"/>
      <c r="WKI175" s="72"/>
      <c r="WKJ175" s="72"/>
      <c r="WKK175" s="72"/>
      <c r="WKL175" s="72"/>
      <c r="WKM175" s="72"/>
      <c r="WKN175" s="72"/>
      <c r="WKO175" s="72"/>
      <c r="WKP175" s="72"/>
      <c r="WKQ175" s="72"/>
      <c r="WKR175" s="72"/>
      <c r="WKS175" s="72"/>
      <c r="WKT175" s="72"/>
      <c r="WKU175" s="72"/>
      <c r="WKV175" s="72"/>
      <c r="WKW175" s="72"/>
      <c r="WKX175" s="72"/>
      <c r="WKY175" s="72"/>
      <c r="WKZ175" s="72"/>
      <c r="WLA175" s="72"/>
      <c r="WLB175" s="72"/>
      <c r="WLC175" s="72"/>
      <c r="WLD175" s="72"/>
      <c r="WLE175" s="72"/>
      <c r="WLF175" s="72"/>
      <c r="WLG175" s="72"/>
      <c r="WLH175" s="72"/>
      <c r="WLI175" s="72"/>
      <c r="WLJ175" s="72"/>
      <c r="WLK175" s="72"/>
      <c r="WLL175" s="72"/>
      <c r="WLM175" s="72"/>
      <c r="WLN175" s="72"/>
      <c r="WLO175" s="72"/>
      <c r="WLP175" s="72"/>
      <c r="WLQ175" s="72"/>
      <c r="WLR175" s="72"/>
      <c r="WLS175" s="72"/>
      <c r="WLT175" s="72"/>
      <c r="WLU175" s="72"/>
      <c r="WLV175" s="72"/>
      <c r="WLW175" s="72"/>
      <c r="WLX175" s="72"/>
      <c r="WLY175" s="72"/>
      <c r="WLZ175" s="72"/>
      <c r="WMA175" s="72"/>
      <c r="WMB175" s="72"/>
      <c r="WMC175" s="72"/>
      <c r="WMD175" s="72"/>
      <c r="WME175" s="72"/>
      <c r="WMF175" s="72"/>
      <c r="WMG175" s="72"/>
      <c r="WMH175" s="72"/>
      <c r="WMI175" s="72"/>
      <c r="WMJ175" s="72"/>
      <c r="WMK175" s="72"/>
      <c r="WML175" s="72"/>
      <c r="WMM175" s="72"/>
      <c r="WMN175" s="72"/>
      <c r="WMO175" s="72"/>
      <c r="WMP175" s="72"/>
      <c r="WMQ175" s="72"/>
      <c r="WMR175" s="72"/>
      <c r="WMS175" s="72"/>
      <c r="WMT175" s="72"/>
      <c r="WMU175" s="72"/>
      <c r="WMV175" s="72"/>
      <c r="WMW175" s="72"/>
      <c r="WMX175" s="72"/>
      <c r="WMY175" s="72"/>
      <c r="WMZ175" s="72"/>
      <c r="WNA175" s="72"/>
      <c r="WNB175" s="72"/>
      <c r="WNC175" s="72"/>
      <c r="WND175" s="72"/>
      <c r="WNE175" s="72"/>
      <c r="WNF175" s="72"/>
      <c r="WNG175" s="72"/>
      <c r="WNH175" s="72"/>
      <c r="WNI175" s="72"/>
      <c r="WNJ175" s="72"/>
      <c r="WNK175" s="72"/>
      <c r="WNL175" s="72"/>
      <c r="WNM175" s="72"/>
      <c r="WNN175" s="72"/>
      <c r="WNO175" s="72"/>
      <c r="WNP175" s="72"/>
      <c r="WNQ175" s="72"/>
      <c r="WNR175" s="72"/>
      <c r="WNS175" s="72"/>
      <c r="WNT175" s="72"/>
      <c r="WNU175" s="72"/>
      <c r="WNV175" s="72"/>
      <c r="WNW175" s="72"/>
      <c r="WNX175" s="72"/>
      <c r="WNY175" s="72"/>
      <c r="WNZ175" s="72"/>
      <c r="WOA175" s="72"/>
      <c r="WOB175" s="72"/>
      <c r="WOC175" s="72"/>
      <c r="WOD175" s="72"/>
      <c r="WOE175" s="72"/>
      <c r="WOF175" s="72"/>
      <c r="WOG175" s="72"/>
      <c r="WOH175" s="72"/>
      <c r="WOI175" s="72"/>
      <c r="WOJ175" s="72"/>
      <c r="WOK175" s="72"/>
      <c r="WOL175" s="72"/>
      <c r="WOM175" s="72"/>
      <c r="WON175" s="72"/>
      <c r="WOO175" s="72"/>
      <c r="WOP175" s="72"/>
      <c r="WOQ175" s="72"/>
      <c r="WOR175" s="72"/>
      <c r="WOS175" s="72"/>
      <c r="WOT175" s="72"/>
      <c r="WOU175" s="72"/>
      <c r="WOV175" s="72"/>
      <c r="WOW175" s="72"/>
      <c r="WOX175" s="72"/>
      <c r="WOY175" s="72"/>
      <c r="WOZ175" s="72"/>
      <c r="WPA175" s="72"/>
      <c r="WPB175" s="72"/>
      <c r="WPC175" s="72"/>
      <c r="WPD175" s="72"/>
      <c r="WPE175" s="72"/>
      <c r="WPF175" s="72"/>
      <c r="WPG175" s="72"/>
      <c r="WPH175" s="72"/>
      <c r="WPI175" s="72"/>
      <c r="WPJ175" s="72"/>
      <c r="WPK175" s="72"/>
      <c r="WPL175" s="72"/>
      <c r="WPM175" s="72"/>
      <c r="WPN175" s="72"/>
      <c r="WPO175" s="72"/>
      <c r="WPP175" s="72"/>
      <c r="WPQ175" s="72"/>
      <c r="WPR175" s="72"/>
      <c r="WPS175" s="72"/>
      <c r="WPT175" s="72"/>
      <c r="WPU175" s="72"/>
      <c r="WPV175" s="72"/>
      <c r="WPW175" s="72"/>
      <c r="WPX175" s="72"/>
      <c r="WPY175" s="72"/>
      <c r="WPZ175" s="72"/>
      <c r="WQA175" s="72"/>
      <c r="WQB175" s="72"/>
      <c r="WQC175" s="72"/>
      <c r="WQD175" s="72"/>
      <c r="WQE175" s="72"/>
      <c r="WQF175" s="72"/>
      <c r="WQG175" s="72"/>
      <c r="WQH175" s="72"/>
      <c r="WQI175" s="72"/>
      <c r="WQJ175" s="72"/>
      <c r="WQK175" s="72"/>
      <c r="WQL175" s="72"/>
      <c r="WQM175" s="72"/>
      <c r="WQN175" s="72"/>
      <c r="WQO175" s="72"/>
      <c r="WQP175" s="72"/>
      <c r="WQQ175" s="72"/>
      <c r="WQR175" s="72"/>
      <c r="WQS175" s="72"/>
      <c r="WQT175" s="72"/>
      <c r="WQU175" s="72"/>
      <c r="WQV175" s="72"/>
      <c r="WQW175" s="72"/>
      <c r="WQX175" s="72"/>
      <c r="WQY175" s="72"/>
      <c r="WQZ175" s="72"/>
      <c r="WRA175" s="72"/>
      <c r="WRB175" s="72"/>
      <c r="WRC175" s="72"/>
      <c r="WRD175" s="72"/>
      <c r="WRE175" s="72"/>
      <c r="WRF175" s="72"/>
      <c r="WRG175" s="72"/>
      <c r="WRH175" s="72"/>
      <c r="WRI175" s="72"/>
      <c r="WRJ175" s="72"/>
      <c r="WRK175" s="72"/>
      <c r="WRL175" s="72"/>
      <c r="WRM175" s="72"/>
      <c r="WRN175" s="72"/>
      <c r="WRO175" s="72"/>
      <c r="WRP175" s="72"/>
      <c r="WRQ175" s="72"/>
      <c r="WRR175" s="72"/>
      <c r="WRS175" s="72"/>
      <c r="WRT175" s="72"/>
      <c r="WRU175" s="72"/>
      <c r="WRV175" s="72"/>
      <c r="WRW175" s="72"/>
      <c r="WRX175" s="72"/>
      <c r="WRY175" s="72"/>
      <c r="WRZ175" s="72"/>
      <c r="WSA175" s="72"/>
      <c r="WSB175" s="72"/>
      <c r="WSC175" s="72"/>
      <c r="WSD175" s="72"/>
      <c r="WSE175" s="72"/>
      <c r="WSF175" s="72"/>
      <c r="WSG175" s="72"/>
      <c r="WSH175" s="72"/>
      <c r="WSI175" s="72"/>
      <c r="WSJ175" s="72"/>
      <c r="WSK175" s="72"/>
      <c r="WSL175" s="72"/>
      <c r="WSM175" s="72"/>
      <c r="WSN175" s="72"/>
      <c r="WSO175" s="72"/>
      <c r="WSP175" s="72"/>
      <c r="WSQ175" s="72"/>
      <c r="WSR175" s="72"/>
      <c r="WSS175" s="72"/>
      <c r="WST175" s="72"/>
      <c r="WSU175" s="72"/>
      <c r="WSV175" s="72"/>
      <c r="WSW175" s="72"/>
      <c r="WSX175" s="72"/>
      <c r="WSY175" s="72"/>
      <c r="WSZ175" s="72"/>
      <c r="WTA175" s="72"/>
      <c r="WTB175" s="72"/>
      <c r="WTC175" s="72"/>
      <c r="WTD175" s="72"/>
      <c r="WTE175" s="72"/>
      <c r="WTF175" s="72"/>
      <c r="WTG175" s="72"/>
      <c r="WTH175" s="72"/>
      <c r="WTI175" s="72"/>
      <c r="WTJ175" s="72"/>
      <c r="WTK175" s="72"/>
      <c r="WTL175" s="72"/>
      <c r="WTM175" s="72"/>
      <c r="WTN175" s="72"/>
      <c r="WTO175" s="72"/>
      <c r="WTP175" s="72"/>
      <c r="WTQ175" s="72"/>
      <c r="WTR175" s="72"/>
      <c r="WTS175" s="72"/>
      <c r="WTT175" s="72"/>
      <c r="WTU175" s="72"/>
      <c r="WTV175" s="72"/>
      <c r="WTW175" s="72"/>
      <c r="WTX175" s="72"/>
      <c r="WTY175" s="72"/>
      <c r="WTZ175" s="72"/>
      <c r="WUA175" s="72"/>
      <c r="WUB175" s="72"/>
      <c r="WUC175" s="72"/>
      <c r="WUD175" s="72"/>
      <c r="WUE175" s="72"/>
      <c r="WUF175" s="72"/>
      <c r="WUG175" s="72"/>
      <c r="WUH175" s="72"/>
      <c r="WUI175" s="72"/>
      <c r="WUJ175" s="72"/>
      <c r="WUK175" s="72"/>
      <c r="WUL175" s="72"/>
      <c r="WUM175" s="72"/>
      <c r="WUN175" s="72"/>
      <c r="WUO175" s="72"/>
      <c r="WUP175" s="72"/>
      <c r="WUQ175" s="72"/>
      <c r="WUR175" s="72"/>
      <c r="WUS175" s="72"/>
      <c r="WUT175" s="72"/>
      <c r="WUU175" s="72"/>
      <c r="WUV175" s="72"/>
      <c r="WUW175" s="72"/>
      <c r="WUX175" s="72"/>
      <c r="WUY175" s="72"/>
      <c r="WUZ175" s="72"/>
      <c r="WVA175" s="72"/>
      <c r="WVB175" s="72"/>
      <c r="WVC175" s="72"/>
      <c r="WVD175" s="72"/>
      <c r="WVE175" s="72"/>
      <c r="WVF175" s="72"/>
      <c r="WVG175" s="72"/>
      <c r="WVH175" s="72"/>
      <c r="WVI175" s="72"/>
      <c r="WVJ175" s="72"/>
      <c r="WVK175" s="72"/>
      <c r="WVL175" s="72"/>
      <c r="WVM175" s="72"/>
      <c r="WVN175" s="72"/>
      <c r="WVO175" s="72"/>
      <c r="WVP175" s="72"/>
      <c r="WVQ175" s="72"/>
      <c r="WVR175" s="72"/>
      <c r="WVS175" s="72"/>
    </row>
    <row r="176" spans="1:16139" s="28" customFormat="1" ht="25.15" customHeight="1" x14ac:dyDescent="0.25">
      <c r="A176" s="139" t="s">
        <v>27</v>
      </c>
      <c r="B176" s="139"/>
      <c r="C176" s="139"/>
      <c r="D176" s="139"/>
      <c r="E176" s="139"/>
      <c r="F176" s="139"/>
      <c r="G176" s="139"/>
      <c r="H176" s="40">
        <f>SUMPRODUCT(H13:H175,I13:I175)</f>
        <v>676.34971000000041</v>
      </c>
      <c r="I176" s="41"/>
      <c r="J176" s="42"/>
      <c r="K176" s="42"/>
      <c r="L176" s="42">
        <f>SUM(L13:L175)</f>
        <v>2082194740.5480006</v>
      </c>
      <c r="M176" s="85">
        <f>L176*0.45</f>
        <v>936987633.24660027</v>
      </c>
    </row>
    <row r="177" spans="1:34" s="37" customFormat="1" ht="28.15" customHeight="1" x14ac:dyDescent="0.25">
      <c r="A177" s="140" t="s">
        <v>28</v>
      </c>
      <c r="B177" s="140"/>
      <c r="C177" s="140"/>
      <c r="D177" s="140" t="s">
        <v>213</v>
      </c>
      <c r="E177" s="140"/>
      <c r="F177" s="140"/>
      <c r="G177" s="140"/>
      <c r="H177" s="140"/>
      <c r="I177" s="140"/>
      <c r="J177" s="140"/>
      <c r="K177" s="140"/>
      <c r="L177" s="140"/>
      <c r="M177" s="77"/>
      <c r="N177" s="28"/>
      <c r="O177" s="28"/>
      <c r="P177" s="28"/>
      <c r="Q177" s="28"/>
      <c r="R177" s="28"/>
      <c r="S177" s="28"/>
      <c r="T177" s="28"/>
      <c r="U177" s="28"/>
      <c r="V177" s="28"/>
      <c r="W177" s="28"/>
      <c r="X177" s="28"/>
      <c r="Y177" s="28"/>
      <c r="Z177" s="28"/>
      <c r="AA177" s="28"/>
      <c r="AB177" s="28"/>
      <c r="AC177" s="28"/>
      <c r="AD177" s="28"/>
      <c r="AE177" s="28"/>
      <c r="AF177" s="28"/>
      <c r="AG177" s="28"/>
      <c r="AH177" s="28"/>
    </row>
    <row r="178" spans="1:34" s="28" customFormat="1" ht="36.6" customHeight="1" x14ac:dyDescent="0.25">
      <c r="A178" s="131" t="s">
        <v>29</v>
      </c>
      <c r="B178" s="131"/>
      <c r="C178" s="131"/>
      <c r="D178" s="17"/>
      <c r="E178" s="38"/>
      <c r="F178" s="17"/>
      <c r="G178" s="17"/>
      <c r="H178" s="18"/>
      <c r="I178" s="17"/>
      <c r="J178" s="33"/>
      <c r="K178" s="33"/>
      <c r="L178" s="19"/>
    </row>
    <row r="179" spans="1:34" s="28" customFormat="1" ht="22.9" customHeight="1" x14ac:dyDescent="0.25">
      <c r="A179" s="130" t="s">
        <v>209</v>
      </c>
      <c r="B179" s="130"/>
      <c r="C179" s="130"/>
      <c r="D179" s="130"/>
      <c r="E179" s="130"/>
      <c r="F179" s="130"/>
      <c r="G179" s="130"/>
      <c r="H179" s="130"/>
      <c r="I179" s="130"/>
      <c r="J179" s="130"/>
      <c r="K179" s="130"/>
      <c r="L179" s="130"/>
    </row>
    <row r="180" spans="1:34" s="28" customFormat="1" ht="17.45" customHeight="1" x14ac:dyDescent="0.25">
      <c r="A180" s="128" t="s">
        <v>30</v>
      </c>
      <c r="B180" s="128"/>
      <c r="C180" s="128"/>
      <c r="D180" s="128"/>
      <c r="E180" s="128"/>
      <c r="F180" s="128"/>
      <c r="G180" s="128"/>
      <c r="H180" s="128"/>
      <c r="I180" s="128"/>
      <c r="J180" s="128"/>
      <c r="K180" s="128"/>
      <c r="L180" s="128"/>
    </row>
    <row r="181" spans="1:34" s="28" customFormat="1" ht="18.600000000000001" customHeight="1" x14ac:dyDescent="0.25">
      <c r="A181" s="128" t="s">
        <v>31</v>
      </c>
      <c r="B181" s="128"/>
      <c r="C181" s="128"/>
      <c r="D181" s="128"/>
      <c r="E181" s="128"/>
      <c r="F181" s="128"/>
      <c r="G181" s="128"/>
      <c r="H181" s="128"/>
      <c r="I181" s="128"/>
      <c r="J181" s="128"/>
      <c r="K181" s="128"/>
      <c r="L181" s="128"/>
    </row>
    <row r="182" spans="1:34" s="28" customFormat="1" ht="20.45" customHeight="1" x14ac:dyDescent="0.25">
      <c r="A182" s="130" t="s">
        <v>214</v>
      </c>
      <c r="B182" s="130"/>
      <c r="C182" s="130"/>
      <c r="D182" s="130"/>
      <c r="E182" s="130"/>
      <c r="F182" s="130"/>
      <c r="G182" s="130"/>
      <c r="H182" s="130"/>
      <c r="I182" s="130"/>
      <c r="J182" s="130"/>
      <c r="K182" s="130"/>
      <c r="L182" s="2"/>
    </row>
    <row r="183" spans="1:34" s="28" customFormat="1" ht="19.149999999999999" customHeight="1" x14ac:dyDescent="0.25">
      <c r="A183" s="128" t="s">
        <v>32</v>
      </c>
      <c r="B183" s="128"/>
      <c r="C183" s="128"/>
      <c r="D183" s="128"/>
      <c r="E183" s="128"/>
      <c r="F183" s="128"/>
      <c r="G183" s="128"/>
      <c r="H183" s="128"/>
      <c r="I183" s="128"/>
      <c r="J183" s="128"/>
      <c r="K183" s="128"/>
      <c r="L183" s="2"/>
    </row>
    <row r="184" spans="1:34" s="28" customFormat="1" ht="20.45" customHeight="1" x14ac:dyDescent="0.25">
      <c r="A184" s="128" t="s">
        <v>33</v>
      </c>
      <c r="B184" s="128"/>
      <c r="C184" s="128"/>
      <c r="D184" s="128"/>
      <c r="E184" s="128"/>
      <c r="F184" s="128"/>
      <c r="G184" s="128"/>
      <c r="H184" s="128"/>
      <c r="I184" s="128"/>
      <c r="J184" s="128"/>
      <c r="K184" s="128"/>
      <c r="L184" s="128"/>
    </row>
    <row r="185" spans="1:34" s="28" customFormat="1" ht="16.899999999999999" customHeight="1" x14ac:dyDescent="0.25">
      <c r="A185" s="128" t="s">
        <v>34</v>
      </c>
      <c r="B185" s="128"/>
      <c r="C185" s="128"/>
      <c r="D185" s="128"/>
      <c r="E185" s="128"/>
      <c r="F185" s="128"/>
      <c r="G185" s="128"/>
      <c r="H185" s="128"/>
      <c r="I185" s="128"/>
      <c r="J185" s="128"/>
      <c r="K185" s="128"/>
      <c r="L185" s="128"/>
    </row>
    <row r="186" spans="1:34" s="28" customFormat="1" ht="25.9" customHeight="1" x14ac:dyDescent="0.25">
      <c r="A186" s="128" t="s">
        <v>200</v>
      </c>
      <c r="B186" s="128"/>
      <c r="C186" s="128"/>
      <c r="D186" s="128"/>
      <c r="E186" s="128"/>
      <c r="F186" s="128"/>
      <c r="G186" s="128"/>
      <c r="H186" s="128"/>
      <c r="I186" s="128"/>
      <c r="J186" s="128"/>
      <c r="K186" s="30"/>
      <c r="L186" s="2"/>
    </row>
    <row r="187" spans="1:34" s="28" customFormat="1" ht="40.9" customHeight="1" x14ac:dyDescent="0.25">
      <c r="A187" s="129" t="s">
        <v>35</v>
      </c>
      <c r="B187" s="129"/>
      <c r="C187" s="129"/>
      <c r="D187" s="129"/>
      <c r="E187" s="129"/>
      <c r="F187" s="129" t="s">
        <v>0</v>
      </c>
      <c r="G187" s="129"/>
      <c r="H187" s="129"/>
      <c r="I187" s="129"/>
      <c r="J187" s="129"/>
      <c r="K187" s="129"/>
      <c r="L187" s="129"/>
    </row>
    <row r="188" spans="1:34" s="28" customFormat="1" ht="120.75" customHeight="1" x14ac:dyDescent="0.25">
      <c r="A188" s="23"/>
      <c r="B188" s="23"/>
      <c r="C188" s="27"/>
      <c r="D188" s="23"/>
      <c r="E188" s="24"/>
      <c r="F188" s="23"/>
      <c r="G188" s="23"/>
      <c r="H188" s="25"/>
      <c r="I188" s="23"/>
      <c r="J188" s="34"/>
      <c r="K188" s="34"/>
      <c r="L188" s="23"/>
    </row>
    <row r="189" spans="1:34" s="28" customFormat="1" ht="120.75" customHeight="1" x14ac:dyDescent="0.25">
      <c r="A189" s="23"/>
      <c r="B189" s="23"/>
      <c r="C189" s="27"/>
      <c r="D189" s="23"/>
      <c r="E189" s="24"/>
      <c r="F189" s="23"/>
      <c r="G189" s="23"/>
      <c r="H189" s="25"/>
      <c r="I189" s="23"/>
      <c r="J189" s="34"/>
      <c r="K189" s="34"/>
      <c r="L189" s="23"/>
    </row>
    <row r="190" spans="1:34" s="28" customFormat="1" ht="120.75" customHeight="1" x14ac:dyDescent="0.25">
      <c r="A190" s="23"/>
      <c r="B190" s="23"/>
      <c r="C190" s="27"/>
      <c r="D190" s="23"/>
      <c r="E190" s="24"/>
      <c r="F190" s="23"/>
      <c r="G190" s="23"/>
      <c r="H190" s="25"/>
      <c r="I190" s="23"/>
      <c r="J190" s="34"/>
      <c r="K190" s="34"/>
      <c r="L190" s="23"/>
    </row>
    <row r="191" spans="1:34" s="28" customFormat="1" ht="120.75" customHeight="1" x14ac:dyDescent="0.25">
      <c r="A191" s="23"/>
      <c r="B191" s="23"/>
      <c r="C191" s="27"/>
      <c r="D191" s="23"/>
      <c r="E191" s="24"/>
      <c r="F191" s="23"/>
      <c r="G191" s="23"/>
      <c r="H191" s="25"/>
      <c r="I191" s="23"/>
      <c r="J191" s="34"/>
      <c r="K191" s="34"/>
      <c r="L191" s="23"/>
    </row>
    <row r="192" spans="1:34" s="28" customFormat="1" ht="120.75" customHeight="1" x14ac:dyDescent="0.25">
      <c r="A192" s="9"/>
      <c r="B192" s="9"/>
      <c r="C192" s="12"/>
      <c r="D192" s="9"/>
      <c r="E192" s="10"/>
      <c r="F192" s="9"/>
      <c r="G192" s="9"/>
      <c r="H192" s="11"/>
      <c r="I192" s="9"/>
      <c r="J192" s="35"/>
      <c r="K192" s="35"/>
      <c r="L192" s="9"/>
    </row>
    <row r="193" spans="1:12" s="28" customFormat="1" ht="120.75" customHeight="1" x14ac:dyDescent="0.25">
      <c r="A193" s="9"/>
      <c r="B193" s="9"/>
      <c r="C193" s="12"/>
      <c r="D193" s="9"/>
      <c r="E193" s="10"/>
      <c r="F193" s="9"/>
      <c r="G193" s="9"/>
      <c r="H193" s="11"/>
      <c r="I193" s="9"/>
      <c r="J193" s="35"/>
      <c r="K193" s="35"/>
      <c r="L193" s="9"/>
    </row>
    <row r="194" spans="1:12" s="28" customFormat="1" ht="120.75" customHeight="1" x14ac:dyDescent="0.25">
      <c r="A194" s="9"/>
      <c r="B194" s="9"/>
      <c r="C194" s="12"/>
      <c r="D194" s="9"/>
      <c r="E194" s="10"/>
      <c r="F194" s="9"/>
      <c r="G194" s="9"/>
      <c r="H194" s="11"/>
      <c r="I194" s="9"/>
      <c r="J194" s="35"/>
      <c r="K194" s="35"/>
      <c r="L194" s="9"/>
    </row>
    <row r="195" spans="1:12" s="6" customFormat="1" ht="30" customHeight="1" x14ac:dyDescent="0.25">
      <c r="A195" s="9"/>
      <c r="B195" s="9"/>
      <c r="C195" s="12"/>
      <c r="D195" s="9"/>
      <c r="E195" s="10"/>
      <c r="F195" s="9"/>
      <c r="G195" s="9"/>
      <c r="H195" s="11"/>
      <c r="I195" s="9"/>
      <c r="J195" s="35"/>
      <c r="K195" s="35"/>
      <c r="L195" s="9"/>
    </row>
    <row r="196" spans="1:12" s="6" customFormat="1" ht="30" customHeight="1" x14ac:dyDescent="0.25">
      <c r="A196" s="9"/>
      <c r="B196" s="9"/>
      <c r="C196" s="12"/>
      <c r="D196" s="9"/>
      <c r="E196" s="10"/>
      <c r="F196" s="9"/>
      <c r="G196" s="9"/>
      <c r="H196" s="11"/>
      <c r="I196" s="9"/>
      <c r="J196" s="35"/>
      <c r="K196" s="35"/>
      <c r="L196" s="9"/>
    </row>
    <row r="197" spans="1:12" s="6" customFormat="1" ht="30" customHeight="1" x14ac:dyDescent="0.25">
      <c r="A197" s="9"/>
      <c r="B197" s="9"/>
      <c r="C197" s="12"/>
      <c r="D197" s="9"/>
      <c r="E197" s="10"/>
      <c r="F197" s="9"/>
      <c r="G197" s="9"/>
      <c r="H197" s="11"/>
      <c r="I197" s="9"/>
      <c r="J197" s="35"/>
      <c r="K197" s="35"/>
      <c r="L197" s="9"/>
    </row>
    <row r="198" spans="1:12" s="6" customFormat="1" ht="30" customHeight="1" x14ac:dyDescent="0.25">
      <c r="A198" s="9"/>
      <c r="B198" s="9"/>
      <c r="C198" s="12"/>
      <c r="D198" s="9"/>
      <c r="E198" s="10"/>
      <c r="F198" s="9"/>
      <c r="G198" s="9"/>
      <c r="H198" s="11"/>
      <c r="I198" s="9"/>
      <c r="J198" s="35"/>
      <c r="K198" s="35"/>
      <c r="L198" s="9"/>
    </row>
    <row r="199" spans="1:12" s="22" customFormat="1" ht="21.75" customHeight="1" x14ac:dyDescent="0.25">
      <c r="A199" s="9"/>
      <c r="B199" s="9"/>
      <c r="C199" s="12"/>
      <c r="D199" s="9"/>
      <c r="E199" s="10"/>
      <c r="F199" s="9"/>
      <c r="G199" s="9"/>
      <c r="H199" s="11"/>
      <c r="I199" s="9"/>
      <c r="J199" s="35"/>
      <c r="K199" s="35"/>
      <c r="L199" s="9"/>
    </row>
    <row r="200" spans="1:12" s="22" customFormat="1" ht="17.25" customHeight="1" x14ac:dyDescent="0.25">
      <c r="A200" s="9"/>
      <c r="B200" s="9"/>
      <c r="C200" s="12"/>
      <c r="D200" s="9"/>
      <c r="E200" s="10"/>
      <c r="F200" s="9"/>
      <c r="G200" s="9"/>
      <c r="H200" s="11"/>
      <c r="I200" s="9"/>
      <c r="J200" s="35"/>
      <c r="K200" s="35"/>
      <c r="L200" s="9"/>
    </row>
    <row r="201" spans="1:12" s="22" customFormat="1" ht="17.25" customHeight="1" x14ac:dyDescent="0.25">
      <c r="A201" s="9"/>
      <c r="B201" s="9"/>
      <c r="C201" s="12"/>
      <c r="D201" s="9"/>
      <c r="E201" s="10"/>
      <c r="F201" s="9"/>
      <c r="G201" s="9"/>
      <c r="H201" s="11"/>
      <c r="I201" s="9"/>
      <c r="J201" s="35"/>
      <c r="K201" s="35"/>
      <c r="L201" s="9"/>
    </row>
    <row r="202" spans="1:12" s="22" customFormat="1" ht="17.25" customHeight="1" x14ac:dyDescent="0.25">
      <c r="A202" s="9"/>
      <c r="B202" s="9"/>
      <c r="C202" s="12"/>
      <c r="D202" s="9"/>
      <c r="E202" s="10"/>
      <c r="F202" s="9"/>
      <c r="G202" s="9"/>
      <c r="H202" s="11"/>
      <c r="I202" s="9"/>
      <c r="J202" s="35"/>
      <c r="K202" s="35"/>
      <c r="L202" s="9"/>
    </row>
    <row r="203" spans="1:12" s="22" customFormat="1" ht="17.25" customHeight="1" x14ac:dyDescent="0.25">
      <c r="A203" s="9"/>
      <c r="B203" s="9"/>
      <c r="C203" s="12"/>
      <c r="D203" s="9"/>
      <c r="E203" s="10"/>
      <c r="F203" s="9"/>
      <c r="G203" s="9"/>
      <c r="H203" s="11"/>
      <c r="I203" s="9"/>
      <c r="J203" s="35"/>
      <c r="K203" s="35"/>
      <c r="L203" s="9"/>
    </row>
    <row r="204" spans="1:12" s="22" customFormat="1" ht="17.25" customHeight="1" x14ac:dyDescent="0.25">
      <c r="A204" s="9"/>
      <c r="B204" s="9"/>
      <c r="C204" s="12"/>
      <c r="D204" s="9"/>
      <c r="E204" s="10"/>
      <c r="F204" s="9"/>
      <c r="G204" s="9"/>
      <c r="H204" s="11"/>
      <c r="I204" s="9"/>
      <c r="J204" s="35"/>
      <c r="K204" s="35"/>
      <c r="L204" s="9"/>
    </row>
    <row r="205" spans="1:12" s="22" customFormat="1" ht="17.25" customHeight="1" x14ac:dyDescent="0.25">
      <c r="A205" s="9"/>
      <c r="B205" s="9"/>
      <c r="C205" s="12"/>
      <c r="D205" s="9"/>
      <c r="E205" s="10"/>
      <c r="F205" s="9"/>
      <c r="G205" s="9"/>
      <c r="H205" s="11"/>
      <c r="I205" s="9"/>
      <c r="J205" s="35"/>
      <c r="K205" s="35"/>
      <c r="L205" s="9"/>
    </row>
    <row r="206" spans="1:12" s="22" customFormat="1" ht="17.25" customHeight="1" x14ac:dyDescent="0.25">
      <c r="A206" s="9"/>
      <c r="B206" s="9"/>
      <c r="C206" s="12"/>
      <c r="D206" s="9"/>
      <c r="E206" s="10"/>
      <c r="F206" s="9"/>
      <c r="G206" s="9"/>
      <c r="H206" s="11"/>
      <c r="I206" s="9"/>
      <c r="J206" s="35"/>
      <c r="K206" s="35"/>
      <c r="L206" s="9"/>
    </row>
    <row r="207" spans="1:12" s="22" customFormat="1" ht="17.25" customHeight="1" x14ac:dyDescent="0.25">
      <c r="A207" s="9"/>
      <c r="B207" s="9"/>
      <c r="C207" s="12"/>
      <c r="D207" s="9"/>
      <c r="E207" s="10"/>
      <c r="F207" s="9"/>
      <c r="G207" s="9"/>
      <c r="H207" s="11"/>
      <c r="I207" s="9"/>
      <c r="J207" s="35"/>
      <c r="K207" s="35"/>
      <c r="L207" s="9"/>
    </row>
    <row r="208" spans="1:12" s="22" customFormat="1" ht="17.25" customHeight="1" x14ac:dyDescent="0.25">
      <c r="A208" s="9"/>
      <c r="B208" s="9"/>
      <c r="C208" s="12"/>
      <c r="D208" s="9"/>
      <c r="E208" s="10"/>
      <c r="F208" s="9"/>
      <c r="G208" s="9"/>
      <c r="H208" s="11"/>
      <c r="I208" s="9"/>
      <c r="J208" s="35"/>
      <c r="K208" s="35"/>
      <c r="L208" s="9"/>
    </row>
    <row r="209" spans="1:12" s="26" customFormat="1" ht="16.5" customHeight="1" x14ac:dyDescent="0.25">
      <c r="A209" s="9"/>
      <c r="B209" s="9"/>
      <c r="C209" s="12"/>
      <c r="D209" s="9"/>
      <c r="E209" s="10"/>
      <c r="F209" s="9"/>
      <c r="G209" s="9"/>
      <c r="H209" s="11"/>
      <c r="I209" s="9"/>
      <c r="J209" s="35"/>
      <c r="K209" s="35"/>
      <c r="L209" s="9"/>
    </row>
    <row r="210" spans="1:12" s="16" customFormat="1" ht="18" customHeight="1" x14ac:dyDescent="0.25">
      <c r="A210" s="9"/>
      <c r="B210" s="9"/>
      <c r="C210" s="12"/>
      <c r="D210" s="9"/>
      <c r="E210" s="10"/>
      <c r="F210" s="9"/>
      <c r="G210" s="9"/>
      <c r="H210" s="11"/>
      <c r="I210" s="9"/>
      <c r="J210" s="35"/>
      <c r="K210" s="35"/>
      <c r="L210" s="9"/>
    </row>
    <row r="211" spans="1:12" s="26" customFormat="1" ht="16.5" customHeight="1" x14ac:dyDescent="0.25">
      <c r="A211" s="9"/>
      <c r="B211" s="9"/>
      <c r="C211" s="12"/>
      <c r="D211" s="9"/>
      <c r="E211" s="10"/>
      <c r="F211" s="9"/>
      <c r="G211" s="9"/>
      <c r="H211" s="11"/>
      <c r="I211" s="9"/>
      <c r="J211" s="35"/>
      <c r="K211" s="35"/>
      <c r="L211" s="9"/>
    </row>
    <row r="212" spans="1:12" s="26" customFormat="1" ht="16.5" customHeight="1" x14ac:dyDescent="0.25">
      <c r="A212" s="9"/>
      <c r="B212" s="9"/>
      <c r="C212" s="12"/>
      <c r="D212" s="9"/>
      <c r="E212" s="10"/>
      <c r="F212" s="9"/>
      <c r="G212" s="9"/>
      <c r="H212" s="11"/>
      <c r="I212" s="9"/>
      <c r="J212" s="35"/>
      <c r="K212" s="35"/>
      <c r="L212" s="9"/>
    </row>
    <row r="213" spans="1:12" s="26" customFormat="1" ht="16.5" customHeight="1" x14ac:dyDescent="0.25">
      <c r="A213" s="9"/>
      <c r="B213" s="9"/>
      <c r="C213" s="12"/>
      <c r="D213" s="9"/>
      <c r="E213" s="10"/>
      <c r="F213" s="9"/>
      <c r="G213" s="9"/>
      <c r="H213" s="11"/>
      <c r="I213" s="9"/>
      <c r="J213" s="35"/>
      <c r="K213" s="35"/>
      <c r="L213" s="9"/>
    </row>
    <row r="214" spans="1:12" s="26" customFormat="1" ht="16.5" customHeight="1" x14ac:dyDescent="0.25">
      <c r="A214" s="9"/>
      <c r="B214" s="9"/>
      <c r="C214" s="12"/>
      <c r="D214" s="9"/>
      <c r="E214" s="10"/>
      <c r="F214" s="9"/>
      <c r="G214" s="9"/>
      <c r="H214" s="11"/>
      <c r="I214" s="9"/>
      <c r="J214" s="35"/>
      <c r="K214" s="35"/>
      <c r="L214" s="9"/>
    </row>
    <row r="215" spans="1:12" s="6" customFormat="1" ht="16.5" customHeight="1" x14ac:dyDescent="0.25">
      <c r="A215" s="9"/>
      <c r="B215" s="9"/>
      <c r="C215" s="12"/>
      <c r="D215" s="9"/>
      <c r="E215" s="10"/>
      <c r="F215" s="9"/>
      <c r="G215" s="9"/>
      <c r="H215" s="11"/>
      <c r="I215" s="9"/>
      <c r="J215" s="35"/>
      <c r="K215" s="35"/>
      <c r="L215" s="9"/>
    </row>
    <row r="216" spans="1:12" s="6" customFormat="1" ht="16.5" customHeight="1" x14ac:dyDescent="0.25">
      <c r="A216" s="9"/>
      <c r="B216" s="9"/>
      <c r="C216" s="12"/>
      <c r="D216" s="9"/>
      <c r="E216" s="10"/>
      <c r="F216" s="9"/>
      <c r="G216" s="9"/>
      <c r="H216" s="11"/>
      <c r="I216" s="9"/>
      <c r="J216" s="35"/>
      <c r="K216" s="35"/>
      <c r="L216" s="9"/>
    </row>
    <row r="217" spans="1:12" s="6" customFormat="1" ht="16.5" customHeight="1" x14ac:dyDescent="0.25">
      <c r="A217" s="9"/>
      <c r="B217" s="9"/>
      <c r="C217" s="12"/>
      <c r="D217" s="9"/>
      <c r="E217" s="10"/>
      <c r="F217" s="9"/>
      <c r="G217" s="9"/>
      <c r="H217" s="11"/>
      <c r="I217" s="9"/>
      <c r="J217" s="35"/>
      <c r="K217" s="35"/>
      <c r="L217" s="9"/>
    </row>
    <row r="218" spans="1:12" s="6" customFormat="1" ht="16.5" customHeight="1" x14ac:dyDescent="0.25">
      <c r="A218" s="9"/>
      <c r="B218" s="9"/>
      <c r="C218" s="12"/>
      <c r="D218" s="9"/>
      <c r="E218" s="10"/>
      <c r="F218" s="9"/>
      <c r="G218" s="9"/>
      <c r="H218" s="11"/>
      <c r="I218" s="9"/>
      <c r="J218" s="35"/>
      <c r="K218" s="35"/>
      <c r="L218" s="9"/>
    </row>
    <row r="219" spans="1:12" s="6" customFormat="1" ht="16.5" customHeight="1" x14ac:dyDescent="0.25">
      <c r="A219" s="9"/>
      <c r="B219" s="9"/>
      <c r="C219" s="12"/>
      <c r="D219" s="9"/>
      <c r="E219" s="10"/>
      <c r="F219" s="9"/>
      <c r="G219" s="9"/>
      <c r="H219" s="11"/>
      <c r="I219" s="9"/>
      <c r="J219" s="35"/>
      <c r="K219" s="35"/>
      <c r="L219" s="9"/>
    </row>
    <row r="220" spans="1:12" s="6" customFormat="1" ht="16.5" customHeight="1" x14ac:dyDescent="0.25">
      <c r="A220" s="9"/>
      <c r="B220" s="9"/>
      <c r="C220" s="12"/>
      <c r="D220" s="9"/>
      <c r="E220" s="10"/>
      <c r="F220" s="9"/>
      <c r="G220" s="9"/>
      <c r="H220" s="11"/>
      <c r="I220" s="9"/>
      <c r="J220" s="35"/>
      <c r="K220" s="35"/>
      <c r="L220" s="9"/>
    </row>
    <row r="221" spans="1:12" s="6" customFormat="1" ht="16.5" customHeight="1" x14ac:dyDescent="0.25">
      <c r="A221" s="9"/>
      <c r="B221" s="9"/>
      <c r="C221" s="12"/>
      <c r="D221" s="9"/>
      <c r="E221" s="10"/>
      <c r="F221" s="9"/>
      <c r="G221" s="9"/>
      <c r="H221" s="11"/>
      <c r="I221" s="9"/>
      <c r="J221" s="35"/>
      <c r="K221" s="35"/>
      <c r="L221" s="9"/>
    </row>
    <row r="222" spans="1:12" s="6" customFormat="1" ht="16.5" customHeight="1" x14ac:dyDescent="0.25">
      <c r="A222" s="9"/>
      <c r="B222" s="9"/>
      <c r="C222" s="12"/>
      <c r="D222" s="9"/>
      <c r="E222" s="10"/>
      <c r="F222" s="9"/>
      <c r="G222" s="9"/>
      <c r="H222" s="11"/>
      <c r="I222" s="9"/>
      <c r="J222" s="35"/>
      <c r="K222" s="35"/>
      <c r="L222" s="9"/>
    </row>
    <row r="223" spans="1:12" s="6" customFormat="1" ht="16.5" customHeight="1" x14ac:dyDescent="0.25">
      <c r="A223" s="9"/>
      <c r="B223" s="9"/>
      <c r="C223" s="12"/>
      <c r="D223" s="9"/>
      <c r="E223" s="10"/>
      <c r="F223" s="9"/>
      <c r="G223" s="9"/>
      <c r="H223" s="11"/>
      <c r="I223" s="9"/>
      <c r="J223" s="35"/>
      <c r="K223" s="35"/>
      <c r="L223" s="9"/>
    </row>
    <row r="224" spans="1:12" s="6" customFormat="1" ht="16.5" customHeight="1" x14ac:dyDescent="0.25">
      <c r="A224" s="9"/>
      <c r="B224" s="9"/>
      <c r="C224" s="12"/>
      <c r="D224" s="9"/>
      <c r="E224" s="10"/>
      <c r="F224" s="9"/>
      <c r="G224" s="9"/>
      <c r="H224" s="11"/>
      <c r="I224" s="9"/>
      <c r="J224" s="35"/>
      <c r="K224" s="35"/>
      <c r="L224" s="9"/>
    </row>
    <row r="225" spans="1:12" s="6" customFormat="1" ht="16.5" customHeight="1" x14ac:dyDescent="0.25">
      <c r="B225" s="8"/>
      <c r="C225" s="12"/>
      <c r="D225" s="8"/>
      <c r="E225" s="10"/>
      <c r="H225" s="7"/>
      <c r="J225" s="36"/>
      <c r="K225" s="36"/>
    </row>
    <row r="226" spans="1:12" s="6" customFormat="1" ht="16.5" customHeight="1" x14ac:dyDescent="0.25">
      <c r="B226" s="8"/>
      <c r="C226" s="12"/>
      <c r="D226" s="8"/>
      <c r="E226" s="10"/>
      <c r="H226" s="7"/>
      <c r="J226" s="36"/>
      <c r="K226" s="36"/>
    </row>
    <row r="227" spans="1:12" s="6" customFormat="1" ht="16.5" customHeight="1" x14ac:dyDescent="0.25">
      <c r="A227" s="3"/>
      <c r="B227" s="13"/>
      <c r="C227" s="52"/>
      <c r="D227" s="13"/>
      <c r="E227" s="14"/>
      <c r="F227" s="3"/>
      <c r="G227" s="3"/>
      <c r="H227" s="15"/>
      <c r="I227" s="3"/>
      <c r="J227" s="49"/>
      <c r="K227" s="49"/>
      <c r="L227" s="3"/>
    </row>
    <row r="228" spans="1:12" s="6" customFormat="1" ht="16.5" customHeight="1" x14ac:dyDescent="0.25">
      <c r="A228" s="3"/>
      <c r="B228" s="13"/>
      <c r="C228" s="52"/>
      <c r="D228" s="13"/>
      <c r="E228" s="14"/>
      <c r="F228" s="3"/>
      <c r="G228" s="3"/>
      <c r="H228" s="15"/>
      <c r="I228" s="3"/>
      <c r="J228" s="49"/>
      <c r="K228" s="49"/>
      <c r="L228" s="3"/>
    </row>
    <row r="229" spans="1:12" s="6" customFormat="1" ht="16.5" customHeight="1" x14ac:dyDescent="0.25">
      <c r="A229" s="3"/>
      <c r="B229" s="13"/>
      <c r="C229" s="52"/>
      <c r="D229" s="13"/>
      <c r="E229" s="14"/>
      <c r="F229" s="3"/>
      <c r="G229" s="3"/>
      <c r="H229" s="15"/>
      <c r="I229" s="3"/>
      <c r="J229" s="49"/>
      <c r="K229" s="49"/>
      <c r="L229" s="3"/>
    </row>
    <row r="230" spans="1:12" s="6" customFormat="1" ht="16.5" customHeight="1" x14ac:dyDescent="0.25">
      <c r="A230" s="3"/>
      <c r="B230" s="13"/>
      <c r="C230" s="52"/>
      <c r="D230" s="13"/>
      <c r="E230" s="14"/>
      <c r="F230" s="3"/>
      <c r="G230" s="3"/>
      <c r="H230" s="15"/>
      <c r="I230" s="3"/>
      <c r="J230" s="49"/>
      <c r="K230" s="49"/>
      <c r="L230" s="3"/>
    </row>
    <row r="231" spans="1:12" s="6" customFormat="1" ht="16.5" customHeight="1" x14ac:dyDescent="0.25">
      <c r="A231" s="3"/>
      <c r="B231" s="13"/>
      <c r="C231" s="52"/>
      <c r="D231" s="13"/>
      <c r="E231" s="14"/>
      <c r="F231" s="3"/>
      <c r="G231" s="3"/>
      <c r="H231" s="15"/>
      <c r="I231" s="3"/>
      <c r="J231" s="49"/>
      <c r="K231" s="49"/>
      <c r="L231" s="3"/>
    </row>
    <row r="232" spans="1:12" s="6" customFormat="1" ht="16.5" customHeight="1" x14ac:dyDescent="0.25">
      <c r="A232" s="3"/>
      <c r="B232" s="13"/>
      <c r="C232" s="52"/>
      <c r="D232" s="13"/>
      <c r="E232" s="14"/>
      <c r="F232" s="3"/>
      <c r="G232" s="3"/>
      <c r="H232" s="15"/>
      <c r="I232" s="3"/>
      <c r="J232" s="49"/>
      <c r="K232" s="49"/>
      <c r="L232" s="3"/>
    </row>
    <row r="233" spans="1:12" s="6" customFormat="1" ht="16.5" customHeight="1" x14ac:dyDescent="0.25">
      <c r="A233" s="3"/>
      <c r="B233" s="13"/>
      <c r="C233" s="52"/>
      <c r="D233" s="13"/>
      <c r="E233" s="14"/>
      <c r="F233" s="3"/>
      <c r="G233" s="3"/>
      <c r="H233" s="15"/>
      <c r="I233" s="3"/>
      <c r="J233" s="49"/>
      <c r="K233" s="49"/>
      <c r="L233" s="3"/>
    </row>
    <row r="234" spans="1:12" s="6" customFormat="1" ht="16.5" customHeight="1" x14ac:dyDescent="0.25">
      <c r="A234" s="3"/>
      <c r="B234" s="13"/>
      <c r="C234" s="52"/>
      <c r="D234" s="13"/>
      <c r="E234" s="14"/>
      <c r="F234" s="3"/>
      <c r="G234" s="3"/>
      <c r="H234" s="15"/>
      <c r="I234" s="3"/>
      <c r="J234" s="49"/>
      <c r="K234" s="49"/>
      <c r="L234" s="3"/>
    </row>
    <row r="235" spans="1:12" s="6" customFormat="1" ht="16.5" customHeight="1" x14ac:dyDescent="0.25">
      <c r="A235" s="3"/>
      <c r="B235" s="13"/>
      <c r="C235" s="52"/>
      <c r="D235" s="13"/>
      <c r="E235" s="14"/>
      <c r="F235" s="3"/>
      <c r="G235" s="3"/>
      <c r="H235" s="15"/>
      <c r="I235" s="3"/>
      <c r="J235" s="49"/>
      <c r="K235" s="49"/>
      <c r="L235" s="3"/>
    </row>
    <row r="236" spans="1:12" s="6" customFormat="1" ht="16.5" customHeight="1" x14ac:dyDescent="0.25">
      <c r="A236" s="3"/>
      <c r="B236" s="13"/>
      <c r="C236" s="52"/>
      <c r="D236" s="13"/>
      <c r="E236" s="14"/>
      <c r="F236" s="3"/>
      <c r="G236" s="3"/>
      <c r="H236" s="15"/>
      <c r="I236" s="3"/>
      <c r="J236" s="49"/>
      <c r="K236" s="49"/>
      <c r="L236" s="3"/>
    </row>
    <row r="237" spans="1:12" s="6" customFormat="1" ht="16.5" customHeight="1" x14ac:dyDescent="0.25">
      <c r="A237" s="3"/>
      <c r="B237" s="13"/>
      <c r="C237" s="52"/>
      <c r="D237" s="13"/>
      <c r="E237" s="14"/>
      <c r="F237" s="3"/>
      <c r="G237" s="3"/>
      <c r="H237" s="15"/>
      <c r="I237" s="3"/>
      <c r="J237" s="49"/>
      <c r="K237" s="49"/>
      <c r="L237" s="3"/>
    </row>
    <row r="238" spans="1:12" s="6" customFormat="1" ht="16.5" customHeight="1" x14ac:dyDescent="0.25">
      <c r="A238" s="3"/>
      <c r="B238" s="13"/>
      <c r="C238" s="52"/>
      <c r="D238" s="13"/>
      <c r="E238" s="14"/>
      <c r="F238" s="3"/>
      <c r="G238" s="3"/>
      <c r="H238" s="15"/>
      <c r="I238" s="3"/>
      <c r="J238" s="49"/>
      <c r="K238" s="49"/>
      <c r="L238" s="3"/>
    </row>
    <row r="239" spans="1:12" s="6" customFormat="1" ht="16.5" customHeight="1" x14ac:dyDescent="0.25">
      <c r="A239" s="3"/>
      <c r="B239" s="13"/>
      <c r="C239" s="52"/>
      <c r="D239" s="13"/>
      <c r="E239" s="14"/>
      <c r="F239" s="3"/>
      <c r="G239" s="3"/>
      <c r="H239" s="15"/>
      <c r="I239" s="3"/>
      <c r="J239" s="49"/>
      <c r="K239" s="49"/>
      <c r="L239" s="3"/>
    </row>
    <row r="240" spans="1:12" s="6" customFormat="1" ht="16.5" customHeight="1" x14ac:dyDescent="0.25">
      <c r="A240" s="3"/>
      <c r="B240" s="13"/>
      <c r="C240" s="52"/>
      <c r="D240" s="13"/>
      <c r="E240" s="14"/>
      <c r="F240" s="3"/>
      <c r="G240" s="3"/>
      <c r="H240" s="15"/>
      <c r="I240" s="3"/>
      <c r="J240" s="49"/>
      <c r="K240" s="49"/>
      <c r="L240" s="3"/>
    </row>
    <row r="241" spans="1:12" s="6" customFormat="1" ht="16.5" customHeight="1" x14ac:dyDescent="0.25">
      <c r="A241" s="3"/>
      <c r="B241" s="13"/>
      <c r="C241" s="52"/>
      <c r="D241" s="13"/>
      <c r="E241" s="14"/>
      <c r="F241" s="3"/>
      <c r="G241" s="3"/>
      <c r="H241" s="15"/>
      <c r="I241" s="3"/>
      <c r="J241" s="49"/>
      <c r="K241" s="49"/>
      <c r="L241" s="3"/>
    </row>
    <row r="242" spans="1:12" s="6" customFormat="1" ht="16.5" customHeight="1" x14ac:dyDescent="0.25">
      <c r="A242" s="3"/>
      <c r="B242" s="13"/>
      <c r="C242" s="52"/>
      <c r="D242" s="13"/>
      <c r="E242" s="14"/>
      <c r="F242" s="3"/>
      <c r="G242" s="3"/>
      <c r="H242" s="15"/>
      <c r="I242" s="3"/>
      <c r="J242" s="49"/>
      <c r="K242" s="49"/>
      <c r="L242" s="3"/>
    </row>
    <row r="243" spans="1:12" s="6" customFormat="1" ht="16.5" customHeight="1" x14ac:dyDescent="0.25">
      <c r="A243" s="3"/>
      <c r="B243" s="13"/>
      <c r="C243" s="52"/>
      <c r="D243" s="13"/>
      <c r="E243" s="14"/>
      <c r="F243" s="3"/>
      <c r="G243" s="3"/>
      <c r="H243" s="15"/>
      <c r="I243" s="3"/>
      <c r="J243" s="49"/>
      <c r="K243" s="49"/>
      <c r="L243" s="3"/>
    </row>
    <row r="244" spans="1:12" s="6" customFormat="1" ht="16.5" customHeight="1" x14ac:dyDescent="0.25">
      <c r="A244" s="3"/>
      <c r="B244" s="13"/>
      <c r="C244" s="52"/>
      <c r="D244" s="13"/>
      <c r="E244" s="14"/>
      <c r="F244" s="3"/>
      <c r="G244" s="3"/>
      <c r="H244" s="15"/>
      <c r="I244" s="3"/>
      <c r="J244" s="49"/>
      <c r="K244" s="49"/>
      <c r="L244" s="3"/>
    </row>
    <row r="245" spans="1:12" s="6" customFormat="1" ht="16.5" customHeight="1" x14ac:dyDescent="0.25">
      <c r="A245" s="3"/>
      <c r="B245" s="13"/>
      <c r="C245" s="52"/>
      <c r="D245" s="13"/>
      <c r="E245" s="14"/>
      <c r="F245" s="3"/>
      <c r="G245" s="3"/>
      <c r="H245" s="15"/>
      <c r="I245" s="3"/>
      <c r="J245" s="49"/>
      <c r="K245" s="49"/>
      <c r="L245" s="3"/>
    </row>
    <row r="246" spans="1:12" s="6" customFormat="1" ht="16.5" customHeight="1" x14ac:dyDescent="0.25">
      <c r="A246" s="3"/>
      <c r="B246" s="13"/>
      <c r="C246" s="52"/>
      <c r="D246" s="13"/>
      <c r="E246" s="14"/>
      <c r="F246" s="3"/>
      <c r="G246" s="3"/>
      <c r="H246" s="15"/>
      <c r="I246" s="3"/>
      <c r="J246" s="49"/>
      <c r="K246" s="49"/>
      <c r="L246" s="3"/>
    </row>
    <row r="247" spans="1:12" s="6" customFormat="1" ht="16.5" customHeight="1" x14ac:dyDescent="0.25">
      <c r="A247" s="3"/>
      <c r="B247" s="13"/>
      <c r="C247" s="52"/>
      <c r="D247" s="13"/>
      <c r="E247" s="14"/>
      <c r="F247" s="3"/>
      <c r="G247" s="3"/>
      <c r="H247" s="15"/>
      <c r="I247" s="3"/>
      <c r="J247" s="49"/>
      <c r="K247" s="49"/>
      <c r="L247" s="3"/>
    </row>
    <row r="248" spans="1:12" s="6" customFormat="1" ht="16.5" customHeight="1" x14ac:dyDescent="0.25">
      <c r="A248" s="3"/>
      <c r="B248" s="13"/>
      <c r="C248" s="52"/>
      <c r="D248" s="13"/>
      <c r="E248" s="14"/>
      <c r="F248" s="3"/>
      <c r="G248" s="3"/>
      <c r="H248" s="15"/>
      <c r="I248" s="3"/>
      <c r="J248" s="49"/>
      <c r="K248" s="49"/>
      <c r="L248" s="3"/>
    </row>
    <row r="249" spans="1:12" s="6" customFormat="1" ht="16.5" customHeight="1" x14ac:dyDescent="0.25">
      <c r="A249" s="3"/>
      <c r="B249" s="13"/>
      <c r="C249" s="52"/>
      <c r="D249" s="13"/>
      <c r="E249" s="14"/>
      <c r="F249" s="3"/>
      <c r="G249" s="3"/>
      <c r="H249" s="15"/>
      <c r="I249" s="3"/>
      <c r="J249" s="49"/>
      <c r="K249" s="49"/>
      <c r="L249" s="3"/>
    </row>
    <row r="254" spans="1:12" s="3" customFormat="1" ht="15.75" customHeight="1" x14ac:dyDescent="0.25">
      <c r="B254" s="13"/>
      <c r="C254" s="52"/>
      <c r="D254" s="13"/>
      <c r="E254" s="14"/>
      <c r="H254" s="15"/>
      <c r="J254" s="49"/>
      <c r="K254" s="50"/>
    </row>
    <row r="255" spans="1:12" s="3" customFormat="1" ht="15.75" customHeight="1" x14ac:dyDescent="0.25">
      <c r="B255" s="13"/>
      <c r="C255" s="52"/>
      <c r="D255" s="13"/>
      <c r="E255" s="14"/>
      <c r="H255" s="15"/>
      <c r="J255" s="49"/>
      <c r="K255" s="50"/>
    </row>
    <row r="256" spans="1:12" s="3" customFormat="1" ht="15.75" customHeight="1" x14ac:dyDescent="0.25">
      <c r="B256" s="13"/>
      <c r="C256" s="52"/>
      <c r="D256" s="13"/>
      <c r="E256" s="14"/>
      <c r="H256" s="15"/>
      <c r="J256" s="49"/>
      <c r="K256" s="50"/>
    </row>
    <row r="257" spans="2:11" s="3" customFormat="1" ht="15.75" customHeight="1" x14ac:dyDescent="0.25">
      <c r="B257" s="13"/>
      <c r="C257" s="52"/>
      <c r="D257" s="13"/>
      <c r="E257" s="14"/>
      <c r="H257" s="15"/>
      <c r="J257" s="49"/>
      <c r="K257" s="50"/>
    </row>
    <row r="258" spans="2:11" s="3" customFormat="1" ht="15.75" customHeight="1" x14ac:dyDescent="0.25">
      <c r="B258" s="13"/>
      <c r="C258" s="52"/>
      <c r="D258" s="13"/>
      <c r="E258" s="14"/>
      <c r="H258" s="15"/>
      <c r="J258" s="49"/>
      <c r="K258" s="50"/>
    </row>
    <row r="259" spans="2:11" s="3" customFormat="1" ht="15.75" customHeight="1" x14ac:dyDescent="0.25">
      <c r="B259" s="13"/>
      <c r="C259" s="52"/>
      <c r="D259" s="13"/>
      <c r="E259" s="14"/>
      <c r="H259" s="15"/>
      <c r="J259" s="49"/>
      <c r="K259" s="50"/>
    </row>
    <row r="260" spans="2:11" s="3" customFormat="1" ht="15.75" customHeight="1" x14ac:dyDescent="0.25">
      <c r="B260" s="13"/>
      <c r="C260" s="52"/>
      <c r="D260" s="13"/>
      <c r="E260" s="14"/>
      <c r="H260" s="15"/>
      <c r="J260" s="49"/>
      <c r="K260" s="50"/>
    </row>
    <row r="261" spans="2:11" s="3" customFormat="1" ht="15.75" customHeight="1" x14ac:dyDescent="0.25">
      <c r="B261" s="13"/>
      <c r="C261" s="52"/>
      <c r="D261" s="13"/>
      <c r="E261" s="14"/>
      <c r="H261" s="15"/>
      <c r="J261" s="49"/>
      <c r="K261" s="50"/>
    </row>
  </sheetData>
  <sheetProtection formatCells="0" formatColumns="0" formatRows="0" insertColumns="0" insertRows="0" insertHyperlinks="0" deleteColumns="0" deleteRows="0" sort="0" autoFilter="0" pivotTables="0"/>
  <autoFilter ref="A11:WVS186"/>
  <mergeCells count="51">
    <mergeCell ref="A185:L185"/>
    <mergeCell ref="A186:J186"/>
    <mergeCell ref="A187:E187"/>
    <mergeCell ref="F187:L187"/>
    <mergeCell ref="A179:L179"/>
    <mergeCell ref="A180:L180"/>
    <mergeCell ref="A181:L181"/>
    <mergeCell ref="A182:K182"/>
    <mergeCell ref="A183:K183"/>
    <mergeCell ref="A184:L184"/>
    <mergeCell ref="A178:C178"/>
    <mergeCell ref="A158:A160"/>
    <mergeCell ref="B158:B160"/>
    <mergeCell ref="A162:E162"/>
    <mergeCell ref="A165:A166"/>
    <mergeCell ref="B165:B166"/>
    <mergeCell ref="A170:A171"/>
    <mergeCell ref="B170:B171"/>
    <mergeCell ref="A174:A175"/>
    <mergeCell ref="B174:B175"/>
    <mergeCell ref="A176:G176"/>
    <mergeCell ref="A177:C177"/>
    <mergeCell ref="D177:L177"/>
    <mergeCell ref="A142:A144"/>
    <mergeCell ref="B142:B144"/>
    <mergeCell ref="A148:A150"/>
    <mergeCell ref="B148:B150"/>
    <mergeCell ref="A152:A154"/>
    <mergeCell ref="B152:B154"/>
    <mergeCell ref="A139:E139"/>
    <mergeCell ref="A7:E7"/>
    <mergeCell ref="F7:I7"/>
    <mergeCell ref="A8:E8"/>
    <mergeCell ref="F8:I8"/>
    <mergeCell ref="A9:L9"/>
    <mergeCell ref="A10:A11"/>
    <mergeCell ref="B10:B11"/>
    <mergeCell ref="C10:E10"/>
    <mergeCell ref="F10:G10"/>
    <mergeCell ref="H10:H11"/>
    <mergeCell ref="I10:I11"/>
    <mergeCell ref="A12:E12"/>
    <mergeCell ref="A49:E49"/>
    <mergeCell ref="A86:E86"/>
    <mergeCell ref="A121:E121"/>
    <mergeCell ref="A6:L6"/>
    <mergeCell ref="A1:J1"/>
    <mergeCell ref="A2:J2"/>
    <mergeCell ref="A3:J3"/>
    <mergeCell ref="A4:J4"/>
    <mergeCell ref="A5:J5"/>
  </mergeCells>
  <pageMargins left="0.25" right="0.25" top="0.5" bottom="0.25" header="0.3" footer="0.3"/>
  <pageSetup scale="7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S261"/>
  <sheetViews>
    <sheetView showGridLines="0" tabSelected="1" topLeftCell="A172" zoomScale="85" zoomScaleNormal="85" workbookViewId="0">
      <selection activeCell="J122" sqref="J122"/>
    </sheetView>
  </sheetViews>
  <sheetFormatPr defaultRowHeight="15" x14ac:dyDescent="0.25"/>
  <cols>
    <col min="1" max="1" width="6.28515625" style="3" customWidth="1"/>
    <col min="2" max="2" width="7.42578125" style="13" customWidth="1"/>
    <col min="3" max="3" width="43" style="52" customWidth="1"/>
    <col min="4" max="4" width="14.140625" style="13" customWidth="1"/>
    <col min="5" max="5" width="13.5703125" style="14" customWidth="1"/>
    <col min="6" max="7" width="8" style="3" customWidth="1"/>
    <col min="8" max="8" width="12.5703125" style="15" customWidth="1"/>
    <col min="9" max="9" width="6.28515625" style="3" customWidth="1"/>
    <col min="10" max="10" width="15.28515625" style="49" customWidth="1"/>
    <col min="11" max="11" width="16.140625" style="49" customWidth="1"/>
    <col min="12" max="12" width="22.7109375" style="3" customWidth="1"/>
    <col min="13" max="13" width="19" style="3" customWidth="1"/>
    <col min="14" max="14" width="17.7109375" style="3" customWidth="1"/>
    <col min="15" max="249" width="8.85546875" style="3" customWidth="1"/>
    <col min="250" max="250" width="3.5703125" style="3" customWidth="1"/>
    <col min="251" max="251" width="0" style="3" hidden="1" customWidth="1"/>
    <col min="252" max="252" width="6.85546875" style="3" customWidth="1"/>
    <col min="253" max="253" width="8.7109375" style="3" customWidth="1"/>
    <col min="254" max="254" width="22.7109375" style="3" customWidth="1"/>
    <col min="255" max="255" width="9.5703125" style="3" customWidth="1"/>
    <col min="256" max="256" width="8.28515625" style="3" customWidth="1"/>
    <col min="257" max="259" width="6.140625" style="3" customWidth="1"/>
    <col min="260" max="260" width="3.7109375" style="3" customWidth="1"/>
    <col min="261" max="261" width="10" style="3" customWidth="1"/>
    <col min="262" max="262" width="10.140625" style="3" customWidth="1"/>
    <col min="263" max="263" width="13.140625" style="3" customWidth="1"/>
    <col min="264" max="266" width="0" style="3" hidden="1" customWidth="1"/>
    <col min="267" max="505" width="8.85546875" style="3" customWidth="1"/>
    <col min="506" max="506" width="3.5703125" style="3" customWidth="1"/>
    <col min="507" max="507" width="0" style="3" hidden="1" customWidth="1"/>
    <col min="508" max="508" width="6.85546875" style="3" customWidth="1"/>
    <col min="509" max="509" width="8.7109375" style="3" customWidth="1"/>
    <col min="510" max="510" width="22.7109375" style="3" customWidth="1"/>
    <col min="511" max="511" width="9.5703125" style="3" customWidth="1"/>
    <col min="512" max="512" width="8.28515625" style="3" customWidth="1"/>
    <col min="513" max="515" width="6.140625" style="3" customWidth="1"/>
    <col min="516" max="516" width="3.7109375" style="3" customWidth="1"/>
    <col min="517" max="517" width="10" style="3" customWidth="1"/>
    <col min="518" max="518" width="10.140625" style="3" customWidth="1"/>
    <col min="519" max="519" width="13.140625" style="3" customWidth="1"/>
    <col min="520" max="522" width="0" style="3" hidden="1" customWidth="1"/>
    <col min="523" max="761" width="8.85546875" style="3" customWidth="1"/>
    <col min="762" max="762" width="3.5703125" style="3" customWidth="1"/>
    <col min="763" max="763" width="0" style="3" hidden="1" customWidth="1"/>
    <col min="764" max="764" width="6.85546875" style="3" customWidth="1"/>
    <col min="765" max="765" width="8.7109375" style="3" customWidth="1"/>
    <col min="766" max="766" width="22.7109375" style="3" customWidth="1"/>
    <col min="767" max="767" width="9.5703125" style="3" customWidth="1"/>
    <col min="768" max="768" width="8.28515625" style="3" customWidth="1"/>
    <col min="769" max="771" width="6.140625" style="3" customWidth="1"/>
    <col min="772" max="772" width="3.7109375" style="3" customWidth="1"/>
    <col min="773" max="773" width="10" style="3" customWidth="1"/>
    <col min="774" max="774" width="10.140625" style="3" customWidth="1"/>
    <col min="775" max="775" width="13.140625" style="3" customWidth="1"/>
    <col min="776" max="778" width="0" style="3" hidden="1" customWidth="1"/>
    <col min="779" max="1017" width="8.85546875" style="3" customWidth="1"/>
    <col min="1018" max="1018" width="3.5703125" style="3" customWidth="1"/>
    <col min="1019" max="1019" width="0" style="3" hidden="1" customWidth="1"/>
    <col min="1020" max="1020" width="6.85546875" style="3" customWidth="1"/>
    <col min="1021" max="1021" width="8.7109375" style="3" customWidth="1"/>
    <col min="1022" max="1022" width="22.7109375" style="3" customWidth="1"/>
    <col min="1023" max="1023" width="9.5703125" style="3" customWidth="1"/>
    <col min="1024" max="1024" width="8.28515625" style="3" customWidth="1"/>
    <col min="1025" max="1027" width="6.140625" style="3" customWidth="1"/>
    <col min="1028" max="1028" width="3.7109375" style="3" customWidth="1"/>
    <col min="1029" max="1029" width="10" style="3" customWidth="1"/>
    <col min="1030" max="1030" width="10.140625" style="3" customWidth="1"/>
    <col min="1031" max="1031" width="13.140625" style="3" customWidth="1"/>
    <col min="1032" max="1034" width="0" style="3" hidden="1" customWidth="1"/>
    <col min="1035" max="1273" width="8.85546875" style="3" customWidth="1"/>
    <col min="1274" max="1274" width="3.5703125" style="3" customWidth="1"/>
    <col min="1275" max="1275" width="0" style="3" hidden="1" customWidth="1"/>
    <col min="1276" max="1276" width="6.85546875" style="3" customWidth="1"/>
    <col min="1277" max="1277" width="8.7109375" style="3" customWidth="1"/>
    <col min="1278" max="1278" width="22.7109375" style="3" customWidth="1"/>
    <col min="1279" max="1279" width="9.5703125" style="3" customWidth="1"/>
    <col min="1280" max="1280" width="8.28515625" style="3" customWidth="1"/>
    <col min="1281" max="1283" width="6.140625" style="3" customWidth="1"/>
    <col min="1284" max="1284" width="3.7109375" style="3" customWidth="1"/>
    <col min="1285" max="1285" width="10" style="3" customWidth="1"/>
    <col min="1286" max="1286" width="10.140625" style="3" customWidth="1"/>
    <col min="1287" max="1287" width="13.140625" style="3" customWidth="1"/>
    <col min="1288" max="1290" width="0" style="3" hidden="1" customWidth="1"/>
    <col min="1291" max="1529" width="8.85546875" style="3" customWidth="1"/>
    <col min="1530" max="1530" width="3.5703125" style="3" customWidth="1"/>
    <col min="1531" max="1531" width="0" style="3" hidden="1" customWidth="1"/>
    <col min="1532" max="1532" width="6.85546875" style="3" customWidth="1"/>
    <col min="1533" max="1533" width="8.7109375" style="3" customWidth="1"/>
    <col min="1534" max="1534" width="22.7109375" style="3" customWidth="1"/>
    <col min="1535" max="1535" width="9.5703125" style="3" customWidth="1"/>
    <col min="1536" max="1536" width="8.28515625" style="3" customWidth="1"/>
    <col min="1537" max="1539" width="6.140625" style="3" customWidth="1"/>
    <col min="1540" max="1540" width="3.7109375" style="3" customWidth="1"/>
    <col min="1541" max="1541" width="10" style="3" customWidth="1"/>
    <col min="1542" max="1542" width="10.140625" style="3" customWidth="1"/>
    <col min="1543" max="1543" width="13.140625" style="3" customWidth="1"/>
    <col min="1544" max="1546" width="0" style="3" hidden="1" customWidth="1"/>
    <col min="1547" max="1785" width="8.85546875" style="3" customWidth="1"/>
    <col min="1786" max="1786" width="3.5703125" style="3" customWidth="1"/>
    <col min="1787" max="1787" width="0" style="3" hidden="1" customWidth="1"/>
    <col min="1788" max="1788" width="6.85546875" style="3" customWidth="1"/>
    <col min="1789" max="1789" width="8.7109375" style="3" customWidth="1"/>
    <col min="1790" max="1790" width="22.7109375" style="3" customWidth="1"/>
    <col min="1791" max="1791" width="9.5703125" style="3" customWidth="1"/>
    <col min="1792" max="1792" width="8.28515625" style="3" customWidth="1"/>
    <col min="1793" max="1795" width="6.140625" style="3" customWidth="1"/>
    <col min="1796" max="1796" width="3.7109375" style="3" customWidth="1"/>
    <col min="1797" max="1797" width="10" style="3" customWidth="1"/>
    <col min="1798" max="1798" width="10.140625" style="3" customWidth="1"/>
    <col min="1799" max="1799" width="13.140625" style="3" customWidth="1"/>
    <col min="1800" max="1802" width="0" style="3" hidden="1" customWidth="1"/>
    <col min="1803" max="2041" width="8.85546875" style="3" customWidth="1"/>
    <col min="2042" max="2042" width="3.5703125" style="3" customWidth="1"/>
    <col min="2043" max="2043" width="0" style="3" hidden="1" customWidth="1"/>
    <col min="2044" max="2044" width="6.85546875" style="3" customWidth="1"/>
    <col min="2045" max="2045" width="8.7109375" style="3" customWidth="1"/>
    <col min="2046" max="2046" width="22.7109375" style="3" customWidth="1"/>
    <col min="2047" max="2047" width="9.5703125" style="3" customWidth="1"/>
    <col min="2048" max="2048" width="8.28515625" style="3" customWidth="1"/>
    <col min="2049" max="2051" width="6.140625" style="3" customWidth="1"/>
    <col min="2052" max="2052" width="3.7109375" style="3" customWidth="1"/>
    <col min="2053" max="2053" width="10" style="3" customWidth="1"/>
    <col min="2054" max="2054" width="10.140625" style="3" customWidth="1"/>
    <col min="2055" max="2055" width="13.140625" style="3" customWidth="1"/>
    <col min="2056" max="2058" width="0" style="3" hidden="1" customWidth="1"/>
    <col min="2059" max="2297" width="8.85546875" style="3" customWidth="1"/>
    <col min="2298" max="2298" width="3.5703125" style="3" customWidth="1"/>
    <col min="2299" max="2299" width="0" style="3" hidden="1" customWidth="1"/>
    <col min="2300" max="2300" width="6.85546875" style="3" customWidth="1"/>
    <col min="2301" max="2301" width="8.7109375" style="3" customWidth="1"/>
    <col min="2302" max="2302" width="22.7109375" style="3" customWidth="1"/>
    <col min="2303" max="2303" width="9.5703125" style="3" customWidth="1"/>
    <col min="2304" max="2304" width="8.28515625" style="3" customWidth="1"/>
    <col min="2305" max="2307" width="6.140625" style="3" customWidth="1"/>
    <col min="2308" max="2308" width="3.7109375" style="3" customWidth="1"/>
    <col min="2309" max="2309" width="10" style="3" customWidth="1"/>
    <col min="2310" max="2310" width="10.140625" style="3" customWidth="1"/>
    <col min="2311" max="2311" width="13.140625" style="3" customWidth="1"/>
    <col min="2312" max="2314" width="0" style="3" hidden="1" customWidth="1"/>
    <col min="2315" max="2553" width="8.85546875" style="3" customWidth="1"/>
    <col min="2554" max="2554" width="3.5703125" style="3" customWidth="1"/>
    <col min="2555" max="2555" width="0" style="3" hidden="1" customWidth="1"/>
    <col min="2556" max="2556" width="6.85546875" style="3" customWidth="1"/>
    <col min="2557" max="2557" width="8.7109375" style="3" customWidth="1"/>
    <col min="2558" max="2558" width="22.7109375" style="3" customWidth="1"/>
    <col min="2559" max="2559" width="9.5703125" style="3" customWidth="1"/>
    <col min="2560" max="2560" width="8.28515625" style="3" customWidth="1"/>
    <col min="2561" max="2563" width="6.140625" style="3" customWidth="1"/>
    <col min="2564" max="2564" width="3.7109375" style="3" customWidth="1"/>
    <col min="2565" max="2565" width="10" style="3" customWidth="1"/>
    <col min="2566" max="2566" width="10.140625" style="3" customWidth="1"/>
    <col min="2567" max="2567" width="13.140625" style="3" customWidth="1"/>
    <col min="2568" max="2570" width="0" style="3" hidden="1" customWidth="1"/>
    <col min="2571" max="2809" width="8.85546875" style="3" customWidth="1"/>
    <col min="2810" max="2810" width="3.5703125" style="3" customWidth="1"/>
    <col min="2811" max="2811" width="0" style="3" hidden="1" customWidth="1"/>
    <col min="2812" max="2812" width="6.85546875" style="3" customWidth="1"/>
    <col min="2813" max="2813" width="8.7109375" style="3" customWidth="1"/>
    <col min="2814" max="2814" width="22.7109375" style="3" customWidth="1"/>
    <col min="2815" max="2815" width="9.5703125" style="3" customWidth="1"/>
    <col min="2816" max="2816" width="8.28515625" style="3" customWidth="1"/>
    <col min="2817" max="2819" width="6.140625" style="3" customWidth="1"/>
    <col min="2820" max="2820" width="3.7109375" style="3" customWidth="1"/>
    <col min="2821" max="2821" width="10" style="3" customWidth="1"/>
    <col min="2822" max="2822" width="10.140625" style="3" customWidth="1"/>
    <col min="2823" max="2823" width="13.140625" style="3" customWidth="1"/>
    <col min="2824" max="2826" width="0" style="3" hidden="1" customWidth="1"/>
    <col min="2827" max="3065" width="8.85546875" style="3" customWidth="1"/>
    <col min="3066" max="3066" width="3.5703125" style="3" customWidth="1"/>
    <col min="3067" max="3067" width="0" style="3" hidden="1" customWidth="1"/>
    <col min="3068" max="3068" width="6.85546875" style="3" customWidth="1"/>
    <col min="3069" max="3069" width="8.7109375" style="3" customWidth="1"/>
    <col min="3070" max="3070" width="22.7109375" style="3" customWidth="1"/>
    <col min="3071" max="3071" width="9.5703125" style="3" customWidth="1"/>
    <col min="3072" max="3072" width="8.28515625" style="3" customWidth="1"/>
    <col min="3073" max="3075" width="6.140625" style="3" customWidth="1"/>
    <col min="3076" max="3076" width="3.7109375" style="3" customWidth="1"/>
    <col min="3077" max="3077" width="10" style="3" customWidth="1"/>
    <col min="3078" max="3078" width="10.140625" style="3" customWidth="1"/>
    <col min="3079" max="3079" width="13.140625" style="3" customWidth="1"/>
    <col min="3080" max="3082" width="0" style="3" hidden="1" customWidth="1"/>
    <col min="3083" max="3321" width="8.85546875" style="3" customWidth="1"/>
    <col min="3322" max="3322" width="3.5703125" style="3" customWidth="1"/>
    <col min="3323" max="3323" width="0" style="3" hidden="1" customWidth="1"/>
    <col min="3324" max="3324" width="6.85546875" style="3" customWidth="1"/>
    <col min="3325" max="3325" width="8.7109375" style="3" customWidth="1"/>
    <col min="3326" max="3326" width="22.7109375" style="3" customWidth="1"/>
    <col min="3327" max="3327" width="9.5703125" style="3" customWidth="1"/>
    <col min="3328" max="3328" width="8.28515625" style="3" customWidth="1"/>
    <col min="3329" max="3331" width="6.140625" style="3" customWidth="1"/>
    <col min="3332" max="3332" width="3.7109375" style="3" customWidth="1"/>
    <col min="3333" max="3333" width="10" style="3" customWidth="1"/>
    <col min="3334" max="3334" width="10.140625" style="3" customWidth="1"/>
    <col min="3335" max="3335" width="13.140625" style="3" customWidth="1"/>
    <col min="3336" max="3338" width="0" style="3" hidden="1" customWidth="1"/>
    <col min="3339" max="3577" width="8.85546875" style="3" customWidth="1"/>
    <col min="3578" max="3578" width="3.5703125" style="3" customWidth="1"/>
    <col min="3579" max="3579" width="0" style="3" hidden="1" customWidth="1"/>
    <col min="3580" max="3580" width="6.85546875" style="3" customWidth="1"/>
    <col min="3581" max="3581" width="8.7109375" style="3" customWidth="1"/>
    <col min="3582" max="3582" width="22.7109375" style="3" customWidth="1"/>
    <col min="3583" max="3583" width="9.5703125" style="3" customWidth="1"/>
    <col min="3584" max="3584" width="8.28515625" style="3" customWidth="1"/>
    <col min="3585" max="3587" width="6.140625" style="3" customWidth="1"/>
    <col min="3588" max="3588" width="3.7109375" style="3" customWidth="1"/>
    <col min="3589" max="3589" width="10" style="3" customWidth="1"/>
    <col min="3590" max="3590" width="10.140625" style="3" customWidth="1"/>
    <col min="3591" max="3591" width="13.140625" style="3" customWidth="1"/>
    <col min="3592" max="3594" width="0" style="3" hidden="1" customWidth="1"/>
    <col min="3595" max="3833" width="8.85546875" style="3" customWidth="1"/>
    <col min="3834" max="3834" width="3.5703125" style="3" customWidth="1"/>
    <col min="3835" max="3835" width="0" style="3" hidden="1" customWidth="1"/>
    <col min="3836" max="3836" width="6.85546875" style="3" customWidth="1"/>
    <col min="3837" max="3837" width="8.7109375" style="3" customWidth="1"/>
    <col min="3838" max="3838" width="22.7109375" style="3" customWidth="1"/>
    <col min="3839" max="3839" width="9.5703125" style="3" customWidth="1"/>
    <col min="3840" max="3840" width="8.28515625" style="3" customWidth="1"/>
    <col min="3841" max="3843" width="6.140625" style="3" customWidth="1"/>
    <col min="3844" max="3844" width="3.7109375" style="3" customWidth="1"/>
    <col min="3845" max="3845" width="10" style="3" customWidth="1"/>
    <col min="3846" max="3846" width="10.140625" style="3" customWidth="1"/>
    <col min="3847" max="3847" width="13.140625" style="3" customWidth="1"/>
    <col min="3848" max="3850" width="0" style="3" hidden="1" customWidth="1"/>
    <col min="3851" max="4089" width="8.85546875" style="3" customWidth="1"/>
    <col min="4090" max="4090" width="3.5703125" style="3" customWidth="1"/>
    <col min="4091" max="4091" width="0" style="3" hidden="1" customWidth="1"/>
    <col min="4092" max="4092" width="6.85546875" style="3" customWidth="1"/>
    <col min="4093" max="4093" width="8.7109375" style="3" customWidth="1"/>
    <col min="4094" max="4094" width="22.7109375" style="3" customWidth="1"/>
    <col min="4095" max="4095" width="9.5703125" style="3" customWidth="1"/>
    <col min="4096" max="4096" width="8.28515625" style="3" customWidth="1"/>
    <col min="4097" max="4099" width="6.140625" style="3" customWidth="1"/>
    <col min="4100" max="4100" width="3.7109375" style="3" customWidth="1"/>
    <col min="4101" max="4101" width="10" style="3" customWidth="1"/>
    <col min="4102" max="4102" width="10.140625" style="3" customWidth="1"/>
    <col min="4103" max="4103" width="13.140625" style="3" customWidth="1"/>
    <col min="4104" max="4106" width="0" style="3" hidden="1" customWidth="1"/>
    <col min="4107" max="4345" width="8.85546875" style="3" customWidth="1"/>
    <col min="4346" max="4346" width="3.5703125" style="3" customWidth="1"/>
    <col min="4347" max="4347" width="0" style="3" hidden="1" customWidth="1"/>
    <col min="4348" max="4348" width="6.85546875" style="3" customWidth="1"/>
    <col min="4349" max="4349" width="8.7109375" style="3" customWidth="1"/>
    <col min="4350" max="4350" width="22.7109375" style="3" customWidth="1"/>
    <col min="4351" max="4351" width="9.5703125" style="3" customWidth="1"/>
    <col min="4352" max="4352" width="8.28515625" style="3" customWidth="1"/>
    <col min="4353" max="4355" width="6.140625" style="3" customWidth="1"/>
    <col min="4356" max="4356" width="3.7109375" style="3" customWidth="1"/>
    <col min="4357" max="4357" width="10" style="3" customWidth="1"/>
    <col min="4358" max="4358" width="10.140625" style="3" customWidth="1"/>
    <col min="4359" max="4359" width="13.140625" style="3" customWidth="1"/>
    <col min="4360" max="4362" width="0" style="3" hidden="1" customWidth="1"/>
    <col min="4363" max="4601" width="8.85546875" style="3" customWidth="1"/>
    <col min="4602" max="4602" width="3.5703125" style="3" customWidth="1"/>
    <col min="4603" max="4603" width="0" style="3" hidden="1" customWidth="1"/>
    <col min="4604" max="4604" width="6.85546875" style="3" customWidth="1"/>
    <col min="4605" max="4605" width="8.7109375" style="3" customWidth="1"/>
    <col min="4606" max="4606" width="22.7109375" style="3" customWidth="1"/>
    <col min="4607" max="4607" width="9.5703125" style="3" customWidth="1"/>
    <col min="4608" max="4608" width="8.28515625" style="3" customWidth="1"/>
    <col min="4609" max="4611" width="6.140625" style="3" customWidth="1"/>
    <col min="4612" max="4612" width="3.7109375" style="3" customWidth="1"/>
    <col min="4613" max="4613" width="10" style="3" customWidth="1"/>
    <col min="4614" max="4614" width="10.140625" style="3" customWidth="1"/>
    <col min="4615" max="4615" width="13.140625" style="3" customWidth="1"/>
    <col min="4616" max="4618" width="0" style="3" hidden="1" customWidth="1"/>
    <col min="4619" max="4857" width="8.85546875" style="3" customWidth="1"/>
    <col min="4858" max="4858" width="3.5703125" style="3" customWidth="1"/>
    <col min="4859" max="4859" width="0" style="3" hidden="1" customWidth="1"/>
    <col min="4860" max="4860" width="6.85546875" style="3" customWidth="1"/>
    <col min="4861" max="4861" width="8.7109375" style="3" customWidth="1"/>
    <col min="4862" max="4862" width="22.7109375" style="3" customWidth="1"/>
    <col min="4863" max="4863" width="9.5703125" style="3" customWidth="1"/>
    <col min="4864" max="4864" width="8.28515625" style="3" customWidth="1"/>
    <col min="4865" max="4867" width="6.140625" style="3" customWidth="1"/>
    <col min="4868" max="4868" width="3.7109375" style="3" customWidth="1"/>
    <col min="4869" max="4869" width="10" style="3" customWidth="1"/>
    <col min="4870" max="4870" width="10.140625" style="3" customWidth="1"/>
    <col min="4871" max="4871" width="13.140625" style="3" customWidth="1"/>
    <col min="4872" max="4874" width="0" style="3" hidden="1" customWidth="1"/>
    <col min="4875" max="5113" width="8.85546875" style="3" customWidth="1"/>
    <col min="5114" max="5114" width="3.5703125" style="3" customWidth="1"/>
    <col min="5115" max="5115" width="0" style="3" hidden="1" customWidth="1"/>
    <col min="5116" max="5116" width="6.85546875" style="3" customWidth="1"/>
    <col min="5117" max="5117" width="8.7109375" style="3" customWidth="1"/>
    <col min="5118" max="5118" width="22.7109375" style="3" customWidth="1"/>
    <col min="5119" max="5119" width="9.5703125" style="3" customWidth="1"/>
    <col min="5120" max="5120" width="8.28515625" style="3" customWidth="1"/>
    <col min="5121" max="5123" width="6.140625" style="3" customWidth="1"/>
    <col min="5124" max="5124" width="3.7109375" style="3" customWidth="1"/>
    <col min="5125" max="5125" width="10" style="3" customWidth="1"/>
    <col min="5126" max="5126" width="10.140625" style="3" customWidth="1"/>
    <col min="5127" max="5127" width="13.140625" style="3" customWidth="1"/>
    <col min="5128" max="5130" width="0" style="3" hidden="1" customWidth="1"/>
    <col min="5131" max="5369" width="8.85546875" style="3" customWidth="1"/>
    <col min="5370" max="5370" width="3.5703125" style="3" customWidth="1"/>
    <col min="5371" max="5371" width="0" style="3" hidden="1" customWidth="1"/>
    <col min="5372" max="5372" width="6.85546875" style="3" customWidth="1"/>
    <col min="5373" max="5373" width="8.7109375" style="3" customWidth="1"/>
    <col min="5374" max="5374" width="22.7109375" style="3" customWidth="1"/>
    <col min="5375" max="5375" width="9.5703125" style="3" customWidth="1"/>
    <col min="5376" max="5376" width="8.28515625" style="3" customWidth="1"/>
    <col min="5377" max="5379" width="6.140625" style="3" customWidth="1"/>
    <col min="5380" max="5380" width="3.7109375" style="3" customWidth="1"/>
    <col min="5381" max="5381" width="10" style="3" customWidth="1"/>
    <col min="5382" max="5382" width="10.140625" style="3" customWidth="1"/>
    <col min="5383" max="5383" width="13.140625" style="3" customWidth="1"/>
    <col min="5384" max="5386" width="0" style="3" hidden="1" customWidth="1"/>
    <col min="5387" max="5625" width="8.85546875" style="3" customWidth="1"/>
    <col min="5626" max="5626" width="3.5703125" style="3" customWidth="1"/>
    <col min="5627" max="5627" width="0" style="3" hidden="1" customWidth="1"/>
    <col min="5628" max="5628" width="6.85546875" style="3" customWidth="1"/>
    <col min="5629" max="5629" width="8.7109375" style="3" customWidth="1"/>
    <col min="5630" max="5630" width="22.7109375" style="3" customWidth="1"/>
    <col min="5631" max="5631" width="9.5703125" style="3" customWidth="1"/>
    <col min="5632" max="5632" width="8.28515625" style="3" customWidth="1"/>
    <col min="5633" max="5635" width="6.140625" style="3" customWidth="1"/>
    <col min="5636" max="5636" width="3.7109375" style="3" customWidth="1"/>
    <col min="5637" max="5637" width="10" style="3" customWidth="1"/>
    <col min="5638" max="5638" width="10.140625" style="3" customWidth="1"/>
    <col min="5639" max="5639" width="13.140625" style="3" customWidth="1"/>
    <col min="5640" max="5642" width="0" style="3" hidden="1" customWidth="1"/>
    <col min="5643" max="5881" width="8.85546875" style="3" customWidth="1"/>
    <col min="5882" max="5882" width="3.5703125" style="3" customWidth="1"/>
    <col min="5883" max="5883" width="0" style="3" hidden="1" customWidth="1"/>
    <col min="5884" max="5884" width="6.85546875" style="3" customWidth="1"/>
    <col min="5885" max="5885" width="8.7109375" style="3" customWidth="1"/>
    <col min="5886" max="5886" width="22.7109375" style="3" customWidth="1"/>
    <col min="5887" max="5887" width="9.5703125" style="3" customWidth="1"/>
    <col min="5888" max="5888" width="8.28515625" style="3" customWidth="1"/>
    <col min="5889" max="5891" width="6.140625" style="3" customWidth="1"/>
    <col min="5892" max="5892" width="3.7109375" style="3" customWidth="1"/>
    <col min="5893" max="5893" width="10" style="3" customWidth="1"/>
    <col min="5894" max="5894" width="10.140625" style="3" customWidth="1"/>
    <col min="5895" max="5895" width="13.140625" style="3" customWidth="1"/>
    <col min="5896" max="5898" width="0" style="3" hidden="1" customWidth="1"/>
    <col min="5899" max="6137" width="8.85546875" style="3" customWidth="1"/>
    <col min="6138" max="6138" width="3.5703125" style="3" customWidth="1"/>
    <col min="6139" max="6139" width="0" style="3" hidden="1" customWidth="1"/>
    <col min="6140" max="6140" width="6.85546875" style="3" customWidth="1"/>
    <col min="6141" max="6141" width="8.7109375" style="3" customWidth="1"/>
    <col min="6142" max="6142" width="22.7109375" style="3" customWidth="1"/>
    <col min="6143" max="6143" width="9.5703125" style="3" customWidth="1"/>
    <col min="6144" max="6144" width="8.28515625" style="3" customWidth="1"/>
    <col min="6145" max="6147" width="6.140625" style="3" customWidth="1"/>
    <col min="6148" max="6148" width="3.7109375" style="3" customWidth="1"/>
    <col min="6149" max="6149" width="10" style="3" customWidth="1"/>
    <col min="6150" max="6150" width="10.140625" style="3" customWidth="1"/>
    <col min="6151" max="6151" width="13.140625" style="3" customWidth="1"/>
    <col min="6152" max="6154" width="0" style="3" hidden="1" customWidth="1"/>
    <col min="6155" max="6393" width="8.85546875" style="3" customWidth="1"/>
    <col min="6394" max="6394" width="3.5703125" style="3" customWidth="1"/>
    <col min="6395" max="6395" width="0" style="3" hidden="1" customWidth="1"/>
    <col min="6396" max="6396" width="6.85546875" style="3" customWidth="1"/>
    <col min="6397" max="6397" width="8.7109375" style="3" customWidth="1"/>
    <col min="6398" max="6398" width="22.7109375" style="3" customWidth="1"/>
    <col min="6399" max="6399" width="9.5703125" style="3" customWidth="1"/>
    <col min="6400" max="6400" width="8.28515625" style="3" customWidth="1"/>
    <col min="6401" max="6403" width="6.140625" style="3" customWidth="1"/>
    <col min="6404" max="6404" width="3.7109375" style="3" customWidth="1"/>
    <col min="6405" max="6405" width="10" style="3" customWidth="1"/>
    <col min="6406" max="6406" width="10.140625" style="3" customWidth="1"/>
    <col min="6407" max="6407" width="13.140625" style="3" customWidth="1"/>
    <col min="6408" max="6410" width="0" style="3" hidden="1" customWidth="1"/>
    <col min="6411" max="6649" width="8.85546875" style="3" customWidth="1"/>
    <col min="6650" max="6650" width="3.5703125" style="3" customWidth="1"/>
    <col min="6651" max="6651" width="0" style="3" hidden="1" customWidth="1"/>
    <col min="6652" max="6652" width="6.85546875" style="3" customWidth="1"/>
    <col min="6653" max="6653" width="8.7109375" style="3" customWidth="1"/>
    <col min="6654" max="6654" width="22.7109375" style="3" customWidth="1"/>
    <col min="6655" max="6655" width="9.5703125" style="3" customWidth="1"/>
    <col min="6656" max="6656" width="8.28515625" style="3" customWidth="1"/>
    <col min="6657" max="6659" width="6.140625" style="3" customWidth="1"/>
    <col min="6660" max="6660" width="3.7109375" style="3" customWidth="1"/>
    <col min="6661" max="6661" width="10" style="3" customWidth="1"/>
    <col min="6662" max="6662" width="10.140625" style="3" customWidth="1"/>
    <col min="6663" max="6663" width="13.140625" style="3" customWidth="1"/>
    <col min="6664" max="6666" width="0" style="3" hidden="1" customWidth="1"/>
    <col min="6667" max="6905" width="8.85546875" style="3" customWidth="1"/>
    <col min="6906" max="6906" width="3.5703125" style="3" customWidth="1"/>
    <col min="6907" max="6907" width="0" style="3" hidden="1" customWidth="1"/>
    <col min="6908" max="6908" width="6.85546875" style="3" customWidth="1"/>
    <col min="6909" max="6909" width="8.7109375" style="3" customWidth="1"/>
    <col min="6910" max="6910" width="22.7109375" style="3" customWidth="1"/>
    <col min="6911" max="6911" width="9.5703125" style="3" customWidth="1"/>
    <col min="6912" max="6912" width="8.28515625" style="3" customWidth="1"/>
    <col min="6913" max="6915" width="6.140625" style="3" customWidth="1"/>
    <col min="6916" max="6916" width="3.7109375" style="3" customWidth="1"/>
    <col min="6917" max="6917" width="10" style="3" customWidth="1"/>
    <col min="6918" max="6918" width="10.140625" style="3" customWidth="1"/>
    <col min="6919" max="6919" width="13.140625" style="3" customWidth="1"/>
    <col min="6920" max="6922" width="0" style="3" hidden="1" customWidth="1"/>
    <col min="6923" max="7161" width="8.85546875" style="3" customWidth="1"/>
    <col min="7162" max="7162" width="3.5703125" style="3" customWidth="1"/>
    <col min="7163" max="7163" width="0" style="3" hidden="1" customWidth="1"/>
    <col min="7164" max="7164" width="6.85546875" style="3" customWidth="1"/>
    <col min="7165" max="7165" width="8.7109375" style="3" customWidth="1"/>
    <col min="7166" max="7166" width="22.7109375" style="3" customWidth="1"/>
    <col min="7167" max="7167" width="9.5703125" style="3" customWidth="1"/>
    <col min="7168" max="7168" width="8.28515625" style="3" customWidth="1"/>
    <col min="7169" max="7171" width="6.140625" style="3" customWidth="1"/>
    <col min="7172" max="7172" width="3.7109375" style="3" customWidth="1"/>
    <col min="7173" max="7173" width="10" style="3" customWidth="1"/>
    <col min="7174" max="7174" width="10.140625" style="3" customWidth="1"/>
    <col min="7175" max="7175" width="13.140625" style="3" customWidth="1"/>
    <col min="7176" max="7178" width="0" style="3" hidden="1" customWidth="1"/>
    <col min="7179" max="7417" width="8.85546875" style="3" customWidth="1"/>
    <col min="7418" max="7418" width="3.5703125" style="3" customWidth="1"/>
    <col min="7419" max="7419" width="0" style="3" hidden="1" customWidth="1"/>
    <col min="7420" max="7420" width="6.85546875" style="3" customWidth="1"/>
    <col min="7421" max="7421" width="8.7109375" style="3" customWidth="1"/>
    <col min="7422" max="7422" width="22.7109375" style="3" customWidth="1"/>
    <col min="7423" max="7423" width="9.5703125" style="3" customWidth="1"/>
    <col min="7424" max="7424" width="8.28515625" style="3" customWidth="1"/>
    <col min="7425" max="7427" width="6.140625" style="3" customWidth="1"/>
    <col min="7428" max="7428" width="3.7109375" style="3" customWidth="1"/>
    <col min="7429" max="7429" width="10" style="3" customWidth="1"/>
    <col min="7430" max="7430" width="10.140625" style="3" customWidth="1"/>
    <col min="7431" max="7431" width="13.140625" style="3" customWidth="1"/>
    <col min="7432" max="7434" width="0" style="3" hidden="1" customWidth="1"/>
    <col min="7435" max="7673" width="8.85546875" style="3" customWidth="1"/>
    <col min="7674" max="7674" width="3.5703125" style="3" customWidth="1"/>
    <col min="7675" max="7675" width="0" style="3" hidden="1" customWidth="1"/>
    <col min="7676" max="7676" width="6.85546875" style="3" customWidth="1"/>
    <col min="7677" max="7677" width="8.7109375" style="3" customWidth="1"/>
    <col min="7678" max="7678" width="22.7109375" style="3" customWidth="1"/>
    <col min="7679" max="7679" width="9.5703125" style="3" customWidth="1"/>
    <col min="7680" max="7680" width="8.28515625" style="3" customWidth="1"/>
    <col min="7681" max="7683" width="6.140625" style="3" customWidth="1"/>
    <col min="7684" max="7684" width="3.7109375" style="3" customWidth="1"/>
    <col min="7685" max="7685" width="10" style="3" customWidth="1"/>
    <col min="7686" max="7686" width="10.140625" style="3" customWidth="1"/>
    <col min="7687" max="7687" width="13.140625" style="3" customWidth="1"/>
    <col min="7688" max="7690" width="0" style="3" hidden="1" customWidth="1"/>
    <col min="7691" max="7929" width="8.85546875" style="3" customWidth="1"/>
    <col min="7930" max="7930" width="3.5703125" style="3" customWidth="1"/>
    <col min="7931" max="7931" width="0" style="3" hidden="1" customWidth="1"/>
    <col min="7932" max="7932" width="6.85546875" style="3" customWidth="1"/>
    <col min="7933" max="7933" width="8.7109375" style="3" customWidth="1"/>
    <col min="7934" max="7934" width="22.7109375" style="3" customWidth="1"/>
    <col min="7935" max="7935" width="9.5703125" style="3" customWidth="1"/>
    <col min="7936" max="7936" width="8.28515625" style="3" customWidth="1"/>
    <col min="7937" max="7939" width="6.140625" style="3" customWidth="1"/>
    <col min="7940" max="7940" width="3.7109375" style="3" customWidth="1"/>
    <col min="7941" max="7941" width="10" style="3" customWidth="1"/>
    <col min="7942" max="7942" width="10.140625" style="3" customWidth="1"/>
    <col min="7943" max="7943" width="13.140625" style="3" customWidth="1"/>
    <col min="7944" max="7946" width="0" style="3" hidden="1" customWidth="1"/>
    <col min="7947" max="8185" width="8.85546875" style="3" customWidth="1"/>
    <col min="8186" max="8186" width="3.5703125" style="3" customWidth="1"/>
    <col min="8187" max="8187" width="0" style="3" hidden="1" customWidth="1"/>
    <col min="8188" max="8188" width="6.85546875" style="3" customWidth="1"/>
    <col min="8189" max="8189" width="8.7109375" style="3" customWidth="1"/>
    <col min="8190" max="8190" width="22.7109375" style="3" customWidth="1"/>
    <col min="8191" max="8191" width="9.5703125" style="3" customWidth="1"/>
    <col min="8192" max="8192" width="8.28515625" style="3" customWidth="1"/>
    <col min="8193" max="8195" width="6.140625" style="3" customWidth="1"/>
    <col min="8196" max="8196" width="3.7109375" style="3" customWidth="1"/>
    <col min="8197" max="8197" width="10" style="3" customWidth="1"/>
    <col min="8198" max="8198" width="10.140625" style="3" customWidth="1"/>
    <col min="8199" max="8199" width="13.140625" style="3" customWidth="1"/>
    <col min="8200" max="8202" width="0" style="3" hidden="1" customWidth="1"/>
    <col min="8203" max="8441" width="8.85546875" style="3" customWidth="1"/>
    <col min="8442" max="8442" width="3.5703125" style="3" customWidth="1"/>
    <col min="8443" max="8443" width="0" style="3" hidden="1" customWidth="1"/>
    <col min="8444" max="8444" width="6.85546875" style="3" customWidth="1"/>
    <col min="8445" max="8445" width="8.7109375" style="3" customWidth="1"/>
    <col min="8446" max="8446" width="22.7109375" style="3" customWidth="1"/>
    <col min="8447" max="8447" width="9.5703125" style="3" customWidth="1"/>
    <col min="8448" max="8448" width="8.28515625" style="3" customWidth="1"/>
    <col min="8449" max="8451" width="6.140625" style="3" customWidth="1"/>
    <col min="8452" max="8452" width="3.7109375" style="3" customWidth="1"/>
    <col min="8453" max="8453" width="10" style="3" customWidth="1"/>
    <col min="8454" max="8454" width="10.140625" style="3" customWidth="1"/>
    <col min="8455" max="8455" width="13.140625" style="3" customWidth="1"/>
    <col min="8456" max="8458" width="0" style="3" hidden="1" customWidth="1"/>
    <col min="8459" max="8697" width="8.85546875" style="3" customWidth="1"/>
    <col min="8698" max="8698" width="3.5703125" style="3" customWidth="1"/>
    <col min="8699" max="8699" width="0" style="3" hidden="1" customWidth="1"/>
    <col min="8700" max="8700" width="6.85546875" style="3" customWidth="1"/>
    <col min="8701" max="8701" width="8.7109375" style="3" customWidth="1"/>
    <col min="8702" max="8702" width="22.7109375" style="3" customWidth="1"/>
    <col min="8703" max="8703" width="9.5703125" style="3" customWidth="1"/>
    <col min="8704" max="8704" width="8.28515625" style="3" customWidth="1"/>
    <col min="8705" max="8707" width="6.140625" style="3" customWidth="1"/>
    <col min="8708" max="8708" width="3.7109375" style="3" customWidth="1"/>
    <col min="8709" max="8709" width="10" style="3" customWidth="1"/>
    <col min="8710" max="8710" width="10.140625" style="3" customWidth="1"/>
    <col min="8711" max="8711" width="13.140625" style="3" customWidth="1"/>
    <col min="8712" max="8714" width="0" style="3" hidden="1" customWidth="1"/>
    <col min="8715" max="8953" width="8.85546875" style="3" customWidth="1"/>
    <col min="8954" max="8954" width="3.5703125" style="3" customWidth="1"/>
    <col min="8955" max="8955" width="0" style="3" hidden="1" customWidth="1"/>
    <col min="8956" max="8956" width="6.85546875" style="3" customWidth="1"/>
    <col min="8957" max="8957" width="8.7109375" style="3" customWidth="1"/>
    <col min="8958" max="8958" width="22.7109375" style="3" customWidth="1"/>
    <col min="8959" max="8959" width="9.5703125" style="3" customWidth="1"/>
    <col min="8960" max="8960" width="8.28515625" style="3" customWidth="1"/>
    <col min="8961" max="8963" width="6.140625" style="3" customWidth="1"/>
    <col min="8964" max="8964" width="3.7109375" style="3" customWidth="1"/>
    <col min="8965" max="8965" width="10" style="3" customWidth="1"/>
    <col min="8966" max="8966" width="10.140625" style="3" customWidth="1"/>
    <col min="8967" max="8967" width="13.140625" style="3" customWidth="1"/>
    <col min="8968" max="8970" width="0" style="3" hidden="1" customWidth="1"/>
    <col min="8971" max="9209" width="8.85546875" style="3" customWidth="1"/>
    <col min="9210" max="9210" width="3.5703125" style="3" customWidth="1"/>
    <col min="9211" max="9211" width="0" style="3" hidden="1" customWidth="1"/>
    <col min="9212" max="9212" width="6.85546875" style="3" customWidth="1"/>
    <col min="9213" max="9213" width="8.7109375" style="3" customWidth="1"/>
    <col min="9214" max="9214" width="22.7109375" style="3" customWidth="1"/>
    <col min="9215" max="9215" width="9.5703125" style="3" customWidth="1"/>
    <col min="9216" max="9216" width="8.28515625" style="3" customWidth="1"/>
    <col min="9217" max="9219" width="6.140625" style="3" customWidth="1"/>
    <col min="9220" max="9220" width="3.7109375" style="3" customWidth="1"/>
    <col min="9221" max="9221" width="10" style="3" customWidth="1"/>
    <col min="9222" max="9222" width="10.140625" style="3" customWidth="1"/>
    <col min="9223" max="9223" width="13.140625" style="3" customWidth="1"/>
    <col min="9224" max="9226" width="0" style="3" hidden="1" customWidth="1"/>
    <col min="9227" max="9465" width="8.85546875" style="3" customWidth="1"/>
    <col min="9466" max="9466" width="3.5703125" style="3" customWidth="1"/>
    <col min="9467" max="9467" width="0" style="3" hidden="1" customWidth="1"/>
    <col min="9468" max="9468" width="6.85546875" style="3" customWidth="1"/>
    <col min="9469" max="9469" width="8.7109375" style="3" customWidth="1"/>
    <col min="9470" max="9470" width="22.7109375" style="3" customWidth="1"/>
    <col min="9471" max="9471" width="9.5703125" style="3" customWidth="1"/>
    <col min="9472" max="9472" width="8.28515625" style="3" customWidth="1"/>
    <col min="9473" max="9475" width="6.140625" style="3" customWidth="1"/>
    <col min="9476" max="9476" width="3.7109375" style="3" customWidth="1"/>
    <col min="9477" max="9477" width="10" style="3" customWidth="1"/>
    <col min="9478" max="9478" width="10.140625" style="3" customWidth="1"/>
    <col min="9479" max="9479" width="13.140625" style="3" customWidth="1"/>
    <col min="9480" max="9482" width="0" style="3" hidden="1" customWidth="1"/>
    <col min="9483" max="9721" width="8.85546875" style="3" customWidth="1"/>
    <col min="9722" max="9722" width="3.5703125" style="3" customWidth="1"/>
    <col min="9723" max="9723" width="0" style="3" hidden="1" customWidth="1"/>
    <col min="9724" max="9724" width="6.85546875" style="3" customWidth="1"/>
    <col min="9725" max="9725" width="8.7109375" style="3" customWidth="1"/>
    <col min="9726" max="9726" width="22.7109375" style="3" customWidth="1"/>
    <col min="9727" max="9727" width="9.5703125" style="3" customWidth="1"/>
    <col min="9728" max="9728" width="8.28515625" style="3" customWidth="1"/>
    <col min="9729" max="9731" width="6.140625" style="3" customWidth="1"/>
    <col min="9732" max="9732" width="3.7109375" style="3" customWidth="1"/>
    <col min="9733" max="9733" width="10" style="3" customWidth="1"/>
    <col min="9734" max="9734" width="10.140625" style="3" customWidth="1"/>
    <col min="9735" max="9735" width="13.140625" style="3" customWidth="1"/>
    <col min="9736" max="9738" width="0" style="3" hidden="1" customWidth="1"/>
    <col min="9739" max="9977" width="8.85546875" style="3" customWidth="1"/>
    <col min="9978" max="9978" width="3.5703125" style="3" customWidth="1"/>
    <col min="9979" max="9979" width="0" style="3" hidden="1" customWidth="1"/>
    <col min="9980" max="9980" width="6.85546875" style="3" customWidth="1"/>
    <col min="9981" max="9981" width="8.7109375" style="3" customWidth="1"/>
    <col min="9982" max="9982" width="22.7109375" style="3" customWidth="1"/>
    <col min="9983" max="9983" width="9.5703125" style="3" customWidth="1"/>
    <col min="9984" max="9984" width="8.28515625" style="3" customWidth="1"/>
    <col min="9985" max="9987" width="6.140625" style="3" customWidth="1"/>
    <col min="9988" max="9988" width="3.7109375" style="3" customWidth="1"/>
    <col min="9989" max="9989" width="10" style="3" customWidth="1"/>
    <col min="9990" max="9990" width="10.140625" style="3" customWidth="1"/>
    <col min="9991" max="9991" width="13.140625" style="3" customWidth="1"/>
    <col min="9992" max="9994" width="0" style="3" hidden="1" customWidth="1"/>
    <col min="9995" max="10233" width="8.85546875" style="3" customWidth="1"/>
    <col min="10234" max="10234" width="3.5703125" style="3" customWidth="1"/>
    <col min="10235" max="10235" width="0" style="3" hidden="1" customWidth="1"/>
    <col min="10236" max="10236" width="6.85546875" style="3" customWidth="1"/>
    <col min="10237" max="10237" width="8.7109375" style="3" customWidth="1"/>
    <col min="10238" max="10238" width="22.7109375" style="3" customWidth="1"/>
    <col min="10239" max="10239" width="9.5703125" style="3" customWidth="1"/>
    <col min="10240" max="10240" width="8.28515625" style="3" customWidth="1"/>
    <col min="10241" max="10243" width="6.140625" style="3" customWidth="1"/>
    <col min="10244" max="10244" width="3.7109375" style="3" customWidth="1"/>
    <col min="10245" max="10245" width="10" style="3" customWidth="1"/>
    <col min="10246" max="10246" width="10.140625" style="3" customWidth="1"/>
    <col min="10247" max="10247" width="13.140625" style="3" customWidth="1"/>
    <col min="10248" max="10250" width="0" style="3" hidden="1" customWidth="1"/>
    <col min="10251" max="10489" width="8.85546875" style="3" customWidth="1"/>
    <col min="10490" max="10490" width="3.5703125" style="3" customWidth="1"/>
    <col min="10491" max="10491" width="0" style="3" hidden="1" customWidth="1"/>
    <col min="10492" max="10492" width="6.85546875" style="3" customWidth="1"/>
    <col min="10493" max="10493" width="8.7109375" style="3" customWidth="1"/>
    <col min="10494" max="10494" width="22.7109375" style="3" customWidth="1"/>
    <col min="10495" max="10495" width="9.5703125" style="3" customWidth="1"/>
    <col min="10496" max="10496" width="8.28515625" style="3" customWidth="1"/>
    <col min="10497" max="10499" width="6.140625" style="3" customWidth="1"/>
    <col min="10500" max="10500" width="3.7109375" style="3" customWidth="1"/>
    <col min="10501" max="10501" width="10" style="3" customWidth="1"/>
    <col min="10502" max="10502" width="10.140625" style="3" customWidth="1"/>
    <col min="10503" max="10503" width="13.140625" style="3" customWidth="1"/>
    <col min="10504" max="10506" width="0" style="3" hidden="1" customWidth="1"/>
    <col min="10507" max="10745" width="8.85546875" style="3" customWidth="1"/>
    <col min="10746" max="10746" width="3.5703125" style="3" customWidth="1"/>
    <col min="10747" max="10747" width="0" style="3" hidden="1" customWidth="1"/>
    <col min="10748" max="10748" width="6.85546875" style="3" customWidth="1"/>
    <col min="10749" max="10749" width="8.7109375" style="3" customWidth="1"/>
    <col min="10750" max="10750" width="22.7109375" style="3" customWidth="1"/>
    <col min="10751" max="10751" width="9.5703125" style="3" customWidth="1"/>
    <col min="10752" max="10752" width="8.28515625" style="3" customWidth="1"/>
    <col min="10753" max="10755" width="6.140625" style="3" customWidth="1"/>
    <col min="10756" max="10756" width="3.7109375" style="3" customWidth="1"/>
    <col min="10757" max="10757" width="10" style="3" customWidth="1"/>
    <col min="10758" max="10758" width="10.140625" style="3" customWidth="1"/>
    <col min="10759" max="10759" width="13.140625" style="3" customWidth="1"/>
    <col min="10760" max="10762" width="0" style="3" hidden="1" customWidth="1"/>
    <col min="10763" max="11001" width="8.85546875" style="3" customWidth="1"/>
    <col min="11002" max="11002" width="3.5703125" style="3" customWidth="1"/>
    <col min="11003" max="11003" width="0" style="3" hidden="1" customWidth="1"/>
    <col min="11004" max="11004" width="6.85546875" style="3" customWidth="1"/>
    <col min="11005" max="11005" width="8.7109375" style="3" customWidth="1"/>
    <col min="11006" max="11006" width="22.7109375" style="3" customWidth="1"/>
    <col min="11007" max="11007" width="9.5703125" style="3" customWidth="1"/>
    <col min="11008" max="11008" width="8.28515625" style="3" customWidth="1"/>
    <col min="11009" max="11011" width="6.140625" style="3" customWidth="1"/>
    <col min="11012" max="11012" width="3.7109375" style="3" customWidth="1"/>
    <col min="11013" max="11013" width="10" style="3" customWidth="1"/>
    <col min="11014" max="11014" width="10.140625" style="3" customWidth="1"/>
    <col min="11015" max="11015" width="13.140625" style="3" customWidth="1"/>
    <col min="11016" max="11018" width="0" style="3" hidden="1" customWidth="1"/>
    <col min="11019" max="11257" width="8.85546875" style="3" customWidth="1"/>
    <col min="11258" max="11258" width="3.5703125" style="3" customWidth="1"/>
    <col min="11259" max="11259" width="0" style="3" hidden="1" customWidth="1"/>
    <col min="11260" max="11260" width="6.85546875" style="3" customWidth="1"/>
    <col min="11261" max="11261" width="8.7109375" style="3" customWidth="1"/>
    <col min="11262" max="11262" width="22.7109375" style="3" customWidth="1"/>
    <col min="11263" max="11263" width="9.5703125" style="3" customWidth="1"/>
    <col min="11264" max="11264" width="8.28515625" style="3" customWidth="1"/>
    <col min="11265" max="11267" width="6.140625" style="3" customWidth="1"/>
    <col min="11268" max="11268" width="3.7109375" style="3" customWidth="1"/>
    <col min="11269" max="11269" width="10" style="3" customWidth="1"/>
    <col min="11270" max="11270" width="10.140625" style="3" customWidth="1"/>
    <col min="11271" max="11271" width="13.140625" style="3" customWidth="1"/>
    <col min="11272" max="11274" width="0" style="3" hidden="1" customWidth="1"/>
    <col min="11275" max="11513" width="8.85546875" style="3" customWidth="1"/>
    <col min="11514" max="11514" width="3.5703125" style="3" customWidth="1"/>
    <col min="11515" max="11515" width="0" style="3" hidden="1" customWidth="1"/>
    <col min="11516" max="11516" width="6.85546875" style="3" customWidth="1"/>
    <col min="11517" max="11517" width="8.7109375" style="3" customWidth="1"/>
    <col min="11518" max="11518" width="22.7109375" style="3" customWidth="1"/>
    <col min="11519" max="11519" width="9.5703125" style="3" customWidth="1"/>
    <col min="11520" max="11520" width="8.28515625" style="3" customWidth="1"/>
    <col min="11521" max="11523" width="6.140625" style="3" customWidth="1"/>
    <col min="11524" max="11524" width="3.7109375" style="3" customWidth="1"/>
    <col min="11525" max="11525" width="10" style="3" customWidth="1"/>
    <col min="11526" max="11526" width="10.140625" style="3" customWidth="1"/>
    <col min="11527" max="11527" width="13.140625" style="3" customWidth="1"/>
    <col min="11528" max="11530" width="0" style="3" hidden="1" customWidth="1"/>
    <col min="11531" max="11769" width="8.85546875" style="3" customWidth="1"/>
    <col min="11770" max="11770" width="3.5703125" style="3" customWidth="1"/>
    <col min="11771" max="11771" width="0" style="3" hidden="1" customWidth="1"/>
    <col min="11772" max="11772" width="6.85546875" style="3" customWidth="1"/>
    <col min="11773" max="11773" width="8.7109375" style="3" customWidth="1"/>
    <col min="11774" max="11774" width="22.7109375" style="3" customWidth="1"/>
    <col min="11775" max="11775" width="9.5703125" style="3" customWidth="1"/>
    <col min="11776" max="11776" width="8.28515625" style="3" customWidth="1"/>
    <col min="11777" max="11779" width="6.140625" style="3" customWidth="1"/>
    <col min="11780" max="11780" width="3.7109375" style="3" customWidth="1"/>
    <col min="11781" max="11781" width="10" style="3" customWidth="1"/>
    <col min="11782" max="11782" width="10.140625" style="3" customWidth="1"/>
    <col min="11783" max="11783" width="13.140625" style="3" customWidth="1"/>
    <col min="11784" max="11786" width="0" style="3" hidden="1" customWidth="1"/>
    <col min="11787" max="12025" width="8.85546875" style="3" customWidth="1"/>
    <col min="12026" max="12026" width="3.5703125" style="3" customWidth="1"/>
    <col min="12027" max="12027" width="0" style="3" hidden="1" customWidth="1"/>
    <col min="12028" max="12028" width="6.85546875" style="3" customWidth="1"/>
    <col min="12029" max="12029" width="8.7109375" style="3" customWidth="1"/>
    <col min="12030" max="12030" width="22.7109375" style="3" customWidth="1"/>
    <col min="12031" max="12031" width="9.5703125" style="3" customWidth="1"/>
    <col min="12032" max="12032" width="8.28515625" style="3" customWidth="1"/>
    <col min="12033" max="12035" width="6.140625" style="3" customWidth="1"/>
    <col min="12036" max="12036" width="3.7109375" style="3" customWidth="1"/>
    <col min="12037" max="12037" width="10" style="3" customWidth="1"/>
    <col min="12038" max="12038" width="10.140625" style="3" customWidth="1"/>
    <col min="12039" max="12039" width="13.140625" style="3" customWidth="1"/>
    <col min="12040" max="12042" width="0" style="3" hidden="1" customWidth="1"/>
    <col min="12043" max="12281" width="8.85546875" style="3" customWidth="1"/>
    <col min="12282" max="12282" width="3.5703125" style="3" customWidth="1"/>
    <col min="12283" max="12283" width="0" style="3" hidden="1" customWidth="1"/>
    <col min="12284" max="12284" width="6.85546875" style="3" customWidth="1"/>
    <col min="12285" max="12285" width="8.7109375" style="3" customWidth="1"/>
    <col min="12286" max="12286" width="22.7109375" style="3" customWidth="1"/>
    <col min="12287" max="12287" width="9.5703125" style="3" customWidth="1"/>
    <col min="12288" max="12288" width="8.28515625" style="3" customWidth="1"/>
    <col min="12289" max="12291" width="6.140625" style="3" customWidth="1"/>
    <col min="12292" max="12292" width="3.7109375" style="3" customWidth="1"/>
    <col min="12293" max="12293" width="10" style="3" customWidth="1"/>
    <col min="12294" max="12294" width="10.140625" style="3" customWidth="1"/>
    <col min="12295" max="12295" width="13.140625" style="3" customWidth="1"/>
    <col min="12296" max="12298" width="0" style="3" hidden="1" customWidth="1"/>
    <col min="12299" max="12537" width="8.85546875" style="3" customWidth="1"/>
    <col min="12538" max="12538" width="3.5703125" style="3" customWidth="1"/>
    <col min="12539" max="12539" width="0" style="3" hidden="1" customWidth="1"/>
    <col min="12540" max="12540" width="6.85546875" style="3" customWidth="1"/>
    <col min="12541" max="12541" width="8.7109375" style="3" customWidth="1"/>
    <col min="12542" max="12542" width="22.7109375" style="3" customWidth="1"/>
    <col min="12543" max="12543" width="9.5703125" style="3" customWidth="1"/>
    <col min="12544" max="12544" width="8.28515625" style="3" customWidth="1"/>
    <col min="12545" max="12547" width="6.140625" style="3" customWidth="1"/>
    <col min="12548" max="12548" width="3.7109375" style="3" customWidth="1"/>
    <col min="12549" max="12549" width="10" style="3" customWidth="1"/>
    <col min="12550" max="12550" width="10.140625" style="3" customWidth="1"/>
    <col min="12551" max="12551" width="13.140625" style="3" customWidth="1"/>
    <col min="12552" max="12554" width="0" style="3" hidden="1" customWidth="1"/>
    <col min="12555" max="12793" width="8.85546875" style="3" customWidth="1"/>
    <col min="12794" max="12794" width="3.5703125" style="3" customWidth="1"/>
    <col min="12795" max="12795" width="0" style="3" hidden="1" customWidth="1"/>
    <col min="12796" max="12796" width="6.85546875" style="3" customWidth="1"/>
    <col min="12797" max="12797" width="8.7109375" style="3" customWidth="1"/>
    <col min="12798" max="12798" width="22.7109375" style="3" customWidth="1"/>
    <col min="12799" max="12799" width="9.5703125" style="3" customWidth="1"/>
    <col min="12800" max="12800" width="8.28515625" style="3" customWidth="1"/>
    <col min="12801" max="12803" width="6.140625" style="3" customWidth="1"/>
    <col min="12804" max="12804" width="3.7109375" style="3" customWidth="1"/>
    <col min="12805" max="12805" width="10" style="3" customWidth="1"/>
    <col min="12806" max="12806" width="10.140625" style="3" customWidth="1"/>
    <col min="12807" max="12807" width="13.140625" style="3" customWidth="1"/>
    <col min="12808" max="12810" width="0" style="3" hidden="1" customWidth="1"/>
    <col min="12811" max="13049" width="8.85546875" style="3" customWidth="1"/>
    <col min="13050" max="13050" width="3.5703125" style="3" customWidth="1"/>
    <col min="13051" max="13051" width="0" style="3" hidden="1" customWidth="1"/>
    <col min="13052" max="13052" width="6.85546875" style="3" customWidth="1"/>
    <col min="13053" max="13053" width="8.7109375" style="3" customWidth="1"/>
    <col min="13054" max="13054" width="22.7109375" style="3" customWidth="1"/>
    <col min="13055" max="13055" width="9.5703125" style="3" customWidth="1"/>
    <col min="13056" max="13056" width="8.28515625" style="3" customWidth="1"/>
    <col min="13057" max="13059" width="6.140625" style="3" customWidth="1"/>
    <col min="13060" max="13060" width="3.7109375" style="3" customWidth="1"/>
    <col min="13061" max="13061" width="10" style="3" customWidth="1"/>
    <col min="13062" max="13062" width="10.140625" style="3" customWidth="1"/>
    <col min="13063" max="13063" width="13.140625" style="3" customWidth="1"/>
    <col min="13064" max="13066" width="0" style="3" hidden="1" customWidth="1"/>
    <col min="13067" max="13305" width="8.85546875" style="3" customWidth="1"/>
    <col min="13306" max="13306" width="3.5703125" style="3" customWidth="1"/>
    <col min="13307" max="13307" width="0" style="3" hidden="1" customWidth="1"/>
    <col min="13308" max="13308" width="6.85546875" style="3" customWidth="1"/>
    <col min="13309" max="13309" width="8.7109375" style="3" customWidth="1"/>
    <col min="13310" max="13310" width="22.7109375" style="3" customWidth="1"/>
    <col min="13311" max="13311" width="9.5703125" style="3" customWidth="1"/>
    <col min="13312" max="13312" width="8.28515625" style="3" customWidth="1"/>
    <col min="13313" max="13315" width="6.140625" style="3" customWidth="1"/>
    <col min="13316" max="13316" width="3.7109375" style="3" customWidth="1"/>
    <col min="13317" max="13317" width="10" style="3" customWidth="1"/>
    <col min="13318" max="13318" width="10.140625" style="3" customWidth="1"/>
    <col min="13319" max="13319" width="13.140625" style="3" customWidth="1"/>
    <col min="13320" max="13322" width="0" style="3" hidden="1" customWidth="1"/>
    <col min="13323" max="13561" width="8.85546875" style="3" customWidth="1"/>
    <col min="13562" max="13562" width="3.5703125" style="3" customWidth="1"/>
    <col min="13563" max="13563" width="0" style="3" hidden="1" customWidth="1"/>
    <col min="13564" max="13564" width="6.85546875" style="3" customWidth="1"/>
    <col min="13565" max="13565" width="8.7109375" style="3" customWidth="1"/>
    <col min="13566" max="13566" width="22.7109375" style="3" customWidth="1"/>
    <col min="13567" max="13567" width="9.5703125" style="3" customWidth="1"/>
    <col min="13568" max="13568" width="8.28515625" style="3" customWidth="1"/>
    <col min="13569" max="13571" width="6.140625" style="3" customWidth="1"/>
    <col min="13572" max="13572" width="3.7109375" style="3" customWidth="1"/>
    <col min="13573" max="13573" width="10" style="3" customWidth="1"/>
    <col min="13574" max="13574" width="10.140625" style="3" customWidth="1"/>
    <col min="13575" max="13575" width="13.140625" style="3" customWidth="1"/>
    <col min="13576" max="13578" width="0" style="3" hidden="1" customWidth="1"/>
    <col min="13579" max="13817" width="8.85546875" style="3" customWidth="1"/>
    <col min="13818" max="13818" width="3.5703125" style="3" customWidth="1"/>
    <col min="13819" max="13819" width="0" style="3" hidden="1" customWidth="1"/>
    <col min="13820" max="13820" width="6.85546875" style="3" customWidth="1"/>
    <col min="13821" max="13821" width="8.7109375" style="3" customWidth="1"/>
    <col min="13822" max="13822" width="22.7109375" style="3" customWidth="1"/>
    <col min="13823" max="13823" width="9.5703125" style="3" customWidth="1"/>
    <col min="13824" max="13824" width="8.28515625" style="3" customWidth="1"/>
    <col min="13825" max="13827" width="6.140625" style="3" customWidth="1"/>
    <col min="13828" max="13828" width="3.7109375" style="3" customWidth="1"/>
    <col min="13829" max="13829" width="10" style="3" customWidth="1"/>
    <col min="13830" max="13830" width="10.140625" style="3" customWidth="1"/>
    <col min="13831" max="13831" width="13.140625" style="3" customWidth="1"/>
    <col min="13832" max="13834" width="0" style="3" hidden="1" customWidth="1"/>
    <col min="13835" max="14073" width="8.85546875" style="3" customWidth="1"/>
    <col min="14074" max="14074" width="3.5703125" style="3" customWidth="1"/>
    <col min="14075" max="14075" width="0" style="3" hidden="1" customWidth="1"/>
    <col min="14076" max="14076" width="6.85546875" style="3" customWidth="1"/>
    <col min="14077" max="14077" width="8.7109375" style="3" customWidth="1"/>
    <col min="14078" max="14078" width="22.7109375" style="3" customWidth="1"/>
    <col min="14079" max="14079" width="9.5703125" style="3" customWidth="1"/>
    <col min="14080" max="14080" width="8.28515625" style="3" customWidth="1"/>
    <col min="14081" max="14083" width="6.140625" style="3" customWidth="1"/>
    <col min="14084" max="14084" width="3.7109375" style="3" customWidth="1"/>
    <col min="14085" max="14085" width="10" style="3" customWidth="1"/>
    <col min="14086" max="14086" width="10.140625" style="3" customWidth="1"/>
    <col min="14087" max="14087" width="13.140625" style="3" customWidth="1"/>
    <col min="14088" max="14090" width="0" style="3" hidden="1" customWidth="1"/>
    <col min="14091" max="14329" width="8.85546875" style="3" customWidth="1"/>
    <col min="14330" max="14330" width="3.5703125" style="3" customWidth="1"/>
    <col min="14331" max="14331" width="0" style="3" hidden="1" customWidth="1"/>
    <col min="14332" max="14332" width="6.85546875" style="3" customWidth="1"/>
    <col min="14333" max="14333" width="8.7109375" style="3" customWidth="1"/>
    <col min="14334" max="14334" width="22.7109375" style="3" customWidth="1"/>
    <col min="14335" max="14335" width="9.5703125" style="3" customWidth="1"/>
    <col min="14336" max="14336" width="8.28515625" style="3" customWidth="1"/>
    <col min="14337" max="14339" width="6.140625" style="3" customWidth="1"/>
    <col min="14340" max="14340" width="3.7109375" style="3" customWidth="1"/>
    <col min="14341" max="14341" width="10" style="3" customWidth="1"/>
    <col min="14342" max="14342" width="10.140625" style="3" customWidth="1"/>
    <col min="14343" max="14343" width="13.140625" style="3" customWidth="1"/>
    <col min="14344" max="14346" width="0" style="3" hidden="1" customWidth="1"/>
    <col min="14347" max="14585" width="8.85546875" style="3" customWidth="1"/>
    <col min="14586" max="14586" width="3.5703125" style="3" customWidth="1"/>
    <col min="14587" max="14587" width="0" style="3" hidden="1" customWidth="1"/>
    <col min="14588" max="14588" width="6.85546875" style="3" customWidth="1"/>
    <col min="14589" max="14589" width="8.7109375" style="3" customWidth="1"/>
    <col min="14590" max="14590" width="22.7109375" style="3" customWidth="1"/>
    <col min="14591" max="14591" width="9.5703125" style="3" customWidth="1"/>
    <col min="14592" max="14592" width="8.28515625" style="3" customWidth="1"/>
    <col min="14593" max="14595" width="6.140625" style="3" customWidth="1"/>
    <col min="14596" max="14596" width="3.7109375" style="3" customWidth="1"/>
    <col min="14597" max="14597" width="10" style="3" customWidth="1"/>
    <col min="14598" max="14598" width="10.140625" style="3" customWidth="1"/>
    <col min="14599" max="14599" width="13.140625" style="3" customWidth="1"/>
    <col min="14600" max="14602" width="0" style="3" hidden="1" customWidth="1"/>
    <col min="14603" max="14841" width="8.85546875" style="3" customWidth="1"/>
    <col min="14842" max="14842" width="3.5703125" style="3" customWidth="1"/>
    <col min="14843" max="14843" width="0" style="3" hidden="1" customWidth="1"/>
    <col min="14844" max="14844" width="6.85546875" style="3" customWidth="1"/>
    <col min="14845" max="14845" width="8.7109375" style="3" customWidth="1"/>
    <col min="14846" max="14846" width="22.7109375" style="3" customWidth="1"/>
    <col min="14847" max="14847" width="9.5703125" style="3" customWidth="1"/>
    <col min="14848" max="14848" width="8.28515625" style="3" customWidth="1"/>
    <col min="14849" max="14851" width="6.140625" style="3" customWidth="1"/>
    <col min="14852" max="14852" width="3.7109375" style="3" customWidth="1"/>
    <col min="14853" max="14853" width="10" style="3" customWidth="1"/>
    <col min="14854" max="14854" width="10.140625" style="3" customWidth="1"/>
    <col min="14855" max="14855" width="13.140625" style="3" customWidth="1"/>
    <col min="14856" max="14858" width="0" style="3" hidden="1" customWidth="1"/>
    <col min="14859" max="15097" width="8.85546875" style="3" customWidth="1"/>
    <col min="15098" max="15098" width="3.5703125" style="3" customWidth="1"/>
    <col min="15099" max="15099" width="0" style="3" hidden="1" customWidth="1"/>
    <col min="15100" max="15100" width="6.85546875" style="3" customWidth="1"/>
    <col min="15101" max="15101" width="8.7109375" style="3" customWidth="1"/>
    <col min="15102" max="15102" width="22.7109375" style="3" customWidth="1"/>
    <col min="15103" max="15103" width="9.5703125" style="3" customWidth="1"/>
    <col min="15104" max="15104" width="8.28515625" style="3" customWidth="1"/>
    <col min="15105" max="15107" width="6.140625" style="3" customWidth="1"/>
    <col min="15108" max="15108" width="3.7109375" style="3" customWidth="1"/>
    <col min="15109" max="15109" width="10" style="3" customWidth="1"/>
    <col min="15110" max="15110" width="10.140625" style="3" customWidth="1"/>
    <col min="15111" max="15111" width="13.140625" style="3" customWidth="1"/>
    <col min="15112" max="15114" width="0" style="3" hidden="1" customWidth="1"/>
    <col min="15115" max="15353" width="8.85546875" style="3" customWidth="1"/>
    <col min="15354" max="15354" width="3.5703125" style="3" customWidth="1"/>
    <col min="15355" max="15355" width="0" style="3" hidden="1" customWidth="1"/>
    <col min="15356" max="15356" width="6.85546875" style="3" customWidth="1"/>
    <col min="15357" max="15357" width="8.7109375" style="3" customWidth="1"/>
    <col min="15358" max="15358" width="22.7109375" style="3" customWidth="1"/>
    <col min="15359" max="15359" width="9.5703125" style="3" customWidth="1"/>
    <col min="15360" max="15360" width="8.28515625" style="3" customWidth="1"/>
    <col min="15361" max="15363" width="6.140625" style="3" customWidth="1"/>
    <col min="15364" max="15364" width="3.7109375" style="3" customWidth="1"/>
    <col min="15365" max="15365" width="10" style="3" customWidth="1"/>
    <col min="15366" max="15366" width="10.140625" style="3" customWidth="1"/>
    <col min="15367" max="15367" width="13.140625" style="3" customWidth="1"/>
    <col min="15368" max="15370" width="0" style="3" hidden="1" customWidth="1"/>
    <col min="15371" max="15609" width="8.85546875" style="3" customWidth="1"/>
    <col min="15610" max="15610" width="3.5703125" style="3" customWidth="1"/>
    <col min="15611" max="15611" width="0" style="3" hidden="1" customWidth="1"/>
    <col min="15612" max="15612" width="6.85546875" style="3" customWidth="1"/>
    <col min="15613" max="15613" width="8.7109375" style="3" customWidth="1"/>
    <col min="15614" max="15614" width="22.7109375" style="3" customWidth="1"/>
    <col min="15615" max="15615" width="9.5703125" style="3" customWidth="1"/>
    <col min="15616" max="15616" width="8.28515625" style="3" customWidth="1"/>
    <col min="15617" max="15619" width="6.140625" style="3" customWidth="1"/>
    <col min="15620" max="15620" width="3.7109375" style="3" customWidth="1"/>
    <col min="15621" max="15621" width="10" style="3" customWidth="1"/>
    <col min="15622" max="15622" width="10.140625" style="3" customWidth="1"/>
    <col min="15623" max="15623" width="13.140625" style="3" customWidth="1"/>
    <col min="15624" max="15626" width="0" style="3" hidden="1" customWidth="1"/>
    <col min="15627" max="15865" width="8.85546875" style="3" customWidth="1"/>
    <col min="15866" max="15866" width="3.5703125" style="3" customWidth="1"/>
    <col min="15867" max="15867" width="0" style="3" hidden="1" customWidth="1"/>
    <col min="15868" max="15868" width="6.85546875" style="3" customWidth="1"/>
    <col min="15869" max="15869" width="8.7109375" style="3" customWidth="1"/>
    <col min="15870" max="15870" width="22.7109375" style="3" customWidth="1"/>
    <col min="15871" max="15871" width="9.5703125" style="3" customWidth="1"/>
    <col min="15872" max="15872" width="8.28515625" style="3" customWidth="1"/>
    <col min="15873" max="15875" width="6.140625" style="3" customWidth="1"/>
    <col min="15876" max="15876" width="3.7109375" style="3" customWidth="1"/>
    <col min="15877" max="15877" width="10" style="3" customWidth="1"/>
    <col min="15878" max="15878" width="10.140625" style="3" customWidth="1"/>
    <col min="15879" max="15879" width="13.140625" style="3" customWidth="1"/>
    <col min="15880" max="15882" width="0" style="3" hidden="1" customWidth="1"/>
    <col min="15883" max="16121" width="8.85546875" style="3" customWidth="1"/>
    <col min="16122" max="16122" width="3.5703125" style="3" customWidth="1"/>
    <col min="16123" max="16123" width="0" style="3" hidden="1" customWidth="1"/>
    <col min="16124" max="16124" width="6.85546875" style="3" customWidth="1"/>
    <col min="16125" max="16125" width="8.7109375" style="3" customWidth="1"/>
    <col min="16126" max="16126" width="22.7109375" style="3" customWidth="1"/>
    <col min="16127" max="16127" width="9.5703125" style="3" customWidth="1"/>
    <col min="16128" max="16128" width="8.28515625" style="3" customWidth="1"/>
    <col min="16129" max="16131" width="6.140625" style="3" customWidth="1"/>
    <col min="16132" max="16132" width="3.7109375" style="3" customWidth="1"/>
    <col min="16133" max="16133" width="10" style="3" customWidth="1"/>
    <col min="16134" max="16134" width="10.140625" style="3" customWidth="1"/>
    <col min="16135" max="16135" width="13.140625" style="3" customWidth="1"/>
    <col min="16136" max="16138" width="0" style="3" hidden="1" customWidth="1"/>
    <col min="16139" max="16139" width="8.85546875" style="3" customWidth="1"/>
  </cols>
  <sheetData>
    <row r="1" spans="1:16139" ht="24" customHeight="1" x14ac:dyDescent="0.25">
      <c r="A1" s="147" t="s">
        <v>0</v>
      </c>
      <c r="B1" s="147"/>
      <c r="C1" s="147"/>
      <c r="D1" s="147"/>
      <c r="E1" s="147"/>
      <c r="F1" s="147"/>
      <c r="G1" s="147"/>
      <c r="H1" s="147"/>
      <c r="I1" s="147"/>
      <c r="J1" s="147"/>
      <c r="K1" s="29"/>
      <c r="L1" s="1"/>
    </row>
    <row r="2" spans="1:16139" ht="19.5" customHeight="1" x14ac:dyDescent="0.25">
      <c r="A2" s="148" t="s">
        <v>1</v>
      </c>
      <c r="B2" s="148"/>
      <c r="C2" s="148"/>
      <c r="D2" s="148"/>
      <c r="E2" s="148"/>
      <c r="F2" s="148"/>
      <c r="G2" s="148"/>
      <c r="H2" s="148"/>
      <c r="I2" s="148"/>
      <c r="J2" s="148"/>
      <c r="K2" s="30"/>
      <c r="L2" s="2"/>
    </row>
    <row r="3" spans="1:16139" ht="19.5" customHeight="1" x14ac:dyDescent="0.25">
      <c r="A3" s="148" t="s">
        <v>2</v>
      </c>
      <c r="B3" s="148"/>
      <c r="C3" s="148"/>
      <c r="D3" s="148"/>
      <c r="E3" s="148"/>
      <c r="F3" s="148"/>
      <c r="G3" s="148"/>
      <c r="H3" s="148"/>
      <c r="I3" s="148"/>
      <c r="J3" s="148"/>
      <c r="K3" s="30"/>
      <c r="L3" s="2"/>
    </row>
    <row r="4" spans="1:16139" ht="19.5" customHeight="1" x14ac:dyDescent="0.25">
      <c r="A4" s="148" t="s">
        <v>3</v>
      </c>
      <c r="B4" s="148"/>
      <c r="C4" s="148"/>
      <c r="D4" s="148"/>
      <c r="E4" s="148"/>
      <c r="F4" s="148"/>
      <c r="G4" s="148"/>
      <c r="H4" s="148"/>
      <c r="I4" s="148"/>
      <c r="J4" s="148"/>
      <c r="K4" s="30"/>
      <c r="L4" s="2"/>
    </row>
    <row r="5" spans="1:16139" ht="22.5" customHeight="1" x14ac:dyDescent="0.25">
      <c r="A5" s="148" t="s">
        <v>4</v>
      </c>
      <c r="B5" s="148"/>
      <c r="C5" s="148"/>
      <c r="D5" s="148"/>
      <c r="E5" s="148"/>
      <c r="F5" s="148"/>
      <c r="G5" s="148"/>
      <c r="H5" s="148"/>
      <c r="I5" s="148"/>
      <c r="J5" s="148"/>
      <c r="K5" s="30"/>
      <c r="L5" s="2"/>
    </row>
    <row r="6" spans="1:16139" s="5" customFormat="1" ht="30" customHeight="1" x14ac:dyDescent="0.2">
      <c r="A6" s="146" t="s">
        <v>5</v>
      </c>
      <c r="B6" s="146"/>
      <c r="C6" s="146"/>
      <c r="D6" s="146"/>
      <c r="E6" s="146"/>
      <c r="F6" s="146"/>
      <c r="G6" s="146"/>
      <c r="H6" s="146"/>
      <c r="I6" s="146"/>
      <c r="J6" s="146"/>
      <c r="K6" s="146"/>
      <c r="L6" s="146"/>
    </row>
    <row r="7" spans="1:16139" s="4" customFormat="1" ht="19.5" customHeight="1" x14ac:dyDescent="0.25">
      <c r="A7" s="143" t="s">
        <v>210</v>
      </c>
      <c r="B7" s="143"/>
      <c r="C7" s="143"/>
      <c r="D7" s="143"/>
      <c r="E7" s="143"/>
      <c r="F7" s="143" t="s">
        <v>6</v>
      </c>
      <c r="G7" s="143"/>
      <c r="H7" s="143"/>
      <c r="I7" s="143"/>
      <c r="J7" s="32"/>
      <c r="K7" s="31" t="s">
        <v>7</v>
      </c>
      <c r="L7" s="20" t="s">
        <v>208</v>
      </c>
    </row>
    <row r="8" spans="1:16139" s="4" customFormat="1" ht="19.5" customHeight="1" x14ac:dyDescent="0.25">
      <c r="A8" s="143" t="s">
        <v>211</v>
      </c>
      <c r="B8" s="143"/>
      <c r="C8" s="143"/>
      <c r="D8" s="143"/>
      <c r="E8" s="143"/>
      <c r="F8" s="143" t="s">
        <v>8</v>
      </c>
      <c r="G8" s="143"/>
      <c r="H8" s="143"/>
      <c r="I8" s="143"/>
      <c r="J8" s="32"/>
      <c r="K8" s="31" t="s">
        <v>9</v>
      </c>
      <c r="L8" s="21" t="s">
        <v>212</v>
      </c>
    </row>
    <row r="9" spans="1:16139" s="6" customFormat="1" ht="37.5" customHeight="1" x14ac:dyDescent="0.25">
      <c r="A9" s="144" t="s">
        <v>10</v>
      </c>
      <c r="B9" s="144"/>
      <c r="C9" s="144"/>
      <c r="D9" s="144"/>
      <c r="E9" s="144"/>
      <c r="F9" s="144"/>
      <c r="G9" s="144"/>
      <c r="H9" s="144"/>
      <c r="I9" s="144"/>
      <c r="J9" s="144"/>
      <c r="K9" s="144"/>
      <c r="L9" s="144"/>
    </row>
    <row r="10" spans="1:16139" s="6" customFormat="1" ht="36.75" customHeight="1" x14ac:dyDescent="0.25">
      <c r="A10" s="142" t="s">
        <v>11</v>
      </c>
      <c r="B10" s="142" t="s">
        <v>12</v>
      </c>
      <c r="C10" s="142" t="s">
        <v>13</v>
      </c>
      <c r="D10" s="142"/>
      <c r="E10" s="142"/>
      <c r="F10" s="142" t="s">
        <v>14</v>
      </c>
      <c r="G10" s="142"/>
      <c r="H10" s="145" t="s">
        <v>15</v>
      </c>
      <c r="I10" s="142" t="s">
        <v>16</v>
      </c>
      <c r="J10" s="43" t="s">
        <v>17</v>
      </c>
      <c r="K10" s="43" t="s">
        <v>18</v>
      </c>
      <c r="L10" s="44" t="s">
        <v>19</v>
      </c>
    </row>
    <row r="11" spans="1:16139" s="8" customFormat="1" ht="36.75" customHeight="1" x14ac:dyDescent="0.25">
      <c r="A11" s="142"/>
      <c r="B11" s="142"/>
      <c r="C11" s="75" t="s">
        <v>20</v>
      </c>
      <c r="D11" s="75" t="s">
        <v>21</v>
      </c>
      <c r="E11" s="75" t="s">
        <v>18</v>
      </c>
      <c r="F11" s="75" t="s">
        <v>22</v>
      </c>
      <c r="G11" s="75" t="s">
        <v>23</v>
      </c>
      <c r="H11" s="145"/>
      <c r="I11" s="142"/>
      <c r="J11" s="43" t="s">
        <v>24</v>
      </c>
      <c r="K11" s="43" t="s">
        <v>25</v>
      </c>
      <c r="L11" s="44" t="s">
        <v>26</v>
      </c>
    </row>
    <row r="12" spans="1:16139" s="8" customFormat="1" ht="27" customHeight="1" x14ac:dyDescent="0.25">
      <c r="A12" s="132" t="s">
        <v>86</v>
      </c>
      <c r="B12" s="133"/>
      <c r="C12" s="133"/>
      <c r="D12" s="133"/>
      <c r="E12" s="134"/>
      <c r="F12" s="64"/>
      <c r="G12" s="64"/>
      <c r="H12" s="65"/>
      <c r="I12" s="64"/>
      <c r="J12" s="66"/>
      <c r="K12" s="66"/>
      <c r="L12" s="67"/>
    </row>
    <row r="13" spans="1:16139" s="39" customFormat="1" ht="150.75" customHeight="1" x14ac:dyDescent="0.25">
      <c r="A13" s="73">
        <v>1</v>
      </c>
      <c r="B13" s="73" t="s">
        <v>87</v>
      </c>
      <c r="C13" s="51" t="s">
        <v>47</v>
      </c>
      <c r="D13" s="45" t="s">
        <v>39</v>
      </c>
      <c r="E13" s="45" t="s">
        <v>38</v>
      </c>
      <c r="F13" s="45">
        <v>4758</v>
      </c>
      <c r="G13" s="45">
        <v>2050</v>
      </c>
      <c r="H13" s="46">
        <f t="shared" ref="H13:H15" si="0">F13*G13/10^6</f>
        <v>9.7538999999999998</v>
      </c>
      <c r="I13" s="45">
        <v>1</v>
      </c>
      <c r="J13" s="53">
        <v>3060000</v>
      </c>
      <c r="K13" s="47">
        <v>3761000</v>
      </c>
      <c r="L13" s="48">
        <f t="shared" ref="L13:L15" si="1">IF(H13&lt;&gt;0,J13*H13*I13+K13*I13,IF(J13&lt;&gt;0,G13*I13*J13,I13*K13))</f>
        <v>33607934</v>
      </c>
      <c r="M13" s="28"/>
      <c r="N13" s="28"/>
      <c r="O13" s="28"/>
      <c r="P13" s="28"/>
      <c r="Q13" s="28"/>
      <c r="R13" s="28"/>
      <c r="S13" s="28"/>
      <c r="T13" s="28"/>
      <c r="U13" s="28"/>
      <c r="V13" s="28"/>
      <c r="W13" s="28"/>
      <c r="X13" s="28"/>
      <c r="Y13" s="28"/>
      <c r="Z13" s="28"/>
      <c r="AA13" s="28"/>
      <c r="AB13" s="28"/>
      <c r="AC13" s="28"/>
      <c r="AD13" s="28"/>
      <c r="AE13" s="28"/>
      <c r="AF13" s="28"/>
      <c r="AG13" s="28"/>
      <c r="AH13" s="28"/>
    </row>
    <row r="14" spans="1:16139" s="3" customFormat="1" ht="150.75" customHeight="1" x14ac:dyDescent="0.25">
      <c r="A14" s="73">
        <v>2</v>
      </c>
      <c r="B14" s="73" t="s">
        <v>88</v>
      </c>
      <c r="C14" s="51" t="s">
        <v>50</v>
      </c>
      <c r="D14" s="45" t="s">
        <v>39</v>
      </c>
      <c r="E14" s="45" t="s">
        <v>38</v>
      </c>
      <c r="F14" s="45">
        <v>900</v>
      </c>
      <c r="G14" s="45">
        <v>1500</v>
      </c>
      <c r="H14" s="46">
        <f t="shared" si="0"/>
        <v>1.35</v>
      </c>
      <c r="I14" s="45">
        <v>1</v>
      </c>
      <c r="J14" s="53">
        <v>3613000</v>
      </c>
      <c r="K14" s="47">
        <v>1629000</v>
      </c>
      <c r="L14" s="48">
        <f t="shared" si="1"/>
        <v>6506550</v>
      </c>
      <c r="M14" s="28"/>
      <c r="N14" s="28"/>
      <c r="O14" s="28"/>
      <c r="P14" s="28"/>
      <c r="Q14" s="28"/>
      <c r="R14" s="28"/>
      <c r="S14" s="28"/>
      <c r="T14" s="28"/>
      <c r="U14" s="28"/>
      <c r="V14" s="28"/>
      <c r="W14" s="28"/>
      <c r="X14" s="28"/>
      <c r="Y14" s="28"/>
      <c r="Z14" s="28"/>
      <c r="AA14" s="28"/>
      <c r="AB14" s="28"/>
      <c r="AC14" s="28"/>
      <c r="AD14" s="28"/>
      <c r="AE14" s="28"/>
      <c r="AF14" s="28"/>
    </row>
    <row r="15" spans="1:16139" ht="156.75" customHeight="1" x14ac:dyDescent="0.25">
      <c r="A15" s="73">
        <v>3</v>
      </c>
      <c r="B15" s="73" t="s">
        <v>89</v>
      </c>
      <c r="C15" s="51" t="s">
        <v>40</v>
      </c>
      <c r="D15" s="45" t="s">
        <v>39</v>
      </c>
      <c r="E15" s="45" t="s">
        <v>38</v>
      </c>
      <c r="F15" s="45">
        <v>1000</v>
      </c>
      <c r="G15" s="45">
        <v>1950</v>
      </c>
      <c r="H15" s="46">
        <f t="shared" si="0"/>
        <v>1.95</v>
      </c>
      <c r="I15" s="45">
        <v>1</v>
      </c>
      <c r="J15" s="53">
        <v>3396000</v>
      </c>
      <c r="K15" s="47">
        <v>1819000</v>
      </c>
      <c r="L15" s="48">
        <f t="shared" si="1"/>
        <v>8441200</v>
      </c>
      <c r="M15" s="54"/>
      <c r="N15" s="54"/>
      <c r="O15" s="54"/>
      <c r="P15" s="54"/>
      <c r="Q15" s="54"/>
      <c r="R15" s="54"/>
      <c r="S15" s="54"/>
      <c r="T15" s="54"/>
      <c r="U15" s="54"/>
      <c r="V15" s="54"/>
      <c r="W15" s="54"/>
      <c r="X15" s="54"/>
      <c r="Y15" s="54"/>
      <c r="Z15" s="54"/>
      <c r="AA15" s="54"/>
      <c r="AB15" s="54"/>
      <c r="AC15" s="54"/>
      <c r="AD15" s="54"/>
      <c r="AE15" s="54"/>
      <c r="AF15" s="54"/>
      <c r="AG15" s="54"/>
      <c r="AH15" s="54"/>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c r="HT15" s="55"/>
      <c r="HU15" s="55"/>
      <c r="HV15" s="55"/>
      <c r="HW15" s="55"/>
      <c r="HX15" s="55"/>
      <c r="HY15" s="55"/>
      <c r="HZ15" s="55"/>
      <c r="IA15" s="55"/>
      <c r="IB15" s="55"/>
      <c r="IC15" s="55"/>
      <c r="ID15" s="55"/>
      <c r="IE15" s="55"/>
      <c r="IF15" s="55"/>
      <c r="IG15" s="55"/>
      <c r="IH15" s="55"/>
      <c r="II15" s="55"/>
      <c r="IJ15" s="55"/>
      <c r="IK15" s="55"/>
      <c r="IL15" s="55"/>
      <c r="IM15" s="55"/>
      <c r="IN15" s="55"/>
      <c r="IO15" s="55"/>
      <c r="IP15" s="55"/>
      <c r="IQ15" s="55"/>
      <c r="IR15" s="55"/>
      <c r="IS15" s="55"/>
      <c r="IT15" s="55"/>
      <c r="IU15" s="55"/>
      <c r="IV15" s="55"/>
      <c r="IW15" s="55"/>
      <c r="IX15" s="55"/>
      <c r="IY15" s="55"/>
      <c r="IZ15" s="55"/>
      <c r="JA15" s="55"/>
      <c r="JB15" s="55"/>
      <c r="JC15" s="55"/>
      <c r="JD15" s="55"/>
      <c r="JE15" s="55"/>
      <c r="JF15" s="55"/>
      <c r="JG15" s="55"/>
      <c r="JH15" s="55"/>
      <c r="JI15" s="55"/>
      <c r="JJ15" s="55"/>
      <c r="JK15" s="55"/>
      <c r="JL15" s="55"/>
      <c r="JM15" s="55"/>
      <c r="JN15" s="55"/>
      <c r="JO15" s="55"/>
      <c r="JP15" s="55"/>
      <c r="JQ15" s="55"/>
      <c r="JR15" s="55"/>
      <c r="JS15" s="55"/>
      <c r="JT15" s="55"/>
      <c r="JU15" s="55"/>
      <c r="JV15" s="55"/>
      <c r="JW15" s="55"/>
      <c r="JX15" s="55"/>
      <c r="JY15" s="55"/>
      <c r="JZ15" s="55"/>
      <c r="KA15" s="55"/>
      <c r="KB15" s="55"/>
      <c r="KC15" s="55"/>
      <c r="KD15" s="55"/>
      <c r="KE15" s="55"/>
      <c r="KF15" s="55"/>
      <c r="KG15" s="55"/>
      <c r="KH15" s="55"/>
      <c r="KI15" s="55"/>
      <c r="KJ15" s="55"/>
      <c r="KK15" s="55"/>
      <c r="KL15" s="55"/>
      <c r="KM15" s="55"/>
      <c r="KN15" s="55"/>
      <c r="KO15" s="55"/>
      <c r="KP15" s="55"/>
      <c r="KQ15" s="55"/>
      <c r="KR15" s="55"/>
      <c r="KS15" s="55"/>
      <c r="KT15" s="55"/>
      <c r="KU15" s="55"/>
      <c r="KV15" s="55"/>
      <c r="KW15" s="55"/>
      <c r="KX15" s="55"/>
      <c r="KY15" s="55"/>
      <c r="KZ15" s="55"/>
      <c r="LA15" s="55"/>
      <c r="LB15" s="55"/>
      <c r="LC15" s="55"/>
      <c r="LD15" s="55"/>
      <c r="LE15" s="55"/>
      <c r="LF15" s="55"/>
      <c r="LG15" s="55"/>
      <c r="LH15" s="55"/>
      <c r="LI15" s="55"/>
      <c r="LJ15" s="55"/>
      <c r="LK15" s="55"/>
      <c r="LL15" s="55"/>
      <c r="LM15" s="55"/>
      <c r="LN15" s="55"/>
      <c r="LO15" s="55"/>
      <c r="LP15" s="55"/>
      <c r="LQ15" s="55"/>
      <c r="LR15" s="55"/>
      <c r="LS15" s="55"/>
      <c r="LT15" s="55"/>
      <c r="LU15" s="55"/>
      <c r="LV15" s="55"/>
      <c r="LW15" s="55"/>
      <c r="LX15" s="55"/>
      <c r="LY15" s="55"/>
      <c r="LZ15" s="55"/>
      <c r="MA15" s="55"/>
      <c r="MB15" s="55"/>
      <c r="MC15" s="55"/>
      <c r="MD15" s="55"/>
      <c r="ME15" s="55"/>
      <c r="MF15" s="55"/>
      <c r="MG15" s="55"/>
      <c r="MH15" s="55"/>
      <c r="MI15" s="55"/>
      <c r="MJ15" s="55"/>
      <c r="MK15" s="55"/>
      <c r="ML15" s="55"/>
      <c r="MM15" s="55"/>
      <c r="MN15" s="55"/>
      <c r="MO15" s="55"/>
      <c r="MP15" s="55"/>
      <c r="MQ15" s="55"/>
      <c r="MR15" s="55"/>
      <c r="MS15" s="55"/>
      <c r="MT15" s="55"/>
      <c r="MU15" s="55"/>
      <c r="MV15" s="55"/>
      <c r="MW15" s="55"/>
      <c r="MX15" s="55"/>
      <c r="MY15" s="55"/>
      <c r="MZ15" s="55"/>
      <c r="NA15" s="55"/>
      <c r="NB15" s="55"/>
      <c r="NC15" s="55"/>
      <c r="ND15" s="55"/>
      <c r="NE15" s="55"/>
      <c r="NF15" s="55"/>
      <c r="NG15" s="55"/>
      <c r="NH15" s="55"/>
      <c r="NI15" s="55"/>
      <c r="NJ15" s="55"/>
      <c r="NK15" s="55"/>
      <c r="NL15" s="55"/>
      <c r="NM15" s="55"/>
      <c r="NN15" s="55"/>
      <c r="NO15" s="55"/>
      <c r="NP15" s="55"/>
      <c r="NQ15" s="55"/>
      <c r="NR15" s="55"/>
      <c r="NS15" s="55"/>
      <c r="NT15" s="55"/>
      <c r="NU15" s="55"/>
      <c r="NV15" s="55"/>
      <c r="NW15" s="55"/>
      <c r="NX15" s="55"/>
      <c r="NY15" s="55"/>
      <c r="NZ15" s="55"/>
      <c r="OA15" s="55"/>
      <c r="OB15" s="55"/>
      <c r="OC15" s="55"/>
      <c r="OD15" s="55"/>
      <c r="OE15" s="55"/>
      <c r="OF15" s="55"/>
      <c r="OG15" s="55"/>
      <c r="OH15" s="55"/>
      <c r="OI15" s="55"/>
      <c r="OJ15" s="55"/>
      <c r="OK15" s="55"/>
      <c r="OL15" s="55"/>
      <c r="OM15" s="55"/>
      <c r="ON15" s="55"/>
      <c r="OO15" s="55"/>
      <c r="OP15" s="55"/>
      <c r="OQ15" s="55"/>
      <c r="OR15" s="55"/>
      <c r="OS15" s="55"/>
      <c r="OT15" s="55"/>
      <c r="OU15" s="55"/>
      <c r="OV15" s="55"/>
      <c r="OW15" s="55"/>
      <c r="OX15" s="55"/>
      <c r="OY15" s="55"/>
      <c r="OZ15" s="55"/>
      <c r="PA15" s="55"/>
      <c r="PB15" s="55"/>
      <c r="PC15" s="55"/>
      <c r="PD15" s="55"/>
      <c r="PE15" s="55"/>
      <c r="PF15" s="55"/>
      <c r="PG15" s="55"/>
      <c r="PH15" s="55"/>
      <c r="PI15" s="55"/>
      <c r="PJ15" s="55"/>
      <c r="PK15" s="55"/>
      <c r="PL15" s="55"/>
      <c r="PM15" s="55"/>
      <c r="PN15" s="55"/>
      <c r="PO15" s="55"/>
      <c r="PP15" s="55"/>
      <c r="PQ15" s="55"/>
      <c r="PR15" s="55"/>
      <c r="PS15" s="55"/>
      <c r="PT15" s="55"/>
      <c r="PU15" s="55"/>
      <c r="PV15" s="55"/>
      <c r="PW15" s="55"/>
      <c r="PX15" s="55"/>
      <c r="PY15" s="55"/>
      <c r="PZ15" s="55"/>
      <c r="QA15" s="55"/>
      <c r="QB15" s="55"/>
      <c r="QC15" s="55"/>
      <c r="QD15" s="55"/>
      <c r="QE15" s="55"/>
      <c r="QF15" s="55"/>
      <c r="QG15" s="55"/>
      <c r="QH15" s="55"/>
      <c r="QI15" s="55"/>
      <c r="QJ15" s="55"/>
      <c r="QK15" s="55"/>
      <c r="QL15" s="55"/>
      <c r="QM15" s="55"/>
      <c r="QN15" s="55"/>
      <c r="QO15" s="55"/>
      <c r="QP15" s="55"/>
      <c r="QQ15" s="55"/>
      <c r="QR15" s="55"/>
      <c r="QS15" s="55"/>
      <c r="QT15" s="55"/>
      <c r="QU15" s="55"/>
      <c r="QV15" s="55"/>
      <c r="QW15" s="55"/>
      <c r="QX15" s="55"/>
      <c r="QY15" s="55"/>
      <c r="QZ15" s="55"/>
      <c r="RA15" s="55"/>
      <c r="RB15" s="55"/>
      <c r="RC15" s="55"/>
      <c r="RD15" s="55"/>
      <c r="RE15" s="55"/>
      <c r="RF15" s="55"/>
      <c r="RG15" s="55"/>
      <c r="RH15" s="55"/>
      <c r="RI15" s="55"/>
      <c r="RJ15" s="55"/>
      <c r="RK15" s="55"/>
      <c r="RL15" s="55"/>
      <c r="RM15" s="55"/>
      <c r="RN15" s="55"/>
      <c r="RO15" s="55"/>
      <c r="RP15" s="55"/>
      <c r="RQ15" s="55"/>
      <c r="RR15" s="55"/>
      <c r="RS15" s="55"/>
      <c r="RT15" s="55"/>
      <c r="RU15" s="55"/>
      <c r="RV15" s="55"/>
      <c r="RW15" s="55"/>
      <c r="RX15" s="55"/>
      <c r="RY15" s="55"/>
      <c r="RZ15" s="55"/>
      <c r="SA15" s="55"/>
      <c r="SB15" s="55"/>
      <c r="SC15" s="55"/>
      <c r="SD15" s="55"/>
      <c r="SE15" s="55"/>
      <c r="SF15" s="55"/>
      <c r="SG15" s="55"/>
      <c r="SH15" s="55"/>
      <c r="SI15" s="55"/>
      <c r="SJ15" s="55"/>
      <c r="SK15" s="55"/>
      <c r="SL15" s="55"/>
      <c r="SM15" s="55"/>
      <c r="SN15" s="55"/>
      <c r="SO15" s="55"/>
      <c r="SP15" s="55"/>
      <c r="SQ15" s="55"/>
      <c r="SR15" s="55"/>
      <c r="SS15" s="55"/>
      <c r="ST15" s="55"/>
      <c r="SU15" s="55"/>
      <c r="SV15" s="55"/>
      <c r="SW15" s="55"/>
      <c r="SX15" s="55"/>
      <c r="SY15" s="55"/>
      <c r="SZ15" s="55"/>
      <c r="TA15" s="55"/>
      <c r="TB15" s="55"/>
      <c r="TC15" s="55"/>
      <c r="TD15" s="55"/>
      <c r="TE15" s="55"/>
      <c r="TF15" s="55"/>
      <c r="TG15" s="55"/>
      <c r="TH15" s="55"/>
      <c r="TI15" s="55"/>
      <c r="TJ15" s="55"/>
      <c r="TK15" s="55"/>
      <c r="TL15" s="55"/>
      <c r="TM15" s="55"/>
      <c r="TN15" s="55"/>
      <c r="TO15" s="55"/>
      <c r="TP15" s="55"/>
      <c r="TQ15" s="55"/>
      <c r="TR15" s="55"/>
      <c r="TS15" s="55"/>
      <c r="TT15" s="55"/>
      <c r="TU15" s="55"/>
      <c r="TV15" s="55"/>
      <c r="TW15" s="55"/>
      <c r="TX15" s="55"/>
      <c r="TY15" s="55"/>
      <c r="TZ15" s="55"/>
      <c r="UA15" s="55"/>
      <c r="UB15" s="55"/>
      <c r="UC15" s="55"/>
      <c r="UD15" s="55"/>
      <c r="UE15" s="55"/>
      <c r="UF15" s="55"/>
      <c r="UG15" s="55"/>
      <c r="UH15" s="55"/>
      <c r="UI15" s="55"/>
      <c r="UJ15" s="55"/>
      <c r="UK15" s="55"/>
      <c r="UL15" s="55"/>
      <c r="UM15" s="55"/>
      <c r="UN15" s="55"/>
      <c r="UO15" s="55"/>
      <c r="UP15" s="55"/>
      <c r="UQ15" s="55"/>
      <c r="UR15" s="55"/>
      <c r="US15" s="55"/>
      <c r="UT15" s="55"/>
      <c r="UU15" s="55"/>
      <c r="UV15" s="55"/>
      <c r="UW15" s="55"/>
      <c r="UX15" s="55"/>
      <c r="UY15" s="55"/>
      <c r="UZ15" s="55"/>
      <c r="VA15" s="55"/>
      <c r="VB15" s="55"/>
      <c r="VC15" s="55"/>
      <c r="VD15" s="55"/>
      <c r="VE15" s="55"/>
      <c r="VF15" s="55"/>
      <c r="VG15" s="55"/>
      <c r="VH15" s="55"/>
      <c r="VI15" s="55"/>
      <c r="VJ15" s="55"/>
      <c r="VK15" s="55"/>
      <c r="VL15" s="55"/>
      <c r="VM15" s="55"/>
      <c r="VN15" s="55"/>
      <c r="VO15" s="55"/>
      <c r="VP15" s="55"/>
      <c r="VQ15" s="55"/>
      <c r="VR15" s="55"/>
      <c r="VS15" s="55"/>
      <c r="VT15" s="55"/>
      <c r="VU15" s="55"/>
      <c r="VV15" s="55"/>
      <c r="VW15" s="55"/>
      <c r="VX15" s="55"/>
      <c r="VY15" s="55"/>
      <c r="VZ15" s="55"/>
      <c r="WA15" s="55"/>
      <c r="WB15" s="55"/>
      <c r="WC15" s="55"/>
      <c r="WD15" s="55"/>
      <c r="WE15" s="55"/>
      <c r="WF15" s="55"/>
      <c r="WG15" s="55"/>
      <c r="WH15" s="55"/>
      <c r="WI15" s="55"/>
      <c r="WJ15" s="55"/>
      <c r="WK15" s="55"/>
      <c r="WL15" s="55"/>
      <c r="WM15" s="55"/>
      <c r="WN15" s="55"/>
      <c r="WO15" s="55"/>
      <c r="WP15" s="55"/>
      <c r="WQ15" s="55"/>
      <c r="WR15" s="55"/>
      <c r="WS15" s="55"/>
      <c r="WT15" s="55"/>
      <c r="WU15" s="55"/>
      <c r="WV15" s="55"/>
      <c r="WW15" s="55"/>
      <c r="WX15" s="55"/>
      <c r="WY15" s="55"/>
      <c r="WZ15" s="55"/>
      <c r="XA15" s="55"/>
      <c r="XB15" s="55"/>
      <c r="XC15" s="55"/>
      <c r="XD15" s="55"/>
      <c r="XE15" s="55"/>
      <c r="XF15" s="55"/>
      <c r="XG15" s="55"/>
      <c r="XH15" s="55"/>
      <c r="XI15" s="55"/>
      <c r="XJ15" s="55"/>
      <c r="XK15" s="55"/>
      <c r="XL15" s="55"/>
      <c r="XM15" s="55"/>
      <c r="XN15" s="55"/>
      <c r="XO15" s="55"/>
      <c r="XP15" s="55"/>
      <c r="XQ15" s="55"/>
      <c r="XR15" s="55"/>
      <c r="XS15" s="55"/>
      <c r="XT15" s="55"/>
      <c r="XU15" s="55"/>
      <c r="XV15" s="55"/>
      <c r="XW15" s="55"/>
      <c r="XX15" s="55"/>
      <c r="XY15" s="55"/>
      <c r="XZ15" s="55"/>
      <c r="YA15" s="55"/>
      <c r="YB15" s="55"/>
      <c r="YC15" s="55"/>
      <c r="YD15" s="55"/>
      <c r="YE15" s="55"/>
      <c r="YF15" s="55"/>
      <c r="YG15" s="55"/>
      <c r="YH15" s="55"/>
      <c r="YI15" s="55"/>
      <c r="YJ15" s="55"/>
      <c r="YK15" s="55"/>
      <c r="YL15" s="55"/>
      <c r="YM15" s="55"/>
      <c r="YN15" s="55"/>
      <c r="YO15" s="55"/>
      <c r="YP15" s="55"/>
      <c r="YQ15" s="55"/>
      <c r="YR15" s="55"/>
      <c r="YS15" s="55"/>
      <c r="YT15" s="55"/>
      <c r="YU15" s="55"/>
      <c r="YV15" s="55"/>
      <c r="YW15" s="55"/>
      <c r="YX15" s="55"/>
      <c r="YY15" s="55"/>
      <c r="YZ15" s="55"/>
      <c r="ZA15" s="55"/>
      <c r="ZB15" s="55"/>
      <c r="ZC15" s="55"/>
      <c r="ZD15" s="55"/>
      <c r="ZE15" s="55"/>
      <c r="ZF15" s="55"/>
      <c r="ZG15" s="55"/>
      <c r="ZH15" s="55"/>
      <c r="ZI15" s="55"/>
      <c r="ZJ15" s="55"/>
      <c r="ZK15" s="55"/>
      <c r="ZL15" s="55"/>
      <c r="ZM15" s="55"/>
      <c r="ZN15" s="55"/>
      <c r="ZO15" s="55"/>
      <c r="ZP15" s="55"/>
      <c r="ZQ15" s="55"/>
      <c r="ZR15" s="55"/>
      <c r="ZS15" s="55"/>
      <c r="ZT15" s="55"/>
      <c r="ZU15" s="55"/>
      <c r="ZV15" s="55"/>
      <c r="ZW15" s="55"/>
      <c r="ZX15" s="55"/>
      <c r="ZY15" s="55"/>
      <c r="ZZ15" s="55"/>
      <c r="AAA15" s="55"/>
      <c r="AAB15" s="55"/>
      <c r="AAC15" s="55"/>
      <c r="AAD15" s="55"/>
      <c r="AAE15" s="55"/>
      <c r="AAF15" s="55"/>
      <c r="AAG15" s="55"/>
      <c r="AAH15" s="55"/>
      <c r="AAI15" s="55"/>
      <c r="AAJ15" s="55"/>
      <c r="AAK15" s="55"/>
      <c r="AAL15" s="55"/>
      <c r="AAM15" s="55"/>
      <c r="AAN15" s="55"/>
      <c r="AAO15" s="55"/>
      <c r="AAP15" s="55"/>
      <c r="AAQ15" s="55"/>
      <c r="AAR15" s="55"/>
      <c r="AAS15" s="55"/>
      <c r="AAT15" s="55"/>
      <c r="AAU15" s="55"/>
      <c r="AAV15" s="55"/>
      <c r="AAW15" s="55"/>
      <c r="AAX15" s="55"/>
      <c r="AAY15" s="55"/>
      <c r="AAZ15" s="55"/>
      <c r="ABA15" s="55"/>
      <c r="ABB15" s="55"/>
      <c r="ABC15" s="55"/>
      <c r="ABD15" s="55"/>
      <c r="ABE15" s="55"/>
      <c r="ABF15" s="55"/>
      <c r="ABG15" s="55"/>
      <c r="ABH15" s="55"/>
      <c r="ABI15" s="55"/>
      <c r="ABJ15" s="55"/>
      <c r="ABK15" s="55"/>
      <c r="ABL15" s="55"/>
      <c r="ABM15" s="55"/>
      <c r="ABN15" s="55"/>
      <c r="ABO15" s="55"/>
      <c r="ABP15" s="55"/>
      <c r="ABQ15" s="55"/>
      <c r="ABR15" s="55"/>
      <c r="ABS15" s="55"/>
      <c r="ABT15" s="55"/>
      <c r="ABU15" s="55"/>
      <c r="ABV15" s="55"/>
      <c r="ABW15" s="55"/>
      <c r="ABX15" s="55"/>
      <c r="ABY15" s="55"/>
      <c r="ABZ15" s="55"/>
      <c r="ACA15" s="55"/>
      <c r="ACB15" s="55"/>
      <c r="ACC15" s="55"/>
      <c r="ACD15" s="55"/>
      <c r="ACE15" s="55"/>
      <c r="ACF15" s="55"/>
      <c r="ACG15" s="55"/>
      <c r="ACH15" s="55"/>
      <c r="ACI15" s="55"/>
      <c r="ACJ15" s="55"/>
      <c r="ACK15" s="55"/>
      <c r="ACL15" s="55"/>
      <c r="ACM15" s="55"/>
      <c r="ACN15" s="55"/>
      <c r="ACO15" s="55"/>
      <c r="ACP15" s="55"/>
      <c r="ACQ15" s="55"/>
      <c r="ACR15" s="55"/>
      <c r="ACS15" s="55"/>
      <c r="ACT15" s="55"/>
      <c r="ACU15" s="55"/>
      <c r="ACV15" s="55"/>
      <c r="ACW15" s="55"/>
      <c r="ACX15" s="55"/>
      <c r="ACY15" s="55"/>
      <c r="ACZ15" s="55"/>
      <c r="ADA15" s="55"/>
      <c r="ADB15" s="55"/>
      <c r="ADC15" s="55"/>
      <c r="ADD15" s="55"/>
      <c r="ADE15" s="55"/>
      <c r="ADF15" s="55"/>
      <c r="ADG15" s="55"/>
      <c r="ADH15" s="55"/>
      <c r="ADI15" s="55"/>
      <c r="ADJ15" s="55"/>
      <c r="ADK15" s="55"/>
      <c r="ADL15" s="55"/>
      <c r="ADM15" s="55"/>
      <c r="ADN15" s="55"/>
      <c r="ADO15" s="55"/>
      <c r="ADP15" s="55"/>
      <c r="ADQ15" s="55"/>
      <c r="ADR15" s="55"/>
      <c r="ADS15" s="55"/>
      <c r="ADT15" s="55"/>
      <c r="ADU15" s="55"/>
      <c r="ADV15" s="55"/>
      <c r="ADW15" s="55"/>
      <c r="ADX15" s="55"/>
      <c r="ADY15" s="55"/>
      <c r="ADZ15" s="55"/>
      <c r="AEA15" s="55"/>
      <c r="AEB15" s="55"/>
      <c r="AEC15" s="55"/>
      <c r="AED15" s="55"/>
      <c r="AEE15" s="55"/>
      <c r="AEF15" s="55"/>
      <c r="AEG15" s="55"/>
      <c r="AEH15" s="55"/>
      <c r="AEI15" s="55"/>
      <c r="AEJ15" s="55"/>
      <c r="AEK15" s="55"/>
      <c r="AEL15" s="55"/>
      <c r="AEM15" s="55"/>
      <c r="AEN15" s="55"/>
      <c r="AEO15" s="55"/>
      <c r="AEP15" s="55"/>
      <c r="AEQ15" s="55"/>
      <c r="AER15" s="55"/>
      <c r="AES15" s="55"/>
      <c r="AET15" s="55"/>
      <c r="AEU15" s="55"/>
      <c r="AEV15" s="55"/>
      <c r="AEW15" s="55"/>
      <c r="AEX15" s="55"/>
      <c r="AEY15" s="55"/>
      <c r="AEZ15" s="55"/>
      <c r="AFA15" s="55"/>
      <c r="AFB15" s="55"/>
      <c r="AFC15" s="55"/>
      <c r="AFD15" s="55"/>
      <c r="AFE15" s="55"/>
      <c r="AFF15" s="55"/>
      <c r="AFG15" s="55"/>
      <c r="AFH15" s="55"/>
      <c r="AFI15" s="55"/>
      <c r="AFJ15" s="55"/>
      <c r="AFK15" s="55"/>
      <c r="AFL15" s="55"/>
      <c r="AFM15" s="55"/>
      <c r="AFN15" s="55"/>
      <c r="AFO15" s="55"/>
      <c r="AFP15" s="55"/>
      <c r="AFQ15" s="55"/>
      <c r="AFR15" s="55"/>
      <c r="AFS15" s="55"/>
      <c r="AFT15" s="55"/>
      <c r="AFU15" s="55"/>
      <c r="AFV15" s="55"/>
      <c r="AFW15" s="55"/>
      <c r="AFX15" s="55"/>
      <c r="AFY15" s="55"/>
      <c r="AFZ15" s="55"/>
      <c r="AGA15" s="55"/>
      <c r="AGB15" s="55"/>
      <c r="AGC15" s="55"/>
      <c r="AGD15" s="55"/>
      <c r="AGE15" s="55"/>
      <c r="AGF15" s="55"/>
      <c r="AGG15" s="55"/>
      <c r="AGH15" s="55"/>
      <c r="AGI15" s="55"/>
      <c r="AGJ15" s="55"/>
      <c r="AGK15" s="55"/>
      <c r="AGL15" s="55"/>
      <c r="AGM15" s="55"/>
      <c r="AGN15" s="55"/>
      <c r="AGO15" s="55"/>
      <c r="AGP15" s="55"/>
      <c r="AGQ15" s="55"/>
      <c r="AGR15" s="55"/>
      <c r="AGS15" s="55"/>
      <c r="AGT15" s="55"/>
      <c r="AGU15" s="55"/>
      <c r="AGV15" s="55"/>
      <c r="AGW15" s="55"/>
      <c r="AGX15" s="55"/>
      <c r="AGY15" s="55"/>
      <c r="AGZ15" s="55"/>
      <c r="AHA15" s="55"/>
      <c r="AHB15" s="55"/>
      <c r="AHC15" s="55"/>
      <c r="AHD15" s="55"/>
      <c r="AHE15" s="55"/>
      <c r="AHF15" s="55"/>
      <c r="AHG15" s="55"/>
      <c r="AHH15" s="55"/>
      <c r="AHI15" s="55"/>
      <c r="AHJ15" s="55"/>
      <c r="AHK15" s="55"/>
      <c r="AHL15" s="55"/>
      <c r="AHM15" s="55"/>
      <c r="AHN15" s="55"/>
      <c r="AHO15" s="55"/>
      <c r="AHP15" s="55"/>
      <c r="AHQ15" s="55"/>
      <c r="AHR15" s="55"/>
      <c r="AHS15" s="55"/>
      <c r="AHT15" s="55"/>
      <c r="AHU15" s="55"/>
      <c r="AHV15" s="55"/>
      <c r="AHW15" s="55"/>
      <c r="AHX15" s="55"/>
      <c r="AHY15" s="55"/>
      <c r="AHZ15" s="55"/>
      <c r="AIA15" s="55"/>
      <c r="AIB15" s="55"/>
      <c r="AIC15" s="55"/>
      <c r="AID15" s="55"/>
      <c r="AIE15" s="55"/>
      <c r="AIF15" s="55"/>
      <c r="AIG15" s="55"/>
      <c r="AIH15" s="55"/>
      <c r="AII15" s="55"/>
      <c r="AIJ15" s="55"/>
      <c r="AIK15" s="55"/>
      <c r="AIL15" s="55"/>
      <c r="AIM15" s="55"/>
      <c r="AIN15" s="55"/>
      <c r="AIO15" s="55"/>
      <c r="AIP15" s="55"/>
      <c r="AIQ15" s="55"/>
      <c r="AIR15" s="55"/>
      <c r="AIS15" s="55"/>
      <c r="AIT15" s="55"/>
      <c r="AIU15" s="55"/>
      <c r="AIV15" s="55"/>
      <c r="AIW15" s="55"/>
      <c r="AIX15" s="55"/>
      <c r="AIY15" s="55"/>
      <c r="AIZ15" s="55"/>
      <c r="AJA15" s="55"/>
      <c r="AJB15" s="55"/>
      <c r="AJC15" s="55"/>
      <c r="AJD15" s="55"/>
      <c r="AJE15" s="55"/>
      <c r="AJF15" s="55"/>
      <c r="AJG15" s="55"/>
      <c r="AJH15" s="55"/>
      <c r="AJI15" s="55"/>
      <c r="AJJ15" s="55"/>
      <c r="AJK15" s="55"/>
      <c r="AJL15" s="55"/>
      <c r="AJM15" s="55"/>
      <c r="AJN15" s="55"/>
      <c r="AJO15" s="55"/>
      <c r="AJP15" s="55"/>
      <c r="AJQ15" s="55"/>
      <c r="AJR15" s="55"/>
      <c r="AJS15" s="55"/>
      <c r="AJT15" s="55"/>
      <c r="AJU15" s="55"/>
      <c r="AJV15" s="55"/>
      <c r="AJW15" s="55"/>
      <c r="AJX15" s="55"/>
      <c r="AJY15" s="55"/>
      <c r="AJZ15" s="55"/>
      <c r="AKA15" s="55"/>
      <c r="AKB15" s="55"/>
      <c r="AKC15" s="55"/>
      <c r="AKD15" s="55"/>
      <c r="AKE15" s="55"/>
      <c r="AKF15" s="55"/>
      <c r="AKG15" s="55"/>
      <c r="AKH15" s="55"/>
      <c r="AKI15" s="55"/>
      <c r="AKJ15" s="55"/>
      <c r="AKK15" s="55"/>
      <c r="AKL15" s="55"/>
      <c r="AKM15" s="55"/>
      <c r="AKN15" s="55"/>
      <c r="AKO15" s="55"/>
      <c r="AKP15" s="55"/>
      <c r="AKQ15" s="55"/>
      <c r="AKR15" s="55"/>
      <c r="AKS15" s="55"/>
      <c r="AKT15" s="55"/>
      <c r="AKU15" s="55"/>
      <c r="AKV15" s="55"/>
      <c r="AKW15" s="55"/>
      <c r="AKX15" s="55"/>
      <c r="AKY15" s="55"/>
      <c r="AKZ15" s="55"/>
      <c r="ALA15" s="55"/>
      <c r="ALB15" s="55"/>
      <c r="ALC15" s="55"/>
      <c r="ALD15" s="55"/>
      <c r="ALE15" s="55"/>
      <c r="ALF15" s="55"/>
      <c r="ALG15" s="55"/>
      <c r="ALH15" s="55"/>
      <c r="ALI15" s="55"/>
      <c r="ALJ15" s="55"/>
      <c r="ALK15" s="55"/>
      <c r="ALL15" s="55"/>
      <c r="ALM15" s="55"/>
      <c r="ALN15" s="55"/>
      <c r="ALO15" s="55"/>
      <c r="ALP15" s="55"/>
      <c r="ALQ15" s="55"/>
      <c r="ALR15" s="55"/>
      <c r="ALS15" s="55"/>
      <c r="ALT15" s="55"/>
      <c r="ALU15" s="55"/>
      <c r="ALV15" s="55"/>
      <c r="ALW15" s="55"/>
      <c r="ALX15" s="55"/>
      <c r="ALY15" s="55"/>
      <c r="ALZ15" s="55"/>
      <c r="AMA15" s="55"/>
      <c r="AMB15" s="55"/>
      <c r="AMC15" s="55"/>
      <c r="AMD15" s="55"/>
      <c r="AME15" s="55"/>
      <c r="AMF15" s="55"/>
      <c r="AMG15" s="55"/>
      <c r="AMH15" s="55"/>
      <c r="AMI15" s="55"/>
      <c r="AMJ15" s="55"/>
      <c r="AMK15" s="55"/>
      <c r="AML15" s="55"/>
      <c r="AMM15" s="55"/>
      <c r="AMN15" s="55"/>
      <c r="AMO15" s="55"/>
      <c r="AMP15" s="55"/>
      <c r="AMQ15" s="55"/>
      <c r="AMR15" s="55"/>
      <c r="AMS15" s="55"/>
      <c r="AMT15" s="55"/>
      <c r="AMU15" s="55"/>
      <c r="AMV15" s="55"/>
      <c r="AMW15" s="55"/>
      <c r="AMX15" s="55"/>
      <c r="AMY15" s="55"/>
      <c r="AMZ15" s="55"/>
      <c r="ANA15" s="55"/>
      <c r="ANB15" s="55"/>
      <c r="ANC15" s="55"/>
      <c r="AND15" s="55"/>
      <c r="ANE15" s="55"/>
      <c r="ANF15" s="55"/>
      <c r="ANG15" s="55"/>
      <c r="ANH15" s="55"/>
      <c r="ANI15" s="55"/>
      <c r="ANJ15" s="55"/>
      <c r="ANK15" s="55"/>
      <c r="ANL15" s="55"/>
      <c r="ANM15" s="55"/>
      <c r="ANN15" s="55"/>
      <c r="ANO15" s="55"/>
      <c r="ANP15" s="55"/>
      <c r="ANQ15" s="55"/>
      <c r="ANR15" s="55"/>
      <c r="ANS15" s="55"/>
      <c r="ANT15" s="55"/>
      <c r="ANU15" s="55"/>
      <c r="ANV15" s="55"/>
      <c r="ANW15" s="55"/>
      <c r="ANX15" s="55"/>
      <c r="ANY15" s="55"/>
      <c r="ANZ15" s="55"/>
      <c r="AOA15" s="55"/>
      <c r="AOB15" s="55"/>
      <c r="AOC15" s="55"/>
      <c r="AOD15" s="55"/>
      <c r="AOE15" s="55"/>
      <c r="AOF15" s="55"/>
      <c r="AOG15" s="55"/>
      <c r="AOH15" s="55"/>
      <c r="AOI15" s="55"/>
      <c r="AOJ15" s="55"/>
      <c r="AOK15" s="55"/>
      <c r="AOL15" s="55"/>
      <c r="AOM15" s="55"/>
      <c r="AON15" s="55"/>
      <c r="AOO15" s="55"/>
      <c r="AOP15" s="55"/>
      <c r="AOQ15" s="55"/>
      <c r="AOR15" s="55"/>
      <c r="AOS15" s="55"/>
      <c r="AOT15" s="55"/>
      <c r="AOU15" s="55"/>
      <c r="AOV15" s="55"/>
      <c r="AOW15" s="55"/>
      <c r="AOX15" s="55"/>
      <c r="AOY15" s="55"/>
      <c r="AOZ15" s="55"/>
      <c r="APA15" s="55"/>
      <c r="APB15" s="55"/>
      <c r="APC15" s="55"/>
      <c r="APD15" s="55"/>
      <c r="APE15" s="55"/>
      <c r="APF15" s="55"/>
      <c r="APG15" s="55"/>
      <c r="APH15" s="55"/>
      <c r="API15" s="55"/>
      <c r="APJ15" s="55"/>
      <c r="APK15" s="55"/>
      <c r="APL15" s="55"/>
      <c r="APM15" s="55"/>
      <c r="APN15" s="55"/>
      <c r="APO15" s="55"/>
      <c r="APP15" s="55"/>
      <c r="APQ15" s="55"/>
      <c r="APR15" s="55"/>
      <c r="APS15" s="55"/>
      <c r="APT15" s="55"/>
      <c r="APU15" s="55"/>
      <c r="APV15" s="55"/>
      <c r="APW15" s="55"/>
      <c r="APX15" s="55"/>
      <c r="APY15" s="55"/>
      <c r="APZ15" s="55"/>
      <c r="AQA15" s="55"/>
      <c r="AQB15" s="55"/>
      <c r="AQC15" s="55"/>
      <c r="AQD15" s="55"/>
      <c r="AQE15" s="55"/>
      <c r="AQF15" s="55"/>
      <c r="AQG15" s="55"/>
      <c r="AQH15" s="55"/>
      <c r="AQI15" s="55"/>
      <c r="AQJ15" s="55"/>
      <c r="AQK15" s="55"/>
      <c r="AQL15" s="55"/>
      <c r="AQM15" s="55"/>
      <c r="AQN15" s="55"/>
      <c r="AQO15" s="55"/>
      <c r="AQP15" s="55"/>
      <c r="AQQ15" s="55"/>
      <c r="AQR15" s="55"/>
      <c r="AQS15" s="55"/>
      <c r="AQT15" s="55"/>
      <c r="AQU15" s="55"/>
      <c r="AQV15" s="55"/>
      <c r="AQW15" s="55"/>
      <c r="AQX15" s="55"/>
      <c r="AQY15" s="55"/>
      <c r="AQZ15" s="55"/>
      <c r="ARA15" s="55"/>
      <c r="ARB15" s="55"/>
      <c r="ARC15" s="55"/>
      <c r="ARD15" s="55"/>
      <c r="ARE15" s="55"/>
      <c r="ARF15" s="55"/>
      <c r="ARG15" s="55"/>
      <c r="ARH15" s="55"/>
      <c r="ARI15" s="55"/>
      <c r="ARJ15" s="55"/>
      <c r="ARK15" s="55"/>
      <c r="ARL15" s="55"/>
      <c r="ARM15" s="55"/>
      <c r="ARN15" s="55"/>
      <c r="ARO15" s="55"/>
      <c r="ARP15" s="55"/>
      <c r="ARQ15" s="55"/>
      <c r="ARR15" s="55"/>
      <c r="ARS15" s="55"/>
      <c r="ART15" s="55"/>
      <c r="ARU15" s="55"/>
      <c r="ARV15" s="55"/>
      <c r="ARW15" s="55"/>
      <c r="ARX15" s="55"/>
      <c r="ARY15" s="55"/>
      <c r="ARZ15" s="55"/>
      <c r="ASA15" s="55"/>
      <c r="ASB15" s="55"/>
      <c r="ASC15" s="55"/>
      <c r="ASD15" s="55"/>
      <c r="ASE15" s="55"/>
      <c r="ASF15" s="55"/>
      <c r="ASG15" s="55"/>
      <c r="ASH15" s="55"/>
      <c r="ASI15" s="55"/>
      <c r="ASJ15" s="55"/>
      <c r="ASK15" s="55"/>
      <c r="ASL15" s="55"/>
      <c r="ASM15" s="55"/>
      <c r="ASN15" s="55"/>
      <c r="ASO15" s="55"/>
      <c r="ASP15" s="55"/>
      <c r="ASQ15" s="55"/>
      <c r="ASR15" s="55"/>
      <c r="ASS15" s="55"/>
      <c r="AST15" s="55"/>
      <c r="ASU15" s="55"/>
      <c r="ASV15" s="55"/>
      <c r="ASW15" s="55"/>
      <c r="ASX15" s="55"/>
      <c r="ASY15" s="55"/>
      <c r="ASZ15" s="55"/>
      <c r="ATA15" s="55"/>
      <c r="ATB15" s="55"/>
      <c r="ATC15" s="55"/>
      <c r="ATD15" s="55"/>
      <c r="ATE15" s="55"/>
      <c r="ATF15" s="55"/>
      <c r="ATG15" s="55"/>
      <c r="ATH15" s="55"/>
      <c r="ATI15" s="55"/>
      <c r="ATJ15" s="55"/>
      <c r="ATK15" s="55"/>
      <c r="ATL15" s="55"/>
      <c r="ATM15" s="55"/>
      <c r="ATN15" s="55"/>
      <c r="ATO15" s="55"/>
      <c r="ATP15" s="55"/>
      <c r="ATQ15" s="55"/>
      <c r="ATR15" s="55"/>
      <c r="ATS15" s="55"/>
      <c r="ATT15" s="55"/>
      <c r="ATU15" s="55"/>
      <c r="ATV15" s="55"/>
      <c r="ATW15" s="55"/>
      <c r="ATX15" s="55"/>
      <c r="ATY15" s="55"/>
      <c r="ATZ15" s="55"/>
      <c r="AUA15" s="55"/>
      <c r="AUB15" s="55"/>
      <c r="AUC15" s="55"/>
      <c r="AUD15" s="55"/>
      <c r="AUE15" s="55"/>
      <c r="AUF15" s="55"/>
      <c r="AUG15" s="55"/>
      <c r="AUH15" s="55"/>
      <c r="AUI15" s="55"/>
      <c r="AUJ15" s="55"/>
      <c r="AUK15" s="55"/>
      <c r="AUL15" s="55"/>
      <c r="AUM15" s="55"/>
      <c r="AUN15" s="55"/>
      <c r="AUO15" s="55"/>
      <c r="AUP15" s="55"/>
      <c r="AUQ15" s="55"/>
      <c r="AUR15" s="55"/>
      <c r="AUS15" s="55"/>
      <c r="AUT15" s="55"/>
      <c r="AUU15" s="55"/>
      <c r="AUV15" s="55"/>
      <c r="AUW15" s="55"/>
      <c r="AUX15" s="55"/>
      <c r="AUY15" s="55"/>
      <c r="AUZ15" s="55"/>
      <c r="AVA15" s="55"/>
      <c r="AVB15" s="55"/>
      <c r="AVC15" s="55"/>
      <c r="AVD15" s="55"/>
      <c r="AVE15" s="55"/>
      <c r="AVF15" s="55"/>
      <c r="AVG15" s="55"/>
      <c r="AVH15" s="55"/>
      <c r="AVI15" s="55"/>
      <c r="AVJ15" s="55"/>
      <c r="AVK15" s="55"/>
      <c r="AVL15" s="55"/>
      <c r="AVM15" s="55"/>
      <c r="AVN15" s="55"/>
      <c r="AVO15" s="55"/>
      <c r="AVP15" s="55"/>
      <c r="AVQ15" s="55"/>
      <c r="AVR15" s="55"/>
      <c r="AVS15" s="55"/>
      <c r="AVT15" s="55"/>
      <c r="AVU15" s="55"/>
      <c r="AVV15" s="55"/>
      <c r="AVW15" s="55"/>
      <c r="AVX15" s="55"/>
      <c r="AVY15" s="55"/>
      <c r="AVZ15" s="55"/>
      <c r="AWA15" s="55"/>
      <c r="AWB15" s="55"/>
      <c r="AWC15" s="55"/>
      <c r="AWD15" s="55"/>
      <c r="AWE15" s="55"/>
      <c r="AWF15" s="55"/>
      <c r="AWG15" s="55"/>
      <c r="AWH15" s="55"/>
      <c r="AWI15" s="55"/>
      <c r="AWJ15" s="55"/>
      <c r="AWK15" s="55"/>
      <c r="AWL15" s="55"/>
      <c r="AWM15" s="55"/>
      <c r="AWN15" s="55"/>
      <c r="AWO15" s="55"/>
      <c r="AWP15" s="55"/>
      <c r="AWQ15" s="55"/>
      <c r="AWR15" s="55"/>
      <c r="AWS15" s="55"/>
      <c r="AWT15" s="55"/>
      <c r="AWU15" s="55"/>
      <c r="AWV15" s="55"/>
      <c r="AWW15" s="55"/>
      <c r="AWX15" s="55"/>
      <c r="AWY15" s="55"/>
      <c r="AWZ15" s="55"/>
      <c r="AXA15" s="55"/>
      <c r="AXB15" s="55"/>
      <c r="AXC15" s="55"/>
      <c r="AXD15" s="55"/>
      <c r="AXE15" s="55"/>
      <c r="AXF15" s="55"/>
      <c r="AXG15" s="55"/>
      <c r="AXH15" s="55"/>
      <c r="AXI15" s="55"/>
      <c r="AXJ15" s="55"/>
      <c r="AXK15" s="55"/>
      <c r="AXL15" s="55"/>
      <c r="AXM15" s="55"/>
      <c r="AXN15" s="55"/>
      <c r="AXO15" s="55"/>
      <c r="AXP15" s="55"/>
      <c r="AXQ15" s="55"/>
      <c r="AXR15" s="55"/>
      <c r="AXS15" s="55"/>
      <c r="AXT15" s="55"/>
      <c r="AXU15" s="55"/>
      <c r="AXV15" s="55"/>
      <c r="AXW15" s="55"/>
      <c r="AXX15" s="55"/>
      <c r="AXY15" s="55"/>
      <c r="AXZ15" s="55"/>
      <c r="AYA15" s="55"/>
      <c r="AYB15" s="55"/>
      <c r="AYC15" s="55"/>
      <c r="AYD15" s="55"/>
      <c r="AYE15" s="55"/>
      <c r="AYF15" s="55"/>
      <c r="AYG15" s="55"/>
      <c r="AYH15" s="55"/>
      <c r="AYI15" s="55"/>
      <c r="AYJ15" s="55"/>
      <c r="AYK15" s="55"/>
      <c r="AYL15" s="55"/>
      <c r="AYM15" s="55"/>
      <c r="AYN15" s="55"/>
      <c r="AYO15" s="55"/>
      <c r="AYP15" s="55"/>
      <c r="AYQ15" s="55"/>
      <c r="AYR15" s="55"/>
      <c r="AYS15" s="55"/>
      <c r="AYT15" s="55"/>
      <c r="AYU15" s="55"/>
      <c r="AYV15" s="55"/>
      <c r="AYW15" s="55"/>
      <c r="AYX15" s="55"/>
      <c r="AYY15" s="55"/>
      <c r="AYZ15" s="55"/>
      <c r="AZA15" s="55"/>
      <c r="AZB15" s="55"/>
      <c r="AZC15" s="55"/>
      <c r="AZD15" s="55"/>
      <c r="AZE15" s="55"/>
      <c r="AZF15" s="55"/>
      <c r="AZG15" s="55"/>
      <c r="AZH15" s="55"/>
      <c r="AZI15" s="55"/>
      <c r="AZJ15" s="55"/>
      <c r="AZK15" s="55"/>
      <c r="AZL15" s="55"/>
      <c r="AZM15" s="55"/>
      <c r="AZN15" s="55"/>
      <c r="AZO15" s="55"/>
      <c r="AZP15" s="55"/>
      <c r="AZQ15" s="55"/>
      <c r="AZR15" s="55"/>
      <c r="AZS15" s="55"/>
      <c r="AZT15" s="55"/>
      <c r="AZU15" s="55"/>
      <c r="AZV15" s="55"/>
      <c r="AZW15" s="55"/>
      <c r="AZX15" s="55"/>
      <c r="AZY15" s="55"/>
      <c r="AZZ15" s="55"/>
      <c r="BAA15" s="55"/>
      <c r="BAB15" s="55"/>
      <c r="BAC15" s="55"/>
      <c r="BAD15" s="55"/>
      <c r="BAE15" s="55"/>
      <c r="BAF15" s="55"/>
      <c r="BAG15" s="55"/>
      <c r="BAH15" s="55"/>
      <c r="BAI15" s="55"/>
      <c r="BAJ15" s="55"/>
      <c r="BAK15" s="55"/>
      <c r="BAL15" s="55"/>
      <c r="BAM15" s="55"/>
      <c r="BAN15" s="55"/>
      <c r="BAO15" s="55"/>
      <c r="BAP15" s="55"/>
      <c r="BAQ15" s="55"/>
      <c r="BAR15" s="55"/>
      <c r="BAS15" s="55"/>
      <c r="BAT15" s="55"/>
      <c r="BAU15" s="55"/>
      <c r="BAV15" s="55"/>
      <c r="BAW15" s="55"/>
      <c r="BAX15" s="55"/>
      <c r="BAY15" s="55"/>
      <c r="BAZ15" s="55"/>
      <c r="BBA15" s="55"/>
      <c r="BBB15" s="55"/>
      <c r="BBC15" s="55"/>
      <c r="BBD15" s="55"/>
      <c r="BBE15" s="55"/>
      <c r="BBF15" s="55"/>
      <c r="BBG15" s="55"/>
      <c r="BBH15" s="55"/>
      <c r="BBI15" s="55"/>
      <c r="BBJ15" s="55"/>
      <c r="BBK15" s="55"/>
      <c r="BBL15" s="55"/>
      <c r="BBM15" s="55"/>
      <c r="BBN15" s="55"/>
      <c r="BBO15" s="55"/>
      <c r="BBP15" s="55"/>
      <c r="BBQ15" s="55"/>
      <c r="BBR15" s="55"/>
      <c r="BBS15" s="55"/>
      <c r="BBT15" s="55"/>
      <c r="BBU15" s="55"/>
      <c r="BBV15" s="55"/>
      <c r="BBW15" s="55"/>
      <c r="BBX15" s="55"/>
      <c r="BBY15" s="55"/>
      <c r="BBZ15" s="55"/>
      <c r="BCA15" s="55"/>
      <c r="BCB15" s="55"/>
      <c r="BCC15" s="55"/>
      <c r="BCD15" s="55"/>
      <c r="BCE15" s="55"/>
      <c r="BCF15" s="55"/>
      <c r="BCG15" s="55"/>
      <c r="BCH15" s="55"/>
      <c r="BCI15" s="55"/>
      <c r="BCJ15" s="55"/>
      <c r="BCK15" s="55"/>
      <c r="BCL15" s="55"/>
      <c r="BCM15" s="55"/>
      <c r="BCN15" s="55"/>
      <c r="BCO15" s="55"/>
      <c r="BCP15" s="55"/>
      <c r="BCQ15" s="55"/>
      <c r="BCR15" s="55"/>
      <c r="BCS15" s="55"/>
      <c r="BCT15" s="55"/>
      <c r="BCU15" s="55"/>
      <c r="BCV15" s="55"/>
      <c r="BCW15" s="55"/>
      <c r="BCX15" s="55"/>
      <c r="BCY15" s="55"/>
      <c r="BCZ15" s="55"/>
      <c r="BDA15" s="55"/>
      <c r="BDB15" s="55"/>
      <c r="BDC15" s="55"/>
      <c r="BDD15" s="55"/>
      <c r="BDE15" s="55"/>
      <c r="BDF15" s="55"/>
      <c r="BDG15" s="55"/>
      <c r="BDH15" s="55"/>
      <c r="BDI15" s="55"/>
      <c r="BDJ15" s="55"/>
      <c r="BDK15" s="55"/>
      <c r="BDL15" s="55"/>
      <c r="BDM15" s="55"/>
      <c r="BDN15" s="55"/>
      <c r="BDO15" s="55"/>
      <c r="BDP15" s="55"/>
      <c r="BDQ15" s="55"/>
      <c r="BDR15" s="55"/>
      <c r="BDS15" s="55"/>
      <c r="BDT15" s="55"/>
      <c r="BDU15" s="55"/>
      <c r="BDV15" s="55"/>
      <c r="BDW15" s="55"/>
      <c r="BDX15" s="55"/>
      <c r="BDY15" s="55"/>
      <c r="BDZ15" s="55"/>
      <c r="BEA15" s="55"/>
      <c r="BEB15" s="55"/>
      <c r="BEC15" s="55"/>
      <c r="BED15" s="55"/>
      <c r="BEE15" s="55"/>
      <c r="BEF15" s="55"/>
      <c r="BEG15" s="55"/>
      <c r="BEH15" s="55"/>
      <c r="BEI15" s="55"/>
      <c r="BEJ15" s="55"/>
      <c r="BEK15" s="55"/>
      <c r="BEL15" s="55"/>
      <c r="BEM15" s="55"/>
      <c r="BEN15" s="55"/>
      <c r="BEO15" s="55"/>
      <c r="BEP15" s="55"/>
      <c r="BEQ15" s="55"/>
      <c r="BER15" s="55"/>
      <c r="BES15" s="55"/>
      <c r="BET15" s="55"/>
      <c r="BEU15" s="55"/>
      <c r="BEV15" s="55"/>
      <c r="BEW15" s="55"/>
      <c r="BEX15" s="55"/>
      <c r="BEY15" s="55"/>
      <c r="BEZ15" s="55"/>
      <c r="BFA15" s="55"/>
      <c r="BFB15" s="55"/>
      <c r="BFC15" s="55"/>
      <c r="BFD15" s="55"/>
      <c r="BFE15" s="55"/>
      <c r="BFF15" s="55"/>
      <c r="BFG15" s="55"/>
      <c r="BFH15" s="55"/>
      <c r="BFI15" s="55"/>
      <c r="BFJ15" s="55"/>
      <c r="BFK15" s="55"/>
      <c r="BFL15" s="55"/>
      <c r="BFM15" s="55"/>
      <c r="BFN15" s="55"/>
      <c r="BFO15" s="55"/>
      <c r="BFP15" s="55"/>
      <c r="BFQ15" s="55"/>
      <c r="BFR15" s="55"/>
      <c r="BFS15" s="55"/>
      <c r="BFT15" s="55"/>
      <c r="BFU15" s="55"/>
      <c r="BFV15" s="55"/>
      <c r="BFW15" s="55"/>
      <c r="BFX15" s="55"/>
      <c r="BFY15" s="55"/>
      <c r="BFZ15" s="55"/>
      <c r="BGA15" s="55"/>
      <c r="BGB15" s="55"/>
      <c r="BGC15" s="55"/>
      <c r="BGD15" s="55"/>
      <c r="BGE15" s="55"/>
      <c r="BGF15" s="55"/>
      <c r="BGG15" s="55"/>
      <c r="BGH15" s="55"/>
      <c r="BGI15" s="55"/>
      <c r="BGJ15" s="55"/>
      <c r="BGK15" s="55"/>
      <c r="BGL15" s="55"/>
      <c r="BGM15" s="55"/>
      <c r="BGN15" s="55"/>
      <c r="BGO15" s="55"/>
      <c r="BGP15" s="55"/>
      <c r="BGQ15" s="55"/>
      <c r="BGR15" s="55"/>
      <c r="BGS15" s="55"/>
      <c r="BGT15" s="55"/>
      <c r="BGU15" s="55"/>
      <c r="BGV15" s="55"/>
      <c r="BGW15" s="55"/>
      <c r="BGX15" s="55"/>
      <c r="BGY15" s="55"/>
      <c r="BGZ15" s="55"/>
      <c r="BHA15" s="55"/>
      <c r="BHB15" s="55"/>
      <c r="BHC15" s="55"/>
      <c r="BHD15" s="55"/>
      <c r="BHE15" s="55"/>
      <c r="BHF15" s="55"/>
      <c r="BHG15" s="55"/>
      <c r="BHH15" s="55"/>
      <c r="BHI15" s="55"/>
      <c r="BHJ15" s="55"/>
      <c r="BHK15" s="55"/>
      <c r="BHL15" s="55"/>
      <c r="BHM15" s="55"/>
      <c r="BHN15" s="55"/>
      <c r="BHO15" s="55"/>
      <c r="BHP15" s="55"/>
      <c r="BHQ15" s="55"/>
      <c r="BHR15" s="55"/>
      <c r="BHS15" s="55"/>
      <c r="BHT15" s="55"/>
      <c r="BHU15" s="55"/>
      <c r="BHV15" s="55"/>
      <c r="BHW15" s="55"/>
      <c r="BHX15" s="55"/>
      <c r="BHY15" s="55"/>
      <c r="BHZ15" s="55"/>
      <c r="BIA15" s="55"/>
      <c r="BIB15" s="55"/>
      <c r="BIC15" s="55"/>
      <c r="BID15" s="55"/>
      <c r="BIE15" s="55"/>
      <c r="BIF15" s="55"/>
      <c r="BIG15" s="55"/>
      <c r="BIH15" s="55"/>
      <c r="BII15" s="55"/>
      <c r="BIJ15" s="55"/>
      <c r="BIK15" s="55"/>
      <c r="BIL15" s="55"/>
      <c r="BIM15" s="55"/>
      <c r="BIN15" s="55"/>
      <c r="BIO15" s="55"/>
      <c r="BIP15" s="55"/>
      <c r="BIQ15" s="55"/>
      <c r="BIR15" s="55"/>
      <c r="BIS15" s="55"/>
      <c r="BIT15" s="55"/>
      <c r="BIU15" s="55"/>
      <c r="BIV15" s="55"/>
      <c r="BIW15" s="55"/>
      <c r="BIX15" s="55"/>
      <c r="BIY15" s="55"/>
      <c r="BIZ15" s="55"/>
      <c r="BJA15" s="55"/>
      <c r="BJB15" s="55"/>
      <c r="BJC15" s="55"/>
      <c r="BJD15" s="55"/>
      <c r="BJE15" s="55"/>
      <c r="BJF15" s="55"/>
      <c r="BJG15" s="55"/>
      <c r="BJH15" s="55"/>
      <c r="BJI15" s="55"/>
      <c r="BJJ15" s="55"/>
      <c r="BJK15" s="55"/>
      <c r="BJL15" s="55"/>
      <c r="BJM15" s="55"/>
      <c r="BJN15" s="55"/>
      <c r="BJO15" s="55"/>
      <c r="BJP15" s="55"/>
      <c r="BJQ15" s="55"/>
      <c r="BJR15" s="55"/>
      <c r="BJS15" s="55"/>
      <c r="BJT15" s="55"/>
      <c r="BJU15" s="55"/>
      <c r="BJV15" s="55"/>
      <c r="BJW15" s="55"/>
      <c r="BJX15" s="55"/>
      <c r="BJY15" s="55"/>
      <c r="BJZ15" s="55"/>
      <c r="BKA15" s="55"/>
      <c r="BKB15" s="55"/>
      <c r="BKC15" s="55"/>
      <c r="BKD15" s="55"/>
      <c r="BKE15" s="55"/>
      <c r="BKF15" s="55"/>
      <c r="BKG15" s="55"/>
      <c r="BKH15" s="55"/>
      <c r="BKI15" s="55"/>
      <c r="BKJ15" s="55"/>
      <c r="BKK15" s="55"/>
      <c r="BKL15" s="55"/>
      <c r="BKM15" s="55"/>
      <c r="BKN15" s="55"/>
      <c r="BKO15" s="55"/>
      <c r="BKP15" s="55"/>
      <c r="BKQ15" s="55"/>
      <c r="BKR15" s="55"/>
      <c r="BKS15" s="55"/>
      <c r="BKT15" s="55"/>
      <c r="BKU15" s="55"/>
      <c r="BKV15" s="55"/>
      <c r="BKW15" s="55"/>
      <c r="BKX15" s="55"/>
      <c r="BKY15" s="55"/>
      <c r="BKZ15" s="55"/>
      <c r="BLA15" s="55"/>
      <c r="BLB15" s="55"/>
      <c r="BLC15" s="55"/>
      <c r="BLD15" s="55"/>
      <c r="BLE15" s="55"/>
      <c r="BLF15" s="55"/>
      <c r="BLG15" s="55"/>
      <c r="BLH15" s="55"/>
      <c r="BLI15" s="55"/>
      <c r="BLJ15" s="55"/>
      <c r="BLK15" s="55"/>
      <c r="BLL15" s="55"/>
      <c r="BLM15" s="55"/>
      <c r="BLN15" s="55"/>
      <c r="BLO15" s="55"/>
      <c r="BLP15" s="55"/>
      <c r="BLQ15" s="55"/>
      <c r="BLR15" s="55"/>
      <c r="BLS15" s="55"/>
      <c r="BLT15" s="55"/>
      <c r="BLU15" s="55"/>
      <c r="BLV15" s="55"/>
      <c r="BLW15" s="55"/>
      <c r="BLX15" s="55"/>
      <c r="BLY15" s="55"/>
      <c r="BLZ15" s="55"/>
      <c r="BMA15" s="55"/>
      <c r="BMB15" s="55"/>
      <c r="BMC15" s="55"/>
      <c r="BMD15" s="55"/>
      <c r="BME15" s="55"/>
      <c r="BMF15" s="55"/>
      <c r="BMG15" s="55"/>
      <c r="BMH15" s="55"/>
      <c r="BMI15" s="55"/>
      <c r="BMJ15" s="55"/>
      <c r="BMK15" s="55"/>
      <c r="BML15" s="55"/>
      <c r="BMM15" s="55"/>
      <c r="BMN15" s="55"/>
      <c r="BMO15" s="55"/>
      <c r="BMP15" s="55"/>
      <c r="BMQ15" s="55"/>
      <c r="BMR15" s="55"/>
      <c r="BMS15" s="55"/>
      <c r="BMT15" s="55"/>
      <c r="BMU15" s="55"/>
      <c r="BMV15" s="55"/>
      <c r="BMW15" s="55"/>
      <c r="BMX15" s="55"/>
      <c r="BMY15" s="55"/>
      <c r="BMZ15" s="55"/>
      <c r="BNA15" s="55"/>
      <c r="BNB15" s="55"/>
      <c r="BNC15" s="55"/>
      <c r="BND15" s="55"/>
      <c r="BNE15" s="55"/>
      <c r="BNF15" s="55"/>
      <c r="BNG15" s="55"/>
      <c r="BNH15" s="55"/>
      <c r="BNI15" s="55"/>
      <c r="BNJ15" s="55"/>
      <c r="BNK15" s="55"/>
      <c r="BNL15" s="55"/>
      <c r="BNM15" s="55"/>
      <c r="BNN15" s="55"/>
      <c r="BNO15" s="55"/>
      <c r="BNP15" s="55"/>
      <c r="BNQ15" s="55"/>
      <c r="BNR15" s="55"/>
      <c r="BNS15" s="55"/>
      <c r="BNT15" s="55"/>
      <c r="BNU15" s="55"/>
      <c r="BNV15" s="55"/>
      <c r="BNW15" s="55"/>
      <c r="BNX15" s="55"/>
      <c r="BNY15" s="55"/>
      <c r="BNZ15" s="55"/>
      <c r="BOA15" s="55"/>
      <c r="BOB15" s="55"/>
      <c r="BOC15" s="55"/>
      <c r="BOD15" s="55"/>
      <c r="BOE15" s="55"/>
      <c r="BOF15" s="55"/>
      <c r="BOG15" s="55"/>
      <c r="BOH15" s="55"/>
      <c r="BOI15" s="55"/>
      <c r="BOJ15" s="55"/>
      <c r="BOK15" s="55"/>
      <c r="BOL15" s="55"/>
      <c r="BOM15" s="55"/>
      <c r="BON15" s="55"/>
      <c r="BOO15" s="55"/>
      <c r="BOP15" s="55"/>
      <c r="BOQ15" s="55"/>
      <c r="BOR15" s="55"/>
      <c r="BOS15" s="55"/>
      <c r="BOT15" s="55"/>
      <c r="BOU15" s="55"/>
      <c r="BOV15" s="55"/>
      <c r="BOW15" s="55"/>
      <c r="BOX15" s="55"/>
      <c r="BOY15" s="55"/>
      <c r="BOZ15" s="55"/>
      <c r="BPA15" s="55"/>
      <c r="BPB15" s="55"/>
      <c r="BPC15" s="55"/>
      <c r="BPD15" s="55"/>
      <c r="BPE15" s="55"/>
      <c r="BPF15" s="55"/>
      <c r="BPG15" s="55"/>
      <c r="BPH15" s="55"/>
      <c r="BPI15" s="55"/>
      <c r="BPJ15" s="55"/>
      <c r="BPK15" s="55"/>
      <c r="BPL15" s="55"/>
      <c r="BPM15" s="55"/>
      <c r="BPN15" s="55"/>
      <c r="BPO15" s="55"/>
      <c r="BPP15" s="55"/>
      <c r="BPQ15" s="55"/>
      <c r="BPR15" s="55"/>
      <c r="BPS15" s="55"/>
      <c r="BPT15" s="55"/>
      <c r="BPU15" s="55"/>
      <c r="BPV15" s="55"/>
      <c r="BPW15" s="55"/>
      <c r="BPX15" s="55"/>
      <c r="BPY15" s="55"/>
      <c r="BPZ15" s="55"/>
      <c r="BQA15" s="55"/>
      <c r="BQB15" s="55"/>
      <c r="BQC15" s="55"/>
      <c r="BQD15" s="55"/>
      <c r="BQE15" s="55"/>
      <c r="BQF15" s="55"/>
      <c r="BQG15" s="55"/>
      <c r="BQH15" s="55"/>
      <c r="BQI15" s="55"/>
      <c r="BQJ15" s="55"/>
      <c r="BQK15" s="55"/>
      <c r="BQL15" s="55"/>
      <c r="BQM15" s="55"/>
      <c r="BQN15" s="55"/>
      <c r="BQO15" s="55"/>
      <c r="BQP15" s="55"/>
      <c r="BQQ15" s="55"/>
      <c r="BQR15" s="55"/>
      <c r="BQS15" s="55"/>
      <c r="BQT15" s="55"/>
      <c r="BQU15" s="55"/>
      <c r="BQV15" s="55"/>
      <c r="BQW15" s="55"/>
      <c r="BQX15" s="55"/>
      <c r="BQY15" s="55"/>
      <c r="BQZ15" s="55"/>
      <c r="BRA15" s="55"/>
      <c r="BRB15" s="55"/>
      <c r="BRC15" s="55"/>
      <c r="BRD15" s="55"/>
      <c r="BRE15" s="55"/>
      <c r="BRF15" s="55"/>
      <c r="BRG15" s="55"/>
      <c r="BRH15" s="55"/>
      <c r="BRI15" s="55"/>
      <c r="BRJ15" s="55"/>
      <c r="BRK15" s="55"/>
      <c r="BRL15" s="55"/>
      <c r="BRM15" s="55"/>
      <c r="BRN15" s="55"/>
      <c r="BRO15" s="55"/>
      <c r="BRP15" s="55"/>
      <c r="BRQ15" s="55"/>
      <c r="BRR15" s="55"/>
      <c r="BRS15" s="55"/>
      <c r="BRT15" s="55"/>
      <c r="BRU15" s="55"/>
      <c r="BRV15" s="55"/>
      <c r="BRW15" s="55"/>
      <c r="BRX15" s="55"/>
      <c r="BRY15" s="55"/>
      <c r="BRZ15" s="55"/>
      <c r="BSA15" s="55"/>
      <c r="BSB15" s="55"/>
      <c r="BSC15" s="55"/>
      <c r="BSD15" s="55"/>
      <c r="BSE15" s="55"/>
      <c r="BSF15" s="55"/>
      <c r="BSG15" s="55"/>
      <c r="BSH15" s="55"/>
      <c r="BSI15" s="55"/>
      <c r="BSJ15" s="55"/>
      <c r="BSK15" s="55"/>
      <c r="BSL15" s="55"/>
      <c r="BSM15" s="55"/>
      <c r="BSN15" s="55"/>
      <c r="BSO15" s="55"/>
      <c r="BSP15" s="55"/>
      <c r="BSQ15" s="55"/>
      <c r="BSR15" s="55"/>
      <c r="BSS15" s="55"/>
      <c r="BST15" s="55"/>
      <c r="BSU15" s="55"/>
      <c r="BSV15" s="55"/>
      <c r="BSW15" s="55"/>
      <c r="BSX15" s="55"/>
      <c r="BSY15" s="55"/>
      <c r="BSZ15" s="55"/>
      <c r="BTA15" s="55"/>
      <c r="BTB15" s="55"/>
      <c r="BTC15" s="55"/>
      <c r="BTD15" s="55"/>
      <c r="BTE15" s="55"/>
      <c r="BTF15" s="55"/>
      <c r="BTG15" s="55"/>
      <c r="BTH15" s="55"/>
      <c r="BTI15" s="55"/>
      <c r="BTJ15" s="55"/>
      <c r="BTK15" s="55"/>
      <c r="BTL15" s="55"/>
      <c r="BTM15" s="55"/>
      <c r="BTN15" s="55"/>
      <c r="BTO15" s="55"/>
      <c r="BTP15" s="55"/>
      <c r="BTQ15" s="55"/>
      <c r="BTR15" s="55"/>
      <c r="BTS15" s="55"/>
      <c r="BTT15" s="55"/>
      <c r="BTU15" s="55"/>
      <c r="BTV15" s="55"/>
      <c r="BTW15" s="55"/>
      <c r="BTX15" s="55"/>
      <c r="BTY15" s="55"/>
      <c r="BTZ15" s="55"/>
      <c r="BUA15" s="55"/>
      <c r="BUB15" s="55"/>
      <c r="BUC15" s="55"/>
      <c r="BUD15" s="55"/>
      <c r="BUE15" s="55"/>
      <c r="BUF15" s="55"/>
      <c r="BUG15" s="55"/>
      <c r="BUH15" s="55"/>
      <c r="BUI15" s="55"/>
      <c r="BUJ15" s="55"/>
      <c r="BUK15" s="55"/>
      <c r="BUL15" s="55"/>
      <c r="BUM15" s="55"/>
      <c r="BUN15" s="55"/>
      <c r="BUO15" s="55"/>
      <c r="BUP15" s="55"/>
      <c r="BUQ15" s="55"/>
      <c r="BUR15" s="55"/>
      <c r="BUS15" s="55"/>
      <c r="BUT15" s="55"/>
      <c r="BUU15" s="55"/>
      <c r="BUV15" s="55"/>
      <c r="BUW15" s="55"/>
      <c r="BUX15" s="55"/>
      <c r="BUY15" s="55"/>
      <c r="BUZ15" s="55"/>
      <c r="BVA15" s="55"/>
      <c r="BVB15" s="55"/>
      <c r="BVC15" s="55"/>
      <c r="BVD15" s="55"/>
      <c r="BVE15" s="55"/>
      <c r="BVF15" s="55"/>
      <c r="BVG15" s="55"/>
      <c r="BVH15" s="55"/>
      <c r="BVI15" s="55"/>
      <c r="BVJ15" s="55"/>
      <c r="BVK15" s="55"/>
      <c r="BVL15" s="55"/>
      <c r="BVM15" s="55"/>
      <c r="BVN15" s="55"/>
      <c r="BVO15" s="55"/>
      <c r="BVP15" s="55"/>
      <c r="BVQ15" s="55"/>
      <c r="BVR15" s="55"/>
      <c r="BVS15" s="55"/>
      <c r="BVT15" s="55"/>
      <c r="BVU15" s="55"/>
      <c r="BVV15" s="55"/>
      <c r="BVW15" s="55"/>
      <c r="BVX15" s="55"/>
      <c r="BVY15" s="55"/>
      <c r="BVZ15" s="55"/>
      <c r="BWA15" s="55"/>
      <c r="BWB15" s="55"/>
      <c r="BWC15" s="55"/>
      <c r="BWD15" s="55"/>
      <c r="BWE15" s="55"/>
      <c r="BWF15" s="55"/>
      <c r="BWG15" s="55"/>
      <c r="BWH15" s="55"/>
      <c r="BWI15" s="55"/>
      <c r="BWJ15" s="55"/>
      <c r="BWK15" s="55"/>
      <c r="BWL15" s="55"/>
      <c r="BWM15" s="55"/>
      <c r="BWN15" s="55"/>
      <c r="BWO15" s="55"/>
      <c r="BWP15" s="55"/>
      <c r="BWQ15" s="55"/>
      <c r="BWR15" s="55"/>
      <c r="BWS15" s="55"/>
      <c r="BWT15" s="55"/>
      <c r="BWU15" s="55"/>
      <c r="BWV15" s="55"/>
      <c r="BWW15" s="55"/>
      <c r="BWX15" s="55"/>
      <c r="BWY15" s="55"/>
      <c r="BWZ15" s="55"/>
      <c r="BXA15" s="55"/>
      <c r="BXB15" s="55"/>
      <c r="BXC15" s="55"/>
      <c r="BXD15" s="55"/>
      <c r="BXE15" s="55"/>
      <c r="BXF15" s="55"/>
      <c r="BXG15" s="55"/>
      <c r="BXH15" s="55"/>
      <c r="BXI15" s="55"/>
      <c r="BXJ15" s="55"/>
      <c r="BXK15" s="55"/>
      <c r="BXL15" s="55"/>
      <c r="BXM15" s="55"/>
      <c r="BXN15" s="55"/>
      <c r="BXO15" s="55"/>
      <c r="BXP15" s="55"/>
      <c r="BXQ15" s="55"/>
      <c r="BXR15" s="55"/>
      <c r="BXS15" s="55"/>
      <c r="BXT15" s="55"/>
      <c r="BXU15" s="55"/>
      <c r="BXV15" s="55"/>
      <c r="BXW15" s="55"/>
      <c r="BXX15" s="55"/>
      <c r="BXY15" s="55"/>
      <c r="BXZ15" s="55"/>
      <c r="BYA15" s="55"/>
      <c r="BYB15" s="55"/>
      <c r="BYC15" s="55"/>
      <c r="BYD15" s="55"/>
      <c r="BYE15" s="55"/>
      <c r="BYF15" s="55"/>
      <c r="BYG15" s="55"/>
      <c r="BYH15" s="55"/>
      <c r="BYI15" s="55"/>
      <c r="BYJ15" s="55"/>
      <c r="BYK15" s="55"/>
      <c r="BYL15" s="55"/>
      <c r="BYM15" s="55"/>
      <c r="BYN15" s="55"/>
      <c r="BYO15" s="55"/>
      <c r="BYP15" s="55"/>
      <c r="BYQ15" s="55"/>
      <c r="BYR15" s="55"/>
      <c r="BYS15" s="55"/>
      <c r="BYT15" s="55"/>
      <c r="BYU15" s="55"/>
      <c r="BYV15" s="55"/>
      <c r="BYW15" s="55"/>
      <c r="BYX15" s="55"/>
      <c r="BYY15" s="55"/>
      <c r="BYZ15" s="55"/>
      <c r="BZA15" s="55"/>
      <c r="BZB15" s="55"/>
      <c r="BZC15" s="55"/>
      <c r="BZD15" s="55"/>
      <c r="BZE15" s="55"/>
      <c r="BZF15" s="55"/>
      <c r="BZG15" s="55"/>
      <c r="BZH15" s="55"/>
      <c r="BZI15" s="55"/>
      <c r="BZJ15" s="55"/>
      <c r="BZK15" s="55"/>
      <c r="BZL15" s="55"/>
      <c r="BZM15" s="55"/>
      <c r="BZN15" s="55"/>
      <c r="BZO15" s="55"/>
      <c r="BZP15" s="55"/>
      <c r="BZQ15" s="55"/>
      <c r="BZR15" s="55"/>
      <c r="BZS15" s="55"/>
      <c r="BZT15" s="55"/>
      <c r="BZU15" s="55"/>
      <c r="BZV15" s="55"/>
      <c r="BZW15" s="55"/>
      <c r="BZX15" s="55"/>
      <c r="BZY15" s="55"/>
      <c r="BZZ15" s="55"/>
      <c r="CAA15" s="55"/>
      <c r="CAB15" s="55"/>
      <c r="CAC15" s="55"/>
      <c r="CAD15" s="55"/>
      <c r="CAE15" s="55"/>
      <c r="CAF15" s="55"/>
      <c r="CAG15" s="55"/>
      <c r="CAH15" s="55"/>
      <c r="CAI15" s="55"/>
      <c r="CAJ15" s="55"/>
      <c r="CAK15" s="55"/>
      <c r="CAL15" s="55"/>
      <c r="CAM15" s="55"/>
      <c r="CAN15" s="55"/>
      <c r="CAO15" s="55"/>
      <c r="CAP15" s="55"/>
      <c r="CAQ15" s="55"/>
      <c r="CAR15" s="55"/>
      <c r="CAS15" s="55"/>
      <c r="CAT15" s="55"/>
      <c r="CAU15" s="55"/>
      <c r="CAV15" s="55"/>
      <c r="CAW15" s="55"/>
      <c r="CAX15" s="55"/>
      <c r="CAY15" s="55"/>
      <c r="CAZ15" s="55"/>
      <c r="CBA15" s="55"/>
      <c r="CBB15" s="55"/>
      <c r="CBC15" s="55"/>
      <c r="CBD15" s="55"/>
      <c r="CBE15" s="55"/>
      <c r="CBF15" s="55"/>
      <c r="CBG15" s="55"/>
      <c r="CBH15" s="55"/>
      <c r="CBI15" s="55"/>
      <c r="CBJ15" s="55"/>
      <c r="CBK15" s="55"/>
      <c r="CBL15" s="55"/>
      <c r="CBM15" s="55"/>
      <c r="CBN15" s="55"/>
      <c r="CBO15" s="55"/>
      <c r="CBP15" s="55"/>
      <c r="CBQ15" s="55"/>
      <c r="CBR15" s="55"/>
      <c r="CBS15" s="55"/>
      <c r="CBT15" s="55"/>
      <c r="CBU15" s="55"/>
      <c r="CBV15" s="55"/>
      <c r="CBW15" s="55"/>
      <c r="CBX15" s="55"/>
      <c r="CBY15" s="55"/>
      <c r="CBZ15" s="55"/>
      <c r="CCA15" s="55"/>
      <c r="CCB15" s="55"/>
      <c r="CCC15" s="55"/>
      <c r="CCD15" s="55"/>
      <c r="CCE15" s="55"/>
      <c r="CCF15" s="55"/>
      <c r="CCG15" s="55"/>
      <c r="CCH15" s="55"/>
      <c r="CCI15" s="55"/>
      <c r="CCJ15" s="55"/>
      <c r="CCK15" s="55"/>
      <c r="CCL15" s="55"/>
      <c r="CCM15" s="55"/>
      <c r="CCN15" s="55"/>
      <c r="CCO15" s="55"/>
      <c r="CCP15" s="55"/>
      <c r="CCQ15" s="55"/>
      <c r="CCR15" s="55"/>
      <c r="CCS15" s="55"/>
      <c r="CCT15" s="55"/>
      <c r="CCU15" s="55"/>
      <c r="CCV15" s="55"/>
      <c r="CCW15" s="55"/>
      <c r="CCX15" s="55"/>
      <c r="CCY15" s="55"/>
      <c r="CCZ15" s="55"/>
      <c r="CDA15" s="55"/>
      <c r="CDB15" s="55"/>
      <c r="CDC15" s="55"/>
      <c r="CDD15" s="55"/>
      <c r="CDE15" s="55"/>
      <c r="CDF15" s="55"/>
      <c r="CDG15" s="55"/>
      <c r="CDH15" s="55"/>
      <c r="CDI15" s="55"/>
      <c r="CDJ15" s="55"/>
      <c r="CDK15" s="55"/>
      <c r="CDL15" s="55"/>
      <c r="CDM15" s="55"/>
      <c r="CDN15" s="55"/>
      <c r="CDO15" s="55"/>
      <c r="CDP15" s="55"/>
      <c r="CDQ15" s="55"/>
      <c r="CDR15" s="55"/>
      <c r="CDS15" s="55"/>
      <c r="CDT15" s="55"/>
      <c r="CDU15" s="55"/>
      <c r="CDV15" s="55"/>
      <c r="CDW15" s="55"/>
      <c r="CDX15" s="55"/>
      <c r="CDY15" s="55"/>
      <c r="CDZ15" s="55"/>
      <c r="CEA15" s="55"/>
      <c r="CEB15" s="55"/>
      <c r="CEC15" s="55"/>
      <c r="CED15" s="55"/>
      <c r="CEE15" s="55"/>
      <c r="CEF15" s="55"/>
      <c r="CEG15" s="55"/>
      <c r="CEH15" s="55"/>
      <c r="CEI15" s="55"/>
      <c r="CEJ15" s="55"/>
      <c r="CEK15" s="55"/>
      <c r="CEL15" s="55"/>
      <c r="CEM15" s="55"/>
      <c r="CEN15" s="55"/>
      <c r="CEO15" s="55"/>
      <c r="CEP15" s="55"/>
      <c r="CEQ15" s="55"/>
      <c r="CER15" s="55"/>
      <c r="CES15" s="55"/>
      <c r="CET15" s="55"/>
      <c r="CEU15" s="55"/>
      <c r="CEV15" s="55"/>
      <c r="CEW15" s="55"/>
      <c r="CEX15" s="55"/>
      <c r="CEY15" s="55"/>
      <c r="CEZ15" s="55"/>
      <c r="CFA15" s="55"/>
      <c r="CFB15" s="55"/>
      <c r="CFC15" s="55"/>
      <c r="CFD15" s="55"/>
      <c r="CFE15" s="55"/>
      <c r="CFF15" s="55"/>
      <c r="CFG15" s="55"/>
      <c r="CFH15" s="55"/>
      <c r="CFI15" s="55"/>
      <c r="CFJ15" s="55"/>
      <c r="CFK15" s="55"/>
      <c r="CFL15" s="55"/>
      <c r="CFM15" s="55"/>
      <c r="CFN15" s="55"/>
      <c r="CFO15" s="55"/>
      <c r="CFP15" s="55"/>
      <c r="CFQ15" s="55"/>
      <c r="CFR15" s="55"/>
      <c r="CFS15" s="55"/>
      <c r="CFT15" s="55"/>
      <c r="CFU15" s="55"/>
      <c r="CFV15" s="55"/>
      <c r="CFW15" s="55"/>
      <c r="CFX15" s="55"/>
      <c r="CFY15" s="55"/>
      <c r="CFZ15" s="55"/>
      <c r="CGA15" s="55"/>
      <c r="CGB15" s="55"/>
      <c r="CGC15" s="55"/>
      <c r="CGD15" s="55"/>
      <c r="CGE15" s="55"/>
      <c r="CGF15" s="55"/>
      <c r="CGG15" s="55"/>
      <c r="CGH15" s="55"/>
      <c r="CGI15" s="55"/>
      <c r="CGJ15" s="55"/>
      <c r="CGK15" s="55"/>
      <c r="CGL15" s="55"/>
      <c r="CGM15" s="55"/>
      <c r="CGN15" s="55"/>
      <c r="CGO15" s="55"/>
      <c r="CGP15" s="55"/>
      <c r="CGQ15" s="55"/>
      <c r="CGR15" s="55"/>
      <c r="CGS15" s="55"/>
      <c r="CGT15" s="55"/>
      <c r="CGU15" s="55"/>
      <c r="CGV15" s="55"/>
      <c r="CGW15" s="55"/>
      <c r="CGX15" s="55"/>
      <c r="CGY15" s="55"/>
      <c r="CGZ15" s="55"/>
      <c r="CHA15" s="55"/>
      <c r="CHB15" s="55"/>
      <c r="CHC15" s="55"/>
      <c r="CHD15" s="55"/>
      <c r="CHE15" s="55"/>
      <c r="CHF15" s="55"/>
      <c r="CHG15" s="55"/>
      <c r="CHH15" s="55"/>
      <c r="CHI15" s="55"/>
      <c r="CHJ15" s="55"/>
      <c r="CHK15" s="55"/>
      <c r="CHL15" s="55"/>
      <c r="CHM15" s="55"/>
      <c r="CHN15" s="55"/>
      <c r="CHO15" s="55"/>
      <c r="CHP15" s="55"/>
      <c r="CHQ15" s="55"/>
      <c r="CHR15" s="55"/>
      <c r="CHS15" s="55"/>
      <c r="CHT15" s="55"/>
      <c r="CHU15" s="55"/>
      <c r="CHV15" s="55"/>
      <c r="CHW15" s="55"/>
      <c r="CHX15" s="55"/>
      <c r="CHY15" s="55"/>
      <c r="CHZ15" s="55"/>
      <c r="CIA15" s="55"/>
      <c r="CIB15" s="55"/>
      <c r="CIC15" s="55"/>
      <c r="CID15" s="55"/>
      <c r="CIE15" s="55"/>
      <c r="CIF15" s="55"/>
      <c r="CIG15" s="55"/>
      <c r="CIH15" s="55"/>
      <c r="CII15" s="55"/>
      <c r="CIJ15" s="55"/>
      <c r="CIK15" s="55"/>
      <c r="CIL15" s="55"/>
      <c r="CIM15" s="55"/>
      <c r="CIN15" s="55"/>
      <c r="CIO15" s="55"/>
      <c r="CIP15" s="55"/>
      <c r="CIQ15" s="55"/>
      <c r="CIR15" s="55"/>
      <c r="CIS15" s="55"/>
      <c r="CIT15" s="55"/>
      <c r="CIU15" s="55"/>
      <c r="CIV15" s="55"/>
      <c r="CIW15" s="55"/>
      <c r="CIX15" s="55"/>
      <c r="CIY15" s="55"/>
      <c r="CIZ15" s="55"/>
      <c r="CJA15" s="55"/>
      <c r="CJB15" s="55"/>
      <c r="CJC15" s="55"/>
      <c r="CJD15" s="55"/>
      <c r="CJE15" s="55"/>
      <c r="CJF15" s="55"/>
      <c r="CJG15" s="55"/>
      <c r="CJH15" s="55"/>
      <c r="CJI15" s="55"/>
      <c r="CJJ15" s="55"/>
      <c r="CJK15" s="55"/>
      <c r="CJL15" s="55"/>
      <c r="CJM15" s="55"/>
      <c r="CJN15" s="55"/>
      <c r="CJO15" s="55"/>
      <c r="CJP15" s="55"/>
      <c r="CJQ15" s="55"/>
      <c r="CJR15" s="55"/>
      <c r="CJS15" s="55"/>
      <c r="CJT15" s="55"/>
      <c r="CJU15" s="55"/>
      <c r="CJV15" s="55"/>
      <c r="CJW15" s="55"/>
      <c r="CJX15" s="55"/>
      <c r="CJY15" s="55"/>
      <c r="CJZ15" s="55"/>
      <c r="CKA15" s="55"/>
      <c r="CKB15" s="55"/>
      <c r="CKC15" s="55"/>
      <c r="CKD15" s="55"/>
      <c r="CKE15" s="55"/>
      <c r="CKF15" s="55"/>
      <c r="CKG15" s="55"/>
      <c r="CKH15" s="55"/>
      <c r="CKI15" s="55"/>
      <c r="CKJ15" s="55"/>
      <c r="CKK15" s="55"/>
      <c r="CKL15" s="55"/>
      <c r="CKM15" s="55"/>
      <c r="CKN15" s="55"/>
      <c r="CKO15" s="55"/>
      <c r="CKP15" s="55"/>
      <c r="CKQ15" s="55"/>
      <c r="CKR15" s="55"/>
      <c r="CKS15" s="55"/>
      <c r="CKT15" s="55"/>
      <c r="CKU15" s="55"/>
      <c r="CKV15" s="55"/>
      <c r="CKW15" s="55"/>
      <c r="CKX15" s="55"/>
      <c r="CKY15" s="55"/>
      <c r="CKZ15" s="55"/>
      <c r="CLA15" s="55"/>
      <c r="CLB15" s="55"/>
      <c r="CLC15" s="55"/>
      <c r="CLD15" s="55"/>
      <c r="CLE15" s="55"/>
      <c r="CLF15" s="55"/>
      <c r="CLG15" s="55"/>
      <c r="CLH15" s="55"/>
      <c r="CLI15" s="55"/>
      <c r="CLJ15" s="55"/>
      <c r="CLK15" s="55"/>
      <c r="CLL15" s="55"/>
      <c r="CLM15" s="55"/>
      <c r="CLN15" s="55"/>
      <c r="CLO15" s="55"/>
      <c r="CLP15" s="55"/>
      <c r="CLQ15" s="55"/>
      <c r="CLR15" s="55"/>
      <c r="CLS15" s="55"/>
      <c r="CLT15" s="55"/>
      <c r="CLU15" s="55"/>
      <c r="CLV15" s="55"/>
      <c r="CLW15" s="55"/>
      <c r="CLX15" s="55"/>
      <c r="CLY15" s="55"/>
      <c r="CLZ15" s="55"/>
      <c r="CMA15" s="55"/>
      <c r="CMB15" s="55"/>
      <c r="CMC15" s="55"/>
      <c r="CMD15" s="55"/>
      <c r="CME15" s="55"/>
      <c r="CMF15" s="55"/>
      <c r="CMG15" s="55"/>
      <c r="CMH15" s="55"/>
      <c r="CMI15" s="55"/>
      <c r="CMJ15" s="55"/>
      <c r="CMK15" s="55"/>
      <c r="CML15" s="55"/>
      <c r="CMM15" s="55"/>
      <c r="CMN15" s="55"/>
      <c r="CMO15" s="55"/>
      <c r="CMP15" s="55"/>
      <c r="CMQ15" s="55"/>
      <c r="CMR15" s="55"/>
      <c r="CMS15" s="55"/>
      <c r="CMT15" s="55"/>
      <c r="CMU15" s="55"/>
      <c r="CMV15" s="55"/>
      <c r="CMW15" s="55"/>
      <c r="CMX15" s="55"/>
      <c r="CMY15" s="55"/>
      <c r="CMZ15" s="55"/>
      <c r="CNA15" s="55"/>
      <c r="CNB15" s="55"/>
      <c r="CNC15" s="55"/>
      <c r="CND15" s="55"/>
      <c r="CNE15" s="55"/>
      <c r="CNF15" s="55"/>
      <c r="CNG15" s="55"/>
      <c r="CNH15" s="55"/>
      <c r="CNI15" s="55"/>
      <c r="CNJ15" s="55"/>
      <c r="CNK15" s="55"/>
      <c r="CNL15" s="55"/>
      <c r="CNM15" s="55"/>
      <c r="CNN15" s="55"/>
      <c r="CNO15" s="55"/>
      <c r="CNP15" s="55"/>
      <c r="CNQ15" s="55"/>
      <c r="CNR15" s="55"/>
      <c r="CNS15" s="55"/>
      <c r="CNT15" s="55"/>
      <c r="CNU15" s="55"/>
      <c r="CNV15" s="55"/>
      <c r="CNW15" s="55"/>
      <c r="CNX15" s="55"/>
      <c r="CNY15" s="55"/>
      <c r="CNZ15" s="55"/>
      <c r="COA15" s="55"/>
      <c r="COB15" s="55"/>
      <c r="COC15" s="55"/>
      <c r="COD15" s="55"/>
      <c r="COE15" s="55"/>
      <c r="COF15" s="55"/>
      <c r="COG15" s="55"/>
      <c r="COH15" s="55"/>
      <c r="COI15" s="55"/>
      <c r="COJ15" s="55"/>
      <c r="COK15" s="55"/>
      <c r="COL15" s="55"/>
      <c r="COM15" s="55"/>
      <c r="CON15" s="55"/>
      <c r="COO15" s="55"/>
      <c r="COP15" s="55"/>
      <c r="COQ15" s="55"/>
      <c r="COR15" s="55"/>
      <c r="COS15" s="55"/>
      <c r="COT15" s="55"/>
      <c r="COU15" s="55"/>
      <c r="COV15" s="55"/>
      <c r="COW15" s="55"/>
      <c r="COX15" s="55"/>
      <c r="COY15" s="55"/>
      <c r="COZ15" s="55"/>
      <c r="CPA15" s="55"/>
      <c r="CPB15" s="55"/>
      <c r="CPC15" s="55"/>
      <c r="CPD15" s="55"/>
      <c r="CPE15" s="55"/>
      <c r="CPF15" s="55"/>
      <c r="CPG15" s="55"/>
      <c r="CPH15" s="55"/>
      <c r="CPI15" s="55"/>
      <c r="CPJ15" s="55"/>
      <c r="CPK15" s="55"/>
      <c r="CPL15" s="55"/>
      <c r="CPM15" s="55"/>
      <c r="CPN15" s="55"/>
      <c r="CPO15" s="55"/>
      <c r="CPP15" s="55"/>
      <c r="CPQ15" s="55"/>
      <c r="CPR15" s="55"/>
      <c r="CPS15" s="55"/>
      <c r="CPT15" s="55"/>
      <c r="CPU15" s="55"/>
      <c r="CPV15" s="55"/>
      <c r="CPW15" s="55"/>
      <c r="CPX15" s="55"/>
      <c r="CPY15" s="55"/>
      <c r="CPZ15" s="55"/>
      <c r="CQA15" s="55"/>
      <c r="CQB15" s="55"/>
      <c r="CQC15" s="55"/>
      <c r="CQD15" s="55"/>
      <c r="CQE15" s="55"/>
      <c r="CQF15" s="55"/>
      <c r="CQG15" s="55"/>
      <c r="CQH15" s="55"/>
      <c r="CQI15" s="55"/>
      <c r="CQJ15" s="55"/>
      <c r="CQK15" s="55"/>
      <c r="CQL15" s="55"/>
      <c r="CQM15" s="55"/>
      <c r="CQN15" s="55"/>
      <c r="CQO15" s="55"/>
      <c r="CQP15" s="55"/>
      <c r="CQQ15" s="55"/>
      <c r="CQR15" s="55"/>
      <c r="CQS15" s="55"/>
      <c r="CQT15" s="55"/>
      <c r="CQU15" s="55"/>
      <c r="CQV15" s="55"/>
      <c r="CQW15" s="55"/>
      <c r="CQX15" s="55"/>
      <c r="CQY15" s="55"/>
      <c r="CQZ15" s="55"/>
      <c r="CRA15" s="55"/>
      <c r="CRB15" s="55"/>
      <c r="CRC15" s="55"/>
      <c r="CRD15" s="55"/>
      <c r="CRE15" s="55"/>
      <c r="CRF15" s="55"/>
      <c r="CRG15" s="55"/>
      <c r="CRH15" s="55"/>
      <c r="CRI15" s="55"/>
      <c r="CRJ15" s="55"/>
      <c r="CRK15" s="55"/>
      <c r="CRL15" s="55"/>
      <c r="CRM15" s="55"/>
      <c r="CRN15" s="55"/>
      <c r="CRO15" s="55"/>
      <c r="CRP15" s="55"/>
      <c r="CRQ15" s="55"/>
      <c r="CRR15" s="55"/>
      <c r="CRS15" s="55"/>
      <c r="CRT15" s="55"/>
      <c r="CRU15" s="55"/>
      <c r="CRV15" s="55"/>
      <c r="CRW15" s="55"/>
      <c r="CRX15" s="55"/>
      <c r="CRY15" s="55"/>
      <c r="CRZ15" s="55"/>
      <c r="CSA15" s="55"/>
      <c r="CSB15" s="55"/>
      <c r="CSC15" s="55"/>
      <c r="CSD15" s="55"/>
      <c r="CSE15" s="55"/>
      <c r="CSF15" s="55"/>
      <c r="CSG15" s="55"/>
      <c r="CSH15" s="55"/>
      <c r="CSI15" s="55"/>
      <c r="CSJ15" s="55"/>
      <c r="CSK15" s="55"/>
      <c r="CSL15" s="55"/>
      <c r="CSM15" s="55"/>
      <c r="CSN15" s="55"/>
      <c r="CSO15" s="55"/>
      <c r="CSP15" s="55"/>
      <c r="CSQ15" s="55"/>
      <c r="CSR15" s="55"/>
      <c r="CSS15" s="55"/>
      <c r="CST15" s="55"/>
      <c r="CSU15" s="55"/>
      <c r="CSV15" s="55"/>
      <c r="CSW15" s="55"/>
      <c r="CSX15" s="55"/>
      <c r="CSY15" s="55"/>
      <c r="CSZ15" s="55"/>
      <c r="CTA15" s="55"/>
      <c r="CTB15" s="55"/>
      <c r="CTC15" s="55"/>
      <c r="CTD15" s="55"/>
      <c r="CTE15" s="55"/>
      <c r="CTF15" s="55"/>
      <c r="CTG15" s="55"/>
      <c r="CTH15" s="55"/>
      <c r="CTI15" s="55"/>
      <c r="CTJ15" s="55"/>
      <c r="CTK15" s="55"/>
      <c r="CTL15" s="55"/>
      <c r="CTM15" s="55"/>
      <c r="CTN15" s="55"/>
      <c r="CTO15" s="55"/>
      <c r="CTP15" s="55"/>
      <c r="CTQ15" s="55"/>
      <c r="CTR15" s="55"/>
      <c r="CTS15" s="55"/>
      <c r="CTT15" s="55"/>
      <c r="CTU15" s="55"/>
      <c r="CTV15" s="55"/>
      <c r="CTW15" s="55"/>
      <c r="CTX15" s="55"/>
      <c r="CTY15" s="55"/>
      <c r="CTZ15" s="55"/>
      <c r="CUA15" s="55"/>
      <c r="CUB15" s="55"/>
      <c r="CUC15" s="55"/>
      <c r="CUD15" s="55"/>
      <c r="CUE15" s="55"/>
      <c r="CUF15" s="55"/>
      <c r="CUG15" s="55"/>
      <c r="CUH15" s="55"/>
      <c r="CUI15" s="55"/>
      <c r="CUJ15" s="55"/>
      <c r="CUK15" s="55"/>
      <c r="CUL15" s="55"/>
      <c r="CUM15" s="55"/>
      <c r="CUN15" s="55"/>
      <c r="CUO15" s="55"/>
      <c r="CUP15" s="55"/>
      <c r="CUQ15" s="55"/>
      <c r="CUR15" s="55"/>
      <c r="CUS15" s="55"/>
      <c r="CUT15" s="55"/>
      <c r="CUU15" s="55"/>
      <c r="CUV15" s="55"/>
      <c r="CUW15" s="55"/>
      <c r="CUX15" s="55"/>
      <c r="CUY15" s="55"/>
      <c r="CUZ15" s="55"/>
      <c r="CVA15" s="55"/>
      <c r="CVB15" s="55"/>
      <c r="CVC15" s="55"/>
      <c r="CVD15" s="55"/>
      <c r="CVE15" s="55"/>
      <c r="CVF15" s="55"/>
      <c r="CVG15" s="55"/>
      <c r="CVH15" s="55"/>
      <c r="CVI15" s="55"/>
      <c r="CVJ15" s="55"/>
      <c r="CVK15" s="55"/>
      <c r="CVL15" s="55"/>
      <c r="CVM15" s="55"/>
      <c r="CVN15" s="55"/>
      <c r="CVO15" s="55"/>
      <c r="CVP15" s="55"/>
      <c r="CVQ15" s="55"/>
      <c r="CVR15" s="55"/>
      <c r="CVS15" s="55"/>
      <c r="CVT15" s="55"/>
      <c r="CVU15" s="55"/>
      <c r="CVV15" s="55"/>
      <c r="CVW15" s="55"/>
      <c r="CVX15" s="55"/>
      <c r="CVY15" s="55"/>
      <c r="CVZ15" s="55"/>
      <c r="CWA15" s="55"/>
      <c r="CWB15" s="55"/>
      <c r="CWC15" s="55"/>
      <c r="CWD15" s="55"/>
      <c r="CWE15" s="55"/>
      <c r="CWF15" s="55"/>
      <c r="CWG15" s="55"/>
      <c r="CWH15" s="55"/>
      <c r="CWI15" s="55"/>
      <c r="CWJ15" s="55"/>
      <c r="CWK15" s="55"/>
      <c r="CWL15" s="55"/>
      <c r="CWM15" s="55"/>
      <c r="CWN15" s="55"/>
      <c r="CWO15" s="55"/>
      <c r="CWP15" s="55"/>
      <c r="CWQ15" s="55"/>
      <c r="CWR15" s="55"/>
      <c r="CWS15" s="55"/>
      <c r="CWT15" s="55"/>
      <c r="CWU15" s="55"/>
      <c r="CWV15" s="55"/>
      <c r="CWW15" s="55"/>
      <c r="CWX15" s="55"/>
      <c r="CWY15" s="55"/>
      <c r="CWZ15" s="55"/>
      <c r="CXA15" s="55"/>
      <c r="CXB15" s="55"/>
      <c r="CXC15" s="55"/>
      <c r="CXD15" s="55"/>
      <c r="CXE15" s="55"/>
      <c r="CXF15" s="55"/>
      <c r="CXG15" s="55"/>
      <c r="CXH15" s="55"/>
      <c r="CXI15" s="55"/>
      <c r="CXJ15" s="55"/>
      <c r="CXK15" s="55"/>
      <c r="CXL15" s="55"/>
      <c r="CXM15" s="55"/>
      <c r="CXN15" s="55"/>
      <c r="CXO15" s="55"/>
      <c r="CXP15" s="55"/>
      <c r="CXQ15" s="55"/>
      <c r="CXR15" s="55"/>
      <c r="CXS15" s="55"/>
      <c r="CXT15" s="55"/>
      <c r="CXU15" s="55"/>
      <c r="CXV15" s="55"/>
      <c r="CXW15" s="55"/>
      <c r="CXX15" s="55"/>
      <c r="CXY15" s="55"/>
      <c r="CXZ15" s="55"/>
      <c r="CYA15" s="55"/>
      <c r="CYB15" s="55"/>
      <c r="CYC15" s="55"/>
      <c r="CYD15" s="55"/>
      <c r="CYE15" s="55"/>
      <c r="CYF15" s="55"/>
      <c r="CYG15" s="55"/>
      <c r="CYH15" s="55"/>
      <c r="CYI15" s="55"/>
      <c r="CYJ15" s="55"/>
      <c r="CYK15" s="55"/>
      <c r="CYL15" s="55"/>
      <c r="CYM15" s="55"/>
      <c r="CYN15" s="55"/>
      <c r="CYO15" s="55"/>
      <c r="CYP15" s="55"/>
      <c r="CYQ15" s="55"/>
      <c r="CYR15" s="55"/>
      <c r="CYS15" s="55"/>
      <c r="CYT15" s="55"/>
      <c r="CYU15" s="55"/>
      <c r="CYV15" s="55"/>
      <c r="CYW15" s="55"/>
      <c r="CYX15" s="55"/>
      <c r="CYY15" s="55"/>
      <c r="CYZ15" s="55"/>
      <c r="CZA15" s="55"/>
      <c r="CZB15" s="55"/>
      <c r="CZC15" s="55"/>
      <c r="CZD15" s="55"/>
      <c r="CZE15" s="55"/>
      <c r="CZF15" s="55"/>
      <c r="CZG15" s="55"/>
      <c r="CZH15" s="55"/>
      <c r="CZI15" s="55"/>
      <c r="CZJ15" s="55"/>
      <c r="CZK15" s="55"/>
      <c r="CZL15" s="55"/>
      <c r="CZM15" s="55"/>
      <c r="CZN15" s="55"/>
      <c r="CZO15" s="55"/>
      <c r="CZP15" s="55"/>
      <c r="CZQ15" s="55"/>
      <c r="CZR15" s="55"/>
      <c r="CZS15" s="55"/>
      <c r="CZT15" s="55"/>
      <c r="CZU15" s="55"/>
      <c r="CZV15" s="55"/>
      <c r="CZW15" s="55"/>
      <c r="CZX15" s="55"/>
      <c r="CZY15" s="55"/>
      <c r="CZZ15" s="55"/>
      <c r="DAA15" s="55"/>
      <c r="DAB15" s="55"/>
      <c r="DAC15" s="55"/>
      <c r="DAD15" s="55"/>
      <c r="DAE15" s="55"/>
      <c r="DAF15" s="55"/>
      <c r="DAG15" s="55"/>
      <c r="DAH15" s="55"/>
      <c r="DAI15" s="55"/>
      <c r="DAJ15" s="55"/>
      <c r="DAK15" s="55"/>
      <c r="DAL15" s="55"/>
      <c r="DAM15" s="55"/>
      <c r="DAN15" s="55"/>
      <c r="DAO15" s="55"/>
      <c r="DAP15" s="55"/>
      <c r="DAQ15" s="55"/>
      <c r="DAR15" s="55"/>
      <c r="DAS15" s="55"/>
      <c r="DAT15" s="55"/>
      <c r="DAU15" s="55"/>
      <c r="DAV15" s="55"/>
      <c r="DAW15" s="55"/>
      <c r="DAX15" s="55"/>
      <c r="DAY15" s="55"/>
      <c r="DAZ15" s="55"/>
      <c r="DBA15" s="55"/>
      <c r="DBB15" s="55"/>
      <c r="DBC15" s="55"/>
      <c r="DBD15" s="55"/>
      <c r="DBE15" s="55"/>
      <c r="DBF15" s="55"/>
      <c r="DBG15" s="55"/>
      <c r="DBH15" s="55"/>
      <c r="DBI15" s="55"/>
      <c r="DBJ15" s="55"/>
      <c r="DBK15" s="55"/>
      <c r="DBL15" s="55"/>
      <c r="DBM15" s="55"/>
      <c r="DBN15" s="55"/>
      <c r="DBO15" s="55"/>
      <c r="DBP15" s="55"/>
      <c r="DBQ15" s="55"/>
      <c r="DBR15" s="55"/>
      <c r="DBS15" s="55"/>
      <c r="DBT15" s="55"/>
      <c r="DBU15" s="55"/>
      <c r="DBV15" s="55"/>
      <c r="DBW15" s="55"/>
      <c r="DBX15" s="55"/>
      <c r="DBY15" s="55"/>
      <c r="DBZ15" s="55"/>
      <c r="DCA15" s="55"/>
      <c r="DCB15" s="55"/>
      <c r="DCC15" s="55"/>
      <c r="DCD15" s="55"/>
      <c r="DCE15" s="55"/>
      <c r="DCF15" s="55"/>
      <c r="DCG15" s="55"/>
      <c r="DCH15" s="55"/>
      <c r="DCI15" s="55"/>
      <c r="DCJ15" s="55"/>
      <c r="DCK15" s="55"/>
      <c r="DCL15" s="55"/>
      <c r="DCM15" s="55"/>
      <c r="DCN15" s="55"/>
      <c r="DCO15" s="55"/>
      <c r="DCP15" s="55"/>
      <c r="DCQ15" s="55"/>
      <c r="DCR15" s="55"/>
      <c r="DCS15" s="55"/>
      <c r="DCT15" s="55"/>
      <c r="DCU15" s="55"/>
      <c r="DCV15" s="55"/>
      <c r="DCW15" s="55"/>
      <c r="DCX15" s="55"/>
      <c r="DCY15" s="55"/>
      <c r="DCZ15" s="55"/>
      <c r="DDA15" s="55"/>
      <c r="DDB15" s="55"/>
      <c r="DDC15" s="55"/>
      <c r="DDD15" s="55"/>
      <c r="DDE15" s="55"/>
      <c r="DDF15" s="55"/>
      <c r="DDG15" s="55"/>
      <c r="DDH15" s="55"/>
      <c r="DDI15" s="55"/>
      <c r="DDJ15" s="55"/>
      <c r="DDK15" s="55"/>
      <c r="DDL15" s="55"/>
      <c r="DDM15" s="55"/>
      <c r="DDN15" s="55"/>
      <c r="DDO15" s="55"/>
      <c r="DDP15" s="55"/>
      <c r="DDQ15" s="55"/>
      <c r="DDR15" s="55"/>
      <c r="DDS15" s="55"/>
      <c r="DDT15" s="55"/>
      <c r="DDU15" s="55"/>
      <c r="DDV15" s="55"/>
      <c r="DDW15" s="55"/>
      <c r="DDX15" s="55"/>
      <c r="DDY15" s="55"/>
      <c r="DDZ15" s="55"/>
      <c r="DEA15" s="55"/>
      <c r="DEB15" s="55"/>
      <c r="DEC15" s="55"/>
      <c r="DED15" s="55"/>
      <c r="DEE15" s="55"/>
      <c r="DEF15" s="55"/>
      <c r="DEG15" s="55"/>
      <c r="DEH15" s="55"/>
      <c r="DEI15" s="55"/>
      <c r="DEJ15" s="55"/>
      <c r="DEK15" s="55"/>
      <c r="DEL15" s="55"/>
      <c r="DEM15" s="55"/>
      <c r="DEN15" s="55"/>
      <c r="DEO15" s="55"/>
      <c r="DEP15" s="55"/>
      <c r="DEQ15" s="55"/>
      <c r="DER15" s="55"/>
      <c r="DES15" s="55"/>
      <c r="DET15" s="55"/>
      <c r="DEU15" s="55"/>
      <c r="DEV15" s="55"/>
      <c r="DEW15" s="55"/>
      <c r="DEX15" s="55"/>
      <c r="DEY15" s="55"/>
      <c r="DEZ15" s="55"/>
      <c r="DFA15" s="55"/>
      <c r="DFB15" s="55"/>
      <c r="DFC15" s="55"/>
      <c r="DFD15" s="55"/>
      <c r="DFE15" s="55"/>
      <c r="DFF15" s="55"/>
      <c r="DFG15" s="55"/>
      <c r="DFH15" s="55"/>
      <c r="DFI15" s="55"/>
      <c r="DFJ15" s="55"/>
      <c r="DFK15" s="55"/>
      <c r="DFL15" s="55"/>
      <c r="DFM15" s="55"/>
      <c r="DFN15" s="55"/>
      <c r="DFO15" s="55"/>
      <c r="DFP15" s="55"/>
      <c r="DFQ15" s="55"/>
      <c r="DFR15" s="55"/>
      <c r="DFS15" s="55"/>
      <c r="DFT15" s="55"/>
      <c r="DFU15" s="55"/>
      <c r="DFV15" s="55"/>
      <c r="DFW15" s="55"/>
      <c r="DFX15" s="55"/>
      <c r="DFY15" s="55"/>
      <c r="DFZ15" s="55"/>
      <c r="DGA15" s="55"/>
      <c r="DGB15" s="55"/>
      <c r="DGC15" s="55"/>
      <c r="DGD15" s="55"/>
      <c r="DGE15" s="55"/>
      <c r="DGF15" s="55"/>
      <c r="DGG15" s="55"/>
      <c r="DGH15" s="55"/>
      <c r="DGI15" s="55"/>
      <c r="DGJ15" s="55"/>
      <c r="DGK15" s="55"/>
      <c r="DGL15" s="55"/>
      <c r="DGM15" s="55"/>
      <c r="DGN15" s="55"/>
      <c r="DGO15" s="55"/>
      <c r="DGP15" s="55"/>
      <c r="DGQ15" s="55"/>
      <c r="DGR15" s="55"/>
      <c r="DGS15" s="55"/>
      <c r="DGT15" s="55"/>
      <c r="DGU15" s="55"/>
      <c r="DGV15" s="55"/>
      <c r="DGW15" s="55"/>
      <c r="DGX15" s="55"/>
      <c r="DGY15" s="55"/>
      <c r="DGZ15" s="55"/>
      <c r="DHA15" s="55"/>
      <c r="DHB15" s="55"/>
      <c r="DHC15" s="55"/>
      <c r="DHD15" s="55"/>
      <c r="DHE15" s="55"/>
      <c r="DHF15" s="55"/>
      <c r="DHG15" s="55"/>
      <c r="DHH15" s="55"/>
      <c r="DHI15" s="55"/>
      <c r="DHJ15" s="55"/>
      <c r="DHK15" s="55"/>
      <c r="DHL15" s="55"/>
      <c r="DHM15" s="55"/>
      <c r="DHN15" s="55"/>
      <c r="DHO15" s="55"/>
      <c r="DHP15" s="55"/>
      <c r="DHQ15" s="55"/>
      <c r="DHR15" s="55"/>
      <c r="DHS15" s="55"/>
      <c r="DHT15" s="55"/>
      <c r="DHU15" s="55"/>
      <c r="DHV15" s="55"/>
      <c r="DHW15" s="55"/>
      <c r="DHX15" s="55"/>
      <c r="DHY15" s="55"/>
      <c r="DHZ15" s="55"/>
      <c r="DIA15" s="55"/>
      <c r="DIB15" s="55"/>
      <c r="DIC15" s="55"/>
      <c r="DID15" s="55"/>
      <c r="DIE15" s="55"/>
      <c r="DIF15" s="55"/>
      <c r="DIG15" s="55"/>
      <c r="DIH15" s="55"/>
      <c r="DII15" s="55"/>
      <c r="DIJ15" s="55"/>
      <c r="DIK15" s="55"/>
      <c r="DIL15" s="55"/>
      <c r="DIM15" s="55"/>
      <c r="DIN15" s="55"/>
      <c r="DIO15" s="55"/>
      <c r="DIP15" s="55"/>
      <c r="DIQ15" s="55"/>
      <c r="DIR15" s="55"/>
      <c r="DIS15" s="55"/>
      <c r="DIT15" s="55"/>
      <c r="DIU15" s="55"/>
      <c r="DIV15" s="55"/>
      <c r="DIW15" s="55"/>
      <c r="DIX15" s="55"/>
      <c r="DIY15" s="55"/>
      <c r="DIZ15" s="55"/>
      <c r="DJA15" s="55"/>
      <c r="DJB15" s="55"/>
      <c r="DJC15" s="55"/>
      <c r="DJD15" s="55"/>
      <c r="DJE15" s="55"/>
      <c r="DJF15" s="55"/>
      <c r="DJG15" s="55"/>
      <c r="DJH15" s="55"/>
      <c r="DJI15" s="55"/>
      <c r="DJJ15" s="55"/>
      <c r="DJK15" s="55"/>
      <c r="DJL15" s="55"/>
      <c r="DJM15" s="55"/>
      <c r="DJN15" s="55"/>
      <c r="DJO15" s="55"/>
      <c r="DJP15" s="55"/>
      <c r="DJQ15" s="55"/>
      <c r="DJR15" s="55"/>
      <c r="DJS15" s="55"/>
      <c r="DJT15" s="55"/>
      <c r="DJU15" s="55"/>
      <c r="DJV15" s="55"/>
      <c r="DJW15" s="55"/>
      <c r="DJX15" s="55"/>
      <c r="DJY15" s="55"/>
      <c r="DJZ15" s="55"/>
      <c r="DKA15" s="55"/>
      <c r="DKB15" s="55"/>
      <c r="DKC15" s="55"/>
      <c r="DKD15" s="55"/>
      <c r="DKE15" s="55"/>
      <c r="DKF15" s="55"/>
      <c r="DKG15" s="55"/>
      <c r="DKH15" s="55"/>
      <c r="DKI15" s="55"/>
      <c r="DKJ15" s="55"/>
      <c r="DKK15" s="55"/>
      <c r="DKL15" s="55"/>
      <c r="DKM15" s="55"/>
      <c r="DKN15" s="55"/>
      <c r="DKO15" s="55"/>
      <c r="DKP15" s="55"/>
      <c r="DKQ15" s="55"/>
      <c r="DKR15" s="55"/>
      <c r="DKS15" s="55"/>
      <c r="DKT15" s="55"/>
      <c r="DKU15" s="55"/>
      <c r="DKV15" s="55"/>
      <c r="DKW15" s="55"/>
      <c r="DKX15" s="55"/>
      <c r="DKY15" s="55"/>
      <c r="DKZ15" s="55"/>
      <c r="DLA15" s="55"/>
      <c r="DLB15" s="55"/>
      <c r="DLC15" s="55"/>
      <c r="DLD15" s="55"/>
      <c r="DLE15" s="55"/>
      <c r="DLF15" s="55"/>
      <c r="DLG15" s="55"/>
      <c r="DLH15" s="55"/>
      <c r="DLI15" s="55"/>
      <c r="DLJ15" s="55"/>
      <c r="DLK15" s="55"/>
      <c r="DLL15" s="55"/>
      <c r="DLM15" s="55"/>
      <c r="DLN15" s="55"/>
      <c r="DLO15" s="55"/>
      <c r="DLP15" s="55"/>
      <c r="DLQ15" s="55"/>
      <c r="DLR15" s="55"/>
      <c r="DLS15" s="55"/>
      <c r="DLT15" s="55"/>
      <c r="DLU15" s="55"/>
      <c r="DLV15" s="55"/>
      <c r="DLW15" s="55"/>
      <c r="DLX15" s="55"/>
      <c r="DLY15" s="55"/>
      <c r="DLZ15" s="55"/>
      <c r="DMA15" s="55"/>
      <c r="DMB15" s="55"/>
      <c r="DMC15" s="55"/>
      <c r="DMD15" s="55"/>
      <c r="DME15" s="55"/>
      <c r="DMF15" s="55"/>
      <c r="DMG15" s="55"/>
      <c r="DMH15" s="55"/>
      <c r="DMI15" s="55"/>
      <c r="DMJ15" s="55"/>
      <c r="DMK15" s="55"/>
      <c r="DML15" s="55"/>
      <c r="DMM15" s="55"/>
      <c r="DMN15" s="55"/>
      <c r="DMO15" s="55"/>
      <c r="DMP15" s="55"/>
      <c r="DMQ15" s="55"/>
      <c r="DMR15" s="55"/>
      <c r="DMS15" s="55"/>
      <c r="DMT15" s="55"/>
      <c r="DMU15" s="55"/>
      <c r="DMV15" s="55"/>
      <c r="DMW15" s="55"/>
      <c r="DMX15" s="55"/>
      <c r="DMY15" s="55"/>
      <c r="DMZ15" s="55"/>
      <c r="DNA15" s="55"/>
      <c r="DNB15" s="55"/>
      <c r="DNC15" s="55"/>
      <c r="DND15" s="55"/>
      <c r="DNE15" s="55"/>
      <c r="DNF15" s="55"/>
      <c r="DNG15" s="55"/>
      <c r="DNH15" s="55"/>
      <c r="DNI15" s="55"/>
      <c r="DNJ15" s="55"/>
      <c r="DNK15" s="55"/>
      <c r="DNL15" s="55"/>
      <c r="DNM15" s="55"/>
      <c r="DNN15" s="55"/>
      <c r="DNO15" s="55"/>
      <c r="DNP15" s="55"/>
      <c r="DNQ15" s="55"/>
      <c r="DNR15" s="55"/>
      <c r="DNS15" s="55"/>
      <c r="DNT15" s="55"/>
      <c r="DNU15" s="55"/>
      <c r="DNV15" s="55"/>
      <c r="DNW15" s="55"/>
      <c r="DNX15" s="55"/>
      <c r="DNY15" s="55"/>
      <c r="DNZ15" s="55"/>
      <c r="DOA15" s="55"/>
      <c r="DOB15" s="55"/>
      <c r="DOC15" s="55"/>
      <c r="DOD15" s="55"/>
      <c r="DOE15" s="55"/>
      <c r="DOF15" s="55"/>
      <c r="DOG15" s="55"/>
      <c r="DOH15" s="55"/>
      <c r="DOI15" s="55"/>
      <c r="DOJ15" s="55"/>
      <c r="DOK15" s="55"/>
      <c r="DOL15" s="55"/>
      <c r="DOM15" s="55"/>
      <c r="DON15" s="55"/>
      <c r="DOO15" s="55"/>
      <c r="DOP15" s="55"/>
      <c r="DOQ15" s="55"/>
      <c r="DOR15" s="55"/>
      <c r="DOS15" s="55"/>
      <c r="DOT15" s="55"/>
      <c r="DOU15" s="55"/>
      <c r="DOV15" s="55"/>
      <c r="DOW15" s="55"/>
      <c r="DOX15" s="55"/>
      <c r="DOY15" s="55"/>
      <c r="DOZ15" s="55"/>
      <c r="DPA15" s="55"/>
      <c r="DPB15" s="55"/>
      <c r="DPC15" s="55"/>
      <c r="DPD15" s="55"/>
      <c r="DPE15" s="55"/>
      <c r="DPF15" s="55"/>
      <c r="DPG15" s="55"/>
      <c r="DPH15" s="55"/>
      <c r="DPI15" s="55"/>
      <c r="DPJ15" s="55"/>
      <c r="DPK15" s="55"/>
      <c r="DPL15" s="55"/>
      <c r="DPM15" s="55"/>
      <c r="DPN15" s="55"/>
      <c r="DPO15" s="55"/>
      <c r="DPP15" s="55"/>
      <c r="DPQ15" s="55"/>
      <c r="DPR15" s="55"/>
      <c r="DPS15" s="55"/>
      <c r="DPT15" s="55"/>
      <c r="DPU15" s="55"/>
      <c r="DPV15" s="55"/>
      <c r="DPW15" s="55"/>
      <c r="DPX15" s="55"/>
      <c r="DPY15" s="55"/>
      <c r="DPZ15" s="55"/>
      <c r="DQA15" s="55"/>
      <c r="DQB15" s="55"/>
      <c r="DQC15" s="55"/>
      <c r="DQD15" s="55"/>
      <c r="DQE15" s="55"/>
      <c r="DQF15" s="55"/>
      <c r="DQG15" s="55"/>
      <c r="DQH15" s="55"/>
      <c r="DQI15" s="55"/>
      <c r="DQJ15" s="55"/>
      <c r="DQK15" s="55"/>
      <c r="DQL15" s="55"/>
      <c r="DQM15" s="55"/>
      <c r="DQN15" s="55"/>
      <c r="DQO15" s="55"/>
      <c r="DQP15" s="55"/>
      <c r="DQQ15" s="55"/>
      <c r="DQR15" s="55"/>
      <c r="DQS15" s="55"/>
      <c r="DQT15" s="55"/>
      <c r="DQU15" s="55"/>
      <c r="DQV15" s="55"/>
      <c r="DQW15" s="55"/>
      <c r="DQX15" s="55"/>
      <c r="DQY15" s="55"/>
      <c r="DQZ15" s="55"/>
      <c r="DRA15" s="55"/>
      <c r="DRB15" s="55"/>
      <c r="DRC15" s="55"/>
      <c r="DRD15" s="55"/>
      <c r="DRE15" s="55"/>
      <c r="DRF15" s="55"/>
      <c r="DRG15" s="55"/>
      <c r="DRH15" s="55"/>
      <c r="DRI15" s="55"/>
      <c r="DRJ15" s="55"/>
      <c r="DRK15" s="55"/>
      <c r="DRL15" s="55"/>
      <c r="DRM15" s="55"/>
      <c r="DRN15" s="55"/>
      <c r="DRO15" s="55"/>
      <c r="DRP15" s="55"/>
      <c r="DRQ15" s="55"/>
      <c r="DRR15" s="55"/>
      <c r="DRS15" s="55"/>
      <c r="DRT15" s="55"/>
      <c r="DRU15" s="55"/>
      <c r="DRV15" s="55"/>
      <c r="DRW15" s="55"/>
      <c r="DRX15" s="55"/>
      <c r="DRY15" s="55"/>
      <c r="DRZ15" s="55"/>
      <c r="DSA15" s="55"/>
      <c r="DSB15" s="55"/>
      <c r="DSC15" s="55"/>
      <c r="DSD15" s="55"/>
      <c r="DSE15" s="55"/>
      <c r="DSF15" s="55"/>
      <c r="DSG15" s="55"/>
      <c r="DSH15" s="55"/>
      <c r="DSI15" s="55"/>
      <c r="DSJ15" s="55"/>
      <c r="DSK15" s="55"/>
      <c r="DSL15" s="55"/>
      <c r="DSM15" s="55"/>
      <c r="DSN15" s="55"/>
      <c r="DSO15" s="55"/>
      <c r="DSP15" s="55"/>
      <c r="DSQ15" s="55"/>
      <c r="DSR15" s="55"/>
      <c r="DSS15" s="55"/>
      <c r="DST15" s="55"/>
      <c r="DSU15" s="55"/>
      <c r="DSV15" s="55"/>
      <c r="DSW15" s="55"/>
      <c r="DSX15" s="55"/>
      <c r="DSY15" s="55"/>
      <c r="DSZ15" s="55"/>
      <c r="DTA15" s="55"/>
      <c r="DTB15" s="55"/>
      <c r="DTC15" s="55"/>
      <c r="DTD15" s="55"/>
      <c r="DTE15" s="55"/>
      <c r="DTF15" s="55"/>
      <c r="DTG15" s="55"/>
      <c r="DTH15" s="55"/>
      <c r="DTI15" s="55"/>
      <c r="DTJ15" s="55"/>
      <c r="DTK15" s="55"/>
      <c r="DTL15" s="55"/>
      <c r="DTM15" s="55"/>
      <c r="DTN15" s="55"/>
      <c r="DTO15" s="55"/>
      <c r="DTP15" s="55"/>
      <c r="DTQ15" s="55"/>
      <c r="DTR15" s="55"/>
      <c r="DTS15" s="55"/>
      <c r="DTT15" s="55"/>
      <c r="DTU15" s="55"/>
      <c r="DTV15" s="55"/>
      <c r="DTW15" s="55"/>
      <c r="DTX15" s="55"/>
      <c r="DTY15" s="55"/>
      <c r="DTZ15" s="55"/>
      <c r="DUA15" s="55"/>
      <c r="DUB15" s="55"/>
      <c r="DUC15" s="55"/>
      <c r="DUD15" s="55"/>
      <c r="DUE15" s="55"/>
      <c r="DUF15" s="55"/>
      <c r="DUG15" s="55"/>
      <c r="DUH15" s="55"/>
      <c r="DUI15" s="55"/>
      <c r="DUJ15" s="55"/>
      <c r="DUK15" s="55"/>
      <c r="DUL15" s="55"/>
      <c r="DUM15" s="55"/>
      <c r="DUN15" s="55"/>
      <c r="DUO15" s="55"/>
      <c r="DUP15" s="55"/>
      <c r="DUQ15" s="55"/>
      <c r="DUR15" s="55"/>
      <c r="DUS15" s="55"/>
      <c r="DUT15" s="55"/>
      <c r="DUU15" s="55"/>
      <c r="DUV15" s="55"/>
      <c r="DUW15" s="55"/>
      <c r="DUX15" s="55"/>
      <c r="DUY15" s="55"/>
      <c r="DUZ15" s="55"/>
      <c r="DVA15" s="55"/>
      <c r="DVB15" s="55"/>
      <c r="DVC15" s="55"/>
      <c r="DVD15" s="55"/>
      <c r="DVE15" s="55"/>
      <c r="DVF15" s="55"/>
      <c r="DVG15" s="55"/>
      <c r="DVH15" s="55"/>
      <c r="DVI15" s="55"/>
      <c r="DVJ15" s="55"/>
      <c r="DVK15" s="55"/>
      <c r="DVL15" s="55"/>
      <c r="DVM15" s="55"/>
      <c r="DVN15" s="55"/>
      <c r="DVO15" s="55"/>
      <c r="DVP15" s="55"/>
      <c r="DVQ15" s="55"/>
      <c r="DVR15" s="55"/>
      <c r="DVS15" s="55"/>
      <c r="DVT15" s="55"/>
      <c r="DVU15" s="55"/>
      <c r="DVV15" s="55"/>
      <c r="DVW15" s="55"/>
      <c r="DVX15" s="55"/>
      <c r="DVY15" s="55"/>
      <c r="DVZ15" s="55"/>
      <c r="DWA15" s="55"/>
      <c r="DWB15" s="55"/>
      <c r="DWC15" s="55"/>
      <c r="DWD15" s="55"/>
      <c r="DWE15" s="55"/>
      <c r="DWF15" s="55"/>
      <c r="DWG15" s="55"/>
      <c r="DWH15" s="55"/>
      <c r="DWI15" s="55"/>
      <c r="DWJ15" s="55"/>
      <c r="DWK15" s="55"/>
      <c r="DWL15" s="55"/>
      <c r="DWM15" s="55"/>
      <c r="DWN15" s="55"/>
      <c r="DWO15" s="55"/>
      <c r="DWP15" s="55"/>
      <c r="DWQ15" s="55"/>
      <c r="DWR15" s="55"/>
      <c r="DWS15" s="55"/>
      <c r="DWT15" s="55"/>
      <c r="DWU15" s="55"/>
      <c r="DWV15" s="55"/>
      <c r="DWW15" s="55"/>
      <c r="DWX15" s="55"/>
      <c r="DWY15" s="55"/>
      <c r="DWZ15" s="55"/>
      <c r="DXA15" s="55"/>
      <c r="DXB15" s="55"/>
      <c r="DXC15" s="55"/>
      <c r="DXD15" s="55"/>
      <c r="DXE15" s="55"/>
      <c r="DXF15" s="55"/>
      <c r="DXG15" s="55"/>
      <c r="DXH15" s="55"/>
      <c r="DXI15" s="55"/>
      <c r="DXJ15" s="55"/>
      <c r="DXK15" s="55"/>
      <c r="DXL15" s="55"/>
      <c r="DXM15" s="55"/>
      <c r="DXN15" s="55"/>
      <c r="DXO15" s="55"/>
      <c r="DXP15" s="55"/>
      <c r="DXQ15" s="55"/>
      <c r="DXR15" s="55"/>
      <c r="DXS15" s="55"/>
      <c r="DXT15" s="55"/>
      <c r="DXU15" s="55"/>
      <c r="DXV15" s="55"/>
      <c r="DXW15" s="55"/>
      <c r="DXX15" s="55"/>
      <c r="DXY15" s="55"/>
      <c r="DXZ15" s="55"/>
      <c r="DYA15" s="55"/>
      <c r="DYB15" s="55"/>
      <c r="DYC15" s="55"/>
      <c r="DYD15" s="55"/>
      <c r="DYE15" s="55"/>
      <c r="DYF15" s="55"/>
      <c r="DYG15" s="55"/>
      <c r="DYH15" s="55"/>
      <c r="DYI15" s="55"/>
      <c r="DYJ15" s="55"/>
      <c r="DYK15" s="55"/>
      <c r="DYL15" s="55"/>
      <c r="DYM15" s="55"/>
      <c r="DYN15" s="55"/>
      <c r="DYO15" s="55"/>
      <c r="DYP15" s="55"/>
      <c r="DYQ15" s="55"/>
      <c r="DYR15" s="55"/>
      <c r="DYS15" s="55"/>
      <c r="DYT15" s="55"/>
      <c r="DYU15" s="55"/>
      <c r="DYV15" s="55"/>
      <c r="DYW15" s="55"/>
      <c r="DYX15" s="55"/>
      <c r="DYY15" s="55"/>
      <c r="DYZ15" s="55"/>
      <c r="DZA15" s="55"/>
      <c r="DZB15" s="55"/>
      <c r="DZC15" s="55"/>
      <c r="DZD15" s="55"/>
      <c r="DZE15" s="55"/>
      <c r="DZF15" s="55"/>
      <c r="DZG15" s="55"/>
      <c r="DZH15" s="55"/>
      <c r="DZI15" s="55"/>
      <c r="DZJ15" s="55"/>
      <c r="DZK15" s="55"/>
      <c r="DZL15" s="55"/>
      <c r="DZM15" s="55"/>
      <c r="DZN15" s="55"/>
      <c r="DZO15" s="55"/>
      <c r="DZP15" s="55"/>
      <c r="DZQ15" s="55"/>
      <c r="DZR15" s="55"/>
      <c r="DZS15" s="55"/>
      <c r="DZT15" s="55"/>
      <c r="DZU15" s="55"/>
      <c r="DZV15" s="55"/>
      <c r="DZW15" s="55"/>
      <c r="DZX15" s="55"/>
      <c r="DZY15" s="55"/>
      <c r="DZZ15" s="55"/>
      <c r="EAA15" s="55"/>
      <c r="EAB15" s="55"/>
      <c r="EAC15" s="55"/>
      <c r="EAD15" s="55"/>
      <c r="EAE15" s="55"/>
      <c r="EAF15" s="55"/>
      <c r="EAG15" s="55"/>
      <c r="EAH15" s="55"/>
      <c r="EAI15" s="55"/>
      <c r="EAJ15" s="55"/>
      <c r="EAK15" s="55"/>
      <c r="EAL15" s="55"/>
      <c r="EAM15" s="55"/>
      <c r="EAN15" s="55"/>
      <c r="EAO15" s="55"/>
      <c r="EAP15" s="55"/>
      <c r="EAQ15" s="55"/>
      <c r="EAR15" s="55"/>
      <c r="EAS15" s="55"/>
      <c r="EAT15" s="55"/>
      <c r="EAU15" s="55"/>
      <c r="EAV15" s="55"/>
      <c r="EAW15" s="55"/>
      <c r="EAX15" s="55"/>
      <c r="EAY15" s="55"/>
      <c r="EAZ15" s="55"/>
      <c r="EBA15" s="55"/>
      <c r="EBB15" s="55"/>
      <c r="EBC15" s="55"/>
      <c r="EBD15" s="55"/>
      <c r="EBE15" s="55"/>
      <c r="EBF15" s="55"/>
      <c r="EBG15" s="55"/>
      <c r="EBH15" s="55"/>
      <c r="EBI15" s="55"/>
      <c r="EBJ15" s="55"/>
      <c r="EBK15" s="55"/>
      <c r="EBL15" s="55"/>
      <c r="EBM15" s="55"/>
      <c r="EBN15" s="55"/>
      <c r="EBO15" s="55"/>
      <c r="EBP15" s="55"/>
      <c r="EBQ15" s="55"/>
      <c r="EBR15" s="55"/>
      <c r="EBS15" s="55"/>
      <c r="EBT15" s="55"/>
      <c r="EBU15" s="55"/>
      <c r="EBV15" s="55"/>
      <c r="EBW15" s="55"/>
      <c r="EBX15" s="55"/>
      <c r="EBY15" s="55"/>
      <c r="EBZ15" s="55"/>
      <c r="ECA15" s="55"/>
      <c r="ECB15" s="55"/>
      <c r="ECC15" s="55"/>
      <c r="ECD15" s="55"/>
      <c r="ECE15" s="55"/>
      <c r="ECF15" s="55"/>
      <c r="ECG15" s="55"/>
      <c r="ECH15" s="55"/>
      <c r="ECI15" s="55"/>
      <c r="ECJ15" s="55"/>
      <c r="ECK15" s="55"/>
      <c r="ECL15" s="55"/>
      <c r="ECM15" s="55"/>
      <c r="ECN15" s="55"/>
      <c r="ECO15" s="55"/>
      <c r="ECP15" s="55"/>
      <c r="ECQ15" s="55"/>
      <c r="ECR15" s="55"/>
      <c r="ECS15" s="55"/>
      <c r="ECT15" s="55"/>
      <c r="ECU15" s="55"/>
      <c r="ECV15" s="55"/>
      <c r="ECW15" s="55"/>
      <c r="ECX15" s="55"/>
      <c r="ECY15" s="55"/>
      <c r="ECZ15" s="55"/>
      <c r="EDA15" s="55"/>
      <c r="EDB15" s="55"/>
      <c r="EDC15" s="55"/>
      <c r="EDD15" s="55"/>
      <c r="EDE15" s="55"/>
      <c r="EDF15" s="55"/>
      <c r="EDG15" s="55"/>
      <c r="EDH15" s="55"/>
      <c r="EDI15" s="55"/>
      <c r="EDJ15" s="55"/>
      <c r="EDK15" s="55"/>
      <c r="EDL15" s="55"/>
      <c r="EDM15" s="55"/>
      <c r="EDN15" s="55"/>
      <c r="EDO15" s="55"/>
      <c r="EDP15" s="55"/>
      <c r="EDQ15" s="55"/>
      <c r="EDR15" s="55"/>
      <c r="EDS15" s="55"/>
      <c r="EDT15" s="55"/>
      <c r="EDU15" s="55"/>
      <c r="EDV15" s="55"/>
      <c r="EDW15" s="55"/>
      <c r="EDX15" s="55"/>
      <c r="EDY15" s="55"/>
      <c r="EDZ15" s="55"/>
      <c r="EEA15" s="55"/>
      <c r="EEB15" s="55"/>
      <c r="EEC15" s="55"/>
      <c r="EED15" s="55"/>
      <c r="EEE15" s="55"/>
      <c r="EEF15" s="55"/>
      <c r="EEG15" s="55"/>
      <c r="EEH15" s="55"/>
      <c r="EEI15" s="55"/>
      <c r="EEJ15" s="55"/>
      <c r="EEK15" s="55"/>
      <c r="EEL15" s="55"/>
      <c r="EEM15" s="55"/>
      <c r="EEN15" s="55"/>
      <c r="EEO15" s="55"/>
      <c r="EEP15" s="55"/>
      <c r="EEQ15" s="55"/>
      <c r="EER15" s="55"/>
      <c r="EES15" s="55"/>
      <c r="EET15" s="55"/>
      <c r="EEU15" s="55"/>
      <c r="EEV15" s="55"/>
      <c r="EEW15" s="55"/>
      <c r="EEX15" s="55"/>
      <c r="EEY15" s="55"/>
      <c r="EEZ15" s="55"/>
      <c r="EFA15" s="55"/>
      <c r="EFB15" s="55"/>
      <c r="EFC15" s="55"/>
      <c r="EFD15" s="55"/>
      <c r="EFE15" s="55"/>
      <c r="EFF15" s="55"/>
      <c r="EFG15" s="55"/>
      <c r="EFH15" s="55"/>
      <c r="EFI15" s="55"/>
      <c r="EFJ15" s="55"/>
      <c r="EFK15" s="55"/>
      <c r="EFL15" s="55"/>
      <c r="EFM15" s="55"/>
      <c r="EFN15" s="55"/>
      <c r="EFO15" s="55"/>
      <c r="EFP15" s="55"/>
      <c r="EFQ15" s="55"/>
      <c r="EFR15" s="55"/>
      <c r="EFS15" s="55"/>
      <c r="EFT15" s="55"/>
      <c r="EFU15" s="55"/>
      <c r="EFV15" s="55"/>
      <c r="EFW15" s="55"/>
      <c r="EFX15" s="55"/>
      <c r="EFY15" s="55"/>
      <c r="EFZ15" s="55"/>
      <c r="EGA15" s="55"/>
      <c r="EGB15" s="55"/>
      <c r="EGC15" s="55"/>
      <c r="EGD15" s="55"/>
      <c r="EGE15" s="55"/>
      <c r="EGF15" s="55"/>
      <c r="EGG15" s="55"/>
      <c r="EGH15" s="55"/>
      <c r="EGI15" s="55"/>
      <c r="EGJ15" s="55"/>
      <c r="EGK15" s="55"/>
      <c r="EGL15" s="55"/>
      <c r="EGM15" s="55"/>
      <c r="EGN15" s="55"/>
      <c r="EGO15" s="55"/>
      <c r="EGP15" s="55"/>
      <c r="EGQ15" s="55"/>
      <c r="EGR15" s="55"/>
      <c r="EGS15" s="55"/>
      <c r="EGT15" s="55"/>
      <c r="EGU15" s="55"/>
      <c r="EGV15" s="55"/>
      <c r="EGW15" s="55"/>
      <c r="EGX15" s="55"/>
      <c r="EGY15" s="55"/>
      <c r="EGZ15" s="55"/>
      <c r="EHA15" s="55"/>
      <c r="EHB15" s="55"/>
      <c r="EHC15" s="55"/>
      <c r="EHD15" s="55"/>
      <c r="EHE15" s="55"/>
      <c r="EHF15" s="55"/>
      <c r="EHG15" s="55"/>
      <c r="EHH15" s="55"/>
      <c r="EHI15" s="55"/>
      <c r="EHJ15" s="55"/>
      <c r="EHK15" s="55"/>
      <c r="EHL15" s="55"/>
      <c r="EHM15" s="55"/>
      <c r="EHN15" s="55"/>
      <c r="EHO15" s="55"/>
      <c r="EHP15" s="55"/>
      <c r="EHQ15" s="55"/>
      <c r="EHR15" s="55"/>
      <c r="EHS15" s="55"/>
      <c r="EHT15" s="55"/>
      <c r="EHU15" s="55"/>
      <c r="EHV15" s="55"/>
      <c r="EHW15" s="55"/>
      <c r="EHX15" s="55"/>
      <c r="EHY15" s="55"/>
      <c r="EHZ15" s="55"/>
      <c r="EIA15" s="55"/>
      <c r="EIB15" s="55"/>
      <c r="EIC15" s="55"/>
      <c r="EID15" s="55"/>
      <c r="EIE15" s="55"/>
      <c r="EIF15" s="55"/>
      <c r="EIG15" s="55"/>
      <c r="EIH15" s="55"/>
      <c r="EII15" s="55"/>
      <c r="EIJ15" s="55"/>
      <c r="EIK15" s="55"/>
      <c r="EIL15" s="55"/>
      <c r="EIM15" s="55"/>
      <c r="EIN15" s="55"/>
      <c r="EIO15" s="55"/>
      <c r="EIP15" s="55"/>
      <c r="EIQ15" s="55"/>
      <c r="EIR15" s="55"/>
      <c r="EIS15" s="55"/>
      <c r="EIT15" s="55"/>
      <c r="EIU15" s="55"/>
      <c r="EIV15" s="55"/>
      <c r="EIW15" s="55"/>
      <c r="EIX15" s="55"/>
      <c r="EIY15" s="55"/>
      <c r="EIZ15" s="55"/>
      <c r="EJA15" s="55"/>
      <c r="EJB15" s="55"/>
      <c r="EJC15" s="55"/>
      <c r="EJD15" s="55"/>
      <c r="EJE15" s="55"/>
      <c r="EJF15" s="55"/>
      <c r="EJG15" s="55"/>
      <c r="EJH15" s="55"/>
      <c r="EJI15" s="55"/>
      <c r="EJJ15" s="55"/>
      <c r="EJK15" s="55"/>
      <c r="EJL15" s="55"/>
      <c r="EJM15" s="55"/>
      <c r="EJN15" s="55"/>
      <c r="EJO15" s="55"/>
      <c r="EJP15" s="55"/>
      <c r="EJQ15" s="55"/>
      <c r="EJR15" s="55"/>
      <c r="EJS15" s="55"/>
      <c r="EJT15" s="55"/>
      <c r="EJU15" s="55"/>
      <c r="EJV15" s="55"/>
      <c r="EJW15" s="55"/>
      <c r="EJX15" s="55"/>
      <c r="EJY15" s="55"/>
      <c r="EJZ15" s="55"/>
      <c r="EKA15" s="55"/>
      <c r="EKB15" s="55"/>
      <c r="EKC15" s="55"/>
      <c r="EKD15" s="55"/>
      <c r="EKE15" s="55"/>
      <c r="EKF15" s="55"/>
      <c r="EKG15" s="55"/>
      <c r="EKH15" s="55"/>
      <c r="EKI15" s="55"/>
      <c r="EKJ15" s="55"/>
      <c r="EKK15" s="55"/>
      <c r="EKL15" s="55"/>
      <c r="EKM15" s="55"/>
      <c r="EKN15" s="55"/>
      <c r="EKO15" s="55"/>
      <c r="EKP15" s="55"/>
      <c r="EKQ15" s="55"/>
      <c r="EKR15" s="55"/>
      <c r="EKS15" s="55"/>
      <c r="EKT15" s="55"/>
      <c r="EKU15" s="55"/>
      <c r="EKV15" s="55"/>
      <c r="EKW15" s="55"/>
      <c r="EKX15" s="55"/>
      <c r="EKY15" s="55"/>
      <c r="EKZ15" s="55"/>
      <c r="ELA15" s="55"/>
      <c r="ELB15" s="55"/>
      <c r="ELC15" s="55"/>
      <c r="ELD15" s="55"/>
      <c r="ELE15" s="55"/>
      <c r="ELF15" s="55"/>
      <c r="ELG15" s="55"/>
      <c r="ELH15" s="55"/>
      <c r="ELI15" s="55"/>
      <c r="ELJ15" s="55"/>
      <c r="ELK15" s="55"/>
      <c r="ELL15" s="55"/>
      <c r="ELM15" s="55"/>
      <c r="ELN15" s="55"/>
      <c r="ELO15" s="55"/>
      <c r="ELP15" s="55"/>
      <c r="ELQ15" s="55"/>
      <c r="ELR15" s="55"/>
      <c r="ELS15" s="55"/>
      <c r="ELT15" s="55"/>
      <c r="ELU15" s="55"/>
      <c r="ELV15" s="55"/>
      <c r="ELW15" s="55"/>
      <c r="ELX15" s="55"/>
      <c r="ELY15" s="55"/>
      <c r="ELZ15" s="55"/>
      <c r="EMA15" s="55"/>
      <c r="EMB15" s="55"/>
      <c r="EMC15" s="55"/>
      <c r="EMD15" s="55"/>
      <c r="EME15" s="55"/>
      <c r="EMF15" s="55"/>
      <c r="EMG15" s="55"/>
      <c r="EMH15" s="55"/>
      <c r="EMI15" s="55"/>
      <c r="EMJ15" s="55"/>
      <c r="EMK15" s="55"/>
      <c r="EML15" s="55"/>
      <c r="EMM15" s="55"/>
      <c r="EMN15" s="55"/>
      <c r="EMO15" s="55"/>
      <c r="EMP15" s="55"/>
      <c r="EMQ15" s="55"/>
      <c r="EMR15" s="55"/>
      <c r="EMS15" s="55"/>
      <c r="EMT15" s="55"/>
      <c r="EMU15" s="55"/>
      <c r="EMV15" s="55"/>
      <c r="EMW15" s="55"/>
      <c r="EMX15" s="55"/>
      <c r="EMY15" s="55"/>
      <c r="EMZ15" s="55"/>
      <c r="ENA15" s="55"/>
      <c r="ENB15" s="55"/>
      <c r="ENC15" s="55"/>
      <c r="END15" s="55"/>
      <c r="ENE15" s="55"/>
      <c r="ENF15" s="55"/>
      <c r="ENG15" s="55"/>
      <c r="ENH15" s="55"/>
      <c r="ENI15" s="55"/>
      <c r="ENJ15" s="55"/>
      <c r="ENK15" s="55"/>
      <c r="ENL15" s="55"/>
      <c r="ENM15" s="55"/>
      <c r="ENN15" s="55"/>
      <c r="ENO15" s="55"/>
      <c r="ENP15" s="55"/>
      <c r="ENQ15" s="55"/>
      <c r="ENR15" s="55"/>
      <c r="ENS15" s="55"/>
      <c r="ENT15" s="55"/>
      <c r="ENU15" s="55"/>
      <c r="ENV15" s="55"/>
      <c r="ENW15" s="55"/>
      <c r="ENX15" s="55"/>
      <c r="ENY15" s="55"/>
      <c r="ENZ15" s="55"/>
      <c r="EOA15" s="55"/>
      <c r="EOB15" s="55"/>
      <c r="EOC15" s="55"/>
      <c r="EOD15" s="55"/>
      <c r="EOE15" s="55"/>
      <c r="EOF15" s="55"/>
      <c r="EOG15" s="55"/>
      <c r="EOH15" s="55"/>
      <c r="EOI15" s="55"/>
      <c r="EOJ15" s="55"/>
      <c r="EOK15" s="55"/>
      <c r="EOL15" s="55"/>
      <c r="EOM15" s="55"/>
      <c r="EON15" s="55"/>
      <c r="EOO15" s="55"/>
      <c r="EOP15" s="55"/>
      <c r="EOQ15" s="55"/>
      <c r="EOR15" s="55"/>
      <c r="EOS15" s="55"/>
      <c r="EOT15" s="55"/>
      <c r="EOU15" s="55"/>
      <c r="EOV15" s="55"/>
      <c r="EOW15" s="55"/>
      <c r="EOX15" s="55"/>
      <c r="EOY15" s="55"/>
      <c r="EOZ15" s="55"/>
      <c r="EPA15" s="55"/>
      <c r="EPB15" s="55"/>
      <c r="EPC15" s="55"/>
      <c r="EPD15" s="55"/>
      <c r="EPE15" s="55"/>
      <c r="EPF15" s="55"/>
      <c r="EPG15" s="55"/>
      <c r="EPH15" s="55"/>
      <c r="EPI15" s="55"/>
      <c r="EPJ15" s="55"/>
      <c r="EPK15" s="55"/>
      <c r="EPL15" s="55"/>
      <c r="EPM15" s="55"/>
      <c r="EPN15" s="55"/>
      <c r="EPO15" s="55"/>
      <c r="EPP15" s="55"/>
      <c r="EPQ15" s="55"/>
      <c r="EPR15" s="55"/>
      <c r="EPS15" s="55"/>
      <c r="EPT15" s="55"/>
      <c r="EPU15" s="55"/>
      <c r="EPV15" s="55"/>
      <c r="EPW15" s="55"/>
      <c r="EPX15" s="55"/>
      <c r="EPY15" s="55"/>
      <c r="EPZ15" s="55"/>
      <c r="EQA15" s="55"/>
      <c r="EQB15" s="55"/>
      <c r="EQC15" s="55"/>
      <c r="EQD15" s="55"/>
      <c r="EQE15" s="55"/>
      <c r="EQF15" s="55"/>
      <c r="EQG15" s="55"/>
      <c r="EQH15" s="55"/>
      <c r="EQI15" s="55"/>
      <c r="EQJ15" s="55"/>
      <c r="EQK15" s="55"/>
      <c r="EQL15" s="55"/>
      <c r="EQM15" s="55"/>
      <c r="EQN15" s="55"/>
      <c r="EQO15" s="55"/>
      <c r="EQP15" s="55"/>
      <c r="EQQ15" s="55"/>
      <c r="EQR15" s="55"/>
      <c r="EQS15" s="55"/>
      <c r="EQT15" s="55"/>
      <c r="EQU15" s="55"/>
      <c r="EQV15" s="55"/>
      <c r="EQW15" s="55"/>
      <c r="EQX15" s="55"/>
      <c r="EQY15" s="55"/>
      <c r="EQZ15" s="55"/>
      <c r="ERA15" s="55"/>
      <c r="ERB15" s="55"/>
      <c r="ERC15" s="55"/>
      <c r="ERD15" s="55"/>
      <c r="ERE15" s="55"/>
      <c r="ERF15" s="55"/>
      <c r="ERG15" s="55"/>
      <c r="ERH15" s="55"/>
      <c r="ERI15" s="55"/>
      <c r="ERJ15" s="55"/>
      <c r="ERK15" s="55"/>
      <c r="ERL15" s="55"/>
      <c r="ERM15" s="55"/>
      <c r="ERN15" s="55"/>
      <c r="ERO15" s="55"/>
      <c r="ERP15" s="55"/>
      <c r="ERQ15" s="55"/>
      <c r="ERR15" s="55"/>
      <c r="ERS15" s="55"/>
      <c r="ERT15" s="55"/>
      <c r="ERU15" s="55"/>
      <c r="ERV15" s="55"/>
      <c r="ERW15" s="55"/>
      <c r="ERX15" s="55"/>
      <c r="ERY15" s="55"/>
      <c r="ERZ15" s="55"/>
      <c r="ESA15" s="55"/>
      <c r="ESB15" s="55"/>
      <c r="ESC15" s="55"/>
      <c r="ESD15" s="55"/>
      <c r="ESE15" s="55"/>
      <c r="ESF15" s="55"/>
      <c r="ESG15" s="55"/>
      <c r="ESH15" s="55"/>
      <c r="ESI15" s="55"/>
      <c r="ESJ15" s="55"/>
      <c r="ESK15" s="55"/>
      <c r="ESL15" s="55"/>
      <c r="ESM15" s="55"/>
      <c r="ESN15" s="55"/>
      <c r="ESO15" s="55"/>
      <c r="ESP15" s="55"/>
      <c r="ESQ15" s="55"/>
      <c r="ESR15" s="55"/>
      <c r="ESS15" s="55"/>
      <c r="EST15" s="55"/>
      <c r="ESU15" s="55"/>
      <c r="ESV15" s="55"/>
      <c r="ESW15" s="55"/>
      <c r="ESX15" s="55"/>
      <c r="ESY15" s="55"/>
      <c r="ESZ15" s="55"/>
      <c r="ETA15" s="55"/>
      <c r="ETB15" s="55"/>
      <c r="ETC15" s="55"/>
      <c r="ETD15" s="55"/>
      <c r="ETE15" s="55"/>
      <c r="ETF15" s="55"/>
      <c r="ETG15" s="55"/>
      <c r="ETH15" s="55"/>
      <c r="ETI15" s="55"/>
      <c r="ETJ15" s="55"/>
      <c r="ETK15" s="55"/>
      <c r="ETL15" s="55"/>
      <c r="ETM15" s="55"/>
      <c r="ETN15" s="55"/>
      <c r="ETO15" s="55"/>
      <c r="ETP15" s="55"/>
      <c r="ETQ15" s="55"/>
      <c r="ETR15" s="55"/>
      <c r="ETS15" s="55"/>
      <c r="ETT15" s="55"/>
      <c r="ETU15" s="55"/>
      <c r="ETV15" s="55"/>
      <c r="ETW15" s="55"/>
      <c r="ETX15" s="55"/>
      <c r="ETY15" s="55"/>
      <c r="ETZ15" s="55"/>
      <c r="EUA15" s="55"/>
      <c r="EUB15" s="55"/>
      <c r="EUC15" s="55"/>
      <c r="EUD15" s="55"/>
      <c r="EUE15" s="55"/>
      <c r="EUF15" s="55"/>
      <c r="EUG15" s="55"/>
      <c r="EUH15" s="55"/>
      <c r="EUI15" s="55"/>
      <c r="EUJ15" s="55"/>
      <c r="EUK15" s="55"/>
      <c r="EUL15" s="55"/>
      <c r="EUM15" s="55"/>
      <c r="EUN15" s="55"/>
      <c r="EUO15" s="55"/>
      <c r="EUP15" s="55"/>
      <c r="EUQ15" s="55"/>
      <c r="EUR15" s="55"/>
      <c r="EUS15" s="55"/>
      <c r="EUT15" s="55"/>
      <c r="EUU15" s="55"/>
      <c r="EUV15" s="55"/>
      <c r="EUW15" s="55"/>
      <c r="EUX15" s="55"/>
      <c r="EUY15" s="55"/>
      <c r="EUZ15" s="55"/>
      <c r="EVA15" s="55"/>
      <c r="EVB15" s="55"/>
      <c r="EVC15" s="55"/>
      <c r="EVD15" s="55"/>
      <c r="EVE15" s="55"/>
      <c r="EVF15" s="55"/>
      <c r="EVG15" s="55"/>
      <c r="EVH15" s="55"/>
      <c r="EVI15" s="55"/>
      <c r="EVJ15" s="55"/>
      <c r="EVK15" s="55"/>
      <c r="EVL15" s="55"/>
      <c r="EVM15" s="55"/>
      <c r="EVN15" s="55"/>
      <c r="EVO15" s="55"/>
      <c r="EVP15" s="55"/>
      <c r="EVQ15" s="55"/>
      <c r="EVR15" s="55"/>
      <c r="EVS15" s="55"/>
      <c r="EVT15" s="55"/>
      <c r="EVU15" s="55"/>
      <c r="EVV15" s="55"/>
      <c r="EVW15" s="55"/>
      <c r="EVX15" s="55"/>
      <c r="EVY15" s="55"/>
      <c r="EVZ15" s="55"/>
      <c r="EWA15" s="55"/>
      <c r="EWB15" s="55"/>
      <c r="EWC15" s="55"/>
      <c r="EWD15" s="55"/>
      <c r="EWE15" s="55"/>
      <c r="EWF15" s="55"/>
      <c r="EWG15" s="55"/>
      <c r="EWH15" s="55"/>
      <c r="EWI15" s="55"/>
      <c r="EWJ15" s="55"/>
      <c r="EWK15" s="55"/>
      <c r="EWL15" s="55"/>
      <c r="EWM15" s="55"/>
      <c r="EWN15" s="55"/>
      <c r="EWO15" s="55"/>
      <c r="EWP15" s="55"/>
      <c r="EWQ15" s="55"/>
      <c r="EWR15" s="55"/>
      <c r="EWS15" s="55"/>
      <c r="EWT15" s="55"/>
      <c r="EWU15" s="55"/>
      <c r="EWV15" s="55"/>
      <c r="EWW15" s="55"/>
      <c r="EWX15" s="55"/>
      <c r="EWY15" s="55"/>
      <c r="EWZ15" s="55"/>
      <c r="EXA15" s="55"/>
      <c r="EXB15" s="55"/>
      <c r="EXC15" s="55"/>
      <c r="EXD15" s="55"/>
      <c r="EXE15" s="55"/>
      <c r="EXF15" s="55"/>
      <c r="EXG15" s="55"/>
      <c r="EXH15" s="55"/>
      <c r="EXI15" s="55"/>
      <c r="EXJ15" s="55"/>
      <c r="EXK15" s="55"/>
      <c r="EXL15" s="55"/>
      <c r="EXM15" s="55"/>
      <c r="EXN15" s="55"/>
      <c r="EXO15" s="55"/>
      <c r="EXP15" s="55"/>
      <c r="EXQ15" s="55"/>
      <c r="EXR15" s="55"/>
      <c r="EXS15" s="55"/>
      <c r="EXT15" s="55"/>
      <c r="EXU15" s="55"/>
      <c r="EXV15" s="55"/>
      <c r="EXW15" s="55"/>
      <c r="EXX15" s="55"/>
      <c r="EXY15" s="55"/>
      <c r="EXZ15" s="55"/>
      <c r="EYA15" s="55"/>
      <c r="EYB15" s="55"/>
      <c r="EYC15" s="55"/>
      <c r="EYD15" s="55"/>
      <c r="EYE15" s="55"/>
      <c r="EYF15" s="55"/>
      <c r="EYG15" s="55"/>
      <c r="EYH15" s="55"/>
      <c r="EYI15" s="55"/>
      <c r="EYJ15" s="55"/>
      <c r="EYK15" s="55"/>
      <c r="EYL15" s="55"/>
      <c r="EYM15" s="55"/>
      <c r="EYN15" s="55"/>
      <c r="EYO15" s="55"/>
      <c r="EYP15" s="55"/>
      <c r="EYQ15" s="55"/>
      <c r="EYR15" s="55"/>
      <c r="EYS15" s="55"/>
      <c r="EYT15" s="55"/>
      <c r="EYU15" s="55"/>
      <c r="EYV15" s="55"/>
      <c r="EYW15" s="55"/>
      <c r="EYX15" s="55"/>
      <c r="EYY15" s="55"/>
      <c r="EYZ15" s="55"/>
      <c r="EZA15" s="55"/>
      <c r="EZB15" s="55"/>
      <c r="EZC15" s="55"/>
      <c r="EZD15" s="55"/>
      <c r="EZE15" s="55"/>
      <c r="EZF15" s="55"/>
      <c r="EZG15" s="55"/>
      <c r="EZH15" s="55"/>
      <c r="EZI15" s="55"/>
      <c r="EZJ15" s="55"/>
      <c r="EZK15" s="55"/>
      <c r="EZL15" s="55"/>
      <c r="EZM15" s="55"/>
      <c r="EZN15" s="55"/>
      <c r="EZO15" s="55"/>
      <c r="EZP15" s="55"/>
      <c r="EZQ15" s="55"/>
      <c r="EZR15" s="55"/>
      <c r="EZS15" s="55"/>
      <c r="EZT15" s="55"/>
      <c r="EZU15" s="55"/>
      <c r="EZV15" s="55"/>
      <c r="EZW15" s="55"/>
      <c r="EZX15" s="55"/>
      <c r="EZY15" s="55"/>
      <c r="EZZ15" s="55"/>
      <c r="FAA15" s="55"/>
      <c r="FAB15" s="55"/>
      <c r="FAC15" s="55"/>
      <c r="FAD15" s="55"/>
      <c r="FAE15" s="55"/>
      <c r="FAF15" s="55"/>
      <c r="FAG15" s="55"/>
      <c r="FAH15" s="55"/>
      <c r="FAI15" s="55"/>
      <c r="FAJ15" s="55"/>
      <c r="FAK15" s="55"/>
      <c r="FAL15" s="55"/>
      <c r="FAM15" s="55"/>
      <c r="FAN15" s="55"/>
      <c r="FAO15" s="55"/>
      <c r="FAP15" s="55"/>
      <c r="FAQ15" s="55"/>
      <c r="FAR15" s="55"/>
      <c r="FAS15" s="55"/>
      <c r="FAT15" s="55"/>
      <c r="FAU15" s="55"/>
      <c r="FAV15" s="55"/>
      <c r="FAW15" s="55"/>
      <c r="FAX15" s="55"/>
      <c r="FAY15" s="55"/>
      <c r="FAZ15" s="55"/>
      <c r="FBA15" s="55"/>
      <c r="FBB15" s="55"/>
      <c r="FBC15" s="55"/>
      <c r="FBD15" s="55"/>
      <c r="FBE15" s="55"/>
      <c r="FBF15" s="55"/>
      <c r="FBG15" s="55"/>
      <c r="FBH15" s="55"/>
      <c r="FBI15" s="55"/>
      <c r="FBJ15" s="55"/>
      <c r="FBK15" s="55"/>
      <c r="FBL15" s="55"/>
      <c r="FBM15" s="55"/>
      <c r="FBN15" s="55"/>
      <c r="FBO15" s="55"/>
      <c r="FBP15" s="55"/>
      <c r="FBQ15" s="55"/>
      <c r="FBR15" s="55"/>
      <c r="FBS15" s="55"/>
      <c r="FBT15" s="55"/>
      <c r="FBU15" s="55"/>
      <c r="FBV15" s="55"/>
      <c r="FBW15" s="55"/>
      <c r="FBX15" s="55"/>
      <c r="FBY15" s="55"/>
      <c r="FBZ15" s="55"/>
      <c r="FCA15" s="55"/>
      <c r="FCB15" s="55"/>
      <c r="FCC15" s="55"/>
      <c r="FCD15" s="55"/>
      <c r="FCE15" s="55"/>
      <c r="FCF15" s="55"/>
      <c r="FCG15" s="55"/>
      <c r="FCH15" s="55"/>
      <c r="FCI15" s="55"/>
      <c r="FCJ15" s="55"/>
      <c r="FCK15" s="55"/>
      <c r="FCL15" s="55"/>
      <c r="FCM15" s="55"/>
      <c r="FCN15" s="55"/>
      <c r="FCO15" s="55"/>
      <c r="FCP15" s="55"/>
      <c r="FCQ15" s="55"/>
      <c r="FCR15" s="55"/>
      <c r="FCS15" s="55"/>
      <c r="FCT15" s="55"/>
      <c r="FCU15" s="55"/>
      <c r="FCV15" s="55"/>
      <c r="FCW15" s="55"/>
      <c r="FCX15" s="55"/>
      <c r="FCY15" s="55"/>
      <c r="FCZ15" s="55"/>
      <c r="FDA15" s="55"/>
      <c r="FDB15" s="55"/>
      <c r="FDC15" s="55"/>
      <c r="FDD15" s="55"/>
      <c r="FDE15" s="55"/>
      <c r="FDF15" s="55"/>
      <c r="FDG15" s="55"/>
      <c r="FDH15" s="55"/>
      <c r="FDI15" s="55"/>
      <c r="FDJ15" s="55"/>
      <c r="FDK15" s="55"/>
      <c r="FDL15" s="55"/>
      <c r="FDM15" s="55"/>
      <c r="FDN15" s="55"/>
      <c r="FDO15" s="55"/>
      <c r="FDP15" s="55"/>
      <c r="FDQ15" s="55"/>
      <c r="FDR15" s="55"/>
      <c r="FDS15" s="55"/>
      <c r="FDT15" s="55"/>
      <c r="FDU15" s="55"/>
      <c r="FDV15" s="55"/>
      <c r="FDW15" s="55"/>
      <c r="FDX15" s="55"/>
      <c r="FDY15" s="55"/>
      <c r="FDZ15" s="55"/>
      <c r="FEA15" s="55"/>
      <c r="FEB15" s="55"/>
      <c r="FEC15" s="55"/>
      <c r="FED15" s="55"/>
      <c r="FEE15" s="55"/>
      <c r="FEF15" s="55"/>
      <c r="FEG15" s="55"/>
      <c r="FEH15" s="55"/>
      <c r="FEI15" s="55"/>
      <c r="FEJ15" s="55"/>
      <c r="FEK15" s="55"/>
      <c r="FEL15" s="55"/>
      <c r="FEM15" s="55"/>
      <c r="FEN15" s="55"/>
      <c r="FEO15" s="55"/>
      <c r="FEP15" s="55"/>
      <c r="FEQ15" s="55"/>
      <c r="FER15" s="55"/>
      <c r="FES15" s="55"/>
      <c r="FET15" s="55"/>
      <c r="FEU15" s="55"/>
      <c r="FEV15" s="55"/>
      <c r="FEW15" s="55"/>
      <c r="FEX15" s="55"/>
      <c r="FEY15" s="55"/>
      <c r="FEZ15" s="55"/>
      <c r="FFA15" s="55"/>
      <c r="FFB15" s="55"/>
      <c r="FFC15" s="55"/>
      <c r="FFD15" s="55"/>
      <c r="FFE15" s="55"/>
      <c r="FFF15" s="55"/>
      <c r="FFG15" s="55"/>
      <c r="FFH15" s="55"/>
      <c r="FFI15" s="55"/>
      <c r="FFJ15" s="55"/>
      <c r="FFK15" s="55"/>
      <c r="FFL15" s="55"/>
      <c r="FFM15" s="55"/>
      <c r="FFN15" s="55"/>
      <c r="FFO15" s="55"/>
      <c r="FFP15" s="55"/>
      <c r="FFQ15" s="55"/>
      <c r="FFR15" s="55"/>
      <c r="FFS15" s="55"/>
      <c r="FFT15" s="55"/>
      <c r="FFU15" s="55"/>
      <c r="FFV15" s="55"/>
      <c r="FFW15" s="55"/>
      <c r="FFX15" s="55"/>
      <c r="FFY15" s="55"/>
      <c r="FFZ15" s="55"/>
      <c r="FGA15" s="55"/>
      <c r="FGB15" s="55"/>
      <c r="FGC15" s="55"/>
      <c r="FGD15" s="55"/>
      <c r="FGE15" s="55"/>
      <c r="FGF15" s="55"/>
      <c r="FGG15" s="55"/>
      <c r="FGH15" s="55"/>
      <c r="FGI15" s="55"/>
      <c r="FGJ15" s="55"/>
      <c r="FGK15" s="55"/>
      <c r="FGL15" s="55"/>
      <c r="FGM15" s="55"/>
      <c r="FGN15" s="55"/>
      <c r="FGO15" s="55"/>
      <c r="FGP15" s="55"/>
      <c r="FGQ15" s="55"/>
      <c r="FGR15" s="55"/>
      <c r="FGS15" s="55"/>
      <c r="FGT15" s="55"/>
      <c r="FGU15" s="55"/>
      <c r="FGV15" s="55"/>
      <c r="FGW15" s="55"/>
      <c r="FGX15" s="55"/>
      <c r="FGY15" s="55"/>
      <c r="FGZ15" s="55"/>
      <c r="FHA15" s="55"/>
      <c r="FHB15" s="55"/>
      <c r="FHC15" s="55"/>
      <c r="FHD15" s="55"/>
      <c r="FHE15" s="55"/>
      <c r="FHF15" s="55"/>
      <c r="FHG15" s="55"/>
      <c r="FHH15" s="55"/>
      <c r="FHI15" s="55"/>
      <c r="FHJ15" s="55"/>
      <c r="FHK15" s="55"/>
      <c r="FHL15" s="55"/>
      <c r="FHM15" s="55"/>
      <c r="FHN15" s="55"/>
      <c r="FHO15" s="55"/>
      <c r="FHP15" s="55"/>
      <c r="FHQ15" s="55"/>
      <c r="FHR15" s="55"/>
      <c r="FHS15" s="55"/>
      <c r="FHT15" s="55"/>
      <c r="FHU15" s="55"/>
      <c r="FHV15" s="55"/>
      <c r="FHW15" s="55"/>
      <c r="FHX15" s="55"/>
      <c r="FHY15" s="55"/>
      <c r="FHZ15" s="55"/>
      <c r="FIA15" s="55"/>
      <c r="FIB15" s="55"/>
      <c r="FIC15" s="55"/>
      <c r="FID15" s="55"/>
      <c r="FIE15" s="55"/>
      <c r="FIF15" s="55"/>
      <c r="FIG15" s="55"/>
      <c r="FIH15" s="55"/>
      <c r="FII15" s="55"/>
      <c r="FIJ15" s="55"/>
      <c r="FIK15" s="55"/>
      <c r="FIL15" s="55"/>
      <c r="FIM15" s="55"/>
      <c r="FIN15" s="55"/>
      <c r="FIO15" s="55"/>
      <c r="FIP15" s="55"/>
      <c r="FIQ15" s="55"/>
      <c r="FIR15" s="55"/>
      <c r="FIS15" s="55"/>
      <c r="FIT15" s="55"/>
      <c r="FIU15" s="55"/>
      <c r="FIV15" s="55"/>
      <c r="FIW15" s="55"/>
      <c r="FIX15" s="55"/>
      <c r="FIY15" s="55"/>
      <c r="FIZ15" s="55"/>
      <c r="FJA15" s="55"/>
      <c r="FJB15" s="55"/>
      <c r="FJC15" s="55"/>
      <c r="FJD15" s="55"/>
      <c r="FJE15" s="55"/>
      <c r="FJF15" s="55"/>
      <c r="FJG15" s="55"/>
      <c r="FJH15" s="55"/>
      <c r="FJI15" s="55"/>
      <c r="FJJ15" s="55"/>
      <c r="FJK15" s="55"/>
      <c r="FJL15" s="55"/>
      <c r="FJM15" s="55"/>
      <c r="FJN15" s="55"/>
      <c r="FJO15" s="55"/>
      <c r="FJP15" s="55"/>
      <c r="FJQ15" s="55"/>
      <c r="FJR15" s="55"/>
      <c r="FJS15" s="55"/>
      <c r="FJT15" s="55"/>
      <c r="FJU15" s="55"/>
      <c r="FJV15" s="55"/>
      <c r="FJW15" s="55"/>
      <c r="FJX15" s="55"/>
      <c r="FJY15" s="55"/>
      <c r="FJZ15" s="55"/>
      <c r="FKA15" s="55"/>
      <c r="FKB15" s="55"/>
      <c r="FKC15" s="55"/>
      <c r="FKD15" s="55"/>
      <c r="FKE15" s="55"/>
      <c r="FKF15" s="55"/>
      <c r="FKG15" s="55"/>
      <c r="FKH15" s="55"/>
      <c r="FKI15" s="55"/>
      <c r="FKJ15" s="55"/>
      <c r="FKK15" s="55"/>
      <c r="FKL15" s="55"/>
      <c r="FKM15" s="55"/>
      <c r="FKN15" s="55"/>
      <c r="FKO15" s="55"/>
      <c r="FKP15" s="55"/>
      <c r="FKQ15" s="55"/>
      <c r="FKR15" s="55"/>
      <c r="FKS15" s="55"/>
      <c r="FKT15" s="55"/>
      <c r="FKU15" s="55"/>
      <c r="FKV15" s="55"/>
      <c r="FKW15" s="55"/>
      <c r="FKX15" s="55"/>
      <c r="FKY15" s="55"/>
      <c r="FKZ15" s="55"/>
      <c r="FLA15" s="55"/>
      <c r="FLB15" s="55"/>
      <c r="FLC15" s="55"/>
      <c r="FLD15" s="55"/>
      <c r="FLE15" s="55"/>
      <c r="FLF15" s="55"/>
      <c r="FLG15" s="55"/>
      <c r="FLH15" s="55"/>
      <c r="FLI15" s="55"/>
      <c r="FLJ15" s="55"/>
      <c r="FLK15" s="55"/>
      <c r="FLL15" s="55"/>
      <c r="FLM15" s="55"/>
      <c r="FLN15" s="55"/>
      <c r="FLO15" s="55"/>
      <c r="FLP15" s="55"/>
      <c r="FLQ15" s="55"/>
      <c r="FLR15" s="55"/>
      <c r="FLS15" s="55"/>
      <c r="FLT15" s="55"/>
      <c r="FLU15" s="55"/>
      <c r="FLV15" s="55"/>
      <c r="FLW15" s="55"/>
      <c r="FLX15" s="55"/>
      <c r="FLY15" s="55"/>
      <c r="FLZ15" s="55"/>
      <c r="FMA15" s="55"/>
      <c r="FMB15" s="55"/>
      <c r="FMC15" s="55"/>
      <c r="FMD15" s="55"/>
      <c r="FME15" s="55"/>
      <c r="FMF15" s="55"/>
      <c r="FMG15" s="55"/>
      <c r="FMH15" s="55"/>
      <c r="FMI15" s="55"/>
      <c r="FMJ15" s="55"/>
      <c r="FMK15" s="55"/>
      <c r="FML15" s="55"/>
      <c r="FMM15" s="55"/>
      <c r="FMN15" s="55"/>
      <c r="FMO15" s="55"/>
      <c r="FMP15" s="55"/>
      <c r="FMQ15" s="55"/>
      <c r="FMR15" s="55"/>
      <c r="FMS15" s="55"/>
      <c r="FMT15" s="55"/>
      <c r="FMU15" s="55"/>
      <c r="FMV15" s="55"/>
      <c r="FMW15" s="55"/>
      <c r="FMX15" s="55"/>
      <c r="FMY15" s="55"/>
      <c r="FMZ15" s="55"/>
      <c r="FNA15" s="55"/>
      <c r="FNB15" s="55"/>
      <c r="FNC15" s="55"/>
      <c r="FND15" s="55"/>
      <c r="FNE15" s="55"/>
      <c r="FNF15" s="55"/>
      <c r="FNG15" s="55"/>
      <c r="FNH15" s="55"/>
      <c r="FNI15" s="55"/>
      <c r="FNJ15" s="55"/>
      <c r="FNK15" s="55"/>
      <c r="FNL15" s="55"/>
      <c r="FNM15" s="55"/>
      <c r="FNN15" s="55"/>
      <c r="FNO15" s="55"/>
      <c r="FNP15" s="55"/>
      <c r="FNQ15" s="55"/>
      <c r="FNR15" s="55"/>
      <c r="FNS15" s="55"/>
      <c r="FNT15" s="55"/>
      <c r="FNU15" s="55"/>
      <c r="FNV15" s="55"/>
      <c r="FNW15" s="55"/>
      <c r="FNX15" s="55"/>
      <c r="FNY15" s="55"/>
      <c r="FNZ15" s="55"/>
      <c r="FOA15" s="55"/>
      <c r="FOB15" s="55"/>
      <c r="FOC15" s="55"/>
      <c r="FOD15" s="55"/>
      <c r="FOE15" s="55"/>
      <c r="FOF15" s="55"/>
      <c r="FOG15" s="55"/>
      <c r="FOH15" s="55"/>
      <c r="FOI15" s="55"/>
      <c r="FOJ15" s="55"/>
      <c r="FOK15" s="55"/>
      <c r="FOL15" s="55"/>
      <c r="FOM15" s="55"/>
      <c r="FON15" s="55"/>
      <c r="FOO15" s="55"/>
      <c r="FOP15" s="55"/>
      <c r="FOQ15" s="55"/>
      <c r="FOR15" s="55"/>
      <c r="FOS15" s="55"/>
      <c r="FOT15" s="55"/>
      <c r="FOU15" s="55"/>
      <c r="FOV15" s="55"/>
      <c r="FOW15" s="55"/>
      <c r="FOX15" s="55"/>
      <c r="FOY15" s="55"/>
      <c r="FOZ15" s="55"/>
      <c r="FPA15" s="55"/>
      <c r="FPB15" s="55"/>
      <c r="FPC15" s="55"/>
      <c r="FPD15" s="55"/>
      <c r="FPE15" s="55"/>
      <c r="FPF15" s="55"/>
      <c r="FPG15" s="55"/>
      <c r="FPH15" s="55"/>
      <c r="FPI15" s="55"/>
      <c r="FPJ15" s="55"/>
      <c r="FPK15" s="55"/>
      <c r="FPL15" s="55"/>
      <c r="FPM15" s="55"/>
      <c r="FPN15" s="55"/>
      <c r="FPO15" s="55"/>
      <c r="FPP15" s="55"/>
      <c r="FPQ15" s="55"/>
      <c r="FPR15" s="55"/>
      <c r="FPS15" s="55"/>
      <c r="FPT15" s="55"/>
      <c r="FPU15" s="55"/>
      <c r="FPV15" s="55"/>
      <c r="FPW15" s="55"/>
      <c r="FPX15" s="55"/>
      <c r="FPY15" s="55"/>
      <c r="FPZ15" s="55"/>
      <c r="FQA15" s="55"/>
      <c r="FQB15" s="55"/>
      <c r="FQC15" s="55"/>
      <c r="FQD15" s="55"/>
      <c r="FQE15" s="55"/>
      <c r="FQF15" s="55"/>
      <c r="FQG15" s="55"/>
      <c r="FQH15" s="55"/>
      <c r="FQI15" s="55"/>
      <c r="FQJ15" s="55"/>
      <c r="FQK15" s="55"/>
      <c r="FQL15" s="55"/>
      <c r="FQM15" s="55"/>
      <c r="FQN15" s="55"/>
      <c r="FQO15" s="55"/>
      <c r="FQP15" s="55"/>
      <c r="FQQ15" s="55"/>
      <c r="FQR15" s="55"/>
      <c r="FQS15" s="55"/>
      <c r="FQT15" s="55"/>
      <c r="FQU15" s="55"/>
      <c r="FQV15" s="55"/>
      <c r="FQW15" s="55"/>
      <c r="FQX15" s="55"/>
      <c r="FQY15" s="55"/>
      <c r="FQZ15" s="55"/>
      <c r="FRA15" s="55"/>
      <c r="FRB15" s="55"/>
      <c r="FRC15" s="55"/>
      <c r="FRD15" s="55"/>
      <c r="FRE15" s="55"/>
      <c r="FRF15" s="55"/>
      <c r="FRG15" s="55"/>
      <c r="FRH15" s="55"/>
      <c r="FRI15" s="55"/>
      <c r="FRJ15" s="55"/>
      <c r="FRK15" s="55"/>
      <c r="FRL15" s="55"/>
      <c r="FRM15" s="55"/>
      <c r="FRN15" s="55"/>
      <c r="FRO15" s="55"/>
      <c r="FRP15" s="55"/>
      <c r="FRQ15" s="55"/>
      <c r="FRR15" s="55"/>
      <c r="FRS15" s="55"/>
      <c r="FRT15" s="55"/>
      <c r="FRU15" s="55"/>
      <c r="FRV15" s="55"/>
      <c r="FRW15" s="55"/>
      <c r="FRX15" s="55"/>
      <c r="FRY15" s="55"/>
      <c r="FRZ15" s="55"/>
      <c r="FSA15" s="55"/>
      <c r="FSB15" s="55"/>
      <c r="FSC15" s="55"/>
      <c r="FSD15" s="55"/>
      <c r="FSE15" s="55"/>
      <c r="FSF15" s="55"/>
      <c r="FSG15" s="55"/>
      <c r="FSH15" s="55"/>
      <c r="FSI15" s="55"/>
      <c r="FSJ15" s="55"/>
      <c r="FSK15" s="55"/>
      <c r="FSL15" s="55"/>
      <c r="FSM15" s="55"/>
      <c r="FSN15" s="55"/>
      <c r="FSO15" s="55"/>
      <c r="FSP15" s="55"/>
      <c r="FSQ15" s="55"/>
      <c r="FSR15" s="55"/>
      <c r="FSS15" s="55"/>
      <c r="FST15" s="55"/>
      <c r="FSU15" s="55"/>
      <c r="FSV15" s="55"/>
      <c r="FSW15" s="55"/>
      <c r="FSX15" s="55"/>
      <c r="FSY15" s="55"/>
      <c r="FSZ15" s="55"/>
      <c r="FTA15" s="55"/>
      <c r="FTB15" s="55"/>
      <c r="FTC15" s="55"/>
      <c r="FTD15" s="55"/>
      <c r="FTE15" s="55"/>
      <c r="FTF15" s="55"/>
      <c r="FTG15" s="55"/>
      <c r="FTH15" s="55"/>
      <c r="FTI15" s="55"/>
      <c r="FTJ15" s="55"/>
      <c r="FTK15" s="55"/>
      <c r="FTL15" s="55"/>
      <c r="FTM15" s="55"/>
      <c r="FTN15" s="55"/>
      <c r="FTO15" s="55"/>
      <c r="FTP15" s="55"/>
      <c r="FTQ15" s="55"/>
      <c r="FTR15" s="55"/>
      <c r="FTS15" s="55"/>
      <c r="FTT15" s="55"/>
      <c r="FTU15" s="55"/>
      <c r="FTV15" s="55"/>
      <c r="FTW15" s="55"/>
      <c r="FTX15" s="55"/>
      <c r="FTY15" s="55"/>
      <c r="FTZ15" s="55"/>
      <c r="FUA15" s="55"/>
      <c r="FUB15" s="55"/>
      <c r="FUC15" s="55"/>
      <c r="FUD15" s="55"/>
      <c r="FUE15" s="55"/>
      <c r="FUF15" s="55"/>
      <c r="FUG15" s="55"/>
      <c r="FUH15" s="55"/>
      <c r="FUI15" s="55"/>
      <c r="FUJ15" s="55"/>
      <c r="FUK15" s="55"/>
      <c r="FUL15" s="55"/>
      <c r="FUM15" s="55"/>
      <c r="FUN15" s="55"/>
      <c r="FUO15" s="55"/>
      <c r="FUP15" s="55"/>
      <c r="FUQ15" s="55"/>
      <c r="FUR15" s="55"/>
      <c r="FUS15" s="55"/>
      <c r="FUT15" s="55"/>
      <c r="FUU15" s="55"/>
      <c r="FUV15" s="55"/>
      <c r="FUW15" s="55"/>
      <c r="FUX15" s="55"/>
      <c r="FUY15" s="55"/>
      <c r="FUZ15" s="55"/>
      <c r="FVA15" s="55"/>
      <c r="FVB15" s="55"/>
      <c r="FVC15" s="55"/>
      <c r="FVD15" s="55"/>
      <c r="FVE15" s="55"/>
      <c r="FVF15" s="55"/>
      <c r="FVG15" s="55"/>
      <c r="FVH15" s="55"/>
      <c r="FVI15" s="55"/>
      <c r="FVJ15" s="55"/>
      <c r="FVK15" s="55"/>
      <c r="FVL15" s="55"/>
      <c r="FVM15" s="55"/>
      <c r="FVN15" s="55"/>
      <c r="FVO15" s="55"/>
      <c r="FVP15" s="55"/>
      <c r="FVQ15" s="55"/>
      <c r="FVR15" s="55"/>
      <c r="FVS15" s="55"/>
      <c r="FVT15" s="55"/>
      <c r="FVU15" s="55"/>
      <c r="FVV15" s="55"/>
      <c r="FVW15" s="55"/>
      <c r="FVX15" s="55"/>
      <c r="FVY15" s="55"/>
      <c r="FVZ15" s="55"/>
      <c r="FWA15" s="55"/>
      <c r="FWB15" s="55"/>
      <c r="FWC15" s="55"/>
      <c r="FWD15" s="55"/>
      <c r="FWE15" s="55"/>
      <c r="FWF15" s="55"/>
      <c r="FWG15" s="55"/>
      <c r="FWH15" s="55"/>
      <c r="FWI15" s="55"/>
      <c r="FWJ15" s="55"/>
      <c r="FWK15" s="55"/>
      <c r="FWL15" s="55"/>
      <c r="FWM15" s="55"/>
      <c r="FWN15" s="55"/>
      <c r="FWO15" s="55"/>
      <c r="FWP15" s="55"/>
      <c r="FWQ15" s="55"/>
      <c r="FWR15" s="55"/>
      <c r="FWS15" s="55"/>
      <c r="FWT15" s="55"/>
      <c r="FWU15" s="55"/>
      <c r="FWV15" s="55"/>
      <c r="FWW15" s="55"/>
      <c r="FWX15" s="55"/>
      <c r="FWY15" s="55"/>
      <c r="FWZ15" s="55"/>
      <c r="FXA15" s="55"/>
      <c r="FXB15" s="55"/>
      <c r="FXC15" s="55"/>
      <c r="FXD15" s="55"/>
      <c r="FXE15" s="55"/>
      <c r="FXF15" s="55"/>
      <c r="FXG15" s="55"/>
      <c r="FXH15" s="55"/>
      <c r="FXI15" s="55"/>
      <c r="FXJ15" s="55"/>
      <c r="FXK15" s="55"/>
      <c r="FXL15" s="55"/>
      <c r="FXM15" s="55"/>
      <c r="FXN15" s="55"/>
      <c r="FXO15" s="55"/>
      <c r="FXP15" s="55"/>
      <c r="FXQ15" s="55"/>
      <c r="FXR15" s="55"/>
      <c r="FXS15" s="55"/>
      <c r="FXT15" s="55"/>
      <c r="FXU15" s="55"/>
      <c r="FXV15" s="55"/>
      <c r="FXW15" s="55"/>
      <c r="FXX15" s="55"/>
      <c r="FXY15" s="55"/>
      <c r="FXZ15" s="55"/>
      <c r="FYA15" s="55"/>
      <c r="FYB15" s="55"/>
      <c r="FYC15" s="55"/>
      <c r="FYD15" s="55"/>
      <c r="FYE15" s="55"/>
      <c r="FYF15" s="55"/>
      <c r="FYG15" s="55"/>
      <c r="FYH15" s="55"/>
      <c r="FYI15" s="55"/>
      <c r="FYJ15" s="55"/>
      <c r="FYK15" s="55"/>
      <c r="FYL15" s="55"/>
      <c r="FYM15" s="55"/>
      <c r="FYN15" s="55"/>
      <c r="FYO15" s="55"/>
      <c r="FYP15" s="55"/>
      <c r="FYQ15" s="55"/>
      <c r="FYR15" s="55"/>
      <c r="FYS15" s="55"/>
      <c r="FYT15" s="55"/>
      <c r="FYU15" s="55"/>
      <c r="FYV15" s="55"/>
      <c r="FYW15" s="55"/>
      <c r="FYX15" s="55"/>
      <c r="FYY15" s="55"/>
      <c r="FYZ15" s="55"/>
      <c r="FZA15" s="55"/>
      <c r="FZB15" s="55"/>
      <c r="FZC15" s="55"/>
      <c r="FZD15" s="55"/>
      <c r="FZE15" s="55"/>
      <c r="FZF15" s="55"/>
      <c r="FZG15" s="55"/>
      <c r="FZH15" s="55"/>
      <c r="FZI15" s="55"/>
      <c r="FZJ15" s="55"/>
      <c r="FZK15" s="55"/>
      <c r="FZL15" s="55"/>
      <c r="FZM15" s="55"/>
      <c r="FZN15" s="55"/>
      <c r="FZO15" s="55"/>
      <c r="FZP15" s="55"/>
      <c r="FZQ15" s="55"/>
      <c r="FZR15" s="55"/>
      <c r="FZS15" s="55"/>
      <c r="FZT15" s="55"/>
      <c r="FZU15" s="55"/>
      <c r="FZV15" s="55"/>
      <c r="FZW15" s="55"/>
      <c r="FZX15" s="55"/>
      <c r="FZY15" s="55"/>
      <c r="FZZ15" s="55"/>
      <c r="GAA15" s="55"/>
      <c r="GAB15" s="55"/>
      <c r="GAC15" s="55"/>
      <c r="GAD15" s="55"/>
      <c r="GAE15" s="55"/>
      <c r="GAF15" s="55"/>
      <c r="GAG15" s="55"/>
      <c r="GAH15" s="55"/>
      <c r="GAI15" s="55"/>
      <c r="GAJ15" s="55"/>
      <c r="GAK15" s="55"/>
      <c r="GAL15" s="55"/>
      <c r="GAM15" s="55"/>
      <c r="GAN15" s="55"/>
      <c r="GAO15" s="55"/>
      <c r="GAP15" s="55"/>
      <c r="GAQ15" s="55"/>
      <c r="GAR15" s="55"/>
      <c r="GAS15" s="55"/>
      <c r="GAT15" s="55"/>
      <c r="GAU15" s="55"/>
      <c r="GAV15" s="55"/>
      <c r="GAW15" s="55"/>
      <c r="GAX15" s="55"/>
      <c r="GAY15" s="55"/>
      <c r="GAZ15" s="55"/>
      <c r="GBA15" s="55"/>
      <c r="GBB15" s="55"/>
      <c r="GBC15" s="55"/>
      <c r="GBD15" s="55"/>
      <c r="GBE15" s="55"/>
      <c r="GBF15" s="55"/>
      <c r="GBG15" s="55"/>
      <c r="GBH15" s="55"/>
      <c r="GBI15" s="55"/>
      <c r="GBJ15" s="55"/>
      <c r="GBK15" s="55"/>
      <c r="GBL15" s="55"/>
      <c r="GBM15" s="55"/>
      <c r="GBN15" s="55"/>
      <c r="GBO15" s="55"/>
      <c r="GBP15" s="55"/>
      <c r="GBQ15" s="55"/>
      <c r="GBR15" s="55"/>
      <c r="GBS15" s="55"/>
      <c r="GBT15" s="55"/>
      <c r="GBU15" s="55"/>
      <c r="GBV15" s="55"/>
      <c r="GBW15" s="55"/>
      <c r="GBX15" s="55"/>
      <c r="GBY15" s="55"/>
      <c r="GBZ15" s="55"/>
      <c r="GCA15" s="55"/>
      <c r="GCB15" s="55"/>
      <c r="GCC15" s="55"/>
      <c r="GCD15" s="55"/>
      <c r="GCE15" s="55"/>
      <c r="GCF15" s="55"/>
      <c r="GCG15" s="55"/>
      <c r="GCH15" s="55"/>
      <c r="GCI15" s="55"/>
      <c r="GCJ15" s="55"/>
      <c r="GCK15" s="55"/>
      <c r="GCL15" s="55"/>
      <c r="GCM15" s="55"/>
      <c r="GCN15" s="55"/>
      <c r="GCO15" s="55"/>
      <c r="GCP15" s="55"/>
      <c r="GCQ15" s="55"/>
      <c r="GCR15" s="55"/>
      <c r="GCS15" s="55"/>
      <c r="GCT15" s="55"/>
      <c r="GCU15" s="55"/>
      <c r="GCV15" s="55"/>
      <c r="GCW15" s="55"/>
      <c r="GCX15" s="55"/>
      <c r="GCY15" s="55"/>
      <c r="GCZ15" s="55"/>
      <c r="GDA15" s="55"/>
      <c r="GDB15" s="55"/>
      <c r="GDC15" s="55"/>
      <c r="GDD15" s="55"/>
      <c r="GDE15" s="55"/>
      <c r="GDF15" s="55"/>
      <c r="GDG15" s="55"/>
      <c r="GDH15" s="55"/>
      <c r="GDI15" s="55"/>
      <c r="GDJ15" s="55"/>
      <c r="GDK15" s="55"/>
      <c r="GDL15" s="55"/>
      <c r="GDM15" s="55"/>
      <c r="GDN15" s="55"/>
      <c r="GDO15" s="55"/>
      <c r="GDP15" s="55"/>
      <c r="GDQ15" s="55"/>
      <c r="GDR15" s="55"/>
      <c r="GDS15" s="55"/>
      <c r="GDT15" s="55"/>
      <c r="GDU15" s="55"/>
      <c r="GDV15" s="55"/>
      <c r="GDW15" s="55"/>
      <c r="GDX15" s="55"/>
      <c r="GDY15" s="55"/>
      <c r="GDZ15" s="55"/>
      <c r="GEA15" s="55"/>
      <c r="GEB15" s="55"/>
      <c r="GEC15" s="55"/>
      <c r="GED15" s="55"/>
      <c r="GEE15" s="55"/>
      <c r="GEF15" s="55"/>
      <c r="GEG15" s="55"/>
      <c r="GEH15" s="55"/>
      <c r="GEI15" s="55"/>
      <c r="GEJ15" s="55"/>
      <c r="GEK15" s="55"/>
      <c r="GEL15" s="55"/>
      <c r="GEM15" s="55"/>
      <c r="GEN15" s="55"/>
      <c r="GEO15" s="55"/>
      <c r="GEP15" s="55"/>
      <c r="GEQ15" s="55"/>
      <c r="GER15" s="55"/>
      <c r="GES15" s="55"/>
      <c r="GET15" s="55"/>
      <c r="GEU15" s="55"/>
      <c r="GEV15" s="55"/>
      <c r="GEW15" s="55"/>
      <c r="GEX15" s="55"/>
      <c r="GEY15" s="55"/>
      <c r="GEZ15" s="55"/>
      <c r="GFA15" s="55"/>
      <c r="GFB15" s="55"/>
      <c r="GFC15" s="55"/>
      <c r="GFD15" s="55"/>
      <c r="GFE15" s="55"/>
      <c r="GFF15" s="55"/>
      <c r="GFG15" s="55"/>
      <c r="GFH15" s="55"/>
      <c r="GFI15" s="55"/>
      <c r="GFJ15" s="55"/>
      <c r="GFK15" s="55"/>
      <c r="GFL15" s="55"/>
      <c r="GFM15" s="55"/>
      <c r="GFN15" s="55"/>
      <c r="GFO15" s="55"/>
      <c r="GFP15" s="55"/>
      <c r="GFQ15" s="55"/>
      <c r="GFR15" s="55"/>
      <c r="GFS15" s="55"/>
      <c r="GFT15" s="55"/>
      <c r="GFU15" s="55"/>
      <c r="GFV15" s="55"/>
      <c r="GFW15" s="55"/>
      <c r="GFX15" s="55"/>
      <c r="GFY15" s="55"/>
      <c r="GFZ15" s="55"/>
      <c r="GGA15" s="55"/>
      <c r="GGB15" s="55"/>
      <c r="GGC15" s="55"/>
      <c r="GGD15" s="55"/>
      <c r="GGE15" s="55"/>
      <c r="GGF15" s="55"/>
      <c r="GGG15" s="55"/>
      <c r="GGH15" s="55"/>
      <c r="GGI15" s="55"/>
      <c r="GGJ15" s="55"/>
      <c r="GGK15" s="55"/>
      <c r="GGL15" s="55"/>
      <c r="GGM15" s="55"/>
      <c r="GGN15" s="55"/>
      <c r="GGO15" s="55"/>
      <c r="GGP15" s="55"/>
      <c r="GGQ15" s="55"/>
      <c r="GGR15" s="55"/>
      <c r="GGS15" s="55"/>
      <c r="GGT15" s="55"/>
      <c r="GGU15" s="55"/>
      <c r="GGV15" s="55"/>
      <c r="GGW15" s="55"/>
      <c r="GGX15" s="55"/>
      <c r="GGY15" s="55"/>
      <c r="GGZ15" s="55"/>
      <c r="GHA15" s="55"/>
      <c r="GHB15" s="55"/>
      <c r="GHC15" s="55"/>
      <c r="GHD15" s="55"/>
      <c r="GHE15" s="55"/>
      <c r="GHF15" s="55"/>
      <c r="GHG15" s="55"/>
      <c r="GHH15" s="55"/>
      <c r="GHI15" s="55"/>
      <c r="GHJ15" s="55"/>
      <c r="GHK15" s="55"/>
      <c r="GHL15" s="55"/>
      <c r="GHM15" s="55"/>
      <c r="GHN15" s="55"/>
      <c r="GHO15" s="55"/>
      <c r="GHP15" s="55"/>
      <c r="GHQ15" s="55"/>
      <c r="GHR15" s="55"/>
      <c r="GHS15" s="55"/>
      <c r="GHT15" s="55"/>
      <c r="GHU15" s="55"/>
      <c r="GHV15" s="55"/>
      <c r="GHW15" s="55"/>
      <c r="GHX15" s="55"/>
      <c r="GHY15" s="55"/>
      <c r="GHZ15" s="55"/>
      <c r="GIA15" s="55"/>
      <c r="GIB15" s="55"/>
      <c r="GIC15" s="55"/>
      <c r="GID15" s="55"/>
      <c r="GIE15" s="55"/>
      <c r="GIF15" s="55"/>
      <c r="GIG15" s="55"/>
      <c r="GIH15" s="55"/>
      <c r="GII15" s="55"/>
      <c r="GIJ15" s="55"/>
      <c r="GIK15" s="55"/>
      <c r="GIL15" s="55"/>
      <c r="GIM15" s="55"/>
      <c r="GIN15" s="55"/>
      <c r="GIO15" s="55"/>
      <c r="GIP15" s="55"/>
      <c r="GIQ15" s="55"/>
      <c r="GIR15" s="55"/>
      <c r="GIS15" s="55"/>
      <c r="GIT15" s="55"/>
      <c r="GIU15" s="55"/>
      <c r="GIV15" s="55"/>
      <c r="GIW15" s="55"/>
      <c r="GIX15" s="55"/>
      <c r="GIY15" s="55"/>
      <c r="GIZ15" s="55"/>
      <c r="GJA15" s="55"/>
      <c r="GJB15" s="55"/>
      <c r="GJC15" s="55"/>
      <c r="GJD15" s="55"/>
      <c r="GJE15" s="55"/>
      <c r="GJF15" s="55"/>
      <c r="GJG15" s="55"/>
      <c r="GJH15" s="55"/>
      <c r="GJI15" s="55"/>
      <c r="GJJ15" s="55"/>
      <c r="GJK15" s="55"/>
      <c r="GJL15" s="55"/>
      <c r="GJM15" s="55"/>
      <c r="GJN15" s="55"/>
      <c r="GJO15" s="55"/>
      <c r="GJP15" s="55"/>
      <c r="GJQ15" s="55"/>
      <c r="GJR15" s="55"/>
      <c r="GJS15" s="55"/>
      <c r="GJT15" s="55"/>
      <c r="GJU15" s="55"/>
      <c r="GJV15" s="55"/>
      <c r="GJW15" s="55"/>
      <c r="GJX15" s="55"/>
      <c r="GJY15" s="55"/>
      <c r="GJZ15" s="55"/>
      <c r="GKA15" s="55"/>
      <c r="GKB15" s="55"/>
      <c r="GKC15" s="55"/>
      <c r="GKD15" s="55"/>
      <c r="GKE15" s="55"/>
      <c r="GKF15" s="55"/>
      <c r="GKG15" s="55"/>
      <c r="GKH15" s="55"/>
      <c r="GKI15" s="55"/>
      <c r="GKJ15" s="55"/>
      <c r="GKK15" s="55"/>
      <c r="GKL15" s="55"/>
      <c r="GKM15" s="55"/>
      <c r="GKN15" s="55"/>
      <c r="GKO15" s="55"/>
      <c r="GKP15" s="55"/>
      <c r="GKQ15" s="55"/>
      <c r="GKR15" s="55"/>
      <c r="GKS15" s="55"/>
      <c r="GKT15" s="55"/>
      <c r="GKU15" s="55"/>
      <c r="GKV15" s="55"/>
      <c r="GKW15" s="55"/>
      <c r="GKX15" s="55"/>
      <c r="GKY15" s="55"/>
      <c r="GKZ15" s="55"/>
      <c r="GLA15" s="55"/>
      <c r="GLB15" s="55"/>
      <c r="GLC15" s="55"/>
      <c r="GLD15" s="55"/>
      <c r="GLE15" s="55"/>
      <c r="GLF15" s="55"/>
      <c r="GLG15" s="55"/>
      <c r="GLH15" s="55"/>
      <c r="GLI15" s="55"/>
      <c r="GLJ15" s="55"/>
      <c r="GLK15" s="55"/>
      <c r="GLL15" s="55"/>
      <c r="GLM15" s="55"/>
      <c r="GLN15" s="55"/>
      <c r="GLO15" s="55"/>
      <c r="GLP15" s="55"/>
      <c r="GLQ15" s="55"/>
      <c r="GLR15" s="55"/>
      <c r="GLS15" s="55"/>
      <c r="GLT15" s="55"/>
      <c r="GLU15" s="55"/>
      <c r="GLV15" s="55"/>
      <c r="GLW15" s="55"/>
      <c r="GLX15" s="55"/>
      <c r="GLY15" s="55"/>
      <c r="GLZ15" s="55"/>
      <c r="GMA15" s="55"/>
      <c r="GMB15" s="55"/>
      <c r="GMC15" s="55"/>
      <c r="GMD15" s="55"/>
      <c r="GME15" s="55"/>
      <c r="GMF15" s="55"/>
      <c r="GMG15" s="55"/>
      <c r="GMH15" s="55"/>
      <c r="GMI15" s="55"/>
      <c r="GMJ15" s="55"/>
      <c r="GMK15" s="55"/>
      <c r="GML15" s="55"/>
      <c r="GMM15" s="55"/>
      <c r="GMN15" s="55"/>
      <c r="GMO15" s="55"/>
      <c r="GMP15" s="55"/>
      <c r="GMQ15" s="55"/>
      <c r="GMR15" s="55"/>
      <c r="GMS15" s="55"/>
      <c r="GMT15" s="55"/>
      <c r="GMU15" s="55"/>
      <c r="GMV15" s="55"/>
      <c r="GMW15" s="55"/>
      <c r="GMX15" s="55"/>
      <c r="GMY15" s="55"/>
      <c r="GMZ15" s="55"/>
      <c r="GNA15" s="55"/>
      <c r="GNB15" s="55"/>
      <c r="GNC15" s="55"/>
      <c r="GND15" s="55"/>
      <c r="GNE15" s="55"/>
      <c r="GNF15" s="55"/>
      <c r="GNG15" s="55"/>
      <c r="GNH15" s="55"/>
      <c r="GNI15" s="55"/>
      <c r="GNJ15" s="55"/>
      <c r="GNK15" s="55"/>
      <c r="GNL15" s="55"/>
      <c r="GNM15" s="55"/>
      <c r="GNN15" s="55"/>
      <c r="GNO15" s="55"/>
      <c r="GNP15" s="55"/>
      <c r="GNQ15" s="55"/>
      <c r="GNR15" s="55"/>
      <c r="GNS15" s="55"/>
      <c r="GNT15" s="55"/>
      <c r="GNU15" s="55"/>
      <c r="GNV15" s="55"/>
      <c r="GNW15" s="55"/>
      <c r="GNX15" s="55"/>
      <c r="GNY15" s="55"/>
      <c r="GNZ15" s="55"/>
      <c r="GOA15" s="55"/>
      <c r="GOB15" s="55"/>
      <c r="GOC15" s="55"/>
      <c r="GOD15" s="55"/>
      <c r="GOE15" s="55"/>
      <c r="GOF15" s="55"/>
      <c r="GOG15" s="55"/>
      <c r="GOH15" s="55"/>
      <c r="GOI15" s="55"/>
      <c r="GOJ15" s="55"/>
      <c r="GOK15" s="55"/>
      <c r="GOL15" s="55"/>
      <c r="GOM15" s="55"/>
      <c r="GON15" s="55"/>
      <c r="GOO15" s="55"/>
      <c r="GOP15" s="55"/>
      <c r="GOQ15" s="55"/>
      <c r="GOR15" s="55"/>
      <c r="GOS15" s="55"/>
      <c r="GOT15" s="55"/>
      <c r="GOU15" s="55"/>
      <c r="GOV15" s="55"/>
      <c r="GOW15" s="55"/>
      <c r="GOX15" s="55"/>
      <c r="GOY15" s="55"/>
      <c r="GOZ15" s="55"/>
      <c r="GPA15" s="55"/>
      <c r="GPB15" s="55"/>
      <c r="GPC15" s="55"/>
      <c r="GPD15" s="55"/>
      <c r="GPE15" s="55"/>
      <c r="GPF15" s="55"/>
      <c r="GPG15" s="55"/>
      <c r="GPH15" s="55"/>
      <c r="GPI15" s="55"/>
      <c r="GPJ15" s="55"/>
      <c r="GPK15" s="55"/>
      <c r="GPL15" s="55"/>
      <c r="GPM15" s="55"/>
      <c r="GPN15" s="55"/>
      <c r="GPO15" s="55"/>
      <c r="GPP15" s="55"/>
      <c r="GPQ15" s="55"/>
      <c r="GPR15" s="55"/>
      <c r="GPS15" s="55"/>
      <c r="GPT15" s="55"/>
      <c r="GPU15" s="55"/>
      <c r="GPV15" s="55"/>
      <c r="GPW15" s="55"/>
      <c r="GPX15" s="55"/>
      <c r="GPY15" s="55"/>
      <c r="GPZ15" s="55"/>
      <c r="GQA15" s="55"/>
      <c r="GQB15" s="55"/>
      <c r="GQC15" s="55"/>
      <c r="GQD15" s="55"/>
      <c r="GQE15" s="55"/>
      <c r="GQF15" s="55"/>
      <c r="GQG15" s="55"/>
      <c r="GQH15" s="55"/>
      <c r="GQI15" s="55"/>
      <c r="GQJ15" s="55"/>
      <c r="GQK15" s="55"/>
      <c r="GQL15" s="55"/>
      <c r="GQM15" s="55"/>
      <c r="GQN15" s="55"/>
      <c r="GQO15" s="55"/>
      <c r="GQP15" s="55"/>
      <c r="GQQ15" s="55"/>
      <c r="GQR15" s="55"/>
      <c r="GQS15" s="55"/>
      <c r="GQT15" s="55"/>
      <c r="GQU15" s="55"/>
      <c r="GQV15" s="55"/>
      <c r="GQW15" s="55"/>
      <c r="GQX15" s="55"/>
      <c r="GQY15" s="55"/>
      <c r="GQZ15" s="55"/>
      <c r="GRA15" s="55"/>
      <c r="GRB15" s="55"/>
      <c r="GRC15" s="55"/>
      <c r="GRD15" s="55"/>
      <c r="GRE15" s="55"/>
      <c r="GRF15" s="55"/>
      <c r="GRG15" s="55"/>
      <c r="GRH15" s="55"/>
      <c r="GRI15" s="55"/>
      <c r="GRJ15" s="55"/>
      <c r="GRK15" s="55"/>
      <c r="GRL15" s="55"/>
      <c r="GRM15" s="55"/>
      <c r="GRN15" s="55"/>
      <c r="GRO15" s="55"/>
      <c r="GRP15" s="55"/>
      <c r="GRQ15" s="55"/>
      <c r="GRR15" s="55"/>
      <c r="GRS15" s="55"/>
      <c r="GRT15" s="55"/>
      <c r="GRU15" s="55"/>
      <c r="GRV15" s="55"/>
      <c r="GRW15" s="55"/>
      <c r="GRX15" s="55"/>
      <c r="GRY15" s="55"/>
      <c r="GRZ15" s="55"/>
      <c r="GSA15" s="55"/>
      <c r="GSB15" s="55"/>
      <c r="GSC15" s="55"/>
      <c r="GSD15" s="55"/>
      <c r="GSE15" s="55"/>
      <c r="GSF15" s="55"/>
      <c r="GSG15" s="55"/>
      <c r="GSH15" s="55"/>
      <c r="GSI15" s="55"/>
      <c r="GSJ15" s="55"/>
      <c r="GSK15" s="55"/>
      <c r="GSL15" s="55"/>
      <c r="GSM15" s="55"/>
      <c r="GSN15" s="55"/>
      <c r="GSO15" s="55"/>
      <c r="GSP15" s="55"/>
      <c r="GSQ15" s="55"/>
      <c r="GSR15" s="55"/>
      <c r="GSS15" s="55"/>
      <c r="GST15" s="55"/>
      <c r="GSU15" s="55"/>
      <c r="GSV15" s="55"/>
      <c r="GSW15" s="55"/>
      <c r="GSX15" s="55"/>
      <c r="GSY15" s="55"/>
      <c r="GSZ15" s="55"/>
      <c r="GTA15" s="55"/>
      <c r="GTB15" s="55"/>
      <c r="GTC15" s="55"/>
      <c r="GTD15" s="55"/>
      <c r="GTE15" s="55"/>
      <c r="GTF15" s="55"/>
      <c r="GTG15" s="55"/>
      <c r="GTH15" s="55"/>
      <c r="GTI15" s="55"/>
      <c r="GTJ15" s="55"/>
      <c r="GTK15" s="55"/>
      <c r="GTL15" s="55"/>
      <c r="GTM15" s="55"/>
      <c r="GTN15" s="55"/>
      <c r="GTO15" s="55"/>
      <c r="GTP15" s="55"/>
      <c r="GTQ15" s="55"/>
      <c r="GTR15" s="55"/>
      <c r="GTS15" s="55"/>
      <c r="GTT15" s="55"/>
      <c r="GTU15" s="55"/>
      <c r="GTV15" s="55"/>
      <c r="GTW15" s="55"/>
      <c r="GTX15" s="55"/>
      <c r="GTY15" s="55"/>
      <c r="GTZ15" s="55"/>
      <c r="GUA15" s="55"/>
      <c r="GUB15" s="55"/>
      <c r="GUC15" s="55"/>
      <c r="GUD15" s="55"/>
      <c r="GUE15" s="55"/>
      <c r="GUF15" s="55"/>
      <c r="GUG15" s="55"/>
      <c r="GUH15" s="55"/>
      <c r="GUI15" s="55"/>
      <c r="GUJ15" s="55"/>
      <c r="GUK15" s="55"/>
      <c r="GUL15" s="55"/>
      <c r="GUM15" s="55"/>
      <c r="GUN15" s="55"/>
      <c r="GUO15" s="55"/>
      <c r="GUP15" s="55"/>
      <c r="GUQ15" s="55"/>
      <c r="GUR15" s="55"/>
      <c r="GUS15" s="55"/>
      <c r="GUT15" s="55"/>
      <c r="GUU15" s="55"/>
      <c r="GUV15" s="55"/>
      <c r="GUW15" s="55"/>
      <c r="GUX15" s="55"/>
      <c r="GUY15" s="55"/>
      <c r="GUZ15" s="55"/>
      <c r="GVA15" s="55"/>
      <c r="GVB15" s="55"/>
      <c r="GVC15" s="55"/>
      <c r="GVD15" s="55"/>
      <c r="GVE15" s="55"/>
      <c r="GVF15" s="55"/>
      <c r="GVG15" s="55"/>
      <c r="GVH15" s="55"/>
      <c r="GVI15" s="55"/>
      <c r="GVJ15" s="55"/>
      <c r="GVK15" s="55"/>
      <c r="GVL15" s="55"/>
      <c r="GVM15" s="55"/>
      <c r="GVN15" s="55"/>
      <c r="GVO15" s="55"/>
      <c r="GVP15" s="55"/>
      <c r="GVQ15" s="55"/>
      <c r="GVR15" s="55"/>
      <c r="GVS15" s="55"/>
      <c r="GVT15" s="55"/>
      <c r="GVU15" s="55"/>
      <c r="GVV15" s="55"/>
      <c r="GVW15" s="55"/>
      <c r="GVX15" s="55"/>
      <c r="GVY15" s="55"/>
      <c r="GVZ15" s="55"/>
      <c r="GWA15" s="55"/>
      <c r="GWB15" s="55"/>
      <c r="GWC15" s="55"/>
      <c r="GWD15" s="55"/>
      <c r="GWE15" s="55"/>
      <c r="GWF15" s="55"/>
      <c r="GWG15" s="55"/>
      <c r="GWH15" s="55"/>
      <c r="GWI15" s="55"/>
      <c r="GWJ15" s="55"/>
      <c r="GWK15" s="55"/>
      <c r="GWL15" s="55"/>
      <c r="GWM15" s="55"/>
      <c r="GWN15" s="55"/>
      <c r="GWO15" s="55"/>
      <c r="GWP15" s="55"/>
      <c r="GWQ15" s="55"/>
      <c r="GWR15" s="55"/>
      <c r="GWS15" s="55"/>
      <c r="GWT15" s="55"/>
      <c r="GWU15" s="55"/>
      <c r="GWV15" s="55"/>
      <c r="GWW15" s="55"/>
      <c r="GWX15" s="55"/>
      <c r="GWY15" s="55"/>
      <c r="GWZ15" s="55"/>
      <c r="GXA15" s="55"/>
      <c r="GXB15" s="55"/>
      <c r="GXC15" s="55"/>
      <c r="GXD15" s="55"/>
      <c r="GXE15" s="55"/>
      <c r="GXF15" s="55"/>
      <c r="GXG15" s="55"/>
      <c r="GXH15" s="55"/>
      <c r="GXI15" s="55"/>
      <c r="GXJ15" s="55"/>
      <c r="GXK15" s="55"/>
      <c r="GXL15" s="55"/>
      <c r="GXM15" s="55"/>
      <c r="GXN15" s="55"/>
      <c r="GXO15" s="55"/>
      <c r="GXP15" s="55"/>
      <c r="GXQ15" s="55"/>
      <c r="GXR15" s="55"/>
      <c r="GXS15" s="55"/>
      <c r="GXT15" s="55"/>
      <c r="GXU15" s="55"/>
      <c r="GXV15" s="55"/>
      <c r="GXW15" s="55"/>
      <c r="GXX15" s="55"/>
      <c r="GXY15" s="55"/>
      <c r="GXZ15" s="55"/>
      <c r="GYA15" s="55"/>
      <c r="GYB15" s="55"/>
      <c r="GYC15" s="55"/>
      <c r="GYD15" s="55"/>
      <c r="GYE15" s="55"/>
      <c r="GYF15" s="55"/>
      <c r="GYG15" s="55"/>
      <c r="GYH15" s="55"/>
      <c r="GYI15" s="55"/>
      <c r="GYJ15" s="55"/>
      <c r="GYK15" s="55"/>
      <c r="GYL15" s="55"/>
      <c r="GYM15" s="55"/>
      <c r="GYN15" s="55"/>
      <c r="GYO15" s="55"/>
      <c r="GYP15" s="55"/>
      <c r="GYQ15" s="55"/>
      <c r="GYR15" s="55"/>
      <c r="GYS15" s="55"/>
      <c r="GYT15" s="55"/>
      <c r="GYU15" s="55"/>
      <c r="GYV15" s="55"/>
      <c r="GYW15" s="55"/>
      <c r="GYX15" s="55"/>
      <c r="GYY15" s="55"/>
      <c r="GYZ15" s="55"/>
      <c r="GZA15" s="55"/>
      <c r="GZB15" s="55"/>
      <c r="GZC15" s="55"/>
      <c r="GZD15" s="55"/>
      <c r="GZE15" s="55"/>
      <c r="GZF15" s="55"/>
      <c r="GZG15" s="55"/>
      <c r="GZH15" s="55"/>
      <c r="GZI15" s="55"/>
      <c r="GZJ15" s="55"/>
      <c r="GZK15" s="55"/>
      <c r="GZL15" s="55"/>
      <c r="GZM15" s="55"/>
      <c r="GZN15" s="55"/>
      <c r="GZO15" s="55"/>
      <c r="GZP15" s="55"/>
      <c r="GZQ15" s="55"/>
      <c r="GZR15" s="55"/>
      <c r="GZS15" s="55"/>
      <c r="GZT15" s="55"/>
      <c r="GZU15" s="55"/>
      <c r="GZV15" s="55"/>
      <c r="GZW15" s="55"/>
      <c r="GZX15" s="55"/>
      <c r="GZY15" s="55"/>
      <c r="GZZ15" s="55"/>
      <c r="HAA15" s="55"/>
      <c r="HAB15" s="55"/>
      <c r="HAC15" s="55"/>
      <c r="HAD15" s="55"/>
      <c r="HAE15" s="55"/>
      <c r="HAF15" s="55"/>
      <c r="HAG15" s="55"/>
      <c r="HAH15" s="55"/>
      <c r="HAI15" s="55"/>
      <c r="HAJ15" s="55"/>
      <c r="HAK15" s="55"/>
      <c r="HAL15" s="55"/>
      <c r="HAM15" s="55"/>
      <c r="HAN15" s="55"/>
      <c r="HAO15" s="55"/>
      <c r="HAP15" s="55"/>
      <c r="HAQ15" s="55"/>
      <c r="HAR15" s="55"/>
      <c r="HAS15" s="55"/>
      <c r="HAT15" s="55"/>
      <c r="HAU15" s="55"/>
      <c r="HAV15" s="55"/>
      <c r="HAW15" s="55"/>
      <c r="HAX15" s="55"/>
      <c r="HAY15" s="55"/>
      <c r="HAZ15" s="55"/>
      <c r="HBA15" s="55"/>
      <c r="HBB15" s="55"/>
      <c r="HBC15" s="55"/>
      <c r="HBD15" s="55"/>
      <c r="HBE15" s="55"/>
      <c r="HBF15" s="55"/>
      <c r="HBG15" s="55"/>
      <c r="HBH15" s="55"/>
      <c r="HBI15" s="55"/>
      <c r="HBJ15" s="55"/>
      <c r="HBK15" s="55"/>
      <c r="HBL15" s="55"/>
      <c r="HBM15" s="55"/>
      <c r="HBN15" s="55"/>
      <c r="HBO15" s="55"/>
      <c r="HBP15" s="55"/>
      <c r="HBQ15" s="55"/>
      <c r="HBR15" s="55"/>
      <c r="HBS15" s="55"/>
      <c r="HBT15" s="55"/>
      <c r="HBU15" s="55"/>
      <c r="HBV15" s="55"/>
      <c r="HBW15" s="55"/>
      <c r="HBX15" s="55"/>
      <c r="HBY15" s="55"/>
      <c r="HBZ15" s="55"/>
      <c r="HCA15" s="55"/>
      <c r="HCB15" s="55"/>
      <c r="HCC15" s="55"/>
      <c r="HCD15" s="55"/>
      <c r="HCE15" s="55"/>
      <c r="HCF15" s="55"/>
      <c r="HCG15" s="55"/>
      <c r="HCH15" s="55"/>
      <c r="HCI15" s="55"/>
      <c r="HCJ15" s="55"/>
      <c r="HCK15" s="55"/>
      <c r="HCL15" s="55"/>
      <c r="HCM15" s="55"/>
      <c r="HCN15" s="55"/>
      <c r="HCO15" s="55"/>
      <c r="HCP15" s="55"/>
      <c r="HCQ15" s="55"/>
      <c r="HCR15" s="55"/>
      <c r="HCS15" s="55"/>
      <c r="HCT15" s="55"/>
      <c r="HCU15" s="55"/>
      <c r="HCV15" s="55"/>
      <c r="HCW15" s="55"/>
      <c r="HCX15" s="55"/>
      <c r="HCY15" s="55"/>
      <c r="HCZ15" s="55"/>
      <c r="HDA15" s="55"/>
      <c r="HDB15" s="55"/>
      <c r="HDC15" s="55"/>
      <c r="HDD15" s="55"/>
      <c r="HDE15" s="55"/>
      <c r="HDF15" s="55"/>
      <c r="HDG15" s="55"/>
      <c r="HDH15" s="55"/>
      <c r="HDI15" s="55"/>
      <c r="HDJ15" s="55"/>
      <c r="HDK15" s="55"/>
      <c r="HDL15" s="55"/>
      <c r="HDM15" s="55"/>
      <c r="HDN15" s="55"/>
      <c r="HDO15" s="55"/>
      <c r="HDP15" s="55"/>
      <c r="HDQ15" s="55"/>
      <c r="HDR15" s="55"/>
      <c r="HDS15" s="55"/>
      <c r="HDT15" s="55"/>
      <c r="HDU15" s="55"/>
      <c r="HDV15" s="55"/>
      <c r="HDW15" s="55"/>
      <c r="HDX15" s="55"/>
      <c r="HDY15" s="55"/>
      <c r="HDZ15" s="55"/>
      <c r="HEA15" s="55"/>
      <c r="HEB15" s="55"/>
      <c r="HEC15" s="55"/>
      <c r="HED15" s="55"/>
      <c r="HEE15" s="55"/>
      <c r="HEF15" s="55"/>
      <c r="HEG15" s="55"/>
      <c r="HEH15" s="55"/>
      <c r="HEI15" s="55"/>
      <c r="HEJ15" s="55"/>
      <c r="HEK15" s="55"/>
      <c r="HEL15" s="55"/>
      <c r="HEM15" s="55"/>
      <c r="HEN15" s="55"/>
      <c r="HEO15" s="55"/>
      <c r="HEP15" s="55"/>
      <c r="HEQ15" s="55"/>
      <c r="HER15" s="55"/>
      <c r="HES15" s="55"/>
      <c r="HET15" s="55"/>
      <c r="HEU15" s="55"/>
      <c r="HEV15" s="55"/>
      <c r="HEW15" s="55"/>
      <c r="HEX15" s="55"/>
      <c r="HEY15" s="55"/>
      <c r="HEZ15" s="55"/>
      <c r="HFA15" s="55"/>
      <c r="HFB15" s="55"/>
      <c r="HFC15" s="55"/>
      <c r="HFD15" s="55"/>
      <c r="HFE15" s="55"/>
      <c r="HFF15" s="55"/>
      <c r="HFG15" s="55"/>
      <c r="HFH15" s="55"/>
      <c r="HFI15" s="55"/>
      <c r="HFJ15" s="55"/>
      <c r="HFK15" s="55"/>
      <c r="HFL15" s="55"/>
      <c r="HFM15" s="55"/>
      <c r="HFN15" s="55"/>
      <c r="HFO15" s="55"/>
      <c r="HFP15" s="55"/>
      <c r="HFQ15" s="55"/>
      <c r="HFR15" s="55"/>
      <c r="HFS15" s="55"/>
      <c r="HFT15" s="55"/>
      <c r="HFU15" s="55"/>
      <c r="HFV15" s="55"/>
      <c r="HFW15" s="55"/>
      <c r="HFX15" s="55"/>
      <c r="HFY15" s="55"/>
      <c r="HFZ15" s="55"/>
      <c r="HGA15" s="55"/>
      <c r="HGB15" s="55"/>
      <c r="HGC15" s="55"/>
      <c r="HGD15" s="55"/>
      <c r="HGE15" s="55"/>
      <c r="HGF15" s="55"/>
      <c r="HGG15" s="55"/>
      <c r="HGH15" s="55"/>
      <c r="HGI15" s="55"/>
      <c r="HGJ15" s="55"/>
      <c r="HGK15" s="55"/>
      <c r="HGL15" s="55"/>
      <c r="HGM15" s="55"/>
      <c r="HGN15" s="55"/>
      <c r="HGO15" s="55"/>
      <c r="HGP15" s="55"/>
      <c r="HGQ15" s="55"/>
      <c r="HGR15" s="55"/>
      <c r="HGS15" s="55"/>
      <c r="HGT15" s="55"/>
      <c r="HGU15" s="55"/>
      <c r="HGV15" s="55"/>
      <c r="HGW15" s="55"/>
      <c r="HGX15" s="55"/>
      <c r="HGY15" s="55"/>
      <c r="HGZ15" s="55"/>
      <c r="HHA15" s="55"/>
      <c r="HHB15" s="55"/>
      <c r="HHC15" s="55"/>
      <c r="HHD15" s="55"/>
      <c r="HHE15" s="55"/>
      <c r="HHF15" s="55"/>
      <c r="HHG15" s="55"/>
      <c r="HHH15" s="55"/>
      <c r="HHI15" s="55"/>
      <c r="HHJ15" s="55"/>
      <c r="HHK15" s="55"/>
      <c r="HHL15" s="55"/>
      <c r="HHM15" s="55"/>
      <c r="HHN15" s="55"/>
      <c r="HHO15" s="55"/>
      <c r="HHP15" s="55"/>
      <c r="HHQ15" s="55"/>
      <c r="HHR15" s="55"/>
      <c r="HHS15" s="55"/>
      <c r="HHT15" s="55"/>
      <c r="HHU15" s="55"/>
      <c r="HHV15" s="55"/>
      <c r="HHW15" s="55"/>
      <c r="HHX15" s="55"/>
      <c r="HHY15" s="55"/>
      <c r="HHZ15" s="55"/>
      <c r="HIA15" s="55"/>
      <c r="HIB15" s="55"/>
      <c r="HIC15" s="55"/>
      <c r="HID15" s="55"/>
      <c r="HIE15" s="55"/>
      <c r="HIF15" s="55"/>
      <c r="HIG15" s="55"/>
      <c r="HIH15" s="55"/>
      <c r="HII15" s="55"/>
      <c r="HIJ15" s="55"/>
      <c r="HIK15" s="55"/>
      <c r="HIL15" s="55"/>
      <c r="HIM15" s="55"/>
      <c r="HIN15" s="55"/>
      <c r="HIO15" s="55"/>
      <c r="HIP15" s="55"/>
      <c r="HIQ15" s="55"/>
      <c r="HIR15" s="55"/>
      <c r="HIS15" s="55"/>
      <c r="HIT15" s="55"/>
      <c r="HIU15" s="55"/>
      <c r="HIV15" s="55"/>
      <c r="HIW15" s="55"/>
      <c r="HIX15" s="55"/>
      <c r="HIY15" s="55"/>
      <c r="HIZ15" s="55"/>
      <c r="HJA15" s="55"/>
      <c r="HJB15" s="55"/>
      <c r="HJC15" s="55"/>
      <c r="HJD15" s="55"/>
      <c r="HJE15" s="55"/>
      <c r="HJF15" s="55"/>
      <c r="HJG15" s="55"/>
      <c r="HJH15" s="55"/>
      <c r="HJI15" s="55"/>
      <c r="HJJ15" s="55"/>
      <c r="HJK15" s="55"/>
      <c r="HJL15" s="55"/>
      <c r="HJM15" s="55"/>
      <c r="HJN15" s="55"/>
      <c r="HJO15" s="55"/>
      <c r="HJP15" s="55"/>
      <c r="HJQ15" s="55"/>
      <c r="HJR15" s="55"/>
      <c r="HJS15" s="55"/>
      <c r="HJT15" s="55"/>
      <c r="HJU15" s="55"/>
      <c r="HJV15" s="55"/>
      <c r="HJW15" s="55"/>
      <c r="HJX15" s="55"/>
      <c r="HJY15" s="55"/>
      <c r="HJZ15" s="55"/>
      <c r="HKA15" s="55"/>
      <c r="HKB15" s="55"/>
      <c r="HKC15" s="55"/>
      <c r="HKD15" s="55"/>
      <c r="HKE15" s="55"/>
      <c r="HKF15" s="55"/>
      <c r="HKG15" s="55"/>
      <c r="HKH15" s="55"/>
      <c r="HKI15" s="55"/>
      <c r="HKJ15" s="55"/>
      <c r="HKK15" s="55"/>
      <c r="HKL15" s="55"/>
      <c r="HKM15" s="55"/>
      <c r="HKN15" s="55"/>
      <c r="HKO15" s="55"/>
      <c r="HKP15" s="55"/>
      <c r="HKQ15" s="55"/>
      <c r="HKR15" s="55"/>
      <c r="HKS15" s="55"/>
      <c r="HKT15" s="55"/>
      <c r="HKU15" s="55"/>
      <c r="HKV15" s="55"/>
      <c r="HKW15" s="55"/>
      <c r="HKX15" s="55"/>
      <c r="HKY15" s="55"/>
      <c r="HKZ15" s="55"/>
      <c r="HLA15" s="55"/>
      <c r="HLB15" s="55"/>
      <c r="HLC15" s="55"/>
      <c r="HLD15" s="55"/>
      <c r="HLE15" s="55"/>
      <c r="HLF15" s="55"/>
      <c r="HLG15" s="55"/>
      <c r="HLH15" s="55"/>
      <c r="HLI15" s="55"/>
      <c r="HLJ15" s="55"/>
      <c r="HLK15" s="55"/>
      <c r="HLL15" s="55"/>
      <c r="HLM15" s="55"/>
      <c r="HLN15" s="55"/>
      <c r="HLO15" s="55"/>
      <c r="HLP15" s="55"/>
      <c r="HLQ15" s="55"/>
      <c r="HLR15" s="55"/>
      <c r="HLS15" s="55"/>
      <c r="HLT15" s="55"/>
      <c r="HLU15" s="55"/>
      <c r="HLV15" s="55"/>
      <c r="HLW15" s="55"/>
      <c r="HLX15" s="55"/>
      <c r="HLY15" s="55"/>
      <c r="HLZ15" s="55"/>
      <c r="HMA15" s="55"/>
      <c r="HMB15" s="55"/>
      <c r="HMC15" s="55"/>
      <c r="HMD15" s="55"/>
      <c r="HME15" s="55"/>
      <c r="HMF15" s="55"/>
      <c r="HMG15" s="55"/>
      <c r="HMH15" s="55"/>
      <c r="HMI15" s="55"/>
      <c r="HMJ15" s="55"/>
      <c r="HMK15" s="55"/>
      <c r="HML15" s="55"/>
      <c r="HMM15" s="55"/>
      <c r="HMN15" s="55"/>
      <c r="HMO15" s="55"/>
      <c r="HMP15" s="55"/>
      <c r="HMQ15" s="55"/>
      <c r="HMR15" s="55"/>
      <c r="HMS15" s="55"/>
      <c r="HMT15" s="55"/>
      <c r="HMU15" s="55"/>
      <c r="HMV15" s="55"/>
      <c r="HMW15" s="55"/>
      <c r="HMX15" s="55"/>
      <c r="HMY15" s="55"/>
      <c r="HMZ15" s="55"/>
      <c r="HNA15" s="55"/>
      <c r="HNB15" s="55"/>
      <c r="HNC15" s="55"/>
      <c r="HND15" s="55"/>
      <c r="HNE15" s="55"/>
      <c r="HNF15" s="55"/>
      <c r="HNG15" s="55"/>
      <c r="HNH15" s="55"/>
      <c r="HNI15" s="55"/>
      <c r="HNJ15" s="55"/>
      <c r="HNK15" s="55"/>
      <c r="HNL15" s="55"/>
      <c r="HNM15" s="55"/>
      <c r="HNN15" s="55"/>
      <c r="HNO15" s="55"/>
      <c r="HNP15" s="55"/>
      <c r="HNQ15" s="55"/>
      <c r="HNR15" s="55"/>
      <c r="HNS15" s="55"/>
      <c r="HNT15" s="55"/>
      <c r="HNU15" s="55"/>
      <c r="HNV15" s="55"/>
      <c r="HNW15" s="55"/>
      <c r="HNX15" s="55"/>
      <c r="HNY15" s="55"/>
      <c r="HNZ15" s="55"/>
      <c r="HOA15" s="55"/>
      <c r="HOB15" s="55"/>
      <c r="HOC15" s="55"/>
      <c r="HOD15" s="55"/>
      <c r="HOE15" s="55"/>
      <c r="HOF15" s="55"/>
      <c r="HOG15" s="55"/>
      <c r="HOH15" s="55"/>
      <c r="HOI15" s="55"/>
      <c r="HOJ15" s="55"/>
      <c r="HOK15" s="55"/>
      <c r="HOL15" s="55"/>
      <c r="HOM15" s="55"/>
      <c r="HON15" s="55"/>
      <c r="HOO15" s="55"/>
      <c r="HOP15" s="55"/>
      <c r="HOQ15" s="55"/>
      <c r="HOR15" s="55"/>
      <c r="HOS15" s="55"/>
      <c r="HOT15" s="55"/>
      <c r="HOU15" s="55"/>
      <c r="HOV15" s="55"/>
      <c r="HOW15" s="55"/>
      <c r="HOX15" s="55"/>
      <c r="HOY15" s="55"/>
      <c r="HOZ15" s="55"/>
      <c r="HPA15" s="55"/>
      <c r="HPB15" s="55"/>
      <c r="HPC15" s="55"/>
      <c r="HPD15" s="55"/>
      <c r="HPE15" s="55"/>
      <c r="HPF15" s="55"/>
      <c r="HPG15" s="55"/>
      <c r="HPH15" s="55"/>
      <c r="HPI15" s="55"/>
      <c r="HPJ15" s="55"/>
      <c r="HPK15" s="55"/>
      <c r="HPL15" s="55"/>
      <c r="HPM15" s="55"/>
      <c r="HPN15" s="55"/>
      <c r="HPO15" s="55"/>
      <c r="HPP15" s="55"/>
      <c r="HPQ15" s="55"/>
      <c r="HPR15" s="55"/>
      <c r="HPS15" s="55"/>
      <c r="HPT15" s="55"/>
      <c r="HPU15" s="55"/>
      <c r="HPV15" s="55"/>
      <c r="HPW15" s="55"/>
      <c r="HPX15" s="55"/>
      <c r="HPY15" s="55"/>
      <c r="HPZ15" s="55"/>
      <c r="HQA15" s="55"/>
      <c r="HQB15" s="55"/>
      <c r="HQC15" s="55"/>
      <c r="HQD15" s="55"/>
      <c r="HQE15" s="55"/>
      <c r="HQF15" s="55"/>
      <c r="HQG15" s="55"/>
      <c r="HQH15" s="55"/>
      <c r="HQI15" s="55"/>
      <c r="HQJ15" s="55"/>
      <c r="HQK15" s="55"/>
      <c r="HQL15" s="55"/>
      <c r="HQM15" s="55"/>
      <c r="HQN15" s="55"/>
      <c r="HQO15" s="55"/>
      <c r="HQP15" s="55"/>
      <c r="HQQ15" s="55"/>
      <c r="HQR15" s="55"/>
      <c r="HQS15" s="55"/>
      <c r="HQT15" s="55"/>
      <c r="HQU15" s="55"/>
      <c r="HQV15" s="55"/>
      <c r="HQW15" s="55"/>
      <c r="HQX15" s="55"/>
      <c r="HQY15" s="55"/>
      <c r="HQZ15" s="55"/>
      <c r="HRA15" s="55"/>
      <c r="HRB15" s="55"/>
      <c r="HRC15" s="55"/>
      <c r="HRD15" s="55"/>
      <c r="HRE15" s="55"/>
      <c r="HRF15" s="55"/>
      <c r="HRG15" s="55"/>
      <c r="HRH15" s="55"/>
      <c r="HRI15" s="55"/>
      <c r="HRJ15" s="55"/>
      <c r="HRK15" s="55"/>
      <c r="HRL15" s="55"/>
      <c r="HRM15" s="55"/>
      <c r="HRN15" s="55"/>
      <c r="HRO15" s="55"/>
      <c r="HRP15" s="55"/>
      <c r="HRQ15" s="55"/>
      <c r="HRR15" s="55"/>
      <c r="HRS15" s="55"/>
      <c r="HRT15" s="55"/>
      <c r="HRU15" s="55"/>
      <c r="HRV15" s="55"/>
      <c r="HRW15" s="55"/>
      <c r="HRX15" s="55"/>
      <c r="HRY15" s="55"/>
      <c r="HRZ15" s="55"/>
      <c r="HSA15" s="55"/>
      <c r="HSB15" s="55"/>
      <c r="HSC15" s="55"/>
      <c r="HSD15" s="55"/>
      <c r="HSE15" s="55"/>
      <c r="HSF15" s="55"/>
      <c r="HSG15" s="55"/>
      <c r="HSH15" s="55"/>
      <c r="HSI15" s="55"/>
      <c r="HSJ15" s="55"/>
      <c r="HSK15" s="55"/>
      <c r="HSL15" s="55"/>
      <c r="HSM15" s="55"/>
      <c r="HSN15" s="55"/>
      <c r="HSO15" s="55"/>
      <c r="HSP15" s="55"/>
      <c r="HSQ15" s="55"/>
      <c r="HSR15" s="55"/>
      <c r="HSS15" s="55"/>
      <c r="HST15" s="55"/>
      <c r="HSU15" s="55"/>
      <c r="HSV15" s="55"/>
      <c r="HSW15" s="55"/>
      <c r="HSX15" s="55"/>
      <c r="HSY15" s="55"/>
      <c r="HSZ15" s="55"/>
      <c r="HTA15" s="55"/>
      <c r="HTB15" s="55"/>
      <c r="HTC15" s="55"/>
      <c r="HTD15" s="55"/>
      <c r="HTE15" s="55"/>
      <c r="HTF15" s="55"/>
      <c r="HTG15" s="55"/>
      <c r="HTH15" s="55"/>
      <c r="HTI15" s="55"/>
      <c r="HTJ15" s="55"/>
      <c r="HTK15" s="55"/>
      <c r="HTL15" s="55"/>
      <c r="HTM15" s="55"/>
      <c r="HTN15" s="55"/>
      <c r="HTO15" s="55"/>
      <c r="HTP15" s="55"/>
      <c r="HTQ15" s="55"/>
      <c r="HTR15" s="55"/>
      <c r="HTS15" s="55"/>
      <c r="HTT15" s="55"/>
      <c r="HTU15" s="55"/>
      <c r="HTV15" s="55"/>
      <c r="HTW15" s="55"/>
      <c r="HTX15" s="55"/>
      <c r="HTY15" s="55"/>
      <c r="HTZ15" s="55"/>
      <c r="HUA15" s="55"/>
      <c r="HUB15" s="55"/>
      <c r="HUC15" s="55"/>
      <c r="HUD15" s="55"/>
      <c r="HUE15" s="55"/>
      <c r="HUF15" s="55"/>
      <c r="HUG15" s="55"/>
      <c r="HUH15" s="55"/>
      <c r="HUI15" s="55"/>
      <c r="HUJ15" s="55"/>
      <c r="HUK15" s="55"/>
      <c r="HUL15" s="55"/>
      <c r="HUM15" s="55"/>
      <c r="HUN15" s="55"/>
      <c r="HUO15" s="55"/>
      <c r="HUP15" s="55"/>
      <c r="HUQ15" s="55"/>
      <c r="HUR15" s="55"/>
      <c r="HUS15" s="55"/>
      <c r="HUT15" s="55"/>
      <c r="HUU15" s="55"/>
      <c r="HUV15" s="55"/>
      <c r="HUW15" s="55"/>
      <c r="HUX15" s="55"/>
      <c r="HUY15" s="55"/>
      <c r="HUZ15" s="55"/>
      <c r="HVA15" s="55"/>
      <c r="HVB15" s="55"/>
      <c r="HVC15" s="55"/>
      <c r="HVD15" s="55"/>
      <c r="HVE15" s="55"/>
      <c r="HVF15" s="55"/>
      <c r="HVG15" s="55"/>
      <c r="HVH15" s="55"/>
      <c r="HVI15" s="55"/>
      <c r="HVJ15" s="55"/>
      <c r="HVK15" s="55"/>
      <c r="HVL15" s="55"/>
      <c r="HVM15" s="55"/>
      <c r="HVN15" s="55"/>
      <c r="HVO15" s="55"/>
      <c r="HVP15" s="55"/>
      <c r="HVQ15" s="55"/>
      <c r="HVR15" s="55"/>
      <c r="HVS15" s="55"/>
      <c r="HVT15" s="55"/>
      <c r="HVU15" s="55"/>
      <c r="HVV15" s="55"/>
      <c r="HVW15" s="55"/>
      <c r="HVX15" s="55"/>
      <c r="HVY15" s="55"/>
      <c r="HVZ15" s="55"/>
      <c r="HWA15" s="55"/>
      <c r="HWB15" s="55"/>
      <c r="HWC15" s="55"/>
      <c r="HWD15" s="55"/>
      <c r="HWE15" s="55"/>
      <c r="HWF15" s="55"/>
      <c r="HWG15" s="55"/>
      <c r="HWH15" s="55"/>
      <c r="HWI15" s="55"/>
      <c r="HWJ15" s="55"/>
      <c r="HWK15" s="55"/>
      <c r="HWL15" s="55"/>
      <c r="HWM15" s="55"/>
      <c r="HWN15" s="55"/>
      <c r="HWO15" s="55"/>
      <c r="HWP15" s="55"/>
      <c r="HWQ15" s="55"/>
      <c r="HWR15" s="55"/>
      <c r="HWS15" s="55"/>
      <c r="HWT15" s="55"/>
      <c r="HWU15" s="55"/>
      <c r="HWV15" s="55"/>
      <c r="HWW15" s="55"/>
      <c r="HWX15" s="55"/>
      <c r="HWY15" s="55"/>
      <c r="HWZ15" s="55"/>
      <c r="HXA15" s="55"/>
      <c r="HXB15" s="55"/>
      <c r="HXC15" s="55"/>
      <c r="HXD15" s="55"/>
      <c r="HXE15" s="55"/>
      <c r="HXF15" s="55"/>
      <c r="HXG15" s="55"/>
      <c r="HXH15" s="55"/>
      <c r="HXI15" s="55"/>
      <c r="HXJ15" s="55"/>
      <c r="HXK15" s="55"/>
      <c r="HXL15" s="55"/>
      <c r="HXM15" s="55"/>
      <c r="HXN15" s="55"/>
      <c r="HXO15" s="55"/>
      <c r="HXP15" s="55"/>
      <c r="HXQ15" s="55"/>
      <c r="HXR15" s="55"/>
      <c r="HXS15" s="55"/>
      <c r="HXT15" s="55"/>
      <c r="HXU15" s="55"/>
      <c r="HXV15" s="55"/>
      <c r="HXW15" s="55"/>
      <c r="HXX15" s="55"/>
      <c r="HXY15" s="55"/>
      <c r="HXZ15" s="55"/>
      <c r="HYA15" s="55"/>
      <c r="HYB15" s="55"/>
      <c r="HYC15" s="55"/>
      <c r="HYD15" s="55"/>
      <c r="HYE15" s="55"/>
      <c r="HYF15" s="55"/>
      <c r="HYG15" s="55"/>
      <c r="HYH15" s="55"/>
      <c r="HYI15" s="55"/>
      <c r="HYJ15" s="55"/>
      <c r="HYK15" s="55"/>
      <c r="HYL15" s="55"/>
      <c r="HYM15" s="55"/>
      <c r="HYN15" s="55"/>
      <c r="HYO15" s="55"/>
      <c r="HYP15" s="55"/>
      <c r="HYQ15" s="55"/>
      <c r="HYR15" s="55"/>
      <c r="HYS15" s="55"/>
      <c r="HYT15" s="55"/>
      <c r="HYU15" s="55"/>
      <c r="HYV15" s="55"/>
      <c r="HYW15" s="55"/>
      <c r="HYX15" s="55"/>
      <c r="HYY15" s="55"/>
      <c r="HYZ15" s="55"/>
      <c r="HZA15" s="55"/>
      <c r="HZB15" s="55"/>
      <c r="HZC15" s="55"/>
      <c r="HZD15" s="55"/>
      <c r="HZE15" s="55"/>
      <c r="HZF15" s="55"/>
      <c r="HZG15" s="55"/>
      <c r="HZH15" s="55"/>
      <c r="HZI15" s="55"/>
      <c r="HZJ15" s="55"/>
      <c r="HZK15" s="55"/>
      <c r="HZL15" s="55"/>
      <c r="HZM15" s="55"/>
      <c r="HZN15" s="55"/>
      <c r="HZO15" s="55"/>
      <c r="HZP15" s="55"/>
      <c r="HZQ15" s="55"/>
      <c r="HZR15" s="55"/>
      <c r="HZS15" s="55"/>
      <c r="HZT15" s="55"/>
      <c r="HZU15" s="55"/>
      <c r="HZV15" s="55"/>
      <c r="HZW15" s="55"/>
      <c r="HZX15" s="55"/>
      <c r="HZY15" s="55"/>
      <c r="HZZ15" s="55"/>
      <c r="IAA15" s="55"/>
      <c r="IAB15" s="55"/>
      <c r="IAC15" s="55"/>
      <c r="IAD15" s="55"/>
      <c r="IAE15" s="55"/>
      <c r="IAF15" s="55"/>
      <c r="IAG15" s="55"/>
      <c r="IAH15" s="55"/>
      <c r="IAI15" s="55"/>
      <c r="IAJ15" s="55"/>
      <c r="IAK15" s="55"/>
      <c r="IAL15" s="55"/>
      <c r="IAM15" s="55"/>
      <c r="IAN15" s="55"/>
      <c r="IAO15" s="55"/>
      <c r="IAP15" s="55"/>
      <c r="IAQ15" s="55"/>
      <c r="IAR15" s="55"/>
      <c r="IAS15" s="55"/>
      <c r="IAT15" s="55"/>
      <c r="IAU15" s="55"/>
      <c r="IAV15" s="55"/>
      <c r="IAW15" s="55"/>
      <c r="IAX15" s="55"/>
      <c r="IAY15" s="55"/>
      <c r="IAZ15" s="55"/>
      <c r="IBA15" s="55"/>
      <c r="IBB15" s="55"/>
      <c r="IBC15" s="55"/>
      <c r="IBD15" s="55"/>
      <c r="IBE15" s="55"/>
      <c r="IBF15" s="55"/>
      <c r="IBG15" s="55"/>
      <c r="IBH15" s="55"/>
      <c r="IBI15" s="55"/>
      <c r="IBJ15" s="55"/>
      <c r="IBK15" s="55"/>
      <c r="IBL15" s="55"/>
      <c r="IBM15" s="55"/>
      <c r="IBN15" s="55"/>
      <c r="IBO15" s="55"/>
      <c r="IBP15" s="55"/>
      <c r="IBQ15" s="55"/>
      <c r="IBR15" s="55"/>
      <c r="IBS15" s="55"/>
      <c r="IBT15" s="55"/>
      <c r="IBU15" s="55"/>
      <c r="IBV15" s="55"/>
      <c r="IBW15" s="55"/>
      <c r="IBX15" s="55"/>
      <c r="IBY15" s="55"/>
      <c r="IBZ15" s="55"/>
      <c r="ICA15" s="55"/>
      <c r="ICB15" s="55"/>
      <c r="ICC15" s="55"/>
      <c r="ICD15" s="55"/>
      <c r="ICE15" s="55"/>
      <c r="ICF15" s="55"/>
      <c r="ICG15" s="55"/>
      <c r="ICH15" s="55"/>
      <c r="ICI15" s="55"/>
      <c r="ICJ15" s="55"/>
      <c r="ICK15" s="55"/>
      <c r="ICL15" s="55"/>
      <c r="ICM15" s="55"/>
      <c r="ICN15" s="55"/>
      <c r="ICO15" s="55"/>
      <c r="ICP15" s="55"/>
      <c r="ICQ15" s="55"/>
      <c r="ICR15" s="55"/>
      <c r="ICS15" s="55"/>
      <c r="ICT15" s="55"/>
      <c r="ICU15" s="55"/>
      <c r="ICV15" s="55"/>
      <c r="ICW15" s="55"/>
      <c r="ICX15" s="55"/>
      <c r="ICY15" s="55"/>
      <c r="ICZ15" s="55"/>
      <c r="IDA15" s="55"/>
      <c r="IDB15" s="55"/>
      <c r="IDC15" s="55"/>
      <c r="IDD15" s="55"/>
      <c r="IDE15" s="55"/>
      <c r="IDF15" s="55"/>
      <c r="IDG15" s="55"/>
      <c r="IDH15" s="55"/>
      <c r="IDI15" s="55"/>
      <c r="IDJ15" s="55"/>
      <c r="IDK15" s="55"/>
      <c r="IDL15" s="55"/>
      <c r="IDM15" s="55"/>
      <c r="IDN15" s="55"/>
      <c r="IDO15" s="55"/>
      <c r="IDP15" s="55"/>
      <c r="IDQ15" s="55"/>
      <c r="IDR15" s="55"/>
      <c r="IDS15" s="55"/>
      <c r="IDT15" s="55"/>
      <c r="IDU15" s="55"/>
      <c r="IDV15" s="55"/>
      <c r="IDW15" s="55"/>
      <c r="IDX15" s="55"/>
      <c r="IDY15" s="55"/>
      <c r="IDZ15" s="55"/>
      <c r="IEA15" s="55"/>
      <c r="IEB15" s="55"/>
      <c r="IEC15" s="55"/>
      <c r="IED15" s="55"/>
      <c r="IEE15" s="55"/>
      <c r="IEF15" s="55"/>
      <c r="IEG15" s="55"/>
      <c r="IEH15" s="55"/>
      <c r="IEI15" s="55"/>
      <c r="IEJ15" s="55"/>
      <c r="IEK15" s="55"/>
      <c r="IEL15" s="55"/>
      <c r="IEM15" s="55"/>
      <c r="IEN15" s="55"/>
      <c r="IEO15" s="55"/>
      <c r="IEP15" s="55"/>
      <c r="IEQ15" s="55"/>
      <c r="IER15" s="55"/>
      <c r="IES15" s="55"/>
      <c r="IET15" s="55"/>
      <c r="IEU15" s="55"/>
      <c r="IEV15" s="55"/>
      <c r="IEW15" s="55"/>
      <c r="IEX15" s="55"/>
      <c r="IEY15" s="55"/>
      <c r="IEZ15" s="55"/>
      <c r="IFA15" s="55"/>
      <c r="IFB15" s="55"/>
      <c r="IFC15" s="55"/>
      <c r="IFD15" s="55"/>
      <c r="IFE15" s="55"/>
      <c r="IFF15" s="55"/>
      <c r="IFG15" s="55"/>
      <c r="IFH15" s="55"/>
      <c r="IFI15" s="55"/>
      <c r="IFJ15" s="55"/>
      <c r="IFK15" s="55"/>
      <c r="IFL15" s="55"/>
      <c r="IFM15" s="55"/>
      <c r="IFN15" s="55"/>
      <c r="IFO15" s="55"/>
      <c r="IFP15" s="55"/>
      <c r="IFQ15" s="55"/>
      <c r="IFR15" s="55"/>
      <c r="IFS15" s="55"/>
      <c r="IFT15" s="55"/>
      <c r="IFU15" s="55"/>
      <c r="IFV15" s="55"/>
      <c r="IFW15" s="55"/>
      <c r="IFX15" s="55"/>
      <c r="IFY15" s="55"/>
      <c r="IFZ15" s="55"/>
      <c r="IGA15" s="55"/>
      <c r="IGB15" s="55"/>
      <c r="IGC15" s="55"/>
      <c r="IGD15" s="55"/>
      <c r="IGE15" s="55"/>
      <c r="IGF15" s="55"/>
      <c r="IGG15" s="55"/>
      <c r="IGH15" s="55"/>
      <c r="IGI15" s="55"/>
      <c r="IGJ15" s="55"/>
      <c r="IGK15" s="55"/>
      <c r="IGL15" s="55"/>
      <c r="IGM15" s="55"/>
      <c r="IGN15" s="55"/>
      <c r="IGO15" s="55"/>
      <c r="IGP15" s="55"/>
      <c r="IGQ15" s="55"/>
      <c r="IGR15" s="55"/>
      <c r="IGS15" s="55"/>
      <c r="IGT15" s="55"/>
      <c r="IGU15" s="55"/>
      <c r="IGV15" s="55"/>
      <c r="IGW15" s="55"/>
      <c r="IGX15" s="55"/>
      <c r="IGY15" s="55"/>
      <c r="IGZ15" s="55"/>
      <c r="IHA15" s="55"/>
      <c r="IHB15" s="55"/>
      <c r="IHC15" s="55"/>
      <c r="IHD15" s="55"/>
      <c r="IHE15" s="55"/>
      <c r="IHF15" s="55"/>
      <c r="IHG15" s="55"/>
      <c r="IHH15" s="55"/>
      <c r="IHI15" s="55"/>
      <c r="IHJ15" s="55"/>
      <c r="IHK15" s="55"/>
      <c r="IHL15" s="55"/>
      <c r="IHM15" s="55"/>
      <c r="IHN15" s="55"/>
      <c r="IHO15" s="55"/>
      <c r="IHP15" s="55"/>
      <c r="IHQ15" s="55"/>
      <c r="IHR15" s="55"/>
      <c r="IHS15" s="55"/>
      <c r="IHT15" s="55"/>
      <c r="IHU15" s="55"/>
      <c r="IHV15" s="55"/>
      <c r="IHW15" s="55"/>
      <c r="IHX15" s="55"/>
      <c r="IHY15" s="55"/>
      <c r="IHZ15" s="55"/>
      <c r="IIA15" s="55"/>
      <c r="IIB15" s="55"/>
      <c r="IIC15" s="55"/>
      <c r="IID15" s="55"/>
      <c r="IIE15" s="55"/>
      <c r="IIF15" s="55"/>
      <c r="IIG15" s="55"/>
      <c r="IIH15" s="55"/>
      <c r="III15" s="55"/>
      <c r="IIJ15" s="55"/>
      <c r="IIK15" s="55"/>
      <c r="IIL15" s="55"/>
      <c r="IIM15" s="55"/>
      <c r="IIN15" s="55"/>
      <c r="IIO15" s="55"/>
      <c r="IIP15" s="55"/>
      <c r="IIQ15" s="55"/>
      <c r="IIR15" s="55"/>
      <c r="IIS15" s="55"/>
      <c r="IIT15" s="55"/>
      <c r="IIU15" s="55"/>
      <c r="IIV15" s="55"/>
      <c r="IIW15" s="55"/>
      <c r="IIX15" s="55"/>
      <c r="IIY15" s="55"/>
      <c r="IIZ15" s="55"/>
      <c r="IJA15" s="55"/>
      <c r="IJB15" s="55"/>
      <c r="IJC15" s="55"/>
      <c r="IJD15" s="55"/>
      <c r="IJE15" s="55"/>
      <c r="IJF15" s="55"/>
      <c r="IJG15" s="55"/>
      <c r="IJH15" s="55"/>
      <c r="IJI15" s="55"/>
      <c r="IJJ15" s="55"/>
      <c r="IJK15" s="55"/>
      <c r="IJL15" s="55"/>
      <c r="IJM15" s="55"/>
      <c r="IJN15" s="55"/>
      <c r="IJO15" s="55"/>
      <c r="IJP15" s="55"/>
      <c r="IJQ15" s="55"/>
      <c r="IJR15" s="55"/>
      <c r="IJS15" s="55"/>
      <c r="IJT15" s="55"/>
      <c r="IJU15" s="55"/>
      <c r="IJV15" s="55"/>
      <c r="IJW15" s="55"/>
      <c r="IJX15" s="55"/>
      <c r="IJY15" s="55"/>
      <c r="IJZ15" s="55"/>
      <c r="IKA15" s="55"/>
      <c r="IKB15" s="55"/>
      <c r="IKC15" s="55"/>
      <c r="IKD15" s="55"/>
      <c r="IKE15" s="55"/>
      <c r="IKF15" s="55"/>
      <c r="IKG15" s="55"/>
      <c r="IKH15" s="55"/>
      <c r="IKI15" s="55"/>
      <c r="IKJ15" s="55"/>
      <c r="IKK15" s="55"/>
      <c r="IKL15" s="55"/>
      <c r="IKM15" s="55"/>
      <c r="IKN15" s="55"/>
      <c r="IKO15" s="55"/>
      <c r="IKP15" s="55"/>
      <c r="IKQ15" s="55"/>
      <c r="IKR15" s="55"/>
      <c r="IKS15" s="55"/>
      <c r="IKT15" s="55"/>
      <c r="IKU15" s="55"/>
      <c r="IKV15" s="55"/>
      <c r="IKW15" s="55"/>
      <c r="IKX15" s="55"/>
      <c r="IKY15" s="55"/>
      <c r="IKZ15" s="55"/>
      <c r="ILA15" s="55"/>
      <c r="ILB15" s="55"/>
      <c r="ILC15" s="55"/>
      <c r="ILD15" s="55"/>
      <c r="ILE15" s="55"/>
      <c r="ILF15" s="55"/>
      <c r="ILG15" s="55"/>
      <c r="ILH15" s="55"/>
      <c r="ILI15" s="55"/>
      <c r="ILJ15" s="55"/>
      <c r="ILK15" s="55"/>
      <c r="ILL15" s="55"/>
      <c r="ILM15" s="55"/>
      <c r="ILN15" s="55"/>
      <c r="ILO15" s="55"/>
      <c r="ILP15" s="55"/>
      <c r="ILQ15" s="55"/>
      <c r="ILR15" s="55"/>
      <c r="ILS15" s="55"/>
      <c r="ILT15" s="55"/>
      <c r="ILU15" s="55"/>
      <c r="ILV15" s="55"/>
      <c r="ILW15" s="55"/>
      <c r="ILX15" s="55"/>
      <c r="ILY15" s="55"/>
      <c r="ILZ15" s="55"/>
      <c r="IMA15" s="55"/>
      <c r="IMB15" s="55"/>
      <c r="IMC15" s="55"/>
      <c r="IMD15" s="55"/>
      <c r="IME15" s="55"/>
      <c r="IMF15" s="55"/>
      <c r="IMG15" s="55"/>
      <c r="IMH15" s="55"/>
      <c r="IMI15" s="55"/>
      <c r="IMJ15" s="55"/>
      <c r="IMK15" s="55"/>
      <c r="IML15" s="55"/>
      <c r="IMM15" s="55"/>
      <c r="IMN15" s="55"/>
      <c r="IMO15" s="55"/>
      <c r="IMP15" s="55"/>
      <c r="IMQ15" s="55"/>
      <c r="IMR15" s="55"/>
      <c r="IMS15" s="55"/>
      <c r="IMT15" s="55"/>
      <c r="IMU15" s="55"/>
      <c r="IMV15" s="55"/>
      <c r="IMW15" s="55"/>
      <c r="IMX15" s="55"/>
      <c r="IMY15" s="55"/>
      <c r="IMZ15" s="55"/>
      <c r="INA15" s="55"/>
      <c r="INB15" s="55"/>
      <c r="INC15" s="55"/>
      <c r="IND15" s="55"/>
      <c r="INE15" s="55"/>
      <c r="INF15" s="55"/>
      <c r="ING15" s="55"/>
      <c r="INH15" s="55"/>
      <c r="INI15" s="55"/>
      <c r="INJ15" s="55"/>
      <c r="INK15" s="55"/>
      <c r="INL15" s="55"/>
      <c r="INM15" s="55"/>
      <c r="INN15" s="55"/>
      <c r="INO15" s="55"/>
      <c r="INP15" s="55"/>
      <c r="INQ15" s="55"/>
      <c r="INR15" s="55"/>
      <c r="INS15" s="55"/>
      <c r="INT15" s="55"/>
      <c r="INU15" s="55"/>
      <c r="INV15" s="55"/>
      <c r="INW15" s="55"/>
      <c r="INX15" s="55"/>
      <c r="INY15" s="55"/>
      <c r="INZ15" s="55"/>
      <c r="IOA15" s="55"/>
      <c r="IOB15" s="55"/>
      <c r="IOC15" s="55"/>
      <c r="IOD15" s="55"/>
      <c r="IOE15" s="55"/>
      <c r="IOF15" s="55"/>
      <c r="IOG15" s="55"/>
      <c r="IOH15" s="55"/>
      <c r="IOI15" s="55"/>
      <c r="IOJ15" s="55"/>
      <c r="IOK15" s="55"/>
      <c r="IOL15" s="55"/>
      <c r="IOM15" s="55"/>
      <c r="ION15" s="55"/>
      <c r="IOO15" s="55"/>
      <c r="IOP15" s="55"/>
      <c r="IOQ15" s="55"/>
      <c r="IOR15" s="55"/>
      <c r="IOS15" s="55"/>
      <c r="IOT15" s="55"/>
      <c r="IOU15" s="55"/>
      <c r="IOV15" s="55"/>
      <c r="IOW15" s="55"/>
      <c r="IOX15" s="55"/>
      <c r="IOY15" s="55"/>
      <c r="IOZ15" s="55"/>
      <c r="IPA15" s="55"/>
      <c r="IPB15" s="55"/>
      <c r="IPC15" s="55"/>
      <c r="IPD15" s="55"/>
      <c r="IPE15" s="55"/>
      <c r="IPF15" s="55"/>
      <c r="IPG15" s="55"/>
      <c r="IPH15" s="55"/>
      <c r="IPI15" s="55"/>
      <c r="IPJ15" s="55"/>
      <c r="IPK15" s="55"/>
      <c r="IPL15" s="55"/>
      <c r="IPM15" s="55"/>
      <c r="IPN15" s="55"/>
      <c r="IPO15" s="55"/>
      <c r="IPP15" s="55"/>
      <c r="IPQ15" s="55"/>
      <c r="IPR15" s="55"/>
      <c r="IPS15" s="55"/>
      <c r="IPT15" s="55"/>
      <c r="IPU15" s="55"/>
      <c r="IPV15" s="55"/>
      <c r="IPW15" s="55"/>
      <c r="IPX15" s="55"/>
      <c r="IPY15" s="55"/>
      <c r="IPZ15" s="55"/>
      <c r="IQA15" s="55"/>
      <c r="IQB15" s="55"/>
      <c r="IQC15" s="55"/>
      <c r="IQD15" s="55"/>
      <c r="IQE15" s="55"/>
      <c r="IQF15" s="55"/>
      <c r="IQG15" s="55"/>
      <c r="IQH15" s="55"/>
      <c r="IQI15" s="55"/>
      <c r="IQJ15" s="55"/>
      <c r="IQK15" s="55"/>
      <c r="IQL15" s="55"/>
      <c r="IQM15" s="55"/>
      <c r="IQN15" s="55"/>
      <c r="IQO15" s="55"/>
      <c r="IQP15" s="55"/>
      <c r="IQQ15" s="55"/>
      <c r="IQR15" s="55"/>
      <c r="IQS15" s="55"/>
      <c r="IQT15" s="55"/>
      <c r="IQU15" s="55"/>
      <c r="IQV15" s="55"/>
      <c r="IQW15" s="55"/>
      <c r="IQX15" s="55"/>
      <c r="IQY15" s="55"/>
      <c r="IQZ15" s="55"/>
      <c r="IRA15" s="55"/>
      <c r="IRB15" s="55"/>
      <c r="IRC15" s="55"/>
      <c r="IRD15" s="55"/>
      <c r="IRE15" s="55"/>
      <c r="IRF15" s="55"/>
      <c r="IRG15" s="55"/>
      <c r="IRH15" s="55"/>
      <c r="IRI15" s="55"/>
      <c r="IRJ15" s="55"/>
      <c r="IRK15" s="55"/>
      <c r="IRL15" s="55"/>
      <c r="IRM15" s="55"/>
      <c r="IRN15" s="55"/>
      <c r="IRO15" s="55"/>
      <c r="IRP15" s="55"/>
      <c r="IRQ15" s="55"/>
      <c r="IRR15" s="55"/>
      <c r="IRS15" s="55"/>
      <c r="IRT15" s="55"/>
      <c r="IRU15" s="55"/>
      <c r="IRV15" s="55"/>
      <c r="IRW15" s="55"/>
      <c r="IRX15" s="55"/>
      <c r="IRY15" s="55"/>
      <c r="IRZ15" s="55"/>
      <c r="ISA15" s="55"/>
      <c r="ISB15" s="55"/>
      <c r="ISC15" s="55"/>
      <c r="ISD15" s="55"/>
      <c r="ISE15" s="55"/>
      <c r="ISF15" s="55"/>
      <c r="ISG15" s="55"/>
      <c r="ISH15" s="55"/>
      <c r="ISI15" s="55"/>
      <c r="ISJ15" s="55"/>
      <c r="ISK15" s="55"/>
      <c r="ISL15" s="55"/>
      <c r="ISM15" s="55"/>
      <c r="ISN15" s="55"/>
      <c r="ISO15" s="55"/>
      <c r="ISP15" s="55"/>
      <c r="ISQ15" s="55"/>
      <c r="ISR15" s="55"/>
      <c r="ISS15" s="55"/>
      <c r="IST15" s="55"/>
      <c r="ISU15" s="55"/>
      <c r="ISV15" s="55"/>
      <c r="ISW15" s="55"/>
      <c r="ISX15" s="55"/>
      <c r="ISY15" s="55"/>
      <c r="ISZ15" s="55"/>
      <c r="ITA15" s="55"/>
      <c r="ITB15" s="55"/>
      <c r="ITC15" s="55"/>
      <c r="ITD15" s="55"/>
      <c r="ITE15" s="55"/>
      <c r="ITF15" s="55"/>
      <c r="ITG15" s="55"/>
      <c r="ITH15" s="55"/>
      <c r="ITI15" s="55"/>
      <c r="ITJ15" s="55"/>
      <c r="ITK15" s="55"/>
      <c r="ITL15" s="55"/>
      <c r="ITM15" s="55"/>
      <c r="ITN15" s="55"/>
      <c r="ITO15" s="55"/>
      <c r="ITP15" s="55"/>
      <c r="ITQ15" s="55"/>
      <c r="ITR15" s="55"/>
      <c r="ITS15" s="55"/>
      <c r="ITT15" s="55"/>
      <c r="ITU15" s="55"/>
      <c r="ITV15" s="55"/>
      <c r="ITW15" s="55"/>
      <c r="ITX15" s="55"/>
      <c r="ITY15" s="55"/>
      <c r="ITZ15" s="55"/>
      <c r="IUA15" s="55"/>
      <c r="IUB15" s="55"/>
      <c r="IUC15" s="55"/>
      <c r="IUD15" s="55"/>
      <c r="IUE15" s="55"/>
      <c r="IUF15" s="55"/>
      <c r="IUG15" s="55"/>
      <c r="IUH15" s="55"/>
      <c r="IUI15" s="55"/>
      <c r="IUJ15" s="55"/>
      <c r="IUK15" s="55"/>
      <c r="IUL15" s="55"/>
      <c r="IUM15" s="55"/>
      <c r="IUN15" s="55"/>
      <c r="IUO15" s="55"/>
      <c r="IUP15" s="55"/>
      <c r="IUQ15" s="55"/>
      <c r="IUR15" s="55"/>
      <c r="IUS15" s="55"/>
      <c r="IUT15" s="55"/>
      <c r="IUU15" s="55"/>
      <c r="IUV15" s="55"/>
      <c r="IUW15" s="55"/>
      <c r="IUX15" s="55"/>
      <c r="IUY15" s="55"/>
      <c r="IUZ15" s="55"/>
      <c r="IVA15" s="55"/>
      <c r="IVB15" s="55"/>
      <c r="IVC15" s="55"/>
      <c r="IVD15" s="55"/>
      <c r="IVE15" s="55"/>
      <c r="IVF15" s="55"/>
      <c r="IVG15" s="55"/>
      <c r="IVH15" s="55"/>
      <c r="IVI15" s="55"/>
      <c r="IVJ15" s="55"/>
      <c r="IVK15" s="55"/>
      <c r="IVL15" s="55"/>
      <c r="IVM15" s="55"/>
      <c r="IVN15" s="55"/>
      <c r="IVO15" s="55"/>
      <c r="IVP15" s="55"/>
      <c r="IVQ15" s="55"/>
      <c r="IVR15" s="55"/>
      <c r="IVS15" s="55"/>
      <c r="IVT15" s="55"/>
      <c r="IVU15" s="55"/>
      <c r="IVV15" s="55"/>
      <c r="IVW15" s="55"/>
      <c r="IVX15" s="55"/>
      <c r="IVY15" s="55"/>
      <c r="IVZ15" s="55"/>
      <c r="IWA15" s="55"/>
      <c r="IWB15" s="55"/>
      <c r="IWC15" s="55"/>
      <c r="IWD15" s="55"/>
      <c r="IWE15" s="55"/>
      <c r="IWF15" s="55"/>
      <c r="IWG15" s="55"/>
      <c r="IWH15" s="55"/>
      <c r="IWI15" s="55"/>
      <c r="IWJ15" s="55"/>
      <c r="IWK15" s="55"/>
      <c r="IWL15" s="55"/>
      <c r="IWM15" s="55"/>
      <c r="IWN15" s="55"/>
      <c r="IWO15" s="55"/>
      <c r="IWP15" s="55"/>
      <c r="IWQ15" s="55"/>
      <c r="IWR15" s="55"/>
      <c r="IWS15" s="55"/>
      <c r="IWT15" s="55"/>
      <c r="IWU15" s="55"/>
      <c r="IWV15" s="55"/>
      <c r="IWW15" s="55"/>
      <c r="IWX15" s="55"/>
      <c r="IWY15" s="55"/>
      <c r="IWZ15" s="55"/>
      <c r="IXA15" s="55"/>
      <c r="IXB15" s="55"/>
      <c r="IXC15" s="55"/>
      <c r="IXD15" s="55"/>
      <c r="IXE15" s="55"/>
      <c r="IXF15" s="55"/>
      <c r="IXG15" s="55"/>
      <c r="IXH15" s="55"/>
      <c r="IXI15" s="55"/>
      <c r="IXJ15" s="55"/>
      <c r="IXK15" s="55"/>
      <c r="IXL15" s="55"/>
      <c r="IXM15" s="55"/>
      <c r="IXN15" s="55"/>
      <c r="IXO15" s="55"/>
      <c r="IXP15" s="55"/>
      <c r="IXQ15" s="55"/>
      <c r="IXR15" s="55"/>
      <c r="IXS15" s="55"/>
      <c r="IXT15" s="55"/>
      <c r="IXU15" s="55"/>
      <c r="IXV15" s="55"/>
      <c r="IXW15" s="55"/>
      <c r="IXX15" s="55"/>
      <c r="IXY15" s="55"/>
      <c r="IXZ15" s="55"/>
      <c r="IYA15" s="55"/>
      <c r="IYB15" s="55"/>
      <c r="IYC15" s="55"/>
      <c r="IYD15" s="55"/>
      <c r="IYE15" s="55"/>
      <c r="IYF15" s="55"/>
      <c r="IYG15" s="55"/>
      <c r="IYH15" s="55"/>
      <c r="IYI15" s="55"/>
      <c r="IYJ15" s="55"/>
      <c r="IYK15" s="55"/>
      <c r="IYL15" s="55"/>
      <c r="IYM15" s="55"/>
      <c r="IYN15" s="55"/>
      <c r="IYO15" s="55"/>
      <c r="IYP15" s="55"/>
      <c r="IYQ15" s="55"/>
      <c r="IYR15" s="55"/>
      <c r="IYS15" s="55"/>
      <c r="IYT15" s="55"/>
      <c r="IYU15" s="55"/>
      <c r="IYV15" s="55"/>
      <c r="IYW15" s="55"/>
      <c r="IYX15" s="55"/>
      <c r="IYY15" s="55"/>
      <c r="IYZ15" s="55"/>
      <c r="IZA15" s="55"/>
      <c r="IZB15" s="55"/>
      <c r="IZC15" s="55"/>
      <c r="IZD15" s="55"/>
      <c r="IZE15" s="55"/>
      <c r="IZF15" s="55"/>
      <c r="IZG15" s="55"/>
      <c r="IZH15" s="55"/>
      <c r="IZI15" s="55"/>
      <c r="IZJ15" s="55"/>
      <c r="IZK15" s="55"/>
      <c r="IZL15" s="55"/>
      <c r="IZM15" s="55"/>
      <c r="IZN15" s="55"/>
      <c r="IZO15" s="55"/>
      <c r="IZP15" s="55"/>
      <c r="IZQ15" s="55"/>
      <c r="IZR15" s="55"/>
      <c r="IZS15" s="55"/>
      <c r="IZT15" s="55"/>
      <c r="IZU15" s="55"/>
      <c r="IZV15" s="55"/>
      <c r="IZW15" s="55"/>
      <c r="IZX15" s="55"/>
      <c r="IZY15" s="55"/>
      <c r="IZZ15" s="55"/>
      <c r="JAA15" s="55"/>
      <c r="JAB15" s="55"/>
      <c r="JAC15" s="55"/>
      <c r="JAD15" s="55"/>
      <c r="JAE15" s="55"/>
      <c r="JAF15" s="55"/>
      <c r="JAG15" s="55"/>
      <c r="JAH15" s="55"/>
      <c r="JAI15" s="55"/>
      <c r="JAJ15" s="55"/>
      <c r="JAK15" s="55"/>
      <c r="JAL15" s="55"/>
      <c r="JAM15" s="55"/>
      <c r="JAN15" s="55"/>
      <c r="JAO15" s="55"/>
      <c r="JAP15" s="55"/>
      <c r="JAQ15" s="55"/>
      <c r="JAR15" s="55"/>
      <c r="JAS15" s="55"/>
      <c r="JAT15" s="55"/>
      <c r="JAU15" s="55"/>
      <c r="JAV15" s="55"/>
      <c r="JAW15" s="55"/>
      <c r="JAX15" s="55"/>
      <c r="JAY15" s="55"/>
      <c r="JAZ15" s="55"/>
      <c r="JBA15" s="55"/>
      <c r="JBB15" s="55"/>
      <c r="JBC15" s="55"/>
      <c r="JBD15" s="55"/>
      <c r="JBE15" s="55"/>
      <c r="JBF15" s="55"/>
      <c r="JBG15" s="55"/>
      <c r="JBH15" s="55"/>
      <c r="JBI15" s="55"/>
      <c r="JBJ15" s="55"/>
      <c r="JBK15" s="55"/>
      <c r="JBL15" s="55"/>
      <c r="JBM15" s="55"/>
      <c r="JBN15" s="55"/>
      <c r="JBO15" s="55"/>
      <c r="JBP15" s="55"/>
      <c r="JBQ15" s="55"/>
      <c r="JBR15" s="55"/>
      <c r="JBS15" s="55"/>
      <c r="JBT15" s="55"/>
      <c r="JBU15" s="55"/>
      <c r="JBV15" s="55"/>
      <c r="JBW15" s="55"/>
      <c r="JBX15" s="55"/>
      <c r="JBY15" s="55"/>
      <c r="JBZ15" s="55"/>
      <c r="JCA15" s="55"/>
      <c r="JCB15" s="55"/>
      <c r="JCC15" s="55"/>
      <c r="JCD15" s="55"/>
      <c r="JCE15" s="55"/>
      <c r="JCF15" s="55"/>
      <c r="JCG15" s="55"/>
      <c r="JCH15" s="55"/>
      <c r="JCI15" s="55"/>
      <c r="JCJ15" s="55"/>
      <c r="JCK15" s="55"/>
      <c r="JCL15" s="55"/>
      <c r="JCM15" s="55"/>
      <c r="JCN15" s="55"/>
      <c r="JCO15" s="55"/>
      <c r="JCP15" s="55"/>
      <c r="JCQ15" s="55"/>
      <c r="JCR15" s="55"/>
      <c r="JCS15" s="55"/>
      <c r="JCT15" s="55"/>
      <c r="JCU15" s="55"/>
      <c r="JCV15" s="55"/>
      <c r="JCW15" s="55"/>
      <c r="JCX15" s="55"/>
      <c r="JCY15" s="55"/>
      <c r="JCZ15" s="55"/>
      <c r="JDA15" s="55"/>
      <c r="JDB15" s="55"/>
      <c r="JDC15" s="55"/>
      <c r="JDD15" s="55"/>
      <c r="JDE15" s="55"/>
      <c r="JDF15" s="55"/>
      <c r="JDG15" s="55"/>
      <c r="JDH15" s="55"/>
      <c r="JDI15" s="55"/>
      <c r="JDJ15" s="55"/>
      <c r="JDK15" s="55"/>
      <c r="JDL15" s="55"/>
      <c r="JDM15" s="55"/>
      <c r="JDN15" s="55"/>
      <c r="JDO15" s="55"/>
      <c r="JDP15" s="55"/>
      <c r="JDQ15" s="55"/>
      <c r="JDR15" s="55"/>
      <c r="JDS15" s="55"/>
      <c r="JDT15" s="55"/>
      <c r="JDU15" s="55"/>
      <c r="JDV15" s="55"/>
      <c r="JDW15" s="55"/>
      <c r="JDX15" s="55"/>
      <c r="JDY15" s="55"/>
      <c r="JDZ15" s="55"/>
      <c r="JEA15" s="55"/>
      <c r="JEB15" s="55"/>
      <c r="JEC15" s="55"/>
      <c r="JED15" s="55"/>
      <c r="JEE15" s="55"/>
      <c r="JEF15" s="55"/>
      <c r="JEG15" s="55"/>
      <c r="JEH15" s="55"/>
      <c r="JEI15" s="55"/>
      <c r="JEJ15" s="55"/>
      <c r="JEK15" s="55"/>
      <c r="JEL15" s="55"/>
      <c r="JEM15" s="55"/>
      <c r="JEN15" s="55"/>
      <c r="JEO15" s="55"/>
      <c r="JEP15" s="55"/>
      <c r="JEQ15" s="55"/>
      <c r="JER15" s="55"/>
      <c r="JES15" s="55"/>
      <c r="JET15" s="55"/>
      <c r="JEU15" s="55"/>
      <c r="JEV15" s="55"/>
      <c r="JEW15" s="55"/>
      <c r="JEX15" s="55"/>
      <c r="JEY15" s="55"/>
      <c r="JEZ15" s="55"/>
      <c r="JFA15" s="55"/>
      <c r="JFB15" s="55"/>
      <c r="JFC15" s="55"/>
      <c r="JFD15" s="55"/>
      <c r="JFE15" s="55"/>
      <c r="JFF15" s="55"/>
      <c r="JFG15" s="55"/>
      <c r="JFH15" s="55"/>
      <c r="JFI15" s="55"/>
      <c r="JFJ15" s="55"/>
      <c r="JFK15" s="55"/>
      <c r="JFL15" s="55"/>
      <c r="JFM15" s="55"/>
      <c r="JFN15" s="55"/>
      <c r="JFO15" s="55"/>
      <c r="JFP15" s="55"/>
      <c r="JFQ15" s="55"/>
      <c r="JFR15" s="55"/>
      <c r="JFS15" s="55"/>
      <c r="JFT15" s="55"/>
      <c r="JFU15" s="55"/>
      <c r="JFV15" s="55"/>
      <c r="JFW15" s="55"/>
      <c r="JFX15" s="55"/>
      <c r="JFY15" s="55"/>
      <c r="JFZ15" s="55"/>
      <c r="JGA15" s="55"/>
      <c r="JGB15" s="55"/>
      <c r="JGC15" s="55"/>
      <c r="JGD15" s="55"/>
      <c r="JGE15" s="55"/>
      <c r="JGF15" s="55"/>
      <c r="JGG15" s="55"/>
      <c r="JGH15" s="55"/>
      <c r="JGI15" s="55"/>
      <c r="JGJ15" s="55"/>
      <c r="JGK15" s="55"/>
      <c r="JGL15" s="55"/>
      <c r="JGM15" s="55"/>
      <c r="JGN15" s="55"/>
      <c r="JGO15" s="55"/>
      <c r="JGP15" s="55"/>
      <c r="JGQ15" s="55"/>
      <c r="JGR15" s="55"/>
      <c r="JGS15" s="55"/>
      <c r="JGT15" s="55"/>
      <c r="JGU15" s="55"/>
      <c r="JGV15" s="55"/>
      <c r="JGW15" s="55"/>
      <c r="JGX15" s="55"/>
      <c r="JGY15" s="55"/>
      <c r="JGZ15" s="55"/>
      <c r="JHA15" s="55"/>
      <c r="JHB15" s="55"/>
      <c r="JHC15" s="55"/>
      <c r="JHD15" s="55"/>
      <c r="JHE15" s="55"/>
      <c r="JHF15" s="55"/>
      <c r="JHG15" s="55"/>
      <c r="JHH15" s="55"/>
      <c r="JHI15" s="55"/>
      <c r="JHJ15" s="55"/>
      <c r="JHK15" s="55"/>
      <c r="JHL15" s="55"/>
      <c r="JHM15" s="55"/>
      <c r="JHN15" s="55"/>
      <c r="JHO15" s="55"/>
      <c r="JHP15" s="55"/>
      <c r="JHQ15" s="55"/>
      <c r="JHR15" s="55"/>
      <c r="JHS15" s="55"/>
      <c r="JHT15" s="55"/>
      <c r="JHU15" s="55"/>
      <c r="JHV15" s="55"/>
      <c r="JHW15" s="55"/>
      <c r="JHX15" s="55"/>
      <c r="JHY15" s="55"/>
      <c r="JHZ15" s="55"/>
      <c r="JIA15" s="55"/>
      <c r="JIB15" s="55"/>
      <c r="JIC15" s="55"/>
      <c r="JID15" s="55"/>
      <c r="JIE15" s="55"/>
      <c r="JIF15" s="55"/>
      <c r="JIG15" s="55"/>
      <c r="JIH15" s="55"/>
      <c r="JII15" s="55"/>
      <c r="JIJ15" s="55"/>
      <c r="JIK15" s="55"/>
      <c r="JIL15" s="55"/>
      <c r="JIM15" s="55"/>
      <c r="JIN15" s="55"/>
      <c r="JIO15" s="55"/>
      <c r="JIP15" s="55"/>
      <c r="JIQ15" s="55"/>
      <c r="JIR15" s="55"/>
      <c r="JIS15" s="55"/>
      <c r="JIT15" s="55"/>
      <c r="JIU15" s="55"/>
      <c r="JIV15" s="55"/>
      <c r="JIW15" s="55"/>
      <c r="JIX15" s="55"/>
      <c r="JIY15" s="55"/>
      <c r="JIZ15" s="55"/>
      <c r="JJA15" s="55"/>
      <c r="JJB15" s="55"/>
      <c r="JJC15" s="55"/>
      <c r="JJD15" s="55"/>
      <c r="JJE15" s="55"/>
      <c r="JJF15" s="55"/>
      <c r="JJG15" s="55"/>
      <c r="JJH15" s="55"/>
      <c r="JJI15" s="55"/>
      <c r="JJJ15" s="55"/>
      <c r="JJK15" s="55"/>
      <c r="JJL15" s="55"/>
      <c r="JJM15" s="55"/>
      <c r="JJN15" s="55"/>
      <c r="JJO15" s="55"/>
      <c r="JJP15" s="55"/>
      <c r="JJQ15" s="55"/>
      <c r="JJR15" s="55"/>
      <c r="JJS15" s="55"/>
      <c r="JJT15" s="55"/>
      <c r="JJU15" s="55"/>
      <c r="JJV15" s="55"/>
      <c r="JJW15" s="55"/>
      <c r="JJX15" s="55"/>
      <c r="JJY15" s="55"/>
      <c r="JJZ15" s="55"/>
      <c r="JKA15" s="55"/>
      <c r="JKB15" s="55"/>
      <c r="JKC15" s="55"/>
      <c r="JKD15" s="55"/>
      <c r="JKE15" s="55"/>
      <c r="JKF15" s="55"/>
      <c r="JKG15" s="55"/>
      <c r="JKH15" s="55"/>
      <c r="JKI15" s="55"/>
      <c r="JKJ15" s="55"/>
      <c r="JKK15" s="55"/>
      <c r="JKL15" s="55"/>
      <c r="JKM15" s="55"/>
      <c r="JKN15" s="55"/>
      <c r="JKO15" s="55"/>
      <c r="JKP15" s="55"/>
      <c r="JKQ15" s="55"/>
      <c r="JKR15" s="55"/>
      <c r="JKS15" s="55"/>
      <c r="JKT15" s="55"/>
      <c r="JKU15" s="55"/>
      <c r="JKV15" s="55"/>
      <c r="JKW15" s="55"/>
      <c r="JKX15" s="55"/>
      <c r="JKY15" s="55"/>
      <c r="JKZ15" s="55"/>
      <c r="JLA15" s="55"/>
      <c r="JLB15" s="55"/>
      <c r="JLC15" s="55"/>
      <c r="JLD15" s="55"/>
      <c r="JLE15" s="55"/>
      <c r="JLF15" s="55"/>
      <c r="JLG15" s="55"/>
      <c r="JLH15" s="55"/>
      <c r="JLI15" s="55"/>
      <c r="JLJ15" s="55"/>
      <c r="JLK15" s="55"/>
      <c r="JLL15" s="55"/>
      <c r="JLM15" s="55"/>
      <c r="JLN15" s="55"/>
      <c r="JLO15" s="55"/>
      <c r="JLP15" s="55"/>
      <c r="JLQ15" s="55"/>
      <c r="JLR15" s="55"/>
      <c r="JLS15" s="55"/>
      <c r="JLT15" s="55"/>
      <c r="JLU15" s="55"/>
      <c r="JLV15" s="55"/>
      <c r="JLW15" s="55"/>
      <c r="JLX15" s="55"/>
      <c r="JLY15" s="55"/>
      <c r="JLZ15" s="55"/>
      <c r="JMA15" s="55"/>
      <c r="JMB15" s="55"/>
      <c r="JMC15" s="55"/>
      <c r="JMD15" s="55"/>
      <c r="JME15" s="55"/>
      <c r="JMF15" s="55"/>
      <c r="JMG15" s="55"/>
      <c r="JMH15" s="55"/>
      <c r="JMI15" s="55"/>
      <c r="JMJ15" s="55"/>
      <c r="JMK15" s="55"/>
      <c r="JML15" s="55"/>
      <c r="JMM15" s="55"/>
      <c r="JMN15" s="55"/>
      <c r="JMO15" s="55"/>
      <c r="JMP15" s="55"/>
      <c r="JMQ15" s="55"/>
      <c r="JMR15" s="55"/>
      <c r="JMS15" s="55"/>
      <c r="JMT15" s="55"/>
      <c r="JMU15" s="55"/>
      <c r="JMV15" s="55"/>
      <c r="JMW15" s="55"/>
      <c r="JMX15" s="55"/>
      <c r="JMY15" s="55"/>
      <c r="JMZ15" s="55"/>
      <c r="JNA15" s="55"/>
      <c r="JNB15" s="55"/>
      <c r="JNC15" s="55"/>
      <c r="JND15" s="55"/>
      <c r="JNE15" s="55"/>
      <c r="JNF15" s="55"/>
      <c r="JNG15" s="55"/>
      <c r="JNH15" s="55"/>
      <c r="JNI15" s="55"/>
      <c r="JNJ15" s="55"/>
      <c r="JNK15" s="55"/>
      <c r="JNL15" s="55"/>
      <c r="JNM15" s="55"/>
      <c r="JNN15" s="55"/>
      <c r="JNO15" s="55"/>
      <c r="JNP15" s="55"/>
      <c r="JNQ15" s="55"/>
      <c r="JNR15" s="55"/>
      <c r="JNS15" s="55"/>
      <c r="JNT15" s="55"/>
      <c r="JNU15" s="55"/>
      <c r="JNV15" s="55"/>
      <c r="JNW15" s="55"/>
      <c r="JNX15" s="55"/>
      <c r="JNY15" s="55"/>
      <c r="JNZ15" s="55"/>
      <c r="JOA15" s="55"/>
      <c r="JOB15" s="55"/>
      <c r="JOC15" s="55"/>
      <c r="JOD15" s="55"/>
      <c r="JOE15" s="55"/>
      <c r="JOF15" s="55"/>
      <c r="JOG15" s="55"/>
      <c r="JOH15" s="55"/>
      <c r="JOI15" s="55"/>
      <c r="JOJ15" s="55"/>
      <c r="JOK15" s="55"/>
      <c r="JOL15" s="55"/>
      <c r="JOM15" s="55"/>
      <c r="JON15" s="55"/>
      <c r="JOO15" s="55"/>
      <c r="JOP15" s="55"/>
      <c r="JOQ15" s="55"/>
      <c r="JOR15" s="55"/>
      <c r="JOS15" s="55"/>
      <c r="JOT15" s="55"/>
      <c r="JOU15" s="55"/>
      <c r="JOV15" s="55"/>
      <c r="JOW15" s="55"/>
      <c r="JOX15" s="55"/>
      <c r="JOY15" s="55"/>
      <c r="JOZ15" s="55"/>
      <c r="JPA15" s="55"/>
      <c r="JPB15" s="55"/>
      <c r="JPC15" s="55"/>
      <c r="JPD15" s="55"/>
      <c r="JPE15" s="55"/>
      <c r="JPF15" s="55"/>
      <c r="JPG15" s="55"/>
      <c r="JPH15" s="55"/>
      <c r="JPI15" s="55"/>
      <c r="JPJ15" s="55"/>
      <c r="JPK15" s="55"/>
      <c r="JPL15" s="55"/>
      <c r="JPM15" s="55"/>
      <c r="JPN15" s="55"/>
      <c r="JPO15" s="55"/>
      <c r="JPP15" s="55"/>
      <c r="JPQ15" s="55"/>
      <c r="JPR15" s="55"/>
      <c r="JPS15" s="55"/>
      <c r="JPT15" s="55"/>
      <c r="JPU15" s="55"/>
      <c r="JPV15" s="55"/>
      <c r="JPW15" s="55"/>
      <c r="JPX15" s="55"/>
      <c r="JPY15" s="55"/>
      <c r="JPZ15" s="55"/>
      <c r="JQA15" s="55"/>
      <c r="JQB15" s="55"/>
      <c r="JQC15" s="55"/>
      <c r="JQD15" s="55"/>
      <c r="JQE15" s="55"/>
      <c r="JQF15" s="55"/>
      <c r="JQG15" s="55"/>
      <c r="JQH15" s="55"/>
      <c r="JQI15" s="55"/>
      <c r="JQJ15" s="55"/>
      <c r="JQK15" s="55"/>
      <c r="JQL15" s="55"/>
      <c r="JQM15" s="55"/>
      <c r="JQN15" s="55"/>
      <c r="JQO15" s="55"/>
      <c r="JQP15" s="55"/>
      <c r="JQQ15" s="55"/>
      <c r="JQR15" s="55"/>
      <c r="JQS15" s="55"/>
      <c r="JQT15" s="55"/>
      <c r="JQU15" s="55"/>
      <c r="JQV15" s="55"/>
      <c r="JQW15" s="55"/>
      <c r="JQX15" s="55"/>
      <c r="JQY15" s="55"/>
      <c r="JQZ15" s="55"/>
      <c r="JRA15" s="55"/>
      <c r="JRB15" s="55"/>
      <c r="JRC15" s="55"/>
      <c r="JRD15" s="55"/>
      <c r="JRE15" s="55"/>
      <c r="JRF15" s="55"/>
      <c r="JRG15" s="55"/>
      <c r="JRH15" s="55"/>
      <c r="JRI15" s="55"/>
      <c r="JRJ15" s="55"/>
      <c r="JRK15" s="55"/>
      <c r="JRL15" s="55"/>
      <c r="JRM15" s="55"/>
      <c r="JRN15" s="55"/>
      <c r="JRO15" s="55"/>
      <c r="JRP15" s="55"/>
      <c r="JRQ15" s="55"/>
      <c r="JRR15" s="55"/>
      <c r="JRS15" s="55"/>
      <c r="JRT15" s="55"/>
      <c r="JRU15" s="55"/>
      <c r="JRV15" s="55"/>
      <c r="JRW15" s="55"/>
      <c r="JRX15" s="55"/>
      <c r="JRY15" s="55"/>
      <c r="JRZ15" s="55"/>
      <c r="JSA15" s="55"/>
      <c r="JSB15" s="55"/>
      <c r="JSC15" s="55"/>
      <c r="JSD15" s="55"/>
      <c r="JSE15" s="55"/>
      <c r="JSF15" s="55"/>
      <c r="JSG15" s="55"/>
      <c r="JSH15" s="55"/>
      <c r="JSI15" s="55"/>
      <c r="JSJ15" s="55"/>
      <c r="JSK15" s="55"/>
      <c r="JSL15" s="55"/>
      <c r="JSM15" s="55"/>
      <c r="JSN15" s="55"/>
      <c r="JSO15" s="55"/>
      <c r="JSP15" s="55"/>
      <c r="JSQ15" s="55"/>
      <c r="JSR15" s="55"/>
      <c r="JSS15" s="55"/>
      <c r="JST15" s="55"/>
      <c r="JSU15" s="55"/>
      <c r="JSV15" s="55"/>
      <c r="JSW15" s="55"/>
      <c r="JSX15" s="55"/>
      <c r="JSY15" s="55"/>
      <c r="JSZ15" s="55"/>
      <c r="JTA15" s="55"/>
      <c r="JTB15" s="55"/>
      <c r="JTC15" s="55"/>
      <c r="JTD15" s="55"/>
      <c r="JTE15" s="55"/>
      <c r="JTF15" s="55"/>
      <c r="JTG15" s="55"/>
      <c r="JTH15" s="55"/>
      <c r="JTI15" s="55"/>
      <c r="JTJ15" s="55"/>
      <c r="JTK15" s="55"/>
      <c r="JTL15" s="55"/>
      <c r="JTM15" s="55"/>
      <c r="JTN15" s="55"/>
      <c r="JTO15" s="55"/>
      <c r="JTP15" s="55"/>
      <c r="JTQ15" s="55"/>
      <c r="JTR15" s="55"/>
      <c r="JTS15" s="55"/>
      <c r="JTT15" s="55"/>
      <c r="JTU15" s="55"/>
      <c r="JTV15" s="55"/>
      <c r="JTW15" s="55"/>
      <c r="JTX15" s="55"/>
      <c r="JTY15" s="55"/>
      <c r="JTZ15" s="55"/>
      <c r="JUA15" s="55"/>
      <c r="JUB15" s="55"/>
      <c r="JUC15" s="55"/>
      <c r="JUD15" s="55"/>
      <c r="JUE15" s="55"/>
      <c r="JUF15" s="55"/>
      <c r="JUG15" s="55"/>
      <c r="JUH15" s="55"/>
      <c r="JUI15" s="55"/>
      <c r="JUJ15" s="55"/>
      <c r="JUK15" s="55"/>
      <c r="JUL15" s="55"/>
      <c r="JUM15" s="55"/>
      <c r="JUN15" s="55"/>
      <c r="JUO15" s="55"/>
      <c r="JUP15" s="55"/>
      <c r="JUQ15" s="55"/>
      <c r="JUR15" s="55"/>
      <c r="JUS15" s="55"/>
      <c r="JUT15" s="55"/>
      <c r="JUU15" s="55"/>
      <c r="JUV15" s="55"/>
      <c r="JUW15" s="55"/>
      <c r="JUX15" s="55"/>
      <c r="JUY15" s="55"/>
      <c r="JUZ15" s="55"/>
      <c r="JVA15" s="55"/>
      <c r="JVB15" s="55"/>
      <c r="JVC15" s="55"/>
      <c r="JVD15" s="55"/>
      <c r="JVE15" s="55"/>
      <c r="JVF15" s="55"/>
      <c r="JVG15" s="55"/>
      <c r="JVH15" s="55"/>
      <c r="JVI15" s="55"/>
      <c r="JVJ15" s="55"/>
      <c r="JVK15" s="55"/>
      <c r="JVL15" s="55"/>
      <c r="JVM15" s="55"/>
      <c r="JVN15" s="55"/>
      <c r="JVO15" s="55"/>
      <c r="JVP15" s="55"/>
      <c r="JVQ15" s="55"/>
      <c r="JVR15" s="55"/>
      <c r="JVS15" s="55"/>
      <c r="JVT15" s="55"/>
      <c r="JVU15" s="55"/>
      <c r="JVV15" s="55"/>
      <c r="JVW15" s="55"/>
      <c r="JVX15" s="55"/>
      <c r="JVY15" s="55"/>
      <c r="JVZ15" s="55"/>
      <c r="JWA15" s="55"/>
      <c r="JWB15" s="55"/>
      <c r="JWC15" s="55"/>
      <c r="JWD15" s="55"/>
      <c r="JWE15" s="55"/>
      <c r="JWF15" s="55"/>
      <c r="JWG15" s="55"/>
      <c r="JWH15" s="55"/>
      <c r="JWI15" s="55"/>
      <c r="JWJ15" s="55"/>
      <c r="JWK15" s="55"/>
      <c r="JWL15" s="55"/>
      <c r="JWM15" s="55"/>
      <c r="JWN15" s="55"/>
      <c r="JWO15" s="55"/>
      <c r="JWP15" s="55"/>
      <c r="JWQ15" s="55"/>
      <c r="JWR15" s="55"/>
      <c r="JWS15" s="55"/>
      <c r="JWT15" s="55"/>
      <c r="JWU15" s="55"/>
      <c r="JWV15" s="55"/>
      <c r="JWW15" s="55"/>
      <c r="JWX15" s="55"/>
      <c r="JWY15" s="55"/>
      <c r="JWZ15" s="55"/>
      <c r="JXA15" s="55"/>
      <c r="JXB15" s="55"/>
      <c r="JXC15" s="55"/>
      <c r="JXD15" s="55"/>
      <c r="JXE15" s="55"/>
      <c r="JXF15" s="55"/>
      <c r="JXG15" s="55"/>
      <c r="JXH15" s="55"/>
      <c r="JXI15" s="55"/>
      <c r="JXJ15" s="55"/>
      <c r="JXK15" s="55"/>
      <c r="JXL15" s="55"/>
      <c r="JXM15" s="55"/>
      <c r="JXN15" s="55"/>
      <c r="JXO15" s="55"/>
      <c r="JXP15" s="55"/>
      <c r="JXQ15" s="55"/>
      <c r="JXR15" s="55"/>
      <c r="JXS15" s="55"/>
      <c r="JXT15" s="55"/>
      <c r="JXU15" s="55"/>
      <c r="JXV15" s="55"/>
      <c r="JXW15" s="55"/>
      <c r="JXX15" s="55"/>
      <c r="JXY15" s="55"/>
      <c r="JXZ15" s="55"/>
      <c r="JYA15" s="55"/>
      <c r="JYB15" s="55"/>
      <c r="JYC15" s="55"/>
      <c r="JYD15" s="55"/>
      <c r="JYE15" s="55"/>
      <c r="JYF15" s="55"/>
      <c r="JYG15" s="55"/>
      <c r="JYH15" s="55"/>
      <c r="JYI15" s="55"/>
      <c r="JYJ15" s="55"/>
      <c r="JYK15" s="55"/>
      <c r="JYL15" s="55"/>
      <c r="JYM15" s="55"/>
      <c r="JYN15" s="55"/>
      <c r="JYO15" s="55"/>
      <c r="JYP15" s="55"/>
      <c r="JYQ15" s="55"/>
      <c r="JYR15" s="55"/>
      <c r="JYS15" s="55"/>
      <c r="JYT15" s="55"/>
      <c r="JYU15" s="55"/>
      <c r="JYV15" s="55"/>
      <c r="JYW15" s="55"/>
      <c r="JYX15" s="55"/>
      <c r="JYY15" s="55"/>
      <c r="JYZ15" s="55"/>
      <c r="JZA15" s="55"/>
      <c r="JZB15" s="55"/>
      <c r="JZC15" s="55"/>
      <c r="JZD15" s="55"/>
      <c r="JZE15" s="55"/>
      <c r="JZF15" s="55"/>
      <c r="JZG15" s="55"/>
      <c r="JZH15" s="55"/>
      <c r="JZI15" s="55"/>
      <c r="JZJ15" s="55"/>
      <c r="JZK15" s="55"/>
      <c r="JZL15" s="55"/>
      <c r="JZM15" s="55"/>
      <c r="JZN15" s="55"/>
      <c r="JZO15" s="55"/>
      <c r="JZP15" s="55"/>
      <c r="JZQ15" s="55"/>
      <c r="JZR15" s="55"/>
      <c r="JZS15" s="55"/>
      <c r="JZT15" s="55"/>
      <c r="JZU15" s="55"/>
      <c r="JZV15" s="55"/>
      <c r="JZW15" s="55"/>
      <c r="JZX15" s="55"/>
      <c r="JZY15" s="55"/>
      <c r="JZZ15" s="55"/>
      <c r="KAA15" s="55"/>
      <c r="KAB15" s="55"/>
      <c r="KAC15" s="55"/>
      <c r="KAD15" s="55"/>
      <c r="KAE15" s="55"/>
      <c r="KAF15" s="55"/>
      <c r="KAG15" s="55"/>
      <c r="KAH15" s="55"/>
      <c r="KAI15" s="55"/>
      <c r="KAJ15" s="55"/>
      <c r="KAK15" s="55"/>
      <c r="KAL15" s="55"/>
      <c r="KAM15" s="55"/>
      <c r="KAN15" s="55"/>
      <c r="KAO15" s="55"/>
      <c r="KAP15" s="55"/>
      <c r="KAQ15" s="55"/>
      <c r="KAR15" s="55"/>
      <c r="KAS15" s="55"/>
      <c r="KAT15" s="55"/>
      <c r="KAU15" s="55"/>
      <c r="KAV15" s="55"/>
      <c r="KAW15" s="55"/>
      <c r="KAX15" s="55"/>
      <c r="KAY15" s="55"/>
      <c r="KAZ15" s="55"/>
      <c r="KBA15" s="55"/>
      <c r="KBB15" s="55"/>
      <c r="KBC15" s="55"/>
      <c r="KBD15" s="55"/>
      <c r="KBE15" s="55"/>
      <c r="KBF15" s="55"/>
      <c r="KBG15" s="55"/>
      <c r="KBH15" s="55"/>
      <c r="KBI15" s="55"/>
      <c r="KBJ15" s="55"/>
      <c r="KBK15" s="55"/>
      <c r="KBL15" s="55"/>
      <c r="KBM15" s="55"/>
      <c r="KBN15" s="55"/>
      <c r="KBO15" s="55"/>
      <c r="KBP15" s="55"/>
      <c r="KBQ15" s="55"/>
      <c r="KBR15" s="55"/>
      <c r="KBS15" s="55"/>
      <c r="KBT15" s="55"/>
      <c r="KBU15" s="55"/>
      <c r="KBV15" s="55"/>
      <c r="KBW15" s="55"/>
      <c r="KBX15" s="55"/>
      <c r="KBY15" s="55"/>
      <c r="KBZ15" s="55"/>
      <c r="KCA15" s="55"/>
      <c r="KCB15" s="55"/>
      <c r="KCC15" s="55"/>
      <c r="KCD15" s="55"/>
      <c r="KCE15" s="55"/>
      <c r="KCF15" s="55"/>
      <c r="KCG15" s="55"/>
      <c r="KCH15" s="55"/>
      <c r="KCI15" s="55"/>
      <c r="KCJ15" s="55"/>
      <c r="KCK15" s="55"/>
      <c r="KCL15" s="55"/>
      <c r="KCM15" s="55"/>
      <c r="KCN15" s="55"/>
      <c r="KCO15" s="55"/>
      <c r="KCP15" s="55"/>
      <c r="KCQ15" s="55"/>
      <c r="KCR15" s="55"/>
      <c r="KCS15" s="55"/>
      <c r="KCT15" s="55"/>
      <c r="KCU15" s="55"/>
      <c r="KCV15" s="55"/>
      <c r="KCW15" s="55"/>
      <c r="KCX15" s="55"/>
      <c r="KCY15" s="55"/>
      <c r="KCZ15" s="55"/>
      <c r="KDA15" s="55"/>
      <c r="KDB15" s="55"/>
      <c r="KDC15" s="55"/>
      <c r="KDD15" s="55"/>
      <c r="KDE15" s="55"/>
      <c r="KDF15" s="55"/>
      <c r="KDG15" s="55"/>
      <c r="KDH15" s="55"/>
      <c r="KDI15" s="55"/>
      <c r="KDJ15" s="55"/>
      <c r="KDK15" s="55"/>
      <c r="KDL15" s="55"/>
      <c r="KDM15" s="55"/>
      <c r="KDN15" s="55"/>
      <c r="KDO15" s="55"/>
      <c r="KDP15" s="55"/>
      <c r="KDQ15" s="55"/>
      <c r="KDR15" s="55"/>
      <c r="KDS15" s="55"/>
      <c r="KDT15" s="55"/>
      <c r="KDU15" s="55"/>
      <c r="KDV15" s="55"/>
      <c r="KDW15" s="55"/>
      <c r="KDX15" s="55"/>
      <c r="KDY15" s="55"/>
      <c r="KDZ15" s="55"/>
      <c r="KEA15" s="55"/>
      <c r="KEB15" s="55"/>
      <c r="KEC15" s="55"/>
      <c r="KED15" s="55"/>
      <c r="KEE15" s="55"/>
      <c r="KEF15" s="55"/>
      <c r="KEG15" s="55"/>
      <c r="KEH15" s="55"/>
      <c r="KEI15" s="55"/>
      <c r="KEJ15" s="55"/>
      <c r="KEK15" s="55"/>
      <c r="KEL15" s="55"/>
      <c r="KEM15" s="55"/>
      <c r="KEN15" s="55"/>
      <c r="KEO15" s="55"/>
      <c r="KEP15" s="55"/>
      <c r="KEQ15" s="55"/>
      <c r="KER15" s="55"/>
      <c r="KES15" s="55"/>
      <c r="KET15" s="55"/>
      <c r="KEU15" s="55"/>
      <c r="KEV15" s="55"/>
      <c r="KEW15" s="55"/>
      <c r="KEX15" s="55"/>
      <c r="KEY15" s="55"/>
      <c r="KEZ15" s="55"/>
      <c r="KFA15" s="55"/>
      <c r="KFB15" s="55"/>
      <c r="KFC15" s="55"/>
      <c r="KFD15" s="55"/>
      <c r="KFE15" s="55"/>
      <c r="KFF15" s="55"/>
      <c r="KFG15" s="55"/>
      <c r="KFH15" s="55"/>
      <c r="KFI15" s="55"/>
      <c r="KFJ15" s="55"/>
      <c r="KFK15" s="55"/>
      <c r="KFL15" s="55"/>
      <c r="KFM15" s="55"/>
      <c r="KFN15" s="55"/>
      <c r="KFO15" s="55"/>
      <c r="KFP15" s="55"/>
      <c r="KFQ15" s="55"/>
      <c r="KFR15" s="55"/>
      <c r="KFS15" s="55"/>
      <c r="KFT15" s="55"/>
      <c r="KFU15" s="55"/>
      <c r="KFV15" s="55"/>
      <c r="KFW15" s="55"/>
      <c r="KFX15" s="55"/>
      <c r="KFY15" s="55"/>
      <c r="KFZ15" s="55"/>
      <c r="KGA15" s="55"/>
      <c r="KGB15" s="55"/>
      <c r="KGC15" s="55"/>
      <c r="KGD15" s="55"/>
      <c r="KGE15" s="55"/>
      <c r="KGF15" s="55"/>
      <c r="KGG15" s="55"/>
      <c r="KGH15" s="55"/>
      <c r="KGI15" s="55"/>
      <c r="KGJ15" s="55"/>
      <c r="KGK15" s="55"/>
      <c r="KGL15" s="55"/>
      <c r="KGM15" s="55"/>
      <c r="KGN15" s="55"/>
      <c r="KGO15" s="55"/>
      <c r="KGP15" s="55"/>
      <c r="KGQ15" s="55"/>
      <c r="KGR15" s="55"/>
      <c r="KGS15" s="55"/>
      <c r="KGT15" s="55"/>
      <c r="KGU15" s="55"/>
      <c r="KGV15" s="55"/>
      <c r="KGW15" s="55"/>
      <c r="KGX15" s="55"/>
      <c r="KGY15" s="55"/>
      <c r="KGZ15" s="55"/>
      <c r="KHA15" s="55"/>
      <c r="KHB15" s="55"/>
      <c r="KHC15" s="55"/>
      <c r="KHD15" s="55"/>
      <c r="KHE15" s="55"/>
      <c r="KHF15" s="55"/>
      <c r="KHG15" s="55"/>
      <c r="KHH15" s="55"/>
      <c r="KHI15" s="55"/>
      <c r="KHJ15" s="55"/>
      <c r="KHK15" s="55"/>
      <c r="KHL15" s="55"/>
      <c r="KHM15" s="55"/>
      <c r="KHN15" s="55"/>
      <c r="KHO15" s="55"/>
      <c r="KHP15" s="55"/>
      <c r="KHQ15" s="55"/>
      <c r="KHR15" s="55"/>
      <c r="KHS15" s="55"/>
      <c r="KHT15" s="55"/>
      <c r="KHU15" s="55"/>
      <c r="KHV15" s="55"/>
      <c r="KHW15" s="55"/>
      <c r="KHX15" s="55"/>
      <c r="KHY15" s="55"/>
      <c r="KHZ15" s="55"/>
      <c r="KIA15" s="55"/>
      <c r="KIB15" s="55"/>
      <c r="KIC15" s="55"/>
      <c r="KID15" s="55"/>
      <c r="KIE15" s="55"/>
      <c r="KIF15" s="55"/>
      <c r="KIG15" s="55"/>
      <c r="KIH15" s="55"/>
      <c r="KII15" s="55"/>
      <c r="KIJ15" s="55"/>
      <c r="KIK15" s="55"/>
      <c r="KIL15" s="55"/>
      <c r="KIM15" s="55"/>
      <c r="KIN15" s="55"/>
      <c r="KIO15" s="55"/>
      <c r="KIP15" s="55"/>
      <c r="KIQ15" s="55"/>
      <c r="KIR15" s="55"/>
      <c r="KIS15" s="55"/>
      <c r="KIT15" s="55"/>
      <c r="KIU15" s="55"/>
      <c r="KIV15" s="55"/>
      <c r="KIW15" s="55"/>
      <c r="KIX15" s="55"/>
      <c r="KIY15" s="55"/>
      <c r="KIZ15" s="55"/>
      <c r="KJA15" s="55"/>
      <c r="KJB15" s="55"/>
      <c r="KJC15" s="55"/>
      <c r="KJD15" s="55"/>
      <c r="KJE15" s="55"/>
      <c r="KJF15" s="55"/>
      <c r="KJG15" s="55"/>
      <c r="KJH15" s="55"/>
      <c r="KJI15" s="55"/>
      <c r="KJJ15" s="55"/>
      <c r="KJK15" s="55"/>
      <c r="KJL15" s="55"/>
      <c r="KJM15" s="55"/>
      <c r="KJN15" s="55"/>
      <c r="KJO15" s="55"/>
      <c r="KJP15" s="55"/>
      <c r="KJQ15" s="55"/>
      <c r="KJR15" s="55"/>
      <c r="KJS15" s="55"/>
      <c r="KJT15" s="55"/>
      <c r="KJU15" s="55"/>
      <c r="KJV15" s="55"/>
      <c r="KJW15" s="55"/>
      <c r="KJX15" s="55"/>
      <c r="KJY15" s="55"/>
      <c r="KJZ15" s="55"/>
      <c r="KKA15" s="55"/>
      <c r="KKB15" s="55"/>
      <c r="KKC15" s="55"/>
      <c r="KKD15" s="55"/>
      <c r="KKE15" s="55"/>
      <c r="KKF15" s="55"/>
      <c r="KKG15" s="55"/>
      <c r="KKH15" s="55"/>
      <c r="KKI15" s="55"/>
      <c r="KKJ15" s="55"/>
      <c r="KKK15" s="55"/>
      <c r="KKL15" s="55"/>
      <c r="KKM15" s="55"/>
      <c r="KKN15" s="55"/>
      <c r="KKO15" s="55"/>
      <c r="KKP15" s="55"/>
      <c r="KKQ15" s="55"/>
      <c r="KKR15" s="55"/>
      <c r="KKS15" s="55"/>
      <c r="KKT15" s="55"/>
      <c r="KKU15" s="55"/>
      <c r="KKV15" s="55"/>
      <c r="KKW15" s="55"/>
      <c r="KKX15" s="55"/>
      <c r="KKY15" s="55"/>
      <c r="KKZ15" s="55"/>
      <c r="KLA15" s="55"/>
      <c r="KLB15" s="55"/>
      <c r="KLC15" s="55"/>
      <c r="KLD15" s="55"/>
      <c r="KLE15" s="55"/>
      <c r="KLF15" s="55"/>
      <c r="KLG15" s="55"/>
      <c r="KLH15" s="55"/>
      <c r="KLI15" s="55"/>
      <c r="KLJ15" s="55"/>
      <c r="KLK15" s="55"/>
      <c r="KLL15" s="55"/>
      <c r="KLM15" s="55"/>
      <c r="KLN15" s="55"/>
      <c r="KLO15" s="55"/>
      <c r="KLP15" s="55"/>
      <c r="KLQ15" s="55"/>
      <c r="KLR15" s="55"/>
      <c r="KLS15" s="55"/>
      <c r="KLT15" s="55"/>
      <c r="KLU15" s="55"/>
      <c r="KLV15" s="55"/>
      <c r="KLW15" s="55"/>
      <c r="KLX15" s="55"/>
      <c r="KLY15" s="55"/>
      <c r="KLZ15" s="55"/>
      <c r="KMA15" s="55"/>
      <c r="KMB15" s="55"/>
      <c r="KMC15" s="55"/>
      <c r="KMD15" s="55"/>
      <c r="KME15" s="55"/>
      <c r="KMF15" s="55"/>
      <c r="KMG15" s="55"/>
      <c r="KMH15" s="55"/>
      <c r="KMI15" s="55"/>
      <c r="KMJ15" s="55"/>
      <c r="KMK15" s="55"/>
      <c r="KML15" s="55"/>
      <c r="KMM15" s="55"/>
      <c r="KMN15" s="55"/>
      <c r="KMO15" s="55"/>
      <c r="KMP15" s="55"/>
      <c r="KMQ15" s="55"/>
      <c r="KMR15" s="55"/>
      <c r="KMS15" s="55"/>
      <c r="KMT15" s="55"/>
      <c r="KMU15" s="55"/>
      <c r="KMV15" s="55"/>
      <c r="KMW15" s="55"/>
      <c r="KMX15" s="55"/>
      <c r="KMY15" s="55"/>
      <c r="KMZ15" s="55"/>
      <c r="KNA15" s="55"/>
      <c r="KNB15" s="55"/>
      <c r="KNC15" s="55"/>
      <c r="KND15" s="55"/>
      <c r="KNE15" s="55"/>
      <c r="KNF15" s="55"/>
      <c r="KNG15" s="55"/>
      <c r="KNH15" s="55"/>
      <c r="KNI15" s="55"/>
      <c r="KNJ15" s="55"/>
      <c r="KNK15" s="55"/>
      <c r="KNL15" s="55"/>
      <c r="KNM15" s="55"/>
      <c r="KNN15" s="55"/>
      <c r="KNO15" s="55"/>
      <c r="KNP15" s="55"/>
      <c r="KNQ15" s="55"/>
      <c r="KNR15" s="55"/>
      <c r="KNS15" s="55"/>
      <c r="KNT15" s="55"/>
      <c r="KNU15" s="55"/>
      <c r="KNV15" s="55"/>
      <c r="KNW15" s="55"/>
      <c r="KNX15" s="55"/>
      <c r="KNY15" s="55"/>
      <c r="KNZ15" s="55"/>
      <c r="KOA15" s="55"/>
      <c r="KOB15" s="55"/>
      <c r="KOC15" s="55"/>
      <c r="KOD15" s="55"/>
      <c r="KOE15" s="55"/>
      <c r="KOF15" s="55"/>
      <c r="KOG15" s="55"/>
      <c r="KOH15" s="55"/>
      <c r="KOI15" s="55"/>
      <c r="KOJ15" s="55"/>
      <c r="KOK15" s="55"/>
      <c r="KOL15" s="55"/>
      <c r="KOM15" s="55"/>
      <c r="KON15" s="55"/>
      <c r="KOO15" s="55"/>
      <c r="KOP15" s="55"/>
      <c r="KOQ15" s="55"/>
      <c r="KOR15" s="55"/>
      <c r="KOS15" s="55"/>
      <c r="KOT15" s="55"/>
      <c r="KOU15" s="55"/>
      <c r="KOV15" s="55"/>
      <c r="KOW15" s="55"/>
      <c r="KOX15" s="55"/>
      <c r="KOY15" s="55"/>
      <c r="KOZ15" s="55"/>
      <c r="KPA15" s="55"/>
      <c r="KPB15" s="55"/>
      <c r="KPC15" s="55"/>
      <c r="KPD15" s="55"/>
      <c r="KPE15" s="55"/>
      <c r="KPF15" s="55"/>
      <c r="KPG15" s="55"/>
      <c r="KPH15" s="55"/>
      <c r="KPI15" s="55"/>
      <c r="KPJ15" s="55"/>
      <c r="KPK15" s="55"/>
      <c r="KPL15" s="55"/>
      <c r="KPM15" s="55"/>
      <c r="KPN15" s="55"/>
      <c r="KPO15" s="55"/>
      <c r="KPP15" s="55"/>
      <c r="KPQ15" s="55"/>
      <c r="KPR15" s="55"/>
      <c r="KPS15" s="55"/>
      <c r="KPT15" s="55"/>
      <c r="KPU15" s="55"/>
      <c r="KPV15" s="55"/>
      <c r="KPW15" s="55"/>
      <c r="KPX15" s="55"/>
      <c r="KPY15" s="55"/>
      <c r="KPZ15" s="55"/>
      <c r="KQA15" s="55"/>
      <c r="KQB15" s="55"/>
      <c r="KQC15" s="55"/>
      <c r="KQD15" s="55"/>
      <c r="KQE15" s="55"/>
      <c r="KQF15" s="55"/>
      <c r="KQG15" s="55"/>
      <c r="KQH15" s="55"/>
      <c r="KQI15" s="55"/>
      <c r="KQJ15" s="55"/>
      <c r="KQK15" s="55"/>
      <c r="KQL15" s="55"/>
      <c r="KQM15" s="55"/>
      <c r="KQN15" s="55"/>
      <c r="KQO15" s="55"/>
      <c r="KQP15" s="55"/>
      <c r="KQQ15" s="55"/>
      <c r="KQR15" s="55"/>
      <c r="KQS15" s="55"/>
      <c r="KQT15" s="55"/>
      <c r="KQU15" s="55"/>
      <c r="KQV15" s="55"/>
      <c r="KQW15" s="55"/>
      <c r="KQX15" s="55"/>
      <c r="KQY15" s="55"/>
      <c r="KQZ15" s="55"/>
      <c r="KRA15" s="55"/>
      <c r="KRB15" s="55"/>
      <c r="KRC15" s="55"/>
      <c r="KRD15" s="55"/>
      <c r="KRE15" s="55"/>
      <c r="KRF15" s="55"/>
      <c r="KRG15" s="55"/>
      <c r="KRH15" s="55"/>
      <c r="KRI15" s="55"/>
      <c r="KRJ15" s="55"/>
      <c r="KRK15" s="55"/>
      <c r="KRL15" s="55"/>
      <c r="KRM15" s="55"/>
      <c r="KRN15" s="55"/>
      <c r="KRO15" s="55"/>
      <c r="KRP15" s="55"/>
      <c r="KRQ15" s="55"/>
      <c r="KRR15" s="55"/>
      <c r="KRS15" s="55"/>
      <c r="KRT15" s="55"/>
      <c r="KRU15" s="55"/>
      <c r="KRV15" s="55"/>
      <c r="KRW15" s="55"/>
      <c r="KRX15" s="55"/>
      <c r="KRY15" s="55"/>
      <c r="KRZ15" s="55"/>
      <c r="KSA15" s="55"/>
      <c r="KSB15" s="55"/>
      <c r="KSC15" s="55"/>
      <c r="KSD15" s="55"/>
      <c r="KSE15" s="55"/>
      <c r="KSF15" s="55"/>
      <c r="KSG15" s="55"/>
      <c r="KSH15" s="55"/>
      <c r="KSI15" s="55"/>
      <c r="KSJ15" s="55"/>
      <c r="KSK15" s="55"/>
      <c r="KSL15" s="55"/>
      <c r="KSM15" s="55"/>
      <c r="KSN15" s="55"/>
      <c r="KSO15" s="55"/>
      <c r="KSP15" s="55"/>
      <c r="KSQ15" s="55"/>
      <c r="KSR15" s="55"/>
      <c r="KSS15" s="55"/>
      <c r="KST15" s="55"/>
      <c r="KSU15" s="55"/>
      <c r="KSV15" s="55"/>
      <c r="KSW15" s="55"/>
      <c r="KSX15" s="55"/>
      <c r="KSY15" s="55"/>
      <c r="KSZ15" s="55"/>
      <c r="KTA15" s="55"/>
      <c r="KTB15" s="55"/>
      <c r="KTC15" s="55"/>
      <c r="KTD15" s="55"/>
      <c r="KTE15" s="55"/>
      <c r="KTF15" s="55"/>
      <c r="KTG15" s="55"/>
      <c r="KTH15" s="55"/>
      <c r="KTI15" s="55"/>
      <c r="KTJ15" s="55"/>
      <c r="KTK15" s="55"/>
      <c r="KTL15" s="55"/>
      <c r="KTM15" s="55"/>
      <c r="KTN15" s="55"/>
      <c r="KTO15" s="55"/>
      <c r="KTP15" s="55"/>
      <c r="KTQ15" s="55"/>
      <c r="KTR15" s="55"/>
      <c r="KTS15" s="55"/>
      <c r="KTT15" s="55"/>
      <c r="KTU15" s="55"/>
      <c r="KTV15" s="55"/>
      <c r="KTW15" s="55"/>
      <c r="KTX15" s="55"/>
      <c r="KTY15" s="55"/>
      <c r="KTZ15" s="55"/>
      <c r="KUA15" s="55"/>
      <c r="KUB15" s="55"/>
      <c r="KUC15" s="55"/>
      <c r="KUD15" s="55"/>
      <c r="KUE15" s="55"/>
      <c r="KUF15" s="55"/>
      <c r="KUG15" s="55"/>
      <c r="KUH15" s="55"/>
      <c r="KUI15" s="55"/>
      <c r="KUJ15" s="55"/>
      <c r="KUK15" s="55"/>
      <c r="KUL15" s="55"/>
      <c r="KUM15" s="55"/>
      <c r="KUN15" s="55"/>
      <c r="KUO15" s="55"/>
      <c r="KUP15" s="55"/>
      <c r="KUQ15" s="55"/>
      <c r="KUR15" s="55"/>
      <c r="KUS15" s="55"/>
      <c r="KUT15" s="55"/>
      <c r="KUU15" s="55"/>
      <c r="KUV15" s="55"/>
      <c r="KUW15" s="55"/>
      <c r="KUX15" s="55"/>
      <c r="KUY15" s="55"/>
      <c r="KUZ15" s="55"/>
      <c r="KVA15" s="55"/>
      <c r="KVB15" s="55"/>
      <c r="KVC15" s="55"/>
      <c r="KVD15" s="55"/>
      <c r="KVE15" s="55"/>
      <c r="KVF15" s="55"/>
      <c r="KVG15" s="55"/>
      <c r="KVH15" s="55"/>
      <c r="KVI15" s="55"/>
      <c r="KVJ15" s="55"/>
      <c r="KVK15" s="55"/>
      <c r="KVL15" s="55"/>
      <c r="KVM15" s="55"/>
      <c r="KVN15" s="55"/>
      <c r="KVO15" s="55"/>
      <c r="KVP15" s="55"/>
      <c r="KVQ15" s="55"/>
      <c r="KVR15" s="55"/>
      <c r="KVS15" s="55"/>
      <c r="KVT15" s="55"/>
      <c r="KVU15" s="55"/>
      <c r="KVV15" s="55"/>
      <c r="KVW15" s="55"/>
      <c r="KVX15" s="55"/>
      <c r="KVY15" s="55"/>
      <c r="KVZ15" s="55"/>
      <c r="KWA15" s="55"/>
      <c r="KWB15" s="55"/>
      <c r="KWC15" s="55"/>
      <c r="KWD15" s="55"/>
      <c r="KWE15" s="55"/>
      <c r="KWF15" s="55"/>
      <c r="KWG15" s="55"/>
      <c r="KWH15" s="55"/>
      <c r="KWI15" s="55"/>
      <c r="KWJ15" s="55"/>
      <c r="KWK15" s="55"/>
      <c r="KWL15" s="55"/>
      <c r="KWM15" s="55"/>
      <c r="KWN15" s="55"/>
      <c r="KWO15" s="55"/>
      <c r="KWP15" s="55"/>
      <c r="KWQ15" s="55"/>
      <c r="KWR15" s="55"/>
      <c r="KWS15" s="55"/>
      <c r="KWT15" s="55"/>
      <c r="KWU15" s="55"/>
      <c r="KWV15" s="55"/>
      <c r="KWW15" s="55"/>
      <c r="KWX15" s="55"/>
      <c r="KWY15" s="55"/>
      <c r="KWZ15" s="55"/>
      <c r="KXA15" s="55"/>
      <c r="KXB15" s="55"/>
      <c r="KXC15" s="55"/>
      <c r="KXD15" s="55"/>
      <c r="KXE15" s="55"/>
      <c r="KXF15" s="55"/>
      <c r="KXG15" s="55"/>
      <c r="KXH15" s="55"/>
      <c r="KXI15" s="55"/>
      <c r="KXJ15" s="55"/>
      <c r="KXK15" s="55"/>
      <c r="KXL15" s="55"/>
      <c r="KXM15" s="55"/>
      <c r="KXN15" s="55"/>
      <c r="KXO15" s="55"/>
      <c r="KXP15" s="55"/>
      <c r="KXQ15" s="55"/>
      <c r="KXR15" s="55"/>
      <c r="KXS15" s="55"/>
      <c r="KXT15" s="55"/>
      <c r="KXU15" s="55"/>
      <c r="KXV15" s="55"/>
      <c r="KXW15" s="55"/>
      <c r="KXX15" s="55"/>
      <c r="KXY15" s="55"/>
      <c r="KXZ15" s="55"/>
      <c r="KYA15" s="55"/>
      <c r="KYB15" s="55"/>
      <c r="KYC15" s="55"/>
      <c r="KYD15" s="55"/>
      <c r="KYE15" s="55"/>
      <c r="KYF15" s="55"/>
      <c r="KYG15" s="55"/>
      <c r="KYH15" s="55"/>
      <c r="KYI15" s="55"/>
      <c r="KYJ15" s="55"/>
      <c r="KYK15" s="55"/>
      <c r="KYL15" s="55"/>
      <c r="KYM15" s="55"/>
      <c r="KYN15" s="55"/>
      <c r="KYO15" s="55"/>
      <c r="KYP15" s="55"/>
      <c r="KYQ15" s="55"/>
      <c r="KYR15" s="55"/>
      <c r="KYS15" s="55"/>
      <c r="KYT15" s="55"/>
      <c r="KYU15" s="55"/>
      <c r="KYV15" s="55"/>
      <c r="KYW15" s="55"/>
      <c r="KYX15" s="55"/>
      <c r="KYY15" s="55"/>
      <c r="KYZ15" s="55"/>
      <c r="KZA15" s="55"/>
      <c r="KZB15" s="55"/>
      <c r="KZC15" s="55"/>
      <c r="KZD15" s="55"/>
      <c r="KZE15" s="55"/>
      <c r="KZF15" s="55"/>
      <c r="KZG15" s="55"/>
      <c r="KZH15" s="55"/>
      <c r="KZI15" s="55"/>
      <c r="KZJ15" s="55"/>
      <c r="KZK15" s="55"/>
      <c r="KZL15" s="55"/>
      <c r="KZM15" s="55"/>
      <c r="KZN15" s="55"/>
      <c r="KZO15" s="55"/>
      <c r="KZP15" s="55"/>
      <c r="KZQ15" s="55"/>
      <c r="KZR15" s="55"/>
      <c r="KZS15" s="55"/>
      <c r="KZT15" s="55"/>
      <c r="KZU15" s="55"/>
      <c r="KZV15" s="55"/>
      <c r="KZW15" s="55"/>
      <c r="KZX15" s="55"/>
      <c r="KZY15" s="55"/>
      <c r="KZZ15" s="55"/>
      <c r="LAA15" s="55"/>
      <c r="LAB15" s="55"/>
      <c r="LAC15" s="55"/>
      <c r="LAD15" s="55"/>
      <c r="LAE15" s="55"/>
      <c r="LAF15" s="55"/>
      <c r="LAG15" s="55"/>
      <c r="LAH15" s="55"/>
      <c r="LAI15" s="55"/>
      <c r="LAJ15" s="55"/>
      <c r="LAK15" s="55"/>
      <c r="LAL15" s="55"/>
      <c r="LAM15" s="55"/>
      <c r="LAN15" s="55"/>
      <c r="LAO15" s="55"/>
      <c r="LAP15" s="55"/>
      <c r="LAQ15" s="55"/>
      <c r="LAR15" s="55"/>
      <c r="LAS15" s="55"/>
      <c r="LAT15" s="55"/>
      <c r="LAU15" s="55"/>
      <c r="LAV15" s="55"/>
      <c r="LAW15" s="55"/>
      <c r="LAX15" s="55"/>
      <c r="LAY15" s="55"/>
      <c r="LAZ15" s="55"/>
      <c r="LBA15" s="55"/>
      <c r="LBB15" s="55"/>
      <c r="LBC15" s="55"/>
      <c r="LBD15" s="55"/>
      <c r="LBE15" s="55"/>
      <c r="LBF15" s="55"/>
      <c r="LBG15" s="55"/>
      <c r="LBH15" s="55"/>
      <c r="LBI15" s="55"/>
      <c r="LBJ15" s="55"/>
      <c r="LBK15" s="55"/>
      <c r="LBL15" s="55"/>
      <c r="LBM15" s="55"/>
      <c r="LBN15" s="55"/>
      <c r="LBO15" s="55"/>
      <c r="LBP15" s="55"/>
      <c r="LBQ15" s="55"/>
      <c r="LBR15" s="55"/>
      <c r="LBS15" s="55"/>
      <c r="LBT15" s="55"/>
      <c r="LBU15" s="55"/>
      <c r="LBV15" s="55"/>
      <c r="LBW15" s="55"/>
      <c r="LBX15" s="55"/>
      <c r="LBY15" s="55"/>
      <c r="LBZ15" s="55"/>
      <c r="LCA15" s="55"/>
      <c r="LCB15" s="55"/>
      <c r="LCC15" s="55"/>
      <c r="LCD15" s="55"/>
      <c r="LCE15" s="55"/>
      <c r="LCF15" s="55"/>
      <c r="LCG15" s="55"/>
      <c r="LCH15" s="55"/>
      <c r="LCI15" s="55"/>
      <c r="LCJ15" s="55"/>
      <c r="LCK15" s="55"/>
      <c r="LCL15" s="55"/>
      <c r="LCM15" s="55"/>
      <c r="LCN15" s="55"/>
      <c r="LCO15" s="55"/>
      <c r="LCP15" s="55"/>
      <c r="LCQ15" s="55"/>
      <c r="LCR15" s="55"/>
      <c r="LCS15" s="55"/>
      <c r="LCT15" s="55"/>
      <c r="LCU15" s="55"/>
      <c r="LCV15" s="55"/>
      <c r="LCW15" s="55"/>
      <c r="LCX15" s="55"/>
      <c r="LCY15" s="55"/>
      <c r="LCZ15" s="55"/>
      <c r="LDA15" s="55"/>
      <c r="LDB15" s="55"/>
      <c r="LDC15" s="55"/>
      <c r="LDD15" s="55"/>
      <c r="LDE15" s="55"/>
      <c r="LDF15" s="55"/>
      <c r="LDG15" s="55"/>
      <c r="LDH15" s="55"/>
      <c r="LDI15" s="55"/>
      <c r="LDJ15" s="55"/>
      <c r="LDK15" s="55"/>
      <c r="LDL15" s="55"/>
      <c r="LDM15" s="55"/>
      <c r="LDN15" s="55"/>
      <c r="LDO15" s="55"/>
      <c r="LDP15" s="55"/>
      <c r="LDQ15" s="55"/>
      <c r="LDR15" s="55"/>
      <c r="LDS15" s="55"/>
      <c r="LDT15" s="55"/>
      <c r="LDU15" s="55"/>
      <c r="LDV15" s="55"/>
      <c r="LDW15" s="55"/>
      <c r="LDX15" s="55"/>
      <c r="LDY15" s="55"/>
      <c r="LDZ15" s="55"/>
      <c r="LEA15" s="55"/>
      <c r="LEB15" s="55"/>
      <c r="LEC15" s="55"/>
      <c r="LED15" s="55"/>
      <c r="LEE15" s="55"/>
      <c r="LEF15" s="55"/>
      <c r="LEG15" s="55"/>
      <c r="LEH15" s="55"/>
      <c r="LEI15" s="55"/>
      <c r="LEJ15" s="55"/>
      <c r="LEK15" s="55"/>
      <c r="LEL15" s="55"/>
      <c r="LEM15" s="55"/>
      <c r="LEN15" s="55"/>
      <c r="LEO15" s="55"/>
      <c r="LEP15" s="55"/>
      <c r="LEQ15" s="55"/>
      <c r="LER15" s="55"/>
      <c r="LES15" s="55"/>
      <c r="LET15" s="55"/>
      <c r="LEU15" s="55"/>
      <c r="LEV15" s="55"/>
      <c r="LEW15" s="55"/>
      <c r="LEX15" s="55"/>
      <c r="LEY15" s="55"/>
      <c r="LEZ15" s="55"/>
      <c r="LFA15" s="55"/>
      <c r="LFB15" s="55"/>
      <c r="LFC15" s="55"/>
      <c r="LFD15" s="55"/>
      <c r="LFE15" s="55"/>
      <c r="LFF15" s="55"/>
      <c r="LFG15" s="55"/>
      <c r="LFH15" s="55"/>
      <c r="LFI15" s="55"/>
      <c r="LFJ15" s="55"/>
      <c r="LFK15" s="55"/>
      <c r="LFL15" s="55"/>
      <c r="LFM15" s="55"/>
      <c r="LFN15" s="55"/>
      <c r="LFO15" s="55"/>
      <c r="LFP15" s="55"/>
      <c r="LFQ15" s="55"/>
      <c r="LFR15" s="55"/>
      <c r="LFS15" s="55"/>
      <c r="LFT15" s="55"/>
      <c r="LFU15" s="55"/>
      <c r="LFV15" s="55"/>
      <c r="LFW15" s="55"/>
      <c r="LFX15" s="55"/>
      <c r="LFY15" s="55"/>
      <c r="LFZ15" s="55"/>
      <c r="LGA15" s="55"/>
      <c r="LGB15" s="55"/>
      <c r="LGC15" s="55"/>
      <c r="LGD15" s="55"/>
      <c r="LGE15" s="55"/>
      <c r="LGF15" s="55"/>
      <c r="LGG15" s="55"/>
      <c r="LGH15" s="55"/>
      <c r="LGI15" s="55"/>
      <c r="LGJ15" s="55"/>
      <c r="LGK15" s="55"/>
      <c r="LGL15" s="55"/>
      <c r="LGM15" s="55"/>
      <c r="LGN15" s="55"/>
      <c r="LGO15" s="55"/>
      <c r="LGP15" s="55"/>
      <c r="LGQ15" s="55"/>
      <c r="LGR15" s="55"/>
      <c r="LGS15" s="55"/>
      <c r="LGT15" s="55"/>
      <c r="LGU15" s="55"/>
      <c r="LGV15" s="55"/>
      <c r="LGW15" s="55"/>
      <c r="LGX15" s="55"/>
      <c r="LGY15" s="55"/>
      <c r="LGZ15" s="55"/>
      <c r="LHA15" s="55"/>
      <c r="LHB15" s="55"/>
      <c r="LHC15" s="55"/>
      <c r="LHD15" s="55"/>
      <c r="LHE15" s="55"/>
      <c r="LHF15" s="55"/>
      <c r="LHG15" s="55"/>
      <c r="LHH15" s="55"/>
      <c r="LHI15" s="55"/>
      <c r="LHJ15" s="55"/>
      <c r="LHK15" s="55"/>
      <c r="LHL15" s="55"/>
      <c r="LHM15" s="55"/>
      <c r="LHN15" s="55"/>
      <c r="LHO15" s="55"/>
      <c r="LHP15" s="55"/>
      <c r="LHQ15" s="55"/>
      <c r="LHR15" s="55"/>
      <c r="LHS15" s="55"/>
      <c r="LHT15" s="55"/>
      <c r="LHU15" s="55"/>
      <c r="LHV15" s="55"/>
      <c r="LHW15" s="55"/>
      <c r="LHX15" s="55"/>
      <c r="LHY15" s="55"/>
      <c r="LHZ15" s="55"/>
      <c r="LIA15" s="55"/>
      <c r="LIB15" s="55"/>
      <c r="LIC15" s="55"/>
      <c r="LID15" s="55"/>
      <c r="LIE15" s="55"/>
      <c r="LIF15" s="55"/>
      <c r="LIG15" s="55"/>
      <c r="LIH15" s="55"/>
      <c r="LII15" s="55"/>
      <c r="LIJ15" s="55"/>
      <c r="LIK15" s="55"/>
      <c r="LIL15" s="55"/>
      <c r="LIM15" s="55"/>
      <c r="LIN15" s="55"/>
      <c r="LIO15" s="55"/>
      <c r="LIP15" s="55"/>
      <c r="LIQ15" s="55"/>
      <c r="LIR15" s="55"/>
      <c r="LIS15" s="55"/>
      <c r="LIT15" s="55"/>
      <c r="LIU15" s="55"/>
      <c r="LIV15" s="55"/>
      <c r="LIW15" s="55"/>
      <c r="LIX15" s="55"/>
      <c r="LIY15" s="55"/>
      <c r="LIZ15" s="55"/>
      <c r="LJA15" s="55"/>
      <c r="LJB15" s="55"/>
      <c r="LJC15" s="55"/>
      <c r="LJD15" s="55"/>
      <c r="LJE15" s="55"/>
      <c r="LJF15" s="55"/>
      <c r="LJG15" s="55"/>
      <c r="LJH15" s="55"/>
      <c r="LJI15" s="55"/>
      <c r="LJJ15" s="55"/>
      <c r="LJK15" s="55"/>
      <c r="LJL15" s="55"/>
      <c r="LJM15" s="55"/>
      <c r="LJN15" s="55"/>
      <c r="LJO15" s="55"/>
      <c r="LJP15" s="55"/>
      <c r="LJQ15" s="55"/>
      <c r="LJR15" s="55"/>
      <c r="LJS15" s="55"/>
      <c r="LJT15" s="55"/>
      <c r="LJU15" s="55"/>
      <c r="LJV15" s="55"/>
      <c r="LJW15" s="55"/>
      <c r="LJX15" s="55"/>
      <c r="LJY15" s="55"/>
      <c r="LJZ15" s="55"/>
      <c r="LKA15" s="55"/>
      <c r="LKB15" s="55"/>
      <c r="LKC15" s="55"/>
      <c r="LKD15" s="55"/>
      <c r="LKE15" s="55"/>
      <c r="LKF15" s="55"/>
      <c r="LKG15" s="55"/>
      <c r="LKH15" s="55"/>
      <c r="LKI15" s="55"/>
      <c r="LKJ15" s="55"/>
      <c r="LKK15" s="55"/>
      <c r="LKL15" s="55"/>
      <c r="LKM15" s="55"/>
      <c r="LKN15" s="55"/>
      <c r="LKO15" s="55"/>
      <c r="LKP15" s="55"/>
      <c r="LKQ15" s="55"/>
      <c r="LKR15" s="55"/>
      <c r="LKS15" s="55"/>
      <c r="LKT15" s="55"/>
      <c r="LKU15" s="55"/>
      <c r="LKV15" s="55"/>
      <c r="LKW15" s="55"/>
      <c r="LKX15" s="55"/>
      <c r="LKY15" s="55"/>
      <c r="LKZ15" s="55"/>
      <c r="LLA15" s="55"/>
      <c r="LLB15" s="55"/>
      <c r="LLC15" s="55"/>
      <c r="LLD15" s="55"/>
      <c r="LLE15" s="55"/>
      <c r="LLF15" s="55"/>
      <c r="LLG15" s="55"/>
      <c r="LLH15" s="55"/>
      <c r="LLI15" s="55"/>
      <c r="LLJ15" s="55"/>
      <c r="LLK15" s="55"/>
      <c r="LLL15" s="55"/>
      <c r="LLM15" s="55"/>
      <c r="LLN15" s="55"/>
      <c r="LLO15" s="55"/>
      <c r="LLP15" s="55"/>
      <c r="LLQ15" s="55"/>
      <c r="LLR15" s="55"/>
      <c r="LLS15" s="55"/>
      <c r="LLT15" s="55"/>
      <c r="LLU15" s="55"/>
      <c r="LLV15" s="55"/>
      <c r="LLW15" s="55"/>
      <c r="LLX15" s="55"/>
      <c r="LLY15" s="55"/>
      <c r="LLZ15" s="55"/>
      <c r="LMA15" s="55"/>
      <c r="LMB15" s="55"/>
      <c r="LMC15" s="55"/>
      <c r="LMD15" s="55"/>
      <c r="LME15" s="55"/>
      <c r="LMF15" s="55"/>
      <c r="LMG15" s="55"/>
      <c r="LMH15" s="55"/>
      <c r="LMI15" s="55"/>
      <c r="LMJ15" s="55"/>
      <c r="LMK15" s="55"/>
      <c r="LML15" s="55"/>
      <c r="LMM15" s="55"/>
      <c r="LMN15" s="55"/>
      <c r="LMO15" s="55"/>
      <c r="LMP15" s="55"/>
      <c r="LMQ15" s="55"/>
      <c r="LMR15" s="55"/>
      <c r="LMS15" s="55"/>
      <c r="LMT15" s="55"/>
      <c r="LMU15" s="55"/>
      <c r="LMV15" s="55"/>
      <c r="LMW15" s="55"/>
      <c r="LMX15" s="55"/>
      <c r="LMY15" s="55"/>
      <c r="LMZ15" s="55"/>
      <c r="LNA15" s="55"/>
      <c r="LNB15" s="55"/>
      <c r="LNC15" s="55"/>
      <c r="LND15" s="55"/>
      <c r="LNE15" s="55"/>
      <c r="LNF15" s="55"/>
      <c r="LNG15" s="55"/>
      <c r="LNH15" s="55"/>
      <c r="LNI15" s="55"/>
      <c r="LNJ15" s="55"/>
      <c r="LNK15" s="55"/>
      <c r="LNL15" s="55"/>
      <c r="LNM15" s="55"/>
      <c r="LNN15" s="55"/>
      <c r="LNO15" s="55"/>
      <c r="LNP15" s="55"/>
      <c r="LNQ15" s="55"/>
      <c r="LNR15" s="55"/>
      <c r="LNS15" s="55"/>
      <c r="LNT15" s="55"/>
      <c r="LNU15" s="55"/>
      <c r="LNV15" s="55"/>
      <c r="LNW15" s="55"/>
      <c r="LNX15" s="55"/>
      <c r="LNY15" s="55"/>
      <c r="LNZ15" s="55"/>
      <c r="LOA15" s="55"/>
      <c r="LOB15" s="55"/>
      <c r="LOC15" s="55"/>
      <c r="LOD15" s="55"/>
      <c r="LOE15" s="55"/>
      <c r="LOF15" s="55"/>
      <c r="LOG15" s="55"/>
      <c r="LOH15" s="55"/>
      <c r="LOI15" s="55"/>
      <c r="LOJ15" s="55"/>
      <c r="LOK15" s="55"/>
      <c r="LOL15" s="55"/>
      <c r="LOM15" s="55"/>
      <c r="LON15" s="55"/>
      <c r="LOO15" s="55"/>
      <c r="LOP15" s="55"/>
      <c r="LOQ15" s="55"/>
      <c r="LOR15" s="55"/>
      <c r="LOS15" s="55"/>
      <c r="LOT15" s="55"/>
      <c r="LOU15" s="55"/>
      <c r="LOV15" s="55"/>
      <c r="LOW15" s="55"/>
      <c r="LOX15" s="55"/>
      <c r="LOY15" s="55"/>
      <c r="LOZ15" s="55"/>
      <c r="LPA15" s="55"/>
      <c r="LPB15" s="55"/>
      <c r="LPC15" s="55"/>
      <c r="LPD15" s="55"/>
      <c r="LPE15" s="55"/>
      <c r="LPF15" s="55"/>
      <c r="LPG15" s="55"/>
      <c r="LPH15" s="55"/>
      <c r="LPI15" s="55"/>
      <c r="LPJ15" s="55"/>
      <c r="LPK15" s="55"/>
      <c r="LPL15" s="55"/>
      <c r="LPM15" s="55"/>
      <c r="LPN15" s="55"/>
      <c r="LPO15" s="55"/>
      <c r="LPP15" s="55"/>
      <c r="LPQ15" s="55"/>
      <c r="LPR15" s="55"/>
      <c r="LPS15" s="55"/>
      <c r="LPT15" s="55"/>
      <c r="LPU15" s="55"/>
      <c r="LPV15" s="55"/>
      <c r="LPW15" s="55"/>
      <c r="LPX15" s="55"/>
      <c r="LPY15" s="55"/>
      <c r="LPZ15" s="55"/>
      <c r="LQA15" s="55"/>
      <c r="LQB15" s="55"/>
      <c r="LQC15" s="55"/>
      <c r="LQD15" s="55"/>
      <c r="LQE15" s="55"/>
      <c r="LQF15" s="55"/>
      <c r="LQG15" s="55"/>
      <c r="LQH15" s="55"/>
      <c r="LQI15" s="55"/>
      <c r="LQJ15" s="55"/>
      <c r="LQK15" s="55"/>
      <c r="LQL15" s="55"/>
      <c r="LQM15" s="55"/>
      <c r="LQN15" s="55"/>
      <c r="LQO15" s="55"/>
      <c r="LQP15" s="55"/>
      <c r="LQQ15" s="55"/>
      <c r="LQR15" s="55"/>
      <c r="LQS15" s="55"/>
      <c r="LQT15" s="55"/>
      <c r="LQU15" s="55"/>
      <c r="LQV15" s="55"/>
      <c r="LQW15" s="55"/>
      <c r="LQX15" s="55"/>
      <c r="LQY15" s="55"/>
      <c r="LQZ15" s="55"/>
      <c r="LRA15" s="55"/>
      <c r="LRB15" s="55"/>
      <c r="LRC15" s="55"/>
      <c r="LRD15" s="55"/>
      <c r="LRE15" s="55"/>
      <c r="LRF15" s="55"/>
      <c r="LRG15" s="55"/>
      <c r="LRH15" s="55"/>
      <c r="LRI15" s="55"/>
      <c r="LRJ15" s="55"/>
      <c r="LRK15" s="55"/>
      <c r="LRL15" s="55"/>
      <c r="LRM15" s="55"/>
      <c r="LRN15" s="55"/>
      <c r="LRO15" s="55"/>
      <c r="LRP15" s="55"/>
      <c r="LRQ15" s="55"/>
      <c r="LRR15" s="55"/>
      <c r="LRS15" s="55"/>
      <c r="LRT15" s="55"/>
      <c r="LRU15" s="55"/>
      <c r="LRV15" s="55"/>
      <c r="LRW15" s="55"/>
      <c r="LRX15" s="55"/>
      <c r="LRY15" s="55"/>
      <c r="LRZ15" s="55"/>
      <c r="LSA15" s="55"/>
      <c r="LSB15" s="55"/>
      <c r="LSC15" s="55"/>
      <c r="LSD15" s="55"/>
      <c r="LSE15" s="55"/>
      <c r="LSF15" s="55"/>
      <c r="LSG15" s="55"/>
      <c r="LSH15" s="55"/>
      <c r="LSI15" s="55"/>
      <c r="LSJ15" s="55"/>
      <c r="LSK15" s="55"/>
      <c r="LSL15" s="55"/>
      <c r="LSM15" s="55"/>
      <c r="LSN15" s="55"/>
      <c r="LSO15" s="55"/>
      <c r="LSP15" s="55"/>
      <c r="LSQ15" s="55"/>
      <c r="LSR15" s="55"/>
      <c r="LSS15" s="55"/>
      <c r="LST15" s="55"/>
      <c r="LSU15" s="55"/>
      <c r="LSV15" s="55"/>
      <c r="LSW15" s="55"/>
      <c r="LSX15" s="55"/>
      <c r="LSY15" s="55"/>
      <c r="LSZ15" s="55"/>
      <c r="LTA15" s="55"/>
      <c r="LTB15" s="55"/>
      <c r="LTC15" s="55"/>
      <c r="LTD15" s="55"/>
      <c r="LTE15" s="55"/>
      <c r="LTF15" s="55"/>
      <c r="LTG15" s="55"/>
      <c r="LTH15" s="55"/>
      <c r="LTI15" s="55"/>
      <c r="LTJ15" s="55"/>
      <c r="LTK15" s="55"/>
      <c r="LTL15" s="55"/>
      <c r="LTM15" s="55"/>
      <c r="LTN15" s="55"/>
      <c r="LTO15" s="55"/>
      <c r="LTP15" s="55"/>
      <c r="LTQ15" s="55"/>
      <c r="LTR15" s="55"/>
      <c r="LTS15" s="55"/>
      <c r="LTT15" s="55"/>
      <c r="LTU15" s="55"/>
      <c r="LTV15" s="55"/>
      <c r="LTW15" s="55"/>
      <c r="LTX15" s="55"/>
      <c r="LTY15" s="55"/>
      <c r="LTZ15" s="55"/>
      <c r="LUA15" s="55"/>
      <c r="LUB15" s="55"/>
      <c r="LUC15" s="55"/>
      <c r="LUD15" s="55"/>
      <c r="LUE15" s="55"/>
      <c r="LUF15" s="55"/>
      <c r="LUG15" s="55"/>
      <c r="LUH15" s="55"/>
      <c r="LUI15" s="55"/>
      <c r="LUJ15" s="55"/>
      <c r="LUK15" s="55"/>
      <c r="LUL15" s="55"/>
      <c r="LUM15" s="55"/>
      <c r="LUN15" s="55"/>
      <c r="LUO15" s="55"/>
      <c r="LUP15" s="55"/>
      <c r="LUQ15" s="55"/>
      <c r="LUR15" s="55"/>
      <c r="LUS15" s="55"/>
      <c r="LUT15" s="55"/>
      <c r="LUU15" s="55"/>
      <c r="LUV15" s="55"/>
      <c r="LUW15" s="55"/>
      <c r="LUX15" s="55"/>
      <c r="LUY15" s="55"/>
      <c r="LUZ15" s="55"/>
      <c r="LVA15" s="55"/>
      <c r="LVB15" s="55"/>
      <c r="LVC15" s="55"/>
      <c r="LVD15" s="55"/>
      <c r="LVE15" s="55"/>
      <c r="LVF15" s="55"/>
      <c r="LVG15" s="55"/>
      <c r="LVH15" s="55"/>
      <c r="LVI15" s="55"/>
      <c r="LVJ15" s="55"/>
      <c r="LVK15" s="55"/>
      <c r="LVL15" s="55"/>
      <c r="LVM15" s="55"/>
      <c r="LVN15" s="55"/>
      <c r="LVO15" s="55"/>
      <c r="LVP15" s="55"/>
      <c r="LVQ15" s="55"/>
      <c r="LVR15" s="55"/>
      <c r="LVS15" s="55"/>
      <c r="LVT15" s="55"/>
      <c r="LVU15" s="55"/>
      <c r="LVV15" s="55"/>
      <c r="LVW15" s="55"/>
      <c r="LVX15" s="55"/>
      <c r="LVY15" s="55"/>
      <c r="LVZ15" s="55"/>
      <c r="LWA15" s="55"/>
      <c r="LWB15" s="55"/>
      <c r="LWC15" s="55"/>
      <c r="LWD15" s="55"/>
      <c r="LWE15" s="55"/>
      <c r="LWF15" s="55"/>
      <c r="LWG15" s="55"/>
      <c r="LWH15" s="55"/>
      <c r="LWI15" s="55"/>
      <c r="LWJ15" s="55"/>
      <c r="LWK15" s="55"/>
      <c r="LWL15" s="55"/>
      <c r="LWM15" s="55"/>
      <c r="LWN15" s="55"/>
      <c r="LWO15" s="55"/>
      <c r="LWP15" s="55"/>
      <c r="LWQ15" s="55"/>
      <c r="LWR15" s="55"/>
      <c r="LWS15" s="55"/>
      <c r="LWT15" s="55"/>
      <c r="LWU15" s="55"/>
      <c r="LWV15" s="55"/>
      <c r="LWW15" s="55"/>
      <c r="LWX15" s="55"/>
      <c r="LWY15" s="55"/>
      <c r="LWZ15" s="55"/>
      <c r="LXA15" s="55"/>
      <c r="LXB15" s="55"/>
      <c r="LXC15" s="55"/>
      <c r="LXD15" s="55"/>
      <c r="LXE15" s="55"/>
      <c r="LXF15" s="55"/>
      <c r="LXG15" s="55"/>
      <c r="LXH15" s="55"/>
      <c r="LXI15" s="55"/>
      <c r="LXJ15" s="55"/>
      <c r="LXK15" s="55"/>
      <c r="LXL15" s="55"/>
      <c r="LXM15" s="55"/>
      <c r="LXN15" s="55"/>
      <c r="LXO15" s="55"/>
      <c r="LXP15" s="55"/>
      <c r="LXQ15" s="55"/>
      <c r="LXR15" s="55"/>
      <c r="LXS15" s="55"/>
      <c r="LXT15" s="55"/>
      <c r="LXU15" s="55"/>
      <c r="LXV15" s="55"/>
      <c r="LXW15" s="55"/>
      <c r="LXX15" s="55"/>
      <c r="LXY15" s="55"/>
      <c r="LXZ15" s="55"/>
      <c r="LYA15" s="55"/>
      <c r="LYB15" s="55"/>
      <c r="LYC15" s="55"/>
      <c r="LYD15" s="55"/>
      <c r="LYE15" s="55"/>
      <c r="LYF15" s="55"/>
      <c r="LYG15" s="55"/>
      <c r="LYH15" s="55"/>
      <c r="LYI15" s="55"/>
      <c r="LYJ15" s="55"/>
      <c r="LYK15" s="55"/>
      <c r="LYL15" s="55"/>
      <c r="LYM15" s="55"/>
      <c r="LYN15" s="55"/>
      <c r="LYO15" s="55"/>
      <c r="LYP15" s="55"/>
      <c r="LYQ15" s="55"/>
      <c r="LYR15" s="55"/>
      <c r="LYS15" s="55"/>
      <c r="LYT15" s="55"/>
      <c r="LYU15" s="55"/>
      <c r="LYV15" s="55"/>
      <c r="LYW15" s="55"/>
      <c r="LYX15" s="55"/>
      <c r="LYY15" s="55"/>
      <c r="LYZ15" s="55"/>
      <c r="LZA15" s="55"/>
      <c r="LZB15" s="55"/>
      <c r="LZC15" s="55"/>
      <c r="LZD15" s="55"/>
      <c r="LZE15" s="55"/>
      <c r="LZF15" s="55"/>
      <c r="LZG15" s="55"/>
      <c r="LZH15" s="55"/>
      <c r="LZI15" s="55"/>
      <c r="LZJ15" s="55"/>
      <c r="LZK15" s="55"/>
      <c r="LZL15" s="55"/>
      <c r="LZM15" s="55"/>
      <c r="LZN15" s="55"/>
      <c r="LZO15" s="55"/>
      <c r="LZP15" s="55"/>
      <c r="LZQ15" s="55"/>
      <c r="LZR15" s="55"/>
      <c r="LZS15" s="55"/>
      <c r="LZT15" s="55"/>
      <c r="LZU15" s="55"/>
      <c r="LZV15" s="55"/>
      <c r="LZW15" s="55"/>
      <c r="LZX15" s="55"/>
      <c r="LZY15" s="55"/>
      <c r="LZZ15" s="55"/>
      <c r="MAA15" s="55"/>
      <c r="MAB15" s="55"/>
      <c r="MAC15" s="55"/>
      <c r="MAD15" s="55"/>
      <c r="MAE15" s="55"/>
      <c r="MAF15" s="55"/>
      <c r="MAG15" s="55"/>
      <c r="MAH15" s="55"/>
      <c r="MAI15" s="55"/>
      <c r="MAJ15" s="55"/>
      <c r="MAK15" s="55"/>
      <c r="MAL15" s="55"/>
      <c r="MAM15" s="55"/>
      <c r="MAN15" s="55"/>
      <c r="MAO15" s="55"/>
      <c r="MAP15" s="55"/>
      <c r="MAQ15" s="55"/>
      <c r="MAR15" s="55"/>
      <c r="MAS15" s="55"/>
      <c r="MAT15" s="55"/>
      <c r="MAU15" s="55"/>
      <c r="MAV15" s="55"/>
      <c r="MAW15" s="55"/>
      <c r="MAX15" s="55"/>
      <c r="MAY15" s="55"/>
      <c r="MAZ15" s="55"/>
      <c r="MBA15" s="55"/>
      <c r="MBB15" s="55"/>
      <c r="MBC15" s="55"/>
      <c r="MBD15" s="55"/>
      <c r="MBE15" s="55"/>
      <c r="MBF15" s="55"/>
      <c r="MBG15" s="55"/>
      <c r="MBH15" s="55"/>
      <c r="MBI15" s="55"/>
      <c r="MBJ15" s="55"/>
      <c r="MBK15" s="55"/>
      <c r="MBL15" s="55"/>
      <c r="MBM15" s="55"/>
      <c r="MBN15" s="55"/>
      <c r="MBO15" s="55"/>
      <c r="MBP15" s="55"/>
      <c r="MBQ15" s="55"/>
      <c r="MBR15" s="55"/>
      <c r="MBS15" s="55"/>
      <c r="MBT15" s="55"/>
      <c r="MBU15" s="55"/>
      <c r="MBV15" s="55"/>
      <c r="MBW15" s="55"/>
      <c r="MBX15" s="55"/>
      <c r="MBY15" s="55"/>
      <c r="MBZ15" s="55"/>
      <c r="MCA15" s="55"/>
      <c r="MCB15" s="55"/>
      <c r="MCC15" s="55"/>
      <c r="MCD15" s="55"/>
      <c r="MCE15" s="55"/>
      <c r="MCF15" s="55"/>
      <c r="MCG15" s="55"/>
      <c r="MCH15" s="55"/>
      <c r="MCI15" s="55"/>
      <c r="MCJ15" s="55"/>
      <c r="MCK15" s="55"/>
      <c r="MCL15" s="55"/>
      <c r="MCM15" s="55"/>
      <c r="MCN15" s="55"/>
      <c r="MCO15" s="55"/>
      <c r="MCP15" s="55"/>
      <c r="MCQ15" s="55"/>
      <c r="MCR15" s="55"/>
      <c r="MCS15" s="55"/>
      <c r="MCT15" s="55"/>
      <c r="MCU15" s="55"/>
      <c r="MCV15" s="55"/>
      <c r="MCW15" s="55"/>
      <c r="MCX15" s="55"/>
      <c r="MCY15" s="55"/>
      <c r="MCZ15" s="55"/>
      <c r="MDA15" s="55"/>
      <c r="MDB15" s="55"/>
      <c r="MDC15" s="55"/>
      <c r="MDD15" s="55"/>
      <c r="MDE15" s="55"/>
      <c r="MDF15" s="55"/>
      <c r="MDG15" s="55"/>
      <c r="MDH15" s="55"/>
      <c r="MDI15" s="55"/>
      <c r="MDJ15" s="55"/>
      <c r="MDK15" s="55"/>
      <c r="MDL15" s="55"/>
      <c r="MDM15" s="55"/>
      <c r="MDN15" s="55"/>
      <c r="MDO15" s="55"/>
      <c r="MDP15" s="55"/>
      <c r="MDQ15" s="55"/>
      <c r="MDR15" s="55"/>
      <c r="MDS15" s="55"/>
      <c r="MDT15" s="55"/>
      <c r="MDU15" s="55"/>
      <c r="MDV15" s="55"/>
      <c r="MDW15" s="55"/>
      <c r="MDX15" s="55"/>
      <c r="MDY15" s="55"/>
      <c r="MDZ15" s="55"/>
      <c r="MEA15" s="55"/>
      <c r="MEB15" s="55"/>
      <c r="MEC15" s="55"/>
      <c r="MED15" s="55"/>
      <c r="MEE15" s="55"/>
      <c r="MEF15" s="55"/>
      <c r="MEG15" s="55"/>
      <c r="MEH15" s="55"/>
      <c r="MEI15" s="55"/>
      <c r="MEJ15" s="55"/>
      <c r="MEK15" s="55"/>
      <c r="MEL15" s="55"/>
      <c r="MEM15" s="55"/>
      <c r="MEN15" s="55"/>
      <c r="MEO15" s="55"/>
      <c r="MEP15" s="55"/>
      <c r="MEQ15" s="55"/>
      <c r="MER15" s="55"/>
      <c r="MES15" s="55"/>
      <c r="MET15" s="55"/>
      <c r="MEU15" s="55"/>
      <c r="MEV15" s="55"/>
      <c r="MEW15" s="55"/>
      <c r="MEX15" s="55"/>
      <c r="MEY15" s="55"/>
      <c r="MEZ15" s="55"/>
      <c r="MFA15" s="55"/>
      <c r="MFB15" s="55"/>
      <c r="MFC15" s="55"/>
      <c r="MFD15" s="55"/>
      <c r="MFE15" s="55"/>
      <c r="MFF15" s="55"/>
      <c r="MFG15" s="55"/>
      <c r="MFH15" s="55"/>
      <c r="MFI15" s="55"/>
      <c r="MFJ15" s="55"/>
      <c r="MFK15" s="55"/>
      <c r="MFL15" s="55"/>
      <c r="MFM15" s="55"/>
      <c r="MFN15" s="55"/>
      <c r="MFO15" s="55"/>
      <c r="MFP15" s="55"/>
      <c r="MFQ15" s="55"/>
      <c r="MFR15" s="55"/>
      <c r="MFS15" s="55"/>
      <c r="MFT15" s="55"/>
      <c r="MFU15" s="55"/>
      <c r="MFV15" s="55"/>
      <c r="MFW15" s="55"/>
      <c r="MFX15" s="55"/>
      <c r="MFY15" s="55"/>
      <c r="MFZ15" s="55"/>
      <c r="MGA15" s="55"/>
      <c r="MGB15" s="55"/>
      <c r="MGC15" s="55"/>
      <c r="MGD15" s="55"/>
      <c r="MGE15" s="55"/>
      <c r="MGF15" s="55"/>
      <c r="MGG15" s="55"/>
      <c r="MGH15" s="55"/>
      <c r="MGI15" s="55"/>
      <c r="MGJ15" s="55"/>
      <c r="MGK15" s="55"/>
      <c r="MGL15" s="55"/>
      <c r="MGM15" s="55"/>
      <c r="MGN15" s="55"/>
      <c r="MGO15" s="55"/>
      <c r="MGP15" s="55"/>
      <c r="MGQ15" s="55"/>
      <c r="MGR15" s="55"/>
      <c r="MGS15" s="55"/>
      <c r="MGT15" s="55"/>
      <c r="MGU15" s="55"/>
      <c r="MGV15" s="55"/>
      <c r="MGW15" s="55"/>
      <c r="MGX15" s="55"/>
      <c r="MGY15" s="55"/>
      <c r="MGZ15" s="55"/>
      <c r="MHA15" s="55"/>
      <c r="MHB15" s="55"/>
      <c r="MHC15" s="55"/>
      <c r="MHD15" s="55"/>
      <c r="MHE15" s="55"/>
      <c r="MHF15" s="55"/>
      <c r="MHG15" s="55"/>
      <c r="MHH15" s="55"/>
      <c r="MHI15" s="55"/>
      <c r="MHJ15" s="55"/>
      <c r="MHK15" s="55"/>
      <c r="MHL15" s="55"/>
      <c r="MHM15" s="55"/>
      <c r="MHN15" s="55"/>
      <c r="MHO15" s="55"/>
      <c r="MHP15" s="55"/>
      <c r="MHQ15" s="55"/>
      <c r="MHR15" s="55"/>
      <c r="MHS15" s="55"/>
      <c r="MHT15" s="55"/>
      <c r="MHU15" s="55"/>
      <c r="MHV15" s="55"/>
      <c r="MHW15" s="55"/>
      <c r="MHX15" s="55"/>
      <c r="MHY15" s="55"/>
      <c r="MHZ15" s="55"/>
      <c r="MIA15" s="55"/>
      <c r="MIB15" s="55"/>
      <c r="MIC15" s="55"/>
      <c r="MID15" s="55"/>
      <c r="MIE15" s="55"/>
      <c r="MIF15" s="55"/>
      <c r="MIG15" s="55"/>
      <c r="MIH15" s="55"/>
      <c r="MII15" s="55"/>
      <c r="MIJ15" s="55"/>
      <c r="MIK15" s="55"/>
      <c r="MIL15" s="55"/>
      <c r="MIM15" s="55"/>
      <c r="MIN15" s="55"/>
      <c r="MIO15" s="55"/>
      <c r="MIP15" s="55"/>
      <c r="MIQ15" s="55"/>
      <c r="MIR15" s="55"/>
      <c r="MIS15" s="55"/>
      <c r="MIT15" s="55"/>
      <c r="MIU15" s="55"/>
      <c r="MIV15" s="55"/>
      <c r="MIW15" s="55"/>
      <c r="MIX15" s="55"/>
      <c r="MIY15" s="55"/>
      <c r="MIZ15" s="55"/>
      <c r="MJA15" s="55"/>
      <c r="MJB15" s="55"/>
      <c r="MJC15" s="55"/>
      <c r="MJD15" s="55"/>
      <c r="MJE15" s="55"/>
      <c r="MJF15" s="55"/>
      <c r="MJG15" s="55"/>
      <c r="MJH15" s="55"/>
      <c r="MJI15" s="55"/>
      <c r="MJJ15" s="55"/>
      <c r="MJK15" s="55"/>
      <c r="MJL15" s="55"/>
      <c r="MJM15" s="55"/>
      <c r="MJN15" s="55"/>
      <c r="MJO15" s="55"/>
      <c r="MJP15" s="55"/>
      <c r="MJQ15" s="55"/>
      <c r="MJR15" s="55"/>
      <c r="MJS15" s="55"/>
      <c r="MJT15" s="55"/>
      <c r="MJU15" s="55"/>
      <c r="MJV15" s="55"/>
      <c r="MJW15" s="55"/>
      <c r="MJX15" s="55"/>
      <c r="MJY15" s="55"/>
      <c r="MJZ15" s="55"/>
      <c r="MKA15" s="55"/>
      <c r="MKB15" s="55"/>
      <c r="MKC15" s="55"/>
      <c r="MKD15" s="55"/>
      <c r="MKE15" s="55"/>
      <c r="MKF15" s="55"/>
      <c r="MKG15" s="55"/>
      <c r="MKH15" s="55"/>
      <c r="MKI15" s="55"/>
      <c r="MKJ15" s="55"/>
      <c r="MKK15" s="55"/>
      <c r="MKL15" s="55"/>
      <c r="MKM15" s="55"/>
      <c r="MKN15" s="55"/>
      <c r="MKO15" s="55"/>
      <c r="MKP15" s="55"/>
      <c r="MKQ15" s="55"/>
      <c r="MKR15" s="55"/>
      <c r="MKS15" s="55"/>
      <c r="MKT15" s="55"/>
      <c r="MKU15" s="55"/>
      <c r="MKV15" s="55"/>
      <c r="MKW15" s="55"/>
      <c r="MKX15" s="55"/>
      <c r="MKY15" s="55"/>
      <c r="MKZ15" s="55"/>
      <c r="MLA15" s="55"/>
      <c r="MLB15" s="55"/>
      <c r="MLC15" s="55"/>
      <c r="MLD15" s="55"/>
      <c r="MLE15" s="55"/>
      <c r="MLF15" s="55"/>
      <c r="MLG15" s="55"/>
      <c r="MLH15" s="55"/>
      <c r="MLI15" s="55"/>
      <c r="MLJ15" s="55"/>
      <c r="MLK15" s="55"/>
      <c r="MLL15" s="55"/>
      <c r="MLM15" s="55"/>
      <c r="MLN15" s="55"/>
      <c r="MLO15" s="55"/>
      <c r="MLP15" s="55"/>
      <c r="MLQ15" s="55"/>
      <c r="MLR15" s="55"/>
      <c r="MLS15" s="55"/>
      <c r="MLT15" s="55"/>
      <c r="MLU15" s="55"/>
      <c r="MLV15" s="55"/>
      <c r="MLW15" s="55"/>
      <c r="MLX15" s="55"/>
      <c r="MLY15" s="55"/>
      <c r="MLZ15" s="55"/>
      <c r="MMA15" s="55"/>
      <c r="MMB15" s="55"/>
      <c r="MMC15" s="55"/>
      <c r="MMD15" s="55"/>
      <c r="MME15" s="55"/>
      <c r="MMF15" s="55"/>
      <c r="MMG15" s="55"/>
      <c r="MMH15" s="55"/>
      <c r="MMI15" s="55"/>
      <c r="MMJ15" s="55"/>
      <c r="MMK15" s="55"/>
      <c r="MML15" s="55"/>
      <c r="MMM15" s="55"/>
      <c r="MMN15" s="55"/>
      <c r="MMO15" s="55"/>
      <c r="MMP15" s="55"/>
      <c r="MMQ15" s="55"/>
      <c r="MMR15" s="55"/>
      <c r="MMS15" s="55"/>
      <c r="MMT15" s="55"/>
      <c r="MMU15" s="55"/>
      <c r="MMV15" s="55"/>
      <c r="MMW15" s="55"/>
      <c r="MMX15" s="55"/>
      <c r="MMY15" s="55"/>
      <c r="MMZ15" s="55"/>
      <c r="MNA15" s="55"/>
      <c r="MNB15" s="55"/>
      <c r="MNC15" s="55"/>
      <c r="MND15" s="55"/>
      <c r="MNE15" s="55"/>
      <c r="MNF15" s="55"/>
      <c r="MNG15" s="55"/>
      <c r="MNH15" s="55"/>
      <c r="MNI15" s="55"/>
      <c r="MNJ15" s="55"/>
      <c r="MNK15" s="55"/>
      <c r="MNL15" s="55"/>
      <c r="MNM15" s="55"/>
      <c r="MNN15" s="55"/>
      <c r="MNO15" s="55"/>
      <c r="MNP15" s="55"/>
      <c r="MNQ15" s="55"/>
      <c r="MNR15" s="55"/>
      <c r="MNS15" s="55"/>
      <c r="MNT15" s="55"/>
      <c r="MNU15" s="55"/>
      <c r="MNV15" s="55"/>
      <c r="MNW15" s="55"/>
      <c r="MNX15" s="55"/>
      <c r="MNY15" s="55"/>
      <c r="MNZ15" s="55"/>
      <c r="MOA15" s="55"/>
      <c r="MOB15" s="55"/>
      <c r="MOC15" s="55"/>
      <c r="MOD15" s="55"/>
      <c r="MOE15" s="55"/>
      <c r="MOF15" s="55"/>
      <c r="MOG15" s="55"/>
      <c r="MOH15" s="55"/>
      <c r="MOI15" s="55"/>
      <c r="MOJ15" s="55"/>
      <c r="MOK15" s="55"/>
      <c r="MOL15" s="55"/>
      <c r="MOM15" s="55"/>
      <c r="MON15" s="55"/>
      <c r="MOO15" s="55"/>
      <c r="MOP15" s="55"/>
      <c r="MOQ15" s="55"/>
      <c r="MOR15" s="55"/>
      <c r="MOS15" s="55"/>
      <c r="MOT15" s="55"/>
      <c r="MOU15" s="55"/>
      <c r="MOV15" s="55"/>
      <c r="MOW15" s="55"/>
      <c r="MOX15" s="55"/>
      <c r="MOY15" s="55"/>
      <c r="MOZ15" s="55"/>
      <c r="MPA15" s="55"/>
      <c r="MPB15" s="55"/>
      <c r="MPC15" s="55"/>
      <c r="MPD15" s="55"/>
      <c r="MPE15" s="55"/>
      <c r="MPF15" s="55"/>
      <c r="MPG15" s="55"/>
      <c r="MPH15" s="55"/>
      <c r="MPI15" s="55"/>
      <c r="MPJ15" s="55"/>
      <c r="MPK15" s="55"/>
      <c r="MPL15" s="55"/>
      <c r="MPM15" s="55"/>
      <c r="MPN15" s="55"/>
      <c r="MPO15" s="55"/>
      <c r="MPP15" s="55"/>
      <c r="MPQ15" s="55"/>
      <c r="MPR15" s="55"/>
      <c r="MPS15" s="55"/>
      <c r="MPT15" s="55"/>
      <c r="MPU15" s="55"/>
      <c r="MPV15" s="55"/>
      <c r="MPW15" s="55"/>
      <c r="MPX15" s="55"/>
      <c r="MPY15" s="55"/>
      <c r="MPZ15" s="55"/>
      <c r="MQA15" s="55"/>
      <c r="MQB15" s="55"/>
      <c r="MQC15" s="55"/>
      <c r="MQD15" s="55"/>
      <c r="MQE15" s="55"/>
      <c r="MQF15" s="55"/>
      <c r="MQG15" s="55"/>
      <c r="MQH15" s="55"/>
      <c r="MQI15" s="55"/>
      <c r="MQJ15" s="55"/>
      <c r="MQK15" s="55"/>
      <c r="MQL15" s="55"/>
      <c r="MQM15" s="55"/>
      <c r="MQN15" s="55"/>
      <c r="MQO15" s="55"/>
      <c r="MQP15" s="55"/>
      <c r="MQQ15" s="55"/>
      <c r="MQR15" s="55"/>
      <c r="MQS15" s="55"/>
      <c r="MQT15" s="55"/>
      <c r="MQU15" s="55"/>
      <c r="MQV15" s="55"/>
      <c r="MQW15" s="55"/>
      <c r="MQX15" s="55"/>
      <c r="MQY15" s="55"/>
      <c r="MQZ15" s="55"/>
      <c r="MRA15" s="55"/>
      <c r="MRB15" s="55"/>
      <c r="MRC15" s="55"/>
      <c r="MRD15" s="55"/>
      <c r="MRE15" s="55"/>
      <c r="MRF15" s="55"/>
      <c r="MRG15" s="55"/>
      <c r="MRH15" s="55"/>
      <c r="MRI15" s="55"/>
      <c r="MRJ15" s="55"/>
      <c r="MRK15" s="55"/>
      <c r="MRL15" s="55"/>
      <c r="MRM15" s="55"/>
      <c r="MRN15" s="55"/>
      <c r="MRO15" s="55"/>
      <c r="MRP15" s="55"/>
      <c r="MRQ15" s="55"/>
      <c r="MRR15" s="55"/>
      <c r="MRS15" s="55"/>
      <c r="MRT15" s="55"/>
      <c r="MRU15" s="55"/>
      <c r="MRV15" s="55"/>
      <c r="MRW15" s="55"/>
      <c r="MRX15" s="55"/>
      <c r="MRY15" s="55"/>
      <c r="MRZ15" s="55"/>
      <c r="MSA15" s="55"/>
      <c r="MSB15" s="55"/>
      <c r="MSC15" s="55"/>
      <c r="MSD15" s="55"/>
      <c r="MSE15" s="55"/>
      <c r="MSF15" s="55"/>
      <c r="MSG15" s="55"/>
      <c r="MSH15" s="55"/>
      <c r="MSI15" s="55"/>
      <c r="MSJ15" s="55"/>
      <c r="MSK15" s="55"/>
      <c r="MSL15" s="55"/>
      <c r="MSM15" s="55"/>
      <c r="MSN15" s="55"/>
      <c r="MSO15" s="55"/>
      <c r="MSP15" s="55"/>
      <c r="MSQ15" s="55"/>
      <c r="MSR15" s="55"/>
      <c r="MSS15" s="55"/>
      <c r="MST15" s="55"/>
      <c r="MSU15" s="55"/>
      <c r="MSV15" s="55"/>
      <c r="MSW15" s="55"/>
      <c r="MSX15" s="55"/>
      <c r="MSY15" s="55"/>
      <c r="MSZ15" s="55"/>
      <c r="MTA15" s="55"/>
      <c r="MTB15" s="55"/>
      <c r="MTC15" s="55"/>
      <c r="MTD15" s="55"/>
      <c r="MTE15" s="55"/>
      <c r="MTF15" s="55"/>
      <c r="MTG15" s="55"/>
      <c r="MTH15" s="55"/>
      <c r="MTI15" s="55"/>
      <c r="MTJ15" s="55"/>
      <c r="MTK15" s="55"/>
      <c r="MTL15" s="55"/>
      <c r="MTM15" s="55"/>
      <c r="MTN15" s="55"/>
      <c r="MTO15" s="55"/>
      <c r="MTP15" s="55"/>
      <c r="MTQ15" s="55"/>
      <c r="MTR15" s="55"/>
      <c r="MTS15" s="55"/>
      <c r="MTT15" s="55"/>
      <c r="MTU15" s="55"/>
      <c r="MTV15" s="55"/>
      <c r="MTW15" s="55"/>
      <c r="MTX15" s="55"/>
      <c r="MTY15" s="55"/>
      <c r="MTZ15" s="55"/>
      <c r="MUA15" s="55"/>
      <c r="MUB15" s="55"/>
      <c r="MUC15" s="55"/>
      <c r="MUD15" s="55"/>
      <c r="MUE15" s="55"/>
      <c r="MUF15" s="55"/>
      <c r="MUG15" s="55"/>
      <c r="MUH15" s="55"/>
      <c r="MUI15" s="55"/>
      <c r="MUJ15" s="55"/>
      <c r="MUK15" s="55"/>
      <c r="MUL15" s="55"/>
      <c r="MUM15" s="55"/>
      <c r="MUN15" s="55"/>
      <c r="MUO15" s="55"/>
      <c r="MUP15" s="55"/>
      <c r="MUQ15" s="55"/>
      <c r="MUR15" s="55"/>
      <c r="MUS15" s="55"/>
      <c r="MUT15" s="55"/>
      <c r="MUU15" s="55"/>
      <c r="MUV15" s="55"/>
      <c r="MUW15" s="55"/>
      <c r="MUX15" s="55"/>
      <c r="MUY15" s="55"/>
      <c r="MUZ15" s="55"/>
      <c r="MVA15" s="55"/>
      <c r="MVB15" s="55"/>
      <c r="MVC15" s="55"/>
      <c r="MVD15" s="55"/>
      <c r="MVE15" s="55"/>
      <c r="MVF15" s="55"/>
      <c r="MVG15" s="55"/>
      <c r="MVH15" s="55"/>
      <c r="MVI15" s="55"/>
      <c r="MVJ15" s="55"/>
      <c r="MVK15" s="55"/>
      <c r="MVL15" s="55"/>
      <c r="MVM15" s="55"/>
      <c r="MVN15" s="55"/>
      <c r="MVO15" s="55"/>
      <c r="MVP15" s="55"/>
      <c r="MVQ15" s="55"/>
      <c r="MVR15" s="55"/>
      <c r="MVS15" s="55"/>
      <c r="MVT15" s="55"/>
      <c r="MVU15" s="55"/>
      <c r="MVV15" s="55"/>
      <c r="MVW15" s="55"/>
      <c r="MVX15" s="55"/>
      <c r="MVY15" s="55"/>
      <c r="MVZ15" s="55"/>
      <c r="MWA15" s="55"/>
      <c r="MWB15" s="55"/>
      <c r="MWC15" s="55"/>
      <c r="MWD15" s="55"/>
      <c r="MWE15" s="55"/>
      <c r="MWF15" s="55"/>
      <c r="MWG15" s="55"/>
      <c r="MWH15" s="55"/>
      <c r="MWI15" s="55"/>
      <c r="MWJ15" s="55"/>
      <c r="MWK15" s="55"/>
      <c r="MWL15" s="55"/>
      <c r="MWM15" s="55"/>
      <c r="MWN15" s="55"/>
      <c r="MWO15" s="55"/>
      <c r="MWP15" s="55"/>
      <c r="MWQ15" s="55"/>
      <c r="MWR15" s="55"/>
      <c r="MWS15" s="55"/>
      <c r="MWT15" s="55"/>
      <c r="MWU15" s="55"/>
      <c r="MWV15" s="55"/>
      <c r="MWW15" s="55"/>
      <c r="MWX15" s="55"/>
      <c r="MWY15" s="55"/>
      <c r="MWZ15" s="55"/>
      <c r="MXA15" s="55"/>
      <c r="MXB15" s="55"/>
      <c r="MXC15" s="55"/>
      <c r="MXD15" s="55"/>
      <c r="MXE15" s="55"/>
      <c r="MXF15" s="55"/>
      <c r="MXG15" s="55"/>
      <c r="MXH15" s="55"/>
      <c r="MXI15" s="55"/>
      <c r="MXJ15" s="55"/>
      <c r="MXK15" s="55"/>
      <c r="MXL15" s="55"/>
      <c r="MXM15" s="55"/>
      <c r="MXN15" s="55"/>
      <c r="MXO15" s="55"/>
      <c r="MXP15" s="55"/>
      <c r="MXQ15" s="55"/>
      <c r="MXR15" s="55"/>
      <c r="MXS15" s="55"/>
      <c r="MXT15" s="55"/>
      <c r="MXU15" s="55"/>
      <c r="MXV15" s="55"/>
      <c r="MXW15" s="55"/>
      <c r="MXX15" s="55"/>
      <c r="MXY15" s="55"/>
      <c r="MXZ15" s="55"/>
      <c r="MYA15" s="55"/>
      <c r="MYB15" s="55"/>
      <c r="MYC15" s="55"/>
      <c r="MYD15" s="55"/>
      <c r="MYE15" s="55"/>
      <c r="MYF15" s="55"/>
      <c r="MYG15" s="55"/>
      <c r="MYH15" s="55"/>
      <c r="MYI15" s="55"/>
      <c r="MYJ15" s="55"/>
      <c r="MYK15" s="55"/>
      <c r="MYL15" s="55"/>
      <c r="MYM15" s="55"/>
      <c r="MYN15" s="55"/>
      <c r="MYO15" s="55"/>
      <c r="MYP15" s="55"/>
      <c r="MYQ15" s="55"/>
      <c r="MYR15" s="55"/>
      <c r="MYS15" s="55"/>
      <c r="MYT15" s="55"/>
      <c r="MYU15" s="55"/>
      <c r="MYV15" s="55"/>
      <c r="MYW15" s="55"/>
      <c r="MYX15" s="55"/>
      <c r="MYY15" s="55"/>
      <c r="MYZ15" s="55"/>
      <c r="MZA15" s="55"/>
      <c r="MZB15" s="55"/>
      <c r="MZC15" s="55"/>
      <c r="MZD15" s="55"/>
      <c r="MZE15" s="55"/>
      <c r="MZF15" s="55"/>
      <c r="MZG15" s="55"/>
      <c r="MZH15" s="55"/>
      <c r="MZI15" s="55"/>
      <c r="MZJ15" s="55"/>
      <c r="MZK15" s="55"/>
      <c r="MZL15" s="55"/>
      <c r="MZM15" s="55"/>
      <c r="MZN15" s="55"/>
      <c r="MZO15" s="55"/>
      <c r="MZP15" s="55"/>
      <c r="MZQ15" s="55"/>
      <c r="MZR15" s="55"/>
      <c r="MZS15" s="55"/>
      <c r="MZT15" s="55"/>
      <c r="MZU15" s="55"/>
      <c r="MZV15" s="55"/>
      <c r="MZW15" s="55"/>
      <c r="MZX15" s="55"/>
      <c r="MZY15" s="55"/>
      <c r="MZZ15" s="55"/>
      <c r="NAA15" s="55"/>
      <c r="NAB15" s="55"/>
      <c r="NAC15" s="55"/>
      <c r="NAD15" s="55"/>
      <c r="NAE15" s="55"/>
      <c r="NAF15" s="55"/>
      <c r="NAG15" s="55"/>
      <c r="NAH15" s="55"/>
      <c r="NAI15" s="55"/>
      <c r="NAJ15" s="55"/>
      <c r="NAK15" s="55"/>
      <c r="NAL15" s="55"/>
      <c r="NAM15" s="55"/>
      <c r="NAN15" s="55"/>
      <c r="NAO15" s="55"/>
      <c r="NAP15" s="55"/>
      <c r="NAQ15" s="55"/>
      <c r="NAR15" s="55"/>
      <c r="NAS15" s="55"/>
      <c r="NAT15" s="55"/>
      <c r="NAU15" s="55"/>
      <c r="NAV15" s="55"/>
      <c r="NAW15" s="55"/>
      <c r="NAX15" s="55"/>
      <c r="NAY15" s="55"/>
      <c r="NAZ15" s="55"/>
      <c r="NBA15" s="55"/>
      <c r="NBB15" s="55"/>
      <c r="NBC15" s="55"/>
      <c r="NBD15" s="55"/>
      <c r="NBE15" s="55"/>
      <c r="NBF15" s="55"/>
      <c r="NBG15" s="55"/>
      <c r="NBH15" s="55"/>
      <c r="NBI15" s="55"/>
      <c r="NBJ15" s="55"/>
      <c r="NBK15" s="55"/>
      <c r="NBL15" s="55"/>
      <c r="NBM15" s="55"/>
      <c r="NBN15" s="55"/>
      <c r="NBO15" s="55"/>
      <c r="NBP15" s="55"/>
      <c r="NBQ15" s="55"/>
      <c r="NBR15" s="55"/>
      <c r="NBS15" s="55"/>
      <c r="NBT15" s="55"/>
      <c r="NBU15" s="55"/>
      <c r="NBV15" s="55"/>
      <c r="NBW15" s="55"/>
      <c r="NBX15" s="55"/>
      <c r="NBY15" s="55"/>
      <c r="NBZ15" s="55"/>
      <c r="NCA15" s="55"/>
      <c r="NCB15" s="55"/>
      <c r="NCC15" s="55"/>
      <c r="NCD15" s="55"/>
      <c r="NCE15" s="55"/>
      <c r="NCF15" s="55"/>
      <c r="NCG15" s="55"/>
      <c r="NCH15" s="55"/>
      <c r="NCI15" s="55"/>
      <c r="NCJ15" s="55"/>
      <c r="NCK15" s="55"/>
      <c r="NCL15" s="55"/>
      <c r="NCM15" s="55"/>
      <c r="NCN15" s="55"/>
      <c r="NCO15" s="55"/>
      <c r="NCP15" s="55"/>
      <c r="NCQ15" s="55"/>
      <c r="NCR15" s="55"/>
      <c r="NCS15" s="55"/>
      <c r="NCT15" s="55"/>
      <c r="NCU15" s="55"/>
      <c r="NCV15" s="55"/>
      <c r="NCW15" s="55"/>
      <c r="NCX15" s="55"/>
      <c r="NCY15" s="55"/>
      <c r="NCZ15" s="55"/>
      <c r="NDA15" s="55"/>
      <c r="NDB15" s="55"/>
      <c r="NDC15" s="55"/>
      <c r="NDD15" s="55"/>
      <c r="NDE15" s="55"/>
      <c r="NDF15" s="55"/>
      <c r="NDG15" s="55"/>
      <c r="NDH15" s="55"/>
      <c r="NDI15" s="55"/>
      <c r="NDJ15" s="55"/>
      <c r="NDK15" s="55"/>
      <c r="NDL15" s="55"/>
      <c r="NDM15" s="55"/>
      <c r="NDN15" s="55"/>
      <c r="NDO15" s="55"/>
      <c r="NDP15" s="55"/>
      <c r="NDQ15" s="55"/>
      <c r="NDR15" s="55"/>
      <c r="NDS15" s="55"/>
      <c r="NDT15" s="55"/>
      <c r="NDU15" s="55"/>
      <c r="NDV15" s="55"/>
      <c r="NDW15" s="55"/>
      <c r="NDX15" s="55"/>
      <c r="NDY15" s="55"/>
      <c r="NDZ15" s="55"/>
      <c r="NEA15" s="55"/>
      <c r="NEB15" s="55"/>
      <c r="NEC15" s="55"/>
      <c r="NED15" s="55"/>
      <c r="NEE15" s="55"/>
      <c r="NEF15" s="55"/>
      <c r="NEG15" s="55"/>
      <c r="NEH15" s="55"/>
      <c r="NEI15" s="55"/>
      <c r="NEJ15" s="55"/>
      <c r="NEK15" s="55"/>
      <c r="NEL15" s="55"/>
      <c r="NEM15" s="55"/>
      <c r="NEN15" s="55"/>
      <c r="NEO15" s="55"/>
      <c r="NEP15" s="55"/>
      <c r="NEQ15" s="55"/>
      <c r="NER15" s="55"/>
      <c r="NES15" s="55"/>
      <c r="NET15" s="55"/>
      <c r="NEU15" s="55"/>
      <c r="NEV15" s="55"/>
      <c r="NEW15" s="55"/>
      <c r="NEX15" s="55"/>
      <c r="NEY15" s="55"/>
      <c r="NEZ15" s="55"/>
      <c r="NFA15" s="55"/>
      <c r="NFB15" s="55"/>
      <c r="NFC15" s="55"/>
      <c r="NFD15" s="55"/>
      <c r="NFE15" s="55"/>
      <c r="NFF15" s="55"/>
      <c r="NFG15" s="55"/>
      <c r="NFH15" s="55"/>
      <c r="NFI15" s="55"/>
      <c r="NFJ15" s="55"/>
      <c r="NFK15" s="55"/>
      <c r="NFL15" s="55"/>
      <c r="NFM15" s="55"/>
      <c r="NFN15" s="55"/>
      <c r="NFO15" s="55"/>
      <c r="NFP15" s="55"/>
      <c r="NFQ15" s="55"/>
      <c r="NFR15" s="55"/>
      <c r="NFS15" s="55"/>
      <c r="NFT15" s="55"/>
      <c r="NFU15" s="55"/>
      <c r="NFV15" s="55"/>
      <c r="NFW15" s="55"/>
      <c r="NFX15" s="55"/>
      <c r="NFY15" s="55"/>
      <c r="NFZ15" s="55"/>
      <c r="NGA15" s="55"/>
      <c r="NGB15" s="55"/>
      <c r="NGC15" s="55"/>
      <c r="NGD15" s="55"/>
      <c r="NGE15" s="55"/>
      <c r="NGF15" s="55"/>
      <c r="NGG15" s="55"/>
      <c r="NGH15" s="55"/>
      <c r="NGI15" s="55"/>
      <c r="NGJ15" s="55"/>
      <c r="NGK15" s="55"/>
      <c r="NGL15" s="55"/>
      <c r="NGM15" s="55"/>
      <c r="NGN15" s="55"/>
      <c r="NGO15" s="55"/>
      <c r="NGP15" s="55"/>
      <c r="NGQ15" s="55"/>
      <c r="NGR15" s="55"/>
      <c r="NGS15" s="55"/>
      <c r="NGT15" s="55"/>
      <c r="NGU15" s="55"/>
      <c r="NGV15" s="55"/>
      <c r="NGW15" s="55"/>
      <c r="NGX15" s="55"/>
      <c r="NGY15" s="55"/>
      <c r="NGZ15" s="55"/>
      <c r="NHA15" s="55"/>
      <c r="NHB15" s="55"/>
      <c r="NHC15" s="55"/>
      <c r="NHD15" s="55"/>
      <c r="NHE15" s="55"/>
      <c r="NHF15" s="55"/>
      <c r="NHG15" s="55"/>
      <c r="NHH15" s="55"/>
      <c r="NHI15" s="55"/>
      <c r="NHJ15" s="55"/>
      <c r="NHK15" s="55"/>
      <c r="NHL15" s="55"/>
      <c r="NHM15" s="55"/>
      <c r="NHN15" s="55"/>
      <c r="NHO15" s="55"/>
      <c r="NHP15" s="55"/>
      <c r="NHQ15" s="55"/>
      <c r="NHR15" s="55"/>
      <c r="NHS15" s="55"/>
      <c r="NHT15" s="55"/>
      <c r="NHU15" s="55"/>
      <c r="NHV15" s="55"/>
      <c r="NHW15" s="55"/>
      <c r="NHX15" s="55"/>
      <c r="NHY15" s="55"/>
      <c r="NHZ15" s="55"/>
      <c r="NIA15" s="55"/>
      <c r="NIB15" s="55"/>
      <c r="NIC15" s="55"/>
      <c r="NID15" s="55"/>
      <c r="NIE15" s="55"/>
      <c r="NIF15" s="55"/>
      <c r="NIG15" s="55"/>
      <c r="NIH15" s="55"/>
      <c r="NII15" s="55"/>
      <c r="NIJ15" s="55"/>
      <c r="NIK15" s="55"/>
      <c r="NIL15" s="55"/>
      <c r="NIM15" s="55"/>
      <c r="NIN15" s="55"/>
      <c r="NIO15" s="55"/>
      <c r="NIP15" s="55"/>
      <c r="NIQ15" s="55"/>
      <c r="NIR15" s="55"/>
      <c r="NIS15" s="55"/>
      <c r="NIT15" s="55"/>
      <c r="NIU15" s="55"/>
      <c r="NIV15" s="55"/>
      <c r="NIW15" s="55"/>
      <c r="NIX15" s="55"/>
      <c r="NIY15" s="55"/>
      <c r="NIZ15" s="55"/>
      <c r="NJA15" s="55"/>
      <c r="NJB15" s="55"/>
      <c r="NJC15" s="55"/>
      <c r="NJD15" s="55"/>
      <c r="NJE15" s="55"/>
      <c r="NJF15" s="55"/>
      <c r="NJG15" s="55"/>
      <c r="NJH15" s="55"/>
      <c r="NJI15" s="55"/>
      <c r="NJJ15" s="55"/>
      <c r="NJK15" s="55"/>
      <c r="NJL15" s="55"/>
      <c r="NJM15" s="55"/>
      <c r="NJN15" s="55"/>
      <c r="NJO15" s="55"/>
      <c r="NJP15" s="55"/>
      <c r="NJQ15" s="55"/>
      <c r="NJR15" s="55"/>
      <c r="NJS15" s="55"/>
      <c r="NJT15" s="55"/>
      <c r="NJU15" s="55"/>
      <c r="NJV15" s="55"/>
      <c r="NJW15" s="55"/>
      <c r="NJX15" s="55"/>
      <c r="NJY15" s="55"/>
      <c r="NJZ15" s="55"/>
      <c r="NKA15" s="55"/>
      <c r="NKB15" s="55"/>
      <c r="NKC15" s="55"/>
      <c r="NKD15" s="55"/>
      <c r="NKE15" s="55"/>
      <c r="NKF15" s="55"/>
      <c r="NKG15" s="55"/>
      <c r="NKH15" s="55"/>
      <c r="NKI15" s="55"/>
      <c r="NKJ15" s="55"/>
      <c r="NKK15" s="55"/>
      <c r="NKL15" s="55"/>
      <c r="NKM15" s="55"/>
      <c r="NKN15" s="55"/>
      <c r="NKO15" s="55"/>
      <c r="NKP15" s="55"/>
      <c r="NKQ15" s="55"/>
      <c r="NKR15" s="55"/>
      <c r="NKS15" s="55"/>
      <c r="NKT15" s="55"/>
      <c r="NKU15" s="55"/>
      <c r="NKV15" s="55"/>
      <c r="NKW15" s="55"/>
      <c r="NKX15" s="55"/>
      <c r="NKY15" s="55"/>
      <c r="NKZ15" s="55"/>
      <c r="NLA15" s="55"/>
      <c r="NLB15" s="55"/>
      <c r="NLC15" s="55"/>
      <c r="NLD15" s="55"/>
      <c r="NLE15" s="55"/>
      <c r="NLF15" s="55"/>
      <c r="NLG15" s="55"/>
      <c r="NLH15" s="55"/>
      <c r="NLI15" s="55"/>
      <c r="NLJ15" s="55"/>
      <c r="NLK15" s="55"/>
      <c r="NLL15" s="55"/>
      <c r="NLM15" s="55"/>
      <c r="NLN15" s="55"/>
      <c r="NLO15" s="55"/>
      <c r="NLP15" s="55"/>
      <c r="NLQ15" s="55"/>
      <c r="NLR15" s="55"/>
      <c r="NLS15" s="55"/>
      <c r="NLT15" s="55"/>
      <c r="NLU15" s="55"/>
      <c r="NLV15" s="55"/>
      <c r="NLW15" s="55"/>
      <c r="NLX15" s="55"/>
      <c r="NLY15" s="55"/>
      <c r="NLZ15" s="55"/>
      <c r="NMA15" s="55"/>
      <c r="NMB15" s="55"/>
      <c r="NMC15" s="55"/>
      <c r="NMD15" s="55"/>
      <c r="NME15" s="55"/>
      <c r="NMF15" s="55"/>
      <c r="NMG15" s="55"/>
      <c r="NMH15" s="55"/>
      <c r="NMI15" s="55"/>
      <c r="NMJ15" s="55"/>
      <c r="NMK15" s="55"/>
      <c r="NML15" s="55"/>
      <c r="NMM15" s="55"/>
      <c r="NMN15" s="55"/>
      <c r="NMO15" s="55"/>
      <c r="NMP15" s="55"/>
      <c r="NMQ15" s="55"/>
      <c r="NMR15" s="55"/>
      <c r="NMS15" s="55"/>
      <c r="NMT15" s="55"/>
      <c r="NMU15" s="55"/>
      <c r="NMV15" s="55"/>
      <c r="NMW15" s="55"/>
      <c r="NMX15" s="55"/>
      <c r="NMY15" s="55"/>
      <c r="NMZ15" s="55"/>
      <c r="NNA15" s="55"/>
      <c r="NNB15" s="55"/>
      <c r="NNC15" s="55"/>
      <c r="NND15" s="55"/>
      <c r="NNE15" s="55"/>
      <c r="NNF15" s="55"/>
      <c r="NNG15" s="55"/>
      <c r="NNH15" s="55"/>
      <c r="NNI15" s="55"/>
      <c r="NNJ15" s="55"/>
      <c r="NNK15" s="55"/>
      <c r="NNL15" s="55"/>
      <c r="NNM15" s="55"/>
      <c r="NNN15" s="55"/>
      <c r="NNO15" s="55"/>
      <c r="NNP15" s="55"/>
      <c r="NNQ15" s="55"/>
      <c r="NNR15" s="55"/>
      <c r="NNS15" s="55"/>
      <c r="NNT15" s="55"/>
      <c r="NNU15" s="55"/>
      <c r="NNV15" s="55"/>
      <c r="NNW15" s="55"/>
      <c r="NNX15" s="55"/>
      <c r="NNY15" s="55"/>
      <c r="NNZ15" s="55"/>
      <c r="NOA15" s="55"/>
      <c r="NOB15" s="55"/>
      <c r="NOC15" s="55"/>
      <c r="NOD15" s="55"/>
      <c r="NOE15" s="55"/>
      <c r="NOF15" s="55"/>
      <c r="NOG15" s="55"/>
      <c r="NOH15" s="55"/>
      <c r="NOI15" s="55"/>
      <c r="NOJ15" s="55"/>
      <c r="NOK15" s="55"/>
      <c r="NOL15" s="55"/>
      <c r="NOM15" s="55"/>
      <c r="NON15" s="55"/>
      <c r="NOO15" s="55"/>
      <c r="NOP15" s="55"/>
      <c r="NOQ15" s="55"/>
      <c r="NOR15" s="55"/>
      <c r="NOS15" s="55"/>
      <c r="NOT15" s="55"/>
      <c r="NOU15" s="55"/>
      <c r="NOV15" s="55"/>
      <c r="NOW15" s="55"/>
      <c r="NOX15" s="55"/>
      <c r="NOY15" s="55"/>
      <c r="NOZ15" s="55"/>
      <c r="NPA15" s="55"/>
      <c r="NPB15" s="55"/>
      <c r="NPC15" s="55"/>
      <c r="NPD15" s="55"/>
      <c r="NPE15" s="55"/>
      <c r="NPF15" s="55"/>
      <c r="NPG15" s="55"/>
      <c r="NPH15" s="55"/>
      <c r="NPI15" s="55"/>
      <c r="NPJ15" s="55"/>
      <c r="NPK15" s="55"/>
      <c r="NPL15" s="55"/>
      <c r="NPM15" s="55"/>
      <c r="NPN15" s="55"/>
      <c r="NPO15" s="55"/>
      <c r="NPP15" s="55"/>
      <c r="NPQ15" s="55"/>
      <c r="NPR15" s="55"/>
      <c r="NPS15" s="55"/>
      <c r="NPT15" s="55"/>
      <c r="NPU15" s="55"/>
      <c r="NPV15" s="55"/>
      <c r="NPW15" s="55"/>
      <c r="NPX15" s="55"/>
      <c r="NPY15" s="55"/>
      <c r="NPZ15" s="55"/>
      <c r="NQA15" s="55"/>
      <c r="NQB15" s="55"/>
      <c r="NQC15" s="55"/>
      <c r="NQD15" s="55"/>
      <c r="NQE15" s="55"/>
      <c r="NQF15" s="55"/>
      <c r="NQG15" s="55"/>
      <c r="NQH15" s="55"/>
      <c r="NQI15" s="55"/>
      <c r="NQJ15" s="55"/>
      <c r="NQK15" s="55"/>
      <c r="NQL15" s="55"/>
      <c r="NQM15" s="55"/>
      <c r="NQN15" s="55"/>
      <c r="NQO15" s="55"/>
      <c r="NQP15" s="55"/>
      <c r="NQQ15" s="55"/>
      <c r="NQR15" s="55"/>
      <c r="NQS15" s="55"/>
      <c r="NQT15" s="55"/>
      <c r="NQU15" s="55"/>
      <c r="NQV15" s="55"/>
      <c r="NQW15" s="55"/>
      <c r="NQX15" s="55"/>
      <c r="NQY15" s="55"/>
      <c r="NQZ15" s="55"/>
      <c r="NRA15" s="55"/>
      <c r="NRB15" s="55"/>
      <c r="NRC15" s="55"/>
      <c r="NRD15" s="55"/>
      <c r="NRE15" s="55"/>
      <c r="NRF15" s="55"/>
      <c r="NRG15" s="55"/>
      <c r="NRH15" s="55"/>
      <c r="NRI15" s="55"/>
      <c r="NRJ15" s="55"/>
      <c r="NRK15" s="55"/>
      <c r="NRL15" s="55"/>
      <c r="NRM15" s="55"/>
      <c r="NRN15" s="55"/>
      <c r="NRO15" s="55"/>
      <c r="NRP15" s="55"/>
      <c r="NRQ15" s="55"/>
      <c r="NRR15" s="55"/>
      <c r="NRS15" s="55"/>
      <c r="NRT15" s="55"/>
      <c r="NRU15" s="55"/>
      <c r="NRV15" s="55"/>
      <c r="NRW15" s="55"/>
      <c r="NRX15" s="55"/>
      <c r="NRY15" s="55"/>
      <c r="NRZ15" s="55"/>
      <c r="NSA15" s="55"/>
      <c r="NSB15" s="55"/>
      <c r="NSC15" s="55"/>
      <c r="NSD15" s="55"/>
      <c r="NSE15" s="55"/>
      <c r="NSF15" s="55"/>
      <c r="NSG15" s="55"/>
      <c r="NSH15" s="55"/>
      <c r="NSI15" s="55"/>
      <c r="NSJ15" s="55"/>
      <c r="NSK15" s="55"/>
      <c r="NSL15" s="55"/>
      <c r="NSM15" s="55"/>
      <c r="NSN15" s="55"/>
      <c r="NSO15" s="55"/>
      <c r="NSP15" s="55"/>
      <c r="NSQ15" s="55"/>
      <c r="NSR15" s="55"/>
      <c r="NSS15" s="55"/>
      <c r="NST15" s="55"/>
      <c r="NSU15" s="55"/>
      <c r="NSV15" s="55"/>
      <c r="NSW15" s="55"/>
      <c r="NSX15" s="55"/>
      <c r="NSY15" s="55"/>
      <c r="NSZ15" s="55"/>
      <c r="NTA15" s="55"/>
      <c r="NTB15" s="55"/>
      <c r="NTC15" s="55"/>
      <c r="NTD15" s="55"/>
      <c r="NTE15" s="55"/>
      <c r="NTF15" s="55"/>
      <c r="NTG15" s="55"/>
      <c r="NTH15" s="55"/>
      <c r="NTI15" s="55"/>
      <c r="NTJ15" s="55"/>
      <c r="NTK15" s="55"/>
      <c r="NTL15" s="55"/>
      <c r="NTM15" s="55"/>
      <c r="NTN15" s="55"/>
      <c r="NTO15" s="55"/>
      <c r="NTP15" s="55"/>
      <c r="NTQ15" s="55"/>
      <c r="NTR15" s="55"/>
      <c r="NTS15" s="55"/>
      <c r="NTT15" s="55"/>
      <c r="NTU15" s="55"/>
      <c r="NTV15" s="55"/>
      <c r="NTW15" s="55"/>
      <c r="NTX15" s="55"/>
      <c r="NTY15" s="55"/>
      <c r="NTZ15" s="55"/>
      <c r="NUA15" s="55"/>
      <c r="NUB15" s="55"/>
      <c r="NUC15" s="55"/>
      <c r="NUD15" s="55"/>
      <c r="NUE15" s="55"/>
      <c r="NUF15" s="55"/>
      <c r="NUG15" s="55"/>
      <c r="NUH15" s="55"/>
      <c r="NUI15" s="55"/>
      <c r="NUJ15" s="55"/>
      <c r="NUK15" s="55"/>
      <c r="NUL15" s="55"/>
      <c r="NUM15" s="55"/>
      <c r="NUN15" s="55"/>
      <c r="NUO15" s="55"/>
      <c r="NUP15" s="55"/>
      <c r="NUQ15" s="55"/>
      <c r="NUR15" s="55"/>
      <c r="NUS15" s="55"/>
      <c r="NUT15" s="55"/>
      <c r="NUU15" s="55"/>
      <c r="NUV15" s="55"/>
      <c r="NUW15" s="55"/>
      <c r="NUX15" s="55"/>
      <c r="NUY15" s="55"/>
      <c r="NUZ15" s="55"/>
      <c r="NVA15" s="55"/>
      <c r="NVB15" s="55"/>
      <c r="NVC15" s="55"/>
      <c r="NVD15" s="55"/>
      <c r="NVE15" s="55"/>
      <c r="NVF15" s="55"/>
      <c r="NVG15" s="55"/>
      <c r="NVH15" s="55"/>
      <c r="NVI15" s="55"/>
      <c r="NVJ15" s="55"/>
      <c r="NVK15" s="55"/>
      <c r="NVL15" s="55"/>
      <c r="NVM15" s="55"/>
      <c r="NVN15" s="55"/>
      <c r="NVO15" s="55"/>
      <c r="NVP15" s="55"/>
      <c r="NVQ15" s="55"/>
      <c r="NVR15" s="55"/>
      <c r="NVS15" s="55"/>
      <c r="NVT15" s="55"/>
      <c r="NVU15" s="55"/>
      <c r="NVV15" s="55"/>
      <c r="NVW15" s="55"/>
      <c r="NVX15" s="55"/>
      <c r="NVY15" s="55"/>
      <c r="NVZ15" s="55"/>
      <c r="NWA15" s="55"/>
      <c r="NWB15" s="55"/>
      <c r="NWC15" s="55"/>
      <c r="NWD15" s="55"/>
      <c r="NWE15" s="55"/>
      <c r="NWF15" s="55"/>
      <c r="NWG15" s="55"/>
      <c r="NWH15" s="55"/>
      <c r="NWI15" s="55"/>
      <c r="NWJ15" s="55"/>
      <c r="NWK15" s="55"/>
      <c r="NWL15" s="55"/>
      <c r="NWM15" s="55"/>
      <c r="NWN15" s="55"/>
      <c r="NWO15" s="55"/>
      <c r="NWP15" s="55"/>
      <c r="NWQ15" s="55"/>
      <c r="NWR15" s="55"/>
      <c r="NWS15" s="55"/>
      <c r="NWT15" s="55"/>
      <c r="NWU15" s="55"/>
      <c r="NWV15" s="55"/>
      <c r="NWW15" s="55"/>
      <c r="NWX15" s="55"/>
      <c r="NWY15" s="55"/>
      <c r="NWZ15" s="55"/>
      <c r="NXA15" s="55"/>
      <c r="NXB15" s="55"/>
      <c r="NXC15" s="55"/>
      <c r="NXD15" s="55"/>
      <c r="NXE15" s="55"/>
      <c r="NXF15" s="55"/>
      <c r="NXG15" s="55"/>
      <c r="NXH15" s="55"/>
      <c r="NXI15" s="55"/>
      <c r="NXJ15" s="55"/>
      <c r="NXK15" s="55"/>
      <c r="NXL15" s="55"/>
      <c r="NXM15" s="55"/>
      <c r="NXN15" s="55"/>
      <c r="NXO15" s="55"/>
      <c r="NXP15" s="55"/>
      <c r="NXQ15" s="55"/>
      <c r="NXR15" s="55"/>
      <c r="NXS15" s="55"/>
      <c r="NXT15" s="55"/>
      <c r="NXU15" s="55"/>
      <c r="NXV15" s="55"/>
      <c r="NXW15" s="55"/>
      <c r="NXX15" s="55"/>
      <c r="NXY15" s="55"/>
      <c r="NXZ15" s="55"/>
      <c r="NYA15" s="55"/>
      <c r="NYB15" s="55"/>
      <c r="NYC15" s="55"/>
      <c r="NYD15" s="55"/>
      <c r="NYE15" s="55"/>
      <c r="NYF15" s="55"/>
      <c r="NYG15" s="55"/>
      <c r="NYH15" s="55"/>
      <c r="NYI15" s="55"/>
      <c r="NYJ15" s="55"/>
      <c r="NYK15" s="55"/>
      <c r="NYL15" s="55"/>
      <c r="NYM15" s="55"/>
      <c r="NYN15" s="55"/>
      <c r="NYO15" s="55"/>
      <c r="NYP15" s="55"/>
      <c r="NYQ15" s="55"/>
      <c r="NYR15" s="55"/>
      <c r="NYS15" s="55"/>
      <c r="NYT15" s="55"/>
      <c r="NYU15" s="55"/>
      <c r="NYV15" s="55"/>
      <c r="NYW15" s="55"/>
      <c r="NYX15" s="55"/>
      <c r="NYY15" s="55"/>
      <c r="NYZ15" s="55"/>
      <c r="NZA15" s="55"/>
      <c r="NZB15" s="55"/>
      <c r="NZC15" s="55"/>
      <c r="NZD15" s="55"/>
      <c r="NZE15" s="55"/>
      <c r="NZF15" s="55"/>
      <c r="NZG15" s="55"/>
      <c r="NZH15" s="55"/>
      <c r="NZI15" s="55"/>
      <c r="NZJ15" s="55"/>
      <c r="NZK15" s="55"/>
      <c r="NZL15" s="55"/>
      <c r="NZM15" s="55"/>
      <c r="NZN15" s="55"/>
      <c r="NZO15" s="55"/>
      <c r="NZP15" s="55"/>
      <c r="NZQ15" s="55"/>
      <c r="NZR15" s="55"/>
      <c r="NZS15" s="55"/>
      <c r="NZT15" s="55"/>
      <c r="NZU15" s="55"/>
      <c r="NZV15" s="55"/>
      <c r="NZW15" s="55"/>
      <c r="NZX15" s="55"/>
      <c r="NZY15" s="55"/>
      <c r="NZZ15" s="55"/>
      <c r="OAA15" s="55"/>
      <c r="OAB15" s="55"/>
      <c r="OAC15" s="55"/>
      <c r="OAD15" s="55"/>
      <c r="OAE15" s="55"/>
      <c r="OAF15" s="55"/>
      <c r="OAG15" s="55"/>
      <c r="OAH15" s="55"/>
      <c r="OAI15" s="55"/>
      <c r="OAJ15" s="55"/>
      <c r="OAK15" s="55"/>
      <c r="OAL15" s="55"/>
      <c r="OAM15" s="55"/>
      <c r="OAN15" s="55"/>
      <c r="OAO15" s="55"/>
      <c r="OAP15" s="55"/>
      <c r="OAQ15" s="55"/>
      <c r="OAR15" s="55"/>
      <c r="OAS15" s="55"/>
      <c r="OAT15" s="55"/>
      <c r="OAU15" s="55"/>
      <c r="OAV15" s="55"/>
      <c r="OAW15" s="55"/>
      <c r="OAX15" s="55"/>
      <c r="OAY15" s="55"/>
      <c r="OAZ15" s="55"/>
      <c r="OBA15" s="55"/>
      <c r="OBB15" s="55"/>
      <c r="OBC15" s="55"/>
      <c r="OBD15" s="55"/>
      <c r="OBE15" s="55"/>
      <c r="OBF15" s="55"/>
      <c r="OBG15" s="55"/>
      <c r="OBH15" s="55"/>
      <c r="OBI15" s="55"/>
      <c r="OBJ15" s="55"/>
      <c r="OBK15" s="55"/>
      <c r="OBL15" s="55"/>
      <c r="OBM15" s="55"/>
      <c r="OBN15" s="55"/>
      <c r="OBO15" s="55"/>
      <c r="OBP15" s="55"/>
      <c r="OBQ15" s="55"/>
      <c r="OBR15" s="55"/>
      <c r="OBS15" s="55"/>
      <c r="OBT15" s="55"/>
      <c r="OBU15" s="55"/>
      <c r="OBV15" s="55"/>
      <c r="OBW15" s="55"/>
      <c r="OBX15" s="55"/>
      <c r="OBY15" s="55"/>
      <c r="OBZ15" s="55"/>
      <c r="OCA15" s="55"/>
      <c r="OCB15" s="55"/>
      <c r="OCC15" s="55"/>
      <c r="OCD15" s="55"/>
      <c r="OCE15" s="55"/>
      <c r="OCF15" s="55"/>
      <c r="OCG15" s="55"/>
      <c r="OCH15" s="55"/>
      <c r="OCI15" s="55"/>
      <c r="OCJ15" s="55"/>
      <c r="OCK15" s="55"/>
      <c r="OCL15" s="55"/>
      <c r="OCM15" s="55"/>
      <c r="OCN15" s="55"/>
      <c r="OCO15" s="55"/>
      <c r="OCP15" s="55"/>
      <c r="OCQ15" s="55"/>
      <c r="OCR15" s="55"/>
      <c r="OCS15" s="55"/>
      <c r="OCT15" s="55"/>
      <c r="OCU15" s="55"/>
      <c r="OCV15" s="55"/>
      <c r="OCW15" s="55"/>
      <c r="OCX15" s="55"/>
      <c r="OCY15" s="55"/>
      <c r="OCZ15" s="55"/>
      <c r="ODA15" s="55"/>
      <c r="ODB15" s="55"/>
      <c r="ODC15" s="55"/>
      <c r="ODD15" s="55"/>
      <c r="ODE15" s="55"/>
      <c r="ODF15" s="55"/>
      <c r="ODG15" s="55"/>
      <c r="ODH15" s="55"/>
      <c r="ODI15" s="55"/>
      <c r="ODJ15" s="55"/>
      <c r="ODK15" s="55"/>
      <c r="ODL15" s="55"/>
      <c r="ODM15" s="55"/>
      <c r="ODN15" s="55"/>
      <c r="ODO15" s="55"/>
      <c r="ODP15" s="55"/>
      <c r="ODQ15" s="55"/>
      <c r="ODR15" s="55"/>
      <c r="ODS15" s="55"/>
      <c r="ODT15" s="55"/>
      <c r="ODU15" s="55"/>
      <c r="ODV15" s="55"/>
      <c r="ODW15" s="55"/>
      <c r="ODX15" s="55"/>
      <c r="ODY15" s="55"/>
      <c r="ODZ15" s="55"/>
      <c r="OEA15" s="55"/>
      <c r="OEB15" s="55"/>
      <c r="OEC15" s="55"/>
      <c r="OED15" s="55"/>
      <c r="OEE15" s="55"/>
      <c r="OEF15" s="55"/>
      <c r="OEG15" s="55"/>
      <c r="OEH15" s="55"/>
      <c r="OEI15" s="55"/>
      <c r="OEJ15" s="55"/>
      <c r="OEK15" s="55"/>
      <c r="OEL15" s="55"/>
      <c r="OEM15" s="55"/>
      <c r="OEN15" s="55"/>
      <c r="OEO15" s="55"/>
      <c r="OEP15" s="55"/>
      <c r="OEQ15" s="55"/>
      <c r="OER15" s="55"/>
      <c r="OES15" s="55"/>
      <c r="OET15" s="55"/>
      <c r="OEU15" s="55"/>
      <c r="OEV15" s="55"/>
      <c r="OEW15" s="55"/>
      <c r="OEX15" s="55"/>
      <c r="OEY15" s="55"/>
      <c r="OEZ15" s="55"/>
      <c r="OFA15" s="55"/>
      <c r="OFB15" s="55"/>
      <c r="OFC15" s="55"/>
      <c r="OFD15" s="55"/>
      <c r="OFE15" s="55"/>
      <c r="OFF15" s="55"/>
      <c r="OFG15" s="55"/>
      <c r="OFH15" s="55"/>
      <c r="OFI15" s="55"/>
      <c r="OFJ15" s="55"/>
      <c r="OFK15" s="55"/>
      <c r="OFL15" s="55"/>
      <c r="OFM15" s="55"/>
      <c r="OFN15" s="55"/>
      <c r="OFO15" s="55"/>
      <c r="OFP15" s="55"/>
      <c r="OFQ15" s="55"/>
      <c r="OFR15" s="55"/>
      <c r="OFS15" s="55"/>
      <c r="OFT15" s="55"/>
      <c r="OFU15" s="55"/>
      <c r="OFV15" s="55"/>
      <c r="OFW15" s="55"/>
      <c r="OFX15" s="55"/>
      <c r="OFY15" s="55"/>
      <c r="OFZ15" s="55"/>
      <c r="OGA15" s="55"/>
      <c r="OGB15" s="55"/>
      <c r="OGC15" s="55"/>
      <c r="OGD15" s="55"/>
      <c r="OGE15" s="55"/>
      <c r="OGF15" s="55"/>
      <c r="OGG15" s="55"/>
      <c r="OGH15" s="55"/>
      <c r="OGI15" s="55"/>
      <c r="OGJ15" s="55"/>
      <c r="OGK15" s="55"/>
      <c r="OGL15" s="55"/>
      <c r="OGM15" s="55"/>
      <c r="OGN15" s="55"/>
      <c r="OGO15" s="55"/>
      <c r="OGP15" s="55"/>
      <c r="OGQ15" s="55"/>
      <c r="OGR15" s="55"/>
      <c r="OGS15" s="55"/>
      <c r="OGT15" s="55"/>
      <c r="OGU15" s="55"/>
      <c r="OGV15" s="55"/>
      <c r="OGW15" s="55"/>
      <c r="OGX15" s="55"/>
      <c r="OGY15" s="55"/>
      <c r="OGZ15" s="55"/>
      <c r="OHA15" s="55"/>
      <c r="OHB15" s="55"/>
      <c r="OHC15" s="55"/>
      <c r="OHD15" s="55"/>
      <c r="OHE15" s="55"/>
      <c r="OHF15" s="55"/>
      <c r="OHG15" s="55"/>
      <c r="OHH15" s="55"/>
      <c r="OHI15" s="55"/>
      <c r="OHJ15" s="55"/>
      <c r="OHK15" s="55"/>
      <c r="OHL15" s="55"/>
      <c r="OHM15" s="55"/>
      <c r="OHN15" s="55"/>
      <c r="OHO15" s="55"/>
      <c r="OHP15" s="55"/>
      <c r="OHQ15" s="55"/>
      <c r="OHR15" s="55"/>
      <c r="OHS15" s="55"/>
      <c r="OHT15" s="55"/>
      <c r="OHU15" s="55"/>
      <c r="OHV15" s="55"/>
      <c r="OHW15" s="55"/>
      <c r="OHX15" s="55"/>
      <c r="OHY15" s="55"/>
      <c r="OHZ15" s="55"/>
      <c r="OIA15" s="55"/>
      <c r="OIB15" s="55"/>
      <c r="OIC15" s="55"/>
      <c r="OID15" s="55"/>
      <c r="OIE15" s="55"/>
      <c r="OIF15" s="55"/>
      <c r="OIG15" s="55"/>
      <c r="OIH15" s="55"/>
      <c r="OII15" s="55"/>
      <c r="OIJ15" s="55"/>
      <c r="OIK15" s="55"/>
      <c r="OIL15" s="55"/>
      <c r="OIM15" s="55"/>
      <c r="OIN15" s="55"/>
      <c r="OIO15" s="55"/>
      <c r="OIP15" s="55"/>
      <c r="OIQ15" s="55"/>
      <c r="OIR15" s="55"/>
      <c r="OIS15" s="55"/>
      <c r="OIT15" s="55"/>
      <c r="OIU15" s="55"/>
      <c r="OIV15" s="55"/>
      <c r="OIW15" s="55"/>
      <c r="OIX15" s="55"/>
      <c r="OIY15" s="55"/>
      <c r="OIZ15" s="55"/>
      <c r="OJA15" s="55"/>
      <c r="OJB15" s="55"/>
      <c r="OJC15" s="55"/>
      <c r="OJD15" s="55"/>
      <c r="OJE15" s="55"/>
      <c r="OJF15" s="55"/>
      <c r="OJG15" s="55"/>
      <c r="OJH15" s="55"/>
      <c r="OJI15" s="55"/>
      <c r="OJJ15" s="55"/>
      <c r="OJK15" s="55"/>
      <c r="OJL15" s="55"/>
      <c r="OJM15" s="55"/>
      <c r="OJN15" s="55"/>
      <c r="OJO15" s="55"/>
      <c r="OJP15" s="55"/>
      <c r="OJQ15" s="55"/>
      <c r="OJR15" s="55"/>
      <c r="OJS15" s="55"/>
      <c r="OJT15" s="55"/>
      <c r="OJU15" s="55"/>
      <c r="OJV15" s="55"/>
      <c r="OJW15" s="55"/>
      <c r="OJX15" s="55"/>
      <c r="OJY15" s="55"/>
      <c r="OJZ15" s="55"/>
      <c r="OKA15" s="55"/>
      <c r="OKB15" s="55"/>
      <c r="OKC15" s="55"/>
      <c r="OKD15" s="55"/>
      <c r="OKE15" s="55"/>
      <c r="OKF15" s="55"/>
      <c r="OKG15" s="55"/>
      <c r="OKH15" s="55"/>
      <c r="OKI15" s="55"/>
      <c r="OKJ15" s="55"/>
      <c r="OKK15" s="55"/>
      <c r="OKL15" s="55"/>
      <c r="OKM15" s="55"/>
      <c r="OKN15" s="55"/>
      <c r="OKO15" s="55"/>
      <c r="OKP15" s="55"/>
      <c r="OKQ15" s="55"/>
      <c r="OKR15" s="55"/>
      <c r="OKS15" s="55"/>
      <c r="OKT15" s="55"/>
      <c r="OKU15" s="55"/>
      <c r="OKV15" s="55"/>
      <c r="OKW15" s="55"/>
      <c r="OKX15" s="55"/>
      <c r="OKY15" s="55"/>
      <c r="OKZ15" s="55"/>
      <c r="OLA15" s="55"/>
      <c r="OLB15" s="55"/>
      <c r="OLC15" s="55"/>
      <c r="OLD15" s="55"/>
      <c r="OLE15" s="55"/>
      <c r="OLF15" s="55"/>
      <c r="OLG15" s="55"/>
      <c r="OLH15" s="55"/>
      <c r="OLI15" s="55"/>
      <c r="OLJ15" s="55"/>
      <c r="OLK15" s="55"/>
      <c r="OLL15" s="55"/>
      <c r="OLM15" s="55"/>
      <c r="OLN15" s="55"/>
      <c r="OLO15" s="55"/>
      <c r="OLP15" s="55"/>
      <c r="OLQ15" s="55"/>
      <c r="OLR15" s="55"/>
      <c r="OLS15" s="55"/>
      <c r="OLT15" s="55"/>
      <c r="OLU15" s="55"/>
      <c r="OLV15" s="55"/>
      <c r="OLW15" s="55"/>
      <c r="OLX15" s="55"/>
      <c r="OLY15" s="55"/>
      <c r="OLZ15" s="55"/>
      <c r="OMA15" s="55"/>
      <c r="OMB15" s="55"/>
      <c r="OMC15" s="55"/>
      <c r="OMD15" s="55"/>
      <c r="OME15" s="55"/>
      <c r="OMF15" s="55"/>
      <c r="OMG15" s="55"/>
      <c r="OMH15" s="55"/>
      <c r="OMI15" s="55"/>
      <c r="OMJ15" s="55"/>
      <c r="OMK15" s="55"/>
      <c r="OML15" s="55"/>
      <c r="OMM15" s="55"/>
      <c r="OMN15" s="55"/>
      <c r="OMO15" s="55"/>
      <c r="OMP15" s="55"/>
      <c r="OMQ15" s="55"/>
      <c r="OMR15" s="55"/>
      <c r="OMS15" s="55"/>
      <c r="OMT15" s="55"/>
      <c r="OMU15" s="55"/>
      <c r="OMV15" s="55"/>
      <c r="OMW15" s="55"/>
      <c r="OMX15" s="55"/>
      <c r="OMY15" s="55"/>
      <c r="OMZ15" s="55"/>
      <c r="ONA15" s="55"/>
      <c r="ONB15" s="55"/>
      <c r="ONC15" s="55"/>
      <c r="OND15" s="55"/>
      <c r="ONE15" s="55"/>
      <c r="ONF15" s="55"/>
      <c r="ONG15" s="55"/>
      <c r="ONH15" s="55"/>
      <c r="ONI15" s="55"/>
      <c r="ONJ15" s="55"/>
      <c r="ONK15" s="55"/>
      <c r="ONL15" s="55"/>
      <c r="ONM15" s="55"/>
      <c r="ONN15" s="55"/>
      <c r="ONO15" s="55"/>
      <c r="ONP15" s="55"/>
      <c r="ONQ15" s="55"/>
      <c r="ONR15" s="55"/>
      <c r="ONS15" s="55"/>
      <c r="ONT15" s="55"/>
      <c r="ONU15" s="55"/>
      <c r="ONV15" s="55"/>
      <c r="ONW15" s="55"/>
      <c r="ONX15" s="55"/>
      <c r="ONY15" s="55"/>
      <c r="ONZ15" s="55"/>
      <c r="OOA15" s="55"/>
      <c r="OOB15" s="55"/>
      <c r="OOC15" s="55"/>
      <c r="OOD15" s="55"/>
      <c r="OOE15" s="55"/>
      <c r="OOF15" s="55"/>
      <c r="OOG15" s="55"/>
      <c r="OOH15" s="55"/>
      <c r="OOI15" s="55"/>
      <c r="OOJ15" s="55"/>
      <c r="OOK15" s="55"/>
      <c r="OOL15" s="55"/>
      <c r="OOM15" s="55"/>
      <c r="OON15" s="55"/>
      <c r="OOO15" s="55"/>
      <c r="OOP15" s="55"/>
      <c r="OOQ15" s="55"/>
      <c r="OOR15" s="55"/>
      <c r="OOS15" s="55"/>
      <c r="OOT15" s="55"/>
      <c r="OOU15" s="55"/>
      <c r="OOV15" s="55"/>
      <c r="OOW15" s="55"/>
      <c r="OOX15" s="55"/>
      <c r="OOY15" s="55"/>
      <c r="OOZ15" s="55"/>
      <c r="OPA15" s="55"/>
      <c r="OPB15" s="55"/>
      <c r="OPC15" s="55"/>
      <c r="OPD15" s="55"/>
      <c r="OPE15" s="55"/>
      <c r="OPF15" s="55"/>
      <c r="OPG15" s="55"/>
      <c r="OPH15" s="55"/>
      <c r="OPI15" s="55"/>
      <c r="OPJ15" s="55"/>
      <c r="OPK15" s="55"/>
      <c r="OPL15" s="55"/>
      <c r="OPM15" s="55"/>
      <c r="OPN15" s="55"/>
      <c r="OPO15" s="55"/>
      <c r="OPP15" s="55"/>
      <c r="OPQ15" s="55"/>
      <c r="OPR15" s="55"/>
      <c r="OPS15" s="55"/>
      <c r="OPT15" s="55"/>
      <c r="OPU15" s="55"/>
      <c r="OPV15" s="55"/>
      <c r="OPW15" s="55"/>
      <c r="OPX15" s="55"/>
      <c r="OPY15" s="55"/>
      <c r="OPZ15" s="55"/>
      <c r="OQA15" s="55"/>
      <c r="OQB15" s="55"/>
      <c r="OQC15" s="55"/>
      <c r="OQD15" s="55"/>
      <c r="OQE15" s="55"/>
      <c r="OQF15" s="55"/>
      <c r="OQG15" s="55"/>
      <c r="OQH15" s="55"/>
      <c r="OQI15" s="55"/>
      <c r="OQJ15" s="55"/>
      <c r="OQK15" s="55"/>
      <c r="OQL15" s="55"/>
      <c r="OQM15" s="55"/>
      <c r="OQN15" s="55"/>
      <c r="OQO15" s="55"/>
      <c r="OQP15" s="55"/>
      <c r="OQQ15" s="55"/>
      <c r="OQR15" s="55"/>
      <c r="OQS15" s="55"/>
      <c r="OQT15" s="55"/>
      <c r="OQU15" s="55"/>
      <c r="OQV15" s="55"/>
      <c r="OQW15" s="55"/>
      <c r="OQX15" s="55"/>
      <c r="OQY15" s="55"/>
      <c r="OQZ15" s="55"/>
      <c r="ORA15" s="55"/>
      <c r="ORB15" s="55"/>
      <c r="ORC15" s="55"/>
      <c r="ORD15" s="55"/>
      <c r="ORE15" s="55"/>
      <c r="ORF15" s="55"/>
      <c r="ORG15" s="55"/>
      <c r="ORH15" s="55"/>
      <c r="ORI15" s="55"/>
      <c r="ORJ15" s="55"/>
      <c r="ORK15" s="55"/>
      <c r="ORL15" s="55"/>
      <c r="ORM15" s="55"/>
      <c r="ORN15" s="55"/>
      <c r="ORO15" s="55"/>
      <c r="ORP15" s="55"/>
      <c r="ORQ15" s="55"/>
      <c r="ORR15" s="55"/>
      <c r="ORS15" s="55"/>
      <c r="ORT15" s="55"/>
      <c r="ORU15" s="55"/>
      <c r="ORV15" s="55"/>
      <c r="ORW15" s="55"/>
      <c r="ORX15" s="55"/>
      <c r="ORY15" s="55"/>
      <c r="ORZ15" s="55"/>
      <c r="OSA15" s="55"/>
      <c r="OSB15" s="55"/>
      <c r="OSC15" s="55"/>
      <c r="OSD15" s="55"/>
      <c r="OSE15" s="55"/>
      <c r="OSF15" s="55"/>
      <c r="OSG15" s="55"/>
      <c r="OSH15" s="55"/>
      <c r="OSI15" s="55"/>
      <c r="OSJ15" s="55"/>
      <c r="OSK15" s="55"/>
      <c r="OSL15" s="55"/>
      <c r="OSM15" s="55"/>
      <c r="OSN15" s="55"/>
      <c r="OSO15" s="55"/>
      <c r="OSP15" s="55"/>
      <c r="OSQ15" s="55"/>
      <c r="OSR15" s="55"/>
      <c r="OSS15" s="55"/>
      <c r="OST15" s="55"/>
      <c r="OSU15" s="55"/>
      <c r="OSV15" s="55"/>
      <c r="OSW15" s="55"/>
      <c r="OSX15" s="55"/>
      <c r="OSY15" s="55"/>
      <c r="OSZ15" s="55"/>
      <c r="OTA15" s="55"/>
      <c r="OTB15" s="55"/>
      <c r="OTC15" s="55"/>
      <c r="OTD15" s="55"/>
      <c r="OTE15" s="55"/>
      <c r="OTF15" s="55"/>
      <c r="OTG15" s="55"/>
      <c r="OTH15" s="55"/>
      <c r="OTI15" s="55"/>
      <c r="OTJ15" s="55"/>
      <c r="OTK15" s="55"/>
      <c r="OTL15" s="55"/>
      <c r="OTM15" s="55"/>
      <c r="OTN15" s="55"/>
      <c r="OTO15" s="55"/>
      <c r="OTP15" s="55"/>
      <c r="OTQ15" s="55"/>
      <c r="OTR15" s="55"/>
      <c r="OTS15" s="55"/>
      <c r="OTT15" s="55"/>
      <c r="OTU15" s="55"/>
      <c r="OTV15" s="55"/>
      <c r="OTW15" s="55"/>
      <c r="OTX15" s="55"/>
      <c r="OTY15" s="55"/>
      <c r="OTZ15" s="55"/>
      <c r="OUA15" s="55"/>
      <c r="OUB15" s="55"/>
      <c r="OUC15" s="55"/>
      <c r="OUD15" s="55"/>
      <c r="OUE15" s="55"/>
      <c r="OUF15" s="55"/>
      <c r="OUG15" s="55"/>
      <c r="OUH15" s="55"/>
      <c r="OUI15" s="55"/>
      <c r="OUJ15" s="55"/>
      <c r="OUK15" s="55"/>
      <c r="OUL15" s="55"/>
      <c r="OUM15" s="55"/>
      <c r="OUN15" s="55"/>
      <c r="OUO15" s="55"/>
      <c r="OUP15" s="55"/>
      <c r="OUQ15" s="55"/>
      <c r="OUR15" s="55"/>
      <c r="OUS15" s="55"/>
      <c r="OUT15" s="55"/>
      <c r="OUU15" s="55"/>
      <c r="OUV15" s="55"/>
      <c r="OUW15" s="55"/>
      <c r="OUX15" s="55"/>
      <c r="OUY15" s="55"/>
      <c r="OUZ15" s="55"/>
      <c r="OVA15" s="55"/>
      <c r="OVB15" s="55"/>
      <c r="OVC15" s="55"/>
      <c r="OVD15" s="55"/>
      <c r="OVE15" s="55"/>
      <c r="OVF15" s="55"/>
      <c r="OVG15" s="55"/>
      <c r="OVH15" s="55"/>
      <c r="OVI15" s="55"/>
      <c r="OVJ15" s="55"/>
      <c r="OVK15" s="55"/>
      <c r="OVL15" s="55"/>
      <c r="OVM15" s="55"/>
      <c r="OVN15" s="55"/>
      <c r="OVO15" s="55"/>
      <c r="OVP15" s="55"/>
      <c r="OVQ15" s="55"/>
      <c r="OVR15" s="55"/>
      <c r="OVS15" s="55"/>
      <c r="OVT15" s="55"/>
      <c r="OVU15" s="55"/>
      <c r="OVV15" s="55"/>
      <c r="OVW15" s="55"/>
      <c r="OVX15" s="55"/>
      <c r="OVY15" s="55"/>
      <c r="OVZ15" s="55"/>
      <c r="OWA15" s="55"/>
      <c r="OWB15" s="55"/>
      <c r="OWC15" s="55"/>
      <c r="OWD15" s="55"/>
      <c r="OWE15" s="55"/>
      <c r="OWF15" s="55"/>
      <c r="OWG15" s="55"/>
      <c r="OWH15" s="55"/>
      <c r="OWI15" s="55"/>
      <c r="OWJ15" s="55"/>
      <c r="OWK15" s="55"/>
      <c r="OWL15" s="55"/>
      <c r="OWM15" s="55"/>
      <c r="OWN15" s="55"/>
      <c r="OWO15" s="55"/>
      <c r="OWP15" s="55"/>
      <c r="OWQ15" s="55"/>
      <c r="OWR15" s="55"/>
      <c r="OWS15" s="55"/>
      <c r="OWT15" s="55"/>
      <c r="OWU15" s="55"/>
      <c r="OWV15" s="55"/>
      <c r="OWW15" s="55"/>
      <c r="OWX15" s="55"/>
      <c r="OWY15" s="55"/>
      <c r="OWZ15" s="55"/>
      <c r="OXA15" s="55"/>
      <c r="OXB15" s="55"/>
      <c r="OXC15" s="55"/>
      <c r="OXD15" s="55"/>
      <c r="OXE15" s="55"/>
      <c r="OXF15" s="55"/>
      <c r="OXG15" s="55"/>
      <c r="OXH15" s="55"/>
      <c r="OXI15" s="55"/>
      <c r="OXJ15" s="55"/>
      <c r="OXK15" s="55"/>
      <c r="OXL15" s="55"/>
      <c r="OXM15" s="55"/>
      <c r="OXN15" s="55"/>
      <c r="OXO15" s="55"/>
      <c r="OXP15" s="55"/>
      <c r="OXQ15" s="55"/>
      <c r="OXR15" s="55"/>
      <c r="OXS15" s="55"/>
      <c r="OXT15" s="55"/>
      <c r="OXU15" s="55"/>
      <c r="OXV15" s="55"/>
      <c r="OXW15" s="55"/>
      <c r="OXX15" s="55"/>
      <c r="OXY15" s="55"/>
      <c r="OXZ15" s="55"/>
      <c r="OYA15" s="55"/>
      <c r="OYB15" s="55"/>
      <c r="OYC15" s="55"/>
      <c r="OYD15" s="55"/>
      <c r="OYE15" s="55"/>
      <c r="OYF15" s="55"/>
      <c r="OYG15" s="55"/>
      <c r="OYH15" s="55"/>
      <c r="OYI15" s="55"/>
      <c r="OYJ15" s="55"/>
      <c r="OYK15" s="55"/>
      <c r="OYL15" s="55"/>
      <c r="OYM15" s="55"/>
      <c r="OYN15" s="55"/>
      <c r="OYO15" s="55"/>
      <c r="OYP15" s="55"/>
      <c r="OYQ15" s="55"/>
      <c r="OYR15" s="55"/>
      <c r="OYS15" s="55"/>
      <c r="OYT15" s="55"/>
      <c r="OYU15" s="55"/>
      <c r="OYV15" s="55"/>
      <c r="OYW15" s="55"/>
      <c r="OYX15" s="55"/>
      <c r="OYY15" s="55"/>
      <c r="OYZ15" s="55"/>
      <c r="OZA15" s="55"/>
      <c r="OZB15" s="55"/>
      <c r="OZC15" s="55"/>
      <c r="OZD15" s="55"/>
      <c r="OZE15" s="55"/>
      <c r="OZF15" s="55"/>
      <c r="OZG15" s="55"/>
      <c r="OZH15" s="55"/>
      <c r="OZI15" s="55"/>
      <c r="OZJ15" s="55"/>
      <c r="OZK15" s="55"/>
      <c r="OZL15" s="55"/>
      <c r="OZM15" s="55"/>
      <c r="OZN15" s="55"/>
      <c r="OZO15" s="55"/>
      <c r="OZP15" s="55"/>
      <c r="OZQ15" s="55"/>
      <c r="OZR15" s="55"/>
      <c r="OZS15" s="55"/>
      <c r="OZT15" s="55"/>
      <c r="OZU15" s="55"/>
      <c r="OZV15" s="55"/>
      <c r="OZW15" s="55"/>
      <c r="OZX15" s="55"/>
      <c r="OZY15" s="55"/>
      <c r="OZZ15" s="55"/>
      <c r="PAA15" s="55"/>
      <c r="PAB15" s="55"/>
      <c r="PAC15" s="55"/>
      <c r="PAD15" s="55"/>
      <c r="PAE15" s="55"/>
      <c r="PAF15" s="55"/>
      <c r="PAG15" s="55"/>
      <c r="PAH15" s="55"/>
      <c r="PAI15" s="55"/>
      <c r="PAJ15" s="55"/>
      <c r="PAK15" s="55"/>
      <c r="PAL15" s="55"/>
      <c r="PAM15" s="55"/>
      <c r="PAN15" s="55"/>
      <c r="PAO15" s="55"/>
      <c r="PAP15" s="55"/>
      <c r="PAQ15" s="55"/>
      <c r="PAR15" s="55"/>
      <c r="PAS15" s="55"/>
      <c r="PAT15" s="55"/>
      <c r="PAU15" s="55"/>
      <c r="PAV15" s="55"/>
      <c r="PAW15" s="55"/>
      <c r="PAX15" s="55"/>
      <c r="PAY15" s="55"/>
      <c r="PAZ15" s="55"/>
      <c r="PBA15" s="55"/>
      <c r="PBB15" s="55"/>
      <c r="PBC15" s="55"/>
      <c r="PBD15" s="55"/>
      <c r="PBE15" s="55"/>
      <c r="PBF15" s="55"/>
      <c r="PBG15" s="55"/>
      <c r="PBH15" s="55"/>
      <c r="PBI15" s="55"/>
      <c r="PBJ15" s="55"/>
      <c r="PBK15" s="55"/>
      <c r="PBL15" s="55"/>
      <c r="PBM15" s="55"/>
      <c r="PBN15" s="55"/>
      <c r="PBO15" s="55"/>
      <c r="PBP15" s="55"/>
      <c r="PBQ15" s="55"/>
      <c r="PBR15" s="55"/>
      <c r="PBS15" s="55"/>
      <c r="PBT15" s="55"/>
      <c r="PBU15" s="55"/>
      <c r="PBV15" s="55"/>
      <c r="PBW15" s="55"/>
      <c r="PBX15" s="55"/>
      <c r="PBY15" s="55"/>
      <c r="PBZ15" s="55"/>
      <c r="PCA15" s="55"/>
      <c r="PCB15" s="55"/>
      <c r="PCC15" s="55"/>
      <c r="PCD15" s="55"/>
      <c r="PCE15" s="55"/>
      <c r="PCF15" s="55"/>
      <c r="PCG15" s="55"/>
      <c r="PCH15" s="55"/>
      <c r="PCI15" s="55"/>
      <c r="PCJ15" s="55"/>
      <c r="PCK15" s="55"/>
      <c r="PCL15" s="55"/>
      <c r="PCM15" s="55"/>
      <c r="PCN15" s="55"/>
      <c r="PCO15" s="55"/>
      <c r="PCP15" s="55"/>
      <c r="PCQ15" s="55"/>
      <c r="PCR15" s="55"/>
      <c r="PCS15" s="55"/>
      <c r="PCT15" s="55"/>
      <c r="PCU15" s="55"/>
      <c r="PCV15" s="55"/>
      <c r="PCW15" s="55"/>
      <c r="PCX15" s="55"/>
      <c r="PCY15" s="55"/>
      <c r="PCZ15" s="55"/>
      <c r="PDA15" s="55"/>
      <c r="PDB15" s="55"/>
      <c r="PDC15" s="55"/>
      <c r="PDD15" s="55"/>
      <c r="PDE15" s="55"/>
      <c r="PDF15" s="55"/>
      <c r="PDG15" s="55"/>
      <c r="PDH15" s="55"/>
      <c r="PDI15" s="55"/>
      <c r="PDJ15" s="55"/>
      <c r="PDK15" s="55"/>
      <c r="PDL15" s="55"/>
      <c r="PDM15" s="55"/>
      <c r="PDN15" s="55"/>
      <c r="PDO15" s="55"/>
      <c r="PDP15" s="55"/>
      <c r="PDQ15" s="55"/>
      <c r="PDR15" s="55"/>
      <c r="PDS15" s="55"/>
      <c r="PDT15" s="55"/>
      <c r="PDU15" s="55"/>
      <c r="PDV15" s="55"/>
      <c r="PDW15" s="55"/>
      <c r="PDX15" s="55"/>
      <c r="PDY15" s="55"/>
      <c r="PDZ15" s="55"/>
      <c r="PEA15" s="55"/>
      <c r="PEB15" s="55"/>
      <c r="PEC15" s="55"/>
      <c r="PED15" s="55"/>
      <c r="PEE15" s="55"/>
      <c r="PEF15" s="55"/>
      <c r="PEG15" s="55"/>
      <c r="PEH15" s="55"/>
      <c r="PEI15" s="55"/>
      <c r="PEJ15" s="55"/>
      <c r="PEK15" s="55"/>
      <c r="PEL15" s="55"/>
      <c r="PEM15" s="55"/>
      <c r="PEN15" s="55"/>
      <c r="PEO15" s="55"/>
      <c r="PEP15" s="55"/>
      <c r="PEQ15" s="55"/>
      <c r="PER15" s="55"/>
      <c r="PES15" s="55"/>
      <c r="PET15" s="55"/>
      <c r="PEU15" s="55"/>
      <c r="PEV15" s="55"/>
      <c r="PEW15" s="55"/>
      <c r="PEX15" s="55"/>
      <c r="PEY15" s="55"/>
      <c r="PEZ15" s="55"/>
      <c r="PFA15" s="55"/>
      <c r="PFB15" s="55"/>
      <c r="PFC15" s="55"/>
      <c r="PFD15" s="55"/>
      <c r="PFE15" s="55"/>
      <c r="PFF15" s="55"/>
      <c r="PFG15" s="55"/>
      <c r="PFH15" s="55"/>
      <c r="PFI15" s="55"/>
      <c r="PFJ15" s="55"/>
      <c r="PFK15" s="55"/>
      <c r="PFL15" s="55"/>
      <c r="PFM15" s="55"/>
      <c r="PFN15" s="55"/>
      <c r="PFO15" s="55"/>
      <c r="PFP15" s="55"/>
      <c r="PFQ15" s="55"/>
      <c r="PFR15" s="55"/>
      <c r="PFS15" s="55"/>
      <c r="PFT15" s="55"/>
      <c r="PFU15" s="55"/>
      <c r="PFV15" s="55"/>
      <c r="PFW15" s="55"/>
      <c r="PFX15" s="55"/>
      <c r="PFY15" s="55"/>
      <c r="PFZ15" s="55"/>
      <c r="PGA15" s="55"/>
      <c r="PGB15" s="55"/>
      <c r="PGC15" s="55"/>
      <c r="PGD15" s="55"/>
      <c r="PGE15" s="55"/>
      <c r="PGF15" s="55"/>
      <c r="PGG15" s="55"/>
      <c r="PGH15" s="55"/>
      <c r="PGI15" s="55"/>
      <c r="PGJ15" s="55"/>
      <c r="PGK15" s="55"/>
      <c r="PGL15" s="55"/>
      <c r="PGM15" s="55"/>
      <c r="PGN15" s="55"/>
      <c r="PGO15" s="55"/>
      <c r="PGP15" s="55"/>
      <c r="PGQ15" s="55"/>
      <c r="PGR15" s="55"/>
      <c r="PGS15" s="55"/>
      <c r="PGT15" s="55"/>
      <c r="PGU15" s="55"/>
      <c r="PGV15" s="55"/>
      <c r="PGW15" s="55"/>
      <c r="PGX15" s="55"/>
      <c r="PGY15" s="55"/>
      <c r="PGZ15" s="55"/>
      <c r="PHA15" s="55"/>
      <c r="PHB15" s="55"/>
      <c r="PHC15" s="55"/>
      <c r="PHD15" s="55"/>
      <c r="PHE15" s="55"/>
      <c r="PHF15" s="55"/>
      <c r="PHG15" s="55"/>
      <c r="PHH15" s="55"/>
      <c r="PHI15" s="55"/>
      <c r="PHJ15" s="55"/>
      <c r="PHK15" s="55"/>
      <c r="PHL15" s="55"/>
      <c r="PHM15" s="55"/>
      <c r="PHN15" s="55"/>
      <c r="PHO15" s="55"/>
      <c r="PHP15" s="55"/>
      <c r="PHQ15" s="55"/>
      <c r="PHR15" s="55"/>
      <c r="PHS15" s="55"/>
      <c r="PHT15" s="55"/>
      <c r="PHU15" s="55"/>
      <c r="PHV15" s="55"/>
      <c r="PHW15" s="55"/>
      <c r="PHX15" s="55"/>
      <c r="PHY15" s="55"/>
      <c r="PHZ15" s="55"/>
      <c r="PIA15" s="55"/>
      <c r="PIB15" s="55"/>
      <c r="PIC15" s="55"/>
      <c r="PID15" s="55"/>
      <c r="PIE15" s="55"/>
      <c r="PIF15" s="55"/>
      <c r="PIG15" s="55"/>
      <c r="PIH15" s="55"/>
      <c r="PII15" s="55"/>
      <c r="PIJ15" s="55"/>
      <c r="PIK15" s="55"/>
      <c r="PIL15" s="55"/>
      <c r="PIM15" s="55"/>
      <c r="PIN15" s="55"/>
      <c r="PIO15" s="55"/>
      <c r="PIP15" s="55"/>
      <c r="PIQ15" s="55"/>
      <c r="PIR15" s="55"/>
      <c r="PIS15" s="55"/>
      <c r="PIT15" s="55"/>
      <c r="PIU15" s="55"/>
      <c r="PIV15" s="55"/>
      <c r="PIW15" s="55"/>
      <c r="PIX15" s="55"/>
      <c r="PIY15" s="55"/>
      <c r="PIZ15" s="55"/>
      <c r="PJA15" s="55"/>
      <c r="PJB15" s="55"/>
      <c r="PJC15" s="55"/>
      <c r="PJD15" s="55"/>
      <c r="PJE15" s="55"/>
      <c r="PJF15" s="55"/>
      <c r="PJG15" s="55"/>
      <c r="PJH15" s="55"/>
      <c r="PJI15" s="55"/>
      <c r="PJJ15" s="55"/>
      <c r="PJK15" s="55"/>
      <c r="PJL15" s="55"/>
      <c r="PJM15" s="55"/>
      <c r="PJN15" s="55"/>
      <c r="PJO15" s="55"/>
      <c r="PJP15" s="55"/>
      <c r="PJQ15" s="55"/>
      <c r="PJR15" s="55"/>
      <c r="PJS15" s="55"/>
      <c r="PJT15" s="55"/>
      <c r="PJU15" s="55"/>
      <c r="PJV15" s="55"/>
      <c r="PJW15" s="55"/>
      <c r="PJX15" s="55"/>
      <c r="PJY15" s="55"/>
      <c r="PJZ15" s="55"/>
      <c r="PKA15" s="55"/>
      <c r="PKB15" s="55"/>
      <c r="PKC15" s="55"/>
      <c r="PKD15" s="55"/>
      <c r="PKE15" s="55"/>
      <c r="PKF15" s="55"/>
      <c r="PKG15" s="55"/>
      <c r="PKH15" s="55"/>
      <c r="PKI15" s="55"/>
      <c r="PKJ15" s="55"/>
      <c r="PKK15" s="55"/>
      <c r="PKL15" s="55"/>
      <c r="PKM15" s="55"/>
      <c r="PKN15" s="55"/>
      <c r="PKO15" s="55"/>
      <c r="PKP15" s="55"/>
      <c r="PKQ15" s="55"/>
      <c r="PKR15" s="55"/>
      <c r="PKS15" s="55"/>
      <c r="PKT15" s="55"/>
      <c r="PKU15" s="55"/>
      <c r="PKV15" s="55"/>
      <c r="PKW15" s="55"/>
      <c r="PKX15" s="55"/>
      <c r="PKY15" s="55"/>
      <c r="PKZ15" s="55"/>
      <c r="PLA15" s="55"/>
      <c r="PLB15" s="55"/>
      <c r="PLC15" s="55"/>
      <c r="PLD15" s="55"/>
      <c r="PLE15" s="55"/>
      <c r="PLF15" s="55"/>
      <c r="PLG15" s="55"/>
      <c r="PLH15" s="55"/>
      <c r="PLI15" s="55"/>
      <c r="PLJ15" s="55"/>
      <c r="PLK15" s="55"/>
      <c r="PLL15" s="55"/>
      <c r="PLM15" s="55"/>
      <c r="PLN15" s="55"/>
      <c r="PLO15" s="55"/>
      <c r="PLP15" s="55"/>
      <c r="PLQ15" s="55"/>
      <c r="PLR15" s="55"/>
      <c r="PLS15" s="55"/>
      <c r="PLT15" s="55"/>
      <c r="PLU15" s="55"/>
      <c r="PLV15" s="55"/>
      <c r="PLW15" s="55"/>
      <c r="PLX15" s="55"/>
      <c r="PLY15" s="55"/>
      <c r="PLZ15" s="55"/>
      <c r="PMA15" s="55"/>
      <c r="PMB15" s="55"/>
      <c r="PMC15" s="55"/>
      <c r="PMD15" s="55"/>
      <c r="PME15" s="55"/>
      <c r="PMF15" s="55"/>
      <c r="PMG15" s="55"/>
      <c r="PMH15" s="55"/>
      <c r="PMI15" s="55"/>
      <c r="PMJ15" s="55"/>
      <c r="PMK15" s="55"/>
      <c r="PML15" s="55"/>
      <c r="PMM15" s="55"/>
      <c r="PMN15" s="55"/>
      <c r="PMO15" s="55"/>
      <c r="PMP15" s="55"/>
      <c r="PMQ15" s="55"/>
      <c r="PMR15" s="55"/>
      <c r="PMS15" s="55"/>
      <c r="PMT15" s="55"/>
      <c r="PMU15" s="55"/>
      <c r="PMV15" s="55"/>
      <c r="PMW15" s="55"/>
      <c r="PMX15" s="55"/>
      <c r="PMY15" s="55"/>
      <c r="PMZ15" s="55"/>
      <c r="PNA15" s="55"/>
      <c r="PNB15" s="55"/>
      <c r="PNC15" s="55"/>
      <c r="PND15" s="55"/>
      <c r="PNE15" s="55"/>
      <c r="PNF15" s="55"/>
      <c r="PNG15" s="55"/>
      <c r="PNH15" s="55"/>
      <c r="PNI15" s="55"/>
      <c r="PNJ15" s="55"/>
      <c r="PNK15" s="55"/>
      <c r="PNL15" s="55"/>
      <c r="PNM15" s="55"/>
      <c r="PNN15" s="55"/>
      <c r="PNO15" s="55"/>
      <c r="PNP15" s="55"/>
      <c r="PNQ15" s="55"/>
      <c r="PNR15" s="55"/>
      <c r="PNS15" s="55"/>
      <c r="PNT15" s="55"/>
      <c r="PNU15" s="55"/>
      <c r="PNV15" s="55"/>
      <c r="PNW15" s="55"/>
      <c r="PNX15" s="55"/>
      <c r="PNY15" s="55"/>
      <c r="PNZ15" s="55"/>
      <c r="POA15" s="55"/>
      <c r="POB15" s="55"/>
      <c r="POC15" s="55"/>
      <c r="POD15" s="55"/>
      <c r="POE15" s="55"/>
      <c r="POF15" s="55"/>
      <c r="POG15" s="55"/>
      <c r="POH15" s="55"/>
      <c r="POI15" s="55"/>
      <c r="POJ15" s="55"/>
      <c r="POK15" s="55"/>
      <c r="POL15" s="55"/>
      <c r="POM15" s="55"/>
      <c r="PON15" s="55"/>
      <c r="POO15" s="55"/>
      <c r="POP15" s="55"/>
      <c r="POQ15" s="55"/>
      <c r="POR15" s="55"/>
      <c r="POS15" s="55"/>
      <c r="POT15" s="55"/>
      <c r="POU15" s="55"/>
      <c r="POV15" s="55"/>
      <c r="POW15" s="55"/>
      <c r="POX15" s="55"/>
      <c r="POY15" s="55"/>
      <c r="POZ15" s="55"/>
      <c r="PPA15" s="55"/>
      <c r="PPB15" s="55"/>
      <c r="PPC15" s="55"/>
      <c r="PPD15" s="55"/>
      <c r="PPE15" s="55"/>
      <c r="PPF15" s="55"/>
      <c r="PPG15" s="55"/>
      <c r="PPH15" s="55"/>
      <c r="PPI15" s="55"/>
      <c r="PPJ15" s="55"/>
      <c r="PPK15" s="55"/>
      <c r="PPL15" s="55"/>
      <c r="PPM15" s="55"/>
      <c r="PPN15" s="55"/>
      <c r="PPO15" s="55"/>
      <c r="PPP15" s="55"/>
      <c r="PPQ15" s="55"/>
      <c r="PPR15" s="55"/>
      <c r="PPS15" s="55"/>
      <c r="PPT15" s="55"/>
      <c r="PPU15" s="55"/>
      <c r="PPV15" s="55"/>
      <c r="PPW15" s="55"/>
      <c r="PPX15" s="55"/>
      <c r="PPY15" s="55"/>
      <c r="PPZ15" s="55"/>
      <c r="PQA15" s="55"/>
      <c r="PQB15" s="55"/>
      <c r="PQC15" s="55"/>
      <c r="PQD15" s="55"/>
      <c r="PQE15" s="55"/>
      <c r="PQF15" s="55"/>
      <c r="PQG15" s="55"/>
      <c r="PQH15" s="55"/>
      <c r="PQI15" s="55"/>
      <c r="PQJ15" s="55"/>
      <c r="PQK15" s="55"/>
      <c r="PQL15" s="55"/>
      <c r="PQM15" s="55"/>
      <c r="PQN15" s="55"/>
      <c r="PQO15" s="55"/>
      <c r="PQP15" s="55"/>
      <c r="PQQ15" s="55"/>
      <c r="PQR15" s="55"/>
      <c r="PQS15" s="55"/>
      <c r="PQT15" s="55"/>
      <c r="PQU15" s="55"/>
      <c r="PQV15" s="55"/>
      <c r="PQW15" s="55"/>
      <c r="PQX15" s="55"/>
      <c r="PQY15" s="55"/>
      <c r="PQZ15" s="55"/>
      <c r="PRA15" s="55"/>
      <c r="PRB15" s="55"/>
      <c r="PRC15" s="55"/>
      <c r="PRD15" s="55"/>
      <c r="PRE15" s="55"/>
      <c r="PRF15" s="55"/>
      <c r="PRG15" s="55"/>
      <c r="PRH15" s="55"/>
      <c r="PRI15" s="55"/>
      <c r="PRJ15" s="55"/>
      <c r="PRK15" s="55"/>
      <c r="PRL15" s="55"/>
      <c r="PRM15" s="55"/>
      <c r="PRN15" s="55"/>
      <c r="PRO15" s="55"/>
      <c r="PRP15" s="55"/>
      <c r="PRQ15" s="55"/>
      <c r="PRR15" s="55"/>
      <c r="PRS15" s="55"/>
      <c r="PRT15" s="55"/>
      <c r="PRU15" s="55"/>
      <c r="PRV15" s="55"/>
      <c r="PRW15" s="55"/>
      <c r="PRX15" s="55"/>
      <c r="PRY15" s="55"/>
      <c r="PRZ15" s="55"/>
      <c r="PSA15" s="55"/>
      <c r="PSB15" s="55"/>
      <c r="PSC15" s="55"/>
      <c r="PSD15" s="55"/>
      <c r="PSE15" s="55"/>
      <c r="PSF15" s="55"/>
      <c r="PSG15" s="55"/>
      <c r="PSH15" s="55"/>
      <c r="PSI15" s="55"/>
      <c r="PSJ15" s="55"/>
      <c r="PSK15" s="55"/>
      <c r="PSL15" s="55"/>
      <c r="PSM15" s="55"/>
      <c r="PSN15" s="55"/>
      <c r="PSO15" s="55"/>
      <c r="PSP15" s="55"/>
      <c r="PSQ15" s="55"/>
      <c r="PSR15" s="55"/>
      <c r="PSS15" s="55"/>
      <c r="PST15" s="55"/>
      <c r="PSU15" s="55"/>
      <c r="PSV15" s="55"/>
      <c r="PSW15" s="55"/>
      <c r="PSX15" s="55"/>
      <c r="PSY15" s="55"/>
      <c r="PSZ15" s="55"/>
      <c r="PTA15" s="55"/>
      <c r="PTB15" s="55"/>
      <c r="PTC15" s="55"/>
      <c r="PTD15" s="55"/>
      <c r="PTE15" s="55"/>
      <c r="PTF15" s="55"/>
      <c r="PTG15" s="55"/>
      <c r="PTH15" s="55"/>
      <c r="PTI15" s="55"/>
      <c r="PTJ15" s="55"/>
      <c r="PTK15" s="55"/>
      <c r="PTL15" s="55"/>
      <c r="PTM15" s="55"/>
      <c r="PTN15" s="55"/>
      <c r="PTO15" s="55"/>
      <c r="PTP15" s="55"/>
      <c r="PTQ15" s="55"/>
      <c r="PTR15" s="55"/>
      <c r="PTS15" s="55"/>
      <c r="PTT15" s="55"/>
      <c r="PTU15" s="55"/>
      <c r="PTV15" s="55"/>
      <c r="PTW15" s="55"/>
      <c r="PTX15" s="55"/>
      <c r="PTY15" s="55"/>
      <c r="PTZ15" s="55"/>
      <c r="PUA15" s="55"/>
      <c r="PUB15" s="55"/>
      <c r="PUC15" s="55"/>
      <c r="PUD15" s="55"/>
      <c r="PUE15" s="55"/>
      <c r="PUF15" s="55"/>
      <c r="PUG15" s="55"/>
      <c r="PUH15" s="55"/>
      <c r="PUI15" s="55"/>
      <c r="PUJ15" s="55"/>
      <c r="PUK15" s="55"/>
      <c r="PUL15" s="55"/>
      <c r="PUM15" s="55"/>
      <c r="PUN15" s="55"/>
      <c r="PUO15" s="55"/>
      <c r="PUP15" s="55"/>
      <c r="PUQ15" s="55"/>
      <c r="PUR15" s="55"/>
      <c r="PUS15" s="55"/>
      <c r="PUT15" s="55"/>
      <c r="PUU15" s="55"/>
      <c r="PUV15" s="55"/>
      <c r="PUW15" s="55"/>
      <c r="PUX15" s="55"/>
      <c r="PUY15" s="55"/>
      <c r="PUZ15" s="55"/>
      <c r="PVA15" s="55"/>
      <c r="PVB15" s="55"/>
      <c r="PVC15" s="55"/>
      <c r="PVD15" s="55"/>
      <c r="PVE15" s="55"/>
      <c r="PVF15" s="55"/>
      <c r="PVG15" s="55"/>
      <c r="PVH15" s="55"/>
      <c r="PVI15" s="55"/>
      <c r="PVJ15" s="55"/>
      <c r="PVK15" s="55"/>
      <c r="PVL15" s="55"/>
      <c r="PVM15" s="55"/>
      <c r="PVN15" s="55"/>
      <c r="PVO15" s="55"/>
      <c r="PVP15" s="55"/>
      <c r="PVQ15" s="55"/>
      <c r="PVR15" s="55"/>
      <c r="PVS15" s="55"/>
      <c r="PVT15" s="55"/>
      <c r="PVU15" s="55"/>
      <c r="PVV15" s="55"/>
      <c r="PVW15" s="55"/>
      <c r="PVX15" s="55"/>
      <c r="PVY15" s="55"/>
      <c r="PVZ15" s="55"/>
      <c r="PWA15" s="55"/>
      <c r="PWB15" s="55"/>
      <c r="PWC15" s="55"/>
      <c r="PWD15" s="55"/>
      <c r="PWE15" s="55"/>
      <c r="PWF15" s="55"/>
      <c r="PWG15" s="55"/>
      <c r="PWH15" s="55"/>
      <c r="PWI15" s="55"/>
      <c r="PWJ15" s="55"/>
      <c r="PWK15" s="55"/>
      <c r="PWL15" s="55"/>
      <c r="PWM15" s="55"/>
      <c r="PWN15" s="55"/>
      <c r="PWO15" s="55"/>
      <c r="PWP15" s="55"/>
      <c r="PWQ15" s="55"/>
      <c r="PWR15" s="55"/>
      <c r="PWS15" s="55"/>
      <c r="PWT15" s="55"/>
      <c r="PWU15" s="55"/>
      <c r="PWV15" s="55"/>
      <c r="PWW15" s="55"/>
      <c r="PWX15" s="55"/>
      <c r="PWY15" s="55"/>
      <c r="PWZ15" s="55"/>
      <c r="PXA15" s="55"/>
      <c r="PXB15" s="55"/>
      <c r="PXC15" s="55"/>
      <c r="PXD15" s="55"/>
      <c r="PXE15" s="55"/>
      <c r="PXF15" s="55"/>
      <c r="PXG15" s="55"/>
      <c r="PXH15" s="55"/>
      <c r="PXI15" s="55"/>
      <c r="PXJ15" s="55"/>
      <c r="PXK15" s="55"/>
      <c r="PXL15" s="55"/>
      <c r="PXM15" s="55"/>
      <c r="PXN15" s="55"/>
      <c r="PXO15" s="55"/>
      <c r="PXP15" s="55"/>
      <c r="PXQ15" s="55"/>
      <c r="PXR15" s="55"/>
      <c r="PXS15" s="55"/>
      <c r="PXT15" s="55"/>
      <c r="PXU15" s="55"/>
      <c r="PXV15" s="55"/>
      <c r="PXW15" s="55"/>
      <c r="PXX15" s="55"/>
      <c r="PXY15" s="55"/>
      <c r="PXZ15" s="55"/>
      <c r="PYA15" s="55"/>
      <c r="PYB15" s="55"/>
      <c r="PYC15" s="55"/>
      <c r="PYD15" s="55"/>
      <c r="PYE15" s="55"/>
      <c r="PYF15" s="55"/>
      <c r="PYG15" s="55"/>
      <c r="PYH15" s="55"/>
      <c r="PYI15" s="55"/>
      <c r="PYJ15" s="55"/>
      <c r="PYK15" s="55"/>
      <c r="PYL15" s="55"/>
      <c r="PYM15" s="55"/>
      <c r="PYN15" s="55"/>
      <c r="PYO15" s="55"/>
      <c r="PYP15" s="55"/>
      <c r="PYQ15" s="55"/>
      <c r="PYR15" s="55"/>
      <c r="PYS15" s="55"/>
      <c r="PYT15" s="55"/>
      <c r="PYU15" s="55"/>
      <c r="PYV15" s="55"/>
      <c r="PYW15" s="55"/>
      <c r="PYX15" s="55"/>
      <c r="PYY15" s="55"/>
      <c r="PYZ15" s="55"/>
      <c r="PZA15" s="55"/>
      <c r="PZB15" s="55"/>
      <c r="PZC15" s="55"/>
      <c r="PZD15" s="55"/>
      <c r="PZE15" s="55"/>
      <c r="PZF15" s="55"/>
      <c r="PZG15" s="55"/>
      <c r="PZH15" s="55"/>
      <c r="PZI15" s="55"/>
      <c r="PZJ15" s="55"/>
      <c r="PZK15" s="55"/>
      <c r="PZL15" s="55"/>
      <c r="PZM15" s="55"/>
      <c r="PZN15" s="55"/>
      <c r="PZO15" s="55"/>
      <c r="PZP15" s="55"/>
      <c r="PZQ15" s="55"/>
      <c r="PZR15" s="55"/>
      <c r="PZS15" s="55"/>
      <c r="PZT15" s="55"/>
      <c r="PZU15" s="55"/>
      <c r="PZV15" s="55"/>
      <c r="PZW15" s="55"/>
      <c r="PZX15" s="55"/>
      <c r="PZY15" s="55"/>
      <c r="PZZ15" s="55"/>
      <c r="QAA15" s="55"/>
      <c r="QAB15" s="55"/>
      <c r="QAC15" s="55"/>
      <c r="QAD15" s="55"/>
      <c r="QAE15" s="55"/>
      <c r="QAF15" s="55"/>
      <c r="QAG15" s="55"/>
      <c r="QAH15" s="55"/>
      <c r="QAI15" s="55"/>
      <c r="QAJ15" s="55"/>
      <c r="QAK15" s="55"/>
      <c r="QAL15" s="55"/>
      <c r="QAM15" s="55"/>
      <c r="QAN15" s="55"/>
      <c r="QAO15" s="55"/>
      <c r="QAP15" s="55"/>
      <c r="QAQ15" s="55"/>
      <c r="QAR15" s="55"/>
      <c r="QAS15" s="55"/>
      <c r="QAT15" s="55"/>
      <c r="QAU15" s="55"/>
      <c r="QAV15" s="55"/>
      <c r="QAW15" s="55"/>
      <c r="QAX15" s="55"/>
      <c r="QAY15" s="55"/>
      <c r="QAZ15" s="55"/>
      <c r="QBA15" s="55"/>
      <c r="QBB15" s="55"/>
      <c r="QBC15" s="55"/>
      <c r="QBD15" s="55"/>
      <c r="QBE15" s="55"/>
      <c r="QBF15" s="55"/>
      <c r="QBG15" s="55"/>
      <c r="QBH15" s="55"/>
      <c r="QBI15" s="55"/>
      <c r="QBJ15" s="55"/>
      <c r="QBK15" s="55"/>
      <c r="QBL15" s="55"/>
      <c r="QBM15" s="55"/>
      <c r="QBN15" s="55"/>
      <c r="QBO15" s="55"/>
      <c r="QBP15" s="55"/>
      <c r="QBQ15" s="55"/>
      <c r="QBR15" s="55"/>
      <c r="QBS15" s="55"/>
      <c r="QBT15" s="55"/>
      <c r="QBU15" s="55"/>
      <c r="QBV15" s="55"/>
      <c r="QBW15" s="55"/>
      <c r="QBX15" s="55"/>
      <c r="QBY15" s="55"/>
      <c r="QBZ15" s="55"/>
      <c r="QCA15" s="55"/>
      <c r="QCB15" s="55"/>
      <c r="QCC15" s="55"/>
      <c r="QCD15" s="55"/>
      <c r="QCE15" s="55"/>
      <c r="QCF15" s="55"/>
      <c r="QCG15" s="55"/>
      <c r="QCH15" s="55"/>
      <c r="QCI15" s="55"/>
      <c r="QCJ15" s="55"/>
      <c r="QCK15" s="55"/>
      <c r="QCL15" s="55"/>
      <c r="QCM15" s="55"/>
      <c r="QCN15" s="55"/>
      <c r="QCO15" s="55"/>
      <c r="QCP15" s="55"/>
      <c r="QCQ15" s="55"/>
      <c r="QCR15" s="55"/>
      <c r="QCS15" s="55"/>
      <c r="QCT15" s="55"/>
      <c r="QCU15" s="55"/>
      <c r="QCV15" s="55"/>
      <c r="QCW15" s="55"/>
      <c r="QCX15" s="55"/>
      <c r="QCY15" s="55"/>
      <c r="QCZ15" s="55"/>
      <c r="QDA15" s="55"/>
      <c r="QDB15" s="55"/>
      <c r="QDC15" s="55"/>
      <c r="QDD15" s="55"/>
      <c r="QDE15" s="55"/>
      <c r="QDF15" s="55"/>
      <c r="QDG15" s="55"/>
      <c r="QDH15" s="55"/>
      <c r="QDI15" s="55"/>
      <c r="QDJ15" s="55"/>
      <c r="QDK15" s="55"/>
      <c r="QDL15" s="55"/>
      <c r="QDM15" s="55"/>
      <c r="QDN15" s="55"/>
      <c r="QDO15" s="55"/>
      <c r="QDP15" s="55"/>
      <c r="QDQ15" s="55"/>
      <c r="QDR15" s="55"/>
      <c r="QDS15" s="55"/>
      <c r="QDT15" s="55"/>
      <c r="QDU15" s="55"/>
      <c r="QDV15" s="55"/>
      <c r="QDW15" s="55"/>
      <c r="QDX15" s="55"/>
      <c r="QDY15" s="55"/>
      <c r="QDZ15" s="55"/>
      <c r="QEA15" s="55"/>
      <c r="QEB15" s="55"/>
      <c r="QEC15" s="55"/>
      <c r="QED15" s="55"/>
      <c r="QEE15" s="55"/>
      <c r="QEF15" s="55"/>
      <c r="QEG15" s="55"/>
      <c r="QEH15" s="55"/>
      <c r="QEI15" s="55"/>
      <c r="QEJ15" s="55"/>
      <c r="QEK15" s="55"/>
      <c r="QEL15" s="55"/>
      <c r="QEM15" s="55"/>
      <c r="QEN15" s="55"/>
      <c r="QEO15" s="55"/>
      <c r="QEP15" s="55"/>
      <c r="QEQ15" s="55"/>
      <c r="QER15" s="55"/>
      <c r="QES15" s="55"/>
      <c r="QET15" s="55"/>
      <c r="QEU15" s="55"/>
      <c r="QEV15" s="55"/>
      <c r="QEW15" s="55"/>
      <c r="QEX15" s="55"/>
      <c r="QEY15" s="55"/>
      <c r="QEZ15" s="55"/>
      <c r="QFA15" s="55"/>
      <c r="QFB15" s="55"/>
      <c r="QFC15" s="55"/>
      <c r="QFD15" s="55"/>
      <c r="QFE15" s="55"/>
      <c r="QFF15" s="55"/>
      <c r="QFG15" s="55"/>
      <c r="QFH15" s="55"/>
      <c r="QFI15" s="55"/>
      <c r="QFJ15" s="55"/>
      <c r="QFK15" s="55"/>
      <c r="QFL15" s="55"/>
      <c r="QFM15" s="55"/>
      <c r="QFN15" s="55"/>
      <c r="QFO15" s="55"/>
      <c r="QFP15" s="55"/>
      <c r="QFQ15" s="55"/>
      <c r="QFR15" s="55"/>
      <c r="QFS15" s="55"/>
      <c r="QFT15" s="55"/>
      <c r="QFU15" s="55"/>
      <c r="QFV15" s="55"/>
      <c r="QFW15" s="55"/>
      <c r="QFX15" s="55"/>
      <c r="QFY15" s="55"/>
      <c r="QFZ15" s="55"/>
      <c r="QGA15" s="55"/>
      <c r="QGB15" s="55"/>
      <c r="QGC15" s="55"/>
      <c r="QGD15" s="55"/>
      <c r="QGE15" s="55"/>
      <c r="QGF15" s="55"/>
      <c r="QGG15" s="55"/>
      <c r="QGH15" s="55"/>
      <c r="QGI15" s="55"/>
      <c r="QGJ15" s="55"/>
      <c r="QGK15" s="55"/>
      <c r="QGL15" s="55"/>
      <c r="QGM15" s="55"/>
      <c r="QGN15" s="55"/>
      <c r="QGO15" s="55"/>
      <c r="QGP15" s="55"/>
      <c r="QGQ15" s="55"/>
      <c r="QGR15" s="55"/>
      <c r="QGS15" s="55"/>
      <c r="QGT15" s="55"/>
      <c r="QGU15" s="55"/>
      <c r="QGV15" s="55"/>
      <c r="QGW15" s="55"/>
      <c r="QGX15" s="55"/>
      <c r="QGY15" s="55"/>
      <c r="QGZ15" s="55"/>
      <c r="QHA15" s="55"/>
      <c r="QHB15" s="55"/>
      <c r="QHC15" s="55"/>
      <c r="QHD15" s="55"/>
      <c r="QHE15" s="55"/>
      <c r="QHF15" s="55"/>
      <c r="QHG15" s="55"/>
      <c r="QHH15" s="55"/>
      <c r="QHI15" s="55"/>
      <c r="QHJ15" s="55"/>
      <c r="QHK15" s="55"/>
      <c r="QHL15" s="55"/>
      <c r="QHM15" s="55"/>
      <c r="QHN15" s="55"/>
      <c r="QHO15" s="55"/>
      <c r="QHP15" s="55"/>
      <c r="QHQ15" s="55"/>
      <c r="QHR15" s="55"/>
      <c r="QHS15" s="55"/>
      <c r="QHT15" s="55"/>
      <c r="QHU15" s="55"/>
      <c r="QHV15" s="55"/>
      <c r="QHW15" s="55"/>
      <c r="QHX15" s="55"/>
      <c r="QHY15" s="55"/>
      <c r="QHZ15" s="55"/>
      <c r="QIA15" s="55"/>
      <c r="QIB15" s="55"/>
      <c r="QIC15" s="55"/>
      <c r="QID15" s="55"/>
      <c r="QIE15" s="55"/>
      <c r="QIF15" s="55"/>
      <c r="QIG15" s="55"/>
      <c r="QIH15" s="55"/>
      <c r="QII15" s="55"/>
      <c r="QIJ15" s="55"/>
      <c r="QIK15" s="55"/>
      <c r="QIL15" s="55"/>
      <c r="QIM15" s="55"/>
      <c r="QIN15" s="55"/>
      <c r="QIO15" s="55"/>
      <c r="QIP15" s="55"/>
      <c r="QIQ15" s="55"/>
      <c r="QIR15" s="55"/>
      <c r="QIS15" s="55"/>
      <c r="QIT15" s="55"/>
      <c r="QIU15" s="55"/>
      <c r="QIV15" s="55"/>
      <c r="QIW15" s="55"/>
      <c r="QIX15" s="55"/>
      <c r="QIY15" s="55"/>
      <c r="QIZ15" s="55"/>
      <c r="QJA15" s="55"/>
      <c r="QJB15" s="55"/>
      <c r="QJC15" s="55"/>
      <c r="QJD15" s="55"/>
      <c r="QJE15" s="55"/>
      <c r="QJF15" s="55"/>
      <c r="QJG15" s="55"/>
      <c r="QJH15" s="55"/>
      <c r="QJI15" s="55"/>
      <c r="QJJ15" s="55"/>
      <c r="QJK15" s="55"/>
      <c r="QJL15" s="55"/>
      <c r="QJM15" s="55"/>
      <c r="QJN15" s="55"/>
      <c r="QJO15" s="55"/>
      <c r="QJP15" s="55"/>
      <c r="QJQ15" s="55"/>
      <c r="QJR15" s="55"/>
      <c r="QJS15" s="55"/>
      <c r="QJT15" s="55"/>
      <c r="QJU15" s="55"/>
      <c r="QJV15" s="55"/>
      <c r="QJW15" s="55"/>
      <c r="QJX15" s="55"/>
      <c r="QJY15" s="55"/>
      <c r="QJZ15" s="55"/>
      <c r="QKA15" s="55"/>
      <c r="QKB15" s="55"/>
      <c r="QKC15" s="55"/>
      <c r="QKD15" s="55"/>
      <c r="QKE15" s="55"/>
      <c r="QKF15" s="55"/>
      <c r="QKG15" s="55"/>
      <c r="QKH15" s="55"/>
      <c r="QKI15" s="55"/>
      <c r="QKJ15" s="55"/>
      <c r="QKK15" s="55"/>
      <c r="QKL15" s="55"/>
      <c r="QKM15" s="55"/>
      <c r="QKN15" s="55"/>
      <c r="QKO15" s="55"/>
      <c r="QKP15" s="55"/>
      <c r="QKQ15" s="55"/>
      <c r="QKR15" s="55"/>
      <c r="QKS15" s="55"/>
      <c r="QKT15" s="55"/>
      <c r="QKU15" s="55"/>
      <c r="QKV15" s="55"/>
      <c r="QKW15" s="55"/>
      <c r="QKX15" s="55"/>
      <c r="QKY15" s="55"/>
      <c r="QKZ15" s="55"/>
      <c r="QLA15" s="55"/>
      <c r="QLB15" s="55"/>
      <c r="QLC15" s="55"/>
      <c r="QLD15" s="55"/>
      <c r="QLE15" s="55"/>
      <c r="QLF15" s="55"/>
      <c r="QLG15" s="55"/>
      <c r="QLH15" s="55"/>
      <c r="QLI15" s="55"/>
      <c r="QLJ15" s="55"/>
      <c r="QLK15" s="55"/>
      <c r="QLL15" s="55"/>
      <c r="QLM15" s="55"/>
      <c r="QLN15" s="55"/>
      <c r="QLO15" s="55"/>
      <c r="QLP15" s="55"/>
      <c r="QLQ15" s="55"/>
      <c r="QLR15" s="55"/>
      <c r="QLS15" s="55"/>
      <c r="QLT15" s="55"/>
      <c r="QLU15" s="55"/>
      <c r="QLV15" s="55"/>
      <c r="QLW15" s="55"/>
      <c r="QLX15" s="55"/>
      <c r="QLY15" s="55"/>
      <c r="QLZ15" s="55"/>
      <c r="QMA15" s="55"/>
      <c r="QMB15" s="55"/>
      <c r="QMC15" s="55"/>
      <c r="QMD15" s="55"/>
      <c r="QME15" s="55"/>
      <c r="QMF15" s="55"/>
      <c r="QMG15" s="55"/>
      <c r="QMH15" s="55"/>
      <c r="QMI15" s="55"/>
      <c r="QMJ15" s="55"/>
      <c r="QMK15" s="55"/>
      <c r="QML15" s="55"/>
      <c r="QMM15" s="55"/>
      <c r="QMN15" s="55"/>
      <c r="QMO15" s="55"/>
      <c r="QMP15" s="55"/>
      <c r="QMQ15" s="55"/>
      <c r="QMR15" s="55"/>
      <c r="QMS15" s="55"/>
      <c r="QMT15" s="55"/>
      <c r="QMU15" s="55"/>
      <c r="QMV15" s="55"/>
      <c r="QMW15" s="55"/>
      <c r="QMX15" s="55"/>
      <c r="QMY15" s="55"/>
      <c r="QMZ15" s="55"/>
      <c r="QNA15" s="55"/>
      <c r="QNB15" s="55"/>
      <c r="QNC15" s="55"/>
      <c r="QND15" s="55"/>
      <c r="QNE15" s="55"/>
      <c r="QNF15" s="55"/>
      <c r="QNG15" s="55"/>
      <c r="QNH15" s="55"/>
      <c r="QNI15" s="55"/>
      <c r="QNJ15" s="55"/>
      <c r="QNK15" s="55"/>
      <c r="QNL15" s="55"/>
      <c r="QNM15" s="55"/>
      <c r="QNN15" s="55"/>
      <c r="QNO15" s="55"/>
      <c r="QNP15" s="55"/>
      <c r="QNQ15" s="55"/>
      <c r="QNR15" s="55"/>
      <c r="QNS15" s="55"/>
      <c r="QNT15" s="55"/>
      <c r="QNU15" s="55"/>
      <c r="QNV15" s="55"/>
      <c r="QNW15" s="55"/>
      <c r="QNX15" s="55"/>
      <c r="QNY15" s="55"/>
      <c r="QNZ15" s="55"/>
      <c r="QOA15" s="55"/>
      <c r="QOB15" s="55"/>
      <c r="QOC15" s="55"/>
      <c r="QOD15" s="55"/>
      <c r="QOE15" s="55"/>
      <c r="QOF15" s="55"/>
      <c r="QOG15" s="55"/>
      <c r="QOH15" s="55"/>
      <c r="QOI15" s="55"/>
      <c r="QOJ15" s="55"/>
      <c r="QOK15" s="55"/>
      <c r="QOL15" s="55"/>
      <c r="QOM15" s="55"/>
      <c r="QON15" s="55"/>
      <c r="QOO15" s="55"/>
      <c r="QOP15" s="55"/>
      <c r="QOQ15" s="55"/>
      <c r="QOR15" s="55"/>
      <c r="QOS15" s="55"/>
      <c r="QOT15" s="55"/>
      <c r="QOU15" s="55"/>
      <c r="QOV15" s="55"/>
      <c r="QOW15" s="55"/>
      <c r="QOX15" s="55"/>
      <c r="QOY15" s="55"/>
      <c r="QOZ15" s="55"/>
      <c r="QPA15" s="55"/>
      <c r="QPB15" s="55"/>
      <c r="QPC15" s="55"/>
      <c r="QPD15" s="55"/>
      <c r="QPE15" s="55"/>
      <c r="QPF15" s="55"/>
      <c r="QPG15" s="55"/>
      <c r="QPH15" s="55"/>
      <c r="QPI15" s="55"/>
      <c r="QPJ15" s="55"/>
      <c r="QPK15" s="55"/>
      <c r="QPL15" s="55"/>
      <c r="QPM15" s="55"/>
      <c r="QPN15" s="55"/>
      <c r="QPO15" s="55"/>
      <c r="QPP15" s="55"/>
      <c r="QPQ15" s="55"/>
      <c r="QPR15" s="55"/>
      <c r="QPS15" s="55"/>
      <c r="QPT15" s="55"/>
      <c r="QPU15" s="55"/>
      <c r="QPV15" s="55"/>
      <c r="QPW15" s="55"/>
      <c r="QPX15" s="55"/>
      <c r="QPY15" s="55"/>
      <c r="QPZ15" s="55"/>
      <c r="QQA15" s="55"/>
      <c r="QQB15" s="55"/>
      <c r="QQC15" s="55"/>
      <c r="QQD15" s="55"/>
      <c r="QQE15" s="55"/>
      <c r="QQF15" s="55"/>
      <c r="QQG15" s="55"/>
      <c r="QQH15" s="55"/>
      <c r="QQI15" s="55"/>
      <c r="QQJ15" s="55"/>
      <c r="QQK15" s="55"/>
      <c r="QQL15" s="55"/>
      <c r="QQM15" s="55"/>
      <c r="QQN15" s="55"/>
      <c r="QQO15" s="55"/>
      <c r="QQP15" s="55"/>
      <c r="QQQ15" s="55"/>
      <c r="QQR15" s="55"/>
      <c r="QQS15" s="55"/>
      <c r="QQT15" s="55"/>
      <c r="QQU15" s="55"/>
      <c r="QQV15" s="55"/>
      <c r="QQW15" s="55"/>
      <c r="QQX15" s="55"/>
      <c r="QQY15" s="55"/>
      <c r="QQZ15" s="55"/>
      <c r="QRA15" s="55"/>
      <c r="QRB15" s="55"/>
      <c r="QRC15" s="55"/>
      <c r="QRD15" s="55"/>
      <c r="QRE15" s="55"/>
      <c r="QRF15" s="55"/>
      <c r="QRG15" s="55"/>
      <c r="QRH15" s="55"/>
      <c r="QRI15" s="55"/>
      <c r="QRJ15" s="55"/>
      <c r="QRK15" s="55"/>
      <c r="QRL15" s="55"/>
      <c r="QRM15" s="55"/>
      <c r="QRN15" s="55"/>
      <c r="QRO15" s="55"/>
      <c r="QRP15" s="55"/>
      <c r="QRQ15" s="55"/>
      <c r="QRR15" s="55"/>
      <c r="QRS15" s="55"/>
      <c r="QRT15" s="55"/>
      <c r="QRU15" s="55"/>
      <c r="QRV15" s="55"/>
      <c r="QRW15" s="55"/>
      <c r="QRX15" s="55"/>
      <c r="QRY15" s="55"/>
      <c r="QRZ15" s="55"/>
      <c r="QSA15" s="55"/>
      <c r="QSB15" s="55"/>
      <c r="QSC15" s="55"/>
      <c r="QSD15" s="55"/>
      <c r="QSE15" s="55"/>
      <c r="QSF15" s="55"/>
      <c r="QSG15" s="55"/>
      <c r="QSH15" s="55"/>
      <c r="QSI15" s="55"/>
      <c r="QSJ15" s="55"/>
      <c r="QSK15" s="55"/>
      <c r="QSL15" s="55"/>
      <c r="QSM15" s="55"/>
      <c r="QSN15" s="55"/>
      <c r="QSO15" s="55"/>
      <c r="QSP15" s="55"/>
      <c r="QSQ15" s="55"/>
      <c r="QSR15" s="55"/>
      <c r="QSS15" s="55"/>
      <c r="QST15" s="55"/>
      <c r="QSU15" s="55"/>
      <c r="QSV15" s="55"/>
      <c r="QSW15" s="55"/>
      <c r="QSX15" s="55"/>
      <c r="QSY15" s="55"/>
      <c r="QSZ15" s="55"/>
      <c r="QTA15" s="55"/>
      <c r="QTB15" s="55"/>
      <c r="QTC15" s="55"/>
      <c r="QTD15" s="55"/>
      <c r="QTE15" s="55"/>
      <c r="QTF15" s="55"/>
      <c r="QTG15" s="55"/>
      <c r="QTH15" s="55"/>
      <c r="QTI15" s="55"/>
      <c r="QTJ15" s="55"/>
      <c r="QTK15" s="55"/>
      <c r="QTL15" s="55"/>
      <c r="QTM15" s="55"/>
      <c r="QTN15" s="55"/>
      <c r="QTO15" s="55"/>
      <c r="QTP15" s="55"/>
      <c r="QTQ15" s="55"/>
      <c r="QTR15" s="55"/>
      <c r="QTS15" s="55"/>
      <c r="QTT15" s="55"/>
      <c r="QTU15" s="55"/>
      <c r="QTV15" s="55"/>
      <c r="QTW15" s="55"/>
      <c r="QTX15" s="55"/>
      <c r="QTY15" s="55"/>
      <c r="QTZ15" s="55"/>
      <c r="QUA15" s="55"/>
      <c r="QUB15" s="55"/>
      <c r="QUC15" s="55"/>
      <c r="QUD15" s="55"/>
      <c r="QUE15" s="55"/>
      <c r="QUF15" s="55"/>
      <c r="QUG15" s="55"/>
      <c r="QUH15" s="55"/>
      <c r="QUI15" s="55"/>
      <c r="QUJ15" s="55"/>
      <c r="QUK15" s="55"/>
      <c r="QUL15" s="55"/>
      <c r="QUM15" s="55"/>
      <c r="QUN15" s="55"/>
      <c r="QUO15" s="55"/>
      <c r="QUP15" s="55"/>
      <c r="QUQ15" s="55"/>
      <c r="QUR15" s="55"/>
      <c r="QUS15" s="55"/>
      <c r="QUT15" s="55"/>
      <c r="QUU15" s="55"/>
      <c r="QUV15" s="55"/>
      <c r="QUW15" s="55"/>
      <c r="QUX15" s="55"/>
      <c r="QUY15" s="55"/>
      <c r="QUZ15" s="55"/>
      <c r="QVA15" s="55"/>
      <c r="QVB15" s="55"/>
      <c r="QVC15" s="55"/>
      <c r="QVD15" s="55"/>
      <c r="QVE15" s="55"/>
      <c r="QVF15" s="55"/>
      <c r="QVG15" s="55"/>
      <c r="QVH15" s="55"/>
      <c r="QVI15" s="55"/>
      <c r="QVJ15" s="55"/>
      <c r="QVK15" s="55"/>
      <c r="QVL15" s="55"/>
      <c r="QVM15" s="55"/>
      <c r="QVN15" s="55"/>
      <c r="QVO15" s="55"/>
      <c r="QVP15" s="55"/>
      <c r="QVQ15" s="55"/>
      <c r="QVR15" s="55"/>
      <c r="QVS15" s="55"/>
      <c r="QVT15" s="55"/>
      <c r="QVU15" s="55"/>
      <c r="QVV15" s="55"/>
      <c r="QVW15" s="55"/>
      <c r="QVX15" s="55"/>
      <c r="QVY15" s="55"/>
      <c r="QVZ15" s="55"/>
      <c r="QWA15" s="55"/>
      <c r="QWB15" s="55"/>
      <c r="QWC15" s="55"/>
      <c r="QWD15" s="55"/>
      <c r="QWE15" s="55"/>
      <c r="QWF15" s="55"/>
      <c r="QWG15" s="55"/>
      <c r="QWH15" s="55"/>
      <c r="QWI15" s="55"/>
      <c r="QWJ15" s="55"/>
      <c r="QWK15" s="55"/>
      <c r="QWL15" s="55"/>
      <c r="QWM15" s="55"/>
      <c r="QWN15" s="55"/>
      <c r="QWO15" s="55"/>
      <c r="QWP15" s="55"/>
      <c r="QWQ15" s="55"/>
      <c r="QWR15" s="55"/>
      <c r="QWS15" s="55"/>
      <c r="QWT15" s="55"/>
      <c r="QWU15" s="55"/>
      <c r="QWV15" s="55"/>
      <c r="QWW15" s="55"/>
      <c r="QWX15" s="55"/>
      <c r="QWY15" s="55"/>
      <c r="QWZ15" s="55"/>
      <c r="QXA15" s="55"/>
      <c r="QXB15" s="55"/>
      <c r="QXC15" s="55"/>
      <c r="QXD15" s="55"/>
      <c r="QXE15" s="55"/>
      <c r="QXF15" s="55"/>
      <c r="QXG15" s="55"/>
      <c r="QXH15" s="55"/>
      <c r="QXI15" s="55"/>
      <c r="QXJ15" s="55"/>
      <c r="QXK15" s="55"/>
      <c r="QXL15" s="55"/>
      <c r="QXM15" s="55"/>
      <c r="QXN15" s="55"/>
      <c r="QXO15" s="55"/>
      <c r="QXP15" s="55"/>
      <c r="QXQ15" s="55"/>
      <c r="QXR15" s="55"/>
      <c r="QXS15" s="55"/>
      <c r="QXT15" s="55"/>
      <c r="QXU15" s="55"/>
      <c r="QXV15" s="55"/>
      <c r="QXW15" s="55"/>
      <c r="QXX15" s="55"/>
      <c r="QXY15" s="55"/>
      <c r="QXZ15" s="55"/>
      <c r="QYA15" s="55"/>
      <c r="QYB15" s="55"/>
      <c r="QYC15" s="55"/>
      <c r="QYD15" s="55"/>
      <c r="QYE15" s="55"/>
      <c r="QYF15" s="55"/>
      <c r="QYG15" s="55"/>
      <c r="QYH15" s="55"/>
      <c r="QYI15" s="55"/>
      <c r="QYJ15" s="55"/>
      <c r="QYK15" s="55"/>
      <c r="QYL15" s="55"/>
      <c r="QYM15" s="55"/>
      <c r="QYN15" s="55"/>
      <c r="QYO15" s="55"/>
      <c r="QYP15" s="55"/>
      <c r="QYQ15" s="55"/>
      <c r="QYR15" s="55"/>
      <c r="QYS15" s="55"/>
      <c r="QYT15" s="55"/>
      <c r="QYU15" s="55"/>
      <c r="QYV15" s="55"/>
      <c r="QYW15" s="55"/>
      <c r="QYX15" s="55"/>
      <c r="QYY15" s="55"/>
      <c r="QYZ15" s="55"/>
      <c r="QZA15" s="55"/>
      <c r="QZB15" s="55"/>
      <c r="QZC15" s="55"/>
      <c r="QZD15" s="55"/>
      <c r="QZE15" s="55"/>
      <c r="QZF15" s="55"/>
      <c r="QZG15" s="55"/>
      <c r="QZH15" s="55"/>
      <c r="QZI15" s="55"/>
      <c r="QZJ15" s="55"/>
      <c r="QZK15" s="55"/>
      <c r="QZL15" s="55"/>
      <c r="QZM15" s="55"/>
      <c r="QZN15" s="55"/>
      <c r="QZO15" s="55"/>
      <c r="QZP15" s="55"/>
      <c r="QZQ15" s="55"/>
      <c r="QZR15" s="55"/>
      <c r="QZS15" s="55"/>
      <c r="QZT15" s="55"/>
      <c r="QZU15" s="55"/>
      <c r="QZV15" s="55"/>
      <c r="QZW15" s="55"/>
      <c r="QZX15" s="55"/>
      <c r="QZY15" s="55"/>
      <c r="QZZ15" s="55"/>
      <c r="RAA15" s="55"/>
      <c r="RAB15" s="55"/>
      <c r="RAC15" s="55"/>
      <c r="RAD15" s="55"/>
      <c r="RAE15" s="55"/>
      <c r="RAF15" s="55"/>
      <c r="RAG15" s="55"/>
      <c r="RAH15" s="55"/>
      <c r="RAI15" s="55"/>
      <c r="RAJ15" s="55"/>
      <c r="RAK15" s="55"/>
      <c r="RAL15" s="55"/>
      <c r="RAM15" s="55"/>
      <c r="RAN15" s="55"/>
      <c r="RAO15" s="55"/>
      <c r="RAP15" s="55"/>
      <c r="RAQ15" s="55"/>
      <c r="RAR15" s="55"/>
      <c r="RAS15" s="55"/>
      <c r="RAT15" s="55"/>
      <c r="RAU15" s="55"/>
      <c r="RAV15" s="55"/>
      <c r="RAW15" s="55"/>
      <c r="RAX15" s="55"/>
      <c r="RAY15" s="55"/>
      <c r="RAZ15" s="55"/>
      <c r="RBA15" s="55"/>
      <c r="RBB15" s="55"/>
      <c r="RBC15" s="55"/>
      <c r="RBD15" s="55"/>
      <c r="RBE15" s="55"/>
      <c r="RBF15" s="55"/>
      <c r="RBG15" s="55"/>
      <c r="RBH15" s="55"/>
      <c r="RBI15" s="55"/>
      <c r="RBJ15" s="55"/>
      <c r="RBK15" s="55"/>
      <c r="RBL15" s="55"/>
      <c r="RBM15" s="55"/>
      <c r="RBN15" s="55"/>
      <c r="RBO15" s="55"/>
      <c r="RBP15" s="55"/>
      <c r="RBQ15" s="55"/>
      <c r="RBR15" s="55"/>
      <c r="RBS15" s="55"/>
      <c r="RBT15" s="55"/>
      <c r="RBU15" s="55"/>
      <c r="RBV15" s="55"/>
      <c r="RBW15" s="55"/>
      <c r="RBX15" s="55"/>
      <c r="RBY15" s="55"/>
      <c r="RBZ15" s="55"/>
      <c r="RCA15" s="55"/>
      <c r="RCB15" s="55"/>
      <c r="RCC15" s="55"/>
      <c r="RCD15" s="55"/>
      <c r="RCE15" s="55"/>
      <c r="RCF15" s="55"/>
      <c r="RCG15" s="55"/>
      <c r="RCH15" s="55"/>
      <c r="RCI15" s="55"/>
      <c r="RCJ15" s="55"/>
      <c r="RCK15" s="55"/>
      <c r="RCL15" s="55"/>
      <c r="RCM15" s="55"/>
      <c r="RCN15" s="55"/>
      <c r="RCO15" s="55"/>
      <c r="RCP15" s="55"/>
      <c r="RCQ15" s="55"/>
      <c r="RCR15" s="55"/>
      <c r="RCS15" s="55"/>
      <c r="RCT15" s="55"/>
      <c r="RCU15" s="55"/>
      <c r="RCV15" s="55"/>
      <c r="RCW15" s="55"/>
      <c r="RCX15" s="55"/>
      <c r="RCY15" s="55"/>
      <c r="RCZ15" s="55"/>
      <c r="RDA15" s="55"/>
      <c r="RDB15" s="55"/>
      <c r="RDC15" s="55"/>
      <c r="RDD15" s="55"/>
      <c r="RDE15" s="55"/>
      <c r="RDF15" s="55"/>
      <c r="RDG15" s="55"/>
      <c r="RDH15" s="55"/>
      <c r="RDI15" s="55"/>
      <c r="RDJ15" s="55"/>
      <c r="RDK15" s="55"/>
      <c r="RDL15" s="55"/>
      <c r="RDM15" s="55"/>
      <c r="RDN15" s="55"/>
      <c r="RDO15" s="55"/>
      <c r="RDP15" s="55"/>
      <c r="RDQ15" s="55"/>
      <c r="RDR15" s="55"/>
      <c r="RDS15" s="55"/>
      <c r="RDT15" s="55"/>
      <c r="RDU15" s="55"/>
      <c r="RDV15" s="55"/>
      <c r="RDW15" s="55"/>
      <c r="RDX15" s="55"/>
      <c r="RDY15" s="55"/>
      <c r="RDZ15" s="55"/>
      <c r="REA15" s="55"/>
      <c r="REB15" s="55"/>
      <c r="REC15" s="55"/>
      <c r="RED15" s="55"/>
      <c r="REE15" s="55"/>
      <c r="REF15" s="55"/>
      <c r="REG15" s="55"/>
      <c r="REH15" s="55"/>
      <c r="REI15" s="55"/>
      <c r="REJ15" s="55"/>
      <c r="REK15" s="55"/>
      <c r="REL15" s="55"/>
      <c r="REM15" s="55"/>
      <c r="REN15" s="55"/>
      <c r="REO15" s="55"/>
      <c r="REP15" s="55"/>
      <c r="REQ15" s="55"/>
      <c r="RER15" s="55"/>
      <c r="RES15" s="55"/>
      <c r="RET15" s="55"/>
      <c r="REU15" s="55"/>
      <c r="REV15" s="55"/>
      <c r="REW15" s="55"/>
      <c r="REX15" s="55"/>
      <c r="REY15" s="55"/>
      <c r="REZ15" s="55"/>
      <c r="RFA15" s="55"/>
      <c r="RFB15" s="55"/>
      <c r="RFC15" s="55"/>
      <c r="RFD15" s="55"/>
      <c r="RFE15" s="55"/>
      <c r="RFF15" s="55"/>
      <c r="RFG15" s="55"/>
      <c r="RFH15" s="55"/>
      <c r="RFI15" s="55"/>
      <c r="RFJ15" s="55"/>
      <c r="RFK15" s="55"/>
      <c r="RFL15" s="55"/>
      <c r="RFM15" s="55"/>
      <c r="RFN15" s="55"/>
      <c r="RFO15" s="55"/>
      <c r="RFP15" s="55"/>
      <c r="RFQ15" s="55"/>
      <c r="RFR15" s="55"/>
      <c r="RFS15" s="55"/>
      <c r="RFT15" s="55"/>
      <c r="RFU15" s="55"/>
      <c r="RFV15" s="55"/>
      <c r="RFW15" s="55"/>
      <c r="RFX15" s="55"/>
      <c r="RFY15" s="55"/>
      <c r="RFZ15" s="55"/>
      <c r="RGA15" s="55"/>
      <c r="RGB15" s="55"/>
      <c r="RGC15" s="55"/>
      <c r="RGD15" s="55"/>
      <c r="RGE15" s="55"/>
      <c r="RGF15" s="55"/>
      <c r="RGG15" s="55"/>
      <c r="RGH15" s="55"/>
      <c r="RGI15" s="55"/>
      <c r="RGJ15" s="55"/>
      <c r="RGK15" s="55"/>
      <c r="RGL15" s="55"/>
      <c r="RGM15" s="55"/>
      <c r="RGN15" s="55"/>
      <c r="RGO15" s="55"/>
      <c r="RGP15" s="55"/>
      <c r="RGQ15" s="55"/>
      <c r="RGR15" s="55"/>
      <c r="RGS15" s="55"/>
      <c r="RGT15" s="55"/>
      <c r="RGU15" s="55"/>
      <c r="RGV15" s="55"/>
      <c r="RGW15" s="55"/>
      <c r="RGX15" s="55"/>
      <c r="RGY15" s="55"/>
      <c r="RGZ15" s="55"/>
      <c r="RHA15" s="55"/>
      <c r="RHB15" s="55"/>
      <c r="RHC15" s="55"/>
      <c r="RHD15" s="55"/>
      <c r="RHE15" s="55"/>
      <c r="RHF15" s="55"/>
      <c r="RHG15" s="55"/>
      <c r="RHH15" s="55"/>
      <c r="RHI15" s="55"/>
      <c r="RHJ15" s="55"/>
      <c r="RHK15" s="55"/>
      <c r="RHL15" s="55"/>
      <c r="RHM15" s="55"/>
      <c r="RHN15" s="55"/>
      <c r="RHO15" s="55"/>
      <c r="RHP15" s="55"/>
      <c r="RHQ15" s="55"/>
      <c r="RHR15" s="55"/>
      <c r="RHS15" s="55"/>
      <c r="RHT15" s="55"/>
      <c r="RHU15" s="55"/>
      <c r="RHV15" s="55"/>
      <c r="RHW15" s="55"/>
      <c r="RHX15" s="55"/>
      <c r="RHY15" s="55"/>
      <c r="RHZ15" s="55"/>
      <c r="RIA15" s="55"/>
      <c r="RIB15" s="55"/>
      <c r="RIC15" s="55"/>
      <c r="RID15" s="55"/>
      <c r="RIE15" s="55"/>
      <c r="RIF15" s="55"/>
      <c r="RIG15" s="55"/>
      <c r="RIH15" s="55"/>
      <c r="RII15" s="55"/>
      <c r="RIJ15" s="55"/>
      <c r="RIK15" s="55"/>
      <c r="RIL15" s="55"/>
      <c r="RIM15" s="55"/>
      <c r="RIN15" s="55"/>
      <c r="RIO15" s="55"/>
      <c r="RIP15" s="55"/>
      <c r="RIQ15" s="55"/>
      <c r="RIR15" s="55"/>
      <c r="RIS15" s="55"/>
      <c r="RIT15" s="55"/>
      <c r="RIU15" s="55"/>
      <c r="RIV15" s="55"/>
      <c r="RIW15" s="55"/>
      <c r="RIX15" s="55"/>
      <c r="RIY15" s="55"/>
      <c r="RIZ15" s="55"/>
      <c r="RJA15" s="55"/>
      <c r="RJB15" s="55"/>
      <c r="RJC15" s="55"/>
      <c r="RJD15" s="55"/>
      <c r="RJE15" s="55"/>
      <c r="RJF15" s="55"/>
      <c r="RJG15" s="55"/>
      <c r="RJH15" s="55"/>
      <c r="RJI15" s="55"/>
      <c r="RJJ15" s="55"/>
      <c r="RJK15" s="55"/>
      <c r="RJL15" s="55"/>
      <c r="RJM15" s="55"/>
      <c r="RJN15" s="55"/>
      <c r="RJO15" s="55"/>
      <c r="RJP15" s="55"/>
      <c r="RJQ15" s="55"/>
      <c r="RJR15" s="55"/>
      <c r="RJS15" s="55"/>
      <c r="RJT15" s="55"/>
      <c r="RJU15" s="55"/>
      <c r="RJV15" s="55"/>
      <c r="RJW15" s="55"/>
      <c r="RJX15" s="55"/>
      <c r="RJY15" s="55"/>
      <c r="RJZ15" s="55"/>
      <c r="RKA15" s="55"/>
      <c r="RKB15" s="55"/>
      <c r="RKC15" s="55"/>
      <c r="RKD15" s="55"/>
      <c r="RKE15" s="55"/>
      <c r="RKF15" s="55"/>
      <c r="RKG15" s="55"/>
      <c r="RKH15" s="55"/>
      <c r="RKI15" s="55"/>
      <c r="RKJ15" s="55"/>
      <c r="RKK15" s="55"/>
      <c r="RKL15" s="55"/>
      <c r="RKM15" s="55"/>
      <c r="RKN15" s="55"/>
      <c r="RKO15" s="55"/>
      <c r="RKP15" s="55"/>
      <c r="RKQ15" s="55"/>
      <c r="RKR15" s="55"/>
      <c r="RKS15" s="55"/>
      <c r="RKT15" s="55"/>
      <c r="RKU15" s="55"/>
      <c r="RKV15" s="55"/>
      <c r="RKW15" s="55"/>
      <c r="RKX15" s="55"/>
      <c r="RKY15" s="55"/>
      <c r="RKZ15" s="55"/>
      <c r="RLA15" s="55"/>
      <c r="RLB15" s="55"/>
      <c r="RLC15" s="55"/>
      <c r="RLD15" s="55"/>
      <c r="RLE15" s="55"/>
      <c r="RLF15" s="55"/>
      <c r="RLG15" s="55"/>
      <c r="RLH15" s="55"/>
      <c r="RLI15" s="55"/>
      <c r="RLJ15" s="55"/>
      <c r="RLK15" s="55"/>
      <c r="RLL15" s="55"/>
      <c r="RLM15" s="55"/>
      <c r="RLN15" s="55"/>
      <c r="RLO15" s="55"/>
      <c r="RLP15" s="55"/>
      <c r="RLQ15" s="55"/>
      <c r="RLR15" s="55"/>
      <c r="RLS15" s="55"/>
      <c r="RLT15" s="55"/>
      <c r="RLU15" s="55"/>
      <c r="RLV15" s="55"/>
      <c r="RLW15" s="55"/>
      <c r="RLX15" s="55"/>
      <c r="RLY15" s="55"/>
      <c r="RLZ15" s="55"/>
      <c r="RMA15" s="55"/>
      <c r="RMB15" s="55"/>
      <c r="RMC15" s="55"/>
      <c r="RMD15" s="55"/>
      <c r="RME15" s="55"/>
      <c r="RMF15" s="55"/>
      <c r="RMG15" s="55"/>
      <c r="RMH15" s="55"/>
      <c r="RMI15" s="55"/>
      <c r="RMJ15" s="55"/>
      <c r="RMK15" s="55"/>
      <c r="RML15" s="55"/>
      <c r="RMM15" s="55"/>
      <c r="RMN15" s="55"/>
      <c r="RMO15" s="55"/>
      <c r="RMP15" s="55"/>
      <c r="RMQ15" s="55"/>
      <c r="RMR15" s="55"/>
      <c r="RMS15" s="55"/>
      <c r="RMT15" s="55"/>
      <c r="RMU15" s="55"/>
      <c r="RMV15" s="55"/>
      <c r="RMW15" s="55"/>
      <c r="RMX15" s="55"/>
      <c r="RMY15" s="55"/>
      <c r="RMZ15" s="55"/>
      <c r="RNA15" s="55"/>
      <c r="RNB15" s="55"/>
      <c r="RNC15" s="55"/>
      <c r="RND15" s="55"/>
      <c r="RNE15" s="55"/>
      <c r="RNF15" s="55"/>
      <c r="RNG15" s="55"/>
      <c r="RNH15" s="55"/>
      <c r="RNI15" s="55"/>
      <c r="RNJ15" s="55"/>
      <c r="RNK15" s="55"/>
      <c r="RNL15" s="55"/>
      <c r="RNM15" s="55"/>
      <c r="RNN15" s="55"/>
      <c r="RNO15" s="55"/>
      <c r="RNP15" s="55"/>
      <c r="RNQ15" s="55"/>
      <c r="RNR15" s="55"/>
      <c r="RNS15" s="55"/>
      <c r="RNT15" s="55"/>
      <c r="RNU15" s="55"/>
      <c r="RNV15" s="55"/>
      <c r="RNW15" s="55"/>
      <c r="RNX15" s="55"/>
      <c r="RNY15" s="55"/>
      <c r="RNZ15" s="55"/>
      <c r="ROA15" s="55"/>
      <c r="ROB15" s="55"/>
      <c r="ROC15" s="55"/>
      <c r="ROD15" s="55"/>
      <c r="ROE15" s="55"/>
      <c r="ROF15" s="55"/>
      <c r="ROG15" s="55"/>
      <c r="ROH15" s="55"/>
      <c r="ROI15" s="55"/>
      <c r="ROJ15" s="55"/>
      <c r="ROK15" s="55"/>
      <c r="ROL15" s="55"/>
      <c r="ROM15" s="55"/>
      <c r="RON15" s="55"/>
      <c r="ROO15" s="55"/>
      <c r="ROP15" s="55"/>
      <c r="ROQ15" s="55"/>
      <c r="ROR15" s="55"/>
      <c r="ROS15" s="55"/>
      <c r="ROT15" s="55"/>
      <c r="ROU15" s="55"/>
      <c r="ROV15" s="55"/>
      <c r="ROW15" s="55"/>
      <c r="ROX15" s="55"/>
      <c r="ROY15" s="55"/>
      <c r="ROZ15" s="55"/>
      <c r="RPA15" s="55"/>
      <c r="RPB15" s="55"/>
      <c r="RPC15" s="55"/>
      <c r="RPD15" s="55"/>
      <c r="RPE15" s="55"/>
      <c r="RPF15" s="55"/>
      <c r="RPG15" s="55"/>
      <c r="RPH15" s="55"/>
      <c r="RPI15" s="55"/>
      <c r="RPJ15" s="55"/>
      <c r="RPK15" s="55"/>
      <c r="RPL15" s="55"/>
      <c r="RPM15" s="55"/>
      <c r="RPN15" s="55"/>
      <c r="RPO15" s="55"/>
      <c r="RPP15" s="55"/>
      <c r="RPQ15" s="55"/>
      <c r="RPR15" s="55"/>
      <c r="RPS15" s="55"/>
      <c r="RPT15" s="55"/>
      <c r="RPU15" s="55"/>
      <c r="RPV15" s="55"/>
      <c r="RPW15" s="55"/>
      <c r="RPX15" s="55"/>
      <c r="RPY15" s="55"/>
      <c r="RPZ15" s="55"/>
      <c r="RQA15" s="55"/>
      <c r="RQB15" s="55"/>
      <c r="RQC15" s="55"/>
      <c r="RQD15" s="55"/>
      <c r="RQE15" s="55"/>
      <c r="RQF15" s="55"/>
      <c r="RQG15" s="55"/>
      <c r="RQH15" s="55"/>
      <c r="RQI15" s="55"/>
      <c r="RQJ15" s="55"/>
      <c r="RQK15" s="55"/>
      <c r="RQL15" s="55"/>
      <c r="RQM15" s="55"/>
      <c r="RQN15" s="55"/>
      <c r="RQO15" s="55"/>
      <c r="RQP15" s="55"/>
      <c r="RQQ15" s="55"/>
      <c r="RQR15" s="55"/>
      <c r="RQS15" s="55"/>
      <c r="RQT15" s="55"/>
      <c r="RQU15" s="55"/>
      <c r="RQV15" s="55"/>
      <c r="RQW15" s="55"/>
      <c r="RQX15" s="55"/>
      <c r="RQY15" s="55"/>
      <c r="RQZ15" s="55"/>
      <c r="RRA15" s="55"/>
      <c r="RRB15" s="55"/>
      <c r="RRC15" s="55"/>
      <c r="RRD15" s="55"/>
      <c r="RRE15" s="55"/>
      <c r="RRF15" s="55"/>
      <c r="RRG15" s="55"/>
      <c r="RRH15" s="55"/>
      <c r="RRI15" s="55"/>
      <c r="RRJ15" s="55"/>
      <c r="RRK15" s="55"/>
      <c r="RRL15" s="55"/>
      <c r="RRM15" s="55"/>
      <c r="RRN15" s="55"/>
      <c r="RRO15" s="55"/>
      <c r="RRP15" s="55"/>
      <c r="RRQ15" s="55"/>
      <c r="RRR15" s="55"/>
      <c r="RRS15" s="55"/>
      <c r="RRT15" s="55"/>
      <c r="RRU15" s="55"/>
      <c r="RRV15" s="55"/>
      <c r="RRW15" s="55"/>
      <c r="RRX15" s="55"/>
      <c r="RRY15" s="55"/>
      <c r="RRZ15" s="55"/>
      <c r="RSA15" s="55"/>
      <c r="RSB15" s="55"/>
      <c r="RSC15" s="55"/>
      <c r="RSD15" s="55"/>
      <c r="RSE15" s="55"/>
      <c r="RSF15" s="55"/>
      <c r="RSG15" s="55"/>
      <c r="RSH15" s="55"/>
      <c r="RSI15" s="55"/>
      <c r="RSJ15" s="55"/>
      <c r="RSK15" s="55"/>
      <c r="RSL15" s="55"/>
      <c r="RSM15" s="55"/>
      <c r="RSN15" s="55"/>
      <c r="RSO15" s="55"/>
      <c r="RSP15" s="55"/>
      <c r="RSQ15" s="55"/>
      <c r="RSR15" s="55"/>
      <c r="RSS15" s="55"/>
      <c r="RST15" s="55"/>
      <c r="RSU15" s="55"/>
      <c r="RSV15" s="55"/>
      <c r="RSW15" s="55"/>
      <c r="RSX15" s="55"/>
      <c r="RSY15" s="55"/>
      <c r="RSZ15" s="55"/>
      <c r="RTA15" s="55"/>
      <c r="RTB15" s="55"/>
      <c r="RTC15" s="55"/>
      <c r="RTD15" s="55"/>
      <c r="RTE15" s="55"/>
      <c r="RTF15" s="55"/>
      <c r="RTG15" s="55"/>
      <c r="RTH15" s="55"/>
      <c r="RTI15" s="55"/>
      <c r="RTJ15" s="55"/>
      <c r="RTK15" s="55"/>
      <c r="RTL15" s="55"/>
      <c r="RTM15" s="55"/>
      <c r="RTN15" s="55"/>
      <c r="RTO15" s="55"/>
      <c r="RTP15" s="55"/>
      <c r="RTQ15" s="55"/>
      <c r="RTR15" s="55"/>
      <c r="RTS15" s="55"/>
      <c r="RTT15" s="55"/>
      <c r="RTU15" s="55"/>
      <c r="RTV15" s="55"/>
      <c r="RTW15" s="55"/>
      <c r="RTX15" s="55"/>
      <c r="RTY15" s="55"/>
      <c r="RTZ15" s="55"/>
      <c r="RUA15" s="55"/>
      <c r="RUB15" s="55"/>
      <c r="RUC15" s="55"/>
      <c r="RUD15" s="55"/>
      <c r="RUE15" s="55"/>
      <c r="RUF15" s="55"/>
      <c r="RUG15" s="55"/>
      <c r="RUH15" s="55"/>
      <c r="RUI15" s="55"/>
      <c r="RUJ15" s="55"/>
      <c r="RUK15" s="55"/>
      <c r="RUL15" s="55"/>
      <c r="RUM15" s="55"/>
      <c r="RUN15" s="55"/>
      <c r="RUO15" s="55"/>
      <c r="RUP15" s="55"/>
      <c r="RUQ15" s="55"/>
      <c r="RUR15" s="55"/>
      <c r="RUS15" s="55"/>
      <c r="RUT15" s="55"/>
      <c r="RUU15" s="55"/>
      <c r="RUV15" s="55"/>
      <c r="RUW15" s="55"/>
      <c r="RUX15" s="55"/>
      <c r="RUY15" s="55"/>
      <c r="RUZ15" s="55"/>
      <c r="RVA15" s="55"/>
      <c r="RVB15" s="55"/>
      <c r="RVC15" s="55"/>
      <c r="RVD15" s="55"/>
      <c r="RVE15" s="55"/>
      <c r="RVF15" s="55"/>
      <c r="RVG15" s="55"/>
      <c r="RVH15" s="55"/>
      <c r="RVI15" s="55"/>
      <c r="RVJ15" s="55"/>
      <c r="RVK15" s="55"/>
      <c r="RVL15" s="55"/>
      <c r="RVM15" s="55"/>
      <c r="RVN15" s="55"/>
      <c r="RVO15" s="55"/>
      <c r="RVP15" s="55"/>
      <c r="RVQ15" s="55"/>
      <c r="RVR15" s="55"/>
      <c r="RVS15" s="55"/>
      <c r="RVT15" s="55"/>
      <c r="RVU15" s="55"/>
      <c r="RVV15" s="55"/>
      <c r="RVW15" s="55"/>
      <c r="RVX15" s="55"/>
      <c r="RVY15" s="55"/>
      <c r="RVZ15" s="55"/>
      <c r="RWA15" s="55"/>
      <c r="RWB15" s="55"/>
      <c r="RWC15" s="55"/>
      <c r="RWD15" s="55"/>
      <c r="RWE15" s="55"/>
      <c r="RWF15" s="55"/>
      <c r="RWG15" s="55"/>
      <c r="RWH15" s="55"/>
      <c r="RWI15" s="55"/>
      <c r="RWJ15" s="55"/>
      <c r="RWK15" s="55"/>
      <c r="RWL15" s="55"/>
      <c r="RWM15" s="55"/>
      <c r="RWN15" s="55"/>
      <c r="RWO15" s="55"/>
      <c r="RWP15" s="55"/>
      <c r="RWQ15" s="55"/>
      <c r="RWR15" s="55"/>
      <c r="RWS15" s="55"/>
      <c r="RWT15" s="55"/>
      <c r="RWU15" s="55"/>
      <c r="RWV15" s="55"/>
      <c r="RWW15" s="55"/>
      <c r="RWX15" s="55"/>
      <c r="RWY15" s="55"/>
      <c r="RWZ15" s="55"/>
      <c r="RXA15" s="55"/>
      <c r="RXB15" s="55"/>
      <c r="RXC15" s="55"/>
      <c r="RXD15" s="55"/>
      <c r="RXE15" s="55"/>
      <c r="RXF15" s="55"/>
      <c r="RXG15" s="55"/>
      <c r="RXH15" s="55"/>
      <c r="RXI15" s="55"/>
      <c r="RXJ15" s="55"/>
      <c r="RXK15" s="55"/>
      <c r="RXL15" s="55"/>
      <c r="RXM15" s="55"/>
      <c r="RXN15" s="55"/>
      <c r="RXO15" s="55"/>
      <c r="RXP15" s="55"/>
      <c r="RXQ15" s="55"/>
      <c r="RXR15" s="55"/>
      <c r="RXS15" s="55"/>
      <c r="RXT15" s="55"/>
      <c r="RXU15" s="55"/>
      <c r="RXV15" s="55"/>
      <c r="RXW15" s="55"/>
      <c r="RXX15" s="55"/>
      <c r="RXY15" s="55"/>
      <c r="RXZ15" s="55"/>
      <c r="RYA15" s="55"/>
      <c r="RYB15" s="55"/>
      <c r="RYC15" s="55"/>
      <c r="RYD15" s="55"/>
      <c r="RYE15" s="55"/>
      <c r="RYF15" s="55"/>
      <c r="RYG15" s="55"/>
      <c r="RYH15" s="55"/>
      <c r="RYI15" s="55"/>
      <c r="RYJ15" s="55"/>
      <c r="RYK15" s="55"/>
      <c r="RYL15" s="55"/>
      <c r="RYM15" s="55"/>
      <c r="RYN15" s="55"/>
      <c r="RYO15" s="55"/>
      <c r="RYP15" s="55"/>
      <c r="RYQ15" s="55"/>
      <c r="RYR15" s="55"/>
      <c r="RYS15" s="55"/>
      <c r="RYT15" s="55"/>
      <c r="RYU15" s="55"/>
      <c r="RYV15" s="55"/>
      <c r="RYW15" s="55"/>
      <c r="RYX15" s="55"/>
      <c r="RYY15" s="55"/>
      <c r="RYZ15" s="55"/>
      <c r="RZA15" s="55"/>
      <c r="RZB15" s="55"/>
      <c r="RZC15" s="55"/>
      <c r="RZD15" s="55"/>
      <c r="RZE15" s="55"/>
      <c r="RZF15" s="55"/>
      <c r="RZG15" s="55"/>
      <c r="RZH15" s="55"/>
      <c r="RZI15" s="55"/>
      <c r="RZJ15" s="55"/>
      <c r="RZK15" s="55"/>
      <c r="RZL15" s="55"/>
      <c r="RZM15" s="55"/>
      <c r="RZN15" s="55"/>
      <c r="RZO15" s="55"/>
      <c r="RZP15" s="55"/>
      <c r="RZQ15" s="55"/>
      <c r="RZR15" s="55"/>
      <c r="RZS15" s="55"/>
      <c r="RZT15" s="55"/>
      <c r="RZU15" s="55"/>
      <c r="RZV15" s="55"/>
      <c r="RZW15" s="55"/>
      <c r="RZX15" s="55"/>
      <c r="RZY15" s="55"/>
      <c r="RZZ15" s="55"/>
      <c r="SAA15" s="55"/>
      <c r="SAB15" s="55"/>
      <c r="SAC15" s="55"/>
      <c r="SAD15" s="55"/>
      <c r="SAE15" s="55"/>
      <c r="SAF15" s="55"/>
      <c r="SAG15" s="55"/>
      <c r="SAH15" s="55"/>
      <c r="SAI15" s="55"/>
      <c r="SAJ15" s="55"/>
      <c r="SAK15" s="55"/>
      <c r="SAL15" s="55"/>
      <c r="SAM15" s="55"/>
      <c r="SAN15" s="55"/>
      <c r="SAO15" s="55"/>
      <c r="SAP15" s="55"/>
      <c r="SAQ15" s="55"/>
      <c r="SAR15" s="55"/>
      <c r="SAS15" s="55"/>
      <c r="SAT15" s="55"/>
      <c r="SAU15" s="55"/>
      <c r="SAV15" s="55"/>
      <c r="SAW15" s="55"/>
      <c r="SAX15" s="55"/>
      <c r="SAY15" s="55"/>
      <c r="SAZ15" s="55"/>
      <c r="SBA15" s="55"/>
      <c r="SBB15" s="55"/>
      <c r="SBC15" s="55"/>
      <c r="SBD15" s="55"/>
      <c r="SBE15" s="55"/>
      <c r="SBF15" s="55"/>
      <c r="SBG15" s="55"/>
      <c r="SBH15" s="55"/>
      <c r="SBI15" s="55"/>
      <c r="SBJ15" s="55"/>
      <c r="SBK15" s="55"/>
      <c r="SBL15" s="55"/>
      <c r="SBM15" s="55"/>
      <c r="SBN15" s="55"/>
      <c r="SBO15" s="55"/>
      <c r="SBP15" s="55"/>
      <c r="SBQ15" s="55"/>
      <c r="SBR15" s="55"/>
      <c r="SBS15" s="55"/>
      <c r="SBT15" s="55"/>
      <c r="SBU15" s="55"/>
      <c r="SBV15" s="55"/>
      <c r="SBW15" s="55"/>
      <c r="SBX15" s="55"/>
      <c r="SBY15" s="55"/>
      <c r="SBZ15" s="55"/>
      <c r="SCA15" s="55"/>
      <c r="SCB15" s="55"/>
      <c r="SCC15" s="55"/>
      <c r="SCD15" s="55"/>
      <c r="SCE15" s="55"/>
      <c r="SCF15" s="55"/>
      <c r="SCG15" s="55"/>
      <c r="SCH15" s="55"/>
      <c r="SCI15" s="55"/>
      <c r="SCJ15" s="55"/>
      <c r="SCK15" s="55"/>
      <c r="SCL15" s="55"/>
      <c r="SCM15" s="55"/>
      <c r="SCN15" s="55"/>
      <c r="SCO15" s="55"/>
      <c r="SCP15" s="55"/>
      <c r="SCQ15" s="55"/>
      <c r="SCR15" s="55"/>
      <c r="SCS15" s="55"/>
      <c r="SCT15" s="55"/>
      <c r="SCU15" s="55"/>
      <c r="SCV15" s="55"/>
      <c r="SCW15" s="55"/>
      <c r="SCX15" s="55"/>
      <c r="SCY15" s="55"/>
      <c r="SCZ15" s="55"/>
      <c r="SDA15" s="55"/>
      <c r="SDB15" s="55"/>
      <c r="SDC15" s="55"/>
      <c r="SDD15" s="55"/>
      <c r="SDE15" s="55"/>
      <c r="SDF15" s="55"/>
      <c r="SDG15" s="55"/>
      <c r="SDH15" s="55"/>
      <c r="SDI15" s="55"/>
      <c r="SDJ15" s="55"/>
      <c r="SDK15" s="55"/>
      <c r="SDL15" s="55"/>
      <c r="SDM15" s="55"/>
      <c r="SDN15" s="55"/>
      <c r="SDO15" s="55"/>
      <c r="SDP15" s="55"/>
      <c r="SDQ15" s="55"/>
      <c r="SDR15" s="55"/>
      <c r="SDS15" s="55"/>
      <c r="SDT15" s="55"/>
      <c r="SDU15" s="55"/>
      <c r="SDV15" s="55"/>
      <c r="SDW15" s="55"/>
      <c r="SDX15" s="55"/>
      <c r="SDY15" s="55"/>
      <c r="SDZ15" s="55"/>
      <c r="SEA15" s="55"/>
      <c r="SEB15" s="55"/>
      <c r="SEC15" s="55"/>
      <c r="SED15" s="55"/>
      <c r="SEE15" s="55"/>
      <c r="SEF15" s="55"/>
      <c r="SEG15" s="55"/>
      <c r="SEH15" s="55"/>
      <c r="SEI15" s="55"/>
      <c r="SEJ15" s="55"/>
      <c r="SEK15" s="55"/>
      <c r="SEL15" s="55"/>
      <c r="SEM15" s="55"/>
      <c r="SEN15" s="55"/>
      <c r="SEO15" s="55"/>
      <c r="SEP15" s="55"/>
      <c r="SEQ15" s="55"/>
      <c r="SER15" s="55"/>
      <c r="SES15" s="55"/>
      <c r="SET15" s="55"/>
      <c r="SEU15" s="55"/>
      <c r="SEV15" s="55"/>
      <c r="SEW15" s="55"/>
      <c r="SEX15" s="55"/>
      <c r="SEY15" s="55"/>
      <c r="SEZ15" s="55"/>
      <c r="SFA15" s="55"/>
      <c r="SFB15" s="55"/>
      <c r="SFC15" s="55"/>
      <c r="SFD15" s="55"/>
      <c r="SFE15" s="55"/>
      <c r="SFF15" s="55"/>
      <c r="SFG15" s="55"/>
      <c r="SFH15" s="55"/>
      <c r="SFI15" s="55"/>
      <c r="SFJ15" s="55"/>
      <c r="SFK15" s="55"/>
      <c r="SFL15" s="55"/>
      <c r="SFM15" s="55"/>
      <c r="SFN15" s="55"/>
      <c r="SFO15" s="55"/>
      <c r="SFP15" s="55"/>
      <c r="SFQ15" s="55"/>
      <c r="SFR15" s="55"/>
      <c r="SFS15" s="55"/>
      <c r="SFT15" s="55"/>
      <c r="SFU15" s="55"/>
      <c r="SFV15" s="55"/>
      <c r="SFW15" s="55"/>
      <c r="SFX15" s="55"/>
      <c r="SFY15" s="55"/>
      <c r="SFZ15" s="55"/>
      <c r="SGA15" s="55"/>
      <c r="SGB15" s="55"/>
      <c r="SGC15" s="55"/>
      <c r="SGD15" s="55"/>
      <c r="SGE15" s="55"/>
      <c r="SGF15" s="55"/>
      <c r="SGG15" s="55"/>
      <c r="SGH15" s="55"/>
      <c r="SGI15" s="55"/>
      <c r="SGJ15" s="55"/>
      <c r="SGK15" s="55"/>
      <c r="SGL15" s="55"/>
      <c r="SGM15" s="55"/>
      <c r="SGN15" s="55"/>
      <c r="SGO15" s="55"/>
      <c r="SGP15" s="55"/>
      <c r="SGQ15" s="55"/>
      <c r="SGR15" s="55"/>
      <c r="SGS15" s="55"/>
      <c r="SGT15" s="55"/>
      <c r="SGU15" s="55"/>
      <c r="SGV15" s="55"/>
      <c r="SGW15" s="55"/>
      <c r="SGX15" s="55"/>
      <c r="SGY15" s="55"/>
      <c r="SGZ15" s="55"/>
      <c r="SHA15" s="55"/>
      <c r="SHB15" s="55"/>
      <c r="SHC15" s="55"/>
      <c r="SHD15" s="55"/>
      <c r="SHE15" s="55"/>
      <c r="SHF15" s="55"/>
      <c r="SHG15" s="55"/>
      <c r="SHH15" s="55"/>
      <c r="SHI15" s="55"/>
      <c r="SHJ15" s="55"/>
      <c r="SHK15" s="55"/>
      <c r="SHL15" s="55"/>
      <c r="SHM15" s="55"/>
      <c r="SHN15" s="55"/>
      <c r="SHO15" s="55"/>
      <c r="SHP15" s="55"/>
      <c r="SHQ15" s="55"/>
      <c r="SHR15" s="55"/>
      <c r="SHS15" s="55"/>
      <c r="SHT15" s="55"/>
      <c r="SHU15" s="55"/>
      <c r="SHV15" s="55"/>
      <c r="SHW15" s="55"/>
      <c r="SHX15" s="55"/>
      <c r="SHY15" s="55"/>
      <c r="SHZ15" s="55"/>
      <c r="SIA15" s="55"/>
      <c r="SIB15" s="55"/>
      <c r="SIC15" s="55"/>
      <c r="SID15" s="55"/>
      <c r="SIE15" s="55"/>
      <c r="SIF15" s="55"/>
      <c r="SIG15" s="55"/>
      <c r="SIH15" s="55"/>
      <c r="SII15" s="55"/>
      <c r="SIJ15" s="55"/>
      <c r="SIK15" s="55"/>
      <c r="SIL15" s="55"/>
      <c r="SIM15" s="55"/>
      <c r="SIN15" s="55"/>
      <c r="SIO15" s="55"/>
      <c r="SIP15" s="55"/>
      <c r="SIQ15" s="55"/>
      <c r="SIR15" s="55"/>
      <c r="SIS15" s="55"/>
      <c r="SIT15" s="55"/>
      <c r="SIU15" s="55"/>
      <c r="SIV15" s="55"/>
      <c r="SIW15" s="55"/>
      <c r="SIX15" s="55"/>
      <c r="SIY15" s="55"/>
      <c r="SIZ15" s="55"/>
      <c r="SJA15" s="55"/>
      <c r="SJB15" s="55"/>
      <c r="SJC15" s="55"/>
      <c r="SJD15" s="55"/>
      <c r="SJE15" s="55"/>
      <c r="SJF15" s="55"/>
      <c r="SJG15" s="55"/>
      <c r="SJH15" s="55"/>
      <c r="SJI15" s="55"/>
      <c r="SJJ15" s="55"/>
      <c r="SJK15" s="55"/>
      <c r="SJL15" s="55"/>
      <c r="SJM15" s="55"/>
      <c r="SJN15" s="55"/>
      <c r="SJO15" s="55"/>
      <c r="SJP15" s="55"/>
      <c r="SJQ15" s="55"/>
      <c r="SJR15" s="55"/>
      <c r="SJS15" s="55"/>
      <c r="SJT15" s="55"/>
      <c r="SJU15" s="55"/>
      <c r="SJV15" s="55"/>
      <c r="SJW15" s="55"/>
      <c r="SJX15" s="55"/>
      <c r="SJY15" s="55"/>
      <c r="SJZ15" s="55"/>
      <c r="SKA15" s="55"/>
      <c r="SKB15" s="55"/>
      <c r="SKC15" s="55"/>
      <c r="SKD15" s="55"/>
      <c r="SKE15" s="55"/>
      <c r="SKF15" s="55"/>
      <c r="SKG15" s="55"/>
      <c r="SKH15" s="55"/>
      <c r="SKI15" s="55"/>
      <c r="SKJ15" s="55"/>
      <c r="SKK15" s="55"/>
      <c r="SKL15" s="55"/>
      <c r="SKM15" s="55"/>
      <c r="SKN15" s="55"/>
      <c r="SKO15" s="55"/>
      <c r="SKP15" s="55"/>
      <c r="SKQ15" s="55"/>
      <c r="SKR15" s="55"/>
      <c r="SKS15" s="55"/>
      <c r="SKT15" s="55"/>
      <c r="SKU15" s="55"/>
      <c r="SKV15" s="55"/>
      <c r="SKW15" s="55"/>
      <c r="SKX15" s="55"/>
      <c r="SKY15" s="55"/>
      <c r="SKZ15" s="55"/>
      <c r="SLA15" s="55"/>
      <c r="SLB15" s="55"/>
      <c r="SLC15" s="55"/>
      <c r="SLD15" s="55"/>
      <c r="SLE15" s="55"/>
      <c r="SLF15" s="55"/>
      <c r="SLG15" s="55"/>
      <c r="SLH15" s="55"/>
      <c r="SLI15" s="55"/>
      <c r="SLJ15" s="55"/>
      <c r="SLK15" s="55"/>
      <c r="SLL15" s="55"/>
      <c r="SLM15" s="55"/>
      <c r="SLN15" s="55"/>
      <c r="SLO15" s="55"/>
      <c r="SLP15" s="55"/>
      <c r="SLQ15" s="55"/>
      <c r="SLR15" s="55"/>
      <c r="SLS15" s="55"/>
      <c r="SLT15" s="55"/>
      <c r="SLU15" s="55"/>
      <c r="SLV15" s="55"/>
      <c r="SLW15" s="55"/>
      <c r="SLX15" s="55"/>
      <c r="SLY15" s="55"/>
      <c r="SLZ15" s="55"/>
      <c r="SMA15" s="55"/>
      <c r="SMB15" s="55"/>
      <c r="SMC15" s="55"/>
      <c r="SMD15" s="55"/>
      <c r="SME15" s="55"/>
      <c r="SMF15" s="55"/>
      <c r="SMG15" s="55"/>
      <c r="SMH15" s="55"/>
      <c r="SMI15" s="55"/>
      <c r="SMJ15" s="55"/>
      <c r="SMK15" s="55"/>
      <c r="SML15" s="55"/>
      <c r="SMM15" s="55"/>
      <c r="SMN15" s="55"/>
      <c r="SMO15" s="55"/>
      <c r="SMP15" s="55"/>
      <c r="SMQ15" s="55"/>
      <c r="SMR15" s="55"/>
      <c r="SMS15" s="55"/>
      <c r="SMT15" s="55"/>
      <c r="SMU15" s="55"/>
      <c r="SMV15" s="55"/>
      <c r="SMW15" s="55"/>
      <c r="SMX15" s="55"/>
      <c r="SMY15" s="55"/>
      <c r="SMZ15" s="55"/>
      <c r="SNA15" s="55"/>
      <c r="SNB15" s="55"/>
      <c r="SNC15" s="55"/>
      <c r="SND15" s="55"/>
      <c r="SNE15" s="55"/>
      <c r="SNF15" s="55"/>
      <c r="SNG15" s="55"/>
      <c r="SNH15" s="55"/>
      <c r="SNI15" s="55"/>
      <c r="SNJ15" s="55"/>
      <c r="SNK15" s="55"/>
      <c r="SNL15" s="55"/>
      <c r="SNM15" s="55"/>
      <c r="SNN15" s="55"/>
      <c r="SNO15" s="55"/>
      <c r="SNP15" s="55"/>
      <c r="SNQ15" s="55"/>
      <c r="SNR15" s="55"/>
      <c r="SNS15" s="55"/>
      <c r="SNT15" s="55"/>
      <c r="SNU15" s="55"/>
      <c r="SNV15" s="55"/>
      <c r="SNW15" s="55"/>
      <c r="SNX15" s="55"/>
      <c r="SNY15" s="55"/>
      <c r="SNZ15" s="55"/>
      <c r="SOA15" s="55"/>
      <c r="SOB15" s="55"/>
      <c r="SOC15" s="55"/>
      <c r="SOD15" s="55"/>
      <c r="SOE15" s="55"/>
      <c r="SOF15" s="55"/>
      <c r="SOG15" s="55"/>
      <c r="SOH15" s="55"/>
      <c r="SOI15" s="55"/>
      <c r="SOJ15" s="55"/>
      <c r="SOK15" s="55"/>
      <c r="SOL15" s="55"/>
      <c r="SOM15" s="55"/>
      <c r="SON15" s="55"/>
      <c r="SOO15" s="55"/>
      <c r="SOP15" s="55"/>
      <c r="SOQ15" s="55"/>
      <c r="SOR15" s="55"/>
      <c r="SOS15" s="55"/>
      <c r="SOT15" s="55"/>
      <c r="SOU15" s="55"/>
      <c r="SOV15" s="55"/>
      <c r="SOW15" s="55"/>
      <c r="SOX15" s="55"/>
      <c r="SOY15" s="55"/>
      <c r="SOZ15" s="55"/>
      <c r="SPA15" s="55"/>
      <c r="SPB15" s="55"/>
      <c r="SPC15" s="55"/>
      <c r="SPD15" s="55"/>
      <c r="SPE15" s="55"/>
      <c r="SPF15" s="55"/>
      <c r="SPG15" s="55"/>
      <c r="SPH15" s="55"/>
      <c r="SPI15" s="55"/>
      <c r="SPJ15" s="55"/>
      <c r="SPK15" s="55"/>
      <c r="SPL15" s="55"/>
      <c r="SPM15" s="55"/>
      <c r="SPN15" s="55"/>
      <c r="SPO15" s="55"/>
      <c r="SPP15" s="55"/>
      <c r="SPQ15" s="55"/>
      <c r="SPR15" s="55"/>
      <c r="SPS15" s="55"/>
      <c r="SPT15" s="55"/>
      <c r="SPU15" s="55"/>
      <c r="SPV15" s="55"/>
      <c r="SPW15" s="55"/>
      <c r="SPX15" s="55"/>
      <c r="SPY15" s="55"/>
      <c r="SPZ15" s="55"/>
      <c r="SQA15" s="55"/>
      <c r="SQB15" s="55"/>
      <c r="SQC15" s="55"/>
      <c r="SQD15" s="55"/>
      <c r="SQE15" s="55"/>
      <c r="SQF15" s="55"/>
      <c r="SQG15" s="55"/>
      <c r="SQH15" s="55"/>
      <c r="SQI15" s="55"/>
      <c r="SQJ15" s="55"/>
      <c r="SQK15" s="55"/>
      <c r="SQL15" s="55"/>
      <c r="SQM15" s="55"/>
      <c r="SQN15" s="55"/>
      <c r="SQO15" s="55"/>
      <c r="SQP15" s="55"/>
      <c r="SQQ15" s="55"/>
      <c r="SQR15" s="55"/>
      <c r="SQS15" s="55"/>
      <c r="SQT15" s="55"/>
      <c r="SQU15" s="55"/>
      <c r="SQV15" s="55"/>
      <c r="SQW15" s="55"/>
      <c r="SQX15" s="55"/>
      <c r="SQY15" s="55"/>
      <c r="SQZ15" s="55"/>
      <c r="SRA15" s="55"/>
      <c r="SRB15" s="55"/>
      <c r="SRC15" s="55"/>
      <c r="SRD15" s="55"/>
      <c r="SRE15" s="55"/>
      <c r="SRF15" s="55"/>
      <c r="SRG15" s="55"/>
      <c r="SRH15" s="55"/>
      <c r="SRI15" s="55"/>
      <c r="SRJ15" s="55"/>
      <c r="SRK15" s="55"/>
      <c r="SRL15" s="55"/>
      <c r="SRM15" s="55"/>
      <c r="SRN15" s="55"/>
      <c r="SRO15" s="55"/>
      <c r="SRP15" s="55"/>
      <c r="SRQ15" s="55"/>
      <c r="SRR15" s="55"/>
      <c r="SRS15" s="55"/>
      <c r="SRT15" s="55"/>
      <c r="SRU15" s="55"/>
      <c r="SRV15" s="55"/>
      <c r="SRW15" s="55"/>
      <c r="SRX15" s="55"/>
      <c r="SRY15" s="55"/>
      <c r="SRZ15" s="55"/>
      <c r="SSA15" s="55"/>
      <c r="SSB15" s="55"/>
      <c r="SSC15" s="55"/>
      <c r="SSD15" s="55"/>
      <c r="SSE15" s="55"/>
      <c r="SSF15" s="55"/>
      <c r="SSG15" s="55"/>
      <c r="SSH15" s="55"/>
      <c r="SSI15" s="55"/>
      <c r="SSJ15" s="55"/>
      <c r="SSK15" s="55"/>
      <c r="SSL15" s="55"/>
      <c r="SSM15" s="55"/>
      <c r="SSN15" s="55"/>
      <c r="SSO15" s="55"/>
      <c r="SSP15" s="55"/>
      <c r="SSQ15" s="55"/>
      <c r="SSR15" s="55"/>
      <c r="SSS15" s="55"/>
      <c r="SST15" s="55"/>
      <c r="SSU15" s="55"/>
      <c r="SSV15" s="55"/>
      <c r="SSW15" s="55"/>
      <c r="SSX15" s="55"/>
      <c r="SSY15" s="55"/>
      <c r="SSZ15" s="55"/>
      <c r="STA15" s="55"/>
      <c r="STB15" s="55"/>
      <c r="STC15" s="55"/>
      <c r="STD15" s="55"/>
      <c r="STE15" s="55"/>
      <c r="STF15" s="55"/>
      <c r="STG15" s="55"/>
      <c r="STH15" s="55"/>
      <c r="STI15" s="55"/>
      <c r="STJ15" s="55"/>
      <c r="STK15" s="55"/>
      <c r="STL15" s="55"/>
      <c r="STM15" s="55"/>
      <c r="STN15" s="55"/>
      <c r="STO15" s="55"/>
      <c r="STP15" s="55"/>
      <c r="STQ15" s="55"/>
      <c r="STR15" s="55"/>
      <c r="STS15" s="55"/>
      <c r="STT15" s="55"/>
      <c r="STU15" s="55"/>
      <c r="STV15" s="55"/>
      <c r="STW15" s="55"/>
      <c r="STX15" s="55"/>
      <c r="STY15" s="55"/>
      <c r="STZ15" s="55"/>
      <c r="SUA15" s="55"/>
      <c r="SUB15" s="55"/>
      <c r="SUC15" s="55"/>
      <c r="SUD15" s="55"/>
      <c r="SUE15" s="55"/>
      <c r="SUF15" s="55"/>
      <c r="SUG15" s="55"/>
      <c r="SUH15" s="55"/>
      <c r="SUI15" s="55"/>
      <c r="SUJ15" s="55"/>
      <c r="SUK15" s="55"/>
      <c r="SUL15" s="55"/>
      <c r="SUM15" s="55"/>
      <c r="SUN15" s="55"/>
      <c r="SUO15" s="55"/>
      <c r="SUP15" s="55"/>
      <c r="SUQ15" s="55"/>
      <c r="SUR15" s="55"/>
      <c r="SUS15" s="55"/>
      <c r="SUT15" s="55"/>
      <c r="SUU15" s="55"/>
      <c r="SUV15" s="55"/>
      <c r="SUW15" s="55"/>
      <c r="SUX15" s="55"/>
      <c r="SUY15" s="55"/>
      <c r="SUZ15" s="55"/>
      <c r="SVA15" s="55"/>
      <c r="SVB15" s="55"/>
      <c r="SVC15" s="55"/>
      <c r="SVD15" s="55"/>
      <c r="SVE15" s="55"/>
      <c r="SVF15" s="55"/>
      <c r="SVG15" s="55"/>
      <c r="SVH15" s="55"/>
      <c r="SVI15" s="55"/>
      <c r="SVJ15" s="55"/>
      <c r="SVK15" s="55"/>
      <c r="SVL15" s="55"/>
      <c r="SVM15" s="55"/>
      <c r="SVN15" s="55"/>
      <c r="SVO15" s="55"/>
      <c r="SVP15" s="55"/>
      <c r="SVQ15" s="55"/>
      <c r="SVR15" s="55"/>
      <c r="SVS15" s="55"/>
      <c r="SVT15" s="55"/>
      <c r="SVU15" s="55"/>
      <c r="SVV15" s="55"/>
      <c r="SVW15" s="55"/>
      <c r="SVX15" s="55"/>
      <c r="SVY15" s="55"/>
      <c r="SVZ15" s="55"/>
      <c r="SWA15" s="55"/>
      <c r="SWB15" s="55"/>
      <c r="SWC15" s="55"/>
      <c r="SWD15" s="55"/>
      <c r="SWE15" s="55"/>
      <c r="SWF15" s="55"/>
      <c r="SWG15" s="55"/>
      <c r="SWH15" s="55"/>
      <c r="SWI15" s="55"/>
      <c r="SWJ15" s="55"/>
      <c r="SWK15" s="55"/>
      <c r="SWL15" s="55"/>
      <c r="SWM15" s="55"/>
      <c r="SWN15" s="55"/>
      <c r="SWO15" s="55"/>
      <c r="SWP15" s="55"/>
      <c r="SWQ15" s="55"/>
      <c r="SWR15" s="55"/>
      <c r="SWS15" s="55"/>
      <c r="SWT15" s="55"/>
      <c r="SWU15" s="55"/>
      <c r="SWV15" s="55"/>
      <c r="SWW15" s="55"/>
      <c r="SWX15" s="55"/>
      <c r="SWY15" s="55"/>
      <c r="SWZ15" s="55"/>
      <c r="SXA15" s="55"/>
      <c r="SXB15" s="55"/>
      <c r="SXC15" s="55"/>
      <c r="SXD15" s="55"/>
      <c r="SXE15" s="55"/>
      <c r="SXF15" s="55"/>
      <c r="SXG15" s="55"/>
      <c r="SXH15" s="55"/>
      <c r="SXI15" s="55"/>
      <c r="SXJ15" s="55"/>
      <c r="SXK15" s="55"/>
      <c r="SXL15" s="55"/>
      <c r="SXM15" s="55"/>
      <c r="SXN15" s="55"/>
      <c r="SXO15" s="55"/>
      <c r="SXP15" s="55"/>
      <c r="SXQ15" s="55"/>
      <c r="SXR15" s="55"/>
      <c r="SXS15" s="55"/>
      <c r="SXT15" s="55"/>
      <c r="SXU15" s="55"/>
      <c r="SXV15" s="55"/>
      <c r="SXW15" s="55"/>
      <c r="SXX15" s="55"/>
      <c r="SXY15" s="55"/>
      <c r="SXZ15" s="55"/>
      <c r="SYA15" s="55"/>
      <c r="SYB15" s="55"/>
      <c r="SYC15" s="55"/>
      <c r="SYD15" s="55"/>
      <c r="SYE15" s="55"/>
      <c r="SYF15" s="55"/>
      <c r="SYG15" s="55"/>
      <c r="SYH15" s="55"/>
      <c r="SYI15" s="55"/>
      <c r="SYJ15" s="55"/>
      <c r="SYK15" s="55"/>
      <c r="SYL15" s="55"/>
      <c r="SYM15" s="55"/>
      <c r="SYN15" s="55"/>
      <c r="SYO15" s="55"/>
      <c r="SYP15" s="55"/>
      <c r="SYQ15" s="55"/>
      <c r="SYR15" s="55"/>
      <c r="SYS15" s="55"/>
      <c r="SYT15" s="55"/>
      <c r="SYU15" s="55"/>
      <c r="SYV15" s="55"/>
      <c r="SYW15" s="55"/>
      <c r="SYX15" s="55"/>
      <c r="SYY15" s="55"/>
      <c r="SYZ15" s="55"/>
      <c r="SZA15" s="55"/>
      <c r="SZB15" s="55"/>
      <c r="SZC15" s="55"/>
      <c r="SZD15" s="55"/>
      <c r="SZE15" s="55"/>
      <c r="SZF15" s="55"/>
      <c r="SZG15" s="55"/>
      <c r="SZH15" s="55"/>
      <c r="SZI15" s="55"/>
      <c r="SZJ15" s="55"/>
      <c r="SZK15" s="55"/>
      <c r="SZL15" s="55"/>
      <c r="SZM15" s="55"/>
      <c r="SZN15" s="55"/>
      <c r="SZO15" s="55"/>
      <c r="SZP15" s="55"/>
      <c r="SZQ15" s="55"/>
      <c r="SZR15" s="55"/>
      <c r="SZS15" s="55"/>
      <c r="SZT15" s="55"/>
      <c r="SZU15" s="55"/>
      <c r="SZV15" s="55"/>
      <c r="SZW15" s="55"/>
      <c r="SZX15" s="55"/>
      <c r="SZY15" s="55"/>
      <c r="SZZ15" s="55"/>
      <c r="TAA15" s="55"/>
      <c r="TAB15" s="55"/>
      <c r="TAC15" s="55"/>
      <c r="TAD15" s="55"/>
      <c r="TAE15" s="55"/>
      <c r="TAF15" s="55"/>
      <c r="TAG15" s="55"/>
      <c r="TAH15" s="55"/>
      <c r="TAI15" s="55"/>
      <c r="TAJ15" s="55"/>
      <c r="TAK15" s="55"/>
      <c r="TAL15" s="55"/>
      <c r="TAM15" s="55"/>
      <c r="TAN15" s="55"/>
      <c r="TAO15" s="55"/>
      <c r="TAP15" s="55"/>
      <c r="TAQ15" s="55"/>
      <c r="TAR15" s="55"/>
      <c r="TAS15" s="55"/>
      <c r="TAT15" s="55"/>
      <c r="TAU15" s="55"/>
      <c r="TAV15" s="55"/>
      <c r="TAW15" s="55"/>
      <c r="TAX15" s="55"/>
      <c r="TAY15" s="55"/>
      <c r="TAZ15" s="55"/>
      <c r="TBA15" s="55"/>
      <c r="TBB15" s="55"/>
      <c r="TBC15" s="55"/>
      <c r="TBD15" s="55"/>
      <c r="TBE15" s="55"/>
      <c r="TBF15" s="55"/>
      <c r="TBG15" s="55"/>
      <c r="TBH15" s="55"/>
      <c r="TBI15" s="55"/>
      <c r="TBJ15" s="55"/>
      <c r="TBK15" s="55"/>
      <c r="TBL15" s="55"/>
      <c r="TBM15" s="55"/>
      <c r="TBN15" s="55"/>
      <c r="TBO15" s="55"/>
      <c r="TBP15" s="55"/>
      <c r="TBQ15" s="55"/>
      <c r="TBR15" s="55"/>
      <c r="TBS15" s="55"/>
      <c r="TBT15" s="55"/>
      <c r="TBU15" s="55"/>
      <c r="TBV15" s="55"/>
      <c r="TBW15" s="55"/>
      <c r="TBX15" s="55"/>
      <c r="TBY15" s="55"/>
      <c r="TBZ15" s="55"/>
      <c r="TCA15" s="55"/>
      <c r="TCB15" s="55"/>
      <c r="TCC15" s="55"/>
      <c r="TCD15" s="55"/>
      <c r="TCE15" s="55"/>
      <c r="TCF15" s="55"/>
      <c r="TCG15" s="55"/>
      <c r="TCH15" s="55"/>
      <c r="TCI15" s="55"/>
      <c r="TCJ15" s="55"/>
      <c r="TCK15" s="55"/>
      <c r="TCL15" s="55"/>
      <c r="TCM15" s="55"/>
      <c r="TCN15" s="55"/>
      <c r="TCO15" s="55"/>
      <c r="TCP15" s="55"/>
      <c r="TCQ15" s="55"/>
      <c r="TCR15" s="55"/>
      <c r="TCS15" s="55"/>
      <c r="TCT15" s="55"/>
      <c r="TCU15" s="55"/>
      <c r="TCV15" s="55"/>
      <c r="TCW15" s="55"/>
      <c r="TCX15" s="55"/>
      <c r="TCY15" s="55"/>
      <c r="TCZ15" s="55"/>
      <c r="TDA15" s="55"/>
      <c r="TDB15" s="55"/>
      <c r="TDC15" s="55"/>
      <c r="TDD15" s="55"/>
      <c r="TDE15" s="55"/>
      <c r="TDF15" s="55"/>
      <c r="TDG15" s="55"/>
      <c r="TDH15" s="55"/>
      <c r="TDI15" s="55"/>
      <c r="TDJ15" s="55"/>
      <c r="TDK15" s="55"/>
      <c r="TDL15" s="55"/>
      <c r="TDM15" s="55"/>
      <c r="TDN15" s="55"/>
      <c r="TDO15" s="55"/>
      <c r="TDP15" s="55"/>
      <c r="TDQ15" s="55"/>
      <c r="TDR15" s="55"/>
      <c r="TDS15" s="55"/>
      <c r="TDT15" s="55"/>
      <c r="TDU15" s="55"/>
      <c r="TDV15" s="55"/>
      <c r="TDW15" s="55"/>
      <c r="TDX15" s="55"/>
      <c r="TDY15" s="55"/>
      <c r="TDZ15" s="55"/>
      <c r="TEA15" s="55"/>
      <c r="TEB15" s="55"/>
      <c r="TEC15" s="55"/>
      <c r="TED15" s="55"/>
      <c r="TEE15" s="55"/>
      <c r="TEF15" s="55"/>
      <c r="TEG15" s="55"/>
      <c r="TEH15" s="55"/>
      <c r="TEI15" s="55"/>
      <c r="TEJ15" s="55"/>
      <c r="TEK15" s="55"/>
      <c r="TEL15" s="55"/>
      <c r="TEM15" s="55"/>
      <c r="TEN15" s="55"/>
      <c r="TEO15" s="55"/>
      <c r="TEP15" s="55"/>
      <c r="TEQ15" s="55"/>
      <c r="TER15" s="55"/>
      <c r="TES15" s="55"/>
      <c r="TET15" s="55"/>
      <c r="TEU15" s="55"/>
      <c r="TEV15" s="55"/>
      <c r="TEW15" s="55"/>
      <c r="TEX15" s="55"/>
      <c r="TEY15" s="55"/>
      <c r="TEZ15" s="55"/>
      <c r="TFA15" s="55"/>
      <c r="TFB15" s="55"/>
      <c r="TFC15" s="55"/>
      <c r="TFD15" s="55"/>
      <c r="TFE15" s="55"/>
      <c r="TFF15" s="55"/>
      <c r="TFG15" s="55"/>
      <c r="TFH15" s="55"/>
      <c r="TFI15" s="55"/>
      <c r="TFJ15" s="55"/>
      <c r="TFK15" s="55"/>
      <c r="TFL15" s="55"/>
      <c r="TFM15" s="55"/>
      <c r="TFN15" s="55"/>
      <c r="TFO15" s="55"/>
      <c r="TFP15" s="55"/>
      <c r="TFQ15" s="55"/>
      <c r="TFR15" s="55"/>
      <c r="TFS15" s="55"/>
      <c r="TFT15" s="55"/>
      <c r="TFU15" s="55"/>
      <c r="TFV15" s="55"/>
      <c r="TFW15" s="55"/>
      <c r="TFX15" s="55"/>
      <c r="TFY15" s="55"/>
      <c r="TFZ15" s="55"/>
      <c r="TGA15" s="55"/>
      <c r="TGB15" s="55"/>
      <c r="TGC15" s="55"/>
      <c r="TGD15" s="55"/>
      <c r="TGE15" s="55"/>
      <c r="TGF15" s="55"/>
      <c r="TGG15" s="55"/>
      <c r="TGH15" s="55"/>
      <c r="TGI15" s="55"/>
      <c r="TGJ15" s="55"/>
      <c r="TGK15" s="55"/>
      <c r="TGL15" s="55"/>
      <c r="TGM15" s="55"/>
      <c r="TGN15" s="55"/>
      <c r="TGO15" s="55"/>
      <c r="TGP15" s="55"/>
      <c r="TGQ15" s="55"/>
      <c r="TGR15" s="55"/>
      <c r="TGS15" s="55"/>
      <c r="TGT15" s="55"/>
      <c r="TGU15" s="55"/>
      <c r="TGV15" s="55"/>
      <c r="TGW15" s="55"/>
      <c r="TGX15" s="55"/>
      <c r="TGY15" s="55"/>
      <c r="TGZ15" s="55"/>
      <c r="THA15" s="55"/>
      <c r="THB15" s="55"/>
      <c r="THC15" s="55"/>
      <c r="THD15" s="55"/>
      <c r="THE15" s="55"/>
      <c r="THF15" s="55"/>
      <c r="THG15" s="55"/>
      <c r="THH15" s="55"/>
      <c r="THI15" s="55"/>
      <c r="THJ15" s="55"/>
      <c r="THK15" s="55"/>
      <c r="THL15" s="55"/>
      <c r="THM15" s="55"/>
      <c r="THN15" s="55"/>
      <c r="THO15" s="55"/>
      <c r="THP15" s="55"/>
      <c r="THQ15" s="55"/>
      <c r="THR15" s="55"/>
      <c r="THS15" s="55"/>
      <c r="THT15" s="55"/>
      <c r="THU15" s="55"/>
      <c r="THV15" s="55"/>
      <c r="THW15" s="55"/>
      <c r="THX15" s="55"/>
      <c r="THY15" s="55"/>
      <c r="THZ15" s="55"/>
      <c r="TIA15" s="55"/>
      <c r="TIB15" s="55"/>
      <c r="TIC15" s="55"/>
      <c r="TID15" s="55"/>
      <c r="TIE15" s="55"/>
      <c r="TIF15" s="55"/>
      <c r="TIG15" s="55"/>
      <c r="TIH15" s="55"/>
      <c r="TII15" s="55"/>
      <c r="TIJ15" s="55"/>
      <c r="TIK15" s="55"/>
      <c r="TIL15" s="55"/>
      <c r="TIM15" s="55"/>
      <c r="TIN15" s="55"/>
      <c r="TIO15" s="55"/>
      <c r="TIP15" s="55"/>
      <c r="TIQ15" s="55"/>
      <c r="TIR15" s="55"/>
      <c r="TIS15" s="55"/>
      <c r="TIT15" s="55"/>
      <c r="TIU15" s="55"/>
      <c r="TIV15" s="55"/>
      <c r="TIW15" s="55"/>
      <c r="TIX15" s="55"/>
      <c r="TIY15" s="55"/>
      <c r="TIZ15" s="55"/>
      <c r="TJA15" s="55"/>
      <c r="TJB15" s="55"/>
      <c r="TJC15" s="55"/>
      <c r="TJD15" s="55"/>
      <c r="TJE15" s="55"/>
      <c r="TJF15" s="55"/>
      <c r="TJG15" s="55"/>
      <c r="TJH15" s="55"/>
      <c r="TJI15" s="55"/>
      <c r="TJJ15" s="55"/>
      <c r="TJK15" s="55"/>
      <c r="TJL15" s="55"/>
      <c r="TJM15" s="55"/>
      <c r="TJN15" s="55"/>
      <c r="TJO15" s="55"/>
      <c r="TJP15" s="55"/>
      <c r="TJQ15" s="55"/>
      <c r="TJR15" s="55"/>
      <c r="TJS15" s="55"/>
      <c r="TJT15" s="55"/>
      <c r="TJU15" s="55"/>
      <c r="TJV15" s="55"/>
      <c r="TJW15" s="55"/>
      <c r="TJX15" s="55"/>
      <c r="TJY15" s="55"/>
      <c r="TJZ15" s="55"/>
      <c r="TKA15" s="55"/>
      <c r="TKB15" s="55"/>
      <c r="TKC15" s="55"/>
      <c r="TKD15" s="55"/>
      <c r="TKE15" s="55"/>
      <c r="TKF15" s="55"/>
      <c r="TKG15" s="55"/>
      <c r="TKH15" s="55"/>
      <c r="TKI15" s="55"/>
      <c r="TKJ15" s="55"/>
      <c r="TKK15" s="55"/>
      <c r="TKL15" s="55"/>
      <c r="TKM15" s="55"/>
      <c r="TKN15" s="55"/>
      <c r="TKO15" s="55"/>
      <c r="TKP15" s="55"/>
      <c r="TKQ15" s="55"/>
      <c r="TKR15" s="55"/>
      <c r="TKS15" s="55"/>
      <c r="TKT15" s="55"/>
      <c r="TKU15" s="55"/>
      <c r="TKV15" s="55"/>
      <c r="TKW15" s="55"/>
      <c r="TKX15" s="55"/>
      <c r="TKY15" s="55"/>
      <c r="TKZ15" s="55"/>
      <c r="TLA15" s="55"/>
      <c r="TLB15" s="55"/>
      <c r="TLC15" s="55"/>
      <c r="TLD15" s="55"/>
      <c r="TLE15" s="55"/>
      <c r="TLF15" s="55"/>
      <c r="TLG15" s="55"/>
      <c r="TLH15" s="55"/>
      <c r="TLI15" s="55"/>
      <c r="TLJ15" s="55"/>
      <c r="TLK15" s="55"/>
      <c r="TLL15" s="55"/>
      <c r="TLM15" s="55"/>
      <c r="TLN15" s="55"/>
      <c r="TLO15" s="55"/>
      <c r="TLP15" s="55"/>
      <c r="TLQ15" s="55"/>
      <c r="TLR15" s="55"/>
      <c r="TLS15" s="55"/>
      <c r="TLT15" s="55"/>
      <c r="TLU15" s="55"/>
      <c r="TLV15" s="55"/>
      <c r="TLW15" s="55"/>
      <c r="TLX15" s="55"/>
      <c r="TLY15" s="55"/>
      <c r="TLZ15" s="55"/>
      <c r="TMA15" s="55"/>
      <c r="TMB15" s="55"/>
      <c r="TMC15" s="55"/>
      <c r="TMD15" s="55"/>
      <c r="TME15" s="55"/>
      <c r="TMF15" s="55"/>
      <c r="TMG15" s="55"/>
      <c r="TMH15" s="55"/>
      <c r="TMI15" s="55"/>
      <c r="TMJ15" s="55"/>
      <c r="TMK15" s="55"/>
      <c r="TML15" s="55"/>
      <c r="TMM15" s="55"/>
      <c r="TMN15" s="55"/>
      <c r="TMO15" s="55"/>
      <c r="TMP15" s="55"/>
      <c r="TMQ15" s="55"/>
      <c r="TMR15" s="55"/>
      <c r="TMS15" s="55"/>
      <c r="TMT15" s="55"/>
      <c r="TMU15" s="55"/>
      <c r="TMV15" s="55"/>
      <c r="TMW15" s="55"/>
      <c r="TMX15" s="55"/>
      <c r="TMY15" s="55"/>
      <c r="TMZ15" s="55"/>
      <c r="TNA15" s="55"/>
      <c r="TNB15" s="55"/>
      <c r="TNC15" s="55"/>
      <c r="TND15" s="55"/>
      <c r="TNE15" s="55"/>
      <c r="TNF15" s="55"/>
      <c r="TNG15" s="55"/>
      <c r="TNH15" s="55"/>
      <c r="TNI15" s="55"/>
      <c r="TNJ15" s="55"/>
      <c r="TNK15" s="55"/>
      <c r="TNL15" s="55"/>
      <c r="TNM15" s="55"/>
      <c r="TNN15" s="55"/>
      <c r="TNO15" s="55"/>
      <c r="TNP15" s="55"/>
      <c r="TNQ15" s="55"/>
      <c r="TNR15" s="55"/>
      <c r="TNS15" s="55"/>
      <c r="TNT15" s="55"/>
      <c r="TNU15" s="55"/>
      <c r="TNV15" s="55"/>
      <c r="TNW15" s="55"/>
      <c r="TNX15" s="55"/>
      <c r="TNY15" s="55"/>
      <c r="TNZ15" s="55"/>
      <c r="TOA15" s="55"/>
      <c r="TOB15" s="55"/>
      <c r="TOC15" s="55"/>
      <c r="TOD15" s="55"/>
      <c r="TOE15" s="55"/>
      <c r="TOF15" s="55"/>
      <c r="TOG15" s="55"/>
      <c r="TOH15" s="55"/>
      <c r="TOI15" s="55"/>
      <c r="TOJ15" s="55"/>
      <c r="TOK15" s="55"/>
      <c r="TOL15" s="55"/>
      <c r="TOM15" s="55"/>
      <c r="TON15" s="55"/>
      <c r="TOO15" s="55"/>
      <c r="TOP15" s="55"/>
      <c r="TOQ15" s="55"/>
      <c r="TOR15" s="55"/>
      <c r="TOS15" s="55"/>
      <c r="TOT15" s="55"/>
      <c r="TOU15" s="55"/>
      <c r="TOV15" s="55"/>
      <c r="TOW15" s="55"/>
      <c r="TOX15" s="55"/>
      <c r="TOY15" s="55"/>
      <c r="TOZ15" s="55"/>
      <c r="TPA15" s="55"/>
      <c r="TPB15" s="55"/>
      <c r="TPC15" s="55"/>
      <c r="TPD15" s="55"/>
      <c r="TPE15" s="55"/>
      <c r="TPF15" s="55"/>
      <c r="TPG15" s="55"/>
      <c r="TPH15" s="55"/>
      <c r="TPI15" s="55"/>
      <c r="TPJ15" s="55"/>
      <c r="TPK15" s="55"/>
      <c r="TPL15" s="55"/>
      <c r="TPM15" s="55"/>
      <c r="TPN15" s="55"/>
      <c r="TPO15" s="55"/>
      <c r="TPP15" s="55"/>
      <c r="TPQ15" s="55"/>
      <c r="TPR15" s="55"/>
      <c r="TPS15" s="55"/>
      <c r="TPT15" s="55"/>
      <c r="TPU15" s="55"/>
      <c r="TPV15" s="55"/>
      <c r="TPW15" s="55"/>
      <c r="TPX15" s="55"/>
      <c r="TPY15" s="55"/>
      <c r="TPZ15" s="55"/>
      <c r="TQA15" s="55"/>
      <c r="TQB15" s="55"/>
      <c r="TQC15" s="55"/>
      <c r="TQD15" s="55"/>
      <c r="TQE15" s="55"/>
      <c r="TQF15" s="55"/>
      <c r="TQG15" s="55"/>
      <c r="TQH15" s="55"/>
      <c r="TQI15" s="55"/>
      <c r="TQJ15" s="55"/>
      <c r="TQK15" s="55"/>
      <c r="TQL15" s="55"/>
      <c r="TQM15" s="55"/>
      <c r="TQN15" s="55"/>
      <c r="TQO15" s="55"/>
      <c r="TQP15" s="55"/>
      <c r="TQQ15" s="55"/>
      <c r="TQR15" s="55"/>
      <c r="TQS15" s="55"/>
      <c r="TQT15" s="55"/>
      <c r="TQU15" s="55"/>
      <c r="TQV15" s="55"/>
      <c r="TQW15" s="55"/>
      <c r="TQX15" s="55"/>
      <c r="TQY15" s="55"/>
      <c r="TQZ15" s="55"/>
      <c r="TRA15" s="55"/>
      <c r="TRB15" s="55"/>
      <c r="TRC15" s="55"/>
      <c r="TRD15" s="55"/>
      <c r="TRE15" s="55"/>
      <c r="TRF15" s="55"/>
      <c r="TRG15" s="55"/>
      <c r="TRH15" s="55"/>
      <c r="TRI15" s="55"/>
      <c r="TRJ15" s="55"/>
      <c r="TRK15" s="55"/>
      <c r="TRL15" s="55"/>
      <c r="TRM15" s="55"/>
      <c r="TRN15" s="55"/>
      <c r="TRO15" s="55"/>
      <c r="TRP15" s="55"/>
      <c r="TRQ15" s="55"/>
      <c r="TRR15" s="55"/>
      <c r="TRS15" s="55"/>
      <c r="TRT15" s="55"/>
      <c r="TRU15" s="55"/>
      <c r="TRV15" s="55"/>
      <c r="TRW15" s="55"/>
      <c r="TRX15" s="55"/>
      <c r="TRY15" s="55"/>
      <c r="TRZ15" s="55"/>
      <c r="TSA15" s="55"/>
      <c r="TSB15" s="55"/>
      <c r="TSC15" s="55"/>
      <c r="TSD15" s="55"/>
      <c r="TSE15" s="55"/>
      <c r="TSF15" s="55"/>
      <c r="TSG15" s="55"/>
      <c r="TSH15" s="55"/>
      <c r="TSI15" s="55"/>
      <c r="TSJ15" s="55"/>
      <c r="TSK15" s="55"/>
      <c r="TSL15" s="55"/>
      <c r="TSM15" s="55"/>
      <c r="TSN15" s="55"/>
      <c r="TSO15" s="55"/>
      <c r="TSP15" s="55"/>
      <c r="TSQ15" s="55"/>
      <c r="TSR15" s="55"/>
      <c r="TSS15" s="55"/>
      <c r="TST15" s="55"/>
      <c r="TSU15" s="55"/>
      <c r="TSV15" s="55"/>
      <c r="TSW15" s="55"/>
      <c r="TSX15" s="55"/>
      <c r="TSY15" s="55"/>
      <c r="TSZ15" s="55"/>
      <c r="TTA15" s="55"/>
      <c r="TTB15" s="55"/>
      <c r="TTC15" s="55"/>
      <c r="TTD15" s="55"/>
      <c r="TTE15" s="55"/>
      <c r="TTF15" s="55"/>
      <c r="TTG15" s="55"/>
      <c r="TTH15" s="55"/>
      <c r="TTI15" s="55"/>
      <c r="TTJ15" s="55"/>
      <c r="TTK15" s="55"/>
      <c r="TTL15" s="55"/>
      <c r="TTM15" s="55"/>
      <c r="TTN15" s="55"/>
      <c r="TTO15" s="55"/>
      <c r="TTP15" s="55"/>
      <c r="TTQ15" s="55"/>
      <c r="TTR15" s="55"/>
      <c r="TTS15" s="55"/>
      <c r="TTT15" s="55"/>
      <c r="TTU15" s="55"/>
      <c r="TTV15" s="55"/>
      <c r="TTW15" s="55"/>
      <c r="TTX15" s="55"/>
      <c r="TTY15" s="55"/>
      <c r="TTZ15" s="55"/>
      <c r="TUA15" s="55"/>
      <c r="TUB15" s="55"/>
      <c r="TUC15" s="55"/>
      <c r="TUD15" s="55"/>
      <c r="TUE15" s="55"/>
      <c r="TUF15" s="55"/>
      <c r="TUG15" s="55"/>
      <c r="TUH15" s="55"/>
      <c r="TUI15" s="55"/>
      <c r="TUJ15" s="55"/>
      <c r="TUK15" s="55"/>
      <c r="TUL15" s="55"/>
      <c r="TUM15" s="55"/>
      <c r="TUN15" s="55"/>
      <c r="TUO15" s="55"/>
      <c r="TUP15" s="55"/>
      <c r="TUQ15" s="55"/>
      <c r="TUR15" s="55"/>
      <c r="TUS15" s="55"/>
      <c r="TUT15" s="55"/>
      <c r="TUU15" s="55"/>
      <c r="TUV15" s="55"/>
      <c r="TUW15" s="55"/>
      <c r="TUX15" s="55"/>
      <c r="TUY15" s="55"/>
      <c r="TUZ15" s="55"/>
      <c r="TVA15" s="55"/>
      <c r="TVB15" s="55"/>
      <c r="TVC15" s="55"/>
      <c r="TVD15" s="55"/>
      <c r="TVE15" s="55"/>
      <c r="TVF15" s="55"/>
      <c r="TVG15" s="55"/>
      <c r="TVH15" s="55"/>
      <c r="TVI15" s="55"/>
      <c r="TVJ15" s="55"/>
      <c r="TVK15" s="55"/>
      <c r="TVL15" s="55"/>
      <c r="TVM15" s="55"/>
      <c r="TVN15" s="55"/>
      <c r="TVO15" s="55"/>
      <c r="TVP15" s="55"/>
      <c r="TVQ15" s="55"/>
      <c r="TVR15" s="55"/>
      <c r="TVS15" s="55"/>
      <c r="TVT15" s="55"/>
      <c r="TVU15" s="55"/>
      <c r="TVV15" s="55"/>
      <c r="TVW15" s="55"/>
      <c r="TVX15" s="55"/>
      <c r="TVY15" s="55"/>
      <c r="TVZ15" s="55"/>
      <c r="TWA15" s="55"/>
      <c r="TWB15" s="55"/>
      <c r="TWC15" s="55"/>
      <c r="TWD15" s="55"/>
      <c r="TWE15" s="55"/>
      <c r="TWF15" s="55"/>
      <c r="TWG15" s="55"/>
      <c r="TWH15" s="55"/>
      <c r="TWI15" s="55"/>
      <c r="TWJ15" s="55"/>
      <c r="TWK15" s="55"/>
      <c r="TWL15" s="55"/>
      <c r="TWM15" s="55"/>
      <c r="TWN15" s="55"/>
      <c r="TWO15" s="55"/>
      <c r="TWP15" s="55"/>
      <c r="TWQ15" s="55"/>
      <c r="TWR15" s="55"/>
      <c r="TWS15" s="55"/>
      <c r="TWT15" s="55"/>
      <c r="TWU15" s="55"/>
      <c r="TWV15" s="55"/>
      <c r="TWW15" s="55"/>
      <c r="TWX15" s="55"/>
      <c r="TWY15" s="55"/>
      <c r="TWZ15" s="55"/>
      <c r="TXA15" s="55"/>
      <c r="TXB15" s="55"/>
      <c r="TXC15" s="55"/>
      <c r="TXD15" s="55"/>
      <c r="TXE15" s="55"/>
      <c r="TXF15" s="55"/>
      <c r="TXG15" s="55"/>
      <c r="TXH15" s="55"/>
      <c r="TXI15" s="55"/>
      <c r="TXJ15" s="55"/>
      <c r="TXK15" s="55"/>
      <c r="TXL15" s="55"/>
      <c r="TXM15" s="55"/>
      <c r="TXN15" s="55"/>
      <c r="TXO15" s="55"/>
      <c r="TXP15" s="55"/>
      <c r="TXQ15" s="55"/>
      <c r="TXR15" s="55"/>
      <c r="TXS15" s="55"/>
      <c r="TXT15" s="55"/>
      <c r="TXU15" s="55"/>
      <c r="TXV15" s="55"/>
      <c r="TXW15" s="55"/>
      <c r="TXX15" s="55"/>
      <c r="TXY15" s="55"/>
      <c r="TXZ15" s="55"/>
      <c r="TYA15" s="55"/>
      <c r="TYB15" s="55"/>
      <c r="TYC15" s="55"/>
      <c r="TYD15" s="55"/>
      <c r="TYE15" s="55"/>
      <c r="TYF15" s="55"/>
      <c r="TYG15" s="55"/>
      <c r="TYH15" s="55"/>
      <c r="TYI15" s="55"/>
      <c r="TYJ15" s="55"/>
      <c r="TYK15" s="55"/>
      <c r="TYL15" s="55"/>
      <c r="TYM15" s="55"/>
      <c r="TYN15" s="55"/>
      <c r="TYO15" s="55"/>
      <c r="TYP15" s="55"/>
      <c r="TYQ15" s="55"/>
      <c r="TYR15" s="55"/>
      <c r="TYS15" s="55"/>
      <c r="TYT15" s="55"/>
      <c r="TYU15" s="55"/>
      <c r="TYV15" s="55"/>
      <c r="TYW15" s="55"/>
      <c r="TYX15" s="55"/>
      <c r="TYY15" s="55"/>
      <c r="TYZ15" s="55"/>
      <c r="TZA15" s="55"/>
      <c r="TZB15" s="55"/>
      <c r="TZC15" s="55"/>
      <c r="TZD15" s="55"/>
      <c r="TZE15" s="55"/>
      <c r="TZF15" s="55"/>
      <c r="TZG15" s="55"/>
      <c r="TZH15" s="55"/>
      <c r="TZI15" s="55"/>
      <c r="TZJ15" s="55"/>
      <c r="TZK15" s="55"/>
      <c r="TZL15" s="55"/>
      <c r="TZM15" s="55"/>
      <c r="TZN15" s="55"/>
      <c r="TZO15" s="55"/>
      <c r="TZP15" s="55"/>
      <c r="TZQ15" s="55"/>
      <c r="TZR15" s="55"/>
      <c r="TZS15" s="55"/>
      <c r="TZT15" s="55"/>
      <c r="TZU15" s="55"/>
      <c r="TZV15" s="55"/>
      <c r="TZW15" s="55"/>
      <c r="TZX15" s="55"/>
      <c r="TZY15" s="55"/>
      <c r="TZZ15" s="55"/>
      <c r="UAA15" s="55"/>
      <c r="UAB15" s="55"/>
      <c r="UAC15" s="55"/>
      <c r="UAD15" s="55"/>
      <c r="UAE15" s="55"/>
      <c r="UAF15" s="55"/>
      <c r="UAG15" s="55"/>
      <c r="UAH15" s="55"/>
      <c r="UAI15" s="55"/>
      <c r="UAJ15" s="55"/>
      <c r="UAK15" s="55"/>
      <c r="UAL15" s="55"/>
      <c r="UAM15" s="55"/>
      <c r="UAN15" s="55"/>
      <c r="UAO15" s="55"/>
      <c r="UAP15" s="55"/>
      <c r="UAQ15" s="55"/>
      <c r="UAR15" s="55"/>
      <c r="UAS15" s="55"/>
      <c r="UAT15" s="55"/>
      <c r="UAU15" s="55"/>
      <c r="UAV15" s="55"/>
      <c r="UAW15" s="55"/>
      <c r="UAX15" s="55"/>
      <c r="UAY15" s="55"/>
      <c r="UAZ15" s="55"/>
      <c r="UBA15" s="55"/>
      <c r="UBB15" s="55"/>
      <c r="UBC15" s="55"/>
      <c r="UBD15" s="55"/>
      <c r="UBE15" s="55"/>
      <c r="UBF15" s="55"/>
      <c r="UBG15" s="55"/>
      <c r="UBH15" s="55"/>
      <c r="UBI15" s="55"/>
      <c r="UBJ15" s="55"/>
      <c r="UBK15" s="55"/>
      <c r="UBL15" s="55"/>
      <c r="UBM15" s="55"/>
      <c r="UBN15" s="55"/>
      <c r="UBO15" s="55"/>
      <c r="UBP15" s="55"/>
      <c r="UBQ15" s="55"/>
      <c r="UBR15" s="55"/>
      <c r="UBS15" s="55"/>
      <c r="UBT15" s="55"/>
      <c r="UBU15" s="55"/>
      <c r="UBV15" s="55"/>
      <c r="UBW15" s="55"/>
      <c r="UBX15" s="55"/>
      <c r="UBY15" s="55"/>
      <c r="UBZ15" s="55"/>
      <c r="UCA15" s="55"/>
      <c r="UCB15" s="55"/>
      <c r="UCC15" s="55"/>
      <c r="UCD15" s="55"/>
      <c r="UCE15" s="55"/>
      <c r="UCF15" s="55"/>
      <c r="UCG15" s="55"/>
      <c r="UCH15" s="55"/>
      <c r="UCI15" s="55"/>
      <c r="UCJ15" s="55"/>
      <c r="UCK15" s="55"/>
      <c r="UCL15" s="55"/>
      <c r="UCM15" s="55"/>
      <c r="UCN15" s="55"/>
      <c r="UCO15" s="55"/>
      <c r="UCP15" s="55"/>
      <c r="UCQ15" s="55"/>
      <c r="UCR15" s="55"/>
      <c r="UCS15" s="55"/>
      <c r="UCT15" s="55"/>
      <c r="UCU15" s="55"/>
      <c r="UCV15" s="55"/>
      <c r="UCW15" s="55"/>
      <c r="UCX15" s="55"/>
      <c r="UCY15" s="55"/>
      <c r="UCZ15" s="55"/>
      <c r="UDA15" s="55"/>
      <c r="UDB15" s="55"/>
      <c r="UDC15" s="55"/>
      <c r="UDD15" s="55"/>
      <c r="UDE15" s="55"/>
      <c r="UDF15" s="55"/>
      <c r="UDG15" s="55"/>
      <c r="UDH15" s="55"/>
      <c r="UDI15" s="55"/>
      <c r="UDJ15" s="55"/>
      <c r="UDK15" s="55"/>
      <c r="UDL15" s="55"/>
      <c r="UDM15" s="55"/>
      <c r="UDN15" s="55"/>
      <c r="UDO15" s="55"/>
      <c r="UDP15" s="55"/>
      <c r="UDQ15" s="55"/>
      <c r="UDR15" s="55"/>
      <c r="UDS15" s="55"/>
      <c r="UDT15" s="55"/>
      <c r="UDU15" s="55"/>
      <c r="UDV15" s="55"/>
      <c r="UDW15" s="55"/>
      <c r="UDX15" s="55"/>
      <c r="UDY15" s="55"/>
      <c r="UDZ15" s="55"/>
      <c r="UEA15" s="55"/>
      <c r="UEB15" s="55"/>
      <c r="UEC15" s="55"/>
      <c r="UED15" s="55"/>
      <c r="UEE15" s="55"/>
      <c r="UEF15" s="55"/>
      <c r="UEG15" s="55"/>
      <c r="UEH15" s="55"/>
      <c r="UEI15" s="55"/>
      <c r="UEJ15" s="55"/>
      <c r="UEK15" s="55"/>
      <c r="UEL15" s="55"/>
      <c r="UEM15" s="55"/>
      <c r="UEN15" s="55"/>
      <c r="UEO15" s="55"/>
      <c r="UEP15" s="55"/>
      <c r="UEQ15" s="55"/>
      <c r="UER15" s="55"/>
      <c r="UES15" s="55"/>
      <c r="UET15" s="55"/>
      <c r="UEU15" s="55"/>
      <c r="UEV15" s="55"/>
      <c r="UEW15" s="55"/>
      <c r="UEX15" s="55"/>
      <c r="UEY15" s="55"/>
      <c r="UEZ15" s="55"/>
      <c r="UFA15" s="55"/>
      <c r="UFB15" s="55"/>
      <c r="UFC15" s="55"/>
      <c r="UFD15" s="55"/>
      <c r="UFE15" s="55"/>
      <c r="UFF15" s="55"/>
      <c r="UFG15" s="55"/>
      <c r="UFH15" s="55"/>
      <c r="UFI15" s="55"/>
      <c r="UFJ15" s="55"/>
      <c r="UFK15" s="55"/>
      <c r="UFL15" s="55"/>
      <c r="UFM15" s="55"/>
      <c r="UFN15" s="55"/>
      <c r="UFO15" s="55"/>
      <c r="UFP15" s="55"/>
      <c r="UFQ15" s="55"/>
      <c r="UFR15" s="55"/>
      <c r="UFS15" s="55"/>
      <c r="UFT15" s="55"/>
      <c r="UFU15" s="55"/>
      <c r="UFV15" s="55"/>
      <c r="UFW15" s="55"/>
      <c r="UFX15" s="55"/>
      <c r="UFY15" s="55"/>
      <c r="UFZ15" s="55"/>
      <c r="UGA15" s="55"/>
      <c r="UGB15" s="55"/>
      <c r="UGC15" s="55"/>
      <c r="UGD15" s="55"/>
      <c r="UGE15" s="55"/>
      <c r="UGF15" s="55"/>
      <c r="UGG15" s="55"/>
      <c r="UGH15" s="55"/>
      <c r="UGI15" s="55"/>
      <c r="UGJ15" s="55"/>
      <c r="UGK15" s="55"/>
      <c r="UGL15" s="55"/>
      <c r="UGM15" s="55"/>
      <c r="UGN15" s="55"/>
      <c r="UGO15" s="55"/>
      <c r="UGP15" s="55"/>
      <c r="UGQ15" s="55"/>
      <c r="UGR15" s="55"/>
      <c r="UGS15" s="55"/>
      <c r="UGT15" s="55"/>
      <c r="UGU15" s="55"/>
      <c r="UGV15" s="55"/>
      <c r="UGW15" s="55"/>
      <c r="UGX15" s="55"/>
      <c r="UGY15" s="55"/>
      <c r="UGZ15" s="55"/>
      <c r="UHA15" s="55"/>
      <c r="UHB15" s="55"/>
      <c r="UHC15" s="55"/>
      <c r="UHD15" s="55"/>
      <c r="UHE15" s="55"/>
      <c r="UHF15" s="55"/>
      <c r="UHG15" s="55"/>
      <c r="UHH15" s="55"/>
      <c r="UHI15" s="55"/>
      <c r="UHJ15" s="55"/>
      <c r="UHK15" s="55"/>
      <c r="UHL15" s="55"/>
      <c r="UHM15" s="55"/>
      <c r="UHN15" s="55"/>
      <c r="UHO15" s="55"/>
      <c r="UHP15" s="55"/>
      <c r="UHQ15" s="55"/>
      <c r="UHR15" s="55"/>
      <c r="UHS15" s="55"/>
      <c r="UHT15" s="55"/>
      <c r="UHU15" s="55"/>
      <c r="UHV15" s="55"/>
      <c r="UHW15" s="55"/>
      <c r="UHX15" s="55"/>
      <c r="UHY15" s="55"/>
      <c r="UHZ15" s="55"/>
      <c r="UIA15" s="55"/>
      <c r="UIB15" s="55"/>
      <c r="UIC15" s="55"/>
      <c r="UID15" s="55"/>
      <c r="UIE15" s="55"/>
      <c r="UIF15" s="55"/>
      <c r="UIG15" s="55"/>
      <c r="UIH15" s="55"/>
      <c r="UII15" s="55"/>
      <c r="UIJ15" s="55"/>
      <c r="UIK15" s="55"/>
      <c r="UIL15" s="55"/>
      <c r="UIM15" s="55"/>
      <c r="UIN15" s="55"/>
      <c r="UIO15" s="55"/>
      <c r="UIP15" s="55"/>
      <c r="UIQ15" s="55"/>
      <c r="UIR15" s="55"/>
      <c r="UIS15" s="55"/>
      <c r="UIT15" s="55"/>
      <c r="UIU15" s="55"/>
      <c r="UIV15" s="55"/>
      <c r="UIW15" s="55"/>
      <c r="UIX15" s="55"/>
      <c r="UIY15" s="55"/>
      <c r="UIZ15" s="55"/>
      <c r="UJA15" s="55"/>
      <c r="UJB15" s="55"/>
      <c r="UJC15" s="55"/>
      <c r="UJD15" s="55"/>
      <c r="UJE15" s="55"/>
      <c r="UJF15" s="55"/>
      <c r="UJG15" s="55"/>
      <c r="UJH15" s="55"/>
      <c r="UJI15" s="55"/>
      <c r="UJJ15" s="55"/>
      <c r="UJK15" s="55"/>
      <c r="UJL15" s="55"/>
      <c r="UJM15" s="55"/>
      <c r="UJN15" s="55"/>
      <c r="UJO15" s="55"/>
      <c r="UJP15" s="55"/>
      <c r="UJQ15" s="55"/>
      <c r="UJR15" s="55"/>
      <c r="UJS15" s="55"/>
      <c r="UJT15" s="55"/>
      <c r="UJU15" s="55"/>
      <c r="UJV15" s="55"/>
      <c r="UJW15" s="55"/>
      <c r="UJX15" s="55"/>
      <c r="UJY15" s="55"/>
      <c r="UJZ15" s="55"/>
      <c r="UKA15" s="55"/>
      <c r="UKB15" s="55"/>
      <c r="UKC15" s="55"/>
      <c r="UKD15" s="55"/>
      <c r="UKE15" s="55"/>
      <c r="UKF15" s="55"/>
      <c r="UKG15" s="55"/>
      <c r="UKH15" s="55"/>
      <c r="UKI15" s="55"/>
      <c r="UKJ15" s="55"/>
      <c r="UKK15" s="55"/>
      <c r="UKL15" s="55"/>
      <c r="UKM15" s="55"/>
      <c r="UKN15" s="55"/>
      <c r="UKO15" s="55"/>
      <c r="UKP15" s="55"/>
      <c r="UKQ15" s="55"/>
      <c r="UKR15" s="55"/>
      <c r="UKS15" s="55"/>
      <c r="UKT15" s="55"/>
      <c r="UKU15" s="55"/>
      <c r="UKV15" s="55"/>
      <c r="UKW15" s="55"/>
      <c r="UKX15" s="55"/>
      <c r="UKY15" s="55"/>
      <c r="UKZ15" s="55"/>
      <c r="ULA15" s="55"/>
      <c r="ULB15" s="55"/>
      <c r="ULC15" s="55"/>
      <c r="ULD15" s="55"/>
      <c r="ULE15" s="55"/>
      <c r="ULF15" s="55"/>
      <c r="ULG15" s="55"/>
      <c r="ULH15" s="55"/>
      <c r="ULI15" s="55"/>
      <c r="ULJ15" s="55"/>
      <c r="ULK15" s="55"/>
      <c r="ULL15" s="55"/>
      <c r="ULM15" s="55"/>
      <c r="ULN15" s="55"/>
      <c r="ULO15" s="55"/>
      <c r="ULP15" s="55"/>
      <c r="ULQ15" s="55"/>
      <c r="ULR15" s="55"/>
      <c r="ULS15" s="55"/>
      <c r="ULT15" s="55"/>
      <c r="ULU15" s="55"/>
      <c r="ULV15" s="55"/>
      <c r="ULW15" s="55"/>
      <c r="ULX15" s="55"/>
      <c r="ULY15" s="55"/>
      <c r="ULZ15" s="55"/>
      <c r="UMA15" s="55"/>
      <c r="UMB15" s="55"/>
      <c r="UMC15" s="55"/>
      <c r="UMD15" s="55"/>
      <c r="UME15" s="55"/>
      <c r="UMF15" s="55"/>
      <c r="UMG15" s="55"/>
      <c r="UMH15" s="55"/>
      <c r="UMI15" s="55"/>
      <c r="UMJ15" s="55"/>
      <c r="UMK15" s="55"/>
      <c r="UML15" s="55"/>
      <c r="UMM15" s="55"/>
      <c r="UMN15" s="55"/>
      <c r="UMO15" s="55"/>
      <c r="UMP15" s="55"/>
      <c r="UMQ15" s="55"/>
      <c r="UMR15" s="55"/>
      <c r="UMS15" s="55"/>
      <c r="UMT15" s="55"/>
      <c r="UMU15" s="55"/>
      <c r="UMV15" s="55"/>
      <c r="UMW15" s="55"/>
      <c r="UMX15" s="55"/>
      <c r="UMY15" s="55"/>
      <c r="UMZ15" s="55"/>
      <c r="UNA15" s="55"/>
      <c r="UNB15" s="55"/>
      <c r="UNC15" s="55"/>
      <c r="UND15" s="55"/>
      <c r="UNE15" s="55"/>
      <c r="UNF15" s="55"/>
      <c r="UNG15" s="55"/>
      <c r="UNH15" s="55"/>
      <c r="UNI15" s="55"/>
      <c r="UNJ15" s="55"/>
      <c r="UNK15" s="55"/>
      <c r="UNL15" s="55"/>
      <c r="UNM15" s="55"/>
      <c r="UNN15" s="55"/>
      <c r="UNO15" s="55"/>
      <c r="UNP15" s="55"/>
      <c r="UNQ15" s="55"/>
      <c r="UNR15" s="55"/>
      <c r="UNS15" s="55"/>
      <c r="UNT15" s="55"/>
      <c r="UNU15" s="55"/>
      <c r="UNV15" s="55"/>
      <c r="UNW15" s="55"/>
      <c r="UNX15" s="55"/>
      <c r="UNY15" s="55"/>
      <c r="UNZ15" s="55"/>
      <c r="UOA15" s="55"/>
      <c r="UOB15" s="55"/>
      <c r="UOC15" s="55"/>
      <c r="UOD15" s="55"/>
      <c r="UOE15" s="55"/>
      <c r="UOF15" s="55"/>
      <c r="UOG15" s="55"/>
      <c r="UOH15" s="55"/>
      <c r="UOI15" s="55"/>
      <c r="UOJ15" s="55"/>
      <c r="UOK15" s="55"/>
      <c r="UOL15" s="55"/>
      <c r="UOM15" s="55"/>
      <c r="UON15" s="55"/>
      <c r="UOO15" s="55"/>
      <c r="UOP15" s="55"/>
      <c r="UOQ15" s="55"/>
      <c r="UOR15" s="55"/>
      <c r="UOS15" s="55"/>
      <c r="UOT15" s="55"/>
      <c r="UOU15" s="55"/>
      <c r="UOV15" s="55"/>
      <c r="UOW15" s="55"/>
      <c r="UOX15" s="55"/>
      <c r="UOY15" s="55"/>
      <c r="UOZ15" s="55"/>
      <c r="UPA15" s="55"/>
      <c r="UPB15" s="55"/>
      <c r="UPC15" s="55"/>
      <c r="UPD15" s="55"/>
      <c r="UPE15" s="55"/>
      <c r="UPF15" s="55"/>
      <c r="UPG15" s="55"/>
      <c r="UPH15" s="55"/>
      <c r="UPI15" s="55"/>
      <c r="UPJ15" s="55"/>
      <c r="UPK15" s="55"/>
      <c r="UPL15" s="55"/>
      <c r="UPM15" s="55"/>
      <c r="UPN15" s="55"/>
      <c r="UPO15" s="55"/>
      <c r="UPP15" s="55"/>
      <c r="UPQ15" s="55"/>
      <c r="UPR15" s="55"/>
      <c r="UPS15" s="55"/>
      <c r="UPT15" s="55"/>
      <c r="UPU15" s="55"/>
      <c r="UPV15" s="55"/>
      <c r="UPW15" s="55"/>
      <c r="UPX15" s="55"/>
      <c r="UPY15" s="55"/>
      <c r="UPZ15" s="55"/>
      <c r="UQA15" s="55"/>
      <c r="UQB15" s="55"/>
      <c r="UQC15" s="55"/>
      <c r="UQD15" s="55"/>
      <c r="UQE15" s="55"/>
      <c r="UQF15" s="55"/>
      <c r="UQG15" s="55"/>
      <c r="UQH15" s="55"/>
      <c r="UQI15" s="55"/>
      <c r="UQJ15" s="55"/>
      <c r="UQK15" s="55"/>
      <c r="UQL15" s="55"/>
      <c r="UQM15" s="55"/>
      <c r="UQN15" s="55"/>
      <c r="UQO15" s="55"/>
      <c r="UQP15" s="55"/>
      <c r="UQQ15" s="55"/>
      <c r="UQR15" s="55"/>
      <c r="UQS15" s="55"/>
      <c r="UQT15" s="55"/>
      <c r="UQU15" s="55"/>
      <c r="UQV15" s="55"/>
      <c r="UQW15" s="55"/>
      <c r="UQX15" s="55"/>
      <c r="UQY15" s="55"/>
      <c r="UQZ15" s="55"/>
      <c r="URA15" s="55"/>
      <c r="URB15" s="55"/>
      <c r="URC15" s="55"/>
      <c r="URD15" s="55"/>
      <c r="URE15" s="55"/>
      <c r="URF15" s="55"/>
      <c r="URG15" s="55"/>
      <c r="URH15" s="55"/>
      <c r="URI15" s="55"/>
      <c r="URJ15" s="55"/>
      <c r="URK15" s="55"/>
      <c r="URL15" s="55"/>
      <c r="URM15" s="55"/>
      <c r="URN15" s="55"/>
      <c r="URO15" s="55"/>
      <c r="URP15" s="55"/>
      <c r="URQ15" s="55"/>
      <c r="URR15" s="55"/>
      <c r="URS15" s="55"/>
      <c r="URT15" s="55"/>
      <c r="URU15" s="55"/>
      <c r="URV15" s="55"/>
      <c r="URW15" s="55"/>
      <c r="URX15" s="55"/>
      <c r="URY15" s="55"/>
      <c r="URZ15" s="55"/>
      <c r="USA15" s="55"/>
      <c r="USB15" s="55"/>
      <c r="USC15" s="55"/>
      <c r="USD15" s="55"/>
      <c r="USE15" s="55"/>
      <c r="USF15" s="55"/>
      <c r="USG15" s="55"/>
      <c r="USH15" s="55"/>
      <c r="USI15" s="55"/>
      <c r="USJ15" s="55"/>
      <c r="USK15" s="55"/>
      <c r="USL15" s="55"/>
      <c r="USM15" s="55"/>
      <c r="USN15" s="55"/>
      <c r="USO15" s="55"/>
      <c r="USP15" s="55"/>
      <c r="USQ15" s="55"/>
      <c r="USR15" s="55"/>
      <c r="USS15" s="55"/>
      <c r="UST15" s="55"/>
      <c r="USU15" s="55"/>
      <c r="USV15" s="55"/>
      <c r="USW15" s="55"/>
      <c r="USX15" s="55"/>
      <c r="USY15" s="55"/>
      <c r="USZ15" s="55"/>
      <c r="UTA15" s="55"/>
      <c r="UTB15" s="55"/>
      <c r="UTC15" s="55"/>
      <c r="UTD15" s="55"/>
      <c r="UTE15" s="55"/>
      <c r="UTF15" s="55"/>
      <c r="UTG15" s="55"/>
      <c r="UTH15" s="55"/>
      <c r="UTI15" s="55"/>
      <c r="UTJ15" s="55"/>
      <c r="UTK15" s="55"/>
      <c r="UTL15" s="55"/>
      <c r="UTM15" s="55"/>
      <c r="UTN15" s="55"/>
      <c r="UTO15" s="55"/>
      <c r="UTP15" s="55"/>
      <c r="UTQ15" s="55"/>
      <c r="UTR15" s="55"/>
      <c r="UTS15" s="55"/>
      <c r="UTT15" s="55"/>
      <c r="UTU15" s="55"/>
      <c r="UTV15" s="55"/>
      <c r="UTW15" s="55"/>
      <c r="UTX15" s="55"/>
      <c r="UTY15" s="55"/>
      <c r="UTZ15" s="55"/>
      <c r="UUA15" s="55"/>
      <c r="UUB15" s="55"/>
      <c r="UUC15" s="55"/>
      <c r="UUD15" s="55"/>
      <c r="UUE15" s="55"/>
      <c r="UUF15" s="55"/>
      <c r="UUG15" s="55"/>
      <c r="UUH15" s="55"/>
      <c r="UUI15" s="55"/>
      <c r="UUJ15" s="55"/>
      <c r="UUK15" s="55"/>
      <c r="UUL15" s="55"/>
      <c r="UUM15" s="55"/>
      <c r="UUN15" s="55"/>
      <c r="UUO15" s="55"/>
      <c r="UUP15" s="55"/>
      <c r="UUQ15" s="55"/>
      <c r="UUR15" s="55"/>
      <c r="UUS15" s="55"/>
      <c r="UUT15" s="55"/>
      <c r="UUU15" s="55"/>
      <c r="UUV15" s="55"/>
      <c r="UUW15" s="55"/>
      <c r="UUX15" s="55"/>
      <c r="UUY15" s="55"/>
      <c r="UUZ15" s="55"/>
      <c r="UVA15" s="55"/>
      <c r="UVB15" s="55"/>
      <c r="UVC15" s="55"/>
      <c r="UVD15" s="55"/>
      <c r="UVE15" s="55"/>
      <c r="UVF15" s="55"/>
      <c r="UVG15" s="55"/>
      <c r="UVH15" s="55"/>
      <c r="UVI15" s="55"/>
      <c r="UVJ15" s="55"/>
      <c r="UVK15" s="55"/>
      <c r="UVL15" s="55"/>
      <c r="UVM15" s="55"/>
      <c r="UVN15" s="55"/>
      <c r="UVO15" s="55"/>
      <c r="UVP15" s="55"/>
      <c r="UVQ15" s="55"/>
      <c r="UVR15" s="55"/>
      <c r="UVS15" s="55"/>
      <c r="UVT15" s="55"/>
      <c r="UVU15" s="55"/>
      <c r="UVV15" s="55"/>
      <c r="UVW15" s="55"/>
      <c r="UVX15" s="55"/>
      <c r="UVY15" s="55"/>
      <c r="UVZ15" s="55"/>
      <c r="UWA15" s="55"/>
      <c r="UWB15" s="55"/>
      <c r="UWC15" s="55"/>
      <c r="UWD15" s="55"/>
      <c r="UWE15" s="55"/>
      <c r="UWF15" s="55"/>
      <c r="UWG15" s="55"/>
      <c r="UWH15" s="55"/>
      <c r="UWI15" s="55"/>
      <c r="UWJ15" s="55"/>
      <c r="UWK15" s="55"/>
      <c r="UWL15" s="55"/>
      <c r="UWM15" s="55"/>
      <c r="UWN15" s="55"/>
      <c r="UWO15" s="55"/>
      <c r="UWP15" s="55"/>
      <c r="UWQ15" s="55"/>
      <c r="UWR15" s="55"/>
      <c r="UWS15" s="55"/>
      <c r="UWT15" s="55"/>
      <c r="UWU15" s="55"/>
      <c r="UWV15" s="55"/>
      <c r="UWW15" s="55"/>
      <c r="UWX15" s="55"/>
      <c r="UWY15" s="55"/>
      <c r="UWZ15" s="55"/>
      <c r="UXA15" s="55"/>
      <c r="UXB15" s="55"/>
      <c r="UXC15" s="55"/>
      <c r="UXD15" s="55"/>
      <c r="UXE15" s="55"/>
      <c r="UXF15" s="55"/>
      <c r="UXG15" s="55"/>
      <c r="UXH15" s="55"/>
      <c r="UXI15" s="55"/>
      <c r="UXJ15" s="55"/>
      <c r="UXK15" s="55"/>
      <c r="UXL15" s="55"/>
      <c r="UXM15" s="55"/>
      <c r="UXN15" s="55"/>
      <c r="UXO15" s="55"/>
      <c r="UXP15" s="55"/>
      <c r="UXQ15" s="55"/>
      <c r="UXR15" s="55"/>
      <c r="UXS15" s="55"/>
      <c r="UXT15" s="55"/>
      <c r="UXU15" s="55"/>
      <c r="UXV15" s="55"/>
      <c r="UXW15" s="55"/>
      <c r="UXX15" s="55"/>
      <c r="UXY15" s="55"/>
      <c r="UXZ15" s="55"/>
      <c r="UYA15" s="55"/>
      <c r="UYB15" s="55"/>
      <c r="UYC15" s="55"/>
      <c r="UYD15" s="55"/>
      <c r="UYE15" s="55"/>
      <c r="UYF15" s="55"/>
      <c r="UYG15" s="55"/>
      <c r="UYH15" s="55"/>
      <c r="UYI15" s="55"/>
      <c r="UYJ15" s="55"/>
      <c r="UYK15" s="55"/>
      <c r="UYL15" s="55"/>
      <c r="UYM15" s="55"/>
      <c r="UYN15" s="55"/>
      <c r="UYO15" s="55"/>
      <c r="UYP15" s="55"/>
      <c r="UYQ15" s="55"/>
      <c r="UYR15" s="55"/>
      <c r="UYS15" s="55"/>
      <c r="UYT15" s="55"/>
      <c r="UYU15" s="55"/>
      <c r="UYV15" s="55"/>
      <c r="UYW15" s="55"/>
      <c r="UYX15" s="55"/>
      <c r="UYY15" s="55"/>
      <c r="UYZ15" s="55"/>
      <c r="UZA15" s="55"/>
      <c r="UZB15" s="55"/>
      <c r="UZC15" s="55"/>
      <c r="UZD15" s="55"/>
      <c r="UZE15" s="55"/>
      <c r="UZF15" s="55"/>
      <c r="UZG15" s="55"/>
      <c r="UZH15" s="55"/>
      <c r="UZI15" s="55"/>
      <c r="UZJ15" s="55"/>
      <c r="UZK15" s="55"/>
      <c r="UZL15" s="55"/>
      <c r="UZM15" s="55"/>
      <c r="UZN15" s="55"/>
      <c r="UZO15" s="55"/>
      <c r="UZP15" s="55"/>
      <c r="UZQ15" s="55"/>
      <c r="UZR15" s="55"/>
      <c r="UZS15" s="55"/>
      <c r="UZT15" s="55"/>
      <c r="UZU15" s="55"/>
      <c r="UZV15" s="55"/>
      <c r="UZW15" s="55"/>
      <c r="UZX15" s="55"/>
      <c r="UZY15" s="55"/>
      <c r="UZZ15" s="55"/>
      <c r="VAA15" s="55"/>
      <c r="VAB15" s="55"/>
      <c r="VAC15" s="55"/>
      <c r="VAD15" s="55"/>
      <c r="VAE15" s="55"/>
      <c r="VAF15" s="55"/>
      <c r="VAG15" s="55"/>
      <c r="VAH15" s="55"/>
      <c r="VAI15" s="55"/>
      <c r="VAJ15" s="55"/>
      <c r="VAK15" s="55"/>
      <c r="VAL15" s="55"/>
      <c r="VAM15" s="55"/>
      <c r="VAN15" s="55"/>
      <c r="VAO15" s="55"/>
      <c r="VAP15" s="55"/>
      <c r="VAQ15" s="55"/>
      <c r="VAR15" s="55"/>
      <c r="VAS15" s="55"/>
      <c r="VAT15" s="55"/>
      <c r="VAU15" s="55"/>
      <c r="VAV15" s="55"/>
      <c r="VAW15" s="55"/>
      <c r="VAX15" s="55"/>
      <c r="VAY15" s="55"/>
      <c r="VAZ15" s="55"/>
      <c r="VBA15" s="55"/>
      <c r="VBB15" s="55"/>
      <c r="VBC15" s="55"/>
      <c r="VBD15" s="55"/>
      <c r="VBE15" s="55"/>
      <c r="VBF15" s="55"/>
      <c r="VBG15" s="55"/>
      <c r="VBH15" s="55"/>
      <c r="VBI15" s="55"/>
      <c r="VBJ15" s="55"/>
      <c r="VBK15" s="55"/>
      <c r="VBL15" s="55"/>
      <c r="VBM15" s="55"/>
      <c r="VBN15" s="55"/>
      <c r="VBO15" s="55"/>
      <c r="VBP15" s="55"/>
      <c r="VBQ15" s="55"/>
      <c r="VBR15" s="55"/>
      <c r="VBS15" s="55"/>
      <c r="VBT15" s="55"/>
      <c r="VBU15" s="55"/>
      <c r="VBV15" s="55"/>
      <c r="VBW15" s="55"/>
      <c r="VBX15" s="55"/>
      <c r="VBY15" s="55"/>
      <c r="VBZ15" s="55"/>
      <c r="VCA15" s="55"/>
      <c r="VCB15" s="55"/>
      <c r="VCC15" s="55"/>
      <c r="VCD15" s="55"/>
      <c r="VCE15" s="55"/>
      <c r="VCF15" s="55"/>
      <c r="VCG15" s="55"/>
      <c r="VCH15" s="55"/>
      <c r="VCI15" s="55"/>
      <c r="VCJ15" s="55"/>
      <c r="VCK15" s="55"/>
      <c r="VCL15" s="55"/>
      <c r="VCM15" s="55"/>
      <c r="VCN15" s="55"/>
      <c r="VCO15" s="55"/>
      <c r="VCP15" s="55"/>
      <c r="VCQ15" s="55"/>
      <c r="VCR15" s="55"/>
      <c r="VCS15" s="55"/>
      <c r="VCT15" s="55"/>
      <c r="VCU15" s="55"/>
      <c r="VCV15" s="55"/>
      <c r="VCW15" s="55"/>
      <c r="VCX15" s="55"/>
      <c r="VCY15" s="55"/>
      <c r="VCZ15" s="55"/>
      <c r="VDA15" s="55"/>
      <c r="VDB15" s="55"/>
      <c r="VDC15" s="55"/>
      <c r="VDD15" s="55"/>
      <c r="VDE15" s="55"/>
      <c r="VDF15" s="55"/>
      <c r="VDG15" s="55"/>
      <c r="VDH15" s="55"/>
      <c r="VDI15" s="55"/>
      <c r="VDJ15" s="55"/>
      <c r="VDK15" s="55"/>
      <c r="VDL15" s="55"/>
      <c r="VDM15" s="55"/>
      <c r="VDN15" s="55"/>
      <c r="VDO15" s="55"/>
      <c r="VDP15" s="55"/>
      <c r="VDQ15" s="55"/>
      <c r="VDR15" s="55"/>
      <c r="VDS15" s="55"/>
      <c r="VDT15" s="55"/>
      <c r="VDU15" s="55"/>
      <c r="VDV15" s="55"/>
      <c r="VDW15" s="55"/>
      <c r="VDX15" s="55"/>
      <c r="VDY15" s="55"/>
      <c r="VDZ15" s="55"/>
      <c r="VEA15" s="55"/>
      <c r="VEB15" s="55"/>
      <c r="VEC15" s="55"/>
      <c r="VED15" s="55"/>
      <c r="VEE15" s="55"/>
      <c r="VEF15" s="55"/>
      <c r="VEG15" s="55"/>
      <c r="VEH15" s="55"/>
      <c r="VEI15" s="55"/>
      <c r="VEJ15" s="55"/>
      <c r="VEK15" s="55"/>
      <c r="VEL15" s="55"/>
      <c r="VEM15" s="55"/>
      <c r="VEN15" s="55"/>
      <c r="VEO15" s="55"/>
      <c r="VEP15" s="55"/>
      <c r="VEQ15" s="55"/>
      <c r="VER15" s="55"/>
      <c r="VES15" s="55"/>
      <c r="VET15" s="55"/>
      <c r="VEU15" s="55"/>
      <c r="VEV15" s="55"/>
      <c r="VEW15" s="55"/>
      <c r="VEX15" s="55"/>
      <c r="VEY15" s="55"/>
      <c r="VEZ15" s="55"/>
      <c r="VFA15" s="55"/>
      <c r="VFB15" s="55"/>
      <c r="VFC15" s="55"/>
      <c r="VFD15" s="55"/>
      <c r="VFE15" s="55"/>
      <c r="VFF15" s="55"/>
      <c r="VFG15" s="55"/>
      <c r="VFH15" s="55"/>
      <c r="VFI15" s="55"/>
      <c r="VFJ15" s="55"/>
      <c r="VFK15" s="55"/>
      <c r="VFL15" s="55"/>
      <c r="VFM15" s="55"/>
      <c r="VFN15" s="55"/>
      <c r="VFO15" s="55"/>
      <c r="VFP15" s="55"/>
      <c r="VFQ15" s="55"/>
      <c r="VFR15" s="55"/>
      <c r="VFS15" s="55"/>
      <c r="VFT15" s="55"/>
      <c r="VFU15" s="55"/>
      <c r="VFV15" s="55"/>
      <c r="VFW15" s="55"/>
      <c r="VFX15" s="55"/>
      <c r="VFY15" s="55"/>
      <c r="VFZ15" s="55"/>
      <c r="VGA15" s="55"/>
      <c r="VGB15" s="55"/>
      <c r="VGC15" s="55"/>
      <c r="VGD15" s="55"/>
      <c r="VGE15" s="55"/>
      <c r="VGF15" s="55"/>
      <c r="VGG15" s="55"/>
      <c r="VGH15" s="55"/>
      <c r="VGI15" s="55"/>
      <c r="VGJ15" s="55"/>
      <c r="VGK15" s="55"/>
      <c r="VGL15" s="55"/>
      <c r="VGM15" s="55"/>
      <c r="VGN15" s="55"/>
      <c r="VGO15" s="55"/>
      <c r="VGP15" s="55"/>
      <c r="VGQ15" s="55"/>
      <c r="VGR15" s="55"/>
      <c r="VGS15" s="55"/>
      <c r="VGT15" s="55"/>
      <c r="VGU15" s="55"/>
      <c r="VGV15" s="55"/>
      <c r="VGW15" s="55"/>
      <c r="VGX15" s="55"/>
      <c r="VGY15" s="55"/>
      <c r="VGZ15" s="55"/>
      <c r="VHA15" s="55"/>
      <c r="VHB15" s="55"/>
      <c r="VHC15" s="55"/>
      <c r="VHD15" s="55"/>
      <c r="VHE15" s="55"/>
      <c r="VHF15" s="55"/>
      <c r="VHG15" s="55"/>
      <c r="VHH15" s="55"/>
      <c r="VHI15" s="55"/>
      <c r="VHJ15" s="55"/>
      <c r="VHK15" s="55"/>
      <c r="VHL15" s="55"/>
      <c r="VHM15" s="55"/>
      <c r="VHN15" s="55"/>
      <c r="VHO15" s="55"/>
      <c r="VHP15" s="55"/>
      <c r="VHQ15" s="55"/>
      <c r="VHR15" s="55"/>
      <c r="VHS15" s="55"/>
      <c r="VHT15" s="55"/>
      <c r="VHU15" s="55"/>
      <c r="VHV15" s="55"/>
      <c r="VHW15" s="55"/>
      <c r="VHX15" s="55"/>
      <c r="VHY15" s="55"/>
      <c r="VHZ15" s="55"/>
      <c r="VIA15" s="55"/>
      <c r="VIB15" s="55"/>
      <c r="VIC15" s="55"/>
      <c r="VID15" s="55"/>
      <c r="VIE15" s="55"/>
      <c r="VIF15" s="55"/>
      <c r="VIG15" s="55"/>
      <c r="VIH15" s="55"/>
      <c r="VII15" s="55"/>
      <c r="VIJ15" s="55"/>
      <c r="VIK15" s="55"/>
      <c r="VIL15" s="55"/>
      <c r="VIM15" s="55"/>
      <c r="VIN15" s="55"/>
      <c r="VIO15" s="55"/>
      <c r="VIP15" s="55"/>
      <c r="VIQ15" s="55"/>
      <c r="VIR15" s="55"/>
      <c r="VIS15" s="55"/>
      <c r="VIT15" s="55"/>
      <c r="VIU15" s="55"/>
      <c r="VIV15" s="55"/>
      <c r="VIW15" s="55"/>
      <c r="VIX15" s="55"/>
      <c r="VIY15" s="55"/>
      <c r="VIZ15" s="55"/>
      <c r="VJA15" s="55"/>
      <c r="VJB15" s="55"/>
      <c r="VJC15" s="55"/>
      <c r="VJD15" s="55"/>
      <c r="VJE15" s="55"/>
      <c r="VJF15" s="55"/>
      <c r="VJG15" s="55"/>
      <c r="VJH15" s="55"/>
      <c r="VJI15" s="55"/>
      <c r="VJJ15" s="55"/>
      <c r="VJK15" s="55"/>
      <c r="VJL15" s="55"/>
      <c r="VJM15" s="55"/>
      <c r="VJN15" s="55"/>
      <c r="VJO15" s="55"/>
      <c r="VJP15" s="55"/>
      <c r="VJQ15" s="55"/>
      <c r="VJR15" s="55"/>
      <c r="VJS15" s="55"/>
      <c r="VJT15" s="55"/>
      <c r="VJU15" s="55"/>
      <c r="VJV15" s="55"/>
      <c r="VJW15" s="55"/>
      <c r="VJX15" s="55"/>
      <c r="VJY15" s="55"/>
      <c r="VJZ15" s="55"/>
      <c r="VKA15" s="55"/>
      <c r="VKB15" s="55"/>
      <c r="VKC15" s="55"/>
      <c r="VKD15" s="55"/>
      <c r="VKE15" s="55"/>
      <c r="VKF15" s="55"/>
      <c r="VKG15" s="55"/>
      <c r="VKH15" s="55"/>
      <c r="VKI15" s="55"/>
      <c r="VKJ15" s="55"/>
      <c r="VKK15" s="55"/>
      <c r="VKL15" s="55"/>
      <c r="VKM15" s="55"/>
      <c r="VKN15" s="55"/>
      <c r="VKO15" s="55"/>
      <c r="VKP15" s="55"/>
      <c r="VKQ15" s="55"/>
      <c r="VKR15" s="55"/>
      <c r="VKS15" s="55"/>
      <c r="VKT15" s="55"/>
      <c r="VKU15" s="55"/>
      <c r="VKV15" s="55"/>
      <c r="VKW15" s="55"/>
      <c r="VKX15" s="55"/>
      <c r="VKY15" s="55"/>
      <c r="VKZ15" s="55"/>
      <c r="VLA15" s="55"/>
      <c r="VLB15" s="55"/>
      <c r="VLC15" s="55"/>
      <c r="VLD15" s="55"/>
      <c r="VLE15" s="55"/>
      <c r="VLF15" s="55"/>
      <c r="VLG15" s="55"/>
      <c r="VLH15" s="55"/>
      <c r="VLI15" s="55"/>
      <c r="VLJ15" s="55"/>
      <c r="VLK15" s="55"/>
      <c r="VLL15" s="55"/>
      <c r="VLM15" s="55"/>
      <c r="VLN15" s="55"/>
      <c r="VLO15" s="55"/>
      <c r="VLP15" s="55"/>
      <c r="VLQ15" s="55"/>
      <c r="VLR15" s="55"/>
      <c r="VLS15" s="55"/>
      <c r="VLT15" s="55"/>
      <c r="VLU15" s="55"/>
      <c r="VLV15" s="55"/>
      <c r="VLW15" s="55"/>
      <c r="VLX15" s="55"/>
      <c r="VLY15" s="55"/>
      <c r="VLZ15" s="55"/>
      <c r="VMA15" s="55"/>
      <c r="VMB15" s="55"/>
      <c r="VMC15" s="55"/>
      <c r="VMD15" s="55"/>
      <c r="VME15" s="55"/>
      <c r="VMF15" s="55"/>
      <c r="VMG15" s="55"/>
      <c r="VMH15" s="55"/>
      <c r="VMI15" s="55"/>
      <c r="VMJ15" s="55"/>
      <c r="VMK15" s="55"/>
      <c r="VML15" s="55"/>
      <c r="VMM15" s="55"/>
      <c r="VMN15" s="55"/>
      <c r="VMO15" s="55"/>
      <c r="VMP15" s="55"/>
      <c r="VMQ15" s="55"/>
      <c r="VMR15" s="55"/>
      <c r="VMS15" s="55"/>
      <c r="VMT15" s="55"/>
      <c r="VMU15" s="55"/>
      <c r="VMV15" s="55"/>
      <c r="VMW15" s="55"/>
      <c r="VMX15" s="55"/>
      <c r="VMY15" s="55"/>
      <c r="VMZ15" s="55"/>
      <c r="VNA15" s="55"/>
      <c r="VNB15" s="55"/>
      <c r="VNC15" s="55"/>
      <c r="VND15" s="55"/>
      <c r="VNE15" s="55"/>
      <c r="VNF15" s="55"/>
      <c r="VNG15" s="55"/>
      <c r="VNH15" s="55"/>
      <c r="VNI15" s="55"/>
      <c r="VNJ15" s="55"/>
      <c r="VNK15" s="55"/>
      <c r="VNL15" s="55"/>
      <c r="VNM15" s="55"/>
      <c r="VNN15" s="55"/>
      <c r="VNO15" s="55"/>
      <c r="VNP15" s="55"/>
      <c r="VNQ15" s="55"/>
      <c r="VNR15" s="55"/>
      <c r="VNS15" s="55"/>
      <c r="VNT15" s="55"/>
      <c r="VNU15" s="55"/>
      <c r="VNV15" s="55"/>
      <c r="VNW15" s="55"/>
      <c r="VNX15" s="55"/>
      <c r="VNY15" s="55"/>
      <c r="VNZ15" s="55"/>
      <c r="VOA15" s="55"/>
      <c r="VOB15" s="55"/>
      <c r="VOC15" s="55"/>
      <c r="VOD15" s="55"/>
      <c r="VOE15" s="55"/>
      <c r="VOF15" s="55"/>
      <c r="VOG15" s="55"/>
      <c r="VOH15" s="55"/>
      <c r="VOI15" s="55"/>
      <c r="VOJ15" s="55"/>
      <c r="VOK15" s="55"/>
      <c r="VOL15" s="55"/>
      <c r="VOM15" s="55"/>
      <c r="VON15" s="55"/>
      <c r="VOO15" s="55"/>
      <c r="VOP15" s="55"/>
      <c r="VOQ15" s="55"/>
      <c r="VOR15" s="55"/>
      <c r="VOS15" s="55"/>
      <c r="VOT15" s="55"/>
      <c r="VOU15" s="55"/>
      <c r="VOV15" s="55"/>
      <c r="VOW15" s="55"/>
      <c r="VOX15" s="55"/>
      <c r="VOY15" s="55"/>
      <c r="VOZ15" s="55"/>
      <c r="VPA15" s="55"/>
      <c r="VPB15" s="55"/>
      <c r="VPC15" s="55"/>
      <c r="VPD15" s="55"/>
      <c r="VPE15" s="55"/>
      <c r="VPF15" s="55"/>
      <c r="VPG15" s="55"/>
      <c r="VPH15" s="55"/>
      <c r="VPI15" s="55"/>
      <c r="VPJ15" s="55"/>
      <c r="VPK15" s="55"/>
      <c r="VPL15" s="55"/>
      <c r="VPM15" s="55"/>
      <c r="VPN15" s="55"/>
      <c r="VPO15" s="55"/>
      <c r="VPP15" s="55"/>
      <c r="VPQ15" s="55"/>
      <c r="VPR15" s="55"/>
      <c r="VPS15" s="55"/>
      <c r="VPT15" s="55"/>
      <c r="VPU15" s="55"/>
      <c r="VPV15" s="55"/>
      <c r="VPW15" s="55"/>
      <c r="VPX15" s="55"/>
      <c r="VPY15" s="55"/>
      <c r="VPZ15" s="55"/>
      <c r="VQA15" s="55"/>
      <c r="VQB15" s="55"/>
      <c r="VQC15" s="55"/>
      <c r="VQD15" s="55"/>
      <c r="VQE15" s="55"/>
      <c r="VQF15" s="55"/>
      <c r="VQG15" s="55"/>
      <c r="VQH15" s="55"/>
      <c r="VQI15" s="55"/>
      <c r="VQJ15" s="55"/>
      <c r="VQK15" s="55"/>
      <c r="VQL15" s="55"/>
      <c r="VQM15" s="55"/>
      <c r="VQN15" s="55"/>
      <c r="VQO15" s="55"/>
      <c r="VQP15" s="55"/>
      <c r="VQQ15" s="55"/>
      <c r="VQR15" s="55"/>
      <c r="VQS15" s="55"/>
      <c r="VQT15" s="55"/>
      <c r="VQU15" s="55"/>
      <c r="VQV15" s="55"/>
      <c r="VQW15" s="55"/>
      <c r="VQX15" s="55"/>
      <c r="VQY15" s="55"/>
      <c r="VQZ15" s="55"/>
      <c r="VRA15" s="55"/>
      <c r="VRB15" s="55"/>
      <c r="VRC15" s="55"/>
      <c r="VRD15" s="55"/>
      <c r="VRE15" s="55"/>
      <c r="VRF15" s="55"/>
      <c r="VRG15" s="55"/>
      <c r="VRH15" s="55"/>
      <c r="VRI15" s="55"/>
      <c r="VRJ15" s="55"/>
      <c r="VRK15" s="55"/>
      <c r="VRL15" s="55"/>
      <c r="VRM15" s="55"/>
      <c r="VRN15" s="55"/>
      <c r="VRO15" s="55"/>
      <c r="VRP15" s="55"/>
      <c r="VRQ15" s="55"/>
      <c r="VRR15" s="55"/>
      <c r="VRS15" s="55"/>
      <c r="VRT15" s="55"/>
      <c r="VRU15" s="55"/>
      <c r="VRV15" s="55"/>
      <c r="VRW15" s="55"/>
      <c r="VRX15" s="55"/>
      <c r="VRY15" s="55"/>
      <c r="VRZ15" s="55"/>
      <c r="VSA15" s="55"/>
      <c r="VSB15" s="55"/>
      <c r="VSC15" s="55"/>
      <c r="VSD15" s="55"/>
      <c r="VSE15" s="55"/>
      <c r="VSF15" s="55"/>
      <c r="VSG15" s="55"/>
      <c r="VSH15" s="55"/>
      <c r="VSI15" s="55"/>
      <c r="VSJ15" s="55"/>
      <c r="VSK15" s="55"/>
      <c r="VSL15" s="55"/>
      <c r="VSM15" s="55"/>
      <c r="VSN15" s="55"/>
      <c r="VSO15" s="55"/>
      <c r="VSP15" s="55"/>
      <c r="VSQ15" s="55"/>
      <c r="VSR15" s="55"/>
      <c r="VSS15" s="55"/>
      <c r="VST15" s="55"/>
      <c r="VSU15" s="55"/>
      <c r="VSV15" s="55"/>
      <c r="VSW15" s="55"/>
      <c r="VSX15" s="55"/>
      <c r="VSY15" s="55"/>
      <c r="VSZ15" s="55"/>
      <c r="VTA15" s="55"/>
      <c r="VTB15" s="55"/>
      <c r="VTC15" s="55"/>
      <c r="VTD15" s="55"/>
      <c r="VTE15" s="55"/>
      <c r="VTF15" s="55"/>
      <c r="VTG15" s="55"/>
      <c r="VTH15" s="55"/>
      <c r="VTI15" s="55"/>
      <c r="VTJ15" s="55"/>
      <c r="VTK15" s="55"/>
      <c r="VTL15" s="55"/>
      <c r="VTM15" s="55"/>
      <c r="VTN15" s="55"/>
      <c r="VTO15" s="55"/>
      <c r="VTP15" s="55"/>
      <c r="VTQ15" s="55"/>
      <c r="VTR15" s="55"/>
      <c r="VTS15" s="55"/>
      <c r="VTT15" s="55"/>
      <c r="VTU15" s="55"/>
      <c r="VTV15" s="55"/>
      <c r="VTW15" s="55"/>
      <c r="VTX15" s="55"/>
      <c r="VTY15" s="55"/>
      <c r="VTZ15" s="55"/>
      <c r="VUA15" s="55"/>
      <c r="VUB15" s="55"/>
      <c r="VUC15" s="55"/>
      <c r="VUD15" s="55"/>
      <c r="VUE15" s="55"/>
      <c r="VUF15" s="55"/>
      <c r="VUG15" s="55"/>
      <c r="VUH15" s="55"/>
      <c r="VUI15" s="55"/>
      <c r="VUJ15" s="55"/>
      <c r="VUK15" s="55"/>
      <c r="VUL15" s="55"/>
      <c r="VUM15" s="55"/>
      <c r="VUN15" s="55"/>
      <c r="VUO15" s="55"/>
      <c r="VUP15" s="55"/>
      <c r="VUQ15" s="55"/>
      <c r="VUR15" s="55"/>
      <c r="VUS15" s="55"/>
      <c r="VUT15" s="55"/>
      <c r="VUU15" s="55"/>
      <c r="VUV15" s="55"/>
      <c r="VUW15" s="55"/>
      <c r="VUX15" s="55"/>
      <c r="VUY15" s="55"/>
      <c r="VUZ15" s="55"/>
      <c r="VVA15" s="55"/>
      <c r="VVB15" s="55"/>
      <c r="VVC15" s="55"/>
      <c r="VVD15" s="55"/>
      <c r="VVE15" s="55"/>
      <c r="VVF15" s="55"/>
      <c r="VVG15" s="55"/>
      <c r="VVH15" s="55"/>
      <c r="VVI15" s="55"/>
      <c r="VVJ15" s="55"/>
      <c r="VVK15" s="55"/>
      <c r="VVL15" s="55"/>
      <c r="VVM15" s="55"/>
      <c r="VVN15" s="55"/>
      <c r="VVO15" s="55"/>
      <c r="VVP15" s="55"/>
      <c r="VVQ15" s="55"/>
      <c r="VVR15" s="55"/>
      <c r="VVS15" s="55"/>
      <c r="VVT15" s="55"/>
      <c r="VVU15" s="55"/>
      <c r="VVV15" s="55"/>
      <c r="VVW15" s="55"/>
      <c r="VVX15" s="55"/>
      <c r="VVY15" s="55"/>
      <c r="VVZ15" s="55"/>
      <c r="VWA15" s="55"/>
      <c r="VWB15" s="55"/>
      <c r="VWC15" s="55"/>
      <c r="VWD15" s="55"/>
      <c r="VWE15" s="55"/>
      <c r="VWF15" s="55"/>
      <c r="VWG15" s="55"/>
      <c r="VWH15" s="55"/>
      <c r="VWI15" s="55"/>
      <c r="VWJ15" s="55"/>
      <c r="VWK15" s="55"/>
      <c r="VWL15" s="55"/>
      <c r="VWM15" s="55"/>
      <c r="VWN15" s="55"/>
      <c r="VWO15" s="55"/>
      <c r="VWP15" s="55"/>
      <c r="VWQ15" s="55"/>
      <c r="VWR15" s="55"/>
      <c r="VWS15" s="55"/>
      <c r="VWT15" s="55"/>
      <c r="VWU15" s="55"/>
      <c r="VWV15" s="55"/>
      <c r="VWW15" s="55"/>
      <c r="VWX15" s="55"/>
      <c r="VWY15" s="55"/>
      <c r="VWZ15" s="55"/>
      <c r="VXA15" s="55"/>
      <c r="VXB15" s="55"/>
      <c r="VXC15" s="55"/>
      <c r="VXD15" s="55"/>
      <c r="VXE15" s="55"/>
      <c r="VXF15" s="55"/>
      <c r="VXG15" s="55"/>
      <c r="VXH15" s="55"/>
      <c r="VXI15" s="55"/>
      <c r="VXJ15" s="55"/>
      <c r="VXK15" s="55"/>
      <c r="VXL15" s="55"/>
      <c r="VXM15" s="55"/>
      <c r="VXN15" s="55"/>
      <c r="VXO15" s="55"/>
      <c r="VXP15" s="55"/>
      <c r="VXQ15" s="55"/>
      <c r="VXR15" s="55"/>
      <c r="VXS15" s="55"/>
      <c r="VXT15" s="55"/>
      <c r="VXU15" s="55"/>
      <c r="VXV15" s="55"/>
      <c r="VXW15" s="55"/>
      <c r="VXX15" s="55"/>
      <c r="VXY15" s="55"/>
      <c r="VXZ15" s="55"/>
      <c r="VYA15" s="55"/>
      <c r="VYB15" s="55"/>
      <c r="VYC15" s="55"/>
      <c r="VYD15" s="55"/>
      <c r="VYE15" s="55"/>
      <c r="VYF15" s="55"/>
      <c r="VYG15" s="55"/>
      <c r="VYH15" s="55"/>
      <c r="VYI15" s="55"/>
      <c r="VYJ15" s="55"/>
      <c r="VYK15" s="55"/>
      <c r="VYL15" s="55"/>
      <c r="VYM15" s="55"/>
      <c r="VYN15" s="55"/>
      <c r="VYO15" s="55"/>
      <c r="VYP15" s="55"/>
      <c r="VYQ15" s="55"/>
      <c r="VYR15" s="55"/>
      <c r="VYS15" s="55"/>
      <c r="VYT15" s="55"/>
      <c r="VYU15" s="55"/>
      <c r="VYV15" s="55"/>
      <c r="VYW15" s="55"/>
      <c r="VYX15" s="55"/>
      <c r="VYY15" s="55"/>
      <c r="VYZ15" s="55"/>
      <c r="VZA15" s="55"/>
      <c r="VZB15" s="55"/>
      <c r="VZC15" s="55"/>
      <c r="VZD15" s="55"/>
      <c r="VZE15" s="55"/>
      <c r="VZF15" s="55"/>
      <c r="VZG15" s="55"/>
      <c r="VZH15" s="55"/>
      <c r="VZI15" s="55"/>
      <c r="VZJ15" s="55"/>
      <c r="VZK15" s="55"/>
      <c r="VZL15" s="55"/>
      <c r="VZM15" s="55"/>
      <c r="VZN15" s="55"/>
      <c r="VZO15" s="55"/>
      <c r="VZP15" s="55"/>
      <c r="VZQ15" s="55"/>
      <c r="VZR15" s="55"/>
      <c r="VZS15" s="55"/>
      <c r="VZT15" s="55"/>
      <c r="VZU15" s="55"/>
      <c r="VZV15" s="55"/>
      <c r="VZW15" s="55"/>
      <c r="VZX15" s="55"/>
      <c r="VZY15" s="55"/>
      <c r="VZZ15" s="55"/>
      <c r="WAA15" s="55"/>
      <c r="WAB15" s="55"/>
      <c r="WAC15" s="55"/>
      <c r="WAD15" s="55"/>
      <c r="WAE15" s="55"/>
      <c r="WAF15" s="55"/>
      <c r="WAG15" s="55"/>
      <c r="WAH15" s="55"/>
      <c r="WAI15" s="55"/>
      <c r="WAJ15" s="55"/>
      <c r="WAK15" s="55"/>
      <c r="WAL15" s="55"/>
      <c r="WAM15" s="55"/>
      <c r="WAN15" s="55"/>
      <c r="WAO15" s="55"/>
      <c r="WAP15" s="55"/>
      <c r="WAQ15" s="55"/>
      <c r="WAR15" s="55"/>
      <c r="WAS15" s="55"/>
      <c r="WAT15" s="55"/>
      <c r="WAU15" s="55"/>
      <c r="WAV15" s="55"/>
      <c r="WAW15" s="55"/>
      <c r="WAX15" s="55"/>
      <c r="WAY15" s="55"/>
      <c r="WAZ15" s="55"/>
      <c r="WBA15" s="55"/>
      <c r="WBB15" s="55"/>
      <c r="WBC15" s="55"/>
      <c r="WBD15" s="55"/>
      <c r="WBE15" s="55"/>
      <c r="WBF15" s="55"/>
      <c r="WBG15" s="55"/>
      <c r="WBH15" s="55"/>
      <c r="WBI15" s="55"/>
      <c r="WBJ15" s="55"/>
      <c r="WBK15" s="55"/>
      <c r="WBL15" s="55"/>
      <c r="WBM15" s="55"/>
      <c r="WBN15" s="55"/>
      <c r="WBO15" s="55"/>
      <c r="WBP15" s="55"/>
      <c r="WBQ15" s="55"/>
      <c r="WBR15" s="55"/>
      <c r="WBS15" s="55"/>
      <c r="WBT15" s="55"/>
      <c r="WBU15" s="55"/>
      <c r="WBV15" s="55"/>
      <c r="WBW15" s="55"/>
      <c r="WBX15" s="55"/>
      <c r="WBY15" s="55"/>
      <c r="WBZ15" s="55"/>
      <c r="WCA15" s="55"/>
      <c r="WCB15" s="55"/>
      <c r="WCC15" s="55"/>
      <c r="WCD15" s="55"/>
      <c r="WCE15" s="55"/>
      <c r="WCF15" s="55"/>
      <c r="WCG15" s="55"/>
      <c r="WCH15" s="55"/>
      <c r="WCI15" s="55"/>
      <c r="WCJ15" s="55"/>
      <c r="WCK15" s="55"/>
      <c r="WCL15" s="55"/>
      <c r="WCM15" s="55"/>
      <c r="WCN15" s="55"/>
      <c r="WCO15" s="55"/>
      <c r="WCP15" s="55"/>
      <c r="WCQ15" s="55"/>
      <c r="WCR15" s="55"/>
      <c r="WCS15" s="55"/>
      <c r="WCT15" s="55"/>
      <c r="WCU15" s="55"/>
      <c r="WCV15" s="55"/>
      <c r="WCW15" s="55"/>
      <c r="WCX15" s="55"/>
      <c r="WCY15" s="55"/>
      <c r="WCZ15" s="55"/>
      <c r="WDA15" s="55"/>
      <c r="WDB15" s="55"/>
      <c r="WDC15" s="55"/>
      <c r="WDD15" s="55"/>
      <c r="WDE15" s="55"/>
      <c r="WDF15" s="55"/>
      <c r="WDG15" s="55"/>
      <c r="WDH15" s="55"/>
      <c r="WDI15" s="55"/>
      <c r="WDJ15" s="55"/>
      <c r="WDK15" s="55"/>
      <c r="WDL15" s="55"/>
      <c r="WDM15" s="55"/>
      <c r="WDN15" s="55"/>
      <c r="WDO15" s="55"/>
      <c r="WDP15" s="55"/>
      <c r="WDQ15" s="55"/>
      <c r="WDR15" s="55"/>
      <c r="WDS15" s="55"/>
      <c r="WDT15" s="55"/>
      <c r="WDU15" s="55"/>
      <c r="WDV15" s="55"/>
      <c r="WDW15" s="55"/>
      <c r="WDX15" s="55"/>
      <c r="WDY15" s="55"/>
      <c r="WDZ15" s="55"/>
      <c r="WEA15" s="55"/>
      <c r="WEB15" s="55"/>
      <c r="WEC15" s="55"/>
      <c r="WED15" s="55"/>
      <c r="WEE15" s="55"/>
      <c r="WEF15" s="55"/>
      <c r="WEG15" s="55"/>
      <c r="WEH15" s="55"/>
      <c r="WEI15" s="55"/>
      <c r="WEJ15" s="55"/>
      <c r="WEK15" s="55"/>
      <c r="WEL15" s="55"/>
      <c r="WEM15" s="55"/>
      <c r="WEN15" s="55"/>
      <c r="WEO15" s="55"/>
      <c r="WEP15" s="55"/>
      <c r="WEQ15" s="55"/>
      <c r="WER15" s="55"/>
      <c r="WES15" s="55"/>
      <c r="WET15" s="55"/>
      <c r="WEU15" s="55"/>
      <c r="WEV15" s="55"/>
      <c r="WEW15" s="55"/>
      <c r="WEX15" s="55"/>
      <c r="WEY15" s="55"/>
      <c r="WEZ15" s="55"/>
      <c r="WFA15" s="55"/>
      <c r="WFB15" s="55"/>
      <c r="WFC15" s="55"/>
      <c r="WFD15" s="55"/>
      <c r="WFE15" s="55"/>
      <c r="WFF15" s="55"/>
      <c r="WFG15" s="55"/>
      <c r="WFH15" s="55"/>
      <c r="WFI15" s="55"/>
      <c r="WFJ15" s="55"/>
      <c r="WFK15" s="55"/>
      <c r="WFL15" s="55"/>
      <c r="WFM15" s="55"/>
      <c r="WFN15" s="55"/>
      <c r="WFO15" s="55"/>
      <c r="WFP15" s="55"/>
      <c r="WFQ15" s="55"/>
      <c r="WFR15" s="55"/>
      <c r="WFS15" s="55"/>
      <c r="WFT15" s="55"/>
      <c r="WFU15" s="55"/>
      <c r="WFV15" s="55"/>
      <c r="WFW15" s="55"/>
      <c r="WFX15" s="55"/>
      <c r="WFY15" s="55"/>
      <c r="WFZ15" s="55"/>
      <c r="WGA15" s="55"/>
      <c r="WGB15" s="55"/>
      <c r="WGC15" s="55"/>
      <c r="WGD15" s="55"/>
      <c r="WGE15" s="55"/>
      <c r="WGF15" s="55"/>
      <c r="WGG15" s="55"/>
      <c r="WGH15" s="55"/>
      <c r="WGI15" s="55"/>
      <c r="WGJ15" s="55"/>
      <c r="WGK15" s="55"/>
      <c r="WGL15" s="55"/>
      <c r="WGM15" s="55"/>
      <c r="WGN15" s="55"/>
      <c r="WGO15" s="55"/>
      <c r="WGP15" s="55"/>
      <c r="WGQ15" s="55"/>
      <c r="WGR15" s="55"/>
      <c r="WGS15" s="55"/>
      <c r="WGT15" s="55"/>
      <c r="WGU15" s="55"/>
      <c r="WGV15" s="55"/>
      <c r="WGW15" s="55"/>
      <c r="WGX15" s="55"/>
      <c r="WGY15" s="55"/>
      <c r="WGZ15" s="55"/>
      <c r="WHA15" s="55"/>
      <c r="WHB15" s="55"/>
      <c r="WHC15" s="55"/>
      <c r="WHD15" s="55"/>
      <c r="WHE15" s="55"/>
      <c r="WHF15" s="55"/>
      <c r="WHG15" s="55"/>
      <c r="WHH15" s="55"/>
      <c r="WHI15" s="55"/>
      <c r="WHJ15" s="55"/>
      <c r="WHK15" s="55"/>
      <c r="WHL15" s="55"/>
      <c r="WHM15" s="55"/>
      <c r="WHN15" s="55"/>
      <c r="WHO15" s="55"/>
      <c r="WHP15" s="55"/>
      <c r="WHQ15" s="55"/>
      <c r="WHR15" s="55"/>
      <c r="WHS15" s="55"/>
      <c r="WHT15" s="55"/>
      <c r="WHU15" s="55"/>
      <c r="WHV15" s="55"/>
      <c r="WHW15" s="55"/>
      <c r="WHX15" s="55"/>
      <c r="WHY15" s="55"/>
      <c r="WHZ15" s="55"/>
      <c r="WIA15" s="55"/>
      <c r="WIB15" s="55"/>
      <c r="WIC15" s="55"/>
      <c r="WID15" s="55"/>
      <c r="WIE15" s="55"/>
      <c r="WIF15" s="55"/>
      <c r="WIG15" s="55"/>
      <c r="WIH15" s="55"/>
      <c r="WII15" s="55"/>
      <c r="WIJ15" s="55"/>
      <c r="WIK15" s="55"/>
      <c r="WIL15" s="55"/>
      <c r="WIM15" s="55"/>
      <c r="WIN15" s="55"/>
      <c r="WIO15" s="55"/>
      <c r="WIP15" s="55"/>
      <c r="WIQ15" s="55"/>
      <c r="WIR15" s="55"/>
      <c r="WIS15" s="55"/>
      <c r="WIT15" s="55"/>
      <c r="WIU15" s="55"/>
      <c r="WIV15" s="55"/>
      <c r="WIW15" s="55"/>
      <c r="WIX15" s="55"/>
      <c r="WIY15" s="55"/>
      <c r="WIZ15" s="55"/>
      <c r="WJA15" s="55"/>
      <c r="WJB15" s="55"/>
      <c r="WJC15" s="55"/>
      <c r="WJD15" s="55"/>
      <c r="WJE15" s="55"/>
      <c r="WJF15" s="55"/>
      <c r="WJG15" s="55"/>
      <c r="WJH15" s="55"/>
      <c r="WJI15" s="55"/>
      <c r="WJJ15" s="55"/>
      <c r="WJK15" s="55"/>
      <c r="WJL15" s="55"/>
      <c r="WJM15" s="55"/>
      <c r="WJN15" s="55"/>
      <c r="WJO15" s="55"/>
      <c r="WJP15" s="55"/>
      <c r="WJQ15" s="55"/>
      <c r="WJR15" s="55"/>
      <c r="WJS15" s="55"/>
      <c r="WJT15" s="55"/>
      <c r="WJU15" s="55"/>
      <c r="WJV15" s="55"/>
      <c r="WJW15" s="55"/>
      <c r="WJX15" s="55"/>
      <c r="WJY15" s="55"/>
      <c r="WJZ15" s="55"/>
      <c r="WKA15" s="55"/>
      <c r="WKB15" s="55"/>
      <c r="WKC15" s="55"/>
      <c r="WKD15" s="55"/>
      <c r="WKE15" s="55"/>
      <c r="WKF15" s="55"/>
      <c r="WKG15" s="55"/>
      <c r="WKH15" s="55"/>
      <c r="WKI15" s="55"/>
      <c r="WKJ15" s="55"/>
      <c r="WKK15" s="55"/>
      <c r="WKL15" s="55"/>
      <c r="WKM15" s="55"/>
      <c r="WKN15" s="55"/>
      <c r="WKO15" s="55"/>
      <c r="WKP15" s="55"/>
      <c r="WKQ15" s="55"/>
      <c r="WKR15" s="55"/>
      <c r="WKS15" s="55"/>
      <c r="WKT15" s="55"/>
      <c r="WKU15" s="55"/>
      <c r="WKV15" s="55"/>
      <c r="WKW15" s="55"/>
      <c r="WKX15" s="55"/>
      <c r="WKY15" s="55"/>
      <c r="WKZ15" s="55"/>
      <c r="WLA15" s="55"/>
      <c r="WLB15" s="55"/>
      <c r="WLC15" s="55"/>
      <c r="WLD15" s="55"/>
      <c r="WLE15" s="55"/>
      <c r="WLF15" s="55"/>
      <c r="WLG15" s="55"/>
      <c r="WLH15" s="55"/>
      <c r="WLI15" s="55"/>
      <c r="WLJ15" s="55"/>
      <c r="WLK15" s="55"/>
      <c r="WLL15" s="55"/>
      <c r="WLM15" s="55"/>
      <c r="WLN15" s="55"/>
      <c r="WLO15" s="55"/>
      <c r="WLP15" s="55"/>
      <c r="WLQ15" s="55"/>
      <c r="WLR15" s="55"/>
      <c r="WLS15" s="55"/>
      <c r="WLT15" s="55"/>
      <c r="WLU15" s="55"/>
      <c r="WLV15" s="55"/>
      <c r="WLW15" s="55"/>
      <c r="WLX15" s="55"/>
      <c r="WLY15" s="55"/>
      <c r="WLZ15" s="55"/>
      <c r="WMA15" s="55"/>
      <c r="WMB15" s="55"/>
      <c r="WMC15" s="55"/>
      <c r="WMD15" s="55"/>
      <c r="WME15" s="55"/>
      <c r="WMF15" s="55"/>
      <c r="WMG15" s="55"/>
      <c r="WMH15" s="55"/>
      <c r="WMI15" s="55"/>
      <c r="WMJ15" s="55"/>
      <c r="WMK15" s="55"/>
      <c r="WML15" s="55"/>
      <c r="WMM15" s="55"/>
      <c r="WMN15" s="55"/>
      <c r="WMO15" s="55"/>
      <c r="WMP15" s="55"/>
      <c r="WMQ15" s="55"/>
      <c r="WMR15" s="55"/>
      <c r="WMS15" s="55"/>
      <c r="WMT15" s="55"/>
      <c r="WMU15" s="55"/>
      <c r="WMV15" s="55"/>
      <c r="WMW15" s="55"/>
      <c r="WMX15" s="55"/>
      <c r="WMY15" s="55"/>
      <c r="WMZ15" s="55"/>
      <c r="WNA15" s="55"/>
      <c r="WNB15" s="55"/>
      <c r="WNC15" s="55"/>
      <c r="WND15" s="55"/>
      <c r="WNE15" s="55"/>
      <c r="WNF15" s="55"/>
      <c r="WNG15" s="55"/>
      <c r="WNH15" s="55"/>
      <c r="WNI15" s="55"/>
      <c r="WNJ15" s="55"/>
      <c r="WNK15" s="55"/>
      <c r="WNL15" s="55"/>
      <c r="WNM15" s="55"/>
      <c r="WNN15" s="55"/>
      <c r="WNO15" s="55"/>
      <c r="WNP15" s="55"/>
      <c r="WNQ15" s="55"/>
      <c r="WNR15" s="55"/>
      <c r="WNS15" s="55"/>
      <c r="WNT15" s="55"/>
      <c r="WNU15" s="55"/>
      <c r="WNV15" s="55"/>
      <c r="WNW15" s="55"/>
      <c r="WNX15" s="55"/>
      <c r="WNY15" s="55"/>
      <c r="WNZ15" s="55"/>
      <c r="WOA15" s="55"/>
      <c r="WOB15" s="55"/>
      <c r="WOC15" s="55"/>
      <c r="WOD15" s="55"/>
      <c r="WOE15" s="55"/>
      <c r="WOF15" s="55"/>
      <c r="WOG15" s="55"/>
      <c r="WOH15" s="55"/>
      <c r="WOI15" s="55"/>
      <c r="WOJ15" s="55"/>
      <c r="WOK15" s="55"/>
      <c r="WOL15" s="55"/>
      <c r="WOM15" s="55"/>
      <c r="WON15" s="55"/>
      <c r="WOO15" s="55"/>
      <c r="WOP15" s="55"/>
      <c r="WOQ15" s="55"/>
      <c r="WOR15" s="55"/>
      <c r="WOS15" s="55"/>
      <c r="WOT15" s="55"/>
      <c r="WOU15" s="55"/>
      <c r="WOV15" s="55"/>
      <c r="WOW15" s="55"/>
      <c r="WOX15" s="55"/>
      <c r="WOY15" s="55"/>
      <c r="WOZ15" s="55"/>
      <c r="WPA15" s="55"/>
      <c r="WPB15" s="55"/>
      <c r="WPC15" s="55"/>
      <c r="WPD15" s="55"/>
      <c r="WPE15" s="55"/>
      <c r="WPF15" s="55"/>
      <c r="WPG15" s="55"/>
      <c r="WPH15" s="55"/>
      <c r="WPI15" s="55"/>
      <c r="WPJ15" s="55"/>
      <c r="WPK15" s="55"/>
      <c r="WPL15" s="55"/>
      <c r="WPM15" s="55"/>
      <c r="WPN15" s="55"/>
      <c r="WPO15" s="55"/>
      <c r="WPP15" s="55"/>
      <c r="WPQ15" s="55"/>
      <c r="WPR15" s="55"/>
      <c r="WPS15" s="55"/>
      <c r="WPT15" s="55"/>
      <c r="WPU15" s="55"/>
      <c r="WPV15" s="55"/>
      <c r="WPW15" s="55"/>
      <c r="WPX15" s="55"/>
      <c r="WPY15" s="55"/>
      <c r="WPZ15" s="55"/>
      <c r="WQA15" s="55"/>
      <c r="WQB15" s="55"/>
      <c r="WQC15" s="55"/>
      <c r="WQD15" s="55"/>
      <c r="WQE15" s="55"/>
      <c r="WQF15" s="55"/>
      <c r="WQG15" s="55"/>
      <c r="WQH15" s="55"/>
      <c r="WQI15" s="55"/>
      <c r="WQJ15" s="55"/>
      <c r="WQK15" s="55"/>
      <c r="WQL15" s="55"/>
      <c r="WQM15" s="55"/>
      <c r="WQN15" s="55"/>
      <c r="WQO15" s="55"/>
      <c r="WQP15" s="55"/>
      <c r="WQQ15" s="55"/>
      <c r="WQR15" s="55"/>
      <c r="WQS15" s="55"/>
      <c r="WQT15" s="55"/>
      <c r="WQU15" s="55"/>
      <c r="WQV15" s="55"/>
      <c r="WQW15" s="55"/>
      <c r="WQX15" s="55"/>
      <c r="WQY15" s="55"/>
      <c r="WQZ15" s="55"/>
      <c r="WRA15" s="55"/>
      <c r="WRB15" s="55"/>
      <c r="WRC15" s="55"/>
      <c r="WRD15" s="55"/>
      <c r="WRE15" s="55"/>
      <c r="WRF15" s="55"/>
      <c r="WRG15" s="55"/>
      <c r="WRH15" s="55"/>
      <c r="WRI15" s="55"/>
      <c r="WRJ15" s="55"/>
      <c r="WRK15" s="55"/>
      <c r="WRL15" s="55"/>
      <c r="WRM15" s="55"/>
      <c r="WRN15" s="55"/>
      <c r="WRO15" s="55"/>
      <c r="WRP15" s="55"/>
      <c r="WRQ15" s="55"/>
      <c r="WRR15" s="55"/>
      <c r="WRS15" s="55"/>
      <c r="WRT15" s="55"/>
      <c r="WRU15" s="55"/>
      <c r="WRV15" s="55"/>
      <c r="WRW15" s="55"/>
      <c r="WRX15" s="55"/>
      <c r="WRY15" s="55"/>
      <c r="WRZ15" s="55"/>
      <c r="WSA15" s="55"/>
      <c r="WSB15" s="55"/>
      <c r="WSC15" s="55"/>
      <c r="WSD15" s="55"/>
      <c r="WSE15" s="55"/>
      <c r="WSF15" s="55"/>
      <c r="WSG15" s="55"/>
      <c r="WSH15" s="55"/>
      <c r="WSI15" s="55"/>
      <c r="WSJ15" s="55"/>
      <c r="WSK15" s="55"/>
      <c r="WSL15" s="55"/>
      <c r="WSM15" s="55"/>
      <c r="WSN15" s="55"/>
      <c r="WSO15" s="55"/>
      <c r="WSP15" s="55"/>
      <c r="WSQ15" s="55"/>
      <c r="WSR15" s="55"/>
      <c r="WSS15" s="55"/>
      <c r="WST15" s="55"/>
      <c r="WSU15" s="55"/>
      <c r="WSV15" s="55"/>
      <c r="WSW15" s="55"/>
      <c r="WSX15" s="55"/>
      <c r="WSY15" s="55"/>
      <c r="WSZ15" s="55"/>
      <c r="WTA15" s="55"/>
      <c r="WTB15" s="55"/>
      <c r="WTC15" s="55"/>
      <c r="WTD15" s="55"/>
      <c r="WTE15" s="55"/>
      <c r="WTF15" s="55"/>
      <c r="WTG15" s="55"/>
      <c r="WTH15" s="55"/>
      <c r="WTI15" s="55"/>
      <c r="WTJ15" s="55"/>
      <c r="WTK15" s="55"/>
      <c r="WTL15" s="55"/>
      <c r="WTM15" s="55"/>
      <c r="WTN15" s="55"/>
      <c r="WTO15" s="55"/>
      <c r="WTP15" s="55"/>
      <c r="WTQ15" s="55"/>
      <c r="WTR15" s="55"/>
      <c r="WTS15" s="55"/>
      <c r="WTT15" s="55"/>
      <c r="WTU15" s="55"/>
      <c r="WTV15" s="55"/>
      <c r="WTW15" s="55"/>
      <c r="WTX15" s="55"/>
      <c r="WTY15" s="55"/>
      <c r="WTZ15" s="55"/>
      <c r="WUA15" s="55"/>
      <c r="WUB15" s="55"/>
      <c r="WUC15" s="55"/>
      <c r="WUD15" s="55"/>
      <c r="WUE15" s="55"/>
      <c r="WUF15" s="55"/>
      <c r="WUG15" s="55"/>
      <c r="WUH15" s="55"/>
      <c r="WUI15" s="55"/>
      <c r="WUJ15" s="55"/>
      <c r="WUK15" s="55"/>
      <c r="WUL15" s="55"/>
      <c r="WUM15" s="55"/>
      <c r="WUN15" s="55"/>
      <c r="WUO15" s="55"/>
      <c r="WUP15" s="55"/>
      <c r="WUQ15" s="55"/>
      <c r="WUR15" s="55"/>
      <c r="WUS15" s="55"/>
      <c r="WUT15" s="55"/>
      <c r="WUU15" s="55"/>
      <c r="WUV15" s="55"/>
      <c r="WUW15" s="55"/>
      <c r="WUX15" s="55"/>
      <c r="WUY15" s="55"/>
      <c r="WUZ15" s="55"/>
      <c r="WVA15" s="55"/>
      <c r="WVB15" s="55"/>
      <c r="WVC15" s="55"/>
      <c r="WVD15" s="55"/>
      <c r="WVE15" s="55"/>
      <c r="WVF15" s="55"/>
      <c r="WVG15" s="55"/>
      <c r="WVH15" s="55"/>
      <c r="WVI15" s="55"/>
      <c r="WVJ15" s="55"/>
      <c r="WVK15" s="55"/>
      <c r="WVL15" s="55"/>
      <c r="WVM15" s="55"/>
      <c r="WVN15" s="55"/>
      <c r="WVO15" s="55"/>
      <c r="WVP15" s="55"/>
      <c r="WVQ15" s="55"/>
      <c r="WVR15" s="55"/>
      <c r="WVS15" s="55"/>
    </row>
    <row r="16" spans="1:16139" ht="144" customHeight="1" x14ac:dyDescent="0.25">
      <c r="A16" s="73">
        <v>4</v>
      </c>
      <c r="B16" s="73" t="s">
        <v>90</v>
      </c>
      <c r="C16" s="51" t="s">
        <v>42</v>
      </c>
      <c r="D16" s="45" t="s">
        <v>39</v>
      </c>
      <c r="E16" s="45"/>
      <c r="F16" s="45">
        <v>1450</v>
      </c>
      <c r="G16" s="45">
        <v>2055</v>
      </c>
      <c r="H16" s="46">
        <f>F16*G16/10^6</f>
        <v>2.9797500000000001</v>
      </c>
      <c r="I16" s="45">
        <v>1</v>
      </c>
      <c r="J16" s="53">
        <v>2262000</v>
      </c>
      <c r="K16" s="47"/>
      <c r="L16" s="48">
        <f>IF(H16&lt;&gt;0,J16*H16*I16+K16*I16,IF(J16&lt;&gt;0,G16*I16*J16,I16*K16))</f>
        <v>6740194.5</v>
      </c>
      <c r="M16" s="28"/>
      <c r="N16" s="28"/>
      <c r="O16" s="28"/>
      <c r="P16" s="28"/>
      <c r="Q16" s="28"/>
      <c r="R16" s="28"/>
      <c r="S16" s="28"/>
      <c r="T16" s="28"/>
      <c r="U16" s="28"/>
      <c r="V16" s="28"/>
      <c r="W16" s="28"/>
      <c r="X16" s="28"/>
      <c r="Y16" s="28"/>
      <c r="Z16" s="28"/>
      <c r="AA16" s="28"/>
      <c r="AB16" s="28"/>
      <c r="AC16" s="28"/>
      <c r="AD16" s="28"/>
      <c r="AE16" s="28"/>
      <c r="AF16" s="28"/>
      <c r="AG16" s="28"/>
      <c r="AH16" s="28"/>
    </row>
    <row r="17" spans="1:34" s="63" customFormat="1" ht="150.75" customHeight="1" x14ac:dyDescent="0.25">
      <c r="A17" s="73">
        <v>5</v>
      </c>
      <c r="B17" s="74" t="s">
        <v>91</v>
      </c>
      <c r="C17" s="58" t="s">
        <v>53</v>
      </c>
      <c r="D17" s="59" t="s">
        <v>39</v>
      </c>
      <c r="E17" s="59" t="s">
        <v>38</v>
      </c>
      <c r="F17" s="59">
        <v>5740</v>
      </c>
      <c r="G17" s="59">
        <v>1852</v>
      </c>
      <c r="H17" s="60">
        <f t="shared" ref="H17" si="2">F17*G17/10^6</f>
        <v>10.63048</v>
      </c>
      <c r="I17" s="45">
        <v>1</v>
      </c>
      <c r="J17" s="53">
        <v>3008000</v>
      </c>
      <c r="K17" s="47">
        <v>4007000</v>
      </c>
      <c r="L17" s="61">
        <f t="shared" ref="L17" si="3">IF(H17&lt;&gt;0,J17*H17*I17+K17*I17,IF(J17&lt;&gt;0,G17*I17*J17,I17*K17))</f>
        <v>35983483.840000004</v>
      </c>
      <c r="M17" s="62"/>
      <c r="N17" s="62"/>
      <c r="O17" s="62"/>
      <c r="P17" s="62"/>
      <c r="Q17" s="62"/>
      <c r="R17" s="62"/>
      <c r="S17" s="62"/>
      <c r="T17" s="62"/>
      <c r="U17" s="62"/>
      <c r="V17" s="62"/>
      <c r="W17" s="62"/>
      <c r="X17" s="62"/>
      <c r="Y17" s="62"/>
      <c r="Z17" s="62"/>
      <c r="AA17" s="62"/>
      <c r="AB17" s="62"/>
      <c r="AC17" s="62"/>
      <c r="AD17" s="62"/>
      <c r="AE17" s="62"/>
      <c r="AF17" s="62"/>
      <c r="AG17" s="62"/>
      <c r="AH17" s="62"/>
    </row>
    <row r="18" spans="1:34" ht="156" customHeight="1" x14ac:dyDescent="0.25">
      <c r="A18" s="73">
        <v>6</v>
      </c>
      <c r="B18" s="73" t="s">
        <v>92</v>
      </c>
      <c r="C18" s="51" t="s">
        <v>40</v>
      </c>
      <c r="D18" s="45" t="s">
        <v>39</v>
      </c>
      <c r="E18" s="45" t="s">
        <v>38</v>
      </c>
      <c r="F18" s="45">
        <v>885</v>
      </c>
      <c r="G18" s="45">
        <v>2150</v>
      </c>
      <c r="H18" s="46">
        <f>F18*G18/10^6</f>
        <v>1.9027499999999999</v>
      </c>
      <c r="I18" s="45">
        <v>1</v>
      </c>
      <c r="J18" s="53">
        <v>3422000</v>
      </c>
      <c r="K18" s="47">
        <v>1819000</v>
      </c>
      <c r="L18" s="48">
        <f>IF(H18&lt;&gt;0,J18*H18*I18+K18*I18,IF(J18&lt;&gt;0,G18*I18*J18,I18*K18))</f>
        <v>8330210.5</v>
      </c>
      <c r="M18" s="28"/>
      <c r="N18" s="28"/>
      <c r="O18" s="28"/>
      <c r="P18" s="28"/>
      <c r="Q18" s="28"/>
      <c r="R18" s="28"/>
      <c r="S18" s="28"/>
      <c r="T18" s="28"/>
      <c r="U18" s="28"/>
      <c r="V18" s="28"/>
      <c r="W18" s="28"/>
      <c r="X18" s="28"/>
      <c r="Y18" s="28"/>
      <c r="Z18" s="28"/>
      <c r="AA18" s="28"/>
      <c r="AB18" s="28"/>
      <c r="AC18" s="28"/>
      <c r="AD18" s="28"/>
      <c r="AE18" s="28"/>
      <c r="AF18" s="28"/>
      <c r="AG18" s="28"/>
      <c r="AH18" s="28"/>
    </row>
    <row r="19" spans="1:34" ht="156" customHeight="1" x14ac:dyDescent="0.25">
      <c r="A19" s="73">
        <v>7</v>
      </c>
      <c r="B19" s="73" t="s">
        <v>93</v>
      </c>
      <c r="C19" s="51" t="s">
        <v>40</v>
      </c>
      <c r="D19" s="45" t="s">
        <v>39</v>
      </c>
      <c r="E19" s="45" t="s">
        <v>38</v>
      </c>
      <c r="F19" s="45">
        <v>875</v>
      </c>
      <c r="G19" s="45">
        <v>2070</v>
      </c>
      <c r="H19" s="46">
        <f>F19*G19/10^6</f>
        <v>1.81125</v>
      </c>
      <c r="I19" s="45">
        <v>1</v>
      </c>
      <c r="J19" s="53">
        <v>3457000</v>
      </c>
      <c r="K19" s="47">
        <v>1819000</v>
      </c>
      <c r="L19" s="48">
        <f>IF(H19&lt;&gt;0,J19*H19*I19+K19*I19,IF(J19&lt;&gt;0,G19*I19*J19,I19*K19))</f>
        <v>8080491.25</v>
      </c>
      <c r="M19" s="28"/>
      <c r="N19" s="28"/>
      <c r="O19" s="28"/>
      <c r="P19" s="28"/>
      <c r="Q19" s="28"/>
      <c r="R19" s="28"/>
      <c r="S19" s="28"/>
      <c r="T19" s="28"/>
      <c r="U19" s="28"/>
      <c r="V19" s="28"/>
      <c r="W19" s="28"/>
      <c r="X19" s="28"/>
      <c r="Y19" s="28"/>
      <c r="Z19" s="28"/>
      <c r="AA19" s="28"/>
      <c r="AB19" s="28"/>
      <c r="AC19" s="28"/>
      <c r="AD19" s="28"/>
      <c r="AE19" s="28"/>
      <c r="AF19" s="28"/>
      <c r="AG19" s="28"/>
      <c r="AH19" s="28"/>
    </row>
    <row r="20" spans="1:34" ht="156" customHeight="1" x14ac:dyDescent="0.25">
      <c r="A20" s="73">
        <v>8</v>
      </c>
      <c r="B20" s="73" t="s">
        <v>94</v>
      </c>
      <c r="C20" s="51" t="s">
        <v>40</v>
      </c>
      <c r="D20" s="45" t="s">
        <v>39</v>
      </c>
      <c r="E20" s="45" t="s">
        <v>38</v>
      </c>
      <c r="F20" s="45">
        <v>790</v>
      </c>
      <c r="G20" s="45">
        <v>2070</v>
      </c>
      <c r="H20" s="46">
        <f>F20*G20/10^6</f>
        <v>1.6353</v>
      </c>
      <c r="I20" s="45">
        <v>1</v>
      </c>
      <c r="J20" s="53">
        <v>3590000</v>
      </c>
      <c r="K20" s="47">
        <v>1819000</v>
      </c>
      <c r="L20" s="48">
        <f>IF(H20&lt;&gt;0,J20*H20*I20+K20*I20,IF(J20&lt;&gt;0,G20*I20*J20,I20*K20))</f>
        <v>7689727</v>
      </c>
      <c r="M20" s="28"/>
      <c r="N20" s="28"/>
      <c r="O20" s="28"/>
      <c r="P20" s="28"/>
      <c r="Q20" s="28"/>
      <c r="R20" s="28"/>
      <c r="S20" s="28"/>
      <c r="T20" s="28"/>
      <c r="U20" s="28"/>
      <c r="V20" s="28"/>
      <c r="W20" s="28"/>
      <c r="X20" s="28"/>
      <c r="Y20" s="28"/>
      <c r="Z20" s="28"/>
      <c r="AA20" s="28"/>
      <c r="AB20" s="28"/>
      <c r="AC20" s="28"/>
      <c r="AD20" s="28"/>
      <c r="AE20" s="28"/>
      <c r="AF20" s="28"/>
      <c r="AG20" s="28"/>
      <c r="AH20" s="28"/>
    </row>
    <row r="21" spans="1:34" s="3" customFormat="1" ht="138" customHeight="1" x14ac:dyDescent="0.25">
      <c r="A21" s="73">
        <v>9</v>
      </c>
      <c r="B21" s="57" t="s">
        <v>95</v>
      </c>
      <c r="C21" s="56" t="s">
        <v>41</v>
      </c>
      <c r="D21" s="45" t="s">
        <v>39</v>
      </c>
      <c r="E21" s="45" t="s">
        <v>38</v>
      </c>
      <c r="F21" s="45">
        <v>3186</v>
      </c>
      <c r="G21" s="45">
        <v>1843</v>
      </c>
      <c r="H21" s="46">
        <f t="shared" ref="H21" si="4">F21*G21/10^6</f>
        <v>5.8717980000000001</v>
      </c>
      <c r="I21" s="45">
        <v>1</v>
      </c>
      <c r="J21" s="53">
        <v>2963000</v>
      </c>
      <c r="K21" s="47">
        <v>1850000</v>
      </c>
      <c r="L21" s="48">
        <f t="shared" ref="L21" si="5">IF(H21&lt;&gt;0,J21*H21*I21+K21*I21,IF(J21&lt;&gt;0,G21*I21*J21,I21*K21))</f>
        <v>19248137.473999999</v>
      </c>
      <c r="M21" s="28"/>
      <c r="N21" s="28"/>
      <c r="O21" s="28"/>
      <c r="P21" s="28"/>
      <c r="Q21" s="28"/>
      <c r="R21" s="28"/>
      <c r="S21" s="28"/>
      <c r="T21" s="28"/>
      <c r="U21" s="28"/>
      <c r="V21" s="28"/>
      <c r="W21" s="28"/>
      <c r="X21" s="28"/>
      <c r="Y21" s="28"/>
      <c r="Z21" s="28"/>
      <c r="AA21" s="28"/>
      <c r="AB21" s="28"/>
      <c r="AC21" s="28"/>
      <c r="AD21" s="28"/>
      <c r="AE21" s="28"/>
      <c r="AF21" s="28"/>
      <c r="AG21" s="28"/>
      <c r="AH21" s="28"/>
    </row>
    <row r="22" spans="1:34" ht="144" customHeight="1" x14ac:dyDescent="0.25">
      <c r="A22" s="73">
        <v>10</v>
      </c>
      <c r="B22" s="73" t="s">
        <v>96</v>
      </c>
      <c r="C22" s="51" t="s">
        <v>42</v>
      </c>
      <c r="D22" s="45" t="s">
        <v>39</v>
      </c>
      <c r="E22" s="45"/>
      <c r="F22" s="45">
        <v>1447</v>
      </c>
      <c r="G22" s="45">
        <v>1850</v>
      </c>
      <c r="H22" s="46">
        <f>F22*G22/10^6</f>
        <v>2.6769500000000002</v>
      </c>
      <c r="I22" s="45">
        <v>1</v>
      </c>
      <c r="J22" s="53">
        <v>2284000</v>
      </c>
      <c r="K22" s="47"/>
      <c r="L22" s="48">
        <f>IF(H22&lt;&gt;0,J22*H22*I22+K22*I22,IF(J22&lt;&gt;0,G22*I22*J22,I22*K22))</f>
        <v>6114153.8000000007</v>
      </c>
      <c r="M22" s="28"/>
      <c r="N22" s="28"/>
      <c r="O22" s="28"/>
      <c r="P22" s="28"/>
      <c r="Q22" s="28"/>
      <c r="R22" s="28"/>
      <c r="S22" s="28"/>
      <c r="T22" s="28"/>
      <c r="U22" s="28"/>
      <c r="V22" s="28"/>
      <c r="W22" s="28"/>
      <c r="X22" s="28"/>
      <c r="Y22" s="28"/>
      <c r="Z22" s="28"/>
      <c r="AA22" s="28"/>
      <c r="AB22" s="28"/>
      <c r="AC22" s="28"/>
      <c r="AD22" s="28"/>
      <c r="AE22" s="28"/>
      <c r="AF22" s="28"/>
      <c r="AG22" s="28"/>
      <c r="AH22" s="28"/>
    </row>
    <row r="23" spans="1:34" ht="144" customHeight="1" x14ac:dyDescent="0.25">
      <c r="A23" s="73">
        <v>11</v>
      </c>
      <c r="B23" s="73" t="s">
        <v>97</v>
      </c>
      <c r="C23" s="51" t="s">
        <v>42</v>
      </c>
      <c r="D23" s="45" t="s">
        <v>39</v>
      </c>
      <c r="E23" s="45"/>
      <c r="F23" s="45">
        <v>1447</v>
      </c>
      <c r="G23" s="45">
        <v>1840</v>
      </c>
      <c r="H23" s="46">
        <f>F23*G23/10^6</f>
        <v>2.66248</v>
      </c>
      <c r="I23" s="45">
        <v>1</v>
      </c>
      <c r="J23" s="53">
        <v>2286000</v>
      </c>
      <c r="K23" s="47"/>
      <c r="L23" s="48">
        <f>IF(H23&lt;&gt;0,J23*H23*I23+K23*I23,IF(J23&lt;&gt;0,G23*I23*J23,I23*K23))</f>
        <v>6086429.2800000003</v>
      </c>
      <c r="M23" s="28"/>
      <c r="N23" s="28"/>
      <c r="O23" s="28"/>
      <c r="P23" s="28"/>
      <c r="Q23" s="28"/>
      <c r="R23" s="28"/>
      <c r="S23" s="28"/>
      <c r="T23" s="28"/>
      <c r="U23" s="28"/>
      <c r="V23" s="28"/>
      <c r="W23" s="28"/>
      <c r="X23" s="28"/>
      <c r="Y23" s="28"/>
      <c r="Z23" s="28"/>
      <c r="AA23" s="28"/>
      <c r="AB23" s="28"/>
      <c r="AC23" s="28"/>
      <c r="AD23" s="28"/>
      <c r="AE23" s="28"/>
      <c r="AF23" s="28"/>
      <c r="AG23" s="28"/>
      <c r="AH23" s="28"/>
    </row>
    <row r="24" spans="1:34" s="3" customFormat="1" ht="138" customHeight="1" x14ac:dyDescent="0.25">
      <c r="A24" s="73">
        <v>12</v>
      </c>
      <c r="B24" s="57" t="s">
        <v>98</v>
      </c>
      <c r="C24" s="56" t="s">
        <v>41</v>
      </c>
      <c r="D24" s="45" t="s">
        <v>39</v>
      </c>
      <c r="E24" s="45" t="s">
        <v>38</v>
      </c>
      <c r="F24" s="45">
        <v>3188</v>
      </c>
      <c r="G24" s="45">
        <v>1840</v>
      </c>
      <c r="H24" s="46">
        <f t="shared" ref="H24:H25" si="6">F24*G24/10^6</f>
        <v>5.86592</v>
      </c>
      <c r="I24" s="45">
        <v>1</v>
      </c>
      <c r="J24" s="53">
        <v>2965000</v>
      </c>
      <c r="K24" s="47">
        <v>1850000</v>
      </c>
      <c r="L24" s="48">
        <f t="shared" ref="L24:L25" si="7">IF(H24&lt;&gt;0,J24*H24*I24+K24*I24,IF(J24&lt;&gt;0,G24*I24*J24,I24*K24))</f>
        <v>19242452.800000001</v>
      </c>
      <c r="M24" s="28"/>
      <c r="N24" s="28"/>
      <c r="O24" s="28"/>
      <c r="P24" s="28"/>
      <c r="Q24" s="28"/>
      <c r="R24" s="28"/>
      <c r="S24" s="28"/>
      <c r="T24" s="28"/>
      <c r="U24" s="28"/>
      <c r="V24" s="28"/>
      <c r="W24" s="28"/>
      <c r="X24" s="28"/>
      <c r="Y24" s="28"/>
      <c r="Z24" s="28"/>
      <c r="AA24" s="28"/>
      <c r="AB24" s="28"/>
      <c r="AC24" s="28"/>
      <c r="AD24" s="28"/>
      <c r="AE24" s="28"/>
      <c r="AF24" s="28"/>
      <c r="AG24" s="28"/>
      <c r="AH24" s="28"/>
    </row>
    <row r="25" spans="1:34" s="3" customFormat="1" ht="138" customHeight="1" x14ac:dyDescent="0.25">
      <c r="A25" s="73">
        <v>13</v>
      </c>
      <c r="B25" s="57" t="s">
        <v>99</v>
      </c>
      <c r="C25" s="56" t="s">
        <v>41</v>
      </c>
      <c r="D25" s="45" t="s">
        <v>39</v>
      </c>
      <c r="E25" s="45" t="s">
        <v>38</v>
      </c>
      <c r="F25" s="45">
        <v>3206</v>
      </c>
      <c r="G25" s="45">
        <v>1837</v>
      </c>
      <c r="H25" s="46">
        <f t="shared" si="6"/>
        <v>5.8894219999999997</v>
      </c>
      <c r="I25" s="45">
        <v>1</v>
      </c>
      <c r="J25" s="53">
        <v>2963000</v>
      </c>
      <c r="K25" s="47">
        <v>1850000</v>
      </c>
      <c r="L25" s="48">
        <f t="shared" si="7"/>
        <v>19300357.386</v>
      </c>
      <c r="M25" s="28"/>
      <c r="N25" s="28"/>
      <c r="O25" s="28"/>
      <c r="P25" s="28"/>
      <c r="Q25" s="28"/>
      <c r="R25" s="28"/>
      <c r="S25" s="28"/>
      <c r="T25" s="28"/>
      <c r="U25" s="28"/>
      <c r="V25" s="28"/>
      <c r="W25" s="28"/>
      <c r="X25" s="28"/>
      <c r="Y25" s="28"/>
      <c r="Z25" s="28"/>
      <c r="AA25" s="28"/>
      <c r="AB25" s="28"/>
      <c r="AC25" s="28"/>
      <c r="AD25" s="28"/>
      <c r="AE25" s="28"/>
      <c r="AF25" s="28"/>
      <c r="AG25" s="28"/>
      <c r="AH25" s="28"/>
    </row>
    <row r="26" spans="1:34" ht="144" customHeight="1" x14ac:dyDescent="0.25">
      <c r="A26" s="73">
        <v>14</v>
      </c>
      <c r="B26" s="73" t="s">
        <v>100</v>
      </c>
      <c r="C26" s="51" t="s">
        <v>42</v>
      </c>
      <c r="D26" s="45" t="s">
        <v>39</v>
      </c>
      <c r="E26" s="45"/>
      <c r="F26" s="45">
        <v>1442</v>
      </c>
      <c r="G26" s="45">
        <v>1828</v>
      </c>
      <c r="H26" s="46">
        <f>F26*G26/10^6</f>
        <v>2.6359759999999999</v>
      </c>
      <c r="I26" s="45">
        <v>1</v>
      </c>
      <c r="J26" s="53">
        <v>2287000</v>
      </c>
      <c r="K26" s="47"/>
      <c r="L26" s="48">
        <f>IF(H26&lt;&gt;0,J26*H26*I26+K26*I26,IF(J26&lt;&gt;0,G26*I26*J26,I26*K26))</f>
        <v>6028477.1119999997</v>
      </c>
      <c r="M26" s="28"/>
      <c r="N26" s="28"/>
      <c r="O26" s="28"/>
      <c r="P26" s="28"/>
      <c r="Q26" s="28"/>
      <c r="R26" s="28"/>
      <c r="S26" s="28"/>
      <c r="T26" s="28"/>
      <c r="U26" s="28"/>
      <c r="V26" s="28"/>
      <c r="W26" s="28"/>
      <c r="X26" s="28"/>
      <c r="Y26" s="28"/>
      <c r="Z26" s="28"/>
      <c r="AA26" s="28"/>
      <c r="AB26" s="28"/>
      <c r="AC26" s="28"/>
      <c r="AD26" s="28"/>
      <c r="AE26" s="28"/>
      <c r="AF26" s="28"/>
      <c r="AG26" s="28"/>
      <c r="AH26" s="28"/>
    </row>
    <row r="27" spans="1:34" ht="144" customHeight="1" x14ac:dyDescent="0.25">
      <c r="A27" s="73">
        <v>15</v>
      </c>
      <c r="B27" s="73" t="s">
        <v>101</v>
      </c>
      <c r="C27" s="51" t="s">
        <v>42</v>
      </c>
      <c r="D27" s="45" t="s">
        <v>39</v>
      </c>
      <c r="E27" s="45"/>
      <c r="F27" s="45">
        <v>1452</v>
      </c>
      <c r="G27" s="45">
        <v>1850</v>
      </c>
      <c r="H27" s="46">
        <f>F27*G27/10^6</f>
        <v>2.6861999999999999</v>
      </c>
      <c r="I27" s="45">
        <v>1</v>
      </c>
      <c r="J27" s="53">
        <v>2284000</v>
      </c>
      <c r="K27" s="47"/>
      <c r="L27" s="48">
        <f>IF(H27&lt;&gt;0,J27*H27*I27+K27*I27,IF(J27&lt;&gt;0,G27*I27*J27,I27*K27))</f>
        <v>6135280.7999999998</v>
      </c>
      <c r="M27" s="28"/>
      <c r="N27" s="28"/>
      <c r="O27" s="28"/>
      <c r="P27" s="28"/>
      <c r="Q27" s="28"/>
      <c r="R27" s="28"/>
      <c r="S27" s="28"/>
      <c r="T27" s="28"/>
      <c r="U27" s="28"/>
      <c r="V27" s="28"/>
      <c r="W27" s="28"/>
      <c r="X27" s="28"/>
      <c r="Y27" s="28"/>
      <c r="Z27" s="28"/>
      <c r="AA27" s="28"/>
      <c r="AB27" s="28"/>
      <c r="AC27" s="28"/>
      <c r="AD27" s="28"/>
      <c r="AE27" s="28"/>
      <c r="AF27" s="28"/>
      <c r="AG27" s="28"/>
      <c r="AH27" s="28"/>
    </row>
    <row r="28" spans="1:34" s="3" customFormat="1" ht="138" customHeight="1" x14ac:dyDescent="0.25">
      <c r="A28" s="73">
        <v>16</v>
      </c>
      <c r="B28" s="57" t="s">
        <v>102</v>
      </c>
      <c r="C28" s="56" t="s">
        <v>41</v>
      </c>
      <c r="D28" s="45" t="s">
        <v>39</v>
      </c>
      <c r="E28" s="45" t="s">
        <v>38</v>
      </c>
      <c r="F28" s="45">
        <v>2923</v>
      </c>
      <c r="G28" s="45">
        <v>1852</v>
      </c>
      <c r="H28" s="46">
        <f t="shared" ref="H28:H29" si="8">F28*G28/10^6</f>
        <v>5.4133959999999997</v>
      </c>
      <c r="I28" s="45">
        <v>1</v>
      </c>
      <c r="J28" s="53">
        <v>3007000</v>
      </c>
      <c r="K28" s="47">
        <v>1850000</v>
      </c>
      <c r="L28" s="48">
        <f t="shared" ref="L28:L29" si="9">IF(H28&lt;&gt;0,J28*H28*I28+K28*I28,IF(J28&lt;&gt;0,G28*I28*J28,I28*K28))</f>
        <v>18128081.772</v>
      </c>
      <c r="M28" s="28"/>
      <c r="N28" s="28"/>
      <c r="O28" s="28"/>
      <c r="P28" s="28"/>
      <c r="Q28" s="28"/>
      <c r="R28" s="28"/>
      <c r="S28" s="28"/>
      <c r="T28" s="28"/>
      <c r="U28" s="28"/>
      <c r="V28" s="28"/>
      <c r="W28" s="28"/>
      <c r="X28" s="28"/>
      <c r="Y28" s="28"/>
      <c r="Z28" s="28"/>
      <c r="AA28" s="28"/>
      <c r="AB28" s="28"/>
      <c r="AC28" s="28"/>
      <c r="AD28" s="28"/>
      <c r="AE28" s="28"/>
      <c r="AF28" s="28"/>
      <c r="AG28" s="28"/>
      <c r="AH28" s="28"/>
    </row>
    <row r="29" spans="1:34" s="3" customFormat="1" ht="138" customHeight="1" x14ac:dyDescent="0.25">
      <c r="A29" s="73">
        <v>17</v>
      </c>
      <c r="B29" s="57" t="s">
        <v>103</v>
      </c>
      <c r="C29" s="56" t="s">
        <v>41</v>
      </c>
      <c r="D29" s="45" t="s">
        <v>39</v>
      </c>
      <c r="E29" s="45" t="s">
        <v>38</v>
      </c>
      <c r="F29" s="45">
        <v>2928</v>
      </c>
      <c r="G29" s="45">
        <v>1850</v>
      </c>
      <c r="H29" s="46">
        <f t="shared" si="8"/>
        <v>5.4168000000000003</v>
      </c>
      <c r="I29" s="45">
        <v>1</v>
      </c>
      <c r="J29" s="53">
        <v>3007000</v>
      </c>
      <c r="K29" s="47">
        <v>1850000</v>
      </c>
      <c r="L29" s="48">
        <f t="shared" si="9"/>
        <v>18138317.600000001</v>
      </c>
      <c r="M29" s="28"/>
      <c r="N29" s="28"/>
      <c r="O29" s="28"/>
      <c r="P29" s="28"/>
      <c r="Q29" s="28"/>
      <c r="R29" s="28"/>
      <c r="S29" s="28"/>
      <c r="T29" s="28"/>
      <c r="U29" s="28"/>
      <c r="V29" s="28"/>
      <c r="W29" s="28"/>
      <c r="X29" s="28"/>
      <c r="Y29" s="28"/>
      <c r="Z29" s="28"/>
      <c r="AA29" s="28"/>
      <c r="AB29" s="28"/>
      <c r="AC29" s="28"/>
      <c r="AD29" s="28"/>
      <c r="AE29" s="28"/>
      <c r="AF29" s="28"/>
      <c r="AG29" s="28"/>
      <c r="AH29" s="28"/>
    </row>
    <row r="30" spans="1:34" ht="144" customHeight="1" x14ac:dyDescent="0.25">
      <c r="A30" s="73">
        <v>18</v>
      </c>
      <c r="B30" s="73" t="s">
        <v>104</v>
      </c>
      <c r="C30" s="51" t="s">
        <v>42</v>
      </c>
      <c r="D30" s="45" t="s">
        <v>39</v>
      </c>
      <c r="E30" s="45"/>
      <c r="F30" s="45">
        <v>1440</v>
      </c>
      <c r="G30" s="45">
        <v>1836</v>
      </c>
      <c r="H30" s="46">
        <f>F30*G30/10^6</f>
        <v>2.64384</v>
      </c>
      <c r="I30" s="45">
        <v>1</v>
      </c>
      <c r="J30" s="53">
        <v>2287000</v>
      </c>
      <c r="K30" s="47"/>
      <c r="L30" s="48">
        <f>IF(H30&lt;&gt;0,J30*H30*I30+K30*I30,IF(J30&lt;&gt;0,G30*I30*J30,I30*K30))</f>
        <v>6046462.0800000001</v>
      </c>
      <c r="M30" s="28"/>
      <c r="N30" s="28"/>
      <c r="O30" s="28"/>
      <c r="P30" s="28"/>
      <c r="Q30" s="28"/>
      <c r="R30" s="28"/>
      <c r="S30" s="28"/>
      <c r="T30" s="28"/>
      <c r="U30" s="28"/>
      <c r="V30" s="28"/>
      <c r="W30" s="28"/>
      <c r="X30" s="28"/>
      <c r="Y30" s="28"/>
      <c r="Z30" s="28"/>
      <c r="AA30" s="28"/>
      <c r="AB30" s="28"/>
      <c r="AC30" s="28"/>
      <c r="AD30" s="28"/>
      <c r="AE30" s="28"/>
      <c r="AF30" s="28"/>
      <c r="AG30" s="28"/>
      <c r="AH30" s="28"/>
    </row>
    <row r="31" spans="1:34" ht="144" customHeight="1" x14ac:dyDescent="0.25">
      <c r="A31" s="73">
        <v>19</v>
      </c>
      <c r="B31" s="73" t="s">
        <v>105</v>
      </c>
      <c r="C31" s="51" t="s">
        <v>42</v>
      </c>
      <c r="D31" s="45" t="s">
        <v>39</v>
      </c>
      <c r="E31" s="45"/>
      <c r="F31" s="45">
        <v>1445</v>
      </c>
      <c r="G31" s="45">
        <v>1848</v>
      </c>
      <c r="H31" s="46">
        <f>F31*G31/10^6</f>
        <v>2.6703600000000001</v>
      </c>
      <c r="I31" s="45">
        <v>1</v>
      </c>
      <c r="J31" s="53">
        <v>2286000</v>
      </c>
      <c r="K31" s="47"/>
      <c r="L31" s="48">
        <f>IF(H31&lt;&gt;0,J31*H31*I31+K31*I31,IF(J31&lt;&gt;0,G31*I31*J31,I31*K31))</f>
        <v>6104442.96</v>
      </c>
      <c r="M31" s="28"/>
      <c r="N31" s="28"/>
      <c r="O31" s="28"/>
      <c r="P31" s="28"/>
      <c r="Q31" s="28"/>
      <c r="R31" s="28"/>
      <c r="S31" s="28"/>
      <c r="T31" s="28"/>
      <c r="U31" s="28"/>
      <c r="V31" s="28"/>
      <c r="W31" s="28"/>
      <c r="X31" s="28"/>
      <c r="Y31" s="28"/>
      <c r="Z31" s="28"/>
      <c r="AA31" s="28"/>
      <c r="AB31" s="28"/>
      <c r="AC31" s="28"/>
      <c r="AD31" s="28"/>
      <c r="AE31" s="28"/>
      <c r="AF31" s="28"/>
      <c r="AG31" s="28"/>
      <c r="AH31" s="28"/>
    </row>
    <row r="32" spans="1:34" s="3" customFormat="1" ht="138" customHeight="1" x14ac:dyDescent="0.25">
      <c r="A32" s="73">
        <v>20</v>
      </c>
      <c r="B32" s="57" t="s">
        <v>106</v>
      </c>
      <c r="C32" s="56" t="s">
        <v>41</v>
      </c>
      <c r="D32" s="45" t="s">
        <v>39</v>
      </c>
      <c r="E32" s="45" t="s">
        <v>38</v>
      </c>
      <c r="F32" s="45">
        <v>2927</v>
      </c>
      <c r="G32" s="45">
        <v>1847</v>
      </c>
      <c r="H32" s="46">
        <f t="shared" ref="H32:H33" si="10">F32*G32/10^6</f>
        <v>5.4061690000000002</v>
      </c>
      <c r="I32" s="45">
        <v>1</v>
      </c>
      <c r="J32" s="53">
        <v>3008000</v>
      </c>
      <c r="K32" s="47">
        <v>1850000</v>
      </c>
      <c r="L32" s="48">
        <f t="shared" ref="L32:L33" si="11">IF(H32&lt;&gt;0,J32*H32*I32+K32*I32,IF(J32&lt;&gt;0,G32*I32*J32,I32*K32))</f>
        <v>18111756.351999998</v>
      </c>
      <c r="M32" s="28"/>
      <c r="N32" s="28"/>
      <c r="O32" s="28"/>
      <c r="P32" s="28"/>
      <c r="Q32" s="28"/>
      <c r="R32" s="28"/>
      <c r="S32" s="28"/>
      <c r="T32" s="28"/>
      <c r="U32" s="28"/>
      <c r="V32" s="28"/>
      <c r="W32" s="28"/>
      <c r="X32" s="28"/>
      <c r="Y32" s="28"/>
      <c r="Z32" s="28"/>
      <c r="AA32" s="28"/>
      <c r="AB32" s="28"/>
      <c r="AC32" s="28"/>
      <c r="AD32" s="28"/>
      <c r="AE32" s="28"/>
      <c r="AF32" s="28"/>
      <c r="AG32" s="28"/>
      <c r="AH32" s="28"/>
    </row>
    <row r="33" spans="1:34" s="3" customFormat="1" ht="138" customHeight="1" x14ac:dyDescent="0.25">
      <c r="A33" s="73">
        <v>21</v>
      </c>
      <c r="B33" s="57" t="s">
        <v>107</v>
      </c>
      <c r="C33" s="56" t="s">
        <v>41</v>
      </c>
      <c r="D33" s="45" t="s">
        <v>39</v>
      </c>
      <c r="E33" s="45" t="s">
        <v>38</v>
      </c>
      <c r="F33" s="45">
        <v>2932</v>
      </c>
      <c r="G33" s="45">
        <v>1852</v>
      </c>
      <c r="H33" s="46">
        <f t="shared" si="10"/>
        <v>5.4300639999999998</v>
      </c>
      <c r="I33" s="45">
        <v>1</v>
      </c>
      <c r="J33" s="53">
        <v>3005000</v>
      </c>
      <c r="K33" s="47">
        <v>1850000</v>
      </c>
      <c r="L33" s="48">
        <f t="shared" si="11"/>
        <v>18167342.32</v>
      </c>
      <c r="M33" s="28"/>
      <c r="N33" s="28"/>
      <c r="O33" s="28"/>
      <c r="P33" s="28"/>
      <c r="Q33" s="28"/>
      <c r="R33" s="28"/>
      <c r="S33" s="28"/>
      <c r="T33" s="28"/>
      <c r="U33" s="28"/>
      <c r="V33" s="28"/>
      <c r="W33" s="28"/>
      <c r="X33" s="28"/>
      <c r="Y33" s="28"/>
      <c r="Z33" s="28"/>
      <c r="AA33" s="28"/>
      <c r="AB33" s="28"/>
      <c r="AC33" s="28"/>
      <c r="AD33" s="28"/>
      <c r="AE33" s="28"/>
      <c r="AF33" s="28"/>
      <c r="AG33" s="28"/>
      <c r="AH33" s="28"/>
    </row>
    <row r="34" spans="1:34" ht="144" customHeight="1" x14ac:dyDescent="0.25">
      <c r="A34" s="73">
        <v>22</v>
      </c>
      <c r="B34" s="73" t="s">
        <v>108</v>
      </c>
      <c r="C34" s="51" t="s">
        <v>42</v>
      </c>
      <c r="D34" s="45" t="s">
        <v>39</v>
      </c>
      <c r="E34" s="45"/>
      <c r="F34" s="45">
        <v>1450</v>
      </c>
      <c r="G34" s="45">
        <v>1850</v>
      </c>
      <c r="H34" s="46">
        <f>F34*G34/10^6</f>
        <v>2.6825000000000001</v>
      </c>
      <c r="I34" s="45">
        <v>1</v>
      </c>
      <c r="J34" s="53">
        <v>2284000</v>
      </c>
      <c r="K34" s="47"/>
      <c r="L34" s="48">
        <f>IF(H34&lt;&gt;0,J34*H34*I34+K34*I34,IF(J34&lt;&gt;0,G34*I34*J34,I34*K34))</f>
        <v>6126830</v>
      </c>
      <c r="M34" s="28"/>
      <c r="N34" s="28"/>
      <c r="O34" s="28"/>
      <c r="P34" s="28"/>
      <c r="Q34" s="28"/>
      <c r="R34" s="28"/>
      <c r="S34" s="28"/>
      <c r="T34" s="28"/>
      <c r="U34" s="28"/>
      <c r="V34" s="28"/>
      <c r="W34" s="28"/>
      <c r="X34" s="28"/>
      <c r="Y34" s="28"/>
      <c r="Z34" s="28"/>
      <c r="AA34" s="28"/>
      <c r="AB34" s="28"/>
      <c r="AC34" s="28"/>
      <c r="AD34" s="28"/>
      <c r="AE34" s="28"/>
      <c r="AF34" s="28"/>
      <c r="AG34" s="28"/>
      <c r="AH34" s="28"/>
    </row>
    <row r="35" spans="1:34" ht="156" customHeight="1" x14ac:dyDescent="0.25">
      <c r="A35" s="73">
        <v>23</v>
      </c>
      <c r="B35" s="73" t="s">
        <v>109</v>
      </c>
      <c r="C35" s="51" t="s">
        <v>40</v>
      </c>
      <c r="D35" s="45" t="s">
        <v>39</v>
      </c>
      <c r="E35" s="45" t="s">
        <v>38</v>
      </c>
      <c r="F35" s="45">
        <v>890</v>
      </c>
      <c r="G35" s="45">
        <v>1890</v>
      </c>
      <c r="H35" s="46">
        <f>F35*G35/10^6</f>
        <v>1.6820999999999999</v>
      </c>
      <c r="I35" s="45">
        <v>1</v>
      </c>
      <c r="J35" s="53">
        <v>3483000</v>
      </c>
      <c r="K35" s="47">
        <v>1819000</v>
      </c>
      <c r="L35" s="48">
        <f>IF(H35&lt;&gt;0,J35*H35*I35+K35*I35,IF(J35&lt;&gt;0,G35*I35*J35,I35*K35))</f>
        <v>7677754.2999999998</v>
      </c>
      <c r="M35" s="28"/>
      <c r="N35" s="28"/>
      <c r="O35" s="28"/>
      <c r="P35" s="28"/>
      <c r="Q35" s="28"/>
      <c r="R35" s="28"/>
      <c r="S35" s="28"/>
      <c r="T35" s="28"/>
      <c r="U35" s="28"/>
      <c r="V35" s="28"/>
      <c r="W35" s="28"/>
      <c r="X35" s="28"/>
      <c r="Y35" s="28"/>
      <c r="Z35" s="28"/>
      <c r="AA35" s="28"/>
      <c r="AB35" s="28"/>
      <c r="AC35" s="28"/>
      <c r="AD35" s="28"/>
      <c r="AE35" s="28"/>
      <c r="AF35" s="28"/>
      <c r="AG35" s="28"/>
      <c r="AH35" s="28"/>
    </row>
    <row r="36" spans="1:34" ht="144" customHeight="1" x14ac:dyDescent="0.25">
      <c r="A36" s="73">
        <v>24</v>
      </c>
      <c r="B36" s="73" t="s">
        <v>110</v>
      </c>
      <c r="C36" s="51" t="s">
        <v>42</v>
      </c>
      <c r="D36" s="45" t="s">
        <v>39</v>
      </c>
      <c r="E36" s="45"/>
      <c r="F36" s="45">
        <v>1440</v>
      </c>
      <c r="G36" s="45">
        <v>1840</v>
      </c>
      <c r="H36" s="46">
        <f>F36*G36/10^6</f>
        <v>2.6496</v>
      </c>
      <c r="I36" s="45">
        <v>1</v>
      </c>
      <c r="J36" s="53">
        <v>2287000</v>
      </c>
      <c r="K36" s="47"/>
      <c r="L36" s="48">
        <f>IF(H36&lt;&gt;0,J36*H36*I36+K36*I36,IF(J36&lt;&gt;0,G36*I36*J36,I36*K36))</f>
        <v>6059635.2000000002</v>
      </c>
      <c r="M36" s="28"/>
      <c r="N36" s="28"/>
      <c r="O36" s="28"/>
      <c r="P36" s="28"/>
      <c r="Q36" s="28"/>
      <c r="R36" s="28"/>
      <c r="S36" s="28"/>
      <c r="T36" s="28"/>
      <c r="U36" s="28"/>
      <c r="V36" s="28"/>
      <c r="W36" s="28"/>
      <c r="X36" s="28"/>
      <c r="Y36" s="28"/>
      <c r="Z36" s="28"/>
      <c r="AA36" s="28"/>
      <c r="AB36" s="28"/>
      <c r="AC36" s="28"/>
      <c r="AD36" s="28"/>
      <c r="AE36" s="28"/>
      <c r="AF36" s="28"/>
      <c r="AG36" s="28"/>
      <c r="AH36" s="28"/>
    </row>
    <row r="37" spans="1:34" s="3" customFormat="1" ht="138" customHeight="1" x14ac:dyDescent="0.25">
      <c r="A37" s="73">
        <v>25</v>
      </c>
      <c r="B37" s="57" t="s">
        <v>111</v>
      </c>
      <c r="C37" s="56" t="s">
        <v>41</v>
      </c>
      <c r="D37" s="45" t="s">
        <v>39</v>
      </c>
      <c r="E37" s="45" t="s">
        <v>38</v>
      </c>
      <c r="F37" s="45">
        <v>3205</v>
      </c>
      <c r="G37" s="45">
        <v>1848</v>
      </c>
      <c r="H37" s="46">
        <f t="shared" ref="H37:H38" si="12">F37*G37/10^6</f>
        <v>5.9228399999999999</v>
      </c>
      <c r="I37" s="45">
        <v>1</v>
      </c>
      <c r="J37" s="53">
        <v>2959000</v>
      </c>
      <c r="K37" s="47">
        <v>1850000</v>
      </c>
      <c r="L37" s="48">
        <f t="shared" ref="L37:L38" si="13">IF(H37&lt;&gt;0,J37*H37*I37+K37*I37,IF(J37&lt;&gt;0,G37*I37*J37,I37*K37))</f>
        <v>19375683.559999999</v>
      </c>
      <c r="M37" s="28"/>
      <c r="N37" s="28"/>
      <c r="O37" s="28"/>
      <c r="P37" s="28"/>
      <c r="Q37" s="28"/>
      <c r="R37" s="28"/>
      <c r="S37" s="28"/>
      <c r="T37" s="28"/>
      <c r="U37" s="28"/>
      <c r="V37" s="28"/>
      <c r="W37" s="28"/>
      <c r="X37" s="28"/>
      <c r="Y37" s="28"/>
      <c r="Z37" s="28"/>
      <c r="AA37" s="28"/>
      <c r="AB37" s="28"/>
      <c r="AC37" s="28"/>
      <c r="AD37" s="28"/>
      <c r="AE37" s="28"/>
      <c r="AF37" s="28"/>
      <c r="AG37" s="28"/>
      <c r="AH37" s="28"/>
    </row>
    <row r="38" spans="1:34" s="3" customFormat="1" ht="138" customHeight="1" x14ac:dyDescent="0.25">
      <c r="A38" s="73">
        <v>26</v>
      </c>
      <c r="B38" s="57" t="s">
        <v>112</v>
      </c>
      <c r="C38" s="56" t="s">
        <v>41</v>
      </c>
      <c r="D38" s="45" t="s">
        <v>39</v>
      </c>
      <c r="E38" s="45" t="s">
        <v>38</v>
      </c>
      <c r="F38" s="45">
        <v>3170</v>
      </c>
      <c r="G38" s="45">
        <v>1850</v>
      </c>
      <c r="H38" s="46">
        <f t="shared" si="12"/>
        <v>5.8644999999999996</v>
      </c>
      <c r="I38" s="45">
        <v>1</v>
      </c>
      <c r="J38" s="53">
        <v>2965000</v>
      </c>
      <c r="K38" s="47">
        <v>1850000</v>
      </c>
      <c r="L38" s="48">
        <f t="shared" si="13"/>
        <v>19238242.5</v>
      </c>
      <c r="M38" s="28"/>
      <c r="N38" s="28"/>
      <c r="O38" s="28"/>
      <c r="P38" s="28"/>
      <c r="Q38" s="28"/>
      <c r="R38" s="28"/>
      <c r="S38" s="28"/>
      <c r="T38" s="28"/>
      <c r="U38" s="28"/>
      <c r="V38" s="28"/>
      <c r="W38" s="28"/>
      <c r="X38" s="28"/>
      <c r="Y38" s="28"/>
      <c r="Z38" s="28"/>
      <c r="AA38" s="28"/>
      <c r="AB38" s="28"/>
      <c r="AC38" s="28"/>
      <c r="AD38" s="28"/>
      <c r="AE38" s="28"/>
      <c r="AF38" s="28"/>
      <c r="AG38" s="28"/>
      <c r="AH38" s="28"/>
    </row>
    <row r="39" spans="1:34" ht="144" customHeight="1" x14ac:dyDescent="0.25">
      <c r="A39" s="73">
        <v>27</v>
      </c>
      <c r="B39" s="73" t="s">
        <v>113</v>
      </c>
      <c r="C39" s="51" t="s">
        <v>42</v>
      </c>
      <c r="D39" s="45" t="s">
        <v>39</v>
      </c>
      <c r="E39" s="45"/>
      <c r="F39" s="45">
        <v>1438</v>
      </c>
      <c r="G39" s="45">
        <v>1850</v>
      </c>
      <c r="H39" s="46">
        <f>F39*G39/10^6</f>
        <v>2.6602999999999999</v>
      </c>
      <c r="I39" s="45">
        <v>1</v>
      </c>
      <c r="J39" s="53">
        <v>2286000</v>
      </c>
      <c r="K39" s="47"/>
      <c r="L39" s="48">
        <f>IF(H39&lt;&gt;0,J39*H39*I39+K39*I39,IF(J39&lt;&gt;0,G39*I39*J39,I39*K39))</f>
        <v>6081445.7999999998</v>
      </c>
      <c r="M39" s="28"/>
      <c r="N39" s="28"/>
      <c r="O39" s="28"/>
      <c r="P39" s="28"/>
      <c r="Q39" s="28"/>
      <c r="R39" s="28"/>
      <c r="S39" s="28"/>
      <c r="T39" s="28"/>
      <c r="U39" s="28"/>
      <c r="V39" s="28"/>
      <c r="W39" s="28"/>
      <c r="X39" s="28"/>
      <c r="Y39" s="28"/>
      <c r="Z39" s="28"/>
      <c r="AA39" s="28"/>
      <c r="AB39" s="28"/>
      <c r="AC39" s="28"/>
      <c r="AD39" s="28"/>
      <c r="AE39" s="28"/>
      <c r="AF39" s="28"/>
      <c r="AG39" s="28"/>
      <c r="AH39" s="28"/>
    </row>
    <row r="40" spans="1:34" ht="144" customHeight="1" x14ac:dyDescent="0.25">
      <c r="A40" s="73">
        <v>28</v>
      </c>
      <c r="B40" s="73" t="s">
        <v>114</v>
      </c>
      <c r="C40" s="51" t="s">
        <v>42</v>
      </c>
      <c r="D40" s="45" t="s">
        <v>39</v>
      </c>
      <c r="E40" s="45"/>
      <c r="F40" s="45">
        <v>1446</v>
      </c>
      <c r="G40" s="45">
        <v>1842</v>
      </c>
      <c r="H40" s="46">
        <f>F40*G40/10^6</f>
        <v>2.663532</v>
      </c>
      <c r="I40" s="45">
        <v>1</v>
      </c>
      <c r="J40" s="53">
        <v>2286000</v>
      </c>
      <c r="K40" s="47"/>
      <c r="L40" s="48">
        <f>IF(H40&lt;&gt;0,J40*H40*I40+K40*I40,IF(J40&lt;&gt;0,G40*I40*J40,I40*K40))</f>
        <v>6088834.1519999998</v>
      </c>
      <c r="M40" s="28"/>
      <c r="N40" s="28"/>
      <c r="O40" s="28"/>
      <c r="P40" s="28"/>
      <c r="Q40" s="28"/>
      <c r="R40" s="28"/>
      <c r="S40" s="28"/>
      <c r="T40" s="28"/>
      <c r="U40" s="28"/>
      <c r="V40" s="28"/>
      <c r="W40" s="28"/>
      <c r="X40" s="28"/>
      <c r="Y40" s="28"/>
      <c r="Z40" s="28"/>
      <c r="AA40" s="28"/>
      <c r="AB40" s="28"/>
      <c r="AC40" s="28"/>
      <c r="AD40" s="28"/>
      <c r="AE40" s="28"/>
      <c r="AF40" s="28"/>
      <c r="AG40" s="28"/>
      <c r="AH40" s="28"/>
    </row>
    <row r="41" spans="1:34" s="3" customFormat="1" ht="138" customHeight="1" x14ac:dyDescent="0.25">
      <c r="A41" s="73">
        <v>29</v>
      </c>
      <c r="B41" s="57" t="s">
        <v>115</v>
      </c>
      <c r="C41" s="56" t="s">
        <v>41</v>
      </c>
      <c r="D41" s="45" t="s">
        <v>39</v>
      </c>
      <c r="E41" s="45" t="s">
        <v>38</v>
      </c>
      <c r="F41" s="45">
        <v>3205</v>
      </c>
      <c r="G41" s="45">
        <v>1843</v>
      </c>
      <c r="H41" s="46">
        <f t="shared" ref="H41:H43" si="14">F41*G41/10^6</f>
        <v>5.9068149999999999</v>
      </c>
      <c r="I41" s="45">
        <v>1</v>
      </c>
      <c r="J41" s="53">
        <v>2962000</v>
      </c>
      <c r="K41" s="47">
        <v>1850000</v>
      </c>
      <c r="L41" s="48">
        <f t="shared" ref="L41:L43" si="15">IF(H41&lt;&gt;0,J41*H41*I41+K41*I41,IF(J41&lt;&gt;0,G41*I41*J41,I41*K41))</f>
        <v>19345986.030000001</v>
      </c>
      <c r="M41" s="28"/>
      <c r="N41" s="28"/>
      <c r="O41" s="28"/>
      <c r="P41" s="28"/>
      <c r="Q41" s="28"/>
      <c r="R41" s="28"/>
      <c r="S41" s="28"/>
      <c r="T41" s="28"/>
      <c r="U41" s="28"/>
      <c r="V41" s="28"/>
      <c r="W41" s="28"/>
      <c r="X41" s="28"/>
      <c r="Y41" s="28"/>
      <c r="Z41" s="28"/>
      <c r="AA41" s="28"/>
      <c r="AB41" s="28"/>
      <c r="AC41" s="28"/>
      <c r="AD41" s="28"/>
      <c r="AE41" s="28"/>
      <c r="AF41" s="28"/>
      <c r="AG41" s="28"/>
      <c r="AH41" s="28"/>
    </row>
    <row r="42" spans="1:34" s="63" customFormat="1" ht="150.75" customHeight="1" x14ac:dyDescent="0.25">
      <c r="A42" s="73">
        <v>30</v>
      </c>
      <c r="B42" s="57" t="s">
        <v>116</v>
      </c>
      <c r="C42" s="58" t="s">
        <v>53</v>
      </c>
      <c r="D42" s="59" t="s">
        <v>39</v>
      </c>
      <c r="E42" s="59" t="s">
        <v>38</v>
      </c>
      <c r="F42" s="59">
        <v>4053</v>
      </c>
      <c r="G42" s="59">
        <v>1845</v>
      </c>
      <c r="H42" s="60">
        <f t="shared" si="14"/>
        <v>7.4777849999999999</v>
      </c>
      <c r="I42" s="45">
        <v>1</v>
      </c>
      <c r="J42" s="53">
        <v>3235000</v>
      </c>
      <c r="K42" s="47">
        <v>4007000</v>
      </c>
      <c r="L42" s="61">
        <f t="shared" si="15"/>
        <v>28197634.475000001</v>
      </c>
      <c r="M42" s="62"/>
      <c r="N42" s="62"/>
      <c r="O42" s="62"/>
      <c r="P42" s="62"/>
      <c r="Q42" s="62"/>
      <c r="R42" s="62"/>
      <c r="S42" s="62"/>
      <c r="T42" s="62"/>
      <c r="U42" s="62"/>
      <c r="V42" s="62"/>
      <c r="W42" s="62"/>
      <c r="X42" s="62"/>
      <c r="Y42" s="62"/>
      <c r="Z42" s="62"/>
      <c r="AA42" s="62"/>
      <c r="AB42" s="62"/>
      <c r="AC42" s="62"/>
      <c r="AD42" s="62"/>
      <c r="AE42" s="62"/>
      <c r="AF42" s="62"/>
      <c r="AG42" s="62"/>
      <c r="AH42" s="62"/>
    </row>
    <row r="43" spans="1:34" s="63" customFormat="1" ht="150.75" customHeight="1" x14ac:dyDescent="0.25">
      <c r="A43" s="73">
        <v>31</v>
      </c>
      <c r="B43" s="57" t="s">
        <v>117</v>
      </c>
      <c r="C43" s="58" t="s">
        <v>53</v>
      </c>
      <c r="D43" s="59" t="s">
        <v>39</v>
      </c>
      <c r="E43" s="59" t="s">
        <v>38</v>
      </c>
      <c r="F43" s="59">
        <v>5744</v>
      </c>
      <c r="G43" s="59">
        <v>1852</v>
      </c>
      <c r="H43" s="60">
        <f t="shared" si="14"/>
        <v>10.637888</v>
      </c>
      <c r="I43" s="45">
        <v>1</v>
      </c>
      <c r="J43" s="53">
        <v>3008000</v>
      </c>
      <c r="K43" s="47">
        <v>4007000</v>
      </c>
      <c r="L43" s="61">
        <f t="shared" si="15"/>
        <v>36005767.104000002</v>
      </c>
      <c r="M43" s="62"/>
      <c r="N43" s="62"/>
      <c r="O43" s="62"/>
      <c r="P43" s="62"/>
      <c r="Q43" s="62"/>
      <c r="R43" s="62"/>
      <c r="S43" s="62"/>
      <c r="T43" s="62"/>
      <c r="U43" s="62"/>
      <c r="V43" s="62"/>
      <c r="W43" s="62"/>
      <c r="X43" s="62"/>
      <c r="Y43" s="62"/>
      <c r="Z43" s="62"/>
      <c r="AA43" s="62"/>
      <c r="AB43" s="62"/>
      <c r="AC43" s="62"/>
      <c r="AD43" s="62"/>
      <c r="AE43" s="62"/>
      <c r="AF43" s="62"/>
      <c r="AG43" s="62"/>
      <c r="AH43" s="62"/>
    </row>
    <row r="44" spans="1:34" ht="156" customHeight="1" x14ac:dyDescent="0.25">
      <c r="A44" s="73">
        <v>32</v>
      </c>
      <c r="B44" s="73" t="s">
        <v>118</v>
      </c>
      <c r="C44" s="51" t="s">
        <v>40</v>
      </c>
      <c r="D44" s="45" t="s">
        <v>39</v>
      </c>
      <c r="E44" s="45" t="s">
        <v>38</v>
      </c>
      <c r="F44" s="45">
        <v>858</v>
      </c>
      <c r="G44" s="45">
        <v>1856</v>
      </c>
      <c r="H44" s="46">
        <f>F44*G44/10^6</f>
        <v>1.5924480000000001</v>
      </c>
      <c r="I44" s="45">
        <v>1</v>
      </c>
      <c r="J44" s="53">
        <v>3539000</v>
      </c>
      <c r="K44" s="47">
        <v>1819000</v>
      </c>
      <c r="L44" s="48">
        <f>IF(H44&lt;&gt;0,J44*H44*I44+K44*I44,IF(J44&lt;&gt;0,G44*I44*J44,I44*K44))</f>
        <v>7454673.4720000001</v>
      </c>
      <c r="M44" s="28"/>
      <c r="N44" s="28"/>
      <c r="O44" s="28"/>
      <c r="P44" s="28"/>
      <c r="Q44" s="28"/>
      <c r="R44" s="28"/>
      <c r="S44" s="28"/>
      <c r="T44" s="28"/>
      <c r="U44" s="28"/>
      <c r="V44" s="28"/>
      <c r="W44" s="28"/>
      <c r="X44" s="28"/>
      <c r="Y44" s="28"/>
      <c r="Z44" s="28"/>
      <c r="AA44" s="28"/>
      <c r="AB44" s="28"/>
      <c r="AC44" s="28"/>
      <c r="AD44" s="28"/>
      <c r="AE44" s="28"/>
      <c r="AF44" s="28"/>
      <c r="AG44" s="28"/>
      <c r="AH44" s="28"/>
    </row>
    <row r="45" spans="1:34" ht="156" customHeight="1" x14ac:dyDescent="0.25">
      <c r="A45" s="73">
        <v>33</v>
      </c>
      <c r="B45" s="73" t="s">
        <v>119</v>
      </c>
      <c r="C45" s="51" t="s">
        <v>40</v>
      </c>
      <c r="D45" s="45" t="s">
        <v>39</v>
      </c>
      <c r="E45" s="45" t="s">
        <v>38</v>
      </c>
      <c r="F45" s="45">
        <v>850</v>
      </c>
      <c r="G45" s="45">
        <v>2085</v>
      </c>
      <c r="H45" s="46">
        <f>F45*G45/10^6</f>
        <v>1.7722500000000001</v>
      </c>
      <c r="I45" s="45">
        <v>1</v>
      </c>
      <c r="J45" s="53">
        <v>3489000</v>
      </c>
      <c r="K45" s="47">
        <v>1819000</v>
      </c>
      <c r="L45" s="48">
        <f>IF(H45&lt;&gt;0,J45*H45*I45+K45*I45,IF(J45&lt;&gt;0,G45*I45*J45,I45*K45))</f>
        <v>8002380.25</v>
      </c>
      <c r="M45" s="28"/>
      <c r="N45" s="28"/>
      <c r="O45" s="28"/>
      <c r="P45" s="28"/>
      <c r="Q45" s="28"/>
      <c r="R45" s="28"/>
      <c r="S45" s="28"/>
      <c r="T45" s="28"/>
      <c r="U45" s="28"/>
      <c r="V45" s="28"/>
      <c r="W45" s="28"/>
      <c r="X45" s="28"/>
      <c r="Y45" s="28"/>
      <c r="Z45" s="28"/>
      <c r="AA45" s="28"/>
      <c r="AB45" s="28"/>
      <c r="AC45" s="28"/>
      <c r="AD45" s="28"/>
      <c r="AE45" s="28"/>
      <c r="AF45" s="28"/>
      <c r="AG45" s="28"/>
      <c r="AH45" s="28"/>
    </row>
    <row r="46" spans="1:34" ht="156" customHeight="1" x14ac:dyDescent="0.25">
      <c r="A46" s="73">
        <v>34</v>
      </c>
      <c r="B46" s="73" t="s">
        <v>120</v>
      </c>
      <c r="C46" s="51" t="s">
        <v>40</v>
      </c>
      <c r="D46" s="45" t="s">
        <v>39</v>
      </c>
      <c r="E46" s="45" t="s">
        <v>38</v>
      </c>
      <c r="F46" s="45">
        <v>1000</v>
      </c>
      <c r="G46" s="45">
        <v>2000</v>
      </c>
      <c r="H46" s="46">
        <f>F46*G46/10^6</f>
        <v>2</v>
      </c>
      <c r="I46" s="45">
        <v>1</v>
      </c>
      <c r="J46" s="53">
        <v>3383000</v>
      </c>
      <c r="K46" s="47">
        <v>1819000</v>
      </c>
      <c r="L46" s="48">
        <f>IF(H46&lt;&gt;0,J46*H46*I46+K46*I46,IF(J46&lt;&gt;0,G46*I46*J46,I46*K46))</f>
        <v>8585000</v>
      </c>
      <c r="M46" s="28"/>
      <c r="N46" s="28"/>
      <c r="O46" s="28"/>
      <c r="P46" s="28"/>
      <c r="Q46" s="28"/>
      <c r="R46" s="28"/>
      <c r="S46" s="28"/>
      <c r="T46" s="28"/>
      <c r="U46" s="28"/>
      <c r="V46" s="28"/>
      <c r="W46" s="28"/>
      <c r="X46" s="28"/>
      <c r="Y46" s="28"/>
      <c r="Z46" s="28"/>
      <c r="AA46" s="28"/>
      <c r="AB46" s="28"/>
      <c r="AC46" s="28"/>
      <c r="AD46" s="28"/>
      <c r="AE46" s="28"/>
      <c r="AF46" s="28"/>
      <c r="AG46" s="28"/>
      <c r="AH46" s="28"/>
    </row>
    <row r="47" spans="1:34" ht="156" customHeight="1" x14ac:dyDescent="0.25">
      <c r="A47" s="73">
        <v>35</v>
      </c>
      <c r="B47" s="73" t="s">
        <v>121</v>
      </c>
      <c r="C47" s="51" t="s">
        <v>50</v>
      </c>
      <c r="D47" s="45" t="s">
        <v>39</v>
      </c>
      <c r="E47" s="45" t="s">
        <v>38</v>
      </c>
      <c r="F47" s="45">
        <v>900</v>
      </c>
      <c r="G47" s="45">
        <v>1500</v>
      </c>
      <c r="H47" s="46">
        <f>F47*G47/10^6</f>
        <v>1.35</v>
      </c>
      <c r="I47" s="45">
        <v>1</v>
      </c>
      <c r="J47" s="53">
        <v>3613000</v>
      </c>
      <c r="K47" s="47">
        <v>1629000</v>
      </c>
      <c r="L47" s="48">
        <f>IF(H47&lt;&gt;0,J47*H47*I47+K47*I47,IF(J47&lt;&gt;0,G47*I47*J47,I47*K47))</f>
        <v>6506550</v>
      </c>
      <c r="M47" s="28"/>
      <c r="N47" s="28"/>
      <c r="O47" s="28"/>
      <c r="P47" s="28"/>
      <c r="Q47" s="28"/>
      <c r="R47" s="28"/>
      <c r="S47" s="28"/>
      <c r="T47" s="28"/>
      <c r="U47" s="28"/>
      <c r="V47" s="28"/>
      <c r="W47" s="28"/>
      <c r="X47" s="28"/>
      <c r="Y47" s="28"/>
      <c r="Z47" s="28"/>
      <c r="AA47" s="28"/>
      <c r="AB47" s="28"/>
      <c r="AC47" s="28"/>
      <c r="AD47" s="28"/>
      <c r="AE47" s="28"/>
      <c r="AF47" s="28"/>
      <c r="AG47" s="28"/>
      <c r="AH47" s="28"/>
    </row>
    <row r="48" spans="1:34" ht="144" customHeight="1" x14ac:dyDescent="0.25">
      <c r="A48" s="73">
        <v>36</v>
      </c>
      <c r="B48" s="73" t="s">
        <v>122</v>
      </c>
      <c r="C48" s="51" t="s">
        <v>42</v>
      </c>
      <c r="D48" s="45" t="s">
        <v>39</v>
      </c>
      <c r="E48" s="45"/>
      <c r="F48" s="45">
        <v>1454</v>
      </c>
      <c r="G48" s="45">
        <v>2050</v>
      </c>
      <c r="H48" s="46">
        <f>F48*G48/10^6</f>
        <v>2.9807000000000001</v>
      </c>
      <c r="I48" s="45">
        <v>1</v>
      </c>
      <c r="J48" s="53">
        <v>2259000</v>
      </c>
      <c r="K48" s="47"/>
      <c r="L48" s="48">
        <f>IF(H48&lt;&gt;0,J48*H48*I48+K48*I48,IF(J48&lt;&gt;0,G48*I48*J48,I48*K48))</f>
        <v>6733401.3000000007</v>
      </c>
      <c r="M48" s="28"/>
      <c r="N48" s="28"/>
      <c r="O48" s="28"/>
      <c r="P48" s="28"/>
      <c r="Q48" s="28"/>
      <c r="R48" s="28"/>
      <c r="S48" s="28"/>
      <c r="T48" s="28"/>
      <c r="U48" s="28"/>
      <c r="V48" s="28"/>
      <c r="W48" s="28"/>
      <c r="X48" s="28"/>
      <c r="Y48" s="28"/>
      <c r="Z48" s="28"/>
      <c r="AA48" s="28"/>
      <c r="AB48" s="28"/>
      <c r="AC48" s="28"/>
      <c r="AD48" s="28"/>
      <c r="AE48" s="28"/>
      <c r="AF48" s="28"/>
      <c r="AG48" s="28"/>
      <c r="AH48" s="28"/>
    </row>
    <row r="49" spans="1:34 16138:16139" s="8" customFormat="1" ht="31.5" customHeight="1" x14ac:dyDescent="0.25">
      <c r="A49" s="132" t="s">
        <v>85</v>
      </c>
      <c r="B49" s="133"/>
      <c r="C49" s="133"/>
      <c r="D49" s="133"/>
      <c r="E49" s="134"/>
      <c r="F49" s="64"/>
      <c r="G49" s="64"/>
      <c r="H49" s="65"/>
      <c r="I49" s="45"/>
      <c r="J49" s="53"/>
      <c r="K49" s="47"/>
      <c r="L49" s="67"/>
    </row>
    <row r="50" spans="1:34 16138:16139" s="3" customFormat="1" ht="138" customHeight="1" x14ac:dyDescent="0.25">
      <c r="A50" s="73">
        <v>37</v>
      </c>
      <c r="B50" s="57" t="s">
        <v>48</v>
      </c>
      <c r="C50" s="56" t="s">
        <v>41</v>
      </c>
      <c r="D50" s="45" t="s">
        <v>39</v>
      </c>
      <c r="E50" s="45" t="s">
        <v>38</v>
      </c>
      <c r="F50" s="45">
        <v>3747</v>
      </c>
      <c r="G50" s="45">
        <v>1950</v>
      </c>
      <c r="H50" s="46">
        <f t="shared" ref="H50" si="16">F50*G50/10^6</f>
        <v>7.3066500000000003</v>
      </c>
      <c r="I50" s="45">
        <v>1</v>
      </c>
      <c r="J50" s="53">
        <v>2854000</v>
      </c>
      <c r="K50" s="47">
        <v>1850000</v>
      </c>
      <c r="L50" s="48">
        <f t="shared" ref="L50" si="17">IF(H50&lt;&gt;0,J50*H50*I50+K50*I50,IF(J50&lt;&gt;0,G50*I50*J50,I50*K50))</f>
        <v>22703179.100000001</v>
      </c>
      <c r="M50" s="28"/>
      <c r="N50" s="28"/>
      <c r="O50" s="28"/>
      <c r="P50" s="28"/>
      <c r="Q50" s="28"/>
      <c r="R50" s="28"/>
      <c r="S50" s="28"/>
      <c r="T50" s="28"/>
      <c r="U50" s="28"/>
      <c r="V50" s="28"/>
      <c r="W50" s="28"/>
      <c r="X50" s="28"/>
      <c r="Y50" s="28"/>
      <c r="Z50" s="28"/>
      <c r="AA50" s="28"/>
      <c r="AB50" s="28"/>
      <c r="AC50" s="28"/>
      <c r="AD50" s="28"/>
      <c r="AE50" s="28"/>
      <c r="AF50" s="28"/>
      <c r="AG50" s="28"/>
      <c r="AH50" s="28"/>
    </row>
    <row r="51" spans="1:34 16138:16139" ht="144" customHeight="1" x14ac:dyDescent="0.25">
      <c r="A51" s="73">
        <v>38</v>
      </c>
      <c r="B51" s="73" t="s">
        <v>49</v>
      </c>
      <c r="C51" s="51" t="s">
        <v>42</v>
      </c>
      <c r="D51" s="45" t="s">
        <v>39</v>
      </c>
      <c r="E51" s="45"/>
      <c r="F51" s="45">
        <v>2100</v>
      </c>
      <c r="G51" s="45">
        <v>1400</v>
      </c>
      <c r="H51" s="46">
        <f>F51*G51/10^6</f>
        <v>2.94</v>
      </c>
      <c r="I51" s="45">
        <v>1</v>
      </c>
      <c r="J51" s="53">
        <v>2265000</v>
      </c>
      <c r="K51" s="47"/>
      <c r="L51" s="48">
        <f>IF(H51&lt;&gt;0,J51*H51*I51+K51*I51,IF(J51&lt;&gt;0,G51*I51*J51,I51*K51))</f>
        <v>6659100</v>
      </c>
      <c r="M51" s="28"/>
      <c r="N51" s="28"/>
      <c r="O51" s="28"/>
      <c r="P51" s="28"/>
      <c r="Q51" s="28"/>
      <c r="R51" s="28"/>
      <c r="S51" s="28"/>
      <c r="T51" s="28"/>
      <c r="U51" s="28"/>
      <c r="V51" s="28"/>
      <c r="W51" s="28"/>
      <c r="X51" s="28"/>
      <c r="Y51" s="28"/>
      <c r="Z51" s="28"/>
      <c r="AA51" s="28"/>
      <c r="AB51" s="28"/>
      <c r="AC51" s="28"/>
      <c r="AD51" s="28"/>
      <c r="AE51" s="28"/>
      <c r="AF51" s="28"/>
      <c r="AG51" s="28"/>
      <c r="AH51" s="28"/>
    </row>
    <row r="52" spans="1:34 16138:16139" ht="144" customHeight="1" x14ac:dyDescent="0.25">
      <c r="A52" s="73">
        <v>39</v>
      </c>
      <c r="B52" s="73" t="s">
        <v>51</v>
      </c>
      <c r="C52" s="51" t="s">
        <v>42</v>
      </c>
      <c r="D52" s="45" t="s">
        <v>45</v>
      </c>
      <c r="E52" s="45"/>
      <c r="F52" s="45">
        <v>2360</v>
      </c>
      <c r="G52" s="45">
        <v>1950</v>
      </c>
      <c r="H52" s="46">
        <f>F52*G52/10^6</f>
        <v>4.6020000000000003</v>
      </c>
      <c r="I52" s="45">
        <v>1</v>
      </c>
      <c r="J52" s="53">
        <v>2256000</v>
      </c>
      <c r="K52" s="47"/>
      <c r="L52" s="48">
        <f>IF(H52&lt;&gt;0,J52*H52*I52+K52*I52,IF(J52&lt;&gt;0,G52*I52*J52,I52*K52))</f>
        <v>10382112</v>
      </c>
      <c r="M52" s="28"/>
      <c r="N52" s="28"/>
      <c r="O52" s="28"/>
      <c r="P52" s="28"/>
      <c r="Q52" s="28"/>
      <c r="R52" s="28"/>
      <c r="S52" s="28"/>
      <c r="T52" s="28"/>
      <c r="U52" s="28"/>
      <c r="V52" s="28"/>
      <c r="W52" s="28"/>
      <c r="X52" s="28"/>
      <c r="Y52" s="28"/>
      <c r="Z52" s="28"/>
      <c r="AA52" s="28"/>
      <c r="AB52" s="28"/>
      <c r="AC52" s="28"/>
      <c r="AD52" s="28"/>
      <c r="AE52" s="28"/>
      <c r="AF52" s="28"/>
      <c r="AG52" s="28"/>
      <c r="AH52" s="28"/>
    </row>
    <row r="53" spans="1:34 16138:16139" s="3" customFormat="1" ht="138" customHeight="1" x14ac:dyDescent="0.25">
      <c r="A53" s="73">
        <v>40</v>
      </c>
      <c r="B53" s="57" t="s">
        <v>52</v>
      </c>
      <c r="C53" s="56" t="s">
        <v>41</v>
      </c>
      <c r="D53" s="45" t="s">
        <v>39</v>
      </c>
      <c r="E53" s="45" t="s">
        <v>38</v>
      </c>
      <c r="F53" s="45">
        <v>2935</v>
      </c>
      <c r="G53" s="45">
        <v>1954</v>
      </c>
      <c r="H53" s="46">
        <f t="shared" ref="H53" si="18">F53*G53/10^6</f>
        <v>5.7349899999999998</v>
      </c>
      <c r="I53" s="45">
        <v>1</v>
      </c>
      <c r="J53" s="53">
        <v>2973000</v>
      </c>
      <c r="K53" s="47">
        <v>1850000</v>
      </c>
      <c r="L53" s="48">
        <f t="shared" ref="L53" si="19">IF(H53&lt;&gt;0,J53*H53*I53+K53*I53,IF(J53&lt;&gt;0,G53*I53*J53,I53*K53))</f>
        <v>18900125.27</v>
      </c>
      <c r="M53" s="28"/>
      <c r="N53" s="28"/>
      <c r="O53" s="28"/>
      <c r="P53" s="28"/>
      <c r="Q53" s="28"/>
      <c r="R53" s="28"/>
      <c r="S53" s="28"/>
      <c r="T53" s="28"/>
      <c r="U53" s="28"/>
      <c r="V53" s="28"/>
      <c r="W53" s="28"/>
      <c r="X53" s="28"/>
      <c r="Y53" s="28"/>
      <c r="Z53" s="28"/>
      <c r="AA53" s="28"/>
      <c r="AB53" s="28"/>
      <c r="AC53" s="28"/>
      <c r="AD53" s="28"/>
      <c r="AE53" s="28"/>
      <c r="AF53" s="28"/>
      <c r="AG53" s="28"/>
      <c r="AH53" s="28"/>
    </row>
    <row r="54" spans="1:34 16138:16139" ht="144" customHeight="1" x14ac:dyDescent="0.25">
      <c r="A54" s="73">
        <v>41</v>
      </c>
      <c r="B54" s="73" t="s">
        <v>54</v>
      </c>
      <c r="C54" s="51" t="s">
        <v>42</v>
      </c>
      <c r="D54" s="45" t="s">
        <v>39</v>
      </c>
      <c r="E54" s="45"/>
      <c r="F54" s="45">
        <v>1455</v>
      </c>
      <c r="G54" s="45">
        <v>1950</v>
      </c>
      <c r="H54" s="46">
        <f>F54*G54/10^6</f>
        <v>2.83725</v>
      </c>
      <c r="I54" s="45">
        <v>1</v>
      </c>
      <c r="J54" s="53">
        <v>2272000</v>
      </c>
      <c r="K54" s="47"/>
      <c r="L54" s="48">
        <f>IF(H54&lt;&gt;0,J54*H54*I54+K54*I54,IF(J54&lt;&gt;0,G54*I54*J54,I54*K54))</f>
        <v>6446232</v>
      </c>
      <c r="M54" s="28"/>
      <c r="N54" s="28"/>
      <c r="O54" s="28"/>
      <c r="P54" s="28"/>
      <c r="Q54" s="28"/>
      <c r="R54" s="28"/>
      <c r="S54" s="28"/>
      <c r="T54" s="28"/>
      <c r="U54" s="28"/>
      <c r="V54" s="28"/>
      <c r="W54" s="28"/>
      <c r="X54" s="28"/>
      <c r="Y54" s="28"/>
      <c r="Z54" s="28"/>
      <c r="AA54" s="28"/>
      <c r="AB54" s="28"/>
      <c r="AC54" s="28"/>
      <c r="AD54" s="28"/>
      <c r="AE54" s="28"/>
      <c r="AF54" s="28"/>
      <c r="AG54" s="28"/>
      <c r="AH54" s="28"/>
    </row>
    <row r="55" spans="1:34 16138:16139" ht="144" customHeight="1" x14ac:dyDescent="0.25">
      <c r="A55" s="73">
        <v>42</v>
      </c>
      <c r="B55" s="73" t="s">
        <v>55</v>
      </c>
      <c r="C55" s="51" t="s">
        <v>42</v>
      </c>
      <c r="D55" s="45" t="s">
        <v>39</v>
      </c>
      <c r="E55" s="45"/>
      <c r="F55" s="45">
        <v>1452</v>
      </c>
      <c r="G55" s="45">
        <v>1955</v>
      </c>
      <c r="H55" s="46">
        <f>F55*G55/10^6</f>
        <v>2.83866</v>
      </c>
      <c r="I55" s="45">
        <v>1</v>
      </c>
      <c r="J55" s="53">
        <v>2272000</v>
      </c>
      <c r="K55" s="47"/>
      <c r="L55" s="48">
        <f>IF(H55&lt;&gt;0,J55*H55*I55+K55*I55,IF(J55&lt;&gt;0,G55*I55*J55,I55*K55))</f>
        <v>6449435.5199999996</v>
      </c>
      <c r="M55" s="28"/>
      <c r="N55" s="28"/>
      <c r="O55" s="28"/>
      <c r="P55" s="28"/>
      <c r="Q55" s="28"/>
      <c r="R55" s="28"/>
      <c r="S55" s="28"/>
      <c r="T55" s="28"/>
      <c r="U55" s="28"/>
      <c r="V55" s="28"/>
      <c r="W55" s="28"/>
      <c r="X55" s="28"/>
      <c r="Y55" s="28"/>
      <c r="Z55" s="28"/>
      <c r="AA55" s="28"/>
      <c r="AB55" s="28"/>
      <c r="AC55" s="28"/>
      <c r="AD55" s="28"/>
      <c r="AE55" s="28"/>
      <c r="AF55" s="28"/>
      <c r="AG55" s="28"/>
      <c r="AH55" s="28"/>
    </row>
    <row r="56" spans="1:34 16138:16139" s="3" customFormat="1" ht="138" customHeight="1" x14ac:dyDescent="0.25">
      <c r="A56" s="73">
        <v>43</v>
      </c>
      <c r="B56" s="57" t="s">
        <v>56</v>
      </c>
      <c r="C56" s="56" t="s">
        <v>41</v>
      </c>
      <c r="D56" s="45" t="s">
        <v>39</v>
      </c>
      <c r="E56" s="45" t="s">
        <v>38</v>
      </c>
      <c r="F56" s="45">
        <v>3200</v>
      </c>
      <c r="G56" s="45">
        <v>1947</v>
      </c>
      <c r="H56" s="46">
        <f t="shared" ref="H56:H58" si="20">F56*G56/10^6</f>
        <v>6.2304000000000004</v>
      </c>
      <c r="I56" s="45">
        <v>1</v>
      </c>
      <c r="J56" s="53">
        <v>2930000</v>
      </c>
      <c r="K56" s="47">
        <v>1850000</v>
      </c>
      <c r="L56" s="48">
        <f t="shared" ref="L56:L58" si="21">IF(H56&lt;&gt;0,J56*H56*I56+K56*I56,IF(J56&lt;&gt;0,G56*I56*J56,I56*K56))</f>
        <v>20105072</v>
      </c>
      <c r="M56" s="28"/>
      <c r="N56" s="28"/>
      <c r="O56" s="28"/>
      <c r="P56" s="28"/>
      <c r="Q56" s="28"/>
      <c r="R56" s="28"/>
      <c r="S56" s="28"/>
      <c r="T56" s="28"/>
      <c r="U56" s="28"/>
      <c r="V56" s="28"/>
      <c r="W56" s="28"/>
      <c r="X56" s="28"/>
      <c r="Y56" s="28"/>
      <c r="Z56" s="28"/>
      <c r="AA56" s="28"/>
      <c r="AB56" s="28"/>
      <c r="AC56" s="28"/>
      <c r="AD56" s="28"/>
      <c r="AE56" s="28"/>
      <c r="AF56" s="28"/>
      <c r="AG56" s="28"/>
      <c r="AH56" s="28"/>
    </row>
    <row r="57" spans="1:34 16138:16139" ht="150.75" customHeight="1" x14ac:dyDescent="0.25">
      <c r="A57" s="73">
        <v>44</v>
      </c>
      <c r="B57" s="73" t="s">
        <v>57</v>
      </c>
      <c r="C57" s="51" t="s">
        <v>46</v>
      </c>
      <c r="D57" s="45" t="s">
        <v>39</v>
      </c>
      <c r="E57" s="45" t="s">
        <v>38</v>
      </c>
      <c r="F57" s="45">
        <v>2096</v>
      </c>
      <c r="G57" s="45">
        <v>1950</v>
      </c>
      <c r="H57" s="46">
        <f t="shared" si="20"/>
        <v>4.0872000000000002</v>
      </c>
      <c r="I57" s="45">
        <v>1</v>
      </c>
      <c r="J57" s="53">
        <v>3200000</v>
      </c>
      <c r="K57" s="47">
        <v>1624000</v>
      </c>
      <c r="L57" s="48">
        <f t="shared" si="21"/>
        <v>14703040</v>
      </c>
      <c r="M57" s="28"/>
      <c r="N57" s="28"/>
      <c r="O57" s="28"/>
      <c r="P57" s="28"/>
      <c r="Q57" s="28"/>
      <c r="R57" s="28"/>
      <c r="S57" s="28"/>
      <c r="T57" s="28"/>
      <c r="U57" s="28"/>
      <c r="V57" s="28"/>
      <c r="W57" s="28"/>
      <c r="X57" s="28"/>
      <c r="Y57" s="28"/>
      <c r="Z57" s="28"/>
      <c r="AA57" s="28"/>
      <c r="AB57" s="28"/>
      <c r="AC57" s="28"/>
      <c r="AD57" s="28"/>
      <c r="AE57" s="28"/>
      <c r="AF57" s="28"/>
      <c r="WVR57"/>
      <c r="WVS57"/>
    </row>
    <row r="58" spans="1:34 16138:16139" s="3" customFormat="1" ht="138" customHeight="1" x14ac:dyDescent="0.25">
      <c r="A58" s="73">
        <v>45</v>
      </c>
      <c r="B58" s="57" t="s">
        <v>58</v>
      </c>
      <c r="C58" s="56" t="s">
        <v>41</v>
      </c>
      <c r="D58" s="45" t="s">
        <v>39</v>
      </c>
      <c r="E58" s="45" t="s">
        <v>38</v>
      </c>
      <c r="F58" s="45">
        <v>3204</v>
      </c>
      <c r="G58" s="45">
        <v>1950</v>
      </c>
      <c r="H58" s="46">
        <f t="shared" si="20"/>
        <v>6.2477999999999998</v>
      </c>
      <c r="I58" s="45">
        <v>1</v>
      </c>
      <c r="J58" s="53">
        <v>2928000</v>
      </c>
      <c r="K58" s="47">
        <v>1850000</v>
      </c>
      <c r="L58" s="48">
        <f t="shared" si="21"/>
        <v>20143558.399999999</v>
      </c>
      <c r="M58" s="28"/>
      <c r="N58" s="28"/>
      <c r="O58" s="28"/>
      <c r="P58" s="28"/>
      <c r="Q58" s="28"/>
      <c r="R58" s="28"/>
      <c r="S58" s="28"/>
      <c r="T58" s="28"/>
      <c r="U58" s="28"/>
      <c r="V58" s="28"/>
      <c r="W58" s="28"/>
      <c r="X58" s="28"/>
      <c r="Y58" s="28"/>
      <c r="Z58" s="28"/>
      <c r="AA58" s="28"/>
      <c r="AB58" s="28"/>
      <c r="AC58" s="28"/>
      <c r="AD58" s="28"/>
      <c r="AE58" s="28"/>
      <c r="AF58" s="28"/>
      <c r="AG58" s="28"/>
      <c r="AH58" s="28"/>
    </row>
    <row r="59" spans="1:34 16138:16139" ht="144" customHeight="1" x14ac:dyDescent="0.25">
      <c r="A59" s="73">
        <v>46</v>
      </c>
      <c r="B59" s="73" t="s">
        <v>59</v>
      </c>
      <c r="C59" s="51" t="s">
        <v>42</v>
      </c>
      <c r="D59" s="45" t="s">
        <v>39</v>
      </c>
      <c r="E59" s="45"/>
      <c r="F59" s="45">
        <v>1450</v>
      </c>
      <c r="G59" s="45">
        <v>1950</v>
      </c>
      <c r="H59" s="46">
        <f>F59*G59/10^6</f>
        <v>2.8275000000000001</v>
      </c>
      <c r="I59" s="45">
        <v>1</v>
      </c>
      <c r="J59" s="53">
        <v>2273000</v>
      </c>
      <c r="K59" s="47"/>
      <c r="L59" s="48">
        <f>IF(H59&lt;&gt;0,J59*H59*I59+K59*I59,IF(J59&lt;&gt;0,G59*I59*J59,I59*K59))</f>
        <v>6426907.5</v>
      </c>
      <c r="M59" s="28"/>
      <c r="N59" s="28"/>
      <c r="O59" s="28"/>
      <c r="P59" s="28"/>
      <c r="Q59" s="28"/>
      <c r="R59" s="28"/>
      <c r="S59" s="28"/>
      <c r="T59" s="28"/>
      <c r="U59" s="28"/>
      <c r="V59" s="28"/>
      <c r="W59" s="28"/>
      <c r="X59" s="28"/>
      <c r="Y59" s="28"/>
      <c r="Z59" s="28"/>
      <c r="AA59" s="28"/>
      <c r="AB59" s="28"/>
      <c r="AC59" s="28"/>
      <c r="AD59" s="28"/>
      <c r="AE59" s="28"/>
      <c r="AF59" s="28"/>
      <c r="AG59" s="28"/>
      <c r="AH59" s="28"/>
    </row>
    <row r="60" spans="1:34 16138:16139" ht="144" customHeight="1" x14ac:dyDescent="0.25">
      <c r="A60" s="73">
        <v>47</v>
      </c>
      <c r="B60" s="73" t="s">
        <v>60</v>
      </c>
      <c r="C60" s="51" t="s">
        <v>42</v>
      </c>
      <c r="D60" s="45" t="s">
        <v>39</v>
      </c>
      <c r="E60" s="45"/>
      <c r="F60" s="45">
        <v>1450</v>
      </c>
      <c r="G60" s="45">
        <v>1947</v>
      </c>
      <c r="H60" s="46">
        <f>F60*G60/10^6</f>
        <v>2.82315</v>
      </c>
      <c r="I60" s="45">
        <v>1</v>
      </c>
      <c r="J60" s="53">
        <v>2273000</v>
      </c>
      <c r="K60" s="47"/>
      <c r="L60" s="48">
        <f>IF(H60&lt;&gt;0,J60*H60*I60+K60*I60,IF(J60&lt;&gt;0,G60*I60*J60,I60*K60))</f>
        <v>6417019.9500000002</v>
      </c>
      <c r="M60" s="28"/>
      <c r="N60" s="28"/>
      <c r="O60" s="28"/>
      <c r="P60" s="28"/>
      <c r="Q60" s="28"/>
      <c r="R60" s="28"/>
      <c r="S60" s="28"/>
      <c r="T60" s="28"/>
      <c r="U60" s="28"/>
      <c r="V60" s="28"/>
      <c r="W60" s="28"/>
      <c r="X60" s="28"/>
      <c r="Y60" s="28"/>
      <c r="Z60" s="28"/>
      <c r="AA60" s="28"/>
      <c r="AB60" s="28"/>
      <c r="AC60" s="28"/>
      <c r="AD60" s="28"/>
      <c r="AE60" s="28"/>
      <c r="AF60" s="28"/>
      <c r="AG60" s="28"/>
      <c r="AH60" s="28"/>
    </row>
    <row r="61" spans="1:34 16138:16139" s="3" customFormat="1" ht="138" customHeight="1" x14ac:dyDescent="0.25">
      <c r="A61" s="73">
        <v>48</v>
      </c>
      <c r="B61" s="57" t="s">
        <v>61</v>
      </c>
      <c r="C61" s="56" t="s">
        <v>41</v>
      </c>
      <c r="D61" s="45" t="s">
        <v>39</v>
      </c>
      <c r="E61" s="45" t="s">
        <v>38</v>
      </c>
      <c r="F61" s="45">
        <v>3200</v>
      </c>
      <c r="G61" s="45">
        <v>1950</v>
      </c>
      <c r="H61" s="46">
        <f t="shared" ref="H61:H62" si="22">F61*G61/10^6</f>
        <v>6.24</v>
      </c>
      <c r="I61" s="45">
        <v>1</v>
      </c>
      <c r="J61" s="53">
        <v>2930000</v>
      </c>
      <c r="K61" s="47">
        <v>1850000</v>
      </c>
      <c r="L61" s="48">
        <f t="shared" ref="L61:L62" si="23">IF(H61&lt;&gt;0,J61*H61*I61+K61*I61,IF(J61&lt;&gt;0,G61*I61*J61,I61*K61))</f>
        <v>20133200</v>
      </c>
      <c r="M61" s="28"/>
      <c r="N61" s="28"/>
      <c r="O61" s="28"/>
      <c r="P61" s="28"/>
      <c r="Q61" s="28"/>
      <c r="R61" s="28"/>
      <c r="S61" s="28"/>
      <c r="T61" s="28"/>
      <c r="U61" s="28"/>
      <c r="V61" s="28"/>
      <c r="W61" s="28"/>
      <c r="X61" s="28"/>
      <c r="Y61" s="28"/>
      <c r="Z61" s="28"/>
      <c r="AA61" s="28"/>
      <c r="AB61" s="28"/>
      <c r="AC61" s="28"/>
      <c r="AD61" s="28"/>
      <c r="AE61" s="28"/>
      <c r="AF61" s="28"/>
      <c r="AG61" s="28"/>
      <c r="AH61" s="28"/>
    </row>
    <row r="62" spans="1:34 16138:16139" s="3" customFormat="1" ht="138" customHeight="1" x14ac:dyDescent="0.25">
      <c r="A62" s="73">
        <v>49</v>
      </c>
      <c r="B62" s="57" t="s">
        <v>62</v>
      </c>
      <c r="C62" s="56" t="s">
        <v>41</v>
      </c>
      <c r="D62" s="45" t="s">
        <v>39</v>
      </c>
      <c r="E62" s="45" t="s">
        <v>38</v>
      </c>
      <c r="F62" s="45">
        <v>3205</v>
      </c>
      <c r="G62" s="45">
        <v>1950</v>
      </c>
      <c r="H62" s="46">
        <f t="shared" si="22"/>
        <v>6.2497499999999997</v>
      </c>
      <c r="I62" s="45">
        <v>1</v>
      </c>
      <c r="J62" s="53">
        <v>2928000</v>
      </c>
      <c r="K62" s="47">
        <v>1850000</v>
      </c>
      <c r="L62" s="48">
        <f t="shared" si="23"/>
        <v>20149268</v>
      </c>
      <c r="M62" s="28"/>
      <c r="N62" s="28"/>
      <c r="O62" s="28"/>
      <c r="P62" s="28"/>
      <c r="Q62" s="28"/>
      <c r="R62" s="28"/>
      <c r="S62" s="28"/>
      <c r="T62" s="28"/>
      <c r="U62" s="28"/>
      <c r="V62" s="28"/>
      <c r="W62" s="28"/>
      <c r="X62" s="28"/>
      <c r="Y62" s="28"/>
      <c r="Z62" s="28"/>
      <c r="AA62" s="28"/>
      <c r="AB62" s="28"/>
      <c r="AC62" s="28"/>
      <c r="AD62" s="28"/>
      <c r="AE62" s="28"/>
      <c r="AF62" s="28"/>
      <c r="AG62" s="28"/>
      <c r="AH62" s="28"/>
    </row>
    <row r="63" spans="1:34 16138:16139" ht="144" customHeight="1" x14ac:dyDescent="0.25">
      <c r="A63" s="73">
        <v>50</v>
      </c>
      <c r="B63" s="73" t="s">
        <v>63</v>
      </c>
      <c r="C63" s="51" t="s">
        <v>42</v>
      </c>
      <c r="D63" s="45" t="s">
        <v>39</v>
      </c>
      <c r="E63" s="45"/>
      <c r="F63" s="45">
        <v>1450</v>
      </c>
      <c r="G63" s="45">
        <v>1950</v>
      </c>
      <c r="H63" s="46">
        <f>F63*G63/10^6</f>
        <v>2.8275000000000001</v>
      </c>
      <c r="I63" s="45">
        <v>1</v>
      </c>
      <c r="J63" s="53">
        <v>2273000</v>
      </c>
      <c r="K63" s="47"/>
      <c r="L63" s="48">
        <f>IF(H63&lt;&gt;0,J63*H63*I63+K63*I63,IF(J63&lt;&gt;0,G63*I63*J63,I63*K63))</f>
        <v>6426907.5</v>
      </c>
      <c r="M63" s="28"/>
      <c r="N63" s="28"/>
      <c r="O63" s="28"/>
      <c r="P63" s="28"/>
      <c r="Q63" s="28"/>
      <c r="R63" s="28"/>
      <c r="S63" s="28"/>
      <c r="T63" s="28"/>
      <c r="U63" s="28"/>
      <c r="V63" s="28"/>
      <c r="W63" s="28"/>
      <c r="X63" s="28"/>
      <c r="Y63" s="28"/>
      <c r="Z63" s="28"/>
      <c r="AA63" s="28"/>
      <c r="AB63" s="28"/>
      <c r="AC63" s="28"/>
      <c r="AD63" s="28"/>
      <c r="AE63" s="28"/>
      <c r="AF63" s="28"/>
      <c r="AG63" s="28"/>
      <c r="AH63" s="28"/>
    </row>
    <row r="64" spans="1:34 16138:16139" ht="144" customHeight="1" x14ac:dyDescent="0.25">
      <c r="A64" s="73">
        <v>51</v>
      </c>
      <c r="B64" s="73" t="s">
        <v>64</v>
      </c>
      <c r="C64" s="51" t="s">
        <v>42</v>
      </c>
      <c r="D64" s="45" t="s">
        <v>39</v>
      </c>
      <c r="E64" s="45"/>
      <c r="F64" s="45">
        <v>1450</v>
      </c>
      <c r="G64" s="45">
        <v>1950</v>
      </c>
      <c r="H64" s="46">
        <f>F64*G64/10^6</f>
        <v>2.8275000000000001</v>
      </c>
      <c r="I64" s="45">
        <v>1</v>
      </c>
      <c r="J64" s="53">
        <v>2273000</v>
      </c>
      <c r="K64" s="47"/>
      <c r="L64" s="48">
        <f>IF(H64&lt;&gt;0,J64*H64*I64+K64*I64,IF(J64&lt;&gt;0,G64*I64*J64,I64*K64))</f>
        <v>6426907.5</v>
      </c>
      <c r="M64" s="28"/>
      <c r="N64" s="28"/>
      <c r="O64" s="28"/>
      <c r="P64" s="28"/>
      <c r="Q64" s="28"/>
      <c r="R64" s="28"/>
      <c r="S64" s="28"/>
      <c r="T64" s="28"/>
      <c r="U64" s="28"/>
      <c r="V64" s="28"/>
      <c r="W64" s="28"/>
      <c r="X64" s="28"/>
      <c r="Y64" s="28"/>
      <c r="Z64" s="28"/>
      <c r="AA64" s="28"/>
      <c r="AB64" s="28"/>
      <c r="AC64" s="28"/>
      <c r="AD64" s="28"/>
      <c r="AE64" s="28"/>
      <c r="AF64" s="28"/>
      <c r="AG64" s="28"/>
      <c r="AH64" s="28"/>
    </row>
    <row r="65" spans="1:34" s="3" customFormat="1" ht="138" customHeight="1" x14ac:dyDescent="0.25">
      <c r="A65" s="73">
        <v>52</v>
      </c>
      <c r="B65" s="57" t="s">
        <v>65</v>
      </c>
      <c r="C65" s="56" t="s">
        <v>41</v>
      </c>
      <c r="D65" s="45" t="s">
        <v>39</v>
      </c>
      <c r="E65" s="45" t="s">
        <v>38</v>
      </c>
      <c r="F65" s="45">
        <v>2927</v>
      </c>
      <c r="G65" s="45">
        <v>1950</v>
      </c>
      <c r="H65" s="46">
        <f t="shared" ref="H65:H66" si="24">F65*G65/10^6</f>
        <v>5.7076500000000001</v>
      </c>
      <c r="I65" s="45">
        <v>1</v>
      </c>
      <c r="J65" s="53">
        <v>2976000</v>
      </c>
      <c r="K65" s="47">
        <v>1850000</v>
      </c>
      <c r="L65" s="48">
        <f t="shared" ref="L65:L66" si="25">IF(H65&lt;&gt;0,J65*H65*I65+K65*I65,IF(J65&lt;&gt;0,G65*I65*J65,I65*K65))</f>
        <v>18835966.399999999</v>
      </c>
      <c r="M65" s="28"/>
      <c r="N65" s="28"/>
      <c r="O65" s="28"/>
      <c r="P65" s="28"/>
      <c r="Q65" s="28"/>
      <c r="R65" s="28"/>
      <c r="S65" s="28"/>
      <c r="T65" s="28"/>
      <c r="U65" s="28"/>
      <c r="V65" s="28"/>
      <c r="W65" s="28"/>
      <c r="X65" s="28"/>
      <c r="Y65" s="28"/>
      <c r="Z65" s="28"/>
      <c r="AA65" s="28"/>
      <c r="AB65" s="28"/>
      <c r="AC65" s="28"/>
      <c r="AD65" s="28"/>
      <c r="AE65" s="28"/>
      <c r="AF65" s="28"/>
      <c r="AG65" s="28"/>
      <c r="AH65" s="28"/>
    </row>
    <row r="66" spans="1:34" s="3" customFormat="1" ht="138" customHeight="1" x14ac:dyDescent="0.25">
      <c r="A66" s="73">
        <v>53</v>
      </c>
      <c r="B66" s="57" t="s">
        <v>66</v>
      </c>
      <c r="C66" s="56" t="s">
        <v>41</v>
      </c>
      <c r="D66" s="45" t="s">
        <v>39</v>
      </c>
      <c r="E66" s="45" t="s">
        <v>38</v>
      </c>
      <c r="F66" s="45">
        <v>2922</v>
      </c>
      <c r="G66" s="45">
        <v>1947</v>
      </c>
      <c r="H66" s="46">
        <f t="shared" si="24"/>
        <v>5.6891340000000001</v>
      </c>
      <c r="I66" s="45">
        <v>1</v>
      </c>
      <c r="J66" s="53">
        <v>2977000</v>
      </c>
      <c r="K66" s="47">
        <v>1850000</v>
      </c>
      <c r="L66" s="48">
        <f t="shared" si="25"/>
        <v>18786551.918000001</v>
      </c>
      <c r="M66" s="28"/>
      <c r="N66" s="28"/>
      <c r="O66" s="28"/>
      <c r="P66" s="28"/>
      <c r="Q66" s="28"/>
      <c r="R66" s="28"/>
      <c r="S66" s="28"/>
      <c r="T66" s="28"/>
      <c r="U66" s="28"/>
      <c r="V66" s="28"/>
      <c r="W66" s="28"/>
      <c r="X66" s="28"/>
      <c r="Y66" s="28"/>
      <c r="Z66" s="28"/>
      <c r="AA66" s="28"/>
      <c r="AB66" s="28"/>
      <c r="AC66" s="28"/>
      <c r="AD66" s="28"/>
      <c r="AE66" s="28"/>
      <c r="AF66" s="28"/>
      <c r="AG66" s="28"/>
      <c r="AH66" s="28"/>
    </row>
    <row r="67" spans="1:34" ht="144" customHeight="1" x14ac:dyDescent="0.25">
      <c r="A67" s="73">
        <v>54</v>
      </c>
      <c r="B67" s="73" t="s">
        <v>67</v>
      </c>
      <c r="C67" s="51" t="s">
        <v>42</v>
      </c>
      <c r="D67" s="45" t="s">
        <v>39</v>
      </c>
      <c r="E67" s="45"/>
      <c r="F67" s="45">
        <v>1452</v>
      </c>
      <c r="G67" s="45">
        <v>1947</v>
      </c>
      <c r="H67" s="46">
        <f>F67*G67/10^6</f>
        <v>2.8270439999999999</v>
      </c>
      <c r="I67" s="45">
        <v>1</v>
      </c>
      <c r="J67" s="53">
        <v>2272000</v>
      </c>
      <c r="K67" s="47"/>
      <c r="L67" s="48">
        <f>IF(H67&lt;&gt;0,J67*H67*I67+K67*I67,IF(J67&lt;&gt;0,G67*I67*J67,I67*K67))</f>
        <v>6423043.9679999994</v>
      </c>
      <c r="M67" s="28"/>
      <c r="N67" s="28"/>
      <c r="O67" s="28"/>
      <c r="P67" s="28"/>
      <c r="Q67" s="28"/>
      <c r="R67" s="28"/>
      <c r="S67" s="28"/>
      <c r="T67" s="28"/>
      <c r="U67" s="28"/>
      <c r="V67" s="28"/>
      <c r="W67" s="28"/>
      <c r="X67" s="28"/>
      <c r="Y67" s="28"/>
      <c r="Z67" s="28"/>
      <c r="AA67" s="28"/>
      <c r="AB67" s="28"/>
      <c r="AC67" s="28"/>
      <c r="AD67" s="28"/>
      <c r="AE67" s="28"/>
      <c r="AF67" s="28"/>
      <c r="AG67" s="28"/>
      <c r="AH67" s="28"/>
    </row>
    <row r="68" spans="1:34" ht="144" customHeight="1" x14ac:dyDescent="0.25">
      <c r="A68" s="73">
        <v>55</v>
      </c>
      <c r="B68" s="73" t="s">
        <v>68</v>
      </c>
      <c r="C68" s="51" t="s">
        <v>42</v>
      </c>
      <c r="D68" s="45" t="s">
        <v>39</v>
      </c>
      <c r="E68" s="45"/>
      <c r="F68" s="45">
        <v>1452</v>
      </c>
      <c r="G68" s="45">
        <v>1945</v>
      </c>
      <c r="H68" s="46">
        <f>F68*G68/10^6</f>
        <v>2.8241399999999999</v>
      </c>
      <c r="I68" s="45">
        <v>1</v>
      </c>
      <c r="J68" s="53">
        <v>2273000</v>
      </c>
      <c r="K68" s="47"/>
      <c r="L68" s="48">
        <f>IF(H68&lt;&gt;0,J68*H68*I68+K68*I68,IF(J68&lt;&gt;0,G68*I68*J68,I68*K68))</f>
        <v>6419270.2199999997</v>
      </c>
      <c r="M68" s="28"/>
      <c r="N68" s="28"/>
      <c r="O68" s="28"/>
      <c r="P68" s="28"/>
      <c r="Q68" s="28"/>
      <c r="R68" s="28"/>
      <c r="S68" s="28"/>
      <c r="T68" s="28"/>
      <c r="U68" s="28"/>
      <c r="V68" s="28"/>
      <c r="W68" s="28"/>
      <c r="X68" s="28"/>
      <c r="Y68" s="28"/>
      <c r="Z68" s="28"/>
      <c r="AA68" s="28"/>
      <c r="AB68" s="28"/>
      <c r="AC68" s="28"/>
      <c r="AD68" s="28"/>
      <c r="AE68" s="28"/>
      <c r="AF68" s="28"/>
      <c r="AG68" s="28"/>
      <c r="AH68" s="28"/>
    </row>
    <row r="69" spans="1:34" s="3" customFormat="1" ht="138" customHeight="1" x14ac:dyDescent="0.25">
      <c r="A69" s="73">
        <v>56</v>
      </c>
      <c r="B69" s="57" t="s">
        <v>69</v>
      </c>
      <c r="C69" s="56" t="s">
        <v>41</v>
      </c>
      <c r="D69" s="45" t="s">
        <v>39</v>
      </c>
      <c r="E69" s="45" t="s">
        <v>38</v>
      </c>
      <c r="F69" s="45">
        <v>2932</v>
      </c>
      <c r="G69" s="45">
        <v>1945</v>
      </c>
      <c r="H69" s="46">
        <f t="shared" ref="H69:H70" si="26">F69*G69/10^6</f>
        <v>5.7027400000000004</v>
      </c>
      <c r="I69" s="45">
        <v>1</v>
      </c>
      <c r="J69" s="53">
        <v>2976000</v>
      </c>
      <c r="K69" s="47">
        <v>1850000</v>
      </c>
      <c r="L69" s="48">
        <f t="shared" ref="L69:L70" si="27">IF(H69&lt;&gt;0,J69*H69*I69+K69*I69,IF(J69&lt;&gt;0,G69*I69*J69,I69*K69))</f>
        <v>18821354.240000002</v>
      </c>
      <c r="M69" s="28"/>
      <c r="N69" s="28"/>
      <c r="O69" s="28"/>
      <c r="P69" s="28"/>
      <c r="Q69" s="28"/>
      <c r="R69" s="28"/>
      <c r="S69" s="28"/>
      <c r="T69" s="28"/>
      <c r="U69" s="28"/>
      <c r="V69" s="28"/>
      <c r="W69" s="28"/>
      <c r="X69" s="28"/>
      <c r="Y69" s="28"/>
      <c r="Z69" s="28"/>
      <c r="AA69" s="28"/>
      <c r="AB69" s="28"/>
      <c r="AC69" s="28"/>
      <c r="AD69" s="28"/>
      <c r="AE69" s="28"/>
      <c r="AF69" s="28"/>
      <c r="AG69" s="28"/>
      <c r="AH69" s="28"/>
    </row>
    <row r="70" spans="1:34" s="3" customFormat="1" ht="138" customHeight="1" x14ac:dyDescent="0.25">
      <c r="A70" s="73">
        <v>57</v>
      </c>
      <c r="B70" s="57" t="s">
        <v>70</v>
      </c>
      <c r="C70" s="56" t="s">
        <v>41</v>
      </c>
      <c r="D70" s="45" t="s">
        <v>39</v>
      </c>
      <c r="E70" s="45" t="s">
        <v>38</v>
      </c>
      <c r="F70" s="45">
        <v>2921</v>
      </c>
      <c r="G70" s="45">
        <v>1952</v>
      </c>
      <c r="H70" s="46">
        <f t="shared" si="26"/>
        <v>5.7017920000000002</v>
      </c>
      <c r="I70" s="45">
        <v>1</v>
      </c>
      <c r="J70" s="53">
        <v>2976000</v>
      </c>
      <c r="K70" s="47">
        <v>1850000</v>
      </c>
      <c r="L70" s="48">
        <f t="shared" si="27"/>
        <v>18818532.992000002</v>
      </c>
      <c r="M70" s="28"/>
      <c r="N70" s="28"/>
      <c r="O70" s="28"/>
      <c r="P70" s="28"/>
      <c r="Q70" s="28"/>
      <c r="R70" s="28"/>
      <c r="S70" s="28"/>
      <c r="T70" s="28"/>
      <c r="U70" s="28"/>
      <c r="V70" s="28"/>
      <c r="W70" s="28"/>
      <c r="X70" s="28"/>
      <c r="Y70" s="28"/>
      <c r="Z70" s="28"/>
      <c r="AA70" s="28"/>
      <c r="AB70" s="28"/>
      <c r="AC70" s="28"/>
      <c r="AD70" s="28"/>
      <c r="AE70" s="28"/>
      <c r="AF70" s="28"/>
      <c r="AG70" s="28"/>
      <c r="AH70" s="28"/>
    </row>
    <row r="71" spans="1:34" ht="144" customHeight="1" x14ac:dyDescent="0.25">
      <c r="A71" s="73">
        <v>58</v>
      </c>
      <c r="B71" s="73" t="s">
        <v>71</v>
      </c>
      <c r="C71" s="51" t="s">
        <v>42</v>
      </c>
      <c r="D71" s="45" t="s">
        <v>39</v>
      </c>
      <c r="E71" s="45"/>
      <c r="F71" s="45">
        <v>1428</v>
      </c>
      <c r="G71" s="45">
        <v>1950</v>
      </c>
      <c r="H71" s="46">
        <f>F71*G71/10^6</f>
        <v>2.7846000000000002</v>
      </c>
      <c r="I71" s="45">
        <v>1</v>
      </c>
      <c r="J71" s="53">
        <v>2276000</v>
      </c>
      <c r="K71" s="47"/>
      <c r="L71" s="48">
        <f>IF(H71&lt;&gt;0,J71*H71*I71+K71*I71,IF(J71&lt;&gt;0,G71*I71*J71,I71*K71))</f>
        <v>6337749.6000000006</v>
      </c>
      <c r="M71" s="28"/>
      <c r="N71" s="28"/>
      <c r="O71" s="28"/>
      <c r="P71" s="28"/>
      <c r="Q71" s="28"/>
      <c r="R71" s="28"/>
      <c r="S71" s="28"/>
      <c r="T71" s="28"/>
      <c r="U71" s="28"/>
      <c r="V71" s="28"/>
      <c r="W71" s="28"/>
      <c r="X71" s="28"/>
      <c r="Y71" s="28"/>
      <c r="Z71" s="28"/>
      <c r="AA71" s="28"/>
      <c r="AB71" s="28"/>
      <c r="AC71" s="28"/>
      <c r="AD71" s="28"/>
      <c r="AE71" s="28"/>
      <c r="AF71" s="28"/>
      <c r="AG71" s="28"/>
      <c r="AH71" s="28"/>
    </row>
    <row r="72" spans="1:34" ht="144" customHeight="1" x14ac:dyDescent="0.25">
      <c r="A72" s="73">
        <v>59</v>
      </c>
      <c r="B72" s="73" t="s">
        <v>72</v>
      </c>
      <c r="C72" s="51" t="s">
        <v>42</v>
      </c>
      <c r="D72" s="45" t="s">
        <v>39</v>
      </c>
      <c r="E72" s="45"/>
      <c r="F72" s="45">
        <v>1454</v>
      </c>
      <c r="G72" s="45">
        <v>1948</v>
      </c>
      <c r="H72" s="46">
        <f>F72*G72/10^6</f>
        <v>2.832392</v>
      </c>
      <c r="I72" s="45">
        <v>1</v>
      </c>
      <c r="J72" s="53">
        <v>2272000</v>
      </c>
      <c r="K72" s="47"/>
      <c r="L72" s="48">
        <f>IF(H72&lt;&gt;0,J72*H72*I72+K72*I72,IF(J72&lt;&gt;0,G72*I72*J72,I72*K72))</f>
        <v>6435194.6239999998</v>
      </c>
      <c r="M72" s="28"/>
      <c r="N72" s="28"/>
      <c r="O72" s="28"/>
      <c r="P72" s="28"/>
      <c r="Q72" s="28"/>
      <c r="R72" s="28"/>
      <c r="S72" s="28"/>
      <c r="T72" s="28"/>
      <c r="U72" s="28"/>
      <c r="V72" s="28"/>
      <c r="W72" s="28"/>
      <c r="X72" s="28"/>
      <c r="Y72" s="28"/>
      <c r="Z72" s="28"/>
      <c r="AA72" s="28"/>
      <c r="AB72" s="28"/>
      <c r="AC72" s="28"/>
      <c r="AD72" s="28"/>
      <c r="AE72" s="28"/>
      <c r="AF72" s="28"/>
      <c r="AG72" s="28"/>
      <c r="AH72" s="28"/>
    </row>
    <row r="73" spans="1:34" s="3" customFormat="1" ht="138" customHeight="1" x14ac:dyDescent="0.25">
      <c r="A73" s="73">
        <v>60</v>
      </c>
      <c r="B73" s="57" t="s">
        <v>73</v>
      </c>
      <c r="C73" s="56" t="s">
        <v>41</v>
      </c>
      <c r="D73" s="45" t="s">
        <v>39</v>
      </c>
      <c r="E73" s="45" t="s">
        <v>38</v>
      </c>
      <c r="F73" s="45">
        <v>3198</v>
      </c>
      <c r="G73" s="45">
        <v>1952</v>
      </c>
      <c r="H73" s="46">
        <f t="shared" ref="H73:H74" si="28">F73*G73/10^6</f>
        <v>6.242496</v>
      </c>
      <c r="I73" s="45">
        <v>1</v>
      </c>
      <c r="J73" s="53">
        <v>2928000</v>
      </c>
      <c r="K73" s="47">
        <v>1850000</v>
      </c>
      <c r="L73" s="48">
        <f t="shared" ref="L73:L74" si="29">IF(H73&lt;&gt;0,J73*H73*I73+K73*I73,IF(J73&lt;&gt;0,G73*I73*J73,I73*K73))</f>
        <v>20128028.287999999</v>
      </c>
      <c r="M73" s="28"/>
      <c r="N73" s="28"/>
      <c r="O73" s="28"/>
      <c r="P73" s="28"/>
      <c r="Q73" s="28"/>
      <c r="R73" s="28"/>
      <c r="S73" s="28"/>
      <c r="T73" s="28"/>
      <c r="U73" s="28"/>
      <c r="V73" s="28"/>
      <c r="W73" s="28"/>
      <c r="X73" s="28"/>
      <c r="Y73" s="28"/>
      <c r="Z73" s="28"/>
      <c r="AA73" s="28"/>
      <c r="AB73" s="28"/>
      <c r="AC73" s="28"/>
      <c r="AD73" s="28"/>
      <c r="AE73" s="28"/>
      <c r="AF73" s="28"/>
      <c r="AG73" s="28"/>
      <c r="AH73" s="28"/>
    </row>
    <row r="74" spans="1:34" s="3" customFormat="1" ht="138" customHeight="1" x14ac:dyDescent="0.25">
      <c r="A74" s="73">
        <v>61</v>
      </c>
      <c r="B74" s="57" t="s">
        <v>74</v>
      </c>
      <c r="C74" s="56" t="s">
        <v>41</v>
      </c>
      <c r="D74" s="45" t="s">
        <v>39</v>
      </c>
      <c r="E74" s="45" t="s">
        <v>38</v>
      </c>
      <c r="F74" s="45">
        <v>3232</v>
      </c>
      <c r="G74" s="45">
        <v>1952</v>
      </c>
      <c r="H74" s="46">
        <f t="shared" si="28"/>
        <v>6.3088639999999998</v>
      </c>
      <c r="I74" s="45">
        <v>1</v>
      </c>
      <c r="J74" s="53">
        <v>2923000</v>
      </c>
      <c r="K74" s="47">
        <v>1850000</v>
      </c>
      <c r="L74" s="48">
        <f t="shared" si="29"/>
        <v>20290809.471999999</v>
      </c>
      <c r="M74" s="28"/>
      <c r="N74" s="28"/>
      <c r="O74" s="28"/>
      <c r="P74" s="28"/>
      <c r="Q74" s="28"/>
      <c r="R74" s="28"/>
      <c r="S74" s="28"/>
      <c r="T74" s="28"/>
      <c r="U74" s="28"/>
      <c r="V74" s="28"/>
      <c r="W74" s="28"/>
      <c r="X74" s="28"/>
      <c r="Y74" s="28"/>
      <c r="Z74" s="28"/>
      <c r="AA74" s="28"/>
      <c r="AB74" s="28"/>
      <c r="AC74" s="28"/>
      <c r="AD74" s="28"/>
      <c r="AE74" s="28"/>
      <c r="AF74" s="28"/>
      <c r="AG74" s="28"/>
      <c r="AH74" s="28"/>
    </row>
    <row r="75" spans="1:34" ht="144" customHeight="1" x14ac:dyDescent="0.25">
      <c r="A75" s="73">
        <v>62</v>
      </c>
      <c r="B75" s="73" t="s">
        <v>75</v>
      </c>
      <c r="C75" s="51" t="s">
        <v>42</v>
      </c>
      <c r="D75" s="45" t="s">
        <v>39</v>
      </c>
      <c r="E75" s="45"/>
      <c r="F75" s="45">
        <v>1450</v>
      </c>
      <c r="G75" s="45">
        <v>1945</v>
      </c>
      <c r="H75" s="46">
        <f>F75*G75/10^6</f>
        <v>2.8202500000000001</v>
      </c>
      <c r="I75" s="45">
        <v>1</v>
      </c>
      <c r="J75" s="53">
        <v>2273000</v>
      </c>
      <c r="K75" s="47"/>
      <c r="L75" s="48">
        <f>IF(H75&lt;&gt;0,J75*H75*I75+K75*I75,IF(J75&lt;&gt;0,G75*I75*J75,I75*K75))</f>
        <v>6410428.25</v>
      </c>
      <c r="M75" s="28"/>
      <c r="N75" s="28"/>
      <c r="O75" s="28"/>
      <c r="P75" s="28"/>
      <c r="Q75" s="28"/>
      <c r="R75" s="28"/>
      <c r="S75" s="28"/>
      <c r="T75" s="28"/>
      <c r="U75" s="28"/>
      <c r="V75" s="28"/>
      <c r="W75" s="28"/>
      <c r="X75" s="28"/>
      <c r="Y75" s="28"/>
      <c r="Z75" s="28"/>
      <c r="AA75" s="28"/>
      <c r="AB75" s="28"/>
      <c r="AC75" s="28"/>
      <c r="AD75" s="28"/>
      <c r="AE75" s="28"/>
      <c r="AF75" s="28"/>
      <c r="AG75" s="28"/>
      <c r="AH75" s="28"/>
    </row>
    <row r="76" spans="1:34" ht="144" customHeight="1" x14ac:dyDescent="0.25">
      <c r="A76" s="73">
        <v>63</v>
      </c>
      <c r="B76" s="73" t="s">
        <v>76</v>
      </c>
      <c r="C76" s="51" t="s">
        <v>42</v>
      </c>
      <c r="D76" s="45" t="s">
        <v>39</v>
      </c>
      <c r="E76" s="45"/>
      <c r="F76" s="45">
        <v>1450</v>
      </c>
      <c r="G76" s="45">
        <v>1950</v>
      </c>
      <c r="H76" s="46">
        <f>F76*G76/10^6</f>
        <v>2.8275000000000001</v>
      </c>
      <c r="I76" s="45">
        <v>1</v>
      </c>
      <c r="J76" s="53">
        <v>2273000</v>
      </c>
      <c r="K76" s="47"/>
      <c r="L76" s="48">
        <f>IF(H76&lt;&gt;0,J76*H76*I76+K76*I76,IF(J76&lt;&gt;0,G76*I76*J76,I76*K76))</f>
        <v>6426907.5</v>
      </c>
      <c r="M76" s="28"/>
      <c r="N76" s="28"/>
      <c r="O76" s="28"/>
      <c r="P76" s="28"/>
      <c r="Q76" s="28"/>
      <c r="R76" s="28"/>
      <c r="S76" s="28"/>
      <c r="T76" s="28"/>
      <c r="U76" s="28"/>
      <c r="V76" s="28"/>
      <c r="W76" s="28"/>
      <c r="X76" s="28"/>
      <c r="Y76" s="28"/>
      <c r="Z76" s="28"/>
      <c r="AA76" s="28"/>
      <c r="AB76" s="28"/>
      <c r="AC76" s="28"/>
      <c r="AD76" s="28"/>
      <c r="AE76" s="28"/>
      <c r="AF76" s="28"/>
      <c r="AG76" s="28"/>
      <c r="AH76" s="28"/>
    </row>
    <row r="77" spans="1:34" s="3" customFormat="1" ht="138" customHeight="1" x14ac:dyDescent="0.25">
      <c r="A77" s="73">
        <v>64</v>
      </c>
      <c r="B77" s="57" t="s">
        <v>77</v>
      </c>
      <c r="C77" s="56" t="s">
        <v>41</v>
      </c>
      <c r="D77" s="45" t="s">
        <v>39</v>
      </c>
      <c r="E77" s="45" t="s">
        <v>38</v>
      </c>
      <c r="F77" s="45">
        <v>3210</v>
      </c>
      <c r="G77" s="45">
        <v>1950</v>
      </c>
      <c r="H77" s="46">
        <f t="shared" ref="H77:H79" si="30">F77*G77/10^6</f>
        <v>6.2595000000000001</v>
      </c>
      <c r="I77" s="45">
        <v>1</v>
      </c>
      <c r="J77" s="53">
        <v>2928000</v>
      </c>
      <c r="K77" s="47">
        <v>1850000</v>
      </c>
      <c r="L77" s="48">
        <f t="shared" ref="L77:L79" si="31">IF(H77&lt;&gt;0,J77*H77*I77+K77*I77,IF(J77&lt;&gt;0,G77*I77*J77,I77*K77))</f>
        <v>20177816</v>
      </c>
      <c r="M77" s="28"/>
      <c r="N77" s="28"/>
      <c r="O77" s="28"/>
      <c r="P77" s="28"/>
      <c r="Q77" s="28"/>
      <c r="R77" s="28"/>
      <c r="S77" s="28"/>
      <c r="T77" s="28"/>
      <c r="U77" s="28"/>
      <c r="V77" s="28"/>
      <c r="W77" s="28"/>
      <c r="X77" s="28"/>
      <c r="Y77" s="28"/>
      <c r="Z77" s="28"/>
      <c r="AA77" s="28"/>
      <c r="AB77" s="28"/>
      <c r="AC77" s="28"/>
      <c r="AD77" s="28"/>
      <c r="AE77" s="28"/>
      <c r="AF77" s="28"/>
      <c r="AG77" s="28"/>
      <c r="AH77" s="28"/>
    </row>
    <row r="78" spans="1:34" s="3" customFormat="1" ht="138" customHeight="1" x14ac:dyDescent="0.25">
      <c r="A78" s="73">
        <v>65</v>
      </c>
      <c r="B78" s="57" t="s">
        <v>78</v>
      </c>
      <c r="C78" s="56" t="s">
        <v>41</v>
      </c>
      <c r="D78" s="45" t="s">
        <v>39</v>
      </c>
      <c r="E78" s="45" t="s">
        <v>38</v>
      </c>
      <c r="F78" s="45">
        <v>2850</v>
      </c>
      <c r="G78" s="45">
        <v>1950</v>
      </c>
      <c r="H78" s="46">
        <f t="shared" si="30"/>
        <v>5.5575000000000001</v>
      </c>
      <c r="I78" s="45">
        <v>1</v>
      </c>
      <c r="J78" s="53">
        <v>2991000</v>
      </c>
      <c r="K78" s="47">
        <v>1850000</v>
      </c>
      <c r="L78" s="48">
        <f t="shared" si="31"/>
        <v>18472482.5</v>
      </c>
      <c r="M78" s="28"/>
      <c r="N78" s="28"/>
      <c r="O78" s="28"/>
      <c r="P78" s="28"/>
      <c r="Q78" s="28"/>
      <c r="R78" s="28"/>
      <c r="S78" s="28"/>
      <c r="T78" s="28"/>
      <c r="U78" s="28"/>
      <c r="V78" s="28"/>
      <c r="W78" s="28"/>
      <c r="X78" s="28"/>
      <c r="Y78" s="28"/>
      <c r="Z78" s="28"/>
      <c r="AA78" s="28"/>
      <c r="AB78" s="28"/>
      <c r="AC78" s="28"/>
      <c r="AD78" s="28"/>
      <c r="AE78" s="28"/>
      <c r="AF78" s="28"/>
      <c r="AG78" s="28"/>
      <c r="AH78" s="28"/>
    </row>
    <row r="79" spans="1:34" s="3" customFormat="1" ht="138" customHeight="1" x14ac:dyDescent="0.25">
      <c r="A79" s="73">
        <v>66</v>
      </c>
      <c r="B79" s="57" t="s">
        <v>79</v>
      </c>
      <c r="C79" s="56" t="s">
        <v>41</v>
      </c>
      <c r="D79" s="45" t="s">
        <v>39</v>
      </c>
      <c r="E79" s="45" t="s">
        <v>38</v>
      </c>
      <c r="F79" s="45">
        <v>3203</v>
      </c>
      <c r="G79" s="45">
        <v>1948</v>
      </c>
      <c r="H79" s="46">
        <f t="shared" si="30"/>
        <v>6.2394439999999998</v>
      </c>
      <c r="I79" s="45">
        <v>1</v>
      </c>
      <c r="J79" s="53">
        <v>2930000</v>
      </c>
      <c r="K79" s="47">
        <v>1850000</v>
      </c>
      <c r="L79" s="48">
        <f t="shared" si="31"/>
        <v>20131570.919999998</v>
      </c>
      <c r="M79" s="28"/>
      <c r="N79" s="28"/>
      <c r="O79" s="28"/>
      <c r="P79" s="28"/>
      <c r="Q79" s="28"/>
      <c r="R79" s="28"/>
      <c r="S79" s="28"/>
      <c r="T79" s="28"/>
      <c r="U79" s="28"/>
      <c r="V79" s="28"/>
      <c r="W79" s="28"/>
      <c r="X79" s="28"/>
      <c r="Y79" s="28"/>
      <c r="Z79" s="28"/>
      <c r="AA79" s="28"/>
      <c r="AB79" s="28"/>
      <c r="AC79" s="28"/>
      <c r="AD79" s="28"/>
      <c r="AE79" s="28"/>
      <c r="AF79" s="28"/>
      <c r="AG79" s="28"/>
      <c r="AH79" s="28"/>
    </row>
    <row r="80" spans="1:34" ht="144" customHeight="1" x14ac:dyDescent="0.25">
      <c r="A80" s="73">
        <v>67</v>
      </c>
      <c r="B80" s="73" t="s">
        <v>80</v>
      </c>
      <c r="C80" s="51" t="s">
        <v>42</v>
      </c>
      <c r="D80" s="45" t="s">
        <v>39</v>
      </c>
      <c r="E80" s="45"/>
      <c r="F80" s="45">
        <v>1453</v>
      </c>
      <c r="G80" s="45">
        <v>1950</v>
      </c>
      <c r="H80" s="46">
        <f>F80*G80/10^6</f>
        <v>2.8333499999999998</v>
      </c>
      <c r="I80" s="45">
        <v>1</v>
      </c>
      <c r="J80" s="53">
        <v>2272000</v>
      </c>
      <c r="K80" s="47"/>
      <c r="L80" s="48">
        <f>IF(H80&lt;&gt;0,J80*H80*I80+K80*I80,IF(J80&lt;&gt;0,G80*I80*J80,I80*K80))</f>
        <v>6437371.1999999993</v>
      </c>
      <c r="M80" s="28"/>
      <c r="N80" s="28"/>
      <c r="O80" s="28"/>
      <c r="P80" s="28"/>
      <c r="Q80" s="28"/>
      <c r="R80" s="28"/>
      <c r="S80" s="28"/>
      <c r="T80" s="28"/>
      <c r="U80" s="28"/>
      <c r="V80" s="28"/>
      <c r="W80" s="28"/>
      <c r="X80" s="28"/>
      <c r="Y80" s="28"/>
      <c r="Z80" s="28"/>
      <c r="AA80" s="28"/>
      <c r="AB80" s="28"/>
      <c r="AC80" s="28"/>
      <c r="AD80" s="28"/>
      <c r="AE80" s="28"/>
      <c r="AF80" s="28"/>
      <c r="AG80" s="28"/>
      <c r="AH80" s="28"/>
    </row>
    <row r="81" spans="1:34 16138:16139" ht="144" customHeight="1" x14ac:dyDescent="0.25">
      <c r="A81" s="73">
        <v>68</v>
      </c>
      <c r="B81" s="73" t="s">
        <v>81</v>
      </c>
      <c r="C81" s="51" t="s">
        <v>42</v>
      </c>
      <c r="D81" s="45" t="s">
        <v>39</v>
      </c>
      <c r="E81" s="45"/>
      <c r="F81" s="45">
        <v>1454</v>
      </c>
      <c r="G81" s="45">
        <v>1948</v>
      </c>
      <c r="H81" s="46">
        <f>F81*G81/10^6</f>
        <v>2.832392</v>
      </c>
      <c r="I81" s="45">
        <v>1</v>
      </c>
      <c r="J81" s="53">
        <v>2272000</v>
      </c>
      <c r="K81" s="47"/>
      <c r="L81" s="48">
        <f>IF(H81&lt;&gt;0,J81*H81*I81+K81*I81,IF(J81&lt;&gt;0,G81*I81*J81,I81*K81))</f>
        <v>6435194.6239999998</v>
      </c>
      <c r="M81" s="28"/>
      <c r="N81" s="28"/>
      <c r="O81" s="28"/>
      <c r="P81" s="28"/>
      <c r="Q81" s="28"/>
      <c r="R81" s="28"/>
      <c r="S81" s="28"/>
      <c r="T81" s="28"/>
      <c r="U81" s="28"/>
      <c r="V81" s="28"/>
      <c r="W81" s="28"/>
      <c r="X81" s="28"/>
      <c r="Y81" s="28"/>
      <c r="Z81" s="28"/>
      <c r="AA81" s="28"/>
      <c r="AB81" s="28"/>
      <c r="AC81" s="28"/>
      <c r="AD81" s="28"/>
      <c r="AE81" s="28"/>
      <c r="AF81" s="28"/>
      <c r="AG81" s="28"/>
      <c r="AH81" s="28"/>
    </row>
    <row r="82" spans="1:34 16138:16139" s="3" customFormat="1" ht="138" customHeight="1" x14ac:dyDescent="0.25">
      <c r="A82" s="73">
        <v>69</v>
      </c>
      <c r="B82" s="57" t="s">
        <v>82</v>
      </c>
      <c r="C82" s="56" t="s">
        <v>41</v>
      </c>
      <c r="D82" s="45" t="s">
        <v>39</v>
      </c>
      <c r="E82" s="45" t="s">
        <v>38</v>
      </c>
      <c r="F82" s="45">
        <v>2940</v>
      </c>
      <c r="G82" s="45">
        <v>1948</v>
      </c>
      <c r="H82" s="46">
        <f t="shared" ref="H82" si="32">F82*G82/10^6</f>
        <v>5.7271200000000002</v>
      </c>
      <c r="I82" s="45">
        <v>1</v>
      </c>
      <c r="J82" s="53">
        <v>2975000</v>
      </c>
      <c r="K82" s="47">
        <v>1850000</v>
      </c>
      <c r="L82" s="48">
        <f t="shared" ref="L82" si="33">IF(H82&lt;&gt;0,J82*H82*I82+K82*I82,IF(J82&lt;&gt;0,G82*I82*J82,I82*K82))</f>
        <v>18888182</v>
      </c>
      <c r="M82" s="28"/>
      <c r="N82" s="28"/>
      <c r="O82" s="28"/>
      <c r="P82" s="28"/>
      <c r="Q82" s="28"/>
      <c r="R82" s="28"/>
      <c r="S82" s="28"/>
      <c r="T82" s="28"/>
      <c r="U82" s="28"/>
      <c r="V82" s="28"/>
      <c r="W82" s="28"/>
      <c r="X82" s="28"/>
      <c r="Y82" s="28"/>
      <c r="Z82" s="28"/>
      <c r="AA82" s="28"/>
      <c r="AB82" s="28"/>
      <c r="AC82" s="28"/>
      <c r="AD82" s="28"/>
      <c r="AE82" s="28"/>
      <c r="AF82" s="28"/>
      <c r="AG82" s="28"/>
      <c r="AH82" s="28"/>
    </row>
    <row r="83" spans="1:34 16138:16139" ht="144" customHeight="1" x14ac:dyDescent="0.25">
      <c r="A83" s="73">
        <v>70</v>
      </c>
      <c r="B83" s="73" t="s">
        <v>83</v>
      </c>
      <c r="C83" s="51" t="s">
        <v>42</v>
      </c>
      <c r="D83" s="45" t="s">
        <v>45</v>
      </c>
      <c r="E83" s="45"/>
      <c r="F83" s="45">
        <v>2353</v>
      </c>
      <c r="G83" s="45">
        <v>1953</v>
      </c>
      <c r="H83" s="46">
        <f>F83*G83/10^6</f>
        <v>4.5954090000000001</v>
      </c>
      <c r="I83" s="45">
        <v>1</v>
      </c>
      <c r="J83" s="53">
        <v>2256000</v>
      </c>
      <c r="K83" s="47"/>
      <c r="L83" s="48">
        <f>IF(H83&lt;&gt;0,J83*H83*I83+K83*I83,IF(J83&lt;&gt;0,G83*I83*J83,I83*K83))</f>
        <v>10367242.704</v>
      </c>
      <c r="M83" s="28"/>
      <c r="N83" s="28"/>
      <c r="O83" s="28"/>
      <c r="P83" s="28"/>
      <c r="Q83" s="28"/>
      <c r="R83" s="28"/>
      <c r="S83" s="28"/>
      <c r="T83" s="28"/>
      <c r="U83" s="28"/>
      <c r="V83" s="28"/>
      <c r="W83" s="28"/>
      <c r="X83" s="28"/>
      <c r="Y83" s="28"/>
      <c r="Z83" s="28"/>
      <c r="AA83" s="28"/>
      <c r="AB83" s="28"/>
      <c r="AC83" s="28"/>
      <c r="AD83" s="28"/>
      <c r="AE83" s="28"/>
      <c r="AF83" s="28"/>
      <c r="AG83" s="28"/>
      <c r="AH83" s="28"/>
    </row>
    <row r="84" spans="1:34 16138:16139" ht="144" customHeight="1" x14ac:dyDescent="0.25">
      <c r="A84" s="73">
        <v>71</v>
      </c>
      <c r="B84" s="73" t="s">
        <v>84</v>
      </c>
      <c r="C84" s="51" t="s">
        <v>42</v>
      </c>
      <c r="D84" s="45" t="s">
        <v>39</v>
      </c>
      <c r="E84" s="45"/>
      <c r="F84" s="45">
        <v>2090</v>
      </c>
      <c r="G84" s="45">
        <v>1396</v>
      </c>
      <c r="H84" s="46">
        <f>F84*G84/10^6</f>
        <v>2.91764</v>
      </c>
      <c r="I84" s="45">
        <v>1</v>
      </c>
      <c r="J84" s="53">
        <v>2266000</v>
      </c>
      <c r="K84" s="47"/>
      <c r="L84" s="48">
        <f>IF(H84&lt;&gt;0,J84*H84*I84+K84*I84,IF(J84&lt;&gt;0,G84*I84*J84,I84*K84))</f>
        <v>6611372.2400000002</v>
      </c>
      <c r="M84" s="28"/>
      <c r="N84" s="28"/>
      <c r="O84" s="28"/>
      <c r="P84" s="28"/>
      <c r="Q84" s="28"/>
      <c r="R84" s="28"/>
      <c r="S84" s="28"/>
      <c r="T84" s="28"/>
      <c r="U84" s="28"/>
      <c r="V84" s="28"/>
      <c r="W84" s="28"/>
      <c r="X84" s="28"/>
      <c r="Y84" s="28"/>
      <c r="Z84" s="28"/>
      <c r="AA84" s="28"/>
      <c r="AB84" s="28"/>
      <c r="AC84" s="28"/>
      <c r="AD84" s="28"/>
      <c r="AE84" s="28"/>
      <c r="AF84" s="28"/>
      <c r="AG84" s="28"/>
      <c r="AH84" s="28"/>
    </row>
    <row r="85" spans="1:34 16138:16139" s="3" customFormat="1" ht="138" customHeight="1" x14ac:dyDescent="0.25">
      <c r="A85" s="73">
        <v>72</v>
      </c>
      <c r="B85" s="57" t="s">
        <v>123</v>
      </c>
      <c r="C85" s="56" t="s">
        <v>41</v>
      </c>
      <c r="D85" s="45" t="s">
        <v>39</v>
      </c>
      <c r="E85" s="45" t="s">
        <v>38</v>
      </c>
      <c r="F85" s="45">
        <v>3756</v>
      </c>
      <c r="G85" s="45">
        <v>1947</v>
      </c>
      <c r="H85" s="46">
        <f t="shared" ref="H85" si="34">F85*G85/10^6</f>
        <v>7.312932</v>
      </c>
      <c r="I85" s="45">
        <v>1</v>
      </c>
      <c r="J85" s="53">
        <v>2854000</v>
      </c>
      <c r="K85" s="47">
        <v>1850000</v>
      </c>
      <c r="L85" s="48">
        <f t="shared" ref="L85" si="35">IF(H85&lt;&gt;0,J85*H85*I85+K85*I85,IF(J85&lt;&gt;0,G85*I85*J85,I85*K85))</f>
        <v>22721107.927999999</v>
      </c>
      <c r="M85" s="28"/>
      <c r="N85" s="28"/>
      <c r="O85" s="28"/>
      <c r="P85" s="28"/>
      <c r="Q85" s="28"/>
      <c r="R85" s="28"/>
      <c r="S85" s="28"/>
      <c r="T85" s="28"/>
      <c r="U85" s="28"/>
      <c r="V85" s="28"/>
      <c r="W85" s="28"/>
      <c r="X85" s="28"/>
      <c r="Y85" s="28"/>
      <c r="Z85" s="28"/>
      <c r="AA85" s="28"/>
      <c r="AB85" s="28"/>
      <c r="AC85" s="28"/>
      <c r="AD85" s="28"/>
      <c r="AE85" s="28"/>
      <c r="AF85" s="28"/>
      <c r="AG85" s="28"/>
      <c r="AH85" s="28"/>
    </row>
    <row r="86" spans="1:34 16138:16139" s="8" customFormat="1" ht="31.5" customHeight="1" x14ac:dyDescent="0.25">
      <c r="A86" s="132" t="s">
        <v>124</v>
      </c>
      <c r="B86" s="133"/>
      <c r="C86" s="133"/>
      <c r="D86" s="133"/>
      <c r="E86" s="134"/>
      <c r="F86" s="64"/>
      <c r="G86" s="64"/>
      <c r="H86" s="65"/>
      <c r="I86" s="45"/>
      <c r="J86" s="53"/>
      <c r="K86" s="47"/>
      <c r="L86" s="67"/>
    </row>
    <row r="87" spans="1:34 16138:16139" s="39" customFormat="1" ht="156" customHeight="1" x14ac:dyDescent="0.25">
      <c r="A87" s="73">
        <v>73</v>
      </c>
      <c r="B87" s="73" t="s">
        <v>125</v>
      </c>
      <c r="C87" s="51" t="s">
        <v>43</v>
      </c>
      <c r="D87" s="45" t="s">
        <v>39</v>
      </c>
      <c r="E87" s="45" t="s">
        <v>38</v>
      </c>
      <c r="F87" s="45">
        <v>3753</v>
      </c>
      <c r="G87" s="45">
        <v>1950</v>
      </c>
      <c r="H87" s="46">
        <f t="shared" ref="H87:H88" si="36">F87*G87/10^6</f>
        <v>7.3183499999999997</v>
      </c>
      <c r="I87" s="45">
        <v>1</v>
      </c>
      <c r="J87" s="53">
        <v>3018000</v>
      </c>
      <c r="K87" s="47">
        <v>2020000</v>
      </c>
      <c r="L87" s="48">
        <f t="shared" ref="L87:L88" si="37">IF(H87&lt;&gt;0,J87*H87*I87+K87*I87,IF(J87&lt;&gt;0,G87*I87*J87,I87*K87))</f>
        <v>24106780.300000001</v>
      </c>
      <c r="M87" s="28"/>
      <c r="N87" s="28"/>
      <c r="O87" s="28"/>
      <c r="P87" s="28"/>
      <c r="Q87" s="28"/>
      <c r="R87" s="28"/>
      <c r="S87" s="28"/>
      <c r="T87" s="28"/>
      <c r="U87" s="28"/>
      <c r="V87" s="28"/>
      <c r="W87" s="28"/>
      <c r="X87" s="28"/>
      <c r="Y87" s="28"/>
      <c r="Z87" s="28"/>
      <c r="AA87" s="28"/>
      <c r="AB87" s="28"/>
      <c r="AC87" s="28"/>
      <c r="AD87" s="28"/>
      <c r="AE87" s="28"/>
      <c r="AF87" s="28"/>
      <c r="AG87" s="28"/>
      <c r="AH87" s="28"/>
    </row>
    <row r="88" spans="1:34 16138:16139" ht="147" customHeight="1" x14ac:dyDescent="0.25">
      <c r="A88" s="73">
        <v>74</v>
      </c>
      <c r="B88" s="73" t="s">
        <v>126</v>
      </c>
      <c r="C88" s="51" t="s">
        <v>42</v>
      </c>
      <c r="D88" s="45" t="s">
        <v>44</v>
      </c>
      <c r="E88" s="45"/>
      <c r="F88" s="45">
        <v>2545</v>
      </c>
      <c r="G88" s="45">
        <v>1410</v>
      </c>
      <c r="H88" s="46">
        <f t="shared" si="36"/>
        <v>3.5884499999999999</v>
      </c>
      <c r="I88" s="45">
        <v>1</v>
      </c>
      <c r="J88" s="53">
        <v>1942000</v>
      </c>
      <c r="K88" s="47"/>
      <c r="L88" s="48">
        <f t="shared" si="37"/>
        <v>6968769.8999999994</v>
      </c>
      <c r="M88" s="28"/>
      <c r="N88" s="28"/>
      <c r="O88" s="28"/>
      <c r="P88" s="28"/>
      <c r="Q88" s="28"/>
      <c r="R88" s="28"/>
      <c r="S88" s="28"/>
      <c r="T88" s="28"/>
      <c r="U88" s="28"/>
      <c r="V88" s="28"/>
      <c r="W88" s="28"/>
      <c r="X88" s="28"/>
      <c r="Y88" s="28"/>
      <c r="Z88" s="28"/>
      <c r="AA88" s="28"/>
      <c r="AB88" s="28"/>
      <c r="AC88" s="28"/>
      <c r="AD88" s="28"/>
      <c r="AE88" s="28"/>
      <c r="AF88" s="28"/>
      <c r="AG88" s="28"/>
      <c r="AH88" s="28"/>
    </row>
    <row r="89" spans="1:34 16138:16139" ht="144" customHeight="1" x14ac:dyDescent="0.25">
      <c r="A89" s="73">
        <v>75</v>
      </c>
      <c r="B89" s="73" t="s">
        <v>127</v>
      </c>
      <c r="C89" s="51" t="s">
        <v>42</v>
      </c>
      <c r="D89" s="45" t="s">
        <v>45</v>
      </c>
      <c r="E89" s="45"/>
      <c r="F89" s="45">
        <v>2880</v>
      </c>
      <c r="G89" s="45">
        <v>1943</v>
      </c>
      <c r="H89" s="46">
        <f>F89*G89/10^6</f>
        <v>5.5958399999999999</v>
      </c>
      <c r="I89" s="45">
        <v>1</v>
      </c>
      <c r="J89" s="53">
        <v>2232000</v>
      </c>
      <c r="K89" s="47"/>
      <c r="L89" s="48">
        <f>IF(H89&lt;&gt;0,J89*H89*I89+K89*I89,IF(J89&lt;&gt;0,G89*I89*J89,I89*K89))</f>
        <v>12489914.879999999</v>
      </c>
      <c r="M89" s="28"/>
      <c r="N89" s="28"/>
      <c r="O89" s="28"/>
      <c r="P89" s="28"/>
      <c r="Q89" s="28"/>
      <c r="R89" s="28"/>
      <c r="S89" s="28"/>
      <c r="T89" s="28"/>
      <c r="U89" s="28"/>
      <c r="V89" s="28"/>
      <c r="W89" s="28"/>
      <c r="X89" s="28"/>
      <c r="Y89" s="28"/>
      <c r="Z89" s="28"/>
      <c r="AA89" s="28"/>
      <c r="AB89" s="28"/>
      <c r="AC89" s="28"/>
      <c r="AD89" s="28"/>
      <c r="AE89" s="28"/>
      <c r="AF89" s="28"/>
      <c r="AG89" s="28"/>
      <c r="AH89" s="28"/>
    </row>
    <row r="90" spans="1:34 16138:16139" ht="144" customHeight="1" x14ac:dyDescent="0.25">
      <c r="A90" s="73">
        <v>76</v>
      </c>
      <c r="B90" s="73" t="s">
        <v>128</v>
      </c>
      <c r="C90" s="51" t="s">
        <v>42</v>
      </c>
      <c r="D90" s="45" t="s">
        <v>39</v>
      </c>
      <c r="E90" s="45"/>
      <c r="F90" s="45">
        <v>1450</v>
      </c>
      <c r="G90" s="45">
        <v>1950</v>
      </c>
      <c r="H90" s="46">
        <f>F90*G90/10^6</f>
        <v>2.8275000000000001</v>
      </c>
      <c r="I90" s="45">
        <v>1</v>
      </c>
      <c r="J90" s="53">
        <v>2273000</v>
      </c>
      <c r="K90" s="47"/>
      <c r="L90" s="48">
        <f>IF(H90&lt;&gt;0,J90*H90*I90+K90*I90,IF(J90&lt;&gt;0,G90*I90*J90,I90*K90))</f>
        <v>6426907.5</v>
      </c>
      <c r="M90" s="28"/>
      <c r="N90" s="28"/>
      <c r="O90" s="28"/>
      <c r="P90" s="28"/>
      <c r="Q90" s="28"/>
      <c r="R90" s="28"/>
      <c r="S90" s="28"/>
      <c r="T90" s="28"/>
      <c r="U90" s="28"/>
      <c r="V90" s="28"/>
      <c r="W90" s="28"/>
      <c r="X90" s="28"/>
      <c r="Y90" s="28"/>
      <c r="Z90" s="28"/>
      <c r="AA90" s="28"/>
      <c r="AB90" s="28"/>
      <c r="AC90" s="28"/>
      <c r="AD90" s="28"/>
      <c r="AE90" s="28"/>
      <c r="AF90" s="28"/>
      <c r="AG90" s="28"/>
      <c r="AH90" s="28"/>
    </row>
    <row r="91" spans="1:34 16138:16139" ht="156" customHeight="1" x14ac:dyDescent="0.25">
      <c r="A91" s="73">
        <v>77</v>
      </c>
      <c r="B91" s="73" t="s">
        <v>129</v>
      </c>
      <c r="C91" s="51" t="s">
        <v>41</v>
      </c>
      <c r="D91" s="45" t="s">
        <v>39</v>
      </c>
      <c r="E91" s="45" t="s">
        <v>38</v>
      </c>
      <c r="F91" s="45">
        <v>3202</v>
      </c>
      <c r="G91" s="45">
        <v>1952</v>
      </c>
      <c r="H91" s="46">
        <f>F91*G91/10^6</f>
        <v>6.2503039999999999</v>
      </c>
      <c r="I91" s="45">
        <v>1</v>
      </c>
      <c r="J91" s="53">
        <v>2928000</v>
      </c>
      <c r="K91" s="47">
        <v>1850000</v>
      </c>
      <c r="L91" s="48">
        <f>IF(H91&lt;&gt;0,J91*H91*I91+K91*I91,IF(J91&lt;&gt;0,G91*I91*J91,I91*K91))</f>
        <v>20150890.112</v>
      </c>
      <c r="M91" s="28"/>
      <c r="N91" s="28"/>
      <c r="O91" s="28"/>
      <c r="P91" s="28"/>
      <c r="Q91" s="28"/>
      <c r="R91" s="28"/>
      <c r="S91" s="28"/>
      <c r="T91" s="28"/>
      <c r="U91" s="28"/>
      <c r="V91" s="28"/>
      <c r="W91" s="28"/>
      <c r="X91" s="28"/>
      <c r="Y91" s="28"/>
      <c r="Z91" s="28"/>
      <c r="AA91" s="28"/>
      <c r="AB91" s="28"/>
      <c r="AC91" s="28"/>
      <c r="AD91" s="28"/>
      <c r="AE91" s="28"/>
      <c r="AF91" s="28"/>
      <c r="AG91" s="28"/>
      <c r="AH91" s="28"/>
    </row>
    <row r="92" spans="1:34 16138:16139" ht="150.75" customHeight="1" x14ac:dyDescent="0.25">
      <c r="A92" s="73">
        <v>78</v>
      </c>
      <c r="B92" s="73" t="s">
        <v>130</v>
      </c>
      <c r="C92" s="51" t="s">
        <v>46</v>
      </c>
      <c r="D92" s="45" t="s">
        <v>39</v>
      </c>
      <c r="E92" s="45" t="s">
        <v>38</v>
      </c>
      <c r="F92" s="45">
        <v>2806</v>
      </c>
      <c r="G92" s="45">
        <v>1960</v>
      </c>
      <c r="H92" s="46">
        <f t="shared" ref="H92:H120" si="38">F92*G92/10^6</f>
        <v>5.4997600000000002</v>
      </c>
      <c r="I92" s="45">
        <v>1</v>
      </c>
      <c r="J92" s="53">
        <v>2963000</v>
      </c>
      <c r="K92" s="47">
        <v>1624000</v>
      </c>
      <c r="L92" s="48">
        <f t="shared" ref="L92:L120" si="39">IF(H92&lt;&gt;0,J92*H92*I92+K92*I92,IF(J92&lt;&gt;0,G92*I92*J92,I92*K92))</f>
        <v>17919788.880000003</v>
      </c>
      <c r="M92" s="28"/>
      <c r="N92" s="28"/>
      <c r="O92" s="28"/>
      <c r="P92" s="28"/>
      <c r="Q92" s="28"/>
      <c r="R92" s="28"/>
      <c r="S92" s="28"/>
      <c r="T92" s="28"/>
      <c r="U92" s="28"/>
      <c r="V92" s="28"/>
      <c r="W92" s="28"/>
      <c r="X92" s="28"/>
      <c r="Y92" s="28"/>
      <c r="Z92" s="28"/>
      <c r="AA92" s="28"/>
      <c r="AB92" s="28"/>
      <c r="AC92" s="28"/>
      <c r="AD92" s="28"/>
      <c r="AE92" s="28"/>
      <c r="AF92" s="28"/>
      <c r="WVR92"/>
      <c r="WVS92"/>
    </row>
    <row r="93" spans="1:34 16138:16139" ht="156" customHeight="1" x14ac:dyDescent="0.25">
      <c r="A93" s="73">
        <v>79</v>
      </c>
      <c r="B93" s="73" t="s">
        <v>131</v>
      </c>
      <c r="C93" s="51" t="s">
        <v>41</v>
      </c>
      <c r="D93" s="45" t="s">
        <v>39</v>
      </c>
      <c r="E93" s="45" t="s">
        <v>38</v>
      </c>
      <c r="F93" s="45">
        <v>3203</v>
      </c>
      <c r="G93" s="45">
        <v>1950</v>
      </c>
      <c r="H93" s="46">
        <f t="shared" si="38"/>
        <v>6.2458499999999999</v>
      </c>
      <c r="I93" s="45">
        <v>1</v>
      </c>
      <c r="J93" s="53">
        <v>2928000</v>
      </c>
      <c r="K93" s="47">
        <v>1850000</v>
      </c>
      <c r="L93" s="48">
        <f t="shared" si="39"/>
        <v>20137848.800000001</v>
      </c>
      <c r="M93" s="28"/>
      <c r="N93" s="28"/>
      <c r="O93" s="28"/>
      <c r="P93" s="28"/>
      <c r="Q93" s="28"/>
      <c r="R93" s="28"/>
      <c r="S93" s="28"/>
      <c r="T93" s="28"/>
      <c r="U93" s="28"/>
      <c r="V93" s="28"/>
      <c r="W93" s="28"/>
      <c r="X93" s="28"/>
      <c r="Y93" s="28"/>
      <c r="Z93" s="28"/>
      <c r="AA93" s="28"/>
      <c r="AB93" s="28"/>
      <c r="AC93" s="28"/>
      <c r="AD93" s="28"/>
      <c r="AE93" s="28"/>
      <c r="AF93" s="28"/>
      <c r="AG93" s="28"/>
      <c r="AH93" s="28"/>
    </row>
    <row r="94" spans="1:34 16138:16139" ht="144" customHeight="1" x14ac:dyDescent="0.25">
      <c r="A94" s="73">
        <v>80</v>
      </c>
      <c r="B94" s="73" t="s">
        <v>132</v>
      </c>
      <c r="C94" s="51" t="s">
        <v>42</v>
      </c>
      <c r="D94" s="45" t="s">
        <v>39</v>
      </c>
      <c r="E94" s="45"/>
      <c r="F94" s="45">
        <v>1477</v>
      </c>
      <c r="G94" s="45">
        <v>1950</v>
      </c>
      <c r="H94" s="46">
        <f t="shared" si="38"/>
        <v>2.88015</v>
      </c>
      <c r="I94" s="45">
        <v>1</v>
      </c>
      <c r="J94" s="53">
        <v>2266000</v>
      </c>
      <c r="K94" s="47"/>
      <c r="L94" s="48">
        <f t="shared" si="39"/>
        <v>6526419.9000000004</v>
      </c>
      <c r="M94" s="28"/>
      <c r="N94" s="28"/>
      <c r="O94" s="28"/>
      <c r="P94" s="28"/>
      <c r="Q94" s="28"/>
      <c r="R94" s="28"/>
      <c r="S94" s="28"/>
      <c r="T94" s="28"/>
      <c r="U94" s="28"/>
      <c r="V94" s="28"/>
      <c r="W94" s="28"/>
      <c r="X94" s="28"/>
      <c r="Y94" s="28"/>
      <c r="Z94" s="28"/>
      <c r="AA94" s="28"/>
      <c r="AB94" s="28"/>
      <c r="AC94" s="28"/>
      <c r="AD94" s="28"/>
      <c r="AE94" s="28"/>
      <c r="AF94" s="28"/>
      <c r="AG94" s="28"/>
      <c r="AH94" s="28"/>
    </row>
    <row r="95" spans="1:34 16138:16139" ht="144" customHeight="1" x14ac:dyDescent="0.25">
      <c r="A95" s="73">
        <v>81</v>
      </c>
      <c r="B95" s="73" t="s">
        <v>133</v>
      </c>
      <c r="C95" s="51" t="s">
        <v>42</v>
      </c>
      <c r="D95" s="45" t="s">
        <v>39</v>
      </c>
      <c r="E95" s="45"/>
      <c r="F95" s="45">
        <v>1450</v>
      </c>
      <c r="G95" s="45">
        <v>1950</v>
      </c>
      <c r="H95" s="46">
        <f t="shared" si="38"/>
        <v>2.8275000000000001</v>
      </c>
      <c r="I95" s="45">
        <v>1</v>
      </c>
      <c r="J95" s="53">
        <v>2273000</v>
      </c>
      <c r="K95" s="47"/>
      <c r="L95" s="48">
        <f t="shared" si="39"/>
        <v>6426907.5</v>
      </c>
      <c r="M95" s="28"/>
      <c r="N95" s="28"/>
      <c r="O95" s="28"/>
      <c r="P95" s="28"/>
      <c r="Q95" s="28"/>
      <c r="R95" s="28"/>
      <c r="S95" s="28"/>
      <c r="T95" s="28"/>
      <c r="U95" s="28"/>
      <c r="V95" s="28"/>
      <c r="W95" s="28"/>
      <c r="X95" s="28"/>
      <c r="Y95" s="28"/>
      <c r="Z95" s="28"/>
      <c r="AA95" s="28"/>
      <c r="AB95" s="28"/>
      <c r="AC95" s="28"/>
      <c r="AD95" s="28"/>
      <c r="AE95" s="28"/>
      <c r="AF95" s="28"/>
      <c r="AG95" s="28"/>
      <c r="AH95" s="28"/>
    </row>
    <row r="96" spans="1:34 16138:16139" ht="156" customHeight="1" x14ac:dyDescent="0.25">
      <c r="A96" s="73">
        <v>82</v>
      </c>
      <c r="B96" s="73" t="s">
        <v>134</v>
      </c>
      <c r="C96" s="51" t="s">
        <v>41</v>
      </c>
      <c r="D96" s="45" t="s">
        <v>39</v>
      </c>
      <c r="E96" s="45" t="s">
        <v>38</v>
      </c>
      <c r="F96" s="45">
        <v>3205</v>
      </c>
      <c r="G96" s="45">
        <v>1950</v>
      </c>
      <c r="H96" s="46">
        <f t="shared" si="38"/>
        <v>6.2497499999999997</v>
      </c>
      <c r="I96" s="45">
        <v>1</v>
      </c>
      <c r="J96" s="53">
        <v>2928000</v>
      </c>
      <c r="K96" s="47">
        <v>1850000</v>
      </c>
      <c r="L96" s="48">
        <f t="shared" si="39"/>
        <v>20149268</v>
      </c>
      <c r="M96" s="28"/>
      <c r="N96" s="28"/>
      <c r="O96" s="28"/>
      <c r="P96" s="28"/>
      <c r="Q96" s="28"/>
      <c r="R96" s="28"/>
      <c r="S96" s="28"/>
      <c r="T96" s="28"/>
      <c r="U96" s="28"/>
      <c r="V96" s="28"/>
      <c r="W96" s="28"/>
      <c r="X96" s="28"/>
      <c r="Y96" s="28"/>
      <c r="Z96" s="28"/>
      <c r="AA96" s="28"/>
      <c r="AB96" s="28"/>
      <c r="AC96" s="28"/>
      <c r="AD96" s="28"/>
      <c r="AE96" s="28"/>
      <c r="AF96" s="28"/>
      <c r="AG96" s="28"/>
      <c r="AH96" s="28"/>
    </row>
    <row r="97" spans="1:34" ht="156" customHeight="1" x14ac:dyDescent="0.25">
      <c r="A97" s="73">
        <v>83</v>
      </c>
      <c r="B97" s="73" t="s">
        <v>135</v>
      </c>
      <c r="C97" s="51" t="s">
        <v>41</v>
      </c>
      <c r="D97" s="45" t="s">
        <v>39</v>
      </c>
      <c r="E97" s="45" t="s">
        <v>38</v>
      </c>
      <c r="F97" s="45">
        <v>3185</v>
      </c>
      <c r="G97" s="45">
        <v>1955</v>
      </c>
      <c r="H97" s="46">
        <f t="shared" si="38"/>
        <v>6.2266750000000002</v>
      </c>
      <c r="I97" s="45">
        <v>1</v>
      </c>
      <c r="J97" s="53">
        <v>2930000</v>
      </c>
      <c r="K97" s="47">
        <v>1850000</v>
      </c>
      <c r="L97" s="48">
        <f t="shared" si="39"/>
        <v>20094157.75</v>
      </c>
      <c r="M97" s="28"/>
      <c r="N97" s="28"/>
      <c r="O97" s="28"/>
      <c r="P97" s="28"/>
      <c r="Q97" s="28"/>
      <c r="R97" s="28"/>
      <c r="S97" s="28"/>
      <c r="T97" s="28"/>
      <c r="U97" s="28"/>
      <c r="V97" s="28"/>
      <c r="W97" s="28"/>
      <c r="X97" s="28"/>
      <c r="Y97" s="28"/>
      <c r="Z97" s="28"/>
      <c r="AA97" s="28"/>
      <c r="AB97" s="28"/>
      <c r="AC97" s="28"/>
      <c r="AD97" s="28"/>
      <c r="AE97" s="28"/>
      <c r="AF97" s="28"/>
      <c r="AG97" s="28"/>
      <c r="AH97" s="28"/>
    </row>
    <row r="98" spans="1:34" ht="144" customHeight="1" x14ac:dyDescent="0.25">
      <c r="A98" s="73">
        <v>84</v>
      </c>
      <c r="B98" s="57" t="s">
        <v>136</v>
      </c>
      <c r="C98" s="56" t="s">
        <v>42</v>
      </c>
      <c r="D98" s="45" t="s">
        <v>39</v>
      </c>
      <c r="E98" s="45"/>
      <c r="F98" s="45">
        <v>1453</v>
      </c>
      <c r="G98" s="45">
        <v>1950</v>
      </c>
      <c r="H98" s="46">
        <f t="shared" si="38"/>
        <v>2.8333499999999998</v>
      </c>
      <c r="I98" s="45">
        <v>1</v>
      </c>
      <c r="J98" s="53">
        <v>2272000</v>
      </c>
      <c r="K98" s="47"/>
      <c r="L98" s="48">
        <f t="shared" si="39"/>
        <v>6437371.1999999993</v>
      </c>
      <c r="M98" s="28"/>
      <c r="N98" s="28"/>
      <c r="O98" s="28"/>
      <c r="P98" s="28"/>
      <c r="Q98" s="28"/>
      <c r="R98" s="28"/>
      <c r="S98" s="28"/>
      <c r="T98" s="28"/>
      <c r="U98" s="28"/>
      <c r="V98" s="28"/>
      <c r="W98" s="28"/>
      <c r="X98" s="28"/>
      <c r="Y98" s="28"/>
      <c r="Z98" s="28"/>
      <c r="AA98" s="28"/>
      <c r="AB98" s="28"/>
      <c r="AC98" s="28"/>
      <c r="AD98" s="28"/>
      <c r="AE98" s="28"/>
      <c r="AF98" s="28"/>
      <c r="AG98" s="28"/>
      <c r="AH98" s="28"/>
    </row>
    <row r="99" spans="1:34" ht="144" customHeight="1" x14ac:dyDescent="0.25">
      <c r="A99" s="73">
        <v>85</v>
      </c>
      <c r="B99" s="57" t="s">
        <v>137</v>
      </c>
      <c r="C99" s="56" t="s">
        <v>42</v>
      </c>
      <c r="D99" s="45" t="s">
        <v>39</v>
      </c>
      <c r="E99" s="45"/>
      <c r="F99" s="45">
        <v>1455</v>
      </c>
      <c r="G99" s="45">
        <v>1950</v>
      </c>
      <c r="H99" s="46">
        <f t="shared" si="38"/>
        <v>2.83725</v>
      </c>
      <c r="I99" s="45">
        <v>1</v>
      </c>
      <c r="J99" s="53">
        <v>2272000</v>
      </c>
      <c r="K99" s="47"/>
      <c r="L99" s="48">
        <f t="shared" si="39"/>
        <v>6446232</v>
      </c>
      <c r="M99" s="28"/>
      <c r="N99" s="28"/>
      <c r="O99" s="28"/>
      <c r="P99" s="28"/>
      <c r="Q99" s="28"/>
      <c r="R99" s="28"/>
      <c r="S99" s="28"/>
      <c r="T99" s="28"/>
      <c r="U99" s="28"/>
      <c r="V99" s="28"/>
      <c r="W99" s="28"/>
      <c r="X99" s="28"/>
      <c r="Y99" s="28"/>
      <c r="Z99" s="28"/>
      <c r="AA99" s="28"/>
      <c r="AB99" s="28"/>
      <c r="AC99" s="28"/>
      <c r="AD99" s="28"/>
      <c r="AE99" s="28"/>
      <c r="AF99" s="28"/>
      <c r="AG99" s="28"/>
      <c r="AH99" s="28"/>
    </row>
    <row r="100" spans="1:34" ht="156" customHeight="1" x14ac:dyDescent="0.25">
      <c r="A100" s="73">
        <v>86</v>
      </c>
      <c r="B100" s="57" t="s">
        <v>138</v>
      </c>
      <c r="C100" s="56" t="s">
        <v>41</v>
      </c>
      <c r="D100" s="45" t="s">
        <v>39</v>
      </c>
      <c r="E100" s="45" t="s">
        <v>38</v>
      </c>
      <c r="F100" s="45">
        <v>2945</v>
      </c>
      <c r="G100" s="45">
        <v>1942</v>
      </c>
      <c r="H100" s="46">
        <f t="shared" si="38"/>
        <v>5.7191900000000002</v>
      </c>
      <c r="I100" s="45">
        <v>1</v>
      </c>
      <c r="J100" s="53">
        <v>2975000</v>
      </c>
      <c r="K100" s="47">
        <v>1850000</v>
      </c>
      <c r="L100" s="48">
        <f t="shared" si="39"/>
        <v>18864590.25</v>
      </c>
      <c r="M100" s="28"/>
      <c r="N100" s="28"/>
      <c r="O100" s="28"/>
      <c r="P100" s="28"/>
      <c r="Q100" s="28"/>
      <c r="R100" s="28"/>
      <c r="S100" s="28"/>
      <c r="T100" s="28"/>
      <c r="U100" s="28"/>
      <c r="V100" s="28"/>
      <c r="W100" s="28"/>
      <c r="X100" s="28"/>
      <c r="Y100" s="28"/>
      <c r="Z100" s="28"/>
      <c r="AA100" s="28"/>
      <c r="AB100" s="28"/>
      <c r="AC100" s="28"/>
      <c r="AD100" s="28"/>
      <c r="AE100" s="28"/>
      <c r="AF100" s="28"/>
      <c r="AG100" s="28"/>
      <c r="AH100" s="28"/>
    </row>
    <row r="101" spans="1:34" ht="156" customHeight="1" x14ac:dyDescent="0.25">
      <c r="A101" s="73">
        <v>87</v>
      </c>
      <c r="B101" s="68" t="s">
        <v>139</v>
      </c>
      <c r="C101" s="56" t="s">
        <v>42</v>
      </c>
      <c r="D101" s="45" t="s">
        <v>39</v>
      </c>
      <c r="E101" s="45"/>
      <c r="F101" s="45">
        <v>3322</v>
      </c>
      <c r="G101" s="45">
        <v>1953</v>
      </c>
      <c r="H101" s="46">
        <f t="shared" si="38"/>
        <v>6.4878660000000004</v>
      </c>
      <c r="I101" s="45">
        <v>1</v>
      </c>
      <c r="J101" s="53">
        <v>2144000</v>
      </c>
      <c r="K101" s="47"/>
      <c r="L101" s="48">
        <f t="shared" si="39"/>
        <v>13909984.704</v>
      </c>
      <c r="M101" s="28"/>
      <c r="N101" s="28"/>
      <c r="O101" s="28"/>
      <c r="P101" s="28"/>
      <c r="Q101" s="28"/>
      <c r="R101" s="28"/>
      <c r="S101" s="28"/>
      <c r="T101" s="28"/>
      <c r="U101" s="28"/>
      <c r="V101" s="28"/>
      <c r="W101" s="28"/>
      <c r="X101" s="28"/>
      <c r="Y101" s="28"/>
      <c r="Z101" s="28"/>
      <c r="AA101" s="28"/>
      <c r="AB101" s="28"/>
      <c r="AC101" s="28"/>
      <c r="AD101" s="28"/>
      <c r="AE101" s="28"/>
      <c r="AF101" s="28"/>
      <c r="AG101" s="28"/>
      <c r="AH101" s="28"/>
    </row>
    <row r="102" spans="1:34" ht="144" customHeight="1" x14ac:dyDescent="0.25">
      <c r="A102" s="73">
        <v>88</v>
      </c>
      <c r="B102" s="57" t="s">
        <v>140</v>
      </c>
      <c r="C102" s="56" t="s">
        <v>42</v>
      </c>
      <c r="D102" s="45" t="s">
        <v>39</v>
      </c>
      <c r="E102" s="45"/>
      <c r="F102" s="45">
        <v>1245</v>
      </c>
      <c r="G102" s="45">
        <v>1950</v>
      </c>
      <c r="H102" s="46">
        <f t="shared" si="38"/>
        <v>2.4277500000000001</v>
      </c>
      <c r="I102" s="45">
        <v>1</v>
      </c>
      <c r="J102" s="53">
        <v>2318000</v>
      </c>
      <c r="K102" s="47"/>
      <c r="L102" s="48">
        <f t="shared" si="39"/>
        <v>5627524.5</v>
      </c>
      <c r="M102" s="28"/>
      <c r="N102" s="28"/>
      <c r="O102" s="28"/>
      <c r="P102" s="28"/>
      <c r="Q102" s="28"/>
      <c r="R102" s="28"/>
      <c r="S102" s="28"/>
      <c r="T102" s="28"/>
      <c r="U102" s="28"/>
      <c r="V102" s="28"/>
      <c r="W102" s="28"/>
      <c r="X102" s="28"/>
      <c r="Y102" s="28"/>
      <c r="Z102" s="28"/>
      <c r="AA102" s="28"/>
      <c r="AB102" s="28"/>
      <c r="AC102" s="28"/>
      <c r="AD102" s="28"/>
      <c r="AE102" s="28"/>
      <c r="AF102" s="28"/>
      <c r="AG102" s="28"/>
      <c r="AH102" s="28"/>
    </row>
    <row r="103" spans="1:34" ht="156" customHeight="1" x14ac:dyDescent="0.25">
      <c r="A103" s="73">
        <v>89</v>
      </c>
      <c r="B103" s="57" t="s">
        <v>141</v>
      </c>
      <c r="C103" s="56" t="s">
        <v>41</v>
      </c>
      <c r="D103" s="45" t="s">
        <v>39</v>
      </c>
      <c r="E103" s="45" t="s">
        <v>38</v>
      </c>
      <c r="F103" s="45">
        <v>1950</v>
      </c>
      <c r="G103" s="45">
        <v>1950</v>
      </c>
      <c r="H103" s="46">
        <f t="shared" si="38"/>
        <v>3.8025000000000002</v>
      </c>
      <c r="I103" s="45">
        <v>1</v>
      </c>
      <c r="J103" s="53">
        <v>3236000</v>
      </c>
      <c r="K103" s="47">
        <v>1850000</v>
      </c>
      <c r="L103" s="48">
        <f t="shared" si="39"/>
        <v>14154890</v>
      </c>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spans="1:34" ht="156" customHeight="1" x14ac:dyDescent="0.25">
      <c r="A104" s="73">
        <v>90</v>
      </c>
      <c r="B104" s="57" t="s">
        <v>142</v>
      </c>
      <c r="C104" s="56" t="s">
        <v>41</v>
      </c>
      <c r="D104" s="45" t="s">
        <v>39</v>
      </c>
      <c r="E104" s="45" t="s">
        <v>38</v>
      </c>
      <c r="F104" s="45">
        <v>1952</v>
      </c>
      <c r="G104" s="45">
        <v>1947</v>
      </c>
      <c r="H104" s="46">
        <f t="shared" si="38"/>
        <v>3.8005439999999999</v>
      </c>
      <c r="I104" s="45">
        <v>1</v>
      </c>
      <c r="J104" s="53">
        <v>3236000</v>
      </c>
      <c r="K104" s="47">
        <v>1850000</v>
      </c>
      <c r="L104" s="48">
        <f t="shared" si="39"/>
        <v>14148560.384</v>
      </c>
      <c r="M104" s="28"/>
      <c r="N104" s="28"/>
      <c r="O104" s="28"/>
      <c r="P104" s="28"/>
      <c r="Q104" s="28"/>
      <c r="R104" s="28"/>
      <c r="S104" s="28"/>
      <c r="T104" s="28"/>
      <c r="U104" s="28"/>
      <c r="V104" s="28"/>
      <c r="W104" s="28"/>
      <c r="X104" s="28"/>
      <c r="Y104" s="28"/>
      <c r="Z104" s="28"/>
      <c r="AA104" s="28"/>
      <c r="AB104" s="28"/>
      <c r="AC104" s="28"/>
      <c r="AD104" s="28"/>
      <c r="AE104" s="28"/>
      <c r="AF104" s="28"/>
      <c r="AG104" s="28"/>
      <c r="AH104" s="28"/>
    </row>
    <row r="105" spans="1:34" ht="144" customHeight="1" x14ac:dyDescent="0.25">
      <c r="A105" s="73">
        <v>91</v>
      </c>
      <c r="B105" s="57" t="s">
        <v>143</v>
      </c>
      <c r="C105" s="56" t="s">
        <v>42</v>
      </c>
      <c r="D105" s="45" t="s">
        <v>39</v>
      </c>
      <c r="E105" s="45"/>
      <c r="F105" s="45">
        <v>1248</v>
      </c>
      <c r="G105" s="45">
        <v>1950</v>
      </c>
      <c r="H105" s="46">
        <f t="shared" si="38"/>
        <v>2.4336000000000002</v>
      </c>
      <c r="I105" s="45">
        <v>1</v>
      </c>
      <c r="J105" s="53">
        <v>2318000</v>
      </c>
      <c r="K105" s="47"/>
      <c r="L105" s="48">
        <f t="shared" si="39"/>
        <v>5641084.8000000007</v>
      </c>
      <c r="M105" s="28"/>
      <c r="N105" s="28"/>
      <c r="O105" s="28"/>
      <c r="P105" s="28"/>
      <c r="Q105" s="28"/>
      <c r="R105" s="28"/>
      <c r="S105" s="28"/>
      <c r="T105" s="28"/>
      <c r="U105" s="28"/>
      <c r="V105" s="28"/>
      <c r="W105" s="28"/>
      <c r="X105" s="28"/>
      <c r="Y105" s="28"/>
      <c r="Z105" s="28"/>
      <c r="AA105" s="28"/>
      <c r="AB105" s="28"/>
      <c r="AC105" s="28"/>
      <c r="AD105" s="28"/>
      <c r="AE105" s="28"/>
      <c r="AF105" s="28"/>
      <c r="AG105" s="28"/>
      <c r="AH105" s="28"/>
    </row>
    <row r="106" spans="1:34" ht="156" customHeight="1" x14ac:dyDescent="0.25">
      <c r="A106" s="73">
        <v>92</v>
      </c>
      <c r="B106" s="68" t="s">
        <v>144</v>
      </c>
      <c r="C106" s="56" t="s">
        <v>42</v>
      </c>
      <c r="D106" s="45" t="s">
        <v>39</v>
      </c>
      <c r="E106" s="45"/>
      <c r="F106" s="45">
        <v>3325</v>
      </c>
      <c r="G106" s="45">
        <v>1950</v>
      </c>
      <c r="H106" s="46">
        <f t="shared" si="38"/>
        <v>6.4837499999999997</v>
      </c>
      <c r="I106" s="45">
        <v>1</v>
      </c>
      <c r="J106" s="53">
        <v>2144000</v>
      </c>
      <c r="K106" s="47"/>
      <c r="L106" s="48">
        <f t="shared" si="39"/>
        <v>13901160</v>
      </c>
      <c r="M106" s="28"/>
      <c r="N106" s="28"/>
      <c r="O106" s="28"/>
      <c r="P106" s="28"/>
      <c r="Q106" s="28"/>
      <c r="R106" s="28"/>
      <c r="S106" s="28"/>
      <c r="T106" s="28"/>
      <c r="U106" s="28"/>
      <c r="V106" s="28"/>
      <c r="W106" s="28"/>
      <c r="X106" s="28"/>
      <c r="Y106" s="28"/>
      <c r="Z106" s="28"/>
      <c r="AA106" s="28"/>
      <c r="AB106" s="28"/>
      <c r="AC106" s="28"/>
      <c r="AD106" s="28"/>
      <c r="AE106" s="28"/>
      <c r="AF106" s="28"/>
      <c r="AG106" s="28"/>
      <c r="AH106" s="28"/>
    </row>
    <row r="107" spans="1:34" ht="156" customHeight="1" x14ac:dyDescent="0.25">
      <c r="A107" s="73">
        <v>93</v>
      </c>
      <c r="B107" s="57" t="s">
        <v>145</v>
      </c>
      <c r="C107" s="56" t="s">
        <v>41</v>
      </c>
      <c r="D107" s="45" t="s">
        <v>39</v>
      </c>
      <c r="E107" s="45" t="s">
        <v>38</v>
      </c>
      <c r="F107" s="45">
        <v>2945</v>
      </c>
      <c r="G107" s="45">
        <v>1948</v>
      </c>
      <c r="H107" s="46">
        <f t="shared" si="38"/>
        <v>5.7368600000000001</v>
      </c>
      <c r="I107" s="45">
        <v>1</v>
      </c>
      <c r="J107" s="53">
        <v>2973000</v>
      </c>
      <c r="K107" s="47">
        <v>1850000</v>
      </c>
      <c r="L107" s="48">
        <f t="shared" si="39"/>
        <v>18905684.780000001</v>
      </c>
      <c r="M107" s="28"/>
      <c r="N107" s="28"/>
      <c r="O107" s="28"/>
      <c r="P107" s="28"/>
      <c r="Q107" s="28"/>
      <c r="R107" s="28"/>
      <c r="S107" s="28"/>
      <c r="T107" s="28"/>
      <c r="U107" s="28"/>
      <c r="V107" s="28"/>
      <c r="W107" s="28"/>
      <c r="X107" s="28"/>
      <c r="Y107" s="28"/>
      <c r="Z107" s="28"/>
      <c r="AA107" s="28"/>
      <c r="AB107" s="28"/>
      <c r="AC107" s="28"/>
      <c r="AD107" s="28"/>
      <c r="AE107" s="28"/>
      <c r="AF107" s="28"/>
      <c r="AG107" s="28"/>
      <c r="AH107" s="28"/>
    </row>
    <row r="108" spans="1:34" ht="144" customHeight="1" x14ac:dyDescent="0.25">
      <c r="A108" s="73">
        <v>94</v>
      </c>
      <c r="B108" s="57" t="s">
        <v>146</v>
      </c>
      <c r="C108" s="56" t="s">
        <v>42</v>
      </c>
      <c r="D108" s="45" t="s">
        <v>39</v>
      </c>
      <c r="E108" s="45"/>
      <c r="F108" s="45">
        <v>1450</v>
      </c>
      <c r="G108" s="45">
        <v>1950</v>
      </c>
      <c r="H108" s="46">
        <f t="shared" si="38"/>
        <v>2.8275000000000001</v>
      </c>
      <c r="I108" s="45">
        <v>1</v>
      </c>
      <c r="J108" s="53">
        <v>2273000</v>
      </c>
      <c r="K108" s="47"/>
      <c r="L108" s="48">
        <f t="shared" si="39"/>
        <v>6426907.5</v>
      </c>
      <c r="M108" s="28"/>
      <c r="N108" s="28"/>
      <c r="O108" s="28"/>
      <c r="P108" s="28"/>
      <c r="Q108" s="28"/>
      <c r="R108" s="28"/>
      <c r="S108" s="28"/>
      <c r="T108" s="28"/>
      <c r="U108" s="28"/>
      <c r="V108" s="28"/>
      <c r="W108" s="28"/>
      <c r="X108" s="28"/>
      <c r="Y108" s="28"/>
      <c r="Z108" s="28"/>
      <c r="AA108" s="28"/>
      <c r="AB108" s="28"/>
      <c r="AC108" s="28"/>
      <c r="AD108" s="28"/>
      <c r="AE108" s="28"/>
      <c r="AF108" s="28"/>
      <c r="AG108" s="28"/>
      <c r="AH108" s="28"/>
    </row>
    <row r="109" spans="1:34" ht="144" customHeight="1" x14ac:dyDescent="0.25">
      <c r="A109" s="73">
        <v>95</v>
      </c>
      <c r="B109" s="57" t="s">
        <v>147</v>
      </c>
      <c r="C109" s="56" t="s">
        <v>42</v>
      </c>
      <c r="D109" s="45" t="s">
        <v>39</v>
      </c>
      <c r="E109" s="45"/>
      <c r="F109" s="45">
        <v>1455</v>
      </c>
      <c r="G109" s="45">
        <v>1950</v>
      </c>
      <c r="H109" s="46">
        <f t="shared" si="38"/>
        <v>2.83725</v>
      </c>
      <c r="I109" s="45">
        <v>1</v>
      </c>
      <c r="J109" s="53">
        <v>2272000</v>
      </c>
      <c r="K109" s="47"/>
      <c r="L109" s="48">
        <f t="shared" si="39"/>
        <v>6446232</v>
      </c>
      <c r="M109" s="28"/>
      <c r="N109" s="28"/>
      <c r="O109" s="28"/>
      <c r="P109" s="28"/>
      <c r="Q109" s="28"/>
      <c r="R109" s="28"/>
      <c r="S109" s="28"/>
      <c r="T109" s="28"/>
      <c r="U109" s="28"/>
      <c r="V109" s="28"/>
      <c r="W109" s="28"/>
      <c r="X109" s="28"/>
      <c r="Y109" s="28"/>
      <c r="Z109" s="28"/>
      <c r="AA109" s="28"/>
      <c r="AB109" s="28"/>
      <c r="AC109" s="28"/>
      <c r="AD109" s="28"/>
      <c r="AE109" s="28"/>
      <c r="AF109" s="28"/>
      <c r="AG109" s="28"/>
      <c r="AH109" s="28"/>
    </row>
    <row r="110" spans="1:34" ht="156" customHeight="1" x14ac:dyDescent="0.25">
      <c r="A110" s="73">
        <v>96</v>
      </c>
      <c r="B110" s="57" t="s">
        <v>148</v>
      </c>
      <c r="C110" s="56" t="s">
        <v>41</v>
      </c>
      <c r="D110" s="45" t="s">
        <v>39</v>
      </c>
      <c r="E110" s="45" t="s">
        <v>38</v>
      </c>
      <c r="F110" s="45">
        <v>3203</v>
      </c>
      <c r="G110" s="45">
        <v>1947</v>
      </c>
      <c r="H110" s="46">
        <f t="shared" si="38"/>
        <v>6.2362409999999997</v>
      </c>
      <c r="I110" s="45">
        <v>1</v>
      </c>
      <c r="J110" s="53">
        <v>2930000</v>
      </c>
      <c r="K110" s="47">
        <v>1850000</v>
      </c>
      <c r="L110" s="48">
        <f t="shared" si="39"/>
        <v>20122186.129999999</v>
      </c>
      <c r="M110" s="28"/>
      <c r="N110" s="76"/>
      <c r="O110" s="28"/>
      <c r="P110" s="28"/>
      <c r="Q110" s="28"/>
      <c r="R110" s="28"/>
      <c r="S110" s="28"/>
      <c r="T110" s="28"/>
      <c r="U110" s="28"/>
      <c r="V110" s="28"/>
      <c r="W110" s="28"/>
      <c r="X110" s="28"/>
      <c r="Y110" s="28"/>
      <c r="Z110" s="28"/>
      <c r="AA110" s="28"/>
      <c r="AB110" s="28"/>
      <c r="AC110" s="28"/>
      <c r="AD110" s="28"/>
      <c r="AE110" s="28"/>
      <c r="AF110" s="28"/>
      <c r="AG110" s="28"/>
      <c r="AH110" s="28"/>
    </row>
    <row r="111" spans="1:34" ht="156" customHeight="1" x14ac:dyDescent="0.25">
      <c r="A111" s="73">
        <v>97</v>
      </c>
      <c r="B111" s="57" t="s">
        <v>149</v>
      </c>
      <c r="C111" s="56" t="s">
        <v>41</v>
      </c>
      <c r="D111" s="45" t="s">
        <v>39</v>
      </c>
      <c r="E111" s="45" t="s">
        <v>38</v>
      </c>
      <c r="F111" s="45">
        <v>3205</v>
      </c>
      <c r="G111" s="45">
        <v>1952</v>
      </c>
      <c r="H111" s="46">
        <f t="shared" si="38"/>
        <v>6.2561600000000004</v>
      </c>
      <c r="I111" s="45">
        <v>1</v>
      </c>
      <c r="J111" s="53">
        <v>2928000</v>
      </c>
      <c r="K111" s="47">
        <v>1850000</v>
      </c>
      <c r="L111" s="48">
        <f t="shared" si="39"/>
        <v>20168036.48</v>
      </c>
      <c r="M111" s="28"/>
      <c r="N111" s="28"/>
      <c r="O111" s="28"/>
      <c r="P111" s="28"/>
      <c r="Q111" s="28"/>
      <c r="R111" s="28"/>
      <c r="S111" s="28"/>
      <c r="T111" s="28"/>
      <c r="U111" s="28"/>
      <c r="V111" s="28"/>
      <c r="W111" s="28"/>
      <c r="X111" s="28"/>
      <c r="Y111" s="28"/>
      <c r="Z111" s="28"/>
      <c r="AA111" s="28"/>
      <c r="AB111" s="28"/>
      <c r="AC111" s="28"/>
      <c r="AD111" s="28"/>
      <c r="AE111" s="28"/>
      <c r="AF111" s="28"/>
      <c r="AG111" s="28"/>
      <c r="AH111" s="28"/>
    </row>
    <row r="112" spans="1:34" ht="144" customHeight="1" x14ac:dyDescent="0.25">
      <c r="A112" s="73">
        <v>98</v>
      </c>
      <c r="B112" s="57" t="s">
        <v>150</v>
      </c>
      <c r="C112" s="56" t="s">
        <v>42</v>
      </c>
      <c r="D112" s="45" t="s">
        <v>39</v>
      </c>
      <c r="E112" s="45"/>
      <c r="F112" s="45">
        <v>1450</v>
      </c>
      <c r="G112" s="45">
        <v>1950</v>
      </c>
      <c r="H112" s="46">
        <f t="shared" si="38"/>
        <v>2.8275000000000001</v>
      </c>
      <c r="I112" s="45">
        <v>1</v>
      </c>
      <c r="J112" s="53">
        <v>2273000</v>
      </c>
      <c r="K112" s="47"/>
      <c r="L112" s="48">
        <f t="shared" si="39"/>
        <v>6426907.5</v>
      </c>
      <c r="M112" s="28"/>
      <c r="N112" s="28"/>
      <c r="O112" s="28"/>
      <c r="P112" s="28"/>
      <c r="Q112" s="28"/>
      <c r="R112" s="28"/>
      <c r="S112" s="28"/>
      <c r="T112" s="28"/>
      <c r="U112" s="28"/>
      <c r="V112" s="28"/>
      <c r="W112" s="28"/>
      <c r="X112" s="28"/>
      <c r="Y112" s="28"/>
      <c r="Z112" s="28"/>
      <c r="AA112" s="28"/>
      <c r="AB112" s="28"/>
      <c r="AC112" s="28"/>
      <c r="AD112" s="28"/>
      <c r="AE112" s="28"/>
      <c r="AF112" s="28"/>
      <c r="AG112" s="28"/>
      <c r="AH112" s="28"/>
    </row>
    <row r="113" spans="1:34" ht="144" customHeight="1" x14ac:dyDescent="0.25">
      <c r="A113" s="73">
        <v>99</v>
      </c>
      <c r="B113" s="57" t="s">
        <v>151</v>
      </c>
      <c r="C113" s="56" t="s">
        <v>42</v>
      </c>
      <c r="D113" s="45" t="s">
        <v>39</v>
      </c>
      <c r="E113" s="45"/>
      <c r="F113" s="45">
        <v>1450</v>
      </c>
      <c r="G113" s="45">
        <v>1950</v>
      </c>
      <c r="H113" s="46">
        <f t="shared" si="38"/>
        <v>2.8275000000000001</v>
      </c>
      <c r="I113" s="45">
        <v>1</v>
      </c>
      <c r="J113" s="53">
        <v>2273000</v>
      </c>
      <c r="K113" s="47"/>
      <c r="L113" s="48">
        <f t="shared" si="39"/>
        <v>6426907.5</v>
      </c>
      <c r="M113" s="28"/>
      <c r="N113" s="28"/>
      <c r="O113" s="28"/>
      <c r="P113" s="28"/>
      <c r="Q113" s="28"/>
      <c r="R113" s="28"/>
      <c r="S113" s="28"/>
      <c r="T113" s="28"/>
      <c r="U113" s="28"/>
      <c r="V113" s="28"/>
      <c r="W113" s="28"/>
      <c r="X113" s="28"/>
      <c r="Y113" s="28"/>
      <c r="Z113" s="28"/>
      <c r="AA113" s="28"/>
      <c r="AB113" s="28"/>
      <c r="AC113" s="28"/>
      <c r="AD113" s="28"/>
      <c r="AE113" s="28"/>
      <c r="AF113" s="28"/>
      <c r="AG113" s="28"/>
      <c r="AH113" s="28"/>
    </row>
    <row r="114" spans="1:34" ht="156" customHeight="1" x14ac:dyDescent="0.25">
      <c r="A114" s="73">
        <v>100</v>
      </c>
      <c r="B114" s="57" t="s">
        <v>152</v>
      </c>
      <c r="C114" s="56" t="s">
        <v>41</v>
      </c>
      <c r="D114" s="45" t="s">
        <v>39</v>
      </c>
      <c r="E114" s="45" t="s">
        <v>38</v>
      </c>
      <c r="F114" s="45">
        <v>3200</v>
      </c>
      <c r="G114" s="45">
        <v>1952</v>
      </c>
      <c r="H114" s="46">
        <f t="shared" si="38"/>
        <v>6.2464000000000004</v>
      </c>
      <c r="I114" s="45">
        <v>1</v>
      </c>
      <c r="J114" s="53">
        <v>2928000</v>
      </c>
      <c r="K114" s="47">
        <v>1850000</v>
      </c>
      <c r="L114" s="48">
        <f t="shared" si="39"/>
        <v>20139459.200000003</v>
      </c>
      <c r="M114" s="28"/>
      <c r="N114" s="28"/>
      <c r="O114" s="28"/>
      <c r="P114" s="28"/>
      <c r="Q114" s="28"/>
      <c r="R114" s="28"/>
      <c r="S114" s="28"/>
      <c r="T114" s="28"/>
      <c r="U114" s="28"/>
      <c r="V114" s="28"/>
      <c r="W114" s="28"/>
      <c r="X114" s="28"/>
      <c r="Y114" s="28"/>
      <c r="Z114" s="28"/>
      <c r="AA114" s="28"/>
      <c r="AB114" s="28"/>
      <c r="AC114" s="28"/>
      <c r="AD114" s="28"/>
      <c r="AE114" s="28"/>
      <c r="AF114" s="28"/>
      <c r="AG114" s="28"/>
      <c r="AH114" s="28"/>
    </row>
    <row r="115" spans="1:34" ht="156" customHeight="1" x14ac:dyDescent="0.25">
      <c r="A115" s="73">
        <v>101</v>
      </c>
      <c r="B115" s="57" t="s">
        <v>153</v>
      </c>
      <c r="C115" s="56" t="s">
        <v>41</v>
      </c>
      <c r="D115" s="45" t="s">
        <v>39</v>
      </c>
      <c r="E115" s="45" t="s">
        <v>38</v>
      </c>
      <c r="F115" s="45">
        <v>2860</v>
      </c>
      <c r="G115" s="45">
        <v>1955</v>
      </c>
      <c r="H115" s="46">
        <f t="shared" si="38"/>
        <v>5.5913000000000004</v>
      </c>
      <c r="I115" s="45">
        <v>1</v>
      </c>
      <c r="J115" s="53">
        <v>2987000</v>
      </c>
      <c r="K115" s="47">
        <v>1850000</v>
      </c>
      <c r="L115" s="48">
        <f t="shared" si="39"/>
        <v>18551213.100000001</v>
      </c>
      <c r="M115" s="28"/>
      <c r="N115" s="28"/>
      <c r="O115" s="28"/>
      <c r="P115" s="28"/>
      <c r="Q115" s="28"/>
      <c r="R115" s="28"/>
      <c r="S115" s="28"/>
      <c r="T115" s="28"/>
      <c r="U115" s="28"/>
      <c r="V115" s="28"/>
      <c r="W115" s="28"/>
      <c r="X115" s="28"/>
      <c r="Y115" s="28"/>
      <c r="Z115" s="28"/>
      <c r="AA115" s="28"/>
      <c r="AB115" s="28"/>
      <c r="AC115" s="28"/>
      <c r="AD115" s="28"/>
      <c r="AE115" s="28"/>
      <c r="AF115" s="28"/>
      <c r="AG115" s="28"/>
      <c r="AH115" s="28"/>
    </row>
    <row r="116" spans="1:34" ht="156" customHeight="1" x14ac:dyDescent="0.25">
      <c r="A116" s="73">
        <v>102</v>
      </c>
      <c r="B116" s="57" t="s">
        <v>154</v>
      </c>
      <c r="C116" s="56" t="s">
        <v>41</v>
      </c>
      <c r="D116" s="45" t="s">
        <v>39</v>
      </c>
      <c r="E116" s="45" t="s">
        <v>38</v>
      </c>
      <c r="F116" s="45">
        <v>3200</v>
      </c>
      <c r="G116" s="45">
        <v>1950</v>
      </c>
      <c r="H116" s="46">
        <f t="shared" si="38"/>
        <v>6.24</v>
      </c>
      <c r="I116" s="45">
        <v>1</v>
      </c>
      <c r="J116" s="53">
        <v>2930000</v>
      </c>
      <c r="K116" s="47">
        <v>1850000</v>
      </c>
      <c r="L116" s="48">
        <f t="shared" si="39"/>
        <v>20133200</v>
      </c>
      <c r="M116" s="28"/>
      <c r="N116" s="28"/>
      <c r="O116" s="28"/>
      <c r="P116" s="28"/>
      <c r="Q116" s="28"/>
      <c r="R116" s="28"/>
      <c r="S116" s="28"/>
      <c r="T116" s="28"/>
      <c r="U116" s="28"/>
      <c r="V116" s="28"/>
      <c r="W116" s="28"/>
      <c r="X116" s="28"/>
      <c r="Y116" s="28"/>
      <c r="Z116" s="28"/>
      <c r="AA116" s="28"/>
      <c r="AB116" s="28"/>
      <c r="AC116" s="28"/>
      <c r="AD116" s="28"/>
      <c r="AE116" s="28"/>
      <c r="AF116" s="28"/>
      <c r="AG116" s="28"/>
      <c r="AH116" s="28"/>
    </row>
    <row r="117" spans="1:34" ht="144" customHeight="1" x14ac:dyDescent="0.25">
      <c r="A117" s="73">
        <v>103</v>
      </c>
      <c r="B117" s="57" t="s">
        <v>155</v>
      </c>
      <c r="C117" s="56" t="s">
        <v>42</v>
      </c>
      <c r="D117" s="45" t="s">
        <v>39</v>
      </c>
      <c r="E117" s="45"/>
      <c r="F117" s="45">
        <v>1450</v>
      </c>
      <c r="G117" s="45">
        <v>1947</v>
      </c>
      <c r="H117" s="46">
        <f t="shared" si="38"/>
        <v>2.82315</v>
      </c>
      <c r="I117" s="45">
        <v>1</v>
      </c>
      <c r="J117" s="53">
        <v>2273000</v>
      </c>
      <c r="K117" s="47"/>
      <c r="L117" s="48">
        <f t="shared" si="39"/>
        <v>6417019.9500000002</v>
      </c>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spans="1:34" ht="144" customHeight="1" x14ac:dyDescent="0.25">
      <c r="A118" s="73">
        <v>104</v>
      </c>
      <c r="B118" s="57" t="s">
        <v>156</v>
      </c>
      <c r="C118" s="56" t="s">
        <v>42</v>
      </c>
      <c r="D118" s="45" t="s">
        <v>45</v>
      </c>
      <c r="E118" s="45"/>
      <c r="F118" s="45">
        <v>2895</v>
      </c>
      <c r="G118" s="45">
        <v>1940</v>
      </c>
      <c r="H118" s="46">
        <f t="shared" si="38"/>
        <v>5.6162999999999998</v>
      </c>
      <c r="I118" s="45">
        <v>1</v>
      </c>
      <c r="J118" s="53">
        <v>2229000</v>
      </c>
      <c r="K118" s="47"/>
      <c r="L118" s="48">
        <f t="shared" si="39"/>
        <v>12518732.699999999</v>
      </c>
      <c r="M118" s="28"/>
      <c r="N118" s="28"/>
      <c r="O118" s="28"/>
      <c r="P118" s="28"/>
      <c r="Q118" s="28"/>
      <c r="R118" s="28"/>
      <c r="S118" s="28"/>
      <c r="T118" s="28"/>
      <c r="U118" s="28"/>
      <c r="V118" s="28"/>
      <c r="W118" s="28"/>
      <c r="X118" s="28"/>
      <c r="Y118" s="28"/>
      <c r="Z118" s="28"/>
      <c r="AA118" s="28"/>
      <c r="AB118" s="28"/>
      <c r="AC118" s="28"/>
      <c r="AD118" s="28"/>
      <c r="AE118" s="28"/>
      <c r="AF118" s="28"/>
      <c r="AG118" s="28"/>
      <c r="AH118" s="28"/>
    </row>
    <row r="119" spans="1:34" ht="144" customHeight="1" x14ac:dyDescent="0.25">
      <c r="A119" s="73">
        <v>105</v>
      </c>
      <c r="B119" s="57" t="s">
        <v>157</v>
      </c>
      <c r="C119" s="56" t="s">
        <v>42</v>
      </c>
      <c r="D119" s="45" t="s">
        <v>39</v>
      </c>
      <c r="E119" s="45"/>
      <c r="F119" s="45">
        <v>2550</v>
      </c>
      <c r="G119" s="45">
        <v>1410</v>
      </c>
      <c r="H119" s="46">
        <f t="shared" si="38"/>
        <v>3.5954999999999999</v>
      </c>
      <c r="I119" s="45">
        <v>1</v>
      </c>
      <c r="J119" s="53">
        <v>2231000</v>
      </c>
      <c r="K119" s="47"/>
      <c r="L119" s="48">
        <f t="shared" si="39"/>
        <v>8021560.5</v>
      </c>
      <c r="M119" s="28"/>
      <c r="N119" s="28"/>
      <c r="O119" s="28"/>
      <c r="P119" s="28"/>
      <c r="Q119" s="28"/>
      <c r="R119" s="28"/>
      <c r="S119" s="28"/>
      <c r="T119" s="28"/>
      <c r="U119" s="28"/>
      <c r="V119" s="28"/>
      <c r="W119" s="28"/>
      <c r="X119" s="28"/>
      <c r="Y119" s="28"/>
      <c r="Z119" s="28"/>
      <c r="AA119" s="28"/>
      <c r="AB119" s="28"/>
      <c r="AC119" s="28"/>
      <c r="AD119" s="28"/>
      <c r="AE119" s="28"/>
      <c r="AF119" s="28"/>
      <c r="AG119" s="28"/>
      <c r="AH119" s="28"/>
    </row>
    <row r="120" spans="1:34" ht="144" customHeight="1" x14ac:dyDescent="0.25">
      <c r="A120" s="73">
        <v>106</v>
      </c>
      <c r="B120" s="57" t="s">
        <v>158</v>
      </c>
      <c r="C120" s="51" t="s">
        <v>43</v>
      </c>
      <c r="D120" s="45" t="s">
        <v>39</v>
      </c>
      <c r="E120" s="45" t="s">
        <v>38</v>
      </c>
      <c r="F120" s="45">
        <v>3752</v>
      </c>
      <c r="G120" s="45">
        <v>1950</v>
      </c>
      <c r="H120" s="46">
        <f t="shared" si="38"/>
        <v>7.3163999999999998</v>
      </c>
      <c r="I120" s="45">
        <v>1</v>
      </c>
      <c r="J120" s="53">
        <v>3018000</v>
      </c>
      <c r="K120" s="47">
        <v>2020000</v>
      </c>
      <c r="L120" s="48">
        <f t="shared" si="39"/>
        <v>24100895.199999999</v>
      </c>
      <c r="M120" s="28"/>
      <c r="N120" s="28"/>
      <c r="O120" s="28"/>
      <c r="P120" s="28"/>
      <c r="Q120" s="28"/>
      <c r="R120" s="28"/>
      <c r="S120" s="28"/>
      <c r="T120" s="28"/>
      <c r="U120" s="28"/>
      <c r="V120" s="28"/>
      <c r="W120" s="28"/>
      <c r="X120" s="28"/>
      <c r="Y120" s="28"/>
      <c r="Z120" s="28"/>
      <c r="AA120" s="28"/>
      <c r="AB120" s="28"/>
      <c r="AC120" s="28"/>
      <c r="AD120" s="28"/>
      <c r="AE120" s="28"/>
      <c r="AF120" s="28"/>
      <c r="AG120" s="28"/>
      <c r="AH120" s="28"/>
    </row>
    <row r="121" spans="1:34" s="8" customFormat="1" ht="31.5" customHeight="1" x14ac:dyDescent="0.25">
      <c r="A121" s="132" t="s">
        <v>159</v>
      </c>
      <c r="B121" s="133"/>
      <c r="C121" s="133"/>
      <c r="D121" s="133"/>
      <c r="E121" s="134"/>
      <c r="F121" s="64"/>
      <c r="G121" s="64"/>
      <c r="H121" s="65"/>
      <c r="I121" s="45"/>
      <c r="J121" s="53"/>
      <c r="K121" s="47"/>
      <c r="L121" s="67"/>
    </row>
    <row r="122" spans="1:34" ht="144" customHeight="1" x14ac:dyDescent="0.25">
      <c r="A122" s="73">
        <v>107</v>
      </c>
      <c r="B122" s="57" t="s">
        <v>160</v>
      </c>
      <c r="C122" s="56" t="s">
        <v>42</v>
      </c>
      <c r="D122" s="45" t="s">
        <v>45</v>
      </c>
      <c r="E122" s="45"/>
      <c r="F122" s="45">
        <v>2880</v>
      </c>
      <c r="G122" s="45">
        <v>2250</v>
      </c>
      <c r="H122" s="46">
        <f t="shared" ref="H122:H138" si="40">F122*G122/10^6</f>
        <v>6.48</v>
      </c>
      <c r="I122" s="45">
        <v>1</v>
      </c>
      <c r="J122" s="53">
        <v>2204000</v>
      </c>
      <c r="K122" s="47"/>
      <c r="L122" s="48">
        <f t="shared" ref="L122:L138" si="41">IF(H122&lt;&gt;0,J122*H122*I122+K122*I122,IF(J122&lt;&gt;0,G122*I122*J122,I122*K122))</f>
        <v>14281920.000000002</v>
      </c>
      <c r="M122" s="28"/>
      <c r="N122" s="28"/>
      <c r="O122" s="28"/>
      <c r="P122" s="28"/>
      <c r="Q122" s="28"/>
      <c r="R122" s="28"/>
      <c r="S122" s="28"/>
      <c r="T122" s="28"/>
      <c r="U122" s="28"/>
      <c r="V122" s="28"/>
      <c r="W122" s="28"/>
      <c r="X122" s="28"/>
      <c r="Y122" s="28"/>
      <c r="Z122" s="28"/>
      <c r="AA122" s="28"/>
      <c r="AB122" s="28"/>
      <c r="AC122" s="28"/>
      <c r="AD122" s="28"/>
      <c r="AE122" s="28"/>
      <c r="AF122" s="28"/>
      <c r="AG122" s="28"/>
      <c r="AH122" s="28"/>
    </row>
    <row r="123" spans="1:34" ht="156" customHeight="1" x14ac:dyDescent="0.25">
      <c r="A123" s="73">
        <v>108</v>
      </c>
      <c r="B123" s="57" t="s">
        <v>161</v>
      </c>
      <c r="C123" s="56" t="s">
        <v>41</v>
      </c>
      <c r="D123" s="45" t="s">
        <v>39</v>
      </c>
      <c r="E123" s="45" t="s">
        <v>38</v>
      </c>
      <c r="F123" s="45">
        <v>2905</v>
      </c>
      <c r="G123" s="45">
        <v>2250</v>
      </c>
      <c r="H123" s="46">
        <f t="shared" si="40"/>
        <v>6.5362499999999999</v>
      </c>
      <c r="I123" s="45">
        <v>1</v>
      </c>
      <c r="J123" s="53">
        <v>2903000</v>
      </c>
      <c r="K123" s="47">
        <v>1850000</v>
      </c>
      <c r="L123" s="48">
        <f t="shared" si="41"/>
        <v>20824733.75</v>
      </c>
      <c r="M123" s="28"/>
      <c r="N123" s="28"/>
      <c r="O123" s="28"/>
      <c r="P123" s="28"/>
      <c r="Q123" s="28"/>
      <c r="R123" s="28"/>
      <c r="S123" s="28"/>
      <c r="T123" s="28"/>
      <c r="U123" s="28"/>
      <c r="V123" s="28"/>
      <c r="W123" s="28"/>
      <c r="X123" s="28"/>
      <c r="Y123" s="28"/>
      <c r="Z123" s="28"/>
      <c r="AA123" s="28"/>
      <c r="AB123" s="28"/>
      <c r="AC123" s="28"/>
      <c r="AD123" s="28"/>
      <c r="AE123" s="28"/>
      <c r="AF123" s="28"/>
      <c r="AG123" s="28"/>
      <c r="AH123" s="28"/>
    </row>
    <row r="124" spans="1:34" ht="144" customHeight="1" x14ac:dyDescent="0.25">
      <c r="A124" s="73">
        <v>109</v>
      </c>
      <c r="B124" s="68" t="s">
        <v>162</v>
      </c>
      <c r="C124" s="56" t="s">
        <v>42</v>
      </c>
      <c r="D124" s="45" t="s">
        <v>45</v>
      </c>
      <c r="E124" s="45"/>
      <c r="F124" s="45">
        <v>1358</v>
      </c>
      <c r="G124" s="45">
        <v>2258</v>
      </c>
      <c r="H124" s="46">
        <f t="shared" si="40"/>
        <v>3.0663640000000001</v>
      </c>
      <c r="I124" s="45">
        <v>1</v>
      </c>
      <c r="J124" s="53">
        <v>2356000</v>
      </c>
      <c r="K124" s="47"/>
      <c r="L124" s="48">
        <f t="shared" si="41"/>
        <v>7224353.5839999998</v>
      </c>
      <c r="M124" s="28"/>
      <c r="N124" s="28"/>
      <c r="O124" s="28"/>
      <c r="P124" s="28"/>
      <c r="Q124" s="28"/>
      <c r="R124" s="28"/>
      <c r="S124" s="28"/>
      <c r="T124" s="28"/>
      <c r="U124" s="28"/>
      <c r="V124" s="28"/>
      <c r="W124" s="28"/>
      <c r="X124" s="28"/>
      <c r="Y124" s="28"/>
      <c r="Z124" s="28"/>
      <c r="AA124" s="28"/>
      <c r="AB124" s="28"/>
      <c r="AC124" s="28"/>
      <c r="AD124" s="28"/>
      <c r="AE124" s="28"/>
      <c r="AF124" s="28"/>
      <c r="AG124" s="28"/>
      <c r="AH124" s="28"/>
    </row>
    <row r="125" spans="1:34" ht="144" customHeight="1" x14ac:dyDescent="0.25">
      <c r="A125" s="73">
        <v>110</v>
      </c>
      <c r="B125" s="68" t="s">
        <v>163</v>
      </c>
      <c r="C125" s="56" t="s">
        <v>42</v>
      </c>
      <c r="D125" s="45" t="s">
        <v>45</v>
      </c>
      <c r="E125" s="45"/>
      <c r="F125" s="45">
        <v>1358</v>
      </c>
      <c r="G125" s="45">
        <v>2258</v>
      </c>
      <c r="H125" s="46">
        <f t="shared" si="40"/>
        <v>3.0663640000000001</v>
      </c>
      <c r="I125" s="45">
        <v>1</v>
      </c>
      <c r="J125" s="53">
        <v>2356000</v>
      </c>
      <c r="K125" s="47"/>
      <c r="L125" s="48">
        <f t="shared" si="41"/>
        <v>7224353.5839999998</v>
      </c>
      <c r="M125" s="28"/>
      <c r="N125" s="28"/>
      <c r="O125" s="28"/>
      <c r="P125" s="28"/>
      <c r="Q125" s="28"/>
      <c r="R125" s="28"/>
      <c r="S125" s="28"/>
      <c r="T125" s="28"/>
      <c r="U125" s="28"/>
      <c r="V125" s="28"/>
      <c r="W125" s="28"/>
      <c r="X125" s="28"/>
      <c r="Y125" s="28"/>
      <c r="Z125" s="28"/>
      <c r="AA125" s="28"/>
      <c r="AB125" s="28"/>
      <c r="AC125" s="28"/>
      <c r="AD125" s="28"/>
      <c r="AE125" s="28"/>
      <c r="AF125" s="28"/>
      <c r="AG125" s="28"/>
      <c r="AH125" s="28"/>
    </row>
    <row r="126" spans="1:34" ht="156" customHeight="1" x14ac:dyDescent="0.25">
      <c r="A126" s="73">
        <v>111</v>
      </c>
      <c r="B126" s="57" t="s">
        <v>164</v>
      </c>
      <c r="C126" s="56" t="s">
        <v>41</v>
      </c>
      <c r="D126" s="45" t="s">
        <v>39</v>
      </c>
      <c r="E126" s="45" t="s">
        <v>38</v>
      </c>
      <c r="F126" s="45">
        <v>2906</v>
      </c>
      <c r="G126" s="45">
        <v>2248</v>
      </c>
      <c r="H126" s="46">
        <f t="shared" si="40"/>
        <v>6.5326880000000003</v>
      </c>
      <c r="I126" s="45">
        <v>1</v>
      </c>
      <c r="J126" s="53">
        <v>2903000</v>
      </c>
      <c r="K126" s="47">
        <v>1850000</v>
      </c>
      <c r="L126" s="48">
        <f t="shared" si="41"/>
        <v>20814393.264000002</v>
      </c>
      <c r="M126" s="28"/>
      <c r="N126" s="28"/>
      <c r="O126" s="28"/>
      <c r="P126" s="28"/>
      <c r="Q126" s="28"/>
      <c r="R126" s="28"/>
      <c r="S126" s="28"/>
      <c r="T126" s="28"/>
      <c r="U126" s="28"/>
      <c r="V126" s="28"/>
      <c r="W126" s="28"/>
      <c r="X126" s="28"/>
      <c r="Y126" s="28"/>
      <c r="Z126" s="28"/>
      <c r="AA126" s="28"/>
      <c r="AB126" s="28"/>
      <c r="AC126" s="28"/>
      <c r="AD126" s="28"/>
      <c r="AE126" s="28"/>
      <c r="AF126" s="28"/>
      <c r="AG126" s="28"/>
      <c r="AH126" s="28"/>
    </row>
    <row r="127" spans="1:34" ht="156" customHeight="1" x14ac:dyDescent="0.25">
      <c r="A127" s="73">
        <v>112</v>
      </c>
      <c r="B127" s="57" t="s">
        <v>165</v>
      </c>
      <c r="C127" s="56" t="s">
        <v>41</v>
      </c>
      <c r="D127" s="45" t="s">
        <v>39</v>
      </c>
      <c r="E127" s="45" t="s">
        <v>38</v>
      </c>
      <c r="F127" s="45">
        <v>2356</v>
      </c>
      <c r="G127" s="45">
        <v>2250</v>
      </c>
      <c r="H127" s="46">
        <f t="shared" si="40"/>
        <v>5.3010000000000002</v>
      </c>
      <c r="I127" s="45">
        <v>1</v>
      </c>
      <c r="J127" s="53">
        <v>3015000</v>
      </c>
      <c r="K127" s="47">
        <v>1850000</v>
      </c>
      <c r="L127" s="48">
        <f t="shared" si="41"/>
        <v>17832515</v>
      </c>
      <c r="M127" s="28"/>
      <c r="N127" s="28"/>
      <c r="O127" s="28"/>
      <c r="P127" s="28"/>
      <c r="Q127" s="28"/>
      <c r="R127" s="28"/>
      <c r="S127" s="28"/>
      <c r="T127" s="28"/>
      <c r="U127" s="28"/>
      <c r="V127" s="28"/>
      <c r="W127" s="28"/>
      <c r="X127" s="28"/>
      <c r="Y127" s="28"/>
      <c r="Z127" s="28"/>
      <c r="AA127" s="28"/>
      <c r="AB127" s="28"/>
      <c r="AC127" s="28"/>
      <c r="AD127" s="28"/>
      <c r="AE127" s="28"/>
      <c r="AF127" s="28"/>
      <c r="AG127" s="28"/>
      <c r="AH127" s="28"/>
    </row>
    <row r="128" spans="1:34" ht="144" customHeight="1" x14ac:dyDescent="0.25">
      <c r="A128" s="73">
        <v>113</v>
      </c>
      <c r="B128" s="57" t="s">
        <v>166</v>
      </c>
      <c r="C128" s="56" t="s">
        <v>42</v>
      </c>
      <c r="D128" s="45" t="s">
        <v>45</v>
      </c>
      <c r="E128" s="45"/>
      <c r="F128" s="45">
        <v>2060</v>
      </c>
      <c r="G128" s="45">
        <v>2260</v>
      </c>
      <c r="H128" s="46">
        <f t="shared" si="40"/>
        <v>4.6555999999999997</v>
      </c>
      <c r="I128" s="45">
        <v>1</v>
      </c>
      <c r="J128" s="53">
        <v>2254000</v>
      </c>
      <c r="K128" s="47"/>
      <c r="L128" s="48">
        <f t="shared" si="41"/>
        <v>10493722.399999999</v>
      </c>
      <c r="M128" s="28"/>
      <c r="N128" s="28"/>
      <c r="O128" s="28"/>
      <c r="P128" s="28"/>
      <c r="Q128" s="28"/>
      <c r="R128" s="28"/>
      <c r="S128" s="28"/>
      <c r="T128" s="28"/>
      <c r="U128" s="28"/>
      <c r="V128" s="28"/>
      <c r="W128" s="28"/>
      <c r="X128" s="28"/>
      <c r="Y128" s="28"/>
      <c r="Z128" s="28"/>
      <c r="AA128" s="28"/>
      <c r="AB128" s="28"/>
      <c r="AC128" s="28"/>
      <c r="AD128" s="28"/>
      <c r="AE128" s="28"/>
      <c r="AF128" s="28"/>
      <c r="AG128" s="28"/>
      <c r="AH128" s="28"/>
    </row>
    <row r="129" spans="1:16139" ht="156" customHeight="1" x14ac:dyDescent="0.25">
      <c r="A129" s="73">
        <v>114</v>
      </c>
      <c r="B129" s="57" t="s">
        <v>167</v>
      </c>
      <c r="C129" s="56" t="s">
        <v>41</v>
      </c>
      <c r="D129" s="45" t="s">
        <v>39</v>
      </c>
      <c r="E129" s="45" t="s">
        <v>38</v>
      </c>
      <c r="F129" s="45">
        <v>2565</v>
      </c>
      <c r="G129" s="45">
        <v>2260</v>
      </c>
      <c r="H129" s="46">
        <f t="shared" si="40"/>
        <v>5.7968999999999999</v>
      </c>
      <c r="I129" s="45">
        <v>1</v>
      </c>
      <c r="J129" s="53">
        <v>2976000</v>
      </c>
      <c r="K129" s="47">
        <v>1850000</v>
      </c>
      <c r="L129" s="48">
        <f t="shared" si="41"/>
        <v>19101574.399999999</v>
      </c>
      <c r="M129" s="28"/>
      <c r="N129" s="28"/>
      <c r="O129" s="28"/>
      <c r="P129" s="28"/>
      <c r="Q129" s="28"/>
      <c r="R129" s="28"/>
      <c r="S129" s="28"/>
      <c r="T129" s="28"/>
      <c r="U129" s="28"/>
      <c r="V129" s="28"/>
      <c r="W129" s="28"/>
      <c r="X129" s="28"/>
      <c r="Y129" s="28"/>
      <c r="Z129" s="28"/>
      <c r="AA129" s="28"/>
      <c r="AB129" s="28"/>
      <c r="AC129" s="28"/>
      <c r="AD129" s="28"/>
      <c r="AE129" s="28"/>
      <c r="AF129" s="28"/>
      <c r="AG129" s="28"/>
      <c r="AH129" s="28"/>
    </row>
    <row r="130" spans="1:16139" ht="156" customHeight="1" x14ac:dyDescent="0.25">
      <c r="A130" s="73">
        <v>115</v>
      </c>
      <c r="B130" s="57" t="s">
        <v>168</v>
      </c>
      <c r="C130" s="56" t="s">
        <v>41</v>
      </c>
      <c r="D130" s="45" t="s">
        <v>39</v>
      </c>
      <c r="E130" s="45" t="s">
        <v>38</v>
      </c>
      <c r="F130" s="45">
        <v>2555</v>
      </c>
      <c r="G130" s="45">
        <v>2255</v>
      </c>
      <c r="H130" s="46">
        <f t="shared" si="40"/>
        <v>5.7615249999999998</v>
      </c>
      <c r="I130" s="45">
        <v>1</v>
      </c>
      <c r="J130" s="53">
        <v>2980000</v>
      </c>
      <c r="K130" s="47">
        <v>1850000</v>
      </c>
      <c r="L130" s="48">
        <f t="shared" si="41"/>
        <v>19019344.5</v>
      </c>
      <c r="M130" s="28"/>
      <c r="N130" s="28"/>
      <c r="O130" s="28"/>
      <c r="P130" s="28"/>
      <c r="Q130" s="28"/>
      <c r="R130" s="28"/>
      <c r="S130" s="28"/>
      <c r="T130" s="28"/>
      <c r="U130" s="28"/>
      <c r="V130" s="28"/>
      <c r="W130" s="28"/>
      <c r="X130" s="28"/>
      <c r="Y130" s="28"/>
      <c r="Z130" s="28"/>
      <c r="AA130" s="28"/>
      <c r="AB130" s="28"/>
      <c r="AC130" s="28"/>
      <c r="AD130" s="28"/>
      <c r="AE130" s="28"/>
      <c r="AF130" s="28"/>
      <c r="AG130" s="28"/>
      <c r="AH130" s="28"/>
    </row>
    <row r="131" spans="1:16139" ht="156" customHeight="1" x14ac:dyDescent="0.25">
      <c r="A131" s="73">
        <v>116</v>
      </c>
      <c r="B131" s="57" t="s">
        <v>169</v>
      </c>
      <c r="C131" s="56" t="s">
        <v>41</v>
      </c>
      <c r="D131" s="45" t="s">
        <v>39</v>
      </c>
      <c r="E131" s="45" t="s">
        <v>38</v>
      </c>
      <c r="F131" s="45">
        <v>2086</v>
      </c>
      <c r="G131" s="45">
        <v>2286</v>
      </c>
      <c r="H131" s="46">
        <f t="shared" si="40"/>
        <v>4.7685959999999996</v>
      </c>
      <c r="I131" s="45">
        <v>1</v>
      </c>
      <c r="J131" s="53">
        <v>3095000</v>
      </c>
      <c r="K131" s="47">
        <v>1850000</v>
      </c>
      <c r="L131" s="48">
        <f t="shared" si="41"/>
        <v>16608804.619999999</v>
      </c>
      <c r="M131" s="28"/>
      <c r="N131" s="28"/>
      <c r="O131" s="28"/>
      <c r="P131" s="28"/>
      <c r="Q131" s="28"/>
      <c r="R131" s="28"/>
      <c r="S131" s="28"/>
      <c r="T131" s="28"/>
      <c r="U131" s="28"/>
      <c r="V131" s="28"/>
      <c r="W131" s="28"/>
      <c r="X131" s="28"/>
      <c r="Y131" s="28"/>
      <c r="Z131" s="28"/>
      <c r="AA131" s="28"/>
      <c r="AB131" s="28"/>
      <c r="AC131" s="28"/>
      <c r="AD131" s="28"/>
      <c r="AE131" s="28"/>
      <c r="AF131" s="28"/>
      <c r="AG131" s="28"/>
      <c r="AH131" s="28"/>
    </row>
    <row r="132" spans="1:16139" ht="144" customHeight="1" x14ac:dyDescent="0.25">
      <c r="A132" s="73">
        <v>117</v>
      </c>
      <c r="B132" s="57" t="s">
        <v>170</v>
      </c>
      <c r="C132" s="56" t="s">
        <v>42</v>
      </c>
      <c r="D132" s="45" t="s">
        <v>45</v>
      </c>
      <c r="E132" s="45"/>
      <c r="F132" s="45">
        <v>2386</v>
      </c>
      <c r="G132" s="45">
        <v>2286</v>
      </c>
      <c r="H132" s="46">
        <f t="shared" si="40"/>
        <v>5.454396</v>
      </c>
      <c r="I132" s="45">
        <v>1</v>
      </c>
      <c r="J132" s="53">
        <v>2229000</v>
      </c>
      <c r="K132" s="47"/>
      <c r="L132" s="48">
        <f t="shared" si="41"/>
        <v>12157848.684</v>
      </c>
      <c r="M132" s="28"/>
      <c r="N132" s="28"/>
      <c r="O132" s="28"/>
      <c r="P132" s="28"/>
      <c r="Q132" s="28"/>
      <c r="R132" s="28"/>
      <c r="S132" s="28"/>
      <c r="T132" s="28"/>
      <c r="U132" s="28"/>
      <c r="V132" s="28"/>
      <c r="W132" s="28"/>
      <c r="X132" s="28"/>
      <c r="Y132" s="28"/>
      <c r="Z132" s="28"/>
      <c r="AA132" s="28"/>
      <c r="AB132" s="28"/>
      <c r="AC132" s="28"/>
      <c r="AD132" s="28"/>
      <c r="AE132" s="28"/>
      <c r="AF132" s="28"/>
      <c r="AG132" s="28"/>
      <c r="AH132" s="28"/>
    </row>
    <row r="133" spans="1:16139" ht="156" customHeight="1" x14ac:dyDescent="0.25">
      <c r="A133" s="73">
        <v>118</v>
      </c>
      <c r="B133" s="57" t="s">
        <v>171</v>
      </c>
      <c r="C133" s="56" t="s">
        <v>41</v>
      </c>
      <c r="D133" s="45" t="s">
        <v>39</v>
      </c>
      <c r="E133" s="45" t="s">
        <v>38</v>
      </c>
      <c r="F133" s="45">
        <v>2905</v>
      </c>
      <c r="G133" s="45">
        <v>2240</v>
      </c>
      <c r="H133" s="46">
        <f t="shared" si="40"/>
        <v>6.5072000000000001</v>
      </c>
      <c r="I133" s="45">
        <v>1</v>
      </c>
      <c r="J133" s="53">
        <v>2907000</v>
      </c>
      <c r="K133" s="47">
        <v>1850000</v>
      </c>
      <c r="L133" s="48">
        <f t="shared" si="41"/>
        <v>20766430.399999999</v>
      </c>
      <c r="M133" s="28"/>
      <c r="N133" s="28"/>
      <c r="O133" s="28"/>
      <c r="P133" s="28"/>
      <c r="Q133" s="28"/>
      <c r="R133" s="28"/>
      <c r="S133" s="28"/>
      <c r="T133" s="28"/>
      <c r="U133" s="28"/>
      <c r="V133" s="28"/>
      <c r="W133" s="28"/>
      <c r="X133" s="28"/>
      <c r="Y133" s="28"/>
      <c r="Z133" s="28"/>
      <c r="AA133" s="28"/>
      <c r="AB133" s="28"/>
      <c r="AC133" s="28"/>
      <c r="AD133" s="28"/>
      <c r="AE133" s="28"/>
      <c r="AF133" s="28"/>
      <c r="AG133" s="28"/>
      <c r="AH133" s="28"/>
    </row>
    <row r="134" spans="1:16139" ht="156" customHeight="1" x14ac:dyDescent="0.25">
      <c r="A134" s="73">
        <v>119</v>
      </c>
      <c r="B134" s="57" t="s">
        <v>172</v>
      </c>
      <c r="C134" s="56" t="s">
        <v>41</v>
      </c>
      <c r="D134" s="45" t="s">
        <v>39</v>
      </c>
      <c r="E134" s="45" t="s">
        <v>38</v>
      </c>
      <c r="F134" s="45">
        <v>2920</v>
      </c>
      <c r="G134" s="45">
        <v>2245</v>
      </c>
      <c r="H134" s="46">
        <f t="shared" si="40"/>
        <v>6.5553999999999997</v>
      </c>
      <c r="I134" s="45">
        <v>1</v>
      </c>
      <c r="J134" s="53">
        <v>2902000</v>
      </c>
      <c r="K134" s="47">
        <v>1850000</v>
      </c>
      <c r="L134" s="48">
        <f t="shared" si="41"/>
        <v>20873770.800000001</v>
      </c>
      <c r="M134" s="28"/>
      <c r="N134" s="28"/>
      <c r="O134" s="28"/>
      <c r="P134" s="28"/>
      <c r="Q134" s="28"/>
      <c r="R134" s="28"/>
      <c r="S134" s="28"/>
      <c r="T134" s="28"/>
      <c r="U134" s="28"/>
      <c r="V134" s="28"/>
      <c r="W134" s="28"/>
      <c r="X134" s="28"/>
      <c r="Y134" s="28"/>
      <c r="Z134" s="28"/>
      <c r="AA134" s="28"/>
      <c r="AB134" s="28"/>
      <c r="AC134" s="28"/>
      <c r="AD134" s="28"/>
      <c r="AE134" s="28"/>
      <c r="AF134" s="28"/>
      <c r="AG134" s="28"/>
      <c r="AH134" s="28"/>
    </row>
    <row r="135" spans="1:16139" ht="144" customHeight="1" x14ac:dyDescent="0.25">
      <c r="A135" s="73">
        <v>120</v>
      </c>
      <c r="B135" s="57" t="s">
        <v>173</v>
      </c>
      <c r="C135" s="56" t="s">
        <v>42</v>
      </c>
      <c r="D135" s="45" t="s">
        <v>45</v>
      </c>
      <c r="E135" s="45"/>
      <c r="F135" s="45">
        <v>1355</v>
      </c>
      <c r="G135" s="45">
        <v>2252</v>
      </c>
      <c r="H135" s="46">
        <f t="shared" si="40"/>
        <v>3.0514600000000001</v>
      </c>
      <c r="I135" s="45">
        <v>1</v>
      </c>
      <c r="J135" s="53">
        <v>2357000</v>
      </c>
      <c r="K135" s="47"/>
      <c r="L135" s="48">
        <f t="shared" si="41"/>
        <v>7192291.2199999997</v>
      </c>
      <c r="M135" s="28"/>
      <c r="N135" s="28"/>
      <c r="O135" s="28"/>
      <c r="P135" s="28"/>
      <c r="Q135" s="28"/>
      <c r="R135" s="28"/>
      <c r="S135" s="28"/>
      <c r="T135" s="28"/>
      <c r="U135" s="28"/>
      <c r="V135" s="28"/>
      <c r="W135" s="28"/>
      <c r="X135" s="28"/>
      <c r="Y135" s="28"/>
      <c r="Z135" s="28"/>
      <c r="AA135" s="28"/>
      <c r="AB135" s="28"/>
      <c r="AC135" s="28"/>
      <c r="AD135" s="28"/>
      <c r="AE135" s="28"/>
      <c r="AF135" s="28"/>
      <c r="AG135" s="28"/>
      <c r="AH135" s="28"/>
    </row>
    <row r="136" spans="1:16139" ht="144" customHeight="1" x14ac:dyDescent="0.25">
      <c r="A136" s="73">
        <v>121</v>
      </c>
      <c r="B136" s="57" t="s">
        <v>174</v>
      </c>
      <c r="C136" s="56" t="s">
        <v>42</v>
      </c>
      <c r="D136" s="45" t="s">
        <v>45</v>
      </c>
      <c r="E136" s="45"/>
      <c r="F136" s="45">
        <v>1355</v>
      </c>
      <c r="G136" s="45">
        <v>2252</v>
      </c>
      <c r="H136" s="46">
        <f t="shared" si="40"/>
        <v>3.0514600000000001</v>
      </c>
      <c r="I136" s="45">
        <v>1</v>
      </c>
      <c r="J136" s="53">
        <v>2357000</v>
      </c>
      <c r="K136" s="47"/>
      <c r="L136" s="48">
        <f t="shared" si="41"/>
        <v>7192291.2199999997</v>
      </c>
      <c r="M136" s="28"/>
      <c r="N136" s="28"/>
      <c r="O136" s="28"/>
      <c r="P136" s="28"/>
      <c r="Q136" s="28"/>
      <c r="R136" s="28"/>
      <c r="S136" s="28"/>
      <c r="T136" s="28"/>
      <c r="U136" s="28"/>
      <c r="V136" s="28"/>
      <c r="W136" s="28"/>
      <c r="X136" s="28"/>
      <c r="Y136" s="28"/>
      <c r="Z136" s="28"/>
      <c r="AA136" s="28"/>
      <c r="AB136" s="28"/>
      <c r="AC136" s="28"/>
      <c r="AD136" s="28"/>
      <c r="AE136" s="28"/>
      <c r="AF136" s="28"/>
      <c r="AG136" s="28"/>
      <c r="AH136" s="28"/>
    </row>
    <row r="137" spans="1:16139" ht="156" customHeight="1" x14ac:dyDescent="0.25">
      <c r="A137" s="73">
        <v>122</v>
      </c>
      <c r="B137" s="57" t="s">
        <v>175</v>
      </c>
      <c r="C137" s="56" t="s">
        <v>41</v>
      </c>
      <c r="D137" s="45" t="s">
        <v>39</v>
      </c>
      <c r="E137" s="45" t="s">
        <v>38</v>
      </c>
      <c r="F137" s="45">
        <v>2905</v>
      </c>
      <c r="G137" s="45">
        <v>2255</v>
      </c>
      <c r="H137" s="46">
        <f t="shared" si="40"/>
        <v>6.5507749999999998</v>
      </c>
      <c r="I137" s="45">
        <v>1</v>
      </c>
      <c r="J137" s="53">
        <v>2903000</v>
      </c>
      <c r="K137" s="47">
        <v>1850000</v>
      </c>
      <c r="L137" s="48">
        <f t="shared" si="41"/>
        <v>20866899.824999999</v>
      </c>
      <c r="M137" s="28"/>
      <c r="N137" s="28"/>
      <c r="O137" s="28"/>
      <c r="P137" s="28"/>
      <c r="Q137" s="28"/>
      <c r="R137" s="28"/>
      <c r="S137" s="28"/>
      <c r="T137" s="28"/>
      <c r="U137" s="28"/>
      <c r="V137" s="28"/>
      <c r="W137" s="28"/>
      <c r="X137" s="28"/>
      <c r="Y137" s="28"/>
      <c r="Z137" s="28"/>
      <c r="AA137" s="28"/>
      <c r="AB137" s="28"/>
      <c r="AC137" s="28"/>
      <c r="AD137" s="28"/>
      <c r="AE137" s="28"/>
      <c r="AF137" s="28"/>
      <c r="AG137" s="28"/>
      <c r="AH137" s="28"/>
    </row>
    <row r="138" spans="1:16139" ht="156" customHeight="1" x14ac:dyDescent="0.25">
      <c r="A138" s="73">
        <v>123</v>
      </c>
      <c r="B138" s="57" t="s">
        <v>176</v>
      </c>
      <c r="C138" s="56" t="s">
        <v>41</v>
      </c>
      <c r="D138" s="45" t="s">
        <v>39</v>
      </c>
      <c r="E138" s="45" t="s">
        <v>38</v>
      </c>
      <c r="F138" s="45">
        <v>2860</v>
      </c>
      <c r="G138" s="45">
        <v>2245</v>
      </c>
      <c r="H138" s="46">
        <f t="shared" si="40"/>
        <v>6.4207000000000001</v>
      </c>
      <c r="I138" s="45">
        <v>1</v>
      </c>
      <c r="J138" s="53">
        <v>2913000</v>
      </c>
      <c r="K138" s="47">
        <v>1850000</v>
      </c>
      <c r="L138" s="48">
        <f t="shared" si="41"/>
        <v>20553499.100000001</v>
      </c>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spans="1:16139" s="8" customFormat="1" ht="31.5" customHeight="1" x14ac:dyDescent="0.25">
      <c r="A139" s="132" t="s">
        <v>177</v>
      </c>
      <c r="B139" s="133"/>
      <c r="C139" s="133"/>
      <c r="D139" s="133"/>
      <c r="E139" s="134"/>
      <c r="F139" s="64"/>
      <c r="G139" s="64"/>
      <c r="H139" s="65"/>
      <c r="I139" s="45"/>
      <c r="J139" s="53"/>
      <c r="K139" s="47"/>
      <c r="L139" s="67"/>
    </row>
    <row r="140" spans="1:16139" s="63" customFormat="1" ht="150.75" customHeight="1" x14ac:dyDescent="0.25">
      <c r="A140" s="73">
        <v>124</v>
      </c>
      <c r="B140" s="57" t="s">
        <v>178</v>
      </c>
      <c r="C140" s="58" t="s">
        <v>53</v>
      </c>
      <c r="D140" s="59" t="s">
        <v>39</v>
      </c>
      <c r="E140" s="59" t="s">
        <v>38</v>
      </c>
      <c r="F140" s="59">
        <v>4000</v>
      </c>
      <c r="G140" s="59">
        <v>2400</v>
      </c>
      <c r="H140" s="60">
        <f t="shared" ref="H140" si="42">F140*G140/10^6</f>
        <v>9.6</v>
      </c>
      <c r="I140" s="45">
        <v>1</v>
      </c>
      <c r="J140" s="53">
        <v>3102000</v>
      </c>
      <c r="K140" s="47">
        <v>3761000</v>
      </c>
      <c r="L140" s="61">
        <f t="shared" ref="L140" si="43">IF(H140&lt;&gt;0,J140*H140*I140+K140*I140,IF(J140&lt;&gt;0,G140*I140*J140,I140*K140))</f>
        <v>33540200</v>
      </c>
      <c r="M140" s="62"/>
      <c r="N140" s="62"/>
      <c r="O140" s="62"/>
      <c r="P140" s="62"/>
      <c r="Q140" s="62"/>
      <c r="R140" s="62"/>
      <c r="S140" s="62"/>
      <c r="T140" s="62"/>
      <c r="U140" s="62"/>
      <c r="V140" s="62"/>
      <c r="W140" s="62"/>
      <c r="X140" s="62"/>
      <c r="Y140" s="62"/>
      <c r="Z140" s="62"/>
      <c r="AA140" s="62"/>
      <c r="AB140" s="62"/>
      <c r="AC140" s="62"/>
      <c r="AD140" s="62"/>
      <c r="AE140" s="62"/>
      <c r="AF140" s="62"/>
      <c r="AG140" s="62"/>
      <c r="AH140" s="62"/>
    </row>
    <row r="141" spans="1:16139" ht="146.25" customHeight="1" x14ac:dyDescent="0.25">
      <c r="A141" s="73">
        <v>125</v>
      </c>
      <c r="B141" s="73" t="s">
        <v>179</v>
      </c>
      <c r="C141" s="51" t="s">
        <v>42</v>
      </c>
      <c r="D141" s="45" t="s">
        <v>45</v>
      </c>
      <c r="E141" s="45"/>
      <c r="F141" s="45">
        <v>2000</v>
      </c>
      <c r="G141" s="45">
        <v>2300</v>
      </c>
      <c r="H141" s="46">
        <f>F141*G141/10^6</f>
        <v>4.5999999999999996</v>
      </c>
      <c r="I141" s="45">
        <v>1</v>
      </c>
      <c r="J141" s="53">
        <v>2256000</v>
      </c>
      <c r="K141" s="47"/>
      <c r="L141" s="48">
        <f>IF(H141&lt;&gt;0,J141*H141*I141+K141*I141,IF(J141&lt;&gt;0,G141*I141*J141,I141*K141))</f>
        <v>10377600</v>
      </c>
      <c r="M141" s="28"/>
      <c r="N141" s="28"/>
      <c r="O141" s="28"/>
      <c r="P141" s="28"/>
      <c r="Q141" s="28"/>
      <c r="R141" s="28"/>
      <c r="S141" s="28"/>
      <c r="T141" s="28"/>
      <c r="U141" s="28"/>
      <c r="V141" s="28"/>
      <c r="W141" s="28"/>
      <c r="X141" s="28"/>
      <c r="Y141" s="28"/>
      <c r="Z141" s="28"/>
      <c r="AA141" s="28"/>
      <c r="AB141" s="28"/>
      <c r="AC141" s="28"/>
      <c r="AD141" s="28"/>
      <c r="AE141" s="28"/>
      <c r="AF141" s="28"/>
      <c r="AG141" s="28"/>
      <c r="AH141" s="28"/>
    </row>
    <row r="142" spans="1:16139" ht="146.25" customHeight="1" x14ac:dyDescent="0.25">
      <c r="A142" s="135">
        <v>126</v>
      </c>
      <c r="B142" s="137" t="s">
        <v>180</v>
      </c>
      <c r="C142" s="58" t="s">
        <v>42</v>
      </c>
      <c r="D142" s="45" t="s">
        <v>45</v>
      </c>
      <c r="E142" s="45"/>
      <c r="F142" s="45">
        <v>1100</v>
      </c>
      <c r="G142" s="45">
        <v>2300</v>
      </c>
      <c r="H142" s="46">
        <f>F142*G142/10^6</f>
        <v>2.5299999999999998</v>
      </c>
      <c r="I142" s="45">
        <v>1</v>
      </c>
      <c r="J142" s="53">
        <v>2422000</v>
      </c>
      <c r="K142" s="47"/>
      <c r="L142" s="48">
        <f>IF(H142&lt;&gt;0,J142*H142*I142+K142*I142,IF(J142&lt;&gt;0,G142*I142*J142,I142*K142))</f>
        <v>6127659.9999999991</v>
      </c>
      <c r="M142" s="28"/>
      <c r="N142" s="28"/>
      <c r="O142" s="28"/>
      <c r="P142" s="28"/>
      <c r="Q142" s="28"/>
      <c r="R142" s="28"/>
      <c r="S142" s="28"/>
      <c r="T142" s="28"/>
      <c r="U142" s="28"/>
      <c r="V142" s="28"/>
      <c r="W142" s="28"/>
      <c r="X142" s="28"/>
      <c r="Y142" s="28"/>
      <c r="Z142" s="28"/>
      <c r="AA142" s="28"/>
      <c r="AB142" s="28"/>
      <c r="AC142" s="28"/>
      <c r="AD142" s="28"/>
      <c r="AE142" s="28"/>
      <c r="AF142" s="28"/>
      <c r="AG142" s="28"/>
      <c r="AH142" s="28"/>
    </row>
    <row r="143" spans="1:16139" ht="146.25" customHeight="1" x14ac:dyDescent="0.25">
      <c r="A143" s="149"/>
      <c r="B143" s="150"/>
      <c r="C143" s="58" t="s">
        <v>42</v>
      </c>
      <c r="D143" s="45" t="s">
        <v>207</v>
      </c>
      <c r="E143" s="45"/>
      <c r="F143" s="45">
        <v>976</v>
      </c>
      <c r="G143" s="45">
        <v>2300</v>
      </c>
      <c r="H143" s="46">
        <f>F143*G143/10^6</f>
        <v>2.2448000000000001</v>
      </c>
      <c r="I143" s="45">
        <v>1</v>
      </c>
      <c r="J143" s="53">
        <v>4196000</v>
      </c>
      <c r="K143" s="47"/>
      <c r="L143" s="48">
        <f>IF(H143&lt;&gt;0,J143*H143*I143+K143*I143,IF(J143&lt;&gt;0,G143*I143*J143,I143*K143))</f>
        <v>9419180.8000000007</v>
      </c>
      <c r="M143" s="28"/>
      <c r="N143" s="28"/>
      <c r="O143" s="28"/>
      <c r="P143" s="28"/>
      <c r="Q143" s="28"/>
      <c r="R143" s="28"/>
      <c r="S143" s="28"/>
      <c r="T143" s="28"/>
      <c r="U143" s="28"/>
      <c r="V143" s="28"/>
      <c r="W143" s="28"/>
      <c r="X143" s="28"/>
      <c r="Y143" s="28"/>
      <c r="Z143" s="28"/>
      <c r="AA143" s="28"/>
      <c r="AB143" s="28"/>
      <c r="AC143" s="28"/>
      <c r="AD143" s="28"/>
      <c r="AE143" s="28"/>
      <c r="AF143" s="28"/>
      <c r="AG143" s="28"/>
      <c r="AH143" s="28"/>
    </row>
    <row r="144" spans="1:16139" ht="30.75" customHeight="1" x14ac:dyDescent="0.25">
      <c r="A144" s="136"/>
      <c r="B144" s="138"/>
      <c r="C144" s="69" t="s">
        <v>201</v>
      </c>
      <c r="D144" s="59"/>
      <c r="E144" s="59"/>
      <c r="F144" s="59">
        <f>976+1000</f>
        <v>1976</v>
      </c>
      <c r="G144" s="59"/>
      <c r="H144" s="60">
        <f t="shared" ref="H144" si="44">F144*G144/10^6</f>
        <v>0</v>
      </c>
      <c r="I144" s="59">
        <v>1</v>
      </c>
      <c r="J144" s="53">
        <v>550000</v>
      </c>
      <c r="K144" s="47"/>
      <c r="L144" s="70">
        <f>F144*I144*J144/1000</f>
        <v>1086800</v>
      </c>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c r="DE144" s="72"/>
      <c r="DF144" s="72"/>
      <c r="DG144" s="72"/>
      <c r="DH144" s="72"/>
      <c r="DI144" s="72"/>
      <c r="DJ144" s="72"/>
      <c r="DK144" s="72"/>
      <c r="DL144" s="72"/>
      <c r="DM144" s="72"/>
      <c r="DN144" s="72"/>
      <c r="DO144" s="72"/>
      <c r="DP144" s="72"/>
      <c r="DQ144" s="72"/>
      <c r="DR144" s="72"/>
      <c r="DS144" s="72"/>
      <c r="DT144" s="72"/>
      <c r="DU144" s="72"/>
      <c r="DV144" s="72"/>
      <c r="DW144" s="72"/>
      <c r="DX144" s="72"/>
      <c r="DY144" s="72"/>
      <c r="DZ144" s="72"/>
      <c r="EA144" s="72"/>
      <c r="EB144" s="72"/>
      <c r="EC144" s="72"/>
      <c r="ED144" s="72"/>
      <c r="EE144" s="72"/>
      <c r="EF144" s="72"/>
      <c r="EG144" s="72"/>
      <c r="EH144" s="72"/>
      <c r="EI144" s="72"/>
      <c r="EJ144" s="72"/>
      <c r="EK144" s="72"/>
      <c r="EL144" s="72"/>
      <c r="EM144" s="72"/>
      <c r="EN144" s="72"/>
      <c r="EO144" s="72"/>
      <c r="EP144" s="72"/>
      <c r="EQ144" s="72"/>
      <c r="ER144" s="72"/>
      <c r="ES144" s="72"/>
      <c r="ET144" s="72"/>
      <c r="EU144" s="72"/>
      <c r="EV144" s="72"/>
      <c r="EW144" s="72"/>
      <c r="EX144" s="72"/>
      <c r="EY144" s="72"/>
      <c r="EZ144" s="72"/>
      <c r="FA144" s="72"/>
      <c r="FB144" s="72"/>
      <c r="FC144" s="72"/>
      <c r="FD144" s="72"/>
      <c r="FE144" s="72"/>
      <c r="FF144" s="72"/>
      <c r="FG144" s="72"/>
      <c r="FH144" s="72"/>
      <c r="FI144" s="72"/>
      <c r="FJ144" s="72"/>
      <c r="FK144" s="72"/>
      <c r="FL144" s="72"/>
      <c r="FM144" s="72"/>
      <c r="FN144" s="72"/>
      <c r="FO144" s="72"/>
      <c r="FP144" s="72"/>
      <c r="FQ144" s="72"/>
      <c r="FR144" s="72"/>
      <c r="FS144" s="72"/>
      <c r="FT144" s="72"/>
      <c r="FU144" s="72"/>
      <c r="FV144" s="72"/>
      <c r="FW144" s="72"/>
      <c r="FX144" s="72"/>
      <c r="FY144" s="72"/>
      <c r="FZ144" s="72"/>
      <c r="GA144" s="72"/>
      <c r="GB144" s="72"/>
      <c r="GC144" s="72"/>
      <c r="GD144" s="72"/>
      <c r="GE144" s="72"/>
      <c r="GF144" s="72"/>
      <c r="GG144" s="72"/>
      <c r="GH144" s="72"/>
      <c r="GI144" s="72"/>
      <c r="GJ144" s="72"/>
      <c r="GK144" s="72"/>
      <c r="GL144" s="72"/>
      <c r="GM144" s="72"/>
      <c r="GN144" s="72"/>
      <c r="GO144" s="72"/>
      <c r="GP144" s="72"/>
      <c r="GQ144" s="72"/>
      <c r="GR144" s="72"/>
      <c r="GS144" s="72"/>
      <c r="GT144" s="72"/>
      <c r="GU144" s="72"/>
      <c r="GV144" s="72"/>
      <c r="GW144" s="72"/>
      <c r="GX144" s="72"/>
      <c r="GY144" s="72"/>
      <c r="GZ144" s="72"/>
      <c r="HA144" s="72"/>
      <c r="HB144" s="72"/>
      <c r="HC144" s="72"/>
      <c r="HD144" s="72"/>
      <c r="HE144" s="72"/>
      <c r="HF144" s="72"/>
      <c r="HG144" s="72"/>
      <c r="HH144" s="72"/>
      <c r="HI144" s="72"/>
      <c r="HJ144" s="72"/>
      <c r="HK144" s="72"/>
      <c r="HL144" s="72"/>
      <c r="HM144" s="72"/>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c r="IP144" s="72"/>
      <c r="IQ144" s="72"/>
      <c r="IR144" s="72"/>
      <c r="IS144" s="72"/>
      <c r="IT144" s="72"/>
      <c r="IU144" s="72"/>
      <c r="IV144" s="72"/>
      <c r="IW144" s="72"/>
      <c r="IX144" s="72"/>
      <c r="IY144" s="72"/>
      <c r="IZ144" s="72"/>
      <c r="JA144" s="72"/>
      <c r="JB144" s="72"/>
      <c r="JC144" s="72"/>
      <c r="JD144" s="72"/>
      <c r="JE144" s="72"/>
      <c r="JF144" s="72"/>
      <c r="JG144" s="72"/>
      <c r="JH144" s="72"/>
      <c r="JI144" s="72"/>
      <c r="JJ144" s="72"/>
      <c r="JK144" s="72"/>
      <c r="JL144" s="72"/>
      <c r="JM144" s="72"/>
      <c r="JN144" s="72"/>
      <c r="JO144" s="72"/>
      <c r="JP144" s="72"/>
      <c r="JQ144" s="72"/>
      <c r="JR144" s="72"/>
      <c r="JS144" s="72"/>
      <c r="JT144" s="72"/>
      <c r="JU144" s="72"/>
      <c r="JV144" s="72"/>
      <c r="JW144" s="72"/>
      <c r="JX144" s="72"/>
      <c r="JY144" s="72"/>
      <c r="JZ144" s="72"/>
      <c r="KA144" s="72"/>
      <c r="KB144" s="72"/>
      <c r="KC144" s="72"/>
      <c r="KD144" s="72"/>
      <c r="KE144" s="72"/>
      <c r="KF144" s="72"/>
      <c r="KG144" s="72"/>
      <c r="KH144" s="72"/>
      <c r="KI144" s="72"/>
      <c r="KJ144" s="72"/>
      <c r="KK144" s="72"/>
      <c r="KL144" s="72"/>
      <c r="KM144" s="72"/>
      <c r="KN144" s="72"/>
      <c r="KO144" s="72"/>
      <c r="KP144" s="72"/>
      <c r="KQ144" s="72"/>
      <c r="KR144" s="72"/>
      <c r="KS144" s="72"/>
      <c r="KT144" s="72"/>
      <c r="KU144" s="72"/>
      <c r="KV144" s="72"/>
      <c r="KW144" s="72"/>
      <c r="KX144" s="72"/>
      <c r="KY144" s="72"/>
      <c r="KZ144" s="72"/>
      <c r="LA144" s="72"/>
      <c r="LB144" s="72"/>
      <c r="LC144" s="72"/>
      <c r="LD144" s="72"/>
      <c r="LE144" s="72"/>
      <c r="LF144" s="72"/>
      <c r="LG144" s="72"/>
      <c r="LH144" s="72"/>
      <c r="LI144" s="72"/>
      <c r="LJ144" s="72"/>
      <c r="LK144" s="72"/>
      <c r="LL144" s="72"/>
      <c r="LM144" s="72"/>
      <c r="LN144" s="72"/>
      <c r="LO144" s="72"/>
      <c r="LP144" s="72"/>
      <c r="LQ144" s="72"/>
      <c r="LR144" s="72"/>
      <c r="LS144" s="72"/>
      <c r="LT144" s="72"/>
      <c r="LU144" s="72"/>
      <c r="LV144" s="72"/>
      <c r="LW144" s="72"/>
      <c r="LX144" s="72"/>
      <c r="LY144" s="72"/>
      <c r="LZ144" s="72"/>
      <c r="MA144" s="72"/>
      <c r="MB144" s="72"/>
      <c r="MC144" s="72"/>
      <c r="MD144" s="72"/>
      <c r="ME144" s="72"/>
      <c r="MF144" s="72"/>
      <c r="MG144" s="72"/>
      <c r="MH144" s="72"/>
      <c r="MI144" s="72"/>
      <c r="MJ144" s="72"/>
      <c r="MK144" s="72"/>
      <c r="ML144" s="72"/>
      <c r="MM144" s="72"/>
      <c r="MN144" s="72"/>
      <c r="MO144" s="72"/>
      <c r="MP144" s="72"/>
      <c r="MQ144" s="72"/>
      <c r="MR144" s="72"/>
      <c r="MS144" s="72"/>
      <c r="MT144" s="72"/>
      <c r="MU144" s="72"/>
      <c r="MV144" s="72"/>
      <c r="MW144" s="72"/>
      <c r="MX144" s="72"/>
      <c r="MY144" s="72"/>
      <c r="MZ144" s="72"/>
      <c r="NA144" s="72"/>
      <c r="NB144" s="72"/>
      <c r="NC144" s="72"/>
      <c r="ND144" s="72"/>
      <c r="NE144" s="72"/>
      <c r="NF144" s="72"/>
      <c r="NG144" s="72"/>
      <c r="NH144" s="72"/>
      <c r="NI144" s="72"/>
      <c r="NJ144" s="72"/>
      <c r="NK144" s="72"/>
      <c r="NL144" s="72"/>
      <c r="NM144" s="72"/>
      <c r="NN144" s="72"/>
      <c r="NO144" s="72"/>
      <c r="NP144" s="72"/>
      <c r="NQ144" s="72"/>
      <c r="NR144" s="72"/>
      <c r="NS144" s="72"/>
      <c r="NT144" s="72"/>
      <c r="NU144" s="72"/>
      <c r="NV144" s="72"/>
      <c r="NW144" s="72"/>
      <c r="NX144" s="72"/>
      <c r="NY144" s="72"/>
      <c r="NZ144" s="72"/>
      <c r="OA144" s="72"/>
      <c r="OB144" s="72"/>
      <c r="OC144" s="72"/>
      <c r="OD144" s="72"/>
      <c r="OE144" s="72"/>
      <c r="OF144" s="72"/>
      <c r="OG144" s="72"/>
      <c r="OH144" s="72"/>
      <c r="OI144" s="72"/>
      <c r="OJ144" s="72"/>
      <c r="OK144" s="72"/>
      <c r="OL144" s="72"/>
      <c r="OM144" s="72"/>
      <c r="ON144" s="72"/>
      <c r="OO144" s="72"/>
      <c r="OP144" s="72"/>
      <c r="OQ144" s="72"/>
      <c r="OR144" s="72"/>
      <c r="OS144" s="72"/>
      <c r="OT144" s="72"/>
      <c r="OU144" s="72"/>
      <c r="OV144" s="72"/>
      <c r="OW144" s="72"/>
      <c r="OX144" s="72"/>
      <c r="OY144" s="72"/>
      <c r="OZ144" s="72"/>
      <c r="PA144" s="72"/>
      <c r="PB144" s="72"/>
      <c r="PC144" s="72"/>
      <c r="PD144" s="72"/>
      <c r="PE144" s="72"/>
      <c r="PF144" s="72"/>
      <c r="PG144" s="72"/>
      <c r="PH144" s="72"/>
      <c r="PI144" s="72"/>
      <c r="PJ144" s="72"/>
      <c r="PK144" s="72"/>
      <c r="PL144" s="72"/>
      <c r="PM144" s="72"/>
      <c r="PN144" s="72"/>
      <c r="PO144" s="72"/>
      <c r="PP144" s="72"/>
      <c r="PQ144" s="72"/>
      <c r="PR144" s="72"/>
      <c r="PS144" s="72"/>
      <c r="PT144" s="72"/>
      <c r="PU144" s="72"/>
      <c r="PV144" s="72"/>
      <c r="PW144" s="72"/>
      <c r="PX144" s="72"/>
      <c r="PY144" s="72"/>
      <c r="PZ144" s="72"/>
      <c r="QA144" s="72"/>
      <c r="QB144" s="72"/>
      <c r="QC144" s="72"/>
      <c r="QD144" s="72"/>
      <c r="QE144" s="72"/>
      <c r="QF144" s="72"/>
      <c r="QG144" s="72"/>
      <c r="QH144" s="72"/>
      <c r="QI144" s="72"/>
      <c r="QJ144" s="72"/>
      <c r="QK144" s="72"/>
      <c r="QL144" s="72"/>
      <c r="QM144" s="72"/>
      <c r="QN144" s="72"/>
      <c r="QO144" s="72"/>
      <c r="QP144" s="72"/>
      <c r="QQ144" s="72"/>
      <c r="QR144" s="72"/>
      <c r="QS144" s="72"/>
      <c r="QT144" s="72"/>
      <c r="QU144" s="72"/>
      <c r="QV144" s="72"/>
      <c r="QW144" s="72"/>
      <c r="QX144" s="72"/>
      <c r="QY144" s="72"/>
      <c r="QZ144" s="72"/>
      <c r="RA144" s="72"/>
      <c r="RB144" s="72"/>
      <c r="RC144" s="72"/>
      <c r="RD144" s="72"/>
      <c r="RE144" s="72"/>
      <c r="RF144" s="72"/>
      <c r="RG144" s="72"/>
      <c r="RH144" s="72"/>
      <c r="RI144" s="72"/>
      <c r="RJ144" s="72"/>
      <c r="RK144" s="72"/>
      <c r="RL144" s="72"/>
      <c r="RM144" s="72"/>
      <c r="RN144" s="72"/>
      <c r="RO144" s="72"/>
      <c r="RP144" s="72"/>
      <c r="RQ144" s="72"/>
      <c r="RR144" s="72"/>
      <c r="RS144" s="72"/>
      <c r="RT144" s="72"/>
      <c r="RU144" s="72"/>
      <c r="RV144" s="72"/>
      <c r="RW144" s="72"/>
      <c r="RX144" s="72"/>
      <c r="RY144" s="72"/>
      <c r="RZ144" s="72"/>
      <c r="SA144" s="72"/>
      <c r="SB144" s="72"/>
      <c r="SC144" s="72"/>
      <c r="SD144" s="72"/>
      <c r="SE144" s="72"/>
      <c r="SF144" s="72"/>
      <c r="SG144" s="72"/>
      <c r="SH144" s="72"/>
      <c r="SI144" s="72"/>
      <c r="SJ144" s="72"/>
      <c r="SK144" s="72"/>
      <c r="SL144" s="72"/>
      <c r="SM144" s="72"/>
      <c r="SN144" s="72"/>
      <c r="SO144" s="72"/>
      <c r="SP144" s="72"/>
      <c r="SQ144" s="72"/>
      <c r="SR144" s="72"/>
      <c r="SS144" s="72"/>
      <c r="ST144" s="72"/>
      <c r="SU144" s="72"/>
      <c r="SV144" s="72"/>
      <c r="SW144" s="72"/>
      <c r="SX144" s="72"/>
      <c r="SY144" s="72"/>
      <c r="SZ144" s="72"/>
      <c r="TA144" s="72"/>
      <c r="TB144" s="72"/>
      <c r="TC144" s="72"/>
      <c r="TD144" s="72"/>
      <c r="TE144" s="72"/>
      <c r="TF144" s="72"/>
      <c r="TG144" s="72"/>
      <c r="TH144" s="72"/>
      <c r="TI144" s="72"/>
      <c r="TJ144" s="72"/>
      <c r="TK144" s="72"/>
      <c r="TL144" s="72"/>
      <c r="TM144" s="72"/>
      <c r="TN144" s="72"/>
      <c r="TO144" s="72"/>
      <c r="TP144" s="72"/>
      <c r="TQ144" s="72"/>
      <c r="TR144" s="72"/>
      <c r="TS144" s="72"/>
      <c r="TT144" s="72"/>
      <c r="TU144" s="72"/>
      <c r="TV144" s="72"/>
      <c r="TW144" s="72"/>
      <c r="TX144" s="72"/>
      <c r="TY144" s="72"/>
      <c r="TZ144" s="72"/>
      <c r="UA144" s="72"/>
      <c r="UB144" s="72"/>
      <c r="UC144" s="72"/>
      <c r="UD144" s="72"/>
      <c r="UE144" s="72"/>
      <c r="UF144" s="72"/>
      <c r="UG144" s="72"/>
      <c r="UH144" s="72"/>
      <c r="UI144" s="72"/>
      <c r="UJ144" s="72"/>
      <c r="UK144" s="72"/>
      <c r="UL144" s="72"/>
      <c r="UM144" s="72"/>
      <c r="UN144" s="72"/>
      <c r="UO144" s="72"/>
      <c r="UP144" s="72"/>
      <c r="UQ144" s="72"/>
      <c r="UR144" s="72"/>
      <c r="US144" s="72"/>
      <c r="UT144" s="72"/>
      <c r="UU144" s="72"/>
      <c r="UV144" s="72"/>
      <c r="UW144" s="72"/>
      <c r="UX144" s="72"/>
      <c r="UY144" s="72"/>
      <c r="UZ144" s="72"/>
      <c r="VA144" s="72"/>
      <c r="VB144" s="72"/>
      <c r="VC144" s="72"/>
      <c r="VD144" s="72"/>
      <c r="VE144" s="72"/>
      <c r="VF144" s="72"/>
      <c r="VG144" s="72"/>
      <c r="VH144" s="72"/>
      <c r="VI144" s="72"/>
      <c r="VJ144" s="72"/>
      <c r="VK144" s="72"/>
      <c r="VL144" s="72"/>
      <c r="VM144" s="72"/>
      <c r="VN144" s="72"/>
      <c r="VO144" s="72"/>
      <c r="VP144" s="72"/>
      <c r="VQ144" s="72"/>
      <c r="VR144" s="72"/>
      <c r="VS144" s="72"/>
      <c r="VT144" s="72"/>
      <c r="VU144" s="72"/>
      <c r="VV144" s="72"/>
      <c r="VW144" s="72"/>
      <c r="VX144" s="72"/>
      <c r="VY144" s="72"/>
      <c r="VZ144" s="72"/>
      <c r="WA144" s="72"/>
      <c r="WB144" s="72"/>
      <c r="WC144" s="72"/>
      <c r="WD144" s="72"/>
      <c r="WE144" s="72"/>
      <c r="WF144" s="72"/>
      <c r="WG144" s="72"/>
      <c r="WH144" s="72"/>
      <c r="WI144" s="72"/>
      <c r="WJ144" s="72"/>
      <c r="WK144" s="72"/>
      <c r="WL144" s="72"/>
      <c r="WM144" s="72"/>
      <c r="WN144" s="72"/>
      <c r="WO144" s="72"/>
      <c r="WP144" s="72"/>
      <c r="WQ144" s="72"/>
      <c r="WR144" s="72"/>
      <c r="WS144" s="72"/>
      <c r="WT144" s="72"/>
      <c r="WU144" s="72"/>
      <c r="WV144" s="72"/>
      <c r="WW144" s="72"/>
      <c r="WX144" s="72"/>
      <c r="WY144" s="72"/>
      <c r="WZ144" s="72"/>
      <c r="XA144" s="72"/>
      <c r="XB144" s="72"/>
      <c r="XC144" s="72"/>
      <c r="XD144" s="72"/>
      <c r="XE144" s="72"/>
      <c r="XF144" s="72"/>
      <c r="XG144" s="72"/>
      <c r="XH144" s="72"/>
      <c r="XI144" s="72"/>
      <c r="XJ144" s="72"/>
      <c r="XK144" s="72"/>
      <c r="XL144" s="72"/>
      <c r="XM144" s="72"/>
      <c r="XN144" s="72"/>
      <c r="XO144" s="72"/>
      <c r="XP144" s="72"/>
      <c r="XQ144" s="72"/>
      <c r="XR144" s="72"/>
      <c r="XS144" s="72"/>
      <c r="XT144" s="72"/>
      <c r="XU144" s="72"/>
      <c r="XV144" s="72"/>
      <c r="XW144" s="72"/>
      <c r="XX144" s="72"/>
      <c r="XY144" s="72"/>
      <c r="XZ144" s="72"/>
      <c r="YA144" s="72"/>
      <c r="YB144" s="72"/>
      <c r="YC144" s="72"/>
      <c r="YD144" s="72"/>
      <c r="YE144" s="72"/>
      <c r="YF144" s="72"/>
      <c r="YG144" s="72"/>
      <c r="YH144" s="72"/>
      <c r="YI144" s="72"/>
      <c r="YJ144" s="72"/>
      <c r="YK144" s="72"/>
      <c r="YL144" s="72"/>
      <c r="YM144" s="72"/>
      <c r="YN144" s="72"/>
      <c r="YO144" s="72"/>
      <c r="YP144" s="72"/>
      <c r="YQ144" s="72"/>
      <c r="YR144" s="72"/>
      <c r="YS144" s="72"/>
      <c r="YT144" s="72"/>
      <c r="YU144" s="72"/>
      <c r="YV144" s="72"/>
      <c r="YW144" s="72"/>
      <c r="YX144" s="72"/>
      <c r="YY144" s="72"/>
      <c r="YZ144" s="72"/>
      <c r="ZA144" s="72"/>
      <c r="ZB144" s="72"/>
      <c r="ZC144" s="72"/>
      <c r="ZD144" s="72"/>
      <c r="ZE144" s="72"/>
      <c r="ZF144" s="72"/>
      <c r="ZG144" s="72"/>
      <c r="ZH144" s="72"/>
      <c r="ZI144" s="72"/>
      <c r="ZJ144" s="72"/>
      <c r="ZK144" s="72"/>
      <c r="ZL144" s="72"/>
      <c r="ZM144" s="72"/>
      <c r="ZN144" s="72"/>
      <c r="ZO144" s="72"/>
      <c r="ZP144" s="72"/>
      <c r="ZQ144" s="72"/>
      <c r="ZR144" s="72"/>
      <c r="ZS144" s="72"/>
      <c r="ZT144" s="72"/>
      <c r="ZU144" s="72"/>
      <c r="ZV144" s="72"/>
      <c r="ZW144" s="72"/>
      <c r="ZX144" s="72"/>
      <c r="ZY144" s="72"/>
      <c r="ZZ144" s="72"/>
      <c r="AAA144" s="72"/>
      <c r="AAB144" s="72"/>
      <c r="AAC144" s="72"/>
      <c r="AAD144" s="72"/>
      <c r="AAE144" s="72"/>
      <c r="AAF144" s="72"/>
      <c r="AAG144" s="72"/>
      <c r="AAH144" s="72"/>
      <c r="AAI144" s="72"/>
      <c r="AAJ144" s="72"/>
      <c r="AAK144" s="72"/>
      <c r="AAL144" s="72"/>
      <c r="AAM144" s="72"/>
      <c r="AAN144" s="72"/>
      <c r="AAO144" s="72"/>
      <c r="AAP144" s="72"/>
      <c r="AAQ144" s="72"/>
      <c r="AAR144" s="72"/>
      <c r="AAS144" s="72"/>
      <c r="AAT144" s="72"/>
      <c r="AAU144" s="72"/>
      <c r="AAV144" s="72"/>
      <c r="AAW144" s="72"/>
      <c r="AAX144" s="72"/>
      <c r="AAY144" s="72"/>
      <c r="AAZ144" s="72"/>
      <c r="ABA144" s="72"/>
      <c r="ABB144" s="72"/>
      <c r="ABC144" s="72"/>
      <c r="ABD144" s="72"/>
      <c r="ABE144" s="72"/>
      <c r="ABF144" s="72"/>
      <c r="ABG144" s="72"/>
      <c r="ABH144" s="72"/>
      <c r="ABI144" s="72"/>
      <c r="ABJ144" s="72"/>
      <c r="ABK144" s="72"/>
      <c r="ABL144" s="72"/>
      <c r="ABM144" s="72"/>
      <c r="ABN144" s="72"/>
      <c r="ABO144" s="72"/>
      <c r="ABP144" s="72"/>
      <c r="ABQ144" s="72"/>
      <c r="ABR144" s="72"/>
      <c r="ABS144" s="72"/>
      <c r="ABT144" s="72"/>
      <c r="ABU144" s="72"/>
      <c r="ABV144" s="72"/>
      <c r="ABW144" s="72"/>
      <c r="ABX144" s="72"/>
      <c r="ABY144" s="72"/>
      <c r="ABZ144" s="72"/>
      <c r="ACA144" s="72"/>
      <c r="ACB144" s="72"/>
      <c r="ACC144" s="72"/>
      <c r="ACD144" s="72"/>
      <c r="ACE144" s="72"/>
      <c r="ACF144" s="72"/>
      <c r="ACG144" s="72"/>
      <c r="ACH144" s="72"/>
      <c r="ACI144" s="72"/>
      <c r="ACJ144" s="72"/>
      <c r="ACK144" s="72"/>
      <c r="ACL144" s="72"/>
      <c r="ACM144" s="72"/>
      <c r="ACN144" s="72"/>
      <c r="ACO144" s="72"/>
      <c r="ACP144" s="72"/>
      <c r="ACQ144" s="72"/>
      <c r="ACR144" s="72"/>
      <c r="ACS144" s="72"/>
      <c r="ACT144" s="72"/>
      <c r="ACU144" s="72"/>
      <c r="ACV144" s="72"/>
      <c r="ACW144" s="72"/>
      <c r="ACX144" s="72"/>
      <c r="ACY144" s="72"/>
      <c r="ACZ144" s="72"/>
      <c r="ADA144" s="72"/>
      <c r="ADB144" s="72"/>
      <c r="ADC144" s="72"/>
      <c r="ADD144" s="72"/>
      <c r="ADE144" s="72"/>
      <c r="ADF144" s="72"/>
      <c r="ADG144" s="72"/>
      <c r="ADH144" s="72"/>
      <c r="ADI144" s="72"/>
      <c r="ADJ144" s="72"/>
      <c r="ADK144" s="72"/>
      <c r="ADL144" s="72"/>
      <c r="ADM144" s="72"/>
      <c r="ADN144" s="72"/>
      <c r="ADO144" s="72"/>
      <c r="ADP144" s="72"/>
      <c r="ADQ144" s="72"/>
      <c r="ADR144" s="72"/>
      <c r="ADS144" s="72"/>
      <c r="ADT144" s="72"/>
      <c r="ADU144" s="72"/>
      <c r="ADV144" s="72"/>
      <c r="ADW144" s="72"/>
      <c r="ADX144" s="72"/>
      <c r="ADY144" s="72"/>
      <c r="ADZ144" s="72"/>
      <c r="AEA144" s="72"/>
      <c r="AEB144" s="72"/>
      <c r="AEC144" s="72"/>
      <c r="AED144" s="72"/>
      <c r="AEE144" s="72"/>
      <c r="AEF144" s="72"/>
      <c r="AEG144" s="72"/>
      <c r="AEH144" s="72"/>
      <c r="AEI144" s="72"/>
      <c r="AEJ144" s="72"/>
      <c r="AEK144" s="72"/>
      <c r="AEL144" s="72"/>
      <c r="AEM144" s="72"/>
      <c r="AEN144" s="72"/>
      <c r="AEO144" s="72"/>
      <c r="AEP144" s="72"/>
      <c r="AEQ144" s="72"/>
      <c r="AER144" s="72"/>
      <c r="AES144" s="72"/>
      <c r="AET144" s="72"/>
      <c r="AEU144" s="72"/>
      <c r="AEV144" s="72"/>
      <c r="AEW144" s="72"/>
      <c r="AEX144" s="72"/>
      <c r="AEY144" s="72"/>
      <c r="AEZ144" s="72"/>
      <c r="AFA144" s="72"/>
      <c r="AFB144" s="72"/>
      <c r="AFC144" s="72"/>
      <c r="AFD144" s="72"/>
      <c r="AFE144" s="72"/>
      <c r="AFF144" s="72"/>
      <c r="AFG144" s="72"/>
      <c r="AFH144" s="72"/>
      <c r="AFI144" s="72"/>
      <c r="AFJ144" s="72"/>
      <c r="AFK144" s="72"/>
      <c r="AFL144" s="72"/>
      <c r="AFM144" s="72"/>
      <c r="AFN144" s="72"/>
      <c r="AFO144" s="72"/>
      <c r="AFP144" s="72"/>
      <c r="AFQ144" s="72"/>
      <c r="AFR144" s="72"/>
      <c r="AFS144" s="72"/>
      <c r="AFT144" s="72"/>
      <c r="AFU144" s="72"/>
      <c r="AFV144" s="72"/>
      <c r="AFW144" s="72"/>
      <c r="AFX144" s="72"/>
      <c r="AFY144" s="72"/>
      <c r="AFZ144" s="72"/>
      <c r="AGA144" s="72"/>
      <c r="AGB144" s="72"/>
      <c r="AGC144" s="72"/>
      <c r="AGD144" s="72"/>
      <c r="AGE144" s="72"/>
      <c r="AGF144" s="72"/>
      <c r="AGG144" s="72"/>
      <c r="AGH144" s="72"/>
      <c r="AGI144" s="72"/>
      <c r="AGJ144" s="72"/>
      <c r="AGK144" s="72"/>
      <c r="AGL144" s="72"/>
      <c r="AGM144" s="72"/>
      <c r="AGN144" s="72"/>
      <c r="AGO144" s="72"/>
      <c r="AGP144" s="72"/>
      <c r="AGQ144" s="72"/>
      <c r="AGR144" s="72"/>
      <c r="AGS144" s="72"/>
      <c r="AGT144" s="72"/>
      <c r="AGU144" s="72"/>
      <c r="AGV144" s="72"/>
      <c r="AGW144" s="72"/>
      <c r="AGX144" s="72"/>
      <c r="AGY144" s="72"/>
      <c r="AGZ144" s="72"/>
      <c r="AHA144" s="72"/>
      <c r="AHB144" s="72"/>
      <c r="AHC144" s="72"/>
      <c r="AHD144" s="72"/>
      <c r="AHE144" s="72"/>
      <c r="AHF144" s="72"/>
      <c r="AHG144" s="72"/>
      <c r="AHH144" s="72"/>
      <c r="AHI144" s="72"/>
      <c r="AHJ144" s="72"/>
      <c r="AHK144" s="72"/>
      <c r="AHL144" s="72"/>
      <c r="AHM144" s="72"/>
      <c r="AHN144" s="72"/>
      <c r="AHO144" s="72"/>
      <c r="AHP144" s="72"/>
      <c r="AHQ144" s="72"/>
      <c r="AHR144" s="72"/>
      <c r="AHS144" s="72"/>
      <c r="AHT144" s="72"/>
      <c r="AHU144" s="72"/>
      <c r="AHV144" s="72"/>
      <c r="AHW144" s="72"/>
      <c r="AHX144" s="72"/>
      <c r="AHY144" s="72"/>
      <c r="AHZ144" s="72"/>
      <c r="AIA144" s="72"/>
      <c r="AIB144" s="72"/>
      <c r="AIC144" s="72"/>
      <c r="AID144" s="72"/>
      <c r="AIE144" s="72"/>
      <c r="AIF144" s="72"/>
      <c r="AIG144" s="72"/>
      <c r="AIH144" s="72"/>
      <c r="AII144" s="72"/>
      <c r="AIJ144" s="72"/>
      <c r="AIK144" s="72"/>
      <c r="AIL144" s="72"/>
      <c r="AIM144" s="72"/>
      <c r="AIN144" s="72"/>
      <c r="AIO144" s="72"/>
      <c r="AIP144" s="72"/>
      <c r="AIQ144" s="72"/>
      <c r="AIR144" s="72"/>
      <c r="AIS144" s="72"/>
      <c r="AIT144" s="72"/>
      <c r="AIU144" s="72"/>
      <c r="AIV144" s="72"/>
      <c r="AIW144" s="72"/>
      <c r="AIX144" s="72"/>
      <c r="AIY144" s="72"/>
      <c r="AIZ144" s="72"/>
      <c r="AJA144" s="72"/>
      <c r="AJB144" s="72"/>
      <c r="AJC144" s="72"/>
      <c r="AJD144" s="72"/>
      <c r="AJE144" s="72"/>
      <c r="AJF144" s="72"/>
      <c r="AJG144" s="72"/>
      <c r="AJH144" s="72"/>
      <c r="AJI144" s="72"/>
      <c r="AJJ144" s="72"/>
      <c r="AJK144" s="72"/>
      <c r="AJL144" s="72"/>
      <c r="AJM144" s="72"/>
      <c r="AJN144" s="72"/>
      <c r="AJO144" s="72"/>
      <c r="AJP144" s="72"/>
      <c r="AJQ144" s="72"/>
      <c r="AJR144" s="72"/>
      <c r="AJS144" s="72"/>
      <c r="AJT144" s="72"/>
      <c r="AJU144" s="72"/>
      <c r="AJV144" s="72"/>
      <c r="AJW144" s="72"/>
      <c r="AJX144" s="72"/>
      <c r="AJY144" s="72"/>
      <c r="AJZ144" s="72"/>
      <c r="AKA144" s="72"/>
      <c r="AKB144" s="72"/>
      <c r="AKC144" s="72"/>
      <c r="AKD144" s="72"/>
      <c r="AKE144" s="72"/>
      <c r="AKF144" s="72"/>
      <c r="AKG144" s="72"/>
      <c r="AKH144" s="72"/>
      <c r="AKI144" s="72"/>
      <c r="AKJ144" s="72"/>
      <c r="AKK144" s="72"/>
      <c r="AKL144" s="72"/>
      <c r="AKM144" s="72"/>
      <c r="AKN144" s="72"/>
      <c r="AKO144" s="72"/>
      <c r="AKP144" s="72"/>
      <c r="AKQ144" s="72"/>
      <c r="AKR144" s="72"/>
      <c r="AKS144" s="72"/>
      <c r="AKT144" s="72"/>
      <c r="AKU144" s="72"/>
      <c r="AKV144" s="72"/>
      <c r="AKW144" s="72"/>
      <c r="AKX144" s="72"/>
      <c r="AKY144" s="72"/>
      <c r="AKZ144" s="72"/>
      <c r="ALA144" s="72"/>
      <c r="ALB144" s="72"/>
      <c r="ALC144" s="72"/>
      <c r="ALD144" s="72"/>
      <c r="ALE144" s="72"/>
      <c r="ALF144" s="72"/>
      <c r="ALG144" s="72"/>
      <c r="ALH144" s="72"/>
      <c r="ALI144" s="72"/>
      <c r="ALJ144" s="72"/>
      <c r="ALK144" s="72"/>
      <c r="ALL144" s="72"/>
      <c r="ALM144" s="72"/>
      <c r="ALN144" s="72"/>
      <c r="ALO144" s="72"/>
      <c r="ALP144" s="72"/>
      <c r="ALQ144" s="72"/>
      <c r="ALR144" s="72"/>
      <c r="ALS144" s="72"/>
      <c r="ALT144" s="72"/>
      <c r="ALU144" s="72"/>
      <c r="ALV144" s="72"/>
      <c r="ALW144" s="72"/>
      <c r="ALX144" s="72"/>
      <c r="ALY144" s="72"/>
      <c r="ALZ144" s="72"/>
      <c r="AMA144" s="72"/>
      <c r="AMB144" s="72"/>
      <c r="AMC144" s="72"/>
      <c r="AMD144" s="72"/>
      <c r="AME144" s="72"/>
      <c r="AMF144" s="72"/>
      <c r="AMG144" s="72"/>
      <c r="AMH144" s="72"/>
      <c r="AMI144" s="72"/>
      <c r="AMJ144" s="72"/>
      <c r="AMK144" s="72"/>
      <c r="AML144" s="72"/>
      <c r="AMM144" s="72"/>
      <c r="AMN144" s="72"/>
      <c r="AMO144" s="72"/>
      <c r="AMP144" s="72"/>
      <c r="AMQ144" s="72"/>
      <c r="AMR144" s="72"/>
      <c r="AMS144" s="72"/>
      <c r="AMT144" s="72"/>
      <c r="AMU144" s="72"/>
      <c r="AMV144" s="72"/>
      <c r="AMW144" s="72"/>
      <c r="AMX144" s="72"/>
      <c r="AMY144" s="72"/>
      <c r="AMZ144" s="72"/>
      <c r="ANA144" s="72"/>
      <c r="ANB144" s="72"/>
      <c r="ANC144" s="72"/>
      <c r="AND144" s="72"/>
      <c r="ANE144" s="72"/>
      <c r="ANF144" s="72"/>
      <c r="ANG144" s="72"/>
      <c r="ANH144" s="72"/>
      <c r="ANI144" s="72"/>
      <c r="ANJ144" s="72"/>
      <c r="ANK144" s="72"/>
      <c r="ANL144" s="72"/>
      <c r="ANM144" s="72"/>
      <c r="ANN144" s="72"/>
      <c r="ANO144" s="72"/>
      <c r="ANP144" s="72"/>
      <c r="ANQ144" s="72"/>
      <c r="ANR144" s="72"/>
      <c r="ANS144" s="72"/>
      <c r="ANT144" s="72"/>
      <c r="ANU144" s="72"/>
      <c r="ANV144" s="72"/>
      <c r="ANW144" s="72"/>
      <c r="ANX144" s="72"/>
      <c r="ANY144" s="72"/>
      <c r="ANZ144" s="72"/>
      <c r="AOA144" s="72"/>
      <c r="AOB144" s="72"/>
      <c r="AOC144" s="72"/>
      <c r="AOD144" s="72"/>
      <c r="AOE144" s="72"/>
      <c r="AOF144" s="72"/>
      <c r="AOG144" s="72"/>
      <c r="AOH144" s="72"/>
      <c r="AOI144" s="72"/>
      <c r="AOJ144" s="72"/>
      <c r="AOK144" s="72"/>
      <c r="AOL144" s="72"/>
      <c r="AOM144" s="72"/>
      <c r="AON144" s="72"/>
      <c r="AOO144" s="72"/>
      <c r="AOP144" s="72"/>
      <c r="AOQ144" s="72"/>
      <c r="AOR144" s="72"/>
      <c r="AOS144" s="72"/>
      <c r="AOT144" s="72"/>
      <c r="AOU144" s="72"/>
      <c r="AOV144" s="72"/>
      <c r="AOW144" s="72"/>
      <c r="AOX144" s="72"/>
      <c r="AOY144" s="72"/>
      <c r="AOZ144" s="72"/>
      <c r="APA144" s="72"/>
      <c r="APB144" s="72"/>
      <c r="APC144" s="72"/>
      <c r="APD144" s="72"/>
      <c r="APE144" s="72"/>
      <c r="APF144" s="72"/>
      <c r="APG144" s="72"/>
      <c r="APH144" s="72"/>
      <c r="API144" s="72"/>
      <c r="APJ144" s="72"/>
      <c r="APK144" s="72"/>
      <c r="APL144" s="72"/>
      <c r="APM144" s="72"/>
      <c r="APN144" s="72"/>
      <c r="APO144" s="72"/>
      <c r="APP144" s="72"/>
      <c r="APQ144" s="72"/>
      <c r="APR144" s="72"/>
      <c r="APS144" s="72"/>
      <c r="APT144" s="72"/>
      <c r="APU144" s="72"/>
      <c r="APV144" s="72"/>
      <c r="APW144" s="72"/>
      <c r="APX144" s="72"/>
      <c r="APY144" s="72"/>
      <c r="APZ144" s="72"/>
      <c r="AQA144" s="72"/>
      <c r="AQB144" s="72"/>
      <c r="AQC144" s="72"/>
      <c r="AQD144" s="72"/>
      <c r="AQE144" s="72"/>
      <c r="AQF144" s="72"/>
      <c r="AQG144" s="72"/>
      <c r="AQH144" s="72"/>
      <c r="AQI144" s="72"/>
      <c r="AQJ144" s="72"/>
      <c r="AQK144" s="72"/>
      <c r="AQL144" s="72"/>
      <c r="AQM144" s="72"/>
      <c r="AQN144" s="72"/>
      <c r="AQO144" s="72"/>
      <c r="AQP144" s="72"/>
      <c r="AQQ144" s="72"/>
      <c r="AQR144" s="72"/>
      <c r="AQS144" s="72"/>
      <c r="AQT144" s="72"/>
      <c r="AQU144" s="72"/>
      <c r="AQV144" s="72"/>
      <c r="AQW144" s="72"/>
      <c r="AQX144" s="72"/>
      <c r="AQY144" s="72"/>
      <c r="AQZ144" s="72"/>
      <c r="ARA144" s="72"/>
      <c r="ARB144" s="72"/>
      <c r="ARC144" s="72"/>
      <c r="ARD144" s="72"/>
      <c r="ARE144" s="72"/>
      <c r="ARF144" s="72"/>
      <c r="ARG144" s="72"/>
      <c r="ARH144" s="72"/>
      <c r="ARI144" s="72"/>
      <c r="ARJ144" s="72"/>
      <c r="ARK144" s="72"/>
      <c r="ARL144" s="72"/>
      <c r="ARM144" s="72"/>
      <c r="ARN144" s="72"/>
      <c r="ARO144" s="72"/>
      <c r="ARP144" s="72"/>
      <c r="ARQ144" s="72"/>
      <c r="ARR144" s="72"/>
      <c r="ARS144" s="72"/>
      <c r="ART144" s="72"/>
      <c r="ARU144" s="72"/>
      <c r="ARV144" s="72"/>
      <c r="ARW144" s="72"/>
      <c r="ARX144" s="72"/>
      <c r="ARY144" s="72"/>
      <c r="ARZ144" s="72"/>
      <c r="ASA144" s="72"/>
      <c r="ASB144" s="72"/>
      <c r="ASC144" s="72"/>
      <c r="ASD144" s="72"/>
      <c r="ASE144" s="72"/>
      <c r="ASF144" s="72"/>
      <c r="ASG144" s="72"/>
      <c r="ASH144" s="72"/>
      <c r="ASI144" s="72"/>
      <c r="ASJ144" s="72"/>
      <c r="ASK144" s="72"/>
      <c r="ASL144" s="72"/>
      <c r="ASM144" s="72"/>
      <c r="ASN144" s="72"/>
      <c r="ASO144" s="72"/>
      <c r="ASP144" s="72"/>
      <c r="ASQ144" s="72"/>
      <c r="ASR144" s="72"/>
      <c r="ASS144" s="72"/>
      <c r="AST144" s="72"/>
      <c r="ASU144" s="72"/>
      <c r="ASV144" s="72"/>
      <c r="ASW144" s="72"/>
      <c r="ASX144" s="72"/>
      <c r="ASY144" s="72"/>
      <c r="ASZ144" s="72"/>
      <c r="ATA144" s="72"/>
      <c r="ATB144" s="72"/>
      <c r="ATC144" s="72"/>
      <c r="ATD144" s="72"/>
      <c r="ATE144" s="72"/>
      <c r="ATF144" s="72"/>
      <c r="ATG144" s="72"/>
      <c r="ATH144" s="72"/>
      <c r="ATI144" s="72"/>
      <c r="ATJ144" s="72"/>
      <c r="ATK144" s="72"/>
      <c r="ATL144" s="72"/>
      <c r="ATM144" s="72"/>
      <c r="ATN144" s="72"/>
      <c r="ATO144" s="72"/>
      <c r="ATP144" s="72"/>
      <c r="ATQ144" s="72"/>
      <c r="ATR144" s="72"/>
      <c r="ATS144" s="72"/>
      <c r="ATT144" s="72"/>
      <c r="ATU144" s="72"/>
      <c r="ATV144" s="72"/>
      <c r="ATW144" s="72"/>
      <c r="ATX144" s="72"/>
      <c r="ATY144" s="72"/>
      <c r="ATZ144" s="72"/>
      <c r="AUA144" s="72"/>
      <c r="AUB144" s="72"/>
      <c r="AUC144" s="72"/>
      <c r="AUD144" s="72"/>
      <c r="AUE144" s="72"/>
      <c r="AUF144" s="72"/>
      <c r="AUG144" s="72"/>
      <c r="AUH144" s="72"/>
      <c r="AUI144" s="72"/>
      <c r="AUJ144" s="72"/>
      <c r="AUK144" s="72"/>
      <c r="AUL144" s="72"/>
      <c r="AUM144" s="72"/>
      <c r="AUN144" s="72"/>
      <c r="AUO144" s="72"/>
      <c r="AUP144" s="72"/>
      <c r="AUQ144" s="72"/>
      <c r="AUR144" s="72"/>
      <c r="AUS144" s="72"/>
      <c r="AUT144" s="72"/>
      <c r="AUU144" s="72"/>
      <c r="AUV144" s="72"/>
      <c r="AUW144" s="72"/>
      <c r="AUX144" s="72"/>
      <c r="AUY144" s="72"/>
      <c r="AUZ144" s="72"/>
      <c r="AVA144" s="72"/>
      <c r="AVB144" s="72"/>
      <c r="AVC144" s="72"/>
      <c r="AVD144" s="72"/>
      <c r="AVE144" s="72"/>
      <c r="AVF144" s="72"/>
      <c r="AVG144" s="72"/>
      <c r="AVH144" s="72"/>
      <c r="AVI144" s="72"/>
      <c r="AVJ144" s="72"/>
      <c r="AVK144" s="72"/>
      <c r="AVL144" s="72"/>
      <c r="AVM144" s="72"/>
      <c r="AVN144" s="72"/>
      <c r="AVO144" s="72"/>
      <c r="AVP144" s="72"/>
      <c r="AVQ144" s="72"/>
      <c r="AVR144" s="72"/>
      <c r="AVS144" s="72"/>
      <c r="AVT144" s="72"/>
      <c r="AVU144" s="72"/>
      <c r="AVV144" s="72"/>
      <c r="AVW144" s="72"/>
      <c r="AVX144" s="72"/>
      <c r="AVY144" s="72"/>
      <c r="AVZ144" s="72"/>
      <c r="AWA144" s="72"/>
      <c r="AWB144" s="72"/>
      <c r="AWC144" s="72"/>
      <c r="AWD144" s="72"/>
      <c r="AWE144" s="72"/>
      <c r="AWF144" s="72"/>
      <c r="AWG144" s="72"/>
      <c r="AWH144" s="72"/>
      <c r="AWI144" s="72"/>
      <c r="AWJ144" s="72"/>
      <c r="AWK144" s="72"/>
      <c r="AWL144" s="72"/>
      <c r="AWM144" s="72"/>
      <c r="AWN144" s="72"/>
      <c r="AWO144" s="72"/>
      <c r="AWP144" s="72"/>
      <c r="AWQ144" s="72"/>
      <c r="AWR144" s="72"/>
      <c r="AWS144" s="72"/>
      <c r="AWT144" s="72"/>
      <c r="AWU144" s="72"/>
      <c r="AWV144" s="72"/>
      <c r="AWW144" s="72"/>
      <c r="AWX144" s="72"/>
      <c r="AWY144" s="72"/>
      <c r="AWZ144" s="72"/>
      <c r="AXA144" s="72"/>
      <c r="AXB144" s="72"/>
      <c r="AXC144" s="72"/>
      <c r="AXD144" s="72"/>
      <c r="AXE144" s="72"/>
      <c r="AXF144" s="72"/>
      <c r="AXG144" s="72"/>
      <c r="AXH144" s="72"/>
      <c r="AXI144" s="72"/>
      <c r="AXJ144" s="72"/>
      <c r="AXK144" s="72"/>
      <c r="AXL144" s="72"/>
      <c r="AXM144" s="72"/>
      <c r="AXN144" s="72"/>
      <c r="AXO144" s="72"/>
      <c r="AXP144" s="72"/>
      <c r="AXQ144" s="72"/>
      <c r="AXR144" s="72"/>
      <c r="AXS144" s="72"/>
      <c r="AXT144" s="72"/>
      <c r="AXU144" s="72"/>
      <c r="AXV144" s="72"/>
      <c r="AXW144" s="72"/>
      <c r="AXX144" s="72"/>
      <c r="AXY144" s="72"/>
      <c r="AXZ144" s="72"/>
      <c r="AYA144" s="72"/>
      <c r="AYB144" s="72"/>
      <c r="AYC144" s="72"/>
      <c r="AYD144" s="72"/>
      <c r="AYE144" s="72"/>
      <c r="AYF144" s="72"/>
      <c r="AYG144" s="72"/>
      <c r="AYH144" s="72"/>
      <c r="AYI144" s="72"/>
      <c r="AYJ144" s="72"/>
      <c r="AYK144" s="72"/>
      <c r="AYL144" s="72"/>
      <c r="AYM144" s="72"/>
      <c r="AYN144" s="72"/>
      <c r="AYO144" s="72"/>
      <c r="AYP144" s="72"/>
      <c r="AYQ144" s="72"/>
      <c r="AYR144" s="72"/>
      <c r="AYS144" s="72"/>
      <c r="AYT144" s="72"/>
      <c r="AYU144" s="72"/>
      <c r="AYV144" s="72"/>
      <c r="AYW144" s="72"/>
      <c r="AYX144" s="72"/>
      <c r="AYY144" s="72"/>
      <c r="AYZ144" s="72"/>
      <c r="AZA144" s="72"/>
      <c r="AZB144" s="72"/>
      <c r="AZC144" s="72"/>
      <c r="AZD144" s="72"/>
      <c r="AZE144" s="72"/>
      <c r="AZF144" s="72"/>
      <c r="AZG144" s="72"/>
      <c r="AZH144" s="72"/>
      <c r="AZI144" s="72"/>
      <c r="AZJ144" s="72"/>
      <c r="AZK144" s="72"/>
      <c r="AZL144" s="72"/>
      <c r="AZM144" s="72"/>
      <c r="AZN144" s="72"/>
      <c r="AZO144" s="72"/>
      <c r="AZP144" s="72"/>
      <c r="AZQ144" s="72"/>
      <c r="AZR144" s="72"/>
      <c r="AZS144" s="72"/>
      <c r="AZT144" s="72"/>
      <c r="AZU144" s="72"/>
      <c r="AZV144" s="72"/>
      <c r="AZW144" s="72"/>
      <c r="AZX144" s="72"/>
      <c r="AZY144" s="72"/>
      <c r="AZZ144" s="72"/>
      <c r="BAA144" s="72"/>
      <c r="BAB144" s="72"/>
      <c r="BAC144" s="72"/>
      <c r="BAD144" s="72"/>
      <c r="BAE144" s="72"/>
      <c r="BAF144" s="72"/>
      <c r="BAG144" s="72"/>
      <c r="BAH144" s="72"/>
      <c r="BAI144" s="72"/>
      <c r="BAJ144" s="72"/>
      <c r="BAK144" s="72"/>
      <c r="BAL144" s="72"/>
      <c r="BAM144" s="72"/>
      <c r="BAN144" s="72"/>
      <c r="BAO144" s="72"/>
      <c r="BAP144" s="72"/>
      <c r="BAQ144" s="72"/>
      <c r="BAR144" s="72"/>
      <c r="BAS144" s="72"/>
      <c r="BAT144" s="72"/>
      <c r="BAU144" s="72"/>
      <c r="BAV144" s="72"/>
      <c r="BAW144" s="72"/>
      <c r="BAX144" s="72"/>
      <c r="BAY144" s="72"/>
      <c r="BAZ144" s="72"/>
      <c r="BBA144" s="72"/>
      <c r="BBB144" s="72"/>
      <c r="BBC144" s="72"/>
      <c r="BBD144" s="72"/>
      <c r="BBE144" s="72"/>
      <c r="BBF144" s="72"/>
      <c r="BBG144" s="72"/>
      <c r="BBH144" s="72"/>
      <c r="BBI144" s="72"/>
      <c r="BBJ144" s="72"/>
      <c r="BBK144" s="72"/>
      <c r="BBL144" s="72"/>
      <c r="BBM144" s="72"/>
      <c r="BBN144" s="72"/>
      <c r="BBO144" s="72"/>
      <c r="BBP144" s="72"/>
      <c r="BBQ144" s="72"/>
      <c r="BBR144" s="72"/>
      <c r="BBS144" s="72"/>
      <c r="BBT144" s="72"/>
      <c r="BBU144" s="72"/>
      <c r="BBV144" s="72"/>
      <c r="BBW144" s="72"/>
      <c r="BBX144" s="72"/>
      <c r="BBY144" s="72"/>
      <c r="BBZ144" s="72"/>
      <c r="BCA144" s="72"/>
      <c r="BCB144" s="72"/>
      <c r="BCC144" s="72"/>
      <c r="BCD144" s="72"/>
      <c r="BCE144" s="72"/>
      <c r="BCF144" s="72"/>
      <c r="BCG144" s="72"/>
      <c r="BCH144" s="72"/>
      <c r="BCI144" s="72"/>
      <c r="BCJ144" s="72"/>
      <c r="BCK144" s="72"/>
      <c r="BCL144" s="72"/>
      <c r="BCM144" s="72"/>
      <c r="BCN144" s="72"/>
      <c r="BCO144" s="72"/>
      <c r="BCP144" s="72"/>
      <c r="BCQ144" s="72"/>
      <c r="BCR144" s="72"/>
      <c r="BCS144" s="72"/>
      <c r="BCT144" s="72"/>
      <c r="BCU144" s="72"/>
      <c r="BCV144" s="72"/>
      <c r="BCW144" s="72"/>
      <c r="BCX144" s="72"/>
      <c r="BCY144" s="72"/>
      <c r="BCZ144" s="72"/>
      <c r="BDA144" s="72"/>
      <c r="BDB144" s="72"/>
      <c r="BDC144" s="72"/>
      <c r="BDD144" s="72"/>
      <c r="BDE144" s="72"/>
      <c r="BDF144" s="72"/>
      <c r="BDG144" s="72"/>
      <c r="BDH144" s="72"/>
      <c r="BDI144" s="72"/>
      <c r="BDJ144" s="72"/>
      <c r="BDK144" s="72"/>
      <c r="BDL144" s="72"/>
      <c r="BDM144" s="72"/>
      <c r="BDN144" s="72"/>
      <c r="BDO144" s="72"/>
      <c r="BDP144" s="72"/>
      <c r="BDQ144" s="72"/>
      <c r="BDR144" s="72"/>
      <c r="BDS144" s="72"/>
      <c r="BDT144" s="72"/>
      <c r="BDU144" s="72"/>
      <c r="BDV144" s="72"/>
      <c r="BDW144" s="72"/>
      <c r="BDX144" s="72"/>
      <c r="BDY144" s="72"/>
      <c r="BDZ144" s="72"/>
      <c r="BEA144" s="72"/>
      <c r="BEB144" s="72"/>
      <c r="BEC144" s="72"/>
      <c r="BED144" s="72"/>
      <c r="BEE144" s="72"/>
      <c r="BEF144" s="72"/>
      <c r="BEG144" s="72"/>
      <c r="BEH144" s="72"/>
      <c r="BEI144" s="72"/>
      <c r="BEJ144" s="72"/>
      <c r="BEK144" s="72"/>
      <c r="BEL144" s="72"/>
      <c r="BEM144" s="72"/>
      <c r="BEN144" s="72"/>
      <c r="BEO144" s="72"/>
      <c r="BEP144" s="72"/>
      <c r="BEQ144" s="72"/>
      <c r="BER144" s="72"/>
      <c r="BES144" s="72"/>
      <c r="BET144" s="72"/>
      <c r="BEU144" s="72"/>
      <c r="BEV144" s="72"/>
      <c r="BEW144" s="72"/>
      <c r="BEX144" s="72"/>
      <c r="BEY144" s="72"/>
      <c r="BEZ144" s="72"/>
      <c r="BFA144" s="72"/>
      <c r="BFB144" s="72"/>
      <c r="BFC144" s="72"/>
      <c r="BFD144" s="72"/>
      <c r="BFE144" s="72"/>
      <c r="BFF144" s="72"/>
      <c r="BFG144" s="72"/>
      <c r="BFH144" s="72"/>
      <c r="BFI144" s="72"/>
      <c r="BFJ144" s="72"/>
      <c r="BFK144" s="72"/>
      <c r="BFL144" s="72"/>
      <c r="BFM144" s="72"/>
      <c r="BFN144" s="72"/>
      <c r="BFO144" s="72"/>
      <c r="BFP144" s="72"/>
      <c r="BFQ144" s="72"/>
      <c r="BFR144" s="72"/>
      <c r="BFS144" s="72"/>
      <c r="BFT144" s="72"/>
      <c r="BFU144" s="72"/>
      <c r="BFV144" s="72"/>
      <c r="BFW144" s="72"/>
      <c r="BFX144" s="72"/>
      <c r="BFY144" s="72"/>
      <c r="BFZ144" s="72"/>
      <c r="BGA144" s="72"/>
      <c r="BGB144" s="72"/>
      <c r="BGC144" s="72"/>
      <c r="BGD144" s="72"/>
      <c r="BGE144" s="72"/>
      <c r="BGF144" s="72"/>
      <c r="BGG144" s="72"/>
      <c r="BGH144" s="72"/>
      <c r="BGI144" s="72"/>
      <c r="BGJ144" s="72"/>
      <c r="BGK144" s="72"/>
      <c r="BGL144" s="72"/>
      <c r="BGM144" s="72"/>
      <c r="BGN144" s="72"/>
      <c r="BGO144" s="72"/>
      <c r="BGP144" s="72"/>
      <c r="BGQ144" s="72"/>
      <c r="BGR144" s="72"/>
      <c r="BGS144" s="72"/>
      <c r="BGT144" s="72"/>
      <c r="BGU144" s="72"/>
      <c r="BGV144" s="72"/>
      <c r="BGW144" s="72"/>
      <c r="BGX144" s="72"/>
      <c r="BGY144" s="72"/>
      <c r="BGZ144" s="72"/>
      <c r="BHA144" s="72"/>
      <c r="BHB144" s="72"/>
      <c r="BHC144" s="72"/>
      <c r="BHD144" s="72"/>
      <c r="BHE144" s="72"/>
      <c r="BHF144" s="72"/>
      <c r="BHG144" s="72"/>
      <c r="BHH144" s="72"/>
      <c r="BHI144" s="72"/>
      <c r="BHJ144" s="72"/>
      <c r="BHK144" s="72"/>
      <c r="BHL144" s="72"/>
      <c r="BHM144" s="72"/>
      <c r="BHN144" s="72"/>
      <c r="BHO144" s="72"/>
      <c r="BHP144" s="72"/>
      <c r="BHQ144" s="72"/>
      <c r="BHR144" s="72"/>
      <c r="BHS144" s="72"/>
      <c r="BHT144" s="72"/>
      <c r="BHU144" s="72"/>
      <c r="BHV144" s="72"/>
      <c r="BHW144" s="72"/>
      <c r="BHX144" s="72"/>
      <c r="BHY144" s="72"/>
      <c r="BHZ144" s="72"/>
      <c r="BIA144" s="72"/>
      <c r="BIB144" s="72"/>
      <c r="BIC144" s="72"/>
      <c r="BID144" s="72"/>
      <c r="BIE144" s="72"/>
      <c r="BIF144" s="72"/>
      <c r="BIG144" s="72"/>
      <c r="BIH144" s="72"/>
      <c r="BII144" s="72"/>
      <c r="BIJ144" s="72"/>
      <c r="BIK144" s="72"/>
      <c r="BIL144" s="72"/>
      <c r="BIM144" s="72"/>
      <c r="BIN144" s="72"/>
      <c r="BIO144" s="72"/>
      <c r="BIP144" s="72"/>
      <c r="BIQ144" s="72"/>
      <c r="BIR144" s="72"/>
      <c r="BIS144" s="72"/>
      <c r="BIT144" s="72"/>
      <c r="BIU144" s="72"/>
      <c r="BIV144" s="72"/>
      <c r="BIW144" s="72"/>
      <c r="BIX144" s="72"/>
      <c r="BIY144" s="72"/>
      <c r="BIZ144" s="72"/>
      <c r="BJA144" s="72"/>
      <c r="BJB144" s="72"/>
      <c r="BJC144" s="72"/>
      <c r="BJD144" s="72"/>
      <c r="BJE144" s="72"/>
      <c r="BJF144" s="72"/>
      <c r="BJG144" s="72"/>
      <c r="BJH144" s="72"/>
      <c r="BJI144" s="72"/>
      <c r="BJJ144" s="72"/>
      <c r="BJK144" s="72"/>
      <c r="BJL144" s="72"/>
      <c r="BJM144" s="72"/>
      <c r="BJN144" s="72"/>
      <c r="BJO144" s="72"/>
      <c r="BJP144" s="72"/>
      <c r="BJQ144" s="72"/>
      <c r="BJR144" s="72"/>
      <c r="BJS144" s="72"/>
      <c r="BJT144" s="72"/>
      <c r="BJU144" s="72"/>
      <c r="BJV144" s="72"/>
      <c r="BJW144" s="72"/>
      <c r="BJX144" s="72"/>
      <c r="BJY144" s="72"/>
      <c r="BJZ144" s="72"/>
      <c r="BKA144" s="72"/>
      <c r="BKB144" s="72"/>
      <c r="BKC144" s="72"/>
      <c r="BKD144" s="72"/>
      <c r="BKE144" s="72"/>
      <c r="BKF144" s="72"/>
      <c r="BKG144" s="72"/>
      <c r="BKH144" s="72"/>
      <c r="BKI144" s="72"/>
      <c r="BKJ144" s="72"/>
      <c r="BKK144" s="72"/>
      <c r="BKL144" s="72"/>
      <c r="BKM144" s="72"/>
      <c r="BKN144" s="72"/>
      <c r="BKO144" s="72"/>
      <c r="BKP144" s="72"/>
      <c r="BKQ144" s="72"/>
      <c r="BKR144" s="72"/>
      <c r="BKS144" s="72"/>
      <c r="BKT144" s="72"/>
      <c r="BKU144" s="72"/>
      <c r="BKV144" s="72"/>
      <c r="BKW144" s="72"/>
      <c r="BKX144" s="72"/>
      <c r="BKY144" s="72"/>
      <c r="BKZ144" s="72"/>
      <c r="BLA144" s="72"/>
      <c r="BLB144" s="72"/>
      <c r="BLC144" s="72"/>
      <c r="BLD144" s="72"/>
      <c r="BLE144" s="72"/>
      <c r="BLF144" s="72"/>
      <c r="BLG144" s="72"/>
      <c r="BLH144" s="72"/>
      <c r="BLI144" s="72"/>
      <c r="BLJ144" s="72"/>
      <c r="BLK144" s="72"/>
      <c r="BLL144" s="72"/>
      <c r="BLM144" s="72"/>
      <c r="BLN144" s="72"/>
      <c r="BLO144" s="72"/>
      <c r="BLP144" s="72"/>
      <c r="BLQ144" s="72"/>
      <c r="BLR144" s="72"/>
      <c r="BLS144" s="72"/>
      <c r="BLT144" s="72"/>
      <c r="BLU144" s="72"/>
      <c r="BLV144" s="72"/>
      <c r="BLW144" s="72"/>
      <c r="BLX144" s="72"/>
      <c r="BLY144" s="72"/>
      <c r="BLZ144" s="72"/>
      <c r="BMA144" s="72"/>
      <c r="BMB144" s="72"/>
      <c r="BMC144" s="72"/>
      <c r="BMD144" s="72"/>
      <c r="BME144" s="72"/>
      <c r="BMF144" s="72"/>
      <c r="BMG144" s="72"/>
      <c r="BMH144" s="72"/>
      <c r="BMI144" s="72"/>
      <c r="BMJ144" s="72"/>
      <c r="BMK144" s="72"/>
      <c r="BML144" s="72"/>
      <c r="BMM144" s="72"/>
      <c r="BMN144" s="72"/>
      <c r="BMO144" s="72"/>
      <c r="BMP144" s="72"/>
      <c r="BMQ144" s="72"/>
      <c r="BMR144" s="72"/>
      <c r="BMS144" s="72"/>
      <c r="BMT144" s="72"/>
      <c r="BMU144" s="72"/>
      <c r="BMV144" s="72"/>
      <c r="BMW144" s="72"/>
      <c r="BMX144" s="72"/>
      <c r="BMY144" s="72"/>
      <c r="BMZ144" s="72"/>
      <c r="BNA144" s="72"/>
      <c r="BNB144" s="72"/>
      <c r="BNC144" s="72"/>
      <c r="BND144" s="72"/>
      <c r="BNE144" s="72"/>
      <c r="BNF144" s="72"/>
      <c r="BNG144" s="72"/>
      <c r="BNH144" s="72"/>
      <c r="BNI144" s="72"/>
      <c r="BNJ144" s="72"/>
      <c r="BNK144" s="72"/>
      <c r="BNL144" s="72"/>
      <c r="BNM144" s="72"/>
      <c r="BNN144" s="72"/>
      <c r="BNO144" s="72"/>
      <c r="BNP144" s="72"/>
      <c r="BNQ144" s="72"/>
      <c r="BNR144" s="72"/>
      <c r="BNS144" s="72"/>
      <c r="BNT144" s="72"/>
      <c r="BNU144" s="72"/>
      <c r="BNV144" s="72"/>
      <c r="BNW144" s="72"/>
      <c r="BNX144" s="72"/>
      <c r="BNY144" s="72"/>
      <c r="BNZ144" s="72"/>
      <c r="BOA144" s="72"/>
      <c r="BOB144" s="72"/>
      <c r="BOC144" s="72"/>
      <c r="BOD144" s="72"/>
      <c r="BOE144" s="72"/>
      <c r="BOF144" s="72"/>
      <c r="BOG144" s="72"/>
      <c r="BOH144" s="72"/>
      <c r="BOI144" s="72"/>
      <c r="BOJ144" s="72"/>
      <c r="BOK144" s="72"/>
      <c r="BOL144" s="72"/>
      <c r="BOM144" s="72"/>
      <c r="BON144" s="72"/>
      <c r="BOO144" s="72"/>
      <c r="BOP144" s="72"/>
      <c r="BOQ144" s="72"/>
      <c r="BOR144" s="72"/>
      <c r="BOS144" s="72"/>
      <c r="BOT144" s="72"/>
      <c r="BOU144" s="72"/>
      <c r="BOV144" s="72"/>
      <c r="BOW144" s="72"/>
      <c r="BOX144" s="72"/>
      <c r="BOY144" s="72"/>
      <c r="BOZ144" s="72"/>
      <c r="BPA144" s="72"/>
      <c r="BPB144" s="72"/>
      <c r="BPC144" s="72"/>
      <c r="BPD144" s="72"/>
      <c r="BPE144" s="72"/>
      <c r="BPF144" s="72"/>
      <c r="BPG144" s="72"/>
      <c r="BPH144" s="72"/>
      <c r="BPI144" s="72"/>
      <c r="BPJ144" s="72"/>
      <c r="BPK144" s="72"/>
      <c r="BPL144" s="72"/>
      <c r="BPM144" s="72"/>
      <c r="BPN144" s="72"/>
      <c r="BPO144" s="72"/>
      <c r="BPP144" s="72"/>
      <c r="BPQ144" s="72"/>
      <c r="BPR144" s="72"/>
      <c r="BPS144" s="72"/>
      <c r="BPT144" s="72"/>
      <c r="BPU144" s="72"/>
      <c r="BPV144" s="72"/>
      <c r="BPW144" s="72"/>
      <c r="BPX144" s="72"/>
      <c r="BPY144" s="72"/>
      <c r="BPZ144" s="72"/>
      <c r="BQA144" s="72"/>
      <c r="BQB144" s="72"/>
      <c r="BQC144" s="72"/>
      <c r="BQD144" s="72"/>
      <c r="BQE144" s="72"/>
      <c r="BQF144" s="72"/>
      <c r="BQG144" s="72"/>
      <c r="BQH144" s="72"/>
      <c r="BQI144" s="72"/>
      <c r="BQJ144" s="72"/>
      <c r="BQK144" s="72"/>
      <c r="BQL144" s="72"/>
      <c r="BQM144" s="72"/>
      <c r="BQN144" s="72"/>
      <c r="BQO144" s="72"/>
      <c r="BQP144" s="72"/>
      <c r="BQQ144" s="72"/>
      <c r="BQR144" s="72"/>
      <c r="BQS144" s="72"/>
      <c r="BQT144" s="72"/>
      <c r="BQU144" s="72"/>
      <c r="BQV144" s="72"/>
      <c r="BQW144" s="72"/>
      <c r="BQX144" s="72"/>
      <c r="BQY144" s="72"/>
      <c r="BQZ144" s="72"/>
      <c r="BRA144" s="72"/>
      <c r="BRB144" s="72"/>
      <c r="BRC144" s="72"/>
      <c r="BRD144" s="72"/>
      <c r="BRE144" s="72"/>
      <c r="BRF144" s="72"/>
      <c r="BRG144" s="72"/>
      <c r="BRH144" s="72"/>
      <c r="BRI144" s="72"/>
      <c r="BRJ144" s="72"/>
      <c r="BRK144" s="72"/>
      <c r="BRL144" s="72"/>
      <c r="BRM144" s="72"/>
      <c r="BRN144" s="72"/>
      <c r="BRO144" s="72"/>
      <c r="BRP144" s="72"/>
      <c r="BRQ144" s="72"/>
      <c r="BRR144" s="72"/>
      <c r="BRS144" s="72"/>
      <c r="BRT144" s="72"/>
      <c r="BRU144" s="72"/>
      <c r="BRV144" s="72"/>
      <c r="BRW144" s="72"/>
      <c r="BRX144" s="72"/>
      <c r="BRY144" s="72"/>
      <c r="BRZ144" s="72"/>
      <c r="BSA144" s="72"/>
      <c r="BSB144" s="72"/>
      <c r="BSC144" s="72"/>
      <c r="BSD144" s="72"/>
      <c r="BSE144" s="72"/>
      <c r="BSF144" s="72"/>
      <c r="BSG144" s="72"/>
      <c r="BSH144" s="72"/>
      <c r="BSI144" s="72"/>
      <c r="BSJ144" s="72"/>
      <c r="BSK144" s="72"/>
      <c r="BSL144" s="72"/>
      <c r="BSM144" s="72"/>
      <c r="BSN144" s="72"/>
      <c r="BSO144" s="72"/>
      <c r="BSP144" s="72"/>
      <c r="BSQ144" s="72"/>
      <c r="BSR144" s="72"/>
      <c r="BSS144" s="72"/>
      <c r="BST144" s="72"/>
      <c r="BSU144" s="72"/>
      <c r="BSV144" s="72"/>
      <c r="BSW144" s="72"/>
      <c r="BSX144" s="72"/>
      <c r="BSY144" s="72"/>
      <c r="BSZ144" s="72"/>
      <c r="BTA144" s="72"/>
      <c r="BTB144" s="72"/>
      <c r="BTC144" s="72"/>
      <c r="BTD144" s="72"/>
      <c r="BTE144" s="72"/>
      <c r="BTF144" s="72"/>
      <c r="BTG144" s="72"/>
      <c r="BTH144" s="72"/>
      <c r="BTI144" s="72"/>
      <c r="BTJ144" s="72"/>
      <c r="BTK144" s="72"/>
      <c r="BTL144" s="72"/>
      <c r="BTM144" s="72"/>
      <c r="BTN144" s="72"/>
      <c r="BTO144" s="72"/>
      <c r="BTP144" s="72"/>
      <c r="BTQ144" s="72"/>
      <c r="BTR144" s="72"/>
      <c r="BTS144" s="72"/>
      <c r="BTT144" s="72"/>
      <c r="BTU144" s="72"/>
      <c r="BTV144" s="72"/>
      <c r="BTW144" s="72"/>
      <c r="BTX144" s="72"/>
      <c r="BTY144" s="72"/>
      <c r="BTZ144" s="72"/>
      <c r="BUA144" s="72"/>
      <c r="BUB144" s="72"/>
      <c r="BUC144" s="72"/>
      <c r="BUD144" s="72"/>
      <c r="BUE144" s="72"/>
      <c r="BUF144" s="72"/>
      <c r="BUG144" s="72"/>
      <c r="BUH144" s="72"/>
      <c r="BUI144" s="72"/>
      <c r="BUJ144" s="72"/>
      <c r="BUK144" s="72"/>
      <c r="BUL144" s="72"/>
      <c r="BUM144" s="72"/>
      <c r="BUN144" s="72"/>
      <c r="BUO144" s="72"/>
      <c r="BUP144" s="72"/>
      <c r="BUQ144" s="72"/>
      <c r="BUR144" s="72"/>
      <c r="BUS144" s="72"/>
      <c r="BUT144" s="72"/>
      <c r="BUU144" s="72"/>
      <c r="BUV144" s="72"/>
      <c r="BUW144" s="72"/>
      <c r="BUX144" s="72"/>
      <c r="BUY144" s="72"/>
      <c r="BUZ144" s="72"/>
      <c r="BVA144" s="72"/>
      <c r="BVB144" s="72"/>
      <c r="BVC144" s="72"/>
      <c r="BVD144" s="72"/>
      <c r="BVE144" s="72"/>
      <c r="BVF144" s="72"/>
      <c r="BVG144" s="72"/>
      <c r="BVH144" s="72"/>
      <c r="BVI144" s="72"/>
      <c r="BVJ144" s="72"/>
      <c r="BVK144" s="72"/>
      <c r="BVL144" s="72"/>
      <c r="BVM144" s="72"/>
      <c r="BVN144" s="72"/>
      <c r="BVO144" s="72"/>
      <c r="BVP144" s="72"/>
      <c r="BVQ144" s="72"/>
      <c r="BVR144" s="72"/>
      <c r="BVS144" s="72"/>
      <c r="BVT144" s="72"/>
      <c r="BVU144" s="72"/>
      <c r="BVV144" s="72"/>
      <c r="BVW144" s="72"/>
      <c r="BVX144" s="72"/>
      <c r="BVY144" s="72"/>
      <c r="BVZ144" s="72"/>
      <c r="BWA144" s="72"/>
      <c r="BWB144" s="72"/>
      <c r="BWC144" s="72"/>
      <c r="BWD144" s="72"/>
      <c r="BWE144" s="72"/>
      <c r="BWF144" s="72"/>
      <c r="BWG144" s="72"/>
      <c r="BWH144" s="72"/>
      <c r="BWI144" s="72"/>
      <c r="BWJ144" s="72"/>
      <c r="BWK144" s="72"/>
      <c r="BWL144" s="72"/>
      <c r="BWM144" s="72"/>
      <c r="BWN144" s="72"/>
      <c r="BWO144" s="72"/>
      <c r="BWP144" s="72"/>
      <c r="BWQ144" s="72"/>
      <c r="BWR144" s="72"/>
      <c r="BWS144" s="72"/>
      <c r="BWT144" s="72"/>
      <c r="BWU144" s="72"/>
      <c r="BWV144" s="72"/>
      <c r="BWW144" s="72"/>
      <c r="BWX144" s="72"/>
      <c r="BWY144" s="72"/>
      <c r="BWZ144" s="72"/>
      <c r="BXA144" s="72"/>
      <c r="BXB144" s="72"/>
      <c r="BXC144" s="72"/>
      <c r="BXD144" s="72"/>
      <c r="BXE144" s="72"/>
      <c r="BXF144" s="72"/>
      <c r="BXG144" s="72"/>
      <c r="BXH144" s="72"/>
      <c r="BXI144" s="72"/>
      <c r="BXJ144" s="72"/>
      <c r="BXK144" s="72"/>
      <c r="BXL144" s="72"/>
      <c r="BXM144" s="72"/>
      <c r="BXN144" s="72"/>
      <c r="BXO144" s="72"/>
      <c r="BXP144" s="72"/>
      <c r="BXQ144" s="72"/>
      <c r="BXR144" s="72"/>
      <c r="BXS144" s="72"/>
      <c r="BXT144" s="72"/>
      <c r="BXU144" s="72"/>
      <c r="BXV144" s="72"/>
      <c r="BXW144" s="72"/>
      <c r="BXX144" s="72"/>
      <c r="BXY144" s="72"/>
      <c r="BXZ144" s="72"/>
      <c r="BYA144" s="72"/>
      <c r="BYB144" s="72"/>
      <c r="BYC144" s="72"/>
      <c r="BYD144" s="72"/>
      <c r="BYE144" s="72"/>
      <c r="BYF144" s="72"/>
      <c r="BYG144" s="72"/>
      <c r="BYH144" s="72"/>
      <c r="BYI144" s="72"/>
      <c r="BYJ144" s="72"/>
      <c r="BYK144" s="72"/>
      <c r="BYL144" s="72"/>
      <c r="BYM144" s="72"/>
      <c r="BYN144" s="72"/>
      <c r="BYO144" s="72"/>
      <c r="BYP144" s="72"/>
      <c r="BYQ144" s="72"/>
      <c r="BYR144" s="72"/>
      <c r="BYS144" s="72"/>
      <c r="BYT144" s="72"/>
      <c r="BYU144" s="72"/>
      <c r="BYV144" s="72"/>
      <c r="BYW144" s="72"/>
      <c r="BYX144" s="72"/>
      <c r="BYY144" s="72"/>
      <c r="BYZ144" s="72"/>
      <c r="BZA144" s="72"/>
      <c r="BZB144" s="72"/>
      <c r="BZC144" s="72"/>
      <c r="BZD144" s="72"/>
      <c r="BZE144" s="72"/>
      <c r="BZF144" s="72"/>
      <c r="BZG144" s="72"/>
      <c r="BZH144" s="72"/>
      <c r="BZI144" s="72"/>
      <c r="BZJ144" s="72"/>
      <c r="BZK144" s="72"/>
      <c r="BZL144" s="72"/>
      <c r="BZM144" s="72"/>
      <c r="BZN144" s="72"/>
      <c r="BZO144" s="72"/>
      <c r="BZP144" s="72"/>
      <c r="BZQ144" s="72"/>
      <c r="BZR144" s="72"/>
      <c r="BZS144" s="72"/>
      <c r="BZT144" s="72"/>
      <c r="BZU144" s="72"/>
      <c r="BZV144" s="72"/>
      <c r="BZW144" s="72"/>
      <c r="BZX144" s="72"/>
      <c r="BZY144" s="72"/>
      <c r="BZZ144" s="72"/>
      <c r="CAA144" s="72"/>
      <c r="CAB144" s="72"/>
      <c r="CAC144" s="72"/>
      <c r="CAD144" s="72"/>
      <c r="CAE144" s="72"/>
      <c r="CAF144" s="72"/>
      <c r="CAG144" s="72"/>
      <c r="CAH144" s="72"/>
      <c r="CAI144" s="72"/>
      <c r="CAJ144" s="72"/>
      <c r="CAK144" s="72"/>
      <c r="CAL144" s="72"/>
      <c r="CAM144" s="72"/>
      <c r="CAN144" s="72"/>
      <c r="CAO144" s="72"/>
      <c r="CAP144" s="72"/>
      <c r="CAQ144" s="72"/>
      <c r="CAR144" s="72"/>
      <c r="CAS144" s="72"/>
      <c r="CAT144" s="72"/>
      <c r="CAU144" s="72"/>
      <c r="CAV144" s="72"/>
      <c r="CAW144" s="72"/>
      <c r="CAX144" s="72"/>
      <c r="CAY144" s="72"/>
      <c r="CAZ144" s="72"/>
      <c r="CBA144" s="72"/>
      <c r="CBB144" s="72"/>
      <c r="CBC144" s="72"/>
      <c r="CBD144" s="72"/>
      <c r="CBE144" s="72"/>
      <c r="CBF144" s="72"/>
      <c r="CBG144" s="72"/>
      <c r="CBH144" s="72"/>
      <c r="CBI144" s="72"/>
      <c r="CBJ144" s="72"/>
      <c r="CBK144" s="72"/>
      <c r="CBL144" s="72"/>
      <c r="CBM144" s="72"/>
      <c r="CBN144" s="72"/>
      <c r="CBO144" s="72"/>
      <c r="CBP144" s="72"/>
      <c r="CBQ144" s="72"/>
      <c r="CBR144" s="72"/>
      <c r="CBS144" s="72"/>
      <c r="CBT144" s="72"/>
      <c r="CBU144" s="72"/>
      <c r="CBV144" s="72"/>
      <c r="CBW144" s="72"/>
      <c r="CBX144" s="72"/>
      <c r="CBY144" s="72"/>
      <c r="CBZ144" s="72"/>
      <c r="CCA144" s="72"/>
      <c r="CCB144" s="72"/>
      <c r="CCC144" s="72"/>
      <c r="CCD144" s="72"/>
      <c r="CCE144" s="72"/>
      <c r="CCF144" s="72"/>
      <c r="CCG144" s="72"/>
      <c r="CCH144" s="72"/>
      <c r="CCI144" s="72"/>
      <c r="CCJ144" s="72"/>
      <c r="CCK144" s="72"/>
      <c r="CCL144" s="72"/>
      <c r="CCM144" s="72"/>
      <c r="CCN144" s="72"/>
      <c r="CCO144" s="72"/>
      <c r="CCP144" s="72"/>
      <c r="CCQ144" s="72"/>
      <c r="CCR144" s="72"/>
      <c r="CCS144" s="72"/>
      <c r="CCT144" s="72"/>
      <c r="CCU144" s="72"/>
      <c r="CCV144" s="72"/>
      <c r="CCW144" s="72"/>
      <c r="CCX144" s="72"/>
      <c r="CCY144" s="72"/>
      <c r="CCZ144" s="72"/>
      <c r="CDA144" s="72"/>
      <c r="CDB144" s="72"/>
      <c r="CDC144" s="72"/>
      <c r="CDD144" s="72"/>
      <c r="CDE144" s="72"/>
      <c r="CDF144" s="72"/>
      <c r="CDG144" s="72"/>
      <c r="CDH144" s="72"/>
      <c r="CDI144" s="72"/>
      <c r="CDJ144" s="72"/>
      <c r="CDK144" s="72"/>
      <c r="CDL144" s="72"/>
      <c r="CDM144" s="72"/>
      <c r="CDN144" s="72"/>
      <c r="CDO144" s="72"/>
      <c r="CDP144" s="72"/>
      <c r="CDQ144" s="72"/>
      <c r="CDR144" s="72"/>
      <c r="CDS144" s="72"/>
      <c r="CDT144" s="72"/>
      <c r="CDU144" s="72"/>
      <c r="CDV144" s="72"/>
      <c r="CDW144" s="72"/>
      <c r="CDX144" s="72"/>
      <c r="CDY144" s="72"/>
      <c r="CDZ144" s="72"/>
      <c r="CEA144" s="72"/>
      <c r="CEB144" s="72"/>
      <c r="CEC144" s="72"/>
      <c r="CED144" s="72"/>
      <c r="CEE144" s="72"/>
      <c r="CEF144" s="72"/>
      <c r="CEG144" s="72"/>
      <c r="CEH144" s="72"/>
      <c r="CEI144" s="72"/>
      <c r="CEJ144" s="72"/>
      <c r="CEK144" s="72"/>
      <c r="CEL144" s="72"/>
      <c r="CEM144" s="72"/>
      <c r="CEN144" s="72"/>
      <c r="CEO144" s="72"/>
      <c r="CEP144" s="72"/>
      <c r="CEQ144" s="72"/>
      <c r="CER144" s="72"/>
      <c r="CES144" s="72"/>
      <c r="CET144" s="72"/>
      <c r="CEU144" s="72"/>
      <c r="CEV144" s="72"/>
      <c r="CEW144" s="72"/>
      <c r="CEX144" s="72"/>
      <c r="CEY144" s="72"/>
      <c r="CEZ144" s="72"/>
      <c r="CFA144" s="72"/>
      <c r="CFB144" s="72"/>
      <c r="CFC144" s="72"/>
      <c r="CFD144" s="72"/>
      <c r="CFE144" s="72"/>
      <c r="CFF144" s="72"/>
      <c r="CFG144" s="72"/>
      <c r="CFH144" s="72"/>
      <c r="CFI144" s="72"/>
      <c r="CFJ144" s="72"/>
      <c r="CFK144" s="72"/>
      <c r="CFL144" s="72"/>
      <c r="CFM144" s="72"/>
      <c r="CFN144" s="72"/>
      <c r="CFO144" s="72"/>
      <c r="CFP144" s="72"/>
      <c r="CFQ144" s="72"/>
      <c r="CFR144" s="72"/>
      <c r="CFS144" s="72"/>
      <c r="CFT144" s="72"/>
      <c r="CFU144" s="72"/>
      <c r="CFV144" s="72"/>
      <c r="CFW144" s="72"/>
      <c r="CFX144" s="72"/>
      <c r="CFY144" s="72"/>
      <c r="CFZ144" s="72"/>
      <c r="CGA144" s="72"/>
      <c r="CGB144" s="72"/>
      <c r="CGC144" s="72"/>
      <c r="CGD144" s="72"/>
      <c r="CGE144" s="72"/>
      <c r="CGF144" s="72"/>
      <c r="CGG144" s="72"/>
      <c r="CGH144" s="72"/>
      <c r="CGI144" s="72"/>
      <c r="CGJ144" s="72"/>
      <c r="CGK144" s="72"/>
      <c r="CGL144" s="72"/>
      <c r="CGM144" s="72"/>
      <c r="CGN144" s="72"/>
      <c r="CGO144" s="72"/>
      <c r="CGP144" s="72"/>
      <c r="CGQ144" s="72"/>
      <c r="CGR144" s="72"/>
      <c r="CGS144" s="72"/>
      <c r="CGT144" s="72"/>
      <c r="CGU144" s="72"/>
      <c r="CGV144" s="72"/>
      <c r="CGW144" s="72"/>
      <c r="CGX144" s="72"/>
      <c r="CGY144" s="72"/>
      <c r="CGZ144" s="72"/>
      <c r="CHA144" s="72"/>
      <c r="CHB144" s="72"/>
      <c r="CHC144" s="72"/>
      <c r="CHD144" s="72"/>
      <c r="CHE144" s="72"/>
      <c r="CHF144" s="72"/>
      <c r="CHG144" s="72"/>
      <c r="CHH144" s="72"/>
      <c r="CHI144" s="72"/>
      <c r="CHJ144" s="72"/>
      <c r="CHK144" s="72"/>
      <c r="CHL144" s="72"/>
      <c r="CHM144" s="72"/>
      <c r="CHN144" s="72"/>
      <c r="CHO144" s="72"/>
      <c r="CHP144" s="72"/>
      <c r="CHQ144" s="72"/>
      <c r="CHR144" s="72"/>
      <c r="CHS144" s="72"/>
      <c r="CHT144" s="72"/>
      <c r="CHU144" s="72"/>
      <c r="CHV144" s="72"/>
      <c r="CHW144" s="72"/>
      <c r="CHX144" s="72"/>
      <c r="CHY144" s="72"/>
      <c r="CHZ144" s="72"/>
      <c r="CIA144" s="72"/>
      <c r="CIB144" s="72"/>
      <c r="CIC144" s="72"/>
      <c r="CID144" s="72"/>
      <c r="CIE144" s="72"/>
      <c r="CIF144" s="72"/>
      <c r="CIG144" s="72"/>
      <c r="CIH144" s="72"/>
      <c r="CII144" s="72"/>
      <c r="CIJ144" s="72"/>
      <c r="CIK144" s="72"/>
      <c r="CIL144" s="72"/>
      <c r="CIM144" s="72"/>
      <c r="CIN144" s="72"/>
      <c r="CIO144" s="72"/>
      <c r="CIP144" s="72"/>
      <c r="CIQ144" s="72"/>
      <c r="CIR144" s="72"/>
      <c r="CIS144" s="72"/>
      <c r="CIT144" s="72"/>
      <c r="CIU144" s="72"/>
      <c r="CIV144" s="72"/>
      <c r="CIW144" s="72"/>
      <c r="CIX144" s="72"/>
      <c r="CIY144" s="72"/>
      <c r="CIZ144" s="72"/>
      <c r="CJA144" s="72"/>
      <c r="CJB144" s="72"/>
      <c r="CJC144" s="72"/>
      <c r="CJD144" s="72"/>
      <c r="CJE144" s="72"/>
      <c r="CJF144" s="72"/>
      <c r="CJG144" s="72"/>
      <c r="CJH144" s="72"/>
      <c r="CJI144" s="72"/>
      <c r="CJJ144" s="72"/>
      <c r="CJK144" s="72"/>
      <c r="CJL144" s="72"/>
      <c r="CJM144" s="72"/>
      <c r="CJN144" s="72"/>
      <c r="CJO144" s="72"/>
      <c r="CJP144" s="72"/>
      <c r="CJQ144" s="72"/>
      <c r="CJR144" s="72"/>
      <c r="CJS144" s="72"/>
      <c r="CJT144" s="72"/>
      <c r="CJU144" s="72"/>
      <c r="CJV144" s="72"/>
      <c r="CJW144" s="72"/>
      <c r="CJX144" s="72"/>
      <c r="CJY144" s="72"/>
      <c r="CJZ144" s="72"/>
      <c r="CKA144" s="72"/>
      <c r="CKB144" s="72"/>
      <c r="CKC144" s="72"/>
      <c r="CKD144" s="72"/>
      <c r="CKE144" s="72"/>
      <c r="CKF144" s="72"/>
      <c r="CKG144" s="72"/>
      <c r="CKH144" s="72"/>
      <c r="CKI144" s="72"/>
      <c r="CKJ144" s="72"/>
      <c r="CKK144" s="72"/>
      <c r="CKL144" s="72"/>
      <c r="CKM144" s="72"/>
      <c r="CKN144" s="72"/>
      <c r="CKO144" s="72"/>
      <c r="CKP144" s="72"/>
      <c r="CKQ144" s="72"/>
      <c r="CKR144" s="72"/>
      <c r="CKS144" s="72"/>
      <c r="CKT144" s="72"/>
      <c r="CKU144" s="72"/>
      <c r="CKV144" s="72"/>
      <c r="CKW144" s="72"/>
      <c r="CKX144" s="72"/>
      <c r="CKY144" s="72"/>
      <c r="CKZ144" s="72"/>
      <c r="CLA144" s="72"/>
      <c r="CLB144" s="72"/>
      <c r="CLC144" s="72"/>
      <c r="CLD144" s="72"/>
      <c r="CLE144" s="72"/>
      <c r="CLF144" s="72"/>
      <c r="CLG144" s="72"/>
      <c r="CLH144" s="72"/>
      <c r="CLI144" s="72"/>
      <c r="CLJ144" s="72"/>
      <c r="CLK144" s="72"/>
      <c r="CLL144" s="72"/>
      <c r="CLM144" s="72"/>
      <c r="CLN144" s="72"/>
      <c r="CLO144" s="72"/>
      <c r="CLP144" s="72"/>
      <c r="CLQ144" s="72"/>
      <c r="CLR144" s="72"/>
      <c r="CLS144" s="72"/>
      <c r="CLT144" s="72"/>
      <c r="CLU144" s="72"/>
      <c r="CLV144" s="72"/>
      <c r="CLW144" s="72"/>
      <c r="CLX144" s="72"/>
      <c r="CLY144" s="72"/>
      <c r="CLZ144" s="72"/>
      <c r="CMA144" s="72"/>
      <c r="CMB144" s="72"/>
      <c r="CMC144" s="72"/>
      <c r="CMD144" s="72"/>
      <c r="CME144" s="72"/>
      <c r="CMF144" s="72"/>
      <c r="CMG144" s="72"/>
      <c r="CMH144" s="72"/>
      <c r="CMI144" s="72"/>
      <c r="CMJ144" s="72"/>
      <c r="CMK144" s="72"/>
      <c r="CML144" s="72"/>
      <c r="CMM144" s="72"/>
      <c r="CMN144" s="72"/>
      <c r="CMO144" s="72"/>
      <c r="CMP144" s="72"/>
      <c r="CMQ144" s="72"/>
      <c r="CMR144" s="72"/>
      <c r="CMS144" s="72"/>
      <c r="CMT144" s="72"/>
      <c r="CMU144" s="72"/>
      <c r="CMV144" s="72"/>
      <c r="CMW144" s="72"/>
      <c r="CMX144" s="72"/>
      <c r="CMY144" s="72"/>
      <c r="CMZ144" s="72"/>
      <c r="CNA144" s="72"/>
      <c r="CNB144" s="72"/>
      <c r="CNC144" s="72"/>
      <c r="CND144" s="72"/>
      <c r="CNE144" s="72"/>
      <c r="CNF144" s="72"/>
      <c r="CNG144" s="72"/>
      <c r="CNH144" s="72"/>
      <c r="CNI144" s="72"/>
      <c r="CNJ144" s="72"/>
      <c r="CNK144" s="72"/>
      <c r="CNL144" s="72"/>
      <c r="CNM144" s="72"/>
      <c r="CNN144" s="72"/>
      <c r="CNO144" s="72"/>
      <c r="CNP144" s="72"/>
      <c r="CNQ144" s="72"/>
      <c r="CNR144" s="72"/>
      <c r="CNS144" s="72"/>
      <c r="CNT144" s="72"/>
      <c r="CNU144" s="72"/>
      <c r="CNV144" s="72"/>
      <c r="CNW144" s="72"/>
      <c r="CNX144" s="72"/>
      <c r="CNY144" s="72"/>
      <c r="CNZ144" s="72"/>
      <c r="COA144" s="72"/>
      <c r="COB144" s="72"/>
      <c r="COC144" s="72"/>
      <c r="COD144" s="72"/>
      <c r="COE144" s="72"/>
      <c r="COF144" s="72"/>
      <c r="COG144" s="72"/>
      <c r="COH144" s="72"/>
      <c r="COI144" s="72"/>
      <c r="COJ144" s="72"/>
      <c r="COK144" s="72"/>
      <c r="COL144" s="72"/>
      <c r="COM144" s="72"/>
      <c r="CON144" s="72"/>
      <c r="COO144" s="72"/>
      <c r="COP144" s="72"/>
      <c r="COQ144" s="72"/>
      <c r="COR144" s="72"/>
      <c r="COS144" s="72"/>
      <c r="COT144" s="72"/>
      <c r="COU144" s="72"/>
      <c r="COV144" s="72"/>
      <c r="COW144" s="72"/>
      <c r="COX144" s="72"/>
      <c r="COY144" s="72"/>
      <c r="COZ144" s="72"/>
      <c r="CPA144" s="72"/>
      <c r="CPB144" s="72"/>
      <c r="CPC144" s="72"/>
      <c r="CPD144" s="72"/>
      <c r="CPE144" s="72"/>
      <c r="CPF144" s="72"/>
      <c r="CPG144" s="72"/>
      <c r="CPH144" s="72"/>
      <c r="CPI144" s="72"/>
      <c r="CPJ144" s="72"/>
      <c r="CPK144" s="72"/>
      <c r="CPL144" s="72"/>
      <c r="CPM144" s="72"/>
      <c r="CPN144" s="72"/>
      <c r="CPO144" s="72"/>
      <c r="CPP144" s="72"/>
      <c r="CPQ144" s="72"/>
      <c r="CPR144" s="72"/>
      <c r="CPS144" s="72"/>
      <c r="CPT144" s="72"/>
      <c r="CPU144" s="72"/>
      <c r="CPV144" s="72"/>
      <c r="CPW144" s="72"/>
      <c r="CPX144" s="72"/>
      <c r="CPY144" s="72"/>
      <c r="CPZ144" s="72"/>
      <c r="CQA144" s="72"/>
      <c r="CQB144" s="72"/>
      <c r="CQC144" s="72"/>
      <c r="CQD144" s="72"/>
      <c r="CQE144" s="72"/>
      <c r="CQF144" s="72"/>
      <c r="CQG144" s="72"/>
      <c r="CQH144" s="72"/>
      <c r="CQI144" s="72"/>
      <c r="CQJ144" s="72"/>
      <c r="CQK144" s="72"/>
      <c r="CQL144" s="72"/>
      <c r="CQM144" s="72"/>
      <c r="CQN144" s="72"/>
      <c r="CQO144" s="72"/>
      <c r="CQP144" s="72"/>
      <c r="CQQ144" s="72"/>
      <c r="CQR144" s="72"/>
      <c r="CQS144" s="72"/>
      <c r="CQT144" s="72"/>
      <c r="CQU144" s="72"/>
      <c r="CQV144" s="72"/>
      <c r="CQW144" s="72"/>
      <c r="CQX144" s="72"/>
      <c r="CQY144" s="72"/>
      <c r="CQZ144" s="72"/>
      <c r="CRA144" s="72"/>
      <c r="CRB144" s="72"/>
      <c r="CRC144" s="72"/>
      <c r="CRD144" s="72"/>
      <c r="CRE144" s="72"/>
      <c r="CRF144" s="72"/>
      <c r="CRG144" s="72"/>
      <c r="CRH144" s="72"/>
      <c r="CRI144" s="72"/>
      <c r="CRJ144" s="72"/>
      <c r="CRK144" s="72"/>
      <c r="CRL144" s="72"/>
      <c r="CRM144" s="72"/>
      <c r="CRN144" s="72"/>
      <c r="CRO144" s="72"/>
      <c r="CRP144" s="72"/>
      <c r="CRQ144" s="72"/>
      <c r="CRR144" s="72"/>
      <c r="CRS144" s="72"/>
      <c r="CRT144" s="72"/>
      <c r="CRU144" s="72"/>
      <c r="CRV144" s="72"/>
      <c r="CRW144" s="72"/>
      <c r="CRX144" s="72"/>
      <c r="CRY144" s="72"/>
      <c r="CRZ144" s="72"/>
      <c r="CSA144" s="72"/>
      <c r="CSB144" s="72"/>
      <c r="CSC144" s="72"/>
      <c r="CSD144" s="72"/>
      <c r="CSE144" s="72"/>
      <c r="CSF144" s="72"/>
      <c r="CSG144" s="72"/>
      <c r="CSH144" s="72"/>
      <c r="CSI144" s="72"/>
      <c r="CSJ144" s="72"/>
      <c r="CSK144" s="72"/>
      <c r="CSL144" s="72"/>
      <c r="CSM144" s="72"/>
      <c r="CSN144" s="72"/>
      <c r="CSO144" s="72"/>
      <c r="CSP144" s="72"/>
      <c r="CSQ144" s="72"/>
      <c r="CSR144" s="72"/>
      <c r="CSS144" s="72"/>
      <c r="CST144" s="72"/>
      <c r="CSU144" s="72"/>
      <c r="CSV144" s="72"/>
      <c r="CSW144" s="72"/>
      <c r="CSX144" s="72"/>
      <c r="CSY144" s="72"/>
      <c r="CSZ144" s="72"/>
      <c r="CTA144" s="72"/>
      <c r="CTB144" s="72"/>
      <c r="CTC144" s="72"/>
      <c r="CTD144" s="72"/>
      <c r="CTE144" s="72"/>
      <c r="CTF144" s="72"/>
      <c r="CTG144" s="72"/>
      <c r="CTH144" s="72"/>
      <c r="CTI144" s="72"/>
      <c r="CTJ144" s="72"/>
      <c r="CTK144" s="72"/>
      <c r="CTL144" s="72"/>
      <c r="CTM144" s="72"/>
      <c r="CTN144" s="72"/>
      <c r="CTO144" s="72"/>
      <c r="CTP144" s="72"/>
      <c r="CTQ144" s="72"/>
      <c r="CTR144" s="72"/>
      <c r="CTS144" s="72"/>
      <c r="CTT144" s="72"/>
      <c r="CTU144" s="72"/>
      <c r="CTV144" s="72"/>
      <c r="CTW144" s="72"/>
      <c r="CTX144" s="72"/>
      <c r="CTY144" s="72"/>
      <c r="CTZ144" s="72"/>
      <c r="CUA144" s="72"/>
      <c r="CUB144" s="72"/>
      <c r="CUC144" s="72"/>
      <c r="CUD144" s="72"/>
      <c r="CUE144" s="72"/>
      <c r="CUF144" s="72"/>
      <c r="CUG144" s="72"/>
      <c r="CUH144" s="72"/>
      <c r="CUI144" s="72"/>
      <c r="CUJ144" s="72"/>
      <c r="CUK144" s="72"/>
      <c r="CUL144" s="72"/>
      <c r="CUM144" s="72"/>
      <c r="CUN144" s="72"/>
      <c r="CUO144" s="72"/>
      <c r="CUP144" s="72"/>
      <c r="CUQ144" s="72"/>
      <c r="CUR144" s="72"/>
      <c r="CUS144" s="72"/>
      <c r="CUT144" s="72"/>
      <c r="CUU144" s="72"/>
      <c r="CUV144" s="72"/>
      <c r="CUW144" s="72"/>
      <c r="CUX144" s="72"/>
      <c r="CUY144" s="72"/>
      <c r="CUZ144" s="72"/>
      <c r="CVA144" s="72"/>
      <c r="CVB144" s="72"/>
      <c r="CVC144" s="72"/>
      <c r="CVD144" s="72"/>
      <c r="CVE144" s="72"/>
      <c r="CVF144" s="72"/>
      <c r="CVG144" s="72"/>
      <c r="CVH144" s="72"/>
      <c r="CVI144" s="72"/>
      <c r="CVJ144" s="72"/>
      <c r="CVK144" s="72"/>
      <c r="CVL144" s="72"/>
      <c r="CVM144" s="72"/>
      <c r="CVN144" s="72"/>
      <c r="CVO144" s="72"/>
      <c r="CVP144" s="72"/>
      <c r="CVQ144" s="72"/>
      <c r="CVR144" s="72"/>
      <c r="CVS144" s="72"/>
      <c r="CVT144" s="72"/>
      <c r="CVU144" s="72"/>
      <c r="CVV144" s="72"/>
      <c r="CVW144" s="72"/>
      <c r="CVX144" s="72"/>
      <c r="CVY144" s="72"/>
      <c r="CVZ144" s="72"/>
      <c r="CWA144" s="72"/>
      <c r="CWB144" s="72"/>
      <c r="CWC144" s="72"/>
      <c r="CWD144" s="72"/>
      <c r="CWE144" s="72"/>
      <c r="CWF144" s="72"/>
      <c r="CWG144" s="72"/>
      <c r="CWH144" s="72"/>
      <c r="CWI144" s="72"/>
      <c r="CWJ144" s="72"/>
      <c r="CWK144" s="72"/>
      <c r="CWL144" s="72"/>
      <c r="CWM144" s="72"/>
      <c r="CWN144" s="72"/>
      <c r="CWO144" s="72"/>
      <c r="CWP144" s="72"/>
      <c r="CWQ144" s="72"/>
      <c r="CWR144" s="72"/>
      <c r="CWS144" s="72"/>
      <c r="CWT144" s="72"/>
      <c r="CWU144" s="72"/>
      <c r="CWV144" s="72"/>
      <c r="CWW144" s="72"/>
      <c r="CWX144" s="72"/>
      <c r="CWY144" s="72"/>
      <c r="CWZ144" s="72"/>
      <c r="CXA144" s="72"/>
      <c r="CXB144" s="72"/>
      <c r="CXC144" s="72"/>
      <c r="CXD144" s="72"/>
      <c r="CXE144" s="72"/>
      <c r="CXF144" s="72"/>
      <c r="CXG144" s="72"/>
      <c r="CXH144" s="72"/>
      <c r="CXI144" s="72"/>
      <c r="CXJ144" s="72"/>
      <c r="CXK144" s="72"/>
      <c r="CXL144" s="72"/>
      <c r="CXM144" s="72"/>
      <c r="CXN144" s="72"/>
      <c r="CXO144" s="72"/>
      <c r="CXP144" s="72"/>
      <c r="CXQ144" s="72"/>
      <c r="CXR144" s="72"/>
      <c r="CXS144" s="72"/>
      <c r="CXT144" s="72"/>
      <c r="CXU144" s="72"/>
      <c r="CXV144" s="72"/>
      <c r="CXW144" s="72"/>
      <c r="CXX144" s="72"/>
      <c r="CXY144" s="72"/>
      <c r="CXZ144" s="72"/>
      <c r="CYA144" s="72"/>
      <c r="CYB144" s="72"/>
      <c r="CYC144" s="72"/>
      <c r="CYD144" s="72"/>
      <c r="CYE144" s="72"/>
      <c r="CYF144" s="72"/>
      <c r="CYG144" s="72"/>
      <c r="CYH144" s="72"/>
      <c r="CYI144" s="72"/>
      <c r="CYJ144" s="72"/>
      <c r="CYK144" s="72"/>
      <c r="CYL144" s="72"/>
      <c r="CYM144" s="72"/>
      <c r="CYN144" s="72"/>
      <c r="CYO144" s="72"/>
      <c r="CYP144" s="72"/>
      <c r="CYQ144" s="72"/>
      <c r="CYR144" s="72"/>
      <c r="CYS144" s="72"/>
      <c r="CYT144" s="72"/>
      <c r="CYU144" s="72"/>
      <c r="CYV144" s="72"/>
      <c r="CYW144" s="72"/>
      <c r="CYX144" s="72"/>
      <c r="CYY144" s="72"/>
      <c r="CYZ144" s="72"/>
      <c r="CZA144" s="72"/>
      <c r="CZB144" s="72"/>
      <c r="CZC144" s="72"/>
      <c r="CZD144" s="72"/>
      <c r="CZE144" s="72"/>
      <c r="CZF144" s="72"/>
      <c r="CZG144" s="72"/>
      <c r="CZH144" s="72"/>
      <c r="CZI144" s="72"/>
      <c r="CZJ144" s="72"/>
      <c r="CZK144" s="72"/>
      <c r="CZL144" s="72"/>
      <c r="CZM144" s="72"/>
      <c r="CZN144" s="72"/>
      <c r="CZO144" s="72"/>
      <c r="CZP144" s="72"/>
      <c r="CZQ144" s="72"/>
      <c r="CZR144" s="72"/>
      <c r="CZS144" s="72"/>
      <c r="CZT144" s="72"/>
      <c r="CZU144" s="72"/>
      <c r="CZV144" s="72"/>
      <c r="CZW144" s="72"/>
      <c r="CZX144" s="72"/>
      <c r="CZY144" s="72"/>
      <c r="CZZ144" s="72"/>
      <c r="DAA144" s="72"/>
      <c r="DAB144" s="72"/>
      <c r="DAC144" s="72"/>
      <c r="DAD144" s="72"/>
      <c r="DAE144" s="72"/>
      <c r="DAF144" s="72"/>
      <c r="DAG144" s="72"/>
      <c r="DAH144" s="72"/>
      <c r="DAI144" s="72"/>
      <c r="DAJ144" s="72"/>
      <c r="DAK144" s="72"/>
      <c r="DAL144" s="72"/>
      <c r="DAM144" s="72"/>
      <c r="DAN144" s="72"/>
      <c r="DAO144" s="72"/>
      <c r="DAP144" s="72"/>
      <c r="DAQ144" s="72"/>
      <c r="DAR144" s="72"/>
      <c r="DAS144" s="72"/>
      <c r="DAT144" s="72"/>
      <c r="DAU144" s="72"/>
      <c r="DAV144" s="72"/>
      <c r="DAW144" s="72"/>
      <c r="DAX144" s="72"/>
      <c r="DAY144" s="72"/>
      <c r="DAZ144" s="72"/>
      <c r="DBA144" s="72"/>
      <c r="DBB144" s="72"/>
      <c r="DBC144" s="72"/>
      <c r="DBD144" s="72"/>
      <c r="DBE144" s="72"/>
      <c r="DBF144" s="72"/>
      <c r="DBG144" s="72"/>
      <c r="DBH144" s="72"/>
      <c r="DBI144" s="72"/>
      <c r="DBJ144" s="72"/>
      <c r="DBK144" s="72"/>
      <c r="DBL144" s="72"/>
      <c r="DBM144" s="72"/>
      <c r="DBN144" s="72"/>
      <c r="DBO144" s="72"/>
      <c r="DBP144" s="72"/>
      <c r="DBQ144" s="72"/>
      <c r="DBR144" s="72"/>
      <c r="DBS144" s="72"/>
      <c r="DBT144" s="72"/>
      <c r="DBU144" s="72"/>
      <c r="DBV144" s="72"/>
      <c r="DBW144" s="72"/>
      <c r="DBX144" s="72"/>
      <c r="DBY144" s="72"/>
      <c r="DBZ144" s="72"/>
      <c r="DCA144" s="72"/>
      <c r="DCB144" s="72"/>
      <c r="DCC144" s="72"/>
      <c r="DCD144" s="72"/>
      <c r="DCE144" s="72"/>
      <c r="DCF144" s="72"/>
      <c r="DCG144" s="72"/>
      <c r="DCH144" s="72"/>
      <c r="DCI144" s="72"/>
      <c r="DCJ144" s="72"/>
      <c r="DCK144" s="72"/>
      <c r="DCL144" s="72"/>
      <c r="DCM144" s="72"/>
      <c r="DCN144" s="72"/>
      <c r="DCO144" s="72"/>
      <c r="DCP144" s="72"/>
      <c r="DCQ144" s="72"/>
      <c r="DCR144" s="72"/>
      <c r="DCS144" s="72"/>
      <c r="DCT144" s="72"/>
      <c r="DCU144" s="72"/>
      <c r="DCV144" s="72"/>
      <c r="DCW144" s="72"/>
      <c r="DCX144" s="72"/>
      <c r="DCY144" s="72"/>
      <c r="DCZ144" s="72"/>
      <c r="DDA144" s="72"/>
      <c r="DDB144" s="72"/>
      <c r="DDC144" s="72"/>
      <c r="DDD144" s="72"/>
      <c r="DDE144" s="72"/>
      <c r="DDF144" s="72"/>
      <c r="DDG144" s="72"/>
      <c r="DDH144" s="72"/>
      <c r="DDI144" s="72"/>
      <c r="DDJ144" s="72"/>
      <c r="DDK144" s="72"/>
      <c r="DDL144" s="72"/>
      <c r="DDM144" s="72"/>
      <c r="DDN144" s="72"/>
      <c r="DDO144" s="72"/>
      <c r="DDP144" s="72"/>
      <c r="DDQ144" s="72"/>
      <c r="DDR144" s="72"/>
      <c r="DDS144" s="72"/>
      <c r="DDT144" s="72"/>
      <c r="DDU144" s="72"/>
      <c r="DDV144" s="72"/>
      <c r="DDW144" s="72"/>
      <c r="DDX144" s="72"/>
      <c r="DDY144" s="72"/>
      <c r="DDZ144" s="72"/>
      <c r="DEA144" s="72"/>
      <c r="DEB144" s="72"/>
      <c r="DEC144" s="72"/>
      <c r="DED144" s="72"/>
      <c r="DEE144" s="72"/>
      <c r="DEF144" s="72"/>
      <c r="DEG144" s="72"/>
      <c r="DEH144" s="72"/>
      <c r="DEI144" s="72"/>
      <c r="DEJ144" s="72"/>
      <c r="DEK144" s="72"/>
      <c r="DEL144" s="72"/>
      <c r="DEM144" s="72"/>
      <c r="DEN144" s="72"/>
      <c r="DEO144" s="72"/>
      <c r="DEP144" s="72"/>
      <c r="DEQ144" s="72"/>
      <c r="DER144" s="72"/>
      <c r="DES144" s="72"/>
      <c r="DET144" s="72"/>
      <c r="DEU144" s="72"/>
      <c r="DEV144" s="72"/>
      <c r="DEW144" s="72"/>
      <c r="DEX144" s="72"/>
      <c r="DEY144" s="72"/>
      <c r="DEZ144" s="72"/>
      <c r="DFA144" s="72"/>
      <c r="DFB144" s="72"/>
      <c r="DFC144" s="72"/>
      <c r="DFD144" s="72"/>
      <c r="DFE144" s="72"/>
      <c r="DFF144" s="72"/>
      <c r="DFG144" s="72"/>
      <c r="DFH144" s="72"/>
      <c r="DFI144" s="72"/>
      <c r="DFJ144" s="72"/>
      <c r="DFK144" s="72"/>
      <c r="DFL144" s="72"/>
      <c r="DFM144" s="72"/>
      <c r="DFN144" s="72"/>
      <c r="DFO144" s="72"/>
      <c r="DFP144" s="72"/>
      <c r="DFQ144" s="72"/>
      <c r="DFR144" s="72"/>
      <c r="DFS144" s="72"/>
      <c r="DFT144" s="72"/>
      <c r="DFU144" s="72"/>
      <c r="DFV144" s="72"/>
      <c r="DFW144" s="72"/>
      <c r="DFX144" s="72"/>
      <c r="DFY144" s="72"/>
      <c r="DFZ144" s="72"/>
      <c r="DGA144" s="72"/>
      <c r="DGB144" s="72"/>
      <c r="DGC144" s="72"/>
      <c r="DGD144" s="72"/>
      <c r="DGE144" s="72"/>
      <c r="DGF144" s="72"/>
      <c r="DGG144" s="72"/>
      <c r="DGH144" s="72"/>
      <c r="DGI144" s="72"/>
      <c r="DGJ144" s="72"/>
      <c r="DGK144" s="72"/>
      <c r="DGL144" s="72"/>
      <c r="DGM144" s="72"/>
      <c r="DGN144" s="72"/>
      <c r="DGO144" s="72"/>
      <c r="DGP144" s="72"/>
      <c r="DGQ144" s="72"/>
      <c r="DGR144" s="72"/>
      <c r="DGS144" s="72"/>
      <c r="DGT144" s="72"/>
      <c r="DGU144" s="72"/>
      <c r="DGV144" s="72"/>
      <c r="DGW144" s="72"/>
      <c r="DGX144" s="72"/>
      <c r="DGY144" s="72"/>
      <c r="DGZ144" s="72"/>
      <c r="DHA144" s="72"/>
      <c r="DHB144" s="72"/>
      <c r="DHC144" s="72"/>
      <c r="DHD144" s="72"/>
      <c r="DHE144" s="72"/>
      <c r="DHF144" s="72"/>
      <c r="DHG144" s="72"/>
      <c r="DHH144" s="72"/>
      <c r="DHI144" s="72"/>
      <c r="DHJ144" s="72"/>
      <c r="DHK144" s="72"/>
      <c r="DHL144" s="72"/>
      <c r="DHM144" s="72"/>
      <c r="DHN144" s="72"/>
      <c r="DHO144" s="72"/>
      <c r="DHP144" s="72"/>
      <c r="DHQ144" s="72"/>
      <c r="DHR144" s="72"/>
      <c r="DHS144" s="72"/>
      <c r="DHT144" s="72"/>
      <c r="DHU144" s="72"/>
      <c r="DHV144" s="72"/>
      <c r="DHW144" s="72"/>
      <c r="DHX144" s="72"/>
      <c r="DHY144" s="72"/>
      <c r="DHZ144" s="72"/>
      <c r="DIA144" s="72"/>
      <c r="DIB144" s="72"/>
      <c r="DIC144" s="72"/>
      <c r="DID144" s="72"/>
      <c r="DIE144" s="72"/>
      <c r="DIF144" s="72"/>
      <c r="DIG144" s="72"/>
      <c r="DIH144" s="72"/>
      <c r="DII144" s="72"/>
      <c r="DIJ144" s="72"/>
      <c r="DIK144" s="72"/>
      <c r="DIL144" s="72"/>
      <c r="DIM144" s="72"/>
      <c r="DIN144" s="72"/>
      <c r="DIO144" s="72"/>
      <c r="DIP144" s="72"/>
      <c r="DIQ144" s="72"/>
      <c r="DIR144" s="72"/>
      <c r="DIS144" s="72"/>
      <c r="DIT144" s="72"/>
      <c r="DIU144" s="72"/>
      <c r="DIV144" s="72"/>
      <c r="DIW144" s="72"/>
      <c r="DIX144" s="72"/>
      <c r="DIY144" s="72"/>
      <c r="DIZ144" s="72"/>
      <c r="DJA144" s="72"/>
      <c r="DJB144" s="72"/>
      <c r="DJC144" s="72"/>
      <c r="DJD144" s="72"/>
      <c r="DJE144" s="72"/>
      <c r="DJF144" s="72"/>
      <c r="DJG144" s="72"/>
      <c r="DJH144" s="72"/>
      <c r="DJI144" s="72"/>
      <c r="DJJ144" s="72"/>
      <c r="DJK144" s="72"/>
      <c r="DJL144" s="72"/>
      <c r="DJM144" s="72"/>
      <c r="DJN144" s="72"/>
      <c r="DJO144" s="72"/>
      <c r="DJP144" s="72"/>
      <c r="DJQ144" s="72"/>
      <c r="DJR144" s="72"/>
      <c r="DJS144" s="72"/>
      <c r="DJT144" s="72"/>
      <c r="DJU144" s="72"/>
      <c r="DJV144" s="72"/>
      <c r="DJW144" s="72"/>
      <c r="DJX144" s="72"/>
      <c r="DJY144" s="72"/>
      <c r="DJZ144" s="72"/>
      <c r="DKA144" s="72"/>
      <c r="DKB144" s="72"/>
      <c r="DKC144" s="72"/>
      <c r="DKD144" s="72"/>
      <c r="DKE144" s="72"/>
      <c r="DKF144" s="72"/>
      <c r="DKG144" s="72"/>
      <c r="DKH144" s="72"/>
      <c r="DKI144" s="72"/>
      <c r="DKJ144" s="72"/>
      <c r="DKK144" s="72"/>
      <c r="DKL144" s="72"/>
      <c r="DKM144" s="72"/>
      <c r="DKN144" s="72"/>
      <c r="DKO144" s="72"/>
      <c r="DKP144" s="72"/>
      <c r="DKQ144" s="72"/>
      <c r="DKR144" s="72"/>
      <c r="DKS144" s="72"/>
      <c r="DKT144" s="72"/>
      <c r="DKU144" s="72"/>
      <c r="DKV144" s="72"/>
      <c r="DKW144" s="72"/>
      <c r="DKX144" s="72"/>
      <c r="DKY144" s="72"/>
      <c r="DKZ144" s="72"/>
      <c r="DLA144" s="72"/>
      <c r="DLB144" s="72"/>
      <c r="DLC144" s="72"/>
      <c r="DLD144" s="72"/>
      <c r="DLE144" s="72"/>
      <c r="DLF144" s="72"/>
      <c r="DLG144" s="72"/>
      <c r="DLH144" s="72"/>
      <c r="DLI144" s="72"/>
      <c r="DLJ144" s="72"/>
      <c r="DLK144" s="72"/>
      <c r="DLL144" s="72"/>
      <c r="DLM144" s="72"/>
      <c r="DLN144" s="72"/>
      <c r="DLO144" s="72"/>
      <c r="DLP144" s="72"/>
      <c r="DLQ144" s="72"/>
      <c r="DLR144" s="72"/>
      <c r="DLS144" s="72"/>
      <c r="DLT144" s="72"/>
      <c r="DLU144" s="72"/>
      <c r="DLV144" s="72"/>
      <c r="DLW144" s="72"/>
      <c r="DLX144" s="72"/>
      <c r="DLY144" s="72"/>
      <c r="DLZ144" s="72"/>
      <c r="DMA144" s="72"/>
      <c r="DMB144" s="72"/>
      <c r="DMC144" s="72"/>
      <c r="DMD144" s="72"/>
      <c r="DME144" s="72"/>
      <c r="DMF144" s="72"/>
      <c r="DMG144" s="72"/>
      <c r="DMH144" s="72"/>
      <c r="DMI144" s="72"/>
      <c r="DMJ144" s="72"/>
      <c r="DMK144" s="72"/>
      <c r="DML144" s="72"/>
      <c r="DMM144" s="72"/>
      <c r="DMN144" s="72"/>
      <c r="DMO144" s="72"/>
      <c r="DMP144" s="72"/>
      <c r="DMQ144" s="72"/>
      <c r="DMR144" s="72"/>
      <c r="DMS144" s="72"/>
      <c r="DMT144" s="72"/>
      <c r="DMU144" s="72"/>
      <c r="DMV144" s="72"/>
      <c r="DMW144" s="72"/>
      <c r="DMX144" s="72"/>
      <c r="DMY144" s="72"/>
      <c r="DMZ144" s="72"/>
      <c r="DNA144" s="72"/>
      <c r="DNB144" s="72"/>
      <c r="DNC144" s="72"/>
      <c r="DND144" s="72"/>
      <c r="DNE144" s="72"/>
      <c r="DNF144" s="72"/>
      <c r="DNG144" s="72"/>
      <c r="DNH144" s="72"/>
      <c r="DNI144" s="72"/>
      <c r="DNJ144" s="72"/>
      <c r="DNK144" s="72"/>
      <c r="DNL144" s="72"/>
      <c r="DNM144" s="72"/>
      <c r="DNN144" s="72"/>
      <c r="DNO144" s="72"/>
      <c r="DNP144" s="72"/>
      <c r="DNQ144" s="72"/>
      <c r="DNR144" s="72"/>
      <c r="DNS144" s="72"/>
      <c r="DNT144" s="72"/>
      <c r="DNU144" s="72"/>
      <c r="DNV144" s="72"/>
      <c r="DNW144" s="72"/>
      <c r="DNX144" s="72"/>
      <c r="DNY144" s="72"/>
      <c r="DNZ144" s="72"/>
      <c r="DOA144" s="72"/>
      <c r="DOB144" s="72"/>
      <c r="DOC144" s="72"/>
      <c r="DOD144" s="72"/>
      <c r="DOE144" s="72"/>
      <c r="DOF144" s="72"/>
      <c r="DOG144" s="72"/>
      <c r="DOH144" s="72"/>
      <c r="DOI144" s="72"/>
      <c r="DOJ144" s="72"/>
      <c r="DOK144" s="72"/>
      <c r="DOL144" s="72"/>
      <c r="DOM144" s="72"/>
      <c r="DON144" s="72"/>
      <c r="DOO144" s="72"/>
      <c r="DOP144" s="72"/>
      <c r="DOQ144" s="72"/>
      <c r="DOR144" s="72"/>
      <c r="DOS144" s="72"/>
      <c r="DOT144" s="72"/>
      <c r="DOU144" s="72"/>
      <c r="DOV144" s="72"/>
      <c r="DOW144" s="72"/>
      <c r="DOX144" s="72"/>
      <c r="DOY144" s="72"/>
      <c r="DOZ144" s="72"/>
      <c r="DPA144" s="72"/>
      <c r="DPB144" s="72"/>
      <c r="DPC144" s="72"/>
      <c r="DPD144" s="72"/>
      <c r="DPE144" s="72"/>
      <c r="DPF144" s="72"/>
      <c r="DPG144" s="72"/>
      <c r="DPH144" s="72"/>
      <c r="DPI144" s="72"/>
      <c r="DPJ144" s="72"/>
      <c r="DPK144" s="72"/>
      <c r="DPL144" s="72"/>
      <c r="DPM144" s="72"/>
      <c r="DPN144" s="72"/>
      <c r="DPO144" s="72"/>
      <c r="DPP144" s="72"/>
      <c r="DPQ144" s="72"/>
      <c r="DPR144" s="72"/>
      <c r="DPS144" s="72"/>
      <c r="DPT144" s="72"/>
      <c r="DPU144" s="72"/>
      <c r="DPV144" s="72"/>
      <c r="DPW144" s="72"/>
      <c r="DPX144" s="72"/>
      <c r="DPY144" s="72"/>
      <c r="DPZ144" s="72"/>
      <c r="DQA144" s="72"/>
      <c r="DQB144" s="72"/>
      <c r="DQC144" s="72"/>
      <c r="DQD144" s="72"/>
      <c r="DQE144" s="72"/>
      <c r="DQF144" s="72"/>
      <c r="DQG144" s="72"/>
      <c r="DQH144" s="72"/>
      <c r="DQI144" s="72"/>
      <c r="DQJ144" s="72"/>
      <c r="DQK144" s="72"/>
      <c r="DQL144" s="72"/>
      <c r="DQM144" s="72"/>
      <c r="DQN144" s="72"/>
      <c r="DQO144" s="72"/>
      <c r="DQP144" s="72"/>
      <c r="DQQ144" s="72"/>
      <c r="DQR144" s="72"/>
      <c r="DQS144" s="72"/>
      <c r="DQT144" s="72"/>
      <c r="DQU144" s="72"/>
      <c r="DQV144" s="72"/>
      <c r="DQW144" s="72"/>
      <c r="DQX144" s="72"/>
      <c r="DQY144" s="72"/>
      <c r="DQZ144" s="72"/>
      <c r="DRA144" s="72"/>
      <c r="DRB144" s="72"/>
      <c r="DRC144" s="72"/>
      <c r="DRD144" s="72"/>
      <c r="DRE144" s="72"/>
      <c r="DRF144" s="72"/>
      <c r="DRG144" s="72"/>
      <c r="DRH144" s="72"/>
      <c r="DRI144" s="72"/>
      <c r="DRJ144" s="72"/>
      <c r="DRK144" s="72"/>
      <c r="DRL144" s="72"/>
      <c r="DRM144" s="72"/>
      <c r="DRN144" s="72"/>
      <c r="DRO144" s="72"/>
      <c r="DRP144" s="72"/>
      <c r="DRQ144" s="72"/>
      <c r="DRR144" s="72"/>
      <c r="DRS144" s="72"/>
      <c r="DRT144" s="72"/>
      <c r="DRU144" s="72"/>
      <c r="DRV144" s="72"/>
      <c r="DRW144" s="72"/>
      <c r="DRX144" s="72"/>
      <c r="DRY144" s="72"/>
      <c r="DRZ144" s="72"/>
      <c r="DSA144" s="72"/>
      <c r="DSB144" s="72"/>
      <c r="DSC144" s="72"/>
      <c r="DSD144" s="72"/>
      <c r="DSE144" s="72"/>
      <c r="DSF144" s="72"/>
      <c r="DSG144" s="72"/>
      <c r="DSH144" s="72"/>
      <c r="DSI144" s="72"/>
      <c r="DSJ144" s="72"/>
      <c r="DSK144" s="72"/>
      <c r="DSL144" s="72"/>
      <c r="DSM144" s="72"/>
      <c r="DSN144" s="72"/>
      <c r="DSO144" s="72"/>
      <c r="DSP144" s="72"/>
      <c r="DSQ144" s="72"/>
      <c r="DSR144" s="72"/>
      <c r="DSS144" s="72"/>
      <c r="DST144" s="72"/>
      <c r="DSU144" s="72"/>
      <c r="DSV144" s="72"/>
      <c r="DSW144" s="72"/>
      <c r="DSX144" s="72"/>
      <c r="DSY144" s="72"/>
      <c r="DSZ144" s="72"/>
      <c r="DTA144" s="72"/>
      <c r="DTB144" s="72"/>
      <c r="DTC144" s="72"/>
      <c r="DTD144" s="72"/>
      <c r="DTE144" s="72"/>
      <c r="DTF144" s="72"/>
      <c r="DTG144" s="72"/>
      <c r="DTH144" s="72"/>
      <c r="DTI144" s="72"/>
      <c r="DTJ144" s="72"/>
      <c r="DTK144" s="72"/>
      <c r="DTL144" s="72"/>
      <c r="DTM144" s="72"/>
      <c r="DTN144" s="72"/>
      <c r="DTO144" s="72"/>
      <c r="DTP144" s="72"/>
      <c r="DTQ144" s="72"/>
      <c r="DTR144" s="72"/>
      <c r="DTS144" s="72"/>
      <c r="DTT144" s="72"/>
      <c r="DTU144" s="72"/>
      <c r="DTV144" s="72"/>
      <c r="DTW144" s="72"/>
      <c r="DTX144" s="72"/>
      <c r="DTY144" s="72"/>
      <c r="DTZ144" s="72"/>
      <c r="DUA144" s="72"/>
      <c r="DUB144" s="72"/>
      <c r="DUC144" s="72"/>
      <c r="DUD144" s="72"/>
      <c r="DUE144" s="72"/>
      <c r="DUF144" s="72"/>
      <c r="DUG144" s="72"/>
      <c r="DUH144" s="72"/>
      <c r="DUI144" s="72"/>
      <c r="DUJ144" s="72"/>
      <c r="DUK144" s="72"/>
      <c r="DUL144" s="72"/>
      <c r="DUM144" s="72"/>
      <c r="DUN144" s="72"/>
      <c r="DUO144" s="72"/>
      <c r="DUP144" s="72"/>
      <c r="DUQ144" s="72"/>
      <c r="DUR144" s="72"/>
      <c r="DUS144" s="72"/>
      <c r="DUT144" s="72"/>
      <c r="DUU144" s="72"/>
      <c r="DUV144" s="72"/>
      <c r="DUW144" s="72"/>
      <c r="DUX144" s="72"/>
      <c r="DUY144" s="72"/>
      <c r="DUZ144" s="72"/>
      <c r="DVA144" s="72"/>
      <c r="DVB144" s="72"/>
      <c r="DVC144" s="72"/>
      <c r="DVD144" s="72"/>
      <c r="DVE144" s="72"/>
      <c r="DVF144" s="72"/>
      <c r="DVG144" s="72"/>
      <c r="DVH144" s="72"/>
      <c r="DVI144" s="72"/>
      <c r="DVJ144" s="72"/>
      <c r="DVK144" s="72"/>
      <c r="DVL144" s="72"/>
      <c r="DVM144" s="72"/>
      <c r="DVN144" s="72"/>
      <c r="DVO144" s="72"/>
      <c r="DVP144" s="72"/>
      <c r="DVQ144" s="72"/>
      <c r="DVR144" s="72"/>
      <c r="DVS144" s="72"/>
      <c r="DVT144" s="72"/>
      <c r="DVU144" s="72"/>
      <c r="DVV144" s="72"/>
      <c r="DVW144" s="72"/>
      <c r="DVX144" s="72"/>
      <c r="DVY144" s="72"/>
      <c r="DVZ144" s="72"/>
      <c r="DWA144" s="72"/>
      <c r="DWB144" s="72"/>
      <c r="DWC144" s="72"/>
      <c r="DWD144" s="72"/>
      <c r="DWE144" s="72"/>
      <c r="DWF144" s="72"/>
      <c r="DWG144" s="72"/>
      <c r="DWH144" s="72"/>
      <c r="DWI144" s="72"/>
      <c r="DWJ144" s="72"/>
      <c r="DWK144" s="72"/>
      <c r="DWL144" s="72"/>
      <c r="DWM144" s="72"/>
      <c r="DWN144" s="72"/>
      <c r="DWO144" s="72"/>
      <c r="DWP144" s="72"/>
      <c r="DWQ144" s="72"/>
      <c r="DWR144" s="72"/>
      <c r="DWS144" s="72"/>
      <c r="DWT144" s="72"/>
      <c r="DWU144" s="72"/>
      <c r="DWV144" s="72"/>
      <c r="DWW144" s="72"/>
      <c r="DWX144" s="72"/>
      <c r="DWY144" s="72"/>
      <c r="DWZ144" s="72"/>
      <c r="DXA144" s="72"/>
      <c r="DXB144" s="72"/>
      <c r="DXC144" s="72"/>
      <c r="DXD144" s="72"/>
      <c r="DXE144" s="72"/>
      <c r="DXF144" s="72"/>
      <c r="DXG144" s="72"/>
      <c r="DXH144" s="72"/>
      <c r="DXI144" s="72"/>
      <c r="DXJ144" s="72"/>
      <c r="DXK144" s="72"/>
      <c r="DXL144" s="72"/>
      <c r="DXM144" s="72"/>
      <c r="DXN144" s="72"/>
      <c r="DXO144" s="72"/>
      <c r="DXP144" s="72"/>
      <c r="DXQ144" s="72"/>
      <c r="DXR144" s="72"/>
      <c r="DXS144" s="72"/>
      <c r="DXT144" s="72"/>
      <c r="DXU144" s="72"/>
      <c r="DXV144" s="72"/>
      <c r="DXW144" s="72"/>
      <c r="DXX144" s="72"/>
      <c r="DXY144" s="72"/>
      <c r="DXZ144" s="72"/>
      <c r="DYA144" s="72"/>
      <c r="DYB144" s="72"/>
      <c r="DYC144" s="72"/>
      <c r="DYD144" s="72"/>
      <c r="DYE144" s="72"/>
      <c r="DYF144" s="72"/>
      <c r="DYG144" s="72"/>
      <c r="DYH144" s="72"/>
      <c r="DYI144" s="72"/>
      <c r="DYJ144" s="72"/>
      <c r="DYK144" s="72"/>
      <c r="DYL144" s="72"/>
      <c r="DYM144" s="72"/>
      <c r="DYN144" s="72"/>
      <c r="DYO144" s="72"/>
      <c r="DYP144" s="72"/>
      <c r="DYQ144" s="72"/>
      <c r="DYR144" s="72"/>
      <c r="DYS144" s="72"/>
      <c r="DYT144" s="72"/>
      <c r="DYU144" s="72"/>
      <c r="DYV144" s="72"/>
      <c r="DYW144" s="72"/>
      <c r="DYX144" s="72"/>
      <c r="DYY144" s="72"/>
      <c r="DYZ144" s="72"/>
      <c r="DZA144" s="72"/>
      <c r="DZB144" s="72"/>
      <c r="DZC144" s="72"/>
      <c r="DZD144" s="72"/>
      <c r="DZE144" s="72"/>
      <c r="DZF144" s="72"/>
      <c r="DZG144" s="72"/>
      <c r="DZH144" s="72"/>
      <c r="DZI144" s="72"/>
      <c r="DZJ144" s="72"/>
      <c r="DZK144" s="72"/>
      <c r="DZL144" s="72"/>
      <c r="DZM144" s="72"/>
      <c r="DZN144" s="72"/>
      <c r="DZO144" s="72"/>
      <c r="DZP144" s="72"/>
      <c r="DZQ144" s="72"/>
      <c r="DZR144" s="72"/>
      <c r="DZS144" s="72"/>
      <c r="DZT144" s="72"/>
      <c r="DZU144" s="72"/>
      <c r="DZV144" s="72"/>
      <c r="DZW144" s="72"/>
      <c r="DZX144" s="72"/>
      <c r="DZY144" s="72"/>
      <c r="DZZ144" s="72"/>
      <c r="EAA144" s="72"/>
      <c r="EAB144" s="72"/>
      <c r="EAC144" s="72"/>
      <c r="EAD144" s="72"/>
      <c r="EAE144" s="72"/>
      <c r="EAF144" s="72"/>
      <c r="EAG144" s="72"/>
      <c r="EAH144" s="72"/>
      <c r="EAI144" s="72"/>
      <c r="EAJ144" s="72"/>
      <c r="EAK144" s="72"/>
      <c r="EAL144" s="72"/>
      <c r="EAM144" s="72"/>
      <c r="EAN144" s="72"/>
      <c r="EAO144" s="72"/>
      <c r="EAP144" s="72"/>
      <c r="EAQ144" s="72"/>
      <c r="EAR144" s="72"/>
      <c r="EAS144" s="72"/>
      <c r="EAT144" s="72"/>
      <c r="EAU144" s="72"/>
      <c r="EAV144" s="72"/>
      <c r="EAW144" s="72"/>
      <c r="EAX144" s="72"/>
      <c r="EAY144" s="72"/>
      <c r="EAZ144" s="72"/>
      <c r="EBA144" s="72"/>
      <c r="EBB144" s="72"/>
      <c r="EBC144" s="72"/>
      <c r="EBD144" s="72"/>
      <c r="EBE144" s="72"/>
      <c r="EBF144" s="72"/>
      <c r="EBG144" s="72"/>
      <c r="EBH144" s="72"/>
      <c r="EBI144" s="72"/>
      <c r="EBJ144" s="72"/>
      <c r="EBK144" s="72"/>
      <c r="EBL144" s="72"/>
      <c r="EBM144" s="72"/>
      <c r="EBN144" s="72"/>
      <c r="EBO144" s="72"/>
      <c r="EBP144" s="72"/>
      <c r="EBQ144" s="72"/>
      <c r="EBR144" s="72"/>
      <c r="EBS144" s="72"/>
      <c r="EBT144" s="72"/>
      <c r="EBU144" s="72"/>
      <c r="EBV144" s="72"/>
      <c r="EBW144" s="72"/>
      <c r="EBX144" s="72"/>
      <c r="EBY144" s="72"/>
      <c r="EBZ144" s="72"/>
      <c r="ECA144" s="72"/>
      <c r="ECB144" s="72"/>
      <c r="ECC144" s="72"/>
      <c r="ECD144" s="72"/>
      <c r="ECE144" s="72"/>
      <c r="ECF144" s="72"/>
      <c r="ECG144" s="72"/>
      <c r="ECH144" s="72"/>
      <c r="ECI144" s="72"/>
      <c r="ECJ144" s="72"/>
      <c r="ECK144" s="72"/>
      <c r="ECL144" s="72"/>
      <c r="ECM144" s="72"/>
      <c r="ECN144" s="72"/>
      <c r="ECO144" s="72"/>
      <c r="ECP144" s="72"/>
      <c r="ECQ144" s="72"/>
      <c r="ECR144" s="72"/>
      <c r="ECS144" s="72"/>
      <c r="ECT144" s="72"/>
      <c r="ECU144" s="72"/>
      <c r="ECV144" s="72"/>
      <c r="ECW144" s="72"/>
      <c r="ECX144" s="72"/>
      <c r="ECY144" s="72"/>
      <c r="ECZ144" s="72"/>
      <c r="EDA144" s="72"/>
      <c r="EDB144" s="72"/>
      <c r="EDC144" s="72"/>
      <c r="EDD144" s="72"/>
      <c r="EDE144" s="72"/>
      <c r="EDF144" s="72"/>
      <c r="EDG144" s="72"/>
      <c r="EDH144" s="72"/>
      <c r="EDI144" s="72"/>
      <c r="EDJ144" s="72"/>
      <c r="EDK144" s="72"/>
      <c r="EDL144" s="72"/>
      <c r="EDM144" s="72"/>
      <c r="EDN144" s="72"/>
      <c r="EDO144" s="72"/>
      <c r="EDP144" s="72"/>
      <c r="EDQ144" s="72"/>
      <c r="EDR144" s="72"/>
      <c r="EDS144" s="72"/>
      <c r="EDT144" s="72"/>
      <c r="EDU144" s="72"/>
      <c r="EDV144" s="72"/>
      <c r="EDW144" s="72"/>
      <c r="EDX144" s="72"/>
      <c r="EDY144" s="72"/>
      <c r="EDZ144" s="72"/>
      <c r="EEA144" s="72"/>
      <c r="EEB144" s="72"/>
      <c r="EEC144" s="72"/>
      <c r="EED144" s="72"/>
      <c r="EEE144" s="72"/>
      <c r="EEF144" s="72"/>
      <c r="EEG144" s="72"/>
      <c r="EEH144" s="72"/>
      <c r="EEI144" s="72"/>
      <c r="EEJ144" s="72"/>
      <c r="EEK144" s="72"/>
      <c r="EEL144" s="72"/>
      <c r="EEM144" s="72"/>
      <c r="EEN144" s="72"/>
      <c r="EEO144" s="72"/>
      <c r="EEP144" s="72"/>
      <c r="EEQ144" s="72"/>
      <c r="EER144" s="72"/>
      <c r="EES144" s="72"/>
      <c r="EET144" s="72"/>
      <c r="EEU144" s="72"/>
      <c r="EEV144" s="72"/>
      <c r="EEW144" s="72"/>
      <c r="EEX144" s="72"/>
      <c r="EEY144" s="72"/>
      <c r="EEZ144" s="72"/>
      <c r="EFA144" s="72"/>
      <c r="EFB144" s="72"/>
      <c r="EFC144" s="72"/>
      <c r="EFD144" s="72"/>
      <c r="EFE144" s="72"/>
      <c r="EFF144" s="72"/>
      <c r="EFG144" s="72"/>
      <c r="EFH144" s="72"/>
      <c r="EFI144" s="72"/>
      <c r="EFJ144" s="72"/>
      <c r="EFK144" s="72"/>
      <c r="EFL144" s="72"/>
      <c r="EFM144" s="72"/>
      <c r="EFN144" s="72"/>
      <c r="EFO144" s="72"/>
      <c r="EFP144" s="72"/>
      <c r="EFQ144" s="72"/>
      <c r="EFR144" s="72"/>
      <c r="EFS144" s="72"/>
      <c r="EFT144" s="72"/>
      <c r="EFU144" s="72"/>
      <c r="EFV144" s="72"/>
      <c r="EFW144" s="72"/>
      <c r="EFX144" s="72"/>
      <c r="EFY144" s="72"/>
      <c r="EFZ144" s="72"/>
      <c r="EGA144" s="72"/>
      <c r="EGB144" s="72"/>
      <c r="EGC144" s="72"/>
      <c r="EGD144" s="72"/>
      <c r="EGE144" s="72"/>
      <c r="EGF144" s="72"/>
      <c r="EGG144" s="72"/>
      <c r="EGH144" s="72"/>
      <c r="EGI144" s="72"/>
      <c r="EGJ144" s="72"/>
      <c r="EGK144" s="72"/>
      <c r="EGL144" s="72"/>
      <c r="EGM144" s="72"/>
      <c r="EGN144" s="72"/>
      <c r="EGO144" s="72"/>
      <c r="EGP144" s="72"/>
      <c r="EGQ144" s="72"/>
      <c r="EGR144" s="72"/>
      <c r="EGS144" s="72"/>
      <c r="EGT144" s="72"/>
      <c r="EGU144" s="72"/>
      <c r="EGV144" s="72"/>
      <c r="EGW144" s="72"/>
      <c r="EGX144" s="72"/>
      <c r="EGY144" s="72"/>
      <c r="EGZ144" s="72"/>
      <c r="EHA144" s="72"/>
      <c r="EHB144" s="72"/>
      <c r="EHC144" s="72"/>
      <c r="EHD144" s="72"/>
      <c r="EHE144" s="72"/>
      <c r="EHF144" s="72"/>
      <c r="EHG144" s="72"/>
      <c r="EHH144" s="72"/>
      <c r="EHI144" s="72"/>
      <c r="EHJ144" s="72"/>
      <c r="EHK144" s="72"/>
      <c r="EHL144" s="72"/>
      <c r="EHM144" s="72"/>
      <c r="EHN144" s="72"/>
      <c r="EHO144" s="72"/>
      <c r="EHP144" s="72"/>
      <c r="EHQ144" s="72"/>
      <c r="EHR144" s="72"/>
      <c r="EHS144" s="72"/>
      <c r="EHT144" s="72"/>
      <c r="EHU144" s="72"/>
      <c r="EHV144" s="72"/>
      <c r="EHW144" s="72"/>
      <c r="EHX144" s="72"/>
      <c r="EHY144" s="72"/>
      <c r="EHZ144" s="72"/>
      <c r="EIA144" s="72"/>
      <c r="EIB144" s="72"/>
      <c r="EIC144" s="72"/>
      <c r="EID144" s="72"/>
      <c r="EIE144" s="72"/>
      <c r="EIF144" s="72"/>
      <c r="EIG144" s="72"/>
      <c r="EIH144" s="72"/>
      <c r="EII144" s="72"/>
      <c r="EIJ144" s="72"/>
      <c r="EIK144" s="72"/>
      <c r="EIL144" s="72"/>
      <c r="EIM144" s="72"/>
      <c r="EIN144" s="72"/>
      <c r="EIO144" s="72"/>
      <c r="EIP144" s="72"/>
      <c r="EIQ144" s="72"/>
      <c r="EIR144" s="72"/>
      <c r="EIS144" s="72"/>
      <c r="EIT144" s="72"/>
      <c r="EIU144" s="72"/>
      <c r="EIV144" s="72"/>
      <c r="EIW144" s="72"/>
      <c r="EIX144" s="72"/>
      <c r="EIY144" s="72"/>
      <c r="EIZ144" s="72"/>
      <c r="EJA144" s="72"/>
      <c r="EJB144" s="72"/>
      <c r="EJC144" s="72"/>
      <c r="EJD144" s="72"/>
      <c r="EJE144" s="72"/>
      <c r="EJF144" s="72"/>
      <c r="EJG144" s="72"/>
      <c r="EJH144" s="72"/>
      <c r="EJI144" s="72"/>
      <c r="EJJ144" s="72"/>
      <c r="EJK144" s="72"/>
      <c r="EJL144" s="72"/>
      <c r="EJM144" s="72"/>
      <c r="EJN144" s="72"/>
      <c r="EJO144" s="72"/>
      <c r="EJP144" s="72"/>
      <c r="EJQ144" s="72"/>
      <c r="EJR144" s="72"/>
      <c r="EJS144" s="72"/>
      <c r="EJT144" s="72"/>
      <c r="EJU144" s="72"/>
      <c r="EJV144" s="72"/>
      <c r="EJW144" s="72"/>
      <c r="EJX144" s="72"/>
      <c r="EJY144" s="72"/>
      <c r="EJZ144" s="72"/>
      <c r="EKA144" s="72"/>
      <c r="EKB144" s="72"/>
      <c r="EKC144" s="72"/>
      <c r="EKD144" s="72"/>
      <c r="EKE144" s="72"/>
      <c r="EKF144" s="72"/>
      <c r="EKG144" s="72"/>
      <c r="EKH144" s="72"/>
      <c r="EKI144" s="72"/>
      <c r="EKJ144" s="72"/>
      <c r="EKK144" s="72"/>
      <c r="EKL144" s="72"/>
      <c r="EKM144" s="72"/>
      <c r="EKN144" s="72"/>
      <c r="EKO144" s="72"/>
      <c r="EKP144" s="72"/>
      <c r="EKQ144" s="72"/>
      <c r="EKR144" s="72"/>
      <c r="EKS144" s="72"/>
      <c r="EKT144" s="72"/>
      <c r="EKU144" s="72"/>
      <c r="EKV144" s="72"/>
      <c r="EKW144" s="72"/>
      <c r="EKX144" s="72"/>
      <c r="EKY144" s="72"/>
      <c r="EKZ144" s="72"/>
      <c r="ELA144" s="72"/>
      <c r="ELB144" s="72"/>
      <c r="ELC144" s="72"/>
      <c r="ELD144" s="72"/>
      <c r="ELE144" s="72"/>
      <c r="ELF144" s="72"/>
      <c r="ELG144" s="72"/>
      <c r="ELH144" s="72"/>
      <c r="ELI144" s="72"/>
      <c r="ELJ144" s="72"/>
      <c r="ELK144" s="72"/>
      <c r="ELL144" s="72"/>
      <c r="ELM144" s="72"/>
      <c r="ELN144" s="72"/>
      <c r="ELO144" s="72"/>
      <c r="ELP144" s="72"/>
      <c r="ELQ144" s="72"/>
      <c r="ELR144" s="72"/>
      <c r="ELS144" s="72"/>
      <c r="ELT144" s="72"/>
      <c r="ELU144" s="72"/>
      <c r="ELV144" s="72"/>
      <c r="ELW144" s="72"/>
      <c r="ELX144" s="72"/>
      <c r="ELY144" s="72"/>
      <c r="ELZ144" s="72"/>
      <c r="EMA144" s="72"/>
      <c r="EMB144" s="72"/>
      <c r="EMC144" s="72"/>
      <c r="EMD144" s="72"/>
      <c r="EME144" s="72"/>
      <c r="EMF144" s="72"/>
      <c r="EMG144" s="72"/>
      <c r="EMH144" s="72"/>
      <c r="EMI144" s="72"/>
      <c r="EMJ144" s="72"/>
      <c r="EMK144" s="72"/>
      <c r="EML144" s="72"/>
      <c r="EMM144" s="72"/>
      <c r="EMN144" s="72"/>
      <c r="EMO144" s="72"/>
      <c r="EMP144" s="72"/>
      <c r="EMQ144" s="72"/>
      <c r="EMR144" s="72"/>
      <c r="EMS144" s="72"/>
      <c r="EMT144" s="72"/>
      <c r="EMU144" s="72"/>
      <c r="EMV144" s="72"/>
      <c r="EMW144" s="72"/>
      <c r="EMX144" s="72"/>
      <c r="EMY144" s="72"/>
      <c r="EMZ144" s="72"/>
      <c r="ENA144" s="72"/>
      <c r="ENB144" s="72"/>
      <c r="ENC144" s="72"/>
      <c r="END144" s="72"/>
      <c r="ENE144" s="72"/>
      <c r="ENF144" s="72"/>
      <c r="ENG144" s="72"/>
      <c r="ENH144" s="72"/>
      <c r="ENI144" s="72"/>
      <c r="ENJ144" s="72"/>
      <c r="ENK144" s="72"/>
      <c r="ENL144" s="72"/>
      <c r="ENM144" s="72"/>
      <c r="ENN144" s="72"/>
      <c r="ENO144" s="72"/>
      <c r="ENP144" s="72"/>
      <c r="ENQ144" s="72"/>
      <c r="ENR144" s="72"/>
      <c r="ENS144" s="72"/>
      <c r="ENT144" s="72"/>
      <c r="ENU144" s="72"/>
      <c r="ENV144" s="72"/>
      <c r="ENW144" s="72"/>
      <c r="ENX144" s="72"/>
      <c r="ENY144" s="72"/>
      <c r="ENZ144" s="72"/>
      <c r="EOA144" s="72"/>
      <c r="EOB144" s="72"/>
      <c r="EOC144" s="72"/>
      <c r="EOD144" s="72"/>
      <c r="EOE144" s="72"/>
      <c r="EOF144" s="72"/>
      <c r="EOG144" s="72"/>
      <c r="EOH144" s="72"/>
      <c r="EOI144" s="72"/>
      <c r="EOJ144" s="72"/>
      <c r="EOK144" s="72"/>
      <c r="EOL144" s="72"/>
      <c r="EOM144" s="72"/>
      <c r="EON144" s="72"/>
      <c r="EOO144" s="72"/>
      <c r="EOP144" s="72"/>
      <c r="EOQ144" s="72"/>
      <c r="EOR144" s="72"/>
      <c r="EOS144" s="72"/>
      <c r="EOT144" s="72"/>
      <c r="EOU144" s="72"/>
      <c r="EOV144" s="72"/>
      <c r="EOW144" s="72"/>
      <c r="EOX144" s="72"/>
      <c r="EOY144" s="72"/>
      <c r="EOZ144" s="72"/>
      <c r="EPA144" s="72"/>
      <c r="EPB144" s="72"/>
      <c r="EPC144" s="72"/>
      <c r="EPD144" s="72"/>
      <c r="EPE144" s="72"/>
      <c r="EPF144" s="72"/>
      <c r="EPG144" s="72"/>
      <c r="EPH144" s="72"/>
      <c r="EPI144" s="72"/>
      <c r="EPJ144" s="72"/>
      <c r="EPK144" s="72"/>
      <c r="EPL144" s="72"/>
      <c r="EPM144" s="72"/>
      <c r="EPN144" s="72"/>
      <c r="EPO144" s="72"/>
      <c r="EPP144" s="72"/>
      <c r="EPQ144" s="72"/>
      <c r="EPR144" s="72"/>
      <c r="EPS144" s="72"/>
      <c r="EPT144" s="72"/>
      <c r="EPU144" s="72"/>
      <c r="EPV144" s="72"/>
      <c r="EPW144" s="72"/>
      <c r="EPX144" s="72"/>
      <c r="EPY144" s="72"/>
      <c r="EPZ144" s="72"/>
      <c r="EQA144" s="72"/>
      <c r="EQB144" s="72"/>
      <c r="EQC144" s="72"/>
      <c r="EQD144" s="72"/>
      <c r="EQE144" s="72"/>
      <c r="EQF144" s="72"/>
      <c r="EQG144" s="72"/>
      <c r="EQH144" s="72"/>
      <c r="EQI144" s="72"/>
      <c r="EQJ144" s="72"/>
      <c r="EQK144" s="72"/>
      <c r="EQL144" s="72"/>
      <c r="EQM144" s="72"/>
      <c r="EQN144" s="72"/>
      <c r="EQO144" s="72"/>
      <c r="EQP144" s="72"/>
      <c r="EQQ144" s="72"/>
      <c r="EQR144" s="72"/>
      <c r="EQS144" s="72"/>
      <c r="EQT144" s="72"/>
      <c r="EQU144" s="72"/>
      <c r="EQV144" s="72"/>
      <c r="EQW144" s="72"/>
      <c r="EQX144" s="72"/>
      <c r="EQY144" s="72"/>
      <c r="EQZ144" s="72"/>
      <c r="ERA144" s="72"/>
      <c r="ERB144" s="72"/>
      <c r="ERC144" s="72"/>
      <c r="ERD144" s="72"/>
      <c r="ERE144" s="72"/>
      <c r="ERF144" s="72"/>
      <c r="ERG144" s="72"/>
      <c r="ERH144" s="72"/>
      <c r="ERI144" s="72"/>
      <c r="ERJ144" s="72"/>
      <c r="ERK144" s="72"/>
      <c r="ERL144" s="72"/>
      <c r="ERM144" s="72"/>
      <c r="ERN144" s="72"/>
      <c r="ERO144" s="72"/>
      <c r="ERP144" s="72"/>
      <c r="ERQ144" s="72"/>
      <c r="ERR144" s="72"/>
      <c r="ERS144" s="72"/>
      <c r="ERT144" s="72"/>
      <c r="ERU144" s="72"/>
      <c r="ERV144" s="72"/>
      <c r="ERW144" s="72"/>
      <c r="ERX144" s="72"/>
      <c r="ERY144" s="72"/>
      <c r="ERZ144" s="72"/>
      <c r="ESA144" s="72"/>
      <c r="ESB144" s="72"/>
      <c r="ESC144" s="72"/>
      <c r="ESD144" s="72"/>
      <c r="ESE144" s="72"/>
      <c r="ESF144" s="72"/>
      <c r="ESG144" s="72"/>
      <c r="ESH144" s="72"/>
      <c r="ESI144" s="72"/>
      <c r="ESJ144" s="72"/>
      <c r="ESK144" s="72"/>
      <c r="ESL144" s="72"/>
      <c r="ESM144" s="72"/>
      <c r="ESN144" s="72"/>
      <c r="ESO144" s="72"/>
      <c r="ESP144" s="72"/>
      <c r="ESQ144" s="72"/>
      <c r="ESR144" s="72"/>
      <c r="ESS144" s="72"/>
      <c r="EST144" s="72"/>
      <c r="ESU144" s="72"/>
      <c r="ESV144" s="72"/>
      <c r="ESW144" s="72"/>
      <c r="ESX144" s="72"/>
      <c r="ESY144" s="72"/>
      <c r="ESZ144" s="72"/>
      <c r="ETA144" s="72"/>
      <c r="ETB144" s="72"/>
      <c r="ETC144" s="72"/>
      <c r="ETD144" s="72"/>
      <c r="ETE144" s="72"/>
      <c r="ETF144" s="72"/>
      <c r="ETG144" s="72"/>
      <c r="ETH144" s="72"/>
      <c r="ETI144" s="72"/>
      <c r="ETJ144" s="72"/>
      <c r="ETK144" s="72"/>
      <c r="ETL144" s="72"/>
      <c r="ETM144" s="72"/>
      <c r="ETN144" s="72"/>
      <c r="ETO144" s="72"/>
      <c r="ETP144" s="72"/>
      <c r="ETQ144" s="72"/>
      <c r="ETR144" s="72"/>
      <c r="ETS144" s="72"/>
      <c r="ETT144" s="72"/>
      <c r="ETU144" s="72"/>
      <c r="ETV144" s="72"/>
      <c r="ETW144" s="72"/>
      <c r="ETX144" s="72"/>
      <c r="ETY144" s="72"/>
      <c r="ETZ144" s="72"/>
      <c r="EUA144" s="72"/>
      <c r="EUB144" s="72"/>
      <c r="EUC144" s="72"/>
      <c r="EUD144" s="72"/>
      <c r="EUE144" s="72"/>
      <c r="EUF144" s="72"/>
      <c r="EUG144" s="72"/>
      <c r="EUH144" s="72"/>
      <c r="EUI144" s="72"/>
      <c r="EUJ144" s="72"/>
      <c r="EUK144" s="72"/>
      <c r="EUL144" s="72"/>
      <c r="EUM144" s="72"/>
      <c r="EUN144" s="72"/>
      <c r="EUO144" s="72"/>
      <c r="EUP144" s="72"/>
      <c r="EUQ144" s="72"/>
      <c r="EUR144" s="72"/>
      <c r="EUS144" s="72"/>
      <c r="EUT144" s="72"/>
      <c r="EUU144" s="72"/>
      <c r="EUV144" s="72"/>
      <c r="EUW144" s="72"/>
      <c r="EUX144" s="72"/>
      <c r="EUY144" s="72"/>
      <c r="EUZ144" s="72"/>
      <c r="EVA144" s="72"/>
      <c r="EVB144" s="72"/>
      <c r="EVC144" s="72"/>
      <c r="EVD144" s="72"/>
      <c r="EVE144" s="72"/>
      <c r="EVF144" s="72"/>
      <c r="EVG144" s="72"/>
      <c r="EVH144" s="72"/>
      <c r="EVI144" s="72"/>
      <c r="EVJ144" s="72"/>
      <c r="EVK144" s="72"/>
      <c r="EVL144" s="72"/>
      <c r="EVM144" s="72"/>
      <c r="EVN144" s="72"/>
      <c r="EVO144" s="72"/>
      <c r="EVP144" s="72"/>
      <c r="EVQ144" s="72"/>
      <c r="EVR144" s="72"/>
      <c r="EVS144" s="72"/>
      <c r="EVT144" s="72"/>
      <c r="EVU144" s="72"/>
      <c r="EVV144" s="72"/>
      <c r="EVW144" s="72"/>
      <c r="EVX144" s="72"/>
      <c r="EVY144" s="72"/>
      <c r="EVZ144" s="72"/>
      <c r="EWA144" s="72"/>
      <c r="EWB144" s="72"/>
      <c r="EWC144" s="72"/>
      <c r="EWD144" s="72"/>
      <c r="EWE144" s="72"/>
      <c r="EWF144" s="72"/>
      <c r="EWG144" s="72"/>
      <c r="EWH144" s="72"/>
      <c r="EWI144" s="72"/>
      <c r="EWJ144" s="72"/>
      <c r="EWK144" s="72"/>
      <c r="EWL144" s="72"/>
      <c r="EWM144" s="72"/>
      <c r="EWN144" s="72"/>
      <c r="EWO144" s="72"/>
      <c r="EWP144" s="72"/>
      <c r="EWQ144" s="72"/>
      <c r="EWR144" s="72"/>
      <c r="EWS144" s="72"/>
      <c r="EWT144" s="72"/>
      <c r="EWU144" s="72"/>
      <c r="EWV144" s="72"/>
      <c r="EWW144" s="72"/>
      <c r="EWX144" s="72"/>
      <c r="EWY144" s="72"/>
      <c r="EWZ144" s="72"/>
      <c r="EXA144" s="72"/>
      <c r="EXB144" s="72"/>
      <c r="EXC144" s="72"/>
      <c r="EXD144" s="72"/>
      <c r="EXE144" s="72"/>
      <c r="EXF144" s="72"/>
      <c r="EXG144" s="72"/>
      <c r="EXH144" s="72"/>
      <c r="EXI144" s="72"/>
      <c r="EXJ144" s="72"/>
      <c r="EXK144" s="72"/>
      <c r="EXL144" s="72"/>
      <c r="EXM144" s="72"/>
      <c r="EXN144" s="72"/>
      <c r="EXO144" s="72"/>
      <c r="EXP144" s="72"/>
      <c r="EXQ144" s="72"/>
      <c r="EXR144" s="72"/>
      <c r="EXS144" s="72"/>
      <c r="EXT144" s="72"/>
      <c r="EXU144" s="72"/>
      <c r="EXV144" s="72"/>
      <c r="EXW144" s="72"/>
      <c r="EXX144" s="72"/>
      <c r="EXY144" s="72"/>
      <c r="EXZ144" s="72"/>
      <c r="EYA144" s="72"/>
      <c r="EYB144" s="72"/>
      <c r="EYC144" s="72"/>
      <c r="EYD144" s="72"/>
      <c r="EYE144" s="72"/>
      <c r="EYF144" s="72"/>
      <c r="EYG144" s="72"/>
      <c r="EYH144" s="72"/>
      <c r="EYI144" s="72"/>
      <c r="EYJ144" s="72"/>
      <c r="EYK144" s="72"/>
      <c r="EYL144" s="72"/>
      <c r="EYM144" s="72"/>
      <c r="EYN144" s="72"/>
      <c r="EYO144" s="72"/>
      <c r="EYP144" s="72"/>
      <c r="EYQ144" s="72"/>
      <c r="EYR144" s="72"/>
      <c r="EYS144" s="72"/>
      <c r="EYT144" s="72"/>
      <c r="EYU144" s="72"/>
      <c r="EYV144" s="72"/>
      <c r="EYW144" s="72"/>
      <c r="EYX144" s="72"/>
      <c r="EYY144" s="72"/>
      <c r="EYZ144" s="72"/>
      <c r="EZA144" s="72"/>
      <c r="EZB144" s="72"/>
      <c r="EZC144" s="72"/>
      <c r="EZD144" s="72"/>
      <c r="EZE144" s="72"/>
      <c r="EZF144" s="72"/>
      <c r="EZG144" s="72"/>
      <c r="EZH144" s="72"/>
      <c r="EZI144" s="72"/>
      <c r="EZJ144" s="72"/>
      <c r="EZK144" s="72"/>
      <c r="EZL144" s="72"/>
      <c r="EZM144" s="72"/>
      <c r="EZN144" s="72"/>
      <c r="EZO144" s="72"/>
      <c r="EZP144" s="72"/>
      <c r="EZQ144" s="72"/>
      <c r="EZR144" s="72"/>
      <c r="EZS144" s="72"/>
      <c r="EZT144" s="72"/>
      <c r="EZU144" s="72"/>
      <c r="EZV144" s="72"/>
      <c r="EZW144" s="72"/>
      <c r="EZX144" s="72"/>
      <c r="EZY144" s="72"/>
      <c r="EZZ144" s="72"/>
      <c r="FAA144" s="72"/>
      <c r="FAB144" s="72"/>
      <c r="FAC144" s="72"/>
      <c r="FAD144" s="72"/>
      <c r="FAE144" s="72"/>
      <c r="FAF144" s="72"/>
      <c r="FAG144" s="72"/>
      <c r="FAH144" s="72"/>
      <c r="FAI144" s="72"/>
      <c r="FAJ144" s="72"/>
      <c r="FAK144" s="72"/>
      <c r="FAL144" s="72"/>
      <c r="FAM144" s="72"/>
      <c r="FAN144" s="72"/>
      <c r="FAO144" s="72"/>
      <c r="FAP144" s="72"/>
      <c r="FAQ144" s="72"/>
      <c r="FAR144" s="72"/>
      <c r="FAS144" s="72"/>
      <c r="FAT144" s="72"/>
      <c r="FAU144" s="72"/>
      <c r="FAV144" s="72"/>
      <c r="FAW144" s="72"/>
      <c r="FAX144" s="72"/>
      <c r="FAY144" s="72"/>
      <c r="FAZ144" s="72"/>
      <c r="FBA144" s="72"/>
      <c r="FBB144" s="72"/>
      <c r="FBC144" s="72"/>
      <c r="FBD144" s="72"/>
      <c r="FBE144" s="72"/>
      <c r="FBF144" s="72"/>
      <c r="FBG144" s="72"/>
      <c r="FBH144" s="72"/>
      <c r="FBI144" s="72"/>
      <c r="FBJ144" s="72"/>
      <c r="FBK144" s="72"/>
      <c r="FBL144" s="72"/>
      <c r="FBM144" s="72"/>
      <c r="FBN144" s="72"/>
      <c r="FBO144" s="72"/>
      <c r="FBP144" s="72"/>
      <c r="FBQ144" s="72"/>
      <c r="FBR144" s="72"/>
      <c r="FBS144" s="72"/>
      <c r="FBT144" s="72"/>
      <c r="FBU144" s="72"/>
      <c r="FBV144" s="72"/>
      <c r="FBW144" s="72"/>
      <c r="FBX144" s="72"/>
      <c r="FBY144" s="72"/>
      <c r="FBZ144" s="72"/>
      <c r="FCA144" s="72"/>
      <c r="FCB144" s="72"/>
      <c r="FCC144" s="72"/>
      <c r="FCD144" s="72"/>
      <c r="FCE144" s="72"/>
      <c r="FCF144" s="72"/>
      <c r="FCG144" s="72"/>
      <c r="FCH144" s="72"/>
      <c r="FCI144" s="72"/>
      <c r="FCJ144" s="72"/>
      <c r="FCK144" s="72"/>
      <c r="FCL144" s="72"/>
      <c r="FCM144" s="72"/>
      <c r="FCN144" s="72"/>
      <c r="FCO144" s="72"/>
      <c r="FCP144" s="72"/>
      <c r="FCQ144" s="72"/>
      <c r="FCR144" s="72"/>
      <c r="FCS144" s="72"/>
      <c r="FCT144" s="72"/>
      <c r="FCU144" s="72"/>
      <c r="FCV144" s="72"/>
      <c r="FCW144" s="72"/>
      <c r="FCX144" s="72"/>
      <c r="FCY144" s="72"/>
      <c r="FCZ144" s="72"/>
      <c r="FDA144" s="72"/>
      <c r="FDB144" s="72"/>
      <c r="FDC144" s="72"/>
      <c r="FDD144" s="72"/>
      <c r="FDE144" s="72"/>
      <c r="FDF144" s="72"/>
      <c r="FDG144" s="72"/>
      <c r="FDH144" s="72"/>
      <c r="FDI144" s="72"/>
      <c r="FDJ144" s="72"/>
      <c r="FDK144" s="72"/>
      <c r="FDL144" s="72"/>
      <c r="FDM144" s="72"/>
      <c r="FDN144" s="72"/>
      <c r="FDO144" s="72"/>
      <c r="FDP144" s="72"/>
      <c r="FDQ144" s="72"/>
      <c r="FDR144" s="72"/>
      <c r="FDS144" s="72"/>
      <c r="FDT144" s="72"/>
      <c r="FDU144" s="72"/>
      <c r="FDV144" s="72"/>
      <c r="FDW144" s="72"/>
      <c r="FDX144" s="72"/>
      <c r="FDY144" s="72"/>
      <c r="FDZ144" s="72"/>
      <c r="FEA144" s="72"/>
      <c r="FEB144" s="72"/>
      <c r="FEC144" s="72"/>
      <c r="FED144" s="72"/>
      <c r="FEE144" s="72"/>
      <c r="FEF144" s="72"/>
      <c r="FEG144" s="72"/>
      <c r="FEH144" s="72"/>
      <c r="FEI144" s="72"/>
      <c r="FEJ144" s="72"/>
      <c r="FEK144" s="72"/>
      <c r="FEL144" s="72"/>
      <c r="FEM144" s="72"/>
      <c r="FEN144" s="72"/>
      <c r="FEO144" s="72"/>
      <c r="FEP144" s="72"/>
      <c r="FEQ144" s="72"/>
      <c r="FER144" s="72"/>
      <c r="FES144" s="72"/>
      <c r="FET144" s="72"/>
      <c r="FEU144" s="72"/>
      <c r="FEV144" s="72"/>
      <c r="FEW144" s="72"/>
      <c r="FEX144" s="72"/>
      <c r="FEY144" s="72"/>
      <c r="FEZ144" s="72"/>
      <c r="FFA144" s="72"/>
      <c r="FFB144" s="72"/>
      <c r="FFC144" s="72"/>
      <c r="FFD144" s="72"/>
      <c r="FFE144" s="72"/>
      <c r="FFF144" s="72"/>
      <c r="FFG144" s="72"/>
      <c r="FFH144" s="72"/>
      <c r="FFI144" s="72"/>
      <c r="FFJ144" s="72"/>
      <c r="FFK144" s="72"/>
      <c r="FFL144" s="72"/>
      <c r="FFM144" s="72"/>
      <c r="FFN144" s="72"/>
      <c r="FFO144" s="72"/>
      <c r="FFP144" s="72"/>
      <c r="FFQ144" s="72"/>
      <c r="FFR144" s="72"/>
      <c r="FFS144" s="72"/>
      <c r="FFT144" s="72"/>
      <c r="FFU144" s="72"/>
      <c r="FFV144" s="72"/>
      <c r="FFW144" s="72"/>
      <c r="FFX144" s="72"/>
      <c r="FFY144" s="72"/>
      <c r="FFZ144" s="72"/>
      <c r="FGA144" s="72"/>
      <c r="FGB144" s="72"/>
      <c r="FGC144" s="72"/>
      <c r="FGD144" s="72"/>
      <c r="FGE144" s="72"/>
      <c r="FGF144" s="72"/>
      <c r="FGG144" s="72"/>
      <c r="FGH144" s="72"/>
      <c r="FGI144" s="72"/>
      <c r="FGJ144" s="72"/>
      <c r="FGK144" s="72"/>
      <c r="FGL144" s="72"/>
      <c r="FGM144" s="72"/>
      <c r="FGN144" s="72"/>
      <c r="FGO144" s="72"/>
      <c r="FGP144" s="72"/>
      <c r="FGQ144" s="72"/>
      <c r="FGR144" s="72"/>
      <c r="FGS144" s="72"/>
      <c r="FGT144" s="72"/>
      <c r="FGU144" s="72"/>
      <c r="FGV144" s="72"/>
      <c r="FGW144" s="72"/>
      <c r="FGX144" s="72"/>
      <c r="FGY144" s="72"/>
      <c r="FGZ144" s="72"/>
      <c r="FHA144" s="72"/>
      <c r="FHB144" s="72"/>
      <c r="FHC144" s="72"/>
      <c r="FHD144" s="72"/>
      <c r="FHE144" s="72"/>
      <c r="FHF144" s="72"/>
      <c r="FHG144" s="72"/>
      <c r="FHH144" s="72"/>
      <c r="FHI144" s="72"/>
      <c r="FHJ144" s="72"/>
      <c r="FHK144" s="72"/>
      <c r="FHL144" s="72"/>
      <c r="FHM144" s="72"/>
      <c r="FHN144" s="72"/>
      <c r="FHO144" s="72"/>
      <c r="FHP144" s="72"/>
      <c r="FHQ144" s="72"/>
      <c r="FHR144" s="72"/>
      <c r="FHS144" s="72"/>
      <c r="FHT144" s="72"/>
      <c r="FHU144" s="72"/>
      <c r="FHV144" s="72"/>
      <c r="FHW144" s="72"/>
      <c r="FHX144" s="72"/>
      <c r="FHY144" s="72"/>
      <c r="FHZ144" s="72"/>
      <c r="FIA144" s="72"/>
      <c r="FIB144" s="72"/>
      <c r="FIC144" s="72"/>
      <c r="FID144" s="72"/>
      <c r="FIE144" s="72"/>
      <c r="FIF144" s="72"/>
      <c r="FIG144" s="72"/>
      <c r="FIH144" s="72"/>
      <c r="FII144" s="72"/>
      <c r="FIJ144" s="72"/>
      <c r="FIK144" s="72"/>
      <c r="FIL144" s="72"/>
      <c r="FIM144" s="72"/>
      <c r="FIN144" s="72"/>
      <c r="FIO144" s="72"/>
      <c r="FIP144" s="72"/>
      <c r="FIQ144" s="72"/>
      <c r="FIR144" s="72"/>
      <c r="FIS144" s="72"/>
      <c r="FIT144" s="72"/>
      <c r="FIU144" s="72"/>
      <c r="FIV144" s="72"/>
      <c r="FIW144" s="72"/>
      <c r="FIX144" s="72"/>
      <c r="FIY144" s="72"/>
      <c r="FIZ144" s="72"/>
      <c r="FJA144" s="72"/>
      <c r="FJB144" s="72"/>
      <c r="FJC144" s="72"/>
      <c r="FJD144" s="72"/>
      <c r="FJE144" s="72"/>
      <c r="FJF144" s="72"/>
      <c r="FJG144" s="72"/>
      <c r="FJH144" s="72"/>
      <c r="FJI144" s="72"/>
      <c r="FJJ144" s="72"/>
      <c r="FJK144" s="72"/>
      <c r="FJL144" s="72"/>
      <c r="FJM144" s="72"/>
      <c r="FJN144" s="72"/>
      <c r="FJO144" s="72"/>
      <c r="FJP144" s="72"/>
      <c r="FJQ144" s="72"/>
      <c r="FJR144" s="72"/>
      <c r="FJS144" s="72"/>
      <c r="FJT144" s="72"/>
      <c r="FJU144" s="72"/>
      <c r="FJV144" s="72"/>
      <c r="FJW144" s="72"/>
      <c r="FJX144" s="72"/>
      <c r="FJY144" s="72"/>
      <c r="FJZ144" s="72"/>
      <c r="FKA144" s="72"/>
      <c r="FKB144" s="72"/>
      <c r="FKC144" s="72"/>
      <c r="FKD144" s="72"/>
      <c r="FKE144" s="72"/>
      <c r="FKF144" s="72"/>
      <c r="FKG144" s="72"/>
      <c r="FKH144" s="72"/>
      <c r="FKI144" s="72"/>
      <c r="FKJ144" s="72"/>
      <c r="FKK144" s="72"/>
      <c r="FKL144" s="72"/>
      <c r="FKM144" s="72"/>
      <c r="FKN144" s="72"/>
      <c r="FKO144" s="72"/>
      <c r="FKP144" s="72"/>
      <c r="FKQ144" s="72"/>
      <c r="FKR144" s="72"/>
      <c r="FKS144" s="72"/>
      <c r="FKT144" s="72"/>
      <c r="FKU144" s="72"/>
      <c r="FKV144" s="72"/>
      <c r="FKW144" s="72"/>
      <c r="FKX144" s="72"/>
      <c r="FKY144" s="72"/>
      <c r="FKZ144" s="72"/>
      <c r="FLA144" s="72"/>
      <c r="FLB144" s="72"/>
      <c r="FLC144" s="72"/>
      <c r="FLD144" s="72"/>
      <c r="FLE144" s="72"/>
      <c r="FLF144" s="72"/>
      <c r="FLG144" s="72"/>
      <c r="FLH144" s="72"/>
      <c r="FLI144" s="72"/>
      <c r="FLJ144" s="72"/>
      <c r="FLK144" s="72"/>
      <c r="FLL144" s="72"/>
      <c r="FLM144" s="72"/>
      <c r="FLN144" s="72"/>
      <c r="FLO144" s="72"/>
      <c r="FLP144" s="72"/>
      <c r="FLQ144" s="72"/>
      <c r="FLR144" s="72"/>
      <c r="FLS144" s="72"/>
      <c r="FLT144" s="72"/>
      <c r="FLU144" s="72"/>
      <c r="FLV144" s="72"/>
      <c r="FLW144" s="72"/>
      <c r="FLX144" s="72"/>
      <c r="FLY144" s="72"/>
      <c r="FLZ144" s="72"/>
      <c r="FMA144" s="72"/>
      <c r="FMB144" s="72"/>
      <c r="FMC144" s="72"/>
      <c r="FMD144" s="72"/>
      <c r="FME144" s="72"/>
      <c r="FMF144" s="72"/>
      <c r="FMG144" s="72"/>
      <c r="FMH144" s="72"/>
      <c r="FMI144" s="72"/>
      <c r="FMJ144" s="72"/>
      <c r="FMK144" s="72"/>
      <c r="FML144" s="72"/>
      <c r="FMM144" s="72"/>
      <c r="FMN144" s="72"/>
      <c r="FMO144" s="72"/>
      <c r="FMP144" s="72"/>
      <c r="FMQ144" s="72"/>
      <c r="FMR144" s="72"/>
      <c r="FMS144" s="72"/>
      <c r="FMT144" s="72"/>
      <c r="FMU144" s="72"/>
      <c r="FMV144" s="72"/>
      <c r="FMW144" s="72"/>
      <c r="FMX144" s="72"/>
      <c r="FMY144" s="72"/>
      <c r="FMZ144" s="72"/>
      <c r="FNA144" s="72"/>
      <c r="FNB144" s="72"/>
      <c r="FNC144" s="72"/>
      <c r="FND144" s="72"/>
      <c r="FNE144" s="72"/>
      <c r="FNF144" s="72"/>
      <c r="FNG144" s="72"/>
      <c r="FNH144" s="72"/>
      <c r="FNI144" s="72"/>
      <c r="FNJ144" s="72"/>
      <c r="FNK144" s="72"/>
      <c r="FNL144" s="72"/>
      <c r="FNM144" s="72"/>
      <c r="FNN144" s="72"/>
      <c r="FNO144" s="72"/>
      <c r="FNP144" s="72"/>
      <c r="FNQ144" s="72"/>
      <c r="FNR144" s="72"/>
      <c r="FNS144" s="72"/>
      <c r="FNT144" s="72"/>
      <c r="FNU144" s="72"/>
      <c r="FNV144" s="72"/>
      <c r="FNW144" s="72"/>
      <c r="FNX144" s="72"/>
      <c r="FNY144" s="72"/>
      <c r="FNZ144" s="72"/>
      <c r="FOA144" s="72"/>
      <c r="FOB144" s="72"/>
      <c r="FOC144" s="72"/>
      <c r="FOD144" s="72"/>
      <c r="FOE144" s="72"/>
      <c r="FOF144" s="72"/>
      <c r="FOG144" s="72"/>
      <c r="FOH144" s="72"/>
      <c r="FOI144" s="72"/>
      <c r="FOJ144" s="72"/>
      <c r="FOK144" s="72"/>
      <c r="FOL144" s="72"/>
      <c r="FOM144" s="72"/>
      <c r="FON144" s="72"/>
      <c r="FOO144" s="72"/>
      <c r="FOP144" s="72"/>
      <c r="FOQ144" s="72"/>
      <c r="FOR144" s="72"/>
      <c r="FOS144" s="72"/>
      <c r="FOT144" s="72"/>
      <c r="FOU144" s="72"/>
      <c r="FOV144" s="72"/>
      <c r="FOW144" s="72"/>
      <c r="FOX144" s="72"/>
      <c r="FOY144" s="72"/>
      <c r="FOZ144" s="72"/>
      <c r="FPA144" s="72"/>
      <c r="FPB144" s="72"/>
      <c r="FPC144" s="72"/>
      <c r="FPD144" s="72"/>
      <c r="FPE144" s="72"/>
      <c r="FPF144" s="72"/>
      <c r="FPG144" s="72"/>
      <c r="FPH144" s="72"/>
      <c r="FPI144" s="72"/>
      <c r="FPJ144" s="72"/>
      <c r="FPK144" s="72"/>
      <c r="FPL144" s="72"/>
      <c r="FPM144" s="72"/>
      <c r="FPN144" s="72"/>
      <c r="FPO144" s="72"/>
      <c r="FPP144" s="72"/>
      <c r="FPQ144" s="72"/>
      <c r="FPR144" s="72"/>
      <c r="FPS144" s="72"/>
      <c r="FPT144" s="72"/>
      <c r="FPU144" s="72"/>
      <c r="FPV144" s="72"/>
      <c r="FPW144" s="72"/>
      <c r="FPX144" s="72"/>
      <c r="FPY144" s="72"/>
      <c r="FPZ144" s="72"/>
      <c r="FQA144" s="72"/>
      <c r="FQB144" s="72"/>
      <c r="FQC144" s="72"/>
      <c r="FQD144" s="72"/>
      <c r="FQE144" s="72"/>
      <c r="FQF144" s="72"/>
      <c r="FQG144" s="72"/>
      <c r="FQH144" s="72"/>
      <c r="FQI144" s="72"/>
      <c r="FQJ144" s="72"/>
      <c r="FQK144" s="72"/>
      <c r="FQL144" s="72"/>
      <c r="FQM144" s="72"/>
      <c r="FQN144" s="72"/>
      <c r="FQO144" s="72"/>
      <c r="FQP144" s="72"/>
      <c r="FQQ144" s="72"/>
      <c r="FQR144" s="72"/>
      <c r="FQS144" s="72"/>
      <c r="FQT144" s="72"/>
      <c r="FQU144" s="72"/>
      <c r="FQV144" s="72"/>
      <c r="FQW144" s="72"/>
      <c r="FQX144" s="72"/>
      <c r="FQY144" s="72"/>
      <c r="FQZ144" s="72"/>
      <c r="FRA144" s="72"/>
      <c r="FRB144" s="72"/>
      <c r="FRC144" s="72"/>
      <c r="FRD144" s="72"/>
      <c r="FRE144" s="72"/>
      <c r="FRF144" s="72"/>
      <c r="FRG144" s="72"/>
      <c r="FRH144" s="72"/>
      <c r="FRI144" s="72"/>
      <c r="FRJ144" s="72"/>
      <c r="FRK144" s="72"/>
      <c r="FRL144" s="72"/>
      <c r="FRM144" s="72"/>
      <c r="FRN144" s="72"/>
      <c r="FRO144" s="72"/>
      <c r="FRP144" s="72"/>
      <c r="FRQ144" s="72"/>
      <c r="FRR144" s="72"/>
      <c r="FRS144" s="72"/>
      <c r="FRT144" s="72"/>
      <c r="FRU144" s="72"/>
      <c r="FRV144" s="72"/>
      <c r="FRW144" s="72"/>
      <c r="FRX144" s="72"/>
      <c r="FRY144" s="72"/>
      <c r="FRZ144" s="72"/>
      <c r="FSA144" s="72"/>
      <c r="FSB144" s="72"/>
      <c r="FSC144" s="72"/>
      <c r="FSD144" s="72"/>
      <c r="FSE144" s="72"/>
      <c r="FSF144" s="72"/>
      <c r="FSG144" s="72"/>
      <c r="FSH144" s="72"/>
      <c r="FSI144" s="72"/>
      <c r="FSJ144" s="72"/>
      <c r="FSK144" s="72"/>
      <c r="FSL144" s="72"/>
      <c r="FSM144" s="72"/>
      <c r="FSN144" s="72"/>
      <c r="FSO144" s="72"/>
      <c r="FSP144" s="72"/>
      <c r="FSQ144" s="72"/>
      <c r="FSR144" s="72"/>
      <c r="FSS144" s="72"/>
      <c r="FST144" s="72"/>
      <c r="FSU144" s="72"/>
      <c r="FSV144" s="72"/>
      <c r="FSW144" s="72"/>
      <c r="FSX144" s="72"/>
      <c r="FSY144" s="72"/>
      <c r="FSZ144" s="72"/>
      <c r="FTA144" s="72"/>
      <c r="FTB144" s="72"/>
      <c r="FTC144" s="72"/>
      <c r="FTD144" s="72"/>
      <c r="FTE144" s="72"/>
      <c r="FTF144" s="72"/>
      <c r="FTG144" s="72"/>
      <c r="FTH144" s="72"/>
      <c r="FTI144" s="72"/>
      <c r="FTJ144" s="72"/>
      <c r="FTK144" s="72"/>
      <c r="FTL144" s="72"/>
      <c r="FTM144" s="72"/>
      <c r="FTN144" s="72"/>
      <c r="FTO144" s="72"/>
      <c r="FTP144" s="72"/>
      <c r="FTQ144" s="72"/>
      <c r="FTR144" s="72"/>
      <c r="FTS144" s="72"/>
      <c r="FTT144" s="72"/>
      <c r="FTU144" s="72"/>
      <c r="FTV144" s="72"/>
      <c r="FTW144" s="72"/>
      <c r="FTX144" s="72"/>
      <c r="FTY144" s="72"/>
      <c r="FTZ144" s="72"/>
      <c r="FUA144" s="72"/>
      <c r="FUB144" s="72"/>
      <c r="FUC144" s="72"/>
      <c r="FUD144" s="72"/>
      <c r="FUE144" s="72"/>
      <c r="FUF144" s="72"/>
      <c r="FUG144" s="72"/>
      <c r="FUH144" s="72"/>
      <c r="FUI144" s="72"/>
      <c r="FUJ144" s="72"/>
      <c r="FUK144" s="72"/>
      <c r="FUL144" s="72"/>
      <c r="FUM144" s="72"/>
      <c r="FUN144" s="72"/>
      <c r="FUO144" s="72"/>
      <c r="FUP144" s="72"/>
      <c r="FUQ144" s="72"/>
      <c r="FUR144" s="72"/>
      <c r="FUS144" s="72"/>
      <c r="FUT144" s="72"/>
      <c r="FUU144" s="72"/>
      <c r="FUV144" s="72"/>
      <c r="FUW144" s="72"/>
      <c r="FUX144" s="72"/>
      <c r="FUY144" s="72"/>
      <c r="FUZ144" s="72"/>
      <c r="FVA144" s="72"/>
      <c r="FVB144" s="72"/>
      <c r="FVC144" s="72"/>
      <c r="FVD144" s="72"/>
      <c r="FVE144" s="72"/>
      <c r="FVF144" s="72"/>
      <c r="FVG144" s="72"/>
      <c r="FVH144" s="72"/>
      <c r="FVI144" s="72"/>
      <c r="FVJ144" s="72"/>
      <c r="FVK144" s="72"/>
      <c r="FVL144" s="72"/>
      <c r="FVM144" s="72"/>
      <c r="FVN144" s="72"/>
      <c r="FVO144" s="72"/>
      <c r="FVP144" s="72"/>
      <c r="FVQ144" s="72"/>
      <c r="FVR144" s="72"/>
      <c r="FVS144" s="72"/>
      <c r="FVT144" s="72"/>
      <c r="FVU144" s="72"/>
      <c r="FVV144" s="72"/>
      <c r="FVW144" s="72"/>
      <c r="FVX144" s="72"/>
      <c r="FVY144" s="72"/>
      <c r="FVZ144" s="72"/>
      <c r="FWA144" s="72"/>
      <c r="FWB144" s="72"/>
      <c r="FWC144" s="72"/>
      <c r="FWD144" s="72"/>
      <c r="FWE144" s="72"/>
      <c r="FWF144" s="72"/>
      <c r="FWG144" s="72"/>
      <c r="FWH144" s="72"/>
      <c r="FWI144" s="72"/>
      <c r="FWJ144" s="72"/>
      <c r="FWK144" s="72"/>
      <c r="FWL144" s="72"/>
      <c r="FWM144" s="72"/>
      <c r="FWN144" s="72"/>
      <c r="FWO144" s="72"/>
      <c r="FWP144" s="72"/>
      <c r="FWQ144" s="72"/>
      <c r="FWR144" s="72"/>
      <c r="FWS144" s="72"/>
      <c r="FWT144" s="72"/>
      <c r="FWU144" s="72"/>
      <c r="FWV144" s="72"/>
      <c r="FWW144" s="72"/>
      <c r="FWX144" s="72"/>
      <c r="FWY144" s="72"/>
      <c r="FWZ144" s="72"/>
      <c r="FXA144" s="72"/>
      <c r="FXB144" s="72"/>
      <c r="FXC144" s="72"/>
      <c r="FXD144" s="72"/>
      <c r="FXE144" s="72"/>
      <c r="FXF144" s="72"/>
      <c r="FXG144" s="72"/>
      <c r="FXH144" s="72"/>
      <c r="FXI144" s="72"/>
      <c r="FXJ144" s="72"/>
      <c r="FXK144" s="72"/>
      <c r="FXL144" s="72"/>
      <c r="FXM144" s="72"/>
      <c r="FXN144" s="72"/>
      <c r="FXO144" s="72"/>
      <c r="FXP144" s="72"/>
      <c r="FXQ144" s="72"/>
      <c r="FXR144" s="72"/>
      <c r="FXS144" s="72"/>
      <c r="FXT144" s="72"/>
      <c r="FXU144" s="72"/>
      <c r="FXV144" s="72"/>
      <c r="FXW144" s="72"/>
      <c r="FXX144" s="72"/>
      <c r="FXY144" s="72"/>
      <c r="FXZ144" s="72"/>
      <c r="FYA144" s="72"/>
      <c r="FYB144" s="72"/>
      <c r="FYC144" s="72"/>
      <c r="FYD144" s="72"/>
      <c r="FYE144" s="72"/>
      <c r="FYF144" s="72"/>
      <c r="FYG144" s="72"/>
      <c r="FYH144" s="72"/>
      <c r="FYI144" s="72"/>
      <c r="FYJ144" s="72"/>
      <c r="FYK144" s="72"/>
      <c r="FYL144" s="72"/>
      <c r="FYM144" s="72"/>
      <c r="FYN144" s="72"/>
      <c r="FYO144" s="72"/>
      <c r="FYP144" s="72"/>
      <c r="FYQ144" s="72"/>
      <c r="FYR144" s="72"/>
      <c r="FYS144" s="72"/>
      <c r="FYT144" s="72"/>
      <c r="FYU144" s="72"/>
      <c r="FYV144" s="72"/>
      <c r="FYW144" s="72"/>
      <c r="FYX144" s="72"/>
      <c r="FYY144" s="72"/>
      <c r="FYZ144" s="72"/>
      <c r="FZA144" s="72"/>
      <c r="FZB144" s="72"/>
      <c r="FZC144" s="72"/>
      <c r="FZD144" s="72"/>
      <c r="FZE144" s="72"/>
      <c r="FZF144" s="72"/>
      <c r="FZG144" s="72"/>
      <c r="FZH144" s="72"/>
      <c r="FZI144" s="72"/>
      <c r="FZJ144" s="72"/>
      <c r="FZK144" s="72"/>
      <c r="FZL144" s="72"/>
      <c r="FZM144" s="72"/>
      <c r="FZN144" s="72"/>
      <c r="FZO144" s="72"/>
      <c r="FZP144" s="72"/>
      <c r="FZQ144" s="72"/>
      <c r="FZR144" s="72"/>
      <c r="FZS144" s="72"/>
      <c r="FZT144" s="72"/>
      <c r="FZU144" s="72"/>
      <c r="FZV144" s="72"/>
      <c r="FZW144" s="72"/>
      <c r="FZX144" s="72"/>
      <c r="FZY144" s="72"/>
      <c r="FZZ144" s="72"/>
      <c r="GAA144" s="72"/>
      <c r="GAB144" s="72"/>
      <c r="GAC144" s="72"/>
      <c r="GAD144" s="72"/>
      <c r="GAE144" s="72"/>
      <c r="GAF144" s="72"/>
      <c r="GAG144" s="72"/>
      <c r="GAH144" s="72"/>
      <c r="GAI144" s="72"/>
      <c r="GAJ144" s="72"/>
      <c r="GAK144" s="72"/>
      <c r="GAL144" s="72"/>
      <c r="GAM144" s="72"/>
      <c r="GAN144" s="72"/>
      <c r="GAO144" s="72"/>
      <c r="GAP144" s="72"/>
      <c r="GAQ144" s="72"/>
      <c r="GAR144" s="72"/>
      <c r="GAS144" s="72"/>
      <c r="GAT144" s="72"/>
      <c r="GAU144" s="72"/>
      <c r="GAV144" s="72"/>
      <c r="GAW144" s="72"/>
      <c r="GAX144" s="72"/>
      <c r="GAY144" s="72"/>
      <c r="GAZ144" s="72"/>
      <c r="GBA144" s="72"/>
      <c r="GBB144" s="72"/>
      <c r="GBC144" s="72"/>
      <c r="GBD144" s="72"/>
      <c r="GBE144" s="72"/>
      <c r="GBF144" s="72"/>
      <c r="GBG144" s="72"/>
      <c r="GBH144" s="72"/>
      <c r="GBI144" s="72"/>
      <c r="GBJ144" s="72"/>
      <c r="GBK144" s="72"/>
      <c r="GBL144" s="72"/>
      <c r="GBM144" s="72"/>
      <c r="GBN144" s="72"/>
      <c r="GBO144" s="72"/>
      <c r="GBP144" s="72"/>
      <c r="GBQ144" s="72"/>
      <c r="GBR144" s="72"/>
      <c r="GBS144" s="72"/>
      <c r="GBT144" s="72"/>
      <c r="GBU144" s="72"/>
      <c r="GBV144" s="72"/>
      <c r="GBW144" s="72"/>
      <c r="GBX144" s="72"/>
      <c r="GBY144" s="72"/>
      <c r="GBZ144" s="72"/>
      <c r="GCA144" s="72"/>
      <c r="GCB144" s="72"/>
      <c r="GCC144" s="72"/>
      <c r="GCD144" s="72"/>
      <c r="GCE144" s="72"/>
      <c r="GCF144" s="72"/>
      <c r="GCG144" s="72"/>
      <c r="GCH144" s="72"/>
      <c r="GCI144" s="72"/>
      <c r="GCJ144" s="72"/>
      <c r="GCK144" s="72"/>
      <c r="GCL144" s="72"/>
      <c r="GCM144" s="72"/>
      <c r="GCN144" s="72"/>
      <c r="GCO144" s="72"/>
      <c r="GCP144" s="72"/>
      <c r="GCQ144" s="72"/>
      <c r="GCR144" s="72"/>
      <c r="GCS144" s="72"/>
      <c r="GCT144" s="72"/>
      <c r="GCU144" s="72"/>
      <c r="GCV144" s="72"/>
      <c r="GCW144" s="72"/>
      <c r="GCX144" s="72"/>
      <c r="GCY144" s="72"/>
      <c r="GCZ144" s="72"/>
      <c r="GDA144" s="72"/>
      <c r="GDB144" s="72"/>
      <c r="GDC144" s="72"/>
      <c r="GDD144" s="72"/>
      <c r="GDE144" s="72"/>
      <c r="GDF144" s="72"/>
      <c r="GDG144" s="72"/>
      <c r="GDH144" s="72"/>
      <c r="GDI144" s="72"/>
      <c r="GDJ144" s="72"/>
      <c r="GDK144" s="72"/>
      <c r="GDL144" s="72"/>
      <c r="GDM144" s="72"/>
      <c r="GDN144" s="72"/>
      <c r="GDO144" s="72"/>
      <c r="GDP144" s="72"/>
      <c r="GDQ144" s="72"/>
      <c r="GDR144" s="72"/>
      <c r="GDS144" s="72"/>
      <c r="GDT144" s="72"/>
      <c r="GDU144" s="72"/>
      <c r="GDV144" s="72"/>
      <c r="GDW144" s="72"/>
      <c r="GDX144" s="72"/>
      <c r="GDY144" s="72"/>
      <c r="GDZ144" s="72"/>
      <c r="GEA144" s="72"/>
      <c r="GEB144" s="72"/>
      <c r="GEC144" s="72"/>
      <c r="GED144" s="72"/>
      <c r="GEE144" s="72"/>
      <c r="GEF144" s="72"/>
      <c r="GEG144" s="72"/>
      <c r="GEH144" s="72"/>
      <c r="GEI144" s="72"/>
      <c r="GEJ144" s="72"/>
      <c r="GEK144" s="72"/>
      <c r="GEL144" s="72"/>
      <c r="GEM144" s="72"/>
      <c r="GEN144" s="72"/>
      <c r="GEO144" s="72"/>
      <c r="GEP144" s="72"/>
      <c r="GEQ144" s="72"/>
      <c r="GER144" s="72"/>
      <c r="GES144" s="72"/>
      <c r="GET144" s="72"/>
      <c r="GEU144" s="72"/>
      <c r="GEV144" s="72"/>
      <c r="GEW144" s="72"/>
      <c r="GEX144" s="72"/>
      <c r="GEY144" s="72"/>
      <c r="GEZ144" s="72"/>
      <c r="GFA144" s="72"/>
      <c r="GFB144" s="72"/>
      <c r="GFC144" s="72"/>
      <c r="GFD144" s="72"/>
      <c r="GFE144" s="72"/>
      <c r="GFF144" s="72"/>
      <c r="GFG144" s="72"/>
      <c r="GFH144" s="72"/>
      <c r="GFI144" s="72"/>
      <c r="GFJ144" s="72"/>
      <c r="GFK144" s="72"/>
      <c r="GFL144" s="72"/>
      <c r="GFM144" s="72"/>
      <c r="GFN144" s="72"/>
      <c r="GFO144" s="72"/>
      <c r="GFP144" s="72"/>
      <c r="GFQ144" s="72"/>
      <c r="GFR144" s="72"/>
      <c r="GFS144" s="72"/>
      <c r="GFT144" s="72"/>
      <c r="GFU144" s="72"/>
      <c r="GFV144" s="72"/>
      <c r="GFW144" s="72"/>
      <c r="GFX144" s="72"/>
      <c r="GFY144" s="72"/>
      <c r="GFZ144" s="72"/>
      <c r="GGA144" s="72"/>
      <c r="GGB144" s="72"/>
      <c r="GGC144" s="72"/>
      <c r="GGD144" s="72"/>
      <c r="GGE144" s="72"/>
      <c r="GGF144" s="72"/>
      <c r="GGG144" s="72"/>
      <c r="GGH144" s="72"/>
      <c r="GGI144" s="72"/>
      <c r="GGJ144" s="72"/>
      <c r="GGK144" s="72"/>
      <c r="GGL144" s="72"/>
      <c r="GGM144" s="72"/>
      <c r="GGN144" s="72"/>
      <c r="GGO144" s="72"/>
      <c r="GGP144" s="72"/>
      <c r="GGQ144" s="72"/>
      <c r="GGR144" s="72"/>
      <c r="GGS144" s="72"/>
      <c r="GGT144" s="72"/>
      <c r="GGU144" s="72"/>
      <c r="GGV144" s="72"/>
      <c r="GGW144" s="72"/>
      <c r="GGX144" s="72"/>
      <c r="GGY144" s="72"/>
      <c r="GGZ144" s="72"/>
      <c r="GHA144" s="72"/>
      <c r="GHB144" s="72"/>
      <c r="GHC144" s="72"/>
      <c r="GHD144" s="72"/>
      <c r="GHE144" s="72"/>
      <c r="GHF144" s="72"/>
      <c r="GHG144" s="72"/>
      <c r="GHH144" s="72"/>
      <c r="GHI144" s="72"/>
      <c r="GHJ144" s="72"/>
      <c r="GHK144" s="72"/>
      <c r="GHL144" s="72"/>
      <c r="GHM144" s="72"/>
      <c r="GHN144" s="72"/>
      <c r="GHO144" s="72"/>
      <c r="GHP144" s="72"/>
      <c r="GHQ144" s="72"/>
      <c r="GHR144" s="72"/>
      <c r="GHS144" s="72"/>
      <c r="GHT144" s="72"/>
      <c r="GHU144" s="72"/>
      <c r="GHV144" s="72"/>
      <c r="GHW144" s="72"/>
      <c r="GHX144" s="72"/>
      <c r="GHY144" s="72"/>
      <c r="GHZ144" s="72"/>
      <c r="GIA144" s="72"/>
      <c r="GIB144" s="72"/>
      <c r="GIC144" s="72"/>
      <c r="GID144" s="72"/>
      <c r="GIE144" s="72"/>
      <c r="GIF144" s="72"/>
      <c r="GIG144" s="72"/>
      <c r="GIH144" s="72"/>
      <c r="GII144" s="72"/>
      <c r="GIJ144" s="72"/>
      <c r="GIK144" s="72"/>
      <c r="GIL144" s="72"/>
      <c r="GIM144" s="72"/>
      <c r="GIN144" s="72"/>
      <c r="GIO144" s="72"/>
      <c r="GIP144" s="72"/>
      <c r="GIQ144" s="72"/>
      <c r="GIR144" s="72"/>
      <c r="GIS144" s="72"/>
      <c r="GIT144" s="72"/>
      <c r="GIU144" s="72"/>
      <c r="GIV144" s="72"/>
      <c r="GIW144" s="72"/>
      <c r="GIX144" s="72"/>
      <c r="GIY144" s="72"/>
      <c r="GIZ144" s="72"/>
      <c r="GJA144" s="72"/>
      <c r="GJB144" s="72"/>
      <c r="GJC144" s="72"/>
      <c r="GJD144" s="72"/>
      <c r="GJE144" s="72"/>
      <c r="GJF144" s="72"/>
      <c r="GJG144" s="72"/>
      <c r="GJH144" s="72"/>
      <c r="GJI144" s="72"/>
      <c r="GJJ144" s="72"/>
      <c r="GJK144" s="72"/>
      <c r="GJL144" s="72"/>
      <c r="GJM144" s="72"/>
      <c r="GJN144" s="72"/>
      <c r="GJO144" s="72"/>
      <c r="GJP144" s="72"/>
      <c r="GJQ144" s="72"/>
      <c r="GJR144" s="72"/>
      <c r="GJS144" s="72"/>
      <c r="GJT144" s="72"/>
      <c r="GJU144" s="72"/>
      <c r="GJV144" s="72"/>
      <c r="GJW144" s="72"/>
      <c r="GJX144" s="72"/>
      <c r="GJY144" s="72"/>
      <c r="GJZ144" s="72"/>
      <c r="GKA144" s="72"/>
      <c r="GKB144" s="72"/>
      <c r="GKC144" s="72"/>
      <c r="GKD144" s="72"/>
      <c r="GKE144" s="72"/>
      <c r="GKF144" s="72"/>
      <c r="GKG144" s="72"/>
      <c r="GKH144" s="72"/>
      <c r="GKI144" s="72"/>
      <c r="GKJ144" s="72"/>
      <c r="GKK144" s="72"/>
      <c r="GKL144" s="72"/>
      <c r="GKM144" s="72"/>
      <c r="GKN144" s="72"/>
      <c r="GKO144" s="72"/>
      <c r="GKP144" s="72"/>
      <c r="GKQ144" s="72"/>
      <c r="GKR144" s="72"/>
      <c r="GKS144" s="72"/>
      <c r="GKT144" s="72"/>
      <c r="GKU144" s="72"/>
      <c r="GKV144" s="72"/>
      <c r="GKW144" s="72"/>
      <c r="GKX144" s="72"/>
      <c r="GKY144" s="72"/>
      <c r="GKZ144" s="72"/>
      <c r="GLA144" s="72"/>
      <c r="GLB144" s="72"/>
      <c r="GLC144" s="72"/>
      <c r="GLD144" s="72"/>
      <c r="GLE144" s="72"/>
      <c r="GLF144" s="72"/>
      <c r="GLG144" s="72"/>
      <c r="GLH144" s="72"/>
      <c r="GLI144" s="72"/>
      <c r="GLJ144" s="72"/>
      <c r="GLK144" s="72"/>
      <c r="GLL144" s="72"/>
      <c r="GLM144" s="72"/>
      <c r="GLN144" s="72"/>
      <c r="GLO144" s="72"/>
      <c r="GLP144" s="72"/>
      <c r="GLQ144" s="72"/>
      <c r="GLR144" s="72"/>
      <c r="GLS144" s="72"/>
      <c r="GLT144" s="72"/>
      <c r="GLU144" s="72"/>
      <c r="GLV144" s="72"/>
      <c r="GLW144" s="72"/>
      <c r="GLX144" s="72"/>
      <c r="GLY144" s="72"/>
      <c r="GLZ144" s="72"/>
      <c r="GMA144" s="72"/>
      <c r="GMB144" s="72"/>
      <c r="GMC144" s="72"/>
      <c r="GMD144" s="72"/>
      <c r="GME144" s="72"/>
      <c r="GMF144" s="72"/>
      <c r="GMG144" s="72"/>
      <c r="GMH144" s="72"/>
      <c r="GMI144" s="72"/>
      <c r="GMJ144" s="72"/>
      <c r="GMK144" s="72"/>
      <c r="GML144" s="72"/>
      <c r="GMM144" s="72"/>
      <c r="GMN144" s="72"/>
      <c r="GMO144" s="72"/>
      <c r="GMP144" s="72"/>
      <c r="GMQ144" s="72"/>
      <c r="GMR144" s="72"/>
      <c r="GMS144" s="72"/>
      <c r="GMT144" s="72"/>
      <c r="GMU144" s="72"/>
      <c r="GMV144" s="72"/>
      <c r="GMW144" s="72"/>
      <c r="GMX144" s="72"/>
      <c r="GMY144" s="72"/>
      <c r="GMZ144" s="72"/>
      <c r="GNA144" s="72"/>
      <c r="GNB144" s="72"/>
      <c r="GNC144" s="72"/>
      <c r="GND144" s="72"/>
      <c r="GNE144" s="72"/>
      <c r="GNF144" s="72"/>
      <c r="GNG144" s="72"/>
      <c r="GNH144" s="72"/>
      <c r="GNI144" s="72"/>
      <c r="GNJ144" s="72"/>
      <c r="GNK144" s="72"/>
      <c r="GNL144" s="72"/>
      <c r="GNM144" s="72"/>
      <c r="GNN144" s="72"/>
      <c r="GNO144" s="72"/>
      <c r="GNP144" s="72"/>
      <c r="GNQ144" s="72"/>
      <c r="GNR144" s="72"/>
      <c r="GNS144" s="72"/>
      <c r="GNT144" s="72"/>
      <c r="GNU144" s="72"/>
      <c r="GNV144" s="72"/>
      <c r="GNW144" s="72"/>
      <c r="GNX144" s="72"/>
      <c r="GNY144" s="72"/>
      <c r="GNZ144" s="72"/>
      <c r="GOA144" s="72"/>
      <c r="GOB144" s="72"/>
      <c r="GOC144" s="72"/>
      <c r="GOD144" s="72"/>
      <c r="GOE144" s="72"/>
      <c r="GOF144" s="72"/>
      <c r="GOG144" s="72"/>
      <c r="GOH144" s="72"/>
      <c r="GOI144" s="72"/>
      <c r="GOJ144" s="72"/>
      <c r="GOK144" s="72"/>
      <c r="GOL144" s="72"/>
      <c r="GOM144" s="72"/>
      <c r="GON144" s="72"/>
      <c r="GOO144" s="72"/>
      <c r="GOP144" s="72"/>
      <c r="GOQ144" s="72"/>
      <c r="GOR144" s="72"/>
      <c r="GOS144" s="72"/>
      <c r="GOT144" s="72"/>
      <c r="GOU144" s="72"/>
      <c r="GOV144" s="72"/>
      <c r="GOW144" s="72"/>
      <c r="GOX144" s="72"/>
      <c r="GOY144" s="72"/>
      <c r="GOZ144" s="72"/>
      <c r="GPA144" s="72"/>
      <c r="GPB144" s="72"/>
      <c r="GPC144" s="72"/>
      <c r="GPD144" s="72"/>
      <c r="GPE144" s="72"/>
      <c r="GPF144" s="72"/>
      <c r="GPG144" s="72"/>
      <c r="GPH144" s="72"/>
      <c r="GPI144" s="72"/>
      <c r="GPJ144" s="72"/>
      <c r="GPK144" s="72"/>
      <c r="GPL144" s="72"/>
      <c r="GPM144" s="72"/>
      <c r="GPN144" s="72"/>
      <c r="GPO144" s="72"/>
      <c r="GPP144" s="72"/>
      <c r="GPQ144" s="72"/>
      <c r="GPR144" s="72"/>
      <c r="GPS144" s="72"/>
      <c r="GPT144" s="72"/>
      <c r="GPU144" s="72"/>
      <c r="GPV144" s="72"/>
      <c r="GPW144" s="72"/>
      <c r="GPX144" s="72"/>
      <c r="GPY144" s="72"/>
      <c r="GPZ144" s="72"/>
      <c r="GQA144" s="72"/>
      <c r="GQB144" s="72"/>
      <c r="GQC144" s="72"/>
      <c r="GQD144" s="72"/>
      <c r="GQE144" s="72"/>
      <c r="GQF144" s="72"/>
      <c r="GQG144" s="72"/>
      <c r="GQH144" s="72"/>
      <c r="GQI144" s="72"/>
      <c r="GQJ144" s="72"/>
      <c r="GQK144" s="72"/>
      <c r="GQL144" s="72"/>
      <c r="GQM144" s="72"/>
      <c r="GQN144" s="72"/>
      <c r="GQO144" s="72"/>
      <c r="GQP144" s="72"/>
      <c r="GQQ144" s="72"/>
      <c r="GQR144" s="72"/>
      <c r="GQS144" s="72"/>
      <c r="GQT144" s="72"/>
      <c r="GQU144" s="72"/>
      <c r="GQV144" s="72"/>
      <c r="GQW144" s="72"/>
      <c r="GQX144" s="72"/>
      <c r="GQY144" s="72"/>
      <c r="GQZ144" s="72"/>
      <c r="GRA144" s="72"/>
      <c r="GRB144" s="72"/>
      <c r="GRC144" s="72"/>
      <c r="GRD144" s="72"/>
      <c r="GRE144" s="72"/>
      <c r="GRF144" s="72"/>
      <c r="GRG144" s="72"/>
      <c r="GRH144" s="72"/>
      <c r="GRI144" s="72"/>
      <c r="GRJ144" s="72"/>
      <c r="GRK144" s="72"/>
      <c r="GRL144" s="72"/>
      <c r="GRM144" s="72"/>
      <c r="GRN144" s="72"/>
      <c r="GRO144" s="72"/>
      <c r="GRP144" s="72"/>
      <c r="GRQ144" s="72"/>
      <c r="GRR144" s="72"/>
      <c r="GRS144" s="72"/>
      <c r="GRT144" s="72"/>
      <c r="GRU144" s="72"/>
      <c r="GRV144" s="72"/>
      <c r="GRW144" s="72"/>
      <c r="GRX144" s="72"/>
      <c r="GRY144" s="72"/>
      <c r="GRZ144" s="72"/>
      <c r="GSA144" s="72"/>
      <c r="GSB144" s="72"/>
      <c r="GSC144" s="72"/>
      <c r="GSD144" s="72"/>
      <c r="GSE144" s="72"/>
      <c r="GSF144" s="72"/>
      <c r="GSG144" s="72"/>
      <c r="GSH144" s="72"/>
      <c r="GSI144" s="72"/>
      <c r="GSJ144" s="72"/>
      <c r="GSK144" s="72"/>
      <c r="GSL144" s="72"/>
      <c r="GSM144" s="72"/>
      <c r="GSN144" s="72"/>
      <c r="GSO144" s="72"/>
      <c r="GSP144" s="72"/>
      <c r="GSQ144" s="72"/>
      <c r="GSR144" s="72"/>
      <c r="GSS144" s="72"/>
      <c r="GST144" s="72"/>
      <c r="GSU144" s="72"/>
      <c r="GSV144" s="72"/>
      <c r="GSW144" s="72"/>
      <c r="GSX144" s="72"/>
      <c r="GSY144" s="72"/>
      <c r="GSZ144" s="72"/>
      <c r="GTA144" s="72"/>
      <c r="GTB144" s="72"/>
      <c r="GTC144" s="72"/>
      <c r="GTD144" s="72"/>
      <c r="GTE144" s="72"/>
      <c r="GTF144" s="72"/>
      <c r="GTG144" s="72"/>
      <c r="GTH144" s="72"/>
      <c r="GTI144" s="72"/>
      <c r="GTJ144" s="72"/>
      <c r="GTK144" s="72"/>
      <c r="GTL144" s="72"/>
      <c r="GTM144" s="72"/>
      <c r="GTN144" s="72"/>
      <c r="GTO144" s="72"/>
      <c r="GTP144" s="72"/>
      <c r="GTQ144" s="72"/>
      <c r="GTR144" s="72"/>
      <c r="GTS144" s="72"/>
      <c r="GTT144" s="72"/>
      <c r="GTU144" s="72"/>
      <c r="GTV144" s="72"/>
      <c r="GTW144" s="72"/>
      <c r="GTX144" s="72"/>
      <c r="GTY144" s="72"/>
      <c r="GTZ144" s="72"/>
      <c r="GUA144" s="72"/>
      <c r="GUB144" s="72"/>
      <c r="GUC144" s="72"/>
      <c r="GUD144" s="72"/>
      <c r="GUE144" s="72"/>
      <c r="GUF144" s="72"/>
      <c r="GUG144" s="72"/>
      <c r="GUH144" s="72"/>
      <c r="GUI144" s="72"/>
      <c r="GUJ144" s="72"/>
      <c r="GUK144" s="72"/>
      <c r="GUL144" s="72"/>
      <c r="GUM144" s="72"/>
      <c r="GUN144" s="72"/>
      <c r="GUO144" s="72"/>
      <c r="GUP144" s="72"/>
      <c r="GUQ144" s="72"/>
      <c r="GUR144" s="72"/>
      <c r="GUS144" s="72"/>
      <c r="GUT144" s="72"/>
      <c r="GUU144" s="72"/>
      <c r="GUV144" s="72"/>
      <c r="GUW144" s="72"/>
      <c r="GUX144" s="72"/>
      <c r="GUY144" s="72"/>
      <c r="GUZ144" s="72"/>
      <c r="GVA144" s="72"/>
      <c r="GVB144" s="72"/>
      <c r="GVC144" s="72"/>
      <c r="GVD144" s="72"/>
      <c r="GVE144" s="72"/>
      <c r="GVF144" s="72"/>
      <c r="GVG144" s="72"/>
      <c r="GVH144" s="72"/>
      <c r="GVI144" s="72"/>
      <c r="GVJ144" s="72"/>
      <c r="GVK144" s="72"/>
      <c r="GVL144" s="72"/>
      <c r="GVM144" s="72"/>
      <c r="GVN144" s="72"/>
      <c r="GVO144" s="72"/>
      <c r="GVP144" s="72"/>
      <c r="GVQ144" s="72"/>
      <c r="GVR144" s="72"/>
      <c r="GVS144" s="72"/>
      <c r="GVT144" s="72"/>
      <c r="GVU144" s="72"/>
      <c r="GVV144" s="72"/>
      <c r="GVW144" s="72"/>
      <c r="GVX144" s="72"/>
      <c r="GVY144" s="72"/>
      <c r="GVZ144" s="72"/>
      <c r="GWA144" s="72"/>
      <c r="GWB144" s="72"/>
      <c r="GWC144" s="72"/>
      <c r="GWD144" s="72"/>
      <c r="GWE144" s="72"/>
      <c r="GWF144" s="72"/>
      <c r="GWG144" s="72"/>
      <c r="GWH144" s="72"/>
      <c r="GWI144" s="72"/>
      <c r="GWJ144" s="72"/>
      <c r="GWK144" s="72"/>
      <c r="GWL144" s="72"/>
      <c r="GWM144" s="72"/>
      <c r="GWN144" s="72"/>
      <c r="GWO144" s="72"/>
      <c r="GWP144" s="72"/>
      <c r="GWQ144" s="72"/>
      <c r="GWR144" s="72"/>
      <c r="GWS144" s="72"/>
      <c r="GWT144" s="72"/>
      <c r="GWU144" s="72"/>
      <c r="GWV144" s="72"/>
      <c r="GWW144" s="72"/>
      <c r="GWX144" s="72"/>
      <c r="GWY144" s="72"/>
      <c r="GWZ144" s="72"/>
      <c r="GXA144" s="72"/>
      <c r="GXB144" s="72"/>
      <c r="GXC144" s="72"/>
      <c r="GXD144" s="72"/>
      <c r="GXE144" s="72"/>
      <c r="GXF144" s="72"/>
      <c r="GXG144" s="72"/>
      <c r="GXH144" s="72"/>
      <c r="GXI144" s="72"/>
      <c r="GXJ144" s="72"/>
      <c r="GXK144" s="72"/>
      <c r="GXL144" s="72"/>
      <c r="GXM144" s="72"/>
      <c r="GXN144" s="72"/>
      <c r="GXO144" s="72"/>
      <c r="GXP144" s="72"/>
      <c r="GXQ144" s="72"/>
      <c r="GXR144" s="72"/>
      <c r="GXS144" s="72"/>
      <c r="GXT144" s="72"/>
      <c r="GXU144" s="72"/>
      <c r="GXV144" s="72"/>
      <c r="GXW144" s="72"/>
      <c r="GXX144" s="72"/>
      <c r="GXY144" s="72"/>
      <c r="GXZ144" s="72"/>
      <c r="GYA144" s="72"/>
      <c r="GYB144" s="72"/>
      <c r="GYC144" s="72"/>
      <c r="GYD144" s="72"/>
      <c r="GYE144" s="72"/>
      <c r="GYF144" s="72"/>
      <c r="GYG144" s="72"/>
      <c r="GYH144" s="72"/>
      <c r="GYI144" s="72"/>
      <c r="GYJ144" s="72"/>
      <c r="GYK144" s="72"/>
      <c r="GYL144" s="72"/>
      <c r="GYM144" s="72"/>
      <c r="GYN144" s="72"/>
      <c r="GYO144" s="72"/>
      <c r="GYP144" s="72"/>
      <c r="GYQ144" s="72"/>
      <c r="GYR144" s="72"/>
      <c r="GYS144" s="72"/>
      <c r="GYT144" s="72"/>
      <c r="GYU144" s="72"/>
      <c r="GYV144" s="72"/>
      <c r="GYW144" s="72"/>
      <c r="GYX144" s="72"/>
      <c r="GYY144" s="72"/>
      <c r="GYZ144" s="72"/>
      <c r="GZA144" s="72"/>
      <c r="GZB144" s="72"/>
      <c r="GZC144" s="72"/>
      <c r="GZD144" s="72"/>
      <c r="GZE144" s="72"/>
      <c r="GZF144" s="72"/>
      <c r="GZG144" s="72"/>
      <c r="GZH144" s="72"/>
      <c r="GZI144" s="72"/>
      <c r="GZJ144" s="72"/>
      <c r="GZK144" s="72"/>
      <c r="GZL144" s="72"/>
      <c r="GZM144" s="72"/>
      <c r="GZN144" s="72"/>
      <c r="GZO144" s="72"/>
      <c r="GZP144" s="72"/>
      <c r="GZQ144" s="72"/>
      <c r="GZR144" s="72"/>
      <c r="GZS144" s="72"/>
      <c r="GZT144" s="72"/>
      <c r="GZU144" s="72"/>
      <c r="GZV144" s="72"/>
      <c r="GZW144" s="72"/>
      <c r="GZX144" s="72"/>
      <c r="GZY144" s="72"/>
      <c r="GZZ144" s="72"/>
      <c r="HAA144" s="72"/>
      <c r="HAB144" s="72"/>
      <c r="HAC144" s="72"/>
      <c r="HAD144" s="72"/>
      <c r="HAE144" s="72"/>
      <c r="HAF144" s="72"/>
      <c r="HAG144" s="72"/>
      <c r="HAH144" s="72"/>
      <c r="HAI144" s="72"/>
      <c r="HAJ144" s="72"/>
      <c r="HAK144" s="72"/>
      <c r="HAL144" s="72"/>
      <c r="HAM144" s="72"/>
      <c r="HAN144" s="72"/>
      <c r="HAO144" s="72"/>
      <c r="HAP144" s="72"/>
      <c r="HAQ144" s="72"/>
      <c r="HAR144" s="72"/>
      <c r="HAS144" s="72"/>
      <c r="HAT144" s="72"/>
      <c r="HAU144" s="72"/>
      <c r="HAV144" s="72"/>
      <c r="HAW144" s="72"/>
      <c r="HAX144" s="72"/>
      <c r="HAY144" s="72"/>
      <c r="HAZ144" s="72"/>
      <c r="HBA144" s="72"/>
      <c r="HBB144" s="72"/>
      <c r="HBC144" s="72"/>
      <c r="HBD144" s="72"/>
      <c r="HBE144" s="72"/>
      <c r="HBF144" s="72"/>
      <c r="HBG144" s="72"/>
      <c r="HBH144" s="72"/>
      <c r="HBI144" s="72"/>
      <c r="HBJ144" s="72"/>
      <c r="HBK144" s="72"/>
      <c r="HBL144" s="72"/>
      <c r="HBM144" s="72"/>
      <c r="HBN144" s="72"/>
      <c r="HBO144" s="72"/>
      <c r="HBP144" s="72"/>
      <c r="HBQ144" s="72"/>
      <c r="HBR144" s="72"/>
      <c r="HBS144" s="72"/>
      <c r="HBT144" s="72"/>
      <c r="HBU144" s="72"/>
      <c r="HBV144" s="72"/>
      <c r="HBW144" s="72"/>
      <c r="HBX144" s="72"/>
      <c r="HBY144" s="72"/>
      <c r="HBZ144" s="72"/>
      <c r="HCA144" s="72"/>
      <c r="HCB144" s="72"/>
      <c r="HCC144" s="72"/>
      <c r="HCD144" s="72"/>
      <c r="HCE144" s="72"/>
      <c r="HCF144" s="72"/>
      <c r="HCG144" s="72"/>
      <c r="HCH144" s="72"/>
      <c r="HCI144" s="72"/>
      <c r="HCJ144" s="72"/>
      <c r="HCK144" s="72"/>
      <c r="HCL144" s="72"/>
      <c r="HCM144" s="72"/>
      <c r="HCN144" s="72"/>
      <c r="HCO144" s="72"/>
      <c r="HCP144" s="72"/>
      <c r="HCQ144" s="72"/>
      <c r="HCR144" s="72"/>
      <c r="HCS144" s="72"/>
      <c r="HCT144" s="72"/>
      <c r="HCU144" s="72"/>
      <c r="HCV144" s="72"/>
      <c r="HCW144" s="72"/>
      <c r="HCX144" s="72"/>
      <c r="HCY144" s="72"/>
      <c r="HCZ144" s="72"/>
      <c r="HDA144" s="72"/>
      <c r="HDB144" s="72"/>
      <c r="HDC144" s="72"/>
      <c r="HDD144" s="72"/>
      <c r="HDE144" s="72"/>
      <c r="HDF144" s="72"/>
      <c r="HDG144" s="72"/>
      <c r="HDH144" s="72"/>
      <c r="HDI144" s="72"/>
      <c r="HDJ144" s="72"/>
      <c r="HDK144" s="72"/>
      <c r="HDL144" s="72"/>
      <c r="HDM144" s="72"/>
      <c r="HDN144" s="72"/>
      <c r="HDO144" s="72"/>
      <c r="HDP144" s="72"/>
      <c r="HDQ144" s="72"/>
      <c r="HDR144" s="72"/>
      <c r="HDS144" s="72"/>
      <c r="HDT144" s="72"/>
      <c r="HDU144" s="72"/>
      <c r="HDV144" s="72"/>
      <c r="HDW144" s="72"/>
      <c r="HDX144" s="72"/>
      <c r="HDY144" s="72"/>
      <c r="HDZ144" s="72"/>
      <c r="HEA144" s="72"/>
      <c r="HEB144" s="72"/>
      <c r="HEC144" s="72"/>
      <c r="HED144" s="72"/>
      <c r="HEE144" s="72"/>
      <c r="HEF144" s="72"/>
      <c r="HEG144" s="72"/>
      <c r="HEH144" s="72"/>
      <c r="HEI144" s="72"/>
      <c r="HEJ144" s="72"/>
      <c r="HEK144" s="72"/>
      <c r="HEL144" s="72"/>
      <c r="HEM144" s="72"/>
      <c r="HEN144" s="72"/>
      <c r="HEO144" s="72"/>
      <c r="HEP144" s="72"/>
      <c r="HEQ144" s="72"/>
      <c r="HER144" s="72"/>
      <c r="HES144" s="72"/>
      <c r="HET144" s="72"/>
      <c r="HEU144" s="72"/>
      <c r="HEV144" s="72"/>
      <c r="HEW144" s="72"/>
      <c r="HEX144" s="72"/>
      <c r="HEY144" s="72"/>
      <c r="HEZ144" s="72"/>
      <c r="HFA144" s="72"/>
      <c r="HFB144" s="72"/>
      <c r="HFC144" s="72"/>
      <c r="HFD144" s="72"/>
      <c r="HFE144" s="72"/>
      <c r="HFF144" s="72"/>
      <c r="HFG144" s="72"/>
      <c r="HFH144" s="72"/>
      <c r="HFI144" s="72"/>
      <c r="HFJ144" s="72"/>
      <c r="HFK144" s="72"/>
      <c r="HFL144" s="72"/>
      <c r="HFM144" s="72"/>
      <c r="HFN144" s="72"/>
      <c r="HFO144" s="72"/>
      <c r="HFP144" s="72"/>
      <c r="HFQ144" s="72"/>
      <c r="HFR144" s="72"/>
      <c r="HFS144" s="72"/>
      <c r="HFT144" s="72"/>
      <c r="HFU144" s="72"/>
      <c r="HFV144" s="72"/>
      <c r="HFW144" s="72"/>
      <c r="HFX144" s="72"/>
      <c r="HFY144" s="72"/>
      <c r="HFZ144" s="72"/>
      <c r="HGA144" s="72"/>
      <c r="HGB144" s="72"/>
      <c r="HGC144" s="72"/>
      <c r="HGD144" s="72"/>
      <c r="HGE144" s="72"/>
      <c r="HGF144" s="72"/>
      <c r="HGG144" s="72"/>
      <c r="HGH144" s="72"/>
      <c r="HGI144" s="72"/>
      <c r="HGJ144" s="72"/>
      <c r="HGK144" s="72"/>
      <c r="HGL144" s="72"/>
      <c r="HGM144" s="72"/>
      <c r="HGN144" s="72"/>
      <c r="HGO144" s="72"/>
      <c r="HGP144" s="72"/>
      <c r="HGQ144" s="72"/>
      <c r="HGR144" s="72"/>
      <c r="HGS144" s="72"/>
      <c r="HGT144" s="72"/>
      <c r="HGU144" s="72"/>
      <c r="HGV144" s="72"/>
      <c r="HGW144" s="72"/>
      <c r="HGX144" s="72"/>
      <c r="HGY144" s="72"/>
      <c r="HGZ144" s="72"/>
      <c r="HHA144" s="72"/>
      <c r="HHB144" s="72"/>
      <c r="HHC144" s="72"/>
      <c r="HHD144" s="72"/>
      <c r="HHE144" s="72"/>
      <c r="HHF144" s="72"/>
      <c r="HHG144" s="72"/>
      <c r="HHH144" s="72"/>
      <c r="HHI144" s="72"/>
      <c r="HHJ144" s="72"/>
      <c r="HHK144" s="72"/>
      <c r="HHL144" s="72"/>
      <c r="HHM144" s="72"/>
      <c r="HHN144" s="72"/>
      <c r="HHO144" s="72"/>
      <c r="HHP144" s="72"/>
      <c r="HHQ144" s="72"/>
      <c r="HHR144" s="72"/>
      <c r="HHS144" s="72"/>
      <c r="HHT144" s="72"/>
      <c r="HHU144" s="72"/>
      <c r="HHV144" s="72"/>
      <c r="HHW144" s="72"/>
      <c r="HHX144" s="72"/>
      <c r="HHY144" s="72"/>
      <c r="HHZ144" s="72"/>
      <c r="HIA144" s="72"/>
      <c r="HIB144" s="72"/>
      <c r="HIC144" s="72"/>
      <c r="HID144" s="72"/>
      <c r="HIE144" s="72"/>
      <c r="HIF144" s="72"/>
      <c r="HIG144" s="72"/>
      <c r="HIH144" s="72"/>
      <c r="HII144" s="72"/>
      <c r="HIJ144" s="72"/>
      <c r="HIK144" s="72"/>
      <c r="HIL144" s="72"/>
      <c r="HIM144" s="72"/>
      <c r="HIN144" s="72"/>
      <c r="HIO144" s="72"/>
      <c r="HIP144" s="72"/>
      <c r="HIQ144" s="72"/>
      <c r="HIR144" s="72"/>
      <c r="HIS144" s="72"/>
      <c r="HIT144" s="72"/>
      <c r="HIU144" s="72"/>
      <c r="HIV144" s="72"/>
      <c r="HIW144" s="72"/>
      <c r="HIX144" s="72"/>
      <c r="HIY144" s="72"/>
      <c r="HIZ144" s="72"/>
      <c r="HJA144" s="72"/>
      <c r="HJB144" s="72"/>
      <c r="HJC144" s="72"/>
      <c r="HJD144" s="72"/>
      <c r="HJE144" s="72"/>
      <c r="HJF144" s="72"/>
      <c r="HJG144" s="72"/>
      <c r="HJH144" s="72"/>
      <c r="HJI144" s="72"/>
      <c r="HJJ144" s="72"/>
      <c r="HJK144" s="72"/>
      <c r="HJL144" s="72"/>
      <c r="HJM144" s="72"/>
      <c r="HJN144" s="72"/>
      <c r="HJO144" s="72"/>
      <c r="HJP144" s="72"/>
      <c r="HJQ144" s="72"/>
      <c r="HJR144" s="72"/>
      <c r="HJS144" s="72"/>
      <c r="HJT144" s="72"/>
      <c r="HJU144" s="72"/>
      <c r="HJV144" s="72"/>
      <c r="HJW144" s="72"/>
      <c r="HJX144" s="72"/>
      <c r="HJY144" s="72"/>
      <c r="HJZ144" s="72"/>
      <c r="HKA144" s="72"/>
      <c r="HKB144" s="72"/>
      <c r="HKC144" s="72"/>
      <c r="HKD144" s="72"/>
      <c r="HKE144" s="72"/>
      <c r="HKF144" s="72"/>
      <c r="HKG144" s="72"/>
      <c r="HKH144" s="72"/>
      <c r="HKI144" s="72"/>
      <c r="HKJ144" s="72"/>
      <c r="HKK144" s="72"/>
      <c r="HKL144" s="72"/>
      <c r="HKM144" s="72"/>
      <c r="HKN144" s="72"/>
      <c r="HKO144" s="72"/>
      <c r="HKP144" s="72"/>
      <c r="HKQ144" s="72"/>
      <c r="HKR144" s="72"/>
      <c r="HKS144" s="72"/>
      <c r="HKT144" s="72"/>
      <c r="HKU144" s="72"/>
      <c r="HKV144" s="72"/>
      <c r="HKW144" s="72"/>
      <c r="HKX144" s="72"/>
      <c r="HKY144" s="72"/>
      <c r="HKZ144" s="72"/>
      <c r="HLA144" s="72"/>
      <c r="HLB144" s="72"/>
      <c r="HLC144" s="72"/>
      <c r="HLD144" s="72"/>
      <c r="HLE144" s="72"/>
      <c r="HLF144" s="72"/>
      <c r="HLG144" s="72"/>
      <c r="HLH144" s="72"/>
      <c r="HLI144" s="72"/>
      <c r="HLJ144" s="72"/>
      <c r="HLK144" s="72"/>
      <c r="HLL144" s="72"/>
      <c r="HLM144" s="72"/>
      <c r="HLN144" s="72"/>
      <c r="HLO144" s="72"/>
      <c r="HLP144" s="72"/>
      <c r="HLQ144" s="72"/>
      <c r="HLR144" s="72"/>
      <c r="HLS144" s="72"/>
      <c r="HLT144" s="72"/>
      <c r="HLU144" s="72"/>
      <c r="HLV144" s="72"/>
      <c r="HLW144" s="72"/>
      <c r="HLX144" s="72"/>
      <c r="HLY144" s="72"/>
      <c r="HLZ144" s="72"/>
      <c r="HMA144" s="72"/>
      <c r="HMB144" s="72"/>
      <c r="HMC144" s="72"/>
      <c r="HMD144" s="72"/>
      <c r="HME144" s="72"/>
      <c r="HMF144" s="72"/>
      <c r="HMG144" s="72"/>
      <c r="HMH144" s="72"/>
      <c r="HMI144" s="72"/>
      <c r="HMJ144" s="72"/>
      <c r="HMK144" s="72"/>
      <c r="HML144" s="72"/>
      <c r="HMM144" s="72"/>
      <c r="HMN144" s="72"/>
      <c r="HMO144" s="72"/>
      <c r="HMP144" s="72"/>
      <c r="HMQ144" s="72"/>
      <c r="HMR144" s="72"/>
      <c r="HMS144" s="72"/>
      <c r="HMT144" s="72"/>
      <c r="HMU144" s="72"/>
      <c r="HMV144" s="72"/>
      <c r="HMW144" s="72"/>
      <c r="HMX144" s="72"/>
      <c r="HMY144" s="72"/>
      <c r="HMZ144" s="72"/>
      <c r="HNA144" s="72"/>
      <c r="HNB144" s="72"/>
      <c r="HNC144" s="72"/>
      <c r="HND144" s="72"/>
      <c r="HNE144" s="72"/>
      <c r="HNF144" s="72"/>
      <c r="HNG144" s="72"/>
      <c r="HNH144" s="72"/>
      <c r="HNI144" s="72"/>
      <c r="HNJ144" s="72"/>
      <c r="HNK144" s="72"/>
      <c r="HNL144" s="72"/>
      <c r="HNM144" s="72"/>
      <c r="HNN144" s="72"/>
      <c r="HNO144" s="72"/>
      <c r="HNP144" s="72"/>
      <c r="HNQ144" s="72"/>
      <c r="HNR144" s="72"/>
      <c r="HNS144" s="72"/>
      <c r="HNT144" s="72"/>
      <c r="HNU144" s="72"/>
      <c r="HNV144" s="72"/>
      <c r="HNW144" s="72"/>
      <c r="HNX144" s="72"/>
      <c r="HNY144" s="72"/>
      <c r="HNZ144" s="72"/>
      <c r="HOA144" s="72"/>
      <c r="HOB144" s="72"/>
      <c r="HOC144" s="72"/>
      <c r="HOD144" s="72"/>
      <c r="HOE144" s="72"/>
      <c r="HOF144" s="72"/>
      <c r="HOG144" s="72"/>
      <c r="HOH144" s="72"/>
      <c r="HOI144" s="72"/>
      <c r="HOJ144" s="72"/>
      <c r="HOK144" s="72"/>
      <c r="HOL144" s="72"/>
      <c r="HOM144" s="72"/>
      <c r="HON144" s="72"/>
      <c r="HOO144" s="72"/>
      <c r="HOP144" s="72"/>
      <c r="HOQ144" s="72"/>
      <c r="HOR144" s="72"/>
      <c r="HOS144" s="72"/>
      <c r="HOT144" s="72"/>
      <c r="HOU144" s="72"/>
      <c r="HOV144" s="72"/>
      <c r="HOW144" s="72"/>
      <c r="HOX144" s="72"/>
      <c r="HOY144" s="72"/>
      <c r="HOZ144" s="72"/>
      <c r="HPA144" s="72"/>
      <c r="HPB144" s="72"/>
      <c r="HPC144" s="72"/>
      <c r="HPD144" s="72"/>
      <c r="HPE144" s="72"/>
      <c r="HPF144" s="72"/>
      <c r="HPG144" s="72"/>
      <c r="HPH144" s="72"/>
      <c r="HPI144" s="72"/>
      <c r="HPJ144" s="72"/>
      <c r="HPK144" s="72"/>
      <c r="HPL144" s="72"/>
      <c r="HPM144" s="72"/>
      <c r="HPN144" s="72"/>
      <c r="HPO144" s="72"/>
      <c r="HPP144" s="72"/>
      <c r="HPQ144" s="72"/>
      <c r="HPR144" s="72"/>
      <c r="HPS144" s="72"/>
      <c r="HPT144" s="72"/>
      <c r="HPU144" s="72"/>
      <c r="HPV144" s="72"/>
      <c r="HPW144" s="72"/>
      <c r="HPX144" s="72"/>
      <c r="HPY144" s="72"/>
      <c r="HPZ144" s="72"/>
      <c r="HQA144" s="72"/>
      <c r="HQB144" s="72"/>
      <c r="HQC144" s="72"/>
      <c r="HQD144" s="72"/>
      <c r="HQE144" s="72"/>
      <c r="HQF144" s="72"/>
      <c r="HQG144" s="72"/>
      <c r="HQH144" s="72"/>
      <c r="HQI144" s="72"/>
      <c r="HQJ144" s="72"/>
      <c r="HQK144" s="72"/>
      <c r="HQL144" s="72"/>
      <c r="HQM144" s="72"/>
      <c r="HQN144" s="72"/>
      <c r="HQO144" s="72"/>
      <c r="HQP144" s="72"/>
      <c r="HQQ144" s="72"/>
      <c r="HQR144" s="72"/>
      <c r="HQS144" s="72"/>
      <c r="HQT144" s="72"/>
      <c r="HQU144" s="72"/>
      <c r="HQV144" s="72"/>
      <c r="HQW144" s="72"/>
      <c r="HQX144" s="72"/>
      <c r="HQY144" s="72"/>
      <c r="HQZ144" s="72"/>
      <c r="HRA144" s="72"/>
      <c r="HRB144" s="72"/>
      <c r="HRC144" s="72"/>
      <c r="HRD144" s="72"/>
      <c r="HRE144" s="72"/>
      <c r="HRF144" s="72"/>
      <c r="HRG144" s="72"/>
      <c r="HRH144" s="72"/>
      <c r="HRI144" s="72"/>
      <c r="HRJ144" s="72"/>
      <c r="HRK144" s="72"/>
      <c r="HRL144" s="72"/>
      <c r="HRM144" s="72"/>
      <c r="HRN144" s="72"/>
      <c r="HRO144" s="72"/>
      <c r="HRP144" s="72"/>
      <c r="HRQ144" s="72"/>
      <c r="HRR144" s="72"/>
      <c r="HRS144" s="72"/>
      <c r="HRT144" s="72"/>
      <c r="HRU144" s="72"/>
      <c r="HRV144" s="72"/>
      <c r="HRW144" s="72"/>
      <c r="HRX144" s="72"/>
      <c r="HRY144" s="72"/>
      <c r="HRZ144" s="72"/>
      <c r="HSA144" s="72"/>
      <c r="HSB144" s="72"/>
      <c r="HSC144" s="72"/>
      <c r="HSD144" s="72"/>
      <c r="HSE144" s="72"/>
      <c r="HSF144" s="72"/>
      <c r="HSG144" s="72"/>
      <c r="HSH144" s="72"/>
      <c r="HSI144" s="72"/>
      <c r="HSJ144" s="72"/>
      <c r="HSK144" s="72"/>
      <c r="HSL144" s="72"/>
      <c r="HSM144" s="72"/>
      <c r="HSN144" s="72"/>
      <c r="HSO144" s="72"/>
      <c r="HSP144" s="72"/>
      <c r="HSQ144" s="72"/>
      <c r="HSR144" s="72"/>
      <c r="HSS144" s="72"/>
      <c r="HST144" s="72"/>
      <c r="HSU144" s="72"/>
      <c r="HSV144" s="72"/>
      <c r="HSW144" s="72"/>
      <c r="HSX144" s="72"/>
      <c r="HSY144" s="72"/>
      <c r="HSZ144" s="72"/>
      <c r="HTA144" s="72"/>
      <c r="HTB144" s="72"/>
      <c r="HTC144" s="72"/>
      <c r="HTD144" s="72"/>
      <c r="HTE144" s="72"/>
      <c r="HTF144" s="72"/>
      <c r="HTG144" s="72"/>
      <c r="HTH144" s="72"/>
      <c r="HTI144" s="72"/>
      <c r="HTJ144" s="72"/>
      <c r="HTK144" s="72"/>
      <c r="HTL144" s="72"/>
      <c r="HTM144" s="72"/>
      <c r="HTN144" s="72"/>
      <c r="HTO144" s="72"/>
      <c r="HTP144" s="72"/>
      <c r="HTQ144" s="72"/>
      <c r="HTR144" s="72"/>
      <c r="HTS144" s="72"/>
      <c r="HTT144" s="72"/>
      <c r="HTU144" s="72"/>
      <c r="HTV144" s="72"/>
      <c r="HTW144" s="72"/>
      <c r="HTX144" s="72"/>
      <c r="HTY144" s="72"/>
      <c r="HTZ144" s="72"/>
      <c r="HUA144" s="72"/>
      <c r="HUB144" s="72"/>
      <c r="HUC144" s="72"/>
      <c r="HUD144" s="72"/>
      <c r="HUE144" s="72"/>
      <c r="HUF144" s="72"/>
      <c r="HUG144" s="72"/>
      <c r="HUH144" s="72"/>
      <c r="HUI144" s="72"/>
      <c r="HUJ144" s="72"/>
      <c r="HUK144" s="72"/>
      <c r="HUL144" s="72"/>
      <c r="HUM144" s="72"/>
      <c r="HUN144" s="72"/>
      <c r="HUO144" s="72"/>
      <c r="HUP144" s="72"/>
      <c r="HUQ144" s="72"/>
      <c r="HUR144" s="72"/>
      <c r="HUS144" s="72"/>
      <c r="HUT144" s="72"/>
      <c r="HUU144" s="72"/>
      <c r="HUV144" s="72"/>
      <c r="HUW144" s="72"/>
      <c r="HUX144" s="72"/>
      <c r="HUY144" s="72"/>
      <c r="HUZ144" s="72"/>
      <c r="HVA144" s="72"/>
      <c r="HVB144" s="72"/>
      <c r="HVC144" s="72"/>
      <c r="HVD144" s="72"/>
      <c r="HVE144" s="72"/>
      <c r="HVF144" s="72"/>
      <c r="HVG144" s="72"/>
      <c r="HVH144" s="72"/>
      <c r="HVI144" s="72"/>
      <c r="HVJ144" s="72"/>
      <c r="HVK144" s="72"/>
      <c r="HVL144" s="72"/>
      <c r="HVM144" s="72"/>
      <c r="HVN144" s="72"/>
      <c r="HVO144" s="72"/>
      <c r="HVP144" s="72"/>
      <c r="HVQ144" s="72"/>
      <c r="HVR144" s="72"/>
      <c r="HVS144" s="72"/>
      <c r="HVT144" s="72"/>
      <c r="HVU144" s="72"/>
      <c r="HVV144" s="72"/>
      <c r="HVW144" s="72"/>
      <c r="HVX144" s="72"/>
      <c r="HVY144" s="72"/>
      <c r="HVZ144" s="72"/>
      <c r="HWA144" s="72"/>
      <c r="HWB144" s="72"/>
      <c r="HWC144" s="72"/>
      <c r="HWD144" s="72"/>
      <c r="HWE144" s="72"/>
      <c r="HWF144" s="72"/>
      <c r="HWG144" s="72"/>
      <c r="HWH144" s="72"/>
      <c r="HWI144" s="72"/>
      <c r="HWJ144" s="72"/>
      <c r="HWK144" s="72"/>
      <c r="HWL144" s="72"/>
      <c r="HWM144" s="72"/>
      <c r="HWN144" s="72"/>
      <c r="HWO144" s="72"/>
      <c r="HWP144" s="72"/>
      <c r="HWQ144" s="72"/>
      <c r="HWR144" s="72"/>
      <c r="HWS144" s="72"/>
      <c r="HWT144" s="72"/>
      <c r="HWU144" s="72"/>
      <c r="HWV144" s="72"/>
      <c r="HWW144" s="72"/>
      <c r="HWX144" s="72"/>
      <c r="HWY144" s="72"/>
      <c r="HWZ144" s="72"/>
      <c r="HXA144" s="72"/>
      <c r="HXB144" s="72"/>
      <c r="HXC144" s="72"/>
      <c r="HXD144" s="72"/>
      <c r="HXE144" s="72"/>
      <c r="HXF144" s="72"/>
      <c r="HXG144" s="72"/>
      <c r="HXH144" s="72"/>
      <c r="HXI144" s="72"/>
      <c r="HXJ144" s="72"/>
      <c r="HXK144" s="72"/>
      <c r="HXL144" s="72"/>
      <c r="HXM144" s="72"/>
      <c r="HXN144" s="72"/>
      <c r="HXO144" s="72"/>
      <c r="HXP144" s="72"/>
      <c r="HXQ144" s="72"/>
      <c r="HXR144" s="72"/>
      <c r="HXS144" s="72"/>
      <c r="HXT144" s="72"/>
      <c r="HXU144" s="72"/>
      <c r="HXV144" s="72"/>
      <c r="HXW144" s="72"/>
      <c r="HXX144" s="72"/>
      <c r="HXY144" s="72"/>
      <c r="HXZ144" s="72"/>
      <c r="HYA144" s="72"/>
      <c r="HYB144" s="72"/>
      <c r="HYC144" s="72"/>
      <c r="HYD144" s="72"/>
      <c r="HYE144" s="72"/>
      <c r="HYF144" s="72"/>
      <c r="HYG144" s="72"/>
      <c r="HYH144" s="72"/>
      <c r="HYI144" s="72"/>
      <c r="HYJ144" s="72"/>
      <c r="HYK144" s="72"/>
      <c r="HYL144" s="72"/>
      <c r="HYM144" s="72"/>
      <c r="HYN144" s="72"/>
      <c r="HYO144" s="72"/>
      <c r="HYP144" s="72"/>
      <c r="HYQ144" s="72"/>
      <c r="HYR144" s="72"/>
      <c r="HYS144" s="72"/>
      <c r="HYT144" s="72"/>
      <c r="HYU144" s="72"/>
      <c r="HYV144" s="72"/>
      <c r="HYW144" s="72"/>
      <c r="HYX144" s="72"/>
      <c r="HYY144" s="72"/>
      <c r="HYZ144" s="72"/>
      <c r="HZA144" s="72"/>
      <c r="HZB144" s="72"/>
      <c r="HZC144" s="72"/>
      <c r="HZD144" s="72"/>
      <c r="HZE144" s="72"/>
      <c r="HZF144" s="72"/>
      <c r="HZG144" s="72"/>
      <c r="HZH144" s="72"/>
      <c r="HZI144" s="72"/>
      <c r="HZJ144" s="72"/>
      <c r="HZK144" s="72"/>
      <c r="HZL144" s="72"/>
      <c r="HZM144" s="72"/>
      <c r="HZN144" s="72"/>
      <c r="HZO144" s="72"/>
      <c r="HZP144" s="72"/>
      <c r="HZQ144" s="72"/>
      <c r="HZR144" s="72"/>
      <c r="HZS144" s="72"/>
      <c r="HZT144" s="72"/>
      <c r="HZU144" s="72"/>
      <c r="HZV144" s="72"/>
      <c r="HZW144" s="72"/>
      <c r="HZX144" s="72"/>
      <c r="HZY144" s="72"/>
      <c r="HZZ144" s="72"/>
      <c r="IAA144" s="72"/>
      <c r="IAB144" s="72"/>
      <c r="IAC144" s="72"/>
      <c r="IAD144" s="72"/>
      <c r="IAE144" s="72"/>
      <c r="IAF144" s="72"/>
      <c r="IAG144" s="72"/>
      <c r="IAH144" s="72"/>
      <c r="IAI144" s="72"/>
      <c r="IAJ144" s="72"/>
      <c r="IAK144" s="72"/>
      <c r="IAL144" s="72"/>
      <c r="IAM144" s="72"/>
      <c r="IAN144" s="72"/>
      <c r="IAO144" s="72"/>
      <c r="IAP144" s="72"/>
      <c r="IAQ144" s="72"/>
      <c r="IAR144" s="72"/>
      <c r="IAS144" s="72"/>
      <c r="IAT144" s="72"/>
      <c r="IAU144" s="72"/>
      <c r="IAV144" s="72"/>
      <c r="IAW144" s="72"/>
      <c r="IAX144" s="72"/>
      <c r="IAY144" s="72"/>
      <c r="IAZ144" s="72"/>
      <c r="IBA144" s="72"/>
      <c r="IBB144" s="72"/>
      <c r="IBC144" s="72"/>
      <c r="IBD144" s="72"/>
      <c r="IBE144" s="72"/>
      <c r="IBF144" s="72"/>
      <c r="IBG144" s="72"/>
      <c r="IBH144" s="72"/>
      <c r="IBI144" s="72"/>
      <c r="IBJ144" s="72"/>
      <c r="IBK144" s="72"/>
      <c r="IBL144" s="72"/>
      <c r="IBM144" s="72"/>
      <c r="IBN144" s="72"/>
      <c r="IBO144" s="72"/>
      <c r="IBP144" s="72"/>
      <c r="IBQ144" s="72"/>
      <c r="IBR144" s="72"/>
      <c r="IBS144" s="72"/>
      <c r="IBT144" s="72"/>
      <c r="IBU144" s="72"/>
      <c r="IBV144" s="72"/>
      <c r="IBW144" s="72"/>
      <c r="IBX144" s="72"/>
      <c r="IBY144" s="72"/>
      <c r="IBZ144" s="72"/>
      <c r="ICA144" s="72"/>
      <c r="ICB144" s="72"/>
      <c r="ICC144" s="72"/>
      <c r="ICD144" s="72"/>
      <c r="ICE144" s="72"/>
      <c r="ICF144" s="72"/>
      <c r="ICG144" s="72"/>
      <c r="ICH144" s="72"/>
      <c r="ICI144" s="72"/>
      <c r="ICJ144" s="72"/>
      <c r="ICK144" s="72"/>
      <c r="ICL144" s="72"/>
      <c r="ICM144" s="72"/>
      <c r="ICN144" s="72"/>
      <c r="ICO144" s="72"/>
      <c r="ICP144" s="72"/>
      <c r="ICQ144" s="72"/>
      <c r="ICR144" s="72"/>
      <c r="ICS144" s="72"/>
      <c r="ICT144" s="72"/>
      <c r="ICU144" s="72"/>
      <c r="ICV144" s="72"/>
      <c r="ICW144" s="72"/>
      <c r="ICX144" s="72"/>
      <c r="ICY144" s="72"/>
      <c r="ICZ144" s="72"/>
      <c r="IDA144" s="72"/>
      <c r="IDB144" s="72"/>
      <c r="IDC144" s="72"/>
      <c r="IDD144" s="72"/>
      <c r="IDE144" s="72"/>
      <c r="IDF144" s="72"/>
      <c r="IDG144" s="72"/>
      <c r="IDH144" s="72"/>
      <c r="IDI144" s="72"/>
      <c r="IDJ144" s="72"/>
      <c r="IDK144" s="72"/>
      <c r="IDL144" s="72"/>
      <c r="IDM144" s="72"/>
      <c r="IDN144" s="72"/>
      <c r="IDO144" s="72"/>
      <c r="IDP144" s="72"/>
      <c r="IDQ144" s="72"/>
      <c r="IDR144" s="72"/>
      <c r="IDS144" s="72"/>
      <c r="IDT144" s="72"/>
      <c r="IDU144" s="72"/>
      <c r="IDV144" s="72"/>
      <c r="IDW144" s="72"/>
      <c r="IDX144" s="72"/>
      <c r="IDY144" s="72"/>
      <c r="IDZ144" s="72"/>
      <c r="IEA144" s="72"/>
      <c r="IEB144" s="72"/>
      <c r="IEC144" s="72"/>
      <c r="IED144" s="72"/>
      <c r="IEE144" s="72"/>
      <c r="IEF144" s="72"/>
      <c r="IEG144" s="72"/>
      <c r="IEH144" s="72"/>
      <c r="IEI144" s="72"/>
      <c r="IEJ144" s="72"/>
      <c r="IEK144" s="72"/>
      <c r="IEL144" s="72"/>
      <c r="IEM144" s="72"/>
      <c r="IEN144" s="72"/>
      <c r="IEO144" s="72"/>
      <c r="IEP144" s="72"/>
      <c r="IEQ144" s="72"/>
      <c r="IER144" s="72"/>
      <c r="IES144" s="72"/>
      <c r="IET144" s="72"/>
      <c r="IEU144" s="72"/>
      <c r="IEV144" s="72"/>
      <c r="IEW144" s="72"/>
      <c r="IEX144" s="72"/>
      <c r="IEY144" s="72"/>
      <c r="IEZ144" s="72"/>
      <c r="IFA144" s="72"/>
      <c r="IFB144" s="72"/>
      <c r="IFC144" s="72"/>
      <c r="IFD144" s="72"/>
      <c r="IFE144" s="72"/>
      <c r="IFF144" s="72"/>
      <c r="IFG144" s="72"/>
      <c r="IFH144" s="72"/>
      <c r="IFI144" s="72"/>
      <c r="IFJ144" s="72"/>
      <c r="IFK144" s="72"/>
      <c r="IFL144" s="72"/>
      <c r="IFM144" s="72"/>
      <c r="IFN144" s="72"/>
      <c r="IFO144" s="72"/>
      <c r="IFP144" s="72"/>
      <c r="IFQ144" s="72"/>
      <c r="IFR144" s="72"/>
      <c r="IFS144" s="72"/>
      <c r="IFT144" s="72"/>
      <c r="IFU144" s="72"/>
      <c r="IFV144" s="72"/>
      <c r="IFW144" s="72"/>
      <c r="IFX144" s="72"/>
      <c r="IFY144" s="72"/>
      <c r="IFZ144" s="72"/>
      <c r="IGA144" s="72"/>
      <c r="IGB144" s="72"/>
      <c r="IGC144" s="72"/>
      <c r="IGD144" s="72"/>
      <c r="IGE144" s="72"/>
      <c r="IGF144" s="72"/>
      <c r="IGG144" s="72"/>
      <c r="IGH144" s="72"/>
      <c r="IGI144" s="72"/>
      <c r="IGJ144" s="72"/>
      <c r="IGK144" s="72"/>
      <c r="IGL144" s="72"/>
      <c r="IGM144" s="72"/>
      <c r="IGN144" s="72"/>
      <c r="IGO144" s="72"/>
      <c r="IGP144" s="72"/>
      <c r="IGQ144" s="72"/>
      <c r="IGR144" s="72"/>
      <c r="IGS144" s="72"/>
      <c r="IGT144" s="72"/>
      <c r="IGU144" s="72"/>
      <c r="IGV144" s="72"/>
      <c r="IGW144" s="72"/>
      <c r="IGX144" s="72"/>
      <c r="IGY144" s="72"/>
      <c r="IGZ144" s="72"/>
      <c r="IHA144" s="72"/>
      <c r="IHB144" s="72"/>
      <c r="IHC144" s="72"/>
      <c r="IHD144" s="72"/>
      <c r="IHE144" s="72"/>
      <c r="IHF144" s="72"/>
      <c r="IHG144" s="72"/>
      <c r="IHH144" s="72"/>
      <c r="IHI144" s="72"/>
      <c r="IHJ144" s="72"/>
      <c r="IHK144" s="72"/>
      <c r="IHL144" s="72"/>
      <c r="IHM144" s="72"/>
      <c r="IHN144" s="72"/>
      <c r="IHO144" s="72"/>
      <c r="IHP144" s="72"/>
      <c r="IHQ144" s="72"/>
      <c r="IHR144" s="72"/>
      <c r="IHS144" s="72"/>
      <c r="IHT144" s="72"/>
      <c r="IHU144" s="72"/>
      <c r="IHV144" s="72"/>
      <c r="IHW144" s="72"/>
      <c r="IHX144" s="72"/>
      <c r="IHY144" s="72"/>
      <c r="IHZ144" s="72"/>
      <c r="IIA144" s="72"/>
      <c r="IIB144" s="72"/>
      <c r="IIC144" s="72"/>
      <c r="IID144" s="72"/>
      <c r="IIE144" s="72"/>
      <c r="IIF144" s="72"/>
      <c r="IIG144" s="72"/>
      <c r="IIH144" s="72"/>
      <c r="III144" s="72"/>
      <c r="IIJ144" s="72"/>
      <c r="IIK144" s="72"/>
      <c r="IIL144" s="72"/>
      <c r="IIM144" s="72"/>
      <c r="IIN144" s="72"/>
      <c r="IIO144" s="72"/>
      <c r="IIP144" s="72"/>
      <c r="IIQ144" s="72"/>
      <c r="IIR144" s="72"/>
      <c r="IIS144" s="72"/>
      <c r="IIT144" s="72"/>
      <c r="IIU144" s="72"/>
      <c r="IIV144" s="72"/>
      <c r="IIW144" s="72"/>
      <c r="IIX144" s="72"/>
      <c r="IIY144" s="72"/>
      <c r="IIZ144" s="72"/>
      <c r="IJA144" s="72"/>
      <c r="IJB144" s="72"/>
      <c r="IJC144" s="72"/>
      <c r="IJD144" s="72"/>
      <c r="IJE144" s="72"/>
      <c r="IJF144" s="72"/>
      <c r="IJG144" s="72"/>
      <c r="IJH144" s="72"/>
      <c r="IJI144" s="72"/>
      <c r="IJJ144" s="72"/>
      <c r="IJK144" s="72"/>
      <c r="IJL144" s="72"/>
      <c r="IJM144" s="72"/>
      <c r="IJN144" s="72"/>
      <c r="IJO144" s="72"/>
      <c r="IJP144" s="72"/>
      <c r="IJQ144" s="72"/>
      <c r="IJR144" s="72"/>
      <c r="IJS144" s="72"/>
      <c r="IJT144" s="72"/>
      <c r="IJU144" s="72"/>
      <c r="IJV144" s="72"/>
      <c r="IJW144" s="72"/>
      <c r="IJX144" s="72"/>
      <c r="IJY144" s="72"/>
      <c r="IJZ144" s="72"/>
      <c r="IKA144" s="72"/>
      <c r="IKB144" s="72"/>
      <c r="IKC144" s="72"/>
      <c r="IKD144" s="72"/>
      <c r="IKE144" s="72"/>
      <c r="IKF144" s="72"/>
      <c r="IKG144" s="72"/>
      <c r="IKH144" s="72"/>
      <c r="IKI144" s="72"/>
      <c r="IKJ144" s="72"/>
      <c r="IKK144" s="72"/>
      <c r="IKL144" s="72"/>
      <c r="IKM144" s="72"/>
      <c r="IKN144" s="72"/>
      <c r="IKO144" s="72"/>
      <c r="IKP144" s="72"/>
      <c r="IKQ144" s="72"/>
      <c r="IKR144" s="72"/>
      <c r="IKS144" s="72"/>
      <c r="IKT144" s="72"/>
      <c r="IKU144" s="72"/>
      <c r="IKV144" s="72"/>
      <c r="IKW144" s="72"/>
      <c r="IKX144" s="72"/>
      <c r="IKY144" s="72"/>
      <c r="IKZ144" s="72"/>
      <c r="ILA144" s="72"/>
      <c r="ILB144" s="72"/>
      <c r="ILC144" s="72"/>
      <c r="ILD144" s="72"/>
      <c r="ILE144" s="72"/>
      <c r="ILF144" s="72"/>
      <c r="ILG144" s="72"/>
      <c r="ILH144" s="72"/>
      <c r="ILI144" s="72"/>
      <c r="ILJ144" s="72"/>
      <c r="ILK144" s="72"/>
      <c r="ILL144" s="72"/>
      <c r="ILM144" s="72"/>
      <c r="ILN144" s="72"/>
      <c r="ILO144" s="72"/>
      <c r="ILP144" s="72"/>
      <c r="ILQ144" s="72"/>
      <c r="ILR144" s="72"/>
      <c r="ILS144" s="72"/>
      <c r="ILT144" s="72"/>
      <c r="ILU144" s="72"/>
      <c r="ILV144" s="72"/>
      <c r="ILW144" s="72"/>
      <c r="ILX144" s="72"/>
      <c r="ILY144" s="72"/>
      <c r="ILZ144" s="72"/>
      <c r="IMA144" s="72"/>
      <c r="IMB144" s="72"/>
      <c r="IMC144" s="72"/>
      <c r="IMD144" s="72"/>
      <c r="IME144" s="72"/>
      <c r="IMF144" s="72"/>
      <c r="IMG144" s="72"/>
      <c r="IMH144" s="72"/>
      <c r="IMI144" s="72"/>
      <c r="IMJ144" s="72"/>
      <c r="IMK144" s="72"/>
      <c r="IML144" s="72"/>
      <c r="IMM144" s="72"/>
      <c r="IMN144" s="72"/>
      <c r="IMO144" s="72"/>
      <c r="IMP144" s="72"/>
      <c r="IMQ144" s="72"/>
      <c r="IMR144" s="72"/>
      <c r="IMS144" s="72"/>
      <c r="IMT144" s="72"/>
      <c r="IMU144" s="72"/>
      <c r="IMV144" s="72"/>
      <c r="IMW144" s="72"/>
      <c r="IMX144" s="72"/>
      <c r="IMY144" s="72"/>
      <c r="IMZ144" s="72"/>
      <c r="INA144" s="72"/>
      <c r="INB144" s="72"/>
      <c r="INC144" s="72"/>
      <c r="IND144" s="72"/>
      <c r="INE144" s="72"/>
      <c r="INF144" s="72"/>
      <c r="ING144" s="72"/>
      <c r="INH144" s="72"/>
      <c r="INI144" s="72"/>
      <c r="INJ144" s="72"/>
      <c r="INK144" s="72"/>
      <c r="INL144" s="72"/>
      <c r="INM144" s="72"/>
      <c r="INN144" s="72"/>
      <c r="INO144" s="72"/>
      <c r="INP144" s="72"/>
      <c r="INQ144" s="72"/>
      <c r="INR144" s="72"/>
      <c r="INS144" s="72"/>
      <c r="INT144" s="72"/>
      <c r="INU144" s="72"/>
      <c r="INV144" s="72"/>
      <c r="INW144" s="72"/>
      <c r="INX144" s="72"/>
      <c r="INY144" s="72"/>
      <c r="INZ144" s="72"/>
      <c r="IOA144" s="72"/>
      <c r="IOB144" s="72"/>
      <c r="IOC144" s="72"/>
      <c r="IOD144" s="72"/>
      <c r="IOE144" s="72"/>
      <c r="IOF144" s="72"/>
      <c r="IOG144" s="72"/>
      <c r="IOH144" s="72"/>
      <c r="IOI144" s="72"/>
      <c r="IOJ144" s="72"/>
      <c r="IOK144" s="72"/>
      <c r="IOL144" s="72"/>
      <c r="IOM144" s="72"/>
      <c r="ION144" s="72"/>
      <c r="IOO144" s="72"/>
      <c r="IOP144" s="72"/>
      <c r="IOQ144" s="72"/>
      <c r="IOR144" s="72"/>
      <c r="IOS144" s="72"/>
      <c r="IOT144" s="72"/>
      <c r="IOU144" s="72"/>
      <c r="IOV144" s="72"/>
      <c r="IOW144" s="72"/>
      <c r="IOX144" s="72"/>
      <c r="IOY144" s="72"/>
      <c r="IOZ144" s="72"/>
      <c r="IPA144" s="72"/>
      <c r="IPB144" s="72"/>
      <c r="IPC144" s="72"/>
      <c r="IPD144" s="72"/>
      <c r="IPE144" s="72"/>
      <c r="IPF144" s="72"/>
      <c r="IPG144" s="72"/>
      <c r="IPH144" s="72"/>
      <c r="IPI144" s="72"/>
      <c r="IPJ144" s="72"/>
      <c r="IPK144" s="72"/>
      <c r="IPL144" s="72"/>
      <c r="IPM144" s="72"/>
      <c r="IPN144" s="72"/>
      <c r="IPO144" s="72"/>
      <c r="IPP144" s="72"/>
      <c r="IPQ144" s="72"/>
      <c r="IPR144" s="72"/>
      <c r="IPS144" s="72"/>
      <c r="IPT144" s="72"/>
      <c r="IPU144" s="72"/>
      <c r="IPV144" s="72"/>
      <c r="IPW144" s="72"/>
      <c r="IPX144" s="72"/>
      <c r="IPY144" s="72"/>
      <c r="IPZ144" s="72"/>
      <c r="IQA144" s="72"/>
      <c r="IQB144" s="72"/>
      <c r="IQC144" s="72"/>
      <c r="IQD144" s="72"/>
      <c r="IQE144" s="72"/>
      <c r="IQF144" s="72"/>
      <c r="IQG144" s="72"/>
      <c r="IQH144" s="72"/>
      <c r="IQI144" s="72"/>
      <c r="IQJ144" s="72"/>
      <c r="IQK144" s="72"/>
      <c r="IQL144" s="72"/>
      <c r="IQM144" s="72"/>
      <c r="IQN144" s="72"/>
      <c r="IQO144" s="72"/>
      <c r="IQP144" s="72"/>
      <c r="IQQ144" s="72"/>
      <c r="IQR144" s="72"/>
      <c r="IQS144" s="72"/>
      <c r="IQT144" s="72"/>
      <c r="IQU144" s="72"/>
      <c r="IQV144" s="72"/>
      <c r="IQW144" s="72"/>
      <c r="IQX144" s="72"/>
      <c r="IQY144" s="72"/>
      <c r="IQZ144" s="72"/>
      <c r="IRA144" s="72"/>
      <c r="IRB144" s="72"/>
      <c r="IRC144" s="72"/>
      <c r="IRD144" s="72"/>
      <c r="IRE144" s="72"/>
      <c r="IRF144" s="72"/>
      <c r="IRG144" s="72"/>
      <c r="IRH144" s="72"/>
      <c r="IRI144" s="72"/>
      <c r="IRJ144" s="72"/>
      <c r="IRK144" s="72"/>
      <c r="IRL144" s="72"/>
      <c r="IRM144" s="72"/>
      <c r="IRN144" s="72"/>
      <c r="IRO144" s="72"/>
      <c r="IRP144" s="72"/>
      <c r="IRQ144" s="72"/>
      <c r="IRR144" s="72"/>
      <c r="IRS144" s="72"/>
      <c r="IRT144" s="72"/>
      <c r="IRU144" s="72"/>
      <c r="IRV144" s="72"/>
      <c r="IRW144" s="72"/>
      <c r="IRX144" s="72"/>
      <c r="IRY144" s="72"/>
      <c r="IRZ144" s="72"/>
      <c r="ISA144" s="72"/>
      <c r="ISB144" s="72"/>
      <c r="ISC144" s="72"/>
      <c r="ISD144" s="72"/>
      <c r="ISE144" s="72"/>
      <c r="ISF144" s="72"/>
      <c r="ISG144" s="72"/>
      <c r="ISH144" s="72"/>
      <c r="ISI144" s="72"/>
      <c r="ISJ144" s="72"/>
      <c r="ISK144" s="72"/>
      <c r="ISL144" s="72"/>
      <c r="ISM144" s="72"/>
      <c r="ISN144" s="72"/>
      <c r="ISO144" s="72"/>
      <c r="ISP144" s="72"/>
      <c r="ISQ144" s="72"/>
      <c r="ISR144" s="72"/>
      <c r="ISS144" s="72"/>
      <c r="IST144" s="72"/>
      <c r="ISU144" s="72"/>
      <c r="ISV144" s="72"/>
      <c r="ISW144" s="72"/>
      <c r="ISX144" s="72"/>
      <c r="ISY144" s="72"/>
      <c r="ISZ144" s="72"/>
      <c r="ITA144" s="72"/>
      <c r="ITB144" s="72"/>
      <c r="ITC144" s="72"/>
      <c r="ITD144" s="72"/>
      <c r="ITE144" s="72"/>
      <c r="ITF144" s="72"/>
      <c r="ITG144" s="72"/>
      <c r="ITH144" s="72"/>
      <c r="ITI144" s="72"/>
      <c r="ITJ144" s="72"/>
      <c r="ITK144" s="72"/>
      <c r="ITL144" s="72"/>
      <c r="ITM144" s="72"/>
      <c r="ITN144" s="72"/>
      <c r="ITO144" s="72"/>
      <c r="ITP144" s="72"/>
      <c r="ITQ144" s="72"/>
      <c r="ITR144" s="72"/>
      <c r="ITS144" s="72"/>
      <c r="ITT144" s="72"/>
      <c r="ITU144" s="72"/>
      <c r="ITV144" s="72"/>
      <c r="ITW144" s="72"/>
      <c r="ITX144" s="72"/>
      <c r="ITY144" s="72"/>
      <c r="ITZ144" s="72"/>
      <c r="IUA144" s="72"/>
      <c r="IUB144" s="72"/>
      <c r="IUC144" s="72"/>
      <c r="IUD144" s="72"/>
      <c r="IUE144" s="72"/>
      <c r="IUF144" s="72"/>
      <c r="IUG144" s="72"/>
      <c r="IUH144" s="72"/>
      <c r="IUI144" s="72"/>
      <c r="IUJ144" s="72"/>
      <c r="IUK144" s="72"/>
      <c r="IUL144" s="72"/>
      <c r="IUM144" s="72"/>
      <c r="IUN144" s="72"/>
      <c r="IUO144" s="72"/>
      <c r="IUP144" s="72"/>
      <c r="IUQ144" s="72"/>
      <c r="IUR144" s="72"/>
      <c r="IUS144" s="72"/>
      <c r="IUT144" s="72"/>
      <c r="IUU144" s="72"/>
      <c r="IUV144" s="72"/>
      <c r="IUW144" s="72"/>
      <c r="IUX144" s="72"/>
      <c r="IUY144" s="72"/>
      <c r="IUZ144" s="72"/>
      <c r="IVA144" s="72"/>
      <c r="IVB144" s="72"/>
      <c r="IVC144" s="72"/>
      <c r="IVD144" s="72"/>
      <c r="IVE144" s="72"/>
      <c r="IVF144" s="72"/>
      <c r="IVG144" s="72"/>
      <c r="IVH144" s="72"/>
      <c r="IVI144" s="72"/>
      <c r="IVJ144" s="72"/>
      <c r="IVK144" s="72"/>
      <c r="IVL144" s="72"/>
      <c r="IVM144" s="72"/>
      <c r="IVN144" s="72"/>
      <c r="IVO144" s="72"/>
      <c r="IVP144" s="72"/>
      <c r="IVQ144" s="72"/>
      <c r="IVR144" s="72"/>
      <c r="IVS144" s="72"/>
      <c r="IVT144" s="72"/>
      <c r="IVU144" s="72"/>
      <c r="IVV144" s="72"/>
      <c r="IVW144" s="72"/>
      <c r="IVX144" s="72"/>
      <c r="IVY144" s="72"/>
      <c r="IVZ144" s="72"/>
      <c r="IWA144" s="72"/>
      <c r="IWB144" s="72"/>
      <c r="IWC144" s="72"/>
      <c r="IWD144" s="72"/>
      <c r="IWE144" s="72"/>
      <c r="IWF144" s="72"/>
      <c r="IWG144" s="72"/>
      <c r="IWH144" s="72"/>
      <c r="IWI144" s="72"/>
      <c r="IWJ144" s="72"/>
      <c r="IWK144" s="72"/>
      <c r="IWL144" s="72"/>
      <c r="IWM144" s="72"/>
      <c r="IWN144" s="72"/>
      <c r="IWO144" s="72"/>
      <c r="IWP144" s="72"/>
      <c r="IWQ144" s="72"/>
      <c r="IWR144" s="72"/>
      <c r="IWS144" s="72"/>
      <c r="IWT144" s="72"/>
      <c r="IWU144" s="72"/>
      <c r="IWV144" s="72"/>
      <c r="IWW144" s="72"/>
      <c r="IWX144" s="72"/>
      <c r="IWY144" s="72"/>
      <c r="IWZ144" s="72"/>
      <c r="IXA144" s="72"/>
      <c r="IXB144" s="72"/>
      <c r="IXC144" s="72"/>
      <c r="IXD144" s="72"/>
      <c r="IXE144" s="72"/>
      <c r="IXF144" s="72"/>
      <c r="IXG144" s="72"/>
      <c r="IXH144" s="72"/>
      <c r="IXI144" s="72"/>
      <c r="IXJ144" s="72"/>
      <c r="IXK144" s="72"/>
      <c r="IXL144" s="72"/>
      <c r="IXM144" s="72"/>
      <c r="IXN144" s="72"/>
      <c r="IXO144" s="72"/>
      <c r="IXP144" s="72"/>
      <c r="IXQ144" s="72"/>
      <c r="IXR144" s="72"/>
      <c r="IXS144" s="72"/>
      <c r="IXT144" s="72"/>
      <c r="IXU144" s="72"/>
      <c r="IXV144" s="72"/>
      <c r="IXW144" s="72"/>
      <c r="IXX144" s="72"/>
      <c r="IXY144" s="72"/>
      <c r="IXZ144" s="72"/>
      <c r="IYA144" s="72"/>
      <c r="IYB144" s="72"/>
      <c r="IYC144" s="72"/>
      <c r="IYD144" s="72"/>
      <c r="IYE144" s="72"/>
      <c r="IYF144" s="72"/>
      <c r="IYG144" s="72"/>
      <c r="IYH144" s="72"/>
      <c r="IYI144" s="72"/>
      <c r="IYJ144" s="72"/>
      <c r="IYK144" s="72"/>
      <c r="IYL144" s="72"/>
      <c r="IYM144" s="72"/>
      <c r="IYN144" s="72"/>
      <c r="IYO144" s="72"/>
      <c r="IYP144" s="72"/>
      <c r="IYQ144" s="72"/>
      <c r="IYR144" s="72"/>
      <c r="IYS144" s="72"/>
      <c r="IYT144" s="72"/>
      <c r="IYU144" s="72"/>
      <c r="IYV144" s="72"/>
      <c r="IYW144" s="72"/>
      <c r="IYX144" s="72"/>
      <c r="IYY144" s="72"/>
      <c r="IYZ144" s="72"/>
      <c r="IZA144" s="72"/>
      <c r="IZB144" s="72"/>
      <c r="IZC144" s="72"/>
      <c r="IZD144" s="72"/>
      <c r="IZE144" s="72"/>
      <c r="IZF144" s="72"/>
      <c r="IZG144" s="72"/>
      <c r="IZH144" s="72"/>
      <c r="IZI144" s="72"/>
      <c r="IZJ144" s="72"/>
      <c r="IZK144" s="72"/>
      <c r="IZL144" s="72"/>
      <c r="IZM144" s="72"/>
      <c r="IZN144" s="72"/>
      <c r="IZO144" s="72"/>
      <c r="IZP144" s="72"/>
      <c r="IZQ144" s="72"/>
      <c r="IZR144" s="72"/>
      <c r="IZS144" s="72"/>
      <c r="IZT144" s="72"/>
      <c r="IZU144" s="72"/>
      <c r="IZV144" s="72"/>
      <c r="IZW144" s="72"/>
      <c r="IZX144" s="72"/>
      <c r="IZY144" s="72"/>
      <c r="IZZ144" s="72"/>
      <c r="JAA144" s="72"/>
      <c r="JAB144" s="72"/>
      <c r="JAC144" s="72"/>
      <c r="JAD144" s="72"/>
      <c r="JAE144" s="72"/>
      <c r="JAF144" s="72"/>
      <c r="JAG144" s="72"/>
      <c r="JAH144" s="72"/>
      <c r="JAI144" s="72"/>
      <c r="JAJ144" s="72"/>
      <c r="JAK144" s="72"/>
      <c r="JAL144" s="72"/>
      <c r="JAM144" s="72"/>
      <c r="JAN144" s="72"/>
      <c r="JAO144" s="72"/>
      <c r="JAP144" s="72"/>
      <c r="JAQ144" s="72"/>
      <c r="JAR144" s="72"/>
      <c r="JAS144" s="72"/>
      <c r="JAT144" s="72"/>
      <c r="JAU144" s="72"/>
      <c r="JAV144" s="72"/>
      <c r="JAW144" s="72"/>
      <c r="JAX144" s="72"/>
      <c r="JAY144" s="72"/>
      <c r="JAZ144" s="72"/>
      <c r="JBA144" s="72"/>
      <c r="JBB144" s="72"/>
      <c r="JBC144" s="72"/>
      <c r="JBD144" s="72"/>
      <c r="JBE144" s="72"/>
      <c r="JBF144" s="72"/>
      <c r="JBG144" s="72"/>
      <c r="JBH144" s="72"/>
      <c r="JBI144" s="72"/>
      <c r="JBJ144" s="72"/>
      <c r="JBK144" s="72"/>
      <c r="JBL144" s="72"/>
      <c r="JBM144" s="72"/>
      <c r="JBN144" s="72"/>
      <c r="JBO144" s="72"/>
      <c r="JBP144" s="72"/>
      <c r="JBQ144" s="72"/>
      <c r="JBR144" s="72"/>
      <c r="JBS144" s="72"/>
      <c r="JBT144" s="72"/>
      <c r="JBU144" s="72"/>
      <c r="JBV144" s="72"/>
      <c r="JBW144" s="72"/>
      <c r="JBX144" s="72"/>
      <c r="JBY144" s="72"/>
      <c r="JBZ144" s="72"/>
      <c r="JCA144" s="72"/>
      <c r="JCB144" s="72"/>
      <c r="JCC144" s="72"/>
      <c r="JCD144" s="72"/>
      <c r="JCE144" s="72"/>
      <c r="JCF144" s="72"/>
      <c r="JCG144" s="72"/>
      <c r="JCH144" s="72"/>
      <c r="JCI144" s="72"/>
      <c r="JCJ144" s="72"/>
      <c r="JCK144" s="72"/>
      <c r="JCL144" s="72"/>
      <c r="JCM144" s="72"/>
      <c r="JCN144" s="72"/>
      <c r="JCO144" s="72"/>
      <c r="JCP144" s="72"/>
      <c r="JCQ144" s="72"/>
      <c r="JCR144" s="72"/>
      <c r="JCS144" s="72"/>
      <c r="JCT144" s="72"/>
      <c r="JCU144" s="72"/>
      <c r="JCV144" s="72"/>
      <c r="JCW144" s="72"/>
      <c r="JCX144" s="72"/>
      <c r="JCY144" s="72"/>
      <c r="JCZ144" s="72"/>
      <c r="JDA144" s="72"/>
      <c r="JDB144" s="72"/>
      <c r="JDC144" s="72"/>
      <c r="JDD144" s="72"/>
      <c r="JDE144" s="72"/>
      <c r="JDF144" s="72"/>
      <c r="JDG144" s="72"/>
      <c r="JDH144" s="72"/>
      <c r="JDI144" s="72"/>
      <c r="JDJ144" s="72"/>
      <c r="JDK144" s="72"/>
      <c r="JDL144" s="72"/>
      <c r="JDM144" s="72"/>
      <c r="JDN144" s="72"/>
      <c r="JDO144" s="72"/>
      <c r="JDP144" s="72"/>
      <c r="JDQ144" s="72"/>
      <c r="JDR144" s="72"/>
      <c r="JDS144" s="72"/>
      <c r="JDT144" s="72"/>
      <c r="JDU144" s="72"/>
      <c r="JDV144" s="72"/>
      <c r="JDW144" s="72"/>
      <c r="JDX144" s="72"/>
      <c r="JDY144" s="72"/>
      <c r="JDZ144" s="72"/>
      <c r="JEA144" s="72"/>
      <c r="JEB144" s="72"/>
      <c r="JEC144" s="72"/>
      <c r="JED144" s="72"/>
      <c r="JEE144" s="72"/>
      <c r="JEF144" s="72"/>
      <c r="JEG144" s="72"/>
      <c r="JEH144" s="72"/>
      <c r="JEI144" s="72"/>
      <c r="JEJ144" s="72"/>
      <c r="JEK144" s="72"/>
      <c r="JEL144" s="72"/>
      <c r="JEM144" s="72"/>
      <c r="JEN144" s="72"/>
      <c r="JEO144" s="72"/>
      <c r="JEP144" s="72"/>
      <c r="JEQ144" s="72"/>
      <c r="JER144" s="72"/>
      <c r="JES144" s="72"/>
      <c r="JET144" s="72"/>
      <c r="JEU144" s="72"/>
      <c r="JEV144" s="72"/>
      <c r="JEW144" s="72"/>
      <c r="JEX144" s="72"/>
      <c r="JEY144" s="72"/>
      <c r="JEZ144" s="72"/>
      <c r="JFA144" s="72"/>
      <c r="JFB144" s="72"/>
      <c r="JFC144" s="72"/>
      <c r="JFD144" s="72"/>
      <c r="JFE144" s="72"/>
      <c r="JFF144" s="72"/>
      <c r="JFG144" s="72"/>
      <c r="JFH144" s="72"/>
      <c r="JFI144" s="72"/>
      <c r="JFJ144" s="72"/>
      <c r="JFK144" s="72"/>
      <c r="JFL144" s="72"/>
      <c r="JFM144" s="72"/>
      <c r="JFN144" s="72"/>
      <c r="JFO144" s="72"/>
      <c r="JFP144" s="72"/>
      <c r="JFQ144" s="72"/>
      <c r="JFR144" s="72"/>
      <c r="JFS144" s="72"/>
      <c r="JFT144" s="72"/>
      <c r="JFU144" s="72"/>
      <c r="JFV144" s="72"/>
      <c r="JFW144" s="72"/>
      <c r="JFX144" s="72"/>
      <c r="JFY144" s="72"/>
      <c r="JFZ144" s="72"/>
      <c r="JGA144" s="72"/>
      <c r="JGB144" s="72"/>
      <c r="JGC144" s="72"/>
      <c r="JGD144" s="72"/>
      <c r="JGE144" s="72"/>
      <c r="JGF144" s="72"/>
      <c r="JGG144" s="72"/>
      <c r="JGH144" s="72"/>
      <c r="JGI144" s="72"/>
      <c r="JGJ144" s="72"/>
      <c r="JGK144" s="72"/>
      <c r="JGL144" s="72"/>
      <c r="JGM144" s="72"/>
      <c r="JGN144" s="72"/>
      <c r="JGO144" s="72"/>
      <c r="JGP144" s="72"/>
      <c r="JGQ144" s="72"/>
      <c r="JGR144" s="72"/>
      <c r="JGS144" s="72"/>
      <c r="JGT144" s="72"/>
      <c r="JGU144" s="72"/>
      <c r="JGV144" s="72"/>
      <c r="JGW144" s="72"/>
      <c r="JGX144" s="72"/>
      <c r="JGY144" s="72"/>
      <c r="JGZ144" s="72"/>
      <c r="JHA144" s="72"/>
      <c r="JHB144" s="72"/>
      <c r="JHC144" s="72"/>
      <c r="JHD144" s="72"/>
      <c r="JHE144" s="72"/>
      <c r="JHF144" s="72"/>
      <c r="JHG144" s="72"/>
      <c r="JHH144" s="72"/>
      <c r="JHI144" s="72"/>
      <c r="JHJ144" s="72"/>
      <c r="JHK144" s="72"/>
      <c r="JHL144" s="72"/>
      <c r="JHM144" s="72"/>
      <c r="JHN144" s="72"/>
      <c r="JHO144" s="72"/>
      <c r="JHP144" s="72"/>
      <c r="JHQ144" s="72"/>
      <c r="JHR144" s="72"/>
      <c r="JHS144" s="72"/>
      <c r="JHT144" s="72"/>
      <c r="JHU144" s="72"/>
      <c r="JHV144" s="72"/>
      <c r="JHW144" s="72"/>
      <c r="JHX144" s="72"/>
      <c r="JHY144" s="72"/>
      <c r="JHZ144" s="72"/>
      <c r="JIA144" s="72"/>
      <c r="JIB144" s="72"/>
      <c r="JIC144" s="72"/>
      <c r="JID144" s="72"/>
      <c r="JIE144" s="72"/>
      <c r="JIF144" s="72"/>
      <c r="JIG144" s="72"/>
      <c r="JIH144" s="72"/>
      <c r="JII144" s="72"/>
      <c r="JIJ144" s="72"/>
      <c r="JIK144" s="72"/>
      <c r="JIL144" s="72"/>
      <c r="JIM144" s="72"/>
      <c r="JIN144" s="72"/>
      <c r="JIO144" s="72"/>
      <c r="JIP144" s="72"/>
      <c r="JIQ144" s="72"/>
      <c r="JIR144" s="72"/>
      <c r="JIS144" s="72"/>
      <c r="JIT144" s="72"/>
      <c r="JIU144" s="72"/>
      <c r="JIV144" s="72"/>
      <c r="JIW144" s="72"/>
      <c r="JIX144" s="72"/>
      <c r="JIY144" s="72"/>
      <c r="JIZ144" s="72"/>
      <c r="JJA144" s="72"/>
      <c r="JJB144" s="72"/>
      <c r="JJC144" s="72"/>
      <c r="JJD144" s="72"/>
      <c r="JJE144" s="72"/>
      <c r="JJF144" s="72"/>
      <c r="JJG144" s="72"/>
      <c r="JJH144" s="72"/>
      <c r="JJI144" s="72"/>
      <c r="JJJ144" s="72"/>
      <c r="JJK144" s="72"/>
      <c r="JJL144" s="72"/>
      <c r="JJM144" s="72"/>
      <c r="JJN144" s="72"/>
      <c r="JJO144" s="72"/>
      <c r="JJP144" s="72"/>
      <c r="JJQ144" s="72"/>
      <c r="JJR144" s="72"/>
      <c r="JJS144" s="72"/>
      <c r="JJT144" s="72"/>
      <c r="JJU144" s="72"/>
      <c r="JJV144" s="72"/>
      <c r="JJW144" s="72"/>
      <c r="JJX144" s="72"/>
      <c r="JJY144" s="72"/>
      <c r="JJZ144" s="72"/>
      <c r="JKA144" s="72"/>
      <c r="JKB144" s="72"/>
      <c r="JKC144" s="72"/>
      <c r="JKD144" s="72"/>
      <c r="JKE144" s="72"/>
      <c r="JKF144" s="72"/>
      <c r="JKG144" s="72"/>
      <c r="JKH144" s="72"/>
      <c r="JKI144" s="72"/>
      <c r="JKJ144" s="72"/>
      <c r="JKK144" s="72"/>
      <c r="JKL144" s="72"/>
      <c r="JKM144" s="72"/>
      <c r="JKN144" s="72"/>
      <c r="JKO144" s="72"/>
      <c r="JKP144" s="72"/>
      <c r="JKQ144" s="72"/>
      <c r="JKR144" s="72"/>
      <c r="JKS144" s="72"/>
      <c r="JKT144" s="72"/>
      <c r="JKU144" s="72"/>
      <c r="JKV144" s="72"/>
      <c r="JKW144" s="72"/>
      <c r="JKX144" s="72"/>
      <c r="JKY144" s="72"/>
      <c r="JKZ144" s="72"/>
      <c r="JLA144" s="72"/>
      <c r="JLB144" s="72"/>
      <c r="JLC144" s="72"/>
      <c r="JLD144" s="72"/>
      <c r="JLE144" s="72"/>
      <c r="JLF144" s="72"/>
      <c r="JLG144" s="72"/>
      <c r="JLH144" s="72"/>
      <c r="JLI144" s="72"/>
      <c r="JLJ144" s="72"/>
      <c r="JLK144" s="72"/>
      <c r="JLL144" s="72"/>
      <c r="JLM144" s="72"/>
      <c r="JLN144" s="72"/>
      <c r="JLO144" s="72"/>
      <c r="JLP144" s="72"/>
      <c r="JLQ144" s="72"/>
      <c r="JLR144" s="72"/>
      <c r="JLS144" s="72"/>
      <c r="JLT144" s="72"/>
      <c r="JLU144" s="72"/>
      <c r="JLV144" s="72"/>
      <c r="JLW144" s="72"/>
      <c r="JLX144" s="72"/>
      <c r="JLY144" s="72"/>
      <c r="JLZ144" s="72"/>
      <c r="JMA144" s="72"/>
      <c r="JMB144" s="72"/>
      <c r="JMC144" s="72"/>
      <c r="JMD144" s="72"/>
      <c r="JME144" s="72"/>
      <c r="JMF144" s="72"/>
      <c r="JMG144" s="72"/>
      <c r="JMH144" s="72"/>
      <c r="JMI144" s="72"/>
      <c r="JMJ144" s="72"/>
      <c r="JMK144" s="72"/>
      <c r="JML144" s="72"/>
      <c r="JMM144" s="72"/>
      <c r="JMN144" s="72"/>
      <c r="JMO144" s="72"/>
      <c r="JMP144" s="72"/>
      <c r="JMQ144" s="72"/>
      <c r="JMR144" s="72"/>
      <c r="JMS144" s="72"/>
      <c r="JMT144" s="72"/>
      <c r="JMU144" s="72"/>
      <c r="JMV144" s="72"/>
      <c r="JMW144" s="72"/>
      <c r="JMX144" s="72"/>
      <c r="JMY144" s="72"/>
      <c r="JMZ144" s="72"/>
      <c r="JNA144" s="72"/>
      <c r="JNB144" s="72"/>
      <c r="JNC144" s="72"/>
      <c r="JND144" s="72"/>
      <c r="JNE144" s="72"/>
      <c r="JNF144" s="72"/>
      <c r="JNG144" s="72"/>
      <c r="JNH144" s="72"/>
      <c r="JNI144" s="72"/>
      <c r="JNJ144" s="72"/>
      <c r="JNK144" s="72"/>
      <c r="JNL144" s="72"/>
      <c r="JNM144" s="72"/>
      <c r="JNN144" s="72"/>
      <c r="JNO144" s="72"/>
      <c r="JNP144" s="72"/>
      <c r="JNQ144" s="72"/>
      <c r="JNR144" s="72"/>
      <c r="JNS144" s="72"/>
      <c r="JNT144" s="72"/>
      <c r="JNU144" s="72"/>
      <c r="JNV144" s="72"/>
      <c r="JNW144" s="72"/>
      <c r="JNX144" s="72"/>
      <c r="JNY144" s="72"/>
      <c r="JNZ144" s="72"/>
      <c r="JOA144" s="72"/>
      <c r="JOB144" s="72"/>
      <c r="JOC144" s="72"/>
      <c r="JOD144" s="72"/>
      <c r="JOE144" s="72"/>
      <c r="JOF144" s="72"/>
      <c r="JOG144" s="72"/>
      <c r="JOH144" s="72"/>
      <c r="JOI144" s="72"/>
      <c r="JOJ144" s="72"/>
      <c r="JOK144" s="72"/>
      <c r="JOL144" s="72"/>
      <c r="JOM144" s="72"/>
      <c r="JON144" s="72"/>
      <c r="JOO144" s="72"/>
      <c r="JOP144" s="72"/>
      <c r="JOQ144" s="72"/>
      <c r="JOR144" s="72"/>
      <c r="JOS144" s="72"/>
      <c r="JOT144" s="72"/>
      <c r="JOU144" s="72"/>
      <c r="JOV144" s="72"/>
      <c r="JOW144" s="72"/>
      <c r="JOX144" s="72"/>
      <c r="JOY144" s="72"/>
      <c r="JOZ144" s="72"/>
      <c r="JPA144" s="72"/>
      <c r="JPB144" s="72"/>
      <c r="JPC144" s="72"/>
      <c r="JPD144" s="72"/>
      <c r="JPE144" s="72"/>
      <c r="JPF144" s="72"/>
      <c r="JPG144" s="72"/>
      <c r="JPH144" s="72"/>
      <c r="JPI144" s="72"/>
      <c r="JPJ144" s="72"/>
      <c r="JPK144" s="72"/>
      <c r="JPL144" s="72"/>
      <c r="JPM144" s="72"/>
      <c r="JPN144" s="72"/>
      <c r="JPO144" s="72"/>
      <c r="JPP144" s="72"/>
      <c r="JPQ144" s="72"/>
      <c r="JPR144" s="72"/>
      <c r="JPS144" s="72"/>
      <c r="JPT144" s="72"/>
      <c r="JPU144" s="72"/>
      <c r="JPV144" s="72"/>
      <c r="JPW144" s="72"/>
      <c r="JPX144" s="72"/>
      <c r="JPY144" s="72"/>
      <c r="JPZ144" s="72"/>
      <c r="JQA144" s="72"/>
      <c r="JQB144" s="72"/>
      <c r="JQC144" s="72"/>
      <c r="JQD144" s="72"/>
      <c r="JQE144" s="72"/>
      <c r="JQF144" s="72"/>
      <c r="JQG144" s="72"/>
      <c r="JQH144" s="72"/>
      <c r="JQI144" s="72"/>
      <c r="JQJ144" s="72"/>
      <c r="JQK144" s="72"/>
      <c r="JQL144" s="72"/>
      <c r="JQM144" s="72"/>
      <c r="JQN144" s="72"/>
      <c r="JQO144" s="72"/>
      <c r="JQP144" s="72"/>
      <c r="JQQ144" s="72"/>
      <c r="JQR144" s="72"/>
      <c r="JQS144" s="72"/>
      <c r="JQT144" s="72"/>
      <c r="JQU144" s="72"/>
      <c r="JQV144" s="72"/>
      <c r="JQW144" s="72"/>
      <c r="JQX144" s="72"/>
      <c r="JQY144" s="72"/>
      <c r="JQZ144" s="72"/>
      <c r="JRA144" s="72"/>
      <c r="JRB144" s="72"/>
      <c r="JRC144" s="72"/>
      <c r="JRD144" s="72"/>
      <c r="JRE144" s="72"/>
      <c r="JRF144" s="72"/>
      <c r="JRG144" s="72"/>
      <c r="JRH144" s="72"/>
      <c r="JRI144" s="72"/>
      <c r="JRJ144" s="72"/>
      <c r="JRK144" s="72"/>
      <c r="JRL144" s="72"/>
      <c r="JRM144" s="72"/>
      <c r="JRN144" s="72"/>
      <c r="JRO144" s="72"/>
      <c r="JRP144" s="72"/>
      <c r="JRQ144" s="72"/>
      <c r="JRR144" s="72"/>
      <c r="JRS144" s="72"/>
      <c r="JRT144" s="72"/>
      <c r="JRU144" s="72"/>
      <c r="JRV144" s="72"/>
      <c r="JRW144" s="72"/>
      <c r="JRX144" s="72"/>
      <c r="JRY144" s="72"/>
      <c r="JRZ144" s="72"/>
      <c r="JSA144" s="72"/>
      <c r="JSB144" s="72"/>
      <c r="JSC144" s="72"/>
      <c r="JSD144" s="72"/>
      <c r="JSE144" s="72"/>
      <c r="JSF144" s="72"/>
      <c r="JSG144" s="72"/>
      <c r="JSH144" s="72"/>
      <c r="JSI144" s="72"/>
      <c r="JSJ144" s="72"/>
      <c r="JSK144" s="72"/>
      <c r="JSL144" s="72"/>
      <c r="JSM144" s="72"/>
      <c r="JSN144" s="72"/>
      <c r="JSO144" s="72"/>
      <c r="JSP144" s="72"/>
      <c r="JSQ144" s="72"/>
      <c r="JSR144" s="72"/>
      <c r="JSS144" s="72"/>
      <c r="JST144" s="72"/>
      <c r="JSU144" s="72"/>
      <c r="JSV144" s="72"/>
      <c r="JSW144" s="72"/>
      <c r="JSX144" s="72"/>
      <c r="JSY144" s="72"/>
      <c r="JSZ144" s="72"/>
      <c r="JTA144" s="72"/>
      <c r="JTB144" s="72"/>
      <c r="JTC144" s="72"/>
      <c r="JTD144" s="72"/>
      <c r="JTE144" s="72"/>
      <c r="JTF144" s="72"/>
      <c r="JTG144" s="72"/>
      <c r="JTH144" s="72"/>
      <c r="JTI144" s="72"/>
      <c r="JTJ144" s="72"/>
      <c r="JTK144" s="72"/>
      <c r="JTL144" s="72"/>
      <c r="JTM144" s="72"/>
      <c r="JTN144" s="72"/>
      <c r="JTO144" s="72"/>
      <c r="JTP144" s="72"/>
      <c r="JTQ144" s="72"/>
      <c r="JTR144" s="72"/>
      <c r="JTS144" s="72"/>
      <c r="JTT144" s="72"/>
      <c r="JTU144" s="72"/>
      <c r="JTV144" s="72"/>
      <c r="JTW144" s="72"/>
      <c r="JTX144" s="72"/>
      <c r="JTY144" s="72"/>
      <c r="JTZ144" s="72"/>
      <c r="JUA144" s="72"/>
      <c r="JUB144" s="72"/>
      <c r="JUC144" s="72"/>
      <c r="JUD144" s="72"/>
      <c r="JUE144" s="72"/>
      <c r="JUF144" s="72"/>
      <c r="JUG144" s="72"/>
      <c r="JUH144" s="72"/>
      <c r="JUI144" s="72"/>
      <c r="JUJ144" s="72"/>
      <c r="JUK144" s="72"/>
      <c r="JUL144" s="72"/>
      <c r="JUM144" s="72"/>
      <c r="JUN144" s="72"/>
      <c r="JUO144" s="72"/>
      <c r="JUP144" s="72"/>
      <c r="JUQ144" s="72"/>
      <c r="JUR144" s="72"/>
      <c r="JUS144" s="72"/>
      <c r="JUT144" s="72"/>
      <c r="JUU144" s="72"/>
      <c r="JUV144" s="72"/>
      <c r="JUW144" s="72"/>
      <c r="JUX144" s="72"/>
      <c r="JUY144" s="72"/>
      <c r="JUZ144" s="72"/>
      <c r="JVA144" s="72"/>
      <c r="JVB144" s="72"/>
      <c r="JVC144" s="72"/>
      <c r="JVD144" s="72"/>
      <c r="JVE144" s="72"/>
      <c r="JVF144" s="72"/>
      <c r="JVG144" s="72"/>
      <c r="JVH144" s="72"/>
      <c r="JVI144" s="72"/>
      <c r="JVJ144" s="72"/>
      <c r="JVK144" s="72"/>
      <c r="JVL144" s="72"/>
      <c r="JVM144" s="72"/>
      <c r="JVN144" s="72"/>
      <c r="JVO144" s="72"/>
      <c r="JVP144" s="72"/>
      <c r="JVQ144" s="72"/>
      <c r="JVR144" s="72"/>
      <c r="JVS144" s="72"/>
      <c r="JVT144" s="72"/>
      <c r="JVU144" s="72"/>
      <c r="JVV144" s="72"/>
      <c r="JVW144" s="72"/>
      <c r="JVX144" s="72"/>
      <c r="JVY144" s="72"/>
      <c r="JVZ144" s="72"/>
      <c r="JWA144" s="72"/>
      <c r="JWB144" s="72"/>
      <c r="JWC144" s="72"/>
      <c r="JWD144" s="72"/>
      <c r="JWE144" s="72"/>
      <c r="JWF144" s="72"/>
      <c r="JWG144" s="72"/>
      <c r="JWH144" s="72"/>
      <c r="JWI144" s="72"/>
      <c r="JWJ144" s="72"/>
      <c r="JWK144" s="72"/>
      <c r="JWL144" s="72"/>
      <c r="JWM144" s="72"/>
      <c r="JWN144" s="72"/>
      <c r="JWO144" s="72"/>
      <c r="JWP144" s="72"/>
      <c r="JWQ144" s="72"/>
      <c r="JWR144" s="72"/>
      <c r="JWS144" s="72"/>
      <c r="JWT144" s="72"/>
      <c r="JWU144" s="72"/>
      <c r="JWV144" s="72"/>
      <c r="JWW144" s="72"/>
      <c r="JWX144" s="72"/>
      <c r="JWY144" s="72"/>
      <c r="JWZ144" s="72"/>
      <c r="JXA144" s="72"/>
      <c r="JXB144" s="72"/>
      <c r="JXC144" s="72"/>
      <c r="JXD144" s="72"/>
      <c r="JXE144" s="72"/>
      <c r="JXF144" s="72"/>
      <c r="JXG144" s="72"/>
      <c r="JXH144" s="72"/>
      <c r="JXI144" s="72"/>
      <c r="JXJ144" s="72"/>
      <c r="JXK144" s="72"/>
      <c r="JXL144" s="72"/>
      <c r="JXM144" s="72"/>
      <c r="JXN144" s="72"/>
      <c r="JXO144" s="72"/>
      <c r="JXP144" s="72"/>
      <c r="JXQ144" s="72"/>
      <c r="JXR144" s="72"/>
      <c r="JXS144" s="72"/>
      <c r="JXT144" s="72"/>
      <c r="JXU144" s="72"/>
      <c r="JXV144" s="72"/>
      <c r="JXW144" s="72"/>
      <c r="JXX144" s="72"/>
      <c r="JXY144" s="72"/>
      <c r="JXZ144" s="72"/>
      <c r="JYA144" s="72"/>
      <c r="JYB144" s="72"/>
      <c r="JYC144" s="72"/>
      <c r="JYD144" s="72"/>
      <c r="JYE144" s="72"/>
      <c r="JYF144" s="72"/>
      <c r="JYG144" s="72"/>
      <c r="JYH144" s="72"/>
      <c r="JYI144" s="72"/>
      <c r="JYJ144" s="72"/>
      <c r="JYK144" s="72"/>
      <c r="JYL144" s="72"/>
      <c r="JYM144" s="72"/>
      <c r="JYN144" s="72"/>
      <c r="JYO144" s="72"/>
      <c r="JYP144" s="72"/>
      <c r="JYQ144" s="72"/>
      <c r="JYR144" s="72"/>
      <c r="JYS144" s="72"/>
      <c r="JYT144" s="72"/>
      <c r="JYU144" s="72"/>
      <c r="JYV144" s="72"/>
      <c r="JYW144" s="72"/>
      <c r="JYX144" s="72"/>
      <c r="JYY144" s="72"/>
      <c r="JYZ144" s="72"/>
      <c r="JZA144" s="72"/>
      <c r="JZB144" s="72"/>
      <c r="JZC144" s="72"/>
      <c r="JZD144" s="72"/>
      <c r="JZE144" s="72"/>
      <c r="JZF144" s="72"/>
      <c r="JZG144" s="72"/>
      <c r="JZH144" s="72"/>
      <c r="JZI144" s="72"/>
      <c r="JZJ144" s="72"/>
      <c r="JZK144" s="72"/>
      <c r="JZL144" s="72"/>
      <c r="JZM144" s="72"/>
      <c r="JZN144" s="72"/>
      <c r="JZO144" s="72"/>
      <c r="JZP144" s="72"/>
      <c r="JZQ144" s="72"/>
      <c r="JZR144" s="72"/>
      <c r="JZS144" s="72"/>
      <c r="JZT144" s="72"/>
      <c r="JZU144" s="72"/>
      <c r="JZV144" s="72"/>
      <c r="JZW144" s="72"/>
      <c r="JZX144" s="72"/>
      <c r="JZY144" s="72"/>
      <c r="JZZ144" s="72"/>
      <c r="KAA144" s="72"/>
      <c r="KAB144" s="72"/>
      <c r="KAC144" s="72"/>
      <c r="KAD144" s="72"/>
      <c r="KAE144" s="72"/>
      <c r="KAF144" s="72"/>
      <c r="KAG144" s="72"/>
      <c r="KAH144" s="72"/>
      <c r="KAI144" s="72"/>
      <c r="KAJ144" s="72"/>
      <c r="KAK144" s="72"/>
      <c r="KAL144" s="72"/>
      <c r="KAM144" s="72"/>
      <c r="KAN144" s="72"/>
      <c r="KAO144" s="72"/>
      <c r="KAP144" s="72"/>
      <c r="KAQ144" s="72"/>
      <c r="KAR144" s="72"/>
      <c r="KAS144" s="72"/>
      <c r="KAT144" s="72"/>
      <c r="KAU144" s="72"/>
      <c r="KAV144" s="72"/>
      <c r="KAW144" s="72"/>
      <c r="KAX144" s="72"/>
      <c r="KAY144" s="72"/>
      <c r="KAZ144" s="72"/>
      <c r="KBA144" s="72"/>
      <c r="KBB144" s="72"/>
      <c r="KBC144" s="72"/>
      <c r="KBD144" s="72"/>
      <c r="KBE144" s="72"/>
      <c r="KBF144" s="72"/>
      <c r="KBG144" s="72"/>
      <c r="KBH144" s="72"/>
      <c r="KBI144" s="72"/>
      <c r="KBJ144" s="72"/>
      <c r="KBK144" s="72"/>
      <c r="KBL144" s="72"/>
      <c r="KBM144" s="72"/>
      <c r="KBN144" s="72"/>
      <c r="KBO144" s="72"/>
      <c r="KBP144" s="72"/>
      <c r="KBQ144" s="72"/>
      <c r="KBR144" s="72"/>
      <c r="KBS144" s="72"/>
      <c r="KBT144" s="72"/>
      <c r="KBU144" s="72"/>
      <c r="KBV144" s="72"/>
      <c r="KBW144" s="72"/>
      <c r="KBX144" s="72"/>
      <c r="KBY144" s="72"/>
      <c r="KBZ144" s="72"/>
      <c r="KCA144" s="72"/>
      <c r="KCB144" s="72"/>
      <c r="KCC144" s="72"/>
      <c r="KCD144" s="72"/>
      <c r="KCE144" s="72"/>
      <c r="KCF144" s="72"/>
      <c r="KCG144" s="72"/>
      <c r="KCH144" s="72"/>
      <c r="KCI144" s="72"/>
      <c r="KCJ144" s="72"/>
      <c r="KCK144" s="72"/>
      <c r="KCL144" s="72"/>
      <c r="KCM144" s="72"/>
      <c r="KCN144" s="72"/>
      <c r="KCO144" s="72"/>
      <c r="KCP144" s="72"/>
      <c r="KCQ144" s="72"/>
      <c r="KCR144" s="72"/>
      <c r="KCS144" s="72"/>
      <c r="KCT144" s="72"/>
      <c r="KCU144" s="72"/>
      <c r="KCV144" s="72"/>
      <c r="KCW144" s="72"/>
      <c r="KCX144" s="72"/>
      <c r="KCY144" s="72"/>
      <c r="KCZ144" s="72"/>
      <c r="KDA144" s="72"/>
      <c r="KDB144" s="72"/>
      <c r="KDC144" s="72"/>
      <c r="KDD144" s="72"/>
      <c r="KDE144" s="72"/>
      <c r="KDF144" s="72"/>
      <c r="KDG144" s="72"/>
      <c r="KDH144" s="72"/>
      <c r="KDI144" s="72"/>
      <c r="KDJ144" s="72"/>
      <c r="KDK144" s="72"/>
      <c r="KDL144" s="72"/>
      <c r="KDM144" s="72"/>
      <c r="KDN144" s="72"/>
      <c r="KDO144" s="72"/>
      <c r="KDP144" s="72"/>
      <c r="KDQ144" s="72"/>
      <c r="KDR144" s="72"/>
      <c r="KDS144" s="72"/>
      <c r="KDT144" s="72"/>
      <c r="KDU144" s="72"/>
      <c r="KDV144" s="72"/>
      <c r="KDW144" s="72"/>
      <c r="KDX144" s="72"/>
      <c r="KDY144" s="72"/>
      <c r="KDZ144" s="72"/>
      <c r="KEA144" s="72"/>
      <c r="KEB144" s="72"/>
      <c r="KEC144" s="72"/>
      <c r="KED144" s="72"/>
      <c r="KEE144" s="72"/>
      <c r="KEF144" s="72"/>
      <c r="KEG144" s="72"/>
      <c r="KEH144" s="72"/>
      <c r="KEI144" s="72"/>
      <c r="KEJ144" s="72"/>
      <c r="KEK144" s="72"/>
      <c r="KEL144" s="72"/>
      <c r="KEM144" s="72"/>
      <c r="KEN144" s="72"/>
      <c r="KEO144" s="72"/>
      <c r="KEP144" s="72"/>
      <c r="KEQ144" s="72"/>
      <c r="KER144" s="72"/>
      <c r="KES144" s="72"/>
      <c r="KET144" s="72"/>
      <c r="KEU144" s="72"/>
      <c r="KEV144" s="72"/>
      <c r="KEW144" s="72"/>
      <c r="KEX144" s="72"/>
      <c r="KEY144" s="72"/>
      <c r="KEZ144" s="72"/>
      <c r="KFA144" s="72"/>
      <c r="KFB144" s="72"/>
      <c r="KFC144" s="72"/>
      <c r="KFD144" s="72"/>
      <c r="KFE144" s="72"/>
      <c r="KFF144" s="72"/>
      <c r="KFG144" s="72"/>
      <c r="KFH144" s="72"/>
      <c r="KFI144" s="72"/>
      <c r="KFJ144" s="72"/>
      <c r="KFK144" s="72"/>
      <c r="KFL144" s="72"/>
      <c r="KFM144" s="72"/>
      <c r="KFN144" s="72"/>
      <c r="KFO144" s="72"/>
      <c r="KFP144" s="72"/>
      <c r="KFQ144" s="72"/>
      <c r="KFR144" s="72"/>
      <c r="KFS144" s="72"/>
      <c r="KFT144" s="72"/>
      <c r="KFU144" s="72"/>
      <c r="KFV144" s="72"/>
      <c r="KFW144" s="72"/>
      <c r="KFX144" s="72"/>
      <c r="KFY144" s="72"/>
      <c r="KFZ144" s="72"/>
      <c r="KGA144" s="72"/>
      <c r="KGB144" s="72"/>
      <c r="KGC144" s="72"/>
      <c r="KGD144" s="72"/>
      <c r="KGE144" s="72"/>
      <c r="KGF144" s="72"/>
      <c r="KGG144" s="72"/>
      <c r="KGH144" s="72"/>
      <c r="KGI144" s="72"/>
      <c r="KGJ144" s="72"/>
      <c r="KGK144" s="72"/>
      <c r="KGL144" s="72"/>
      <c r="KGM144" s="72"/>
      <c r="KGN144" s="72"/>
      <c r="KGO144" s="72"/>
      <c r="KGP144" s="72"/>
      <c r="KGQ144" s="72"/>
      <c r="KGR144" s="72"/>
      <c r="KGS144" s="72"/>
      <c r="KGT144" s="72"/>
      <c r="KGU144" s="72"/>
      <c r="KGV144" s="72"/>
      <c r="KGW144" s="72"/>
      <c r="KGX144" s="72"/>
      <c r="KGY144" s="72"/>
      <c r="KGZ144" s="72"/>
      <c r="KHA144" s="72"/>
      <c r="KHB144" s="72"/>
      <c r="KHC144" s="72"/>
      <c r="KHD144" s="72"/>
      <c r="KHE144" s="72"/>
      <c r="KHF144" s="72"/>
      <c r="KHG144" s="72"/>
      <c r="KHH144" s="72"/>
      <c r="KHI144" s="72"/>
      <c r="KHJ144" s="72"/>
      <c r="KHK144" s="72"/>
      <c r="KHL144" s="72"/>
      <c r="KHM144" s="72"/>
      <c r="KHN144" s="72"/>
      <c r="KHO144" s="72"/>
      <c r="KHP144" s="72"/>
      <c r="KHQ144" s="72"/>
      <c r="KHR144" s="72"/>
      <c r="KHS144" s="72"/>
      <c r="KHT144" s="72"/>
      <c r="KHU144" s="72"/>
      <c r="KHV144" s="72"/>
      <c r="KHW144" s="72"/>
      <c r="KHX144" s="72"/>
      <c r="KHY144" s="72"/>
      <c r="KHZ144" s="72"/>
      <c r="KIA144" s="72"/>
      <c r="KIB144" s="72"/>
      <c r="KIC144" s="72"/>
      <c r="KID144" s="72"/>
      <c r="KIE144" s="72"/>
      <c r="KIF144" s="72"/>
      <c r="KIG144" s="72"/>
      <c r="KIH144" s="72"/>
      <c r="KII144" s="72"/>
      <c r="KIJ144" s="72"/>
      <c r="KIK144" s="72"/>
      <c r="KIL144" s="72"/>
      <c r="KIM144" s="72"/>
      <c r="KIN144" s="72"/>
      <c r="KIO144" s="72"/>
      <c r="KIP144" s="72"/>
      <c r="KIQ144" s="72"/>
      <c r="KIR144" s="72"/>
      <c r="KIS144" s="72"/>
      <c r="KIT144" s="72"/>
      <c r="KIU144" s="72"/>
      <c r="KIV144" s="72"/>
      <c r="KIW144" s="72"/>
      <c r="KIX144" s="72"/>
      <c r="KIY144" s="72"/>
      <c r="KIZ144" s="72"/>
      <c r="KJA144" s="72"/>
      <c r="KJB144" s="72"/>
      <c r="KJC144" s="72"/>
      <c r="KJD144" s="72"/>
      <c r="KJE144" s="72"/>
      <c r="KJF144" s="72"/>
      <c r="KJG144" s="72"/>
      <c r="KJH144" s="72"/>
      <c r="KJI144" s="72"/>
      <c r="KJJ144" s="72"/>
      <c r="KJK144" s="72"/>
      <c r="KJL144" s="72"/>
      <c r="KJM144" s="72"/>
      <c r="KJN144" s="72"/>
      <c r="KJO144" s="72"/>
      <c r="KJP144" s="72"/>
      <c r="KJQ144" s="72"/>
      <c r="KJR144" s="72"/>
      <c r="KJS144" s="72"/>
      <c r="KJT144" s="72"/>
      <c r="KJU144" s="72"/>
      <c r="KJV144" s="72"/>
      <c r="KJW144" s="72"/>
      <c r="KJX144" s="72"/>
      <c r="KJY144" s="72"/>
      <c r="KJZ144" s="72"/>
      <c r="KKA144" s="72"/>
      <c r="KKB144" s="72"/>
      <c r="KKC144" s="72"/>
      <c r="KKD144" s="72"/>
      <c r="KKE144" s="72"/>
      <c r="KKF144" s="72"/>
      <c r="KKG144" s="72"/>
      <c r="KKH144" s="72"/>
      <c r="KKI144" s="72"/>
      <c r="KKJ144" s="72"/>
      <c r="KKK144" s="72"/>
      <c r="KKL144" s="72"/>
      <c r="KKM144" s="72"/>
      <c r="KKN144" s="72"/>
      <c r="KKO144" s="72"/>
      <c r="KKP144" s="72"/>
      <c r="KKQ144" s="72"/>
      <c r="KKR144" s="72"/>
      <c r="KKS144" s="72"/>
      <c r="KKT144" s="72"/>
      <c r="KKU144" s="72"/>
      <c r="KKV144" s="72"/>
      <c r="KKW144" s="72"/>
      <c r="KKX144" s="72"/>
      <c r="KKY144" s="72"/>
      <c r="KKZ144" s="72"/>
      <c r="KLA144" s="72"/>
      <c r="KLB144" s="72"/>
      <c r="KLC144" s="72"/>
      <c r="KLD144" s="72"/>
      <c r="KLE144" s="72"/>
      <c r="KLF144" s="72"/>
      <c r="KLG144" s="72"/>
      <c r="KLH144" s="72"/>
      <c r="KLI144" s="72"/>
      <c r="KLJ144" s="72"/>
      <c r="KLK144" s="72"/>
      <c r="KLL144" s="72"/>
      <c r="KLM144" s="72"/>
      <c r="KLN144" s="72"/>
      <c r="KLO144" s="72"/>
      <c r="KLP144" s="72"/>
      <c r="KLQ144" s="72"/>
      <c r="KLR144" s="72"/>
      <c r="KLS144" s="72"/>
      <c r="KLT144" s="72"/>
      <c r="KLU144" s="72"/>
      <c r="KLV144" s="72"/>
      <c r="KLW144" s="72"/>
      <c r="KLX144" s="72"/>
      <c r="KLY144" s="72"/>
      <c r="KLZ144" s="72"/>
      <c r="KMA144" s="72"/>
      <c r="KMB144" s="72"/>
      <c r="KMC144" s="72"/>
      <c r="KMD144" s="72"/>
      <c r="KME144" s="72"/>
      <c r="KMF144" s="72"/>
      <c r="KMG144" s="72"/>
      <c r="KMH144" s="72"/>
      <c r="KMI144" s="72"/>
      <c r="KMJ144" s="72"/>
      <c r="KMK144" s="72"/>
      <c r="KML144" s="72"/>
      <c r="KMM144" s="72"/>
      <c r="KMN144" s="72"/>
      <c r="KMO144" s="72"/>
      <c r="KMP144" s="72"/>
      <c r="KMQ144" s="72"/>
      <c r="KMR144" s="72"/>
      <c r="KMS144" s="72"/>
      <c r="KMT144" s="72"/>
      <c r="KMU144" s="72"/>
      <c r="KMV144" s="72"/>
      <c r="KMW144" s="72"/>
      <c r="KMX144" s="72"/>
      <c r="KMY144" s="72"/>
      <c r="KMZ144" s="72"/>
      <c r="KNA144" s="72"/>
      <c r="KNB144" s="72"/>
      <c r="KNC144" s="72"/>
      <c r="KND144" s="72"/>
      <c r="KNE144" s="72"/>
      <c r="KNF144" s="72"/>
      <c r="KNG144" s="72"/>
      <c r="KNH144" s="72"/>
      <c r="KNI144" s="72"/>
      <c r="KNJ144" s="72"/>
      <c r="KNK144" s="72"/>
      <c r="KNL144" s="72"/>
      <c r="KNM144" s="72"/>
      <c r="KNN144" s="72"/>
      <c r="KNO144" s="72"/>
      <c r="KNP144" s="72"/>
      <c r="KNQ144" s="72"/>
      <c r="KNR144" s="72"/>
      <c r="KNS144" s="72"/>
      <c r="KNT144" s="72"/>
      <c r="KNU144" s="72"/>
      <c r="KNV144" s="72"/>
      <c r="KNW144" s="72"/>
      <c r="KNX144" s="72"/>
      <c r="KNY144" s="72"/>
      <c r="KNZ144" s="72"/>
      <c r="KOA144" s="72"/>
      <c r="KOB144" s="72"/>
      <c r="KOC144" s="72"/>
      <c r="KOD144" s="72"/>
      <c r="KOE144" s="72"/>
      <c r="KOF144" s="72"/>
      <c r="KOG144" s="72"/>
      <c r="KOH144" s="72"/>
      <c r="KOI144" s="72"/>
      <c r="KOJ144" s="72"/>
      <c r="KOK144" s="72"/>
      <c r="KOL144" s="72"/>
      <c r="KOM144" s="72"/>
      <c r="KON144" s="72"/>
      <c r="KOO144" s="72"/>
      <c r="KOP144" s="72"/>
      <c r="KOQ144" s="72"/>
      <c r="KOR144" s="72"/>
      <c r="KOS144" s="72"/>
      <c r="KOT144" s="72"/>
      <c r="KOU144" s="72"/>
      <c r="KOV144" s="72"/>
      <c r="KOW144" s="72"/>
      <c r="KOX144" s="72"/>
      <c r="KOY144" s="72"/>
      <c r="KOZ144" s="72"/>
      <c r="KPA144" s="72"/>
      <c r="KPB144" s="72"/>
      <c r="KPC144" s="72"/>
      <c r="KPD144" s="72"/>
      <c r="KPE144" s="72"/>
      <c r="KPF144" s="72"/>
      <c r="KPG144" s="72"/>
      <c r="KPH144" s="72"/>
      <c r="KPI144" s="72"/>
      <c r="KPJ144" s="72"/>
      <c r="KPK144" s="72"/>
      <c r="KPL144" s="72"/>
      <c r="KPM144" s="72"/>
      <c r="KPN144" s="72"/>
      <c r="KPO144" s="72"/>
      <c r="KPP144" s="72"/>
      <c r="KPQ144" s="72"/>
      <c r="KPR144" s="72"/>
      <c r="KPS144" s="72"/>
      <c r="KPT144" s="72"/>
      <c r="KPU144" s="72"/>
      <c r="KPV144" s="72"/>
      <c r="KPW144" s="72"/>
      <c r="KPX144" s="72"/>
      <c r="KPY144" s="72"/>
      <c r="KPZ144" s="72"/>
      <c r="KQA144" s="72"/>
      <c r="KQB144" s="72"/>
      <c r="KQC144" s="72"/>
      <c r="KQD144" s="72"/>
      <c r="KQE144" s="72"/>
      <c r="KQF144" s="72"/>
      <c r="KQG144" s="72"/>
      <c r="KQH144" s="72"/>
      <c r="KQI144" s="72"/>
      <c r="KQJ144" s="72"/>
      <c r="KQK144" s="72"/>
      <c r="KQL144" s="72"/>
      <c r="KQM144" s="72"/>
      <c r="KQN144" s="72"/>
      <c r="KQO144" s="72"/>
      <c r="KQP144" s="72"/>
      <c r="KQQ144" s="72"/>
      <c r="KQR144" s="72"/>
      <c r="KQS144" s="72"/>
      <c r="KQT144" s="72"/>
      <c r="KQU144" s="72"/>
      <c r="KQV144" s="72"/>
      <c r="KQW144" s="72"/>
      <c r="KQX144" s="72"/>
      <c r="KQY144" s="72"/>
      <c r="KQZ144" s="72"/>
      <c r="KRA144" s="72"/>
      <c r="KRB144" s="72"/>
      <c r="KRC144" s="72"/>
      <c r="KRD144" s="72"/>
      <c r="KRE144" s="72"/>
      <c r="KRF144" s="72"/>
      <c r="KRG144" s="72"/>
      <c r="KRH144" s="72"/>
      <c r="KRI144" s="72"/>
      <c r="KRJ144" s="72"/>
      <c r="KRK144" s="72"/>
      <c r="KRL144" s="72"/>
      <c r="KRM144" s="72"/>
      <c r="KRN144" s="72"/>
      <c r="KRO144" s="72"/>
      <c r="KRP144" s="72"/>
      <c r="KRQ144" s="72"/>
      <c r="KRR144" s="72"/>
      <c r="KRS144" s="72"/>
      <c r="KRT144" s="72"/>
      <c r="KRU144" s="72"/>
      <c r="KRV144" s="72"/>
      <c r="KRW144" s="72"/>
      <c r="KRX144" s="72"/>
      <c r="KRY144" s="72"/>
      <c r="KRZ144" s="72"/>
      <c r="KSA144" s="72"/>
      <c r="KSB144" s="72"/>
      <c r="KSC144" s="72"/>
      <c r="KSD144" s="72"/>
      <c r="KSE144" s="72"/>
      <c r="KSF144" s="72"/>
      <c r="KSG144" s="72"/>
      <c r="KSH144" s="72"/>
      <c r="KSI144" s="72"/>
      <c r="KSJ144" s="72"/>
      <c r="KSK144" s="72"/>
      <c r="KSL144" s="72"/>
      <c r="KSM144" s="72"/>
      <c r="KSN144" s="72"/>
      <c r="KSO144" s="72"/>
      <c r="KSP144" s="72"/>
      <c r="KSQ144" s="72"/>
      <c r="KSR144" s="72"/>
      <c r="KSS144" s="72"/>
      <c r="KST144" s="72"/>
      <c r="KSU144" s="72"/>
      <c r="KSV144" s="72"/>
      <c r="KSW144" s="72"/>
      <c r="KSX144" s="72"/>
      <c r="KSY144" s="72"/>
      <c r="KSZ144" s="72"/>
      <c r="KTA144" s="72"/>
      <c r="KTB144" s="72"/>
      <c r="KTC144" s="72"/>
      <c r="KTD144" s="72"/>
      <c r="KTE144" s="72"/>
      <c r="KTF144" s="72"/>
      <c r="KTG144" s="72"/>
      <c r="KTH144" s="72"/>
      <c r="KTI144" s="72"/>
      <c r="KTJ144" s="72"/>
      <c r="KTK144" s="72"/>
      <c r="KTL144" s="72"/>
      <c r="KTM144" s="72"/>
      <c r="KTN144" s="72"/>
      <c r="KTO144" s="72"/>
      <c r="KTP144" s="72"/>
      <c r="KTQ144" s="72"/>
      <c r="KTR144" s="72"/>
      <c r="KTS144" s="72"/>
      <c r="KTT144" s="72"/>
      <c r="KTU144" s="72"/>
      <c r="KTV144" s="72"/>
      <c r="KTW144" s="72"/>
      <c r="KTX144" s="72"/>
      <c r="KTY144" s="72"/>
      <c r="KTZ144" s="72"/>
      <c r="KUA144" s="72"/>
      <c r="KUB144" s="72"/>
      <c r="KUC144" s="72"/>
      <c r="KUD144" s="72"/>
      <c r="KUE144" s="72"/>
      <c r="KUF144" s="72"/>
      <c r="KUG144" s="72"/>
      <c r="KUH144" s="72"/>
      <c r="KUI144" s="72"/>
      <c r="KUJ144" s="72"/>
      <c r="KUK144" s="72"/>
      <c r="KUL144" s="72"/>
      <c r="KUM144" s="72"/>
      <c r="KUN144" s="72"/>
      <c r="KUO144" s="72"/>
      <c r="KUP144" s="72"/>
      <c r="KUQ144" s="72"/>
      <c r="KUR144" s="72"/>
      <c r="KUS144" s="72"/>
      <c r="KUT144" s="72"/>
      <c r="KUU144" s="72"/>
      <c r="KUV144" s="72"/>
      <c r="KUW144" s="72"/>
      <c r="KUX144" s="72"/>
      <c r="KUY144" s="72"/>
      <c r="KUZ144" s="72"/>
      <c r="KVA144" s="72"/>
      <c r="KVB144" s="72"/>
      <c r="KVC144" s="72"/>
      <c r="KVD144" s="72"/>
      <c r="KVE144" s="72"/>
      <c r="KVF144" s="72"/>
      <c r="KVG144" s="72"/>
      <c r="KVH144" s="72"/>
      <c r="KVI144" s="72"/>
      <c r="KVJ144" s="72"/>
      <c r="KVK144" s="72"/>
      <c r="KVL144" s="72"/>
      <c r="KVM144" s="72"/>
      <c r="KVN144" s="72"/>
      <c r="KVO144" s="72"/>
      <c r="KVP144" s="72"/>
      <c r="KVQ144" s="72"/>
      <c r="KVR144" s="72"/>
      <c r="KVS144" s="72"/>
      <c r="KVT144" s="72"/>
      <c r="KVU144" s="72"/>
      <c r="KVV144" s="72"/>
      <c r="KVW144" s="72"/>
      <c r="KVX144" s="72"/>
      <c r="KVY144" s="72"/>
      <c r="KVZ144" s="72"/>
      <c r="KWA144" s="72"/>
      <c r="KWB144" s="72"/>
      <c r="KWC144" s="72"/>
      <c r="KWD144" s="72"/>
      <c r="KWE144" s="72"/>
      <c r="KWF144" s="72"/>
      <c r="KWG144" s="72"/>
      <c r="KWH144" s="72"/>
      <c r="KWI144" s="72"/>
      <c r="KWJ144" s="72"/>
      <c r="KWK144" s="72"/>
      <c r="KWL144" s="72"/>
      <c r="KWM144" s="72"/>
      <c r="KWN144" s="72"/>
      <c r="KWO144" s="72"/>
      <c r="KWP144" s="72"/>
      <c r="KWQ144" s="72"/>
      <c r="KWR144" s="72"/>
      <c r="KWS144" s="72"/>
      <c r="KWT144" s="72"/>
      <c r="KWU144" s="72"/>
      <c r="KWV144" s="72"/>
      <c r="KWW144" s="72"/>
      <c r="KWX144" s="72"/>
      <c r="KWY144" s="72"/>
      <c r="KWZ144" s="72"/>
      <c r="KXA144" s="72"/>
      <c r="KXB144" s="72"/>
      <c r="KXC144" s="72"/>
      <c r="KXD144" s="72"/>
      <c r="KXE144" s="72"/>
      <c r="KXF144" s="72"/>
      <c r="KXG144" s="72"/>
      <c r="KXH144" s="72"/>
      <c r="KXI144" s="72"/>
      <c r="KXJ144" s="72"/>
      <c r="KXK144" s="72"/>
      <c r="KXL144" s="72"/>
      <c r="KXM144" s="72"/>
      <c r="KXN144" s="72"/>
      <c r="KXO144" s="72"/>
      <c r="KXP144" s="72"/>
      <c r="KXQ144" s="72"/>
      <c r="KXR144" s="72"/>
      <c r="KXS144" s="72"/>
      <c r="KXT144" s="72"/>
      <c r="KXU144" s="72"/>
      <c r="KXV144" s="72"/>
      <c r="KXW144" s="72"/>
      <c r="KXX144" s="72"/>
      <c r="KXY144" s="72"/>
      <c r="KXZ144" s="72"/>
      <c r="KYA144" s="72"/>
      <c r="KYB144" s="72"/>
      <c r="KYC144" s="72"/>
      <c r="KYD144" s="72"/>
      <c r="KYE144" s="72"/>
      <c r="KYF144" s="72"/>
      <c r="KYG144" s="72"/>
      <c r="KYH144" s="72"/>
      <c r="KYI144" s="72"/>
      <c r="KYJ144" s="72"/>
      <c r="KYK144" s="72"/>
      <c r="KYL144" s="72"/>
      <c r="KYM144" s="72"/>
      <c r="KYN144" s="72"/>
      <c r="KYO144" s="72"/>
      <c r="KYP144" s="72"/>
      <c r="KYQ144" s="72"/>
      <c r="KYR144" s="72"/>
      <c r="KYS144" s="72"/>
      <c r="KYT144" s="72"/>
      <c r="KYU144" s="72"/>
      <c r="KYV144" s="72"/>
      <c r="KYW144" s="72"/>
      <c r="KYX144" s="72"/>
      <c r="KYY144" s="72"/>
      <c r="KYZ144" s="72"/>
      <c r="KZA144" s="72"/>
      <c r="KZB144" s="72"/>
      <c r="KZC144" s="72"/>
      <c r="KZD144" s="72"/>
      <c r="KZE144" s="72"/>
      <c r="KZF144" s="72"/>
      <c r="KZG144" s="72"/>
      <c r="KZH144" s="72"/>
      <c r="KZI144" s="72"/>
      <c r="KZJ144" s="72"/>
      <c r="KZK144" s="72"/>
      <c r="KZL144" s="72"/>
      <c r="KZM144" s="72"/>
      <c r="KZN144" s="72"/>
      <c r="KZO144" s="72"/>
      <c r="KZP144" s="72"/>
      <c r="KZQ144" s="72"/>
      <c r="KZR144" s="72"/>
      <c r="KZS144" s="72"/>
      <c r="KZT144" s="72"/>
      <c r="KZU144" s="72"/>
      <c r="KZV144" s="72"/>
      <c r="KZW144" s="72"/>
      <c r="KZX144" s="72"/>
      <c r="KZY144" s="72"/>
      <c r="KZZ144" s="72"/>
      <c r="LAA144" s="72"/>
      <c r="LAB144" s="72"/>
      <c r="LAC144" s="72"/>
      <c r="LAD144" s="72"/>
      <c r="LAE144" s="72"/>
      <c r="LAF144" s="72"/>
      <c r="LAG144" s="72"/>
      <c r="LAH144" s="72"/>
      <c r="LAI144" s="72"/>
      <c r="LAJ144" s="72"/>
      <c r="LAK144" s="72"/>
      <c r="LAL144" s="72"/>
      <c r="LAM144" s="72"/>
      <c r="LAN144" s="72"/>
      <c r="LAO144" s="72"/>
      <c r="LAP144" s="72"/>
      <c r="LAQ144" s="72"/>
      <c r="LAR144" s="72"/>
      <c r="LAS144" s="72"/>
      <c r="LAT144" s="72"/>
      <c r="LAU144" s="72"/>
      <c r="LAV144" s="72"/>
      <c r="LAW144" s="72"/>
      <c r="LAX144" s="72"/>
      <c r="LAY144" s="72"/>
      <c r="LAZ144" s="72"/>
      <c r="LBA144" s="72"/>
      <c r="LBB144" s="72"/>
      <c r="LBC144" s="72"/>
      <c r="LBD144" s="72"/>
      <c r="LBE144" s="72"/>
      <c r="LBF144" s="72"/>
      <c r="LBG144" s="72"/>
      <c r="LBH144" s="72"/>
      <c r="LBI144" s="72"/>
      <c r="LBJ144" s="72"/>
      <c r="LBK144" s="72"/>
      <c r="LBL144" s="72"/>
      <c r="LBM144" s="72"/>
      <c r="LBN144" s="72"/>
      <c r="LBO144" s="72"/>
      <c r="LBP144" s="72"/>
      <c r="LBQ144" s="72"/>
      <c r="LBR144" s="72"/>
      <c r="LBS144" s="72"/>
      <c r="LBT144" s="72"/>
      <c r="LBU144" s="72"/>
      <c r="LBV144" s="72"/>
      <c r="LBW144" s="72"/>
      <c r="LBX144" s="72"/>
      <c r="LBY144" s="72"/>
      <c r="LBZ144" s="72"/>
      <c r="LCA144" s="72"/>
      <c r="LCB144" s="72"/>
      <c r="LCC144" s="72"/>
      <c r="LCD144" s="72"/>
      <c r="LCE144" s="72"/>
      <c r="LCF144" s="72"/>
      <c r="LCG144" s="72"/>
      <c r="LCH144" s="72"/>
      <c r="LCI144" s="72"/>
      <c r="LCJ144" s="72"/>
      <c r="LCK144" s="72"/>
      <c r="LCL144" s="72"/>
      <c r="LCM144" s="72"/>
      <c r="LCN144" s="72"/>
      <c r="LCO144" s="72"/>
      <c r="LCP144" s="72"/>
      <c r="LCQ144" s="72"/>
      <c r="LCR144" s="72"/>
      <c r="LCS144" s="72"/>
      <c r="LCT144" s="72"/>
      <c r="LCU144" s="72"/>
      <c r="LCV144" s="72"/>
      <c r="LCW144" s="72"/>
      <c r="LCX144" s="72"/>
      <c r="LCY144" s="72"/>
      <c r="LCZ144" s="72"/>
      <c r="LDA144" s="72"/>
      <c r="LDB144" s="72"/>
      <c r="LDC144" s="72"/>
      <c r="LDD144" s="72"/>
      <c r="LDE144" s="72"/>
      <c r="LDF144" s="72"/>
      <c r="LDG144" s="72"/>
      <c r="LDH144" s="72"/>
      <c r="LDI144" s="72"/>
      <c r="LDJ144" s="72"/>
      <c r="LDK144" s="72"/>
      <c r="LDL144" s="72"/>
      <c r="LDM144" s="72"/>
      <c r="LDN144" s="72"/>
      <c r="LDO144" s="72"/>
      <c r="LDP144" s="72"/>
      <c r="LDQ144" s="72"/>
      <c r="LDR144" s="72"/>
      <c r="LDS144" s="72"/>
      <c r="LDT144" s="72"/>
      <c r="LDU144" s="72"/>
      <c r="LDV144" s="72"/>
      <c r="LDW144" s="72"/>
      <c r="LDX144" s="72"/>
      <c r="LDY144" s="72"/>
      <c r="LDZ144" s="72"/>
      <c r="LEA144" s="72"/>
      <c r="LEB144" s="72"/>
      <c r="LEC144" s="72"/>
      <c r="LED144" s="72"/>
      <c r="LEE144" s="72"/>
      <c r="LEF144" s="72"/>
      <c r="LEG144" s="72"/>
      <c r="LEH144" s="72"/>
      <c r="LEI144" s="72"/>
      <c r="LEJ144" s="72"/>
      <c r="LEK144" s="72"/>
      <c r="LEL144" s="72"/>
      <c r="LEM144" s="72"/>
      <c r="LEN144" s="72"/>
      <c r="LEO144" s="72"/>
      <c r="LEP144" s="72"/>
      <c r="LEQ144" s="72"/>
      <c r="LER144" s="72"/>
      <c r="LES144" s="72"/>
      <c r="LET144" s="72"/>
      <c r="LEU144" s="72"/>
      <c r="LEV144" s="72"/>
      <c r="LEW144" s="72"/>
      <c r="LEX144" s="72"/>
      <c r="LEY144" s="72"/>
      <c r="LEZ144" s="72"/>
      <c r="LFA144" s="72"/>
      <c r="LFB144" s="72"/>
      <c r="LFC144" s="72"/>
      <c r="LFD144" s="72"/>
      <c r="LFE144" s="72"/>
      <c r="LFF144" s="72"/>
      <c r="LFG144" s="72"/>
      <c r="LFH144" s="72"/>
      <c r="LFI144" s="72"/>
      <c r="LFJ144" s="72"/>
      <c r="LFK144" s="72"/>
      <c r="LFL144" s="72"/>
      <c r="LFM144" s="72"/>
      <c r="LFN144" s="72"/>
      <c r="LFO144" s="72"/>
      <c r="LFP144" s="72"/>
      <c r="LFQ144" s="72"/>
      <c r="LFR144" s="72"/>
      <c r="LFS144" s="72"/>
      <c r="LFT144" s="72"/>
      <c r="LFU144" s="72"/>
      <c r="LFV144" s="72"/>
      <c r="LFW144" s="72"/>
      <c r="LFX144" s="72"/>
      <c r="LFY144" s="72"/>
      <c r="LFZ144" s="72"/>
      <c r="LGA144" s="72"/>
      <c r="LGB144" s="72"/>
      <c r="LGC144" s="72"/>
      <c r="LGD144" s="72"/>
      <c r="LGE144" s="72"/>
      <c r="LGF144" s="72"/>
      <c r="LGG144" s="72"/>
      <c r="LGH144" s="72"/>
      <c r="LGI144" s="72"/>
      <c r="LGJ144" s="72"/>
      <c r="LGK144" s="72"/>
      <c r="LGL144" s="72"/>
      <c r="LGM144" s="72"/>
      <c r="LGN144" s="72"/>
      <c r="LGO144" s="72"/>
      <c r="LGP144" s="72"/>
      <c r="LGQ144" s="72"/>
      <c r="LGR144" s="72"/>
      <c r="LGS144" s="72"/>
      <c r="LGT144" s="72"/>
      <c r="LGU144" s="72"/>
      <c r="LGV144" s="72"/>
      <c r="LGW144" s="72"/>
      <c r="LGX144" s="72"/>
      <c r="LGY144" s="72"/>
      <c r="LGZ144" s="72"/>
      <c r="LHA144" s="72"/>
      <c r="LHB144" s="72"/>
      <c r="LHC144" s="72"/>
      <c r="LHD144" s="72"/>
      <c r="LHE144" s="72"/>
      <c r="LHF144" s="72"/>
      <c r="LHG144" s="72"/>
      <c r="LHH144" s="72"/>
      <c r="LHI144" s="72"/>
      <c r="LHJ144" s="72"/>
      <c r="LHK144" s="72"/>
      <c r="LHL144" s="72"/>
      <c r="LHM144" s="72"/>
      <c r="LHN144" s="72"/>
      <c r="LHO144" s="72"/>
      <c r="LHP144" s="72"/>
      <c r="LHQ144" s="72"/>
      <c r="LHR144" s="72"/>
      <c r="LHS144" s="72"/>
      <c r="LHT144" s="72"/>
      <c r="LHU144" s="72"/>
      <c r="LHV144" s="72"/>
      <c r="LHW144" s="72"/>
      <c r="LHX144" s="72"/>
      <c r="LHY144" s="72"/>
      <c r="LHZ144" s="72"/>
      <c r="LIA144" s="72"/>
      <c r="LIB144" s="72"/>
      <c r="LIC144" s="72"/>
      <c r="LID144" s="72"/>
      <c r="LIE144" s="72"/>
      <c r="LIF144" s="72"/>
      <c r="LIG144" s="72"/>
      <c r="LIH144" s="72"/>
      <c r="LII144" s="72"/>
      <c r="LIJ144" s="72"/>
      <c r="LIK144" s="72"/>
      <c r="LIL144" s="72"/>
      <c r="LIM144" s="72"/>
      <c r="LIN144" s="72"/>
      <c r="LIO144" s="72"/>
      <c r="LIP144" s="72"/>
      <c r="LIQ144" s="72"/>
      <c r="LIR144" s="72"/>
      <c r="LIS144" s="72"/>
      <c r="LIT144" s="72"/>
      <c r="LIU144" s="72"/>
      <c r="LIV144" s="72"/>
      <c r="LIW144" s="72"/>
      <c r="LIX144" s="72"/>
      <c r="LIY144" s="72"/>
      <c r="LIZ144" s="72"/>
      <c r="LJA144" s="72"/>
      <c r="LJB144" s="72"/>
      <c r="LJC144" s="72"/>
      <c r="LJD144" s="72"/>
      <c r="LJE144" s="72"/>
      <c r="LJF144" s="72"/>
      <c r="LJG144" s="72"/>
      <c r="LJH144" s="72"/>
      <c r="LJI144" s="72"/>
      <c r="LJJ144" s="72"/>
      <c r="LJK144" s="72"/>
      <c r="LJL144" s="72"/>
      <c r="LJM144" s="72"/>
      <c r="LJN144" s="72"/>
      <c r="LJO144" s="72"/>
      <c r="LJP144" s="72"/>
      <c r="LJQ144" s="72"/>
      <c r="LJR144" s="72"/>
      <c r="LJS144" s="72"/>
      <c r="LJT144" s="72"/>
      <c r="LJU144" s="72"/>
      <c r="LJV144" s="72"/>
      <c r="LJW144" s="72"/>
      <c r="LJX144" s="72"/>
      <c r="LJY144" s="72"/>
      <c r="LJZ144" s="72"/>
      <c r="LKA144" s="72"/>
      <c r="LKB144" s="72"/>
      <c r="LKC144" s="72"/>
      <c r="LKD144" s="72"/>
      <c r="LKE144" s="72"/>
      <c r="LKF144" s="72"/>
      <c r="LKG144" s="72"/>
      <c r="LKH144" s="72"/>
      <c r="LKI144" s="72"/>
      <c r="LKJ144" s="72"/>
      <c r="LKK144" s="72"/>
      <c r="LKL144" s="72"/>
      <c r="LKM144" s="72"/>
      <c r="LKN144" s="72"/>
      <c r="LKO144" s="72"/>
      <c r="LKP144" s="72"/>
      <c r="LKQ144" s="72"/>
      <c r="LKR144" s="72"/>
      <c r="LKS144" s="72"/>
      <c r="LKT144" s="72"/>
      <c r="LKU144" s="72"/>
      <c r="LKV144" s="72"/>
      <c r="LKW144" s="72"/>
      <c r="LKX144" s="72"/>
      <c r="LKY144" s="72"/>
      <c r="LKZ144" s="72"/>
      <c r="LLA144" s="72"/>
      <c r="LLB144" s="72"/>
      <c r="LLC144" s="72"/>
      <c r="LLD144" s="72"/>
      <c r="LLE144" s="72"/>
      <c r="LLF144" s="72"/>
      <c r="LLG144" s="72"/>
      <c r="LLH144" s="72"/>
      <c r="LLI144" s="72"/>
      <c r="LLJ144" s="72"/>
      <c r="LLK144" s="72"/>
      <c r="LLL144" s="72"/>
      <c r="LLM144" s="72"/>
      <c r="LLN144" s="72"/>
      <c r="LLO144" s="72"/>
      <c r="LLP144" s="72"/>
      <c r="LLQ144" s="72"/>
      <c r="LLR144" s="72"/>
      <c r="LLS144" s="72"/>
      <c r="LLT144" s="72"/>
      <c r="LLU144" s="72"/>
      <c r="LLV144" s="72"/>
      <c r="LLW144" s="72"/>
      <c r="LLX144" s="72"/>
      <c r="LLY144" s="72"/>
      <c r="LLZ144" s="72"/>
      <c r="LMA144" s="72"/>
      <c r="LMB144" s="72"/>
      <c r="LMC144" s="72"/>
      <c r="LMD144" s="72"/>
      <c r="LME144" s="72"/>
      <c r="LMF144" s="72"/>
      <c r="LMG144" s="72"/>
      <c r="LMH144" s="72"/>
      <c r="LMI144" s="72"/>
      <c r="LMJ144" s="72"/>
      <c r="LMK144" s="72"/>
      <c r="LML144" s="72"/>
      <c r="LMM144" s="72"/>
      <c r="LMN144" s="72"/>
      <c r="LMO144" s="72"/>
      <c r="LMP144" s="72"/>
      <c r="LMQ144" s="72"/>
      <c r="LMR144" s="72"/>
      <c r="LMS144" s="72"/>
      <c r="LMT144" s="72"/>
      <c r="LMU144" s="72"/>
      <c r="LMV144" s="72"/>
      <c r="LMW144" s="72"/>
      <c r="LMX144" s="72"/>
      <c r="LMY144" s="72"/>
      <c r="LMZ144" s="72"/>
      <c r="LNA144" s="72"/>
      <c r="LNB144" s="72"/>
      <c r="LNC144" s="72"/>
      <c r="LND144" s="72"/>
      <c r="LNE144" s="72"/>
      <c r="LNF144" s="72"/>
      <c r="LNG144" s="72"/>
      <c r="LNH144" s="72"/>
      <c r="LNI144" s="72"/>
      <c r="LNJ144" s="72"/>
      <c r="LNK144" s="72"/>
      <c r="LNL144" s="72"/>
      <c r="LNM144" s="72"/>
      <c r="LNN144" s="72"/>
      <c r="LNO144" s="72"/>
      <c r="LNP144" s="72"/>
      <c r="LNQ144" s="72"/>
      <c r="LNR144" s="72"/>
      <c r="LNS144" s="72"/>
      <c r="LNT144" s="72"/>
      <c r="LNU144" s="72"/>
      <c r="LNV144" s="72"/>
      <c r="LNW144" s="72"/>
      <c r="LNX144" s="72"/>
      <c r="LNY144" s="72"/>
      <c r="LNZ144" s="72"/>
      <c r="LOA144" s="72"/>
      <c r="LOB144" s="72"/>
      <c r="LOC144" s="72"/>
      <c r="LOD144" s="72"/>
      <c r="LOE144" s="72"/>
      <c r="LOF144" s="72"/>
      <c r="LOG144" s="72"/>
      <c r="LOH144" s="72"/>
      <c r="LOI144" s="72"/>
      <c r="LOJ144" s="72"/>
      <c r="LOK144" s="72"/>
      <c r="LOL144" s="72"/>
      <c r="LOM144" s="72"/>
      <c r="LON144" s="72"/>
      <c r="LOO144" s="72"/>
      <c r="LOP144" s="72"/>
      <c r="LOQ144" s="72"/>
      <c r="LOR144" s="72"/>
      <c r="LOS144" s="72"/>
      <c r="LOT144" s="72"/>
      <c r="LOU144" s="72"/>
      <c r="LOV144" s="72"/>
      <c r="LOW144" s="72"/>
      <c r="LOX144" s="72"/>
      <c r="LOY144" s="72"/>
      <c r="LOZ144" s="72"/>
      <c r="LPA144" s="72"/>
      <c r="LPB144" s="72"/>
      <c r="LPC144" s="72"/>
      <c r="LPD144" s="72"/>
      <c r="LPE144" s="72"/>
      <c r="LPF144" s="72"/>
      <c r="LPG144" s="72"/>
      <c r="LPH144" s="72"/>
      <c r="LPI144" s="72"/>
      <c r="LPJ144" s="72"/>
      <c r="LPK144" s="72"/>
      <c r="LPL144" s="72"/>
      <c r="LPM144" s="72"/>
      <c r="LPN144" s="72"/>
      <c r="LPO144" s="72"/>
      <c r="LPP144" s="72"/>
      <c r="LPQ144" s="72"/>
      <c r="LPR144" s="72"/>
      <c r="LPS144" s="72"/>
      <c r="LPT144" s="72"/>
      <c r="LPU144" s="72"/>
      <c r="LPV144" s="72"/>
      <c r="LPW144" s="72"/>
      <c r="LPX144" s="72"/>
      <c r="LPY144" s="72"/>
      <c r="LPZ144" s="72"/>
      <c r="LQA144" s="72"/>
      <c r="LQB144" s="72"/>
      <c r="LQC144" s="72"/>
      <c r="LQD144" s="72"/>
      <c r="LQE144" s="72"/>
      <c r="LQF144" s="72"/>
      <c r="LQG144" s="72"/>
      <c r="LQH144" s="72"/>
      <c r="LQI144" s="72"/>
      <c r="LQJ144" s="72"/>
      <c r="LQK144" s="72"/>
      <c r="LQL144" s="72"/>
      <c r="LQM144" s="72"/>
      <c r="LQN144" s="72"/>
      <c r="LQO144" s="72"/>
      <c r="LQP144" s="72"/>
      <c r="LQQ144" s="72"/>
      <c r="LQR144" s="72"/>
      <c r="LQS144" s="72"/>
      <c r="LQT144" s="72"/>
      <c r="LQU144" s="72"/>
      <c r="LQV144" s="72"/>
      <c r="LQW144" s="72"/>
      <c r="LQX144" s="72"/>
      <c r="LQY144" s="72"/>
      <c r="LQZ144" s="72"/>
      <c r="LRA144" s="72"/>
      <c r="LRB144" s="72"/>
      <c r="LRC144" s="72"/>
      <c r="LRD144" s="72"/>
      <c r="LRE144" s="72"/>
      <c r="LRF144" s="72"/>
      <c r="LRG144" s="72"/>
      <c r="LRH144" s="72"/>
      <c r="LRI144" s="72"/>
      <c r="LRJ144" s="72"/>
      <c r="LRK144" s="72"/>
      <c r="LRL144" s="72"/>
      <c r="LRM144" s="72"/>
      <c r="LRN144" s="72"/>
      <c r="LRO144" s="72"/>
      <c r="LRP144" s="72"/>
      <c r="LRQ144" s="72"/>
      <c r="LRR144" s="72"/>
      <c r="LRS144" s="72"/>
      <c r="LRT144" s="72"/>
      <c r="LRU144" s="72"/>
      <c r="LRV144" s="72"/>
      <c r="LRW144" s="72"/>
      <c r="LRX144" s="72"/>
      <c r="LRY144" s="72"/>
      <c r="LRZ144" s="72"/>
      <c r="LSA144" s="72"/>
      <c r="LSB144" s="72"/>
      <c r="LSC144" s="72"/>
      <c r="LSD144" s="72"/>
      <c r="LSE144" s="72"/>
      <c r="LSF144" s="72"/>
      <c r="LSG144" s="72"/>
      <c r="LSH144" s="72"/>
      <c r="LSI144" s="72"/>
      <c r="LSJ144" s="72"/>
      <c r="LSK144" s="72"/>
      <c r="LSL144" s="72"/>
      <c r="LSM144" s="72"/>
      <c r="LSN144" s="72"/>
      <c r="LSO144" s="72"/>
      <c r="LSP144" s="72"/>
      <c r="LSQ144" s="72"/>
      <c r="LSR144" s="72"/>
      <c r="LSS144" s="72"/>
      <c r="LST144" s="72"/>
      <c r="LSU144" s="72"/>
      <c r="LSV144" s="72"/>
      <c r="LSW144" s="72"/>
      <c r="LSX144" s="72"/>
      <c r="LSY144" s="72"/>
      <c r="LSZ144" s="72"/>
      <c r="LTA144" s="72"/>
      <c r="LTB144" s="72"/>
      <c r="LTC144" s="72"/>
      <c r="LTD144" s="72"/>
      <c r="LTE144" s="72"/>
      <c r="LTF144" s="72"/>
      <c r="LTG144" s="72"/>
      <c r="LTH144" s="72"/>
      <c r="LTI144" s="72"/>
      <c r="LTJ144" s="72"/>
      <c r="LTK144" s="72"/>
      <c r="LTL144" s="72"/>
      <c r="LTM144" s="72"/>
      <c r="LTN144" s="72"/>
      <c r="LTO144" s="72"/>
      <c r="LTP144" s="72"/>
      <c r="LTQ144" s="72"/>
      <c r="LTR144" s="72"/>
      <c r="LTS144" s="72"/>
      <c r="LTT144" s="72"/>
      <c r="LTU144" s="72"/>
      <c r="LTV144" s="72"/>
      <c r="LTW144" s="72"/>
      <c r="LTX144" s="72"/>
      <c r="LTY144" s="72"/>
      <c r="LTZ144" s="72"/>
      <c r="LUA144" s="72"/>
      <c r="LUB144" s="72"/>
      <c r="LUC144" s="72"/>
      <c r="LUD144" s="72"/>
      <c r="LUE144" s="72"/>
      <c r="LUF144" s="72"/>
      <c r="LUG144" s="72"/>
      <c r="LUH144" s="72"/>
      <c r="LUI144" s="72"/>
      <c r="LUJ144" s="72"/>
      <c r="LUK144" s="72"/>
      <c r="LUL144" s="72"/>
      <c r="LUM144" s="72"/>
      <c r="LUN144" s="72"/>
      <c r="LUO144" s="72"/>
      <c r="LUP144" s="72"/>
      <c r="LUQ144" s="72"/>
      <c r="LUR144" s="72"/>
      <c r="LUS144" s="72"/>
      <c r="LUT144" s="72"/>
      <c r="LUU144" s="72"/>
      <c r="LUV144" s="72"/>
      <c r="LUW144" s="72"/>
      <c r="LUX144" s="72"/>
      <c r="LUY144" s="72"/>
      <c r="LUZ144" s="72"/>
      <c r="LVA144" s="72"/>
      <c r="LVB144" s="72"/>
      <c r="LVC144" s="72"/>
      <c r="LVD144" s="72"/>
      <c r="LVE144" s="72"/>
      <c r="LVF144" s="72"/>
      <c r="LVG144" s="72"/>
      <c r="LVH144" s="72"/>
      <c r="LVI144" s="72"/>
      <c r="LVJ144" s="72"/>
      <c r="LVK144" s="72"/>
      <c r="LVL144" s="72"/>
      <c r="LVM144" s="72"/>
      <c r="LVN144" s="72"/>
      <c r="LVO144" s="72"/>
      <c r="LVP144" s="72"/>
      <c r="LVQ144" s="72"/>
      <c r="LVR144" s="72"/>
      <c r="LVS144" s="72"/>
      <c r="LVT144" s="72"/>
      <c r="LVU144" s="72"/>
      <c r="LVV144" s="72"/>
      <c r="LVW144" s="72"/>
      <c r="LVX144" s="72"/>
      <c r="LVY144" s="72"/>
      <c r="LVZ144" s="72"/>
      <c r="LWA144" s="72"/>
      <c r="LWB144" s="72"/>
      <c r="LWC144" s="72"/>
      <c r="LWD144" s="72"/>
      <c r="LWE144" s="72"/>
      <c r="LWF144" s="72"/>
      <c r="LWG144" s="72"/>
      <c r="LWH144" s="72"/>
      <c r="LWI144" s="72"/>
      <c r="LWJ144" s="72"/>
      <c r="LWK144" s="72"/>
      <c r="LWL144" s="72"/>
      <c r="LWM144" s="72"/>
      <c r="LWN144" s="72"/>
      <c r="LWO144" s="72"/>
      <c r="LWP144" s="72"/>
      <c r="LWQ144" s="72"/>
      <c r="LWR144" s="72"/>
      <c r="LWS144" s="72"/>
      <c r="LWT144" s="72"/>
      <c r="LWU144" s="72"/>
      <c r="LWV144" s="72"/>
      <c r="LWW144" s="72"/>
      <c r="LWX144" s="72"/>
      <c r="LWY144" s="72"/>
      <c r="LWZ144" s="72"/>
      <c r="LXA144" s="72"/>
      <c r="LXB144" s="72"/>
      <c r="LXC144" s="72"/>
      <c r="LXD144" s="72"/>
      <c r="LXE144" s="72"/>
      <c r="LXF144" s="72"/>
      <c r="LXG144" s="72"/>
      <c r="LXH144" s="72"/>
      <c r="LXI144" s="72"/>
      <c r="LXJ144" s="72"/>
      <c r="LXK144" s="72"/>
      <c r="LXL144" s="72"/>
      <c r="LXM144" s="72"/>
      <c r="LXN144" s="72"/>
      <c r="LXO144" s="72"/>
      <c r="LXP144" s="72"/>
      <c r="LXQ144" s="72"/>
      <c r="LXR144" s="72"/>
      <c r="LXS144" s="72"/>
      <c r="LXT144" s="72"/>
      <c r="LXU144" s="72"/>
      <c r="LXV144" s="72"/>
      <c r="LXW144" s="72"/>
      <c r="LXX144" s="72"/>
      <c r="LXY144" s="72"/>
      <c r="LXZ144" s="72"/>
      <c r="LYA144" s="72"/>
      <c r="LYB144" s="72"/>
      <c r="LYC144" s="72"/>
      <c r="LYD144" s="72"/>
      <c r="LYE144" s="72"/>
      <c r="LYF144" s="72"/>
      <c r="LYG144" s="72"/>
      <c r="LYH144" s="72"/>
      <c r="LYI144" s="72"/>
      <c r="LYJ144" s="72"/>
      <c r="LYK144" s="72"/>
      <c r="LYL144" s="72"/>
      <c r="LYM144" s="72"/>
      <c r="LYN144" s="72"/>
      <c r="LYO144" s="72"/>
      <c r="LYP144" s="72"/>
      <c r="LYQ144" s="72"/>
      <c r="LYR144" s="72"/>
      <c r="LYS144" s="72"/>
      <c r="LYT144" s="72"/>
      <c r="LYU144" s="72"/>
      <c r="LYV144" s="72"/>
      <c r="LYW144" s="72"/>
      <c r="LYX144" s="72"/>
      <c r="LYY144" s="72"/>
      <c r="LYZ144" s="72"/>
      <c r="LZA144" s="72"/>
      <c r="LZB144" s="72"/>
      <c r="LZC144" s="72"/>
      <c r="LZD144" s="72"/>
      <c r="LZE144" s="72"/>
      <c r="LZF144" s="72"/>
      <c r="LZG144" s="72"/>
      <c r="LZH144" s="72"/>
      <c r="LZI144" s="72"/>
      <c r="LZJ144" s="72"/>
      <c r="LZK144" s="72"/>
      <c r="LZL144" s="72"/>
      <c r="LZM144" s="72"/>
      <c r="LZN144" s="72"/>
      <c r="LZO144" s="72"/>
      <c r="LZP144" s="72"/>
      <c r="LZQ144" s="72"/>
      <c r="LZR144" s="72"/>
      <c r="LZS144" s="72"/>
      <c r="LZT144" s="72"/>
      <c r="LZU144" s="72"/>
      <c r="LZV144" s="72"/>
      <c r="LZW144" s="72"/>
      <c r="LZX144" s="72"/>
      <c r="LZY144" s="72"/>
      <c r="LZZ144" s="72"/>
      <c r="MAA144" s="72"/>
      <c r="MAB144" s="72"/>
      <c r="MAC144" s="72"/>
      <c r="MAD144" s="72"/>
      <c r="MAE144" s="72"/>
      <c r="MAF144" s="72"/>
      <c r="MAG144" s="72"/>
      <c r="MAH144" s="72"/>
      <c r="MAI144" s="72"/>
      <c r="MAJ144" s="72"/>
      <c r="MAK144" s="72"/>
      <c r="MAL144" s="72"/>
      <c r="MAM144" s="72"/>
      <c r="MAN144" s="72"/>
      <c r="MAO144" s="72"/>
      <c r="MAP144" s="72"/>
      <c r="MAQ144" s="72"/>
      <c r="MAR144" s="72"/>
      <c r="MAS144" s="72"/>
      <c r="MAT144" s="72"/>
      <c r="MAU144" s="72"/>
      <c r="MAV144" s="72"/>
      <c r="MAW144" s="72"/>
      <c r="MAX144" s="72"/>
      <c r="MAY144" s="72"/>
      <c r="MAZ144" s="72"/>
      <c r="MBA144" s="72"/>
      <c r="MBB144" s="72"/>
      <c r="MBC144" s="72"/>
      <c r="MBD144" s="72"/>
      <c r="MBE144" s="72"/>
      <c r="MBF144" s="72"/>
      <c r="MBG144" s="72"/>
      <c r="MBH144" s="72"/>
      <c r="MBI144" s="72"/>
      <c r="MBJ144" s="72"/>
      <c r="MBK144" s="72"/>
      <c r="MBL144" s="72"/>
      <c r="MBM144" s="72"/>
      <c r="MBN144" s="72"/>
      <c r="MBO144" s="72"/>
      <c r="MBP144" s="72"/>
      <c r="MBQ144" s="72"/>
      <c r="MBR144" s="72"/>
      <c r="MBS144" s="72"/>
      <c r="MBT144" s="72"/>
      <c r="MBU144" s="72"/>
      <c r="MBV144" s="72"/>
      <c r="MBW144" s="72"/>
      <c r="MBX144" s="72"/>
      <c r="MBY144" s="72"/>
      <c r="MBZ144" s="72"/>
      <c r="MCA144" s="72"/>
      <c r="MCB144" s="72"/>
      <c r="MCC144" s="72"/>
      <c r="MCD144" s="72"/>
      <c r="MCE144" s="72"/>
      <c r="MCF144" s="72"/>
      <c r="MCG144" s="72"/>
      <c r="MCH144" s="72"/>
      <c r="MCI144" s="72"/>
      <c r="MCJ144" s="72"/>
      <c r="MCK144" s="72"/>
      <c r="MCL144" s="72"/>
      <c r="MCM144" s="72"/>
      <c r="MCN144" s="72"/>
      <c r="MCO144" s="72"/>
      <c r="MCP144" s="72"/>
      <c r="MCQ144" s="72"/>
      <c r="MCR144" s="72"/>
      <c r="MCS144" s="72"/>
      <c r="MCT144" s="72"/>
      <c r="MCU144" s="72"/>
      <c r="MCV144" s="72"/>
      <c r="MCW144" s="72"/>
      <c r="MCX144" s="72"/>
      <c r="MCY144" s="72"/>
      <c r="MCZ144" s="72"/>
      <c r="MDA144" s="72"/>
      <c r="MDB144" s="72"/>
      <c r="MDC144" s="72"/>
      <c r="MDD144" s="72"/>
      <c r="MDE144" s="72"/>
      <c r="MDF144" s="72"/>
      <c r="MDG144" s="72"/>
      <c r="MDH144" s="72"/>
      <c r="MDI144" s="72"/>
      <c r="MDJ144" s="72"/>
      <c r="MDK144" s="72"/>
      <c r="MDL144" s="72"/>
      <c r="MDM144" s="72"/>
      <c r="MDN144" s="72"/>
      <c r="MDO144" s="72"/>
      <c r="MDP144" s="72"/>
      <c r="MDQ144" s="72"/>
      <c r="MDR144" s="72"/>
      <c r="MDS144" s="72"/>
      <c r="MDT144" s="72"/>
      <c r="MDU144" s="72"/>
      <c r="MDV144" s="72"/>
      <c r="MDW144" s="72"/>
      <c r="MDX144" s="72"/>
      <c r="MDY144" s="72"/>
      <c r="MDZ144" s="72"/>
      <c r="MEA144" s="72"/>
      <c r="MEB144" s="72"/>
      <c r="MEC144" s="72"/>
      <c r="MED144" s="72"/>
      <c r="MEE144" s="72"/>
      <c r="MEF144" s="72"/>
      <c r="MEG144" s="72"/>
      <c r="MEH144" s="72"/>
      <c r="MEI144" s="72"/>
      <c r="MEJ144" s="72"/>
      <c r="MEK144" s="72"/>
      <c r="MEL144" s="72"/>
      <c r="MEM144" s="72"/>
      <c r="MEN144" s="72"/>
      <c r="MEO144" s="72"/>
      <c r="MEP144" s="72"/>
      <c r="MEQ144" s="72"/>
      <c r="MER144" s="72"/>
      <c r="MES144" s="72"/>
      <c r="MET144" s="72"/>
      <c r="MEU144" s="72"/>
      <c r="MEV144" s="72"/>
      <c r="MEW144" s="72"/>
      <c r="MEX144" s="72"/>
      <c r="MEY144" s="72"/>
      <c r="MEZ144" s="72"/>
      <c r="MFA144" s="72"/>
      <c r="MFB144" s="72"/>
      <c r="MFC144" s="72"/>
      <c r="MFD144" s="72"/>
      <c r="MFE144" s="72"/>
      <c r="MFF144" s="72"/>
      <c r="MFG144" s="72"/>
      <c r="MFH144" s="72"/>
      <c r="MFI144" s="72"/>
      <c r="MFJ144" s="72"/>
      <c r="MFK144" s="72"/>
      <c r="MFL144" s="72"/>
      <c r="MFM144" s="72"/>
      <c r="MFN144" s="72"/>
      <c r="MFO144" s="72"/>
      <c r="MFP144" s="72"/>
      <c r="MFQ144" s="72"/>
      <c r="MFR144" s="72"/>
      <c r="MFS144" s="72"/>
      <c r="MFT144" s="72"/>
      <c r="MFU144" s="72"/>
      <c r="MFV144" s="72"/>
      <c r="MFW144" s="72"/>
      <c r="MFX144" s="72"/>
      <c r="MFY144" s="72"/>
      <c r="MFZ144" s="72"/>
      <c r="MGA144" s="72"/>
      <c r="MGB144" s="72"/>
      <c r="MGC144" s="72"/>
      <c r="MGD144" s="72"/>
      <c r="MGE144" s="72"/>
      <c r="MGF144" s="72"/>
      <c r="MGG144" s="72"/>
      <c r="MGH144" s="72"/>
      <c r="MGI144" s="72"/>
      <c r="MGJ144" s="72"/>
      <c r="MGK144" s="72"/>
      <c r="MGL144" s="72"/>
      <c r="MGM144" s="72"/>
      <c r="MGN144" s="72"/>
      <c r="MGO144" s="72"/>
      <c r="MGP144" s="72"/>
      <c r="MGQ144" s="72"/>
      <c r="MGR144" s="72"/>
      <c r="MGS144" s="72"/>
      <c r="MGT144" s="72"/>
      <c r="MGU144" s="72"/>
      <c r="MGV144" s="72"/>
      <c r="MGW144" s="72"/>
      <c r="MGX144" s="72"/>
      <c r="MGY144" s="72"/>
      <c r="MGZ144" s="72"/>
      <c r="MHA144" s="72"/>
      <c r="MHB144" s="72"/>
      <c r="MHC144" s="72"/>
      <c r="MHD144" s="72"/>
      <c r="MHE144" s="72"/>
      <c r="MHF144" s="72"/>
      <c r="MHG144" s="72"/>
      <c r="MHH144" s="72"/>
      <c r="MHI144" s="72"/>
      <c r="MHJ144" s="72"/>
      <c r="MHK144" s="72"/>
      <c r="MHL144" s="72"/>
      <c r="MHM144" s="72"/>
      <c r="MHN144" s="72"/>
      <c r="MHO144" s="72"/>
      <c r="MHP144" s="72"/>
      <c r="MHQ144" s="72"/>
      <c r="MHR144" s="72"/>
      <c r="MHS144" s="72"/>
      <c r="MHT144" s="72"/>
      <c r="MHU144" s="72"/>
      <c r="MHV144" s="72"/>
      <c r="MHW144" s="72"/>
      <c r="MHX144" s="72"/>
      <c r="MHY144" s="72"/>
      <c r="MHZ144" s="72"/>
      <c r="MIA144" s="72"/>
      <c r="MIB144" s="72"/>
      <c r="MIC144" s="72"/>
      <c r="MID144" s="72"/>
      <c r="MIE144" s="72"/>
      <c r="MIF144" s="72"/>
      <c r="MIG144" s="72"/>
      <c r="MIH144" s="72"/>
      <c r="MII144" s="72"/>
      <c r="MIJ144" s="72"/>
      <c r="MIK144" s="72"/>
      <c r="MIL144" s="72"/>
      <c r="MIM144" s="72"/>
      <c r="MIN144" s="72"/>
      <c r="MIO144" s="72"/>
      <c r="MIP144" s="72"/>
      <c r="MIQ144" s="72"/>
      <c r="MIR144" s="72"/>
      <c r="MIS144" s="72"/>
      <c r="MIT144" s="72"/>
      <c r="MIU144" s="72"/>
      <c r="MIV144" s="72"/>
      <c r="MIW144" s="72"/>
      <c r="MIX144" s="72"/>
      <c r="MIY144" s="72"/>
      <c r="MIZ144" s="72"/>
      <c r="MJA144" s="72"/>
      <c r="MJB144" s="72"/>
      <c r="MJC144" s="72"/>
      <c r="MJD144" s="72"/>
      <c r="MJE144" s="72"/>
      <c r="MJF144" s="72"/>
      <c r="MJG144" s="72"/>
      <c r="MJH144" s="72"/>
      <c r="MJI144" s="72"/>
      <c r="MJJ144" s="72"/>
      <c r="MJK144" s="72"/>
      <c r="MJL144" s="72"/>
      <c r="MJM144" s="72"/>
      <c r="MJN144" s="72"/>
      <c r="MJO144" s="72"/>
      <c r="MJP144" s="72"/>
      <c r="MJQ144" s="72"/>
      <c r="MJR144" s="72"/>
      <c r="MJS144" s="72"/>
      <c r="MJT144" s="72"/>
      <c r="MJU144" s="72"/>
      <c r="MJV144" s="72"/>
      <c r="MJW144" s="72"/>
      <c r="MJX144" s="72"/>
      <c r="MJY144" s="72"/>
      <c r="MJZ144" s="72"/>
      <c r="MKA144" s="72"/>
      <c r="MKB144" s="72"/>
      <c r="MKC144" s="72"/>
      <c r="MKD144" s="72"/>
      <c r="MKE144" s="72"/>
      <c r="MKF144" s="72"/>
      <c r="MKG144" s="72"/>
      <c r="MKH144" s="72"/>
      <c r="MKI144" s="72"/>
      <c r="MKJ144" s="72"/>
      <c r="MKK144" s="72"/>
      <c r="MKL144" s="72"/>
      <c r="MKM144" s="72"/>
      <c r="MKN144" s="72"/>
      <c r="MKO144" s="72"/>
      <c r="MKP144" s="72"/>
      <c r="MKQ144" s="72"/>
      <c r="MKR144" s="72"/>
      <c r="MKS144" s="72"/>
      <c r="MKT144" s="72"/>
      <c r="MKU144" s="72"/>
      <c r="MKV144" s="72"/>
      <c r="MKW144" s="72"/>
      <c r="MKX144" s="72"/>
      <c r="MKY144" s="72"/>
      <c r="MKZ144" s="72"/>
      <c r="MLA144" s="72"/>
      <c r="MLB144" s="72"/>
      <c r="MLC144" s="72"/>
      <c r="MLD144" s="72"/>
      <c r="MLE144" s="72"/>
      <c r="MLF144" s="72"/>
      <c r="MLG144" s="72"/>
      <c r="MLH144" s="72"/>
      <c r="MLI144" s="72"/>
      <c r="MLJ144" s="72"/>
      <c r="MLK144" s="72"/>
      <c r="MLL144" s="72"/>
      <c r="MLM144" s="72"/>
      <c r="MLN144" s="72"/>
      <c r="MLO144" s="72"/>
      <c r="MLP144" s="72"/>
      <c r="MLQ144" s="72"/>
      <c r="MLR144" s="72"/>
      <c r="MLS144" s="72"/>
      <c r="MLT144" s="72"/>
      <c r="MLU144" s="72"/>
      <c r="MLV144" s="72"/>
      <c r="MLW144" s="72"/>
      <c r="MLX144" s="72"/>
      <c r="MLY144" s="72"/>
      <c r="MLZ144" s="72"/>
      <c r="MMA144" s="72"/>
      <c r="MMB144" s="72"/>
      <c r="MMC144" s="72"/>
      <c r="MMD144" s="72"/>
      <c r="MME144" s="72"/>
      <c r="MMF144" s="72"/>
      <c r="MMG144" s="72"/>
      <c r="MMH144" s="72"/>
      <c r="MMI144" s="72"/>
      <c r="MMJ144" s="72"/>
      <c r="MMK144" s="72"/>
      <c r="MML144" s="72"/>
      <c r="MMM144" s="72"/>
      <c r="MMN144" s="72"/>
      <c r="MMO144" s="72"/>
      <c r="MMP144" s="72"/>
      <c r="MMQ144" s="72"/>
      <c r="MMR144" s="72"/>
      <c r="MMS144" s="72"/>
      <c r="MMT144" s="72"/>
      <c r="MMU144" s="72"/>
      <c r="MMV144" s="72"/>
      <c r="MMW144" s="72"/>
      <c r="MMX144" s="72"/>
      <c r="MMY144" s="72"/>
      <c r="MMZ144" s="72"/>
      <c r="MNA144" s="72"/>
      <c r="MNB144" s="72"/>
      <c r="MNC144" s="72"/>
      <c r="MND144" s="72"/>
      <c r="MNE144" s="72"/>
      <c r="MNF144" s="72"/>
      <c r="MNG144" s="72"/>
      <c r="MNH144" s="72"/>
      <c r="MNI144" s="72"/>
      <c r="MNJ144" s="72"/>
      <c r="MNK144" s="72"/>
      <c r="MNL144" s="72"/>
      <c r="MNM144" s="72"/>
      <c r="MNN144" s="72"/>
      <c r="MNO144" s="72"/>
      <c r="MNP144" s="72"/>
      <c r="MNQ144" s="72"/>
      <c r="MNR144" s="72"/>
      <c r="MNS144" s="72"/>
      <c r="MNT144" s="72"/>
      <c r="MNU144" s="72"/>
      <c r="MNV144" s="72"/>
      <c r="MNW144" s="72"/>
      <c r="MNX144" s="72"/>
      <c r="MNY144" s="72"/>
      <c r="MNZ144" s="72"/>
      <c r="MOA144" s="72"/>
      <c r="MOB144" s="72"/>
      <c r="MOC144" s="72"/>
      <c r="MOD144" s="72"/>
      <c r="MOE144" s="72"/>
      <c r="MOF144" s="72"/>
      <c r="MOG144" s="72"/>
      <c r="MOH144" s="72"/>
      <c r="MOI144" s="72"/>
      <c r="MOJ144" s="72"/>
      <c r="MOK144" s="72"/>
      <c r="MOL144" s="72"/>
      <c r="MOM144" s="72"/>
      <c r="MON144" s="72"/>
      <c r="MOO144" s="72"/>
      <c r="MOP144" s="72"/>
      <c r="MOQ144" s="72"/>
      <c r="MOR144" s="72"/>
      <c r="MOS144" s="72"/>
      <c r="MOT144" s="72"/>
      <c r="MOU144" s="72"/>
      <c r="MOV144" s="72"/>
      <c r="MOW144" s="72"/>
      <c r="MOX144" s="72"/>
      <c r="MOY144" s="72"/>
      <c r="MOZ144" s="72"/>
      <c r="MPA144" s="72"/>
      <c r="MPB144" s="72"/>
      <c r="MPC144" s="72"/>
      <c r="MPD144" s="72"/>
      <c r="MPE144" s="72"/>
      <c r="MPF144" s="72"/>
      <c r="MPG144" s="72"/>
      <c r="MPH144" s="72"/>
      <c r="MPI144" s="72"/>
      <c r="MPJ144" s="72"/>
      <c r="MPK144" s="72"/>
      <c r="MPL144" s="72"/>
      <c r="MPM144" s="72"/>
      <c r="MPN144" s="72"/>
      <c r="MPO144" s="72"/>
      <c r="MPP144" s="72"/>
      <c r="MPQ144" s="72"/>
      <c r="MPR144" s="72"/>
      <c r="MPS144" s="72"/>
      <c r="MPT144" s="72"/>
      <c r="MPU144" s="72"/>
      <c r="MPV144" s="72"/>
      <c r="MPW144" s="72"/>
      <c r="MPX144" s="72"/>
      <c r="MPY144" s="72"/>
      <c r="MPZ144" s="72"/>
      <c r="MQA144" s="72"/>
      <c r="MQB144" s="72"/>
      <c r="MQC144" s="72"/>
      <c r="MQD144" s="72"/>
      <c r="MQE144" s="72"/>
      <c r="MQF144" s="72"/>
      <c r="MQG144" s="72"/>
      <c r="MQH144" s="72"/>
      <c r="MQI144" s="72"/>
      <c r="MQJ144" s="72"/>
      <c r="MQK144" s="72"/>
      <c r="MQL144" s="72"/>
      <c r="MQM144" s="72"/>
      <c r="MQN144" s="72"/>
      <c r="MQO144" s="72"/>
      <c r="MQP144" s="72"/>
      <c r="MQQ144" s="72"/>
      <c r="MQR144" s="72"/>
      <c r="MQS144" s="72"/>
      <c r="MQT144" s="72"/>
      <c r="MQU144" s="72"/>
      <c r="MQV144" s="72"/>
      <c r="MQW144" s="72"/>
      <c r="MQX144" s="72"/>
      <c r="MQY144" s="72"/>
      <c r="MQZ144" s="72"/>
      <c r="MRA144" s="72"/>
      <c r="MRB144" s="72"/>
      <c r="MRC144" s="72"/>
      <c r="MRD144" s="72"/>
      <c r="MRE144" s="72"/>
      <c r="MRF144" s="72"/>
      <c r="MRG144" s="72"/>
      <c r="MRH144" s="72"/>
      <c r="MRI144" s="72"/>
      <c r="MRJ144" s="72"/>
      <c r="MRK144" s="72"/>
      <c r="MRL144" s="72"/>
      <c r="MRM144" s="72"/>
      <c r="MRN144" s="72"/>
      <c r="MRO144" s="72"/>
      <c r="MRP144" s="72"/>
      <c r="MRQ144" s="72"/>
      <c r="MRR144" s="72"/>
      <c r="MRS144" s="72"/>
      <c r="MRT144" s="72"/>
      <c r="MRU144" s="72"/>
      <c r="MRV144" s="72"/>
      <c r="MRW144" s="72"/>
      <c r="MRX144" s="72"/>
      <c r="MRY144" s="72"/>
      <c r="MRZ144" s="72"/>
      <c r="MSA144" s="72"/>
      <c r="MSB144" s="72"/>
      <c r="MSC144" s="72"/>
      <c r="MSD144" s="72"/>
      <c r="MSE144" s="72"/>
      <c r="MSF144" s="72"/>
      <c r="MSG144" s="72"/>
      <c r="MSH144" s="72"/>
      <c r="MSI144" s="72"/>
      <c r="MSJ144" s="72"/>
      <c r="MSK144" s="72"/>
      <c r="MSL144" s="72"/>
      <c r="MSM144" s="72"/>
      <c r="MSN144" s="72"/>
      <c r="MSO144" s="72"/>
      <c r="MSP144" s="72"/>
      <c r="MSQ144" s="72"/>
      <c r="MSR144" s="72"/>
      <c r="MSS144" s="72"/>
      <c r="MST144" s="72"/>
      <c r="MSU144" s="72"/>
      <c r="MSV144" s="72"/>
      <c r="MSW144" s="72"/>
      <c r="MSX144" s="72"/>
      <c r="MSY144" s="72"/>
      <c r="MSZ144" s="72"/>
      <c r="MTA144" s="72"/>
      <c r="MTB144" s="72"/>
      <c r="MTC144" s="72"/>
      <c r="MTD144" s="72"/>
      <c r="MTE144" s="72"/>
      <c r="MTF144" s="72"/>
      <c r="MTG144" s="72"/>
      <c r="MTH144" s="72"/>
      <c r="MTI144" s="72"/>
      <c r="MTJ144" s="72"/>
      <c r="MTK144" s="72"/>
      <c r="MTL144" s="72"/>
      <c r="MTM144" s="72"/>
      <c r="MTN144" s="72"/>
      <c r="MTO144" s="72"/>
      <c r="MTP144" s="72"/>
      <c r="MTQ144" s="72"/>
      <c r="MTR144" s="72"/>
      <c r="MTS144" s="72"/>
      <c r="MTT144" s="72"/>
      <c r="MTU144" s="72"/>
      <c r="MTV144" s="72"/>
      <c r="MTW144" s="72"/>
      <c r="MTX144" s="72"/>
      <c r="MTY144" s="72"/>
      <c r="MTZ144" s="72"/>
      <c r="MUA144" s="72"/>
      <c r="MUB144" s="72"/>
      <c r="MUC144" s="72"/>
      <c r="MUD144" s="72"/>
      <c r="MUE144" s="72"/>
      <c r="MUF144" s="72"/>
      <c r="MUG144" s="72"/>
      <c r="MUH144" s="72"/>
      <c r="MUI144" s="72"/>
      <c r="MUJ144" s="72"/>
      <c r="MUK144" s="72"/>
      <c r="MUL144" s="72"/>
      <c r="MUM144" s="72"/>
      <c r="MUN144" s="72"/>
      <c r="MUO144" s="72"/>
      <c r="MUP144" s="72"/>
      <c r="MUQ144" s="72"/>
      <c r="MUR144" s="72"/>
      <c r="MUS144" s="72"/>
      <c r="MUT144" s="72"/>
      <c r="MUU144" s="72"/>
      <c r="MUV144" s="72"/>
      <c r="MUW144" s="72"/>
      <c r="MUX144" s="72"/>
      <c r="MUY144" s="72"/>
      <c r="MUZ144" s="72"/>
      <c r="MVA144" s="72"/>
      <c r="MVB144" s="72"/>
      <c r="MVC144" s="72"/>
      <c r="MVD144" s="72"/>
      <c r="MVE144" s="72"/>
      <c r="MVF144" s="72"/>
      <c r="MVG144" s="72"/>
      <c r="MVH144" s="72"/>
      <c r="MVI144" s="72"/>
      <c r="MVJ144" s="72"/>
      <c r="MVK144" s="72"/>
      <c r="MVL144" s="72"/>
      <c r="MVM144" s="72"/>
      <c r="MVN144" s="72"/>
      <c r="MVO144" s="72"/>
      <c r="MVP144" s="72"/>
      <c r="MVQ144" s="72"/>
      <c r="MVR144" s="72"/>
      <c r="MVS144" s="72"/>
      <c r="MVT144" s="72"/>
      <c r="MVU144" s="72"/>
      <c r="MVV144" s="72"/>
      <c r="MVW144" s="72"/>
      <c r="MVX144" s="72"/>
      <c r="MVY144" s="72"/>
      <c r="MVZ144" s="72"/>
      <c r="MWA144" s="72"/>
      <c r="MWB144" s="72"/>
      <c r="MWC144" s="72"/>
      <c r="MWD144" s="72"/>
      <c r="MWE144" s="72"/>
      <c r="MWF144" s="72"/>
      <c r="MWG144" s="72"/>
      <c r="MWH144" s="72"/>
      <c r="MWI144" s="72"/>
      <c r="MWJ144" s="72"/>
      <c r="MWK144" s="72"/>
      <c r="MWL144" s="72"/>
      <c r="MWM144" s="72"/>
      <c r="MWN144" s="72"/>
      <c r="MWO144" s="72"/>
      <c r="MWP144" s="72"/>
      <c r="MWQ144" s="72"/>
      <c r="MWR144" s="72"/>
      <c r="MWS144" s="72"/>
      <c r="MWT144" s="72"/>
      <c r="MWU144" s="72"/>
      <c r="MWV144" s="72"/>
      <c r="MWW144" s="72"/>
      <c r="MWX144" s="72"/>
      <c r="MWY144" s="72"/>
      <c r="MWZ144" s="72"/>
      <c r="MXA144" s="72"/>
      <c r="MXB144" s="72"/>
      <c r="MXC144" s="72"/>
      <c r="MXD144" s="72"/>
      <c r="MXE144" s="72"/>
      <c r="MXF144" s="72"/>
      <c r="MXG144" s="72"/>
      <c r="MXH144" s="72"/>
      <c r="MXI144" s="72"/>
      <c r="MXJ144" s="72"/>
      <c r="MXK144" s="72"/>
      <c r="MXL144" s="72"/>
      <c r="MXM144" s="72"/>
      <c r="MXN144" s="72"/>
      <c r="MXO144" s="72"/>
      <c r="MXP144" s="72"/>
      <c r="MXQ144" s="72"/>
      <c r="MXR144" s="72"/>
      <c r="MXS144" s="72"/>
      <c r="MXT144" s="72"/>
      <c r="MXU144" s="72"/>
      <c r="MXV144" s="72"/>
      <c r="MXW144" s="72"/>
      <c r="MXX144" s="72"/>
      <c r="MXY144" s="72"/>
      <c r="MXZ144" s="72"/>
      <c r="MYA144" s="72"/>
      <c r="MYB144" s="72"/>
      <c r="MYC144" s="72"/>
      <c r="MYD144" s="72"/>
      <c r="MYE144" s="72"/>
      <c r="MYF144" s="72"/>
      <c r="MYG144" s="72"/>
      <c r="MYH144" s="72"/>
      <c r="MYI144" s="72"/>
      <c r="MYJ144" s="72"/>
      <c r="MYK144" s="72"/>
      <c r="MYL144" s="72"/>
      <c r="MYM144" s="72"/>
      <c r="MYN144" s="72"/>
      <c r="MYO144" s="72"/>
      <c r="MYP144" s="72"/>
      <c r="MYQ144" s="72"/>
      <c r="MYR144" s="72"/>
      <c r="MYS144" s="72"/>
      <c r="MYT144" s="72"/>
      <c r="MYU144" s="72"/>
      <c r="MYV144" s="72"/>
      <c r="MYW144" s="72"/>
      <c r="MYX144" s="72"/>
      <c r="MYY144" s="72"/>
      <c r="MYZ144" s="72"/>
      <c r="MZA144" s="72"/>
      <c r="MZB144" s="72"/>
      <c r="MZC144" s="72"/>
      <c r="MZD144" s="72"/>
      <c r="MZE144" s="72"/>
      <c r="MZF144" s="72"/>
      <c r="MZG144" s="72"/>
      <c r="MZH144" s="72"/>
      <c r="MZI144" s="72"/>
      <c r="MZJ144" s="72"/>
      <c r="MZK144" s="72"/>
      <c r="MZL144" s="72"/>
      <c r="MZM144" s="72"/>
      <c r="MZN144" s="72"/>
      <c r="MZO144" s="72"/>
      <c r="MZP144" s="72"/>
      <c r="MZQ144" s="72"/>
      <c r="MZR144" s="72"/>
      <c r="MZS144" s="72"/>
      <c r="MZT144" s="72"/>
      <c r="MZU144" s="72"/>
      <c r="MZV144" s="72"/>
      <c r="MZW144" s="72"/>
      <c r="MZX144" s="72"/>
      <c r="MZY144" s="72"/>
      <c r="MZZ144" s="72"/>
      <c r="NAA144" s="72"/>
      <c r="NAB144" s="72"/>
      <c r="NAC144" s="72"/>
      <c r="NAD144" s="72"/>
      <c r="NAE144" s="72"/>
      <c r="NAF144" s="72"/>
      <c r="NAG144" s="72"/>
      <c r="NAH144" s="72"/>
      <c r="NAI144" s="72"/>
      <c r="NAJ144" s="72"/>
      <c r="NAK144" s="72"/>
      <c r="NAL144" s="72"/>
      <c r="NAM144" s="72"/>
      <c r="NAN144" s="72"/>
      <c r="NAO144" s="72"/>
      <c r="NAP144" s="72"/>
      <c r="NAQ144" s="72"/>
      <c r="NAR144" s="72"/>
      <c r="NAS144" s="72"/>
      <c r="NAT144" s="72"/>
      <c r="NAU144" s="72"/>
      <c r="NAV144" s="72"/>
      <c r="NAW144" s="72"/>
      <c r="NAX144" s="72"/>
      <c r="NAY144" s="72"/>
      <c r="NAZ144" s="72"/>
      <c r="NBA144" s="72"/>
      <c r="NBB144" s="72"/>
      <c r="NBC144" s="72"/>
      <c r="NBD144" s="72"/>
      <c r="NBE144" s="72"/>
      <c r="NBF144" s="72"/>
      <c r="NBG144" s="72"/>
      <c r="NBH144" s="72"/>
      <c r="NBI144" s="72"/>
      <c r="NBJ144" s="72"/>
      <c r="NBK144" s="72"/>
      <c r="NBL144" s="72"/>
      <c r="NBM144" s="72"/>
      <c r="NBN144" s="72"/>
      <c r="NBO144" s="72"/>
      <c r="NBP144" s="72"/>
      <c r="NBQ144" s="72"/>
      <c r="NBR144" s="72"/>
      <c r="NBS144" s="72"/>
      <c r="NBT144" s="72"/>
      <c r="NBU144" s="72"/>
      <c r="NBV144" s="72"/>
      <c r="NBW144" s="72"/>
      <c r="NBX144" s="72"/>
      <c r="NBY144" s="72"/>
      <c r="NBZ144" s="72"/>
      <c r="NCA144" s="72"/>
      <c r="NCB144" s="72"/>
      <c r="NCC144" s="72"/>
      <c r="NCD144" s="72"/>
      <c r="NCE144" s="72"/>
      <c r="NCF144" s="72"/>
      <c r="NCG144" s="72"/>
      <c r="NCH144" s="72"/>
      <c r="NCI144" s="72"/>
      <c r="NCJ144" s="72"/>
      <c r="NCK144" s="72"/>
      <c r="NCL144" s="72"/>
      <c r="NCM144" s="72"/>
      <c r="NCN144" s="72"/>
      <c r="NCO144" s="72"/>
      <c r="NCP144" s="72"/>
      <c r="NCQ144" s="72"/>
      <c r="NCR144" s="72"/>
      <c r="NCS144" s="72"/>
      <c r="NCT144" s="72"/>
      <c r="NCU144" s="72"/>
      <c r="NCV144" s="72"/>
      <c r="NCW144" s="72"/>
      <c r="NCX144" s="72"/>
      <c r="NCY144" s="72"/>
      <c r="NCZ144" s="72"/>
      <c r="NDA144" s="72"/>
      <c r="NDB144" s="72"/>
      <c r="NDC144" s="72"/>
      <c r="NDD144" s="72"/>
      <c r="NDE144" s="72"/>
      <c r="NDF144" s="72"/>
      <c r="NDG144" s="72"/>
      <c r="NDH144" s="72"/>
      <c r="NDI144" s="72"/>
      <c r="NDJ144" s="72"/>
      <c r="NDK144" s="72"/>
      <c r="NDL144" s="72"/>
      <c r="NDM144" s="72"/>
      <c r="NDN144" s="72"/>
      <c r="NDO144" s="72"/>
      <c r="NDP144" s="72"/>
      <c r="NDQ144" s="72"/>
      <c r="NDR144" s="72"/>
      <c r="NDS144" s="72"/>
      <c r="NDT144" s="72"/>
      <c r="NDU144" s="72"/>
      <c r="NDV144" s="72"/>
      <c r="NDW144" s="72"/>
      <c r="NDX144" s="72"/>
      <c r="NDY144" s="72"/>
      <c r="NDZ144" s="72"/>
      <c r="NEA144" s="72"/>
      <c r="NEB144" s="72"/>
      <c r="NEC144" s="72"/>
      <c r="NED144" s="72"/>
      <c r="NEE144" s="72"/>
      <c r="NEF144" s="72"/>
      <c r="NEG144" s="72"/>
      <c r="NEH144" s="72"/>
      <c r="NEI144" s="72"/>
      <c r="NEJ144" s="72"/>
      <c r="NEK144" s="72"/>
      <c r="NEL144" s="72"/>
      <c r="NEM144" s="72"/>
      <c r="NEN144" s="72"/>
      <c r="NEO144" s="72"/>
      <c r="NEP144" s="72"/>
      <c r="NEQ144" s="72"/>
      <c r="NER144" s="72"/>
      <c r="NES144" s="72"/>
      <c r="NET144" s="72"/>
      <c r="NEU144" s="72"/>
      <c r="NEV144" s="72"/>
      <c r="NEW144" s="72"/>
      <c r="NEX144" s="72"/>
      <c r="NEY144" s="72"/>
      <c r="NEZ144" s="72"/>
      <c r="NFA144" s="72"/>
      <c r="NFB144" s="72"/>
      <c r="NFC144" s="72"/>
      <c r="NFD144" s="72"/>
      <c r="NFE144" s="72"/>
      <c r="NFF144" s="72"/>
      <c r="NFG144" s="72"/>
      <c r="NFH144" s="72"/>
      <c r="NFI144" s="72"/>
      <c r="NFJ144" s="72"/>
      <c r="NFK144" s="72"/>
      <c r="NFL144" s="72"/>
      <c r="NFM144" s="72"/>
      <c r="NFN144" s="72"/>
      <c r="NFO144" s="72"/>
      <c r="NFP144" s="72"/>
      <c r="NFQ144" s="72"/>
      <c r="NFR144" s="72"/>
      <c r="NFS144" s="72"/>
      <c r="NFT144" s="72"/>
      <c r="NFU144" s="72"/>
      <c r="NFV144" s="72"/>
      <c r="NFW144" s="72"/>
      <c r="NFX144" s="72"/>
      <c r="NFY144" s="72"/>
      <c r="NFZ144" s="72"/>
      <c r="NGA144" s="72"/>
      <c r="NGB144" s="72"/>
      <c r="NGC144" s="72"/>
      <c r="NGD144" s="72"/>
      <c r="NGE144" s="72"/>
      <c r="NGF144" s="72"/>
      <c r="NGG144" s="72"/>
      <c r="NGH144" s="72"/>
      <c r="NGI144" s="72"/>
      <c r="NGJ144" s="72"/>
      <c r="NGK144" s="72"/>
      <c r="NGL144" s="72"/>
      <c r="NGM144" s="72"/>
      <c r="NGN144" s="72"/>
      <c r="NGO144" s="72"/>
      <c r="NGP144" s="72"/>
      <c r="NGQ144" s="72"/>
      <c r="NGR144" s="72"/>
      <c r="NGS144" s="72"/>
      <c r="NGT144" s="72"/>
      <c r="NGU144" s="72"/>
      <c r="NGV144" s="72"/>
      <c r="NGW144" s="72"/>
      <c r="NGX144" s="72"/>
      <c r="NGY144" s="72"/>
      <c r="NGZ144" s="72"/>
      <c r="NHA144" s="72"/>
      <c r="NHB144" s="72"/>
      <c r="NHC144" s="72"/>
      <c r="NHD144" s="72"/>
      <c r="NHE144" s="72"/>
      <c r="NHF144" s="72"/>
      <c r="NHG144" s="72"/>
      <c r="NHH144" s="72"/>
      <c r="NHI144" s="72"/>
      <c r="NHJ144" s="72"/>
      <c r="NHK144" s="72"/>
      <c r="NHL144" s="72"/>
      <c r="NHM144" s="72"/>
      <c r="NHN144" s="72"/>
      <c r="NHO144" s="72"/>
      <c r="NHP144" s="72"/>
      <c r="NHQ144" s="72"/>
      <c r="NHR144" s="72"/>
      <c r="NHS144" s="72"/>
      <c r="NHT144" s="72"/>
      <c r="NHU144" s="72"/>
      <c r="NHV144" s="72"/>
      <c r="NHW144" s="72"/>
      <c r="NHX144" s="72"/>
      <c r="NHY144" s="72"/>
      <c r="NHZ144" s="72"/>
      <c r="NIA144" s="72"/>
      <c r="NIB144" s="72"/>
      <c r="NIC144" s="72"/>
      <c r="NID144" s="72"/>
      <c r="NIE144" s="72"/>
      <c r="NIF144" s="72"/>
      <c r="NIG144" s="72"/>
      <c r="NIH144" s="72"/>
      <c r="NII144" s="72"/>
      <c r="NIJ144" s="72"/>
      <c r="NIK144" s="72"/>
      <c r="NIL144" s="72"/>
      <c r="NIM144" s="72"/>
      <c r="NIN144" s="72"/>
      <c r="NIO144" s="72"/>
      <c r="NIP144" s="72"/>
      <c r="NIQ144" s="72"/>
      <c r="NIR144" s="72"/>
      <c r="NIS144" s="72"/>
      <c r="NIT144" s="72"/>
      <c r="NIU144" s="72"/>
      <c r="NIV144" s="72"/>
      <c r="NIW144" s="72"/>
      <c r="NIX144" s="72"/>
      <c r="NIY144" s="72"/>
      <c r="NIZ144" s="72"/>
      <c r="NJA144" s="72"/>
      <c r="NJB144" s="72"/>
      <c r="NJC144" s="72"/>
      <c r="NJD144" s="72"/>
      <c r="NJE144" s="72"/>
      <c r="NJF144" s="72"/>
      <c r="NJG144" s="72"/>
      <c r="NJH144" s="72"/>
      <c r="NJI144" s="72"/>
      <c r="NJJ144" s="72"/>
      <c r="NJK144" s="72"/>
      <c r="NJL144" s="72"/>
      <c r="NJM144" s="72"/>
      <c r="NJN144" s="72"/>
      <c r="NJO144" s="72"/>
      <c r="NJP144" s="72"/>
      <c r="NJQ144" s="72"/>
      <c r="NJR144" s="72"/>
      <c r="NJS144" s="72"/>
      <c r="NJT144" s="72"/>
      <c r="NJU144" s="72"/>
      <c r="NJV144" s="72"/>
      <c r="NJW144" s="72"/>
      <c r="NJX144" s="72"/>
      <c r="NJY144" s="72"/>
      <c r="NJZ144" s="72"/>
      <c r="NKA144" s="72"/>
      <c r="NKB144" s="72"/>
      <c r="NKC144" s="72"/>
      <c r="NKD144" s="72"/>
      <c r="NKE144" s="72"/>
      <c r="NKF144" s="72"/>
      <c r="NKG144" s="72"/>
      <c r="NKH144" s="72"/>
      <c r="NKI144" s="72"/>
      <c r="NKJ144" s="72"/>
      <c r="NKK144" s="72"/>
      <c r="NKL144" s="72"/>
      <c r="NKM144" s="72"/>
      <c r="NKN144" s="72"/>
      <c r="NKO144" s="72"/>
      <c r="NKP144" s="72"/>
      <c r="NKQ144" s="72"/>
      <c r="NKR144" s="72"/>
      <c r="NKS144" s="72"/>
      <c r="NKT144" s="72"/>
      <c r="NKU144" s="72"/>
      <c r="NKV144" s="72"/>
      <c r="NKW144" s="72"/>
      <c r="NKX144" s="72"/>
      <c r="NKY144" s="72"/>
      <c r="NKZ144" s="72"/>
      <c r="NLA144" s="72"/>
      <c r="NLB144" s="72"/>
      <c r="NLC144" s="72"/>
      <c r="NLD144" s="72"/>
      <c r="NLE144" s="72"/>
      <c r="NLF144" s="72"/>
      <c r="NLG144" s="72"/>
      <c r="NLH144" s="72"/>
      <c r="NLI144" s="72"/>
      <c r="NLJ144" s="72"/>
      <c r="NLK144" s="72"/>
      <c r="NLL144" s="72"/>
      <c r="NLM144" s="72"/>
      <c r="NLN144" s="72"/>
      <c r="NLO144" s="72"/>
      <c r="NLP144" s="72"/>
      <c r="NLQ144" s="72"/>
      <c r="NLR144" s="72"/>
      <c r="NLS144" s="72"/>
      <c r="NLT144" s="72"/>
      <c r="NLU144" s="72"/>
      <c r="NLV144" s="72"/>
      <c r="NLW144" s="72"/>
      <c r="NLX144" s="72"/>
      <c r="NLY144" s="72"/>
      <c r="NLZ144" s="72"/>
      <c r="NMA144" s="72"/>
      <c r="NMB144" s="72"/>
      <c r="NMC144" s="72"/>
      <c r="NMD144" s="72"/>
      <c r="NME144" s="72"/>
      <c r="NMF144" s="72"/>
      <c r="NMG144" s="72"/>
      <c r="NMH144" s="72"/>
      <c r="NMI144" s="72"/>
      <c r="NMJ144" s="72"/>
      <c r="NMK144" s="72"/>
      <c r="NML144" s="72"/>
      <c r="NMM144" s="72"/>
      <c r="NMN144" s="72"/>
      <c r="NMO144" s="72"/>
      <c r="NMP144" s="72"/>
      <c r="NMQ144" s="72"/>
      <c r="NMR144" s="72"/>
      <c r="NMS144" s="72"/>
      <c r="NMT144" s="72"/>
      <c r="NMU144" s="72"/>
      <c r="NMV144" s="72"/>
      <c r="NMW144" s="72"/>
      <c r="NMX144" s="72"/>
      <c r="NMY144" s="72"/>
      <c r="NMZ144" s="72"/>
      <c r="NNA144" s="72"/>
      <c r="NNB144" s="72"/>
      <c r="NNC144" s="72"/>
      <c r="NND144" s="72"/>
      <c r="NNE144" s="72"/>
      <c r="NNF144" s="72"/>
      <c r="NNG144" s="72"/>
      <c r="NNH144" s="72"/>
      <c r="NNI144" s="72"/>
      <c r="NNJ144" s="72"/>
      <c r="NNK144" s="72"/>
      <c r="NNL144" s="72"/>
      <c r="NNM144" s="72"/>
      <c r="NNN144" s="72"/>
      <c r="NNO144" s="72"/>
      <c r="NNP144" s="72"/>
      <c r="NNQ144" s="72"/>
      <c r="NNR144" s="72"/>
      <c r="NNS144" s="72"/>
      <c r="NNT144" s="72"/>
      <c r="NNU144" s="72"/>
      <c r="NNV144" s="72"/>
      <c r="NNW144" s="72"/>
      <c r="NNX144" s="72"/>
      <c r="NNY144" s="72"/>
      <c r="NNZ144" s="72"/>
      <c r="NOA144" s="72"/>
      <c r="NOB144" s="72"/>
      <c r="NOC144" s="72"/>
      <c r="NOD144" s="72"/>
      <c r="NOE144" s="72"/>
      <c r="NOF144" s="72"/>
      <c r="NOG144" s="72"/>
      <c r="NOH144" s="72"/>
      <c r="NOI144" s="72"/>
      <c r="NOJ144" s="72"/>
      <c r="NOK144" s="72"/>
      <c r="NOL144" s="72"/>
      <c r="NOM144" s="72"/>
      <c r="NON144" s="72"/>
      <c r="NOO144" s="72"/>
      <c r="NOP144" s="72"/>
      <c r="NOQ144" s="72"/>
      <c r="NOR144" s="72"/>
      <c r="NOS144" s="72"/>
      <c r="NOT144" s="72"/>
      <c r="NOU144" s="72"/>
      <c r="NOV144" s="72"/>
      <c r="NOW144" s="72"/>
      <c r="NOX144" s="72"/>
      <c r="NOY144" s="72"/>
      <c r="NOZ144" s="72"/>
      <c r="NPA144" s="72"/>
      <c r="NPB144" s="72"/>
      <c r="NPC144" s="72"/>
      <c r="NPD144" s="72"/>
      <c r="NPE144" s="72"/>
      <c r="NPF144" s="72"/>
      <c r="NPG144" s="72"/>
      <c r="NPH144" s="72"/>
      <c r="NPI144" s="72"/>
      <c r="NPJ144" s="72"/>
      <c r="NPK144" s="72"/>
      <c r="NPL144" s="72"/>
      <c r="NPM144" s="72"/>
      <c r="NPN144" s="72"/>
      <c r="NPO144" s="72"/>
      <c r="NPP144" s="72"/>
      <c r="NPQ144" s="72"/>
      <c r="NPR144" s="72"/>
      <c r="NPS144" s="72"/>
      <c r="NPT144" s="72"/>
      <c r="NPU144" s="72"/>
      <c r="NPV144" s="72"/>
      <c r="NPW144" s="72"/>
      <c r="NPX144" s="72"/>
      <c r="NPY144" s="72"/>
      <c r="NPZ144" s="72"/>
      <c r="NQA144" s="72"/>
      <c r="NQB144" s="72"/>
      <c r="NQC144" s="72"/>
      <c r="NQD144" s="72"/>
      <c r="NQE144" s="72"/>
      <c r="NQF144" s="72"/>
      <c r="NQG144" s="72"/>
      <c r="NQH144" s="72"/>
      <c r="NQI144" s="72"/>
      <c r="NQJ144" s="72"/>
      <c r="NQK144" s="72"/>
      <c r="NQL144" s="72"/>
      <c r="NQM144" s="72"/>
      <c r="NQN144" s="72"/>
      <c r="NQO144" s="72"/>
      <c r="NQP144" s="72"/>
      <c r="NQQ144" s="72"/>
      <c r="NQR144" s="72"/>
      <c r="NQS144" s="72"/>
      <c r="NQT144" s="72"/>
      <c r="NQU144" s="72"/>
      <c r="NQV144" s="72"/>
      <c r="NQW144" s="72"/>
      <c r="NQX144" s="72"/>
      <c r="NQY144" s="72"/>
      <c r="NQZ144" s="72"/>
      <c r="NRA144" s="72"/>
      <c r="NRB144" s="72"/>
      <c r="NRC144" s="72"/>
      <c r="NRD144" s="72"/>
      <c r="NRE144" s="72"/>
      <c r="NRF144" s="72"/>
      <c r="NRG144" s="72"/>
      <c r="NRH144" s="72"/>
      <c r="NRI144" s="72"/>
      <c r="NRJ144" s="72"/>
      <c r="NRK144" s="72"/>
      <c r="NRL144" s="72"/>
      <c r="NRM144" s="72"/>
      <c r="NRN144" s="72"/>
      <c r="NRO144" s="72"/>
      <c r="NRP144" s="72"/>
      <c r="NRQ144" s="72"/>
      <c r="NRR144" s="72"/>
      <c r="NRS144" s="72"/>
      <c r="NRT144" s="72"/>
      <c r="NRU144" s="72"/>
      <c r="NRV144" s="72"/>
      <c r="NRW144" s="72"/>
      <c r="NRX144" s="72"/>
      <c r="NRY144" s="72"/>
      <c r="NRZ144" s="72"/>
      <c r="NSA144" s="72"/>
      <c r="NSB144" s="72"/>
      <c r="NSC144" s="72"/>
      <c r="NSD144" s="72"/>
      <c r="NSE144" s="72"/>
      <c r="NSF144" s="72"/>
      <c r="NSG144" s="72"/>
      <c r="NSH144" s="72"/>
      <c r="NSI144" s="72"/>
      <c r="NSJ144" s="72"/>
      <c r="NSK144" s="72"/>
      <c r="NSL144" s="72"/>
      <c r="NSM144" s="72"/>
      <c r="NSN144" s="72"/>
      <c r="NSO144" s="72"/>
      <c r="NSP144" s="72"/>
      <c r="NSQ144" s="72"/>
      <c r="NSR144" s="72"/>
      <c r="NSS144" s="72"/>
      <c r="NST144" s="72"/>
      <c r="NSU144" s="72"/>
      <c r="NSV144" s="72"/>
      <c r="NSW144" s="72"/>
      <c r="NSX144" s="72"/>
      <c r="NSY144" s="72"/>
      <c r="NSZ144" s="72"/>
      <c r="NTA144" s="72"/>
      <c r="NTB144" s="72"/>
      <c r="NTC144" s="72"/>
      <c r="NTD144" s="72"/>
      <c r="NTE144" s="72"/>
      <c r="NTF144" s="72"/>
      <c r="NTG144" s="72"/>
      <c r="NTH144" s="72"/>
      <c r="NTI144" s="72"/>
      <c r="NTJ144" s="72"/>
      <c r="NTK144" s="72"/>
      <c r="NTL144" s="72"/>
      <c r="NTM144" s="72"/>
      <c r="NTN144" s="72"/>
      <c r="NTO144" s="72"/>
      <c r="NTP144" s="72"/>
      <c r="NTQ144" s="72"/>
      <c r="NTR144" s="72"/>
      <c r="NTS144" s="72"/>
      <c r="NTT144" s="72"/>
      <c r="NTU144" s="72"/>
      <c r="NTV144" s="72"/>
      <c r="NTW144" s="72"/>
      <c r="NTX144" s="72"/>
      <c r="NTY144" s="72"/>
      <c r="NTZ144" s="72"/>
      <c r="NUA144" s="72"/>
      <c r="NUB144" s="72"/>
      <c r="NUC144" s="72"/>
      <c r="NUD144" s="72"/>
      <c r="NUE144" s="72"/>
      <c r="NUF144" s="72"/>
      <c r="NUG144" s="72"/>
      <c r="NUH144" s="72"/>
      <c r="NUI144" s="72"/>
      <c r="NUJ144" s="72"/>
      <c r="NUK144" s="72"/>
      <c r="NUL144" s="72"/>
      <c r="NUM144" s="72"/>
      <c r="NUN144" s="72"/>
      <c r="NUO144" s="72"/>
      <c r="NUP144" s="72"/>
      <c r="NUQ144" s="72"/>
      <c r="NUR144" s="72"/>
      <c r="NUS144" s="72"/>
      <c r="NUT144" s="72"/>
      <c r="NUU144" s="72"/>
      <c r="NUV144" s="72"/>
      <c r="NUW144" s="72"/>
      <c r="NUX144" s="72"/>
      <c r="NUY144" s="72"/>
      <c r="NUZ144" s="72"/>
      <c r="NVA144" s="72"/>
      <c r="NVB144" s="72"/>
      <c r="NVC144" s="72"/>
      <c r="NVD144" s="72"/>
      <c r="NVE144" s="72"/>
      <c r="NVF144" s="72"/>
      <c r="NVG144" s="72"/>
      <c r="NVH144" s="72"/>
      <c r="NVI144" s="72"/>
      <c r="NVJ144" s="72"/>
      <c r="NVK144" s="72"/>
      <c r="NVL144" s="72"/>
      <c r="NVM144" s="72"/>
      <c r="NVN144" s="72"/>
      <c r="NVO144" s="72"/>
      <c r="NVP144" s="72"/>
      <c r="NVQ144" s="72"/>
      <c r="NVR144" s="72"/>
      <c r="NVS144" s="72"/>
      <c r="NVT144" s="72"/>
      <c r="NVU144" s="72"/>
      <c r="NVV144" s="72"/>
      <c r="NVW144" s="72"/>
      <c r="NVX144" s="72"/>
      <c r="NVY144" s="72"/>
      <c r="NVZ144" s="72"/>
      <c r="NWA144" s="72"/>
      <c r="NWB144" s="72"/>
      <c r="NWC144" s="72"/>
      <c r="NWD144" s="72"/>
      <c r="NWE144" s="72"/>
      <c r="NWF144" s="72"/>
      <c r="NWG144" s="72"/>
      <c r="NWH144" s="72"/>
      <c r="NWI144" s="72"/>
      <c r="NWJ144" s="72"/>
      <c r="NWK144" s="72"/>
      <c r="NWL144" s="72"/>
      <c r="NWM144" s="72"/>
      <c r="NWN144" s="72"/>
      <c r="NWO144" s="72"/>
      <c r="NWP144" s="72"/>
      <c r="NWQ144" s="72"/>
      <c r="NWR144" s="72"/>
      <c r="NWS144" s="72"/>
      <c r="NWT144" s="72"/>
      <c r="NWU144" s="72"/>
      <c r="NWV144" s="72"/>
      <c r="NWW144" s="72"/>
      <c r="NWX144" s="72"/>
      <c r="NWY144" s="72"/>
      <c r="NWZ144" s="72"/>
      <c r="NXA144" s="72"/>
      <c r="NXB144" s="72"/>
      <c r="NXC144" s="72"/>
      <c r="NXD144" s="72"/>
      <c r="NXE144" s="72"/>
      <c r="NXF144" s="72"/>
      <c r="NXG144" s="72"/>
      <c r="NXH144" s="72"/>
      <c r="NXI144" s="72"/>
      <c r="NXJ144" s="72"/>
      <c r="NXK144" s="72"/>
      <c r="NXL144" s="72"/>
      <c r="NXM144" s="72"/>
      <c r="NXN144" s="72"/>
      <c r="NXO144" s="72"/>
      <c r="NXP144" s="72"/>
      <c r="NXQ144" s="72"/>
      <c r="NXR144" s="72"/>
      <c r="NXS144" s="72"/>
      <c r="NXT144" s="72"/>
      <c r="NXU144" s="72"/>
      <c r="NXV144" s="72"/>
      <c r="NXW144" s="72"/>
      <c r="NXX144" s="72"/>
      <c r="NXY144" s="72"/>
      <c r="NXZ144" s="72"/>
      <c r="NYA144" s="72"/>
      <c r="NYB144" s="72"/>
      <c r="NYC144" s="72"/>
      <c r="NYD144" s="72"/>
      <c r="NYE144" s="72"/>
      <c r="NYF144" s="72"/>
      <c r="NYG144" s="72"/>
      <c r="NYH144" s="72"/>
      <c r="NYI144" s="72"/>
      <c r="NYJ144" s="72"/>
      <c r="NYK144" s="72"/>
      <c r="NYL144" s="72"/>
      <c r="NYM144" s="72"/>
      <c r="NYN144" s="72"/>
      <c r="NYO144" s="72"/>
      <c r="NYP144" s="72"/>
      <c r="NYQ144" s="72"/>
      <c r="NYR144" s="72"/>
      <c r="NYS144" s="72"/>
      <c r="NYT144" s="72"/>
      <c r="NYU144" s="72"/>
      <c r="NYV144" s="72"/>
      <c r="NYW144" s="72"/>
      <c r="NYX144" s="72"/>
      <c r="NYY144" s="72"/>
      <c r="NYZ144" s="72"/>
      <c r="NZA144" s="72"/>
      <c r="NZB144" s="72"/>
      <c r="NZC144" s="72"/>
      <c r="NZD144" s="72"/>
      <c r="NZE144" s="72"/>
      <c r="NZF144" s="72"/>
      <c r="NZG144" s="72"/>
      <c r="NZH144" s="72"/>
      <c r="NZI144" s="72"/>
      <c r="NZJ144" s="72"/>
      <c r="NZK144" s="72"/>
      <c r="NZL144" s="72"/>
      <c r="NZM144" s="72"/>
      <c r="NZN144" s="72"/>
      <c r="NZO144" s="72"/>
      <c r="NZP144" s="72"/>
      <c r="NZQ144" s="72"/>
      <c r="NZR144" s="72"/>
      <c r="NZS144" s="72"/>
      <c r="NZT144" s="72"/>
      <c r="NZU144" s="72"/>
      <c r="NZV144" s="72"/>
      <c r="NZW144" s="72"/>
      <c r="NZX144" s="72"/>
      <c r="NZY144" s="72"/>
      <c r="NZZ144" s="72"/>
      <c r="OAA144" s="72"/>
      <c r="OAB144" s="72"/>
      <c r="OAC144" s="72"/>
      <c r="OAD144" s="72"/>
      <c r="OAE144" s="72"/>
      <c r="OAF144" s="72"/>
      <c r="OAG144" s="72"/>
      <c r="OAH144" s="72"/>
      <c r="OAI144" s="72"/>
      <c r="OAJ144" s="72"/>
      <c r="OAK144" s="72"/>
      <c r="OAL144" s="72"/>
      <c r="OAM144" s="72"/>
      <c r="OAN144" s="72"/>
      <c r="OAO144" s="72"/>
      <c r="OAP144" s="72"/>
      <c r="OAQ144" s="72"/>
      <c r="OAR144" s="72"/>
      <c r="OAS144" s="72"/>
      <c r="OAT144" s="72"/>
      <c r="OAU144" s="72"/>
      <c r="OAV144" s="72"/>
      <c r="OAW144" s="72"/>
      <c r="OAX144" s="72"/>
      <c r="OAY144" s="72"/>
      <c r="OAZ144" s="72"/>
      <c r="OBA144" s="72"/>
      <c r="OBB144" s="72"/>
      <c r="OBC144" s="72"/>
      <c r="OBD144" s="72"/>
      <c r="OBE144" s="72"/>
      <c r="OBF144" s="72"/>
      <c r="OBG144" s="72"/>
      <c r="OBH144" s="72"/>
      <c r="OBI144" s="72"/>
      <c r="OBJ144" s="72"/>
      <c r="OBK144" s="72"/>
      <c r="OBL144" s="72"/>
      <c r="OBM144" s="72"/>
      <c r="OBN144" s="72"/>
      <c r="OBO144" s="72"/>
      <c r="OBP144" s="72"/>
      <c r="OBQ144" s="72"/>
      <c r="OBR144" s="72"/>
      <c r="OBS144" s="72"/>
      <c r="OBT144" s="72"/>
      <c r="OBU144" s="72"/>
      <c r="OBV144" s="72"/>
      <c r="OBW144" s="72"/>
      <c r="OBX144" s="72"/>
      <c r="OBY144" s="72"/>
      <c r="OBZ144" s="72"/>
      <c r="OCA144" s="72"/>
      <c r="OCB144" s="72"/>
      <c r="OCC144" s="72"/>
      <c r="OCD144" s="72"/>
      <c r="OCE144" s="72"/>
      <c r="OCF144" s="72"/>
      <c r="OCG144" s="72"/>
      <c r="OCH144" s="72"/>
      <c r="OCI144" s="72"/>
      <c r="OCJ144" s="72"/>
      <c r="OCK144" s="72"/>
      <c r="OCL144" s="72"/>
      <c r="OCM144" s="72"/>
      <c r="OCN144" s="72"/>
      <c r="OCO144" s="72"/>
      <c r="OCP144" s="72"/>
      <c r="OCQ144" s="72"/>
      <c r="OCR144" s="72"/>
      <c r="OCS144" s="72"/>
      <c r="OCT144" s="72"/>
      <c r="OCU144" s="72"/>
      <c r="OCV144" s="72"/>
      <c r="OCW144" s="72"/>
      <c r="OCX144" s="72"/>
      <c r="OCY144" s="72"/>
      <c r="OCZ144" s="72"/>
      <c r="ODA144" s="72"/>
      <c r="ODB144" s="72"/>
      <c r="ODC144" s="72"/>
      <c r="ODD144" s="72"/>
      <c r="ODE144" s="72"/>
      <c r="ODF144" s="72"/>
      <c r="ODG144" s="72"/>
      <c r="ODH144" s="72"/>
      <c r="ODI144" s="72"/>
      <c r="ODJ144" s="72"/>
      <c r="ODK144" s="72"/>
      <c r="ODL144" s="72"/>
      <c r="ODM144" s="72"/>
      <c r="ODN144" s="72"/>
      <c r="ODO144" s="72"/>
      <c r="ODP144" s="72"/>
      <c r="ODQ144" s="72"/>
      <c r="ODR144" s="72"/>
      <c r="ODS144" s="72"/>
      <c r="ODT144" s="72"/>
      <c r="ODU144" s="72"/>
      <c r="ODV144" s="72"/>
      <c r="ODW144" s="72"/>
      <c r="ODX144" s="72"/>
      <c r="ODY144" s="72"/>
      <c r="ODZ144" s="72"/>
      <c r="OEA144" s="72"/>
      <c r="OEB144" s="72"/>
      <c r="OEC144" s="72"/>
      <c r="OED144" s="72"/>
      <c r="OEE144" s="72"/>
      <c r="OEF144" s="72"/>
      <c r="OEG144" s="72"/>
      <c r="OEH144" s="72"/>
      <c r="OEI144" s="72"/>
      <c r="OEJ144" s="72"/>
      <c r="OEK144" s="72"/>
      <c r="OEL144" s="72"/>
      <c r="OEM144" s="72"/>
      <c r="OEN144" s="72"/>
      <c r="OEO144" s="72"/>
      <c r="OEP144" s="72"/>
      <c r="OEQ144" s="72"/>
      <c r="OER144" s="72"/>
      <c r="OES144" s="72"/>
      <c r="OET144" s="72"/>
      <c r="OEU144" s="72"/>
      <c r="OEV144" s="72"/>
      <c r="OEW144" s="72"/>
      <c r="OEX144" s="72"/>
      <c r="OEY144" s="72"/>
      <c r="OEZ144" s="72"/>
      <c r="OFA144" s="72"/>
      <c r="OFB144" s="72"/>
      <c r="OFC144" s="72"/>
      <c r="OFD144" s="72"/>
      <c r="OFE144" s="72"/>
      <c r="OFF144" s="72"/>
      <c r="OFG144" s="72"/>
      <c r="OFH144" s="72"/>
      <c r="OFI144" s="72"/>
      <c r="OFJ144" s="72"/>
      <c r="OFK144" s="72"/>
      <c r="OFL144" s="72"/>
      <c r="OFM144" s="72"/>
      <c r="OFN144" s="72"/>
      <c r="OFO144" s="72"/>
      <c r="OFP144" s="72"/>
      <c r="OFQ144" s="72"/>
      <c r="OFR144" s="72"/>
      <c r="OFS144" s="72"/>
      <c r="OFT144" s="72"/>
      <c r="OFU144" s="72"/>
      <c r="OFV144" s="72"/>
      <c r="OFW144" s="72"/>
      <c r="OFX144" s="72"/>
      <c r="OFY144" s="72"/>
      <c r="OFZ144" s="72"/>
      <c r="OGA144" s="72"/>
      <c r="OGB144" s="72"/>
      <c r="OGC144" s="72"/>
      <c r="OGD144" s="72"/>
      <c r="OGE144" s="72"/>
      <c r="OGF144" s="72"/>
      <c r="OGG144" s="72"/>
      <c r="OGH144" s="72"/>
      <c r="OGI144" s="72"/>
      <c r="OGJ144" s="72"/>
      <c r="OGK144" s="72"/>
      <c r="OGL144" s="72"/>
      <c r="OGM144" s="72"/>
      <c r="OGN144" s="72"/>
      <c r="OGO144" s="72"/>
      <c r="OGP144" s="72"/>
      <c r="OGQ144" s="72"/>
      <c r="OGR144" s="72"/>
      <c r="OGS144" s="72"/>
      <c r="OGT144" s="72"/>
      <c r="OGU144" s="72"/>
      <c r="OGV144" s="72"/>
      <c r="OGW144" s="72"/>
      <c r="OGX144" s="72"/>
      <c r="OGY144" s="72"/>
      <c r="OGZ144" s="72"/>
      <c r="OHA144" s="72"/>
      <c r="OHB144" s="72"/>
      <c r="OHC144" s="72"/>
      <c r="OHD144" s="72"/>
      <c r="OHE144" s="72"/>
      <c r="OHF144" s="72"/>
      <c r="OHG144" s="72"/>
      <c r="OHH144" s="72"/>
      <c r="OHI144" s="72"/>
      <c r="OHJ144" s="72"/>
      <c r="OHK144" s="72"/>
      <c r="OHL144" s="72"/>
      <c r="OHM144" s="72"/>
      <c r="OHN144" s="72"/>
      <c r="OHO144" s="72"/>
      <c r="OHP144" s="72"/>
      <c r="OHQ144" s="72"/>
      <c r="OHR144" s="72"/>
      <c r="OHS144" s="72"/>
      <c r="OHT144" s="72"/>
      <c r="OHU144" s="72"/>
      <c r="OHV144" s="72"/>
      <c r="OHW144" s="72"/>
      <c r="OHX144" s="72"/>
      <c r="OHY144" s="72"/>
      <c r="OHZ144" s="72"/>
      <c r="OIA144" s="72"/>
      <c r="OIB144" s="72"/>
      <c r="OIC144" s="72"/>
      <c r="OID144" s="72"/>
      <c r="OIE144" s="72"/>
      <c r="OIF144" s="72"/>
      <c r="OIG144" s="72"/>
      <c r="OIH144" s="72"/>
      <c r="OII144" s="72"/>
      <c r="OIJ144" s="72"/>
      <c r="OIK144" s="72"/>
      <c r="OIL144" s="72"/>
      <c r="OIM144" s="72"/>
      <c r="OIN144" s="72"/>
      <c r="OIO144" s="72"/>
      <c r="OIP144" s="72"/>
      <c r="OIQ144" s="72"/>
      <c r="OIR144" s="72"/>
      <c r="OIS144" s="72"/>
      <c r="OIT144" s="72"/>
      <c r="OIU144" s="72"/>
      <c r="OIV144" s="72"/>
      <c r="OIW144" s="72"/>
      <c r="OIX144" s="72"/>
      <c r="OIY144" s="72"/>
      <c r="OIZ144" s="72"/>
      <c r="OJA144" s="72"/>
      <c r="OJB144" s="72"/>
      <c r="OJC144" s="72"/>
      <c r="OJD144" s="72"/>
      <c r="OJE144" s="72"/>
      <c r="OJF144" s="72"/>
      <c r="OJG144" s="72"/>
      <c r="OJH144" s="72"/>
      <c r="OJI144" s="72"/>
      <c r="OJJ144" s="72"/>
      <c r="OJK144" s="72"/>
      <c r="OJL144" s="72"/>
      <c r="OJM144" s="72"/>
      <c r="OJN144" s="72"/>
      <c r="OJO144" s="72"/>
      <c r="OJP144" s="72"/>
      <c r="OJQ144" s="72"/>
      <c r="OJR144" s="72"/>
      <c r="OJS144" s="72"/>
      <c r="OJT144" s="72"/>
      <c r="OJU144" s="72"/>
      <c r="OJV144" s="72"/>
      <c r="OJW144" s="72"/>
      <c r="OJX144" s="72"/>
      <c r="OJY144" s="72"/>
      <c r="OJZ144" s="72"/>
      <c r="OKA144" s="72"/>
      <c r="OKB144" s="72"/>
      <c r="OKC144" s="72"/>
      <c r="OKD144" s="72"/>
      <c r="OKE144" s="72"/>
      <c r="OKF144" s="72"/>
      <c r="OKG144" s="72"/>
      <c r="OKH144" s="72"/>
      <c r="OKI144" s="72"/>
      <c r="OKJ144" s="72"/>
      <c r="OKK144" s="72"/>
      <c r="OKL144" s="72"/>
      <c r="OKM144" s="72"/>
      <c r="OKN144" s="72"/>
      <c r="OKO144" s="72"/>
      <c r="OKP144" s="72"/>
      <c r="OKQ144" s="72"/>
      <c r="OKR144" s="72"/>
      <c r="OKS144" s="72"/>
      <c r="OKT144" s="72"/>
      <c r="OKU144" s="72"/>
      <c r="OKV144" s="72"/>
      <c r="OKW144" s="72"/>
      <c r="OKX144" s="72"/>
      <c r="OKY144" s="72"/>
      <c r="OKZ144" s="72"/>
      <c r="OLA144" s="72"/>
      <c r="OLB144" s="72"/>
      <c r="OLC144" s="72"/>
      <c r="OLD144" s="72"/>
      <c r="OLE144" s="72"/>
      <c r="OLF144" s="72"/>
      <c r="OLG144" s="72"/>
      <c r="OLH144" s="72"/>
      <c r="OLI144" s="72"/>
      <c r="OLJ144" s="72"/>
      <c r="OLK144" s="72"/>
      <c r="OLL144" s="72"/>
      <c r="OLM144" s="72"/>
      <c r="OLN144" s="72"/>
      <c r="OLO144" s="72"/>
      <c r="OLP144" s="72"/>
      <c r="OLQ144" s="72"/>
      <c r="OLR144" s="72"/>
      <c r="OLS144" s="72"/>
      <c r="OLT144" s="72"/>
      <c r="OLU144" s="72"/>
      <c r="OLV144" s="72"/>
      <c r="OLW144" s="72"/>
      <c r="OLX144" s="72"/>
      <c r="OLY144" s="72"/>
      <c r="OLZ144" s="72"/>
      <c r="OMA144" s="72"/>
      <c r="OMB144" s="72"/>
      <c r="OMC144" s="72"/>
      <c r="OMD144" s="72"/>
      <c r="OME144" s="72"/>
      <c r="OMF144" s="72"/>
      <c r="OMG144" s="72"/>
      <c r="OMH144" s="72"/>
      <c r="OMI144" s="72"/>
      <c r="OMJ144" s="72"/>
      <c r="OMK144" s="72"/>
      <c r="OML144" s="72"/>
      <c r="OMM144" s="72"/>
      <c r="OMN144" s="72"/>
      <c r="OMO144" s="72"/>
      <c r="OMP144" s="72"/>
      <c r="OMQ144" s="72"/>
      <c r="OMR144" s="72"/>
      <c r="OMS144" s="72"/>
      <c r="OMT144" s="72"/>
      <c r="OMU144" s="72"/>
      <c r="OMV144" s="72"/>
      <c r="OMW144" s="72"/>
      <c r="OMX144" s="72"/>
      <c r="OMY144" s="72"/>
      <c r="OMZ144" s="72"/>
      <c r="ONA144" s="72"/>
      <c r="ONB144" s="72"/>
      <c r="ONC144" s="72"/>
      <c r="OND144" s="72"/>
      <c r="ONE144" s="72"/>
      <c r="ONF144" s="72"/>
      <c r="ONG144" s="72"/>
      <c r="ONH144" s="72"/>
      <c r="ONI144" s="72"/>
      <c r="ONJ144" s="72"/>
      <c r="ONK144" s="72"/>
      <c r="ONL144" s="72"/>
      <c r="ONM144" s="72"/>
      <c r="ONN144" s="72"/>
      <c r="ONO144" s="72"/>
      <c r="ONP144" s="72"/>
      <c r="ONQ144" s="72"/>
      <c r="ONR144" s="72"/>
      <c r="ONS144" s="72"/>
      <c r="ONT144" s="72"/>
      <c r="ONU144" s="72"/>
      <c r="ONV144" s="72"/>
      <c r="ONW144" s="72"/>
      <c r="ONX144" s="72"/>
      <c r="ONY144" s="72"/>
      <c r="ONZ144" s="72"/>
      <c r="OOA144" s="72"/>
      <c r="OOB144" s="72"/>
      <c r="OOC144" s="72"/>
      <c r="OOD144" s="72"/>
      <c r="OOE144" s="72"/>
      <c r="OOF144" s="72"/>
      <c r="OOG144" s="72"/>
      <c r="OOH144" s="72"/>
      <c r="OOI144" s="72"/>
      <c r="OOJ144" s="72"/>
      <c r="OOK144" s="72"/>
      <c r="OOL144" s="72"/>
      <c r="OOM144" s="72"/>
      <c r="OON144" s="72"/>
      <c r="OOO144" s="72"/>
      <c r="OOP144" s="72"/>
      <c r="OOQ144" s="72"/>
      <c r="OOR144" s="72"/>
      <c r="OOS144" s="72"/>
      <c r="OOT144" s="72"/>
      <c r="OOU144" s="72"/>
      <c r="OOV144" s="72"/>
      <c r="OOW144" s="72"/>
      <c r="OOX144" s="72"/>
      <c r="OOY144" s="72"/>
      <c r="OOZ144" s="72"/>
      <c r="OPA144" s="72"/>
      <c r="OPB144" s="72"/>
      <c r="OPC144" s="72"/>
      <c r="OPD144" s="72"/>
      <c r="OPE144" s="72"/>
      <c r="OPF144" s="72"/>
      <c r="OPG144" s="72"/>
      <c r="OPH144" s="72"/>
      <c r="OPI144" s="72"/>
      <c r="OPJ144" s="72"/>
      <c r="OPK144" s="72"/>
      <c r="OPL144" s="72"/>
      <c r="OPM144" s="72"/>
      <c r="OPN144" s="72"/>
      <c r="OPO144" s="72"/>
      <c r="OPP144" s="72"/>
      <c r="OPQ144" s="72"/>
      <c r="OPR144" s="72"/>
      <c r="OPS144" s="72"/>
      <c r="OPT144" s="72"/>
      <c r="OPU144" s="72"/>
      <c r="OPV144" s="72"/>
      <c r="OPW144" s="72"/>
      <c r="OPX144" s="72"/>
      <c r="OPY144" s="72"/>
      <c r="OPZ144" s="72"/>
      <c r="OQA144" s="72"/>
      <c r="OQB144" s="72"/>
      <c r="OQC144" s="72"/>
      <c r="OQD144" s="72"/>
      <c r="OQE144" s="72"/>
      <c r="OQF144" s="72"/>
      <c r="OQG144" s="72"/>
      <c r="OQH144" s="72"/>
      <c r="OQI144" s="72"/>
      <c r="OQJ144" s="72"/>
      <c r="OQK144" s="72"/>
      <c r="OQL144" s="72"/>
      <c r="OQM144" s="72"/>
      <c r="OQN144" s="72"/>
      <c r="OQO144" s="72"/>
      <c r="OQP144" s="72"/>
      <c r="OQQ144" s="72"/>
      <c r="OQR144" s="72"/>
      <c r="OQS144" s="72"/>
      <c r="OQT144" s="72"/>
      <c r="OQU144" s="72"/>
      <c r="OQV144" s="72"/>
      <c r="OQW144" s="72"/>
      <c r="OQX144" s="72"/>
      <c r="OQY144" s="72"/>
      <c r="OQZ144" s="72"/>
      <c r="ORA144" s="72"/>
      <c r="ORB144" s="72"/>
      <c r="ORC144" s="72"/>
      <c r="ORD144" s="72"/>
      <c r="ORE144" s="72"/>
      <c r="ORF144" s="72"/>
      <c r="ORG144" s="72"/>
      <c r="ORH144" s="72"/>
      <c r="ORI144" s="72"/>
      <c r="ORJ144" s="72"/>
      <c r="ORK144" s="72"/>
      <c r="ORL144" s="72"/>
      <c r="ORM144" s="72"/>
      <c r="ORN144" s="72"/>
      <c r="ORO144" s="72"/>
      <c r="ORP144" s="72"/>
      <c r="ORQ144" s="72"/>
      <c r="ORR144" s="72"/>
      <c r="ORS144" s="72"/>
      <c r="ORT144" s="72"/>
      <c r="ORU144" s="72"/>
      <c r="ORV144" s="72"/>
      <c r="ORW144" s="72"/>
      <c r="ORX144" s="72"/>
      <c r="ORY144" s="72"/>
      <c r="ORZ144" s="72"/>
      <c r="OSA144" s="72"/>
      <c r="OSB144" s="72"/>
      <c r="OSC144" s="72"/>
      <c r="OSD144" s="72"/>
      <c r="OSE144" s="72"/>
      <c r="OSF144" s="72"/>
      <c r="OSG144" s="72"/>
      <c r="OSH144" s="72"/>
      <c r="OSI144" s="72"/>
      <c r="OSJ144" s="72"/>
      <c r="OSK144" s="72"/>
      <c r="OSL144" s="72"/>
      <c r="OSM144" s="72"/>
      <c r="OSN144" s="72"/>
      <c r="OSO144" s="72"/>
      <c r="OSP144" s="72"/>
      <c r="OSQ144" s="72"/>
      <c r="OSR144" s="72"/>
      <c r="OSS144" s="72"/>
      <c r="OST144" s="72"/>
      <c r="OSU144" s="72"/>
      <c r="OSV144" s="72"/>
      <c r="OSW144" s="72"/>
      <c r="OSX144" s="72"/>
      <c r="OSY144" s="72"/>
      <c r="OSZ144" s="72"/>
      <c r="OTA144" s="72"/>
      <c r="OTB144" s="72"/>
      <c r="OTC144" s="72"/>
      <c r="OTD144" s="72"/>
      <c r="OTE144" s="72"/>
      <c r="OTF144" s="72"/>
      <c r="OTG144" s="72"/>
      <c r="OTH144" s="72"/>
      <c r="OTI144" s="72"/>
      <c r="OTJ144" s="72"/>
      <c r="OTK144" s="72"/>
      <c r="OTL144" s="72"/>
      <c r="OTM144" s="72"/>
      <c r="OTN144" s="72"/>
      <c r="OTO144" s="72"/>
      <c r="OTP144" s="72"/>
      <c r="OTQ144" s="72"/>
      <c r="OTR144" s="72"/>
      <c r="OTS144" s="72"/>
      <c r="OTT144" s="72"/>
      <c r="OTU144" s="72"/>
      <c r="OTV144" s="72"/>
      <c r="OTW144" s="72"/>
      <c r="OTX144" s="72"/>
      <c r="OTY144" s="72"/>
      <c r="OTZ144" s="72"/>
      <c r="OUA144" s="72"/>
      <c r="OUB144" s="72"/>
      <c r="OUC144" s="72"/>
      <c r="OUD144" s="72"/>
      <c r="OUE144" s="72"/>
      <c r="OUF144" s="72"/>
      <c r="OUG144" s="72"/>
      <c r="OUH144" s="72"/>
      <c r="OUI144" s="72"/>
      <c r="OUJ144" s="72"/>
      <c r="OUK144" s="72"/>
      <c r="OUL144" s="72"/>
      <c r="OUM144" s="72"/>
      <c r="OUN144" s="72"/>
      <c r="OUO144" s="72"/>
      <c r="OUP144" s="72"/>
      <c r="OUQ144" s="72"/>
      <c r="OUR144" s="72"/>
      <c r="OUS144" s="72"/>
      <c r="OUT144" s="72"/>
      <c r="OUU144" s="72"/>
      <c r="OUV144" s="72"/>
      <c r="OUW144" s="72"/>
      <c r="OUX144" s="72"/>
      <c r="OUY144" s="72"/>
      <c r="OUZ144" s="72"/>
      <c r="OVA144" s="72"/>
      <c r="OVB144" s="72"/>
      <c r="OVC144" s="72"/>
      <c r="OVD144" s="72"/>
      <c r="OVE144" s="72"/>
      <c r="OVF144" s="72"/>
      <c r="OVG144" s="72"/>
      <c r="OVH144" s="72"/>
      <c r="OVI144" s="72"/>
      <c r="OVJ144" s="72"/>
      <c r="OVK144" s="72"/>
      <c r="OVL144" s="72"/>
      <c r="OVM144" s="72"/>
      <c r="OVN144" s="72"/>
      <c r="OVO144" s="72"/>
      <c r="OVP144" s="72"/>
      <c r="OVQ144" s="72"/>
      <c r="OVR144" s="72"/>
      <c r="OVS144" s="72"/>
      <c r="OVT144" s="72"/>
      <c r="OVU144" s="72"/>
      <c r="OVV144" s="72"/>
      <c r="OVW144" s="72"/>
      <c r="OVX144" s="72"/>
      <c r="OVY144" s="72"/>
      <c r="OVZ144" s="72"/>
      <c r="OWA144" s="72"/>
      <c r="OWB144" s="72"/>
      <c r="OWC144" s="72"/>
      <c r="OWD144" s="72"/>
      <c r="OWE144" s="72"/>
      <c r="OWF144" s="72"/>
      <c r="OWG144" s="72"/>
      <c r="OWH144" s="72"/>
      <c r="OWI144" s="72"/>
      <c r="OWJ144" s="72"/>
      <c r="OWK144" s="72"/>
      <c r="OWL144" s="72"/>
      <c r="OWM144" s="72"/>
      <c r="OWN144" s="72"/>
      <c r="OWO144" s="72"/>
      <c r="OWP144" s="72"/>
      <c r="OWQ144" s="72"/>
      <c r="OWR144" s="72"/>
      <c r="OWS144" s="72"/>
      <c r="OWT144" s="72"/>
      <c r="OWU144" s="72"/>
      <c r="OWV144" s="72"/>
      <c r="OWW144" s="72"/>
      <c r="OWX144" s="72"/>
      <c r="OWY144" s="72"/>
      <c r="OWZ144" s="72"/>
      <c r="OXA144" s="72"/>
      <c r="OXB144" s="72"/>
      <c r="OXC144" s="72"/>
      <c r="OXD144" s="72"/>
      <c r="OXE144" s="72"/>
      <c r="OXF144" s="72"/>
      <c r="OXG144" s="72"/>
      <c r="OXH144" s="72"/>
      <c r="OXI144" s="72"/>
      <c r="OXJ144" s="72"/>
      <c r="OXK144" s="72"/>
      <c r="OXL144" s="72"/>
      <c r="OXM144" s="72"/>
      <c r="OXN144" s="72"/>
      <c r="OXO144" s="72"/>
      <c r="OXP144" s="72"/>
      <c r="OXQ144" s="72"/>
      <c r="OXR144" s="72"/>
      <c r="OXS144" s="72"/>
      <c r="OXT144" s="72"/>
      <c r="OXU144" s="72"/>
      <c r="OXV144" s="72"/>
      <c r="OXW144" s="72"/>
      <c r="OXX144" s="72"/>
      <c r="OXY144" s="72"/>
      <c r="OXZ144" s="72"/>
      <c r="OYA144" s="72"/>
      <c r="OYB144" s="72"/>
      <c r="OYC144" s="72"/>
      <c r="OYD144" s="72"/>
      <c r="OYE144" s="72"/>
      <c r="OYF144" s="72"/>
      <c r="OYG144" s="72"/>
      <c r="OYH144" s="72"/>
      <c r="OYI144" s="72"/>
      <c r="OYJ144" s="72"/>
      <c r="OYK144" s="72"/>
      <c r="OYL144" s="72"/>
      <c r="OYM144" s="72"/>
      <c r="OYN144" s="72"/>
      <c r="OYO144" s="72"/>
      <c r="OYP144" s="72"/>
      <c r="OYQ144" s="72"/>
      <c r="OYR144" s="72"/>
      <c r="OYS144" s="72"/>
      <c r="OYT144" s="72"/>
      <c r="OYU144" s="72"/>
      <c r="OYV144" s="72"/>
      <c r="OYW144" s="72"/>
      <c r="OYX144" s="72"/>
      <c r="OYY144" s="72"/>
      <c r="OYZ144" s="72"/>
      <c r="OZA144" s="72"/>
      <c r="OZB144" s="72"/>
      <c r="OZC144" s="72"/>
      <c r="OZD144" s="72"/>
      <c r="OZE144" s="72"/>
      <c r="OZF144" s="72"/>
      <c r="OZG144" s="72"/>
      <c r="OZH144" s="72"/>
      <c r="OZI144" s="72"/>
      <c r="OZJ144" s="72"/>
      <c r="OZK144" s="72"/>
      <c r="OZL144" s="72"/>
      <c r="OZM144" s="72"/>
      <c r="OZN144" s="72"/>
      <c r="OZO144" s="72"/>
      <c r="OZP144" s="72"/>
      <c r="OZQ144" s="72"/>
      <c r="OZR144" s="72"/>
      <c r="OZS144" s="72"/>
      <c r="OZT144" s="72"/>
      <c r="OZU144" s="72"/>
      <c r="OZV144" s="72"/>
      <c r="OZW144" s="72"/>
      <c r="OZX144" s="72"/>
      <c r="OZY144" s="72"/>
      <c r="OZZ144" s="72"/>
      <c r="PAA144" s="72"/>
      <c r="PAB144" s="72"/>
      <c r="PAC144" s="72"/>
      <c r="PAD144" s="72"/>
      <c r="PAE144" s="72"/>
      <c r="PAF144" s="72"/>
      <c r="PAG144" s="72"/>
      <c r="PAH144" s="72"/>
      <c r="PAI144" s="72"/>
      <c r="PAJ144" s="72"/>
      <c r="PAK144" s="72"/>
      <c r="PAL144" s="72"/>
      <c r="PAM144" s="72"/>
      <c r="PAN144" s="72"/>
      <c r="PAO144" s="72"/>
      <c r="PAP144" s="72"/>
      <c r="PAQ144" s="72"/>
      <c r="PAR144" s="72"/>
      <c r="PAS144" s="72"/>
      <c r="PAT144" s="72"/>
      <c r="PAU144" s="72"/>
      <c r="PAV144" s="72"/>
      <c r="PAW144" s="72"/>
      <c r="PAX144" s="72"/>
      <c r="PAY144" s="72"/>
      <c r="PAZ144" s="72"/>
      <c r="PBA144" s="72"/>
      <c r="PBB144" s="72"/>
      <c r="PBC144" s="72"/>
      <c r="PBD144" s="72"/>
      <c r="PBE144" s="72"/>
      <c r="PBF144" s="72"/>
      <c r="PBG144" s="72"/>
      <c r="PBH144" s="72"/>
      <c r="PBI144" s="72"/>
      <c r="PBJ144" s="72"/>
      <c r="PBK144" s="72"/>
      <c r="PBL144" s="72"/>
      <c r="PBM144" s="72"/>
      <c r="PBN144" s="72"/>
      <c r="PBO144" s="72"/>
      <c r="PBP144" s="72"/>
      <c r="PBQ144" s="72"/>
      <c r="PBR144" s="72"/>
      <c r="PBS144" s="72"/>
      <c r="PBT144" s="72"/>
      <c r="PBU144" s="72"/>
      <c r="PBV144" s="72"/>
      <c r="PBW144" s="72"/>
      <c r="PBX144" s="72"/>
      <c r="PBY144" s="72"/>
      <c r="PBZ144" s="72"/>
      <c r="PCA144" s="72"/>
      <c r="PCB144" s="72"/>
      <c r="PCC144" s="72"/>
      <c r="PCD144" s="72"/>
      <c r="PCE144" s="72"/>
      <c r="PCF144" s="72"/>
      <c r="PCG144" s="72"/>
      <c r="PCH144" s="72"/>
      <c r="PCI144" s="72"/>
      <c r="PCJ144" s="72"/>
      <c r="PCK144" s="72"/>
      <c r="PCL144" s="72"/>
      <c r="PCM144" s="72"/>
      <c r="PCN144" s="72"/>
      <c r="PCO144" s="72"/>
      <c r="PCP144" s="72"/>
      <c r="PCQ144" s="72"/>
      <c r="PCR144" s="72"/>
      <c r="PCS144" s="72"/>
      <c r="PCT144" s="72"/>
      <c r="PCU144" s="72"/>
      <c r="PCV144" s="72"/>
      <c r="PCW144" s="72"/>
      <c r="PCX144" s="72"/>
      <c r="PCY144" s="72"/>
      <c r="PCZ144" s="72"/>
      <c r="PDA144" s="72"/>
      <c r="PDB144" s="72"/>
      <c r="PDC144" s="72"/>
      <c r="PDD144" s="72"/>
      <c r="PDE144" s="72"/>
      <c r="PDF144" s="72"/>
      <c r="PDG144" s="72"/>
      <c r="PDH144" s="72"/>
      <c r="PDI144" s="72"/>
      <c r="PDJ144" s="72"/>
      <c r="PDK144" s="72"/>
      <c r="PDL144" s="72"/>
      <c r="PDM144" s="72"/>
      <c r="PDN144" s="72"/>
      <c r="PDO144" s="72"/>
      <c r="PDP144" s="72"/>
      <c r="PDQ144" s="72"/>
      <c r="PDR144" s="72"/>
      <c r="PDS144" s="72"/>
      <c r="PDT144" s="72"/>
      <c r="PDU144" s="72"/>
      <c r="PDV144" s="72"/>
      <c r="PDW144" s="72"/>
      <c r="PDX144" s="72"/>
      <c r="PDY144" s="72"/>
      <c r="PDZ144" s="72"/>
      <c r="PEA144" s="72"/>
      <c r="PEB144" s="72"/>
      <c r="PEC144" s="72"/>
      <c r="PED144" s="72"/>
      <c r="PEE144" s="72"/>
      <c r="PEF144" s="72"/>
      <c r="PEG144" s="72"/>
      <c r="PEH144" s="72"/>
      <c r="PEI144" s="72"/>
      <c r="PEJ144" s="72"/>
      <c r="PEK144" s="72"/>
      <c r="PEL144" s="72"/>
      <c r="PEM144" s="72"/>
      <c r="PEN144" s="72"/>
      <c r="PEO144" s="72"/>
      <c r="PEP144" s="72"/>
      <c r="PEQ144" s="72"/>
      <c r="PER144" s="72"/>
      <c r="PES144" s="72"/>
      <c r="PET144" s="72"/>
      <c r="PEU144" s="72"/>
      <c r="PEV144" s="72"/>
      <c r="PEW144" s="72"/>
      <c r="PEX144" s="72"/>
      <c r="PEY144" s="72"/>
      <c r="PEZ144" s="72"/>
      <c r="PFA144" s="72"/>
      <c r="PFB144" s="72"/>
      <c r="PFC144" s="72"/>
      <c r="PFD144" s="72"/>
      <c r="PFE144" s="72"/>
      <c r="PFF144" s="72"/>
      <c r="PFG144" s="72"/>
      <c r="PFH144" s="72"/>
      <c r="PFI144" s="72"/>
      <c r="PFJ144" s="72"/>
      <c r="PFK144" s="72"/>
      <c r="PFL144" s="72"/>
      <c r="PFM144" s="72"/>
      <c r="PFN144" s="72"/>
      <c r="PFO144" s="72"/>
      <c r="PFP144" s="72"/>
      <c r="PFQ144" s="72"/>
      <c r="PFR144" s="72"/>
      <c r="PFS144" s="72"/>
      <c r="PFT144" s="72"/>
      <c r="PFU144" s="72"/>
      <c r="PFV144" s="72"/>
      <c r="PFW144" s="72"/>
      <c r="PFX144" s="72"/>
      <c r="PFY144" s="72"/>
      <c r="PFZ144" s="72"/>
      <c r="PGA144" s="72"/>
      <c r="PGB144" s="72"/>
      <c r="PGC144" s="72"/>
      <c r="PGD144" s="72"/>
      <c r="PGE144" s="72"/>
      <c r="PGF144" s="72"/>
      <c r="PGG144" s="72"/>
      <c r="PGH144" s="72"/>
      <c r="PGI144" s="72"/>
      <c r="PGJ144" s="72"/>
      <c r="PGK144" s="72"/>
      <c r="PGL144" s="72"/>
      <c r="PGM144" s="72"/>
      <c r="PGN144" s="72"/>
      <c r="PGO144" s="72"/>
      <c r="PGP144" s="72"/>
      <c r="PGQ144" s="72"/>
      <c r="PGR144" s="72"/>
      <c r="PGS144" s="72"/>
      <c r="PGT144" s="72"/>
      <c r="PGU144" s="72"/>
      <c r="PGV144" s="72"/>
      <c r="PGW144" s="72"/>
      <c r="PGX144" s="72"/>
      <c r="PGY144" s="72"/>
      <c r="PGZ144" s="72"/>
      <c r="PHA144" s="72"/>
      <c r="PHB144" s="72"/>
      <c r="PHC144" s="72"/>
      <c r="PHD144" s="72"/>
      <c r="PHE144" s="72"/>
      <c r="PHF144" s="72"/>
      <c r="PHG144" s="72"/>
      <c r="PHH144" s="72"/>
      <c r="PHI144" s="72"/>
      <c r="PHJ144" s="72"/>
      <c r="PHK144" s="72"/>
      <c r="PHL144" s="72"/>
      <c r="PHM144" s="72"/>
      <c r="PHN144" s="72"/>
      <c r="PHO144" s="72"/>
      <c r="PHP144" s="72"/>
      <c r="PHQ144" s="72"/>
      <c r="PHR144" s="72"/>
      <c r="PHS144" s="72"/>
      <c r="PHT144" s="72"/>
      <c r="PHU144" s="72"/>
      <c r="PHV144" s="72"/>
      <c r="PHW144" s="72"/>
      <c r="PHX144" s="72"/>
      <c r="PHY144" s="72"/>
      <c r="PHZ144" s="72"/>
      <c r="PIA144" s="72"/>
      <c r="PIB144" s="72"/>
      <c r="PIC144" s="72"/>
      <c r="PID144" s="72"/>
      <c r="PIE144" s="72"/>
      <c r="PIF144" s="72"/>
      <c r="PIG144" s="72"/>
      <c r="PIH144" s="72"/>
      <c r="PII144" s="72"/>
      <c r="PIJ144" s="72"/>
      <c r="PIK144" s="72"/>
      <c r="PIL144" s="72"/>
      <c r="PIM144" s="72"/>
      <c r="PIN144" s="72"/>
      <c r="PIO144" s="72"/>
      <c r="PIP144" s="72"/>
      <c r="PIQ144" s="72"/>
      <c r="PIR144" s="72"/>
      <c r="PIS144" s="72"/>
      <c r="PIT144" s="72"/>
      <c r="PIU144" s="72"/>
      <c r="PIV144" s="72"/>
      <c r="PIW144" s="72"/>
      <c r="PIX144" s="72"/>
      <c r="PIY144" s="72"/>
      <c r="PIZ144" s="72"/>
      <c r="PJA144" s="72"/>
      <c r="PJB144" s="72"/>
      <c r="PJC144" s="72"/>
      <c r="PJD144" s="72"/>
      <c r="PJE144" s="72"/>
      <c r="PJF144" s="72"/>
      <c r="PJG144" s="72"/>
      <c r="PJH144" s="72"/>
      <c r="PJI144" s="72"/>
      <c r="PJJ144" s="72"/>
      <c r="PJK144" s="72"/>
      <c r="PJL144" s="72"/>
      <c r="PJM144" s="72"/>
      <c r="PJN144" s="72"/>
      <c r="PJO144" s="72"/>
      <c r="PJP144" s="72"/>
      <c r="PJQ144" s="72"/>
      <c r="PJR144" s="72"/>
      <c r="PJS144" s="72"/>
      <c r="PJT144" s="72"/>
      <c r="PJU144" s="72"/>
      <c r="PJV144" s="72"/>
      <c r="PJW144" s="72"/>
      <c r="PJX144" s="72"/>
      <c r="PJY144" s="72"/>
      <c r="PJZ144" s="72"/>
      <c r="PKA144" s="72"/>
      <c r="PKB144" s="72"/>
      <c r="PKC144" s="72"/>
      <c r="PKD144" s="72"/>
      <c r="PKE144" s="72"/>
      <c r="PKF144" s="72"/>
      <c r="PKG144" s="72"/>
      <c r="PKH144" s="72"/>
      <c r="PKI144" s="72"/>
      <c r="PKJ144" s="72"/>
      <c r="PKK144" s="72"/>
      <c r="PKL144" s="72"/>
      <c r="PKM144" s="72"/>
      <c r="PKN144" s="72"/>
      <c r="PKO144" s="72"/>
      <c r="PKP144" s="72"/>
      <c r="PKQ144" s="72"/>
      <c r="PKR144" s="72"/>
      <c r="PKS144" s="72"/>
      <c r="PKT144" s="72"/>
      <c r="PKU144" s="72"/>
      <c r="PKV144" s="72"/>
      <c r="PKW144" s="72"/>
      <c r="PKX144" s="72"/>
      <c r="PKY144" s="72"/>
      <c r="PKZ144" s="72"/>
      <c r="PLA144" s="72"/>
      <c r="PLB144" s="72"/>
      <c r="PLC144" s="72"/>
      <c r="PLD144" s="72"/>
      <c r="PLE144" s="72"/>
      <c r="PLF144" s="72"/>
      <c r="PLG144" s="72"/>
      <c r="PLH144" s="72"/>
      <c r="PLI144" s="72"/>
      <c r="PLJ144" s="72"/>
      <c r="PLK144" s="72"/>
      <c r="PLL144" s="72"/>
      <c r="PLM144" s="72"/>
      <c r="PLN144" s="72"/>
      <c r="PLO144" s="72"/>
      <c r="PLP144" s="72"/>
      <c r="PLQ144" s="72"/>
      <c r="PLR144" s="72"/>
      <c r="PLS144" s="72"/>
      <c r="PLT144" s="72"/>
      <c r="PLU144" s="72"/>
      <c r="PLV144" s="72"/>
      <c r="PLW144" s="72"/>
      <c r="PLX144" s="72"/>
      <c r="PLY144" s="72"/>
      <c r="PLZ144" s="72"/>
      <c r="PMA144" s="72"/>
      <c r="PMB144" s="72"/>
      <c r="PMC144" s="72"/>
      <c r="PMD144" s="72"/>
      <c r="PME144" s="72"/>
      <c r="PMF144" s="72"/>
      <c r="PMG144" s="72"/>
      <c r="PMH144" s="72"/>
      <c r="PMI144" s="72"/>
      <c r="PMJ144" s="72"/>
      <c r="PMK144" s="72"/>
      <c r="PML144" s="72"/>
      <c r="PMM144" s="72"/>
      <c r="PMN144" s="72"/>
      <c r="PMO144" s="72"/>
      <c r="PMP144" s="72"/>
      <c r="PMQ144" s="72"/>
      <c r="PMR144" s="72"/>
      <c r="PMS144" s="72"/>
      <c r="PMT144" s="72"/>
      <c r="PMU144" s="72"/>
      <c r="PMV144" s="72"/>
      <c r="PMW144" s="72"/>
      <c r="PMX144" s="72"/>
      <c r="PMY144" s="72"/>
      <c r="PMZ144" s="72"/>
      <c r="PNA144" s="72"/>
      <c r="PNB144" s="72"/>
      <c r="PNC144" s="72"/>
      <c r="PND144" s="72"/>
      <c r="PNE144" s="72"/>
      <c r="PNF144" s="72"/>
      <c r="PNG144" s="72"/>
      <c r="PNH144" s="72"/>
      <c r="PNI144" s="72"/>
      <c r="PNJ144" s="72"/>
      <c r="PNK144" s="72"/>
      <c r="PNL144" s="72"/>
      <c r="PNM144" s="72"/>
      <c r="PNN144" s="72"/>
      <c r="PNO144" s="72"/>
      <c r="PNP144" s="72"/>
      <c r="PNQ144" s="72"/>
      <c r="PNR144" s="72"/>
      <c r="PNS144" s="72"/>
      <c r="PNT144" s="72"/>
      <c r="PNU144" s="72"/>
      <c r="PNV144" s="72"/>
      <c r="PNW144" s="72"/>
      <c r="PNX144" s="72"/>
      <c r="PNY144" s="72"/>
      <c r="PNZ144" s="72"/>
      <c r="POA144" s="72"/>
      <c r="POB144" s="72"/>
      <c r="POC144" s="72"/>
      <c r="POD144" s="72"/>
      <c r="POE144" s="72"/>
      <c r="POF144" s="72"/>
      <c r="POG144" s="72"/>
      <c r="POH144" s="72"/>
      <c r="POI144" s="72"/>
      <c r="POJ144" s="72"/>
      <c r="POK144" s="72"/>
      <c r="POL144" s="72"/>
      <c r="POM144" s="72"/>
      <c r="PON144" s="72"/>
      <c r="POO144" s="72"/>
      <c r="POP144" s="72"/>
      <c r="POQ144" s="72"/>
      <c r="POR144" s="72"/>
      <c r="POS144" s="72"/>
      <c r="POT144" s="72"/>
      <c r="POU144" s="72"/>
      <c r="POV144" s="72"/>
      <c r="POW144" s="72"/>
      <c r="POX144" s="72"/>
      <c r="POY144" s="72"/>
      <c r="POZ144" s="72"/>
      <c r="PPA144" s="72"/>
      <c r="PPB144" s="72"/>
      <c r="PPC144" s="72"/>
      <c r="PPD144" s="72"/>
      <c r="PPE144" s="72"/>
      <c r="PPF144" s="72"/>
      <c r="PPG144" s="72"/>
      <c r="PPH144" s="72"/>
      <c r="PPI144" s="72"/>
      <c r="PPJ144" s="72"/>
      <c r="PPK144" s="72"/>
      <c r="PPL144" s="72"/>
      <c r="PPM144" s="72"/>
      <c r="PPN144" s="72"/>
      <c r="PPO144" s="72"/>
      <c r="PPP144" s="72"/>
      <c r="PPQ144" s="72"/>
      <c r="PPR144" s="72"/>
      <c r="PPS144" s="72"/>
      <c r="PPT144" s="72"/>
      <c r="PPU144" s="72"/>
      <c r="PPV144" s="72"/>
      <c r="PPW144" s="72"/>
      <c r="PPX144" s="72"/>
      <c r="PPY144" s="72"/>
      <c r="PPZ144" s="72"/>
      <c r="PQA144" s="72"/>
      <c r="PQB144" s="72"/>
      <c r="PQC144" s="72"/>
      <c r="PQD144" s="72"/>
      <c r="PQE144" s="72"/>
      <c r="PQF144" s="72"/>
      <c r="PQG144" s="72"/>
      <c r="PQH144" s="72"/>
      <c r="PQI144" s="72"/>
      <c r="PQJ144" s="72"/>
      <c r="PQK144" s="72"/>
      <c r="PQL144" s="72"/>
      <c r="PQM144" s="72"/>
      <c r="PQN144" s="72"/>
      <c r="PQO144" s="72"/>
      <c r="PQP144" s="72"/>
      <c r="PQQ144" s="72"/>
      <c r="PQR144" s="72"/>
      <c r="PQS144" s="72"/>
      <c r="PQT144" s="72"/>
      <c r="PQU144" s="72"/>
      <c r="PQV144" s="72"/>
      <c r="PQW144" s="72"/>
      <c r="PQX144" s="72"/>
      <c r="PQY144" s="72"/>
      <c r="PQZ144" s="72"/>
      <c r="PRA144" s="72"/>
      <c r="PRB144" s="72"/>
      <c r="PRC144" s="72"/>
      <c r="PRD144" s="72"/>
      <c r="PRE144" s="72"/>
      <c r="PRF144" s="72"/>
      <c r="PRG144" s="72"/>
      <c r="PRH144" s="72"/>
      <c r="PRI144" s="72"/>
      <c r="PRJ144" s="72"/>
      <c r="PRK144" s="72"/>
      <c r="PRL144" s="72"/>
      <c r="PRM144" s="72"/>
      <c r="PRN144" s="72"/>
      <c r="PRO144" s="72"/>
      <c r="PRP144" s="72"/>
      <c r="PRQ144" s="72"/>
      <c r="PRR144" s="72"/>
      <c r="PRS144" s="72"/>
      <c r="PRT144" s="72"/>
      <c r="PRU144" s="72"/>
      <c r="PRV144" s="72"/>
      <c r="PRW144" s="72"/>
      <c r="PRX144" s="72"/>
      <c r="PRY144" s="72"/>
      <c r="PRZ144" s="72"/>
      <c r="PSA144" s="72"/>
      <c r="PSB144" s="72"/>
      <c r="PSC144" s="72"/>
      <c r="PSD144" s="72"/>
      <c r="PSE144" s="72"/>
      <c r="PSF144" s="72"/>
      <c r="PSG144" s="72"/>
      <c r="PSH144" s="72"/>
      <c r="PSI144" s="72"/>
      <c r="PSJ144" s="72"/>
      <c r="PSK144" s="72"/>
      <c r="PSL144" s="72"/>
      <c r="PSM144" s="72"/>
      <c r="PSN144" s="72"/>
      <c r="PSO144" s="72"/>
      <c r="PSP144" s="72"/>
      <c r="PSQ144" s="72"/>
      <c r="PSR144" s="72"/>
      <c r="PSS144" s="72"/>
      <c r="PST144" s="72"/>
      <c r="PSU144" s="72"/>
      <c r="PSV144" s="72"/>
      <c r="PSW144" s="72"/>
      <c r="PSX144" s="72"/>
      <c r="PSY144" s="72"/>
      <c r="PSZ144" s="72"/>
      <c r="PTA144" s="72"/>
      <c r="PTB144" s="72"/>
      <c r="PTC144" s="72"/>
      <c r="PTD144" s="72"/>
      <c r="PTE144" s="72"/>
      <c r="PTF144" s="72"/>
      <c r="PTG144" s="72"/>
      <c r="PTH144" s="72"/>
      <c r="PTI144" s="72"/>
      <c r="PTJ144" s="72"/>
      <c r="PTK144" s="72"/>
      <c r="PTL144" s="72"/>
      <c r="PTM144" s="72"/>
      <c r="PTN144" s="72"/>
      <c r="PTO144" s="72"/>
      <c r="PTP144" s="72"/>
      <c r="PTQ144" s="72"/>
      <c r="PTR144" s="72"/>
      <c r="PTS144" s="72"/>
      <c r="PTT144" s="72"/>
      <c r="PTU144" s="72"/>
      <c r="PTV144" s="72"/>
      <c r="PTW144" s="72"/>
      <c r="PTX144" s="72"/>
      <c r="PTY144" s="72"/>
      <c r="PTZ144" s="72"/>
      <c r="PUA144" s="72"/>
      <c r="PUB144" s="72"/>
      <c r="PUC144" s="72"/>
      <c r="PUD144" s="72"/>
      <c r="PUE144" s="72"/>
      <c r="PUF144" s="72"/>
      <c r="PUG144" s="72"/>
      <c r="PUH144" s="72"/>
      <c r="PUI144" s="72"/>
      <c r="PUJ144" s="72"/>
      <c r="PUK144" s="72"/>
      <c r="PUL144" s="72"/>
      <c r="PUM144" s="72"/>
      <c r="PUN144" s="72"/>
      <c r="PUO144" s="72"/>
      <c r="PUP144" s="72"/>
      <c r="PUQ144" s="72"/>
      <c r="PUR144" s="72"/>
      <c r="PUS144" s="72"/>
      <c r="PUT144" s="72"/>
      <c r="PUU144" s="72"/>
      <c r="PUV144" s="72"/>
      <c r="PUW144" s="72"/>
      <c r="PUX144" s="72"/>
      <c r="PUY144" s="72"/>
      <c r="PUZ144" s="72"/>
      <c r="PVA144" s="72"/>
      <c r="PVB144" s="72"/>
      <c r="PVC144" s="72"/>
      <c r="PVD144" s="72"/>
      <c r="PVE144" s="72"/>
      <c r="PVF144" s="72"/>
      <c r="PVG144" s="72"/>
      <c r="PVH144" s="72"/>
      <c r="PVI144" s="72"/>
      <c r="PVJ144" s="72"/>
      <c r="PVK144" s="72"/>
      <c r="PVL144" s="72"/>
      <c r="PVM144" s="72"/>
      <c r="PVN144" s="72"/>
      <c r="PVO144" s="72"/>
      <c r="PVP144" s="72"/>
      <c r="PVQ144" s="72"/>
      <c r="PVR144" s="72"/>
      <c r="PVS144" s="72"/>
      <c r="PVT144" s="72"/>
      <c r="PVU144" s="72"/>
      <c r="PVV144" s="72"/>
      <c r="PVW144" s="72"/>
      <c r="PVX144" s="72"/>
      <c r="PVY144" s="72"/>
      <c r="PVZ144" s="72"/>
      <c r="PWA144" s="72"/>
      <c r="PWB144" s="72"/>
      <c r="PWC144" s="72"/>
      <c r="PWD144" s="72"/>
      <c r="PWE144" s="72"/>
      <c r="PWF144" s="72"/>
      <c r="PWG144" s="72"/>
      <c r="PWH144" s="72"/>
      <c r="PWI144" s="72"/>
      <c r="PWJ144" s="72"/>
      <c r="PWK144" s="72"/>
      <c r="PWL144" s="72"/>
      <c r="PWM144" s="72"/>
      <c r="PWN144" s="72"/>
      <c r="PWO144" s="72"/>
      <c r="PWP144" s="72"/>
      <c r="PWQ144" s="72"/>
      <c r="PWR144" s="72"/>
      <c r="PWS144" s="72"/>
      <c r="PWT144" s="72"/>
      <c r="PWU144" s="72"/>
      <c r="PWV144" s="72"/>
      <c r="PWW144" s="72"/>
      <c r="PWX144" s="72"/>
      <c r="PWY144" s="72"/>
      <c r="PWZ144" s="72"/>
      <c r="PXA144" s="72"/>
      <c r="PXB144" s="72"/>
      <c r="PXC144" s="72"/>
      <c r="PXD144" s="72"/>
      <c r="PXE144" s="72"/>
      <c r="PXF144" s="72"/>
      <c r="PXG144" s="72"/>
      <c r="PXH144" s="72"/>
      <c r="PXI144" s="72"/>
      <c r="PXJ144" s="72"/>
      <c r="PXK144" s="72"/>
      <c r="PXL144" s="72"/>
      <c r="PXM144" s="72"/>
      <c r="PXN144" s="72"/>
      <c r="PXO144" s="72"/>
      <c r="PXP144" s="72"/>
      <c r="PXQ144" s="72"/>
      <c r="PXR144" s="72"/>
      <c r="PXS144" s="72"/>
      <c r="PXT144" s="72"/>
      <c r="PXU144" s="72"/>
      <c r="PXV144" s="72"/>
      <c r="PXW144" s="72"/>
      <c r="PXX144" s="72"/>
      <c r="PXY144" s="72"/>
      <c r="PXZ144" s="72"/>
      <c r="PYA144" s="72"/>
      <c r="PYB144" s="72"/>
      <c r="PYC144" s="72"/>
      <c r="PYD144" s="72"/>
      <c r="PYE144" s="72"/>
      <c r="PYF144" s="72"/>
      <c r="PYG144" s="72"/>
      <c r="PYH144" s="72"/>
      <c r="PYI144" s="72"/>
      <c r="PYJ144" s="72"/>
      <c r="PYK144" s="72"/>
      <c r="PYL144" s="72"/>
      <c r="PYM144" s="72"/>
      <c r="PYN144" s="72"/>
      <c r="PYO144" s="72"/>
      <c r="PYP144" s="72"/>
      <c r="PYQ144" s="72"/>
      <c r="PYR144" s="72"/>
      <c r="PYS144" s="72"/>
      <c r="PYT144" s="72"/>
      <c r="PYU144" s="72"/>
      <c r="PYV144" s="72"/>
      <c r="PYW144" s="72"/>
      <c r="PYX144" s="72"/>
      <c r="PYY144" s="72"/>
      <c r="PYZ144" s="72"/>
      <c r="PZA144" s="72"/>
      <c r="PZB144" s="72"/>
      <c r="PZC144" s="72"/>
      <c r="PZD144" s="72"/>
      <c r="PZE144" s="72"/>
      <c r="PZF144" s="72"/>
      <c r="PZG144" s="72"/>
      <c r="PZH144" s="72"/>
      <c r="PZI144" s="72"/>
      <c r="PZJ144" s="72"/>
      <c r="PZK144" s="72"/>
      <c r="PZL144" s="72"/>
      <c r="PZM144" s="72"/>
      <c r="PZN144" s="72"/>
      <c r="PZO144" s="72"/>
      <c r="PZP144" s="72"/>
      <c r="PZQ144" s="72"/>
      <c r="PZR144" s="72"/>
      <c r="PZS144" s="72"/>
      <c r="PZT144" s="72"/>
      <c r="PZU144" s="72"/>
      <c r="PZV144" s="72"/>
      <c r="PZW144" s="72"/>
      <c r="PZX144" s="72"/>
      <c r="PZY144" s="72"/>
      <c r="PZZ144" s="72"/>
      <c r="QAA144" s="72"/>
      <c r="QAB144" s="72"/>
      <c r="QAC144" s="72"/>
      <c r="QAD144" s="72"/>
      <c r="QAE144" s="72"/>
      <c r="QAF144" s="72"/>
      <c r="QAG144" s="72"/>
      <c r="QAH144" s="72"/>
      <c r="QAI144" s="72"/>
      <c r="QAJ144" s="72"/>
      <c r="QAK144" s="72"/>
      <c r="QAL144" s="72"/>
      <c r="QAM144" s="72"/>
      <c r="QAN144" s="72"/>
      <c r="QAO144" s="72"/>
      <c r="QAP144" s="72"/>
      <c r="QAQ144" s="72"/>
      <c r="QAR144" s="72"/>
      <c r="QAS144" s="72"/>
      <c r="QAT144" s="72"/>
      <c r="QAU144" s="72"/>
      <c r="QAV144" s="72"/>
      <c r="QAW144" s="72"/>
      <c r="QAX144" s="72"/>
      <c r="QAY144" s="72"/>
      <c r="QAZ144" s="72"/>
      <c r="QBA144" s="72"/>
      <c r="QBB144" s="72"/>
      <c r="QBC144" s="72"/>
      <c r="QBD144" s="72"/>
      <c r="QBE144" s="72"/>
      <c r="QBF144" s="72"/>
      <c r="QBG144" s="72"/>
      <c r="QBH144" s="72"/>
      <c r="QBI144" s="72"/>
      <c r="QBJ144" s="72"/>
      <c r="QBK144" s="72"/>
      <c r="QBL144" s="72"/>
      <c r="QBM144" s="72"/>
      <c r="QBN144" s="72"/>
      <c r="QBO144" s="72"/>
      <c r="QBP144" s="72"/>
      <c r="QBQ144" s="72"/>
      <c r="QBR144" s="72"/>
      <c r="QBS144" s="72"/>
      <c r="QBT144" s="72"/>
      <c r="QBU144" s="72"/>
      <c r="QBV144" s="72"/>
      <c r="QBW144" s="72"/>
      <c r="QBX144" s="72"/>
      <c r="QBY144" s="72"/>
      <c r="QBZ144" s="72"/>
      <c r="QCA144" s="72"/>
      <c r="QCB144" s="72"/>
      <c r="QCC144" s="72"/>
      <c r="QCD144" s="72"/>
      <c r="QCE144" s="72"/>
      <c r="QCF144" s="72"/>
      <c r="QCG144" s="72"/>
      <c r="QCH144" s="72"/>
      <c r="QCI144" s="72"/>
      <c r="QCJ144" s="72"/>
      <c r="QCK144" s="72"/>
      <c r="QCL144" s="72"/>
      <c r="QCM144" s="72"/>
      <c r="QCN144" s="72"/>
      <c r="QCO144" s="72"/>
      <c r="QCP144" s="72"/>
      <c r="QCQ144" s="72"/>
      <c r="QCR144" s="72"/>
      <c r="QCS144" s="72"/>
      <c r="QCT144" s="72"/>
      <c r="QCU144" s="72"/>
      <c r="QCV144" s="72"/>
      <c r="QCW144" s="72"/>
      <c r="QCX144" s="72"/>
      <c r="QCY144" s="72"/>
      <c r="QCZ144" s="72"/>
      <c r="QDA144" s="72"/>
      <c r="QDB144" s="72"/>
      <c r="QDC144" s="72"/>
      <c r="QDD144" s="72"/>
      <c r="QDE144" s="72"/>
      <c r="QDF144" s="72"/>
      <c r="QDG144" s="72"/>
      <c r="QDH144" s="72"/>
      <c r="QDI144" s="72"/>
      <c r="QDJ144" s="72"/>
      <c r="QDK144" s="72"/>
      <c r="QDL144" s="72"/>
      <c r="QDM144" s="72"/>
      <c r="QDN144" s="72"/>
      <c r="QDO144" s="72"/>
      <c r="QDP144" s="72"/>
      <c r="QDQ144" s="72"/>
      <c r="QDR144" s="72"/>
      <c r="QDS144" s="72"/>
      <c r="QDT144" s="72"/>
      <c r="QDU144" s="72"/>
      <c r="QDV144" s="72"/>
      <c r="QDW144" s="72"/>
      <c r="QDX144" s="72"/>
      <c r="QDY144" s="72"/>
      <c r="QDZ144" s="72"/>
      <c r="QEA144" s="72"/>
      <c r="QEB144" s="72"/>
      <c r="QEC144" s="72"/>
      <c r="QED144" s="72"/>
      <c r="QEE144" s="72"/>
      <c r="QEF144" s="72"/>
      <c r="QEG144" s="72"/>
      <c r="QEH144" s="72"/>
      <c r="QEI144" s="72"/>
      <c r="QEJ144" s="72"/>
      <c r="QEK144" s="72"/>
      <c r="QEL144" s="72"/>
      <c r="QEM144" s="72"/>
      <c r="QEN144" s="72"/>
      <c r="QEO144" s="72"/>
      <c r="QEP144" s="72"/>
      <c r="QEQ144" s="72"/>
      <c r="QER144" s="72"/>
      <c r="QES144" s="72"/>
      <c r="QET144" s="72"/>
      <c r="QEU144" s="72"/>
      <c r="QEV144" s="72"/>
      <c r="QEW144" s="72"/>
      <c r="QEX144" s="72"/>
      <c r="QEY144" s="72"/>
      <c r="QEZ144" s="72"/>
      <c r="QFA144" s="72"/>
      <c r="QFB144" s="72"/>
      <c r="QFC144" s="72"/>
      <c r="QFD144" s="72"/>
      <c r="QFE144" s="72"/>
      <c r="QFF144" s="72"/>
      <c r="QFG144" s="72"/>
      <c r="QFH144" s="72"/>
      <c r="QFI144" s="72"/>
      <c r="QFJ144" s="72"/>
      <c r="QFK144" s="72"/>
      <c r="QFL144" s="72"/>
      <c r="QFM144" s="72"/>
      <c r="QFN144" s="72"/>
      <c r="QFO144" s="72"/>
      <c r="QFP144" s="72"/>
      <c r="QFQ144" s="72"/>
      <c r="QFR144" s="72"/>
      <c r="QFS144" s="72"/>
      <c r="QFT144" s="72"/>
      <c r="QFU144" s="72"/>
      <c r="QFV144" s="72"/>
      <c r="QFW144" s="72"/>
      <c r="QFX144" s="72"/>
      <c r="QFY144" s="72"/>
      <c r="QFZ144" s="72"/>
      <c r="QGA144" s="72"/>
      <c r="QGB144" s="72"/>
      <c r="QGC144" s="72"/>
      <c r="QGD144" s="72"/>
      <c r="QGE144" s="72"/>
      <c r="QGF144" s="72"/>
      <c r="QGG144" s="72"/>
      <c r="QGH144" s="72"/>
      <c r="QGI144" s="72"/>
      <c r="QGJ144" s="72"/>
      <c r="QGK144" s="72"/>
      <c r="QGL144" s="72"/>
      <c r="QGM144" s="72"/>
      <c r="QGN144" s="72"/>
      <c r="QGO144" s="72"/>
      <c r="QGP144" s="72"/>
      <c r="QGQ144" s="72"/>
      <c r="QGR144" s="72"/>
      <c r="QGS144" s="72"/>
      <c r="QGT144" s="72"/>
      <c r="QGU144" s="72"/>
      <c r="QGV144" s="72"/>
      <c r="QGW144" s="72"/>
      <c r="QGX144" s="72"/>
      <c r="QGY144" s="72"/>
      <c r="QGZ144" s="72"/>
      <c r="QHA144" s="72"/>
      <c r="QHB144" s="72"/>
      <c r="QHC144" s="72"/>
      <c r="QHD144" s="72"/>
      <c r="QHE144" s="72"/>
      <c r="QHF144" s="72"/>
      <c r="QHG144" s="72"/>
      <c r="QHH144" s="72"/>
      <c r="QHI144" s="72"/>
      <c r="QHJ144" s="72"/>
      <c r="QHK144" s="72"/>
      <c r="QHL144" s="72"/>
      <c r="QHM144" s="72"/>
      <c r="QHN144" s="72"/>
      <c r="QHO144" s="72"/>
      <c r="QHP144" s="72"/>
      <c r="QHQ144" s="72"/>
      <c r="QHR144" s="72"/>
      <c r="QHS144" s="72"/>
      <c r="QHT144" s="72"/>
      <c r="QHU144" s="72"/>
      <c r="QHV144" s="72"/>
      <c r="QHW144" s="72"/>
      <c r="QHX144" s="72"/>
      <c r="QHY144" s="72"/>
      <c r="QHZ144" s="72"/>
      <c r="QIA144" s="72"/>
      <c r="QIB144" s="72"/>
      <c r="QIC144" s="72"/>
      <c r="QID144" s="72"/>
      <c r="QIE144" s="72"/>
      <c r="QIF144" s="72"/>
      <c r="QIG144" s="72"/>
      <c r="QIH144" s="72"/>
      <c r="QII144" s="72"/>
      <c r="QIJ144" s="72"/>
      <c r="QIK144" s="72"/>
      <c r="QIL144" s="72"/>
      <c r="QIM144" s="72"/>
      <c r="QIN144" s="72"/>
      <c r="QIO144" s="72"/>
      <c r="QIP144" s="72"/>
      <c r="QIQ144" s="72"/>
      <c r="QIR144" s="72"/>
      <c r="QIS144" s="72"/>
      <c r="QIT144" s="72"/>
      <c r="QIU144" s="72"/>
      <c r="QIV144" s="72"/>
      <c r="QIW144" s="72"/>
      <c r="QIX144" s="72"/>
      <c r="QIY144" s="72"/>
      <c r="QIZ144" s="72"/>
      <c r="QJA144" s="72"/>
      <c r="QJB144" s="72"/>
      <c r="QJC144" s="72"/>
      <c r="QJD144" s="72"/>
      <c r="QJE144" s="72"/>
      <c r="QJF144" s="72"/>
      <c r="QJG144" s="72"/>
      <c r="QJH144" s="72"/>
      <c r="QJI144" s="72"/>
      <c r="QJJ144" s="72"/>
      <c r="QJK144" s="72"/>
      <c r="QJL144" s="72"/>
      <c r="QJM144" s="72"/>
      <c r="QJN144" s="72"/>
      <c r="QJO144" s="72"/>
      <c r="QJP144" s="72"/>
      <c r="QJQ144" s="72"/>
      <c r="QJR144" s="72"/>
      <c r="QJS144" s="72"/>
      <c r="QJT144" s="72"/>
      <c r="QJU144" s="72"/>
      <c r="QJV144" s="72"/>
      <c r="QJW144" s="72"/>
      <c r="QJX144" s="72"/>
      <c r="QJY144" s="72"/>
      <c r="QJZ144" s="72"/>
      <c r="QKA144" s="72"/>
      <c r="QKB144" s="72"/>
      <c r="QKC144" s="72"/>
      <c r="QKD144" s="72"/>
      <c r="QKE144" s="72"/>
      <c r="QKF144" s="72"/>
      <c r="QKG144" s="72"/>
      <c r="QKH144" s="72"/>
      <c r="QKI144" s="72"/>
      <c r="QKJ144" s="72"/>
      <c r="QKK144" s="72"/>
      <c r="QKL144" s="72"/>
      <c r="QKM144" s="72"/>
      <c r="QKN144" s="72"/>
      <c r="QKO144" s="72"/>
      <c r="QKP144" s="72"/>
      <c r="QKQ144" s="72"/>
      <c r="QKR144" s="72"/>
      <c r="QKS144" s="72"/>
      <c r="QKT144" s="72"/>
      <c r="QKU144" s="72"/>
      <c r="QKV144" s="72"/>
      <c r="QKW144" s="72"/>
      <c r="QKX144" s="72"/>
      <c r="QKY144" s="72"/>
      <c r="QKZ144" s="72"/>
      <c r="QLA144" s="72"/>
      <c r="QLB144" s="72"/>
      <c r="QLC144" s="72"/>
      <c r="QLD144" s="72"/>
      <c r="QLE144" s="72"/>
      <c r="QLF144" s="72"/>
      <c r="QLG144" s="72"/>
      <c r="QLH144" s="72"/>
      <c r="QLI144" s="72"/>
      <c r="QLJ144" s="72"/>
      <c r="QLK144" s="72"/>
      <c r="QLL144" s="72"/>
      <c r="QLM144" s="72"/>
      <c r="QLN144" s="72"/>
      <c r="QLO144" s="72"/>
      <c r="QLP144" s="72"/>
      <c r="QLQ144" s="72"/>
      <c r="QLR144" s="72"/>
      <c r="QLS144" s="72"/>
      <c r="QLT144" s="72"/>
      <c r="QLU144" s="72"/>
      <c r="QLV144" s="72"/>
      <c r="QLW144" s="72"/>
      <c r="QLX144" s="72"/>
      <c r="QLY144" s="72"/>
      <c r="QLZ144" s="72"/>
      <c r="QMA144" s="72"/>
      <c r="QMB144" s="72"/>
      <c r="QMC144" s="72"/>
      <c r="QMD144" s="72"/>
      <c r="QME144" s="72"/>
      <c r="QMF144" s="72"/>
      <c r="QMG144" s="72"/>
      <c r="QMH144" s="72"/>
      <c r="QMI144" s="72"/>
      <c r="QMJ144" s="72"/>
      <c r="QMK144" s="72"/>
      <c r="QML144" s="72"/>
      <c r="QMM144" s="72"/>
      <c r="QMN144" s="72"/>
      <c r="QMO144" s="72"/>
      <c r="QMP144" s="72"/>
      <c r="QMQ144" s="72"/>
      <c r="QMR144" s="72"/>
      <c r="QMS144" s="72"/>
      <c r="QMT144" s="72"/>
      <c r="QMU144" s="72"/>
      <c r="QMV144" s="72"/>
      <c r="QMW144" s="72"/>
      <c r="QMX144" s="72"/>
      <c r="QMY144" s="72"/>
      <c r="QMZ144" s="72"/>
      <c r="QNA144" s="72"/>
      <c r="QNB144" s="72"/>
      <c r="QNC144" s="72"/>
      <c r="QND144" s="72"/>
      <c r="QNE144" s="72"/>
      <c r="QNF144" s="72"/>
      <c r="QNG144" s="72"/>
      <c r="QNH144" s="72"/>
      <c r="QNI144" s="72"/>
      <c r="QNJ144" s="72"/>
      <c r="QNK144" s="72"/>
      <c r="QNL144" s="72"/>
      <c r="QNM144" s="72"/>
      <c r="QNN144" s="72"/>
      <c r="QNO144" s="72"/>
      <c r="QNP144" s="72"/>
      <c r="QNQ144" s="72"/>
      <c r="QNR144" s="72"/>
      <c r="QNS144" s="72"/>
      <c r="QNT144" s="72"/>
      <c r="QNU144" s="72"/>
      <c r="QNV144" s="72"/>
      <c r="QNW144" s="72"/>
      <c r="QNX144" s="72"/>
      <c r="QNY144" s="72"/>
      <c r="QNZ144" s="72"/>
      <c r="QOA144" s="72"/>
      <c r="QOB144" s="72"/>
      <c r="QOC144" s="72"/>
      <c r="QOD144" s="72"/>
      <c r="QOE144" s="72"/>
      <c r="QOF144" s="72"/>
      <c r="QOG144" s="72"/>
      <c r="QOH144" s="72"/>
      <c r="QOI144" s="72"/>
      <c r="QOJ144" s="72"/>
      <c r="QOK144" s="72"/>
      <c r="QOL144" s="72"/>
      <c r="QOM144" s="72"/>
      <c r="QON144" s="72"/>
      <c r="QOO144" s="72"/>
      <c r="QOP144" s="72"/>
      <c r="QOQ144" s="72"/>
      <c r="QOR144" s="72"/>
      <c r="QOS144" s="72"/>
      <c r="QOT144" s="72"/>
      <c r="QOU144" s="72"/>
      <c r="QOV144" s="72"/>
      <c r="QOW144" s="72"/>
      <c r="QOX144" s="72"/>
      <c r="QOY144" s="72"/>
      <c r="QOZ144" s="72"/>
      <c r="QPA144" s="72"/>
      <c r="QPB144" s="72"/>
      <c r="QPC144" s="72"/>
      <c r="QPD144" s="72"/>
      <c r="QPE144" s="72"/>
      <c r="QPF144" s="72"/>
      <c r="QPG144" s="72"/>
      <c r="QPH144" s="72"/>
      <c r="QPI144" s="72"/>
      <c r="QPJ144" s="72"/>
      <c r="QPK144" s="72"/>
      <c r="QPL144" s="72"/>
      <c r="QPM144" s="72"/>
      <c r="QPN144" s="72"/>
      <c r="QPO144" s="72"/>
      <c r="QPP144" s="72"/>
      <c r="QPQ144" s="72"/>
      <c r="QPR144" s="72"/>
      <c r="QPS144" s="72"/>
      <c r="QPT144" s="72"/>
      <c r="QPU144" s="72"/>
      <c r="QPV144" s="72"/>
      <c r="QPW144" s="72"/>
      <c r="QPX144" s="72"/>
      <c r="QPY144" s="72"/>
      <c r="QPZ144" s="72"/>
      <c r="QQA144" s="72"/>
      <c r="QQB144" s="72"/>
      <c r="QQC144" s="72"/>
      <c r="QQD144" s="72"/>
      <c r="QQE144" s="72"/>
      <c r="QQF144" s="72"/>
      <c r="QQG144" s="72"/>
      <c r="QQH144" s="72"/>
      <c r="QQI144" s="72"/>
      <c r="QQJ144" s="72"/>
      <c r="QQK144" s="72"/>
      <c r="QQL144" s="72"/>
      <c r="QQM144" s="72"/>
      <c r="QQN144" s="72"/>
      <c r="QQO144" s="72"/>
      <c r="QQP144" s="72"/>
      <c r="QQQ144" s="72"/>
      <c r="QQR144" s="72"/>
      <c r="QQS144" s="72"/>
      <c r="QQT144" s="72"/>
      <c r="QQU144" s="72"/>
      <c r="QQV144" s="72"/>
      <c r="QQW144" s="72"/>
      <c r="QQX144" s="72"/>
      <c r="QQY144" s="72"/>
      <c r="QQZ144" s="72"/>
      <c r="QRA144" s="72"/>
      <c r="QRB144" s="72"/>
      <c r="QRC144" s="72"/>
      <c r="QRD144" s="72"/>
      <c r="QRE144" s="72"/>
      <c r="QRF144" s="72"/>
      <c r="QRG144" s="72"/>
      <c r="QRH144" s="72"/>
      <c r="QRI144" s="72"/>
      <c r="QRJ144" s="72"/>
      <c r="QRK144" s="72"/>
      <c r="QRL144" s="72"/>
      <c r="QRM144" s="72"/>
      <c r="QRN144" s="72"/>
      <c r="QRO144" s="72"/>
      <c r="QRP144" s="72"/>
      <c r="QRQ144" s="72"/>
      <c r="QRR144" s="72"/>
      <c r="QRS144" s="72"/>
      <c r="QRT144" s="72"/>
      <c r="QRU144" s="72"/>
      <c r="QRV144" s="72"/>
      <c r="QRW144" s="72"/>
      <c r="QRX144" s="72"/>
      <c r="QRY144" s="72"/>
      <c r="QRZ144" s="72"/>
      <c r="QSA144" s="72"/>
      <c r="QSB144" s="72"/>
      <c r="QSC144" s="72"/>
      <c r="QSD144" s="72"/>
      <c r="QSE144" s="72"/>
      <c r="QSF144" s="72"/>
      <c r="QSG144" s="72"/>
      <c r="QSH144" s="72"/>
      <c r="QSI144" s="72"/>
      <c r="QSJ144" s="72"/>
      <c r="QSK144" s="72"/>
      <c r="QSL144" s="72"/>
      <c r="QSM144" s="72"/>
      <c r="QSN144" s="72"/>
      <c r="QSO144" s="72"/>
      <c r="QSP144" s="72"/>
      <c r="QSQ144" s="72"/>
      <c r="QSR144" s="72"/>
      <c r="QSS144" s="72"/>
      <c r="QST144" s="72"/>
      <c r="QSU144" s="72"/>
      <c r="QSV144" s="72"/>
      <c r="QSW144" s="72"/>
      <c r="QSX144" s="72"/>
      <c r="QSY144" s="72"/>
      <c r="QSZ144" s="72"/>
      <c r="QTA144" s="72"/>
      <c r="QTB144" s="72"/>
      <c r="QTC144" s="72"/>
      <c r="QTD144" s="72"/>
      <c r="QTE144" s="72"/>
      <c r="QTF144" s="72"/>
      <c r="QTG144" s="72"/>
      <c r="QTH144" s="72"/>
      <c r="QTI144" s="72"/>
      <c r="QTJ144" s="72"/>
      <c r="QTK144" s="72"/>
      <c r="QTL144" s="72"/>
      <c r="QTM144" s="72"/>
      <c r="QTN144" s="72"/>
      <c r="QTO144" s="72"/>
      <c r="QTP144" s="72"/>
      <c r="QTQ144" s="72"/>
      <c r="QTR144" s="72"/>
      <c r="QTS144" s="72"/>
      <c r="QTT144" s="72"/>
      <c r="QTU144" s="72"/>
      <c r="QTV144" s="72"/>
      <c r="QTW144" s="72"/>
      <c r="QTX144" s="72"/>
      <c r="QTY144" s="72"/>
      <c r="QTZ144" s="72"/>
      <c r="QUA144" s="72"/>
      <c r="QUB144" s="72"/>
      <c r="QUC144" s="72"/>
      <c r="QUD144" s="72"/>
      <c r="QUE144" s="72"/>
      <c r="QUF144" s="72"/>
      <c r="QUG144" s="72"/>
      <c r="QUH144" s="72"/>
      <c r="QUI144" s="72"/>
      <c r="QUJ144" s="72"/>
      <c r="QUK144" s="72"/>
      <c r="QUL144" s="72"/>
      <c r="QUM144" s="72"/>
      <c r="QUN144" s="72"/>
      <c r="QUO144" s="72"/>
      <c r="QUP144" s="72"/>
      <c r="QUQ144" s="72"/>
      <c r="QUR144" s="72"/>
      <c r="QUS144" s="72"/>
      <c r="QUT144" s="72"/>
      <c r="QUU144" s="72"/>
      <c r="QUV144" s="72"/>
      <c r="QUW144" s="72"/>
      <c r="QUX144" s="72"/>
      <c r="QUY144" s="72"/>
      <c r="QUZ144" s="72"/>
      <c r="QVA144" s="72"/>
      <c r="QVB144" s="72"/>
      <c r="QVC144" s="72"/>
      <c r="QVD144" s="72"/>
      <c r="QVE144" s="72"/>
      <c r="QVF144" s="72"/>
      <c r="QVG144" s="72"/>
      <c r="QVH144" s="72"/>
      <c r="QVI144" s="72"/>
      <c r="QVJ144" s="72"/>
      <c r="QVK144" s="72"/>
      <c r="QVL144" s="72"/>
      <c r="QVM144" s="72"/>
      <c r="QVN144" s="72"/>
      <c r="QVO144" s="72"/>
      <c r="QVP144" s="72"/>
      <c r="QVQ144" s="72"/>
      <c r="QVR144" s="72"/>
      <c r="QVS144" s="72"/>
      <c r="QVT144" s="72"/>
      <c r="QVU144" s="72"/>
      <c r="QVV144" s="72"/>
      <c r="QVW144" s="72"/>
      <c r="QVX144" s="72"/>
      <c r="QVY144" s="72"/>
      <c r="QVZ144" s="72"/>
      <c r="QWA144" s="72"/>
      <c r="QWB144" s="72"/>
      <c r="QWC144" s="72"/>
      <c r="QWD144" s="72"/>
      <c r="QWE144" s="72"/>
      <c r="QWF144" s="72"/>
      <c r="QWG144" s="72"/>
      <c r="QWH144" s="72"/>
      <c r="QWI144" s="72"/>
      <c r="QWJ144" s="72"/>
      <c r="QWK144" s="72"/>
      <c r="QWL144" s="72"/>
      <c r="QWM144" s="72"/>
      <c r="QWN144" s="72"/>
      <c r="QWO144" s="72"/>
      <c r="QWP144" s="72"/>
      <c r="QWQ144" s="72"/>
      <c r="QWR144" s="72"/>
      <c r="QWS144" s="72"/>
      <c r="QWT144" s="72"/>
      <c r="QWU144" s="72"/>
      <c r="QWV144" s="72"/>
      <c r="QWW144" s="72"/>
      <c r="QWX144" s="72"/>
      <c r="QWY144" s="72"/>
      <c r="QWZ144" s="72"/>
      <c r="QXA144" s="72"/>
      <c r="QXB144" s="72"/>
      <c r="QXC144" s="72"/>
      <c r="QXD144" s="72"/>
      <c r="QXE144" s="72"/>
      <c r="QXF144" s="72"/>
      <c r="QXG144" s="72"/>
      <c r="QXH144" s="72"/>
      <c r="QXI144" s="72"/>
      <c r="QXJ144" s="72"/>
      <c r="QXK144" s="72"/>
      <c r="QXL144" s="72"/>
      <c r="QXM144" s="72"/>
      <c r="QXN144" s="72"/>
      <c r="QXO144" s="72"/>
      <c r="QXP144" s="72"/>
      <c r="QXQ144" s="72"/>
      <c r="QXR144" s="72"/>
      <c r="QXS144" s="72"/>
      <c r="QXT144" s="72"/>
      <c r="QXU144" s="72"/>
      <c r="QXV144" s="72"/>
      <c r="QXW144" s="72"/>
      <c r="QXX144" s="72"/>
      <c r="QXY144" s="72"/>
      <c r="QXZ144" s="72"/>
      <c r="QYA144" s="72"/>
      <c r="QYB144" s="72"/>
      <c r="QYC144" s="72"/>
      <c r="QYD144" s="72"/>
      <c r="QYE144" s="72"/>
      <c r="QYF144" s="72"/>
      <c r="QYG144" s="72"/>
      <c r="QYH144" s="72"/>
      <c r="QYI144" s="72"/>
      <c r="QYJ144" s="72"/>
      <c r="QYK144" s="72"/>
      <c r="QYL144" s="72"/>
      <c r="QYM144" s="72"/>
      <c r="QYN144" s="72"/>
      <c r="QYO144" s="72"/>
      <c r="QYP144" s="72"/>
      <c r="QYQ144" s="72"/>
      <c r="QYR144" s="72"/>
      <c r="QYS144" s="72"/>
      <c r="QYT144" s="72"/>
      <c r="QYU144" s="72"/>
      <c r="QYV144" s="72"/>
      <c r="QYW144" s="72"/>
      <c r="QYX144" s="72"/>
      <c r="QYY144" s="72"/>
      <c r="QYZ144" s="72"/>
      <c r="QZA144" s="72"/>
      <c r="QZB144" s="72"/>
      <c r="QZC144" s="72"/>
      <c r="QZD144" s="72"/>
      <c r="QZE144" s="72"/>
      <c r="QZF144" s="72"/>
      <c r="QZG144" s="72"/>
      <c r="QZH144" s="72"/>
      <c r="QZI144" s="72"/>
      <c r="QZJ144" s="72"/>
      <c r="QZK144" s="72"/>
      <c r="QZL144" s="72"/>
      <c r="QZM144" s="72"/>
      <c r="QZN144" s="72"/>
      <c r="QZO144" s="72"/>
      <c r="QZP144" s="72"/>
      <c r="QZQ144" s="72"/>
      <c r="QZR144" s="72"/>
      <c r="QZS144" s="72"/>
      <c r="QZT144" s="72"/>
      <c r="QZU144" s="72"/>
      <c r="QZV144" s="72"/>
      <c r="QZW144" s="72"/>
      <c r="QZX144" s="72"/>
      <c r="QZY144" s="72"/>
      <c r="QZZ144" s="72"/>
      <c r="RAA144" s="72"/>
      <c r="RAB144" s="72"/>
      <c r="RAC144" s="72"/>
      <c r="RAD144" s="72"/>
      <c r="RAE144" s="72"/>
      <c r="RAF144" s="72"/>
      <c r="RAG144" s="72"/>
      <c r="RAH144" s="72"/>
      <c r="RAI144" s="72"/>
      <c r="RAJ144" s="72"/>
      <c r="RAK144" s="72"/>
      <c r="RAL144" s="72"/>
      <c r="RAM144" s="72"/>
      <c r="RAN144" s="72"/>
      <c r="RAO144" s="72"/>
      <c r="RAP144" s="72"/>
      <c r="RAQ144" s="72"/>
      <c r="RAR144" s="72"/>
      <c r="RAS144" s="72"/>
      <c r="RAT144" s="72"/>
      <c r="RAU144" s="72"/>
      <c r="RAV144" s="72"/>
      <c r="RAW144" s="72"/>
      <c r="RAX144" s="72"/>
      <c r="RAY144" s="72"/>
      <c r="RAZ144" s="72"/>
      <c r="RBA144" s="72"/>
      <c r="RBB144" s="72"/>
      <c r="RBC144" s="72"/>
      <c r="RBD144" s="72"/>
      <c r="RBE144" s="72"/>
      <c r="RBF144" s="72"/>
      <c r="RBG144" s="72"/>
      <c r="RBH144" s="72"/>
      <c r="RBI144" s="72"/>
      <c r="RBJ144" s="72"/>
      <c r="RBK144" s="72"/>
      <c r="RBL144" s="72"/>
      <c r="RBM144" s="72"/>
      <c r="RBN144" s="72"/>
      <c r="RBO144" s="72"/>
      <c r="RBP144" s="72"/>
      <c r="RBQ144" s="72"/>
      <c r="RBR144" s="72"/>
      <c r="RBS144" s="72"/>
      <c r="RBT144" s="72"/>
      <c r="RBU144" s="72"/>
      <c r="RBV144" s="72"/>
      <c r="RBW144" s="72"/>
      <c r="RBX144" s="72"/>
      <c r="RBY144" s="72"/>
      <c r="RBZ144" s="72"/>
      <c r="RCA144" s="72"/>
      <c r="RCB144" s="72"/>
      <c r="RCC144" s="72"/>
      <c r="RCD144" s="72"/>
      <c r="RCE144" s="72"/>
      <c r="RCF144" s="72"/>
      <c r="RCG144" s="72"/>
      <c r="RCH144" s="72"/>
      <c r="RCI144" s="72"/>
      <c r="RCJ144" s="72"/>
      <c r="RCK144" s="72"/>
      <c r="RCL144" s="72"/>
      <c r="RCM144" s="72"/>
      <c r="RCN144" s="72"/>
      <c r="RCO144" s="72"/>
      <c r="RCP144" s="72"/>
      <c r="RCQ144" s="72"/>
      <c r="RCR144" s="72"/>
      <c r="RCS144" s="72"/>
      <c r="RCT144" s="72"/>
      <c r="RCU144" s="72"/>
      <c r="RCV144" s="72"/>
      <c r="RCW144" s="72"/>
      <c r="RCX144" s="72"/>
      <c r="RCY144" s="72"/>
      <c r="RCZ144" s="72"/>
      <c r="RDA144" s="72"/>
      <c r="RDB144" s="72"/>
      <c r="RDC144" s="72"/>
      <c r="RDD144" s="72"/>
      <c r="RDE144" s="72"/>
      <c r="RDF144" s="72"/>
      <c r="RDG144" s="72"/>
      <c r="RDH144" s="72"/>
      <c r="RDI144" s="72"/>
      <c r="RDJ144" s="72"/>
      <c r="RDK144" s="72"/>
      <c r="RDL144" s="72"/>
      <c r="RDM144" s="72"/>
      <c r="RDN144" s="72"/>
      <c r="RDO144" s="72"/>
      <c r="RDP144" s="72"/>
      <c r="RDQ144" s="72"/>
      <c r="RDR144" s="72"/>
      <c r="RDS144" s="72"/>
      <c r="RDT144" s="72"/>
      <c r="RDU144" s="72"/>
      <c r="RDV144" s="72"/>
      <c r="RDW144" s="72"/>
      <c r="RDX144" s="72"/>
      <c r="RDY144" s="72"/>
      <c r="RDZ144" s="72"/>
      <c r="REA144" s="72"/>
      <c r="REB144" s="72"/>
      <c r="REC144" s="72"/>
      <c r="RED144" s="72"/>
      <c r="REE144" s="72"/>
      <c r="REF144" s="72"/>
      <c r="REG144" s="72"/>
      <c r="REH144" s="72"/>
      <c r="REI144" s="72"/>
      <c r="REJ144" s="72"/>
      <c r="REK144" s="72"/>
      <c r="REL144" s="72"/>
      <c r="REM144" s="72"/>
      <c r="REN144" s="72"/>
      <c r="REO144" s="72"/>
      <c r="REP144" s="72"/>
      <c r="REQ144" s="72"/>
      <c r="RER144" s="72"/>
      <c r="RES144" s="72"/>
      <c r="RET144" s="72"/>
      <c r="REU144" s="72"/>
      <c r="REV144" s="72"/>
      <c r="REW144" s="72"/>
      <c r="REX144" s="72"/>
      <c r="REY144" s="72"/>
      <c r="REZ144" s="72"/>
      <c r="RFA144" s="72"/>
      <c r="RFB144" s="72"/>
      <c r="RFC144" s="72"/>
      <c r="RFD144" s="72"/>
      <c r="RFE144" s="72"/>
      <c r="RFF144" s="72"/>
      <c r="RFG144" s="72"/>
      <c r="RFH144" s="72"/>
      <c r="RFI144" s="72"/>
      <c r="RFJ144" s="72"/>
      <c r="RFK144" s="72"/>
      <c r="RFL144" s="72"/>
      <c r="RFM144" s="72"/>
      <c r="RFN144" s="72"/>
      <c r="RFO144" s="72"/>
      <c r="RFP144" s="72"/>
      <c r="RFQ144" s="72"/>
      <c r="RFR144" s="72"/>
      <c r="RFS144" s="72"/>
      <c r="RFT144" s="72"/>
      <c r="RFU144" s="72"/>
      <c r="RFV144" s="72"/>
      <c r="RFW144" s="72"/>
      <c r="RFX144" s="72"/>
      <c r="RFY144" s="72"/>
      <c r="RFZ144" s="72"/>
      <c r="RGA144" s="72"/>
      <c r="RGB144" s="72"/>
      <c r="RGC144" s="72"/>
      <c r="RGD144" s="72"/>
      <c r="RGE144" s="72"/>
      <c r="RGF144" s="72"/>
      <c r="RGG144" s="72"/>
      <c r="RGH144" s="72"/>
      <c r="RGI144" s="72"/>
      <c r="RGJ144" s="72"/>
      <c r="RGK144" s="72"/>
      <c r="RGL144" s="72"/>
      <c r="RGM144" s="72"/>
      <c r="RGN144" s="72"/>
      <c r="RGO144" s="72"/>
      <c r="RGP144" s="72"/>
      <c r="RGQ144" s="72"/>
      <c r="RGR144" s="72"/>
      <c r="RGS144" s="72"/>
      <c r="RGT144" s="72"/>
      <c r="RGU144" s="72"/>
      <c r="RGV144" s="72"/>
      <c r="RGW144" s="72"/>
      <c r="RGX144" s="72"/>
      <c r="RGY144" s="72"/>
      <c r="RGZ144" s="72"/>
      <c r="RHA144" s="72"/>
      <c r="RHB144" s="72"/>
      <c r="RHC144" s="72"/>
      <c r="RHD144" s="72"/>
      <c r="RHE144" s="72"/>
      <c r="RHF144" s="72"/>
      <c r="RHG144" s="72"/>
      <c r="RHH144" s="72"/>
      <c r="RHI144" s="72"/>
      <c r="RHJ144" s="72"/>
      <c r="RHK144" s="72"/>
      <c r="RHL144" s="72"/>
      <c r="RHM144" s="72"/>
      <c r="RHN144" s="72"/>
      <c r="RHO144" s="72"/>
      <c r="RHP144" s="72"/>
      <c r="RHQ144" s="72"/>
      <c r="RHR144" s="72"/>
      <c r="RHS144" s="72"/>
      <c r="RHT144" s="72"/>
      <c r="RHU144" s="72"/>
      <c r="RHV144" s="72"/>
      <c r="RHW144" s="72"/>
      <c r="RHX144" s="72"/>
      <c r="RHY144" s="72"/>
      <c r="RHZ144" s="72"/>
      <c r="RIA144" s="72"/>
      <c r="RIB144" s="72"/>
      <c r="RIC144" s="72"/>
      <c r="RID144" s="72"/>
      <c r="RIE144" s="72"/>
      <c r="RIF144" s="72"/>
      <c r="RIG144" s="72"/>
      <c r="RIH144" s="72"/>
      <c r="RII144" s="72"/>
      <c r="RIJ144" s="72"/>
      <c r="RIK144" s="72"/>
      <c r="RIL144" s="72"/>
      <c r="RIM144" s="72"/>
      <c r="RIN144" s="72"/>
      <c r="RIO144" s="72"/>
      <c r="RIP144" s="72"/>
      <c r="RIQ144" s="72"/>
      <c r="RIR144" s="72"/>
      <c r="RIS144" s="72"/>
      <c r="RIT144" s="72"/>
      <c r="RIU144" s="72"/>
      <c r="RIV144" s="72"/>
      <c r="RIW144" s="72"/>
      <c r="RIX144" s="72"/>
      <c r="RIY144" s="72"/>
      <c r="RIZ144" s="72"/>
      <c r="RJA144" s="72"/>
      <c r="RJB144" s="72"/>
      <c r="RJC144" s="72"/>
      <c r="RJD144" s="72"/>
      <c r="RJE144" s="72"/>
      <c r="RJF144" s="72"/>
      <c r="RJG144" s="72"/>
      <c r="RJH144" s="72"/>
      <c r="RJI144" s="72"/>
      <c r="RJJ144" s="72"/>
      <c r="RJK144" s="72"/>
      <c r="RJL144" s="72"/>
      <c r="RJM144" s="72"/>
      <c r="RJN144" s="72"/>
      <c r="RJO144" s="72"/>
      <c r="RJP144" s="72"/>
      <c r="RJQ144" s="72"/>
      <c r="RJR144" s="72"/>
      <c r="RJS144" s="72"/>
      <c r="RJT144" s="72"/>
      <c r="RJU144" s="72"/>
      <c r="RJV144" s="72"/>
      <c r="RJW144" s="72"/>
      <c r="RJX144" s="72"/>
      <c r="RJY144" s="72"/>
      <c r="RJZ144" s="72"/>
      <c r="RKA144" s="72"/>
      <c r="RKB144" s="72"/>
      <c r="RKC144" s="72"/>
      <c r="RKD144" s="72"/>
      <c r="RKE144" s="72"/>
      <c r="RKF144" s="72"/>
      <c r="RKG144" s="72"/>
      <c r="RKH144" s="72"/>
      <c r="RKI144" s="72"/>
      <c r="RKJ144" s="72"/>
      <c r="RKK144" s="72"/>
      <c r="RKL144" s="72"/>
      <c r="RKM144" s="72"/>
      <c r="RKN144" s="72"/>
      <c r="RKO144" s="72"/>
      <c r="RKP144" s="72"/>
      <c r="RKQ144" s="72"/>
      <c r="RKR144" s="72"/>
      <c r="RKS144" s="72"/>
      <c r="RKT144" s="72"/>
      <c r="RKU144" s="72"/>
      <c r="RKV144" s="72"/>
      <c r="RKW144" s="72"/>
      <c r="RKX144" s="72"/>
      <c r="RKY144" s="72"/>
      <c r="RKZ144" s="72"/>
      <c r="RLA144" s="72"/>
      <c r="RLB144" s="72"/>
      <c r="RLC144" s="72"/>
      <c r="RLD144" s="72"/>
      <c r="RLE144" s="72"/>
      <c r="RLF144" s="72"/>
      <c r="RLG144" s="72"/>
      <c r="RLH144" s="72"/>
      <c r="RLI144" s="72"/>
      <c r="RLJ144" s="72"/>
      <c r="RLK144" s="72"/>
      <c r="RLL144" s="72"/>
      <c r="RLM144" s="72"/>
      <c r="RLN144" s="72"/>
      <c r="RLO144" s="72"/>
      <c r="RLP144" s="72"/>
      <c r="RLQ144" s="72"/>
      <c r="RLR144" s="72"/>
      <c r="RLS144" s="72"/>
      <c r="RLT144" s="72"/>
      <c r="RLU144" s="72"/>
      <c r="RLV144" s="72"/>
      <c r="RLW144" s="72"/>
      <c r="RLX144" s="72"/>
      <c r="RLY144" s="72"/>
      <c r="RLZ144" s="72"/>
      <c r="RMA144" s="72"/>
      <c r="RMB144" s="72"/>
      <c r="RMC144" s="72"/>
      <c r="RMD144" s="72"/>
      <c r="RME144" s="72"/>
      <c r="RMF144" s="72"/>
      <c r="RMG144" s="72"/>
      <c r="RMH144" s="72"/>
      <c r="RMI144" s="72"/>
      <c r="RMJ144" s="72"/>
      <c r="RMK144" s="72"/>
      <c r="RML144" s="72"/>
      <c r="RMM144" s="72"/>
      <c r="RMN144" s="72"/>
      <c r="RMO144" s="72"/>
      <c r="RMP144" s="72"/>
      <c r="RMQ144" s="72"/>
      <c r="RMR144" s="72"/>
      <c r="RMS144" s="72"/>
      <c r="RMT144" s="72"/>
      <c r="RMU144" s="72"/>
      <c r="RMV144" s="72"/>
      <c r="RMW144" s="72"/>
      <c r="RMX144" s="72"/>
      <c r="RMY144" s="72"/>
      <c r="RMZ144" s="72"/>
      <c r="RNA144" s="72"/>
      <c r="RNB144" s="72"/>
      <c r="RNC144" s="72"/>
      <c r="RND144" s="72"/>
      <c r="RNE144" s="72"/>
      <c r="RNF144" s="72"/>
      <c r="RNG144" s="72"/>
      <c r="RNH144" s="72"/>
      <c r="RNI144" s="72"/>
      <c r="RNJ144" s="72"/>
      <c r="RNK144" s="72"/>
      <c r="RNL144" s="72"/>
      <c r="RNM144" s="72"/>
      <c r="RNN144" s="72"/>
      <c r="RNO144" s="72"/>
      <c r="RNP144" s="72"/>
      <c r="RNQ144" s="72"/>
      <c r="RNR144" s="72"/>
      <c r="RNS144" s="72"/>
      <c r="RNT144" s="72"/>
      <c r="RNU144" s="72"/>
      <c r="RNV144" s="72"/>
      <c r="RNW144" s="72"/>
      <c r="RNX144" s="72"/>
      <c r="RNY144" s="72"/>
      <c r="RNZ144" s="72"/>
      <c r="ROA144" s="72"/>
      <c r="ROB144" s="72"/>
      <c r="ROC144" s="72"/>
      <c r="ROD144" s="72"/>
      <c r="ROE144" s="72"/>
      <c r="ROF144" s="72"/>
      <c r="ROG144" s="72"/>
      <c r="ROH144" s="72"/>
      <c r="ROI144" s="72"/>
      <c r="ROJ144" s="72"/>
      <c r="ROK144" s="72"/>
      <c r="ROL144" s="72"/>
      <c r="ROM144" s="72"/>
      <c r="RON144" s="72"/>
      <c r="ROO144" s="72"/>
      <c r="ROP144" s="72"/>
      <c r="ROQ144" s="72"/>
      <c r="ROR144" s="72"/>
      <c r="ROS144" s="72"/>
      <c r="ROT144" s="72"/>
      <c r="ROU144" s="72"/>
      <c r="ROV144" s="72"/>
      <c r="ROW144" s="72"/>
      <c r="ROX144" s="72"/>
      <c r="ROY144" s="72"/>
      <c r="ROZ144" s="72"/>
      <c r="RPA144" s="72"/>
      <c r="RPB144" s="72"/>
      <c r="RPC144" s="72"/>
      <c r="RPD144" s="72"/>
      <c r="RPE144" s="72"/>
      <c r="RPF144" s="72"/>
      <c r="RPG144" s="72"/>
      <c r="RPH144" s="72"/>
      <c r="RPI144" s="72"/>
      <c r="RPJ144" s="72"/>
      <c r="RPK144" s="72"/>
      <c r="RPL144" s="72"/>
      <c r="RPM144" s="72"/>
      <c r="RPN144" s="72"/>
      <c r="RPO144" s="72"/>
      <c r="RPP144" s="72"/>
      <c r="RPQ144" s="72"/>
      <c r="RPR144" s="72"/>
      <c r="RPS144" s="72"/>
      <c r="RPT144" s="72"/>
      <c r="RPU144" s="72"/>
      <c r="RPV144" s="72"/>
      <c r="RPW144" s="72"/>
      <c r="RPX144" s="72"/>
      <c r="RPY144" s="72"/>
      <c r="RPZ144" s="72"/>
      <c r="RQA144" s="72"/>
      <c r="RQB144" s="72"/>
      <c r="RQC144" s="72"/>
      <c r="RQD144" s="72"/>
      <c r="RQE144" s="72"/>
      <c r="RQF144" s="72"/>
      <c r="RQG144" s="72"/>
      <c r="RQH144" s="72"/>
      <c r="RQI144" s="72"/>
      <c r="RQJ144" s="72"/>
      <c r="RQK144" s="72"/>
      <c r="RQL144" s="72"/>
      <c r="RQM144" s="72"/>
      <c r="RQN144" s="72"/>
      <c r="RQO144" s="72"/>
      <c r="RQP144" s="72"/>
      <c r="RQQ144" s="72"/>
      <c r="RQR144" s="72"/>
      <c r="RQS144" s="72"/>
      <c r="RQT144" s="72"/>
      <c r="RQU144" s="72"/>
      <c r="RQV144" s="72"/>
      <c r="RQW144" s="72"/>
      <c r="RQX144" s="72"/>
      <c r="RQY144" s="72"/>
      <c r="RQZ144" s="72"/>
      <c r="RRA144" s="72"/>
      <c r="RRB144" s="72"/>
      <c r="RRC144" s="72"/>
      <c r="RRD144" s="72"/>
      <c r="RRE144" s="72"/>
      <c r="RRF144" s="72"/>
      <c r="RRG144" s="72"/>
      <c r="RRH144" s="72"/>
      <c r="RRI144" s="72"/>
      <c r="RRJ144" s="72"/>
      <c r="RRK144" s="72"/>
      <c r="RRL144" s="72"/>
      <c r="RRM144" s="72"/>
      <c r="RRN144" s="72"/>
      <c r="RRO144" s="72"/>
      <c r="RRP144" s="72"/>
      <c r="RRQ144" s="72"/>
      <c r="RRR144" s="72"/>
      <c r="RRS144" s="72"/>
      <c r="RRT144" s="72"/>
      <c r="RRU144" s="72"/>
      <c r="RRV144" s="72"/>
      <c r="RRW144" s="72"/>
      <c r="RRX144" s="72"/>
      <c r="RRY144" s="72"/>
      <c r="RRZ144" s="72"/>
      <c r="RSA144" s="72"/>
      <c r="RSB144" s="72"/>
      <c r="RSC144" s="72"/>
      <c r="RSD144" s="72"/>
      <c r="RSE144" s="72"/>
      <c r="RSF144" s="72"/>
      <c r="RSG144" s="72"/>
      <c r="RSH144" s="72"/>
      <c r="RSI144" s="72"/>
      <c r="RSJ144" s="72"/>
      <c r="RSK144" s="72"/>
      <c r="RSL144" s="72"/>
      <c r="RSM144" s="72"/>
      <c r="RSN144" s="72"/>
      <c r="RSO144" s="72"/>
      <c r="RSP144" s="72"/>
      <c r="RSQ144" s="72"/>
      <c r="RSR144" s="72"/>
      <c r="RSS144" s="72"/>
      <c r="RST144" s="72"/>
      <c r="RSU144" s="72"/>
      <c r="RSV144" s="72"/>
      <c r="RSW144" s="72"/>
      <c r="RSX144" s="72"/>
      <c r="RSY144" s="72"/>
      <c r="RSZ144" s="72"/>
      <c r="RTA144" s="72"/>
      <c r="RTB144" s="72"/>
      <c r="RTC144" s="72"/>
      <c r="RTD144" s="72"/>
      <c r="RTE144" s="72"/>
      <c r="RTF144" s="72"/>
      <c r="RTG144" s="72"/>
      <c r="RTH144" s="72"/>
      <c r="RTI144" s="72"/>
      <c r="RTJ144" s="72"/>
      <c r="RTK144" s="72"/>
      <c r="RTL144" s="72"/>
      <c r="RTM144" s="72"/>
      <c r="RTN144" s="72"/>
      <c r="RTO144" s="72"/>
      <c r="RTP144" s="72"/>
      <c r="RTQ144" s="72"/>
      <c r="RTR144" s="72"/>
      <c r="RTS144" s="72"/>
      <c r="RTT144" s="72"/>
      <c r="RTU144" s="72"/>
      <c r="RTV144" s="72"/>
      <c r="RTW144" s="72"/>
      <c r="RTX144" s="72"/>
      <c r="RTY144" s="72"/>
      <c r="RTZ144" s="72"/>
      <c r="RUA144" s="72"/>
      <c r="RUB144" s="72"/>
      <c r="RUC144" s="72"/>
      <c r="RUD144" s="72"/>
      <c r="RUE144" s="72"/>
      <c r="RUF144" s="72"/>
      <c r="RUG144" s="72"/>
      <c r="RUH144" s="72"/>
      <c r="RUI144" s="72"/>
      <c r="RUJ144" s="72"/>
      <c r="RUK144" s="72"/>
      <c r="RUL144" s="72"/>
      <c r="RUM144" s="72"/>
      <c r="RUN144" s="72"/>
      <c r="RUO144" s="72"/>
      <c r="RUP144" s="72"/>
      <c r="RUQ144" s="72"/>
      <c r="RUR144" s="72"/>
      <c r="RUS144" s="72"/>
      <c r="RUT144" s="72"/>
      <c r="RUU144" s="72"/>
      <c r="RUV144" s="72"/>
      <c r="RUW144" s="72"/>
      <c r="RUX144" s="72"/>
      <c r="RUY144" s="72"/>
      <c r="RUZ144" s="72"/>
      <c r="RVA144" s="72"/>
      <c r="RVB144" s="72"/>
      <c r="RVC144" s="72"/>
      <c r="RVD144" s="72"/>
      <c r="RVE144" s="72"/>
      <c r="RVF144" s="72"/>
      <c r="RVG144" s="72"/>
      <c r="RVH144" s="72"/>
      <c r="RVI144" s="72"/>
      <c r="RVJ144" s="72"/>
      <c r="RVK144" s="72"/>
      <c r="RVL144" s="72"/>
      <c r="RVM144" s="72"/>
      <c r="RVN144" s="72"/>
      <c r="RVO144" s="72"/>
      <c r="RVP144" s="72"/>
      <c r="RVQ144" s="72"/>
      <c r="RVR144" s="72"/>
      <c r="RVS144" s="72"/>
      <c r="RVT144" s="72"/>
      <c r="RVU144" s="72"/>
      <c r="RVV144" s="72"/>
      <c r="RVW144" s="72"/>
      <c r="RVX144" s="72"/>
      <c r="RVY144" s="72"/>
      <c r="RVZ144" s="72"/>
      <c r="RWA144" s="72"/>
      <c r="RWB144" s="72"/>
      <c r="RWC144" s="72"/>
      <c r="RWD144" s="72"/>
      <c r="RWE144" s="72"/>
      <c r="RWF144" s="72"/>
      <c r="RWG144" s="72"/>
      <c r="RWH144" s="72"/>
      <c r="RWI144" s="72"/>
      <c r="RWJ144" s="72"/>
      <c r="RWK144" s="72"/>
      <c r="RWL144" s="72"/>
      <c r="RWM144" s="72"/>
      <c r="RWN144" s="72"/>
      <c r="RWO144" s="72"/>
      <c r="RWP144" s="72"/>
      <c r="RWQ144" s="72"/>
      <c r="RWR144" s="72"/>
      <c r="RWS144" s="72"/>
      <c r="RWT144" s="72"/>
      <c r="RWU144" s="72"/>
      <c r="RWV144" s="72"/>
      <c r="RWW144" s="72"/>
      <c r="RWX144" s="72"/>
      <c r="RWY144" s="72"/>
      <c r="RWZ144" s="72"/>
      <c r="RXA144" s="72"/>
      <c r="RXB144" s="72"/>
      <c r="RXC144" s="72"/>
      <c r="RXD144" s="72"/>
      <c r="RXE144" s="72"/>
      <c r="RXF144" s="72"/>
      <c r="RXG144" s="72"/>
      <c r="RXH144" s="72"/>
      <c r="RXI144" s="72"/>
      <c r="RXJ144" s="72"/>
      <c r="RXK144" s="72"/>
      <c r="RXL144" s="72"/>
      <c r="RXM144" s="72"/>
      <c r="RXN144" s="72"/>
      <c r="RXO144" s="72"/>
      <c r="RXP144" s="72"/>
      <c r="RXQ144" s="72"/>
      <c r="RXR144" s="72"/>
      <c r="RXS144" s="72"/>
      <c r="RXT144" s="72"/>
      <c r="RXU144" s="72"/>
      <c r="RXV144" s="72"/>
      <c r="RXW144" s="72"/>
      <c r="RXX144" s="72"/>
      <c r="RXY144" s="72"/>
      <c r="RXZ144" s="72"/>
      <c r="RYA144" s="72"/>
      <c r="RYB144" s="72"/>
      <c r="RYC144" s="72"/>
      <c r="RYD144" s="72"/>
      <c r="RYE144" s="72"/>
      <c r="RYF144" s="72"/>
      <c r="RYG144" s="72"/>
      <c r="RYH144" s="72"/>
      <c r="RYI144" s="72"/>
      <c r="RYJ144" s="72"/>
      <c r="RYK144" s="72"/>
      <c r="RYL144" s="72"/>
      <c r="RYM144" s="72"/>
      <c r="RYN144" s="72"/>
      <c r="RYO144" s="72"/>
      <c r="RYP144" s="72"/>
      <c r="RYQ144" s="72"/>
      <c r="RYR144" s="72"/>
      <c r="RYS144" s="72"/>
      <c r="RYT144" s="72"/>
      <c r="RYU144" s="72"/>
      <c r="RYV144" s="72"/>
      <c r="RYW144" s="72"/>
      <c r="RYX144" s="72"/>
      <c r="RYY144" s="72"/>
      <c r="RYZ144" s="72"/>
      <c r="RZA144" s="72"/>
      <c r="RZB144" s="72"/>
      <c r="RZC144" s="72"/>
      <c r="RZD144" s="72"/>
      <c r="RZE144" s="72"/>
      <c r="RZF144" s="72"/>
      <c r="RZG144" s="72"/>
      <c r="RZH144" s="72"/>
      <c r="RZI144" s="72"/>
      <c r="RZJ144" s="72"/>
      <c r="RZK144" s="72"/>
      <c r="RZL144" s="72"/>
      <c r="RZM144" s="72"/>
      <c r="RZN144" s="72"/>
      <c r="RZO144" s="72"/>
      <c r="RZP144" s="72"/>
      <c r="RZQ144" s="72"/>
      <c r="RZR144" s="72"/>
      <c r="RZS144" s="72"/>
      <c r="RZT144" s="72"/>
      <c r="RZU144" s="72"/>
      <c r="RZV144" s="72"/>
      <c r="RZW144" s="72"/>
      <c r="RZX144" s="72"/>
      <c r="RZY144" s="72"/>
      <c r="RZZ144" s="72"/>
      <c r="SAA144" s="72"/>
      <c r="SAB144" s="72"/>
      <c r="SAC144" s="72"/>
      <c r="SAD144" s="72"/>
      <c r="SAE144" s="72"/>
      <c r="SAF144" s="72"/>
      <c r="SAG144" s="72"/>
      <c r="SAH144" s="72"/>
      <c r="SAI144" s="72"/>
      <c r="SAJ144" s="72"/>
      <c r="SAK144" s="72"/>
      <c r="SAL144" s="72"/>
      <c r="SAM144" s="72"/>
      <c r="SAN144" s="72"/>
      <c r="SAO144" s="72"/>
      <c r="SAP144" s="72"/>
      <c r="SAQ144" s="72"/>
      <c r="SAR144" s="72"/>
      <c r="SAS144" s="72"/>
      <c r="SAT144" s="72"/>
      <c r="SAU144" s="72"/>
      <c r="SAV144" s="72"/>
      <c r="SAW144" s="72"/>
      <c r="SAX144" s="72"/>
      <c r="SAY144" s="72"/>
      <c r="SAZ144" s="72"/>
      <c r="SBA144" s="72"/>
      <c r="SBB144" s="72"/>
      <c r="SBC144" s="72"/>
      <c r="SBD144" s="72"/>
      <c r="SBE144" s="72"/>
      <c r="SBF144" s="72"/>
      <c r="SBG144" s="72"/>
      <c r="SBH144" s="72"/>
      <c r="SBI144" s="72"/>
      <c r="SBJ144" s="72"/>
      <c r="SBK144" s="72"/>
      <c r="SBL144" s="72"/>
      <c r="SBM144" s="72"/>
      <c r="SBN144" s="72"/>
      <c r="SBO144" s="72"/>
      <c r="SBP144" s="72"/>
      <c r="SBQ144" s="72"/>
      <c r="SBR144" s="72"/>
      <c r="SBS144" s="72"/>
      <c r="SBT144" s="72"/>
      <c r="SBU144" s="72"/>
      <c r="SBV144" s="72"/>
      <c r="SBW144" s="72"/>
      <c r="SBX144" s="72"/>
      <c r="SBY144" s="72"/>
      <c r="SBZ144" s="72"/>
      <c r="SCA144" s="72"/>
      <c r="SCB144" s="72"/>
      <c r="SCC144" s="72"/>
      <c r="SCD144" s="72"/>
      <c r="SCE144" s="72"/>
      <c r="SCF144" s="72"/>
      <c r="SCG144" s="72"/>
      <c r="SCH144" s="72"/>
      <c r="SCI144" s="72"/>
      <c r="SCJ144" s="72"/>
      <c r="SCK144" s="72"/>
      <c r="SCL144" s="72"/>
      <c r="SCM144" s="72"/>
      <c r="SCN144" s="72"/>
      <c r="SCO144" s="72"/>
      <c r="SCP144" s="72"/>
      <c r="SCQ144" s="72"/>
      <c r="SCR144" s="72"/>
      <c r="SCS144" s="72"/>
      <c r="SCT144" s="72"/>
      <c r="SCU144" s="72"/>
      <c r="SCV144" s="72"/>
      <c r="SCW144" s="72"/>
      <c r="SCX144" s="72"/>
      <c r="SCY144" s="72"/>
      <c r="SCZ144" s="72"/>
      <c r="SDA144" s="72"/>
      <c r="SDB144" s="72"/>
      <c r="SDC144" s="72"/>
      <c r="SDD144" s="72"/>
      <c r="SDE144" s="72"/>
      <c r="SDF144" s="72"/>
      <c r="SDG144" s="72"/>
      <c r="SDH144" s="72"/>
      <c r="SDI144" s="72"/>
      <c r="SDJ144" s="72"/>
      <c r="SDK144" s="72"/>
      <c r="SDL144" s="72"/>
      <c r="SDM144" s="72"/>
      <c r="SDN144" s="72"/>
      <c r="SDO144" s="72"/>
      <c r="SDP144" s="72"/>
      <c r="SDQ144" s="72"/>
      <c r="SDR144" s="72"/>
      <c r="SDS144" s="72"/>
      <c r="SDT144" s="72"/>
      <c r="SDU144" s="72"/>
      <c r="SDV144" s="72"/>
      <c r="SDW144" s="72"/>
      <c r="SDX144" s="72"/>
      <c r="SDY144" s="72"/>
      <c r="SDZ144" s="72"/>
      <c r="SEA144" s="72"/>
      <c r="SEB144" s="72"/>
      <c r="SEC144" s="72"/>
      <c r="SED144" s="72"/>
      <c r="SEE144" s="72"/>
      <c r="SEF144" s="72"/>
      <c r="SEG144" s="72"/>
      <c r="SEH144" s="72"/>
      <c r="SEI144" s="72"/>
      <c r="SEJ144" s="72"/>
      <c r="SEK144" s="72"/>
      <c r="SEL144" s="72"/>
      <c r="SEM144" s="72"/>
      <c r="SEN144" s="72"/>
      <c r="SEO144" s="72"/>
      <c r="SEP144" s="72"/>
      <c r="SEQ144" s="72"/>
      <c r="SER144" s="72"/>
      <c r="SES144" s="72"/>
      <c r="SET144" s="72"/>
      <c r="SEU144" s="72"/>
      <c r="SEV144" s="72"/>
      <c r="SEW144" s="72"/>
      <c r="SEX144" s="72"/>
      <c r="SEY144" s="72"/>
      <c r="SEZ144" s="72"/>
      <c r="SFA144" s="72"/>
      <c r="SFB144" s="72"/>
      <c r="SFC144" s="72"/>
      <c r="SFD144" s="72"/>
      <c r="SFE144" s="72"/>
      <c r="SFF144" s="72"/>
      <c r="SFG144" s="72"/>
      <c r="SFH144" s="72"/>
      <c r="SFI144" s="72"/>
      <c r="SFJ144" s="72"/>
      <c r="SFK144" s="72"/>
      <c r="SFL144" s="72"/>
      <c r="SFM144" s="72"/>
      <c r="SFN144" s="72"/>
      <c r="SFO144" s="72"/>
      <c r="SFP144" s="72"/>
      <c r="SFQ144" s="72"/>
      <c r="SFR144" s="72"/>
      <c r="SFS144" s="72"/>
      <c r="SFT144" s="72"/>
      <c r="SFU144" s="72"/>
      <c r="SFV144" s="72"/>
      <c r="SFW144" s="72"/>
      <c r="SFX144" s="72"/>
      <c r="SFY144" s="72"/>
      <c r="SFZ144" s="72"/>
      <c r="SGA144" s="72"/>
      <c r="SGB144" s="72"/>
      <c r="SGC144" s="72"/>
      <c r="SGD144" s="72"/>
      <c r="SGE144" s="72"/>
      <c r="SGF144" s="72"/>
      <c r="SGG144" s="72"/>
      <c r="SGH144" s="72"/>
      <c r="SGI144" s="72"/>
      <c r="SGJ144" s="72"/>
      <c r="SGK144" s="72"/>
      <c r="SGL144" s="72"/>
      <c r="SGM144" s="72"/>
      <c r="SGN144" s="72"/>
      <c r="SGO144" s="72"/>
      <c r="SGP144" s="72"/>
      <c r="SGQ144" s="72"/>
      <c r="SGR144" s="72"/>
      <c r="SGS144" s="72"/>
      <c r="SGT144" s="72"/>
      <c r="SGU144" s="72"/>
      <c r="SGV144" s="72"/>
      <c r="SGW144" s="72"/>
      <c r="SGX144" s="72"/>
      <c r="SGY144" s="72"/>
      <c r="SGZ144" s="72"/>
      <c r="SHA144" s="72"/>
      <c r="SHB144" s="72"/>
      <c r="SHC144" s="72"/>
      <c r="SHD144" s="72"/>
      <c r="SHE144" s="72"/>
      <c r="SHF144" s="72"/>
      <c r="SHG144" s="72"/>
      <c r="SHH144" s="72"/>
      <c r="SHI144" s="72"/>
      <c r="SHJ144" s="72"/>
      <c r="SHK144" s="72"/>
      <c r="SHL144" s="72"/>
      <c r="SHM144" s="72"/>
      <c r="SHN144" s="72"/>
      <c r="SHO144" s="72"/>
      <c r="SHP144" s="72"/>
      <c r="SHQ144" s="72"/>
      <c r="SHR144" s="72"/>
      <c r="SHS144" s="72"/>
      <c r="SHT144" s="72"/>
      <c r="SHU144" s="72"/>
      <c r="SHV144" s="72"/>
      <c r="SHW144" s="72"/>
      <c r="SHX144" s="72"/>
      <c r="SHY144" s="72"/>
      <c r="SHZ144" s="72"/>
      <c r="SIA144" s="72"/>
      <c r="SIB144" s="72"/>
      <c r="SIC144" s="72"/>
      <c r="SID144" s="72"/>
      <c r="SIE144" s="72"/>
      <c r="SIF144" s="72"/>
      <c r="SIG144" s="72"/>
      <c r="SIH144" s="72"/>
      <c r="SII144" s="72"/>
      <c r="SIJ144" s="72"/>
      <c r="SIK144" s="72"/>
      <c r="SIL144" s="72"/>
      <c r="SIM144" s="72"/>
      <c r="SIN144" s="72"/>
      <c r="SIO144" s="72"/>
      <c r="SIP144" s="72"/>
      <c r="SIQ144" s="72"/>
      <c r="SIR144" s="72"/>
      <c r="SIS144" s="72"/>
      <c r="SIT144" s="72"/>
      <c r="SIU144" s="72"/>
      <c r="SIV144" s="72"/>
      <c r="SIW144" s="72"/>
      <c r="SIX144" s="72"/>
      <c r="SIY144" s="72"/>
      <c r="SIZ144" s="72"/>
      <c r="SJA144" s="72"/>
      <c r="SJB144" s="72"/>
      <c r="SJC144" s="72"/>
      <c r="SJD144" s="72"/>
      <c r="SJE144" s="72"/>
      <c r="SJF144" s="72"/>
      <c r="SJG144" s="72"/>
      <c r="SJH144" s="72"/>
      <c r="SJI144" s="72"/>
      <c r="SJJ144" s="72"/>
      <c r="SJK144" s="72"/>
      <c r="SJL144" s="72"/>
      <c r="SJM144" s="72"/>
      <c r="SJN144" s="72"/>
      <c r="SJO144" s="72"/>
      <c r="SJP144" s="72"/>
      <c r="SJQ144" s="72"/>
      <c r="SJR144" s="72"/>
      <c r="SJS144" s="72"/>
      <c r="SJT144" s="72"/>
      <c r="SJU144" s="72"/>
      <c r="SJV144" s="72"/>
      <c r="SJW144" s="72"/>
      <c r="SJX144" s="72"/>
      <c r="SJY144" s="72"/>
      <c r="SJZ144" s="72"/>
      <c r="SKA144" s="72"/>
      <c r="SKB144" s="72"/>
      <c r="SKC144" s="72"/>
      <c r="SKD144" s="72"/>
      <c r="SKE144" s="72"/>
      <c r="SKF144" s="72"/>
      <c r="SKG144" s="72"/>
      <c r="SKH144" s="72"/>
      <c r="SKI144" s="72"/>
      <c r="SKJ144" s="72"/>
      <c r="SKK144" s="72"/>
      <c r="SKL144" s="72"/>
      <c r="SKM144" s="72"/>
      <c r="SKN144" s="72"/>
      <c r="SKO144" s="72"/>
      <c r="SKP144" s="72"/>
      <c r="SKQ144" s="72"/>
      <c r="SKR144" s="72"/>
      <c r="SKS144" s="72"/>
      <c r="SKT144" s="72"/>
      <c r="SKU144" s="72"/>
      <c r="SKV144" s="72"/>
      <c r="SKW144" s="72"/>
      <c r="SKX144" s="72"/>
      <c r="SKY144" s="72"/>
      <c r="SKZ144" s="72"/>
      <c r="SLA144" s="72"/>
      <c r="SLB144" s="72"/>
      <c r="SLC144" s="72"/>
      <c r="SLD144" s="72"/>
      <c r="SLE144" s="72"/>
      <c r="SLF144" s="72"/>
      <c r="SLG144" s="72"/>
      <c r="SLH144" s="72"/>
      <c r="SLI144" s="72"/>
      <c r="SLJ144" s="72"/>
      <c r="SLK144" s="72"/>
      <c r="SLL144" s="72"/>
      <c r="SLM144" s="72"/>
      <c r="SLN144" s="72"/>
      <c r="SLO144" s="72"/>
      <c r="SLP144" s="72"/>
      <c r="SLQ144" s="72"/>
      <c r="SLR144" s="72"/>
      <c r="SLS144" s="72"/>
      <c r="SLT144" s="72"/>
      <c r="SLU144" s="72"/>
      <c r="SLV144" s="72"/>
      <c r="SLW144" s="72"/>
      <c r="SLX144" s="72"/>
      <c r="SLY144" s="72"/>
      <c r="SLZ144" s="72"/>
      <c r="SMA144" s="72"/>
      <c r="SMB144" s="72"/>
      <c r="SMC144" s="72"/>
      <c r="SMD144" s="72"/>
      <c r="SME144" s="72"/>
      <c r="SMF144" s="72"/>
      <c r="SMG144" s="72"/>
      <c r="SMH144" s="72"/>
      <c r="SMI144" s="72"/>
      <c r="SMJ144" s="72"/>
      <c r="SMK144" s="72"/>
      <c r="SML144" s="72"/>
      <c r="SMM144" s="72"/>
      <c r="SMN144" s="72"/>
      <c r="SMO144" s="72"/>
      <c r="SMP144" s="72"/>
      <c r="SMQ144" s="72"/>
      <c r="SMR144" s="72"/>
      <c r="SMS144" s="72"/>
      <c r="SMT144" s="72"/>
      <c r="SMU144" s="72"/>
      <c r="SMV144" s="72"/>
      <c r="SMW144" s="72"/>
      <c r="SMX144" s="72"/>
      <c r="SMY144" s="72"/>
      <c r="SMZ144" s="72"/>
      <c r="SNA144" s="72"/>
      <c r="SNB144" s="72"/>
      <c r="SNC144" s="72"/>
      <c r="SND144" s="72"/>
      <c r="SNE144" s="72"/>
      <c r="SNF144" s="72"/>
      <c r="SNG144" s="72"/>
      <c r="SNH144" s="72"/>
      <c r="SNI144" s="72"/>
      <c r="SNJ144" s="72"/>
      <c r="SNK144" s="72"/>
      <c r="SNL144" s="72"/>
      <c r="SNM144" s="72"/>
      <c r="SNN144" s="72"/>
      <c r="SNO144" s="72"/>
      <c r="SNP144" s="72"/>
      <c r="SNQ144" s="72"/>
      <c r="SNR144" s="72"/>
      <c r="SNS144" s="72"/>
      <c r="SNT144" s="72"/>
      <c r="SNU144" s="72"/>
      <c r="SNV144" s="72"/>
      <c r="SNW144" s="72"/>
      <c r="SNX144" s="72"/>
      <c r="SNY144" s="72"/>
      <c r="SNZ144" s="72"/>
      <c r="SOA144" s="72"/>
      <c r="SOB144" s="72"/>
      <c r="SOC144" s="72"/>
      <c r="SOD144" s="72"/>
      <c r="SOE144" s="72"/>
      <c r="SOF144" s="72"/>
      <c r="SOG144" s="72"/>
      <c r="SOH144" s="72"/>
      <c r="SOI144" s="72"/>
      <c r="SOJ144" s="72"/>
      <c r="SOK144" s="72"/>
      <c r="SOL144" s="72"/>
      <c r="SOM144" s="72"/>
      <c r="SON144" s="72"/>
      <c r="SOO144" s="72"/>
      <c r="SOP144" s="72"/>
      <c r="SOQ144" s="72"/>
      <c r="SOR144" s="72"/>
      <c r="SOS144" s="72"/>
      <c r="SOT144" s="72"/>
      <c r="SOU144" s="72"/>
      <c r="SOV144" s="72"/>
      <c r="SOW144" s="72"/>
      <c r="SOX144" s="72"/>
      <c r="SOY144" s="72"/>
      <c r="SOZ144" s="72"/>
      <c r="SPA144" s="72"/>
      <c r="SPB144" s="72"/>
      <c r="SPC144" s="72"/>
      <c r="SPD144" s="72"/>
      <c r="SPE144" s="72"/>
      <c r="SPF144" s="72"/>
      <c r="SPG144" s="72"/>
      <c r="SPH144" s="72"/>
      <c r="SPI144" s="72"/>
      <c r="SPJ144" s="72"/>
      <c r="SPK144" s="72"/>
      <c r="SPL144" s="72"/>
      <c r="SPM144" s="72"/>
      <c r="SPN144" s="72"/>
      <c r="SPO144" s="72"/>
      <c r="SPP144" s="72"/>
      <c r="SPQ144" s="72"/>
      <c r="SPR144" s="72"/>
      <c r="SPS144" s="72"/>
      <c r="SPT144" s="72"/>
      <c r="SPU144" s="72"/>
      <c r="SPV144" s="72"/>
      <c r="SPW144" s="72"/>
      <c r="SPX144" s="72"/>
      <c r="SPY144" s="72"/>
      <c r="SPZ144" s="72"/>
      <c r="SQA144" s="72"/>
      <c r="SQB144" s="72"/>
      <c r="SQC144" s="72"/>
      <c r="SQD144" s="72"/>
      <c r="SQE144" s="72"/>
      <c r="SQF144" s="72"/>
      <c r="SQG144" s="72"/>
      <c r="SQH144" s="72"/>
      <c r="SQI144" s="72"/>
      <c r="SQJ144" s="72"/>
      <c r="SQK144" s="72"/>
      <c r="SQL144" s="72"/>
      <c r="SQM144" s="72"/>
      <c r="SQN144" s="72"/>
      <c r="SQO144" s="72"/>
      <c r="SQP144" s="72"/>
      <c r="SQQ144" s="72"/>
      <c r="SQR144" s="72"/>
      <c r="SQS144" s="72"/>
      <c r="SQT144" s="72"/>
      <c r="SQU144" s="72"/>
      <c r="SQV144" s="72"/>
      <c r="SQW144" s="72"/>
      <c r="SQX144" s="72"/>
      <c r="SQY144" s="72"/>
      <c r="SQZ144" s="72"/>
      <c r="SRA144" s="72"/>
      <c r="SRB144" s="72"/>
      <c r="SRC144" s="72"/>
      <c r="SRD144" s="72"/>
      <c r="SRE144" s="72"/>
      <c r="SRF144" s="72"/>
      <c r="SRG144" s="72"/>
      <c r="SRH144" s="72"/>
      <c r="SRI144" s="72"/>
      <c r="SRJ144" s="72"/>
      <c r="SRK144" s="72"/>
      <c r="SRL144" s="72"/>
      <c r="SRM144" s="72"/>
      <c r="SRN144" s="72"/>
      <c r="SRO144" s="72"/>
      <c r="SRP144" s="72"/>
      <c r="SRQ144" s="72"/>
      <c r="SRR144" s="72"/>
      <c r="SRS144" s="72"/>
      <c r="SRT144" s="72"/>
      <c r="SRU144" s="72"/>
      <c r="SRV144" s="72"/>
      <c r="SRW144" s="72"/>
      <c r="SRX144" s="72"/>
      <c r="SRY144" s="72"/>
      <c r="SRZ144" s="72"/>
      <c r="SSA144" s="72"/>
      <c r="SSB144" s="72"/>
      <c r="SSC144" s="72"/>
      <c r="SSD144" s="72"/>
      <c r="SSE144" s="72"/>
      <c r="SSF144" s="72"/>
      <c r="SSG144" s="72"/>
      <c r="SSH144" s="72"/>
      <c r="SSI144" s="72"/>
      <c r="SSJ144" s="72"/>
      <c r="SSK144" s="72"/>
      <c r="SSL144" s="72"/>
      <c r="SSM144" s="72"/>
      <c r="SSN144" s="72"/>
      <c r="SSO144" s="72"/>
      <c r="SSP144" s="72"/>
      <c r="SSQ144" s="72"/>
      <c r="SSR144" s="72"/>
      <c r="SSS144" s="72"/>
      <c r="SST144" s="72"/>
      <c r="SSU144" s="72"/>
      <c r="SSV144" s="72"/>
      <c r="SSW144" s="72"/>
      <c r="SSX144" s="72"/>
      <c r="SSY144" s="72"/>
      <c r="SSZ144" s="72"/>
      <c r="STA144" s="72"/>
      <c r="STB144" s="72"/>
      <c r="STC144" s="72"/>
      <c r="STD144" s="72"/>
      <c r="STE144" s="72"/>
      <c r="STF144" s="72"/>
      <c r="STG144" s="72"/>
      <c r="STH144" s="72"/>
      <c r="STI144" s="72"/>
      <c r="STJ144" s="72"/>
      <c r="STK144" s="72"/>
      <c r="STL144" s="72"/>
      <c r="STM144" s="72"/>
      <c r="STN144" s="72"/>
      <c r="STO144" s="72"/>
      <c r="STP144" s="72"/>
      <c r="STQ144" s="72"/>
      <c r="STR144" s="72"/>
      <c r="STS144" s="72"/>
      <c r="STT144" s="72"/>
      <c r="STU144" s="72"/>
      <c r="STV144" s="72"/>
      <c r="STW144" s="72"/>
      <c r="STX144" s="72"/>
      <c r="STY144" s="72"/>
      <c r="STZ144" s="72"/>
      <c r="SUA144" s="72"/>
      <c r="SUB144" s="72"/>
      <c r="SUC144" s="72"/>
      <c r="SUD144" s="72"/>
      <c r="SUE144" s="72"/>
      <c r="SUF144" s="72"/>
      <c r="SUG144" s="72"/>
      <c r="SUH144" s="72"/>
      <c r="SUI144" s="72"/>
      <c r="SUJ144" s="72"/>
      <c r="SUK144" s="72"/>
      <c r="SUL144" s="72"/>
      <c r="SUM144" s="72"/>
      <c r="SUN144" s="72"/>
      <c r="SUO144" s="72"/>
      <c r="SUP144" s="72"/>
      <c r="SUQ144" s="72"/>
      <c r="SUR144" s="72"/>
      <c r="SUS144" s="72"/>
      <c r="SUT144" s="72"/>
      <c r="SUU144" s="72"/>
      <c r="SUV144" s="72"/>
      <c r="SUW144" s="72"/>
      <c r="SUX144" s="72"/>
      <c r="SUY144" s="72"/>
      <c r="SUZ144" s="72"/>
      <c r="SVA144" s="72"/>
      <c r="SVB144" s="72"/>
      <c r="SVC144" s="72"/>
      <c r="SVD144" s="72"/>
      <c r="SVE144" s="72"/>
      <c r="SVF144" s="72"/>
      <c r="SVG144" s="72"/>
      <c r="SVH144" s="72"/>
      <c r="SVI144" s="72"/>
      <c r="SVJ144" s="72"/>
      <c r="SVK144" s="72"/>
      <c r="SVL144" s="72"/>
      <c r="SVM144" s="72"/>
      <c r="SVN144" s="72"/>
      <c r="SVO144" s="72"/>
      <c r="SVP144" s="72"/>
      <c r="SVQ144" s="72"/>
      <c r="SVR144" s="72"/>
      <c r="SVS144" s="72"/>
      <c r="SVT144" s="72"/>
      <c r="SVU144" s="72"/>
      <c r="SVV144" s="72"/>
      <c r="SVW144" s="72"/>
      <c r="SVX144" s="72"/>
      <c r="SVY144" s="72"/>
      <c r="SVZ144" s="72"/>
      <c r="SWA144" s="72"/>
      <c r="SWB144" s="72"/>
      <c r="SWC144" s="72"/>
      <c r="SWD144" s="72"/>
      <c r="SWE144" s="72"/>
      <c r="SWF144" s="72"/>
      <c r="SWG144" s="72"/>
      <c r="SWH144" s="72"/>
      <c r="SWI144" s="72"/>
      <c r="SWJ144" s="72"/>
      <c r="SWK144" s="72"/>
      <c r="SWL144" s="72"/>
      <c r="SWM144" s="72"/>
      <c r="SWN144" s="72"/>
      <c r="SWO144" s="72"/>
      <c r="SWP144" s="72"/>
      <c r="SWQ144" s="72"/>
      <c r="SWR144" s="72"/>
      <c r="SWS144" s="72"/>
      <c r="SWT144" s="72"/>
      <c r="SWU144" s="72"/>
      <c r="SWV144" s="72"/>
      <c r="SWW144" s="72"/>
      <c r="SWX144" s="72"/>
      <c r="SWY144" s="72"/>
      <c r="SWZ144" s="72"/>
      <c r="SXA144" s="72"/>
      <c r="SXB144" s="72"/>
      <c r="SXC144" s="72"/>
      <c r="SXD144" s="72"/>
      <c r="SXE144" s="72"/>
      <c r="SXF144" s="72"/>
      <c r="SXG144" s="72"/>
      <c r="SXH144" s="72"/>
      <c r="SXI144" s="72"/>
      <c r="SXJ144" s="72"/>
      <c r="SXK144" s="72"/>
      <c r="SXL144" s="72"/>
      <c r="SXM144" s="72"/>
      <c r="SXN144" s="72"/>
      <c r="SXO144" s="72"/>
      <c r="SXP144" s="72"/>
      <c r="SXQ144" s="72"/>
      <c r="SXR144" s="72"/>
      <c r="SXS144" s="72"/>
      <c r="SXT144" s="72"/>
      <c r="SXU144" s="72"/>
      <c r="SXV144" s="72"/>
      <c r="SXW144" s="72"/>
      <c r="SXX144" s="72"/>
      <c r="SXY144" s="72"/>
      <c r="SXZ144" s="72"/>
      <c r="SYA144" s="72"/>
      <c r="SYB144" s="72"/>
      <c r="SYC144" s="72"/>
      <c r="SYD144" s="72"/>
      <c r="SYE144" s="72"/>
      <c r="SYF144" s="72"/>
      <c r="SYG144" s="72"/>
      <c r="SYH144" s="72"/>
      <c r="SYI144" s="72"/>
      <c r="SYJ144" s="72"/>
      <c r="SYK144" s="72"/>
      <c r="SYL144" s="72"/>
      <c r="SYM144" s="72"/>
      <c r="SYN144" s="72"/>
      <c r="SYO144" s="72"/>
      <c r="SYP144" s="72"/>
      <c r="SYQ144" s="72"/>
      <c r="SYR144" s="72"/>
      <c r="SYS144" s="72"/>
      <c r="SYT144" s="72"/>
      <c r="SYU144" s="72"/>
      <c r="SYV144" s="72"/>
      <c r="SYW144" s="72"/>
      <c r="SYX144" s="72"/>
      <c r="SYY144" s="72"/>
      <c r="SYZ144" s="72"/>
      <c r="SZA144" s="72"/>
      <c r="SZB144" s="72"/>
      <c r="SZC144" s="72"/>
      <c r="SZD144" s="72"/>
      <c r="SZE144" s="72"/>
      <c r="SZF144" s="72"/>
      <c r="SZG144" s="72"/>
      <c r="SZH144" s="72"/>
      <c r="SZI144" s="72"/>
      <c r="SZJ144" s="72"/>
      <c r="SZK144" s="72"/>
      <c r="SZL144" s="72"/>
      <c r="SZM144" s="72"/>
      <c r="SZN144" s="72"/>
      <c r="SZO144" s="72"/>
      <c r="SZP144" s="72"/>
      <c r="SZQ144" s="72"/>
      <c r="SZR144" s="72"/>
      <c r="SZS144" s="72"/>
      <c r="SZT144" s="72"/>
      <c r="SZU144" s="72"/>
      <c r="SZV144" s="72"/>
      <c r="SZW144" s="72"/>
      <c r="SZX144" s="72"/>
      <c r="SZY144" s="72"/>
      <c r="SZZ144" s="72"/>
      <c r="TAA144" s="72"/>
      <c r="TAB144" s="72"/>
      <c r="TAC144" s="72"/>
      <c r="TAD144" s="72"/>
      <c r="TAE144" s="72"/>
      <c r="TAF144" s="72"/>
      <c r="TAG144" s="72"/>
      <c r="TAH144" s="72"/>
      <c r="TAI144" s="72"/>
      <c r="TAJ144" s="72"/>
      <c r="TAK144" s="72"/>
      <c r="TAL144" s="72"/>
      <c r="TAM144" s="72"/>
      <c r="TAN144" s="72"/>
      <c r="TAO144" s="72"/>
      <c r="TAP144" s="72"/>
      <c r="TAQ144" s="72"/>
      <c r="TAR144" s="72"/>
      <c r="TAS144" s="72"/>
      <c r="TAT144" s="72"/>
      <c r="TAU144" s="72"/>
      <c r="TAV144" s="72"/>
      <c r="TAW144" s="72"/>
      <c r="TAX144" s="72"/>
      <c r="TAY144" s="72"/>
      <c r="TAZ144" s="72"/>
      <c r="TBA144" s="72"/>
      <c r="TBB144" s="72"/>
      <c r="TBC144" s="72"/>
      <c r="TBD144" s="72"/>
      <c r="TBE144" s="72"/>
      <c r="TBF144" s="72"/>
      <c r="TBG144" s="72"/>
      <c r="TBH144" s="72"/>
      <c r="TBI144" s="72"/>
      <c r="TBJ144" s="72"/>
      <c r="TBK144" s="72"/>
      <c r="TBL144" s="72"/>
      <c r="TBM144" s="72"/>
      <c r="TBN144" s="72"/>
      <c r="TBO144" s="72"/>
      <c r="TBP144" s="72"/>
      <c r="TBQ144" s="72"/>
      <c r="TBR144" s="72"/>
      <c r="TBS144" s="72"/>
      <c r="TBT144" s="72"/>
      <c r="TBU144" s="72"/>
      <c r="TBV144" s="72"/>
      <c r="TBW144" s="72"/>
      <c r="TBX144" s="72"/>
      <c r="TBY144" s="72"/>
      <c r="TBZ144" s="72"/>
      <c r="TCA144" s="72"/>
      <c r="TCB144" s="72"/>
      <c r="TCC144" s="72"/>
      <c r="TCD144" s="72"/>
      <c r="TCE144" s="72"/>
      <c r="TCF144" s="72"/>
      <c r="TCG144" s="72"/>
      <c r="TCH144" s="72"/>
      <c r="TCI144" s="72"/>
      <c r="TCJ144" s="72"/>
      <c r="TCK144" s="72"/>
      <c r="TCL144" s="72"/>
      <c r="TCM144" s="72"/>
      <c r="TCN144" s="72"/>
      <c r="TCO144" s="72"/>
      <c r="TCP144" s="72"/>
      <c r="TCQ144" s="72"/>
      <c r="TCR144" s="72"/>
      <c r="TCS144" s="72"/>
      <c r="TCT144" s="72"/>
      <c r="TCU144" s="72"/>
      <c r="TCV144" s="72"/>
      <c r="TCW144" s="72"/>
      <c r="TCX144" s="72"/>
      <c r="TCY144" s="72"/>
      <c r="TCZ144" s="72"/>
      <c r="TDA144" s="72"/>
      <c r="TDB144" s="72"/>
      <c r="TDC144" s="72"/>
      <c r="TDD144" s="72"/>
      <c r="TDE144" s="72"/>
      <c r="TDF144" s="72"/>
      <c r="TDG144" s="72"/>
      <c r="TDH144" s="72"/>
      <c r="TDI144" s="72"/>
      <c r="TDJ144" s="72"/>
      <c r="TDK144" s="72"/>
      <c r="TDL144" s="72"/>
      <c r="TDM144" s="72"/>
      <c r="TDN144" s="72"/>
      <c r="TDO144" s="72"/>
      <c r="TDP144" s="72"/>
      <c r="TDQ144" s="72"/>
      <c r="TDR144" s="72"/>
      <c r="TDS144" s="72"/>
      <c r="TDT144" s="72"/>
      <c r="TDU144" s="72"/>
      <c r="TDV144" s="72"/>
      <c r="TDW144" s="72"/>
      <c r="TDX144" s="72"/>
      <c r="TDY144" s="72"/>
      <c r="TDZ144" s="72"/>
      <c r="TEA144" s="72"/>
      <c r="TEB144" s="72"/>
      <c r="TEC144" s="72"/>
      <c r="TED144" s="72"/>
      <c r="TEE144" s="72"/>
      <c r="TEF144" s="72"/>
      <c r="TEG144" s="72"/>
      <c r="TEH144" s="72"/>
      <c r="TEI144" s="72"/>
      <c r="TEJ144" s="72"/>
      <c r="TEK144" s="72"/>
      <c r="TEL144" s="72"/>
      <c r="TEM144" s="72"/>
      <c r="TEN144" s="72"/>
      <c r="TEO144" s="72"/>
      <c r="TEP144" s="72"/>
      <c r="TEQ144" s="72"/>
      <c r="TER144" s="72"/>
      <c r="TES144" s="72"/>
      <c r="TET144" s="72"/>
      <c r="TEU144" s="72"/>
      <c r="TEV144" s="72"/>
      <c r="TEW144" s="72"/>
      <c r="TEX144" s="72"/>
      <c r="TEY144" s="72"/>
      <c r="TEZ144" s="72"/>
      <c r="TFA144" s="72"/>
      <c r="TFB144" s="72"/>
      <c r="TFC144" s="72"/>
      <c r="TFD144" s="72"/>
      <c r="TFE144" s="72"/>
      <c r="TFF144" s="72"/>
      <c r="TFG144" s="72"/>
      <c r="TFH144" s="72"/>
      <c r="TFI144" s="72"/>
      <c r="TFJ144" s="72"/>
      <c r="TFK144" s="72"/>
      <c r="TFL144" s="72"/>
      <c r="TFM144" s="72"/>
      <c r="TFN144" s="72"/>
      <c r="TFO144" s="72"/>
      <c r="TFP144" s="72"/>
      <c r="TFQ144" s="72"/>
      <c r="TFR144" s="72"/>
      <c r="TFS144" s="72"/>
      <c r="TFT144" s="72"/>
      <c r="TFU144" s="72"/>
      <c r="TFV144" s="72"/>
      <c r="TFW144" s="72"/>
      <c r="TFX144" s="72"/>
      <c r="TFY144" s="72"/>
      <c r="TFZ144" s="72"/>
      <c r="TGA144" s="72"/>
      <c r="TGB144" s="72"/>
      <c r="TGC144" s="72"/>
      <c r="TGD144" s="72"/>
      <c r="TGE144" s="72"/>
      <c r="TGF144" s="72"/>
      <c r="TGG144" s="72"/>
      <c r="TGH144" s="72"/>
      <c r="TGI144" s="72"/>
      <c r="TGJ144" s="72"/>
      <c r="TGK144" s="72"/>
      <c r="TGL144" s="72"/>
      <c r="TGM144" s="72"/>
      <c r="TGN144" s="72"/>
      <c r="TGO144" s="72"/>
      <c r="TGP144" s="72"/>
      <c r="TGQ144" s="72"/>
      <c r="TGR144" s="72"/>
      <c r="TGS144" s="72"/>
      <c r="TGT144" s="72"/>
      <c r="TGU144" s="72"/>
      <c r="TGV144" s="72"/>
      <c r="TGW144" s="72"/>
      <c r="TGX144" s="72"/>
      <c r="TGY144" s="72"/>
      <c r="TGZ144" s="72"/>
      <c r="THA144" s="72"/>
      <c r="THB144" s="72"/>
      <c r="THC144" s="72"/>
      <c r="THD144" s="72"/>
      <c r="THE144" s="72"/>
      <c r="THF144" s="72"/>
      <c r="THG144" s="72"/>
      <c r="THH144" s="72"/>
      <c r="THI144" s="72"/>
      <c r="THJ144" s="72"/>
      <c r="THK144" s="72"/>
      <c r="THL144" s="72"/>
      <c r="THM144" s="72"/>
      <c r="THN144" s="72"/>
      <c r="THO144" s="72"/>
      <c r="THP144" s="72"/>
      <c r="THQ144" s="72"/>
      <c r="THR144" s="72"/>
      <c r="THS144" s="72"/>
      <c r="THT144" s="72"/>
      <c r="THU144" s="72"/>
      <c r="THV144" s="72"/>
      <c r="THW144" s="72"/>
      <c r="THX144" s="72"/>
      <c r="THY144" s="72"/>
      <c r="THZ144" s="72"/>
      <c r="TIA144" s="72"/>
      <c r="TIB144" s="72"/>
      <c r="TIC144" s="72"/>
      <c r="TID144" s="72"/>
      <c r="TIE144" s="72"/>
      <c r="TIF144" s="72"/>
      <c r="TIG144" s="72"/>
      <c r="TIH144" s="72"/>
      <c r="TII144" s="72"/>
      <c r="TIJ144" s="72"/>
      <c r="TIK144" s="72"/>
      <c r="TIL144" s="72"/>
      <c r="TIM144" s="72"/>
      <c r="TIN144" s="72"/>
      <c r="TIO144" s="72"/>
      <c r="TIP144" s="72"/>
      <c r="TIQ144" s="72"/>
      <c r="TIR144" s="72"/>
      <c r="TIS144" s="72"/>
      <c r="TIT144" s="72"/>
      <c r="TIU144" s="72"/>
      <c r="TIV144" s="72"/>
      <c r="TIW144" s="72"/>
      <c r="TIX144" s="72"/>
      <c r="TIY144" s="72"/>
      <c r="TIZ144" s="72"/>
      <c r="TJA144" s="72"/>
      <c r="TJB144" s="72"/>
      <c r="TJC144" s="72"/>
      <c r="TJD144" s="72"/>
      <c r="TJE144" s="72"/>
      <c r="TJF144" s="72"/>
      <c r="TJG144" s="72"/>
      <c r="TJH144" s="72"/>
      <c r="TJI144" s="72"/>
      <c r="TJJ144" s="72"/>
      <c r="TJK144" s="72"/>
      <c r="TJL144" s="72"/>
      <c r="TJM144" s="72"/>
      <c r="TJN144" s="72"/>
      <c r="TJO144" s="72"/>
      <c r="TJP144" s="72"/>
      <c r="TJQ144" s="72"/>
      <c r="TJR144" s="72"/>
      <c r="TJS144" s="72"/>
      <c r="TJT144" s="72"/>
      <c r="TJU144" s="72"/>
      <c r="TJV144" s="72"/>
      <c r="TJW144" s="72"/>
      <c r="TJX144" s="72"/>
      <c r="TJY144" s="72"/>
      <c r="TJZ144" s="72"/>
      <c r="TKA144" s="72"/>
      <c r="TKB144" s="72"/>
      <c r="TKC144" s="72"/>
      <c r="TKD144" s="72"/>
      <c r="TKE144" s="72"/>
      <c r="TKF144" s="72"/>
      <c r="TKG144" s="72"/>
      <c r="TKH144" s="72"/>
      <c r="TKI144" s="72"/>
      <c r="TKJ144" s="72"/>
      <c r="TKK144" s="72"/>
      <c r="TKL144" s="72"/>
      <c r="TKM144" s="72"/>
      <c r="TKN144" s="72"/>
      <c r="TKO144" s="72"/>
      <c r="TKP144" s="72"/>
      <c r="TKQ144" s="72"/>
      <c r="TKR144" s="72"/>
      <c r="TKS144" s="72"/>
      <c r="TKT144" s="72"/>
      <c r="TKU144" s="72"/>
      <c r="TKV144" s="72"/>
      <c r="TKW144" s="72"/>
      <c r="TKX144" s="72"/>
      <c r="TKY144" s="72"/>
      <c r="TKZ144" s="72"/>
      <c r="TLA144" s="72"/>
      <c r="TLB144" s="72"/>
      <c r="TLC144" s="72"/>
      <c r="TLD144" s="72"/>
      <c r="TLE144" s="72"/>
      <c r="TLF144" s="72"/>
      <c r="TLG144" s="72"/>
      <c r="TLH144" s="72"/>
      <c r="TLI144" s="72"/>
      <c r="TLJ144" s="72"/>
      <c r="TLK144" s="72"/>
      <c r="TLL144" s="72"/>
      <c r="TLM144" s="72"/>
      <c r="TLN144" s="72"/>
      <c r="TLO144" s="72"/>
      <c r="TLP144" s="72"/>
      <c r="TLQ144" s="72"/>
      <c r="TLR144" s="72"/>
      <c r="TLS144" s="72"/>
      <c r="TLT144" s="72"/>
      <c r="TLU144" s="72"/>
      <c r="TLV144" s="72"/>
      <c r="TLW144" s="72"/>
      <c r="TLX144" s="72"/>
      <c r="TLY144" s="72"/>
      <c r="TLZ144" s="72"/>
      <c r="TMA144" s="72"/>
      <c r="TMB144" s="72"/>
      <c r="TMC144" s="72"/>
      <c r="TMD144" s="72"/>
      <c r="TME144" s="72"/>
      <c r="TMF144" s="72"/>
      <c r="TMG144" s="72"/>
      <c r="TMH144" s="72"/>
      <c r="TMI144" s="72"/>
      <c r="TMJ144" s="72"/>
      <c r="TMK144" s="72"/>
      <c r="TML144" s="72"/>
      <c r="TMM144" s="72"/>
      <c r="TMN144" s="72"/>
      <c r="TMO144" s="72"/>
      <c r="TMP144" s="72"/>
      <c r="TMQ144" s="72"/>
      <c r="TMR144" s="72"/>
      <c r="TMS144" s="72"/>
      <c r="TMT144" s="72"/>
      <c r="TMU144" s="72"/>
      <c r="TMV144" s="72"/>
      <c r="TMW144" s="72"/>
      <c r="TMX144" s="72"/>
      <c r="TMY144" s="72"/>
      <c r="TMZ144" s="72"/>
      <c r="TNA144" s="72"/>
      <c r="TNB144" s="72"/>
      <c r="TNC144" s="72"/>
      <c r="TND144" s="72"/>
      <c r="TNE144" s="72"/>
      <c r="TNF144" s="72"/>
      <c r="TNG144" s="72"/>
      <c r="TNH144" s="72"/>
      <c r="TNI144" s="72"/>
      <c r="TNJ144" s="72"/>
      <c r="TNK144" s="72"/>
      <c r="TNL144" s="72"/>
      <c r="TNM144" s="72"/>
      <c r="TNN144" s="72"/>
      <c r="TNO144" s="72"/>
      <c r="TNP144" s="72"/>
      <c r="TNQ144" s="72"/>
      <c r="TNR144" s="72"/>
      <c r="TNS144" s="72"/>
      <c r="TNT144" s="72"/>
      <c r="TNU144" s="72"/>
      <c r="TNV144" s="72"/>
      <c r="TNW144" s="72"/>
      <c r="TNX144" s="72"/>
      <c r="TNY144" s="72"/>
      <c r="TNZ144" s="72"/>
      <c r="TOA144" s="72"/>
      <c r="TOB144" s="72"/>
      <c r="TOC144" s="72"/>
      <c r="TOD144" s="72"/>
      <c r="TOE144" s="72"/>
      <c r="TOF144" s="72"/>
      <c r="TOG144" s="72"/>
      <c r="TOH144" s="72"/>
      <c r="TOI144" s="72"/>
      <c r="TOJ144" s="72"/>
      <c r="TOK144" s="72"/>
      <c r="TOL144" s="72"/>
      <c r="TOM144" s="72"/>
      <c r="TON144" s="72"/>
      <c r="TOO144" s="72"/>
      <c r="TOP144" s="72"/>
      <c r="TOQ144" s="72"/>
      <c r="TOR144" s="72"/>
      <c r="TOS144" s="72"/>
      <c r="TOT144" s="72"/>
      <c r="TOU144" s="72"/>
      <c r="TOV144" s="72"/>
      <c r="TOW144" s="72"/>
      <c r="TOX144" s="72"/>
      <c r="TOY144" s="72"/>
      <c r="TOZ144" s="72"/>
      <c r="TPA144" s="72"/>
      <c r="TPB144" s="72"/>
      <c r="TPC144" s="72"/>
      <c r="TPD144" s="72"/>
      <c r="TPE144" s="72"/>
      <c r="TPF144" s="72"/>
      <c r="TPG144" s="72"/>
      <c r="TPH144" s="72"/>
      <c r="TPI144" s="72"/>
      <c r="TPJ144" s="72"/>
      <c r="TPK144" s="72"/>
      <c r="TPL144" s="72"/>
      <c r="TPM144" s="72"/>
      <c r="TPN144" s="72"/>
      <c r="TPO144" s="72"/>
      <c r="TPP144" s="72"/>
      <c r="TPQ144" s="72"/>
      <c r="TPR144" s="72"/>
      <c r="TPS144" s="72"/>
      <c r="TPT144" s="72"/>
      <c r="TPU144" s="72"/>
      <c r="TPV144" s="72"/>
      <c r="TPW144" s="72"/>
      <c r="TPX144" s="72"/>
      <c r="TPY144" s="72"/>
      <c r="TPZ144" s="72"/>
      <c r="TQA144" s="72"/>
      <c r="TQB144" s="72"/>
      <c r="TQC144" s="72"/>
      <c r="TQD144" s="72"/>
      <c r="TQE144" s="72"/>
      <c r="TQF144" s="72"/>
      <c r="TQG144" s="72"/>
      <c r="TQH144" s="72"/>
      <c r="TQI144" s="72"/>
      <c r="TQJ144" s="72"/>
      <c r="TQK144" s="72"/>
      <c r="TQL144" s="72"/>
      <c r="TQM144" s="72"/>
      <c r="TQN144" s="72"/>
      <c r="TQO144" s="72"/>
      <c r="TQP144" s="72"/>
      <c r="TQQ144" s="72"/>
      <c r="TQR144" s="72"/>
      <c r="TQS144" s="72"/>
      <c r="TQT144" s="72"/>
      <c r="TQU144" s="72"/>
      <c r="TQV144" s="72"/>
      <c r="TQW144" s="72"/>
      <c r="TQX144" s="72"/>
      <c r="TQY144" s="72"/>
      <c r="TQZ144" s="72"/>
      <c r="TRA144" s="72"/>
      <c r="TRB144" s="72"/>
      <c r="TRC144" s="72"/>
      <c r="TRD144" s="72"/>
      <c r="TRE144" s="72"/>
      <c r="TRF144" s="72"/>
      <c r="TRG144" s="72"/>
      <c r="TRH144" s="72"/>
      <c r="TRI144" s="72"/>
      <c r="TRJ144" s="72"/>
      <c r="TRK144" s="72"/>
      <c r="TRL144" s="72"/>
      <c r="TRM144" s="72"/>
      <c r="TRN144" s="72"/>
      <c r="TRO144" s="72"/>
      <c r="TRP144" s="72"/>
      <c r="TRQ144" s="72"/>
      <c r="TRR144" s="72"/>
      <c r="TRS144" s="72"/>
      <c r="TRT144" s="72"/>
      <c r="TRU144" s="72"/>
      <c r="TRV144" s="72"/>
      <c r="TRW144" s="72"/>
      <c r="TRX144" s="72"/>
      <c r="TRY144" s="72"/>
      <c r="TRZ144" s="72"/>
      <c r="TSA144" s="72"/>
      <c r="TSB144" s="72"/>
      <c r="TSC144" s="72"/>
      <c r="TSD144" s="72"/>
      <c r="TSE144" s="72"/>
      <c r="TSF144" s="72"/>
      <c r="TSG144" s="72"/>
      <c r="TSH144" s="72"/>
      <c r="TSI144" s="72"/>
      <c r="TSJ144" s="72"/>
      <c r="TSK144" s="72"/>
      <c r="TSL144" s="72"/>
      <c r="TSM144" s="72"/>
      <c r="TSN144" s="72"/>
      <c r="TSO144" s="72"/>
      <c r="TSP144" s="72"/>
      <c r="TSQ144" s="72"/>
      <c r="TSR144" s="72"/>
      <c r="TSS144" s="72"/>
      <c r="TST144" s="72"/>
      <c r="TSU144" s="72"/>
      <c r="TSV144" s="72"/>
      <c r="TSW144" s="72"/>
      <c r="TSX144" s="72"/>
      <c r="TSY144" s="72"/>
      <c r="TSZ144" s="72"/>
      <c r="TTA144" s="72"/>
      <c r="TTB144" s="72"/>
      <c r="TTC144" s="72"/>
      <c r="TTD144" s="72"/>
      <c r="TTE144" s="72"/>
      <c r="TTF144" s="72"/>
      <c r="TTG144" s="72"/>
      <c r="TTH144" s="72"/>
      <c r="TTI144" s="72"/>
      <c r="TTJ144" s="72"/>
      <c r="TTK144" s="72"/>
      <c r="TTL144" s="72"/>
      <c r="TTM144" s="72"/>
      <c r="TTN144" s="72"/>
      <c r="TTO144" s="72"/>
      <c r="TTP144" s="72"/>
      <c r="TTQ144" s="72"/>
      <c r="TTR144" s="72"/>
      <c r="TTS144" s="72"/>
      <c r="TTT144" s="72"/>
      <c r="TTU144" s="72"/>
      <c r="TTV144" s="72"/>
      <c r="TTW144" s="72"/>
      <c r="TTX144" s="72"/>
      <c r="TTY144" s="72"/>
      <c r="TTZ144" s="72"/>
      <c r="TUA144" s="72"/>
      <c r="TUB144" s="72"/>
      <c r="TUC144" s="72"/>
      <c r="TUD144" s="72"/>
      <c r="TUE144" s="72"/>
      <c r="TUF144" s="72"/>
      <c r="TUG144" s="72"/>
      <c r="TUH144" s="72"/>
      <c r="TUI144" s="72"/>
      <c r="TUJ144" s="72"/>
      <c r="TUK144" s="72"/>
      <c r="TUL144" s="72"/>
      <c r="TUM144" s="72"/>
      <c r="TUN144" s="72"/>
      <c r="TUO144" s="72"/>
      <c r="TUP144" s="72"/>
      <c r="TUQ144" s="72"/>
      <c r="TUR144" s="72"/>
      <c r="TUS144" s="72"/>
      <c r="TUT144" s="72"/>
      <c r="TUU144" s="72"/>
      <c r="TUV144" s="72"/>
      <c r="TUW144" s="72"/>
      <c r="TUX144" s="72"/>
      <c r="TUY144" s="72"/>
      <c r="TUZ144" s="72"/>
      <c r="TVA144" s="72"/>
      <c r="TVB144" s="72"/>
      <c r="TVC144" s="72"/>
      <c r="TVD144" s="72"/>
      <c r="TVE144" s="72"/>
      <c r="TVF144" s="72"/>
      <c r="TVG144" s="72"/>
      <c r="TVH144" s="72"/>
      <c r="TVI144" s="72"/>
      <c r="TVJ144" s="72"/>
      <c r="TVK144" s="72"/>
      <c r="TVL144" s="72"/>
      <c r="TVM144" s="72"/>
      <c r="TVN144" s="72"/>
      <c r="TVO144" s="72"/>
      <c r="TVP144" s="72"/>
      <c r="TVQ144" s="72"/>
      <c r="TVR144" s="72"/>
      <c r="TVS144" s="72"/>
      <c r="TVT144" s="72"/>
      <c r="TVU144" s="72"/>
      <c r="TVV144" s="72"/>
      <c r="TVW144" s="72"/>
      <c r="TVX144" s="72"/>
      <c r="TVY144" s="72"/>
      <c r="TVZ144" s="72"/>
      <c r="TWA144" s="72"/>
      <c r="TWB144" s="72"/>
      <c r="TWC144" s="72"/>
      <c r="TWD144" s="72"/>
      <c r="TWE144" s="72"/>
      <c r="TWF144" s="72"/>
      <c r="TWG144" s="72"/>
      <c r="TWH144" s="72"/>
      <c r="TWI144" s="72"/>
      <c r="TWJ144" s="72"/>
      <c r="TWK144" s="72"/>
      <c r="TWL144" s="72"/>
      <c r="TWM144" s="72"/>
      <c r="TWN144" s="72"/>
      <c r="TWO144" s="72"/>
      <c r="TWP144" s="72"/>
      <c r="TWQ144" s="72"/>
      <c r="TWR144" s="72"/>
      <c r="TWS144" s="72"/>
      <c r="TWT144" s="72"/>
      <c r="TWU144" s="72"/>
      <c r="TWV144" s="72"/>
      <c r="TWW144" s="72"/>
      <c r="TWX144" s="72"/>
      <c r="TWY144" s="72"/>
      <c r="TWZ144" s="72"/>
      <c r="TXA144" s="72"/>
      <c r="TXB144" s="72"/>
      <c r="TXC144" s="72"/>
      <c r="TXD144" s="72"/>
      <c r="TXE144" s="72"/>
      <c r="TXF144" s="72"/>
      <c r="TXG144" s="72"/>
      <c r="TXH144" s="72"/>
      <c r="TXI144" s="72"/>
      <c r="TXJ144" s="72"/>
      <c r="TXK144" s="72"/>
      <c r="TXL144" s="72"/>
      <c r="TXM144" s="72"/>
      <c r="TXN144" s="72"/>
      <c r="TXO144" s="72"/>
      <c r="TXP144" s="72"/>
      <c r="TXQ144" s="72"/>
      <c r="TXR144" s="72"/>
      <c r="TXS144" s="72"/>
      <c r="TXT144" s="72"/>
      <c r="TXU144" s="72"/>
      <c r="TXV144" s="72"/>
      <c r="TXW144" s="72"/>
      <c r="TXX144" s="72"/>
      <c r="TXY144" s="72"/>
      <c r="TXZ144" s="72"/>
      <c r="TYA144" s="72"/>
      <c r="TYB144" s="72"/>
      <c r="TYC144" s="72"/>
      <c r="TYD144" s="72"/>
      <c r="TYE144" s="72"/>
      <c r="TYF144" s="72"/>
      <c r="TYG144" s="72"/>
      <c r="TYH144" s="72"/>
      <c r="TYI144" s="72"/>
      <c r="TYJ144" s="72"/>
      <c r="TYK144" s="72"/>
      <c r="TYL144" s="72"/>
      <c r="TYM144" s="72"/>
      <c r="TYN144" s="72"/>
      <c r="TYO144" s="72"/>
      <c r="TYP144" s="72"/>
      <c r="TYQ144" s="72"/>
      <c r="TYR144" s="72"/>
      <c r="TYS144" s="72"/>
      <c r="TYT144" s="72"/>
      <c r="TYU144" s="72"/>
      <c r="TYV144" s="72"/>
      <c r="TYW144" s="72"/>
      <c r="TYX144" s="72"/>
      <c r="TYY144" s="72"/>
      <c r="TYZ144" s="72"/>
      <c r="TZA144" s="72"/>
      <c r="TZB144" s="72"/>
      <c r="TZC144" s="72"/>
      <c r="TZD144" s="72"/>
      <c r="TZE144" s="72"/>
      <c r="TZF144" s="72"/>
      <c r="TZG144" s="72"/>
      <c r="TZH144" s="72"/>
      <c r="TZI144" s="72"/>
      <c r="TZJ144" s="72"/>
      <c r="TZK144" s="72"/>
      <c r="TZL144" s="72"/>
      <c r="TZM144" s="72"/>
      <c r="TZN144" s="72"/>
      <c r="TZO144" s="72"/>
      <c r="TZP144" s="72"/>
      <c r="TZQ144" s="72"/>
      <c r="TZR144" s="72"/>
      <c r="TZS144" s="72"/>
      <c r="TZT144" s="72"/>
      <c r="TZU144" s="72"/>
      <c r="TZV144" s="72"/>
      <c r="TZW144" s="72"/>
      <c r="TZX144" s="72"/>
      <c r="TZY144" s="72"/>
      <c r="TZZ144" s="72"/>
      <c r="UAA144" s="72"/>
      <c r="UAB144" s="72"/>
      <c r="UAC144" s="72"/>
      <c r="UAD144" s="72"/>
      <c r="UAE144" s="72"/>
      <c r="UAF144" s="72"/>
      <c r="UAG144" s="72"/>
      <c r="UAH144" s="72"/>
      <c r="UAI144" s="72"/>
      <c r="UAJ144" s="72"/>
      <c r="UAK144" s="72"/>
      <c r="UAL144" s="72"/>
      <c r="UAM144" s="72"/>
      <c r="UAN144" s="72"/>
      <c r="UAO144" s="72"/>
      <c r="UAP144" s="72"/>
      <c r="UAQ144" s="72"/>
      <c r="UAR144" s="72"/>
      <c r="UAS144" s="72"/>
      <c r="UAT144" s="72"/>
      <c r="UAU144" s="72"/>
      <c r="UAV144" s="72"/>
      <c r="UAW144" s="72"/>
      <c r="UAX144" s="72"/>
      <c r="UAY144" s="72"/>
      <c r="UAZ144" s="72"/>
      <c r="UBA144" s="72"/>
      <c r="UBB144" s="72"/>
      <c r="UBC144" s="72"/>
      <c r="UBD144" s="72"/>
      <c r="UBE144" s="72"/>
      <c r="UBF144" s="72"/>
      <c r="UBG144" s="72"/>
      <c r="UBH144" s="72"/>
      <c r="UBI144" s="72"/>
      <c r="UBJ144" s="72"/>
      <c r="UBK144" s="72"/>
      <c r="UBL144" s="72"/>
      <c r="UBM144" s="72"/>
      <c r="UBN144" s="72"/>
      <c r="UBO144" s="72"/>
      <c r="UBP144" s="72"/>
      <c r="UBQ144" s="72"/>
      <c r="UBR144" s="72"/>
      <c r="UBS144" s="72"/>
      <c r="UBT144" s="72"/>
      <c r="UBU144" s="72"/>
      <c r="UBV144" s="72"/>
      <c r="UBW144" s="72"/>
      <c r="UBX144" s="72"/>
      <c r="UBY144" s="72"/>
      <c r="UBZ144" s="72"/>
      <c r="UCA144" s="72"/>
      <c r="UCB144" s="72"/>
      <c r="UCC144" s="72"/>
      <c r="UCD144" s="72"/>
      <c r="UCE144" s="72"/>
      <c r="UCF144" s="72"/>
      <c r="UCG144" s="72"/>
      <c r="UCH144" s="72"/>
      <c r="UCI144" s="72"/>
      <c r="UCJ144" s="72"/>
      <c r="UCK144" s="72"/>
      <c r="UCL144" s="72"/>
      <c r="UCM144" s="72"/>
      <c r="UCN144" s="72"/>
      <c r="UCO144" s="72"/>
      <c r="UCP144" s="72"/>
      <c r="UCQ144" s="72"/>
      <c r="UCR144" s="72"/>
      <c r="UCS144" s="72"/>
      <c r="UCT144" s="72"/>
      <c r="UCU144" s="72"/>
      <c r="UCV144" s="72"/>
      <c r="UCW144" s="72"/>
      <c r="UCX144" s="72"/>
      <c r="UCY144" s="72"/>
      <c r="UCZ144" s="72"/>
      <c r="UDA144" s="72"/>
      <c r="UDB144" s="72"/>
      <c r="UDC144" s="72"/>
      <c r="UDD144" s="72"/>
      <c r="UDE144" s="72"/>
      <c r="UDF144" s="72"/>
      <c r="UDG144" s="72"/>
      <c r="UDH144" s="72"/>
      <c r="UDI144" s="72"/>
      <c r="UDJ144" s="72"/>
      <c r="UDK144" s="72"/>
      <c r="UDL144" s="72"/>
      <c r="UDM144" s="72"/>
      <c r="UDN144" s="72"/>
      <c r="UDO144" s="72"/>
      <c r="UDP144" s="72"/>
      <c r="UDQ144" s="72"/>
      <c r="UDR144" s="72"/>
      <c r="UDS144" s="72"/>
      <c r="UDT144" s="72"/>
      <c r="UDU144" s="72"/>
      <c r="UDV144" s="72"/>
      <c r="UDW144" s="72"/>
      <c r="UDX144" s="72"/>
      <c r="UDY144" s="72"/>
      <c r="UDZ144" s="72"/>
      <c r="UEA144" s="72"/>
      <c r="UEB144" s="72"/>
      <c r="UEC144" s="72"/>
      <c r="UED144" s="72"/>
      <c r="UEE144" s="72"/>
      <c r="UEF144" s="72"/>
      <c r="UEG144" s="72"/>
      <c r="UEH144" s="72"/>
      <c r="UEI144" s="72"/>
      <c r="UEJ144" s="72"/>
      <c r="UEK144" s="72"/>
      <c r="UEL144" s="72"/>
      <c r="UEM144" s="72"/>
      <c r="UEN144" s="72"/>
      <c r="UEO144" s="72"/>
      <c r="UEP144" s="72"/>
      <c r="UEQ144" s="72"/>
      <c r="UER144" s="72"/>
      <c r="UES144" s="72"/>
      <c r="UET144" s="72"/>
      <c r="UEU144" s="72"/>
      <c r="UEV144" s="72"/>
      <c r="UEW144" s="72"/>
      <c r="UEX144" s="72"/>
      <c r="UEY144" s="72"/>
      <c r="UEZ144" s="72"/>
      <c r="UFA144" s="72"/>
      <c r="UFB144" s="72"/>
      <c r="UFC144" s="72"/>
      <c r="UFD144" s="72"/>
      <c r="UFE144" s="72"/>
      <c r="UFF144" s="72"/>
      <c r="UFG144" s="72"/>
      <c r="UFH144" s="72"/>
      <c r="UFI144" s="72"/>
      <c r="UFJ144" s="72"/>
      <c r="UFK144" s="72"/>
      <c r="UFL144" s="72"/>
      <c r="UFM144" s="72"/>
      <c r="UFN144" s="72"/>
      <c r="UFO144" s="72"/>
      <c r="UFP144" s="72"/>
      <c r="UFQ144" s="72"/>
      <c r="UFR144" s="72"/>
      <c r="UFS144" s="72"/>
      <c r="UFT144" s="72"/>
      <c r="UFU144" s="72"/>
      <c r="UFV144" s="72"/>
      <c r="UFW144" s="72"/>
      <c r="UFX144" s="72"/>
      <c r="UFY144" s="72"/>
      <c r="UFZ144" s="72"/>
      <c r="UGA144" s="72"/>
      <c r="UGB144" s="72"/>
      <c r="UGC144" s="72"/>
      <c r="UGD144" s="72"/>
      <c r="UGE144" s="72"/>
      <c r="UGF144" s="72"/>
      <c r="UGG144" s="72"/>
      <c r="UGH144" s="72"/>
      <c r="UGI144" s="72"/>
      <c r="UGJ144" s="72"/>
      <c r="UGK144" s="72"/>
      <c r="UGL144" s="72"/>
      <c r="UGM144" s="72"/>
      <c r="UGN144" s="72"/>
      <c r="UGO144" s="72"/>
      <c r="UGP144" s="72"/>
      <c r="UGQ144" s="72"/>
      <c r="UGR144" s="72"/>
      <c r="UGS144" s="72"/>
      <c r="UGT144" s="72"/>
      <c r="UGU144" s="72"/>
      <c r="UGV144" s="72"/>
      <c r="UGW144" s="72"/>
      <c r="UGX144" s="72"/>
      <c r="UGY144" s="72"/>
      <c r="UGZ144" s="72"/>
      <c r="UHA144" s="72"/>
      <c r="UHB144" s="72"/>
      <c r="UHC144" s="72"/>
      <c r="UHD144" s="72"/>
      <c r="UHE144" s="72"/>
      <c r="UHF144" s="72"/>
      <c r="UHG144" s="72"/>
      <c r="UHH144" s="72"/>
      <c r="UHI144" s="72"/>
      <c r="UHJ144" s="72"/>
      <c r="UHK144" s="72"/>
      <c r="UHL144" s="72"/>
      <c r="UHM144" s="72"/>
      <c r="UHN144" s="72"/>
      <c r="UHO144" s="72"/>
      <c r="UHP144" s="72"/>
      <c r="UHQ144" s="72"/>
      <c r="UHR144" s="72"/>
      <c r="UHS144" s="72"/>
      <c r="UHT144" s="72"/>
      <c r="UHU144" s="72"/>
      <c r="UHV144" s="72"/>
      <c r="UHW144" s="72"/>
      <c r="UHX144" s="72"/>
      <c r="UHY144" s="72"/>
      <c r="UHZ144" s="72"/>
      <c r="UIA144" s="72"/>
      <c r="UIB144" s="72"/>
      <c r="UIC144" s="72"/>
      <c r="UID144" s="72"/>
      <c r="UIE144" s="72"/>
      <c r="UIF144" s="72"/>
      <c r="UIG144" s="72"/>
      <c r="UIH144" s="72"/>
      <c r="UII144" s="72"/>
      <c r="UIJ144" s="72"/>
      <c r="UIK144" s="72"/>
      <c r="UIL144" s="72"/>
      <c r="UIM144" s="72"/>
      <c r="UIN144" s="72"/>
      <c r="UIO144" s="72"/>
      <c r="UIP144" s="72"/>
      <c r="UIQ144" s="72"/>
      <c r="UIR144" s="72"/>
      <c r="UIS144" s="72"/>
      <c r="UIT144" s="72"/>
      <c r="UIU144" s="72"/>
      <c r="UIV144" s="72"/>
      <c r="UIW144" s="72"/>
      <c r="UIX144" s="72"/>
      <c r="UIY144" s="72"/>
      <c r="UIZ144" s="72"/>
      <c r="UJA144" s="72"/>
      <c r="UJB144" s="72"/>
      <c r="UJC144" s="72"/>
      <c r="UJD144" s="72"/>
      <c r="UJE144" s="72"/>
      <c r="UJF144" s="72"/>
      <c r="UJG144" s="72"/>
      <c r="UJH144" s="72"/>
      <c r="UJI144" s="72"/>
      <c r="UJJ144" s="72"/>
      <c r="UJK144" s="72"/>
      <c r="UJL144" s="72"/>
      <c r="UJM144" s="72"/>
      <c r="UJN144" s="72"/>
      <c r="UJO144" s="72"/>
      <c r="UJP144" s="72"/>
      <c r="UJQ144" s="72"/>
      <c r="UJR144" s="72"/>
      <c r="UJS144" s="72"/>
      <c r="UJT144" s="72"/>
      <c r="UJU144" s="72"/>
      <c r="UJV144" s="72"/>
      <c r="UJW144" s="72"/>
      <c r="UJX144" s="72"/>
      <c r="UJY144" s="72"/>
      <c r="UJZ144" s="72"/>
      <c r="UKA144" s="72"/>
      <c r="UKB144" s="72"/>
      <c r="UKC144" s="72"/>
      <c r="UKD144" s="72"/>
      <c r="UKE144" s="72"/>
      <c r="UKF144" s="72"/>
      <c r="UKG144" s="72"/>
      <c r="UKH144" s="72"/>
      <c r="UKI144" s="72"/>
      <c r="UKJ144" s="72"/>
      <c r="UKK144" s="72"/>
      <c r="UKL144" s="72"/>
      <c r="UKM144" s="72"/>
      <c r="UKN144" s="72"/>
      <c r="UKO144" s="72"/>
      <c r="UKP144" s="72"/>
      <c r="UKQ144" s="72"/>
      <c r="UKR144" s="72"/>
      <c r="UKS144" s="72"/>
      <c r="UKT144" s="72"/>
      <c r="UKU144" s="72"/>
      <c r="UKV144" s="72"/>
      <c r="UKW144" s="72"/>
      <c r="UKX144" s="72"/>
      <c r="UKY144" s="72"/>
      <c r="UKZ144" s="72"/>
      <c r="ULA144" s="72"/>
      <c r="ULB144" s="72"/>
      <c r="ULC144" s="72"/>
      <c r="ULD144" s="72"/>
      <c r="ULE144" s="72"/>
      <c r="ULF144" s="72"/>
      <c r="ULG144" s="72"/>
      <c r="ULH144" s="72"/>
      <c r="ULI144" s="72"/>
      <c r="ULJ144" s="72"/>
      <c r="ULK144" s="72"/>
      <c r="ULL144" s="72"/>
      <c r="ULM144" s="72"/>
      <c r="ULN144" s="72"/>
      <c r="ULO144" s="72"/>
      <c r="ULP144" s="72"/>
      <c r="ULQ144" s="72"/>
      <c r="ULR144" s="72"/>
      <c r="ULS144" s="72"/>
      <c r="ULT144" s="72"/>
      <c r="ULU144" s="72"/>
      <c r="ULV144" s="72"/>
      <c r="ULW144" s="72"/>
      <c r="ULX144" s="72"/>
      <c r="ULY144" s="72"/>
      <c r="ULZ144" s="72"/>
      <c r="UMA144" s="72"/>
      <c r="UMB144" s="72"/>
      <c r="UMC144" s="72"/>
      <c r="UMD144" s="72"/>
      <c r="UME144" s="72"/>
      <c r="UMF144" s="72"/>
      <c r="UMG144" s="72"/>
      <c r="UMH144" s="72"/>
      <c r="UMI144" s="72"/>
      <c r="UMJ144" s="72"/>
      <c r="UMK144" s="72"/>
      <c r="UML144" s="72"/>
      <c r="UMM144" s="72"/>
      <c r="UMN144" s="72"/>
      <c r="UMO144" s="72"/>
      <c r="UMP144" s="72"/>
      <c r="UMQ144" s="72"/>
      <c r="UMR144" s="72"/>
      <c r="UMS144" s="72"/>
      <c r="UMT144" s="72"/>
      <c r="UMU144" s="72"/>
      <c r="UMV144" s="72"/>
      <c r="UMW144" s="72"/>
      <c r="UMX144" s="72"/>
      <c r="UMY144" s="72"/>
      <c r="UMZ144" s="72"/>
      <c r="UNA144" s="72"/>
      <c r="UNB144" s="72"/>
      <c r="UNC144" s="72"/>
      <c r="UND144" s="72"/>
      <c r="UNE144" s="72"/>
      <c r="UNF144" s="72"/>
      <c r="UNG144" s="72"/>
      <c r="UNH144" s="72"/>
      <c r="UNI144" s="72"/>
      <c r="UNJ144" s="72"/>
      <c r="UNK144" s="72"/>
      <c r="UNL144" s="72"/>
      <c r="UNM144" s="72"/>
      <c r="UNN144" s="72"/>
      <c r="UNO144" s="72"/>
      <c r="UNP144" s="72"/>
      <c r="UNQ144" s="72"/>
      <c r="UNR144" s="72"/>
      <c r="UNS144" s="72"/>
      <c r="UNT144" s="72"/>
      <c r="UNU144" s="72"/>
      <c r="UNV144" s="72"/>
      <c r="UNW144" s="72"/>
      <c r="UNX144" s="72"/>
      <c r="UNY144" s="72"/>
      <c r="UNZ144" s="72"/>
      <c r="UOA144" s="72"/>
      <c r="UOB144" s="72"/>
      <c r="UOC144" s="72"/>
      <c r="UOD144" s="72"/>
      <c r="UOE144" s="72"/>
      <c r="UOF144" s="72"/>
      <c r="UOG144" s="72"/>
      <c r="UOH144" s="72"/>
      <c r="UOI144" s="72"/>
      <c r="UOJ144" s="72"/>
      <c r="UOK144" s="72"/>
      <c r="UOL144" s="72"/>
      <c r="UOM144" s="72"/>
      <c r="UON144" s="72"/>
      <c r="UOO144" s="72"/>
      <c r="UOP144" s="72"/>
      <c r="UOQ144" s="72"/>
      <c r="UOR144" s="72"/>
      <c r="UOS144" s="72"/>
      <c r="UOT144" s="72"/>
      <c r="UOU144" s="72"/>
      <c r="UOV144" s="72"/>
      <c r="UOW144" s="72"/>
      <c r="UOX144" s="72"/>
      <c r="UOY144" s="72"/>
      <c r="UOZ144" s="72"/>
      <c r="UPA144" s="72"/>
      <c r="UPB144" s="72"/>
      <c r="UPC144" s="72"/>
      <c r="UPD144" s="72"/>
      <c r="UPE144" s="72"/>
      <c r="UPF144" s="72"/>
      <c r="UPG144" s="72"/>
      <c r="UPH144" s="72"/>
      <c r="UPI144" s="72"/>
      <c r="UPJ144" s="72"/>
      <c r="UPK144" s="72"/>
      <c r="UPL144" s="72"/>
      <c r="UPM144" s="72"/>
      <c r="UPN144" s="72"/>
      <c r="UPO144" s="72"/>
      <c r="UPP144" s="72"/>
      <c r="UPQ144" s="72"/>
      <c r="UPR144" s="72"/>
      <c r="UPS144" s="72"/>
      <c r="UPT144" s="72"/>
      <c r="UPU144" s="72"/>
      <c r="UPV144" s="72"/>
      <c r="UPW144" s="72"/>
      <c r="UPX144" s="72"/>
      <c r="UPY144" s="72"/>
      <c r="UPZ144" s="72"/>
      <c r="UQA144" s="72"/>
      <c r="UQB144" s="72"/>
      <c r="UQC144" s="72"/>
      <c r="UQD144" s="72"/>
      <c r="UQE144" s="72"/>
      <c r="UQF144" s="72"/>
      <c r="UQG144" s="72"/>
      <c r="UQH144" s="72"/>
      <c r="UQI144" s="72"/>
      <c r="UQJ144" s="72"/>
      <c r="UQK144" s="72"/>
      <c r="UQL144" s="72"/>
      <c r="UQM144" s="72"/>
      <c r="UQN144" s="72"/>
      <c r="UQO144" s="72"/>
      <c r="UQP144" s="72"/>
      <c r="UQQ144" s="72"/>
      <c r="UQR144" s="72"/>
      <c r="UQS144" s="72"/>
      <c r="UQT144" s="72"/>
      <c r="UQU144" s="72"/>
      <c r="UQV144" s="72"/>
      <c r="UQW144" s="72"/>
      <c r="UQX144" s="72"/>
      <c r="UQY144" s="72"/>
      <c r="UQZ144" s="72"/>
      <c r="URA144" s="72"/>
      <c r="URB144" s="72"/>
      <c r="URC144" s="72"/>
      <c r="URD144" s="72"/>
      <c r="URE144" s="72"/>
      <c r="URF144" s="72"/>
      <c r="URG144" s="72"/>
      <c r="URH144" s="72"/>
      <c r="URI144" s="72"/>
      <c r="URJ144" s="72"/>
      <c r="URK144" s="72"/>
      <c r="URL144" s="72"/>
      <c r="URM144" s="72"/>
      <c r="URN144" s="72"/>
      <c r="URO144" s="72"/>
      <c r="URP144" s="72"/>
      <c r="URQ144" s="72"/>
      <c r="URR144" s="72"/>
      <c r="URS144" s="72"/>
      <c r="URT144" s="72"/>
      <c r="URU144" s="72"/>
      <c r="URV144" s="72"/>
      <c r="URW144" s="72"/>
      <c r="URX144" s="72"/>
      <c r="URY144" s="72"/>
      <c r="URZ144" s="72"/>
      <c r="USA144" s="72"/>
      <c r="USB144" s="72"/>
      <c r="USC144" s="72"/>
      <c r="USD144" s="72"/>
      <c r="USE144" s="72"/>
      <c r="USF144" s="72"/>
      <c r="USG144" s="72"/>
      <c r="USH144" s="72"/>
      <c r="USI144" s="72"/>
      <c r="USJ144" s="72"/>
      <c r="USK144" s="72"/>
      <c r="USL144" s="72"/>
      <c r="USM144" s="72"/>
      <c r="USN144" s="72"/>
      <c r="USO144" s="72"/>
      <c r="USP144" s="72"/>
      <c r="USQ144" s="72"/>
      <c r="USR144" s="72"/>
      <c r="USS144" s="72"/>
      <c r="UST144" s="72"/>
      <c r="USU144" s="72"/>
      <c r="USV144" s="72"/>
      <c r="USW144" s="72"/>
      <c r="USX144" s="72"/>
      <c r="USY144" s="72"/>
      <c r="USZ144" s="72"/>
      <c r="UTA144" s="72"/>
      <c r="UTB144" s="72"/>
      <c r="UTC144" s="72"/>
      <c r="UTD144" s="72"/>
      <c r="UTE144" s="72"/>
      <c r="UTF144" s="72"/>
      <c r="UTG144" s="72"/>
      <c r="UTH144" s="72"/>
      <c r="UTI144" s="72"/>
      <c r="UTJ144" s="72"/>
      <c r="UTK144" s="72"/>
      <c r="UTL144" s="72"/>
      <c r="UTM144" s="72"/>
      <c r="UTN144" s="72"/>
      <c r="UTO144" s="72"/>
      <c r="UTP144" s="72"/>
      <c r="UTQ144" s="72"/>
      <c r="UTR144" s="72"/>
      <c r="UTS144" s="72"/>
      <c r="UTT144" s="72"/>
      <c r="UTU144" s="72"/>
      <c r="UTV144" s="72"/>
      <c r="UTW144" s="72"/>
      <c r="UTX144" s="72"/>
      <c r="UTY144" s="72"/>
      <c r="UTZ144" s="72"/>
      <c r="UUA144" s="72"/>
      <c r="UUB144" s="72"/>
      <c r="UUC144" s="72"/>
      <c r="UUD144" s="72"/>
      <c r="UUE144" s="72"/>
      <c r="UUF144" s="72"/>
      <c r="UUG144" s="72"/>
      <c r="UUH144" s="72"/>
      <c r="UUI144" s="72"/>
      <c r="UUJ144" s="72"/>
      <c r="UUK144" s="72"/>
      <c r="UUL144" s="72"/>
      <c r="UUM144" s="72"/>
      <c r="UUN144" s="72"/>
      <c r="UUO144" s="72"/>
      <c r="UUP144" s="72"/>
      <c r="UUQ144" s="72"/>
      <c r="UUR144" s="72"/>
      <c r="UUS144" s="72"/>
      <c r="UUT144" s="72"/>
      <c r="UUU144" s="72"/>
      <c r="UUV144" s="72"/>
      <c r="UUW144" s="72"/>
      <c r="UUX144" s="72"/>
      <c r="UUY144" s="72"/>
      <c r="UUZ144" s="72"/>
      <c r="UVA144" s="72"/>
      <c r="UVB144" s="72"/>
      <c r="UVC144" s="72"/>
      <c r="UVD144" s="72"/>
      <c r="UVE144" s="72"/>
      <c r="UVF144" s="72"/>
      <c r="UVG144" s="72"/>
      <c r="UVH144" s="72"/>
      <c r="UVI144" s="72"/>
      <c r="UVJ144" s="72"/>
      <c r="UVK144" s="72"/>
      <c r="UVL144" s="72"/>
      <c r="UVM144" s="72"/>
      <c r="UVN144" s="72"/>
      <c r="UVO144" s="72"/>
      <c r="UVP144" s="72"/>
      <c r="UVQ144" s="72"/>
      <c r="UVR144" s="72"/>
      <c r="UVS144" s="72"/>
      <c r="UVT144" s="72"/>
      <c r="UVU144" s="72"/>
      <c r="UVV144" s="72"/>
      <c r="UVW144" s="72"/>
      <c r="UVX144" s="72"/>
      <c r="UVY144" s="72"/>
      <c r="UVZ144" s="72"/>
      <c r="UWA144" s="72"/>
      <c r="UWB144" s="72"/>
      <c r="UWC144" s="72"/>
      <c r="UWD144" s="72"/>
      <c r="UWE144" s="72"/>
      <c r="UWF144" s="72"/>
      <c r="UWG144" s="72"/>
      <c r="UWH144" s="72"/>
      <c r="UWI144" s="72"/>
      <c r="UWJ144" s="72"/>
      <c r="UWK144" s="72"/>
      <c r="UWL144" s="72"/>
      <c r="UWM144" s="72"/>
      <c r="UWN144" s="72"/>
      <c r="UWO144" s="72"/>
      <c r="UWP144" s="72"/>
      <c r="UWQ144" s="72"/>
      <c r="UWR144" s="72"/>
      <c r="UWS144" s="72"/>
      <c r="UWT144" s="72"/>
      <c r="UWU144" s="72"/>
      <c r="UWV144" s="72"/>
      <c r="UWW144" s="72"/>
      <c r="UWX144" s="72"/>
      <c r="UWY144" s="72"/>
      <c r="UWZ144" s="72"/>
      <c r="UXA144" s="72"/>
      <c r="UXB144" s="72"/>
      <c r="UXC144" s="72"/>
      <c r="UXD144" s="72"/>
      <c r="UXE144" s="72"/>
      <c r="UXF144" s="72"/>
      <c r="UXG144" s="72"/>
      <c r="UXH144" s="72"/>
      <c r="UXI144" s="72"/>
      <c r="UXJ144" s="72"/>
      <c r="UXK144" s="72"/>
      <c r="UXL144" s="72"/>
      <c r="UXM144" s="72"/>
      <c r="UXN144" s="72"/>
      <c r="UXO144" s="72"/>
      <c r="UXP144" s="72"/>
      <c r="UXQ144" s="72"/>
      <c r="UXR144" s="72"/>
      <c r="UXS144" s="72"/>
      <c r="UXT144" s="72"/>
      <c r="UXU144" s="72"/>
      <c r="UXV144" s="72"/>
      <c r="UXW144" s="72"/>
      <c r="UXX144" s="72"/>
      <c r="UXY144" s="72"/>
      <c r="UXZ144" s="72"/>
      <c r="UYA144" s="72"/>
      <c r="UYB144" s="72"/>
      <c r="UYC144" s="72"/>
      <c r="UYD144" s="72"/>
      <c r="UYE144" s="72"/>
      <c r="UYF144" s="72"/>
      <c r="UYG144" s="72"/>
      <c r="UYH144" s="72"/>
      <c r="UYI144" s="72"/>
      <c r="UYJ144" s="72"/>
      <c r="UYK144" s="72"/>
      <c r="UYL144" s="72"/>
      <c r="UYM144" s="72"/>
      <c r="UYN144" s="72"/>
      <c r="UYO144" s="72"/>
      <c r="UYP144" s="72"/>
      <c r="UYQ144" s="72"/>
      <c r="UYR144" s="72"/>
      <c r="UYS144" s="72"/>
      <c r="UYT144" s="72"/>
      <c r="UYU144" s="72"/>
      <c r="UYV144" s="72"/>
      <c r="UYW144" s="72"/>
      <c r="UYX144" s="72"/>
      <c r="UYY144" s="72"/>
      <c r="UYZ144" s="72"/>
      <c r="UZA144" s="72"/>
      <c r="UZB144" s="72"/>
      <c r="UZC144" s="72"/>
      <c r="UZD144" s="72"/>
      <c r="UZE144" s="72"/>
      <c r="UZF144" s="72"/>
      <c r="UZG144" s="72"/>
      <c r="UZH144" s="72"/>
      <c r="UZI144" s="72"/>
      <c r="UZJ144" s="72"/>
      <c r="UZK144" s="72"/>
      <c r="UZL144" s="72"/>
      <c r="UZM144" s="72"/>
      <c r="UZN144" s="72"/>
      <c r="UZO144" s="72"/>
      <c r="UZP144" s="72"/>
      <c r="UZQ144" s="72"/>
      <c r="UZR144" s="72"/>
      <c r="UZS144" s="72"/>
      <c r="UZT144" s="72"/>
      <c r="UZU144" s="72"/>
      <c r="UZV144" s="72"/>
      <c r="UZW144" s="72"/>
      <c r="UZX144" s="72"/>
      <c r="UZY144" s="72"/>
      <c r="UZZ144" s="72"/>
      <c r="VAA144" s="72"/>
      <c r="VAB144" s="72"/>
      <c r="VAC144" s="72"/>
      <c r="VAD144" s="72"/>
      <c r="VAE144" s="72"/>
      <c r="VAF144" s="72"/>
      <c r="VAG144" s="72"/>
      <c r="VAH144" s="72"/>
      <c r="VAI144" s="72"/>
      <c r="VAJ144" s="72"/>
      <c r="VAK144" s="72"/>
      <c r="VAL144" s="72"/>
      <c r="VAM144" s="72"/>
      <c r="VAN144" s="72"/>
      <c r="VAO144" s="72"/>
      <c r="VAP144" s="72"/>
      <c r="VAQ144" s="72"/>
      <c r="VAR144" s="72"/>
      <c r="VAS144" s="72"/>
      <c r="VAT144" s="72"/>
      <c r="VAU144" s="72"/>
      <c r="VAV144" s="72"/>
      <c r="VAW144" s="72"/>
      <c r="VAX144" s="72"/>
      <c r="VAY144" s="72"/>
      <c r="VAZ144" s="72"/>
      <c r="VBA144" s="72"/>
      <c r="VBB144" s="72"/>
      <c r="VBC144" s="72"/>
      <c r="VBD144" s="72"/>
      <c r="VBE144" s="72"/>
      <c r="VBF144" s="72"/>
      <c r="VBG144" s="72"/>
      <c r="VBH144" s="72"/>
      <c r="VBI144" s="72"/>
      <c r="VBJ144" s="72"/>
      <c r="VBK144" s="72"/>
      <c r="VBL144" s="72"/>
      <c r="VBM144" s="72"/>
      <c r="VBN144" s="72"/>
      <c r="VBO144" s="72"/>
      <c r="VBP144" s="72"/>
      <c r="VBQ144" s="72"/>
      <c r="VBR144" s="72"/>
      <c r="VBS144" s="72"/>
      <c r="VBT144" s="72"/>
      <c r="VBU144" s="72"/>
      <c r="VBV144" s="72"/>
      <c r="VBW144" s="72"/>
      <c r="VBX144" s="72"/>
      <c r="VBY144" s="72"/>
      <c r="VBZ144" s="72"/>
      <c r="VCA144" s="72"/>
      <c r="VCB144" s="72"/>
      <c r="VCC144" s="72"/>
      <c r="VCD144" s="72"/>
      <c r="VCE144" s="72"/>
      <c r="VCF144" s="72"/>
      <c r="VCG144" s="72"/>
      <c r="VCH144" s="72"/>
      <c r="VCI144" s="72"/>
      <c r="VCJ144" s="72"/>
      <c r="VCK144" s="72"/>
      <c r="VCL144" s="72"/>
      <c r="VCM144" s="72"/>
      <c r="VCN144" s="72"/>
      <c r="VCO144" s="72"/>
      <c r="VCP144" s="72"/>
      <c r="VCQ144" s="72"/>
      <c r="VCR144" s="72"/>
      <c r="VCS144" s="72"/>
      <c r="VCT144" s="72"/>
      <c r="VCU144" s="72"/>
      <c r="VCV144" s="72"/>
      <c r="VCW144" s="72"/>
      <c r="VCX144" s="72"/>
      <c r="VCY144" s="72"/>
      <c r="VCZ144" s="72"/>
      <c r="VDA144" s="72"/>
      <c r="VDB144" s="72"/>
      <c r="VDC144" s="72"/>
      <c r="VDD144" s="72"/>
      <c r="VDE144" s="72"/>
      <c r="VDF144" s="72"/>
      <c r="VDG144" s="72"/>
      <c r="VDH144" s="72"/>
      <c r="VDI144" s="72"/>
      <c r="VDJ144" s="72"/>
      <c r="VDK144" s="72"/>
      <c r="VDL144" s="72"/>
      <c r="VDM144" s="72"/>
      <c r="VDN144" s="72"/>
      <c r="VDO144" s="72"/>
      <c r="VDP144" s="72"/>
      <c r="VDQ144" s="72"/>
      <c r="VDR144" s="72"/>
      <c r="VDS144" s="72"/>
      <c r="VDT144" s="72"/>
      <c r="VDU144" s="72"/>
      <c r="VDV144" s="72"/>
      <c r="VDW144" s="72"/>
      <c r="VDX144" s="72"/>
      <c r="VDY144" s="72"/>
      <c r="VDZ144" s="72"/>
      <c r="VEA144" s="72"/>
      <c r="VEB144" s="72"/>
      <c r="VEC144" s="72"/>
      <c r="VED144" s="72"/>
      <c r="VEE144" s="72"/>
      <c r="VEF144" s="72"/>
      <c r="VEG144" s="72"/>
      <c r="VEH144" s="72"/>
      <c r="VEI144" s="72"/>
      <c r="VEJ144" s="72"/>
      <c r="VEK144" s="72"/>
      <c r="VEL144" s="72"/>
      <c r="VEM144" s="72"/>
      <c r="VEN144" s="72"/>
      <c r="VEO144" s="72"/>
      <c r="VEP144" s="72"/>
      <c r="VEQ144" s="72"/>
      <c r="VER144" s="72"/>
      <c r="VES144" s="72"/>
      <c r="VET144" s="72"/>
      <c r="VEU144" s="72"/>
      <c r="VEV144" s="72"/>
      <c r="VEW144" s="72"/>
      <c r="VEX144" s="72"/>
      <c r="VEY144" s="72"/>
      <c r="VEZ144" s="72"/>
      <c r="VFA144" s="72"/>
      <c r="VFB144" s="72"/>
      <c r="VFC144" s="72"/>
      <c r="VFD144" s="72"/>
      <c r="VFE144" s="72"/>
      <c r="VFF144" s="72"/>
      <c r="VFG144" s="72"/>
      <c r="VFH144" s="72"/>
      <c r="VFI144" s="72"/>
      <c r="VFJ144" s="72"/>
      <c r="VFK144" s="72"/>
      <c r="VFL144" s="72"/>
      <c r="VFM144" s="72"/>
      <c r="VFN144" s="72"/>
      <c r="VFO144" s="72"/>
      <c r="VFP144" s="72"/>
      <c r="VFQ144" s="72"/>
      <c r="VFR144" s="72"/>
      <c r="VFS144" s="72"/>
      <c r="VFT144" s="72"/>
      <c r="VFU144" s="72"/>
      <c r="VFV144" s="72"/>
      <c r="VFW144" s="72"/>
      <c r="VFX144" s="72"/>
      <c r="VFY144" s="72"/>
      <c r="VFZ144" s="72"/>
      <c r="VGA144" s="72"/>
      <c r="VGB144" s="72"/>
      <c r="VGC144" s="72"/>
      <c r="VGD144" s="72"/>
      <c r="VGE144" s="72"/>
      <c r="VGF144" s="72"/>
      <c r="VGG144" s="72"/>
      <c r="VGH144" s="72"/>
      <c r="VGI144" s="72"/>
      <c r="VGJ144" s="72"/>
      <c r="VGK144" s="72"/>
      <c r="VGL144" s="72"/>
      <c r="VGM144" s="72"/>
      <c r="VGN144" s="72"/>
      <c r="VGO144" s="72"/>
      <c r="VGP144" s="72"/>
      <c r="VGQ144" s="72"/>
      <c r="VGR144" s="72"/>
      <c r="VGS144" s="72"/>
      <c r="VGT144" s="72"/>
      <c r="VGU144" s="72"/>
      <c r="VGV144" s="72"/>
      <c r="VGW144" s="72"/>
      <c r="VGX144" s="72"/>
      <c r="VGY144" s="72"/>
      <c r="VGZ144" s="72"/>
      <c r="VHA144" s="72"/>
      <c r="VHB144" s="72"/>
      <c r="VHC144" s="72"/>
      <c r="VHD144" s="72"/>
      <c r="VHE144" s="72"/>
      <c r="VHF144" s="72"/>
      <c r="VHG144" s="72"/>
      <c r="VHH144" s="72"/>
      <c r="VHI144" s="72"/>
      <c r="VHJ144" s="72"/>
      <c r="VHK144" s="72"/>
      <c r="VHL144" s="72"/>
      <c r="VHM144" s="72"/>
      <c r="VHN144" s="72"/>
      <c r="VHO144" s="72"/>
      <c r="VHP144" s="72"/>
      <c r="VHQ144" s="72"/>
      <c r="VHR144" s="72"/>
      <c r="VHS144" s="72"/>
      <c r="VHT144" s="72"/>
      <c r="VHU144" s="72"/>
      <c r="VHV144" s="72"/>
      <c r="VHW144" s="72"/>
      <c r="VHX144" s="72"/>
      <c r="VHY144" s="72"/>
      <c r="VHZ144" s="72"/>
      <c r="VIA144" s="72"/>
      <c r="VIB144" s="72"/>
      <c r="VIC144" s="72"/>
      <c r="VID144" s="72"/>
      <c r="VIE144" s="72"/>
      <c r="VIF144" s="72"/>
      <c r="VIG144" s="72"/>
      <c r="VIH144" s="72"/>
      <c r="VII144" s="72"/>
      <c r="VIJ144" s="72"/>
      <c r="VIK144" s="72"/>
      <c r="VIL144" s="72"/>
      <c r="VIM144" s="72"/>
      <c r="VIN144" s="72"/>
      <c r="VIO144" s="72"/>
      <c r="VIP144" s="72"/>
      <c r="VIQ144" s="72"/>
      <c r="VIR144" s="72"/>
      <c r="VIS144" s="72"/>
      <c r="VIT144" s="72"/>
      <c r="VIU144" s="72"/>
      <c r="VIV144" s="72"/>
      <c r="VIW144" s="72"/>
      <c r="VIX144" s="72"/>
      <c r="VIY144" s="72"/>
      <c r="VIZ144" s="72"/>
      <c r="VJA144" s="72"/>
      <c r="VJB144" s="72"/>
      <c r="VJC144" s="72"/>
      <c r="VJD144" s="72"/>
      <c r="VJE144" s="72"/>
      <c r="VJF144" s="72"/>
      <c r="VJG144" s="72"/>
      <c r="VJH144" s="72"/>
      <c r="VJI144" s="72"/>
      <c r="VJJ144" s="72"/>
      <c r="VJK144" s="72"/>
      <c r="VJL144" s="72"/>
      <c r="VJM144" s="72"/>
      <c r="VJN144" s="72"/>
      <c r="VJO144" s="72"/>
      <c r="VJP144" s="72"/>
      <c r="VJQ144" s="72"/>
      <c r="VJR144" s="72"/>
      <c r="VJS144" s="72"/>
      <c r="VJT144" s="72"/>
      <c r="VJU144" s="72"/>
      <c r="VJV144" s="72"/>
      <c r="VJW144" s="72"/>
      <c r="VJX144" s="72"/>
      <c r="VJY144" s="72"/>
      <c r="VJZ144" s="72"/>
      <c r="VKA144" s="72"/>
      <c r="VKB144" s="72"/>
      <c r="VKC144" s="72"/>
      <c r="VKD144" s="72"/>
      <c r="VKE144" s="72"/>
      <c r="VKF144" s="72"/>
      <c r="VKG144" s="72"/>
      <c r="VKH144" s="72"/>
      <c r="VKI144" s="72"/>
      <c r="VKJ144" s="72"/>
      <c r="VKK144" s="72"/>
      <c r="VKL144" s="72"/>
      <c r="VKM144" s="72"/>
      <c r="VKN144" s="72"/>
      <c r="VKO144" s="72"/>
      <c r="VKP144" s="72"/>
      <c r="VKQ144" s="72"/>
      <c r="VKR144" s="72"/>
      <c r="VKS144" s="72"/>
      <c r="VKT144" s="72"/>
      <c r="VKU144" s="72"/>
      <c r="VKV144" s="72"/>
      <c r="VKW144" s="72"/>
      <c r="VKX144" s="72"/>
      <c r="VKY144" s="72"/>
      <c r="VKZ144" s="72"/>
      <c r="VLA144" s="72"/>
      <c r="VLB144" s="72"/>
      <c r="VLC144" s="72"/>
      <c r="VLD144" s="72"/>
      <c r="VLE144" s="72"/>
      <c r="VLF144" s="72"/>
      <c r="VLG144" s="72"/>
      <c r="VLH144" s="72"/>
      <c r="VLI144" s="72"/>
      <c r="VLJ144" s="72"/>
      <c r="VLK144" s="72"/>
      <c r="VLL144" s="72"/>
      <c r="VLM144" s="72"/>
      <c r="VLN144" s="72"/>
      <c r="VLO144" s="72"/>
      <c r="VLP144" s="72"/>
      <c r="VLQ144" s="72"/>
      <c r="VLR144" s="72"/>
      <c r="VLS144" s="72"/>
      <c r="VLT144" s="72"/>
      <c r="VLU144" s="72"/>
      <c r="VLV144" s="72"/>
      <c r="VLW144" s="72"/>
      <c r="VLX144" s="72"/>
      <c r="VLY144" s="72"/>
      <c r="VLZ144" s="72"/>
      <c r="VMA144" s="72"/>
      <c r="VMB144" s="72"/>
      <c r="VMC144" s="72"/>
      <c r="VMD144" s="72"/>
      <c r="VME144" s="72"/>
      <c r="VMF144" s="72"/>
      <c r="VMG144" s="72"/>
      <c r="VMH144" s="72"/>
      <c r="VMI144" s="72"/>
      <c r="VMJ144" s="72"/>
      <c r="VMK144" s="72"/>
      <c r="VML144" s="72"/>
      <c r="VMM144" s="72"/>
      <c r="VMN144" s="72"/>
      <c r="VMO144" s="72"/>
      <c r="VMP144" s="72"/>
      <c r="VMQ144" s="72"/>
      <c r="VMR144" s="72"/>
      <c r="VMS144" s="72"/>
      <c r="VMT144" s="72"/>
      <c r="VMU144" s="72"/>
      <c r="VMV144" s="72"/>
      <c r="VMW144" s="72"/>
      <c r="VMX144" s="72"/>
      <c r="VMY144" s="72"/>
      <c r="VMZ144" s="72"/>
      <c r="VNA144" s="72"/>
      <c r="VNB144" s="72"/>
      <c r="VNC144" s="72"/>
      <c r="VND144" s="72"/>
      <c r="VNE144" s="72"/>
      <c r="VNF144" s="72"/>
      <c r="VNG144" s="72"/>
      <c r="VNH144" s="72"/>
      <c r="VNI144" s="72"/>
      <c r="VNJ144" s="72"/>
      <c r="VNK144" s="72"/>
      <c r="VNL144" s="72"/>
      <c r="VNM144" s="72"/>
      <c r="VNN144" s="72"/>
      <c r="VNO144" s="72"/>
      <c r="VNP144" s="72"/>
      <c r="VNQ144" s="72"/>
      <c r="VNR144" s="72"/>
      <c r="VNS144" s="72"/>
      <c r="VNT144" s="72"/>
      <c r="VNU144" s="72"/>
      <c r="VNV144" s="72"/>
      <c r="VNW144" s="72"/>
      <c r="VNX144" s="72"/>
      <c r="VNY144" s="72"/>
      <c r="VNZ144" s="72"/>
      <c r="VOA144" s="72"/>
      <c r="VOB144" s="72"/>
      <c r="VOC144" s="72"/>
      <c r="VOD144" s="72"/>
      <c r="VOE144" s="72"/>
      <c r="VOF144" s="72"/>
      <c r="VOG144" s="72"/>
      <c r="VOH144" s="72"/>
      <c r="VOI144" s="72"/>
      <c r="VOJ144" s="72"/>
      <c r="VOK144" s="72"/>
      <c r="VOL144" s="72"/>
      <c r="VOM144" s="72"/>
      <c r="VON144" s="72"/>
      <c r="VOO144" s="72"/>
      <c r="VOP144" s="72"/>
      <c r="VOQ144" s="72"/>
      <c r="VOR144" s="72"/>
      <c r="VOS144" s="72"/>
      <c r="VOT144" s="72"/>
      <c r="VOU144" s="72"/>
      <c r="VOV144" s="72"/>
      <c r="VOW144" s="72"/>
      <c r="VOX144" s="72"/>
      <c r="VOY144" s="72"/>
      <c r="VOZ144" s="72"/>
      <c r="VPA144" s="72"/>
      <c r="VPB144" s="72"/>
      <c r="VPC144" s="72"/>
      <c r="VPD144" s="72"/>
      <c r="VPE144" s="72"/>
      <c r="VPF144" s="72"/>
      <c r="VPG144" s="72"/>
      <c r="VPH144" s="72"/>
      <c r="VPI144" s="72"/>
      <c r="VPJ144" s="72"/>
      <c r="VPK144" s="72"/>
      <c r="VPL144" s="72"/>
      <c r="VPM144" s="72"/>
      <c r="VPN144" s="72"/>
      <c r="VPO144" s="72"/>
      <c r="VPP144" s="72"/>
      <c r="VPQ144" s="72"/>
      <c r="VPR144" s="72"/>
      <c r="VPS144" s="72"/>
      <c r="VPT144" s="72"/>
      <c r="VPU144" s="72"/>
      <c r="VPV144" s="72"/>
      <c r="VPW144" s="72"/>
      <c r="VPX144" s="72"/>
      <c r="VPY144" s="72"/>
      <c r="VPZ144" s="72"/>
      <c r="VQA144" s="72"/>
      <c r="VQB144" s="72"/>
      <c r="VQC144" s="72"/>
      <c r="VQD144" s="72"/>
      <c r="VQE144" s="72"/>
      <c r="VQF144" s="72"/>
      <c r="VQG144" s="72"/>
      <c r="VQH144" s="72"/>
      <c r="VQI144" s="72"/>
      <c r="VQJ144" s="72"/>
      <c r="VQK144" s="72"/>
      <c r="VQL144" s="72"/>
      <c r="VQM144" s="72"/>
      <c r="VQN144" s="72"/>
      <c r="VQO144" s="72"/>
      <c r="VQP144" s="72"/>
      <c r="VQQ144" s="72"/>
      <c r="VQR144" s="72"/>
      <c r="VQS144" s="72"/>
      <c r="VQT144" s="72"/>
      <c r="VQU144" s="72"/>
      <c r="VQV144" s="72"/>
      <c r="VQW144" s="72"/>
      <c r="VQX144" s="72"/>
      <c r="VQY144" s="72"/>
      <c r="VQZ144" s="72"/>
      <c r="VRA144" s="72"/>
      <c r="VRB144" s="72"/>
      <c r="VRC144" s="72"/>
      <c r="VRD144" s="72"/>
      <c r="VRE144" s="72"/>
      <c r="VRF144" s="72"/>
      <c r="VRG144" s="72"/>
      <c r="VRH144" s="72"/>
      <c r="VRI144" s="72"/>
      <c r="VRJ144" s="72"/>
      <c r="VRK144" s="72"/>
      <c r="VRL144" s="72"/>
      <c r="VRM144" s="72"/>
      <c r="VRN144" s="72"/>
      <c r="VRO144" s="72"/>
      <c r="VRP144" s="72"/>
      <c r="VRQ144" s="72"/>
      <c r="VRR144" s="72"/>
      <c r="VRS144" s="72"/>
      <c r="VRT144" s="72"/>
      <c r="VRU144" s="72"/>
      <c r="VRV144" s="72"/>
      <c r="VRW144" s="72"/>
      <c r="VRX144" s="72"/>
      <c r="VRY144" s="72"/>
      <c r="VRZ144" s="72"/>
      <c r="VSA144" s="72"/>
      <c r="VSB144" s="72"/>
      <c r="VSC144" s="72"/>
      <c r="VSD144" s="72"/>
      <c r="VSE144" s="72"/>
      <c r="VSF144" s="72"/>
      <c r="VSG144" s="72"/>
      <c r="VSH144" s="72"/>
      <c r="VSI144" s="72"/>
      <c r="VSJ144" s="72"/>
      <c r="VSK144" s="72"/>
      <c r="VSL144" s="72"/>
      <c r="VSM144" s="72"/>
      <c r="VSN144" s="72"/>
      <c r="VSO144" s="72"/>
      <c r="VSP144" s="72"/>
      <c r="VSQ144" s="72"/>
      <c r="VSR144" s="72"/>
      <c r="VSS144" s="72"/>
      <c r="VST144" s="72"/>
      <c r="VSU144" s="72"/>
      <c r="VSV144" s="72"/>
      <c r="VSW144" s="72"/>
      <c r="VSX144" s="72"/>
      <c r="VSY144" s="72"/>
      <c r="VSZ144" s="72"/>
      <c r="VTA144" s="72"/>
      <c r="VTB144" s="72"/>
      <c r="VTC144" s="72"/>
      <c r="VTD144" s="72"/>
      <c r="VTE144" s="72"/>
      <c r="VTF144" s="72"/>
      <c r="VTG144" s="72"/>
      <c r="VTH144" s="72"/>
      <c r="VTI144" s="72"/>
      <c r="VTJ144" s="72"/>
      <c r="VTK144" s="72"/>
      <c r="VTL144" s="72"/>
      <c r="VTM144" s="72"/>
      <c r="VTN144" s="72"/>
      <c r="VTO144" s="72"/>
      <c r="VTP144" s="72"/>
      <c r="VTQ144" s="72"/>
      <c r="VTR144" s="72"/>
      <c r="VTS144" s="72"/>
      <c r="VTT144" s="72"/>
      <c r="VTU144" s="72"/>
      <c r="VTV144" s="72"/>
      <c r="VTW144" s="72"/>
      <c r="VTX144" s="72"/>
      <c r="VTY144" s="72"/>
      <c r="VTZ144" s="72"/>
      <c r="VUA144" s="72"/>
      <c r="VUB144" s="72"/>
      <c r="VUC144" s="72"/>
      <c r="VUD144" s="72"/>
      <c r="VUE144" s="72"/>
      <c r="VUF144" s="72"/>
      <c r="VUG144" s="72"/>
      <c r="VUH144" s="72"/>
      <c r="VUI144" s="72"/>
      <c r="VUJ144" s="72"/>
      <c r="VUK144" s="72"/>
      <c r="VUL144" s="72"/>
      <c r="VUM144" s="72"/>
      <c r="VUN144" s="72"/>
      <c r="VUO144" s="72"/>
      <c r="VUP144" s="72"/>
      <c r="VUQ144" s="72"/>
      <c r="VUR144" s="72"/>
      <c r="VUS144" s="72"/>
      <c r="VUT144" s="72"/>
      <c r="VUU144" s="72"/>
      <c r="VUV144" s="72"/>
      <c r="VUW144" s="72"/>
      <c r="VUX144" s="72"/>
      <c r="VUY144" s="72"/>
      <c r="VUZ144" s="72"/>
      <c r="VVA144" s="72"/>
      <c r="VVB144" s="72"/>
      <c r="VVC144" s="72"/>
      <c r="VVD144" s="72"/>
      <c r="VVE144" s="72"/>
      <c r="VVF144" s="72"/>
      <c r="VVG144" s="72"/>
      <c r="VVH144" s="72"/>
      <c r="VVI144" s="72"/>
      <c r="VVJ144" s="72"/>
      <c r="VVK144" s="72"/>
      <c r="VVL144" s="72"/>
      <c r="VVM144" s="72"/>
      <c r="VVN144" s="72"/>
      <c r="VVO144" s="72"/>
      <c r="VVP144" s="72"/>
      <c r="VVQ144" s="72"/>
      <c r="VVR144" s="72"/>
      <c r="VVS144" s="72"/>
      <c r="VVT144" s="72"/>
      <c r="VVU144" s="72"/>
      <c r="VVV144" s="72"/>
      <c r="VVW144" s="72"/>
      <c r="VVX144" s="72"/>
      <c r="VVY144" s="72"/>
      <c r="VVZ144" s="72"/>
      <c r="VWA144" s="72"/>
      <c r="VWB144" s="72"/>
      <c r="VWC144" s="72"/>
      <c r="VWD144" s="72"/>
      <c r="VWE144" s="72"/>
      <c r="VWF144" s="72"/>
      <c r="VWG144" s="72"/>
      <c r="VWH144" s="72"/>
      <c r="VWI144" s="72"/>
      <c r="VWJ144" s="72"/>
      <c r="VWK144" s="72"/>
      <c r="VWL144" s="72"/>
      <c r="VWM144" s="72"/>
      <c r="VWN144" s="72"/>
      <c r="VWO144" s="72"/>
      <c r="VWP144" s="72"/>
      <c r="VWQ144" s="72"/>
      <c r="VWR144" s="72"/>
      <c r="VWS144" s="72"/>
      <c r="VWT144" s="72"/>
      <c r="VWU144" s="72"/>
      <c r="VWV144" s="72"/>
      <c r="VWW144" s="72"/>
      <c r="VWX144" s="72"/>
      <c r="VWY144" s="72"/>
      <c r="VWZ144" s="72"/>
      <c r="VXA144" s="72"/>
      <c r="VXB144" s="72"/>
      <c r="VXC144" s="72"/>
      <c r="VXD144" s="72"/>
      <c r="VXE144" s="72"/>
      <c r="VXF144" s="72"/>
      <c r="VXG144" s="72"/>
      <c r="VXH144" s="72"/>
      <c r="VXI144" s="72"/>
      <c r="VXJ144" s="72"/>
      <c r="VXK144" s="72"/>
      <c r="VXL144" s="72"/>
      <c r="VXM144" s="72"/>
      <c r="VXN144" s="72"/>
      <c r="VXO144" s="72"/>
      <c r="VXP144" s="72"/>
      <c r="VXQ144" s="72"/>
      <c r="VXR144" s="72"/>
      <c r="VXS144" s="72"/>
      <c r="VXT144" s="72"/>
      <c r="VXU144" s="72"/>
      <c r="VXV144" s="72"/>
      <c r="VXW144" s="72"/>
      <c r="VXX144" s="72"/>
      <c r="VXY144" s="72"/>
      <c r="VXZ144" s="72"/>
      <c r="VYA144" s="72"/>
      <c r="VYB144" s="72"/>
      <c r="VYC144" s="72"/>
      <c r="VYD144" s="72"/>
      <c r="VYE144" s="72"/>
      <c r="VYF144" s="72"/>
      <c r="VYG144" s="72"/>
      <c r="VYH144" s="72"/>
      <c r="VYI144" s="72"/>
      <c r="VYJ144" s="72"/>
      <c r="VYK144" s="72"/>
      <c r="VYL144" s="72"/>
      <c r="VYM144" s="72"/>
      <c r="VYN144" s="72"/>
      <c r="VYO144" s="72"/>
      <c r="VYP144" s="72"/>
      <c r="VYQ144" s="72"/>
      <c r="VYR144" s="72"/>
      <c r="VYS144" s="72"/>
      <c r="VYT144" s="72"/>
      <c r="VYU144" s="72"/>
      <c r="VYV144" s="72"/>
      <c r="VYW144" s="72"/>
      <c r="VYX144" s="72"/>
      <c r="VYY144" s="72"/>
      <c r="VYZ144" s="72"/>
      <c r="VZA144" s="72"/>
      <c r="VZB144" s="72"/>
      <c r="VZC144" s="72"/>
      <c r="VZD144" s="72"/>
      <c r="VZE144" s="72"/>
      <c r="VZF144" s="72"/>
      <c r="VZG144" s="72"/>
      <c r="VZH144" s="72"/>
      <c r="VZI144" s="72"/>
      <c r="VZJ144" s="72"/>
      <c r="VZK144" s="72"/>
      <c r="VZL144" s="72"/>
      <c r="VZM144" s="72"/>
      <c r="VZN144" s="72"/>
      <c r="VZO144" s="72"/>
      <c r="VZP144" s="72"/>
      <c r="VZQ144" s="72"/>
      <c r="VZR144" s="72"/>
      <c r="VZS144" s="72"/>
      <c r="VZT144" s="72"/>
      <c r="VZU144" s="72"/>
      <c r="VZV144" s="72"/>
      <c r="VZW144" s="72"/>
      <c r="VZX144" s="72"/>
      <c r="VZY144" s="72"/>
      <c r="VZZ144" s="72"/>
      <c r="WAA144" s="72"/>
      <c r="WAB144" s="72"/>
      <c r="WAC144" s="72"/>
      <c r="WAD144" s="72"/>
      <c r="WAE144" s="72"/>
      <c r="WAF144" s="72"/>
      <c r="WAG144" s="72"/>
      <c r="WAH144" s="72"/>
      <c r="WAI144" s="72"/>
      <c r="WAJ144" s="72"/>
      <c r="WAK144" s="72"/>
      <c r="WAL144" s="72"/>
      <c r="WAM144" s="72"/>
      <c r="WAN144" s="72"/>
      <c r="WAO144" s="72"/>
      <c r="WAP144" s="72"/>
      <c r="WAQ144" s="72"/>
      <c r="WAR144" s="72"/>
      <c r="WAS144" s="72"/>
      <c r="WAT144" s="72"/>
      <c r="WAU144" s="72"/>
      <c r="WAV144" s="72"/>
      <c r="WAW144" s="72"/>
      <c r="WAX144" s="72"/>
      <c r="WAY144" s="72"/>
      <c r="WAZ144" s="72"/>
      <c r="WBA144" s="72"/>
      <c r="WBB144" s="72"/>
      <c r="WBC144" s="72"/>
      <c r="WBD144" s="72"/>
      <c r="WBE144" s="72"/>
      <c r="WBF144" s="72"/>
      <c r="WBG144" s="72"/>
      <c r="WBH144" s="72"/>
      <c r="WBI144" s="72"/>
      <c r="WBJ144" s="72"/>
      <c r="WBK144" s="72"/>
      <c r="WBL144" s="72"/>
      <c r="WBM144" s="72"/>
      <c r="WBN144" s="72"/>
      <c r="WBO144" s="72"/>
      <c r="WBP144" s="72"/>
      <c r="WBQ144" s="72"/>
      <c r="WBR144" s="72"/>
      <c r="WBS144" s="72"/>
      <c r="WBT144" s="72"/>
      <c r="WBU144" s="72"/>
      <c r="WBV144" s="72"/>
      <c r="WBW144" s="72"/>
      <c r="WBX144" s="72"/>
      <c r="WBY144" s="72"/>
      <c r="WBZ144" s="72"/>
      <c r="WCA144" s="72"/>
      <c r="WCB144" s="72"/>
      <c r="WCC144" s="72"/>
      <c r="WCD144" s="72"/>
      <c r="WCE144" s="72"/>
      <c r="WCF144" s="72"/>
      <c r="WCG144" s="72"/>
      <c r="WCH144" s="72"/>
      <c r="WCI144" s="72"/>
      <c r="WCJ144" s="72"/>
      <c r="WCK144" s="72"/>
      <c r="WCL144" s="72"/>
      <c r="WCM144" s="72"/>
      <c r="WCN144" s="72"/>
      <c r="WCO144" s="72"/>
      <c r="WCP144" s="72"/>
      <c r="WCQ144" s="72"/>
      <c r="WCR144" s="72"/>
      <c r="WCS144" s="72"/>
      <c r="WCT144" s="72"/>
      <c r="WCU144" s="72"/>
      <c r="WCV144" s="72"/>
      <c r="WCW144" s="72"/>
      <c r="WCX144" s="72"/>
      <c r="WCY144" s="72"/>
      <c r="WCZ144" s="72"/>
      <c r="WDA144" s="72"/>
      <c r="WDB144" s="72"/>
      <c r="WDC144" s="72"/>
      <c r="WDD144" s="72"/>
      <c r="WDE144" s="72"/>
      <c r="WDF144" s="72"/>
      <c r="WDG144" s="72"/>
      <c r="WDH144" s="72"/>
      <c r="WDI144" s="72"/>
      <c r="WDJ144" s="72"/>
      <c r="WDK144" s="72"/>
      <c r="WDL144" s="72"/>
      <c r="WDM144" s="72"/>
      <c r="WDN144" s="72"/>
      <c r="WDO144" s="72"/>
      <c r="WDP144" s="72"/>
      <c r="WDQ144" s="72"/>
      <c r="WDR144" s="72"/>
      <c r="WDS144" s="72"/>
      <c r="WDT144" s="72"/>
      <c r="WDU144" s="72"/>
      <c r="WDV144" s="72"/>
      <c r="WDW144" s="72"/>
      <c r="WDX144" s="72"/>
      <c r="WDY144" s="72"/>
      <c r="WDZ144" s="72"/>
      <c r="WEA144" s="72"/>
      <c r="WEB144" s="72"/>
      <c r="WEC144" s="72"/>
      <c r="WED144" s="72"/>
      <c r="WEE144" s="72"/>
      <c r="WEF144" s="72"/>
      <c r="WEG144" s="72"/>
      <c r="WEH144" s="72"/>
      <c r="WEI144" s="72"/>
      <c r="WEJ144" s="72"/>
      <c r="WEK144" s="72"/>
      <c r="WEL144" s="72"/>
      <c r="WEM144" s="72"/>
      <c r="WEN144" s="72"/>
      <c r="WEO144" s="72"/>
      <c r="WEP144" s="72"/>
      <c r="WEQ144" s="72"/>
      <c r="WER144" s="72"/>
      <c r="WES144" s="72"/>
      <c r="WET144" s="72"/>
      <c r="WEU144" s="72"/>
      <c r="WEV144" s="72"/>
      <c r="WEW144" s="72"/>
      <c r="WEX144" s="72"/>
      <c r="WEY144" s="72"/>
      <c r="WEZ144" s="72"/>
      <c r="WFA144" s="72"/>
      <c r="WFB144" s="72"/>
      <c r="WFC144" s="72"/>
      <c r="WFD144" s="72"/>
      <c r="WFE144" s="72"/>
      <c r="WFF144" s="72"/>
      <c r="WFG144" s="72"/>
      <c r="WFH144" s="72"/>
      <c r="WFI144" s="72"/>
      <c r="WFJ144" s="72"/>
      <c r="WFK144" s="72"/>
      <c r="WFL144" s="72"/>
      <c r="WFM144" s="72"/>
      <c r="WFN144" s="72"/>
      <c r="WFO144" s="72"/>
      <c r="WFP144" s="72"/>
      <c r="WFQ144" s="72"/>
      <c r="WFR144" s="72"/>
      <c r="WFS144" s="72"/>
      <c r="WFT144" s="72"/>
      <c r="WFU144" s="72"/>
      <c r="WFV144" s="72"/>
      <c r="WFW144" s="72"/>
      <c r="WFX144" s="72"/>
      <c r="WFY144" s="72"/>
      <c r="WFZ144" s="72"/>
      <c r="WGA144" s="72"/>
      <c r="WGB144" s="72"/>
      <c r="WGC144" s="72"/>
      <c r="WGD144" s="72"/>
      <c r="WGE144" s="72"/>
      <c r="WGF144" s="72"/>
      <c r="WGG144" s="72"/>
      <c r="WGH144" s="72"/>
      <c r="WGI144" s="72"/>
      <c r="WGJ144" s="72"/>
      <c r="WGK144" s="72"/>
      <c r="WGL144" s="72"/>
      <c r="WGM144" s="72"/>
      <c r="WGN144" s="72"/>
      <c r="WGO144" s="72"/>
      <c r="WGP144" s="72"/>
      <c r="WGQ144" s="72"/>
      <c r="WGR144" s="72"/>
      <c r="WGS144" s="72"/>
      <c r="WGT144" s="72"/>
      <c r="WGU144" s="72"/>
      <c r="WGV144" s="72"/>
      <c r="WGW144" s="72"/>
      <c r="WGX144" s="72"/>
      <c r="WGY144" s="72"/>
      <c r="WGZ144" s="72"/>
      <c r="WHA144" s="72"/>
      <c r="WHB144" s="72"/>
      <c r="WHC144" s="72"/>
      <c r="WHD144" s="72"/>
      <c r="WHE144" s="72"/>
      <c r="WHF144" s="72"/>
      <c r="WHG144" s="72"/>
      <c r="WHH144" s="72"/>
      <c r="WHI144" s="72"/>
      <c r="WHJ144" s="72"/>
      <c r="WHK144" s="72"/>
      <c r="WHL144" s="72"/>
      <c r="WHM144" s="72"/>
      <c r="WHN144" s="72"/>
      <c r="WHO144" s="72"/>
      <c r="WHP144" s="72"/>
      <c r="WHQ144" s="72"/>
      <c r="WHR144" s="72"/>
      <c r="WHS144" s="72"/>
      <c r="WHT144" s="72"/>
      <c r="WHU144" s="72"/>
      <c r="WHV144" s="72"/>
      <c r="WHW144" s="72"/>
      <c r="WHX144" s="72"/>
      <c r="WHY144" s="72"/>
      <c r="WHZ144" s="72"/>
      <c r="WIA144" s="72"/>
      <c r="WIB144" s="72"/>
      <c r="WIC144" s="72"/>
      <c r="WID144" s="72"/>
      <c r="WIE144" s="72"/>
      <c r="WIF144" s="72"/>
      <c r="WIG144" s="72"/>
      <c r="WIH144" s="72"/>
      <c r="WII144" s="72"/>
      <c r="WIJ144" s="72"/>
      <c r="WIK144" s="72"/>
      <c r="WIL144" s="72"/>
      <c r="WIM144" s="72"/>
      <c r="WIN144" s="72"/>
      <c r="WIO144" s="72"/>
      <c r="WIP144" s="72"/>
      <c r="WIQ144" s="72"/>
      <c r="WIR144" s="72"/>
      <c r="WIS144" s="72"/>
      <c r="WIT144" s="72"/>
      <c r="WIU144" s="72"/>
      <c r="WIV144" s="72"/>
      <c r="WIW144" s="72"/>
      <c r="WIX144" s="72"/>
      <c r="WIY144" s="72"/>
      <c r="WIZ144" s="72"/>
      <c r="WJA144" s="72"/>
      <c r="WJB144" s="72"/>
      <c r="WJC144" s="72"/>
      <c r="WJD144" s="72"/>
      <c r="WJE144" s="72"/>
      <c r="WJF144" s="72"/>
      <c r="WJG144" s="72"/>
      <c r="WJH144" s="72"/>
      <c r="WJI144" s="72"/>
      <c r="WJJ144" s="72"/>
      <c r="WJK144" s="72"/>
      <c r="WJL144" s="72"/>
      <c r="WJM144" s="72"/>
      <c r="WJN144" s="72"/>
      <c r="WJO144" s="72"/>
      <c r="WJP144" s="72"/>
      <c r="WJQ144" s="72"/>
      <c r="WJR144" s="72"/>
      <c r="WJS144" s="72"/>
      <c r="WJT144" s="72"/>
      <c r="WJU144" s="72"/>
      <c r="WJV144" s="72"/>
      <c r="WJW144" s="72"/>
      <c r="WJX144" s="72"/>
      <c r="WJY144" s="72"/>
      <c r="WJZ144" s="72"/>
      <c r="WKA144" s="72"/>
      <c r="WKB144" s="72"/>
      <c r="WKC144" s="72"/>
      <c r="WKD144" s="72"/>
      <c r="WKE144" s="72"/>
      <c r="WKF144" s="72"/>
      <c r="WKG144" s="72"/>
      <c r="WKH144" s="72"/>
      <c r="WKI144" s="72"/>
      <c r="WKJ144" s="72"/>
      <c r="WKK144" s="72"/>
      <c r="WKL144" s="72"/>
      <c r="WKM144" s="72"/>
      <c r="WKN144" s="72"/>
      <c r="WKO144" s="72"/>
      <c r="WKP144" s="72"/>
      <c r="WKQ144" s="72"/>
      <c r="WKR144" s="72"/>
      <c r="WKS144" s="72"/>
      <c r="WKT144" s="72"/>
      <c r="WKU144" s="72"/>
      <c r="WKV144" s="72"/>
      <c r="WKW144" s="72"/>
      <c r="WKX144" s="72"/>
      <c r="WKY144" s="72"/>
      <c r="WKZ144" s="72"/>
      <c r="WLA144" s="72"/>
      <c r="WLB144" s="72"/>
      <c r="WLC144" s="72"/>
      <c r="WLD144" s="72"/>
      <c r="WLE144" s="72"/>
      <c r="WLF144" s="72"/>
      <c r="WLG144" s="72"/>
      <c r="WLH144" s="72"/>
      <c r="WLI144" s="72"/>
      <c r="WLJ144" s="72"/>
      <c r="WLK144" s="72"/>
      <c r="WLL144" s="72"/>
      <c r="WLM144" s="72"/>
      <c r="WLN144" s="72"/>
      <c r="WLO144" s="72"/>
      <c r="WLP144" s="72"/>
      <c r="WLQ144" s="72"/>
      <c r="WLR144" s="72"/>
      <c r="WLS144" s="72"/>
      <c r="WLT144" s="72"/>
      <c r="WLU144" s="72"/>
      <c r="WLV144" s="72"/>
      <c r="WLW144" s="72"/>
      <c r="WLX144" s="72"/>
      <c r="WLY144" s="72"/>
      <c r="WLZ144" s="72"/>
      <c r="WMA144" s="72"/>
      <c r="WMB144" s="72"/>
      <c r="WMC144" s="72"/>
      <c r="WMD144" s="72"/>
      <c r="WME144" s="72"/>
      <c r="WMF144" s="72"/>
      <c r="WMG144" s="72"/>
      <c r="WMH144" s="72"/>
      <c r="WMI144" s="72"/>
      <c r="WMJ144" s="72"/>
      <c r="WMK144" s="72"/>
      <c r="WML144" s="72"/>
      <c r="WMM144" s="72"/>
      <c r="WMN144" s="72"/>
      <c r="WMO144" s="72"/>
      <c r="WMP144" s="72"/>
      <c r="WMQ144" s="72"/>
      <c r="WMR144" s="72"/>
      <c r="WMS144" s="72"/>
      <c r="WMT144" s="72"/>
      <c r="WMU144" s="72"/>
      <c r="WMV144" s="72"/>
      <c r="WMW144" s="72"/>
      <c r="WMX144" s="72"/>
      <c r="WMY144" s="72"/>
      <c r="WMZ144" s="72"/>
      <c r="WNA144" s="72"/>
      <c r="WNB144" s="72"/>
      <c r="WNC144" s="72"/>
      <c r="WND144" s="72"/>
      <c r="WNE144" s="72"/>
      <c r="WNF144" s="72"/>
      <c r="WNG144" s="72"/>
      <c r="WNH144" s="72"/>
      <c r="WNI144" s="72"/>
      <c r="WNJ144" s="72"/>
      <c r="WNK144" s="72"/>
      <c r="WNL144" s="72"/>
      <c r="WNM144" s="72"/>
      <c r="WNN144" s="72"/>
      <c r="WNO144" s="72"/>
      <c r="WNP144" s="72"/>
      <c r="WNQ144" s="72"/>
      <c r="WNR144" s="72"/>
      <c r="WNS144" s="72"/>
      <c r="WNT144" s="72"/>
      <c r="WNU144" s="72"/>
      <c r="WNV144" s="72"/>
      <c r="WNW144" s="72"/>
      <c r="WNX144" s="72"/>
      <c r="WNY144" s="72"/>
      <c r="WNZ144" s="72"/>
      <c r="WOA144" s="72"/>
      <c r="WOB144" s="72"/>
      <c r="WOC144" s="72"/>
      <c r="WOD144" s="72"/>
      <c r="WOE144" s="72"/>
      <c r="WOF144" s="72"/>
      <c r="WOG144" s="72"/>
      <c r="WOH144" s="72"/>
      <c r="WOI144" s="72"/>
      <c r="WOJ144" s="72"/>
      <c r="WOK144" s="72"/>
      <c r="WOL144" s="72"/>
      <c r="WOM144" s="72"/>
      <c r="WON144" s="72"/>
      <c r="WOO144" s="72"/>
      <c r="WOP144" s="72"/>
      <c r="WOQ144" s="72"/>
      <c r="WOR144" s="72"/>
      <c r="WOS144" s="72"/>
      <c r="WOT144" s="72"/>
      <c r="WOU144" s="72"/>
      <c r="WOV144" s="72"/>
      <c r="WOW144" s="72"/>
      <c r="WOX144" s="72"/>
      <c r="WOY144" s="72"/>
      <c r="WOZ144" s="72"/>
      <c r="WPA144" s="72"/>
      <c r="WPB144" s="72"/>
      <c r="WPC144" s="72"/>
      <c r="WPD144" s="72"/>
      <c r="WPE144" s="72"/>
      <c r="WPF144" s="72"/>
      <c r="WPG144" s="72"/>
      <c r="WPH144" s="72"/>
      <c r="WPI144" s="72"/>
      <c r="WPJ144" s="72"/>
      <c r="WPK144" s="72"/>
      <c r="WPL144" s="72"/>
      <c r="WPM144" s="72"/>
      <c r="WPN144" s="72"/>
      <c r="WPO144" s="72"/>
      <c r="WPP144" s="72"/>
      <c r="WPQ144" s="72"/>
      <c r="WPR144" s="72"/>
      <c r="WPS144" s="72"/>
      <c r="WPT144" s="72"/>
      <c r="WPU144" s="72"/>
      <c r="WPV144" s="72"/>
      <c r="WPW144" s="72"/>
      <c r="WPX144" s="72"/>
      <c r="WPY144" s="72"/>
      <c r="WPZ144" s="72"/>
      <c r="WQA144" s="72"/>
      <c r="WQB144" s="72"/>
      <c r="WQC144" s="72"/>
      <c r="WQD144" s="72"/>
      <c r="WQE144" s="72"/>
      <c r="WQF144" s="72"/>
      <c r="WQG144" s="72"/>
      <c r="WQH144" s="72"/>
      <c r="WQI144" s="72"/>
      <c r="WQJ144" s="72"/>
      <c r="WQK144" s="72"/>
      <c r="WQL144" s="72"/>
      <c r="WQM144" s="72"/>
      <c r="WQN144" s="72"/>
      <c r="WQO144" s="72"/>
      <c r="WQP144" s="72"/>
      <c r="WQQ144" s="72"/>
      <c r="WQR144" s="72"/>
      <c r="WQS144" s="72"/>
      <c r="WQT144" s="72"/>
      <c r="WQU144" s="72"/>
      <c r="WQV144" s="72"/>
      <c r="WQW144" s="72"/>
      <c r="WQX144" s="72"/>
      <c r="WQY144" s="72"/>
      <c r="WQZ144" s="72"/>
      <c r="WRA144" s="72"/>
      <c r="WRB144" s="72"/>
      <c r="WRC144" s="72"/>
      <c r="WRD144" s="72"/>
      <c r="WRE144" s="72"/>
      <c r="WRF144" s="72"/>
      <c r="WRG144" s="72"/>
      <c r="WRH144" s="72"/>
      <c r="WRI144" s="72"/>
      <c r="WRJ144" s="72"/>
      <c r="WRK144" s="72"/>
      <c r="WRL144" s="72"/>
      <c r="WRM144" s="72"/>
      <c r="WRN144" s="72"/>
      <c r="WRO144" s="72"/>
      <c r="WRP144" s="72"/>
      <c r="WRQ144" s="72"/>
      <c r="WRR144" s="72"/>
      <c r="WRS144" s="72"/>
      <c r="WRT144" s="72"/>
      <c r="WRU144" s="72"/>
      <c r="WRV144" s="72"/>
      <c r="WRW144" s="72"/>
      <c r="WRX144" s="72"/>
      <c r="WRY144" s="72"/>
      <c r="WRZ144" s="72"/>
      <c r="WSA144" s="72"/>
      <c r="WSB144" s="72"/>
      <c r="WSC144" s="72"/>
      <c r="WSD144" s="72"/>
      <c r="WSE144" s="72"/>
      <c r="WSF144" s="72"/>
      <c r="WSG144" s="72"/>
      <c r="WSH144" s="72"/>
      <c r="WSI144" s="72"/>
      <c r="WSJ144" s="72"/>
      <c r="WSK144" s="72"/>
      <c r="WSL144" s="72"/>
      <c r="WSM144" s="72"/>
      <c r="WSN144" s="72"/>
      <c r="WSO144" s="72"/>
      <c r="WSP144" s="72"/>
      <c r="WSQ144" s="72"/>
      <c r="WSR144" s="72"/>
      <c r="WSS144" s="72"/>
      <c r="WST144" s="72"/>
      <c r="WSU144" s="72"/>
      <c r="WSV144" s="72"/>
      <c r="WSW144" s="72"/>
      <c r="WSX144" s="72"/>
      <c r="WSY144" s="72"/>
      <c r="WSZ144" s="72"/>
      <c r="WTA144" s="72"/>
      <c r="WTB144" s="72"/>
      <c r="WTC144" s="72"/>
      <c r="WTD144" s="72"/>
      <c r="WTE144" s="72"/>
      <c r="WTF144" s="72"/>
      <c r="WTG144" s="72"/>
      <c r="WTH144" s="72"/>
      <c r="WTI144" s="72"/>
      <c r="WTJ144" s="72"/>
      <c r="WTK144" s="72"/>
      <c r="WTL144" s="72"/>
      <c r="WTM144" s="72"/>
      <c r="WTN144" s="72"/>
      <c r="WTO144" s="72"/>
      <c r="WTP144" s="72"/>
      <c r="WTQ144" s="72"/>
      <c r="WTR144" s="72"/>
      <c r="WTS144" s="72"/>
      <c r="WTT144" s="72"/>
      <c r="WTU144" s="72"/>
      <c r="WTV144" s="72"/>
      <c r="WTW144" s="72"/>
      <c r="WTX144" s="72"/>
      <c r="WTY144" s="72"/>
      <c r="WTZ144" s="72"/>
      <c r="WUA144" s="72"/>
      <c r="WUB144" s="72"/>
      <c r="WUC144" s="72"/>
      <c r="WUD144" s="72"/>
      <c r="WUE144" s="72"/>
      <c r="WUF144" s="72"/>
      <c r="WUG144" s="72"/>
      <c r="WUH144" s="72"/>
      <c r="WUI144" s="72"/>
      <c r="WUJ144" s="72"/>
      <c r="WUK144" s="72"/>
      <c r="WUL144" s="72"/>
      <c r="WUM144" s="72"/>
      <c r="WUN144" s="72"/>
      <c r="WUO144" s="72"/>
      <c r="WUP144" s="72"/>
      <c r="WUQ144" s="72"/>
      <c r="WUR144" s="72"/>
      <c r="WUS144" s="72"/>
      <c r="WUT144" s="72"/>
      <c r="WUU144" s="72"/>
      <c r="WUV144" s="72"/>
      <c r="WUW144" s="72"/>
      <c r="WUX144" s="72"/>
      <c r="WUY144" s="72"/>
      <c r="WUZ144" s="72"/>
      <c r="WVA144" s="72"/>
      <c r="WVB144" s="72"/>
      <c r="WVC144" s="72"/>
      <c r="WVD144" s="72"/>
      <c r="WVE144" s="72"/>
      <c r="WVF144" s="72"/>
      <c r="WVG144" s="72"/>
      <c r="WVH144" s="72"/>
      <c r="WVI144" s="72"/>
      <c r="WVJ144" s="72"/>
      <c r="WVK144" s="72"/>
      <c r="WVL144" s="72"/>
      <c r="WVM144" s="72"/>
      <c r="WVN144" s="72"/>
      <c r="WVO144" s="72"/>
      <c r="WVP144" s="72"/>
      <c r="WVQ144" s="72"/>
      <c r="WVR144" s="72"/>
      <c r="WVS144" s="72"/>
    </row>
    <row r="145" spans="1:16139" ht="146.25" customHeight="1" x14ac:dyDescent="0.25">
      <c r="A145" s="73">
        <v>127</v>
      </c>
      <c r="B145" s="73" t="s">
        <v>181</v>
      </c>
      <c r="C145" s="51" t="s">
        <v>42</v>
      </c>
      <c r="D145" s="45" t="s">
        <v>45</v>
      </c>
      <c r="E145" s="45"/>
      <c r="F145" s="45">
        <v>1650</v>
      </c>
      <c r="G145" s="45">
        <v>2300</v>
      </c>
      <c r="H145" s="46">
        <f>F145*G145/10^6</f>
        <v>3.7949999999999999</v>
      </c>
      <c r="I145" s="45">
        <v>1</v>
      </c>
      <c r="J145" s="53">
        <v>2298000</v>
      </c>
      <c r="K145" s="47"/>
      <c r="L145" s="48">
        <f>IF(H145&lt;&gt;0,J145*H145*I145+K145*I145,IF(J145&lt;&gt;0,G145*I145*J145,I145*K145))</f>
        <v>8720910</v>
      </c>
      <c r="M145" s="28"/>
      <c r="N145" s="28"/>
      <c r="O145" s="28"/>
      <c r="P145" s="28"/>
      <c r="Q145" s="28"/>
      <c r="R145" s="28"/>
      <c r="S145" s="28"/>
      <c r="T145" s="28"/>
      <c r="U145" s="28"/>
      <c r="V145" s="28"/>
      <c r="W145" s="28"/>
      <c r="X145" s="28"/>
      <c r="Y145" s="28"/>
      <c r="Z145" s="28"/>
      <c r="AA145" s="28"/>
      <c r="AB145" s="28"/>
      <c r="AC145" s="28"/>
      <c r="AD145" s="28"/>
      <c r="AE145" s="28"/>
      <c r="AF145" s="28"/>
      <c r="AG145" s="28"/>
      <c r="AH145" s="28"/>
    </row>
    <row r="146" spans="1:16139" ht="156" customHeight="1" x14ac:dyDescent="0.25">
      <c r="A146" s="73">
        <v>128</v>
      </c>
      <c r="B146" s="73" t="s">
        <v>182</v>
      </c>
      <c r="C146" s="51" t="s">
        <v>41</v>
      </c>
      <c r="D146" s="45" t="s">
        <v>39</v>
      </c>
      <c r="E146" s="45" t="s">
        <v>38</v>
      </c>
      <c r="F146" s="45">
        <v>1650</v>
      </c>
      <c r="G146" s="45">
        <v>2300</v>
      </c>
      <c r="H146" s="46">
        <f>F146*G146/10^6</f>
        <v>3.7949999999999999</v>
      </c>
      <c r="I146" s="45">
        <v>1</v>
      </c>
      <c r="J146" s="53">
        <v>3296000</v>
      </c>
      <c r="K146" s="47">
        <v>1850000</v>
      </c>
      <c r="L146" s="48">
        <f>IF(H146&lt;&gt;0,J146*H146*I146+K146*I146,IF(J146&lt;&gt;0,G146*I146*J146,I146*K146))</f>
        <v>14358320</v>
      </c>
      <c r="M146" s="28"/>
      <c r="N146" s="28"/>
      <c r="O146" s="28"/>
      <c r="P146" s="28"/>
      <c r="Q146" s="28"/>
      <c r="R146" s="28"/>
      <c r="S146" s="28"/>
      <c r="T146" s="28"/>
      <c r="U146" s="28"/>
      <c r="V146" s="28"/>
      <c r="W146" s="28"/>
      <c r="X146" s="28"/>
      <c r="Y146" s="28"/>
      <c r="Z146" s="28"/>
      <c r="AA146" s="28"/>
      <c r="AB146" s="28"/>
      <c r="AC146" s="28"/>
      <c r="AD146" s="28"/>
      <c r="AE146" s="28"/>
      <c r="AF146" s="28"/>
      <c r="AG146" s="28"/>
      <c r="AH146" s="28"/>
    </row>
    <row r="147" spans="1:16139" ht="156" customHeight="1" x14ac:dyDescent="0.25">
      <c r="A147" s="73">
        <v>129</v>
      </c>
      <c r="B147" s="73" t="s">
        <v>183</v>
      </c>
      <c r="C147" s="51" t="s">
        <v>41</v>
      </c>
      <c r="D147" s="45" t="s">
        <v>39</v>
      </c>
      <c r="E147" s="45" t="s">
        <v>38</v>
      </c>
      <c r="F147" s="45">
        <v>1600</v>
      </c>
      <c r="G147" s="45">
        <v>2400</v>
      </c>
      <c r="H147" s="46">
        <f>F147*G147/10^6</f>
        <v>3.84</v>
      </c>
      <c r="I147" s="45">
        <v>1</v>
      </c>
      <c r="J147" s="53">
        <v>3306000</v>
      </c>
      <c r="K147" s="47">
        <v>1850000</v>
      </c>
      <c r="L147" s="48">
        <f>IF(H147&lt;&gt;0,J147*H147*I147+K147*I147,IF(J147&lt;&gt;0,G147*I147*J147,I147*K147))</f>
        <v>14545040</v>
      </c>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spans="1:16139" ht="146.25" customHeight="1" x14ac:dyDescent="0.25">
      <c r="A148" s="135">
        <v>130</v>
      </c>
      <c r="B148" s="137" t="s">
        <v>202</v>
      </c>
      <c r="C148" s="51" t="s">
        <v>41</v>
      </c>
      <c r="D148" s="45" t="s">
        <v>45</v>
      </c>
      <c r="E148" s="45" t="s">
        <v>38</v>
      </c>
      <c r="F148" s="45">
        <v>1500</v>
      </c>
      <c r="G148" s="45">
        <v>2300</v>
      </c>
      <c r="H148" s="46">
        <f>F148*G148/10^6</f>
        <v>3.45</v>
      </c>
      <c r="I148" s="45">
        <v>1</v>
      </c>
      <c r="J148" s="53">
        <v>3423000</v>
      </c>
      <c r="K148" s="47">
        <v>1850000</v>
      </c>
      <c r="L148" s="48">
        <f>IF(H148&lt;&gt;0,J148*H148*I148+K148*I148,IF(J148&lt;&gt;0,G148*I148*J148,I148*K148))</f>
        <v>13659350</v>
      </c>
      <c r="M148" s="28"/>
      <c r="N148" s="28"/>
      <c r="O148" s="28"/>
      <c r="P148" s="28"/>
      <c r="Q148" s="28"/>
      <c r="R148" s="28"/>
      <c r="S148" s="28"/>
      <c r="T148" s="28"/>
      <c r="U148" s="28"/>
      <c r="V148" s="28"/>
      <c r="W148" s="28"/>
      <c r="X148" s="28"/>
      <c r="Y148" s="28"/>
      <c r="Z148" s="28"/>
      <c r="AA148" s="28"/>
      <c r="AB148" s="28"/>
      <c r="AC148" s="28"/>
      <c r="AD148" s="28"/>
      <c r="AE148" s="28"/>
      <c r="AF148" s="28"/>
      <c r="AG148" s="28"/>
      <c r="AH148" s="28"/>
    </row>
    <row r="149" spans="1:16139" ht="146.25" customHeight="1" x14ac:dyDescent="0.25">
      <c r="A149" s="149"/>
      <c r="B149" s="150"/>
      <c r="C149" s="58" t="s">
        <v>42</v>
      </c>
      <c r="D149" s="45" t="s">
        <v>207</v>
      </c>
      <c r="E149" s="45"/>
      <c r="F149" s="45">
        <v>2356</v>
      </c>
      <c r="G149" s="45">
        <v>2300</v>
      </c>
      <c r="H149" s="46">
        <f>F149*G149/10^6</f>
        <v>5.4188000000000001</v>
      </c>
      <c r="I149" s="45">
        <v>1</v>
      </c>
      <c r="J149" s="53">
        <v>3955000</v>
      </c>
      <c r="K149" s="47"/>
      <c r="L149" s="48">
        <f>IF(H149&lt;&gt;0,J149*H149*I149+K149*I149,IF(J149&lt;&gt;0,G149*I149*J149,I149*K149))</f>
        <v>21431354</v>
      </c>
      <c r="M149" s="28"/>
      <c r="N149" s="28"/>
      <c r="O149" s="28"/>
      <c r="P149" s="28"/>
      <c r="Q149" s="28"/>
      <c r="R149" s="28"/>
      <c r="S149" s="28"/>
      <c r="T149" s="28"/>
      <c r="U149" s="28"/>
      <c r="V149" s="28"/>
      <c r="W149" s="28"/>
      <c r="X149" s="28"/>
      <c r="Y149" s="28"/>
      <c r="Z149" s="28"/>
      <c r="AA149" s="28"/>
      <c r="AB149" s="28"/>
      <c r="AC149" s="28"/>
      <c r="AD149" s="28"/>
      <c r="AE149" s="28"/>
      <c r="AF149" s="28"/>
      <c r="AG149" s="28"/>
      <c r="AH149" s="28"/>
    </row>
    <row r="150" spans="1:16139" ht="30.75" customHeight="1" x14ac:dyDescent="0.25">
      <c r="A150" s="136"/>
      <c r="B150" s="151"/>
      <c r="C150" s="69" t="s">
        <v>201</v>
      </c>
      <c r="D150" s="59"/>
      <c r="E150" s="59"/>
      <c r="F150" s="59">
        <f>2356+1000</f>
        <v>3356</v>
      </c>
      <c r="G150" s="59"/>
      <c r="H150" s="60">
        <f t="shared" ref="H150:H151" si="45">F150*G150/10^6</f>
        <v>0</v>
      </c>
      <c r="I150" s="59">
        <v>1</v>
      </c>
      <c r="J150" s="53">
        <v>550000</v>
      </c>
      <c r="K150" s="47"/>
      <c r="L150" s="70">
        <f>F150*I150*J150/1000</f>
        <v>1845800</v>
      </c>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c r="DE150" s="72"/>
      <c r="DF150" s="72"/>
      <c r="DG150" s="72"/>
      <c r="DH150" s="72"/>
      <c r="DI150" s="72"/>
      <c r="DJ150" s="72"/>
      <c r="DK150" s="72"/>
      <c r="DL150" s="72"/>
      <c r="DM150" s="72"/>
      <c r="DN150" s="72"/>
      <c r="DO150" s="72"/>
      <c r="DP150" s="72"/>
      <c r="DQ150" s="72"/>
      <c r="DR150" s="72"/>
      <c r="DS150" s="72"/>
      <c r="DT150" s="72"/>
      <c r="DU150" s="72"/>
      <c r="DV150" s="72"/>
      <c r="DW150" s="72"/>
      <c r="DX150" s="72"/>
      <c r="DY150" s="72"/>
      <c r="DZ150" s="72"/>
      <c r="EA150" s="72"/>
      <c r="EB150" s="72"/>
      <c r="EC150" s="72"/>
      <c r="ED150" s="72"/>
      <c r="EE150" s="72"/>
      <c r="EF150" s="72"/>
      <c r="EG150" s="72"/>
      <c r="EH150" s="72"/>
      <c r="EI150" s="72"/>
      <c r="EJ150" s="72"/>
      <c r="EK150" s="72"/>
      <c r="EL150" s="72"/>
      <c r="EM150" s="72"/>
      <c r="EN150" s="72"/>
      <c r="EO150" s="72"/>
      <c r="EP150" s="72"/>
      <c r="EQ150" s="72"/>
      <c r="ER150" s="72"/>
      <c r="ES150" s="72"/>
      <c r="ET150" s="72"/>
      <c r="EU150" s="72"/>
      <c r="EV150" s="72"/>
      <c r="EW150" s="72"/>
      <c r="EX150" s="72"/>
      <c r="EY150" s="72"/>
      <c r="EZ150" s="72"/>
      <c r="FA150" s="72"/>
      <c r="FB150" s="72"/>
      <c r="FC150" s="72"/>
      <c r="FD150" s="72"/>
      <c r="FE150" s="72"/>
      <c r="FF150" s="72"/>
      <c r="FG150" s="72"/>
      <c r="FH150" s="72"/>
      <c r="FI150" s="72"/>
      <c r="FJ150" s="72"/>
      <c r="FK150" s="72"/>
      <c r="FL150" s="72"/>
      <c r="FM150" s="72"/>
      <c r="FN150" s="72"/>
      <c r="FO150" s="72"/>
      <c r="FP150" s="72"/>
      <c r="FQ150" s="72"/>
      <c r="FR150" s="72"/>
      <c r="FS150" s="72"/>
      <c r="FT150" s="72"/>
      <c r="FU150" s="72"/>
      <c r="FV150" s="72"/>
      <c r="FW150" s="72"/>
      <c r="FX150" s="72"/>
      <c r="FY150" s="72"/>
      <c r="FZ150" s="72"/>
      <c r="GA150" s="72"/>
      <c r="GB150" s="72"/>
      <c r="GC150" s="72"/>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c r="JL150" s="72"/>
      <c r="JM150" s="72"/>
      <c r="JN150" s="72"/>
      <c r="JO150" s="72"/>
      <c r="JP150" s="72"/>
      <c r="JQ150" s="72"/>
      <c r="JR150" s="72"/>
      <c r="JS150" s="72"/>
      <c r="JT150" s="72"/>
      <c r="JU150" s="72"/>
      <c r="JV150" s="72"/>
      <c r="JW150" s="72"/>
      <c r="JX150" s="72"/>
      <c r="JY150" s="72"/>
      <c r="JZ150" s="72"/>
      <c r="KA150" s="72"/>
      <c r="KB150" s="72"/>
      <c r="KC150" s="72"/>
      <c r="KD150" s="72"/>
      <c r="KE150" s="72"/>
      <c r="KF150" s="72"/>
      <c r="KG150" s="72"/>
      <c r="KH150" s="72"/>
      <c r="KI150" s="72"/>
      <c r="KJ150" s="72"/>
      <c r="KK150" s="72"/>
      <c r="KL150" s="72"/>
      <c r="KM150" s="72"/>
      <c r="KN150" s="72"/>
      <c r="KO150" s="72"/>
      <c r="KP150" s="72"/>
      <c r="KQ150" s="72"/>
      <c r="KR150" s="72"/>
      <c r="KS150" s="72"/>
      <c r="KT150" s="72"/>
      <c r="KU150" s="72"/>
      <c r="KV150" s="72"/>
      <c r="KW150" s="72"/>
      <c r="KX150" s="72"/>
      <c r="KY150" s="72"/>
      <c r="KZ150" s="72"/>
      <c r="LA150" s="72"/>
      <c r="LB150" s="72"/>
      <c r="LC150" s="72"/>
      <c r="LD150" s="72"/>
      <c r="LE150" s="72"/>
      <c r="LF150" s="72"/>
      <c r="LG150" s="72"/>
      <c r="LH150" s="72"/>
      <c r="LI150" s="72"/>
      <c r="LJ150" s="72"/>
      <c r="LK150" s="72"/>
      <c r="LL150" s="72"/>
      <c r="LM150" s="72"/>
      <c r="LN150" s="72"/>
      <c r="LO150" s="72"/>
      <c r="LP150" s="72"/>
      <c r="LQ150" s="72"/>
      <c r="LR150" s="72"/>
      <c r="LS150" s="72"/>
      <c r="LT150" s="72"/>
      <c r="LU150" s="72"/>
      <c r="LV150" s="72"/>
      <c r="LW150" s="72"/>
      <c r="LX150" s="72"/>
      <c r="LY150" s="72"/>
      <c r="LZ150" s="72"/>
      <c r="MA150" s="72"/>
      <c r="MB150" s="72"/>
      <c r="MC150" s="72"/>
      <c r="MD150" s="72"/>
      <c r="ME150" s="72"/>
      <c r="MF150" s="72"/>
      <c r="MG150" s="72"/>
      <c r="MH150" s="72"/>
      <c r="MI150" s="72"/>
      <c r="MJ150" s="72"/>
      <c r="MK150" s="72"/>
      <c r="ML150" s="72"/>
      <c r="MM150" s="72"/>
      <c r="MN150" s="72"/>
      <c r="MO150" s="72"/>
      <c r="MP150" s="72"/>
      <c r="MQ150" s="72"/>
      <c r="MR150" s="72"/>
      <c r="MS150" s="72"/>
      <c r="MT150" s="72"/>
      <c r="MU150" s="72"/>
      <c r="MV150" s="72"/>
      <c r="MW150" s="72"/>
      <c r="MX150" s="72"/>
      <c r="MY150" s="72"/>
      <c r="MZ150" s="72"/>
      <c r="NA150" s="72"/>
      <c r="NB150" s="72"/>
      <c r="NC150" s="72"/>
      <c r="ND150" s="72"/>
      <c r="NE150" s="72"/>
      <c r="NF150" s="72"/>
      <c r="NG150" s="72"/>
      <c r="NH150" s="72"/>
      <c r="NI150" s="72"/>
      <c r="NJ150" s="72"/>
      <c r="NK150" s="72"/>
      <c r="NL150" s="72"/>
      <c r="NM150" s="72"/>
      <c r="NN150" s="72"/>
      <c r="NO150" s="72"/>
      <c r="NP150" s="72"/>
      <c r="NQ150" s="72"/>
      <c r="NR150" s="72"/>
      <c r="NS150" s="72"/>
      <c r="NT150" s="72"/>
      <c r="NU150" s="72"/>
      <c r="NV150" s="72"/>
      <c r="NW150" s="72"/>
      <c r="NX150" s="72"/>
      <c r="NY150" s="72"/>
      <c r="NZ150" s="72"/>
      <c r="OA150" s="72"/>
      <c r="OB150" s="72"/>
      <c r="OC150" s="72"/>
      <c r="OD150" s="72"/>
      <c r="OE150" s="72"/>
      <c r="OF150" s="72"/>
      <c r="OG150" s="72"/>
      <c r="OH150" s="72"/>
      <c r="OI150" s="72"/>
      <c r="OJ150" s="72"/>
      <c r="OK150" s="72"/>
      <c r="OL150" s="72"/>
      <c r="OM150" s="72"/>
      <c r="ON150" s="72"/>
      <c r="OO150" s="72"/>
      <c r="OP150" s="72"/>
      <c r="OQ150" s="72"/>
      <c r="OR150" s="72"/>
      <c r="OS150" s="72"/>
      <c r="OT150" s="72"/>
      <c r="OU150" s="72"/>
      <c r="OV150" s="72"/>
      <c r="OW150" s="72"/>
      <c r="OX150" s="72"/>
      <c r="OY150" s="72"/>
      <c r="OZ150" s="72"/>
      <c r="PA150" s="72"/>
      <c r="PB150" s="72"/>
      <c r="PC150" s="72"/>
      <c r="PD150" s="72"/>
      <c r="PE150" s="72"/>
      <c r="PF150" s="72"/>
      <c r="PG150" s="72"/>
      <c r="PH150" s="72"/>
      <c r="PI150" s="72"/>
      <c r="PJ150" s="72"/>
      <c r="PK150" s="72"/>
      <c r="PL150" s="72"/>
      <c r="PM150" s="72"/>
      <c r="PN150" s="72"/>
      <c r="PO150" s="72"/>
      <c r="PP150" s="72"/>
      <c r="PQ150" s="72"/>
      <c r="PR150" s="72"/>
      <c r="PS150" s="72"/>
      <c r="PT150" s="72"/>
      <c r="PU150" s="72"/>
      <c r="PV150" s="72"/>
      <c r="PW150" s="72"/>
      <c r="PX150" s="72"/>
      <c r="PY150" s="72"/>
      <c r="PZ150" s="72"/>
      <c r="QA150" s="72"/>
      <c r="QB150" s="72"/>
      <c r="QC150" s="72"/>
      <c r="QD150" s="72"/>
      <c r="QE150" s="72"/>
      <c r="QF150" s="72"/>
      <c r="QG150" s="72"/>
      <c r="QH150" s="72"/>
      <c r="QI150" s="72"/>
      <c r="QJ150" s="72"/>
      <c r="QK150" s="72"/>
      <c r="QL150" s="72"/>
      <c r="QM150" s="72"/>
      <c r="QN150" s="72"/>
      <c r="QO150" s="72"/>
      <c r="QP150" s="72"/>
      <c r="QQ150" s="72"/>
      <c r="QR150" s="72"/>
      <c r="QS150" s="72"/>
      <c r="QT150" s="72"/>
      <c r="QU150" s="72"/>
      <c r="QV150" s="72"/>
      <c r="QW150" s="72"/>
      <c r="QX150" s="72"/>
      <c r="QY150" s="72"/>
      <c r="QZ150" s="72"/>
      <c r="RA150" s="72"/>
      <c r="RB150" s="72"/>
      <c r="RC150" s="72"/>
      <c r="RD150" s="72"/>
      <c r="RE150" s="72"/>
      <c r="RF150" s="72"/>
      <c r="RG150" s="72"/>
      <c r="RH150" s="72"/>
      <c r="RI150" s="72"/>
      <c r="RJ150" s="72"/>
      <c r="RK150" s="72"/>
      <c r="RL150" s="72"/>
      <c r="RM150" s="72"/>
      <c r="RN150" s="72"/>
      <c r="RO150" s="72"/>
      <c r="RP150" s="72"/>
      <c r="RQ150" s="72"/>
      <c r="RR150" s="72"/>
      <c r="RS150" s="72"/>
      <c r="RT150" s="72"/>
      <c r="RU150" s="72"/>
      <c r="RV150" s="72"/>
      <c r="RW150" s="72"/>
      <c r="RX150" s="72"/>
      <c r="RY150" s="72"/>
      <c r="RZ150" s="72"/>
      <c r="SA150" s="72"/>
      <c r="SB150" s="72"/>
      <c r="SC150" s="72"/>
      <c r="SD150" s="72"/>
      <c r="SE150" s="72"/>
      <c r="SF150" s="72"/>
      <c r="SG150" s="72"/>
      <c r="SH150" s="72"/>
      <c r="SI150" s="72"/>
      <c r="SJ150" s="72"/>
      <c r="SK150" s="72"/>
      <c r="SL150" s="72"/>
      <c r="SM150" s="72"/>
      <c r="SN150" s="72"/>
      <c r="SO150" s="72"/>
      <c r="SP150" s="72"/>
      <c r="SQ150" s="72"/>
      <c r="SR150" s="72"/>
      <c r="SS150" s="72"/>
      <c r="ST150" s="72"/>
      <c r="SU150" s="72"/>
      <c r="SV150" s="72"/>
      <c r="SW150" s="72"/>
      <c r="SX150" s="72"/>
      <c r="SY150" s="72"/>
      <c r="SZ150" s="72"/>
      <c r="TA150" s="72"/>
      <c r="TB150" s="72"/>
      <c r="TC150" s="72"/>
      <c r="TD150" s="72"/>
      <c r="TE150" s="72"/>
      <c r="TF150" s="72"/>
      <c r="TG150" s="72"/>
      <c r="TH150" s="72"/>
      <c r="TI150" s="72"/>
      <c r="TJ150" s="72"/>
      <c r="TK150" s="72"/>
      <c r="TL150" s="72"/>
      <c r="TM150" s="72"/>
      <c r="TN150" s="72"/>
      <c r="TO150" s="72"/>
      <c r="TP150" s="72"/>
      <c r="TQ150" s="72"/>
      <c r="TR150" s="72"/>
      <c r="TS150" s="72"/>
      <c r="TT150" s="72"/>
      <c r="TU150" s="72"/>
      <c r="TV150" s="72"/>
      <c r="TW150" s="72"/>
      <c r="TX150" s="72"/>
      <c r="TY150" s="72"/>
      <c r="TZ150" s="72"/>
      <c r="UA150" s="72"/>
      <c r="UB150" s="72"/>
      <c r="UC150" s="72"/>
      <c r="UD150" s="72"/>
      <c r="UE150" s="72"/>
      <c r="UF150" s="72"/>
      <c r="UG150" s="72"/>
      <c r="UH150" s="72"/>
      <c r="UI150" s="72"/>
      <c r="UJ150" s="72"/>
      <c r="UK150" s="72"/>
      <c r="UL150" s="72"/>
      <c r="UM150" s="72"/>
      <c r="UN150" s="72"/>
      <c r="UO150" s="72"/>
      <c r="UP150" s="72"/>
      <c r="UQ150" s="72"/>
      <c r="UR150" s="72"/>
      <c r="US150" s="72"/>
      <c r="UT150" s="72"/>
      <c r="UU150" s="72"/>
      <c r="UV150" s="72"/>
      <c r="UW150" s="72"/>
      <c r="UX150" s="72"/>
      <c r="UY150" s="72"/>
      <c r="UZ150" s="72"/>
      <c r="VA150" s="72"/>
      <c r="VB150" s="72"/>
      <c r="VC150" s="72"/>
      <c r="VD150" s="72"/>
      <c r="VE150" s="72"/>
      <c r="VF150" s="72"/>
      <c r="VG150" s="72"/>
      <c r="VH150" s="72"/>
      <c r="VI150" s="72"/>
      <c r="VJ150" s="72"/>
      <c r="VK150" s="72"/>
      <c r="VL150" s="72"/>
      <c r="VM150" s="72"/>
      <c r="VN150" s="72"/>
      <c r="VO150" s="72"/>
      <c r="VP150" s="72"/>
      <c r="VQ150" s="72"/>
      <c r="VR150" s="72"/>
      <c r="VS150" s="72"/>
      <c r="VT150" s="72"/>
      <c r="VU150" s="72"/>
      <c r="VV150" s="72"/>
      <c r="VW150" s="72"/>
      <c r="VX150" s="72"/>
      <c r="VY150" s="72"/>
      <c r="VZ150" s="72"/>
      <c r="WA150" s="72"/>
      <c r="WB150" s="72"/>
      <c r="WC150" s="72"/>
      <c r="WD150" s="72"/>
      <c r="WE150" s="72"/>
      <c r="WF150" s="72"/>
      <c r="WG150" s="72"/>
      <c r="WH150" s="72"/>
      <c r="WI150" s="72"/>
      <c r="WJ150" s="72"/>
      <c r="WK150" s="72"/>
      <c r="WL150" s="72"/>
      <c r="WM150" s="72"/>
      <c r="WN150" s="72"/>
      <c r="WO150" s="72"/>
      <c r="WP150" s="72"/>
      <c r="WQ150" s="72"/>
      <c r="WR150" s="72"/>
      <c r="WS150" s="72"/>
      <c r="WT150" s="72"/>
      <c r="WU150" s="72"/>
      <c r="WV150" s="72"/>
      <c r="WW150" s="72"/>
      <c r="WX150" s="72"/>
      <c r="WY150" s="72"/>
      <c r="WZ150" s="72"/>
      <c r="XA150" s="72"/>
      <c r="XB150" s="72"/>
      <c r="XC150" s="72"/>
      <c r="XD150" s="72"/>
      <c r="XE150" s="72"/>
      <c r="XF150" s="72"/>
      <c r="XG150" s="72"/>
      <c r="XH150" s="72"/>
      <c r="XI150" s="72"/>
      <c r="XJ150" s="72"/>
      <c r="XK150" s="72"/>
      <c r="XL150" s="72"/>
      <c r="XM150" s="72"/>
      <c r="XN150" s="72"/>
      <c r="XO150" s="72"/>
      <c r="XP150" s="72"/>
      <c r="XQ150" s="72"/>
      <c r="XR150" s="72"/>
      <c r="XS150" s="72"/>
      <c r="XT150" s="72"/>
      <c r="XU150" s="72"/>
      <c r="XV150" s="72"/>
      <c r="XW150" s="72"/>
      <c r="XX150" s="72"/>
      <c r="XY150" s="72"/>
      <c r="XZ150" s="72"/>
      <c r="YA150" s="72"/>
      <c r="YB150" s="72"/>
      <c r="YC150" s="72"/>
      <c r="YD150" s="72"/>
      <c r="YE150" s="72"/>
      <c r="YF150" s="72"/>
      <c r="YG150" s="72"/>
      <c r="YH150" s="72"/>
      <c r="YI150" s="72"/>
      <c r="YJ150" s="72"/>
      <c r="YK150" s="72"/>
      <c r="YL150" s="72"/>
      <c r="YM150" s="72"/>
      <c r="YN150" s="72"/>
      <c r="YO150" s="72"/>
      <c r="YP150" s="72"/>
      <c r="YQ150" s="72"/>
      <c r="YR150" s="72"/>
      <c r="YS150" s="72"/>
      <c r="YT150" s="72"/>
      <c r="YU150" s="72"/>
      <c r="YV150" s="72"/>
      <c r="YW150" s="72"/>
      <c r="YX150" s="72"/>
      <c r="YY150" s="72"/>
      <c r="YZ150" s="72"/>
      <c r="ZA150" s="72"/>
      <c r="ZB150" s="72"/>
      <c r="ZC150" s="72"/>
      <c r="ZD150" s="72"/>
      <c r="ZE150" s="72"/>
      <c r="ZF150" s="72"/>
      <c r="ZG150" s="72"/>
      <c r="ZH150" s="72"/>
      <c r="ZI150" s="72"/>
      <c r="ZJ150" s="72"/>
      <c r="ZK150" s="72"/>
      <c r="ZL150" s="72"/>
      <c r="ZM150" s="72"/>
      <c r="ZN150" s="72"/>
      <c r="ZO150" s="72"/>
      <c r="ZP150" s="72"/>
      <c r="ZQ150" s="72"/>
      <c r="ZR150" s="72"/>
      <c r="ZS150" s="72"/>
      <c r="ZT150" s="72"/>
      <c r="ZU150" s="72"/>
      <c r="ZV150" s="72"/>
      <c r="ZW150" s="72"/>
      <c r="ZX150" s="72"/>
      <c r="ZY150" s="72"/>
      <c r="ZZ150" s="72"/>
      <c r="AAA150" s="72"/>
      <c r="AAB150" s="72"/>
      <c r="AAC150" s="72"/>
      <c r="AAD150" s="72"/>
      <c r="AAE150" s="72"/>
      <c r="AAF150" s="72"/>
      <c r="AAG150" s="72"/>
      <c r="AAH150" s="72"/>
      <c r="AAI150" s="72"/>
      <c r="AAJ150" s="72"/>
      <c r="AAK150" s="72"/>
      <c r="AAL150" s="72"/>
      <c r="AAM150" s="72"/>
      <c r="AAN150" s="72"/>
      <c r="AAO150" s="72"/>
      <c r="AAP150" s="72"/>
      <c r="AAQ150" s="72"/>
      <c r="AAR150" s="72"/>
      <c r="AAS150" s="72"/>
      <c r="AAT150" s="72"/>
      <c r="AAU150" s="72"/>
      <c r="AAV150" s="72"/>
      <c r="AAW150" s="72"/>
      <c r="AAX150" s="72"/>
      <c r="AAY150" s="72"/>
      <c r="AAZ150" s="72"/>
      <c r="ABA150" s="72"/>
      <c r="ABB150" s="72"/>
      <c r="ABC150" s="72"/>
      <c r="ABD150" s="72"/>
      <c r="ABE150" s="72"/>
      <c r="ABF150" s="72"/>
      <c r="ABG150" s="72"/>
      <c r="ABH150" s="72"/>
      <c r="ABI150" s="72"/>
      <c r="ABJ150" s="72"/>
      <c r="ABK150" s="72"/>
      <c r="ABL150" s="72"/>
      <c r="ABM150" s="72"/>
      <c r="ABN150" s="72"/>
      <c r="ABO150" s="72"/>
      <c r="ABP150" s="72"/>
      <c r="ABQ150" s="72"/>
      <c r="ABR150" s="72"/>
      <c r="ABS150" s="72"/>
      <c r="ABT150" s="72"/>
      <c r="ABU150" s="72"/>
      <c r="ABV150" s="72"/>
      <c r="ABW150" s="72"/>
      <c r="ABX150" s="72"/>
      <c r="ABY150" s="72"/>
      <c r="ABZ150" s="72"/>
      <c r="ACA150" s="72"/>
      <c r="ACB150" s="72"/>
      <c r="ACC150" s="72"/>
      <c r="ACD150" s="72"/>
      <c r="ACE150" s="72"/>
      <c r="ACF150" s="72"/>
      <c r="ACG150" s="72"/>
      <c r="ACH150" s="72"/>
      <c r="ACI150" s="72"/>
      <c r="ACJ150" s="72"/>
      <c r="ACK150" s="72"/>
      <c r="ACL150" s="72"/>
      <c r="ACM150" s="72"/>
      <c r="ACN150" s="72"/>
      <c r="ACO150" s="72"/>
      <c r="ACP150" s="72"/>
      <c r="ACQ150" s="72"/>
      <c r="ACR150" s="72"/>
      <c r="ACS150" s="72"/>
      <c r="ACT150" s="72"/>
      <c r="ACU150" s="72"/>
      <c r="ACV150" s="72"/>
      <c r="ACW150" s="72"/>
      <c r="ACX150" s="72"/>
      <c r="ACY150" s="72"/>
      <c r="ACZ150" s="72"/>
      <c r="ADA150" s="72"/>
      <c r="ADB150" s="72"/>
      <c r="ADC150" s="72"/>
      <c r="ADD150" s="72"/>
      <c r="ADE150" s="72"/>
      <c r="ADF150" s="72"/>
      <c r="ADG150" s="72"/>
      <c r="ADH150" s="72"/>
      <c r="ADI150" s="72"/>
      <c r="ADJ150" s="72"/>
      <c r="ADK150" s="72"/>
      <c r="ADL150" s="72"/>
      <c r="ADM150" s="72"/>
      <c r="ADN150" s="72"/>
      <c r="ADO150" s="72"/>
      <c r="ADP150" s="72"/>
      <c r="ADQ150" s="72"/>
      <c r="ADR150" s="72"/>
      <c r="ADS150" s="72"/>
      <c r="ADT150" s="72"/>
      <c r="ADU150" s="72"/>
      <c r="ADV150" s="72"/>
      <c r="ADW150" s="72"/>
      <c r="ADX150" s="72"/>
      <c r="ADY150" s="72"/>
      <c r="ADZ150" s="72"/>
      <c r="AEA150" s="72"/>
      <c r="AEB150" s="72"/>
      <c r="AEC150" s="72"/>
      <c r="AED150" s="72"/>
      <c r="AEE150" s="72"/>
      <c r="AEF150" s="72"/>
      <c r="AEG150" s="72"/>
      <c r="AEH150" s="72"/>
      <c r="AEI150" s="72"/>
      <c r="AEJ150" s="72"/>
      <c r="AEK150" s="72"/>
      <c r="AEL150" s="72"/>
      <c r="AEM150" s="72"/>
      <c r="AEN150" s="72"/>
      <c r="AEO150" s="72"/>
      <c r="AEP150" s="72"/>
      <c r="AEQ150" s="72"/>
      <c r="AER150" s="72"/>
      <c r="AES150" s="72"/>
      <c r="AET150" s="72"/>
      <c r="AEU150" s="72"/>
      <c r="AEV150" s="72"/>
      <c r="AEW150" s="72"/>
      <c r="AEX150" s="72"/>
      <c r="AEY150" s="72"/>
      <c r="AEZ150" s="72"/>
      <c r="AFA150" s="72"/>
      <c r="AFB150" s="72"/>
      <c r="AFC150" s="72"/>
      <c r="AFD150" s="72"/>
      <c r="AFE150" s="72"/>
      <c r="AFF150" s="72"/>
      <c r="AFG150" s="72"/>
      <c r="AFH150" s="72"/>
      <c r="AFI150" s="72"/>
      <c r="AFJ150" s="72"/>
      <c r="AFK150" s="72"/>
      <c r="AFL150" s="72"/>
      <c r="AFM150" s="72"/>
      <c r="AFN150" s="72"/>
      <c r="AFO150" s="72"/>
      <c r="AFP150" s="72"/>
      <c r="AFQ150" s="72"/>
      <c r="AFR150" s="72"/>
      <c r="AFS150" s="72"/>
      <c r="AFT150" s="72"/>
      <c r="AFU150" s="72"/>
      <c r="AFV150" s="72"/>
      <c r="AFW150" s="72"/>
      <c r="AFX150" s="72"/>
      <c r="AFY150" s="72"/>
      <c r="AFZ150" s="72"/>
      <c r="AGA150" s="72"/>
      <c r="AGB150" s="72"/>
      <c r="AGC150" s="72"/>
      <c r="AGD150" s="72"/>
      <c r="AGE150" s="72"/>
      <c r="AGF150" s="72"/>
      <c r="AGG150" s="72"/>
      <c r="AGH150" s="72"/>
      <c r="AGI150" s="72"/>
      <c r="AGJ150" s="72"/>
      <c r="AGK150" s="72"/>
      <c r="AGL150" s="72"/>
      <c r="AGM150" s="72"/>
      <c r="AGN150" s="72"/>
      <c r="AGO150" s="72"/>
      <c r="AGP150" s="72"/>
      <c r="AGQ150" s="72"/>
      <c r="AGR150" s="72"/>
      <c r="AGS150" s="72"/>
      <c r="AGT150" s="72"/>
      <c r="AGU150" s="72"/>
      <c r="AGV150" s="72"/>
      <c r="AGW150" s="72"/>
      <c r="AGX150" s="72"/>
      <c r="AGY150" s="72"/>
      <c r="AGZ150" s="72"/>
      <c r="AHA150" s="72"/>
      <c r="AHB150" s="72"/>
      <c r="AHC150" s="72"/>
      <c r="AHD150" s="72"/>
      <c r="AHE150" s="72"/>
      <c r="AHF150" s="72"/>
      <c r="AHG150" s="72"/>
      <c r="AHH150" s="72"/>
      <c r="AHI150" s="72"/>
      <c r="AHJ150" s="72"/>
      <c r="AHK150" s="72"/>
      <c r="AHL150" s="72"/>
      <c r="AHM150" s="72"/>
      <c r="AHN150" s="72"/>
      <c r="AHO150" s="72"/>
      <c r="AHP150" s="72"/>
      <c r="AHQ150" s="72"/>
      <c r="AHR150" s="72"/>
      <c r="AHS150" s="72"/>
      <c r="AHT150" s="72"/>
      <c r="AHU150" s="72"/>
      <c r="AHV150" s="72"/>
      <c r="AHW150" s="72"/>
      <c r="AHX150" s="72"/>
      <c r="AHY150" s="72"/>
      <c r="AHZ150" s="72"/>
      <c r="AIA150" s="72"/>
      <c r="AIB150" s="72"/>
      <c r="AIC150" s="72"/>
      <c r="AID150" s="72"/>
      <c r="AIE150" s="72"/>
      <c r="AIF150" s="72"/>
      <c r="AIG150" s="72"/>
      <c r="AIH150" s="72"/>
      <c r="AII150" s="72"/>
      <c r="AIJ150" s="72"/>
      <c r="AIK150" s="72"/>
      <c r="AIL150" s="72"/>
      <c r="AIM150" s="72"/>
      <c r="AIN150" s="72"/>
      <c r="AIO150" s="72"/>
      <c r="AIP150" s="72"/>
      <c r="AIQ150" s="72"/>
      <c r="AIR150" s="72"/>
      <c r="AIS150" s="72"/>
      <c r="AIT150" s="72"/>
      <c r="AIU150" s="72"/>
      <c r="AIV150" s="72"/>
      <c r="AIW150" s="72"/>
      <c r="AIX150" s="72"/>
      <c r="AIY150" s="72"/>
      <c r="AIZ150" s="72"/>
      <c r="AJA150" s="72"/>
      <c r="AJB150" s="72"/>
      <c r="AJC150" s="72"/>
      <c r="AJD150" s="72"/>
      <c r="AJE150" s="72"/>
      <c r="AJF150" s="72"/>
      <c r="AJG150" s="72"/>
      <c r="AJH150" s="72"/>
      <c r="AJI150" s="72"/>
      <c r="AJJ150" s="72"/>
      <c r="AJK150" s="72"/>
      <c r="AJL150" s="72"/>
      <c r="AJM150" s="72"/>
      <c r="AJN150" s="72"/>
      <c r="AJO150" s="72"/>
      <c r="AJP150" s="72"/>
      <c r="AJQ150" s="72"/>
      <c r="AJR150" s="72"/>
      <c r="AJS150" s="72"/>
      <c r="AJT150" s="72"/>
      <c r="AJU150" s="72"/>
      <c r="AJV150" s="72"/>
      <c r="AJW150" s="72"/>
      <c r="AJX150" s="72"/>
      <c r="AJY150" s="72"/>
      <c r="AJZ150" s="72"/>
      <c r="AKA150" s="72"/>
      <c r="AKB150" s="72"/>
      <c r="AKC150" s="72"/>
      <c r="AKD150" s="72"/>
      <c r="AKE150" s="72"/>
      <c r="AKF150" s="72"/>
      <c r="AKG150" s="72"/>
      <c r="AKH150" s="72"/>
      <c r="AKI150" s="72"/>
      <c r="AKJ150" s="72"/>
      <c r="AKK150" s="72"/>
      <c r="AKL150" s="72"/>
      <c r="AKM150" s="72"/>
      <c r="AKN150" s="72"/>
      <c r="AKO150" s="72"/>
      <c r="AKP150" s="72"/>
      <c r="AKQ150" s="72"/>
      <c r="AKR150" s="72"/>
      <c r="AKS150" s="72"/>
      <c r="AKT150" s="72"/>
      <c r="AKU150" s="72"/>
      <c r="AKV150" s="72"/>
      <c r="AKW150" s="72"/>
      <c r="AKX150" s="72"/>
      <c r="AKY150" s="72"/>
      <c r="AKZ150" s="72"/>
      <c r="ALA150" s="72"/>
      <c r="ALB150" s="72"/>
      <c r="ALC150" s="72"/>
      <c r="ALD150" s="72"/>
      <c r="ALE150" s="72"/>
      <c r="ALF150" s="72"/>
      <c r="ALG150" s="72"/>
      <c r="ALH150" s="72"/>
      <c r="ALI150" s="72"/>
      <c r="ALJ150" s="72"/>
      <c r="ALK150" s="72"/>
      <c r="ALL150" s="72"/>
      <c r="ALM150" s="72"/>
      <c r="ALN150" s="72"/>
      <c r="ALO150" s="72"/>
      <c r="ALP150" s="72"/>
      <c r="ALQ150" s="72"/>
      <c r="ALR150" s="72"/>
      <c r="ALS150" s="72"/>
      <c r="ALT150" s="72"/>
      <c r="ALU150" s="72"/>
      <c r="ALV150" s="72"/>
      <c r="ALW150" s="72"/>
      <c r="ALX150" s="72"/>
      <c r="ALY150" s="72"/>
      <c r="ALZ150" s="72"/>
      <c r="AMA150" s="72"/>
      <c r="AMB150" s="72"/>
      <c r="AMC150" s="72"/>
      <c r="AMD150" s="72"/>
      <c r="AME150" s="72"/>
      <c r="AMF150" s="72"/>
      <c r="AMG150" s="72"/>
      <c r="AMH150" s="72"/>
      <c r="AMI150" s="72"/>
      <c r="AMJ150" s="72"/>
      <c r="AMK150" s="72"/>
      <c r="AML150" s="72"/>
      <c r="AMM150" s="72"/>
      <c r="AMN150" s="72"/>
      <c r="AMO150" s="72"/>
      <c r="AMP150" s="72"/>
      <c r="AMQ150" s="72"/>
      <c r="AMR150" s="72"/>
      <c r="AMS150" s="72"/>
      <c r="AMT150" s="72"/>
      <c r="AMU150" s="72"/>
      <c r="AMV150" s="72"/>
      <c r="AMW150" s="72"/>
      <c r="AMX150" s="72"/>
      <c r="AMY150" s="72"/>
      <c r="AMZ150" s="72"/>
      <c r="ANA150" s="72"/>
      <c r="ANB150" s="72"/>
      <c r="ANC150" s="72"/>
      <c r="AND150" s="72"/>
      <c r="ANE150" s="72"/>
      <c r="ANF150" s="72"/>
      <c r="ANG150" s="72"/>
      <c r="ANH150" s="72"/>
      <c r="ANI150" s="72"/>
      <c r="ANJ150" s="72"/>
      <c r="ANK150" s="72"/>
      <c r="ANL150" s="72"/>
      <c r="ANM150" s="72"/>
      <c r="ANN150" s="72"/>
      <c r="ANO150" s="72"/>
      <c r="ANP150" s="72"/>
      <c r="ANQ150" s="72"/>
      <c r="ANR150" s="72"/>
      <c r="ANS150" s="72"/>
      <c r="ANT150" s="72"/>
      <c r="ANU150" s="72"/>
      <c r="ANV150" s="72"/>
      <c r="ANW150" s="72"/>
      <c r="ANX150" s="72"/>
      <c r="ANY150" s="72"/>
      <c r="ANZ150" s="72"/>
      <c r="AOA150" s="72"/>
      <c r="AOB150" s="72"/>
      <c r="AOC150" s="72"/>
      <c r="AOD150" s="72"/>
      <c r="AOE150" s="72"/>
      <c r="AOF150" s="72"/>
      <c r="AOG150" s="72"/>
      <c r="AOH150" s="72"/>
      <c r="AOI150" s="72"/>
      <c r="AOJ150" s="72"/>
      <c r="AOK150" s="72"/>
      <c r="AOL150" s="72"/>
      <c r="AOM150" s="72"/>
      <c r="AON150" s="72"/>
      <c r="AOO150" s="72"/>
      <c r="AOP150" s="72"/>
      <c r="AOQ150" s="72"/>
      <c r="AOR150" s="72"/>
      <c r="AOS150" s="72"/>
      <c r="AOT150" s="72"/>
      <c r="AOU150" s="72"/>
      <c r="AOV150" s="72"/>
      <c r="AOW150" s="72"/>
      <c r="AOX150" s="72"/>
      <c r="AOY150" s="72"/>
      <c r="AOZ150" s="72"/>
      <c r="APA150" s="72"/>
      <c r="APB150" s="72"/>
      <c r="APC150" s="72"/>
      <c r="APD150" s="72"/>
      <c r="APE150" s="72"/>
      <c r="APF150" s="72"/>
      <c r="APG150" s="72"/>
      <c r="APH150" s="72"/>
      <c r="API150" s="72"/>
      <c r="APJ150" s="72"/>
      <c r="APK150" s="72"/>
      <c r="APL150" s="72"/>
      <c r="APM150" s="72"/>
      <c r="APN150" s="72"/>
      <c r="APO150" s="72"/>
      <c r="APP150" s="72"/>
      <c r="APQ150" s="72"/>
      <c r="APR150" s="72"/>
      <c r="APS150" s="72"/>
      <c r="APT150" s="72"/>
      <c r="APU150" s="72"/>
      <c r="APV150" s="72"/>
      <c r="APW150" s="72"/>
      <c r="APX150" s="72"/>
      <c r="APY150" s="72"/>
      <c r="APZ150" s="72"/>
      <c r="AQA150" s="72"/>
      <c r="AQB150" s="72"/>
      <c r="AQC150" s="72"/>
      <c r="AQD150" s="72"/>
      <c r="AQE150" s="72"/>
      <c r="AQF150" s="72"/>
      <c r="AQG150" s="72"/>
      <c r="AQH150" s="72"/>
      <c r="AQI150" s="72"/>
      <c r="AQJ150" s="72"/>
      <c r="AQK150" s="72"/>
      <c r="AQL150" s="72"/>
      <c r="AQM150" s="72"/>
      <c r="AQN150" s="72"/>
      <c r="AQO150" s="72"/>
      <c r="AQP150" s="72"/>
      <c r="AQQ150" s="72"/>
      <c r="AQR150" s="72"/>
      <c r="AQS150" s="72"/>
      <c r="AQT150" s="72"/>
      <c r="AQU150" s="72"/>
      <c r="AQV150" s="72"/>
      <c r="AQW150" s="72"/>
      <c r="AQX150" s="72"/>
      <c r="AQY150" s="72"/>
      <c r="AQZ150" s="72"/>
      <c r="ARA150" s="72"/>
      <c r="ARB150" s="72"/>
      <c r="ARC150" s="72"/>
      <c r="ARD150" s="72"/>
      <c r="ARE150" s="72"/>
      <c r="ARF150" s="72"/>
      <c r="ARG150" s="72"/>
      <c r="ARH150" s="72"/>
      <c r="ARI150" s="72"/>
      <c r="ARJ150" s="72"/>
      <c r="ARK150" s="72"/>
      <c r="ARL150" s="72"/>
      <c r="ARM150" s="72"/>
      <c r="ARN150" s="72"/>
      <c r="ARO150" s="72"/>
      <c r="ARP150" s="72"/>
      <c r="ARQ150" s="72"/>
      <c r="ARR150" s="72"/>
      <c r="ARS150" s="72"/>
      <c r="ART150" s="72"/>
      <c r="ARU150" s="72"/>
      <c r="ARV150" s="72"/>
      <c r="ARW150" s="72"/>
      <c r="ARX150" s="72"/>
      <c r="ARY150" s="72"/>
      <c r="ARZ150" s="72"/>
      <c r="ASA150" s="72"/>
      <c r="ASB150" s="72"/>
      <c r="ASC150" s="72"/>
      <c r="ASD150" s="72"/>
      <c r="ASE150" s="72"/>
      <c r="ASF150" s="72"/>
      <c r="ASG150" s="72"/>
      <c r="ASH150" s="72"/>
      <c r="ASI150" s="72"/>
      <c r="ASJ150" s="72"/>
      <c r="ASK150" s="72"/>
      <c r="ASL150" s="72"/>
      <c r="ASM150" s="72"/>
      <c r="ASN150" s="72"/>
      <c r="ASO150" s="72"/>
      <c r="ASP150" s="72"/>
      <c r="ASQ150" s="72"/>
      <c r="ASR150" s="72"/>
      <c r="ASS150" s="72"/>
      <c r="AST150" s="72"/>
      <c r="ASU150" s="72"/>
      <c r="ASV150" s="72"/>
      <c r="ASW150" s="72"/>
      <c r="ASX150" s="72"/>
      <c r="ASY150" s="72"/>
      <c r="ASZ150" s="72"/>
      <c r="ATA150" s="72"/>
      <c r="ATB150" s="72"/>
      <c r="ATC150" s="72"/>
      <c r="ATD150" s="72"/>
      <c r="ATE150" s="72"/>
      <c r="ATF150" s="72"/>
      <c r="ATG150" s="72"/>
      <c r="ATH150" s="72"/>
      <c r="ATI150" s="72"/>
      <c r="ATJ150" s="72"/>
      <c r="ATK150" s="72"/>
      <c r="ATL150" s="72"/>
      <c r="ATM150" s="72"/>
      <c r="ATN150" s="72"/>
      <c r="ATO150" s="72"/>
      <c r="ATP150" s="72"/>
      <c r="ATQ150" s="72"/>
      <c r="ATR150" s="72"/>
      <c r="ATS150" s="72"/>
      <c r="ATT150" s="72"/>
      <c r="ATU150" s="72"/>
      <c r="ATV150" s="72"/>
      <c r="ATW150" s="72"/>
      <c r="ATX150" s="72"/>
      <c r="ATY150" s="72"/>
      <c r="ATZ150" s="72"/>
      <c r="AUA150" s="72"/>
      <c r="AUB150" s="72"/>
      <c r="AUC150" s="72"/>
      <c r="AUD150" s="72"/>
      <c r="AUE150" s="72"/>
      <c r="AUF150" s="72"/>
      <c r="AUG150" s="72"/>
      <c r="AUH150" s="72"/>
      <c r="AUI150" s="72"/>
      <c r="AUJ150" s="72"/>
      <c r="AUK150" s="72"/>
      <c r="AUL150" s="72"/>
      <c r="AUM150" s="72"/>
      <c r="AUN150" s="72"/>
      <c r="AUO150" s="72"/>
      <c r="AUP150" s="72"/>
      <c r="AUQ150" s="72"/>
      <c r="AUR150" s="72"/>
      <c r="AUS150" s="72"/>
      <c r="AUT150" s="72"/>
      <c r="AUU150" s="72"/>
      <c r="AUV150" s="72"/>
      <c r="AUW150" s="72"/>
      <c r="AUX150" s="72"/>
      <c r="AUY150" s="72"/>
      <c r="AUZ150" s="72"/>
      <c r="AVA150" s="72"/>
      <c r="AVB150" s="72"/>
      <c r="AVC150" s="72"/>
      <c r="AVD150" s="72"/>
      <c r="AVE150" s="72"/>
      <c r="AVF150" s="72"/>
      <c r="AVG150" s="72"/>
      <c r="AVH150" s="72"/>
      <c r="AVI150" s="72"/>
      <c r="AVJ150" s="72"/>
      <c r="AVK150" s="72"/>
      <c r="AVL150" s="72"/>
      <c r="AVM150" s="72"/>
      <c r="AVN150" s="72"/>
      <c r="AVO150" s="72"/>
      <c r="AVP150" s="72"/>
      <c r="AVQ150" s="72"/>
      <c r="AVR150" s="72"/>
      <c r="AVS150" s="72"/>
      <c r="AVT150" s="72"/>
      <c r="AVU150" s="72"/>
      <c r="AVV150" s="72"/>
      <c r="AVW150" s="72"/>
      <c r="AVX150" s="72"/>
      <c r="AVY150" s="72"/>
      <c r="AVZ150" s="72"/>
      <c r="AWA150" s="72"/>
      <c r="AWB150" s="72"/>
      <c r="AWC150" s="72"/>
      <c r="AWD150" s="72"/>
      <c r="AWE150" s="72"/>
      <c r="AWF150" s="72"/>
      <c r="AWG150" s="72"/>
      <c r="AWH150" s="72"/>
      <c r="AWI150" s="72"/>
      <c r="AWJ150" s="72"/>
      <c r="AWK150" s="72"/>
      <c r="AWL150" s="72"/>
      <c r="AWM150" s="72"/>
      <c r="AWN150" s="72"/>
      <c r="AWO150" s="72"/>
      <c r="AWP150" s="72"/>
      <c r="AWQ150" s="72"/>
      <c r="AWR150" s="72"/>
      <c r="AWS150" s="72"/>
      <c r="AWT150" s="72"/>
      <c r="AWU150" s="72"/>
      <c r="AWV150" s="72"/>
      <c r="AWW150" s="72"/>
      <c r="AWX150" s="72"/>
      <c r="AWY150" s="72"/>
      <c r="AWZ150" s="72"/>
      <c r="AXA150" s="72"/>
      <c r="AXB150" s="72"/>
      <c r="AXC150" s="72"/>
      <c r="AXD150" s="72"/>
      <c r="AXE150" s="72"/>
      <c r="AXF150" s="72"/>
      <c r="AXG150" s="72"/>
      <c r="AXH150" s="72"/>
      <c r="AXI150" s="72"/>
      <c r="AXJ150" s="72"/>
      <c r="AXK150" s="72"/>
      <c r="AXL150" s="72"/>
      <c r="AXM150" s="72"/>
      <c r="AXN150" s="72"/>
      <c r="AXO150" s="72"/>
      <c r="AXP150" s="72"/>
      <c r="AXQ150" s="72"/>
      <c r="AXR150" s="72"/>
      <c r="AXS150" s="72"/>
      <c r="AXT150" s="72"/>
      <c r="AXU150" s="72"/>
      <c r="AXV150" s="72"/>
      <c r="AXW150" s="72"/>
      <c r="AXX150" s="72"/>
      <c r="AXY150" s="72"/>
      <c r="AXZ150" s="72"/>
      <c r="AYA150" s="72"/>
      <c r="AYB150" s="72"/>
      <c r="AYC150" s="72"/>
      <c r="AYD150" s="72"/>
      <c r="AYE150" s="72"/>
      <c r="AYF150" s="72"/>
      <c r="AYG150" s="72"/>
      <c r="AYH150" s="72"/>
      <c r="AYI150" s="72"/>
      <c r="AYJ150" s="72"/>
      <c r="AYK150" s="72"/>
      <c r="AYL150" s="72"/>
      <c r="AYM150" s="72"/>
      <c r="AYN150" s="72"/>
      <c r="AYO150" s="72"/>
      <c r="AYP150" s="72"/>
      <c r="AYQ150" s="72"/>
      <c r="AYR150" s="72"/>
      <c r="AYS150" s="72"/>
      <c r="AYT150" s="72"/>
      <c r="AYU150" s="72"/>
      <c r="AYV150" s="72"/>
      <c r="AYW150" s="72"/>
      <c r="AYX150" s="72"/>
      <c r="AYY150" s="72"/>
      <c r="AYZ150" s="72"/>
      <c r="AZA150" s="72"/>
      <c r="AZB150" s="72"/>
      <c r="AZC150" s="72"/>
      <c r="AZD150" s="72"/>
      <c r="AZE150" s="72"/>
      <c r="AZF150" s="72"/>
      <c r="AZG150" s="72"/>
      <c r="AZH150" s="72"/>
      <c r="AZI150" s="72"/>
      <c r="AZJ150" s="72"/>
      <c r="AZK150" s="72"/>
      <c r="AZL150" s="72"/>
      <c r="AZM150" s="72"/>
      <c r="AZN150" s="72"/>
      <c r="AZO150" s="72"/>
      <c r="AZP150" s="72"/>
      <c r="AZQ150" s="72"/>
      <c r="AZR150" s="72"/>
      <c r="AZS150" s="72"/>
      <c r="AZT150" s="72"/>
      <c r="AZU150" s="72"/>
      <c r="AZV150" s="72"/>
      <c r="AZW150" s="72"/>
      <c r="AZX150" s="72"/>
      <c r="AZY150" s="72"/>
      <c r="AZZ150" s="72"/>
      <c r="BAA150" s="72"/>
      <c r="BAB150" s="72"/>
      <c r="BAC150" s="72"/>
      <c r="BAD150" s="72"/>
      <c r="BAE150" s="72"/>
      <c r="BAF150" s="72"/>
      <c r="BAG150" s="72"/>
      <c r="BAH150" s="72"/>
      <c r="BAI150" s="72"/>
      <c r="BAJ150" s="72"/>
      <c r="BAK150" s="72"/>
      <c r="BAL150" s="72"/>
      <c r="BAM150" s="72"/>
      <c r="BAN150" s="72"/>
      <c r="BAO150" s="72"/>
      <c r="BAP150" s="72"/>
      <c r="BAQ150" s="72"/>
      <c r="BAR150" s="72"/>
      <c r="BAS150" s="72"/>
      <c r="BAT150" s="72"/>
      <c r="BAU150" s="72"/>
      <c r="BAV150" s="72"/>
      <c r="BAW150" s="72"/>
      <c r="BAX150" s="72"/>
      <c r="BAY150" s="72"/>
      <c r="BAZ150" s="72"/>
      <c r="BBA150" s="72"/>
      <c r="BBB150" s="72"/>
      <c r="BBC150" s="72"/>
      <c r="BBD150" s="72"/>
      <c r="BBE150" s="72"/>
      <c r="BBF150" s="72"/>
      <c r="BBG150" s="72"/>
      <c r="BBH150" s="72"/>
      <c r="BBI150" s="72"/>
      <c r="BBJ150" s="72"/>
      <c r="BBK150" s="72"/>
      <c r="BBL150" s="72"/>
      <c r="BBM150" s="72"/>
      <c r="BBN150" s="72"/>
      <c r="BBO150" s="72"/>
      <c r="BBP150" s="72"/>
      <c r="BBQ150" s="72"/>
      <c r="BBR150" s="72"/>
      <c r="BBS150" s="72"/>
      <c r="BBT150" s="72"/>
      <c r="BBU150" s="72"/>
      <c r="BBV150" s="72"/>
      <c r="BBW150" s="72"/>
      <c r="BBX150" s="72"/>
      <c r="BBY150" s="72"/>
      <c r="BBZ150" s="72"/>
      <c r="BCA150" s="72"/>
      <c r="BCB150" s="72"/>
      <c r="BCC150" s="72"/>
      <c r="BCD150" s="72"/>
      <c r="BCE150" s="72"/>
      <c r="BCF150" s="72"/>
      <c r="BCG150" s="72"/>
      <c r="BCH150" s="72"/>
      <c r="BCI150" s="72"/>
      <c r="BCJ150" s="72"/>
      <c r="BCK150" s="72"/>
      <c r="BCL150" s="72"/>
      <c r="BCM150" s="72"/>
      <c r="BCN150" s="72"/>
      <c r="BCO150" s="72"/>
      <c r="BCP150" s="72"/>
      <c r="BCQ150" s="72"/>
      <c r="BCR150" s="72"/>
      <c r="BCS150" s="72"/>
      <c r="BCT150" s="72"/>
      <c r="BCU150" s="72"/>
      <c r="BCV150" s="72"/>
      <c r="BCW150" s="72"/>
      <c r="BCX150" s="72"/>
      <c r="BCY150" s="72"/>
      <c r="BCZ150" s="72"/>
      <c r="BDA150" s="72"/>
      <c r="BDB150" s="72"/>
      <c r="BDC150" s="72"/>
      <c r="BDD150" s="72"/>
      <c r="BDE150" s="72"/>
      <c r="BDF150" s="72"/>
      <c r="BDG150" s="72"/>
      <c r="BDH150" s="72"/>
      <c r="BDI150" s="72"/>
      <c r="BDJ150" s="72"/>
      <c r="BDK150" s="72"/>
      <c r="BDL150" s="72"/>
      <c r="BDM150" s="72"/>
      <c r="BDN150" s="72"/>
      <c r="BDO150" s="72"/>
      <c r="BDP150" s="72"/>
      <c r="BDQ150" s="72"/>
      <c r="BDR150" s="72"/>
      <c r="BDS150" s="72"/>
      <c r="BDT150" s="72"/>
      <c r="BDU150" s="72"/>
      <c r="BDV150" s="72"/>
      <c r="BDW150" s="72"/>
      <c r="BDX150" s="72"/>
      <c r="BDY150" s="72"/>
      <c r="BDZ150" s="72"/>
      <c r="BEA150" s="72"/>
      <c r="BEB150" s="72"/>
      <c r="BEC150" s="72"/>
      <c r="BED150" s="72"/>
      <c r="BEE150" s="72"/>
      <c r="BEF150" s="72"/>
      <c r="BEG150" s="72"/>
      <c r="BEH150" s="72"/>
      <c r="BEI150" s="72"/>
      <c r="BEJ150" s="72"/>
      <c r="BEK150" s="72"/>
      <c r="BEL150" s="72"/>
      <c r="BEM150" s="72"/>
      <c r="BEN150" s="72"/>
      <c r="BEO150" s="72"/>
      <c r="BEP150" s="72"/>
      <c r="BEQ150" s="72"/>
      <c r="BER150" s="72"/>
      <c r="BES150" s="72"/>
      <c r="BET150" s="72"/>
      <c r="BEU150" s="72"/>
      <c r="BEV150" s="72"/>
      <c r="BEW150" s="72"/>
      <c r="BEX150" s="72"/>
      <c r="BEY150" s="72"/>
      <c r="BEZ150" s="72"/>
      <c r="BFA150" s="72"/>
      <c r="BFB150" s="72"/>
      <c r="BFC150" s="72"/>
      <c r="BFD150" s="72"/>
      <c r="BFE150" s="72"/>
      <c r="BFF150" s="72"/>
      <c r="BFG150" s="72"/>
      <c r="BFH150" s="72"/>
      <c r="BFI150" s="72"/>
      <c r="BFJ150" s="72"/>
      <c r="BFK150" s="72"/>
      <c r="BFL150" s="72"/>
      <c r="BFM150" s="72"/>
      <c r="BFN150" s="72"/>
      <c r="BFO150" s="72"/>
      <c r="BFP150" s="72"/>
      <c r="BFQ150" s="72"/>
      <c r="BFR150" s="72"/>
      <c r="BFS150" s="72"/>
      <c r="BFT150" s="72"/>
      <c r="BFU150" s="72"/>
      <c r="BFV150" s="72"/>
      <c r="BFW150" s="72"/>
      <c r="BFX150" s="72"/>
      <c r="BFY150" s="72"/>
      <c r="BFZ150" s="72"/>
      <c r="BGA150" s="72"/>
      <c r="BGB150" s="72"/>
      <c r="BGC150" s="72"/>
      <c r="BGD150" s="72"/>
      <c r="BGE150" s="72"/>
      <c r="BGF150" s="72"/>
      <c r="BGG150" s="72"/>
      <c r="BGH150" s="72"/>
      <c r="BGI150" s="72"/>
      <c r="BGJ150" s="72"/>
      <c r="BGK150" s="72"/>
      <c r="BGL150" s="72"/>
      <c r="BGM150" s="72"/>
      <c r="BGN150" s="72"/>
      <c r="BGO150" s="72"/>
      <c r="BGP150" s="72"/>
      <c r="BGQ150" s="72"/>
      <c r="BGR150" s="72"/>
      <c r="BGS150" s="72"/>
      <c r="BGT150" s="72"/>
      <c r="BGU150" s="72"/>
      <c r="BGV150" s="72"/>
      <c r="BGW150" s="72"/>
      <c r="BGX150" s="72"/>
      <c r="BGY150" s="72"/>
      <c r="BGZ150" s="72"/>
      <c r="BHA150" s="72"/>
      <c r="BHB150" s="72"/>
      <c r="BHC150" s="72"/>
      <c r="BHD150" s="72"/>
      <c r="BHE150" s="72"/>
      <c r="BHF150" s="72"/>
      <c r="BHG150" s="72"/>
      <c r="BHH150" s="72"/>
      <c r="BHI150" s="72"/>
      <c r="BHJ150" s="72"/>
      <c r="BHK150" s="72"/>
      <c r="BHL150" s="72"/>
      <c r="BHM150" s="72"/>
      <c r="BHN150" s="72"/>
      <c r="BHO150" s="72"/>
      <c r="BHP150" s="72"/>
      <c r="BHQ150" s="72"/>
      <c r="BHR150" s="72"/>
      <c r="BHS150" s="72"/>
      <c r="BHT150" s="72"/>
      <c r="BHU150" s="72"/>
      <c r="BHV150" s="72"/>
      <c r="BHW150" s="72"/>
      <c r="BHX150" s="72"/>
      <c r="BHY150" s="72"/>
      <c r="BHZ150" s="72"/>
      <c r="BIA150" s="72"/>
      <c r="BIB150" s="72"/>
      <c r="BIC150" s="72"/>
      <c r="BID150" s="72"/>
      <c r="BIE150" s="72"/>
      <c r="BIF150" s="72"/>
      <c r="BIG150" s="72"/>
      <c r="BIH150" s="72"/>
      <c r="BII150" s="72"/>
      <c r="BIJ150" s="72"/>
      <c r="BIK150" s="72"/>
      <c r="BIL150" s="72"/>
      <c r="BIM150" s="72"/>
      <c r="BIN150" s="72"/>
      <c r="BIO150" s="72"/>
      <c r="BIP150" s="72"/>
      <c r="BIQ150" s="72"/>
      <c r="BIR150" s="72"/>
      <c r="BIS150" s="72"/>
      <c r="BIT150" s="72"/>
      <c r="BIU150" s="72"/>
      <c r="BIV150" s="72"/>
      <c r="BIW150" s="72"/>
      <c r="BIX150" s="72"/>
      <c r="BIY150" s="72"/>
      <c r="BIZ150" s="72"/>
      <c r="BJA150" s="72"/>
      <c r="BJB150" s="72"/>
      <c r="BJC150" s="72"/>
      <c r="BJD150" s="72"/>
      <c r="BJE150" s="72"/>
      <c r="BJF150" s="72"/>
      <c r="BJG150" s="72"/>
      <c r="BJH150" s="72"/>
      <c r="BJI150" s="72"/>
      <c r="BJJ150" s="72"/>
      <c r="BJK150" s="72"/>
      <c r="BJL150" s="72"/>
      <c r="BJM150" s="72"/>
      <c r="BJN150" s="72"/>
      <c r="BJO150" s="72"/>
      <c r="BJP150" s="72"/>
      <c r="BJQ150" s="72"/>
      <c r="BJR150" s="72"/>
      <c r="BJS150" s="72"/>
      <c r="BJT150" s="72"/>
      <c r="BJU150" s="72"/>
      <c r="BJV150" s="72"/>
      <c r="BJW150" s="72"/>
      <c r="BJX150" s="72"/>
      <c r="BJY150" s="72"/>
      <c r="BJZ150" s="72"/>
      <c r="BKA150" s="72"/>
      <c r="BKB150" s="72"/>
      <c r="BKC150" s="72"/>
      <c r="BKD150" s="72"/>
      <c r="BKE150" s="72"/>
      <c r="BKF150" s="72"/>
      <c r="BKG150" s="72"/>
      <c r="BKH150" s="72"/>
      <c r="BKI150" s="72"/>
      <c r="BKJ150" s="72"/>
      <c r="BKK150" s="72"/>
      <c r="BKL150" s="72"/>
      <c r="BKM150" s="72"/>
      <c r="BKN150" s="72"/>
      <c r="BKO150" s="72"/>
      <c r="BKP150" s="72"/>
      <c r="BKQ150" s="72"/>
      <c r="BKR150" s="72"/>
      <c r="BKS150" s="72"/>
      <c r="BKT150" s="72"/>
      <c r="BKU150" s="72"/>
      <c r="BKV150" s="72"/>
      <c r="BKW150" s="72"/>
      <c r="BKX150" s="72"/>
      <c r="BKY150" s="72"/>
      <c r="BKZ150" s="72"/>
      <c r="BLA150" s="72"/>
      <c r="BLB150" s="72"/>
      <c r="BLC150" s="72"/>
      <c r="BLD150" s="72"/>
      <c r="BLE150" s="72"/>
      <c r="BLF150" s="72"/>
      <c r="BLG150" s="72"/>
      <c r="BLH150" s="72"/>
      <c r="BLI150" s="72"/>
      <c r="BLJ150" s="72"/>
      <c r="BLK150" s="72"/>
      <c r="BLL150" s="72"/>
      <c r="BLM150" s="72"/>
      <c r="BLN150" s="72"/>
      <c r="BLO150" s="72"/>
      <c r="BLP150" s="72"/>
      <c r="BLQ150" s="72"/>
      <c r="BLR150" s="72"/>
      <c r="BLS150" s="72"/>
      <c r="BLT150" s="72"/>
      <c r="BLU150" s="72"/>
      <c r="BLV150" s="72"/>
      <c r="BLW150" s="72"/>
      <c r="BLX150" s="72"/>
      <c r="BLY150" s="72"/>
      <c r="BLZ150" s="72"/>
      <c r="BMA150" s="72"/>
      <c r="BMB150" s="72"/>
      <c r="BMC150" s="72"/>
      <c r="BMD150" s="72"/>
      <c r="BME150" s="72"/>
      <c r="BMF150" s="72"/>
      <c r="BMG150" s="72"/>
      <c r="BMH150" s="72"/>
      <c r="BMI150" s="72"/>
      <c r="BMJ150" s="72"/>
      <c r="BMK150" s="72"/>
      <c r="BML150" s="72"/>
      <c r="BMM150" s="72"/>
      <c r="BMN150" s="72"/>
      <c r="BMO150" s="72"/>
      <c r="BMP150" s="72"/>
      <c r="BMQ150" s="72"/>
      <c r="BMR150" s="72"/>
      <c r="BMS150" s="72"/>
      <c r="BMT150" s="72"/>
      <c r="BMU150" s="72"/>
      <c r="BMV150" s="72"/>
      <c r="BMW150" s="72"/>
      <c r="BMX150" s="72"/>
      <c r="BMY150" s="72"/>
      <c r="BMZ150" s="72"/>
      <c r="BNA150" s="72"/>
      <c r="BNB150" s="72"/>
      <c r="BNC150" s="72"/>
      <c r="BND150" s="72"/>
      <c r="BNE150" s="72"/>
      <c r="BNF150" s="72"/>
      <c r="BNG150" s="72"/>
      <c r="BNH150" s="72"/>
      <c r="BNI150" s="72"/>
      <c r="BNJ150" s="72"/>
      <c r="BNK150" s="72"/>
      <c r="BNL150" s="72"/>
      <c r="BNM150" s="72"/>
      <c r="BNN150" s="72"/>
      <c r="BNO150" s="72"/>
      <c r="BNP150" s="72"/>
      <c r="BNQ150" s="72"/>
      <c r="BNR150" s="72"/>
      <c r="BNS150" s="72"/>
      <c r="BNT150" s="72"/>
      <c r="BNU150" s="72"/>
      <c r="BNV150" s="72"/>
      <c r="BNW150" s="72"/>
      <c r="BNX150" s="72"/>
      <c r="BNY150" s="72"/>
      <c r="BNZ150" s="72"/>
      <c r="BOA150" s="72"/>
      <c r="BOB150" s="72"/>
      <c r="BOC150" s="72"/>
      <c r="BOD150" s="72"/>
      <c r="BOE150" s="72"/>
      <c r="BOF150" s="72"/>
      <c r="BOG150" s="72"/>
      <c r="BOH150" s="72"/>
      <c r="BOI150" s="72"/>
      <c r="BOJ150" s="72"/>
      <c r="BOK150" s="72"/>
      <c r="BOL150" s="72"/>
      <c r="BOM150" s="72"/>
      <c r="BON150" s="72"/>
      <c r="BOO150" s="72"/>
      <c r="BOP150" s="72"/>
      <c r="BOQ150" s="72"/>
      <c r="BOR150" s="72"/>
      <c r="BOS150" s="72"/>
      <c r="BOT150" s="72"/>
      <c r="BOU150" s="72"/>
      <c r="BOV150" s="72"/>
      <c r="BOW150" s="72"/>
      <c r="BOX150" s="72"/>
      <c r="BOY150" s="72"/>
      <c r="BOZ150" s="72"/>
      <c r="BPA150" s="72"/>
      <c r="BPB150" s="72"/>
      <c r="BPC150" s="72"/>
      <c r="BPD150" s="72"/>
      <c r="BPE150" s="72"/>
      <c r="BPF150" s="72"/>
      <c r="BPG150" s="72"/>
      <c r="BPH150" s="72"/>
      <c r="BPI150" s="72"/>
      <c r="BPJ150" s="72"/>
      <c r="BPK150" s="72"/>
      <c r="BPL150" s="72"/>
      <c r="BPM150" s="72"/>
      <c r="BPN150" s="72"/>
      <c r="BPO150" s="72"/>
      <c r="BPP150" s="72"/>
      <c r="BPQ150" s="72"/>
      <c r="BPR150" s="72"/>
      <c r="BPS150" s="72"/>
      <c r="BPT150" s="72"/>
      <c r="BPU150" s="72"/>
      <c r="BPV150" s="72"/>
      <c r="BPW150" s="72"/>
      <c r="BPX150" s="72"/>
      <c r="BPY150" s="72"/>
      <c r="BPZ150" s="72"/>
      <c r="BQA150" s="72"/>
      <c r="BQB150" s="72"/>
      <c r="BQC150" s="72"/>
      <c r="BQD150" s="72"/>
      <c r="BQE150" s="72"/>
      <c r="BQF150" s="72"/>
      <c r="BQG150" s="72"/>
      <c r="BQH150" s="72"/>
      <c r="BQI150" s="72"/>
      <c r="BQJ150" s="72"/>
      <c r="BQK150" s="72"/>
      <c r="BQL150" s="72"/>
      <c r="BQM150" s="72"/>
      <c r="BQN150" s="72"/>
      <c r="BQO150" s="72"/>
      <c r="BQP150" s="72"/>
      <c r="BQQ150" s="72"/>
      <c r="BQR150" s="72"/>
      <c r="BQS150" s="72"/>
      <c r="BQT150" s="72"/>
      <c r="BQU150" s="72"/>
      <c r="BQV150" s="72"/>
      <c r="BQW150" s="72"/>
      <c r="BQX150" s="72"/>
      <c r="BQY150" s="72"/>
      <c r="BQZ150" s="72"/>
      <c r="BRA150" s="72"/>
      <c r="BRB150" s="72"/>
      <c r="BRC150" s="72"/>
      <c r="BRD150" s="72"/>
      <c r="BRE150" s="72"/>
      <c r="BRF150" s="72"/>
      <c r="BRG150" s="72"/>
      <c r="BRH150" s="72"/>
      <c r="BRI150" s="72"/>
      <c r="BRJ150" s="72"/>
      <c r="BRK150" s="72"/>
      <c r="BRL150" s="72"/>
      <c r="BRM150" s="72"/>
      <c r="BRN150" s="72"/>
      <c r="BRO150" s="72"/>
      <c r="BRP150" s="72"/>
      <c r="BRQ150" s="72"/>
      <c r="BRR150" s="72"/>
      <c r="BRS150" s="72"/>
      <c r="BRT150" s="72"/>
      <c r="BRU150" s="72"/>
      <c r="BRV150" s="72"/>
      <c r="BRW150" s="72"/>
      <c r="BRX150" s="72"/>
      <c r="BRY150" s="72"/>
      <c r="BRZ150" s="72"/>
      <c r="BSA150" s="72"/>
      <c r="BSB150" s="72"/>
      <c r="BSC150" s="72"/>
      <c r="BSD150" s="72"/>
      <c r="BSE150" s="72"/>
      <c r="BSF150" s="72"/>
      <c r="BSG150" s="72"/>
      <c r="BSH150" s="72"/>
      <c r="BSI150" s="72"/>
      <c r="BSJ150" s="72"/>
      <c r="BSK150" s="72"/>
      <c r="BSL150" s="72"/>
      <c r="BSM150" s="72"/>
      <c r="BSN150" s="72"/>
      <c r="BSO150" s="72"/>
      <c r="BSP150" s="72"/>
      <c r="BSQ150" s="72"/>
      <c r="BSR150" s="72"/>
      <c r="BSS150" s="72"/>
      <c r="BST150" s="72"/>
      <c r="BSU150" s="72"/>
      <c r="BSV150" s="72"/>
      <c r="BSW150" s="72"/>
      <c r="BSX150" s="72"/>
      <c r="BSY150" s="72"/>
      <c r="BSZ150" s="72"/>
      <c r="BTA150" s="72"/>
      <c r="BTB150" s="72"/>
      <c r="BTC150" s="72"/>
      <c r="BTD150" s="72"/>
      <c r="BTE150" s="72"/>
      <c r="BTF150" s="72"/>
      <c r="BTG150" s="72"/>
      <c r="BTH150" s="72"/>
      <c r="BTI150" s="72"/>
      <c r="BTJ150" s="72"/>
      <c r="BTK150" s="72"/>
      <c r="BTL150" s="72"/>
      <c r="BTM150" s="72"/>
      <c r="BTN150" s="72"/>
      <c r="BTO150" s="72"/>
      <c r="BTP150" s="72"/>
      <c r="BTQ150" s="72"/>
      <c r="BTR150" s="72"/>
      <c r="BTS150" s="72"/>
      <c r="BTT150" s="72"/>
      <c r="BTU150" s="72"/>
      <c r="BTV150" s="72"/>
      <c r="BTW150" s="72"/>
      <c r="BTX150" s="72"/>
      <c r="BTY150" s="72"/>
      <c r="BTZ150" s="72"/>
      <c r="BUA150" s="72"/>
      <c r="BUB150" s="72"/>
      <c r="BUC150" s="72"/>
      <c r="BUD150" s="72"/>
      <c r="BUE150" s="72"/>
      <c r="BUF150" s="72"/>
      <c r="BUG150" s="72"/>
      <c r="BUH150" s="72"/>
      <c r="BUI150" s="72"/>
      <c r="BUJ150" s="72"/>
      <c r="BUK150" s="72"/>
      <c r="BUL150" s="72"/>
      <c r="BUM150" s="72"/>
      <c r="BUN150" s="72"/>
      <c r="BUO150" s="72"/>
      <c r="BUP150" s="72"/>
      <c r="BUQ150" s="72"/>
      <c r="BUR150" s="72"/>
      <c r="BUS150" s="72"/>
      <c r="BUT150" s="72"/>
      <c r="BUU150" s="72"/>
      <c r="BUV150" s="72"/>
      <c r="BUW150" s="72"/>
      <c r="BUX150" s="72"/>
      <c r="BUY150" s="72"/>
      <c r="BUZ150" s="72"/>
      <c r="BVA150" s="72"/>
      <c r="BVB150" s="72"/>
      <c r="BVC150" s="72"/>
      <c r="BVD150" s="72"/>
      <c r="BVE150" s="72"/>
      <c r="BVF150" s="72"/>
      <c r="BVG150" s="72"/>
      <c r="BVH150" s="72"/>
      <c r="BVI150" s="72"/>
      <c r="BVJ150" s="72"/>
      <c r="BVK150" s="72"/>
      <c r="BVL150" s="72"/>
      <c r="BVM150" s="72"/>
      <c r="BVN150" s="72"/>
      <c r="BVO150" s="72"/>
      <c r="BVP150" s="72"/>
      <c r="BVQ150" s="72"/>
      <c r="BVR150" s="72"/>
      <c r="BVS150" s="72"/>
      <c r="BVT150" s="72"/>
      <c r="BVU150" s="72"/>
      <c r="BVV150" s="72"/>
      <c r="BVW150" s="72"/>
      <c r="BVX150" s="72"/>
      <c r="BVY150" s="72"/>
      <c r="BVZ150" s="72"/>
      <c r="BWA150" s="72"/>
      <c r="BWB150" s="72"/>
      <c r="BWC150" s="72"/>
      <c r="BWD150" s="72"/>
      <c r="BWE150" s="72"/>
      <c r="BWF150" s="72"/>
      <c r="BWG150" s="72"/>
      <c r="BWH150" s="72"/>
      <c r="BWI150" s="72"/>
      <c r="BWJ150" s="72"/>
      <c r="BWK150" s="72"/>
      <c r="BWL150" s="72"/>
      <c r="BWM150" s="72"/>
      <c r="BWN150" s="72"/>
      <c r="BWO150" s="72"/>
      <c r="BWP150" s="72"/>
      <c r="BWQ150" s="72"/>
      <c r="BWR150" s="72"/>
      <c r="BWS150" s="72"/>
      <c r="BWT150" s="72"/>
      <c r="BWU150" s="72"/>
      <c r="BWV150" s="72"/>
      <c r="BWW150" s="72"/>
      <c r="BWX150" s="72"/>
      <c r="BWY150" s="72"/>
      <c r="BWZ150" s="72"/>
      <c r="BXA150" s="72"/>
      <c r="BXB150" s="72"/>
      <c r="BXC150" s="72"/>
      <c r="BXD150" s="72"/>
      <c r="BXE150" s="72"/>
      <c r="BXF150" s="72"/>
      <c r="BXG150" s="72"/>
      <c r="BXH150" s="72"/>
      <c r="BXI150" s="72"/>
      <c r="BXJ150" s="72"/>
      <c r="BXK150" s="72"/>
      <c r="BXL150" s="72"/>
      <c r="BXM150" s="72"/>
      <c r="BXN150" s="72"/>
      <c r="BXO150" s="72"/>
      <c r="BXP150" s="72"/>
      <c r="BXQ150" s="72"/>
      <c r="BXR150" s="72"/>
      <c r="BXS150" s="72"/>
      <c r="BXT150" s="72"/>
      <c r="BXU150" s="72"/>
      <c r="BXV150" s="72"/>
      <c r="BXW150" s="72"/>
      <c r="BXX150" s="72"/>
      <c r="BXY150" s="72"/>
      <c r="BXZ150" s="72"/>
      <c r="BYA150" s="72"/>
      <c r="BYB150" s="72"/>
      <c r="BYC150" s="72"/>
      <c r="BYD150" s="72"/>
      <c r="BYE150" s="72"/>
      <c r="BYF150" s="72"/>
      <c r="BYG150" s="72"/>
      <c r="BYH150" s="72"/>
      <c r="BYI150" s="72"/>
      <c r="BYJ150" s="72"/>
      <c r="BYK150" s="72"/>
      <c r="BYL150" s="72"/>
      <c r="BYM150" s="72"/>
      <c r="BYN150" s="72"/>
      <c r="BYO150" s="72"/>
      <c r="BYP150" s="72"/>
      <c r="BYQ150" s="72"/>
      <c r="BYR150" s="72"/>
      <c r="BYS150" s="72"/>
      <c r="BYT150" s="72"/>
      <c r="BYU150" s="72"/>
      <c r="BYV150" s="72"/>
      <c r="BYW150" s="72"/>
      <c r="BYX150" s="72"/>
      <c r="BYY150" s="72"/>
      <c r="BYZ150" s="72"/>
      <c r="BZA150" s="72"/>
      <c r="BZB150" s="72"/>
      <c r="BZC150" s="72"/>
      <c r="BZD150" s="72"/>
      <c r="BZE150" s="72"/>
      <c r="BZF150" s="72"/>
      <c r="BZG150" s="72"/>
      <c r="BZH150" s="72"/>
      <c r="BZI150" s="72"/>
      <c r="BZJ150" s="72"/>
      <c r="BZK150" s="72"/>
      <c r="BZL150" s="72"/>
      <c r="BZM150" s="72"/>
      <c r="BZN150" s="72"/>
      <c r="BZO150" s="72"/>
      <c r="BZP150" s="72"/>
      <c r="BZQ150" s="72"/>
      <c r="BZR150" s="72"/>
      <c r="BZS150" s="72"/>
      <c r="BZT150" s="72"/>
      <c r="BZU150" s="72"/>
      <c r="BZV150" s="72"/>
      <c r="BZW150" s="72"/>
      <c r="BZX150" s="72"/>
      <c r="BZY150" s="72"/>
      <c r="BZZ150" s="72"/>
      <c r="CAA150" s="72"/>
      <c r="CAB150" s="72"/>
      <c r="CAC150" s="72"/>
      <c r="CAD150" s="72"/>
      <c r="CAE150" s="72"/>
      <c r="CAF150" s="72"/>
      <c r="CAG150" s="72"/>
      <c r="CAH150" s="72"/>
      <c r="CAI150" s="72"/>
      <c r="CAJ150" s="72"/>
      <c r="CAK150" s="72"/>
      <c r="CAL150" s="72"/>
      <c r="CAM150" s="72"/>
      <c r="CAN150" s="72"/>
      <c r="CAO150" s="72"/>
      <c r="CAP150" s="72"/>
      <c r="CAQ150" s="72"/>
      <c r="CAR150" s="72"/>
      <c r="CAS150" s="72"/>
      <c r="CAT150" s="72"/>
      <c r="CAU150" s="72"/>
      <c r="CAV150" s="72"/>
      <c r="CAW150" s="72"/>
      <c r="CAX150" s="72"/>
      <c r="CAY150" s="72"/>
      <c r="CAZ150" s="72"/>
      <c r="CBA150" s="72"/>
      <c r="CBB150" s="72"/>
      <c r="CBC150" s="72"/>
      <c r="CBD150" s="72"/>
      <c r="CBE150" s="72"/>
      <c r="CBF150" s="72"/>
      <c r="CBG150" s="72"/>
      <c r="CBH150" s="72"/>
      <c r="CBI150" s="72"/>
      <c r="CBJ150" s="72"/>
      <c r="CBK150" s="72"/>
      <c r="CBL150" s="72"/>
      <c r="CBM150" s="72"/>
      <c r="CBN150" s="72"/>
      <c r="CBO150" s="72"/>
      <c r="CBP150" s="72"/>
      <c r="CBQ150" s="72"/>
      <c r="CBR150" s="72"/>
      <c r="CBS150" s="72"/>
      <c r="CBT150" s="72"/>
      <c r="CBU150" s="72"/>
      <c r="CBV150" s="72"/>
      <c r="CBW150" s="72"/>
      <c r="CBX150" s="72"/>
      <c r="CBY150" s="72"/>
      <c r="CBZ150" s="72"/>
      <c r="CCA150" s="72"/>
      <c r="CCB150" s="72"/>
      <c r="CCC150" s="72"/>
      <c r="CCD150" s="72"/>
      <c r="CCE150" s="72"/>
      <c r="CCF150" s="72"/>
      <c r="CCG150" s="72"/>
      <c r="CCH150" s="72"/>
      <c r="CCI150" s="72"/>
      <c r="CCJ150" s="72"/>
      <c r="CCK150" s="72"/>
      <c r="CCL150" s="72"/>
      <c r="CCM150" s="72"/>
      <c r="CCN150" s="72"/>
      <c r="CCO150" s="72"/>
      <c r="CCP150" s="72"/>
      <c r="CCQ150" s="72"/>
      <c r="CCR150" s="72"/>
      <c r="CCS150" s="72"/>
      <c r="CCT150" s="72"/>
      <c r="CCU150" s="72"/>
      <c r="CCV150" s="72"/>
      <c r="CCW150" s="72"/>
      <c r="CCX150" s="72"/>
      <c r="CCY150" s="72"/>
      <c r="CCZ150" s="72"/>
      <c r="CDA150" s="72"/>
      <c r="CDB150" s="72"/>
      <c r="CDC150" s="72"/>
      <c r="CDD150" s="72"/>
      <c r="CDE150" s="72"/>
      <c r="CDF150" s="72"/>
      <c r="CDG150" s="72"/>
      <c r="CDH150" s="72"/>
      <c r="CDI150" s="72"/>
      <c r="CDJ150" s="72"/>
      <c r="CDK150" s="72"/>
      <c r="CDL150" s="72"/>
      <c r="CDM150" s="72"/>
      <c r="CDN150" s="72"/>
      <c r="CDO150" s="72"/>
      <c r="CDP150" s="72"/>
      <c r="CDQ150" s="72"/>
      <c r="CDR150" s="72"/>
      <c r="CDS150" s="72"/>
      <c r="CDT150" s="72"/>
      <c r="CDU150" s="72"/>
      <c r="CDV150" s="72"/>
      <c r="CDW150" s="72"/>
      <c r="CDX150" s="72"/>
      <c r="CDY150" s="72"/>
      <c r="CDZ150" s="72"/>
      <c r="CEA150" s="72"/>
      <c r="CEB150" s="72"/>
      <c r="CEC150" s="72"/>
      <c r="CED150" s="72"/>
      <c r="CEE150" s="72"/>
      <c r="CEF150" s="72"/>
      <c r="CEG150" s="72"/>
      <c r="CEH150" s="72"/>
      <c r="CEI150" s="72"/>
      <c r="CEJ150" s="72"/>
      <c r="CEK150" s="72"/>
      <c r="CEL150" s="72"/>
      <c r="CEM150" s="72"/>
      <c r="CEN150" s="72"/>
      <c r="CEO150" s="72"/>
      <c r="CEP150" s="72"/>
      <c r="CEQ150" s="72"/>
      <c r="CER150" s="72"/>
      <c r="CES150" s="72"/>
      <c r="CET150" s="72"/>
      <c r="CEU150" s="72"/>
      <c r="CEV150" s="72"/>
      <c r="CEW150" s="72"/>
      <c r="CEX150" s="72"/>
      <c r="CEY150" s="72"/>
      <c r="CEZ150" s="72"/>
      <c r="CFA150" s="72"/>
      <c r="CFB150" s="72"/>
      <c r="CFC150" s="72"/>
      <c r="CFD150" s="72"/>
      <c r="CFE150" s="72"/>
      <c r="CFF150" s="72"/>
      <c r="CFG150" s="72"/>
      <c r="CFH150" s="72"/>
      <c r="CFI150" s="72"/>
      <c r="CFJ150" s="72"/>
      <c r="CFK150" s="72"/>
      <c r="CFL150" s="72"/>
      <c r="CFM150" s="72"/>
      <c r="CFN150" s="72"/>
      <c r="CFO150" s="72"/>
      <c r="CFP150" s="72"/>
      <c r="CFQ150" s="72"/>
      <c r="CFR150" s="72"/>
      <c r="CFS150" s="72"/>
      <c r="CFT150" s="72"/>
      <c r="CFU150" s="72"/>
      <c r="CFV150" s="72"/>
      <c r="CFW150" s="72"/>
      <c r="CFX150" s="72"/>
      <c r="CFY150" s="72"/>
      <c r="CFZ150" s="72"/>
      <c r="CGA150" s="72"/>
      <c r="CGB150" s="72"/>
      <c r="CGC150" s="72"/>
      <c r="CGD150" s="72"/>
      <c r="CGE150" s="72"/>
      <c r="CGF150" s="72"/>
      <c r="CGG150" s="72"/>
      <c r="CGH150" s="72"/>
      <c r="CGI150" s="72"/>
      <c r="CGJ150" s="72"/>
      <c r="CGK150" s="72"/>
      <c r="CGL150" s="72"/>
      <c r="CGM150" s="72"/>
      <c r="CGN150" s="72"/>
      <c r="CGO150" s="72"/>
      <c r="CGP150" s="72"/>
      <c r="CGQ150" s="72"/>
      <c r="CGR150" s="72"/>
      <c r="CGS150" s="72"/>
      <c r="CGT150" s="72"/>
      <c r="CGU150" s="72"/>
      <c r="CGV150" s="72"/>
      <c r="CGW150" s="72"/>
      <c r="CGX150" s="72"/>
      <c r="CGY150" s="72"/>
      <c r="CGZ150" s="72"/>
      <c r="CHA150" s="72"/>
      <c r="CHB150" s="72"/>
      <c r="CHC150" s="72"/>
      <c r="CHD150" s="72"/>
      <c r="CHE150" s="72"/>
      <c r="CHF150" s="72"/>
      <c r="CHG150" s="72"/>
      <c r="CHH150" s="72"/>
      <c r="CHI150" s="72"/>
      <c r="CHJ150" s="72"/>
      <c r="CHK150" s="72"/>
      <c r="CHL150" s="72"/>
      <c r="CHM150" s="72"/>
      <c r="CHN150" s="72"/>
      <c r="CHO150" s="72"/>
      <c r="CHP150" s="72"/>
      <c r="CHQ150" s="72"/>
      <c r="CHR150" s="72"/>
      <c r="CHS150" s="72"/>
      <c r="CHT150" s="72"/>
      <c r="CHU150" s="72"/>
      <c r="CHV150" s="72"/>
      <c r="CHW150" s="72"/>
      <c r="CHX150" s="72"/>
      <c r="CHY150" s="72"/>
      <c r="CHZ150" s="72"/>
      <c r="CIA150" s="72"/>
      <c r="CIB150" s="72"/>
      <c r="CIC150" s="72"/>
      <c r="CID150" s="72"/>
      <c r="CIE150" s="72"/>
      <c r="CIF150" s="72"/>
      <c r="CIG150" s="72"/>
      <c r="CIH150" s="72"/>
      <c r="CII150" s="72"/>
      <c r="CIJ150" s="72"/>
      <c r="CIK150" s="72"/>
      <c r="CIL150" s="72"/>
      <c r="CIM150" s="72"/>
      <c r="CIN150" s="72"/>
      <c r="CIO150" s="72"/>
      <c r="CIP150" s="72"/>
      <c r="CIQ150" s="72"/>
      <c r="CIR150" s="72"/>
      <c r="CIS150" s="72"/>
      <c r="CIT150" s="72"/>
      <c r="CIU150" s="72"/>
      <c r="CIV150" s="72"/>
      <c r="CIW150" s="72"/>
      <c r="CIX150" s="72"/>
      <c r="CIY150" s="72"/>
      <c r="CIZ150" s="72"/>
      <c r="CJA150" s="72"/>
      <c r="CJB150" s="72"/>
      <c r="CJC150" s="72"/>
      <c r="CJD150" s="72"/>
      <c r="CJE150" s="72"/>
      <c r="CJF150" s="72"/>
      <c r="CJG150" s="72"/>
      <c r="CJH150" s="72"/>
      <c r="CJI150" s="72"/>
      <c r="CJJ150" s="72"/>
      <c r="CJK150" s="72"/>
      <c r="CJL150" s="72"/>
      <c r="CJM150" s="72"/>
      <c r="CJN150" s="72"/>
      <c r="CJO150" s="72"/>
      <c r="CJP150" s="72"/>
      <c r="CJQ150" s="72"/>
      <c r="CJR150" s="72"/>
      <c r="CJS150" s="72"/>
      <c r="CJT150" s="72"/>
      <c r="CJU150" s="72"/>
      <c r="CJV150" s="72"/>
      <c r="CJW150" s="72"/>
      <c r="CJX150" s="72"/>
      <c r="CJY150" s="72"/>
      <c r="CJZ150" s="72"/>
      <c r="CKA150" s="72"/>
      <c r="CKB150" s="72"/>
      <c r="CKC150" s="72"/>
      <c r="CKD150" s="72"/>
      <c r="CKE150" s="72"/>
      <c r="CKF150" s="72"/>
      <c r="CKG150" s="72"/>
      <c r="CKH150" s="72"/>
      <c r="CKI150" s="72"/>
      <c r="CKJ150" s="72"/>
      <c r="CKK150" s="72"/>
      <c r="CKL150" s="72"/>
      <c r="CKM150" s="72"/>
      <c r="CKN150" s="72"/>
      <c r="CKO150" s="72"/>
      <c r="CKP150" s="72"/>
      <c r="CKQ150" s="72"/>
      <c r="CKR150" s="72"/>
      <c r="CKS150" s="72"/>
      <c r="CKT150" s="72"/>
      <c r="CKU150" s="72"/>
      <c r="CKV150" s="72"/>
      <c r="CKW150" s="72"/>
      <c r="CKX150" s="72"/>
      <c r="CKY150" s="72"/>
      <c r="CKZ150" s="72"/>
      <c r="CLA150" s="72"/>
      <c r="CLB150" s="72"/>
      <c r="CLC150" s="72"/>
      <c r="CLD150" s="72"/>
      <c r="CLE150" s="72"/>
      <c r="CLF150" s="72"/>
      <c r="CLG150" s="72"/>
      <c r="CLH150" s="72"/>
      <c r="CLI150" s="72"/>
      <c r="CLJ150" s="72"/>
      <c r="CLK150" s="72"/>
      <c r="CLL150" s="72"/>
      <c r="CLM150" s="72"/>
      <c r="CLN150" s="72"/>
      <c r="CLO150" s="72"/>
      <c r="CLP150" s="72"/>
      <c r="CLQ150" s="72"/>
      <c r="CLR150" s="72"/>
      <c r="CLS150" s="72"/>
      <c r="CLT150" s="72"/>
      <c r="CLU150" s="72"/>
      <c r="CLV150" s="72"/>
      <c r="CLW150" s="72"/>
      <c r="CLX150" s="72"/>
      <c r="CLY150" s="72"/>
      <c r="CLZ150" s="72"/>
      <c r="CMA150" s="72"/>
      <c r="CMB150" s="72"/>
      <c r="CMC150" s="72"/>
      <c r="CMD150" s="72"/>
      <c r="CME150" s="72"/>
      <c r="CMF150" s="72"/>
      <c r="CMG150" s="72"/>
      <c r="CMH150" s="72"/>
      <c r="CMI150" s="72"/>
      <c r="CMJ150" s="72"/>
      <c r="CMK150" s="72"/>
      <c r="CML150" s="72"/>
      <c r="CMM150" s="72"/>
      <c r="CMN150" s="72"/>
      <c r="CMO150" s="72"/>
      <c r="CMP150" s="72"/>
      <c r="CMQ150" s="72"/>
      <c r="CMR150" s="72"/>
      <c r="CMS150" s="72"/>
      <c r="CMT150" s="72"/>
      <c r="CMU150" s="72"/>
      <c r="CMV150" s="72"/>
      <c r="CMW150" s="72"/>
      <c r="CMX150" s="72"/>
      <c r="CMY150" s="72"/>
      <c r="CMZ150" s="72"/>
      <c r="CNA150" s="72"/>
      <c r="CNB150" s="72"/>
      <c r="CNC150" s="72"/>
      <c r="CND150" s="72"/>
      <c r="CNE150" s="72"/>
      <c r="CNF150" s="72"/>
      <c r="CNG150" s="72"/>
      <c r="CNH150" s="72"/>
      <c r="CNI150" s="72"/>
      <c r="CNJ150" s="72"/>
      <c r="CNK150" s="72"/>
      <c r="CNL150" s="72"/>
      <c r="CNM150" s="72"/>
      <c r="CNN150" s="72"/>
      <c r="CNO150" s="72"/>
      <c r="CNP150" s="72"/>
      <c r="CNQ150" s="72"/>
      <c r="CNR150" s="72"/>
      <c r="CNS150" s="72"/>
      <c r="CNT150" s="72"/>
      <c r="CNU150" s="72"/>
      <c r="CNV150" s="72"/>
      <c r="CNW150" s="72"/>
      <c r="CNX150" s="72"/>
      <c r="CNY150" s="72"/>
      <c r="CNZ150" s="72"/>
      <c r="COA150" s="72"/>
      <c r="COB150" s="72"/>
      <c r="COC150" s="72"/>
      <c r="COD150" s="72"/>
      <c r="COE150" s="72"/>
      <c r="COF150" s="72"/>
      <c r="COG150" s="72"/>
      <c r="COH150" s="72"/>
      <c r="COI150" s="72"/>
      <c r="COJ150" s="72"/>
      <c r="COK150" s="72"/>
      <c r="COL150" s="72"/>
      <c r="COM150" s="72"/>
      <c r="CON150" s="72"/>
      <c r="COO150" s="72"/>
      <c r="COP150" s="72"/>
      <c r="COQ150" s="72"/>
      <c r="COR150" s="72"/>
      <c r="COS150" s="72"/>
      <c r="COT150" s="72"/>
      <c r="COU150" s="72"/>
      <c r="COV150" s="72"/>
      <c r="COW150" s="72"/>
      <c r="COX150" s="72"/>
      <c r="COY150" s="72"/>
      <c r="COZ150" s="72"/>
      <c r="CPA150" s="72"/>
      <c r="CPB150" s="72"/>
      <c r="CPC150" s="72"/>
      <c r="CPD150" s="72"/>
      <c r="CPE150" s="72"/>
      <c r="CPF150" s="72"/>
      <c r="CPG150" s="72"/>
      <c r="CPH150" s="72"/>
      <c r="CPI150" s="72"/>
      <c r="CPJ150" s="72"/>
      <c r="CPK150" s="72"/>
      <c r="CPL150" s="72"/>
      <c r="CPM150" s="72"/>
      <c r="CPN150" s="72"/>
      <c r="CPO150" s="72"/>
      <c r="CPP150" s="72"/>
      <c r="CPQ150" s="72"/>
      <c r="CPR150" s="72"/>
      <c r="CPS150" s="72"/>
      <c r="CPT150" s="72"/>
      <c r="CPU150" s="72"/>
      <c r="CPV150" s="72"/>
      <c r="CPW150" s="72"/>
      <c r="CPX150" s="72"/>
      <c r="CPY150" s="72"/>
      <c r="CPZ150" s="72"/>
      <c r="CQA150" s="72"/>
      <c r="CQB150" s="72"/>
      <c r="CQC150" s="72"/>
      <c r="CQD150" s="72"/>
      <c r="CQE150" s="72"/>
      <c r="CQF150" s="72"/>
      <c r="CQG150" s="72"/>
      <c r="CQH150" s="72"/>
      <c r="CQI150" s="72"/>
      <c r="CQJ150" s="72"/>
      <c r="CQK150" s="72"/>
      <c r="CQL150" s="72"/>
      <c r="CQM150" s="72"/>
      <c r="CQN150" s="72"/>
      <c r="CQO150" s="72"/>
      <c r="CQP150" s="72"/>
      <c r="CQQ150" s="72"/>
      <c r="CQR150" s="72"/>
      <c r="CQS150" s="72"/>
      <c r="CQT150" s="72"/>
      <c r="CQU150" s="72"/>
      <c r="CQV150" s="72"/>
      <c r="CQW150" s="72"/>
      <c r="CQX150" s="72"/>
      <c r="CQY150" s="72"/>
      <c r="CQZ150" s="72"/>
      <c r="CRA150" s="72"/>
      <c r="CRB150" s="72"/>
      <c r="CRC150" s="72"/>
      <c r="CRD150" s="72"/>
      <c r="CRE150" s="72"/>
      <c r="CRF150" s="72"/>
      <c r="CRG150" s="72"/>
      <c r="CRH150" s="72"/>
      <c r="CRI150" s="72"/>
      <c r="CRJ150" s="72"/>
      <c r="CRK150" s="72"/>
      <c r="CRL150" s="72"/>
      <c r="CRM150" s="72"/>
      <c r="CRN150" s="72"/>
      <c r="CRO150" s="72"/>
      <c r="CRP150" s="72"/>
      <c r="CRQ150" s="72"/>
      <c r="CRR150" s="72"/>
      <c r="CRS150" s="72"/>
      <c r="CRT150" s="72"/>
      <c r="CRU150" s="72"/>
      <c r="CRV150" s="72"/>
      <c r="CRW150" s="72"/>
      <c r="CRX150" s="72"/>
      <c r="CRY150" s="72"/>
      <c r="CRZ150" s="72"/>
      <c r="CSA150" s="72"/>
      <c r="CSB150" s="72"/>
      <c r="CSC150" s="72"/>
      <c r="CSD150" s="72"/>
      <c r="CSE150" s="72"/>
      <c r="CSF150" s="72"/>
      <c r="CSG150" s="72"/>
      <c r="CSH150" s="72"/>
      <c r="CSI150" s="72"/>
      <c r="CSJ150" s="72"/>
      <c r="CSK150" s="72"/>
      <c r="CSL150" s="72"/>
      <c r="CSM150" s="72"/>
      <c r="CSN150" s="72"/>
      <c r="CSO150" s="72"/>
      <c r="CSP150" s="72"/>
      <c r="CSQ150" s="72"/>
      <c r="CSR150" s="72"/>
      <c r="CSS150" s="72"/>
      <c r="CST150" s="72"/>
      <c r="CSU150" s="72"/>
      <c r="CSV150" s="72"/>
      <c r="CSW150" s="72"/>
      <c r="CSX150" s="72"/>
      <c r="CSY150" s="72"/>
      <c r="CSZ150" s="72"/>
      <c r="CTA150" s="72"/>
      <c r="CTB150" s="72"/>
      <c r="CTC150" s="72"/>
      <c r="CTD150" s="72"/>
      <c r="CTE150" s="72"/>
      <c r="CTF150" s="72"/>
      <c r="CTG150" s="72"/>
      <c r="CTH150" s="72"/>
      <c r="CTI150" s="72"/>
      <c r="CTJ150" s="72"/>
      <c r="CTK150" s="72"/>
      <c r="CTL150" s="72"/>
      <c r="CTM150" s="72"/>
      <c r="CTN150" s="72"/>
      <c r="CTO150" s="72"/>
      <c r="CTP150" s="72"/>
      <c r="CTQ150" s="72"/>
      <c r="CTR150" s="72"/>
      <c r="CTS150" s="72"/>
      <c r="CTT150" s="72"/>
      <c r="CTU150" s="72"/>
      <c r="CTV150" s="72"/>
      <c r="CTW150" s="72"/>
      <c r="CTX150" s="72"/>
      <c r="CTY150" s="72"/>
      <c r="CTZ150" s="72"/>
      <c r="CUA150" s="72"/>
      <c r="CUB150" s="72"/>
      <c r="CUC150" s="72"/>
      <c r="CUD150" s="72"/>
      <c r="CUE150" s="72"/>
      <c r="CUF150" s="72"/>
      <c r="CUG150" s="72"/>
      <c r="CUH150" s="72"/>
      <c r="CUI150" s="72"/>
      <c r="CUJ150" s="72"/>
      <c r="CUK150" s="72"/>
      <c r="CUL150" s="72"/>
      <c r="CUM150" s="72"/>
      <c r="CUN150" s="72"/>
      <c r="CUO150" s="72"/>
      <c r="CUP150" s="72"/>
      <c r="CUQ150" s="72"/>
      <c r="CUR150" s="72"/>
      <c r="CUS150" s="72"/>
      <c r="CUT150" s="72"/>
      <c r="CUU150" s="72"/>
      <c r="CUV150" s="72"/>
      <c r="CUW150" s="72"/>
      <c r="CUX150" s="72"/>
      <c r="CUY150" s="72"/>
      <c r="CUZ150" s="72"/>
      <c r="CVA150" s="72"/>
      <c r="CVB150" s="72"/>
      <c r="CVC150" s="72"/>
      <c r="CVD150" s="72"/>
      <c r="CVE150" s="72"/>
      <c r="CVF150" s="72"/>
      <c r="CVG150" s="72"/>
      <c r="CVH150" s="72"/>
      <c r="CVI150" s="72"/>
      <c r="CVJ150" s="72"/>
      <c r="CVK150" s="72"/>
      <c r="CVL150" s="72"/>
      <c r="CVM150" s="72"/>
      <c r="CVN150" s="72"/>
      <c r="CVO150" s="72"/>
      <c r="CVP150" s="72"/>
      <c r="CVQ150" s="72"/>
      <c r="CVR150" s="72"/>
      <c r="CVS150" s="72"/>
      <c r="CVT150" s="72"/>
      <c r="CVU150" s="72"/>
      <c r="CVV150" s="72"/>
      <c r="CVW150" s="72"/>
      <c r="CVX150" s="72"/>
      <c r="CVY150" s="72"/>
      <c r="CVZ150" s="72"/>
      <c r="CWA150" s="72"/>
      <c r="CWB150" s="72"/>
      <c r="CWC150" s="72"/>
      <c r="CWD150" s="72"/>
      <c r="CWE150" s="72"/>
      <c r="CWF150" s="72"/>
      <c r="CWG150" s="72"/>
      <c r="CWH150" s="72"/>
      <c r="CWI150" s="72"/>
      <c r="CWJ150" s="72"/>
      <c r="CWK150" s="72"/>
      <c r="CWL150" s="72"/>
      <c r="CWM150" s="72"/>
      <c r="CWN150" s="72"/>
      <c r="CWO150" s="72"/>
      <c r="CWP150" s="72"/>
      <c r="CWQ150" s="72"/>
      <c r="CWR150" s="72"/>
      <c r="CWS150" s="72"/>
      <c r="CWT150" s="72"/>
      <c r="CWU150" s="72"/>
      <c r="CWV150" s="72"/>
      <c r="CWW150" s="72"/>
      <c r="CWX150" s="72"/>
      <c r="CWY150" s="72"/>
      <c r="CWZ150" s="72"/>
      <c r="CXA150" s="72"/>
      <c r="CXB150" s="72"/>
      <c r="CXC150" s="72"/>
      <c r="CXD150" s="72"/>
      <c r="CXE150" s="72"/>
      <c r="CXF150" s="72"/>
      <c r="CXG150" s="72"/>
      <c r="CXH150" s="72"/>
      <c r="CXI150" s="72"/>
      <c r="CXJ150" s="72"/>
      <c r="CXK150" s="72"/>
      <c r="CXL150" s="72"/>
      <c r="CXM150" s="72"/>
      <c r="CXN150" s="72"/>
      <c r="CXO150" s="72"/>
      <c r="CXP150" s="72"/>
      <c r="CXQ150" s="72"/>
      <c r="CXR150" s="72"/>
      <c r="CXS150" s="72"/>
      <c r="CXT150" s="72"/>
      <c r="CXU150" s="72"/>
      <c r="CXV150" s="72"/>
      <c r="CXW150" s="72"/>
      <c r="CXX150" s="72"/>
      <c r="CXY150" s="72"/>
      <c r="CXZ150" s="72"/>
      <c r="CYA150" s="72"/>
      <c r="CYB150" s="72"/>
      <c r="CYC150" s="72"/>
      <c r="CYD150" s="72"/>
      <c r="CYE150" s="72"/>
      <c r="CYF150" s="72"/>
      <c r="CYG150" s="72"/>
      <c r="CYH150" s="72"/>
      <c r="CYI150" s="72"/>
      <c r="CYJ150" s="72"/>
      <c r="CYK150" s="72"/>
      <c r="CYL150" s="72"/>
      <c r="CYM150" s="72"/>
      <c r="CYN150" s="72"/>
      <c r="CYO150" s="72"/>
      <c r="CYP150" s="72"/>
      <c r="CYQ150" s="72"/>
      <c r="CYR150" s="72"/>
      <c r="CYS150" s="72"/>
      <c r="CYT150" s="72"/>
      <c r="CYU150" s="72"/>
      <c r="CYV150" s="72"/>
      <c r="CYW150" s="72"/>
      <c r="CYX150" s="72"/>
      <c r="CYY150" s="72"/>
      <c r="CYZ150" s="72"/>
      <c r="CZA150" s="72"/>
      <c r="CZB150" s="72"/>
      <c r="CZC150" s="72"/>
      <c r="CZD150" s="72"/>
      <c r="CZE150" s="72"/>
      <c r="CZF150" s="72"/>
      <c r="CZG150" s="72"/>
      <c r="CZH150" s="72"/>
      <c r="CZI150" s="72"/>
      <c r="CZJ150" s="72"/>
      <c r="CZK150" s="72"/>
      <c r="CZL150" s="72"/>
      <c r="CZM150" s="72"/>
      <c r="CZN150" s="72"/>
      <c r="CZO150" s="72"/>
      <c r="CZP150" s="72"/>
      <c r="CZQ150" s="72"/>
      <c r="CZR150" s="72"/>
      <c r="CZS150" s="72"/>
      <c r="CZT150" s="72"/>
      <c r="CZU150" s="72"/>
      <c r="CZV150" s="72"/>
      <c r="CZW150" s="72"/>
      <c r="CZX150" s="72"/>
      <c r="CZY150" s="72"/>
      <c r="CZZ150" s="72"/>
      <c r="DAA150" s="72"/>
      <c r="DAB150" s="72"/>
      <c r="DAC150" s="72"/>
      <c r="DAD150" s="72"/>
      <c r="DAE150" s="72"/>
      <c r="DAF150" s="72"/>
      <c r="DAG150" s="72"/>
      <c r="DAH150" s="72"/>
      <c r="DAI150" s="72"/>
      <c r="DAJ150" s="72"/>
      <c r="DAK150" s="72"/>
      <c r="DAL150" s="72"/>
      <c r="DAM150" s="72"/>
      <c r="DAN150" s="72"/>
      <c r="DAO150" s="72"/>
      <c r="DAP150" s="72"/>
      <c r="DAQ150" s="72"/>
      <c r="DAR150" s="72"/>
      <c r="DAS150" s="72"/>
      <c r="DAT150" s="72"/>
      <c r="DAU150" s="72"/>
      <c r="DAV150" s="72"/>
      <c r="DAW150" s="72"/>
      <c r="DAX150" s="72"/>
      <c r="DAY150" s="72"/>
      <c r="DAZ150" s="72"/>
      <c r="DBA150" s="72"/>
      <c r="DBB150" s="72"/>
      <c r="DBC150" s="72"/>
      <c r="DBD150" s="72"/>
      <c r="DBE150" s="72"/>
      <c r="DBF150" s="72"/>
      <c r="DBG150" s="72"/>
      <c r="DBH150" s="72"/>
      <c r="DBI150" s="72"/>
      <c r="DBJ150" s="72"/>
      <c r="DBK150" s="72"/>
      <c r="DBL150" s="72"/>
      <c r="DBM150" s="72"/>
      <c r="DBN150" s="72"/>
      <c r="DBO150" s="72"/>
      <c r="DBP150" s="72"/>
      <c r="DBQ150" s="72"/>
      <c r="DBR150" s="72"/>
      <c r="DBS150" s="72"/>
      <c r="DBT150" s="72"/>
      <c r="DBU150" s="72"/>
      <c r="DBV150" s="72"/>
      <c r="DBW150" s="72"/>
      <c r="DBX150" s="72"/>
      <c r="DBY150" s="72"/>
      <c r="DBZ150" s="72"/>
      <c r="DCA150" s="72"/>
      <c r="DCB150" s="72"/>
      <c r="DCC150" s="72"/>
      <c r="DCD150" s="72"/>
      <c r="DCE150" s="72"/>
      <c r="DCF150" s="72"/>
      <c r="DCG150" s="72"/>
      <c r="DCH150" s="72"/>
      <c r="DCI150" s="72"/>
      <c r="DCJ150" s="72"/>
      <c r="DCK150" s="72"/>
      <c r="DCL150" s="72"/>
      <c r="DCM150" s="72"/>
      <c r="DCN150" s="72"/>
      <c r="DCO150" s="72"/>
      <c r="DCP150" s="72"/>
      <c r="DCQ150" s="72"/>
      <c r="DCR150" s="72"/>
      <c r="DCS150" s="72"/>
      <c r="DCT150" s="72"/>
      <c r="DCU150" s="72"/>
      <c r="DCV150" s="72"/>
      <c r="DCW150" s="72"/>
      <c r="DCX150" s="72"/>
      <c r="DCY150" s="72"/>
      <c r="DCZ150" s="72"/>
      <c r="DDA150" s="72"/>
      <c r="DDB150" s="72"/>
      <c r="DDC150" s="72"/>
      <c r="DDD150" s="72"/>
      <c r="DDE150" s="72"/>
      <c r="DDF150" s="72"/>
      <c r="DDG150" s="72"/>
      <c r="DDH150" s="72"/>
      <c r="DDI150" s="72"/>
      <c r="DDJ150" s="72"/>
      <c r="DDK150" s="72"/>
      <c r="DDL150" s="72"/>
      <c r="DDM150" s="72"/>
      <c r="DDN150" s="72"/>
      <c r="DDO150" s="72"/>
      <c r="DDP150" s="72"/>
      <c r="DDQ150" s="72"/>
      <c r="DDR150" s="72"/>
      <c r="DDS150" s="72"/>
      <c r="DDT150" s="72"/>
      <c r="DDU150" s="72"/>
      <c r="DDV150" s="72"/>
      <c r="DDW150" s="72"/>
      <c r="DDX150" s="72"/>
      <c r="DDY150" s="72"/>
      <c r="DDZ150" s="72"/>
      <c r="DEA150" s="72"/>
      <c r="DEB150" s="72"/>
      <c r="DEC150" s="72"/>
      <c r="DED150" s="72"/>
      <c r="DEE150" s="72"/>
      <c r="DEF150" s="72"/>
      <c r="DEG150" s="72"/>
      <c r="DEH150" s="72"/>
      <c r="DEI150" s="72"/>
      <c r="DEJ150" s="72"/>
      <c r="DEK150" s="72"/>
      <c r="DEL150" s="72"/>
      <c r="DEM150" s="72"/>
      <c r="DEN150" s="72"/>
      <c r="DEO150" s="72"/>
      <c r="DEP150" s="72"/>
      <c r="DEQ150" s="72"/>
      <c r="DER150" s="72"/>
      <c r="DES150" s="72"/>
      <c r="DET150" s="72"/>
      <c r="DEU150" s="72"/>
      <c r="DEV150" s="72"/>
      <c r="DEW150" s="72"/>
      <c r="DEX150" s="72"/>
      <c r="DEY150" s="72"/>
      <c r="DEZ150" s="72"/>
      <c r="DFA150" s="72"/>
      <c r="DFB150" s="72"/>
      <c r="DFC150" s="72"/>
      <c r="DFD150" s="72"/>
      <c r="DFE150" s="72"/>
      <c r="DFF150" s="72"/>
      <c r="DFG150" s="72"/>
      <c r="DFH150" s="72"/>
      <c r="DFI150" s="72"/>
      <c r="DFJ150" s="72"/>
      <c r="DFK150" s="72"/>
      <c r="DFL150" s="72"/>
      <c r="DFM150" s="72"/>
      <c r="DFN150" s="72"/>
      <c r="DFO150" s="72"/>
      <c r="DFP150" s="72"/>
      <c r="DFQ150" s="72"/>
      <c r="DFR150" s="72"/>
      <c r="DFS150" s="72"/>
      <c r="DFT150" s="72"/>
      <c r="DFU150" s="72"/>
      <c r="DFV150" s="72"/>
      <c r="DFW150" s="72"/>
      <c r="DFX150" s="72"/>
      <c r="DFY150" s="72"/>
      <c r="DFZ150" s="72"/>
      <c r="DGA150" s="72"/>
      <c r="DGB150" s="72"/>
      <c r="DGC150" s="72"/>
      <c r="DGD150" s="72"/>
      <c r="DGE150" s="72"/>
      <c r="DGF150" s="72"/>
      <c r="DGG150" s="72"/>
      <c r="DGH150" s="72"/>
      <c r="DGI150" s="72"/>
      <c r="DGJ150" s="72"/>
      <c r="DGK150" s="72"/>
      <c r="DGL150" s="72"/>
      <c r="DGM150" s="72"/>
      <c r="DGN150" s="72"/>
      <c r="DGO150" s="72"/>
      <c r="DGP150" s="72"/>
      <c r="DGQ150" s="72"/>
      <c r="DGR150" s="72"/>
      <c r="DGS150" s="72"/>
      <c r="DGT150" s="72"/>
      <c r="DGU150" s="72"/>
      <c r="DGV150" s="72"/>
      <c r="DGW150" s="72"/>
      <c r="DGX150" s="72"/>
      <c r="DGY150" s="72"/>
      <c r="DGZ150" s="72"/>
      <c r="DHA150" s="72"/>
      <c r="DHB150" s="72"/>
      <c r="DHC150" s="72"/>
      <c r="DHD150" s="72"/>
      <c r="DHE150" s="72"/>
      <c r="DHF150" s="72"/>
      <c r="DHG150" s="72"/>
      <c r="DHH150" s="72"/>
      <c r="DHI150" s="72"/>
      <c r="DHJ150" s="72"/>
      <c r="DHK150" s="72"/>
      <c r="DHL150" s="72"/>
      <c r="DHM150" s="72"/>
      <c r="DHN150" s="72"/>
      <c r="DHO150" s="72"/>
      <c r="DHP150" s="72"/>
      <c r="DHQ150" s="72"/>
      <c r="DHR150" s="72"/>
      <c r="DHS150" s="72"/>
      <c r="DHT150" s="72"/>
      <c r="DHU150" s="72"/>
      <c r="DHV150" s="72"/>
      <c r="DHW150" s="72"/>
      <c r="DHX150" s="72"/>
      <c r="DHY150" s="72"/>
      <c r="DHZ150" s="72"/>
      <c r="DIA150" s="72"/>
      <c r="DIB150" s="72"/>
      <c r="DIC150" s="72"/>
      <c r="DID150" s="72"/>
      <c r="DIE150" s="72"/>
      <c r="DIF150" s="72"/>
      <c r="DIG150" s="72"/>
      <c r="DIH150" s="72"/>
      <c r="DII150" s="72"/>
      <c r="DIJ150" s="72"/>
      <c r="DIK150" s="72"/>
      <c r="DIL150" s="72"/>
      <c r="DIM150" s="72"/>
      <c r="DIN150" s="72"/>
      <c r="DIO150" s="72"/>
      <c r="DIP150" s="72"/>
      <c r="DIQ150" s="72"/>
      <c r="DIR150" s="72"/>
      <c r="DIS150" s="72"/>
      <c r="DIT150" s="72"/>
      <c r="DIU150" s="72"/>
      <c r="DIV150" s="72"/>
      <c r="DIW150" s="72"/>
      <c r="DIX150" s="72"/>
      <c r="DIY150" s="72"/>
      <c r="DIZ150" s="72"/>
      <c r="DJA150" s="72"/>
      <c r="DJB150" s="72"/>
      <c r="DJC150" s="72"/>
      <c r="DJD150" s="72"/>
      <c r="DJE150" s="72"/>
      <c r="DJF150" s="72"/>
      <c r="DJG150" s="72"/>
      <c r="DJH150" s="72"/>
      <c r="DJI150" s="72"/>
      <c r="DJJ150" s="72"/>
      <c r="DJK150" s="72"/>
      <c r="DJL150" s="72"/>
      <c r="DJM150" s="72"/>
      <c r="DJN150" s="72"/>
      <c r="DJO150" s="72"/>
      <c r="DJP150" s="72"/>
      <c r="DJQ150" s="72"/>
      <c r="DJR150" s="72"/>
      <c r="DJS150" s="72"/>
      <c r="DJT150" s="72"/>
      <c r="DJU150" s="72"/>
      <c r="DJV150" s="72"/>
      <c r="DJW150" s="72"/>
      <c r="DJX150" s="72"/>
      <c r="DJY150" s="72"/>
      <c r="DJZ150" s="72"/>
      <c r="DKA150" s="72"/>
      <c r="DKB150" s="72"/>
      <c r="DKC150" s="72"/>
      <c r="DKD150" s="72"/>
      <c r="DKE150" s="72"/>
      <c r="DKF150" s="72"/>
      <c r="DKG150" s="72"/>
      <c r="DKH150" s="72"/>
      <c r="DKI150" s="72"/>
      <c r="DKJ150" s="72"/>
      <c r="DKK150" s="72"/>
      <c r="DKL150" s="72"/>
      <c r="DKM150" s="72"/>
      <c r="DKN150" s="72"/>
      <c r="DKO150" s="72"/>
      <c r="DKP150" s="72"/>
      <c r="DKQ150" s="72"/>
      <c r="DKR150" s="72"/>
      <c r="DKS150" s="72"/>
      <c r="DKT150" s="72"/>
      <c r="DKU150" s="72"/>
      <c r="DKV150" s="72"/>
      <c r="DKW150" s="72"/>
      <c r="DKX150" s="72"/>
      <c r="DKY150" s="72"/>
      <c r="DKZ150" s="72"/>
      <c r="DLA150" s="72"/>
      <c r="DLB150" s="72"/>
      <c r="DLC150" s="72"/>
      <c r="DLD150" s="72"/>
      <c r="DLE150" s="72"/>
      <c r="DLF150" s="72"/>
      <c r="DLG150" s="72"/>
      <c r="DLH150" s="72"/>
      <c r="DLI150" s="72"/>
      <c r="DLJ150" s="72"/>
      <c r="DLK150" s="72"/>
      <c r="DLL150" s="72"/>
      <c r="DLM150" s="72"/>
      <c r="DLN150" s="72"/>
      <c r="DLO150" s="72"/>
      <c r="DLP150" s="72"/>
      <c r="DLQ150" s="72"/>
      <c r="DLR150" s="72"/>
      <c r="DLS150" s="72"/>
      <c r="DLT150" s="72"/>
      <c r="DLU150" s="72"/>
      <c r="DLV150" s="72"/>
      <c r="DLW150" s="72"/>
      <c r="DLX150" s="72"/>
      <c r="DLY150" s="72"/>
      <c r="DLZ150" s="72"/>
      <c r="DMA150" s="72"/>
      <c r="DMB150" s="72"/>
      <c r="DMC150" s="72"/>
      <c r="DMD150" s="72"/>
      <c r="DME150" s="72"/>
      <c r="DMF150" s="72"/>
      <c r="DMG150" s="72"/>
      <c r="DMH150" s="72"/>
      <c r="DMI150" s="72"/>
      <c r="DMJ150" s="72"/>
      <c r="DMK150" s="72"/>
      <c r="DML150" s="72"/>
      <c r="DMM150" s="72"/>
      <c r="DMN150" s="72"/>
      <c r="DMO150" s="72"/>
      <c r="DMP150" s="72"/>
      <c r="DMQ150" s="72"/>
      <c r="DMR150" s="72"/>
      <c r="DMS150" s="72"/>
      <c r="DMT150" s="72"/>
      <c r="DMU150" s="72"/>
      <c r="DMV150" s="72"/>
      <c r="DMW150" s="72"/>
      <c r="DMX150" s="72"/>
      <c r="DMY150" s="72"/>
      <c r="DMZ150" s="72"/>
      <c r="DNA150" s="72"/>
      <c r="DNB150" s="72"/>
      <c r="DNC150" s="72"/>
      <c r="DND150" s="72"/>
      <c r="DNE150" s="72"/>
      <c r="DNF150" s="72"/>
      <c r="DNG150" s="72"/>
      <c r="DNH150" s="72"/>
      <c r="DNI150" s="72"/>
      <c r="DNJ150" s="72"/>
      <c r="DNK150" s="72"/>
      <c r="DNL150" s="72"/>
      <c r="DNM150" s="72"/>
      <c r="DNN150" s="72"/>
      <c r="DNO150" s="72"/>
      <c r="DNP150" s="72"/>
      <c r="DNQ150" s="72"/>
      <c r="DNR150" s="72"/>
      <c r="DNS150" s="72"/>
      <c r="DNT150" s="72"/>
      <c r="DNU150" s="72"/>
      <c r="DNV150" s="72"/>
      <c r="DNW150" s="72"/>
      <c r="DNX150" s="72"/>
      <c r="DNY150" s="72"/>
      <c r="DNZ150" s="72"/>
      <c r="DOA150" s="72"/>
      <c r="DOB150" s="72"/>
      <c r="DOC150" s="72"/>
      <c r="DOD150" s="72"/>
      <c r="DOE150" s="72"/>
      <c r="DOF150" s="72"/>
      <c r="DOG150" s="72"/>
      <c r="DOH150" s="72"/>
      <c r="DOI150" s="72"/>
      <c r="DOJ150" s="72"/>
      <c r="DOK150" s="72"/>
      <c r="DOL150" s="72"/>
      <c r="DOM150" s="72"/>
      <c r="DON150" s="72"/>
      <c r="DOO150" s="72"/>
      <c r="DOP150" s="72"/>
      <c r="DOQ150" s="72"/>
      <c r="DOR150" s="72"/>
      <c r="DOS150" s="72"/>
      <c r="DOT150" s="72"/>
      <c r="DOU150" s="72"/>
      <c r="DOV150" s="72"/>
      <c r="DOW150" s="72"/>
      <c r="DOX150" s="72"/>
      <c r="DOY150" s="72"/>
      <c r="DOZ150" s="72"/>
      <c r="DPA150" s="72"/>
      <c r="DPB150" s="72"/>
      <c r="DPC150" s="72"/>
      <c r="DPD150" s="72"/>
      <c r="DPE150" s="72"/>
      <c r="DPF150" s="72"/>
      <c r="DPG150" s="72"/>
      <c r="DPH150" s="72"/>
      <c r="DPI150" s="72"/>
      <c r="DPJ150" s="72"/>
      <c r="DPK150" s="72"/>
      <c r="DPL150" s="72"/>
      <c r="DPM150" s="72"/>
      <c r="DPN150" s="72"/>
      <c r="DPO150" s="72"/>
      <c r="DPP150" s="72"/>
      <c r="DPQ150" s="72"/>
      <c r="DPR150" s="72"/>
      <c r="DPS150" s="72"/>
      <c r="DPT150" s="72"/>
      <c r="DPU150" s="72"/>
      <c r="DPV150" s="72"/>
      <c r="DPW150" s="72"/>
      <c r="DPX150" s="72"/>
      <c r="DPY150" s="72"/>
      <c r="DPZ150" s="72"/>
      <c r="DQA150" s="72"/>
      <c r="DQB150" s="72"/>
      <c r="DQC150" s="72"/>
      <c r="DQD150" s="72"/>
      <c r="DQE150" s="72"/>
      <c r="DQF150" s="72"/>
      <c r="DQG150" s="72"/>
      <c r="DQH150" s="72"/>
      <c r="DQI150" s="72"/>
      <c r="DQJ150" s="72"/>
      <c r="DQK150" s="72"/>
      <c r="DQL150" s="72"/>
      <c r="DQM150" s="72"/>
      <c r="DQN150" s="72"/>
      <c r="DQO150" s="72"/>
      <c r="DQP150" s="72"/>
      <c r="DQQ150" s="72"/>
      <c r="DQR150" s="72"/>
      <c r="DQS150" s="72"/>
      <c r="DQT150" s="72"/>
      <c r="DQU150" s="72"/>
      <c r="DQV150" s="72"/>
      <c r="DQW150" s="72"/>
      <c r="DQX150" s="72"/>
      <c r="DQY150" s="72"/>
      <c r="DQZ150" s="72"/>
      <c r="DRA150" s="72"/>
      <c r="DRB150" s="72"/>
      <c r="DRC150" s="72"/>
      <c r="DRD150" s="72"/>
      <c r="DRE150" s="72"/>
      <c r="DRF150" s="72"/>
      <c r="DRG150" s="72"/>
      <c r="DRH150" s="72"/>
      <c r="DRI150" s="72"/>
      <c r="DRJ150" s="72"/>
      <c r="DRK150" s="72"/>
      <c r="DRL150" s="72"/>
      <c r="DRM150" s="72"/>
      <c r="DRN150" s="72"/>
      <c r="DRO150" s="72"/>
      <c r="DRP150" s="72"/>
      <c r="DRQ150" s="72"/>
      <c r="DRR150" s="72"/>
      <c r="DRS150" s="72"/>
      <c r="DRT150" s="72"/>
      <c r="DRU150" s="72"/>
      <c r="DRV150" s="72"/>
      <c r="DRW150" s="72"/>
      <c r="DRX150" s="72"/>
      <c r="DRY150" s="72"/>
      <c r="DRZ150" s="72"/>
      <c r="DSA150" s="72"/>
      <c r="DSB150" s="72"/>
      <c r="DSC150" s="72"/>
      <c r="DSD150" s="72"/>
      <c r="DSE150" s="72"/>
      <c r="DSF150" s="72"/>
      <c r="DSG150" s="72"/>
      <c r="DSH150" s="72"/>
      <c r="DSI150" s="72"/>
      <c r="DSJ150" s="72"/>
      <c r="DSK150" s="72"/>
      <c r="DSL150" s="72"/>
      <c r="DSM150" s="72"/>
      <c r="DSN150" s="72"/>
      <c r="DSO150" s="72"/>
      <c r="DSP150" s="72"/>
      <c r="DSQ150" s="72"/>
      <c r="DSR150" s="72"/>
      <c r="DSS150" s="72"/>
      <c r="DST150" s="72"/>
      <c r="DSU150" s="72"/>
      <c r="DSV150" s="72"/>
      <c r="DSW150" s="72"/>
      <c r="DSX150" s="72"/>
      <c r="DSY150" s="72"/>
      <c r="DSZ150" s="72"/>
      <c r="DTA150" s="72"/>
      <c r="DTB150" s="72"/>
      <c r="DTC150" s="72"/>
      <c r="DTD150" s="72"/>
      <c r="DTE150" s="72"/>
      <c r="DTF150" s="72"/>
      <c r="DTG150" s="72"/>
      <c r="DTH150" s="72"/>
      <c r="DTI150" s="72"/>
      <c r="DTJ150" s="72"/>
      <c r="DTK150" s="72"/>
      <c r="DTL150" s="72"/>
      <c r="DTM150" s="72"/>
      <c r="DTN150" s="72"/>
      <c r="DTO150" s="72"/>
      <c r="DTP150" s="72"/>
      <c r="DTQ150" s="72"/>
      <c r="DTR150" s="72"/>
      <c r="DTS150" s="72"/>
      <c r="DTT150" s="72"/>
      <c r="DTU150" s="72"/>
      <c r="DTV150" s="72"/>
      <c r="DTW150" s="72"/>
      <c r="DTX150" s="72"/>
      <c r="DTY150" s="72"/>
      <c r="DTZ150" s="72"/>
      <c r="DUA150" s="72"/>
      <c r="DUB150" s="72"/>
      <c r="DUC150" s="72"/>
      <c r="DUD150" s="72"/>
      <c r="DUE150" s="72"/>
      <c r="DUF150" s="72"/>
      <c r="DUG150" s="72"/>
      <c r="DUH150" s="72"/>
      <c r="DUI150" s="72"/>
      <c r="DUJ150" s="72"/>
      <c r="DUK150" s="72"/>
      <c r="DUL150" s="72"/>
      <c r="DUM150" s="72"/>
      <c r="DUN150" s="72"/>
      <c r="DUO150" s="72"/>
      <c r="DUP150" s="72"/>
      <c r="DUQ150" s="72"/>
      <c r="DUR150" s="72"/>
      <c r="DUS150" s="72"/>
      <c r="DUT150" s="72"/>
      <c r="DUU150" s="72"/>
      <c r="DUV150" s="72"/>
      <c r="DUW150" s="72"/>
      <c r="DUX150" s="72"/>
      <c r="DUY150" s="72"/>
      <c r="DUZ150" s="72"/>
      <c r="DVA150" s="72"/>
      <c r="DVB150" s="72"/>
      <c r="DVC150" s="72"/>
      <c r="DVD150" s="72"/>
      <c r="DVE150" s="72"/>
      <c r="DVF150" s="72"/>
      <c r="DVG150" s="72"/>
      <c r="DVH150" s="72"/>
      <c r="DVI150" s="72"/>
      <c r="DVJ150" s="72"/>
      <c r="DVK150" s="72"/>
      <c r="DVL150" s="72"/>
      <c r="DVM150" s="72"/>
      <c r="DVN150" s="72"/>
      <c r="DVO150" s="72"/>
      <c r="DVP150" s="72"/>
      <c r="DVQ150" s="72"/>
      <c r="DVR150" s="72"/>
      <c r="DVS150" s="72"/>
      <c r="DVT150" s="72"/>
      <c r="DVU150" s="72"/>
      <c r="DVV150" s="72"/>
      <c r="DVW150" s="72"/>
      <c r="DVX150" s="72"/>
      <c r="DVY150" s="72"/>
      <c r="DVZ150" s="72"/>
      <c r="DWA150" s="72"/>
      <c r="DWB150" s="72"/>
      <c r="DWC150" s="72"/>
      <c r="DWD150" s="72"/>
      <c r="DWE150" s="72"/>
      <c r="DWF150" s="72"/>
      <c r="DWG150" s="72"/>
      <c r="DWH150" s="72"/>
      <c r="DWI150" s="72"/>
      <c r="DWJ150" s="72"/>
      <c r="DWK150" s="72"/>
      <c r="DWL150" s="72"/>
      <c r="DWM150" s="72"/>
      <c r="DWN150" s="72"/>
      <c r="DWO150" s="72"/>
      <c r="DWP150" s="72"/>
      <c r="DWQ150" s="72"/>
      <c r="DWR150" s="72"/>
      <c r="DWS150" s="72"/>
      <c r="DWT150" s="72"/>
      <c r="DWU150" s="72"/>
      <c r="DWV150" s="72"/>
      <c r="DWW150" s="72"/>
      <c r="DWX150" s="72"/>
      <c r="DWY150" s="72"/>
      <c r="DWZ150" s="72"/>
      <c r="DXA150" s="72"/>
      <c r="DXB150" s="72"/>
      <c r="DXC150" s="72"/>
      <c r="DXD150" s="72"/>
      <c r="DXE150" s="72"/>
      <c r="DXF150" s="72"/>
      <c r="DXG150" s="72"/>
      <c r="DXH150" s="72"/>
      <c r="DXI150" s="72"/>
      <c r="DXJ150" s="72"/>
      <c r="DXK150" s="72"/>
      <c r="DXL150" s="72"/>
      <c r="DXM150" s="72"/>
      <c r="DXN150" s="72"/>
      <c r="DXO150" s="72"/>
      <c r="DXP150" s="72"/>
      <c r="DXQ150" s="72"/>
      <c r="DXR150" s="72"/>
      <c r="DXS150" s="72"/>
      <c r="DXT150" s="72"/>
      <c r="DXU150" s="72"/>
      <c r="DXV150" s="72"/>
      <c r="DXW150" s="72"/>
      <c r="DXX150" s="72"/>
      <c r="DXY150" s="72"/>
      <c r="DXZ150" s="72"/>
      <c r="DYA150" s="72"/>
      <c r="DYB150" s="72"/>
      <c r="DYC150" s="72"/>
      <c r="DYD150" s="72"/>
      <c r="DYE150" s="72"/>
      <c r="DYF150" s="72"/>
      <c r="DYG150" s="72"/>
      <c r="DYH150" s="72"/>
      <c r="DYI150" s="72"/>
      <c r="DYJ150" s="72"/>
      <c r="DYK150" s="72"/>
      <c r="DYL150" s="72"/>
      <c r="DYM150" s="72"/>
      <c r="DYN150" s="72"/>
      <c r="DYO150" s="72"/>
      <c r="DYP150" s="72"/>
      <c r="DYQ150" s="72"/>
      <c r="DYR150" s="72"/>
      <c r="DYS150" s="72"/>
      <c r="DYT150" s="72"/>
      <c r="DYU150" s="72"/>
      <c r="DYV150" s="72"/>
      <c r="DYW150" s="72"/>
      <c r="DYX150" s="72"/>
      <c r="DYY150" s="72"/>
      <c r="DYZ150" s="72"/>
      <c r="DZA150" s="72"/>
      <c r="DZB150" s="72"/>
      <c r="DZC150" s="72"/>
      <c r="DZD150" s="72"/>
      <c r="DZE150" s="72"/>
      <c r="DZF150" s="72"/>
      <c r="DZG150" s="72"/>
      <c r="DZH150" s="72"/>
      <c r="DZI150" s="72"/>
      <c r="DZJ150" s="72"/>
      <c r="DZK150" s="72"/>
      <c r="DZL150" s="72"/>
      <c r="DZM150" s="72"/>
      <c r="DZN150" s="72"/>
      <c r="DZO150" s="72"/>
      <c r="DZP150" s="72"/>
      <c r="DZQ150" s="72"/>
      <c r="DZR150" s="72"/>
      <c r="DZS150" s="72"/>
      <c r="DZT150" s="72"/>
      <c r="DZU150" s="72"/>
      <c r="DZV150" s="72"/>
      <c r="DZW150" s="72"/>
      <c r="DZX150" s="72"/>
      <c r="DZY150" s="72"/>
      <c r="DZZ150" s="72"/>
      <c r="EAA150" s="72"/>
      <c r="EAB150" s="72"/>
      <c r="EAC150" s="72"/>
      <c r="EAD150" s="72"/>
      <c r="EAE150" s="72"/>
      <c r="EAF150" s="72"/>
      <c r="EAG150" s="72"/>
      <c r="EAH150" s="72"/>
      <c r="EAI150" s="72"/>
      <c r="EAJ150" s="72"/>
      <c r="EAK150" s="72"/>
      <c r="EAL150" s="72"/>
      <c r="EAM150" s="72"/>
      <c r="EAN150" s="72"/>
      <c r="EAO150" s="72"/>
      <c r="EAP150" s="72"/>
      <c r="EAQ150" s="72"/>
      <c r="EAR150" s="72"/>
      <c r="EAS150" s="72"/>
      <c r="EAT150" s="72"/>
      <c r="EAU150" s="72"/>
      <c r="EAV150" s="72"/>
      <c r="EAW150" s="72"/>
      <c r="EAX150" s="72"/>
      <c r="EAY150" s="72"/>
      <c r="EAZ150" s="72"/>
      <c r="EBA150" s="72"/>
      <c r="EBB150" s="72"/>
      <c r="EBC150" s="72"/>
      <c r="EBD150" s="72"/>
      <c r="EBE150" s="72"/>
      <c r="EBF150" s="72"/>
      <c r="EBG150" s="72"/>
      <c r="EBH150" s="72"/>
      <c r="EBI150" s="72"/>
      <c r="EBJ150" s="72"/>
      <c r="EBK150" s="72"/>
      <c r="EBL150" s="72"/>
      <c r="EBM150" s="72"/>
      <c r="EBN150" s="72"/>
      <c r="EBO150" s="72"/>
      <c r="EBP150" s="72"/>
      <c r="EBQ150" s="72"/>
      <c r="EBR150" s="72"/>
      <c r="EBS150" s="72"/>
      <c r="EBT150" s="72"/>
      <c r="EBU150" s="72"/>
      <c r="EBV150" s="72"/>
      <c r="EBW150" s="72"/>
      <c r="EBX150" s="72"/>
      <c r="EBY150" s="72"/>
      <c r="EBZ150" s="72"/>
      <c r="ECA150" s="72"/>
      <c r="ECB150" s="72"/>
      <c r="ECC150" s="72"/>
      <c r="ECD150" s="72"/>
      <c r="ECE150" s="72"/>
      <c r="ECF150" s="72"/>
      <c r="ECG150" s="72"/>
      <c r="ECH150" s="72"/>
      <c r="ECI150" s="72"/>
      <c r="ECJ150" s="72"/>
      <c r="ECK150" s="72"/>
      <c r="ECL150" s="72"/>
      <c r="ECM150" s="72"/>
      <c r="ECN150" s="72"/>
      <c r="ECO150" s="72"/>
      <c r="ECP150" s="72"/>
      <c r="ECQ150" s="72"/>
      <c r="ECR150" s="72"/>
      <c r="ECS150" s="72"/>
      <c r="ECT150" s="72"/>
      <c r="ECU150" s="72"/>
      <c r="ECV150" s="72"/>
      <c r="ECW150" s="72"/>
      <c r="ECX150" s="72"/>
      <c r="ECY150" s="72"/>
      <c r="ECZ150" s="72"/>
      <c r="EDA150" s="72"/>
      <c r="EDB150" s="72"/>
      <c r="EDC150" s="72"/>
      <c r="EDD150" s="72"/>
      <c r="EDE150" s="72"/>
      <c r="EDF150" s="72"/>
      <c r="EDG150" s="72"/>
      <c r="EDH150" s="72"/>
      <c r="EDI150" s="72"/>
      <c r="EDJ150" s="72"/>
      <c r="EDK150" s="72"/>
      <c r="EDL150" s="72"/>
      <c r="EDM150" s="72"/>
      <c r="EDN150" s="72"/>
      <c r="EDO150" s="72"/>
      <c r="EDP150" s="72"/>
      <c r="EDQ150" s="72"/>
      <c r="EDR150" s="72"/>
      <c r="EDS150" s="72"/>
      <c r="EDT150" s="72"/>
      <c r="EDU150" s="72"/>
      <c r="EDV150" s="72"/>
      <c r="EDW150" s="72"/>
      <c r="EDX150" s="72"/>
      <c r="EDY150" s="72"/>
      <c r="EDZ150" s="72"/>
      <c r="EEA150" s="72"/>
      <c r="EEB150" s="72"/>
      <c r="EEC150" s="72"/>
      <c r="EED150" s="72"/>
      <c r="EEE150" s="72"/>
      <c r="EEF150" s="72"/>
      <c r="EEG150" s="72"/>
      <c r="EEH150" s="72"/>
      <c r="EEI150" s="72"/>
      <c r="EEJ150" s="72"/>
      <c r="EEK150" s="72"/>
      <c r="EEL150" s="72"/>
      <c r="EEM150" s="72"/>
      <c r="EEN150" s="72"/>
      <c r="EEO150" s="72"/>
      <c r="EEP150" s="72"/>
      <c r="EEQ150" s="72"/>
      <c r="EER150" s="72"/>
      <c r="EES150" s="72"/>
      <c r="EET150" s="72"/>
      <c r="EEU150" s="72"/>
      <c r="EEV150" s="72"/>
      <c r="EEW150" s="72"/>
      <c r="EEX150" s="72"/>
      <c r="EEY150" s="72"/>
      <c r="EEZ150" s="72"/>
      <c r="EFA150" s="72"/>
      <c r="EFB150" s="72"/>
      <c r="EFC150" s="72"/>
      <c r="EFD150" s="72"/>
      <c r="EFE150" s="72"/>
      <c r="EFF150" s="72"/>
      <c r="EFG150" s="72"/>
      <c r="EFH150" s="72"/>
      <c r="EFI150" s="72"/>
      <c r="EFJ150" s="72"/>
      <c r="EFK150" s="72"/>
      <c r="EFL150" s="72"/>
      <c r="EFM150" s="72"/>
      <c r="EFN150" s="72"/>
      <c r="EFO150" s="72"/>
      <c r="EFP150" s="72"/>
      <c r="EFQ150" s="72"/>
      <c r="EFR150" s="72"/>
      <c r="EFS150" s="72"/>
      <c r="EFT150" s="72"/>
      <c r="EFU150" s="72"/>
      <c r="EFV150" s="72"/>
      <c r="EFW150" s="72"/>
      <c r="EFX150" s="72"/>
      <c r="EFY150" s="72"/>
      <c r="EFZ150" s="72"/>
      <c r="EGA150" s="72"/>
      <c r="EGB150" s="72"/>
      <c r="EGC150" s="72"/>
      <c r="EGD150" s="72"/>
      <c r="EGE150" s="72"/>
      <c r="EGF150" s="72"/>
      <c r="EGG150" s="72"/>
      <c r="EGH150" s="72"/>
      <c r="EGI150" s="72"/>
      <c r="EGJ150" s="72"/>
      <c r="EGK150" s="72"/>
      <c r="EGL150" s="72"/>
      <c r="EGM150" s="72"/>
      <c r="EGN150" s="72"/>
      <c r="EGO150" s="72"/>
      <c r="EGP150" s="72"/>
      <c r="EGQ150" s="72"/>
      <c r="EGR150" s="72"/>
      <c r="EGS150" s="72"/>
      <c r="EGT150" s="72"/>
      <c r="EGU150" s="72"/>
      <c r="EGV150" s="72"/>
      <c r="EGW150" s="72"/>
      <c r="EGX150" s="72"/>
      <c r="EGY150" s="72"/>
      <c r="EGZ150" s="72"/>
      <c r="EHA150" s="72"/>
      <c r="EHB150" s="72"/>
      <c r="EHC150" s="72"/>
      <c r="EHD150" s="72"/>
      <c r="EHE150" s="72"/>
      <c r="EHF150" s="72"/>
      <c r="EHG150" s="72"/>
      <c r="EHH150" s="72"/>
      <c r="EHI150" s="72"/>
      <c r="EHJ150" s="72"/>
      <c r="EHK150" s="72"/>
      <c r="EHL150" s="72"/>
      <c r="EHM150" s="72"/>
      <c r="EHN150" s="72"/>
      <c r="EHO150" s="72"/>
      <c r="EHP150" s="72"/>
      <c r="EHQ150" s="72"/>
      <c r="EHR150" s="72"/>
      <c r="EHS150" s="72"/>
      <c r="EHT150" s="72"/>
      <c r="EHU150" s="72"/>
      <c r="EHV150" s="72"/>
      <c r="EHW150" s="72"/>
      <c r="EHX150" s="72"/>
      <c r="EHY150" s="72"/>
      <c r="EHZ150" s="72"/>
      <c r="EIA150" s="72"/>
      <c r="EIB150" s="72"/>
      <c r="EIC150" s="72"/>
      <c r="EID150" s="72"/>
      <c r="EIE150" s="72"/>
      <c r="EIF150" s="72"/>
      <c r="EIG150" s="72"/>
      <c r="EIH150" s="72"/>
      <c r="EII150" s="72"/>
      <c r="EIJ150" s="72"/>
      <c r="EIK150" s="72"/>
      <c r="EIL150" s="72"/>
      <c r="EIM150" s="72"/>
      <c r="EIN150" s="72"/>
      <c r="EIO150" s="72"/>
      <c r="EIP150" s="72"/>
      <c r="EIQ150" s="72"/>
      <c r="EIR150" s="72"/>
      <c r="EIS150" s="72"/>
      <c r="EIT150" s="72"/>
      <c r="EIU150" s="72"/>
      <c r="EIV150" s="72"/>
      <c r="EIW150" s="72"/>
      <c r="EIX150" s="72"/>
      <c r="EIY150" s="72"/>
      <c r="EIZ150" s="72"/>
      <c r="EJA150" s="72"/>
      <c r="EJB150" s="72"/>
      <c r="EJC150" s="72"/>
      <c r="EJD150" s="72"/>
      <c r="EJE150" s="72"/>
      <c r="EJF150" s="72"/>
      <c r="EJG150" s="72"/>
      <c r="EJH150" s="72"/>
      <c r="EJI150" s="72"/>
      <c r="EJJ150" s="72"/>
      <c r="EJK150" s="72"/>
      <c r="EJL150" s="72"/>
      <c r="EJM150" s="72"/>
      <c r="EJN150" s="72"/>
      <c r="EJO150" s="72"/>
      <c r="EJP150" s="72"/>
      <c r="EJQ150" s="72"/>
      <c r="EJR150" s="72"/>
      <c r="EJS150" s="72"/>
      <c r="EJT150" s="72"/>
      <c r="EJU150" s="72"/>
      <c r="EJV150" s="72"/>
      <c r="EJW150" s="72"/>
      <c r="EJX150" s="72"/>
      <c r="EJY150" s="72"/>
      <c r="EJZ150" s="72"/>
      <c r="EKA150" s="72"/>
      <c r="EKB150" s="72"/>
      <c r="EKC150" s="72"/>
      <c r="EKD150" s="72"/>
      <c r="EKE150" s="72"/>
      <c r="EKF150" s="72"/>
      <c r="EKG150" s="72"/>
      <c r="EKH150" s="72"/>
      <c r="EKI150" s="72"/>
      <c r="EKJ150" s="72"/>
      <c r="EKK150" s="72"/>
      <c r="EKL150" s="72"/>
      <c r="EKM150" s="72"/>
      <c r="EKN150" s="72"/>
      <c r="EKO150" s="72"/>
      <c r="EKP150" s="72"/>
      <c r="EKQ150" s="72"/>
      <c r="EKR150" s="72"/>
      <c r="EKS150" s="72"/>
      <c r="EKT150" s="72"/>
      <c r="EKU150" s="72"/>
      <c r="EKV150" s="72"/>
      <c r="EKW150" s="72"/>
      <c r="EKX150" s="72"/>
      <c r="EKY150" s="72"/>
      <c r="EKZ150" s="72"/>
      <c r="ELA150" s="72"/>
      <c r="ELB150" s="72"/>
      <c r="ELC150" s="72"/>
      <c r="ELD150" s="72"/>
      <c r="ELE150" s="72"/>
      <c r="ELF150" s="72"/>
      <c r="ELG150" s="72"/>
      <c r="ELH150" s="72"/>
      <c r="ELI150" s="72"/>
      <c r="ELJ150" s="72"/>
      <c r="ELK150" s="72"/>
      <c r="ELL150" s="72"/>
      <c r="ELM150" s="72"/>
      <c r="ELN150" s="72"/>
      <c r="ELO150" s="72"/>
      <c r="ELP150" s="72"/>
      <c r="ELQ150" s="72"/>
      <c r="ELR150" s="72"/>
      <c r="ELS150" s="72"/>
      <c r="ELT150" s="72"/>
      <c r="ELU150" s="72"/>
      <c r="ELV150" s="72"/>
      <c r="ELW150" s="72"/>
      <c r="ELX150" s="72"/>
      <c r="ELY150" s="72"/>
      <c r="ELZ150" s="72"/>
      <c r="EMA150" s="72"/>
      <c r="EMB150" s="72"/>
      <c r="EMC150" s="72"/>
      <c r="EMD150" s="72"/>
      <c r="EME150" s="72"/>
      <c r="EMF150" s="72"/>
      <c r="EMG150" s="72"/>
      <c r="EMH150" s="72"/>
      <c r="EMI150" s="72"/>
      <c r="EMJ150" s="72"/>
      <c r="EMK150" s="72"/>
      <c r="EML150" s="72"/>
      <c r="EMM150" s="72"/>
      <c r="EMN150" s="72"/>
      <c r="EMO150" s="72"/>
      <c r="EMP150" s="72"/>
      <c r="EMQ150" s="72"/>
      <c r="EMR150" s="72"/>
      <c r="EMS150" s="72"/>
      <c r="EMT150" s="72"/>
      <c r="EMU150" s="72"/>
      <c r="EMV150" s="72"/>
      <c r="EMW150" s="72"/>
      <c r="EMX150" s="72"/>
      <c r="EMY150" s="72"/>
      <c r="EMZ150" s="72"/>
      <c r="ENA150" s="72"/>
      <c r="ENB150" s="72"/>
      <c r="ENC150" s="72"/>
      <c r="END150" s="72"/>
      <c r="ENE150" s="72"/>
      <c r="ENF150" s="72"/>
      <c r="ENG150" s="72"/>
      <c r="ENH150" s="72"/>
      <c r="ENI150" s="72"/>
      <c r="ENJ150" s="72"/>
      <c r="ENK150" s="72"/>
      <c r="ENL150" s="72"/>
      <c r="ENM150" s="72"/>
      <c r="ENN150" s="72"/>
      <c r="ENO150" s="72"/>
      <c r="ENP150" s="72"/>
      <c r="ENQ150" s="72"/>
      <c r="ENR150" s="72"/>
      <c r="ENS150" s="72"/>
      <c r="ENT150" s="72"/>
      <c r="ENU150" s="72"/>
      <c r="ENV150" s="72"/>
      <c r="ENW150" s="72"/>
      <c r="ENX150" s="72"/>
      <c r="ENY150" s="72"/>
      <c r="ENZ150" s="72"/>
      <c r="EOA150" s="72"/>
      <c r="EOB150" s="72"/>
      <c r="EOC150" s="72"/>
      <c r="EOD150" s="72"/>
      <c r="EOE150" s="72"/>
      <c r="EOF150" s="72"/>
      <c r="EOG150" s="72"/>
      <c r="EOH150" s="72"/>
      <c r="EOI150" s="72"/>
      <c r="EOJ150" s="72"/>
      <c r="EOK150" s="72"/>
      <c r="EOL150" s="72"/>
      <c r="EOM150" s="72"/>
      <c r="EON150" s="72"/>
      <c r="EOO150" s="72"/>
      <c r="EOP150" s="72"/>
      <c r="EOQ150" s="72"/>
      <c r="EOR150" s="72"/>
      <c r="EOS150" s="72"/>
      <c r="EOT150" s="72"/>
      <c r="EOU150" s="72"/>
      <c r="EOV150" s="72"/>
      <c r="EOW150" s="72"/>
      <c r="EOX150" s="72"/>
      <c r="EOY150" s="72"/>
      <c r="EOZ150" s="72"/>
      <c r="EPA150" s="72"/>
      <c r="EPB150" s="72"/>
      <c r="EPC150" s="72"/>
      <c r="EPD150" s="72"/>
      <c r="EPE150" s="72"/>
      <c r="EPF150" s="72"/>
      <c r="EPG150" s="72"/>
      <c r="EPH150" s="72"/>
      <c r="EPI150" s="72"/>
      <c r="EPJ150" s="72"/>
      <c r="EPK150" s="72"/>
      <c r="EPL150" s="72"/>
      <c r="EPM150" s="72"/>
      <c r="EPN150" s="72"/>
      <c r="EPO150" s="72"/>
      <c r="EPP150" s="72"/>
      <c r="EPQ150" s="72"/>
      <c r="EPR150" s="72"/>
      <c r="EPS150" s="72"/>
      <c r="EPT150" s="72"/>
      <c r="EPU150" s="72"/>
      <c r="EPV150" s="72"/>
      <c r="EPW150" s="72"/>
      <c r="EPX150" s="72"/>
      <c r="EPY150" s="72"/>
      <c r="EPZ150" s="72"/>
      <c r="EQA150" s="72"/>
      <c r="EQB150" s="72"/>
      <c r="EQC150" s="72"/>
      <c r="EQD150" s="72"/>
      <c r="EQE150" s="72"/>
      <c r="EQF150" s="72"/>
      <c r="EQG150" s="72"/>
      <c r="EQH150" s="72"/>
      <c r="EQI150" s="72"/>
      <c r="EQJ150" s="72"/>
      <c r="EQK150" s="72"/>
      <c r="EQL150" s="72"/>
      <c r="EQM150" s="72"/>
      <c r="EQN150" s="72"/>
      <c r="EQO150" s="72"/>
      <c r="EQP150" s="72"/>
      <c r="EQQ150" s="72"/>
      <c r="EQR150" s="72"/>
      <c r="EQS150" s="72"/>
      <c r="EQT150" s="72"/>
      <c r="EQU150" s="72"/>
      <c r="EQV150" s="72"/>
      <c r="EQW150" s="72"/>
      <c r="EQX150" s="72"/>
      <c r="EQY150" s="72"/>
      <c r="EQZ150" s="72"/>
      <c r="ERA150" s="72"/>
      <c r="ERB150" s="72"/>
      <c r="ERC150" s="72"/>
      <c r="ERD150" s="72"/>
      <c r="ERE150" s="72"/>
      <c r="ERF150" s="72"/>
      <c r="ERG150" s="72"/>
      <c r="ERH150" s="72"/>
      <c r="ERI150" s="72"/>
      <c r="ERJ150" s="72"/>
      <c r="ERK150" s="72"/>
      <c r="ERL150" s="72"/>
      <c r="ERM150" s="72"/>
      <c r="ERN150" s="72"/>
      <c r="ERO150" s="72"/>
      <c r="ERP150" s="72"/>
      <c r="ERQ150" s="72"/>
      <c r="ERR150" s="72"/>
      <c r="ERS150" s="72"/>
      <c r="ERT150" s="72"/>
      <c r="ERU150" s="72"/>
      <c r="ERV150" s="72"/>
      <c r="ERW150" s="72"/>
      <c r="ERX150" s="72"/>
      <c r="ERY150" s="72"/>
      <c r="ERZ150" s="72"/>
      <c r="ESA150" s="72"/>
      <c r="ESB150" s="72"/>
      <c r="ESC150" s="72"/>
      <c r="ESD150" s="72"/>
      <c r="ESE150" s="72"/>
      <c r="ESF150" s="72"/>
      <c r="ESG150" s="72"/>
      <c r="ESH150" s="72"/>
      <c r="ESI150" s="72"/>
      <c r="ESJ150" s="72"/>
      <c r="ESK150" s="72"/>
      <c r="ESL150" s="72"/>
      <c r="ESM150" s="72"/>
      <c r="ESN150" s="72"/>
      <c r="ESO150" s="72"/>
      <c r="ESP150" s="72"/>
      <c r="ESQ150" s="72"/>
      <c r="ESR150" s="72"/>
      <c r="ESS150" s="72"/>
      <c r="EST150" s="72"/>
      <c r="ESU150" s="72"/>
      <c r="ESV150" s="72"/>
      <c r="ESW150" s="72"/>
      <c r="ESX150" s="72"/>
      <c r="ESY150" s="72"/>
      <c r="ESZ150" s="72"/>
      <c r="ETA150" s="72"/>
      <c r="ETB150" s="72"/>
      <c r="ETC150" s="72"/>
      <c r="ETD150" s="72"/>
      <c r="ETE150" s="72"/>
      <c r="ETF150" s="72"/>
      <c r="ETG150" s="72"/>
      <c r="ETH150" s="72"/>
      <c r="ETI150" s="72"/>
      <c r="ETJ150" s="72"/>
      <c r="ETK150" s="72"/>
      <c r="ETL150" s="72"/>
      <c r="ETM150" s="72"/>
      <c r="ETN150" s="72"/>
      <c r="ETO150" s="72"/>
      <c r="ETP150" s="72"/>
      <c r="ETQ150" s="72"/>
      <c r="ETR150" s="72"/>
      <c r="ETS150" s="72"/>
      <c r="ETT150" s="72"/>
      <c r="ETU150" s="72"/>
      <c r="ETV150" s="72"/>
      <c r="ETW150" s="72"/>
      <c r="ETX150" s="72"/>
      <c r="ETY150" s="72"/>
      <c r="ETZ150" s="72"/>
      <c r="EUA150" s="72"/>
      <c r="EUB150" s="72"/>
      <c r="EUC150" s="72"/>
      <c r="EUD150" s="72"/>
      <c r="EUE150" s="72"/>
      <c r="EUF150" s="72"/>
      <c r="EUG150" s="72"/>
      <c r="EUH150" s="72"/>
      <c r="EUI150" s="72"/>
      <c r="EUJ150" s="72"/>
      <c r="EUK150" s="72"/>
      <c r="EUL150" s="72"/>
      <c r="EUM150" s="72"/>
      <c r="EUN150" s="72"/>
      <c r="EUO150" s="72"/>
      <c r="EUP150" s="72"/>
      <c r="EUQ150" s="72"/>
      <c r="EUR150" s="72"/>
      <c r="EUS150" s="72"/>
      <c r="EUT150" s="72"/>
      <c r="EUU150" s="72"/>
      <c r="EUV150" s="72"/>
      <c r="EUW150" s="72"/>
      <c r="EUX150" s="72"/>
      <c r="EUY150" s="72"/>
      <c r="EUZ150" s="72"/>
      <c r="EVA150" s="72"/>
      <c r="EVB150" s="72"/>
      <c r="EVC150" s="72"/>
      <c r="EVD150" s="72"/>
      <c r="EVE150" s="72"/>
      <c r="EVF150" s="72"/>
      <c r="EVG150" s="72"/>
      <c r="EVH150" s="72"/>
      <c r="EVI150" s="72"/>
      <c r="EVJ150" s="72"/>
      <c r="EVK150" s="72"/>
      <c r="EVL150" s="72"/>
      <c r="EVM150" s="72"/>
      <c r="EVN150" s="72"/>
      <c r="EVO150" s="72"/>
      <c r="EVP150" s="72"/>
      <c r="EVQ150" s="72"/>
      <c r="EVR150" s="72"/>
      <c r="EVS150" s="72"/>
      <c r="EVT150" s="72"/>
      <c r="EVU150" s="72"/>
      <c r="EVV150" s="72"/>
      <c r="EVW150" s="72"/>
      <c r="EVX150" s="72"/>
      <c r="EVY150" s="72"/>
      <c r="EVZ150" s="72"/>
      <c r="EWA150" s="72"/>
      <c r="EWB150" s="72"/>
      <c r="EWC150" s="72"/>
      <c r="EWD150" s="72"/>
      <c r="EWE150" s="72"/>
      <c r="EWF150" s="72"/>
      <c r="EWG150" s="72"/>
      <c r="EWH150" s="72"/>
      <c r="EWI150" s="72"/>
      <c r="EWJ150" s="72"/>
      <c r="EWK150" s="72"/>
      <c r="EWL150" s="72"/>
      <c r="EWM150" s="72"/>
      <c r="EWN150" s="72"/>
      <c r="EWO150" s="72"/>
      <c r="EWP150" s="72"/>
      <c r="EWQ150" s="72"/>
      <c r="EWR150" s="72"/>
      <c r="EWS150" s="72"/>
      <c r="EWT150" s="72"/>
      <c r="EWU150" s="72"/>
      <c r="EWV150" s="72"/>
      <c r="EWW150" s="72"/>
      <c r="EWX150" s="72"/>
      <c r="EWY150" s="72"/>
      <c r="EWZ150" s="72"/>
      <c r="EXA150" s="72"/>
      <c r="EXB150" s="72"/>
      <c r="EXC150" s="72"/>
      <c r="EXD150" s="72"/>
      <c r="EXE150" s="72"/>
      <c r="EXF150" s="72"/>
      <c r="EXG150" s="72"/>
      <c r="EXH150" s="72"/>
      <c r="EXI150" s="72"/>
      <c r="EXJ150" s="72"/>
      <c r="EXK150" s="72"/>
      <c r="EXL150" s="72"/>
      <c r="EXM150" s="72"/>
      <c r="EXN150" s="72"/>
      <c r="EXO150" s="72"/>
      <c r="EXP150" s="72"/>
      <c r="EXQ150" s="72"/>
      <c r="EXR150" s="72"/>
      <c r="EXS150" s="72"/>
      <c r="EXT150" s="72"/>
      <c r="EXU150" s="72"/>
      <c r="EXV150" s="72"/>
      <c r="EXW150" s="72"/>
      <c r="EXX150" s="72"/>
      <c r="EXY150" s="72"/>
      <c r="EXZ150" s="72"/>
      <c r="EYA150" s="72"/>
      <c r="EYB150" s="72"/>
      <c r="EYC150" s="72"/>
      <c r="EYD150" s="72"/>
      <c r="EYE150" s="72"/>
      <c r="EYF150" s="72"/>
      <c r="EYG150" s="72"/>
      <c r="EYH150" s="72"/>
      <c r="EYI150" s="72"/>
      <c r="EYJ150" s="72"/>
      <c r="EYK150" s="72"/>
      <c r="EYL150" s="72"/>
      <c r="EYM150" s="72"/>
      <c r="EYN150" s="72"/>
      <c r="EYO150" s="72"/>
      <c r="EYP150" s="72"/>
      <c r="EYQ150" s="72"/>
      <c r="EYR150" s="72"/>
      <c r="EYS150" s="72"/>
      <c r="EYT150" s="72"/>
      <c r="EYU150" s="72"/>
      <c r="EYV150" s="72"/>
      <c r="EYW150" s="72"/>
      <c r="EYX150" s="72"/>
      <c r="EYY150" s="72"/>
      <c r="EYZ150" s="72"/>
      <c r="EZA150" s="72"/>
      <c r="EZB150" s="72"/>
      <c r="EZC150" s="72"/>
      <c r="EZD150" s="72"/>
      <c r="EZE150" s="72"/>
      <c r="EZF150" s="72"/>
      <c r="EZG150" s="72"/>
      <c r="EZH150" s="72"/>
      <c r="EZI150" s="72"/>
      <c r="EZJ150" s="72"/>
      <c r="EZK150" s="72"/>
      <c r="EZL150" s="72"/>
      <c r="EZM150" s="72"/>
      <c r="EZN150" s="72"/>
      <c r="EZO150" s="72"/>
      <c r="EZP150" s="72"/>
      <c r="EZQ150" s="72"/>
      <c r="EZR150" s="72"/>
      <c r="EZS150" s="72"/>
      <c r="EZT150" s="72"/>
      <c r="EZU150" s="72"/>
      <c r="EZV150" s="72"/>
      <c r="EZW150" s="72"/>
      <c r="EZX150" s="72"/>
      <c r="EZY150" s="72"/>
      <c r="EZZ150" s="72"/>
      <c r="FAA150" s="72"/>
      <c r="FAB150" s="72"/>
      <c r="FAC150" s="72"/>
      <c r="FAD150" s="72"/>
      <c r="FAE150" s="72"/>
      <c r="FAF150" s="72"/>
      <c r="FAG150" s="72"/>
      <c r="FAH150" s="72"/>
      <c r="FAI150" s="72"/>
      <c r="FAJ150" s="72"/>
      <c r="FAK150" s="72"/>
      <c r="FAL150" s="72"/>
      <c r="FAM150" s="72"/>
      <c r="FAN150" s="72"/>
      <c r="FAO150" s="72"/>
      <c r="FAP150" s="72"/>
      <c r="FAQ150" s="72"/>
      <c r="FAR150" s="72"/>
      <c r="FAS150" s="72"/>
      <c r="FAT150" s="72"/>
      <c r="FAU150" s="72"/>
      <c r="FAV150" s="72"/>
      <c r="FAW150" s="72"/>
      <c r="FAX150" s="72"/>
      <c r="FAY150" s="72"/>
      <c r="FAZ150" s="72"/>
      <c r="FBA150" s="72"/>
      <c r="FBB150" s="72"/>
      <c r="FBC150" s="72"/>
      <c r="FBD150" s="72"/>
      <c r="FBE150" s="72"/>
      <c r="FBF150" s="72"/>
      <c r="FBG150" s="72"/>
      <c r="FBH150" s="72"/>
      <c r="FBI150" s="72"/>
      <c r="FBJ150" s="72"/>
      <c r="FBK150" s="72"/>
      <c r="FBL150" s="72"/>
      <c r="FBM150" s="72"/>
      <c r="FBN150" s="72"/>
      <c r="FBO150" s="72"/>
      <c r="FBP150" s="72"/>
      <c r="FBQ150" s="72"/>
      <c r="FBR150" s="72"/>
      <c r="FBS150" s="72"/>
      <c r="FBT150" s="72"/>
      <c r="FBU150" s="72"/>
      <c r="FBV150" s="72"/>
      <c r="FBW150" s="72"/>
      <c r="FBX150" s="72"/>
      <c r="FBY150" s="72"/>
      <c r="FBZ150" s="72"/>
      <c r="FCA150" s="72"/>
      <c r="FCB150" s="72"/>
      <c r="FCC150" s="72"/>
      <c r="FCD150" s="72"/>
      <c r="FCE150" s="72"/>
      <c r="FCF150" s="72"/>
      <c r="FCG150" s="72"/>
      <c r="FCH150" s="72"/>
      <c r="FCI150" s="72"/>
      <c r="FCJ150" s="72"/>
      <c r="FCK150" s="72"/>
      <c r="FCL150" s="72"/>
      <c r="FCM150" s="72"/>
      <c r="FCN150" s="72"/>
      <c r="FCO150" s="72"/>
      <c r="FCP150" s="72"/>
      <c r="FCQ150" s="72"/>
      <c r="FCR150" s="72"/>
      <c r="FCS150" s="72"/>
      <c r="FCT150" s="72"/>
      <c r="FCU150" s="72"/>
      <c r="FCV150" s="72"/>
      <c r="FCW150" s="72"/>
      <c r="FCX150" s="72"/>
      <c r="FCY150" s="72"/>
      <c r="FCZ150" s="72"/>
      <c r="FDA150" s="72"/>
      <c r="FDB150" s="72"/>
      <c r="FDC150" s="72"/>
      <c r="FDD150" s="72"/>
      <c r="FDE150" s="72"/>
      <c r="FDF150" s="72"/>
      <c r="FDG150" s="72"/>
      <c r="FDH150" s="72"/>
      <c r="FDI150" s="72"/>
      <c r="FDJ150" s="72"/>
      <c r="FDK150" s="72"/>
      <c r="FDL150" s="72"/>
      <c r="FDM150" s="72"/>
      <c r="FDN150" s="72"/>
      <c r="FDO150" s="72"/>
      <c r="FDP150" s="72"/>
      <c r="FDQ150" s="72"/>
      <c r="FDR150" s="72"/>
      <c r="FDS150" s="72"/>
      <c r="FDT150" s="72"/>
      <c r="FDU150" s="72"/>
      <c r="FDV150" s="72"/>
      <c r="FDW150" s="72"/>
      <c r="FDX150" s="72"/>
      <c r="FDY150" s="72"/>
      <c r="FDZ150" s="72"/>
      <c r="FEA150" s="72"/>
      <c r="FEB150" s="72"/>
      <c r="FEC150" s="72"/>
      <c r="FED150" s="72"/>
      <c r="FEE150" s="72"/>
      <c r="FEF150" s="72"/>
      <c r="FEG150" s="72"/>
      <c r="FEH150" s="72"/>
      <c r="FEI150" s="72"/>
      <c r="FEJ150" s="72"/>
      <c r="FEK150" s="72"/>
      <c r="FEL150" s="72"/>
      <c r="FEM150" s="72"/>
      <c r="FEN150" s="72"/>
      <c r="FEO150" s="72"/>
      <c r="FEP150" s="72"/>
      <c r="FEQ150" s="72"/>
      <c r="FER150" s="72"/>
      <c r="FES150" s="72"/>
      <c r="FET150" s="72"/>
      <c r="FEU150" s="72"/>
      <c r="FEV150" s="72"/>
      <c r="FEW150" s="72"/>
      <c r="FEX150" s="72"/>
      <c r="FEY150" s="72"/>
      <c r="FEZ150" s="72"/>
      <c r="FFA150" s="72"/>
      <c r="FFB150" s="72"/>
      <c r="FFC150" s="72"/>
      <c r="FFD150" s="72"/>
      <c r="FFE150" s="72"/>
      <c r="FFF150" s="72"/>
      <c r="FFG150" s="72"/>
      <c r="FFH150" s="72"/>
      <c r="FFI150" s="72"/>
      <c r="FFJ150" s="72"/>
      <c r="FFK150" s="72"/>
      <c r="FFL150" s="72"/>
      <c r="FFM150" s="72"/>
      <c r="FFN150" s="72"/>
      <c r="FFO150" s="72"/>
      <c r="FFP150" s="72"/>
      <c r="FFQ150" s="72"/>
      <c r="FFR150" s="72"/>
      <c r="FFS150" s="72"/>
      <c r="FFT150" s="72"/>
      <c r="FFU150" s="72"/>
      <c r="FFV150" s="72"/>
      <c r="FFW150" s="72"/>
      <c r="FFX150" s="72"/>
      <c r="FFY150" s="72"/>
      <c r="FFZ150" s="72"/>
      <c r="FGA150" s="72"/>
      <c r="FGB150" s="72"/>
      <c r="FGC150" s="72"/>
      <c r="FGD150" s="72"/>
      <c r="FGE150" s="72"/>
      <c r="FGF150" s="72"/>
      <c r="FGG150" s="72"/>
      <c r="FGH150" s="72"/>
      <c r="FGI150" s="72"/>
      <c r="FGJ150" s="72"/>
      <c r="FGK150" s="72"/>
      <c r="FGL150" s="72"/>
      <c r="FGM150" s="72"/>
      <c r="FGN150" s="72"/>
      <c r="FGO150" s="72"/>
      <c r="FGP150" s="72"/>
      <c r="FGQ150" s="72"/>
      <c r="FGR150" s="72"/>
      <c r="FGS150" s="72"/>
      <c r="FGT150" s="72"/>
      <c r="FGU150" s="72"/>
      <c r="FGV150" s="72"/>
      <c r="FGW150" s="72"/>
      <c r="FGX150" s="72"/>
      <c r="FGY150" s="72"/>
      <c r="FGZ150" s="72"/>
      <c r="FHA150" s="72"/>
      <c r="FHB150" s="72"/>
      <c r="FHC150" s="72"/>
      <c r="FHD150" s="72"/>
      <c r="FHE150" s="72"/>
      <c r="FHF150" s="72"/>
      <c r="FHG150" s="72"/>
      <c r="FHH150" s="72"/>
      <c r="FHI150" s="72"/>
      <c r="FHJ150" s="72"/>
      <c r="FHK150" s="72"/>
      <c r="FHL150" s="72"/>
      <c r="FHM150" s="72"/>
      <c r="FHN150" s="72"/>
      <c r="FHO150" s="72"/>
      <c r="FHP150" s="72"/>
      <c r="FHQ150" s="72"/>
      <c r="FHR150" s="72"/>
      <c r="FHS150" s="72"/>
      <c r="FHT150" s="72"/>
      <c r="FHU150" s="72"/>
      <c r="FHV150" s="72"/>
      <c r="FHW150" s="72"/>
      <c r="FHX150" s="72"/>
      <c r="FHY150" s="72"/>
      <c r="FHZ150" s="72"/>
      <c r="FIA150" s="72"/>
      <c r="FIB150" s="72"/>
      <c r="FIC150" s="72"/>
      <c r="FID150" s="72"/>
      <c r="FIE150" s="72"/>
      <c r="FIF150" s="72"/>
      <c r="FIG150" s="72"/>
      <c r="FIH150" s="72"/>
      <c r="FII150" s="72"/>
      <c r="FIJ150" s="72"/>
      <c r="FIK150" s="72"/>
      <c r="FIL150" s="72"/>
      <c r="FIM150" s="72"/>
      <c r="FIN150" s="72"/>
      <c r="FIO150" s="72"/>
      <c r="FIP150" s="72"/>
      <c r="FIQ150" s="72"/>
      <c r="FIR150" s="72"/>
      <c r="FIS150" s="72"/>
      <c r="FIT150" s="72"/>
      <c r="FIU150" s="72"/>
      <c r="FIV150" s="72"/>
      <c r="FIW150" s="72"/>
      <c r="FIX150" s="72"/>
      <c r="FIY150" s="72"/>
      <c r="FIZ150" s="72"/>
      <c r="FJA150" s="72"/>
      <c r="FJB150" s="72"/>
      <c r="FJC150" s="72"/>
      <c r="FJD150" s="72"/>
      <c r="FJE150" s="72"/>
      <c r="FJF150" s="72"/>
      <c r="FJG150" s="72"/>
      <c r="FJH150" s="72"/>
      <c r="FJI150" s="72"/>
      <c r="FJJ150" s="72"/>
      <c r="FJK150" s="72"/>
      <c r="FJL150" s="72"/>
      <c r="FJM150" s="72"/>
      <c r="FJN150" s="72"/>
      <c r="FJO150" s="72"/>
      <c r="FJP150" s="72"/>
      <c r="FJQ150" s="72"/>
      <c r="FJR150" s="72"/>
      <c r="FJS150" s="72"/>
      <c r="FJT150" s="72"/>
      <c r="FJU150" s="72"/>
      <c r="FJV150" s="72"/>
      <c r="FJW150" s="72"/>
      <c r="FJX150" s="72"/>
      <c r="FJY150" s="72"/>
      <c r="FJZ150" s="72"/>
      <c r="FKA150" s="72"/>
      <c r="FKB150" s="72"/>
      <c r="FKC150" s="72"/>
      <c r="FKD150" s="72"/>
      <c r="FKE150" s="72"/>
      <c r="FKF150" s="72"/>
      <c r="FKG150" s="72"/>
      <c r="FKH150" s="72"/>
      <c r="FKI150" s="72"/>
      <c r="FKJ150" s="72"/>
      <c r="FKK150" s="72"/>
      <c r="FKL150" s="72"/>
      <c r="FKM150" s="72"/>
      <c r="FKN150" s="72"/>
      <c r="FKO150" s="72"/>
      <c r="FKP150" s="72"/>
      <c r="FKQ150" s="72"/>
      <c r="FKR150" s="72"/>
      <c r="FKS150" s="72"/>
      <c r="FKT150" s="72"/>
      <c r="FKU150" s="72"/>
      <c r="FKV150" s="72"/>
      <c r="FKW150" s="72"/>
      <c r="FKX150" s="72"/>
      <c r="FKY150" s="72"/>
      <c r="FKZ150" s="72"/>
      <c r="FLA150" s="72"/>
      <c r="FLB150" s="72"/>
      <c r="FLC150" s="72"/>
      <c r="FLD150" s="72"/>
      <c r="FLE150" s="72"/>
      <c r="FLF150" s="72"/>
      <c r="FLG150" s="72"/>
      <c r="FLH150" s="72"/>
      <c r="FLI150" s="72"/>
      <c r="FLJ150" s="72"/>
      <c r="FLK150" s="72"/>
      <c r="FLL150" s="72"/>
      <c r="FLM150" s="72"/>
      <c r="FLN150" s="72"/>
      <c r="FLO150" s="72"/>
      <c r="FLP150" s="72"/>
      <c r="FLQ150" s="72"/>
      <c r="FLR150" s="72"/>
      <c r="FLS150" s="72"/>
      <c r="FLT150" s="72"/>
      <c r="FLU150" s="72"/>
      <c r="FLV150" s="72"/>
      <c r="FLW150" s="72"/>
      <c r="FLX150" s="72"/>
      <c r="FLY150" s="72"/>
      <c r="FLZ150" s="72"/>
      <c r="FMA150" s="72"/>
      <c r="FMB150" s="72"/>
      <c r="FMC150" s="72"/>
      <c r="FMD150" s="72"/>
      <c r="FME150" s="72"/>
      <c r="FMF150" s="72"/>
      <c r="FMG150" s="72"/>
      <c r="FMH150" s="72"/>
      <c r="FMI150" s="72"/>
      <c r="FMJ150" s="72"/>
      <c r="FMK150" s="72"/>
      <c r="FML150" s="72"/>
      <c r="FMM150" s="72"/>
      <c r="FMN150" s="72"/>
      <c r="FMO150" s="72"/>
      <c r="FMP150" s="72"/>
      <c r="FMQ150" s="72"/>
      <c r="FMR150" s="72"/>
      <c r="FMS150" s="72"/>
      <c r="FMT150" s="72"/>
      <c r="FMU150" s="72"/>
      <c r="FMV150" s="72"/>
      <c r="FMW150" s="72"/>
      <c r="FMX150" s="72"/>
      <c r="FMY150" s="72"/>
      <c r="FMZ150" s="72"/>
      <c r="FNA150" s="72"/>
      <c r="FNB150" s="72"/>
      <c r="FNC150" s="72"/>
      <c r="FND150" s="72"/>
      <c r="FNE150" s="72"/>
      <c r="FNF150" s="72"/>
      <c r="FNG150" s="72"/>
      <c r="FNH150" s="72"/>
      <c r="FNI150" s="72"/>
      <c r="FNJ150" s="72"/>
      <c r="FNK150" s="72"/>
      <c r="FNL150" s="72"/>
      <c r="FNM150" s="72"/>
      <c r="FNN150" s="72"/>
      <c r="FNO150" s="72"/>
      <c r="FNP150" s="72"/>
      <c r="FNQ150" s="72"/>
      <c r="FNR150" s="72"/>
      <c r="FNS150" s="72"/>
      <c r="FNT150" s="72"/>
      <c r="FNU150" s="72"/>
      <c r="FNV150" s="72"/>
      <c r="FNW150" s="72"/>
      <c r="FNX150" s="72"/>
      <c r="FNY150" s="72"/>
      <c r="FNZ150" s="72"/>
      <c r="FOA150" s="72"/>
      <c r="FOB150" s="72"/>
      <c r="FOC150" s="72"/>
      <c r="FOD150" s="72"/>
      <c r="FOE150" s="72"/>
      <c r="FOF150" s="72"/>
      <c r="FOG150" s="72"/>
      <c r="FOH150" s="72"/>
      <c r="FOI150" s="72"/>
      <c r="FOJ150" s="72"/>
      <c r="FOK150" s="72"/>
      <c r="FOL150" s="72"/>
      <c r="FOM150" s="72"/>
      <c r="FON150" s="72"/>
      <c r="FOO150" s="72"/>
      <c r="FOP150" s="72"/>
      <c r="FOQ150" s="72"/>
      <c r="FOR150" s="72"/>
      <c r="FOS150" s="72"/>
      <c r="FOT150" s="72"/>
      <c r="FOU150" s="72"/>
      <c r="FOV150" s="72"/>
      <c r="FOW150" s="72"/>
      <c r="FOX150" s="72"/>
      <c r="FOY150" s="72"/>
      <c r="FOZ150" s="72"/>
      <c r="FPA150" s="72"/>
      <c r="FPB150" s="72"/>
      <c r="FPC150" s="72"/>
      <c r="FPD150" s="72"/>
      <c r="FPE150" s="72"/>
      <c r="FPF150" s="72"/>
      <c r="FPG150" s="72"/>
      <c r="FPH150" s="72"/>
      <c r="FPI150" s="72"/>
      <c r="FPJ150" s="72"/>
      <c r="FPK150" s="72"/>
      <c r="FPL150" s="72"/>
      <c r="FPM150" s="72"/>
      <c r="FPN150" s="72"/>
      <c r="FPO150" s="72"/>
      <c r="FPP150" s="72"/>
      <c r="FPQ150" s="72"/>
      <c r="FPR150" s="72"/>
      <c r="FPS150" s="72"/>
      <c r="FPT150" s="72"/>
      <c r="FPU150" s="72"/>
      <c r="FPV150" s="72"/>
      <c r="FPW150" s="72"/>
      <c r="FPX150" s="72"/>
      <c r="FPY150" s="72"/>
      <c r="FPZ150" s="72"/>
      <c r="FQA150" s="72"/>
      <c r="FQB150" s="72"/>
      <c r="FQC150" s="72"/>
      <c r="FQD150" s="72"/>
      <c r="FQE150" s="72"/>
      <c r="FQF150" s="72"/>
      <c r="FQG150" s="72"/>
      <c r="FQH150" s="72"/>
      <c r="FQI150" s="72"/>
      <c r="FQJ150" s="72"/>
      <c r="FQK150" s="72"/>
      <c r="FQL150" s="72"/>
      <c r="FQM150" s="72"/>
      <c r="FQN150" s="72"/>
      <c r="FQO150" s="72"/>
      <c r="FQP150" s="72"/>
      <c r="FQQ150" s="72"/>
      <c r="FQR150" s="72"/>
      <c r="FQS150" s="72"/>
      <c r="FQT150" s="72"/>
      <c r="FQU150" s="72"/>
      <c r="FQV150" s="72"/>
      <c r="FQW150" s="72"/>
      <c r="FQX150" s="72"/>
      <c r="FQY150" s="72"/>
      <c r="FQZ150" s="72"/>
      <c r="FRA150" s="72"/>
      <c r="FRB150" s="72"/>
      <c r="FRC150" s="72"/>
      <c r="FRD150" s="72"/>
      <c r="FRE150" s="72"/>
      <c r="FRF150" s="72"/>
      <c r="FRG150" s="72"/>
      <c r="FRH150" s="72"/>
      <c r="FRI150" s="72"/>
      <c r="FRJ150" s="72"/>
      <c r="FRK150" s="72"/>
      <c r="FRL150" s="72"/>
      <c r="FRM150" s="72"/>
      <c r="FRN150" s="72"/>
      <c r="FRO150" s="72"/>
      <c r="FRP150" s="72"/>
      <c r="FRQ150" s="72"/>
      <c r="FRR150" s="72"/>
      <c r="FRS150" s="72"/>
      <c r="FRT150" s="72"/>
      <c r="FRU150" s="72"/>
      <c r="FRV150" s="72"/>
      <c r="FRW150" s="72"/>
      <c r="FRX150" s="72"/>
      <c r="FRY150" s="72"/>
      <c r="FRZ150" s="72"/>
      <c r="FSA150" s="72"/>
      <c r="FSB150" s="72"/>
      <c r="FSC150" s="72"/>
      <c r="FSD150" s="72"/>
      <c r="FSE150" s="72"/>
      <c r="FSF150" s="72"/>
      <c r="FSG150" s="72"/>
      <c r="FSH150" s="72"/>
      <c r="FSI150" s="72"/>
      <c r="FSJ150" s="72"/>
      <c r="FSK150" s="72"/>
      <c r="FSL150" s="72"/>
      <c r="FSM150" s="72"/>
      <c r="FSN150" s="72"/>
      <c r="FSO150" s="72"/>
      <c r="FSP150" s="72"/>
      <c r="FSQ150" s="72"/>
      <c r="FSR150" s="72"/>
      <c r="FSS150" s="72"/>
      <c r="FST150" s="72"/>
      <c r="FSU150" s="72"/>
      <c r="FSV150" s="72"/>
      <c r="FSW150" s="72"/>
      <c r="FSX150" s="72"/>
      <c r="FSY150" s="72"/>
      <c r="FSZ150" s="72"/>
      <c r="FTA150" s="72"/>
      <c r="FTB150" s="72"/>
      <c r="FTC150" s="72"/>
      <c r="FTD150" s="72"/>
      <c r="FTE150" s="72"/>
      <c r="FTF150" s="72"/>
      <c r="FTG150" s="72"/>
      <c r="FTH150" s="72"/>
      <c r="FTI150" s="72"/>
      <c r="FTJ150" s="72"/>
      <c r="FTK150" s="72"/>
      <c r="FTL150" s="72"/>
      <c r="FTM150" s="72"/>
      <c r="FTN150" s="72"/>
      <c r="FTO150" s="72"/>
      <c r="FTP150" s="72"/>
      <c r="FTQ150" s="72"/>
      <c r="FTR150" s="72"/>
      <c r="FTS150" s="72"/>
      <c r="FTT150" s="72"/>
      <c r="FTU150" s="72"/>
      <c r="FTV150" s="72"/>
      <c r="FTW150" s="72"/>
      <c r="FTX150" s="72"/>
      <c r="FTY150" s="72"/>
      <c r="FTZ150" s="72"/>
      <c r="FUA150" s="72"/>
      <c r="FUB150" s="72"/>
      <c r="FUC150" s="72"/>
      <c r="FUD150" s="72"/>
      <c r="FUE150" s="72"/>
      <c r="FUF150" s="72"/>
      <c r="FUG150" s="72"/>
      <c r="FUH150" s="72"/>
      <c r="FUI150" s="72"/>
      <c r="FUJ150" s="72"/>
      <c r="FUK150" s="72"/>
      <c r="FUL150" s="72"/>
      <c r="FUM150" s="72"/>
      <c r="FUN150" s="72"/>
      <c r="FUO150" s="72"/>
      <c r="FUP150" s="72"/>
      <c r="FUQ150" s="72"/>
      <c r="FUR150" s="72"/>
      <c r="FUS150" s="72"/>
      <c r="FUT150" s="72"/>
      <c r="FUU150" s="72"/>
      <c r="FUV150" s="72"/>
      <c r="FUW150" s="72"/>
      <c r="FUX150" s="72"/>
      <c r="FUY150" s="72"/>
      <c r="FUZ150" s="72"/>
      <c r="FVA150" s="72"/>
      <c r="FVB150" s="72"/>
      <c r="FVC150" s="72"/>
      <c r="FVD150" s="72"/>
      <c r="FVE150" s="72"/>
      <c r="FVF150" s="72"/>
      <c r="FVG150" s="72"/>
      <c r="FVH150" s="72"/>
      <c r="FVI150" s="72"/>
      <c r="FVJ150" s="72"/>
      <c r="FVK150" s="72"/>
      <c r="FVL150" s="72"/>
      <c r="FVM150" s="72"/>
      <c r="FVN150" s="72"/>
      <c r="FVO150" s="72"/>
      <c r="FVP150" s="72"/>
      <c r="FVQ150" s="72"/>
      <c r="FVR150" s="72"/>
      <c r="FVS150" s="72"/>
      <c r="FVT150" s="72"/>
      <c r="FVU150" s="72"/>
      <c r="FVV150" s="72"/>
      <c r="FVW150" s="72"/>
      <c r="FVX150" s="72"/>
      <c r="FVY150" s="72"/>
      <c r="FVZ150" s="72"/>
      <c r="FWA150" s="72"/>
      <c r="FWB150" s="72"/>
      <c r="FWC150" s="72"/>
      <c r="FWD150" s="72"/>
      <c r="FWE150" s="72"/>
      <c r="FWF150" s="72"/>
      <c r="FWG150" s="72"/>
      <c r="FWH150" s="72"/>
      <c r="FWI150" s="72"/>
      <c r="FWJ150" s="72"/>
      <c r="FWK150" s="72"/>
      <c r="FWL150" s="72"/>
      <c r="FWM150" s="72"/>
      <c r="FWN150" s="72"/>
      <c r="FWO150" s="72"/>
      <c r="FWP150" s="72"/>
      <c r="FWQ150" s="72"/>
      <c r="FWR150" s="72"/>
      <c r="FWS150" s="72"/>
      <c r="FWT150" s="72"/>
      <c r="FWU150" s="72"/>
      <c r="FWV150" s="72"/>
      <c r="FWW150" s="72"/>
      <c r="FWX150" s="72"/>
      <c r="FWY150" s="72"/>
      <c r="FWZ150" s="72"/>
      <c r="FXA150" s="72"/>
      <c r="FXB150" s="72"/>
      <c r="FXC150" s="72"/>
      <c r="FXD150" s="72"/>
      <c r="FXE150" s="72"/>
      <c r="FXF150" s="72"/>
      <c r="FXG150" s="72"/>
      <c r="FXH150" s="72"/>
      <c r="FXI150" s="72"/>
      <c r="FXJ150" s="72"/>
      <c r="FXK150" s="72"/>
      <c r="FXL150" s="72"/>
      <c r="FXM150" s="72"/>
      <c r="FXN150" s="72"/>
      <c r="FXO150" s="72"/>
      <c r="FXP150" s="72"/>
      <c r="FXQ150" s="72"/>
      <c r="FXR150" s="72"/>
      <c r="FXS150" s="72"/>
      <c r="FXT150" s="72"/>
      <c r="FXU150" s="72"/>
      <c r="FXV150" s="72"/>
      <c r="FXW150" s="72"/>
      <c r="FXX150" s="72"/>
      <c r="FXY150" s="72"/>
      <c r="FXZ150" s="72"/>
      <c r="FYA150" s="72"/>
      <c r="FYB150" s="72"/>
      <c r="FYC150" s="72"/>
      <c r="FYD150" s="72"/>
      <c r="FYE150" s="72"/>
      <c r="FYF150" s="72"/>
      <c r="FYG150" s="72"/>
      <c r="FYH150" s="72"/>
      <c r="FYI150" s="72"/>
      <c r="FYJ150" s="72"/>
      <c r="FYK150" s="72"/>
      <c r="FYL150" s="72"/>
      <c r="FYM150" s="72"/>
      <c r="FYN150" s="72"/>
      <c r="FYO150" s="72"/>
      <c r="FYP150" s="72"/>
      <c r="FYQ150" s="72"/>
      <c r="FYR150" s="72"/>
      <c r="FYS150" s="72"/>
      <c r="FYT150" s="72"/>
      <c r="FYU150" s="72"/>
      <c r="FYV150" s="72"/>
      <c r="FYW150" s="72"/>
      <c r="FYX150" s="72"/>
      <c r="FYY150" s="72"/>
      <c r="FYZ150" s="72"/>
      <c r="FZA150" s="72"/>
      <c r="FZB150" s="72"/>
      <c r="FZC150" s="72"/>
      <c r="FZD150" s="72"/>
      <c r="FZE150" s="72"/>
      <c r="FZF150" s="72"/>
      <c r="FZG150" s="72"/>
      <c r="FZH150" s="72"/>
      <c r="FZI150" s="72"/>
      <c r="FZJ150" s="72"/>
      <c r="FZK150" s="72"/>
      <c r="FZL150" s="72"/>
      <c r="FZM150" s="72"/>
      <c r="FZN150" s="72"/>
      <c r="FZO150" s="72"/>
      <c r="FZP150" s="72"/>
      <c r="FZQ150" s="72"/>
      <c r="FZR150" s="72"/>
      <c r="FZS150" s="72"/>
      <c r="FZT150" s="72"/>
      <c r="FZU150" s="72"/>
      <c r="FZV150" s="72"/>
      <c r="FZW150" s="72"/>
      <c r="FZX150" s="72"/>
      <c r="FZY150" s="72"/>
      <c r="FZZ150" s="72"/>
      <c r="GAA150" s="72"/>
      <c r="GAB150" s="72"/>
      <c r="GAC150" s="72"/>
      <c r="GAD150" s="72"/>
      <c r="GAE150" s="72"/>
      <c r="GAF150" s="72"/>
      <c r="GAG150" s="72"/>
      <c r="GAH150" s="72"/>
      <c r="GAI150" s="72"/>
      <c r="GAJ150" s="72"/>
      <c r="GAK150" s="72"/>
      <c r="GAL150" s="72"/>
      <c r="GAM150" s="72"/>
      <c r="GAN150" s="72"/>
      <c r="GAO150" s="72"/>
      <c r="GAP150" s="72"/>
      <c r="GAQ150" s="72"/>
      <c r="GAR150" s="72"/>
      <c r="GAS150" s="72"/>
      <c r="GAT150" s="72"/>
      <c r="GAU150" s="72"/>
      <c r="GAV150" s="72"/>
      <c r="GAW150" s="72"/>
      <c r="GAX150" s="72"/>
      <c r="GAY150" s="72"/>
      <c r="GAZ150" s="72"/>
      <c r="GBA150" s="72"/>
      <c r="GBB150" s="72"/>
      <c r="GBC150" s="72"/>
      <c r="GBD150" s="72"/>
      <c r="GBE150" s="72"/>
      <c r="GBF150" s="72"/>
      <c r="GBG150" s="72"/>
      <c r="GBH150" s="72"/>
      <c r="GBI150" s="72"/>
      <c r="GBJ150" s="72"/>
      <c r="GBK150" s="72"/>
      <c r="GBL150" s="72"/>
      <c r="GBM150" s="72"/>
      <c r="GBN150" s="72"/>
      <c r="GBO150" s="72"/>
      <c r="GBP150" s="72"/>
      <c r="GBQ150" s="72"/>
      <c r="GBR150" s="72"/>
      <c r="GBS150" s="72"/>
      <c r="GBT150" s="72"/>
      <c r="GBU150" s="72"/>
      <c r="GBV150" s="72"/>
      <c r="GBW150" s="72"/>
      <c r="GBX150" s="72"/>
      <c r="GBY150" s="72"/>
      <c r="GBZ150" s="72"/>
      <c r="GCA150" s="72"/>
      <c r="GCB150" s="72"/>
      <c r="GCC150" s="72"/>
      <c r="GCD150" s="72"/>
      <c r="GCE150" s="72"/>
      <c r="GCF150" s="72"/>
      <c r="GCG150" s="72"/>
      <c r="GCH150" s="72"/>
      <c r="GCI150" s="72"/>
      <c r="GCJ150" s="72"/>
      <c r="GCK150" s="72"/>
      <c r="GCL150" s="72"/>
      <c r="GCM150" s="72"/>
      <c r="GCN150" s="72"/>
      <c r="GCO150" s="72"/>
      <c r="GCP150" s="72"/>
      <c r="GCQ150" s="72"/>
      <c r="GCR150" s="72"/>
      <c r="GCS150" s="72"/>
      <c r="GCT150" s="72"/>
      <c r="GCU150" s="72"/>
      <c r="GCV150" s="72"/>
      <c r="GCW150" s="72"/>
      <c r="GCX150" s="72"/>
      <c r="GCY150" s="72"/>
      <c r="GCZ150" s="72"/>
      <c r="GDA150" s="72"/>
      <c r="GDB150" s="72"/>
      <c r="GDC150" s="72"/>
      <c r="GDD150" s="72"/>
      <c r="GDE150" s="72"/>
      <c r="GDF150" s="72"/>
      <c r="GDG150" s="72"/>
      <c r="GDH150" s="72"/>
      <c r="GDI150" s="72"/>
      <c r="GDJ150" s="72"/>
      <c r="GDK150" s="72"/>
      <c r="GDL150" s="72"/>
      <c r="GDM150" s="72"/>
      <c r="GDN150" s="72"/>
      <c r="GDO150" s="72"/>
      <c r="GDP150" s="72"/>
      <c r="GDQ150" s="72"/>
      <c r="GDR150" s="72"/>
      <c r="GDS150" s="72"/>
      <c r="GDT150" s="72"/>
      <c r="GDU150" s="72"/>
      <c r="GDV150" s="72"/>
      <c r="GDW150" s="72"/>
      <c r="GDX150" s="72"/>
      <c r="GDY150" s="72"/>
      <c r="GDZ150" s="72"/>
      <c r="GEA150" s="72"/>
      <c r="GEB150" s="72"/>
      <c r="GEC150" s="72"/>
      <c r="GED150" s="72"/>
      <c r="GEE150" s="72"/>
      <c r="GEF150" s="72"/>
      <c r="GEG150" s="72"/>
      <c r="GEH150" s="72"/>
      <c r="GEI150" s="72"/>
      <c r="GEJ150" s="72"/>
      <c r="GEK150" s="72"/>
      <c r="GEL150" s="72"/>
      <c r="GEM150" s="72"/>
      <c r="GEN150" s="72"/>
      <c r="GEO150" s="72"/>
      <c r="GEP150" s="72"/>
      <c r="GEQ150" s="72"/>
      <c r="GER150" s="72"/>
      <c r="GES150" s="72"/>
      <c r="GET150" s="72"/>
      <c r="GEU150" s="72"/>
      <c r="GEV150" s="72"/>
      <c r="GEW150" s="72"/>
      <c r="GEX150" s="72"/>
      <c r="GEY150" s="72"/>
      <c r="GEZ150" s="72"/>
      <c r="GFA150" s="72"/>
      <c r="GFB150" s="72"/>
      <c r="GFC150" s="72"/>
      <c r="GFD150" s="72"/>
      <c r="GFE150" s="72"/>
      <c r="GFF150" s="72"/>
      <c r="GFG150" s="72"/>
      <c r="GFH150" s="72"/>
      <c r="GFI150" s="72"/>
      <c r="GFJ150" s="72"/>
      <c r="GFK150" s="72"/>
      <c r="GFL150" s="72"/>
      <c r="GFM150" s="72"/>
      <c r="GFN150" s="72"/>
      <c r="GFO150" s="72"/>
      <c r="GFP150" s="72"/>
      <c r="GFQ150" s="72"/>
      <c r="GFR150" s="72"/>
      <c r="GFS150" s="72"/>
      <c r="GFT150" s="72"/>
      <c r="GFU150" s="72"/>
      <c r="GFV150" s="72"/>
      <c r="GFW150" s="72"/>
      <c r="GFX150" s="72"/>
      <c r="GFY150" s="72"/>
      <c r="GFZ150" s="72"/>
      <c r="GGA150" s="72"/>
      <c r="GGB150" s="72"/>
      <c r="GGC150" s="72"/>
      <c r="GGD150" s="72"/>
      <c r="GGE150" s="72"/>
      <c r="GGF150" s="72"/>
      <c r="GGG150" s="72"/>
      <c r="GGH150" s="72"/>
      <c r="GGI150" s="72"/>
      <c r="GGJ150" s="72"/>
      <c r="GGK150" s="72"/>
      <c r="GGL150" s="72"/>
      <c r="GGM150" s="72"/>
      <c r="GGN150" s="72"/>
      <c r="GGO150" s="72"/>
      <c r="GGP150" s="72"/>
      <c r="GGQ150" s="72"/>
      <c r="GGR150" s="72"/>
      <c r="GGS150" s="72"/>
      <c r="GGT150" s="72"/>
      <c r="GGU150" s="72"/>
      <c r="GGV150" s="72"/>
      <c r="GGW150" s="72"/>
      <c r="GGX150" s="72"/>
      <c r="GGY150" s="72"/>
      <c r="GGZ150" s="72"/>
      <c r="GHA150" s="72"/>
      <c r="GHB150" s="72"/>
      <c r="GHC150" s="72"/>
      <c r="GHD150" s="72"/>
      <c r="GHE150" s="72"/>
      <c r="GHF150" s="72"/>
      <c r="GHG150" s="72"/>
      <c r="GHH150" s="72"/>
      <c r="GHI150" s="72"/>
      <c r="GHJ150" s="72"/>
      <c r="GHK150" s="72"/>
      <c r="GHL150" s="72"/>
      <c r="GHM150" s="72"/>
      <c r="GHN150" s="72"/>
      <c r="GHO150" s="72"/>
      <c r="GHP150" s="72"/>
      <c r="GHQ150" s="72"/>
      <c r="GHR150" s="72"/>
      <c r="GHS150" s="72"/>
      <c r="GHT150" s="72"/>
      <c r="GHU150" s="72"/>
      <c r="GHV150" s="72"/>
      <c r="GHW150" s="72"/>
      <c r="GHX150" s="72"/>
      <c r="GHY150" s="72"/>
      <c r="GHZ150" s="72"/>
      <c r="GIA150" s="72"/>
      <c r="GIB150" s="72"/>
      <c r="GIC150" s="72"/>
      <c r="GID150" s="72"/>
      <c r="GIE150" s="72"/>
      <c r="GIF150" s="72"/>
      <c r="GIG150" s="72"/>
      <c r="GIH150" s="72"/>
      <c r="GII150" s="72"/>
      <c r="GIJ150" s="72"/>
      <c r="GIK150" s="72"/>
      <c r="GIL150" s="72"/>
      <c r="GIM150" s="72"/>
      <c r="GIN150" s="72"/>
      <c r="GIO150" s="72"/>
      <c r="GIP150" s="72"/>
      <c r="GIQ150" s="72"/>
      <c r="GIR150" s="72"/>
      <c r="GIS150" s="72"/>
      <c r="GIT150" s="72"/>
      <c r="GIU150" s="72"/>
      <c r="GIV150" s="72"/>
      <c r="GIW150" s="72"/>
      <c r="GIX150" s="72"/>
      <c r="GIY150" s="72"/>
      <c r="GIZ150" s="72"/>
      <c r="GJA150" s="72"/>
      <c r="GJB150" s="72"/>
      <c r="GJC150" s="72"/>
      <c r="GJD150" s="72"/>
      <c r="GJE150" s="72"/>
      <c r="GJF150" s="72"/>
      <c r="GJG150" s="72"/>
      <c r="GJH150" s="72"/>
      <c r="GJI150" s="72"/>
      <c r="GJJ150" s="72"/>
      <c r="GJK150" s="72"/>
      <c r="GJL150" s="72"/>
      <c r="GJM150" s="72"/>
      <c r="GJN150" s="72"/>
      <c r="GJO150" s="72"/>
      <c r="GJP150" s="72"/>
      <c r="GJQ150" s="72"/>
      <c r="GJR150" s="72"/>
      <c r="GJS150" s="72"/>
      <c r="GJT150" s="72"/>
      <c r="GJU150" s="72"/>
      <c r="GJV150" s="72"/>
      <c r="GJW150" s="72"/>
      <c r="GJX150" s="72"/>
      <c r="GJY150" s="72"/>
      <c r="GJZ150" s="72"/>
      <c r="GKA150" s="72"/>
      <c r="GKB150" s="72"/>
      <c r="GKC150" s="72"/>
      <c r="GKD150" s="72"/>
      <c r="GKE150" s="72"/>
      <c r="GKF150" s="72"/>
      <c r="GKG150" s="72"/>
      <c r="GKH150" s="72"/>
      <c r="GKI150" s="72"/>
      <c r="GKJ150" s="72"/>
      <c r="GKK150" s="72"/>
      <c r="GKL150" s="72"/>
      <c r="GKM150" s="72"/>
      <c r="GKN150" s="72"/>
      <c r="GKO150" s="72"/>
      <c r="GKP150" s="72"/>
      <c r="GKQ150" s="72"/>
      <c r="GKR150" s="72"/>
      <c r="GKS150" s="72"/>
      <c r="GKT150" s="72"/>
      <c r="GKU150" s="72"/>
      <c r="GKV150" s="72"/>
      <c r="GKW150" s="72"/>
      <c r="GKX150" s="72"/>
      <c r="GKY150" s="72"/>
      <c r="GKZ150" s="72"/>
      <c r="GLA150" s="72"/>
      <c r="GLB150" s="72"/>
      <c r="GLC150" s="72"/>
      <c r="GLD150" s="72"/>
      <c r="GLE150" s="72"/>
      <c r="GLF150" s="72"/>
      <c r="GLG150" s="72"/>
      <c r="GLH150" s="72"/>
      <c r="GLI150" s="72"/>
      <c r="GLJ150" s="72"/>
      <c r="GLK150" s="72"/>
      <c r="GLL150" s="72"/>
      <c r="GLM150" s="72"/>
      <c r="GLN150" s="72"/>
      <c r="GLO150" s="72"/>
      <c r="GLP150" s="72"/>
      <c r="GLQ150" s="72"/>
      <c r="GLR150" s="72"/>
      <c r="GLS150" s="72"/>
      <c r="GLT150" s="72"/>
      <c r="GLU150" s="72"/>
      <c r="GLV150" s="72"/>
      <c r="GLW150" s="72"/>
      <c r="GLX150" s="72"/>
      <c r="GLY150" s="72"/>
      <c r="GLZ150" s="72"/>
      <c r="GMA150" s="72"/>
      <c r="GMB150" s="72"/>
      <c r="GMC150" s="72"/>
      <c r="GMD150" s="72"/>
      <c r="GME150" s="72"/>
      <c r="GMF150" s="72"/>
      <c r="GMG150" s="72"/>
      <c r="GMH150" s="72"/>
      <c r="GMI150" s="72"/>
      <c r="GMJ150" s="72"/>
      <c r="GMK150" s="72"/>
      <c r="GML150" s="72"/>
      <c r="GMM150" s="72"/>
      <c r="GMN150" s="72"/>
      <c r="GMO150" s="72"/>
      <c r="GMP150" s="72"/>
      <c r="GMQ150" s="72"/>
      <c r="GMR150" s="72"/>
      <c r="GMS150" s="72"/>
      <c r="GMT150" s="72"/>
      <c r="GMU150" s="72"/>
      <c r="GMV150" s="72"/>
      <c r="GMW150" s="72"/>
      <c r="GMX150" s="72"/>
      <c r="GMY150" s="72"/>
      <c r="GMZ150" s="72"/>
      <c r="GNA150" s="72"/>
      <c r="GNB150" s="72"/>
      <c r="GNC150" s="72"/>
      <c r="GND150" s="72"/>
      <c r="GNE150" s="72"/>
      <c r="GNF150" s="72"/>
      <c r="GNG150" s="72"/>
      <c r="GNH150" s="72"/>
      <c r="GNI150" s="72"/>
      <c r="GNJ150" s="72"/>
      <c r="GNK150" s="72"/>
      <c r="GNL150" s="72"/>
      <c r="GNM150" s="72"/>
      <c r="GNN150" s="72"/>
      <c r="GNO150" s="72"/>
      <c r="GNP150" s="72"/>
      <c r="GNQ150" s="72"/>
      <c r="GNR150" s="72"/>
      <c r="GNS150" s="72"/>
      <c r="GNT150" s="72"/>
      <c r="GNU150" s="72"/>
      <c r="GNV150" s="72"/>
      <c r="GNW150" s="72"/>
      <c r="GNX150" s="72"/>
      <c r="GNY150" s="72"/>
      <c r="GNZ150" s="72"/>
      <c r="GOA150" s="72"/>
      <c r="GOB150" s="72"/>
      <c r="GOC150" s="72"/>
      <c r="GOD150" s="72"/>
      <c r="GOE150" s="72"/>
      <c r="GOF150" s="72"/>
      <c r="GOG150" s="72"/>
      <c r="GOH150" s="72"/>
      <c r="GOI150" s="72"/>
      <c r="GOJ150" s="72"/>
      <c r="GOK150" s="72"/>
      <c r="GOL150" s="72"/>
      <c r="GOM150" s="72"/>
      <c r="GON150" s="72"/>
      <c r="GOO150" s="72"/>
      <c r="GOP150" s="72"/>
      <c r="GOQ150" s="72"/>
      <c r="GOR150" s="72"/>
      <c r="GOS150" s="72"/>
      <c r="GOT150" s="72"/>
      <c r="GOU150" s="72"/>
      <c r="GOV150" s="72"/>
      <c r="GOW150" s="72"/>
      <c r="GOX150" s="72"/>
      <c r="GOY150" s="72"/>
      <c r="GOZ150" s="72"/>
      <c r="GPA150" s="72"/>
      <c r="GPB150" s="72"/>
      <c r="GPC150" s="72"/>
      <c r="GPD150" s="72"/>
      <c r="GPE150" s="72"/>
      <c r="GPF150" s="72"/>
      <c r="GPG150" s="72"/>
      <c r="GPH150" s="72"/>
      <c r="GPI150" s="72"/>
      <c r="GPJ150" s="72"/>
      <c r="GPK150" s="72"/>
      <c r="GPL150" s="72"/>
      <c r="GPM150" s="72"/>
      <c r="GPN150" s="72"/>
      <c r="GPO150" s="72"/>
      <c r="GPP150" s="72"/>
      <c r="GPQ150" s="72"/>
      <c r="GPR150" s="72"/>
      <c r="GPS150" s="72"/>
      <c r="GPT150" s="72"/>
      <c r="GPU150" s="72"/>
      <c r="GPV150" s="72"/>
      <c r="GPW150" s="72"/>
      <c r="GPX150" s="72"/>
      <c r="GPY150" s="72"/>
      <c r="GPZ150" s="72"/>
      <c r="GQA150" s="72"/>
      <c r="GQB150" s="72"/>
      <c r="GQC150" s="72"/>
      <c r="GQD150" s="72"/>
      <c r="GQE150" s="72"/>
      <c r="GQF150" s="72"/>
      <c r="GQG150" s="72"/>
      <c r="GQH150" s="72"/>
      <c r="GQI150" s="72"/>
      <c r="GQJ150" s="72"/>
      <c r="GQK150" s="72"/>
      <c r="GQL150" s="72"/>
      <c r="GQM150" s="72"/>
      <c r="GQN150" s="72"/>
      <c r="GQO150" s="72"/>
      <c r="GQP150" s="72"/>
      <c r="GQQ150" s="72"/>
      <c r="GQR150" s="72"/>
      <c r="GQS150" s="72"/>
      <c r="GQT150" s="72"/>
      <c r="GQU150" s="72"/>
      <c r="GQV150" s="72"/>
      <c r="GQW150" s="72"/>
      <c r="GQX150" s="72"/>
      <c r="GQY150" s="72"/>
      <c r="GQZ150" s="72"/>
      <c r="GRA150" s="72"/>
      <c r="GRB150" s="72"/>
      <c r="GRC150" s="72"/>
      <c r="GRD150" s="72"/>
      <c r="GRE150" s="72"/>
      <c r="GRF150" s="72"/>
      <c r="GRG150" s="72"/>
      <c r="GRH150" s="72"/>
      <c r="GRI150" s="72"/>
      <c r="GRJ150" s="72"/>
      <c r="GRK150" s="72"/>
      <c r="GRL150" s="72"/>
      <c r="GRM150" s="72"/>
      <c r="GRN150" s="72"/>
      <c r="GRO150" s="72"/>
      <c r="GRP150" s="72"/>
      <c r="GRQ150" s="72"/>
      <c r="GRR150" s="72"/>
      <c r="GRS150" s="72"/>
      <c r="GRT150" s="72"/>
      <c r="GRU150" s="72"/>
      <c r="GRV150" s="72"/>
      <c r="GRW150" s="72"/>
      <c r="GRX150" s="72"/>
      <c r="GRY150" s="72"/>
      <c r="GRZ150" s="72"/>
      <c r="GSA150" s="72"/>
      <c r="GSB150" s="72"/>
      <c r="GSC150" s="72"/>
      <c r="GSD150" s="72"/>
      <c r="GSE150" s="72"/>
      <c r="GSF150" s="72"/>
      <c r="GSG150" s="72"/>
      <c r="GSH150" s="72"/>
      <c r="GSI150" s="72"/>
      <c r="GSJ150" s="72"/>
      <c r="GSK150" s="72"/>
      <c r="GSL150" s="72"/>
      <c r="GSM150" s="72"/>
      <c r="GSN150" s="72"/>
      <c r="GSO150" s="72"/>
      <c r="GSP150" s="72"/>
      <c r="GSQ150" s="72"/>
      <c r="GSR150" s="72"/>
      <c r="GSS150" s="72"/>
      <c r="GST150" s="72"/>
      <c r="GSU150" s="72"/>
      <c r="GSV150" s="72"/>
      <c r="GSW150" s="72"/>
      <c r="GSX150" s="72"/>
      <c r="GSY150" s="72"/>
      <c r="GSZ150" s="72"/>
      <c r="GTA150" s="72"/>
      <c r="GTB150" s="72"/>
      <c r="GTC150" s="72"/>
      <c r="GTD150" s="72"/>
      <c r="GTE150" s="72"/>
      <c r="GTF150" s="72"/>
      <c r="GTG150" s="72"/>
      <c r="GTH150" s="72"/>
      <c r="GTI150" s="72"/>
      <c r="GTJ150" s="72"/>
      <c r="GTK150" s="72"/>
      <c r="GTL150" s="72"/>
      <c r="GTM150" s="72"/>
      <c r="GTN150" s="72"/>
      <c r="GTO150" s="72"/>
      <c r="GTP150" s="72"/>
      <c r="GTQ150" s="72"/>
      <c r="GTR150" s="72"/>
      <c r="GTS150" s="72"/>
      <c r="GTT150" s="72"/>
      <c r="GTU150" s="72"/>
      <c r="GTV150" s="72"/>
      <c r="GTW150" s="72"/>
      <c r="GTX150" s="72"/>
      <c r="GTY150" s="72"/>
      <c r="GTZ150" s="72"/>
      <c r="GUA150" s="72"/>
      <c r="GUB150" s="72"/>
      <c r="GUC150" s="72"/>
      <c r="GUD150" s="72"/>
      <c r="GUE150" s="72"/>
      <c r="GUF150" s="72"/>
      <c r="GUG150" s="72"/>
      <c r="GUH150" s="72"/>
      <c r="GUI150" s="72"/>
      <c r="GUJ150" s="72"/>
      <c r="GUK150" s="72"/>
      <c r="GUL150" s="72"/>
      <c r="GUM150" s="72"/>
      <c r="GUN150" s="72"/>
      <c r="GUO150" s="72"/>
      <c r="GUP150" s="72"/>
      <c r="GUQ150" s="72"/>
      <c r="GUR150" s="72"/>
      <c r="GUS150" s="72"/>
      <c r="GUT150" s="72"/>
      <c r="GUU150" s="72"/>
      <c r="GUV150" s="72"/>
      <c r="GUW150" s="72"/>
      <c r="GUX150" s="72"/>
      <c r="GUY150" s="72"/>
      <c r="GUZ150" s="72"/>
      <c r="GVA150" s="72"/>
      <c r="GVB150" s="72"/>
      <c r="GVC150" s="72"/>
      <c r="GVD150" s="72"/>
      <c r="GVE150" s="72"/>
      <c r="GVF150" s="72"/>
      <c r="GVG150" s="72"/>
      <c r="GVH150" s="72"/>
      <c r="GVI150" s="72"/>
      <c r="GVJ150" s="72"/>
      <c r="GVK150" s="72"/>
      <c r="GVL150" s="72"/>
      <c r="GVM150" s="72"/>
      <c r="GVN150" s="72"/>
      <c r="GVO150" s="72"/>
      <c r="GVP150" s="72"/>
      <c r="GVQ150" s="72"/>
      <c r="GVR150" s="72"/>
      <c r="GVS150" s="72"/>
      <c r="GVT150" s="72"/>
      <c r="GVU150" s="72"/>
      <c r="GVV150" s="72"/>
      <c r="GVW150" s="72"/>
      <c r="GVX150" s="72"/>
      <c r="GVY150" s="72"/>
      <c r="GVZ150" s="72"/>
      <c r="GWA150" s="72"/>
      <c r="GWB150" s="72"/>
      <c r="GWC150" s="72"/>
      <c r="GWD150" s="72"/>
      <c r="GWE150" s="72"/>
      <c r="GWF150" s="72"/>
      <c r="GWG150" s="72"/>
      <c r="GWH150" s="72"/>
      <c r="GWI150" s="72"/>
      <c r="GWJ150" s="72"/>
      <c r="GWK150" s="72"/>
      <c r="GWL150" s="72"/>
      <c r="GWM150" s="72"/>
      <c r="GWN150" s="72"/>
      <c r="GWO150" s="72"/>
      <c r="GWP150" s="72"/>
      <c r="GWQ150" s="72"/>
      <c r="GWR150" s="72"/>
      <c r="GWS150" s="72"/>
      <c r="GWT150" s="72"/>
      <c r="GWU150" s="72"/>
      <c r="GWV150" s="72"/>
      <c r="GWW150" s="72"/>
      <c r="GWX150" s="72"/>
      <c r="GWY150" s="72"/>
      <c r="GWZ150" s="72"/>
      <c r="GXA150" s="72"/>
      <c r="GXB150" s="72"/>
      <c r="GXC150" s="72"/>
      <c r="GXD150" s="72"/>
      <c r="GXE150" s="72"/>
      <c r="GXF150" s="72"/>
      <c r="GXG150" s="72"/>
      <c r="GXH150" s="72"/>
      <c r="GXI150" s="72"/>
      <c r="GXJ150" s="72"/>
      <c r="GXK150" s="72"/>
      <c r="GXL150" s="72"/>
      <c r="GXM150" s="72"/>
      <c r="GXN150" s="72"/>
      <c r="GXO150" s="72"/>
      <c r="GXP150" s="72"/>
      <c r="GXQ150" s="72"/>
      <c r="GXR150" s="72"/>
      <c r="GXS150" s="72"/>
      <c r="GXT150" s="72"/>
      <c r="GXU150" s="72"/>
      <c r="GXV150" s="72"/>
      <c r="GXW150" s="72"/>
      <c r="GXX150" s="72"/>
      <c r="GXY150" s="72"/>
      <c r="GXZ150" s="72"/>
      <c r="GYA150" s="72"/>
      <c r="GYB150" s="72"/>
      <c r="GYC150" s="72"/>
      <c r="GYD150" s="72"/>
      <c r="GYE150" s="72"/>
      <c r="GYF150" s="72"/>
      <c r="GYG150" s="72"/>
      <c r="GYH150" s="72"/>
      <c r="GYI150" s="72"/>
      <c r="GYJ150" s="72"/>
      <c r="GYK150" s="72"/>
      <c r="GYL150" s="72"/>
      <c r="GYM150" s="72"/>
      <c r="GYN150" s="72"/>
      <c r="GYO150" s="72"/>
      <c r="GYP150" s="72"/>
      <c r="GYQ150" s="72"/>
      <c r="GYR150" s="72"/>
      <c r="GYS150" s="72"/>
      <c r="GYT150" s="72"/>
      <c r="GYU150" s="72"/>
      <c r="GYV150" s="72"/>
      <c r="GYW150" s="72"/>
      <c r="GYX150" s="72"/>
      <c r="GYY150" s="72"/>
      <c r="GYZ150" s="72"/>
      <c r="GZA150" s="72"/>
      <c r="GZB150" s="72"/>
      <c r="GZC150" s="72"/>
      <c r="GZD150" s="72"/>
      <c r="GZE150" s="72"/>
      <c r="GZF150" s="72"/>
      <c r="GZG150" s="72"/>
      <c r="GZH150" s="72"/>
      <c r="GZI150" s="72"/>
      <c r="GZJ150" s="72"/>
      <c r="GZK150" s="72"/>
      <c r="GZL150" s="72"/>
      <c r="GZM150" s="72"/>
      <c r="GZN150" s="72"/>
      <c r="GZO150" s="72"/>
      <c r="GZP150" s="72"/>
      <c r="GZQ150" s="72"/>
      <c r="GZR150" s="72"/>
      <c r="GZS150" s="72"/>
      <c r="GZT150" s="72"/>
      <c r="GZU150" s="72"/>
      <c r="GZV150" s="72"/>
      <c r="GZW150" s="72"/>
      <c r="GZX150" s="72"/>
      <c r="GZY150" s="72"/>
      <c r="GZZ150" s="72"/>
      <c r="HAA150" s="72"/>
      <c r="HAB150" s="72"/>
      <c r="HAC150" s="72"/>
      <c r="HAD150" s="72"/>
      <c r="HAE150" s="72"/>
      <c r="HAF150" s="72"/>
      <c r="HAG150" s="72"/>
      <c r="HAH150" s="72"/>
      <c r="HAI150" s="72"/>
      <c r="HAJ150" s="72"/>
      <c r="HAK150" s="72"/>
      <c r="HAL150" s="72"/>
      <c r="HAM150" s="72"/>
      <c r="HAN150" s="72"/>
      <c r="HAO150" s="72"/>
      <c r="HAP150" s="72"/>
      <c r="HAQ150" s="72"/>
      <c r="HAR150" s="72"/>
      <c r="HAS150" s="72"/>
      <c r="HAT150" s="72"/>
      <c r="HAU150" s="72"/>
      <c r="HAV150" s="72"/>
      <c r="HAW150" s="72"/>
      <c r="HAX150" s="72"/>
      <c r="HAY150" s="72"/>
      <c r="HAZ150" s="72"/>
      <c r="HBA150" s="72"/>
      <c r="HBB150" s="72"/>
      <c r="HBC150" s="72"/>
      <c r="HBD150" s="72"/>
      <c r="HBE150" s="72"/>
      <c r="HBF150" s="72"/>
      <c r="HBG150" s="72"/>
      <c r="HBH150" s="72"/>
      <c r="HBI150" s="72"/>
      <c r="HBJ150" s="72"/>
      <c r="HBK150" s="72"/>
      <c r="HBL150" s="72"/>
      <c r="HBM150" s="72"/>
      <c r="HBN150" s="72"/>
      <c r="HBO150" s="72"/>
      <c r="HBP150" s="72"/>
      <c r="HBQ150" s="72"/>
      <c r="HBR150" s="72"/>
      <c r="HBS150" s="72"/>
      <c r="HBT150" s="72"/>
      <c r="HBU150" s="72"/>
      <c r="HBV150" s="72"/>
      <c r="HBW150" s="72"/>
      <c r="HBX150" s="72"/>
      <c r="HBY150" s="72"/>
      <c r="HBZ150" s="72"/>
      <c r="HCA150" s="72"/>
      <c r="HCB150" s="72"/>
      <c r="HCC150" s="72"/>
      <c r="HCD150" s="72"/>
      <c r="HCE150" s="72"/>
      <c r="HCF150" s="72"/>
      <c r="HCG150" s="72"/>
      <c r="HCH150" s="72"/>
      <c r="HCI150" s="72"/>
      <c r="HCJ150" s="72"/>
      <c r="HCK150" s="72"/>
      <c r="HCL150" s="72"/>
      <c r="HCM150" s="72"/>
      <c r="HCN150" s="72"/>
      <c r="HCO150" s="72"/>
      <c r="HCP150" s="72"/>
      <c r="HCQ150" s="72"/>
      <c r="HCR150" s="72"/>
      <c r="HCS150" s="72"/>
      <c r="HCT150" s="72"/>
      <c r="HCU150" s="72"/>
      <c r="HCV150" s="72"/>
      <c r="HCW150" s="72"/>
      <c r="HCX150" s="72"/>
      <c r="HCY150" s="72"/>
      <c r="HCZ150" s="72"/>
      <c r="HDA150" s="72"/>
      <c r="HDB150" s="72"/>
      <c r="HDC150" s="72"/>
      <c r="HDD150" s="72"/>
      <c r="HDE150" s="72"/>
      <c r="HDF150" s="72"/>
      <c r="HDG150" s="72"/>
      <c r="HDH150" s="72"/>
      <c r="HDI150" s="72"/>
      <c r="HDJ150" s="72"/>
      <c r="HDK150" s="72"/>
      <c r="HDL150" s="72"/>
      <c r="HDM150" s="72"/>
      <c r="HDN150" s="72"/>
      <c r="HDO150" s="72"/>
      <c r="HDP150" s="72"/>
      <c r="HDQ150" s="72"/>
      <c r="HDR150" s="72"/>
      <c r="HDS150" s="72"/>
      <c r="HDT150" s="72"/>
      <c r="HDU150" s="72"/>
      <c r="HDV150" s="72"/>
      <c r="HDW150" s="72"/>
      <c r="HDX150" s="72"/>
      <c r="HDY150" s="72"/>
      <c r="HDZ150" s="72"/>
      <c r="HEA150" s="72"/>
      <c r="HEB150" s="72"/>
      <c r="HEC150" s="72"/>
      <c r="HED150" s="72"/>
      <c r="HEE150" s="72"/>
      <c r="HEF150" s="72"/>
      <c r="HEG150" s="72"/>
      <c r="HEH150" s="72"/>
      <c r="HEI150" s="72"/>
      <c r="HEJ150" s="72"/>
      <c r="HEK150" s="72"/>
      <c r="HEL150" s="72"/>
      <c r="HEM150" s="72"/>
      <c r="HEN150" s="72"/>
      <c r="HEO150" s="72"/>
      <c r="HEP150" s="72"/>
      <c r="HEQ150" s="72"/>
      <c r="HER150" s="72"/>
      <c r="HES150" s="72"/>
      <c r="HET150" s="72"/>
      <c r="HEU150" s="72"/>
      <c r="HEV150" s="72"/>
      <c r="HEW150" s="72"/>
      <c r="HEX150" s="72"/>
      <c r="HEY150" s="72"/>
      <c r="HEZ150" s="72"/>
      <c r="HFA150" s="72"/>
      <c r="HFB150" s="72"/>
      <c r="HFC150" s="72"/>
      <c r="HFD150" s="72"/>
      <c r="HFE150" s="72"/>
      <c r="HFF150" s="72"/>
      <c r="HFG150" s="72"/>
      <c r="HFH150" s="72"/>
      <c r="HFI150" s="72"/>
      <c r="HFJ150" s="72"/>
      <c r="HFK150" s="72"/>
      <c r="HFL150" s="72"/>
      <c r="HFM150" s="72"/>
      <c r="HFN150" s="72"/>
      <c r="HFO150" s="72"/>
      <c r="HFP150" s="72"/>
      <c r="HFQ150" s="72"/>
      <c r="HFR150" s="72"/>
      <c r="HFS150" s="72"/>
      <c r="HFT150" s="72"/>
      <c r="HFU150" s="72"/>
      <c r="HFV150" s="72"/>
      <c r="HFW150" s="72"/>
      <c r="HFX150" s="72"/>
      <c r="HFY150" s="72"/>
      <c r="HFZ150" s="72"/>
      <c r="HGA150" s="72"/>
      <c r="HGB150" s="72"/>
      <c r="HGC150" s="72"/>
      <c r="HGD150" s="72"/>
      <c r="HGE150" s="72"/>
      <c r="HGF150" s="72"/>
      <c r="HGG150" s="72"/>
      <c r="HGH150" s="72"/>
      <c r="HGI150" s="72"/>
      <c r="HGJ150" s="72"/>
      <c r="HGK150" s="72"/>
      <c r="HGL150" s="72"/>
      <c r="HGM150" s="72"/>
      <c r="HGN150" s="72"/>
      <c r="HGO150" s="72"/>
      <c r="HGP150" s="72"/>
      <c r="HGQ150" s="72"/>
      <c r="HGR150" s="72"/>
      <c r="HGS150" s="72"/>
      <c r="HGT150" s="72"/>
      <c r="HGU150" s="72"/>
      <c r="HGV150" s="72"/>
      <c r="HGW150" s="72"/>
      <c r="HGX150" s="72"/>
      <c r="HGY150" s="72"/>
      <c r="HGZ150" s="72"/>
      <c r="HHA150" s="72"/>
      <c r="HHB150" s="72"/>
      <c r="HHC150" s="72"/>
      <c r="HHD150" s="72"/>
      <c r="HHE150" s="72"/>
      <c r="HHF150" s="72"/>
      <c r="HHG150" s="72"/>
      <c r="HHH150" s="72"/>
      <c r="HHI150" s="72"/>
      <c r="HHJ150" s="72"/>
      <c r="HHK150" s="72"/>
      <c r="HHL150" s="72"/>
      <c r="HHM150" s="72"/>
      <c r="HHN150" s="72"/>
      <c r="HHO150" s="72"/>
      <c r="HHP150" s="72"/>
      <c r="HHQ150" s="72"/>
      <c r="HHR150" s="72"/>
      <c r="HHS150" s="72"/>
      <c r="HHT150" s="72"/>
      <c r="HHU150" s="72"/>
      <c r="HHV150" s="72"/>
      <c r="HHW150" s="72"/>
      <c r="HHX150" s="72"/>
      <c r="HHY150" s="72"/>
      <c r="HHZ150" s="72"/>
      <c r="HIA150" s="72"/>
      <c r="HIB150" s="72"/>
      <c r="HIC150" s="72"/>
      <c r="HID150" s="72"/>
      <c r="HIE150" s="72"/>
      <c r="HIF150" s="72"/>
      <c r="HIG150" s="72"/>
      <c r="HIH150" s="72"/>
      <c r="HII150" s="72"/>
      <c r="HIJ150" s="72"/>
      <c r="HIK150" s="72"/>
      <c r="HIL150" s="72"/>
      <c r="HIM150" s="72"/>
      <c r="HIN150" s="72"/>
      <c r="HIO150" s="72"/>
      <c r="HIP150" s="72"/>
      <c r="HIQ150" s="72"/>
      <c r="HIR150" s="72"/>
      <c r="HIS150" s="72"/>
      <c r="HIT150" s="72"/>
      <c r="HIU150" s="72"/>
      <c r="HIV150" s="72"/>
      <c r="HIW150" s="72"/>
      <c r="HIX150" s="72"/>
      <c r="HIY150" s="72"/>
      <c r="HIZ150" s="72"/>
      <c r="HJA150" s="72"/>
      <c r="HJB150" s="72"/>
      <c r="HJC150" s="72"/>
      <c r="HJD150" s="72"/>
      <c r="HJE150" s="72"/>
      <c r="HJF150" s="72"/>
      <c r="HJG150" s="72"/>
      <c r="HJH150" s="72"/>
      <c r="HJI150" s="72"/>
      <c r="HJJ150" s="72"/>
      <c r="HJK150" s="72"/>
      <c r="HJL150" s="72"/>
      <c r="HJM150" s="72"/>
      <c r="HJN150" s="72"/>
      <c r="HJO150" s="72"/>
      <c r="HJP150" s="72"/>
      <c r="HJQ150" s="72"/>
      <c r="HJR150" s="72"/>
      <c r="HJS150" s="72"/>
      <c r="HJT150" s="72"/>
      <c r="HJU150" s="72"/>
      <c r="HJV150" s="72"/>
      <c r="HJW150" s="72"/>
      <c r="HJX150" s="72"/>
      <c r="HJY150" s="72"/>
      <c r="HJZ150" s="72"/>
      <c r="HKA150" s="72"/>
      <c r="HKB150" s="72"/>
      <c r="HKC150" s="72"/>
      <c r="HKD150" s="72"/>
      <c r="HKE150" s="72"/>
      <c r="HKF150" s="72"/>
      <c r="HKG150" s="72"/>
      <c r="HKH150" s="72"/>
      <c r="HKI150" s="72"/>
      <c r="HKJ150" s="72"/>
      <c r="HKK150" s="72"/>
      <c r="HKL150" s="72"/>
      <c r="HKM150" s="72"/>
      <c r="HKN150" s="72"/>
      <c r="HKO150" s="72"/>
      <c r="HKP150" s="72"/>
      <c r="HKQ150" s="72"/>
      <c r="HKR150" s="72"/>
      <c r="HKS150" s="72"/>
      <c r="HKT150" s="72"/>
      <c r="HKU150" s="72"/>
      <c r="HKV150" s="72"/>
      <c r="HKW150" s="72"/>
      <c r="HKX150" s="72"/>
      <c r="HKY150" s="72"/>
      <c r="HKZ150" s="72"/>
      <c r="HLA150" s="72"/>
      <c r="HLB150" s="72"/>
      <c r="HLC150" s="72"/>
      <c r="HLD150" s="72"/>
      <c r="HLE150" s="72"/>
      <c r="HLF150" s="72"/>
      <c r="HLG150" s="72"/>
      <c r="HLH150" s="72"/>
      <c r="HLI150" s="72"/>
      <c r="HLJ150" s="72"/>
      <c r="HLK150" s="72"/>
      <c r="HLL150" s="72"/>
      <c r="HLM150" s="72"/>
      <c r="HLN150" s="72"/>
      <c r="HLO150" s="72"/>
      <c r="HLP150" s="72"/>
      <c r="HLQ150" s="72"/>
      <c r="HLR150" s="72"/>
      <c r="HLS150" s="72"/>
      <c r="HLT150" s="72"/>
      <c r="HLU150" s="72"/>
      <c r="HLV150" s="72"/>
      <c r="HLW150" s="72"/>
      <c r="HLX150" s="72"/>
      <c r="HLY150" s="72"/>
      <c r="HLZ150" s="72"/>
      <c r="HMA150" s="72"/>
      <c r="HMB150" s="72"/>
      <c r="HMC150" s="72"/>
      <c r="HMD150" s="72"/>
      <c r="HME150" s="72"/>
      <c r="HMF150" s="72"/>
      <c r="HMG150" s="72"/>
      <c r="HMH150" s="72"/>
      <c r="HMI150" s="72"/>
      <c r="HMJ150" s="72"/>
      <c r="HMK150" s="72"/>
      <c r="HML150" s="72"/>
      <c r="HMM150" s="72"/>
      <c r="HMN150" s="72"/>
      <c r="HMO150" s="72"/>
      <c r="HMP150" s="72"/>
      <c r="HMQ150" s="72"/>
      <c r="HMR150" s="72"/>
      <c r="HMS150" s="72"/>
      <c r="HMT150" s="72"/>
      <c r="HMU150" s="72"/>
      <c r="HMV150" s="72"/>
      <c r="HMW150" s="72"/>
      <c r="HMX150" s="72"/>
      <c r="HMY150" s="72"/>
      <c r="HMZ150" s="72"/>
      <c r="HNA150" s="72"/>
      <c r="HNB150" s="72"/>
      <c r="HNC150" s="72"/>
      <c r="HND150" s="72"/>
      <c r="HNE150" s="72"/>
      <c r="HNF150" s="72"/>
      <c r="HNG150" s="72"/>
      <c r="HNH150" s="72"/>
      <c r="HNI150" s="72"/>
      <c r="HNJ150" s="72"/>
      <c r="HNK150" s="72"/>
      <c r="HNL150" s="72"/>
      <c r="HNM150" s="72"/>
      <c r="HNN150" s="72"/>
      <c r="HNO150" s="72"/>
      <c r="HNP150" s="72"/>
      <c r="HNQ150" s="72"/>
      <c r="HNR150" s="72"/>
      <c r="HNS150" s="72"/>
      <c r="HNT150" s="72"/>
      <c r="HNU150" s="72"/>
      <c r="HNV150" s="72"/>
      <c r="HNW150" s="72"/>
      <c r="HNX150" s="72"/>
      <c r="HNY150" s="72"/>
      <c r="HNZ150" s="72"/>
      <c r="HOA150" s="72"/>
      <c r="HOB150" s="72"/>
      <c r="HOC150" s="72"/>
      <c r="HOD150" s="72"/>
      <c r="HOE150" s="72"/>
      <c r="HOF150" s="72"/>
      <c r="HOG150" s="72"/>
      <c r="HOH150" s="72"/>
      <c r="HOI150" s="72"/>
      <c r="HOJ150" s="72"/>
      <c r="HOK150" s="72"/>
      <c r="HOL150" s="72"/>
      <c r="HOM150" s="72"/>
      <c r="HON150" s="72"/>
      <c r="HOO150" s="72"/>
      <c r="HOP150" s="72"/>
      <c r="HOQ150" s="72"/>
      <c r="HOR150" s="72"/>
      <c r="HOS150" s="72"/>
      <c r="HOT150" s="72"/>
      <c r="HOU150" s="72"/>
      <c r="HOV150" s="72"/>
      <c r="HOW150" s="72"/>
      <c r="HOX150" s="72"/>
      <c r="HOY150" s="72"/>
      <c r="HOZ150" s="72"/>
      <c r="HPA150" s="72"/>
      <c r="HPB150" s="72"/>
      <c r="HPC150" s="72"/>
      <c r="HPD150" s="72"/>
      <c r="HPE150" s="72"/>
      <c r="HPF150" s="72"/>
      <c r="HPG150" s="72"/>
      <c r="HPH150" s="72"/>
      <c r="HPI150" s="72"/>
      <c r="HPJ150" s="72"/>
      <c r="HPK150" s="72"/>
      <c r="HPL150" s="72"/>
      <c r="HPM150" s="72"/>
      <c r="HPN150" s="72"/>
      <c r="HPO150" s="72"/>
      <c r="HPP150" s="72"/>
      <c r="HPQ150" s="72"/>
      <c r="HPR150" s="72"/>
      <c r="HPS150" s="72"/>
      <c r="HPT150" s="72"/>
      <c r="HPU150" s="72"/>
      <c r="HPV150" s="72"/>
      <c r="HPW150" s="72"/>
      <c r="HPX150" s="72"/>
      <c r="HPY150" s="72"/>
      <c r="HPZ150" s="72"/>
      <c r="HQA150" s="72"/>
      <c r="HQB150" s="72"/>
      <c r="HQC150" s="72"/>
      <c r="HQD150" s="72"/>
      <c r="HQE150" s="72"/>
      <c r="HQF150" s="72"/>
      <c r="HQG150" s="72"/>
      <c r="HQH150" s="72"/>
      <c r="HQI150" s="72"/>
      <c r="HQJ150" s="72"/>
      <c r="HQK150" s="72"/>
      <c r="HQL150" s="72"/>
      <c r="HQM150" s="72"/>
      <c r="HQN150" s="72"/>
      <c r="HQO150" s="72"/>
      <c r="HQP150" s="72"/>
      <c r="HQQ150" s="72"/>
      <c r="HQR150" s="72"/>
      <c r="HQS150" s="72"/>
      <c r="HQT150" s="72"/>
      <c r="HQU150" s="72"/>
      <c r="HQV150" s="72"/>
      <c r="HQW150" s="72"/>
      <c r="HQX150" s="72"/>
      <c r="HQY150" s="72"/>
      <c r="HQZ150" s="72"/>
      <c r="HRA150" s="72"/>
      <c r="HRB150" s="72"/>
      <c r="HRC150" s="72"/>
      <c r="HRD150" s="72"/>
      <c r="HRE150" s="72"/>
      <c r="HRF150" s="72"/>
      <c r="HRG150" s="72"/>
      <c r="HRH150" s="72"/>
      <c r="HRI150" s="72"/>
      <c r="HRJ150" s="72"/>
      <c r="HRK150" s="72"/>
      <c r="HRL150" s="72"/>
      <c r="HRM150" s="72"/>
      <c r="HRN150" s="72"/>
      <c r="HRO150" s="72"/>
      <c r="HRP150" s="72"/>
      <c r="HRQ150" s="72"/>
      <c r="HRR150" s="72"/>
      <c r="HRS150" s="72"/>
      <c r="HRT150" s="72"/>
      <c r="HRU150" s="72"/>
      <c r="HRV150" s="72"/>
      <c r="HRW150" s="72"/>
      <c r="HRX150" s="72"/>
      <c r="HRY150" s="72"/>
      <c r="HRZ150" s="72"/>
      <c r="HSA150" s="72"/>
      <c r="HSB150" s="72"/>
      <c r="HSC150" s="72"/>
      <c r="HSD150" s="72"/>
      <c r="HSE150" s="72"/>
      <c r="HSF150" s="72"/>
      <c r="HSG150" s="72"/>
      <c r="HSH150" s="72"/>
      <c r="HSI150" s="72"/>
      <c r="HSJ150" s="72"/>
      <c r="HSK150" s="72"/>
      <c r="HSL150" s="72"/>
      <c r="HSM150" s="72"/>
      <c r="HSN150" s="72"/>
      <c r="HSO150" s="72"/>
      <c r="HSP150" s="72"/>
      <c r="HSQ150" s="72"/>
      <c r="HSR150" s="72"/>
      <c r="HSS150" s="72"/>
      <c r="HST150" s="72"/>
      <c r="HSU150" s="72"/>
      <c r="HSV150" s="72"/>
      <c r="HSW150" s="72"/>
      <c r="HSX150" s="72"/>
      <c r="HSY150" s="72"/>
      <c r="HSZ150" s="72"/>
      <c r="HTA150" s="72"/>
      <c r="HTB150" s="72"/>
      <c r="HTC150" s="72"/>
      <c r="HTD150" s="72"/>
      <c r="HTE150" s="72"/>
      <c r="HTF150" s="72"/>
      <c r="HTG150" s="72"/>
      <c r="HTH150" s="72"/>
      <c r="HTI150" s="72"/>
      <c r="HTJ150" s="72"/>
      <c r="HTK150" s="72"/>
      <c r="HTL150" s="72"/>
      <c r="HTM150" s="72"/>
      <c r="HTN150" s="72"/>
      <c r="HTO150" s="72"/>
      <c r="HTP150" s="72"/>
      <c r="HTQ150" s="72"/>
      <c r="HTR150" s="72"/>
      <c r="HTS150" s="72"/>
      <c r="HTT150" s="72"/>
      <c r="HTU150" s="72"/>
      <c r="HTV150" s="72"/>
      <c r="HTW150" s="72"/>
      <c r="HTX150" s="72"/>
      <c r="HTY150" s="72"/>
      <c r="HTZ150" s="72"/>
      <c r="HUA150" s="72"/>
      <c r="HUB150" s="72"/>
      <c r="HUC150" s="72"/>
      <c r="HUD150" s="72"/>
      <c r="HUE150" s="72"/>
      <c r="HUF150" s="72"/>
      <c r="HUG150" s="72"/>
      <c r="HUH150" s="72"/>
      <c r="HUI150" s="72"/>
      <c r="HUJ150" s="72"/>
      <c r="HUK150" s="72"/>
      <c r="HUL150" s="72"/>
      <c r="HUM150" s="72"/>
      <c r="HUN150" s="72"/>
      <c r="HUO150" s="72"/>
      <c r="HUP150" s="72"/>
      <c r="HUQ150" s="72"/>
      <c r="HUR150" s="72"/>
      <c r="HUS150" s="72"/>
      <c r="HUT150" s="72"/>
      <c r="HUU150" s="72"/>
      <c r="HUV150" s="72"/>
      <c r="HUW150" s="72"/>
      <c r="HUX150" s="72"/>
      <c r="HUY150" s="72"/>
      <c r="HUZ150" s="72"/>
      <c r="HVA150" s="72"/>
      <c r="HVB150" s="72"/>
      <c r="HVC150" s="72"/>
      <c r="HVD150" s="72"/>
      <c r="HVE150" s="72"/>
      <c r="HVF150" s="72"/>
      <c r="HVG150" s="72"/>
      <c r="HVH150" s="72"/>
      <c r="HVI150" s="72"/>
      <c r="HVJ150" s="72"/>
      <c r="HVK150" s="72"/>
      <c r="HVL150" s="72"/>
      <c r="HVM150" s="72"/>
      <c r="HVN150" s="72"/>
      <c r="HVO150" s="72"/>
      <c r="HVP150" s="72"/>
      <c r="HVQ150" s="72"/>
      <c r="HVR150" s="72"/>
      <c r="HVS150" s="72"/>
      <c r="HVT150" s="72"/>
      <c r="HVU150" s="72"/>
      <c r="HVV150" s="72"/>
      <c r="HVW150" s="72"/>
      <c r="HVX150" s="72"/>
      <c r="HVY150" s="72"/>
      <c r="HVZ150" s="72"/>
      <c r="HWA150" s="72"/>
      <c r="HWB150" s="72"/>
      <c r="HWC150" s="72"/>
      <c r="HWD150" s="72"/>
      <c r="HWE150" s="72"/>
      <c r="HWF150" s="72"/>
      <c r="HWG150" s="72"/>
      <c r="HWH150" s="72"/>
      <c r="HWI150" s="72"/>
      <c r="HWJ150" s="72"/>
      <c r="HWK150" s="72"/>
      <c r="HWL150" s="72"/>
      <c r="HWM150" s="72"/>
      <c r="HWN150" s="72"/>
      <c r="HWO150" s="72"/>
      <c r="HWP150" s="72"/>
      <c r="HWQ150" s="72"/>
      <c r="HWR150" s="72"/>
      <c r="HWS150" s="72"/>
      <c r="HWT150" s="72"/>
      <c r="HWU150" s="72"/>
      <c r="HWV150" s="72"/>
      <c r="HWW150" s="72"/>
      <c r="HWX150" s="72"/>
      <c r="HWY150" s="72"/>
      <c r="HWZ150" s="72"/>
      <c r="HXA150" s="72"/>
      <c r="HXB150" s="72"/>
      <c r="HXC150" s="72"/>
      <c r="HXD150" s="72"/>
      <c r="HXE150" s="72"/>
      <c r="HXF150" s="72"/>
      <c r="HXG150" s="72"/>
      <c r="HXH150" s="72"/>
      <c r="HXI150" s="72"/>
      <c r="HXJ150" s="72"/>
      <c r="HXK150" s="72"/>
      <c r="HXL150" s="72"/>
      <c r="HXM150" s="72"/>
      <c r="HXN150" s="72"/>
      <c r="HXO150" s="72"/>
      <c r="HXP150" s="72"/>
      <c r="HXQ150" s="72"/>
      <c r="HXR150" s="72"/>
      <c r="HXS150" s="72"/>
      <c r="HXT150" s="72"/>
      <c r="HXU150" s="72"/>
      <c r="HXV150" s="72"/>
      <c r="HXW150" s="72"/>
      <c r="HXX150" s="72"/>
      <c r="HXY150" s="72"/>
      <c r="HXZ150" s="72"/>
      <c r="HYA150" s="72"/>
      <c r="HYB150" s="72"/>
      <c r="HYC150" s="72"/>
      <c r="HYD150" s="72"/>
      <c r="HYE150" s="72"/>
      <c r="HYF150" s="72"/>
      <c r="HYG150" s="72"/>
      <c r="HYH150" s="72"/>
      <c r="HYI150" s="72"/>
      <c r="HYJ150" s="72"/>
      <c r="HYK150" s="72"/>
      <c r="HYL150" s="72"/>
      <c r="HYM150" s="72"/>
      <c r="HYN150" s="72"/>
      <c r="HYO150" s="72"/>
      <c r="HYP150" s="72"/>
      <c r="HYQ150" s="72"/>
      <c r="HYR150" s="72"/>
      <c r="HYS150" s="72"/>
      <c r="HYT150" s="72"/>
      <c r="HYU150" s="72"/>
      <c r="HYV150" s="72"/>
      <c r="HYW150" s="72"/>
      <c r="HYX150" s="72"/>
      <c r="HYY150" s="72"/>
      <c r="HYZ150" s="72"/>
      <c r="HZA150" s="72"/>
      <c r="HZB150" s="72"/>
      <c r="HZC150" s="72"/>
      <c r="HZD150" s="72"/>
      <c r="HZE150" s="72"/>
      <c r="HZF150" s="72"/>
      <c r="HZG150" s="72"/>
      <c r="HZH150" s="72"/>
      <c r="HZI150" s="72"/>
      <c r="HZJ150" s="72"/>
      <c r="HZK150" s="72"/>
      <c r="HZL150" s="72"/>
      <c r="HZM150" s="72"/>
      <c r="HZN150" s="72"/>
      <c r="HZO150" s="72"/>
      <c r="HZP150" s="72"/>
      <c r="HZQ150" s="72"/>
      <c r="HZR150" s="72"/>
      <c r="HZS150" s="72"/>
      <c r="HZT150" s="72"/>
      <c r="HZU150" s="72"/>
      <c r="HZV150" s="72"/>
      <c r="HZW150" s="72"/>
      <c r="HZX150" s="72"/>
      <c r="HZY150" s="72"/>
      <c r="HZZ150" s="72"/>
      <c r="IAA150" s="72"/>
      <c r="IAB150" s="72"/>
      <c r="IAC150" s="72"/>
      <c r="IAD150" s="72"/>
      <c r="IAE150" s="72"/>
      <c r="IAF150" s="72"/>
      <c r="IAG150" s="72"/>
      <c r="IAH150" s="72"/>
      <c r="IAI150" s="72"/>
      <c r="IAJ150" s="72"/>
      <c r="IAK150" s="72"/>
      <c r="IAL150" s="72"/>
      <c r="IAM150" s="72"/>
      <c r="IAN150" s="72"/>
      <c r="IAO150" s="72"/>
      <c r="IAP150" s="72"/>
      <c r="IAQ150" s="72"/>
      <c r="IAR150" s="72"/>
      <c r="IAS150" s="72"/>
      <c r="IAT150" s="72"/>
      <c r="IAU150" s="72"/>
      <c r="IAV150" s="72"/>
      <c r="IAW150" s="72"/>
      <c r="IAX150" s="72"/>
      <c r="IAY150" s="72"/>
      <c r="IAZ150" s="72"/>
      <c r="IBA150" s="72"/>
      <c r="IBB150" s="72"/>
      <c r="IBC150" s="72"/>
      <c r="IBD150" s="72"/>
      <c r="IBE150" s="72"/>
      <c r="IBF150" s="72"/>
      <c r="IBG150" s="72"/>
      <c r="IBH150" s="72"/>
      <c r="IBI150" s="72"/>
      <c r="IBJ150" s="72"/>
      <c r="IBK150" s="72"/>
      <c r="IBL150" s="72"/>
      <c r="IBM150" s="72"/>
      <c r="IBN150" s="72"/>
      <c r="IBO150" s="72"/>
      <c r="IBP150" s="72"/>
      <c r="IBQ150" s="72"/>
      <c r="IBR150" s="72"/>
      <c r="IBS150" s="72"/>
      <c r="IBT150" s="72"/>
      <c r="IBU150" s="72"/>
      <c r="IBV150" s="72"/>
      <c r="IBW150" s="72"/>
      <c r="IBX150" s="72"/>
      <c r="IBY150" s="72"/>
      <c r="IBZ150" s="72"/>
      <c r="ICA150" s="72"/>
      <c r="ICB150" s="72"/>
      <c r="ICC150" s="72"/>
      <c r="ICD150" s="72"/>
      <c r="ICE150" s="72"/>
      <c r="ICF150" s="72"/>
      <c r="ICG150" s="72"/>
      <c r="ICH150" s="72"/>
      <c r="ICI150" s="72"/>
      <c r="ICJ150" s="72"/>
      <c r="ICK150" s="72"/>
      <c r="ICL150" s="72"/>
      <c r="ICM150" s="72"/>
      <c r="ICN150" s="72"/>
      <c r="ICO150" s="72"/>
      <c r="ICP150" s="72"/>
      <c r="ICQ150" s="72"/>
      <c r="ICR150" s="72"/>
      <c r="ICS150" s="72"/>
      <c r="ICT150" s="72"/>
      <c r="ICU150" s="72"/>
      <c r="ICV150" s="72"/>
      <c r="ICW150" s="72"/>
      <c r="ICX150" s="72"/>
      <c r="ICY150" s="72"/>
      <c r="ICZ150" s="72"/>
      <c r="IDA150" s="72"/>
      <c r="IDB150" s="72"/>
      <c r="IDC150" s="72"/>
      <c r="IDD150" s="72"/>
      <c r="IDE150" s="72"/>
      <c r="IDF150" s="72"/>
      <c r="IDG150" s="72"/>
      <c r="IDH150" s="72"/>
      <c r="IDI150" s="72"/>
      <c r="IDJ150" s="72"/>
      <c r="IDK150" s="72"/>
      <c r="IDL150" s="72"/>
      <c r="IDM150" s="72"/>
      <c r="IDN150" s="72"/>
      <c r="IDO150" s="72"/>
      <c r="IDP150" s="72"/>
      <c r="IDQ150" s="72"/>
      <c r="IDR150" s="72"/>
      <c r="IDS150" s="72"/>
      <c r="IDT150" s="72"/>
      <c r="IDU150" s="72"/>
      <c r="IDV150" s="72"/>
      <c r="IDW150" s="72"/>
      <c r="IDX150" s="72"/>
      <c r="IDY150" s="72"/>
      <c r="IDZ150" s="72"/>
      <c r="IEA150" s="72"/>
      <c r="IEB150" s="72"/>
      <c r="IEC150" s="72"/>
      <c r="IED150" s="72"/>
      <c r="IEE150" s="72"/>
      <c r="IEF150" s="72"/>
      <c r="IEG150" s="72"/>
      <c r="IEH150" s="72"/>
      <c r="IEI150" s="72"/>
      <c r="IEJ150" s="72"/>
      <c r="IEK150" s="72"/>
      <c r="IEL150" s="72"/>
      <c r="IEM150" s="72"/>
      <c r="IEN150" s="72"/>
      <c r="IEO150" s="72"/>
      <c r="IEP150" s="72"/>
      <c r="IEQ150" s="72"/>
      <c r="IER150" s="72"/>
      <c r="IES150" s="72"/>
      <c r="IET150" s="72"/>
      <c r="IEU150" s="72"/>
      <c r="IEV150" s="72"/>
      <c r="IEW150" s="72"/>
      <c r="IEX150" s="72"/>
      <c r="IEY150" s="72"/>
      <c r="IEZ150" s="72"/>
      <c r="IFA150" s="72"/>
      <c r="IFB150" s="72"/>
      <c r="IFC150" s="72"/>
      <c r="IFD150" s="72"/>
      <c r="IFE150" s="72"/>
      <c r="IFF150" s="72"/>
      <c r="IFG150" s="72"/>
      <c r="IFH150" s="72"/>
      <c r="IFI150" s="72"/>
      <c r="IFJ150" s="72"/>
      <c r="IFK150" s="72"/>
      <c r="IFL150" s="72"/>
      <c r="IFM150" s="72"/>
      <c r="IFN150" s="72"/>
      <c r="IFO150" s="72"/>
      <c r="IFP150" s="72"/>
      <c r="IFQ150" s="72"/>
      <c r="IFR150" s="72"/>
      <c r="IFS150" s="72"/>
      <c r="IFT150" s="72"/>
      <c r="IFU150" s="72"/>
      <c r="IFV150" s="72"/>
      <c r="IFW150" s="72"/>
      <c r="IFX150" s="72"/>
      <c r="IFY150" s="72"/>
      <c r="IFZ150" s="72"/>
      <c r="IGA150" s="72"/>
      <c r="IGB150" s="72"/>
      <c r="IGC150" s="72"/>
      <c r="IGD150" s="72"/>
      <c r="IGE150" s="72"/>
      <c r="IGF150" s="72"/>
      <c r="IGG150" s="72"/>
      <c r="IGH150" s="72"/>
      <c r="IGI150" s="72"/>
      <c r="IGJ150" s="72"/>
      <c r="IGK150" s="72"/>
      <c r="IGL150" s="72"/>
      <c r="IGM150" s="72"/>
      <c r="IGN150" s="72"/>
      <c r="IGO150" s="72"/>
      <c r="IGP150" s="72"/>
      <c r="IGQ150" s="72"/>
      <c r="IGR150" s="72"/>
      <c r="IGS150" s="72"/>
      <c r="IGT150" s="72"/>
      <c r="IGU150" s="72"/>
      <c r="IGV150" s="72"/>
      <c r="IGW150" s="72"/>
      <c r="IGX150" s="72"/>
      <c r="IGY150" s="72"/>
      <c r="IGZ150" s="72"/>
      <c r="IHA150" s="72"/>
      <c r="IHB150" s="72"/>
      <c r="IHC150" s="72"/>
      <c r="IHD150" s="72"/>
      <c r="IHE150" s="72"/>
      <c r="IHF150" s="72"/>
      <c r="IHG150" s="72"/>
      <c r="IHH150" s="72"/>
      <c r="IHI150" s="72"/>
      <c r="IHJ150" s="72"/>
      <c r="IHK150" s="72"/>
      <c r="IHL150" s="72"/>
      <c r="IHM150" s="72"/>
      <c r="IHN150" s="72"/>
      <c r="IHO150" s="72"/>
      <c r="IHP150" s="72"/>
      <c r="IHQ150" s="72"/>
      <c r="IHR150" s="72"/>
      <c r="IHS150" s="72"/>
      <c r="IHT150" s="72"/>
      <c r="IHU150" s="72"/>
      <c r="IHV150" s="72"/>
      <c r="IHW150" s="72"/>
      <c r="IHX150" s="72"/>
      <c r="IHY150" s="72"/>
      <c r="IHZ150" s="72"/>
      <c r="IIA150" s="72"/>
      <c r="IIB150" s="72"/>
      <c r="IIC150" s="72"/>
      <c r="IID150" s="72"/>
      <c r="IIE150" s="72"/>
      <c r="IIF150" s="72"/>
      <c r="IIG150" s="72"/>
      <c r="IIH150" s="72"/>
      <c r="III150" s="72"/>
      <c r="IIJ150" s="72"/>
      <c r="IIK150" s="72"/>
      <c r="IIL150" s="72"/>
      <c r="IIM150" s="72"/>
      <c r="IIN150" s="72"/>
      <c r="IIO150" s="72"/>
      <c r="IIP150" s="72"/>
      <c r="IIQ150" s="72"/>
      <c r="IIR150" s="72"/>
      <c r="IIS150" s="72"/>
      <c r="IIT150" s="72"/>
      <c r="IIU150" s="72"/>
      <c r="IIV150" s="72"/>
      <c r="IIW150" s="72"/>
      <c r="IIX150" s="72"/>
      <c r="IIY150" s="72"/>
      <c r="IIZ150" s="72"/>
      <c r="IJA150" s="72"/>
      <c r="IJB150" s="72"/>
      <c r="IJC150" s="72"/>
      <c r="IJD150" s="72"/>
      <c r="IJE150" s="72"/>
      <c r="IJF150" s="72"/>
      <c r="IJG150" s="72"/>
      <c r="IJH150" s="72"/>
      <c r="IJI150" s="72"/>
      <c r="IJJ150" s="72"/>
      <c r="IJK150" s="72"/>
      <c r="IJL150" s="72"/>
      <c r="IJM150" s="72"/>
      <c r="IJN150" s="72"/>
      <c r="IJO150" s="72"/>
      <c r="IJP150" s="72"/>
      <c r="IJQ150" s="72"/>
      <c r="IJR150" s="72"/>
      <c r="IJS150" s="72"/>
      <c r="IJT150" s="72"/>
      <c r="IJU150" s="72"/>
      <c r="IJV150" s="72"/>
      <c r="IJW150" s="72"/>
      <c r="IJX150" s="72"/>
      <c r="IJY150" s="72"/>
      <c r="IJZ150" s="72"/>
      <c r="IKA150" s="72"/>
      <c r="IKB150" s="72"/>
      <c r="IKC150" s="72"/>
      <c r="IKD150" s="72"/>
      <c r="IKE150" s="72"/>
      <c r="IKF150" s="72"/>
      <c r="IKG150" s="72"/>
      <c r="IKH150" s="72"/>
      <c r="IKI150" s="72"/>
      <c r="IKJ150" s="72"/>
      <c r="IKK150" s="72"/>
      <c r="IKL150" s="72"/>
      <c r="IKM150" s="72"/>
      <c r="IKN150" s="72"/>
      <c r="IKO150" s="72"/>
      <c r="IKP150" s="72"/>
      <c r="IKQ150" s="72"/>
      <c r="IKR150" s="72"/>
      <c r="IKS150" s="72"/>
      <c r="IKT150" s="72"/>
      <c r="IKU150" s="72"/>
      <c r="IKV150" s="72"/>
      <c r="IKW150" s="72"/>
      <c r="IKX150" s="72"/>
      <c r="IKY150" s="72"/>
      <c r="IKZ150" s="72"/>
      <c r="ILA150" s="72"/>
      <c r="ILB150" s="72"/>
      <c r="ILC150" s="72"/>
      <c r="ILD150" s="72"/>
      <c r="ILE150" s="72"/>
      <c r="ILF150" s="72"/>
      <c r="ILG150" s="72"/>
      <c r="ILH150" s="72"/>
      <c r="ILI150" s="72"/>
      <c r="ILJ150" s="72"/>
      <c r="ILK150" s="72"/>
      <c r="ILL150" s="72"/>
      <c r="ILM150" s="72"/>
      <c r="ILN150" s="72"/>
      <c r="ILO150" s="72"/>
      <c r="ILP150" s="72"/>
      <c r="ILQ150" s="72"/>
      <c r="ILR150" s="72"/>
      <c r="ILS150" s="72"/>
      <c r="ILT150" s="72"/>
      <c r="ILU150" s="72"/>
      <c r="ILV150" s="72"/>
      <c r="ILW150" s="72"/>
      <c r="ILX150" s="72"/>
      <c r="ILY150" s="72"/>
      <c r="ILZ150" s="72"/>
      <c r="IMA150" s="72"/>
      <c r="IMB150" s="72"/>
      <c r="IMC150" s="72"/>
      <c r="IMD150" s="72"/>
      <c r="IME150" s="72"/>
      <c r="IMF150" s="72"/>
      <c r="IMG150" s="72"/>
      <c r="IMH150" s="72"/>
      <c r="IMI150" s="72"/>
      <c r="IMJ150" s="72"/>
      <c r="IMK150" s="72"/>
      <c r="IML150" s="72"/>
      <c r="IMM150" s="72"/>
      <c r="IMN150" s="72"/>
      <c r="IMO150" s="72"/>
      <c r="IMP150" s="72"/>
      <c r="IMQ150" s="72"/>
      <c r="IMR150" s="72"/>
      <c r="IMS150" s="72"/>
      <c r="IMT150" s="72"/>
      <c r="IMU150" s="72"/>
      <c r="IMV150" s="72"/>
      <c r="IMW150" s="72"/>
      <c r="IMX150" s="72"/>
      <c r="IMY150" s="72"/>
      <c r="IMZ150" s="72"/>
      <c r="INA150" s="72"/>
      <c r="INB150" s="72"/>
      <c r="INC150" s="72"/>
      <c r="IND150" s="72"/>
      <c r="INE150" s="72"/>
      <c r="INF150" s="72"/>
      <c r="ING150" s="72"/>
      <c r="INH150" s="72"/>
      <c r="INI150" s="72"/>
      <c r="INJ150" s="72"/>
      <c r="INK150" s="72"/>
      <c r="INL150" s="72"/>
      <c r="INM150" s="72"/>
      <c r="INN150" s="72"/>
      <c r="INO150" s="72"/>
      <c r="INP150" s="72"/>
      <c r="INQ150" s="72"/>
      <c r="INR150" s="72"/>
      <c r="INS150" s="72"/>
      <c r="INT150" s="72"/>
      <c r="INU150" s="72"/>
      <c r="INV150" s="72"/>
      <c r="INW150" s="72"/>
      <c r="INX150" s="72"/>
      <c r="INY150" s="72"/>
      <c r="INZ150" s="72"/>
      <c r="IOA150" s="72"/>
      <c r="IOB150" s="72"/>
      <c r="IOC150" s="72"/>
      <c r="IOD150" s="72"/>
      <c r="IOE150" s="72"/>
      <c r="IOF150" s="72"/>
      <c r="IOG150" s="72"/>
      <c r="IOH150" s="72"/>
      <c r="IOI150" s="72"/>
      <c r="IOJ150" s="72"/>
      <c r="IOK150" s="72"/>
      <c r="IOL150" s="72"/>
      <c r="IOM150" s="72"/>
      <c r="ION150" s="72"/>
      <c r="IOO150" s="72"/>
      <c r="IOP150" s="72"/>
      <c r="IOQ150" s="72"/>
      <c r="IOR150" s="72"/>
      <c r="IOS150" s="72"/>
      <c r="IOT150" s="72"/>
      <c r="IOU150" s="72"/>
      <c r="IOV150" s="72"/>
      <c r="IOW150" s="72"/>
      <c r="IOX150" s="72"/>
      <c r="IOY150" s="72"/>
      <c r="IOZ150" s="72"/>
      <c r="IPA150" s="72"/>
      <c r="IPB150" s="72"/>
      <c r="IPC150" s="72"/>
      <c r="IPD150" s="72"/>
      <c r="IPE150" s="72"/>
      <c r="IPF150" s="72"/>
      <c r="IPG150" s="72"/>
      <c r="IPH150" s="72"/>
      <c r="IPI150" s="72"/>
      <c r="IPJ150" s="72"/>
      <c r="IPK150" s="72"/>
      <c r="IPL150" s="72"/>
      <c r="IPM150" s="72"/>
      <c r="IPN150" s="72"/>
      <c r="IPO150" s="72"/>
      <c r="IPP150" s="72"/>
      <c r="IPQ150" s="72"/>
      <c r="IPR150" s="72"/>
      <c r="IPS150" s="72"/>
      <c r="IPT150" s="72"/>
      <c r="IPU150" s="72"/>
      <c r="IPV150" s="72"/>
      <c r="IPW150" s="72"/>
      <c r="IPX150" s="72"/>
      <c r="IPY150" s="72"/>
      <c r="IPZ150" s="72"/>
      <c r="IQA150" s="72"/>
      <c r="IQB150" s="72"/>
      <c r="IQC150" s="72"/>
      <c r="IQD150" s="72"/>
      <c r="IQE150" s="72"/>
      <c r="IQF150" s="72"/>
      <c r="IQG150" s="72"/>
      <c r="IQH150" s="72"/>
      <c r="IQI150" s="72"/>
      <c r="IQJ150" s="72"/>
      <c r="IQK150" s="72"/>
      <c r="IQL150" s="72"/>
      <c r="IQM150" s="72"/>
      <c r="IQN150" s="72"/>
      <c r="IQO150" s="72"/>
      <c r="IQP150" s="72"/>
      <c r="IQQ150" s="72"/>
      <c r="IQR150" s="72"/>
      <c r="IQS150" s="72"/>
      <c r="IQT150" s="72"/>
      <c r="IQU150" s="72"/>
      <c r="IQV150" s="72"/>
      <c r="IQW150" s="72"/>
      <c r="IQX150" s="72"/>
      <c r="IQY150" s="72"/>
      <c r="IQZ150" s="72"/>
      <c r="IRA150" s="72"/>
      <c r="IRB150" s="72"/>
      <c r="IRC150" s="72"/>
      <c r="IRD150" s="72"/>
      <c r="IRE150" s="72"/>
      <c r="IRF150" s="72"/>
      <c r="IRG150" s="72"/>
      <c r="IRH150" s="72"/>
      <c r="IRI150" s="72"/>
      <c r="IRJ150" s="72"/>
      <c r="IRK150" s="72"/>
      <c r="IRL150" s="72"/>
      <c r="IRM150" s="72"/>
      <c r="IRN150" s="72"/>
      <c r="IRO150" s="72"/>
      <c r="IRP150" s="72"/>
      <c r="IRQ150" s="72"/>
      <c r="IRR150" s="72"/>
      <c r="IRS150" s="72"/>
      <c r="IRT150" s="72"/>
      <c r="IRU150" s="72"/>
      <c r="IRV150" s="72"/>
      <c r="IRW150" s="72"/>
      <c r="IRX150" s="72"/>
      <c r="IRY150" s="72"/>
      <c r="IRZ150" s="72"/>
      <c r="ISA150" s="72"/>
      <c r="ISB150" s="72"/>
      <c r="ISC150" s="72"/>
      <c r="ISD150" s="72"/>
      <c r="ISE150" s="72"/>
      <c r="ISF150" s="72"/>
      <c r="ISG150" s="72"/>
      <c r="ISH150" s="72"/>
      <c r="ISI150" s="72"/>
      <c r="ISJ150" s="72"/>
      <c r="ISK150" s="72"/>
      <c r="ISL150" s="72"/>
      <c r="ISM150" s="72"/>
      <c r="ISN150" s="72"/>
      <c r="ISO150" s="72"/>
      <c r="ISP150" s="72"/>
      <c r="ISQ150" s="72"/>
      <c r="ISR150" s="72"/>
      <c r="ISS150" s="72"/>
      <c r="IST150" s="72"/>
      <c r="ISU150" s="72"/>
      <c r="ISV150" s="72"/>
      <c r="ISW150" s="72"/>
      <c r="ISX150" s="72"/>
      <c r="ISY150" s="72"/>
      <c r="ISZ150" s="72"/>
      <c r="ITA150" s="72"/>
      <c r="ITB150" s="72"/>
      <c r="ITC150" s="72"/>
      <c r="ITD150" s="72"/>
      <c r="ITE150" s="72"/>
      <c r="ITF150" s="72"/>
      <c r="ITG150" s="72"/>
      <c r="ITH150" s="72"/>
      <c r="ITI150" s="72"/>
      <c r="ITJ150" s="72"/>
      <c r="ITK150" s="72"/>
      <c r="ITL150" s="72"/>
      <c r="ITM150" s="72"/>
      <c r="ITN150" s="72"/>
      <c r="ITO150" s="72"/>
      <c r="ITP150" s="72"/>
      <c r="ITQ150" s="72"/>
      <c r="ITR150" s="72"/>
      <c r="ITS150" s="72"/>
      <c r="ITT150" s="72"/>
      <c r="ITU150" s="72"/>
      <c r="ITV150" s="72"/>
      <c r="ITW150" s="72"/>
      <c r="ITX150" s="72"/>
      <c r="ITY150" s="72"/>
      <c r="ITZ150" s="72"/>
      <c r="IUA150" s="72"/>
      <c r="IUB150" s="72"/>
      <c r="IUC150" s="72"/>
      <c r="IUD150" s="72"/>
      <c r="IUE150" s="72"/>
      <c r="IUF150" s="72"/>
      <c r="IUG150" s="72"/>
      <c r="IUH150" s="72"/>
      <c r="IUI150" s="72"/>
      <c r="IUJ150" s="72"/>
      <c r="IUK150" s="72"/>
      <c r="IUL150" s="72"/>
      <c r="IUM150" s="72"/>
      <c r="IUN150" s="72"/>
      <c r="IUO150" s="72"/>
      <c r="IUP150" s="72"/>
      <c r="IUQ150" s="72"/>
      <c r="IUR150" s="72"/>
      <c r="IUS150" s="72"/>
      <c r="IUT150" s="72"/>
      <c r="IUU150" s="72"/>
      <c r="IUV150" s="72"/>
      <c r="IUW150" s="72"/>
      <c r="IUX150" s="72"/>
      <c r="IUY150" s="72"/>
      <c r="IUZ150" s="72"/>
      <c r="IVA150" s="72"/>
      <c r="IVB150" s="72"/>
      <c r="IVC150" s="72"/>
      <c r="IVD150" s="72"/>
      <c r="IVE150" s="72"/>
      <c r="IVF150" s="72"/>
      <c r="IVG150" s="72"/>
      <c r="IVH150" s="72"/>
      <c r="IVI150" s="72"/>
      <c r="IVJ150" s="72"/>
      <c r="IVK150" s="72"/>
      <c r="IVL150" s="72"/>
      <c r="IVM150" s="72"/>
      <c r="IVN150" s="72"/>
      <c r="IVO150" s="72"/>
      <c r="IVP150" s="72"/>
      <c r="IVQ150" s="72"/>
      <c r="IVR150" s="72"/>
      <c r="IVS150" s="72"/>
      <c r="IVT150" s="72"/>
      <c r="IVU150" s="72"/>
      <c r="IVV150" s="72"/>
      <c r="IVW150" s="72"/>
      <c r="IVX150" s="72"/>
      <c r="IVY150" s="72"/>
      <c r="IVZ150" s="72"/>
      <c r="IWA150" s="72"/>
      <c r="IWB150" s="72"/>
      <c r="IWC150" s="72"/>
      <c r="IWD150" s="72"/>
      <c r="IWE150" s="72"/>
      <c r="IWF150" s="72"/>
      <c r="IWG150" s="72"/>
      <c r="IWH150" s="72"/>
      <c r="IWI150" s="72"/>
      <c r="IWJ150" s="72"/>
      <c r="IWK150" s="72"/>
      <c r="IWL150" s="72"/>
      <c r="IWM150" s="72"/>
      <c r="IWN150" s="72"/>
      <c r="IWO150" s="72"/>
      <c r="IWP150" s="72"/>
      <c r="IWQ150" s="72"/>
      <c r="IWR150" s="72"/>
      <c r="IWS150" s="72"/>
      <c r="IWT150" s="72"/>
      <c r="IWU150" s="72"/>
      <c r="IWV150" s="72"/>
      <c r="IWW150" s="72"/>
      <c r="IWX150" s="72"/>
      <c r="IWY150" s="72"/>
      <c r="IWZ150" s="72"/>
      <c r="IXA150" s="72"/>
      <c r="IXB150" s="72"/>
      <c r="IXC150" s="72"/>
      <c r="IXD150" s="72"/>
      <c r="IXE150" s="72"/>
      <c r="IXF150" s="72"/>
      <c r="IXG150" s="72"/>
      <c r="IXH150" s="72"/>
      <c r="IXI150" s="72"/>
      <c r="IXJ150" s="72"/>
      <c r="IXK150" s="72"/>
      <c r="IXL150" s="72"/>
      <c r="IXM150" s="72"/>
      <c r="IXN150" s="72"/>
      <c r="IXO150" s="72"/>
      <c r="IXP150" s="72"/>
      <c r="IXQ150" s="72"/>
      <c r="IXR150" s="72"/>
      <c r="IXS150" s="72"/>
      <c r="IXT150" s="72"/>
      <c r="IXU150" s="72"/>
      <c r="IXV150" s="72"/>
      <c r="IXW150" s="72"/>
      <c r="IXX150" s="72"/>
      <c r="IXY150" s="72"/>
      <c r="IXZ150" s="72"/>
      <c r="IYA150" s="72"/>
      <c r="IYB150" s="72"/>
      <c r="IYC150" s="72"/>
      <c r="IYD150" s="72"/>
      <c r="IYE150" s="72"/>
      <c r="IYF150" s="72"/>
      <c r="IYG150" s="72"/>
      <c r="IYH150" s="72"/>
      <c r="IYI150" s="72"/>
      <c r="IYJ150" s="72"/>
      <c r="IYK150" s="72"/>
      <c r="IYL150" s="72"/>
      <c r="IYM150" s="72"/>
      <c r="IYN150" s="72"/>
      <c r="IYO150" s="72"/>
      <c r="IYP150" s="72"/>
      <c r="IYQ150" s="72"/>
      <c r="IYR150" s="72"/>
      <c r="IYS150" s="72"/>
      <c r="IYT150" s="72"/>
      <c r="IYU150" s="72"/>
      <c r="IYV150" s="72"/>
      <c r="IYW150" s="72"/>
      <c r="IYX150" s="72"/>
      <c r="IYY150" s="72"/>
      <c r="IYZ150" s="72"/>
      <c r="IZA150" s="72"/>
      <c r="IZB150" s="72"/>
      <c r="IZC150" s="72"/>
      <c r="IZD150" s="72"/>
      <c r="IZE150" s="72"/>
      <c r="IZF150" s="72"/>
      <c r="IZG150" s="72"/>
      <c r="IZH150" s="72"/>
      <c r="IZI150" s="72"/>
      <c r="IZJ150" s="72"/>
      <c r="IZK150" s="72"/>
      <c r="IZL150" s="72"/>
      <c r="IZM150" s="72"/>
      <c r="IZN150" s="72"/>
      <c r="IZO150" s="72"/>
      <c r="IZP150" s="72"/>
      <c r="IZQ150" s="72"/>
      <c r="IZR150" s="72"/>
      <c r="IZS150" s="72"/>
      <c r="IZT150" s="72"/>
      <c r="IZU150" s="72"/>
      <c r="IZV150" s="72"/>
      <c r="IZW150" s="72"/>
      <c r="IZX150" s="72"/>
      <c r="IZY150" s="72"/>
      <c r="IZZ150" s="72"/>
      <c r="JAA150" s="72"/>
      <c r="JAB150" s="72"/>
      <c r="JAC150" s="72"/>
      <c r="JAD150" s="72"/>
      <c r="JAE150" s="72"/>
      <c r="JAF150" s="72"/>
      <c r="JAG150" s="72"/>
      <c r="JAH150" s="72"/>
      <c r="JAI150" s="72"/>
      <c r="JAJ150" s="72"/>
      <c r="JAK150" s="72"/>
      <c r="JAL150" s="72"/>
      <c r="JAM150" s="72"/>
      <c r="JAN150" s="72"/>
      <c r="JAO150" s="72"/>
      <c r="JAP150" s="72"/>
      <c r="JAQ150" s="72"/>
      <c r="JAR150" s="72"/>
      <c r="JAS150" s="72"/>
      <c r="JAT150" s="72"/>
      <c r="JAU150" s="72"/>
      <c r="JAV150" s="72"/>
      <c r="JAW150" s="72"/>
      <c r="JAX150" s="72"/>
      <c r="JAY150" s="72"/>
      <c r="JAZ150" s="72"/>
      <c r="JBA150" s="72"/>
      <c r="JBB150" s="72"/>
      <c r="JBC150" s="72"/>
      <c r="JBD150" s="72"/>
      <c r="JBE150" s="72"/>
      <c r="JBF150" s="72"/>
      <c r="JBG150" s="72"/>
      <c r="JBH150" s="72"/>
      <c r="JBI150" s="72"/>
      <c r="JBJ150" s="72"/>
      <c r="JBK150" s="72"/>
      <c r="JBL150" s="72"/>
      <c r="JBM150" s="72"/>
      <c r="JBN150" s="72"/>
      <c r="JBO150" s="72"/>
      <c r="JBP150" s="72"/>
      <c r="JBQ150" s="72"/>
      <c r="JBR150" s="72"/>
      <c r="JBS150" s="72"/>
      <c r="JBT150" s="72"/>
      <c r="JBU150" s="72"/>
      <c r="JBV150" s="72"/>
      <c r="JBW150" s="72"/>
      <c r="JBX150" s="72"/>
      <c r="JBY150" s="72"/>
      <c r="JBZ150" s="72"/>
      <c r="JCA150" s="72"/>
      <c r="JCB150" s="72"/>
      <c r="JCC150" s="72"/>
      <c r="JCD150" s="72"/>
      <c r="JCE150" s="72"/>
      <c r="JCF150" s="72"/>
      <c r="JCG150" s="72"/>
      <c r="JCH150" s="72"/>
      <c r="JCI150" s="72"/>
      <c r="JCJ150" s="72"/>
      <c r="JCK150" s="72"/>
      <c r="JCL150" s="72"/>
      <c r="JCM150" s="72"/>
      <c r="JCN150" s="72"/>
      <c r="JCO150" s="72"/>
      <c r="JCP150" s="72"/>
      <c r="JCQ150" s="72"/>
      <c r="JCR150" s="72"/>
      <c r="JCS150" s="72"/>
      <c r="JCT150" s="72"/>
      <c r="JCU150" s="72"/>
      <c r="JCV150" s="72"/>
      <c r="JCW150" s="72"/>
      <c r="JCX150" s="72"/>
      <c r="JCY150" s="72"/>
      <c r="JCZ150" s="72"/>
      <c r="JDA150" s="72"/>
      <c r="JDB150" s="72"/>
      <c r="JDC150" s="72"/>
      <c r="JDD150" s="72"/>
      <c r="JDE150" s="72"/>
      <c r="JDF150" s="72"/>
      <c r="JDG150" s="72"/>
      <c r="JDH150" s="72"/>
      <c r="JDI150" s="72"/>
      <c r="JDJ150" s="72"/>
      <c r="JDK150" s="72"/>
      <c r="JDL150" s="72"/>
      <c r="JDM150" s="72"/>
      <c r="JDN150" s="72"/>
      <c r="JDO150" s="72"/>
      <c r="JDP150" s="72"/>
      <c r="JDQ150" s="72"/>
      <c r="JDR150" s="72"/>
      <c r="JDS150" s="72"/>
      <c r="JDT150" s="72"/>
      <c r="JDU150" s="72"/>
      <c r="JDV150" s="72"/>
      <c r="JDW150" s="72"/>
      <c r="JDX150" s="72"/>
      <c r="JDY150" s="72"/>
      <c r="JDZ150" s="72"/>
      <c r="JEA150" s="72"/>
      <c r="JEB150" s="72"/>
      <c r="JEC150" s="72"/>
      <c r="JED150" s="72"/>
      <c r="JEE150" s="72"/>
      <c r="JEF150" s="72"/>
      <c r="JEG150" s="72"/>
      <c r="JEH150" s="72"/>
      <c r="JEI150" s="72"/>
      <c r="JEJ150" s="72"/>
      <c r="JEK150" s="72"/>
      <c r="JEL150" s="72"/>
      <c r="JEM150" s="72"/>
      <c r="JEN150" s="72"/>
      <c r="JEO150" s="72"/>
      <c r="JEP150" s="72"/>
      <c r="JEQ150" s="72"/>
      <c r="JER150" s="72"/>
      <c r="JES150" s="72"/>
      <c r="JET150" s="72"/>
      <c r="JEU150" s="72"/>
      <c r="JEV150" s="72"/>
      <c r="JEW150" s="72"/>
      <c r="JEX150" s="72"/>
      <c r="JEY150" s="72"/>
      <c r="JEZ150" s="72"/>
      <c r="JFA150" s="72"/>
      <c r="JFB150" s="72"/>
      <c r="JFC150" s="72"/>
      <c r="JFD150" s="72"/>
      <c r="JFE150" s="72"/>
      <c r="JFF150" s="72"/>
      <c r="JFG150" s="72"/>
      <c r="JFH150" s="72"/>
      <c r="JFI150" s="72"/>
      <c r="JFJ150" s="72"/>
      <c r="JFK150" s="72"/>
      <c r="JFL150" s="72"/>
      <c r="JFM150" s="72"/>
      <c r="JFN150" s="72"/>
      <c r="JFO150" s="72"/>
      <c r="JFP150" s="72"/>
      <c r="JFQ150" s="72"/>
      <c r="JFR150" s="72"/>
      <c r="JFS150" s="72"/>
      <c r="JFT150" s="72"/>
      <c r="JFU150" s="72"/>
      <c r="JFV150" s="72"/>
      <c r="JFW150" s="72"/>
      <c r="JFX150" s="72"/>
      <c r="JFY150" s="72"/>
      <c r="JFZ150" s="72"/>
      <c r="JGA150" s="72"/>
      <c r="JGB150" s="72"/>
      <c r="JGC150" s="72"/>
      <c r="JGD150" s="72"/>
      <c r="JGE150" s="72"/>
      <c r="JGF150" s="72"/>
      <c r="JGG150" s="72"/>
      <c r="JGH150" s="72"/>
      <c r="JGI150" s="72"/>
      <c r="JGJ150" s="72"/>
      <c r="JGK150" s="72"/>
      <c r="JGL150" s="72"/>
      <c r="JGM150" s="72"/>
      <c r="JGN150" s="72"/>
      <c r="JGO150" s="72"/>
      <c r="JGP150" s="72"/>
      <c r="JGQ150" s="72"/>
      <c r="JGR150" s="72"/>
      <c r="JGS150" s="72"/>
      <c r="JGT150" s="72"/>
      <c r="JGU150" s="72"/>
      <c r="JGV150" s="72"/>
      <c r="JGW150" s="72"/>
      <c r="JGX150" s="72"/>
      <c r="JGY150" s="72"/>
      <c r="JGZ150" s="72"/>
      <c r="JHA150" s="72"/>
      <c r="JHB150" s="72"/>
      <c r="JHC150" s="72"/>
      <c r="JHD150" s="72"/>
      <c r="JHE150" s="72"/>
      <c r="JHF150" s="72"/>
      <c r="JHG150" s="72"/>
      <c r="JHH150" s="72"/>
      <c r="JHI150" s="72"/>
      <c r="JHJ150" s="72"/>
      <c r="JHK150" s="72"/>
      <c r="JHL150" s="72"/>
      <c r="JHM150" s="72"/>
      <c r="JHN150" s="72"/>
      <c r="JHO150" s="72"/>
      <c r="JHP150" s="72"/>
      <c r="JHQ150" s="72"/>
      <c r="JHR150" s="72"/>
      <c r="JHS150" s="72"/>
      <c r="JHT150" s="72"/>
      <c r="JHU150" s="72"/>
      <c r="JHV150" s="72"/>
      <c r="JHW150" s="72"/>
      <c r="JHX150" s="72"/>
      <c r="JHY150" s="72"/>
      <c r="JHZ150" s="72"/>
      <c r="JIA150" s="72"/>
      <c r="JIB150" s="72"/>
      <c r="JIC150" s="72"/>
      <c r="JID150" s="72"/>
      <c r="JIE150" s="72"/>
      <c r="JIF150" s="72"/>
      <c r="JIG150" s="72"/>
      <c r="JIH150" s="72"/>
      <c r="JII150" s="72"/>
      <c r="JIJ150" s="72"/>
      <c r="JIK150" s="72"/>
      <c r="JIL150" s="72"/>
      <c r="JIM150" s="72"/>
      <c r="JIN150" s="72"/>
      <c r="JIO150" s="72"/>
      <c r="JIP150" s="72"/>
      <c r="JIQ150" s="72"/>
      <c r="JIR150" s="72"/>
      <c r="JIS150" s="72"/>
      <c r="JIT150" s="72"/>
      <c r="JIU150" s="72"/>
      <c r="JIV150" s="72"/>
      <c r="JIW150" s="72"/>
      <c r="JIX150" s="72"/>
      <c r="JIY150" s="72"/>
      <c r="JIZ150" s="72"/>
      <c r="JJA150" s="72"/>
      <c r="JJB150" s="72"/>
      <c r="JJC150" s="72"/>
      <c r="JJD150" s="72"/>
      <c r="JJE150" s="72"/>
      <c r="JJF150" s="72"/>
      <c r="JJG150" s="72"/>
      <c r="JJH150" s="72"/>
      <c r="JJI150" s="72"/>
      <c r="JJJ150" s="72"/>
      <c r="JJK150" s="72"/>
      <c r="JJL150" s="72"/>
      <c r="JJM150" s="72"/>
      <c r="JJN150" s="72"/>
      <c r="JJO150" s="72"/>
      <c r="JJP150" s="72"/>
      <c r="JJQ150" s="72"/>
      <c r="JJR150" s="72"/>
      <c r="JJS150" s="72"/>
      <c r="JJT150" s="72"/>
      <c r="JJU150" s="72"/>
      <c r="JJV150" s="72"/>
      <c r="JJW150" s="72"/>
      <c r="JJX150" s="72"/>
      <c r="JJY150" s="72"/>
      <c r="JJZ150" s="72"/>
      <c r="JKA150" s="72"/>
      <c r="JKB150" s="72"/>
      <c r="JKC150" s="72"/>
      <c r="JKD150" s="72"/>
      <c r="JKE150" s="72"/>
      <c r="JKF150" s="72"/>
      <c r="JKG150" s="72"/>
      <c r="JKH150" s="72"/>
      <c r="JKI150" s="72"/>
      <c r="JKJ150" s="72"/>
      <c r="JKK150" s="72"/>
      <c r="JKL150" s="72"/>
      <c r="JKM150" s="72"/>
      <c r="JKN150" s="72"/>
      <c r="JKO150" s="72"/>
      <c r="JKP150" s="72"/>
      <c r="JKQ150" s="72"/>
      <c r="JKR150" s="72"/>
      <c r="JKS150" s="72"/>
      <c r="JKT150" s="72"/>
      <c r="JKU150" s="72"/>
      <c r="JKV150" s="72"/>
      <c r="JKW150" s="72"/>
      <c r="JKX150" s="72"/>
      <c r="JKY150" s="72"/>
      <c r="JKZ150" s="72"/>
      <c r="JLA150" s="72"/>
      <c r="JLB150" s="72"/>
      <c r="JLC150" s="72"/>
      <c r="JLD150" s="72"/>
      <c r="JLE150" s="72"/>
      <c r="JLF150" s="72"/>
      <c r="JLG150" s="72"/>
      <c r="JLH150" s="72"/>
      <c r="JLI150" s="72"/>
      <c r="JLJ150" s="72"/>
      <c r="JLK150" s="72"/>
      <c r="JLL150" s="72"/>
      <c r="JLM150" s="72"/>
      <c r="JLN150" s="72"/>
      <c r="JLO150" s="72"/>
      <c r="JLP150" s="72"/>
      <c r="JLQ150" s="72"/>
      <c r="JLR150" s="72"/>
      <c r="JLS150" s="72"/>
      <c r="JLT150" s="72"/>
      <c r="JLU150" s="72"/>
      <c r="JLV150" s="72"/>
      <c r="JLW150" s="72"/>
      <c r="JLX150" s="72"/>
      <c r="JLY150" s="72"/>
      <c r="JLZ150" s="72"/>
      <c r="JMA150" s="72"/>
      <c r="JMB150" s="72"/>
      <c r="JMC150" s="72"/>
      <c r="JMD150" s="72"/>
      <c r="JME150" s="72"/>
      <c r="JMF150" s="72"/>
      <c r="JMG150" s="72"/>
      <c r="JMH150" s="72"/>
      <c r="JMI150" s="72"/>
      <c r="JMJ150" s="72"/>
      <c r="JMK150" s="72"/>
      <c r="JML150" s="72"/>
      <c r="JMM150" s="72"/>
      <c r="JMN150" s="72"/>
      <c r="JMO150" s="72"/>
      <c r="JMP150" s="72"/>
      <c r="JMQ150" s="72"/>
      <c r="JMR150" s="72"/>
      <c r="JMS150" s="72"/>
      <c r="JMT150" s="72"/>
      <c r="JMU150" s="72"/>
      <c r="JMV150" s="72"/>
      <c r="JMW150" s="72"/>
      <c r="JMX150" s="72"/>
      <c r="JMY150" s="72"/>
      <c r="JMZ150" s="72"/>
      <c r="JNA150" s="72"/>
      <c r="JNB150" s="72"/>
      <c r="JNC150" s="72"/>
      <c r="JND150" s="72"/>
      <c r="JNE150" s="72"/>
      <c r="JNF150" s="72"/>
      <c r="JNG150" s="72"/>
      <c r="JNH150" s="72"/>
      <c r="JNI150" s="72"/>
      <c r="JNJ150" s="72"/>
      <c r="JNK150" s="72"/>
      <c r="JNL150" s="72"/>
      <c r="JNM150" s="72"/>
      <c r="JNN150" s="72"/>
      <c r="JNO150" s="72"/>
      <c r="JNP150" s="72"/>
      <c r="JNQ150" s="72"/>
      <c r="JNR150" s="72"/>
      <c r="JNS150" s="72"/>
      <c r="JNT150" s="72"/>
      <c r="JNU150" s="72"/>
      <c r="JNV150" s="72"/>
      <c r="JNW150" s="72"/>
      <c r="JNX150" s="72"/>
      <c r="JNY150" s="72"/>
      <c r="JNZ150" s="72"/>
      <c r="JOA150" s="72"/>
      <c r="JOB150" s="72"/>
      <c r="JOC150" s="72"/>
      <c r="JOD150" s="72"/>
      <c r="JOE150" s="72"/>
      <c r="JOF150" s="72"/>
      <c r="JOG150" s="72"/>
      <c r="JOH150" s="72"/>
      <c r="JOI150" s="72"/>
      <c r="JOJ150" s="72"/>
      <c r="JOK150" s="72"/>
      <c r="JOL150" s="72"/>
      <c r="JOM150" s="72"/>
      <c r="JON150" s="72"/>
      <c r="JOO150" s="72"/>
      <c r="JOP150" s="72"/>
      <c r="JOQ150" s="72"/>
      <c r="JOR150" s="72"/>
      <c r="JOS150" s="72"/>
      <c r="JOT150" s="72"/>
      <c r="JOU150" s="72"/>
      <c r="JOV150" s="72"/>
      <c r="JOW150" s="72"/>
      <c r="JOX150" s="72"/>
      <c r="JOY150" s="72"/>
      <c r="JOZ150" s="72"/>
      <c r="JPA150" s="72"/>
      <c r="JPB150" s="72"/>
      <c r="JPC150" s="72"/>
      <c r="JPD150" s="72"/>
      <c r="JPE150" s="72"/>
      <c r="JPF150" s="72"/>
      <c r="JPG150" s="72"/>
      <c r="JPH150" s="72"/>
      <c r="JPI150" s="72"/>
      <c r="JPJ150" s="72"/>
      <c r="JPK150" s="72"/>
      <c r="JPL150" s="72"/>
      <c r="JPM150" s="72"/>
      <c r="JPN150" s="72"/>
      <c r="JPO150" s="72"/>
      <c r="JPP150" s="72"/>
      <c r="JPQ150" s="72"/>
      <c r="JPR150" s="72"/>
      <c r="JPS150" s="72"/>
      <c r="JPT150" s="72"/>
      <c r="JPU150" s="72"/>
      <c r="JPV150" s="72"/>
      <c r="JPW150" s="72"/>
      <c r="JPX150" s="72"/>
      <c r="JPY150" s="72"/>
      <c r="JPZ150" s="72"/>
      <c r="JQA150" s="72"/>
      <c r="JQB150" s="72"/>
      <c r="JQC150" s="72"/>
      <c r="JQD150" s="72"/>
      <c r="JQE150" s="72"/>
      <c r="JQF150" s="72"/>
      <c r="JQG150" s="72"/>
      <c r="JQH150" s="72"/>
      <c r="JQI150" s="72"/>
      <c r="JQJ150" s="72"/>
      <c r="JQK150" s="72"/>
      <c r="JQL150" s="72"/>
      <c r="JQM150" s="72"/>
      <c r="JQN150" s="72"/>
      <c r="JQO150" s="72"/>
      <c r="JQP150" s="72"/>
      <c r="JQQ150" s="72"/>
      <c r="JQR150" s="72"/>
      <c r="JQS150" s="72"/>
      <c r="JQT150" s="72"/>
      <c r="JQU150" s="72"/>
      <c r="JQV150" s="72"/>
      <c r="JQW150" s="72"/>
      <c r="JQX150" s="72"/>
      <c r="JQY150" s="72"/>
      <c r="JQZ150" s="72"/>
      <c r="JRA150" s="72"/>
      <c r="JRB150" s="72"/>
      <c r="JRC150" s="72"/>
      <c r="JRD150" s="72"/>
      <c r="JRE150" s="72"/>
      <c r="JRF150" s="72"/>
      <c r="JRG150" s="72"/>
      <c r="JRH150" s="72"/>
      <c r="JRI150" s="72"/>
      <c r="JRJ150" s="72"/>
      <c r="JRK150" s="72"/>
      <c r="JRL150" s="72"/>
      <c r="JRM150" s="72"/>
      <c r="JRN150" s="72"/>
      <c r="JRO150" s="72"/>
      <c r="JRP150" s="72"/>
      <c r="JRQ150" s="72"/>
      <c r="JRR150" s="72"/>
      <c r="JRS150" s="72"/>
      <c r="JRT150" s="72"/>
      <c r="JRU150" s="72"/>
      <c r="JRV150" s="72"/>
      <c r="JRW150" s="72"/>
      <c r="JRX150" s="72"/>
      <c r="JRY150" s="72"/>
      <c r="JRZ150" s="72"/>
      <c r="JSA150" s="72"/>
      <c r="JSB150" s="72"/>
      <c r="JSC150" s="72"/>
      <c r="JSD150" s="72"/>
      <c r="JSE150" s="72"/>
      <c r="JSF150" s="72"/>
      <c r="JSG150" s="72"/>
      <c r="JSH150" s="72"/>
      <c r="JSI150" s="72"/>
      <c r="JSJ150" s="72"/>
      <c r="JSK150" s="72"/>
      <c r="JSL150" s="72"/>
      <c r="JSM150" s="72"/>
      <c r="JSN150" s="72"/>
      <c r="JSO150" s="72"/>
      <c r="JSP150" s="72"/>
      <c r="JSQ150" s="72"/>
      <c r="JSR150" s="72"/>
      <c r="JSS150" s="72"/>
      <c r="JST150" s="72"/>
      <c r="JSU150" s="72"/>
      <c r="JSV150" s="72"/>
      <c r="JSW150" s="72"/>
      <c r="JSX150" s="72"/>
      <c r="JSY150" s="72"/>
      <c r="JSZ150" s="72"/>
      <c r="JTA150" s="72"/>
      <c r="JTB150" s="72"/>
      <c r="JTC150" s="72"/>
      <c r="JTD150" s="72"/>
      <c r="JTE150" s="72"/>
      <c r="JTF150" s="72"/>
      <c r="JTG150" s="72"/>
      <c r="JTH150" s="72"/>
      <c r="JTI150" s="72"/>
      <c r="JTJ150" s="72"/>
      <c r="JTK150" s="72"/>
      <c r="JTL150" s="72"/>
      <c r="JTM150" s="72"/>
      <c r="JTN150" s="72"/>
      <c r="JTO150" s="72"/>
      <c r="JTP150" s="72"/>
      <c r="JTQ150" s="72"/>
      <c r="JTR150" s="72"/>
      <c r="JTS150" s="72"/>
      <c r="JTT150" s="72"/>
      <c r="JTU150" s="72"/>
      <c r="JTV150" s="72"/>
      <c r="JTW150" s="72"/>
      <c r="JTX150" s="72"/>
      <c r="JTY150" s="72"/>
      <c r="JTZ150" s="72"/>
      <c r="JUA150" s="72"/>
      <c r="JUB150" s="72"/>
      <c r="JUC150" s="72"/>
      <c r="JUD150" s="72"/>
      <c r="JUE150" s="72"/>
      <c r="JUF150" s="72"/>
      <c r="JUG150" s="72"/>
      <c r="JUH150" s="72"/>
      <c r="JUI150" s="72"/>
      <c r="JUJ150" s="72"/>
      <c r="JUK150" s="72"/>
      <c r="JUL150" s="72"/>
      <c r="JUM150" s="72"/>
      <c r="JUN150" s="72"/>
      <c r="JUO150" s="72"/>
      <c r="JUP150" s="72"/>
      <c r="JUQ150" s="72"/>
      <c r="JUR150" s="72"/>
      <c r="JUS150" s="72"/>
      <c r="JUT150" s="72"/>
      <c r="JUU150" s="72"/>
      <c r="JUV150" s="72"/>
      <c r="JUW150" s="72"/>
      <c r="JUX150" s="72"/>
      <c r="JUY150" s="72"/>
      <c r="JUZ150" s="72"/>
      <c r="JVA150" s="72"/>
      <c r="JVB150" s="72"/>
      <c r="JVC150" s="72"/>
      <c r="JVD150" s="72"/>
      <c r="JVE150" s="72"/>
      <c r="JVF150" s="72"/>
      <c r="JVG150" s="72"/>
      <c r="JVH150" s="72"/>
      <c r="JVI150" s="72"/>
      <c r="JVJ150" s="72"/>
      <c r="JVK150" s="72"/>
      <c r="JVL150" s="72"/>
      <c r="JVM150" s="72"/>
      <c r="JVN150" s="72"/>
      <c r="JVO150" s="72"/>
      <c r="JVP150" s="72"/>
      <c r="JVQ150" s="72"/>
      <c r="JVR150" s="72"/>
      <c r="JVS150" s="72"/>
      <c r="JVT150" s="72"/>
      <c r="JVU150" s="72"/>
      <c r="JVV150" s="72"/>
      <c r="JVW150" s="72"/>
      <c r="JVX150" s="72"/>
      <c r="JVY150" s="72"/>
      <c r="JVZ150" s="72"/>
      <c r="JWA150" s="72"/>
      <c r="JWB150" s="72"/>
      <c r="JWC150" s="72"/>
      <c r="JWD150" s="72"/>
      <c r="JWE150" s="72"/>
      <c r="JWF150" s="72"/>
      <c r="JWG150" s="72"/>
      <c r="JWH150" s="72"/>
      <c r="JWI150" s="72"/>
      <c r="JWJ150" s="72"/>
      <c r="JWK150" s="72"/>
      <c r="JWL150" s="72"/>
      <c r="JWM150" s="72"/>
      <c r="JWN150" s="72"/>
      <c r="JWO150" s="72"/>
      <c r="JWP150" s="72"/>
      <c r="JWQ150" s="72"/>
      <c r="JWR150" s="72"/>
      <c r="JWS150" s="72"/>
      <c r="JWT150" s="72"/>
      <c r="JWU150" s="72"/>
      <c r="JWV150" s="72"/>
      <c r="JWW150" s="72"/>
      <c r="JWX150" s="72"/>
      <c r="JWY150" s="72"/>
      <c r="JWZ150" s="72"/>
      <c r="JXA150" s="72"/>
      <c r="JXB150" s="72"/>
      <c r="JXC150" s="72"/>
      <c r="JXD150" s="72"/>
      <c r="JXE150" s="72"/>
      <c r="JXF150" s="72"/>
      <c r="JXG150" s="72"/>
      <c r="JXH150" s="72"/>
      <c r="JXI150" s="72"/>
      <c r="JXJ150" s="72"/>
      <c r="JXK150" s="72"/>
      <c r="JXL150" s="72"/>
      <c r="JXM150" s="72"/>
      <c r="JXN150" s="72"/>
      <c r="JXO150" s="72"/>
      <c r="JXP150" s="72"/>
      <c r="JXQ150" s="72"/>
      <c r="JXR150" s="72"/>
      <c r="JXS150" s="72"/>
      <c r="JXT150" s="72"/>
      <c r="JXU150" s="72"/>
      <c r="JXV150" s="72"/>
      <c r="JXW150" s="72"/>
      <c r="JXX150" s="72"/>
      <c r="JXY150" s="72"/>
      <c r="JXZ150" s="72"/>
      <c r="JYA150" s="72"/>
      <c r="JYB150" s="72"/>
      <c r="JYC150" s="72"/>
      <c r="JYD150" s="72"/>
      <c r="JYE150" s="72"/>
      <c r="JYF150" s="72"/>
      <c r="JYG150" s="72"/>
      <c r="JYH150" s="72"/>
      <c r="JYI150" s="72"/>
      <c r="JYJ150" s="72"/>
      <c r="JYK150" s="72"/>
      <c r="JYL150" s="72"/>
      <c r="JYM150" s="72"/>
      <c r="JYN150" s="72"/>
      <c r="JYO150" s="72"/>
      <c r="JYP150" s="72"/>
      <c r="JYQ150" s="72"/>
      <c r="JYR150" s="72"/>
      <c r="JYS150" s="72"/>
      <c r="JYT150" s="72"/>
      <c r="JYU150" s="72"/>
      <c r="JYV150" s="72"/>
      <c r="JYW150" s="72"/>
      <c r="JYX150" s="72"/>
      <c r="JYY150" s="72"/>
      <c r="JYZ150" s="72"/>
      <c r="JZA150" s="72"/>
      <c r="JZB150" s="72"/>
      <c r="JZC150" s="72"/>
      <c r="JZD150" s="72"/>
      <c r="JZE150" s="72"/>
      <c r="JZF150" s="72"/>
      <c r="JZG150" s="72"/>
      <c r="JZH150" s="72"/>
      <c r="JZI150" s="72"/>
      <c r="JZJ150" s="72"/>
      <c r="JZK150" s="72"/>
      <c r="JZL150" s="72"/>
      <c r="JZM150" s="72"/>
      <c r="JZN150" s="72"/>
      <c r="JZO150" s="72"/>
      <c r="JZP150" s="72"/>
      <c r="JZQ150" s="72"/>
      <c r="JZR150" s="72"/>
      <c r="JZS150" s="72"/>
      <c r="JZT150" s="72"/>
      <c r="JZU150" s="72"/>
      <c r="JZV150" s="72"/>
      <c r="JZW150" s="72"/>
      <c r="JZX150" s="72"/>
      <c r="JZY150" s="72"/>
      <c r="JZZ150" s="72"/>
      <c r="KAA150" s="72"/>
      <c r="KAB150" s="72"/>
      <c r="KAC150" s="72"/>
      <c r="KAD150" s="72"/>
      <c r="KAE150" s="72"/>
      <c r="KAF150" s="72"/>
      <c r="KAG150" s="72"/>
      <c r="KAH150" s="72"/>
      <c r="KAI150" s="72"/>
      <c r="KAJ150" s="72"/>
      <c r="KAK150" s="72"/>
      <c r="KAL150" s="72"/>
      <c r="KAM150" s="72"/>
      <c r="KAN150" s="72"/>
      <c r="KAO150" s="72"/>
      <c r="KAP150" s="72"/>
      <c r="KAQ150" s="72"/>
      <c r="KAR150" s="72"/>
      <c r="KAS150" s="72"/>
      <c r="KAT150" s="72"/>
      <c r="KAU150" s="72"/>
      <c r="KAV150" s="72"/>
      <c r="KAW150" s="72"/>
      <c r="KAX150" s="72"/>
      <c r="KAY150" s="72"/>
      <c r="KAZ150" s="72"/>
      <c r="KBA150" s="72"/>
      <c r="KBB150" s="72"/>
      <c r="KBC150" s="72"/>
      <c r="KBD150" s="72"/>
      <c r="KBE150" s="72"/>
      <c r="KBF150" s="72"/>
      <c r="KBG150" s="72"/>
      <c r="KBH150" s="72"/>
      <c r="KBI150" s="72"/>
      <c r="KBJ150" s="72"/>
      <c r="KBK150" s="72"/>
      <c r="KBL150" s="72"/>
      <c r="KBM150" s="72"/>
      <c r="KBN150" s="72"/>
      <c r="KBO150" s="72"/>
      <c r="KBP150" s="72"/>
      <c r="KBQ150" s="72"/>
      <c r="KBR150" s="72"/>
      <c r="KBS150" s="72"/>
      <c r="KBT150" s="72"/>
      <c r="KBU150" s="72"/>
      <c r="KBV150" s="72"/>
      <c r="KBW150" s="72"/>
      <c r="KBX150" s="72"/>
      <c r="KBY150" s="72"/>
      <c r="KBZ150" s="72"/>
      <c r="KCA150" s="72"/>
      <c r="KCB150" s="72"/>
      <c r="KCC150" s="72"/>
      <c r="KCD150" s="72"/>
      <c r="KCE150" s="72"/>
      <c r="KCF150" s="72"/>
      <c r="KCG150" s="72"/>
      <c r="KCH150" s="72"/>
      <c r="KCI150" s="72"/>
      <c r="KCJ150" s="72"/>
      <c r="KCK150" s="72"/>
      <c r="KCL150" s="72"/>
      <c r="KCM150" s="72"/>
      <c r="KCN150" s="72"/>
      <c r="KCO150" s="72"/>
      <c r="KCP150" s="72"/>
      <c r="KCQ150" s="72"/>
      <c r="KCR150" s="72"/>
      <c r="KCS150" s="72"/>
      <c r="KCT150" s="72"/>
      <c r="KCU150" s="72"/>
      <c r="KCV150" s="72"/>
      <c r="KCW150" s="72"/>
      <c r="KCX150" s="72"/>
      <c r="KCY150" s="72"/>
      <c r="KCZ150" s="72"/>
      <c r="KDA150" s="72"/>
      <c r="KDB150" s="72"/>
      <c r="KDC150" s="72"/>
      <c r="KDD150" s="72"/>
      <c r="KDE150" s="72"/>
      <c r="KDF150" s="72"/>
      <c r="KDG150" s="72"/>
      <c r="KDH150" s="72"/>
      <c r="KDI150" s="72"/>
      <c r="KDJ150" s="72"/>
      <c r="KDK150" s="72"/>
      <c r="KDL150" s="72"/>
      <c r="KDM150" s="72"/>
      <c r="KDN150" s="72"/>
      <c r="KDO150" s="72"/>
      <c r="KDP150" s="72"/>
      <c r="KDQ150" s="72"/>
      <c r="KDR150" s="72"/>
      <c r="KDS150" s="72"/>
      <c r="KDT150" s="72"/>
      <c r="KDU150" s="72"/>
      <c r="KDV150" s="72"/>
      <c r="KDW150" s="72"/>
      <c r="KDX150" s="72"/>
      <c r="KDY150" s="72"/>
      <c r="KDZ150" s="72"/>
      <c r="KEA150" s="72"/>
      <c r="KEB150" s="72"/>
      <c r="KEC150" s="72"/>
      <c r="KED150" s="72"/>
      <c r="KEE150" s="72"/>
      <c r="KEF150" s="72"/>
      <c r="KEG150" s="72"/>
      <c r="KEH150" s="72"/>
      <c r="KEI150" s="72"/>
      <c r="KEJ150" s="72"/>
      <c r="KEK150" s="72"/>
      <c r="KEL150" s="72"/>
      <c r="KEM150" s="72"/>
      <c r="KEN150" s="72"/>
      <c r="KEO150" s="72"/>
      <c r="KEP150" s="72"/>
      <c r="KEQ150" s="72"/>
      <c r="KER150" s="72"/>
      <c r="KES150" s="72"/>
      <c r="KET150" s="72"/>
      <c r="KEU150" s="72"/>
      <c r="KEV150" s="72"/>
      <c r="KEW150" s="72"/>
      <c r="KEX150" s="72"/>
      <c r="KEY150" s="72"/>
      <c r="KEZ150" s="72"/>
      <c r="KFA150" s="72"/>
      <c r="KFB150" s="72"/>
      <c r="KFC150" s="72"/>
      <c r="KFD150" s="72"/>
      <c r="KFE150" s="72"/>
      <c r="KFF150" s="72"/>
      <c r="KFG150" s="72"/>
      <c r="KFH150" s="72"/>
      <c r="KFI150" s="72"/>
      <c r="KFJ150" s="72"/>
      <c r="KFK150" s="72"/>
      <c r="KFL150" s="72"/>
      <c r="KFM150" s="72"/>
      <c r="KFN150" s="72"/>
      <c r="KFO150" s="72"/>
      <c r="KFP150" s="72"/>
      <c r="KFQ150" s="72"/>
      <c r="KFR150" s="72"/>
      <c r="KFS150" s="72"/>
      <c r="KFT150" s="72"/>
      <c r="KFU150" s="72"/>
      <c r="KFV150" s="72"/>
      <c r="KFW150" s="72"/>
      <c r="KFX150" s="72"/>
      <c r="KFY150" s="72"/>
      <c r="KFZ150" s="72"/>
      <c r="KGA150" s="72"/>
      <c r="KGB150" s="72"/>
      <c r="KGC150" s="72"/>
      <c r="KGD150" s="72"/>
      <c r="KGE150" s="72"/>
      <c r="KGF150" s="72"/>
      <c r="KGG150" s="72"/>
      <c r="KGH150" s="72"/>
      <c r="KGI150" s="72"/>
      <c r="KGJ150" s="72"/>
      <c r="KGK150" s="72"/>
      <c r="KGL150" s="72"/>
      <c r="KGM150" s="72"/>
      <c r="KGN150" s="72"/>
      <c r="KGO150" s="72"/>
      <c r="KGP150" s="72"/>
      <c r="KGQ150" s="72"/>
      <c r="KGR150" s="72"/>
      <c r="KGS150" s="72"/>
      <c r="KGT150" s="72"/>
      <c r="KGU150" s="72"/>
      <c r="KGV150" s="72"/>
      <c r="KGW150" s="72"/>
      <c r="KGX150" s="72"/>
      <c r="KGY150" s="72"/>
      <c r="KGZ150" s="72"/>
      <c r="KHA150" s="72"/>
      <c r="KHB150" s="72"/>
      <c r="KHC150" s="72"/>
      <c r="KHD150" s="72"/>
      <c r="KHE150" s="72"/>
      <c r="KHF150" s="72"/>
      <c r="KHG150" s="72"/>
      <c r="KHH150" s="72"/>
      <c r="KHI150" s="72"/>
      <c r="KHJ150" s="72"/>
      <c r="KHK150" s="72"/>
      <c r="KHL150" s="72"/>
      <c r="KHM150" s="72"/>
      <c r="KHN150" s="72"/>
      <c r="KHO150" s="72"/>
      <c r="KHP150" s="72"/>
      <c r="KHQ150" s="72"/>
      <c r="KHR150" s="72"/>
      <c r="KHS150" s="72"/>
      <c r="KHT150" s="72"/>
      <c r="KHU150" s="72"/>
      <c r="KHV150" s="72"/>
      <c r="KHW150" s="72"/>
      <c r="KHX150" s="72"/>
      <c r="KHY150" s="72"/>
      <c r="KHZ150" s="72"/>
      <c r="KIA150" s="72"/>
      <c r="KIB150" s="72"/>
      <c r="KIC150" s="72"/>
      <c r="KID150" s="72"/>
      <c r="KIE150" s="72"/>
      <c r="KIF150" s="72"/>
      <c r="KIG150" s="72"/>
      <c r="KIH150" s="72"/>
      <c r="KII150" s="72"/>
      <c r="KIJ150" s="72"/>
      <c r="KIK150" s="72"/>
      <c r="KIL150" s="72"/>
      <c r="KIM150" s="72"/>
      <c r="KIN150" s="72"/>
      <c r="KIO150" s="72"/>
      <c r="KIP150" s="72"/>
      <c r="KIQ150" s="72"/>
      <c r="KIR150" s="72"/>
      <c r="KIS150" s="72"/>
      <c r="KIT150" s="72"/>
      <c r="KIU150" s="72"/>
      <c r="KIV150" s="72"/>
      <c r="KIW150" s="72"/>
      <c r="KIX150" s="72"/>
      <c r="KIY150" s="72"/>
      <c r="KIZ150" s="72"/>
      <c r="KJA150" s="72"/>
      <c r="KJB150" s="72"/>
      <c r="KJC150" s="72"/>
      <c r="KJD150" s="72"/>
      <c r="KJE150" s="72"/>
      <c r="KJF150" s="72"/>
      <c r="KJG150" s="72"/>
      <c r="KJH150" s="72"/>
      <c r="KJI150" s="72"/>
      <c r="KJJ150" s="72"/>
      <c r="KJK150" s="72"/>
      <c r="KJL150" s="72"/>
      <c r="KJM150" s="72"/>
      <c r="KJN150" s="72"/>
      <c r="KJO150" s="72"/>
      <c r="KJP150" s="72"/>
      <c r="KJQ150" s="72"/>
      <c r="KJR150" s="72"/>
      <c r="KJS150" s="72"/>
      <c r="KJT150" s="72"/>
      <c r="KJU150" s="72"/>
      <c r="KJV150" s="72"/>
      <c r="KJW150" s="72"/>
      <c r="KJX150" s="72"/>
      <c r="KJY150" s="72"/>
      <c r="KJZ150" s="72"/>
      <c r="KKA150" s="72"/>
      <c r="KKB150" s="72"/>
      <c r="KKC150" s="72"/>
      <c r="KKD150" s="72"/>
      <c r="KKE150" s="72"/>
      <c r="KKF150" s="72"/>
      <c r="KKG150" s="72"/>
      <c r="KKH150" s="72"/>
      <c r="KKI150" s="72"/>
      <c r="KKJ150" s="72"/>
      <c r="KKK150" s="72"/>
      <c r="KKL150" s="72"/>
      <c r="KKM150" s="72"/>
      <c r="KKN150" s="72"/>
      <c r="KKO150" s="72"/>
      <c r="KKP150" s="72"/>
      <c r="KKQ150" s="72"/>
      <c r="KKR150" s="72"/>
      <c r="KKS150" s="72"/>
      <c r="KKT150" s="72"/>
      <c r="KKU150" s="72"/>
      <c r="KKV150" s="72"/>
      <c r="KKW150" s="72"/>
      <c r="KKX150" s="72"/>
      <c r="KKY150" s="72"/>
      <c r="KKZ150" s="72"/>
      <c r="KLA150" s="72"/>
      <c r="KLB150" s="72"/>
      <c r="KLC150" s="72"/>
      <c r="KLD150" s="72"/>
      <c r="KLE150" s="72"/>
      <c r="KLF150" s="72"/>
      <c r="KLG150" s="72"/>
      <c r="KLH150" s="72"/>
      <c r="KLI150" s="72"/>
      <c r="KLJ150" s="72"/>
      <c r="KLK150" s="72"/>
      <c r="KLL150" s="72"/>
      <c r="KLM150" s="72"/>
      <c r="KLN150" s="72"/>
      <c r="KLO150" s="72"/>
      <c r="KLP150" s="72"/>
      <c r="KLQ150" s="72"/>
      <c r="KLR150" s="72"/>
      <c r="KLS150" s="72"/>
      <c r="KLT150" s="72"/>
      <c r="KLU150" s="72"/>
      <c r="KLV150" s="72"/>
      <c r="KLW150" s="72"/>
      <c r="KLX150" s="72"/>
      <c r="KLY150" s="72"/>
      <c r="KLZ150" s="72"/>
      <c r="KMA150" s="72"/>
      <c r="KMB150" s="72"/>
      <c r="KMC150" s="72"/>
      <c r="KMD150" s="72"/>
      <c r="KME150" s="72"/>
      <c r="KMF150" s="72"/>
      <c r="KMG150" s="72"/>
      <c r="KMH150" s="72"/>
      <c r="KMI150" s="72"/>
      <c r="KMJ150" s="72"/>
      <c r="KMK150" s="72"/>
      <c r="KML150" s="72"/>
      <c r="KMM150" s="72"/>
      <c r="KMN150" s="72"/>
      <c r="KMO150" s="72"/>
      <c r="KMP150" s="72"/>
      <c r="KMQ150" s="72"/>
      <c r="KMR150" s="72"/>
      <c r="KMS150" s="72"/>
      <c r="KMT150" s="72"/>
      <c r="KMU150" s="72"/>
      <c r="KMV150" s="72"/>
      <c r="KMW150" s="72"/>
      <c r="KMX150" s="72"/>
      <c r="KMY150" s="72"/>
      <c r="KMZ150" s="72"/>
      <c r="KNA150" s="72"/>
      <c r="KNB150" s="72"/>
      <c r="KNC150" s="72"/>
      <c r="KND150" s="72"/>
      <c r="KNE150" s="72"/>
      <c r="KNF150" s="72"/>
      <c r="KNG150" s="72"/>
      <c r="KNH150" s="72"/>
      <c r="KNI150" s="72"/>
      <c r="KNJ150" s="72"/>
      <c r="KNK150" s="72"/>
      <c r="KNL150" s="72"/>
      <c r="KNM150" s="72"/>
      <c r="KNN150" s="72"/>
      <c r="KNO150" s="72"/>
      <c r="KNP150" s="72"/>
      <c r="KNQ150" s="72"/>
      <c r="KNR150" s="72"/>
      <c r="KNS150" s="72"/>
      <c r="KNT150" s="72"/>
      <c r="KNU150" s="72"/>
      <c r="KNV150" s="72"/>
      <c r="KNW150" s="72"/>
      <c r="KNX150" s="72"/>
      <c r="KNY150" s="72"/>
      <c r="KNZ150" s="72"/>
      <c r="KOA150" s="72"/>
      <c r="KOB150" s="72"/>
      <c r="KOC150" s="72"/>
      <c r="KOD150" s="72"/>
      <c r="KOE150" s="72"/>
      <c r="KOF150" s="72"/>
      <c r="KOG150" s="72"/>
      <c r="KOH150" s="72"/>
      <c r="KOI150" s="72"/>
      <c r="KOJ150" s="72"/>
      <c r="KOK150" s="72"/>
      <c r="KOL150" s="72"/>
      <c r="KOM150" s="72"/>
      <c r="KON150" s="72"/>
      <c r="KOO150" s="72"/>
      <c r="KOP150" s="72"/>
      <c r="KOQ150" s="72"/>
      <c r="KOR150" s="72"/>
      <c r="KOS150" s="72"/>
      <c r="KOT150" s="72"/>
      <c r="KOU150" s="72"/>
      <c r="KOV150" s="72"/>
      <c r="KOW150" s="72"/>
      <c r="KOX150" s="72"/>
      <c r="KOY150" s="72"/>
      <c r="KOZ150" s="72"/>
      <c r="KPA150" s="72"/>
      <c r="KPB150" s="72"/>
      <c r="KPC150" s="72"/>
      <c r="KPD150" s="72"/>
      <c r="KPE150" s="72"/>
      <c r="KPF150" s="72"/>
      <c r="KPG150" s="72"/>
      <c r="KPH150" s="72"/>
      <c r="KPI150" s="72"/>
      <c r="KPJ150" s="72"/>
      <c r="KPK150" s="72"/>
      <c r="KPL150" s="72"/>
      <c r="KPM150" s="72"/>
      <c r="KPN150" s="72"/>
      <c r="KPO150" s="72"/>
      <c r="KPP150" s="72"/>
      <c r="KPQ150" s="72"/>
      <c r="KPR150" s="72"/>
      <c r="KPS150" s="72"/>
      <c r="KPT150" s="72"/>
      <c r="KPU150" s="72"/>
      <c r="KPV150" s="72"/>
      <c r="KPW150" s="72"/>
      <c r="KPX150" s="72"/>
      <c r="KPY150" s="72"/>
      <c r="KPZ150" s="72"/>
      <c r="KQA150" s="72"/>
      <c r="KQB150" s="72"/>
      <c r="KQC150" s="72"/>
      <c r="KQD150" s="72"/>
      <c r="KQE150" s="72"/>
      <c r="KQF150" s="72"/>
      <c r="KQG150" s="72"/>
      <c r="KQH150" s="72"/>
      <c r="KQI150" s="72"/>
      <c r="KQJ150" s="72"/>
      <c r="KQK150" s="72"/>
      <c r="KQL150" s="72"/>
      <c r="KQM150" s="72"/>
      <c r="KQN150" s="72"/>
      <c r="KQO150" s="72"/>
      <c r="KQP150" s="72"/>
      <c r="KQQ150" s="72"/>
      <c r="KQR150" s="72"/>
      <c r="KQS150" s="72"/>
      <c r="KQT150" s="72"/>
      <c r="KQU150" s="72"/>
      <c r="KQV150" s="72"/>
      <c r="KQW150" s="72"/>
      <c r="KQX150" s="72"/>
      <c r="KQY150" s="72"/>
      <c r="KQZ150" s="72"/>
      <c r="KRA150" s="72"/>
      <c r="KRB150" s="72"/>
      <c r="KRC150" s="72"/>
      <c r="KRD150" s="72"/>
      <c r="KRE150" s="72"/>
      <c r="KRF150" s="72"/>
      <c r="KRG150" s="72"/>
      <c r="KRH150" s="72"/>
      <c r="KRI150" s="72"/>
      <c r="KRJ150" s="72"/>
      <c r="KRK150" s="72"/>
      <c r="KRL150" s="72"/>
      <c r="KRM150" s="72"/>
      <c r="KRN150" s="72"/>
      <c r="KRO150" s="72"/>
      <c r="KRP150" s="72"/>
      <c r="KRQ150" s="72"/>
      <c r="KRR150" s="72"/>
      <c r="KRS150" s="72"/>
      <c r="KRT150" s="72"/>
      <c r="KRU150" s="72"/>
      <c r="KRV150" s="72"/>
      <c r="KRW150" s="72"/>
      <c r="KRX150" s="72"/>
      <c r="KRY150" s="72"/>
      <c r="KRZ150" s="72"/>
      <c r="KSA150" s="72"/>
      <c r="KSB150" s="72"/>
      <c r="KSC150" s="72"/>
      <c r="KSD150" s="72"/>
      <c r="KSE150" s="72"/>
      <c r="KSF150" s="72"/>
      <c r="KSG150" s="72"/>
      <c r="KSH150" s="72"/>
      <c r="KSI150" s="72"/>
      <c r="KSJ150" s="72"/>
      <c r="KSK150" s="72"/>
      <c r="KSL150" s="72"/>
      <c r="KSM150" s="72"/>
      <c r="KSN150" s="72"/>
      <c r="KSO150" s="72"/>
      <c r="KSP150" s="72"/>
      <c r="KSQ150" s="72"/>
      <c r="KSR150" s="72"/>
      <c r="KSS150" s="72"/>
      <c r="KST150" s="72"/>
      <c r="KSU150" s="72"/>
      <c r="KSV150" s="72"/>
      <c r="KSW150" s="72"/>
      <c r="KSX150" s="72"/>
      <c r="KSY150" s="72"/>
      <c r="KSZ150" s="72"/>
      <c r="KTA150" s="72"/>
      <c r="KTB150" s="72"/>
      <c r="KTC150" s="72"/>
      <c r="KTD150" s="72"/>
      <c r="KTE150" s="72"/>
      <c r="KTF150" s="72"/>
      <c r="KTG150" s="72"/>
      <c r="KTH150" s="72"/>
      <c r="KTI150" s="72"/>
      <c r="KTJ150" s="72"/>
      <c r="KTK150" s="72"/>
      <c r="KTL150" s="72"/>
      <c r="KTM150" s="72"/>
      <c r="KTN150" s="72"/>
      <c r="KTO150" s="72"/>
      <c r="KTP150" s="72"/>
      <c r="KTQ150" s="72"/>
      <c r="KTR150" s="72"/>
      <c r="KTS150" s="72"/>
      <c r="KTT150" s="72"/>
      <c r="KTU150" s="72"/>
      <c r="KTV150" s="72"/>
      <c r="KTW150" s="72"/>
      <c r="KTX150" s="72"/>
      <c r="KTY150" s="72"/>
      <c r="KTZ150" s="72"/>
      <c r="KUA150" s="72"/>
      <c r="KUB150" s="72"/>
      <c r="KUC150" s="72"/>
      <c r="KUD150" s="72"/>
      <c r="KUE150" s="72"/>
      <c r="KUF150" s="72"/>
      <c r="KUG150" s="72"/>
      <c r="KUH150" s="72"/>
      <c r="KUI150" s="72"/>
      <c r="KUJ150" s="72"/>
      <c r="KUK150" s="72"/>
      <c r="KUL150" s="72"/>
      <c r="KUM150" s="72"/>
      <c r="KUN150" s="72"/>
      <c r="KUO150" s="72"/>
      <c r="KUP150" s="72"/>
      <c r="KUQ150" s="72"/>
      <c r="KUR150" s="72"/>
      <c r="KUS150" s="72"/>
      <c r="KUT150" s="72"/>
      <c r="KUU150" s="72"/>
      <c r="KUV150" s="72"/>
      <c r="KUW150" s="72"/>
      <c r="KUX150" s="72"/>
      <c r="KUY150" s="72"/>
      <c r="KUZ150" s="72"/>
      <c r="KVA150" s="72"/>
      <c r="KVB150" s="72"/>
      <c r="KVC150" s="72"/>
      <c r="KVD150" s="72"/>
      <c r="KVE150" s="72"/>
      <c r="KVF150" s="72"/>
      <c r="KVG150" s="72"/>
      <c r="KVH150" s="72"/>
      <c r="KVI150" s="72"/>
      <c r="KVJ150" s="72"/>
      <c r="KVK150" s="72"/>
      <c r="KVL150" s="72"/>
      <c r="KVM150" s="72"/>
      <c r="KVN150" s="72"/>
      <c r="KVO150" s="72"/>
      <c r="KVP150" s="72"/>
      <c r="KVQ150" s="72"/>
      <c r="KVR150" s="72"/>
      <c r="KVS150" s="72"/>
      <c r="KVT150" s="72"/>
      <c r="KVU150" s="72"/>
      <c r="KVV150" s="72"/>
      <c r="KVW150" s="72"/>
      <c r="KVX150" s="72"/>
      <c r="KVY150" s="72"/>
      <c r="KVZ150" s="72"/>
      <c r="KWA150" s="72"/>
      <c r="KWB150" s="72"/>
      <c r="KWC150" s="72"/>
      <c r="KWD150" s="72"/>
      <c r="KWE150" s="72"/>
      <c r="KWF150" s="72"/>
      <c r="KWG150" s="72"/>
      <c r="KWH150" s="72"/>
      <c r="KWI150" s="72"/>
      <c r="KWJ150" s="72"/>
      <c r="KWK150" s="72"/>
      <c r="KWL150" s="72"/>
      <c r="KWM150" s="72"/>
      <c r="KWN150" s="72"/>
      <c r="KWO150" s="72"/>
      <c r="KWP150" s="72"/>
      <c r="KWQ150" s="72"/>
      <c r="KWR150" s="72"/>
      <c r="KWS150" s="72"/>
      <c r="KWT150" s="72"/>
      <c r="KWU150" s="72"/>
      <c r="KWV150" s="72"/>
      <c r="KWW150" s="72"/>
      <c r="KWX150" s="72"/>
      <c r="KWY150" s="72"/>
      <c r="KWZ150" s="72"/>
      <c r="KXA150" s="72"/>
      <c r="KXB150" s="72"/>
      <c r="KXC150" s="72"/>
      <c r="KXD150" s="72"/>
      <c r="KXE150" s="72"/>
      <c r="KXF150" s="72"/>
      <c r="KXG150" s="72"/>
      <c r="KXH150" s="72"/>
      <c r="KXI150" s="72"/>
      <c r="KXJ150" s="72"/>
      <c r="KXK150" s="72"/>
      <c r="KXL150" s="72"/>
      <c r="KXM150" s="72"/>
      <c r="KXN150" s="72"/>
      <c r="KXO150" s="72"/>
      <c r="KXP150" s="72"/>
      <c r="KXQ150" s="72"/>
      <c r="KXR150" s="72"/>
      <c r="KXS150" s="72"/>
      <c r="KXT150" s="72"/>
      <c r="KXU150" s="72"/>
      <c r="KXV150" s="72"/>
      <c r="KXW150" s="72"/>
      <c r="KXX150" s="72"/>
      <c r="KXY150" s="72"/>
      <c r="KXZ150" s="72"/>
      <c r="KYA150" s="72"/>
      <c r="KYB150" s="72"/>
      <c r="KYC150" s="72"/>
      <c r="KYD150" s="72"/>
      <c r="KYE150" s="72"/>
      <c r="KYF150" s="72"/>
      <c r="KYG150" s="72"/>
      <c r="KYH150" s="72"/>
      <c r="KYI150" s="72"/>
      <c r="KYJ150" s="72"/>
      <c r="KYK150" s="72"/>
      <c r="KYL150" s="72"/>
      <c r="KYM150" s="72"/>
      <c r="KYN150" s="72"/>
      <c r="KYO150" s="72"/>
      <c r="KYP150" s="72"/>
      <c r="KYQ150" s="72"/>
      <c r="KYR150" s="72"/>
      <c r="KYS150" s="72"/>
      <c r="KYT150" s="72"/>
      <c r="KYU150" s="72"/>
      <c r="KYV150" s="72"/>
      <c r="KYW150" s="72"/>
      <c r="KYX150" s="72"/>
      <c r="KYY150" s="72"/>
      <c r="KYZ150" s="72"/>
      <c r="KZA150" s="72"/>
      <c r="KZB150" s="72"/>
      <c r="KZC150" s="72"/>
      <c r="KZD150" s="72"/>
      <c r="KZE150" s="72"/>
      <c r="KZF150" s="72"/>
      <c r="KZG150" s="72"/>
      <c r="KZH150" s="72"/>
      <c r="KZI150" s="72"/>
      <c r="KZJ150" s="72"/>
      <c r="KZK150" s="72"/>
      <c r="KZL150" s="72"/>
      <c r="KZM150" s="72"/>
      <c r="KZN150" s="72"/>
      <c r="KZO150" s="72"/>
      <c r="KZP150" s="72"/>
      <c r="KZQ150" s="72"/>
      <c r="KZR150" s="72"/>
      <c r="KZS150" s="72"/>
      <c r="KZT150" s="72"/>
      <c r="KZU150" s="72"/>
      <c r="KZV150" s="72"/>
      <c r="KZW150" s="72"/>
      <c r="KZX150" s="72"/>
      <c r="KZY150" s="72"/>
      <c r="KZZ150" s="72"/>
      <c r="LAA150" s="72"/>
      <c r="LAB150" s="72"/>
      <c r="LAC150" s="72"/>
      <c r="LAD150" s="72"/>
      <c r="LAE150" s="72"/>
      <c r="LAF150" s="72"/>
      <c r="LAG150" s="72"/>
      <c r="LAH150" s="72"/>
      <c r="LAI150" s="72"/>
      <c r="LAJ150" s="72"/>
      <c r="LAK150" s="72"/>
      <c r="LAL150" s="72"/>
      <c r="LAM150" s="72"/>
      <c r="LAN150" s="72"/>
      <c r="LAO150" s="72"/>
      <c r="LAP150" s="72"/>
      <c r="LAQ150" s="72"/>
      <c r="LAR150" s="72"/>
      <c r="LAS150" s="72"/>
      <c r="LAT150" s="72"/>
      <c r="LAU150" s="72"/>
      <c r="LAV150" s="72"/>
      <c r="LAW150" s="72"/>
      <c r="LAX150" s="72"/>
      <c r="LAY150" s="72"/>
      <c r="LAZ150" s="72"/>
      <c r="LBA150" s="72"/>
      <c r="LBB150" s="72"/>
      <c r="LBC150" s="72"/>
      <c r="LBD150" s="72"/>
      <c r="LBE150" s="72"/>
      <c r="LBF150" s="72"/>
      <c r="LBG150" s="72"/>
      <c r="LBH150" s="72"/>
      <c r="LBI150" s="72"/>
      <c r="LBJ150" s="72"/>
      <c r="LBK150" s="72"/>
      <c r="LBL150" s="72"/>
      <c r="LBM150" s="72"/>
      <c r="LBN150" s="72"/>
      <c r="LBO150" s="72"/>
      <c r="LBP150" s="72"/>
      <c r="LBQ150" s="72"/>
      <c r="LBR150" s="72"/>
      <c r="LBS150" s="72"/>
      <c r="LBT150" s="72"/>
      <c r="LBU150" s="72"/>
      <c r="LBV150" s="72"/>
      <c r="LBW150" s="72"/>
      <c r="LBX150" s="72"/>
      <c r="LBY150" s="72"/>
      <c r="LBZ150" s="72"/>
      <c r="LCA150" s="72"/>
      <c r="LCB150" s="72"/>
      <c r="LCC150" s="72"/>
      <c r="LCD150" s="72"/>
      <c r="LCE150" s="72"/>
      <c r="LCF150" s="72"/>
      <c r="LCG150" s="72"/>
      <c r="LCH150" s="72"/>
      <c r="LCI150" s="72"/>
      <c r="LCJ150" s="72"/>
      <c r="LCK150" s="72"/>
      <c r="LCL150" s="72"/>
      <c r="LCM150" s="72"/>
      <c r="LCN150" s="72"/>
      <c r="LCO150" s="72"/>
      <c r="LCP150" s="72"/>
      <c r="LCQ150" s="72"/>
      <c r="LCR150" s="72"/>
      <c r="LCS150" s="72"/>
      <c r="LCT150" s="72"/>
      <c r="LCU150" s="72"/>
      <c r="LCV150" s="72"/>
      <c r="LCW150" s="72"/>
      <c r="LCX150" s="72"/>
      <c r="LCY150" s="72"/>
      <c r="LCZ150" s="72"/>
      <c r="LDA150" s="72"/>
      <c r="LDB150" s="72"/>
      <c r="LDC150" s="72"/>
      <c r="LDD150" s="72"/>
      <c r="LDE150" s="72"/>
      <c r="LDF150" s="72"/>
      <c r="LDG150" s="72"/>
      <c r="LDH150" s="72"/>
      <c r="LDI150" s="72"/>
      <c r="LDJ150" s="72"/>
      <c r="LDK150" s="72"/>
      <c r="LDL150" s="72"/>
      <c r="LDM150" s="72"/>
      <c r="LDN150" s="72"/>
      <c r="LDO150" s="72"/>
      <c r="LDP150" s="72"/>
      <c r="LDQ150" s="72"/>
      <c r="LDR150" s="72"/>
      <c r="LDS150" s="72"/>
      <c r="LDT150" s="72"/>
      <c r="LDU150" s="72"/>
      <c r="LDV150" s="72"/>
      <c r="LDW150" s="72"/>
      <c r="LDX150" s="72"/>
      <c r="LDY150" s="72"/>
      <c r="LDZ150" s="72"/>
      <c r="LEA150" s="72"/>
      <c r="LEB150" s="72"/>
      <c r="LEC150" s="72"/>
      <c r="LED150" s="72"/>
      <c r="LEE150" s="72"/>
      <c r="LEF150" s="72"/>
      <c r="LEG150" s="72"/>
      <c r="LEH150" s="72"/>
      <c r="LEI150" s="72"/>
      <c r="LEJ150" s="72"/>
      <c r="LEK150" s="72"/>
      <c r="LEL150" s="72"/>
      <c r="LEM150" s="72"/>
      <c r="LEN150" s="72"/>
      <c r="LEO150" s="72"/>
      <c r="LEP150" s="72"/>
      <c r="LEQ150" s="72"/>
      <c r="LER150" s="72"/>
      <c r="LES150" s="72"/>
      <c r="LET150" s="72"/>
      <c r="LEU150" s="72"/>
      <c r="LEV150" s="72"/>
      <c r="LEW150" s="72"/>
      <c r="LEX150" s="72"/>
      <c r="LEY150" s="72"/>
      <c r="LEZ150" s="72"/>
      <c r="LFA150" s="72"/>
      <c r="LFB150" s="72"/>
      <c r="LFC150" s="72"/>
      <c r="LFD150" s="72"/>
      <c r="LFE150" s="72"/>
      <c r="LFF150" s="72"/>
      <c r="LFG150" s="72"/>
      <c r="LFH150" s="72"/>
      <c r="LFI150" s="72"/>
      <c r="LFJ150" s="72"/>
      <c r="LFK150" s="72"/>
      <c r="LFL150" s="72"/>
      <c r="LFM150" s="72"/>
      <c r="LFN150" s="72"/>
      <c r="LFO150" s="72"/>
      <c r="LFP150" s="72"/>
      <c r="LFQ150" s="72"/>
      <c r="LFR150" s="72"/>
      <c r="LFS150" s="72"/>
      <c r="LFT150" s="72"/>
      <c r="LFU150" s="72"/>
      <c r="LFV150" s="72"/>
      <c r="LFW150" s="72"/>
      <c r="LFX150" s="72"/>
      <c r="LFY150" s="72"/>
      <c r="LFZ150" s="72"/>
      <c r="LGA150" s="72"/>
      <c r="LGB150" s="72"/>
      <c r="LGC150" s="72"/>
      <c r="LGD150" s="72"/>
      <c r="LGE150" s="72"/>
      <c r="LGF150" s="72"/>
      <c r="LGG150" s="72"/>
      <c r="LGH150" s="72"/>
      <c r="LGI150" s="72"/>
      <c r="LGJ150" s="72"/>
      <c r="LGK150" s="72"/>
      <c r="LGL150" s="72"/>
      <c r="LGM150" s="72"/>
      <c r="LGN150" s="72"/>
      <c r="LGO150" s="72"/>
      <c r="LGP150" s="72"/>
      <c r="LGQ150" s="72"/>
      <c r="LGR150" s="72"/>
      <c r="LGS150" s="72"/>
      <c r="LGT150" s="72"/>
      <c r="LGU150" s="72"/>
      <c r="LGV150" s="72"/>
      <c r="LGW150" s="72"/>
      <c r="LGX150" s="72"/>
      <c r="LGY150" s="72"/>
      <c r="LGZ150" s="72"/>
      <c r="LHA150" s="72"/>
      <c r="LHB150" s="72"/>
      <c r="LHC150" s="72"/>
      <c r="LHD150" s="72"/>
      <c r="LHE150" s="72"/>
      <c r="LHF150" s="72"/>
      <c r="LHG150" s="72"/>
      <c r="LHH150" s="72"/>
      <c r="LHI150" s="72"/>
      <c r="LHJ150" s="72"/>
      <c r="LHK150" s="72"/>
      <c r="LHL150" s="72"/>
      <c r="LHM150" s="72"/>
      <c r="LHN150" s="72"/>
      <c r="LHO150" s="72"/>
      <c r="LHP150" s="72"/>
      <c r="LHQ150" s="72"/>
      <c r="LHR150" s="72"/>
      <c r="LHS150" s="72"/>
      <c r="LHT150" s="72"/>
      <c r="LHU150" s="72"/>
      <c r="LHV150" s="72"/>
      <c r="LHW150" s="72"/>
      <c r="LHX150" s="72"/>
      <c r="LHY150" s="72"/>
      <c r="LHZ150" s="72"/>
      <c r="LIA150" s="72"/>
      <c r="LIB150" s="72"/>
      <c r="LIC150" s="72"/>
      <c r="LID150" s="72"/>
      <c r="LIE150" s="72"/>
      <c r="LIF150" s="72"/>
      <c r="LIG150" s="72"/>
      <c r="LIH150" s="72"/>
      <c r="LII150" s="72"/>
      <c r="LIJ150" s="72"/>
      <c r="LIK150" s="72"/>
      <c r="LIL150" s="72"/>
      <c r="LIM150" s="72"/>
      <c r="LIN150" s="72"/>
      <c r="LIO150" s="72"/>
      <c r="LIP150" s="72"/>
      <c r="LIQ150" s="72"/>
      <c r="LIR150" s="72"/>
      <c r="LIS150" s="72"/>
      <c r="LIT150" s="72"/>
      <c r="LIU150" s="72"/>
      <c r="LIV150" s="72"/>
      <c r="LIW150" s="72"/>
      <c r="LIX150" s="72"/>
      <c r="LIY150" s="72"/>
      <c r="LIZ150" s="72"/>
      <c r="LJA150" s="72"/>
      <c r="LJB150" s="72"/>
      <c r="LJC150" s="72"/>
      <c r="LJD150" s="72"/>
      <c r="LJE150" s="72"/>
      <c r="LJF150" s="72"/>
      <c r="LJG150" s="72"/>
      <c r="LJH150" s="72"/>
      <c r="LJI150" s="72"/>
      <c r="LJJ150" s="72"/>
      <c r="LJK150" s="72"/>
      <c r="LJL150" s="72"/>
      <c r="LJM150" s="72"/>
      <c r="LJN150" s="72"/>
      <c r="LJO150" s="72"/>
      <c r="LJP150" s="72"/>
      <c r="LJQ150" s="72"/>
      <c r="LJR150" s="72"/>
      <c r="LJS150" s="72"/>
      <c r="LJT150" s="72"/>
      <c r="LJU150" s="72"/>
      <c r="LJV150" s="72"/>
      <c r="LJW150" s="72"/>
      <c r="LJX150" s="72"/>
      <c r="LJY150" s="72"/>
      <c r="LJZ150" s="72"/>
      <c r="LKA150" s="72"/>
      <c r="LKB150" s="72"/>
      <c r="LKC150" s="72"/>
      <c r="LKD150" s="72"/>
      <c r="LKE150" s="72"/>
      <c r="LKF150" s="72"/>
      <c r="LKG150" s="72"/>
      <c r="LKH150" s="72"/>
      <c r="LKI150" s="72"/>
      <c r="LKJ150" s="72"/>
      <c r="LKK150" s="72"/>
      <c r="LKL150" s="72"/>
      <c r="LKM150" s="72"/>
      <c r="LKN150" s="72"/>
      <c r="LKO150" s="72"/>
      <c r="LKP150" s="72"/>
      <c r="LKQ150" s="72"/>
      <c r="LKR150" s="72"/>
      <c r="LKS150" s="72"/>
      <c r="LKT150" s="72"/>
      <c r="LKU150" s="72"/>
      <c r="LKV150" s="72"/>
      <c r="LKW150" s="72"/>
      <c r="LKX150" s="72"/>
      <c r="LKY150" s="72"/>
      <c r="LKZ150" s="72"/>
      <c r="LLA150" s="72"/>
      <c r="LLB150" s="72"/>
      <c r="LLC150" s="72"/>
      <c r="LLD150" s="72"/>
      <c r="LLE150" s="72"/>
      <c r="LLF150" s="72"/>
      <c r="LLG150" s="72"/>
      <c r="LLH150" s="72"/>
      <c r="LLI150" s="72"/>
      <c r="LLJ150" s="72"/>
      <c r="LLK150" s="72"/>
      <c r="LLL150" s="72"/>
      <c r="LLM150" s="72"/>
      <c r="LLN150" s="72"/>
      <c r="LLO150" s="72"/>
      <c r="LLP150" s="72"/>
      <c r="LLQ150" s="72"/>
      <c r="LLR150" s="72"/>
      <c r="LLS150" s="72"/>
      <c r="LLT150" s="72"/>
      <c r="LLU150" s="72"/>
      <c r="LLV150" s="72"/>
      <c r="LLW150" s="72"/>
      <c r="LLX150" s="72"/>
      <c r="LLY150" s="72"/>
      <c r="LLZ150" s="72"/>
      <c r="LMA150" s="72"/>
      <c r="LMB150" s="72"/>
      <c r="LMC150" s="72"/>
      <c r="LMD150" s="72"/>
      <c r="LME150" s="72"/>
      <c r="LMF150" s="72"/>
      <c r="LMG150" s="72"/>
      <c r="LMH150" s="72"/>
      <c r="LMI150" s="72"/>
      <c r="LMJ150" s="72"/>
      <c r="LMK150" s="72"/>
      <c r="LML150" s="72"/>
      <c r="LMM150" s="72"/>
      <c r="LMN150" s="72"/>
      <c r="LMO150" s="72"/>
      <c r="LMP150" s="72"/>
      <c r="LMQ150" s="72"/>
      <c r="LMR150" s="72"/>
      <c r="LMS150" s="72"/>
      <c r="LMT150" s="72"/>
      <c r="LMU150" s="72"/>
      <c r="LMV150" s="72"/>
      <c r="LMW150" s="72"/>
      <c r="LMX150" s="72"/>
      <c r="LMY150" s="72"/>
      <c r="LMZ150" s="72"/>
      <c r="LNA150" s="72"/>
      <c r="LNB150" s="72"/>
      <c r="LNC150" s="72"/>
      <c r="LND150" s="72"/>
      <c r="LNE150" s="72"/>
      <c r="LNF150" s="72"/>
      <c r="LNG150" s="72"/>
      <c r="LNH150" s="72"/>
      <c r="LNI150" s="72"/>
      <c r="LNJ150" s="72"/>
      <c r="LNK150" s="72"/>
      <c r="LNL150" s="72"/>
      <c r="LNM150" s="72"/>
      <c r="LNN150" s="72"/>
      <c r="LNO150" s="72"/>
      <c r="LNP150" s="72"/>
      <c r="LNQ150" s="72"/>
      <c r="LNR150" s="72"/>
      <c r="LNS150" s="72"/>
      <c r="LNT150" s="72"/>
      <c r="LNU150" s="72"/>
      <c r="LNV150" s="72"/>
      <c r="LNW150" s="72"/>
      <c r="LNX150" s="72"/>
      <c r="LNY150" s="72"/>
      <c r="LNZ150" s="72"/>
      <c r="LOA150" s="72"/>
      <c r="LOB150" s="72"/>
      <c r="LOC150" s="72"/>
      <c r="LOD150" s="72"/>
      <c r="LOE150" s="72"/>
      <c r="LOF150" s="72"/>
      <c r="LOG150" s="72"/>
      <c r="LOH150" s="72"/>
      <c r="LOI150" s="72"/>
      <c r="LOJ150" s="72"/>
      <c r="LOK150" s="72"/>
      <c r="LOL150" s="72"/>
      <c r="LOM150" s="72"/>
      <c r="LON150" s="72"/>
      <c r="LOO150" s="72"/>
      <c r="LOP150" s="72"/>
      <c r="LOQ150" s="72"/>
      <c r="LOR150" s="72"/>
      <c r="LOS150" s="72"/>
      <c r="LOT150" s="72"/>
      <c r="LOU150" s="72"/>
      <c r="LOV150" s="72"/>
      <c r="LOW150" s="72"/>
      <c r="LOX150" s="72"/>
      <c r="LOY150" s="72"/>
      <c r="LOZ150" s="72"/>
      <c r="LPA150" s="72"/>
      <c r="LPB150" s="72"/>
      <c r="LPC150" s="72"/>
      <c r="LPD150" s="72"/>
      <c r="LPE150" s="72"/>
      <c r="LPF150" s="72"/>
      <c r="LPG150" s="72"/>
      <c r="LPH150" s="72"/>
      <c r="LPI150" s="72"/>
      <c r="LPJ150" s="72"/>
      <c r="LPK150" s="72"/>
      <c r="LPL150" s="72"/>
      <c r="LPM150" s="72"/>
      <c r="LPN150" s="72"/>
      <c r="LPO150" s="72"/>
      <c r="LPP150" s="72"/>
      <c r="LPQ150" s="72"/>
      <c r="LPR150" s="72"/>
      <c r="LPS150" s="72"/>
      <c r="LPT150" s="72"/>
      <c r="LPU150" s="72"/>
      <c r="LPV150" s="72"/>
      <c r="LPW150" s="72"/>
      <c r="LPX150" s="72"/>
      <c r="LPY150" s="72"/>
      <c r="LPZ150" s="72"/>
      <c r="LQA150" s="72"/>
      <c r="LQB150" s="72"/>
      <c r="LQC150" s="72"/>
      <c r="LQD150" s="72"/>
      <c r="LQE150" s="72"/>
      <c r="LQF150" s="72"/>
      <c r="LQG150" s="72"/>
      <c r="LQH150" s="72"/>
      <c r="LQI150" s="72"/>
      <c r="LQJ150" s="72"/>
      <c r="LQK150" s="72"/>
      <c r="LQL150" s="72"/>
      <c r="LQM150" s="72"/>
      <c r="LQN150" s="72"/>
      <c r="LQO150" s="72"/>
      <c r="LQP150" s="72"/>
      <c r="LQQ150" s="72"/>
      <c r="LQR150" s="72"/>
      <c r="LQS150" s="72"/>
      <c r="LQT150" s="72"/>
      <c r="LQU150" s="72"/>
      <c r="LQV150" s="72"/>
      <c r="LQW150" s="72"/>
      <c r="LQX150" s="72"/>
      <c r="LQY150" s="72"/>
      <c r="LQZ150" s="72"/>
      <c r="LRA150" s="72"/>
      <c r="LRB150" s="72"/>
      <c r="LRC150" s="72"/>
      <c r="LRD150" s="72"/>
      <c r="LRE150" s="72"/>
      <c r="LRF150" s="72"/>
      <c r="LRG150" s="72"/>
      <c r="LRH150" s="72"/>
      <c r="LRI150" s="72"/>
      <c r="LRJ150" s="72"/>
      <c r="LRK150" s="72"/>
      <c r="LRL150" s="72"/>
      <c r="LRM150" s="72"/>
      <c r="LRN150" s="72"/>
      <c r="LRO150" s="72"/>
      <c r="LRP150" s="72"/>
      <c r="LRQ150" s="72"/>
      <c r="LRR150" s="72"/>
      <c r="LRS150" s="72"/>
      <c r="LRT150" s="72"/>
      <c r="LRU150" s="72"/>
      <c r="LRV150" s="72"/>
      <c r="LRW150" s="72"/>
      <c r="LRX150" s="72"/>
      <c r="LRY150" s="72"/>
      <c r="LRZ150" s="72"/>
      <c r="LSA150" s="72"/>
      <c r="LSB150" s="72"/>
      <c r="LSC150" s="72"/>
      <c r="LSD150" s="72"/>
      <c r="LSE150" s="72"/>
      <c r="LSF150" s="72"/>
      <c r="LSG150" s="72"/>
      <c r="LSH150" s="72"/>
      <c r="LSI150" s="72"/>
      <c r="LSJ150" s="72"/>
      <c r="LSK150" s="72"/>
      <c r="LSL150" s="72"/>
      <c r="LSM150" s="72"/>
      <c r="LSN150" s="72"/>
      <c r="LSO150" s="72"/>
      <c r="LSP150" s="72"/>
      <c r="LSQ150" s="72"/>
      <c r="LSR150" s="72"/>
      <c r="LSS150" s="72"/>
      <c r="LST150" s="72"/>
      <c r="LSU150" s="72"/>
      <c r="LSV150" s="72"/>
      <c r="LSW150" s="72"/>
      <c r="LSX150" s="72"/>
      <c r="LSY150" s="72"/>
      <c r="LSZ150" s="72"/>
      <c r="LTA150" s="72"/>
      <c r="LTB150" s="72"/>
      <c r="LTC150" s="72"/>
      <c r="LTD150" s="72"/>
      <c r="LTE150" s="72"/>
      <c r="LTF150" s="72"/>
      <c r="LTG150" s="72"/>
      <c r="LTH150" s="72"/>
      <c r="LTI150" s="72"/>
      <c r="LTJ150" s="72"/>
      <c r="LTK150" s="72"/>
      <c r="LTL150" s="72"/>
      <c r="LTM150" s="72"/>
      <c r="LTN150" s="72"/>
      <c r="LTO150" s="72"/>
      <c r="LTP150" s="72"/>
      <c r="LTQ150" s="72"/>
      <c r="LTR150" s="72"/>
      <c r="LTS150" s="72"/>
      <c r="LTT150" s="72"/>
      <c r="LTU150" s="72"/>
      <c r="LTV150" s="72"/>
      <c r="LTW150" s="72"/>
      <c r="LTX150" s="72"/>
      <c r="LTY150" s="72"/>
      <c r="LTZ150" s="72"/>
      <c r="LUA150" s="72"/>
      <c r="LUB150" s="72"/>
      <c r="LUC150" s="72"/>
      <c r="LUD150" s="72"/>
      <c r="LUE150" s="72"/>
      <c r="LUF150" s="72"/>
      <c r="LUG150" s="72"/>
      <c r="LUH150" s="72"/>
      <c r="LUI150" s="72"/>
      <c r="LUJ150" s="72"/>
      <c r="LUK150" s="72"/>
      <c r="LUL150" s="72"/>
      <c r="LUM150" s="72"/>
      <c r="LUN150" s="72"/>
      <c r="LUO150" s="72"/>
      <c r="LUP150" s="72"/>
      <c r="LUQ150" s="72"/>
      <c r="LUR150" s="72"/>
      <c r="LUS150" s="72"/>
      <c r="LUT150" s="72"/>
      <c r="LUU150" s="72"/>
      <c r="LUV150" s="72"/>
      <c r="LUW150" s="72"/>
      <c r="LUX150" s="72"/>
      <c r="LUY150" s="72"/>
      <c r="LUZ150" s="72"/>
      <c r="LVA150" s="72"/>
      <c r="LVB150" s="72"/>
      <c r="LVC150" s="72"/>
      <c r="LVD150" s="72"/>
      <c r="LVE150" s="72"/>
      <c r="LVF150" s="72"/>
      <c r="LVG150" s="72"/>
      <c r="LVH150" s="72"/>
      <c r="LVI150" s="72"/>
      <c r="LVJ150" s="72"/>
      <c r="LVK150" s="72"/>
      <c r="LVL150" s="72"/>
      <c r="LVM150" s="72"/>
      <c r="LVN150" s="72"/>
      <c r="LVO150" s="72"/>
      <c r="LVP150" s="72"/>
      <c r="LVQ150" s="72"/>
      <c r="LVR150" s="72"/>
      <c r="LVS150" s="72"/>
      <c r="LVT150" s="72"/>
      <c r="LVU150" s="72"/>
      <c r="LVV150" s="72"/>
      <c r="LVW150" s="72"/>
      <c r="LVX150" s="72"/>
      <c r="LVY150" s="72"/>
      <c r="LVZ150" s="72"/>
      <c r="LWA150" s="72"/>
      <c r="LWB150" s="72"/>
      <c r="LWC150" s="72"/>
      <c r="LWD150" s="72"/>
      <c r="LWE150" s="72"/>
      <c r="LWF150" s="72"/>
      <c r="LWG150" s="72"/>
      <c r="LWH150" s="72"/>
      <c r="LWI150" s="72"/>
      <c r="LWJ150" s="72"/>
      <c r="LWK150" s="72"/>
      <c r="LWL150" s="72"/>
      <c r="LWM150" s="72"/>
      <c r="LWN150" s="72"/>
      <c r="LWO150" s="72"/>
      <c r="LWP150" s="72"/>
      <c r="LWQ150" s="72"/>
      <c r="LWR150" s="72"/>
      <c r="LWS150" s="72"/>
      <c r="LWT150" s="72"/>
      <c r="LWU150" s="72"/>
      <c r="LWV150" s="72"/>
      <c r="LWW150" s="72"/>
      <c r="LWX150" s="72"/>
      <c r="LWY150" s="72"/>
      <c r="LWZ150" s="72"/>
      <c r="LXA150" s="72"/>
      <c r="LXB150" s="72"/>
      <c r="LXC150" s="72"/>
      <c r="LXD150" s="72"/>
      <c r="LXE150" s="72"/>
      <c r="LXF150" s="72"/>
      <c r="LXG150" s="72"/>
      <c r="LXH150" s="72"/>
      <c r="LXI150" s="72"/>
      <c r="LXJ150" s="72"/>
      <c r="LXK150" s="72"/>
      <c r="LXL150" s="72"/>
      <c r="LXM150" s="72"/>
      <c r="LXN150" s="72"/>
      <c r="LXO150" s="72"/>
      <c r="LXP150" s="72"/>
      <c r="LXQ150" s="72"/>
      <c r="LXR150" s="72"/>
      <c r="LXS150" s="72"/>
      <c r="LXT150" s="72"/>
      <c r="LXU150" s="72"/>
      <c r="LXV150" s="72"/>
      <c r="LXW150" s="72"/>
      <c r="LXX150" s="72"/>
      <c r="LXY150" s="72"/>
      <c r="LXZ150" s="72"/>
      <c r="LYA150" s="72"/>
      <c r="LYB150" s="72"/>
      <c r="LYC150" s="72"/>
      <c r="LYD150" s="72"/>
      <c r="LYE150" s="72"/>
      <c r="LYF150" s="72"/>
      <c r="LYG150" s="72"/>
      <c r="LYH150" s="72"/>
      <c r="LYI150" s="72"/>
      <c r="LYJ150" s="72"/>
      <c r="LYK150" s="72"/>
      <c r="LYL150" s="72"/>
      <c r="LYM150" s="72"/>
      <c r="LYN150" s="72"/>
      <c r="LYO150" s="72"/>
      <c r="LYP150" s="72"/>
      <c r="LYQ150" s="72"/>
      <c r="LYR150" s="72"/>
      <c r="LYS150" s="72"/>
      <c r="LYT150" s="72"/>
      <c r="LYU150" s="72"/>
      <c r="LYV150" s="72"/>
      <c r="LYW150" s="72"/>
      <c r="LYX150" s="72"/>
      <c r="LYY150" s="72"/>
      <c r="LYZ150" s="72"/>
      <c r="LZA150" s="72"/>
      <c r="LZB150" s="72"/>
      <c r="LZC150" s="72"/>
      <c r="LZD150" s="72"/>
      <c r="LZE150" s="72"/>
      <c r="LZF150" s="72"/>
      <c r="LZG150" s="72"/>
      <c r="LZH150" s="72"/>
      <c r="LZI150" s="72"/>
      <c r="LZJ150" s="72"/>
      <c r="LZK150" s="72"/>
      <c r="LZL150" s="72"/>
      <c r="LZM150" s="72"/>
      <c r="LZN150" s="72"/>
      <c r="LZO150" s="72"/>
      <c r="LZP150" s="72"/>
      <c r="LZQ150" s="72"/>
      <c r="LZR150" s="72"/>
      <c r="LZS150" s="72"/>
      <c r="LZT150" s="72"/>
      <c r="LZU150" s="72"/>
      <c r="LZV150" s="72"/>
      <c r="LZW150" s="72"/>
      <c r="LZX150" s="72"/>
      <c r="LZY150" s="72"/>
      <c r="LZZ150" s="72"/>
      <c r="MAA150" s="72"/>
      <c r="MAB150" s="72"/>
      <c r="MAC150" s="72"/>
      <c r="MAD150" s="72"/>
      <c r="MAE150" s="72"/>
      <c r="MAF150" s="72"/>
      <c r="MAG150" s="72"/>
      <c r="MAH150" s="72"/>
      <c r="MAI150" s="72"/>
      <c r="MAJ150" s="72"/>
      <c r="MAK150" s="72"/>
      <c r="MAL150" s="72"/>
      <c r="MAM150" s="72"/>
      <c r="MAN150" s="72"/>
      <c r="MAO150" s="72"/>
      <c r="MAP150" s="72"/>
      <c r="MAQ150" s="72"/>
      <c r="MAR150" s="72"/>
      <c r="MAS150" s="72"/>
      <c r="MAT150" s="72"/>
      <c r="MAU150" s="72"/>
      <c r="MAV150" s="72"/>
      <c r="MAW150" s="72"/>
      <c r="MAX150" s="72"/>
      <c r="MAY150" s="72"/>
      <c r="MAZ150" s="72"/>
      <c r="MBA150" s="72"/>
      <c r="MBB150" s="72"/>
      <c r="MBC150" s="72"/>
      <c r="MBD150" s="72"/>
      <c r="MBE150" s="72"/>
      <c r="MBF150" s="72"/>
      <c r="MBG150" s="72"/>
      <c r="MBH150" s="72"/>
      <c r="MBI150" s="72"/>
      <c r="MBJ150" s="72"/>
      <c r="MBK150" s="72"/>
      <c r="MBL150" s="72"/>
      <c r="MBM150" s="72"/>
      <c r="MBN150" s="72"/>
      <c r="MBO150" s="72"/>
      <c r="MBP150" s="72"/>
      <c r="MBQ150" s="72"/>
      <c r="MBR150" s="72"/>
      <c r="MBS150" s="72"/>
      <c r="MBT150" s="72"/>
      <c r="MBU150" s="72"/>
      <c r="MBV150" s="72"/>
      <c r="MBW150" s="72"/>
      <c r="MBX150" s="72"/>
      <c r="MBY150" s="72"/>
      <c r="MBZ150" s="72"/>
      <c r="MCA150" s="72"/>
      <c r="MCB150" s="72"/>
      <c r="MCC150" s="72"/>
      <c r="MCD150" s="72"/>
      <c r="MCE150" s="72"/>
      <c r="MCF150" s="72"/>
      <c r="MCG150" s="72"/>
      <c r="MCH150" s="72"/>
      <c r="MCI150" s="72"/>
      <c r="MCJ150" s="72"/>
      <c r="MCK150" s="72"/>
      <c r="MCL150" s="72"/>
      <c r="MCM150" s="72"/>
      <c r="MCN150" s="72"/>
      <c r="MCO150" s="72"/>
      <c r="MCP150" s="72"/>
      <c r="MCQ150" s="72"/>
      <c r="MCR150" s="72"/>
      <c r="MCS150" s="72"/>
      <c r="MCT150" s="72"/>
      <c r="MCU150" s="72"/>
      <c r="MCV150" s="72"/>
      <c r="MCW150" s="72"/>
      <c r="MCX150" s="72"/>
      <c r="MCY150" s="72"/>
      <c r="MCZ150" s="72"/>
      <c r="MDA150" s="72"/>
      <c r="MDB150" s="72"/>
      <c r="MDC150" s="72"/>
      <c r="MDD150" s="72"/>
      <c r="MDE150" s="72"/>
      <c r="MDF150" s="72"/>
      <c r="MDG150" s="72"/>
      <c r="MDH150" s="72"/>
      <c r="MDI150" s="72"/>
      <c r="MDJ150" s="72"/>
      <c r="MDK150" s="72"/>
      <c r="MDL150" s="72"/>
      <c r="MDM150" s="72"/>
      <c r="MDN150" s="72"/>
      <c r="MDO150" s="72"/>
      <c r="MDP150" s="72"/>
      <c r="MDQ150" s="72"/>
      <c r="MDR150" s="72"/>
      <c r="MDS150" s="72"/>
      <c r="MDT150" s="72"/>
      <c r="MDU150" s="72"/>
      <c r="MDV150" s="72"/>
      <c r="MDW150" s="72"/>
      <c r="MDX150" s="72"/>
      <c r="MDY150" s="72"/>
      <c r="MDZ150" s="72"/>
      <c r="MEA150" s="72"/>
      <c r="MEB150" s="72"/>
      <c r="MEC150" s="72"/>
      <c r="MED150" s="72"/>
      <c r="MEE150" s="72"/>
      <c r="MEF150" s="72"/>
      <c r="MEG150" s="72"/>
      <c r="MEH150" s="72"/>
      <c r="MEI150" s="72"/>
      <c r="MEJ150" s="72"/>
      <c r="MEK150" s="72"/>
      <c r="MEL150" s="72"/>
      <c r="MEM150" s="72"/>
      <c r="MEN150" s="72"/>
      <c r="MEO150" s="72"/>
      <c r="MEP150" s="72"/>
      <c r="MEQ150" s="72"/>
      <c r="MER150" s="72"/>
      <c r="MES150" s="72"/>
      <c r="MET150" s="72"/>
      <c r="MEU150" s="72"/>
      <c r="MEV150" s="72"/>
      <c r="MEW150" s="72"/>
      <c r="MEX150" s="72"/>
      <c r="MEY150" s="72"/>
      <c r="MEZ150" s="72"/>
      <c r="MFA150" s="72"/>
      <c r="MFB150" s="72"/>
      <c r="MFC150" s="72"/>
      <c r="MFD150" s="72"/>
      <c r="MFE150" s="72"/>
      <c r="MFF150" s="72"/>
      <c r="MFG150" s="72"/>
      <c r="MFH150" s="72"/>
      <c r="MFI150" s="72"/>
      <c r="MFJ150" s="72"/>
      <c r="MFK150" s="72"/>
      <c r="MFL150" s="72"/>
      <c r="MFM150" s="72"/>
      <c r="MFN150" s="72"/>
      <c r="MFO150" s="72"/>
      <c r="MFP150" s="72"/>
      <c r="MFQ150" s="72"/>
      <c r="MFR150" s="72"/>
      <c r="MFS150" s="72"/>
      <c r="MFT150" s="72"/>
      <c r="MFU150" s="72"/>
      <c r="MFV150" s="72"/>
      <c r="MFW150" s="72"/>
      <c r="MFX150" s="72"/>
      <c r="MFY150" s="72"/>
      <c r="MFZ150" s="72"/>
      <c r="MGA150" s="72"/>
      <c r="MGB150" s="72"/>
      <c r="MGC150" s="72"/>
      <c r="MGD150" s="72"/>
      <c r="MGE150" s="72"/>
      <c r="MGF150" s="72"/>
      <c r="MGG150" s="72"/>
      <c r="MGH150" s="72"/>
      <c r="MGI150" s="72"/>
      <c r="MGJ150" s="72"/>
      <c r="MGK150" s="72"/>
      <c r="MGL150" s="72"/>
      <c r="MGM150" s="72"/>
      <c r="MGN150" s="72"/>
      <c r="MGO150" s="72"/>
      <c r="MGP150" s="72"/>
      <c r="MGQ150" s="72"/>
      <c r="MGR150" s="72"/>
      <c r="MGS150" s="72"/>
      <c r="MGT150" s="72"/>
      <c r="MGU150" s="72"/>
      <c r="MGV150" s="72"/>
      <c r="MGW150" s="72"/>
      <c r="MGX150" s="72"/>
      <c r="MGY150" s="72"/>
      <c r="MGZ150" s="72"/>
      <c r="MHA150" s="72"/>
      <c r="MHB150" s="72"/>
      <c r="MHC150" s="72"/>
      <c r="MHD150" s="72"/>
      <c r="MHE150" s="72"/>
      <c r="MHF150" s="72"/>
      <c r="MHG150" s="72"/>
      <c r="MHH150" s="72"/>
      <c r="MHI150" s="72"/>
      <c r="MHJ150" s="72"/>
      <c r="MHK150" s="72"/>
      <c r="MHL150" s="72"/>
      <c r="MHM150" s="72"/>
      <c r="MHN150" s="72"/>
      <c r="MHO150" s="72"/>
      <c r="MHP150" s="72"/>
      <c r="MHQ150" s="72"/>
      <c r="MHR150" s="72"/>
      <c r="MHS150" s="72"/>
      <c r="MHT150" s="72"/>
      <c r="MHU150" s="72"/>
      <c r="MHV150" s="72"/>
      <c r="MHW150" s="72"/>
      <c r="MHX150" s="72"/>
      <c r="MHY150" s="72"/>
      <c r="MHZ150" s="72"/>
      <c r="MIA150" s="72"/>
      <c r="MIB150" s="72"/>
      <c r="MIC150" s="72"/>
      <c r="MID150" s="72"/>
      <c r="MIE150" s="72"/>
      <c r="MIF150" s="72"/>
      <c r="MIG150" s="72"/>
      <c r="MIH150" s="72"/>
      <c r="MII150" s="72"/>
      <c r="MIJ150" s="72"/>
      <c r="MIK150" s="72"/>
      <c r="MIL150" s="72"/>
      <c r="MIM150" s="72"/>
      <c r="MIN150" s="72"/>
      <c r="MIO150" s="72"/>
      <c r="MIP150" s="72"/>
      <c r="MIQ150" s="72"/>
      <c r="MIR150" s="72"/>
      <c r="MIS150" s="72"/>
      <c r="MIT150" s="72"/>
      <c r="MIU150" s="72"/>
      <c r="MIV150" s="72"/>
      <c r="MIW150" s="72"/>
      <c r="MIX150" s="72"/>
      <c r="MIY150" s="72"/>
      <c r="MIZ150" s="72"/>
      <c r="MJA150" s="72"/>
      <c r="MJB150" s="72"/>
      <c r="MJC150" s="72"/>
      <c r="MJD150" s="72"/>
      <c r="MJE150" s="72"/>
      <c r="MJF150" s="72"/>
      <c r="MJG150" s="72"/>
      <c r="MJH150" s="72"/>
      <c r="MJI150" s="72"/>
      <c r="MJJ150" s="72"/>
      <c r="MJK150" s="72"/>
      <c r="MJL150" s="72"/>
      <c r="MJM150" s="72"/>
      <c r="MJN150" s="72"/>
      <c r="MJO150" s="72"/>
      <c r="MJP150" s="72"/>
      <c r="MJQ150" s="72"/>
      <c r="MJR150" s="72"/>
      <c r="MJS150" s="72"/>
      <c r="MJT150" s="72"/>
      <c r="MJU150" s="72"/>
      <c r="MJV150" s="72"/>
      <c r="MJW150" s="72"/>
      <c r="MJX150" s="72"/>
      <c r="MJY150" s="72"/>
      <c r="MJZ150" s="72"/>
      <c r="MKA150" s="72"/>
      <c r="MKB150" s="72"/>
      <c r="MKC150" s="72"/>
      <c r="MKD150" s="72"/>
      <c r="MKE150" s="72"/>
      <c r="MKF150" s="72"/>
      <c r="MKG150" s="72"/>
      <c r="MKH150" s="72"/>
      <c r="MKI150" s="72"/>
      <c r="MKJ150" s="72"/>
      <c r="MKK150" s="72"/>
      <c r="MKL150" s="72"/>
      <c r="MKM150" s="72"/>
      <c r="MKN150" s="72"/>
      <c r="MKO150" s="72"/>
      <c r="MKP150" s="72"/>
      <c r="MKQ150" s="72"/>
      <c r="MKR150" s="72"/>
      <c r="MKS150" s="72"/>
      <c r="MKT150" s="72"/>
      <c r="MKU150" s="72"/>
      <c r="MKV150" s="72"/>
      <c r="MKW150" s="72"/>
      <c r="MKX150" s="72"/>
      <c r="MKY150" s="72"/>
      <c r="MKZ150" s="72"/>
      <c r="MLA150" s="72"/>
      <c r="MLB150" s="72"/>
      <c r="MLC150" s="72"/>
      <c r="MLD150" s="72"/>
      <c r="MLE150" s="72"/>
      <c r="MLF150" s="72"/>
      <c r="MLG150" s="72"/>
      <c r="MLH150" s="72"/>
      <c r="MLI150" s="72"/>
      <c r="MLJ150" s="72"/>
      <c r="MLK150" s="72"/>
      <c r="MLL150" s="72"/>
      <c r="MLM150" s="72"/>
      <c r="MLN150" s="72"/>
      <c r="MLO150" s="72"/>
      <c r="MLP150" s="72"/>
      <c r="MLQ150" s="72"/>
      <c r="MLR150" s="72"/>
      <c r="MLS150" s="72"/>
      <c r="MLT150" s="72"/>
      <c r="MLU150" s="72"/>
      <c r="MLV150" s="72"/>
      <c r="MLW150" s="72"/>
      <c r="MLX150" s="72"/>
      <c r="MLY150" s="72"/>
      <c r="MLZ150" s="72"/>
      <c r="MMA150" s="72"/>
      <c r="MMB150" s="72"/>
      <c r="MMC150" s="72"/>
      <c r="MMD150" s="72"/>
      <c r="MME150" s="72"/>
      <c r="MMF150" s="72"/>
      <c r="MMG150" s="72"/>
      <c r="MMH150" s="72"/>
      <c r="MMI150" s="72"/>
      <c r="MMJ150" s="72"/>
      <c r="MMK150" s="72"/>
      <c r="MML150" s="72"/>
      <c r="MMM150" s="72"/>
      <c r="MMN150" s="72"/>
      <c r="MMO150" s="72"/>
      <c r="MMP150" s="72"/>
      <c r="MMQ150" s="72"/>
      <c r="MMR150" s="72"/>
      <c r="MMS150" s="72"/>
      <c r="MMT150" s="72"/>
      <c r="MMU150" s="72"/>
      <c r="MMV150" s="72"/>
      <c r="MMW150" s="72"/>
      <c r="MMX150" s="72"/>
      <c r="MMY150" s="72"/>
      <c r="MMZ150" s="72"/>
      <c r="MNA150" s="72"/>
      <c r="MNB150" s="72"/>
      <c r="MNC150" s="72"/>
      <c r="MND150" s="72"/>
      <c r="MNE150" s="72"/>
      <c r="MNF150" s="72"/>
      <c r="MNG150" s="72"/>
      <c r="MNH150" s="72"/>
      <c r="MNI150" s="72"/>
      <c r="MNJ150" s="72"/>
      <c r="MNK150" s="72"/>
      <c r="MNL150" s="72"/>
      <c r="MNM150" s="72"/>
      <c r="MNN150" s="72"/>
      <c r="MNO150" s="72"/>
      <c r="MNP150" s="72"/>
      <c r="MNQ150" s="72"/>
      <c r="MNR150" s="72"/>
      <c r="MNS150" s="72"/>
      <c r="MNT150" s="72"/>
      <c r="MNU150" s="72"/>
      <c r="MNV150" s="72"/>
      <c r="MNW150" s="72"/>
      <c r="MNX150" s="72"/>
      <c r="MNY150" s="72"/>
      <c r="MNZ150" s="72"/>
      <c r="MOA150" s="72"/>
      <c r="MOB150" s="72"/>
      <c r="MOC150" s="72"/>
      <c r="MOD150" s="72"/>
      <c r="MOE150" s="72"/>
      <c r="MOF150" s="72"/>
      <c r="MOG150" s="72"/>
      <c r="MOH150" s="72"/>
      <c r="MOI150" s="72"/>
      <c r="MOJ150" s="72"/>
      <c r="MOK150" s="72"/>
      <c r="MOL150" s="72"/>
      <c r="MOM150" s="72"/>
      <c r="MON150" s="72"/>
      <c r="MOO150" s="72"/>
      <c r="MOP150" s="72"/>
      <c r="MOQ150" s="72"/>
      <c r="MOR150" s="72"/>
      <c r="MOS150" s="72"/>
      <c r="MOT150" s="72"/>
      <c r="MOU150" s="72"/>
      <c r="MOV150" s="72"/>
      <c r="MOW150" s="72"/>
      <c r="MOX150" s="72"/>
      <c r="MOY150" s="72"/>
      <c r="MOZ150" s="72"/>
      <c r="MPA150" s="72"/>
      <c r="MPB150" s="72"/>
      <c r="MPC150" s="72"/>
      <c r="MPD150" s="72"/>
      <c r="MPE150" s="72"/>
      <c r="MPF150" s="72"/>
      <c r="MPG150" s="72"/>
      <c r="MPH150" s="72"/>
      <c r="MPI150" s="72"/>
      <c r="MPJ150" s="72"/>
      <c r="MPK150" s="72"/>
      <c r="MPL150" s="72"/>
      <c r="MPM150" s="72"/>
      <c r="MPN150" s="72"/>
      <c r="MPO150" s="72"/>
      <c r="MPP150" s="72"/>
      <c r="MPQ150" s="72"/>
      <c r="MPR150" s="72"/>
      <c r="MPS150" s="72"/>
      <c r="MPT150" s="72"/>
      <c r="MPU150" s="72"/>
      <c r="MPV150" s="72"/>
      <c r="MPW150" s="72"/>
      <c r="MPX150" s="72"/>
      <c r="MPY150" s="72"/>
      <c r="MPZ150" s="72"/>
      <c r="MQA150" s="72"/>
      <c r="MQB150" s="72"/>
      <c r="MQC150" s="72"/>
      <c r="MQD150" s="72"/>
      <c r="MQE150" s="72"/>
      <c r="MQF150" s="72"/>
      <c r="MQG150" s="72"/>
      <c r="MQH150" s="72"/>
      <c r="MQI150" s="72"/>
      <c r="MQJ150" s="72"/>
      <c r="MQK150" s="72"/>
      <c r="MQL150" s="72"/>
      <c r="MQM150" s="72"/>
      <c r="MQN150" s="72"/>
      <c r="MQO150" s="72"/>
      <c r="MQP150" s="72"/>
      <c r="MQQ150" s="72"/>
      <c r="MQR150" s="72"/>
      <c r="MQS150" s="72"/>
      <c r="MQT150" s="72"/>
      <c r="MQU150" s="72"/>
      <c r="MQV150" s="72"/>
      <c r="MQW150" s="72"/>
      <c r="MQX150" s="72"/>
      <c r="MQY150" s="72"/>
      <c r="MQZ150" s="72"/>
      <c r="MRA150" s="72"/>
      <c r="MRB150" s="72"/>
      <c r="MRC150" s="72"/>
      <c r="MRD150" s="72"/>
      <c r="MRE150" s="72"/>
      <c r="MRF150" s="72"/>
      <c r="MRG150" s="72"/>
      <c r="MRH150" s="72"/>
      <c r="MRI150" s="72"/>
      <c r="MRJ150" s="72"/>
      <c r="MRK150" s="72"/>
      <c r="MRL150" s="72"/>
      <c r="MRM150" s="72"/>
      <c r="MRN150" s="72"/>
      <c r="MRO150" s="72"/>
      <c r="MRP150" s="72"/>
      <c r="MRQ150" s="72"/>
      <c r="MRR150" s="72"/>
      <c r="MRS150" s="72"/>
      <c r="MRT150" s="72"/>
      <c r="MRU150" s="72"/>
      <c r="MRV150" s="72"/>
      <c r="MRW150" s="72"/>
      <c r="MRX150" s="72"/>
      <c r="MRY150" s="72"/>
      <c r="MRZ150" s="72"/>
      <c r="MSA150" s="72"/>
      <c r="MSB150" s="72"/>
      <c r="MSC150" s="72"/>
      <c r="MSD150" s="72"/>
      <c r="MSE150" s="72"/>
      <c r="MSF150" s="72"/>
      <c r="MSG150" s="72"/>
      <c r="MSH150" s="72"/>
      <c r="MSI150" s="72"/>
      <c r="MSJ150" s="72"/>
      <c r="MSK150" s="72"/>
      <c r="MSL150" s="72"/>
      <c r="MSM150" s="72"/>
      <c r="MSN150" s="72"/>
      <c r="MSO150" s="72"/>
      <c r="MSP150" s="72"/>
      <c r="MSQ150" s="72"/>
      <c r="MSR150" s="72"/>
      <c r="MSS150" s="72"/>
      <c r="MST150" s="72"/>
      <c r="MSU150" s="72"/>
      <c r="MSV150" s="72"/>
      <c r="MSW150" s="72"/>
      <c r="MSX150" s="72"/>
      <c r="MSY150" s="72"/>
      <c r="MSZ150" s="72"/>
      <c r="MTA150" s="72"/>
      <c r="MTB150" s="72"/>
      <c r="MTC150" s="72"/>
      <c r="MTD150" s="72"/>
      <c r="MTE150" s="72"/>
      <c r="MTF150" s="72"/>
      <c r="MTG150" s="72"/>
      <c r="MTH150" s="72"/>
      <c r="MTI150" s="72"/>
      <c r="MTJ150" s="72"/>
      <c r="MTK150" s="72"/>
      <c r="MTL150" s="72"/>
      <c r="MTM150" s="72"/>
      <c r="MTN150" s="72"/>
      <c r="MTO150" s="72"/>
      <c r="MTP150" s="72"/>
      <c r="MTQ150" s="72"/>
      <c r="MTR150" s="72"/>
      <c r="MTS150" s="72"/>
      <c r="MTT150" s="72"/>
      <c r="MTU150" s="72"/>
      <c r="MTV150" s="72"/>
      <c r="MTW150" s="72"/>
      <c r="MTX150" s="72"/>
      <c r="MTY150" s="72"/>
      <c r="MTZ150" s="72"/>
      <c r="MUA150" s="72"/>
      <c r="MUB150" s="72"/>
      <c r="MUC150" s="72"/>
      <c r="MUD150" s="72"/>
      <c r="MUE150" s="72"/>
      <c r="MUF150" s="72"/>
      <c r="MUG150" s="72"/>
      <c r="MUH150" s="72"/>
      <c r="MUI150" s="72"/>
      <c r="MUJ150" s="72"/>
      <c r="MUK150" s="72"/>
      <c r="MUL150" s="72"/>
      <c r="MUM150" s="72"/>
      <c r="MUN150" s="72"/>
      <c r="MUO150" s="72"/>
      <c r="MUP150" s="72"/>
      <c r="MUQ150" s="72"/>
      <c r="MUR150" s="72"/>
      <c r="MUS150" s="72"/>
      <c r="MUT150" s="72"/>
      <c r="MUU150" s="72"/>
      <c r="MUV150" s="72"/>
      <c r="MUW150" s="72"/>
      <c r="MUX150" s="72"/>
      <c r="MUY150" s="72"/>
      <c r="MUZ150" s="72"/>
      <c r="MVA150" s="72"/>
      <c r="MVB150" s="72"/>
      <c r="MVC150" s="72"/>
      <c r="MVD150" s="72"/>
      <c r="MVE150" s="72"/>
      <c r="MVF150" s="72"/>
      <c r="MVG150" s="72"/>
      <c r="MVH150" s="72"/>
      <c r="MVI150" s="72"/>
      <c r="MVJ150" s="72"/>
      <c r="MVK150" s="72"/>
      <c r="MVL150" s="72"/>
      <c r="MVM150" s="72"/>
      <c r="MVN150" s="72"/>
      <c r="MVO150" s="72"/>
      <c r="MVP150" s="72"/>
      <c r="MVQ150" s="72"/>
      <c r="MVR150" s="72"/>
      <c r="MVS150" s="72"/>
      <c r="MVT150" s="72"/>
      <c r="MVU150" s="72"/>
      <c r="MVV150" s="72"/>
      <c r="MVW150" s="72"/>
      <c r="MVX150" s="72"/>
      <c r="MVY150" s="72"/>
      <c r="MVZ150" s="72"/>
      <c r="MWA150" s="72"/>
      <c r="MWB150" s="72"/>
      <c r="MWC150" s="72"/>
      <c r="MWD150" s="72"/>
      <c r="MWE150" s="72"/>
      <c r="MWF150" s="72"/>
      <c r="MWG150" s="72"/>
      <c r="MWH150" s="72"/>
      <c r="MWI150" s="72"/>
      <c r="MWJ150" s="72"/>
      <c r="MWK150" s="72"/>
      <c r="MWL150" s="72"/>
      <c r="MWM150" s="72"/>
      <c r="MWN150" s="72"/>
      <c r="MWO150" s="72"/>
      <c r="MWP150" s="72"/>
      <c r="MWQ150" s="72"/>
      <c r="MWR150" s="72"/>
      <c r="MWS150" s="72"/>
      <c r="MWT150" s="72"/>
      <c r="MWU150" s="72"/>
      <c r="MWV150" s="72"/>
      <c r="MWW150" s="72"/>
      <c r="MWX150" s="72"/>
      <c r="MWY150" s="72"/>
      <c r="MWZ150" s="72"/>
      <c r="MXA150" s="72"/>
      <c r="MXB150" s="72"/>
      <c r="MXC150" s="72"/>
      <c r="MXD150" s="72"/>
      <c r="MXE150" s="72"/>
      <c r="MXF150" s="72"/>
      <c r="MXG150" s="72"/>
      <c r="MXH150" s="72"/>
      <c r="MXI150" s="72"/>
      <c r="MXJ150" s="72"/>
      <c r="MXK150" s="72"/>
      <c r="MXL150" s="72"/>
      <c r="MXM150" s="72"/>
      <c r="MXN150" s="72"/>
      <c r="MXO150" s="72"/>
      <c r="MXP150" s="72"/>
      <c r="MXQ150" s="72"/>
      <c r="MXR150" s="72"/>
      <c r="MXS150" s="72"/>
      <c r="MXT150" s="72"/>
      <c r="MXU150" s="72"/>
      <c r="MXV150" s="72"/>
      <c r="MXW150" s="72"/>
      <c r="MXX150" s="72"/>
      <c r="MXY150" s="72"/>
      <c r="MXZ150" s="72"/>
      <c r="MYA150" s="72"/>
      <c r="MYB150" s="72"/>
      <c r="MYC150" s="72"/>
      <c r="MYD150" s="72"/>
      <c r="MYE150" s="72"/>
      <c r="MYF150" s="72"/>
      <c r="MYG150" s="72"/>
      <c r="MYH150" s="72"/>
      <c r="MYI150" s="72"/>
      <c r="MYJ150" s="72"/>
      <c r="MYK150" s="72"/>
      <c r="MYL150" s="72"/>
      <c r="MYM150" s="72"/>
      <c r="MYN150" s="72"/>
      <c r="MYO150" s="72"/>
      <c r="MYP150" s="72"/>
      <c r="MYQ150" s="72"/>
      <c r="MYR150" s="72"/>
      <c r="MYS150" s="72"/>
      <c r="MYT150" s="72"/>
      <c r="MYU150" s="72"/>
      <c r="MYV150" s="72"/>
      <c r="MYW150" s="72"/>
      <c r="MYX150" s="72"/>
      <c r="MYY150" s="72"/>
      <c r="MYZ150" s="72"/>
      <c r="MZA150" s="72"/>
      <c r="MZB150" s="72"/>
      <c r="MZC150" s="72"/>
      <c r="MZD150" s="72"/>
      <c r="MZE150" s="72"/>
      <c r="MZF150" s="72"/>
      <c r="MZG150" s="72"/>
      <c r="MZH150" s="72"/>
      <c r="MZI150" s="72"/>
      <c r="MZJ150" s="72"/>
      <c r="MZK150" s="72"/>
      <c r="MZL150" s="72"/>
      <c r="MZM150" s="72"/>
      <c r="MZN150" s="72"/>
      <c r="MZO150" s="72"/>
      <c r="MZP150" s="72"/>
      <c r="MZQ150" s="72"/>
      <c r="MZR150" s="72"/>
      <c r="MZS150" s="72"/>
      <c r="MZT150" s="72"/>
      <c r="MZU150" s="72"/>
      <c r="MZV150" s="72"/>
      <c r="MZW150" s="72"/>
      <c r="MZX150" s="72"/>
      <c r="MZY150" s="72"/>
      <c r="MZZ150" s="72"/>
      <c r="NAA150" s="72"/>
      <c r="NAB150" s="72"/>
      <c r="NAC150" s="72"/>
      <c r="NAD150" s="72"/>
      <c r="NAE150" s="72"/>
      <c r="NAF150" s="72"/>
      <c r="NAG150" s="72"/>
      <c r="NAH150" s="72"/>
      <c r="NAI150" s="72"/>
      <c r="NAJ150" s="72"/>
      <c r="NAK150" s="72"/>
      <c r="NAL150" s="72"/>
      <c r="NAM150" s="72"/>
      <c r="NAN150" s="72"/>
      <c r="NAO150" s="72"/>
      <c r="NAP150" s="72"/>
      <c r="NAQ150" s="72"/>
      <c r="NAR150" s="72"/>
      <c r="NAS150" s="72"/>
      <c r="NAT150" s="72"/>
      <c r="NAU150" s="72"/>
      <c r="NAV150" s="72"/>
      <c r="NAW150" s="72"/>
      <c r="NAX150" s="72"/>
      <c r="NAY150" s="72"/>
      <c r="NAZ150" s="72"/>
      <c r="NBA150" s="72"/>
      <c r="NBB150" s="72"/>
      <c r="NBC150" s="72"/>
      <c r="NBD150" s="72"/>
      <c r="NBE150" s="72"/>
      <c r="NBF150" s="72"/>
      <c r="NBG150" s="72"/>
      <c r="NBH150" s="72"/>
      <c r="NBI150" s="72"/>
      <c r="NBJ150" s="72"/>
      <c r="NBK150" s="72"/>
      <c r="NBL150" s="72"/>
      <c r="NBM150" s="72"/>
      <c r="NBN150" s="72"/>
      <c r="NBO150" s="72"/>
      <c r="NBP150" s="72"/>
      <c r="NBQ150" s="72"/>
      <c r="NBR150" s="72"/>
      <c r="NBS150" s="72"/>
      <c r="NBT150" s="72"/>
      <c r="NBU150" s="72"/>
      <c r="NBV150" s="72"/>
      <c r="NBW150" s="72"/>
      <c r="NBX150" s="72"/>
      <c r="NBY150" s="72"/>
      <c r="NBZ150" s="72"/>
      <c r="NCA150" s="72"/>
      <c r="NCB150" s="72"/>
      <c r="NCC150" s="72"/>
      <c r="NCD150" s="72"/>
      <c r="NCE150" s="72"/>
      <c r="NCF150" s="72"/>
      <c r="NCG150" s="72"/>
      <c r="NCH150" s="72"/>
      <c r="NCI150" s="72"/>
      <c r="NCJ150" s="72"/>
      <c r="NCK150" s="72"/>
      <c r="NCL150" s="72"/>
      <c r="NCM150" s="72"/>
      <c r="NCN150" s="72"/>
      <c r="NCO150" s="72"/>
      <c r="NCP150" s="72"/>
      <c r="NCQ150" s="72"/>
      <c r="NCR150" s="72"/>
      <c r="NCS150" s="72"/>
      <c r="NCT150" s="72"/>
      <c r="NCU150" s="72"/>
      <c r="NCV150" s="72"/>
      <c r="NCW150" s="72"/>
      <c r="NCX150" s="72"/>
      <c r="NCY150" s="72"/>
      <c r="NCZ150" s="72"/>
      <c r="NDA150" s="72"/>
      <c r="NDB150" s="72"/>
      <c r="NDC150" s="72"/>
      <c r="NDD150" s="72"/>
      <c r="NDE150" s="72"/>
      <c r="NDF150" s="72"/>
      <c r="NDG150" s="72"/>
      <c r="NDH150" s="72"/>
      <c r="NDI150" s="72"/>
      <c r="NDJ150" s="72"/>
      <c r="NDK150" s="72"/>
      <c r="NDL150" s="72"/>
      <c r="NDM150" s="72"/>
      <c r="NDN150" s="72"/>
      <c r="NDO150" s="72"/>
      <c r="NDP150" s="72"/>
      <c r="NDQ150" s="72"/>
      <c r="NDR150" s="72"/>
      <c r="NDS150" s="72"/>
      <c r="NDT150" s="72"/>
      <c r="NDU150" s="72"/>
      <c r="NDV150" s="72"/>
      <c r="NDW150" s="72"/>
      <c r="NDX150" s="72"/>
      <c r="NDY150" s="72"/>
      <c r="NDZ150" s="72"/>
      <c r="NEA150" s="72"/>
      <c r="NEB150" s="72"/>
      <c r="NEC150" s="72"/>
      <c r="NED150" s="72"/>
      <c r="NEE150" s="72"/>
      <c r="NEF150" s="72"/>
      <c r="NEG150" s="72"/>
      <c r="NEH150" s="72"/>
      <c r="NEI150" s="72"/>
      <c r="NEJ150" s="72"/>
      <c r="NEK150" s="72"/>
      <c r="NEL150" s="72"/>
      <c r="NEM150" s="72"/>
      <c r="NEN150" s="72"/>
      <c r="NEO150" s="72"/>
      <c r="NEP150" s="72"/>
      <c r="NEQ150" s="72"/>
      <c r="NER150" s="72"/>
      <c r="NES150" s="72"/>
      <c r="NET150" s="72"/>
      <c r="NEU150" s="72"/>
      <c r="NEV150" s="72"/>
      <c r="NEW150" s="72"/>
      <c r="NEX150" s="72"/>
      <c r="NEY150" s="72"/>
      <c r="NEZ150" s="72"/>
      <c r="NFA150" s="72"/>
      <c r="NFB150" s="72"/>
      <c r="NFC150" s="72"/>
      <c r="NFD150" s="72"/>
      <c r="NFE150" s="72"/>
      <c r="NFF150" s="72"/>
      <c r="NFG150" s="72"/>
      <c r="NFH150" s="72"/>
      <c r="NFI150" s="72"/>
      <c r="NFJ150" s="72"/>
      <c r="NFK150" s="72"/>
      <c r="NFL150" s="72"/>
      <c r="NFM150" s="72"/>
      <c r="NFN150" s="72"/>
      <c r="NFO150" s="72"/>
      <c r="NFP150" s="72"/>
      <c r="NFQ150" s="72"/>
      <c r="NFR150" s="72"/>
      <c r="NFS150" s="72"/>
      <c r="NFT150" s="72"/>
      <c r="NFU150" s="72"/>
      <c r="NFV150" s="72"/>
      <c r="NFW150" s="72"/>
      <c r="NFX150" s="72"/>
      <c r="NFY150" s="72"/>
      <c r="NFZ150" s="72"/>
      <c r="NGA150" s="72"/>
      <c r="NGB150" s="72"/>
      <c r="NGC150" s="72"/>
      <c r="NGD150" s="72"/>
      <c r="NGE150" s="72"/>
      <c r="NGF150" s="72"/>
      <c r="NGG150" s="72"/>
      <c r="NGH150" s="72"/>
      <c r="NGI150" s="72"/>
      <c r="NGJ150" s="72"/>
      <c r="NGK150" s="72"/>
      <c r="NGL150" s="72"/>
      <c r="NGM150" s="72"/>
      <c r="NGN150" s="72"/>
      <c r="NGO150" s="72"/>
      <c r="NGP150" s="72"/>
      <c r="NGQ150" s="72"/>
      <c r="NGR150" s="72"/>
      <c r="NGS150" s="72"/>
      <c r="NGT150" s="72"/>
      <c r="NGU150" s="72"/>
      <c r="NGV150" s="72"/>
      <c r="NGW150" s="72"/>
      <c r="NGX150" s="72"/>
      <c r="NGY150" s="72"/>
      <c r="NGZ150" s="72"/>
      <c r="NHA150" s="72"/>
      <c r="NHB150" s="72"/>
      <c r="NHC150" s="72"/>
      <c r="NHD150" s="72"/>
      <c r="NHE150" s="72"/>
      <c r="NHF150" s="72"/>
      <c r="NHG150" s="72"/>
      <c r="NHH150" s="72"/>
      <c r="NHI150" s="72"/>
      <c r="NHJ150" s="72"/>
      <c r="NHK150" s="72"/>
      <c r="NHL150" s="72"/>
      <c r="NHM150" s="72"/>
      <c r="NHN150" s="72"/>
      <c r="NHO150" s="72"/>
      <c r="NHP150" s="72"/>
      <c r="NHQ150" s="72"/>
      <c r="NHR150" s="72"/>
      <c r="NHS150" s="72"/>
      <c r="NHT150" s="72"/>
      <c r="NHU150" s="72"/>
      <c r="NHV150" s="72"/>
      <c r="NHW150" s="72"/>
      <c r="NHX150" s="72"/>
      <c r="NHY150" s="72"/>
      <c r="NHZ150" s="72"/>
      <c r="NIA150" s="72"/>
      <c r="NIB150" s="72"/>
      <c r="NIC150" s="72"/>
      <c r="NID150" s="72"/>
      <c r="NIE150" s="72"/>
      <c r="NIF150" s="72"/>
      <c r="NIG150" s="72"/>
      <c r="NIH150" s="72"/>
      <c r="NII150" s="72"/>
      <c r="NIJ150" s="72"/>
      <c r="NIK150" s="72"/>
      <c r="NIL150" s="72"/>
      <c r="NIM150" s="72"/>
      <c r="NIN150" s="72"/>
      <c r="NIO150" s="72"/>
      <c r="NIP150" s="72"/>
      <c r="NIQ150" s="72"/>
      <c r="NIR150" s="72"/>
      <c r="NIS150" s="72"/>
      <c r="NIT150" s="72"/>
      <c r="NIU150" s="72"/>
      <c r="NIV150" s="72"/>
      <c r="NIW150" s="72"/>
      <c r="NIX150" s="72"/>
      <c r="NIY150" s="72"/>
      <c r="NIZ150" s="72"/>
      <c r="NJA150" s="72"/>
      <c r="NJB150" s="72"/>
      <c r="NJC150" s="72"/>
      <c r="NJD150" s="72"/>
      <c r="NJE150" s="72"/>
      <c r="NJF150" s="72"/>
      <c r="NJG150" s="72"/>
      <c r="NJH150" s="72"/>
      <c r="NJI150" s="72"/>
      <c r="NJJ150" s="72"/>
      <c r="NJK150" s="72"/>
      <c r="NJL150" s="72"/>
      <c r="NJM150" s="72"/>
      <c r="NJN150" s="72"/>
      <c r="NJO150" s="72"/>
      <c r="NJP150" s="72"/>
      <c r="NJQ150" s="72"/>
      <c r="NJR150" s="72"/>
      <c r="NJS150" s="72"/>
      <c r="NJT150" s="72"/>
      <c r="NJU150" s="72"/>
      <c r="NJV150" s="72"/>
      <c r="NJW150" s="72"/>
      <c r="NJX150" s="72"/>
      <c r="NJY150" s="72"/>
      <c r="NJZ150" s="72"/>
      <c r="NKA150" s="72"/>
      <c r="NKB150" s="72"/>
      <c r="NKC150" s="72"/>
      <c r="NKD150" s="72"/>
      <c r="NKE150" s="72"/>
      <c r="NKF150" s="72"/>
      <c r="NKG150" s="72"/>
      <c r="NKH150" s="72"/>
      <c r="NKI150" s="72"/>
      <c r="NKJ150" s="72"/>
      <c r="NKK150" s="72"/>
      <c r="NKL150" s="72"/>
      <c r="NKM150" s="72"/>
      <c r="NKN150" s="72"/>
      <c r="NKO150" s="72"/>
      <c r="NKP150" s="72"/>
      <c r="NKQ150" s="72"/>
      <c r="NKR150" s="72"/>
      <c r="NKS150" s="72"/>
      <c r="NKT150" s="72"/>
      <c r="NKU150" s="72"/>
      <c r="NKV150" s="72"/>
      <c r="NKW150" s="72"/>
      <c r="NKX150" s="72"/>
      <c r="NKY150" s="72"/>
      <c r="NKZ150" s="72"/>
      <c r="NLA150" s="72"/>
      <c r="NLB150" s="72"/>
      <c r="NLC150" s="72"/>
      <c r="NLD150" s="72"/>
      <c r="NLE150" s="72"/>
      <c r="NLF150" s="72"/>
      <c r="NLG150" s="72"/>
      <c r="NLH150" s="72"/>
      <c r="NLI150" s="72"/>
      <c r="NLJ150" s="72"/>
      <c r="NLK150" s="72"/>
      <c r="NLL150" s="72"/>
      <c r="NLM150" s="72"/>
      <c r="NLN150" s="72"/>
      <c r="NLO150" s="72"/>
      <c r="NLP150" s="72"/>
      <c r="NLQ150" s="72"/>
      <c r="NLR150" s="72"/>
      <c r="NLS150" s="72"/>
      <c r="NLT150" s="72"/>
      <c r="NLU150" s="72"/>
      <c r="NLV150" s="72"/>
      <c r="NLW150" s="72"/>
      <c r="NLX150" s="72"/>
      <c r="NLY150" s="72"/>
      <c r="NLZ150" s="72"/>
      <c r="NMA150" s="72"/>
      <c r="NMB150" s="72"/>
      <c r="NMC150" s="72"/>
      <c r="NMD150" s="72"/>
      <c r="NME150" s="72"/>
      <c r="NMF150" s="72"/>
      <c r="NMG150" s="72"/>
      <c r="NMH150" s="72"/>
      <c r="NMI150" s="72"/>
      <c r="NMJ150" s="72"/>
      <c r="NMK150" s="72"/>
      <c r="NML150" s="72"/>
      <c r="NMM150" s="72"/>
      <c r="NMN150" s="72"/>
      <c r="NMO150" s="72"/>
      <c r="NMP150" s="72"/>
      <c r="NMQ150" s="72"/>
      <c r="NMR150" s="72"/>
      <c r="NMS150" s="72"/>
      <c r="NMT150" s="72"/>
      <c r="NMU150" s="72"/>
      <c r="NMV150" s="72"/>
      <c r="NMW150" s="72"/>
      <c r="NMX150" s="72"/>
      <c r="NMY150" s="72"/>
      <c r="NMZ150" s="72"/>
      <c r="NNA150" s="72"/>
      <c r="NNB150" s="72"/>
      <c r="NNC150" s="72"/>
      <c r="NND150" s="72"/>
      <c r="NNE150" s="72"/>
      <c r="NNF150" s="72"/>
      <c r="NNG150" s="72"/>
      <c r="NNH150" s="72"/>
      <c r="NNI150" s="72"/>
      <c r="NNJ150" s="72"/>
      <c r="NNK150" s="72"/>
      <c r="NNL150" s="72"/>
      <c r="NNM150" s="72"/>
      <c r="NNN150" s="72"/>
      <c r="NNO150" s="72"/>
      <c r="NNP150" s="72"/>
      <c r="NNQ150" s="72"/>
      <c r="NNR150" s="72"/>
      <c r="NNS150" s="72"/>
      <c r="NNT150" s="72"/>
      <c r="NNU150" s="72"/>
      <c r="NNV150" s="72"/>
      <c r="NNW150" s="72"/>
      <c r="NNX150" s="72"/>
      <c r="NNY150" s="72"/>
      <c r="NNZ150" s="72"/>
      <c r="NOA150" s="72"/>
      <c r="NOB150" s="72"/>
      <c r="NOC150" s="72"/>
      <c r="NOD150" s="72"/>
      <c r="NOE150" s="72"/>
      <c r="NOF150" s="72"/>
      <c r="NOG150" s="72"/>
      <c r="NOH150" s="72"/>
      <c r="NOI150" s="72"/>
      <c r="NOJ150" s="72"/>
      <c r="NOK150" s="72"/>
      <c r="NOL150" s="72"/>
      <c r="NOM150" s="72"/>
      <c r="NON150" s="72"/>
      <c r="NOO150" s="72"/>
      <c r="NOP150" s="72"/>
      <c r="NOQ150" s="72"/>
      <c r="NOR150" s="72"/>
      <c r="NOS150" s="72"/>
      <c r="NOT150" s="72"/>
      <c r="NOU150" s="72"/>
      <c r="NOV150" s="72"/>
      <c r="NOW150" s="72"/>
      <c r="NOX150" s="72"/>
      <c r="NOY150" s="72"/>
      <c r="NOZ150" s="72"/>
      <c r="NPA150" s="72"/>
      <c r="NPB150" s="72"/>
      <c r="NPC150" s="72"/>
      <c r="NPD150" s="72"/>
      <c r="NPE150" s="72"/>
      <c r="NPF150" s="72"/>
      <c r="NPG150" s="72"/>
      <c r="NPH150" s="72"/>
      <c r="NPI150" s="72"/>
      <c r="NPJ150" s="72"/>
      <c r="NPK150" s="72"/>
      <c r="NPL150" s="72"/>
      <c r="NPM150" s="72"/>
      <c r="NPN150" s="72"/>
      <c r="NPO150" s="72"/>
      <c r="NPP150" s="72"/>
      <c r="NPQ150" s="72"/>
      <c r="NPR150" s="72"/>
      <c r="NPS150" s="72"/>
      <c r="NPT150" s="72"/>
      <c r="NPU150" s="72"/>
      <c r="NPV150" s="72"/>
      <c r="NPW150" s="72"/>
      <c r="NPX150" s="72"/>
      <c r="NPY150" s="72"/>
      <c r="NPZ150" s="72"/>
      <c r="NQA150" s="72"/>
      <c r="NQB150" s="72"/>
      <c r="NQC150" s="72"/>
      <c r="NQD150" s="72"/>
      <c r="NQE150" s="72"/>
      <c r="NQF150" s="72"/>
      <c r="NQG150" s="72"/>
      <c r="NQH150" s="72"/>
      <c r="NQI150" s="72"/>
      <c r="NQJ150" s="72"/>
      <c r="NQK150" s="72"/>
      <c r="NQL150" s="72"/>
      <c r="NQM150" s="72"/>
      <c r="NQN150" s="72"/>
      <c r="NQO150" s="72"/>
      <c r="NQP150" s="72"/>
      <c r="NQQ150" s="72"/>
      <c r="NQR150" s="72"/>
      <c r="NQS150" s="72"/>
      <c r="NQT150" s="72"/>
      <c r="NQU150" s="72"/>
      <c r="NQV150" s="72"/>
      <c r="NQW150" s="72"/>
      <c r="NQX150" s="72"/>
      <c r="NQY150" s="72"/>
      <c r="NQZ150" s="72"/>
      <c r="NRA150" s="72"/>
      <c r="NRB150" s="72"/>
      <c r="NRC150" s="72"/>
      <c r="NRD150" s="72"/>
      <c r="NRE150" s="72"/>
      <c r="NRF150" s="72"/>
      <c r="NRG150" s="72"/>
      <c r="NRH150" s="72"/>
      <c r="NRI150" s="72"/>
      <c r="NRJ150" s="72"/>
      <c r="NRK150" s="72"/>
      <c r="NRL150" s="72"/>
      <c r="NRM150" s="72"/>
      <c r="NRN150" s="72"/>
      <c r="NRO150" s="72"/>
      <c r="NRP150" s="72"/>
      <c r="NRQ150" s="72"/>
      <c r="NRR150" s="72"/>
      <c r="NRS150" s="72"/>
      <c r="NRT150" s="72"/>
      <c r="NRU150" s="72"/>
      <c r="NRV150" s="72"/>
      <c r="NRW150" s="72"/>
      <c r="NRX150" s="72"/>
      <c r="NRY150" s="72"/>
      <c r="NRZ150" s="72"/>
      <c r="NSA150" s="72"/>
      <c r="NSB150" s="72"/>
      <c r="NSC150" s="72"/>
      <c r="NSD150" s="72"/>
      <c r="NSE150" s="72"/>
      <c r="NSF150" s="72"/>
      <c r="NSG150" s="72"/>
      <c r="NSH150" s="72"/>
      <c r="NSI150" s="72"/>
      <c r="NSJ150" s="72"/>
      <c r="NSK150" s="72"/>
      <c r="NSL150" s="72"/>
      <c r="NSM150" s="72"/>
      <c r="NSN150" s="72"/>
      <c r="NSO150" s="72"/>
      <c r="NSP150" s="72"/>
      <c r="NSQ150" s="72"/>
      <c r="NSR150" s="72"/>
      <c r="NSS150" s="72"/>
      <c r="NST150" s="72"/>
      <c r="NSU150" s="72"/>
      <c r="NSV150" s="72"/>
      <c r="NSW150" s="72"/>
      <c r="NSX150" s="72"/>
      <c r="NSY150" s="72"/>
      <c r="NSZ150" s="72"/>
      <c r="NTA150" s="72"/>
      <c r="NTB150" s="72"/>
      <c r="NTC150" s="72"/>
      <c r="NTD150" s="72"/>
      <c r="NTE150" s="72"/>
      <c r="NTF150" s="72"/>
      <c r="NTG150" s="72"/>
      <c r="NTH150" s="72"/>
      <c r="NTI150" s="72"/>
      <c r="NTJ150" s="72"/>
      <c r="NTK150" s="72"/>
      <c r="NTL150" s="72"/>
      <c r="NTM150" s="72"/>
      <c r="NTN150" s="72"/>
      <c r="NTO150" s="72"/>
      <c r="NTP150" s="72"/>
      <c r="NTQ150" s="72"/>
      <c r="NTR150" s="72"/>
      <c r="NTS150" s="72"/>
      <c r="NTT150" s="72"/>
      <c r="NTU150" s="72"/>
      <c r="NTV150" s="72"/>
      <c r="NTW150" s="72"/>
      <c r="NTX150" s="72"/>
      <c r="NTY150" s="72"/>
      <c r="NTZ150" s="72"/>
      <c r="NUA150" s="72"/>
      <c r="NUB150" s="72"/>
      <c r="NUC150" s="72"/>
      <c r="NUD150" s="72"/>
      <c r="NUE150" s="72"/>
      <c r="NUF150" s="72"/>
      <c r="NUG150" s="72"/>
      <c r="NUH150" s="72"/>
      <c r="NUI150" s="72"/>
      <c r="NUJ150" s="72"/>
      <c r="NUK150" s="72"/>
      <c r="NUL150" s="72"/>
      <c r="NUM150" s="72"/>
      <c r="NUN150" s="72"/>
      <c r="NUO150" s="72"/>
      <c r="NUP150" s="72"/>
      <c r="NUQ150" s="72"/>
      <c r="NUR150" s="72"/>
      <c r="NUS150" s="72"/>
      <c r="NUT150" s="72"/>
      <c r="NUU150" s="72"/>
      <c r="NUV150" s="72"/>
      <c r="NUW150" s="72"/>
      <c r="NUX150" s="72"/>
      <c r="NUY150" s="72"/>
      <c r="NUZ150" s="72"/>
      <c r="NVA150" s="72"/>
      <c r="NVB150" s="72"/>
      <c r="NVC150" s="72"/>
      <c r="NVD150" s="72"/>
      <c r="NVE150" s="72"/>
      <c r="NVF150" s="72"/>
      <c r="NVG150" s="72"/>
      <c r="NVH150" s="72"/>
      <c r="NVI150" s="72"/>
      <c r="NVJ150" s="72"/>
      <c r="NVK150" s="72"/>
      <c r="NVL150" s="72"/>
      <c r="NVM150" s="72"/>
      <c r="NVN150" s="72"/>
      <c r="NVO150" s="72"/>
      <c r="NVP150" s="72"/>
      <c r="NVQ150" s="72"/>
      <c r="NVR150" s="72"/>
      <c r="NVS150" s="72"/>
      <c r="NVT150" s="72"/>
      <c r="NVU150" s="72"/>
      <c r="NVV150" s="72"/>
      <c r="NVW150" s="72"/>
      <c r="NVX150" s="72"/>
      <c r="NVY150" s="72"/>
      <c r="NVZ150" s="72"/>
      <c r="NWA150" s="72"/>
      <c r="NWB150" s="72"/>
      <c r="NWC150" s="72"/>
      <c r="NWD150" s="72"/>
      <c r="NWE150" s="72"/>
      <c r="NWF150" s="72"/>
      <c r="NWG150" s="72"/>
      <c r="NWH150" s="72"/>
      <c r="NWI150" s="72"/>
      <c r="NWJ150" s="72"/>
      <c r="NWK150" s="72"/>
      <c r="NWL150" s="72"/>
      <c r="NWM150" s="72"/>
      <c r="NWN150" s="72"/>
      <c r="NWO150" s="72"/>
      <c r="NWP150" s="72"/>
      <c r="NWQ150" s="72"/>
      <c r="NWR150" s="72"/>
      <c r="NWS150" s="72"/>
      <c r="NWT150" s="72"/>
      <c r="NWU150" s="72"/>
      <c r="NWV150" s="72"/>
      <c r="NWW150" s="72"/>
      <c r="NWX150" s="72"/>
      <c r="NWY150" s="72"/>
      <c r="NWZ150" s="72"/>
      <c r="NXA150" s="72"/>
      <c r="NXB150" s="72"/>
      <c r="NXC150" s="72"/>
      <c r="NXD150" s="72"/>
      <c r="NXE150" s="72"/>
      <c r="NXF150" s="72"/>
      <c r="NXG150" s="72"/>
      <c r="NXH150" s="72"/>
      <c r="NXI150" s="72"/>
      <c r="NXJ150" s="72"/>
      <c r="NXK150" s="72"/>
      <c r="NXL150" s="72"/>
      <c r="NXM150" s="72"/>
      <c r="NXN150" s="72"/>
      <c r="NXO150" s="72"/>
      <c r="NXP150" s="72"/>
      <c r="NXQ150" s="72"/>
      <c r="NXR150" s="72"/>
      <c r="NXS150" s="72"/>
      <c r="NXT150" s="72"/>
      <c r="NXU150" s="72"/>
      <c r="NXV150" s="72"/>
      <c r="NXW150" s="72"/>
      <c r="NXX150" s="72"/>
      <c r="NXY150" s="72"/>
      <c r="NXZ150" s="72"/>
      <c r="NYA150" s="72"/>
      <c r="NYB150" s="72"/>
      <c r="NYC150" s="72"/>
      <c r="NYD150" s="72"/>
      <c r="NYE150" s="72"/>
      <c r="NYF150" s="72"/>
      <c r="NYG150" s="72"/>
      <c r="NYH150" s="72"/>
      <c r="NYI150" s="72"/>
      <c r="NYJ150" s="72"/>
      <c r="NYK150" s="72"/>
      <c r="NYL150" s="72"/>
      <c r="NYM150" s="72"/>
      <c r="NYN150" s="72"/>
      <c r="NYO150" s="72"/>
      <c r="NYP150" s="72"/>
      <c r="NYQ150" s="72"/>
      <c r="NYR150" s="72"/>
      <c r="NYS150" s="72"/>
      <c r="NYT150" s="72"/>
      <c r="NYU150" s="72"/>
      <c r="NYV150" s="72"/>
      <c r="NYW150" s="72"/>
      <c r="NYX150" s="72"/>
      <c r="NYY150" s="72"/>
      <c r="NYZ150" s="72"/>
      <c r="NZA150" s="72"/>
      <c r="NZB150" s="72"/>
      <c r="NZC150" s="72"/>
      <c r="NZD150" s="72"/>
      <c r="NZE150" s="72"/>
      <c r="NZF150" s="72"/>
      <c r="NZG150" s="72"/>
      <c r="NZH150" s="72"/>
      <c r="NZI150" s="72"/>
      <c r="NZJ150" s="72"/>
      <c r="NZK150" s="72"/>
      <c r="NZL150" s="72"/>
      <c r="NZM150" s="72"/>
      <c r="NZN150" s="72"/>
      <c r="NZO150" s="72"/>
      <c r="NZP150" s="72"/>
      <c r="NZQ150" s="72"/>
      <c r="NZR150" s="72"/>
      <c r="NZS150" s="72"/>
      <c r="NZT150" s="72"/>
      <c r="NZU150" s="72"/>
      <c r="NZV150" s="72"/>
      <c r="NZW150" s="72"/>
      <c r="NZX150" s="72"/>
      <c r="NZY150" s="72"/>
      <c r="NZZ150" s="72"/>
      <c r="OAA150" s="72"/>
      <c r="OAB150" s="72"/>
      <c r="OAC150" s="72"/>
      <c r="OAD150" s="72"/>
      <c r="OAE150" s="72"/>
      <c r="OAF150" s="72"/>
      <c r="OAG150" s="72"/>
      <c r="OAH150" s="72"/>
      <c r="OAI150" s="72"/>
      <c r="OAJ150" s="72"/>
      <c r="OAK150" s="72"/>
      <c r="OAL150" s="72"/>
      <c r="OAM150" s="72"/>
      <c r="OAN150" s="72"/>
      <c r="OAO150" s="72"/>
      <c r="OAP150" s="72"/>
      <c r="OAQ150" s="72"/>
      <c r="OAR150" s="72"/>
      <c r="OAS150" s="72"/>
      <c r="OAT150" s="72"/>
      <c r="OAU150" s="72"/>
      <c r="OAV150" s="72"/>
      <c r="OAW150" s="72"/>
      <c r="OAX150" s="72"/>
      <c r="OAY150" s="72"/>
      <c r="OAZ150" s="72"/>
      <c r="OBA150" s="72"/>
      <c r="OBB150" s="72"/>
      <c r="OBC150" s="72"/>
      <c r="OBD150" s="72"/>
      <c r="OBE150" s="72"/>
      <c r="OBF150" s="72"/>
      <c r="OBG150" s="72"/>
      <c r="OBH150" s="72"/>
      <c r="OBI150" s="72"/>
      <c r="OBJ150" s="72"/>
      <c r="OBK150" s="72"/>
      <c r="OBL150" s="72"/>
      <c r="OBM150" s="72"/>
      <c r="OBN150" s="72"/>
      <c r="OBO150" s="72"/>
      <c r="OBP150" s="72"/>
      <c r="OBQ150" s="72"/>
      <c r="OBR150" s="72"/>
      <c r="OBS150" s="72"/>
      <c r="OBT150" s="72"/>
      <c r="OBU150" s="72"/>
      <c r="OBV150" s="72"/>
      <c r="OBW150" s="72"/>
      <c r="OBX150" s="72"/>
      <c r="OBY150" s="72"/>
      <c r="OBZ150" s="72"/>
      <c r="OCA150" s="72"/>
      <c r="OCB150" s="72"/>
      <c r="OCC150" s="72"/>
      <c r="OCD150" s="72"/>
      <c r="OCE150" s="72"/>
      <c r="OCF150" s="72"/>
      <c r="OCG150" s="72"/>
      <c r="OCH150" s="72"/>
      <c r="OCI150" s="72"/>
      <c r="OCJ150" s="72"/>
      <c r="OCK150" s="72"/>
      <c r="OCL150" s="72"/>
      <c r="OCM150" s="72"/>
      <c r="OCN150" s="72"/>
      <c r="OCO150" s="72"/>
      <c r="OCP150" s="72"/>
      <c r="OCQ150" s="72"/>
      <c r="OCR150" s="72"/>
      <c r="OCS150" s="72"/>
      <c r="OCT150" s="72"/>
      <c r="OCU150" s="72"/>
      <c r="OCV150" s="72"/>
      <c r="OCW150" s="72"/>
      <c r="OCX150" s="72"/>
      <c r="OCY150" s="72"/>
      <c r="OCZ150" s="72"/>
      <c r="ODA150" s="72"/>
      <c r="ODB150" s="72"/>
      <c r="ODC150" s="72"/>
      <c r="ODD150" s="72"/>
      <c r="ODE150" s="72"/>
      <c r="ODF150" s="72"/>
      <c r="ODG150" s="72"/>
      <c r="ODH150" s="72"/>
      <c r="ODI150" s="72"/>
      <c r="ODJ150" s="72"/>
      <c r="ODK150" s="72"/>
      <c r="ODL150" s="72"/>
      <c r="ODM150" s="72"/>
      <c r="ODN150" s="72"/>
      <c r="ODO150" s="72"/>
      <c r="ODP150" s="72"/>
      <c r="ODQ150" s="72"/>
      <c r="ODR150" s="72"/>
      <c r="ODS150" s="72"/>
      <c r="ODT150" s="72"/>
      <c r="ODU150" s="72"/>
      <c r="ODV150" s="72"/>
      <c r="ODW150" s="72"/>
      <c r="ODX150" s="72"/>
      <c r="ODY150" s="72"/>
      <c r="ODZ150" s="72"/>
      <c r="OEA150" s="72"/>
      <c r="OEB150" s="72"/>
      <c r="OEC150" s="72"/>
      <c r="OED150" s="72"/>
      <c r="OEE150" s="72"/>
      <c r="OEF150" s="72"/>
      <c r="OEG150" s="72"/>
      <c r="OEH150" s="72"/>
      <c r="OEI150" s="72"/>
      <c r="OEJ150" s="72"/>
      <c r="OEK150" s="72"/>
      <c r="OEL150" s="72"/>
      <c r="OEM150" s="72"/>
      <c r="OEN150" s="72"/>
      <c r="OEO150" s="72"/>
      <c r="OEP150" s="72"/>
      <c r="OEQ150" s="72"/>
      <c r="OER150" s="72"/>
      <c r="OES150" s="72"/>
      <c r="OET150" s="72"/>
      <c r="OEU150" s="72"/>
      <c r="OEV150" s="72"/>
      <c r="OEW150" s="72"/>
      <c r="OEX150" s="72"/>
      <c r="OEY150" s="72"/>
      <c r="OEZ150" s="72"/>
      <c r="OFA150" s="72"/>
      <c r="OFB150" s="72"/>
      <c r="OFC150" s="72"/>
      <c r="OFD150" s="72"/>
      <c r="OFE150" s="72"/>
      <c r="OFF150" s="72"/>
      <c r="OFG150" s="72"/>
      <c r="OFH150" s="72"/>
      <c r="OFI150" s="72"/>
      <c r="OFJ150" s="72"/>
      <c r="OFK150" s="72"/>
      <c r="OFL150" s="72"/>
      <c r="OFM150" s="72"/>
      <c r="OFN150" s="72"/>
      <c r="OFO150" s="72"/>
      <c r="OFP150" s="72"/>
      <c r="OFQ150" s="72"/>
      <c r="OFR150" s="72"/>
      <c r="OFS150" s="72"/>
      <c r="OFT150" s="72"/>
      <c r="OFU150" s="72"/>
      <c r="OFV150" s="72"/>
      <c r="OFW150" s="72"/>
      <c r="OFX150" s="72"/>
      <c r="OFY150" s="72"/>
      <c r="OFZ150" s="72"/>
      <c r="OGA150" s="72"/>
      <c r="OGB150" s="72"/>
      <c r="OGC150" s="72"/>
      <c r="OGD150" s="72"/>
      <c r="OGE150" s="72"/>
      <c r="OGF150" s="72"/>
      <c r="OGG150" s="72"/>
      <c r="OGH150" s="72"/>
      <c r="OGI150" s="72"/>
      <c r="OGJ150" s="72"/>
      <c r="OGK150" s="72"/>
      <c r="OGL150" s="72"/>
      <c r="OGM150" s="72"/>
      <c r="OGN150" s="72"/>
      <c r="OGO150" s="72"/>
      <c r="OGP150" s="72"/>
      <c r="OGQ150" s="72"/>
      <c r="OGR150" s="72"/>
      <c r="OGS150" s="72"/>
      <c r="OGT150" s="72"/>
      <c r="OGU150" s="72"/>
      <c r="OGV150" s="72"/>
      <c r="OGW150" s="72"/>
      <c r="OGX150" s="72"/>
      <c r="OGY150" s="72"/>
      <c r="OGZ150" s="72"/>
      <c r="OHA150" s="72"/>
      <c r="OHB150" s="72"/>
      <c r="OHC150" s="72"/>
      <c r="OHD150" s="72"/>
      <c r="OHE150" s="72"/>
      <c r="OHF150" s="72"/>
      <c r="OHG150" s="72"/>
      <c r="OHH150" s="72"/>
      <c r="OHI150" s="72"/>
      <c r="OHJ150" s="72"/>
      <c r="OHK150" s="72"/>
      <c r="OHL150" s="72"/>
      <c r="OHM150" s="72"/>
      <c r="OHN150" s="72"/>
      <c r="OHO150" s="72"/>
      <c r="OHP150" s="72"/>
      <c r="OHQ150" s="72"/>
      <c r="OHR150" s="72"/>
      <c r="OHS150" s="72"/>
      <c r="OHT150" s="72"/>
      <c r="OHU150" s="72"/>
      <c r="OHV150" s="72"/>
      <c r="OHW150" s="72"/>
      <c r="OHX150" s="72"/>
      <c r="OHY150" s="72"/>
      <c r="OHZ150" s="72"/>
      <c r="OIA150" s="72"/>
      <c r="OIB150" s="72"/>
      <c r="OIC150" s="72"/>
      <c r="OID150" s="72"/>
      <c r="OIE150" s="72"/>
      <c r="OIF150" s="72"/>
      <c r="OIG150" s="72"/>
      <c r="OIH150" s="72"/>
      <c r="OII150" s="72"/>
      <c r="OIJ150" s="72"/>
      <c r="OIK150" s="72"/>
      <c r="OIL150" s="72"/>
      <c r="OIM150" s="72"/>
      <c r="OIN150" s="72"/>
      <c r="OIO150" s="72"/>
      <c r="OIP150" s="72"/>
      <c r="OIQ150" s="72"/>
      <c r="OIR150" s="72"/>
      <c r="OIS150" s="72"/>
      <c r="OIT150" s="72"/>
      <c r="OIU150" s="72"/>
      <c r="OIV150" s="72"/>
      <c r="OIW150" s="72"/>
      <c r="OIX150" s="72"/>
      <c r="OIY150" s="72"/>
      <c r="OIZ150" s="72"/>
      <c r="OJA150" s="72"/>
      <c r="OJB150" s="72"/>
      <c r="OJC150" s="72"/>
      <c r="OJD150" s="72"/>
      <c r="OJE150" s="72"/>
      <c r="OJF150" s="72"/>
      <c r="OJG150" s="72"/>
      <c r="OJH150" s="72"/>
      <c r="OJI150" s="72"/>
      <c r="OJJ150" s="72"/>
      <c r="OJK150" s="72"/>
      <c r="OJL150" s="72"/>
      <c r="OJM150" s="72"/>
      <c r="OJN150" s="72"/>
      <c r="OJO150" s="72"/>
      <c r="OJP150" s="72"/>
      <c r="OJQ150" s="72"/>
      <c r="OJR150" s="72"/>
      <c r="OJS150" s="72"/>
      <c r="OJT150" s="72"/>
      <c r="OJU150" s="72"/>
      <c r="OJV150" s="72"/>
      <c r="OJW150" s="72"/>
      <c r="OJX150" s="72"/>
      <c r="OJY150" s="72"/>
      <c r="OJZ150" s="72"/>
      <c r="OKA150" s="72"/>
      <c r="OKB150" s="72"/>
      <c r="OKC150" s="72"/>
      <c r="OKD150" s="72"/>
      <c r="OKE150" s="72"/>
      <c r="OKF150" s="72"/>
      <c r="OKG150" s="72"/>
      <c r="OKH150" s="72"/>
      <c r="OKI150" s="72"/>
      <c r="OKJ150" s="72"/>
      <c r="OKK150" s="72"/>
      <c r="OKL150" s="72"/>
      <c r="OKM150" s="72"/>
      <c r="OKN150" s="72"/>
      <c r="OKO150" s="72"/>
      <c r="OKP150" s="72"/>
      <c r="OKQ150" s="72"/>
      <c r="OKR150" s="72"/>
      <c r="OKS150" s="72"/>
      <c r="OKT150" s="72"/>
      <c r="OKU150" s="72"/>
      <c r="OKV150" s="72"/>
      <c r="OKW150" s="72"/>
      <c r="OKX150" s="72"/>
      <c r="OKY150" s="72"/>
      <c r="OKZ150" s="72"/>
      <c r="OLA150" s="72"/>
      <c r="OLB150" s="72"/>
      <c r="OLC150" s="72"/>
      <c r="OLD150" s="72"/>
      <c r="OLE150" s="72"/>
      <c r="OLF150" s="72"/>
      <c r="OLG150" s="72"/>
      <c r="OLH150" s="72"/>
      <c r="OLI150" s="72"/>
      <c r="OLJ150" s="72"/>
      <c r="OLK150" s="72"/>
      <c r="OLL150" s="72"/>
      <c r="OLM150" s="72"/>
      <c r="OLN150" s="72"/>
      <c r="OLO150" s="72"/>
      <c r="OLP150" s="72"/>
      <c r="OLQ150" s="72"/>
      <c r="OLR150" s="72"/>
      <c r="OLS150" s="72"/>
      <c r="OLT150" s="72"/>
      <c r="OLU150" s="72"/>
      <c r="OLV150" s="72"/>
      <c r="OLW150" s="72"/>
      <c r="OLX150" s="72"/>
      <c r="OLY150" s="72"/>
      <c r="OLZ150" s="72"/>
      <c r="OMA150" s="72"/>
      <c r="OMB150" s="72"/>
      <c r="OMC150" s="72"/>
      <c r="OMD150" s="72"/>
      <c r="OME150" s="72"/>
      <c r="OMF150" s="72"/>
      <c r="OMG150" s="72"/>
      <c r="OMH150" s="72"/>
      <c r="OMI150" s="72"/>
      <c r="OMJ150" s="72"/>
      <c r="OMK150" s="72"/>
      <c r="OML150" s="72"/>
      <c r="OMM150" s="72"/>
      <c r="OMN150" s="72"/>
      <c r="OMO150" s="72"/>
      <c r="OMP150" s="72"/>
      <c r="OMQ150" s="72"/>
      <c r="OMR150" s="72"/>
      <c r="OMS150" s="72"/>
      <c r="OMT150" s="72"/>
      <c r="OMU150" s="72"/>
      <c r="OMV150" s="72"/>
      <c r="OMW150" s="72"/>
      <c r="OMX150" s="72"/>
      <c r="OMY150" s="72"/>
      <c r="OMZ150" s="72"/>
      <c r="ONA150" s="72"/>
      <c r="ONB150" s="72"/>
      <c r="ONC150" s="72"/>
      <c r="OND150" s="72"/>
      <c r="ONE150" s="72"/>
      <c r="ONF150" s="72"/>
      <c r="ONG150" s="72"/>
      <c r="ONH150" s="72"/>
      <c r="ONI150" s="72"/>
      <c r="ONJ150" s="72"/>
      <c r="ONK150" s="72"/>
      <c r="ONL150" s="72"/>
      <c r="ONM150" s="72"/>
      <c r="ONN150" s="72"/>
      <c r="ONO150" s="72"/>
      <c r="ONP150" s="72"/>
      <c r="ONQ150" s="72"/>
      <c r="ONR150" s="72"/>
      <c r="ONS150" s="72"/>
      <c r="ONT150" s="72"/>
      <c r="ONU150" s="72"/>
      <c r="ONV150" s="72"/>
      <c r="ONW150" s="72"/>
      <c r="ONX150" s="72"/>
      <c r="ONY150" s="72"/>
      <c r="ONZ150" s="72"/>
      <c r="OOA150" s="72"/>
      <c r="OOB150" s="72"/>
      <c r="OOC150" s="72"/>
      <c r="OOD150" s="72"/>
      <c r="OOE150" s="72"/>
      <c r="OOF150" s="72"/>
      <c r="OOG150" s="72"/>
      <c r="OOH150" s="72"/>
      <c r="OOI150" s="72"/>
      <c r="OOJ150" s="72"/>
      <c r="OOK150" s="72"/>
      <c r="OOL150" s="72"/>
      <c r="OOM150" s="72"/>
      <c r="OON150" s="72"/>
      <c r="OOO150" s="72"/>
      <c r="OOP150" s="72"/>
      <c r="OOQ150" s="72"/>
      <c r="OOR150" s="72"/>
      <c r="OOS150" s="72"/>
      <c r="OOT150" s="72"/>
      <c r="OOU150" s="72"/>
      <c r="OOV150" s="72"/>
      <c r="OOW150" s="72"/>
      <c r="OOX150" s="72"/>
      <c r="OOY150" s="72"/>
      <c r="OOZ150" s="72"/>
      <c r="OPA150" s="72"/>
      <c r="OPB150" s="72"/>
      <c r="OPC150" s="72"/>
      <c r="OPD150" s="72"/>
      <c r="OPE150" s="72"/>
      <c r="OPF150" s="72"/>
      <c r="OPG150" s="72"/>
      <c r="OPH150" s="72"/>
      <c r="OPI150" s="72"/>
      <c r="OPJ150" s="72"/>
      <c r="OPK150" s="72"/>
      <c r="OPL150" s="72"/>
      <c r="OPM150" s="72"/>
      <c r="OPN150" s="72"/>
      <c r="OPO150" s="72"/>
      <c r="OPP150" s="72"/>
      <c r="OPQ150" s="72"/>
      <c r="OPR150" s="72"/>
      <c r="OPS150" s="72"/>
      <c r="OPT150" s="72"/>
      <c r="OPU150" s="72"/>
      <c r="OPV150" s="72"/>
      <c r="OPW150" s="72"/>
      <c r="OPX150" s="72"/>
      <c r="OPY150" s="72"/>
      <c r="OPZ150" s="72"/>
      <c r="OQA150" s="72"/>
      <c r="OQB150" s="72"/>
      <c r="OQC150" s="72"/>
      <c r="OQD150" s="72"/>
      <c r="OQE150" s="72"/>
      <c r="OQF150" s="72"/>
      <c r="OQG150" s="72"/>
      <c r="OQH150" s="72"/>
      <c r="OQI150" s="72"/>
      <c r="OQJ150" s="72"/>
      <c r="OQK150" s="72"/>
      <c r="OQL150" s="72"/>
      <c r="OQM150" s="72"/>
      <c r="OQN150" s="72"/>
      <c r="OQO150" s="72"/>
      <c r="OQP150" s="72"/>
      <c r="OQQ150" s="72"/>
      <c r="OQR150" s="72"/>
      <c r="OQS150" s="72"/>
      <c r="OQT150" s="72"/>
      <c r="OQU150" s="72"/>
      <c r="OQV150" s="72"/>
      <c r="OQW150" s="72"/>
      <c r="OQX150" s="72"/>
      <c r="OQY150" s="72"/>
      <c r="OQZ150" s="72"/>
      <c r="ORA150" s="72"/>
      <c r="ORB150" s="72"/>
      <c r="ORC150" s="72"/>
      <c r="ORD150" s="72"/>
      <c r="ORE150" s="72"/>
      <c r="ORF150" s="72"/>
      <c r="ORG150" s="72"/>
      <c r="ORH150" s="72"/>
      <c r="ORI150" s="72"/>
      <c r="ORJ150" s="72"/>
      <c r="ORK150" s="72"/>
      <c r="ORL150" s="72"/>
      <c r="ORM150" s="72"/>
      <c r="ORN150" s="72"/>
      <c r="ORO150" s="72"/>
      <c r="ORP150" s="72"/>
      <c r="ORQ150" s="72"/>
      <c r="ORR150" s="72"/>
      <c r="ORS150" s="72"/>
      <c r="ORT150" s="72"/>
      <c r="ORU150" s="72"/>
      <c r="ORV150" s="72"/>
      <c r="ORW150" s="72"/>
      <c r="ORX150" s="72"/>
      <c r="ORY150" s="72"/>
      <c r="ORZ150" s="72"/>
      <c r="OSA150" s="72"/>
      <c r="OSB150" s="72"/>
      <c r="OSC150" s="72"/>
      <c r="OSD150" s="72"/>
      <c r="OSE150" s="72"/>
      <c r="OSF150" s="72"/>
      <c r="OSG150" s="72"/>
      <c r="OSH150" s="72"/>
      <c r="OSI150" s="72"/>
      <c r="OSJ150" s="72"/>
      <c r="OSK150" s="72"/>
      <c r="OSL150" s="72"/>
      <c r="OSM150" s="72"/>
      <c r="OSN150" s="72"/>
      <c r="OSO150" s="72"/>
      <c r="OSP150" s="72"/>
      <c r="OSQ150" s="72"/>
      <c r="OSR150" s="72"/>
      <c r="OSS150" s="72"/>
      <c r="OST150" s="72"/>
      <c r="OSU150" s="72"/>
      <c r="OSV150" s="72"/>
      <c r="OSW150" s="72"/>
      <c r="OSX150" s="72"/>
      <c r="OSY150" s="72"/>
      <c r="OSZ150" s="72"/>
      <c r="OTA150" s="72"/>
      <c r="OTB150" s="72"/>
      <c r="OTC150" s="72"/>
      <c r="OTD150" s="72"/>
      <c r="OTE150" s="72"/>
      <c r="OTF150" s="72"/>
      <c r="OTG150" s="72"/>
      <c r="OTH150" s="72"/>
      <c r="OTI150" s="72"/>
      <c r="OTJ150" s="72"/>
      <c r="OTK150" s="72"/>
      <c r="OTL150" s="72"/>
      <c r="OTM150" s="72"/>
      <c r="OTN150" s="72"/>
      <c r="OTO150" s="72"/>
      <c r="OTP150" s="72"/>
      <c r="OTQ150" s="72"/>
      <c r="OTR150" s="72"/>
      <c r="OTS150" s="72"/>
      <c r="OTT150" s="72"/>
      <c r="OTU150" s="72"/>
      <c r="OTV150" s="72"/>
      <c r="OTW150" s="72"/>
      <c r="OTX150" s="72"/>
      <c r="OTY150" s="72"/>
      <c r="OTZ150" s="72"/>
      <c r="OUA150" s="72"/>
      <c r="OUB150" s="72"/>
      <c r="OUC150" s="72"/>
      <c r="OUD150" s="72"/>
      <c r="OUE150" s="72"/>
      <c r="OUF150" s="72"/>
      <c r="OUG150" s="72"/>
      <c r="OUH150" s="72"/>
      <c r="OUI150" s="72"/>
      <c r="OUJ150" s="72"/>
      <c r="OUK150" s="72"/>
      <c r="OUL150" s="72"/>
      <c r="OUM150" s="72"/>
      <c r="OUN150" s="72"/>
      <c r="OUO150" s="72"/>
      <c r="OUP150" s="72"/>
      <c r="OUQ150" s="72"/>
      <c r="OUR150" s="72"/>
      <c r="OUS150" s="72"/>
      <c r="OUT150" s="72"/>
      <c r="OUU150" s="72"/>
      <c r="OUV150" s="72"/>
      <c r="OUW150" s="72"/>
      <c r="OUX150" s="72"/>
      <c r="OUY150" s="72"/>
      <c r="OUZ150" s="72"/>
      <c r="OVA150" s="72"/>
      <c r="OVB150" s="72"/>
      <c r="OVC150" s="72"/>
      <c r="OVD150" s="72"/>
      <c r="OVE150" s="72"/>
      <c r="OVF150" s="72"/>
      <c r="OVG150" s="72"/>
      <c r="OVH150" s="72"/>
      <c r="OVI150" s="72"/>
      <c r="OVJ150" s="72"/>
      <c r="OVK150" s="72"/>
      <c r="OVL150" s="72"/>
      <c r="OVM150" s="72"/>
      <c r="OVN150" s="72"/>
      <c r="OVO150" s="72"/>
      <c r="OVP150" s="72"/>
      <c r="OVQ150" s="72"/>
      <c r="OVR150" s="72"/>
      <c r="OVS150" s="72"/>
      <c r="OVT150" s="72"/>
      <c r="OVU150" s="72"/>
      <c r="OVV150" s="72"/>
      <c r="OVW150" s="72"/>
      <c r="OVX150" s="72"/>
      <c r="OVY150" s="72"/>
      <c r="OVZ150" s="72"/>
      <c r="OWA150" s="72"/>
      <c r="OWB150" s="72"/>
      <c r="OWC150" s="72"/>
      <c r="OWD150" s="72"/>
      <c r="OWE150" s="72"/>
      <c r="OWF150" s="72"/>
      <c r="OWG150" s="72"/>
      <c r="OWH150" s="72"/>
      <c r="OWI150" s="72"/>
      <c r="OWJ150" s="72"/>
      <c r="OWK150" s="72"/>
      <c r="OWL150" s="72"/>
      <c r="OWM150" s="72"/>
      <c r="OWN150" s="72"/>
      <c r="OWO150" s="72"/>
      <c r="OWP150" s="72"/>
      <c r="OWQ150" s="72"/>
      <c r="OWR150" s="72"/>
      <c r="OWS150" s="72"/>
      <c r="OWT150" s="72"/>
      <c r="OWU150" s="72"/>
      <c r="OWV150" s="72"/>
      <c r="OWW150" s="72"/>
      <c r="OWX150" s="72"/>
      <c r="OWY150" s="72"/>
      <c r="OWZ150" s="72"/>
      <c r="OXA150" s="72"/>
      <c r="OXB150" s="72"/>
      <c r="OXC150" s="72"/>
      <c r="OXD150" s="72"/>
      <c r="OXE150" s="72"/>
      <c r="OXF150" s="72"/>
      <c r="OXG150" s="72"/>
      <c r="OXH150" s="72"/>
      <c r="OXI150" s="72"/>
      <c r="OXJ150" s="72"/>
      <c r="OXK150" s="72"/>
      <c r="OXL150" s="72"/>
      <c r="OXM150" s="72"/>
      <c r="OXN150" s="72"/>
      <c r="OXO150" s="72"/>
      <c r="OXP150" s="72"/>
      <c r="OXQ150" s="72"/>
      <c r="OXR150" s="72"/>
      <c r="OXS150" s="72"/>
      <c r="OXT150" s="72"/>
      <c r="OXU150" s="72"/>
      <c r="OXV150" s="72"/>
      <c r="OXW150" s="72"/>
      <c r="OXX150" s="72"/>
      <c r="OXY150" s="72"/>
      <c r="OXZ150" s="72"/>
      <c r="OYA150" s="72"/>
      <c r="OYB150" s="72"/>
      <c r="OYC150" s="72"/>
      <c r="OYD150" s="72"/>
      <c r="OYE150" s="72"/>
      <c r="OYF150" s="72"/>
      <c r="OYG150" s="72"/>
      <c r="OYH150" s="72"/>
      <c r="OYI150" s="72"/>
      <c r="OYJ150" s="72"/>
      <c r="OYK150" s="72"/>
      <c r="OYL150" s="72"/>
      <c r="OYM150" s="72"/>
      <c r="OYN150" s="72"/>
      <c r="OYO150" s="72"/>
      <c r="OYP150" s="72"/>
      <c r="OYQ150" s="72"/>
      <c r="OYR150" s="72"/>
      <c r="OYS150" s="72"/>
      <c r="OYT150" s="72"/>
      <c r="OYU150" s="72"/>
      <c r="OYV150" s="72"/>
      <c r="OYW150" s="72"/>
      <c r="OYX150" s="72"/>
      <c r="OYY150" s="72"/>
      <c r="OYZ150" s="72"/>
      <c r="OZA150" s="72"/>
      <c r="OZB150" s="72"/>
      <c r="OZC150" s="72"/>
      <c r="OZD150" s="72"/>
      <c r="OZE150" s="72"/>
      <c r="OZF150" s="72"/>
      <c r="OZG150" s="72"/>
      <c r="OZH150" s="72"/>
      <c r="OZI150" s="72"/>
      <c r="OZJ150" s="72"/>
      <c r="OZK150" s="72"/>
      <c r="OZL150" s="72"/>
      <c r="OZM150" s="72"/>
      <c r="OZN150" s="72"/>
      <c r="OZO150" s="72"/>
      <c r="OZP150" s="72"/>
      <c r="OZQ150" s="72"/>
      <c r="OZR150" s="72"/>
      <c r="OZS150" s="72"/>
      <c r="OZT150" s="72"/>
      <c r="OZU150" s="72"/>
      <c r="OZV150" s="72"/>
      <c r="OZW150" s="72"/>
      <c r="OZX150" s="72"/>
      <c r="OZY150" s="72"/>
      <c r="OZZ150" s="72"/>
      <c r="PAA150" s="72"/>
      <c r="PAB150" s="72"/>
      <c r="PAC150" s="72"/>
      <c r="PAD150" s="72"/>
      <c r="PAE150" s="72"/>
      <c r="PAF150" s="72"/>
      <c r="PAG150" s="72"/>
      <c r="PAH150" s="72"/>
      <c r="PAI150" s="72"/>
      <c r="PAJ150" s="72"/>
      <c r="PAK150" s="72"/>
      <c r="PAL150" s="72"/>
      <c r="PAM150" s="72"/>
      <c r="PAN150" s="72"/>
      <c r="PAO150" s="72"/>
      <c r="PAP150" s="72"/>
      <c r="PAQ150" s="72"/>
      <c r="PAR150" s="72"/>
      <c r="PAS150" s="72"/>
      <c r="PAT150" s="72"/>
      <c r="PAU150" s="72"/>
      <c r="PAV150" s="72"/>
      <c r="PAW150" s="72"/>
      <c r="PAX150" s="72"/>
      <c r="PAY150" s="72"/>
      <c r="PAZ150" s="72"/>
      <c r="PBA150" s="72"/>
      <c r="PBB150" s="72"/>
      <c r="PBC150" s="72"/>
      <c r="PBD150" s="72"/>
      <c r="PBE150" s="72"/>
      <c r="PBF150" s="72"/>
      <c r="PBG150" s="72"/>
      <c r="PBH150" s="72"/>
      <c r="PBI150" s="72"/>
      <c r="PBJ150" s="72"/>
      <c r="PBK150" s="72"/>
      <c r="PBL150" s="72"/>
      <c r="PBM150" s="72"/>
      <c r="PBN150" s="72"/>
      <c r="PBO150" s="72"/>
      <c r="PBP150" s="72"/>
      <c r="PBQ150" s="72"/>
      <c r="PBR150" s="72"/>
      <c r="PBS150" s="72"/>
      <c r="PBT150" s="72"/>
      <c r="PBU150" s="72"/>
      <c r="PBV150" s="72"/>
      <c r="PBW150" s="72"/>
      <c r="PBX150" s="72"/>
      <c r="PBY150" s="72"/>
      <c r="PBZ150" s="72"/>
      <c r="PCA150" s="72"/>
      <c r="PCB150" s="72"/>
      <c r="PCC150" s="72"/>
      <c r="PCD150" s="72"/>
      <c r="PCE150" s="72"/>
      <c r="PCF150" s="72"/>
      <c r="PCG150" s="72"/>
      <c r="PCH150" s="72"/>
      <c r="PCI150" s="72"/>
      <c r="PCJ150" s="72"/>
      <c r="PCK150" s="72"/>
      <c r="PCL150" s="72"/>
      <c r="PCM150" s="72"/>
      <c r="PCN150" s="72"/>
      <c r="PCO150" s="72"/>
      <c r="PCP150" s="72"/>
      <c r="PCQ150" s="72"/>
      <c r="PCR150" s="72"/>
      <c r="PCS150" s="72"/>
      <c r="PCT150" s="72"/>
      <c r="PCU150" s="72"/>
      <c r="PCV150" s="72"/>
      <c r="PCW150" s="72"/>
      <c r="PCX150" s="72"/>
      <c r="PCY150" s="72"/>
      <c r="PCZ150" s="72"/>
      <c r="PDA150" s="72"/>
      <c r="PDB150" s="72"/>
      <c r="PDC150" s="72"/>
      <c r="PDD150" s="72"/>
      <c r="PDE150" s="72"/>
      <c r="PDF150" s="72"/>
      <c r="PDG150" s="72"/>
      <c r="PDH150" s="72"/>
      <c r="PDI150" s="72"/>
      <c r="PDJ150" s="72"/>
      <c r="PDK150" s="72"/>
      <c r="PDL150" s="72"/>
      <c r="PDM150" s="72"/>
      <c r="PDN150" s="72"/>
      <c r="PDO150" s="72"/>
      <c r="PDP150" s="72"/>
      <c r="PDQ150" s="72"/>
      <c r="PDR150" s="72"/>
      <c r="PDS150" s="72"/>
      <c r="PDT150" s="72"/>
      <c r="PDU150" s="72"/>
      <c r="PDV150" s="72"/>
      <c r="PDW150" s="72"/>
      <c r="PDX150" s="72"/>
      <c r="PDY150" s="72"/>
      <c r="PDZ150" s="72"/>
      <c r="PEA150" s="72"/>
      <c r="PEB150" s="72"/>
      <c r="PEC150" s="72"/>
      <c r="PED150" s="72"/>
      <c r="PEE150" s="72"/>
      <c r="PEF150" s="72"/>
      <c r="PEG150" s="72"/>
      <c r="PEH150" s="72"/>
      <c r="PEI150" s="72"/>
      <c r="PEJ150" s="72"/>
      <c r="PEK150" s="72"/>
      <c r="PEL150" s="72"/>
      <c r="PEM150" s="72"/>
      <c r="PEN150" s="72"/>
      <c r="PEO150" s="72"/>
      <c r="PEP150" s="72"/>
      <c r="PEQ150" s="72"/>
      <c r="PER150" s="72"/>
      <c r="PES150" s="72"/>
      <c r="PET150" s="72"/>
      <c r="PEU150" s="72"/>
      <c r="PEV150" s="72"/>
      <c r="PEW150" s="72"/>
      <c r="PEX150" s="72"/>
      <c r="PEY150" s="72"/>
      <c r="PEZ150" s="72"/>
      <c r="PFA150" s="72"/>
      <c r="PFB150" s="72"/>
      <c r="PFC150" s="72"/>
      <c r="PFD150" s="72"/>
      <c r="PFE150" s="72"/>
      <c r="PFF150" s="72"/>
      <c r="PFG150" s="72"/>
      <c r="PFH150" s="72"/>
      <c r="PFI150" s="72"/>
      <c r="PFJ150" s="72"/>
      <c r="PFK150" s="72"/>
      <c r="PFL150" s="72"/>
      <c r="PFM150" s="72"/>
      <c r="PFN150" s="72"/>
      <c r="PFO150" s="72"/>
      <c r="PFP150" s="72"/>
      <c r="PFQ150" s="72"/>
      <c r="PFR150" s="72"/>
      <c r="PFS150" s="72"/>
      <c r="PFT150" s="72"/>
      <c r="PFU150" s="72"/>
      <c r="PFV150" s="72"/>
      <c r="PFW150" s="72"/>
      <c r="PFX150" s="72"/>
      <c r="PFY150" s="72"/>
      <c r="PFZ150" s="72"/>
      <c r="PGA150" s="72"/>
      <c r="PGB150" s="72"/>
      <c r="PGC150" s="72"/>
      <c r="PGD150" s="72"/>
      <c r="PGE150" s="72"/>
      <c r="PGF150" s="72"/>
      <c r="PGG150" s="72"/>
      <c r="PGH150" s="72"/>
      <c r="PGI150" s="72"/>
      <c r="PGJ150" s="72"/>
      <c r="PGK150" s="72"/>
      <c r="PGL150" s="72"/>
      <c r="PGM150" s="72"/>
      <c r="PGN150" s="72"/>
      <c r="PGO150" s="72"/>
      <c r="PGP150" s="72"/>
      <c r="PGQ150" s="72"/>
      <c r="PGR150" s="72"/>
      <c r="PGS150" s="72"/>
      <c r="PGT150" s="72"/>
      <c r="PGU150" s="72"/>
      <c r="PGV150" s="72"/>
      <c r="PGW150" s="72"/>
      <c r="PGX150" s="72"/>
      <c r="PGY150" s="72"/>
      <c r="PGZ150" s="72"/>
      <c r="PHA150" s="72"/>
      <c r="PHB150" s="72"/>
      <c r="PHC150" s="72"/>
      <c r="PHD150" s="72"/>
      <c r="PHE150" s="72"/>
      <c r="PHF150" s="72"/>
      <c r="PHG150" s="72"/>
      <c r="PHH150" s="72"/>
      <c r="PHI150" s="72"/>
      <c r="PHJ150" s="72"/>
      <c r="PHK150" s="72"/>
      <c r="PHL150" s="72"/>
      <c r="PHM150" s="72"/>
      <c r="PHN150" s="72"/>
      <c r="PHO150" s="72"/>
      <c r="PHP150" s="72"/>
      <c r="PHQ150" s="72"/>
      <c r="PHR150" s="72"/>
      <c r="PHS150" s="72"/>
      <c r="PHT150" s="72"/>
      <c r="PHU150" s="72"/>
      <c r="PHV150" s="72"/>
      <c r="PHW150" s="72"/>
      <c r="PHX150" s="72"/>
      <c r="PHY150" s="72"/>
      <c r="PHZ150" s="72"/>
      <c r="PIA150" s="72"/>
      <c r="PIB150" s="72"/>
      <c r="PIC150" s="72"/>
      <c r="PID150" s="72"/>
      <c r="PIE150" s="72"/>
      <c r="PIF150" s="72"/>
      <c r="PIG150" s="72"/>
      <c r="PIH150" s="72"/>
      <c r="PII150" s="72"/>
      <c r="PIJ150" s="72"/>
      <c r="PIK150" s="72"/>
      <c r="PIL150" s="72"/>
      <c r="PIM150" s="72"/>
      <c r="PIN150" s="72"/>
      <c r="PIO150" s="72"/>
      <c r="PIP150" s="72"/>
      <c r="PIQ150" s="72"/>
      <c r="PIR150" s="72"/>
      <c r="PIS150" s="72"/>
      <c r="PIT150" s="72"/>
      <c r="PIU150" s="72"/>
      <c r="PIV150" s="72"/>
      <c r="PIW150" s="72"/>
      <c r="PIX150" s="72"/>
      <c r="PIY150" s="72"/>
      <c r="PIZ150" s="72"/>
      <c r="PJA150" s="72"/>
      <c r="PJB150" s="72"/>
      <c r="PJC150" s="72"/>
      <c r="PJD150" s="72"/>
      <c r="PJE150" s="72"/>
      <c r="PJF150" s="72"/>
      <c r="PJG150" s="72"/>
      <c r="PJH150" s="72"/>
      <c r="PJI150" s="72"/>
      <c r="PJJ150" s="72"/>
      <c r="PJK150" s="72"/>
      <c r="PJL150" s="72"/>
      <c r="PJM150" s="72"/>
      <c r="PJN150" s="72"/>
      <c r="PJO150" s="72"/>
      <c r="PJP150" s="72"/>
      <c r="PJQ150" s="72"/>
      <c r="PJR150" s="72"/>
      <c r="PJS150" s="72"/>
      <c r="PJT150" s="72"/>
      <c r="PJU150" s="72"/>
      <c r="PJV150" s="72"/>
      <c r="PJW150" s="72"/>
      <c r="PJX150" s="72"/>
      <c r="PJY150" s="72"/>
      <c r="PJZ150" s="72"/>
      <c r="PKA150" s="72"/>
      <c r="PKB150" s="72"/>
      <c r="PKC150" s="72"/>
      <c r="PKD150" s="72"/>
      <c r="PKE150" s="72"/>
      <c r="PKF150" s="72"/>
      <c r="PKG150" s="72"/>
      <c r="PKH150" s="72"/>
      <c r="PKI150" s="72"/>
      <c r="PKJ150" s="72"/>
      <c r="PKK150" s="72"/>
      <c r="PKL150" s="72"/>
      <c r="PKM150" s="72"/>
      <c r="PKN150" s="72"/>
      <c r="PKO150" s="72"/>
      <c r="PKP150" s="72"/>
      <c r="PKQ150" s="72"/>
      <c r="PKR150" s="72"/>
      <c r="PKS150" s="72"/>
      <c r="PKT150" s="72"/>
      <c r="PKU150" s="72"/>
      <c r="PKV150" s="72"/>
      <c r="PKW150" s="72"/>
      <c r="PKX150" s="72"/>
      <c r="PKY150" s="72"/>
      <c r="PKZ150" s="72"/>
      <c r="PLA150" s="72"/>
      <c r="PLB150" s="72"/>
      <c r="PLC150" s="72"/>
      <c r="PLD150" s="72"/>
      <c r="PLE150" s="72"/>
      <c r="PLF150" s="72"/>
      <c r="PLG150" s="72"/>
      <c r="PLH150" s="72"/>
      <c r="PLI150" s="72"/>
      <c r="PLJ150" s="72"/>
      <c r="PLK150" s="72"/>
      <c r="PLL150" s="72"/>
      <c r="PLM150" s="72"/>
      <c r="PLN150" s="72"/>
      <c r="PLO150" s="72"/>
      <c r="PLP150" s="72"/>
      <c r="PLQ150" s="72"/>
      <c r="PLR150" s="72"/>
      <c r="PLS150" s="72"/>
      <c r="PLT150" s="72"/>
      <c r="PLU150" s="72"/>
      <c r="PLV150" s="72"/>
      <c r="PLW150" s="72"/>
      <c r="PLX150" s="72"/>
      <c r="PLY150" s="72"/>
      <c r="PLZ150" s="72"/>
      <c r="PMA150" s="72"/>
      <c r="PMB150" s="72"/>
      <c r="PMC150" s="72"/>
      <c r="PMD150" s="72"/>
      <c r="PME150" s="72"/>
      <c r="PMF150" s="72"/>
      <c r="PMG150" s="72"/>
      <c r="PMH150" s="72"/>
      <c r="PMI150" s="72"/>
      <c r="PMJ150" s="72"/>
      <c r="PMK150" s="72"/>
      <c r="PML150" s="72"/>
      <c r="PMM150" s="72"/>
      <c r="PMN150" s="72"/>
      <c r="PMO150" s="72"/>
      <c r="PMP150" s="72"/>
      <c r="PMQ150" s="72"/>
      <c r="PMR150" s="72"/>
      <c r="PMS150" s="72"/>
      <c r="PMT150" s="72"/>
      <c r="PMU150" s="72"/>
      <c r="PMV150" s="72"/>
      <c r="PMW150" s="72"/>
      <c r="PMX150" s="72"/>
      <c r="PMY150" s="72"/>
      <c r="PMZ150" s="72"/>
      <c r="PNA150" s="72"/>
      <c r="PNB150" s="72"/>
      <c r="PNC150" s="72"/>
      <c r="PND150" s="72"/>
      <c r="PNE150" s="72"/>
      <c r="PNF150" s="72"/>
      <c r="PNG150" s="72"/>
      <c r="PNH150" s="72"/>
      <c r="PNI150" s="72"/>
      <c r="PNJ150" s="72"/>
      <c r="PNK150" s="72"/>
      <c r="PNL150" s="72"/>
      <c r="PNM150" s="72"/>
      <c r="PNN150" s="72"/>
      <c r="PNO150" s="72"/>
      <c r="PNP150" s="72"/>
      <c r="PNQ150" s="72"/>
      <c r="PNR150" s="72"/>
      <c r="PNS150" s="72"/>
      <c r="PNT150" s="72"/>
      <c r="PNU150" s="72"/>
      <c r="PNV150" s="72"/>
      <c r="PNW150" s="72"/>
      <c r="PNX150" s="72"/>
      <c r="PNY150" s="72"/>
      <c r="PNZ150" s="72"/>
      <c r="POA150" s="72"/>
      <c r="POB150" s="72"/>
      <c r="POC150" s="72"/>
      <c r="POD150" s="72"/>
      <c r="POE150" s="72"/>
      <c r="POF150" s="72"/>
      <c r="POG150" s="72"/>
      <c r="POH150" s="72"/>
      <c r="POI150" s="72"/>
      <c r="POJ150" s="72"/>
      <c r="POK150" s="72"/>
      <c r="POL150" s="72"/>
      <c r="POM150" s="72"/>
      <c r="PON150" s="72"/>
      <c r="POO150" s="72"/>
      <c r="POP150" s="72"/>
      <c r="POQ150" s="72"/>
      <c r="POR150" s="72"/>
      <c r="POS150" s="72"/>
      <c r="POT150" s="72"/>
      <c r="POU150" s="72"/>
      <c r="POV150" s="72"/>
      <c r="POW150" s="72"/>
      <c r="POX150" s="72"/>
      <c r="POY150" s="72"/>
      <c r="POZ150" s="72"/>
      <c r="PPA150" s="72"/>
      <c r="PPB150" s="72"/>
      <c r="PPC150" s="72"/>
      <c r="PPD150" s="72"/>
      <c r="PPE150" s="72"/>
      <c r="PPF150" s="72"/>
      <c r="PPG150" s="72"/>
      <c r="PPH150" s="72"/>
      <c r="PPI150" s="72"/>
      <c r="PPJ150" s="72"/>
      <c r="PPK150" s="72"/>
      <c r="PPL150" s="72"/>
      <c r="PPM150" s="72"/>
      <c r="PPN150" s="72"/>
      <c r="PPO150" s="72"/>
      <c r="PPP150" s="72"/>
      <c r="PPQ150" s="72"/>
      <c r="PPR150" s="72"/>
      <c r="PPS150" s="72"/>
      <c r="PPT150" s="72"/>
      <c r="PPU150" s="72"/>
      <c r="PPV150" s="72"/>
      <c r="PPW150" s="72"/>
      <c r="PPX150" s="72"/>
      <c r="PPY150" s="72"/>
      <c r="PPZ150" s="72"/>
      <c r="PQA150" s="72"/>
      <c r="PQB150" s="72"/>
      <c r="PQC150" s="72"/>
      <c r="PQD150" s="72"/>
      <c r="PQE150" s="72"/>
      <c r="PQF150" s="72"/>
      <c r="PQG150" s="72"/>
      <c r="PQH150" s="72"/>
      <c r="PQI150" s="72"/>
      <c r="PQJ150" s="72"/>
      <c r="PQK150" s="72"/>
      <c r="PQL150" s="72"/>
      <c r="PQM150" s="72"/>
      <c r="PQN150" s="72"/>
      <c r="PQO150" s="72"/>
      <c r="PQP150" s="72"/>
      <c r="PQQ150" s="72"/>
      <c r="PQR150" s="72"/>
      <c r="PQS150" s="72"/>
      <c r="PQT150" s="72"/>
      <c r="PQU150" s="72"/>
      <c r="PQV150" s="72"/>
      <c r="PQW150" s="72"/>
      <c r="PQX150" s="72"/>
      <c r="PQY150" s="72"/>
      <c r="PQZ150" s="72"/>
      <c r="PRA150" s="72"/>
      <c r="PRB150" s="72"/>
      <c r="PRC150" s="72"/>
      <c r="PRD150" s="72"/>
      <c r="PRE150" s="72"/>
      <c r="PRF150" s="72"/>
      <c r="PRG150" s="72"/>
      <c r="PRH150" s="72"/>
      <c r="PRI150" s="72"/>
      <c r="PRJ150" s="72"/>
      <c r="PRK150" s="72"/>
      <c r="PRL150" s="72"/>
      <c r="PRM150" s="72"/>
      <c r="PRN150" s="72"/>
      <c r="PRO150" s="72"/>
      <c r="PRP150" s="72"/>
      <c r="PRQ150" s="72"/>
      <c r="PRR150" s="72"/>
      <c r="PRS150" s="72"/>
      <c r="PRT150" s="72"/>
      <c r="PRU150" s="72"/>
      <c r="PRV150" s="72"/>
      <c r="PRW150" s="72"/>
      <c r="PRX150" s="72"/>
      <c r="PRY150" s="72"/>
      <c r="PRZ150" s="72"/>
      <c r="PSA150" s="72"/>
      <c r="PSB150" s="72"/>
      <c r="PSC150" s="72"/>
      <c r="PSD150" s="72"/>
      <c r="PSE150" s="72"/>
      <c r="PSF150" s="72"/>
      <c r="PSG150" s="72"/>
      <c r="PSH150" s="72"/>
      <c r="PSI150" s="72"/>
      <c r="PSJ150" s="72"/>
      <c r="PSK150" s="72"/>
      <c r="PSL150" s="72"/>
      <c r="PSM150" s="72"/>
      <c r="PSN150" s="72"/>
      <c r="PSO150" s="72"/>
      <c r="PSP150" s="72"/>
      <c r="PSQ150" s="72"/>
      <c r="PSR150" s="72"/>
      <c r="PSS150" s="72"/>
      <c r="PST150" s="72"/>
      <c r="PSU150" s="72"/>
      <c r="PSV150" s="72"/>
      <c r="PSW150" s="72"/>
      <c r="PSX150" s="72"/>
      <c r="PSY150" s="72"/>
      <c r="PSZ150" s="72"/>
      <c r="PTA150" s="72"/>
      <c r="PTB150" s="72"/>
      <c r="PTC150" s="72"/>
      <c r="PTD150" s="72"/>
      <c r="PTE150" s="72"/>
      <c r="PTF150" s="72"/>
      <c r="PTG150" s="72"/>
      <c r="PTH150" s="72"/>
      <c r="PTI150" s="72"/>
      <c r="PTJ150" s="72"/>
      <c r="PTK150" s="72"/>
      <c r="PTL150" s="72"/>
      <c r="PTM150" s="72"/>
      <c r="PTN150" s="72"/>
      <c r="PTO150" s="72"/>
      <c r="PTP150" s="72"/>
      <c r="PTQ150" s="72"/>
      <c r="PTR150" s="72"/>
      <c r="PTS150" s="72"/>
      <c r="PTT150" s="72"/>
      <c r="PTU150" s="72"/>
      <c r="PTV150" s="72"/>
      <c r="PTW150" s="72"/>
      <c r="PTX150" s="72"/>
      <c r="PTY150" s="72"/>
      <c r="PTZ150" s="72"/>
      <c r="PUA150" s="72"/>
      <c r="PUB150" s="72"/>
      <c r="PUC150" s="72"/>
      <c r="PUD150" s="72"/>
      <c r="PUE150" s="72"/>
      <c r="PUF150" s="72"/>
      <c r="PUG150" s="72"/>
      <c r="PUH150" s="72"/>
      <c r="PUI150" s="72"/>
      <c r="PUJ150" s="72"/>
      <c r="PUK150" s="72"/>
      <c r="PUL150" s="72"/>
      <c r="PUM150" s="72"/>
      <c r="PUN150" s="72"/>
      <c r="PUO150" s="72"/>
      <c r="PUP150" s="72"/>
      <c r="PUQ150" s="72"/>
      <c r="PUR150" s="72"/>
      <c r="PUS150" s="72"/>
      <c r="PUT150" s="72"/>
      <c r="PUU150" s="72"/>
      <c r="PUV150" s="72"/>
      <c r="PUW150" s="72"/>
      <c r="PUX150" s="72"/>
      <c r="PUY150" s="72"/>
      <c r="PUZ150" s="72"/>
      <c r="PVA150" s="72"/>
      <c r="PVB150" s="72"/>
      <c r="PVC150" s="72"/>
      <c r="PVD150" s="72"/>
      <c r="PVE150" s="72"/>
      <c r="PVF150" s="72"/>
      <c r="PVG150" s="72"/>
      <c r="PVH150" s="72"/>
      <c r="PVI150" s="72"/>
      <c r="PVJ150" s="72"/>
      <c r="PVK150" s="72"/>
      <c r="PVL150" s="72"/>
      <c r="PVM150" s="72"/>
      <c r="PVN150" s="72"/>
      <c r="PVO150" s="72"/>
      <c r="PVP150" s="72"/>
      <c r="PVQ150" s="72"/>
      <c r="PVR150" s="72"/>
      <c r="PVS150" s="72"/>
      <c r="PVT150" s="72"/>
      <c r="PVU150" s="72"/>
      <c r="PVV150" s="72"/>
      <c r="PVW150" s="72"/>
      <c r="PVX150" s="72"/>
      <c r="PVY150" s="72"/>
      <c r="PVZ150" s="72"/>
      <c r="PWA150" s="72"/>
      <c r="PWB150" s="72"/>
      <c r="PWC150" s="72"/>
      <c r="PWD150" s="72"/>
      <c r="PWE150" s="72"/>
      <c r="PWF150" s="72"/>
      <c r="PWG150" s="72"/>
      <c r="PWH150" s="72"/>
      <c r="PWI150" s="72"/>
      <c r="PWJ150" s="72"/>
      <c r="PWK150" s="72"/>
      <c r="PWL150" s="72"/>
      <c r="PWM150" s="72"/>
      <c r="PWN150" s="72"/>
      <c r="PWO150" s="72"/>
      <c r="PWP150" s="72"/>
      <c r="PWQ150" s="72"/>
      <c r="PWR150" s="72"/>
      <c r="PWS150" s="72"/>
      <c r="PWT150" s="72"/>
      <c r="PWU150" s="72"/>
      <c r="PWV150" s="72"/>
      <c r="PWW150" s="72"/>
      <c r="PWX150" s="72"/>
      <c r="PWY150" s="72"/>
      <c r="PWZ150" s="72"/>
      <c r="PXA150" s="72"/>
      <c r="PXB150" s="72"/>
      <c r="PXC150" s="72"/>
      <c r="PXD150" s="72"/>
      <c r="PXE150" s="72"/>
      <c r="PXF150" s="72"/>
      <c r="PXG150" s="72"/>
      <c r="PXH150" s="72"/>
      <c r="PXI150" s="72"/>
      <c r="PXJ150" s="72"/>
      <c r="PXK150" s="72"/>
      <c r="PXL150" s="72"/>
      <c r="PXM150" s="72"/>
      <c r="PXN150" s="72"/>
      <c r="PXO150" s="72"/>
      <c r="PXP150" s="72"/>
      <c r="PXQ150" s="72"/>
      <c r="PXR150" s="72"/>
      <c r="PXS150" s="72"/>
      <c r="PXT150" s="72"/>
      <c r="PXU150" s="72"/>
      <c r="PXV150" s="72"/>
      <c r="PXW150" s="72"/>
      <c r="PXX150" s="72"/>
      <c r="PXY150" s="72"/>
      <c r="PXZ150" s="72"/>
      <c r="PYA150" s="72"/>
      <c r="PYB150" s="72"/>
      <c r="PYC150" s="72"/>
      <c r="PYD150" s="72"/>
      <c r="PYE150" s="72"/>
      <c r="PYF150" s="72"/>
      <c r="PYG150" s="72"/>
      <c r="PYH150" s="72"/>
      <c r="PYI150" s="72"/>
      <c r="PYJ150" s="72"/>
      <c r="PYK150" s="72"/>
      <c r="PYL150" s="72"/>
      <c r="PYM150" s="72"/>
      <c r="PYN150" s="72"/>
      <c r="PYO150" s="72"/>
      <c r="PYP150" s="72"/>
      <c r="PYQ150" s="72"/>
      <c r="PYR150" s="72"/>
      <c r="PYS150" s="72"/>
      <c r="PYT150" s="72"/>
      <c r="PYU150" s="72"/>
      <c r="PYV150" s="72"/>
      <c r="PYW150" s="72"/>
      <c r="PYX150" s="72"/>
      <c r="PYY150" s="72"/>
      <c r="PYZ150" s="72"/>
      <c r="PZA150" s="72"/>
      <c r="PZB150" s="72"/>
      <c r="PZC150" s="72"/>
      <c r="PZD150" s="72"/>
      <c r="PZE150" s="72"/>
      <c r="PZF150" s="72"/>
      <c r="PZG150" s="72"/>
      <c r="PZH150" s="72"/>
      <c r="PZI150" s="72"/>
      <c r="PZJ150" s="72"/>
      <c r="PZK150" s="72"/>
      <c r="PZL150" s="72"/>
      <c r="PZM150" s="72"/>
      <c r="PZN150" s="72"/>
      <c r="PZO150" s="72"/>
      <c r="PZP150" s="72"/>
      <c r="PZQ150" s="72"/>
      <c r="PZR150" s="72"/>
      <c r="PZS150" s="72"/>
      <c r="PZT150" s="72"/>
      <c r="PZU150" s="72"/>
      <c r="PZV150" s="72"/>
      <c r="PZW150" s="72"/>
      <c r="PZX150" s="72"/>
      <c r="PZY150" s="72"/>
      <c r="PZZ150" s="72"/>
      <c r="QAA150" s="72"/>
      <c r="QAB150" s="72"/>
      <c r="QAC150" s="72"/>
      <c r="QAD150" s="72"/>
      <c r="QAE150" s="72"/>
      <c r="QAF150" s="72"/>
      <c r="QAG150" s="72"/>
      <c r="QAH150" s="72"/>
      <c r="QAI150" s="72"/>
      <c r="QAJ150" s="72"/>
      <c r="QAK150" s="72"/>
      <c r="QAL150" s="72"/>
      <c r="QAM150" s="72"/>
      <c r="QAN150" s="72"/>
      <c r="QAO150" s="72"/>
      <c r="QAP150" s="72"/>
      <c r="QAQ150" s="72"/>
      <c r="QAR150" s="72"/>
      <c r="QAS150" s="72"/>
      <c r="QAT150" s="72"/>
      <c r="QAU150" s="72"/>
      <c r="QAV150" s="72"/>
      <c r="QAW150" s="72"/>
      <c r="QAX150" s="72"/>
      <c r="QAY150" s="72"/>
      <c r="QAZ150" s="72"/>
      <c r="QBA150" s="72"/>
      <c r="QBB150" s="72"/>
      <c r="QBC150" s="72"/>
      <c r="QBD150" s="72"/>
      <c r="QBE150" s="72"/>
      <c r="QBF150" s="72"/>
      <c r="QBG150" s="72"/>
      <c r="QBH150" s="72"/>
      <c r="QBI150" s="72"/>
      <c r="QBJ150" s="72"/>
      <c r="QBK150" s="72"/>
      <c r="QBL150" s="72"/>
      <c r="QBM150" s="72"/>
      <c r="QBN150" s="72"/>
      <c r="QBO150" s="72"/>
      <c r="QBP150" s="72"/>
      <c r="QBQ150" s="72"/>
      <c r="QBR150" s="72"/>
      <c r="QBS150" s="72"/>
      <c r="QBT150" s="72"/>
      <c r="QBU150" s="72"/>
      <c r="QBV150" s="72"/>
      <c r="QBW150" s="72"/>
      <c r="QBX150" s="72"/>
      <c r="QBY150" s="72"/>
      <c r="QBZ150" s="72"/>
      <c r="QCA150" s="72"/>
      <c r="QCB150" s="72"/>
      <c r="QCC150" s="72"/>
      <c r="QCD150" s="72"/>
      <c r="QCE150" s="72"/>
      <c r="QCF150" s="72"/>
      <c r="QCG150" s="72"/>
      <c r="QCH150" s="72"/>
      <c r="QCI150" s="72"/>
      <c r="QCJ150" s="72"/>
      <c r="QCK150" s="72"/>
      <c r="QCL150" s="72"/>
      <c r="QCM150" s="72"/>
      <c r="QCN150" s="72"/>
      <c r="QCO150" s="72"/>
      <c r="QCP150" s="72"/>
      <c r="QCQ150" s="72"/>
      <c r="QCR150" s="72"/>
      <c r="QCS150" s="72"/>
      <c r="QCT150" s="72"/>
      <c r="QCU150" s="72"/>
      <c r="QCV150" s="72"/>
      <c r="QCW150" s="72"/>
      <c r="QCX150" s="72"/>
      <c r="QCY150" s="72"/>
      <c r="QCZ150" s="72"/>
      <c r="QDA150" s="72"/>
      <c r="QDB150" s="72"/>
      <c r="QDC150" s="72"/>
      <c r="QDD150" s="72"/>
      <c r="QDE150" s="72"/>
      <c r="QDF150" s="72"/>
      <c r="QDG150" s="72"/>
      <c r="QDH150" s="72"/>
      <c r="QDI150" s="72"/>
      <c r="QDJ150" s="72"/>
      <c r="QDK150" s="72"/>
      <c r="QDL150" s="72"/>
      <c r="QDM150" s="72"/>
      <c r="QDN150" s="72"/>
      <c r="QDO150" s="72"/>
      <c r="QDP150" s="72"/>
      <c r="QDQ150" s="72"/>
      <c r="QDR150" s="72"/>
      <c r="QDS150" s="72"/>
      <c r="QDT150" s="72"/>
      <c r="QDU150" s="72"/>
      <c r="QDV150" s="72"/>
      <c r="QDW150" s="72"/>
      <c r="QDX150" s="72"/>
      <c r="QDY150" s="72"/>
      <c r="QDZ150" s="72"/>
      <c r="QEA150" s="72"/>
      <c r="QEB150" s="72"/>
      <c r="QEC150" s="72"/>
      <c r="QED150" s="72"/>
      <c r="QEE150" s="72"/>
      <c r="QEF150" s="72"/>
      <c r="QEG150" s="72"/>
      <c r="QEH150" s="72"/>
      <c r="QEI150" s="72"/>
      <c r="QEJ150" s="72"/>
      <c r="QEK150" s="72"/>
      <c r="QEL150" s="72"/>
      <c r="QEM150" s="72"/>
      <c r="QEN150" s="72"/>
      <c r="QEO150" s="72"/>
      <c r="QEP150" s="72"/>
      <c r="QEQ150" s="72"/>
      <c r="QER150" s="72"/>
      <c r="QES150" s="72"/>
      <c r="QET150" s="72"/>
      <c r="QEU150" s="72"/>
      <c r="QEV150" s="72"/>
      <c r="QEW150" s="72"/>
      <c r="QEX150" s="72"/>
      <c r="QEY150" s="72"/>
      <c r="QEZ150" s="72"/>
      <c r="QFA150" s="72"/>
      <c r="QFB150" s="72"/>
      <c r="QFC150" s="72"/>
      <c r="QFD150" s="72"/>
      <c r="QFE150" s="72"/>
      <c r="QFF150" s="72"/>
      <c r="QFG150" s="72"/>
      <c r="QFH150" s="72"/>
      <c r="QFI150" s="72"/>
      <c r="QFJ150" s="72"/>
      <c r="QFK150" s="72"/>
      <c r="QFL150" s="72"/>
      <c r="QFM150" s="72"/>
      <c r="QFN150" s="72"/>
      <c r="QFO150" s="72"/>
      <c r="QFP150" s="72"/>
      <c r="QFQ150" s="72"/>
      <c r="QFR150" s="72"/>
      <c r="QFS150" s="72"/>
      <c r="QFT150" s="72"/>
      <c r="QFU150" s="72"/>
      <c r="QFV150" s="72"/>
      <c r="QFW150" s="72"/>
      <c r="QFX150" s="72"/>
      <c r="QFY150" s="72"/>
      <c r="QFZ150" s="72"/>
      <c r="QGA150" s="72"/>
      <c r="QGB150" s="72"/>
      <c r="QGC150" s="72"/>
      <c r="QGD150" s="72"/>
      <c r="QGE150" s="72"/>
      <c r="QGF150" s="72"/>
      <c r="QGG150" s="72"/>
      <c r="QGH150" s="72"/>
      <c r="QGI150" s="72"/>
      <c r="QGJ150" s="72"/>
      <c r="QGK150" s="72"/>
      <c r="QGL150" s="72"/>
      <c r="QGM150" s="72"/>
      <c r="QGN150" s="72"/>
      <c r="QGO150" s="72"/>
      <c r="QGP150" s="72"/>
      <c r="QGQ150" s="72"/>
      <c r="QGR150" s="72"/>
      <c r="QGS150" s="72"/>
      <c r="QGT150" s="72"/>
      <c r="QGU150" s="72"/>
      <c r="QGV150" s="72"/>
      <c r="QGW150" s="72"/>
      <c r="QGX150" s="72"/>
      <c r="QGY150" s="72"/>
      <c r="QGZ150" s="72"/>
      <c r="QHA150" s="72"/>
      <c r="QHB150" s="72"/>
      <c r="QHC150" s="72"/>
      <c r="QHD150" s="72"/>
      <c r="QHE150" s="72"/>
      <c r="QHF150" s="72"/>
      <c r="QHG150" s="72"/>
      <c r="QHH150" s="72"/>
      <c r="QHI150" s="72"/>
      <c r="QHJ150" s="72"/>
      <c r="QHK150" s="72"/>
      <c r="QHL150" s="72"/>
      <c r="QHM150" s="72"/>
      <c r="QHN150" s="72"/>
      <c r="QHO150" s="72"/>
      <c r="QHP150" s="72"/>
      <c r="QHQ150" s="72"/>
      <c r="QHR150" s="72"/>
      <c r="QHS150" s="72"/>
      <c r="QHT150" s="72"/>
      <c r="QHU150" s="72"/>
      <c r="QHV150" s="72"/>
      <c r="QHW150" s="72"/>
      <c r="QHX150" s="72"/>
      <c r="QHY150" s="72"/>
      <c r="QHZ150" s="72"/>
      <c r="QIA150" s="72"/>
      <c r="QIB150" s="72"/>
      <c r="QIC150" s="72"/>
      <c r="QID150" s="72"/>
      <c r="QIE150" s="72"/>
      <c r="QIF150" s="72"/>
      <c r="QIG150" s="72"/>
      <c r="QIH150" s="72"/>
      <c r="QII150" s="72"/>
      <c r="QIJ150" s="72"/>
      <c r="QIK150" s="72"/>
      <c r="QIL150" s="72"/>
      <c r="QIM150" s="72"/>
      <c r="QIN150" s="72"/>
      <c r="QIO150" s="72"/>
      <c r="QIP150" s="72"/>
      <c r="QIQ150" s="72"/>
      <c r="QIR150" s="72"/>
      <c r="QIS150" s="72"/>
      <c r="QIT150" s="72"/>
      <c r="QIU150" s="72"/>
      <c r="QIV150" s="72"/>
      <c r="QIW150" s="72"/>
      <c r="QIX150" s="72"/>
      <c r="QIY150" s="72"/>
      <c r="QIZ150" s="72"/>
      <c r="QJA150" s="72"/>
      <c r="QJB150" s="72"/>
      <c r="QJC150" s="72"/>
      <c r="QJD150" s="72"/>
      <c r="QJE150" s="72"/>
      <c r="QJF150" s="72"/>
      <c r="QJG150" s="72"/>
      <c r="QJH150" s="72"/>
      <c r="QJI150" s="72"/>
      <c r="QJJ150" s="72"/>
      <c r="QJK150" s="72"/>
      <c r="QJL150" s="72"/>
      <c r="QJM150" s="72"/>
      <c r="QJN150" s="72"/>
      <c r="QJO150" s="72"/>
      <c r="QJP150" s="72"/>
      <c r="QJQ150" s="72"/>
      <c r="QJR150" s="72"/>
      <c r="QJS150" s="72"/>
      <c r="QJT150" s="72"/>
      <c r="QJU150" s="72"/>
      <c r="QJV150" s="72"/>
      <c r="QJW150" s="72"/>
      <c r="QJX150" s="72"/>
      <c r="QJY150" s="72"/>
      <c r="QJZ150" s="72"/>
      <c r="QKA150" s="72"/>
      <c r="QKB150" s="72"/>
      <c r="QKC150" s="72"/>
      <c r="QKD150" s="72"/>
      <c r="QKE150" s="72"/>
      <c r="QKF150" s="72"/>
      <c r="QKG150" s="72"/>
      <c r="QKH150" s="72"/>
      <c r="QKI150" s="72"/>
      <c r="QKJ150" s="72"/>
      <c r="QKK150" s="72"/>
      <c r="QKL150" s="72"/>
      <c r="QKM150" s="72"/>
      <c r="QKN150" s="72"/>
      <c r="QKO150" s="72"/>
      <c r="QKP150" s="72"/>
      <c r="QKQ150" s="72"/>
      <c r="QKR150" s="72"/>
      <c r="QKS150" s="72"/>
      <c r="QKT150" s="72"/>
      <c r="QKU150" s="72"/>
      <c r="QKV150" s="72"/>
      <c r="QKW150" s="72"/>
      <c r="QKX150" s="72"/>
      <c r="QKY150" s="72"/>
      <c r="QKZ150" s="72"/>
      <c r="QLA150" s="72"/>
      <c r="QLB150" s="72"/>
      <c r="QLC150" s="72"/>
      <c r="QLD150" s="72"/>
      <c r="QLE150" s="72"/>
      <c r="QLF150" s="72"/>
      <c r="QLG150" s="72"/>
      <c r="QLH150" s="72"/>
      <c r="QLI150" s="72"/>
      <c r="QLJ150" s="72"/>
      <c r="QLK150" s="72"/>
      <c r="QLL150" s="72"/>
      <c r="QLM150" s="72"/>
      <c r="QLN150" s="72"/>
      <c r="QLO150" s="72"/>
      <c r="QLP150" s="72"/>
      <c r="QLQ150" s="72"/>
      <c r="QLR150" s="72"/>
      <c r="QLS150" s="72"/>
      <c r="QLT150" s="72"/>
      <c r="QLU150" s="72"/>
      <c r="QLV150" s="72"/>
      <c r="QLW150" s="72"/>
      <c r="QLX150" s="72"/>
      <c r="QLY150" s="72"/>
      <c r="QLZ150" s="72"/>
      <c r="QMA150" s="72"/>
      <c r="QMB150" s="72"/>
      <c r="QMC150" s="72"/>
      <c r="QMD150" s="72"/>
      <c r="QME150" s="72"/>
      <c r="QMF150" s="72"/>
      <c r="QMG150" s="72"/>
      <c r="QMH150" s="72"/>
      <c r="QMI150" s="72"/>
      <c r="QMJ150" s="72"/>
      <c r="QMK150" s="72"/>
      <c r="QML150" s="72"/>
      <c r="QMM150" s="72"/>
      <c r="QMN150" s="72"/>
      <c r="QMO150" s="72"/>
      <c r="QMP150" s="72"/>
      <c r="QMQ150" s="72"/>
      <c r="QMR150" s="72"/>
      <c r="QMS150" s="72"/>
      <c r="QMT150" s="72"/>
      <c r="QMU150" s="72"/>
      <c r="QMV150" s="72"/>
      <c r="QMW150" s="72"/>
      <c r="QMX150" s="72"/>
      <c r="QMY150" s="72"/>
      <c r="QMZ150" s="72"/>
      <c r="QNA150" s="72"/>
      <c r="QNB150" s="72"/>
      <c r="QNC150" s="72"/>
      <c r="QND150" s="72"/>
      <c r="QNE150" s="72"/>
      <c r="QNF150" s="72"/>
      <c r="QNG150" s="72"/>
      <c r="QNH150" s="72"/>
      <c r="QNI150" s="72"/>
      <c r="QNJ150" s="72"/>
      <c r="QNK150" s="72"/>
      <c r="QNL150" s="72"/>
      <c r="QNM150" s="72"/>
      <c r="QNN150" s="72"/>
      <c r="QNO150" s="72"/>
      <c r="QNP150" s="72"/>
      <c r="QNQ150" s="72"/>
      <c r="QNR150" s="72"/>
      <c r="QNS150" s="72"/>
      <c r="QNT150" s="72"/>
      <c r="QNU150" s="72"/>
      <c r="QNV150" s="72"/>
      <c r="QNW150" s="72"/>
      <c r="QNX150" s="72"/>
      <c r="QNY150" s="72"/>
      <c r="QNZ150" s="72"/>
      <c r="QOA150" s="72"/>
      <c r="QOB150" s="72"/>
      <c r="QOC150" s="72"/>
      <c r="QOD150" s="72"/>
      <c r="QOE150" s="72"/>
      <c r="QOF150" s="72"/>
      <c r="QOG150" s="72"/>
      <c r="QOH150" s="72"/>
      <c r="QOI150" s="72"/>
      <c r="QOJ150" s="72"/>
      <c r="QOK150" s="72"/>
      <c r="QOL150" s="72"/>
      <c r="QOM150" s="72"/>
      <c r="QON150" s="72"/>
      <c r="QOO150" s="72"/>
      <c r="QOP150" s="72"/>
      <c r="QOQ150" s="72"/>
      <c r="QOR150" s="72"/>
      <c r="QOS150" s="72"/>
      <c r="QOT150" s="72"/>
      <c r="QOU150" s="72"/>
      <c r="QOV150" s="72"/>
      <c r="QOW150" s="72"/>
      <c r="QOX150" s="72"/>
      <c r="QOY150" s="72"/>
      <c r="QOZ150" s="72"/>
      <c r="QPA150" s="72"/>
      <c r="QPB150" s="72"/>
      <c r="QPC150" s="72"/>
      <c r="QPD150" s="72"/>
      <c r="QPE150" s="72"/>
      <c r="QPF150" s="72"/>
      <c r="QPG150" s="72"/>
      <c r="QPH150" s="72"/>
      <c r="QPI150" s="72"/>
      <c r="QPJ150" s="72"/>
      <c r="QPK150" s="72"/>
      <c r="QPL150" s="72"/>
      <c r="QPM150" s="72"/>
      <c r="QPN150" s="72"/>
      <c r="QPO150" s="72"/>
      <c r="QPP150" s="72"/>
      <c r="QPQ150" s="72"/>
      <c r="QPR150" s="72"/>
      <c r="QPS150" s="72"/>
      <c r="QPT150" s="72"/>
      <c r="QPU150" s="72"/>
      <c r="QPV150" s="72"/>
      <c r="QPW150" s="72"/>
      <c r="QPX150" s="72"/>
      <c r="QPY150" s="72"/>
      <c r="QPZ150" s="72"/>
      <c r="QQA150" s="72"/>
      <c r="QQB150" s="72"/>
      <c r="QQC150" s="72"/>
      <c r="QQD150" s="72"/>
      <c r="QQE150" s="72"/>
      <c r="QQF150" s="72"/>
      <c r="QQG150" s="72"/>
      <c r="QQH150" s="72"/>
      <c r="QQI150" s="72"/>
      <c r="QQJ150" s="72"/>
      <c r="QQK150" s="72"/>
      <c r="QQL150" s="72"/>
      <c r="QQM150" s="72"/>
      <c r="QQN150" s="72"/>
      <c r="QQO150" s="72"/>
      <c r="QQP150" s="72"/>
      <c r="QQQ150" s="72"/>
      <c r="QQR150" s="72"/>
      <c r="QQS150" s="72"/>
      <c r="QQT150" s="72"/>
      <c r="QQU150" s="72"/>
      <c r="QQV150" s="72"/>
      <c r="QQW150" s="72"/>
      <c r="QQX150" s="72"/>
      <c r="QQY150" s="72"/>
      <c r="QQZ150" s="72"/>
      <c r="QRA150" s="72"/>
      <c r="QRB150" s="72"/>
      <c r="QRC150" s="72"/>
      <c r="QRD150" s="72"/>
      <c r="QRE150" s="72"/>
      <c r="QRF150" s="72"/>
      <c r="QRG150" s="72"/>
      <c r="QRH150" s="72"/>
      <c r="QRI150" s="72"/>
      <c r="QRJ150" s="72"/>
      <c r="QRK150" s="72"/>
      <c r="QRL150" s="72"/>
      <c r="QRM150" s="72"/>
      <c r="QRN150" s="72"/>
      <c r="QRO150" s="72"/>
      <c r="QRP150" s="72"/>
      <c r="QRQ150" s="72"/>
      <c r="QRR150" s="72"/>
      <c r="QRS150" s="72"/>
      <c r="QRT150" s="72"/>
      <c r="QRU150" s="72"/>
      <c r="QRV150" s="72"/>
      <c r="QRW150" s="72"/>
      <c r="QRX150" s="72"/>
      <c r="QRY150" s="72"/>
      <c r="QRZ150" s="72"/>
      <c r="QSA150" s="72"/>
      <c r="QSB150" s="72"/>
      <c r="QSC150" s="72"/>
      <c r="QSD150" s="72"/>
      <c r="QSE150" s="72"/>
      <c r="QSF150" s="72"/>
      <c r="QSG150" s="72"/>
      <c r="QSH150" s="72"/>
      <c r="QSI150" s="72"/>
      <c r="QSJ150" s="72"/>
      <c r="QSK150" s="72"/>
      <c r="QSL150" s="72"/>
      <c r="QSM150" s="72"/>
      <c r="QSN150" s="72"/>
      <c r="QSO150" s="72"/>
      <c r="QSP150" s="72"/>
      <c r="QSQ150" s="72"/>
      <c r="QSR150" s="72"/>
      <c r="QSS150" s="72"/>
      <c r="QST150" s="72"/>
      <c r="QSU150" s="72"/>
      <c r="QSV150" s="72"/>
      <c r="QSW150" s="72"/>
      <c r="QSX150" s="72"/>
      <c r="QSY150" s="72"/>
      <c r="QSZ150" s="72"/>
      <c r="QTA150" s="72"/>
      <c r="QTB150" s="72"/>
      <c r="QTC150" s="72"/>
      <c r="QTD150" s="72"/>
      <c r="QTE150" s="72"/>
      <c r="QTF150" s="72"/>
      <c r="QTG150" s="72"/>
      <c r="QTH150" s="72"/>
      <c r="QTI150" s="72"/>
      <c r="QTJ150" s="72"/>
      <c r="QTK150" s="72"/>
      <c r="QTL150" s="72"/>
      <c r="QTM150" s="72"/>
      <c r="QTN150" s="72"/>
      <c r="QTO150" s="72"/>
      <c r="QTP150" s="72"/>
      <c r="QTQ150" s="72"/>
      <c r="QTR150" s="72"/>
      <c r="QTS150" s="72"/>
      <c r="QTT150" s="72"/>
      <c r="QTU150" s="72"/>
      <c r="QTV150" s="72"/>
      <c r="QTW150" s="72"/>
      <c r="QTX150" s="72"/>
      <c r="QTY150" s="72"/>
      <c r="QTZ150" s="72"/>
      <c r="QUA150" s="72"/>
      <c r="QUB150" s="72"/>
      <c r="QUC150" s="72"/>
      <c r="QUD150" s="72"/>
      <c r="QUE150" s="72"/>
      <c r="QUF150" s="72"/>
      <c r="QUG150" s="72"/>
      <c r="QUH150" s="72"/>
      <c r="QUI150" s="72"/>
      <c r="QUJ150" s="72"/>
      <c r="QUK150" s="72"/>
      <c r="QUL150" s="72"/>
      <c r="QUM150" s="72"/>
      <c r="QUN150" s="72"/>
      <c r="QUO150" s="72"/>
      <c r="QUP150" s="72"/>
      <c r="QUQ150" s="72"/>
      <c r="QUR150" s="72"/>
      <c r="QUS150" s="72"/>
      <c r="QUT150" s="72"/>
      <c r="QUU150" s="72"/>
      <c r="QUV150" s="72"/>
      <c r="QUW150" s="72"/>
      <c r="QUX150" s="72"/>
      <c r="QUY150" s="72"/>
      <c r="QUZ150" s="72"/>
      <c r="QVA150" s="72"/>
      <c r="QVB150" s="72"/>
      <c r="QVC150" s="72"/>
      <c r="QVD150" s="72"/>
      <c r="QVE150" s="72"/>
      <c r="QVF150" s="72"/>
      <c r="QVG150" s="72"/>
      <c r="QVH150" s="72"/>
      <c r="QVI150" s="72"/>
      <c r="QVJ150" s="72"/>
      <c r="QVK150" s="72"/>
      <c r="QVL150" s="72"/>
      <c r="QVM150" s="72"/>
      <c r="QVN150" s="72"/>
      <c r="QVO150" s="72"/>
      <c r="QVP150" s="72"/>
      <c r="QVQ150" s="72"/>
      <c r="QVR150" s="72"/>
      <c r="QVS150" s="72"/>
      <c r="QVT150" s="72"/>
      <c r="QVU150" s="72"/>
      <c r="QVV150" s="72"/>
      <c r="QVW150" s="72"/>
      <c r="QVX150" s="72"/>
      <c r="QVY150" s="72"/>
      <c r="QVZ150" s="72"/>
      <c r="QWA150" s="72"/>
      <c r="QWB150" s="72"/>
      <c r="QWC150" s="72"/>
      <c r="QWD150" s="72"/>
      <c r="QWE150" s="72"/>
      <c r="QWF150" s="72"/>
      <c r="QWG150" s="72"/>
      <c r="QWH150" s="72"/>
      <c r="QWI150" s="72"/>
      <c r="QWJ150" s="72"/>
      <c r="QWK150" s="72"/>
      <c r="QWL150" s="72"/>
      <c r="QWM150" s="72"/>
      <c r="QWN150" s="72"/>
      <c r="QWO150" s="72"/>
      <c r="QWP150" s="72"/>
      <c r="QWQ150" s="72"/>
      <c r="QWR150" s="72"/>
      <c r="QWS150" s="72"/>
      <c r="QWT150" s="72"/>
      <c r="QWU150" s="72"/>
      <c r="QWV150" s="72"/>
      <c r="QWW150" s="72"/>
      <c r="QWX150" s="72"/>
      <c r="QWY150" s="72"/>
      <c r="QWZ150" s="72"/>
      <c r="QXA150" s="72"/>
      <c r="QXB150" s="72"/>
      <c r="QXC150" s="72"/>
      <c r="QXD150" s="72"/>
      <c r="QXE150" s="72"/>
      <c r="QXF150" s="72"/>
      <c r="QXG150" s="72"/>
      <c r="QXH150" s="72"/>
      <c r="QXI150" s="72"/>
      <c r="QXJ150" s="72"/>
      <c r="QXK150" s="72"/>
      <c r="QXL150" s="72"/>
      <c r="QXM150" s="72"/>
      <c r="QXN150" s="72"/>
      <c r="QXO150" s="72"/>
      <c r="QXP150" s="72"/>
      <c r="QXQ150" s="72"/>
      <c r="QXR150" s="72"/>
      <c r="QXS150" s="72"/>
      <c r="QXT150" s="72"/>
      <c r="QXU150" s="72"/>
      <c r="QXV150" s="72"/>
      <c r="QXW150" s="72"/>
      <c r="QXX150" s="72"/>
      <c r="QXY150" s="72"/>
      <c r="QXZ150" s="72"/>
      <c r="QYA150" s="72"/>
      <c r="QYB150" s="72"/>
      <c r="QYC150" s="72"/>
      <c r="QYD150" s="72"/>
      <c r="QYE150" s="72"/>
      <c r="QYF150" s="72"/>
      <c r="QYG150" s="72"/>
      <c r="QYH150" s="72"/>
      <c r="QYI150" s="72"/>
      <c r="QYJ150" s="72"/>
      <c r="QYK150" s="72"/>
      <c r="QYL150" s="72"/>
      <c r="QYM150" s="72"/>
      <c r="QYN150" s="72"/>
      <c r="QYO150" s="72"/>
      <c r="QYP150" s="72"/>
      <c r="QYQ150" s="72"/>
      <c r="QYR150" s="72"/>
      <c r="QYS150" s="72"/>
      <c r="QYT150" s="72"/>
      <c r="QYU150" s="72"/>
      <c r="QYV150" s="72"/>
      <c r="QYW150" s="72"/>
      <c r="QYX150" s="72"/>
      <c r="QYY150" s="72"/>
      <c r="QYZ150" s="72"/>
      <c r="QZA150" s="72"/>
      <c r="QZB150" s="72"/>
      <c r="QZC150" s="72"/>
      <c r="QZD150" s="72"/>
      <c r="QZE150" s="72"/>
      <c r="QZF150" s="72"/>
      <c r="QZG150" s="72"/>
      <c r="QZH150" s="72"/>
      <c r="QZI150" s="72"/>
      <c r="QZJ150" s="72"/>
      <c r="QZK150" s="72"/>
      <c r="QZL150" s="72"/>
      <c r="QZM150" s="72"/>
      <c r="QZN150" s="72"/>
      <c r="QZO150" s="72"/>
      <c r="QZP150" s="72"/>
      <c r="QZQ150" s="72"/>
      <c r="QZR150" s="72"/>
      <c r="QZS150" s="72"/>
      <c r="QZT150" s="72"/>
      <c r="QZU150" s="72"/>
      <c r="QZV150" s="72"/>
      <c r="QZW150" s="72"/>
      <c r="QZX150" s="72"/>
      <c r="QZY150" s="72"/>
      <c r="QZZ150" s="72"/>
      <c r="RAA150" s="72"/>
      <c r="RAB150" s="72"/>
      <c r="RAC150" s="72"/>
      <c r="RAD150" s="72"/>
      <c r="RAE150" s="72"/>
      <c r="RAF150" s="72"/>
      <c r="RAG150" s="72"/>
      <c r="RAH150" s="72"/>
      <c r="RAI150" s="72"/>
      <c r="RAJ150" s="72"/>
      <c r="RAK150" s="72"/>
      <c r="RAL150" s="72"/>
      <c r="RAM150" s="72"/>
      <c r="RAN150" s="72"/>
      <c r="RAO150" s="72"/>
      <c r="RAP150" s="72"/>
      <c r="RAQ150" s="72"/>
      <c r="RAR150" s="72"/>
      <c r="RAS150" s="72"/>
      <c r="RAT150" s="72"/>
      <c r="RAU150" s="72"/>
      <c r="RAV150" s="72"/>
      <c r="RAW150" s="72"/>
      <c r="RAX150" s="72"/>
      <c r="RAY150" s="72"/>
      <c r="RAZ150" s="72"/>
      <c r="RBA150" s="72"/>
      <c r="RBB150" s="72"/>
      <c r="RBC150" s="72"/>
      <c r="RBD150" s="72"/>
      <c r="RBE150" s="72"/>
      <c r="RBF150" s="72"/>
      <c r="RBG150" s="72"/>
      <c r="RBH150" s="72"/>
      <c r="RBI150" s="72"/>
      <c r="RBJ150" s="72"/>
      <c r="RBK150" s="72"/>
      <c r="RBL150" s="72"/>
      <c r="RBM150" s="72"/>
      <c r="RBN150" s="72"/>
      <c r="RBO150" s="72"/>
      <c r="RBP150" s="72"/>
      <c r="RBQ150" s="72"/>
      <c r="RBR150" s="72"/>
      <c r="RBS150" s="72"/>
      <c r="RBT150" s="72"/>
      <c r="RBU150" s="72"/>
      <c r="RBV150" s="72"/>
      <c r="RBW150" s="72"/>
      <c r="RBX150" s="72"/>
      <c r="RBY150" s="72"/>
      <c r="RBZ150" s="72"/>
      <c r="RCA150" s="72"/>
      <c r="RCB150" s="72"/>
      <c r="RCC150" s="72"/>
      <c r="RCD150" s="72"/>
      <c r="RCE150" s="72"/>
      <c r="RCF150" s="72"/>
      <c r="RCG150" s="72"/>
      <c r="RCH150" s="72"/>
      <c r="RCI150" s="72"/>
      <c r="RCJ150" s="72"/>
      <c r="RCK150" s="72"/>
      <c r="RCL150" s="72"/>
      <c r="RCM150" s="72"/>
      <c r="RCN150" s="72"/>
      <c r="RCO150" s="72"/>
      <c r="RCP150" s="72"/>
      <c r="RCQ150" s="72"/>
      <c r="RCR150" s="72"/>
      <c r="RCS150" s="72"/>
      <c r="RCT150" s="72"/>
      <c r="RCU150" s="72"/>
      <c r="RCV150" s="72"/>
      <c r="RCW150" s="72"/>
      <c r="RCX150" s="72"/>
      <c r="RCY150" s="72"/>
      <c r="RCZ150" s="72"/>
      <c r="RDA150" s="72"/>
      <c r="RDB150" s="72"/>
      <c r="RDC150" s="72"/>
      <c r="RDD150" s="72"/>
      <c r="RDE150" s="72"/>
      <c r="RDF150" s="72"/>
      <c r="RDG150" s="72"/>
      <c r="RDH150" s="72"/>
      <c r="RDI150" s="72"/>
      <c r="RDJ150" s="72"/>
      <c r="RDK150" s="72"/>
      <c r="RDL150" s="72"/>
      <c r="RDM150" s="72"/>
      <c r="RDN150" s="72"/>
      <c r="RDO150" s="72"/>
      <c r="RDP150" s="72"/>
      <c r="RDQ150" s="72"/>
      <c r="RDR150" s="72"/>
      <c r="RDS150" s="72"/>
      <c r="RDT150" s="72"/>
      <c r="RDU150" s="72"/>
      <c r="RDV150" s="72"/>
      <c r="RDW150" s="72"/>
      <c r="RDX150" s="72"/>
      <c r="RDY150" s="72"/>
      <c r="RDZ150" s="72"/>
      <c r="REA150" s="72"/>
      <c r="REB150" s="72"/>
      <c r="REC150" s="72"/>
      <c r="RED150" s="72"/>
      <c r="REE150" s="72"/>
      <c r="REF150" s="72"/>
      <c r="REG150" s="72"/>
      <c r="REH150" s="72"/>
      <c r="REI150" s="72"/>
      <c r="REJ150" s="72"/>
      <c r="REK150" s="72"/>
      <c r="REL150" s="72"/>
      <c r="REM150" s="72"/>
      <c r="REN150" s="72"/>
      <c r="REO150" s="72"/>
      <c r="REP150" s="72"/>
      <c r="REQ150" s="72"/>
      <c r="RER150" s="72"/>
      <c r="RES150" s="72"/>
      <c r="RET150" s="72"/>
      <c r="REU150" s="72"/>
      <c r="REV150" s="72"/>
      <c r="REW150" s="72"/>
      <c r="REX150" s="72"/>
      <c r="REY150" s="72"/>
      <c r="REZ150" s="72"/>
      <c r="RFA150" s="72"/>
      <c r="RFB150" s="72"/>
      <c r="RFC150" s="72"/>
      <c r="RFD150" s="72"/>
      <c r="RFE150" s="72"/>
      <c r="RFF150" s="72"/>
      <c r="RFG150" s="72"/>
      <c r="RFH150" s="72"/>
      <c r="RFI150" s="72"/>
      <c r="RFJ150" s="72"/>
      <c r="RFK150" s="72"/>
      <c r="RFL150" s="72"/>
      <c r="RFM150" s="72"/>
      <c r="RFN150" s="72"/>
      <c r="RFO150" s="72"/>
      <c r="RFP150" s="72"/>
      <c r="RFQ150" s="72"/>
      <c r="RFR150" s="72"/>
      <c r="RFS150" s="72"/>
      <c r="RFT150" s="72"/>
      <c r="RFU150" s="72"/>
      <c r="RFV150" s="72"/>
      <c r="RFW150" s="72"/>
      <c r="RFX150" s="72"/>
      <c r="RFY150" s="72"/>
      <c r="RFZ150" s="72"/>
      <c r="RGA150" s="72"/>
      <c r="RGB150" s="72"/>
      <c r="RGC150" s="72"/>
      <c r="RGD150" s="72"/>
      <c r="RGE150" s="72"/>
      <c r="RGF150" s="72"/>
      <c r="RGG150" s="72"/>
      <c r="RGH150" s="72"/>
      <c r="RGI150" s="72"/>
      <c r="RGJ150" s="72"/>
      <c r="RGK150" s="72"/>
      <c r="RGL150" s="72"/>
      <c r="RGM150" s="72"/>
      <c r="RGN150" s="72"/>
      <c r="RGO150" s="72"/>
      <c r="RGP150" s="72"/>
      <c r="RGQ150" s="72"/>
      <c r="RGR150" s="72"/>
      <c r="RGS150" s="72"/>
      <c r="RGT150" s="72"/>
      <c r="RGU150" s="72"/>
      <c r="RGV150" s="72"/>
      <c r="RGW150" s="72"/>
      <c r="RGX150" s="72"/>
      <c r="RGY150" s="72"/>
      <c r="RGZ150" s="72"/>
      <c r="RHA150" s="72"/>
      <c r="RHB150" s="72"/>
      <c r="RHC150" s="72"/>
      <c r="RHD150" s="72"/>
      <c r="RHE150" s="72"/>
      <c r="RHF150" s="72"/>
      <c r="RHG150" s="72"/>
      <c r="RHH150" s="72"/>
      <c r="RHI150" s="72"/>
      <c r="RHJ150" s="72"/>
      <c r="RHK150" s="72"/>
      <c r="RHL150" s="72"/>
      <c r="RHM150" s="72"/>
      <c r="RHN150" s="72"/>
      <c r="RHO150" s="72"/>
      <c r="RHP150" s="72"/>
      <c r="RHQ150" s="72"/>
      <c r="RHR150" s="72"/>
      <c r="RHS150" s="72"/>
      <c r="RHT150" s="72"/>
      <c r="RHU150" s="72"/>
      <c r="RHV150" s="72"/>
      <c r="RHW150" s="72"/>
      <c r="RHX150" s="72"/>
      <c r="RHY150" s="72"/>
      <c r="RHZ150" s="72"/>
      <c r="RIA150" s="72"/>
      <c r="RIB150" s="72"/>
      <c r="RIC150" s="72"/>
      <c r="RID150" s="72"/>
      <c r="RIE150" s="72"/>
      <c r="RIF150" s="72"/>
      <c r="RIG150" s="72"/>
      <c r="RIH150" s="72"/>
      <c r="RII150" s="72"/>
      <c r="RIJ150" s="72"/>
      <c r="RIK150" s="72"/>
      <c r="RIL150" s="72"/>
      <c r="RIM150" s="72"/>
      <c r="RIN150" s="72"/>
      <c r="RIO150" s="72"/>
      <c r="RIP150" s="72"/>
      <c r="RIQ150" s="72"/>
      <c r="RIR150" s="72"/>
      <c r="RIS150" s="72"/>
      <c r="RIT150" s="72"/>
      <c r="RIU150" s="72"/>
      <c r="RIV150" s="72"/>
      <c r="RIW150" s="72"/>
      <c r="RIX150" s="72"/>
      <c r="RIY150" s="72"/>
      <c r="RIZ150" s="72"/>
      <c r="RJA150" s="72"/>
      <c r="RJB150" s="72"/>
      <c r="RJC150" s="72"/>
      <c r="RJD150" s="72"/>
      <c r="RJE150" s="72"/>
      <c r="RJF150" s="72"/>
      <c r="RJG150" s="72"/>
      <c r="RJH150" s="72"/>
      <c r="RJI150" s="72"/>
      <c r="RJJ150" s="72"/>
      <c r="RJK150" s="72"/>
      <c r="RJL150" s="72"/>
      <c r="RJM150" s="72"/>
      <c r="RJN150" s="72"/>
      <c r="RJO150" s="72"/>
      <c r="RJP150" s="72"/>
      <c r="RJQ150" s="72"/>
      <c r="RJR150" s="72"/>
      <c r="RJS150" s="72"/>
      <c r="RJT150" s="72"/>
      <c r="RJU150" s="72"/>
      <c r="RJV150" s="72"/>
      <c r="RJW150" s="72"/>
      <c r="RJX150" s="72"/>
      <c r="RJY150" s="72"/>
      <c r="RJZ150" s="72"/>
      <c r="RKA150" s="72"/>
      <c r="RKB150" s="72"/>
      <c r="RKC150" s="72"/>
      <c r="RKD150" s="72"/>
      <c r="RKE150" s="72"/>
      <c r="RKF150" s="72"/>
      <c r="RKG150" s="72"/>
      <c r="RKH150" s="72"/>
      <c r="RKI150" s="72"/>
      <c r="RKJ150" s="72"/>
      <c r="RKK150" s="72"/>
      <c r="RKL150" s="72"/>
      <c r="RKM150" s="72"/>
      <c r="RKN150" s="72"/>
      <c r="RKO150" s="72"/>
      <c r="RKP150" s="72"/>
      <c r="RKQ150" s="72"/>
      <c r="RKR150" s="72"/>
      <c r="RKS150" s="72"/>
      <c r="RKT150" s="72"/>
      <c r="RKU150" s="72"/>
      <c r="RKV150" s="72"/>
      <c r="RKW150" s="72"/>
      <c r="RKX150" s="72"/>
      <c r="RKY150" s="72"/>
      <c r="RKZ150" s="72"/>
      <c r="RLA150" s="72"/>
      <c r="RLB150" s="72"/>
      <c r="RLC150" s="72"/>
      <c r="RLD150" s="72"/>
      <c r="RLE150" s="72"/>
      <c r="RLF150" s="72"/>
      <c r="RLG150" s="72"/>
      <c r="RLH150" s="72"/>
      <c r="RLI150" s="72"/>
      <c r="RLJ150" s="72"/>
      <c r="RLK150" s="72"/>
      <c r="RLL150" s="72"/>
      <c r="RLM150" s="72"/>
      <c r="RLN150" s="72"/>
      <c r="RLO150" s="72"/>
      <c r="RLP150" s="72"/>
      <c r="RLQ150" s="72"/>
      <c r="RLR150" s="72"/>
      <c r="RLS150" s="72"/>
      <c r="RLT150" s="72"/>
      <c r="RLU150" s="72"/>
      <c r="RLV150" s="72"/>
      <c r="RLW150" s="72"/>
      <c r="RLX150" s="72"/>
      <c r="RLY150" s="72"/>
      <c r="RLZ150" s="72"/>
      <c r="RMA150" s="72"/>
      <c r="RMB150" s="72"/>
      <c r="RMC150" s="72"/>
      <c r="RMD150" s="72"/>
      <c r="RME150" s="72"/>
      <c r="RMF150" s="72"/>
      <c r="RMG150" s="72"/>
      <c r="RMH150" s="72"/>
      <c r="RMI150" s="72"/>
      <c r="RMJ150" s="72"/>
      <c r="RMK150" s="72"/>
      <c r="RML150" s="72"/>
      <c r="RMM150" s="72"/>
      <c r="RMN150" s="72"/>
      <c r="RMO150" s="72"/>
      <c r="RMP150" s="72"/>
      <c r="RMQ150" s="72"/>
      <c r="RMR150" s="72"/>
      <c r="RMS150" s="72"/>
      <c r="RMT150" s="72"/>
      <c r="RMU150" s="72"/>
      <c r="RMV150" s="72"/>
      <c r="RMW150" s="72"/>
      <c r="RMX150" s="72"/>
      <c r="RMY150" s="72"/>
      <c r="RMZ150" s="72"/>
      <c r="RNA150" s="72"/>
      <c r="RNB150" s="72"/>
      <c r="RNC150" s="72"/>
      <c r="RND150" s="72"/>
      <c r="RNE150" s="72"/>
      <c r="RNF150" s="72"/>
      <c r="RNG150" s="72"/>
      <c r="RNH150" s="72"/>
      <c r="RNI150" s="72"/>
      <c r="RNJ150" s="72"/>
      <c r="RNK150" s="72"/>
      <c r="RNL150" s="72"/>
      <c r="RNM150" s="72"/>
      <c r="RNN150" s="72"/>
      <c r="RNO150" s="72"/>
      <c r="RNP150" s="72"/>
      <c r="RNQ150" s="72"/>
      <c r="RNR150" s="72"/>
      <c r="RNS150" s="72"/>
      <c r="RNT150" s="72"/>
      <c r="RNU150" s="72"/>
      <c r="RNV150" s="72"/>
      <c r="RNW150" s="72"/>
      <c r="RNX150" s="72"/>
      <c r="RNY150" s="72"/>
      <c r="RNZ150" s="72"/>
      <c r="ROA150" s="72"/>
      <c r="ROB150" s="72"/>
      <c r="ROC150" s="72"/>
      <c r="ROD150" s="72"/>
      <c r="ROE150" s="72"/>
      <c r="ROF150" s="72"/>
      <c r="ROG150" s="72"/>
      <c r="ROH150" s="72"/>
      <c r="ROI150" s="72"/>
      <c r="ROJ150" s="72"/>
      <c r="ROK150" s="72"/>
      <c r="ROL150" s="72"/>
      <c r="ROM150" s="72"/>
      <c r="RON150" s="72"/>
      <c r="ROO150" s="72"/>
      <c r="ROP150" s="72"/>
      <c r="ROQ150" s="72"/>
      <c r="ROR150" s="72"/>
      <c r="ROS150" s="72"/>
      <c r="ROT150" s="72"/>
      <c r="ROU150" s="72"/>
      <c r="ROV150" s="72"/>
      <c r="ROW150" s="72"/>
      <c r="ROX150" s="72"/>
      <c r="ROY150" s="72"/>
      <c r="ROZ150" s="72"/>
      <c r="RPA150" s="72"/>
      <c r="RPB150" s="72"/>
      <c r="RPC150" s="72"/>
      <c r="RPD150" s="72"/>
      <c r="RPE150" s="72"/>
      <c r="RPF150" s="72"/>
      <c r="RPG150" s="72"/>
      <c r="RPH150" s="72"/>
      <c r="RPI150" s="72"/>
      <c r="RPJ150" s="72"/>
      <c r="RPK150" s="72"/>
      <c r="RPL150" s="72"/>
      <c r="RPM150" s="72"/>
      <c r="RPN150" s="72"/>
      <c r="RPO150" s="72"/>
      <c r="RPP150" s="72"/>
      <c r="RPQ150" s="72"/>
      <c r="RPR150" s="72"/>
      <c r="RPS150" s="72"/>
      <c r="RPT150" s="72"/>
      <c r="RPU150" s="72"/>
      <c r="RPV150" s="72"/>
      <c r="RPW150" s="72"/>
      <c r="RPX150" s="72"/>
      <c r="RPY150" s="72"/>
      <c r="RPZ150" s="72"/>
      <c r="RQA150" s="72"/>
      <c r="RQB150" s="72"/>
      <c r="RQC150" s="72"/>
      <c r="RQD150" s="72"/>
      <c r="RQE150" s="72"/>
      <c r="RQF150" s="72"/>
      <c r="RQG150" s="72"/>
      <c r="RQH150" s="72"/>
      <c r="RQI150" s="72"/>
      <c r="RQJ150" s="72"/>
      <c r="RQK150" s="72"/>
      <c r="RQL150" s="72"/>
      <c r="RQM150" s="72"/>
      <c r="RQN150" s="72"/>
      <c r="RQO150" s="72"/>
      <c r="RQP150" s="72"/>
      <c r="RQQ150" s="72"/>
      <c r="RQR150" s="72"/>
      <c r="RQS150" s="72"/>
      <c r="RQT150" s="72"/>
      <c r="RQU150" s="72"/>
      <c r="RQV150" s="72"/>
      <c r="RQW150" s="72"/>
      <c r="RQX150" s="72"/>
      <c r="RQY150" s="72"/>
      <c r="RQZ150" s="72"/>
      <c r="RRA150" s="72"/>
      <c r="RRB150" s="72"/>
      <c r="RRC150" s="72"/>
      <c r="RRD150" s="72"/>
      <c r="RRE150" s="72"/>
      <c r="RRF150" s="72"/>
      <c r="RRG150" s="72"/>
      <c r="RRH150" s="72"/>
      <c r="RRI150" s="72"/>
      <c r="RRJ150" s="72"/>
      <c r="RRK150" s="72"/>
      <c r="RRL150" s="72"/>
      <c r="RRM150" s="72"/>
      <c r="RRN150" s="72"/>
      <c r="RRO150" s="72"/>
      <c r="RRP150" s="72"/>
      <c r="RRQ150" s="72"/>
      <c r="RRR150" s="72"/>
      <c r="RRS150" s="72"/>
      <c r="RRT150" s="72"/>
      <c r="RRU150" s="72"/>
      <c r="RRV150" s="72"/>
      <c r="RRW150" s="72"/>
      <c r="RRX150" s="72"/>
      <c r="RRY150" s="72"/>
      <c r="RRZ150" s="72"/>
      <c r="RSA150" s="72"/>
      <c r="RSB150" s="72"/>
      <c r="RSC150" s="72"/>
      <c r="RSD150" s="72"/>
      <c r="RSE150" s="72"/>
      <c r="RSF150" s="72"/>
      <c r="RSG150" s="72"/>
      <c r="RSH150" s="72"/>
      <c r="RSI150" s="72"/>
      <c r="RSJ150" s="72"/>
      <c r="RSK150" s="72"/>
      <c r="RSL150" s="72"/>
      <c r="RSM150" s="72"/>
      <c r="RSN150" s="72"/>
      <c r="RSO150" s="72"/>
      <c r="RSP150" s="72"/>
      <c r="RSQ150" s="72"/>
      <c r="RSR150" s="72"/>
      <c r="RSS150" s="72"/>
      <c r="RST150" s="72"/>
      <c r="RSU150" s="72"/>
      <c r="RSV150" s="72"/>
      <c r="RSW150" s="72"/>
      <c r="RSX150" s="72"/>
      <c r="RSY150" s="72"/>
      <c r="RSZ150" s="72"/>
      <c r="RTA150" s="72"/>
      <c r="RTB150" s="72"/>
      <c r="RTC150" s="72"/>
      <c r="RTD150" s="72"/>
      <c r="RTE150" s="72"/>
      <c r="RTF150" s="72"/>
      <c r="RTG150" s="72"/>
      <c r="RTH150" s="72"/>
      <c r="RTI150" s="72"/>
      <c r="RTJ150" s="72"/>
      <c r="RTK150" s="72"/>
      <c r="RTL150" s="72"/>
      <c r="RTM150" s="72"/>
      <c r="RTN150" s="72"/>
      <c r="RTO150" s="72"/>
      <c r="RTP150" s="72"/>
      <c r="RTQ150" s="72"/>
      <c r="RTR150" s="72"/>
      <c r="RTS150" s="72"/>
      <c r="RTT150" s="72"/>
      <c r="RTU150" s="72"/>
      <c r="RTV150" s="72"/>
      <c r="RTW150" s="72"/>
      <c r="RTX150" s="72"/>
      <c r="RTY150" s="72"/>
      <c r="RTZ150" s="72"/>
      <c r="RUA150" s="72"/>
      <c r="RUB150" s="72"/>
      <c r="RUC150" s="72"/>
      <c r="RUD150" s="72"/>
      <c r="RUE150" s="72"/>
      <c r="RUF150" s="72"/>
      <c r="RUG150" s="72"/>
      <c r="RUH150" s="72"/>
      <c r="RUI150" s="72"/>
      <c r="RUJ150" s="72"/>
      <c r="RUK150" s="72"/>
      <c r="RUL150" s="72"/>
      <c r="RUM150" s="72"/>
      <c r="RUN150" s="72"/>
      <c r="RUO150" s="72"/>
      <c r="RUP150" s="72"/>
      <c r="RUQ150" s="72"/>
      <c r="RUR150" s="72"/>
      <c r="RUS150" s="72"/>
      <c r="RUT150" s="72"/>
      <c r="RUU150" s="72"/>
      <c r="RUV150" s="72"/>
      <c r="RUW150" s="72"/>
      <c r="RUX150" s="72"/>
      <c r="RUY150" s="72"/>
      <c r="RUZ150" s="72"/>
      <c r="RVA150" s="72"/>
      <c r="RVB150" s="72"/>
      <c r="RVC150" s="72"/>
      <c r="RVD150" s="72"/>
      <c r="RVE150" s="72"/>
      <c r="RVF150" s="72"/>
      <c r="RVG150" s="72"/>
      <c r="RVH150" s="72"/>
      <c r="RVI150" s="72"/>
      <c r="RVJ150" s="72"/>
      <c r="RVK150" s="72"/>
      <c r="RVL150" s="72"/>
      <c r="RVM150" s="72"/>
      <c r="RVN150" s="72"/>
      <c r="RVO150" s="72"/>
      <c r="RVP150" s="72"/>
      <c r="RVQ150" s="72"/>
      <c r="RVR150" s="72"/>
      <c r="RVS150" s="72"/>
      <c r="RVT150" s="72"/>
      <c r="RVU150" s="72"/>
      <c r="RVV150" s="72"/>
      <c r="RVW150" s="72"/>
      <c r="RVX150" s="72"/>
      <c r="RVY150" s="72"/>
      <c r="RVZ150" s="72"/>
      <c r="RWA150" s="72"/>
      <c r="RWB150" s="72"/>
      <c r="RWC150" s="72"/>
      <c r="RWD150" s="72"/>
      <c r="RWE150" s="72"/>
      <c r="RWF150" s="72"/>
      <c r="RWG150" s="72"/>
      <c r="RWH150" s="72"/>
      <c r="RWI150" s="72"/>
      <c r="RWJ150" s="72"/>
      <c r="RWK150" s="72"/>
      <c r="RWL150" s="72"/>
      <c r="RWM150" s="72"/>
      <c r="RWN150" s="72"/>
      <c r="RWO150" s="72"/>
      <c r="RWP150" s="72"/>
      <c r="RWQ150" s="72"/>
      <c r="RWR150" s="72"/>
      <c r="RWS150" s="72"/>
      <c r="RWT150" s="72"/>
      <c r="RWU150" s="72"/>
      <c r="RWV150" s="72"/>
      <c r="RWW150" s="72"/>
      <c r="RWX150" s="72"/>
      <c r="RWY150" s="72"/>
      <c r="RWZ150" s="72"/>
      <c r="RXA150" s="72"/>
      <c r="RXB150" s="72"/>
      <c r="RXC150" s="72"/>
      <c r="RXD150" s="72"/>
      <c r="RXE150" s="72"/>
      <c r="RXF150" s="72"/>
      <c r="RXG150" s="72"/>
      <c r="RXH150" s="72"/>
      <c r="RXI150" s="72"/>
      <c r="RXJ150" s="72"/>
      <c r="RXK150" s="72"/>
      <c r="RXL150" s="72"/>
      <c r="RXM150" s="72"/>
      <c r="RXN150" s="72"/>
      <c r="RXO150" s="72"/>
      <c r="RXP150" s="72"/>
      <c r="RXQ150" s="72"/>
      <c r="RXR150" s="72"/>
      <c r="RXS150" s="72"/>
      <c r="RXT150" s="72"/>
      <c r="RXU150" s="72"/>
      <c r="RXV150" s="72"/>
      <c r="RXW150" s="72"/>
      <c r="RXX150" s="72"/>
      <c r="RXY150" s="72"/>
      <c r="RXZ150" s="72"/>
      <c r="RYA150" s="72"/>
      <c r="RYB150" s="72"/>
      <c r="RYC150" s="72"/>
      <c r="RYD150" s="72"/>
      <c r="RYE150" s="72"/>
      <c r="RYF150" s="72"/>
      <c r="RYG150" s="72"/>
      <c r="RYH150" s="72"/>
      <c r="RYI150" s="72"/>
      <c r="RYJ150" s="72"/>
      <c r="RYK150" s="72"/>
      <c r="RYL150" s="72"/>
      <c r="RYM150" s="72"/>
      <c r="RYN150" s="72"/>
      <c r="RYO150" s="72"/>
      <c r="RYP150" s="72"/>
      <c r="RYQ150" s="72"/>
      <c r="RYR150" s="72"/>
      <c r="RYS150" s="72"/>
      <c r="RYT150" s="72"/>
      <c r="RYU150" s="72"/>
      <c r="RYV150" s="72"/>
      <c r="RYW150" s="72"/>
      <c r="RYX150" s="72"/>
      <c r="RYY150" s="72"/>
      <c r="RYZ150" s="72"/>
      <c r="RZA150" s="72"/>
      <c r="RZB150" s="72"/>
      <c r="RZC150" s="72"/>
      <c r="RZD150" s="72"/>
      <c r="RZE150" s="72"/>
      <c r="RZF150" s="72"/>
      <c r="RZG150" s="72"/>
      <c r="RZH150" s="72"/>
      <c r="RZI150" s="72"/>
      <c r="RZJ150" s="72"/>
      <c r="RZK150" s="72"/>
      <c r="RZL150" s="72"/>
      <c r="RZM150" s="72"/>
      <c r="RZN150" s="72"/>
      <c r="RZO150" s="72"/>
      <c r="RZP150" s="72"/>
      <c r="RZQ150" s="72"/>
      <c r="RZR150" s="72"/>
      <c r="RZS150" s="72"/>
      <c r="RZT150" s="72"/>
      <c r="RZU150" s="72"/>
      <c r="RZV150" s="72"/>
      <c r="RZW150" s="72"/>
      <c r="RZX150" s="72"/>
      <c r="RZY150" s="72"/>
      <c r="RZZ150" s="72"/>
      <c r="SAA150" s="72"/>
      <c r="SAB150" s="72"/>
      <c r="SAC150" s="72"/>
      <c r="SAD150" s="72"/>
      <c r="SAE150" s="72"/>
      <c r="SAF150" s="72"/>
      <c r="SAG150" s="72"/>
      <c r="SAH150" s="72"/>
      <c r="SAI150" s="72"/>
      <c r="SAJ150" s="72"/>
      <c r="SAK150" s="72"/>
      <c r="SAL150" s="72"/>
      <c r="SAM150" s="72"/>
      <c r="SAN150" s="72"/>
      <c r="SAO150" s="72"/>
      <c r="SAP150" s="72"/>
      <c r="SAQ150" s="72"/>
      <c r="SAR150" s="72"/>
      <c r="SAS150" s="72"/>
      <c r="SAT150" s="72"/>
      <c r="SAU150" s="72"/>
      <c r="SAV150" s="72"/>
      <c r="SAW150" s="72"/>
      <c r="SAX150" s="72"/>
      <c r="SAY150" s="72"/>
      <c r="SAZ150" s="72"/>
      <c r="SBA150" s="72"/>
      <c r="SBB150" s="72"/>
      <c r="SBC150" s="72"/>
      <c r="SBD150" s="72"/>
      <c r="SBE150" s="72"/>
      <c r="SBF150" s="72"/>
      <c r="SBG150" s="72"/>
      <c r="SBH150" s="72"/>
      <c r="SBI150" s="72"/>
      <c r="SBJ150" s="72"/>
      <c r="SBK150" s="72"/>
      <c r="SBL150" s="72"/>
      <c r="SBM150" s="72"/>
      <c r="SBN150" s="72"/>
      <c r="SBO150" s="72"/>
      <c r="SBP150" s="72"/>
      <c r="SBQ150" s="72"/>
      <c r="SBR150" s="72"/>
      <c r="SBS150" s="72"/>
      <c r="SBT150" s="72"/>
      <c r="SBU150" s="72"/>
      <c r="SBV150" s="72"/>
      <c r="SBW150" s="72"/>
      <c r="SBX150" s="72"/>
      <c r="SBY150" s="72"/>
      <c r="SBZ150" s="72"/>
      <c r="SCA150" s="72"/>
      <c r="SCB150" s="72"/>
      <c r="SCC150" s="72"/>
      <c r="SCD150" s="72"/>
      <c r="SCE150" s="72"/>
      <c r="SCF150" s="72"/>
      <c r="SCG150" s="72"/>
      <c r="SCH150" s="72"/>
      <c r="SCI150" s="72"/>
      <c r="SCJ150" s="72"/>
      <c r="SCK150" s="72"/>
      <c r="SCL150" s="72"/>
      <c r="SCM150" s="72"/>
      <c r="SCN150" s="72"/>
      <c r="SCO150" s="72"/>
      <c r="SCP150" s="72"/>
      <c r="SCQ150" s="72"/>
      <c r="SCR150" s="72"/>
      <c r="SCS150" s="72"/>
      <c r="SCT150" s="72"/>
      <c r="SCU150" s="72"/>
      <c r="SCV150" s="72"/>
      <c r="SCW150" s="72"/>
      <c r="SCX150" s="72"/>
      <c r="SCY150" s="72"/>
      <c r="SCZ150" s="72"/>
      <c r="SDA150" s="72"/>
      <c r="SDB150" s="72"/>
      <c r="SDC150" s="72"/>
      <c r="SDD150" s="72"/>
      <c r="SDE150" s="72"/>
      <c r="SDF150" s="72"/>
      <c r="SDG150" s="72"/>
      <c r="SDH150" s="72"/>
      <c r="SDI150" s="72"/>
      <c r="SDJ150" s="72"/>
      <c r="SDK150" s="72"/>
      <c r="SDL150" s="72"/>
      <c r="SDM150" s="72"/>
      <c r="SDN150" s="72"/>
      <c r="SDO150" s="72"/>
      <c r="SDP150" s="72"/>
      <c r="SDQ150" s="72"/>
      <c r="SDR150" s="72"/>
      <c r="SDS150" s="72"/>
      <c r="SDT150" s="72"/>
      <c r="SDU150" s="72"/>
      <c r="SDV150" s="72"/>
      <c r="SDW150" s="72"/>
      <c r="SDX150" s="72"/>
      <c r="SDY150" s="72"/>
      <c r="SDZ150" s="72"/>
      <c r="SEA150" s="72"/>
      <c r="SEB150" s="72"/>
      <c r="SEC150" s="72"/>
      <c r="SED150" s="72"/>
      <c r="SEE150" s="72"/>
      <c r="SEF150" s="72"/>
      <c r="SEG150" s="72"/>
      <c r="SEH150" s="72"/>
      <c r="SEI150" s="72"/>
      <c r="SEJ150" s="72"/>
      <c r="SEK150" s="72"/>
      <c r="SEL150" s="72"/>
      <c r="SEM150" s="72"/>
      <c r="SEN150" s="72"/>
      <c r="SEO150" s="72"/>
      <c r="SEP150" s="72"/>
      <c r="SEQ150" s="72"/>
      <c r="SER150" s="72"/>
      <c r="SES150" s="72"/>
      <c r="SET150" s="72"/>
      <c r="SEU150" s="72"/>
      <c r="SEV150" s="72"/>
      <c r="SEW150" s="72"/>
      <c r="SEX150" s="72"/>
      <c r="SEY150" s="72"/>
      <c r="SEZ150" s="72"/>
      <c r="SFA150" s="72"/>
      <c r="SFB150" s="72"/>
      <c r="SFC150" s="72"/>
      <c r="SFD150" s="72"/>
      <c r="SFE150" s="72"/>
      <c r="SFF150" s="72"/>
      <c r="SFG150" s="72"/>
      <c r="SFH150" s="72"/>
      <c r="SFI150" s="72"/>
      <c r="SFJ150" s="72"/>
      <c r="SFK150" s="72"/>
      <c r="SFL150" s="72"/>
      <c r="SFM150" s="72"/>
      <c r="SFN150" s="72"/>
      <c r="SFO150" s="72"/>
      <c r="SFP150" s="72"/>
      <c r="SFQ150" s="72"/>
      <c r="SFR150" s="72"/>
      <c r="SFS150" s="72"/>
      <c r="SFT150" s="72"/>
      <c r="SFU150" s="72"/>
      <c r="SFV150" s="72"/>
      <c r="SFW150" s="72"/>
      <c r="SFX150" s="72"/>
      <c r="SFY150" s="72"/>
      <c r="SFZ150" s="72"/>
      <c r="SGA150" s="72"/>
      <c r="SGB150" s="72"/>
      <c r="SGC150" s="72"/>
      <c r="SGD150" s="72"/>
      <c r="SGE150" s="72"/>
      <c r="SGF150" s="72"/>
      <c r="SGG150" s="72"/>
      <c r="SGH150" s="72"/>
      <c r="SGI150" s="72"/>
      <c r="SGJ150" s="72"/>
      <c r="SGK150" s="72"/>
      <c r="SGL150" s="72"/>
      <c r="SGM150" s="72"/>
      <c r="SGN150" s="72"/>
      <c r="SGO150" s="72"/>
      <c r="SGP150" s="72"/>
      <c r="SGQ150" s="72"/>
      <c r="SGR150" s="72"/>
      <c r="SGS150" s="72"/>
      <c r="SGT150" s="72"/>
      <c r="SGU150" s="72"/>
      <c r="SGV150" s="72"/>
      <c r="SGW150" s="72"/>
      <c r="SGX150" s="72"/>
      <c r="SGY150" s="72"/>
      <c r="SGZ150" s="72"/>
      <c r="SHA150" s="72"/>
      <c r="SHB150" s="72"/>
      <c r="SHC150" s="72"/>
      <c r="SHD150" s="72"/>
      <c r="SHE150" s="72"/>
      <c r="SHF150" s="72"/>
      <c r="SHG150" s="72"/>
      <c r="SHH150" s="72"/>
      <c r="SHI150" s="72"/>
      <c r="SHJ150" s="72"/>
      <c r="SHK150" s="72"/>
      <c r="SHL150" s="72"/>
      <c r="SHM150" s="72"/>
      <c r="SHN150" s="72"/>
      <c r="SHO150" s="72"/>
      <c r="SHP150" s="72"/>
      <c r="SHQ150" s="72"/>
      <c r="SHR150" s="72"/>
      <c r="SHS150" s="72"/>
      <c r="SHT150" s="72"/>
      <c r="SHU150" s="72"/>
      <c r="SHV150" s="72"/>
      <c r="SHW150" s="72"/>
      <c r="SHX150" s="72"/>
      <c r="SHY150" s="72"/>
      <c r="SHZ150" s="72"/>
      <c r="SIA150" s="72"/>
      <c r="SIB150" s="72"/>
      <c r="SIC150" s="72"/>
      <c r="SID150" s="72"/>
      <c r="SIE150" s="72"/>
      <c r="SIF150" s="72"/>
      <c r="SIG150" s="72"/>
      <c r="SIH150" s="72"/>
      <c r="SII150" s="72"/>
      <c r="SIJ150" s="72"/>
      <c r="SIK150" s="72"/>
      <c r="SIL150" s="72"/>
      <c r="SIM150" s="72"/>
      <c r="SIN150" s="72"/>
      <c r="SIO150" s="72"/>
      <c r="SIP150" s="72"/>
      <c r="SIQ150" s="72"/>
      <c r="SIR150" s="72"/>
      <c r="SIS150" s="72"/>
      <c r="SIT150" s="72"/>
      <c r="SIU150" s="72"/>
      <c r="SIV150" s="72"/>
      <c r="SIW150" s="72"/>
      <c r="SIX150" s="72"/>
      <c r="SIY150" s="72"/>
      <c r="SIZ150" s="72"/>
      <c r="SJA150" s="72"/>
      <c r="SJB150" s="72"/>
      <c r="SJC150" s="72"/>
      <c r="SJD150" s="72"/>
      <c r="SJE150" s="72"/>
      <c r="SJF150" s="72"/>
      <c r="SJG150" s="72"/>
      <c r="SJH150" s="72"/>
      <c r="SJI150" s="72"/>
      <c r="SJJ150" s="72"/>
      <c r="SJK150" s="72"/>
      <c r="SJL150" s="72"/>
      <c r="SJM150" s="72"/>
      <c r="SJN150" s="72"/>
      <c r="SJO150" s="72"/>
      <c r="SJP150" s="72"/>
      <c r="SJQ150" s="72"/>
      <c r="SJR150" s="72"/>
      <c r="SJS150" s="72"/>
      <c r="SJT150" s="72"/>
      <c r="SJU150" s="72"/>
      <c r="SJV150" s="72"/>
      <c r="SJW150" s="72"/>
      <c r="SJX150" s="72"/>
      <c r="SJY150" s="72"/>
      <c r="SJZ150" s="72"/>
      <c r="SKA150" s="72"/>
      <c r="SKB150" s="72"/>
      <c r="SKC150" s="72"/>
      <c r="SKD150" s="72"/>
      <c r="SKE150" s="72"/>
      <c r="SKF150" s="72"/>
      <c r="SKG150" s="72"/>
      <c r="SKH150" s="72"/>
      <c r="SKI150" s="72"/>
      <c r="SKJ150" s="72"/>
      <c r="SKK150" s="72"/>
      <c r="SKL150" s="72"/>
      <c r="SKM150" s="72"/>
      <c r="SKN150" s="72"/>
      <c r="SKO150" s="72"/>
      <c r="SKP150" s="72"/>
      <c r="SKQ150" s="72"/>
      <c r="SKR150" s="72"/>
      <c r="SKS150" s="72"/>
      <c r="SKT150" s="72"/>
      <c r="SKU150" s="72"/>
      <c r="SKV150" s="72"/>
      <c r="SKW150" s="72"/>
      <c r="SKX150" s="72"/>
      <c r="SKY150" s="72"/>
      <c r="SKZ150" s="72"/>
      <c r="SLA150" s="72"/>
      <c r="SLB150" s="72"/>
      <c r="SLC150" s="72"/>
      <c r="SLD150" s="72"/>
      <c r="SLE150" s="72"/>
      <c r="SLF150" s="72"/>
      <c r="SLG150" s="72"/>
      <c r="SLH150" s="72"/>
      <c r="SLI150" s="72"/>
      <c r="SLJ150" s="72"/>
      <c r="SLK150" s="72"/>
      <c r="SLL150" s="72"/>
      <c r="SLM150" s="72"/>
      <c r="SLN150" s="72"/>
      <c r="SLO150" s="72"/>
      <c r="SLP150" s="72"/>
      <c r="SLQ150" s="72"/>
      <c r="SLR150" s="72"/>
      <c r="SLS150" s="72"/>
      <c r="SLT150" s="72"/>
      <c r="SLU150" s="72"/>
      <c r="SLV150" s="72"/>
      <c r="SLW150" s="72"/>
      <c r="SLX150" s="72"/>
      <c r="SLY150" s="72"/>
      <c r="SLZ150" s="72"/>
      <c r="SMA150" s="72"/>
      <c r="SMB150" s="72"/>
      <c r="SMC150" s="72"/>
      <c r="SMD150" s="72"/>
      <c r="SME150" s="72"/>
      <c r="SMF150" s="72"/>
      <c r="SMG150" s="72"/>
      <c r="SMH150" s="72"/>
      <c r="SMI150" s="72"/>
      <c r="SMJ150" s="72"/>
      <c r="SMK150" s="72"/>
      <c r="SML150" s="72"/>
      <c r="SMM150" s="72"/>
      <c r="SMN150" s="72"/>
      <c r="SMO150" s="72"/>
      <c r="SMP150" s="72"/>
      <c r="SMQ150" s="72"/>
      <c r="SMR150" s="72"/>
      <c r="SMS150" s="72"/>
      <c r="SMT150" s="72"/>
      <c r="SMU150" s="72"/>
      <c r="SMV150" s="72"/>
      <c r="SMW150" s="72"/>
      <c r="SMX150" s="72"/>
      <c r="SMY150" s="72"/>
      <c r="SMZ150" s="72"/>
      <c r="SNA150" s="72"/>
      <c r="SNB150" s="72"/>
      <c r="SNC150" s="72"/>
      <c r="SND150" s="72"/>
      <c r="SNE150" s="72"/>
      <c r="SNF150" s="72"/>
      <c r="SNG150" s="72"/>
      <c r="SNH150" s="72"/>
      <c r="SNI150" s="72"/>
      <c r="SNJ150" s="72"/>
      <c r="SNK150" s="72"/>
      <c r="SNL150" s="72"/>
      <c r="SNM150" s="72"/>
      <c r="SNN150" s="72"/>
      <c r="SNO150" s="72"/>
      <c r="SNP150" s="72"/>
      <c r="SNQ150" s="72"/>
      <c r="SNR150" s="72"/>
      <c r="SNS150" s="72"/>
      <c r="SNT150" s="72"/>
      <c r="SNU150" s="72"/>
      <c r="SNV150" s="72"/>
      <c r="SNW150" s="72"/>
      <c r="SNX150" s="72"/>
      <c r="SNY150" s="72"/>
      <c r="SNZ150" s="72"/>
      <c r="SOA150" s="72"/>
      <c r="SOB150" s="72"/>
      <c r="SOC150" s="72"/>
      <c r="SOD150" s="72"/>
      <c r="SOE150" s="72"/>
      <c r="SOF150" s="72"/>
      <c r="SOG150" s="72"/>
      <c r="SOH150" s="72"/>
      <c r="SOI150" s="72"/>
      <c r="SOJ150" s="72"/>
      <c r="SOK150" s="72"/>
      <c r="SOL150" s="72"/>
      <c r="SOM150" s="72"/>
      <c r="SON150" s="72"/>
      <c r="SOO150" s="72"/>
      <c r="SOP150" s="72"/>
      <c r="SOQ150" s="72"/>
      <c r="SOR150" s="72"/>
      <c r="SOS150" s="72"/>
      <c r="SOT150" s="72"/>
      <c r="SOU150" s="72"/>
      <c r="SOV150" s="72"/>
      <c r="SOW150" s="72"/>
      <c r="SOX150" s="72"/>
      <c r="SOY150" s="72"/>
      <c r="SOZ150" s="72"/>
      <c r="SPA150" s="72"/>
      <c r="SPB150" s="72"/>
      <c r="SPC150" s="72"/>
      <c r="SPD150" s="72"/>
      <c r="SPE150" s="72"/>
      <c r="SPF150" s="72"/>
      <c r="SPG150" s="72"/>
      <c r="SPH150" s="72"/>
      <c r="SPI150" s="72"/>
      <c r="SPJ150" s="72"/>
      <c r="SPK150" s="72"/>
      <c r="SPL150" s="72"/>
      <c r="SPM150" s="72"/>
      <c r="SPN150" s="72"/>
      <c r="SPO150" s="72"/>
      <c r="SPP150" s="72"/>
      <c r="SPQ150" s="72"/>
      <c r="SPR150" s="72"/>
      <c r="SPS150" s="72"/>
      <c r="SPT150" s="72"/>
      <c r="SPU150" s="72"/>
      <c r="SPV150" s="72"/>
      <c r="SPW150" s="72"/>
      <c r="SPX150" s="72"/>
      <c r="SPY150" s="72"/>
      <c r="SPZ150" s="72"/>
      <c r="SQA150" s="72"/>
      <c r="SQB150" s="72"/>
      <c r="SQC150" s="72"/>
      <c r="SQD150" s="72"/>
      <c r="SQE150" s="72"/>
      <c r="SQF150" s="72"/>
      <c r="SQG150" s="72"/>
      <c r="SQH150" s="72"/>
      <c r="SQI150" s="72"/>
      <c r="SQJ150" s="72"/>
      <c r="SQK150" s="72"/>
      <c r="SQL150" s="72"/>
      <c r="SQM150" s="72"/>
      <c r="SQN150" s="72"/>
      <c r="SQO150" s="72"/>
      <c r="SQP150" s="72"/>
      <c r="SQQ150" s="72"/>
      <c r="SQR150" s="72"/>
      <c r="SQS150" s="72"/>
      <c r="SQT150" s="72"/>
      <c r="SQU150" s="72"/>
      <c r="SQV150" s="72"/>
      <c r="SQW150" s="72"/>
      <c r="SQX150" s="72"/>
      <c r="SQY150" s="72"/>
      <c r="SQZ150" s="72"/>
      <c r="SRA150" s="72"/>
      <c r="SRB150" s="72"/>
      <c r="SRC150" s="72"/>
      <c r="SRD150" s="72"/>
      <c r="SRE150" s="72"/>
      <c r="SRF150" s="72"/>
      <c r="SRG150" s="72"/>
      <c r="SRH150" s="72"/>
      <c r="SRI150" s="72"/>
      <c r="SRJ150" s="72"/>
      <c r="SRK150" s="72"/>
      <c r="SRL150" s="72"/>
      <c r="SRM150" s="72"/>
      <c r="SRN150" s="72"/>
      <c r="SRO150" s="72"/>
      <c r="SRP150" s="72"/>
      <c r="SRQ150" s="72"/>
      <c r="SRR150" s="72"/>
      <c r="SRS150" s="72"/>
      <c r="SRT150" s="72"/>
      <c r="SRU150" s="72"/>
      <c r="SRV150" s="72"/>
      <c r="SRW150" s="72"/>
      <c r="SRX150" s="72"/>
      <c r="SRY150" s="72"/>
      <c r="SRZ150" s="72"/>
      <c r="SSA150" s="72"/>
      <c r="SSB150" s="72"/>
      <c r="SSC150" s="72"/>
      <c r="SSD150" s="72"/>
      <c r="SSE150" s="72"/>
      <c r="SSF150" s="72"/>
      <c r="SSG150" s="72"/>
      <c r="SSH150" s="72"/>
      <c r="SSI150" s="72"/>
      <c r="SSJ150" s="72"/>
      <c r="SSK150" s="72"/>
      <c r="SSL150" s="72"/>
      <c r="SSM150" s="72"/>
      <c r="SSN150" s="72"/>
      <c r="SSO150" s="72"/>
      <c r="SSP150" s="72"/>
      <c r="SSQ150" s="72"/>
      <c r="SSR150" s="72"/>
      <c r="SSS150" s="72"/>
      <c r="SST150" s="72"/>
      <c r="SSU150" s="72"/>
      <c r="SSV150" s="72"/>
      <c r="SSW150" s="72"/>
      <c r="SSX150" s="72"/>
      <c r="SSY150" s="72"/>
      <c r="SSZ150" s="72"/>
      <c r="STA150" s="72"/>
      <c r="STB150" s="72"/>
      <c r="STC150" s="72"/>
      <c r="STD150" s="72"/>
      <c r="STE150" s="72"/>
      <c r="STF150" s="72"/>
      <c r="STG150" s="72"/>
      <c r="STH150" s="72"/>
      <c r="STI150" s="72"/>
      <c r="STJ150" s="72"/>
      <c r="STK150" s="72"/>
      <c r="STL150" s="72"/>
      <c r="STM150" s="72"/>
      <c r="STN150" s="72"/>
      <c r="STO150" s="72"/>
      <c r="STP150" s="72"/>
      <c r="STQ150" s="72"/>
      <c r="STR150" s="72"/>
      <c r="STS150" s="72"/>
      <c r="STT150" s="72"/>
      <c r="STU150" s="72"/>
      <c r="STV150" s="72"/>
      <c r="STW150" s="72"/>
      <c r="STX150" s="72"/>
      <c r="STY150" s="72"/>
      <c r="STZ150" s="72"/>
      <c r="SUA150" s="72"/>
      <c r="SUB150" s="72"/>
      <c r="SUC150" s="72"/>
      <c r="SUD150" s="72"/>
      <c r="SUE150" s="72"/>
      <c r="SUF150" s="72"/>
      <c r="SUG150" s="72"/>
      <c r="SUH150" s="72"/>
      <c r="SUI150" s="72"/>
      <c r="SUJ150" s="72"/>
      <c r="SUK150" s="72"/>
      <c r="SUL150" s="72"/>
      <c r="SUM150" s="72"/>
      <c r="SUN150" s="72"/>
      <c r="SUO150" s="72"/>
      <c r="SUP150" s="72"/>
      <c r="SUQ150" s="72"/>
      <c r="SUR150" s="72"/>
      <c r="SUS150" s="72"/>
      <c r="SUT150" s="72"/>
      <c r="SUU150" s="72"/>
      <c r="SUV150" s="72"/>
      <c r="SUW150" s="72"/>
      <c r="SUX150" s="72"/>
      <c r="SUY150" s="72"/>
      <c r="SUZ150" s="72"/>
      <c r="SVA150" s="72"/>
      <c r="SVB150" s="72"/>
      <c r="SVC150" s="72"/>
      <c r="SVD150" s="72"/>
      <c r="SVE150" s="72"/>
      <c r="SVF150" s="72"/>
      <c r="SVG150" s="72"/>
      <c r="SVH150" s="72"/>
      <c r="SVI150" s="72"/>
      <c r="SVJ150" s="72"/>
      <c r="SVK150" s="72"/>
      <c r="SVL150" s="72"/>
      <c r="SVM150" s="72"/>
      <c r="SVN150" s="72"/>
      <c r="SVO150" s="72"/>
      <c r="SVP150" s="72"/>
      <c r="SVQ150" s="72"/>
      <c r="SVR150" s="72"/>
      <c r="SVS150" s="72"/>
      <c r="SVT150" s="72"/>
      <c r="SVU150" s="72"/>
      <c r="SVV150" s="72"/>
      <c r="SVW150" s="72"/>
      <c r="SVX150" s="72"/>
      <c r="SVY150" s="72"/>
      <c r="SVZ150" s="72"/>
      <c r="SWA150" s="72"/>
      <c r="SWB150" s="72"/>
      <c r="SWC150" s="72"/>
      <c r="SWD150" s="72"/>
      <c r="SWE150" s="72"/>
      <c r="SWF150" s="72"/>
      <c r="SWG150" s="72"/>
      <c r="SWH150" s="72"/>
      <c r="SWI150" s="72"/>
      <c r="SWJ150" s="72"/>
      <c r="SWK150" s="72"/>
      <c r="SWL150" s="72"/>
      <c r="SWM150" s="72"/>
      <c r="SWN150" s="72"/>
      <c r="SWO150" s="72"/>
      <c r="SWP150" s="72"/>
      <c r="SWQ150" s="72"/>
      <c r="SWR150" s="72"/>
      <c r="SWS150" s="72"/>
      <c r="SWT150" s="72"/>
      <c r="SWU150" s="72"/>
      <c r="SWV150" s="72"/>
      <c r="SWW150" s="72"/>
      <c r="SWX150" s="72"/>
      <c r="SWY150" s="72"/>
      <c r="SWZ150" s="72"/>
      <c r="SXA150" s="72"/>
      <c r="SXB150" s="72"/>
      <c r="SXC150" s="72"/>
      <c r="SXD150" s="72"/>
      <c r="SXE150" s="72"/>
      <c r="SXF150" s="72"/>
      <c r="SXG150" s="72"/>
      <c r="SXH150" s="72"/>
      <c r="SXI150" s="72"/>
      <c r="SXJ150" s="72"/>
      <c r="SXK150" s="72"/>
      <c r="SXL150" s="72"/>
      <c r="SXM150" s="72"/>
      <c r="SXN150" s="72"/>
      <c r="SXO150" s="72"/>
      <c r="SXP150" s="72"/>
      <c r="SXQ150" s="72"/>
      <c r="SXR150" s="72"/>
      <c r="SXS150" s="72"/>
      <c r="SXT150" s="72"/>
      <c r="SXU150" s="72"/>
      <c r="SXV150" s="72"/>
      <c r="SXW150" s="72"/>
      <c r="SXX150" s="72"/>
      <c r="SXY150" s="72"/>
      <c r="SXZ150" s="72"/>
      <c r="SYA150" s="72"/>
      <c r="SYB150" s="72"/>
      <c r="SYC150" s="72"/>
      <c r="SYD150" s="72"/>
      <c r="SYE150" s="72"/>
      <c r="SYF150" s="72"/>
      <c r="SYG150" s="72"/>
      <c r="SYH150" s="72"/>
      <c r="SYI150" s="72"/>
      <c r="SYJ150" s="72"/>
      <c r="SYK150" s="72"/>
      <c r="SYL150" s="72"/>
      <c r="SYM150" s="72"/>
      <c r="SYN150" s="72"/>
      <c r="SYO150" s="72"/>
      <c r="SYP150" s="72"/>
      <c r="SYQ150" s="72"/>
      <c r="SYR150" s="72"/>
      <c r="SYS150" s="72"/>
      <c r="SYT150" s="72"/>
      <c r="SYU150" s="72"/>
      <c r="SYV150" s="72"/>
      <c r="SYW150" s="72"/>
      <c r="SYX150" s="72"/>
      <c r="SYY150" s="72"/>
      <c r="SYZ150" s="72"/>
      <c r="SZA150" s="72"/>
      <c r="SZB150" s="72"/>
      <c r="SZC150" s="72"/>
      <c r="SZD150" s="72"/>
      <c r="SZE150" s="72"/>
      <c r="SZF150" s="72"/>
      <c r="SZG150" s="72"/>
      <c r="SZH150" s="72"/>
      <c r="SZI150" s="72"/>
      <c r="SZJ150" s="72"/>
      <c r="SZK150" s="72"/>
      <c r="SZL150" s="72"/>
      <c r="SZM150" s="72"/>
      <c r="SZN150" s="72"/>
      <c r="SZO150" s="72"/>
      <c r="SZP150" s="72"/>
      <c r="SZQ150" s="72"/>
      <c r="SZR150" s="72"/>
      <c r="SZS150" s="72"/>
      <c r="SZT150" s="72"/>
      <c r="SZU150" s="72"/>
      <c r="SZV150" s="72"/>
      <c r="SZW150" s="72"/>
      <c r="SZX150" s="72"/>
      <c r="SZY150" s="72"/>
      <c r="SZZ150" s="72"/>
      <c r="TAA150" s="72"/>
      <c r="TAB150" s="72"/>
      <c r="TAC150" s="72"/>
      <c r="TAD150" s="72"/>
      <c r="TAE150" s="72"/>
      <c r="TAF150" s="72"/>
      <c r="TAG150" s="72"/>
      <c r="TAH150" s="72"/>
      <c r="TAI150" s="72"/>
      <c r="TAJ150" s="72"/>
      <c r="TAK150" s="72"/>
      <c r="TAL150" s="72"/>
      <c r="TAM150" s="72"/>
      <c r="TAN150" s="72"/>
      <c r="TAO150" s="72"/>
      <c r="TAP150" s="72"/>
      <c r="TAQ150" s="72"/>
      <c r="TAR150" s="72"/>
      <c r="TAS150" s="72"/>
      <c r="TAT150" s="72"/>
      <c r="TAU150" s="72"/>
      <c r="TAV150" s="72"/>
      <c r="TAW150" s="72"/>
      <c r="TAX150" s="72"/>
      <c r="TAY150" s="72"/>
      <c r="TAZ150" s="72"/>
      <c r="TBA150" s="72"/>
      <c r="TBB150" s="72"/>
      <c r="TBC150" s="72"/>
      <c r="TBD150" s="72"/>
      <c r="TBE150" s="72"/>
      <c r="TBF150" s="72"/>
      <c r="TBG150" s="72"/>
      <c r="TBH150" s="72"/>
      <c r="TBI150" s="72"/>
      <c r="TBJ150" s="72"/>
      <c r="TBK150" s="72"/>
      <c r="TBL150" s="72"/>
      <c r="TBM150" s="72"/>
      <c r="TBN150" s="72"/>
      <c r="TBO150" s="72"/>
      <c r="TBP150" s="72"/>
      <c r="TBQ150" s="72"/>
      <c r="TBR150" s="72"/>
      <c r="TBS150" s="72"/>
      <c r="TBT150" s="72"/>
      <c r="TBU150" s="72"/>
      <c r="TBV150" s="72"/>
      <c r="TBW150" s="72"/>
      <c r="TBX150" s="72"/>
      <c r="TBY150" s="72"/>
      <c r="TBZ150" s="72"/>
      <c r="TCA150" s="72"/>
      <c r="TCB150" s="72"/>
      <c r="TCC150" s="72"/>
      <c r="TCD150" s="72"/>
      <c r="TCE150" s="72"/>
      <c r="TCF150" s="72"/>
      <c r="TCG150" s="72"/>
      <c r="TCH150" s="72"/>
      <c r="TCI150" s="72"/>
      <c r="TCJ150" s="72"/>
      <c r="TCK150" s="72"/>
      <c r="TCL150" s="72"/>
      <c r="TCM150" s="72"/>
      <c r="TCN150" s="72"/>
      <c r="TCO150" s="72"/>
      <c r="TCP150" s="72"/>
      <c r="TCQ150" s="72"/>
      <c r="TCR150" s="72"/>
      <c r="TCS150" s="72"/>
      <c r="TCT150" s="72"/>
      <c r="TCU150" s="72"/>
      <c r="TCV150" s="72"/>
      <c r="TCW150" s="72"/>
      <c r="TCX150" s="72"/>
      <c r="TCY150" s="72"/>
      <c r="TCZ150" s="72"/>
      <c r="TDA150" s="72"/>
      <c r="TDB150" s="72"/>
      <c r="TDC150" s="72"/>
      <c r="TDD150" s="72"/>
      <c r="TDE150" s="72"/>
      <c r="TDF150" s="72"/>
      <c r="TDG150" s="72"/>
      <c r="TDH150" s="72"/>
      <c r="TDI150" s="72"/>
      <c r="TDJ150" s="72"/>
      <c r="TDK150" s="72"/>
      <c r="TDL150" s="72"/>
      <c r="TDM150" s="72"/>
      <c r="TDN150" s="72"/>
      <c r="TDO150" s="72"/>
      <c r="TDP150" s="72"/>
      <c r="TDQ150" s="72"/>
      <c r="TDR150" s="72"/>
      <c r="TDS150" s="72"/>
      <c r="TDT150" s="72"/>
      <c r="TDU150" s="72"/>
      <c r="TDV150" s="72"/>
      <c r="TDW150" s="72"/>
      <c r="TDX150" s="72"/>
      <c r="TDY150" s="72"/>
      <c r="TDZ150" s="72"/>
      <c r="TEA150" s="72"/>
      <c r="TEB150" s="72"/>
      <c r="TEC150" s="72"/>
      <c r="TED150" s="72"/>
      <c r="TEE150" s="72"/>
      <c r="TEF150" s="72"/>
      <c r="TEG150" s="72"/>
      <c r="TEH150" s="72"/>
      <c r="TEI150" s="72"/>
      <c r="TEJ150" s="72"/>
      <c r="TEK150" s="72"/>
      <c r="TEL150" s="72"/>
      <c r="TEM150" s="72"/>
      <c r="TEN150" s="72"/>
      <c r="TEO150" s="72"/>
      <c r="TEP150" s="72"/>
      <c r="TEQ150" s="72"/>
      <c r="TER150" s="72"/>
      <c r="TES150" s="72"/>
      <c r="TET150" s="72"/>
      <c r="TEU150" s="72"/>
      <c r="TEV150" s="72"/>
      <c r="TEW150" s="72"/>
      <c r="TEX150" s="72"/>
      <c r="TEY150" s="72"/>
      <c r="TEZ150" s="72"/>
      <c r="TFA150" s="72"/>
      <c r="TFB150" s="72"/>
      <c r="TFC150" s="72"/>
      <c r="TFD150" s="72"/>
      <c r="TFE150" s="72"/>
      <c r="TFF150" s="72"/>
      <c r="TFG150" s="72"/>
      <c r="TFH150" s="72"/>
      <c r="TFI150" s="72"/>
      <c r="TFJ150" s="72"/>
      <c r="TFK150" s="72"/>
      <c r="TFL150" s="72"/>
      <c r="TFM150" s="72"/>
      <c r="TFN150" s="72"/>
      <c r="TFO150" s="72"/>
      <c r="TFP150" s="72"/>
      <c r="TFQ150" s="72"/>
      <c r="TFR150" s="72"/>
      <c r="TFS150" s="72"/>
      <c r="TFT150" s="72"/>
      <c r="TFU150" s="72"/>
      <c r="TFV150" s="72"/>
      <c r="TFW150" s="72"/>
      <c r="TFX150" s="72"/>
      <c r="TFY150" s="72"/>
      <c r="TFZ150" s="72"/>
      <c r="TGA150" s="72"/>
      <c r="TGB150" s="72"/>
      <c r="TGC150" s="72"/>
      <c r="TGD150" s="72"/>
      <c r="TGE150" s="72"/>
      <c r="TGF150" s="72"/>
      <c r="TGG150" s="72"/>
      <c r="TGH150" s="72"/>
      <c r="TGI150" s="72"/>
      <c r="TGJ150" s="72"/>
      <c r="TGK150" s="72"/>
      <c r="TGL150" s="72"/>
      <c r="TGM150" s="72"/>
      <c r="TGN150" s="72"/>
      <c r="TGO150" s="72"/>
      <c r="TGP150" s="72"/>
      <c r="TGQ150" s="72"/>
      <c r="TGR150" s="72"/>
      <c r="TGS150" s="72"/>
      <c r="TGT150" s="72"/>
      <c r="TGU150" s="72"/>
      <c r="TGV150" s="72"/>
      <c r="TGW150" s="72"/>
      <c r="TGX150" s="72"/>
      <c r="TGY150" s="72"/>
      <c r="TGZ150" s="72"/>
      <c r="THA150" s="72"/>
      <c r="THB150" s="72"/>
      <c r="THC150" s="72"/>
      <c r="THD150" s="72"/>
      <c r="THE150" s="72"/>
      <c r="THF150" s="72"/>
      <c r="THG150" s="72"/>
      <c r="THH150" s="72"/>
      <c r="THI150" s="72"/>
      <c r="THJ150" s="72"/>
      <c r="THK150" s="72"/>
      <c r="THL150" s="72"/>
      <c r="THM150" s="72"/>
      <c r="THN150" s="72"/>
      <c r="THO150" s="72"/>
      <c r="THP150" s="72"/>
      <c r="THQ150" s="72"/>
      <c r="THR150" s="72"/>
      <c r="THS150" s="72"/>
      <c r="THT150" s="72"/>
      <c r="THU150" s="72"/>
      <c r="THV150" s="72"/>
      <c r="THW150" s="72"/>
      <c r="THX150" s="72"/>
      <c r="THY150" s="72"/>
      <c r="THZ150" s="72"/>
      <c r="TIA150" s="72"/>
      <c r="TIB150" s="72"/>
      <c r="TIC150" s="72"/>
      <c r="TID150" s="72"/>
      <c r="TIE150" s="72"/>
      <c r="TIF150" s="72"/>
      <c r="TIG150" s="72"/>
      <c r="TIH150" s="72"/>
      <c r="TII150" s="72"/>
      <c r="TIJ150" s="72"/>
      <c r="TIK150" s="72"/>
      <c r="TIL150" s="72"/>
      <c r="TIM150" s="72"/>
      <c r="TIN150" s="72"/>
      <c r="TIO150" s="72"/>
      <c r="TIP150" s="72"/>
      <c r="TIQ150" s="72"/>
      <c r="TIR150" s="72"/>
      <c r="TIS150" s="72"/>
      <c r="TIT150" s="72"/>
      <c r="TIU150" s="72"/>
      <c r="TIV150" s="72"/>
      <c r="TIW150" s="72"/>
      <c r="TIX150" s="72"/>
      <c r="TIY150" s="72"/>
      <c r="TIZ150" s="72"/>
      <c r="TJA150" s="72"/>
      <c r="TJB150" s="72"/>
      <c r="TJC150" s="72"/>
      <c r="TJD150" s="72"/>
      <c r="TJE150" s="72"/>
      <c r="TJF150" s="72"/>
      <c r="TJG150" s="72"/>
      <c r="TJH150" s="72"/>
      <c r="TJI150" s="72"/>
      <c r="TJJ150" s="72"/>
      <c r="TJK150" s="72"/>
      <c r="TJL150" s="72"/>
      <c r="TJM150" s="72"/>
      <c r="TJN150" s="72"/>
      <c r="TJO150" s="72"/>
      <c r="TJP150" s="72"/>
      <c r="TJQ150" s="72"/>
      <c r="TJR150" s="72"/>
      <c r="TJS150" s="72"/>
      <c r="TJT150" s="72"/>
      <c r="TJU150" s="72"/>
      <c r="TJV150" s="72"/>
      <c r="TJW150" s="72"/>
      <c r="TJX150" s="72"/>
      <c r="TJY150" s="72"/>
      <c r="TJZ150" s="72"/>
      <c r="TKA150" s="72"/>
      <c r="TKB150" s="72"/>
      <c r="TKC150" s="72"/>
      <c r="TKD150" s="72"/>
      <c r="TKE150" s="72"/>
      <c r="TKF150" s="72"/>
      <c r="TKG150" s="72"/>
      <c r="TKH150" s="72"/>
      <c r="TKI150" s="72"/>
      <c r="TKJ150" s="72"/>
      <c r="TKK150" s="72"/>
      <c r="TKL150" s="72"/>
      <c r="TKM150" s="72"/>
      <c r="TKN150" s="72"/>
      <c r="TKO150" s="72"/>
      <c r="TKP150" s="72"/>
      <c r="TKQ150" s="72"/>
      <c r="TKR150" s="72"/>
      <c r="TKS150" s="72"/>
      <c r="TKT150" s="72"/>
      <c r="TKU150" s="72"/>
      <c r="TKV150" s="72"/>
      <c r="TKW150" s="72"/>
      <c r="TKX150" s="72"/>
      <c r="TKY150" s="72"/>
      <c r="TKZ150" s="72"/>
      <c r="TLA150" s="72"/>
      <c r="TLB150" s="72"/>
      <c r="TLC150" s="72"/>
      <c r="TLD150" s="72"/>
      <c r="TLE150" s="72"/>
      <c r="TLF150" s="72"/>
      <c r="TLG150" s="72"/>
      <c r="TLH150" s="72"/>
      <c r="TLI150" s="72"/>
      <c r="TLJ150" s="72"/>
      <c r="TLK150" s="72"/>
      <c r="TLL150" s="72"/>
      <c r="TLM150" s="72"/>
      <c r="TLN150" s="72"/>
      <c r="TLO150" s="72"/>
      <c r="TLP150" s="72"/>
      <c r="TLQ150" s="72"/>
      <c r="TLR150" s="72"/>
      <c r="TLS150" s="72"/>
      <c r="TLT150" s="72"/>
      <c r="TLU150" s="72"/>
      <c r="TLV150" s="72"/>
      <c r="TLW150" s="72"/>
      <c r="TLX150" s="72"/>
      <c r="TLY150" s="72"/>
      <c r="TLZ150" s="72"/>
      <c r="TMA150" s="72"/>
      <c r="TMB150" s="72"/>
      <c r="TMC150" s="72"/>
      <c r="TMD150" s="72"/>
      <c r="TME150" s="72"/>
      <c r="TMF150" s="72"/>
      <c r="TMG150" s="72"/>
      <c r="TMH150" s="72"/>
      <c r="TMI150" s="72"/>
      <c r="TMJ150" s="72"/>
      <c r="TMK150" s="72"/>
      <c r="TML150" s="72"/>
      <c r="TMM150" s="72"/>
      <c r="TMN150" s="72"/>
      <c r="TMO150" s="72"/>
      <c r="TMP150" s="72"/>
      <c r="TMQ150" s="72"/>
      <c r="TMR150" s="72"/>
      <c r="TMS150" s="72"/>
      <c r="TMT150" s="72"/>
      <c r="TMU150" s="72"/>
      <c r="TMV150" s="72"/>
      <c r="TMW150" s="72"/>
      <c r="TMX150" s="72"/>
      <c r="TMY150" s="72"/>
      <c r="TMZ150" s="72"/>
      <c r="TNA150" s="72"/>
      <c r="TNB150" s="72"/>
      <c r="TNC150" s="72"/>
      <c r="TND150" s="72"/>
      <c r="TNE150" s="72"/>
      <c r="TNF150" s="72"/>
      <c r="TNG150" s="72"/>
      <c r="TNH150" s="72"/>
      <c r="TNI150" s="72"/>
      <c r="TNJ150" s="72"/>
      <c r="TNK150" s="72"/>
      <c r="TNL150" s="72"/>
      <c r="TNM150" s="72"/>
      <c r="TNN150" s="72"/>
      <c r="TNO150" s="72"/>
      <c r="TNP150" s="72"/>
      <c r="TNQ150" s="72"/>
      <c r="TNR150" s="72"/>
      <c r="TNS150" s="72"/>
      <c r="TNT150" s="72"/>
      <c r="TNU150" s="72"/>
      <c r="TNV150" s="72"/>
      <c r="TNW150" s="72"/>
      <c r="TNX150" s="72"/>
      <c r="TNY150" s="72"/>
      <c r="TNZ150" s="72"/>
      <c r="TOA150" s="72"/>
      <c r="TOB150" s="72"/>
      <c r="TOC150" s="72"/>
      <c r="TOD150" s="72"/>
      <c r="TOE150" s="72"/>
      <c r="TOF150" s="72"/>
      <c r="TOG150" s="72"/>
      <c r="TOH150" s="72"/>
      <c r="TOI150" s="72"/>
      <c r="TOJ150" s="72"/>
      <c r="TOK150" s="72"/>
      <c r="TOL150" s="72"/>
      <c r="TOM150" s="72"/>
      <c r="TON150" s="72"/>
      <c r="TOO150" s="72"/>
      <c r="TOP150" s="72"/>
      <c r="TOQ150" s="72"/>
      <c r="TOR150" s="72"/>
      <c r="TOS150" s="72"/>
      <c r="TOT150" s="72"/>
      <c r="TOU150" s="72"/>
      <c r="TOV150" s="72"/>
      <c r="TOW150" s="72"/>
      <c r="TOX150" s="72"/>
      <c r="TOY150" s="72"/>
      <c r="TOZ150" s="72"/>
      <c r="TPA150" s="72"/>
      <c r="TPB150" s="72"/>
      <c r="TPC150" s="72"/>
      <c r="TPD150" s="72"/>
      <c r="TPE150" s="72"/>
      <c r="TPF150" s="72"/>
      <c r="TPG150" s="72"/>
      <c r="TPH150" s="72"/>
      <c r="TPI150" s="72"/>
      <c r="TPJ150" s="72"/>
      <c r="TPK150" s="72"/>
      <c r="TPL150" s="72"/>
      <c r="TPM150" s="72"/>
      <c r="TPN150" s="72"/>
      <c r="TPO150" s="72"/>
      <c r="TPP150" s="72"/>
      <c r="TPQ150" s="72"/>
      <c r="TPR150" s="72"/>
      <c r="TPS150" s="72"/>
      <c r="TPT150" s="72"/>
      <c r="TPU150" s="72"/>
      <c r="TPV150" s="72"/>
      <c r="TPW150" s="72"/>
      <c r="TPX150" s="72"/>
      <c r="TPY150" s="72"/>
      <c r="TPZ150" s="72"/>
      <c r="TQA150" s="72"/>
      <c r="TQB150" s="72"/>
      <c r="TQC150" s="72"/>
      <c r="TQD150" s="72"/>
      <c r="TQE150" s="72"/>
      <c r="TQF150" s="72"/>
      <c r="TQG150" s="72"/>
      <c r="TQH150" s="72"/>
      <c r="TQI150" s="72"/>
      <c r="TQJ150" s="72"/>
      <c r="TQK150" s="72"/>
      <c r="TQL150" s="72"/>
      <c r="TQM150" s="72"/>
      <c r="TQN150" s="72"/>
      <c r="TQO150" s="72"/>
      <c r="TQP150" s="72"/>
      <c r="TQQ150" s="72"/>
      <c r="TQR150" s="72"/>
      <c r="TQS150" s="72"/>
      <c r="TQT150" s="72"/>
      <c r="TQU150" s="72"/>
      <c r="TQV150" s="72"/>
      <c r="TQW150" s="72"/>
      <c r="TQX150" s="72"/>
      <c r="TQY150" s="72"/>
      <c r="TQZ150" s="72"/>
      <c r="TRA150" s="72"/>
      <c r="TRB150" s="72"/>
      <c r="TRC150" s="72"/>
      <c r="TRD150" s="72"/>
      <c r="TRE150" s="72"/>
      <c r="TRF150" s="72"/>
      <c r="TRG150" s="72"/>
      <c r="TRH150" s="72"/>
      <c r="TRI150" s="72"/>
      <c r="TRJ150" s="72"/>
      <c r="TRK150" s="72"/>
      <c r="TRL150" s="72"/>
      <c r="TRM150" s="72"/>
      <c r="TRN150" s="72"/>
      <c r="TRO150" s="72"/>
      <c r="TRP150" s="72"/>
      <c r="TRQ150" s="72"/>
      <c r="TRR150" s="72"/>
      <c r="TRS150" s="72"/>
      <c r="TRT150" s="72"/>
      <c r="TRU150" s="72"/>
      <c r="TRV150" s="72"/>
      <c r="TRW150" s="72"/>
      <c r="TRX150" s="72"/>
      <c r="TRY150" s="72"/>
      <c r="TRZ150" s="72"/>
      <c r="TSA150" s="72"/>
      <c r="TSB150" s="72"/>
      <c r="TSC150" s="72"/>
      <c r="TSD150" s="72"/>
      <c r="TSE150" s="72"/>
      <c r="TSF150" s="72"/>
      <c r="TSG150" s="72"/>
      <c r="TSH150" s="72"/>
      <c r="TSI150" s="72"/>
      <c r="TSJ150" s="72"/>
      <c r="TSK150" s="72"/>
      <c r="TSL150" s="72"/>
      <c r="TSM150" s="72"/>
      <c r="TSN150" s="72"/>
      <c r="TSO150" s="72"/>
      <c r="TSP150" s="72"/>
      <c r="TSQ150" s="72"/>
      <c r="TSR150" s="72"/>
      <c r="TSS150" s="72"/>
      <c r="TST150" s="72"/>
      <c r="TSU150" s="72"/>
      <c r="TSV150" s="72"/>
      <c r="TSW150" s="72"/>
      <c r="TSX150" s="72"/>
      <c r="TSY150" s="72"/>
      <c r="TSZ150" s="72"/>
      <c r="TTA150" s="72"/>
      <c r="TTB150" s="72"/>
      <c r="TTC150" s="72"/>
      <c r="TTD150" s="72"/>
      <c r="TTE150" s="72"/>
      <c r="TTF150" s="72"/>
      <c r="TTG150" s="72"/>
      <c r="TTH150" s="72"/>
      <c r="TTI150" s="72"/>
      <c r="TTJ150" s="72"/>
      <c r="TTK150" s="72"/>
      <c r="TTL150" s="72"/>
      <c r="TTM150" s="72"/>
      <c r="TTN150" s="72"/>
      <c r="TTO150" s="72"/>
      <c r="TTP150" s="72"/>
      <c r="TTQ150" s="72"/>
      <c r="TTR150" s="72"/>
      <c r="TTS150" s="72"/>
      <c r="TTT150" s="72"/>
      <c r="TTU150" s="72"/>
      <c r="TTV150" s="72"/>
      <c r="TTW150" s="72"/>
      <c r="TTX150" s="72"/>
      <c r="TTY150" s="72"/>
      <c r="TTZ150" s="72"/>
      <c r="TUA150" s="72"/>
      <c r="TUB150" s="72"/>
      <c r="TUC150" s="72"/>
      <c r="TUD150" s="72"/>
      <c r="TUE150" s="72"/>
      <c r="TUF150" s="72"/>
      <c r="TUG150" s="72"/>
      <c r="TUH150" s="72"/>
      <c r="TUI150" s="72"/>
      <c r="TUJ150" s="72"/>
      <c r="TUK150" s="72"/>
      <c r="TUL150" s="72"/>
      <c r="TUM150" s="72"/>
      <c r="TUN150" s="72"/>
      <c r="TUO150" s="72"/>
      <c r="TUP150" s="72"/>
      <c r="TUQ150" s="72"/>
      <c r="TUR150" s="72"/>
      <c r="TUS150" s="72"/>
      <c r="TUT150" s="72"/>
      <c r="TUU150" s="72"/>
      <c r="TUV150" s="72"/>
      <c r="TUW150" s="72"/>
      <c r="TUX150" s="72"/>
      <c r="TUY150" s="72"/>
      <c r="TUZ150" s="72"/>
      <c r="TVA150" s="72"/>
      <c r="TVB150" s="72"/>
      <c r="TVC150" s="72"/>
      <c r="TVD150" s="72"/>
      <c r="TVE150" s="72"/>
      <c r="TVF150" s="72"/>
      <c r="TVG150" s="72"/>
      <c r="TVH150" s="72"/>
      <c r="TVI150" s="72"/>
      <c r="TVJ150" s="72"/>
      <c r="TVK150" s="72"/>
      <c r="TVL150" s="72"/>
      <c r="TVM150" s="72"/>
      <c r="TVN150" s="72"/>
      <c r="TVO150" s="72"/>
      <c r="TVP150" s="72"/>
      <c r="TVQ150" s="72"/>
      <c r="TVR150" s="72"/>
      <c r="TVS150" s="72"/>
      <c r="TVT150" s="72"/>
      <c r="TVU150" s="72"/>
      <c r="TVV150" s="72"/>
      <c r="TVW150" s="72"/>
      <c r="TVX150" s="72"/>
      <c r="TVY150" s="72"/>
      <c r="TVZ150" s="72"/>
      <c r="TWA150" s="72"/>
      <c r="TWB150" s="72"/>
      <c r="TWC150" s="72"/>
      <c r="TWD150" s="72"/>
      <c r="TWE150" s="72"/>
      <c r="TWF150" s="72"/>
      <c r="TWG150" s="72"/>
      <c r="TWH150" s="72"/>
      <c r="TWI150" s="72"/>
      <c r="TWJ150" s="72"/>
      <c r="TWK150" s="72"/>
      <c r="TWL150" s="72"/>
      <c r="TWM150" s="72"/>
      <c r="TWN150" s="72"/>
      <c r="TWO150" s="72"/>
      <c r="TWP150" s="72"/>
      <c r="TWQ150" s="72"/>
      <c r="TWR150" s="72"/>
      <c r="TWS150" s="72"/>
      <c r="TWT150" s="72"/>
      <c r="TWU150" s="72"/>
      <c r="TWV150" s="72"/>
      <c r="TWW150" s="72"/>
      <c r="TWX150" s="72"/>
      <c r="TWY150" s="72"/>
      <c r="TWZ150" s="72"/>
      <c r="TXA150" s="72"/>
      <c r="TXB150" s="72"/>
      <c r="TXC150" s="72"/>
      <c r="TXD150" s="72"/>
      <c r="TXE150" s="72"/>
      <c r="TXF150" s="72"/>
      <c r="TXG150" s="72"/>
      <c r="TXH150" s="72"/>
      <c r="TXI150" s="72"/>
      <c r="TXJ150" s="72"/>
      <c r="TXK150" s="72"/>
      <c r="TXL150" s="72"/>
      <c r="TXM150" s="72"/>
      <c r="TXN150" s="72"/>
      <c r="TXO150" s="72"/>
      <c r="TXP150" s="72"/>
      <c r="TXQ150" s="72"/>
      <c r="TXR150" s="72"/>
      <c r="TXS150" s="72"/>
      <c r="TXT150" s="72"/>
      <c r="TXU150" s="72"/>
      <c r="TXV150" s="72"/>
      <c r="TXW150" s="72"/>
      <c r="TXX150" s="72"/>
      <c r="TXY150" s="72"/>
      <c r="TXZ150" s="72"/>
      <c r="TYA150" s="72"/>
      <c r="TYB150" s="72"/>
      <c r="TYC150" s="72"/>
      <c r="TYD150" s="72"/>
      <c r="TYE150" s="72"/>
      <c r="TYF150" s="72"/>
      <c r="TYG150" s="72"/>
      <c r="TYH150" s="72"/>
      <c r="TYI150" s="72"/>
      <c r="TYJ150" s="72"/>
      <c r="TYK150" s="72"/>
      <c r="TYL150" s="72"/>
      <c r="TYM150" s="72"/>
      <c r="TYN150" s="72"/>
      <c r="TYO150" s="72"/>
      <c r="TYP150" s="72"/>
      <c r="TYQ150" s="72"/>
      <c r="TYR150" s="72"/>
      <c r="TYS150" s="72"/>
      <c r="TYT150" s="72"/>
      <c r="TYU150" s="72"/>
      <c r="TYV150" s="72"/>
      <c r="TYW150" s="72"/>
      <c r="TYX150" s="72"/>
      <c r="TYY150" s="72"/>
      <c r="TYZ150" s="72"/>
      <c r="TZA150" s="72"/>
      <c r="TZB150" s="72"/>
      <c r="TZC150" s="72"/>
      <c r="TZD150" s="72"/>
      <c r="TZE150" s="72"/>
      <c r="TZF150" s="72"/>
      <c r="TZG150" s="72"/>
      <c r="TZH150" s="72"/>
      <c r="TZI150" s="72"/>
      <c r="TZJ150" s="72"/>
      <c r="TZK150" s="72"/>
      <c r="TZL150" s="72"/>
      <c r="TZM150" s="72"/>
      <c r="TZN150" s="72"/>
      <c r="TZO150" s="72"/>
      <c r="TZP150" s="72"/>
      <c r="TZQ150" s="72"/>
      <c r="TZR150" s="72"/>
      <c r="TZS150" s="72"/>
      <c r="TZT150" s="72"/>
      <c r="TZU150" s="72"/>
      <c r="TZV150" s="72"/>
      <c r="TZW150" s="72"/>
      <c r="TZX150" s="72"/>
      <c r="TZY150" s="72"/>
      <c r="TZZ150" s="72"/>
      <c r="UAA150" s="72"/>
      <c r="UAB150" s="72"/>
      <c r="UAC150" s="72"/>
      <c r="UAD150" s="72"/>
      <c r="UAE150" s="72"/>
      <c r="UAF150" s="72"/>
      <c r="UAG150" s="72"/>
      <c r="UAH150" s="72"/>
      <c r="UAI150" s="72"/>
      <c r="UAJ150" s="72"/>
      <c r="UAK150" s="72"/>
      <c r="UAL150" s="72"/>
      <c r="UAM150" s="72"/>
      <c r="UAN150" s="72"/>
      <c r="UAO150" s="72"/>
      <c r="UAP150" s="72"/>
      <c r="UAQ150" s="72"/>
      <c r="UAR150" s="72"/>
      <c r="UAS150" s="72"/>
      <c r="UAT150" s="72"/>
      <c r="UAU150" s="72"/>
      <c r="UAV150" s="72"/>
      <c r="UAW150" s="72"/>
      <c r="UAX150" s="72"/>
      <c r="UAY150" s="72"/>
      <c r="UAZ150" s="72"/>
      <c r="UBA150" s="72"/>
      <c r="UBB150" s="72"/>
      <c r="UBC150" s="72"/>
      <c r="UBD150" s="72"/>
      <c r="UBE150" s="72"/>
      <c r="UBF150" s="72"/>
      <c r="UBG150" s="72"/>
      <c r="UBH150" s="72"/>
      <c r="UBI150" s="72"/>
      <c r="UBJ150" s="72"/>
      <c r="UBK150" s="72"/>
      <c r="UBL150" s="72"/>
      <c r="UBM150" s="72"/>
      <c r="UBN150" s="72"/>
      <c r="UBO150" s="72"/>
      <c r="UBP150" s="72"/>
      <c r="UBQ150" s="72"/>
      <c r="UBR150" s="72"/>
      <c r="UBS150" s="72"/>
      <c r="UBT150" s="72"/>
      <c r="UBU150" s="72"/>
      <c r="UBV150" s="72"/>
      <c r="UBW150" s="72"/>
      <c r="UBX150" s="72"/>
      <c r="UBY150" s="72"/>
      <c r="UBZ150" s="72"/>
      <c r="UCA150" s="72"/>
      <c r="UCB150" s="72"/>
      <c r="UCC150" s="72"/>
      <c r="UCD150" s="72"/>
      <c r="UCE150" s="72"/>
      <c r="UCF150" s="72"/>
      <c r="UCG150" s="72"/>
      <c r="UCH150" s="72"/>
      <c r="UCI150" s="72"/>
      <c r="UCJ150" s="72"/>
      <c r="UCK150" s="72"/>
      <c r="UCL150" s="72"/>
      <c r="UCM150" s="72"/>
      <c r="UCN150" s="72"/>
      <c r="UCO150" s="72"/>
      <c r="UCP150" s="72"/>
      <c r="UCQ150" s="72"/>
      <c r="UCR150" s="72"/>
      <c r="UCS150" s="72"/>
      <c r="UCT150" s="72"/>
      <c r="UCU150" s="72"/>
      <c r="UCV150" s="72"/>
      <c r="UCW150" s="72"/>
      <c r="UCX150" s="72"/>
      <c r="UCY150" s="72"/>
      <c r="UCZ150" s="72"/>
      <c r="UDA150" s="72"/>
      <c r="UDB150" s="72"/>
      <c r="UDC150" s="72"/>
      <c r="UDD150" s="72"/>
      <c r="UDE150" s="72"/>
      <c r="UDF150" s="72"/>
      <c r="UDG150" s="72"/>
      <c r="UDH150" s="72"/>
      <c r="UDI150" s="72"/>
      <c r="UDJ150" s="72"/>
      <c r="UDK150" s="72"/>
      <c r="UDL150" s="72"/>
      <c r="UDM150" s="72"/>
      <c r="UDN150" s="72"/>
      <c r="UDO150" s="72"/>
      <c r="UDP150" s="72"/>
      <c r="UDQ150" s="72"/>
      <c r="UDR150" s="72"/>
      <c r="UDS150" s="72"/>
      <c r="UDT150" s="72"/>
      <c r="UDU150" s="72"/>
      <c r="UDV150" s="72"/>
      <c r="UDW150" s="72"/>
      <c r="UDX150" s="72"/>
      <c r="UDY150" s="72"/>
      <c r="UDZ150" s="72"/>
      <c r="UEA150" s="72"/>
      <c r="UEB150" s="72"/>
      <c r="UEC150" s="72"/>
      <c r="UED150" s="72"/>
      <c r="UEE150" s="72"/>
      <c r="UEF150" s="72"/>
      <c r="UEG150" s="72"/>
      <c r="UEH150" s="72"/>
      <c r="UEI150" s="72"/>
      <c r="UEJ150" s="72"/>
      <c r="UEK150" s="72"/>
      <c r="UEL150" s="72"/>
      <c r="UEM150" s="72"/>
      <c r="UEN150" s="72"/>
      <c r="UEO150" s="72"/>
      <c r="UEP150" s="72"/>
      <c r="UEQ150" s="72"/>
      <c r="UER150" s="72"/>
      <c r="UES150" s="72"/>
      <c r="UET150" s="72"/>
      <c r="UEU150" s="72"/>
      <c r="UEV150" s="72"/>
      <c r="UEW150" s="72"/>
      <c r="UEX150" s="72"/>
      <c r="UEY150" s="72"/>
      <c r="UEZ150" s="72"/>
      <c r="UFA150" s="72"/>
      <c r="UFB150" s="72"/>
      <c r="UFC150" s="72"/>
      <c r="UFD150" s="72"/>
      <c r="UFE150" s="72"/>
      <c r="UFF150" s="72"/>
      <c r="UFG150" s="72"/>
      <c r="UFH150" s="72"/>
      <c r="UFI150" s="72"/>
      <c r="UFJ150" s="72"/>
      <c r="UFK150" s="72"/>
      <c r="UFL150" s="72"/>
      <c r="UFM150" s="72"/>
      <c r="UFN150" s="72"/>
      <c r="UFO150" s="72"/>
      <c r="UFP150" s="72"/>
      <c r="UFQ150" s="72"/>
      <c r="UFR150" s="72"/>
      <c r="UFS150" s="72"/>
      <c r="UFT150" s="72"/>
      <c r="UFU150" s="72"/>
      <c r="UFV150" s="72"/>
      <c r="UFW150" s="72"/>
      <c r="UFX150" s="72"/>
      <c r="UFY150" s="72"/>
      <c r="UFZ150" s="72"/>
      <c r="UGA150" s="72"/>
      <c r="UGB150" s="72"/>
      <c r="UGC150" s="72"/>
      <c r="UGD150" s="72"/>
      <c r="UGE150" s="72"/>
      <c r="UGF150" s="72"/>
      <c r="UGG150" s="72"/>
      <c r="UGH150" s="72"/>
      <c r="UGI150" s="72"/>
      <c r="UGJ150" s="72"/>
      <c r="UGK150" s="72"/>
      <c r="UGL150" s="72"/>
      <c r="UGM150" s="72"/>
      <c r="UGN150" s="72"/>
      <c r="UGO150" s="72"/>
      <c r="UGP150" s="72"/>
      <c r="UGQ150" s="72"/>
      <c r="UGR150" s="72"/>
      <c r="UGS150" s="72"/>
      <c r="UGT150" s="72"/>
      <c r="UGU150" s="72"/>
      <c r="UGV150" s="72"/>
      <c r="UGW150" s="72"/>
      <c r="UGX150" s="72"/>
      <c r="UGY150" s="72"/>
      <c r="UGZ150" s="72"/>
      <c r="UHA150" s="72"/>
      <c r="UHB150" s="72"/>
      <c r="UHC150" s="72"/>
      <c r="UHD150" s="72"/>
      <c r="UHE150" s="72"/>
      <c r="UHF150" s="72"/>
      <c r="UHG150" s="72"/>
      <c r="UHH150" s="72"/>
      <c r="UHI150" s="72"/>
      <c r="UHJ150" s="72"/>
      <c r="UHK150" s="72"/>
      <c r="UHL150" s="72"/>
      <c r="UHM150" s="72"/>
      <c r="UHN150" s="72"/>
      <c r="UHO150" s="72"/>
      <c r="UHP150" s="72"/>
      <c r="UHQ150" s="72"/>
      <c r="UHR150" s="72"/>
      <c r="UHS150" s="72"/>
      <c r="UHT150" s="72"/>
      <c r="UHU150" s="72"/>
      <c r="UHV150" s="72"/>
      <c r="UHW150" s="72"/>
      <c r="UHX150" s="72"/>
      <c r="UHY150" s="72"/>
      <c r="UHZ150" s="72"/>
      <c r="UIA150" s="72"/>
      <c r="UIB150" s="72"/>
      <c r="UIC150" s="72"/>
      <c r="UID150" s="72"/>
      <c r="UIE150" s="72"/>
      <c r="UIF150" s="72"/>
      <c r="UIG150" s="72"/>
      <c r="UIH150" s="72"/>
      <c r="UII150" s="72"/>
      <c r="UIJ150" s="72"/>
      <c r="UIK150" s="72"/>
      <c r="UIL150" s="72"/>
      <c r="UIM150" s="72"/>
      <c r="UIN150" s="72"/>
      <c r="UIO150" s="72"/>
      <c r="UIP150" s="72"/>
      <c r="UIQ150" s="72"/>
      <c r="UIR150" s="72"/>
      <c r="UIS150" s="72"/>
      <c r="UIT150" s="72"/>
      <c r="UIU150" s="72"/>
      <c r="UIV150" s="72"/>
      <c r="UIW150" s="72"/>
      <c r="UIX150" s="72"/>
      <c r="UIY150" s="72"/>
      <c r="UIZ150" s="72"/>
      <c r="UJA150" s="72"/>
      <c r="UJB150" s="72"/>
      <c r="UJC150" s="72"/>
      <c r="UJD150" s="72"/>
      <c r="UJE150" s="72"/>
      <c r="UJF150" s="72"/>
      <c r="UJG150" s="72"/>
      <c r="UJH150" s="72"/>
      <c r="UJI150" s="72"/>
      <c r="UJJ150" s="72"/>
      <c r="UJK150" s="72"/>
      <c r="UJL150" s="72"/>
      <c r="UJM150" s="72"/>
      <c r="UJN150" s="72"/>
      <c r="UJO150" s="72"/>
      <c r="UJP150" s="72"/>
      <c r="UJQ150" s="72"/>
      <c r="UJR150" s="72"/>
      <c r="UJS150" s="72"/>
      <c r="UJT150" s="72"/>
      <c r="UJU150" s="72"/>
      <c r="UJV150" s="72"/>
      <c r="UJW150" s="72"/>
      <c r="UJX150" s="72"/>
      <c r="UJY150" s="72"/>
      <c r="UJZ150" s="72"/>
      <c r="UKA150" s="72"/>
      <c r="UKB150" s="72"/>
      <c r="UKC150" s="72"/>
      <c r="UKD150" s="72"/>
      <c r="UKE150" s="72"/>
      <c r="UKF150" s="72"/>
      <c r="UKG150" s="72"/>
      <c r="UKH150" s="72"/>
      <c r="UKI150" s="72"/>
      <c r="UKJ150" s="72"/>
      <c r="UKK150" s="72"/>
      <c r="UKL150" s="72"/>
      <c r="UKM150" s="72"/>
      <c r="UKN150" s="72"/>
      <c r="UKO150" s="72"/>
      <c r="UKP150" s="72"/>
      <c r="UKQ150" s="72"/>
      <c r="UKR150" s="72"/>
      <c r="UKS150" s="72"/>
      <c r="UKT150" s="72"/>
      <c r="UKU150" s="72"/>
      <c r="UKV150" s="72"/>
      <c r="UKW150" s="72"/>
      <c r="UKX150" s="72"/>
      <c r="UKY150" s="72"/>
      <c r="UKZ150" s="72"/>
      <c r="ULA150" s="72"/>
      <c r="ULB150" s="72"/>
      <c r="ULC150" s="72"/>
      <c r="ULD150" s="72"/>
      <c r="ULE150" s="72"/>
      <c r="ULF150" s="72"/>
      <c r="ULG150" s="72"/>
      <c r="ULH150" s="72"/>
      <c r="ULI150" s="72"/>
      <c r="ULJ150" s="72"/>
      <c r="ULK150" s="72"/>
      <c r="ULL150" s="72"/>
      <c r="ULM150" s="72"/>
      <c r="ULN150" s="72"/>
      <c r="ULO150" s="72"/>
      <c r="ULP150" s="72"/>
      <c r="ULQ150" s="72"/>
      <c r="ULR150" s="72"/>
      <c r="ULS150" s="72"/>
      <c r="ULT150" s="72"/>
      <c r="ULU150" s="72"/>
      <c r="ULV150" s="72"/>
      <c r="ULW150" s="72"/>
      <c r="ULX150" s="72"/>
      <c r="ULY150" s="72"/>
      <c r="ULZ150" s="72"/>
      <c r="UMA150" s="72"/>
      <c r="UMB150" s="72"/>
      <c r="UMC150" s="72"/>
      <c r="UMD150" s="72"/>
      <c r="UME150" s="72"/>
      <c r="UMF150" s="72"/>
      <c r="UMG150" s="72"/>
      <c r="UMH150" s="72"/>
      <c r="UMI150" s="72"/>
      <c r="UMJ150" s="72"/>
      <c r="UMK150" s="72"/>
      <c r="UML150" s="72"/>
      <c r="UMM150" s="72"/>
      <c r="UMN150" s="72"/>
      <c r="UMO150" s="72"/>
      <c r="UMP150" s="72"/>
      <c r="UMQ150" s="72"/>
      <c r="UMR150" s="72"/>
      <c r="UMS150" s="72"/>
      <c r="UMT150" s="72"/>
      <c r="UMU150" s="72"/>
      <c r="UMV150" s="72"/>
      <c r="UMW150" s="72"/>
      <c r="UMX150" s="72"/>
      <c r="UMY150" s="72"/>
      <c r="UMZ150" s="72"/>
      <c r="UNA150" s="72"/>
      <c r="UNB150" s="72"/>
      <c r="UNC150" s="72"/>
      <c r="UND150" s="72"/>
      <c r="UNE150" s="72"/>
      <c r="UNF150" s="72"/>
      <c r="UNG150" s="72"/>
      <c r="UNH150" s="72"/>
      <c r="UNI150" s="72"/>
      <c r="UNJ150" s="72"/>
      <c r="UNK150" s="72"/>
      <c r="UNL150" s="72"/>
      <c r="UNM150" s="72"/>
      <c r="UNN150" s="72"/>
      <c r="UNO150" s="72"/>
      <c r="UNP150" s="72"/>
      <c r="UNQ150" s="72"/>
      <c r="UNR150" s="72"/>
      <c r="UNS150" s="72"/>
      <c r="UNT150" s="72"/>
      <c r="UNU150" s="72"/>
      <c r="UNV150" s="72"/>
      <c r="UNW150" s="72"/>
      <c r="UNX150" s="72"/>
      <c r="UNY150" s="72"/>
      <c r="UNZ150" s="72"/>
      <c r="UOA150" s="72"/>
      <c r="UOB150" s="72"/>
      <c r="UOC150" s="72"/>
      <c r="UOD150" s="72"/>
      <c r="UOE150" s="72"/>
      <c r="UOF150" s="72"/>
      <c r="UOG150" s="72"/>
      <c r="UOH150" s="72"/>
      <c r="UOI150" s="72"/>
      <c r="UOJ150" s="72"/>
      <c r="UOK150" s="72"/>
      <c r="UOL150" s="72"/>
      <c r="UOM150" s="72"/>
      <c r="UON150" s="72"/>
      <c r="UOO150" s="72"/>
      <c r="UOP150" s="72"/>
      <c r="UOQ150" s="72"/>
      <c r="UOR150" s="72"/>
      <c r="UOS150" s="72"/>
      <c r="UOT150" s="72"/>
      <c r="UOU150" s="72"/>
      <c r="UOV150" s="72"/>
      <c r="UOW150" s="72"/>
      <c r="UOX150" s="72"/>
      <c r="UOY150" s="72"/>
      <c r="UOZ150" s="72"/>
      <c r="UPA150" s="72"/>
      <c r="UPB150" s="72"/>
      <c r="UPC150" s="72"/>
      <c r="UPD150" s="72"/>
      <c r="UPE150" s="72"/>
      <c r="UPF150" s="72"/>
      <c r="UPG150" s="72"/>
      <c r="UPH150" s="72"/>
      <c r="UPI150" s="72"/>
      <c r="UPJ150" s="72"/>
      <c r="UPK150" s="72"/>
      <c r="UPL150" s="72"/>
      <c r="UPM150" s="72"/>
      <c r="UPN150" s="72"/>
      <c r="UPO150" s="72"/>
      <c r="UPP150" s="72"/>
      <c r="UPQ150" s="72"/>
      <c r="UPR150" s="72"/>
      <c r="UPS150" s="72"/>
      <c r="UPT150" s="72"/>
      <c r="UPU150" s="72"/>
      <c r="UPV150" s="72"/>
      <c r="UPW150" s="72"/>
      <c r="UPX150" s="72"/>
      <c r="UPY150" s="72"/>
      <c r="UPZ150" s="72"/>
      <c r="UQA150" s="72"/>
      <c r="UQB150" s="72"/>
      <c r="UQC150" s="72"/>
      <c r="UQD150" s="72"/>
      <c r="UQE150" s="72"/>
      <c r="UQF150" s="72"/>
      <c r="UQG150" s="72"/>
      <c r="UQH150" s="72"/>
      <c r="UQI150" s="72"/>
      <c r="UQJ150" s="72"/>
      <c r="UQK150" s="72"/>
      <c r="UQL150" s="72"/>
      <c r="UQM150" s="72"/>
      <c r="UQN150" s="72"/>
      <c r="UQO150" s="72"/>
      <c r="UQP150" s="72"/>
      <c r="UQQ150" s="72"/>
      <c r="UQR150" s="72"/>
      <c r="UQS150" s="72"/>
      <c r="UQT150" s="72"/>
      <c r="UQU150" s="72"/>
      <c r="UQV150" s="72"/>
      <c r="UQW150" s="72"/>
      <c r="UQX150" s="72"/>
      <c r="UQY150" s="72"/>
      <c r="UQZ150" s="72"/>
      <c r="URA150" s="72"/>
      <c r="URB150" s="72"/>
      <c r="URC150" s="72"/>
      <c r="URD150" s="72"/>
      <c r="URE150" s="72"/>
      <c r="URF150" s="72"/>
      <c r="URG150" s="72"/>
      <c r="URH150" s="72"/>
      <c r="URI150" s="72"/>
      <c r="URJ150" s="72"/>
      <c r="URK150" s="72"/>
      <c r="URL150" s="72"/>
      <c r="URM150" s="72"/>
      <c r="URN150" s="72"/>
      <c r="URO150" s="72"/>
      <c r="URP150" s="72"/>
      <c r="URQ150" s="72"/>
      <c r="URR150" s="72"/>
      <c r="URS150" s="72"/>
      <c r="URT150" s="72"/>
      <c r="URU150" s="72"/>
      <c r="URV150" s="72"/>
      <c r="URW150" s="72"/>
      <c r="URX150" s="72"/>
      <c r="URY150" s="72"/>
      <c r="URZ150" s="72"/>
      <c r="USA150" s="72"/>
      <c r="USB150" s="72"/>
      <c r="USC150" s="72"/>
      <c r="USD150" s="72"/>
      <c r="USE150" s="72"/>
      <c r="USF150" s="72"/>
      <c r="USG150" s="72"/>
      <c r="USH150" s="72"/>
      <c r="USI150" s="72"/>
      <c r="USJ150" s="72"/>
      <c r="USK150" s="72"/>
      <c r="USL150" s="72"/>
      <c r="USM150" s="72"/>
      <c r="USN150" s="72"/>
      <c r="USO150" s="72"/>
      <c r="USP150" s="72"/>
      <c r="USQ150" s="72"/>
      <c r="USR150" s="72"/>
      <c r="USS150" s="72"/>
      <c r="UST150" s="72"/>
      <c r="USU150" s="72"/>
      <c r="USV150" s="72"/>
      <c r="USW150" s="72"/>
      <c r="USX150" s="72"/>
      <c r="USY150" s="72"/>
      <c r="USZ150" s="72"/>
      <c r="UTA150" s="72"/>
      <c r="UTB150" s="72"/>
      <c r="UTC150" s="72"/>
      <c r="UTD150" s="72"/>
      <c r="UTE150" s="72"/>
      <c r="UTF150" s="72"/>
      <c r="UTG150" s="72"/>
      <c r="UTH150" s="72"/>
      <c r="UTI150" s="72"/>
      <c r="UTJ150" s="72"/>
      <c r="UTK150" s="72"/>
      <c r="UTL150" s="72"/>
      <c r="UTM150" s="72"/>
      <c r="UTN150" s="72"/>
      <c r="UTO150" s="72"/>
      <c r="UTP150" s="72"/>
      <c r="UTQ150" s="72"/>
      <c r="UTR150" s="72"/>
      <c r="UTS150" s="72"/>
      <c r="UTT150" s="72"/>
      <c r="UTU150" s="72"/>
      <c r="UTV150" s="72"/>
      <c r="UTW150" s="72"/>
      <c r="UTX150" s="72"/>
      <c r="UTY150" s="72"/>
      <c r="UTZ150" s="72"/>
      <c r="UUA150" s="72"/>
      <c r="UUB150" s="72"/>
      <c r="UUC150" s="72"/>
      <c r="UUD150" s="72"/>
      <c r="UUE150" s="72"/>
      <c r="UUF150" s="72"/>
      <c r="UUG150" s="72"/>
      <c r="UUH150" s="72"/>
      <c r="UUI150" s="72"/>
      <c r="UUJ150" s="72"/>
      <c r="UUK150" s="72"/>
      <c r="UUL150" s="72"/>
      <c r="UUM150" s="72"/>
      <c r="UUN150" s="72"/>
      <c r="UUO150" s="72"/>
      <c r="UUP150" s="72"/>
      <c r="UUQ150" s="72"/>
      <c r="UUR150" s="72"/>
      <c r="UUS150" s="72"/>
      <c r="UUT150" s="72"/>
      <c r="UUU150" s="72"/>
      <c r="UUV150" s="72"/>
      <c r="UUW150" s="72"/>
      <c r="UUX150" s="72"/>
      <c r="UUY150" s="72"/>
      <c r="UUZ150" s="72"/>
      <c r="UVA150" s="72"/>
      <c r="UVB150" s="72"/>
      <c r="UVC150" s="72"/>
      <c r="UVD150" s="72"/>
      <c r="UVE150" s="72"/>
      <c r="UVF150" s="72"/>
      <c r="UVG150" s="72"/>
      <c r="UVH150" s="72"/>
      <c r="UVI150" s="72"/>
      <c r="UVJ150" s="72"/>
      <c r="UVK150" s="72"/>
      <c r="UVL150" s="72"/>
      <c r="UVM150" s="72"/>
      <c r="UVN150" s="72"/>
      <c r="UVO150" s="72"/>
      <c r="UVP150" s="72"/>
      <c r="UVQ150" s="72"/>
      <c r="UVR150" s="72"/>
      <c r="UVS150" s="72"/>
      <c r="UVT150" s="72"/>
      <c r="UVU150" s="72"/>
      <c r="UVV150" s="72"/>
      <c r="UVW150" s="72"/>
      <c r="UVX150" s="72"/>
      <c r="UVY150" s="72"/>
      <c r="UVZ150" s="72"/>
      <c r="UWA150" s="72"/>
      <c r="UWB150" s="72"/>
      <c r="UWC150" s="72"/>
      <c r="UWD150" s="72"/>
      <c r="UWE150" s="72"/>
      <c r="UWF150" s="72"/>
      <c r="UWG150" s="72"/>
      <c r="UWH150" s="72"/>
      <c r="UWI150" s="72"/>
      <c r="UWJ150" s="72"/>
      <c r="UWK150" s="72"/>
      <c r="UWL150" s="72"/>
      <c r="UWM150" s="72"/>
      <c r="UWN150" s="72"/>
      <c r="UWO150" s="72"/>
      <c r="UWP150" s="72"/>
      <c r="UWQ150" s="72"/>
      <c r="UWR150" s="72"/>
      <c r="UWS150" s="72"/>
      <c r="UWT150" s="72"/>
      <c r="UWU150" s="72"/>
      <c r="UWV150" s="72"/>
      <c r="UWW150" s="72"/>
      <c r="UWX150" s="72"/>
      <c r="UWY150" s="72"/>
      <c r="UWZ150" s="72"/>
      <c r="UXA150" s="72"/>
      <c r="UXB150" s="72"/>
      <c r="UXC150" s="72"/>
      <c r="UXD150" s="72"/>
      <c r="UXE150" s="72"/>
      <c r="UXF150" s="72"/>
      <c r="UXG150" s="72"/>
      <c r="UXH150" s="72"/>
      <c r="UXI150" s="72"/>
      <c r="UXJ150" s="72"/>
      <c r="UXK150" s="72"/>
      <c r="UXL150" s="72"/>
      <c r="UXM150" s="72"/>
      <c r="UXN150" s="72"/>
      <c r="UXO150" s="72"/>
      <c r="UXP150" s="72"/>
      <c r="UXQ150" s="72"/>
      <c r="UXR150" s="72"/>
      <c r="UXS150" s="72"/>
      <c r="UXT150" s="72"/>
      <c r="UXU150" s="72"/>
      <c r="UXV150" s="72"/>
      <c r="UXW150" s="72"/>
      <c r="UXX150" s="72"/>
      <c r="UXY150" s="72"/>
      <c r="UXZ150" s="72"/>
      <c r="UYA150" s="72"/>
      <c r="UYB150" s="72"/>
      <c r="UYC150" s="72"/>
      <c r="UYD150" s="72"/>
      <c r="UYE150" s="72"/>
      <c r="UYF150" s="72"/>
      <c r="UYG150" s="72"/>
      <c r="UYH150" s="72"/>
      <c r="UYI150" s="72"/>
      <c r="UYJ150" s="72"/>
      <c r="UYK150" s="72"/>
      <c r="UYL150" s="72"/>
      <c r="UYM150" s="72"/>
      <c r="UYN150" s="72"/>
      <c r="UYO150" s="72"/>
      <c r="UYP150" s="72"/>
      <c r="UYQ150" s="72"/>
      <c r="UYR150" s="72"/>
      <c r="UYS150" s="72"/>
      <c r="UYT150" s="72"/>
      <c r="UYU150" s="72"/>
      <c r="UYV150" s="72"/>
      <c r="UYW150" s="72"/>
      <c r="UYX150" s="72"/>
      <c r="UYY150" s="72"/>
      <c r="UYZ150" s="72"/>
      <c r="UZA150" s="72"/>
      <c r="UZB150" s="72"/>
      <c r="UZC150" s="72"/>
      <c r="UZD150" s="72"/>
      <c r="UZE150" s="72"/>
      <c r="UZF150" s="72"/>
      <c r="UZG150" s="72"/>
      <c r="UZH150" s="72"/>
      <c r="UZI150" s="72"/>
      <c r="UZJ150" s="72"/>
      <c r="UZK150" s="72"/>
      <c r="UZL150" s="72"/>
      <c r="UZM150" s="72"/>
      <c r="UZN150" s="72"/>
      <c r="UZO150" s="72"/>
      <c r="UZP150" s="72"/>
      <c r="UZQ150" s="72"/>
      <c r="UZR150" s="72"/>
      <c r="UZS150" s="72"/>
      <c r="UZT150" s="72"/>
      <c r="UZU150" s="72"/>
      <c r="UZV150" s="72"/>
      <c r="UZW150" s="72"/>
      <c r="UZX150" s="72"/>
      <c r="UZY150" s="72"/>
      <c r="UZZ150" s="72"/>
      <c r="VAA150" s="72"/>
      <c r="VAB150" s="72"/>
      <c r="VAC150" s="72"/>
      <c r="VAD150" s="72"/>
      <c r="VAE150" s="72"/>
      <c r="VAF150" s="72"/>
      <c r="VAG150" s="72"/>
      <c r="VAH150" s="72"/>
      <c r="VAI150" s="72"/>
      <c r="VAJ150" s="72"/>
      <c r="VAK150" s="72"/>
      <c r="VAL150" s="72"/>
      <c r="VAM150" s="72"/>
      <c r="VAN150" s="72"/>
      <c r="VAO150" s="72"/>
      <c r="VAP150" s="72"/>
      <c r="VAQ150" s="72"/>
      <c r="VAR150" s="72"/>
      <c r="VAS150" s="72"/>
      <c r="VAT150" s="72"/>
      <c r="VAU150" s="72"/>
      <c r="VAV150" s="72"/>
      <c r="VAW150" s="72"/>
      <c r="VAX150" s="72"/>
      <c r="VAY150" s="72"/>
      <c r="VAZ150" s="72"/>
      <c r="VBA150" s="72"/>
      <c r="VBB150" s="72"/>
      <c r="VBC150" s="72"/>
      <c r="VBD150" s="72"/>
      <c r="VBE150" s="72"/>
      <c r="VBF150" s="72"/>
      <c r="VBG150" s="72"/>
      <c r="VBH150" s="72"/>
      <c r="VBI150" s="72"/>
      <c r="VBJ150" s="72"/>
      <c r="VBK150" s="72"/>
      <c r="VBL150" s="72"/>
      <c r="VBM150" s="72"/>
      <c r="VBN150" s="72"/>
      <c r="VBO150" s="72"/>
      <c r="VBP150" s="72"/>
      <c r="VBQ150" s="72"/>
      <c r="VBR150" s="72"/>
      <c r="VBS150" s="72"/>
      <c r="VBT150" s="72"/>
      <c r="VBU150" s="72"/>
      <c r="VBV150" s="72"/>
      <c r="VBW150" s="72"/>
      <c r="VBX150" s="72"/>
      <c r="VBY150" s="72"/>
      <c r="VBZ150" s="72"/>
      <c r="VCA150" s="72"/>
      <c r="VCB150" s="72"/>
      <c r="VCC150" s="72"/>
      <c r="VCD150" s="72"/>
      <c r="VCE150" s="72"/>
      <c r="VCF150" s="72"/>
      <c r="VCG150" s="72"/>
      <c r="VCH150" s="72"/>
      <c r="VCI150" s="72"/>
      <c r="VCJ150" s="72"/>
      <c r="VCK150" s="72"/>
      <c r="VCL150" s="72"/>
      <c r="VCM150" s="72"/>
      <c r="VCN150" s="72"/>
      <c r="VCO150" s="72"/>
      <c r="VCP150" s="72"/>
      <c r="VCQ150" s="72"/>
      <c r="VCR150" s="72"/>
      <c r="VCS150" s="72"/>
      <c r="VCT150" s="72"/>
      <c r="VCU150" s="72"/>
      <c r="VCV150" s="72"/>
      <c r="VCW150" s="72"/>
      <c r="VCX150" s="72"/>
      <c r="VCY150" s="72"/>
      <c r="VCZ150" s="72"/>
      <c r="VDA150" s="72"/>
      <c r="VDB150" s="72"/>
      <c r="VDC150" s="72"/>
      <c r="VDD150" s="72"/>
      <c r="VDE150" s="72"/>
      <c r="VDF150" s="72"/>
      <c r="VDG150" s="72"/>
      <c r="VDH150" s="72"/>
      <c r="VDI150" s="72"/>
      <c r="VDJ150" s="72"/>
      <c r="VDK150" s="72"/>
      <c r="VDL150" s="72"/>
      <c r="VDM150" s="72"/>
      <c r="VDN150" s="72"/>
      <c r="VDO150" s="72"/>
      <c r="VDP150" s="72"/>
      <c r="VDQ150" s="72"/>
      <c r="VDR150" s="72"/>
      <c r="VDS150" s="72"/>
      <c r="VDT150" s="72"/>
      <c r="VDU150" s="72"/>
      <c r="VDV150" s="72"/>
      <c r="VDW150" s="72"/>
      <c r="VDX150" s="72"/>
      <c r="VDY150" s="72"/>
      <c r="VDZ150" s="72"/>
      <c r="VEA150" s="72"/>
      <c r="VEB150" s="72"/>
      <c r="VEC150" s="72"/>
      <c r="VED150" s="72"/>
      <c r="VEE150" s="72"/>
      <c r="VEF150" s="72"/>
      <c r="VEG150" s="72"/>
      <c r="VEH150" s="72"/>
      <c r="VEI150" s="72"/>
      <c r="VEJ150" s="72"/>
      <c r="VEK150" s="72"/>
      <c r="VEL150" s="72"/>
      <c r="VEM150" s="72"/>
      <c r="VEN150" s="72"/>
      <c r="VEO150" s="72"/>
      <c r="VEP150" s="72"/>
      <c r="VEQ150" s="72"/>
      <c r="VER150" s="72"/>
      <c r="VES150" s="72"/>
      <c r="VET150" s="72"/>
      <c r="VEU150" s="72"/>
      <c r="VEV150" s="72"/>
      <c r="VEW150" s="72"/>
      <c r="VEX150" s="72"/>
      <c r="VEY150" s="72"/>
      <c r="VEZ150" s="72"/>
      <c r="VFA150" s="72"/>
      <c r="VFB150" s="72"/>
      <c r="VFC150" s="72"/>
      <c r="VFD150" s="72"/>
      <c r="VFE150" s="72"/>
      <c r="VFF150" s="72"/>
      <c r="VFG150" s="72"/>
      <c r="VFH150" s="72"/>
      <c r="VFI150" s="72"/>
      <c r="VFJ150" s="72"/>
      <c r="VFK150" s="72"/>
      <c r="VFL150" s="72"/>
      <c r="VFM150" s="72"/>
      <c r="VFN150" s="72"/>
      <c r="VFO150" s="72"/>
      <c r="VFP150" s="72"/>
      <c r="VFQ150" s="72"/>
      <c r="VFR150" s="72"/>
      <c r="VFS150" s="72"/>
      <c r="VFT150" s="72"/>
      <c r="VFU150" s="72"/>
      <c r="VFV150" s="72"/>
      <c r="VFW150" s="72"/>
      <c r="VFX150" s="72"/>
      <c r="VFY150" s="72"/>
      <c r="VFZ150" s="72"/>
      <c r="VGA150" s="72"/>
      <c r="VGB150" s="72"/>
      <c r="VGC150" s="72"/>
      <c r="VGD150" s="72"/>
      <c r="VGE150" s="72"/>
      <c r="VGF150" s="72"/>
      <c r="VGG150" s="72"/>
      <c r="VGH150" s="72"/>
      <c r="VGI150" s="72"/>
      <c r="VGJ150" s="72"/>
      <c r="VGK150" s="72"/>
      <c r="VGL150" s="72"/>
      <c r="VGM150" s="72"/>
      <c r="VGN150" s="72"/>
      <c r="VGO150" s="72"/>
      <c r="VGP150" s="72"/>
      <c r="VGQ150" s="72"/>
      <c r="VGR150" s="72"/>
      <c r="VGS150" s="72"/>
      <c r="VGT150" s="72"/>
      <c r="VGU150" s="72"/>
      <c r="VGV150" s="72"/>
      <c r="VGW150" s="72"/>
      <c r="VGX150" s="72"/>
      <c r="VGY150" s="72"/>
      <c r="VGZ150" s="72"/>
      <c r="VHA150" s="72"/>
      <c r="VHB150" s="72"/>
      <c r="VHC150" s="72"/>
      <c r="VHD150" s="72"/>
      <c r="VHE150" s="72"/>
      <c r="VHF150" s="72"/>
      <c r="VHG150" s="72"/>
      <c r="VHH150" s="72"/>
      <c r="VHI150" s="72"/>
      <c r="VHJ150" s="72"/>
      <c r="VHK150" s="72"/>
      <c r="VHL150" s="72"/>
      <c r="VHM150" s="72"/>
      <c r="VHN150" s="72"/>
      <c r="VHO150" s="72"/>
      <c r="VHP150" s="72"/>
      <c r="VHQ150" s="72"/>
      <c r="VHR150" s="72"/>
      <c r="VHS150" s="72"/>
      <c r="VHT150" s="72"/>
      <c r="VHU150" s="72"/>
      <c r="VHV150" s="72"/>
      <c r="VHW150" s="72"/>
      <c r="VHX150" s="72"/>
      <c r="VHY150" s="72"/>
      <c r="VHZ150" s="72"/>
      <c r="VIA150" s="72"/>
      <c r="VIB150" s="72"/>
      <c r="VIC150" s="72"/>
      <c r="VID150" s="72"/>
      <c r="VIE150" s="72"/>
      <c r="VIF150" s="72"/>
      <c r="VIG150" s="72"/>
      <c r="VIH150" s="72"/>
      <c r="VII150" s="72"/>
      <c r="VIJ150" s="72"/>
      <c r="VIK150" s="72"/>
      <c r="VIL150" s="72"/>
      <c r="VIM150" s="72"/>
      <c r="VIN150" s="72"/>
      <c r="VIO150" s="72"/>
      <c r="VIP150" s="72"/>
      <c r="VIQ150" s="72"/>
      <c r="VIR150" s="72"/>
      <c r="VIS150" s="72"/>
      <c r="VIT150" s="72"/>
      <c r="VIU150" s="72"/>
      <c r="VIV150" s="72"/>
      <c r="VIW150" s="72"/>
      <c r="VIX150" s="72"/>
      <c r="VIY150" s="72"/>
      <c r="VIZ150" s="72"/>
      <c r="VJA150" s="72"/>
      <c r="VJB150" s="72"/>
      <c r="VJC150" s="72"/>
      <c r="VJD150" s="72"/>
      <c r="VJE150" s="72"/>
      <c r="VJF150" s="72"/>
      <c r="VJG150" s="72"/>
      <c r="VJH150" s="72"/>
      <c r="VJI150" s="72"/>
      <c r="VJJ150" s="72"/>
      <c r="VJK150" s="72"/>
      <c r="VJL150" s="72"/>
      <c r="VJM150" s="72"/>
      <c r="VJN150" s="72"/>
      <c r="VJO150" s="72"/>
      <c r="VJP150" s="72"/>
      <c r="VJQ150" s="72"/>
      <c r="VJR150" s="72"/>
      <c r="VJS150" s="72"/>
      <c r="VJT150" s="72"/>
      <c r="VJU150" s="72"/>
      <c r="VJV150" s="72"/>
      <c r="VJW150" s="72"/>
      <c r="VJX150" s="72"/>
      <c r="VJY150" s="72"/>
      <c r="VJZ150" s="72"/>
      <c r="VKA150" s="72"/>
      <c r="VKB150" s="72"/>
      <c r="VKC150" s="72"/>
      <c r="VKD150" s="72"/>
      <c r="VKE150" s="72"/>
      <c r="VKF150" s="72"/>
      <c r="VKG150" s="72"/>
      <c r="VKH150" s="72"/>
      <c r="VKI150" s="72"/>
      <c r="VKJ150" s="72"/>
      <c r="VKK150" s="72"/>
      <c r="VKL150" s="72"/>
      <c r="VKM150" s="72"/>
      <c r="VKN150" s="72"/>
      <c r="VKO150" s="72"/>
      <c r="VKP150" s="72"/>
      <c r="VKQ150" s="72"/>
      <c r="VKR150" s="72"/>
      <c r="VKS150" s="72"/>
      <c r="VKT150" s="72"/>
      <c r="VKU150" s="72"/>
      <c r="VKV150" s="72"/>
      <c r="VKW150" s="72"/>
      <c r="VKX150" s="72"/>
      <c r="VKY150" s="72"/>
      <c r="VKZ150" s="72"/>
      <c r="VLA150" s="72"/>
      <c r="VLB150" s="72"/>
      <c r="VLC150" s="72"/>
      <c r="VLD150" s="72"/>
      <c r="VLE150" s="72"/>
      <c r="VLF150" s="72"/>
      <c r="VLG150" s="72"/>
      <c r="VLH150" s="72"/>
      <c r="VLI150" s="72"/>
      <c r="VLJ150" s="72"/>
      <c r="VLK150" s="72"/>
      <c r="VLL150" s="72"/>
      <c r="VLM150" s="72"/>
      <c r="VLN150" s="72"/>
      <c r="VLO150" s="72"/>
      <c r="VLP150" s="72"/>
      <c r="VLQ150" s="72"/>
      <c r="VLR150" s="72"/>
      <c r="VLS150" s="72"/>
      <c r="VLT150" s="72"/>
      <c r="VLU150" s="72"/>
      <c r="VLV150" s="72"/>
      <c r="VLW150" s="72"/>
      <c r="VLX150" s="72"/>
      <c r="VLY150" s="72"/>
      <c r="VLZ150" s="72"/>
      <c r="VMA150" s="72"/>
      <c r="VMB150" s="72"/>
      <c r="VMC150" s="72"/>
      <c r="VMD150" s="72"/>
      <c r="VME150" s="72"/>
      <c r="VMF150" s="72"/>
      <c r="VMG150" s="72"/>
      <c r="VMH150" s="72"/>
      <c r="VMI150" s="72"/>
      <c r="VMJ150" s="72"/>
      <c r="VMK150" s="72"/>
      <c r="VML150" s="72"/>
      <c r="VMM150" s="72"/>
      <c r="VMN150" s="72"/>
      <c r="VMO150" s="72"/>
      <c r="VMP150" s="72"/>
      <c r="VMQ150" s="72"/>
      <c r="VMR150" s="72"/>
      <c r="VMS150" s="72"/>
      <c r="VMT150" s="72"/>
      <c r="VMU150" s="72"/>
      <c r="VMV150" s="72"/>
      <c r="VMW150" s="72"/>
      <c r="VMX150" s="72"/>
      <c r="VMY150" s="72"/>
      <c r="VMZ150" s="72"/>
      <c r="VNA150" s="72"/>
      <c r="VNB150" s="72"/>
      <c r="VNC150" s="72"/>
      <c r="VND150" s="72"/>
      <c r="VNE150" s="72"/>
      <c r="VNF150" s="72"/>
      <c r="VNG150" s="72"/>
      <c r="VNH150" s="72"/>
      <c r="VNI150" s="72"/>
      <c r="VNJ150" s="72"/>
      <c r="VNK150" s="72"/>
      <c r="VNL150" s="72"/>
      <c r="VNM150" s="72"/>
      <c r="VNN150" s="72"/>
      <c r="VNO150" s="72"/>
      <c r="VNP150" s="72"/>
      <c r="VNQ150" s="72"/>
      <c r="VNR150" s="72"/>
      <c r="VNS150" s="72"/>
      <c r="VNT150" s="72"/>
      <c r="VNU150" s="72"/>
      <c r="VNV150" s="72"/>
      <c r="VNW150" s="72"/>
      <c r="VNX150" s="72"/>
      <c r="VNY150" s="72"/>
      <c r="VNZ150" s="72"/>
      <c r="VOA150" s="72"/>
      <c r="VOB150" s="72"/>
      <c r="VOC150" s="72"/>
      <c r="VOD150" s="72"/>
      <c r="VOE150" s="72"/>
      <c r="VOF150" s="72"/>
      <c r="VOG150" s="72"/>
      <c r="VOH150" s="72"/>
      <c r="VOI150" s="72"/>
      <c r="VOJ150" s="72"/>
      <c r="VOK150" s="72"/>
      <c r="VOL150" s="72"/>
      <c r="VOM150" s="72"/>
      <c r="VON150" s="72"/>
      <c r="VOO150" s="72"/>
      <c r="VOP150" s="72"/>
      <c r="VOQ150" s="72"/>
      <c r="VOR150" s="72"/>
      <c r="VOS150" s="72"/>
      <c r="VOT150" s="72"/>
      <c r="VOU150" s="72"/>
      <c r="VOV150" s="72"/>
      <c r="VOW150" s="72"/>
      <c r="VOX150" s="72"/>
      <c r="VOY150" s="72"/>
      <c r="VOZ150" s="72"/>
      <c r="VPA150" s="72"/>
      <c r="VPB150" s="72"/>
      <c r="VPC150" s="72"/>
      <c r="VPD150" s="72"/>
      <c r="VPE150" s="72"/>
      <c r="VPF150" s="72"/>
      <c r="VPG150" s="72"/>
      <c r="VPH150" s="72"/>
      <c r="VPI150" s="72"/>
      <c r="VPJ150" s="72"/>
      <c r="VPK150" s="72"/>
      <c r="VPL150" s="72"/>
      <c r="VPM150" s="72"/>
      <c r="VPN150" s="72"/>
      <c r="VPO150" s="72"/>
      <c r="VPP150" s="72"/>
      <c r="VPQ150" s="72"/>
      <c r="VPR150" s="72"/>
      <c r="VPS150" s="72"/>
      <c r="VPT150" s="72"/>
      <c r="VPU150" s="72"/>
      <c r="VPV150" s="72"/>
      <c r="VPW150" s="72"/>
      <c r="VPX150" s="72"/>
      <c r="VPY150" s="72"/>
      <c r="VPZ150" s="72"/>
      <c r="VQA150" s="72"/>
      <c r="VQB150" s="72"/>
      <c r="VQC150" s="72"/>
      <c r="VQD150" s="72"/>
      <c r="VQE150" s="72"/>
      <c r="VQF150" s="72"/>
      <c r="VQG150" s="72"/>
      <c r="VQH150" s="72"/>
      <c r="VQI150" s="72"/>
      <c r="VQJ150" s="72"/>
      <c r="VQK150" s="72"/>
      <c r="VQL150" s="72"/>
      <c r="VQM150" s="72"/>
      <c r="VQN150" s="72"/>
      <c r="VQO150" s="72"/>
      <c r="VQP150" s="72"/>
      <c r="VQQ150" s="72"/>
      <c r="VQR150" s="72"/>
      <c r="VQS150" s="72"/>
      <c r="VQT150" s="72"/>
      <c r="VQU150" s="72"/>
      <c r="VQV150" s="72"/>
      <c r="VQW150" s="72"/>
      <c r="VQX150" s="72"/>
      <c r="VQY150" s="72"/>
      <c r="VQZ150" s="72"/>
      <c r="VRA150" s="72"/>
      <c r="VRB150" s="72"/>
      <c r="VRC150" s="72"/>
      <c r="VRD150" s="72"/>
      <c r="VRE150" s="72"/>
      <c r="VRF150" s="72"/>
      <c r="VRG150" s="72"/>
      <c r="VRH150" s="72"/>
      <c r="VRI150" s="72"/>
      <c r="VRJ150" s="72"/>
      <c r="VRK150" s="72"/>
      <c r="VRL150" s="72"/>
      <c r="VRM150" s="72"/>
      <c r="VRN150" s="72"/>
      <c r="VRO150" s="72"/>
      <c r="VRP150" s="72"/>
      <c r="VRQ150" s="72"/>
      <c r="VRR150" s="72"/>
      <c r="VRS150" s="72"/>
      <c r="VRT150" s="72"/>
      <c r="VRU150" s="72"/>
      <c r="VRV150" s="72"/>
      <c r="VRW150" s="72"/>
      <c r="VRX150" s="72"/>
      <c r="VRY150" s="72"/>
      <c r="VRZ150" s="72"/>
      <c r="VSA150" s="72"/>
      <c r="VSB150" s="72"/>
      <c r="VSC150" s="72"/>
      <c r="VSD150" s="72"/>
      <c r="VSE150" s="72"/>
      <c r="VSF150" s="72"/>
      <c r="VSG150" s="72"/>
      <c r="VSH150" s="72"/>
      <c r="VSI150" s="72"/>
      <c r="VSJ150" s="72"/>
      <c r="VSK150" s="72"/>
      <c r="VSL150" s="72"/>
      <c r="VSM150" s="72"/>
      <c r="VSN150" s="72"/>
      <c r="VSO150" s="72"/>
      <c r="VSP150" s="72"/>
      <c r="VSQ150" s="72"/>
      <c r="VSR150" s="72"/>
      <c r="VSS150" s="72"/>
      <c r="VST150" s="72"/>
      <c r="VSU150" s="72"/>
      <c r="VSV150" s="72"/>
      <c r="VSW150" s="72"/>
      <c r="VSX150" s="72"/>
      <c r="VSY150" s="72"/>
      <c r="VSZ150" s="72"/>
      <c r="VTA150" s="72"/>
      <c r="VTB150" s="72"/>
      <c r="VTC150" s="72"/>
      <c r="VTD150" s="72"/>
      <c r="VTE150" s="72"/>
      <c r="VTF150" s="72"/>
      <c r="VTG150" s="72"/>
      <c r="VTH150" s="72"/>
      <c r="VTI150" s="72"/>
      <c r="VTJ150" s="72"/>
      <c r="VTK150" s="72"/>
      <c r="VTL150" s="72"/>
      <c r="VTM150" s="72"/>
      <c r="VTN150" s="72"/>
      <c r="VTO150" s="72"/>
      <c r="VTP150" s="72"/>
      <c r="VTQ150" s="72"/>
      <c r="VTR150" s="72"/>
      <c r="VTS150" s="72"/>
      <c r="VTT150" s="72"/>
      <c r="VTU150" s="72"/>
      <c r="VTV150" s="72"/>
      <c r="VTW150" s="72"/>
      <c r="VTX150" s="72"/>
      <c r="VTY150" s="72"/>
      <c r="VTZ150" s="72"/>
      <c r="VUA150" s="72"/>
      <c r="VUB150" s="72"/>
      <c r="VUC150" s="72"/>
      <c r="VUD150" s="72"/>
      <c r="VUE150" s="72"/>
      <c r="VUF150" s="72"/>
      <c r="VUG150" s="72"/>
      <c r="VUH150" s="72"/>
      <c r="VUI150" s="72"/>
      <c r="VUJ150" s="72"/>
      <c r="VUK150" s="72"/>
      <c r="VUL150" s="72"/>
      <c r="VUM150" s="72"/>
      <c r="VUN150" s="72"/>
      <c r="VUO150" s="72"/>
      <c r="VUP150" s="72"/>
      <c r="VUQ150" s="72"/>
      <c r="VUR150" s="72"/>
      <c r="VUS150" s="72"/>
      <c r="VUT150" s="72"/>
      <c r="VUU150" s="72"/>
      <c r="VUV150" s="72"/>
      <c r="VUW150" s="72"/>
      <c r="VUX150" s="72"/>
      <c r="VUY150" s="72"/>
      <c r="VUZ150" s="72"/>
      <c r="VVA150" s="72"/>
      <c r="VVB150" s="72"/>
      <c r="VVC150" s="72"/>
      <c r="VVD150" s="72"/>
      <c r="VVE150" s="72"/>
      <c r="VVF150" s="72"/>
      <c r="VVG150" s="72"/>
      <c r="VVH150" s="72"/>
      <c r="VVI150" s="72"/>
      <c r="VVJ150" s="72"/>
      <c r="VVK150" s="72"/>
      <c r="VVL150" s="72"/>
      <c r="VVM150" s="72"/>
      <c r="VVN150" s="72"/>
      <c r="VVO150" s="72"/>
      <c r="VVP150" s="72"/>
      <c r="VVQ150" s="72"/>
      <c r="VVR150" s="72"/>
      <c r="VVS150" s="72"/>
      <c r="VVT150" s="72"/>
      <c r="VVU150" s="72"/>
      <c r="VVV150" s="72"/>
      <c r="VVW150" s="72"/>
      <c r="VVX150" s="72"/>
      <c r="VVY150" s="72"/>
      <c r="VVZ150" s="72"/>
      <c r="VWA150" s="72"/>
      <c r="VWB150" s="72"/>
      <c r="VWC150" s="72"/>
      <c r="VWD150" s="72"/>
      <c r="VWE150" s="72"/>
      <c r="VWF150" s="72"/>
      <c r="VWG150" s="72"/>
      <c r="VWH150" s="72"/>
      <c r="VWI150" s="72"/>
      <c r="VWJ150" s="72"/>
      <c r="VWK150" s="72"/>
      <c r="VWL150" s="72"/>
      <c r="VWM150" s="72"/>
      <c r="VWN150" s="72"/>
      <c r="VWO150" s="72"/>
      <c r="VWP150" s="72"/>
      <c r="VWQ150" s="72"/>
      <c r="VWR150" s="72"/>
      <c r="VWS150" s="72"/>
      <c r="VWT150" s="72"/>
      <c r="VWU150" s="72"/>
      <c r="VWV150" s="72"/>
      <c r="VWW150" s="72"/>
      <c r="VWX150" s="72"/>
      <c r="VWY150" s="72"/>
      <c r="VWZ150" s="72"/>
      <c r="VXA150" s="72"/>
      <c r="VXB150" s="72"/>
      <c r="VXC150" s="72"/>
      <c r="VXD150" s="72"/>
      <c r="VXE150" s="72"/>
      <c r="VXF150" s="72"/>
      <c r="VXG150" s="72"/>
      <c r="VXH150" s="72"/>
      <c r="VXI150" s="72"/>
      <c r="VXJ150" s="72"/>
      <c r="VXK150" s="72"/>
      <c r="VXL150" s="72"/>
      <c r="VXM150" s="72"/>
      <c r="VXN150" s="72"/>
      <c r="VXO150" s="72"/>
      <c r="VXP150" s="72"/>
      <c r="VXQ150" s="72"/>
      <c r="VXR150" s="72"/>
      <c r="VXS150" s="72"/>
      <c r="VXT150" s="72"/>
      <c r="VXU150" s="72"/>
      <c r="VXV150" s="72"/>
      <c r="VXW150" s="72"/>
      <c r="VXX150" s="72"/>
      <c r="VXY150" s="72"/>
      <c r="VXZ150" s="72"/>
      <c r="VYA150" s="72"/>
      <c r="VYB150" s="72"/>
      <c r="VYC150" s="72"/>
      <c r="VYD150" s="72"/>
      <c r="VYE150" s="72"/>
      <c r="VYF150" s="72"/>
      <c r="VYG150" s="72"/>
      <c r="VYH150" s="72"/>
      <c r="VYI150" s="72"/>
      <c r="VYJ150" s="72"/>
      <c r="VYK150" s="72"/>
      <c r="VYL150" s="72"/>
      <c r="VYM150" s="72"/>
      <c r="VYN150" s="72"/>
      <c r="VYO150" s="72"/>
      <c r="VYP150" s="72"/>
      <c r="VYQ150" s="72"/>
      <c r="VYR150" s="72"/>
      <c r="VYS150" s="72"/>
      <c r="VYT150" s="72"/>
      <c r="VYU150" s="72"/>
      <c r="VYV150" s="72"/>
      <c r="VYW150" s="72"/>
      <c r="VYX150" s="72"/>
      <c r="VYY150" s="72"/>
      <c r="VYZ150" s="72"/>
      <c r="VZA150" s="72"/>
      <c r="VZB150" s="72"/>
      <c r="VZC150" s="72"/>
      <c r="VZD150" s="72"/>
      <c r="VZE150" s="72"/>
      <c r="VZF150" s="72"/>
      <c r="VZG150" s="72"/>
      <c r="VZH150" s="72"/>
      <c r="VZI150" s="72"/>
      <c r="VZJ150" s="72"/>
      <c r="VZK150" s="72"/>
      <c r="VZL150" s="72"/>
      <c r="VZM150" s="72"/>
      <c r="VZN150" s="72"/>
      <c r="VZO150" s="72"/>
      <c r="VZP150" s="72"/>
      <c r="VZQ150" s="72"/>
      <c r="VZR150" s="72"/>
      <c r="VZS150" s="72"/>
      <c r="VZT150" s="72"/>
      <c r="VZU150" s="72"/>
      <c r="VZV150" s="72"/>
      <c r="VZW150" s="72"/>
      <c r="VZX150" s="72"/>
      <c r="VZY150" s="72"/>
      <c r="VZZ150" s="72"/>
      <c r="WAA150" s="72"/>
      <c r="WAB150" s="72"/>
      <c r="WAC150" s="72"/>
      <c r="WAD150" s="72"/>
      <c r="WAE150" s="72"/>
      <c r="WAF150" s="72"/>
      <c r="WAG150" s="72"/>
      <c r="WAH150" s="72"/>
      <c r="WAI150" s="72"/>
      <c r="WAJ150" s="72"/>
      <c r="WAK150" s="72"/>
      <c r="WAL150" s="72"/>
      <c r="WAM150" s="72"/>
      <c r="WAN150" s="72"/>
      <c r="WAO150" s="72"/>
      <c r="WAP150" s="72"/>
      <c r="WAQ150" s="72"/>
      <c r="WAR150" s="72"/>
      <c r="WAS150" s="72"/>
      <c r="WAT150" s="72"/>
      <c r="WAU150" s="72"/>
      <c r="WAV150" s="72"/>
      <c r="WAW150" s="72"/>
      <c r="WAX150" s="72"/>
      <c r="WAY150" s="72"/>
      <c r="WAZ150" s="72"/>
      <c r="WBA150" s="72"/>
      <c r="WBB150" s="72"/>
      <c r="WBC150" s="72"/>
      <c r="WBD150" s="72"/>
      <c r="WBE150" s="72"/>
      <c r="WBF150" s="72"/>
      <c r="WBG150" s="72"/>
      <c r="WBH150" s="72"/>
      <c r="WBI150" s="72"/>
      <c r="WBJ150" s="72"/>
      <c r="WBK150" s="72"/>
      <c r="WBL150" s="72"/>
      <c r="WBM150" s="72"/>
      <c r="WBN150" s="72"/>
      <c r="WBO150" s="72"/>
      <c r="WBP150" s="72"/>
      <c r="WBQ150" s="72"/>
      <c r="WBR150" s="72"/>
      <c r="WBS150" s="72"/>
      <c r="WBT150" s="72"/>
      <c r="WBU150" s="72"/>
      <c r="WBV150" s="72"/>
      <c r="WBW150" s="72"/>
      <c r="WBX150" s="72"/>
      <c r="WBY150" s="72"/>
      <c r="WBZ150" s="72"/>
      <c r="WCA150" s="72"/>
      <c r="WCB150" s="72"/>
      <c r="WCC150" s="72"/>
      <c r="WCD150" s="72"/>
      <c r="WCE150" s="72"/>
      <c r="WCF150" s="72"/>
      <c r="WCG150" s="72"/>
      <c r="WCH150" s="72"/>
      <c r="WCI150" s="72"/>
      <c r="WCJ150" s="72"/>
      <c r="WCK150" s="72"/>
      <c r="WCL150" s="72"/>
      <c r="WCM150" s="72"/>
      <c r="WCN150" s="72"/>
      <c r="WCO150" s="72"/>
      <c r="WCP150" s="72"/>
      <c r="WCQ150" s="72"/>
      <c r="WCR150" s="72"/>
      <c r="WCS150" s="72"/>
      <c r="WCT150" s="72"/>
      <c r="WCU150" s="72"/>
      <c r="WCV150" s="72"/>
      <c r="WCW150" s="72"/>
      <c r="WCX150" s="72"/>
      <c r="WCY150" s="72"/>
      <c r="WCZ150" s="72"/>
      <c r="WDA150" s="72"/>
      <c r="WDB150" s="72"/>
      <c r="WDC150" s="72"/>
      <c r="WDD150" s="72"/>
      <c r="WDE150" s="72"/>
      <c r="WDF150" s="72"/>
      <c r="WDG150" s="72"/>
      <c r="WDH150" s="72"/>
      <c r="WDI150" s="72"/>
      <c r="WDJ150" s="72"/>
      <c r="WDK150" s="72"/>
      <c r="WDL150" s="72"/>
      <c r="WDM150" s="72"/>
      <c r="WDN150" s="72"/>
      <c r="WDO150" s="72"/>
      <c r="WDP150" s="72"/>
      <c r="WDQ150" s="72"/>
      <c r="WDR150" s="72"/>
      <c r="WDS150" s="72"/>
      <c r="WDT150" s="72"/>
      <c r="WDU150" s="72"/>
      <c r="WDV150" s="72"/>
      <c r="WDW150" s="72"/>
      <c r="WDX150" s="72"/>
      <c r="WDY150" s="72"/>
      <c r="WDZ150" s="72"/>
      <c r="WEA150" s="72"/>
      <c r="WEB150" s="72"/>
      <c r="WEC150" s="72"/>
      <c r="WED150" s="72"/>
      <c r="WEE150" s="72"/>
      <c r="WEF150" s="72"/>
      <c r="WEG150" s="72"/>
      <c r="WEH150" s="72"/>
      <c r="WEI150" s="72"/>
      <c r="WEJ150" s="72"/>
      <c r="WEK150" s="72"/>
      <c r="WEL150" s="72"/>
      <c r="WEM150" s="72"/>
      <c r="WEN150" s="72"/>
      <c r="WEO150" s="72"/>
      <c r="WEP150" s="72"/>
      <c r="WEQ150" s="72"/>
      <c r="WER150" s="72"/>
      <c r="WES150" s="72"/>
      <c r="WET150" s="72"/>
      <c r="WEU150" s="72"/>
      <c r="WEV150" s="72"/>
      <c r="WEW150" s="72"/>
      <c r="WEX150" s="72"/>
      <c r="WEY150" s="72"/>
      <c r="WEZ150" s="72"/>
      <c r="WFA150" s="72"/>
      <c r="WFB150" s="72"/>
      <c r="WFC150" s="72"/>
      <c r="WFD150" s="72"/>
      <c r="WFE150" s="72"/>
      <c r="WFF150" s="72"/>
      <c r="WFG150" s="72"/>
      <c r="WFH150" s="72"/>
      <c r="WFI150" s="72"/>
      <c r="WFJ150" s="72"/>
      <c r="WFK150" s="72"/>
      <c r="WFL150" s="72"/>
      <c r="WFM150" s="72"/>
      <c r="WFN150" s="72"/>
      <c r="WFO150" s="72"/>
      <c r="WFP150" s="72"/>
      <c r="WFQ150" s="72"/>
      <c r="WFR150" s="72"/>
      <c r="WFS150" s="72"/>
      <c r="WFT150" s="72"/>
      <c r="WFU150" s="72"/>
      <c r="WFV150" s="72"/>
      <c r="WFW150" s="72"/>
      <c r="WFX150" s="72"/>
      <c r="WFY150" s="72"/>
      <c r="WFZ150" s="72"/>
      <c r="WGA150" s="72"/>
      <c r="WGB150" s="72"/>
      <c r="WGC150" s="72"/>
      <c r="WGD150" s="72"/>
      <c r="WGE150" s="72"/>
      <c r="WGF150" s="72"/>
      <c r="WGG150" s="72"/>
      <c r="WGH150" s="72"/>
      <c r="WGI150" s="72"/>
      <c r="WGJ150" s="72"/>
      <c r="WGK150" s="72"/>
      <c r="WGL150" s="72"/>
      <c r="WGM150" s="72"/>
      <c r="WGN150" s="72"/>
      <c r="WGO150" s="72"/>
      <c r="WGP150" s="72"/>
      <c r="WGQ150" s="72"/>
      <c r="WGR150" s="72"/>
      <c r="WGS150" s="72"/>
      <c r="WGT150" s="72"/>
      <c r="WGU150" s="72"/>
      <c r="WGV150" s="72"/>
      <c r="WGW150" s="72"/>
      <c r="WGX150" s="72"/>
      <c r="WGY150" s="72"/>
      <c r="WGZ150" s="72"/>
      <c r="WHA150" s="72"/>
      <c r="WHB150" s="72"/>
      <c r="WHC150" s="72"/>
      <c r="WHD150" s="72"/>
      <c r="WHE150" s="72"/>
      <c r="WHF150" s="72"/>
      <c r="WHG150" s="72"/>
      <c r="WHH150" s="72"/>
      <c r="WHI150" s="72"/>
      <c r="WHJ150" s="72"/>
      <c r="WHK150" s="72"/>
      <c r="WHL150" s="72"/>
      <c r="WHM150" s="72"/>
      <c r="WHN150" s="72"/>
      <c r="WHO150" s="72"/>
      <c r="WHP150" s="72"/>
      <c r="WHQ150" s="72"/>
      <c r="WHR150" s="72"/>
      <c r="WHS150" s="72"/>
      <c r="WHT150" s="72"/>
      <c r="WHU150" s="72"/>
      <c r="WHV150" s="72"/>
      <c r="WHW150" s="72"/>
      <c r="WHX150" s="72"/>
      <c r="WHY150" s="72"/>
      <c r="WHZ150" s="72"/>
      <c r="WIA150" s="72"/>
      <c r="WIB150" s="72"/>
      <c r="WIC150" s="72"/>
      <c r="WID150" s="72"/>
      <c r="WIE150" s="72"/>
      <c r="WIF150" s="72"/>
      <c r="WIG150" s="72"/>
      <c r="WIH150" s="72"/>
      <c r="WII150" s="72"/>
      <c r="WIJ150" s="72"/>
      <c r="WIK150" s="72"/>
      <c r="WIL150" s="72"/>
      <c r="WIM150" s="72"/>
      <c r="WIN150" s="72"/>
      <c r="WIO150" s="72"/>
      <c r="WIP150" s="72"/>
      <c r="WIQ150" s="72"/>
      <c r="WIR150" s="72"/>
      <c r="WIS150" s="72"/>
      <c r="WIT150" s="72"/>
      <c r="WIU150" s="72"/>
      <c r="WIV150" s="72"/>
      <c r="WIW150" s="72"/>
      <c r="WIX150" s="72"/>
      <c r="WIY150" s="72"/>
      <c r="WIZ150" s="72"/>
      <c r="WJA150" s="72"/>
      <c r="WJB150" s="72"/>
      <c r="WJC150" s="72"/>
      <c r="WJD150" s="72"/>
      <c r="WJE150" s="72"/>
      <c r="WJF150" s="72"/>
      <c r="WJG150" s="72"/>
      <c r="WJH150" s="72"/>
      <c r="WJI150" s="72"/>
      <c r="WJJ150" s="72"/>
      <c r="WJK150" s="72"/>
      <c r="WJL150" s="72"/>
      <c r="WJM150" s="72"/>
      <c r="WJN150" s="72"/>
      <c r="WJO150" s="72"/>
      <c r="WJP150" s="72"/>
      <c r="WJQ150" s="72"/>
      <c r="WJR150" s="72"/>
      <c r="WJS150" s="72"/>
      <c r="WJT150" s="72"/>
      <c r="WJU150" s="72"/>
      <c r="WJV150" s="72"/>
      <c r="WJW150" s="72"/>
      <c r="WJX150" s="72"/>
      <c r="WJY150" s="72"/>
      <c r="WJZ150" s="72"/>
      <c r="WKA150" s="72"/>
      <c r="WKB150" s="72"/>
      <c r="WKC150" s="72"/>
      <c r="WKD150" s="72"/>
      <c r="WKE150" s="72"/>
      <c r="WKF150" s="72"/>
      <c r="WKG150" s="72"/>
      <c r="WKH150" s="72"/>
      <c r="WKI150" s="72"/>
      <c r="WKJ150" s="72"/>
      <c r="WKK150" s="72"/>
      <c r="WKL150" s="72"/>
      <c r="WKM150" s="72"/>
      <c r="WKN150" s="72"/>
      <c r="WKO150" s="72"/>
      <c r="WKP150" s="72"/>
      <c r="WKQ150" s="72"/>
      <c r="WKR150" s="72"/>
      <c r="WKS150" s="72"/>
      <c r="WKT150" s="72"/>
      <c r="WKU150" s="72"/>
      <c r="WKV150" s="72"/>
      <c r="WKW150" s="72"/>
      <c r="WKX150" s="72"/>
      <c r="WKY150" s="72"/>
      <c r="WKZ150" s="72"/>
      <c r="WLA150" s="72"/>
      <c r="WLB150" s="72"/>
      <c r="WLC150" s="72"/>
      <c r="WLD150" s="72"/>
      <c r="WLE150" s="72"/>
      <c r="WLF150" s="72"/>
      <c r="WLG150" s="72"/>
      <c r="WLH150" s="72"/>
      <c r="WLI150" s="72"/>
      <c r="WLJ150" s="72"/>
      <c r="WLK150" s="72"/>
      <c r="WLL150" s="72"/>
      <c r="WLM150" s="72"/>
      <c r="WLN150" s="72"/>
      <c r="WLO150" s="72"/>
      <c r="WLP150" s="72"/>
      <c r="WLQ150" s="72"/>
      <c r="WLR150" s="72"/>
      <c r="WLS150" s="72"/>
      <c r="WLT150" s="72"/>
      <c r="WLU150" s="72"/>
      <c r="WLV150" s="72"/>
      <c r="WLW150" s="72"/>
      <c r="WLX150" s="72"/>
      <c r="WLY150" s="72"/>
      <c r="WLZ150" s="72"/>
      <c r="WMA150" s="72"/>
      <c r="WMB150" s="72"/>
      <c r="WMC150" s="72"/>
      <c r="WMD150" s="72"/>
      <c r="WME150" s="72"/>
      <c r="WMF150" s="72"/>
      <c r="WMG150" s="72"/>
      <c r="WMH150" s="72"/>
      <c r="WMI150" s="72"/>
      <c r="WMJ150" s="72"/>
      <c r="WMK150" s="72"/>
      <c r="WML150" s="72"/>
      <c r="WMM150" s="72"/>
      <c r="WMN150" s="72"/>
      <c r="WMO150" s="72"/>
      <c r="WMP150" s="72"/>
      <c r="WMQ150" s="72"/>
      <c r="WMR150" s="72"/>
      <c r="WMS150" s="72"/>
      <c r="WMT150" s="72"/>
      <c r="WMU150" s="72"/>
      <c r="WMV150" s="72"/>
      <c r="WMW150" s="72"/>
      <c r="WMX150" s="72"/>
      <c r="WMY150" s="72"/>
      <c r="WMZ150" s="72"/>
      <c r="WNA150" s="72"/>
      <c r="WNB150" s="72"/>
      <c r="WNC150" s="72"/>
      <c r="WND150" s="72"/>
      <c r="WNE150" s="72"/>
      <c r="WNF150" s="72"/>
      <c r="WNG150" s="72"/>
      <c r="WNH150" s="72"/>
      <c r="WNI150" s="72"/>
      <c r="WNJ150" s="72"/>
      <c r="WNK150" s="72"/>
      <c r="WNL150" s="72"/>
      <c r="WNM150" s="72"/>
      <c r="WNN150" s="72"/>
      <c r="WNO150" s="72"/>
      <c r="WNP150" s="72"/>
      <c r="WNQ150" s="72"/>
      <c r="WNR150" s="72"/>
      <c r="WNS150" s="72"/>
      <c r="WNT150" s="72"/>
      <c r="WNU150" s="72"/>
      <c r="WNV150" s="72"/>
      <c r="WNW150" s="72"/>
      <c r="WNX150" s="72"/>
      <c r="WNY150" s="72"/>
      <c r="WNZ150" s="72"/>
      <c r="WOA150" s="72"/>
      <c r="WOB150" s="72"/>
      <c r="WOC150" s="72"/>
      <c r="WOD150" s="72"/>
      <c r="WOE150" s="72"/>
      <c r="WOF150" s="72"/>
      <c r="WOG150" s="72"/>
      <c r="WOH150" s="72"/>
      <c r="WOI150" s="72"/>
      <c r="WOJ150" s="72"/>
      <c r="WOK150" s="72"/>
      <c r="WOL150" s="72"/>
      <c r="WOM150" s="72"/>
      <c r="WON150" s="72"/>
      <c r="WOO150" s="72"/>
      <c r="WOP150" s="72"/>
      <c r="WOQ150" s="72"/>
      <c r="WOR150" s="72"/>
      <c r="WOS150" s="72"/>
      <c r="WOT150" s="72"/>
      <c r="WOU150" s="72"/>
      <c r="WOV150" s="72"/>
      <c r="WOW150" s="72"/>
      <c r="WOX150" s="72"/>
      <c r="WOY150" s="72"/>
      <c r="WOZ150" s="72"/>
      <c r="WPA150" s="72"/>
      <c r="WPB150" s="72"/>
      <c r="WPC150" s="72"/>
      <c r="WPD150" s="72"/>
      <c r="WPE150" s="72"/>
      <c r="WPF150" s="72"/>
      <c r="WPG150" s="72"/>
      <c r="WPH150" s="72"/>
      <c r="WPI150" s="72"/>
      <c r="WPJ150" s="72"/>
      <c r="WPK150" s="72"/>
      <c r="WPL150" s="72"/>
      <c r="WPM150" s="72"/>
      <c r="WPN150" s="72"/>
      <c r="WPO150" s="72"/>
      <c r="WPP150" s="72"/>
      <c r="WPQ150" s="72"/>
      <c r="WPR150" s="72"/>
      <c r="WPS150" s="72"/>
      <c r="WPT150" s="72"/>
      <c r="WPU150" s="72"/>
      <c r="WPV150" s="72"/>
      <c r="WPW150" s="72"/>
      <c r="WPX150" s="72"/>
      <c r="WPY150" s="72"/>
      <c r="WPZ150" s="72"/>
      <c r="WQA150" s="72"/>
      <c r="WQB150" s="72"/>
      <c r="WQC150" s="72"/>
      <c r="WQD150" s="72"/>
      <c r="WQE150" s="72"/>
      <c r="WQF150" s="72"/>
      <c r="WQG150" s="72"/>
      <c r="WQH150" s="72"/>
      <c r="WQI150" s="72"/>
      <c r="WQJ150" s="72"/>
      <c r="WQK150" s="72"/>
      <c r="WQL150" s="72"/>
      <c r="WQM150" s="72"/>
      <c r="WQN150" s="72"/>
      <c r="WQO150" s="72"/>
      <c r="WQP150" s="72"/>
      <c r="WQQ150" s="72"/>
      <c r="WQR150" s="72"/>
      <c r="WQS150" s="72"/>
      <c r="WQT150" s="72"/>
      <c r="WQU150" s="72"/>
      <c r="WQV150" s="72"/>
      <c r="WQW150" s="72"/>
      <c r="WQX150" s="72"/>
      <c r="WQY150" s="72"/>
      <c r="WQZ150" s="72"/>
      <c r="WRA150" s="72"/>
      <c r="WRB150" s="72"/>
      <c r="WRC150" s="72"/>
      <c r="WRD150" s="72"/>
      <c r="WRE150" s="72"/>
      <c r="WRF150" s="72"/>
      <c r="WRG150" s="72"/>
      <c r="WRH150" s="72"/>
      <c r="WRI150" s="72"/>
      <c r="WRJ150" s="72"/>
      <c r="WRK150" s="72"/>
      <c r="WRL150" s="72"/>
      <c r="WRM150" s="72"/>
      <c r="WRN150" s="72"/>
      <c r="WRO150" s="72"/>
      <c r="WRP150" s="72"/>
      <c r="WRQ150" s="72"/>
      <c r="WRR150" s="72"/>
      <c r="WRS150" s="72"/>
      <c r="WRT150" s="72"/>
      <c r="WRU150" s="72"/>
      <c r="WRV150" s="72"/>
      <c r="WRW150" s="72"/>
      <c r="WRX150" s="72"/>
      <c r="WRY150" s="72"/>
      <c r="WRZ150" s="72"/>
      <c r="WSA150" s="72"/>
      <c r="WSB150" s="72"/>
      <c r="WSC150" s="72"/>
      <c r="WSD150" s="72"/>
      <c r="WSE150" s="72"/>
      <c r="WSF150" s="72"/>
      <c r="WSG150" s="72"/>
      <c r="WSH150" s="72"/>
      <c r="WSI150" s="72"/>
      <c r="WSJ150" s="72"/>
      <c r="WSK150" s="72"/>
      <c r="WSL150" s="72"/>
      <c r="WSM150" s="72"/>
      <c r="WSN150" s="72"/>
      <c r="WSO150" s="72"/>
      <c r="WSP150" s="72"/>
      <c r="WSQ150" s="72"/>
      <c r="WSR150" s="72"/>
      <c r="WSS150" s="72"/>
      <c r="WST150" s="72"/>
      <c r="WSU150" s="72"/>
      <c r="WSV150" s="72"/>
      <c r="WSW150" s="72"/>
      <c r="WSX150" s="72"/>
      <c r="WSY150" s="72"/>
      <c r="WSZ150" s="72"/>
      <c r="WTA150" s="72"/>
      <c r="WTB150" s="72"/>
      <c r="WTC150" s="72"/>
      <c r="WTD150" s="72"/>
      <c r="WTE150" s="72"/>
      <c r="WTF150" s="72"/>
      <c r="WTG150" s="72"/>
      <c r="WTH150" s="72"/>
      <c r="WTI150" s="72"/>
      <c r="WTJ150" s="72"/>
      <c r="WTK150" s="72"/>
      <c r="WTL150" s="72"/>
      <c r="WTM150" s="72"/>
      <c r="WTN150" s="72"/>
      <c r="WTO150" s="72"/>
      <c r="WTP150" s="72"/>
      <c r="WTQ150" s="72"/>
      <c r="WTR150" s="72"/>
      <c r="WTS150" s="72"/>
      <c r="WTT150" s="72"/>
      <c r="WTU150" s="72"/>
      <c r="WTV150" s="72"/>
      <c r="WTW150" s="72"/>
      <c r="WTX150" s="72"/>
      <c r="WTY150" s="72"/>
      <c r="WTZ150" s="72"/>
      <c r="WUA150" s="72"/>
      <c r="WUB150" s="72"/>
      <c r="WUC150" s="72"/>
      <c r="WUD150" s="72"/>
      <c r="WUE150" s="72"/>
      <c r="WUF150" s="72"/>
      <c r="WUG150" s="72"/>
      <c r="WUH150" s="72"/>
      <c r="WUI150" s="72"/>
      <c r="WUJ150" s="72"/>
      <c r="WUK150" s="72"/>
      <c r="WUL150" s="72"/>
      <c r="WUM150" s="72"/>
      <c r="WUN150" s="72"/>
      <c r="WUO150" s="72"/>
      <c r="WUP150" s="72"/>
      <c r="WUQ150" s="72"/>
      <c r="WUR150" s="72"/>
      <c r="WUS150" s="72"/>
      <c r="WUT150" s="72"/>
      <c r="WUU150" s="72"/>
      <c r="WUV150" s="72"/>
      <c r="WUW150" s="72"/>
      <c r="WUX150" s="72"/>
      <c r="WUY150" s="72"/>
      <c r="WUZ150" s="72"/>
      <c r="WVA150" s="72"/>
      <c r="WVB150" s="72"/>
      <c r="WVC150" s="72"/>
      <c r="WVD150" s="72"/>
      <c r="WVE150" s="72"/>
      <c r="WVF150" s="72"/>
      <c r="WVG150" s="72"/>
      <c r="WVH150" s="72"/>
      <c r="WVI150" s="72"/>
      <c r="WVJ150" s="72"/>
      <c r="WVK150" s="72"/>
      <c r="WVL150" s="72"/>
      <c r="WVM150" s="72"/>
      <c r="WVN150" s="72"/>
      <c r="WVO150" s="72"/>
      <c r="WVP150" s="72"/>
      <c r="WVQ150" s="72"/>
      <c r="WVR150" s="72"/>
      <c r="WVS150" s="72"/>
    </row>
    <row r="151" spans="1:16139" s="63" customFormat="1" ht="150.75" customHeight="1" x14ac:dyDescent="0.25">
      <c r="A151" s="73">
        <v>131</v>
      </c>
      <c r="B151" s="57" t="s">
        <v>199</v>
      </c>
      <c r="C151" s="58" t="s">
        <v>53</v>
      </c>
      <c r="D151" s="59" t="s">
        <v>39</v>
      </c>
      <c r="E151" s="59" t="s">
        <v>38</v>
      </c>
      <c r="F151" s="59">
        <v>7000</v>
      </c>
      <c r="G151" s="59">
        <v>2400</v>
      </c>
      <c r="H151" s="60">
        <f t="shared" si="45"/>
        <v>16.8</v>
      </c>
      <c r="I151" s="45">
        <v>1</v>
      </c>
      <c r="J151" s="53">
        <v>2794000</v>
      </c>
      <c r="K151" s="47">
        <v>4007000</v>
      </c>
      <c r="L151" s="61">
        <f t="shared" ref="L151" si="46">IF(H151&lt;&gt;0,J151*H151*I151+K151*I151,IF(J151&lt;&gt;0,G151*I151*J151,I151*K151))</f>
        <v>50946200</v>
      </c>
      <c r="M151" s="62"/>
      <c r="N151" s="62"/>
      <c r="O151" s="62"/>
      <c r="P151" s="62"/>
      <c r="Q151" s="62"/>
      <c r="R151" s="62"/>
      <c r="S151" s="62"/>
      <c r="T151" s="62"/>
      <c r="U151" s="62"/>
      <c r="V151" s="62"/>
      <c r="W151" s="62"/>
      <c r="X151" s="62"/>
      <c r="Y151" s="62"/>
      <c r="Z151" s="62"/>
      <c r="AA151" s="62"/>
      <c r="AB151" s="62"/>
      <c r="AC151" s="62"/>
      <c r="AD151" s="62"/>
      <c r="AE151" s="62"/>
      <c r="AF151" s="62"/>
      <c r="AG151" s="62"/>
      <c r="AH151" s="62"/>
    </row>
    <row r="152" spans="1:16139" ht="146.25" customHeight="1" x14ac:dyDescent="0.25">
      <c r="A152" s="135">
        <v>132</v>
      </c>
      <c r="B152" s="152" t="s">
        <v>203</v>
      </c>
      <c r="C152" s="51" t="s">
        <v>41</v>
      </c>
      <c r="D152" s="45" t="s">
        <v>45</v>
      </c>
      <c r="E152" s="45" t="s">
        <v>38</v>
      </c>
      <c r="F152" s="45">
        <v>1500</v>
      </c>
      <c r="G152" s="45">
        <v>2300</v>
      </c>
      <c r="H152" s="46">
        <f>F152*G152/10^6</f>
        <v>3.45</v>
      </c>
      <c r="I152" s="45">
        <v>1</v>
      </c>
      <c r="J152" s="53">
        <v>3423000</v>
      </c>
      <c r="K152" s="47">
        <v>1850000</v>
      </c>
      <c r="L152" s="48">
        <f>IF(H152&lt;&gt;0,J152*H152*I152+K152*I152,IF(J152&lt;&gt;0,G152*I152*J152,I152*K152))</f>
        <v>13659350</v>
      </c>
      <c r="M152" s="28"/>
      <c r="N152" s="28"/>
      <c r="O152" s="28"/>
      <c r="P152" s="28"/>
      <c r="Q152" s="28"/>
      <c r="R152" s="28"/>
      <c r="S152" s="28"/>
      <c r="T152" s="28"/>
      <c r="U152" s="28"/>
      <c r="V152" s="28"/>
      <c r="W152" s="28"/>
      <c r="X152" s="28"/>
      <c r="Y152" s="28"/>
      <c r="Z152" s="28"/>
      <c r="AA152" s="28"/>
      <c r="AB152" s="28"/>
      <c r="AC152" s="28"/>
      <c r="AD152" s="28"/>
      <c r="AE152" s="28"/>
      <c r="AF152" s="28"/>
      <c r="AG152" s="28"/>
      <c r="AH152" s="28"/>
    </row>
    <row r="153" spans="1:16139" ht="146.25" customHeight="1" x14ac:dyDescent="0.25">
      <c r="A153" s="149"/>
      <c r="B153" s="150"/>
      <c r="C153" s="58" t="s">
        <v>42</v>
      </c>
      <c r="D153" s="45" t="s">
        <v>207</v>
      </c>
      <c r="E153" s="45"/>
      <c r="F153" s="45">
        <v>2356</v>
      </c>
      <c r="G153" s="45">
        <v>2300</v>
      </c>
      <c r="H153" s="46">
        <f>F153*G153/10^6</f>
        <v>5.4188000000000001</v>
      </c>
      <c r="I153" s="45">
        <v>1</v>
      </c>
      <c r="J153" s="53">
        <v>3955000</v>
      </c>
      <c r="K153" s="47"/>
      <c r="L153" s="48">
        <f>IF(H153&lt;&gt;0,J153*H153*I153+K153*I153,IF(J153&lt;&gt;0,G153*I153*J153,I153*K153))</f>
        <v>21431354</v>
      </c>
      <c r="M153" s="28"/>
      <c r="N153" s="28"/>
      <c r="O153" s="28"/>
      <c r="P153" s="28"/>
      <c r="Q153" s="28"/>
      <c r="R153" s="28"/>
      <c r="S153" s="28"/>
      <c r="T153" s="28"/>
      <c r="U153" s="28"/>
      <c r="V153" s="28"/>
      <c r="W153" s="28"/>
      <c r="X153" s="28"/>
      <c r="Y153" s="28"/>
      <c r="Z153" s="28"/>
      <c r="AA153" s="28"/>
      <c r="AB153" s="28"/>
      <c r="AC153" s="28"/>
      <c r="AD153" s="28"/>
      <c r="AE153" s="28"/>
      <c r="AF153" s="28"/>
      <c r="AG153" s="28"/>
      <c r="AH153" s="28"/>
    </row>
    <row r="154" spans="1:16139" ht="30.75" customHeight="1" x14ac:dyDescent="0.25">
      <c r="A154" s="136"/>
      <c r="B154" s="138"/>
      <c r="C154" s="69" t="s">
        <v>201</v>
      </c>
      <c r="D154" s="59"/>
      <c r="E154" s="59"/>
      <c r="F154" s="59">
        <f>2356+1000</f>
        <v>3356</v>
      </c>
      <c r="G154" s="59"/>
      <c r="H154" s="60">
        <f t="shared" ref="H154" si="47">F154*G154/10^6</f>
        <v>0</v>
      </c>
      <c r="I154" s="59">
        <v>1</v>
      </c>
      <c r="J154" s="53">
        <v>550000</v>
      </c>
      <c r="K154" s="47"/>
      <c r="L154" s="70">
        <f>F154*I154*J154/1000</f>
        <v>1845800</v>
      </c>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2"/>
      <c r="MQ154" s="72"/>
      <c r="MR154" s="72"/>
      <c r="MS154" s="72"/>
      <c r="MT154" s="72"/>
      <c r="MU154" s="72"/>
      <c r="MV154" s="72"/>
      <c r="MW154" s="72"/>
      <c r="MX154" s="72"/>
      <c r="MY154" s="72"/>
      <c r="MZ154" s="72"/>
      <c r="NA154" s="72"/>
      <c r="NB154" s="72"/>
      <c r="NC154" s="72"/>
      <c r="ND154" s="72"/>
      <c r="NE154" s="72"/>
      <c r="NF154" s="72"/>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2"/>
      <c r="OS154" s="72"/>
      <c r="OT154" s="72"/>
      <c r="OU154" s="72"/>
      <c r="OV154" s="72"/>
      <c r="OW154" s="72"/>
      <c r="OX154" s="72"/>
      <c r="OY154" s="72"/>
      <c r="OZ154" s="72"/>
      <c r="PA154" s="72"/>
      <c r="PB154" s="72"/>
      <c r="PC154" s="72"/>
      <c r="PD154" s="72"/>
      <c r="PE154" s="72"/>
      <c r="PF154" s="72"/>
      <c r="PG154" s="72"/>
      <c r="PH154" s="72"/>
      <c r="PI154" s="72"/>
      <c r="PJ154" s="72"/>
      <c r="PK154" s="72"/>
      <c r="PL154" s="72"/>
      <c r="PM154" s="72"/>
      <c r="PN154" s="72"/>
      <c r="PO154" s="72"/>
      <c r="PP154" s="72"/>
      <c r="PQ154" s="72"/>
      <c r="PR154" s="72"/>
      <c r="PS154" s="72"/>
      <c r="PT154" s="72"/>
      <c r="PU154" s="72"/>
      <c r="PV154" s="72"/>
      <c r="PW154" s="72"/>
      <c r="PX154" s="72"/>
      <c r="PY154" s="72"/>
      <c r="PZ154" s="72"/>
      <c r="QA154" s="72"/>
      <c r="QB154" s="72"/>
      <c r="QC154" s="72"/>
      <c r="QD154" s="72"/>
      <c r="QE154" s="72"/>
      <c r="QF154" s="72"/>
      <c r="QG154" s="72"/>
      <c r="QH154" s="72"/>
      <c r="QI154" s="72"/>
      <c r="QJ154" s="72"/>
      <c r="QK154" s="72"/>
      <c r="QL154" s="72"/>
      <c r="QM154" s="72"/>
      <c r="QN154" s="72"/>
      <c r="QO154" s="72"/>
      <c r="QP154" s="72"/>
      <c r="QQ154" s="72"/>
      <c r="QR154" s="72"/>
      <c r="QS154" s="72"/>
      <c r="QT154" s="72"/>
      <c r="QU154" s="72"/>
      <c r="QV154" s="72"/>
      <c r="QW154" s="72"/>
      <c r="QX154" s="72"/>
      <c r="QY154" s="72"/>
      <c r="QZ154" s="72"/>
      <c r="RA154" s="72"/>
      <c r="RB154" s="72"/>
      <c r="RC154" s="72"/>
      <c r="RD154" s="72"/>
      <c r="RE154" s="72"/>
      <c r="RF154" s="72"/>
      <c r="RG154" s="72"/>
      <c r="RH154" s="72"/>
      <c r="RI154" s="72"/>
      <c r="RJ154" s="72"/>
      <c r="RK154" s="72"/>
      <c r="RL154" s="72"/>
      <c r="RM154" s="72"/>
      <c r="RN154" s="72"/>
      <c r="RO154" s="72"/>
      <c r="RP154" s="72"/>
      <c r="RQ154" s="72"/>
      <c r="RR154" s="72"/>
      <c r="RS154" s="72"/>
      <c r="RT154" s="72"/>
      <c r="RU154" s="72"/>
      <c r="RV154" s="72"/>
      <c r="RW154" s="72"/>
      <c r="RX154" s="72"/>
      <c r="RY154" s="72"/>
      <c r="RZ154" s="72"/>
      <c r="SA154" s="72"/>
      <c r="SB154" s="72"/>
      <c r="SC154" s="72"/>
      <c r="SD154" s="72"/>
      <c r="SE154" s="72"/>
      <c r="SF154" s="72"/>
      <c r="SG154" s="72"/>
      <c r="SH154" s="72"/>
      <c r="SI154" s="72"/>
      <c r="SJ154" s="72"/>
      <c r="SK154" s="72"/>
      <c r="SL154" s="72"/>
      <c r="SM154" s="72"/>
      <c r="SN154" s="72"/>
      <c r="SO154" s="72"/>
      <c r="SP154" s="72"/>
      <c r="SQ154" s="72"/>
      <c r="SR154" s="72"/>
      <c r="SS154" s="72"/>
      <c r="ST154" s="72"/>
      <c r="SU154" s="72"/>
      <c r="SV154" s="72"/>
      <c r="SW154" s="72"/>
      <c r="SX154" s="72"/>
      <c r="SY154" s="72"/>
      <c r="SZ154" s="72"/>
      <c r="TA154" s="72"/>
      <c r="TB154" s="72"/>
      <c r="TC154" s="72"/>
      <c r="TD154" s="72"/>
      <c r="TE154" s="72"/>
      <c r="TF154" s="72"/>
      <c r="TG154" s="72"/>
      <c r="TH154" s="72"/>
      <c r="TI154" s="72"/>
      <c r="TJ154" s="72"/>
      <c r="TK154" s="72"/>
      <c r="TL154" s="72"/>
      <c r="TM154" s="72"/>
      <c r="TN154" s="72"/>
      <c r="TO154" s="72"/>
      <c r="TP154" s="72"/>
      <c r="TQ154" s="72"/>
      <c r="TR154" s="72"/>
      <c r="TS154" s="72"/>
      <c r="TT154" s="72"/>
      <c r="TU154" s="72"/>
      <c r="TV154" s="72"/>
      <c r="TW154" s="72"/>
      <c r="TX154" s="72"/>
      <c r="TY154" s="72"/>
      <c r="TZ154" s="72"/>
      <c r="UA154" s="72"/>
      <c r="UB154" s="72"/>
      <c r="UC154" s="72"/>
      <c r="UD154" s="72"/>
      <c r="UE154" s="72"/>
      <c r="UF154" s="72"/>
      <c r="UG154" s="72"/>
      <c r="UH154" s="72"/>
      <c r="UI154" s="72"/>
      <c r="UJ154" s="72"/>
      <c r="UK154" s="72"/>
      <c r="UL154" s="72"/>
      <c r="UM154" s="72"/>
      <c r="UN154" s="72"/>
      <c r="UO154" s="72"/>
      <c r="UP154" s="72"/>
      <c r="UQ154" s="72"/>
      <c r="UR154" s="72"/>
      <c r="US154" s="72"/>
      <c r="UT154" s="72"/>
      <c r="UU154" s="72"/>
      <c r="UV154" s="72"/>
      <c r="UW154" s="72"/>
      <c r="UX154" s="72"/>
      <c r="UY154" s="72"/>
      <c r="UZ154" s="72"/>
      <c r="VA154" s="72"/>
      <c r="VB154" s="72"/>
      <c r="VC154" s="72"/>
      <c r="VD154" s="72"/>
      <c r="VE154" s="72"/>
      <c r="VF154" s="72"/>
      <c r="VG154" s="72"/>
      <c r="VH154" s="72"/>
      <c r="VI154" s="72"/>
      <c r="VJ154" s="72"/>
      <c r="VK154" s="72"/>
      <c r="VL154" s="72"/>
      <c r="VM154" s="72"/>
      <c r="VN154" s="72"/>
      <c r="VO154" s="72"/>
      <c r="VP154" s="72"/>
      <c r="VQ154" s="72"/>
      <c r="VR154" s="72"/>
      <c r="VS154" s="72"/>
      <c r="VT154" s="72"/>
      <c r="VU154" s="72"/>
      <c r="VV154" s="72"/>
      <c r="VW154" s="72"/>
      <c r="VX154" s="72"/>
      <c r="VY154" s="72"/>
      <c r="VZ154" s="72"/>
      <c r="WA154" s="72"/>
      <c r="WB154" s="72"/>
      <c r="WC154" s="72"/>
      <c r="WD154" s="72"/>
      <c r="WE154" s="72"/>
      <c r="WF154" s="72"/>
      <c r="WG154" s="72"/>
      <c r="WH154" s="72"/>
      <c r="WI154" s="72"/>
      <c r="WJ154" s="72"/>
      <c r="WK154" s="72"/>
      <c r="WL154" s="72"/>
      <c r="WM154" s="72"/>
      <c r="WN154" s="72"/>
      <c r="WO154" s="72"/>
      <c r="WP154" s="72"/>
      <c r="WQ154" s="72"/>
      <c r="WR154" s="72"/>
      <c r="WS154" s="72"/>
      <c r="WT154" s="72"/>
      <c r="WU154" s="72"/>
      <c r="WV154" s="72"/>
      <c r="WW154" s="72"/>
      <c r="WX154" s="72"/>
      <c r="WY154" s="72"/>
      <c r="WZ154" s="72"/>
      <c r="XA154" s="72"/>
      <c r="XB154" s="72"/>
      <c r="XC154" s="72"/>
      <c r="XD154" s="72"/>
      <c r="XE154" s="72"/>
      <c r="XF154" s="72"/>
      <c r="XG154" s="72"/>
      <c r="XH154" s="72"/>
      <c r="XI154" s="72"/>
      <c r="XJ154" s="72"/>
      <c r="XK154" s="72"/>
      <c r="XL154" s="72"/>
      <c r="XM154" s="72"/>
      <c r="XN154" s="72"/>
      <c r="XO154" s="72"/>
      <c r="XP154" s="72"/>
      <c r="XQ154" s="72"/>
      <c r="XR154" s="72"/>
      <c r="XS154" s="72"/>
      <c r="XT154" s="72"/>
      <c r="XU154" s="72"/>
      <c r="XV154" s="72"/>
      <c r="XW154" s="72"/>
      <c r="XX154" s="72"/>
      <c r="XY154" s="72"/>
      <c r="XZ154" s="72"/>
      <c r="YA154" s="72"/>
      <c r="YB154" s="72"/>
      <c r="YC154" s="72"/>
      <c r="YD154" s="72"/>
      <c r="YE154" s="72"/>
      <c r="YF154" s="72"/>
      <c r="YG154" s="72"/>
      <c r="YH154" s="72"/>
      <c r="YI154" s="72"/>
      <c r="YJ154" s="72"/>
      <c r="YK154" s="72"/>
      <c r="YL154" s="72"/>
      <c r="YM154" s="72"/>
      <c r="YN154" s="72"/>
      <c r="YO154" s="72"/>
      <c r="YP154" s="72"/>
      <c r="YQ154" s="72"/>
      <c r="YR154" s="72"/>
      <c r="YS154" s="72"/>
      <c r="YT154" s="72"/>
      <c r="YU154" s="72"/>
      <c r="YV154" s="72"/>
      <c r="YW154" s="72"/>
      <c r="YX154" s="72"/>
      <c r="YY154" s="72"/>
      <c r="YZ154" s="72"/>
      <c r="ZA154" s="72"/>
      <c r="ZB154" s="72"/>
      <c r="ZC154" s="72"/>
      <c r="ZD154" s="72"/>
      <c r="ZE154" s="72"/>
      <c r="ZF154" s="72"/>
      <c r="ZG154" s="72"/>
      <c r="ZH154" s="72"/>
      <c r="ZI154" s="72"/>
      <c r="ZJ154" s="72"/>
      <c r="ZK154" s="72"/>
      <c r="ZL154" s="72"/>
      <c r="ZM154" s="72"/>
      <c r="ZN154" s="72"/>
      <c r="ZO154" s="72"/>
      <c r="ZP154" s="72"/>
      <c r="ZQ154" s="72"/>
      <c r="ZR154" s="72"/>
      <c r="ZS154" s="72"/>
      <c r="ZT154" s="72"/>
      <c r="ZU154" s="72"/>
      <c r="ZV154" s="72"/>
      <c r="ZW154" s="72"/>
      <c r="ZX154" s="72"/>
      <c r="ZY154" s="72"/>
      <c r="ZZ154" s="72"/>
      <c r="AAA154" s="72"/>
      <c r="AAB154" s="72"/>
      <c r="AAC154" s="72"/>
      <c r="AAD154" s="72"/>
      <c r="AAE154" s="72"/>
      <c r="AAF154" s="72"/>
      <c r="AAG154" s="72"/>
      <c r="AAH154" s="72"/>
      <c r="AAI154" s="72"/>
      <c r="AAJ154" s="72"/>
      <c r="AAK154" s="72"/>
      <c r="AAL154" s="72"/>
      <c r="AAM154" s="72"/>
      <c r="AAN154" s="72"/>
      <c r="AAO154" s="72"/>
      <c r="AAP154" s="72"/>
      <c r="AAQ154" s="72"/>
      <c r="AAR154" s="72"/>
      <c r="AAS154" s="72"/>
      <c r="AAT154" s="72"/>
      <c r="AAU154" s="72"/>
      <c r="AAV154" s="72"/>
      <c r="AAW154" s="72"/>
      <c r="AAX154" s="72"/>
      <c r="AAY154" s="72"/>
      <c r="AAZ154" s="72"/>
      <c r="ABA154" s="72"/>
      <c r="ABB154" s="72"/>
      <c r="ABC154" s="72"/>
      <c r="ABD154" s="72"/>
      <c r="ABE154" s="72"/>
      <c r="ABF154" s="72"/>
      <c r="ABG154" s="72"/>
      <c r="ABH154" s="72"/>
      <c r="ABI154" s="72"/>
      <c r="ABJ154" s="72"/>
      <c r="ABK154" s="72"/>
      <c r="ABL154" s="72"/>
      <c r="ABM154" s="72"/>
      <c r="ABN154" s="72"/>
      <c r="ABO154" s="72"/>
      <c r="ABP154" s="72"/>
      <c r="ABQ154" s="72"/>
      <c r="ABR154" s="72"/>
      <c r="ABS154" s="72"/>
      <c r="ABT154" s="72"/>
      <c r="ABU154" s="72"/>
      <c r="ABV154" s="72"/>
      <c r="ABW154" s="72"/>
      <c r="ABX154" s="72"/>
      <c r="ABY154" s="72"/>
      <c r="ABZ154" s="72"/>
      <c r="ACA154" s="72"/>
      <c r="ACB154" s="72"/>
      <c r="ACC154" s="72"/>
      <c r="ACD154" s="72"/>
      <c r="ACE154" s="72"/>
      <c r="ACF154" s="72"/>
      <c r="ACG154" s="72"/>
      <c r="ACH154" s="72"/>
      <c r="ACI154" s="72"/>
      <c r="ACJ154" s="72"/>
      <c r="ACK154" s="72"/>
      <c r="ACL154" s="72"/>
      <c r="ACM154" s="72"/>
      <c r="ACN154" s="72"/>
      <c r="ACO154" s="72"/>
      <c r="ACP154" s="72"/>
      <c r="ACQ154" s="72"/>
      <c r="ACR154" s="72"/>
      <c r="ACS154" s="72"/>
      <c r="ACT154" s="72"/>
      <c r="ACU154" s="72"/>
      <c r="ACV154" s="72"/>
      <c r="ACW154" s="72"/>
      <c r="ACX154" s="72"/>
      <c r="ACY154" s="72"/>
      <c r="ACZ154" s="72"/>
      <c r="ADA154" s="72"/>
      <c r="ADB154" s="72"/>
      <c r="ADC154" s="72"/>
      <c r="ADD154" s="72"/>
      <c r="ADE154" s="72"/>
      <c r="ADF154" s="72"/>
      <c r="ADG154" s="72"/>
      <c r="ADH154" s="72"/>
      <c r="ADI154" s="72"/>
      <c r="ADJ154" s="72"/>
      <c r="ADK154" s="72"/>
      <c r="ADL154" s="72"/>
      <c r="ADM154" s="72"/>
      <c r="ADN154" s="72"/>
      <c r="ADO154" s="72"/>
      <c r="ADP154" s="72"/>
      <c r="ADQ154" s="72"/>
      <c r="ADR154" s="72"/>
      <c r="ADS154" s="72"/>
      <c r="ADT154" s="72"/>
      <c r="ADU154" s="72"/>
      <c r="ADV154" s="72"/>
      <c r="ADW154" s="72"/>
      <c r="ADX154" s="72"/>
      <c r="ADY154" s="72"/>
      <c r="ADZ154" s="72"/>
      <c r="AEA154" s="72"/>
      <c r="AEB154" s="72"/>
      <c r="AEC154" s="72"/>
      <c r="AED154" s="72"/>
      <c r="AEE154" s="72"/>
      <c r="AEF154" s="72"/>
      <c r="AEG154" s="72"/>
      <c r="AEH154" s="72"/>
      <c r="AEI154" s="72"/>
      <c r="AEJ154" s="72"/>
      <c r="AEK154" s="72"/>
      <c r="AEL154" s="72"/>
      <c r="AEM154" s="72"/>
      <c r="AEN154" s="72"/>
      <c r="AEO154" s="72"/>
      <c r="AEP154" s="72"/>
      <c r="AEQ154" s="72"/>
      <c r="AER154" s="72"/>
      <c r="AES154" s="72"/>
      <c r="AET154" s="72"/>
      <c r="AEU154" s="72"/>
      <c r="AEV154" s="72"/>
      <c r="AEW154" s="72"/>
      <c r="AEX154" s="72"/>
      <c r="AEY154" s="72"/>
      <c r="AEZ154" s="72"/>
      <c r="AFA154" s="72"/>
      <c r="AFB154" s="72"/>
      <c r="AFC154" s="72"/>
      <c r="AFD154" s="72"/>
      <c r="AFE154" s="72"/>
      <c r="AFF154" s="72"/>
      <c r="AFG154" s="72"/>
      <c r="AFH154" s="72"/>
      <c r="AFI154" s="72"/>
      <c r="AFJ154" s="72"/>
      <c r="AFK154" s="72"/>
      <c r="AFL154" s="72"/>
      <c r="AFM154" s="72"/>
      <c r="AFN154" s="72"/>
      <c r="AFO154" s="72"/>
      <c r="AFP154" s="72"/>
      <c r="AFQ154" s="72"/>
      <c r="AFR154" s="72"/>
      <c r="AFS154" s="72"/>
      <c r="AFT154" s="72"/>
      <c r="AFU154" s="72"/>
      <c r="AFV154" s="72"/>
      <c r="AFW154" s="72"/>
      <c r="AFX154" s="72"/>
      <c r="AFY154" s="72"/>
      <c r="AFZ154" s="72"/>
      <c r="AGA154" s="72"/>
      <c r="AGB154" s="72"/>
      <c r="AGC154" s="72"/>
      <c r="AGD154" s="72"/>
      <c r="AGE154" s="72"/>
      <c r="AGF154" s="72"/>
      <c r="AGG154" s="72"/>
      <c r="AGH154" s="72"/>
      <c r="AGI154" s="72"/>
      <c r="AGJ154" s="72"/>
      <c r="AGK154" s="72"/>
      <c r="AGL154" s="72"/>
      <c r="AGM154" s="72"/>
      <c r="AGN154" s="72"/>
      <c r="AGO154" s="72"/>
      <c r="AGP154" s="72"/>
      <c r="AGQ154" s="72"/>
      <c r="AGR154" s="72"/>
      <c r="AGS154" s="72"/>
      <c r="AGT154" s="72"/>
      <c r="AGU154" s="72"/>
      <c r="AGV154" s="72"/>
      <c r="AGW154" s="72"/>
      <c r="AGX154" s="72"/>
      <c r="AGY154" s="72"/>
      <c r="AGZ154" s="72"/>
      <c r="AHA154" s="72"/>
      <c r="AHB154" s="72"/>
      <c r="AHC154" s="72"/>
      <c r="AHD154" s="72"/>
      <c r="AHE154" s="72"/>
      <c r="AHF154" s="72"/>
      <c r="AHG154" s="72"/>
      <c r="AHH154" s="72"/>
      <c r="AHI154" s="72"/>
      <c r="AHJ154" s="72"/>
      <c r="AHK154" s="72"/>
      <c r="AHL154" s="72"/>
      <c r="AHM154" s="72"/>
      <c r="AHN154" s="72"/>
      <c r="AHO154" s="72"/>
      <c r="AHP154" s="72"/>
      <c r="AHQ154" s="72"/>
      <c r="AHR154" s="72"/>
      <c r="AHS154" s="72"/>
      <c r="AHT154" s="72"/>
      <c r="AHU154" s="72"/>
      <c r="AHV154" s="72"/>
      <c r="AHW154" s="72"/>
      <c r="AHX154" s="72"/>
      <c r="AHY154" s="72"/>
      <c r="AHZ154" s="72"/>
      <c r="AIA154" s="72"/>
      <c r="AIB154" s="72"/>
      <c r="AIC154" s="72"/>
      <c r="AID154" s="72"/>
      <c r="AIE154" s="72"/>
      <c r="AIF154" s="72"/>
      <c r="AIG154" s="72"/>
      <c r="AIH154" s="72"/>
      <c r="AII154" s="72"/>
      <c r="AIJ154" s="72"/>
      <c r="AIK154" s="72"/>
      <c r="AIL154" s="72"/>
      <c r="AIM154" s="72"/>
      <c r="AIN154" s="72"/>
      <c r="AIO154" s="72"/>
      <c r="AIP154" s="72"/>
      <c r="AIQ154" s="72"/>
      <c r="AIR154" s="72"/>
      <c r="AIS154" s="72"/>
      <c r="AIT154" s="72"/>
      <c r="AIU154" s="72"/>
      <c r="AIV154" s="72"/>
      <c r="AIW154" s="72"/>
      <c r="AIX154" s="72"/>
      <c r="AIY154" s="72"/>
      <c r="AIZ154" s="72"/>
      <c r="AJA154" s="72"/>
      <c r="AJB154" s="72"/>
      <c r="AJC154" s="72"/>
      <c r="AJD154" s="72"/>
      <c r="AJE154" s="72"/>
      <c r="AJF154" s="72"/>
      <c r="AJG154" s="72"/>
      <c r="AJH154" s="72"/>
      <c r="AJI154" s="72"/>
      <c r="AJJ154" s="72"/>
      <c r="AJK154" s="72"/>
      <c r="AJL154" s="72"/>
      <c r="AJM154" s="72"/>
      <c r="AJN154" s="72"/>
      <c r="AJO154" s="72"/>
      <c r="AJP154" s="72"/>
      <c r="AJQ154" s="72"/>
      <c r="AJR154" s="72"/>
      <c r="AJS154" s="72"/>
      <c r="AJT154" s="72"/>
      <c r="AJU154" s="72"/>
      <c r="AJV154" s="72"/>
      <c r="AJW154" s="72"/>
      <c r="AJX154" s="72"/>
      <c r="AJY154" s="72"/>
      <c r="AJZ154" s="72"/>
      <c r="AKA154" s="72"/>
      <c r="AKB154" s="72"/>
      <c r="AKC154" s="72"/>
      <c r="AKD154" s="72"/>
      <c r="AKE154" s="72"/>
      <c r="AKF154" s="72"/>
      <c r="AKG154" s="72"/>
      <c r="AKH154" s="72"/>
      <c r="AKI154" s="72"/>
      <c r="AKJ154" s="72"/>
      <c r="AKK154" s="72"/>
      <c r="AKL154" s="72"/>
      <c r="AKM154" s="72"/>
      <c r="AKN154" s="72"/>
      <c r="AKO154" s="72"/>
      <c r="AKP154" s="72"/>
      <c r="AKQ154" s="72"/>
      <c r="AKR154" s="72"/>
      <c r="AKS154" s="72"/>
      <c r="AKT154" s="72"/>
      <c r="AKU154" s="72"/>
      <c r="AKV154" s="72"/>
      <c r="AKW154" s="72"/>
      <c r="AKX154" s="72"/>
      <c r="AKY154" s="72"/>
      <c r="AKZ154" s="72"/>
      <c r="ALA154" s="72"/>
      <c r="ALB154" s="72"/>
      <c r="ALC154" s="72"/>
      <c r="ALD154" s="72"/>
      <c r="ALE154" s="72"/>
      <c r="ALF154" s="72"/>
      <c r="ALG154" s="72"/>
      <c r="ALH154" s="72"/>
      <c r="ALI154" s="72"/>
      <c r="ALJ154" s="72"/>
      <c r="ALK154" s="72"/>
      <c r="ALL154" s="72"/>
      <c r="ALM154" s="72"/>
      <c r="ALN154" s="72"/>
      <c r="ALO154" s="72"/>
      <c r="ALP154" s="72"/>
      <c r="ALQ154" s="72"/>
      <c r="ALR154" s="72"/>
      <c r="ALS154" s="72"/>
      <c r="ALT154" s="72"/>
      <c r="ALU154" s="72"/>
      <c r="ALV154" s="72"/>
      <c r="ALW154" s="72"/>
      <c r="ALX154" s="72"/>
      <c r="ALY154" s="72"/>
      <c r="ALZ154" s="72"/>
      <c r="AMA154" s="72"/>
      <c r="AMB154" s="72"/>
      <c r="AMC154" s="72"/>
      <c r="AMD154" s="72"/>
      <c r="AME154" s="72"/>
      <c r="AMF154" s="72"/>
      <c r="AMG154" s="72"/>
      <c r="AMH154" s="72"/>
      <c r="AMI154" s="72"/>
      <c r="AMJ154" s="72"/>
      <c r="AMK154" s="72"/>
      <c r="AML154" s="72"/>
      <c r="AMM154" s="72"/>
      <c r="AMN154" s="72"/>
      <c r="AMO154" s="72"/>
      <c r="AMP154" s="72"/>
      <c r="AMQ154" s="72"/>
      <c r="AMR154" s="72"/>
      <c r="AMS154" s="72"/>
      <c r="AMT154" s="72"/>
      <c r="AMU154" s="72"/>
      <c r="AMV154" s="72"/>
      <c r="AMW154" s="72"/>
      <c r="AMX154" s="72"/>
      <c r="AMY154" s="72"/>
      <c r="AMZ154" s="72"/>
      <c r="ANA154" s="72"/>
      <c r="ANB154" s="72"/>
      <c r="ANC154" s="72"/>
      <c r="AND154" s="72"/>
      <c r="ANE154" s="72"/>
      <c r="ANF154" s="72"/>
      <c r="ANG154" s="72"/>
      <c r="ANH154" s="72"/>
      <c r="ANI154" s="72"/>
      <c r="ANJ154" s="72"/>
      <c r="ANK154" s="72"/>
      <c r="ANL154" s="72"/>
      <c r="ANM154" s="72"/>
      <c r="ANN154" s="72"/>
      <c r="ANO154" s="72"/>
      <c r="ANP154" s="72"/>
      <c r="ANQ154" s="72"/>
      <c r="ANR154" s="72"/>
      <c r="ANS154" s="72"/>
      <c r="ANT154" s="72"/>
      <c r="ANU154" s="72"/>
      <c r="ANV154" s="72"/>
      <c r="ANW154" s="72"/>
      <c r="ANX154" s="72"/>
      <c r="ANY154" s="72"/>
      <c r="ANZ154" s="72"/>
      <c r="AOA154" s="72"/>
      <c r="AOB154" s="72"/>
      <c r="AOC154" s="72"/>
      <c r="AOD154" s="72"/>
      <c r="AOE154" s="72"/>
      <c r="AOF154" s="72"/>
      <c r="AOG154" s="72"/>
      <c r="AOH154" s="72"/>
      <c r="AOI154" s="72"/>
      <c r="AOJ154" s="72"/>
      <c r="AOK154" s="72"/>
      <c r="AOL154" s="72"/>
      <c r="AOM154" s="72"/>
      <c r="AON154" s="72"/>
      <c r="AOO154" s="72"/>
      <c r="AOP154" s="72"/>
      <c r="AOQ154" s="72"/>
      <c r="AOR154" s="72"/>
      <c r="AOS154" s="72"/>
      <c r="AOT154" s="72"/>
      <c r="AOU154" s="72"/>
      <c r="AOV154" s="72"/>
      <c r="AOW154" s="72"/>
      <c r="AOX154" s="72"/>
      <c r="AOY154" s="72"/>
      <c r="AOZ154" s="72"/>
      <c r="APA154" s="72"/>
      <c r="APB154" s="72"/>
      <c r="APC154" s="72"/>
      <c r="APD154" s="72"/>
      <c r="APE154" s="72"/>
      <c r="APF154" s="72"/>
      <c r="APG154" s="72"/>
      <c r="APH154" s="72"/>
      <c r="API154" s="72"/>
      <c r="APJ154" s="72"/>
      <c r="APK154" s="72"/>
      <c r="APL154" s="72"/>
      <c r="APM154" s="72"/>
      <c r="APN154" s="72"/>
      <c r="APO154" s="72"/>
      <c r="APP154" s="72"/>
      <c r="APQ154" s="72"/>
      <c r="APR154" s="72"/>
      <c r="APS154" s="72"/>
      <c r="APT154" s="72"/>
      <c r="APU154" s="72"/>
      <c r="APV154" s="72"/>
      <c r="APW154" s="72"/>
      <c r="APX154" s="72"/>
      <c r="APY154" s="72"/>
      <c r="APZ154" s="72"/>
      <c r="AQA154" s="72"/>
      <c r="AQB154" s="72"/>
      <c r="AQC154" s="72"/>
      <c r="AQD154" s="72"/>
      <c r="AQE154" s="72"/>
      <c r="AQF154" s="72"/>
      <c r="AQG154" s="72"/>
      <c r="AQH154" s="72"/>
      <c r="AQI154" s="72"/>
      <c r="AQJ154" s="72"/>
      <c r="AQK154" s="72"/>
      <c r="AQL154" s="72"/>
      <c r="AQM154" s="72"/>
      <c r="AQN154" s="72"/>
      <c r="AQO154" s="72"/>
      <c r="AQP154" s="72"/>
      <c r="AQQ154" s="72"/>
      <c r="AQR154" s="72"/>
      <c r="AQS154" s="72"/>
      <c r="AQT154" s="72"/>
      <c r="AQU154" s="72"/>
      <c r="AQV154" s="72"/>
      <c r="AQW154" s="72"/>
      <c r="AQX154" s="72"/>
      <c r="AQY154" s="72"/>
      <c r="AQZ154" s="72"/>
      <c r="ARA154" s="72"/>
      <c r="ARB154" s="72"/>
      <c r="ARC154" s="72"/>
      <c r="ARD154" s="72"/>
      <c r="ARE154" s="72"/>
      <c r="ARF154" s="72"/>
      <c r="ARG154" s="72"/>
      <c r="ARH154" s="72"/>
      <c r="ARI154" s="72"/>
      <c r="ARJ154" s="72"/>
      <c r="ARK154" s="72"/>
      <c r="ARL154" s="72"/>
      <c r="ARM154" s="72"/>
      <c r="ARN154" s="72"/>
      <c r="ARO154" s="72"/>
      <c r="ARP154" s="72"/>
      <c r="ARQ154" s="72"/>
      <c r="ARR154" s="72"/>
      <c r="ARS154" s="72"/>
      <c r="ART154" s="72"/>
      <c r="ARU154" s="72"/>
      <c r="ARV154" s="72"/>
      <c r="ARW154" s="72"/>
      <c r="ARX154" s="72"/>
      <c r="ARY154" s="72"/>
      <c r="ARZ154" s="72"/>
      <c r="ASA154" s="72"/>
      <c r="ASB154" s="72"/>
      <c r="ASC154" s="72"/>
      <c r="ASD154" s="72"/>
      <c r="ASE154" s="72"/>
      <c r="ASF154" s="72"/>
      <c r="ASG154" s="72"/>
      <c r="ASH154" s="72"/>
      <c r="ASI154" s="72"/>
      <c r="ASJ154" s="72"/>
      <c r="ASK154" s="72"/>
      <c r="ASL154" s="72"/>
      <c r="ASM154" s="72"/>
      <c r="ASN154" s="72"/>
      <c r="ASO154" s="72"/>
      <c r="ASP154" s="72"/>
      <c r="ASQ154" s="72"/>
      <c r="ASR154" s="72"/>
      <c r="ASS154" s="72"/>
      <c r="AST154" s="72"/>
      <c r="ASU154" s="72"/>
      <c r="ASV154" s="72"/>
      <c r="ASW154" s="72"/>
      <c r="ASX154" s="72"/>
      <c r="ASY154" s="72"/>
      <c r="ASZ154" s="72"/>
      <c r="ATA154" s="72"/>
      <c r="ATB154" s="72"/>
      <c r="ATC154" s="72"/>
      <c r="ATD154" s="72"/>
      <c r="ATE154" s="72"/>
      <c r="ATF154" s="72"/>
      <c r="ATG154" s="72"/>
      <c r="ATH154" s="72"/>
      <c r="ATI154" s="72"/>
      <c r="ATJ154" s="72"/>
      <c r="ATK154" s="72"/>
      <c r="ATL154" s="72"/>
      <c r="ATM154" s="72"/>
      <c r="ATN154" s="72"/>
      <c r="ATO154" s="72"/>
      <c r="ATP154" s="72"/>
      <c r="ATQ154" s="72"/>
      <c r="ATR154" s="72"/>
      <c r="ATS154" s="72"/>
      <c r="ATT154" s="72"/>
      <c r="ATU154" s="72"/>
      <c r="ATV154" s="72"/>
      <c r="ATW154" s="72"/>
      <c r="ATX154" s="72"/>
      <c r="ATY154" s="72"/>
      <c r="ATZ154" s="72"/>
      <c r="AUA154" s="72"/>
      <c r="AUB154" s="72"/>
      <c r="AUC154" s="72"/>
      <c r="AUD154" s="72"/>
      <c r="AUE154" s="72"/>
      <c r="AUF154" s="72"/>
      <c r="AUG154" s="72"/>
      <c r="AUH154" s="72"/>
      <c r="AUI154" s="72"/>
      <c r="AUJ154" s="72"/>
      <c r="AUK154" s="72"/>
      <c r="AUL154" s="72"/>
      <c r="AUM154" s="72"/>
      <c r="AUN154" s="72"/>
      <c r="AUO154" s="72"/>
      <c r="AUP154" s="72"/>
      <c r="AUQ154" s="72"/>
      <c r="AUR154" s="72"/>
      <c r="AUS154" s="72"/>
      <c r="AUT154" s="72"/>
      <c r="AUU154" s="72"/>
      <c r="AUV154" s="72"/>
      <c r="AUW154" s="72"/>
      <c r="AUX154" s="72"/>
      <c r="AUY154" s="72"/>
      <c r="AUZ154" s="72"/>
      <c r="AVA154" s="72"/>
      <c r="AVB154" s="72"/>
      <c r="AVC154" s="72"/>
      <c r="AVD154" s="72"/>
      <c r="AVE154" s="72"/>
      <c r="AVF154" s="72"/>
      <c r="AVG154" s="72"/>
      <c r="AVH154" s="72"/>
      <c r="AVI154" s="72"/>
      <c r="AVJ154" s="72"/>
      <c r="AVK154" s="72"/>
      <c r="AVL154" s="72"/>
      <c r="AVM154" s="72"/>
      <c r="AVN154" s="72"/>
      <c r="AVO154" s="72"/>
      <c r="AVP154" s="72"/>
      <c r="AVQ154" s="72"/>
      <c r="AVR154" s="72"/>
      <c r="AVS154" s="72"/>
      <c r="AVT154" s="72"/>
      <c r="AVU154" s="72"/>
      <c r="AVV154" s="72"/>
      <c r="AVW154" s="72"/>
      <c r="AVX154" s="72"/>
      <c r="AVY154" s="72"/>
      <c r="AVZ154" s="72"/>
      <c r="AWA154" s="72"/>
      <c r="AWB154" s="72"/>
      <c r="AWC154" s="72"/>
      <c r="AWD154" s="72"/>
      <c r="AWE154" s="72"/>
      <c r="AWF154" s="72"/>
      <c r="AWG154" s="72"/>
      <c r="AWH154" s="72"/>
      <c r="AWI154" s="72"/>
      <c r="AWJ154" s="72"/>
      <c r="AWK154" s="72"/>
      <c r="AWL154" s="72"/>
      <c r="AWM154" s="72"/>
      <c r="AWN154" s="72"/>
      <c r="AWO154" s="72"/>
      <c r="AWP154" s="72"/>
      <c r="AWQ154" s="72"/>
      <c r="AWR154" s="72"/>
      <c r="AWS154" s="72"/>
      <c r="AWT154" s="72"/>
      <c r="AWU154" s="72"/>
      <c r="AWV154" s="72"/>
      <c r="AWW154" s="72"/>
      <c r="AWX154" s="72"/>
      <c r="AWY154" s="72"/>
      <c r="AWZ154" s="72"/>
      <c r="AXA154" s="72"/>
      <c r="AXB154" s="72"/>
      <c r="AXC154" s="72"/>
      <c r="AXD154" s="72"/>
      <c r="AXE154" s="72"/>
      <c r="AXF154" s="72"/>
      <c r="AXG154" s="72"/>
      <c r="AXH154" s="72"/>
      <c r="AXI154" s="72"/>
      <c r="AXJ154" s="72"/>
      <c r="AXK154" s="72"/>
      <c r="AXL154" s="72"/>
      <c r="AXM154" s="72"/>
      <c r="AXN154" s="72"/>
      <c r="AXO154" s="72"/>
      <c r="AXP154" s="72"/>
      <c r="AXQ154" s="72"/>
      <c r="AXR154" s="72"/>
      <c r="AXS154" s="72"/>
      <c r="AXT154" s="72"/>
      <c r="AXU154" s="72"/>
      <c r="AXV154" s="72"/>
      <c r="AXW154" s="72"/>
      <c r="AXX154" s="72"/>
      <c r="AXY154" s="72"/>
      <c r="AXZ154" s="72"/>
      <c r="AYA154" s="72"/>
      <c r="AYB154" s="72"/>
      <c r="AYC154" s="72"/>
      <c r="AYD154" s="72"/>
      <c r="AYE154" s="72"/>
      <c r="AYF154" s="72"/>
      <c r="AYG154" s="72"/>
      <c r="AYH154" s="72"/>
      <c r="AYI154" s="72"/>
      <c r="AYJ154" s="72"/>
      <c r="AYK154" s="72"/>
      <c r="AYL154" s="72"/>
      <c r="AYM154" s="72"/>
      <c r="AYN154" s="72"/>
      <c r="AYO154" s="72"/>
      <c r="AYP154" s="72"/>
      <c r="AYQ154" s="72"/>
      <c r="AYR154" s="72"/>
      <c r="AYS154" s="72"/>
      <c r="AYT154" s="72"/>
      <c r="AYU154" s="72"/>
      <c r="AYV154" s="72"/>
      <c r="AYW154" s="72"/>
      <c r="AYX154" s="72"/>
      <c r="AYY154" s="72"/>
      <c r="AYZ154" s="72"/>
      <c r="AZA154" s="72"/>
      <c r="AZB154" s="72"/>
      <c r="AZC154" s="72"/>
      <c r="AZD154" s="72"/>
      <c r="AZE154" s="72"/>
      <c r="AZF154" s="72"/>
      <c r="AZG154" s="72"/>
      <c r="AZH154" s="72"/>
      <c r="AZI154" s="72"/>
      <c r="AZJ154" s="72"/>
      <c r="AZK154" s="72"/>
      <c r="AZL154" s="72"/>
      <c r="AZM154" s="72"/>
      <c r="AZN154" s="72"/>
      <c r="AZO154" s="72"/>
      <c r="AZP154" s="72"/>
      <c r="AZQ154" s="72"/>
      <c r="AZR154" s="72"/>
      <c r="AZS154" s="72"/>
      <c r="AZT154" s="72"/>
      <c r="AZU154" s="72"/>
      <c r="AZV154" s="72"/>
      <c r="AZW154" s="72"/>
      <c r="AZX154" s="72"/>
      <c r="AZY154" s="72"/>
      <c r="AZZ154" s="72"/>
      <c r="BAA154" s="72"/>
      <c r="BAB154" s="72"/>
      <c r="BAC154" s="72"/>
      <c r="BAD154" s="72"/>
      <c r="BAE154" s="72"/>
      <c r="BAF154" s="72"/>
      <c r="BAG154" s="72"/>
      <c r="BAH154" s="72"/>
      <c r="BAI154" s="72"/>
      <c r="BAJ154" s="72"/>
      <c r="BAK154" s="72"/>
      <c r="BAL154" s="72"/>
      <c r="BAM154" s="72"/>
      <c r="BAN154" s="72"/>
      <c r="BAO154" s="72"/>
      <c r="BAP154" s="72"/>
      <c r="BAQ154" s="72"/>
      <c r="BAR154" s="72"/>
      <c r="BAS154" s="72"/>
      <c r="BAT154" s="72"/>
      <c r="BAU154" s="72"/>
      <c r="BAV154" s="72"/>
      <c r="BAW154" s="72"/>
      <c r="BAX154" s="72"/>
      <c r="BAY154" s="72"/>
      <c r="BAZ154" s="72"/>
      <c r="BBA154" s="72"/>
      <c r="BBB154" s="72"/>
      <c r="BBC154" s="72"/>
      <c r="BBD154" s="72"/>
      <c r="BBE154" s="72"/>
      <c r="BBF154" s="72"/>
      <c r="BBG154" s="72"/>
      <c r="BBH154" s="72"/>
      <c r="BBI154" s="72"/>
      <c r="BBJ154" s="72"/>
      <c r="BBK154" s="72"/>
      <c r="BBL154" s="72"/>
      <c r="BBM154" s="72"/>
      <c r="BBN154" s="72"/>
      <c r="BBO154" s="72"/>
      <c r="BBP154" s="72"/>
      <c r="BBQ154" s="72"/>
      <c r="BBR154" s="72"/>
      <c r="BBS154" s="72"/>
      <c r="BBT154" s="72"/>
      <c r="BBU154" s="72"/>
      <c r="BBV154" s="72"/>
      <c r="BBW154" s="72"/>
      <c r="BBX154" s="72"/>
      <c r="BBY154" s="72"/>
      <c r="BBZ154" s="72"/>
      <c r="BCA154" s="72"/>
      <c r="BCB154" s="72"/>
      <c r="BCC154" s="72"/>
      <c r="BCD154" s="72"/>
      <c r="BCE154" s="72"/>
      <c r="BCF154" s="72"/>
      <c r="BCG154" s="72"/>
      <c r="BCH154" s="72"/>
      <c r="BCI154" s="72"/>
      <c r="BCJ154" s="72"/>
      <c r="BCK154" s="72"/>
      <c r="BCL154" s="72"/>
      <c r="BCM154" s="72"/>
      <c r="BCN154" s="72"/>
      <c r="BCO154" s="72"/>
      <c r="BCP154" s="72"/>
      <c r="BCQ154" s="72"/>
      <c r="BCR154" s="72"/>
      <c r="BCS154" s="72"/>
      <c r="BCT154" s="72"/>
      <c r="BCU154" s="72"/>
      <c r="BCV154" s="72"/>
      <c r="BCW154" s="72"/>
      <c r="BCX154" s="72"/>
      <c r="BCY154" s="72"/>
      <c r="BCZ154" s="72"/>
      <c r="BDA154" s="72"/>
      <c r="BDB154" s="72"/>
      <c r="BDC154" s="72"/>
      <c r="BDD154" s="72"/>
      <c r="BDE154" s="72"/>
      <c r="BDF154" s="72"/>
      <c r="BDG154" s="72"/>
      <c r="BDH154" s="72"/>
      <c r="BDI154" s="72"/>
      <c r="BDJ154" s="72"/>
      <c r="BDK154" s="72"/>
      <c r="BDL154" s="72"/>
      <c r="BDM154" s="72"/>
      <c r="BDN154" s="72"/>
      <c r="BDO154" s="72"/>
      <c r="BDP154" s="72"/>
      <c r="BDQ154" s="72"/>
      <c r="BDR154" s="72"/>
      <c r="BDS154" s="72"/>
      <c r="BDT154" s="72"/>
      <c r="BDU154" s="72"/>
      <c r="BDV154" s="72"/>
      <c r="BDW154" s="72"/>
      <c r="BDX154" s="72"/>
      <c r="BDY154" s="72"/>
      <c r="BDZ154" s="72"/>
      <c r="BEA154" s="72"/>
      <c r="BEB154" s="72"/>
      <c r="BEC154" s="72"/>
      <c r="BED154" s="72"/>
      <c r="BEE154" s="72"/>
      <c r="BEF154" s="72"/>
      <c r="BEG154" s="72"/>
      <c r="BEH154" s="72"/>
      <c r="BEI154" s="72"/>
      <c r="BEJ154" s="72"/>
      <c r="BEK154" s="72"/>
      <c r="BEL154" s="72"/>
      <c r="BEM154" s="72"/>
      <c r="BEN154" s="72"/>
      <c r="BEO154" s="72"/>
      <c r="BEP154" s="72"/>
      <c r="BEQ154" s="72"/>
      <c r="BER154" s="72"/>
      <c r="BES154" s="72"/>
      <c r="BET154" s="72"/>
      <c r="BEU154" s="72"/>
      <c r="BEV154" s="72"/>
      <c r="BEW154" s="72"/>
      <c r="BEX154" s="72"/>
      <c r="BEY154" s="72"/>
      <c r="BEZ154" s="72"/>
      <c r="BFA154" s="72"/>
      <c r="BFB154" s="72"/>
      <c r="BFC154" s="72"/>
      <c r="BFD154" s="72"/>
      <c r="BFE154" s="72"/>
      <c r="BFF154" s="72"/>
      <c r="BFG154" s="72"/>
      <c r="BFH154" s="72"/>
      <c r="BFI154" s="72"/>
      <c r="BFJ154" s="72"/>
      <c r="BFK154" s="72"/>
      <c r="BFL154" s="72"/>
      <c r="BFM154" s="72"/>
      <c r="BFN154" s="72"/>
      <c r="BFO154" s="72"/>
      <c r="BFP154" s="72"/>
      <c r="BFQ154" s="72"/>
      <c r="BFR154" s="72"/>
      <c r="BFS154" s="72"/>
      <c r="BFT154" s="72"/>
      <c r="BFU154" s="72"/>
      <c r="BFV154" s="72"/>
      <c r="BFW154" s="72"/>
      <c r="BFX154" s="72"/>
      <c r="BFY154" s="72"/>
      <c r="BFZ154" s="72"/>
      <c r="BGA154" s="72"/>
      <c r="BGB154" s="72"/>
      <c r="BGC154" s="72"/>
      <c r="BGD154" s="72"/>
      <c r="BGE154" s="72"/>
      <c r="BGF154" s="72"/>
      <c r="BGG154" s="72"/>
      <c r="BGH154" s="72"/>
      <c r="BGI154" s="72"/>
      <c r="BGJ154" s="72"/>
      <c r="BGK154" s="72"/>
      <c r="BGL154" s="72"/>
      <c r="BGM154" s="72"/>
      <c r="BGN154" s="72"/>
      <c r="BGO154" s="72"/>
      <c r="BGP154" s="72"/>
      <c r="BGQ154" s="72"/>
      <c r="BGR154" s="72"/>
      <c r="BGS154" s="72"/>
      <c r="BGT154" s="72"/>
      <c r="BGU154" s="72"/>
      <c r="BGV154" s="72"/>
      <c r="BGW154" s="72"/>
      <c r="BGX154" s="72"/>
      <c r="BGY154" s="72"/>
      <c r="BGZ154" s="72"/>
      <c r="BHA154" s="72"/>
      <c r="BHB154" s="72"/>
      <c r="BHC154" s="72"/>
      <c r="BHD154" s="72"/>
      <c r="BHE154" s="72"/>
      <c r="BHF154" s="72"/>
      <c r="BHG154" s="72"/>
      <c r="BHH154" s="72"/>
      <c r="BHI154" s="72"/>
      <c r="BHJ154" s="72"/>
      <c r="BHK154" s="72"/>
      <c r="BHL154" s="72"/>
      <c r="BHM154" s="72"/>
      <c r="BHN154" s="72"/>
      <c r="BHO154" s="72"/>
      <c r="BHP154" s="72"/>
      <c r="BHQ154" s="72"/>
      <c r="BHR154" s="72"/>
      <c r="BHS154" s="72"/>
      <c r="BHT154" s="72"/>
      <c r="BHU154" s="72"/>
      <c r="BHV154" s="72"/>
      <c r="BHW154" s="72"/>
      <c r="BHX154" s="72"/>
      <c r="BHY154" s="72"/>
      <c r="BHZ154" s="72"/>
      <c r="BIA154" s="72"/>
      <c r="BIB154" s="72"/>
      <c r="BIC154" s="72"/>
      <c r="BID154" s="72"/>
      <c r="BIE154" s="72"/>
      <c r="BIF154" s="72"/>
      <c r="BIG154" s="72"/>
      <c r="BIH154" s="72"/>
      <c r="BII154" s="72"/>
      <c r="BIJ154" s="72"/>
      <c r="BIK154" s="72"/>
      <c r="BIL154" s="72"/>
      <c r="BIM154" s="72"/>
      <c r="BIN154" s="72"/>
      <c r="BIO154" s="72"/>
      <c r="BIP154" s="72"/>
      <c r="BIQ154" s="72"/>
      <c r="BIR154" s="72"/>
      <c r="BIS154" s="72"/>
      <c r="BIT154" s="72"/>
      <c r="BIU154" s="72"/>
      <c r="BIV154" s="72"/>
      <c r="BIW154" s="72"/>
      <c r="BIX154" s="72"/>
      <c r="BIY154" s="72"/>
      <c r="BIZ154" s="72"/>
      <c r="BJA154" s="72"/>
      <c r="BJB154" s="72"/>
      <c r="BJC154" s="72"/>
      <c r="BJD154" s="72"/>
      <c r="BJE154" s="72"/>
      <c r="BJF154" s="72"/>
      <c r="BJG154" s="72"/>
      <c r="BJH154" s="72"/>
      <c r="BJI154" s="72"/>
      <c r="BJJ154" s="72"/>
      <c r="BJK154" s="72"/>
      <c r="BJL154" s="72"/>
      <c r="BJM154" s="72"/>
      <c r="BJN154" s="72"/>
      <c r="BJO154" s="72"/>
      <c r="BJP154" s="72"/>
      <c r="BJQ154" s="72"/>
      <c r="BJR154" s="72"/>
      <c r="BJS154" s="72"/>
      <c r="BJT154" s="72"/>
      <c r="BJU154" s="72"/>
      <c r="BJV154" s="72"/>
      <c r="BJW154" s="72"/>
      <c r="BJX154" s="72"/>
      <c r="BJY154" s="72"/>
      <c r="BJZ154" s="72"/>
      <c r="BKA154" s="72"/>
      <c r="BKB154" s="72"/>
      <c r="BKC154" s="72"/>
      <c r="BKD154" s="72"/>
      <c r="BKE154" s="72"/>
      <c r="BKF154" s="72"/>
      <c r="BKG154" s="72"/>
      <c r="BKH154" s="72"/>
      <c r="BKI154" s="72"/>
      <c r="BKJ154" s="72"/>
      <c r="BKK154" s="72"/>
      <c r="BKL154" s="72"/>
      <c r="BKM154" s="72"/>
      <c r="BKN154" s="72"/>
      <c r="BKO154" s="72"/>
      <c r="BKP154" s="72"/>
      <c r="BKQ154" s="72"/>
      <c r="BKR154" s="72"/>
      <c r="BKS154" s="72"/>
      <c r="BKT154" s="72"/>
      <c r="BKU154" s="72"/>
      <c r="BKV154" s="72"/>
      <c r="BKW154" s="72"/>
      <c r="BKX154" s="72"/>
      <c r="BKY154" s="72"/>
      <c r="BKZ154" s="72"/>
      <c r="BLA154" s="72"/>
      <c r="BLB154" s="72"/>
      <c r="BLC154" s="72"/>
      <c r="BLD154" s="72"/>
      <c r="BLE154" s="72"/>
      <c r="BLF154" s="72"/>
      <c r="BLG154" s="72"/>
      <c r="BLH154" s="72"/>
      <c r="BLI154" s="72"/>
      <c r="BLJ154" s="72"/>
      <c r="BLK154" s="72"/>
      <c r="BLL154" s="72"/>
      <c r="BLM154" s="72"/>
      <c r="BLN154" s="72"/>
      <c r="BLO154" s="72"/>
      <c r="BLP154" s="72"/>
      <c r="BLQ154" s="72"/>
      <c r="BLR154" s="72"/>
      <c r="BLS154" s="72"/>
      <c r="BLT154" s="72"/>
      <c r="BLU154" s="72"/>
      <c r="BLV154" s="72"/>
      <c r="BLW154" s="72"/>
      <c r="BLX154" s="72"/>
      <c r="BLY154" s="72"/>
      <c r="BLZ154" s="72"/>
      <c r="BMA154" s="72"/>
      <c r="BMB154" s="72"/>
      <c r="BMC154" s="72"/>
      <c r="BMD154" s="72"/>
      <c r="BME154" s="72"/>
      <c r="BMF154" s="72"/>
      <c r="BMG154" s="72"/>
      <c r="BMH154" s="72"/>
      <c r="BMI154" s="72"/>
      <c r="BMJ154" s="72"/>
      <c r="BMK154" s="72"/>
      <c r="BML154" s="72"/>
      <c r="BMM154" s="72"/>
      <c r="BMN154" s="72"/>
      <c r="BMO154" s="72"/>
      <c r="BMP154" s="72"/>
      <c r="BMQ154" s="72"/>
      <c r="BMR154" s="72"/>
      <c r="BMS154" s="72"/>
      <c r="BMT154" s="72"/>
      <c r="BMU154" s="72"/>
      <c r="BMV154" s="72"/>
      <c r="BMW154" s="72"/>
      <c r="BMX154" s="72"/>
      <c r="BMY154" s="72"/>
      <c r="BMZ154" s="72"/>
      <c r="BNA154" s="72"/>
      <c r="BNB154" s="72"/>
      <c r="BNC154" s="72"/>
      <c r="BND154" s="72"/>
      <c r="BNE154" s="72"/>
      <c r="BNF154" s="72"/>
      <c r="BNG154" s="72"/>
      <c r="BNH154" s="72"/>
      <c r="BNI154" s="72"/>
      <c r="BNJ154" s="72"/>
      <c r="BNK154" s="72"/>
      <c r="BNL154" s="72"/>
      <c r="BNM154" s="72"/>
      <c r="BNN154" s="72"/>
      <c r="BNO154" s="72"/>
      <c r="BNP154" s="72"/>
      <c r="BNQ154" s="72"/>
      <c r="BNR154" s="72"/>
      <c r="BNS154" s="72"/>
      <c r="BNT154" s="72"/>
      <c r="BNU154" s="72"/>
      <c r="BNV154" s="72"/>
      <c r="BNW154" s="72"/>
      <c r="BNX154" s="72"/>
      <c r="BNY154" s="72"/>
      <c r="BNZ154" s="72"/>
      <c r="BOA154" s="72"/>
      <c r="BOB154" s="72"/>
      <c r="BOC154" s="72"/>
      <c r="BOD154" s="72"/>
      <c r="BOE154" s="72"/>
      <c r="BOF154" s="72"/>
      <c r="BOG154" s="72"/>
      <c r="BOH154" s="72"/>
      <c r="BOI154" s="72"/>
      <c r="BOJ154" s="72"/>
      <c r="BOK154" s="72"/>
      <c r="BOL154" s="72"/>
      <c r="BOM154" s="72"/>
      <c r="BON154" s="72"/>
      <c r="BOO154" s="72"/>
      <c r="BOP154" s="72"/>
      <c r="BOQ154" s="72"/>
      <c r="BOR154" s="72"/>
      <c r="BOS154" s="72"/>
      <c r="BOT154" s="72"/>
      <c r="BOU154" s="72"/>
      <c r="BOV154" s="72"/>
      <c r="BOW154" s="72"/>
      <c r="BOX154" s="72"/>
      <c r="BOY154" s="72"/>
      <c r="BOZ154" s="72"/>
      <c r="BPA154" s="72"/>
      <c r="BPB154" s="72"/>
      <c r="BPC154" s="72"/>
      <c r="BPD154" s="72"/>
      <c r="BPE154" s="72"/>
      <c r="BPF154" s="72"/>
      <c r="BPG154" s="72"/>
      <c r="BPH154" s="72"/>
      <c r="BPI154" s="72"/>
      <c r="BPJ154" s="72"/>
      <c r="BPK154" s="72"/>
      <c r="BPL154" s="72"/>
      <c r="BPM154" s="72"/>
      <c r="BPN154" s="72"/>
      <c r="BPO154" s="72"/>
      <c r="BPP154" s="72"/>
      <c r="BPQ154" s="72"/>
      <c r="BPR154" s="72"/>
      <c r="BPS154" s="72"/>
      <c r="BPT154" s="72"/>
      <c r="BPU154" s="72"/>
      <c r="BPV154" s="72"/>
      <c r="BPW154" s="72"/>
      <c r="BPX154" s="72"/>
      <c r="BPY154" s="72"/>
      <c r="BPZ154" s="72"/>
      <c r="BQA154" s="72"/>
      <c r="BQB154" s="72"/>
      <c r="BQC154" s="72"/>
      <c r="BQD154" s="72"/>
      <c r="BQE154" s="72"/>
      <c r="BQF154" s="72"/>
      <c r="BQG154" s="72"/>
      <c r="BQH154" s="72"/>
      <c r="BQI154" s="72"/>
      <c r="BQJ154" s="72"/>
      <c r="BQK154" s="72"/>
      <c r="BQL154" s="72"/>
      <c r="BQM154" s="72"/>
      <c r="BQN154" s="72"/>
      <c r="BQO154" s="72"/>
      <c r="BQP154" s="72"/>
      <c r="BQQ154" s="72"/>
      <c r="BQR154" s="72"/>
      <c r="BQS154" s="72"/>
      <c r="BQT154" s="72"/>
      <c r="BQU154" s="72"/>
      <c r="BQV154" s="72"/>
      <c r="BQW154" s="72"/>
      <c r="BQX154" s="72"/>
      <c r="BQY154" s="72"/>
      <c r="BQZ154" s="72"/>
      <c r="BRA154" s="72"/>
      <c r="BRB154" s="72"/>
      <c r="BRC154" s="72"/>
      <c r="BRD154" s="72"/>
      <c r="BRE154" s="72"/>
      <c r="BRF154" s="72"/>
      <c r="BRG154" s="72"/>
      <c r="BRH154" s="72"/>
      <c r="BRI154" s="72"/>
      <c r="BRJ154" s="72"/>
      <c r="BRK154" s="72"/>
      <c r="BRL154" s="72"/>
      <c r="BRM154" s="72"/>
      <c r="BRN154" s="72"/>
      <c r="BRO154" s="72"/>
      <c r="BRP154" s="72"/>
      <c r="BRQ154" s="72"/>
      <c r="BRR154" s="72"/>
      <c r="BRS154" s="72"/>
      <c r="BRT154" s="72"/>
      <c r="BRU154" s="72"/>
      <c r="BRV154" s="72"/>
      <c r="BRW154" s="72"/>
      <c r="BRX154" s="72"/>
      <c r="BRY154" s="72"/>
      <c r="BRZ154" s="72"/>
      <c r="BSA154" s="72"/>
      <c r="BSB154" s="72"/>
      <c r="BSC154" s="72"/>
      <c r="BSD154" s="72"/>
      <c r="BSE154" s="72"/>
      <c r="BSF154" s="72"/>
      <c r="BSG154" s="72"/>
      <c r="BSH154" s="72"/>
      <c r="BSI154" s="72"/>
      <c r="BSJ154" s="72"/>
      <c r="BSK154" s="72"/>
      <c r="BSL154" s="72"/>
      <c r="BSM154" s="72"/>
      <c r="BSN154" s="72"/>
      <c r="BSO154" s="72"/>
      <c r="BSP154" s="72"/>
      <c r="BSQ154" s="72"/>
      <c r="BSR154" s="72"/>
      <c r="BSS154" s="72"/>
      <c r="BST154" s="72"/>
      <c r="BSU154" s="72"/>
      <c r="BSV154" s="72"/>
      <c r="BSW154" s="72"/>
      <c r="BSX154" s="72"/>
      <c r="BSY154" s="72"/>
      <c r="BSZ154" s="72"/>
      <c r="BTA154" s="72"/>
      <c r="BTB154" s="72"/>
      <c r="BTC154" s="72"/>
      <c r="BTD154" s="72"/>
      <c r="BTE154" s="72"/>
      <c r="BTF154" s="72"/>
      <c r="BTG154" s="72"/>
      <c r="BTH154" s="72"/>
      <c r="BTI154" s="72"/>
      <c r="BTJ154" s="72"/>
      <c r="BTK154" s="72"/>
      <c r="BTL154" s="72"/>
      <c r="BTM154" s="72"/>
      <c r="BTN154" s="72"/>
      <c r="BTO154" s="72"/>
      <c r="BTP154" s="72"/>
      <c r="BTQ154" s="72"/>
      <c r="BTR154" s="72"/>
      <c r="BTS154" s="72"/>
      <c r="BTT154" s="72"/>
      <c r="BTU154" s="72"/>
      <c r="BTV154" s="72"/>
      <c r="BTW154" s="72"/>
      <c r="BTX154" s="72"/>
      <c r="BTY154" s="72"/>
      <c r="BTZ154" s="72"/>
      <c r="BUA154" s="72"/>
      <c r="BUB154" s="72"/>
      <c r="BUC154" s="72"/>
      <c r="BUD154" s="72"/>
      <c r="BUE154" s="72"/>
      <c r="BUF154" s="72"/>
      <c r="BUG154" s="72"/>
      <c r="BUH154" s="72"/>
      <c r="BUI154" s="72"/>
      <c r="BUJ154" s="72"/>
      <c r="BUK154" s="72"/>
      <c r="BUL154" s="72"/>
      <c r="BUM154" s="72"/>
      <c r="BUN154" s="72"/>
      <c r="BUO154" s="72"/>
      <c r="BUP154" s="72"/>
      <c r="BUQ154" s="72"/>
      <c r="BUR154" s="72"/>
      <c r="BUS154" s="72"/>
      <c r="BUT154" s="72"/>
      <c r="BUU154" s="72"/>
      <c r="BUV154" s="72"/>
      <c r="BUW154" s="72"/>
      <c r="BUX154" s="72"/>
      <c r="BUY154" s="72"/>
      <c r="BUZ154" s="72"/>
      <c r="BVA154" s="72"/>
      <c r="BVB154" s="72"/>
      <c r="BVC154" s="72"/>
      <c r="BVD154" s="72"/>
      <c r="BVE154" s="72"/>
      <c r="BVF154" s="72"/>
      <c r="BVG154" s="72"/>
      <c r="BVH154" s="72"/>
      <c r="BVI154" s="72"/>
      <c r="BVJ154" s="72"/>
      <c r="BVK154" s="72"/>
      <c r="BVL154" s="72"/>
      <c r="BVM154" s="72"/>
      <c r="BVN154" s="72"/>
      <c r="BVO154" s="72"/>
      <c r="BVP154" s="72"/>
      <c r="BVQ154" s="72"/>
      <c r="BVR154" s="72"/>
      <c r="BVS154" s="72"/>
      <c r="BVT154" s="72"/>
      <c r="BVU154" s="72"/>
      <c r="BVV154" s="72"/>
      <c r="BVW154" s="72"/>
      <c r="BVX154" s="72"/>
      <c r="BVY154" s="72"/>
      <c r="BVZ154" s="72"/>
      <c r="BWA154" s="72"/>
      <c r="BWB154" s="72"/>
      <c r="BWC154" s="72"/>
      <c r="BWD154" s="72"/>
      <c r="BWE154" s="72"/>
      <c r="BWF154" s="72"/>
      <c r="BWG154" s="72"/>
      <c r="BWH154" s="72"/>
      <c r="BWI154" s="72"/>
      <c r="BWJ154" s="72"/>
      <c r="BWK154" s="72"/>
      <c r="BWL154" s="72"/>
      <c r="BWM154" s="72"/>
      <c r="BWN154" s="72"/>
      <c r="BWO154" s="72"/>
      <c r="BWP154" s="72"/>
      <c r="BWQ154" s="72"/>
      <c r="BWR154" s="72"/>
      <c r="BWS154" s="72"/>
      <c r="BWT154" s="72"/>
      <c r="BWU154" s="72"/>
      <c r="BWV154" s="72"/>
      <c r="BWW154" s="72"/>
      <c r="BWX154" s="72"/>
      <c r="BWY154" s="72"/>
      <c r="BWZ154" s="72"/>
      <c r="BXA154" s="72"/>
      <c r="BXB154" s="72"/>
      <c r="BXC154" s="72"/>
      <c r="BXD154" s="72"/>
      <c r="BXE154" s="72"/>
      <c r="BXF154" s="72"/>
      <c r="BXG154" s="72"/>
      <c r="BXH154" s="72"/>
      <c r="BXI154" s="72"/>
      <c r="BXJ154" s="72"/>
      <c r="BXK154" s="72"/>
      <c r="BXL154" s="72"/>
      <c r="BXM154" s="72"/>
      <c r="BXN154" s="72"/>
      <c r="BXO154" s="72"/>
      <c r="BXP154" s="72"/>
      <c r="BXQ154" s="72"/>
      <c r="BXR154" s="72"/>
      <c r="BXS154" s="72"/>
      <c r="BXT154" s="72"/>
      <c r="BXU154" s="72"/>
      <c r="BXV154" s="72"/>
      <c r="BXW154" s="72"/>
      <c r="BXX154" s="72"/>
      <c r="BXY154" s="72"/>
      <c r="BXZ154" s="72"/>
      <c r="BYA154" s="72"/>
      <c r="BYB154" s="72"/>
      <c r="BYC154" s="72"/>
      <c r="BYD154" s="72"/>
      <c r="BYE154" s="72"/>
      <c r="BYF154" s="72"/>
      <c r="BYG154" s="72"/>
      <c r="BYH154" s="72"/>
      <c r="BYI154" s="72"/>
      <c r="BYJ154" s="72"/>
      <c r="BYK154" s="72"/>
      <c r="BYL154" s="72"/>
      <c r="BYM154" s="72"/>
      <c r="BYN154" s="72"/>
      <c r="BYO154" s="72"/>
      <c r="BYP154" s="72"/>
      <c r="BYQ154" s="72"/>
      <c r="BYR154" s="72"/>
      <c r="BYS154" s="72"/>
      <c r="BYT154" s="72"/>
      <c r="BYU154" s="72"/>
      <c r="BYV154" s="72"/>
      <c r="BYW154" s="72"/>
      <c r="BYX154" s="72"/>
      <c r="BYY154" s="72"/>
      <c r="BYZ154" s="72"/>
      <c r="BZA154" s="72"/>
      <c r="BZB154" s="72"/>
      <c r="BZC154" s="72"/>
      <c r="BZD154" s="72"/>
      <c r="BZE154" s="72"/>
      <c r="BZF154" s="72"/>
      <c r="BZG154" s="72"/>
      <c r="BZH154" s="72"/>
      <c r="BZI154" s="72"/>
      <c r="BZJ154" s="72"/>
      <c r="BZK154" s="72"/>
      <c r="BZL154" s="72"/>
      <c r="BZM154" s="72"/>
      <c r="BZN154" s="72"/>
      <c r="BZO154" s="72"/>
      <c r="BZP154" s="72"/>
      <c r="BZQ154" s="72"/>
      <c r="BZR154" s="72"/>
      <c r="BZS154" s="72"/>
      <c r="BZT154" s="72"/>
      <c r="BZU154" s="72"/>
      <c r="BZV154" s="72"/>
      <c r="BZW154" s="72"/>
      <c r="BZX154" s="72"/>
      <c r="BZY154" s="72"/>
      <c r="BZZ154" s="72"/>
      <c r="CAA154" s="72"/>
      <c r="CAB154" s="72"/>
      <c r="CAC154" s="72"/>
      <c r="CAD154" s="72"/>
      <c r="CAE154" s="72"/>
      <c r="CAF154" s="72"/>
      <c r="CAG154" s="72"/>
      <c r="CAH154" s="72"/>
      <c r="CAI154" s="72"/>
      <c r="CAJ154" s="72"/>
      <c r="CAK154" s="72"/>
      <c r="CAL154" s="72"/>
      <c r="CAM154" s="72"/>
      <c r="CAN154" s="72"/>
      <c r="CAO154" s="72"/>
      <c r="CAP154" s="72"/>
      <c r="CAQ154" s="72"/>
      <c r="CAR154" s="72"/>
      <c r="CAS154" s="72"/>
      <c r="CAT154" s="72"/>
      <c r="CAU154" s="72"/>
      <c r="CAV154" s="72"/>
      <c r="CAW154" s="72"/>
      <c r="CAX154" s="72"/>
      <c r="CAY154" s="72"/>
      <c r="CAZ154" s="72"/>
      <c r="CBA154" s="72"/>
      <c r="CBB154" s="72"/>
      <c r="CBC154" s="72"/>
      <c r="CBD154" s="72"/>
      <c r="CBE154" s="72"/>
      <c r="CBF154" s="72"/>
      <c r="CBG154" s="72"/>
      <c r="CBH154" s="72"/>
      <c r="CBI154" s="72"/>
      <c r="CBJ154" s="72"/>
      <c r="CBK154" s="72"/>
      <c r="CBL154" s="72"/>
      <c r="CBM154" s="72"/>
      <c r="CBN154" s="72"/>
      <c r="CBO154" s="72"/>
      <c r="CBP154" s="72"/>
      <c r="CBQ154" s="72"/>
      <c r="CBR154" s="72"/>
      <c r="CBS154" s="72"/>
      <c r="CBT154" s="72"/>
      <c r="CBU154" s="72"/>
      <c r="CBV154" s="72"/>
      <c r="CBW154" s="72"/>
      <c r="CBX154" s="72"/>
      <c r="CBY154" s="72"/>
      <c r="CBZ154" s="72"/>
      <c r="CCA154" s="72"/>
      <c r="CCB154" s="72"/>
      <c r="CCC154" s="72"/>
      <c r="CCD154" s="72"/>
      <c r="CCE154" s="72"/>
      <c r="CCF154" s="72"/>
      <c r="CCG154" s="72"/>
      <c r="CCH154" s="72"/>
      <c r="CCI154" s="72"/>
      <c r="CCJ154" s="72"/>
      <c r="CCK154" s="72"/>
      <c r="CCL154" s="72"/>
      <c r="CCM154" s="72"/>
      <c r="CCN154" s="72"/>
      <c r="CCO154" s="72"/>
      <c r="CCP154" s="72"/>
      <c r="CCQ154" s="72"/>
      <c r="CCR154" s="72"/>
      <c r="CCS154" s="72"/>
      <c r="CCT154" s="72"/>
      <c r="CCU154" s="72"/>
      <c r="CCV154" s="72"/>
      <c r="CCW154" s="72"/>
      <c r="CCX154" s="72"/>
      <c r="CCY154" s="72"/>
      <c r="CCZ154" s="72"/>
      <c r="CDA154" s="72"/>
      <c r="CDB154" s="72"/>
      <c r="CDC154" s="72"/>
      <c r="CDD154" s="72"/>
      <c r="CDE154" s="72"/>
      <c r="CDF154" s="72"/>
      <c r="CDG154" s="72"/>
      <c r="CDH154" s="72"/>
      <c r="CDI154" s="72"/>
      <c r="CDJ154" s="72"/>
      <c r="CDK154" s="72"/>
      <c r="CDL154" s="72"/>
      <c r="CDM154" s="72"/>
      <c r="CDN154" s="72"/>
      <c r="CDO154" s="72"/>
      <c r="CDP154" s="72"/>
      <c r="CDQ154" s="72"/>
      <c r="CDR154" s="72"/>
      <c r="CDS154" s="72"/>
      <c r="CDT154" s="72"/>
      <c r="CDU154" s="72"/>
      <c r="CDV154" s="72"/>
      <c r="CDW154" s="72"/>
      <c r="CDX154" s="72"/>
      <c r="CDY154" s="72"/>
      <c r="CDZ154" s="72"/>
      <c r="CEA154" s="72"/>
      <c r="CEB154" s="72"/>
      <c r="CEC154" s="72"/>
      <c r="CED154" s="72"/>
      <c r="CEE154" s="72"/>
      <c r="CEF154" s="72"/>
      <c r="CEG154" s="72"/>
      <c r="CEH154" s="72"/>
      <c r="CEI154" s="72"/>
      <c r="CEJ154" s="72"/>
      <c r="CEK154" s="72"/>
      <c r="CEL154" s="72"/>
      <c r="CEM154" s="72"/>
      <c r="CEN154" s="72"/>
      <c r="CEO154" s="72"/>
      <c r="CEP154" s="72"/>
      <c r="CEQ154" s="72"/>
      <c r="CER154" s="72"/>
      <c r="CES154" s="72"/>
      <c r="CET154" s="72"/>
      <c r="CEU154" s="72"/>
      <c r="CEV154" s="72"/>
      <c r="CEW154" s="72"/>
      <c r="CEX154" s="72"/>
      <c r="CEY154" s="72"/>
      <c r="CEZ154" s="72"/>
      <c r="CFA154" s="72"/>
      <c r="CFB154" s="72"/>
      <c r="CFC154" s="72"/>
      <c r="CFD154" s="72"/>
      <c r="CFE154" s="72"/>
      <c r="CFF154" s="72"/>
      <c r="CFG154" s="72"/>
      <c r="CFH154" s="72"/>
      <c r="CFI154" s="72"/>
      <c r="CFJ154" s="72"/>
      <c r="CFK154" s="72"/>
      <c r="CFL154" s="72"/>
      <c r="CFM154" s="72"/>
      <c r="CFN154" s="72"/>
      <c r="CFO154" s="72"/>
      <c r="CFP154" s="72"/>
      <c r="CFQ154" s="72"/>
      <c r="CFR154" s="72"/>
      <c r="CFS154" s="72"/>
      <c r="CFT154" s="72"/>
      <c r="CFU154" s="72"/>
      <c r="CFV154" s="72"/>
      <c r="CFW154" s="72"/>
      <c r="CFX154" s="72"/>
      <c r="CFY154" s="72"/>
      <c r="CFZ154" s="72"/>
      <c r="CGA154" s="72"/>
      <c r="CGB154" s="72"/>
      <c r="CGC154" s="72"/>
      <c r="CGD154" s="72"/>
      <c r="CGE154" s="72"/>
      <c r="CGF154" s="72"/>
      <c r="CGG154" s="72"/>
      <c r="CGH154" s="72"/>
      <c r="CGI154" s="72"/>
      <c r="CGJ154" s="72"/>
      <c r="CGK154" s="72"/>
      <c r="CGL154" s="72"/>
      <c r="CGM154" s="72"/>
      <c r="CGN154" s="72"/>
      <c r="CGO154" s="72"/>
      <c r="CGP154" s="72"/>
      <c r="CGQ154" s="72"/>
      <c r="CGR154" s="72"/>
      <c r="CGS154" s="72"/>
      <c r="CGT154" s="72"/>
      <c r="CGU154" s="72"/>
      <c r="CGV154" s="72"/>
      <c r="CGW154" s="72"/>
      <c r="CGX154" s="72"/>
      <c r="CGY154" s="72"/>
      <c r="CGZ154" s="72"/>
      <c r="CHA154" s="72"/>
      <c r="CHB154" s="72"/>
      <c r="CHC154" s="72"/>
      <c r="CHD154" s="72"/>
      <c r="CHE154" s="72"/>
      <c r="CHF154" s="72"/>
      <c r="CHG154" s="72"/>
      <c r="CHH154" s="72"/>
      <c r="CHI154" s="72"/>
      <c r="CHJ154" s="72"/>
      <c r="CHK154" s="72"/>
      <c r="CHL154" s="72"/>
      <c r="CHM154" s="72"/>
      <c r="CHN154" s="72"/>
      <c r="CHO154" s="72"/>
      <c r="CHP154" s="72"/>
      <c r="CHQ154" s="72"/>
      <c r="CHR154" s="72"/>
      <c r="CHS154" s="72"/>
      <c r="CHT154" s="72"/>
      <c r="CHU154" s="72"/>
      <c r="CHV154" s="72"/>
      <c r="CHW154" s="72"/>
      <c r="CHX154" s="72"/>
      <c r="CHY154" s="72"/>
      <c r="CHZ154" s="72"/>
      <c r="CIA154" s="72"/>
      <c r="CIB154" s="72"/>
      <c r="CIC154" s="72"/>
      <c r="CID154" s="72"/>
      <c r="CIE154" s="72"/>
      <c r="CIF154" s="72"/>
      <c r="CIG154" s="72"/>
      <c r="CIH154" s="72"/>
      <c r="CII154" s="72"/>
      <c r="CIJ154" s="72"/>
      <c r="CIK154" s="72"/>
      <c r="CIL154" s="72"/>
      <c r="CIM154" s="72"/>
      <c r="CIN154" s="72"/>
      <c r="CIO154" s="72"/>
      <c r="CIP154" s="72"/>
      <c r="CIQ154" s="72"/>
      <c r="CIR154" s="72"/>
      <c r="CIS154" s="72"/>
      <c r="CIT154" s="72"/>
      <c r="CIU154" s="72"/>
      <c r="CIV154" s="72"/>
      <c r="CIW154" s="72"/>
      <c r="CIX154" s="72"/>
      <c r="CIY154" s="72"/>
      <c r="CIZ154" s="72"/>
      <c r="CJA154" s="72"/>
      <c r="CJB154" s="72"/>
      <c r="CJC154" s="72"/>
      <c r="CJD154" s="72"/>
      <c r="CJE154" s="72"/>
      <c r="CJF154" s="72"/>
      <c r="CJG154" s="72"/>
      <c r="CJH154" s="72"/>
      <c r="CJI154" s="72"/>
      <c r="CJJ154" s="72"/>
      <c r="CJK154" s="72"/>
      <c r="CJL154" s="72"/>
      <c r="CJM154" s="72"/>
      <c r="CJN154" s="72"/>
      <c r="CJO154" s="72"/>
      <c r="CJP154" s="72"/>
      <c r="CJQ154" s="72"/>
      <c r="CJR154" s="72"/>
      <c r="CJS154" s="72"/>
      <c r="CJT154" s="72"/>
      <c r="CJU154" s="72"/>
      <c r="CJV154" s="72"/>
      <c r="CJW154" s="72"/>
      <c r="CJX154" s="72"/>
      <c r="CJY154" s="72"/>
      <c r="CJZ154" s="72"/>
      <c r="CKA154" s="72"/>
      <c r="CKB154" s="72"/>
      <c r="CKC154" s="72"/>
      <c r="CKD154" s="72"/>
      <c r="CKE154" s="72"/>
      <c r="CKF154" s="72"/>
      <c r="CKG154" s="72"/>
      <c r="CKH154" s="72"/>
      <c r="CKI154" s="72"/>
      <c r="CKJ154" s="72"/>
      <c r="CKK154" s="72"/>
      <c r="CKL154" s="72"/>
      <c r="CKM154" s="72"/>
      <c r="CKN154" s="72"/>
      <c r="CKO154" s="72"/>
      <c r="CKP154" s="72"/>
      <c r="CKQ154" s="72"/>
      <c r="CKR154" s="72"/>
      <c r="CKS154" s="72"/>
      <c r="CKT154" s="72"/>
      <c r="CKU154" s="72"/>
      <c r="CKV154" s="72"/>
      <c r="CKW154" s="72"/>
      <c r="CKX154" s="72"/>
      <c r="CKY154" s="72"/>
      <c r="CKZ154" s="72"/>
      <c r="CLA154" s="72"/>
      <c r="CLB154" s="72"/>
      <c r="CLC154" s="72"/>
      <c r="CLD154" s="72"/>
      <c r="CLE154" s="72"/>
      <c r="CLF154" s="72"/>
      <c r="CLG154" s="72"/>
      <c r="CLH154" s="72"/>
      <c r="CLI154" s="72"/>
      <c r="CLJ154" s="72"/>
      <c r="CLK154" s="72"/>
      <c r="CLL154" s="72"/>
      <c r="CLM154" s="72"/>
      <c r="CLN154" s="72"/>
      <c r="CLO154" s="72"/>
      <c r="CLP154" s="72"/>
      <c r="CLQ154" s="72"/>
      <c r="CLR154" s="72"/>
      <c r="CLS154" s="72"/>
      <c r="CLT154" s="72"/>
      <c r="CLU154" s="72"/>
      <c r="CLV154" s="72"/>
      <c r="CLW154" s="72"/>
      <c r="CLX154" s="72"/>
      <c r="CLY154" s="72"/>
      <c r="CLZ154" s="72"/>
      <c r="CMA154" s="72"/>
      <c r="CMB154" s="72"/>
      <c r="CMC154" s="72"/>
      <c r="CMD154" s="72"/>
      <c r="CME154" s="72"/>
      <c r="CMF154" s="72"/>
      <c r="CMG154" s="72"/>
      <c r="CMH154" s="72"/>
      <c r="CMI154" s="72"/>
      <c r="CMJ154" s="72"/>
      <c r="CMK154" s="72"/>
      <c r="CML154" s="72"/>
      <c r="CMM154" s="72"/>
      <c r="CMN154" s="72"/>
      <c r="CMO154" s="72"/>
      <c r="CMP154" s="72"/>
      <c r="CMQ154" s="72"/>
      <c r="CMR154" s="72"/>
      <c r="CMS154" s="72"/>
      <c r="CMT154" s="72"/>
      <c r="CMU154" s="72"/>
      <c r="CMV154" s="72"/>
      <c r="CMW154" s="72"/>
      <c r="CMX154" s="72"/>
      <c r="CMY154" s="72"/>
      <c r="CMZ154" s="72"/>
      <c r="CNA154" s="72"/>
      <c r="CNB154" s="72"/>
      <c r="CNC154" s="72"/>
      <c r="CND154" s="72"/>
      <c r="CNE154" s="72"/>
      <c r="CNF154" s="72"/>
      <c r="CNG154" s="72"/>
      <c r="CNH154" s="72"/>
      <c r="CNI154" s="72"/>
      <c r="CNJ154" s="72"/>
      <c r="CNK154" s="72"/>
      <c r="CNL154" s="72"/>
      <c r="CNM154" s="72"/>
      <c r="CNN154" s="72"/>
      <c r="CNO154" s="72"/>
      <c r="CNP154" s="72"/>
      <c r="CNQ154" s="72"/>
      <c r="CNR154" s="72"/>
      <c r="CNS154" s="72"/>
      <c r="CNT154" s="72"/>
      <c r="CNU154" s="72"/>
      <c r="CNV154" s="72"/>
      <c r="CNW154" s="72"/>
      <c r="CNX154" s="72"/>
      <c r="CNY154" s="72"/>
      <c r="CNZ154" s="72"/>
      <c r="COA154" s="72"/>
      <c r="COB154" s="72"/>
      <c r="COC154" s="72"/>
      <c r="COD154" s="72"/>
      <c r="COE154" s="72"/>
      <c r="COF154" s="72"/>
      <c r="COG154" s="72"/>
      <c r="COH154" s="72"/>
      <c r="COI154" s="72"/>
      <c r="COJ154" s="72"/>
      <c r="COK154" s="72"/>
      <c r="COL154" s="72"/>
      <c r="COM154" s="72"/>
      <c r="CON154" s="72"/>
      <c r="COO154" s="72"/>
      <c r="COP154" s="72"/>
      <c r="COQ154" s="72"/>
      <c r="COR154" s="72"/>
      <c r="COS154" s="72"/>
      <c r="COT154" s="72"/>
      <c r="COU154" s="72"/>
      <c r="COV154" s="72"/>
      <c r="COW154" s="72"/>
      <c r="COX154" s="72"/>
      <c r="COY154" s="72"/>
      <c r="COZ154" s="72"/>
      <c r="CPA154" s="72"/>
      <c r="CPB154" s="72"/>
      <c r="CPC154" s="72"/>
      <c r="CPD154" s="72"/>
      <c r="CPE154" s="72"/>
      <c r="CPF154" s="72"/>
      <c r="CPG154" s="72"/>
      <c r="CPH154" s="72"/>
      <c r="CPI154" s="72"/>
      <c r="CPJ154" s="72"/>
      <c r="CPK154" s="72"/>
      <c r="CPL154" s="72"/>
      <c r="CPM154" s="72"/>
      <c r="CPN154" s="72"/>
      <c r="CPO154" s="72"/>
      <c r="CPP154" s="72"/>
      <c r="CPQ154" s="72"/>
      <c r="CPR154" s="72"/>
      <c r="CPS154" s="72"/>
      <c r="CPT154" s="72"/>
      <c r="CPU154" s="72"/>
      <c r="CPV154" s="72"/>
      <c r="CPW154" s="72"/>
      <c r="CPX154" s="72"/>
      <c r="CPY154" s="72"/>
      <c r="CPZ154" s="72"/>
      <c r="CQA154" s="72"/>
      <c r="CQB154" s="72"/>
      <c r="CQC154" s="72"/>
      <c r="CQD154" s="72"/>
      <c r="CQE154" s="72"/>
      <c r="CQF154" s="72"/>
      <c r="CQG154" s="72"/>
      <c r="CQH154" s="72"/>
      <c r="CQI154" s="72"/>
      <c r="CQJ154" s="72"/>
      <c r="CQK154" s="72"/>
      <c r="CQL154" s="72"/>
      <c r="CQM154" s="72"/>
      <c r="CQN154" s="72"/>
      <c r="CQO154" s="72"/>
      <c r="CQP154" s="72"/>
      <c r="CQQ154" s="72"/>
      <c r="CQR154" s="72"/>
      <c r="CQS154" s="72"/>
      <c r="CQT154" s="72"/>
      <c r="CQU154" s="72"/>
      <c r="CQV154" s="72"/>
      <c r="CQW154" s="72"/>
      <c r="CQX154" s="72"/>
      <c r="CQY154" s="72"/>
      <c r="CQZ154" s="72"/>
      <c r="CRA154" s="72"/>
      <c r="CRB154" s="72"/>
      <c r="CRC154" s="72"/>
      <c r="CRD154" s="72"/>
      <c r="CRE154" s="72"/>
      <c r="CRF154" s="72"/>
      <c r="CRG154" s="72"/>
      <c r="CRH154" s="72"/>
      <c r="CRI154" s="72"/>
      <c r="CRJ154" s="72"/>
      <c r="CRK154" s="72"/>
      <c r="CRL154" s="72"/>
      <c r="CRM154" s="72"/>
      <c r="CRN154" s="72"/>
      <c r="CRO154" s="72"/>
      <c r="CRP154" s="72"/>
      <c r="CRQ154" s="72"/>
      <c r="CRR154" s="72"/>
      <c r="CRS154" s="72"/>
      <c r="CRT154" s="72"/>
      <c r="CRU154" s="72"/>
      <c r="CRV154" s="72"/>
      <c r="CRW154" s="72"/>
      <c r="CRX154" s="72"/>
      <c r="CRY154" s="72"/>
      <c r="CRZ154" s="72"/>
      <c r="CSA154" s="72"/>
      <c r="CSB154" s="72"/>
      <c r="CSC154" s="72"/>
      <c r="CSD154" s="72"/>
      <c r="CSE154" s="72"/>
      <c r="CSF154" s="72"/>
      <c r="CSG154" s="72"/>
      <c r="CSH154" s="72"/>
      <c r="CSI154" s="72"/>
      <c r="CSJ154" s="72"/>
      <c r="CSK154" s="72"/>
      <c r="CSL154" s="72"/>
      <c r="CSM154" s="72"/>
      <c r="CSN154" s="72"/>
      <c r="CSO154" s="72"/>
      <c r="CSP154" s="72"/>
      <c r="CSQ154" s="72"/>
      <c r="CSR154" s="72"/>
      <c r="CSS154" s="72"/>
      <c r="CST154" s="72"/>
      <c r="CSU154" s="72"/>
      <c r="CSV154" s="72"/>
      <c r="CSW154" s="72"/>
      <c r="CSX154" s="72"/>
      <c r="CSY154" s="72"/>
      <c r="CSZ154" s="72"/>
      <c r="CTA154" s="72"/>
      <c r="CTB154" s="72"/>
      <c r="CTC154" s="72"/>
      <c r="CTD154" s="72"/>
      <c r="CTE154" s="72"/>
      <c r="CTF154" s="72"/>
      <c r="CTG154" s="72"/>
      <c r="CTH154" s="72"/>
      <c r="CTI154" s="72"/>
      <c r="CTJ154" s="72"/>
      <c r="CTK154" s="72"/>
      <c r="CTL154" s="72"/>
      <c r="CTM154" s="72"/>
      <c r="CTN154" s="72"/>
      <c r="CTO154" s="72"/>
      <c r="CTP154" s="72"/>
      <c r="CTQ154" s="72"/>
      <c r="CTR154" s="72"/>
      <c r="CTS154" s="72"/>
      <c r="CTT154" s="72"/>
      <c r="CTU154" s="72"/>
      <c r="CTV154" s="72"/>
      <c r="CTW154" s="72"/>
      <c r="CTX154" s="72"/>
      <c r="CTY154" s="72"/>
      <c r="CTZ154" s="72"/>
      <c r="CUA154" s="72"/>
      <c r="CUB154" s="72"/>
      <c r="CUC154" s="72"/>
      <c r="CUD154" s="72"/>
      <c r="CUE154" s="72"/>
      <c r="CUF154" s="72"/>
      <c r="CUG154" s="72"/>
      <c r="CUH154" s="72"/>
      <c r="CUI154" s="72"/>
      <c r="CUJ154" s="72"/>
      <c r="CUK154" s="72"/>
      <c r="CUL154" s="72"/>
      <c r="CUM154" s="72"/>
      <c r="CUN154" s="72"/>
      <c r="CUO154" s="72"/>
      <c r="CUP154" s="72"/>
      <c r="CUQ154" s="72"/>
      <c r="CUR154" s="72"/>
      <c r="CUS154" s="72"/>
      <c r="CUT154" s="72"/>
      <c r="CUU154" s="72"/>
      <c r="CUV154" s="72"/>
      <c r="CUW154" s="72"/>
      <c r="CUX154" s="72"/>
      <c r="CUY154" s="72"/>
      <c r="CUZ154" s="72"/>
      <c r="CVA154" s="72"/>
      <c r="CVB154" s="72"/>
      <c r="CVC154" s="72"/>
      <c r="CVD154" s="72"/>
      <c r="CVE154" s="72"/>
      <c r="CVF154" s="72"/>
      <c r="CVG154" s="72"/>
      <c r="CVH154" s="72"/>
      <c r="CVI154" s="72"/>
      <c r="CVJ154" s="72"/>
      <c r="CVK154" s="72"/>
      <c r="CVL154" s="72"/>
      <c r="CVM154" s="72"/>
      <c r="CVN154" s="72"/>
      <c r="CVO154" s="72"/>
      <c r="CVP154" s="72"/>
      <c r="CVQ154" s="72"/>
      <c r="CVR154" s="72"/>
      <c r="CVS154" s="72"/>
      <c r="CVT154" s="72"/>
      <c r="CVU154" s="72"/>
      <c r="CVV154" s="72"/>
      <c r="CVW154" s="72"/>
      <c r="CVX154" s="72"/>
      <c r="CVY154" s="72"/>
      <c r="CVZ154" s="72"/>
      <c r="CWA154" s="72"/>
      <c r="CWB154" s="72"/>
      <c r="CWC154" s="72"/>
      <c r="CWD154" s="72"/>
      <c r="CWE154" s="72"/>
      <c r="CWF154" s="72"/>
      <c r="CWG154" s="72"/>
      <c r="CWH154" s="72"/>
      <c r="CWI154" s="72"/>
      <c r="CWJ154" s="72"/>
      <c r="CWK154" s="72"/>
      <c r="CWL154" s="72"/>
      <c r="CWM154" s="72"/>
      <c r="CWN154" s="72"/>
      <c r="CWO154" s="72"/>
      <c r="CWP154" s="72"/>
      <c r="CWQ154" s="72"/>
      <c r="CWR154" s="72"/>
      <c r="CWS154" s="72"/>
      <c r="CWT154" s="72"/>
      <c r="CWU154" s="72"/>
      <c r="CWV154" s="72"/>
      <c r="CWW154" s="72"/>
      <c r="CWX154" s="72"/>
      <c r="CWY154" s="72"/>
      <c r="CWZ154" s="72"/>
      <c r="CXA154" s="72"/>
      <c r="CXB154" s="72"/>
      <c r="CXC154" s="72"/>
      <c r="CXD154" s="72"/>
      <c r="CXE154" s="72"/>
      <c r="CXF154" s="72"/>
      <c r="CXG154" s="72"/>
      <c r="CXH154" s="72"/>
      <c r="CXI154" s="72"/>
      <c r="CXJ154" s="72"/>
      <c r="CXK154" s="72"/>
      <c r="CXL154" s="72"/>
      <c r="CXM154" s="72"/>
      <c r="CXN154" s="72"/>
      <c r="CXO154" s="72"/>
      <c r="CXP154" s="72"/>
      <c r="CXQ154" s="72"/>
      <c r="CXR154" s="72"/>
      <c r="CXS154" s="72"/>
      <c r="CXT154" s="72"/>
      <c r="CXU154" s="72"/>
      <c r="CXV154" s="72"/>
      <c r="CXW154" s="72"/>
      <c r="CXX154" s="72"/>
      <c r="CXY154" s="72"/>
      <c r="CXZ154" s="72"/>
      <c r="CYA154" s="72"/>
      <c r="CYB154" s="72"/>
      <c r="CYC154" s="72"/>
      <c r="CYD154" s="72"/>
      <c r="CYE154" s="72"/>
      <c r="CYF154" s="72"/>
      <c r="CYG154" s="72"/>
      <c r="CYH154" s="72"/>
      <c r="CYI154" s="72"/>
      <c r="CYJ154" s="72"/>
      <c r="CYK154" s="72"/>
      <c r="CYL154" s="72"/>
      <c r="CYM154" s="72"/>
      <c r="CYN154" s="72"/>
      <c r="CYO154" s="72"/>
      <c r="CYP154" s="72"/>
      <c r="CYQ154" s="72"/>
      <c r="CYR154" s="72"/>
      <c r="CYS154" s="72"/>
      <c r="CYT154" s="72"/>
      <c r="CYU154" s="72"/>
      <c r="CYV154" s="72"/>
      <c r="CYW154" s="72"/>
      <c r="CYX154" s="72"/>
      <c r="CYY154" s="72"/>
      <c r="CYZ154" s="72"/>
      <c r="CZA154" s="72"/>
      <c r="CZB154" s="72"/>
      <c r="CZC154" s="72"/>
      <c r="CZD154" s="72"/>
      <c r="CZE154" s="72"/>
      <c r="CZF154" s="72"/>
      <c r="CZG154" s="72"/>
      <c r="CZH154" s="72"/>
      <c r="CZI154" s="72"/>
      <c r="CZJ154" s="72"/>
      <c r="CZK154" s="72"/>
      <c r="CZL154" s="72"/>
      <c r="CZM154" s="72"/>
      <c r="CZN154" s="72"/>
      <c r="CZO154" s="72"/>
      <c r="CZP154" s="72"/>
      <c r="CZQ154" s="72"/>
      <c r="CZR154" s="72"/>
      <c r="CZS154" s="72"/>
      <c r="CZT154" s="72"/>
      <c r="CZU154" s="72"/>
      <c r="CZV154" s="72"/>
      <c r="CZW154" s="72"/>
      <c r="CZX154" s="72"/>
      <c r="CZY154" s="72"/>
      <c r="CZZ154" s="72"/>
      <c r="DAA154" s="72"/>
      <c r="DAB154" s="72"/>
      <c r="DAC154" s="72"/>
      <c r="DAD154" s="72"/>
      <c r="DAE154" s="72"/>
      <c r="DAF154" s="72"/>
      <c r="DAG154" s="72"/>
      <c r="DAH154" s="72"/>
      <c r="DAI154" s="72"/>
      <c r="DAJ154" s="72"/>
      <c r="DAK154" s="72"/>
      <c r="DAL154" s="72"/>
      <c r="DAM154" s="72"/>
      <c r="DAN154" s="72"/>
      <c r="DAO154" s="72"/>
      <c r="DAP154" s="72"/>
      <c r="DAQ154" s="72"/>
      <c r="DAR154" s="72"/>
      <c r="DAS154" s="72"/>
      <c r="DAT154" s="72"/>
      <c r="DAU154" s="72"/>
      <c r="DAV154" s="72"/>
      <c r="DAW154" s="72"/>
      <c r="DAX154" s="72"/>
      <c r="DAY154" s="72"/>
      <c r="DAZ154" s="72"/>
      <c r="DBA154" s="72"/>
      <c r="DBB154" s="72"/>
      <c r="DBC154" s="72"/>
      <c r="DBD154" s="72"/>
      <c r="DBE154" s="72"/>
      <c r="DBF154" s="72"/>
      <c r="DBG154" s="72"/>
      <c r="DBH154" s="72"/>
      <c r="DBI154" s="72"/>
      <c r="DBJ154" s="72"/>
      <c r="DBK154" s="72"/>
      <c r="DBL154" s="72"/>
      <c r="DBM154" s="72"/>
      <c r="DBN154" s="72"/>
      <c r="DBO154" s="72"/>
      <c r="DBP154" s="72"/>
      <c r="DBQ154" s="72"/>
      <c r="DBR154" s="72"/>
      <c r="DBS154" s="72"/>
      <c r="DBT154" s="72"/>
      <c r="DBU154" s="72"/>
      <c r="DBV154" s="72"/>
      <c r="DBW154" s="72"/>
      <c r="DBX154" s="72"/>
      <c r="DBY154" s="72"/>
      <c r="DBZ154" s="72"/>
      <c r="DCA154" s="72"/>
      <c r="DCB154" s="72"/>
      <c r="DCC154" s="72"/>
      <c r="DCD154" s="72"/>
      <c r="DCE154" s="72"/>
      <c r="DCF154" s="72"/>
      <c r="DCG154" s="72"/>
      <c r="DCH154" s="72"/>
      <c r="DCI154" s="72"/>
      <c r="DCJ154" s="72"/>
      <c r="DCK154" s="72"/>
      <c r="DCL154" s="72"/>
      <c r="DCM154" s="72"/>
      <c r="DCN154" s="72"/>
      <c r="DCO154" s="72"/>
      <c r="DCP154" s="72"/>
      <c r="DCQ154" s="72"/>
      <c r="DCR154" s="72"/>
      <c r="DCS154" s="72"/>
      <c r="DCT154" s="72"/>
      <c r="DCU154" s="72"/>
      <c r="DCV154" s="72"/>
      <c r="DCW154" s="72"/>
      <c r="DCX154" s="72"/>
      <c r="DCY154" s="72"/>
      <c r="DCZ154" s="72"/>
      <c r="DDA154" s="72"/>
      <c r="DDB154" s="72"/>
      <c r="DDC154" s="72"/>
      <c r="DDD154" s="72"/>
      <c r="DDE154" s="72"/>
      <c r="DDF154" s="72"/>
      <c r="DDG154" s="72"/>
      <c r="DDH154" s="72"/>
      <c r="DDI154" s="72"/>
      <c r="DDJ154" s="72"/>
      <c r="DDK154" s="72"/>
      <c r="DDL154" s="72"/>
      <c r="DDM154" s="72"/>
      <c r="DDN154" s="72"/>
      <c r="DDO154" s="72"/>
      <c r="DDP154" s="72"/>
      <c r="DDQ154" s="72"/>
      <c r="DDR154" s="72"/>
      <c r="DDS154" s="72"/>
      <c r="DDT154" s="72"/>
      <c r="DDU154" s="72"/>
      <c r="DDV154" s="72"/>
      <c r="DDW154" s="72"/>
      <c r="DDX154" s="72"/>
      <c r="DDY154" s="72"/>
      <c r="DDZ154" s="72"/>
      <c r="DEA154" s="72"/>
      <c r="DEB154" s="72"/>
      <c r="DEC154" s="72"/>
      <c r="DED154" s="72"/>
      <c r="DEE154" s="72"/>
      <c r="DEF154" s="72"/>
      <c r="DEG154" s="72"/>
      <c r="DEH154" s="72"/>
      <c r="DEI154" s="72"/>
      <c r="DEJ154" s="72"/>
      <c r="DEK154" s="72"/>
      <c r="DEL154" s="72"/>
      <c r="DEM154" s="72"/>
      <c r="DEN154" s="72"/>
      <c r="DEO154" s="72"/>
      <c r="DEP154" s="72"/>
      <c r="DEQ154" s="72"/>
      <c r="DER154" s="72"/>
      <c r="DES154" s="72"/>
      <c r="DET154" s="72"/>
      <c r="DEU154" s="72"/>
      <c r="DEV154" s="72"/>
      <c r="DEW154" s="72"/>
      <c r="DEX154" s="72"/>
      <c r="DEY154" s="72"/>
      <c r="DEZ154" s="72"/>
      <c r="DFA154" s="72"/>
      <c r="DFB154" s="72"/>
      <c r="DFC154" s="72"/>
      <c r="DFD154" s="72"/>
      <c r="DFE154" s="72"/>
      <c r="DFF154" s="72"/>
      <c r="DFG154" s="72"/>
      <c r="DFH154" s="72"/>
      <c r="DFI154" s="72"/>
      <c r="DFJ154" s="72"/>
      <c r="DFK154" s="72"/>
      <c r="DFL154" s="72"/>
      <c r="DFM154" s="72"/>
      <c r="DFN154" s="72"/>
      <c r="DFO154" s="72"/>
      <c r="DFP154" s="72"/>
      <c r="DFQ154" s="72"/>
      <c r="DFR154" s="72"/>
      <c r="DFS154" s="72"/>
      <c r="DFT154" s="72"/>
      <c r="DFU154" s="72"/>
      <c r="DFV154" s="72"/>
      <c r="DFW154" s="72"/>
      <c r="DFX154" s="72"/>
      <c r="DFY154" s="72"/>
      <c r="DFZ154" s="72"/>
      <c r="DGA154" s="72"/>
      <c r="DGB154" s="72"/>
      <c r="DGC154" s="72"/>
      <c r="DGD154" s="72"/>
      <c r="DGE154" s="72"/>
      <c r="DGF154" s="72"/>
      <c r="DGG154" s="72"/>
      <c r="DGH154" s="72"/>
      <c r="DGI154" s="72"/>
      <c r="DGJ154" s="72"/>
      <c r="DGK154" s="72"/>
      <c r="DGL154" s="72"/>
      <c r="DGM154" s="72"/>
      <c r="DGN154" s="72"/>
      <c r="DGO154" s="72"/>
      <c r="DGP154" s="72"/>
      <c r="DGQ154" s="72"/>
      <c r="DGR154" s="72"/>
      <c r="DGS154" s="72"/>
      <c r="DGT154" s="72"/>
      <c r="DGU154" s="72"/>
      <c r="DGV154" s="72"/>
      <c r="DGW154" s="72"/>
      <c r="DGX154" s="72"/>
      <c r="DGY154" s="72"/>
      <c r="DGZ154" s="72"/>
      <c r="DHA154" s="72"/>
      <c r="DHB154" s="72"/>
      <c r="DHC154" s="72"/>
      <c r="DHD154" s="72"/>
      <c r="DHE154" s="72"/>
      <c r="DHF154" s="72"/>
      <c r="DHG154" s="72"/>
      <c r="DHH154" s="72"/>
      <c r="DHI154" s="72"/>
      <c r="DHJ154" s="72"/>
      <c r="DHK154" s="72"/>
      <c r="DHL154" s="72"/>
      <c r="DHM154" s="72"/>
      <c r="DHN154" s="72"/>
      <c r="DHO154" s="72"/>
      <c r="DHP154" s="72"/>
      <c r="DHQ154" s="72"/>
      <c r="DHR154" s="72"/>
      <c r="DHS154" s="72"/>
      <c r="DHT154" s="72"/>
      <c r="DHU154" s="72"/>
      <c r="DHV154" s="72"/>
      <c r="DHW154" s="72"/>
      <c r="DHX154" s="72"/>
      <c r="DHY154" s="72"/>
      <c r="DHZ154" s="72"/>
      <c r="DIA154" s="72"/>
      <c r="DIB154" s="72"/>
      <c r="DIC154" s="72"/>
      <c r="DID154" s="72"/>
      <c r="DIE154" s="72"/>
      <c r="DIF154" s="72"/>
      <c r="DIG154" s="72"/>
      <c r="DIH154" s="72"/>
      <c r="DII154" s="72"/>
      <c r="DIJ154" s="72"/>
      <c r="DIK154" s="72"/>
      <c r="DIL154" s="72"/>
      <c r="DIM154" s="72"/>
      <c r="DIN154" s="72"/>
      <c r="DIO154" s="72"/>
      <c r="DIP154" s="72"/>
      <c r="DIQ154" s="72"/>
      <c r="DIR154" s="72"/>
      <c r="DIS154" s="72"/>
      <c r="DIT154" s="72"/>
      <c r="DIU154" s="72"/>
      <c r="DIV154" s="72"/>
      <c r="DIW154" s="72"/>
      <c r="DIX154" s="72"/>
      <c r="DIY154" s="72"/>
      <c r="DIZ154" s="72"/>
      <c r="DJA154" s="72"/>
      <c r="DJB154" s="72"/>
      <c r="DJC154" s="72"/>
      <c r="DJD154" s="72"/>
      <c r="DJE154" s="72"/>
      <c r="DJF154" s="72"/>
      <c r="DJG154" s="72"/>
      <c r="DJH154" s="72"/>
      <c r="DJI154" s="72"/>
      <c r="DJJ154" s="72"/>
      <c r="DJK154" s="72"/>
      <c r="DJL154" s="72"/>
      <c r="DJM154" s="72"/>
      <c r="DJN154" s="72"/>
      <c r="DJO154" s="72"/>
      <c r="DJP154" s="72"/>
      <c r="DJQ154" s="72"/>
      <c r="DJR154" s="72"/>
      <c r="DJS154" s="72"/>
      <c r="DJT154" s="72"/>
      <c r="DJU154" s="72"/>
      <c r="DJV154" s="72"/>
      <c r="DJW154" s="72"/>
      <c r="DJX154" s="72"/>
      <c r="DJY154" s="72"/>
      <c r="DJZ154" s="72"/>
      <c r="DKA154" s="72"/>
      <c r="DKB154" s="72"/>
      <c r="DKC154" s="72"/>
      <c r="DKD154" s="72"/>
      <c r="DKE154" s="72"/>
      <c r="DKF154" s="72"/>
      <c r="DKG154" s="72"/>
      <c r="DKH154" s="72"/>
      <c r="DKI154" s="72"/>
      <c r="DKJ154" s="72"/>
      <c r="DKK154" s="72"/>
      <c r="DKL154" s="72"/>
      <c r="DKM154" s="72"/>
      <c r="DKN154" s="72"/>
      <c r="DKO154" s="72"/>
      <c r="DKP154" s="72"/>
      <c r="DKQ154" s="72"/>
      <c r="DKR154" s="72"/>
      <c r="DKS154" s="72"/>
      <c r="DKT154" s="72"/>
      <c r="DKU154" s="72"/>
      <c r="DKV154" s="72"/>
      <c r="DKW154" s="72"/>
      <c r="DKX154" s="72"/>
      <c r="DKY154" s="72"/>
      <c r="DKZ154" s="72"/>
      <c r="DLA154" s="72"/>
      <c r="DLB154" s="72"/>
      <c r="DLC154" s="72"/>
      <c r="DLD154" s="72"/>
      <c r="DLE154" s="72"/>
      <c r="DLF154" s="72"/>
      <c r="DLG154" s="72"/>
      <c r="DLH154" s="72"/>
      <c r="DLI154" s="72"/>
      <c r="DLJ154" s="72"/>
      <c r="DLK154" s="72"/>
      <c r="DLL154" s="72"/>
      <c r="DLM154" s="72"/>
      <c r="DLN154" s="72"/>
      <c r="DLO154" s="72"/>
      <c r="DLP154" s="72"/>
      <c r="DLQ154" s="72"/>
      <c r="DLR154" s="72"/>
      <c r="DLS154" s="72"/>
      <c r="DLT154" s="72"/>
      <c r="DLU154" s="72"/>
      <c r="DLV154" s="72"/>
      <c r="DLW154" s="72"/>
      <c r="DLX154" s="72"/>
      <c r="DLY154" s="72"/>
      <c r="DLZ154" s="72"/>
      <c r="DMA154" s="72"/>
      <c r="DMB154" s="72"/>
      <c r="DMC154" s="72"/>
      <c r="DMD154" s="72"/>
      <c r="DME154" s="72"/>
      <c r="DMF154" s="72"/>
      <c r="DMG154" s="72"/>
      <c r="DMH154" s="72"/>
      <c r="DMI154" s="72"/>
      <c r="DMJ154" s="72"/>
      <c r="DMK154" s="72"/>
      <c r="DML154" s="72"/>
      <c r="DMM154" s="72"/>
      <c r="DMN154" s="72"/>
      <c r="DMO154" s="72"/>
      <c r="DMP154" s="72"/>
      <c r="DMQ154" s="72"/>
      <c r="DMR154" s="72"/>
      <c r="DMS154" s="72"/>
      <c r="DMT154" s="72"/>
      <c r="DMU154" s="72"/>
      <c r="DMV154" s="72"/>
      <c r="DMW154" s="72"/>
      <c r="DMX154" s="72"/>
      <c r="DMY154" s="72"/>
      <c r="DMZ154" s="72"/>
      <c r="DNA154" s="72"/>
      <c r="DNB154" s="72"/>
      <c r="DNC154" s="72"/>
      <c r="DND154" s="72"/>
      <c r="DNE154" s="72"/>
      <c r="DNF154" s="72"/>
      <c r="DNG154" s="72"/>
      <c r="DNH154" s="72"/>
      <c r="DNI154" s="72"/>
      <c r="DNJ154" s="72"/>
      <c r="DNK154" s="72"/>
      <c r="DNL154" s="72"/>
      <c r="DNM154" s="72"/>
      <c r="DNN154" s="72"/>
      <c r="DNO154" s="72"/>
      <c r="DNP154" s="72"/>
      <c r="DNQ154" s="72"/>
      <c r="DNR154" s="72"/>
      <c r="DNS154" s="72"/>
      <c r="DNT154" s="72"/>
      <c r="DNU154" s="72"/>
      <c r="DNV154" s="72"/>
      <c r="DNW154" s="72"/>
      <c r="DNX154" s="72"/>
      <c r="DNY154" s="72"/>
      <c r="DNZ154" s="72"/>
      <c r="DOA154" s="72"/>
      <c r="DOB154" s="72"/>
      <c r="DOC154" s="72"/>
      <c r="DOD154" s="72"/>
      <c r="DOE154" s="72"/>
      <c r="DOF154" s="72"/>
      <c r="DOG154" s="72"/>
      <c r="DOH154" s="72"/>
      <c r="DOI154" s="72"/>
      <c r="DOJ154" s="72"/>
      <c r="DOK154" s="72"/>
      <c r="DOL154" s="72"/>
      <c r="DOM154" s="72"/>
      <c r="DON154" s="72"/>
      <c r="DOO154" s="72"/>
      <c r="DOP154" s="72"/>
      <c r="DOQ154" s="72"/>
      <c r="DOR154" s="72"/>
      <c r="DOS154" s="72"/>
      <c r="DOT154" s="72"/>
      <c r="DOU154" s="72"/>
      <c r="DOV154" s="72"/>
      <c r="DOW154" s="72"/>
      <c r="DOX154" s="72"/>
      <c r="DOY154" s="72"/>
      <c r="DOZ154" s="72"/>
      <c r="DPA154" s="72"/>
      <c r="DPB154" s="72"/>
      <c r="DPC154" s="72"/>
      <c r="DPD154" s="72"/>
      <c r="DPE154" s="72"/>
      <c r="DPF154" s="72"/>
      <c r="DPG154" s="72"/>
      <c r="DPH154" s="72"/>
      <c r="DPI154" s="72"/>
      <c r="DPJ154" s="72"/>
      <c r="DPK154" s="72"/>
      <c r="DPL154" s="72"/>
      <c r="DPM154" s="72"/>
      <c r="DPN154" s="72"/>
      <c r="DPO154" s="72"/>
      <c r="DPP154" s="72"/>
      <c r="DPQ154" s="72"/>
      <c r="DPR154" s="72"/>
      <c r="DPS154" s="72"/>
      <c r="DPT154" s="72"/>
      <c r="DPU154" s="72"/>
      <c r="DPV154" s="72"/>
      <c r="DPW154" s="72"/>
      <c r="DPX154" s="72"/>
      <c r="DPY154" s="72"/>
      <c r="DPZ154" s="72"/>
      <c r="DQA154" s="72"/>
      <c r="DQB154" s="72"/>
      <c r="DQC154" s="72"/>
      <c r="DQD154" s="72"/>
      <c r="DQE154" s="72"/>
      <c r="DQF154" s="72"/>
      <c r="DQG154" s="72"/>
      <c r="DQH154" s="72"/>
      <c r="DQI154" s="72"/>
      <c r="DQJ154" s="72"/>
      <c r="DQK154" s="72"/>
      <c r="DQL154" s="72"/>
      <c r="DQM154" s="72"/>
      <c r="DQN154" s="72"/>
      <c r="DQO154" s="72"/>
      <c r="DQP154" s="72"/>
      <c r="DQQ154" s="72"/>
      <c r="DQR154" s="72"/>
      <c r="DQS154" s="72"/>
      <c r="DQT154" s="72"/>
      <c r="DQU154" s="72"/>
      <c r="DQV154" s="72"/>
      <c r="DQW154" s="72"/>
      <c r="DQX154" s="72"/>
      <c r="DQY154" s="72"/>
      <c r="DQZ154" s="72"/>
      <c r="DRA154" s="72"/>
      <c r="DRB154" s="72"/>
      <c r="DRC154" s="72"/>
      <c r="DRD154" s="72"/>
      <c r="DRE154" s="72"/>
      <c r="DRF154" s="72"/>
      <c r="DRG154" s="72"/>
      <c r="DRH154" s="72"/>
      <c r="DRI154" s="72"/>
      <c r="DRJ154" s="72"/>
      <c r="DRK154" s="72"/>
      <c r="DRL154" s="72"/>
      <c r="DRM154" s="72"/>
      <c r="DRN154" s="72"/>
      <c r="DRO154" s="72"/>
      <c r="DRP154" s="72"/>
      <c r="DRQ154" s="72"/>
      <c r="DRR154" s="72"/>
      <c r="DRS154" s="72"/>
      <c r="DRT154" s="72"/>
      <c r="DRU154" s="72"/>
      <c r="DRV154" s="72"/>
      <c r="DRW154" s="72"/>
      <c r="DRX154" s="72"/>
      <c r="DRY154" s="72"/>
      <c r="DRZ154" s="72"/>
      <c r="DSA154" s="72"/>
      <c r="DSB154" s="72"/>
      <c r="DSC154" s="72"/>
      <c r="DSD154" s="72"/>
      <c r="DSE154" s="72"/>
      <c r="DSF154" s="72"/>
      <c r="DSG154" s="72"/>
      <c r="DSH154" s="72"/>
      <c r="DSI154" s="72"/>
      <c r="DSJ154" s="72"/>
      <c r="DSK154" s="72"/>
      <c r="DSL154" s="72"/>
      <c r="DSM154" s="72"/>
      <c r="DSN154" s="72"/>
      <c r="DSO154" s="72"/>
      <c r="DSP154" s="72"/>
      <c r="DSQ154" s="72"/>
      <c r="DSR154" s="72"/>
      <c r="DSS154" s="72"/>
      <c r="DST154" s="72"/>
      <c r="DSU154" s="72"/>
      <c r="DSV154" s="72"/>
      <c r="DSW154" s="72"/>
      <c r="DSX154" s="72"/>
      <c r="DSY154" s="72"/>
      <c r="DSZ154" s="72"/>
      <c r="DTA154" s="72"/>
      <c r="DTB154" s="72"/>
      <c r="DTC154" s="72"/>
      <c r="DTD154" s="72"/>
      <c r="DTE154" s="72"/>
      <c r="DTF154" s="72"/>
      <c r="DTG154" s="72"/>
      <c r="DTH154" s="72"/>
      <c r="DTI154" s="72"/>
      <c r="DTJ154" s="72"/>
      <c r="DTK154" s="72"/>
      <c r="DTL154" s="72"/>
      <c r="DTM154" s="72"/>
      <c r="DTN154" s="72"/>
      <c r="DTO154" s="72"/>
      <c r="DTP154" s="72"/>
      <c r="DTQ154" s="72"/>
      <c r="DTR154" s="72"/>
      <c r="DTS154" s="72"/>
      <c r="DTT154" s="72"/>
      <c r="DTU154" s="72"/>
      <c r="DTV154" s="72"/>
      <c r="DTW154" s="72"/>
      <c r="DTX154" s="72"/>
      <c r="DTY154" s="72"/>
      <c r="DTZ154" s="72"/>
      <c r="DUA154" s="72"/>
      <c r="DUB154" s="72"/>
      <c r="DUC154" s="72"/>
      <c r="DUD154" s="72"/>
      <c r="DUE154" s="72"/>
      <c r="DUF154" s="72"/>
      <c r="DUG154" s="72"/>
      <c r="DUH154" s="72"/>
      <c r="DUI154" s="72"/>
      <c r="DUJ154" s="72"/>
      <c r="DUK154" s="72"/>
      <c r="DUL154" s="72"/>
      <c r="DUM154" s="72"/>
      <c r="DUN154" s="72"/>
      <c r="DUO154" s="72"/>
      <c r="DUP154" s="72"/>
      <c r="DUQ154" s="72"/>
      <c r="DUR154" s="72"/>
      <c r="DUS154" s="72"/>
      <c r="DUT154" s="72"/>
      <c r="DUU154" s="72"/>
      <c r="DUV154" s="72"/>
      <c r="DUW154" s="72"/>
      <c r="DUX154" s="72"/>
      <c r="DUY154" s="72"/>
      <c r="DUZ154" s="72"/>
      <c r="DVA154" s="72"/>
      <c r="DVB154" s="72"/>
      <c r="DVC154" s="72"/>
      <c r="DVD154" s="72"/>
      <c r="DVE154" s="72"/>
      <c r="DVF154" s="72"/>
      <c r="DVG154" s="72"/>
      <c r="DVH154" s="72"/>
      <c r="DVI154" s="72"/>
      <c r="DVJ154" s="72"/>
      <c r="DVK154" s="72"/>
      <c r="DVL154" s="72"/>
      <c r="DVM154" s="72"/>
      <c r="DVN154" s="72"/>
      <c r="DVO154" s="72"/>
      <c r="DVP154" s="72"/>
      <c r="DVQ154" s="72"/>
      <c r="DVR154" s="72"/>
      <c r="DVS154" s="72"/>
      <c r="DVT154" s="72"/>
      <c r="DVU154" s="72"/>
      <c r="DVV154" s="72"/>
      <c r="DVW154" s="72"/>
      <c r="DVX154" s="72"/>
      <c r="DVY154" s="72"/>
      <c r="DVZ154" s="72"/>
      <c r="DWA154" s="72"/>
      <c r="DWB154" s="72"/>
      <c r="DWC154" s="72"/>
      <c r="DWD154" s="72"/>
      <c r="DWE154" s="72"/>
      <c r="DWF154" s="72"/>
      <c r="DWG154" s="72"/>
      <c r="DWH154" s="72"/>
      <c r="DWI154" s="72"/>
      <c r="DWJ154" s="72"/>
      <c r="DWK154" s="72"/>
      <c r="DWL154" s="72"/>
      <c r="DWM154" s="72"/>
      <c r="DWN154" s="72"/>
      <c r="DWO154" s="72"/>
      <c r="DWP154" s="72"/>
      <c r="DWQ154" s="72"/>
      <c r="DWR154" s="72"/>
      <c r="DWS154" s="72"/>
      <c r="DWT154" s="72"/>
      <c r="DWU154" s="72"/>
      <c r="DWV154" s="72"/>
      <c r="DWW154" s="72"/>
      <c r="DWX154" s="72"/>
      <c r="DWY154" s="72"/>
      <c r="DWZ154" s="72"/>
      <c r="DXA154" s="72"/>
      <c r="DXB154" s="72"/>
      <c r="DXC154" s="72"/>
      <c r="DXD154" s="72"/>
      <c r="DXE154" s="72"/>
      <c r="DXF154" s="72"/>
      <c r="DXG154" s="72"/>
      <c r="DXH154" s="72"/>
      <c r="DXI154" s="72"/>
      <c r="DXJ154" s="72"/>
      <c r="DXK154" s="72"/>
      <c r="DXL154" s="72"/>
      <c r="DXM154" s="72"/>
      <c r="DXN154" s="72"/>
      <c r="DXO154" s="72"/>
      <c r="DXP154" s="72"/>
      <c r="DXQ154" s="72"/>
      <c r="DXR154" s="72"/>
      <c r="DXS154" s="72"/>
      <c r="DXT154" s="72"/>
      <c r="DXU154" s="72"/>
      <c r="DXV154" s="72"/>
      <c r="DXW154" s="72"/>
      <c r="DXX154" s="72"/>
      <c r="DXY154" s="72"/>
      <c r="DXZ154" s="72"/>
      <c r="DYA154" s="72"/>
      <c r="DYB154" s="72"/>
      <c r="DYC154" s="72"/>
      <c r="DYD154" s="72"/>
      <c r="DYE154" s="72"/>
      <c r="DYF154" s="72"/>
      <c r="DYG154" s="72"/>
      <c r="DYH154" s="72"/>
      <c r="DYI154" s="72"/>
      <c r="DYJ154" s="72"/>
      <c r="DYK154" s="72"/>
      <c r="DYL154" s="72"/>
      <c r="DYM154" s="72"/>
      <c r="DYN154" s="72"/>
      <c r="DYO154" s="72"/>
      <c r="DYP154" s="72"/>
      <c r="DYQ154" s="72"/>
      <c r="DYR154" s="72"/>
      <c r="DYS154" s="72"/>
      <c r="DYT154" s="72"/>
      <c r="DYU154" s="72"/>
      <c r="DYV154" s="72"/>
      <c r="DYW154" s="72"/>
      <c r="DYX154" s="72"/>
      <c r="DYY154" s="72"/>
      <c r="DYZ154" s="72"/>
      <c r="DZA154" s="72"/>
      <c r="DZB154" s="72"/>
      <c r="DZC154" s="72"/>
      <c r="DZD154" s="72"/>
      <c r="DZE154" s="72"/>
      <c r="DZF154" s="72"/>
      <c r="DZG154" s="72"/>
      <c r="DZH154" s="72"/>
      <c r="DZI154" s="72"/>
      <c r="DZJ154" s="72"/>
      <c r="DZK154" s="72"/>
      <c r="DZL154" s="72"/>
      <c r="DZM154" s="72"/>
      <c r="DZN154" s="72"/>
      <c r="DZO154" s="72"/>
      <c r="DZP154" s="72"/>
      <c r="DZQ154" s="72"/>
      <c r="DZR154" s="72"/>
      <c r="DZS154" s="72"/>
      <c r="DZT154" s="72"/>
      <c r="DZU154" s="72"/>
      <c r="DZV154" s="72"/>
      <c r="DZW154" s="72"/>
      <c r="DZX154" s="72"/>
      <c r="DZY154" s="72"/>
      <c r="DZZ154" s="72"/>
      <c r="EAA154" s="72"/>
      <c r="EAB154" s="72"/>
      <c r="EAC154" s="72"/>
      <c r="EAD154" s="72"/>
      <c r="EAE154" s="72"/>
      <c r="EAF154" s="72"/>
      <c r="EAG154" s="72"/>
      <c r="EAH154" s="72"/>
      <c r="EAI154" s="72"/>
      <c r="EAJ154" s="72"/>
      <c r="EAK154" s="72"/>
      <c r="EAL154" s="72"/>
      <c r="EAM154" s="72"/>
      <c r="EAN154" s="72"/>
      <c r="EAO154" s="72"/>
      <c r="EAP154" s="72"/>
      <c r="EAQ154" s="72"/>
      <c r="EAR154" s="72"/>
      <c r="EAS154" s="72"/>
      <c r="EAT154" s="72"/>
      <c r="EAU154" s="72"/>
      <c r="EAV154" s="72"/>
      <c r="EAW154" s="72"/>
      <c r="EAX154" s="72"/>
      <c r="EAY154" s="72"/>
      <c r="EAZ154" s="72"/>
      <c r="EBA154" s="72"/>
      <c r="EBB154" s="72"/>
      <c r="EBC154" s="72"/>
      <c r="EBD154" s="72"/>
      <c r="EBE154" s="72"/>
      <c r="EBF154" s="72"/>
      <c r="EBG154" s="72"/>
      <c r="EBH154" s="72"/>
      <c r="EBI154" s="72"/>
      <c r="EBJ154" s="72"/>
      <c r="EBK154" s="72"/>
      <c r="EBL154" s="72"/>
      <c r="EBM154" s="72"/>
      <c r="EBN154" s="72"/>
      <c r="EBO154" s="72"/>
      <c r="EBP154" s="72"/>
      <c r="EBQ154" s="72"/>
      <c r="EBR154" s="72"/>
      <c r="EBS154" s="72"/>
      <c r="EBT154" s="72"/>
      <c r="EBU154" s="72"/>
      <c r="EBV154" s="72"/>
      <c r="EBW154" s="72"/>
      <c r="EBX154" s="72"/>
      <c r="EBY154" s="72"/>
      <c r="EBZ154" s="72"/>
      <c r="ECA154" s="72"/>
      <c r="ECB154" s="72"/>
      <c r="ECC154" s="72"/>
      <c r="ECD154" s="72"/>
      <c r="ECE154" s="72"/>
      <c r="ECF154" s="72"/>
      <c r="ECG154" s="72"/>
      <c r="ECH154" s="72"/>
      <c r="ECI154" s="72"/>
      <c r="ECJ154" s="72"/>
      <c r="ECK154" s="72"/>
      <c r="ECL154" s="72"/>
      <c r="ECM154" s="72"/>
      <c r="ECN154" s="72"/>
      <c r="ECO154" s="72"/>
      <c r="ECP154" s="72"/>
      <c r="ECQ154" s="72"/>
      <c r="ECR154" s="72"/>
      <c r="ECS154" s="72"/>
      <c r="ECT154" s="72"/>
      <c r="ECU154" s="72"/>
      <c r="ECV154" s="72"/>
      <c r="ECW154" s="72"/>
      <c r="ECX154" s="72"/>
      <c r="ECY154" s="72"/>
      <c r="ECZ154" s="72"/>
      <c r="EDA154" s="72"/>
      <c r="EDB154" s="72"/>
      <c r="EDC154" s="72"/>
      <c r="EDD154" s="72"/>
      <c r="EDE154" s="72"/>
      <c r="EDF154" s="72"/>
      <c r="EDG154" s="72"/>
      <c r="EDH154" s="72"/>
      <c r="EDI154" s="72"/>
      <c r="EDJ154" s="72"/>
      <c r="EDK154" s="72"/>
      <c r="EDL154" s="72"/>
      <c r="EDM154" s="72"/>
      <c r="EDN154" s="72"/>
      <c r="EDO154" s="72"/>
      <c r="EDP154" s="72"/>
      <c r="EDQ154" s="72"/>
      <c r="EDR154" s="72"/>
      <c r="EDS154" s="72"/>
      <c r="EDT154" s="72"/>
      <c r="EDU154" s="72"/>
      <c r="EDV154" s="72"/>
      <c r="EDW154" s="72"/>
      <c r="EDX154" s="72"/>
      <c r="EDY154" s="72"/>
      <c r="EDZ154" s="72"/>
      <c r="EEA154" s="72"/>
      <c r="EEB154" s="72"/>
      <c r="EEC154" s="72"/>
      <c r="EED154" s="72"/>
      <c r="EEE154" s="72"/>
      <c r="EEF154" s="72"/>
      <c r="EEG154" s="72"/>
      <c r="EEH154" s="72"/>
      <c r="EEI154" s="72"/>
      <c r="EEJ154" s="72"/>
      <c r="EEK154" s="72"/>
      <c r="EEL154" s="72"/>
      <c r="EEM154" s="72"/>
      <c r="EEN154" s="72"/>
      <c r="EEO154" s="72"/>
      <c r="EEP154" s="72"/>
      <c r="EEQ154" s="72"/>
      <c r="EER154" s="72"/>
      <c r="EES154" s="72"/>
      <c r="EET154" s="72"/>
      <c r="EEU154" s="72"/>
      <c r="EEV154" s="72"/>
      <c r="EEW154" s="72"/>
      <c r="EEX154" s="72"/>
      <c r="EEY154" s="72"/>
      <c r="EEZ154" s="72"/>
      <c r="EFA154" s="72"/>
      <c r="EFB154" s="72"/>
      <c r="EFC154" s="72"/>
      <c r="EFD154" s="72"/>
      <c r="EFE154" s="72"/>
      <c r="EFF154" s="72"/>
      <c r="EFG154" s="72"/>
      <c r="EFH154" s="72"/>
      <c r="EFI154" s="72"/>
      <c r="EFJ154" s="72"/>
      <c r="EFK154" s="72"/>
      <c r="EFL154" s="72"/>
      <c r="EFM154" s="72"/>
      <c r="EFN154" s="72"/>
      <c r="EFO154" s="72"/>
      <c r="EFP154" s="72"/>
      <c r="EFQ154" s="72"/>
      <c r="EFR154" s="72"/>
      <c r="EFS154" s="72"/>
      <c r="EFT154" s="72"/>
      <c r="EFU154" s="72"/>
      <c r="EFV154" s="72"/>
      <c r="EFW154" s="72"/>
      <c r="EFX154" s="72"/>
      <c r="EFY154" s="72"/>
      <c r="EFZ154" s="72"/>
      <c r="EGA154" s="72"/>
      <c r="EGB154" s="72"/>
      <c r="EGC154" s="72"/>
      <c r="EGD154" s="72"/>
      <c r="EGE154" s="72"/>
      <c r="EGF154" s="72"/>
      <c r="EGG154" s="72"/>
      <c r="EGH154" s="72"/>
      <c r="EGI154" s="72"/>
      <c r="EGJ154" s="72"/>
      <c r="EGK154" s="72"/>
      <c r="EGL154" s="72"/>
      <c r="EGM154" s="72"/>
      <c r="EGN154" s="72"/>
      <c r="EGO154" s="72"/>
      <c r="EGP154" s="72"/>
      <c r="EGQ154" s="72"/>
      <c r="EGR154" s="72"/>
      <c r="EGS154" s="72"/>
      <c r="EGT154" s="72"/>
      <c r="EGU154" s="72"/>
      <c r="EGV154" s="72"/>
      <c r="EGW154" s="72"/>
      <c r="EGX154" s="72"/>
      <c r="EGY154" s="72"/>
      <c r="EGZ154" s="72"/>
      <c r="EHA154" s="72"/>
      <c r="EHB154" s="72"/>
      <c r="EHC154" s="72"/>
      <c r="EHD154" s="72"/>
      <c r="EHE154" s="72"/>
      <c r="EHF154" s="72"/>
      <c r="EHG154" s="72"/>
      <c r="EHH154" s="72"/>
      <c r="EHI154" s="72"/>
      <c r="EHJ154" s="72"/>
      <c r="EHK154" s="72"/>
      <c r="EHL154" s="72"/>
      <c r="EHM154" s="72"/>
      <c r="EHN154" s="72"/>
      <c r="EHO154" s="72"/>
      <c r="EHP154" s="72"/>
      <c r="EHQ154" s="72"/>
      <c r="EHR154" s="72"/>
      <c r="EHS154" s="72"/>
      <c r="EHT154" s="72"/>
      <c r="EHU154" s="72"/>
      <c r="EHV154" s="72"/>
      <c r="EHW154" s="72"/>
      <c r="EHX154" s="72"/>
      <c r="EHY154" s="72"/>
      <c r="EHZ154" s="72"/>
      <c r="EIA154" s="72"/>
      <c r="EIB154" s="72"/>
      <c r="EIC154" s="72"/>
      <c r="EID154" s="72"/>
      <c r="EIE154" s="72"/>
      <c r="EIF154" s="72"/>
      <c r="EIG154" s="72"/>
      <c r="EIH154" s="72"/>
      <c r="EII154" s="72"/>
      <c r="EIJ154" s="72"/>
      <c r="EIK154" s="72"/>
      <c r="EIL154" s="72"/>
      <c r="EIM154" s="72"/>
      <c r="EIN154" s="72"/>
      <c r="EIO154" s="72"/>
      <c r="EIP154" s="72"/>
      <c r="EIQ154" s="72"/>
      <c r="EIR154" s="72"/>
      <c r="EIS154" s="72"/>
      <c r="EIT154" s="72"/>
      <c r="EIU154" s="72"/>
      <c r="EIV154" s="72"/>
      <c r="EIW154" s="72"/>
      <c r="EIX154" s="72"/>
      <c r="EIY154" s="72"/>
      <c r="EIZ154" s="72"/>
      <c r="EJA154" s="72"/>
      <c r="EJB154" s="72"/>
      <c r="EJC154" s="72"/>
      <c r="EJD154" s="72"/>
      <c r="EJE154" s="72"/>
      <c r="EJF154" s="72"/>
      <c r="EJG154" s="72"/>
      <c r="EJH154" s="72"/>
      <c r="EJI154" s="72"/>
      <c r="EJJ154" s="72"/>
      <c r="EJK154" s="72"/>
      <c r="EJL154" s="72"/>
      <c r="EJM154" s="72"/>
      <c r="EJN154" s="72"/>
      <c r="EJO154" s="72"/>
      <c r="EJP154" s="72"/>
      <c r="EJQ154" s="72"/>
      <c r="EJR154" s="72"/>
      <c r="EJS154" s="72"/>
      <c r="EJT154" s="72"/>
      <c r="EJU154" s="72"/>
      <c r="EJV154" s="72"/>
      <c r="EJW154" s="72"/>
      <c r="EJX154" s="72"/>
      <c r="EJY154" s="72"/>
      <c r="EJZ154" s="72"/>
      <c r="EKA154" s="72"/>
      <c r="EKB154" s="72"/>
      <c r="EKC154" s="72"/>
      <c r="EKD154" s="72"/>
      <c r="EKE154" s="72"/>
      <c r="EKF154" s="72"/>
      <c r="EKG154" s="72"/>
      <c r="EKH154" s="72"/>
      <c r="EKI154" s="72"/>
      <c r="EKJ154" s="72"/>
      <c r="EKK154" s="72"/>
      <c r="EKL154" s="72"/>
      <c r="EKM154" s="72"/>
      <c r="EKN154" s="72"/>
      <c r="EKO154" s="72"/>
      <c r="EKP154" s="72"/>
      <c r="EKQ154" s="72"/>
      <c r="EKR154" s="72"/>
      <c r="EKS154" s="72"/>
      <c r="EKT154" s="72"/>
      <c r="EKU154" s="72"/>
      <c r="EKV154" s="72"/>
      <c r="EKW154" s="72"/>
      <c r="EKX154" s="72"/>
      <c r="EKY154" s="72"/>
      <c r="EKZ154" s="72"/>
      <c r="ELA154" s="72"/>
      <c r="ELB154" s="72"/>
      <c r="ELC154" s="72"/>
      <c r="ELD154" s="72"/>
      <c r="ELE154" s="72"/>
      <c r="ELF154" s="72"/>
      <c r="ELG154" s="72"/>
      <c r="ELH154" s="72"/>
      <c r="ELI154" s="72"/>
      <c r="ELJ154" s="72"/>
      <c r="ELK154" s="72"/>
      <c r="ELL154" s="72"/>
      <c r="ELM154" s="72"/>
      <c r="ELN154" s="72"/>
      <c r="ELO154" s="72"/>
      <c r="ELP154" s="72"/>
      <c r="ELQ154" s="72"/>
      <c r="ELR154" s="72"/>
      <c r="ELS154" s="72"/>
      <c r="ELT154" s="72"/>
      <c r="ELU154" s="72"/>
      <c r="ELV154" s="72"/>
      <c r="ELW154" s="72"/>
      <c r="ELX154" s="72"/>
      <c r="ELY154" s="72"/>
      <c r="ELZ154" s="72"/>
      <c r="EMA154" s="72"/>
      <c r="EMB154" s="72"/>
      <c r="EMC154" s="72"/>
      <c r="EMD154" s="72"/>
      <c r="EME154" s="72"/>
      <c r="EMF154" s="72"/>
      <c r="EMG154" s="72"/>
      <c r="EMH154" s="72"/>
      <c r="EMI154" s="72"/>
      <c r="EMJ154" s="72"/>
      <c r="EMK154" s="72"/>
      <c r="EML154" s="72"/>
      <c r="EMM154" s="72"/>
      <c r="EMN154" s="72"/>
      <c r="EMO154" s="72"/>
      <c r="EMP154" s="72"/>
      <c r="EMQ154" s="72"/>
      <c r="EMR154" s="72"/>
      <c r="EMS154" s="72"/>
      <c r="EMT154" s="72"/>
      <c r="EMU154" s="72"/>
      <c r="EMV154" s="72"/>
      <c r="EMW154" s="72"/>
      <c r="EMX154" s="72"/>
      <c r="EMY154" s="72"/>
      <c r="EMZ154" s="72"/>
      <c r="ENA154" s="72"/>
      <c r="ENB154" s="72"/>
      <c r="ENC154" s="72"/>
      <c r="END154" s="72"/>
      <c r="ENE154" s="72"/>
      <c r="ENF154" s="72"/>
      <c r="ENG154" s="72"/>
      <c r="ENH154" s="72"/>
      <c r="ENI154" s="72"/>
      <c r="ENJ154" s="72"/>
      <c r="ENK154" s="72"/>
      <c r="ENL154" s="72"/>
      <c r="ENM154" s="72"/>
      <c r="ENN154" s="72"/>
      <c r="ENO154" s="72"/>
      <c r="ENP154" s="72"/>
      <c r="ENQ154" s="72"/>
      <c r="ENR154" s="72"/>
      <c r="ENS154" s="72"/>
      <c r="ENT154" s="72"/>
      <c r="ENU154" s="72"/>
      <c r="ENV154" s="72"/>
      <c r="ENW154" s="72"/>
      <c r="ENX154" s="72"/>
      <c r="ENY154" s="72"/>
      <c r="ENZ154" s="72"/>
      <c r="EOA154" s="72"/>
      <c r="EOB154" s="72"/>
      <c r="EOC154" s="72"/>
      <c r="EOD154" s="72"/>
      <c r="EOE154" s="72"/>
      <c r="EOF154" s="72"/>
      <c r="EOG154" s="72"/>
      <c r="EOH154" s="72"/>
      <c r="EOI154" s="72"/>
      <c r="EOJ154" s="72"/>
      <c r="EOK154" s="72"/>
      <c r="EOL154" s="72"/>
      <c r="EOM154" s="72"/>
      <c r="EON154" s="72"/>
      <c r="EOO154" s="72"/>
      <c r="EOP154" s="72"/>
      <c r="EOQ154" s="72"/>
      <c r="EOR154" s="72"/>
      <c r="EOS154" s="72"/>
      <c r="EOT154" s="72"/>
      <c r="EOU154" s="72"/>
      <c r="EOV154" s="72"/>
      <c r="EOW154" s="72"/>
      <c r="EOX154" s="72"/>
      <c r="EOY154" s="72"/>
      <c r="EOZ154" s="72"/>
      <c r="EPA154" s="72"/>
      <c r="EPB154" s="72"/>
      <c r="EPC154" s="72"/>
      <c r="EPD154" s="72"/>
      <c r="EPE154" s="72"/>
      <c r="EPF154" s="72"/>
      <c r="EPG154" s="72"/>
      <c r="EPH154" s="72"/>
      <c r="EPI154" s="72"/>
      <c r="EPJ154" s="72"/>
      <c r="EPK154" s="72"/>
      <c r="EPL154" s="72"/>
      <c r="EPM154" s="72"/>
      <c r="EPN154" s="72"/>
      <c r="EPO154" s="72"/>
      <c r="EPP154" s="72"/>
      <c r="EPQ154" s="72"/>
      <c r="EPR154" s="72"/>
      <c r="EPS154" s="72"/>
      <c r="EPT154" s="72"/>
      <c r="EPU154" s="72"/>
      <c r="EPV154" s="72"/>
      <c r="EPW154" s="72"/>
      <c r="EPX154" s="72"/>
      <c r="EPY154" s="72"/>
      <c r="EPZ154" s="72"/>
      <c r="EQA154" s="72"/>
      <c r="EQB154" s="72"/>
      <c r="EQC154" s="72"/>
      <c r="EQD154" s="72"/>
      <c r="EQE154" s="72"/>
      <c r="EQF154" s="72"/>
      <c r="EQG154" s="72"/>
      <c r="EQH154" s="72"/>
      <c r="EQI154" s="72"/>
      <c r="EQJ154" s="72"/>
      <c r="EQK154" s="72"/>
      <c r="EQL154" s="72"/>
      <c r="EQM154" s="72"/>
      <c r="EQN154" s="72"/>
      <c r="EQO154" s="72"/>
      <c r="EQP154" s="72"/>
      <c r="EQQ154" s="72"/>
      <c r="EQR154" s="72"/>
      <c r="EQS154" s="72"/>
      <c r="EQT154" s="72"/>
      <c r="EQU154" s="72"/>
      <c r="EQV154" s="72"/>
      <c r="EQW154" s="72"/>
      <c r="EQX154" s="72"/>
      <c r="EQY154" s="72"/>
      <c r="EQZ154" s="72"/>
      <c r="ERA154" s="72"/>
      <c r="ERB154" s="72"/>
      <c r="ERC154" s="72"/>
      <c r="ERD154" s="72"/>
      <c r="ERE154" s="72"/>
      <c r="ERF154" s="72"/>
      <c r="ERG154" s="72"/>
      <c r="ERH154" s="72"/>
      <c r="ERI154" s="72"/>
      <c r="ERJ154" s="72"/>
      <c r="ERK154" s="72"/>
      <c r="ERL154" s="72"/>
      <c r="ERM154" s="72"/>
      <c r="ERN154" s="72"/>
      <c r="ERO154" s="72"/>
      <c r="ERP154" s="72"/>
      <c r="ERQ154" s="72"/>
      <c r="ERR154" s="72"/>
      <c r="ERS154" s="72"/>
      <c r="ERT154" s="72"/>
      <c r="ERU154" s="72"/>
      <c r="ERV154" s="72"/>
      <c r="ERW154" s="72"/>
      <c r="ERX154" s="72"/>
      <c r="ERY154" s="72"/>
      <c r="ERZ154" s="72"/>
      <c r="ESA154" s="72"/>
      <c r="ESB154" s="72"/>
      <c r="ESC154" s="72"/>
      <c r="ESD154" s="72"/>
      <c r="ESE154" s="72"/>
      <c r="ESF154" s="72"/>
      <c r="ESG154" s="72"/>
      <c r="ESH154" s="72"/>
      <c r="ESI154" s="72"/>
      <c r="ESJ154" s="72"/>
      <c r="ESK154" s="72"/>
      <c r="ESL154" s="72"/>
      <c r="ESM154" s="72"/>
      <c r="ESN154" s="72"/>
      <c r="ESO154" s="72"/>
      <c r="ESP154" s="72"/>
      <c r="ESQ154" s="72"/>
      <c r="ESR154" s="72"/>
      <c r="ESS154" s="72"/>
      <c r="EST154" s="72"/>
      <c r="ESU154" s="72"/>
      <c r="ESV154" s="72"/>
      <c r="ESW154" s="72"/>
      <c r="ESX154" s="72"/>
      <c r="ESY154" s="72"/>
      <c r="ESZ154" s="72"/>
      <c r="ETA154" s="72"/>
      <c r="ETB154" s="72"/>
      <c r="ETC154" s="72"/>
      <c r="ETD154" s="72"/>
      <c r="ETE154" s="72"/>
      <c r="ETF154" s="72"/>
      <c r="ETG154" s="72"/>
      <c r="ETH154" s="72"/>
      <c r="ETI154" s="72"/>
      <c r="ETJ154" s="72"/>
      <c r="ETK154" s="72"/>
      <c r="ETL154" s="72"/>
      <c r="ETM154" s="72"/>
      <c r="ETN154" s="72"/>
      <c r="ETO154" s="72"/>
      <c r="ETP154" s="72"/>
      <c r="ETQ154" s="72"/>
      <c r="ETR154" s="72"/>
      <c r="ETS154" s="72"/>
      <c r="ETT154" s="72"/>
      <c r="ETU154" s="72"/>
      <c r="ETV154" s="72"/>
      <c r="ETW154" s="72"/>
      <c r="ETX154" s="72"/>
      <c r="ETY154" s="72"/>
      <c r="ETZ154" s="72"/>
      <c r="EUA154" s="72"/>
      <c r="EUB154" s="72"/>
      <c r="EUC154" s="72"/>
      <c r="EUD154" s="72"/>
      <c r="EUE154" s="72"/>
      <c r="EUF154" s="72"/>
      <c r="EUG154" s="72"/>
      <c r="EUH154" s="72"/>
      <c r="EUI154" s="72"/>
      <c r="EUJ154" s="72"/>
      <c r="EUK154" s="72"/>
      <c r="EUL154" s="72"/>
      <c r="EUM154" s="72"/>
      <c r="EUN154" s="72"/>
      <c r="EUO154" s="72"/>
      <c r="EUP154" s="72"/>
      <c r="EUQ154" s="72"/>
      <c r="EUR154" s="72"/>
      <c r="EUS154" s="72"/>
      <c r="EUT154" s="72"/>
      <c r="EUU154" s="72"/>
      <c r="EUV154" s="72"/>
      <c r="EUW154" s="72"/>
      <c r="EUX154" s="72"/>
      <c r="EUY154" s="72"/>
      <c r="EUZ154" s="72"/>
      <c r="EVA154" s="72"/>
      <c r="EVB154" s="72"/>
      <c r="EVC154" s="72"/>
      <c r="EVD154" s="72"/>
      <c r="EVE154" s="72"/>
      <c r="EVF154" s="72"/>
      <c r="EVG154" s="72"/>
      <c r="EVH154" s="72"/>
      <c r="EVI154" s="72"/>
      <c r="EVJ154" s="72"/>
      <c r="EVK154" s="72"/>
      <c r="EVL154" s="72"/>
      <c r="EVM154" s="72"/>
      <c r="EVN154" s="72"/>
      <c r="EVO154" s="72"/>
      <c r="EVP154" s="72"/>
      <c r="EVQ154" s="72"/>
      <c r="EVR154" s="72"/>
      <c r="EVS154" s="72"/>
      <c r="EVT154" s="72"/>
      <c r="EVU154" s="72"/>
      <c r="EVV154" s="72"/>
      <c r="EVW154" s="72"/>
      <c r="EVX154" s="72"/>
      <c r="EVY154" s="72"/>
      <c r="EVZ154" s="72"/>
      <c r="EWA154" s="72"/>
      <c r="EWB154" s="72"/>
      <c r="EWC154" s="72"/>
      <c r="EWD154" s="72"/>
      <c r="EWE154" s="72"/>
      <c r="EWF154" s="72"/>
      <c r="EWG154" s="72"/>
      <c r="EWH154" s="72"/>
      <c r="EWI154" s="72"/>
      <c r="EWJ154" s="72"/>
      <c r="EWK154" s="72"/>
      <c r="EWL154" s="72"/>
      <c r="EWM154" s="72"/>
      <c r="EWN154" s="72"/>
      <c r="EWO154" s="72"/>
      <c r="EWP154" s="72"/>
      <c r="EWQ154" s="72"/>
      <c r="EWR154" s="72"/>
      <c r="EWS154" s="72"/>
      <c r="EWT154" s="72"/>
      <c r="EWU154" s="72"/>
      <c r="EWV154" s="72"/>
      <c r="EWW154" s="72"/>
      <c r="EWX154" s="72"/>
      <c r="EWY154" s="72"/>
      <c r="EWZ154" s="72"/>
      <c r="EXA154" s="72"/>
      <c r="EXB154" s="72"/>
      <c r="EXC154" s="72"/>
      <c r="EXD154" s="72"/>
      <c r="EXE154" s="72"/>
      <c r="EXF154" s="72"/>
      <c r="EXG154" s="72"/>
      <c r="EXH154" s="72"/>
      <c r="EXI154" s="72"/>
      <c r="EXJ154" s="72"/>
      <c r="EXK154" s="72"/>
      <c r="EXL154" s="72"/>
      <c r="EXM154" s="72"/>
      <c r="EXN154" s="72"/>
      <c r="EXO154" s="72"/>
      <c r="EXP154" s="72"/>
      <c r="EXQ154" s="72"/>
      <c r="EXR154" s="72"/>
      <c r="EXS154" s="72"/>
      <c r="EXT154" s="72"/>
      <c r="EXU154" s="72"/>
      <c r="EXV154" s="72"/>
      <c r="EXW154" s="72"/>
      <c r="EXX154" s="72"/>
      <c r="EXY154" s="72"/>
      <c r="EXZ154" s="72"/>
      <c r="EYA154" s="72"/>
      <c r="EYB154" s="72"/>
      <c r="EYC154" s="72"/>
      <c r="EYD154" s="72"/>
      <c r="EYE154" s="72"/>
      <c r="EYF154" s="72"/>
      <c r="EYG154" s="72"/>
      <c r="EYH154" s="72"/>
      <c r="EYI154" s="72"/>
      <c r="EYJ154" s="72"/>
      <c r="EYK154" s="72"/>
      <c r="EYL154" s="72"/>
      <c r="EYM154" s="72"/>
      <c r="EYN154" s="72"/>
      <c r="EYO154" s="72"/>
      <c r="EYP154" s="72"/>
      <c r="EYQ154" s="72"/>
      <c r="EYR154" s="72"/>
      <c r="EYS154" s="72"/>
      <c r="EYT154" s="72"/>
      <c r="EYU154" s="72"/>
      <c r="EYV154" s="72"/>
      <c r="EYW154" s="72"/>
      <c r="EYX154" s="72"/>
      <c r="EYY154" s="72"/>
      <c r="EYZ154" s="72"/>
      <c r="EZA154" s="72"/>
      <c r="EZB154" s="72"/>
      <c r="EZC154" s="72"/>
      <c r="EZD154" s="72"/>
      <c r="EZE154" s="72"/>
      <c r="EZF154" s="72"/>
      <c r="EZG154" s="72"/>
      <c r="EZH154" s="72"/>
      <c r="EZI154" s="72"/>
      <c r="EZJ154" s="72"/>
      <c r="EZK154" s="72"/>
      <c r="EZL154" s="72"/>
      <c r="EZM154" s="72"/>
      <c r="EZN154" s="72"/>
      <c r="EZO154" s="72"/>
      <c r="EZP154" s="72"/>
      <c r="EZQ154" s="72"/>
      <c r="EZR154" s="72"/>
      <c r="EZS154" s="72"/>
      <c r="EZT154" s="72"/>
      <c r="EZU154" s="72"/>
      <c r="EZV154" s="72"/>
      <c r="EZW154" s="72"/>
      <c r="EZX154" s="72"/>
      <c r="EZY154" s="72"/>
      <c r="EZZ154" s="72"/>
      <c r="FAA154" s="72"/>
      <c r="FAB154" s="72"/>
      <c r="FAC154" s="72"/>
      <c r="FAD154" s="72"/>
      <c r="FAE154" s="72"/>
      <c r="FAF154" s="72"/>
      <c r="FAG154" s="72"/>
      <c r="FAH154" s="72"/>
      <c r="FAI154" s="72"/>
      <c r="FAJ154" s="72"/>
      <c r="FAK154" s="72"/>
      <c r="FAL154" s="72"/>
      <c r="FAM154" s="72"/>
      <c r="FAN154" s="72"/>
      <c r="FAO154" s="72"/>
      <c r="FAP154" s="72"/>
      <c r="FAQ154" s="72"/>
      <c r="FAR154" s="72"/>
      <c r="FAS154" s="72"/>
      <c r="FAT154" s="72"/>
      <c r="FAU154" s="72"/>
      <c r="FAV154" s="72"/>
      <c r="FAW154" s="72"/>
      <c r="FAX154" s="72"/>
      <c r="FAY154" s="72"/>
      <c r="FAZ154" s="72"/>
      <c r="FBA154" s="72"/>
      <c r="FBB154" s="72"/>
      <c r="FBC154" s="72"/>
      <c r="FBD154" s="72"/>
      <c r="FBE154" s="72"/>
      <c r="FBF154" s="72"/>
      <c r="FBG154" s="72"/>
      <c r="FBH154" s="72"/>
      <c r="FBI154" s="72"/>
      <c r="FBJ154" s="72"/>
      <c r="FBK154" s="72"/>
      <c r="FBL154" s="72"/>
      <c r="FBM154" s="72"/>
      <c r="FBN154" s="72"/>
      <c r="FBO154" s="72"/>
      <c r="FBP154" s="72"/>
      <c r="FBQ154" s="72"/>
      <c r="FBR154" s="72"/>
      <c r="FBS154" s="72"/>
      <c r="FBT154" s="72"/>
      <c r="FBU154" s="72"/>
      <c r="FBV154" s="72"/>
      <c r="FBW154" s="72"/>
      <c r="FBX154" s="72"/>
      <c r="FBY154" s="72"/>
      <c r="FBZ154" s="72"/>
      <c r="FCA154" s="72"/>
      <c r="FCB154" s="72"/>
      <c r="FCC154" s="72"/>
      <c r="FCD154" s="72"/>
      <c r="FCE154" s="72"/>
      <c r="FCF154" s="72"/>
      <c r="FCG154" s="72"/>
      <c r="FCH154" s="72"/>
      <c r="FCI154" s="72"/>
      <c r="FCJ154" s="72"/>
      <c r="FCK154" s="72"/>
      <c r="FCL154" s="72"/>
      <c r="FCM154" s="72"/>
      <c r="FCN154" s="72"/>
      <c r="FCO154" s="72"/>
      <c r="FCP154" s="72"/>
      <c r="FCQ154" s="72"/>
      <c r="FCR154" s="72"/>
      <c r="FCS154" s="72"/>
      <c r="FCT154" s="72"/>
      <c r="FCU154" s="72"/>
      <c r="FCV154" s="72"/>
      <c r="FCW154" s="72"/>
      <c r="FCX154" s="72"/>
      <c r="FCY154" s="72"/>
      <c r="FCZ154" s="72"/>
      <c r="FDA154" s="72"/>
      <c r="FDB154" s="72"/>
      <c r="FDC154" s="72"/>
      <c r="FDD154" s="72"/>
      <c r="FDE154" s="72"/>
      <c r="FDF154" s="72"/>
      <c r="FDG154" s="72"/>
      <c r="FDH154" s="72"/>
      <c r="FDI154" s="72"/>
      <c r="FDJ154" s="72"/>
      <c r="FDK154" s="72"/>
      <c r="FDL154" s="72"/>
      <c r="FDM154" s="72"/>
      <c r="FDN154" s="72"/>
      <c r="FDO154" s="72"/>
      <c r="FDP154" s="72"/>
      <c r="FDQ154" s="72"/>
      <c r="FDR154" s="72"/>
      <c r="FDS154" s="72"/>
      <c r="FDT154" s="72"/>
      <c r="FDU154" s="72"/>
      <c r="FDV154" s="72"/>
      <c r="FDW154" s="72"/>
      <c r="FDX154" s="72"/>
      <c r="FDY154" s="72"/>
      <c r="FDZ154" s="72"/>
      <c r="FEA154" s="72"/>
      <c r="FEB154" s="72"/>
      <c r="FEC154" s="72"/>
      <c r="FED154" s="72"/>
      <c r="FEE154" s="72"/>
      <c r="FEF154" s="72"/>
      <c r="FEG154" s="72"/>
      <c r="FEH154" s="72"/>
      <c r="FEI154" s="72"/>
      <c r="FEJ154" s="72"/>
      <c r="FEK154" s="72"/>
      <c r="FEL154" s="72"/>
      <c r="FEM154" s="72"/>
      <c r="FEN154" s="72"/>
      <c r="FEO154" s="72"/>
      <c r="FEP154" s="72"/>
      <c r="FEQ154" s="72"/>
      <c r="FER154" s="72"/>
      <c r="FES154" s="72"/>
      <c r="FET154" s="72"/>
      <c r="FEU154" s="72"/>
      <c r="FEV154" s="72"/>
      <c r="FEW154" s="72"/>
      <c r="FEX154" s="72"/>
      <c r="FEY154" s="72"/>
      <c r="FEZ154" s="72"/>
      <c r="FFA154" s="72"/>
      <c r="FFB154" s="72"/>
      <c r="FFC154" s="72"/>
      <c r="FFD154" s="72"/>
      <c r="FFE154" s="72"/>
      <c r="FFF154" s="72"/>
      <c r="FFG154" s="72"/>
      <c r="FFH154" s="72"/>
      <c r="FFI154" s="72"/>
      <c r="FFJ154" s="72"/>
      <c r="FFK154" s="72"/>
      <c r="FFL154" s="72"/>
      <c r="FFM154" s="72"/>
      <c r="FFN154" s="72"/>
      <c r="FFO154" s="72"/>
      <c r="FFP154" s="72"/>
      <c r="FFQ154" s="72"/>
      <c r="FFR154" s="72"/>
      <c r="FFS154" s="72"/>
      <c r="FFT154" s="72"/>
      <c r="FFU154" s="72"/>
      <c r="FFV154" s="72"/>
      <c r="FFW154" s="72"/>
      <c r="FFX154" s="72"/>
      <c r="FFY154" s="72"/>
      <c r="FFZ154" s="72"/>
      <c r="FGA154" s="72"/>
      <c r="FGB154" s="72"/>
      <c r="FGC154" s="72"/>
      <c r="FGD154" s="72"/>
      <c r="FGE154" s="72"/>
      <c r="FGF154" s="72"/>
      <c r="FGG154" s="72"/>
      <c r="FGH154" s="72"/>
      <c r="FGI154" s="72"/>
      <c r="FGJ154" s="72"/>
      <c r="FGK154" s="72"/>
      <c r="FGL154" s="72"/>
      <c r="FGM154" s="72"/>
      <c r="FGN154" s="72"/>
      <c r="FGO154" s="72"/>
      <c r="FGP154" s="72"/>
      <c r="FGQ154" s="72"/>
      <c r="FGR154" s="72"/>
      <c r="FGS154" s="72"/>
      <c r="FGT154" s="72"/>
      <c r="FGU154" s="72"/>
      <c r="FGV154" s="72"/>
      <c r="FGW154" s="72"/>
      <c r="FGX154" s="72"/>
      <c r="FGY154" s="72"/>
      <c r="FGZ154" s="72"/>
      <c r="FHA154" s="72"/>
      <c r="FHB154" s="72"/>
      <c r="FHC154" s="72"/>
      <c r="FHD154" s="72"/>
      <c r="FHE154" s="72"/>
      <c r="FHF154" s="72"/>
      <c r="FHG154" s="72"/>
      <c r="FHH154" s="72"/>
      <c r="FHI154" s="72"/>
      <c r="FHJ154" s="72"/>
      <c r="FHK154" s="72"/>
      <c r="FHL154" s="72"/>
      <c r="FHM154" s="72"/>
      <c r="FHN154" s="72"/>
      <c r="FHO154" s="72"/>
      <c r="FHP154" s="72"/>
      <c r="FHQ154" s="72"/>
      <c r="FHR154" s="72"/>
      <c r="FHS154" s="72"/>
      <c r="FHT154" s="72"/>
      <c r="FHU154" s="72"/>
      <c r="FHV154" s="72"/>
      <c r="FHW154" s="72"/>
      <c r="FHX154" s="72"/>
      <c r="FHY154" s="72"/>
      <c r="FHZ154" s="72"/>
      <c r="FIA154" s="72"/>
      <c r="FIB154" s="72"/>
      <c r="FIC154" s="72"/>
      <c r="FID154" s="72"/>
      <c r="FIE154" s="72"/>
      <c r="FIF154" s="72"/>
      <c r="FIG154" s="72"/>
      <c r="FIH154" s="72"/>
      <c r="FII154" s="72"/>
      <c r="FIJ154" s="72"/>
      <c r="FIK154" s="72"/>
      <c r="FIL154" s="72"/>
      <c r="FIM154" s="72"/>
      <c r="FIN154" s="72"/>
      <c r="FIO154" s="72"/>
      <c r="FIP154" s="72"/>
      <c r="FIQ154" s="72"/>
      <c r="FIR154" s="72"/>
      <c r="FIS154" s="72"/>
      <c r="FIT154" s="72"/>
      <c r="FIU154" s="72"/>
      <c r="FIV154" s="72"/>
      <c r="FIW154" s="72"/>
      <c r="FIX154" s="72"/>
      <c r="FIY154" s="72"/>
      <c r="FIZ154" s="72"/>
      <c r="FJA154" s="72"/>
      <c r="FJB154" s="72"/>
      <c r="FJC154" s="72"/>
      <c r="FJD154" s="72"/>
      <c r="FJE154" s="72"/>
      <c r="FJF154" s="72"/>
      <c r="FJG154" s="72"/>
      <c r="FJH154" s="72"/>
      <c r="FJI154" s="72"/>
      <c r="FJJ154" s="72"/>
      <c r="FJK154" s="72"/>
      <c r="FJL154" s="72"/>
      <c r="FJM154" s="72"/>
      <c r="FJN154" s="72"/>
      <c r="FJO154" s="72"/>
      <c r="FJP154" s="72"/>
      <c r="FJQ154" s="72"/>
      <c r="FJR154" s="72"/>
      <c r="FJS154" s="72"/>
      <c r="FJT154" s="72"/>
      <c r="FJU154" s="72"/>
      <c r="FJV154" s="72"/>
      <c r="FJW154" s="72"/>
      <c r="FJX154" s="72"/>
      <c r="FJY154" s="72"/>
      <c r="FJZ154" s="72"/>
      <c r="FKA154" s="72"/>
      <c r="FKB154" s="72"/>
      <c r="FKC154" s="72"/>
      <c r="FKD154" s="72"/>
      <c r="FKE154" s="72"/>
      <c r="FKF154" s="72"/>
      <c r="FKG154" s="72"/>
      <c r="FKH154" s="72"/>
      <c r="FKI154" s="72"/>
      <c r="FKJ154" s="72"/>
      <c r="FKK154" s="72"/>
      <c r="FKL154" s="72"/>
      <c r="FKM154" s="72"/>
      <c r="FKN154" s="72"/>
      <c r="FKO154" s="72"/>
      <c r="FKP154" s="72"/>
      <c r="FKQ154" s="72"/>
      <c r="FKR154" s="72"/>
      <c r="FKS154" s="72"/>
      <c r="FKT154" s="72"/>
      <c r="FKU154" s="72"/>
      <c r="FKV154" s="72"/>
      <c r="FKW154" s="72"/>
      <c r="FKX154" s="72"/>
      <c r="FKY154" s="72"/>
      <c r="FKZ154" s="72"/>
      <c r="FLA154" s="72"/>
      <c r="FLB154" s="72"/>
      <c r="FLC154" s="72"/>
      <c r="FLD154" s="72"/>
      <c r="FLE154" s="72"/>
      <c r="FLF154" s="72"/>
      <c r="FLG154" s="72"/>
      <c r="FLH154" s="72"/>
      <c r="FLI154" s="72"/>
      <c r="FLJ154" s="72"/>
      <c r="FLK154" s="72"/>
      <c r="FLL154" s="72"/>
      <c r="FLM154" s="72"/>
      <c r="FLN154" s="72"/>
      <c r="FLO154" s="72"/>
      <c r="FLP154" s="72"/>
      <c r="FLQ154" s="72"/>
      <c r="FLR154" s="72"/>
      <c r="FLS154" s="72"/>
      <c r="FLT154" s="72"/>
      <c r="FLU154" s="72"/>
      <c r="FLV154" s="72"/>
      <c r="FLW154" s="72"/>
      <c r="FLX154" s="72"/>
      <c r="FLY154" s="72"/>
      <c r="FLZ154" s="72"/>
      <c r="FMA154" s="72"/>
      <c r="FMB154" s="72"/>
      <c r="FMC154" s="72"/>
      <c r="FMD154" s="72"/>
      <c r="FME154" s="72"/>
      <c r="FMF154" s="72"/>
      <c r="FMG154" s="72"/>
      <c r="FMH154" s="72"/>
      <c r="FMI154" s="72"/>
      <c r="FMJ154" s="72"/>
      <c r="FMK154" s="72"/>
      <c r="FML154" s="72"/>
      <c r="FMM154" s="72"/>
      <c r="FMN154" s="72"/>
      <c r="FMO154" s="72"/>
      <c r="FMP154" s="72"/>
      <c r="FMQ154" s="72"/>
      <c r="FMR154" s="72"/>
      <c r="FMS154" s="72"/>
      <c r="FMT154" s="72"/>
      <c r="FMU154" s="72"/>
      <c r="FMV154" s="72"/>
      <c r="FMW154" s="72"/>
      <c r="FMX154" s="72"/>
      <c r="FMY154" s="72"/>
      <c r="FMZ154" s="72"/>
      <c r="FNA154" s="72"/>
      <c r="FNB154" s="72"/>
      <c r="FNC154" s="72"/>
      <c r="FND154" s="72"/>
      <c r="FNE154" s="72"/>
      <c r="FNF154" s="72"/>
      <c r="FNG154" s="72"/>
      <c r="FNH154" s="72"/>
      <c r="FNI154" s="72"/>
      <c r="FNJ154" s="72"/>
      <c r="FNK154" s="72"/>
      <c r="FNL154" s="72"/>
      <c r="FNM154" s="72"/>
      <c r="FNN154" s="72"/>
      <c r="FNO154" s="72"/>
      <c r="FNP154" s="72"/>
      <c r="FNQ154" s="72"/>
      <c r="FNR154" s="72"/>
      <c r="FNS154" s="72"/>
      <c r="FNT154" s="72"/>
      <c r="FNU154" s="72"/>
      <c r="FNV154" s="72"/>
      <c r="FNW154" s="72"/>
      <c r="FNX154" s="72"/>
      <c r="FNY154" s="72"/>
      <c r="FNZ154" s="72"/>
      <c r="FOA154" s="72"/>
      <c r="FOB154" s="72"/>
      <c r="FOC154" s="72"/>
      <c r="FOD154" s="72"/>
      <c r="FOE154" s="72"/>
      <c r="FOF154" s="72"/>
      <c r="FOG154" s="72"/>
      <c r="FOH154" s="72"/>
      <c r="FOI154" s="72"/>
      <c r="FOJ154" s="72"/>
      <c r="FOK154" s="72"/>
      <c r="FOL154" s="72"/>
      <c r="FOM154" s="72"/>
      <c r="FON154" s="72"/>
      <c r="FOO154" s="72"/>
      <c r="FOP154" s="72"/>
      <c r="FOQ154" s="72"/>
      <c r="FOR154" s="72"/>
      <c r="FOS154" s="72"/>
      <c r="FOT154" s="72"/>
      <c r="FOU154" s="72"/>
      <c r="FOV154" s="72"/>
      <c r="FOW154" s="72"/>
      <c r="FOX154" s="72"/>
      <c r="FOY154" s="72"/>
      <c r="FOZ154" s="72"/>
      <c r="FPA154" s="72"/>
      <c r="FPB154" s="72"/>
      <c r="FPC154" s="72"/>
      <c r="FPD154" s="72"/>
      <c r="FPE154" s="72"/>
      <c r="FPF154" s="72"/>
      <c r="FPG154" s="72"/>
      <c r="FPH154" s="72"/>
      <c r="FPI154" s="72"/>
      <c r="FPJ154" s="72"/>
      <c r="FPK154" s="72"/>
      <c r="FPL154" s="72"/>
      <c r="FPM154" s="72"/>
      <c r="FPN154" s="72"/>
      <c r="FPO154" s="72"/>
      <c r="FPP154" s="72"/>
      <c r="FPQ154" s="72"/>
      <c r="FPR154" s="72"/>
      <c r="FPS154" s="72"/>
      <c r="FPT154" s="72"/>
      <c r="FPU154" s="72"/>
      <c r="FPV154" s="72"/>
      <c r="FPW154" s="72"/>
      <c r="FPX154" s="72"/>
      <c r="FPY154" s="72"/>
      <c r="FPZ154" s="72"/>
      <c r="FQA154" s="72"/>
      <c r="FQB154" s="72"/>
      <c r="FQC154" s="72"/>
      <c r="FQD154" s="72"/>
      <c r="FQE154" s="72"/>
      <c r="FQF154" s="72"/>
      <c r="FQG154" s="72"/>
      <c r="FQH154" s="72"/>
      <c r="FQI154" s="72"/>
      <c r="FQJ154" s="72"/>
      <c r="FQK154" s="72"/>
      <c r="FQL154" s="72"/>
      <c r="FQM154" s="72"/>
      <c r="FQN154" s="72"/>
      <c r="FQO154" s="72"/>
      <c r="FQP154" s="72"/>
      <c r="FQQ154" s="72"/>
      <c r="FQR154" s="72"/>
      <c r="FQS154" s="72"/>
      <c r="FQT154" s="72"/>
      <c r="FQU154" s="72"/>
      <c r="FQV154" s="72"/>
      <c r="FQW154" s="72"/>
      <c r="FQX154" s="72"/>
      <c r="FQY154" s="72"/>
      <c r="FQZ154" s="72"/>
      <c r="FRA154" s="72"/>
      <c r="FRB154" s="72"/>
      <c r="FRC154" s="72"/>
      <c r="FRD154" s="72"/>
      <c r="FRE154" s="72"/>
      <c r="FRF154" s="72"/>
      <c r="FRG154" s="72"/>
      <c r="FRH154" s="72"/>
      <c r="FRI154" s="72"/>
      <c r="FRJ154" s="72"/>
      <c r="FRK154" s="72"/>
      <c r="FRL154" s="72"/>
      <c r="FRM154" s="72"/>
      <c r="FRN154" s="72"/>
      <c r="FRO154" s="72"/>
      <c r="FRP154" s="72"/>
      <c r="FRQ154" s="72"/>
      <c r="FRR154" s="72"/>
      <c r="FRS154" s="72"/>
      <c r="FRT154" s="72"/>
      <c r="FRU154" s="72"/>
      <c r="FRV154" s="72"/>
      <c r="FRW154" s="72"/>
      <c r="FRX154" s="72"/>
      <c r="FRY154" s="72"/>
      <c r="FRZ154" s="72"/>
      <c r="FSA154" s="72"/>
      <c r="FSB154" s="72"/>
      <c r="FSC154" s="72"/>
      <c r="FSD154" s="72"/>
      <c r="FSE154" s="72"/>
      <c r="FSF154" s="72"/>
      <c r="FSG154" s="72"/>
      <c r="FSH154" s="72"/>
      <c r="FSI154" s="72"/>
      <c r="FSJ154" s="72"/>
      <c r="FSK154" s="72"/>
      <c r="FSL154" s="72"/>
      <c r="FSM154" s="72"/>
      <c r="FSN154" s="72"/>
      <c r="FSO154" s="72"/>
      <c r="FSP154" s="72"/>
      <c r="FSQ154" s="72"/>
      <c r="FSR154" s="72"/>
      <c r="FSS154" s="72"/>
      <c r="FST154" s="72"/>
      <c r="FSU154" s="72"/>
      <c r="FSV154" s="72"/>
      <c r="FSW154" s="72"/>
      <c r="FSX154" s="72"/>
      <c r="FSY154" s="72"/>
      <c r="FSZ154" s="72"/>
      <c r="FTA154" s="72"/>
      <c r="FTB154" s="72"/>
      <c r="FTC154" s="72"/>
      <c r="FTD154" s="72"/>
      <c r="FTE154" s="72"/>
      <c r="FTF154" s="72"/>
      <c r="FTG154" s="72"/>
      <c r="FTH154" s="72"/>
      <c r="FTI154" s="72"/>
      <c r="FTJ154" s="72"/>
      <c r="FTK154" s="72"/>
      <c r="FTL154" s="72"/>
      <c r="FTM154" s="72"/>
      <c r="FTN154" s="72"/>
      <c r="FTO154" s="72"/>
      <c r="FTP154" s="72"/>
      <c r="FTQ154" s="72"/>
      <c r="FTR154" s="72"/>
      <c r="FTS154" s="72"/>
      <c r="FTT154" s="72"/>
      <c r="FTU154" s="72"/>
      <c r="FTV154" s="72"/>
      <c r="FTW154" s="72"/>
      <c r="FTX154" s="72"/>
      <c r="FTY154" s="72"/>
      <c r="FTZ154" s="72"/>
      <c r="FUA154" s="72"/>
      <c r="FUB154" s="72"/>
      <c r="FUC154" s="72"/>
      <c r="FUD154" s="72"/>
      <c r="FUE154" s="72"/>
      <c r="FUF154" s="72"/>
      <c r="FUG154" s="72"/>
      <c r="FUH154" s="72"/>
      <c r="FUI154" s="72"/>
      <c r="FUJ154" s="72"/>
      <c r="FUK154" s="72"/>
      <c r="FUL154" s="72"/>
      <c r="FUM154" s="72"/>
      <c r="FUN154" s="72"/>
      <c r="FUO154" s="72"/>
      <c r="FUP154" s="72"/>
      <c r="FUQ154" s="72"/>
      <c r="FUR154" s="72"/>
      <c r="FUS154" s="72"/>
      <c r="FUT154" s="72"/>
      <c r="FUU154" s="72"/>
      <c r="FUV154" s="72"/>
      <c r="FUW154" s="72"/>
      <c r="FUX154" s="72"/>
      <c r="FUY154" s="72"/>
      <c r="FUZ154" s="72"/>
      <c r="FVA154" s="72"/>
      <c r="FVB154" s="72"/>
      <c r="FVC154" s="72"/>
      <c r="FVD154" s="72"/>
      <c r="FVE154" s="72"/>
      <c r="FVF154" s="72"/>
      <c r="FVG154" s="72"/>
      <c r="FVH154" s="72"/>
      <c r="FVI154" s="72"/>
      <c r="FVJ154" s="72"/>
      <c r="FVK154" s="72"/>
      <c r="FVL154" s="72"/>
      <c r="FVM154" s="72"/>
      <c r="FVN154" s="72"/>
      <c r="FVO154" s="72"/>
      <c r="FVP154" s="72"/>
      <c r="FVQ154" s="72"/>
      <c r="FVR154" s="72"/>
      <c r="FVS154" s="72"/>
      <c r="FVT154" s="72"/>
      <c r="FVU154" s="72"/>
      <c r="FVV154" s="72"/>
      <c r="FVW154" s="72"/>
      <c r="FVX154" s="72"/>
      <c r="FVY154" s="72"/>
      <c r="FVZ154" s="72"/>
      <c r="FWA154" s="72"/>
      <c r="FWB154" s="72"/>
      <c r="FWC154" s="72"/>
      <c r="FWD154" s="72"/>
      <c r="FWE154" s="72"/>
      <c r="FWF154" s="72"/>
      <c r="FWG154" s="72"/>
      <c r="FWH154" s="72"/>
      <c r="FWI154" s="72"/>
      <c r="FWJ154" s="72"/>
      <c r="FWK154" s="72"/>
      <c r="FWL154" s="72"/>
      <c r="FWM154" s="72"/>
      <c r="FWN154" s="72"/>
      <c r="FWO154" s="72"/>
      <c r="FWP154" s="72"/>
      <c r="FWQ154" s="72"/>
      <c r="FWR154" s="72"/>
      <c r="FWS154" s="72"/>
      <c r="FWT154" s="72"/>
      <c r="FWU154" s="72"/>
      <c r="FWV154" s="72"/>
      <c r="FWW154" s="72"/>
      <c r="FWX154" s="72"/>
      <c r="FWY154" s="72"/>
      <c r="FWZ154" s="72"/>
      <c r="FXA154" s="72"/>
      <c r="FXB154" s="72"/>
      <c r="FXC154" s="72"/>
      <c r="FXD154" s="72"/>
      <c r="FXE154" s="72"/>
      <c r="FXF154" s="72"/>
      <c r="FXG154" s="72"/>
      <c r="FXH154" s="72"/>
      <c r="FXI154" s="72"/>
      <c r="FXJ154" s="72"/>
      <c r="FXK154" s="72"/>
      <c r="FXL154" s="72"/>
      <c r="FXM154" s="72"/>
      <c r="FXN154" s="72"/>
      <c r="FXO154" s="72"/>
      <c r="FXP154" s="72"/>
      <c r="FXQ154" s="72"/>
      <c r="FXR154" s="72"/>
      <c r="FXS154" s="72"/>
      <c r="FXT154" s="72"/>
      <c r="FXU154" s="72"/>
      <c r="FXV154" s="72"/>
      <c r="FXW154" s="72"/>
      <c r="FXX154" s="72"/>
      <c r="FXY154" s="72"/>
      <c r="FXZ154" s="72"/>
      <c r="FYA154" s="72"/>
      <c r="FYB154" s="72"/>
      <c r="FYC154" s="72"/>
      <c r="FYD154" s="72"/>
      <c r="FYE154" s="72"/>
      <c r="FYF154" s="72"/>
      <c r="FYG154" s="72"/>
      <c r="FYH154" s="72"/>
      <c r="FYI154" s="72"/>
      <c r="FYJ154" s="72"/>
      <c r="FYK154" s="72"/>
      <c r="FYL154" s="72"/>
      <c r="FYM154" s="72"/>
      <c r="FYN154" s="72"/>
      <c r="FYO154" s="72"/>
      <c r="FYP154" s="72"/>
      <c r="FYQ154" s="72"/>
      <c r="FYR154" s="72"/>
      <c r="FYS154" s="72"/>
      <c r="FYT154" s="72"/>
      <c r="FYU154" s="72"/>
      <c r="FYV154" s="72"/>
      <c r="FYW154" s="72"/>
      <c r="FYX154" s="72"/>
      <c r="FYY154" s="72"/>
      <c r="FYZ154" s="72"/>
      <c r="FZA154" s="72"/>
      <c r="FZB154" s="72"/>
      <c r="FZC154" s="72"/>
      <c r="FZD154" s="72"/>
      <c r="FZE154" s="72"/>
      <c r="FZF154" s="72"/>
      <c r="FZG154" s="72"/>
      <c r="FZH154" s="72"/>
      <c r="FZI154" s="72"/>
      <c r="FZJ154" s="72"/>
      <c r="FZK154" s="72"/>
      <c r="FZL154" s="72"/>
      <c r="FZM154" s="72"/>
      <c r="FZN154" s="72"/>
      <c r="FZO154" s="72"/>
      <c r="FZP154" s="72"/>
      <c r="FZQ154" s="72"/>
      <c r="FZR154" s="72"/>
      <c r="FZS154" s="72"/>
      <c r="FZT154" s="72"/>
      <c r="FZU154" s="72"/>
      <c r="FZV154" s="72"/>
      <c r="FZW154" s="72"/>
      <c r="FZX154" s="72"/>
      <c r="FZY154" s="72"/>
      <c r="FZZ154" s="72"/>
      <c r="GAA154" s="72"/>
      <c r="GAB154" s="72"/>
      <c r="GAC154" s="72"/>
      <c r="GAD154" s="72"/>
      <c r="GAE154" s="72"/>
      <c r="GAF154" s="72"/>
      <c r="GAG154" s="72"/>
      <c r="GAH154" s="72"/>
      <c r="GAI154" s="72"/>
      <c r="GAJ154" s="72"/>
      <c r="GAK154" s="72"/>
      <c r="GAL154" s="72"/>
      <c r="GAM154" s="72"/>
      <c r="GAN154" s="72"/>
      <c r="GAO154" s="72"/>
      <c r="GAP154" s="72"/>
      <c r="GAQ154" s="72"/>
      <c r="GAR154" s="72"/>
      <c r="GAS154" s="72"/>
      <c r="GAT154" s="72"/>
      <c r="GAU154" s="72"/>
      <c r="GAV154" s="72"/>
      <c r="GAW154" s="72"/>
      <c r="GAX154" s="72"/>
      <c r="GAY154" s="72"/>
      <c r="GAZ154" s="72"/>
      <c r="GBA154" s="72"/>
      <c r="GBB154" s="72"/>
      <c r="GBC154" s="72"/>
      <c r="GBD154" s="72"/>
      <c r="GBE154" s="72"/>
      <c r="GBF154" s="72"/>
      <c r="GBG154" s="72"/>
      <c r="GBH154" s="72"/>
      <c r="GBI154" s="72"/>
      <c r="GBJ154" s="72"/>
      <c r="GBK154" s="72"/>
      <c r="GBL154" s="72"/>
      <c r="GBM154" s="72"/>
      <c r="GBN154" s="72"/>
      <c r="GBO154" s="72"/>
      <c r="GBP154" s="72"/>
      <c r="GBQ154" s="72"/>
      <c r="GBR154" s="72"/>
      <c r="GBS154" s="72"/>
      <c r="GBT154" s="72"/>
      <c r="GBU154" s="72"/>
      <c r="GBV154" s="72"/>
      <c r="GBW154" s="72"/>
      <c r="GBX154" s="72"/>
      <c r="GBY154" s="72"/>
      <c r="GBZ154" s="72"/>
      <c r="GCA154" s="72"/>
      <c r="GCB154" s="72"/>
      <c r="GCC154" s="72"/>
      <c r="GCD154" s="72"/>
      <c r="GCE154" s="72"/>
      <c r="GCF154" s="72"/>
      <c r="GCG154" s="72"/>
      <c r="GCH154" s="72"/>
      <c r="GCI154" s="72"/>
      <c r="GCJ154" s="72"/>
      <c r="GCK154" s="72"/>
      <c r="GCL154" s="72"/>
      <c r="GCM154" s="72"/>
      <c r="GCN154" s="72"/>
      <c r="GCO154" s="72"/>
      <c r="GCP154" s="72"/>
      <c r="GCQ154" s="72"/>
      <c r="GCR154" s="72"/>
      <c r="GCS154" s="72"/>
      <c r="GCT154" s="72"/>
      <c r="GCU154" s="72"/>
      <c r="GCV154" s="72"/>
      <c r="GCW154" s="72"/>
      <c r="GCX154" s="72"/>
      <c r="GCY154" s="72"/>
      <c r="GCZ154" s="72"/>
      <c r="GDA154" s="72"/>
      <c r="GDB154" s="72"/>
      <c r="GDC154" s="72"/>
      <c r="GDD154" s="72"/>
      <c r="GDE154" s="72"/>
      <c r="GDF154" s="72"/>
      <c r="GDG154" s="72"/>
      <c r="GDH154" s="72"/>
      <c r="GDI154" s="72"/>
      <c r="GDJ154" s="72"/>
      <c r="GDK154" s="72"/>
      <c r="GDL154" s="72"/>
      <c r="GDM154" s="72"/>
      <c r="GDN154" s="72"/>
      <c r="GDO154" s="72"/>
      <c r="GDP154" s="72"/>
      <c r="GDQ154" s="72"/>
      <c r="GDR154" s="72"/>
      <c r="GDS154" s="72"/>
      <c r="GDT154" s="72"/>
      <c r="GDU154" s="72"/>
      <c r="GDV154" s="72"/>
      <c r="GDW154" s="72"/>
      <c r="GDX154" s="72"/>
      <c r="GDY154" s="72"/>
      <c r="GDZ154" s="72"/>
      <c r="GEA154" s="72"/>
      <c r="GEB154" s="72"/>
      <c r="GEC154" s="72"/>
      <c r="GED154" s="72"/>
      <c r="GEE154" s="72"/>
      <c r="GEF154" s="72"/>
      <c r="GEG154" s="72"/>
      <c r="GEH154" s="72"/>
      <c r="GEI154" s="72"/>
      <c r="GEJ154" s="72"/>
      <c r="GEK154" s="72"/>
      <c r="GEL154" s="72"/>
      <c r="GEM154" s="72"/>
      <c r="GEN154" s="72"/>
      <c r="GEO154" s="72"/>
      <c r="GEP154" s="72"/>
      <c r="GEQ154" s="72"/>
      <c r="GER154" s="72"/>
      <c r="GES154" s="72"/>
      <c r="GET154" s="72"/>
      <c r="GEU154" s="72"/>
      <c r="GEV154" s="72"/>
      <c r="GEW154" s="72"/>
      <c r="GEX154" s="72"/>
      <c r="GEY154" s="72"/>
      <c r="GEZ154" s="72"/>
      <c r="GFA154" s="72"/>
      <c r="GFB154" s="72"/>
      <c r="GFC154" s="72"/>
      <c r="GFD154" s="72"/>
      <c r="GFE154" s="72"/>
      <c r="GFF154" s="72"/>
      <c r="GFG154" s="72"/>
      <c r="GFH154" s="72"/>
      <c r="GFI154" s="72"/>
      <c r="GFJ154" s="72"/>
      <c r="GFK154" s="72"/>
      <c r="GFL154" s="72"/>
      <c r="GFM154" s="72"/>
      <c r="GFN154" s="72"/>
      <c r="GFO154" s="72"/>
      <c r="GFP154" s="72"/>
      <c r="GFQ154" s="72"/>
      <c r="GFR154" s="72"/>
      <c r="GFS154" s="72"/>
      <c r="GFT154" s="72"/>
      <c r="GFU154" s="72"/>
      <c r="GFV154" s="72"/>
      <c r="GFW154" s="72"/>
      <c r="GFX154" s="72"/>
      <c r="GFY154" s="72"/>
      <c r="GFZ154" s="72"/>
      <c r="GGA154" s="72"/>
      <c r="GGB154" s="72"/>
      <c r="GGC154" s="72"/>
      <c r="GGD154" s="72"/>
      <c r="GGE154" s="72"/>
      <c r="GGF154" s="72"/>
      <c r="GGG154" s="72"/>
      <c r="GGH154" s="72"/>
      <c r="GGI154" s="72"/>
      <c r="GGJ154" s="72"/>
      <c r="GGK154" s="72"/>
      <c r="GGL154" s="72"/>
      <c r="GGM154" s="72"/>
      <c r="GGN154" s="72"/>
      <c r="GGO154" s="72"/>
      <c r="GGP154" s="72"/>
      <c r="GGQ154" s="72"/>
      <c r="GGR154" s="72"/>
      <c r="GGS154" s="72"/>
      <c r="GGT154" s="72"/>
      <c r="GGU154" s="72"/>
      <c r="GGV154" s="72"/>
      <c r="GGW154" s="72"/>
      <c r="GGX154" s="72"/>
      <c r="GGY154" s="72"/>
      <c r="GGZ154" s="72"/>
      <c r="GHA154" s="72"/>
      <c r="GHB154" s="72"/>
      <c r="GHC154" s="72"/>
      <c r="GHD154" s="72"/>
      <c r="GHE154" s="72"/>
      <c r="GHF154" s="72"/>
      <c r="GHG154" s="72"/>
      <c r="GHH154" s="72"/>
      <c r="GHI154" s="72"/>
      <c r="GHJ154" s="72"/>
      <c r="GHK154" s="72"/>
      <c r="GHL154" s="72"/>
      <c r="GHM154" s="72"/>
      <c r="GHN154" s="72"/>
      <c r="GHO154" s="72"/>
      <c r="GHP154" s="72"/>
      <c r="GHQ154" s="72"/>
      <c r="GHR154" s="72"/>
      <c r="GHS154" s="72"/>
      <c r="GHT154" s="72"/>
      <c r="GHU154" s="72"/>
      <c r="GHV154" s="72"/>
      <c r="GHW154" s="72"/>
      <c r="GHX154" s="72"/>
      <c r="GHY154" s="72"/>
      <c r="GHZ154" s="72"/>
      <c r="GIA154" s="72"/>
      <c r="GIB154" s="72"/>
      <c r="GIC154" s="72"/>
      <c r="GID154" s="72"/>
      <c r="GIE154" s="72"/>
      <c r="GIF154" s="72"/>
      <c r="GIG154" s="72"/>
      <c r="GIH154" s="72"/>
      <c r="GII154" s="72"/>
      <c r="GIJ154" s="72"/>
      <c r="GIK154" s="72"/>
      <c r="GIL154" s="72"/>
      <c r="GIM154" s="72"/>
      <c r="GIN154" s="72"/>
      <c r="GIO154" s="72"/>
      <c r="GIP154" s="72"/>
      <c r="GIQ154" s="72"/>
      <c r="GIR154" s="72"/>
      <c r="GIS154" s="72"/>
      <c r="GIT154" s="72"/>
      <c r="GIU154" s="72"/>
      <c r="GIV154" s="72"/>
      <c r="GIW154" s="72"/>
      <c r="GIX154" s="72"/>
      <c r="GIY154" s="72"/>
      <c r="GIZ154" s="72"/>
      <c r="GJA154" s="72"/>
      <c r="GJB154" s="72"/>
      <c r="GJC154" s="72"/>
      <c r="GJD154" s="72"/>
      <c r="GJE154" s="72"/>
      <c r="GJF154" s="72"/>
      <c r="GJG154" s="72"/>
      <c r="GJH154" s="72"/>
      <c r="GJI154" s="72"/>
      <c r="GJJ154" s="72"/>
      <c r="GJK154" s="72"/>
      <c r="GJL154" s="72"/>
      <c r="GJM154" s="72"/>
      <c r="GJN154" s="72"/>
      <c r="GJO154" s="72"/>
      <c r="GJP154" s="72"/>
      <c r="GJQ154" s="72"/>
      <c r="GJR154" s="72"/>
      <c r="GJS154" s="72"/>
      <c r="GJT154" s="72"/>
      <c r="GJU154" s="72"/>
      <c r="GJV154" s="72"/>
      <c r="GJW154" s="72"/>
      <c r="GJX154" s="72"/>
      <c r="GJY154" s="72"/>
      <c r="GJZ154" s="72"/>
      <c r="GKA154" s="72"/>
      <c r="GKB154" s="72"/>
      <c r="GKC154" s="72"/>
      <c r="GKD154" s="72"/>
      <c r="GKE154" s="72"/>
      <c r="GKF154" s="72"/>
      <c r="GKG154" s="72"/>
      <c r="GKH154" s="72"/>
      <c r="GKI154" s="72"/>
      <c r="GKJ154" s="72"/>
      <c r="GKK154" s="72"/>
      <c r="GKL154" s="72"/>
      <c r="GKM154" s="72"/>
      <c r="GKN154" s="72"/>
      <c r="GKO154" s="72"/>
      <c r="GKP154" s="72"/>
      <c r="GKQ154" s="72"/>
      <c r="GKR154" s="72"/>
      <c r="GKS154" s="72"/>
      <c r="GKT154" s="72"/>
      <c r="GKU154" s="72"/>
      <c r="GKV154" s="72"/>
      <c r="GKW154" s="72"/>
      <c r="GKX154" s="72"/>
      <c r="GKY154" s="72"/>
      <c r="GKZ154" s="72"/>
      <c r="GLA154" s="72"/>
      <c r="GLB154" s="72"/>
      <c r="GLC154" s="72"/>
      <c r="GLD154" s="72"/>
      <c r="GLE154" s="72"/>
      <c r="GLF154" s="72"/>
      <c r="GLG154" s="72"/>
      <c r="GLH154" s="72"/>
      <c r="GLI154" s="72"/>
      <c r="GLJ154" s="72"/>
      <c r="GLK154" s="72"/>
      <c r="GLL154" s="72"/>
      <c r="GLM154" s="72"/>
      <c r="GLN154" s="72"/>
      <c r="GLO154" s="72"/>
      <c r="GLP154" s="72"/>
      <c r="GLQ154" s="72"/>
      <c r="GLR154" s="72"/>
      <c r="GLS154" s="72"/>
      <c r="GLT154" s="72"/>
      <c r="GLU154" s="72"/>
      <c r="GLV154" s="72"/>
      <c r="GLW154" s="72"/>
      <c r="GLX154" s="72"/>
      <c r="GLY154" s="72"/>
      <c r="GLZ154" s="72"/>
      <c r="GMA154" s="72"/>
      <c r="GMB154" s="72"/>
      <c r="GMC154" s="72"/>
      <c r="GMD154" s="72"/>
      <c r="GME154" s="72"/>
      <c r="GMF154" s="72"/>
      <c r="GMG154" s="72"/>
      <c r="GMH154" s="72"/>
      <c r="GMI154" s="72"/>
      <c r="GMJ154" s="72"/>
      <c r="GMK154" s="72"/>
      <c r="GML154" s="72"/>
      <c r="GMM154" s="72"/>
      <c r="GMN154" s="72"/>
      <c r="GMO154" s="72"/>
      <c r="GMP154" s="72"/>
      <c r="GMQ154" s="72"/>
      <c r="GMR154" s="72"/>
      <c r="GMS154" s="72"/>
      <c r="GMT154" s="72"/>
      <c r="GMU154" s="72"/>
      <c r="GMV154" s="72"/>
      <c r="GMW154" s="72"/>
      <c r="GMX154" s="72"/>
      <c r="GMY154" s="72"/>
      <c r="GMZ154" s="72"/>
      <c r="GNA154" s="72"/>
      <c r="GNB154" s="72"/>
      <c r="GNC154" s="72"/>
      <c r="GND154" s="72"/>
      <c r="GNE154" s="72"/>
      <c r="GNF154" s="72"/>
      <c r="GNG154" s="72"/>
      <c r="GNH154" s="72"/>
      <c r="GNI154" s="72"/>
      <c r="GNJ154" s="72"/>
      <c r="GNK154" s="72"/>
      <c r="GNL154" s="72"/>
      <c r="GNM154" s="72"/>
      <c r="GNN154" s="72"/>
      <c r="GNO154" s="72"/>
      <c r="GNP154" s="72"/>
      <c r="GNQ154" s="72"/>
      <c r="GNR154" s="72"/>
      <c r="GNS154" s="72"/>
      <c r="GNT154" s="72"/>
      <c r="GNU154" s="72"/>
      <c r="GNV154" s="72"/>
      <c r="GNW154" s="72"/>
      <c r="GNX154" s="72"/>
      <c r="GNY154" s="72"/>
      <c r="GNZ154" s="72"/>
      <c r="GOA154" s="72"/>
      <c r="GOB154" s="72"/>
      <c r="GOC154" s="72"/>
      <c r="GOD154" s="72"/>
      <c r="GOE154" s="72"/>
      <c r="GOF154" s="72"/>
      <c r="GOG154" s="72"/>
      <c r="GOH154" s="72"/>
      <c r="GOI154" s="72"/>
      <c r="GOJ154" s="72"/>
      <c r="GOK154" s="72"/>
      <c r="GOL154" s="72"/>
      <c r="GOM154" s="72"/>
      <c r="GON154" s="72"/>
      <c r="GOO154" s="72"/>
      <c r="GOP154" s="72"/>
      <c r="GOQ154" s="72"/>
      <c r="GOR154" s="72"/>
      <c r="GOS154" s="72"/>
      <c r="GOT154" s="72"/>
      <c r="GOU154" s="72"/>
      <c r="GOV154" s="72"/>
      <c r="GOW154" s="72"/>
      <c r="GOX154" s="72"/>
      <c r="GOY154" s="72"/>
      <c r="GOZ154" s="72"/>
      <c r="GPA154" s="72"/>
      <c r="GPB154" s="72"/>
      <c r="GPC154" s="72"/>
      <c r="GPD154" s="72"/>
      <c r="GPE154" s="72"/>
      <c r="GPF154" s="72"/>
      <c r="GPG154" s="72"/>
      <c r="GPH154" s="72"/>
      <c r="GPI154" s="72"/>
      <c r="GPJ154" s="72"/>
      <c r="GPK154" s="72"/>
      <c r="GPL154" s="72"/>
      <c r="GPM154" s="72"/>
      <c r="GPN154" s="72"/>
      <c r="GPO154" s="72"/>
      <c r="GPP154" s="72"/>
      <c r="GPQ154" s="72"/>
      <c r="GPR154" s="72"/>
      <c r="GPS154" s="72"/>
      <c r="GPT154" s="72"/>
      <c r="GPU154" s="72"/>
      <c r="GPV154" s="72"/>
      <c r="GPW154" s="72"/>
      <c r="GPX154" s="72"/>
      <c r="GPY154" s="72"/>
      <c r="GPZ154" s="72"/>
      <c r="GQA154" s="72"/>
      <c r="GQB154" s="72"/>
      <c r="GQC154" s="72"/>
      <c r="GQD154" s="72"/>
      <c r="GQE154" s="72"/>
      <c r="GQF154" s="72"/>
      <c r="GQG154" s="72"/>
      <c r="GQH154" s="72"/>
      <c r="GQI154" s="72"/>
      <c r="GQJ154" s="72"/>
      <c r="GQK154" s="72"/>
      <c r="GQL154" s="72"/>
      <c r="GQM154" s="72"/>
      <c r="GQN154" s="72"/>
      <c r="GQO154" s="72"/>
      <c r="GQP154" s="72"/>
      <c r="GQQ154" s="72"/>
      <c r="GQR154" s="72"/>
      <c r="GQS154" s="72"/>
      <c r="GQT154" s="72"/>
      <c r="GQU154" s="72"/>
      <c r="GQV154" s="72"/>
      <c r="GQW154" s="72"/>
      <c r="GQX154" s="72"/>
      <c r="GQY154" s="72"/>
      <c r="GQZ154" s="72"/>
      <c r="GRA154" s="72"/>
      <c r="GRB154" s="72"/>
      <c r="GRC154" s="72"/>
      <c r="GRD154" s="72"/>
      <c r="GRE154" s="72"/>
      <c r="GRF154" s="72"/>
      <c r="GRG154" s="72"/>
      <c r="GRH154" s="72"/>
      <c r="GRI154" s="72"/>
      <c r="GRJ154" s="72"/>
      <c r="GRK154" s="72"/>
      <c r="GRL154" s="72"/>
      <c r="GRM154" s="72"/>
      <c r="GRN154" s="72"/>
      <c r="GRO154" s="72"/>
      <c r="GRP154" s="72"/>
      <c r="GRQ154" s="72"/>
      <c r="GRR154" s="72"/>
      <c r="GRS154" s="72"/>
      <c r="GRT154" s="72"/>
      <c r="GRU154" s="72"/>
      <c r="GRV154" s="72"/>
      <c r="GRW154" s="72"/>
      <c r="GRX154" s="72"/>
      <c r="GRY154" s="72"/>
      <c r="GRZ154" s="72"/>
      <c r="GSA154" s="72"/>
      <c r="GSB154" s="72"/>
      <c r="GSC154" s="72"/>
      <c r="GSD154" s="72"/>
      <c r="GSE154" s="72"/>
      <c r="GSF154" s="72"/>
      <c r="GSG154" s="72"/>
      <c r="GSH154" s="72"/>
      <c r="GSI154" s="72"/>
      <c r="GSJ154" s="72"/>
      <c r="GSK154" s="72"/>
      <c r="GSL154" s="72"/>
      <c r="GSM154" s="72"/>
      <c r="GSN154" s="72"/>
      <c r="GSO154" s="72"/>
      <c r="GSP154" s="72"/>
      <c r="GSQ154" s="72"/>
      <c r="GSR154" s="72"/>
      <c r="GSS154" s="72"/>
      <c r="GST154" s="72"/>
      <c r="GSU154" s="72"/>
      <c r="GSV154" s="72"/>
      <c r="GSW154" s="72"/>
      <c r="GSX154" s="72"/>
      <c r="GSY154" s="72"/>
      <c r="GSZ154" s="72"/>
      <c r="GTA154" s="72"/>
      <c r="GTB154" s="72"/>
      <c r="GTC154" s="72"/>
      <c r="GTD154" s="72"/>
      <c r="GTE154" s="72"/>
      <c r="GTF154" s="72"/>
      <c r="GTG154" s="72"/>
      <c r="GTH154" s="72"/>
      <c r="GTI154" s="72"/>
      <c r="GTJ154" s="72"/>
      <c r="GTK154" s="72"/>
      <c r="GTL154" s="72"/>
      <c r="GTM154" s="72"/>
      <c r="GTN154" s="72"/>
      <c r="GTO154" s="72"/>
      <c r="GTP154" s="72"/>
      <c r="GTQ154" s="72"/>
      <c r="GTR154" s="72"/>
      <c r="GTS154" s="72"/>
      <c r="GTT154" s="72"/>
      <c r="GTU154" s="72"/>
      <c r="GTV154" s="72"/>
      <c r="GTW154" s="72"/>
      <c r="GTX154" s="72"/>
      <c r="GTY154" s="72"/>
      <c r="GTZ154" s="72"/>
      <c r="GUA154" s="72"/>
      <c r="GUB154" s="72"/>
      <c r="GUC154" s="72"/>
      <c r="GUD154" s="72"/>
      <c r="GUE154" s="72"/>
      <c r="GUF154" s="72"/>
      <c r="GUG154" s="72"/>
      <c r="GUH154" s="72"/>
      <c r="GUI154" s="72"/>
      <c r="GUJ154" s="72"/>
      <c r="GUK154" s="72"/>
      <c r="GUL154" s="72"/>
      <c r="GUM154" s="72"/>
      <c r="GUN154" s="72"/>
      <c r="GUO154" s="72"/>
      <c r="GUP154" s="72"/>
      <c r="GUQ154" s="72"/>
      <c r="GUR154" s="72"/>
      <c r="GUS154" s="72"/>
      <c r="GUT154" s="72"/>
      <c r="GUU154" s="72"/>
      <c r="GUV154" s="72"/>
      <c r="GUW154" s="72"/>
      <c r="GUX154" s="72"/>
      <c r="GUY154" s="72"/>
      <c r="GUZ154" s="72"/>
      <c r="GVA154" s="72"/>
      <c r="GVB154" s="72"/>
      <c r="GVC154" s="72"/>
      <c r="GVD154" s="72"/>
      <c r="GVE154" s="72"/>
      <c r="GVF154" s="72"/>
      <c r="GVG154" s="72"/>
      <c r="GVH154" s="72"/>
      <c r="GVI154" s="72"/>
      <c r="GVJ154" s="72"/>
      <c r="GVK154" s="72"/>
      <c r="GVL154" s="72"/>
      <c r="GVM154" s="72"/>
      <c r="GVN154" s="72"/>
      <c r="GVO154" s="72"/>
      <c r="GVP154" s="72"/>
      <c r="GVQ154" s="72"/>
      <c r="GVR154" s="72"/>
      <c r="GVS154" s="72"/>
      <c r="GVT154" s="72"/>
      <c r="GVU154" s="72"/>
      <c r="GVV154" s="72"/>
      <c r="GVW154" s="72"/>
      <c r="GVX154" s="72"/>
      <c r="GVY154" s="72"/>
      <c r="GVZ154" s="72"/>
      <c r="GWA154" s="72"/>
      <c r="GWB154" s="72"/>
      <c r="GWC154" s="72"/>
      <c r="GWD154" s="72"/>
      <c r="GWE154" s="72"/>
      <c r="GWF154" s="72"/>
      <c r="GWG154" s="72"/>
      <c r="GWH154" s="72"/>
      <c r="GWI154" s="72"/>
      <c r="GWJ154" s="72"/>
      <c r="GWK154" s="72"/>
      <c r="GWL154" s="72"/>
      <c r="GWM154" s="72"/>
      <c r="GWN154" s="72"/>
      <c r="GWO154" s="72"/>
      <c r="GWP154" s="72"/>
      <c r="GWQ154" s="72"/>
      <c r="GWR154" s="72"/>
      <c r="GWS154" s="72"/>
      <c r="GWT154" s="72"/>
      <c r="GWU154" s="72"/>
      <c r="GWV154" s="72"/>
      <c r="GWW154" s="72"/>
      <c r="GWX154" s="72"/>
      <c r="GWY154" s="72"/>
      <c r="GWZ154" s="72"/>
      <c r="GXA154" s="72"/>
      <c r="GXB154" s="72"/>
      <c r="GXC154" s="72"/>
      <c r="GXD154" s="72"/>
      <c r="GXE154" s="72"/>
      <c r="GXF154" s="72"/>
      <c r="GXG154" s="72"/>
      <c r="GXH154" s="72"/>
      <c r="GXI154" s="72"/>
      <c r="GXJ154" s="72"/>
      <c r="GXK154" s="72"/>
      <c r="GXL154" s="72"/>
      <c r="GXM154" s="72"/>
      <c r="GXN154" s="72"/>
      <c r="GXO154" s="72"/>
      <c r="GXP154" s="72"/>
      <c r="GXQ154" s="72"/>
      <c r="GXR154" s="72"/>
      <c r="GXS154" s="72"/>
      <c r="GXT154" s="72"/>
      <c r="GXU154" s="72"/>
      <c r="GXV154" s="72"/>
      <c r="GXW154" s="72"/>
      <c r="GXX154" s="72"/>
      <c r="GXY154" s="72"/>
      <c r="GXZ154" s="72"/>
      <c r="GYA154" s="72"/>
      <c r="GYB154" s="72"/>
      <c r="GYC154" s="72"/>
      <c r="GYD154" s="72"/>
      <c r="GYE154" s="72"/>
      <c r="GYF154" s="72"/>
      <c r="GYG154" s="72"/>
      <c r="GYH154" s="72"/>
      <c r="GYI154" s="72"/>
      <c r="GYJ154" s="72"/>
      <c r="GYK154" s="72"/>
      <c r="GYL154" s="72"/>
      <c r="GYM154" s="72"/>
      <c r="GYN154" s="72"/>
      <c r="GYO154" s="72"/>
      <c r="GYP154" s="72"/>
      <c r="GYQ154" s="72"/>
      <c r="GYR154" s="72"/>
      <c r="GYS154" s="72"/>
      <c r="GYT154" s="72"/>
      <c r="GYU154" s="72"/>
      <c r="GYV154" s="72"/>
      <c r="GYW154" s="72"/>
      <c r="GYX154" s="72"/>
      <c r="GYY154" s="72"/>
      <c r="GYZ154" s="72"/>
      <c r="GZA154" s="72"/>
      <c r="GZB154" s="72"/>
      <c r="GZC154" s="72"/>
      <c r="GZD154" s="72"/>
      <c r="GZE154" s="72"/>
      <c r="GZF154" s="72"/>
      <c r="GZG154" s="72"/>
      <c r="GZH154" s="72"/>
      <c r="GZI154" s="72"/>
      <c r="GZJ154" s="72"/>
      <c r="GZK154" s="72"/>
      <c r="GZL154" s="72"/>
      <c r="GZM154" s="72"/>
      <c r="GZN154" s="72"/>
      <c r="GZO154" s="72"/>
      <c r="GZP154" s="72"/>
      <c r="GZQ154" s="72"/>
      <c r="GZR154" s="72"/>
      <c r="GZS154" s="72"/>
      <c r="GZT154" s="72"/>
      <c r="GZU154" s="72"/>
      <c r="GZV154" s="72"/>
      <c r="GZW154" s="72"/>
      <c r="GZX154" s="72"/>
      <c r="GZY154" s="72"/>
      <c r="GZZ154" s="72"/>
      <c r="HAA154" s="72"/>
      <c r="HAB154" s="72"/>
      <c r="HAC154" s="72"/>
      <c r="HAD154" s="72"/>
      <c r="HAE154" s="72"/>
      <c r="HAF154" s="72"/>
      <c r="HAG154" s="72"/>
      <c r="HAH154" s="72"/>
      <c r="HAI154" s="72"/>
      <c r="HAJ154" s="72"/>
      <c r="HAK154" s="72"/>
      <c r="HAL154" s="72"/>
      <c r="HAM154" s="72"/>
      <c r="HAN154" s="72"/>
      <c r="HAO154" s="72"/>
      <c r="HAP154" s="72"/>
      <c r="HAQ154" s="72"/>
      <c r="HAR154" s="72"/>
      <c r="HAS154" s="72"/>
      <c r="HAT154" s="72"/>
      <c r="HAU154" s="72"/>
      <c r="HAV154" s="72"/>
      <c r="HAW154" s="72"/>
      <c r="HAX154" s="72"/>
      <c r="HAY154" s="72"/>
      <c r="HAZ154" s="72"/>
      <c r="HBA154" s="72"/>
      <c r="HBB154" s="72"/>
      <c r="HBC154" s="72"/>
      <c r="HBD154" s="72"/>
      <c r="HBE154" s="72"/>
      <c r="HBF154" s="72"/>
      <c r="HBG154" s="72"/>
      <c r="HBH154" s="72"/>
      <c r="HBI154" s="72"/>
      <c r="HBJ154" s="72"/>
      <c r="HBK154" s="72"/>
      <c r="HBL154" s="72"/>
      <c r="HBM154" s="72"/>
      <c r="HBN154" s="72"/>
      <c r="HBO154" s="72"/>
      <c r="HBP154" s="72"/>
      <c r="HBQ154" s="72"/>
      <c r="HBR154" s="72"/>
      <c r="HBS154" s="72"/>
      <c r="HBT154" s="72"/>
      <c r="HBU154" s="72"/>
      <c r="HBV154" s="72"/>
      <c r="HBW154" s="72"/>
      <c r="HBX154" s="72"/>
      <c r="HBY154" s="72"/>
      <c r="HBZ154" s="72"/>
      <c r="HCA154" s="72"/>
      <c r="HCB154" s="72"/>
      <c r="HCC154" s="72"/>
      <c r="HCD154" s="72"/>
      <c r="HCE154" s="72"/>
      <c r="HCF154" s="72"/>
      <c r="HCG154" s="72"/>
      <c r="HCH154" s="72"/>
      <c r="HCI154" s="72"/>
      <c r="HCJ154" s="72"/>
      <c r="HCK154" s="72"/>
      <c r="HCL154" s="72"/>
      <c r="HCM154" s="72"/>
      <c r="HCN154" s="72"/>
      <c r="HCO154" s="72"/>
      <c r="HCP154" s="72"/>
      <c r="HCQ154" s="72"/>
      <c r="HCR154" s="72"/>
      <c r="HCS154" s="72"/>
      <c r="HCT154" s="72"/>
      <c r="HCU154" s="72"/>
      <c r="HCV154" s="72"/>
      <c r="HCW154" s="72"/>
      <c r="HCX154" s="72"/>
      <c r="HCY154" s="72"/>
      <c r="HCZ154" s="72"/>
      <c r="HDA154" s="72"/>
      <c r="HDB154" s="72"/>
      <c r="HDC154" s="72"/>
      <c r="HDD154" s="72"/>
      <c r="HDE154" s="72"/>
      <c r="HDF154" s="72"/>
      <c r="HDG154" s="72"/>
      <c r="HDH154" s="72"/>
      <c r="HDI154" s="72"/>
      <c r="HDJ154" s="72"/>
      <c r="HDK154" s="72"/>
      <c r="HDL154" s="72"/>
      <c r="HDM154" s="72"/>
      <c r="HDN154" s="72"/>
      <c r="HDO154" s="72"/>
      <c r="HDP154" s="72"/>
      <c r="HDQ154" s="72"/>
      <c r="HDR154" s="72"/>
      <c r="HDS154" s="72"/>
      <c r="HDT154" s="72"/>
      <c r="HDU154" s="72"/>
      <c r="HDV154" s="72"/>
      <c r="HDW154" s="72"/>
      <c r="HDX154" s="72"/>
      <c r="HDY154" s="72"/>
      <c r="HDZ154" s="72"/>
      <c r="HEA154" s="72"/>
      <c r="HEB154" s="72"/>
      <c r="HEC154" s="72"/>
      <c r="HED154" s="72"/>
      <c r="HEE154" s="72"/>
      <c r="HEF154" s="72"/>
      <c r="HEG154" s="72"/>
      <c r="HEH154" s="72"/>
      <c r="HEI154" s="72"/>
      <c r="HEJ154" s="72"/>
      <c r="HEK154" s="72"/>
      <c r="HEL154" s="72"/>
      <c r="HEM154" s="72"/>
      <c r="HEN154" s="72"/>
      <c r="HEO154" s="72"/>
      <c r="HEP154" s="72"/>
      <c r="HEQ154" s="72"/>
      <c r="HER154" s="72"/>
      <c r="HES154" s="72"/>
      <c r="HET154" s="72"/>
      <c r="HEU154" s="72"/>
      <c r="HEV154" s="72"/>
      <c r="HEW154" s="72"/>
      <c r="HEX154" s="72"/>
      <c r="HEY154" s="72"/>
      <c r="HEZ154" s="72"/>
      <c r="HFA154" s="72"/>
      <c r="HFB154" s="72"/>
      <c r="HFC154" s="72"/>
      <c r="HFD154" s="72"/>
      <c r="HFE154" s="72"/>
      <c r="HFF154" s="72"/>
      <c r="HFG154" s="72"/>
      <c r="HFH154" s="72"/>
      <c r="HFI154" s="72"/>
      <c r="HFJ154" s="72"/>
      <c r="HFK154" s="72"/>
      <c r="HFL154" s="72"/>
      <c r="HFM154" s="72"/>
      <c r="HFN154" s="72"/>
      <c r="HFO154" s="72"/>
      <c r="HFP154" s="72"/>
      <c r="HFQ154" s="72"/>
      <c r="HFR154" s="72"/>
      <c r="HFS154" s="72"/>
      <c r="HFT154" s="72"/>
      <c r="HFU154" s="72"/>
      <c r="HFV154" s="72"/>
      <c r="HFW154" s="72"/>
      <c r="HFX154" s="72"/>
      <c r="HFY154" s="72"/>
      <c r="HFZ154" s="72"/>
      <c r="HGA154" s="72"/>
      <c r="HGB154" s="72"/>
      <c r="HGC154" s="72"/>
      <c r="HGD154" s="72"/>
      <c r="HGE154" s="72"/>
      <c r="HGF154" s="72"/>
      <c r="HGG154" s="72"/>
      <c r="HGH154" s="72"/>
      <c r="HGI154" s="72"/>
      <c r="HGJ154" s="72"/>
      <c r="HGK154" s="72"/>
      <c r="HGL154" s="72"/>
      <c r="HGM154" s="72"/>
      <c r="HGN154" s="72"/>
      <c r="HGO154" s="72"/>
      <c r="HGP154" s="72"/>
      <c r="HGQ154" s="72"/>
      <c r="HGR154" s="72"/>
      <c r="HGS154" s="72"/>
      <c r="HGT154" s="72"/>
      <c r="HGU154" s="72"/>
      <c r="HGV154" s="72"/>
      <c r="HGW154" s="72"/>
      <c r="HGX154" s="72"/>
      <c r="HGY154" s="72"/>
      <c r="HGZ154" s="72"/>
      <c r="HHA154" s="72"/>
      <c r="HHB154" s="72"/>
      <c r="HHC154" s="72"/>
      <c r="HHD154" s="72"/>
      <c r="HHE154" s="72"/>
      <c r="HHF154" s="72"/>
      <c r="HHG154" s="72"/>
      <c r="HHH154" s="72"/>
      <c r="HHI154" s="72"/>
      <c r="HHJ154" s="72"/>
      <c r="HHK154" s="72"/>
      <c r="HHL154" s="72"/>
      <c r="HHM154" s="72"/>
      <c r="HHN154" s="72"/>
      <c r="HHO154" s="72"/>
      <c r="HHP154" s="72"/>
      <c r="HHQ154" s="72"/>
      <c r="HHR154" s="72"/>
      <c r="HHS154" s="72"/>
      <c r="HHT154" s="72"/>
      <c r="HHU154" s="72"/>
      <c r="HHV154" s="72"/>
      <c r="HHW154" s="72"/>
      <c r="HHX154" s="72"/>
      <c r="HHY154" s="72"/>
      <c r="HHZ154" s="72"/>
      <c r="HIA154" s="72"/>
      <c r="HIB154" s="72"/>
      <c r="HIC154" s="72"/>
      <c r="HID154" s="72"/>
      <c r="HIE154" s="72"/>
      <c r="HIF154" s="72"/>
      <c r="HIG154" s="72"/>
      <c r="HIH154" s="72"/>
      <c r="HII154" s="72"/>
      <c r="HIJ154" s="72"/>
      <c r="HIK154" s="72"/>
      <c r="HIL154" s="72"/>
      <c r="HIM154" s="72"/>
      <c r="HIN154" s="72"/>
      <c r="HIO154" s="72"/>
      <c r="HIP154" s="72"/>
      <c r="HIQ154" s="72"/>
      <c r="HIR154" s="72"/>
      <c r="HIS154" s="72"/>
      <c r="HIT154" s="72"/>
      <c r="HIU154" s="72"/>
      <c r="HIV154" s="72"/>
      <c r="HIW154" s="72"/>
      <c r="HIX154" s="72"/>
      <c r="HIY154" s="72"/>
      <c r="HIZ154" s="72"/>
      <c r="HJA154" s="72"/>
      <c r="HJB154" s="72"/>
      <c r="HJC154" s="72"/>
      <c r="HJD154" s="72"/>
      <c r="HJE154" s="72"/>
      <c r="HJF154" s="72"/>
      <c r="HJG154" s="72"/>
      <c r="HJH154" s="72"/>
      <c r="HJI154" s="72"/>
      <c r="HJJ154" s="72"/>
      <c r="HJK154" s="72"/>
      <c r="HJL154" s="72"/>
      <c r="HJM154" s="72"/>
      <c r="HJN154" s="72"/>
      <c r="HJO154" s="72"/>
      <c r="HJP154" s="72"/>
      <c r="HJQ154" s="72"/>
      <c r="HJR154" s="72"/>
      <c r="HJS154" s="72"/>
      <c r="HJT154" s="72"/>
      <c r="HJU154" s="72"/>
      <c r="HJV154" s="72"/>
      <c r="HJW154" s="72"/>
      <c r="HJX154" s="72"/>
      <c r="HJY154" s="72"/>
      <c r="HJZ154" s="72"/>
      <c r="HKA154" s="72"/>
      <c r="HKB154" s="72"/>
      <c r="HKC154" s="72"/>
      <c r="HKD154" s="72"/>
      <c r="HKE154" s="72"/>
      <c r="HKF154" s="72"/>
      <c r="HKG154" s="72"/>
      <c r="HKH154" s="72"/>
      <c r="HKI154" s="72"/>
      <c r="HKJ154" s="72"/>
      <c r="HKK154" s="72"/>
      <c r="HKL154" s="72"/>
      <c r="HKM154" s="72"/>
      <c r="HKN154" s="72"/>
      <c r="HKO154" s="72"/>
      <c r="HKP154" s="72"/>
      <c r="HKQ154" s="72"/>
      <c r="HKR154" s="72"/>
      <c r="HKS154" s="72"/>
      <c r="HKT154" s="72"/>
      <c r="HKU154" s="72"/>
      <c r="HKV154" s="72"/>
      <c r="HKW154" s="72"/>
      <c r="HKX154" s="72"/>
      <c r="HKY154" s="72"/>
      <c r="HKZ154" s="72"/>
      <c r="HLA154" s="72"/>
      <c r="HLB154" s="72"/>
      <c r="HLC154" s="72"/>
      <c r="HLD154" s="72"/>
      <c r="HLE154" s="72"/>
      <c r="HLF154" s="72"/>
      <c r="HLG154" s="72"/>
      <c r="HLH154" s="72"/>
      <c r="HLI154" s="72"/>
      <c r="HLJ154" s="72"/>
      <c r="HLK154" s="72"/>
      <c r="HLL154" s="72"/>
      <c r="HLM154" s="72"/>
      <c r="HLN154" s="72"/>
      <c r="HLO154" s="72"/>
      <c r="HLP154" s="72"/>
      <c r="HLQ154" s="72"/>
      <c r="HLR154" s="72"/>
      <c r="HLS154" s="72"/>
      <c r="HLT154" s="72"/>
      <c r="HLU154" s="72"/>
      <c r="HLV154" s="72"/>
      <c r="HLW154" s="72"/>
      <c r="HLX154" s="72"/>
      <c r="HLY154" s="72"/>
      <c r="HLZ154" s="72"/>
      <c r="HMA154" s="72"/>
      <c r="HMB154" s="72"/>
      <c r="HMC154" s="72"/>
      <c r="HMD154" s="72"/>
      <c r="HME154" s="72"/>
      <c r="HMF154" s="72"/>
      <c r="HMG154" s="72"/>
      <c r="HMH154" s="72"/>
      <c r="HMI154" s="72"/>
      <c r="HMJ154" s="72"/>
      <c r="HMK154" s="72"/>
      <c r="HML154" s="72"/>
      <c r="HMM154" s="72"/>
      <c r="HMN154" s="72"/>
      <c r="HMO154" s="72"/>
      <c r="HMP154" s="72"/>
      <c r="HMQ154" s="72"/>
      <c r="HMR154" s="72"/>
      <c r="HMS154" s="72"/>
      <c r="HMT154" s="72"/>
      <c r="HMU154" s="72"/>
      <c r="HMV154" s="72"/>
      <c r="HMW154" s="72"/>
      <c r="HMX154" s="72"/>
      <c r="HMY154" s="72"/>
      <c r="HMZ154" s="72"/>
      <c r="HNA154" s="72"/>
      <c r="HNB154" s="72"/>
      <c r="HNC154" s="72"/>
      <c r="HND154" s="72"/>
      <c r="HNE154" s="72"/>
      <c r="HNF154" s="72"/>
      <c r="HNG154" s="72"/>
      <c r="HNH154" s="72"/>
      <c r="HNI154" s="72"/>
      <c r="HNJ154" s="72"/>
      <c r="HNK154" s="72"/>
      <c r="HNL154" s="72"/>
      <c r="HNM154" s="72"/>
      <c r="HNN154" s="72"/>
      <c r="HNO154" s="72"/>
      <c r="HNP154" s="72"/>
      <c r="HNQ154" s="72"/>
      <c r="HNR154" s="72"/>
      <c r="HNS154" s="72"/>
      <c r="HNT154" s="72"/>
      <c r="HNU154" s="72"/>
      <c r="HNV154" s="72"/>
      <c r="HNW154" s="72"/>
      <c r="HNX154" s="72"/>
      <c r="HNY154" s="72"/>
      <c r="HNZ154" s="72"/>
      <c r="HOA154" s="72"/>
      <c r="HOB154" s="72"/>
      <c r="HOC154" s="72"/>
      <c r="HOD154" s="72"/>
      <c r="HOE154" s="72"/>
      <c r="HOF154" s="72"/>
      <c r="HOG154" s="72"/>
      <c r="HOH154" s="72"/>
      <c r="HOI154" s="72"/>
      <c r="HOJ154" s="72"/>
      <c r="HOK154" s="72"/>
      <c r="HOL154" s="72"/>
      <c r="HOM154" s="72"/>
      <c r="HON154" s="72"/>
      <c r="HOO154" s="72"/>
      <c r="HOP154" s="72"/>
      <c r="HOQ154" s="72"/>
      <c r="HOR154" s="72"/>
      <c r="HOS154" s="72"/>
      <c r="HOT154" s="72"/>
      <c r="HOU154" s="72"/>
      <c r="HOV154" s="72"/>
      <c r="HOW154" s="72"/>
      <c r="HOX154" s="72"/>
      <c r="HOY154" s="72"/>
      <c r="HOZ154" s="72"/>
      <c r="HPA154" s="72"/>
      <c r="HPB154" s="72"/>
      <c r="HPC154" s="72"/>
      <c r="HPD154" s="72"/>
      <c r="HPE154" s="72"/>
      <c r="HPF154" s="72"/>
      <c r="HPG154" s="72"/>
      <c r="HPH154" s="72"/>
      <c r="HPI154" s="72"/>
      <c r="HPJ154" s="72"/>
      <c r="HPK154" s="72"/>
      <c r="HPL154" s="72"/>
      <c r="HPM154" s="72"/>
      <c r="HPN154" s="72"/>
      <c r="HPO154" s="72"/>
      <c r="HPP154" s="72"/>
      <c r="HPQ154" s="72"/>
      <c r="HPR154" s="72"/>
      <c r="HPS154" s="72"/>
      <c r="HPT154" s="72"/>
      <c r="HPU154" s="72"/>
      <c r="HPV154" s="72"/>
      <c r="HPW154" s="72"/>
      <c r="HPX154" s="72"/>
      <c r="HPY154" s="72"/>
      <c r="HPZ154" s="72"/>
      <c r="HQA154" s="72"/>
      <c r="HQB154" s="72"/>
      <c r="HQC154" s="72"/>
      <c r="HQD154" s="72"/>
      <c r="HQE154" s="72"/>
      <c r="HQF154" s="72"/>
      <c r="HQG154" s="72"/>
      <c r="HQH154" s="72"/>
      <c r="HQI154" s="72"/>
      <c r="HQJ154" s="72"/>
      <c r="HQK154" s="72"/>
      <c r="HQL154" s="72"/>
      <c r="HQM154" s="72"/>
      <c r="HQN154" s="72"/>
      <c r="HQO154" s="72"/>
      <c r="HQP154" s="72"/>
      <c r="HQQ154" s="72"/>
      <c r="HQR154" s="72"/>
      <c r="HQS154" s="72"/>
      <c r="HQT154" s="72"/>
      <c r="HQU154" s="72"/>
      <c r="HQV154" s="72"/>
      <c r="HQW154" s="72"/>
      <c r="HQX154" s="72"/>
      <c r="HQY154" s="72"/>
      <c r="HQZ154" s="72"/>
      <c r="HRA154" s="72"/>
      <c r="HRB154" s="72"/>
      <c r="HRC154" s="72"/>
      <c r="HRD154" s="72"/>
      <c r="HRE154" s="72"/>
      <c r="HRF154" s="72"/>
      <c r="HRG154" s="72"/>
      <c r="HRH154" s="72"/>
      <c r="HRI154" s="72"/>
      <c r="HRJ154" s="72"/>
      <c r="HRK154" s="72"/>
      <c r="HRL154" s="72"/>
      <c r="HRM154" s="72"/>
      <c r="HRN154" s="72"/>
      <c r="HRO154" s="72"/>
      <c r="HRP154" s="72"/>
      <c r="HRQ154" s="72"/>
      <c r="HRR154" s="72"/>
      <c r="HRS154" s="72"/>
      <c r="HRT154" s="72"/>
      <c r="HRU154" s="72"/>
      <c r="HRV154" s="72"/>
      <c r="HRW154" s="72"/>
      <c r="HRX154" s="72"/>
      <c r="HRY154" s="72"/>
      <c r="HRZ154" s="72"/>
      <c r="HSA154" s="72"/>
      <c r="HSB154" s="72"/>
      <c r="HSC154" s="72"/>
      <c r="HSD154" s="72"/>
      <c r="HSE154" s="72"/>
      <c r="HSF154" s="72"/>
      <c r="HSG154" s="72"/>
      <c r="HSH154" s="72"/>
      <c r="HSI154" s="72"/>
      <c r="HSJ154" s="72"/>
      <c r="HSK154" s="72"/>
      <c r="HSL154" s="72"/>
      <c r="HSM154" s="72"/>
      <c r="HSN154" s="72"/>
      <c r="HSO154" s="72"/>
      <c r="HSP154" s="72"/>
      <c r="HSQ154" s="72"/>
      <c r="HSR154" s="72"/>
      <c r="HSS154" s="72"/>
      <c r="HST154" s="72"/>
      <c r="HSU154" s="72"/>
      <c r="HSV154" s="72"/>
      <c r="HSW154" s="72"/>
      <c r="HSX154" s="72"/>
      <c r="HSY154" s="72"/>
      <c r="HSZ154" s="72"/>
      <c r="HTA154" s="72"/>
      <c r="HTB154" s="72"/>
      <c r="HTC154" s="72"/>
      <c r="HTD154" s="72"/>
      <c r="HTE154" s="72"/>
      <c r="HTF154" s="72"/>
      <c r="HTG154" s="72"/>
      <c r="HTH154" s="72"/>
      <c r="HTI154" s="72"/>
      <c r="HTJ154" s="72"/>
      <c r="HTK154" s="72"/>
      <c r="HTL154" s="72"/>
      <c r="HTM154" s="72"/>
      <c r="HTN154" s="72"/>
      <c r="HTO154" s="72"/>
      <c r="HTP154" s="72"/>
      <c r="HTQ154" s="72"/>
      <c r="HTR154" s="72"/>
      <c r="HTS154" s="72"/>
      <c r="HTT154" s="72"/>
      <c r="HTU154" s="72"/>
      <c r="HTV154" s="72"/>
      <c r="HTW154" s="72"/>
      <c r="HTX154" s="72"/>
      <c r="HTY154" s="72"/>
      <c r="HTZ154" s="72"/>
      <c r="HUA154" s="72"/>
      <c r="HUB154" s="72"/>
      <c r="HUC154" s="72"/>
      <c r="HUD154" s="72"/>
      <c r="HUE154" s="72"/>
      <c r="HUF154" s="72"/>
      <c r="HUG154" s="72"/>
      <c r="HUH154" s="72"/>
      <c r="HUI154" s="72"/>
      <c r="HUJ154" s="72"/>
      <c r="HUK154" s="72"/>
      <c r="HUL154" s="72"/>
      <c r="HUM154" s="72"/>
      <c r="HUN154" s="72"/>
      <c r="HUO154" s="72"/>
      <c r="HUP154" s="72"/>
      <c r="HUQ154" s="72"/>
      <c r="HUR154" s="72"/>
      <c r="HUS154" s="72"/>
      <c r="HUT154" s="72"/>
      <c r="HUU154" s="72"/>
      <c r="HUV154" s="72"/>
      <c r="HUW154" s="72"/>
      <c r="HUX154" s="72"/>
      <c r="HUY154" s="72"/>
      <c r="HUZ154" s="72"/>
      <c r="HVA154" s="72"/>
      <c r="HVB154" s="72"/>
      <c r="HVC154" s="72"/>
      <c r="HVD154" s="72"/>
      <c r="HVE154" s="72"/>
      <c r="HVF154" s="72"/>
      <c r="HVG154" s="72"/>
      <c r="HVH154" s="72"/>
      <c r="HVI154" s="72"/>
      <c r="HVJ154" s="72"/>
      <c r="HVK154" s="72"/>
      <c r="HVL154" s="72"/>
      <c r="HVM154" s="72"/>
      <c r="HVN154" s="72"/>
      <c r="HVO154" s="72"/>
      <c r="HVP154" s="72"/>
      <c r="HVQ154" s="72"/>
      <c r="HVR154" s="72"/>
      <c r="HVS154" s="72"/>
      <c r="HVT154" s="72"/>
      <c r="HVU154" s="72"/>
      <c r="HVV154" s="72"/>
      <c r="HVW154" s="72"/>
      <c r="HVX154" s="72"/>
      <c r="HVY154" s="72"/>
      <c r="HVZ154" s="72"/>
      <c r="HWA154" s="72"/>
      <c r="HWB154" s="72"/>
      <c r="HWC154" s="72"/>
      <c r="HWD154" s="72"/>
      <c r="HWE154" s="72"/>
      <c r="HWF154" s="72"/>
      <c r="HWG154" s="72"/>
      <c r="HWH154" s="72"/>
      <c r="HWI154" s="72"/>
      <c r="HWJ154" s="72"/>
      <c r="HWK154" s="72"/>
      <c r="HWL154" s="72"/>
      <c r="HWM154" s="72"/>
      <c r="HWN154" s="72"/>
      <c r="HWO154" s="72"/>
      <c r="HWP154" s="72"/>
      <c r="HWQ154" s="72"/>
      <c r="HWR154" s="72"/>
      <c r="HWS154" s="72"/>
      <c r="HWT154" s="72"/>
      <c r="HWU154" s="72"/>
      <c r="HWV154" s="72"/>
      <c r="HWW154" s="72"/>
      <c r="HWX154" s="72"/>
      <c r="HWY154" s="72"/>
      <c r="HWZ154" s="72"/>
      <c r="HXA154" s="72"/>
      <c r="HXB154" s="72"/>
      <c r="HXC154" s="72"/>
      <c r="HXD154" s="72"/>
      <c r="HXE154" s="72"/>
      <c r="HXF154" s="72"/>
      <c r="HXG154" s="72"/>
      <c r="HXH154" s="72"/>
      <c r="HXI154" s="72"/>
      <c r="HXJ154" s="72"/>
      <c r="HXK154" s="72"/>
      <c r="HXL154" s="72"/>
      <c r="HXM154" s="72"/>
      <c r="HXN154" s="72"/>
      <c r="HXO154" s="72"/>
      <c r="HXP154" s="72"/>
      <c r="HXQ154" s="72"/>
      <c r="HXR154" s="72"/>
      <c r="HXS154" s="72"/>
      <c r="HXT154" s="72"/>
      <c r="HXU154" s="72"/>
      <c r="HXV154" s="72"/>
      <c r="HXW154" s="72"/>
      <c r="HXX154" s="72"/>
      <c r="HXY154" s="72"/>
      <c r="HXZ154" s="72"/>
      <c r="HYA154" s="72"/>
      <c r="HYB154" s="72"/>
      <c r="HYC154" s="72"/>
      <c r="HYD154" s="72"/>
      <c r="HYE154" s="72"/>
      <c r="HYF154" s="72"/>
      <c r="HYG154" s="72"/>
      <c r="HYH154" s="72"/>
      <c r="HYI154" s="72"/>
      <c r="HYJ154" s="72"/>
      <c r="HYK154" s="72"/>
      <c r="HYL154" s="72"/>
      <c r="HYM154" s="72"/>
      <c r="HYN154" s="72"/>
      <c r="HYO154" s="72"/>
      <c r="HYP154" s="72"/>
      <c r="HYQ154" s="72"/>
      <c r="HYR154" s="72"/>
      <c r="HYS154" s="72"/>
      <c r="HYT154" s="72"/>
      <c r="HYU154" s="72"/>
      <c r="HYV154" s="72"/>
      <c r="HYW154" s="72"/>
      <c r="HYX154" s="72"/>
      <c r="HYY154" s="72"/>
      <c r="HYZ154" s="72"/>
      <c r="HZA154" s="72"/>
      <c r="HZB154" s="72"/>
      <c r="HZC154" s="72"/>
      <c r="HZD154" s="72"/>
      <c r="HZE154" s="72"/>
      <c r="HZF154" s="72"/>
      <c r="HZG154" s="72"/>
      <c r="HZH154" s="72"/>
      <c r="HZI154" s="72"/>
      <c r="HZJ154" s="72"/>
      <c r="HZK154" s="72"/>
      <c r="HZL154" s="72"/>
      <c r="HZM154" s="72"/>
      <c r="HZN154" s="72"/>
      <c r="HZO154" s="72"/>
      <c r="HZP154" s="72"/>
      <c r="HZQ154" s="72"/>
      <c r="HZR154" s="72"/>
      <c r="HZS154" s="72"/>
      <c r="HZT154" s="72"/>
      <c r="HZU154" s="72"/>
      <c r="HZV154" s="72"/>
      <c r="HZW154" s="72"/>
      <c r="HZX154" s="72"/>
      <c r="HZY154" s="72"/>
      <c r="HZZ154" s="72"/>
      <c r="IAA154" s="72"/>
      <c r="IAB154" s="72"/>
      <c r="IAC154" s="72"/>
      <c r="IAD154" s="72"/>
      <c r="IAE154" s="72"/>
      <c r="IAF154" s="72"/>
      <c r="IAG154" s="72"/>
      <c r="IAH154" s="72"/>
      <c r="IAI154" s="72"/>
      <c r="IAJ154" s="72"/>
      <c r="IAK154" s="72"/>
      <c r="IAL154" s="72"/>
      <c r="IAM154" s="72"/>
      <c r="IAN154" s="72"/>
      <c r="IAO154" s="72"/>
      <c r="IAP154" s="72"/>
      <c r="IAQ154" s="72"/>
      <c r="IAR154" s="72"/>
      <c r="IAS154" s="72"/>
      <c r="IAT154" s="72"/>
      <c r="IAU154" s="72"/>
      <c r="IAV154" s="72"/>
      <c r="IAW154" s="72"/>
      <c r="IAX154" s="72"/>
      <c r="IAY154" s="72"/>
      <c r="IAZ154" s="72"/>
      <c r="IBA154" s="72"/>
      <c r="IBB154" s="72"/>
      <c r="IBC154" s="72"/>
      <c r="IBD154" s="72"/>
      <c r="IBE154" s="72"/>
      <c r="IBF154" s="72"/>
      <c r="IBG154" s="72"/>
      <c r="IBH154" s="72"/>
      <c r="IBI154" s="72"/>
      <c r="IBJ154" s="72"/>
      <c r="IBK154" s="72"/>
      <c r="IBL154" s="72"/>
      <c r="IBM154" s="72"/>
      <c r="IBN154" s="72"/>
      <c r="IBO154" s="72"/>
      <c r="IBP154" s="72"/>
      <c r="IBQ154" s="72"/>
      <c r="IBR154" s="72"/>
      <c r="IBS154" s="72"/>
      <c r="IBT154" s="72"/>
      <c r="IBU154" s="72"/>
      <c r="IBV154" s="72"/>
      <c r="IBW154" s="72"/>
      <c r="IBX154" s="72"/>
      <c r="IBY154" s="72"/>
      <c r="IBZ154" s="72"/>
      <c r="ICA154" s="72"/>
      <c r="ICB154" s="72"/>
      <c r="ICC154" s="72"/>
      <c r="ICD154" s="72"/>
      <c r="ICE154" s="72"/>
      <c r="ICF154" s="72"/>
      <c r="ICG154" s="72"/>
      <c r="ICH154" s="72"/>
      <c r="ICI154" s="72"/>
      <c r="ICJ154" s="72"/>
      <c r="ICK154" s="72"/>
      <c r="ICL154" s="72"/>
      <c r="ICM154" s="72"/>
      <c r="ICN154" s="72"/>
      <c r="ICO154" s="72"/>
      <c r="ICP154" s="72"/>
      <c r="ICQ154" s="72"/>
      <c r="ICR154" s="72"/>
      <c r="ICS154" s="72"/>
      <c r="ICT154" s="72"/>
      <c r="ICU154" s="72"/>
      <c r="ICV154" s="72"/>
      <c r="ICW154" s="72"/>
      <c r="ICX154" s="72"/>
      <c r="ICY154" s="72"/>
      <c r="ICZ154" s="72"/>
      <c r="IDA154" s="72"/>
      <c r="IDB154" s="72"/>
      <c r="IDC154" s="72"/>
      <c r="IDD154" s="72"/>
      <c r="IDE154" s="72"/>
      <c r="IDF154" s="72"/>
      <c r="IDG154" s="72"/>
      <c r="IDH154" s="72"/>
      <c r="IDI154" s="72"/>
      <c r="IDJ154" s="72"/>
      <c r="IDK154" s="72"/>
      <c r="IDL154" s="72"/>
      <c r="IDM154" s="72"/>
      <c r="IDN154" s="72"/>
      <c r="IDO154" s="72"/>
      <c r="IDP154" s="72"/>
      <c r="IDQ154" s="72"/>
      <c r="IDR154" s="72"/>
      <c r="IDS154" s="72"/>
      <c r="IDT154" s="72"/>
      <c r="IDU154" s="72"/>
      <c r="IDV154" s="72"/>
      <c r="IDW154" s="72"/>
      <c r="IDX154" s="72"/>
      <c r="IDY154" s="72"/>
      <c r="IDZ154" s="72"/>
      <c r="IEA154" s="72"/>
      <c r="IEB154" s="72"/>
      <c r="IEC154" s="72"/>
      <c r="IED154" s="72"/>
      <c r="IEE154" s="72"/>
      <c r="IEF154" s="72"/>
      <c r="IEG154" s="72"/>
      <c r="IEH154" s="72"/>
      <c r="IEI154" s="72"/>
      <c r="IEJ154" s="72"/>
      <c r="IEK154" s="72"/>
      <c r="IEL154" s="72"/>
      <c r="IEM154" s="72"/>
      <c r="IEN154" s="72"/>
      <c r="IEO154" s="72"/>
      <c r="IEP154" s="72"/>
      <c r="IEQ154" s="72"/>
      <c r="IER154" s="72"/>
      <c r="IES154" s="72"/>
      <c r="IET154" s="72"/>
      <c r="IEU154" s="72"/>
      <c r="IEV154" s="72"/>
      <c r="IEW154" s="72"/>
      <c r="IEX154" s="72"/>
      <c r="IEY154" s="72"/>
      <c r="IEZ154" s="72"/>
      <c r="IFA154" s="72"/>
      <c r="IFB154" s="72"/>
      <c r="IFC154" s="72"/>
      <c r="IFD154" s="72"/>
      <c r="IFE154" s="72"/>
      <c r="IFF154" s="72"/>
      <c r="IFG154" s="72"/>
      <c r="IFH154" s="72"/>
      <c r="IFI154" s="72"/>
      <c r="IFJ154" s="72"/>
      <c r="IFK154" s="72"/>
      <c r="IFL154" s="72"/>
      <c r="IFM154" s="72"/>
      <c r="IFN154" s="72"/>
      <c r="IFO154" s="72"/>
      <c r="IFP154" s="72"/>
      <c r="IFQ154" s="72"/>
      <c r="IFR154" s="72"/>
      <c r="IFS154" s="72"/>
      <c r="IFT154" s="72"/>
      <c r="IFU154" s="72"/>
      <c r="IFV154" s="72"/>
      <c r="IFW154" s="72"/>
      <c r="IFX154" s="72"/>
      <c r="IFY154" s="72"/>
      <c r="IFZ154" s="72"/>
      <c r="IGA154" s="72"/>
      <c r="IGB154" s="72"/>
      <c r="IGC154" s="72"/>
      <c r="IGD154" s="72"/>
      <c r="IGE154" s="72"/>
      <c r="IGF154" s="72"/>
      <c r="IGG154" s="72"/>
      <c r="IGH154" s="72"/>
      <c r="IGI154" s="72"/>
      <c r="IGJ154" s="72"/>
      <c r="IGK154" s="72"/>
      <c r="IGL154" s="72"/>
      <c r="IGM154" s="72"/>
      <c r="IGN154" s="72"/>
      <c r="IGO154" s="72"/>
      <c r="IGP154" s="72"/>
      <c r="IGQ154" s="72"/>
      <c r="IGR154" s="72"/>
      <c r="IGS154" s="72"/>
      <c r="IGT154" s="72"/>
      <c r="IGU154" s="72"/>
      <c r="IGV154" s="72"/>
      <c r="IGW154" s="72"/>
      <c r="IGX154" s="72"/>
      <c r="IGY154" s="72"/>
      <c r="IGZ154" s="72"/>
      <c r="IHA154" s="72"/>
      <c r="IHB154" s="72"/>
      <c r="IHC154" s="72"/>
      <c r="IHD154" s="72"/>
      <c r="IHE154" s="72"/>
      <c r="IHF154" s="72"/>
      <c r="IHG154" s="72"/>
      <c r="IHH154" s="72"/>
      <c r="IHI154" s="72"/>
      <c r="IHJ154" s="72"/>
      <c r="IHK154" s="72"/>
      <c r="IHL154" s="72"/>
      <c r="IHM154" s="72"/>
      <c r="IHN154" s="72"/>
      <c r="IHO154" s="72"/>
      <c r="IHP154" s="72"/>
      <c r="IHQ154" s="72"/>
      <c r="IHR154" s="72"/>
      <c r="IHS154" s="72"/>
      <c r="IHT154" s="72"/>
      <c r="IHU154" s="72"/>
      <c r="IHV154" s="72"/>
      <c r="IHW154" s="72"/>
      <c r="IHX154" s="72"/>
      <c r="IHY154" s="72"/>
      <c r="IHZ154" s="72"/>
      <c r="IIA154" s="72"/>
      <c r="IIB154" s="72"/>
      <c r="IIC154" s="72"/>
      <c r="IID154" s="72"/>
      <c r="IIE154" s="72"/>
      <c r="IIF154" s="72"/>
      <c r="IIG154" s="72"/>
      <c r="IIH154" s="72"/>
      <c r="III154" s="72"/>
      <c r="IIJ154" s="72"/>
      <c r="IIK154" s="72"/>
      <c r="IIL154" s="72"/>
      <c r="IIM154" s="72"/>
      <c r="IIN154" s="72"/>
      <c r="IIO154" s="72"/>
      <c r="IIP154" s="72"/>
      <c r="IIQ154" s="72"/>
      <c r="IIR154" s="72"/>
      <c r="IIS154" s="72"/>
      <c r="IIT154" s="72"/>
      <c r="IIU154" s="72"/>
      <c r="IIV154" s="72"/>
      <c r="IIW154" s="72"/>
      <c r="IIX154" s="72"/>
      <c r="IIY154" s="72"/>
      <c r="IIZ154" s="72"/>
      <c r="IJA154" s="72"/>
      <c r="IJB154" s="72"/>
      <c r="IJC154" s="72"/>
      <c r="IJD154" s="72"/>
      <c r="IJE154" s="72"/>
      <c r="IJF154" s="72"/>
      <c r="IJG154" s="72"/>
      <c r="IJH154" s="72"/>
      <c r="IJI154" s="72"/>
      <c r="IJJ154" s="72"/>
      <c r="IJK154" s="72"/>
      <c r="IJL154" s="72"/>
      <c r="IJM154" s="72"/>
      <c r="IJN154" s="72"/>
      <c r="IJO154" s="72"/>
      <c r="IJP154" s="72"/>
      <c r="IJQ154" s="72"/>
      <c r="IJR154" s="72"/>
      <c r="IJS154" s="72"/>
      <c r="IJT154" s="72"/>
      <c r="IJU154" s="72"/>
      <c r="IJV154" s="72"/>
      <c r="IJW154" s="72"/>
      <c r="IJX154" s="72"/>
      <c r="IJY154" s="72"/>
      <c r="IJZ154" s="72"/>
      <c r="IKA154" s="72"/>
      <c r="IKB154" s="72"/>
      <c r="IKC154" s="72"/>
      <c r="IKD154" s="72"/>
      <c r="IKE154" s="72"/>
      <c r="IKF154" s="72"/>
      <c r="IKG154" s="72"/>
      <c r="IKH154" s="72"/>
      <c r="IKI154" s="72"/>
      <c r="IKJ154" s="72"/>
      <c r="IKK154" s="72"/>
      <c r="IKL154" s="72"/>
      <c r="IKM154" s="72"/>
      <c r="IKN154" s="72"/>
      <c r="IKO154" s="72"/>
      <c r="IKP154" s="72"/>
      <c r="IKQ154" s="72"/>
      <c r="IKR154" s="72"/>
      <c r="IKS154" s="72"/>
      <c r="IKT154" s="72"/>
      <c r="IKU154" s="72"/>
      <c r="IKV154" s="72"/>
      <c r="IKW154" s="72"/>
      <c r="IKX154" s="72"/>
      <c r="IKY154" s="72"/>
      <c r="IKZ154" s="72"/>
      <c r="ILA154" s="72"/>
      <c r="ILB154" s="72"/>
      <c r="ILC154" s="72"/>
      <c r="ILD154" s="72"/>
      <c r="ILE154" s="72"/>
      <c r="ILF154" s="72"/>
      <c r="ILG154" s="72"/>
      <c r="ILH154" s="72"/>
      <c r="ILI154" s="72"/>
      <c r="ILJ154" s="72"/>
      <c r="ILK154" s="72"/>
      <c r="ILL154" s="72"/>
      <c r="ILM154" s="72"/>
      <c r="ILN154" s="72"/>
      <c r="ILO154" s="72"/>
      <c r="ILP154" s="72"/>
      <c r="ILQ154" s="72"/>
      <c r="ILR154" s="72"/>
      <c r="ILS154" s="72"/>
      <c r="ILT154" s="72"/>
      <c r="ILU154" s="72"/>
      <c r="ILV154" s="72"/>
      <c r="ILW154" s="72"/>
      <c r="ILX154" s="72"/>
      <c r="ILY154" s="72"/>
      <c r="ILZ154" s="72"/>
      <c r="IMA154" s="72"/>
      <c r="IMB154" s="72"/>
      <c r="IMC154" s="72"/>
      <c r="IMD154" s="72"/>
      <c r="IME154" s="72"/>
      <c r="IMF154" s="72"/>
      <c r="IMG154" s="72"/>
      <c r="IMH154" s="72"/>
      <c r="IMI154" s="72"/>
      <c r="IMJ154" s="72"/>
      <c r="IMK154" s="72"/>
      <c r="IML154" s="72"/>
      <c r="IMM154" s="72"/>
      <c r="IMN154" s="72"/>
      <c r="IMO154" s="72"/>
      <c r="IMP154" s="72"/>
      <c r="IMQ154" s="72"/>
      <c r="IMR154" s="72"/>
      <c r="IMS154" s="72"/>
      <c r="IMT154" s="72"/>
      <c r="IMU154" s="72"/>
      <c r="IMV154" s="72"/>
      <c r="IMW154" s="72"/>
      <c r="IMX154" s="72"/>
      <c r="IMY154" s="72"/>
      <c r="IMZ154" s="72"/>
      <c r="INA154" s="72"/>
      <c r="INB154" s="72"/>
      <c r="INC154" s="72"/>
      <c r="IND154" s="72"/>
      <c r="INE154" s="72"/>
      <c r="INF154" s="72"/>
      <c r="ING154" s="72"/>
      <c r="INH154" s="72"/>
      <c r="INI154" s="72"/>
      <c r="INJ154" s="72"/>
      <c r="INK154" s="72"/>
      <c r="INL154" s="72"/>
      <c r="INM154" s="72"/>
      <c r="INN154" s="72"/>
      <c r="INO154" s="72"/>
      <c r="INP154" s="72"/>
      <c r="INQ154" s="72"/>
      <c r="INR154" s="72"/>
      <c r="INS154" s="72"/>
      <c r="INT154" s="72"/>
      <c r="INU154" s="72"/>
      <c r="INV154" s="72"/>
      <c r="INW154" s="72"/>
      <c r="INX154" s="72"/>
      <c r="INY154" s="72"/>
      <c r="INZ154" s="72"/>
      <c r="IOA154" s="72"/>
      <c r="IOB154" s="72"/>
      <c r="IOC154" s="72"/>
      <c r="IOD154" s="72"/>
      <c r="IOE154" s="72"/>
      <c r="IOF154" s="72"/>
      <c r="IOG154" s="72"/>
      <c r="IOH154" s="72"/>
      <c r="IOI154" s="72"/>
      <c r="IOJ154" s="72"/>
      <c r="IOK154" s="72"/>
      <c r="IOL154" s="72"/>
      <c r="IOM154" s="72"/>
      <c r="ION154" s="72"/>
      <c r="IOO154" s="72"/>
      <c r="IOP154" s="72"/>
      <c r="IOQ154" s="72"/>
      <c r="IOR154" s="72"/>
      <c r="IOS154" s="72"/>
      <c r="IOT154" s="72"/>
      <c r="IOU154" s="72"/>
      <c r="IOV154" s="72"/>
      <c r="IOW154" s="72"/>
      <c r="IOX154" s="72"/>
      <c r="IOY154" s="72"/>
      <c r="IOZ154" s="72"/>
      <c r="IPA154" s="72"/>
      <c r="IPB154" s="72"/>
      <c r="IPC154" s="72"/>
      <c r="IPD154" s="72"/>
      <c r="IPE154" s="72"/>
      <c r="IPF154" s="72"/>
      <c r="IPG154" s="72"/>
      <c r="IPH154" s="72"/>
      <c r="IPI154" s="72"/>
      <c r="IPJ154" s="72"/>
      <c r="IPK154" s="72"/>
      <c r="IPL154" s="72"/>
      <c r="IPM154" s="72"/>
      <c r="IPN154" s="72"/>
      <c r="IPO154" s="72"/>
      <c r="IPP154" s="72"/>
      <c r="IPQ154" s="72"/>
      <c r="IPR154" s="72"/>
      <c r="IPS154" s="72"/>
      <c r="IPT154" s="72"/>
      <c r="IPU154" s="72"/>
      <c r="IPV154" s="72"/>
      <c r="IPW154" s="72"/>
      <c r="IPX154" s="72"/>
      <c r="IPY154" s="72"/>
      <c r="IPZ154" s="72"/>
      <c r="IQA154" s="72"/>
      <c r="IQB154" s="72"/>
      <c r="IQC154" s="72"/>
      <c r="IQD154" s="72"/>
      <c r="IQE154" s="72"/>
      <c r="IQF154" s="72"/>
      <c r="IQG154" s="72"/>
      <c r="IQH154" s="72"/>
      <c r="IQI154" s="72"/>
      <c r="IQJ154" s="72"/>
      <c r="IQK154" s="72"/>
      <c r="IQL154" s="72"/>
      <c r="IQM154" s="72"/>
      <c r="IQN154" s="72"/>
      <c r="IQO154" s="72"/>
      <c r="IQP154" s="72"/>
      <c r="IQQ154" s="72"/>
      <c r="IQR154" s="72"/>
      <c r="IQS154" s="72"/>
      <c r="IQT154" s="72"/>
      <c r="IQU154" s="72"/>
      <c r="IQV154" s="72"/>
      <c r="IQW154" s="72"/>
      <c r="IQX154" s="72"/>
      <c r="IQY154" s="72"/>
      <c r="IQZ154" s="72"/>
      <c r="IRA154" s="72"/>
      <c r="IRB154" s="72"/>
      <c r="IRC154" s="72"/>
      <c r="IRD154" s="72"/>
      <c r="IRE154" s="72"/>
      <c r="IRF154" s="72"/>
      <c r="IRG154" s="72"/>
      <c r="IRH154" s="72"/>
      <c r="IRI154" s="72"/>
      <c r="IRJ154" s="72"/>
      <c r="IRK154" s="72"/>
      <c r="IRL154" s="72"/>
      <c r="IRM154" s="72"/>
      <c r="IRN154" s="72"/>
      <c r="IRO154" s="72"/>
      <c r="IRP154" s="72"/>
      <c r="IRQ154" s="72"/>
      <c r="IRR154" s="72"/>
      <c r="IRS154" s="72"/>
      <c r="IRT154" s="72"/>
      <c r="IRU154" s="72"/>
      <c r="IRV154" s="72"/>
      <c r="IRW154" s="72"/>
      <c r="IRX154" s="72"/>
      <c r="IRY154" s="72"/>
      <c r="IRZ154" s="72"/>
      <c r="ISA154" s="72"/>
      <c r="ISB154" s="72"/>
      <c r="ISC154" s="72"/>
      <c r="ISD154" s="72"/>
      <c r="ISE154" s="72"/>
      <c r="ISF154" s="72"/>
      <c r="ISG154" s="72"/>
      <c r="ISH154" s="72"/>
      <c r="ISI154" s="72"/>
      <c r="ISJ154" s="72"/>
      <c r="ISK154" s="72"/>
      <c r="ISL154" s="72"/>
      <c r="ISM154" s="72"/>
      <c r="ISN154" s="72"/>
      <c r="ISO154" s="72"/>
      <c r="ISP154" s="72"/>
      <c r="ISQ154" s="72"/>
      <c r="ISR154" s="72"/>
      <c r="ISS154" s="72"/>
      <c r="IST154" s="72"/>
      <c r="ISU154" s="72"/>
      <c r="ISV154" s="72"/>
      <c r="ISW154" s="72"/>
      <c r="ISX154" s="72"/>
      <c r="ISY154" s="72"/>
      <c r="ISZ154" s="72"/>
      <c r="ITA154" s="72"/>
      <c r="ITB154" s="72"/>
      <c r="ITC154" s="72"/>
      <c r="ITD154" s="72"/>
      <c r="ITE154" s="72"/>
      <c r="ITF154" s="72"/>
      <c r="ITG154" s="72"/>
      <c r="ITH154" s="72"/>
      <c r="ITI154" s="72"/>
      <c r="ITJ154" s="72"/>
      <c r="ITK154" s="72"/>
      <c r="ITL154" s="72"/>
      <c r="ITM154" s="72"/>
      <c r="ITN154" s="72"/>
      <c r="ITO154" s="72"/>
      <c r="ITP154" s="72"/>
      <c r="ITQ154" s="72"/>
      <c r="ITR154" s="72"/>
      <c r="ITS154" s="72"/>
      <c r="ITT154" s="72"/>
      <c r="ITU154" s="72"/>
      <c r="ITV154" s="72"/>
      <c r="ITW154" s="72"/>
      <c r="ITX154" s="72"/>
      <c r="ITY154" s="72"/>
      <c r="ITZ154" s="72"/>
      <c r="IUA154" s="72"/>
      <c r="IUB154" s="72"/>
      <c r="IUC154" s="72"/>
      <c r="IUD154" s="72"/>
      <c r="IUE154" s="72"/>
      <c r="IUF154" s="72"/>
      <c r="IUG154" s="72"/>
      <c r="IUH154" s="72"/>
      <c r="IUI154" s="72"/>
      <c r="IUJ154" s="72"/>
      <c r="IUK154" s="72"/>
      <c r="IUL154" s="72"/>
      <c r="IUM154" s="72"/>
      <c r="IUN154" s="72"/>
      <c r="IUO154" s="72"/>
      <c r="IUP154" s="72"/>
      <c r="IUQ154" s="72"/>
      <c r="IUR154" s="72"/>
      <c r="IUS154" s="72"/>
      <c r="IUT154" s="72"/>
      <c r="IUU154" s="72"/>
      <c r="IUV154" s="72"/>
      <c r="IUW154" s="72"/>
      <c r="IUX154" s="72"/>
      <c r="IUY154" s="72"/>
      <c r="IUZ154" s="72"/>
      <c r="IVA154" s="72"/>
      <c r="IVB154" s="72"/>
      <c r="IVC154" s="72"/>
      <c r="IVD154" s="72"/>
      <c r="IVE154" s="72"/>
      <c r="IVF154" s="72"/>
      <c r="IVG154" s="72"/>
      <c r="IVH154" s="72"/>
      <c r="IVI154" s="72"/>
      <c r="IVJ154" s="72"/>
      <c r="IVK154" s="72"/>
      <c r="IVL154" s="72"/>
      <c r="IVM154" s="72"/>
      <c r="IVN154" s="72"/>
      <c r="IVO154" s="72"/>
      <c r="IVP154" s="72"/>
      <c r="IVQ154" s="72"/>
      <c r="IVR154" s="72"/>
      <c r="IVS154" s="72"/>
      <c r="IVT154" s="72"/>
      <c r="IVU154" s="72"/>
      <c r="IVV154" s="72"/>
      <c r="IVW154" s="72"/>
      <c r="IVX154" s="72"/>
      <c r="IVY154" s="72"/>
      <c r="IVZ154" s="72"/>
      <c r="IWA154" s="72"/>
      <c r="IWB154" s="72"/>
      <c r="IWC154" s="72"/>
      <c r="IWD154" s="72"/>
      <c r="IWE154" s="72"/>
      <c r="IWF154" s="72"/>
      <c r="IWG154" s="72"/>
      <c r="IWH154" s="72"/>
      <c r="IWI154" s="72"/>
      <c r="IWJ154" s="72"/>
      <c r="IWK154" s="72"/>
      <c r="IWL154" s="72"/>
      <c r="IWM154" s="72"/>
      <c r="IWN154" s="72"/>
      <c r="IWO154" s="72"/>
      <c r="IWP154" s="72"/>
      <c r="IWQ154" s="72"/>
      <c r="IWR154" s="72"/>
      <c r="IWS154" s="72"/>
      <c r="IWT154" s="72"/>
      <c r="IWU154" s="72"/>
      <c r="IWV154" s="72"/>
      <c r="IWW154" s="72"/>
      <c r="IWX154" s="72"/>
      <c r="IWY154" s="72"/>
      <c r="IWZ154" s="72"/>
      <c r="IXA154" s="72"/>
      <c r="IXB154" s="72"/>
      <c r="IXC154" s="72"/>
      <c r="IXD154" s="72"/>
      <c r="IXE154" s="72"/>
      <c r="IXF154" s="72"/>
      <c r="IXG154" s="72"/>
      <c r="IXH154" s="72"/>
      <c r="IXI154" s="72"/>
      <c r="IXJ154" s="72"/>
      <c r="IXK154" s="72"/>
      <c r="IXL154" s="72"/>
      <c r="IXM154" s="72"/>
      <c r="IXN154" s="72"/>
      <c r="IXO154" s="72"/>
      <c r="IXP154" s="72"/>
      <c r="IXQ154" s="72"/>
      <c r="IXR154" s="72"/>
      <c r="IXS154" s="72"/>
      <c r="IXT154" s="72"/>
      <c r="IXU154" s="72"/>
      <c r="IXV154" s="72"/>
      <c r="IXW154" s="72"/>
      <c r="IXX154" s="72"/>
      <c r="IXY154" s="72"/>
      <c r="IXZ154" s="72"/>
      <c r="IYA154" s="72"/>
      <c r="IYB154" s="72"/>
      <c r="IYC154" s="72"/>
      <c r="IYD154" s="72"/>
      <c r="IYE154" s="72"/>
      <c r="IYF154" s="72"/>
      <c r="IYG154" s="72"/>
      <c r="IYH154" s="72"/>
      <c r="IYI154" s="72"/>
      <c r="IYJ154" s="72"/>
      <c r="IYK154" s="72"/>
      <c r="IYL154" s="72"/>
      <c r="IYM154" s="72"/>
      <c r="IYN154" s="72"/>
      <c r="IYO154" s="72"/>
      <c r="IYP154" s="72"/>
      <c r="IYQ154" s="72"/>
      <c r="IYR154" s="72"/>
      <c r="IYS154" s="72"/>
      <c r="IYT154" s="72"/>
      <c r="IYU154" s="72"/>
      <c r="IYV154" s="72"/>
      <c r="IYW154" s="72"/>
      <c r="IYX154" s="72"/>
      <c r="IYY154" s="72"/>
      <c r="IYZ154" s="72"/>
      <c r="IZA154" s="72"/>
      <c r="IZB154" s="72"/>
      <c r="IZC154" s="72"/>
      <c r="IZD154" s="72"/>
      <c r="IZE154" s="72"/>
      <c r="IZF154" s="72"/>
      <c r="IZG154" s="72"/>
      <c r="IZH154" s="72"/>
      <c r="IZI154" s="72"/>
      <c r="IZJ154" s="72"/>
      <c r="IZK154" s="72"/>
      <c r="IZL154" s="72"/>
      <c r="IZM154" s="72"/>
      <c r="IZN154" s="72"/>
      <c r="IZO154" s="72"/>
      <c r="IZP154" s="72"/>
      <c r="IZQ154" s="72"/>
      <c r="IZR154" s="72"/>
      <c r="IZS154" s="72"/>
      <c r="IZT154" s="72"/>
      <c r="IZU154" s="72"/>
      <c r="IZV154" s="72"/>
      <c r="IZW154" s="72"/>
      <c r="IZX154" s="72"/>
      <c r="IZY154" s="72"/>
      <c r="IZZ154" s="72"/>
      <c r="JAA154" s="72"/>
      <c r="JAB154" s="72"/>
      <c r="JAC154" s="72"/>
      <c r="JAD154" s="72"/>
      <c r="JAE154" s="72"/>
      <c r="JAF154" s="72"/>
      <c r="JAG154" s="72"/>
      <c r="JAH154" s="72"/>
      <c r="JAI154" s="72"/>
      <c r="JAJ154" s="72"/>
      <c r="JAK154" s="72"/>
      <c r="JAL154" s="72"/>
      <c r="JAM154" s="72"/>
      <c r="JAN154" s="72"/>
      <c r="JAO154" s="72"/>
      <c r="JAP154" s="72"/>
      <c r="JAQ154" s="72"/>
      <c r="JAR154" s="72"/>
      <c r="JAS154" s="72"/>
      <c r="JAT154" s="72"/>
      <c r="JAU154" s="72"/>
      <c r="JAV154" s="72"/>
      <c r="JAW154" s="72"/>
      <c r="JAX154" s="72"/>
      <c r="JAY154" s="72"/>
      <c r="JAZ154" s="72"/>
      <c r="JBA154" s="72"/>
      <c r="JBB154" s="72"/>
      <c r="JBC154" s="72"/>
      <c r="JBD154" s="72"/>
      <c r="JBE154" s="72"/>
      <c r="JBF154" s="72"/>
      <c r="JBG154" s="72"/>
      <c r="JBH154" s="72"/>
      <c r="JBI154" s="72"/>
      <c r="JBJ154" s="72"/>
      <c r="JBK154" s="72"/>
      <c r="JBL154" s="72"/>
      <c r="JBM154" s="72"/>
      <c r="JBN154" s="72"/>
      <c r="JBO154" s="72"/>
      <c r="JBP154" s="72"/>
      <c r="JBQ154" s="72"/>
      <c r="JBR154" s="72"/>
      <c r="JBS154" s="72"/>
      <c r="JBT154" s="72"/>
      <c r="JBU154" s="72"/>
      <c r="JBV154" s="72"/>
      <c r="JBW154" s="72"/>
      <c r="JBX154" s="72"/>
      <c r="JBY154" s="72"/>
      <c r="JBZ154" s="72"/>
      <c r="JCA154" s="72"/>
      <c r="JCB154" s="72"/>
      <c r="JCC154" s="72"/>
      <c r="JCD154" s="72"/>
      <c r="JCE154" s="72"/>
      <c r="JCF154" s="72"/>
      <c r="JCG154" s="72"/>
      <c r="JCH154" s="72"/>
      <c r="JCI154" s="72"/>
      <c r="JCJ154" s="72"/>
      <c r="JCK154" s="72"/>
      <c r="JCL154" s="72"/>
      <c r="JCM154" s="72"/>
      <c r="JCN154" s="72"/>
      <c r="JCO154" s="72"/>
      <c r="JCP154" s="72"/>
      <c r="JCQ154" s="72"/>
      <c r="JCR154" s="72"/>
      <c r="JCS154" s="72"/>
      <c r="JCT154" s="72"/>
      <c r="JCU154" s="72"/>
      <c r="JCV154" s="72"/>
      <c r="JCW154" s="72"/>
      <c r="JCX154" s="72"/>
      <c r="JCY154" s="72"/>
      <c r="JCZ154" s="72"/>
      <c r="JDA154" s="72"/>
      <c r="JDB154" s="72"/>
      <c r="JDC154" s="72"/>
      <c r="JDD154" s="72"/>
      <c r="JDE154" s="72"/>
      <c r="JDF154" s="72"/>
      <c r="JDG154" s="72"/>
      <c r="JDH154" s="72"/>
      <c r="JDI154" s="72"/>
      <c r="JDJ154" s="72"/>
      <c r="JDK154" s="72"/>
      <c r="JDL154" s="72"/>
      <c r="JDM154" s="72"/>
      <c r="JDN154" s="72"/>
      <c r="JDO154" s="72"/>
      <c r="JDP154" s="72"/>
      <c r="JDQ154" s="72"/>
      <c r="JDR154" s="72"/>
      <c r="JDS154" s="72"/>
      <c r="JDT154" s="72"/>
      <c r="JDU154" s="72"/>
      <c r="JDV154" s="72"/>
      <c r="JDW154" s="72"/>
      <c r="JDX154" s="72"/>
      <c r="JDY154" s="72"/>
      <c r="JDZ154" s="72"/>
      <c r="JEA154" s="72"/>
      <c r="JEB154" s="72"/>
      <c r="JEC154" s="72"/>
      <c r="JED154" s="72"/>
      <c r="JEE154" s="72"/>
      <c r="JEF154" s="72"/>
      <c r="JEG154" s="72"/>
      <c r="JEH154" s="72"/>
      <c r="JEI154" s="72"/>
      <c r="JEJ154" s="72"/>
      <c r="JEK154" s="72"/>
      <c r="JEL154" s="72"/>
      <c r="JEM154" s="72"/>
      <c r="JEN154" s="72"/>
      <c r="JEO154" s="72"/>
      <c r="JEP154" s="72"/>
      <c r="JEQ154" s="72"/>
      <c r="JER154" s="72"/>
      <c r="JES154" s="72"/>
      <c r="JET154" s="72"/>
      <c r="JEU154" s="72"/>
      <c r="JEV154" s="72"/>
      <c r="JEW154" s="72"/>
      <c r="JEX154" s="72"/>
      <c r="JEY154" s="72"/>
      <c r="JEZ154" s="72"/>
      <c r="JFA154" s="72"/>
      <c r="JFB154" s="72"/>
      <c r="JFC154" s="72"/>
      <c r="JFD154" s="72"/>
      <c r="JFE154" s="72"/>
      <c r="JFF154" s="72"/>
      <c r="JFG154" s="72"/>
      <c r="JFH154" s="72"/>
      <c r="JFI154" s="72"/>
      <c r="JFJ154" s="72"/>
      <c r="JFK154" s="72"/>
      <c r="JFL154" s="72"/>
      <c r="JFM154" s="72"/>
      <c r="JFN154" s="72"/>
      <c r="JFO154" s="72"/>
      <c r="JFP154" s="72"/>
      <c r="JFQ154" s="72"/>
      <c r="JFR154" s="72"/>
      <c r="JFS154" s="72"/>
      <c r="JFT154" s="72"/>
      <c r="JFU154" s="72"/>
      <c r="JFV154" s="72"/>
      <c r="JFW154" s="72"/>
      <c r="JFX154" s="72"/>
      <c r="JFY154" s="72"/>
      <c r="JFZ154" s="72"/>
      <c r="JGA154" s="72"/>
      <c r="JGB154" s="72"/>
      <c r="JGC154" s="72"/>
      <c r="JGD154" s="72"/>
      <c r="JGE154" s="72"/>
      <c r="JGF154" s="72"/>
      <c r="JGG154" s="72"/>
      <c r="JGH154" s="72"/>
      <c r="JGI154" s="72"/>
      <c r="JGJ154" s="72"/>
      <c r="JGK154" s="72"/>
      <c r="JGL154" s="72"/>
      <c r="JGM154" s="72"/>
      <c r="JGN154" s="72"/>
      <c r="JGO154" s="72"/>
      <c r="JGP154" s="72"/>
      <c r="JGQ154" s="72"/>
      <c r="JGR154" s="72"/>
      <c r="JGS154" s="72"/>
      <c r="JGT154" s="72"/>
      <c r="JGU154" s="72"/>
      <c r="JGV154" s="72"/>
      <c r="JGW154" s="72"/>
      <c r="JGX154" s="72"/>
      <c r="JGY154" s="72"/>
      <c r="JGZ154" s="72"/>
      <c r="JHA154" s="72"/>
      <c r="JHB154" s="72"/>
      <c r="JHC154" s="72"/>
      <c r="JHD154" s="72"/>
      <c r="JHE154" s="72"/>
      <c r="JHF154" s="72"/>
      <c r="JHG154" s="72"/>
      <c r="JHH154" s="72"/>
      <c r="JHI154" s="72"/>
      <c r="JHJ154" s="72"/>
      <c r="JHK154" s="72"/>
      <c r="JHL154" s="72"/>
      <c r="JHM154" s="72"/>
      <c r="JHN154" s="72"/>
      <c r="JHO154" s="72"/>
      <c r="JHP154" s="72"/>
      <c r="JHQ154" s="72"/>
      <c r="JHR154" s="72"/>
      <c r="JHS154" s="72"/>
      <c r="JHT154" s="72"/>
      <c r="JHU154" s="72"/>
      <c r="JHV154" s="72"/>
      <c r="JHW154" s="72"/>
      <c r="JHX154" s="72"/>
      <c r="JHY154" s="72"/>
      <c r="JHZ154" s="72"/>
      <c r="JIA154" s="72"/>
      <c r="JIB154" s="72"/>
      <c r="JIC154" s="72"/>
      <c r="JID154" s="72"/>
      <c r="JIE154" s="72"/>
      <c r="JIF154" s="72"/>
      <c r="JIG154" s="72"/>
      <c r="JIH154" s="72"/>
      <c r="JII154" s="72"/>
      <c r="JIJ154" s="72"/>
      <c r="JIK154" s="72"/>
      <c r="JIL154" s="72"/>
      <c r="JIM154" s="72"/>
      <c r="JIN154" s="72"/>
      <c r="JIO154" s="72"/>
      <c r="JIP154" s="72"/>
      <c r="JIQ154" s="72"/>
      <c r="JIR154" s="72"/>
      <c r="JIS154" s="72"/>
      <c r="JIT154" s="72"/>
      <c r="JIU154" s="72"/>
      <c r="JIV154" s="72"/>
      <c r="JIW154" s="72"/>
      <c r="JIX154" s="72"/>
      <c r="JIY154" s="72"/>
      <c r="JIZ154" s="72"/>
      <c r="JJA154" s="72"/>
      <c r="JJB154" s="72"/>
      <c r="JJC154" s="72"/>
      <c r="JJD154" s="72"/>
      <c r="JJE154" s="72"/>
      <c r="JJF154" s="72"/>
      <c r="JJG154" s="72"/>
      <c r="JJH154" s="72"/>
      <c r="JJI154" s="72"/>
      <c r="JJJ154" s="72"/>
      <c r="JJK154" s="72"/>
      <c r="JJL154" s="72"/>
      <c r="JJM154" s="72"/>
      <c r="JJN154" s="72"/>
      <c r="JJO154" s="72"/>
      <c r="JJP154" s="72"/>
      <c r="JJQ154" s="72"/>
      <c r="JJR154" s="72"/>
      <c r="JJS154" s="72"/>
      <c r="JJT154" s="72"/>
      <c r="JJU154" s="72"/>
      <c r="JJV154" s="72"/>
      <c r="JJW154" s="72"/>
      <c r="JJX154" s="72"/>
      <c r="JJY154" s="72"/>
      <c r="JJZ154" s="72"/>
      <c r="JKA154" s="72"/>
      <c r="JKB154" s="72"/>
      <c r="JKC154" s="72"/>
      <c r="JKD154" s="72"/>
      <c r="JKE154" s="72"/>
      <c r="JKF154" s="72"/>
      <c r="JKG154" s="72"/>
      <c r="JKH154" s="72"/>
      <c r="JKI154" s="72"/>
      <c r="JKJ154" s="72"/>
      <c r="JKK154" s="72"/>
      <c r="JKL154" s="72"/>
      <c r="JKM154" s="72"/>
      <c r="JKN154" s="72"/>
      <c r="JKO154" s="72"/>
      <c r="JKP154" s="72"/>
      <c r="JKQ154" s="72"/>
      <c r="JKR154" s="72"/>
      <c r="JKS154" s="72"/>
      <c r="JKT154" s="72"/>
      <c r="JKU154" s="72"/>
      <c r="JKV154" s="72"/>
      <c r="JKW154" s="72"/>
      <c r="JKX154" s="72"/>
      <c r="JKY154" s="72"/>
      <c r="JKZ154" s="72"/>
      <c r="JLA154" s="72"/>
      <c r="JLB154" s="72"/>
      <c r="JLC154" s="72"/>
      <c r="JLD154" s="72"/>
      <c r="JLE154" s="72"/>
      <c r="JLF154" s="72"/>
      <c r="JLG154" s="72"/>
      <c r="JLH154" s="72"/>
      <c r="JLI154" s="72"/>
      <c r="JLJ154" s="72"/>
      <c r="JLK154" s="72"/>
      <c r="JLL154" s="72"/>
      <c r="JLM154" s="72"/>
      <c r="JLN154" s="72"/>
      <c r="JLO154" s="72"/>
      <c r="JLP154" s="72"/>
      <c r="JLQ154" s="72"/>
      <c r="JLR154" s="72"/>
      <c r="JLS154" s="72"/>
      <c r="JLT154" s="72"/>
      <c r="JLU154" s="72"/>
      <c r="JLV154" s="72"/>
      <c r="JLW154" s="72"/>
      <c r="JLX154" s="72"/>
      <c r="JLY154" s="72"/>
      <c r="JLZ154" s="72"/>
      <c r="JMA154" s="72"/>
      <c r="JMB154" s="72"/>
      <c r="JMC154" s="72"/>
      <c r="JMD154" s="72"/>
      <c r="JME154" s="72"/>
      <c r="JMF154" s="72"/>
      <c r="JMG154" s="72"/>
      <c r="JMH154" s="72"/>
      <c r="JMI154" s="72"/>
      <c r="JMJ154" s="72"/>
      <c r="JMK154" s="72"/>
      <c r="JML154" s="72"/>
      <c r="JMM154" s="72"/>
      <c r="JMN154" s="72"/>
      <c r="JMO154" s="72"/>
      <c r="JMP154" s="72"/>
      <c r="JMQ154" s="72"/>
      <c r="JMR154" s="72"/>
      <c r="JMS154" s="72"/>
      <c r="JMT154" s="72"/>
      <c r="JMU154" s="72"/>
      <c r="JMV154" s="72"/>
      <c r="JMW154" s="72"/>
      <c r="JMX154" s="72"/>
      <c r="JMY154" s="72"/>
      <c r="JMZ154" s="72"/>
      <c r="JNA154" s="72"/>
      <c r="JNB154" s="72"/>
      <c r="JNC154" s="72"/>
      <c r="JND154" s="72"/>
      <c r="JNE154" s="72"/>
      <c r="JNF154" s="72"/>
      <c r="JNG154" s="72"/>
      <c r="JNH154" s="72"/>
      <c r="JNI154" s="72"/>
      <c r="JNJ154" s="72"/>
      <c r="JNK154" s="72"/>
      <c r="JNL154" s="72"/>
      <c r="JNM154" s="72"/>
      <c r="JNN154" s="72"/>
      <c r="JNO154" s="72"/>
      <c r="JNP154" s="72"/>
      <c r="JNQ154" s="72"/>
      <c r="JNR154" s="72"/>
      <c r="JNS154" s="72"/>
      <c r="JNT154" s="72"/>
      <c r="JNU154" s="72"/>
      <c r="JNV154" s="72"/>
      <c r="JNW154" s="72"/>
      <c r="JNX154" s="72"/>
      <c r="JNY154" s="72"/>
      <c r="JNZ154" s="72"/>
      <c r="JOA154" s="72"/>
      <c r="JOB154" s="72"/>
      <c r="JOC154" s="72"/>
      <c r="JOD154" s="72"/>
      <c r="JOE154" s="72"/>
      <c r="JOF154" s="72"/>
      <c r="JOG154" s="72"/>
      <c r="JOH154" s="72"/>
      <c r="JOI154" s="72"/>
      <c r="JOJ154" s="72"/>
      <c r="JOK154" s="72"/>
      <c r="JOL154" s="72"/>
      <c r="JOM154" s="72"/>
      <c r="JON154" s="72"/>
      <c r="JOO154" s="72"/>
      <c r="JOP154" s="72"/>
      <c r="JOQ154" s="72"/>
      <c r="JOR154" s="72"/>
      <c r="JOS154" s="72"/>
      <c r="JOT154" s="72"/>
      <c r="JOU154" s="72"/>
      <c r="JOV154" s="72"/>
      <c r="JOW154" s="72"/>
      <c r="JOX154" s="72"/>
      <c r="JOY154" s="72"/>
      <c r="JOZ154" s="72"/>
      <c r="JPA154" s="72"/>
      <c r="JPB154" s="72"/>
      <c r="JPC154" s="72"/>
      <c r="JPD154" s="72"/>
      <c r="JPE154" s="72"/>
      <c r="JPF154" s="72"/>
      <c r="JPG154" s="72"/>
      <c r="JPH154" s="72"/>
      <c r="JPI154" s="72"/>
      <c r="JPJ154" s="72"/>
      <c r="JPK154" s="72"/>
      <c r="JPL154" s="72"/>
      <c r="JPM154" s="72"/>
      <c r="JPN154" s="72"/>
      <c r="JPO154" s="72"/>
      <c r="JPP154" s="72"/>
      <c r="JPQ154" s="72"/>
      <c r="JPR154" s="72"/>
      <c r="JPS154" s="72"/>
      <c r="JPT154" s="72"/>
      <c r="JPU154" s="72"/>
      <c r="JPV154" s="72"/>
      <c r="JPW154" s="72"/>
      <c r="JPX154" s="72"/>
      <c r="JPY154" s="72"/>
      <c r="JPZ154" s="72"/>
      <c r="JQA154" s="72"/>
      <c r="JQB154" s="72"/>
      <c r="JQC154" s="72"/>
      <c r="JQD154" s="72"/>
      <c r="JQE154" s="72"/>
      <c r="JQF154" s="72"/>
      <c r="JQG154" s="72"/>
      <c r="JQH154" s="72"/>
      <c r="JQI154" s="72"/>
      <c r="JQJ154" s="72"/>
      <c r="JQK154" s="72"/>
      <c r="JQL154" s="72"/>
      <c r="JQM154" s="72"/>
      <c r="JQN154" s="72"/>
      <c r="JQO154" s="72"/>
      <c r="JQP154" s="72"/>
      <c r="JQQ154" s="72"/>
      <c r="JQR154" s="72"/>
      <c r="JQS154" s="72"/>
      <c r="JQT154" s="72"/>
      <c r="JQU154" s="72"/>
      <c r="JQV154" s="72"/>
      <c r="JQW154" s="72"/>
      <c r="JQX154" s="72"/>
      <c r="JQY154" s="72"/>
      <c r="JQZ154" s="72"/>
      <c r="JRA154" s="72"/>
      <c r="JRB154" s="72"/>
      <c r="JRC154" s="72"/>
      <c r="JRD154" s="72"/>
      <c r="JRE154" s="72"/>
      <c r="JRF154" s="72"/>
      <c r="JRG154" s="72"/>
      <c r="JRH154" s="72"/>
      <c r="JRI154" s="72"/>
      <c r="JRJ154" s="72"/>
      <c r="JRK154" s="72"/>
      <c r="JRL154" s="72"/>
      <c r="JRM154" s="72"/>
      <c r="JRN154" s="72"/>
      <c r="JRO154" s="72"/>
      <c r="JRP154" s="72"/>
      <c r="JRQ154" s="72"/>
      <c r="JRR154" s="72"/>
      <c r="JRS154" s="72"/>
      <c r="JRT154" s="72"/>
      <c r="JRU154" s="72"/>
      <c r="JRV154" s="72"/>
      <c r="JRW154" s="72"/>
      <c r="JRX154" s="72"/>
      <c r="JRY154" s="72"/>
      <c r="JRZ154" s="72"/>
      <c r="JSA154" s="72"/>
      <c r="JSB154" s="72"/>
      <c r="JSC154" s="72"/>
      <c r="JSD154" s="72"/>
      <c r="JSE154" s="72"/>
      <c r="JSF154" s="72"/>
      <c r="JSG154" s="72"/>
      <c r="JSH154" s="72"/>
      <c r="JSI154" s="72"/>
      <c r="JSJ154" s="72"/>
      <c r="JSK154" s="72"/>
      <c r="JSL154" s="72"/>
      <c r="JSM154" s="72"/>
      <c r="JSN154" s="72"/>
      <c r="JSO154" s="72"/>
      <c r="JSP154" s="72"/>
      <c r="JSQ154" s="72"/>
      <c r="JSR154" s="72"/>
      <c r="JSS154" s="72"/>
      <c r="JST154" s="72"/>
      <c r="JSU154" s="72"/>
      <c r="JSV154" s="72"/>
      <c r="JSW154" s="72"/>
      <c r="JSX154" s="72"/>
      <c r="JSY154" s="72"/>
      <c r="JSZ154" s="72"/>
      <c r="JTA154" s="72"/>
      <c r="JTB154" s="72"/>
      <c r="JTC154" s="72"/>
      <c r="JTD154" s="72"/>
      <c r="JTE154" s="72"/>
      <c r="JTF154" s="72"/>
      <c r="JTG154" s="72"/>
      <c r="JTH154" s="72"/>
      <c r="JTI154" s="72"/>
      <c r="JTJ154" s="72"/>
      <c r="JTK154" s="72"/>
      <c r="JTL154" s="72"/>
      <c r="JTM154" s="72"/>
      <c r="JTN154" s="72"/>
      <c r="JTO154" s="72"/>
      <c r="JTP154" s="72"/>
      <c r="JTQ154" s="72"/>
      <c r="JTR154" s="72"/>
      <c r="JTS154" s="72"/>
      <c r="JTT154" s="72"/>
      <c r="JTU154" s="72"/>
      <c r="JTV154" s="72"/>
      <c r="JTW154" s="72"/>
      <c r="JTX154" s="72"/>
      <c r="JTY154" s="72"/>
      <c r="JTZ154" s="72"/>
      <c r="JUA154" s="72"/>
      <c r="JUB154" s="72"/>
      <c r="JUC154" s="72"/>
      <c r="JUD154" s="72"/>
      <c r="JUE154" s="72"/>
      <c r="JUF154" s="72"/>
      <c r="JUG154" s="72"/>
      <c r="JUH154" s="72"/>
      <c r="JUI154" s="72"/>
      <c r="JUJ154" s="72"/>
      <c r="JUK154" s="72"/>
      <c r="JUL154" s="72"/>
      <c r="JUM154" s="72"/>
      <c r="JUN154" s="72"/>
      <c r="JUO154" s="72"/>
      <c r="JUP154" s="72"/>
      <c r="JUQ154" s="72"/>
      <c r="JUR154" s="72"/>
      <c r="JUS154" s="72"/>
      <c r="JUT154" s="72"/>
      <c r="JUU154" s="72"/>
      <c r="JUV154" s="72"/>
      <c r="JUW154" s="72"/>
      <c r="JUX154" s="72"/>
      <c r="JUY154" s="72"/>
      <c r="JUZ154" s="72"/>
      <c r="JVA154" s="72"/>
      <c r="JVB154" s="72"/>
      <c r="JVC154" s="72"/>
      <c r="JVD154" s="72"/>
      <c r="JVE154" s="72"/>
      <c r="JVF154" s="72"/>
      <c r="JVG154" s="72"/>
      <c r="JVH154" s="72"/>
      <c r="JVI154" s="72"/>
      <c r="JVJ154" s="72"/>
      <c r="JVK154" s="72"/>
      <c r="JVL154" s="72"/>
      <c r="JVM154" s="72"/>
      <c r="JVN154" s="72"/>
      <c r="JVO154" s="72"/>
      <c r="JVP154" s="72"/>
      <c r="JVQ154" s="72"/>
      <c r="JVR154" s="72"/>
      <c r="JVS154" s="72"/>
      <c r="JVT154" s="72"/>
      <c r="JVU154" s="72"/>
      <c r="JVV154" s="72"/>
      <c r="JVW154" s="72"/>
      <c r="JVX154" s="72"/>
      <c r="JVY154" s="72"/>
      <c r="JVZ154" s="72"/>
      <c r="JWA154" s="72"/>
      <c r="JWB154" s="72"/>
      <c r="JWC154" s="72"/>
      <c r="JWD154" s="72"/>
      <c r="JWE154" s="72"/>
      <c r="JWF154" s="72"/>
      <c r="JWG154" s="72"/>
      <c r="JWH154" s="72"/>
      <c r="JWI154" s="72"/>
      <c r="JWJ154" s="72"/>
      <c r="JWK154" s="72"/>
      <c r="JWL154" s="72"/>
      <c r="JWM154" s="72"/>
      <c r="JWN154" s="72"/>
      <c r="JWO154" s="72"/>
      <c r="JWP154" s="72"/>
      <c r="JWQ154" s="72"/>
      <c r="JWR154" s="72"/>
      <c r="JWS154" s="72"/>
      <c r="JWT154" s="72"/>
      <c r="JWU154" s="72"/>
      <c r="JWV154" s="72"/>
      <c r="JWW154" s="72"/>
      <c r="JWX154" s="72"/>
      <c r="JWY154" s="72"/>
      <c r="JWZ154" s="72"/>
      <c r="JXA154" s="72"/>
      <c r="JXB154" s="72"/>
      <c r="JXC154" s="72"/>
      <c r="JXD154" s="72"/>
      <c r="JXE154" s="72"/>
      <c r="JXF154" s="72"/>
      <c r="JXG154" s="72"/>
      <c r="JXH154" s="72"/>
      <c r="JXI154" s="72"/>
      <c r="JXJ154" s="72"/>
      <c r="JXK154" s="72"/>
      <c r="JXL154" s="72"/>
      <c r="JXM154" s="72"/>
      <c r="JXN154" s="72"/>
      <c r="JXO154" s="72"/>
      <c r="JXP154" s="72"/>
      <c r="JXQ154" s="72"/>
      <c r="JXR154" s="72"/>
      <c r="JXS154" s="72"/>
      <c r="JXT154" s="72"/>
      <c r="JXU154" s="72"/>
      <c r="JXV154" s="72"/>
      <c r="JXW154" s="72"/>
      <c r="JXX154" s="72"/>
      <c r="JXY154" s="72"/>
      <c r="JXZ154" s="72"/>
      <c r="JYA154" s="72"/>
      <c r="JYB154" s="72"/>
      <c r="JYC154" s="72"/>
      <c r="JYD154" s="72"/>
      <c r="JYE154" s="72"/>
      <c r="JYF154" s="72"/>
      <c r="JYG154" s="72"/>
      <c r="JYH154" s="72"/>
      <c r="JYI154" s="72"/>
      <c r="JYJ154" s="72"/>
      <c r="JYK154" s="72"/>
      <c r="JYL154" s="72"/>
      <c r="JYM154" s="72"/>
      <c r="JYN154" s="72"/>
      <c r="JYO154" s="72"/>
      <c r="JYP154" s="72"/>
      <c r="JYQ154" s="72"/>
      <c r="JYR154" s="72"/>
      <c r="JYS154" s="72"/>
      <c r="JYT154" s="72"/>
      <c r="JYU154" s="72"/>
      <c r="JYV154" s="72"/>
      <c r="JYW154" s="72"/>
      <c r="JYX154" s="72"/>
      <c r="JYY154" s="72"/>
      <c r="JYZ154" s="72"/>
      <c r="JZA154" s="72"/>
      <c r="JZB154" s="72"/>
      <c r="JZC154" s="72"/>
      <c r="JZD154" s="72"/>
      <c r="JZE154" s="72"/>
      <c r="JZF154" s="72"/>
      <c r="JZG154" s="72"/>
      <c r="JZH154" s="72"/>
      <c r="JZI154" s="72"/>
      <c r="JZJ154" s="72"/>
      <c r="JZK154" s="72"/>
      <c r="JZL154" s="72"/>
      <c r="JZM154" s="72"/>
      <c r="JZN154" s="72"/>
      <c r="JZO154" s="72"/>
      <c r="JZP154" s="72"/>
      <c r="JZQ154" s="72"/>
      <c r="JZR154" s="72"/>
      <c r="JZS154" s="72"/>
      <c r="JZT154" s="72"/>
      <c r="JZU154" s="72"/>
      <c r="JZV154" s="72"/>
      <c r="JZW154" s="72"/>
      <c r="JZX154" s="72"/>
      <c r="JZY154" s="72"/>
      <c r="JZZ154" s="72"/>
      <c r="KAA154" s="72"/>
      <c r="KAB154" s="72"/>
      <c r="KAC154" s="72"/>
      <c r="KAD154" s="72"/>
      <c r="KAE154" s="72"/>
      <c r="KAF154" s="72"/>
      <c r="KAG154" s="72"/>
      <c r="KAH154" s="72"/>
      <c r="KAI154" s="72"/>
      <c r="KAJ154" s="72"/>
      <c r="KAK154" s="72"/>
      <c r="KAL154" s="72"/>
      <c r="KAM154" s="72"/>
      <c r="KAN154" s="72"/>
      <c r="KAO154" s="72"/>
      <c r="KAP154" s="72"/>
      <c r="KAQ154" s="72"/>
      <c r="KAR154" s="72"/>
      <c r="KAS154" s="72"/>
      <c r="KAT154" s="72"/>
      <c r="KAU154" s="72"/>
      <c r="KAV154" s="72"/>
      <c r="KAW154" s="72"/>
      <c r="KAX154" s="72"/>
      <c r="KAY154" s="72"/>
      <c r="KAZ154" s="72"/>
      <c r="KBA154" s="72"/>
      <c r="KBB154" s="72"/>
      <c r="KBC154" s="72"/>
      <c r="KBD154" s="72"/>
      <c r="KBE154" s="72"/>
      <c r="KBF154" s="72"/>
      <c r="KBG154" s="72"/>
      <c r="KBH154" s="72"/>
      <c r="KBI154" s="72"/>
      <c r="KBJ154" s="72"/>
      <c r="KBK154" s="72"/>
      <c r="KBL154" s="72"/>
      <c r="KBM154" s="72"/>
      <c r="KBN154" s="72"/>
      <c r="KBO154" s="72"/>
      <c r="KBP154" s="72"/>
      <c r="KBQ154" s="72"/>
      <c r="KBR154" s="72"/>
      <c r="KBS154" s="72"/>
      <c r="KBT154" s="72"/>
      <c r="KBU154" s="72"/>
      <c r="KBV154" s="72"/>
      <c r="KBW154" s="72"/>
      <c r="KBX154" s="72"/>
      <c r="KBY154" s="72"/>
      <c r="KBZ154" s="72"/>
      <c r="KCA154" s="72"/>
      <c r="KCB154" s="72"/>
      <c r="KCC154" s="72"/>
      <c r="KCD154" s="72"/>
      <c r="KCE154" s="72"/>
      <c r="KCF154" s="72"/>
      <c r="KCG154" s="72"/>
      <c r="KCH154" s="72"/>
      <c r="KCI154" s="72"/>
      <c r="KCJ154" s="72"/>
      <c r="KCK154" s="72"/>
      <c r="KCL154" s="72"/>
      <c r="KCM154" s="72"/>
      <c r="KCN154" s="72"/>
      <c r="KCO154" s="72"/>
      <c r="KCP154" s="72"/>
      <c r="KCQ154" s="72"/>
      <c r="KCR154" s="72"/>
      <c r="KCS154" s="72"/>
      <c r="KCT154" s="72"/>
      <c r="KCU154" s="72"/>
      <c r="KCV154" s="72"/>
      <c r="KCW154" s="72"/>
      <c r="KCX154" s="72"/>
      <c r="KCY154" s="72"/>
      <c r="KCZ154" s="72"/>
      <c r="KDA154" s="72"/>
      <c r="KDB154" s="72"/>
      <c r="KDC154" s="72"/>
      <c r="KDD154" s="72"/>
      <c r="KDE154" s="72"/>
      <c r="KDF154" s="72"/>
      <c r="KDG154" s="72"/>
      <c r="KDH154" s="72"/>
      <c r="KDI154" s="72"/>
      <c r="KDJ154" s="72"/>
      <c r="KDK154" s="72"/>
      <c r="KDL154" s="72"/>
      <c r="KDM154" s="72"/>
      <c r="KDN154" s="72"/>
      <c r="KDO154" s="72"/>
      <c r="KDP154" s="72"/>
      <c r="KDQ154" s="72"/>
      <c r="KDR154" s="72"/>
      <c r="KDS154" s="72"/>
      <c r="KDT154" s="72"/>
      <c r="KDU154" s="72"/>
      <c r="KDV154" s="72"/>
      <c r="KDW154" s="72"/>
      <c r="KDX154" s="72"/>
      <c r="KDY154" s="72"/>
      <c r="KDZ154" s="72"/>
      <c r="KEA154" s="72"/>
      <c r="KEB154" s="72"/>
      <c r="KEC154" s="72"/>
      <c r="KED154" s="72"/>
      <c r="KEE154" s="72"/>
      <c r="KEF154" s="72"/>
      <c r="KEG154" s="72"/>
      <c r="KEH154" s="72"/>
      <c r="KEI154" s="72"/>
      <c r="KEJ154" s="72"/>
      <c r="KEK154" s="72"/>
      <c r="KEL154" s="72"/>
      <c r="KEM154" s="72"/>
      <c r="KEN154" s="72"/>
      <c r="KEO154" s="72"/>
      <c r="KEP154" s="72"/>
      <c r="KEQ154" s="72"/>
      <c r="KER154" s="72"/>
      <c r="KES154" s="72"/>
      <c r="KET154" s="72"/>
      <c r="KEU154" s="72"/>
      <c r="KEV154" s="72"/>
      <c r="KEW154" s="72"/>
      <c r="KEX154" s="72"/>
      <c r="KEY154" s="72"/>
      <c r="KEZ154" s="72"/>
      <c r="KFA154" s="72"/>
      <c r="KFB154" s="72"/>
      <c r="KFC154" s="72"/>
      <c r="KFD154" s="72"/>
      <c r="KFE154" s="72"/>
      <c r="KFF154" s="72"/>
      <c r="KFG154" s="72"/>
      <c r="KFH154" s="72"/>
      <c r="KFI154" s="72"/>
      <c r="KFJ154" s="72"/>
      <c r="KFK154" s="72"/>
      <c r="KFL154" s="72"/>
      <c r="KFM154" s="72"/>
      <c r="KFN154" s="72"/>
      <c r="KFO154" s="72"/>
      <c r="KFP154" s="72"/>
      <c r="KFQ154" s="72"/>
      <c r="KFR154" s="72"/>
      <c r="KFS154" s="72"/>
      <c r="KFT154" s="72"/>
      <c r="KFU154" s="72"/>
      <c r="KFV154" s="72"/>
      <c r="KFW154" s="72"/>
      <c r="KFX154" s="72"/>
      <c r="KFY154" s="72"/>
      <c r="KFZ154" s="72"/>
      <c r="KGA154" s="72"/>
      <c r="KGB154" s="72"/>
      <c r="KGC154" s="72"/>
      <c r="KGD154" s="72"/>
      <c r="KGE154" s="72"/>
      <c r="KGF154" s="72"/>
      <c r="KGG154" s="72"/>
      <c r="KGH154" s="72"/>
      <c r="KGI154" s="72"/>
      <c r="KGJ154" s="72"/>
      <c r="KGK154" s="72"/>
      <c r="KGL154" s="72"/>
      <c r="KGM154" s="72"/>
      <c r="KGN154" s="72"/>
      <c r="KGO154" s="72"/>
      <c r="KGP154" s="72"/>
      <c r="KGQ154" s="72"/>
      <c r="KGR154" s="72"/>
      <c r="KGS154" s="72"/>
      <c r="KGT154" s="72"/>
      <c r="KGU154" s="72"/>
      <c r="KGV154" s="72"/>
      <c r="KGW154" s="72"/>
      <c r="KGX154" s="72"/>
      <c r="KGY154" s="72"/>
      <c r="KGZ154" s="72"/>
      <c r="KHA154" s="72"/>
      <c r="KHB154" s="72"/>
      <c r="KHC154" s="72"/>
      <c r="KHD154" s="72"/>
      <c r="KHE154" s="72"/>
      <c r="KHF154" s="72"/>
      <c r="KHG154" s="72"/>
      <c r="KHH154" s="72"/>
      <c r="KHI154" s="72"/>
      <c r="KHJ154" s="72"/>
      <c r="KHK154" s="72"/>
      <c r="KHL154" s="72"/>
      <c r="KHM154" s="72"/>
      <c r="KHN154" s="72"/>
      <c r="KHO154" s="72"/>
      <c r="KHP154" s="72"/>
      <c r="KHQ154" s="72"/>
      <c r="KHR154" s="72"/>
      <c r="KHS154" s="72"/>
      <c r="KHT154" s="72"/>
      <c r="KHU154" s="72"/>
      <c r="KHV154" s="72"/>
      <c r="KHW154" s="72"/>
      <c r="KHX154" s="72"/>
      <c r="KHY154" s="72"/>
      <c r="KHZ154" s="72"/>
      <c r="KIA154" s="72"/>
      <c r="KIB154" s="72"/>
      <c r="KIC154" s="72"/>
      <c r="KID154" s="72"/>
      <c r="KIE154" s="72"/>
      <c r="KIF154" s="72"/>
      <c r="KIG154" s="72"/>
      <c r="KIH154" s="72"/>
      <c r="KII154" s="72"/>
      <c r="KIJ154" s="72"/>
      <c r="KIK154" s="72"/>
      <c r="KIL154" s="72"/>
      <c r="KIM154" s="72"/>
      <c r="KIN154" s="72"/>
      <c r="KIO154" s="72"/>
      <c r="KIP154" s="72"/>
      <c r="KIQ154" s="72"/>
      <c r="KIR154" s="72"/>
      <c r="KIS154" s="72"/>
      <c r="KIT154" s="72"/>
      <c r="KIU154" s="72"/>
      <c r="KIV154" s="72"/>
      <c r="KIW154" s="72"/>
      <c r="KIX154" s="72"/>
      <c r="KIY154" s="72"/>
      <c r="KIZ154" s="72"/>
      <c r="KJA154" s="72"/>
      <c r="KJB154" s="72"/>
      <c r="KJC154" s="72"/>
      <c r="KJD154" s="72"/>
      <c r="KJE154" s="72"/>
      <c r="KJF154" s="72"/>
      <c r="KJG154" s="72"/>
      <c r="KJH154" s="72"/>
      <c r="KJI154" s="72"/>
      <c r="KJJ154" s="72"/>
      <c r="KJK154" s="72"/>
      <c r="KJL154" s="72"/>
      <c r="KJM154" s="72"/>
      <c r="KJN154" s="72"/>
      <c r="KJO154" s="72"/>
      <c r="KJP154" s="72"/>
      <c r="KJQ154" s="72"/>
      <c r="KJR154" s="72"/>
      <c r="KJS154" s="72"/>
      <c r="KJT154" s="72"/>
      <c r="KJU154" s="72"/>
      <c r="KJV154" s="72"/>
      <c r="KJW154" s="72"/>
      <c r="KJX154" s="72"/>
      <c r="KJY154" s="72"/>
      <c r="KJZ154" s="72"/>
      <c r="KKA154" s="72"/>
      <c r="KKB154" s="72"/>
      <c r="KKC154" s="72"/>
      <c r="KKD154" s="72"/>
      <c r="KKE154" s="72"/>
      <c r="KKF154" s="72"/>
      <c r="KKG154" s="72"/>
      <c r="KKH154" s="72"/>
      <c r="KKI154" s="72"/>
      <c r="KKJ154" s="72"/>
      <c r="KKK154" s="72"/>
      <c r="KKL154" s="72"/>
      <c r="KKM154" s="72"/>
      <c r="KKN154" s="72"/>
      <c r="KKO154" s="72"/>
      <c r="KKP154" s="72"/>
      <c r="KKQ154" s="72"/>
      <c r="KKR154" s="72"/>
      <c r="KKS154" s="72"/>
      <c r="KKT154" s="72"/>
      <c r="KKU154" s="72"/>
      <c r="KKV154" s="72"/>
      <c r="KKW154" s="72"/>
      <c r="KKX154" s="72"/>
      <c r="KKY154" s="72"/>
      <c r="KKZ154" s="72"/>
      <c r="KLA154" s="72"/>
      <c r="KLB154" s="72"/>
      <c r="KLC154" s="72"/>
      <c r="KLD154" s="72"/>
      <c r="KLE154" s="72"/>
      <c r="KLF154" s="72"/>
      <c r="KLG154" s="72"/>
      <c r="KLH154" s="72"/>
      <c r="KLI154" s="72"/>
      <c r="KLJ154" s="72"/>
      <c r="KLK154" s="72"/>
      <c r="KLL154" s="72"/>
      <c r="KLM154" s="72"/>
      <c r="KLN154" s="72"/>
      <c r="KLO154" s="72"/>
      <c r="KLP154" s="72"/>
      <c r="KLQ154" s="72"/>
      <c r="KLR154" s="72"/>
      <c r="KLS154" s="72"/>
      <c r="KLT154" s="72"/>
      <c r="KLU154" s="72"/>
      <c r="KLV154" s="72"/>
      <c r="KLW154" s="72"/>
      <c r="KLX154" s="72"/>
      <c r="KLY154" s="72"/>
      <c r="KLZ154" s="72"/>
      <c r="KMA154" s="72"/>
      <c r="KMB154" s="72"/>
      <c r="KMC154" s="72"/>
      <c r="KMD154" s="72"/>
      <c r="KME154" s="72"/>
      <c r="KMF154" s="72"/>
      <c r="KMG154" s="72"/>
      <c r="KMH154" s="72"/>
      <c r="KMI154" s="72"/>
      <c r="KMJ154" s="72"/>
      <c r="KMK154" s="72"/>
      <c r="KML154" s="72"/>
      <c r="KMM154" s="72"/>
      <c r="KMN154" s="72"/>
      <c r="KMO154" s="72"/>
      <c r="KMP154" s="72"/>
      <c r="KMQ154" s="72"/>
      <c r="KMR154" s="72"/>
      <c r="KMS154" s="72"/>
      <c r="KMT154" s="72"/>
      <c r="KMU154" s="72"/>
      <c r="KMV154" s="72"/>
      <c r="KMW154" s="72"/>
      <c r="KMX154" s="72"/>
      <c r="KMY154" s="72"/>
      <c r="KMZ154" s="72"/>
      <c r="KNA154" s="72"/>
      <c r="KNB154" s="72"/>
      <c r="KNC154" s="72"/>
      <c r="KND154" s="72"/>
      <c r="KNE154" s="72"/>
      <c r="KNF154" s="72"/>
      <c r="KNG154" s="72"/>
      <c r="KNH154" s="72"/>
      <c r="KNI154" s="72"/>
      <c r="KNJ154" s="72"/>
      <c r="KNK154" s="72"/>
      <c r="KNL154" s="72"/>
      <c r="KNM154" s="72"/>
      <c r="KNN154" s="72"/>
      <c r="KNO154" s="72"/>
      <c r="KNP154" s="72"/>
      <c r="KNQ154" s="72"/>
      <c r="KNR154" s="72"/>
      <c r="KNS154" s="72"/>
      <c r="KNT154" s="72"/>
      <c r="KNU154" s="72"/>
      <c r="KNV154" s="72"/>
      <c r="KNW154" s="72"/>
      <c r="KNX154" s="72"/>
      <c r="KNY154" s="72"/>
      <c r="KNZ154" s="72"/>
      <c r="KOA154" s="72"/>
      <c r="KOB154" s="72"/>
      <c r="KOC154" s="72"/>
      <c r="KOD154" s="72"/>
      <c r="KOE154" s="72"/>
      <c r="KOF154" s="72"/>
      <c r="KOG154" s="72"/>
      <c r="KOH154" s="72"/>
      <c r="KOI154" s="72"/>
      <c r="KOJ154" s="72"/>
      <c r="KOK154" s="72"/>
      <c r="KOL154" s="72"/>
      <c r="KOM154" s="72"/>
      <c r="KON154" s="72"/>
      <c r="KOO154" s="72"/>
      <c r="KOP154" s="72"/>
      <c r="KOQ154" s="72"/>
      <c r="KOR154" s="72"/>
      <c r="KOS154" s="72"/>
      <c r="KOT154" s="72"/>
      <c r="KOU154" s="72"/>
      <c r="KOV154" s="72"/>
      <c r="KOW154" s="72"/>
      <c r="KOX154" s="72"/>
      <c r="KOY154" s="72"/>
      <c r="KOZ154" s="72"/>
      <c r="KPA154" s="72"/>
      <c r="KPB154" s="72"/>
      <c r="KPC154" s="72"/>
      <c r="KPD154" s="72"/>
      <c r="KPE154" s="72"/>
      <c r="KPF154" s="72"/>
      <c r="KPG154" s="72"/>
      <c r="KPH154" s="72"/>
      <c r="KPI154" s="72"/>
      <c r="KPJ154" s="72"/>
      <c r="KPK154" s="72"/>
      <c r="KPL154" s="72"/>
      <c r="KPM154" s="72"/>
      <c r="KPN154" s="72"/>
      <c r="KPO154" s="72"/>
      <c r="KPP154" s="72"/>
      <c r="KPQ154" s="72"/>
      <c r="KPR154" s="72"/>
      <c r="KPS154" s="72"/>
      <c r="KPT154" s="72"/>
      <c r="KPU154" s="72"/>
      <c r="KPV154" s="72"/>
      <c r="KPW154" s="72"/>
      <c r="KPX154" s="72"/>
      <c r="KPY154" s="72"/>
      <c r="KPZ154" s="72"/>
      <c r="KQA154" s="72"/>
      <c r="KQB154" s="72"/>
      <c r="KQC154" s="72"/>
      <c r="KQD154" s="72"/>
      <c r="KQE154" s="72"/>
      <c r="KQF154" s="72"/>
      <c r="KQG154" s="72"/>
      <c r="KQH154" s="72"/>
      <c r="KQI154" s="72"/>
      <c r="KQJ154" s="72"/>
      <c r="KQK154" s="72"/>
      <c r="KQL154" s="72"/>
      <c r="KQM154" s="72"/>
      <c r="KQN154" s="72"/>
      <c r="KQO154" s="72"/>
      <c r="KQP154" s="72"/>
      <c r="KQQ154" s="72"/>
      <c r="KQR154" s="72"/>
      <c r="KQS154" s="72"/>
      <c r="KQT154" s="72"/>
      <c r="KQU154" s="72"/>
      <c r="KQV154" s="72"/>
      <c r="KQW154" s="72"/>
      <c r="KQX154" s="72"/>
      <c r="KQY154" s="72"/>
      <c r="KQZ154" s="72"/>
      <c r="KRA154" s="72"/>
      <c r="KRB154" s="72"/>
      <c r="KRC154" s="72"/>
      <c r="KRD154" s="72"/>
      <c r="KRE154" s="72"/>
      <c r="KRF154" s="72"/>
      <c r="KRG154" s="72"/>
      <c r="KRH154" s="72"/>
      <c r="KRI154" s="72"/>
      <c r="KRJ154" s="72"/>
      <c r="KRK154" s="72"/>
      <c r="KRL154" s="72"/>
      <c r="KRM154" s="72"/>
      <c r="KRN154" s="72"/>
      <c r="KRO154" s="72"/>
      <c r="KRP154" s="72"/>
      <c r="KRQ154" s="72"/>
      <c r="KRR154" s="72"/>
      <c r="KRS154" s="72"/>
      <c r="KRT154" s="72"/>
      <c r="KRU154" s="72"/>
      <c r="KRV154" s="72"/>
      <c r="KRW154" s="72"/>
      <c r="KRX154" s="72"/>
      <c r="KRY154" s="72"/>
      <c r="KRZ154" s="72"/>
      <c r="KSA154" s="72"/>
      <c r="KSB154" s="72"/>
      <c r="KSC154" s="72"/>
      <c r="KSD154" s="72"/>
      <c r="KSE154" s="72"/>
      <c r="KSF154" s="72"/>
      <c r="KSG154" s="72"/>
      <c r="KSH154" s="72"/>
      <c r="KSI154" s="72"/>
      <c r="KSJ154" s="72"/>
      <c r="KSK154" s="72"/>
      <c r="KSL154" s="72"/>
      <c r="KSM154" s="72"/>
      <c r="KSN154" s="72"/>
      <c r="KSO154" s="72"/>
      <c r="KSP154" s="72"/>
      <c r="KSQ154" s="72"/>
      <c r="KSR154" s="72"/>
      <c r="KSS154" s="72"/>
      <c r="KST154" s="72"/>
      <c r="KSU154" s="72"/>
      <c r="KSV154" s="72"/>
      <c r="KSW154" s="72"/>
      <c r="KSX154" s="72"/>
      <c r="KSY154" s="72"/>
      <c r="KSZ154" s="72"/>
      <c r="KTA154" s="72"/>
      <c r="KTB154" s="72"/>
      <c r="KTC154" s="72"/>
      <c r="KTD154" s="72"/>
      <c r="KTE154" s="72"/>
      <c r="KTF154" s="72"/>
      <c r="KTG154" s="72"/>
      <c r="KTH154" s="72"/>
      <c r="KTI154" s="72"/>
      <c r="KTJ154" s="72"/>
      <c r="KTK154" s="72"/>
      <c r="KTL154" s="72"/>
      <c r="KTM154" s="72"/>
      <c r="KTN154" s="72"/>
      <c r="KTO154" s="72"/>
      <c r="KTP154" s="72"/>
      <c r="KTQ154" s="72"/>
      <c r="KTR154" s="72"/>
      <c r="KTS154" s="72"/>
      <c r="KTT154" s="72"/>
      <c r="KTU154" s="72"/>
      <c r="KTV154" s="72"/>
      <c r="KTW154" s="72"/>
      <c r="KTX154" s="72"/>
      <c r="KTY154" s="72"/>
      <c r="KTZ154" s="72"/>
      <c r="KUA154" s="72"/>
      <c r="KUB154" s="72"/>
      <c r="KUC154" s="72"/>
      <c r="KUD154" s="72"/>
      <c r="KUE154" s="72"/>
      <c r="KUF154" s="72"/>
      <c r="KUG154" s="72"/>
      <c r="KUH154" s="72"/>
      <c r="KUI154" s="72"/>
      <c r="KUJ154" s="72"/>
      <c r="KUK154" s="72"/>
      <c r="KUL154" s="72"/>
      <c r="KUM154" s="72"/>
      <c r="KUN154" s="72"/>
      <c r="KUO154" s="72"/>
      <c r="KUP154" s="72"/>
      <c r="KUQ154" s="72"/>
      <c r="KUR154" s="72"/>
      <c r="KUS154" s="72"/>
      <c r="KUT154" s="72"/>
      <c r="KUU154" s="72"/>
      <c r="KUV154" s="72"/>
      <c r="KUW154" s="72"/>
      <c r="KUX154" s="72"/>
      <c r="KUY154" s="72"/>
      <c r="KUZ154" s="72"/>
      <c r="KVA154" s="72"/>
      <c r="KVB154" s="72"/>
      <c r="KVC154" s="72"/>
      <c r="KVD154" s="72"/>
      <c r="KVE154" s="72"/>
      <c r="KVF154" s="72"/>
      <c r="KVG154" s="72"/>
      <c r="KVH154" s="72"/>
      <c r="KVI154" s="72"/>
      <c r="KVJ154" s="72"/>
      <c r="KVK154" s="72"/>
      <c r="KVL154" s="72"/>
      <c r="KVM154" s="72"/>
      <c r="KVN154" s="72"/>
      <c r="KVO154" s="72"/>
      <c r="KVP154" s="72"/>
      <c r="KVQ154" s="72"/>
      <c r="KVR154" s="72"/>
      <c r="KVS154" s="72"/>
      <c r="KVT154" s="72"/>
      <c r="KVU154" s="72"/>
      <c r="KVV154" s="72"/>
      <c r="KVW154" s="72"/>
      <c r="KVX154" s="72"/>
      <c r="KVY154" s="72"/>
      <c r="KVZ154" s="72"/>
      <c r="KWA154" s="72"/>
      <c r="KWB154" s="72"/>
      <c r="KWC154" s="72"/>
      <c r="KWD154" s="72"/>
      <c r="KWE154" s="72"/>
      <c r="KWF154" s="72"/>
      <c r="KWG154" s="72"/>
      <c r="KWH154" s="72"/>
      <c r="KWI154" s="72"/>
      <c r="KWJ154" s="72"/>
      <c r="KWK154" s="72"/>
      <c r="KWL154" s="72"/>
      <c r="KWM154" s="72"/>
      <c r="KWN154" s="72"/>
      <c r="KWO154" s="72"/>
      <c r="KWP154" s="72"/>
      <c r="KWQ154" s="72"/>
      <c r="KWR154" s="72"/>
      <c r="KWS154" s="72"/>
      <c r="KWT154" s="72"/>
      <c r="KWU154" s="72"/>
      <c r="KWV154" s="72"/>
      <c r="KWW154" s="72"/>
      <c r="KWX154" s="72"/>
      <c r="KWY154" s="72"/>
      <c r="KWZ154" s="72"/>
      <c r="KXA154" s="72"/>
      <c r="KXB154" s="72"/>
      <c r="KXC154" s="72"/>
      <c r="KXD154" s="72"/>
      <c r="KXE154" s="72"/>
      <c r="KXF154" s="72"/>
      <c r="KXG154" s="72"/>
      <c r="KXH154" s="72"/>
      <c r="KXI154" s="72"/>
      <c r="KXJ154" s="72"/>
      <c r="KXK154" s="72"/>
      <c r="KXL154" s="72"/>
      <c r="KXM154" s="72"/>
      <c r="KXN154" s="72"/>
      <c r="KXO154" s="72"/>
      <c r="KXP154" s="72"/>
      <c r="KXQ154" s="72"/>
      <c r="KXR154" s="72"/>
      <c r="KXS154" s="72"/>
      <c r="KXT154" s="72"/>
      <c r="KXU154" s="72"/>
      <c r="KXV154" s="72"/>
      <c r="KXW154" s="72"/>
      <c r="KXX154" s="72"/>
      <c r="KXY154" s="72"/>
      <c r="KXZ154" s="72"/>
      <c r="KYA154" s="72"/>
      <c r="KYB154" s="72"/>
      <c r="KYC154" s="72"/>
      <c r="KYD154" s="72"/>
      <c r="KYE154" s="72"/>
      <c r="KYF154" s="72"/>
      <c r="KYG154" s="72"/>
      <c r="KYH154" s="72"/>
      <c r="KYI154" s="72"/>
      <c r="KYJ154" s="72"/>
      <c r="KYK154" s="72"/>
      <c r="KYL154" s="72"/>
      <c r="KYM154" s="72"/>
      <c r="KYN154" s="72"/>
      <c r="KYO154" s="72"/>
      <c r="KYP154" s="72"/>
      <c r="KYQ154" s="72"/>
      <c r="KYR154" s="72"/>
      <c r="KYS154" s="72"/>
      <c r="KYT154" s="72"/>
      <c r="KYU154" s="72"/>
      <c r="KYV154" s="72"/>
      <c r="KYW154" s="72"/>
      <c r="KYX154" s="72"/>
      <c r="KYY154" s="72"/>
      <c r="KYZ154" s="72"/>
      <c r="KZA154" s="72"/>
      <c r="KZB154" s="72"/>
      <c r="KZC154" s="72"/>
      <c r="KZD154" s="72"/>
      <c r="KZE154" s="72"/>
      <c r="KZF154" s="72"/>
      <c r="KZG154" s="72"/>
      <c r="KZH154" s="72"/>
      <c r="KZI154" s="72"/>
      <c r="KZJ154" s="72"/>
      <c r="KZK154" s="72"/>
      <c r="KZL154" s="72"/>
      <c r="KZM154" s="72"/>
      <c r="KZN154" s="72"/>
      <c r="KZO154" s="72"/>
      <c r="KZP154" s="72"/>
      <c r="KZQ154" s="72"/>
      <c r="KZR154" s="72"/>
      <c r="KZS154" s="72"/>
      <c r="KZT154" s="72"/>
      <c r="KZU154" s="72"/>
      <c r="KZV154" s="72"/>
      <c r="KZW154" s="72"/>
      <c r="KZX154" s="72"/>
      <c r="KZY154" s="72"/>
      <c r="KZZ154" s="72"/>
      <c r="LAA154" s="72"/>
      <c r="LAB154" s="72"/>
      <c r="LAC154" s="72"/>
      <c r="LAD154" s="72"/>
      <c r="LAE154" s="72"/>
      <c r="LAF154" s="72"/>
      <c r="LAG154" s="72"/>
      <c r="LAH154" s="72"/>
      <c r="LAI154" s="72"/>
      <c r="LAJ154" s="72"/>
      <c r="LAK154" s="72"/>
      <c r="LAL154" s="72"/>
      <c r="LAM154" s="72"/>
      <c r="LAN154" s="72"/>
      <c r="LAO154" s="72"/>
      <c r="LAP154" s="72"/>
      <c r="LAQ154" s="72"/>
      <c r="LAR154" s="72"/>
      <c r="LAS154" s="72"/>
      <c r="LAT154" s="72"/>
      <c r="LAU154" s="72"/>
      <c r="LAV154" s="72"/>
      <c r="LAW154" s="72"/>
      <c r="LAX154" s="72"/>
      <c r="LAY154" s="72"/>
      <c r="LAZ154" s="72"/>
      <c r="LBA154" s="72"/>
      <c r="LBB154" s="72"/>
      <c r="LBC154" s="72"/>
      <c r="LBD154" s="72"/>
      <c r="LBE154" s="72"/>
      <c r="LBF154" s="72"/>
      <c r="LBG154" s="72"/>
      <c r="LBH154" s="72"/>
      <c r="LBI154" s="72"/>
      <c r="LBJ154" s="72"/>
      <c r="LBK154" s="72"/>
      <c r="LBL154" s="72"/>
      <c r="LBM154" s="72"/>
      <c r="LBN154" s="72"/>
      <c r="LBO154" s="72"/>
      <c r="LBP154" s="72"/>
      <c r="LBQ154" s="72"/>
      <c r="LBR154" s="72"/>
      <c r="LBS154" s="72"/>
      <c r="LBT154" s="72"/>
      <c r="LBU154" s="72"/>
      <c r="LBV154" s="72"/>
      <c r="LBW154" s="72"/>
      <c r="LBX154" s="72"/>
      <c r="LBY154" s="72"/>
      <c r="LBZ154" s="72"/>
      <c r="LCA154" s="72"/>
      <c r="LCB154" s="72"/>
      <c r="LCC154" s="72"/>
      <c r="LCD154" s="72"/>
      <c r="LCE154" s="72"/>
      <c r="LCF154" s="72"/>
      <c r="LCG154" s="72"/>
      <c r="LCH154" s="72"/>
      <c r="LCI154" s="72"/>
      <c r="LCJ154" s="72"/>
      <c r="LCK154" s="72"/>
      <c r="LCL154" s="72"/>
      <c r="LCM154" s="72"/>
      <c r="LCN154" s="72"/>
      <c r="LCO154" s="72"/>
      <c r="LCP154" s="72"/>
      <c r="LCQ154" s="72"/>
      <c r="LCR154" s="72"/>
      <c r="LCS154" s="72"/>
      <c r="LCT154" s="72"/>
      <c r="LCU154" s="72"/>
      <c r="LCV154" s="72"/>
      <c r="LCW154" s="72"/>
      <c r="LCX154" s="72"/>
      <c r="LCY154" s="72"/>
      <c r="LCZ154" s="72"/>
      <c r="LDA154" s="72"/>
      <c r="LDB154" s="72"/>
      <c r="LDC154" s="72"/>
      <c r="LDD154" s="72"/>
      <c r="LDE154" s="72"/>
      <c r="LDF154" s="72"/>
      <c r="LDG154" s="72"/>
      <c r="LDH154" s="72"/>
      <c r="LDI154" s="72"/>
      <c r="LDJ154" s="72"/>
      <c r="LDK154" s="72"/>
      <c r="LDL154" s="72"/>
      <c r="LDM154" s="72"/>
      <c r="LDN154" s="72"/>
      <c r="LDO154" s="72"/>
      <c r="LDP154" s="72"/>
      <c r="LDQ154" s="72"/>
      <c r="LDR154" s="72"/>
      <c r="LDS154" s="72"/>
      <c r="LDT154" s="72"/>
      <c r="LDU154" s="72"/>
      <c r="LDV154" s="72"/>
      <c r="LDW154" s="72"/>
      <c r="LDX154" s="72"/>
      <c r="LDY154" s="72"/>
      <c r="LDZ154" s="72"/>
      <c r="LEA154" s="72"/>
      <c r="LEB154" s="72"/>
      <c r="LEC154" s="72"/>
      <c r="LED154" s="72"/>
      <c r="LEE154" s="72"/>
      <c r="LEF154" s="72"/>
      <c r="LEG154" s="72"/>
      <c r="LEH154" s="72"/>
      <c r="LEI154" s="72"/>
      <c r="LEJ154" s="72"/>
      <c r="LEK154" s="72"/>
      <c r="LEL154" s="72"/>
      <c r="LEM154" s="72"/>
      <c r="LEN154" s="72"/>
      <c r="LEO154" s="72"/>
      <c r="LEP154" s="72"/>
      <c r="LEQ154" s="72"/>
      <c r="LER154" s="72"/>
      <c r="LES154" s="72"/>
      <c r="LET154" s="72"/>
      <c r="LEU154" s="72"/>
      <c r="LEV154" s="72"/>
      <c r="LEW154" s="72"/>
      <c r="LEX154" s="72"/>
      <c r="LEY154" s="72"/>
      <c r="LEZ154" s="72"/>
      <c r="LFA154" s="72"/>
      <c r="LFB154" s="72"/>
      <c r="LFC154" s="72"/>
      <c r="LFD154" s="72"/>
      <c r="LFE154" s="72"/>
      <c r="LFF154" s="72"/>
      <c r="LFG154" s="72"/>
      <c r="LFH154" s="72"/>
      <c r="LFI154" s="72"/>
      <c r="LFJ154" s="72"/>
      <c r="LFK154" s="72"/>
      <c r="LFL154" s="72"/>
      <c r="LFM154" s="72"/>
      <c r="LFN154" s="72"/>
      <c r="LFO154" s="72"/>
      <c r="LFP154" s="72"/>
      <c r="LFQ154" s="72"/>
      <c r="LFR154" s="72"/>
      <c r="LFS154" s="72"/>
      <c r="LFT154" s="72"/>
      <c r="LFU154" s="72"/>
      <c r="LFV154" s="72"/>
      <c r="LFW154" s="72"/>
      <c r="LFX154" s="72"/>
      <c r="LFY154" s="72"/>
      <c r="LFZ154" s="72"/>
      <c r="LGA154" s="72"/>
      <c r="LGB154" s="72"/>
      <c r="LGC154" s="72"/>
      <c r="LGD154" s="72"/>
      <c r="LGE154" s="72"/>
      <c r="LGF154" s="72"/>
      <c r="LGG154" s="72"/>
      <c r="LGH154" s="72"/>
      <c r="LGI154" s="72"/>
      <c r="LGJ154" s="72"/>
      <c r="LGK154" s="72"/>
      <c r="LGL154" s="72"/>
      <c r="LGM154" s="72"/>
      <c r="LGN154" s="72"/>
      <c r="LGO154" s="72"/>
      <c r="LGP154" s="72"/>
      <c r="LGQ154" s="72"/>
      <c r="LGR154" s="72"/>
      <c r="LGS154" s="72"/>
      <c r="LGT154" s="72"/>
      <c r="LGU154" s="72"/>
      <c r="LGV154" s="72"/>
      <c r="LGW154" s="72"/>
      <c r="LGX154" s="72"/>
      <c r="LGY154" s="72"/>
      <c r="LGZ154" s="72"/>
      <c r="LHA154" s="72"/>
      <c r="LHB154" s="72"/>
      <c r="LHC154" s="72"/>
      <c r="LHD154" s="72"/>
      <c r="LHE154" s="72"/>
      <c r="LHF154" s="72"/>
      <c r="LHG154" s="72"/>
      <c r="LHH154" s="72"/>
      <c r="LHI154" s="72"/>
      <c r="LHJ154" s="72"/>
      <c r="LHK154" s="72"/>
      <c r="LHL154" s="72"/>
      <c r="LHM154" s="72"/>
      <c r="LHN154" s="72"/>
      <c r="LHO154" s="72"/>
      <c r="LHP154" s="72"/>
      <c r="LHQ154" s="72"/>
      <c r="LHR154" s="72"/>
      <c r="LHS154" s="72"/>
      <c r="LHT154" s="72"/>
      <c r="LHU154" s="72"/>
      <c r="LHV154" s="72"/>
      <c r="LHW154" s="72"/>
      <c r="LHX154" s="72"/>
      <c r="LHY154" s="72"/>
      <c r="LHZ154" s="72"/>
      <c r="LIA154" s="72"/>
      <c r="LIB154" s="72"/>
      <c r="LIC154" s="72"/>
      <c r="LID154" s="72"/>
      <c r="LIE154" s="72"/>
      <c r="LIF154" s="72"/>
      <c r="LIG154" s="72"/>
      <c r="LIH154" s="72"/>
      <c r="LII154" s="72"/>
      <c r="LIJ154" s="72"/>
      <c r="LIK154" s="72"/>
      <c r="LIL154" s="72"/>
      <c r="LIM154" s="72"/>
      <c r="LIN154" s="72"/>
      <c r="LIO154" s="72"/>
      <c r="LIP154" s="72"/>
      <c r="LIQ154" s="72"/>
      <c r="LIR154" s="72"/>
      <c r="LIS154" s="72"/>
      <c r="LIT154" s="72"/>
      <c r="LIU154" s="72"/>
      <c r="LIV154" s="72"/>
      <c r="LIW154" s="72"/>
      <c r="LIX154" s="72"/>
      <c r="LIY154" s="72"/>
      <c r="LIZ154" s="72"/>
      <c r="LJA154" s="72"/>
      <c r="LJB154" s="72"/>
      <c r="LJC154" s="72"/>
      <c r="LJD154" s="72"/>
      <c r="LJE154" s="72"/>
      <c r="LJF154" s="72"/>
      <c r="LJG154" s="72"/>
      <c r="LJH154" s="72"/>
      <c r="LJI154" s="72"/>
      <c r="LJJ154" s="72"/>
      <c r="LJK154" s="72"/>
      <c r="LJL154" s="72"/>
      <c r="LJM154" s="72"/>
      <c r="LJN154" s="72"/>
      <c r="LJO154" s="72"/>
      <c r="LJP154" s="72"/>
      <c r="LJQ154" s="72"/>
      <c r="LJR154" s="72"/>
      <c r="LJS154" s="72"/>
      <c r="LJT154" s="72"/>
      <c r="LJU154" s="72"/>
      <c r="LJV154" s="72"/>
      <c r="LJW154" s="72"/>
      <c r="LJX154" s="72"/>
      <c r="LJY154" s="72"/>
      <c r="LJZ154" s="72"/>
      <c r="LKA154" s="72"/>
      <c r="LKB154" s="72"/>
      <c r="LKC154" s="72"/>
      <c r="LKD154" s="72"/>
      <c r="LKE154" s="72"/>
      <c r="LKF154" s="72"/>
      <c r="LKG154" s="72"/>
      <c r="LKH154" s="72"/>
      <c r="LKI154" s="72"/>
      <c r="LKJ154" s="72"/>
      <c r="LKK154" s="72"/>
      <c r="LKL154" s="72"/>
      <c r="LKM154" s="72"/>
      <c r="LKN154" s="72"/>
      <c r="LKO154" s="72"/>
      <c r="LKP154" s="72"/>
      <c r="LKQ154" s="72"/>
      <c r="LKR154" s="72"/>
      <c r="LKS154" s="72"/>
      <c r="LKT154" s="72"/>
      <c r="LKU154" s="72"/>
      <c r="LKV154" s="72"/>
      <c r="LKW154" s="72"/>
      <c r="LKX154" s="72"/>
      <c r="LKY154" s="72"/>
      <c r="LKZ154" s="72"/>
      <c r="LLA154" s="72"/>
      <c r="LLB154" s="72"/>
      <c r="LLC154" s="72"/>
      <c r="LLD154" s="72"/>
      <c r="LLE154" s="72"/>
      <c r="LLF154" s="72"/>
      <c r="LLG154" s="72"/>
      <c r="LLH154" s="72"/>
      <c r="LLI154" s="72"/>
      <c r="LLJ154" s="72"/>
      <c r="LLK154" s="72"/>
      <c r="LLL154" s="72"/>
      <c r="LLM154" s="72"/>
      <c r="LLN154" s="72"/>
      <c r="LLO154" s="72"/>
      <c r="LLP154" s="72"/>
      <c r="LLQ154" s="72"/>
      <c r="LLR154" s="72"/>
      <c r="LLS154" s="72"/>
      <c r="LLT154" s="72"/>
      <c r="LLU154" s="72"/>
      <c r="LLV154" s="72"/>
      <c r="LLW154" s="72"/>
      <c r="LLX154" s="72"/>
      <c r="LLY154" s="72"/>
      <c r="LLZ154" s="72"/>
      <c r="LMA154" s="72"/>
      <c r="LMB154" s="72"/>
      <c r="LMC154" s="72"/>
      <c r="LMD154" s="72"/>
      <c r="LME154" s="72"/>
      <c r="LMF154" s="72"/>
      <c r="LMG154" s="72"/>
      <c r="LMH154" s="72"/>
      <c r="LMI154" s="72"/>
      <c r="LMJ154" s="72"/>
      <c r="LMK154" s="72"/>
      <c r="LML154" s="72"/>
      <c r="LMM154" s="72"/>
      <c r="LMN154" s="72"/>
      <c r="LMO154" s="72"/>
      <c r="LMP154" s="72"/>
      <c r="LMQ154" s="72"/>
      <c r="LMR154" s="72"/>
      <c r="LMS154" s="72"/>
      <c r="LMT154" s="72"/>
      <c r="LMU154" s="72"/>
      <c r="LMV154" s="72"/>
      <c r="LMW154" s="72"/>
      <c r="LMX154" s="72"/>
      <c r="LMY154" s="72"/>
      <c r="LMZ154" s="72"/>
      <c r="LNA154" s="72"/>
      <c r="LNB154" s="72"/>
      <c r="LNC154" s="72"/>
      <c r="LND154" s="72"/>
      <c r="LNE154" s="72"/>
      <c r="LNF154" s="72"/>
      <c r="LNG154" s="72"/>
      <c r="LNH154" s="72"/>
      <c r="LNI154" s="72"/>
      <c r="LNJ154" s="72"/>
      <c r="LNK154" s="72"/>
      <c r="LNL154" s="72"/>
      <c r="LNM154" s="72"/>
      <c r="LNN154" s="72"/>
      <c r="LNO154" s="72"/>
      <c r="LNP154" s="72"/>
      <c r="LNQ154" s="72"/>
      <c r="LNR154" s="72"/>
      <c r="LNS154" s="72"/>
      <c r="LNT154" s="72"/>
      <c r="LNU154" s="72"/>
      <c r="LNV154" s="72"/>
      <c r="LNW154" s="72"/>
      <c r="LNX154" s="72"/>
      <c r="LNY154" s="72"/>
      <c r="LNZ154" s="72"/>
      <c r="LOA154" s="72"/>
      <c r="LOB154" s="72"/>
      <c r="LOC154" s="72"/>
      <c r="LOD154" s="72"/>
      <c r="LOE154" s="72"/>
      <c r="LOF154" s="72"/>
      <c r="LOG154" s="72"/>
      <c r="LOH154" s="72"/>
      <c r="LOI154" s="72"/>
      <c r="LOJ154" s="72"/>
      <c r="LOK154" s="72"/>
      <c r="LOL154" s="72"/>
      <c r="LOM154" s="72"/>
      <c r="LON154" s="72"/>
      <c r="LOO154" s="72"/>
      <c r="LOP154" s="72"/>
      <c r="LOQ154" s="72"/>
      <c r="LOR154" s="72"/>
      <c r="LOS154" s="72"/>
      <c r="LOT154" s="72"/>
      <c r="LOU154" s="72"/>
      <c r="LOV154" s="72"/>
      <c r="LOW154" s="72"/>
      <c r="LOX154" s="72"/>
      <c r="LOY154" s="72"/>
      <c r="LOZ154" s="72"/>
      <c r="LPA154" s="72"/>
      <c r="LPB154" s="72"/>
      <c r="LPC154" s="72"/>
      <c r="LPD154" s="72"/>
      <c r="LPE154" s="72"/>
      <c r="LPF154" s="72"/>
      <c r="LPG154" s="72"/>
      <c r="LPH154" s="72"/>
      <c r="LPI154" s="72"/>
      <c r="LPJ154" s="72"/>
      <c r="LPK154" s="72"/>
      <c r="LPL154" s="72"/>
      <c r="LPM154" s="72"/>
      <c r="LPN154" s="72"/>
      <c r="LPO154" s="72"/>
      <c r="LPP154" s="72"/>
      <c r="LPQ154" s="72"/>
      <c r="LPR154" s="72"/>
      <c r="LPS154" s="72"/>
      <c r="LPT154" s="72"/>
      <c r="LPU154" s="72"/>
      <c r="LPV154" s="72"/>
      <c r="LPW154" s="72"/>
      <c r="LPX154" s="72"/>
      <c r="LPY154" s="72"/>
      <c r="LPZ154" s="72"/>
      <c r="LQA154" s="72"/>
      <c r="LQB154" s="72"/>
      <c r="LQC154" s="72"/>
      <c r="LQD154" s="72"/>
      <c r="LQE154" s="72"/>
      <c r="LQF154" s="72"/>
      <c r="LQG154" s="72"/>
      <c r="LQH154" s="72"/>
      <c r="LQI154" s="72"/>
      <c r="LQJ154" s="72"/>
      <c r="LQK154" s="72"/>
      <c r="LQL154" s="72"/>
      <c r="LQM154" s="72"/>
      <c r="LQN154" s="72"/>
      <c r="LQO154" s="72"/>
      <c r="LQP154" s="72"/>
      <c r="LQQ154" s="72"/>
      <c r="LQR154" s="72"/>
      <c r="LQS154" s="72"/>
      <c r="LQT154" s="72"/>
      <c r="LQU154" s="72"/>
      <c r="LQV154" s="72"/>
      <c r="LQW154" s="72"/>
      <c r="LQX154" s="72"/>
      <c r="LQY154" s="72"/>
      <c r="LQZ154" s="72"/>
      <c r="LRA154" s="72"/>
      <c r="LRB154" s="72"/>
      <c r="LRC154" s="72"/>
      <c r="LRD154" s="72"/>
      <c r="LRE154" s="72"/>
      <c r="LRF154" s="72"/>
      <c r="LRG154" s="72"/>
      <c r="LRH154" s="72"/>
      <c r="LRI154" s="72"/>
      <c r="LRJ154" s="72"/>
      <c r="LRK154" s="72"/>
      <c r="LRL154" s="72"/>
      <c r="LRM154" s="72"/>
      <c r="LRN154" s="72"/>
      <c r="LRO154" s="72"/>
      <c r="LRP154" s="72"/>
      <c r="LRQ154" s="72"/>
      <c r="LRR154" s="72"/>
      <c r="LRS154" s="72"/>
      <c r="LRT154" s="72"/>
      <c r="LRU154" s="72"/>
      <c r="LRV154" s="72"/>
      <c r="LRW154" s="72"/>
      <c r="LRX154" s="72"/>
      <c r="LRY154" s="72"/>
      <c r="LRZ154" s="72"/>
      <c r="LSA154" s="72"/>
      <c r="LSB154" s="72"/>
      <c r="LSC154" s="72"/>
      <c r="LSD154" s="72"/>
      <c r="LSE154" s="72"/>
      <c r="LSF154" s="72"/>
      <c r="LSG154" s="72"/>
      <c r="LSH154" s="72"/>
      <c r="LSI154" s="72"/>
      <c r="LSJ154" s="72"/>
      <c r="LSK154" s="72"/>
      <c r="LSL154" s="72"/>
      <c r="LSM154" s="72"/>
      <c r="LSN154" s="72"/>
      <c r="LSO154" s="72"/>
      <c r="LSP154" s="72"/>
      <c r="LSQ154" s="72"/>
      <c r="LSR154" s="72"/>
      <c r="LSS154" s="72"/>
      <c r="LST154" s="72"/>
      <c r="LSU154" s="72"/>
      <c r="LSV154" s="72"/>
      <c r="LSW154" s="72"/>
      <c r="LSX154" s="72"/>
      <c r="LSY154" s="72"/>
      <c r="LSZ154" s="72"/>
      <c r="LTA154" s="72"/>
      <c r="LTB154" s="72"/>
      <c r="LTC154" s="72"/>
      <c r="LTD154" s="72"/>
      <c r="LTE154" s="72"/>
      <c r="LTF154" s="72"/>
      <c r="LTG154" s="72"/>
      <c r="LTH154" s="72"/>
      <c r="LTI154" s="72"/>
      <c r="LTJ154" s="72"/>
      <c r="LTK154" s="72"/>
      <c r="LTL154" s="72"/>
      <c r="LTM154" s="72"/>
      <c r="LTN154" s="72"/>
      <c r="LTO154" s="72"/>
      <c r="LTP154" s="72"/>
      <c r="LTQ154" s="72"/>
      <c r="LTR154" s="72"/>
      <c r="LTS154" s="72"/>
      <c r="LTT154" s="72"/>
      <c r="LTU154" s="72"/>
      <c r="LTV154" s="72"/>
      <c r="LTW154" s="72"/>
      <c r="LTX154" s="72"/>
      <c r="LTY154" s="72"/>
      <c r="LTZ154" s="72"/>
      <c r="LUA154" s="72"/>
      <c r="LUB154" s="72"/>
      <c r="LUC154" s="72"/>
      <c r="LUD154" s="72"/>
      <c r="LUE154" s="72"/>
      <c r="LUF154" s="72"/>
      <c r="LUG154" s="72"/>
      <c r="LUH154" s="72"/>
      <c r="LUI154" s="72"/>
      <c r="LUJ154" s="72"/>
      <c r="LUK154" s="72"/>
      <c r="LUL154" s="72"/>
      <c r="LUM154" s="72"/>
      <c r="LUN154" s="72"/>
      <c r="LUO154" s="72"/>
      <c r="LUP154" s="72"/>
      <c r="LUQ154" s="72"/>
      <c r="LUR154" s="72"/>
      <c r="LUS154" s="72"/>
      <c r="LUT154" s="72"/>
      <c r="LUU154" s="72"/>
      <c r="LUV154" s="72"/>
      <c r="LUW154" s="72"/>
      <c r="LUX154" s="72"/>
      <c r="LUY154" s="72"/>
      <c r="LUZ154" s="72"/>
      <c r="LVA154" s="72"/>
      <c r="LVB154" s="72"/>
      <c r="LVC154" s="72"/>
      <c r="LVD154" s="72"/>
      <c r="LVE154" s="72"/>
      <c r="LVF154" s="72"/>
      <c r="LVG154" s="72"/>
      <c r="LVH154" s="72"/>
      <c r="LVI154" s="72"/>
      <c r="LVJ154" s="72"/>
      <c r="LVK154" s="72"/>
      <c r="LVL154" s="72"/>
      <c r="LVM154" s="72"/>
      <c r="LVN154" s="72"/>
      <c r="LVO154" s="72"/>
      <c r="LVP154" s="72"/>
      <c r="LVQ154" s="72"/>
      <c r="LVR154" s="72"/>
      <c r="LVS154" s="72"/>
      <c r="LVT154" s="72"/>
      <c r="LVU154" s="72"/>
      <c r="LVV154" s="72"/>
      <c r="LVW154" s="72"/>
      <c r="LVX154" s="72"/>
      <c r="LVY154" s="72"/>
      <c r="LVZ154" s="72"/>
      <c r="LWA154" s="72"/>
      <c r="LWB154" s="72"/>
      <c r="LWC154" s="72"/>
      <c r="LWD154" s="72"/>
      <c r="LWE154" s="72"/>
      <c r="LWF154" s="72"/>
      <c r="LWG154" s="72"/>
      <c r="LWH154" s="72"/>
      <c r="LWI154" s="72"/>
      <c r="LWJ154" s="72"/>
      <c r="LWK154" s="72"/>
      <c r="LWL154" s="72"/>
      <c r="LWM154" s="72"/>
      <c r="LWN154" s="72"/>
      <c r="LWO154" s="72"/>
      <c r="LWP154" s="72"/>
      <c r="LWQ154" s="72"/>
      <c r="LWR154" s="72"/>
      <c r="LWS154" s="72"/>
      <c r="LWT154" s="72"/>
      <c r="LWU154" s="72"/>
      <c r="LWV154" s="72"/>
      <c r="LWW154" s="72"/>
      <c r="LWX154" s="72"/>
      <c r="LWY154" s="72"/>
      <c r="LWZ154" s="72"/>
      <c r="LXA154" s="72"/>
      <c r="LXB154" s="72"/>
      <c r="LXC154" s="72"/>
      <c r="LXD154" s="72"/>
      <c r="LXE154" s="72"/>
      <c r="LXF154" s="72"/>
      <c r="LXG154" s="72"/>
      <c r="LXH154" s="72"/>
      <c r="LXI154" s="72"/>
      <c r="LXJ154" s="72"/>
      <c r="LXK154" s="72"/>
      <c r="LXL154" s="72"/>
      <c r="LXM154" s="72"/>
      <c r="LXN154" s="72"/>
      <c r="LXO154" s="72"/>
      <c r="LXP154" s="72"/>
      <c r="LXQ154" s="72"/>
      <c r="LXR154" s="72"/>
      <c r="LXS154" s="72"/>
      <c r="LXT154" s="72"/>
      <c r="LXU154" s="72"/>
      <c r="LXV154" s="72"/>
      <c r="LXW154" s="72"/>
      <c r="LXX154" s="72"/>
      <c r="LXY154" s="72"/>
      <c r="LXZ154" s="72"/>
      <c r="LYA154" s="72"/>
      <c r="LYB154" s="72"/>
      <c r="LYC154" s="72"/>
      <c r="LYD154" s="72"/>
      <c r="LYE154" s="72"/>
      <c r="LYF154" s="72"/>
      <c r="LYG154" s="72"/>
      <c r="LYH154" s="72"/>
      <c r="LYI154" s="72"/>
      <c r="LYJ154" s="72"/>
      <c r="LYK154" s="72"/>
      <c r="LYL154" s="72"/>
      <c r="LYM154" s="72"/>
      <c r="LYN154" s="72"/>
      <c r="LYO154" s="72"/>
      <c r="LYP154" s="72"/>
      <c r="LYQ154" s="72"/>
      <c r="LYR154" s="72"/>
      <c r="LYS154" s="72"/>
      <c r="LYT154" s="72"/>
      <c r="LYU154" s="72"/>
      <c r="LYV154" s="72"/>
      <c r="LYW154" s="72"/>
      <c r="LYX154" s="72"/>
      <c r="LYY154" s="72"/>
      <c r="LYZ154" s="72"/>
      <c r="LZA154" s="72"/>
      <c r="LZB154" s="72"/>
      <c r="LZC154" s="72"/>
      <c r="LZD154" s="72"/>
      <c r="LZE154" s="72"/>
      <c r="LZF154" s="72"/>
      <c r="LZG154" s="72"/>
      <c r="LZH154" s="72"/>
      <c r="LZI154" s="72"/>
      <c r="LZJ154" s="72"/>
      <c r="LZK154" s="72"/>
      <c r="LZL154" s="72"/>
      <c r="LZM154" s="72"/>
      <c r="LZN154" s="72"/>
      <c r="LZO154" s="72"/>
      <c r="LZP154" s="72"/>
      <c r="LZQ154" s="72"/>
      <c r="LZR154" s="72"/>
      <c r="LZS154" s="72"/>
      <c r="LZT154" s="72"/>
      <c r="LZU154" s="72"/>
      <c r="LZV154" s="72"/>
      <c r="LZW154" s="72"/>
      <c r="LZX154" s="72"/>
      <c r="LZY154" s="72"/>
      <c r="LZZ154" s="72"/>
      <c r="MAA154" s="72"/>
      <c r="MAB154" s="72"/>
      <c r="MAC154" s="72"/>
      <c r="MAD154" s="72"/>
      <c r="MAE154" s="72"/>
      <c r="MAF154" s="72"/>
      <c r="MAG154" s="72"/>
      <c r="MAH154" s="72"/>
      <c r="MAI154" s="72"/>
      <c r="MAJ154" s="72"/>
      <c r="MAK154" s="72"/>
      <c r="MAL154" s="72"/>
      <c r="MAM154" s="72"/>
      <c r="MAN154" s="72"/>
      <c r="MAO154" s="72"/>
      <c r="MAP154" s="72"/>
      <c r="MAQ154" s="72"/>
      <c r="MAR154" s="72"/>
      <c r="MAS154" s="72"/>
      <c r="MAT154" s="72"/>
      <c r="MAU154" s="72"/>
      <c r="MAV154" s="72"/>
      <c r="MAW154" s="72"/>
      <c r="MAX154" s="72"/>
      <c r="MAY154" s="72"/>
      <c r="MAZ154" s="72"/>
      <c r="MBA154" s="72"/>
      <c r="MBB154" s="72"/>
      <c r="MBC154" s="72"/>
      <c r="MBD154" s="72"/>
      <c r="MBE154" s="72"/>
      <c r="MBF154" s="72"/>
      <c r="MBG154" s="72"/>
      <c r="MBH154" s="72"/>
      <c r="MBI154" s="72"/>
      <c r="MBJ154" s="72"/>
      <c r="MBK154" s="72"/>
      <c r="MBL154" s="72"/>
      <c r="MBM154" s="72"/>
      <c r="MBN154" s="72"/>
      <c r="MBO154" s="72"/>
      <c r="MBP154" s="72"/>
      <c r="MBQ154" s="72"/>
      <c r="MBR154" s="72"/>
      <c r="MBS154" s="72"/>
      <c r="MBT154" s="72"/>
      <c r="MBU154" s="72"/>
      <c r="MBV154" s="72"/>
      <c r="MBW154" s="72"/>
      <c r="MBX154" s="72"/>
      <c r="MBY154" s="72"/>
      <c r="MBZ154" s="72"/>
      <c r="MCA154" s="72"/>
      <c r="MCB154" s="72"/>
      <c r="MCC154" s="72"/>
      <c r="MCD154" s="72"/>
      <c r="MCE154" s="72"/>
      <c r="MCF154" s="72"/>
      <c r="MCG154" s="72"/>
      <c r="MCH154" s="72"/>
      <c r="MCI154" s="72"/>
      <c r="MCJ154" s="72"/>
      <c r="MCK154" s="72"/>
      <c r="MCL154" s="72"/>
      <c r="MCM154" s="72"/>
      <c r="MCN154" s="72"/>
      <c r="MCO154" s="72"/>
      <c r="MCP154" s="72"/>
      <c r="MCQ154" s="72"/>
      <c r="MCR154" s="72"/>
      <c r="MCS154" s="72"/>
      <c r="MCT154" s="72"/>
      <c r="MCU154" s="72"/>
      <c r="MCV154" s="72"/>
      <c r="MCW154" s="72"/>
      <c r="MCX154" s="72"/>
      <c r="MCY154" s="72"/>
      <c r="MCZ154" s="72"/>
      <c r="MDA154" s="72"/>
      <c r="MDB154" s="72"/>
      <c r="MDC154" s="72"/>
      <c r="MDD154" s="72"/>
      <c r="MDE154" s="72"/>
      <c r="MDF154" s="72"/>
      <c r="MDG154" s="72"/>
      <c r="MDH154" s="72"/>
      <c r="MDI154" s="72"/>
      <c r="MDJ154" s="72"/>
      <c r="MDK154" s="72"/>
      <c r="MDL154" s="72"/>
      <c r="MDM154" s="72"/>
      <c r="MDN154" s="72"/>
      <c r="MDO154" s="72"/>
      <c r="MDP154" s="72"/>
      <c r="MDQ154" s="72"/>
      <c r="MDR154" s="72"/>
      <c r="MDS154" s="72"/>
      <c r="MDT154" s="72"/>
      <c r="MDU154" s="72"/>
      <c r="MDV154" s="72"/>
      <c r="MDW154" s="72"/>
      <c r="MDX154" s="72"/>
      <c r="MDY154" s="72"/>
      <c r="MDZ154" s="72"/>
      <c r="MEA154" s="72"/>
      <c r="MEB154" s="72"/>
      <c r="MEC154" s="72"/>
      <c r="MED154" s="72"/>
      <c r="MEE154" s="72"/>
      <c r="MEF154" s="72"/>
      <c r="MEG154" s="72"/>
      <c r="MEH154" s="72"/>
      <c r="MEI154" s="72"/>
      <c r="MEJ154" s="72"/>
      <c r="MEK154" s="72"/>
      <c r="MEL154" s="72"/>
      <c r="MEM154" s="72"/>
      <c r="MEN154" s="72"/>
      <c r="MEO154" s="72"/>
      <c r="MEP154" s="72"/>
      <c r="MEQ154" s="72"/>
      <c r="MER154" s="72"/>
      <c r="MES154" s="72"/>
      <c r="MET154" s="72"/>
      <c r="MEU154" s="72"/>
      <c r="MEV154" s="72"/>
      <c r="MEW154" s="72"/>
      <c r="MEX154" s="72"/>
      <c r="MEY154" s="72"/>
      <c r="MEZ154" s="72"/>
      <c r="MFA154" s="72"/>
      <c r="MFB154" s="72"/>
      <c r="MFC154" s="72"/>
      <c r="MFD154" s="72"/>
      <c r="MFE154" s="72"/>
      <c r="MFF154" s="72"/>
      <c r="MFG154" s="72"/>
      <c r="MFH154" s="72"/>
      <c r="MFI154" s="72"/>
      <c r="MFJ154" s="72"/>
      <c r="MFK154" s="72"/>
      <c r="MFL154" s="72"/>
      <c r="MFM154" s="72"/>
      <c r="MFN154" s="72"/>
      <c r="MFO154" s="72"/>
      <c r="MFP154" s="72"/>
      <c r="MFQ154" s="72"/>
      <c r="MFR154" s="72"/>
      <c r="MFS154" s="72"/>
      <c r="MFT154" s="72"/>
      <c r="MFU154" s="72"/>
      <c r="MFV154" s="72"/>
      <c r="MFW154" s="72"/>
      <c r="MFX154" s="72"/>
      <c r="MFY154" s="72"/>
      <c r="MFZ154" s="72"/>
      <c r="MGA154" s="72"/>
      <c r="MGB154" s="72"/>
      <c r="MGC154" s="72"/>
      <c r="MGD154" s="72"/>
      <c r="MGE154" s="72"/>
      <c r="MGF154" s="72"/>
      <c r="MGG154" s="72"/>
      <c r="MGH154" s="72"/>
      <c r="MGI154" s="72"/>
      <c r="MGJ154" s="72"/>
      <c r="MGK154" s="72"/>
      <c r="MGL154" s="72"/>
      <c r="MGM154" s="72"/>
      <c r="MGN154" s="72"/>
      <c r="MGO154" s="72"/>
      <c r="MGP154" s="72"/>
      <c r="MGQ154" s="72"/>
      <c r="MGR154" s="72"/>
      <c r="MGS154" s="72"/>
      <c r="MGT154" s="72"/>
      <c r="MGU154" s="72"/>
      <c r="MGV154" s="72"/>
      <c r="MGW154" s="72"/>
      <c r="MGX154" s="72"/>
      <c r="MGY154" s="72"/>
      <c r="MGZ154" s="72"/>
      <c r="MHA154" s="72"/>
      <c r="MHB154" s="72"/>
      <c r="MHC154" s="72"/>
      <c r="MHD154" s="72"/>
      <c r="MHE154" s="72"/>
      <c r="MHF154" s="72"/>
      <c r="MHG154" s="72"/>
      <c r="MHH154" s="72"/>
      <c r="MHI154" s="72"/>
      <c r="MHJ154" s="72"/>
      <c r="MHK154" s="72"/>
      <c r="MHL154" s="72"/>
      <c r="MHM154" s="72"/>
      <c r="MHN154" s="72"/>
      <c r="MHO154" s="72"/>
      <c r="MHP154" s="72"/>
      <c r="MHQ154" s="72"/>
      <c r="MHR154" s="72"/>
      <c r="MHS154" s="72"/>
      <c r="MHT154" s="72"/>
      <c r="MHU154" s="72"/>
      <c r="MHV154" s="72"/>
      <c r="MHW154" s="72"/>
      <c r="MHX154" s="72"/>
      <c r="MHY154" s="72"/>
      <c r="MHZ154" s="72"/>
      <c r="MIA154" s="72"/>
      <c r="MIB154" s="72"/>
      <c r="MIC154" s="72"/>
      <c r="MID154" s="72"/>
      <c r="MIE154" s="72"/>
      <c r="MIF154" s="72"/>
      <c r="MIG154" s="72"/>
      <c r="MIH154" s="72"/>
      <c r="MII154" s="72"/>
      <c r="MIJ154" s="72"/>
      <c r="MIK154" s="72"/>
      <c r="MIL154" s="72"/>
      <c r="MIM154" s="72"/>
      <c r="MIN154" s="72"/>
      <c r="MIO154" s="72"/>
      <c r="MIP154" s="72"/>
      <c r="MIQ154" s="72"/>
      <c r="MIR154" s="72"/>
      <c r="MIS154" s="72"/>
      <c r="MIT154" s="72"/>
      <c r="MIU154" s="72"/>
      <c r="MIV154" s="72"/>
      <c r="MIW154" s="72"/>
      <c r="MIX154" s="72"/>
      <c r="MIY154" s="72"/>
      <c r="MIZ154" s="72"/>
      <c r="MJA154" s="72"/>
      <c r="MJB154" s="72"/>
      <c r="MJC154" s="72"/>
      <c r="MJD154" s="72"/>
      <c r="MJE154" s="72"/>
      <c r="MJF154" s="72"/>
      <c r="MJG154" s="72"/>
      <c r="MJH154" s="72"/>
      <c r="MJI154" s="72"/>
      <c r="MJJ154" s="72"/>
      <c r="MJK154" s="72"/>
      <c r="MJL154" s="72"/>
      <c r="MJM154" s="72"/>
      <c r="MJN154" s="72"/>
      <c r="MJO154" s="72"/>
      <c r="MJP154" s="72"/>
      <c r="MJQ154" s="72"/>
      <c r="MJR154" s="72"/>
      <c r="MJS154" s="72"/>
      <c r="MJT154" s="72"/>
      <c r="MJU154" s="72"/>
      <c r="MJV154" s="72"/>
      <c r="MJW154" s="72"/>
      <c r="MJX154" s="72"/>
      <c r="MJY154" s="72"/>
      <c r="MJZ154" s="72"/>
      <c r="MKA154" s="72"/>
      <c r="MKB154" s="72"/>
      <c r="MKC154" s="72"/>
      <c r="MKD154" s="72"/>
      <c r="MKE154" s="72"/>
      <c r="MKF154" s="72"/>
      <c r="MKG154" s="72"/>
      <c r="MKH154" s="72"/>
      <c r="MKI154" s="72"/>
      <c r="MKJ154" s="72"/>
      <c r="MKK154" s="72"/>
      <c r="MKL154" s="72"/>
      <c r="MKM154" s="72"/>
      <c r="MKN154" s="72"/>
      <c r="MKO154" s="72"/>
      <c r="MKP154" s="72"/>
      <c r="MKQ154" s="72"/>
      <c r="MKR154" s="72"/>
      <c r="MKS154" s="72"/>
      <c r="MKT154" s="72"/>
      <c r="MKU154" s="72"/>
      <c r="MKV154" s="72"/>
      <c r="MKW154" s="72"/>
      <c r="MKX154" s="72"/>
      <c r="MKY154" s="72"/>
      <c r="MKZ154" s="72"/>
      <c r="MLA154" s="72"/>
      <c r="MLB154" s="72"/>
      <c r="MLC154" s="72"/>
      <c r="MLD154" s="72"/>
      <c r="MLE154" s="72"/>
      <c r="MLF154" s="72"/>
      <c r="MLG154" s="72"/>
      <c r="MLH154" s="72"/>
      <c r="MLI154" s="72"/>
      <c r="MLJ154" s="72"/>
      <c r="MLK154" s="72"/>
      <c r="MLL154" s="72"/>
      <c r="MLM154" s="72"/>
      <c r="MLN154" s="72"/>
      <c r="MLO154" s="72"/>
      <c r="MLP154" s="72"/>
      <c r="MLQ154" s="72"/>
      <c r="MLR154" s="72"/>
      <c r="MLS154" s="72"/>
      <c r="MLT154" s="72"/>
      <c r="MLU154" s="72"/>
      <c r="MLV154" s="72"/>
      <c r="MLW154" s="72"/>
      <c r="MLX154" s="72"/>
      <c r="MLY154" s="72"/>
      <c r="MLZ154" s="72"/>
      <c r="MMA154" s="72"/>
      <c r="MMB154" s="72"/>
      <c r="MMC154" s="72"/>
      <c r="MMD154" s="72"/>
      <c r="MME154" s="72"/>
      <c r="MMF154" s="72"/>
      <c r="MMG154" s="72"/>
      <c r="MMH154" s="72"/>
      <c r="MMI154" s="72"/>
      <c r="MMJ154" s="72"/>
      <c r="MMK154" s="72"/>
      <c r="MML154" s="72"/>
      <c r="MMM154" s="72"/>
      <c r="MMN154" s="72"/>
      <c r="MMO154" s="72"/>
      <c r="MMP154" s="72"/>
      <c r="MMQ154" s="72"/>
      <c r="MMR154" s="72"/>
      <c r="MMS154" s="72"/>
      <c r="MMT154" s="72"/>
      <c r="MMU154" s="72"/>
      <c r="MMV154" s="72"/>
      <c r="MMW154" s="72"/>
      <c r="MMX154" s="72"/>
      <c r="MMY154" s="72"/>
      <c r="MMZ154" s="72"/>
      <c r="MNA154" s="72"/>
      <c r="MNB154" s="72"/>
      <c r="MNC154" s="72"/>
      <c r="MND154" s="72"/>
      <c r="MNE154" s="72"/>
      <c r="MNF154" s="72"/>
      <c r="MNG154" s="72"/>
      <c r="MNH154" s="72"/>
      <c r="MNI154" s="72"/>
      <c r="MNJ154" s="72"/>
      <c r="MNK154" s="72"/>
      <c r="MNL154" s="72"/>
      <c r="MNM154" s="72"/>
      <c r="MNN154" s="72"/>
      <c r="MNO154" s="72"/>
      <c r="MNP154" s="72"/>
      <c r="MNQ154" s="72"/>
      <c r="MNR154" s="72"/>
      <c r="MNS154" s="72"/>
      <c r="MNT154" s="72"/>
      <c r="MNU154" s="72"/>
      <c r="MNV154" s="72"/>
      <c r="MNW154" s="72"/>
      <c r="MNX154" s="72"/>
      <c r="MNY154" s="72"/>
      <c r="MNZ154" s="72"/>
      <c r="MOA154" s="72"/>
      <c r="MOB154" s="72"/>
      <c r="MOC154" s="72"/>
      <c r="MOD154" s="72"/>
      <c r="MOE154" s="72"/>
      <c r="MOF154" s="72"/>
      <c r="MOG154" s="72"/>
      <c r="MOH154" s="72"/>
      <c r="MOI154" s="72"/>
      <c r="MOJ154" s="72"/>
      <c r="MOK154" s="72"/>
      <c r="MOL154" s="72"/>
      <c r="MOM154" s="72"/>
      <c r="MON154" s="72"/>
      <c r="MOO154" s="72"/>
      <c r="MOP154" s="72"/>
      <c r="MOQ154" s="72"/>
      <c r="MOR154" s="72"/>
      <c r="MOS154" s="72"/>
      <c r="MOT154" s="72"/>
      <c r="MOU154" s="72"/>
      <c r="MOV154" s="72"/>
      <c r="MOW154" s="72"/>
      <c r="MOX154" s="72"/>
      <c r="MOY154" s="72"/>
      <c r="MOZ154" s="72"/>
      <c r="MPA154" s="72"/>
      <c r="MPB154" s="72"/>
      <c r="MPC154" s="72"/>
      <c r="MPD154" s="72"/>
      <c r="MPE154" s="72"/>
      <c r="MPF154" s="72"/>
      <c r="MPG154" s="72"/>
      <c r="MPH154" s="72"/>
      <c r="MPI154" s="72"/>
      <c r="MPJ154" s="72"/>
      <c r="MPK154" s="72"/>
      <c r="MPL154" s="72"/>
      <c r="MPM154" s="72"/>
      <c r="MPN154" s="72"/>
      <c r="MPO154" s="72"/>
      <c r="MPP154" s="72"/>
      <c r="MPQ154" s="72"/>
      <c r="MPR154" s="72"/>
      <c r="MPS154" s="72"/>
      <c r="MPT154" s="72"/>
      <c r="MPU154" s="72"/>
      <c r="MPV154" s="72"/>
      <c r="MPW154" s="72"/>
      <c r="MPX154" s="72"/>
      <c r="MPY154" s="72"/>
      <c r="MPZ154" s="72"/>
      <c r="MQA154" s="72"/>
      <c r="MQB154" s="72"/>
      <c r="MQC154" s="72"/>
      <c r="MQD154" s="72"/>
      <c r="MQE154" s="72"/>
      <c r="MQF154" s="72"/>
      <c r="MQG154" s="72"/>
      <c r="MQH154" s="72"/>
      <c r="MQI154" s="72"/>
      <c r="MQJ154" s="72"/>
      <c r="MQK154" s="72"/>
      <c r="MQL154" s="72"/>
      <c r="MQM154" s="72"/>
      <c r="MQN154" s="72"/>
      <c r="MQO154" s="72"/>
      <c r="MQP154" s="72"/>
      <c r="MQQ154" s="72"/>
      <c r="MQR154" s="72"/>
      <c r="MQS154" s="72"/>
      <c r="MQT154" s="72"/>
      <c r="MQU154" s="72"/>
      <c r="MQV154" s="72"/>
      <c r="MQW154" s="72"/>
      <c r="MQX154" s="72"/>
      <c r="MQY154" s="72"/>
      <c r="MQZ154" s="72"/>
      <c r="MRA154" s="72"/>
      <c r="MRB154" s="72"/>
      <c r="MRC154" s="72"/>
      <c r="MRD154" s="72"/>
      <c r="MRE154" s="72"/>
      <c r="MRF154" s="72"/>
      <c r="MRG154" s="72"/>
      <c r="MRH154" s="72"/>
      <c r="MRI154" s="72"/>
      <c r="MRJ154" s="72"/>
      <c r="MRK154" s="72"/>
      <c r="MRL154" s="72"/>
      <c r="MRM154" s="72"/>
      <c r="MRN154" s="72"/>
      <c r="MRO154" s="72"/>
      <c r="MRP154" s="72"/>
      <c r="MRQ154" s="72"/>
      <c r="MRR154" s="72"/>
      <c r="MRS154" s="72"/>
      <c r="MRT154" s="72"/>
      <c r="MRU154" s="72"/>
      <c r="MRV154" s="72"/>
      <c r="MRW154" s="72"/>
      <c r="MRX154" s="72"/>
      <c r="MRY154" s="72"/>
      <c r="MRZ154" s="72"/>
      <c r="MSA154" s="72"/>
      <c r="MSB154" s="72"/>
      <c r="MSC154" s="72"/>
      <c r="MSD154" s="72"/>
      <c r="MSE154" s="72"/>
      <c r="MSF154" s="72"/>
      <c r="MSG154" s="72"/>
      <c r="MSH154" s="72"/>
      <c r="MSI154" s="72"/>
      <c r="MSJ154" s="72"/>
      <c r="MSK154" s="72"/>
      <c r="MSL154" s="72"/>
      <c r="MSM154" s="72"/>
      <c r="MSN154" s="72"/>
      <c r="MSO154" s="72"/>
      <c r="MSP154" s="72"/>
      <c r="MSQ154" s="72"/>
      <c r="MSR154" s="72"/>
      <c r="MSS154" s="72"/>
      <c r="MST154" s="72"/>
      <c r="MSU154" s="72"/>
      <c r="MSV154" s="72"/>
      <c r="MSW154" s="72"/>
      <c r="MSX154" s="72"/>
      <c r="MSY154" s="72"/>
      <c r="MSZ154" s="72"/>
      <c r="MTA154" s="72"/>
      <c r="MTB154" s="72"/>
      <c r="MTC154" s="72"/>
      <c r="MTD154" s="72"/>
      <c r="MTE154" s="72"/>
      <c r="MTF154" s="72"/>
      <c r="MTG154" s="72"/>
      <c r="MTH154" s="72"/>
      <c r="MTI154" s="72"/>
      <c r="MTJ154" s="72"/>
      <c r="MTK154" s="72"/>
      <c r="MTL154" s="72"/>
      <c r="MTM154" s="72"/>
      <c r="MTN154" s="72"/>
      <c r="MTO154" s="72"/>
      <c r="MTP154" s="72"/>
      <c r="MTQ154" s="72"/>
      <c r="MTR154" s="72"/>
      <c r="MTS154" s="72"/>
      <c r="MTT154" s="72"/>
      <c r="MTU154" s="72"/>
      <c r="MTV154" s="72"/>
      <c r="MTW154" s="72"/>
      <c r="MTX154" s="72"/>
      <c r="MTY154" s="72"/>
      <c r="MTZ154" s="72"/>
      <c r="MUA154" s="72"/>
      <c r="MUB154" s="72"/>
      <c r="MUC154" s="72"/>
      <c r="MUD154" s="72"/>
      <c r="MUE154" s="72"/>
      <c r="MUF154" s="72"/>
      <c r="MUG154" s="72"/>
      <c r="MUH154" s="72"/>
      <c r="MUI154" s="72"/>
      <c r="MUJ154" s="72"/>
      <c r="MUK154" s="72"/>
      <c r="MUL154" s="72"/>
      <c r="MUM154" s="72"/>
      <c r="MUN154" s="72"/>
      <c r="MUO154" s="72"/>
      <c r="MUP154" s="72"/>
      <c r="MUQ154" s="72"/>
      <c r="MUR154" s="72"/>
      <c r="MUS154" s="72"/>
      <c r="MUT154" s="72"/>
      <c r="MUU154" s="72"/>
      <c r="MUV154" s="72"/>
      <c r="MUW154" s="72"/>
      <c r="MUX154" s="72"/>
      <c r="MUY154" s="72"/>
      <c r="MUZ154" s="72"/>
      <c r="MVA154" s="72"/>
      <c r="MVB154" s="72"/>
      <c r="MVC154" s="72"/>
      <c r="MVD154" s="72"/>
      <c r="MVE154" s="72"/>
      <c r="MVF154" s="72"/>
      <c r="MVG154" s="72"/>
      <c r="MVH154" s="72"/>
      <c r="MVI154" s="72"/>
      <c r="MVJ154" s="72"/>
      <c r="MVK154" s="72"/>
      <c r="MVL154" s="72"/>
      <c r="MVM154" s="72"/>
      <c r="MVN154" s="72"/>
      <c r="MVO154" s="72"/>
      <c r="MVP154" s="72"/>
      <c r="MVQ154" s="72"/>
      <c r="MVR154" s="72"/>
      <c r="MVS154" s="72"/>
      <c r="MVT154" s="72"/>
      <c r="MVU154" s="72"/>
      <c r="MVV154" s="72"/>
      <c r="MVW154" s="72"/>
      <c r="MVX154" s="72"/>
      <c r="MVY154" s="72"/>
      <c r="MVZ154" s="72"/>
      <c r="MWA154" s="72"/>
      <c r="MWB154" s="72"/>
      <c r="MWC154" s="72"/>
      <c r="MWD154" s="72"/>
      <c r="MWE154" s="72"/>
      <c r="MWF154" s="72"/>
      <c r="MWG154" s="72"/>
      <c r="MWH154" s="72"/>
      <c r="MWI154" s="72"/>
      <c r="MWJ154" s="72"/>
      <c r="MWK154" s="72"/>
      <c r="MWL154" s="72"/>
      <c r="MWM154" s="72"/>
      <c r="MWN154" s="72"/>
      <c r="MWO154" s="72"/>
      <c r="MWP154" s="72"/>
      <c r="MWQ154" s="72"/>
      <c r="MWR154" s="72"/>
      <c r="MWS154" s="72"/>
      <c r="MWT154" s="72"/>
      <c r="MWU154" s="72"/>
      <c r="MWV154" s="72"/>
      <c r="MWW154" s="72"/>
      <c r="MWX154" s="72"/>
      <c r="MWY154" s="72"/>
      <c r="MWZ154" s="72"/>
      <c r="MXA154" s="72"/>
      <c r="MXB154" s="72"/>
      <c r="MXC154" s="72"/>
      <c r="MXD154" s="72"/>
      <c r="MXE154" s="72"/>
      <c r="MXF154" s="72"/>
      <c r="MXG154" s="72"/>
      <c r="MXH154" s="72"/>
      <c r="MXI154" s="72"/>
      <c r="MXJ154" s="72"/>
      <c r="MXK154" s="72"/>
      <c r="MXL154" s="72"/>
      <c r="MXM154" s="72"/>
      <c r="MXN154" s="72"/>
      <c r="MXO154" s="72"/>
      <c r="MXP154" s="72"/>
      <c r="MXQ154" s="72"/>
      <c r="MXR154" s="72"/>
      <c r="MXS154" s="72"/>
      <c r="MXT154" s="72"/>
      <c r="MXU154" s="72"/>
      <c r="MXV154" s="72"/>
      <c r="MXW154" s="72"/>
      <c r="MXX154" s="72"/>
      <c r="MXY154" s="72"/>
      <c r="MXZ154" s="72"/>
      <c r="MYA154" s="72"/>
      <c r="MYB154" s="72"/>
      <c r="MYC154" s="72"/>
      <c r="MYD154" s="72"/>
      <c r="MYE154" s="72"/>
      <c r="MYF154" s="72"/>
      <c r="MYG154" s="72"/>
      <c r="MYH154" s="72"/>
      <c r="MYI154" s="72"/>
      <c r="MYJ154" s="72"/>
      <c r="MYK154" s="72"/>
      <c r="MYL154" s="72"/>
      <c r="MYM154" s="72"/>
      <c r="MYN154" s="72"/>
      <c r="MYO154" s="72"/>
      <c r="MYP154" s="72"/>
      <c r="MYQ154" s="72"/>
      <c r="MYR154" s="72"/>
      <c r="MYS154" s="72"/>
      <c r="MYT154" s="72"/>
      <c r="MYU154" s="72"/>
      <c r="MYV154" s="72"/>
      <c r="MYW154" s="72"/>
      <c r="MYX154" s="72"/>
      <c r="MYY154" s="72"/>
      <c r="MYZ154" s="72"/>
      <c r="MZA154" s="72"/>
      <c r="MZB154" s="72"/>
      <c r="MZC154" s="72"/>
      <c r="MZD154" s="72"/>
      <c r="MZE154" s="72"/>
      <c r="MZF154" s="72"/>
      <c r="MZG154" s="72"/>
      <c r="MZH154" s="72"/>
      <c r="MZI154" s="72"/>
      <c r="MZJ154" s="72"/>
      <c r="MZK154" s="72"/>
      <c r="MZL154" s="72"/>
      <c r="MZM154" s="72"/>
      <c r="MZN154" s="72"/>
      <c r="MZO154" s="72"/>
      <c r="MZP154" s="72"/>
      <c r="MZQ154" s="72"/>
      <c r="MZR154" s="72"/>
      <c r="MZS154" s="72"/>
      <c r="MZT154" s="72"/>
      <c r="MZU154" s="72"/>
      <c r="MZV154" s="72"/>
      <c r="MZW154" s="72"/>
      <c r="MZX154" s="72"/>
      <c r="MZY154" s="72"/>
      <c r="MZZ154" s="72"/>
      <c r="NAA154" s="72"/>
      <c r="NAB154" s="72"/>
      <c r="NAC154" s="72"/>
      <c r="NAD154" s="72"/>
      <c r="NAE154" s="72"/>
      <c r="NAF154" s="72"/>
      <c r="NAG154" s="72"/>
      <c r="NAH154" s="72"/>
      <c r="NAI154" s="72"/>
      <c r="NAJ154" s="72"/>
      <c r="NAK154" s="72"/>
      <c r="NAL154" s="72"/>
      <c r="NAM154" s="72"/>
      <c r="NAN154" s="72"/>
      <c r="NAO154" s="72"/>
      <c r="NAP154" s="72"/>
      <c r="NAQ154" s="72"/>
      <c r="NAR154" s="72"/>
      <c r="NAS154" s="72"/>
      <c r="NAT154" s="72"/>
      <c r="NAU154" s="72"/>
      <c r="NAV154" s="72"/>
      <c r="NAW154" s="72"/>
      <c r="NAX154" s="72"/>
      <c r="NAY154" s="72"/>
      <c r="NAZ154" s="72"/>
      <c r="NBA154" s="72"/>
      <c r="NBB154" s="72"/>
      <c r="NBC154" s="72"/>
      <c r="NBD154" s="72"/>
      <c r="NBE154" s="72"/>
      <c r="NBF154" s="72"/>
      <c r="NBG154" s="72"/>
      <c r="NBH154" s="72"/>
      <c r="NBI154" s="72"/>
      <c r="NBJ154" s="72"/>
      <c r="NBK154" s="72"/>
      <c r="NBL154" s="72"/>
      <c r="NBM154" s="72"/>
      <c r="NBN154" s="72"/>
      <c r="NBO154" s="72"/>
      <c r="NBP154" s="72"/>
      <c r="NBQ154" s="72"/>
      <c r="NBR154" s="72"/>
      <c r="NBS154" s="72"/>
      <c r="NBT154" s="72"/>
      <c r="NBU154" s="72"/>
      <c r="NBV154" s="72"/>
      <c r="NBW154" s="72"/>
      <c r="NBX154" s="72"/>
      <c r="NBY154" s="72"/>
      <c r="NBZ154" s="72"/>
      <c r="NCA154" s="72"/>
      <c r="NCB154" s="72"/>
      <c r="NCC154" s="72"/>
      <c r="NCD154" s="72"/>
      <c r="NCE154" s="72"/>
      <c r="NCF154" s="72"/>
      <c r="NCG154" s="72"/>
      <c r="NCH154" s="72"/>
      <c r="NCI154" s="72"/>
      <c r="NCJ154" s="72"/>
      <c r="NCK154" s="72"/>
      <c r="NCL154" s="72"/>
      <c r="NCM154" s="72"/>
      <c r="NCN154" s="72"/>
      <c r="NCO154" s="72"/>
      <c r="NCP154" s="72"/>
      <c r="NCQ154" s="72"/>
      <c r="NCR154" s="72"/>
      <c r="NCS154" s="72"/>
      <c r="NCT154" s="72"/>
      <c r="NCU154" s="72"/>
      <c r="NCV154" s="72"/>
      <c r="NCW154" s="72"/>
      <c r="NCX154" s="72"/>
      <c r="NCY154" s="72"/>
      <c r="NCZ154" s="72"/>
      <c r="NDA154" s="72"/>
      <c r="NDB154" s="72"/>
      <c r="NDC154" s="72"/>
      <c r="NDD154" s="72"/>
      <c r="NDE154" s="72"/>
      <c r="NDF154" s="72"/>
      <c r="NDG154" s="72"/>
      <c r="NDH154" s="72"/>
      <c r="NDI154" s="72"/>
      <c r="NDJ154" s="72"/>
      <c r="NDK154" s="72"/>
      <c r="NDL154" s="72"/>
      <c r="NDM154" s="72"/>
      <c r="NDN154" s="72"/>
      <c r="NDO154" s="72"/>
      <c r="NDP154" s="72"/>
      <c r="NDQ154" s="72"/>
      <c r="NDR154" s="72"/>
      <c r="NDS154" s="72"/>
      <c r="NDT154" s="72"/>
      <c r="NDU154" s="72"/>
      <c r="NDV154" s="72"/>
      <c r="NDW154" s="72"/>
      <c r="NDX154" s="72"/>
      <c r="NDY154" s="72"/>
      <c r="NDZ154" s="72"/>
      <c r="NEA154" s="72"/>
      <c r="NEB154" s="72"/>
      <c r="NEC154" s="72"/>
      <c r="NED154" s="72"/>
      <c r="NEE154" s="72"/>
      <c r="NEF154" s="72"/>
      <c r="NEG154" s="72"/>
      <c r="NEH154" s="72"/>
      <c r="NEI154" s="72"/>
      <c r="NEJ154" s="72"/>
      <c r="NEK154" s="72"/>
      <c r="NEL154" s="72"/>
      <c r="NEM154" s="72"/>
      <c r="NEN154" s="72"/>
      <c r="NEO154" s="72"/>
      <c r="NEP154" s="72"/>
      <c r="NEQ154" s="72"/>
      <c r="NER154" s="72"/>
      <c r="NES154" s="72"/>
      <c r="NET154" s="72"/>
      <c r="NEU154" s="72"/>
      <c r="NEV154" s="72"/>
      <c r="NEW154" s="72"/>
      <c r="NEX154" s="72"/>
      <c r="NEY154" s="72"/>
      <c r="NEZ154" s="72"/>
      <c r="NFA154" s="72"/>
      <c r="NFB154" s="72"/>
      <c r="NFC154" s="72"/>
      <c r="NFD154" s="72"/>
      <c r="NFE154" s="72"/>
      <c r="NFF154" s="72"/>
      <c r="NFG154" s="72"/>
      <c r="NFH154" s="72"/>
      <c r="NFI154" s="72"/>
      <c r="NFJ154" s="72"/>
      <c r="NFK154" s="72"/>
      <c r="NFL154" s="72"/>
      <c r="NFM154" s="72"/>
      <c r="NFN154" s="72"/>
      <c r="NFO154" s="72"/>
      <c r="NFP154" s="72"/>
      <c r="NFQ154" s="72"/>
      <c r="NFR154" s="72"/>
      <c r="NFS154" s="72"/>
      <c r="NFT154" s="72"/>
      <c r="NFU154" s="72"/>
      <c r="NFV154" s="72"/>
      <c r="NFW154" s="72"/>
      <c r="NFX154" s="72"/>
      <c r="NFY154" s="72"/>
      <c r="NFZ154" s="72"/>
      <c r="NGA154" s="72"/>
      <c r="NGB154" s="72"/>
      <c r="NGC154" s="72"/>
      <c r="NGD154" s="72"/>
      <c r="NGE154" s="72"/>
      <c r="NGF154" s="72"/>
      <c r="NGG154" s="72"/>
      <c r="NGH154" s="72"/>
      <c r="NGI154" s="72"/>
      <c r="NGJ154" s="72"/>
      <c r="NGK154" s="72"/>
      <c r="NGL154" s="72"/>
      <c r="NGM154" s="72"/>
      <c r="NGN154" s="72"/>
      <c r="NGO154" s="72"/>
      <c r="NGP154" s="72"/>
      <c r="NGQ154" s="72"/>
      <c r="NGR154" s="72"/>
      <c r="NGS154" s="72"/>
      <c r="NGT154" s="72"/>
      <c r="NGU154" s="72"/>
      <c r="NGV154" s="72"/>
      <c r="NGW154" s="72"/>
      <c r="NGX154" s="72"/>
      <c r="NGY154" s="72"/>
      <c r="NGZ154" s="72"/>
      <c r="NHA154" s="72"/>
      <c r="NHB154" s="72"/>
      <c r="NHC154" s="72"/>
      <c r="NHD154" s="72"/>
      <c r="NHE154" s="72"/>
      <c r="NHF154" s="72"/>
      <c r="NHG154" s="72"/>
      <c r="NHH154" s="72"/>
      <c r="NHI154" s="72"/>
      <c r="NHJ154" s="72"/>
      <c r="NHK154" s="72"/>
      <c r="NHL154" s="72"/>
      <c r="NHM154" s="72"/>
      <c r="NHN154" s="72"/>
      <c r="NHO154" s="72"/>
      <c r="NHP154" s="72"/>
      <c r="NHQ154" s="72"/>
      <c r="NHR154" s="72"/>
      <c r="NHS154" s="72"/>
      <c r="NHT154" s="72"/>
      <c r="NHU154" s="72"/>
      <c r="NHV154" s="72"/>
      <c r="NHW154" s="72"/>
      <c r="NHX154" s="72"/>
      <c r="NHY154" s="72"/>
      <c r="NHZ154" s="72"/>
      <c r="NIA154" s="72"/>
      <c r="NIB154" s="72"/>
      <c r="NIC154" s="72"/>
      <c r="NID154" s="72"/>
      <c r="NIE154" s="72"/>
      <c r="NIF154" s="72"/>
      <c r="NIG154" s="72"/>
      <c r="NIH154" s="72"/>
      <c r="NII154" s="72"/>
      <c r="NIJ154" s="72"/>
      <c r="NIK154" s="72"/>
      <c r="NIL154" s="72"/>
      <c r="NIM154" s="72"/>
      <c r="NIN154" s="72"/>
      <c r="NIO154" s="72"/>
      <c r="NIP154" s="72"/>
      <c r="NIQ154" s="72"/>
      <c r="NIR154" s="72"/>
      <c r="NIS154" s="72"/>
      <c r="NIT154" s="72"/>
      <c r="NIU154" s="72"/>
      <c r="NIV154" s="72"/>
      <c r="NIW154" s="72"/>
      <c r="NIX154" s="72"/>
      <c r="NIY154" s="72"/>
      <c r="NIZ154" s="72"/>
      <c r="NJA154" s="72"/>
      <c r="NJB154" s="72"/>
      <c r="NJC154" s="72"/>
      <c r="NJD154" s="72"/>
      <c r="NJE154" s="72"/>
      <c r="NJF154" s="72"/>
      <c r="NJG154" s="72"/>
      <c r="NJH154" s="72"/>
      <c r="NJI154" s="72"/>
      <c r="NJJ154" s="72"/>
      <c r="NJK154" s="72"/>
      <c r="NJL154" s="72"/>
      <c r="NJM154" s="72"/>
      <c r="NJN154" s="72"/>
      <c r="NJO154" s="72"/>
      <c r="NJP154" s="72"/>
      <c r="NJQ154" s="72"/>
      <c r="NJR154" s="72"/>
      <c r="NJS154" s="72"/>
      <c r="NJT154" s="72"/>
      <c r="NJU154" s="72"/>
      <c r="NJV154" s="72"/>
      <c r="NJW154" s="72"/>
      <c r="NJX154" s="72"/>
      <c r="NJY154" s="72"/>
      <c r="NJZ154" s="72"/>
      <c r="NKA154" s="72"/>
      <c r="NKB154" s="72"/>
      <c r="NKC154" s="72"/>
      <c r="NKD154" s="72"/>
      <c r="NKE154" s="72"/>
      <c r="NKF154" s="72"/>
      <c r="NKG154" s="72"/>
      <c r="NKH154" s="72"/>
      <c r="NKI154" s="72"/>
      <c r="NKJ154" s="72"/>
      <c r="NKK154" s="72"/>
      <c r="NKL154" s="72"/>
      <c r="NKM154" s="72"/>
      <c r="NKN154" s="72"/>
      <c r="NKO154" s="72"/>
      <c r="NKP154" s="72"/>
      <c r="NKQ154" s="72"/>
      <c r="NKR154" s="72"/>
      <c r="NKS154" s="72"/>
      <c r="NKT154" s="72"/>
      <c r="NKU154" s="72"/>
      <c r="NKV154" s="72"/>
      <c r="NKW154" s="72"/>
      <c r="NKX154" s="72"/>
      <c r="NKY154" s="72"/>
      <c r="NKZ154" s="72"/>
      <c r="NLA154" s="72"/>
      <c r="NLB154" s="72"/>
      <c r="NLC154" s="72"/>
      <c r="NLD154" s="72"/>
      <c r="NLE154" s="72"/>
      <c r="NLF154" s="72"/>
      <c r="NLG154" s="72"/>
      <c r="NLH154" s="72"/>
      <c r="NLI154" s="72"/>
      <c r="NLJ154" s="72"/>
      <c r="NLK154" s="72"/>
      <c r="NLL154" s="72"/>
      <c r="NLM154" s="72"/>
      <c r="NLN154" s="72"/>
      <c r="NLO154" s="72"/>
      <c r="NLP154" s="72"/>
      <c r="NLQ154" s="72"/>
      <c r="NLR154" s="72"/>
      <c r="NLS154" s="72"/>
      <c r="NLT154" s="72"/>
      <c r="NLU154" s="72"/>
      <c r="NLV154" s="72"/>
      <c r="NLW154" s="72"/>
      <c r="NLX154" s="72"/>
      <c r="NLY154" s="72"/>
      <c r="NLZ154" s="72"/>
      <c r="NMA154" s="72"/>
      <c r="NMB154" s="72"/>
      <c r="NMC154" s="72"/>
      <c r="NMD154" s="72"/>
      <c r="NME154" s="72"/>
      <c r="NMF154" s="72"/>
      <c r="NMG154" s="72"/>
      <c r="NMH154" s="72"/>
      <c r="NMI154" s="72"/>
      <c r="NMJ154" s="72"/>
      <c r="NMK154" s="72"/>
      <c r="NML154" s="72"/>
      <c r="NMM154" s="72"/>
      <c r="NMN154" s="72"/>
      <c r="NMO154" s="72"/>
      <c r="NMP154" s="72"/>
      <c r="NMQ154" s="72"/>
      <c r="NMR154" s="72"/>
      <c r="NMS154" s="72"/>
      <c r="NMT154" s="72"/>
      <c r="NMU154" s="72"/>
      <c r="NMV154" s="72"/>
      <c r="NMW154" s="72"/>
      <c r="NMX154" s="72"/>
      <c r="NMY154" s="72"/>
      <c r="NMZ154" s="72"/>
      <c r="NNA154" s="72"/>
      <c r="NNB154" s="72"/>
      <c r="NNC154" s="72"/>
      <c r="NND154" s="72"/>
      <c r="NNE154" s="72"/>
      <c r="NNF154" s="72"/>
      <c r="NNG154" s="72"/>
      <c r="NNH154" s="72"/>
      <c r="NNI154" s="72"/>
      <c r="NNJ154" s="72"/>
      <c r="NNK154" s="72"/>
      <c r="NNL154" s="72"/>
      <c r="NNM154" s="72"/>
      <c r="NNN154" s="72"/>
      <c r="NNO154" s="72"/>
      <c r="NNP154" s="72"/>
      <c r="NNQ154" s="72"/>
      <c r="NNR154" s="72"/>
      <c r="NNS154" s="72"/>
      <c r="NNT154" s="72"/>
      <c r="NNU154" s="72"/>
      <c r="NNV154" s="72"/>
      <c r="NNW154" s="72"/>
      <c r="NNX154" s="72"/>
      <c r="NNY154" s="72"/>
      <c r="NNZ154" s="72"/>
      <c r="NOA154" s="72"/>
      <c r="NOB154" s="72"/>
      <c r="NOC154" s="72"/>
      <c r="NOD154" s="72"/>
      <c r="NOE154" s="72"/>
      <c r="NOF154" s="72"/>
      <c r="NOG154" s="72"/>
      <c r="NOH154" s="72"/>
      <c r="NOI154" s="72"/>
      <c r="NOJ154" s="72"/>
      <c r="NOK154" s="72"/>
      <c r="NOL154" s="72"/>
      <c r="NOM154" s="72"/>
      <c r="NON154" s="72"/>
      <c r="NOO154" s="72"/>
      <c r="NOP154" s="72"/>
      <c r="NOQ154" s="72"/>
      <c r="NOR154" s="72"/>
      <c r="NOS154" s="72"/>
      <c r="NOT154" s="72"/>
      <c r="NOU154" s="72"/>
      <c r="NOV154" s="72"/>
      <c r="NOW154" s="72"/>
      <c r="NOX154" s="72"/>
      <c r="NOY154" s="72"/>
      <c r="NOZ154" s="72"/>
      <c r="NPA154" s="72"/>
      <c r="NPB154" s="72"/>
      <c r="NPC154" s="72"/>
      <c r="NPD154" s="72"/>
      <c r="NPE154" s="72"/>
      <c r="NPF154" s="72"/>
      <c r="NPG154" s="72"/>
      <c r="NPH154" s="72"/>
      <c r="NPI154" s="72"/>
      <c r="NPJ154" s="72"/>
      <c r="NPK154" s="72"/>
      <c r="NPL154" s="72"/>
      <c r="NPM154" s="72"/>
      <c r="NPN154" s="72"/>
      <c r="NPO154" s="72"/>
      <c r="NPP154" s="72"/>
      <c r="NPQ154" s="72"/>
      <c r="NPR154" s="72"/>
      <c r="NPS154" s="72"/>
      <c r="NPT154" s="72"/>
      <c r="NPU154" s="72"/>
      <c r="NPV154" s="72"/>
      <c r="NPW154" s="72"/>
      <c r="NPX154" s="72"/>
      <c r="NPY154" s="72"/>
      <c r="NPZ154" s="72"/>
      <c r="NQA154" s="72"/>
      <c r="NQB154" s="72"/>
      <c r="NQC154" s="72"/>
      <c r="NQD154" s="72"/>
      <c r="NQE154" s="72"/>
      <c r="NQF154" s="72"/>
      <c r="NQG154" s="72"/>
      <c r="NQH154" s="72"/>
      <c r="NQI154" s="72"/>
      <c r="NQJ154" s="72"/>
      <c r="NQK154" s="72"/>
      <c r="NQL154" s="72"/>
      <c r="NQM154" s="72"/>
      <c r="NQN154" s="72"/>
      <c r="NQO154" s="72"/>
      <c r="NQP154" s="72"/>
      <c r="NQQ154" s="72"/>
      <c r="NQR154" s="72"/>
      <c r="NQS154" s="72"/>
      <c r="NQT154" s="72"/>
      <c r="NQU154" s="72"/>
      <c r="NQV154" s="72"/>
      <c r="NQW154" s="72"/>
      <c r="NQX154" s="72"/>
      <c r="NQY154" s="72"/>
      <c r="NQZ154" s="72"/>
      <c r="NRA154" s="72"/>
      <c r="NRB154" s="72"/>
      <c r="NRC154" s="72"/>
      <c r="NRD154" s="72"/>
      <c r="NRE154" s="72"/>
      <c r="NRF154" s="72"/>
      <c r="NRG154" s="72"/>
      <c r="NRH154" s="72"/>
      <c r="NRI154" s="72"/>
      <c r="NRJ154" s="72"/>
      <c r="NRK154" s="72"/>
      <c r="NRL154" s="72"/>
      <c r="NRM154" s="72"/>
      <c r="NRN154" s="72"/>
      <c r="NRO154" s="72"/>
      <c r="NRP154" s="72"/>
      <c r="NRQ154" s="72"/>
      <c r="NRR154" s="72"/>
      <c r="NRS154" s="72"/>
      <c r="NRT154" s="72"/>
      <c r="NRU154" s="72"/>
      <c r="NRV154" s="72"/>
      <c r="NRW154" s="72"/>
      <c r="NRX154" s="72"/>
      <c r="NRY154" s="72"/>
      <c r="NRZ154" s="72"/>
      <c r="NSA154" s="72"/>
      <c r="NSB154" s="72"/>
      <c r="NSC154" s="72"/>
      <c r="NSD154" s="72"/>
      <c r="NSE154" s="72"/>
      <c r="NSF154" s="72"/>
      <c r="NSG154" s="72"/>
      <c r="NSH154" s="72"/>
      <c r="NSI154" s="72"/>
      <c r="NSJ154" s="72"/>
      <c r="NSK154" s="72"/>
      <c r="NSL154" s="72"/>
      <c r="NSM154" s="72"/>
      <c r="NSN154" s="72"/>
      <c r="NSO154" s="72"/>
      <c r="NSP154" s="72"/>
      <c r="NSQ154" s="72"/>
      <c r="NSR154" s="72"/>
      <c r="NSS154" s="72"/>
      <c r="NST154" s="72"/>
      <c r="NSU154" s="72"/>
      <c r="NSV154" s="72"/>
      <c r="NSW154" s="72"/>
      <c r="NSX154" s="72"/>
      <c r="NSY154" s="72"/>
      <c r="NSZ154" s="72"/>
      <c r="NTA154" s="72"/>
      <c r="NTB154" s="72"/>
      <c r="NTC154" s="72"/>
      <c r="NTD154" s="72"/>
      <c r="NTE154" s="72"/>
      <c r="NTF154" s="72"/>
      <c r="NTG154" s="72"/>
      <c r="NTH154" s="72"/>
      <c r="NTI154" s="72"/>
      <c r="NTJ154" s="72"/>
      <c r="NTK154" s="72"/>
      <c r="NTL154" s="72"/>
      <c r="NTM154" s="72"/>
      <c r="NTN154" s="72"/>
      <c r="NTO154" s="72"/>
      <c r="NTP154" s="72"/>
      <c r="NTQ154" s="72"/>
      <c r="NTR154" s="72"/>
      <c r="NTS154" s="72"/>
      <c r="NTT154" s="72"/>
      <c r="NTU154" s="72"/>
      <c r="NTV154" s="72"/>
      <c r="NTW154" s="72"/>
      <c r="NTX154" s="72"/>
      <c r="NTY154" s="72"/>
      <c r="NTZ154" s="72"/>
      <c r="NUA154" s="72"/>
      <c r="NUB154" s="72"/>
      <c r="NUC154" s="72"/>
      <c r="NUD154" s="72"/>
      <c r="NUE154" s="72"/>
      <c r="NUF154" s="72"/>
      <c r="NUG154" s="72"/>
      <c r="NUH154" s="72"/>
      <c r="NUI154" s="72"/>
      <c r="NUJ154" s="72"/>
      <c r="NUK154" s="72"/>
      <c r="NUL154" s="72"/>
      <c r="NUM154" s="72"/>
      <c r="NUN154" s="72"/>
      <c r="NUO154" s="72"/>
      <c r="NUP154" s="72"/>
      <c r="NUQ154" s="72"/>
      <c r="NUR154" s="72"/>
      <c r="NUS154" s="72"/>
      <c r="NUT154" s="72"/>
      <c r="NUU154" s="72"/>
      <c r="NUV154" s="72"/>
      <c r="NUW154" s="72"/>
      <c r="NUX154" s="72"/>
      <c r="NUY154" s="72"/>
      <c r="NUZ154" s="72"/>
      <c r="NVA154" s="72"/>
      <c r="NVB154" s="72"/>
      <c r="NVC154" s="72"/>
      <c r="NVD154" s="72"/>
      <c r="NVE154" s="72"/>
      <c r="NVF154" s="72"/>
      <c r="NVG154" s="72"/>
      <c r="NVH154" s="72"/>
      <c r="NVI154" s="72"/>
      <c r="NVJ154" s="72"/>
      <c r="NVK154" s="72"/>
      <c r="NVL154" s="72"/>
      <c r="NVM154" s="72"/>
      <c r="NVN154" s="72"/>
      <c r="NVO154" s="72"/>
      <c r="NVP154" s="72"/>
      <c r="NVQ154" s="72"/>
      <c r="NVR154" s="72"/>
      <c r="NVS154" s="72"/>
      <c r="NVT154" s="72"/>
      <c r="NVU154" s="72"/>
      <c r="NVV154" s="72"/>
      <c r="NVW154" s="72"/>
      <c r="NVX154" s="72"/>
      <c r="NVY154" s="72"/>
      <c r="NVZ154" s="72"/>
      <c r="NWA154" s="72"/>
      <c r="NWB154" s="72"/>
      <c r="NWC154" s="72"/>
      <c r="NWD154" s="72"/>
      <c r="NWE154" s="72"/>
      <c r="NWF154" s="72"/>
      <c r="NWG154" s="72"/>
      <c r="NWH154" s="72"/>
      <c r="NWI154" s="72"/>
      <c r="NWJ154" s="72"/>
      <c r="NWK154" s="72"/>
      <c r="NWL154" s="72"/>
      <c r="NWM154" s="72"/>
      <c r="NWN154" s="72"/>
      <c r="NWO154" s="72"/>
      <c r="NWP154" s="72"/>
      <c r="NWQ154" s="72"/>
      <c r="NWR154" s="72"/>
      <c r="NWS154" s="72"/>
      <c r="NWT154" s="72"/>
      <c r="NWU154" s="72"/>
      <c r="NWV154" s="72"/>
      <c r="NWW154" s="72"/>
      <c r="NWX154" s="72"/>
      <c r="NWY154" s="72"/>
      <c r="NWZ154" s="72"/>
      <c r="NXA154" s="72"/>
      <c r="NXB154" s="72"/>
      <c r="NXC154" s="72"/>
      <c r="NXD154" s="72"/>
      <c r="NXE154" s="72"/>
      <c r="NXF154" s="72"/>
      <c r="NXG154" s="72"/>
      <c r="NXH154" s="72"/>
      <c r="NXI154" s="72"/>
      <c r="NXJ154" s="72"/>
      <c r="NXK154" s="72"/>
      <c r="NXL154" s="72"/>
      <c r="NXM154" s="72"/>
      <c r="NXN154" s="72"/>
      <c r="NXO154" s="72"/>
      <c r="NXP154" s="72"/>
      <c r="NXQ154" s="72"/>
      <c r="NXR154" s="72"/>
      <c r="NXS154" s="72"/>
      <c r="NXT154" s="72"/>
      <c r="NXU154" s="72"/>
      <c r="NXV154" s="72"/>
      <c r="NXW154" s="72"/>
      <c r="NXX154" s="72"/>
      <c r="NXY154" s="72"/>
      <c r="NXZ154" s="72"/>
      <c r="NYA154" s="72"/>
      <c r="NYB154" s="72"/>
      <c r="NYC154" s="72"/>
      <c r="NYD154" s="72"/>
      <c r="NYE154" s="72"/>
      <c r="NYF154" s="72"/>
      <c r="NYG154" s="72"/>
      <c r="NYH154" s="72"/>
      <c r="NYI154" s="72"/>
      <c r="NYJ154" s="72"/>
      <c r="NYK154" s="72"/>
      <c r="NYL154" s="72"/>
      <c r="NYM154" s="72"/>
      <c r="NYN154" s="72"/>
      <c r="NYO154" s="72"/>
      <c r="NYP154" s="72"/>
      <c r="NYQ154" s="72"/>
      <c r="NYR154" s="72"/>
      <c r="NYS154" s="72"/>
      <c r="NYT154" s="72"/>
      <c r="NYU154" s="72"/>
      <c r="NYV154" s="72"/>
      <c r="NYW154" s="72"/>
      <c r="NYX154" s="72"/>
      <c r="NYY154" s="72"/>
      <c r="NYZ154" s="72"/>
      <c r="NZA154" s="72"/>
      <c r="NZB154" s="72"/>
      <c r="NZC154" s="72"/>
      <c r="NZD154" s="72"/>
      <c r="NZE154" s="72"/>
      <c r="NZF154" s="72"/>
      <c r="NZG154" s="72"/>
      <c r="NZH154" s="72"/>
      <c r="NZI154" s="72"/>
      <c r="NZJ154" s="72"/>
      <c r="NZK154" s="72"/>
      <c r="NZL154" s="72"/>
      <c r="NZM154" s="72"/>
      <c r="NZN154" s="72"/>
      <c r="NZO154" s="72"/>
      <c r="NZP154" s="72"/>
      <c r="NZQ154" s="72"/>
      <c r="NZR154" s="72"/>
      <c r="NZS154" s="72"/>
      <c r="NZT154" s="72"/>
      <c r="NZU154" s="72"/>
      <c r="NZV154" s="72"/>
      <c r="NZW154" s="72"/>
      <c r="NZX154" s="72"/>
      <c r="NZY154" s="72"/>
      <c r="NZZ154" s="72"/>
      <c r="OAA154" s="72"/>
      <c r="OAB154" s="72"/>
      <c r="OAC154" s="72"/>
      <c r="OAD154" s="72"/>
      <c r="OAE154" s="72"/>
      <c r="OAF154" s="72"/>
      <c r="OAG154" s="72"/>
      <c r="OAH154" s="72"/>
      <c r="OAI154" s="72"/>
      <c r="OAJ154" s="72"/>
      <c r="OAK154" s="72"/>
      <c r="OAL154" s="72"/>
      <c r="OAM154" s="72"/>
      <c r="OAN154" s="72"/>
      <c r="OAO154" s="72"/>
      <c r="OAP154" s="72"/>
      <c r="OAQ154" s="72"/>
      <c r="OAR154" s="72"/>
      <c r="OAS154" s="72"/>
      <c r="OAT154" s="72"/>
      <c r="OAU154" s="72"/>
      <c r="OAV154" s="72"/>
      <c r="OAW154" s="72"/>
      <c r="OAX154" s="72"/>
      <c r="OAY154" s="72"/>
      <c r="OAZ154" s="72"/>
      <c r="OBA154" s="72"/>
      <c r="OBB154" s="72"/>
      <c r="OBC154" s="72"/>
      <c r="OBD154" s="72"/>
      <c r="OBE154" s="72"/>
      <c r="OBF154" s="72"/>
      <c r="OBG154" s="72"/>
      <c r="OBH154" s="72"/>
      <c r="OBI154" s="72"/>
      <c r="OBJ154" s="72"/>
      <c r="OBK154" s="72"/>
      <c r="OBL154" s="72"/>
      <c r="OBM154" s="72"/>
      <c r="OBN154" s="72"/>
      <c r="OBO154" s="72"/>
      <c r="OBP154" s="72"/>
      <c r="OBQ154" s="72"/>
      <c r="OBR154" s="72"/>
      <c r="OBS154" s="72"/>
      <c r="OBT154" s="72"/>
      <c r="OBU154" s="72"/>
      <c r="OBV154" s="72"/>
      <c r="OBW154" s="72"/>
      <c r="OBX154" s="72"/>
      <c r="OBY154" s="72"/>
      <c r="OBZ154" s="72"/>
      <c r="OCA154" s="72"/>
      <c r="OCB154" s="72"/>
      <c r="OCC154" s="72"/>
      <c r="OCD154" s="72"/>
      <c r="OCE154" s="72"/>
      <c r="OCF154" s="72"/>
      <c r="OCG154" s="72"/>
      <c r="OCH154" s="72"/>
      <c r="OCI154" s="72"/>
      <c r="OCJ154" s="72"/>
      <c r="OCK154" s="72"/>
      <c r="OCL154" s="72"/>
      <c r="OCM154" s="72"/>
      <c r="OCN154" s="72"/>
      <c r="OCO154" s="72"/>
      <c r="OCP154" s="72"/>
      <c r="OCQ154" s="72"/>
      <c r="OCR154" s="72"/>
      <c r="OCS154" s="72"/>
      <c r="OCT154" s="72"/>
      <c r="OCU154" s="72"/>
      <c r="OCV154" s="72"/>
      <c r="OCW154" s="72"/>
      <c r="OCX154" s="72"/>
      <c r="OCY154" s="72"/>
      <c r="OCZ154" s="72"/>
      <c r="ODA154" s="72"/>
      <c r="ODB154" s="72"/>
      <c r="ODC154" s="72"/>
      <c r="ODD154" s="72"/>
      <c r="ODE154" s="72"/>
      <c r="ODF154" s="72"/>
      <c r="ODG154" s="72"/>
      <c r="ODH154" s="72"/>
      <c r="ODI154" s="72"/>
      <c r="ODJ154" s="72"/>
      <c r="ODK154" s="72"/>
      <c r="ODL154" s="72"/>
      <c r="ODM154" s="72"/>
      <c r="ODN154" s="72"/>
      <c r="ODO154" s="72"/>
      <c r="ODP154" s="72"/>
      <c r="ODQ154" s="72"/>
      <c r="ODR154" s="72"/>
      <c r="ODS154" s="72"/>
      <c r="ODT154" s="72"/>
      <c r="ODU154" s="72"/>
      <c r="ODV154" s="72"/>
      <c r="ODW154" s="72"/>
      <c r="ODX154" s="72"/>
      <c r="ODY154" s="72"/>
      <c r="ODZ154" s="72"/>
      <c r="OEA154" s="72"/>
      <c r="OEB154" s="72"/>
      <c r="OEC154" s="72"/>
      <c r="OED154" s="72"/>
      <c r="OEE154" s="72"/>
      <c r="OEF154" s="72"/>
      <c r="OEG154" s="72"/>
      <c r="OEH154" s="72"/>
      <c r="OEI154" s="72"/>
      <c r="OEJ154" s="72"/>
      <c r="OEK154" s="72"/>
      <c r="OEL154" s="72"/>
      <c r="OEM154" s="72"/>
      <c r="OEN154" s="72"/>
      <c r="OEO154" s="72"/>
      <c r="OEP154" s="72"/>
      <c r="OEQ154" s="72"/>
      <c r="OER154" s="72"/>
      <c r="OES154" s="72"/>
      <c r="OET154" s="72"/>
      <c r="OEU154" s="72"/>
      <c r="OEV154" s="72"/>
      <c r="OEW154" s="72"/>
      <c r="OEX154" s="72"/>
      <c r="OEY154" s="72"/>
      <c r="OEZ154" s="72"/>
      <c r="OFA154" s="72"/>
      <c r="OFB154" s="72"/>
      <c r="OFC154" s="72"/>
      <c r="OFD154" s="72"/>
      <c r="OFE154" s="72"/>
      <c r="OFF154" s="72"/>
      <c r="OFG154" s="72"/>
      <c r="OFH154" s="72"/>
      <c r="OFI154" s="72"/>
      <c r="OFJ154" s="72"/>
      <c r="OFK154" s="72"/>
      <c r="OFL154" s="72"/>
      <c r="OFM154" s="72"/>
      <c r="OFN154" s="72"/>
      <c r="OFO154" s="72"/>
      <c r="OFP154" s="72"/>
      <c r="OFQ154" s="72"/>
      <c r="OFR154" s="72"/>
      <c r="OFS154" s="72"/>
      <c r="OFT154" s="72"/>
      <c r="OFU154" s="72"/>
      <c r="OFV154" s="72"/>
      <c r="OFW154" s="72"/>
      <c r="OFX154" s="72"/>
      <c r="OFY154" s="72"/>
      <c r="OFZ154" s="72"/>
      <c r="OGA154" s="72"/>
      <c r="OGB154" s="72"/>
      <c r="OGC154" s="72"/>
      <c r="OGD154" s="72"/>
      <c r="OGE154" s="72"/>
      <c r="OGF154" s="72"/>
      <c r="OGG154" s="72"/>
      <c r="OGH154" s="72"/>
      <c r="OGI154" s="72"/>
      <c r="OGJ154" s="72"/>
      <c r="OGK154" s="72"/>
      <c r="OGL154" s="72"/>
      <c r="OGM154" s="72"/>
      <c r="OGN154" s="72"/>
      <c r="OGO154" s="72"/>
      <c r="OGP154" s="72"/>
      <c r="OGQ154" s="72"/>
      <c r="OGR154" s="72"/>
      <c r="OGS154" s="72"/>
      <c r="OGT154" s="72"/>
      <c r="OGU154" s="72"/>
      <c r="OGV154" s="72"/>
      <c r="OGW154" s="72"/>
      <c r="OGX154" s="72"/>
      <c r="OGY154" s="72"/>
      <c r="OGZ154" s="72"/>
      <c r="OHA154" s="72"/>
      <c r="OHB154" s="72"/>
      <c r="OHC154" s="72"/>
      <c r="OHD154" s="72"/>
      <c r="OHE154" s="72"/>
      <c r="OHF154" s="72"/>
      <c r="OHG154" s="72"/>
      <c r="OHH154" s="72"/>
      <c r="OHI154" s="72"/>
      <c r="OHJ154" s="72"/>
      <c r="OHK154" s="72"/>
      <c r="OHL154" s="72"/>
      <c r="OHM154" s="72"/>
      <c r="OHN154" s="72"/>
      <c r="OHO154" s="72"/>
      <c r="OHP154" s="72"/>
      <c r="OHQ154" s="72"/>
      <c r="OHR154" s="72"/>
      <c r="OHS154" s="72"/>
      <c r="OHT154" s="72"/>
      <c r="OHU154" s="72"/>
      <c r="OHV154" s="72"/>
      <c r="OHW154" s="72"/>
      <c r="OHX154" s="72"/>
      <c r="OHY154" s="72"/>
      <c r="OHZ154" s="72"/>
      <c r="OIA154" s="72"/>
      <c r="OIB154" s="72"/>
      <c r="OIC154" s="72"/>
      <c r="OID154" s="72"/>
      <c r="OIE154" s="72"/>
      <c r="OIF154" s="72"/>
      <c r="OIG154" s="72"/>
      <c r="OIH154" s="72"/>
      <c r="OII154" s="72"/>
      <c r="OIJ154" s="72"/>
      <c r="OIK154" s="72"/>
      <c r="OIL154" s="72"/>
      <c r="OIM154" s="72"/>
      <c r="OIN154" s="72"/>
      <c r="OIO154" s="72"/>
      <c r="OIP154" s="72"/>
      <c r="OIQ154" s="72"/>
      <c r="OIR154" s="72"/>
      <c r="OIS154" s="72"/>
      <c r="OIT154" s="72"/>
      <c r="OIU154" s="72"/>
      <c r="OIV154" s="72"/>
      <c r="OIW154" s="72"/>
      <c r="OIX154" s="72"/>
      <c r="OIY154" s="72"/>
      <c r="OIZ154" s="72"/>
      <c r="OJA154" s="72"/>
      <c r="OJB154" s="72"/>
      <c r="OJC154" s="72"/>
      <c r="OJD154" s="72"/>
      <c r="OJE154" s="72"/>
      <c r="OJF154" s="72"/>
      <c r="OJG154" s="72"/>
      <c r="OJH154" s="72"/>
      <c r="OJI154" s="72"/>
      <c r="OJJ154" s="72"/>
      <c r="OJK154" s="72"/>
      <c r="OJL154" s="72"/>
      <c r="OJM154" s="72"/>
      <c r="OJN154" s="72"/>
      <c r="OJO154" s="72"/>
      <c r="OJP154" s="72"/>
      <c r="OJQ154" s="72"/>
      <c r="OJR154" s="72"/>
      <c r="OJS154" s="72"/>
      <c r="OJT154" s="72"/>
      <c r="OJU154" s="72"/>
      <c r="OJV154" s="72"/>
      <c r="OJW154" s="72"/>
      <c r="OJX154" s="72"/>
      <c r="OJY154" s="72"/>
      <c r="OJZ154" s="72"/>
      <c r="OKA154" s="72"/>
      <c r="OKB154" s="72"/>
      <c r="OKC154" s="72"/>
      <c r="OKD154" s="72"/>
      <c r="OKE154" s="72"/>
      <c r="OKF154" s="72"/>
      <c r="OKG154" s="72"/>
      <c r="OKH154" s="72"/>
      <c r="OKI154" s="72"/>
      <c r="OKJ154" s="72"/>
      <c r="OKK154" s="72"/>
      <c r="OKL154" s="72"/>
      <c r="OKM154" s="72"/>
      <c r="OKN154" s="72"/>
      <c r="OKO154" s="72"/>
      <c r="OKP154" s="72"/>
      <c r="OKQ154" s="72"/>
      <c r="OKR154" s="72"/>
      <c r="OKS154" s="72"/>
      <c r="OKT154" s="72"/>
      <c r="OKU154" s="72"/>
      <c r="OKV154" s="72"/>
      <c r="OKW154" s="72"/>
      <c r="OKX154" s="72"/>
      <c r="OKY154" s="72"/>
      <c r="OKZ154" s="72"/>
      <c r="OLA154" s="72"/>
      <c r="OLB154" s="72"/>
      <c r="OLC154" s="72"/>
      <c r="OLD154" s="72"/>
      <c r="OLE154" s="72"/>
      <c r="OLF154" s="72"/>
      <c r="OLG154" s="72"/>
      <c r="OLH154" s="72"/>
      <c r="OLI154" s="72"/>
      <c r="OLJ154" s="72"/>
      <c r="OLK154" s="72"/>
      <c r="OLL154" s="72"/>
      <c r="OLM154" s="72"/>
      <c r="OLN154" s="72"/>
      <c r="OLO154" s="72"/>
      <c r="OLP154" s="72"/>
      <c r="OLQ154" s="72"/>
      <c r="OLR154" s="72"/>
      <c r="OLS154" s="72"/>
      <c r="OLT154" s="72"/>
      <c r="OLU154" s="72"/>
      <c r="OLV154" s="72"/>
      <c r="OLW154" s="72"/>
      <c r="OLX154" s="72"/>
      <c r="OLY154" s="72"/>
      <c r="OLZ154" s="72"/>
      <c r="OMA154" s="72"/>
      <c r="OMB154" s="72"/>
      <c r="OMC154" s="72"/>
      <c r="OMD154" s="72"/>
      <c r="OME154" s="72"/>
      <c r="OMF154" s="72"/>
      <c r="OMG154" s="72"/>
      <c r="OMH154" s="72"/>
      <c r="OMI154" s="72"/>
      <c r="OMJ154" s="72"/>
      <c r="OMK154" s="72"/>
      <c r="OML154" s="72"/>
      <c r="OMM154" s="72"/>
      <c r="OMN154" s="72"/>
      <c r="OMO154" s="72"/>
      <c r="OMP154" s="72"/>
      <c r="OMQ154" s="72"/>
      <c r="OMR154" s="72"/>
      <c r="OMS154" s="72"/>
      <c r="OMT154" s="72"/>
      <c r="OMU154" s="72"/>
      <c r="OMV154" s="72"/>
      <c r="OMW154" s="72"/>
      <c r="OMX154" s="72"/>
      <c r="OMY154" s="72"/>
      <c r="OMZ154" s="72"/>
      <c r="ONA154" s="72"/>
      <c r="ONB154" s="72"/>
      <c r="ONC154" s="72"/>
      <c r="OND154" s="72"/>
      <c r="ONE154" s="72"/>
      <c r="ONF154" s="72"/>
      <c r="ONG154" s="72"/>
      <c r="ONH154" s="72"/>
      <c r="ONI154" s="72"/>
      <c r="ONJ154" s="72"/>
      <c r="ONK154" s="72"/>
      <c r="ONL154" s="72"/>
      <c r="ONM154" s="72"/>
      <c r="ONN154" s="72"/>
      <c r="ONO154" s="72"/>
      <c r="ONP154" s="72"/>
      <c r="ONQ154" s="72"/>
      <c r="ONR154" s="72"/>
      <c r="ONS154" s="72"/>
      <c r="ONT154" s="72"/>
      <c r="ONU154" s="72"/>
      <c r="ONV154" s="72"/>
      <c r="ONW154" s="72"/>
      <c r="ONX154" s="72"/>
      <c r="ONY154" s="72"/>
      <c r="ONZ154" s="72"/>
      <c r="OOA154" s="72"/>
      <c r="OOB154" s="72"/>
      <c r="OOC154" s="72"/>
      <c r="OOD154" s="72"/>
      <c r="OOE154" s="72"/>
      <c r="OOF154" s="72"/>
      <c r="OOG154" s="72"/>
      <c r="OOH154" s="72"/>
      <c r="OOI154" s="72"/>
      <c r="OOJ154" s="72"/>
      <c r="OOK154" s="72"/>
      <c r="OOL154" s="72"/>
      <c r="OOM154" s="72"/>
      <c r="OON154" s="72"/>
      <c r="OOO154" s="72"/>
      <c r="OOP154" s="72"/>
      <c r="OOQ154" s="72"/>
      <c r="OOR154" s="72"/>
      <c r="OOS154" s="72"/>
      <c r="OOT154" s="72"/>
      <c r="OOU154" s="72"/>
      <c r="OOV154" s="72"/>
      <c r="OOW154" s="72"/>
      <c r="OOX154" s="72"/>
      <c r="OOY154" s="72"/>
      <c r="OOZ154" s="72"/>
      <c r="OPA154" s="72"/>
      <c r="OPB154" s="72"/>
      <c r="OPC154" s="72"/>
      <c r="OPD154" s="72"/>
      <c r="OPE154" s="72"/>
      <c r="OPF154" s="72"/>
      <c r="OPG154" s="72"/>
      <c r="OPH154" s="72"/>
      <c r="OPI154" s="72"/>
      <c r="OPJ154" s="72"/>
      <c r="OPK154" s="72"/>
      <c r="OPL154" s="72"/>
      <c r="OPM154" s="72"/>
      <c r="OPN154" s="72"/>
      <c r="OPO154" s="72"/>
      <c r="OPP154" s="72"/>
      <c r="OPQ154" s="72"/>
      <c r="OPR154" s="72"/>
      <c r="OPS154" s="72"/>
      <c r="OPT154" s="72"/>
      <c r="OPU154" s="72"/>
      <c r="OPV154" s="72"/>
      <c r="OPW154" s="72"/>
      <c r="OPX154" s="72"/>
      <c r="OPY154" s="72"/>
      <c r="OPZ154" s="72"/>
      <c r="OQA154" s="72"/>
      <c r="OQB154" s="72"/>
      <c r="OQC154" s="72"/>
      <c r="OQD154" s="72"/>
      <c r="OQE154" s="72"/>
      <c r="OQF154" s="72"/>
      <c r="OQG154" s="72"/>
      <c r="OQH154" s="72"/>
      <c r="OQI154" s="72"/>
      <c r="OQJ154" s="72"/>
      <c r="OQK154" s="72"/>
      <c r="OQL154" s="72"/>
      <c r="OQM154" s="72"/>
      <c r="OQN154" s="72"/>
      <c r="OQO154" s="72"/>
      <c r="OQP154" s="72"/>
      <c r="OQQ154" s="72"/>
      <c r="OQR154" s="72"/>
      <c r="OQS154" s="72"/>
      <c r="OQT154" s="72"/>
      <c r="OQU154" s="72"/>
      <c r="OQV154" s="72"/>
      <c r="OQW154" s="72"/>
      <c r="OQX154" s="72"/>
      <c r="OQY154" s="72"/>
      <c r="OQZ154" s="72"/>
      <c r="ORA154" s="72"/>
      <c r="ORB154" s="72"/>
      <c r="ORC154" s="72"/>
      <c r="ORD154" s="72"/>
      <c r="ORE154" s="72"/>
      <c r="ORF154" s="72"/>
      <c r="ORG154" s="72"/>
      <c r="ORH154" s="72"/>
      <c r="ORI154" s="72"/>
      <c r="ORJ154" s="72"/>
      <c r="ORK154" s="72"/>
      <c r="ORL154" s="72"/>
      <c r="ORM154" s="72"/>
      <c r="ORN154" s="72"/>
      <c r="ORO154" s="72"/>
      <c r="ORP154" s="72"/>
      <c r="ORQ154" s="72"/>
      <c r="ORR154" s="72"/>
      <c r="ORS154" s="72"/>
      <c r="ORT154" s="72"/>
      <c r="ORU154" s="72"/>
      <c r="ORV154" s="72"/>
      <c r="ORW154" s="72"/>
      <c r="ORX154" s="72"/>
      <c r="ORY154" s="72"/>
      <c r="ORZ154" s="72"/>
      <c r="OSA154" s="72"/>
      <c r="OSB154" s="72"/>
      <c r="OSC154" s="72"/>
      <c r="OSD154" s="72"/>
      <c r="OSE154" s="72"/>
      <c r="OSF154" s="72"/>
      <c r="OSG154" s="72"/>
      <c r="OSH154" s="72"/>
      <c r="OSI154" s="72"/>
      <c r="OSJ154" s="72"/>
      <c r="OSK154" s="72"/>
      <c r="OSL154" s="72"/>
      <c r="OSM154" s="72"/>
      <c r="OSN154" s="72"/>
      <c r="OSO154" s="72"/>
      <c r="OSP154" s="72"/>
      <c r="OSQ154" s="72"/>
      <c r="OSR154" s="72"/>
      <c r="OSS154" s="72"/>
      <c r="OST154" s="72"/>
      <c r="OSU154" s="72"/>
      <c r="OSV154" s="72"/>
      <c r="OSW154" s="72"/>
      <c r="OSX154" s="72"/>
      <c r="OSY154" s="72"/>
      <c r="OSZ154" s="72"/>
      <c r="OTA154" s="72"/>
      <c r="OTB154" s="72"/>
      <c r="OTC154" s="72"/>
      <c r="OTD154" s="72"/>
      <c r="OTE154" s="72"/>
      <c r="OTF154" s="72"/>
      <c r="OTG154" s="72"/>
      <c r="OTH154" s="72"/>
      <c r="OTI154" s="72"/>
      <c r="OTJ154" s="72"/>
      <c r="OTK154" s="72"/>
      <c r="OTL154" s="72"/>
      <c r="OTM154" s="72"/>
      <c r="OTN154" s="72"/>
      <c r="OTO154" s="72"/>
      <c r="OTP154" s="72"/>
      <c r="OTQ154" s="72"/>
      <c r="OTR154" s="72"/>
      <c r="OTS154" s="72"/>
      <c r="OTT154" s="72"/>
      <c r="OTU154" s="72"/>
      <c r="OTV154" s="72"/>
      <c r="OTW154" s="72"/>
      <c r="OTX154" s="72"/>
      <c r="OTY154" s="72"/>
      <c r="OTZ154" s="72"/>
      <c r="OUA154" s="72"/>
      <c r="OUB154" s="72"/>
      <c r="OUC154" s="72"/>
      <c r="OUD154" s="72"/>
      <c r="OUE154" s="72"/>
      <c r="OUF154" s="72"/>
      <c r="OUG154" s="72"/>
      <c r="OUH154" s="72"/>
      <c r="OUI154" s="72"/>
      <c r="OUJ154" s="72"/>
      <c r="OUK154" s="72"/>
      <c r="OUL154" s="72"/>
      <c r="OUM154" s="72"/>
      <c r="OUN154" s="72"/>
      <c r="OUO154" s="72"/>
      <c r="OUP154" s="72"/>
      <c r="OUQ154" s="72"/>
      <c r="OUR154" s="72"/>
      <c r="OUS154" s="72"/>
      <c r="OUT154" s="72"/>
      <c r="OUU154" s="72"/>
      <c r="OUV154" s="72"/>
      <c r="OUW154" s="72"/>
      <c r="OUX154" s="72"/>
      <c r="OUY154" s="72"/>
      <c r="OUZ154" s="72"/>
      <c r="OVA154" s="72"/>
      <c r="OVB154" s="72"/>
      <c r="OVC154" s="72"/>
      <c r="OVD154" s="72"/>
      <c r="OVE154" s="72"/>
      <c r="OVF154" s="72"/>
      <c r="OVG154" s="72"/>
      <c r="OVH154" s="72"/>
      <c r="OVI154" s="72"/>
      <c r="OVJ154" s="72"/>
      <c r="OVK154" s="72"/>
      <c r="OVL154" s="72"/>
      <c r="OVM154" s="72"/>
      <c r="OVN154" s="72"/>
      <c r="OVO154" s="72"/>
      <c r="OVP154" s="72"/>
      <c r="OVQ154" s="72"/>
      <c r="OVR154" s="72"/>
      <c r="OVS154" s="72"/>
      <c r="OVT154" s="72"/>
      <c r="OVU154" s="72"/>
      <c r="OVV154" s="72"/>
      <c r="OVW154" s="72"/>
      <c r="OVX154" s="72"/>
      <c r="OVY154" s="72"/>
      <c r="OVZ154" s="72"/>
      <c r="OWA154" s="72"/>
      <c r="OWB154" s="72"/>
      <c r="OWC154" s="72"/>
      <c r="OWD154" s="72"/>
      <c r="OWE154" s="72"/>
      <c r="OWF154" s="72"/>
      <c r="OWG154" s="72"/>
      <c r="OWH154" s="72"/>
      <c r="OWI154" s="72"/>
      <c r="OWJ154" s="72"/>
      <c r="OWK154" s="72"/>
      <c r="OWL154" s="72"/>
      <c r="OWM154" s="72"/>
      <c r="OWN154" s="72"/>
      <c r="OWO154" s="72"/>
      <c r="OWP154" s="72"/>
      <c r="OWQ154" s="72"/>
      <c r="OWR154" s="72"/>
      <c r="OWS154" s="72"/>
      <c r="OWT154" s="72"/>
      <c r="OWU154" s="72"/>
      <c r="OWV154" s="72"/>
      <c r="OWW154" s="72"/>
      <c r="OWX154" s="72"/>
      <c r="OWY154" s="72"/>
      <c r="OWZ154" s="72"/>
      <c r="OXA154" s="72"/>
      <c r="OXB154" s="72"/>
      <c r="OXC154" s="72"/>
      <c r="OXD154" s="72"/>
      <c r="OXE154" s="72"/>
      <c r="OXF154" s="72"/>
      <c r="OXG154" s="72"/>
      <c r="OXH154" s="72"/>
      <c r="OXI154" s="72"/>
      <c r="OXJ154" s="72"/>
      <c r="OXK154" s="72"/>
      <c r="OXL154" s="72"/>
      <c r="OXM154" s="72"/>
      <c r="OXN154" s="72"/>
      <c r="OXO154" s="72"/>
      <c r="OXP154" s="72"/>
      <c r="OXQ154" s="72"/>
      <c r="OXR154" s="72"/>
      <c r="OXS154" s="72"/>
      <c r="OXT154" s="72"/>
      <c r="OXU154" s="72"/>
      <c r="OXV154" s="72"/>
      <c r="OXW154" s="72"/>
      <c r="OXX154" s="72"/>
      <c r="OXY154" s="72"/>
      <c r="OXZ154" s="72"/>
      <c r="OYA154" s="72"/>
      <c r="OYB154" s="72"/>
      <c r="OYC154" s="72"/>
      <c r="OYD154" s="72"/>
      <c r="OYE154" s="72"/>
      <c r="OYF154" s="72"/>
      <c r="OYG154" s="72"/>
      <c r="OYH154" s="72"/>
      <c r="OYI154" s="72"/>
      <c r="OYJ154" s="72"/>
      <c r="OYK154" s="72"/>
      <c r="OYL154" s="72"/>
      <c r="OYM154" s="72"/>
      <c r="OYN154" s="72"/>
      <c r="OYO154" s="72"/>
      <c r="OYP154" s="72"/>
      <c r="OYQ154" s="72"/>
      <c r="OYR154" s="72"/>
      <c r="OYS154" s="72"/>
      <c r="OYT154" s="72"/>
      <c r="OYU154" s="72"/>
      <c r="OYV154" s="72"/>
      <c r="OYW154" s="72"/>
      <c r="OYX154" s="72"/>
      <c r="OYY154" s="72"/>
      <c r="OYZ154" s="72"/>
      <c r="OZA154" s="72"/>
      <c r="OZB154" s="72"/>
      <c r="OZC154" s="72"/>
      <c r="OZD154" s="72"/>
      <c r="OZE154" s="72"/>
      <c r="OZF154" s="72"/>
      <c r="OZG154" s="72"/>
      <c r="OZH154" s="72"/>
      <c r="OZI154" s="72"/>
      <c r="OZJ154" s="72"/>
      <c r="OZK154" s="72"/>
      <c r="OZL154" s="72"/>
      <c r="OZM154" s="72"/>
      <c r="OZN154" s="72"/>
      <c r="OZO154" s="72"/>
      <c r="OZP154" s="72"/>
      <c r="OZQ154" s="72"/>
      <c r="OZR154" s="72"/>
      <c r="OZS154" s="72"/>
      <c r="OZT154" s="72"/>
      <c r="OZU154" s="72"/>
      <c r="OZV154" s="72"/>
      <c r="OZW154" s="72"/>
      <c r="OZX154" s="72"/>
      <c r="OZY154" s="72"/>
      <c r="OZZ154" s="72"/>
      <c r="PAA154" s="72"/>
      <c r="PAB154" s="72"/>
      <c r="PAC154" s="72"/>
      <c r="PAD154" s="72"/>
      <c r="PAE154" s="72"/>
      <c r="PAF154" s="72"/>
      <c r="PAG154" s="72"/>
      <c r="PAH154" s="72"/>
      <c r="PAI154" s="72"/>
      <c r="PAJ154" s="72"/>
      <c r="PAK154" s="72"/>
      <c r="PAL154" s="72"/>
      <c r="PAM154" s="72"/>
      <c r="PAN154" s="72"/>
      <c r="PAO154" s="72"/>
      <c r="PAP154" s="72"/>
      <c r="PAQ154" s="72"/>
      <c r="PAR154" s="72"/>
      <c r="PAS154" s="72"/>
      <c r="PAT154" s="72"/>
      <c r="PAU154" s="72"/>
      <c r="PAV154" s="72"/>
      <c r="PAW154" s="72"/>
      <c r="PAX154" s="72"/>
      <c r="PAY154" s="72"/>
      <c r="PAZ154" s="72"/>
      <c r="PBA154" s="72"/>
      <c r="PBB154" s="72"/>
      <c r="PBC154" s="72"/>
      <c r="PBD154" s="72"/>
      <c r="PBE154" s="72"/>
      <c r="PBF154" s="72"/>
      <c r="PBG154" s="72"/>
      <c r="PBH154" s="72"/>
      <c r="PBI154" s="72"/>
      <c r="PBJ154" s="72"/>
      <c r="PBK154" s="72"/>
      <c r="PBL154" s="72"/>
      <c r="PBM154" s="72"/>
      <c r="PBN154" s="72"/>
      <c r="PBO154" s="72"/>
      <c r="PBP154" s="72"/>
      <c r="PBQ154" s="72"/>
      <c r="PBR154" s="72"/>
      <c r="PBS154" s="72"/>
      <c r="PBT154" s="72"/>
      <c r="PBU154" s="72"/>
      <c r="PBV154" s="72"/>
      <c r="PBW154" s="72"/>
      <c r="PBX154" s="72"/>
      <c r="PBY154" s="72"/>
      <c r="PBZ154" s="72"/>
      <c r="PCA154" s="72"/>
      <c r="PCB154" s="72"/>
      <c r="PCC154" s="72"/>
      <c r="PCD154" s="72"/>
      <c r="PCE154" s="72"/>
      <c r="PCF154" s="72"/>
      <c r="PCG154" s="72"/>
      <c r="PCH154" s="72"/>
      <c r="PCI154" s="72"/>
      <c r="PCJ154" s="72"/>
      <c r="PCK154" s="72"/>
      <c r="PCL154" s="72"/>
      <c r="PCM154" s="72"/>
      <c r="PCN154" s="72"/>
      <c r="PCO154" s="72"/>
      <c r="PCP154" s="72"/>
      <c r="PCQ154" s="72"/>
      <c r="PCR154" s="72"/>
      <c r="PCS154" s="72"/>
      <c r="PCT154" s="72"/>
      <c r="PCU154" s="72"/>
      <c r="PCV154" s="72"/>
      <c r="PCW154" s="72"/>
      <c r="PCX154" s="72"/>
      <c r="PCY154" s="72"/>
      <c r="PCZ154" s="72"/>
      <c r="PDA154" s="72"/>
      <c r="PDB154" s="72"/>
      <c r="PDC154" s="72"/>
      <c r="PDD154" s="72"/>
      <c r="PDE154" s="72"/>
      <c r="PDF154" s="72"/>
      <c r="PDG154" s="72"/>
      <c r="PDH154" s="72"/>
      <c r="PDI154" s="72"/>
      <c r="PDJ154" s="72"/>
      <c r="PDK154" s="72"/>
      <c r="PDL154" s="72"/>
      <c r="PDM154" s="72"/>
      <c r="PDN154" s="72"/>
      <c r="PDO154" s="72"/>
      <c r="PDP154" s="72"/>
      <c r="PDQ154" s="72"/>
      <c r="PDR154" s="72"/>
      <c r="PDS154" s="72"/>
      <c r="PDT154" s="72"/>
      <c r="PDU154" s="72"/>
      <c r="PDV154" s="72"/>
      <c r="PDW154" s="72"/>
      <c r="PDX154" s="72"/>
      <c r="PDY154" s="72"/>
      <c r="PDZ154" s="72"/>
      <c r="PEA154" s="72"/>
      <c r="PEB154" s="72"/>
      <c r="PEC154" s="72"/>
      <c r="PED154" s="72"/>
      <c r="PEE154" s="72"/>
      <c r="PEF154" s="72"/>
      <c r="PEG154" s="72"/>
      <c r="PEH154" s="72"/>
      <c r="PEI154" s="72"/>
      <c r="PEJ154" s="72"/>
      <c r="PEK154" s="72"/>
      <c r="PEL154" s="72"/>
      <c r="PEM154" s="72"/>
      <c r="PEN154" s="72"/>
      <c r="PEO154" s="72"/>
      <c r="PEP154" s="72"/>
      <c r="PEQ154" s="72"/>
      <c r="PER154" s="72"/>
      <c r="PES154" s="72"/>
      <c r="PET154" s="72"/>
      <c r="PEU154" s="72"/>
      <c r="PEV154" s="72"/>
      <c r="PEW154" s="72"/>
      <c r="PEX154" s="72"/>
      <c r="PEY154" s="72"/>
      <c r="PEZ154" s="72"/>
      <c r="PFA154" s="72"/>
      <c r="PFB154" s="72"/>
      <c r="PFC154" s="72"/>
      <c r="PFD154" s="72"/>
      <c r="PFE154" s="72"/>
      <c r="PFF154" s="72"/>
      <c r="PFG154" s="72"/>
      <c r="PFH154" s="72"/>
      <c r="PFI154" s="72"/>
      <c r="PFJ154" s="72"/>
      <c r="PFK154" s="72"/>
      <c r="PFL154" s="72"/>
      <c r="PFM154" s="72"/>
      <c r="PFN154" s="72"/>
      <c r="PFO154" s="72"/>
      <c r="PFP154" s="72"/>
      <c r="PFQ154" s="72"/>
      <c r="PFR154" s="72"/>
      <c r="PFS154" s="72"/>
      <c r="PFT154" s="72"/>
      <c r="PFU154" s="72"/>
      <c r="PFV154" s="72"/>
      <c r="PFW154" s="72"/>
      <c r="PFX154" s="72"/>
      <c r="PFY154" s="72"/>
      <c r="PFZ154" s="72"/>
      <c r="PGA154" s="72"/>
      <c r="PGB154" s="72"/>
      <c r="PGC154" s="72"/>
      <c r="PGD154" s="72"/>
      <c r="PGE154" s="72"/>
      <c r="PGF154" s="72"/>
      <c r="PGG154" s="72"/>
      <c r="PGH154" s="72"/>
      <c r="PGI154" s="72"/>
      <c r="PGJ154" s="72"/>
      <c r="PGK154" s="72"/>
      <c r="PGL154" s="72"/>
      <c r="PGM154" s="72"/>
      <c r="PGN154" s="72"/>
      <c r="PGO154" s="72"/>
      <c r="PGP154" s="72"/>
      <c r="PGQ154" s="72"/>
      <c r="PGR154" s="72"/>
      <c r="PGS154" s="72"/>
      <c r="PGT154" s="72"/>
      <c r="PGU154" s="72"/>
      <c r="PGV154" s="72"/>
      <c r="PGW154" s="72"/>
      <c r="PGX154" s="72"/>
      <c r="PGY154" s="72"/>
      <c r="PGZ154" s="72"/>
      <c r="PHA154" s="72"/>
      <c r="PHB154" s="72"/>
      <c r="PHC154" s="72"/>
      <c r="PHD154" s="72"/>
      <c r="PHE154" s="72"/>
      <c r="PHF154" s="72"/>
      <c r="PHG154" s="72"/>
      <c r="PHH154" s="72"/>
      <c r="PHI154" s="72"/>
      <c r="PHJ154" s="72"/>
      <c r="PHK154" s="72"/>
      <c r="PHL154" s="72"/>
      <c r="PHM154" s="72"/>
      <c r="PHN154" s="72"/>
      <c r="PHO154" s="72"/>
      <c r="PHP154" s="72"/>
      <c r="PHQ154" s="72"/>
      <c r="PHR154" s="72"/>
      <c r="PHS154" s="72"/>
      <c r="PHT154" s="72"/>
      <c r="PHU154" s="72"/>
      <c r="PHV154" s="72"/>
      <c r="PHW154" s="72"/>
      <c r="PHX154" s="72"/>
      <c r="PHY154" s="72"/>
      <c r="PHZ154" s="72"/>
      <c r="PIA154" s="72"/>
      <c r="PIB154" s="72"/>
      <c r="PIC154" s="72"/>
      <c r="PID154" s="72"/>
      <c r="PIE154" s="72"/>
      <c r="PIF154" s="72"/>
      <c r="PIG154" s="72"/>
      <c r="PIH154" s="72"/>
      <c r="PII154" s="72"/>
      <c r="PIJ154" s="72"/>
      <c r="PIK154" s="72"/>
      <c r="PIL154" s="72"/>
      <c r="PIM154" s="72"/>
      <c r="PIN154" s="72"/>
      <c r="PIO154" s="72"/>
      <c r="PIP154" s="72"/>
      <c r="PIQ154" s="72"/>
      <c r="PIR154" s="72"/>
      <c r="PIS154" s="72"/>
      <c r="PIT154" s="72"/>
      <c r="PIU154" s="72"/>
      <c r="PIV154" s="72"/>
      <c r="PIW154" s="72"/>
      <c r="PIX154" s="72"/>
      <c r="PIY154" s="72"/>
      <c r="PIZ154" s="72"/>
      <c r="PJA154" s="72"/>
      <c r="PJB154" s="72"/>
      <c r="PJC154" s="72"/>
      <c r="PJD154" s="72"/>
      <c r="PJE154" s="72"/>
      <c r="PJF154" s="72"/>
      <c r="PJG154" s="72"/>
      <c r="PJH154" s="72"/>
      <c r="PJI154" s="72"/>
      <c r="PJJ154" s="72"/>
      <c r="PJK154" s="72"/>
      <c r="PJL154" s="72"/>
      <c r="PJM154" s="72"/>
      <c r="PJN154" s="72"/>
      <c r="PJO154" s="72"/>
      <c r="PJP154" s="72"/>
      <c r="PJQ154" s="72"/>
      <c r="PJR154" s="72"/>
      <c r="PJS154" s="72"/>
      <c r="PJT154" s="72"/>
      <c r="PJU154" s="72"/>
      <c r="PJV154" s="72"/>
      <c r="PJW154" s="72"/>
      <c r="PJX154" s="72"/>
      <c r="PJY154" s="72"/>
      <c r="PJZ154" s="72"/>
      <c r="PKA154" s="72"/>
      <c r="PKB154" s="72"/>
      <c r="PKC154" s="72"/>
      <c r="PKD154" s="72"/>
      <c r="PKE154" s="72"/>
      <c r="PKF154" s="72"/>
      <c r="PKG154" s="72"/>
      <c r="PKH154" s="72"/>
      <c r="PKI154" s="72"/>
      <c r="PKJ154" s="72"/>
      <c r="PKK154" s="72"/>
      <c r="PKL154" s="72"/>
      <c r="PKM154" s="72"/>
      <c r="PKN154" s="72"/>
      <c r="PKO154" s="72"/>
      <c r="PKP154" s="72"/>
      <c r="PKQ154" s="72"/>
      <c r="PKR154" s="72"/>
      <c r="PKS154" s="72"/>
      <c r="PKT154" s="72"/>
      <c r="PKU154" s="72"/>
      <c r="PKV154" s="72"/>
      <c r="PKW154" s="72"/>
      <c r="PKX154" s="72"/>
      <c r="PKY154" s="72"/>
      <c r="PKZ154" s="72"/>
      <c r="PLA154" s="72"/>
      <c r="PLB154" s="72"/>
      <c r="PLC154" s="72"/>
      <c r="PLD154" s="72"/>
      <c r="PLE154" s="72"/>
      <c r="PLF154" s="72"/>
      <c r="PLG154" s="72"/>
      <c r="PLH154" s="72"/>
      <c r="PLI154" s="72"/>
      <c r="PLJ154" s="72"/>
      <c r="PLK154" s="72"/>
      <c r="PLL154" s="72"/>
      <c r="PLM154" s="72"/>
      <c r="PLN154" s="72"/>
      <c r="PLO154" s="72"/>
      <c r="PLP154" s="72"/>
      <c r="PLQ154" s="72"/>
      <c r="PLR154" s="72"/>
      <c r="PLS154" s="72"/>
      <c r="PLT154" s="72"/>
      <c r="PLU154" s="72"/>
      <c r="PLV154" s="72"/>
      <c r="PLW154" s="72"/>
      <c r="PLX154" s="72"/>
      <c r="PLY154" s="72"/>
      <c r="PLZ154" s="72"/>
      <c r="PMA154" s="72"/>
      <c r="PMB154" s="72"/>
      <c r="PMC154" s="72"/>
      <c r="PMD154" s="72"/>
      <c r="PME154" s="72"/>
      <c r="PMF154" s="72"/>
      <c r="PMG154" s="72"/>
      <c r="PMH154" s="72"/>
      <c r="PMI154" s="72"/>
      <c r="PMJ154" s="72"/>
      <c r="PMK154" s="72"/>
      <c r="PML154" s="72"/>
      <c r="PMM154" s="72"/>
      <c r="PMN154" s="72"/>
      <c r="PMO154" s="72"/>
      <c r="PMP154" s="72"/>
      <c r="PMQ154" s="72"/>
      <c r="PMR154" s="72"/>
      <c r="PMS154" s="72"/>
      <c r="PMT154" s="72"/>
      <c r="PMU154" s="72"/>
      <c r="PMV154" s="72"/>
      <c r="PMW154" s="72"/>
      <c r="PMX154" s="72"/>
      <c r="PMY154" s="72"/>
      <c r="PMZ154" s="72"/>
      <c r="PNA154" s="72"/>
      <c r="PNB154" s="72"/>
      <c r="PNC154" s="72"/>
      <c r="PND154" s="72"/>
      <c r="PNE154" s="72"/>
      <c r="PNF154" s="72"/>
      <c r="PNG154" s="72"/>
      <c r="PNH154" s="72"/>
      <c r="PNI154" s="72"/>
      <c r="PNJ154" s="72"/>
      <c r="PNK154" s="72"/>
      <c r="PNL154" s="72"/>
      <c r="PNM154" s="72"/>
      <c r="PNN154" s="72"/>
      <c r="PNO154" s="72"/>
      <c r="PNP154" s="72"/>
      <c r="PNQ154" s="72"/>
      <c r="PNR154" s="72"/>
      <c r="PNS154" s="72"/>
      <c r="PNT154" s="72"/>
      <c r="PNU154" s="72"/>
      <c r="PNV154" s="72"/>
      <c r="PNW154" s="72"/>
      <c r="PNX154" s="72"/>
      <c r="PNY154" s="72"/>
      <c r="PNZ154" s="72"/>
      <c r="POA154" s="72"/>
      <c r="POB154" s="72"/>
      <c r="POC154" s="72"/>
      <c r="POD154" s="72"/>
      <c r="POE154" s="72"/>
      <c r="POF154" s="72"/>
      <c r="POG154" s="72"/>
      <c r="POH154" s="72"/>
      <c r="POI154" s="72"/>
      <c r="POJ154" s="72"/>
      <c r="POK154" s="72"/>
      <c r="POL154" s="72"/>
      <c r="POM154" s="72"/>
      <c r="PON154" s="72"/>
      <c r="POO154" s="72"/>
      <c r="POP154" s="72"/>
      <c r="POQ154" s="72"/>
      <c r="POR154" s="72"/>
      <c r="POS154" s="72"/>
      <c r="POT154" s="72"/>
      <c r="POU154" s="72"/>
      <c r="POV154" s="72"/>
      <c r="POW154" s="72"/>
      <c r="POX154" s="72"/>
      <c r="POY154" s="72"/>
      <c r="POZ154" s="72"/>
      <c r="PPA154" s="72"/>
      <c r="PPB154" s="72"/>
      <c r="PPC154" s="72"/>
      <c r="PPD154" s="72"/>
      <c r="PPE154" s="72"/>
      <c r="PPF154" s="72"/>
      <c r="PPG154" s="72"/>
      <c r="PPH154" s="72"/>
      <c r="PPI154" s="72"/>
      <c r="PPJ154" s="72"/>
      <c r="PPK154" s="72"/>
      <c r="PPL154" s="72"/>
      <c r="PPM154" s="72"/>
      <c r="PPN154" s="72"/>
      <c r="PPO154" s="72"/>
      <c r="PPP154" s="72"/>
      <c r="PPQ154" s="72"/>
      <c r="PPR154" s="72"/>
      <c r="PPS154" s="72"/>
      <c r="PPT154" s="72"/>
      <c r="PPU154" s="72"/>
      <c r="PPV154" s="72"/>
      <c r="PPW154" s="72"/>
      <c r="PPX154" s="72"/>
      <c r="PPY154" s="72"/>
      <c r="PPZ154" s="72"/>
      <c r="PQA154" s="72"/>
      <c r="PQB154" s="72"/>
      <c r="PQC154" s="72"/>
      <c r="PQD154" s="72"/>
      <c r="PQE154" s="72"/>
      <c r="PQF154" s="72"/>
      <c r="PQG154" s="72"/>
      <c r="PQH154" s="72"/>
      <c r="PQI154" s="72"/>
      <c r="PQJ154" s="72"/>
      <c r="PQK154" s="72"/>
      <c r="PQL154" s="72"/>
      <c r="PQM154" s="72"/>
      <c r="PQN154" s="72"/>
      <c r="PQO154" s="72"/>
      <c r="PQP154" s="72"/>
      <c r="PQQ154" s="72"/>
      <c r="PQR154" s="72"/>
      <c r="PQS154" s="72"/>
      <c r="PQT154" s="72"/>
      <c r="PQU154" s="72"/>
      <c r="PQV154" s="72"/>
      <c r="PQW154" s="72"/>
      <c r="PQX154" s="72"/>
      <c r="PQY154" s="72"/>
      <c r="PQZ154" s="72"/>
      <c r="PRA154" s="72"/>
      <c r="PRB154" s="72"/>
      <c r="PRC154" s="72"/>
      <c r="PRD154" s="72"/>
      <c r="PRE154" s="72"/>
      <c r="PRF154" s="72"/>
      <c r="PRG154" s="72"/>
      <c r="PRH154" s="72"/>
      <c r="PRI154" s="72"/>
      <c r="PRJ154" s="72"/>
      <c r="PRK154" s="72"/>
      <c r="PRL154" s="72"/>
      <c r="PRM154" s="72"/>
      <c r="PRN154" s="72"/>
      <c r="PRO154" s="72"/>
      <c r="PRP154" s="72"/>
      <c r="PRQ154" s="72"/>
      <c r="PRR154" s="72"/>
      <c r="PRS154" s="72"/>
      <c r="PRT154" s="72"/>
      <c r="PRU154" s="72"/>
      <c r="PRV154" s="72"/>
      <c r="PRW154" s="72"/>
      <c r="PRX154" s="72"/>
      <c r="PRY154" s="72"/>
      <c r="PRZ154" s="72"/>
      <c r="PSA154" s="72"/>
      <c r="PSB154" s="72"/>
      <c r="PSC154" s="72"/>
      <c r="PSD154" s="72"/>
      <c r="PSE154" s="72"/>
      <c r="PSF154" s="72"/>
      <c r="PSG154" s="72"/>
      <c r="PSH154" s="72"/>
      <c r="PSI154" s="72"/>
      <c r="PSJ154" s="72"/>
      <c r="PSK154" s="72"/>
      <c r="PSL154" s="72"/>
      <c r="PSM154" s="72"/>
      <c r="PSN154" s="72"/>
      <c r="PSO154" s="72"/>
      <c r="PSP154" s="72"/>
      <c r="PSQ154" s="72"/>
      <c r="PSR154" s="72"/>
      <c r="PSS154" s="72"/>
      <c r="PST154" s="72"/>
      <c r="PSU154" s="72"/>
      <c r="PSV154" s="72"/>
      <c r="PSW154" s="72"/>
      <c r="PSX154" s="72"/>
      <c r="PSY154" s="72"/>
      <c r="PSZ154" s="72"/>
      <c r="PTA154" s="72"/>
      <c r="PTB154" s="72"/>
      <c r="PTC154" s="72"/>
      <c r="PTD154" s="72"/>
      <c r="PTE154" s="72"/>
      <c r="PTF154" s="72"/>
      <c r="PTG154" s="72"/>
      <c r="PTH154" s="72"/>
      <c r="PTI154" s="72"/>
      <c r="PTJ154" s="72"/>
      <c r="PTK154" s="72"/>
      <c r="PTL154" s="72"/>
      <c r="PTM154" s="72"/>
      <c r="PTN154" s="72"/>
      <c r="PTO154" s="72"/>
      <c r="PTP154" s="72"/>
      <c r="PTQ154" s="72"/>
      <c r="PTR154" s="72"/>
      <c r="PTS154" s="72"/>
      <c r="PTT154" s="72"/>
      <c r="PTU154" s="72"/>
      <c r="PTV154" s="72"/>
      <c r="PTW154" s="72"/>
      <c r="PTX154" s="72"/>
      <c r="PTY154" s="72"/>
      <c r="PTZ154" s="72"/>
      <c r="PUA154" s="72"/>
      <c r="PUB154" s="72"/>
      <c r="PUC154" s="72"/>
      <c r="PUD154" s="72"/>
      <c r="PUE154" s="72"/>
      <c r="PUF154" s="72"/>
      <c r="PUG154" s="72"/>
      <c r="PUH154" s="72"/>
      <c r="PUI154" s="72"/>
      <c r="PUJ154" s="72"/>
      <c r="PUK154" s="72"/>
      <c r="PUL154" s="72"/>
      <c r="PUM154" s="72"/>
      <c r="PUN154" s="72"/>
      <c r="PUO154" s="72"/>
      <c r="PUP154" s="72"/>
      <c r="PUQ154" s="72"/>
      <c r="PUR154" s="72"/>
      <c r="PUS154" s="72"/>
      <c r="PUT154" s="72"/>
      <c r="PUU154" s="72"/>
      <c r="PUV154" s="72"/>
      <c r="PUW154" s="72"/>
      <c r="PUX154" s="72"/>
      <c r="PUY154" s="72"/>
      <c r="PUZ154" s="72"/>
      <c r="PVA154" s="72"/>
      <c r="PVB154" s="72"/>
      <c r="PVC154" s="72"/>
      <c r="PVD154" s="72"/>
      <c r="PVE154" s="72"/>
      <c r="PVF154" s="72"/>
      <c r="PVG154" s="72"/>
      <c r="PVH154" s="72"/>
      <c r="PVI154" s="72"/>
      <c r="PVJ154" s="72"/>
      <c r="PVK154" s="72"/>
      <c r="PVL154" s="72"/>
      <c r="PVM154" s="72"/>
      <c r="PVN154" s="72"/>
      <c r="PVO154" s="72"/>
      <c r="PVP154" s="72"/>
      <c r="PVQ154" s="72"/>
      <c r="PVR154" s="72"/>
      <c r="PVS154" s="72"/>
      <c r="PVT154" s="72"/>
      <c r="PVU154" s="72"/>
      <c r="PVV154" s="72"/>
      <c r="PVW154" s="72"/>
      <c r="PVX154" s="72"/>
      <c r="PVY154" s="72"/>
      <c r="PVZ154" s="72"/>
      <c r="PWA154" s="72"/>
      <c r="PWB154" s="72"/>
      <c r="PWC154" s="72"/>
      <c r="PWD154" s="72"/>
      <c r="PWE154" s="72"/>
      <c r="PWF154" s="72"/>
      <c r="PWG154" s="72"/>
      <c r="PWH154" s="72"/>
      <c r="PWI154" s="72"/>
      <c r="PWJ154" s="72"/>
      <c r="PWK154" s="72"/>
      <c r="PWL154" s="72"/>
      <c r="PWM154" s="72"/>
      <c r="PWN154" s="72"/>
      <c r="PWO154" s="72"/>
      <c r="PWP154" s="72"/>
      <c r="PWQ154" s="72"/>
      <c r="PWR154" s="72"/>
      <c r="PWS154" s="72"/>
      <c r="PWT154" s="72"/>
      <c r="PWU154" s="72"/>
      <c r="PWV154" s="72"/>
      <c r="PWW154" s="72"/>
      <c r="PWX154" s="72"/>
      <c r="PWY154" s="72"/>
      <c r="PWZ154" s="72"/>
      <c r="PXA154" s="72"/>
      <c r="PXB154" s="72"/>
      <c r="PXC154" s="72"/>
      <c r="PXD154" s="72"/>
      <c r="PXE154" s="72"/>
      <c r="PXF154" s="72"/>
      <c r="PXG154" s="72"/>
      <c r="PXH154" s="72"/>
      <c r="PXI154" s="72"/>
      <c r="PXJ154" s="72"/>
      <c r="PXK154" s="72"/>
      <c r="PXL154" s="72"/>
      <c r="PXM154" s="72"/>
      <c r="PXN154" s="72"/>
      <c r="PXO154" s="72"/>
      <c r="PXP154" s="72"/>
      <c r="PXQ154" s="72"/>
      <c r="PXR154" s="72"/>
      <c r="PXS154" s="72"/>
      <c r="PXT154" s="72"/>
      <c r="PXU154" s="72"/>
      <c r="PXV154" s="72"/>
      <c r="PXW154" s="72"/>
      <c r="PXX154" s="72"/>
      <c r="PXY154" s="72"/>
      <c r="PXZ154" s="72"/>
      <c r="PYA154" s="72"/>
      <c r="PYB154" s="72"/>
      <c r="PYC154" s="72"/>
      <c r="PYD154" s="72"/>
      <c r="PYE154" s="72"/>
      <c r="PYF154" s="72"/>
      <c r="PYG154" s="72"/>
      <c r="PYH154" s="72"/>
      <c r="PYI154" s="72"/>
      <c r="PYJ154" s="72"/>
      <c r="PYK154" s="72"/>
      <c r="PYL154" s="72"/>
      <c r="PYM154" s="72"/>
      <c r="PYN154" s="72"/>
      <c r="PYO154" s="72"/>
      <c r="PYP154" s="72"/>
      <c r="PYQ154" s="72"/>
      <c r="PYR154" s="72"/>
      <c r="PYS154" s="72"/>
      <c r="PYT154" s="72"/>
      <c r="PYU154" s="72"/>
      <c r="PYV154" s="72"/>
      <c r="PYW154" s="72"/>
      <c r="PYX154" s="72"/>
      <c r="PYY154" s="72"/>
      <c r="PYZ154" s="72"/>
      <c r="PZA154" s="72"/>
      <c r="PZB154" s="72"/>
      <c r="PZC154" s="72"/>
      <c r="PZD154" s="72"/>
      <c r="PZE154" s="72"/>
      <c r="PZF154" s="72"/>
      <c r="PZG154" s="72"/>
      <c r="PZH154" s="72"/>
      <c r="PZI154" s="72"/>
      <c r="PZJ154" s="72"/>
      <c r="PZK154" s="72"/>
      <c r="PZL154" s="72"/>
      <c r="PZM154" s="72"/>
      <c r="PZN154" s="72"/>
      <c r="PZO154" s="72"/>
      <c r="PZP154" s="72"/>
      <c r="PZQ154" s="72"/>
      <c r="PZR154" s="72"/>
      <c r="PZS154" s="72"/>
      <c r="PZT154" s="72"/>
      <c r="PZU154" s="72"/>
      <c r="PZV154" s="72"/>
      <c r="PZW154" s="72"/>
      <c r="PZX154" s="72"/>
      <c r="PZY154" s="72"/>
      <c r="PZZ154" s="72"/>
      <c r="QAA154" s="72"/>
      <c r="QAB154" s="72"/>
      <c r="QAC154" s="72"/>
      <c r="QAD154" s="72"/>
      <c r="QAE154" s="72"/>
      <c r="QAF154" s="72"/>
      <c r="QAG154" s="72"/>
      <c r="QAH154" s="72"/>
      <c r="QAI154" s="72"/>
      <c r="QAJ154" s="72"/>
      <c r="QAK154" s="72"/>
      <c r="QAL154" s="72"/>
      <c r="QAM154" s="72"/>
      <c r="QAN154" s="72"/>
      <c r="QAO154" s="72"/>
      <c r="QAP154" s="72"/>
      <c r="QAQ154" s="72"/>
      <c r="QAR154" s="72"/>
      <c r="QAS154" s="72"/>
      <c r="QAT154" s="72"/>
      <c r="QAU154" s="72"/>
      <c r="QAV154" s="72"/>
      <c r="QAW154" s="72"/>
      <c r="QAX154" s="72"/>
      <c r="QAY154" s="72"/>
      <c r="QAZ154" s="72"/>
      <c r="QBA154" s="72"/>
      <c r="QBB154" s="72"/>
      <c r="QBC154" s="72"/>
      <c r="QBD154" s="72"/>
      <c r="QBE154" s="72"/>
      <c r="QBF154" s="72"/>
      <c r="QBG154" s="72"/>
      <c r="QBH154" s="72"/>
      <c r="QBI154" s="72"/>
      <c r="QBJ154" s="72"/>
      <c r="QBK154" s="72"/>
      <c r="QBL154" s="72"/>
      <c r="QBM154" s="72"/>
      <c r="QBN154" s="72"/>
      <c r="QBO154" s="72"/>
      <c r="QBP154" s="72"/>
      <c r="QBQ154" s="72"/>
      <c r="QBR154" s="72"/>
      <c r="QBS154" s="72"/>
      <c r="QBT154" s="72"/>
      <c r="QBU154" s="72"/>
      <c r="QBV154" s="72"/>
      <c r="QBW154" s="72"/>
      <c r="QBX154" s="72"/>
      <c r="QBY154" s="72"/>
      <c r="QBZ154" s="72"/>
      <c r="QCA154" s="72"/>
      <c r="QCB154" s="72"/>
      <c r="QCC154" s="72"/>
      <c r="QCD154" s="72"/>
      <c r="QCE154" s="72"/>
      <c r="QCF154" s="72"/>
      <c r="QCG154" s="72"/>
      <c r="QCH154" s="72"/>
      <c r="QCI154" s="72"/>
      <c r="QCJ154" s="72"/>
      <c r="QCK154" s="72"/>
      <c r="QCL154" s="72"/>
      <c r="QCM154" s="72"/>
      <c r="QCN154" s="72"/>
      <c r="QCO154" s="72"/>
      <c r="QCP154" s="72"/>
      <c r="QCQ154" s="72"/>
      <c r="QCR154" s="72"/>
      <c r="QCS154" s="72"/>
      <c r="QCT154" s="72"/>
      <c r="QCU154" s="72"/>
      <c r="QCV154" s="72"/>
      <c r="QCW154" s="72"/>
      <c r="QCX154" s="72"/>
      <c r="QCY154" s="72"/>
      <c r="QCZ154" s="72"/>
      <c r="QDA154" s="72"/>
      <c r="QDB154" s="72"/>
      <c r="QDC154" s="72"/>
      <c r="QDD154" s="72"/>
      <c r="QDE154" s="72"/>
      <c r="QDF154" s="72"/>
      <c r="QDG154" s="72"/>
      <c r="QDH154" s="72"/>
      <c r="QDI154" s="72"/>
      <c r="QDJ154" s="72"/>
      <c r="QDK154" s="72"/>
      <c r="QDL154" s="72"/>
      <c r="QDM154" s="72"/>
      <c r="QDN154" s="72"/>
      <c r="QDO154" s="72"/>
      <c r="QDP154" s="72"/>
      <c r="QDQ154" s="72"/>
      <c r="QDR154" s="72"/>
      <c r="QDS154" s="72"/>
      <c r="QDT154" s="72"/>
      <c r="QDU154" s="72"/>
      <c r="QDV154" s="72"/>
      <c r="QDW154" s="72"/>
      <c r="QDX154" s="72"/>
      <c r="QDY154" s="72"/>
      <c r="QDZ154" s="72"/>
      <c r="QEA154" s="72"/>
      <c r="QEB154" s="72"/>
      <c r="QEC154" s="72"/>
      <c r="QED154" s="72"/>
      <c r="QEE154" s="72"/>
      <c r="QEF154" s="72"/>
      <c r="QEG154" s="72"/>
      <c r="QEH154" s="72"/>
      <c r="QEI154" s="72"/>
      <c r="QEJ154" s="72"/>
      <c r="QEK154" s="72"/>
      <c r="QEL154" s="72"/>
      <c r="QEM154" s="72"/>
      <c r="QEN154" s="72"/>
      <c r="QEO154" s="72"/>
      <c r="QEP154" s="72"/>
      <c r="QEQ154" s="72"/>
      <c r="QER154" s="72"/>
      <c r="QES154" s="72"/>
      <c r="QET154" s="72"/>
      <c r="QEU154" s="72"/>
      <c r="QEV154" s="72"/>
      <c r="QEW154" s="72"/>
      <c r="QEX154" s="72"/>
      <c r="QEY154" s="72"/>
      <c r="QEZ154" s="72"/>
      <c r="QFA154" s="72"/>
      <c r="QFB154" s="72"/>
      <c r="QFC154" s="72"/>
      <c r="QFD154" s="72"/>
      <c r="QFE154" s="72"/>
      <c r="QFF154" s="72"/>
      <c r="QFG154" s="72"/>
      <c r="QFH154" s="72"/>
      <c r="QFI154" s="72"/>
      <c r="QFJ154" s="72"/>
      <c r="QFK154" s="72"/>
      <c r="QFL154" s="72"/>
      <c r="QFM154" s="72"/>
      <c r="QFN154" s="72"/>
      <c r="QFO154" s="72"/>
      <c r="QFP154" s="72"/>
      <c r="QFQ154" s="72"/>
      <c r="QFR154" s="72"/>
      <c r="QFS154" s="72"/>
      <c r="QFT154" s="72"/>
      <c r="QFU154" s="72"/>
      <c r="QFV154" s="72"/>
      <c r="QFW154" s="72"/>
      <c r="QFX154" s="72"/>
      <c r="QFY154" s="72"/>
      <c r="QFZ154" s="72"/>
      <c r="QGA154" s="72"/>
      <c r="QGB154" s="72"/>
      <c r="QGC154" s="72"/>
      <c r="QGD154" s="72"/>
      <c r="QGE154" s="72"/>
      <c r="QGF154" s="72"/>
      <c r="QGG154" s="72"/>
      <c r="QGH154" s="72"/>
      <c r="QGI154" s="72"/>
      <c r="QGJ154" s="72"/>
      <c r="QGK154" s="72"/>
      <c r="QGL154" s="72"/>
      <c r="QGM154" s="72"/>
      <c r="QGN154" s="72"/>
      <c r="QGO154" s="72"/>
      <c r="QGP154" s="72"/>
      <c r="QGQ154" s="72"/>
      <c r="QGR154" s="72"/>
      <c r="QGS154" s="72"/>
      <c r="QGT154" s="72"/>
      <c r="QGU154" s="72"/>
      <c r="QGV154" s="72"/>
      <c r="QGW154" s="72"/>
      <c r="QGX154" s="72"/>
      <c r="QGY154" s="72"/>
      <c r="QGZ154" s="72"/>
      <c r="QHA154" s="72"/>
      <c r="QHB154" s="72"/>
      <c r="QHC154" s="72"/>
      <c r="QHD154" s="72"/>
      <c r="QHE154" s="72"/>
      <c r="QHF154" s="72"/>
      <c r="QHG154" s="72"/>
      <c r="QHH154" s="72"/>
      <c r="QHI154" s="72"/>
      <c r="QHJ154" s="72"/>
      <c r="QHK154" s="72"/>
      <c r="QHL154" s="72"/>
      <c r="QHM154" s="72"/>
      <c r="QHN154" s="72"/>
      <c r="QHO154" s="72"/>
      <c r="QHP154" s="72"/>
      <c r="QHQ154" s="72"/>
      <c r="QHR154" s="72"/>
      <c r="QHS154" s="72"/>
      <c r="QHT154" s="72"/>
      <c r="QHU154" s="72"/>
      <c r="QHV154" s="72"/>
      <c r="QHW154" s="72"/>
      <c r="QHX154" s="72"/>
      <c r="QHY154" s="72"/>
      <c r="QHZ154" s="72"/>
      <c r="QIA154" s="72"/>
      <c r="QIB154" s="72"/>
      <c r="QIC154" s="72"/>
      <c r="QID154" s="72"/>
      <c r="QIE154" s="72"/>
      <c r="QIF154" s="72"/>
      <c r="QIG154" s="72"/>
      <c r="QIH154" s="72"/>
      <c r="QII154" s="72"/>
      <c r="QIJ154" s="72"/>
      <c r="QIK154" s="72"/>
      <c r="QIL154" s="72"/>
      <c r="QIM154" s="72"/>
      <c r="QIN154" s="72"/>
      <c r="QIO154" s="72"/>
      <c r="QIP154" s="72"/>
      <c r="QIQ154" s="72"/>
      <c r="QIR154" s="72"/>
      <c r="QIS154" s="72"/>
      <c r="QIT154" s="72"/>
      <c r="QIU154" s="72"/>
      <c r="QIV154" s="72"/>
      <c r="QIW154" s="72"/>
      <c r="QIX154" s="72"/>
      <c r="QIY154" s="72"/>
      <c r="QIZ154" s="72"/>
      <c r="QJA154" s="72"/>
      <c r="QJB154" s="72"/>
      <c r="QJC154" s="72"/>
      <c r="QJD154" s="72"/>
      <c r="QJE154" s="72"/>
      <c r="QJF154" s="72"/>
      <c r="QJG154" s="72"/>
      <c r="QJH154" s="72"/>
      <c r="QJI154" s="72"/>
      <c r="QJJ154" s="72"/>
      <c r="QJK154" s="72"/>
      <c r="QJL154" s="72"/>
      <c r="QJM154" s="72"/>
      <c r="QJN154" s="72"/>
      <c r="QJO154" s="72"/>
      <c r="QJP154" s="72"/>
      <c r="QJQ154" s="72"/>
      <c r="QJR154" s="72"/>
      <c r="QJS154" s="72"/>
      <c r="QJT154" s="72"/>
      <c r="QJU154" s="72"/>
      <c r="QJV154" s="72"/>
      <c r="QJW154" s="72"/>
      <c r="QJX154" s="72"/>
      <c r="QJY154" s="72"/>
      <c r="QJZ154" s="72"/>
      <c r="QKA154" s="72"/>
      <c r="QKB154" s="72"/>
      <c r="QKC154" s="72"/>
      <c r="QKD154" s="72"/>
      <c r="QKE154" s="72"/>
      <c r="QKF154" s="72"/>
      <c r="QKG154" s="72"/>
      <c r="QKH154" s="72"/>
      <c r="QKI154" s="72"/>
      <c r="QKJ154" s="72"/>
      <c r="QKK154" s="72"/>
      <c r="QKL154" s="72"/>
      <c r="QKM154" s="72"/>
      <c r="QKN154" s="72"/>
      <c r="QKO154" s="72"/>
      <c r="QKP154" s="72"/>
      <c r="QKQ154" s="72"/>
      <c r="QKR154" s="72"/>
      <c r="QKS154" s="72"/>
      <c r="QKT154" s="72"/>
      <c r="QKU154" s="72"/>
      <c r="QKV154" s="72"/>
      <c r="QKW154" s="72"/>
      <c r="QKX154" s="72"/>
      <c r="QKY154" s="72"/>
      <c r="QKZ154" s="72"/>
      <c r="QLA154" s="72"/>
      <c r="QLB154" s="72"/>
      <c r="QLC154" s="72"/>
      <c r="QLD154" s="72"/>
      <c r="QLE154" s="72"/>
      <c r="QLF154" s="72"/>
      <c r="QLG154" s="72"/>
      <c r="QLH154" s="72"/>
      <c r="QLI154" s="72"/>
      <c r="QLJ154" s="72"/>
      <c r="QLK154" s="72"/>
      <c r="QLL154" s="72"/>
      <c r="QLM154" s="72"/>
      <c r="QLN154" s="72"/>
      <c r="QLO154" s="72"/>
      <c r="QLP154" s="72"/>
      <c r="QLQ154" s="72"/>
      <c r="QLR154" s="72"/>
      <c r="QLS154" s="72"/>
      <c r="QLT154" s="72"/>
      <c r="QLU154" s="72"/>
      <c r="QLV154" s="72"/>
      <c r="QLW154" s="72"/>
      <c r="QLX154" s="72"/>
      <c r="QLY154" s="72"/>
      <c r="QLZ154" s="72"/>
      <c r="QMA154" s="72"/>
      <c r="QMB154" s="72"/>
      <c r="QMC154" s="72"/>
      <c r="QMD154" s="72"/>
      <c r="QME154" s="72"/>
      <c r="QMF154" s="72"/>
      <c r="QMG154" s="72"/>
      <c r="QMH154" s="72"/>
      <c r="QMI154" s="72"/>
      <c r="QMJ154" s="72"/>
      <c r="QMK154" s="72"/>
      <c r="QML154" s="72"/>
      <c r="QMM154" s="72"/>
      <c r="QMN154" s="72"/>
      <c r="QMO154" s="72"/>
      <c r="QMP154" s="72"/>
      <c r="QMQ154" s="72"/>
      <c r="QMR154" s="72"/>
      <c r="QMS154" s="72"/>
      <c r="QMT154" s="72"/>
      <c r="QMU154" s="72"/>
      <c r="QMV154" s="72"/>
      <c r="QMW154" s="72"/>
      <c r="QMX154" s="72"/>
      <c r="QMY154" s="72"/>
      <c r="QMZ154" s="72"/>
      <c r="QNA154" s="72"/>
      <c r="QNB154" s="72"/>
      <c r="QNC154" s="72"/>
      <c r="QND154" s="72"/>
      <c r="QNE154" s="72"/>
      <c r="QNF154" s="72"/>
      <c r="QNG154" s="72"/>
      <c r="QNH154" s="72"/>
      <c r="QNI154" s="72"/>
      <c r="QNJ154" s="72"/>
      <c r="QNK154" s="72"/>
      <c r="QNL154" s="72"/>
      <c r="QNM154" s="72"/>
      <c r="QNN154" s="72"/>
      <c r="QNO154" s="72"/>
      <c r="QNP154" s="72"/>
      <c r="QNQ154" s="72"/>
      <c r="QNR154" s="72"/>
      <c r="QNS154" s="72"/>
      <c r="QNT154" s="72"/>
      <c r="QNU154" s="72"/>
      <c r="QNV154" s="72"/>
      <c r="QNW154" s="72"/>
      <c r="QNX154" s="72"/>
      <c r="QNY154" s="72"/>
      <c r="QNZ154" s="72"/>
      <c r="QOA154" s="72"/>
      <c r="QOB154" s="72"/>
      <c r="QOC154" s="72"/>
      <c r="QOD154" s="72"/>
      <c r="QOE154" s="72"/>
      <c r="QOF154" s="72"/>
      <c r="QOG154" s="72"/>
      <c r="QOH154" s="72"/>
      <c r="QOI154" s="72"/>
      <c r="QOJ154" s="72"/>
      <c r="QOK154" s="72"/>
      <c r="QOL154" s="72"/>
      <c r="QOM154" s="72"/>
      <c r="QON154" s="72"/>
      <c r="QOO154" s="72"/>
      <c r="QOP154" s="72"/>
      <c r="QOQ154" s="72"/>
      <c r="QOR154" s="72"/>
      <c r="QOS154" s="72"/>
      <c r="QOT154" s="72"/>
      <c r="QOU154" s="72"/>
      <c r="QOV154" s="72"/>
      <c r="QOW154" s="72"/>
      <c r="QOX154" s="72"/>
      <c r="QOY154" s="72"/>
      <c r="QOZ154" s="72"/>
      <c r="QPA154" s="72"/>
      <c r="QPB154" s="72"/>
      <c r="QPC154" s="72"/>
      <c r="QPD154" s="72"/>
      <c r="QPE154" s="72"/>
      <c r="QPF154" s="72"/>
      <c r="QPG154" s="72"/>
      <c r="QPH154" s="72"/>
      <c r="QPI154" s="72"/>
      <c r="QPJ154" s="72"/>
      <c r="QPK154" s="72"/>
      <c r="QPL154" s="72"/>
      <c r="QPM154" s="72"/>
      <c r="QPN154" s="72"/>
      <c r="QPO154" s="72"/>
      <c r="QPP154" s="72"/>
      <c r="QPQ154" s="72"/>
      <c r="QPR154" s="72"/>
      <c r="QPS154" s="72"/>
      <c r="QPT154" s="72"/>
      <c r="QPU154" s="72"/>
      <c r="QPV154" s="72"/>
      <c r="QPW154" s="72"/>
      <c r="QPX154" s="72"/>
      <c r="QPY154" s="72"/>
      <c r="QPZ154" s="72"/>
      <c r="QQA154" s="72"/>
      <c r="QQB154" s="72"/>
      <c r="QQC154" s="72"/>
      <c r="QQD154" s="72"/>
      <c r="QQE154" s="72"/>
      <c r="QQF154" s="72"/>
      <c r="QQG154" s="72"/>
      <c r="QQH154" s="72"/>
      <c r="QQI154" s="72"/>
      <c r="QQJ154" s="72"/>
      <c r="QQK154" s="72"/>
      <c r="QQL154" s="72"/>
      <c r="QQM154" s="72"/>
      <c r="QQN154" s="72"/>
      <c r="QQO154" s="72"/>
      <c r="QQP154" s="72"/>
      <c r="QQQ154" s="72"/>
      <c r="QQR154" s="72"/>
      <c r="QQS154" s="72"/>
      <c r="QQT154" s="72"/>
      <c r="QQU154" s="72"/>
      <c r="QQV154" s="72"/>
      <c r="QQW154" s="72"/>
      <c r="QQX154" s="72"/>
      <c r="QQY154" s="72"/>
      <c r="QQZ154" s="72"/>
      <c r="QRA154" s="72"/>
      <c r="QRB154" s="72"/>
      <c r="QRC154" s="72"/>
      <c r="QRD154" s="72"/>
      <c r="QRE154" s="72"/>
      <c r="QRF154" s="72"/>
      <c r="QRG154" s="72"/>
      <c r="QRH154" s="72"/>
      <c r="QRI154" s="72"/>
      <c r="QRJ154" s="72"/>
      <c r="QRK154" s="72"/>
      <c r="QRL154" s="72"/>
      <c r="QRM154" s="72"/>
      <c r="QRN154" s="72"/>
      <c r="QRO154" s="72"/>
      <c r="QRP154" s="72"/>
      <c r="QRQ154" s="72"/>
      <c r="QRR154" s="72"/>
      <c r="QRS154" s="72"/>
      <c r="QRT154" s="72"/>
      <c r="QRU154" s="72"/>
      <c r="QRV154" s="72"/>
      <c r="QRW154" s="72"/>
      <c r="QRX154" s="72"/>
      <c r="QRY154" s="72"/>
      <c r="QRZ154" s="72"/>
      <c r="QSA154" s="72"/>
      <c r="QSB154" s="72"/>
      <c r="QSC154" s="72"/>
      <c r="QSD154" s="72"/>
      <c r="QSE154" s="72"/>
      <c r="QSF154" s="72"/>
      <c r="QSG154" s="72"/>
      <c r="QSH154" s="72"/>
      <c r="QSI154" s="72"/>
      <c r="QSJ154" s="72"/>
      <c r="QSK154" s="72"/>
      <c r="QSL154" s="72"/>
      <c r="QSM154" s="72"/>
      <c r="QSN154" s="72"/>
      <c r="QSO154" s="72"/>
      <c r="QSP154" s="72"/>
      <c r="QSQ154" s="72"/>
      <c r="QSR154" s="72"/>
      <c r="QSS154" s="72"/>
      <c r="QST154" s="72"/>
      <c r="QSU154" s="72"/>
      <c r="QSV154" s="72"/>
      <c r="QSW154" s="72"/>
      <c r="QSX154" s="72"/>
      <c r="QSY154" s="72"/>
      <c r="QSZ154" s="72"/>
      <c r="QTA154" s="72"/>
      <c r="QTB154" s="72"/>
      <c r="QTC154" s="72"/>
      <c r="QTD154" s="72"/>
      <c r="QTE154" s="72"/>
      <c r="QTF154" s="72"/>
      <c r="QTG154" s="72"/>
      <c r="QTH154" s="72"/>
      <c r="QTI154" s="72"/>
      <c r="QTJ154" s="72"/>
      <c r="QTK154" s="72"/>
      <c r="QTL154" s="72"/>
      <c r="QTM154" s="72"/>
      <c r="QTN154" s="72"/>
      <c r="QTO154" s="72"/>
      <c r="QTP154" s="72"/>
      <c r="QTQ154" s="72"/>
      <c r="QTR154" s="72"/>
      <c r="QTS154" s="72"/>
      <c r="QTT154" s="72"/>
      <c r="QTU154" s="72"/>
      <c r="QTV154" s="72"/>
      <c r="QTW154" s="72"/>
      <c r="QTX154" s="72"/>
      <c r="QTY154" s="72"/>
      <c r="QTZ154" s="72"/>
      <c r="QUA154" s="72"/>
      <c r="QUB154" s="72"/>
      <c r="QUC154" s="72"/>
      <c r="QUD154" s="72"/>
      <c r="QUE154" s="72"/>
      <c r="QUF154" s="72"/>
      <c r="QUG154" s="72"/>
      <c r="QUH154" s="72"/>
      <c r="QUI154" s="72"/>
      <c r="QUJ154" s="72"/>
      <c r="QUK154" s="72"/>
      <c r="QUL154" s="72"/>
      <c r="QUM154" s="72"/>
      <c r="QUN154" s="72"/>
      <c r="QUO154" s="72"/>
      <c r="QUP154" s="72"/>
      <c r="QUQ154" s="72"/>
      <c r="QUR154" s="72"/>
      <c r="QUS154" s="72"/>
      <c r="QUT154" s="72"/>
      <c r="QUU154" s="72"/>
      <c r="QUV154" s="72"/>
      <c r="QUW154" s="72"/>
      <c r="QUX154" s="72"/>
      <c r="QUY154" s="72"/>
      <c r="QUZ154" s="72"/>
      <c r="QVA154" s="72"/>
      <c r="QVB154" s="72"/>
      <c r="QVC154" s="72"/>
      <c r="QVD154" s="72"/>
      <c r="QVE154" s="72"/>
      <c r="QVF154" s="72"/>
      <c r="QVG154" s="72"/>
      <c r="QVH154" s="72"/>
      <c r="QVI154" s="72"/>
      <c r="QVJ154" s="72"/>
      <c r="QVK154" s="72"/>
      <c r="QVL154" s="72"/>
      <c r="QVM154" s="72"/>
      <c r="QVN154" s="72"/>
      <c r="QVO154" s="72"/>
      <c r="QVP154" s="72"/>
      <c r="QVQ154" s="72"/>
      <c r="QVR154" s="72"/>
      <c r="QVS154" s="72"/>
      <c r="QVT154" s="72"/>
      <c r="QVU154" s="72"/>
      <c r="QVV154" s="72"/>
      <c r="QVW154" s="72"/>
      <c r="QVX154" s="72"/>
      <c r="QVY154" s="72"/>
      <c r="QVZ154" s="72"/>
      <c r="QWA154" s="72"/>
      <c r="QWB154" s="72"/>
      <c r="QWC154" s="72"/>
      <c r="QWD154" s="72"/>
      <c r="QWE154" s="72"/>
      <c r="QWF154" s="72"/>
      <c r="QWG154" s="72"/>
      <c r="QWH154" s="72"/>
      <c r="QWI154" s="72"/>
      <c r="QWJ154" s="72"/>
      <c r="QWK154" s="72"/>
      <c r="QWL154" s="72"/>
      <c r="QWM154" s="72"/>
      <c r="QWN154" s="72"/>
      <c r="QWO154" s="72"/>
      <c r="QWP154" s="72"/>
      <c r="QWQ154" s="72"/>
      <c r="QWR154" s="72"/>
      <c r="QWS154" s="72"/>
      <c r="QWT154" s="72"/>
      <c r="QWU154" s="72"/>
      <c r="QWV154" s="72"/>
      <c r="QWW154" s="72"/>
      <c r="QWX154" s="72"/>
      <c r="QWY154" s="72"/>
      <c r="QWZ154" s="72"/>
      <c r="QXA154" s="72"/>
      <c r="QXB154" s="72"/>
      <c r="QXC154" s="72"/>
      <c r="QXD154" s="72"/>
      <c r="QXE154" s="72"/>
      <c r="QXF154" s="72"/>
      <c r="QXG154" s="72"/>
      <c r="QXH154" s="72"/>
      <c r="QXI154" s="72"/>
      <c r="QXJ154" s="72"/>
      <c r="QXK154" s="72"/>
      <c r="QXL154" s="72"/>
      <c r="QXM154" s="72"/>
      <c r="QXN154" s="72"/>
      <c r="QXO154" s="72"/>
      <c r="QXP154" s="72"/>
      <c r="QXQ154" s="72"/>
      <c r="QXR154" s="72"/>
      <c r="QXS154" s="72"/>
      <c r="QXT154" s="72"/>
      <c r="QXU154" s="72"/>
      <c r="QXV154" s="72"/>
      <c r="QXW154" s="72"/>
      <c r="QXX154" s="72"/>
      <c r="QXY154" s="72"/>
      <c r="QXZ154" s="72"/>
      <c r="QYA154" s="72"/>
      <c r="QYB154" s="72"/>
      <c r="QYC154" s="72"/>
      <c r="QYD154" s="72"/>
      <c r="QYE154" s="72"/>
      <c r="QYF154" s="72"/>
      <c r="QYG154" s="72"/>
      <c r="QYH154" s="72"/>
      <c r="QYI154" s="72"/>
      <c r="QYJ154" s="72"/>
      <c r="QYK154" s="72"/>
      <c r="QYL154" s="72"/>
      <c r="QYM154" s="72"/>
      <c r="QYN154" s="72"/>
      <c r="QYO154" s="72"/>
      <c r="QYP154" s="72"/>
      <c r="QYQ154" s="72"/>
      <c r="QYR154" s="72"/>
      <c r="QYS154" s="72"/>
      <c r="QYT154" s="72"/>
      <c r="QYU154" s="72"/>
      <c r="QYV154" s="72"/>
      <c r="QYW154" s="72"/>
      <c r="QYX154" s="72"/>
      <c r="QYY154" s="72"/>
      <c r="QYZ154" s="72"/>
      <c r="QZA154" s="72"/>
      <c r="QZB154" s="72"/>
      <c r="QZC154" s="72"/>
      <c r="QZD154" s="72"/>
      <c r="QZE154" s="72"/>
      <c r="QZF154" s="72"/>
      <c r="QZG154" s="72"/>
      <c r="QZH154" s="72"/>
      <c r="QZI154" s="72"/>
      <c r="QZJ154" s="72"/>
      <c r="QZK154" s="72"/>
      <c r="QZL154" s="72"/>
      <c r="QZM154" s="72"/>
      <c r="QZN154" s="72"/>
      <c r="QZO154" s="72"/>
      <c r="QZP154" s="72"/>
      <c r="QZQ154" s="72"/>
      <c r="QZR154" s="72"/>
      <c r="QZS154" s="72"/>
      <c r="QZT154" s="72"/>
      <c r="QZU154" s="72"/>
      <c r="QZV154" s="72"/>
      <c r="QZW154" s="72"/>
      <c r="QZX154" s="72"/>
      <c r="QZY154" s="72"/>
      <c r="QZZ154" s="72"/>
      <c r="RAA154" s="72"/>
      <c r="RAB154" s="72"/>
      <c r="RAC154" s="72"/>
      <c r="RAD154" s="72"/>
      <c r="RAE154" s="72"/>
      <c r="RAF154" s="72"/>
      <c r="RAG154" s="72"/>
      <c r="RAH154" s="72"/>
      <c r="RAI154" s="72"/>
      <c r="RAJ154" s="72"/>
      <c r="RAK154" s="72"/>
      <c r="RAL154" s="72"/>
      <c r="RAM154" s="72"/>
      <c r="RAN154" s="72"/>
      <c r="RAO154" s="72"/>
      <c r="RAP154" s="72"/>
      <c r="RAQ154" s="72"/>
      <c r="RAR154" s="72"/>
      <c r="RAS154" s="72"/>
      <c r="RAT154" s="72"/>
      <c r="RAU154" s="72"/>
      <c r="RAV154" s="72"/>
      <c r="RAW154" s="72"/>
      <c r="RAX154" s="72"/>
      <c r="RAY154" s="72"/>
      <c r="RAZ154" s="72"/>
      <c r="RBA154" s="72"/>
      <c r="RBB154" s="72"/>
      <c r="RBC154" s="72"/>
      <c r="RBD154" s="72"/>
      <c r="RBE154" s="72"/>
      <c r="RBF154" s="72"/>
      <c r="RBG154" s="72"/>
      <c r="RBH154" s="72"/>
      <c r="RBI154" s="72"/>
      <c r="RBJ154" s="72"/>
      <c r="RBK154" s="72"/>
      <c r="RBL154" s="72"/>
      <c r="RBM154" s="72"/>
      <c r="RBN154" s="72"/>
      <c r="RBO154" s="72"/>
      <c r="RBP154" s="72"/>
      <c r="RBQ154" s="72"/>
      <c r="RBR154" s="72"/>
      <c r="RBS154" s="72"/>
      <c r="RBT154" s="72"/>
      <c r="RBU154" s="72"/>
      <c r="RBV154" s="72"/>
      <c r="RBW154" s="72"/>
      <c r="RBX154" s="72"/>
      <c r="RBY154" s="72"/>
      <c r="RBZ154" s="72"/>
      <c r="RCA154" s="72"/>
      <c r="RCB154" s="72"/>
      <c r="RCC154" s="72"/>
      <c r="RCD154" s="72"/>
      <c r="RCE154" s="72"/>
      <c r="RCF154" s="72"/>
      <c r="RCG154" s="72"/>
      <c r="RCH154" s="72"/>
      <c r="RCI154" s="72"/>
      <c r="RCJ154" s="72"/>
      <c r="RCK154" s="72"/>
      <c r="RCL154" s="72"/>
      <c r="RCM154" s="72"/>
      <c r="RCN154" s="72"/>
      <c r="RCO154" s="72"/>
      <c r="RCP154" s="72"/>
      <c r="RCQ154" s="72"/>
      <c r="RCR154" s="72"/>
      <c r="RCS154" s="72"/>
      <c r="RCT154" s="72"/>
      <c r="RCU154" s="72"/>
      <c r="RCV154" s="72"/>
      <c r="RCW154" s="72"/>
      <c r="RCX154" s="72"/>
      <c r="RCY154" s="72"/>
      <c r="RCZ154" s="72"/>
      <c r="RDA154" s="72"/>
      <c r="RDB154" s="72"/>
      <c r="RDC154" s="72"/>
      <c r="RDD154" s="72"/>
      <c r="RDE154" s="72"/>
      <c r="RDF154" s="72"/>
      <c r="RDG154" s="72"/>
      <c r="RDH154" s="72"/>
      <c r="RDI154" s="72"/>
      <c r="RDJ154" s="72"/>
      <c r="RDK154" s="72"/>
      <c r="RDL154" s="72"/>
      <c r="RDM154" s="72"/>
      <c r="RDN154" s="72"/>
      <c r="RDO154" s="72"/>
      <c r="RDP154" s="72"/>
      <c r="RDQ154" s="72"/>
      <c r="RDR154" s="72"/>
      <c r="RDS154" s="72"/>
      <c r="RDT154" s="72"/>
      <c r="RDU154" s="72"/>
      <c r="RDV154" s="72"/>
      <c r="RDW154" s="72"/>
      <c r="RDX154" s="72"/>
      <c r="RDY154" s="72"/>
      <c r="RDZ154" s="72"/>
      <c r="REA154" s="72"/>
      <c r="REB154" s="72"/>
      <c r="REC154" s="72"/>
      <c r="RED154" s="72"/>
      <c r="REE154" s="72"/>
      <c r="REF154" s="72"/>
      <c r="REG154" s="72"/>
      <c r="REH154" s="72"/>
      <c r="REI154" s="72"/>
      <c r="REJ154" s="72"/>
      <c r="REK154" s="72"/>
      <c r="REL154" s="72"/>
      <c r="REM154" s="72"/>
      <c r="REN154" s="72"/>
      <c r="REO154" s="72"/>
      <c r="REP154" s="72"/>
      <c r="REQ154" s="72"/>
      <c r="RER154" s="72"/>
      <c r="RES154" s="72"/>
      <c r="RET154" s="72"/>
      <c r="REU154" s="72"/>
      <c r="REV154" s="72"/>
      <c r="REW154" s="72"/>
      <c r="REX154" s="72"/>
      <c r="REY154" s="72"/>
      <c r="REZ154" s="72"/>
      <c r="RFA154" s="72"/>
      <c r="RFB154" s="72"/>
      <c r="RFC154" s="72"/>
      <c r="RFD154" s="72"/>
      <c r="RFE154" s="72"/>
      <c r="RFF154" s="72"/>
      <c r="RFG154" s="72"/>
      <c r="RFH154" s="72"/>
      <c r="RFI154" s="72"/>
      <c r="RFJ154" s="72"/>
      <c r="RFK154" s="72"/>
      <c r="RFL154" s="72"/>
      <c r="RFM154" s="72"/>
      <c r="RFN154" s="72"/>
      <c r="RFO154" s="72"/>
      <c r="RFP154" s="72"/>
      <c r="RFQ154" s="72"/>
      <c r="RFR154" s="72"/>
      <c r="RFS154" s="72"/>
      <c r="RFT154" s="72"/>
      <c r="RFU154" s="72"/>
      <c r="RFV154" s="72"/>
      <c r="RFW154" s="72"/>
      <c r="RFX154" s="72"/>
      <c r="RFY154" s="72"/>
      <c r="RFZ154" s="72"/>
      <c r="RGA154" s="72"/>
      <c r="RGB154" s="72"/>
      <c r="RGC154" s="72"/>
      <c r="RGD154" s="72"/>
      <c r="RGE154" s="72"/>
      <c r="RGF154" s="72"/>
      <c r="RGG154" s="72"/>
      <c r="RGH154" s="72"/>
      <c r="RGI154" s="72"/>
      <c r="RGJ154" s="72"/>
      <c r="RGK154" s="72"/>
      <c r="RGL154" s="72"/>
      <c r="RGM154" s="72"/>
      <c r="RGN154" s="72"/>
      <c r="RGO154" s="72"/>
      <c r="RGP154" s="72"/>
      <c r="RGQ154" s="72"/>
      <c r="RGR154" s="72"/>
      <c r="RGS154" s="72"/>
      <c r="RGT154" s="72"/>
      <c r="RGU154" s="72"/>
      <c r="RGV154" s="72"/>
      <c r="RGW154" s="72"/>
      <c r="RGX154" s="72"/>
      <c r="RGY154" s="72"/>
      <c r="RGZ154" s="72"/>
      <c r="RHA154" s="72"/>
      <c r="RHB154" s="72"/>
      <c r="RHC154" s="72"/>
      <c r="RHD154" s="72"/>
      <c r="RHE154" s="72"/>
      <c r="RHF154" s="72"/>
      <c r="RHG154" s="72"/>
      <c r="RHH154" s="72"/>
      <c r="RHI154" s="72"/>
      <c r="RHJ154" s="72"/>
      <c r="RHK154" s="72"/>
      <c r="RHL154" s="72"/>
      <c r="RHM154" s="72"/>
      <c r="RHN154" s="72"/>
      <c r="RHO154" s="72"/>
      <c r="RHP154" s="72"/>
      <c r="RHQ154" s="72"/>
      <c r="RHR154" s="72"/>
      <c r="RHS154" s="72"/>
      <c r="RHT154" s="72"/>
      <c r="RHU154" s="72"/>
      <c r="RHV154" s="72"/>
      <c r="RHW154" s="72"/>
      <c r="RHX154" s="72"/>
      <c r="RHY154" s="72"/>
      <c r="RHZ154" s="72"/>
      <c r="RIA154" s="72"/>
      <c r="RIB154" s="72"/>
      <c r="RIC154" s="72"/>
      <c r="RID154" s="72"/>
      <c r="RIE154" s="72"/>
      <c r="RIF154" s="72"/>
      <c r="RIG154" s="72"/>
      <c r="RIH154" s="72"/>
      <c r="RII154" s="72"/>
      <c r="RIJ154" s="72"/>
      <c r="RIK154" s="72"/>
      <c r="RIL154" s="72"/>
      <c r="RIM154" s="72"/>
      <c r="RIN154" s="72"/>
      <c r="RIO154" s="72"/>
      <c r="RIP154" s="72"/>
      <c r="RIQ154" s="72"/>
      <c r="RIR154" s="72"/>
      <c r="RIS154" s="72"/>
      <c r="RIT154" s="72"/>
      <c r="RIU154" s="72"/>
      <c r="RIV154" s="72"/>
      <c r="RIW154" s="72"/>
      <c r="RIX154" s="72"/>
      <c r="RIY154" s="72"/>
      <c r="RIZ154" s="72"/>
      <c r="RJA154" s="72"/>
      <c r="RJB154" s="72"/>
      <c r="RJC154" s="72"/>
      <c r="RJD154" s="72"/>
      <c r="RJE154" s="72"/>
      <c r="RJF154" s="72"/>
      <c r="RJG154" s="72"/>
      <c r="RJH154" s="72"/>
      <c r="RJI154" s="72"/>
      <c r="RJJ154" s="72"/>
      <c r="RJK154" s="72"/>
      <c r="RJL154" s="72"/>
      <c r="RJM154" s="72"/>
      <c r="RJN154" s="72"/>
      <c r="RJO154" s="72"/>
      <c r="RJP154" s="72"/>
      <c r="RJQ154" s="72"/>
      <c r="RJR154" s="72"/>
      <c r="RJS154" s="72"/>
      <c r="RJT154" s="72"/>
      <c r="RJU154" s="72"/>
      <c r="RJV154" s="72"/>
      <c r="RJW154" s="72"/>
      <c r="RJX154" s="72"/>
      <c r="RJY154" s="72"/>
      <c r="RJZ154" s="72"/>
      <c r="RKA154" s="72"/>
      <c r="RKB154" s="72"/>
      <c r="RKC154" s="72"/>
      <c r="RKD154" s="72"/>
      <c r="RKE154" s="72"/>
      <c r="RKF154" s="72"/>
      <c r="RKG154" s="72"/>
      <c r="RKH154" s="72"/>
      <c r="RKI154" s="72"/>
      <c r="RKJ154" s="72"/>
      <c r="RKK154" s="72"/>
      <c r="RKL154" s="72"/>
      <c r="RKM154" s="72"/>
      <c r="RKN154" s="72"/>
      <c r="RKO154" s="72"/>
      <c r="RKP154" s="72"/>
      <c r="RKQ154" s="72"/>
      <c r="RKR154" s="72"/>
      <c r="RKS154" s="72"/>
      <c r="RKT154" s="72"/>
      <c r="RKU154" s="72"/>
      <c r="RKV154" s="72"/>
      <c r="RKW154" s="72"/>
      <c r="RKX154" s="72"/>
      <c r="RKY154" s="72"/>
      <c r="RKZ154" s="72"/>
      <c r="RLA154" s="72"/>
      <c r="RLB154" s="72"/>
      <c r="RLC154" s="72"/>
      <c r="RLD154" s="72"/>
      <c r="RLE154" s="72"/>
      <c r="RLF154" s="72"/>
      <c r="RLG154" s="72"/>
      <c r="RLH154" s="72"/>
      <c r="RLI154" s="72"/>
      <c r="RLJ154" s="72"/>
      <c r="RLK154" s="72"/>
      <c r="RLL154" s="72"/>
      <c r="RLM154" s="72"/>
      <c r="RLN154" s="72"/>
      <c r="RLO154" s="72"/>
      <c r="RLP154" s="72"/>
      <c r="RLQ154" s="72"/>
      <c r="RLR154" s="72"/>
      <c r="RLS154" s="72"/>
      <c r="RLT154" s="72"/>
      <c r="RLU154" s="72"/>
      <c r="RLV154" s="72"/>
      <c r="RLW154" s="72"/>
      <c r="RLX154" s="72"/>
      <c r="RLY154" s="72"/>
      <c r="RLZ154" s="72"/>
      <c r="RMA154" s="72"/>
      <c r="RMB154" s="72"/>
      <c r="RMC154" s="72"/>
      <c r="RMD154" s="72"/>
      <c r="RME154" s="72"/>
      <c r="RMF154" s="72"/>
      <c r="RMG154" s="72"/>
      <c r="RMH154" s="72"/>
      <c r="RMI154" s="72"/>
      <c r="RMJ154" s="72"/>
      <c r="RMK154" s="72"/>
      <c r="RML154" s="72"/>
      <c r="RMM154" s="72"/>
      <c r="RMN154" s="72"/>
      <c r="RMO154" s="72"/>
      <c r="RMP154" s="72"/>
      <c r="RMQ154" s="72"/>
      <c r="RMR154" s="72"/>
      <c r="RMS154" s="72"/>
      <c r="RMT154" s="72"/>
      <c r="RMU154" s="72"/>
      <c r="RMV154" s="72"/>
      <c r="RMW154" s="72"/>
      <c r="RMX154" s="72"/>
      <c r="RMY154" s="72"/>
      <c r="RMZ154" s="72"/>
      <c r="RNA154" s="72"/>
      <c r="RNB154" s="72"/>
      <c r="RNC154" s="72"/>
      <c r="RND154" s="72"/>
      <c r="RNE154" s="72"/>
      <c r="RNF154" s="72"/>
      <c r="RNG154" s="72"/>
      <c r="RNH154" s="72"/>
      <c r="RNI154" s="72"/>
      <c r="RNJ154" s="72"/>
      <c r="RNK154" s="72"/>
      <c r="RNL154" s="72"/>
      <c r="RNM154" s="72"/>
      <c r="RNN154" s="72"/>
      <c r="RNO154" s="72"/>
      <c r="RNP154" s="72"/>
      <c r="RNQ154" s="72"/>
      <c r="RNR154" s="72"/>
      <c r="RNS154" s="72"/>
      <c r="RNT154" s="72"/>
      <c r="RNU154" s="72"/>
      <c r="RNV154" s="72"/>
      <c r="RNW154" s="72"/>
      <c r="RNX154" s="72"/>
      <c r="RNY154" s="72"/>
      <c r="RNZ154" s="72"/>
      <c r="ROA154" s="72"/>
      <c r="ROB154" s="72"/>
      <c r="ROC154" s="72"/>
      <c r="ROD154" s="72"/>
      <c r="ROE154" s="72"/>
      <c r="ROF154" s="72"/>
      <c r="ROG154" s="72"/>
      <c r="ROH154" s="72"/>
      <c r="ROI154" s="72"/>
      <c r="ROJ154" s="72"/>
      <c r="ROK154" s="72"/>
      <c r="ROL154" s="72"/>
      <c r="ROM154" s="72"/>
      <c r="RON154" s="72"/>
      <c r="ROO154" s="72"/>
      <c r="ROP154" s="72"/>
      <c r="ROQ154" s="72"/>
      <c r="ROR154" s="72"/>
      <c r="ROS154" s="72"/>
      <c r="ROT154" s="72"/>
      <c r="ROU154" s="72"/>
      <c r="ROV154" s="72"/>
      <c r="ROW154" s="72"/>
      <c r="ROX154" s="72"/>
      <c r="ROY154" s="72"/>
      <c r="ROZ154" s="72"/>
      <c r="RPA154" s="72"/>
      <c r="RPB154" s="72"/>
      <c r="RPC154" s="72"/>
      <c r="RPD154" s="72"/>
      <c r="RPE154" s="72"/>
      <c r="RPF154" s="72"/>
      <c r="RPG154" s="72"/>
      <c r="RPH154" s="72"/>
      <c r="RPI154" s="72"/>
      <c r="RPJ154" s="72"/>
      <c r="RPK154" s="72"/>
      <c r="RPL154" s="72"/>
      <c r="RPM154" s="72"/>
      <c r="RPN154" s="72"/>
      <c r="RPO154" s="72"/>
      <c r="RPP154" s="72"/>
      <c r="RPQ154" s="72"/>
      <c r="RPR154" s="72"/>
      <c r="RPS154" s="72"/>
      <c r="RPT154" s="72"/>
      <c r="RPU154" s="72"/>
      <c r="RPV154" s="72"/>
      <c r="RPW154" s="72"/>
      <c r="RPX154" s="72"/>
      <c r="RPY154" s="72"/>
      <c r="RPZ154" s="72"/>
      <c r="RQA154" s="72"/>
      <c r="RQB154" s="72"/>
      <c r="RQC154" s="72"/>
      <c r="RQD154" s="72"/>
      <c r="RQE154" s="72"/>
      <c r="RQF154" s="72"/>
      <c r="RQG154" s="72"/>
      <c r="RQH154" s="72"/>
      <c r="RQI154" s="72"/>
      <c r="RQJ154" s="72"/>
      <c r="RQK154" s="72"/>
      <c r="RQL154" s="72"/>
      <c r="RQM154" s="72"/>
      <c r="RQN154" s="72"/>
      <c r="RQO154" s="72"/>
      <c r="RQP154" s="72"/>
      <c r="RQQ154" s="72"/>
      <c r="RQR154" s="72"/>
      <c r="RQS154" s="72"/>
      <c r="RQT154" s="72"/>
      <c r="RQU154" s="72"/>
      <c r="RQV154" s="72"/>
      <c r="RQW154" s="72"/>
      <c r="RQX154" s="72"/>
      <c r="RQY154" s="72"/>
      <c r="RQZ154" s="72"/>
      <c r="RRA154" s="72"/>
      <c r="RRB154" s="72"/>
      <c r="RRC154" s="72"/>
      <c r="RRD154" s="72"/>
      <c r="RRE154" s="72"/>
      <c r="RRF154" s="72"/>
      <c r="RRG154" s="72"/>
      <c r="RRH154" s="72"/>
      <c r="RRI154" s="72"/>
      <c r="RRJ154" s="72"/>
      <c r="RRK154" s="72"/>
      <c r="RRL154" s="72"/>
      <c r="RRM154" s="72"/>
      <c r="RRN154" s="72"/>
      <c r="RRO154" s="72"/>
      <c r="RRP154" s="72"/>
      <c r="RRQ154" s="72"/>
      <c r="RRR154" s="72"/>
      <c r="RRS154" s="72"/>
      <c r="RRT154" s="72"/>
      <c r="RRU154" s="72"/>
      <c r="RRV154" s="72"/>
      <c r="RRW154" s="72"/>
      <c r="RRX154" s="72"/>
      <c r="RRY154" s="72"/>
      <c r="RRZ154" s="72"/>
      <c r="RSA154" s="72"/>
      <c r="RSB154" s="72"/>
      <c r="RSC154" s="72"/>
      <c r="RSD154" s="72"/>
      <c r="RSE154" s="72"/>
      <c r="RSF154" s="72"/>
      <c r="RSG154" s="72"/>
      <c r="RSH154" s="72"/>
      <c r="RSI154" s="72"/>
      <c r="RSJ154" s="72"/>
      <c r="RSK154" s="72"/>
      <c r="RSL154" s="72"/>
      <c r="RSM154" s="72"/>
      <c r="RSN154" s="72"/>
      <c r="RSO154" s="72"/>
      <c r="RSP154" s="72"/>
      <c r="RSQ154" s="72"/>
      <c r="RSR154" s="72"/>
      <c r="RSS154" s="72"/>
      <c r="RST154" s="72"/>
      <c r="RSU154" s="72"/>
      <c r="RSV154" s="72"/>
      <c r="RSW154" s="72"/>
      <c r="RSX154" s="72"/>
      <c r="RSY154" s="72"/>
      <c r="RSZ154" s="72"/>
      <c r="RTA154" s="72"/>
      <c r="RTB154" s="72"/>
      <c r="RTC154" s="72"/>
      <c r="RTD154" s="72"/>
      <c r="RTE154" s="72"/>
      <c r="RTF154" s="72"/>
      <c r="RTG154" s="72"/>
      <c r="RTH154" s="72"/>
      <c r="RTI154" s="72"/>
      <c r="RTJ154" s="72"/>
      <c r="RTK154" s="72"/>
      <c r="RTL154" s="72"/>
      <c r="RTM154" s="72"/>
      <c r="RTN154" s="72"/>
      <c r="RTO154" s="72"/>
      <c r="RTP154" s="72"/>
      <c r="RTQ154" s="72"/>
      <c r="RTR154" s="72"/>
      <c r="RTS154" s="72"/>
      <c r="RTT154" s="72"/>
      <c r="RTU154" s="72"/>
      <c r="RTV154" s="72"/>
      <c r="RTW154" s="72"/>
      <c r="RTX154" s="72"/>
      <c r="RTY154" s="72"/>
      <c r="RTZ154" s="72"/>
      <c r="RUA154" s="72"/>
      <c r="RUB154" s="72"/>
      <c r="RUC154" s="72"/>
      <c r="RUD154" s="72"/>
      <c r="RUE154" s="72"/>
      <c r="RUF154" s="72"/>
      <c r="RUG154" s="72"/>
      <c r="RUH154" s="72"/>
      <c r="RUI154" s="72"/>
      <c r="RUJ154" s="72"/>
      <c r="RUK154" s="72"/>
      <c r="RUL154" s="72"/>
      <c r="RUM154" s="72"/>
      <c r="RUN154" s="72"/>
      <c r="RUO154" s="72"/>
      <c r="RUP154" s="72"/>
      <c r="RUQ154" s="72"/>
      <c r="RUR154" s="72"/>
      <c r="RUS154" s="72"/>
      <c r="RUT154" s="72"/>
      <c r="RUU154" s="72"/>
      <c r="RUV154" s="72"/>
      <c r="RUW154" s="72"/>
      <c r="RUX154" s="72"/>
      <c r="RUY154" s="72"/>
      <c r="RUZ154" s="72"/>
      <c r="RVA154" s="72"/>
      <c r="RVB154" s="72"/>
      <c r="RVC154" s="72"/>
      <c r="RVD154" s="72"/>
      <c r="RVE154" s="72"/>
      <c r="RVF154" s="72"/>
      <c r="RVG154" s="72"/>
      <c r="RVH154" s="72"/>
      <c r="RVI154" s="72"/>
      <c r="RVJ154" s="72"/>
      <c r="RVK154" s="72"/>
      <c r="RVL154" s="72"/>
      <c r="RVM154" s="72"/>
      <c r="RVN154" s="72"/>
      <c r="RVO154" s="72"/>
      <c r="RVP154" s="72"/>
      <c r="RVQ154" s="72"/>
      <c r="RVR154" s="72"/>
      <c r="RVS154" s="72"/>
      <c r="RVT154" s="72"/>
      <c r="RVU154" s="72"/>
      <c r="RVV154" s="72"/>
      <c r="RVW154" s="72"/>
      <c r="RVX154" s="72"/>
      <c r="RVY154" s="72"/>
      <c r="RVZ154" s="72"/>
      <c r="RWA154" s="72"/>
      <c r="RWB154" s="72"/>
      <c r="RWC154" s="72"/>
      <c r="RWD154" s="72"/>
      <c r="RWE154" s="72"/>
      <c r="RWF154" s="72"/>
      <c r="RWG154" s="72"/>
      <c r="RWH154" s="72"/>
      <c r="RWI154" s="72"/>
      <c r="RWJ154" s="72"/>
      <c r="RWK154" s="72"/>
      <c r="RWL154" s="72"/>
      <c r="RWM154" s="72"/>
      <c r="RWN154" s="72"/>
      <c r="RWO154" s="72"/>
      <c r="RWP154" s="72"/>
      <c r="RWQ154" s="72"/>
      <c r="RWR154" s="72"/>
      <c r="RWS154" s="72"/>
      <c r="RWT154" s="72"/>
      <c r="RWU154" s="72"/>
      <c r="RWV154" s="72"/>
      <c r="RWW154" s="72"/>
      <c r="RWX154" s="72"/>
      <c r="RWY154" s="72"/>
      <c r="RWZ154" s="72"/>
      <c r="RXA154" s="72"/>
      <c r="RXB154" s="72"/>
      <c r="RXC154" s="72"/>
      <c r="RXD154" s="72"/>
      <c r="RXE154" s="72"/>
      <c r="RXF154" s="72"/>
      <c r="RXG154" s="72"/>
      <c r="RXH154" s="72"/>
      <c r="RXI154" s="72"/>
      <c r="RXJ154" s="72"/>
      <c r="RXK154" s="72"/>
      <c r="RXL154" s="72"/>
      <c r="RXM154" s="72"/>
      <c r="RXN154" s="72"/>
      <c r="RXO154" s="72"/>
      <c r="RXP154" s="72"/>
      <c r="RXQ154" s="72"/>
      <c r="RXR154" s="72"/>
      <c r="RXS154" s="72"/>
      <c r="RXT154" s="72"/>
      <c r="RXU154" s="72"/>
      <c r="RXV154" s="72"/>
      <c r="RXW154" s="72"/>
      <c r="RXX154" s="72"/>
      <c r="RXY154" s="72"/>
      <c r="RXZ154" s="72"/>
      <c r="RYA154" s="72"/>
      <c r="RYB154" s="72"/>
      <c r="RYC154" s="72"/>
      <c r="RYD154" s="72"/>
      <c r="RYE154" s="72"/>
      <c r="RYF154" s="72"/>
      <c r="RYG154" s="72"/>
      <c r="RYH154" s="72"/>
      <c r="RYI154" s="72"/>
      <c r="RYJ154" s="72"/>
      <c r="RYK154" s="72"/>
      <c r="RYL154" s="72"/>
      <c r="RYM154" s="72"/>
      <c r="RYN154" s="72"/>
      <c r="RYO154" s="72"/>
      <c r="RYP154" s="72"/>
      <c r="RYQ154" s="72"/>
      <c r="RYR154" s="72"/>
      <c r="RYS154" s="72"/>
      <c r="RYT154" s="72"/>
      <c r="RYU154" s="72"/>
      <c r="RYV154" s="72"/>
      <c r="RYW154" s="72"/>
      <c r="RYX154" s="72"/>
      <c r="RYY154" s="72"/>
      <c r="RYZ154" s="72"/>
      <c r="RZA154" s="72"/>
      <c r="RZB154" s="72"/>
      <c r="RZC154" s="72"/>
      <c r="RZD154" s="72"/>
      <c r="RZE154" s="72"/>
      <c r="RZF154" s="72"/>
      <c r="RZG154" s="72"/>
      <c r="RZH154" s="72"/>
      <c r="RZI154" s="72"/>
      <c r="RZJ154" s="72"/>
      <c r="RZK154" s="72"/>
      <c r="RZL154" s="72"/>
      <c r="RZM154" s="72"/>
      <c r="RZN154" s="72"/>
      <c r="RZO154" s="72"/>
      <c r="RZP154" s="72"/>
      <c r="RZQ154" s="72"/>
      <c r="RZR154" s="72"/>
      <c r="RZS154" s="72"/>
      <c r="RZT154" s="72"/>
      <c r="RZU154" s="72"/>
      <c r="RZV154" s="72"/>
      <c r="RZW154" s="72"/>
      <c r="RZX154" s="72"/>
      <c r="RZY154" s="72"/>
      <c r="RZZ154" s="72"/>
      <c r="SAA154" s="72"/>
      <c r="SAB154" s="72"/>
      <c r="SAC154" s="72"/>
      <c r="SAD154" s="72"/>
      <c r="SAE154" s="72"/>
      <c r="SAF154" s="72"/>
      <c r="SAG154" s="72"/>
      <c r="SAH154" s="72"/>
      <c r="SAI154" s="72"/>
      <c r="SAJ154" s="72"/>
      <c r="SAK154" s="72"/>
      <c r="SAL154" s="72"/>
      <c r="SAM154" s="72"/>
      <c r="SAN154" s="72"/>
      <c r="SAO154" s="72"/>
      <c r="SAP154" s="72"/>
      <c r="SAQ154" s="72"/>
      <c r="SAR154" s="72"/>
      <c r="SAS154" s="72"/>
      <c r="SAT154" s="72"/>
      <c r="SAU154" s="72"/>
      <c r="SAV154" s="72"/>
      <c r="SAW154" s="72"/>
      <c r="SAX154" s="72"/>
      <c r="SAY154" s="72"/>
      <c r="SAZ154" s="72"/>
      <c r="SBA154" s="72"/>
      <c r="SBB154" s="72"/>
      <c r="SBC154" s="72"/>
      <c r="SBD154" s="72"/>
      <c r="SBE154" s="72"/>
      <c r="SBF154" s="72"/>
      <c r="SBG154" s="72"/>
      <c r="SBH154" s="72"/>
      <c r="SBI154" s="72"/>
      <c r="SBJ154" s="72"/>
      <c r="SBK154" s="72"/>
      <c r="SBL154" s="72"/>
      <c r="SBM154" s="72"/>
      <c r="SBN154" s="72"/>
      <c r="SBO154" s="72"/>
      <c r="SBP154" s="72"/>
      <c r="SBQ154" s="72"/>
      <c r="SBR154" s="72"/>
      <c r="SBS154" s="72"/>
      <c r="SBT154" s="72"/>
      <c r="SBU154" s="72"/>
      <c r="SBV154" s="72"/>
      <c r="SBW154" s="72"/>
      <c r="SBX154" s="72"/>
      <c r="SBY154" s="72"/>
      <c r="SBZ154" s="72"/>
      <c r="SCA154" s="72"/>
      <c r="SCB154" s="72"/>
      <c r="SCC154" s="72"/>
      <c r="SCD154" s="72"/>
      <c r="SCE154" s="72"/>
      <c r="SCF154" s="72"/>
      <c r="SCG154" s="72"/>
      <c r="SCH154" s="72"/>
      <c r="SCI154" s="72"/>
      <c r="SCJ154" s="72"/>
      <c r="SCK154" s="72"/>
      <c r="SCL154" s="72"/>
      <c r="SCM154" s="72"/>
      <c r="SCN154" s="72"/>
      <c r="SCO154" s="72"/>
      <c r="SCP154" s="72"/>
      <c r="SCQ154" s="72"/>
      <c r="SCR154" s="72"/>
      <c r="SCS154" s="72"/>
      <c r="SCT154" s="72"/>
      <c r="SCU154" s="72"/>
      <c r="SCV154" s="72"/>
      <c r="SCW154" s="72"/>
      <c r="SCX154" s="72"/>
      <c r="SCY154" s="72"/>
      <c r="SCZ154" s="72"/>
      <c r="SDA154" s="72"/>
      <c r="SDB154" s="72"/>
      <c r="SDC154" s="72"/>
      <c r="SDD154" s="72"/>
      <c r="SDE154" s="72"/>
      <c r="SDF154" s="72"/>
      <c r="SDG154" s="72"/>
      <c r="SDH154" s="72"/>
      <c r="SDI154" s="72"/>
      <c r="SDJ154" s="72"/>
      <c r="SDK154" s="72"/>
      <c r="SDL154" s="72"/>
      <c r="SDM154" s="72"/>
      <c r="SDN154" s="72"/>
      <c r="SDO154" s="72"/>
      <c r="SDP154" s="72"/>
      <c r="SDQ154" s="72"/>
      <c r="SDR154" s="72"/>
      <c r="SDS154" s="72"/>
      <c r="SDT154" s="72"/>
      <c r="SDU154" s="72"/>
      <c r="SDV154" s="72"/>
      <c r="SDW154" s="72"/>
      <c r="SDX154" s="72"/>
      <c r="SDY154" s="72"/>
      <c r="SDZ154" s="72"/>
      <c r="SEA154" s="72"/>
      <c r="SEB154" s="72"/>
      <c r="SEC154" s="72"/>
      <c r="SED154" s="72"/>
      <c r="SEE154" s="72"/>
      <c r="SEF154" s="72"/>
      <c r="SEG154" s="72"/>
      <c r="SEH154" s="72"/>
      <c r="SEI154" s="72"/>
      <c r="SEJ154" s="72"/>
      <c r="SEK154" s="72"/>
      <c r="SEL154" s="72"/>
      <c r="SEM154" s="72"/>
      <c r="SEN154" s="72"/>
      <c r="SEO154" s="72"/>
      <c r="SEP154" s="72"/>
      <c r="SEQ154" s="72"/>
      <c r="SER154" s="72"/>
      <c r="SES154" s="72"/>
      <c r="SET154" s="72"/>
      <c r="SEU154" s="72"/>
      <c r="SEV154" s="72"/>
      <c r="SEW154" s="72"/>
      <c r="SEX154" s="72"/>
      <c r="SEY154" s="72"/>
      <c r="SEZ154" s="72"/>
      <c r="SFA154" s="72"/>
      <c r="SFB154" s="72"/>
      <c r="SFC154" s="72"/>
      <c r="SFD154" s="72"/>
      <c r="SFE154" s="72"/>
      <c r="SFF154" s="72"/>
      <c r="SFG154" s="72"/>
      <c r="SFH154" s="72"/>
      <c r="SFI154" s="72"/>
      <c r="SFJ154" s="72"/>
      <c r="SFK154" s="72"/>
      <c r="SFL154" s="72"/>
      <c r="SFM154" s="72"/>
      <c r="SFN154" s="72"/>
      <c r="SFO154" s="72"/>
      <c r="SFP154" s="72"/>
      <c r="SFQ154" s="72"/>
      <c r="SFR154" s="72"/>
      <c r="SFS154" s="72"/>
      <c r="SFT154" s="72"/>
      <c r="SFU154" s="72"/>
      <c r="SFV154" s="72"/>
      <c r="SFW154" s="72"/>
      <c r="SFX154" s="72"/>
      <c r="SFY154" s="72"/>
      <c r="SFZ154" s="72"/>
      <c r="SGA154" s="72"/>
      <c r="SGB154" s="72"/>
      <c r="SGC154" s="72"/>
      <c r="SGD154" s="72"/>
      <c r="SGE154" s="72"/>
      <c r="SGF154" s="72"/>
      <c r="SGG154" s="72"/>
      <c r="SGH154" s="72"/>
      <c r="SGI154" s="72"/>
      <c r="SGJ154" s="72"/>
      <c r="SGK154" s="72"/>
      <c r="SGL154" s="72"/>
      <c r="SGM154" s="72"/>
      <c r="SGN154" s="72"/>
      <c r="SGO154" s="72"/>
      <c r="SGP154" s="72"/>
      <c r="SGQ154" s="72"/>
      <c r="SGR154" s="72"/>
      <c r="SGS154" s="72"/>
      <c r="SGT154" s="72"/>
      <c r="SGU154" s="72"/>
      <c r="SGV154" s="72"/>
      <c r="SGW154" s="72"/>
      <c r="SGX154" s="72"/>
      <c r="SGY154" s="72"/>
      <c r="SGZ154" s="72"/>
      <c r="SHA154" s="72"/>
      <c r="SHB154" s="72"/>
      <c r="SHC154" s="72"/>
      <c r="SHD154" s="72"/>
      <c r="SHE154" s="72"/>
      <c r="SHF154" s="72"/>
      <c r="SHG154" s="72"/>
      <c r="SHH154" s="72"/>
      <c r="SHI154" s="72"/>
      <c r="SHJ154" s="72"/>
      <c r="SHK154" s="72"/>
      <c r="SHL154" s="72"/>
      <c r="SHM154" s="72"/>
      <c r="SHN154" s="72"/>
      <c r="SHO154" s="72"/>
      <c r="SHP154" s="72"/>
      <c r="SHQ154" s="72"/>
      <c r="SHR154" s="72"/>
      <c r="SHS154" s="72"/>
      <c r="SHT154" s="72"/>
      <c r="SHU154" s="72"/>
      <c r="SHV154" s="72"/>
      <c r="SHW154" s="72"/>
      <c r="SHX154" s="72"/>
      <c r="SHY154" s="72"/>
      <c r="SHZ154" s="72"/>
      <c r="SIA154" s="72"/>
      <c r="SIB154" s="72"/>
      <c r="SIC154" s="72"/>
      <c r="SID154" s="72"/>
      <c r="SIE154" s="72"/>
      <c r="SIF154" s="72"/>
      <c r="SIG154" s="72"/>
      <c r="SIH154" s="72"/>
      <c r="SII154" s="72"/>
      <c r="SIJ154" s="72"/>
      <c r="SIK154" s="72"/>
      <c r="SIL154" s="72"/>
      <c r="SIM154" s="72"/>
      <c r="SIN154" s="72"/>
      <c r="SIO154" s="72"/>
      <c r="SIP154" s="72"/>
      <c r="SIQ154" s="72"/>
      <c r="SIR154" s="72"/>
      <c r="SIS154" s="72"/>
      <c r="SIT154" s="72"/>
      <c r="SIU154" s="72"/>
      <c r="SIV154" s="72"/>
      <c r="SIW154" s="72"/>
      <c r="SIX154" s="72"/>
      <c r="SIY154" s="72"/>
      <c r="SIZ154" s="72"/>
      <c r="SJA154" s="72"/>
      <c r="SJB154" s="72"/>
      <c r="SJC154" s="72"/>
      <c r="SJD154" s="72"/>
      <c r="SJE154" s="72"/>
      <c r="SJF154" s="72"/>
      <c r="SJG154" s="72"/>
      <c r="SJH154" s="72"/>
      <c r="SJI154" s="72"/>
      <c r="SJJ154" s="72"/>
      <c r="SJK154" s="72"/>
      <c r="SJL154" s="72"/>
      <c r="SJM154" s="72"/>
      <c r="SJN154" s="72"/>
      <c r="SJO154" s="72"/>
      <c r="SJP154" s="72"/>
      <c r="SJQ154" s="72"/>
      <c r="SJR154" s="72"/>
      <c r="SJS154" s="72"/>
      <c r="SJT154" s="72"/>
      <c r="SJU154" s="72"/>
      <c r="SJV154" s="72"/>
      <c r="SJW154" s="72"/>
      <c r="SJX154" s="72"/>
      <c r="SJY154" s="72"/>
      <c r="SJZ154" s="72"/>
      <c r="SKA154" s="72"/>
      <c r="SKB154" s="72"/>
      <c r="SKC154" s="72"/>
      <c r="SKD154" s="72"/>
      <c r="SKE154" s="72"/>
      <c r="SKF154" s="72"/>
      <c r="SKG154" s="72"/>
      <c r="SKH154" s="72"/>
      <c r="SKI154" s="72"/>
      <c r="SKJ154" s="72"/>
      <c r="SKK154" s="72"/>
      <c r="SKL154" s="72"/>
      <c r="SKM154" s="72"/>
      <c r="SKN154" s="72"/>
      <c r="SKO154" s="72"/>
      <c r="SKP154" s="72"/>
      <c r="SKQ154" s="72"/>
      <c r="SKR154" s="72"/>
      <c r="SKS154" s="72"/>
      <c r="SKT154" s="72"/>
      <c r="SKU154" s="72"/>
      <c r="SKV154" s="72"/>
      <c r="SKW154" s="72"/>
      <c r="SKX154" s="72"/>
      <c r="SKY154" s="72"/>
      <c r="SKZ154" s="72"/>
      <c r="SLA154" s="72"/>
      <c r="SLB154" s="72"/>
      <c r="SLC154" s="72"/>
      <c r="SLD154" s="72"/>
      <c r="SLE154" s="72"/>
      <c r="SLF154" s="72"/>
      <c r="SLG154" s="72"/>
      <c r="SLH154" s="72"/>
      <c r="SLI154" s="72"/>
      <c r="SLJ154" s="72"/>
      <c r="SLK154" s="72"/>
      <c r="SLL154" s="72"/>
      <c r="SLM154" s="72"/>
      <c r="SLN154" s="72"/>
      <c r="SLO154" s="72"/>
      <c r="SLP154" s="72"/>
      <c r="SLQ154" s="72"/>
      <c r="SLR154" s="72"/>
      <c r="SLS154" s="72"/>
      <c r="SLT154" s="72"/>
      <c r="SLU154" s="72"/>
      <c r="SLV154" s="72"/>
      <c r="SLW154" s="72"/>
      <c r="SLX154" s="72"/>
      <c r="SLY154" s="72"/>
      <c r="SLZ154" s="72"/>
      <c r="SMA154" s="72"/>
      <c r="SMB154" s="72"/>
      <c r="SMC154" s="72"/>
      <c r="SMD154" s="72"/>
      <c r="SME154" s="72"/>
      <c r="SMF154" s="72"/>
      <c r="SMG154" s="72"/>
      <c r="SMH154" s="72"/>
      <c r="SMI154" s="72"/>
      <c r="SMJ154" s="72"/>
      <c r="SMK154" s="72"/>
      <c r="SML154" s="72"/>
      <c r="SMM154" s="72"/>
      <c r="SMN154" s="72"/>
      <c r="SMO154" s="72"/>
      <c r="SMP154" s="72"/>
      <c r="SMQ154" s="72"/>
      <c r="SMR154" s="72"/>
      <c r="SMS154" s="72"/>
      <c r="SMT154" s="72"/>
      <c r="SMU154" s="72"/>
      <c r="SMV154" s="72"/>
      <c r="SMW154" s="72"/>
      <c r="SMX154" s="72"/>
      <c r="SMY154" s="72"/>
      <c r="SMZ154" s="72"/>
      <c r="SNA154" s="72"/>
      <c r="SNB154" s="72"/>
      <c r="SNC154" s="72"/>
      <c r="SND154" s="72"/>
      <c r="SNE154" s="72"/>
      <c r="SNF154" s="72"/>
      <c r="SNG154" s="72"/>
      <c r="SNH154" s="72"/>
      <c r="SNI154" s="72"/>
      <c r="SNJ154" s="72"/>
      <c r="SNK154" s="72"/>
      <c r="SNL154" s="72"/>
      <c r="SNM154" s="72"/>
      <c r="SNN154" s="72"/>
      <c r="SNO154" s="72"/>
      <c r="SNP154" s="72"/>
      <c r="SNQ154" s="72"/>
      <c r="SNR154" s="72"/>
      <c r="SNS154" s="72"/>
      <c r="SNT154" s="72"/>
      <c r="SNU154" s="72"/>
      <c r="SNV154" s="72"/>
      <c r="SNW154" s="72"/>
      <c r="SNX154" s="72"/>
      <c r="SNY154" s="72"/>
      <c r="SNZ154" s="72"/>
      <c r="SOA154" s="72"/>
      <c r="SOB154" s="72"/>
      <c r="SOC154" s="72"/>
      <c r="SOD154" s="72"/>
      <c r="SOE154" s="72"/>
      <c r="SOF154" s="72"/>
      <c r="SOG154" s="72"/>
      <c r="SOH154" s="72"/>
      <c r="SOI154" s="72"/>
      <c r="SOJ154" s="72"/>
      <c r="SOK154" s="72"/>
      <c r="SOL154" s="72"/>
      <c r="SOM154" s="72"/>
      <c r="SON154" s="72"/>
      <c r="SOO154" s="72"/>
      <c r="SOP154" s="72"/>
      <c r="SOQ154" s="72"/>
      <c r="SOR154" s="72"/>
      <c r="SOS154" s="72"/>
      <c r="SOT154" s="72"/>
      <c r="SOU154" s="72"/>
      <c r="SOV154" s="72"/>
      <c r="SOW154" s="72"/>
      <c r="SOX154" s="72"/>
      <c r="SOY154" s="72"/>
      <c r="SOZ154" s="72"/>
      <c r="SPA154" s="72"/>
      <c r="SPB154" s="72"/>
      <c r="SPC154" s="72"/>
      <c r="SPD154" s="72"/>
      <c r="SPE154" s="72"/>
      <c r="SPF154" s="72"/>
      <c r="SPG154" s="72"/>
      <c r="SPH154" s="72"/>
      <c r="SPI154" s="72"/>
      <c r="SPJ154" s="72"/>
      <c r="SPK154" s="72"/>
      <c r="SPL154" s="72"/>
      <c r="SPM154" s="72"/>
      <c r="SPN154" s="72"/>
      <c r="SPO154" s="72"/>
      <c r="SPP154" s="72"/>
      <c r="SPQ154" s="72"/>
      <c r="SPR154" s="72"/>
      <c r="SPS154" s="72"/>
      <c r="SPT154" s="72"/>
      <c r="SPU154" s="72"/>
      <c r="SPV154" s="72"/>
      <c r="SPW154" s="72"/>
      <c r="SPX154" s="72"/>
      <c r="SPY154" s="72"/>
      <c r="SPZ154" s="72"/>
      <c r="SQA154" s="72"/>
      <c r="SQB154" s="72"/>
      <c r="SQC154" s="72"/>
      <c r="SQD154" s="72"/>
      <c r="SQE154" s="72"/>
      <c r="SQF154" s="72"/>
      <c r="SQG154" s="72"/>
      <c r="SQH154" s="72"/>
      <c r="SQI154" s="72"/>
      <c r="SQJ154" s="72"/>
      <c r="SQK154" s="72"/>
      <c r="SQL154" s="72"/>
      <c r="SQM154" s="72"/>
      <c r="SQN154" s="72"/>
      <c r="SQO154" s="72"/>
      <c r="SQP154" s="72"/>
      <c r="SQQ154" s="72"/>
      <c r="SQR154" s="72"/>
      <c r="SQS154" s="72"/>
      <c r="SQT154" s="72"/>
      <c r="SQU154" s="72"/>
      <c r="SQV154" s="72"/>
      <c r="SQW154" s="72"/>
      <c r="SQX154" s="72"/>
      <c r="SQY154" s="72"/>
      <c r="SQZ154" s="72"/>
      <c r="SRA154" s="72"/>
      <c r="SRB154" s="72"/>
      <c r="SRC154" s="72"/>
      <c r="SRD154" s="72"/>
      <c r="SRE154" s="72"/>
      <c r="SRF154" s="72"/>
      <c r="SRG154" s="72"/>
      <c r="SRH154" s="72"/>
      <c r="SRI154" s="72"/>
      <c r="SRJ154" s="72"/>
      <c r="SRK154" s="72"/>
      <c r="SRL154" s="72"/>
      <c r="SRM154" s="72"/>
      <c r="SRN154" s="72"/>
      <c r="SRO154" s="72"/>
      <c r="SRP154" s="72"/>
      <c r="SRQ154" s="72"/>
      <c r="SRR154" s="72"/>
      <c r="SRS154" s="72"/>
      <c r="SRT154" s="72"/>
      <c r="SRU154" s="72"/>
      <c r="SRV154" s="72"/>
      <c r="SRW154" s="72"/>
      <c r="SRX154" s="72"/>
      <c r="SRY154" s="72"/>
      <c r="SRZ154" s="72"/>
      <c r="SSA154" s="72"/>
      <c r="SSB154" s="72"/>
      <c r="SSC154" s="72"/>
      <c r="SSD154" s="72"/>
      <c r="SSE154" s="72"/>
      <c r="SSF154" s="72"/>
      <c r="SSG154" s="72"/>
      <c r="SSH154" s="72"/>
      <c r="SSI154" s="72"/>
      <c r="SSJ154" s="72"/>
      <c r="SSK154" s="72"/>
      <c r="SSL154" s="72"/>
      <c r="SSM154" s="72"/>
      <c r="SSN154" s="72"/>
      <c r="SSO154" s="72"/>
      <c r="SSP154" s="72"/>
      <c r="SSQ154" s="72"/>
      <c r="SSR154" s="72"/>
      <c r="SSS154" s="72"/>
      <c r="SST154" s="72"/>
      <c r="SSU154" s="72"/>
      <c r="SSV154" s="72"/>
      <c r="SSW154" s="72"/>
      <c r="SSX154" s="72"/>
      <c r="SSY154" s="72"/>
      <c r="SSZ154" s="72"/>
      <c r="STA154" s="72"/>
      <c r="STB154" s="72"/>
      <c r="STC154" s="72"/>
      <c r="STD154" s="72"/>
      <c r="STE154" s="72"/>
      <c r="STF154" s="72"/>
      <c r="STG154" s="72"/>
      <c r="STH154" s="72"/>
      <c r="STI154" s="72"/>
      <c r="STJ154" s="72"/>
      <c r="STK154" s="72"/>
      <c r="STL154" s="72"/>
      <c r="STM154" s="72"/>
      <c r="STN154" s="72"/>
      <c r="STO154" s="72"/>
      <c r="STP154" s="72"/>
      <c r="STQ154" s="72"/>
      <c r="STR154" s="72"/>
      <c r="STS154" s="72"/>
      <c r="STT154" s="72"/>
      <c r="STU154" s="72"/>
      <c r="STV154" s="72"/>
      <c r="STW154" s="72"/>
      <c r="STX154" s="72"/>
      <c r="STY154" s="72"/>
      <c r="STZ154" s="72"/>
      <c r="SUA154" s="72"/>
      <c r="SUB154" s="72"/>
      <c r="SUC154" s="72"/>
      <c r="SUD154" s="72"/>
      <c r="SUE154" s="72"/>
      <c r="SUF154" s="72"/>
      <c r="SUG154" s="72"/>
      <c r="SUH154" s="72"/>
      <c r="SUI154" s="72"/>
      <c r="SUJ154" s="72"/>
      <c r="SUK154" s="72"/>
      <c r="SUL154" s="72"/>
      <c r="SUM154" s="72"/>
      <c r="SUN154" s="72"/>
      <c r="SUO154" s="72"/>
      <c r="SUP154" s="72"/>
      <c r="SUQ154" s="72"/>
      <c r="SUR154" s="72"/>
      <c r="SUS154" s="72"/>
      <c r="SUT154" s="72"/>
      <c r="SUU154" s="72"/>
      <c r="SUV154" s="72"/>
      <c r="SUW154" s="72"/>
      <c r="SUX154" s="72"/>
      <c r="SUY154" s="72"/>
      <c r="SUZ154" s="72"/>
      <c r="SVA154" s="72"/>
      <c r="SVB154" s="72"/>
      <c r="SVC154" s="72"/>
      <c r="SVD154" s="72"/>
      <c r="SVE154" s="72"/>
      <c r="SVF154" s="72"/>
      <c r="SVG154" s="72"/>
      <c r="SVH154" s="72"/>
      <c r="SVI154" s="72"/>
      <c r="SVJ154" s="72"/>
      <c r="SVK154" s="72"/>
      <c r="SVL154" s="72"/>
      <c r="SVM154" s="72"/>
      <c r="SVN154" s="72"/>
      <c r="SVO154" s="72"/>
      <c r="SVP154" s="72"/>
      <c r="SVQ154" s="72"/>
      <c r="SVR154" s="72"/>
      <c r="SVS154" s="72"/>
      <c r="SVT154" s="72"/>
      <c r="SVU154" s="72"/>
      <c r="SVV154" s="72"/>
      <c r="SVW154" s="72"/>
      <c r="SVX154" s="72"/>
      <c r="SVY154" s="72"/>
      <c r="SVZ154" s="72"/>
      <c r="SWA154" s="72"/>
      <c r="SWB154" s="72"/>
      <c r="SWC154" s="72"/>
      <c r="SWD154" s="72"/>
      <c r="SWE154" s="72"/>
      <c r="SWF154" s="72"/>
      <c r="SWG154" s="72"/>
      <c r="SWH154" s="72"/>
      <c r="SWI154" s="72"/>
      <c r="SWJ154" s="72"/>
      <c r="SWK154" s="72"/>
      <c r="SWL154" s="72"/>
      <c r="SWM154" s="72"/>
      <c r="SWN154" s="72"/>
      <c r="SWO154" s="72"/>
      <c r="SWP154" s="72"/>
      <c r="SWQ154" s="72"/>
      <c r="SWR154" s="72"/>
      <c r="SWS154" s="72"/>
      <c r="SWT154" s="72"/>
      <c r="SWU154" s="72"/>
      <c r="SWV154" s="72"/>
      <c r="SWW154" s="72"/>
      <c r="SWX154" s="72"/>
      <c r="SWY154" s="72"/>
      <c r="SWZ154" s="72"/>
      <c r="SXA154" s="72"/>
      <c r="SXB154" s="72"/>
      <c r="SXC154" s="72"/>
      <c r="SXD154" s="72"/>
      <c r="SXE154" s="72"/>
      <c r="SXF154" s="72"/>
      <c r="SXG154" s="72"/>
      <c r="SXH154" s="72"/>
      <c r="SXI154" s="72"/>
      <c r="SXJ154" s="72"/>
      <c r="SXK154" s="72"/>
      <c r="SXL154" s="72"/>
      <c r="SXM154" s="72"/>
      <c r="SXN154" s="72"/>
      <c r="SXO154" s="72"/>
      <c r="SXP154" s="72"/>
      <c r="SXQ154" s="72"/>
      <c r="SXR154" s="72"/>
      <c r="SXS154" s="72"/>
      <c r="SXT154" s="72"/>
      <c r="SXU154" s="72"/>
      <c r="SXV154" s="72"/>
      <c r="SXW154" s="72"/>
      <c r="SXX154" s="72"/>
      <c r="SXY154" s="72"/>
      <c r="SXZ154" s="72"/>
      <c r="SYA154" s="72"/>
      <c r="SYB154" s="72"/>
      <c r="SYC154" s="72"/>
      <c r="SYD154" s="72"/>
      <c r="SYE154" s="72"/>
      <c r="SYF154" s="72"/>
      <c r="SYG154" s="72"/>
      <c r="SYH154" s="72"/>
      <c r="SYI154" s="72"/>
      <c r="SYJ154" s="72"/>
      <c r="SYK154" s="72"/>
      <c r="SYL154" s="72"/>
      <c r="SYM154" s="72"/>
      <c r="SYN154" s="72"/>
      <c r="SYO154" s="72"/>
      <c r="SYP154" s="72"/>
      <c r="SYQ154" s="72"/>
      <c r="SYR154" s="72"/>
      <c r="SYS154" s="72"/>
      <c r="SYT154" s="72"/>
      <c r="SYU154" s="72"/>
      <c r="SYV154" s="72"/>
      <c r="SYW154" s="72"/>
      <c r="SYX154" s="72"/>
      <c r="SYY154" s="72"/>
      <c r="SYZ154" s="72"/>
      <c r="SZA154" s="72"/>
      <c r="SZB154" s="72"/>
      <c r="SZC154" s="72"/>
      <c r="SZD154" s="72"/>
      <c r="SZE154" s="72"/>
      <c r="SZF154" s="72"/>
      <c r="SZG154" s="72"/>
      <c r="SZH154" s="72"/>
      <c r="SZI154" s="72"/>
      <c r="SZJ154" s="72"/>
      <c r="SZK154" s="72"/>
      <c r="SZL154" s="72"/>
      <c r="SZM154" s="72"/>
      <c r="SZN154" s="72"/>
      <c r="SZO154" s="72"/>
      <c r="SZP154" s="72"/>
      <c r="SZQ154" s="72"/>
      <c r="SZR154" s="72"/>
      <c r="SZS154" s="72"/>
      <c r="SZT154" s="72"/>
      <c r="SZU154" s="72"/>
      <c r="SZV154" s="72"/>
      <c r="SZW154" s="72"/>
      <c r="SZX154" s="72"/>
      <c r="SZY154" s="72"/>
      <c r="SZZ154" s="72"/>
      <c r="TAA154" s="72"/>
      <c r="TAB154" s="72"/>
      <c r="TAC154" s="72"/>
      <c r="TAD154" s="72"/>
      <c r="TAE154" s="72"/>
      <c r="TAF154" s="72"/>
      <c r="TAG154" s="72"/>
      <c r="TAH154" s="72"/>
      <c r="TAI154" s="72"/>
      <c r="TAJ154" s="72"/>
      <c r="TAK154" s="72"/>
      <c r="TAL154" s="72"/>
      <c r="TAM154" s="72"/>
      <c r="TAN154" s="72"/>
      <c r="TAO154" s="72"/>
      <c r="TAP154" s="72"/>
      <c r="TAQ154" s="72"/>
      <c r="TAR154" s="72"/>
      <c r="TAS154" s="72"/>
      <c r="TAT154" s="72"/>
      <c r="TAU154" s="72"/>
      <c r="TAV154" s="72"/>
      <c r="TAW154" s="72"/>
      <c r="TAX154" s="72"/>
      <c r="TAY154" s="72"/>
      <c r="TAZ154" s="72"/>
      <c r="TBA154" s="72"/>
      <c r="TBB154" s="72"/>
      <c r="TBC154" s="72"/>
      <c r="TBD154" s="72"/>
      <c r="TBE154" s="72"/>
      <c r="TBF154" s="72"/>
      <c r="TBG154" s="72"/>
      <c r="TBH154" s="72"/>
      <c r="TBI154" s="72"/>
      <c r="TBJ154" s="72"/>
      <c r="TBK154" s="72"/>
      <c r="TBL154" s="72"/>
      <c r="TBM154" s="72"/>
      <c r="TBN154" s="72"/>
      <c r="TBO154" s="72"/>
      <c r="TBP154" s="72"/>
      <c r="TBQ154" s="72"/>
      <c r="TBR154" s="72"/>
      <c r="TBS154" s="72"/>
      <c r="TBT154" s="72"/>
      <c r="TBU154" s="72"/>
      <c r="TBV154" s="72"/>
      <c r="TBW154" s="72"/>
      <c r="TBX154" s="72"/>
      <c r="TBY154" s="72"/>
      <c r="TBZ154" s="72"/>
      <c r="TCA154" s="72"/>
      <c r="TCB154" s="72"/>
      <c r="TCC154" s="72"/>
      <c r="TCD154" s="72"/>
      <c r="TCE154" s="72"/>
      <c r="TCF154" s="72"/>
      <c r="TCG154" s="72"/>
      <c r="TCH154" s="72"/>
      <c r="TCI154" s="72"/>
      <c r="TCJ154" s="72"/>
      <c r="TCK154" s="72"/>
      <c r="TCL154" s="72"/>
      <c r="TCM154" s="72"/>
      <c r="TCN154" s="72"/>
      <c r="TCO154" s="72"/>
      <c r="TCP154" s="72"/>
      <c r="TCQ154" s="72"/>
      <c r="TCR154" s="72"/>
      <c r="TCS154" s="72"/>
      <c r="TCT154" s="72"/>
      <c r="TCU154" s="72"/>
      <c r="TCV154" s="72"/>
      <c r="TCW154" s="72"/>
      <c r="TCX154" s="72"/>
      <c r="TCY154" s="72"/>
      <c r="TCZ154" s="72"/>
      <c r="TDA154" s="72"/>
      <c r="TDB154" s="72"/>
      <c r="TDC154" s="72"/>
      <c r="TDD154" s="72"/>
      <c r="TDE154" s="72"/>
      <c r="TDF154" s="72"/>
      <c r="TDG154" s="72"/>
      <c r="TDH154" s="72"/>
      <c r="TDI154" s="72"/>
      <c r="TDJ154" s="72"/>
      <c r="TDK154" s="72"/>
      <c r="TDL154" s="72"/>
      <c r="TDM154" s="72"/>
      <c r="TDN154" s="72"/>
      <c r="TDO154" s="72"/>
      <c r="TDP154" s="72"/>
      <c r="TDQ154" s="72"/>
      <c r="TDR154" s="72"/>
      <c r="TDS154" s="72"/>
      <c r="TDT154" s="72"/>
      <c r="TDU154" s="72"/>
      <c r="TDV154" s="72"/>
      <c r="TDW154" s="72"/>
      <c r="TDX154" s="72"/>
      <c r="TDY154" s="72"/>
      <c r="TDZ154" s="72"/>
      <c r="TEA154" s="72"/>
      <c r="TEB154" s="72"/>
      <c r="TEC154" s="72"/>
      <c r="TED154" s="72"/>
      <c r="TEE154" s="72"/>
      <c r="TEF154" s="72"/>
      <c r="TEG154" s="72"/>
      <c r="TEH154" s="72"/>
      <c r="TEI154" s="72"/>
      <c r="TEJ154" s="72"/>
      <c r="TEK154" s="72"/>
      <c r="TEL154" s="72"/>
      <c r="TEM154" s="72"/>
      <c r="TEN154" s="72"/>
      <c r="TEO154" s="72"/>
      <c r="TEP154" s="72"/>
      <c r="TEQ154" s="72"/>
      <c r="TER154" s="72"/>
      <c r="TES154" s="72"/>
      <c r="TET154" s="72"/>
      <c r="TEU154" s="72"/>
      <c r="TEV154" s="72"/>
      <c r="TEW154" s="72"/>
      <c r="TEX154" s="72"/>
      <c r="TEY154" s="72"/>
      <c r="TEZ154" s="72"/>
      <c r="TFA154" s="72"/>
      <c r="TFB154" s="72"/>
      <c r="TFC154" s="72"/>
      <c r="TFD154" s="72"/>
      <c r="TFE154" s="72"/>
      <c r="TFF154" s="72"/>
      <c r="TFG154" s="72"/>
      <c r="TFH154" s="72"/>
      <c r="TFI154" s="72"/>
      <c r="TFJ154" s="72"/>
      <c r="TFK154" s="72"/>
      <c r="TFL154" s="72"/>
      <c r="TFM154" s="72"/>
      <c r="TFN154" s="72"/>
      <c r="TFO154" s="72"/>
      <c r="TFP154" s="72"/>
      <c r="TFQ154" s="72"/>
      <c r="TFR154" s="72"/>
      <c r="TFS154" s="72"/>
      <c r="TFT154" s="72"/>
      <c r="TFU154" s="72"/>
      <c r="TFV154" s="72"/>
      <c r="TFW154" s="72"/>
      <c r="TFX154" s="72"/>
      <c r="TFY154" s="72"/>
      <c r="TFZ154" s="72"/>
      <c r="TGA154" s="72"/>
      <c r="TGB154" s="72"/>
      <c r="TGC154" s="72"/>
      <c r="TGD154" s="72"/>
      <c r="TGE154" s="72"/>
      <c r="TGF154" s="72"/>
      <c r="TGG154" s="72"/>
      <c r="TGH154" s="72"/>
      <c r="TGI154" s="72"/>
      <c r="TGJ154" s="72"/>
      <c r="TGK154" s="72"/>
      <c r="TGL154" s="72"/>
      <c r="TGM154" s="72"/>
      <c r="TGN154" s="72"/>
      <c r="TGO154" s="72"/>
      <c r="TGP154" s="72"/>
      <c r="TGQ154" s="72"/>
      <c r="TGR154" s="72"/>
      <c r="TGS154" s="72"/>
      <c r="TGT154" s="72"/>
      <c r="TGU154" s="72"/>
      <c r="TGV154" s="72"/>
      <c r="TGW154" s="72"/>
      <c r="TGX154" s="72"/>
      <c r="TGY154" s="72"/>
      <c r="TGZ154" s="72"/>
      <c r="THA154" s="72"/>
      <c r="THB154" s="72"/>
      <c r="THC154" s="72"/>
      <c r="THD154" s="72"/>
      <c r="THE154" s="72"/>
      <c r="THF154" s="72"/>
      <c r="THG154" s="72"/>
      <c r="THH154" s="72"/>
      <c r="THI154" s="72"/>
      <c r="THJ154" s="72"/>
      <c r="THK154" s="72"/>
      <c r="THL154" s="72"/>
      <c r="THM154" s="72"/>
      <c r="THN154" s="72"/>
      <c r="THO154" s="72"/>
      <c r="THP154" s="72"/>
      <c r="THQ154" s="72"/>
      <c r="THR154" s="72"/>
      <c r="THS154" s="72"/>
      <c r="THT154" s="72"/>
      <c r="THU154" s="72"/>
      <c r="THV154" s="72"/>
      <c r="THW154" s="72"/>
      <c r="THX154" s="72"/>
      <c r="THY154" s="72"/>
      <c r="THZ154" s="72"/>
      <c r="TIA154" s="72"/>
      <c r="TIB154" s="72"/>
      <c r="TIC154" s="72"/>
      <c r="TID154" s="72"/>
      <c r="TIE154" s="72"/>
      <c r="TIF154" s="72"/>
      <c r="TIG154" s="72"/>
      <c r="TIH154" s="72"/>
      <c r="TII154" s="72"/>
      <c r="TIJ154" s="72"/>
      <c r="TIK154" s="72"/>
      <c r="TIL154" s="72"/>
      <c r="TIM154" s="72"/>
      <c r="TIN154" s="72"/>
      <c r="TIO154" s="72"/>
      <c r="TIP154" s="72"/>
      <c r="TIQ154" s="72"/>
      <c r="TIR154" s="72"/>
      <c r="TIS154" s="72"/>
      <c r="TIT154" s="72"/>
      <c r="TIU154" s="72"/>
      <c r="TIV154" s="72"/>
      <c r="TIW154" s="72"/>
      <c r="TIX154" s="72"/>
      <c r="TIY154" s="72"/>
      <c r="TIZ154" s="72"/>
      <c r="TJA154" s="72"/>
      <c r="TJB154" s="72"/>
      <c r="TJC154" s="72"/>
      <c r="TJD154" s="72"/>
      <c r="TJE154" s="72"/>
      <c r="TJF154" s="72"/>
      <c r="TJG154" s="72"/>
      <c r="TJH154" s="72"/>
      <c r="TJI154" s="72"/>
      <c r="TJJ154" s="72"/>
      <c r="TJK154" s="72"/>
      <c r="TJL154" s="72"/>
      <c r="TJM154" s="72"/>
      <c r="TJN154" s="72"/>
      <c r="TJO154" s="72"/>
      <c r="TJP154" s="72"/>
      <c r="TJQ154" s="72"/>
      <c r="TJR154" s="72"/>
      <c r="TJS154" s="72"/>
      <c r="TJT154" s="72"/>
      <c r="TJU154" s="72"/>
      <c r="TJV154" s="72"/>
      <c r="TJW154" s="72"/>
      <c r="TJX154" s="72"/>
      <c r="TJY154" s="72"/>
      <c r="TJZ154" s="72"/>
      <c r="TKA154" s="72"/>
      <c r="TKB154" s="72"/>
      <c r="TKC154" s="72"/>
      <c r="TKD154" s="72"/>
      <c r="TKE154" s="72"/>
      <c r="TKF154" s="72"/>
      <c r="TKG154" s="72"/>
      <c r="TKH154" s="72"/>
      <c r="TKI154" s="72"/>
      <c r="TKJ154" s="72"/>
      <c r="TKK154" s="72"/>
      <c r="TKL154" s="72"/>
      <c r="TKM154" s="72"/>
      <c r="TKN154" s="72"/>
      <c r="TKO154" s="72"/>
      <c r="TKP154" s="72"/>
      <c r="TKQ154" s="72"/>
      <c r="TKR154" s="72"/>
      <c r="TKS154" s="72"/>
      <c r="TKT154" s="72"/>
      <c r="TKU154" s="72"/>
      <c r="TKV154" s="72"/>
      <c r="TKW154" s="72"/>
      <c r="TKX154" s="72"/>
      <c r="TKY154" s="72"/>
      <c r="TKZ154" s="72"/>
      <c r="TLA154" s="72"/>
      <c r="TLB154" s="72"/>
      <c r="TLC154" s="72"/>
      <c r="TLD154" s="72"/>
      <c r="TLE154" s="72"/>
      <c r="TLF154" s="72"/>
      <c r="TLG154" s="72"/>
      <c r="TLH154" s="72"/>
      <c r="TLI154" s="72"/>
      <c r="TLJ154" s="72"/>
      <c r="TLK154" s="72"/>
      <c r="TLL154" s="72"/>
      <c r="TLM154" s="72"/>
      <c r="TLN154" s="72"/>
      <c r="TLO154" s="72"/>
      <c r="TLP154" s="72"/>
      <c r="TLQ154" s="72"/>
      <c r="TLR154" s="72"/>
      <c r="TLS154" s="72"/>
      <c r="TLT154" s="72"/>
      <c r="TLU154" s="72"/>
      <c r="TLV154" s="72"/>
      <c r="TLW154" s="72"/>
      <c r="TLX154" s="72"/>
      <c r="TLY154" s="72"/>
      <c r="TLZ154" s="72"/>
      <c r="TMA154" s="72"/>
      <c r="TMB154" s="72"/>
      <c r="TMC154" s="72"/>
      <c r="TMD154" s="72"/>
      <c r="TME154" s="72"/>
      <c r="TMF154" s="72"/>
      <c r="TMG154" s="72"/>
      <c r="TMH154" s="72"/>
      <c r="TMI154" s="72"/>
      <c r="TMJ154" s="72"/>
      <c r="TMK154" s="72"/>
      <c r="TML154" s="72"/>
      <c r="TMM154" s="72"/>
      <c r="TMN154" s="72"/>
      <c r="TMO154" s="72"/>
      <c r="TMP154" s="72"/>
      <c r="TMQ154" s="72"/>
      <c r="TMR154" s="72"/>
      <c r="TMS154" s="72"/>
      <c r="TMT154" s="72"/>
      <c r="TMU154" s="72"/>
      <c r="TMV154" s="72"/>
      <c r="TMW154" s="72"/>
      <c r="TMX154" s="72"/>
      <c r="TMY154" s="72"/>
      <c r="TMZ154" s="72"/>
      <c r="TNA154" s="72"/>
      <c r="TNB154" s="72"/>
      <c r="TNC154" s="72"/>
      <c r="TND154" s="72"/>
      <c r="TNE154" s="72"/>
      <c r="TNF154" s="72"/>
      <c r="TNG154" s="72"/>
      <c r="TNH154" s="72"/>
      <c r="TNI154" s="72"/>
      <c r="TNJ154" s="72"/>
      <c r="TNK154" s="72"/>
      <c r="TNL154" s="72"/>
      <c r="TNM154" s="72"/>
      <c r="TNN154" s="72"/>
      <c r="TNO154" s="72"/>
      <c r="TNP154" s="72"/>
      <c r="TNQ154" s="72"/>
      <c r="TNR154" s="72"/>
      <c r="TNS154" s="72"/>
      <c r="TNT154" s="72"/>
      <c r="TNU154" s="72"/>
      <c r="TNV154" s="72"/>
      <c r="TNW154" s="72"/>
      <c r="TNX154" s="72"/>
      <c r="TNY154" s="72"/>
      <c r="TNZ154" s="72"/>
      <c r="TOA154" s="72"/>
      <c r="TOB154" s="72"/>
      <c r="TOC154" s="72"/>
      <c r="TOD154" s="72"/>
      <c r="TOE154" s="72"/>
      <c r="TOF154" s="72"/>
      <c r="TOG154" s="72"/>
      <c r="TOH154" s="72"/>
      <c r="TOI154" s="72"/>
      <c r="TOJ154" s="72"/>
      <c r="TOK154" s="72"/>
      <c r="TOL154" s="72"/>
      <c r="TOM154" s="72"/>
      <c r="TON154" s="72"/>
      <c r="TOO154" s="72"/>
      <c r="TOP154" s="72"/>
      <c r="TOQ154" s="72"/>
      <c r="TOR154" s="72"/>
      <c r="TOS154" s="72"/>
      <c r="TOT154" s="72"/>
      <c r="TOU154" s="72"/>
      <c r="TOV154" s="72"/>
      <c r="TOW154" s="72"/>
      <c r="TOX154" s="72"/>
      <c r="TOY154" s="72"/>
      <c r="TOZ154" s="72"/>
      <c r="TPA154" s="72"/>
      <c r="TPB154" s="72"/>
      <c r="TPC154" s="72"/>
      <c r="TPD154" s="72"/>
      <c r="TPE154" s="72"/>
      <c r="TPF154" s="72"/>
      <c r="TPG154" s="72"/>
      <c r="TPH154" s="72"/>
      <c r="TPI154" s="72"/>
      <c r="TPJ154" s="72"/>
      <c r="TPK154" s="72"/>
      <c r="TPL154" s="72"/>
      <c r="TPM154" s="72"/>
      <c r="TPN154" s="72"/>
      <c r="TPO154" s="72"/>
      <c r="TPP154" s="72"/>
      <c r="TPQ154" s="72"/>
      <c r="TPR154" s="72"/>
      <c r="TPS154" s="72"/>
      <c r="TPT154" s="72"/>
      <c r="TPU154" s="72"/>
      <c r="TPV154" s="72"/>
      <c r="TPW154" s="72"/>
      <c r="TPX154" s="72"/>
      <c r="TPY154" s="72"/>
      <c r="TPZ154" s="72"/>
      <c r="TQA154" s="72"/>
      <c r="TQB154" s="72"/>
      <c r="TQC154" s="72"/>
      <c r="TQD154" s="72"/>
      <c r="TQE154" s="72"/>
      <c r="TQF154" s="72"/>
      <c r="TQG154" s="72"/>
      <c r="TQH154" s="72"/>
      <c r="TQI154" s="72"/>
      <c r="TQJ154" s="72"/>
      <c r="TQK154" s="72"/>
      <c r="TQL154" s="72"/>
      <c r="TQM154" s="72"/>
      <c r="TQN154" s="72"/>
      <c r="TQO154" s="72"/>
      <c r="TQP154" s="72"/>
      <c r="TQQ154" s="72"/>
      <c r="TQR154" s="72"/>
      <c r="TQS154" s="72"/>
      <c r="TQT154" s="72"/>
      <c r="TQU154" s="72"/>
      <c r="TQV154" s="72"/>
      <c r="TQW154" s="72"/>
      <c r="TQX154" s="72"/>
      <c r="TQY154" s="72"/>
      <c r="TQZ154" s="72"/>
      <c r="TRA154" s="72"/>
      <c r="TRB154" s="72"/>
      <c r="TRC154" s="72"/>
      <c r="TRD154" s="72"/>
      <c r="TRE154" s="72"/>
      <c r="TRF154" s="72"/>
      <c r="TRG154" s="72"/>
      <c r="TRH154" s="72"/>
      <c r="TRI154" s="72"/>
      <c r="TRJ154" s="72"/>
      <c r="TRK154" s="72"/>
      <c r="TRL154" s="72"/>
      <c r="TRM154" s="72"/>
      <c r="TRN154" s="72"/>
      <c r="TRO154" s="72"/>
      <c r="TRP154" s="72"/>
      <c r="TRQ154" s="72"/>
      <c r="TRR154" s="72"/>
      <c r="TRS154" s="72"/>
      <c r="TRT154" s="72"/>
      <c r="TRU154" s="72"/>
      <c r="TRV154" s="72"/>
      <c r="TRW154" s="72"/>
      <c r="TRX154" s="72"/>
      <c r="TRY154" s="72"/>
      <c r="TRZ154" s="72"/>
      <c r="TSA154" s="72"/>
      <c r="TSB154" s="72"/>
      <c r="TSC154" s="72"/>
      <c r="TSD154" s="72"/>
      <c r="TSE154" s="72"/>
      <c r="TSF154" s="72"/>
      <c r="TSG154" s="72"/>
      <c r="TSH154" s="72"/>
      <c r="TSI154" s="72"/>
      <c r="TSJ154" s="72"/>
      <c r="TSK154" s="72"/>
      <c r="TSL154" s="72"/>
      <c r="TSM154" s="72"/>
      <c r="TSN154" s="72"/>
      <c r="TSO154" s="72"/>
      <c r="TSP154" s="72"/>
      <c r="TSQ154" s="72"/>
      <c r="TSR154" s="72"/>
      <c r="TSS154" s="72"/>
      <c r="TST154" s="72"/>
      <c r="TSU154" s="72"/>
      <c r="TSV154" s="72"/>
      <c r="TSW154" s="72"/>
      <c r="TSX154" s="72"/>
      <c r="TSY154" s="72"/>
      <c r="TSZ154" s="72"/>
      <c r="TTA154" s="72"/>
      <c r="TTB154" s="72"/>
      <c r="TTC154" s="72"/>
      <c r="TTD154" s="72"/>
      <c r="TTE154" s="72"/>
      <c r="TTF154" s="72"/>
      <c r="TTG154" s="72"/>
      <c r="TTH154" s="72"/>
      <c r="TTI154" s="72"/>
      <c r="TTJ154" s="72"/>
      <c r="TTK154" s="72"/>
      <c r="TTL154" s="72"/>
      <c r="TTM154" s="72"/>
      <c r="TTN154" s="72"/>
      <c r="TTO154" s="72"/>
      <c r="TTP154" s="72"/>
      <c r="TTQ154" s="72"/>
      <c r="TTR154" s="72"/>
      <c r="TTS154" s="72"/>
      <c r="TTT154" s="72"/>
      <c r="TTU154" s="72"/>
      <c r="TTV154" s="72"/>
      <c r="TTW154" s="72"/>
      <c r="TTX154" s="72"/>
      <c r="TTY154" s="72"/>
      <c r="TTZ154" s="72"/>
      <c r="TUA154" s="72"/>
      <c r="TUB154" s="72"/>
      <c r="TUC154" s="72"/>
      <c r="TUD154" s="72"/>
      <c r="TUE154" s="72"/>
      <c r="TUF154" s="72"/>
      <c r="TUG154" s="72"/>
      <c r="TUH154" s="72"/>
      <c r="TUI154" s="72"/>
      <c r="TUJ154" s="72"/>
      <c r="TUK154" s="72"/>
      <c r="TUL154" s="72"/>
      <c r="TUM154" s="72"/>
      <c r="TUN154" s="72"/>
      <c r="TUO154" s="72"/>
      <c r="TUP154" s="72"/>
      <c r="TUQ154" s="72"/>
      <c r="TUR154" s="72"/>
      <c r="TUS154" s="72"/>
      <c r="TUT154" s="72"/>
      <c r="TUU154" s="72"/>
      <c r="TUV154" s="72"/>
      <c r="TUW154" s="72"/>
      <c r="TUX154" s="72"/>
      <c r="TUY154" s="72"/>
      <c r="TUZ154" s="72"/>
      <c r="TVA154" s="72"/>
      <c r="TVB154" s="72"/>
      <c r="TVC154" s="72"/>
      <c r="TVD154" s="72"/>
      <c r="TVE154" s="72"/>
      <c r="TVF154" s="72"/>
      <c r="TVG154" s="72"/>
      <c r="TVH154" s="72"/>
      <c r="TVI154" s="72"/>
      <c r="TVJ154" s="72"/>
      <c r="TVK154" s="72"/>
      <c r="TVL154" s="72"/>
      <c r="TVM154" s="72"/>
      <c r="TVN154" s="72"/>
      <c r="TVO154" s="72"/>
      <c r="TVP154" s="72"/>
      <c r="TVQ154" s="72"/>
      <c r="TVR154" s="72"/>
      <c r="TVS154" s="72"/>
      <c r="TVT154" s="72"/>
      <c r="TVU154" s="72"/>
      <c r="TVV154" s="72"/>
      <c r="TVW154" s="72"/>
      <c r="TVX154" s="72"/>
      <c r="TVY154" s="72"/>
      <c r="TVZ154" s="72"/>
      <c r="TWA154" s="72"/>
      <c r="TWB154" s="72"/>
      <c r="TWC154" s="72"/>
      <c r="TWD154" s="72"/>
      <c r="TWE154" s="72"/>
      <c r="TWF154" s="72"/>
      <c r="TWG154" s="72"/>
      <c r="TWH154" s="72"/>
      <c r="TWI154" s="72"/>
      <c r="TWJ154" s="72"/>
      <c r="TWK154" s="72"/>
      <c r="TWL154" s="72"/>
      <c r="TWM154" s="72"/>
      <c r="TWN154" s="72"/>
      <c r="TWO154" s="72"/>
      <c r="TWP154" s="72"/>
      <c r="TWQ154" s="72"/>
      <c r="TWR154" s="72"/>
      <c r="TWS154" s="72"/>
      <c r="TWT154" s="72"/>
      <c r="TWU154" s="72"/>
      <c r="TWV154" s="72"/>
      <c r="TWW154" s="72"/>
      <c r="TWX154" s="72"/>
      <c r="TWY154" s="72"/>
      <c r="TWZ154" s="72"/>
      <c r="TXA154" s="72"/>
      <c r="TXB154" s="72"/>
      <c r="TXC154" s="72"/>
      <c r="TXD154" s="72"/>
      <c r="TXE154" s="72"/>
      <c r="TXF154" s="72"/>
      <c r="TXG154" s="72"/>
      <c r="TXH154" s="72"/>
      <c r="TXI154" s="72"/>
      <c r="TXJ154" s="72"/>
      <c r="TXK154" s="72"/>
      <c r="TXL154" s="72"/>
      <c r="TXM154" s="72"/>
      <c r="TXN154" s="72"/>
      <c r="TXO154" s="72"/>
      <c r="TXP154" s="72"/>
      <c r="TXQ154" s="72"/>
      <c r="TXR154" s="72"/>
      <c r="TXS154" s="72"/>
      <c r="TXT154" s="72"/>
      <c r="TXU154" s="72"/>
      <c r="TXV154" s="72"/>
      <c r="TXW154" s="72"/>
      <c r="TXX154" s="72"/>
      <c r="TXY154" s="72"/>
      <c r="TXZ154" s="72"/>
      <c r="TYA154" s="72"/>
      <c r="TYB154" s="72"/>
      <c r="TYC154" s="72"/>
      <c r="TYD154" s="72"/>
      <c r="TYE154" s="72"/>
      <c r="TYF154" s="72"/>
      <c r="TYG154" s="72"/>
      <c r="TYH154" s="72"/>
      <c r="TYI154" s="72"/>
      <c r="TYJ154" s="72"/>
      <c r="TYK154" s="72"/>
      <c r="TYL154" s="72"/>
      <c r="TYM154" s="72"/>
      <c r="TYN154" s="72"/>
      <c r="TYO154" s="72"/>
      <c r="TYP154" s="72"/>
      <c r="TYQ154" s="72"/>
      <c r="TYR154" s="72"/>
      <c r="TYS154" s="72"/>
      <c r="TYT154" s="72"/>
      <c r="TYU154" s="72"/>
      <c r="TYV154" s="72"/>
      <c r="TYW154" s="72"/>
      <c r="TYX154" s="72"/>
      <c r="TYY154" s="72"/>
      <c r="TYZ154" s="72"/>
      <c r="TZA154" s="72"/>
      <c r="TZB154" s="72"/>
      <c r="TZC154" s="72"/>
      <c r="TZD154" s="72"/>
      <c r="TZE154" s="72"/>
      <c r="TZF154" s="72"/>
      <c r="TZG154" s="72"/>
      <c r="TZH154" s="72"/>
      <c r="TZI154" s="72"/>
      <c r="TZJ154" s="72"/>
      <c r="TZK154" s="72"/>
      <c r="TZL154" s="72"/>
      <c r="TZM154" s="72"/>
      <c r="TZN154" s="72"/>
      <c r="TZO154" s="72"/>
      <c r="TZP154" s="72"/>
      <c r="TZQ154" s="72"/>
      <c r="TZR154" s="72"/>
      <c r="TZS154" s="72"/>
      <c r="TZT154" s="72"/>
      <c r="TZU154" s="72"/>
      <c r="TZV154" s="72"/>
      <c r="TZW154" s="72"/>
      <c r="TZX154" s="72"/>
      <c r="TZY154" s="72"/>
      <c r="TZZ154" s="72"/>
      <c r="UAA154" s="72"/>
      <c r="UAB154" s="72"/>
      <c r="UAC154" s="72"/>
      <c r="UAD154" s="72"/>
      <c r="UAE154" s="72"/>
      <c r="UAF154" s="72"/>
      <c r="UAG154" s="72"/>
      <c r="UAH154" s="72"/>
      <c r="UAI154" s="72"/>
      <c r="UAJ154" s="72"/>
      <c r="UAK154" s="72"/>
      <c r="UAL154" s="72"/>
      <c r="UAM154" s="72"/>
      <c r="UAN154" s="72"/>
      <c r="UAO154" s="72"/>
      <c r="UAP154" s="72"/>
      <c r="UAQ154" s="72"/>
      <c r="UAR154" s="72"/>
      <c r="UAS154" s="72"/>
      <c r="UAT154" s="72"/>
      <c r="UAU154" s="72"/>
      <c r="UAV154" s="72"/>
      <c r="UAW154" s="72"/>
      <c r="UAX154" s="72"/>
      <c r="UAY154" s="72"/>
      <c r="UAZ154" s="72"/>
      <c r="UBA154" s="72"/>
      <c r="UBB154" s="72"/>
      <c r="UBC154" s="72"/>
      <c r="UBD154" s="72"/>
      <c r="UBE154" s="72"/>
      <c r="UBF154" s="72"/>
      <c r="UBG154" s="72"/>
      <c r="UBH154" s="72"/>
      <c r="UBI154" s="72"/>
      <c r="UBJ154" s="72"/>
      <c r="UBK154" s="72"/>
      <c r="UBL154" s="72"/>
      <c r="UBM154" s="72"/>
      <c r="UBN154" s="72"/>
      <c r="UBO154" s="72"/>
      <c r="UBP154" s="72"/>
      <c r="UBQ154" s="72"/>
      <c r="UBR154" s="72"/>
      <c r="UBS154" s="72"/>
      <c r="UBT154" s="72"/>
      <c r="UBU154" s="72"/>
      <c r="UBV154" s="72"/>
      <c r="UBW154" s="72"/>
      <c r="UBX154" s="72"/>
      <c r="UBY154" s="72"/>
      <c r="UBZ154" s="72"/>
      <c r="UCA154" s="72"/>
      <c r="UCB154" s="72"/>
      <c r="UCC154" s="72"/>
      <c r="UCD154" s="72"/>
      <c r="UCE154" s="72"/>
      <c r="UCF154" s="72"/>
      <c r="UCG154" s="72"/>
      <c r="UCH154" s="72"/>
      <c r="UCI154" s="72"/>
      <c r="UCJ154" s="72"/>
      <c r="UCK154" s="72"/>
      <c r="UCL154" s="72"/>
      <c r="UCM154" s="72"/>
      <c r="UCN154" s="72"/>
      <c r="UCO154" s="72"/>
      <c r="UCP154" s="72"/>
      <c r="UCQ154" s="72"/>
      <c r="UCR154" s="72"/>
      <c r="UCS154" s="72"/>
      <c r="UCT154" s="72"/>
      <c r="UCU154" s="72"/>
      <c r="UCV154" s="72"/>
      <c r="UCW154" s="72"/>
      <c r="UCX154" s="72"/>
      <c r="UCY154" s="72"/>
      <c r="UCZ154" s="72"/>
      <c r="UDA154" s="72"/>
      <c r="UDB154" s="72"/>
      <c r="UDC154" s="72"/>
      <c r="UDD154" s="72"/>
      <c r="UDE154" s="72"/>
      <c r="UDF154" s="72"/>
      <c r="UDG154" s="72"/>
      <c r="UDH154" s="72"/>
      <c r="UDI154" s="72"/>
      <c r="UDJ154" s="72"/>
      <c r="UDK154" s="72"/>
      <c r="UDL154" s="72"/>
      <c r="UDM154" s="72"/>
      <c r="UDN154" s="72"/>
      <c r="UDO154" s="72"/>
      <c r="UDP154" s="72"/>
      <c r="UDQ154" s="72"/>
      <c r="UDR154" s="72"/>
      <c r="UDS154" s="72"/>
      <c r="UDT154" s="72"/>
      <c r="UDU154" s="72"/>
      <c r="UDV154" s="72"/>
      <c r="UDW154" s="72"/>
      <c r="UDX154" s="72"/>
      <c r="UDY154" s="72"/>
      <c r="UDZ154" s="72"/>
      <c r="UEA154" s="72"/>
      <c r="UEB154" s="72"/>
      <c r="UEC154" s="72"/>
      <c r="UED154" s="72"/>
      <c r="UEE154" s="72"/>
      <c r="UEF154" s="72"/>
      <c r="UEG154" s="72"/>
      <c r="UEH154" s="72"/>
      <c r="UEI154" s="72"/>
      <c r="UEJ154" s="72"/>
      <c r="UEK154" s="72"/>
      <c r="UEL154" s="72"/>
      <c r="UEM154" s="72"/>
      <c r="UEN154" s="72"/>
      <c r="UEO154" s="72"/>
      <c r="UEP154" s="72"/>
      <c r="UEQ154" s="72"/>
      <c r="UER154" s="72"/>
      <c r="UES154" s="72"/>
      <c r="UET154" s="72"/>
      <c r="UEU154" s="72"/>
      <c r="UEV154" s="72"/>
      <c r="UEW154" s="72"/>
      <c r="UEX154" s="72"/>
      <c r="UEY154" s="72"/>
      <c r="UEZ154" s="72"/>
      <c r="UFA154" s="72"/>
      <c r="UFB154" s="72"/>
      <c r="UFC154" s="72"/>
      <c r="UFD154" s="72"/>
      <c r="UFE154" s="72"/>
      <c r="UFF154" s="72"/>
      <c r="UFG154" s="72"/>
      <c r="UFH154" s="72"/>
      <c r="UFI154" s="72"/>
      <c r="UFJ154" s="72"/>
      <c r="UFK154" s="72"/>
      <c r="UFL154" s="72"/>
      <c r="UFM154" s="72"/>
      <c r="UFN154" s="72"/>
      <c r="UFO154" s="72"/>
      <c r="UFP154" s="72"/>
      <c r="UFQ154" s="72"/>
      <c r="UFR154" s="72"/>
      <c r="UFS154" s="72"/>
      <c r="UFT154" s="72"/>
      <c r="UFU154" s="72"/>
      <c r="UFV154" s="72"/>
      <c r="UFW154" s="72"/>
      <c r="UFX154" s="72"/>
      <c r="UFY154" s="72"/>
      <c r="UFZ154" s="72"/>
      <c r="UGA154" s="72"/>
      <c r="UGB154" s="72"/>
      <c r="UGC154" s="72"/>
      <c r="UGD154" s="72"/>
      <c r="UGE154" s="72"/>
      <c r="UGF154" s="72"/>
      <c r="UGG154" s="72"/>
      <c r="UGH154" s="72"/>
      <c r="UGI154" s="72"/>
      <c r="UGJ154" s="72"/>
      <c r="UGK154" s="72"/>
      <c r="UGL154" s="72"/>
      <c r="UGM154" s="72"/>
      <c r="UGN154" s="72"/>
      <c r="UGO154" s="72"/>
      <c r="UGP154" s="72"/>
      <c r="UGQ154" s="72"/>
      <c r="UGR154" s="72"/>
      <c r="UGS154" s="72"/>
      <c r="UGT154" s="72"/>
      <c r="UGU154" s="72"/>
      <c r="UGV154" s="72"/>
      <c r="UGW154" s="72"/>
      <c r="UGX154" s="72"/>
      <c r="UGY154" s="72"/>
      <c r="UGZ154" s="72"/>
      <c r="UHA154" s="72"/>
      <c r="UHB154" s="72"/>
      <c r="UHC154" s="72"/>
      <c r="UHD154" s="72"/>
      <c r="UHE154" s="72"/>
      <c r="UHF154" s="72"/>
      <c r="UHG154" s="72"/>
      <c r="UHH154" s="72"/>
      <c r="UHI154" s="72"/>
      <c r="UHJ154" s="72"/>
      <c r="UHK154" s="72"/>
      <c r="UHL154" s="72"/>
      <c r="UHM154" s="72"/>
      <c r="UHN154" s="72"/>
      <c r="UHO154" s="72"/>
      <c r="UHP154" s="72"/>
      <c r="UHQ154" s="72"/>
      <c r="UHR154" s="72"/>
      <c r="UHS154" s="72"/>
      <c r="UHT154" s="72"/>
      <c r="UHU154" s="72"/>
      <c r="UHV154" s="72"/>
      <c r="UHW154" s="72"/>
      <c r="UHX154" s="72"/>
      <c r="UHY154" s="72"/>
      <c r="UHZ154" s="72"/>
      <c r="UIA154" s="72"/>
      <c r="UIB154" s="72"/>
      <c r="UIC154" s="72"/>
      <c r="UID154" s="72"/>
      <c r="UIE154" s="72"/>
      <c r="UIF154" s="72"/>
      <c r="UIG154" s="72"/>
      <c r="UIH154" s="72"/>
      <c r="UII154" s="72"/>
      <c r="UIJ154" s="72"/>
      <c r="UIK154" s="72"/>
      <c r="UIL154" s="72"/>
      <c r="UIM154" s="72"/>
      <c r="UIN154" s="72"/>
      <c r="UIO154" s="72"/>
      <c r="UIP154" s="72"/>
      <c r="UIQ154" s="72"/>
      <c r="UIR154" s="72"/>
      <c r="UIS154" s="72"/>
      <c r="UIT154" s="72"/>
      <c r="UIU154" s="72"/>
      <c r="UIV154" s="72"/>
      <c r="UIW154" s="72"/>
      <c r="UIX154" s="72"/>
      <c r="UIY154" s="72"/>
      <c r="UIZ154" s="72"/>
      <c r="UJA154" s="72"/>
      <c r="UJB154" s="72"/>
      <c r="UJC154" s="72"/>
      <c r="UJD154" s="72"/>
      <c r="UJE154" s="72"/>
      <c r="UJF154" s="72"/>
      <c r="UJG154" s="72"/>
      <c r="UJH154" s="72"/>
      <c r="UJI154" s="72"/>
      <c r="UJJ154" s="72"/>
      <c r="UJK154" s="72"/>
      <c r="UJL154" s="72"/>
      <c r="UJM154" s="72"/>
      <c r="UJN154" s="72"/>
      <c r="UJO154" s="72"/>
      <c r="UJP154" s="72"/>
      <c r="UJQ154" s="72"/>
      <c r="UJR154" s="72"/>
      <c r="UJS154" s="72"/>
      <c r="UJT154" s="72"/>
      <c r="UJU154" s="72"/>
      <c r="UJV154" s="72"/>
      <c r="UJW154" s="72"/>
      <c r="UJX154" s="72"/>
      <c r="UJY154" s="72"/>
      <c r="UJZ154" s="72"/>
      <c r="UKA154" s="72"/>
      <c r="UKB154" s="72"/>
      <c r="UKC154" s="72"/>
      <c r="UKD154" s="72"/>
      <c r="UKE154" s="72"/>
      <c r="UKF154" s="72"/>
      <c r="UKG154" s="72"/>
      <c r="UKH154" s="72"/>
      <c r="UKI154" s="72"/>
      <c r="UKJ154" s="72"/>
      <c r="UKK154" s="72"/>
      <c r="UKL154" s="72"/>
      <c r="UKM154" s="72"/>
      <c r="UKN154" s="72"/>
      <c r="UKO154" s="72"/>
      <c r="UKP154" s="72"/>
      <c r="UKQ154" s="72"/>
      <c r="UKR154" s="72"/>
      <c r="UKS154" s="72"/>
      <c r="UKT154" s="72"/>
      <c r="UKU154" s="72"/>
      <c r="UKV154" s="72"/>
      <c r="UKW154" s="72"/>
      <c r="UKX154" s="72"/>
      <c r="UKY154" s="72"/>
      <c r="UKZ154" s="72"/>
      <c r="ULA154" s="72"/>
      <c r="ULB154" s="72"/>
      <c r="ULC154" s="72"/>
      <c r="ULD154" s="72"/>
      <c r="ULE154" s="72"/>
      <c r="ULF154" s="72"/>
      <c r="ULG154" s="72"/>
      <c r="ULH154" s="72"/>
      <c r="ULI154" s="72"/>
      <c r="ULJ154" s="72"/>
      <c r="ULK154" s="72"/>
      <c r="ULL154" s="72"/>
      <c r="ULM154" s="72"/>
      <c r="ULN154" s="72"/>
      <c r="ULO154" s="72"/>
      <c r="ULP154" s="72"/>
      <c r="ULQ154" s="72"/>
      <c r="ULR154" s="72"/>
      <c r="ULS154" s="72"/>
      <c r="ULT154" s="72"/>
      <c r="ULU154" s="72"/>
      <c r="ULV154" s="72"/>
      <c r="ULW154" s="72"/>
      <c r="ULX154" s="72"/>
      <c r="ULY154" s="72"/>
      <c r="ULZ154" s="72"/>
      <c r="UMA154" s="72"/>
      <c r="UMB154" s="72"/>
      <c r="UMC154" s="72"/>
      <c r="UMD154" s="72"/>
      <c r="UME154" s="72"/>
      <c r="UMF154" s="72"/>
      <c r="UMG154" s="72"/>
      <c r="UMH154" s="72"/>
      <c r="UMI154" s="72"/>
      <c r="UMJ154" s="72"/>
      <c r="UMK154" s="72"/>
      <c r="UML154" s="72"/>
      <c r="UMM154" s="72"/>
      <c r="UMN154" s="72"/>
      <c r="UMO154" s="72"/>
      <c r="UMP154" s="72"/>
      <c r="UMQ154" s="72"/>
      <c r="UMR154" s="72"/>
      <c r="UMS154" s="72"/>
      <c r="UMT154" s="72"/>
      <c r="UMU154" s="72"/>
      <c r="UMV154" s="72"/>
      <c r="UMW154" s="72"/>
      <c r="UMX154" s="72"/>
      <c r="UMY154" s="72"/>
      <c r="UMZ154" s="72"/>
      <c r="UNA154" s="72"/>
      <c r="UNB154" s="72"/>
      <c r="UNC154" s="72"/>
      <c r="UND154" s="72"/>
      <c r="UNE154" s="72"/>
      <c r="UNF154" s="72"/>
      <c r="UNG154" s="72"/>
      <c r="UNH154" s="72"/>
      <c r="UNI154" s="72"/>
      <c r="UNJ154" s="72"/>
      <c r="UNK154" s="72"/>
      <c r="UNL154" s="72"/>
      <c r="UNM154" s="72"/>
      <c r="UNN154" s="72"/>
      <c r="UNO154" s="72"/>
      <c r="UNP154" s="72"/>
      <c r="UNQ154" s="72"/>
      <c r="UNR154" s="72"/>
      <c r="UNS154" s="72"/>
      <c r="UNT154" s="72"/>
      <c r="UNU154" s="72"/>
      <c r="UNV154" s="72"/>
      <c r="UNW154" s="72"/>
      <c r="UNX154" s="72"/>
      <c r="UNY154" s="72"/>
      <c r="UNZ154" s="72"/>
      <c r="UOA154" s="72"/>
      <c r="UOB154" s="72"/>
      <c r="UOC154" s="72"/>
      <c r="UOD154" s="72"/>
      <c r="UOE154" s="72"/>
      <c r="UOF154" s="72"/>
      <c r="UOG154" s="72"/>
      <c r="UOH154" s="72"/>
      <c r="UOI154" s="72"/>
      <c r="UOJ154" s="72"/>
      <c r="UOK154" s="72"/>
      <c r="UOL154" s="72"/>
      <c r="UOM154" s="72"/>
      <c r="UON154" s="72"/>
      <c r="UOO154" s="72"/>
      <c r="UOP154" s="72"/>
      <c r="UOQ154" s="72"/>
      <c r="UOR154" s="72"/>
      <c r="UOS154" s="72"/>
      <c r="UOT154" s="72"/>
      <c r="UOU154" s="72"/>
      <c r="UOV154" s="72"/>
      <c r="UOW154" s="72"/>
      <c r="UOX154" s="72"/>
      <c r="UOY154" s="72"/>
      <c r="UOZ154" s="72"/>
      <c r="UPA154" s="72"/>
      <c r="UPB154" s="72"/>
      <c r="UPC154" s="72"/>
      <c r="UPD154" s="72"/>
      <c r="UPE154" s="72"/>
      <c r="UPF154" s="72"/>
      <c r="UPG154" s="72"/>
      <c r="UPH154" s="72"/>
      <c r="UPI154" s="72"/>
      <c r="UPJ154" s="72"/>
      <c r="UPK154" s="72"/>
      <c r="UPL154" s="72"/>
      <c r="UPM154" s="72"/>
      <c r="UPN154" s="72"/>
      <c r="UPO154" s="72"/>
      <c r="UPP154" s="72"/>
      <c r="UPQ154" s="72"/>
      <c r="UPR154" s="72"/>
      <c r="UPS154" s="72"/>
      <c r="UPT154" s="72"/>
      <c r="UPU154" s="72"/>
      <c r="UPV154" s="72"/>
      <c r="UPW154" s="72"/>
      <c r="UPX154" s="72"/>
      <c r="UPY154" s="72"/>
      <c r="UPZ154" s="72"/>
      <c r="UQA154" s="72"/>
      <c r="UQB154" s="72"/>
      <c r="UQC154" s="72"/>
      <c r="UQD154" s="72"/>
      <c r="UQE154" s="72"/>
      <c r="UQF154" s="72"/>
      <c r="UQG154" s="72"/>
      <c r="UQH154" s="72"/>
      <c r="UQI154" s="72"/>
      <c r="UQJ154" s="72"/>
      <c r="UQK154" s="72"/>
      <c r="UQL154" s="72"/>
      <c r="UQM154" s="72"/>
      <c r="UQN154" s="72"/>
      <c r="UQO154" s="72"/>
      <c r="UQP154" s="72"/>
      <c r="UQQ154" s="72"/>
      <c r="UQR154" s="72"/>
      <c r="UQS154" s="72"/>
      <c r="UQT154" s="72"/>
      <c r="UQU154" s="72"/>
      <c r="UQV154" s="72"/>
      <c r="UQW154" s="72"/>
      <c r="UQX154" s="72"/>
      <c r="UQY154" s="72"/>
      <c r="UQZ154" s="72"/>
      <c r="URA154" s="72"/>
      <c r="URB154" s="72"/>
      <c r="URC154" s="72"/>
      <c r="URD154" s="72"/>
      <c r="URE154" s="72"/>
      <c r="URF154" s="72"/>
      <c r="URG154" s="72"/>
      <c r="URH154" s="72"/>
      <c r="URI154" s="72"/>
      <c r="URJ154" s="72"/>
      <c r="URK154" s="72"/>
      <c r="URL154" s="72"/>
      <c r="URM154" s="72"/>
      <c r="URN154" s="72"/>
      <c r="URO154" s="72"/>
      <c r="URP154" s="72"/>
      <c r="URQ154" s="72"/>
      <c r="URR154" s="72"/>
      <c r="URS154" s="72"/>
      <c r="URT154" s="72"/>
      <c r="URU154" s="72"/>
      <c r="URV154" s="72"/>
      <c r="URW154" s="72"/>
      <c r="URX154" s="72"/>
      <c r="URY154" s="72"/>
      <c r="URZ154" s="72"/>
      <c r="USA154" s="72"/>
      <c r="USB154" s="72"/>
      <c r="USC154" s="72"/>
      <c r="USD154" s="72"/>
      <c r="USE154" s="72"/>
      <c r="USF154" s="72"/>
      <c r="USG154" s="72"/>
      <c r="USH154" s="72"/>
      <c r="USI154" s="72"/>
      <c r="USJ154" s="72"/>
      <c r="USK154" s="72"/>
      <c r="USL154" s="72"/>
      <c r="USM154" s="72"/>
      <c r="USN154" s="72"/>
      <c r="USO154" s="72"/>
      <c r="USP154" s="72"/>
      <c r="USQ154" s="72"/>
      <c r="USR154" s="72"/>
      <c r="USS154" s="72"/>
      <c r="UST154" s="72"/>
      <c r="USU154" s="72"/>
      <c r="USV154" s="72"/>
      <c r="USW154" s="72"/>
      <c r="USX154" s="72"/>
      <c r="USY154" s="72"/>
      <c r="USZ154" s="72"/>
      <c r="UTA154" s="72"/>
      <c r="UTB154" s="72"/>
      <c r="UTC154" s="72"/>
      <c r="UTD154" s="72"/>
      <c r="UTE154" s="72"/>
      <c r="UTF154" s="72"/>
      <c r="UTG154" s="72"/>
      <c r="UTH154" s="72"/>
      <c r="UTI154" s="72"/>
      <c r="UTJ154" s="72"/>
      <c r="UTK154" s="72"/>
      <c r="UTL154" s="72"/>
      <c r="UTM154" s="72"/>
      <c r="UTN154" s="72"/>
      <c r="UTO154" s="72"/>
      <c r="UTP154" s="72"/>
      <c r="UTQ154" s="72"/>
      <c r="UTR154" s="72"/>
      <c r="UTS154" s="72"/>
      <c r="UTT154" s="72"/>
      <c r="UTU154" s="72"/>
      <c r="UTV154" s="72"/>
      <c r="UTW154" s="72"/>
      <c r="UTX154" s="72"/>
      <c r="UTY154" s="72"/>
      <c r="UTZ154" s="72"/>
      <c r="UUA154" s="72"/>
      <c r="UUB154" s="72"/>
      <c r="UUC154" s="72"/>
      <c r="UUD154" s="72"/>
      <c r="UUE154" s="72"/>
      <c r="UUF154" s="72"/>
      <c r="UUG154" s="72"/>
      <c r="UUH154" s="72"/>
      <c r="UUI154" s="72"/>
      <c r="UUJ154" s="72"/>
      <c r="UUK154" s="72"/>
      <c r="UUL154" s="72"/>
      <c r="UUM154" s="72"/>
      <c r="UUN154" s="72"/>
      <c r="UUO154" s="72"/>
      <c r="UUP154" s="72"/>
      <c r="UUQ154" s="72"/>
      <c r="UUR154" s="72"/>
      <c r="UUS154" s="72"/>
      <c r="UUT154" s="72"/>
      <c r="UUU154" s="72"/>
      <c r="UUV154" s="72"/>
      <c r="UUW154" s="72"/>
      <c r="UUX154" s="72"/>
      <c r="UUY154" s="72"/>
      <c r="UUZ154" s="72"/>
      <c r="UVA154" s="72"/>
      <c r="UVB154" s="72"/>
      <c r="UVC154" s="72"/>
      <c r="UVD154" s="72"/>
      <c r="UVE154" s="72"/>
      <c r="UVF154" s="72"/>
      <c r="UVG154" s="72"/>
      <c r="UVH154" s="72"/>
      <c r="UVI154" s="72"/>
      <c r="UVJ154" s="72"/>
      <c r="UVK154" s="72"/>
      <c r="UVL154" s="72"/>
      <c r="UVM154" s="72"/>
      <c r="UVN154" s="72"/>
      <c r="UVO154" s="72"/>
      <c r="UVP154" s="72"/>
      <c r="UVQ154" s="72"/>
      <c r="UVR154" s="72"/>
      <c r="UVS154" s="72"/>
      <c r="UVT154" s="72"/>
      <c r="UVU154" s="72"/>
      <c r="UVV154" s="72"/>
      <c r="UVW154" s="72"/>
      <c r="UVX154" s="72"/>
      <c r="UVY154" s="72"/>
      <c r="UVZ154" s="72"/>
      <c r="UWA154" s="72"/>
      <c r="UWB154" s="72"/>
      <c r="UWC154" s="72"/>
      <c r="UWD154" s="72"/>
      <c r="UWE154" s="72"/>
      <c r="UWF154" s="72"/>
      <c r="UWG154" s="72"/>
      <c r="UWH154" s="72"/>
      <c r="UWI154" s="72"/>
      <c r="UWJ154" s="72"/>
      <c r="UWK154" s="72"/>
      <c r="UWL154" s="72"/>
      <c r="UWM154" s="72"/>
      <c r="UWN154" s="72"/>
      <c r="UWO154" s="72"/>
      <c r="UWP154" s="72"/>
      <c r="UWQ154" s="72"/>
      <c r="UWR154" s="72"/>
      <c r="UWS154" s="72"/>
      <c r="UWT154" s="72"/>
      <c r="UWU154" s="72"/>
      <c r="UWV154" s="72"/>
      <c r="UWW154" s="72"/>
      <c r="UWX154" s="72"/>
      <c r="UWY154" s="72"/>
      <c r="UWZ154" s="72"/>
      <c r="UXA154" s="72"/>
      <c r="UXB154" s="72"/>
      <c r="UXC154" s="72"/>
      <c r="UXD154" s="72"/>
      <c r="UXE154" s="72"/>
      <c r="UXF154" s="72"/>
      <c r="UXG154" s="72"/>
      <c r="UXH154" s="72"/>
      <c r="UXI154" s="72"/>
      <c r="UXJ154" s="72"/>
      <c r="UXK154" s="72"/>
      <c r="UXL154" s="72"/>
      <c r="UXM154" s="72"/>
      <c r="UXN154" s="72"/>
      <c r="UXO154" s="72"/>
      <c r="UXP154" s="72"/>
      <c r="UXQ154" s="72"/>
      <c r="UXR154" s="72"/>
      <c r="UXS154" s="72"/>
      <c r="UXT154" s="72"/>
      <c r="UXU154" s="72"/>
      <c r="UXV154" s="72"/>
      <c r="UXW154" s="72"/>
      <c r="UXX154" s="72"/>
      <c r="UXY154" s="72"/>
      <c r="UXZ154" s="72"/>
      <c r="UYA154" s="72"/>
      <c r="UYB154" s="72"/>
      <c r="UYC154" s="72"/>
      <c r="UYD154" s="72"/>
      <c r="UYE154" s="72"/>
      <c r="UYF154" s="72"/>
      <c r="UYG154" s="72"/>
      <c r="UYH154" s="72"/>
      <c r="UYI154" s="72"/>
      <c r="UYJ154" s="72"/>
      <c r="UYK154" s="72"/>
      <c r="UYL154" s="72"/>
      <c r="UYM154" s="72"/>
      <c r="UYN154" s="72"/>
      <c r="UYO154" s="72"/>
      <c r="UYP154" s="72"/>
      <c r="UYQ154" s="72"/>
      <c r="UYR154" s="72"/>
      <c r="UYS154" s="72"/>
      <c r="UYT154" s="72"/>
      <c r="UYU154" s="72"/>
      <c r="UYV154" s="72"/>
      <c r="UYW154" s="72"/>
      <c r="UYX154" s="72"/>
      <c r="UYY154" s="72"/>
      <c r="UYZ154" s="72"/>
      <c r="UZA154" s="72"/>
      <c r="UZB154" s="72"/>
      <c r="UZC154" s="72"/>
      <c r="UZD154" s="72"/>
      <c r="UZE154" s="72"/>
      <c r="UZF154" s="72"/>
      <c r="UZG154" s="72"/>
      <c r="UZH154" s="72"/>
      <c r="UZI154" s="72"/>
      <c r="UZJ154" s="72"/>
      <c r="UZK154" s="72"/>
      <c r="UZL154" s="72"/>
      <c r="UZM154" s="72"/>
      <c r="UZN154" s="72"/>
      <c r="UZO154" s="72"/>
      <c r="UZP154" s="72"/>
      <c r="UZQ154" s="72"/>
      <c r="UZR154" s="72"/>
      <c r="UZS154" s="72"/>
      <c r="UZT154" s="72"/>
      <c r="UZU154" s="72"/>
      <c r="UZV154" s="72"/>
      <c r="UZW154" s="72"/>
      <c r="UZX154" s="72"/>
      <c r="UZY154" s="72"/>
      <c r="UZZ154" s="72"/>
      <c r="VAA154" s="72"/>
      <c r="VAB154" s="72"/>
      <c r="VAC154" s="72"/>
      <c r="VAD154" s="72"/>
      <c r="VAE154" s="72"/>
      <c r="VAF154" s="72"/>
      <c r="VAG154" s="72"/>
      <c r="VAH154" s="72"/>
      <c r="VAI154" s="72"/>
      <c r="VAJ154" s="72"/>
      <c r="VAK154" s="72"/>
      <c r="VAL154" s="72"/>
      <c r="VAM154" s="72"/>
      <c r="VAN154" s="72"/>
      <c r="VAO154" s="72"/>
      <c r="VAP154" s="72"/>
      <c r="VAQ154" s="72"/>
      <c r="VAR154" s="72"/>
      <c r="VAS154" s="72"/>
      <c r="VAT154" s="72"/>
      <c r="VAU154" s="72"/>
      <c r="VAV154" s="72"/>
      <c r="VAW154" s="72"/>
      <c r="VAX154" s="72"/>
      <c r="VAY154" s="72"/>
      <c r="VAZ154" s="72"/>
      <c r="VBA154" s="72"/>
      <c r="VBB154" s="72"/>
      <c r="VBC154" s="72"/>
      <c r="VBD154" s="72"/>
      <c r="VBE154" s="72"/>
      <c r="VBF154" s="72"/>
      <c r="VBG154" s="72"/>
      <c r="VBH154" s="72"/>
      <c r="VBI154" s="72"/>
      <c r="VBJ154" s="72"/>
      <c r="VBK154" s="72"/>
      <c r="VBL154" s="72"/>
      <c r="VBM154" s="72"/>
      <c r="VBN154" s="72"/>
      <c r="VBO154" s="72"/>
      <c r="VBP154" s="72"/>
      <c r="VBQ154" s="72"/>
      <c r="VBR154" s="72"/>
      <c r="VBS154" s="72"/>
      <c r="VBT154" s="72"/>
      <c r="VBU154" s="72"/>
      <c r="VBV154" s="72"/>
      <c r="VBW154" s="72"/>
      <c r="VBX154" s="72"/>
      <c r="VBY154" s="72"/>
      <c r="VBZ154" s="72"/>
      <c r="VCA154" s="72"/>
      <c r="VCB154" s="72"/>
      <c r="VCC154" s="72"/>
      <c r="VCD154" s="72"/>
      <c r="VCE154" s="72"/>
      <c r="VCF154" s="72"/>
      <c r="VCG154" s="72"/>
      <c r="VCH154" s="72"/>
      <c r="VCI154" s="72"/>
      <c r="VCJ154" s="72"/>
      <c r="VCK154" s="72"/>
      <c r="VCL154" s="72"/>
      <c r="VCM154" s="72"/>
      <c r="VCN154" s="72"/>
      <c r="VCO154" s="72"/>
      <c r="VCP154" s="72"/>
      <c r="VCQ154" s="72"/>
      <c r="VCR154" s="72"/>
      <c r="VCS154" s="72"/>
      <c r="VCT154" s="72"/>
      <c r="VCU154" s="72"/>
      <c r="VCV154" s="72"/>
      <c r="VCW154" s="72"/>
      <c r="VCX154" s="72"/>
      <c r="VCY154" s="72"/>
      <c r="VCZ154" s="72"/>
      <c r="VDA154" s="72"/>
      <c r="VDB154" s="72"/>
      <c r="VDC154" s="72"/>
      <c r="VDD154" s="72"/>
      <c r="VDE154" s="72"/>
      <c r="VDF154" s="72"/>
      <c r="VDG154" s="72"/>
      <c r="VDH154" s="72"/>
      <c r="VDI154" s="72"/>
      <c r="VDJ154" s="72"/>
      <c r="VDK154" s="72"/>
      <c r="VDL154" s="72"/>
      <c r="VDM154" s="72"/>
      <c r="VDN154" s="72"/>
      <c r="VDO154" s="72"/>
      <c r="VDP154" s="72"/>
      <c r="VDQ154" s="72"/>
      <c r="VDR154" s="72"/>
      <c r="VDS154" s="72"/>
      <c r="VDT154" s="72"/>
      <c r="VDU154" s="72"/>
      <c r="VDV154" s="72"/>
      <c r="VDW154" s="72"/>
      <c r="VDX154" s="72"/>
      <c r="VDY154" s="72"/>
      <c r="VDZ154" s="72"/>
      <c r="VEA154" s="72"/>
      <c r="VEB154" s="72"/>
      <c r="VEC154" s="72"/>
      <c r="VED154" s="72"/>
      <c r="VEE154" s="72"/>
      <c r="VEF154" s="72"/>
      <c r="VEG154" s="72"/>
      <c r="VEH154" s="72"/>
      <c r="VEI154" s="72"/>
      <c r="VEJ154" s="72"/>
      <c r="VEK154" s="72"/>
      <c r="VEL154" s="72"/>
      <c r="VEM154" s="72"/>
      <c r="VEN154" s="72"/>
      <c r="VEO154" s="72"/>
      <c r="VEP154" s="72"/>
      <c r="VEQ154" s="72"/>
      <c r="VER154" s="72"/>
      <c r="VES154" s="72"/>
      <c r="VET154" s="72"/>
      <c r="VEU154" s="72"/>
      <c r="VEV154" s="72"/>
      <c r="VEW154" s="72"/>
      <c r="VEX154" s="72"/>
      <c r="VEY154" s="72"/>
      <c r="VEZ154" s="72"/>
      <c r="VFA154" s="72"/>
      <c r="VFB154" s="72"/>
      <c r="VFC154" s="72"/>
      <c r="VFD154" s="72"/>
      <c r="VFE154" s="72"/>
      <c r="VFF154" s="72"/>
      <c r="VFG154" s="72"/>
      <c r="VFH154" s="72"/>
      <c r="VFI154" s="72"/>
      <c r="VFJ154" s="72"/>
      <c r="VFK154" s="72"/>
      <c r="VFL154" s="72"/>
      <c r="VFM154" s="72"/>
      <c r="VFN154" s="72"/>
      <c r="VFO154" s="72"/>
      <c r="VFP154" s="72"/>
      <c r="VFQ154" s="72"/>
      <c r="VFR154" s="72"/>
      <c r="VFS154" s="72"/>
      <c r="VFT154" s="72"/>
      <c r="VFU154" s="72"/>
      <c r="VFV154" s="72"/>
      <c r="VFW154" s="72"/>
      <c r="VFX154" s="72"/>
      <c r="VFY154" s="72"/>
      <c r="VFZ154" s="72"/>
      <c r="VGA154" s="72"/>
      <c r="VGB154" s="72"/>
      <c r="VGC154" s="72"/>
      <c r="VGD154" s="72"/>
      <c r="VGE154" s="72"/>
      <c r="VGF154" s="72"/>
      <c r="VGG154" s="72"/>
      <c r="VGH154" s="72"/>
      <c r="VGI154" s="72"/>
      <c r="VGJ154" s="72"/>
      <c r="VGK154" s="72"/>
      <c r="VGL154" s="72"/>
      <c r="VGM154" s="72"/>
      <c r="VGN154" s="72"/>
      <c r="VGO154" s="72"/>
      <c r="VGP154" s="72"/>
      <c r="VGQ154" s="72"/>
      <c r="VGR154" s="72"/>
      <c r="VGS154" s="72"/>
      <c r="VGT154" s="72"/>
      <c r="VGU154" s="72"/>
      <c r="VGV154" s="72"/>
      <c r="VGW154" s="72"/>
      <c r="VGX154" s="72"/>
      <c r="VGY154" s="72"/>
      <c r="VGZ154" s="72"/>
      <c r="VHA154" s="72"/>
      <c r="VHB154" s="72"/>
      <c r="VHC154" s="72"/>
      <c r="VHD154" s="72"/>
      <c r="VHE154" s="72"/>
      <c r="VHF154" s="72"/>
      <c r="VHG154" s="72"/>
      <c r="VHH154" s="72"/>
      <c r="VHI154" s="72"/>
      <c r="VHJ154" s="72"/>
      <c r="VHK154" s="72"/>
      <c r="VHL154" s="72"/>
      <c r="VHM154" s="72"/>
      <c r="VHN154" s="72"/>
      <c r="VHO154" s="72"/>
      <c r="VHP154" s="72"/>
      <c r="VHQ154" s="72"/>
      <c r="VHR154" s="72"/>
      <c r="VHS154" s="72"/>
      <c r="VHT154" s="72"/>
      <c r="VHU154" s="72"/>
      <c r="VHV154" s="72"/>
      <c r="VHW154" s="72"/>
      <c r="VHX154" s="72"/>
      <c r="VHY154" s="72"/>
      <c r="VHZ154" s="72"/>
      <c r="VIA154" s="72"/>
      <c r="VIB154" s="72"/>
      <c r="VIC154" s="72"/>
      <c r="VID154" s="72"/>
      <c r="VIE154" s="72"/>
      <c r="VIF154" s="72"/>
      <c r="VIG154" s="72"/>
      <c r="VIH154" s="72"/>
      <c r="VII154" s="72"/>
      <c r="VIJ154" s="72"/>
      <c r="VIK154" s="72"/>
      <c r="VIL154" s="72"/>
      <c r="VIM154" s="72"/>
      <c r="VIN154" s="72"/>
      <c r="VIO154" s="72"/>
      <c r="VIP154" s="72"/>
      <c r="VIQ154" s="72"/>
      <c r="VIR154" s="72"/>
      <c r="VIS154" s="72"/>
      <c r="VIT154" s="72"/>
      <c r="VIU154" s="72"/>
      <c r="VIV154" s="72"/>
      <c r="VIW154" s="72"/>
      <c r="VIX154" s="72"/>
      <c r="VIY154" s="72"/>
      <c r="VIZ154" s="72"/>
      <c r="VJA154" s="72"/>
      <c r="VJB154" s="72"/>
      <c r="VJC154" s="72"/>
      <c r="VJD154" s="72"/>
      <c r="VJE154" s="72"/>
      <c r="VJF154" s="72"/>
      <c r="VJG154" s="72"/>
      <c r="VJH154" s="72"/>
      <c r="VJI154" s="72"/>
      <c r="VJJ154" s="72"/>
      <c r="VJK154" s="72"/>
      <c r="VJL154" s="72"/>
      <c r="VJM154" s="72"/>
      <c r="VJN154" s="72"/>
      <c r="VJO154" s="72"/>
      <c r="VJP154" s="72"/>
      <c r="VJQ154" s="72"/>
      <c r="VJR154" s="72"/>
      <c r="VJS154" s="72"/>
      <c r="VJT154" s="72"/>
      <c r="VJU154" s="72"/>
      <c r="VJV154" s="72"/>
      <c r="VJW154" s="72"/>
      <c r="VJX154" s="72"/>
      <c r="VJY154" s="72"/>
      <c r="VJZ154" s="72"/>
      <c r="VKA154" s="72"/>
      <c r="VKB154" s="72"/>
      <c r="VKC154" s="72"/>
      <c r="VKD154" s="72"/>
      <c r="VKE154" s="72"/>
      <c r="VKF154" s="72"/>
      <c r="VKG154" s="72"/>
      <c r="VKH154" s="72"/>
      <c r="VKI154" s="72"/>
      <c r="VKJ154" s="72"/>
      <c r="VKK154" s="72"/>
      <c r="VKL154" s="72"/>
      <c r="VKM154" s="72"/>
      <c r="VKN154" s="72"/>
      <c r="VKO154" s="72"/>
      <c r="VKP154" s="72"/>
      <c r="VKQ154" s="72"/>
      <c r="VKR154" s="72"/>
      <c r="VKS154" s="72"/>
      <c r="VKT154" s="72"/>
      <c r="VKU154" s="72"/>
      <c r="VKV154" s="72"/>
      <c r="VKW154" s="72"/>
      <c r="VKX154" s="72"/>
      <c r="VKY154" s="72"/>
      <c r="VKZ154" s="72"/>
      <c r="VLA154" s="72"/>
      <c r="VLB154" s="72"/>
      <c r="VLC154" s="72"/>
      <c r="VLD154" s="72"/>
      <c r="VLE154" s="72"/>
      <c r="VLF154" s="72"/>
      <c r="VLG154" s="72"/>
      <c r="VLH154" s="72"/>
      <c r="VLI154" s="72"/>
      <c r="VLJ154" s="72"/>
      <c r="VLK154" s="72"/>
      <c r="VLL154" s="72"/>
      <c r="VLM154" s="72"/>
      <c r="VLN154" s="72"/>
      <c r="VLO154" s="72"/>
      <c r="VLP154" s="72"/>
      <c r="VLQ154" s="72"/>
      <c r="VLR154" s="72"/>
      <c r="VLS154" s="72"/>
      <c r="VLT154" s="72"/>
      <c r="VLU154" s="72"/>
      <c r="VLV154" s="72"/>
      <c r="VLW154" s="72"/>
      <c r="VLX154" s="72"/>
      <c r="VLY154" s="72"/>
      <c r="VLZ154" s="72"/>
      <c r="VMA154" s="72"/>
      <c r="VMB154" s="72"/>
      <c r="VMC154" s="72"/>
      <c r="VMD154" s="72"/>
      <c r="VME154" s="72"/>
      <c r="VMF154" s="72"/>
      <c r="VMG154" s="72"/>
      <c r="VMH154" s="72"/>
      <c r="VMI154" s="72"/>
      <c r="VMJ154" s="72"/>
      <c r="VMK154" s="72"/>
      <c r="VML154" s="72"/>
      <c r="VMM154" s="72"/>
      <c r="VMN154" s="72"/>
      <c r="VMO154" s="72"/>
      <c r="VMP154" s="72"/>
      <c r="VMQ154" s="72"/>
      <c r="VMR154" s="72"/>
      <c r="VMS154" s="72"/>
      <c r="VMT154" s="72"/>
      <c r="VMU154" s="72"/>
      <c r="VMV154" s="72"/>
      <c r="VMW154" s="72"/>
      <c r="VMX154" s="72"/>
      <c r="VMY154" s="72"/>
      <c r="VMZ154" s="72"/>
      <c r="VNA154" s="72"/>
      <c r="VNB154" s="72"/>
      <c r="VNC154" s="72"/>
      <c r="VND154" s="72"/>
      <c r="VNE154" s="72"/>
      <c r="VNF154" s="72"/>
      <c r="VNG154" s="72"/>
      <c r="VNH154" s="72"/>
      <c r="VNI154" s="72"/>
      <c r="VNJ154" s="72"/>
      <c r="VNK154" s="72"/>
      <c r="VNL154" s="72"/>
      <c r="VNM154" s="72"/>
      <c r="VNN154" s="72"/>
      <c r="VNO154" s="72"/>
      <c r="VNP154" s="72"/>
      <c r="VNQ154" s="72"/>
      <c r="VNR154" s="72"/>
      <c r="VNS154" s="72"/>
      <c r="VNT154" s="72"/>
      <c r="VNU154" s="72"/>
      <c r="VNV154" s="72"/>
      <c r="VNW154" s="72"/>
      <c r="VNX154" s="72"/>
      <c r="VNY154" s="72"/>
      <c r="VNZ154" s="72"/>
      <c r="VOA154" s="72"/>
      <c r="VOB154" s="72"/>
      <c r="VOC154" s="72"/>
      <c r="VOD154" s="72"/>
      <c r="VOE154" s="72"/>
      <c r="VOF154" s="72"/>
      <c r="VOG154" s="72"/>
      <c r="VOH154" s="72"/>
      <c r="VOI154" s="72"/>
      <c r="VOJ154" s="72"/>
      <c r="VOK154" s="72"/>
      <c r="VOL154" s="72"/>
      <c r="VOM154" s="72"/>
      <c r="VON154" s="72"/>
      <c r="VOO154" s="72"/>
      <c r="VOP154" s="72"/>
      <c r="VOQ154" s="72"/>
      <c r="VOR154" s="72"/>
      <c r="VOS154" s="72"/>
      <c r="VOT154" s="72"/>
      <c r="VOU154" s="72"/>
      <c r="VOV154" s="72"/>
      <c r="VOW154" s="72"/>
      <c r="VOX154" s="72"/>
      <c r="VOY154" s="72"/>
      <c r="VOZ154" s="72"/>
      <c r="VPA154" s="72"/>
      <c r="VPB154" s="72"/>
      <c r="VPC154" s="72"/>
      <c r="VPD154" s="72"/>
      <c r="VPE154" s="72"/>
      <c r="VPF154" s="72"/>
      <c r="VPG154" s="72"/>
      <c r="VPH154" s="72"/>
      <c r="VPI154" s="72"/>
      <c r="VPJ154" s="72"/>
      <c r="VPK154" s="72"/>
      <c r="VPL154" s="72"/>
      <c r="VPM154" s="72"/>
      <c r="VPN154" s="72"/>
      <c r="VPO154" s="72"/>
      <c r="VPP154" s="72"/>
      <c r="VPQ154" s="72"/>
      <c r="VPR154" s="72"/>
      <c r="VPS154" s="72"/>
      <c r="VPT154" s="72"/>
      <c r="VPU154" s="72"/>
      <c r="VPV154" s="72"/>
      <c r="VPW154" s="72"/>
      <c r="VPX154" s="72"/>
      <c r="VPY154" s="72"/>
      <c r="VPZ154" s="72"/>
      <c r="VQA154" s="72"/>
      <c r="VQB154" s="72"/>
      <c r="VQC154" s="72"/>
      <c r="VQD154" s="72"/>
      <c r="VQE154" s="72"/>
      <c r="VQF154" s="72"/>
      <c r="VQG154" s="72"/>
      <c r="VQH154" s="72"/>
      <c r="VQI154" s="72"/>
      <c r="VQJ154" s="72"/>
      <c r="VQK154" s="72"/>
      <c r="VQL154" s="72"/>
      <c r="VQM154" s="72"/>
      <c r="VQN154" s="72"/>
      <c r="VQO154" s="72"/>
      <c r="VQP154" s="72"/>
      <c r="VQQ154" s="72"/>
      <c r="VQR154" s="72"/>
      <c r="VQS154" s="72"/>
      <c r="VQT154" s="72"/>
      <c r="VQU154" s="72"/>
      <c r="VQV154" s="72"/>
      <c r="VQW154" s="72"/>
      <c r="VQX154" s="72"/>
      <c r="VQY154" s="72"/>
      <c r="VQZ154" s="72"/>
      <c r="VRA154" s="72"/>
      <c r="VRB154" s="72"/>
      <c r="VRC154" s="72"/>
      <c r="VRD154" s="72"/>
      <c r="VRE154" s="72"/>
      <c r="VRF154" s="72"/>
      <c r="VRG154" s="72"/>
      <c r="VRH154" s="72"/>
      <c r="VRI154" s="72"/>
      <c r="VRJ154" s="72"/>
      <c r="VRK154" s="72"/>
      <c r="VRL154" s="72"/>
      <c r="VRM154" s="72"/>
      <c r="VRN154" s="72"/>
      <c r="VRO154" s="72"/>
      <c r="VRP154" s="72"/>
      <c r="VRQ154" s="72"/>
      <c r="VRR154" s="72"/>
      <c r="VRS154" s="72"/>
      <c r="VRT154" s="72"/>
      <c r="VRU154" s="72"/>
      <c r="VRV154" s="72"/>
      <c r="VRW154" s="72"/>
      <c r="VRX154" s="72"/>
      <c r="VRY154" s="72"/>
      <c r="VRZ154" s="72"/>
      <c r="VSA154" s="72"/>
      <c r="VSB154" s="72"/>
      <c r="VSC154" s="72"/>
      <c r="VSD154" s="72"/>
      <c r="VSE154" s="72"/>
      <c r="VSF154" s="72"/>
      <c r="VSG154" s="72"/>
      <c r="VSH154" s="72"/>
      <c r="VSI154" s="72"/>
      <c r="VSJ154" s="72"/>
      <c r="VSK154" s="72"/>
      <c r="VSL154" s="72"/>
      <c r="VSM154" s="72"/>
      <c r="VSN154" s="72"/>
      <c r="VSO154" s="72"/>
      <c r="VSP154" s="72"/>
      <c r="VSQ154" s="72"/>
      <c r="VSR154" s="72"/>
      <c r="VSS154" s="72"/>
      <c r="VST154" s="72"/>
      <c r="VSU154" s="72"/>
      <c r="VSV154" s="72"/>
      <c r="VSW154" s="72"/>
      <c r="VSX154" s="72"/>
      <c r="VSY154" s="72"/>
      <c r="VSZ154" s="72"/>
      <c r="VTA154" s="72"/>
      <c r="VTB154" s="72"/>
      <c r="VTC154" s="72"/>
      <c r="VTD154" s="72"/>
      <c r="VTE154" s="72"/>
      <c r="VTF154" s="72"/>
      <c r="VTG154" s="72"/>
      <c r="VTH154" s="72"/>
      <c r="VTI154" s="72"/>
      <c r="VTJ154" s="72"/>
      <c r="VTK154" s="72"/>
      <c r="VTL154" s="72"/>
      <c r="VTM154" s="72"/>
      <c r="VTN154" s="72"/>
      <c r="VTO154" s="72"/>
      <c r="VTP154" s="72"/>
      <c r="VTQ154" s="72"/>
      <c r="VTR154" s="72"/>
      <c r="VTS154" s="72"/>
      <c r="VTT154" s="72"/>
      <c r="VTU154" s="72"/>
      <c r="VTV154" s="72"/>
      <c r="VTW154" s="72"/>
      <c r="VTX154" s="72"/>
      <c r="VTY154" s="72"/>
      <c r="VTZ154" s="72"/>
      <c r="VUA154" s="72"/>
      <c r="VUB154" s="72"/>
      <c r="VUC154" s="72"/>
      <c r="VUD154" s="72"/>
      <c r="VUE154" s="72"/>
      <c r="VUF154" s="72"/>
      <c r="VUG154" s="72"/>
      <c r="VUH154" s="72"/>
      <c r="VUI154" s="72"/>
      <c r="VUJ154" s="72"/>
      <c r="VUK154" s="72"/>
      <c r="VUL154" s="72"/>
      <c r="VUM154" s="72"/>
      <c r="VUN154" s="72"/>
      <c r="VUO154" s="72"/>
      <c r="VUP154" s="72"/>
      <c r="VUQ154" s="72"/>
      <c r="VUR154" s="72"/>
      <c r="VUS154" s="72"/>
      <c r="VUT154" s="72"/>
      <c r="VUU154" s="72"/>
      <c r="VUV154" s="72"/>
      <c r="VUW154" s="72"/>
      <c r="VUX154" s="72"/>
      <c r="VUY154" s="72"/>
      <c r="VUZ154" s="72"/>
      <c r="VVA154" s="72"/>
      <c r="VVB154" s="72"/>
      <c r="VVC154" s="72"/>
      <c r="VVD154" s="72"/>
      <c r="VVE154" s="72"/>
      <c r="VVF154" s="72"/>
      <c r="VVG154" s="72"/>
      <c r="VVH154" s="72"/>
      <c r="VVI154" s="72"/>
      <c r="VVJ154" s="72"/>
      <c r="VVK154" s="72"/>
      <c r="VVL154" s="72"/>
      <c r="VVM154" s="72"/>
      <c r="VVN154" s="72"/>
      <c r="VVO154" s="72"/>
      <c r="VVP154" s="72"/>
      <c r="VVQ154" s="72"/>
      <c r="VVR154" s="72"/>
      <c r="VVS154" s="72"/>
      <c r="VVT154" s="72"/>
      <c r="VVU154" s="72"/>
      <c r="VVV154" s="72"/>
      <c r="VVW154" s="72"/>
      <c r="VVX154" s="72"/>
      <c r="VVY154" s="72"/>
      <c r="VVZ154" s="72"/>
      <c r="VWA154" s="72"/>
      <c r="VWB154" s="72"/>
      <c r="VWC154" s="72"/>
      <c r="VWD154" s="72"/>
      <c r="VWE154" s="72"/>
      <c r="VWF154" s="72"/>
      <c r="VWG154" s="72"/>
      <c r="VWH154" s="72"/>
      <c r="VWI154" s="72"/>
      <c r="VWJ154" s="72"/>
      <c r="VWK154" s="72"/>
      <c r="VWL154" s="72"/>
      <c r="VWM154" s="72"/>
      <c r="VWN154" s="72"/>
      <c r="VWO154" s="72"/>
      <c r="VWP154" s="72"/>
      <c r="VWQ154" s="72"/>
      <c r="VWR154" s="72"/>
      <c r="VWS154" s="72"/>
      <c r="VWT154" s="72"/>
      <c r="VWU154" s="72"/>
      <c r="VWV154" s="72"/>
      <c r="VWW154" s="72"/>
      <c r="VWX154" s="72"/>
      <c r="VWY154" s="72"/>
      <c r="VWZ154" s="72"/>
      <c r="VXA154" s="72"/>
      <c r="VXB154" s="72"/>
      <c r="VXC154" s="72"/>
      <c r="VXD154" s="72"/>
      <c r="VXE154" s="72"/>
      <c r="VXF154" s="72"/>
      <c r="VXG154" s="72"/>
      <c r="VXH154" s="72"/>
      <c r="VXI154" s="72"/>
      <c r="VXJ154" s="72"/>
      <c r="VXK154" s="72"/>
      <c r="VXL154" s="72"/>
      <c r="VXM154" s="72"/>
      <c r="VXN154" s="72"/>
      <c r="VXO154" s="72"/>
      <c r="VXP154" s="72"/>
      <c r="VXQ154" s="72"/>
      <c r="VXR154" s="72"/>
      <c r="VXS154" s="72"/>
      <c r="VXT154" s="72"/>
      <c r="VXU154" s="72"/>
      <c r="VXV154" s="72"/>
      <c r="VXW154" s="72"/>
      <c r="VXX154" s="72"/>
      <c r="VXY154" s="72"/>
      <c r="VXZ154" s="72"/>
      <c r="VYA154" s="72"/>
      <c r="VYB154" s="72"/>
      <c r="VYC154" s="72"/>
      <c r="VYD154" s="72"/>
      <c r="VYE154" s="72"/>
      <c r="VYF154" s="72"/>
      <c r="VYG154" s="72"/>
      <c r="VYH154" s="72"/>
      <c r="VYI154" s="72"/>
      <c r="VYJ154" s="72"/>
      <c r="VYK154" s="72"/>
      <c r="VYL154" s="72"/>
      <c r="VYM154" s="72"/>
      <c r="VYN154" s="72"/>
      <c r="VYO154" s="72"/>
      <c r="VYP154" s="72"/>
      <c r="VYQ154" s="72"/>
      <c r="VYR154" s="72"/>
      <c r="VYS154" s="72"/>
      <c r="VYT154" s="72"/>
      <c r="VYU154" s="72"/>
      <c r="VYV154" s="72"/>
      <c r="VYW154" s="72"/>
      <c r="VYX154" s="72"/>
      <c r="VYY154" s="72"/>
      <c r="VYZ154" s="72"/>
      <c r="VZA154" s="72"/>
      <c r="VZB154" s="72"/>
      <c r="VZC154" s="72"/>
      <c r="VZD154" s="72"/>
      <c r="VZE154" s="72"/>
      <c r="VZF154" s="72"/>
      <c r="VZG154" s="72"/>
      <c r="VZH154" s="72"/>
      <c r="VZI154" s="72"/>
      <c r="VZJ154" s="72"/>
      <c r="VZK154" s="72"/>
      <c r="VZL154" s="72"/>
      <c r="VZM154" s="72"/>
      <c r="VZN154" s="72"/>
      <c r="VZO154" s="72"/>
      <c r="VZP154" s="72"/>
      <c r="VZQ154" s="72"/>
      <c r="VZR154" s="72"/>
      <c r="VZS154" s="72"/>
      <c r="VZT154" s="72"/>
      <c r="VZU154" s="72"/>
      <c r="VZV154" s="72"/>
      <c r="VZW154" s="72"/>
      <c r="VZX154" s="72"/>
      <c r="VZY154" s="72"/>
      <c r="VZZ154" s="72"/>
      <c r="WAA154" s="72"/>
      <c r="WAB154" s="72"/>
      <c r="WAC154" s="72"/>
      <c r="WAD154" s="72"/>
      <c r="WAE154" s="72"/>
      <c r="WAF154" s="72"/>
      <c r="WAG154" s="72"/>
      <c r="WAH154" s="72"/>
      <c r="WAI154" s="72"/>
      <c r="WAJ154" s="72"/>
      <c r="WAK154" s="72"/>
      <c r="WAL154" s="72"/>
      <c r="WAM154" s="72"/>
      <c r="WAN154" s="72"/>
      <c r="WAO154" s="72"/>
      <c r="WAP154" s="72"/>
      <c r="WAQ154" s="72"/>
      <c r="WAR154" s="72"/>
      <c r="WAS154" s="72"/>
      <c r="WAT154" s="72"/>
      <c r="WAU154" s="72"/>
      <c r="WAV154" s="72"/>
      <c r="WAW154" s="72"/>
      <c r="WAX154" s="72"/>
      <c r="WAY154" s="72"/>
      <c r="WAZ154" s="72"/>
      <c r="WBA154" s="72"/>
      <c r="WBB154" s="72"/>
      <c r="WBC154" s="72"/>
      <c r="WBD154" s="72"/>
      <c r="WBE154" s="72"/>
      <c r="WBF154" s="72"/>
      <c r="WBG154" s="72"/>
      <c r="WBH154" s="72"/>
      <c r="WBI154" s="72"/>
      <c r="WBJ154" s="72"/>
      <c r="WBK154" s="72"/>
      <c r="WBL154" s="72"/>
      <c r="WBM154" s="72"/>
      <c r="WBN154" s="72"/>
      <c r="WBO154" s="72"/>
      <c r="WBP154" s="72"/>
      <c r="WBQ154" s="72"/>
      <c r="WBR154" s="72"/>
      <c r="WBS154" s="72"/>
      <c r="WBT154" s="72"/>
      <c r="WBU154" s="72"/>
      <c r="WBV154" s="72"/>
      <c r="WBW154" s="72"/>
      <c r="WBX154" s="72"/>
      <c r="WBY154" s="72"/>
      <c r="WBZ154" s="72"/>
      <c r="WCA154" s="72"/>
      <c r="WCB154" s="72"/>
      <c r="WCC154" s="72"/>
      <c r="WCD154" s="72"/>
      <c r="WCE154" s="72"/>
      <c r="WCF154" s="72"/>
      <c r="WCG154" s="72"/>
      <c r="WCH154" s="72"/>
      <c r="WCI154" s="72"/>
      <c r="WCJ154" s="72"/>
      <c r="WCK154" s="72"/>
      <c r="WCL154" s="72"/>
      <c r="WCM154" s="72"/>
      <c r="WCN154" s="72"/>
      <c r="WCO154" s="72"/>
      <c r="WCP154" s="72"/>
      <c r="WCQ154" s="72"/>
      <c r="WCR154" s="72"/>
      <c r="WCS154" s="72"/>
      <c r="WCT154" s="72"/>
      <c r="WCU154" s="72"/>
      <c r="WCV154" s="72"/>
      <c r="WCW154" s="72"/>
      <c r="WCX154" s="72"/>
      <c r="WCY154" s="72"/>
      <c r="WCZ154" s="72"/>
      <c r="WDA154" s="72"/>
      <c r="WDB154" s="72"/>
      <c r="WDC154" s="72"/>
      <c r="WDD154" s="72"/>
      <c r="WDE154" s="72"/>
      <c r="WDF154" s="72"/>
      <c r="WDG154" s="72"/>
      <c r="WDH154" s="72"/>
      <c r="WDI154" s="72"/>
      <c r="WDJ154" s="72"/>
      <c r="WDK154" s="72"/>
      <c r="WDL154" s="72"/>
      <c r="WDM154" s="72"/>
      <c r="WDN154" s="72"/>
      <c r="WDO154" s="72"/>
      <c r="WDP154" s="72"/>
      <c r="WDQ154" s="72"/>
      <c r="WDR154" s="72"/>
      <c r="WDS154" s="72"/>
      <c r="WDT154" s="72"/>
      <c r="WDU154" s="72"/>
      <c r="WDV154" s="72"/>
      <c r="WDW154" s="72"/>
      <c r="WDX154" s="72"/>
      <c r="WDY154" s="72"/>
      <c r="WDZ154" s="72"/>
      <c r="WEA154" s="72"/>
      <c r="WEB154" s="72"/>
      <c r="WEC154" s="72"/>
      <c r="WED154" s="72"/>
      <c r="WEE154" s="72"/>
      <c r="WEF154" s="72"/>
      <c r="WEG154" s="72"/>
      <c r="WEH154" s="72"/>
      <c r="WEI154" s="72"/>
      <c r="WEJ154" s="72"/>
      <c r="WEK154" s="72"/>
      <c r="WEL154" s="72"/>
      <c r="WEM154" s="72"/>
      <c r="WEN154" s="72"/>
      <c r="WEO154" s="72"/>
      <c r="WEP154" s="72"/>
      <c r="WEQ154" s="72"/>
      <c r="WER154" s="72"/>
      <c r="WES154" s="72"/>
      <c r="WET154" s="72"/>
      <c r="WEU154" s="72"/>
      <c r="WEV154" s="72"/>
      <c r="WEW154" s="72"/>
      <c r="WEX154" s="72"/>
      <c r="WEY154" s="72"/>
      <c r="WEZ154" s="72"/>
      <c r="WFA154" s="72"/>
      <c r="WFB154" s="72"/>
      <c r="WFC154" s="72"/>
      <c r="WFD154" s="72"/>
      <c r="WFE154" s="72"/>
      <c r="WFF154" s="72"/>
      <c r="WFG154" s="72"/>
      <c r="WFH154" s="72"/>
      <c r="WFI154" s="72"/>
      <c r="WFJ154" s="72"/>
      <c r="WFK154" s="72"/>
      <c r="WFL154" s="72"/>
      <c r="WFM154" s="72"/>
      <c r="WFN154" s="72"/>
      <c r="WFO154" s="72"/>
      <c r="WFP154" s="72"/>
      <c r="WFQ154" s="72"/>
      <c r="WFR154" s="72"/>
      <c r="WFS154" s="72"/>
      <c r="WFT154" s="72"/>
      <c r="WFU154" s="72"/>
      <c r="WFV154" s="72"/>
      <c r="WFW154" s="72"/>
      <c r="WFX154" s="72"/>
      <c r="WFY154" s="72"/>
      <c r="WFZ154" s="72"/>
      <c r="WGA154" s="72"/>
      <c r="WGB154" s="72"/>
      <c r="WGC154" s="72"/>
      <c r="WGD154" s="72"/>
      <c r="WGE154" s="72"/>
      <c r="WGF154" s="72"/>
      <c r="WGG154" s="72"/>
      <c r="WGH154" s="72"/>
      <c r="WGI154" s="72"/>
      <c r="WGJ154" s="72"/>
      <c r="WGK154" s="72"/>
      <c r="WGL154" s="72"/>
      <c r="WGM154" s="72"/>
      <c r="WGN154" s="72"/>
      <c r="WGO154" s="72"/>
      <c r="WGP154" s="72"/>
      <c r="WGQ154" s="72"/>
      <c r="WGR154" s="72"/>
      <c r="WGS154" s="72"/>
      <c r="WGT154" s="72"/>
      <c r="WGU154" s="72"/>
      <c r="WGV154" s="72"/>
      <c r="WGW154" s="72"/>
      <c r="WGX154" s="72"/>
      <c r="WGY154" s="72"/>
      <c r="WGZ154" s="72"/>
      <c r="WHA154" s="72"/>
      <c r="WHB154" s="72"/>
      <c r="WHC154" s="72"/>
      <c r="WHD154" s="72"/>
      <c r="WHE154" s="72"/>
      <c r="WHF154" s="72"/>
      <c r="WHG154" s="72"/>
      <c r="WHH154" s="72"/>
      <c r="WHI154" s="72"/>
      <c r="WHJ154" s="72"/>
      <c r="WHK154" s="72"/>
      <c r="WHL154" s="72"/>
      <c r="WHM154" s="72"/>
      <c r="WHN154" s="72"/>
      <c r="WHO154" s="72"/>
      <c r="WHP154" s="72"/>
      <c r="WHQ154" s="72"/>
      <c r="WHR154" s="72"/>
      <c r="WHS154" s="72"/>
      <c r="WHT154" s="72"/>
      <c r="WHU154" s="72"/>
      <c r="WHV154" s="72"/>
      <c r="WHW154" s="72"/>
      <c r="WHX154" s="72"/>
      <c r="WHY154" s="72"/>
      <c r="WHZ154" s="72"/>
      <c r="WIA154" s="72"/>
      <c r="WIB154" s="72"/>
      <c r="WIC154" s="72"/>
      <c r="WID154" s="72"/>
      <c r="WIE154" s="72"/>
      <c r="WIF154" s="72"/>
      <c r="WIG154" s="72"/>
      <c r="WIH154" s="72"/>
      <c r="WII154" s="72"/>
      <c r="WIJ154" s="72"/>
      <c r="WIK154" s="72"/>
      <c r="WIL154" s="72"/>
      <c r="WIM154" s="72"/>
      <c r="WIN154" s="72"/>
      <c r="WIO154" s="72"/>
      <c r="WIP154" s="72"/>
      <c r="WIQ154" s="72"/>
      <c r="WIR154" s="72"/>
      <c r="WIS154" s="72"/>
      <c r="WIT154" s="72"/>
      <c r="WIU154" s="72"/>
      <c r="WIV154" s="72"/>
      <c r="WIW154" s="72"/>
      <c r="WIX154" s="72"/>
      <c r="WIY154" s="72"/>
      <c r="WIZ154" s="72"/>
      <c r="WJA154" s="72"/>
      <c r="WJB154" s="72"/>
      <c r="WJC154" s="72"/>
      <c r="WJD154" s="72"/>
      <c r="WJE154" s="72"/>
      <c r="WJF154" s="72"/>
      <c r="WJG154" s="72"/>
      <c r="WJH154" s="72"/>
      <c r="WJI154" s="72"/>
      <c r="WJJ154" s="72"/>
      <c r="WJK154" s="72"/>
      <c r="WJL154" s="72"/>
      <c r="WJM154" s="72"/>
      <c r="WJN154" s="72"/>
      <c r="WJO154" s="72"/>
      <c r="WJP154" s="72"/>
      <c r="WJQ154" s="72"/>
      <c r="WJR154" s="72"/>
      <c r="WJS154" s="72"/>
      <c r="WJT154" s="72"/>
      <c r="WJU154" s="72"/>
      <c r="WJV154" s="72"/>
      <c r="WJW154" s="72"/>
      <c r="WJX154" s="72"/>
      <c r="WJY154" s="72"/>
      <c r="WJZ154" s="72"/>
      <c r="WKA154" s="72"/>
      <c r="WKB154" s="72"/>
      <c r="WKC154" s="72"/>
      <c r="WKD154" s="72"/>
      <c r="WKE154" s="72"/>
      <c r="WKF154" s="72"/>
      <c r="WKG154" s="72"/>
      <c r="WKH154" s="72"/>
      <c r="WKI154" s="72"/>
      <c r="WKJ154" s="72"/>
      <c r="WKK154" s="72"/>
      <c r="WKL154" s="72"/>
      <c r="WKM154" s="72"/>
      <c r="WKN154" s="72"/>
      <c r="WKO154" s="72"/>
      <c r="WKP154" s="72"/>
      <c r="WKQ154" s="72"/>
      <c r="WKR154" s="72"/>
      <c r="WKS154" s="72"/>
      <c r="WKT154" s="72"/>
      <c r="WKU154" s="72"/>
      <c r="WKV154" s="72"/>
      <c r="WKW154" s="72"/>
      <c r="WKX154" s="72"/>
      <c r="WKY154" s="72"/>
      <c r="WKZ154" s="72"/>
      <c r="WLA154" s="72"/>
      <c r="WLB154" s="72"/>
      <c r="WLC154" s="72"/>
      <c r="WLD154" s="72"/>
      <c r="WLE154" s="72"/>
      <c r="WLF154" s="72"/>
      <c r="WLG154" s="72"/>
      <c r="WLH154" s="72"/>
      <c r="WLI154" s="72"/>
      <c r="WLJ154" s="72"/>
      <c r="WLK154" s="72"/>
      <c r="WLL154" s="72"/>
      <c r="WLM154" s="72"/>
      <c r="WLN154" s="72"/>
      <c r="WLO154" s="72"/>
      <c r="WLP154" s="72"/>
      <c r="WLQ154" s="72"/>
      <c r="WLR154" s="72"/>
      <c r="WLS154" s="72"/>
      <c r="WLT154" s="72"/>
      <c r="WLU154" s="72"/>
      <c r="WLV154" s="72"/>
      <c r="WLW154" s="72"/>
      <c r="WLX154" s="72"/>
      <c r="WLY154" s="72"/>
      <c r="WLZ154" s="72"/>
      <c r="WMA154" s="72"/>
      <c r="WMB154" s="72"/>
      <c r="WMC154" s="72"/>
      <c r="WMD154" s="72"/>
      <c r="WME154" s="72"/>
      <c r="WMF154" s="72"/>
      <c r="WMG154" s="72"/>
      <c r="WMH154" s="72"/>
      <c r="WMI154" s="72"/>
      <c r="WMJ154" s="72"/>
      <c r="WMK154" s="72"/>
      <c r="WML154" s="72"/>
      <c r="WMM154" s="72"/>
      <c r="WMN154" s="72"/>
      <c r="WMO154" s="72"/>
      <c r="WMP154" s="72"/>
      <c r="WMQ154" s="72"/>
      <c r="WMR154" s="72"/>
      <c r="WMS154" s="72"/>
      <c r="WMT154" s="72"/>
      <c r="WMU154" s="72"/>
      <c r="WMV154" s="72"/>
      <c r="WMW154" s="72"/>
      <c r="WMX154" s="72"/>
      <c r="WMY154" s="72"/>
      <c r="WMZ154" s="72"/>
      <c r="WNA154" s="72"/>
      <c r="WNB154" s="72"/>
      <c r="WNC154" s="72"/>
      <c r="WND154" s="72"/>
      <c r="WNE154" s="72"/>
      <c r="WNF154" s="72"/>
      <c r="WNG154" s="72"/>
      <c r="WNH154" s="72"/>
      <c r="WNI154" s="72"/>
      <c r="WNJ154" s="72"/>
      <c r="WNK154" s="72"/>
      <c r="WNL154" s="72"/>
      <c r="WNM154" s="72"/>
      <c r="WNN154" s="72"/>
      <c r="WNO154" s="72"/>
      <c r="WNP154" s="72"/>
      <c r="WNQ154" s="72"/>
      <c r="WNR154" s="72"/>
      <c r="WNS154" s="72"/>
      <c r="WNT154" s="72"/>
      <c r="WNU154" s="72"/>
      <c r="WNV154" s="72"/>
      <c r="WNW154" s="72"/>
      <c r="WNX154" s="72"/>
      <c r="WNY154" s="72"/>
      <c r="WNZ154" s="72"/>
      <c r="WOA154" s="72"/>
      <c r="WOB154" s="72"/>
      <c r="WOC154" s="72"/>
      <c r="WOD154" s="72"/>
      <c r="WOE154" s="72"/>
      <c r="WOF154" s="72"/>
      <c r="WOG154" s="72"/>
      <c r="WOH154" s="72"/>
      <c r="WOI154" s="72"/>
      <c r="WOJ154" s="72"/>
      <c r="WOK154" s="72"/>
      <c r="WOL154" s="72"/>
      <c r="WOM154" s="72"/>
      <c r="WON154" s="72"/>
      <c r="WOO154" s="72"/>
      <c r="WOP154" s="72"/>
      <c r="WOQ154" s="72"/>
      <c r="WOR154" s="72"/>
      <c r="WOS154" s="72"/>
      <c r="WOT154" s="72"/>
      <c r="WOU154" s="72"/>
      <c r="WOV154" s="72"/>
      <c r="WOW154" s="72"/>
      <c r="WOX154" s="72"/>
      <c r="WOY154" s="72"/>
      <c r="WOZ154" s="72"/>
      <c r="WPA154" s="72"/>
      <c r="WPB154" s="72"/>
      <c r="WPC154" s="72"/>
      <c r="WPD154" s="72"/>
      <c r="WPE154" s="72"/>
      <c r="WPF154" s="72"/>
      <c r="WPG154" s="72"/>
      <c r="WPH154" s="72"/>
      <c r="WPI154" s="72"/>
      <c r="WPJ154" s="72"/>
      <c r="WPK154" s="72"/>
      <c r="WPL154" s="72"/>
      <c r="WPM154" s="72"/>
      <c r="WPN154" s="72"/>
      <c r="WPO154" s="72"/>
      <c r="WPP154" s="72"/>
      <c r="WPQ154" s="72"/>
      <c r="WPR154" s="72"/>
      <c r="WPS154" s="72"/>
      <c r="WPT154" s="72"/>
      <c r="WPU154" s="72"/>
      <c r="WPV154" s="72"/>
      <c r="WPW154" s="72"/>
      <c r="WPX154" s="72"/>
      <c r="WPY154" s="72"/>
      <c r="WPZ154" s="72"/>
      <c r="WQA154" s="72"/>
      <c r="WQB154" s="72"/>
      <c r="WQC154" s="72"/>
      <c r="WQD154" s="72"/>
      <c r="WQE154" s="72"/>
      <c r="WQF154" s="72"/>
      <c r="WQG154" s="72"/>
      <c r="WQH154" s="72"/>
      <c r="WQI154" s="72"/>
      <c r="WQJ154" s="72"/>
      <c r="WQK154" s="72"/>
      <c r="WQL154" s="72"/>
      <c r="WQM154" s="72"/>
      <c r="WQN154" s="72"/>
      <c r="WQO154" s="72"/>
      <c r="WQP154" s="72"/>
      <c r="WQQ154" s="72"/>
      <c r="WQR154" s="72"/>
      <c r="WQS154" s="72"/>
      <c r="WQT154" s="72"/>
      <c r="WQU154" s="72"/>
      <c r="WQV154" s="72"/>
      <c r="WQW154" s="72"/>
      <c r="WQX154" s="72"/>
      <c r="WQY154" s="72"/>
      <c r="WQZ154" s="72"/>
      <c r="WRA154" s="72"/>
      <c r="WRB154" s="72"/>
      <c r="WRC154" s="72"/>
      <c r="WRD154" s="72"/>
      <c r="WRE154" s="72"/>
      <c r="WRF154" s="72"/>
      <c r="WRG154" s="72"/>
      <c r="WRH154" s="72"/>
      <c r="WRI154" s="72"/>
      <c r="WRJ154" s="72"/>
      <c r="WRK154" s="72"/>
      <c r="WRL154" s="72"/>
      <c r="WRM154" s="72"/>
      <c r="WRN154" s="72"/>
      <c r="WRO154" s="72"/>
      <c r="WRP154" s="72"/>
      <c r="WRQ154" s="72"/>
      <c r="WRR154" s="72"/>
      <c r="WRS154" s="72"/>
      <c r="WRT154" s="72"/>
      <c r="WRU154" s="72"/>
      <c r="WRV154" s="72"/>
      <c r="WRW154" s="72"/>
      <c r="WRX154" s="72"/>
      <c r="WRY154" s="72"/>
      <c r="WRZ154" s="72"/>
      <c r="WSA154" s="72"/>
      <c r="WSB154" s="72"/>
      <c r="WSC154" s="72"/>
      <c r="WSD154" s="72"/>
      <c r="WSE154" s="72"/>
      <c r="WSF154" s="72"/>
      <c r="WSG154" s="72"/>
      <c r="WSH154" s="72"/>
      <c r="WSI154" s="72"/>
      <c r="WSJ154" s="72"/>
      <c r="WSK154" s="72"/>
      <c r="WSL154" s="72"/>
      <c r="WSM154" s="72"/>
      <c r="WSN154" s="72"/>
      <c r="WSO154" s="72"/>
      <c r="WSP154" s="72"/>
      <c r="WSQ154" s="72"/>
      <c r="WSR154" s="72"/>
      <c r="WSS154" s="72"/>
      <c r="WST154" s="72"/>
      <c r="WSU154" s="72"/>
      <c r="WSV154" s="72"/>
      <c r="WSW154" s="72"/>
      <c r="WSX154" s="72"/>
      <c r="WSY154" s="72"/>
      <c r="WSZ154" s="72"/>
      <c r="WTA154" s="72"/>
      <c r="WTB154" s="72"/>
      <c r="WTC154" s="72"/>
      <c r="WTD154" s="72"/>
      <c r="WTE154" s="72"/>
      <c r="WTF154" s="72"/>
      <c r="WTG154" s="72"/>
      <c r="WTH154" s="72"/>
      <c r="WTI154" s="72"/>
      <c r="WTJ154" s="72"/>
      <c r="WTK154" s="72"/>
      <c r="WTL154" s="72"/>
      <c r="WTM154" s="72"/>
      <c r="WTN154" s="72"/>
      <c r="WTO154" s="72"/>
      <c r="WTP154" s="72"/>
      <c r="WTQ154" s="72"/>
      <c r="WTR154" s="72"/>
      <c r="WTS154" s="72"/>
      <c r="WTT154" s="72"/>
      <c r="WTU154" s="72"/>
      <c r="WTV154" s="72"/>
      <c r="WTW154" s="72"/>
      <c r="WTX154" s="72"/>
      <c r="WTY154" s="72"/>
      <c r="WTZ154" s="72"/>
      <c r="WUA154" s="72"/>
      <c r="WUB154" s="72"/>
      <c r="WUC154" s="72"/>
      <c r="WUD154" s="72"/>
      <c r="WUE154" s="72"/>
      <c r="WUF154" s="72"/>
      <c r="WUG154" s="72"/>
      <c r="WUH154" s="72"/>
      <c r="WUI154" s="72"/>
      <c r="WUJ154" s="72"/>
      <c r="WUK154" s="72"/>
      <c r="WUL154" s="72"/>
      <c r="WUM154" s="72"/>
      <c r="WUN154" s="72"/>
      <c r="WUO154" s="72"/>
      <c r="WUP154" s="72"/>
      <c r="WUQ154" s="72"/>
      <c r="WUR154" s="72"/>
      <c r="WUS154" s="72"/>
      <c r="WUT154" s="72"/>
      <c r="WUU154" s="72"/>
      <c r="WUV154" s="72"/>
      <c r="WUW154" s="72"/>
      <c r="WUX154" s="72"/>
      <c r="WUY154" s="72"/>
      <c r="WUZ154" s="72"/>
      <c r="WVA154" s="72"/>
      <c r="WVB154" s="72"/>
      <c r="WVC154" s="72"/>
      <c r="WVD154" s="72"/>
      <c r="WVE154" s="72"/>
      <c r="WVF154" s="72"/>
      <c r="WVG154" s="72"/>
      <c r="WVH154" s="72"/>
      <c r="WVI154" s="72"/>
      <c r="WVJ154" s="72"/>
      <c r="WVK154" s="72"/>
      <c r="WVL154" s="72"/>
      <c r="WVM154" s="72"/>
      <c r="WVN154" s="72"/>
      <c r="WVO154" s="72"/>
      <c r="WVP154" s="72"/>
      <c r="WVQ154" s="72"/>
      <c r="WVR154" s="72"/>
      <c r="WVS154" s="72"/>
    </row>
    <row r="155" spans="1:16139" ht="156" customHeight="1" x14ac:dyDescent="0.25">
      <c r="A155" s="73">
        <v>133</v>
      </c>
      <c r="B155" s="73" t="s">
        <v>184</v>
      </c>
      <c r="C155" s="51" t="s">
        <v>41</v>
      </c>
      <c r="D155" s="45" t="s">
        <v>39</v>
      </c>
      <c r="E155" s="45" t="s">
        <v>38</v>
      </c>
      <c r="F155" s="45">
        <v>1500</v>
      </c>
      <c r="G155" s="45">
        <v>2400</v>
      </c>
      <c r="H155" s="46">
        <f>F155*G155/10^6</f>
        <v>3.6</v>
      </c>
      <c r="I155" s="45">
        <v>1</v>
      </c>
      <c r="J155" s="53">
        <v>3373000</v>
      </c>
      <c r="K155" s="47">
        <v>1850000</v>
      </c>
      <c r="L155" s="48">
        <f>IF(H155&lt;&gt;0,J155*H155*I155+K155*I155,IF(J155&lt;&gt;0,G155*I155*J155,I155*K155))</f>
        <v>13992800</v>
      </c>
      <c r="M155" s="28"/>
      <c r="N155" s="28"/>
      <c r="O155" s="28"/>
      <c r="P155" s="28"/>
      <c r="Q155" s="28"/>
      <c r="R155" s="28"/>
      <c r="S155" s="28"/>
      <c r="T155" s="28"/>
      <c r="U155" s="28"/>
      <c r="V155" s="28"/>
      <c r="W155" s="28"/>
      <c r="X155" s="28"/>
      <c r="Y155" s="28"/>
      <c r="Z155" s="28"/>
      <c r="AA155" s="28"/>
      <c r="AB155" s="28"/>
      <c r="AC155" s="28"/>
      <c r="AD155" s="28"/>
      <c r="AE155" s="28"/>
      <c r="AF155" s="28"/>
      <c r="AG155" s="28"/>
      <c r="AH155" s="28"/>
    </row>
    <row r="156" spans="1:16139" ht="156" customHeight="1" x14ac:dyDescent="0.25">
      <c r="A156" s="73">
        <v>134</v>
      </c>
      <c r="B156" s="73" t="s">
        <v>185</v>
      </c>
      <c r="C156" s="51" t="s">
        <v>41</v>
      </c>
      <c r="D156" s="45" t="s">
        <v>39</v>
      </c>
      <c r="E156" s="45" t="s">
        <v>38</v>
      </c>
      <c r="F156" s="45">
        <v>1650</v>
      </c>
      <c r="G156" s="45">
        <v>2300</v>
      </c>
      <c r="H156" s="46">
        <f>F156*G156/10^6</f>
        <v>3.7949999999999999</v>
      </c>
      <c r="I156" s="45">
        <v>1</v>
      </c>
      <c r="J156" s="53">
        <v>3296000</v>
      </c>
      <c r="K156" s="47">
        <v>1850000</v>
      </c>
      <c r="L156" s="48">
        <f>IF(H156&lt;&gt;0,J156*H156*I156+K156*I156,IF(J156&lt;&gt;0,G156*I156*J156,I156*K156))</f>
        <v>14358320</v>
      </c>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spans="1:16139" ht="156" customHeight="1" x14ac:dyDescent="0.25">
      <c r="A157" s="73">
        <v>135</v>
      </c>
      <c r="B157" s="73" t="s">
        <v>186</v>
      </c>
      <c r="C157" s="51" t="s">
        <v>42</v>
      </c>
      <c r="D157" s="45" t="s">
        <v>45</v>
      </c>
      <c r="E157" s="45"/>
      <c r="F157" s="45">
        <v>1640</v>
      </c>
      <c r="G157" s="45">
        <v>2300</v>
      </c>
      <c r="H157" s="46">
        <f t="shared" ref="H157" si="48">F157*G157/10^6</f>
        <v>3.7719999999999998</v>
      </c>
      <c r="I157" s="45">
        <v>1</v>
      </c>
      <c r="J157" s="53">
        <v>2301000</v>
      </c>
      <c r="K157" s="47"/>
      <c r="L157" s="48">
        <f t="shared" ref="L157" si="49">IF(H157&lt;&gt;0,J157*H157*I157+K157*I157,IF(J157&lt;&gt;0,G157*I157*J157,I157*K157))</f>
        <v>8679372</v>
      </c>
      <c r="M157" s="28"/>
      <c r="N157" s="28"/>
      <c r="O157" s="28"/>
      <c r="P157" s="28"/>
      <c r="Q157" s="28"/>
      <c r="R157" s="28"/>
      <c r="S157" s="28"/>
      <c r="T157" s="28"/>
      <c r="U157" s="28"/>
      <c r="V157" s="28"/>
      <c r="W157" s="28"/>
      <c r="X157" s="28"/>
      <c r="Y157" s="28"/>
      <c r="Z157" s="28"/>
      <c r="AA157" s="28"/>
      <c r="AB157" s="28"/>
      <c r="AC157" s="28"/>
      <c r="AD157" s="28"/>
      <c r="AE157" s="28"/>
      <c r="AF157" s="28"/>
      <c r="AG157" s="28"/>
      <c r="AH157" s="28"/>
    </row>
    <row r="158" spans="1:16139" ht="146.25" customHeight="1" x14ac:dyDescent="0.25">
      <c r="A158" s="135">
        <v>136</v>
      </c>
      <c r="B158" s="137" t="s">
        <v>187</v>
      </c>
      <c r="C158" s="58" t="s">
        <v>42</v>
      </c>
      <c r="D158" s="45" t="s">
        <v>45</v>
      </c>
      <c r="E158" s="45"/>
      <c r="F158" s="45">
        <v>1200</v>
      </c>
      <c r="G158" s="45">
        <v>2300</v>
      </c>
      <c r="H158" s="46">
        <f>F158*G158/10^6</f>
        <v>2.76</v>
      </c>
      <c r="I158" s="45">
        <v>1</v>
      </c>
      <c r="J158" s="53">
        <v>2422000</v>
      </c>
      <c r="K158" s="47"/>
      <c r="L158" s="48">
        <f>IF(H158&lt;&gt;0,J158*H158*I158+K158*I158,IF(J158&lt;&gt;0,G158*I158*J158,I158*K158))</f>
        <v>6684719.9999999991</v>
      </c>
      <c r="M158" s="28"/>
      <c r="N158" s="28"/>
      <c r="O158" s="28"/>
      <c r="P158" s="28"/>
      <c r="Q158" s="28"/>
      <c r="R158" s="28"/>
      <c r="S158" s="28"/>
      <c r="T158" s="28"/>
      <c r="U158" s="28"/>
      <c r="V158" s="28"/>
      <c r="W158" s="28"/>
      <c r="X158" s="28"/>
      <c r="Y158" s="28"/>
      <c r="Z158" s="28"/>
      <c r="AA158" s="28"/>
      <c r="AB158" s="28"/>
      <c r="AC158" s="28"/>
      <c r="AD158" s="28"/>
      <c r="AE158" s="28"/>
      <c r="AF158" s="28"/>
      <c r="AG158" s="28"/>
      <c r="AH158" s="28"/>
    </row>
    <row r="159" spans="1:16139" ht="146.25" customHeight="1" x14ac:dyDescent="0.25">
      <c r="A159" s="149"/>
      <c r="B159" s="150"/>
      <c r="C159" s="58" t="s">
        <v>42</v>
      </c>
      <c r="D159" s="45" t="s">
        <v>207</v>
      </c>
      <c r="E159" s="45"/>
      <c r="F159" s="45">
        <f>2098-1200</f>
        <v>898</v>
      </c>
      <c r="G159" s="45">
        <v>2300</v>
      </c>
      <c r="H159" s="46">
        <f>F159*G159/10^6</f>
        <v>2.0653999999999999</v>
      </c>
      <c r="I159" s="45">
        <v>1</v>
      </c>
      <c r="J159" s="53">
        <v>4231000</v>
      </c>
      <c r="K159" s="47"/>
      <c r="L159" s="48">
        <f>IF(H159&lt;&gt;0,J159*H159*I159+K159*I159,IF(J159&lt;&gt;0,G159*I159*J159,I159*K159))</f>
        <v>8738707.4000000004</v>
      </c>
      <c r="M159" s="28"/>
      <c r="N159" s="28"/>
      <c r="O159" s="28"/>
      <c r="P159" s="28"/>
      <c r="Q159" s="28"/>
      <c r="R159" s="28"/>
      <c r="S159" s="28"/>
      <c r="T159" s="28"/>
      <c r="U159" s="28"/>
      <c r="V159" s="28"/>
      <c r="W159" s="28"/>
      <c r="X159" s="28"/>
      <c r="Y159" s="28"/>
      <c r="Z159" s="28"/>
      <c r="AA159" s="28"/>
      <c r="AB159" s="28"/>
      <c r="AC159" s="28"/>
      <c r="AD159" s="28"/>
      <c r="AE159" s="28"/>
      <c r="AF159" s="28"/>
      <c r="AG159" s="28"/>
      <c r="AH159" s="28"/>
    </row>
    <row r="160" spans="1:16139" ht="30.75" customHeight="1" x14ac:dyDescent="0.25">
      <c r="A160" s="136"/>
      <c r="B160" s="138"/>
      <c r="C160" s="69" t="s">
        <v>201</v>
      </c>
      <c r="D160" s="59"/>
      <c r="E160" s="59"/>
      <c r="F160" s="59">
        <f>898+1000</f>
        <v>1898</v>
      </c>
      <c r="G160" s="59"/>
      <c r="H160" s="60">
        <f t="shared" ref="H160:H161" si="50">F160*G160/10^6</f>
        <v>0</v>
      </c>
      <c r="I160" s="59">
        <v>1</v>
      </c>
      <c r="J160" s="53">
        <v>550000</v>
      </c>
      <c r="K160" s="47"/>
      <c r="L160" s="70">
        <f>F160*I160*J160/1000</f>
        <v>1043900</v>
      </c>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c r="EZ160" s="72"/>
      <c r="FA160" s="72"/>
      <c r="FB160" s="72"/>
      <c r="FC160" s="72"/>
      <c r="FD160" s="72"/>
      <c r="FE160" s="72"/>
      <c r="FF160" s="72"/>
      <c r="FG160" s="72"/>
      <c r="FH160" s="72"/>
      <c r="FI160" s="72"/>
      <c r="FJ160" s="72"/>
      <c r="FK160" s="72"/>
      <c r="FL160" s="72"/>
      <c r="FM160" s="72"/>
      <c r="FN160" s="72"/>
      <c r="FO160" s="72"/>
      <c r="FP160" s="72"/>
      <c r="FQ160" s="72"/>
      <c r="FR160" s="72"/>
      <c r="FS160" s="72"/>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c r="ME160" s="72"/>
      <c r="MF160" s="72"/>
      <c r="MG160" s="72"/>
      <c r="MH160" s="72"/>
      <c r="MI160" s="72"/>
      <c r="MJ160" s="72"/>
      <c r="MK160" s="72"/>
      <c r="ML160" s="72"/>
      <c r="MM160" s="72"/>
      <c r="MN160" s="72"/>
      <c r="MO160" s="72"/>
      <c r="MP160" s="72"/>
      <c r="MQ160" s="72"/>
      <c r="MR160" s="72"/>
      <c r="MS160" s="72"/>
      <c r="MT160" s="72"/>
      <c r="MU160" s="72"/>
      <c r="MV160" s="72"/>
      <c r="MW160" s="72"/>
      <c r="MX160" s="72"/>
      <c r="MY160" s="72"/>
      <c r="MZ160" s="72"/>
      <c r="NA160" s="72"/>
      <c r="NB160" s="72"/>
      <c r="NC160" s="72"/>
      <c r="ND160" s="72"/>
      <c r="NE160" s="72"/>
      <c r="NF160" s="72"/>
      <c r="NG160" s="72"/>
      <c r="NH160" s="72"/>
      <c r="NI160" s="72"/>
      <c r="NJ160" s="72"/>
      <c r="NK160" s="72"/>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c r="ON160" s="72"/>
      <c r="OO160" s="72"/>
      <c r="OP160" s="72"/>
      <c r="OQ160" s="72"/>
      <c r="OR160" s="72"/>
      <c r="OS160" s="72"/>
      <c r="OT160" s="72"/>
      <c r="OU160" s="72"/>
      <c r="OV160" s="72"/>
      <c r="OW160" s="72"/>
      <c r="OX160" s="72"/>
      <c r="OY160" s="72"/>
      <c r="OZ160" s="72"/>
      <c r="PA160" s="72"/>
      <c r="PB160" s="72"/>
      <c r="PC160" s="72"/>
      <c r="PD160" s="72"/>
      <c r="PE160" s="72"/>
      <c r="PF160" s="72"/>
      <c r="PG160" s="72"/>
      <c r="PH160" s="72"/>
      <c r="PI160" s="72"/>
      <c r="PJ160" s="72"/>
      <c r="PK160" s="72"/>
      <c r="PL160" s="72"/>
      <c r="PM160" s="72"/>
      <c r="PN160" s="72"/>
      <c r="PO160" s="72"/>
      <c r="PP160" s="72"/>
      <c r="PQ160" s="72"/>
      <c r="PR160" s="72"/>
      <c r="PS160" s="72"/>
      <c r="PT160" s="72"/>
      <c r="PU160" s="72"/>
      <c r="PV160" s="72"/>
      <c r="PW160" s="72"/>
      <c r="PX160" s="72"/>
      <c r="PY160" s="72"/>
      <c r="PZ160" s="72"/>
      <c r="QA160" s="72"/>
      <c r="QB160" s="72"/>
      <c r="QC160" s="72"/>
      <c r="QD160" s="72"/>
      <c r="QE160" s="72"/>
      <c r="QF160" s="72"/>
      <c r="QG160" s="72"/>
      <c r="QH160" s="72"/>
      <c r="QI160" s="72"/>
      <c r="QJ160" s="72"/>
      <c r="QK160" s="72"/>
      <c r="QL160" s="72"/>
      <c r="QM160" s="72"/>
      <c r="QN160" s="72"/>
      <c r="QO160" s="72"/>
      <c r="QP160" s="72"/>
      <c r="QQ160" s="72"/>
      <c r="QR160" s="72"/>
      <c r="QS160" s="72"/>
      <c r="QT160" s="72"/>
      <c r="QU160" s="72"/>
      <c r="QV160" s="72"/>
      <c r="QW160" s="72"/>
      <c r="QX160" s="72"/>
      <c r="QY160" s="72"/>
      <c r="QZ160" s="72"/>
      <c r="RA160" s="72"/>
      <c r="RB160" s="72"/>
      <c r="RC160" s="72"/>
      <c r="RD160" s="72"/>
      <c r="RE160" s="72"/>
      <c r="RF160" s="72"/>
      <c r="RG160" s="72"/>
      <c r="RH160" s="72"/>
      <c r="RI160" s="72"/>
      <c r="RJ160" s="72"/>
      <c r="RK160" s="72"/>
      <c r="RL160" s="72"/>
      <c r="RM160" s="72"/>
      <c r="RN160" s="72"/>
      <c r="RO160" s="72"/>
      <c r="RP160" s="72"/>
      <c r="RQ160" s="72"/>
      <c r="RR160" s="72"/>
      <c r="RS160" s="72"/>
      <c r="RT160" s="72"/>
      <c r="RU160" s="72"/>
      <c r="RV160" s="72"/>
      <c r="RW160" s="72"/>
      <c r="RX160" s="72"/>
      <c r="RY160" s="72"/>
      <c r="RZ160" s="72"/>
      <c r="SA160" s="72"/>
      <c r="SB160" s="72"/>
      <c r="SC160" s="72"/>
      <c r="SD160" s="72"/>
      <c r="SE160" s="72"/>
      <c r="SF160" s="72"/>
      <c r="SG160" s="72"/>
      <c r="SH160" s="72"/>
      <c r="SI160" s="72"/>
      <c r="SJ160" s="72"/>
      <c r="SK160" s="72"/>
      <c r="SL160" s="72"/>
      <c r="SM160" s="72"/>
      <c r="SN160" s="72"/>
      <c r="SO160" s="72"/>
      <c r="SP160" s="72"/>
      <c r="SQ160" s="72"/>
      <c r="SR160" s="72"/>
      <c r="SS160" s="72"/>
      <c r="ST160" s="72"/>
      <c r="SU160" s="72"/>
      <c r="SV160" s="72"/>
      <c r="SW160" s="72"/>
      <c r="SX160" s="72"/>
      <c r="SY160" s="72"/>
      <c r="SZ160" s="72"/>
      <c r="TA160" s="72"/>
      <c r="TB160" s="72"/>
      <c r="TC160" s="72"/>
      <c r="TD160" s="72"/>
      <c r="TE160" s="72"/>
      <c r="TF160" s="72"/>
      <c r="TG160" s="72"/>
      <c r="TH160" s="72"/>
      <c r="TI160" s="72"/>
      <c r="TJ160" s="72"/>
      <c r="TK160" s="72"/>
      <c r="TL160" s="72"/>
      <c r="TM160" s="72"/>
      <c r="TN160" s="72"/>
      <c r="TO160" s="72"/>
      <c r="TP160" s="72"/>
      <c r="TQ160" s="72"/>
      <c r="TR160" s="72"/>
      <c r="TS160" s="72"/>
      <c r="TT160" s="72"/>
      <c r="TU160" s="72"/>
      <c r="TV160" s="72"/>
      <c r="TW160" s="72"/>
      <c r="TX160" s="72"/>
      <c r="TY160" s="72"/>
      <c r="TZ160" s="72"/>
      <c r="UA160" s="72"/>
      <c r="UB160" s="72"/>
      <c r="UC160" s="72"/>
      <c r="UD160" s="72"/>
      <c r="UE160" s="72"/>
      <c r="UF160" s="72"/>
      <c r="UG160" s="72"/>
      <c r="UH160" s="72"/>
      <c r="UI160" s="72"/>
      <c r="UJ160" s="72"/>
      <c r="UK160" s="72"/>
      <c r="UL160" s="72"/>
      <c r="UM160" s="72"/>
      <c r="UN160" s="72"/>
      <c r="UO160" s="72"/>
      <c r="UP160" s="72"/>
      <c r="UQ160" s="72"/>
      <c r="UR160" s="72"/>
      <c r="US160" s="72"/>
      <c r="UT160" s="72"/>
      <c r="UU160" s="72"/>
      <c r="UV160" s="72"/>
      <c r="UW160" s="72"/>
      <c r="UX160" s="72"/>
      <c r="UY160" s="72"/>
      <c r="UZ160" s="72"/>
      <c r="VA160" s="72"/>
      <c r="VB160" s="72"/>
      <c r="VC160" s="72"/>
      <c r="VD160" s="72"/>
      <c r="VE160" s="72"/>
      <c r="VF160" s="72"/>
      <c r="VG160" s="72"/>
      <c r="VH160" s="72"/>
      <c r="VI160" s="72"/>
      <c r="VJ160" s="72"/>
      <c r="VK160" s="72"/>
      <c r="VL160" s="72"/>
      <c r="VM160" s="72"/>
      <c r="VN160" s="72"/>
      <c r="VO160" s="72"/>
      <c r="VP160" s="72"/>
      <c r="VQ160" s="72"/>
      <c r="VR160" s="72"/>
      <c r="VS160" s="72"/>
      <c r="VT160" s="72"/>
      <c r="VU160" s="72"/>
      <c r="VV160" s="72"/>
      <c r="VW160" s="72"/>
      <c r="VX160" s="72"/>
      <c r="VY160" s="72"/>
      <c r="VZ160" s="72"/>
      <c r="WA160" s="72"/>
      <c r="WB160" s="72"/>
      <c r="WC160" s="72"/>
      <c r="WD160" s="72"/>
      <c r="WE160" s="72"/>
      <c r="WF160" s="72"/>
      <c r="WG160" s="72"/>
      <c r="WH160" s="72"/>
      <c r="WI160" s="72"/>
      <c r="WJ160" s="72"/>
      <c r="WK160" s="72"/>
      <c r="WL160" s="72"/>
      <c r="WM160" s="72"/>
      <c r="WN160" s="72"/>
      <c r="WO160" s="72"/>
      <c r="WP160" s="72"/>
      <c r="WQ160" s="72"/>
      <c r="WR160" s="72"/>
      <c r="WS160" s="72"/>
      <c r="WT160" s="72"/>
      <c r="WU160" s="72"/>
      <c r="WV160" s="72"/>
      <c r="WW160" s="72"/>
      <c r="WX160" s="72"/>
      <c r="WY160" s="72"/>
      <c r="WZ160" s="72"/>
      <c r="XA160" s="72"/>
      <c r="XB160" s="72"/>
      <c r="XC160" s="72"/>
      <c r="XD160" s="72"/>
      <c r="XE160" s="72"/>
      <c r="XF160" s="72"/>
      <c r="XG160" s="72"/>
      <c r="XH160" s="72"/>
      <c r="XI160" s="72"/>
      <c r="XJ160" s="72"/>
      <c r="XK160" s="72"/>
      <c r="XL160" s="72"/>
      <c r="XM160" s="72"/>
      <c r="XN160" s="72"/>
      <c r="XO160" s="72"/>
      <c r="XP160" s="72"/>
      <c r="XQ160" s="72"/>
      <c r="XR160" s="72"/>
      <c r="XS160" s="72"/>
      <c r="XT160" s="72"/>
      <c r="XU160" s="72"/>
      <c r="XV160" s="72"/>
      <c r="XW160" s="72"/>
      <c r="XX160" s="72"/>
      <c r="XY160" s="72"/>
      <c r="XZ160" s="72"/>
      <c r="YA160" s="72"/>
      <c r="YB160" s="72"/>
      <c r="YC160" s="72"/>
      <c r="YD160" s="72"/>
      <c r="YE160" s="72"/>
      <c r="YF160" s="72"/>
      <c r="YG160" s="72"/>
      <c r="YH160" s="72"/>
      <c r="YI160" s="72"/>
      <c r="YJ160" s="72"/>
      <c r="YK160" s="72"/>
      <c r="YL160" s="72"/>
      <c r="YM160" s="72"/>
      <c r="YN160" s="72"/>
      <c r="YO160" s="72"/>
      <c r="YP160" s="72"/>
      <c r="YQ160" s="72"/>
      <c r="YR160" s="72"/>
      <c r="YS160" s="72"/>
      <c r="YT160" s="72"/>
      <c r="YU160" s="72"/>
      <c r="YV160" s="72"/>
      <c r="YW160" s="72"/>
      <c r="YX160" s="72"/>
      <c r="YY160" s="72"/>
      <c r="YZ160" s="72"/>
      <c r="ZA160" s="72"/>
      <c r="ZB160" s="72"/>
      <c r="ZC160" s="72"/>
      <c r="ZD160" s="72"/>
      <c r="ZE160" s="72"/>
      <c r="ZF160" s="72"/>
      <c r="ZG160" s="72"/>
      <c r="ZH160" s="72"/>
      <c r="ZI160" s="72"/>
      <c r="ZJ160" s="72"/>
      <c r="ZK160" s="72"/>
      <c r="ZL160" s="72"/>
      <c r="ZM160" s="72"/>
      <c r="ZN160" s="72"/>
      <c r="ZO160" s="72"/>
      <c r="ZP160" s="72"/>
      <c r="ZQ160" s="72"/>
      <c r="ZR160" s="72"/>
      <c r="ZS160" s="72"/>
      <c r="ZT160" s="72"/>
      <c r="ZU160" s="72"/>
      <c r="ZV160" s="72"/>
      <c r="ZW160" s="72"/>
      <c r="ZX160" s="72"/>
      <c r="ZY160" s="72"/>
      <c r="ZZ160" s="72"/>
      <c r="AAA160" s="72"/>
      <c r="AAB160" s="72"/>
      <c r="AAC160" s="72"/>
      <c r="AAD160" s="72"/>
      <c r="AAE160" s="72"/>
      <c r="AAF160" s="72"/>
      <c r="AAG160" s="72"/>
      <c r="AAH160" s="72"/>
      <c r="AAI160" s="72"/>
      <c r="AAJ160" s="72"/>
      <c r="AAK160" s="72"/>
      <c r="AAL160" s="72"/>
      <c r="AAM160" s="72"/>
      <c r="AAN160" s="72"/>
      <c r="AAO160" s="72"/>
      <c r="AAP160" s="72"/>
      <c r="AAQ160" s="72"/>
      <c r="AAR160" s="72"/>
      <c r="AAS160" s="72"/>
      <c r="AAT160" s="72"/>
      <c r="AAU160" s="72"/>
      <c r="AAV160" s="72"/>
      <c r="AAW160" s="72"/>
      <c r="AAX160" s="72"/>
      <c r="AAY160" s="72"/>
      <c r="AAZ160" s="72"/>
      <c r="ABA160" s="72"/>
      <c r="ABB160" s="72"/>
      <c r="ABC160" s="72"/>
      <c r="ABD160" s="72"/>
      <c r="ABE160" s="72"/>
      <c r="ABF160" s="72"/>
      <c r="ABG160" s="72"/>
      <c r="ABH160" s="72"/>
      <c r="ABI160" s="72"/>
      <c r="ABJ160" s="72"/>
      <c r="ABK160" s="72"/>
      <c r="ABL160" s="72"/>
      <c r="ABM160" s="72"/>
      <c r="ABN160" s="72"/>
      <c r="ABO160" s="72"/>
      <c r="ABP160" s="72"/>
      <c r="ABQ160" s="72"/>
      <c r="ABR160" s="72"/>
      <c r="ABS160" s="72"/>
      <c r="ABT160" s="72"/>
      <c r="ABU160" s="72"/>
      <c r="ABV160" s="72"/>
      <c r="ABW160" s="72"/>
      <c r="ABX160" s="72"/>
      <c r="ABY160" s="72"/>
      <c r="ABZ160" s="72"/>
      <c r="ACA160" s="72"/>
      <c r="ACB160" s="72"/>
      <c r="ACC160" s="72"/>
      <c r="ACD160" s="72"/>
      <c r="ACE160" s="72"/>
      <c r="ACF160" s="72"/>
      <c r="ACG160" s="72"/>
      <c r="ACH160" s="72"/>
      <c r="ACI160" s="72"/>
      <c r="ACJ160" s="72"/>
      <c r="ACK160" s="72"/>
      <c r="ACL160" s="72"/>
      <c r="ACM160" s="72"/>
      <c r="ACN160" s="72"/>
      <c r="ACO160" s="72"/>
      <c r="ACP160" s="72"/>
      <c r="ACQ160" s="72"/>
      <c r="ACR160" s="72"/>
      <c r="ACS160" s="72"/>
      <c r="ACT160" s="72"/>
      <c r="ACU160" s="72"/>
      <c r="ACV160" s="72"/>
      <c r="ACW160" s="72"/>
      <c r="ACX160" s="72"/>
      <c r="ACY160" s="72"/>
      <c r="ACZ160" s="72"/>
      <c r="ADA160" s="72"/>
      <c r="ADB160" s="72"/>
      <c r="ADC160" s="72"/>
      <c r="ADD160" s="72"/>
      <c r="ADE160" s="72"/>
      <c r="ADF160" s="72"/>
      <c r="ADG160" s="72"/>
      <c r="ADH160" s="72"/>
      <c r="ADI160" s="72"/>
      <c r="ADJ160" s="72"/>
      <c r="ADK160" s="72"/>
      <c r="ADL160" s="72"/>
      <c r="ADM160" s="72"/>
      <c r="ADN160" s="72"/>
      <c r="ADO160" s="72"/>
      <c r="ADP160" s="72"/>
      <c r="ADQ160" s="72"/>
      <c r="ADR160" s="72"/>
      <c r="ADS160" s="72"/>
      <c r="ADT160" s="72"/>
      <c r="ADU160" s="72"/>
      <c r="ADV160" s="72"/>
      <c r="ADW160" s="72"/>
      <c r="ADX160" s="72"/>
      <c r="ADY160" s="72"/>
      <c r="ADZ160" s="72"/>
      <c r="AEA160" s="72"/>
      <c r="AEB160" s="72"/>
      <c r="AEC160" s="72"/>
      <c r="AED160" s="72"/>
      <c r="AEE160" s="72"/>
      <c r="AEF160" s="72"/>
      <c r="AEG160" s="72"/>
      <c r="AEH160" s="72"/>
      <c r="AEI160" s="72"/>
      <c r="AEJ160" s="72"/>
      <c r="AEK160" s="72"/>
      <c r="AEL160" s="72"/>
      <c r="AEM160" s="72"/>
      <c r="AEN160" s="72"/>
      <c r="AEO160" s="72"/>
      <c r="AEP160" s="72"/>
      <c r="AEQ160" s="72"/>
      <c r="AER160" s="72"/>
      <c r="AES160" s="72"/>
      <c r="AET160" s="72"/>
      <c r="AEU160" s="72"/>
      <c r="AEV160" s="72"/>
      <c r="AEW160" s="72"/>
      <c r="AEX160" s="72"/>
      <c r="AEY160" s="72"/>
      <c r="AEZ160" s="72"/>
      <c r="AFA160" s="72"/>
      <c r="AFB160" s="72"/>
      <c r="AFC160" s="72"/>
      <c r="AFD160" s="72"/>
      <c r="AFE160" s="72"/>
      <c r="AFF160" s="72"/>
      <c r="AFG160" s="72"/>
      <c r="AFH160" s="72"/>
      <c r="AFI160" s="72"/>
      <c r="AFJ160" s="72"/>
      <c r="AFK160" s="72"/>
      <c r="AFL160" s="72"/>
      <c r="AFM160" s="72"/>
      <c r="AFN160" s="72"/>
      <c r="AFO160" s="72"/>
      <c r="AFP160" s="72"/>
      <c r="AFQ160" s="72"/>
      <c r="AFR160" s="72"/>
      <c r="AFS160" s="72"/>
      <c r="AFT160" s="72"/>
      <c r="AFU160" s="72"/>
      <c r="AFV160" s="72"/>
      <c r="AFW160" s="72"/>
      <c r="AFX160" s="72"/>
      <c r="AFY160" s="72"/>
      <c r="AFZ160" s="72"/>
      <c r="AGA160" s="72"/>
      <c r="AGB160" s="72"/>
      <c r="AGC160" s="72"/>
      <c r="AGD160" s="72"/>
      <c r="AGE160" s="72"/>
      <c r="AGF160" s="72"/>
      <c r="AGG160" s="72"/>
      <c r="AGH160" s="72"/>
      <c r="AGI160" s="72"/>
      <c r="AGJ160" s="72"/>
      <c r="AGK160" s="72"/>
      <c r="AGL160" s="72"/>
      <c r="AGM160" s="72"/>
      <c r="AGN160" s="72"/>
      <c r="AGO160" s="72"/>
      <c r="AGP160" s="72"/>
      <c r="AGQ160" s="72"/>
      <c r="AGR160" s="72"/>
      <c r="AGS160" s="72"/>
      <c r="AGT160" s="72"/>
      <c r="AGU160" s="72"/>
      <c r="AGV160" s="72"/>
      <c r="AGW160" s="72"/>
      <c r="AGX160" s="72"/>
      <c r="AGY160" s="72"/>
      <c r="AGZ160" s="72"/>
      <c r="AHA160" s="72"/>
      <c r="AHB160" s="72"/>
      <c r="AHC160" s="72"/>
      <c r="AHD160" s="72"/>
      <c r="AHE160" s="72"/>
      <c r="AHF160" s="72"/>
      <c r="AHG160" s="72"/>
      <c r="AHH160" s="72"/>
      <c r="AHI160" s="72"/>
      <c r="AHJ160" s="72"/>
      <c r="AHK160" s="72"/>
      <c r="AHL160" s="72"/>
      <c r="AHM160" s="72"/>
      <c r="AHN160" s="72"/>
      <c r="AHO160" s="72"/>
      <c r="AHP160" s="72"/>
      <c r="AHQ160" s="72"/>
      <c r="AHR160" s="72"/>
      <c r="AHS160" s="72"/>
      <c r="AHT160" s="72"/>
      <c r="AHU160" s="72"/>
      <c r="AHV160" s="72"/>
      <c r="AHW160" s="72"/>
      <c r="AHX160" s="72"/>
      <c r="AHY160" s="72"/>
      <c r="AHZ160" s="72"/>
      <c r="AIA160" s="72"/>
      <c r="AIB160" s="72"/>
      <c r="AIC160" s="72"/>
      <c r="AID160" s="72"/>
      <c r="AIE160" s="72"/>
      <c r="AIF160" s="72"/>
      <c r="AIG160" s="72"/>
      <c r="AIH160" s="72"/>
      <c r="AII160" s="72"/>
      <c r="AIJ160" s="72"/>
      <c r="AIK160" s="72"/>
      <c r="AIL160" s="72"/>
      <c r="AIM160" s="72"/>
      <c r="AIN160" s="72"/>
      <c r="AIO160" s="72"/>
      <c r="AIP160" s="72"/>
      <c r="AIQ160" s="72"/>
      <c r="AIR160" s="72"/>
      <c r="AIS160" s="72"/>
      <c r="AIT160" s="72"/>
      <c r="AIU160" s="72"/>
      <c r="AIV160" s="72"/>
      <c r="AIW160" s="72"/>
      <c r="AIX160" s="72"/>
      <c r="AIY160" s="72"/>
      <c r="AIZ160" s="72"/>
      <c r="AJA160" s="72"/>
      <c r="AJB160" s="72"/>
      <c r="AJC160" s="72"/>
      <c r="AJD160" s="72"/>
      <c r="AJE160" s="72"/>
      <c r="AJF160" s="72"/>
      <c r="AJG160" s="72"/>
      <c r="AJH160" s="72"/>
      <c r="AJI160" s="72"/>
      <c r="AJJ160" s="72"/>
      <c r="AJK160" s="72"/>
      <c r="AJL160" s="72"/>
      <c r="AJM160" s="72"/>
      <c r="AJN160" s="72"/>
      <c r="AJO160" s="72"/>
      <c r="AJP160" s="72"/>
      <c r="AJQ160" s="72"/>
      <c r="AJR160" s="72"/>
      <c r="AJS160" s="72"/>
      <c r="AJT160" s="72"/>
      <c r="AJU160" s="72"/>
      <c r="AJV160" s="72"/>
      <c r="AJW160" s="72"/>
      <c r="AJX160" s="72"/>
      <c r="AJY160" s="72"/>
      <c r="AJZ160" s="72"/>
      <c r="AKA160" s="72"/>
      <c r="AKB160" s="72"/>
      <c r="AKC160" s="72"/>
      <c r="AKD160" s="72"/>
      <c r="AKE160" s="72"/>
      <c r="AKF160" s="72"/>
      <c r="AKG160" s="72"/>
      <c r="AKH160" s="72"/>
      <c r="AKI160" s="72"/>
      <c r="AKJ160" s="72"/>
      <c r="AKK160" s="72"/>
      <c r="AKL160" s="72"/>
      <c r="AKM160" s="72"/>
      <c r="AKN160" s="72"/>
      <c r="AKO160" s="72"/>
      <c r="AKP160" s="72"/>
      <c r="AKQ160" s="72"/>
      <c r="AKR160" s="72"/>
      <c r="AKS160" s="72"/>
      <c r="AKT160" s="72"/>
      <c r="AKU160" s="72"/>
      <c r="AKV160" s="72"/>
      <c r="AKW160" s="72"/>
      <c r="AKX160" s="72"/>
      <c r="AKY160" s="72"/>
      <c r="AKZ160" s="72"/>
      <c r="ALA160" s="72"/>
      <c r="ALB160" s="72"/>
      <c r="ALC160" s="72"/>
      <c r="ALD160" s="72"/>
      <c r="ALE160" s="72"/>
      <c r="ALF160" s="72"/>
      <c r="ALG160" s="72"/>
      <c r="ALH160" s="72"/>
      <c r="ALI160" s="72"/>
      <c r="ALJ160" s="72"/>
      <c r="ALK160" s="72"/>
      <c r="ALL160" s="72"/>
      <c r="ALM160" s="72"/>
      <c r="ALN160" s="72"/>
      <c r="ALO160" s="72"/>
      <c r="ALP160" s="72"/>
      <c r="ALQ160" s="72"/>
      <c r="ALR160" s="72"/>
      <c r="ALS160" s="72"/>
      <c r="ALT160" s="72"/>
      <c r="ALU160" s="72"/>
      <c r="ALV160" s="72"/>
      <c r="ALW160" s="72"/>
      <c r="ALX160" s="72"/>
      <c r="ALY160" s="72"/>
      <c r="ALZ160" s="72"/>
      <c r="AMA160" s="72"/>
      <c r="AMB160" s="72"/>
      <c r="AMC160" s="72"/>
      <c r="AMD160" s="72"/>
      <c r="AME160" s="72"/>
      <c r="AMF160" s="72"/>
      <c r="AMG160" s="72"/>
      <c r="AMH160" s="72"/>
      <c r="AMI160" s="72"/>
      <c r="AMJ160" s="72"/>
      <c r="AMK160" s="72"/>
      <c r="AML160" s="72"/>
      <c r="AMM160" s="72"/>
      <c r="AMN160" s="72"/>
      <c r="AMO160" s="72"/>
      <c r="AMP160" s="72"/>
      <c r="AMQ160" s="72"/>
      <c r="AMR160" s="72"/>
      <c r="AMS160" s="72"/>
      <c r="AMT160" s="72"/>
      <c r="AMU160" s="72"/>
      <c r="AMV160" s="72"/>
      <c r="AMW160" s="72"/>
      <c r="AMX160" s="72"/>
      <c r="AMY160" s="72"/>
      <c r="AMZ160" s="72"/>
      <c r="ANA160" s="72"/>
      <c r="ANB160" s="72"/>
      <c r="ANC160" s="72"/>
      <c r="AND160" s="72"/>
      <c r="ANE160" s="72"/>
      <c r="ANF160" s="72"/>
      <c r="ANG160" s="72"/>
      <c r="ANH160" s="72"/>
      <c r="ANI160" s="72"/>
      <c r="ANJ160" s="72"/>
      <c r="ANK160" s="72"/>
      <c r="ANL160" s="72"/>
      <c r="ANM160" s="72"/>
      <c r="ANN160" s="72"/>
      <c r="ANO160" s="72"/>
      <c r="ANP160" s="72"/>
      <c r="ANQ160" s="72"/>
      <c r="ANR160" s="72"/>
      <c r="ANS160" s="72"/>
      <c r="ANT160" s="72"/>
      <c r="ANU160" s="72"/>
      <c r="ANV160" s="72"/>
      <c r="ANW160" s="72"/>
      <c r="ANX160" s="72"/>
      <c r="ANY160" s="72"/>
      <c r="ANZ160" s="72"/>
      <c r="AOA160" s="72"/>
      <c r="AOB160" s="72"/>
      <c r="AOC160" s="72"/>
      <c r="AOD160" s="72"/>
      <c r="AOE160" s="72"/>
      <c r="AOF160" s="72"/>
      <c r="AOG160" s="72"/>
      <c r="AOH160" s="72"/>
      <c r="AOI160" s="72"/>
      <c r="AOJ160" s="72"/>
      <c r="AOK160" s="72"/>
      <c r="AOL160" s="72"/>
      <c r="AOM160" s="72"/>
      <c r="AON160" s="72"/>
      <c r="AOO160" s="72"/>
      <c r="AOP160" s="72"/>
      <c r="AOQ160" s="72"/>
      <c r="AOR160" s="72"/>
      <c r="AOS160" s="72"/>
      <c r="AOT160" s="72"/>
      <c r="AOU160" s="72"/>
      <c r="AOV160" s="72"/>
      <c r="AOW160" s="72"/>
      <c r="AOX160" s="72"/>
      <c r="AOY160" s="72"/>
      <c r="AOZ160" s="72"/>
      <c r="APA160" s="72"/>
      <c r="APB160" s="72"/>
      <c r="APC160" s="72"/>
      <c r="APD160" s="72"/>
      <c r="APE160" s="72"/>
      <c r="APF160" s="72"/>
      <c r="APG160" s="72"/>
      <c r="APH160" s="72"/>
      <c r="API160" s="72"/>
      <c r="APJ160" s="72"/>
      <c r="APK160" s="72"/>
      <c r="APL160" s="72"/>
      <c r="APM160" s="72"/>
      <c r="APN160" s="72"/>
      <c r="APO160" s="72"/>
      <c r="APP160" s="72"/>
      <c r="APQ160" s="72"/>
      <c r="APR160" s="72"/>
      <c r="APS160" s="72"/>
      <c r="APT160" s="72"/>
      <c r="APU160" s="72"/>
      <c r="APV160" s="72"/>
      <c r="APW160" s="72"/>
      <c r="APX160" s="72"/>
      <c r="APY160" s="72"/>
      <c r="APZ160" s="72"/>
      <c r="AQA160" s="72"/>
      <c r="AQB160" s="72"/>
      <c r="AQC160" s="72"/>
      <c r="AQD160" s="72"/>
      <c r="AQE160" s="72"/>
      <c r="AQF160" s="72"/>
      <c r="AQG160" s="72"/>
      <c r="AQH160" s="72"/>
      <c r="AQI160" s="72"/>
      <c r="AQJ160" s="72"/>
      <c r="AQK160" s="72"/>
      <c r="AQL160" s="72"/>
      <c r="AQM160" s="72"/>
      <c r="AQN160" s="72"/>
      <c r="AQO160" s="72"/>
      <c r="AQP160" s="72"/>
      <c r="AQQ160" s="72"/>
      <c r="AQR160" s="72"/>
      <c r="AQS160" s="72"/>
      <c r="AQT160" s="72"/>
      <c r="AQU160" s="72"/>
      <c r="AQV160" s="72"/>
      <c r="AQW160" s="72"/>
      <c r="AQX160" s="72"/>
      <c r="AQY160" s="72"/>
      <c r="AQZ160" s="72"/>
      <c r="ARA160" s="72"/>
      <c r="ARB160" s="72"/>
      <c r="ARC160" s="72"/>
      <c r="ARD160" s="72"/>
      <c r="ARE160" s="72"/>
      <c r="ARF160" s="72"/>
      <c r="ARG160" s="72"/>
      <c r="ARH160" s="72"/>
      <c r="ARI160" s="72"/>
      <c r="ARJ160" s="72"/>
      <c r="ARK160" s="72"/>
      <c r="ARL160" s="72"/>
      <c r="ARM160" s="72"/>
      <c r="ARN160" s="72"/>
      <c r="ARO160" s="72"/>
      <c r="ARP160" s="72"/>
      <c r="ARQ160" s="72"/>
      <c r="ARR160" s="72"/>
      <c r="ARS160" s="72"/>
      <c r="ART160" s="72"/>
      <c r="ARU160" s="72"/>
      <c r="ARV160" s="72"/>
      <c r="ARW160" s="72"/>
      <c r="ARX160" s="72"/>
      <c r="ARY160" s="72"/>
      <c r="ARZ160" s="72"/>
      <c r="ASA160" s="72"/>
      <c r="ASB160" s="72"/>
      <c r="ASC160" s="72"/>
      <c r="ASD160" s="72"/>
      <c r="ASE160" s="72"/>
      <c r="ASF160" s="72"/>
      <c r="ASG160" s="72"/>
      <c r="ASH160" s="72"/>
      <c r="ASI160" s="72"/>
      <c r="ASJ160" s="72"/>
      <c r="ASK160" s="72"/>
      <c r="ASL160" s="72"/>
      <c r="ASM160" s="72"/>
      <c r="ASN160" s="72"/>
      <c r="ASO160" s="72"/>
      <c r="ASP160" s="72"/>
      <c r="ASQ160" s="72"/>
      <c r="ASR160" s="72"/>
      <c r="ASS160" s="72"/>
      <c r="AST160" s="72"/>
      <c r="ASU160" s="72"/>
      <c r="ASV160" s="72"/>
      <c r="ASW160" s="72"/>
      <c r="ASX160" s="72"/>
      <c r="ASY160" s="72"/>
      <c r="ASZ160" s="72"/>
      <c r="ATA160" s="72"/>
      <c r="ATB160" s="72"/>
      <c r="ATC160" s="72"/>
      <c r="ATD160" s="72"/>
      <c r="ATE160" s="72"/>
      <c r="ATF160" s="72"/>
      <c r="ATG160" s="72"/>
      <c r="ATH160" s="72"/>
      <c r="ATI160" s="72"/>
      <c r="ATJ160" s="72"/>
      <c r="ATK160" s="72"/>
      <c r="ATL160" s="72"/>
      <c r="ATM160" s="72"/>
      <c r="ATN160" s="72"/>
      <c r="ATO160" s="72"/>
      <c r="ATP160" s="72"/>
      <c r="ATQ160" s="72"/>
      <c r="ATR160" s="72"/>
      <c r="ATS160" s="72"/>
      <c r="ATT160" s="72"/>
      <c r="ATU160" s="72"/>
      <c r="ATV160" s="72"/>
      <c r="ATW160" s="72"/>
      <c r="ATX160" s="72"/>
      <c r="ATY160" s="72"/>
      <c r="ATZ160" s="72"/>
      <c r="AUA160" s="72"/>
      <c r="AUB160" s="72"/>
      <c r="AUC160" s="72"/>
      <c r="AUD160" s="72"/>
      <c r="AUE160" s="72"/>
      <c r="AUF160" s="72"/>
      <c r="AUG160" s="72"/>
      <c r="AUH160" s="72"/>
      <c r="AUI160" s="72"/>
      <c r="AUJ160" s="72"/>
      <c r="AUK160" s="72"/>
      <c r="AUL160" s="72"/>
      <c r="AUM160" s="72"/>
      <c r="AUN160" s="72"/>
      <c r="AUO160" s="72"/>
      <c r="AUP160" s="72"/>
      <c r="AUQ160" s="72"/>
      <c r="AUR160" s="72"/>
      <c r="AUS160" s="72"/>
      <c r="AUT160" s="72"/>
      <c r="AUU160" s="72"/>
      <c r="AUV160" s="72"/>
      <c r="AUW160" s="72"/>
      <c r="AUX160" s="72"/>
      <c r="AUY160" s="72"/>
      <c r="AUZ160" s="72"/>
      <c r="AVA160" s="72"/>
      <c r="AVB160" s="72"/>
      <c r="AVC160" s="72"/>
      <c r="AVD160" s="72"/>
      <c r="AVE160" s="72"/>
      <c r="AVF160" s="72"/>
      <c r="AVG160" s="72"/>
      <c r="AVH160" s="72"/>
      <c r="AVI160" s="72"/>
      <c r="AVJ160" s="72"/>
      <c r="AVK160" s="72"/>
      <c r="AVL160" s="72"/>
      <c r="AVM160" s="72"/>
      <c r="AVN160" s="72"/>
      <c r="AVO160" s="72"/>
      <c r="AVP160" s="72"/>
      <c r="AVQ160" s="72"/>
      <c r="AVR160" s="72"/>
      <c r="AVS160" s="72"/>
      <c r="AVT160" s="72"/>
      <c r="AVU160" s="72"/>
      <c r="AVV160" s="72"/>
      <c r="AVW160" s="72"/>
      <c r="AVX160" s="72"/>
      <c r="AVY160" s="72"/>
      <c r="AVZ160" s="72"/>
      <c r="AWA160" s="72"/>
      <c r="AWB160" s="72"/>
      <c r="AWC160" s="72"/>
      <c r="AWD160" s="72"/>
      <c r="AWE160" s="72"/>
      <c r="AWF160" s="72"/>
      <c r="AWG160" s="72"/>
      <c r="AWH160" s="72"/>
      <c r="AWI160" s="72"/>
      <c r="AWJ160" s="72"/>
      <c r="AWK160" s="72"/>
      <c r="AWL160" s="72"/>
      <c r="AWM160" s="72"/>
      <c r="AWN160" s="72"/>
      <c r="AWO160" s="72"/>
      <c r="AWP160" s="72"/>
      <c r="AWQ160" s="72"/>
      <c r="AWR160" s="72"/>
      <c r="AWS160" s="72"/>
      <c r="AWT160" s="72"/>
      <c r="AWU160" s="72"/>
      <c r="AWV160" s="72"/>
      <c r="AWW160" s="72"/>
      <c r="AWX160" s="72"/>
      <c r="AWY160" s="72"/>
      <c r="AWZ160" s="72"/>
      <c r="AXA160" s="72"/>
      <c r="AXB160" s="72"/>
      <c r="AXC160" s="72"/>
      <c r="AXD160" s="72"/>
      <c r="AXE160" s="72"/>
      <c r="AXF160" s="72"/>
      <c r="AXG160" s="72"/>
      <c r="AXH160" s="72"/>
      <c r="AXI160" s="72"/>
      <c r="AXJ160" s="72"/>
      <c r="AXK160" s="72"/>
      <c r="AXL160" s="72"/>
      <c r="AXM160" s="72"/>
      <c r="AXN160" s="72"/>
      <c r="AXO160" s="72"/>
      <c r="AXP160" s="72"/>
      <c r="AXQ160" s="72"/>
      <c r="AXR160" s="72"/>
      <c r="AXS160" s="72"/>
      <c r="AXT160" s="72"/>
      <c r="AXU160" s="72"/>
      <c r="AXV160" s="72"/>
      <c r="AXW160" s="72"/>
      <c r="AXX160" s="72"/>
      <c r="AXY160" s="72"/>
      <c r="AXZ160" s="72"/>
      <c r="AYA160" s="72"/>
      <c r="AYB160" s="72"/>
      <c r="AYC160" s="72"/>
      <c r="AYD160" s="72"/>
      <c r="AYE160" s="72"/>
      <c r="AYF160" s="72"/>
      <c r="AYG160" s="72"/>
      <c r="AYH160" s="72"/>
      <c r="AYI160" s="72"/>
      <c r="AYJ160" s="72"/>
      <c r="AYK160" s="72"/>
      <c r="AYL160" s="72"/>
      <c r="AYM160" s="72"/>
      <c r="AYN160" s="72"/>
      <c r="AYO160" s="72"/>
      <c r="AYP160" s="72"/>
      <c r="AYQ160" s="72"/>
      <c r="AYR160" s="72"/>
      <c r="AYS160" s="72"/>
      <c r="AYT160" s="72"/>
      <c r="AYU160" s="72"/>
      <c r="AYV160" s="72"/>
      <c r="AYW160" s="72"/>
      <c r="AYX160" s="72"/>
      <c r="AYY160" s="72"/>
      <c r="AYZ160" s="72"/>
      <c r="AZA160" s="72"/>
      <c r="AZB160" s="72"/>
      <c r="AZC160" s="72"/>
      <c r="AZD160" s="72"/>
      <c r="AZE160" s="72"/>
      <c r="AZF160" s="72"/>
      <c r="AZG160" s="72"/>
      <c r="AZH160" s="72"/>
      <c r="AZI160" s="72"/>
      <c r="AZJ160" s="72"/>
      <c r="AZK160" s="72"/>
      <c r="AZL160" s="72"/>
      <c r="AZM160" s="72"/>
      <c r="AZN160" s="72"/>
      <c r="AZO160" s="72"/>
      <c r="AZP160" s="72"/>
      <c r="AZQ160" s="72"/>
      <c r="AZR160" s="72"/>
      <c r="AZS160" s="72"/>
      <c r="AZT160" s="72"/>
      <c r="AZU160" s="72"/>
      <c r="AZV160" s="72"/>
      <c r="AZW160" s="72"/>
      <c r="AZX160" s="72"/>
      <c r="AZY160" s="72"/>
      <c r="AZZ160" s="72"/>
      <c r="BAA160" s="72"/>
      <c r="BAB160" s="72"/>
      <c r="BAC160" s="72"/>
      <c r="BAD160" s="72"/>
      <c r="BAE160" s="72"/>
      <c r="BAF160" s="72"/>
      <c r="BAG160" s="72"/>
      <c r="BAH160" s="72"/>
      <c r="BAI160" s="72"/>
      <c r="BAJ160" s="72"/>
      <c r="BAK160" s="72"/>
      <c r="BAL160" s="72"/>
      <c r="BAM160" s="72"/>
      <c r="BAN160" s="72"/>
      <c r="BAO160" s="72"/>
      <c r="BAP160" s="72"/>
      <c r="BAQ160" s="72"/>
      <c r="BAR160" s="72"/>
      <c r="BAS160" s="72"/>
      <c r="BAT160" s="72"/>
      <c r="BAU160" s="72"/>
      <c r="BAV160" s="72"/>
      <c r="BAW160" s="72"/>
      <c r="BAX160" s="72"/>
      <c r="BAY160" s="72"/>
      <c r="BAZ160" s="72"/>
      <c r="BBA160" s="72"/>
      <c r="BBB160" s="72"/>
      <c r="BBC160" s="72"/>
      <c r="BBD160" s="72"/>
      <c r="BBE160" s="72"/>
      <c r="BBF160" s="72"/>
      <c r="BBG160" s="72"/>
      <c r="BBH160" s="72"/>
      <c r="BBI160" s="72"/>
      <c r="BBJ160" s="72"/>
      <c r="BBK160" s="72"/>
      <c r="BBL160" s="72"/>
      <c r="BBM160" s="72"/>
      <c r="BBN160" s="72"/>
      <c r="BBO160" s="72"/>
      <c r="BBP160" s="72"/>
      <c r="BBQ160" s="72"/>
      <c r="BBR160" s="72"/>
      <c r="BBS160" s="72"/>
      <c r="BBT160" s="72"/>
      <c r="BBU160" s="72"/>
      <c r="BBV160" s="72"/>
      <c r="BBW160" s="72"/>
      <c r="BBX160" s="72"/>
      <c r="BBY160" s="72"/>
      <c r="BBZ160" s="72"/>
      <c r="BCA160" s="72"/>
      <c r="BCB160" s="72"/>
      <c r="BCC160" s="72"/>
      <c r="BCD160" s="72"/>
      <c r="BCE160" s="72"/>
      <c r="BCF160" s="72"/>
      <c r="BCG160" s="72"/>
      <c r="BCH160" s="72"/>
      <c r="BCI160" s="72"/>
      <c r="BCJ160" s="72"/>
      <c r="BCK160" s="72"/>
      <c r="BCL160" s="72"/>
      <c r="BCM160" s="72"/>
      <c r="BCN160" s="72"/>
      <c r="BCO160" s="72"/>
      <c r="BCP160" s="72"/>
      <c r="BCQ160" s="72"/>
      <c r="BCR160" s="72"/>
      <c r="BCS160" s="72"/>
      <c r="BCT160" s="72"/>
      <c r="BCU160" s="72"/>
      <c r="BCV160" s="72"/>
      <c r="BCW160" s="72"/>
      <c r="BCX160" s="72"/>
      <c r="BCY160" s="72"/>
      <c r="BCZ160" s="72"/>
      <c r="BDA160" s="72"/>
      <c r="BDB160" s="72"/>
      <c r="BDC160" s="72"/>
      <c r="BDD160" s="72"/>
      <c r="BDE160" s="72"/>
      <c r="BDF160" s="72"/>
      <c r="BDG160" s="72"/>
      <c r="BDH160" s="72"/>
      <c r="BDI160" s="72"/>
      <c r="BDJ160" s="72"/>
      <c r="BDK160" s="72"/>
      <c r="BDL160" s="72"/>
      <c r="BDM160" s="72"/>
      <c r="BDN160" s="72"/>
      <c r="BDO160" s="72"/>
      <c r="BDP160" s="72"/>
      <c r="BDQ160" s="72"/>
      <c r="BDR160" s="72"/>
      <c r="BDS160" s="72"/>
      <c r="BDT160" s="72"/>
      <c r="BDU160" s="72"/>
      <c r="BDV160" s="72"/>
      <c r="BDW160" s="72"/>
      <c r="BDX160" s="72"/>
      <c r="BDY160" s="72"/>
      <c r="BDZ160" s="72"/>
      <c r="BEA160" s="72"/>
      <c r="BEB160" s="72"/>
      <c r="BEC160" s="72"/>
      <c r="BED160" s="72"/>
      <c r="BEE160" s="72"/>
      <c r="BEF160" s="72"/>
      <c r="BEG160" s="72"/>
      <c r="BEH160" s="72"/>
      <c r="BEI160" s="72"/>
      <c r="BEJ160" s="72"/>
      <c r="BEK160" s="72"/>
      <c r="BEL160" s="72"/>
      <c r="BEM160" s="72"/>
      <c r="BEN160" s="72"/>
      <c r="BEO160" s="72"/>
      <c r="BEP160" s="72"/>
      <c r="BEQ160" s="72"/>
      <c r="BER160" s="72"/>
      <c r="BES160" s="72"/>
      <c r="BET160" s="72"/>
      <c r="BEU160" s="72"/>
      <c r="BEV160" s="72"/>
      <c r="BEW160" s="72"/>
      <c r="BEX160" s="72"/>
      <c r="BEY160" s="72"/>
      <c r="BEZ160" s="72"/>
      <c r="BFA160" s="72"/>
      <c r="BFB160" s="72"/>
      <c r="BFC160" s="72"/>
      <c r="BFD160" s="72"/>
      <c r="BFE160" s="72"/>
      <c r="BFF160" s="72"/>
      <c r="BFG160" s="72"/>
      <c r="BFH160" s="72"/>
      <c r="BFI160" s="72"/>
      <c r="BFJ160" s="72"/>
      <c r="BFK160" s="72"/>
      <c r="BFL160" s="72"/>
      <c r="BFM160" s="72"/>
      <c r="BFN160" s="72"/>
      <c r="BFO160" s="72"/>
      <c r="BFP160" s="72"/>
      <c r="BFQ160" s="72"/>
      <c r="BFR160" s="72"/>
      <c r="BFS160" s="72"/>
      <c r="BFT160" s="72"/>
      <c r="BFU160" s="72"/>
      <c r="BFV160" s="72"/>
      <c r="BFW160" s="72"/>
      <c r="BFX160" s="72"/>
      <c r="BFY160" s="72"/>
      <c r="BFZ160" s="72"/>
      <c r="BGA160" s="72"/>
      <c r="BGB160" s="72"/>
      <c r="BGC160" s="72"/>
      <c r="BGD160" s="72"/>
      <c r="BGE160" s="72"/>
      <c r="BGF160" s="72"/>
      <c r="BGG160" s="72"/>
      <c r="BGH160" s="72"/>
      <c r="BGI160" s="72"/>
      <c r="BGJ160" s="72"/>
      <c r="BGK160" s="72"/>
      <c r="BGL160" s="72"/>
      <c r="BGM160" s="72"/>
      <c r="BGN160" s="72"/>
      <c r="BGO160" s="72"/>
      <c r="BGP160" s="72"/>
      <c r="BGQ160" s="72"/>
      <c r="BGR160" s="72"/>
      <c r="BGS160" s="72"/>
      <c r="BGT160" s="72"/>
      <c r="BGU160" s="72"/>
      <c r="BGV160" s="72"/>
      <c r="BGW160" s="72"/>
      <c r="BGX160" s="72"/>
      <c r="BGY160" s="72"/>
      <c r="BGZ160" s="72"/>
      <c r="BHA160" s="72"/>
      <c r="BHB160" s="72"/>
      <c r="BHC160" s="72"/>
      <c r="BHD160" s="72"/>
      <c r="BHE160" s="72"/>
      <c r="BHF160" s="72"/>
      <c r="BHG160" s="72"/>
      <c r="BHH160" s="72"/>
      <c r="BHI160" s="72"/>
      <c r="BHJ160" s="72"/>
      <c r="BHK160" s="72"/>
      <c r="BHL160" s="72"/>
      <c r="BHM160" s="72"/>
      <c r="BHN160" s="72"/>
      <c r="BHO160" s="72"/>
      <c r="BHP160" s="72"/>
      <c r="BHQ160" s="72"/>
      <c r="BHR160" s="72"/>
      <c r="BHS160" s="72"/>
      <c r="BHT160" s="72"/>
      <c r="BHU160" s="72"/>
      <c r="BHV160" s="72"/>
      <c r="BHW160" s="72"/>
      <c r="BHX160" s="72"/>
      <c r="BHY160" s="72"/>
      <c r="BHZ160" s="72"/>
      <c r="BIA160" s="72"/>
      <c r="BIB160" s="72"/>
      <c r="BIC160" s="72"/>
      <c r="BID160" s="72"/>
      <c r="BIE160" s="72"/>
      <c r="BIF160" s="72"/>
      <c r="BIG160" s="72"/>
      <c r="BIH160" s="72"/>
      <c r="BII160" s="72"/>
      <c r="BIJ160" s="72"/>
      <c r="BIK160" s="72"/>
      <c r="BIL160" s="72"/>
      <c r="BIM160" s="72"/>
      <c r="BIN160" s="72"/>
      <c r="BIO160" s="72"/>
      <c r="BIP160" s="72"/>
      <c r="BIQ160" s="72"/>
      <c r="BIR160" s="72"/>
      <c r="BIS160" s="72"/>
      <c r="BIT160" s="72"/>
      <c r="BIU160" s="72"/>
      <c r="BIV160" s="72"/>
      <c r="BIW160" s="72"/>
      <c r="BIX160" s="72"/>
      <c r="BIY160" s="72"/>
      <c r="BIZ160" s="72"/>
      <c r="BJA160" s="72"/>
      <c r="BJB160" s="72"/>
      <c r="BJC160" s="72"/>
      <c r="BJD160" s="72"/>
      <c r="BJE160" s="72"/>
      <c r="BJF160" s="72"/>
      <c r="BJG160" s="72"/>
      <c r="BJH160" s="72"/>
      <c r="BJI160" s="72"/>
      <c r="BJJ160" s="72"/>
      <c r="BJK160" s="72"/>
      <c r="BJL160" s="72"/>
      <c r="BJM160" s="72"/>
      <c r="BJN160" s="72"/>
      <c r="BJO160" s="72"/>
      <c r="BJP160" s="72"/>
      <c r="BJQ160" s="72"/>
      <c r="BJR160" s="72"/>
      <c r="BJS160" s="72"/>
      <c r="BJT160" s="72"/>
      <c r="BJU160" s="72"/>
      <c r="BJV160" s="72"/>
      <c r="BJW160" s="72"/>
      <c r="BJX160" s="72"/>
      <c r="BJY160" s="72"/>
      <c r="BJZ160" s="72"/>
      <c r="BKA160" s="72"/>
      <c r="BKB160" s="72"/>
      <c r="BKC160" s="72"/>
      <c r="BKD160" s="72"/>
      <c r="BKE160" s="72"/>
      <c r="BKF160" s="72"/>
      <c r="BKG160" s="72"/>
      <c r="BKH160" s="72"/>
      <c r="BKI160" s="72"/>
      <c r="BKJ160" s="72"/>
      <c r="BKK160" s="72"/>
      <c r="BKL160" s="72"/>
      <c r="BKM160" s="72"/>
      <c r="BKN160" s="72"/>
      <c r="BKO160" s="72"/>
      <c r="BKP160" s="72"/>
      <c r="BKQ160" s="72"/>
      <c r="BKR160" s="72"/>
      <c r="BKS160" s="72"/>
      <c r="BKT160" s="72"/>
      <c r="BKU160" s="72"/>
      <c r="BKV160" s="72"/>
      <c r="BKW160" s="72"/>
      <c r="BKX160" s="72"/>
      <c r="BKY160" s="72"/>
      <c r="BKZ160" s="72"/>
      <c r="BLA160" s="72"/>
      <c r="BLB160" s="72"/>
      <c r="BLC160" s="72"/>
      <c r="BLD160" s="72"/>
      <c r="BLE160" s="72"/>
      <c r="BLF160" s="72"/>
      <c r="BLG160" s="72"/>
      <c r="BLH160" s="72"/>
      <c r="BLI160" s="72"/>
      <c r="BLJ160" s="72"/>
      <c r="BLK160" s="72"/>
      <c r="BLL160" s="72"/>
      <c r="BLM160" s="72"/>
      <c r="BLN160" s="72"/>
      <c r="BLO160" s="72"/>
      <c r="BLP160" s="72"/>
      <c r="BLQ160" s="72"/>
      <c r="BLR160" s="72"/>
      <c r="BLS160" s="72"/>
      <c r="BLT160" s="72"/>
      <c r="BLU160" s="72"/>
      <c r="BLV160" s="72"/>
      <c r="BLW160" s="72"/>
      <c r="BLX160" s="72"/>
      <c r="BLY160" s="72"/>
      <c r="BLZ160" s="72"/>
      <c r="BMA160" s="72"/>
      <c r="BMB160" s="72"/>
      <c r="BMC160" s="72"/>
      <c r="BMD160" s="72"/>
      <c r="BME160" s="72"/>
      <c r="BMF160" s="72"/>
      <c r="BMG160" s="72"/>
      <c r="BMH160" s="72"/>
      <c r="BMI160" s="72"/>
      <c r="BMJ160" s="72"/>
      <c r="BMK160" s="72"/>
      <c r="BML160" s="72"/>
      <c r="BMM160" s="72"/>
      <c r="BMN160" s="72"/>
      <c r="BMO160" s="72"/>
      <c r="BMP160" s="72"/>
      <c r="BMQ160" s="72"/>
      <c r="BMR160" s="72"/>
      <c r="BMS160" s="72"/>
      <c r="BMT160" s="72"/>
      <c r="BMU160" s="72"/>
      <c r="BMV160" s="72"/>
      <c r="BMW160" s="72"/>
      <c r="BMX160" s="72"/>
      <c r="BMY160" s="72"/>
      <c r="BMZ160" s="72"/>
      <c r="BNA160" s="72"/>
      <c r="BNB160" s="72"/>
      <c r="BNC160" s="72"/>
      <c r="BND160" s="72"/>
      <c r="BNE160" s="72"/>
      <c r="BNF160" s="72"/>
      <c r="BNG160" s="72"/>
      <c r="BNH160" s="72"/>
      <c r="BNI160" s="72"/>
      <c r="BNJ160" s="72"/>
      <c r="BNK160" s="72"/>
      <c r="BNL160" s="72"/>
      <c r="BNM160" s="72"/>
      <c r="BNN160" s="72"/>
      <c r="BNO160" s="72"/>
      <c r="BNP160" s="72"/>
      <c r="BNQ160" s="72"/>
      <c r="BNR160" s="72"/>
      <c r="BNS160" s="72"/>
      <c r="BNT160" s="72"/>
      <c r="BNU160" s="72"/>
      <c r="BNV160" s="72"/>
      <c r="BNW160" s="72"/>
      <c r="BNX160" s="72"/>
      <c r="BNY160" s="72"/>
      <c r="BNZ160" s="72"/>
      <c r="BOA160" s="72"/>
      <c r="BOB160" s="72"/>
      <c r="BOC160" s="72"/>
      <c r="BOD160" s="72"/>
      <c r="BOE160" s="72"/>
      <c r="BOF160" s="72"/>
      <c r="BOG160" s="72"/>
      <c r="BOH160" s="72"/>
      <c r="BOI160" s="72"/>
      <c r="BOJ160" s="72"/>
      <c r="BOK160" s="72"/>
      <c r="BOL160" s="72"/>
      <c r="BOM160" s="72"/>
      <c r="BON160" s="72"/>
      <c r="BOO160" s="72"/>
      <c r="BOP160" s="72"/>
      <c r="BOQ160" s="72"/>
      <c r="BOR160" s="72"/>
      <c r="BOS160" s="72"/>
      <c r="BOT160" s="72"/>
      <c r="BOU160" s="72"/>
      <c r="BOV160" s="72"/>
      <c r="BOW160" s="72"/>
      <c r="BOX160" s="72"/>
      <c r="BOY160" s="72"/>
      <c r="BOZ160" s="72"/>
      <c r="BPA160" s="72"/>
      <c r="BPB160" s="72"/>
      <c r="BPC160" s="72"/>
      <c r="BPD160" s="72"/>
      <c r="BPE160" s="72"/>
      <c r="BPF160" s="72"/>
      <c r="BPG160" s="72"/>
      <c r="BPH160" s="72"/>
      <c r="BPI160" s="72"/>
      <c r="BPJ160" s="72"/>
      <c r="BPK160" s="72"/>
      <c r="BPL160" s="72"/>
      <c r="BPM160" s="72"/>
      <c r="BPN160" s="72"/>
      <c r="BPO160" s="72"/>
      <c r="BPP160" s="72"/>
      <c r="BPQ160" s="72"/>
      <c r="BPR160" s="72"/>
      <c r="BPS160" s="72"/>
      <c r="BPT160" s="72"/>
      <c r="BPU160" s="72"/>
      <c r="BPV160" s="72"/>
      <c r="BPW160" s="72"/>
      <c r="BPX160" s="72"/>
      <c r="BPY160" s="72"/>
      <c r="BPZ160" s="72"/>
      <c r="BQA160" s="72"/>
      <c r="BQB160" s="72"/>
      <c r="BQC160" s="72"/>
      <c r="BQD160" s="72"/>
      <c r="BQE160" s="72"/>
      <c r="BQF160" s="72"/>
      <c r="BQG160" s="72"/>
      <c r="BQH160" s="72"/>
      <c r="BQI160" s="72"/>
      <c r="BQJ160" s="72"/>
      <c r="BQK160" s="72"/>
      <c r="BQL160" s="72"/>
      <c r="BQM160" s="72"/>
      <c r="BQN160" s="72"/>
      <c r="BQO160" s="72"/>
      <c r="BQP160" s="72"/>
      <c r="BQQ160" s="72"/>
      <c r="BQR160" s="72"/>
      <c r="BQS160" s="72"/>
      <c r="BQT160" s="72"/>
      <c r="BQU160" s="72"/>
      <c r="BQV160" s="72"/>
      <c r="BQW160" s="72"/>
      <c r="BQX160" s="72"/>
      <c r="BQY160" s="72"/>
      <c r="BQZ160" s="72"/>
      <c r="BRA160" s="72"/>
      <c r="BRB160" s="72"/>
      <c r="BRC160" s="72"/>
      <c r="BRD160" s="72"/>
      <c r="BRE160" s="72"/>
      <c r="BRF160" s="72"/>
      <c r="BRG160" s="72"/>
      <c r="BRH160" s="72"/>
      <c r="BRI160" s="72"/>
      <c r="BRJ160" s="72"/>
      <c r="BRK160" s="72"/>
      <c r="BRL160" s="72"/>
      <c r="BRM160" s="72"/>
      <c r="BRN160" s="72"/>
      <c r="BRO160" s="72"/>
      <c r="BRP160" s="72"/>
      <c r="BRQ160" s="72"/>
      <c r="BRR160" s="72"/>
      <c r="BRS160" s="72"/>
      <c r="BRT160" s="72"/>
      <c r="BRU160" s="72"/>
      <c r="BRV160" s="72"/>
      <c r="BRW160" s="72"/>
      <c r="BRX160" s="72"/>
      <c r="BRY160" s="72"/>
      <c r="BRZ160" s="72"/>
      <c r="BSA160" s="72"/>
      <c r="BSB160" s="72"/>
      <c r="BSC160" s="72"/>
      <c r="BSD160" s="72"/>
      <c r="BSE160" s="72"/>
      <c r="BSF160" s="72"/>
      <c r="BSG160" s="72"/>
      <c r="BSH160" s="72"/>
      <c r="BSI160" s="72"/>
      <c r="BSJ160" s="72"/>
      <c r="BSK160" s="72"/>
      <c r="BSL160" s="72"/>
      <c r="BSM160" s="72"/>
      <c r="BSN160" s="72"/>
      <c r="BSO160" s="72"/>
      <c r="BSP160" s="72"/>
      <c r="BSQ160" s="72"/>
      <c r="BSR160" s="72"/>
      <c r="BSS160" s="72"/>
      <c r="BST160" s="72"/>
      <c r="BSU160" s="72"/>
      <c r="BSV160" s="72"/>
      <c r="BSW160" s="72"/>
      <c r="BSX160" s="72"/>
      <c r="BSY160" s="72"/>
      <c r="BSZ160" s="72"/>
      <c r="BTA160" s="72"/>
      <c r="BTB160" s="72"/>
      <c r="BTC160" s="72"/>
      <c r="BTD160" s="72"/>
      <c r="BTE160" s="72"/>
      <c r="BTF160" s="72"/>
      <c r="BTG160" s="72"/>
      <c r="BTH160" s="72"/>
      <c r="BTI160" s="72"/>
      <c r="BTJ160" s="72"/>
      <c r="BTK160" s="72"/>
      <c r="BTL160" s="72"/>
      <c r="BTM160" s="72"/>
      <c r="BTN160" s="72"/>
      <c r="BTO160" s="72"/>
      <c r="BTP160" s="72"/>
      <c r="BTQ160" s="72"/>
      <c r="BTR160" s="72"/>
      <c r="BTS160" s="72"/>
      <c r="BTT160" s="72"/>
      <c r="BTU160" s="72"/>
      <c r="BTV160" s="72"/>
      <c r="BTW160" s="72"/>
      <c r="BTX160" s="72"/>
      <c r="BTY160" s="72"/>
      <c r="BTZ160" s="72"/>
      <c r="BUA160" s="72"/>
      <c r="BUB160" s="72"/>
      <c r="BUC160" s="72"/>
      <c r="BUD160" s="72"/>
      <c r="BUE160" s="72"/>
      <c r="BUF160" s="72"/>
      <c r="BUG160" s="72"/>
      <c r="BUH160" s="72"/>
      <c r="BUI160" s="72"/>
      <c r="BUJ160" s="72"/>
      <c r="BUK160" s="72"/>
      <c r="BUL160" s="72"/>
      <c r="BUM160" s="72"/>
      <c r="BUN160" s="72"/>
      <c r="BUO160" s="72"/>
      <c r="BUP160" s="72"/>
      <c r="BUQ160" s="72"/>
      <c r="BUR160" s="72"/>
      <c r="BUS160" s="72"/>
      <c r="BUT160" s="72"/>
      <c r="BUU160" s="72"/>
      <c r="BUV160" s="72"/>
      <c r="BUW160" s="72"/>
      <c r="BUX160" s="72"/>
      <c r="BUY160" s="72"/>
      <c r="BUZ160" s="72"/>
      <c r="BVA160" s="72"/>
      <c r="BVB160" s="72"/>
      <c r="BVC160" s="72"/>
      <c r="BVD160" s="72"/>
      <c r="BVE160" s="72"/>
      <c r="BVF160" s="72"/>
      <c r="BVG160" s="72"/>
      <c r="BVH160" s="72"/>
      <c r="BVI160" s="72"/>
      <c r="BVJ160" s="72"/>
      <c r="BVK160" s="72"/>
      <c r="BVL160" s="72"/>
      <c r="BVM160" s="72"/>
      <c r="BVN160" s="72"/>
      <c r="BVO160" s="72"/>
      <c r="BVP160" s="72"/>
      <c r="BVQ160" s="72"/>
      <c r="BVR160" s="72"/>
      <c r="BVS160" s="72"/>
      <c r="BVT160" s="72"/>
      <c r="BVU160" s="72"/>
      <c r="BVV160" s="72"/>
      <c r="BVW160" s="72"/>
      <c r="BVX160" s="72"/>
      <c r="BVY160" s="72"/>
      <c r="BVZ160" s="72"/>
      <c r="BWA160" s="72"/>
      <c r="BWB160" s="72"/>
      <c r="BWC160" s="72"/>
      <c r="BWD160" s="72"/>
      <c r="BWE160" s="72"/>
      <c r="BWF160" s="72"/>
      <c r="BWG160" s="72"/>
      <c r="BWH160" s="72"/>
      <c r="BWI160" s="72"/>
      <c r="BWJ160" s="72"/>
      <c r="BWK160" s="72"/>
      <c r="BWL160" s="72"/>
      <c r="BWM160" s="72"/>
      <c r="BWN160" s="72"/>
      <c r="BWO160" s="72"/>
      <c r="BWP160" s="72"/>
      <c r="BWQ160" s="72"/>
      <c r="BWR160" s="72"/>
      <c r="BWS160" s="72"/>
      <c r="BWT160" s="72"/>
      <c r="BWU160" s="72"/>
      <c r="BWV160" s="72"/>
      <c r="BWW160" s="72"/>
      <c r="BWX160" s="72"/>
      <c r="BWY160" s="72"/>
      <c r="BWZ160" s="72"/>
      <c r="BXA160" s="72"/>
      <c r="BXB160" s="72"/>
      <c r="BXC160" s="72"/>
      <c r="BXD160" s="72"/>
      <c r="BXE160" s="72"/>
      <c r="BXF160" s="72"/>
      <c r="BXG160" s="72"/>
      <c r="BXH160" s="72"/>
      <c r="BXI160" s="72"/>
      <c r="BXJ160" s="72"/>
      <c r="BXK160" s="72"/>
      <c r="BXL160" s="72"/>
      <c r="BXM160" s="72"/>
      <c r="BXN160" s="72"/>
      <c r="BXO160" s="72"/>
      <c r="BXP160" s="72"/>
      <c r="BXQ160" s="72"/>
      <c r="BXR160" s="72"/>
      <c r="BXS160" s="72"/>
      <c r="BXT160" s="72"/>
      <c r="BXU160" s="72"/>
      <c r="BXV160" s="72"/>
      <c r="BXW160" s="72"/>
      <c r="BXX160" s="72"/>
      <c r="BXY160" s="72"/>
      <c r="BXZ160" s="72"/>
      <c r="BYA160" s="72"/>
      <c r="BYB160" s="72"/>
      <c r="BYC160" s="72"/>
      <c r="BYD160" s="72"/>
      <c r="BYE160" s="72"/>
      <c r="BYF160" s="72"/>
      <c r="BYG160" s="72"/>
      <c r="BYH160" s="72"/>
      <c r="BYI160" s="72"/>
      <c r="BYJ160" s="72"/>
      <c r="BYK160" s="72"/>
      <c r="BYL160" s="72"/>
      <c r="BYM160" s="72"/>
      <c r="BYN160" s="72"/>
      <c r="BYO160" s="72"/>
      <c r="BYP160" s="72"/>
      <c r="BYQ160" s="72"/>
      <c r="BYR160" s="72"/>
      <c r="BYS160" s="72"/>
      <c r="BYT160" s="72"/>
      <c r="BYU160" s="72"/>
      <c r="BYV160" s="72"/>
      <c r="BYW160" s="72"/>
      <c r="BYX160" s="72"/>
      <c r="BYY160" s="72"/>
      <c r="BYZ160" s="72"/>
      <c r="BZA160" s="72"/>
      <c r="BZB160" s="72"/>
      <c r="BZC160" s="72"/>
      <c r="BZD160" s="72"/>
      <c r="BZE160" s="72"/>
      <c r="BZF160" s="72"/>
      <c r="BZG160" s="72"/>
      <c r="BZH160" s="72"/>
      <c r="BZI160" s="72"/>
      <c r="BZJ160" s="72"/>
      <c r="BZK160" s="72"/>
      <c r="BZL160" s="72"/>
      <c r="BZM160" s="72"/>
      <c r="BZN160" s="72"/>
      <c r="BZO160" s="72"/>
      <c r="BZP160" s="72"/>
      <c r="BZQ160" s="72"/>
      <c r="BZR160" s="72"/>
      <c r="BZS160" s="72"/>
      <c r="BZT160" s="72"/>
      <c r="BZU160" s="72"/>
      <c r="BZV160" s="72"/>
      <c r="BZW160" s="72"/>
      <c r="BZX160" s="72"/>
      <c r="BZY160" s="72"/>
      <c r="BZZ160" s="72"/>
      <c r="CAA160" s="72"/>
      <c r="CAB160" s="72"/>
      <c r="CAC160" s="72"/>
      <c r="CAD160" s="72"/>
      <c r="CAE160" s="72"/>
      <c r="CAF160" s="72"/>
      <c r="CAG160" s="72"/>
      <c r="CAH160" s="72"/>
      <c r="CAI160" s="72"/>
      <c r="CAJ160" s="72"/>
      <c r="CAK160" s="72"/>
      <c r="CAL160" s="72"/>
      <c r="CAM160" s="72"/>
      <c r="CAN160" s="72"/>
      <c r="CAO160" s="72"/>
      <c r="CAP160" s="72"/>
      <c r="CAQ160" s="72"/>
      <c r="CAR160" s="72"/>
      <c r="CAS160" s="72"/>
      <c r="CAT160" s="72"/>
      <c r="CAU160" s="72"/>
      <c r="CAV160" s="72"/>
      <c r="CAW160" s="72"/>
      <c r="CAX160" s="72"/>
      <c r="CAY160" s="72"/>
      <c r="CAZ160" s="72"/>
      <c r="CBA160" s="72"/>
      <c r="CBB160" s="72"/>
      <c r="CBC160" s="72"/>
      <c r="CBD160" s="72"/>
      <c r="CBE160" s="72"/>
      <c r="CBF160" s="72"/>
      <c r="CBG160" s="72"/>
      <c r="CBH160" s="72"/>
      <c r="CBI160" s="72"/>
      <c r="CBJ160" s="72"/>
      <c r="CBK160" s="72"/>
      <c r="CBL160" s="72"/>
      <c r="CBM160" s="72"/>
      <c r="CBN160" s="72"/>
      <c r="CBO160" s="72"/>
      <c r="CBP160" s="72"/>
      <c r="CBQ160" s="72"/>
      <c r="CBR160" s="72"/>
      <c r="CBS160" s="72"/>
      <c r="CBT160" s="72"/>
      <c r="CBU160" s="72"/>
      <c r="CBV160" s="72"/>
      <c r="CBW160" s="72"/>
      <c r="CBX160" s="72"/>
      <c r="CBY160" s="72"/>
      <c r="CBZ160" s="72"/>
      <c r="CCA160" s="72"/>
      <c r="CCB160" s="72"/>
      <c r="CCC160" s="72"/>
      <c r="CCD160" s="72"/>
      <c r="CCE160" s="72"/>
      <c r="CCF160" s="72"/>
      <c r="CCG160" s="72"/>
      <c r="CCH160" s="72"/>
      <c r="CCI160" s="72"/>
      <c r="CCJ160" s="72"/>
      <c r="CCK160" s="72"/>
      <c r="CCL160" s="72"/>
      <c r="CCM160" s="72"/>
      <c r="CCN160" s="72"/>
      <c r="CCO160" s="72"/>
      <c r="CCP160" s="72"/>
      <c r="CCQ160" s="72"/>
      <c r="CCR160" s="72"/>
      <c r="CCS160" s="72"/>
      <c r="CCT160" s="72"/>
      <c r="CCU160" s="72"/>
      <c r="CCV160" s="72"/>
      <c r="CCW160" s="72"/>
      <c r="CCX160" s="72"/>
      <c r="CCY160" s="72"/>
      <c r="CCZ160" s="72"/>
      <c r="CDA160" s="72"/>
      <c r="CDB160" s="72"/>
      <c r="CDC160" s="72"/>
      <c r="CDD160" s="72"/>
      <c r="CDE160" s="72"/>
      <c r="CDF160" s="72"/>
      <c r="CDG160" s="72"/>
      <c r="CDH160" s="72"/>
      <c r="CDI160" s="72"/>
      <c r="CDJ160" s="72"/>
      <c r="CDK160" s="72"/>
      <c r="CDL160" s="72"/>
      <c r="CDM160" s="72"/>
      <c r="CDN160" s="72"/>
      <c r="CDO160" s="72"/>
      <c r="CDP160" s="72"/>
      <c r="CDQ160" s="72"/>
      <c r="CDR160" s="72"/>
      <c r="CDS160" s="72"/>
      <c r="CDT160" s="72"/>
      <c r="CDU160" s="72"/>
      <c r="CDV160" s="72"/>
      <c r="CDW160" s="72"/>
      <c r="CDX160" s="72"/>
      <c r="CDY160" s="72"/>
      <c r="CDZ160" s="72"/>
      <c r="CEA160" s="72"/>
      <c r="CEB160" s="72"/>
      <c r="CEC160" s="72"/>
      <c r="CED160" s="72"/>
      <c r="CEE160" s="72"/>
      <c r="CEF160" s="72"/>
      <c r="CEG160" s="72"/>
      <c r="CEH160" s="72"/>
      <c r="CEI160" s="72"/>
      <c r="CEJ160" s="72"/>
      <c r="CEK160" s="72"/>
      <c r="CEL160" s="72"/>
      <c r="CEM160" s="72"/>
      <c r="CEN160" s="72"/>
      <c r="CEO160" s="72"/>
      <c r="CEP160" s="72"/>
      <c r="CEQ160" s="72"/>
      <c r="CER160" s="72"/>
      <c r="CES160" s="72"/>
      <c r="CET160" s="72"/>
      <c r="CEU160" s="72"/>
      <c r="CEV160" s="72"/>
      <c r="CEW160" s="72"/>
      <c r="CEX160" s="72"/>
      <c r="CEY160" s="72"/>
      <c r="CEZ160" s="72"/>
      <c r="CFA160" s="72"/>
      <c r="CFB160" s="72"/>
      <c r="CFC160" s="72"/>
      <c r="CFD160" s="72"/>
      <c r="CFE160" s="72"/>
      <c r="CFF160" s="72"/>
      <c r="CFG160" s="72"/>
      <c r="CFH160" s="72"/>
      <c r="CFI160" s="72"/>
      <c r="CFJ160" s="72"/>
      <c r="CFK160" s="72"/>
      <c r="CFL160" s="72"/>
      <c r="CFM160" s="72"/>
      <c r="CFN160" s="72"/>
      <c r="CFO160" s="72"/>
      <c r="CFP160" s="72"/>
      <c r="CFQ160" s="72"/>
      <c r="CFR160" s="72"/>
      <c r="CFS160" s="72"/>
      <c r="CFT160" s="72"/>
      <c r="CFU160" s="72"/>
      <c r="CFV160" s="72"/>
      <c r="CFW160" s="72"/>
      <c r="CFX160" s="72"/>
      <c r="CFY160" s="72"/>
      <c r="CFZ160" s="72"/>
      <c r="CGA160" s="72"/>
      <c r="CGB160" s="72"/>
      <c r="CGC160" s="72"/>
      <c r="CGD160" s="72"/>
      <c r="CGE160" s="72"/>
      <c r="CGF160" s="72"/>
      <c r="CGG160" s="72"/>
      <c r="CGH160" s="72"/>
      <c r="CGI160" s="72"/>
      <c r="CGJ160" s="72"/>
      <c r="CGK160" s="72"/>
      <c r="CGL160" s="72"/>
      <c r="CGM160" s="72"/>
      <c r="CGN160" s="72"/>
      <c r="CGO160" s="72"/>
      <c r="CGP160" s="72"/>
      <c r="CGQ160" s="72"/>
      <c r="CGR160" s="72"/>
      <c r="CGS160" s="72"/>
      <c r="CGT160" s="72"/>
      <c r="CGU160" s="72"/>
      <c r="CGV160" s="72"/>
      <c r="CGW160" s="72"/>
      <c r="CGX160" s="72"/>
      <c r="CGY160" s="72"/>
      <c r="CGZ160" s="72"/>
      <c r="CHA160" s="72"/>
      <c r="CHB160" s="72"/>
      <c r="CHC160" s="72"/>
      <c r="CHD160" s="72"/>
      <c r="CHE160" s="72"/>
      <c r="CHF160" s="72"/>
      <c r="CHG160" s="72"/>
      <c r="CHH160" s="72"/>
      <c r="CHI160" s="72"/>
      <c r="CHJ160" s="72"/>
      <c r="CHK160" s="72"/>
      <c r="CHL160" s="72"/>
      <c r="CHM160" s="72"/>
      <c r="CHN160" s="72"/>
      <c r="CHO160" s="72"/>
      <c r="CHP160" s="72"/>
      <c r="CHQ160" s="72"/>
      <c r="CHR160" s="72"/>
      <c r="CHS160" s="72"/>
      <c r="CHT160" s="72"/>
      <c r="CHU160" s="72"/>
      <c r="CHV160" s="72"/>
      <c r="CHW160" s="72"/>
      <c r="CHX160" s="72"/>
      <c r="CHY160" s="72"/>
      <c r="CHZ160" s="72"/>
      <c r="CIA160" s="72"/>
      <c r="CIB160" s="72"/>
      <c r="CIC160" s="72"/>
      <c r="CID160" s="72"/>
      <c r="CIE160" s="72"/>
      <c r="CIF160" s="72"/>
      <c r="CIG160" s="72"/>
      <c r="CIH160" s="72"/>
      <c r="CII160" s="72"/>
      <c r="CIJ160" s="72"/>
      <c r="CIK160" s="72"/>
      <c r="CIL160" s="72"/>
      <c r="CIM160" s="72"/>
      <c r="CIN160" s="72"/>
      <c r="CIO160" s="72"/>
      <c r="CIP160" s="72"/>
      <c r="CIQ160" s="72"/>
      <c r="CIR160" s="72"/>
      <c r="CIS160" s="72"/>
      <c r="CIT160" s="72"/>
      <c r="CIU160" s="72"/>
      <c r="CIV160" s="72"/>
      <c r="CIW160" s="72"/>
      <c r="CIX160" s="72"/>
      <c r="CIY160" s="72"/>
      <c r="CIZ160" s="72"/>
      <c r="CJA160" s="72"/>
      <c r="CJB160" s="72"/>
      <c r="CJC160" s="72"/>
      <c r="CJD160" s="72"/>
      <c r="CJE160" s="72"/>
      <c r="CJF160" s="72"/>
      <c r="CJG160" s="72"/>
      <c r="CJH160" s="72"/>
      <c r="CJI160" s="72"/>
      <c r="CJJ160" s="72"/>
      <c r="CJK160" s="72"/>
      <c r="CJL160" s="72"/>
      <c r="CJM160" s="72"/>
      <c r="CJN160" s="72"/>
      <c r="CJO160" s="72"/>
      <c r="CJP160" s="72"/>
      <c r="CJQ160" s="72"/>
      <c r="CJR160" s="72"/>
      <c r="CJS160" s="72"/>
      <c r="CJT160" s="72"/>
      <c r="CJU160" s="72"/>
      <c r="CJV160" s="72"/>
      <c r="CJW160" s="72"/>
      <c r="CJX160" s="72"/>
      <c r="CJY160" s="72"/>
      <c r="CJZ160" s="72"/>
      <c r="CKA160" s="72"/>
      <c r="CKB160" s="72"/>
      <c r="CKC160" s="72"/>
      <c r="CKD160" s="72"/>
      <c r="CKE160" s="72"/>
      <c r="CKF160" s="72"/>
      <c r="CKG160" s="72"/>
      <c r="CKH160" s="72"/>
      <c r="CKI160" s="72"/>
      <c r="CKJ160" s="72"/>
      <c r="CKK160" s="72"/>
      <c r="CKL160" s="72"/>
      <c r="CKM160" s="72"/>
      <c r="CKN160" s="72"/>
      <c r="CKO160" s="72"/>
      <c r="CKP160" s="72"/>
      <c r="CKQ160" s="72"/>
      <c r="CKR160" s="72"/>
      <c r="CKS160" s="72"/>
      <c r="CKT160" s="72"/>
      <c r="CKU160" s="72"/>
      <c r="CKV160" s="72"/>
      <c r="CKW160" s="72"/>
      <c r="CKX160" s="72"/>
      <c r="CKY160" s="72"/>
      <c r="CKZ160" s="72"/>
      <c r="CLA160" s="72"/>
      <c r="CLB160" s="72"/>
      <c r="CLC160" s="72"/>
      <c r="CLD160" s="72"/>
      <c r="CLE160" s="72"/>
      <c r="CLF160" s="72"/>
      <c r="CLG160" s="72"/>
      <c r="CLH160" s="72"/>
      <c r="CLI160" s="72"/>
      <c r="CLJ160" s="72"/>
      <c r="CLK160" s="72"/>
      <c r="CLL160" s="72"/>
      <c r="CLM160" s="72"/>
      <c r="CLN160" s="72"/>
      <c r="CLO160" s="72"/>
      <c r="CLP160" s="72"/>
      <c r="CLQ160" s="72"/>
      <c r="CLR160" s="72"/>
      <c r="CLS160" s="72"/>
      <c r="CLT160" s="72"/>
      <c r="CLU160" s="72"/>
      <c r="CLV160" s="72"/>
      <c r="CLW160" s="72"/>
      <c r="CLX160" s="72"/>
      <c r="CLY160" s="72"/>
      <c r="CLZ160" s="72"/>
      <c r="CMA160" s="72"/>
      <c r="CMB160" s="72"/>
      <c r="CMC160" s="72"/>
      <c r="CMD160" s="72"/>
      <c r="CME160" s="72"/>
      <c r="CMF160" s="72"/>
      <c r="CMG160" s="72"/>
      <c r="CMH160" s="72"/>
      <c r="CMI160" s="72"/>
      <c r="CMJ160" s="72"/>
      <c r="CMK160" s="72"/>
      <c r="CML160" s="72"/>
      <c r="CMM160" s="72"/>
      <c r="CMN160" s="72"/>
      <c r="CMO160" s="72"/>
      <c r="CMP160" s="72"/>
      <c r="CMQ160" s="72"/>
      <c r="CMR160" s="72"/>
      <c r="CMS160" s="72"/>
      <c r="CMT160" s="72"/>
      <c r="CMU160" s="72"/>
      <c r="CMV160" s="72"/>
      <c r="CMW160" s="72"/>
      <c r="CMX160" s="72"/>
      <c r="CMY160" s="72"/>
      <c r="CMZ160" s="72"/>
      <c r="CNA160" s="72"/>
      <c r="CNB160" s="72"/>
      <c r="CNC160" s="72"/>
      <c r="CND160" s="72"/>
      <c r="CNE160" s="72"/>
      <c r="CNF160" s="72"/>
      <c r="CNG160" s="72"/>
      <c r="CNH160" s="72"/>
      <c r="CNI160" s="72"/>
      <c r="CNJ160" s="72"/>
      <c r="CNK160" s="72"/>
      <c r="CNL160" s="72"/>
      <c r="CNM160" s="72"/>
      <c r="CNN160" s="72"/>
      <c r="CNO160" s="72"/>
      <c r="CNP160" s="72"/>
      <c r="CNQ160" s="72"/>
      <c r="CNR160" s="72"/>
      <c r="CNS160" s="72"/>
      <c r="CNT160" s="72"/>
      <c r="CNU160" s="72"/>
      <c r="CNV160" s="72"/>
      <c r="CNW160" s="72"/>
      <c r="CNX160" s="72"/>
      <c r="CNY160" s="72"/>
      <c r="CNZ160" s="72"/>
      <c r="COA160" s="72"/>
      <c r="COB160" s="72"/>
      <c r="COC160" s="72"/>
      <c r="COD160" s="72"/>
      <c r="COE160" s="72"/>
      <c r="COF160" s="72"/>
      <c r="COG160" s="72"/>
      <c r="COH160" s="72"/>
      <c r="COI160" s="72"/>
      <c r="COJ160" s="72"/>
      <c r="COK160" s="72"/>
      <c r="COL160" s="72"/>
      <c r="COM160" s="72"/>
      <c r="CON160" s="72"/>
      <c r="COO160" s="72"/>
      <c r="COP160" s="72"/>
      <c r="COQ160" s="72"/>
      <c r="COR160" s="72"/>
      <c r="COS160" s="72"/>
      <c r="COT160" s="72"/>
      <c r="COU160" s="72"/>
      <c r="COV160" s="72"/>
      <c r="COW160" s="72"/>
      <c r="COX160" s="72"/>
      <c r="COY160" s="72"/>
      <c r="COZ160" s="72"/>
      <c r="CPA160" s="72"/>
      <c r="CPB160" s="72"/>
      <c r="CPC160" s="72"/>
      <c r="CPD160" s="72"/>
      <c r="CPE160" s="72"/>
      <c r="CPF160" s="72"/>
      <c r="CPG160" s="72"/>
      <c r="CPH160" s="72"/>
      <c r="CPI160" s="72"/>
      <c r="CPJ160" s="72"/>
      <c r="CPK160" s="72"/>
      <c r="CPL160" s="72"/>
      <c r="CPM160" s="72"/>
      <c r="CPN160" s="72"/>
      <c r="CPO160" s="72"/>
      <c r="CPP160" s="72"/>
      <c r="CPQ160" s="72"/>
      <c r="CPR160" s="72"/>
      <c r="CPS160" s="72"/>
      <c r="CPT160" s="72"/>
      <c r="CPU160" s="72"/>
      <c r="CPV160" s="72"/>
      <c r="CPW160" s="72"/>
      <c r="CPX160" s="72"/>
      <c r="CPY160" s="72"/>
      <c r="CPZ160" s="72"/>
      <c r="CQA160" s="72"/>
      <c r="CQB160" s="72"/>
      <c r="CQC160" s="72"/>
      <c r="CQD160" s="72"/>
      <c r="CQE160" s="72"/>
      <c r="CQF160" s="72"/>
      <c r="CQG160" s="72"/>
      <c r="CQH160" s="72"/>
      <c r="CQI160" s="72"/>
      <c r="CQJ160" s="72"/>
      <c r="CQK160" s="72"/>
      <c r="CQL160" s="72"/>
      <c r="CQM160" s="72"/>
      <c r="CQN160" s="72"/>
      <c r="CQO160" s="72"/>
      <c r="CQP160" s="72"/>
      <c r="CQQ160" s="72"/>
      <c r="CQR160" s="72"/>
      <c r="CQS160" s="72"/>
      <c r="CQT160" s="72"/>
      <c r="CQU160" s="72"/>
      <c r="CQV160" s="72"/>
      <c r="CQW160" s="72"/>
      <c r="CQX160" s="72"/>
      <c r="CQY160" s="72"/>
      <c r="CQZ160" s="72"/>
      <c r="CRA160" s="72"/>
      <c r="CRB160" s="72"/>
      <c r="CRC160" s="72"/>
      <c r="CRD160" s="72"/>
      <c r="CRE160" s="72"/>
      <c r="CRF160" s="72"/>
      <c r="CRG160" s="72"/>
      <c r="CRH160" s="72"/>
      <c r="CRI160" s="72"/>
      <c r="CRJ160" s="72"/>
      <c r="CRK160" s="72"/>
      <c r="CRL160" s="72"/>
      <c r="CRM160" s="72"/>
      <c r="CRN160" s="72"/>
      <c r="CRO160" s="72"/>
      <c r="CRP160" s="72"/>
      <c r="CRQ160" s="72"/>
      <c r="CRR160" s="72"/>
      <c r="CRS160" s="72"/>
      <c r="CRT160" s="72"/>
      <c r="CRU160" s="72"/>
      <c r="CRV160" s="72"/>
      <c r="CRW160" s="72"/>
      <c r="CRX160" s="72"/>
      <c r="CRY160" s="72"/>
      <c r="CRZ160" s="72"/>
      <c r="CSA160" s="72"/>
      <c r="CSB160" s="72"/>
      <c r="CSC160" s="72"/>
      <c r="CSD160" s="72"/>
      <c r="CSE160" s="72"/>
      <c r="CSF160" s="72"/>
      <c r="CSG160" s="72"/>
      <c r="CSH160" s="72"/>
      <c r="CSI160" s="72"/>
      <c r="CSJ160" s="72"/>
      <c r="CSK160" s="72"/>
      <c r="CSL160" s="72"/>
      <c r="CSM160" s="72"/>
      <c r="CSN160" s="72"/>
      <c r="CSO160" s="72"/>
      <c r="CSP160" s="72"/>
      <c r="CSQ160" s="72"/>
      <c r="CSR160" s="72"/>
      <c r="CSS160" s="72"/>
      <c r="CST160" s="72"/>
      <c r="CSU160" s="72"/>
      <c r="CSV160" s="72"/>
      <c r="CSW160" s="72"/>
      <c r="CSX160" s="72"/>
      <c r="CSY160" s="72"/>
      <c r="CSZ160" s="72"/>
      <c r="CTA160" s="72"/>
      <c r="CTB160" s="72"/>
      <c r="CTC160" s="72"/>
      <c r="CTD160" s="72"/>
      <c r="CTE160" s="72"/>
      <c r="CTF160" s="72"/>
      <c r="CTG160" s="72"/>
      <c r="CTH160" s="72"/>
      <c r="CTI160" s="72"/>
      <c r="CTJ160" s="72"/>
      <c r="CTK160" s="72"/>
      <c r="CTL160" s="72"/>
      <c r="CTM160" s="72"/>
      <c r="CTN160" s="72"/>
      <c r="CTO160" s="72"/>
      <c r="CTP160" s="72"/>
      <c r="CTQ160" s="72"/>
      <c r="CTR160" s="72"/>
      <c r="CTS160" s="72"/>
      <c r="CTT160" s="72"/>
      <c r="CTU160" s="72"/>
      <c r="CTV160" s="72"/>
      <c r="CTW160" s="72"/>
      <c r="CTX160" s="72"/>
      <c r="CTY160" s="72"/>
      <c r="CTZ160" s="72"/>
      <c r="CUA160" s="72"/>
      <c r="CUB160" s="72"/>
      <c r="CUC160" s="72"/>
      <c r="CUD160" s="72"/>
      <c r="CUE160" s="72"/>
      <c r="CUF160" s="72"/>
      <c r="CUG160" s="72"/>
      <c r="CUH160" s="72"/>
      <c r="CUI160" s="72"/>
      <c r="CUJ160" s="72"/>
      <c r="CUK160" s="72"/>
      <c r="CUL160" s="72"/>
      <c r="CUM160" s="72"/>
      <c r="CUN160" s="72"/>
      <c r="CUO160" s="72"/>
      <c r="CUP160" s="72"/>
      <c r="CUQ160" s="72"/>
      <c r="CUR160" s="72"/>
      <c r="CUS160" s="72"/>
      <c r="CUT160" s="72"/>
      <c r="CUU160" s="72"/>
      <c r="CUV160" s="72"/>
      <c r="CUW160" s="72"/>
      <c r="CUX160" s="72"/>
      <c r="CUY160" s="72"/>
      <c r="CUZ160" s="72"/>
      <c r="CVA160" s="72"/>
      <c r="CVB160" s="72"/>
      <c r="CVC160" s="72"/>
      <c r="CVD160" s="72"/>
      <c r="CVE160" s="72"/>
      <c r="CVF160" s="72"/>
      <c r="CVG160" s="72"/>
      <c r="CVH160" s="72"/>
      <c r="CVI160" s="72"/>
      <c r="CVJ160" s="72"/>
      <c r="CVK160" s="72"/>
      <c r="CVL160" s="72"/>
      <c r="CVM160" s="72"/>
      <c r="CVN160" s="72"/>
      <c r="CVO160" s="72"/>
      <c r="CVP160" s="72"/>
      <c r="CVQ160" s="72"/>
      <c r="CVR160" s="72"/>
      <c r="CVS160" s="72"/>
      <c r="CVT160" s="72"/>
      <c r="CVU160" s="72"/>
      <c r="CVV160" s="72"/>
      <c r="CVW160" s="72"/>
      <c r="CVX160" s="72"/>
      <c r="CVY160" s="72"/>
      <c r="CVZ160" s="72"/>
      <c r="CWA160" s="72"/>
      <c r="CWB160" s="72"/>
      <c r="CWC160" s="72"/>
      <c r="CWD160" s="72"/>
      <c r="CWE160" s="72"/>
      <c r="CWF160" s="72"/>
      <c r="CWG160" s="72"/>
      <c r="CWH160" s="72"/>
      <c r="CWI160" s="72"/>
      <c r="CWJ160" s="72"/>
      <c r="CWK160" s="72"/>
      <c r="CWL160" s="72"/>
      <c r="CWM160" s="72"/>
      <c r="CWN160" s="72"/>
      <c r="CWO160" s="72"/>
      <c r="CWP160" s="72"/>
      <c r="CWQ160" s="72"/>
      <c r="CWR160" s="72"/>
      <c r="CWS160" s="72"/>
      <c r="CWT160" s="72"/>
      <c r="CWU160" s="72"/>
      <c r="CWV160" s="72"/>
      <c r="CWW160" s="72"/>
      <c r="CWX160" s="72"/>
      <c r="CWY160" s="72"/>
      <c r="CWZ160" s="72"/>
      <c r="CXA160" s="72"/>
      <c r="CXB160" s="72"/>
      <c r="CXC160" s="72"/>
      <c r="CXD160" s="72"/>
      <c r="CXE160" s="72"/>
      <c r="CXF160" s="72"/>
      <c r="CXG160" s="72"/>
      <c r="CXH160" s="72"/>
      <c r="CXI160" s="72"/>
      <c r="CXJ160" s="72"/>
      <c r="CXK160" s="72"/>
      <c r="CXL160" s="72"/>
      <c r="CXM160" s="72"/>
      <c r="CXN160" s="72"/>
      <c r="CXO160" s="72"/>
      <c r="CXP160" s="72"/>
      <c r="CXQ160" s="72"/>
      <c r="CXR160" s="72"/>
      <c r="CXS160" s="72"/>
      <c r="CXT160" s="72"/>
      <c r="CXU160" s="72"/>
      <c r="CXV160" s="72"/>
      <c r="CXW160" s="72"/>
      <c r="CXX160" s="72"/>
      <c r="CXY160" s="72"/>
      <c r="CXZ160" s="72"/>
      <c r="CYA160" s="72"/>
      <c r="CYB160" s="72"/>
      <c r="CYC160" s="72"/>
      <c r="CYD160" s="72"/>
      <c r="CYE160" s="72"/>
      <c r="CYF160" s="72"/>
      <c r="CYG160" s="72"/>
      <c r="CYH160" s="72"/>
      <c r="CYI160" s="72"/>
      <c r="CYJ160" s="72"/>
      <c r="CYK160" s="72"/>
      <c r="CYL160" s="72"/>
      <c r="CYM160" s="72"/>
      <c r="CYN160" s="72"/>
      <c r="CYO160" s="72"/>
      <c r="CYP160" s="72"/>
      <c r="CYQ160" s="72"/>
      <c r="CYR160" s="72"/>
      <c r="CYS160" s="72"/>
      <c r="CYT160" s="72"/>
      <c r="CYU160" s="72"/>
      <c r="CYV160" s="72"/>
      <c r="CYW160" s="72"/>
      <c r="CYX160" s="72"/>
      <c r="CYY160" s="72"/>
      <c r="CYZ160" s="72"/>
      <c r="CZA160" s="72"/>
      <c r="CZB160" s="72"/>
      <c r="CZC160" s="72"/>
      <c r="CZD160" s="72"/>
      <c r="CZE160" s="72"/>
      <c r="CZF160" s="72"/>
      <c r="CZG160" s="72"/>
      <c r="CZH160" s="72"/>
      <c r="CZI160" s="72"/>
      <c r="CZJ160" s="72"/>
      <c r="CZK160" s="72"/>
      <c r="CZL160" s="72"/>
      <c r="CZM160" s="72"/>
      <c r="CZN160" s="72"/>
      <c r="CZO160" s="72"/>
      <c r="CZP160" s="72"/>
      <c r="CZQ160" s="72"/>
      <c r="CZR160" s="72"/>
      <c r="CZS160" s="72"/>
      <c r="CZT160" s="72"/>
      <c r="CZU160" s="72"/>
      <c r="CZV160" s="72"/>
      <c r="CZW160" s="72"/>
      <c r="CZX160" s="72"/>
      <c r="CZY160" s="72"/>
      <c r="CZZ160" s="72"/>
      <c r="DAA160" s="72"/>
      <c r="DAB160" s="72"/>
      <c r="DAC160" s="72"/>
      <c r="DAD160" s="72"/>
      <c r="DAE160" s="72"/>
      <c r="DAF160" s="72"/>
      <c r="DAG160" s="72"/>
      <c r="DAH160" s="72"/>
      <c r="DAI160" s="72"/>
      <c r="DAJ160" s="72"/>
      <c r="DAK160" s="72"/>
      <c r="DAL160" s="72"/>
      <c r="DAM160" s="72"/>
      <c r="DAN160" s="72"/>
      <c r="DAO160" s="72"/>
      <c r="DAP160" s="72"/>
      <c r="DAQ160" s="72"/>
      <c r="DAR160" s="72"/>
      <c r="DAS160" s="72"/>
      <c r="DAT160" s="72"/>
      <c r="DAU160" s="72"/>
      <c r="DAV160" s="72"/>
      <c r="DAW160" s="72"/>
      <c r="DAX160" s="72"/>
      <c r="DAY160" s="72"/>
      <c r="DAZ160" s="72"/>
      <c r="DBA160" s="72"/>
      <c r="DBB160" s="72"/>
      <c r="DBC160" s="72"/>
      <c r="DBD160" s="72"/>
      <c r="DBE160" s="72"/>
      <c r="DBF160" s="72"/>
      <c r="DBG160" s="72"/>
      <c r="DBH160" s="72"/>
      <c r="DBI160" s="72"/>
      <c r="DBJ160" s="72"/>
      <c r="DBK160" s="72"/>
      <c r="DBL160" s="72"/>
      <c r="DBM160" s="72"/>
      <c r="DBN160" s="72"/>
      <c r="DBO160" s="72"/>
      <c r="DBP160" s="72"/>
      <c r="DBQ160" s="72"/>
      <c r="DBR160" s="72"/>
      <c r="DBS160" s="72"/>
      <c r="DBT160" s="72"/>
      <c r="DBU160" s="72"/>
      <c r="DBV160" s="72"/>
      <c r="DBW160" s="72"/>
      <c r="DBX160" s="72"/>
      <c r="DBY160" s="72"/>
      <c r="DBZ160" s="72"/>
      <c r="DCA160" s="72"/>
      <c r="DCB160" s="72"/>
      <c r="DCC160" s="72"/>
      <c r="DCD160" s="72"/>
      <c r="DCE160" s="72"/>
      <c r="DCF160" s="72"/>
      <c r="DCG160" s="72"/>
      <c r="DCH160" s="72"/>
      <c r="DCI160" s="72"/>
      <c r="DCJ160" s="72"/>
      <c r="DCK160" s="72"/>
      <c r="DCL160" s="72"/>
      <c r="DCM160" s="72"/>
      <c r="DCN160" s="72"/>
      <c r="DCO160" s="72"/>
      <c r="DCP160" s="72"/>
      <c r="DCQ160" s="72"/>
      <c r="DCR160" s="72"/>
      <c r="DCS160" s="72"/>
      <c r="DCT160" s="72"/>
      <c r="DCU160" s="72"/>
      <c r="DCV160" s="72"/>
      <c r="DCW160" s="72"/>
      <c r="DCX160" s="72"/>
      <c r="DCY160" s="72"/>
      <c r="DCZ160" s="72"/>
      <c r="DDA160" s="72"/>
      <c r="DDB160" s="72"/>
      <c r="DDC160" s="72"/>
      <c r="DDD160" s="72"/>
      <c r="DDE160" s="72"/>
      <c r="DDF160" s="72"/>
      <c r="DDG160" s="72"/>
      <c r="DDH160" s="72"/>
      <c r="DDI160" s="72"/>
      <c r="DDJ160" s="72"/>
      <c r="DDK160" s="72"/>
      <c r="DDL160" s="72"/>
      <c r="DDM160" s="72"/>
      <c r="DDN160" s="72"/>
      <c r="DDO160" s="72"/>
      <c r="DDP160" s="72"/>
      <c r="DDQ160" s="72"/>
      <c r="DDR160" s="72"/>
      <c r="DDS160" s="72"/>
      <c r="DDT160" s="72"/>
      <c r="DDU160" s="72"/>
      <c r="DDV160" s="72"/>
      <c r="DDW160" s="72"/>
      <c r="DDX160" s="72"/>
      <c r="DDY160" s="72"/>
      <c r="DDZ160" s="72"/>
      <c r="DEA160" s="72"/>
      <c r="DEB160" s="72"/>
      <c r="DEC160" s="72"/>
      <c r="DED160" s="72"/>
      <c r="DEE160" s="72"/>
      <c r="DEF160" s="72"/>
      <c r="DEG160" s="72"/>
      <c r="DEH160" s="72"/>
      <c r="DEI160" s="72"/>
      <c r="DEJ160" s="72"/>
      <c r="DEK160" s="72"/>
      <c r="DEL160" s="72"/>
      <c r="DEM160" s="72"/>
      <c r="DEN160" s="72"/>
      <c r="DEO160" s="72"/>
      <c r="DEP160" s="72"/>
      <c r="DEQ160" s="72"/>
      <c r="DER160" s="72"/>
      <c r="DES160" s="72"/>
      <c r="DET160" s="72"/>
      <c r="DEU160" s="72"/>
      <c r="DEV160" s="72"/>
      <c r="DEW160" s="72"/>
      <c r="DEX160" s="72"/>
      <c r="DEY160" s="72"/>
      <c r="DEZ160" s="72"/>
      <c r="DFA160" s="72"/>
      <c r="DFB160" s="72"/>
      <c r="DFC160" s="72"/>
      <c r="DFD160" s="72"/>
      <c r="DFE160" s="72"/>
      <c r="DFF160" s="72"/>
      <c r="DFG160" s="72"/>
      <c r="DFH160" s="72"/>
      <c r="DFI160" s="72"/>
      <c r="DFJ160" s="72"/>
      <c r="DFK160" s="72"/>
      <c r="DFL160" s="72"/>
      <c r="DFM160" s="72"/>
      <c r="DFN160" s="72"/>
      <c r="DFO160" s="72"/>
      <c r="DFP160" s="72"/>
      <c r="DFQ160" s="72"/>
      <c r="DFR160" s="72"/>
      <c r="DFS160" s="72"/>
      <c r="DFT160" s="72"/>
      <c r="DFU160" s="72"/>
      <c r="DFV160" s="72"/>
      <c r="DFW160" s="72"/>
      <c r="DFX160" s="72"/>
      <c r="DFY160" s="72"/>
      <c r="DFZ160" s="72"/>
      <c r="DGA160" s="72"/>
      <c r="DGB160" s="72"/>
      <c r="DGC160" s="72"/>
      <c r="DGD160" s="72"/>
      <c r="DGE160" s="72"/>
      <c r="DGF160" s="72"/>
      <c r="DGG160" s="72"/>
      <c r="DGH160" s="72"/>
      <c r="DGI160" s="72"/>
      <c r="DGJ160" s="72"/>
      <c r="DGK160" s="72"/>
      <c r="DGL160" s="72"/>
      <c r="DGM160" s="72"/>
      <c r="DGN160" s="72"/>
      <c r="DGO160" s="72"/>
      <c r="DGP160" s="72"/>
      <c r="DGQ160" s="72"/>
      <c r="DGR160" s="72"/>
      <c r="DGS160" s="72"/>
      <c r="DGT160" s="72"/>
      <c r="DGU160" s="72"/>
      <c r="DGV160" s="72"/>
      <c r="DGW160" s="72"/>
      <c r="DGX160" s="72"/>
      <c r="DGY160" s="72"/>
      <c r="DGZ160" s="72"/>
      <c r="DHA160" s="72"/>
      <c r="DHB160" s="72"/>
      <c r="DHC160" s="72"/>
      <c r="DHD160" s="72"/>
      <c r="DHE160" s="72"/>
      <c r="DHF160" s="72"/>
      <c r="DHG160" s="72"/>
      <c r="DHH160" s="72"/>
      <c r="DHI160" s="72"/>
      <c r="DHJ160" s="72"/>
      <c r="DHK160" s="72"/>
      <c r="DHL160" s="72"/>
      <c r="DHM160" s="72"/>
      <c r="DHN160" s="72"/>
      <c r="DHO160" s="72"/>
      <c r="DHP160" s="72"/>
      <c r="DHQ160" s="72"/>
      <c r="DHR160" s="72"/>
      <c r="DHS160" s="72"/>
      <c r="DHT160" s="72"/>
      <c r="DHU160" s="72"/>
      <c r="DHV160" s="72"/>
      <c r="DHW160" s="72"/>
      <c r="DHX160" s="72"/>
      <c r="DHY160" s="72"/>
      <c r="DHZ160" s="72"/>
      <c r="DIA160" s="72"/>
      <c r="DIB160" s="72"/>
      <c r="DIC160" s="72"/>
      <c r="DID160" s="72"/>
      <c r="DIE160" s="72"/>
      <c r="DIF160" s="72"/>
      <c r="DIG160" s="72"/>
      <c r="DIH160" s="72"/>
      <c r="DII160" s="72"/>
      <c r="DIJ160" s="72"/>
      <c r="DIK160" s="72"/>
      <c r="DIL160" s="72"/>
      <c r="DIM160" s="72"/>
      <c r="DIN160" s="72"/>
      <c r="DIO160" s="72"/>
      <c r="DIP160" s="72"/>
      <c r="DIQ160" s="72"/>
      <c r="DIR160" s="72"/>
      <c r="DIS160" s="72"/>
      <c r="DIT160" s="72"/>
      <c r="DIU160" s="72"/>
      <c r="DIV160" s="72"/>
      <c r="DIW160" s="72"/>
      <c r="DIX160" s="72"/>
      <c r="DIY160" s="72"/>
      <c r="DIZ160" s="72"/>
      <c r="DJA160" s="72"/>
      <c r="DJB160" s="72"/>
      <c r="DJC160" s="72"/>
      <c r="DJD160" s="72"/>
      <c r="DJE160" s="72"/>
      <c r="DJF160" s="72"/>
      <c r="DJG160" s="72"/>
      <c r="DJH160" s="72"/>
      <c r="DJI160" s="72"/>
      <c r="DJJ160" s="72"/>
      <c r="DJK160" s="72"/>
      <c r="DJL160" s="72"/>
      <c r="DJM160" s="72"/>
      <c r="DJN160" s="72"/>
      <c r="DJO160" s="72"/>
      <c r="DJP160" s="72"/>
      <c r="DJQ160" s="72"/>
      <c r="DJR160" s="72"/>
      <c r="DJS160" s="72"/>
      <c r="DJT160" s="72"/>
      <c r="DJU160" s="72"/>
      <c r="DJV160" s="72"/>
      <c r="DJW160" s="72"/>
      <c r="DJX160" s="72"/>
      <c r="DJY160" s="72"/>
      <c r="DJZ160" s="72"/>
      <c r="DKA160" s="72"/>
      <c r="DKB160" s="72"/>
      <c r="DKC160" s="72"/>
      <c r="DKD160" s="72"/>
      <c r="DKE160" s="72"/>
      <c r="DKF160" s="72"/>
      <c r="DKG160" s="72"/>
      <c r="DKH160" s="72"/>
      <c r="DKI160" s="72"/>
      <c r="DKJ160" s="72"/>
      <c r="DKK160" s="72"/>
      <c r="DKL160" s="72"/>
      <c r="DKM160" s="72"/>
      <c r="DKN160" s="72"/>
      <c r="DKO160" s="72"/>
      <c r="DKP160" s="72"/>
      <c r="DKQ160" s="72"/>
      <c r="DKR160" s="72"/>
      <c r="DKS160" s="72"/>
      <c r="DKT160" s="72"/>
      <c r="DKU160" s="72"/>
      <c r="DKV160" s="72"/>
      <c r="DKW160" s="72"/>
      <c r="DKX160" s="72"/>
      <c r="DKY160" s="72"/>
      <c r="DKZ160" s="72"/>
      <c r="DLA160" s="72"/>
      <c r="DLB160" s="72"/>
      <c r="DLC160" s="72"/>
      <c r="DLD160" s="72"/>
      <c r="DLE160" s="72"/>
      <c r="DLF160" s="72"/>
      <c r="DLG160" s="72"/>
      <c r="DLH160" s="72"/>
      <c r="DLI160" s="72"/>
      <c r="DLJ160" s="72"/>
      <c r="DLK160" s="72"/>
      <c r="DLL160" s="72"/>
      <c r="DLM160" s="72"/>
      <c r="DLN160" s="72"/>
      <c r="DLO160" s="72"/>
      <c r="DLP160" s="72"/>
      <c r="DLQ160" s="72"/>
      <c r="DLR160" s="72"/>
      <c r="DLS160" s="72"/>
      <c r="DLT160" s="72"/>
      <c r="DLU160" s="72"/>
      <c r="DLV160" s="72"/>
      <c r="DLW160" s="72"/>
      <c r="DLX160" s="72"/>
      <c r="DLY160" s="72"/>
      <c r="DLZ160" s="72"/>
      <c r="DMA160" s="72"/>
      <c r="DMB160" s="72"/>
      <c r="DMC160" s="72"/>
      <c r="DMD160" s="72"/>
      <c r="DME160" s="72"/>
      <c r="DMF160" s="72"/>
      <c r="DMG160" s="72"/>
      <c r="DMH160" s="72"/>
      <c r="DMI160" s="72"/>
      <c r="DMJ160" s="72"/>
      <c r="DMK160" s="72"/>
      <c r="DML160" s="72"/>
      <c r="DMM160" s="72"/>
      <c r="DMN160" s="72"/>
      <c r="DMO160" s="72"/>
      <c r="DMP160" s="72"/>
      <c r="DMQ160" s="72"/>
      <c r="DMR160" s="72"/>
      <c r="DMS160" s="72"/>
      <c r="DMT160" s="72"/>
      <c r="DMU160" s="72"/>
      <c r="DMV160" s="72"/>
      <c r="DMW160" s="72"/>
      <c r="DMX160" s="72"/>
      <c r="DMY160" s="72"/>
      <c r="DMZ160" s="72"/>
      <c r="DNA160" s="72"/>
      <c r="DNB160" s="72"/>
      <c r="DNC160" s="72"/>
      <c r="DND160" s="72"/>
      <c r="DNE160" s="72"/>
      <c r="DNF160" s="72"/>
      <c r="DNG160" s="72"/>
      <c r="DNH160" s="72"/>
      <c r="DNI160" s="72"/>
      <c r="DNJ160" s="72"/>
      <c r="DNK160" s="72"/>
      <c r="DNL160" s="72"/>
      <c r="DNM160" s="72"/>
      <c r="DNN160" s="72"/>
      <c r="DNO160" s="72"/>
      <c r="DNP160" s="72"/>
      <c r="DNQ160" s="72"/>
      <c r="DNR160" s="72"/>
      <c r="DNS160" s="72"/>
      <c r="DNT160" s="72"/>
      <c r="DNU160" s="72"/>
      <c r="DNV160" s="72"/>
      <c r="DNW160" s="72"/>
      <c r="DNX160" s="72"/>
      <c r="DNY160" s="72"/>
      <c r="DNZ160" s="72"/>
      <c r="DOA160" s="72"/>
      <c r="DOB160" s="72"/>
      <c r="DOC160" s="72"/>
      <c r="DOD160" s="72"/>
      <c r="DOE160" s="72"/>
      <c r="DOF160" s="72"/>
      <c r="DOG160" s="72"/>
      <c r="DOH160" s="72"/>
      <c r="DOI160" s="72"/>
      <c r="DOJ160" s="72"/>
      <c r="DOK160" s="72"/>
      <c r="DOL160" s="72"/>
      <c r="DOM160" s="72"/>
      <c r="DON160" s="72"/>
      <c r="DOO160" s="72"/>
      <c r="DOP160" s="72"/>
      <c r="DOQ160" s="72"/>
      <c r="DOR160" s="72"/>
      <c r="DOS160" s="72"/>
      <c r="DOT160" s="72"/>
      <c r="DOU160" s="72"/>
      <c r="DOV160" s="72"/>
      <c r="DOW160" s="72"/>
      <c r="DOX160" s="72"/>
      <c r="DOY160" s="72"/>
      <c r="DOZ160" s="72"/>
      <c r="DPA160" s="72"/>
      <c r="DPB160" s="72"/>
      <c r="DPC160" s="72"/>
      <c r="DPD160" s="72"/>
      <c r="DPE160" s="72"/>
      <c r="DPF160" s="72"/>
      <c r="DPG160" s="72"/>
      <c r="DPH160" s="72"/>
      <c r="DPI160" s="72"/>
      <c r="DPJ160" s="72"/>
      <c r="DPK160" s="72"/>
      <c r="DPL160" s="72"/>
      <c r="DPM160" s="72"/>
      <c r="DPN160" s="72"/>
      <c r="DPO160" s="72"/>
      <c r="DPP160" s="72"/>
      <c r="DPQ160" s="72"/>
      <c r="DPR160" s="72"/>
      <c r="DPS160" s="72"/>
      <c r="DPT160" s="72"/>
      <c r="DPU160" s="72"/>
      <c r="DPV160" s="72"/>
      <c r="DPW160" s="72"/>
      <c r="DPX160" s="72"/>
      <c r="DPY160" s="72"/>
      <c r="DPZ160" s="72"/>
      <c r="DQA160" s="72"/>
      <c r="DQB160" s="72"/>
      <c r="DQC160" s="72"/>
      <c r="DQD160" s="72"/>
      <c r="DQE160" s="72"/>
      <c r="DQF160" s="72"/>
      <c r="DQG160" s="72"/>
      <c r="DQH160" s="72"/>
      <c r="DQI160" s="72"/>
      <c r="DQJ160" s="72"/>
      <c r="DQK160" s="72"/>
      <c r="DQL160" s="72"/>
      <c r="DQM160" s="72"/>
      <c r="DQN160" s="72"/>
      <c r="DQO160" s="72"/>
      <c r="DQP160" s="72"/>
      <c r="DQQ160" s="72"/>
      <c r="DQR160" s="72"/>
      <c r="DQS160" s="72"/>
      <c r="DQT160" s="72"/>
      <c r="DQU160" s="72"/>
      <c r="DQV160" s="72"/>
      <c r="DQW160" s="72"/>
      <c r="DQX160" s="72"/>
      <c r="DQY160" s="72"/>
      <c r="DQZ160" s="72"/>
      <c r="DRA160" s="72"/>
      <c r="DRB160" s="72"/>
      <c r="DRC160" s="72"/>
      <c r="DRD160" s="72"/>
      <c r="DRE160" s="72"/>
      <c r="DRF160" s="72"/>
      <c r="DRG160" s="72"/>
      <c r="DRH160" s="72"/>
      <c r="DRI160" s="72"/>
      <c r="DRJ160" s="72"/>
      <c r="DRK160" s="72"/>
      <c r="DRL160" s="72"/>
      <c r="DRM160" s="72"/>
      <c r="DRN160" s="72"/>
      <c r="DRO160" s="72"/>
      <c r="DRP160" s="72"/>
      <c r="DRQ160" s="72"/>
      <c r="DRR160" s="72"/>
      <c r="DRS160" s="72"/>
      <c r="DRT160" s="72"/>
      <c r="DRU160" s="72"/>
      <c r="DRV160" s="72"/>
      <c r="DRW160" s="72"/>
      <c r="DRX160" s="72"/>
      <c r="DRY160" s="72"/>
      <c r="DRZ160" s="72"/>
      <c r="DSA160" s="72"/>
      <c r="DSB160" s="72"/>
      <c r="DSC160" s="72"/>
      <c r="DSD160" s="72"/>
      <c r="DSE160" s="72"/>
      <c r="DSF160" s="72"/>
      <c r="DSG160" s="72"/>
      <c r="DSH160" s="72"/>
      <c r="DSI160" s="72"/>
      <c r="DSJ160" s="72"/>
      <c r="DSK160" s="72"/>
      <c r="DSL160" s="72"/>
      <c r="DSM160" s="72"/>
      <c r="DSN160" s="72"/>
      <c r="DSO160" s="72"/>
      <c r="DSP160" s="72"/>
      <c r="DSQ160" s="72"/>
      <c r="DSR160" s="72"/>
      <c r="DSS160" s="72"/>
      <c r="DST160" s="72"/>
      <c r="DSU160" s="72"/>
      <c r="DSV160" s="72"/>
      <c r="DSW160" s="72"/>
      <c r="DSX160" s="72"/>
      <c r="DSY160" s="72"/>
      <c r="DSZ160" s="72"/>
      <c r="DTA160" s="72"/>
      <c r="DTB160" s="72"/>
      <c r="DTC160" s="72"/>
      <c r="DTD160" s="72"/>
      <c r="DTE160" s="72"/>
      <c r="DTF160" s="72"/>
      <c r="DTG160" s="72"/>
      <c r="DTH160" s="72"/>
      <c r="DTI160" s="72"/>
      <c r="DTJ160" s="72"/>
      <c r="DTK160" s="72"/>
      <c r="DTL160" s="72"/>
      <c r="DTM160" s="72"/>
      <c r="DTN160" s="72"/>
      <c r="DTO160" s="72"/>
      <c r="DTP160" s="72"/>
      <c r="DTQ160" s="72"/>
      <c r="DTR160" s="72"/>
      <c r="DTS160" s="72"/>
      <c r="DTT160" s="72"/>
      <c r="DTU160" s="72"/>
      <c r="DTV160" s="72"/>
      <c r="DTW160" s="72"/>
      <c r="DTX160" s="72"/>
      <c r="DTY160" s="72"/>
      <c r="DTZ160" s="72"/>
      <c r="DUA160" s="72"/>
      <c r="DUB160" s="72"/>
      <c r="DUC160" s="72"/>
      <c r="DUD160" s="72"/>
      <c r="DUE160" s="72"/>
      <c r="DUF160" s="72"/>
      <c r="DUG160" s="72"/>
      <c r="DUH160" s="72"/>
      <c r="DUI160" s="72"/>
      <c r="DUJ160" s="72"/>
      <c r="DUK160" s="72"/>
      <c r="DUL160" s="72"/>
      <c r="DUM160" s="72"/>
      <c r="DUN160" s="72"/>
      <c r="DUO160" s="72"/>
      <c r="DUP160" s="72"/>
      <c r="DUQ160" s="72"/>
      <c r="DUR160" s="72"/>
      <c r="DUS160" s="72"/>
      <c r="DUT160" s="72"/>
      <c r="DUU160" s="72"/>
      <c r="DUV160" s="72"/>
      <c r="DUW160" s="72"/>
      <c r="DUX160" s="72"/>
      <c r="DUY160" s="72"/>
      <c r="DUZ160" s="72"/>
      <c r="DVA160" s="72"/>
      <c r="DVB160" s="72"/>
      <c r="DVC160" s="72"/>
      <c r="DVD160" s="72"/>
      <c r="DVE160" s="72"/>
      <c r="DVF160" s="72"/>
      <c r="DVG160" s="72"/>
      <c r="DVH160" s="72"/>
      <c r="DVI160" s="72"/>
      <c r="DVJ160" s="72"/>
      <c r="DVK160" s="72"/>
      <c r="DVL160" s="72"/>
      <c r="DVM160" s="72"/>
      <c r="DVN160" s="72"/>
      <c r="DVO160" s="72"/>
      <c r="DVP160" s="72"/>
      <c r="DVQ160" s="72"/>
      <c r="DVR160" s="72"/>
      <c r="DVS160" s="72"/>
      <c r="DVT160" s="72"/>
      <c r="DVU160" s="72"/>
      <c r="DVV160" s="72"/>
      <c r="DVW160" s="72"/>
      <c r="DVX160" s="72"/>
      <c r="DVY160" s="72"/>
      <c r="DVZ160" s="72"/>
      <c r="DWA160" s="72"/>
      <c r="DWB160" s="72"/>
      <c r="DWC160" s="72"/>
      <c r="DWD160" s="72"/>
      <c r="DWE160" s="72"/>
      <c r="DWF160" s="72"/>
      <c r="DWG160" s="72"/>
      <c r="DWH160" s="72"/>
      <c r="DWI160" s="72"/>
      <c r="DWJ160" s="72"/>
      <c r="DWK160" s="72"/>
      <c r="DWL160" s="72"/>
      <c r="DWM160" s="72"/>
      <c r="DWN160" s="72"/>
      <c r="DWO160" s="72"/>
      <c r="DWP160" s="72"/>
      <c r="DWQ160" s="72"/>
      <c r="DWR160" s="72"/>
      <c r="DWS160" s="72"/>
      <c r="DWT160" s="72"/>
      <c r="DWU160" s="72"/>
      <c r="DWV160" s="72"/>
      <c r="DWW160" s="72"/>
      <c r="DWX160" s="72"/>
      <c r="DWY160" s="72"/>
      <c r="DWZ160" s="72"/>
      <c r="DXA160" s="72"/>
      <c r="DXB160" s="72"/>
      <c r="DXC160" s="72"/>
      <c r="DXD160" s="72"/>
      <c r="DXE160" s="72"/>
      <c r="DXF160" s="72"/>
      <c r="DXG160" s="72"/>
      <c r="DXH160" s="72"/>
      <c r="DXI160" s="72"/>
      <c r="DXJ160" s="72"/>
      <c r="DXK160" s="72"/>
      <c r="DXL160" s="72"/>
      <c r="DXM160" s="72"/>
      <c r="DXN160" s="72"/>
      <c r="DXO160" s="72"/>
      <c r="DXP160" s="72"/>
      <c r="DXQ160" s="72"/>
      <c r="DXR160" s="72"/>
      <c r="DXS160" s="72"/>
      <c r="DXT160" s="72"/>
      <c r="DXU160" s="72"/>
      <c r="DXV160" s="72"/>
      <c r="DXW160" s="72"/>
      <c r="DXX160" s="72"/>
      <c r="DXY160" s="72"/>
      <c r="DXZ160" s="72"/>
      <c r="DYA160" s="72"/>
      <c r="DYB160" s="72"/>
      <c r="DYC160" s="72"/>
      <c r="DYD160" s="72"/>
      <c r="DYE160" s="72"/>
      <c r="DYF160" s="72"/>
      <c r="DYG160" s="72"/>
      <c r="DYH160" s="72"/>
      <c r="DYI160" s="72"/>
      <c r="DYJ160" s="72"/>
      <c r="DYK160" s="72"/>
      <c r="DYL160" s="72"/>
      <c r="DYM160" s="72"/>
      <c r="DYN160" s="72"/>
      <c r="DYO160" s="72"/>
      <c r="DYP160" s="72"/>
      <c r="DYQ160" s="72"/>
      <c r="DYR160" s="72"/>
      <c r="DYS160" s="72"/>
      <c r="DYT160" s="72"/>
      <c r="DYU160" s="72"/>
      <c r="DYV160" s="72"/>
      <c r="DYW160" s="72"/>
      <c r="DYX160" s="72"/>
      <c r="DYY160" s="72"/>
      <c r="DYZ160" s="72"/>
      <c r="DZA160" s="72"/>
      <c r="DZB160" s="72"/>
      <c r="DZC160" s="72"/>
      <c r="DZD160" s="72"/>
      <c r="DZE160" s="72"/>
      <c r="DZF160" s="72"/>
      <c r="DZG160" s="72"/>
      <c r="DZH160" s="72"/>
      <c r="DZI160" s="72"/>
      <c r="DZJ160" s="72"/>
      <c r="DZK160" s="72"/>
      <c r="DZL160" s="72"/>
      <c r="DZM160" s="72"/>
      <c r="DZN160" s="72"/>
      <c r="DZO160" s="72"/>
      <c r="DZP160" s="72"/>
      <c r="DZQ160" s="72"/>
      <c r="DZR160" s="72"/>
      <c r="DZS160" s="72"/>
      <c r="DZT160" s="72"/>
      <c r="DZU160" s="72"/>
      <c r="DZV160" s="72"/>
      <c r="DZW160" s="72"/>
      <c r="DZX160" s="72"/>
      <c r="DZY160" s="72"/>
      <c r="DZZ160" s="72"/>
      <c r="EAA160" s="72"/>
      <c r="EAB160" s="72"/>
      <c r="EAC160" s="72"/>
      <c r="EAD160" s="72"/>
      <c r="EAE160" s="72"/>
      <c r="EAF160" s="72"/>
      <c r="EAG160" s="72"/>
      <c r="EAH160" s="72"/>
      <c r="EAI160" s="72"/>
      <c r="EAJ160" s="72"/>
      <c r="EAK160" s="72"/>
      <c r="EAL160" s="72"/>
      <c r="EAM160" s="72"/>
      <c r="EAN160" s="72"/>
      <c r="EAO160" s="72"/>
      <c r="EAP160" s="72"/>
      <c r="EAQ160" s="72"/>
      <c r="EAR160" s="72"/>
      <c r="EAS160" s="72"/>
      <c r="EAT160" s="72"/>
      <c r="EAU160" s="72"/>
      <c r="EAV160" s="72"/>
      <c r="EAW160" s="72"/>
      <c r="EAX160" s="72"/>
      <c r="EAY160" s="72"/>
      <c r="EAZ160" s="72"/>
      <c r="EBA160" s="72"/>
      <c r="EBB160" s="72"/>
      <c r="EBC160" s="72"/>
      <c r="EBD160" s="72"/>
      <c r="EBE160" s="72"/>
      <c r="EBF160" s="72"/>
      <c r="EBG160" s="72"/>
      <c r="EBH160" s="72"/>
      <c r="EBI160" s="72"/>
      <c r="EBJ160" s="72"/>
      <c r="EBK160" s="72"/>
      <c r="EBL160" s="72"/>
      <c r="EBM160" s="72"/>
      <c r="EBN160" s="72"/>
      <c r="EBO160" s="72"/>
      <c r="EBP160" s="72"/>
      <c r="EBQ160" s="72"/>
      <c r="EBR160" s="72"/>
      <c r="EBS160" s="72"/>
      <c r="EBT160" s="72"/>
      <c r="EBU160" s="72"/>
      <c r="EBV160" s="72"/>
      <c r="EBW160" s="72"/>
      <c r="EBX160" s="72"/>
      <c r="EBY160" s="72"/>
      <c r="EBZ160" s="72"/>
      <c r="ECA160" s="72"/>
      <c r="ECB160" s="72"/>
      <c r="ECC160" s="72"/>
      <c r="ECD160" s="72"/>
      <c r="ECE160" s="72"/>
      <c r="ECF160" s="72"/>
      <c r="ECG160" s="72"/>
      <c r="ECH160" s="72"/>
      <c r="ECI160" s="72"/>
      <c r="ECJ160" s="72"/>
      <c r="ECK160" s="72"/>
      <c r="ECL160" s="72"/>
      <c r="ECM160" s="72"/>
      <c r="ECN160" s="72"/>
      <c r="ECO160" s="72"/>
      <c r="ECP160" s="72"/>
      <c r="ECQ160" s="72"/>
      <c r="ECR160" s="72"/>
      <c r="ECS160" s="72"/>
      <c r="ECT160" s="72"/>
      <c r="ECU160" s="72"/>
      <c r="ECV160" s="72"/>
      <c r="ECW160" s="72"/>
      <c r="ECX160" s="72"/>
      <c r="ECY160" s="72"/>
      <c r="ECZ160" s="72"/>
      <c r="EDA160" s="72"/>
      <c r="EDB160" s="72"/>
      <c r="EDC160" s="72"/>
      <c r="EDD160" s="72"/>
      <c r="EDE160" s="72"/>
      <c r="EDF160" s="72"/>
      <c r="EDG160" s="72"/>
      <c r="EDH160" s="72"/>
      <c r="EDI160" s="72"/>
      <c r="EDJ160" s="72"/>
      <c r="EDK160" s="72"/>
      <c r="EDL160" s="72"/>
      <c r="EDM160" s="72"/>
      <c r="EDN160" s="72"/>
      <c r="EDO160" s="72"/>
      <c r="EDP160" s="72"/>
      <c r="EDQ160" s="72"/>
      <c r="EDR160" s="72"/>
      <c r="EDS160" s="72"/>
      <c r="EDT160" s="72"/>
      <c r="EDU160" s="72"/>
      <c r="EDV160" s="72"/>
      <c r="EDW160" s="72"/>
      <c r="EDX160" s="72"/>
      <c r="EDY160" s="72"/>
      <c r="EDZ160" s="72"/>
      <c r="EEA160" s="72"/>
      <c r="EEB160" s="72"/>
      <c r="EEC160" s="72"/>
      <c r="EED160" s="72"/>
      <c r="EEE160" s="72"/>
      <c r="EEF160" s="72"/>
      <c r="EEG160" s="72"/>
      <c r="EEH160" s="72"/>
      <c r="EEI160" s="72"/>
      <c r="EEJ160" s="72"/>
      <c r="EEK160" s="72"/>
      <c r="EEL160" s="72"/>
      <c r="EEM160" s="72"/>
      <c r="EEN160" s="72"/>
      <c r="EEO160" s="72"/>
      <c r="EEP160" s="72"/>
      <c r="EEQ160" s="72"/>
      <c r="EER160" s="72"/>
      <c r="EES160" s="72"/>
      <c r="EET160" s="72"/>
      <c r="EEU160" s="72"/>
      <c r="EEV160" s="72"/>
      <c r="EEW160" s="72"/>
      <c r="EEX160" s="72"/>
      <c r="EEY160" s="72"/>
      <c r="EEZ160" s="72"/>
      <c r="EFA160" s="72"/>
      <c r="EFB160" s="72"/>
      <c r="EFC160" s="72"/>
      <c r="EFD160" s="72"/>
      <c r="EFE160" s="72"/>
      <c r="EFF160" s="72"/>
      <c r="EFG160" s="72"/>
      <c r="EFH160" s="72"/>
      <c r="EFI160" s="72"/>
      <c r="EFJ160" s="72"/>
      <c r="EFK160" s="72"/>
      <c r="EFL160" s="72"/>
      <c r="EFM160" s="72"/>
      <c r="EFN160" s="72"/>
      <c r="EFO160" s="72"/>
      <c r="EFP160" s="72"/>
      <c r="EFQ160" s="72"/>
      <c r="EFR160" s="72"/>
      <c r="EFS160" s="72"/>
      <c r="EFT160" s="72"/>
      <c r="EFU160" s="72"/>
      <c r="EFV160" s="72"/>
      <c r="EFW160" s="72"/>
      <c r="EFX160" s="72"/>
      <c r="EFY160" s="72"/>
      <c r="EFZ160" s="72"/>
      <c r="EGA160" s="72"/>
      <c r="EGB160" s="72"/>
      <c r="EGC160" s="72"/>
      <c r="EGD160" s="72"/>
      <c r="EGE160" s="72"/>
      <c r="EGF160" s="72"/>
      <c r="EGG160" s="72"/>
      <c r="EGH160" s="72"/>
      <c r="EGI160" s="72"/>
      <c r="EGJ160" s="72"/>
      <c r="EGK160" s="72"/>
      <c r="EGL160" s="72"/>
      <c r="EGM160" s="72"/>
      <c r="EGN160" s="72"/>
      <c r="EGO160" s="72"/>
      <c r="EGP160" s="72"/>
      <c r="EGQ160" s="72"/>
      <c r="EGR160" s="72"/>
      <c r="EGS160" s="72"/>
      <c r="EGT160" s="72"/>
      <c r="EGU160" s="72"/>
      <c r="EGV160" s="72"/>
      <c r="EGW160" s="72"/>
      <c r="EGX160" s="72"/>
      <c r="EGY160" s="72"/>
      <c r="EGZ160" s="72"/>
      <c r="EHA160" s="72"/>
      <c r="EHB160" s="72"/>
      <c r="EHC160" s="72"/>
      <c r="EHD160" s="72"/>
      <c r="EHE160" s="72"/>
      <c r="EHF160" s="72"/>
      <c r="EHG160" s="72"/>
      <c r="EHH160" s="72"/>
      <c r="EHI160" s="72"/>
      <c r="EHJ160" s="72"/>
      <c r="EHK160" s="72"/>
      <c r="EHL160" s="72"/>
      <c r="EHM160" s="72"/>
      <c r="EHN160" s="72"/>
      <c r="EHO160" s="72"/>
      <c r="EHP160" s="72"/>
      <c r="EHQ160" s="72"/>
      <c r="EHR160" s="72"/>
      <c r="EHS160" s="72"/>
      <c r="EHT160" s="72"/>
      <c r="EHU160" s="72"/>
      <c r="EHV160" s="72"/>
      <c r="EHW160" s="72"/>
      <c r="EHX160" s="72"/>
      <c r="EHY160" s="72"/>
      <c r="EHZ160" s="72"/>
      <c r="EIA160" s="72"/>
      <c r="EIB160" s="72"/>
      <c r="EIC160" s="72"/>
      <c r="EID160" s="72"/>
      <c r="EIE160" s="72"/>
      <c r="EIF160" s="72"/>
      <c r="EIG160" s="72"/>
      <c r="EIH160" s="72"/>
      <c r="EII160" s="72"/>
      <c r="EIJ160" s="72"/>
      <c r="EIK160" s="72"/>
      <c r="EIL160" s="72"/>
      <c r="EIM160" s="72"/>
      <c r="EIN160" s="72"/>
      <c r="EIO160" s="72"/>
      <c r="EIP160" s="72"/>
      <c r="EIQ160" s="72"/>
      <c r="EIR160" s="72"/>
      <c r="EIS160" s="72"/>
      <c r="EIT160" s="72"/>
      <c r="EIU160" s="72"/>
      <c r="EIV160" s="72"/>
      <c r="EIW160" s="72"/>
      <c r="EIX160" s="72"/>
      <c r="EIY160" s="72"/>
      <c r="EIZ160" s="72"/>
      <c r="EJA160" s="72"/>
      <c r="EJB160" s="72"/>
      <c r="EJC160" s="72"/>
      <c r="EJD160" s="72"/>
      <c r="EJE160" s="72"/>
      <c r="EJF160" s="72"/>
      <c r="EJG160" s="72"/>
      <c r="EJH160" s="72"/>
      <c r="EJI160" s="72"/>
      <c r="EJJ160" s="72"/>
      <c r="EJK160" s="72"/>
      <c r="EJL160" s="72"/>
      <c r="EJM160" s="72"/>
      <c r="EJN160" s="72"/>
      <c r="EJO160" s="72"/>
      <c r="EJP160" s="72"/>
      <c r="EJQ160" s="72"/>
      <c r="EJR160" s="72"/>
      <c r="EJS160" s="72"/>
      <c r="EJT160" s="72"/>
      <c r="EJU160" s="72"/>
      <c r="EJV160" s="72"/>
      <c r="EJW160" s="72"/>
      <c r="EJX160" s="72"/>
      <c r="EJY160" s="72"/>
      <c r="EJZ160" s="72"/>
      <c r="EKA160" s="72"/>
      <c r="EKB160" s="72"/>
      <c r="EKC160" s="72"/>
      <c r="EKD160" s="72"/>
      <c r="EKE160" s="72"/>
      <c r="EKF160" s="72"/>
      <c r="EKG160" s="72"/>
      <c r="EKH160" s="72"/>
      <c r="EKI160" s="72"/>
      <c r="EKJ160" s="72"/>
      <c r="EKK160" s="72"/>
      <c r="EKL160" s="72"/>
      <c r="EKM160" s="72"/>
      <c r="EKN160" s="72"/>
      <c r="EKO160" s="72"/>
      <c r="EKP160" s="72"/>
      <c r="EKQ160" s="72"/>
      <c r="EKR160" s="72"/>
      <c r="EKS160" s="72"/>
      <c r="EKT160" s="72"/>
      <c r="EKU160" s="72"/>
      <c r="EKV160" s="72"/>
      <c r="EKW160" s="72"/>
      <c r="EKX160" s="72"/>
      <c r="EKY160" s="72"/>
      <c r="EKZ160" s="72"/>
      <c r="ELA160" s="72"/>
      <c r="ELB160" s="72"/>
      <c r="ELC160" s="72"/>
      <c r="ELD160" s="72"/>
      <c r="ELE160" s="72"/>
      <c r="ELF160" s="72"/>
      <c r="ELG160" s="72"/>
      <c r="ELH160" s="72"/>
      <c r="ELI160" s="72"/>
      <c r="ELJ160" s="72"/>
      <c r="ELK160" s="72"/>
      <c r="ELL160" s="72"/>
      <c r="ELM160" s="72"/>
      <c r="ELN160" s="72"/>
      <c r="ELO160" s="72"/>
      <c r="ELP160" s="72"/>
      <c r="ELQ160" s="72"/>
      <c r="ELR160" s="72"/>
      <c r="ELS160" s="72"/>
      <c r="ELT160" s="72"/>
      <c r="ELU160" s="72"/>
      <c r="ELV160" s="72"/>
      <c r="ELW160" s="72"/>
      <c r="ELX160" s="72"/>
      <c r="ELY160" s="72"/>
      <c r="ELZ160" s="72"/>
      <c r="EMA160" s="72"/>
      <c r="EMB160" s="72"/>
      <c r="EMC160" s="72"/>
      <c r="EMD160" s="72"/>
      <c r="EME160" s="72"/>
      <c r="EMF160" s="72"/>
      <c r="EMG160" s="72"/>
      <c r="EMH160" s="72"/>
      <c r="EMI160" s="72"/>
      <c r="EMJ160" s="72"/>
      <c r="EMK160" s="72"/>
      <c r="EML160" s="72"/>
      <c r="EMM160" s="72"/>
      <c r="EMN160" s="72"/>
      <c r="EMO160" s="72"/>
      <c r="EMP160" s="72"/>
      <c r="EMQ160" s="72"/>
      <c r="EMR160" s="72"/>
      <c r="EMS160" s="72"/>
      <c r="EMT160" s="72"/>
      <c r="EMU160" s="72"/>
      <c r="EMV160" s="72"/>
      <c r="EMW160" s="72"/>
      <c r="EMX160" s="72"/>
      <c r="EMY160" s="72"/>
      <c r="EMZ160" s="72"/>
      <c r="ENA160" s="72"/>
      <c r="ENB160" s="72"/>
      <c r="ENC160" s="72"/>
      <c r="END160" s="72"/>
      <c r="ENE160" s="72"/>
      <c r="ENF160" s="72"/>
      <c r="ENG160" s="72"/>
      <c r="ENH160" s="72"/>
      <c r="ENI160" s="72"/>
      <c r="ENJ160" s="72"/>
      <c r="ENK160" s="72"/>
      <c r="ENL160" s="72"/>
      <c r="ENM160" s="72"/>
      <c r="ENN160" s="72"/>
      <c r="ENO160" s="72"/>
      <c r="ENP160" s="72"/>
      <c r="ENQ160" s="72"/>
      <c r="ENR160" s="72"/>
      <c r="ENS160" s="72"/>
      <c r="ENT160" s="72"/>
      <c r="ENU160" s="72"/>
      <c r="ENV160" s="72"/>
      <c r="ENW160" s="72"/>
      <c r="ENX160" s="72"/>
      <c r="ENY160" s="72"/>
      <c r="ENZ160" s="72"/>
      <c r="EOA160" s="72"/>
      <c r="EOB160" s="72"/>
      <c r="EOC160" s="72"/>
      <c r="EOD160" s="72"/>
      <c r="EOE160" s="72"/>
      <c r="EOF160" s="72"/>
      <c r="EOG160" s="72"/>
      <c r="EOH160" s="72"/>
      <c r="EOI160" s="72"/>
      <c r="EOJ160" s="72"/>
      <c r="EOK160" s="72"/>
      <c r="EOL160" s="72"/>
      <c r="EOM160" s="72"/>
      <c r="EON160" s="72"/>
      <c r="EOO160" s="72"/>
      <c r="EOP160" s="72"/>
      <c r="EOQ160" s="72"/>
      <c r="EOR160" s="72"/>
      <c r="EOS160" s="72"/>
      <c r="EOT160" s="72"/>
      <c r="EOU160" s="72"/>
      <c r="EOV160" s="72"/>
      <c r="EOW160" s="72"/>
      <c r="EOX160" s="72"/>
      <c r="EOY160" s="72"/>
      <c r="EOZ160" s="72"/>
      <c r="EPA160" s="72"/>
      <c r="EPB160" s="72"/>
      <c r="EPC160" s="72"/>
      <c r="EPD160" s="72"/>
      <c r="EPE160" s="72"/>
      <c r="EPF160" s="72"/>
      <c r="EPG160" s="72"/>
      <c r="EPH160" s="72"/>
      <c r="EPI160" s="72"/>
      <c r="EPJ160" s="72"/>
      <c r="EPK160" s="72"/>
      <c r="EPL160" s="72"/>
      <c r="EPM160" s="72"/>
      <c r="EPN160" s="72"/>
      <c r="EPO160" s="72"/>
      <c r="EPP160" s="72"/>
      <c r="EPQ160" s="72"/>
      <c r="EPR160" s="72"/>
      <c r="EPS160" s="72"/>
      <c r="EPT160" s="72"/>
      <c r="EPU160" s="72"/>
      <c r="EPV160" s="72"/>
      <c r="EPW160" s="72"/>
      <c r="EPX160" s="72"/>
      <c r="EPY160" s="72"/>
      <c r="EPZ160" s="72"/>
      <c r="EQA160" s="72"/>
      <c r="EQB160" s="72"/>
      <c r="EQC160" s="72"/>
      <c r="EQD160" s="72"/>
      <c r="EQE160" s="72"/>
      <c r="EQF160" s="72"/>
      <c r="EQG160" s="72"/>
      <c r="EQH160" s="72"/>
      <c r="EQI160" s="72"/>
      <c r="EQJ160" s="72"/>
      <c r="EQK160" s="72"/>
      <c r="EQL160" s="72"/>
      <c r="EQM160" s="72"/>
      <c r="EQN160" s="72"/>
      <c r="EQO160" s="72"/>
      <c r="EQP160" s="72"/>
      <c r="EQQ160" s="72"/>
      <c r="EQR160" s="72"/>
      <c r="EQS160" s="72"/>
      <c r="EQT160" s="72"/>
      <c r="EQU160" s="72"/>
      <c r="EQV160" s="72"/>
      <c r="EQW160" s="72"/>
      <c r="EQX160" s="72"/>
      <c r="EQY160" s="72"/>
      <c r="EQZ160" s="72"/>
      <c r="ERA160" s="72"/>
      <c r="ERB160" s="72"/>
      <c r="ERC160" s="72"/>
      <c r="ERD160" s="72"/>
      <c r="ERE160" s="72"/>
      <c r="ERF160" s="72"/>
      <c r="ERG160" s="72"/>
      <c r="ERH160" s="72"/>
      <c r="ERI160" s="72"/>
      <c r="ERJ160" s="72"/>
      <c r="ERK160" s="72"/>
      <c r="ERL160" s="72"/>
      <c r="ERM160" s="72"/>
      <c r="ERN160" s="72"/>
      <c r="ERO160" s="72"/>
      <c r="ERP160" s="72"/>
      <c r="ERQ160" s="72"/>
      <c r="ERR160" s="72"/>
      <c r="ERS160" s="72"/>
      <c r="ERT160" s="72"/>
      <c r="ERU160" s="72"/>
      <c r="ERV160" s="72"/>
      <c r="ERW160" s="72"/>
      <c r="ERX160" s="72"/>
      <c r="ERY160" s="72"/>
      <c r="ERZ160" s="72"/>
      <c r="ESA160" s="72"/>
      <c r="ESB160" s="72"/>
      <c r="ESC160" s="72"/>
      <c r="ESD160" s="72"/>
      <c r="ESE160" s="72"/>
      <c r="ESF160" s="72"/>
      <c r="ESG160" s="72"/>
      <c r="ESH160" s="72"/>
      <c r="ESI160" s="72"/>
      <c r="ESJ160" s="72"/>
      <c r="ESK160" s="72"/>
      <c r="ESL160" s="72"/>
      <c r="ESM160" s="72"/>
      <c r="ESN160" s="72"/>
      <c r="ESO160" s="72"/>
      <c r="ESP160" s="72"/>
      <c r="ESQ160" s="72"/>
      <c r="ESR160" s="72"/>
      <c r="ESS160" s="72"/>
      <c r="EST160" s="72"/>
      <c r="ESU160" s="72"/>
      <c r="ESV160" s="72"/>
      <c r="ESW160" s="72"/>
      <c r="ESX160" s="72"/>
      <c r="ESY160" s="72"/>
      <c r="ESZ160" s="72"/>
      <c r="ETA160" s="72"/>
      <c r="ETB160" s="72"/>
      <c r="ETC160" s="72"/>
      <c r="ETD160" s="72"/>
      <c r="ETE160" s="72"/>
      <c r="ETF160" s="72"/>
      <c r="ETG160" s="72"/>
      <c r="ETH160" s="72"/>
      <c r="ETI160" s="72"/>
      <c r="ETJ160" s="72"/>
      <c r="ETK160" s="72"/>
      <c r="ETL160" s="72"/>
      <c r="ETM160" s="72"/>
      <c r="ETN160" s="72"/>
      <c r="ETO160" s="72"/>
      <c r="ETP160" s="72"/>
      <c r="ETQ160" s="72"/>
      <c r="ETR160" s="72"/>
      <c r="ETS160" s="72"/>
      <c r="ETT160" s="72"/>
      <c r="ETU160" s="72"/>
      <c r="ETV160" s="72"/>
      <c r="ETW160" s="72"/>
      <c r="ETX160" s="72"/>
      <c r="ETY160" s="72"/>
      <c r="ETZ160" s="72"/>
      <c r="EUA160" s="72"/>
      <c r="EUB160" s="72"/>
      <c r="EUC160" s="72"/>
      <c r="EUD160" s="72"/>
      <c r="EUE160" s="72"/>
      <c r="EUF160" s="72"/>
      <c r="EUG160" s="72"/>
      <c r="EUH160" s="72"/>
      <c r="EUI160" s="72"/>
      <c r="EUJ160" s="72"/>
      <c r="EUK160" s="72"/>
      <c r="EUL160" s="72"/>
      <c r="EUM160" s="72"/>
      <c r="EUN160" s="72"/>
      <c r="EUO160" s="72"/>
      <c r="EUP160" s="72"/>
      <c r="EUQ160" s="72"/>
      <c r="EUR160" s="72"/>
      <c r="EUS160" s="72"/>
      <c r="EUT160" s="72"/>
      <c r="EUU160" s="72"/>
      <c r="EUV160" s="72"/>
      <c r="EUW160" s="72"/>
      <c r="EUX160" s="72"/>
      <c r="EUY160" s="72"/>
      <c r="EUZ160" s="72"/>
      <c r="EVA160" s="72"/>
      <c r="EVB160" s="72"/>
      <c r="EVC160" s="72"/>
      <c r="EVD160" s="72"/>
      <c r="EVE160" s="72"/>
      <c r="EVF160" s="72"/>
      <c r="EVG160" s="72"/>
      <c r="EVH160" s="72"/>
      <c r="EVI160" s="72"/>
      <c r="EVJ160" s="72"/>
      <c r="EVK160" s="72"/>
      <c r="EVL160" s="72"/>
      <c r="EVM160" s="72"/>
      <c r="EVN160" s="72"/>
      <c r="EVO160" s="72"/>
      <c r="EVP160" s="72"/>
      <c r="EVQ160" s="72"/>
      <c r="EVR160" s="72"/>
      <c r="EVS160" s="72"/>
      <c r="EVT160" s="72"/>
      <c r="EVU160" s="72"/>
      <c r="EVV160" s="72"/>
      <c r="EVW160" s="72"/>
      <c r="EVX160" s="72"/>
      <c r="EVY160" s="72"/>
      <c r="EVZ160" s="72"/>
      <c r="EWA160" s="72"/>
      <c r="EWB160" s="72"/>
      <c r="EWC160" s="72"/>
      <c r="EWD160" s="72"/>
      <c r="EWE160" s="72"/>
      <c r="EWF160" s="72"/>
      <c r="EWG160" s="72"/>
      <c r="EWH160" s="72"/>
      <c r="EWI160" s="72"/>
      <c r="EWJ160" s="72"/>
      <c r="EWK160" s="72"/>
      <c r="EWL160" s="72"/>
      <c r="EWM160" s="72"/>
      <c r="EWN160" s="72"/>
      <c r="EWO160" s="72"/>
      <c r="EWP160" s="72"/>
      <c r="EWQ160" s="72"/>
      <c r="EWR160" s="72"/>
      <c r="EWS160" s="72"/>
      <c r="EWT160" s="72"/>
      <c r="EWU160" s="72"/>
      <c r="EWV160" s="72"/>
      <c r="EWW160" s="72"/>
      <c r="EWX160" s="72"/>
      <c r="EWY160" s="72"/>
      <c r="EWZ160" s="72"/>
      <c r="EXA160" s="72"/>
      <c r="EXB160" s="72"/>
      <c r="EXC160" s="72"/>
      <c r="EXD160" s="72"/>
      <c r="EXE160" s="72"/>
      <c r="EXF160" s="72"/>
      <c r="EXG160" s="72"/>
      <c r="EXH160" s="72"/>
      <c r="EXI160" s="72"/>
      <c r="EXJ160" s="72"/>
      <c r="EXK160" s="72"/>
      <c r="EXL160" s="72"/>
      <c r="EXM160" s="72"/>
      <c r="EXN160" s="72"/>
      <c r="EXO160" s="72"/>
      <c r="EXP160" s="72"/>
      <c r="EXQ160" s="72"/>
      <c r="EXR160" s="72"/>
      <c r="EXS160" s="72"/>
      <c r="EXT160" s="72"/>
      <c r="EXU160" s="72"/>
      <c r="EXV160" s="72"/>
      <c r="EXW160" s="72"/>
      <c r="EXX160" s="72"/>
      <c r="EXY160" s="72"/>
      <c r="EXZ160" s="72"/>
      <c r="EYA160" s="72"/>
      <c r="EYB160" s="72"/>
      <c r="EYC160" s="72"/>
      <c r="EYD160" s="72"/>
      <c r="EYE160" s="72"/>
      <c r="EYF160" s="72"/>
      <c r="EYG160" s="72"/>
      <c r="EYH160" s="72"/>
      <c r="EYI160" s="72"/>
      <c r="EYJ160" s="72"/>
      <c r="EYK160" s="72"/>
      <c r="EYL160" s="72"/>
      <c r="EYM160" s="72"/>
      <c r="EYN160" s="72"/>
      <c r="EYO160" s="72"/>
      <c r="EYP160" s="72"/>
      <c r="EYQ160" s="72"/>
      <c r="EYR160" s="72"/>
      <c r="EYS160" s="72"/>
      <c r="EYT160" s="72"/>
      <c r="EYU160" s="72"/>
      <c r="EYV160" s="72"/>
      <c r="EYW160" s="72"/>
      <c r="EYX160" s="72"/>
      <c r="EYY160" s="72"/>
      <c r="EYZ160" s="72"/>
      <c r="EZA160" s="72"/>
      <c r="EZB160" s="72"/>
      <c r="EZC160" s="72"/>
      <c r="EZD160" s="72"/>
      <c r="EZE160" s="72"/>
      <c r="EZF160" s="72"/>
      <c r="EZG160" s="72"/>
      <c r="EZH160" s="72"/>
      <c r="EZI160" s="72"/>
      <c r="EZJ160" s="72"/>
      <c r="EZK160" s="72"/>
      <c r="EZL160" s="72"/>
      <c r="EZM160" s="72"/>
      <c r="EZN160" s="72"/>
      <c r="EZO160" s="72"/>
      <c r="EZP160" s="72"/>
      <c r="EZQ160" s="72"/>
      <c r="EZR160" s="72"/>
      <c r="EZS160" s="72"/>
      <c r="EZT160" s="72"/>
      <c r="EZU160" s="72"/>
      <c r="EZV160" s="72"/>
      <c r="EZW160" s="72"/>
      <c r="EZX160" s="72"/>
      <c r="EZY160" s="72"/>
      <c r="EZZ160" s="72"/>
      <c r="FAA160" s="72"/>
      <c r="FAB160" s="72"/>
      <c r="FAC160" s="72"/>
      <c r="FAD160" s="72"/>
      <c r="FAE160" s="72"/>
      <c r="FAF160" s="72"/>
      <c r="FAG160" s="72"/>
      <c r="FAH160" s="72"/>
      <c r="FAI160" s="72"/>
      <c r="FAJ160" s="72"/>
      <c r="FAK160" s="72"/>
      <c r="FAL160" s="72"/>
      <c r="FAM160" s="72"/>
      <c r="FAN160" s="72"/>
      <c r="FAO160" s="72"/>
      <c r="FAP160" s="72"/>
      <c r="FAQ160" s="72"/>
      <c r="FAR160" s="72"/>
      <c r="FAS160" s="72"/>
      <c r="FAT160" s="72"/>
      <c r="FAU160" s="72"/>
      <c r="FAV160" s="72"/>
      <c r="FAW160" s="72"/>
      <c r="FAX160" s="72"/>
      <c r="FAY160" s="72"/>
      <c r="FAZ160" s="72"/>
      <c r="FBA160" s="72"/>
      <c r="FBB160" s="72"/>
      <c r="FBC160" s="72"/>
      <c r="FBD160" s="72"/>
      <c r="FBE160" s="72"/>
      <c r="FBF160" s="72"/>
      <c r="FBG160" s="72"/>
      <c r="FBH160" s="72"/>
      <c r="FBI160" s="72"/>
      <c r="FBJ160" s="72"/>
      <c r="FBK160" s="72"/>
      <c r="FBL160" s="72"/>
      <c r="FBM160" s="72"/>
      <c r="FBN160" s="72"/>
      <c r="FBO160" s="72"/>
      <c r="FBP160" s="72"/>
      <c r="FBQ160" s="72"/>
      <c r="FBR160" s="72"/>
      <c r="FBS160" s="72"/>
      <c r="FBT160" s="72"/>
      <c r="FBU160" s="72"/>
      <c r="FBV160" s="72"/>
      <c r="FBW160" s="72"/>
      <c r="FBX160" s="72"/>
      <c r="FBY160" s="72"/>
      <c r="FBZ160" s="72"/>
      <c r="FCA160" s="72"/>
      <c r="FCB160" s="72"/>
      <c r="FCC160" s="72"/>
      <c r="FCD160" s="72"/>
      <c r="FCE160" s="72"/>
      <c r="FCF160" s="72"/>
      <c r="FCG160" s="72"/>
      <c r="FCH160" s="72"/>
      <c r="FCI160" s="72"/>
      <c r="FCJ160" s="72"/>
      <c r="FCK160" s="72"/>
      <c r="FCL160" s="72"/>
      <c r="FCM160" s="72"/>
      <c r="FCN160" s="72"/>
      <c r="FCO160" s="72"/>
      <c r="FCP160" s="72"/>
      <c r="FCQ160" s="72"/>
      <c r="FCR160" s="72"/>
      <c r="FCS160" s="72"/>
      <c r="FCT160" s="72"/>
      <c r="FCU160" s="72"/>
      <c r="FCV160" s="72"/>
      <c r="FCW160" s="72"/>
      <c r="FCX160" s="72"/>
      <c r="FCY160" s="72"/>
      <c r="FCZ160" s="72"/>
      <c r="FDA160" s="72"/>
      <c r="FDB160" s="72"/>
      <c r="FDC160" s="72"/>
      <c r="FDD160" s="72"/>
      <c r="FDE160" s="72"/>
      <c r="FDF160" s="72"/>
      <c r="FDG160" s="72"/>
      <c r="FDH160" s="72"/>
      <c r="FDI160" s="72"/>
      <c r="FDJ160" s="72"/>
      <c r="FDK160" s="72"/>
      <c r="FDL160" s="72"/>
      <c r="FDM160" s="72"/>
      <c r="FDN160" s="72"/>
      <c r="FDO160" s="72"/>
      <c r="FDP160" s="72"/>
      <c r="FDQ160" s="72"/>
      <c r="FDR160" s="72"/>
      <c r="FDS160" s="72"/>
      <c r="FDT160" s="72"/>
      <c r="FDU160" s="72"/>
      <c r="FDV160" s="72"/>
      <c r="FDW160" s="72"/>
      <c r="FDX160" s="72"/>
      <c r="FDY160" s="72"/>
      <c r="FDZ160" s="72"/>
      <c r="FEA160" s="72"/>
      <c r="FEB160" s="72"/>
      <c r="FEC160" s="72"/>
      <c r="FED160" s="72"/>
      <c r="FEE160" s="72"/>
      <c r="FEF160" s="72"/>
      <c r="FEG160" s="72"/>
      <c r="FEH160" s="72"/>
      <c r="FEI160" s="72"/>
      <c r="FEJ160" s="72"/>
      <c r="FEK160" s="72"/>
      <c r="FEL160" s="72"/>
      <c r="FEM160" s="72"/>
      <c r="FEN160" s="72"/>
      <c r="FEO160" s="72"/>
      <c r="FEP160" s="72"/>
      <c r="FEQ160" s="72"/>
      <c r="FER160" s="72"/>
      <c r="FES160" s="72"/>
      <c r="FET160" s="72"/>
      <c r="FEU160" s="72"/>
      <c r="FEV160" s="72"/>
      <c r="FEW160" s="72"/>
      <c r="FEX160" s="72"/>
      <c r="FEY160" s="72"/>
      <c r="FEZ160" s="72"/>
      <c r="FFA160" s="72"/>
      <c r="FFB160" s="72"/>
      <c r="FFC160" s="72"/>
      <c r="FFD160" s="72"/>
      <c r="FFE160" s="72"/>
      <c r="FFF160" s="72"/>
      <c r="FFG160" s="72"/>
      <c r="FFH160" s="72"/>
      <c r="FFI160" s="72"/>
      <c r="FFJ160" s="72"/>
      <c r="FFK160" s="72"/>
      <c r="FFL160" s="72"/>
      <c r="FFM160" s="72"/>
      <c r="FFN160" s="72"/>
      <c r="FFO160" s="72"/>
      <c r="FFP160" s="72"/>
      <c r="FFQ160" s="72"/>
      <c r="FFR160" s="72"/>
      <c r="FFS160" s="72"/>
      <c r="FFT160" s="72"/>
      <c r="FFU160" s="72"/>
      <c r="FFV160" s="72"/>
      <c r="FFW160" s="72"/>
      <c r="FFX160" s="72"/>
      <c r="FFY160" s="72"/>
      <c r="FFZ160" s="72"/>
      <c r="FGA160" s="72"/>
      <c r="FGB160" s="72"/>
      <c r="FGC160" s="72"/>
      <c r="FGD160" s="72"/>
      <c r="FGE160" s="72"/>
      <c r="FGF160" s="72"/>
      <c r="FGG160" s="72"/>
      <c r="FGH160" s="72"/>
      <c r="FGI160" s="72"/>
      <c r="FGJ160" s="72"/>
      <c r="FGK160" s="72"/>
      <c r="FGL160" s="72"/>
      <c r="FGM160" s="72"/>
      <c r="FGN160" s="72"/>
      <c r="FGO160" s="72"/>
      <c r="FGP160" s="72"/>
      <c r="FGQ160" s="72"/>
      <c r="FGR160" s="72"/>
      <c r="FGS160" s="72"/>
      <c r="FGT160" s="72"/>
      <c r="FGU160" s="72"/>
      <c r="FGV160" s="72"/>
      <c r="FGW160" s="72"/>
      <c r="FGX160" s="72"/>
      <c r="FGY160" s="72"/>
      <c r="FGZ160" s="72"/>
      <c r="FHA160" s="72"/>
      <c r="FHB160" s="72"/>
      <c r="FHC160" s="72"/>
      <c r="FHD160" s="72"/>
      <c r="FHE160" s="72"/>
      <c r="FHF160" s="72"/>
      <c r="FHG160" s="72"/>
      <c r="FHH160" s="72"/>
      <c r="FHI160" s="72"/>
      <c r="FHJ160" s="72"/>
      <c r="FHK160" s="72"/>
      <c r="FHL160" s="72"/>
      <c r="FHM160" s="72"/>
      <c r="FHN160" s="72"/>
      <c r="FHO160" s="72"/>
      <c r="FHP160" s="72"/>
      <c r="FHQ160" s="72"/>
      <c r="FHR160" s="72"/>
      <c r="FHS160" s="72"/>
      <c r="FHT160" s="72"/>
      <c r="FHU160" s="72"/>
      <c r="FHV160" s="72"/>
      <c r="FHW160" s="72"/>
      <c r="FHX160" s="72"/>
      <c r="FHY160" s="72"/>
      <c r="FHZ160" s="72"/>
      <c r="FIA160" s="72"/>
      <c r="FIB160" s="72"/>
      <c r="FIC160" s="72"/>
      <c r="FID160" s="72"/>
      <c r="FIE160" s="72"/>
      <c r="FIF160" s="72"/>
      <c r="FIG160" s="72"/>
      <c r="FIH160" s="72"/>
      <c r="FII160" s="72"/>
      <c r="FIJ160" s="72"/>
      <c r="FIK160" s="72"/>
      <c r="FIL160" s="72"/>
      <c r="FIM160" s="72"/>
      <c r="FIN160" s="72"/>
      <c r="FIO160" s="72"/>
      <c r="FIP160" s="72"/>
      <c r="FIQ160" s="72"/>
      <c r="FIR160" s="72"/>
      <c r="FIS160" s="72"/>
      <c r="FIT160" s="72"/>
      <c r="FIU160" s="72"/>
      <c r="FIV160" s="72"/>
      <c r="FIW160" s="72"/>
      <c r="FIX160" s="72"/>
      <c r="FIY160" s="72"/>
      <c r="FIZ160" s="72"/>
      <c r="FJA160" s="72"/>
      <c r="FJB160" s="72"/>
      <c r="FJC160" s="72"/>
      <c r="FJD160" s="72"/>
      <c r="FJE160" s="72"/>
      <c r="FJF160" s="72"/>
      <c r="FJG160" s="72"/>
      <c r="FJH160" s="72"/>
      <c r="FJI160" s="72"/>
      <c r="FJJ160" s="72"/>
      <c r="FJK160" s="72"/>
      <c r="FJL160" s="72"/>
      <c r="FJM160" s="72"/>
      <c r="FJN160" s="72"/>
      <c r="FJO160" s="72"/>
      <c r="FJP160" s="72"/>
      <c r="FJQ160" s="72"/>
      <c r="FJR160" s="72"/>
      <c r="FJS160" s="72"/>
      <c r="FJT160" s="72"/>
      <c r="FJU160" s="72"/>
      <c r="FJV160" s="72"/>
      <c r="FJW160" s="72"/>
      <c r="FJX160" s="72"/>
      <c r="FJY160" s="72"/>
      <c r="FJZ160" s="72"/>
      <c r="FKA160" s="72"/>
      <c r="FKB160" s="72"/>
      <c r="FKC160" s="72"/>
      <c r="FKD160" s="72"/>
      <c r="FKE160" s="72"/>
      <c r="FKF160" s="72"/>
      <c r="FKG160" s="72"/>
      <c r="FKH160" s="72"/>
      <c r="FKI160" s="72"/>
      <c r="FKJ160" s="72"/>
      <c r="FKK160" s="72"/>
      <c r="FKL160" s="72"/>
      <c r="FKM160" s="72"/>
      <c r="FKN160" s="72"/>
      <c r="FKO160" s="72"/>
      <c r="FKP160" s="72"/>
      <c r="FKQ160" s="72"/>
      <c r="FKR160" s="72"/>
      <c r="FKS160" s="72"/>
      <c r="FKT160" s="72"/>
      <c r="FKU160" s="72"/>
      <c r="FKV160" s="72"/>
      <c r="FKW160" s="72"/>
      <c r="FKX160" s="72"/>
      <c r="FKY160" s="72"/>
      <c r="FKZ160" s="72"/>
      <c r="FLA160" s="72"/>
      <c r="FLB160" s="72"/>
      <c r="FLC160" s="72"/>
      <c r="FLD160" s="72"/>
      <c r="FLE160" s="72"/>
      <c r="FLF160" s="72"/>
      <c r="FLG160" s="72"/>
      <c r="FLH160" s="72"/>
      <c r="FLI160" s="72"/>
      <c r="FLJ160" s="72"/>
      <c r="FLK160" s="72"/>
      <c r="FLL160" s="72"/>
      <c r="FLM160" s="72"/>
      <c r="FLN160" s="72"/>
      <c r="FLO160" s="72"/>
      <c r="FLP160" s="72"/>
      <c r="FLQ160" s="72"/>
      <c r="FLR160" s="72"/>
      <c r="FLS160" s="72"/>
      <c r="FLT160" s="72"/>
      <c r="FLU160" s="72"/>
      <c r="FLV160" s="72"/>
      <c r="FLW160" s="72"/>
      <c r="FLX160" s="72"/>
      <c r="FLY160" s="72"/>
      <c r="FLZ160" s="72"/>
      <c r="FMA160" s="72"/>
      <c r="FMB160" s="72"/>
      <c r="FMC160" s="72"/>
      <c r="FMD160" s="72"/>
      <c r="FME160" s="72"/>
      <c r="FMF160" s="72"/>
      <c r="FMG160" s="72"/>
      <c r="FMH160" s="72"/>
      <c r="FMI160" s="72"/>
      <c r="FMJ160" s="72"/>
      <c r="FMK160" s="72"/>
      <c r="FML160" s="72"/>
      <c r="FMM160" s="72"/>
      <c r="FMN160" s="72"/>
      <c r="FMO160" s="72"/>
      <c r="FMP160" s="72"/>
      <c r="FMQ160" s="72"/>
      <c r="FMR160" s="72"/>
      <c r="FMS160" s="72"/>
      <c r="FMT160" s="72"/>
      <c r="FMU160" s="72"/>
      <c r="FMV160" s="72"/>
      <c r="FMW160" s="72"/>
      <c r="FMX160" s="72"/>
      <c r="FMY160" s="72"/>
      <c r="FMZ160" s="72"/>
      <c r="FNA160" s="72"/>
      <c r="FNB160" s="72"/>
      <c r="FNC160" s="72"/>
      <c r="FND160" s="72"/>
      <c r="FNE160" s="72"/>
      <c r="FNF160" s="72"/>
      <c r="FNG160" s="72"/>
      <c r="FNH160" s="72"/>
      <c r="FNI160" s="72"/>
      <c r="FNJ160" s="72"/>
      <c r="FNK160" s="72"/>
      <c r="FNL160" s="72"/>
      <c r="FNM160" s="72"/>
      <c r="FNN160" s="72"/>
      <c r="FNO160" s="72"/>
      <c r="FNP160" s="72"/>
      <c r="FNQ160" s="72"/>
      <c r="FNR160" s="72"/>
      <c r="FNS160" s="72"/>
      <c r="FNT160" s="72"/>
      <c r="FNU160" s="72"/>
      <c r="FNV160" s="72"/>
      <c r="FNW160" s="72"/>
      <c r="FNX160" s="72"/>
      <c r="FNY160" s="72"/>
      <c r="FNZ160" s="72"/>
      <c r="FOA160" s="72"/>
      <c r="FOB160" s="72"/>
      <c r="FOC160" s="72"/>
      <c r="FOD160" s="72"/>
      <c r="FOE160" s="72"/>
      <c r="FOF160" s="72"/>
      <c r="FOG160" s="72"/>
      <c r="FOH160" s="72"/>
      <c r="FOI160" s="72"/>
      <c r="FOJ160" s="72"/>
      <c r="FOK160" s="72"/>
      <c r="FOL160" s="72"/>
      <c r="FOM160" s="72"/>
      <c r="FON160" s="72"/>
      <c r="FOO160" s="72"/>
      <c r="FOP160" s="72"/>
      <c r="FOQ160" s="72"/>
      <c r="FOR160" s="72"/>
      <c r="FOS160" s="72"/>
      <c r="FOT160" s="72"/>
      <c r="FOU160" s="72"/>
      <c r="FOV160" s="72"/>
      <c r="FOW160" s="72"/>
      <c r="FOX160" s="72"/>
      <c r="FOY160" s="72"/>
      <c r="FOZ160" s="72"/>
      <c r="FPA160" s="72"/>
      <c r="FPB160" s="72"/>
      <c r="FPC160" s="72"/>
      <c r="FPD160" s="72"/>
      <c r="FPE160" s="72"/>
      <c r="FPF160" s="72"/>
      <c r="FPG160" s="72"/>
      <c r="FPH160" s="72"/>
      <c r="FPI160" s="72"/>
      <c r="FPJ160" s="72"/>
      <c r="FPK160" s="72"/>
      <c r="FPL160" s="72"/>
      <c r="FPM160" s="72"/>
      <c r="FPN160" s="72"/>
      <c r="FPO160" s="72"/>
      <c r="FPP160" s="72"/>
      <c r="FPQ160" s="72"/>
      <c r="FPR160" s="72"/>
      <c r="FPS160" s="72"/>
      <c r="FPT160" s="72"/>
      <c r="FPU160" s="72"/>
      <c r="FPV160" s="72"/>
      <c r="FPW160" s="72"/>
      <c r="FPX160" s="72"/>
      <c r="FPY160" s="72"/>
      <c r="FPZ160" s="72"/>
      <c r="FQA160" s="72"/>
      <c r="FQB160" s="72"/>
      <c r="FQC160" s="72"/>
      <c r="FQD160" s="72"/>
      <c r="FQE160" s="72"/>
      <c r="FQF160" s="72"/>
      <c r="FQG160" s="72"/>
      <c r="FQH160" s="72"/>
      <c r="FQI160" s="72"/>
      <c r="FQJ160" s="72"/>
      <c r="FQK160" s="72"/>
      <c r="FQL160" s="72"/>
      <c r="FQM160" s="72"/>
      <c r="FQN160" s="72"/>
      <c r="FQO160" s="72"/>
      <c r="FQP160" s="72"/>
      <c r="FQQ160" s="72"/>
      <c r="FQR160" s="72"/>
      <c r="FQS160" s="72"/>
      <c r="FQT160" s="72"/>
      <c r="FQU160" s="72"/>
      <c r="FQV160" s="72"/>
      <c r="FQW160" s="72"/>
      <c r="FQX160" s="72"/>
      <c r="FQY160" s="72"/>
      <c r="FQZ160" s="72"/>
      <c r="FRA160" s="72"/>
      <c r="FRB160" s="72"/>
      <c r="FRC160" s="72"/>
      <c r="FRD160" s="72"/>
      <c r="FRE160" s="72"/>
      <c r="FRF160" s="72"/>
      <c r="FRG160" s="72"/>
      <c r="FRH160" s="72"/>
      <c r="FRI160" s="72"/>
      <c r="FRJ160" s="72"/>
      <c r="FRK160" s="72"/>
      <c r="FRL160" s="72"/>
      <c r="FRM160" s="72"/>
      <c r="FRN160" s="72"/>
      <c r="FRO160" s="72"/>
      <c r="FRP160" s="72"/>
      <c r="FRQ160" s="72"/>
      <c r="FRR160" s="72"/>
      <c r="FRS160" s="72"/>
      <c r="FRT160" s="72"/>
      <c r="FRU160" s="72"/>
      <c r="FRV160" s="72"/>
      <c r="FRW160" s="72"/>
      <c r="FRX160" s="72"/>
      <c r="FRY160" s="72"/>
      <c r="FRZ160" s="72"/>
      <c r="FSA160" s="72"/>
      <c r="FSB160" s="72"/>
      <c r="FSC160" s="72"/>
      <c r="FSD160" s="72"/>
      <c r="FSE160" s="72"/>
      <c r="FSF160" s="72"/>
      <c r="FSG160" s="72"/>
      <c r="FSH160" s="72"/>
      <c r="FSI160" s="72"/>
      <c r="FSJ160" s="72"/>
      <c r="FSK160" s="72"/>
      <c r="FSL160" s="72"/>
      <c r="FSM160" s="72"/>
      <c r="FSN160" s="72"/>
      <c r="FSO160" s="72"/>
      <c r="FSP160" s="72"/>
      <c r="FSQ160" s="72"/>
      <c r="FSR160" s="72"/>
      <c r="FSS160" s="72"/>
      <c r="FST160" s="72"/>
      <c r="FSU160" s="72"/>
      <c r="FSV160" s="72"/>
      <c r="FSW160" s="72"/>
      <c r="FSX160" s="72"/>
      <c r="FSY160" s="72"/>
      <c r="FSZ160" s="72"/>
      <c r="FTA160" s="72"/>
      <c r="FTB160" s="72"/>
      <c r="FTC160" s="72"/>
      <c r="FTD160" s="72"/>
      <c r="FTE160" s="72"/>
      <c r="FTF160" s="72"/>
      <c r="FTG160" s="72"/>
      <c r="FTH160" s="72"/>
      <c r="FTI160" s="72"/>
      <c r="FTJ160" s="72"/>
      <c r="FTK160" s="72"/>
      <c r="FTL160" s="72"/>
      <c r="FTM160" s="72"/>
      <c r="FTN160" s="72"/>
      <c r="FTO160" s="72"/>
      <c r="FTP160" s="72"/>
      <c r="FTQ160" s="72"/>
      <c r="FTR160" s="72"/>
      <c r="FTS160" s="72"/>
      <c r="FTT160" s="72"/>
      <c r="FTU160" s="72"/>
      <c r="FTV160" s="72"/>
      <c r="FTW160" s="72"/>
      <c r="FTX160" s="72"/>
      <c r="FTY160" s="72"/>
      <c r="FTZ160" s="72"/>
      <c r="FUA160" s="72"/>
      <c r="FUB160" s="72"/>
      <c r="FUC160" s="72"/>
      <c r="FUD160" s="72"/>
      <c r="FUE160" s="72"/>
      <c r="FUF160" s="72"/>
      <c r="FUG160" s="72"/>
      <c r="FUH160" s="72"/>
      <c r="FUI160" s="72"/>
      <c r="FUJ160" s="72"/>
      <c r="FUK160" s="72"/>
      <c r="FUL160" s="72"/>
      <c r="FUM160" s="72"/>
      <c r="FUN160" s="72"/>
      <c r="FUO160" s="72"/>
      <c r="FUP160" s="72"/>
      <c r="FUQ160" s="72"/>
      <c r="FUR160" s="72"/>
      <c r="FUS160" s="72"/>
      <c r="FUT160" s="72"/>
      <c r="FUU160" s="72"/>
      <c r="FUV160" s="72"/>
      <c r="FUW160" s="72"/>
      <c r="FUX160" s="72"/>
      <c r="FUY160" s="72"/>
      <c r="FUZ160" s="72"/>
      <c r="FVA160" s="72"/>
      <c r="FVB160" s="72"/>
      <c r="FVC160" s="72"/>
      <c r="FVD160" s="72"/>
      <c r="FVE160" s="72"/>
      <c r="FVF160" s="72"/>
      <c r="FVG160" s="72"/>
      <c r="FVH160" s="72"/>
      <c r="FVI160" s="72"/>
      <c r="FVJ160" s="72"/>
      <c r="FVK160" s="72"/>
      <c r="FVL160" s="72"/>
      <c r="FVM160" s="72"/>
      <c r="FVN160" s="72"/>
      <c r="FVO160" s="72"/>
      <c r="FVP160" s="72"/>
      <c r="FVQ160" s="72"/>
      <c r="FVR160" s="72"/>
      <c r="FVS160" s="72"/>
      <c r="FVT160" s="72"/>
      <c r="FVU160" s="72"/>
      <c r="FVV160" s="72"/>
      <c r="FVW160" s="72"/>
      <c r="FVX160" s="72"/>
      <c r="FVY160" s="72"/>
      <c r="FVZ160" s="72"/>
      <c r="FWA160" s="72"/>
      <c r="FWB160" s="72"/>
      <c r="FWC160" s="72"/>
      <c r="FWD160" s="72"/>
      <c r="FWE160" s="72"/>
      <c r="FWF160" s="72"/>
      <c r="FWG160" s="72"/>
      <c r="FWH160" s="72"/>
      <c r="FWI160" s="72"/>
      <c r="FWJ160" s="72"/>
      <c r="FWK160" s="72"/>
      <c r="FWL160" s="72"/>
      <c r="FWM160" s="72"/>
      <c r="FWN160" s="72"/>
      <c r="FWO160" s="72"/>
      <c r="FWP160" s="72"/>
      <c r="FWQ160" s="72"/>
      <c r="FWR160" s="72"/>
      <c r="FWS160" s="72"/>
      <c r="FWT160" s="72"/>
      <c r="FWU160" s="72"/>
      <c r="FWV160" s="72"/>
      <c r="FWW160" s="72"/>
      <c r="FWX160" s="72"/>
      <c r="FWY160" s="72"/>
      <c r="FWZ160" s="72"/>
      <c r="FXA160" s="72"/>
      <c r="FXB160" s="72"/>
      <c r="FXC160" s="72"/>
      <c r="FXD160" s="72"/>
      <c r="FXE160" s="72"/>
      <c r="FXF160" s="72"/>
      <c r="FXG160" s="72"/>
      <c r="FXH160" s="72"/>
      <c r="FXI160" s="72"/>
      <c r="FXJ160" s="72"/>
      <c r="FXK160" s="72"/>
      <c r="FXL160" s="72"/>
      <c r="FXM160" s="72"/>
      <c r="FXN160" s="72"/>
      <c r="FXO160" s="72"/>
      <c r="FXP160" s="72"/>
      <c r="FXQ160" s="72"/>
      <c r="FXR160" s="72"/>
      <c r="FXS160" s="72"/>
      <c r="FXT160" s="72"/>
      <c r="FXU160" s="72"/>
      <c r="FXV160" s="72"/>
      <c r="FXW160" s="72"/>
      <c r="FXX160" s="72"/>
      <c r="FXY160" s="72"/>
      <c r="FXZ160" s="72"/>
      <c r="FYA160" s="72"/>
      <c r="FYB160" s="72"/>
      <c r="FYC160" s="72"/>
      <c r="FYD160" s="72"/>
      <c r="FYE160" s="72"/>
      <c r="FYF160" s="72"/>
      <c r="FYG160" s="72"/>
      <c r="FYH160" s="72"/>
      <c r="FYI160" s="72"/>
      <c r="FYJ160" s="72"/>
      <c r="FYK160" s="72"/>
      <c r="FYL160" s="72"/>
      <c r="FYM160" s="72"/>
      <c r="FYN160" s="72"/>
      <c r="FYO160" s="72"/>
      <c r="FYP160" s="72"/>
      <c r="FYQ160" s="72"/>
      <c r="FYR160" s="72"/>
      <c r="FYS160" s="72"/>
      <c r="FYT160" s="72"/>
      <c r="FYU160" s="72"/>
      <c r="FYV160" s="72"/>
      <c r="FYW160" s="72"/>
      <c r="FYX160" s="72"/>
      <c r="FYY160" s="72"/>
      <c r="FYZ160" s="72"/>
      <c r="FZA160" s="72"/>
      <c r="FZB160" s="72"/>
      <c r="FZC160" s="72"/>
      <c r="FZD160" s="72"/>
      <c r="FZE160" s="72"/>
      <c r="FZF160" s="72"/>
      <c r="FZG160" s="72"/>
      <c r="FZH160" s="72"/>
      <c r="FZI160" s="72"/>
      <c r="FZJ160" s="72"/>
      <c r="FZK160" s="72"/>
      <c r="FZL160" s="72"/>
      <c r="FZM160" s="72"/>
      <c r="FZN160" s="72"/>
      <c r="FZO160" s="72"/>
      <c r="FZP160" s="72"/>
      <c r="FZQ160" s="72"/>
      <c r="FZR160" s="72"/>
      <c r="FZS160" s="72"/>
      <c r="FZT160" s="72"/>
      <c r="FZU160" s="72"/>
      <c r="FZV160" s="72"/>
      <c r="FZW160" s="72"/>
      <c r="FZX160" s="72"/>
      <c r="FZY160" s="72"/>
      <c r="FZZ160" s="72"/>
      <c r="GAA160" s="72"/>
      <c r="GAB160" s="72"/>
      <c r="GAC160" s="72"/>
      <c r="GAD160" s="72"/>
      <c r="GAE160" s="72"/>
      <c r="GAF160" s="72"/>
      <c r="GAG160" s="72"/>
      <c r="GAH160" s="72"/>
      <c r="GAI160" s="72"/>
      <c r="GAJ160" s="72"/>
      <c r="GAK160" s="72"/>
      <c r="GAL160" s="72"/>
      <c r="GAM160" s="72"/>
      <c r="GAN160" s="72"/>
      <c r="GAO160" s="72"/>
      <c r="GAP160" s="72"/>
      <c r="GAQ160" s="72"/>
      <c r="GAR160" s="72"/>
      <c r="GAS160" s="72"/>
      <c r="GAT160" s="72"/>
      <c r="GAU160" s="72"/>
      <c r="GAV160" s="72"/>
      <c r="GAW160" s="72"/>
      <c r="GAX160" s="72"/>
      <c r="GAY160" s="72"/>
      <c r="GAZ160" s="72"/>
      <c r="GBA160" s="72"/>
      <c r="GBB160" s="72"/>
      <c r="GBC160" s="72"/>
      <c r="GBD160" s="72"/>
      <c r="GBE160" s="72"/>
      <c r="GBF160" s="72"/>
      <c r="GBG160" s="72"/>
      <c r="GBH160" s="72"/>
      <c r="GBI160" s="72"/>
      <c r="GBJ160" s="72"/>
      <c r="GBK160" s="72"/>
      <c r="GBL160" s="72"/>
      <c r="GBM160" s="72"/>
      <c r="GBN160" s="72"/>
      <c r="GBO160" s="72"/>
      <c r="GBP160" s="72"/>
      <c r="GBQ160" s="72"/>
      <c r="GBR160" s="72"/>
      <c r="GBS160" s="72"/>
      <c r="GBT160" s="72"/>
      <c r="GBU160" s="72"/>
      <c r="GBV160" s="72"/>
      <c r="GBW160" s="72"/>
      <c r="GBX160" s="72"/>
      <c r="GBY160" s="72"/>
      <c r="GBZ160" s="72"/>
      <c r="GCA160" s="72"/>
      <c r="GCB160" s="72"/>
      <c r="GCC160" s="72"/>
      <c r="GCD160" s="72"/>
      <c r="GCE160" s="72"/>
      <c r="GCF160" s="72"/>
      <c r="GCG160" s="72"/>
      <c r="GCH160" s="72"/>
      <c r="GCI160" s="72"/>
      <c r="GCJ160" s="72"/>
      <c r="GCK160" s="72"/>
      <c r="GCL160" s="72"/>
      <c r="GCM160" s="72"/>
      <c r="GCN160" s="72"/>
      <c r="GCO160" s="72"/>
      <c r="GCP160" s="72"/>
      <c r="GCQ160" s="72"/>
      <c r="GCR160" s="72"/>
      <c r="GCS160" s="72"/>
      <c r="GCT160" s="72"/>
      <c r="GCU160" s="72"/>
      <c r="GCV160" s="72"/>
      <c r="GCW160" s="72"/>
      <c r="GCX160" s="72"/>
      <c r="GCY160" s="72"/>
      <c r="GCZ160" s="72"/>
      <c r="GDA160" s="72"/>
      <c r="GDB160" s="72"/>
      <c r="GDC160" s="72"/>
      <c r="GDD160" s="72"/>
      <c r="GDE160" s="72"/>
      <c r="GDF160" s="72"/>
      <c r="GDG160" s="72"/>
      <c r="GDH160" s="72"/>
      <c r="GDI160" s="72"/>
      <c r="GDJ160" s="72"/>
      <c r="GDK160" s="72"/>
      <c r="GDL160" s="72"/>
      <c r="GDM160" s="72"/>
      <c r="GDN160" s="72"/>
      <c r="GDO160" s="72"/>
      <c r="GDP160" s="72"/>
      <c r="GDQ160" s="72"/>
      <c r="GDR160" s="72"/>
      <c r="GDS160" s="72"/>
      <c r="GDT160" s="72"/>
      <c r="GDU160" s="72"/>
      <c r="GDV160" s="72"/>
      <c r="GDW160" s="72"/>
      <c r="GDX160" s="72"/>
      <c r="GDY160" s="72"/>
      <c r="GDZ160" s="72"/>
      <c r="GEA160" s="72"/>
      <c r="GEB160" s="72"/>
      <c r="GEC160" s="72"/>
      <c r="GED160" s="72"/>
      <c r="GEE160" s="72"/>
      <c r="GEF160" s="72"/>
      <c r="GEG160" s="72"/>
      <c r="GEH160" s="72"/>
      <c r="GEI160" s="72"/>
      <c r="GEJ160" s="72"/>
      <c r="GEK160" s="72"/>
      <c r="GEL160" s="72"/>
      <c r="GEM160" s="72"/>
      <c r="GEN160" s="72"/>
      <c r="GEO160" s="72"/>
      <c r="GEP160" s="72"/>
      <c r="GEQ160" s="72"/>
      <c r="GER160" s="72"/>
      <c r="GES160" s="72"/>
      <c r="GET160" s="72"/>
      <c r="GEU160" s="72"/>
      <c r="GEV160" s="72"/>
      <c r="GEW160" s="72"/>
      <c r="GEX160" s="72"/>
      <c r="GEY160" s="72"/>
      <c r="GEZ160" s="72"/>
      <c r="GFA160" s="72"/>
      <c r="GFB160" s="72"/>
      <c r="GFC160" s="72"/>
      <c r="GFD160" s="72"/>
      <c r="GFE160" s="72"/>
      <c r="GFF160" s="72"/>
      <c r="GFG160" s="72"/>
      <c r="GFH160" s="72"/>
      <c r="GFI160" s="72"/>
      <c r="GFJ160" s="72"/>
      <c r="GFK160" s="72"/>
      <c r="GFL160" s="72"/>
      <c r="GFM160" s="72"/>
      <c r="GFN160" s="72"/>
      <c r="GFO160" s="72"/>
      <c r="GFP160" s="72"/>
      <c r="GFQ160" s="72"/>
      <c r="GFR160" s="72"/>
      <c r="GFS160" s="72"/>
      <c r="GFT160" s="72"/>
      <c r="GFU160" s="72"/>
      <c r="GFV160" s="72"/>
      <c r="GFW160" s="72"/>
      <c r="GFX160" s="72"/>
      <c r="GFY160" s="72"/>
      <c r="GFZ160" s="72"/>
      <c r="GGA160" s="72"/>
      <c r="GGB160" s="72"/>
      <c r="GGC160" s="72"/>
      <c r="GGD160" s="72"/>
      <c r="GGE160" s="72"/>
      <c r="GGF160" s="72"/>
      <c r="GGG160" s="72"/>
      <c r="GGH160" s="72"/>
      <c r="GGI160" s="72"/>
      <c r="GGJ160" s="72"/>
      <c r="GGK160" s="72"/>
      <c r="GGL160" s="72"/>
      <c r="GGM160" s="72"/>
      <c r="GGN160" s="72"/>
      <c r="GGO160" s="72"/>
      <c r="GGP160" s="72"/>
      <c r="GGQ160" s="72"/>
      <c r="GGR160" s="72"/>
      <c r="GGS160" s="72"/>
      <c r="GGT160" s="72"/>
      <c r="GGU160" s="72"/>
      <c r="GGV160" s="72"/>
      <c r="GGW160" s="72"/>
      <c r="GGX160" s="72"/>
      <c r="GGY160" s="72"/>
      <c r="GGZ160" s="72"/>
      <c r="GHA160" s="72"/>
      <c r="GHB160" s="72"/>
      <c r="GHC160" s="72"/>
      <c r="GHD160" s="72"/>
      <c r="GHE160" s="72"/>
      <c r="GHF160" s="72"/>
      <c r="GHG160" s="72"/>
      <c r="GHH160" s="72"/>
      <c r="GHI160" s="72"/>
      <c r="GHJ160" s="72"/>
      <c r="GHK160" s="72"/>
      <c r="GHL160" s="72"/>
      <c r="GHM160" s="72"/>
      <c r="GHN160" s="72"/>
      <c r="GHO160" s="72"/>
      <c r="GHP160" s="72"/>
      <c r="GHQ160" s="72"/>
      <c r="GHR160" s="72"/>
      <c r="GHS160" s="72"/>
      <c r="GHT160" s="72"/>
      <c r="GHU160" s="72"/>
      <c r="GHV160" s="72"/>
      <c r="GHW160" s="72"/>
      <c r="GHX160" s="72"/>
      <c r="GHY160" s="72"/>
      <c r="GHZ160" s="72"/>
      <c r="GIA160" s="72"/>
      <c r="GIB160" s="72"/>
      <c r="GIC160" s="72"/>
      <c r="GID160" s="72"/>
      <c r="GIE160" s="72"/>
      <c r="GIF160" s="72"/>
      <c r="GIG160" s="72"/>
      <c r="GIH160" s="72"/>
      <c r="GII160" s="72"/>
      <c r="GIJ160" s="72"/>
      <c r="GIK160" s="72"/>
      <c r="GIL160" s="72"/>
      <c r="GIM160" s="72"/>
      <c r="GIN160" s="72"/>
      <c r="GIO160" s="72"/>
      <c r="GIP160" s="72"/>
      <c r="GIQ160" s="72"/>
      <c r="GIR160" s="72"/>
      <c r="GIS160" s="72"/>
      <c r="GIT160" s="72"/>
      <c r="GIU160" s="72"/>
      <c r="GIV160" s="72"/>
      <c r="GIW160" s="72"/>
      <c r="GIX160" s="72"/>
      <c r="GIY160" s="72"/>
      <c r="GIZ160" s="72"/>
      <c r="GJA160" s="72"/>
      <c r="GJB160" s="72"/>
      <c r="GJC160" s="72"/>
      <c r="GJD160" s="72"/>
      <c r="GJE160" s="72"/>
      <c r="GJF160" s="72"/>
      <c r="GJG160" s="72"/>
      <c r="GJH160" s="72"/>
      <c r="GJI160" s="72"/>
      <c r="GJJ160" s="72"/>
      <c r="GJK160" s="72"/>
      <c r="GJL160" s="72"/>
      <c r="GJM160" s="72"/>
      <c r="GJN160" s="72"/>
      <c r="GJO160" s="72"/>
      <c r="GJP160" s="72"/>
      <c r="GJQ160" s="72"/>
      <c r="GJR160" s="72"/>
      <c r="GJS160" s="72"/>
      <c r="GJT160" s="72"/>
      <c r="GJU160" s="72"/>
      <c r="GJV160" s="72"/>
      <c r="GJW160" s="72"/>
      <c r="GJX160" s="72"/>
      <c r="GJY160" s="72"/>
      <c r="GJZ160" s="72"/>
      <c r="GKA160" s="72"/>
      <c r="GKB160" s="72"/>
      <c r="GKC160" s="72"/>
      <c r="GKD160" s="72"/>
      <c r="GKE160" s="72"/>
      <c r="GKF160" s="72"/>
      <c r="GKG160" s="72"/>
      <c r="GKH160" s="72"/>
      <c r="GKI160" s="72"/>
      <c r="GKJ160" s="72"/>
      <c r="GKK160" s="72"/>
      <c r="GKL160" s="72"/>
      <c r="GKM160" s="72"/>
      <c r="GKN160" s="72"/>
      <c r="GKO160" s="72"/>
      <c r="GKP160" s="72"/>
      <c r="GKQ160" s="72"/>
      <c r="GKR160" s="72"/>
      <c r="GKS160" s="72"/>
      <c r="GKT160" s="72"/>
      <c r="GKU160" s="72"/>
      <c r="GKV160" s="72"/>
      <c r="GKW160" s="72"/>
      <c r="GKX160" s="72"/>
      <c r="GKY160" s="72"/>
      <c r="GKZ160" s="72"/>
      <c r="GLA160" s="72"/>
      <c r="GLB160" s="72"/>
      <c r="GLC160" s="72"/>
      <c r="GLD160" s="72"/>
      <c r="GLE160" s="72"/>
      <c r="GLF160" s="72"/>
      <c r="GLG160" s="72"/>
      <c r="GLH160" s="72"/>
      <c r="GLI160" s="72"/>
      <c r="GLJ160" s="72"/>
      <c r="GLK160" s="72"/>
      <c r="GLL160" s="72"/>
      <c r="GLM160" s="72"/>
      <c r="GLN160" s="72"/>
      <c r="GLO160" s="72"/>
      <c r="GLP160" s="72"/>
      <c r="GLQ160" s="72"/>
      <c r="GLR160" s="72"/>
      <c r="GLS160" s="72"/>
      <c r="GLT160" s="72"/>
      <c r="GLU160" s="72"/>
      <c r="GLV160" s="72"/>
      <c r="GLW160" s="72"/>
      <c r="GLX160" s="72"/>
      <c r="GLY160" s="72"/>
      <c r="GLZ160" s="72"/>
      <c r="GMA160" s="72"/>
      <c r="GMB160" s="72"/>
      <c r="GMC160" s="72"/>
      <c r="GMD160" s="72"/>
      <c r="GME160" s="72"/>
      <c r="GMF160" s="72"/>
      <c r="GMG160" s="72"/>
      <c r="GMH160" s="72"/>
      <c r="GMI160" s="72"/>
      <c r="GMJ160" s="72"/>
      <c r="GMK160" s="72"/>
      <c r="GML160" s="72"/>
      <c r="GMM160" s="72"/>
      <c r="GMN160" s="72"/>
      <c r="GMO160" s="72"/>
      <c r="GMP160" s="72"/>
      <c r="GMQ160" s="72"/>
      <c r="GMR160" s="72"/>
      <c r="GMS160" s="72"/>
      <c r="GMT160" s="72"/>
      <c r="GMU160" s="72"/>
      <c r="GMV160" s="72"/>
      <c r="GMW160" s="72"/>
      <c r="GMX160" s="72"/>
      <c r="GMY160" s="72"/>
      <c r="GMZ160" s="72"/>
      <c r="GNA160" s="72"/>
      <c r="GNB160" s="72"/>
      <c r="GNC160" s="72"/>
      <c r="GND160" s="72"/>
      <c r="GNE160" s="72"/>
      <c r="GNF160" s="72"/>
      <c r="GNG160" s="72"/>
      <c r="GNH160" s="72"/>
      <c r="GNI160" s="72"/>
      <c r="GNJ160" s="72"/>
      <c r="GNK160" s="72"/>
      <c r="GNL160" s="72"/>
      <c r="GNM160" s="72"/>
      <c r="GNN160" s="72"/>
      <c r="GNO160" s="72"/>
      <c r="GNP160" s="72"/>
      <c r="GNQ160" s="72"/>
      <c r="GNR160" s="72"/>
      <c r="GNS160" s="72"/>
      <c r="GNT160" s="72"/>
      <c r="GNU160" s="72"/>
      <c r="GNV160" s="72"/>
      <c r="GNW160" s="72"/>
      <c r="GNX160" s="72"/>
      <c r="GNY160" s="72"/>
      <c r="GNZ160" s="72"/>
      <c r="GOA160" s="72"/>
      <c r="GOB160" s="72"/>
      <c r="GOC160" s="72"/>
      <c r="GOD160" s="72"/>
      <c r="GOE160" s="72"/>
      <c r="GOF160" s="72"/>
      <c r="GOG160" s="72"/>
      <c r="GOH160" s="72"/>
      <c r="GOI160" s="72"/>
      <c r="GOJ160" s="72"/>
      <c r="GOK160" s="72"/>
      <c r="GOL160" s="72"/>
      <c r="GOM160" s="72"/>
      <c r="GON160" s="72"/>
      <c r="GOO160" s="72"/>
      <c r="GOP160" s="72"/>
      <c r="GOQ160" s="72"/>
      <c r="GOR160" s="72"/>
      <c r="GOS160" s="72"/>
      <c r="GOT160" s="72"/>
      <c r="GOU160" s="72"/>
      <c r="GOV160" s="72"/>
      <c r="GOW160" s="72"/>
      <c r="GOX160" s="72"/>
      <c r="GOY160" s="72"/>
      <c r="GOZ160" s="72"/>
      <c r="GPA160" s="72"/>
      <c r="GPB160" s="72"/>
      <c r="GPC160" s="72"/>
      <c r="GPD160" s="72"/>
      <c r="GPE160" s="72"/>
      <c r="GPF160" s="72"/>
      <c r="GPG160" s="72"/>
      <c r="GPH160" s="72"/>
      <c r="GPI160" s="72"/>
      <c r="GPJ160" s="72"/>
      <c r="GPK160" s="72"/>
      <c r="GPL160" s="72"/>
      <c r="GPM160" s="72"/>
      <c r="GPN160" s="72"/>
      <c r="GPO160" s="72"/>
      <c r="GPP160" s="72"/>
      <c r="GPQ160" s="72"/>
      <c r="GPR160" s="72"/>
      <c r="GPS160" s="72"/>
      <c r="GPT160" s="72"/>
      <c r="GPU160" s="72"/>
      <c r="GPV160" s="72"/>
      <c r="GPW160" s="72"/>
      <c r="GPX160" s="72"/>
      <c r="GPY160" s="72"/>
      <c r="GPZ160" s="72"/>
      <c r="GQA160" s="72"/>
      <c r="GQB160" s="72"/>
      <c r="GQC160" s="72"/>
      <c r="GQD160" s="72"/>
      <c r="GQE160" s="72"/>
      <c r="GQF160" s="72"/>
      <c r="GQG160" s="72"/>
      <c r="GQH160" s="72"/>
      <c r="GQI160" s="72"/>
      <c r="GQJ160" s="72"/>
      <c r="GQK160" s="72"/>
      <c r="GQL160" s="72"/>
      <c r="GQM160" s="72"/>
      <c r="GQN160" s="72"/>
      <c r="GQO160" s="72"/>
      <c r="GQP160" s="72"/>
      <c r="GQQ160" s="72"/>
      <c r="GQR160" s="72"/>
      <c r="GQS160" s="72"/>
      <c r="GQT160" s="72"/>
      <c r="GQU160" s="72"/>
      <c r="GQV160" s="72"/>
      <c r="GQW160" s="72"/>
      <c r="GQX160" s="72"/>
      <c r="GQY160" s="72"/>
      <c r="GQZ160" s="72"/>
      <c r="GRA160" s="72"/>
      <c r="GRB160" s="72"/>
      <c r="GRC160" s="72"/>
      <c r="GRD160" s="72"/>
      <c r="GRE160" s="72"/>
      <c r="GRF160" s="72"/>
      <c r="GRG160" s="72"/>
      <c r="GRH160" s="72"/>
      <c r="GRI160" s="72"/>
      <c r="GRJ160" s="72"/>
      <c r="GRK160" s="72"/>
      <c r="GRL160" s="72"/>
      <c r="GRM160" s="72"/>
      <c r="GRN160" s="72"/>
      <c r="GRO160" s="72"/>
      <c r="GRP160" s="72"/>
      <c r="GRQ160" s="72"/>
      <c r="GRR160" s="72"/>
      <c r="GRS160" s="72"/>
      <c r="GRT160" s="72"/>
      <c r="GRU160" s="72"/>
      <c r="GRV160" s="72"/>
      <c r="GRW160" s="72"/>
      <c r="GRX160" s="72"/>
      <c r="GRY160" s="72"/>
      <c r="GRZ160" s="72"/>
      <c r="GSA160" s="72"/>
      <c r="GSB160" s="72"/>
      <c r="GSC160" s="72"/>
      <c r="GSD160" s="72"/>
      <c r="GSE160" s="72"/>
      <c r="GSF160" s="72"/>
      <c r="GSG160" s="72"/>
      <c r="GSH160" s="72"/>
      <c r="GSI160" s="72"/>
      <c r="GSJ160" s="72"/>
      <c r="GSK160" s="72"/>
      <c r="GSL160" s="72"/>
      <c r="GSM160" s="72"/>
      <c r="GSN160" s="72"/>
      <c r="GSO160" s="72"/>
      <c r="GSP160" s="72"/>
      <c r="GSQ160" s="72"/>
      <c r="GSR160" s="72"/>
      <c r="GSS160" s="72"/>
      <c r="GST160" s="72"/>
      <c r="GSU160" s="72"/>
      <c r="GSV160" s="72"/>
      <c r="GSW160" s="72"/>
      <c r="GSX160" s="72"/>
      <c r="GSY160" s="72"/>
      <c r="GSZ160" s="72"/>
      <c r="GTA160" s="72"/>
      <c r="GTB160" s="72"/>
      <c r="GTC160" s="72"/>
      <c r="GTD160" s="72"/>
      <c r="GTE160" s="72"/>
      <c r="GTF160" s="72"/>
      <c r="GTG160" s="72"/>
      <c r="GTH160" s="72"/>
      <c r="GTI160" s="72"/>
      <c r="GTJ160" s="72"/>
      <c r="GTK160" s="72"/>
      <c r="GTL160" s="72"/>
      <c r="GTM160" s="72"/>
      <c r="GTN160" s="72"/>
      <c r="GTO160" s="72"/>
      <c r="GTP160" s="72"/>
      <c r="GTQ160" s="72"/>
      <c r="GTR160" s="72"/>
      <c r="GTS160" s="72"/>
      <c r="GTT160" s="72"/>
      <c r="GTU160" s="72"/>
      <c r="GTV160" s="72"/>
      <c r="GTW160" s="72"/>
      <c r="GTX160" s="72"/>
      <c r="GTY160" s="72"/>
      <c r="GTZ160" s="72"/>
      <c r="GUA160" s="72"/>
      <c r="GUB160" s="72"/>
      <c r="GUC160" s="72"/>
      <c r="GUD160" s="72"/>
      <c r="GUE160" s="72"/>
      <c r="GUF160" s="72"/>
      <c r="GUG160" s="72"/>
      <c r="GUH160" s="72"/>
      <c r="GUI160" s="72"/>
      <c r="GUJ160" s="72"/>
      <c r="GUK160" s="72"/>
      <c r="GUL160" s="72"/>
      <c r="GUM160" s="72"/>
      <c r="GUN160" s="72"/>
      <c r="GUO160" s="72"/>
      <c r="GUP160" s="72"/>
      <c r="GUQ160" s="72"/>
      <c r="GUR160" s="72"/>
      <c r="GUS160" s="72"/>
      <c r="GUT160" s="72"/>
      <c r="GUU160" s="72"/>
      <c r="GUV160" s="72"/>
      <c r="GUW160" s="72"/>
      <c r="GUX160" s="72"/>
      <c r="GUY160" s="72"/>
      <c r="GUZ160" s="72"/>
      <c r="GVA160" s="72"/>
      <c r="GVB160" s="72"/>
      <c r="GVC160" s="72"/>
      <c r="GVD160" s="72"/>
      <c r="GVE160" s="72"/>
      <c r="GVF160" s="72"/>
      <c r="GVG160" s="72"/>
      <c r="GVH160" s="72"/>
      <c r="GVI160" s="72"/>
      <c r="GVJ160" s="72"/>
      <c r="GVK160" s="72"/>
      <c r="GVL160" s="72"/>
      <c r="GVM160" s="72"/>
      <c r="GVN160" s="72"/>
      <c r="GVO160" s="72"/>
      <c r="GVP160" s="72"/>
      <c r="GVQ160" s="72"/>
      <c r="GVR160" s="72"/>
      <c r="GVS160" s="72"/>
      <c r="GVT160" s="72"/>
      <c r="GVU160" s="72"/>
      <c r="GVV160" s="72"/>
      <c r="GVW160" s="72"/>
      <c r="GVX160" s="72"/>
      <c r="GVY160" s="72"/>
      <c r="GVZ160" s="72"/>
      <c r="GWA160" s="72"/>
      <c r="GWB160" s="72"/>
      <c r="GWC160" s="72"/>
      <c r="GWD160" s="72"/>
      <c r="GWE160" s="72"/>
      <c r="GWF160" s="72"/>
      <c r="GWG160" s="72"/>
      <c r="GWH160" s="72"/>
      <c r="GWI160" s="72"/>
      <c r="GWJ160" s="72"/>
      <c r="GWK160" s="72"/>
      <c r="GWL160" s="72"/>
      <c r="GWM160" s="72"/>
      <c r="GWN160" s="72"/>
      <c r="GWO160" s="72"/>
      <c r="GWP160" s="72"/>
      <c r="GWQ160" s="72"/>
      <c r="GWR160" s="72"/>
      <c r="GWS160" s="72"/>
      <c r="GWT160" s="72"/>
      <c r="GWU160" s="72"/>
      <c r="GWV160" s="72"/>
      <c r="GWW160" s="72"/>
      <c r="GWX160" s="72"/>
      <c r="GWY160" s="72"/>
      <c r="GWZ160" s="72"/>
      <c r="GXA160" s="72"/>
      <c r="GXB160" s="72"/>
      <c r="GXC160" s="72"/>
      <c r="GXD160" s="72"/>
      <c r="GXE160" s="72"/>
      <c r="GXF160" s="72"/>
      <c r="GXG160" s="72"/>
      <c r="GXH160" s="72"/>
      <c r="GXI160" s="72"/>
      <c r="GXJ160" s="72"/>
      <c r="GXK160" s="72"/>
      <c r="GXL160" s="72"/>
      <c r="GXM160" s="72"/>
      <c r="GXN160" s="72"/>
      <c r="GXO160" s="72"/>
      <c r="GXP160" s="72"/>
      <c r="GXQ160" s="72"/>
      <c r="GXR160" s="72"/>
      <c r="GXS160" s="72"/>
      <c r="GXT160" s="72"/>
      <c r="GXU160" s="72"/>
      <c r="GXV160" s="72"/>
      <c r="GXW160" s="72"/>
      <c r="GXX160" s="72"/>
      <c r="GXY160" s="72"/>
      <c r="GXZ160" s="72"/>
      <c r="GYA160" s="72"/>
      <c r="GYB160" s="72"/>
      <c r="GYC160" s="72"/>
      <c r="GYD160" s="72"/>
      <c r="GYE160" s="72"/>
      <c r="GYF160" s="72"/>
      <c r="GYG160" s="72"/>
      <c r="GYH160" s="72"/>
      <c r="GYI160" s="72"/>
      <c r="GYJ160" s="72"/>
      <c r="GYK160" s="72"/>
      <c r="GYL160" s="72"/>
      <c r="GYM160" s="72"/>
      <c r="GYN160" s="72"/>
      <c r="GYO160" s="72"/>
      <c r="GYP160" s="72"/>
      <c r="GYQ160" s="72"/>
      <c r="GYR160" s="72"/>
      <c r="GYS160" s="72"/>
      <c r="GYT160" s="72"/>
      <c r="GYU160" s="72"/>
      <c r="GYV160" s="72"/>
      <c r="GYW160" s="72"/>
      <c r="GYX160" s="72"/>
      <c r="GYY160" s="72"/>
      <c r="GYZ160" s="72"/>
      <c r="GZA160" s="72"/>
      <c r="GZB160" s="72"/>
      <c r="GZC160" s="72"/>
      <c r="GZD160" s="72"/>
      <c r="GZE160" s="72"/>
      <c r="GZF160" s="72"/>
      <c r="GZG160" s="72"/>
      <c r="GZH160" s="72"/>
      <c r="GZI160" s="72"/>
      <c r="GZJ160" s="72"/>
      <c r="GZK160" s="72"/>
      <c r="GZL160" s="72"/>
      <c r="GZM160" s="72"/>
      <c r="GZN160" s="72"/>
      <c r="GZO160" s="72"/>
      <c r="GZP160" s="72"/>
      <c r="GZQ160" s="72"/>
      <c r="GZR160" s="72"/>
      <c r="GZS160" s="72"/>
      <c r="GZT160" s="72"/>
      <c r="GZU160" s="72"/>
      <c r="GZV160" s="72"/>
      <c r="GZW160" s="72"/>
      <c r="GZX160" s="72"/>
      <c r="GZY160" s="72"/>
      <c r="GZZ160" s="72"/>
      <c r="HAA160" s="72"/>
      <c r="HAB160" s="72"/>
      <c r="HAC160" s="72"/>
      <c r="HAD160" s="72"/>
      <c r="HAE160" s="72"/>
      <c r="HAF160" s="72"/>
      <c r="HAG160" s="72"/>
      <c r="HAH160" s="72"/>
      <c r="HAI160" s="72"/>
      <c r="HAJ160" s="72"/>
      <c r="HAK160" s="72"/>
      <c r="HAL160" s="72"/>
      <c r="HAM160" s="72"/>
      <c r="HAN160" s="72"/>
      <c r="HAO160" s="72"/>
      <c r="HAP160" s="72"/>
      <c r="HAQ160" s="72"/>
      <c r="HAR160" s="72"/>
      <c r="HAS160" s="72"/>
      <c r="HAT160" s="72"/>
      <c r="HAU160" s="72"/>
      <c r="HAV160" s="72"/>
      <c r="HAW160" s="72"/>
      <c r="HAX160" s="72"/>
      <c r="HAY160" s="72"/>
      <c r="HAZ160" s="72"/>
      <c r="HBA160" s="72"/>
      <c r="HBB160" s="72"/>
      <c r="HBC160" s="72"/>
      <c r="HBD160" s="72"/>
      <c r="HBE160" s="72"/>
      <c r="HBF160" s="72"/>
      <c r="HBG160" s="72"/>
      <c r="HBH160" s="72"/>
      <c r="HBI160" s="72"/>
      <c r="HBJ160" s="72"/>
      <c r="HBK160" s="72"/>
      <c r="HBL160" s="72"/>
      <c r="HBM160" s="72"/>
      <c r="HBN160" s="72"/>
      <c r="HBO160" s="72"/>
      <c r="HBP160" s="72"/>
      <c r="HBQ160" s="72"/>
      <c r="HBR160" s="72"/>
      <c r="HBS160" s="72"/>
      <c r="HBT160" s="72"/>
      <c r="HBU160" s="72"/>
      <c r="HBV160" s="72"/>
      <c r="HBW160" s="72"/>
      <c r="HBX160" s="72"/>
      <c r="HBY160" s="72"/>
      <c r="HBZ160" s="72"/>
      <c r="HCA160" s="72"/>
      <c r="HCB160" s="72"/>
      <c r="HCC160" s="72"/>
      <c r="HCD160" s="72"/>
      <c r="HCE160" s="72"/>
      <c r="HCF160" s="72"/>
      <c r="HCG160" s="72"/>
      <c r="HCH160" s="72"/>
      <c r="HCI160" s="72"/>
      <c r="HCJ160" s="72"/>
      <c r="HCK160" s="72"/>
      <c r="HCL160" s="72"/>
      <c r="HCM160" s="72"/>
      <c r="HCN160" s="72"/>
      <c r="HCO160" s="72"/>
      <c r="HCP160" s="72"/>
      <c r="HCQ160" s="72"/>
      <c r="HCR160" s="72"/>
      <c r="HCS160" s="72"/>
      <c r="HCT160" s="72"/>
      <c r="HCU160" s="72"/>
      <c r="HCV160" s="72"/>
      <c r="HCW160" s="72"/>
      <c r="HCX160" s="72"/>
      <c r="HCY160" s="72"/>
      <c r="HCZ160" s="72"/>
      <c r="HDA160" s="72"/>
      <c r="HDB160" s="72"/>
      <c r="HDC160" s="72"/>
      <c r="HDD160" s="72"/>
      <c r="HDE160" s="72"/>
      <c r="HDF160" s="72"/>
      <c r="HDG160" s="72"/>
      <c r="HDH160" s="72"/>
      <c r="HDI160" s="72"/>
      <c r="HDJ160" s="72"/>
      <c r="HDK160" s="72"/>
      <c r="HDL160" s="72"/>
      <c r="HDM160" s="72"/>
      <c r="HDN160" s="72"/>
      <c r="HDO160" s="72"/>
      <c r="HDP160" s="72"/>
      <c r="HDQ160" s="72"/>
      <c r="HDR160" s="72"/>
      <c r="HDS160" s="72"/>
      <c r="HDT160" s="72"/>
      <c r="HDU160" s="72"/>
      <c r="HDV160" s="72"/>
      <c r="HDW160" s="72"/>
      <c r="HDX160" s="72"/>
      <c r="HDY160" s="72"/>
      <c r="HDZ160" s="72"/>
      <c r="HEA160" s="72"/>
      <c r="HEB160" s="72"/>
      <c r="HEC160" s="72"/>
      <c r="HED160" s="72"/>
      <c r="HEE160" s="72"/>
      <c r="HEF160" s="72"/>
      <c r="HEG160" s="72"/>
      <c r="HEH160" s="72"/>
      <c r="HEI160" s="72"/>
      <c r="HEJ160" s="72"/>
      <c r="HEK160" s="72"/>
      <c r="HEL160" s="72"/>
      <c r="HEM160" s="72"/>
      <c r="HEN160" s="72"/>
      <c r="HEO160" s="72"/>
      <c r="HEP160" s="72"/>
      <c r="HEQ160" s="72"/>
      <c r="HER160" s="72"/>
      <c r="HES160" s="72"/>
      <c r="HET160" s="72"/>
      <c r="HEU160" s="72"/>
      <c r="HEV160" s="72"/>
      <c r="HEW160" s="72"/>
      <c r="HEX160" s="72"/>
      <c r="HEY160" s="72"/>
      <c r="HEZ160" s="72"/>
      <c r="HFA160" s="72"/>
      <c r="HFB160" s="72"/>
      <c r="HFC160" s="72"/>
      <c r="HFD160" s="72"/>
      <c r="HFE160" s="72"/>
      <c r="HFF160" s="72"/>
      <c r="HFG160" s="72"/>
      <c r="HFH160" s="72"/>
      <c r="HFI160" s="72"/>
      <c r="HFJ160" s="72"/>
      <c r="HFK160" s="72"/>
      <c r="HFL160" s="72"/>
      <c r="HFM160" s="72"/>
      <c r="HFN160" s="72"/>
      <c r="HFO160" s="72"/>
      <c r="HFP160" s="72"/>
      <c r="HFQ160" s="72"/>
      <c r="HFR160" s="72"/>
      <c r="HFS160" s="72"/>
      <c r="HFT160" s="72"/>
      <c r="HFU160" s="72"/>
      <c r="HFV160" s="72"/>
      <c r="HFW160" s="72"/>
      <c r="HFX160" s="72"/>
      <c r="HFY160" s="72"/>
      <c r="HFZ160" s="72"/>
      <c r="HGA160" s="72"/>
      <c r="HGB160" s="72"/>
      <c r="HGC160" s="72"/>
      <c r="HGD160" s="72"/>
      <c r="HGE160" s="72"/>
      <c r="HGF160" s="72"/>
      <c r="HGG160" s="72"/>
      <c r="HGH160" s="72"/>
      <c r="HGI160" s="72"/>
      <c r="HGJ160" s="72"/>
      <c r="HGK160" s="72"/>
      <c r="HGL160" s="72"/>
      <c r="HGM160" s="72"/>
      <c r="HGN160" s="72"/>
      <c r="HGO160" s="72"/>
      <c r="HGP160" s="72"/>
      <c r="HGQ160" s="72"/>
      <c r="HGR160" s="72"/>
      <c r="HGS160" s="72"/>
      <c r="HGT160" s="72"/>
      <c r="HGU160" s="72"/>
      <c r="HGV160" s="72"/>
      <c r="HGW160" s="72"/>
      <c r="HGX160" s="72"/>
      <c r="HGY160" s="72"/>
      <c r="HGZ160" s="72"/>
      <c r="HHA160" s="72"/>
      <c r="HHB160" s="72"/>
      <c r="HHC160" s="72"/>
      <c r="HHD160" s="72"/>
      <c r="HHE160" s="72"/>
      <c r="HHF160" s="72"/>
      <c r="HHG160" s="72"/>
      <c r="HHH160" s="72"/>
      <c r="HHI160" s="72"/>
      <c r="HHJ160" s="72"/>
      <c r="HHK160" s="72"/>
      <c r="HHL160" s="72"/>
      <c r="HHM160" s="72"/>
      <c r="HHN160" s="72"/>
      <c r="HHO160" s="72"/>
      <c r="HHP160" s="72"/>
      <c r="HHQ160" s="72"/>
      <c r="HHR160" s="72"/>
      <c r="HHS160" s="72"/>
      <c r="HHT160" s="72"/>
      <c r="HHU160" s="72"/>
      <c r="HHV160" s="72"/>
      <c r="HHW160" s="72"/>
      <c r="HHX160" s="72"/>
      <c r="HHY160" s="72"/>
      <c r="HHZ160" s="72"/>
      <c r="HIA160" s="72"/>
      <c r="HIB160" s="72"/>
      <c r="HIC160" s="72"/>
      <c r="HID160" s="72"/>
      <c r="HIE160" s="72"/>
      <c r="HIF160" s="72"/>
      <c r="HIG160" s="72"/>
      <c r="HIH160" s="72"/>
      <c r="HII160" s="72"/>
      <c r="HIJ160" s="72"/>
      <c r="HIK160" s="72"/>
      <c r="HIL160" s="72"/>
      <c r="HIM160" s="72"/>
      <c r="HIN160" s="72"/>
      <c r="HIO160" s="72"/>
      <c r="HIP160" s="72"/>
      <c r="HIQ160" s="72"/>
      <c r="HIR160" s="72"/>
      <c r="HIS160" s="72"/>
      <c r="HIT160" s="72"/>
      <c r="HIU160" s="72"/>
      <c r="HIV160" s="72"/>
      <c r="HIW160" s="72"/>
      <c r="HIX160" s="72"/>
      <c r="HIY160" s="72"/>
      <c r="HIZ160" s="72"/>
      <c r="HJA160" s="72"/>
      <c r="HJB160" s="72"/>
      <c r="HJC160" s="72"/>
      <c r="HJD160" s="72"/>
      <c r="HJE160" s="72"/>
      <c r="HJF160" s="72"/>
      <c r="HJG160" s="72"/>
      <c r="HJH160" s="72"/>
      <c r="HJI160" s="72"/>
      <c r="HJJ160" s="72"/>
      <c r="HJK160" s="72"/>
      <c r="HJL160" s="72"/>
      <c r="HJM160" s="72"/>
      <c r="HJN160" s="72"/>
      <c r="HJO160" s="72"/>
      <c r="HJP160" s="72"/>
      <c r="HJQ160" s="72"/>
      <c r="HJR160" s="72"/>
      <c r="HJS160" s="72"/>
      <c r="HJT160" s="72"/>
      <c r="HJU160" s="72"/>
      <c r="HJV160" s="72"/>
      <c r="HJW160" s="72"/>
      <c r="HJX160" s="72"/>
      <c r="HJY160" s="72"/>
      <c r="HJZ160" s="72"/>
      <c r="HKA160" s="72"/>
      <c r="HKB160" s="72"/>
      <c r="HKC160" s="72"/>
      <c r="HKD160" s="72"/>
      <c r="HKE160" s="72"/>
      <c r="HKF160" s="72"/>
      <c r="HKG160" s="72"/>
      <c r="HKH160" s="72"/>
      <c r="HKI160" s="72"/>
      <c r="HKJ160" s="72"/>
      <c r="HKK160" s="72"/>
      <c r="HKL160" s="72"/>
      <c r="HKM160" s="72"/>
      <c r="HKN160" s="72"/>
      <c r="HKO160" s="72"/>
      <c r="HKP160" s="72"/>
      <c r="HKQ160" s="72"/>
      <c r="HKR160" s="72"/>
      <c r="HKS160" s="72"/>
      <c r="HKT160" s="72"/>
      <c r="HKU160" s="72"/>
      <c r="HKV160" s="72"/>
      <c r="HKW160" s="72"/>
      <c r="HKX160" s="72"/>
      <c r="HKY160" s="72"/>
      <c r="HKZ160" s="72"/>
      <c r="HLA160" s="72"/>
      <c r="HLB160" s="72"/>
      <c r="HLC160" s="72"/>
      <c r="HLD160" s="72"/>
      <c r="HLE160" s="72"/>
      <c r="HLF160" s="72"/>
      <c r="HLG160" s="72"/>
      <c r="HLH160" s="72"/>
      <c r="HLI160" s="72"/>
      <c r="HLJ160" s="72"/>
      <c r="HLK160" s="72"/>
      <c r="HLL160" s="72"/>
      <c r="HLM160" s="72"/>
      <c r="HLN160" s="72"/>
      <c r="HLO160" s="72"/>
      <c r="HLP160" s="72"/>
      <c r="HLQ160" s="72"/>
      <c r="HLR160" s="72"/>
      <c r="HLS160" s="72"/>
      <c r="HLT160" s="72"/>
      <c r="HLU160" s="72"/>
      <c r="HLV160" s="72"/>
      <c r="HLW160" s="72"/>
      <c r="HLX160" s="72"/>
      <c r="HLY160" s="72"/>
      <c r="HLZ160" s="72"/>
      <c r="HMA160" s="72"/>
      <c r="HMB160" s="72"/>
      <c r="HMC160" s="72"/>
      <c r="HMD160" s="72"/>
      <c r="HME160" s="72"/>
      <c r="HMF160" s="72"/>
      <c r="HMG160" s="72"/>
      <c r="HMH160" s="72"/>
      <c r="HMI160" s="72"/>
      <c r="HMJ160" s="72"/>
      <c r="HMK160" s="72"/>
      <c r="HML160" s="72"/>
      <c r="HMM160" s="72"/>
      <c r="HMN160" s="72"/>
      <c r="HMO160" s="72"/>
      <c r="HMP160" s="72"/>
      <c r="HMQ160" s="72"/>
      <c r="HMR160" s="72"/>
      <c r="HMS160" s="72"/>
      <c r="HMT160" s="72"/>
      <c r="HMU160" s="72"/>
      <c r="HMV160" s="72"/>
      <c r="HMW160" s="72"/>
      <c r="HMX160" s="72"/>
      <c r="HMY160" s="72"/>
      <c r="HMZ160" s="72"/>
      <c r="HNA160" s="72"/>
      <c r="HNB160" s="72"/>
      <c r="HNC160" s="72"/>
      <c r="HND160" s="72"/>
      <c r="HNE160" s="72"/>
      <c r="HNF160" s="72"/>
      <c r="HNG160" s="72"/>
      <c r="HNH160" s="72"/>
      <c r="HNI160" s="72"/>
      <c r="HNJ160" s="72"/>
      <c r="HNK160" s="72"/>
      <c r="HNL160" s="72"/>
      <c r="HNM160" s="72"/>
      <c r="HNN160" s="72"/>
      <c r="HNO160" s="72"/>
      <c r="HNP160" s="72"/>
      <c r="HNQ160" s="72"/>
      <c r="HNR160" s="72"/>
      <c r="HNS160" s="72"/>
      <c r="HNT160" s="72"/>
      <c r="HNU160" s="72"/>
      <c r="HNV160" s="72"/>
      <c r="HNW160" s="72"/>
      <c r="HNX160" s="72"/>
      <c r="HNY160" s="72"/>
      <c r="HNZ160" s="72"/>
      <c r="HOA160" s="72"/>
      <c r="HOB160" s="72"/>
      <c r="HOC160" s="72"/>
      <c r="HOD160" s="72"/>
      <c r="HOE160" s="72"/>
      <c r="HOF160" s="72"/>
      <c r="HOG160" s="72"/>
      <c r="HOH160" s="72"/>
      <c r="HOI160" s="72"/>
      <c r="HOJ160" s="72"/>
      <c r="HOK160" s="72"/>
      <c r="HOL160" s="72"/>
      <c r="HOM160" s="72"/>
      <c r="HON160" s="72"/>
      <c r="HOO160" s="72"/>
      <c r="HOP160" s="72"/>
      <c r="HOQ160" s="72"/>
      <c r="HOR160" s="72"/>
      <c r="HOS160" s="72"/>
      <c r="HOT160" s="72"/>
      <c r="HOU160" s="72"/>
      <c r="HOV160" s="72"/>
      <c r="HOW160" s="72"/>
      <c r="HOX160" s="72"/>
      <c r="HOY160" s="72"/>
      <c r="HOZ160" s="72"/>
      <c r="HPA160" s="72"/>
      <c r="HPB160" s="72"/>
      <c r="HPC160" s="72"/>
      <c r="HPD160" s="72"/>
      <c r="HPE160" s="72"/>
      <c r="HPF160" s="72"/>
      <c r="HPG160" s="72"/>
      <c r="HPH160" s="72"/>
      <c r="HPI160" s="72"/>
      <c r="HPJ160" s="72"/>
      <c r="HPK160" s="72"/>
      <c r="HPL160" s="72"/>
      <c r="HPM160" s="72"/>
      <c r="HPN160" s="72"/>
      <c r="HPO160" s="72"/>
      <c r="HPP160" s="72"/>
      <c r="HPQ160" s="72"/>
      <c r="HPR160" s="72"/>
      <c r="HPS160" s="72"/>
      <c r="HPT160" s="72"/>
      <c r="HPU160" s="72"/>
      <c r="HPV160" s="72"/>
      <c r="HPW160" s="72"/>
      <c r="HPX160" s="72"/>
      <c r="HPY160" s="72"/>
      <c r="HPZ160" s="72"/>
      <c r="HQA160" s="72"/>
      <c r="HQB160" s="72"/>
      <c r="HQC160" s="72"/>
      <c r="HQD160" s="72"/>
      <c r="HQE160" s="72"/>
      <c r="HQF160" s="72"/>
      <c r="HQG160" s="72"/>
      <c r="HQH160" s="72"/>
      <c r="HQI160" s="72"/>
      <c r="HQJ160" s="72"/>
      <c r="HQK160" s="72"/>
      <c r="HQL160" s="72"/>
      <c r="HQM160" s="72"/>
      <c r="HQN160" s="72"/>
      <c r="HQO160" s="72"/>
      <c r="HQP160" s="72"/>
      <c r="HQQ160" s="72"/>
      <c r="HQR160" s="72"/>
      <c r="HQS160" s="72"/>
      <c r="HQT160" s="72"/>
      <c r="HQU160" s="72"/>
      <c r="HQV160" s="72"/>
      <c r="HQW160" s="72"/>
      <c r="HQX160" s="72"/>
      <c r="HQY160" s="72"/>
      <c r="HQZ160" s="72"/>
      <c r="HRA160" s="72"/>
      <c r="HRB160" s="72"/>
      <c r="HRC160" s="72"/>
      <c r="HRD160" s="72"/>
      <c r="HRE160" s="72"/>
      <c r="HRF160" s="72"/>
      <c r="HRG160" s="72"/>
      <c r="HRH160" s="72"/>
      <c r="HRI160" s="72"/>
      <c r="HRJ160" s="72"/>
      <c r="HRK160" s="72"/>
      <c r="HRL160" s="72"/>
      <c r="HRM160" s="72"/>
      <c r="HRN160" s="72"/>
      <c r="HRO160" s="72"/>
      <c r="HRP160" s="72"/>
      <c r="HRQ160" s="72"/>
      <c r="HRR160" s="72"/>
      <c r="HRS160" s="72"/>
      <c r="HRT160" s="72"/>
      <c r="HRU160" s="72"/>
      <c r="HRV160" s="72"/>
      <c r="HRW160" s="72"/>
      <c r="HRX160" s="72"/>
      <c r="HRY160" s="72"/>
      <c r="HRZ160" s="72"/>
      <c r="HSA160" s="72"/>
      <c r="HSB160" s="72"/>
      <c r="HSC160" s="72"/>
      <c r="HSD160" s="72"/>
      <c r="HSE160" s="72"/>
      <c r="HSF160" s="72"/>
      <c r="HSG160" s="72"/>
      <c r="HSH160" s="72"/>
      <c r="HSI160" s="72"/>
      <c r="HSJ160" s="72"/>
      <c r="HSK160" s="72"/>
      <c r="HSL160" s="72"/>
      <c r="HSM160" s="72"/>
      <c r="HSN160" s="72"/>
      <c r="HSO160" s="72"/>
      <c r="HSP160" s="72"/>
      <c r="HSQ160" s="72"/>
      <c r="HSR160" s="72"/>
      <c r="HSS160" s="72"/>
      <c r="HST160" s="72"/>
      <c r="HSU160" s="72"/>
      <c r="HSV160" s="72"/>
      <c r="HSW160" s="72"/>
      <c r="HSX160" s="72"/>
      <c r="HSY160" s="72"/>
      <c r="HSZ160" s="72"/>
      <c r="HTA160" s="72"/>
      <c r="HTB160" s="72"/>
      <c r="HTC160" s="72"/>
      <c r="HTD160" s="72"/>
      <c r="HTE160" s="72"/>
      <c r="HTF160" s="72"/>
      <c r="HTG160" s="72"/>
      <c r="HTH160" s="72"/>
      <c r="HTI160" s="72"/>
      <c r="HTJ160" s="72"/>
      <c r="HTK160" s="72"/>
      <c r="HTL160" s="72"/>
      <c r="HTM160" s="72"/>
      <c r="HTN160" s="72"/>
      <c r="HTO160" s="72"/>
      <c r="HTP160" s="72"/>
      <c r="HTQ160" s="72"/>
      <c r="HTR160" s="72"/>
      <c r="HTS160" s="72"/>
      <c r="HTT160" s="72"/>
      <c r="HTU160" s="72"/>
      <c r="HTV160" s="72"/>
      <c r="HTW160" s="72"/>
      <c r="HTX160" s="72"/>
      <c r="HTY160" s="72"/>
      <c r="HTZ160" s="72"/>
      <c r="HUA160" s="72"/>
      <c r="HUB160" s="72"/>
      <c r="HUC160" s="72"/>
      <c r="HUD160" s="72"/>
      <c r="HUE160" s="72"/>
      <c r="HUF160" s="72"/>
      <c r="HUG160" s="72"/>
      <c r="HUH160" s="72"/>
      <c r="HUI160" s="72"/>
      <c r="HUJ160" s="72"/>
      <c r="HUK160" s="72"/>
      <c r="HUL160" s="72"/>
      <c r="HUM160" s="72"/>
      <c r="HUN160" s="72"/>
      <c r="HUO160" s="72"/>
      <c r="HUP160" s="72"/>
      <c r="HUQ160" s="72"/>
      <c r="HUR160" s="72"/>
      <c r="HUS160" s="72"/>
      <c r="HUT160" s="72"/>
      <c r="HUU160" s="72"/>
      <c r="HUV160" s="72"/>
      <c r="HUW160" s="72"/>
      <c r="HUX160" s="72"/>
      <c r="HUY160" s="72"/>
      <c r="HUZ160" s="72"/>
      <c r="HVA160" s="72"/>
      <c r="HVB160" s="72"/>
      <c r="HVC160" s="72"/>
      <c r="HVD160" s="72"/>
      <c r="HVE160" s="72"/>
      <c r="HVF160" s="72"/>
      <c r="HVG160" s="72"/>
      <c r="HVH160" s="72"/>
      <c r="HVI160" s="72"/>
      <c r="HVJ160" s="72"/>
      <c r="HVK160" s="72"/>
      <c r="HVL160" s="72"/>
      <c r="HVM160" s="72"/>
      <c r="HVN160" s="72"/>
      <c r="HVO160" s="72"/>
      <c r="HVP160" s="72"/>
      <c r="HVQ160" s="72"/>
      <c r="HVR160" s="72"/>
      <c r="HVS160" s="72"/>
      <c r="HVT160" s="72"/>
      <c r="HVU160" s="72"/>
      <c r="HVV160" s="72"/>
      <c r="HVW160" s="72"/>
      <c r="HVX160" s="72"/>
      <c r="HVY160" s="72"/>
      <c r="HVZ160" s="72"/>
      <c r="HWA160" s="72"/>
      <c r="HWB160" s="72"/>
      <c r="HWC160" s="72"/>
      <c r="HWD160" s="72"/>
      <c r="HWE160" s="72"/>
      <c r="HWF160" s="72"/>
      <c r="HWG160" s="72"/>
      <c r="HWH160" s="72"/>
      <c r="HWI160" s="72"/>
      <c r="HWJ160" s="72"/>
      <c r="HWK160" s="72"/>
      <c r="HWL160" s="72"/>
      <c r="HWM160" s="72"/>
      <c r="HWN160" s="72"/>
      <c r="HWO160" s="72"/>
      <c r="HWP160" s="72"/>
      <c r="HWQ160" s="72"/>
      <c r="HWR160" s="72"/>
      <c r="HWS160" s="72"/>
      <c r="HWT160" s="72"/>
      <c r="HWU160" s="72"/>
      <c r="HWV160" s="72"/>
      <c r="HWW160" s="72"/>
      <c r="HWX160" s="72"/>
      <c r="HWY160" s="72"/>
      <c r="HWZ160" s="72"/>
      <c r="HXA160" s="72"/>
      <c r="HXB160" s="72"/>
      <c r="HXC160" s="72"/>
      <c r="HXD160" s="72"/>
      <c r="HXE160" s="72"/>
      <c r="HXF160" s="72"/>
      <c r="HXG160" s="72"/>
      <c r="HXH160" s="72"/>
      <c r="HXI160" s="72"/>
      <c r="HXJ160" s="72"/>
      <c r="HXK160" s="72"/>
      <c r="HXL160" s="72"/>
      <c r="HXM160" s="72"/>
      <c r="HXN160" s="72"/>
      <c r="HXO160" s="72"/>
      <c r="HXP160" s="72"/>
      <c r="HXQ160" s="72"/>
      <c r="HXR160" s="72"/>
      <c r="HXS160" s="72"/>
      <c r="HXT160" s="72"/>
      <c r="HXU160" s="72"/>
      <c r="HXV160" s="72"/>
      <c r="HXW160" s="72"/>
      <c r="HXX160" s="72"/>
      <c r="HXY160" s="72"/>
      <c r="HXZ160" s="72"/>
      <c r="HYA160" s="72"/>
      <c r="HYB160" s="72"/>
      <c r="HYC160" s="72"/>
      <c r="HYD160" s="72"/>
      <c r="HYE160" s="72"/>
      <c r="HYF160" s="72"/>
      <c r="HYG160" s="72"/>
      <c r="HYH160" s="72"/>
      <c r="HYI160" s="72"/>
      <c r="HYJ160" s="72"/>
      <c r="HYK160" s="72"/>
      <c r="HYL160" s="72"/>
      <c r="HYM160" s="72"/>
      <c r="HYN160" s="72"/>
      <c r="HYO160" s="72"/>
      <c r="HYP160" s="72"/>
      <c r="HYQ160" s="72"/>
      <c r="HYR160" s="72"/>
      <c r="HYS160" s="72"/>
      <c r="HYT160" s="72"/>
      <c r="HYU160" s="72"/>
      <c r="HYV160" s="72"/>
      <c r="HYW160" s="72"/>
      <c r="HYX160" s="72"/>
      <c r="HYY160" s="72"/>
      <c r="HYZ160" s="72"/>
      <c r="HZA160" s="72"/>
      <c r="HZB160" s="72"/>
      <c r="HZC160" s="72"/>
      <c r="HZD160" s="72"/>
      <c r="HZE160" s="72"/>
      <c r="HZF160" s="72"/>
      <c r="HZG160" s="72"/>
      <c r="HZH160" s="72"/>
      <c r="HZI160" s="72"/>
      <c r="HZJ160" s="72"/>
      <c r="HZK160" s="72"/>
      <c r="HZL160" s="72"/>
      <c r="HZM160" s="72"/>
      <c r="HZN160" s="72"/>
      <c r="HZO160" s="72"/>
      <c r="HZP160" s="72"/>
      <c r="HZQ160" s="72"/>
      <c r="HZR160" s="72"/>
      <c r="HZS160" s="72"/>
      <c r="HZT160" s="72"/>
      <c r="HZU160" s="72"/>
      <c r="HZV160" s="72"/>
      <c r="HZW160" s="72"/>
      <c r="HZX160" s="72"/>
      <c r="HZY160" s="72"/>
      <c r="HZZ160" s="72"/>
      <c r="IAA160" s="72"/>
      <c r="IAB160" s="72"/>
      <c r="IAC160" s="72"/>
      <c r="IAD160" s="72"/>
      <c r="IAE160" s="72"/>
      <c r="IAF160" s="72"/>
      <c r="IAG160" s="72"/>
      <c r="IAH160" s="72"/>
      <c r="IAI160" s="72"/>
      <c r="IAJ160" s="72"/>
      <c r="IAK160" s="72"/>
      <c r="IAL160" s="72"/>
      <c r="IAM160" s="72"/>
      <c r="IAN160" s="72"/>
      <c r="IAO160" s="72"/>
      <c r="IAP160" s="72"/>
      <c r="IAQ160" s="72"/>
      <c r="IAR160" s="72"/>
      <c r="IAS160" s="72"/>
      <c r="IAT160" s="72"/>
      <c r="IAU160" s="72"/>
      <c r="IAV160" s="72"/>
      <c r="IAW160" s="72"/>
      <c r="IAX160" s="72"/>
      <c r="IAY160" s="72"/>
      <c r="IAZ160" s="72"/>
      <c r="IBA160" s="72"/>
      <c r="IBB160" s="72"/>
      <c r="IBC160" s="72"/>
      <c r="IBD160" s="72"/>
      <c r="IBE160" s="72"/>
      <c r="IBF160" s="72"/>
      <c r="IBG160" s="72"/>
      <c r="IBH160" s="72"/>
      <c r="IBI160" s="72"/>
      <c r="IBJ160" s="72"/>
      <c r="IBK160" s="72"/>
      <c r="IBL160" s="72"/>
      <c r="IBM160" s="72"/>
      <c r="IBN160" s="72"/>
      <c r="IBO160" s="72"/>
      <c r="IBP160" s="72"/>
      <c r="IBQ160" s="72"/>
      <c r="IBR160" s="72"/>
      <c r="IBS160" s="72"/>
      <c r="IBT160" s="72"/>
      <c r="IBU160" s="72"/>
      <c r="IBV160" s="72"/>
      <c r="IBW160" s="72"/>
      <c r="IBX160" s="72"/>
      <c r="IBY160" s="72"/>
      <c r="IBZ160" s="72"/>
      <c r="ICA160" s="72"/>
      <c r="ICB160" s="72"/>
      <c r="ICC160" s="72"/>
      <c r="ICD160" s="72"/>
      <c r="ICE160" s="72"/>
      <c r="ICF160" s="72"/>
      <c r="ICG160" s="72"/>
      <c r="ICH160" s="72"/>
      <c r="ICI160" s="72"/>
      <c r="ICJ160" s="72"/>
      <c r="ICK160" s="72"/>
      <c r="ICL160" s="72"/>
      <c r="ICM160" s="72"/>
      <c r="ICN160" s="72"/>
      <c r="ICO160" s="72"/>
      <c r="ICP160" s="72"/>
      <c r="ICQ160" s="72"/>
      <c r="ICR160" s="72"/>
      <c r="ICS160" s="72"/>
      <c r="ICT160" s="72"/>
      <c r="ICU160" s="72"/>
      <c r="ICV160" s="72"/>
      <c r="ICW160" s="72"/>
      <c r="ICX160" s="72"/>
      <c r="ICY160" s="72"/>
      <c r="ICZ160" s="72"/>
      <c r="IDA160" s="72"/>
      <c r="IDB160" s="72"/>
      <c r="IDC160" s="72"/>
      <c r="IDD160" s="72"/>
      <c r="IDE160" s="72"/>
      <c r="IDF160" s="72"/>
      <c r="IDG160" s="72"/>
      <c r="IDH160" s="72"/>
      <c r="IDI160" s="72"/>
      <c r="IDJ160" s="72"/>
      <c r="IDK160" s="72"/>
      <c r="IDL160" s="72"/>
      <c r="IDM160" s="72"/>
      <c r="IDN160" s="72"/>
      <c r="IDO160" s="72"/>
      <c r="IDP160" s="72"/>
      <c r="IDQ160" s="72"/>
      <c r="IDR160" s="72"/>
      <c r="IDS160" s="72"/>
      <c r="IDT160" s="72"/>
      <c r="IDU160" s="72"/>
      <c r="IDV160" s="72"/>
      <c r="IDW160" s="72"/>
      <c r="IDX160" s="72"/>
      <c r="IDY160" s="72"/>
      <c r="IDZ160" s="72"/>
      <c r="IEA160" s="72"/>
      <c r="IEB160" s="72"/>
      <c r="IEC160" s="72"/>
      <c r="IED160" s="72"/>
      <c r="IEE160" s="72"/>
      <c r="IEF160" s="72"/>
      <c r="IEG160" s="72"/>
      <c r="IEH160" s="72"/>
      <c r="IEI160" s="72"/>
      <c r="IEJ160" s="72"/>
      <c r="IEK160" s="72"/>
      <c r="IEL160" s="72"/>
      <c r="IEM160" s="72"/>
      <c r="IEN160" s="72"/>
      <c r="IEO160" s="72"/>
      <c r="IEP160" s="72"/>
      <c r="IEQ160" s="72"/>
      <c r="IER160" s="72"/>
      <c r="IES160" s="72"/>
      <c r="IET160" s="72"/>
      <c r="IEU160" s="72"/>
      <c r="IEV160" s="72"/>
      <c r="IEW160" s="72"/>
      <c r="IEX160" s="72"/>
      <c r="IEY160" s="72"/>
      <c r="IEZ160" s="72"/>
      <c r="IFA160" s="72"/>
      <c r="IFB160" s="72"/>
      <c r="IFC160" s="72"/>
      <c r="IFD160" s="72"/>
      <c r="IFE160" s="72"/>
      <c r="IFF160" s="72"/>
      <c r="IFG160" s="72"/>
      <c r="IFH160" s="72"/>
      <c r="IFI160" s="72"/>
      <c r="IFJ160" s="72"/>
      <c r="IFK160" s="72"/>
      <c r="IFL160" s="72"/>
      <c r="IFM160" s="72"/>
      <c r="IFN160" s="72"/>
      <c r="IFO160" s="72"/>
      <c r="IFP160" s="72"/>
      <c r="IFQ160" s="72"/>
      <c r="IFR160" s="72"/>
      <c r="IFS160" s="72"/>
      <c r="IFT160" s="72"/>
      <c r="IFU160" s="72"/>
      <c r="IFV160" s="72"/>
      <c r="IFW160" s="72"/>
      <c r="IFX160" s="72"/>
      <c r="IFY160" s="72"/>
      <c r="IFZ160" s="72"/>
      <c r="IGA160" s="72"/>
      <c r="IGB160" s="72"/>
      <c r="IGC160" s="72"/>
      <c r="IGD160" s="72"/>
      <c r="IGE160" s="72"/>
      <c r="IGF160" s="72"/>
      <c r="IGG160" s="72"/>
      <c r="IGH160" s="72"/>
      <c r="IGI160" s="72"/>
      <c r="IGJ160" s="72"/>
      <c r="IGK160" s="72"/>
      <c r="IGL160" s="72"/>
      <c r="IGM160" s="72"/>
      <c r="IGN160" s="72"/>
      <c r="IGO160" s="72"/>
      <c r="IGP160" s="72"/>
      <c r="IGQ160" s="72"/>
      <c r="IGR160" s="72"/>
      <c r="IGS160" s="72"/>
      <c r="IGT160" s="72"/>
      <c r="IGU160" s="72"/>
      <c r="IGV160" s="72"/>
      <c r="IGW160" s="72"/>
      <c r="IGX160" s="72"/>
      <c r="IGY160" s="72"/>
      <c r="IGZ160" s="72"/>
      <c r="IHA160" s="72"/>
      <c r="IHB160" s="72"/>
      <c r="IHC160" s="72"/>
      <c r="IHD160" s="72"/>
      <c r="IHE160" s="72"/>
      <c r="IHF160" s="72"/>
      <c r="IHG160" s="72"/>
      <c r="IHH160" s="72"/>
      <c r="IHI160" s="72"/>
      <c r="IHJ160" s="72"/>
      <c r="IHK160" s="72"/>
      <c r="IHL160" s="72"/>
      <c r="IHM160" s="72"/>
      <c r="IHN160" s="72"/>
      <c r="IHO160" s="72"/>
      <c r="IHP160" s="72"/>
      <c r="IHQ160" s="72"/>
      <c r="IHR160" s="72"/>
      <c r="IHS160" s="72"/>
      <c r="IHT160" s="72"/>
      <c r="IHU160" s="72"/>
      <c r="IHV160" s="72"/>
      <c r="IHW160" s="72"/>
      <c r="IHX160" s="72"/>
      <c r="IHY160" s="72"/>
      <c r="IHZ160" s="72"/>
      <c r="IIA160" s="72"/>
      <c r="IIB160" s="72"/>
      <c r="IIC160" s="72"/>
      <c r="IID160" s="72"/>
      <c r="IIE160" s="72"/>
      <c r="IIF160" s="72"/>
      <c r="IIG160" s="72"/>
      <c r="IIH160" s="72"/>
      <c r="III160" s="72"/>
      <c r="IIJ160" s="72"/>
      <c r="IIK160" s="72"/>
      <c r="IIL160" s="72"/>
      <c r="IIM160" s="72"/>
      <c r="IIN160" s="72"/>
      <c r="IIO160" s="72"/>
      <c r="IIP160" s="72"/>
      <c r="IIQ160" s="72"/>
      <c r="IIR160" s="72"/>
      <c r="IIS160" s="72"/>
      <c r="IIT160" s="72"/>
      <c r="IIU160" s="72"/>
      <c r="IIV160" s="72"/>
      <c r="IIW160" s="72"/>
      <c r="IIX160" s="72"/>
      <c r="IIY160" s="72"/>
      <c r="IIZ160" s="72"/>
      <c r="IJA160" s="72"/>
      <c r="IJB160" s="72"/>
      <c r="IJC160" s="72"/>
      <c r="IJD160" s="72"/>
      <c r="IJE160" s="72"/>
      <c r="IJF160" s="72"/>
      <c r="IJG160" s="72"/>
      <c r="IJH160" s="72"/>
      <c r="IJI160" s="72"/>
      <c r="IJJ160" s="72"/>
      <c r="IJK160" s="72"/>
      <c r="IJL160" s="72"/>
      <c r="IJM160" s="72"/>
      <c r="IJN160" s="72"/>
      <c r="IJO160" s="72"/>
      <c r="IJP160" s="72"/>
      <c r="IJQ160" s="72"/>
      <c r="IJR160" s="72"/>
      <c r="IJS160" s="72"/>
      <c r="IJT160" s="72"/>
      <c r="IJU160" s="72"/>
      <c r="IJV160" s="72"/>
      <c r="IJW160" s="72"/>
      <c r="IJX160" s="72"/>
      <c r="IJY160" s="72"/>
      <c r="IJZ160" s="72"/>
      <c r="IKA160" s="72"/>
      <c r="IKB160" s="72"/>
      <c r="IKC160" s="72"/>
      <c r="IKD160" s="72"/>
      <c r="IKE160" s="72"/>
      <c r="IKF160" s="72"/>
      <c r="IKG160" s="72"/>
      <c r="IKH160" s="72"/>
      <c r="IKI160" s="72"/>
      <c r="IKJ160" s="72"/>
      <c r="IKK160" s="72"/>
      <c r="IKL160" s="72"/>
      <c r="IKM160" s="72"/>
      <c r="IKN160" s="72"/>
      <c r="IKO160" s="72"/>
      <c r="IKP160" s="72"/>
      <c r="IKQ160" s="72"/>
      <c r="IKR160" s="72"/>
      <c r="IKS160" s="72"/>
      <c r="IKT160" s="72"/>
      <c r="IKU160" s="72"/>
      <c r="IKV160" s="72"/>
      <c r="IKW160" s="72"/>
      <c r="IKX160" s="72"/>
      <c r="IKY160" s="72"/>
      <c r="IKZ160" s="72"/>
      <c r="ILA160" s="72"/>
      <c r="ILB160" s="72"/>
      <c r="ILC160" s="72"/>
      <c r="ILD160" s="72"/>
      <c r="ILE160" s="72"/>
      <c r="ILF160" s="72"/>
      <c r="ILG160" s="72"/>
      <c r="ILH160" s="72"/>
      <c r="ILI160" s="72"/>
      <c r="ILJ160" s="72"/>
      <c r="ILK160" s="72"/>
      <c r="ILL160" s="72"/>
      <c r="ILM160" s="72"/>
      <c r="ILN160" s="72"/>
      <c r="ILO160" s="72"/>
      <c r="ILP160" s="72"/>
      <c r="ILQ160" s="72"/>
      <c r="ILR160" s="72"/>
      <c r="ILS160" s="72"/>
      <c r="ILT160" s="72"/>
      <c r="ILU160" s="72"/>
      <c r="ILV160" s="72"/>
      <c r="ILW160" s="72"/>
      <c r="ILX160" s="72"/>
      <c r="ILY160" s="72"/>
      <c r="ILZ160" s="72"/>
      <c r="IMA160" s="72"/>
      <c r="IMB160" s="72"/>
      <c r="IMC160" s="72"/>
      <c r="IMD160" s="72"/>
      <c r="IME160" s="72"/>
      <c r="IMF160" s="72"/>
      <c r="IMG160" s="72"/>
      <c r="IMH160" s="72"/>
      <c r="IMI160" s="72"/>
      <c r="IMJ160" s="72"/>
      <c r="IMK160" s="72"/>
      <c r="IML160" s="72"/>
      <c r="IMM160" s="72"/>
      <c r="IMN160" s="72"/>
      <c r="IMO160" s="72"/>
      <c r="IMP160" s="72"/>
      <c r="IMQ160" s="72"/>
      <c r="IMR160" s="72"/>
      <c r="IMS160" s="72"/>
      <c r="IMT160" s="72"/>
      <c r="IMU160" s="72"/>
      <c r="IMV160" s="72"/>
      <c r="IMW160" s="72"/>
      <c r="IMX160" s="72"/>
      <c r="IMY160" s="72"/>
      <c r="IMZ160" s="72"/>
      <c r="INA160" s="72"/>
      <c r="INB160" s="72"/>
      <c r="INC160" s="72"/>
      <c r="IND160" s="72"/>
      <c r="INE160" s="72"/>
      <c r="INF160" s="72"/>
      <c r="ING160" s="72"/>
      <c r="INH160" s="72"/>
      <c r="INI160" s="72"/>
      <c r="INJ160" s="72"/>
      <c r="INK160" s="72"/>
      <c r="INL160" s="72"/>
      <c r="INM160" s="72"/>
      <c r="INN160" s="72"/>
      <c r="INO160" s="72"/>
      <c r="INP160" s="72"/>
      <c r="INQ160" s="72"/>
      <c r="INR160" s="72"/>
      <c r="INS160" s="72"/>
      <c r="INT160" s="72"/>
      <c r="INU160" s="72"/>
      <c r="INV160" s="72"/>
      <c r="INW160" s="72"/>
      <c r="INX160" s="72"/>
      <c r="INY160" s="72"/>
      <c r="INZ160" s="72"/>
      <c r="IOA160" s="72"/>
      <c r="IOB160" s="72"/>
      <c r="IOC160" s="72"/>
      <c r="IOD160" s="72"/>
      <c r="IOE160" s="72"/>
      <c r="IOF160" s="72"/>
      <c r="IOG160" s="72"/>
      <c r="IOH160" s="72"/>
      <c r="IOI160" s="72"/>
      <c r="IOJ160" s="72"/>
      <c r="IOK160" s="72"/>
      <c r="IOL160" s="72"/>
      <c r="IOM160" s="72"/>
      <c r="ION160" s="72"/>
      <c r="IOO160" s="72"/>
      <c r="IOP160" s="72"/>
      <c r="IOQ160" s="72"/>
      <c r="IOR160" s="72"/>
      <c r="IOS160" s="72"/>
      <c r="IOT160" s="72"/>
      <c r="IOU160" s="72"/>
      <c r="IOV160" s="72"/>
      <c r="IOW160" s="72"/>
      <c r="IOX160" s="72"/>
      <c r="IOY160" s="72"/>
      <c r="IOZ160" s="72"/>
      <c r="IPA160" s="72"/>
      <c r="IPB160" s="72"/>
      <c r="IPC160" s="72"/>
      <c r="IPD160" s="72"/>
      <c r="IPE160" s="72"/>
      <c r="IPF160" s="72"/>
      <c r="IPG160" s="72"/>
      <c r="IPH160" s="72"/>
      <c r="IPI160" s="72"/>
      <c r="IPJ160" s="72"/>
      <c r="IPK160" s="72"/>
      <c r="IPL160" s="72"/>
      <c r="IPM160" s="72"/>
      <c r="IPN160" s="72"/>
      <c r="IPO160" s="72"/>
      <c r="IPP160" s="72"/>
      <c r="IPQ160" s="72"/>
      <c r="IPR160" s="72"/>
      <c r="IPS160" s="72"/>
      <c r="IPT160" s="72"/>
      <c r="IPU160" s="72"/>
      <c r="IPV160" s="72"/>
      <c r="IPW160" s="72"/>
      <c r="IPX160" s="72"/>
      <c r="IPY160" s="72"/>
      <c r="IPZ160" s="72"/>
      <c r="IQA160" s="72"/>
      <c r="IQB160" s="72"/>
      <c r="IQC160" s="72"/>
      <c r="IQD160" s="72"/>
      <c r="IQE160" s="72"/>
      <c r="IQF160" s="72"/>
      <c r="IQG160" s="72"/>
      <c r="IQH160" s="72"/>
      <c r="IQI160" s="72"/>
      <c r="IQJ160" s="72"/>
      <c r="IQK160" s="72"/>
      <c r="IQL160" s="72"/>
      <c r="IQM160" s="72"/>
      <c r="IQN160" s="72"/>
      <c r="IQO160" s="72"/>
      <c r="IQP160" s="72"/>
      <c r="IQQ160" s="72"/>
      <c r="IQR160" s="72"/>
      <c r="IQS160" s="72"/>
      <c r="IQT160" s="72"/>
      <c r="IQU160" s="72"/>
      <c r="IQV160" s="72"/>
      <c r="IQW160" s="72"/>
      <c r="IQX160" s="72"/>
      <c r="IQY160" s="72"/>
      <c r="IQZ160" s="72"/>
      <c r="IRA160" s="72"/>
      <c r="IRB160" s="72"/>
      <c r="IRC160" s="72"/>
      <c r="IRD160" s="72"/>
      <c r="IRE160" s="72"/>
      <c r="IRF160" s="72"/>
      <c r="IRG160" s="72"/>
      <c r="IRH160" s="72"/>
      <c r="IRI160" s="72"/>
      <c r="IRJ160" s="72"/>
      <c r="IRK160" s="72"/>
      <c r="IRL160" s="72"/>
      <c r="IRM160" s="72"/>
      <c r="IRN160" s="72"/>
      <c r="IRO160" s="72"/>
      <c r="IRP160" s="72"/>
      <c r="IRQ160" s="72"/>
      <c r="IRR160" s="72"/>
      <c r="IRS160" s="72"/>
      <c r="IRT160" s="72"/>
      <c r="IRU160" s="72"/>
      <c r="IRV160" s="72"/>
      <c r="IRW160" s="72"/>
      <c r="IRX160" s="72"/>
      <c r="IRY160" s="72"/>
      <c r="IRZ160" s="72"/>
      <c r="ISA160" s="72"/>
      <c r="ISB160" s="72"/>
      <c r="ISC160" s="72"/>
      <c r="ISD160" s="72"/>
      <c r="ISE160" s="72"/>
      <c r="ISF160" s="72"/>
      <c r="ISG160" s="72"/>
      <c r="ISH160" s="72"/>
      <c r="ISI160" s="72"/>
      <c r="ISJ160" s="72"/>
      <c r="ISK160" s="72"/>
      <c r="ISL160" s="72"/>
      <c r="ISM160" s="72"/>
      <c r="ISN160" s="72"/>
      <c r="ISO160" s="72"/>
      <c r="ISP160" s="72"/>
      <c r="ISQ160" s="72"/>
      <c r="ISR160" s="72"/>
      <c r="ISS160" s="72"/>
      <c r="IST160" s="72"/>
      <c r="ISU160" s="72"/>
      <c r="ISV160" s="72"/>
      <c r="ISW160" s="72"/>
      <c r="ISX160" s="72"/>
      <c r="ISY160" s="72"/>
      <c r="ISZ160" s="72"/>
      <c r="ITA160" s="72"/>
      <c r="ITB160" s="72"/>
      <c r="ITC160" s="72"/>
      <c r="ITD160" s="72"/>
      <c r="ITE160" s="72"/>
      <c r="ITF160" s="72"/>
      <c r="ITG160" s="72"/>
      <c r="ITH160" s="72"/>
      <c r="ITI160" s="72"/>
      <c r="ITJ160" s="72"/>
      <c r="ITK160" s="72"/>
      <c r="ITL160" s="72"/>
      <c r="ITM160" s="72"/>
      <c r="ITN160" s="72"/>
      <c r="ITO160" s="72"/>
      <c r="ITP160" s="72"/>
      <c r="ITQ160" s="72"/>
      <c r="ITR160" s="72"/>
      <c r="ITS160" s="72"/>
      <c r="ITT160" s="72"/>
      <c r="ITU160" s="72"/>
      <c r="ITV160" s="72"/>
      <c r="ITW160" s="72"/>
      <c r="ITX160" s="72"/>
      <c r="ITY160" s="72"/>
      <c r="ITZ160" s="72"/>
      <c r="IUA160" s="72"/>
      <c r="IUB160" s="72"/>
      <c r="IUC160" s="72"/>
      <c r="IUD160" s="72"/>
      <c r="IUE160" s="72"/>
      <c r="IUF160" s="72"/>
      <c r="IUG160" s="72"/>
      <c r="IUH160" s="72"/>
      <c r="IUI160" s="72"/>
      <c r="IUJ160" s="72"/>
      <c r="IUK160" s="72"/>
      <c r="IUL160" s="72"/>
      <c r="IUM160" s="72"/>
      <c r="IUN160" s="72"/>
      <c r="IUO160" s="72"/>
      <c r="IUP160" s="72"/>
      <c r="IUQ160" s="72"/>
      <c r="IUR160" s="72"/>
      <c r="IUS160" s="72"/>
      <c r="IUT160" s="72"/>
      <c r="IUU160" s="72"/>
      <c r="IUV160" s="72"/>
      <c r="IUW160" s="72"/>
      <c r="IUX160" s="72"/>
      <c r="IUY160" s="72"/>
      <c r="IUZ160" s="72"/>
      <c r="IVA160" s="72"/>
      <c r="IVB160" s="72"/>
      <c r="IVC160" s="72"/>
      <c r="IVD160" s="72"/>
      <c r="IVE160" s="72"/>
      <c r="IVF160" s="72"/>
      <c r="IVG160" s="72"/>
      <c r="IVH160" s="72"/>
      <c r="IVI160" s="72"/>
      <c r="IVJ160" s="72"/>
      <c r="IVK160" s="72"/>
      <c r="IVL160" s="72"/>
      <c r="IVM160" s="72"/>
      <c r="IVN160" s="72"/>
      <c r="IVO160" s="72"/>
      <c r="IVP160" s="72"/>
      <c r="IVQ160" s="72"/>
      <c r="IVR160" s="72"/>
      <c r="IVS160" s="72"/>
      <c r="IVT160" s="72"/>
      <c r="IVU160" s="72"/>
      <c r="IVV160" s="72"/>
      <c r="IVW160" s="72"/>
      <c r="IVX160" s="72"/>
      <c r="IVY160" s="72"/>
      <c r="IVZ160" s="72"/>
      <c r="IWA160" s="72"/>
      <c r="IWB160" s="72"/>
      <c r="IWC160" s="72"/>
      <c r="IWD160" s="72"/>
      <c r="IWE160" s="72"/>
      <c r="IWF160" s="72"/>
      <c r="IWG160" s="72"/>
      <c r="IWH160" s="72"/>
      <c r="IWI160" s="72"/>
      <c r="IWJ160" s="72"/>
      <c r="IWK160" s="72"/>
      <c r="IWL160" s="72"/>
      <c r="IWM160" s="72"/>
      <c r="IWN160" s="72"/>
      <c r="IWO160" s="72"/>
      <c r="IWP160" s="72"/>
      <c r="IWQ160" s="72"/>
      <c r="IWR160" s="72"/>
      <c r="IWS160" s="72"/>
      <c r="IWT160" s="72"/>
      <c r="IWU160" s="72"/>
      <c r="IWV160" s="72"/>
      <c r="IWW160" s="72"/>
      <c r="IWX160" s="72"/>
      <c r="IWY160" s="72"/>
      <c r="IWZ160" s="72"/>
      <c r="IXA160" s="72"/>
      <c r="IXB160" s="72"/>
      <c r="IXC160" s="72"/>
      <c r="IXD160" s="72"/>
      <c r="IXE160" s="72"/>
      <c r="IXF160" s="72"/>
      <c r="IXG160" s="72"/>
      <c r="IXH160" s="72"/>
      <c r="IXI160" s="72"/>
      <c r="IXJ160" s="72"/>
      <c r="IXK160" s="72"/>
      <c r="IXL160" s="72"/>
      <c r="IXM160" s="72"/>
      <c r="IXN160" s="72"/>
      <c r="IXO160" s="72"/>
      <c r="IXP160" s="72"/>
      <c r="IXQ160" s="72"/>
      <c r="IXR160" s="72"/>
      <c r="IXS160" s="72"/>
      <c r="IXT160" s="72"/>
      <c r="IXU160" s="72"/>
      <c r="IXV160" s="72"/>
      <c r="IXW160" s="72"/>
      <c r="IXX160" s="72"/>
      <c r="IXY160" s="72"/>
      <c r="IXZ160" s="72"/>
      <c r="IYA160" s="72"/>
      <c r="IYB160" s="72"/>
      <c r="IYC160" s="72"/>
      <c r="IYD160" s="72"/>
      <c r="IYE160" s="72"/>
      <c r="IYF160" s="72"/>
      <c r="IYG160" s="72"/>
      <c r="IYH160" s="72"/>
      <c r="IYI160" s="72"/>
      <c r="IYJ160" s="72"/>
      <c r="IYK160" s="72"/>
      <c r="IYL160" s="72"/>
      <c r="IYM160" s="72"/>
      <c r="IYN160" s="72"/>
      <c r="IYO160" s="72"/>
      <c r="IYP160" s="72"/>
      <c r="IYQ160" s="72"/>
      <c r="IYR160" s="72"/>
      <c r="IYS160" s="72"/>
      <c r="IYT160" s="72"/>
      <c r="IYU160" s="72"/>
      <c r="IYV160" s="72"/>
      <c r="IYW160" s="72"/>
      <c r="IYX160" s="72"/>
      <c r="IYY160" s="72"/>
      <c r="IYZ160" s="72"/>
      <c r="IZA160" s="72"/>
      <c r="IZB160" s="72"/>
      <c r="IZC160" s="72"/>
      <c r="IZD160" s="72"/>
      <c r="IZE160" s="72"/>
      <c r="IZF160" s="72"/>
      <c r="IZG160" s="72"/>
      <c r="IZH160" s="72"/>
      <c r="IZI160" s="72"/>
      <c r="IZJ160" s="72"/>
      <c r="IZK160" s="72"/>
      <c r="IZL160" s="72"/>
      <c r="IZM160" s="72"/>
      <c r="IZN160" s="72"/>
      <c r="IZO160" s="72"/>
      <c r="IZP160" s="72"/>
      <c r="IZQ160" s="72"/>
      <c r="IZR160" s="72"/>
      <c r="IZS160" s="72"/>
      <c r="IZT160" s="72"/>
      <c r="IZU160" s="72"/>
      <c r="IZV160" s="72"/>
      <c r="IZW160" s="72"/>
      <c r="IZX160" s="72"/>
      <c r="IZY160" s="72"/>
      <c r="IZZ160" s="72"/>
      <c r="JAA160" s="72"/>
      <c r="JAB160" s="72"/>
      <c r="JAC160" s="72"/>
      <c r="JAD160" s="72"/>
      <c r="JAE160" s="72"/>
      <c r="JAF160" s="72"/>
      <c r="JAG160" s="72"/>
      <c r="JAH160" s="72"/>
      <c r="JAI160" s="72"/>
      <c r="JAJ160" s="72"/>
      <c r="JAK160" s="72"/>
      <c r="JAL160" s="72"/>
      <c r="JAM160" s="72"/>
      <c r="JAN160" s="72"/>
      <c r="JAO160" s="72"/>
      <c r="JAP160" s="72"/>
      <c r="JAQ160" s="72"/>
      <c r="JAR160" s="72"/>
      <c r="JAS160" s="72"/>
      <c r="JAT160" s="72"/>
      <c r="JAU160" s="72"/>
      <c r="JAV160" s="72"/>
      <c r="JAW160" s="72"/>
      <c r="JAX160" s="72"/>
      <c r="JAY160" s="72"/>
      <c r="JAZ160" s="72"/>
      <c r="JBA160" s="72"/>
      <c r="JBB160" s="72"/>
      <c r="JBC160" s="72"/>
      <c r="JBD160" s="72"/>
      <c r="JBE160" s="72"/>
      <c r="JBF160" s="72"/>
      <c r="JBG160" s="72"/>
      <c r="JBH160" s="72"/>
      <c r="JBI160" s="72"/>
      <c r="JBJ160" s="72"/>
      <c r="JBK160" s="72"/>
      <c r="JBL160" s="72"/>
      <c r="JBM160" s="72"/>
      <c r="JBN160" s="72"/>
      <c r="JBO160" s="72"/>
      <c r="JBP160" s="72"/>
      <c r="JBQ160" s="72"/>
      <c r="JBR160" s="72"/>
      <c r="JBS160" s="72"/>
      <c r="JBT160" s="72"/>
      <c r="JBU160" s="72"/>
      <c r="JBV160" s="72"/>
      <c r="JBW160" s="72"/>
      <c r="JBX160" s="72"/>
      <c r="JBY160" s="72"/>
      <c r="JBZ160" s="72"/>
      <c r="JCA160" s="72"/>
      <c r="JCB160" s="72"/>
      <c r="JCC160" s="72"/>
      <c r="JCD160" s="72"/>
      <c r="JCE160" s="72"/>
      <c r="JCF160" s="72"/>
      <c r="JCG160" s="72"/>
      <c r="JCH160" s="72"/>
      <c r="JCI160" s="72"/>
      <c r="JCJ160" s="72"/>
      <c r="JCK160" s="72"/>
      <c r="JCL160" s="72"/>
      <c r="JCM160" s="72"/>
      <c r="JCN160" s="72"/>
      <c r="JCO160" s="72"/>
      <c r="JCP160" s="72"/>
      <c r="JCQ160" s="72"/>
      <c r="JCR160" s="72"/>
      <c r="JCS160" s="72"/>
      <c r="JCT160" s="72"/>
      <c r="JCU160" s="72"/>
      <c r="JCV160" s="72"/>
      <c r="JCW160" s="72"/>
      <c r="JCX160" s="72"/>
      <c r="JCY160" s="72"/>
      <c r="JCZ160" s="72"/>
      <c r="JDA160" s="72"/>
      <c r="JDB160" s="72"/>
      <c r="JDC160" s="72"/>
      <c r="JDD160" s="72"/>
      <c r="JDE160" s="72"/>
      <c r="JDF160" s="72"/>
      <c r="JDG160" s="72"/>
      <c r="JDH160" s="72"/>
      <c r="JDI160" s="72"/>
      <c r="JDJ160" s="72"/>
      <c r="JDK160" s="72"/>
      <c r="JDL160" s="72"/>
      <c r="JDM160" s="72"/>
      <c r="JDN160" s="72"/>
      <c r="JDO160" s="72"/>
      <c r="JDP160" s="72"/>
      <c r="JDQ160" s="72"/>
      <c r="JDR160" s="72"/>
      <c r="JDS160" s="72"/>
      <c r="JDT160" s="72"/>
      <c r="JDU160" s="72"/>
      <c r="JDV160" s="72"/>
      <c r="JDW160" s="72"/>
      <c r="JDX160" s="72"/>
      <c r="JDY160" s="72"/>
      <c r="JDZ160" s="72"/>
      <c r="JEA160" s="72"/>
      <c r="JEB160" s="72"/>
      <c r="JEC160" s="72"/>
      <c r="JED160" s="72"/>
      <c r="JEE160" s="72"/>
      <c r="JEF160" s="72"/>
      <c r="JEG160" s="72"/>
      <c r="JEH160" s="72"/>
      <c r="JEI160" s="72"/>
      <c r="JEJ160" s="72"/>
      <c r="JEK160" s="72"/>
      <c r="JEL160" s="72"/>
      <c r="JEM160" s="72"/>
      <c r="JEN160" s="72"/>
      <c r="JEO160" s="72"/>
      <c r="JEP160" s="72"/>
      <c r="JEQ160" s="72"/>
      <c r="JER160" s="72"/>
      <c r="JES160" s="72"/>
      <c r="JET160" s="72"/>
      <c r="JEU160" s="72"/>
      <c r="JEV160" s="72"/>
      <c r="JEW160" s="72"/>
      <c r="JEX160" s="72"/>
      <c r="JEY160" s="72"/>
      <c r="JEZ160" s="72"/>
      <c r="JFA160" s="72"/>
      <c r="JFB160" s="72"/>
      <c r="JFC160" s="72"/>
      <c r="JFD160" s="72"/>
      <c r="JFE160" s="72"/>
      <c r="JFF160" s="72"/>
      <c r="JFG160" s="72"/>
      <c r="JFH160" s="72"/>
      <c r="JFI160" s="72"/>
      <c r="JFJ160" s="72"/>
      <c r="JFK160" s="72"/>
      <c r="JFL160" s="72"/>
      <c r="JFM160" s="72"/>
      <c r="JFN160" s="72"/>
      <c r="JFO160" s="72"/>
      <c r="JFP160" s="72"/>
      <c r="JFQ160" s="72"/>
      <c r="JFR160" s="72"/>
      <c r="JFS160" s="72"/>
      <c r="JFT160" s="72"/>
      <c r="JFU160" s="72"/>
      <c r="JFV160" s="72"/>
      <c r="JFW160" s="72"/>
      <c r="JFX160" s="72"/>
      <c r="JFY160" s="72"/>
      <c r="JFZ160" s="72"/>
      <c r="JGA160" s="72"/>
      <c r="JGB160" s="72"/>
      <c r="JGC160" s="72"/>
      <c r="JGD160" s="72"/>
      <c r="JGE160" s="72"/>
      <c r="JGF160" s="72"/>
      <c r="JGG160" s="72"/>
      <c r="JGH160" s="72"/>
      <c r="JGI160" s="72"/>
      <c r="JGJ160" s="72"/>
      <c r="JGK160" s="72"/>
      <c r="JGL160" s="72"/>
      <c r="JGM160" s="72"/>
      <c r="JGN160" s="72"/>
      <c r="JGO160" s="72"/>
      <c r="JGP160" s="72"/>
      <c r="JGQ160" s="72"/>
      <c r="JGR160" s="72"/>
      <c r="JGS160" s="72"/>
      <c r="JGT160" s="72"/>
      <c r="JGU160" s="72"/>
      <c r="JGV160" s="72"/>
      <c r="JGW160" s="72"/>
      <c r="JGX160" s="72"/>
      <c r="JGY160" s="72"/>
      <c r="JGZ160" s="72"/>
      <c r="JHA160" s="72"/>
      <c r="JHB160" s="72"/>
      <c r="JHC160" s="72"/>
      <c r="JHD160" s="72"/>
      <c r="JHE160" s="72"/>
      <c r="JHF160" s="72"/>
      <c r="JHG160" s="72"/>
      <c r="JHH160" s="72"/>
      <c r="JHI160" s="72"/>
      <c r="JHJ160" s="72"/>
      <c r="JHK160" s="72"/>
      <c r="JHL160" s="72"/>
      <c r="JHM160" s="72"/>
      <c r="JHN160" s="72"/>
      <c r="JHO160" s="72"/>
      <c r="JHP160" s="72"/>
      <c r="JHQ160" s="72"/>
      <c r="JHR160" s="72"/>
      <c r="JHS160" s="72"/>
      <c r="JHT160" s="72"/>
      <c r="JHU160" s="72"/>
      <c r="JHV160" s="72"/>
      <c r="JHW160" s="72"/>
      <c r="JHX160" s="72"/>
      <c r="JHY160" s="72"/>
      <c r="JHZ160" s="72"/>
      <c r="JIA160" s="72"/>
      <c r="JIB160" s="72"/>
      <c r="JIC160" s="72"/>
      <c r="JID160" s="72"/>
      <c r="JIE160" s="72"/>
      <c r="JIF160" s="72"/>
      <c r="JIG160" s="72"/>
      <c r="JIH160" s="72"/>
      <c r="JII160" s="72"/>
      <c r="JIJ160" s="72"/>
      <c r="JIK160" s="72"/>
      <c r="JIL160" s="72"/>
      <c r="JIM160" s="72"/>
      <c r="JIN160" s="72"/>
      <c r="JIO160" s="72"/>
      <c r="JIP160" s="72"/>
      <c r="JIQ160" s="72"/>
      <c r="JIR160" s="72"/>
      <c r="JIS160" s="72"/>
      <c r="JIT160" s="72"/>
      <c r="JIU160" s="72"/>
      <c r="JIV160" s="72"/>
      <c r="JIW160" s="72"/>
      <c r="JIX160" s="72"/>
      <c r="JIY160" s="72"/>
      <c r="JIZ160" s="72"/>
      <c r="JJA160" s="72"/>
      <c r="JJB160" s="72"/>
      <c r="JJC160" s="72"/>
      <c r="JJD160" s="72"/>
      <c r="JJE160" s="72"/>
      <c r="JJF160" s="72"/>
      <c r="JJG160" s="72"/>
      <c r="JJH160" s="72"/>
      <c r="JJI160" s="72"/>
      <c r="JJJ160" s="72"/>
      <c r="JJK160" s="72"/>
      <c r="JJL160" s="72"/>
      <c r="JJM160" s="72"/>
      <c r="JJN160" s="72"/>
      <c r="JJO160" s="72"/>
      <c r="JJP160" s="72"/>
      <c r="JJQ160" s="72"/>
      <c r="JJR160" s="72"/>
      <c r="JJS160" s="72"/>
      <c r="JJT160" s="72"/>
      <c r="JJU160" s="72"/>
      <c r="JJV160" s="72"/>
      <c r="JJW160" s="72"/>
      <c r="JJX160" s="72"/>
      <c r="JJY160" s="72"/>
      <c r="JJZ160" s="72"/>
      <c r="JKA160" s="72"/>
      <c r="JKB160" s="72"/>
      <c r="JKC160" s="72"/>
      <c r="JKD160" s="72"/>
      <c r="JKE160" s="72"/>
      <c r="JKF160" s="72"/>
      <c r="JKG160" s="72"/>
      <c r="JKH160" s="72"/>
      <c r="JKI160" s="72"/>
      <c r="JKJ160" s="72"/>
      <c r="JKK160" s="72"/>
      <c r="JKL160" s="72"/>
      <c r="JKM160" s="72"/>
      <c r="JKN160" s="72"/>
      <c r="JKO160" s="72"/>
      <c r="JKP160" s="72"/>
      <c r="JKQ160" s="72"/>
      <c r="JKR160" s="72"/>
      <c r="JKS160" s="72"/>
      <c r="JKT160" s="72"/>
      <c r="JKU160" s="72"/>
      <c r="JKV160" s="72"/>
      <c r="JKW160" s="72"/>
      <c r="JKX160" s="72"/>
      <c r="JKY160" s="72"/>
      <c r="JKZ160" s="72"/>
      <c r="JLA160" s="72"/>
      <c r="JLB160" s="72"/>
      <c r="JLC160" s="72"/>
      <c r="JLD160" s="72"/>
      <c r="JLE160" s="72"/>
      <c r="JLF160" s="72"/>
      <c r="JLG160" s="72"/>
      <c r="JLH160" s="72"/>
      <c r="JLI160" s="72"/>
      <c r="JLJ160" s="72"/>
      <c r="JLK160" s="72"/>
      <c r="JLL160" s="72"/>
      <c r="JLM160" s="72"/>
      <c r="JLN160" s="72"/>
      <c r="JLO160" s="72"/>
      <c r="JLP160" s="72"/>
      <c r="JLQ160" s="72"/>
      <c r="JLR160" s="72"/>
      <c r="JLS160" s="72"/>
      <c r="JLT160" s="72"/>
      <c r="JLU160" s="72"/>
      <c r="JLV160" s="72"/>
      <c r="JLW160" s="72"/>
      <c r="JLX160" s="72"/>
      <c r="JLY160" s="72"/>
      <c r="JLZ160" s="72"/>
      <c r="JMA160" s="72"/>
      <c r="JMB160" s="72"/>
      <c r="JMC160" s="72"/>
      <c r="JMD160" s="72"/>
      <c r="JME160" s="72"/>
      <c r="JMF160" s="72"/>
      <c r="JMG160" s="72"/>
      <c r="JMH160" s="72"/>
      <c r="JMI160" s="72"/>
      <c r="JMJ160" s="72"/>
      <c r="JMK160" s="72"/>
      <c r="JML160" s="72"/>
      <c r="JMM160" s="72"/>
      <c r="JMN160" s="72"/>
      <c r="JMO160" s="72"/>
      <c r="JMP160" s="72"/>
      <c r="JMQ160" s="72"/>
      <c r="JMR160" s="72"/>
      <c r="JMS160" s="72"/>
      <c r="JMT160" s="72"/>
      <c r="JMU160" s="72"/>
      <c r="JMV160" s="72"/>
      <c r="JMW160" s="72"/>
      <c r="JMX160" s="72"/>
      <c r="JMY160" s="72"/>
      <c r="JMZ160" s="72"/>
      <c r="JNA160" s="72"/>
      <c r="JNB160" s="72"/>
      <c r="JNC160" s="72"/>
      <c r="JND160" s="72"/>
      <c r="JNE160" s="72"/>
      <c r="JNF160" s="72"/>
      <c r="JNG160" s="72"/>
      <c r="JNH160" s="72"/>
      <c r="JNI160" s="72"/>
      <c r="JNJ160" s="72"/>
      <c r="JNK160" s="72"/>
      <c r="JNL160" s="72"/>
      <c r="JNM160" s="72"/>
      <c r="JNN160" s="72"/>
      <c r="JNO160" s="72"/>
      <c r="JNP160" s="72"/>
      <c r="JNQ160" s="72"/>
      <c r="JNR160" s="72"/>
      <c r="JNS160" s="72"/>
      <c r="JNT160" s="72"/>
      <c r="JNU160" s="72"/>
      <c r="JNV160" s="72"/>
      <c r="JNW160" s="72"/>
      <c r="JNX160" s="72"/>
      <c r="JNY160" s="72"/>
      <c r="JNZ160" s="72"/>
      <c r="JOA160" s="72"/>
      <c r="JOB160" s="72"/>
      <c r="JOC160" s="72"/>
      <c r="JOD160" s="72"/>
      <c r="JOE160" s="72"/>
      <c r="JOF160" s="72"/>
      <c r="JOG160" s="72"/>
      <c r="JOH160" s="72"/>
      <c r="JOI160" s="72"/>
      <c r="JOJ160" s="72"/>
      <c r="JOK160" s="72"/>
      <c r="JOL160" s="72"/>
      <c r="JOM160" s="72"/>
      <c r="JON160" s="72"/>
      <c r="JOO160" s="72"/>
      <c r="JOP160" s="72"/>
      <c r="JOQ160" s="72"/>
      <c r="JOR160" s="72"/>
      <c r="JOS160" s="72"/>
      <c r="JOT160" s="72"/>
      <c r="JOU160" s="72"/>
      <c r="JOV160" s="72"/>
      <c r="JOW160" s="72"/>
      <c r="JOX160" s="72"/>
      <c r="JOY160" s="72"/>
      <c r="JOZ160" s="72"/>
      <c r="JPA160" s="72"/>
      <c r="JPB160" s="72"/>
      <c r="JPC160" s="72"/>
      <c r="JPD160" s="72"/>
      <c r="JPE160" s="72"/>
      <c r="JPF160" s="72"/>
      <c r="JPG160" s="72"/>
      <c r="JPH160" s="72"/>
      <c r="JPI160" s="72"/>
      <c r="JPJ160" s="72"/>
      <c r="JPK160" s="72"/>
      <c r="JPL160" s="72"/>
      <c r="JPM160" s="72"/>
      <c r="JPN160" s="72"/>
      <c r="JPO160" s="72"/>
      <c r="JPP160" s="72"/>
      <c r="JPQ160" s="72"/>
      <c r="JPR160" s="72"/>
      <c r="JPS160" s="72"/>
      <c r="JPT160" s="72"/>
      <c r="JPU160" s="72"/>
      <c r="JPV160" s="72"/>
      <c r="JPW160" s="72"/>
      <c r="JPX160" s="72"/>
      <c r="JPY160" s="72"/>
      <c r="JPZ160" s="72"/>
      <c r="JQA160" s="72"/>
      <c r="JQB160" s="72"/>
      <c r="JQC160" s="72"/>
      <c r="JQD160" s="72"/>
      <c r="JQE160" s="72"/>
      <c r="JQF160" s="72"/>
      <c r="JQG160" s="72"/>
      <c r="JQH160" s="72"/>
      <c r="JQI160" s="72"/>
      <c r="JQJ160" s="72"/>
      <c r="JQK160" s="72"/>
      <c r="JQL160" s="72"/>
      <c r="JQM160" s="72"/>
      <c r="JQN160" s="72"/>
      <c r="JQO160" s="72"/>
      <c r="JQP160" s="72"/>
      <c r="JQQ160" s="72"/>
      <c r="JQR160" s="72"/>
      <c r="JQS160" s="72"/>
      <c r="JQT160" s="72"/>
      <c r="JQU160" s="72"/>
      <c r="JQV160" s="72"/>
      <c r="JQW160" s="72"/>
      <c r="JQX160" s="72"/>
      <c r="JQY160" s="72"/>
      <c r="JQZ160" s="72"/>
      <c r="JRA160" s="72"/>
      <c r="JRB160" s="72"/>
      <c r="JRC160" s="72"/>
      <c r="JRD160" s="72"/>
      <c r="JRE160" s="72"/>
      <c r="JRF160" s="72"/>
      <c r="JRG160" s="72"/>
      <c r="JRH160" s="72"/>
      <c r="JRI160" s="72"/>
      <c r="JRJ160" s="72"/>
      <c r="JRK160" s="72"/>
      <c r="JRL160" s="72"/>
      <c r="JRM160" s="72"/>
      <c r="JRN160" s="72"/>
      <c r="JRO160" s="72"/>
      <c r="JRP160" s="72"/>
      <c r="JRQ160" s="72"/>
      <c r="JRR160" s="72"/>
      <c r="JRS160" s="72"/>
      <c r="JRT160" s="72"/>
      <c r="JRU160" s="72"/>
      <c r="JRV160" s="72"/>
      <c r="JRW160" s="72"/>
      <c r="JRX160" s="72"/>
      <c r="JRY160" s="72"/>
      <c r="JRZ160" s="72"/>
      <c r="JSA160" s="72"/>
      <c r="JSB160" s="72"/>
      <c r="JSC160" s="72"/>
      <c r="JSD160" s="72"/>
      <c r="JSE160" s="72"/>
      <c r="JSF160" s="72"/>
      <c r="JSG160" s="72"/>
      <c r="JSH160" s="72"/>
      <c r="JSI160" s="72"/>
      <c r="JSJ160" s="72"/>
      <c r="JSK160" s="72"/>
      <c r="JSL160" s="72"/>
      <c r="JSM160" s="72"/>
      <c r="JSN160" s="72"/>
      <c r="JSO160" s="72"/>
      <c r="JSP160" s="72"/>
      <c r="JSQ160" s="72"/>
      <c r="JSR160" s="72"/>
      <c r="JSS160" s="72"/>
      <c r="JST160" s="72"/>
      <c r="JSU160" s="72"/>
      <c r="JSV160" s="72"/>
      <c r="JSW160" s="72"/>
      <c r="JSX160" s="72"/>
      <c r="JSY160" s="72"/>
      <c r="JSZ160" s="72"/>
      <c r="JTA160" s="72"/>
      <c r="JTB160" s="72"/>
      <c r="JTC160" s="72"/>
      <c r="JTD160" s="72"/>
      <c r="JTE160" s="72"/>
      <c r="JTF160" s="72"/>
      <c r="JTG160" s="72"/>
      <c r="JTH160" s="72"/>
      <c r="JTI160" s="72"/>
      <c r="JTJ160" s="72"/>
      <c r="JTK160" s="72"/>
      <c r="JTL160" s="72"/>
      <c r="JTM160" s="72"/>
      <c r="JTN160" s="72"/>
      <c r="JTO160" s="72"/>
      <c r="JTP160" s="72"/>
      <c r="JTQ160" s="72"/>
      <c r="JTR160" s="72"/>
      <c r="JTS160" s="72"/>
      <c r="JTT160" s="72"/>
      <c r="JTU160" s="72"/>
      <c r="JTV160" s="72"/>
      <c r="JTW160" s="72"/>
      <c r="JTX160" s="72"/>
      <c r="JTY160" s="72"/>
      <c r="JTZ160" s="72"/>
      <c r="JUA160" s="72"/>
      <c r="JUB160" s="72"/>
      <c r="JUC160" s="72"/>
      <c r="JUD160" s="72"/>
      <c r="JUE160" s="72"/>
      <c r="JUF160" s="72"/>
      <c r="JUG160" s="72"/>
      <c r="JUH160" s="72"/>
      <c r="JUI160" s="72"/>
      <c r="JUJ160" s="72"/>
      <c r="JUK160" s="72"/>
      <c r="JUL160" s="72"/>
      <c r="JUM160" s="72"/>
      <c r="JUN160" s="72"/>
      <c r="JUO160" s="72"/>
      <c r="JUP160" s="72"/>
      <c r="JUQ160" s="72"/>
      <c r="JUR160" s="72"/>
      <c r="JUS160" s="72"/>
      <c r="JUT160" s="72"/>
      <c r="JUU160" s="72"/>
      <c r="JUV160" s="72"/>
      <c r="JUW160" s="72"/>
      <c r="JUX160" s="72"/>
      <c r="JUY160" s="72"/>
      <c r="JUZ160" s="72"/>
      <c r="JVA160" s="72"/>
      <c r="JVB160" s="72"/>
      <c r="JVC160" s="72"/>
      <c r="JVD160" s="72"/>
      <c r="JVE160" s="72"/>
      <c r="JVF160" s="72"/>
      <c r="JVG160" s="72"/>
      <c r="JVH160" s="72"/>
      <c r="JVI160" s="72"/>
      <c r="JVJ160" s="72"/>
      <c r="JVK160" s="72"/>
      <c r="JVL160" s="72"/>
      <c r="JVM160" s="72"/>
      <c r="JVN160" s="72"/>
      <c r="JVO160" s="72"/>
      <c r="JVP160" s="72"/>
      <c r="JVQ160" s="72"/>
      <c r="JVR160" s="72"/>
      <c r="JVS160" s="72"/>
      <c r="JVT160" s="72"/>
      <c r="JVU160" s="72"/>
      <c r="JVV160" s="72"/>
      <c r="JVW160" s="72"/>
      <c r="JVX160" s="72"/>
      <c r="JVY160" s="72"/>
      <c r="JVZ160" s="72"/>
      <c r="JWA160" s="72"/>
      <c r="JWB160" s="72"/>
      <c r="JWC160" s="72"/>
      <c r="JWD160" s="72"/>
      <c r="JWE160" s="72"/>
      <c r="JWF160" s="72"/>
      <c r="JWG160" s="72"/>
      <c r="JWH160" s="72"/>
      <c r="JWI160" s="72"/>
      <c r="JWJ160" s="72"/>
      <c r="JWK160" s="72"/>
      <c r="JWL160" s="72"/>
      <c r="JWM160" s="72"/>
      <c r="JWN160" s="72"/>
      <c r="JWO160" s="72"/>
      <c r="JWP160" s="72"/>
      <c r="JWQ160" s="72"/>
      <c r="JWR160" s="72"/>
      <c r="JWS160" s="72"/>
      <c r="JWT160" s="72"/>
      <c r="JWU160" s="72"/>
      <c r="JWV160" s="72"/>
      <c r="JWW160" s="72"/>
      <c r="JWX160" s="72"/>
      <c r="JWY160" s="72"/>
      <c r="JWZ160" s="72"/>
      <c r="JXA160" s="72"/>
      <c r="JXB160" s="72"/>
      <c r="JXC160" s="72"/>
      <c r="JXD160" s="72"/>
      <c r="JXE160" s="72"/>
      <c r="JXF160" s="72"/>
      <c r="JXG160" s="72"/>
      <c r="JXH160" s="72"/>
      <c r="JXI160" s="72"/>
      <c r="JXJ160" s="72"/>
      <c r="JXK160" s="72"/>
      <c r="JXL160" s="72"/>
      <c r="JXM160" s="72"/>
      <c r="JXN160" s="72"/>
      <c r="JXO160" s="72"/>
      <c r="JXP160" s="72"/>
      <c r="JXQ160" s="72"/>
      <c r="JXR160" s="72"/>
      <c r="JXS160" s="72"/>
      <c r="JXT160" s="72"/>
      <c r="JXU160" s="72"/>
      <c r="JXV160" s="72"/>
      <c r="JXW160" s="72"/>
      <c r="JXX160" s="72"/>
      <c r="JXY160" s="72"/>
      <c r="JXZ160" s="72"/>
      <c r="JYA160" s="72"/>
      <c r="JYB160" s="72"/>
      <c r="JYC160" s="72"/>
      <c r="JYD160" s="72"/>
      <c r="JYE160" s="72"/>
      <c r="JYF160" s="72"/>
      <c r="JYG160" s="72"/>
      <c r="JYH160" s="72"/>
      <c r="JYI160" s="72"/>
      <c r="JYJ160" s="72"/>
      <c r="JYK160" s="72"/>
      <c r="JYL160" s="72"/>
      <c r="JYM160" s="72"/>
      <c r="JYN160" s="72"/>
      <c r="JYO160" s="72"/>
      <c r="JYP160" s="72"/>
      <c r="JYQ160" s="72"/>
      <c r="JYR160" s="72"/>
      <c r="JYS160" s="72"/>
      <c r="JYT160" s="72"/>
      <c r="JYU160" s="72"/>
      <c r="JYV160" s="72"/>
      <c r="JYW160" s="72"/>
      <c r="JYX160" s="72"/>
      <c r="JYY160" s="72"/>
      <c r="JYZ160" s="72"/>
      <c r="JZA160" s="72"/>
      <c r="JZB160" s="72"/>
      <c r="JZC160" s="72"/>
      <c r="JZD160" s="72"/>
      <c r="JZE160" s="72"/>
      <c r="JZF160" s="72"/>
      <c r="JZG160" s="72"/>
      <c r="JZH160" s="72"/>
      <c r="JZI160" s="72"/>
      <c r="JZJ160" s="72"/>
      <c r="JZK160" s="72"/>
      <c r="JZL160" s="72"/>
      <c r="JZM160" s="72"/>
      <c r="JZN160" s="72"/>
      <c r="JZO160" s="72"/>
      <c r="JZP160" s="72"/>
      <c r="JZQ160" s="72"/>
      <c r="JZR160" s="72"/>
      <c r="JZS160" s="72"/>
      <c r="JZT160" s="72"/>
      <c r="JZU160" s="72"/>
      <c r="JZV160" s="72"/>
      <c r="JZW160" s="72"/>
      <c r="JZX160" s="72"/>
      <c r="JZY160" s="72"/>
      <c r="JZZ160" s="72"/>
      <c r="KAA160" s="72"/>
      <c r="KAB160" s="72"/>
      <c r="KAC160" s="72"/>
      <c r="KAD160" s="72"/>
      <c r="KAE160" s="72"/>
      <c r="KAF160" s="72"/>
      <c r="KAG160" s="72"/>
      <c r="KAH160" s="72"/>
      <c r="KAI160" s="72"/>
      <c r="KAJ160" s="72"/>
      <c r="KAK160" s="72"/>
      <c r="KAL160" s="72"/>
      <c r="KAM160" s="72"/>
      <c r="KAN160" s="72"/>
      <c r="KAO160" s="72"/>
      <c r="KAP160" s="72"/>
      <c r="KAQ160" s="72"/>
      <c r="KAR160" s="72"/>
      <c r="KAS160" s="72"/>
      <c r="KAT160" s="72"/>
      <c r="KAU160" s="72"/>
      <c r="KAV160" s="72"/>
      <c r="KAW160" s="72"/>
      <c r="KAX160" s="72"/>
      <c r="KAY160" s="72"/>
      <c r="KAZ160" s="72"/>
      <c r="KBA160" s="72"/>
      <c r="KBB160" s="72"/>
      <c r="KBC160" s="72"/>
      <c r="KBD160" s="72"/>
      <c r="KBE160" s="72"/>
      <c r="KBF160" s="72"/>
      <c r="KBG160" s="72"/>
      <c r="KBH160" s="72"/>
      <c r="KBI160" s="72"/>
      <c r="KBJ160" s="72"/>
      <c r="KBK160" s="72"/>
      <c r="KBL160" s="72"/>
      <c r="KBM160" s="72"/>
      <c r="KBN160" s="72"/>
      <c r="KBO160" s="72"/>
      <c r="KBP160" s="72"/>
      <c r="KBQ160" s="72"/>
      <c r="KBR160" s="72"/>
      <c r="KBS160" s="72"/>
      <c r="KBT160" s="72"/>
      <c r="KBU160" s="72"/>
      <c r="KBV160" s="72"/>
      <c r="KBW160" s="72"/>
      <c r="KBX160" s="72"/>
      <c r="KBY160" s="72"/>
      <c r="KBZ160" s="72"/>
      <c r="KCA160" s="72"/>
      <c r="KCB160" s="72"/>
      <c r="KCC160" s="72"/>
      <c r="KCD160" s="72"/>
      <c r="KCE160" s="72"/>
      <c r="KCF160" s="72"/>
      <c r="KCG160" s="72"/>
      <c r="KCH160" s="72"/>
      <c r="KCI160" s="72"/>
      <c r="KCJ160" s="72"/>
      <c r="KCK160" s="72"/>
      <c r="KCL160" s="72"/>
      <c r="KCM160" s="72"/>
      <c r="KCN160" s="72"/>
      <c r="KCO160" s="72"/>
      <c r="KCP160" s="72"/>
      <c r="KCQ160" s="72"/>
      <c r="KCR160" s="72"/>
      <c r="KCS160" s="72"/>
      <c r="KCT160" s="72"/>
      <c r="KCU160" s="72"/>
      <c r="KCV160" s="72"/>
      <c r="KCW160" s="72"/>
      <c r="KCX160" s="72"/>
      <c r="KCY160" s="72"/>
      <c r="KCZ160" s="72"/>
      <c r="KDA160" s="72"/>
      <c r="KDB160" s="72"/>
      <c r="KDC160" s="72"/>
      <c r="KDD160" s="72"/>
      <c r="KDE160" s="72"/>
      <c r="KDF160" s="72"/>
      <c r="KDG160" s="72"/>
      <c r="KDH160" s="72"/>
      <c r="KDI160" s="72"/>
      <c r="KDJ160" s="72"/>
      <c r="KDK160" s="72"/>
      <c r="KDL160" s="72"/>
      <c r="KDM160" s="72"/>
      <c r="KDN160" s="72"/>
      <c r="KDO160" s="72"/>
      <c r="KDP160" s="72"/>
      <c r="KDQ160" s="72"/>
      <c r="KDR160" s="72"/>
      <c r="KDS160" s="72"/>
      <c r="KDT160" s="72"/>
      <c r="KDU160" s="72"/>
      <c r="KDV160" s="72"/>
      <c r="KDW160" s="72"/>
      <c r="KDX160" s="72"/>
      <c r="KDY160" s="72"/>
      <c r="KDZ160" s="72"/>
      <c r="KEA160" s="72"/>
      <c r="KEB160" s="72"/>
      <c r="KEC160" s="72"/>
      <c r="KED160" s="72"/>
      <c r="KEE160" s="72"/>
      <c r="KEF160" s="72"/>
      <c r="KEG160" s="72"/>
      <c r="KEH160" s="72"/>
      <c r="KEI160" s="72"/>
      <c r="KEJ160" s="72"/>
      <c r="KEK160" s="72"/>
      <c r="KEL160" s="72"/>
      <c r="KEM160" s="72"/>
      <c r="KEN160" s="72"/>
      <c r="KEO160" s="72"/>
      <c r="KEP160" s="72"/>
      <c r="KEQ160" s="72"/>
      <c r="KER160" s="72"/>
      <c r="KES160" s="72"/>
      <c r="KET160" s="72"/>
      <c r="KEU160" s="72"/>
      <c r="KEV160" s="72"/>
      <c r="KEW160" s="72"/>
      <c r="KEX160" s="72"/>
      <c r="KEY160" s="72"/>
      <c r="KEZ160" s="72"/>
      <c r="KFA160" s="72"/>
      <c r="KFB160" s="72"/>
      <c r="KFC160" s="72"/>
      <c r="KFD160" s="72"/>
      <c r="KFE160" s="72"/>
      <c r="KFF160" s="72"/>
      <c r="KFG160" s="72"/>
      <c r="KFH160" s="72"/>
      <c r="KFI160" s="72"/>
      <c r="KFJ160" s="72"/>
      <c r="KFK160" s="72"/>
      <c r="KFL160" s="72"/>
      <c r="KFM160" s="72"/>
      <c r="KFN160" s="72"/>
      <c r="KFO160" s="72"/>
      <c r="KFP160" s="72"/>
      <c r="KFQ160" s="72"/>
      <c r="KFR160" s="72"/>
      <c r="KFS160" s="72"/>
      <c r="KFT160" s="72"/>
      <c r="KFU160" s="72"/>
      <c r="KFV160" s="72"/>
      <c r="KFW160" s="72"/>
      <c r="KFX160" s="72"/>
      <c r="KFY160" s="72"/>
      <c r="KFZ160" s="72"/>
      <c r="KGA160" s="72"/>
      <c r="KGB160" s="72"/>
      <c r="KGC160" s="72"/>
      <c r="KGD160" s="72"/>
      <c r="KGE160" s="72"/>
      <c r="KGF160" s="72"/>
      <c r="KGG160" s="72"/>
      <c r="KGH160" s="72"/>
      <c r="KGI160" s="72"/>
      <c r="KGJ160" s="72"/>
      <c r="KGK160" s="72"/>
      <c r="KGL160" s="72"/>
      <c r="KGM160" s="72"/>
      <c r="KGN160" s="72"/>
      <c r="KGO160" s="72"/>
      <c r="KGP160" s="72"/>
      <c r="KGQ160" s="72"/>
      <c r="KGR160" s="72"/>
      <c r="KGS160" s="72"/>
      <c r="KGT160" s="72"/>
      <c r="KGU160" s="72"/>
      <c r="KGV160" s="72"/>
      <c r="KGW160" s="72"/>
      <c r="KGX160" s="72"/>
      <c r="KGY160" s="72"/>
      <c r="KGZ160" s="72"/>
      <c r="KHA160" s="72"/>
      <c r="KHB160" s="72"/>
      <c r="KHC160" s="72"/>
      <c r="KHD160" s="72"/>
      <c r="KHE160" s="72"/>
      <c r="KHF160" s="72"/>
      <c r="KHG160" s="72"/>
      <c r="KHH160" s="72"/>
      <c r="KHI160" s="72"/>
      <c r="KHJ160" s="72"/>
      <c r="KHK160" s="72"/>
      <c r="KHL160" s="72"/>
      <c r="KHM160" s="72"/>
      <c r="KHN160" s="72"/>
      <c r="KHO160" s="72"/>
      <c r="KHP160" s="72"/>
      <c r="KHQ160" s="72"/>
      <c r="KHR160" s="72"/>
      <c r="KHS160" s="72"/>
      <c r="KHT160" s="72"/>
      <c r="KHU160" s="72"/>
      <c r="KHV160" s="72"/>
      <c r="KHW160" s="72"/>
      <c r="KHX160" s="72"/>
      <c r="KHY160" s="72"/>
      <c r="KHZ160" s="72"/>
      <c r="KIA160" s="72"/>
      <c r="KIB160" s="72"/>
      <c r="KIC160" s="72"/>
      <c r="KID160" s="72"/>
      <c r="KIE160" s="72"/>
      <c r="KIF160" s="72"/>
      <c r="KIG160" s="72"/>
      <c r="KIH160" s="72"/>
      <c r="KII160" s="72"/>
      <c r="KIJ160" s="72"/>
      <c r="KIK160" s="72"/>
      <c r="KIL160" s="72"/>
      <c r="KIM160" s="72"/>
      <c r="KIN160" s="72"/>
      <c r="KIO160" s="72"/>
      <c r="KIP160" s="72"/>
      <c r="KIQ160" s="72"/>
      <c r="KIR160" s="72"/>
      <c r="KIS160" s="72"/>
      <c r="KIT160" s="72"/>
      <c r="KIU160" s="72"/>
      <c r="KIV160" s="72"/>
      <c r="KIW160" s="72"/>
      <c r="KIX160" s="72"/>
      <c r="KIY160" s="72"/>
      <c r="KIZ160" s="72"/>
      <c r="KJA160" s="72"/>
      <c r="KJB160" s="72"/>
      <c r="KJC160" s="72"/>
      <c r="KJD160" s="72"/>
      <c r="KJE160" s="72"/>
      <c r="KJF160" s="72"/>
      <c r="KJG160" s="72"/>
      <c r="KJH160" s="72"/>
      <c r="KJI160" s="72"/>
      <c r="KJJ160" s="72"/>
      <c r="KJK160" s="72"/>
      <c r="KJL160" s="72"/>
      <c r="KJM160" s="72"/>
      <c r="KJN160" s="72"/>
      <c r="KJO160" s="72"/>
      <c r="KJP160" s="72"/>
      <c r="KJQ160" s="72"/>
      <c r="KJR160" s="72"/>
      <c r="KJS160" s="72"/>
      <c r="KJT160" s="72"/>
      <c r="KJU160" s="72"/>
      <c r="KJV160" s="72"/>
      <c r="KJW160" s="72"/>
      <c r="KJX160" s="72"/>
      <c r="KJY160" s="72"/>
      <c r="KJZ160" s="72"/>
      <c r="KKA160" s="72"/>
      <c r="KKB160" s="72"/>
      <c r="KKC160" s="72"/>
      <c r="KKD160" s="72"/>
      <c r="KKE160" s="72"/>
      <c r="KKF160" s="72"/>
      <c r="KKG160" s="72"/>
      <c r="KKH160" s="72"/>
      <c r="KKI160" s="72"/>
      <c r="KKJ160" s="72"/>
      <c r="KKK160" s="72"/>
      <c r="KKL160" s="72"/>
      <c r="KKM160" s="72"/>
      <c r="KKN160" s="72"/>
      <c r="KKO160" s="72"/>
      <c r="KKP160" s="72"/>
      <c r="KKQ160" s="72"/>
      <c r="KKR160" s="72"/>
      <c r="KKS160" s="72"/>
      <c r="KKT160" s="72"/>
      <c r="KKU160" s="72"/>
      <c r="KKV160" s="72"/>
      <c r="KKW160" s="72"/>
      <c r="KKX160" s="72"/>
      <c r="KKY160" s="72"/>
      <c r="KKZ160" s="72"/>
      <c r="KLA160" s="72"/>
      <c r="KLB160" s="72"/>
      <c r="KLC160" s="72"/>
      <c r="KLD160" s="72"/>
      <c r="KLE160" s="72"/>
      <c r="KLF160" s="72"/>
      <c r="KLG160" s="72"/>
      <c r="KLH160" s="72"/>
      <c r="KLI160" s="72"/>
      <c r="KLJ160" s="72"/>
      <c r="KLK160" s="72"/>
      <c r="KLL160" s="72"/>
      <c r="KLM160" s="72"/>
      <c r="KLN160" s="72"/>
      <c r="KLO160" s="72"/>
      <c r="KLP160" s="72"/>
      <c r="KLQ160" s="72"/>
      <c r="KLR160" s="72"/>
      <c r="KLS160" s="72"/>
      <c r="KLT160" s="72"/>
      <c r="KLU160" s="72"/>
      <c r="KLV160" s="72"/>
      <c r="KLW160" s="72"/>
      <c r="KLX160" s="72"/>
      <c r="KLY160" s="72"/>
      <c r="KLZ160" s="72"/>
      <c r="KMA160" s="72"/>
      <c r="KMB160" s="72"/>
      <c r="KMC160" s="72"/>
      <c r="KMD160" s="72"/>
      <c r="KME160" s="72"/>
      <c r="KMF160" s="72"/>
      <c r="KMG160" s="72"/>
      <c r="KMH160" s="72"/>
      <c r="KMI160" s="72"/>
      <c r="KMJ160" s="72"/>
      <c r="KMK160" s="72"/>
      <c r="KML160" s="72"/>
      <c r="KMM160" s="72"/>
      <c r="KMN160" s="72"/>
      <c r="KMO160" s="72"/>
      <c r="KMP160" s="72"/>
      <c r="KMQ160" s="72"/>
      <c r="KMR160" s="72"/>
      <c r="KMS160" s="72"/>
      <c r="KMT160" s="72"/>
      <c r="KMU160" s="72"/>
      <c r="KMV160" s="72"/>
      <c r="KMW160" s="72"/>
      <c r="KMX160" s="72"/>
      <c r="KMY160" s="72"/>
      <c r="KMZ160" s="72"/>
      <c r="KNA160" s="72"/>
      <c r="KNB160" s="72"/>
      <c r="KNC160" s="72"/>
      <c r="KND160" s="72"/>
      <c r="KNE160" s="72"/>
      <c r="KNF160" s="72"/>
      <c r="KNG160" s="72"/>
      <c r="KNH160" s="72"/>
      <c r="KNI160" s="72"/>
      <c r="KNJ160" s="72"/>
      <c r="KNK160" s="72"/>
      <c r="KNL160" s="72"/>
      <c r="KNM160" s="72"/>
      <c r="KNN160" s="72"/>
      <c r="KNO160" s="72"/>
      <c r="KNP160" s="72"/>
      <c r="KNQ160" s="72"/>
      <c r="KNR160" s="72"/>
      <c r="KNS160" s="72"/>
      <c r="KNT160" s="72"/>
      <c r="KNU160" s="72"/>
      <c r="KNV160" s="72"/>
      <c r="KNW160" s="72"/>
      <c r="KNX160" s="72"/>
      <c r="KNY160" s="72"/>
      <c r="KNZ160" s="72"/>
      <c r="KOA160" s="72"/>
      <c r="KOB160" s="72"/>
      <c r="KOC160" s="72"/>
      <c r="KOD160" s="72"/>
      <c r="KOE160" s="72"/>
      <c r="KOF160" s="72"/>
      <c r="KOG160" s="72"/>
      <c r="KOH160" s="72"/>
      <c r="KOI160" s="72"/>
      <c r="KOJ160" s="72"/>
      <c r="KOK160" s="72"/>
      <c r="KOL160" s="72"/>
      <c r="KOM160" s="72"/>
      <c r="KON160" s="72"/>
      <c r="KOO160" s="72"/>
      <c r="KOP160" s="72"/>
      <c r="KOQ160" s="72"/>
      <c r="KOR160" s="72"/>
      <c r="KOS160" s="72"/>
      <c r="KOT160" s="72"/>
      <c r="KOU160" s="72"/>
      <c r="KOV160" s="72"/>
      <c r="KOW160" s="72"/>
      <c r="KOX160" s="72"/>
      <c r="KOY160" s="72"/>
      <c r="KOZ160" s="72"/>
      <c r="KPA160" s="72"/>
      <c r="KPB160" s="72"/>
      <c r="KPC160" s="72"/>
      <c r="KPD160" s="72"/>
      <c r="KPE160" s="72"/>
      <c r="KPF160" s="72"/>
      <c r="KPG160" s="72"/>
      <c r="KPH160" s="72"/>
      <c r="KPI160" s="72"/>
      <c r="KPJ160" s="72"/>
      <c r="KPK160" s="72"/>
      <c r="KPL160" s="72"/>
      <c r="KPM160" s="72"/>
      <c r="KPN160" s="72"/>
      <c r="KPO160" s="72"/>
      <c r="KPP160" s="72"/>
      <c r="KPQ160" s="72"/>
      <c r="KPR160" s="72"/>
      <c r="KPS160" s="72"/>
      <c r="KPT160" s="72"/>
      <c r="KPU160" s="72"/>
      <c r="KPV160" s="72"/>
      <c r="KPW160" s="72"/>
      <c r="KPX160" s="72"/>
      <c r="KPY160" s="72"/>
      <c r="KPZ160" s="72"/>
      <c r="KQA160" s="72"/>
      <c r="KQB160" s="72"/>
      <c r="KQC160" s="72"/>
      <c r="KQD160" s="72"/>
      <c r="KQE160" s="72"/>
      <c r="KQF160" s="72"/>
      <c r="KQG160" s="72"/>
      <c r="KQH160" s="72"/>
      <c r="KQI160" s="72"/>
      <c r="KQJ160" s="72"/>
      <c r="KQK160" s="72"/>
      <c r="KQL160" s="72"/>
      <c r="KQM160" s="72"/>
      <c r="KQN160" s="72"/>
      <c r="KQO160" s="72"/>
      <c r="KQP160" s="72"/>
      <c r="KQQ160" s="72"/>
      <c r="KQR160" s="72"/>
      <c r="KQS160" s="72"/>
      <c r="KQT160" s="72"/>
      <c r="KQU160" s="72"/>
      <c r="KQV160" s="72"/>
      <c r="KQW160" s="72"/>
      <c r="KQX160" s="72"/>
      <c r="KQY160" s="72"/>
      <c r="KQZ160" s="72"/>
      <c r="KRA160" s="72"/>
      <c r="KRB160" s="72"/>
      <c r="KRC160" s="72"/>
      <c r="KRD160" s="72"/>
      <c r="KRE160" s="72"/>
      <c r="KRF160" s="72"/>
      <c r="KRG160" s="72"/>
      <c r="KRH160" s="72"/>
      <c r="KRI160" s="72"/>
      <c r="KRJ160" s="72"/>
      <c r="KRK160" s="72"/>
      <c r="KRL160" s="72"/>
      <c r="KRM160" s="72"/>
      <c r="KRN160" s="72"/>
      <c r="KRO160" s="72"/>
      <c r="KRP160" s="72"/>
      <c r="KRQ160" s="72"/>
      <c r="KRR160" s="72"/>
      <c r="KRS160" s="72"/>
      <c r="KRT160" s="72"/>
      <c r="KRU160" s="72"/>
      <c r="KRV160" s="72"/>
      <c r="KRW160" s="72"/>
      <c r="KRX160" s="72"/>
      <c r="KRY160" s="72"/>
      <c r="KRZ160" s="72"/>
      <c r="KSA160" s="72"/>
      <c r="KSB160" s="72"/>
      <c r="KSC160" s="72"/>
      <c r="KSD160" s="72"/>
      <c r="KSE160" s="72"/>
      <c r="KSF160" s="72"/>
      <c r="KSG160" s="72"/>
      <c r="KSH160" s="72"/>
      <c r="KSI160" s="72"/>
      <c r="KSJ160" s="72"/>
      <c r="KSK160" s="72"/>
      <c r="KSL160" s="72"/>
      <c r="KSM160" s="72"/>
      <c r="KSN160" s="72"/>
      <c r="KSO160" s="72"/>
      <c r="KSP160" s="72"/>
      <c r="KSQ160" s="72"/>
      <c r="KSR160" s="72"/>
      <c r="KSS160" s="72"/>
      <c r="KST160" s="72"/>
      <c r="KSU160" s="72"/>
      <c r="KSV160" s="72"/>
      <c r="KSW160" s="72"/>
      <c r="KSX160" s="72"/>
      <c r="KSY160" s="72"/>
      <c r="KSZ160" s="72"/>
      <c r="KTA160" s="72"/>
      <c r="KTB160" s="72"/>
      <c r="KTC160" s="72"/>
      <c r="KTD160" s="72"/>
      <c r="KTE160" s="72"/>
      <c r="KTF160" s="72"/>
      <c r="KTG160" s="72"/>
      <c r="KTH160" s="72"/>
      <c r="KTI160" s="72"/>
      <c r="KTJ160" s="72"/>
      <c r="KTK160" s="72"/>
      <c r="KTL160" s="72"/>
      <c r="KTM160" s="72"/>
      <c r="KTN160" s="72"/>
      <c r="KTO160" s="72"/>
      <c r="KTP160" s="72"/>
      <c r="KTQ160" s="72"/>
      <c r="KTR160" s="72"/>
      <c r="KTS160" s="72"/>
      <c r="KTT160" s="72"/>
      <c r="KTU160" s="72"/>
      <c r="KTV160" s="72"/>
      <c r="KTW160" s="72"/>
      <c r="KTX160" s="72"/>
      <c r="KTY160" s="72"/>
      <c r="KTZ160" s="72"/>
      <c r="KUA160" s="72"/>
      <c r="KUB160" s="72"/>
      <c r="KUC160" s="72"/>
      <c r="KUD160" s="72"/>
      <c r="KUE160" s="72"/>
      <c r="KUF160" s="72"/>
      <c r="KUG160" s="72"/>
      <c r="KUH160" s="72"/>
      <c r="KUI160" s="72"/>
      <c r="KUJ160" s="72"/>
      <c r="KUK160" s="72"/>
      <c r="KUL160" s="72"/>
      <c r="KUM160" s="72"/>
      <c r="KUN160" s="72"/>
      <c r="KUO160" s="72"/>
      <c r="KUP160" s="72"/>
      <c r="KUQ160" s="72"/>
      <c r="KUR160" s="72"/>
      <c r="KUS160" s="72"/>
      <c r="KUT160" s="72"/>
      <c r="KUU160" s="72"/>
      <c r="KUV160" s="72"/>
      <c r="KUW160" s="72"/>
      <c r="KUX160" s="72"/>
      <c r="KUY160" s="72"/>
      <c r="KUZ160" s="72"/>
      <c r="KVA160" s="72"/>
      <c r="KVB160" s="72"/>
      <c r="KVC160" s="72"/>
      <c r="KVD160" s="72"/>
      <c r="KVE160" s="72"/>
      <c r="KVF160" s="72"/>
      <c r="KVG160" s="72"/>
      <c r="KVH160" s="72"/>
      <c r="KVI160" s="72"/>
      <c r="KVJ160" s="72"/>
      <c r="KVK160" s="72"/>
      <c r="KVL160" s="72"/>
      <c r="KVM160" s="72"/>
      <c r="KVN160" s="72"/>
      <c r="KVO160" s="72"/>
      <c r="KVP160" s="72"/>
      <c r="KVQ160" s="72"/>
      <c r="KVR160" s="72"/>
      <c r="KVS160" s="72"/>
      <c r="KVT160" s="72"/>
      <c r="KVU160" s="72"/>
      <c r="KVV160" s="72"/>
      <c r="KVW160" s="72"/>
      <c r="KVX160" s="72"/>
      <c r="KVY160" s="72"/>
      <c r="KVZ160" s="72"/>
      <c r="KWA160" s="72"/>
      <c r="KWB160" s="72"/>
      <c r="KWC160" s="72"/>
      <c r="KWD160" s="72"/>
      <c r="KWE160" s="72"/>
      <c r="KWF160" s="72"/>
      <c r="KWG160" s="72"/>
      <c r="KWH160" s="72"/>
      <c r="KWI160" s="72"/>
      <c r="KWJ160" s="72"/>
      <c r="KWK160" s="72"/>
      <c r="KWL160" s="72"/>
      <c r="KWM160" s="72"/>
      <c r="KWN160" s="72"/>
      <c r="KWO160" s="72"/>
      <c r="KWP160" s="72"/>
      <c r="KWQ160" s="72"/>
      <c r="KWR160" s="72"/>
      <c r="KWS160" s="72"/>
      <c r="KWT160" s="72"/>
      <c r="KWU160" s="72"/>
      <c r="KWV160" s="72"/>
      <c r="KWW160" s="72"/>
      <c r="KWX160" s="72"/>
      <c r="KWY160" s="72"/>
      <c r="KWZ160" s="72"/>
      <c r="KXA160" s="72"/>
      <c r="KXB160" s="72"/>
      <c r="KXC160" s="72"/>
      <c r="KXD160" s="72"/>
      <c r="KXE160" s="72"/>
      <c r="KXF160" s="72"/>
      <c r="KXG160" s="72"/>
      <c r="KXH160" s="72"/>
      <c r="KXI160" s="72"/>
      <c r="KXJ160" s="72"/>
      <c r="KXK160" s="72"/>
      <c r="KXL160" s="72"/>
      <c r="KXM160" s="72"/>
      <c r="KXN160" s="72"/>
      <c r="KXO160" s="72"/>
      <c r="KXP160" s="72"/>
      <c r="KXQ160" s="72"/>
      <c r="KXR160" s="72"/>
      <c r="KXS160" s="72"/>
      <c r="KXT160" s="72"/>
      <c r="KXU160" s="72"/>
      <c r="KXV160" s="72"/>
      <c r="KXW160" s="72"/>
      <c r="KXX160" s="72"/>
      <c r="KXY160" s="72"/>
      <c r="KXZ160" s="72"/>
      <c r="KYA160" s="72"/>
      <c r="KYB160" s="72"/>
      <c r="KYC160" s="72"/>
      <c r="KYD160" s="72"/>
      <c r="KYE160" s="72"/>
      <c r="KYF160" s="72"/>
      <c r="KYG160" s="72"/>
      <c r="KYH160" s="72"/>
      <c r="KYI160" s="72"/>
      <c r="KYJ160" s="72"/>
      <c r="KYK160" s="72"/>
      <c r="KYL160" s="72"/>
      <c r="KYM160" s="72"/>
      <c r="KYN160" s="72"/>
      <c r="KYO160" s="72"/>
      <c r="KYP160" s="72"/>
      <c r="KYQ160" s="72"/>
      <c r="KYR160" s="72"/>
      <c r="KYS160" s="72"/>
      <c r="KYT160" s="72"/>
      <c r="KYU160" s="72"/>
      <c r="KYV160" s="72"/>
      <c r="KYW160" s="72"/>
      <c r="KYX160" s="72"/>
      <c r="KYY160" s="72"/>
      <c r="KYZ160" s="72"/>
      <c r="KZA160" s="72"/>
      <c r="KZB160" s="72"/>
      <c r="KZC160" s="72"/>
      <c r="KZD160" s="72"/>
      <c r="KZE160" s="72"/>
      <c r="KZF160" s="72"/>
      <c r="KZG160" s="72"/>
      <c r="KZH160" s="72"/>
      <c r="KZI160" s="72"/>
      <c r="KZJ160" s="72"/>
      <c r="KZK160" s="72"/>
      <c r="KZL160" s="72"/>
      <c r="KZM160" s="72"/>
      <c r="KZN160" s="72"/>
      <c r="KZO160" s="72"/>
      <c r="KZP160" s="72"/>
      <c r="KZQ160" s="72"/>
      <c r="KZR160" s="72"/>
      <c r="KZS160" s="72"/>
      <c r="KZT160" s="72"/>
      <c r="KZU160" s="72"/>
      <c r="KZV160" s="72"/>
      <c r="KZW160" s="72"/>
      <c r="KZX160" s="72"/>
      <c r="KZY160" s="72"/>
      <c r="KZZ160" s="72"/>
      <c r="LAA160" s="72"/>
      <c r="LAB160" s="72"/>
      <c r="LAC160" s="72"/>
      <c r="LAD160" s="72"/>
      <c r="LAE160" s="72"/>
      <c r="LAF160" s="72"/>
      <c r="LAG160" s="72"/>
      <c r="LAH160" s="72"/>
      <c r="LAI160" s="72"/>
      <c r="LAJ160" s="72"/>
      <c r="LAK160" s="72"/>
      <c r="LAL160" s="72"/>
      <c r="LAM160" s="72"/>
      <c r="LAN160" s="72"/>
      <c r="LAO160" s="72"/>
      <c r="LAP160" s="72"/>
      <c r="LAQ160" s="72"/>
      <c r="LAR160" s="72"/>
      <c r="LAS160" s="72"/>
      <c r="LAT160" s="72"/>
      <c r="LAU160" s="72"/>
      <c r="LAV160" s="72"/>
      <c r="LAW160" s="72"/>
      <c r="LAX160" s="72"/>
      <c r="LAY160" s="72"/>
      <c r="LAZ160" s="72"/>
      <c r="LBA160" s="72"/>
      <c r="LBB160" s="72"/>
      <c r="LBC160" s="72"/>
      <c r="LBD160" s="72"/>
      <c r="LBE160" s="72"/>
      <c r="LBF160" s="72"/>
      <c r="LBG160" s="72"/>
      <c r="LBH160" s="72"/>
      <c r="LBI160" s="72"/>
      <c r="LBJ160" s="72"/>
      <c r="LBK160" s="72"/>
      <c r="LBL160" s="72"/>
      <c r="LBM160" s="72"/>
      <c r="LBN160" s="72"/>
      <c r="LBO160" s="72"/>
      <c r="LBP160" s="72"/>
      <c r="LBQ160" s="72"/>
      <c r="LBR160" s="72"/>
      <c r="LBS160" s="72"/>
      <c r="LBT160" s="72"/>
      <c r="LBU160" s="72"/>
      <c r="LBV160" s="72"/>
      <c r="LBW160" s="72"/>
      <c r="LBX160" s="72"/>
      <c r="LBY160" s="72"/>
      <c r="LBZ160" s="72"/>
      <c r="LCA160" s="72"/>
      <c r="LCB160" s="72"/>
      <c r="LCC160" s="72"/>
      <c r="LCD160" s="72"/>
      <c r="LCE160" s="72"/>
      <c r="LCF160" s="72"/>
      <c r="LCG160" s="72"/>
      <c r="LCH160" s="72"/>
      <c r="LCI160" s="72"/>
      <c r="LCJ160" s="72"/>
      <c r="LCK160" s="72"/>
      <c r="LCL160" s="72"/>
      <c r="LCM160" s="72"/>
      <c r="LCN160" s="72"/>
      <c r="LCO160" s="72"/>
      <c r="LCP160" s="72"/>
      <c r="LCQ160" s="72"/>
      <c r="LCR160" s="72"/>
      <c r="LCS160" s="72"/>
      <c r="LCT160" s="72"/>
      <c r="LCU160" s="72"/>
      <c r="LCV160" s="72"/>
      <c r="LCW160" s="72"/>
      <c r="LCX160" s="72"/>
      <c r="LCY160" s="72"/>
      <c r="LCZ160" s="72"/>
      <c r="LDA160" s="72"/>
      <c r="LDB160" s="72"/>
      <c r="LDC160" s="72"/>
      <c r="LDD160" s="72"/>
      <c r="LDE160" s="72"/>
      <c r="LDF160" s="72"/>
      <c r="LDG160" s="72"/>
      <c r="LDH160" s="72"/>
      <c r="LDI160" s="72"/>
      <c r="LDJ160" s="72"/>
      <c r="LDK160" s="72"/>
      <c r="LDL160" s="72"/>
      <c r="LDM160" s="72"/>
      <c r="LDN160" s="72"/>
      <c r="LDO160" s="72"/>
      <c r="LDP160" s="72"/>
      <c r="LDQ160" s="72"/>
      <c r="LDR160" s="72"/>
      <c r="LDS160" s="72"/>
      <c r="LDT160" s="72"/>
      <c r="LDU160" s="72"/>
      <c r="LDV160" s="72"/>
      <c r="LDW160" s="72"/>
      <c r="LDX160" s="72"/>
      <c r="LDY160" s="72"/>
      <c r="LDZ160" s="72"/>
      <c r="LEA160" s="72"/>
      <c r="LEB160" s="72"/>
      <c r="LEC160" s="72"/>
      <c r="LED160" s="72"/>
      <c r="LEE160" s="72"/>
      <c r="LEF160" s="72"/>
      <c r="LEG160" s="72"/>
      <c r="LEH160" s="72"/>
      <c r="LEI160" s="72"/>
      <c r="LEJ160" s="72"/>
      <c r="LEK160" s="72"/>
      <c r="LEL160" s="72"/>
      <c r="LEM160" s="72"/>
      <c r="LEN160" s="72"/>
      <c r="LEO160" s="72"/>
      <c r="LEP160" s="72"/>
      <c r="LEQ160" s="72"/>
      <c r="LER160" s="72"/>
      <c r="LES160" s="72"/>
      <c r="LET160" s="72"/>
      <c r="LEU160" s="72"/>
      <c r="LEV160" s="72"/>
      <c r="LEW160" s="72"/>
      <c r="LEX160" s="72"/>
      <c r="LEY160" s="72"/>
      <c r="LEZ160" s="72"/>
      <c r="LFA160" s="72"/>
      <c r="LFB160" s="72"/>
      <c r="LFC160" s="72"/>
      <c r="LFD160" s="72"/>
      <c r="LFE160" s="72"/>
      <c r="LFF160" s="72"/>
      <c r="LFG160" s="72"/>
      <c r="LFH160" s="72"/>
      <c r="LFI160" s="72"/>
      <c r="LFJ160" s="72"/>
      <c r="LFK160" s="72"/>
      <c r="LFL160" s="72"/>
      <c r="LFM160" s="72"/>
      <c r="LFN160" s="72"/>
      <c r="LFO160" s="72"/>
      <c r="LFP160" s="72"/>
      <c r="LFQ160" s="72"/>
      <c r="LFR160" s="72"/>
      <c r="LFS160" s="72"/>
      <c r="LFT160" s="72"/>
      <c r="LFU160" s="72"/>
      <c r="LFV160" s="72"/>
      <c r="LFW160" s="72"/>
      <c r="LFX160" s="72"/>
      <c r="LFY160" s="72"/>
      <c r="LFZ160" s="72"/>
      <c r="LGA160" s="72"/>
      <c r="LGB160" s="72"/>
      <c r="LGC160" s="72"/>
      <c r="LGD160" s="72"/>
      <c r="LGE160" s="72"/>
      <c r="LGF160" s="72"/>
      <c r="LGG160" s="72"/>
      <c r="LGH160" s="72"/>
      <c r="LGI160" s="72"/>
      <c r="LGJ160" s="72"/>
      <c r="LGK160" s="72"/>
      <c r="LGL160" s="72"/>
      <c r="LGM160" s="72"/>
      <c r="LGN160" s="72"/>
      <c r="LGO160" s="72"/>
      <c r="LGP160" s="72"/>
      <c r="LGQ160" s="72"/>
      <c r="LGR160" s="72"/>
      <c r="LGS160" s="72"/>
      <c r="LGT160" s="72"/>
      <c r="LGU160" s="72"/>
      <c r="LGV160" s="72"/>
      <c r="LGW160" s="72"/>
      <c r="LGX160" s="72"/>
      <c r="LGY160" s="72"/>
      <c r="LGZ160" s="72"/>
      <c r="LHA160" s="72"/>
      <c r="LHB160" s="72"/>
      <c r="LHC160" s="72"/>
      <c r="LHD160" s="72"/>
      <c r="LHE160" s="72"/>
      <c r="LHF160" s="72"/>
      <c r="LHG160" s="72"/>
      <c r="LHH160" s="72"/>
      <c r="LHI160" s="72"/>
      <c r="LHJ160" s="72"/>
      <c r="LHK160" s="72"/>
      <c r="LHL160" s="72"/>
      <c r="LHM160" s="72"/>
      <c r="LHN160" s="72"/>
      <c r="LHO160" s="72"/>
      <c r="LHP160" s="72"/>
      <c r="LHQ160" s="72"/>
      <c r="LHR160" s="72"/>
      <c r="LHS160" s="72"/>
      <c r="LHT160" s="72"/>
      <c r="LHU160" s="72"/>
      <c r="LHV160" s="72"/>
      <c r="LHW160" s="72"/>
      <c r="LHX160" s="72"/>
      <c r="LHY160" s="72"/>
      <c r="LHZ160" s="72"/>
      <c r="LIA160" s="72"/>
      <c r="LIB160" s="72"/>
      <c r="LIC160" s="72"/>
      <c r="LID160" s="72"/>
      <c r="LIE160" s="72"/>
      <c r="LIF160" s="72"/>
      <c r="LIG160" s="72"/>
      <c r="LIH160" s="72"/>
      <c r="LII160" s="72"/>
      <c r="LIJ160" s="72"/>
      <c r="LIK160" s="72"/>
      <c r="LIL160" s="72"/>
      <c r="LIM160" s="72"/>
      <c r="LIN160" s="72"/>
      <c r="LIO160" s="72"/>
      <c r="LIP160" s="72"/>
      <c r="LIQ160" s="72"/>
      <c r="LIR160" s="72"/>
      <c r="LIS160" s="72"/>
      <c r="LIT160" s="72"/>
      <c r="LIU160" s="72"/>
      <c r="LIV160" s="72"/>
      <c r="LIW160" s="72"/>
      <c r="LIX160" s="72"/>
      <c r="LIY160" s="72"/>
      <c r="LIZ160" s="72"/>
      <c r="LJA160" s="72"/>
      <c r="LJB160" s="72"/>
      <c r="LJC160" s="72"/>
      <c r="LJD160" s="72"/>
      <c r="LJE160" s="72"/>
      <c r="LJF160" s="72"/>
      <c r="LJG160" s="72"/>
      <c r="LJH160" s="72"/>
      <c r="LJI160" s="72"/>
      <c r="LJJ160" s="72"/>
      <c r="LJK160" s="72"/>
      <c r="LJL160" s="72"/>
      <c r="LJM160" s="72"/>
      <c r="LJN160" s="72"/>
      <c r="LJO160" s="72"/>
      <c r="LJP160" s="72"/>
      <c r="LJQ160" s="72"/>
      <c r="LJR160" s="72"/>
      <c r="LJS160" s="72"/>
      <c r="LJT160" s="72"/>
      <c r="LJU160" s="72"/>
      <c r="LJV160" s="72"/>
      <c r="LJW160" s="72"/>
      <c r="LJX160" s="72"/>
      <c r="LJY160" s="72"/>
      <c r="LJZ160" s="72"/>
      <c r="LKA160" s="72"/>
      <c r="LKB160" s="72"/>
      <c r="LKC160" s="72"/>
      <c r="LKD160" s="72"/>
      <c r="LKE160" s="72"/>
      <c r="LKF160" s="72"/>
      <c r="LKG160" s="72"/>
      <c r="LKH160" s="72"/>
      <c r="LKI160" s="72"/>
      <c r="LKJ160" s="72"/>
      <c r="LKK160" s="72"/>
      <c r="LKL160" s="72"/>
      <c r="LKM160" s="72"/>
      <c r="LKN160" s="72"/>
      <c r="LKO160" s="72"/>
      <c r="LKP160" s="72"/>
      <c r="LKQ160" s="72"/>
      <c r="LKR160" s="72"/>
      <c r="LKS160" s="72"/>
      <c r="LKT160" s="72"/>
      <c r="LKU160" s="72"/>
      <c r="LKV160" s="72"/>
      <c r="LKW160" s="72"/>
      <c r="LKX160" s="72"/>
      <c r="LKY160" s="72"/>
      <c r="LKZ160" s="72"/>
      <c r="LLA160" s="72"/>
      <c r="LLB160" s="72"/>
      <c r="LLC160" s="72"/>
      <c r="LLD160" s="72"/>
      <c r="LLE160" s="72"/>
      <c r="LLF160" s="72"/>
      <c r="LLG160" s="72"/>
      <c r="LLH160" s="72"/>
      <c r="LLI160" s="72"/>
      <c r="LLJ160" s="72"/>
      <c r="LLK160" s="72"/>
      <c r="LLL160" s="72"/>
      <c r="LLM160" s="72"/>
      <c r="LLN160" s="72"/>
      <c r="LLO160" s="72"/>
      <c r="LLP160" s="72"/>
      <c r="LLQ160" s="72"/>
      <c r="LLR160" s="72"/>
      <c r="LLS160" s="72"/>
      <c r="LLT160" s="72"/>
      <c r="LLU160" s="72"/>
      <c r="LLV160" s="72"/>
      <c r="LLW160" s="72"/>
      <c r="LLX160" s="72"/>
      <c r="LLY160" s="72"/>
      <c r="LLZ160" s="72"/>
      <c r="LMA160" s="72"/>
      <c r="LMB160" s="72"/>
      <c r="LMC160" s="72"/>
      <c r="LMD160" s="72"/>
      <c r="LME160" s="72"/>
      <c r="LMF160" s="72"/>
      <c r="LMG160" s="72"/>
      <c r="LMH160" s="72"/>
      <c r="LMI160" s="72"/>
      <c r="LMJ160" s="72"/>
      <c r="LMK160" s="72"/>
      <c r="LML160" s="72"/>
      <c r="LMM160" s="72"/>
      <c r="LMN160" s="72"/>
      <c r="LMO160" s="72"/>
      <c r="LMP160" s="72"/>
      <c r="LMQ160" s="72"/>
      <c r="LMR160" s="72"/>
      <c r="LMS160" s="72"/>
      <c r="LMT160" s="72"/>
      <c r="LMU160" s="72"/>
      <c r="LMV160" s="72"/>
      <c r="LMW160" s="72"/>
      <c r="LMX160" s="72"/>
      <c r="LMY160" s="72"/>
      <c r="LMZ160" s="72"/>
      <c r="LNA160" s="72"/>
      <c r="LNB160" s="72"/>
      <c r="LNC160" s="72"/>
      <c r="LND160" s="72"/>
      <c r="LNE160" s="72"/>
      <c r="LNF160" s="72"/>
      <c r="LNG160" s="72"/>
      <c r="LNH160" s="72"/>
      <c r="LNI160" s="72"/>
      <c r="LNJ160" s="72"/>
      <c r="LNK160" s="72"/>
      <c r="LNL160" s="72"/>
      <c r="LNM160" s="72"/>
      <c r="LNN160" s="72"/>
      <c r="LNO160" s="72"/>
      <c r="LNP160" s="72"/>
      <c r="LNQ160" s="72"/>
      <c r="LNR160" s="72"/>
      <c r="LNS160" s="72"/>
      <c r="LNT160" s="72"/>
      <c r="LNU160" s="72"/>
      <c r="LNV160" s="72"/>
      <c r="LNW160" s="72"/>
      <c r="LNX160" s="72"/>
      <c r="LNY160" s="72"/>
      <c r="LNZ160" s="72"/>
      <c r="LOA160" s="72"/>
      <c r="LOB160" s="72"/>
      <c r="LOC160" s="72"/>
      <c r="LOD160" s="72"/>
      <c r="LOE160" s="72"/>
      <c r="LOF160" s="72"/>
      <c r="LOG160" s="72"/>
      <c r="LOH160" s="72"/>
      <c r="LOI160" s="72"/>
      <c r="LOJ160" s="72"/>
      <c r="LOK160" s="72"/>
      <c r="LOL160" s="72"/>
      <c r="LOM160" s="72"/>
      <c r="LON160" s="72"/>
      <c r="LOO160" s="72"/>
      <c r="LOP160" s="72"/>
      <c r="LOQ160" s="72"/>
      <c r="LOR160" s="72"/>
      <c r="LOS160" s="72"/>
      <c r="LOT160" s="72"/>
      <c r="LOU160" s="72"/>
      <c r="LOV160" s="72"/>
      <c r="LOW160" s="72"/>
      <c r="LOX160" s="72"/>
      <c r="LOY160" s="72"/>
      <c r="LOZ160" s="72"/>
      <c r="LPA160" s="72"/>
      <c r="LPB160" s="72"/>
      <c r="LPC160" s="72"/>
      <c r="LPD160" s="72"/>
      <c r="LPE160" s="72"/>
      <c r="LPF160" s="72"/>
      <c r="LPG160" s="72"/>
      <c r="LPH160" s="72"/>
      <c r="LPI160" s="72"/>
      <c r="LPJ160" s="72"/>
      <c r="LPK160" s="72"/>
      <c r="LPL160" s="72"/>
      <c r="LPM160" s="72"/>
      <c r="LPN160" s="72"/>
      <c r="LPO160" s="72"/>
      <c r="LPP160" s="72"/>
      <c r="LPQ160" s="72"/>
      <c r="LPR160" s="72"/>
      <c r="LPS160" s="72"/>
      <c r="LPT160" s="72"/>
      <c r="LPU160" s="72"/>
      <c r="LPV160" s="72"/>
      <c r="LPW160" s="72"/>
      <c r="LPX160" s="72"/>
      <c r="LPY160" s="72"/>
      <c r="LPZ160" s="72"/>
      <c r="LQA160" s="72"/>
      <c r="LQB160" s="72"/>
      <c r="LQC160" s="72"/>
      <c r="LQD160" s="72"/>
      <c r="LQE160" s="72"/>
      <c r="LQF160" s="72"/>
      <c r="LQG160" s="72"/>
      <c r="LQH160" s="72"/>
      <c r="LQI160" s="72"/>
      <c r="LQJ160" s="72"/>
      <c r="LQK160" s="72"/>
      <c r="LQL160" s="72"/>
      <c r="LQM160" s="72"/>
      <c r="LQN160" s="72"/>
      <c r="LQO160" s="72"/>
      <c r="LQP160" s="72"/>
      <c r="LQQ160" s="72"/>
      <c r="LQR160" s="72"/>
      <c r="LQS160" s="72"/>
      <c r="LQT160" s="72"/>
      <c r="LQU160" s="72"/>
      <c r="LQV160" s="72"/>
      <c r="LQW160" s="72"/>
      <c r="LQX160" s="72"/>
      <c r="LQY160" s="72"/>
      <c r="LQZ160" s="72"/>
      <c r="LRA160" s="72"/>
      <c r="LRB160" s="72"/>
      <c r="LRC160" s="72"/>
      <c r="LRD160" s="72"/>
      <c r="LRE160" s="72"/>
      <c r="LRF160" s="72"/>
      <c r="LRG160" s="72"/>
      <c r="LRH160" s="72"/>
      <c r="LRI160" s="72"/>
      <c r="LRJ160" s="72"/>
      <c r="LRK160" s="72"/>
      <c r="LRL160" s="72"/>
      <c r="LRM160" s="72"/>
      <c r="LRN160" s="72"/>
      <c r="LRO160" s="72"/>
      <c r="LRP160" s="72"/>
      <c r="LRQ160" s="72"/>
      <c r="LRR160" s="72"/>
      <c r="LRS160" s="72"/>
      <c r="LRT160" s="72"/>
      <c r="LRU160" s="72"/>
      <c r="LRV160" s="72"/>
      <c r="LRW160" s="72"/>
      <c r="LRX160" s="72"/>
      <c r="LRY160" s="72"/>
      <c r="LRZ160" s="72"/>
      <c r="LSA160" s="72"/>
      <c r="LSB160" s="72"/>
      <c r="LSC160" s="72"/>
      <c r="LSD160" s="72"/>
      <c r="LSE160" s="72"/>
      <c r="LSF160" s="72"/>
      <c r="LSG160" s="72"/>
      <c r="LSH160" s="72"/>
      <c r="LSI160" s="72"/>
      <c r="LSJ160" s="72"/>
      <c r="LSK160" s="72"/>
      <c r="LSL160" s="72"/>
      <c r="LSM160" s="72"/>
      <c r="LSN160" s="72"/>
      <c r="LSO160" s="72"/>
      <c r="LSP160" s="72"/>
      <c r="LSQ160" s="72"/>
      <c r="LSR160" s="72"/>
      <c r="LSS160" s="72"/>
      <c r="LST160" s="72"/>
      <c r="LSU160" s="72"/>
      <c r="LSV160" s="72"/>
      <c r="LSW160" s="72"/>
      <c r="LSX160" s="72"/>
      <c r="LSY160" s="72"/>
      <c r="LSZ160" s="72"/>
      <c r="LTA160" s="72"/>
      <c r="LTB160" s="72"/>
      <c r="LTC160" s="72"/>
      <c r="LTD160" s="72"/>
      <c r="LTE160" s="72"/>
      <c r="LTF160" s="72"/>
      <c r="LTG160" s="72"/>
      <c r="LTH160" s="72"/>
      <c r="LTI160" s="72"/>
      <c r="LTJ160" s="72"/>
      <c r="LTK160" s="72"/>
      <c r="LTL160" s="72"/>
      <c r="LTM160" s="72"/>
      <c r="LTN160" s="72"/>
      <c r="LTO160" s="72"/>
      <c r="LTP160" s="72"/>
      <c r="LTQ160" s="72"/>
      <c r="LTR160" s="72"/>
      <c r="LTS160" s="72"/>
      <c r="LTT160" s="72"/>
      <c r="LTU160" s="72"/>
      <c r="LTV160" s="72"/>
      <c r="LTW160" s="72"/>
      <c r="LTX160" s="72"/>
      <c r="LTY160" s="72"/>
      <c r="LTZ160" s="72"/>
      <c r="LUA160" s="72"/>
      <c r="LUB160" s="72"/>
      <c r="LUC160" s="72"/>
      <c r="LUD160" s="72"/>
      <c r="LUE160" s="72"/>
      <c r="LUF160" s="72"/>
      <c r="LUG160" s="72"/>
      <c r="LUH160" s="72"/>
      <c r="LUI160" s="72"/>
      <c r="LUJ160" s="72"/>
      <c r="LUK160" s="72"/>
      <c r="LUL160" s="72"/>
      <c r="LUM160" s="72"/>
      <c r="LUN160" s="72"/>
      <c r="LUO160" s="72"/>
      <c r="LUP160" s="72"/>
      <c r="LUQ160" s="72"/>
      <c r="LUR160" s="72"/>
      <c r="LUS160" s="72"/>
      <c r="LUT160" s="72"/>
      <c r="LUU160" s="72"/>
      <c r="LUV160" s="72"/>
      <c r="LUW160" s="72"/>
      <c r="LUX160" s="72"/>
      <c r="LUY160" s="72"/>
      <c r="LUZ160" s="72"/>
      <c r="LVA160" s="72"/>
      <c r="LVB160" s="72"/>
      <c r="LVC160" s="72"/>
      <c r="LVD160" s="72"/>
      <c r="LVE160" s="72"/>
      <c r="LVF160" s="72"/>
      <c r="LVG160" s="72"/>
      <c r="LVH160" s="72"/>
      <c r="LVI160" s="72"/>
      <c r="LVJ160" s="72"/>
      <c r="LVK160" s="72"/>
      <c r="LVL160" s="72"/>
      <c r="LVM160" s="72"/>
      <c r="LVN160" s="72"/>
      <c r="LVO160" s="72"/>
      <c r="LVP160" s="72"/>
      <c r="LVQ160" s="72"/>
      <c r="LVR160" s="72"/>
      <c r="LVS160" s="72"/>
      <c r="LVT160" s="72"/>
      <c r="LVU160" s="72"/>
      <c r="LVV160" s="72"/>
      <c r="LVW160" s="72"/>
      <c r="LVX160" s="72"/>
      <c r="LVY160" s="72"/>
      <c r="LVZ160" s="72"/>
      <c r="LWA160" s="72"/>
      <c r="LWB160" s="72"/>
      <c r="LWC160" s="72"/>
      <c r="LWD160" s="72"/>
      <c r="LWE160" s="72"/>
      <c r="LWF160" s="72"/>
      <c r="LWG160" s="72"/>
      <c r="LWH160" s="72"/>
      <c r="LWI160" s="72"/>
      <c r="LWJ160" s="72"/>
      <c r="LWK160" s="72"/>
      <c r="LWL160" s="72"/>
      <c r="LWM160" s="72"/>
      <c r="LWN160" s="72"/>
      <c r="LWO160" s="72"/>
      <c r="LWP160" s="72"/>
      <c r="LWQ160" s="72"/>
      <c r="LWR160" s="72"/>
      <c r="LWS160" s="72"/>
      <c r="LWT160" s="72"/>
      <c r="LWU160" s="72"/>
      <c r="LWV160" s="72"/>
      <c r="LWW160" s="72"/>
      <c r="LWX160" s="72"/>
      <c r="LWY160" s="72"/>
      <c r="LWZ160" s="72"/>
      <c r="LXA160" s="72"/>
      <c r="LXB160" s="72"/>
      <c r="LXC160" s="72"/>
      <c r="LXD160" s="72"/>
      <c r="LXE160" s="72"/>
      <c r="LXF160" s="72"/>
      <c r="LXG160" s="72"/>
      <c r="LXH160" s="72"/>
      <c r="LXI160" s="72"/>
      <c r="LXJ160" s="72"/>
      <c r="LXK160" s="72"/>
      <c r="LXL160" s="72"/>
      <c r="LXM160" s="72"/>
      <c r="LXN160" s="72"/>
      <c r="LXO160" s="72"/>
      <c r="LXP160" s="72"/>
      <c r="LXQ160" s="72"/>
      <c r="LXR160" s="72"/>
      <c r="LXS160" s="72"/>
      <c r="LXT160" s="72"/>
      <c r="LXU160" s="72"/>
      <c r="LXV160" s="72"/>
      <c r="LXW160" s="72"/>
      <c r="LXX160" s="72"/>
      <c r="LXY160" s="72"/>
      <c r="LXZ160" s="72"/>
      <c r="LYA160" s="72"/>
      <c r="LYB160" s="72"/>
      <c r="LYC160" s="72"/>
      <c r="LYD160" s="72"/>
      <c r="LYE160" s="72"/>
      <c r="LYF160" s="72"/>
      <c r="LYG160" s="72"/>
      <c r="LYH160" s="72"/>
      <c r="LYI160" s="72"/>
      <c r="LYJ160" s="72"/>
      <c r="LYK160" s="72"/>
      <c r="LYL160" s="72"/>
      <c r="LYM160" s="72"/>
      <c r="LYN160" s="72"/>
      <c r="LYO160" s="72"/>
      <c r="LYP160" s="72"/>
      <c r="LYQ160" s="72"/>
      <c r="LYR160" s="72"/>
      <c r="LYS160" s="72"/>
      <c r="LYT160" s="72"/>
      <c r="LYU160" s="72"/>
      <c r="LYV160" s="72"/>
      <c r="LYW160" s="72"/>
      <c r="LYX160" s="72"/>
      <c r="LYY160" s="72"/>
      <c r="LYZ160" s="72"/>
      <c r="LZA160" s="72"/>
      <c r="LZB160" s="72"/>
      <c r="LZC160" s="72"/>
      <c r="LZD160" s="72"/>
      <c r="LZE160" s="72"/>
      <c r="LZF160" s="72"/>
      <c r="LZG160" s="72"/>
      <c r="LZH160" s="72"/>
      <c r="LZI160" s="72"/>
      <c r="LZJ160" s="72"/>
      <c r="LZK160" s="72"/>
      <c r="LZL160" s="72"/>
      <c r="LZM160" s="72"/>
      <c r="LZN160" s="72"/>
      <c r="LZO160" s="72"/>
      <c r="LZP160" s="72"/>
      <c r="LZQ160" s="72"/>
      <c r="LZR160" s="72"/>
      <c r="LZS160" s="72"/>
      <c r="LZT160" s="72"/>
      <c r="LZU160" s="72"/>
      <c r="LZV160" s="72"/>
      <c r="LZW160" s="72"/>
      <c r="LZX160" s="72"/>
      <c r="LZY160" s="72"/>
      <c r="LZZ160" s="72"/>
      <c r="MAA160" s="72"/>
      <c r="MAB160" s="72"/>
      <c r="MAC160" s="72"/>
      <c r="MAD160" s="72"/>
      <c r="MAE160" s="72"/>
      <c r="MAF160" s="72"/>
      <c r="MAG160" s="72"/>
      <c r="MAH160" s="72"/>
      <c r="MAI160" s="72"/>
      <c r="MAJ160" s="72"/>
      <c r="MAK160" s="72"/>
      <c r="MAL160" s="72"/>
      <c r="MAM160" s="72"/>
      <c r="MAN160" s="72"/>
      <c r="MAO160" s="72"/>
      <c r="MAP160" s="72"/>
      <c r="MAQ160" s="72"/>
      <c r="MAR160" s="72"/>
      <c r="MAS160" s="72"/>
      <c r="MAT160" s="72"/>
      <c r="MAU160" s="72"/>
      <c r="MAV160" s="72"/>
      <c r="MAW160" s="72"/>
      <c r="MAX160" s="72"/>
      <c r="MAY160" s="72"/>
      <c r="MAZ160" s="72"/>
      <c r="MBA160" s="72"/>
      <c r="MBB160" s="72"/>
      <c r="MBC160" s="72"/>
      <c r="MBD160" s="72"/>
      <c r="MBE160" s="72"/>
      <c r="MBF160" s="72"/>
      <c r="MBG160" s="72"/>
      <c r="MBH160" s="72"/>
      <c r="MBI160" s="72"/>
      <c r="MBJ160" s="72"/>
      <c r="MBK160" s="72"/>
      <c r="MBL160" s="72"/>
      <c r="MBM160" s="72"/>
      <c r="MBN160" s="72"/>
      <c r="MBO160" s="72"/>
      <c r="MBP160" s="72"/>
      <c r="MBQ160" s="72"/>
      <c r="MBR160" s="72"/>
      <c r="MBS160" s="72"/>
      <c r="MBT160" s="72"/>
      <c r="MBU160" s="72"/>
      <c r="MBV160" s="72"/>
      <c r="MBW160" s="72"/>
      <c r="MBX160" s="72"/>
      <c r="MBY160" s="72"/>
      <c r="MBZ160" s="72"/>
      <c r="MCA160" s="72"/>
      <c r="MCB160" s="72"/>
      <c r="MCC160" s="72"/>
      <c r="MCD160" s="72"/>
      <c r="MCE160" s="72"/>
      <c r="MCF160" s="72"/>
      <c r="MCG160" s="72"/>
      <c r="MCH160" s="72"/>
      <c r="MCI160" s="72"/>
      <c r="MCJ160" s="72"/>
      <c r="MCK160" s="72"/>
      <c r="MCL160" s="72"/>
      <c r="MCM160" s="72"/>
      <c r="MCN160" s="72"/>
      <c r="MCO160" s="72"/>
      <c r="MCP160" s="72"/>
      <c r="MCQ160" s="72"/>
      <c r="MCR160" s="72"/>
      <c r="MCS160" s="72"/>
      <c r="MCT160" s="72"/>
      <c r="MCU160" s="72"/>
      <c r="MCV160" s="72"/>
      <c r="MCW160" s="72"/>
      <c r="MCX160" s="72"/>
      <c r="MCY160" s="72"/>
      <c r="MCZ160" s="72"/>
      <c r="MDA160" s="72"/>
      <c r="MDB160" s="72"/>
      <c r="MDC160" s="72"/>
      <c r="MDD160" s="72"/>
      <c r="MDE160" s="72"/>
      <c r="MDF160" s="72"/>
      <c r="MDG160" s="72"/>
      <c r="MDH160" s="72"/>
      <c r="MDI160" s="72"/>
      <c r="MDJ160" s="72"/>
      <c r="MDK160" s="72"/>
      <c r="MDL160" s="72"/>
      <c r="MDM160" s="72"/>
      <c r="MDN160" s="72"/>
      <c r="MDO160" s="72"/>
      <c r="MDP160" s="72"/>
      <c r="MDQ160" s="72"/>
      <c r="MDR160" s="72"/>
      <c r="MDS160" s="72"/>
      <c r="MDT160" s="72"/>
      <c r="MDU160" s="72"/>
      <c r="MDV160" s="72"/>
      <c r="MDW160" s="72"/>
      <c r="MDX160" s="72"/>
      <c r="MDY160" s="72"/>
      <c r="MDZ160" s="72"/>
      <c r="MEA160" s="72"/>
      <c r="MEB160" s="72"/>
      <c r="MEC160" s="72"/>
      <c r="MED160" s="72"/>
      <c r="MEE160" s="72"/>
      <c r="MEF160" s="72"/>
      <c r="MEG160" s="72"/>
      <c r="MEH160" s="72"/>
      <c r="MEI160" s="72"/>
      <c r="MEJ160" s="72"/>
      <c r="MEK160" s="72"/>
      <c r="MEL160" s="72"/>
      <c r="MEM160" s="72"/>
      <c r="MEN160" s="72"/>
      <c r="MEO160" s="72"/>
      <c r="MEP160" s="72"/>
      <c r="MEQ160" s="72"/>
      <c r="MER160" s="72"/>
      <c r="MES160" s="72"/>
      <c r="MET160" s="72"/>
      <c r="MEU160" s="72"/>
      <c r="MEV160" s="72"/>
      <c r="MEW160" s="72"/>
      <c r="MEX160" s="72"/>
      <c r="MEY160" s="72"/>
      <c r="MEZ160" s="72"/>
      <c r="MFA160" s="72"/>
      <c r="MFB160" s="72"/>
      <c r="MFC160" s="72"/>
      <c r="MFD160" s="72"/>
      <c r="MFE160" s="72"/>
      <c r="MFF160" s="72"/>
      <c r="MFG160" s="72"/>
      <c r="MFH160" s="72"/>
      <c r="MFI160" s="72"/>
      <c r="MFJ160" s="72"/>
      <c r="MFK160" s="72"/>
      <c r="MFL160" s="72"/>
      <c r="MFM160" s="72"/>
      <c r="MFN160" s="72"/>
      <c r="MFO160" s="72"/>
      <c r="MFP160" s="72"/>
      <c r="MFQ160" s="72"/>
      <c r="MFR160" s="72"/>
      <c r="MFS160" s="72"/>
      <c r="MFT160" s="72"/>
      <c r="MFU160" s="72"/>
      <c r="MFV160" s="72"/>
      <c r="MFW160" s="72"/>
      <c r="MFX160" s="72"/>
      <c r="MFY160" s="72"/>
      <c r="MFZ160" s="72"/>
      <c r="MGA160" s="72"/>
      <c r="MGB160" s="72"/>
      <c r="MGC160" s="72"/>
      <c r="MGD160" s="72"/>
      <c r="MGE160" s="72"/>
      <c r="MGF160" s="72"/>
      <c r="MGG160" s="72"/>
      <c r="MGH160" s="72"/>
      <c r="MGI160" s="72"/>
      <c r="MGJ160" s="72"/>
      <c r="MGK160" s="72"/>
      <c r="MGL160" s="72"/>
      <c r="MGM160" s="72"/>
      <c r="MGN160" s="72"/>
      <c r="MGO160" s="72"/>
      <c r="MGP160" s="72"/>
      <c r="MGQ160" s="72"/>
      <c r="MGR160" s="72"/>
      <c r="MGS160" s="72"/>
      <c r="MGT160" s="72"/>
      <c r="MGU160" s="72"/>
      <c r="MGV160" s="72"/>
      <c r="MGW160" s="72"/>
      <c r="MGX160" s="72"/>
      <c r="MGY160" s="72"/>
      <c r="MGZ160" s="72"/>
      <c r="MHA160" s="72"/>
      <c r="MHB160" s="72"/>
      <c r="MHC160" s="72"/>
      <c r="MHD160" s="72"/>
      <c r="MHE160" s="72"/>
      <c r="MHF160" s="72"/>
      <c r="MHG160" s="72"/>
      <c r="MHH160" s="72"/>
      <c r="MHI160" s="72"/>
      <c r="MHJ160" s="72"/>
      <c r="MHK160" s="72"/>
      <c r="MHL160" s="72"/>
      <c r="MHM160" s="72"/>
      <c r="MHN160" s="72"/>
      <c r="MHO160" s="72"/>
      <c r="MHP160" s="72"/>
      <c r="MHQ160" s="72"/>
      <c r="MHR160" s="72"/>
      <c r="MHS160" s="72"/>
      <c r="MHT160" s="72"/>
      <c r="MHU160" s="72"/>
      <c r="MHV160" s="72"/>
      <c r="MHW160" s="72"/>
      <c r="MHX160" s="72"/>
      <c r="MHY160" s="72"/>
      <c r="MHZ160" s="72"/>
      <c r="MIA160" s="72"/>
      <c r="MIB160" s="72"/>
      <c r="MIC160" s="72"/>
      <c r="MID160" s="72"/>
      <c r="MIE160" s="72"/>
      <c r="MIF160" s="72"/>
      <c r="MIG160" s="72"/>
      <c r="MIH160" s="72"/>
      <c r="MII160" s="72"/>
      <c r="MIJ160" s="72"/>
      <c r="MIK160" s="72"/>
      <c r="MIL160" s="72"/>
      <c r="MIM160" s="72"/>
      <c r="MIN160" s="72"/>
      <c r="MIO160" s="72"/>
      <c r="MIP160" s="72"/>
      <c r="MIQ160" s="72"/>
      <c r="MIR160" s="72"/>
      <c r="MIS160" s="72"/>
      <c r="MIT160" s="72"/>
      <c r="MIU160" s="72"/>
      <c r="MIV160" s="72"/>
      <c r="MIW160" s="72"/>
      <c r="MIX160" s="72"/>
      <c r="MIY160" s="72"/>
      <c r="MIZ160" s="72"/>
      <c r="MJA160" s="72"/>
      <c r="MJB160" s="72"/>
      <c r="MJC160" s="72"/>
      <c r="MJD160" s="72"/>
      <c r="MJE160" s="72"/>
      <c r="MJF160" s="72"/>
      <c r="MJG160" s="72"/>
      <c r="MJH160" s="72"/>
      <c r="MJI160" s="72"/>
      <c r="MJJ160" s="72"/>
      <c r="MJK160" s="72"/>
      <c r="MJL160" s="72"/>
      <c r="MJM160" s="72"/>
      <c r="MJN160" s="72"/>
      <c r="MJO160" s="72"/>
      <c r="MJP160" s="72"/>
      <c r="MJQ160" s="72"/>
      <c r="MJR160" s="72"/>
      <c r="MJS160" s="72"/>
      <c r="MJT160" s="72"/>
      <c r="MJU160" s="72"/>
      <c r="MJV160" s="72"/>
      <c r="MJW160" s="72"/>
      <c r="MJX160" s="72"/>
      <c r="MJY160" s="72"/>
      <c r="MJZ160" s="72"/>
      <c r="MKA160" s="72"/>
      <c r="MKB160" s="72"/>
      <c r="MKC160" s="72"/>
      <c r="MKD160" s="72"/>
      <c r="MKE160" s="72"/>
      <c r="MKF160" s="72"/>
      <c r="MKG160" s="72"/>
      <c r="MKH160" s="72"/>
      <c r="MKI160" s="72"/>
      <c r="MKJ160" s="72"/>
      <c r="MKK160" s="72"/>
      <c r="MKL160" s="72"/>
      <c r="MKM160" s="72"/>
      <c r="MKN160" s="72"/>
      <c r="MKO160" s="72"/>
      <c r="MKP160" s="72"/>
      <c r="MKQ160" s="72"/>
      <c r="MKR160" s="72"/>
      <c r="MKS160" s="72"/>
      <c r="MKT160" s="72"/>
      <c r="MKU160" s="72"/>
      <c r="MKV160" s="72"/>
      <c r="MKW160" s="72"/>
      <c r="MKX160" s="72"/>
      <c r="MKY160" s="72"/>
      <c r="MKZ160" s="72"/>
      <c r="MLA160" s="72"/>
      <c r="MLB160" s="72"/>
      <c r="MLC160" s="72"/>
      <c r="MLD160" s="72"/>
      <c r="MLE160" s="72"/>
      <c r="MLF160" s="72"/>
      <c r="MLG160" s="72"/>
      <c r="MLH160" s="72"/>
      <c r="MLI160" s="72"/>
      <c r="MLJ160" s="72"/>
      <c r="MLK160" s="72"/>
      <c r="MLL160" s="72"/>
      <c r="MLM160" s="72"/>
      <c r="MLN160" s="72"/>
      <c r="MLO160" s="72"/>
      <c r="MLP160" s="72"/>
      <c r="MLQ160" s="72"/>
      <c r="MLR160" s="72"/>
      <c r="MLS160" s="72"/>
      <c r="MLT160" s="72"/>
      <c r="MLU160" s="72"/>
      <c r="MLV160" s="72"/>
      <c r="MLW160" s="72"/>
      <c r="MLX160" s="72"/>
      <c r="MLY160" s="72"/>
      <c r="MLZ160" s="72"/>
      <c r="MMA160" s="72"/>
      <c r="MMB160" s="72"/>
      <c r="MMC160" s="72"/>
      <c r="MMD160" s="72"/>
      <c r="MME160" s="72"/>
      <c r="MMF160" s="72"/>
      <c r="MMG160" s="72"/>
      <c r="MMH160" s="72"/>
      <c r="MMI160" s="72"/>
      <c r="MMJ160" s="72"/>
      <c r="MMK160" s="72"/>
      <c r="MML160" s="72"/>
      <c r="MMM160" s="72"/>
      <c r="MMN160" s="72"/>
      <c r="MMO160" s="72"/>
      <c r="MMP160" s="72"/>
      <c r="MMQ160" s="72"/>
      <c r="MMR160" s="72"/>
      <c r="MMS160" s="72"/>
      <c r="MMT160" s="72"/>
      <c r="MMU160" s="72"/>
      <c r="MMV160" s="72"/>
      <c r="MMW160" s="72"/>
      <c r="MMX160" s="72"/>
      <c r="MMY160" s="72"/>
      <c r="MMZ160" s="72"/>
      <c r="MNA160" s="72"/>
      <c r="MNB160" s="72"/>
      <c r="MNC160" s="72"/>
      <c r="MND160" s="72"/>
      <c r="MNE160" s="72"/>
      <c r="MNF160" s="72"/>
      <c r="MNG160" s="72"/>
      <c r="MNH160" s="72"/>
      <c r="MNI160" s="72"/>
      <c r="MNJ160" s="72"/>
      <c r="MNK160" s="72"/>
      <c r="MNL160" s="72"/>
      <c r="MNM160" s="72"/>
      <c r="MNN160" s="72"/>
      <c r="MNO160" s="72"/>
      <c r="MNP160" s="72"/>
      <c r="MNQ160" s="72"/>
      <c r="MNR160" s="72"/>
      <c r="MNS160" s="72"/>
      <c r="MNT160" s="72"/>
      <c r="MNU160" s="72"/>
      <c r="MNV160" s="72"/>
      <c r="MNW160" s="72"/>
      <c r="MNX160" s="72"/>
      <c r="MNY160" s="72"/>
      <c r="MNZ160" s="72"/>
      <c r="MOA160" s="72"/>
      <c r="MOB160" s="72"/>
      <c r="MOC160" s="72"/>
      <c r="MOD160" s="72"/>
      <c r="MOE160" s="72"/>
      <c r="MOF160" s="72"/>
      <c r="MOG160" s="72"/>
      <c r="MOH160" s="72"/>
      <c r="MOI160" s="72"/>
      <c r="MOJ160" s="72"/>
      <c r="MOK160" s="72"/>
      <c r="MOL160" s="72"/>
      <c r="MOM160" s="72"/>
      <c r="MON160" s="72"/>
      <c r="MOO160" s="72"/>
      <c r="MOP160" s="72"/>
      <c r="MOQ160" s="72"/>
      <c r="MOR160" s="72"/>
      <c r="MOS160" s="72"/>
      <c r="MOT160" s="72"/>
      <c r="MOU160" s="72"/>
      <c r="MOV160" s="72"/>
      <c r="MOW160" s="72"/>
      <c r="MOX160" s="72"/>
      <c r="MOY160" s="72"/>
      <c r="MOZ160" s="72"/>
      <c r="MPA160" s="72"/>
      <c r="MPB160" s="72"/>
      <c r="MPC160" s="72"/>
      <c r="MPD160" s="72"/>
      <c r="MPE160" s="72"/>
      <c r="MPF160" s="72"/>
      <c r="MPG160" s="72"/>
      <c r="MPH160" s="72"/>
      <c r="MPI160" s="72"/>
      <c r="MPJ160" s="72"/>
      <c r="MPK160" s="72"/>
      <c r="MPL160" s="72"/>
      <c r="MPM160" s="72"/>
      <c r="MPN160" s="72"/>
      <c r="MPO160" s="72"/>
      <c r="MPP160" s="72"/>
      <c r="MPQ160" s="72"/>
      <c r="MPR160" s="72"/>
      <c r="MPS160" s="72"/>
      <c r="MPT160" s="72"/>
      <c r="MPU160" s="72"/>
      <c r="MPV160" s="72"/>
      <c r="MPW160" s="72"/>
      <c r="MPX160" s="72"/>
      <c r="MPY160" s="72"/>
      <c r="MPZ160" s="72"/>
      <c r="MQA160" s="72"/>
      <c r="MQB160" s="72"/>
      <c r="MQC160" s="72"/>
      <c r="MQD160" s="72"/>
      <c r="MQE160" s="72"/>
      <c r="MQF160" s="72"/>
      <c r="MQG160" s="72"/>
      <c r="MQH160" s="72"/>
      <c r="MQI160" s="72"/>
      <c r="MQJ160" s="72"/>
      <c r="MQK160" s="72"/>
      <c r="MQL160" s="72"/>
      <c r="MQM160" s="72"/>
      <c r="MQN160" s="72"/>
      <c r="MQO160" s="72"/>
      <c r="MQP160" s="72"/>
      <c r="MQQ160" s="72"/>
      <c r="MQR160" s="72"/>
      <c r="MQS160" s="72"/>
      <c r="MQT160" s="72"/>
      <c r="MQU160" s="72"/>
      <c r="MQV160" s="72"/>
      <c r="MQW160" s="72"/>
      <c r="MQX160" s="72"/>
      <c r="MQY160" s="72"/>
      <c r="MQZ160" s="72"/>
      <c r="MRA160" s="72"/>
      <c r="MRB160" s="72"/>
      <c r="MRC160" s="72"/>
      <c r="MRD160" s="72"/>
      <c r="MRE160" s="72"/>
      <c r="MRF160" s="72"/>
      <c r="MRG160" s="72"/>
      <c r="MRH160" s="72"/>
      <c r="MRI160" s="72"/>
      <c r="MRJ160" s="72"/>
      <c r="MRK160" s="72"/>
      <c r="MRL160" s="72"/>
      <c r="MRM160" s="72"/>
      <c r="MRN160" s="72"/>
      <c r="MRO160" s="72"/>
      <c r="MRP160" s="72"/>
      <c r="MRQ160" s="72"/>
      <c r="MRR160" s="72"/>
      <c r="MRS160" s="72"/>
      <c r="MRT160" s="72"/>
      <c r="MRU160" s="72"/>
      <c r="MRV160" s="72"/>
      <c r="MRW160" s="72"/>
      <c r="MRX160" s="72"/>
      <c r="MRY160" s="72"/>
      <c r="MRZ160" s="72"/>
      <c r="MSA160" s="72"/>
      <c r="MSB160" s="72"/>
      <c r="MSC160" s="72"/>
      <c r="MSD160" s="72"/>
      <c r="MSE160" s="72"/>
      <c r="MSF160" s="72"/>
      <c r="MSG160" s="72"/>
      <c r="MSH160" s="72"/>
      <c r="MSI160" s="72"/>
      <c r="MSJ160" s="72"/>
      <c r="MSK160" s="72"/>
      <c r="MSL160" s="72"/>
      <c r="MSM160" s="72"/>
      <c r="MSN160" s="72"/>
      <c r="MSO160" s="72"/>
      <c r="MSP160" s="72"/>
      <c r="MSQ160" s="72"/>
      <c r="MSR160" s="72"/>
      <c r="MSS160" s="72"/>
      <c r="MST160" s="72"/>
      <c r="MSU160" s="72"/>
      <c r="MSV160" s="72"/>
      <c r="MSW160" s="72"/>
      <c r="MSX160" s="72"/>
      <c r="MSY160" s="72"/>
      <c r="MSZ160" s="72"/>
      <c r="MTA160" s="72"/>
      <c r="MTB160" s="72"/>
      <c r="MTC160" s="72"/>
      <c r="MTD160" s="72"/>
      <c r="MTE160" s="72"/>
      <c r="MTF160" s="72"/>
      <c r="MTG160" s="72"/>
      <c r="MTH160" s="72"/>
      <c r="MTI160" s="72"/>
      <c r="MTJ160" s="72"/>
      <c r="MTK160" s="72"/>
      <c r="MTL160" s="72"/>
      <c r="MTM160" s="72"/>
      <c r="MTN160" s="72"/>
      <c r="MTO160" s="72"/>
      <c r="MTP160" s="72"/>
      <c r="MTQ160" s="72"/>
      <c r="MTR160" s="72"/>
      <c r="MTS160" s="72"/>
      <c r="MTT160" s="72"/>
      <c r="MTU160" s="72"/>
      <c r="MTV160" s="72"/>
      <c r="MTW160" s="72"/>
      <c r="MTX160" s="72"/>
      <c r="MTY160" s="72"/>
      <c r="MTZ160" s="72"/>
      <c r="MUA160" s="72"/>
      <c r="MUB160" s="72"/>
      <c r="MUC160" s="72"/>
      <c r="MUD160" s="72"/>
      <c r="MUE160" s="72"/>
      <c r="MUF160" s="72"/>
      <c r="MUG160" s="72"/>
      <c r="MUH160" s="72"/>
      <c r="MUI160" s="72"/>
      <c r="MUJ160" s="72"/>
      <c r="MUK160" s="72"/>
      <c r="MUL160" s="72"/>
      <c r="MUM160" s="72"/>
      <c r="MUN160" s="72"/>
      <c r="MUO160" s="72"/>
      <c r="MUP160" s="72"/>
      <c r="MUQ160" s="72"/>
      <c r="MUR160" s="72"/>
      <c r="MUS160" s="72"/>
      <c r="MUT160" s="72"/>
      <c r="MUU160" s="72"/>
      <c r="MUV160" s="72"/>
      <c r="MUW160" s="72"/>
      <c r="MUX160" s="72"/>
      <c r="MUY160" s="72"/>
      <c r="MUZ160" s="72"/>
      <c r="MVA160" s="72"/>
      <c r="MVB160" s="72"/>
      <c r="MVC160" s="72"/>
      <c r="MVD160" s="72"/>
      <c r="MVE160" s="72"/>
      <c r="MVF160" s="72"/>
      <c r="MVG160" s="72"/>
      <c r="MVH160" s="72"/>
      <c r="MVI160" s="72"/>
      <c r="MVJ160" s="72"/>
      <c r="MVK160" s="72"/>
      <c r="MVL160" s="72"/>
      <c r="MVM160" s="72"/>
      <c r="MVN160" s="72"/>
      <c r="MVO160" s="72"/>
      <c r="MVP160" s="72"/>
      <c r="MVQ160" s="72"/>
      <c r="MVR160" s="72"/>
      <c r="MVS160" s="72"/>
      <c r="MVT160" s="72"/>
      <c r="MVU160" s="72"/>
      <c r="MVV160" s="72"/>
      <c r="MVW160" s="72"/>
      <c r="MVX160" s="72"/>
      <c r="MVY160" s="72"/>
      <c r="MVZ160" s="72"/>
      <c r="MWA160" s="72"/>
      <c r="MWB160" s="72"/>
      <c r="MWC160" s="72"/>
      <c r="MWD160" s="72"/>
      <c r="MWE160" s="72"/>
      <c r="MWF160" s="72"/>
      <c r="MWG160" s="72"/>
      <c r="MWH160" s="72"/>
      <c r="MWI160" s="72"/>
      <c r="MWJ160" s="72"/>
      <c r="MWK160" s="72"/>
      <c r="MWL160" s="72"/>
      <c r="MWM160" s="72"/>
      <c r="MWN160" s="72"/>
      <c r="MWO160" s="72"/>
      <c r="MWP160" s="72"/>
      <c r="MWQ160" s="72"/>
      <c r="MWR160" s="72"/>
      <c r="MWS160" s="72"/>
      <c r="MWT160" s="72"/>
      <c r="MWU160" s="72"/>
      <c r="MWV160" s="72"/>
      <c r="MWW160" s="72"/>
      <c r="MWX160" s="72"/>
      <c r="MWY160" s="72"/>
      <c r="MWZ160" s="72"/>
      <c r="MXA160" s="72"/>
      <c r="MXB160" s="72"/>
      <c r="MXC160" s="72"/>
      <c r="MXD160" s="72"/>
      <c r="MXE160" s="72"/>
      <c r="MXF160" s="72"/>
      <c r="MXG160" s="72"/>
      <c r="MXH160" s="72"/>
      <c r="MXI160" s="72"/>
      <c r="MXJ160" s="72"/>
      <c r="MXK160" s="72"/>
      <c r="MXL160" s="72"/>
      <c r="MXM160" s="72"/>
      <c r="MXN160" s="72"/>
      <c r="MXO160" s="72"/>
      <c r="MXP160" s="72"/>
      <c r="MXQ160" s="72"/>
      <c r="MXR160" s="72"/>
      <c r="MXS160" s="72"/>
      <c r="MXT160" s="72"/>
      <c r="MXU160" s="72"/>
      <c r="MXV160" s="72"/>
      <c r="MXW160" s="72"/>
      <c r="MXX160" s="72"/>
      <c r="MXY160" s="72"/>
      <c r="MXZ160" s="72"/>
      <c r="MYA160" s="72"/>
      <c r="MYB160" s="72"/>
      <c r="MYC160" s="72"/>
      <c r="MYD160" s="72"/>
      <c r="MYE160" s="72"/>
      <c r="MYF160" s="72"/>
      <c r="MYG160" s="72"/>
      <c r="MYH160" s="72"/>
      <c r="MYI160" s="72"/>
      <c r="MYJ160" s="72"/>
      <c r="MYK160" s="72"/>
      <c r="MYL160" s="72"/>
      <c r="MYM160" s="72"/>
      <c r="MYN160" s="72"/>
      <c r="MYO160" s="72"/>
      <c r="MYP160" s="72"/>
      <c r="MYQ160" s="72"/>
      <c r="MYR160" s="72"/>
      <c r="MYS160" s="72"/>
      <c r="MYT160" s="72"/>
      <c r="MYU160" s="72"/>
      <c r="MYV160" s="72"/>
      <c r="MYW160" s="72"/>
      <c r="MYX160" s="72"/>
      <c r="MYY160" s="72"/>
      <c r="MYZ160" s="72"/>
      <c r="MZA160" s="72"/>
      <c r="MZB160" s="72"/>
      <c r="MZC160" s="72"/>
      <c r="MZD160" s="72"/>
      <c r="MZE160" s="72"/>
      <c r="MZF160" s="72"/>
      <c r="MZG160" s="72"/>
      <c r="MZH160" s="72"/>
      <c r="MZI160" s="72"/>
      <c r="MZJ160" s="72"/>
      <c r="MZK160" s="72"/>
      <c r="MZL160" s="72"/>
      <c r="MZM160" s="72"/>
      <c r="MZN160" s="72"/>
      <c r="MZO160" s="72"/>
      <c r="MZP160" s="72"/>
      <c r="MZQ160" s="72"/>
      <c r="MZR160" s="72"/>
      <c r="MZS160" s="72"/>
      <c r="MZT160" s="72"/>
      <c r="MZU160" s="72"/>
      <c r="MZV160" s="72"/>
      <c r="MZW160" s="72"/>
      <c r="MZX160" s="72"/>
      <c r="MZY160" s="72"/>
      <c r="MZZ160" s="72"/>
      <c r="NAA160" s="72"/>
      <c r="NAB160" s="72"/>
      <c r="NAC160" s="72"/>
      <c r="NAD160" s="72"/>
      <c r="NAE160" s="72"/>
      <c r="NAF160" s="72"/>
      <c r="NAG160" s="72"/>
      <c r="NAH160" s="72"/>
      <c r="NAI160" s="72"/>
      <c r="NAJ160" s="72"/>
      <c r="NAK160" s="72"/>
      <c r="NAL160" s="72"/>
      <c r="NAM160" s="72"/>
      <c r="NAN160" s="72"/>
      <c r="NAO160" s="72"/>
      <c r="NAP160" s="72"/>
      <c r="NAQ160" s="72"/>
      <c r="NAR160" s="72"/>
      <c r="NAS160" s="72"/>
      <c r="NAT160" s="72"/>
      <c r="NAU160" s="72"/>
      <c r="NAV160" s="72"/>
      <c r="NAW160" s="72"/>
      <c r="NAX160" s="72"/>
      <c r="NAY160" s="72"/>
      <c r="NAZ160" s="72"/>
      <c r="NBA160" s="72"/>
      <c r="NBB160" s="72"/>
      <c r="NBC160" s="72"/>
      <c r="NBD160" s="72"/>
      <c r="NBE160" s="72"/>
      <c r="NBF160" s="72"/>
      <c r="NBG160" s="72"/>
      <c r="NBH160" s="72"/>
      <c r="NBI160" s="72"/>
      <c r="NBJ160" s="72"/>
      <c r="NBK160" s="72"/>
      <c r="NBL160" s="72"/>
      <c r="NBM160" s="72"/>
      <c r="NBN160" s="72"/>
      <c r="NBO160" s="72"/>
      <c r="NBP160" s="72"/>
      <c r="NBQ160" s="72"/>
      <c r="NBR160" s="72"/>
      <c r="NBS160" s="72"/>
      <c r="NBT160" s="72"/>
      <c r="NBU160" s="72"/>
      <c r="NBV160" s="72"/>
      <c r="NBW160" s="72"/>
      <c r="NBX160" s="72"/>
      <c r="NBY160" s="72"/>
      <c r="NBZ160" s="72"/>
      <c r="NCA160" s="72"/>
      <c r="NCB160" s="72"/>
      <c r="NCC160" s="72"/>
      <c r="NCD160" s="72"/>
      <c r="NCE160" s="72"/>
      <c r="NCF160" s="72"/>
      <c r="NCG160" s="72"/>
      <c r="NCH160" s="72"/>
      <c r="NCI160" s="72"/>
      <c r="NCJ160" s="72"/>
      <c r="NCK160" s="72"/>
      <c r="NCL160" s="72"/>
      <c r="NCM160" s="72"/>
      <c r="NCN160" s="72"/>
      <c r="NCO160" s="72"/>
      <c r="NCP160" s="72"/>
      <c r="NCQ160" s="72"/>
      <c r="NCR160" s="72"/>
      <c r="NCS160" s="72"/>
      <c r="NCT160" s="72"/>
      <c r="NCU160" s="72"/>
      <c r="NCV160" s="72"/>
      <c r="NCW160" s="72"/>
      <c r="NCX160" s="72"/>
      <c r="NCY160" s="72"/>
      <c r="NCZ160" s="72"/>
      <c r="NDA160" s="72"/>
      <c r="NDB160" s="72"/>
      <c r="NDC160" s="72"/>
      <c r="NDD160" s="72"/>
      <c r="NDE160" s="72"/>
      <c r="NDF160" s="72"/>
      <c r="NDG160" s="72"/>
      <c r="NDH160" s="72"/>
      <c r="NDI160" s="72"/>
      <c r="NDJ160" s="72"/>
      <c r="NDK160" s="72"/>
      <c r="NDL160" s="72"/>
      <c r="NDM160" s="72"/>
      <c r="NDN160" s="72"/>
      <c r="NDO160" s="72"/>
      <c r="NDP160" s="72"/>
      <c r="NDQ160" s="72"/>
      <c r="NDR160" s="72"/>
      <c r="NDS160" s="72"/>
      <c r="NDT160" s="72"/>
      <c r="NDU160" s="72"/>
      <c r="NDV160" s="72"/>
      <c r="NDW160" s="72"/>
      <c r="NDX160" s="72"/>
      <c r="NDY160" s="72"/>
      <c r="NDZ160" s="72"/>
      <c r="NEA160" s="72"/>
      <c r="NEB160" s="72"/>
      <c r="NEC160" s="72"/>
      <c r="NED160" s="72"/>
      <c r="NEE160" s="72"/>
      <c r="NEF160" s="72"/>
      <c r="NEG160" s="72"/>
      <c r="NEH160" s="72"/>
      <c r="NEI160" s="72"/>
      <c r="NEJ160" s="72"/>
      <c r="NEK160" s="72"/>
      <c r="NEL160" s="72"/>
      <c r="NEM160" s="72"/>
      <c r="NEN160" s="72"/>
      <c r="NEO160" s="72"/>
      <c r="NEP160" s="72"/>
      <c r="NEQ160" s="72"/>
      <c r="NER160" s="72"/>
      <c r="NES160" s="72"/>
      <c r="NET160" s="72"/>
      <c r="NEU160" s="72"/>
      <c r="NEV160" s="72"/>
      <c r="NEW160" s="72"/>
      <c r="NEX160" s="72"/>
      <c r="NEY160" s="72"/>
      <c r="NEZ160" s="72"/>
      <c r="NFA160" s="72"/>
      <c r="NFB160" s="72"/>
      <c r="NFC160" s="72"/>
      <c r="NFD160" s="72"/>
      <c r="NFE160" s="72"/>
      <c r="NFF160" s="72"/>
      <c r="NFG160" s="72"/>
      <c r="NFH160" s="72"/>
      <c r="NFI160" s="72"/>
      <c r="NFJ160" s="72"/>
      <c r="NFK160" s="72"/>
      <c r="NFL160" s="72"/>
      <c r="NFM160" s="72"/>
      <c r="NFN160" s="72"/>
      <c r="NFO160" s="72"/>
      <c r="NFP160" s="72"/>
      <c r="NFQ160" s="72"/>
      <c r="NFR160" s="72"/>
      <c r="NFS160" s="72"/>
      <c r="NFT160" s="72"/>
      <c r="NFU160" s="72"/>
      <c r="NFV160" s="72"/>
      <c r="NFW160" s="72"/>
      <c r="NFX160" s="72"/>
      <c r="NFY160" s="72"/>
      <c r="NFZ160" s="72"/>
      <c r="NGA160" s="72"/>
      <c r="NGB160" s="72"/>
      <c r="NGC160" s="72"/>
      <c r="NGD160" s="72"/>
      <c r="NGE160" s="72"/>
      <c r="NGF160" s="72"/>
      <c r="NGG160" s="72"/>
      <c r="NGH160" s="72"/>
      <c r="NGI160" s="72"/>
      <c r="NGJ160" s="72"/>
      <c r="NGK160" s="72"/>
      <c r="NGL160" s="72"/>
      <c r="NGM160" s="72"/>
      <c r="NGN160" s="72"/>
      <c r="NGO160" s="72"/>
      <c r="NGP160" s="72"/>
      <c r="NGQ160" s="72"/>
      <c r="NGR160" s="72"/>
      <c r="NGS160" s="72"/>
      <c r="NGT160" s="72"/>
      <c r="NGU160" s="72"/>
      <c r="NGV160" s="72"/>
      <c r="NGW160" s="72"/>
      <c r="NGX160" s="72"/>
      <c r="NGY160" s="72"/>
      <c r="NGZ160" s="72"/>
      <c r="NHA160" s="72"/>
      <c r="NHB160" s="72"/>
      <c r="NHC160" s="72"/>
      <c r="NHD160" s="72"/>
      <c r="NHE160" s="72"/>
      <c r="NHF160" s="72"/>
      <c r="NHG160" s="72"/>
      <c r="NHH160" s="72"/>
      <c r="NHI160" s="72"/>
      <c r="NHJ160" s="72"/>
      <c r="NHK160" s="72"/>
      <c r="NHL160" s="72"/>
      <c r="NHM160" s="72"/>
      <c r="NHN160" s="72"/>
      <c r="NHO160" s="72"/>
      <c r="NHP160" s="72"/>
      <c r="NHQ160" s="72"/>
      <c r="NHR160" s="72"/>
      <c r="NHS160" s="72"/>
      <c r="NHT160" s="72"/>
      <c r="NHU160" s="72"/>
      <c r="NHV160" s="72"/>
      <c r="NHW160" s="72"/>
      <c r="NHX160" s="72"/>
      <c r="NHY160" s="72"/>
      <c r="NHZ160" s="72"/>
      <c r="NIA160" s="72"/>
      <c r="NIB160" s="72"/>
      <c r="NIC160" s="72"/>
      <c r="NID160" s="72"/>
      <c r="NIE160" s="72"/>
      <c r="NIF160" s="72"/>
      <c r="NIG160" s="72"/>
      <c r="NIH160" s="72"/>
      <c r="NII160" s="72"/>
      <c r="NIJ160" s="72"/>
      <c r="NIK160" s="72"/>
      <c r="NIL160" s="72"/>
      <c r="NIM160" s="72"/>
      <c r="NIN160" s="72"/>
      <c r="NIO160" s="72"/>
      <c r="NIP160" s="72"/>
      <c r="NIQ160" s="72"/>
      <c r="NIR160" s="72"/>
      <c r="NIS160" s="72"/>
      <c r="NIT160" s="72"/>
      <c r="NIU160" s="72"/>
      <c r="NIV160" s="72"/>
      <c r="NIW160" s="72"/>
      <c r="NIX160" s="72"/>
      <c r="NIY160" s="72"/>
      <c r="NIZ160" s="72"/>
      <c r="NJA160" s="72"/>
      <c r="NJB160" s="72"/>
      <c r="NJC160" s="72"/>
      <c r="NJD160" s="72"/>
      <c r="NJE160" s="72"/>
      <c r="NJF160" s="72"/>
      <c r="NJG160" s="72"/>
      <c r="NJH160" s="72"/>
      <c r="NJI160" s="72"/>
      <c r="NJJ160" s="72"/>
      <c r="NJK160" s="72"/>
      <c r="NJL160" s="72"/>
      <c r="NJM160" s="72"/>
      <c r="NJN160" s="72"/>
      <c r="NJO160" s="72"/>
      <c r="NJP160" s="72"/>
      <c r="NJQ160" s="72"/>
      <c r="NJR160" s="72"/>
      <c r="NJS160" s="72"/>
      <c r="NJT160" s="72"/>
      <c r="NJU160" s="72"/>
      <c r="NJV160" s="72"/>
      <c r="NJW160" s="72"/>
      <c r="NJX160" s="72"/>
      <c r="NJY160" s="72"/>
      <c r="NJZ160" s="72"/>
      <c r="NKA160" s="72"/>
      <c r="NKB160" s="72"/>
      <c r="NKC160" s="72"/>
      <c r="NKD160" s="72"/>
      <c r="NKE160" s="72"/>
      <c r="NKF160" s="72"/>
      <c r="NKG160" s="72"/>
      <c r="NKH160" s="72"/>
      <c r="NKI160" s="72"/>
      <c r="NKJ160" s="72"/>
      <c r="NKK160" s="72"/>
      <c r="NKL160" s="72"/>
      <c r="NKM160" s="72"/>
      <c r="NKN160" s="72"/>
      <c r="NKO160" s="72"/>
      <c r="NKP160" s="72"/>
      <c r="NKQ160" s="72"/>
      <c r="NKR160" s="72"/>
      <c r="NKS160" s="72"/>
      <c r="NKT160" s="72"/>
      <c r="NKU160" s="72"/>
      <c r="NKV160" s="72"/>
      <c r="NKW160" s="72"/>
      <c r="NKX160" s="72"/>
      <c r="NKY160" s="72"/>
      <c r="NKZ160" s="72"/>
      <c r="NLA160" s="72"/>
      <c r="NLB160" s="72"/>
      <c r="NLC160" s="72"/>
      <c r="NLD160" s="72"/>
      <c r="NLE160" s="72"/>
      <c r="NLF160" s="72"/>
      <c r="NLG160" s="72"/>
      <c r="NLH160" s="72"/>
      <c r="NLI160" s="72"/>
      <c r="NLJ160" s="72"/>
      <c r="NLK160" s="72"/>
      <c r="NLL160" s="72"/>
      <c r="NLM160" s="72"/>
      <c r="NLN160" s="72"/>
      <c r="NLO160" s="72"/>
      <c r="NLP160" s="72"/>
      <c r="NLQ160" s="72"/>
      <c r="NLR160" s="72"/>
      <c r="NLS160" s="72"/>
      <c r="NLT160" s="72"/>
      <c r="NLU160" s="72"/>
      <c r="NLV160" s="72"/>
      <c r="NLW160" s="72"/>
      <c r="NLX160" s="72"/>
      <c r="NLY160" s="72"/>
      <c r="NLZ160" s="72"/>
      <c r="NMA160" s="72"/>
      <c r="NMB160" s="72"/>
      <c r="NMC160" s="72"/>
      <c r="NMD160" s="72"/>
      <c r="NME160" s="72"/>
      <c r="NMF160" s="72"/>
      <c r="NMG160" s="72"/>
      <c r="NMH160" s="72"/>
      <c r="NMI160" s="72"/>
      <c r="NMJ160" s="72"/>
      <c r="NMK160" s="72"/>
      <c r="NML160" s="72"/>
      <c r="NMM160" s="72"/>
      <c r="NMN160" s="72"/>
      <c r="NMO160" s="72"/>
      <c r="NMP160" s="72"/>
      <c r="NMQ160" s="72"/>
      <c r="NMR160" s="72"/>
      <c r="NMS160" s="72"/>
      <c r="NMT160" s="72"/>
      <c r="NMU160" s="72"/>
      <c r="NMV160" s="72"/>
      <c r="NMW160" s="72"/>
      <c r="NMX160" s="72"/>
      <c r="NMY160" s="72"/>
      <c r="NMZ160" s="72"/>
      <c r="NNA160" s="72"/>
      <c r="NNB160" s="72"/>
      <c r="NNC160" s="72"/>
      <c r="NND160" s="72"/>
      <c r="NNE160" s="72"/>
      <c r="NNF160" s="72"/>
      <c r="NNG160" s="72"/>
      <c r="NNH160" s="72"/>
      <c r="NNI160" s="72"/>
      <c r="NNJ160" s="72"/>
      <c r="NNK160" s="72"/>
      <c r="NNL160" s="72"/>
      <c r="NNM160" s="72"/>
      <c r="NNN160" s="72"/>
      <c r="NNO160" s="72"/>
      <c r="NNP160" s="72"/>
      <c r="NNQ160" s="72"/>
      <c r="NNR160" s="72"/>
      <c r="NNS160" s="72"/>
      <c r="NNT160" s="72"/>
      <c r="NNU160" s="72"/>
      <c r="NNV160" s="72"/>
      <c r="NNW160" s="72"/>
      <c r="NNX160" s="72"/>
      <c r="NNY160" s="72"/>
      <c r="NNZ160" s="72"/>
      <c r="NOA160" s="72"/>
      <c r="NOB160" s="72"/>
      <c r="NOC160" s="72"/>
      <c r="NOD160" s="72"/>
      <c r="NOE160" s="72"/>
      <c r="NOF160" s="72"/>
      <c r="NOG160" s="72"/>
      <c r="NOH160" s="72"/>
      <c r="NOI160" s="72"/>
      <c r="NOJ160" s="72"/>
      <c r="NOK160" s="72"/>
      <c r="NOL160" s="72"/>
      <c r="NOM160" s="72"/>
      <c r="NON160" s="72"/>
      <c r="NOO160" s="72"/>
      <c r="NOP160" s="72"/>
      <c r="NOQ160" s="72"/>
      <c r="NOR160" s="72"/>
      <c r="NOS160" s="72"/>
      <c r="NOT160" s="72"/>
      <c r="NOU160" s="72"/>
      <c r="NOV160" s="72"/>
      <c r="NOW160" s="72"/>
      <c r="NOX160" s="72"/>
      <c r="NOY160" s="72"/>
      <c r="NOZ160" s="72"/>
      <c r="NPA160" s="72"/>
      <c r="NPB160" s="72"/>
      <c r="NPC160" s="72"/>
      <c r="NPD160" s="72"/>
      <c r="NPE160" s="72"/>
      <c r="NPF160" s="72"/>
      <c r="NPG160" s="72"/>
      <c r="NPH160" s="72"/>
      <c r="NPI160" s="72"/>
      <c r="NPJ160" s="72"/>
      <c r="NPK160" s="72"/>
      <c r="NPL160" s="72"/>
      <c r="NPM160" s="72"/>
      <c r="NPN160" s="72"/>
      <c r="NPO160" s="72"/>
      <c r="NPP160" s="72"/>
      <c r="NPQ160" s="72"/>
      <c r="NPR160" s="72"/>
      <c r="NPS160" s="72"/>
      <c r="NPT160" s="72"/>
      <c r="NPU160" s="72"/>
      <c r="NPV160" s="72"/>
      <c r="NPW160" s="72"/>
      <c r="NPX160" s="72"/>
      <c r="NPY160" s="72"/>
      <c r="NPZ160" s="72"/>
      <c r="NQA160" s="72"/>
      <c r="NQB160" s="72"/>
      <c r="NQC160" s="72"/>
      <c r="NQD160" s="72"/>
      <c r="NQE160" s="72"/>
      <c r="NQF160" s="72"/>
      <c r="NQG160" s="72"/>
      <c r="NQH160" s="72"/>
      <c r="NQI160" s="72"/>
      <c r="NQJ160" s="72"/>
      <c r="NQK160" s="72"/>
      <c r="NQL160" s="72"/>
      <c r="NQM160" s="72"/>
      <c r="NQN160" s="72"/>
      <c r="NQO160" s="72"/>
      <c r="NQP160" s="72"/>
      <c r="NQQ160" s="72"/>
      <c r="NQR160" s="72"/>
      <c r="NQS160" s="72"/>
      <c r="NQT160" s="72"/>
      <c r="NQU160" s="72"/>
      <c r="NQV160" s="72"/>
      <c r="NQW160" s="72"/>
      <c r="NQX160" s="72"/>
      <c r="NQY160" s="72"/>
      <c r="NQZ160" s="72"/>
      <c r="NRA160" s="72"/>
      <c r="NRB160" s="72"/>
      <c r="NRC160" s="72"/>
      <c r="NRD160" s="72"/>
      <c r="NRE160" s="72"/>
      <c r="NRF160" s="72"/>
      <c r="NRG160" s="72"/>
      <c r="NRH160" s="72"/>
      <c r="NRI160" s="72"/>
      <c r="NRJ160" s="72"/>
      <c r="NRK160" s="72"/>
      <c r="NRL160" s="72"/>
      <c r="NRM160" s="72"/>
      <c r="NRN160" s="72"/>
      <c r="NRO160" s="72"/>
      <c r="NRP160" s="72"/>
      <c r="NRQ160" s="72"/>
      <c r="NRR160" s="72"/>
      <c r="NRS160" s="72"/>
      <c r="NRT160" s="72"/>
      <c r="NRU160" s="72"/>
      <c r="NRV160" s="72"/>
      <c r="NRW160" s="72"/>
      <c r="NRX160" s="72"/>
      <c r="NRY160" s="72"/>
      <c r="NRZ160" s="72"/>
      <c r="NSA160" s="72"/>
      <c r="NSB160" s="72"/>
      <c r="NSC160" s="72"/>
      <c r="NSD160" s="72"/>
      <c r="NSE160" s="72"/>
      <c r="NSF160" s="72"/>
      <c r="NSG160" s="72"/>
      <c r="NSH160" s="72"/>
      <c r="NSI160" s="72"/>
      <c r="NSJ160" s="72"/>
      <c r="NSK160" s="72"/>
      <c r="NSL160" s="72"/>
      <c r="NSM160" s="72"/>
      <c r="NSN160" s="72"/>
      <c r="NSO160" s="72"/>
      <c r="NSP160" s="72"/>
      <c r="NSQ160" s="72"/>
      <c r="NSR160" s="72"/>
      <c r="NSS160" s="72"/>
      <c r="NST160" s="72"/>
      <c r="NSU160" s="72"/>
      <c r="NSV160" s="72"/>
      <c r="NSW160" s="72"/>
      <c r="NSX160" s="72"/>
      <c r="NSY160" s="72"/>
      <c r="NSZ160" s="72"/>
      <c r="NTA160" s="72"/>
      <c r="NTB160" s="72"/>
      <c r="NTC160" s="72"/>
      <c r="NTD160" s="72"/>
      <c r="NTE160" s="72"/>
      <c r="NTF160" s="72"/>
      <c r="NTG160" s="72"/>
      <c r="NTH160" s="72"/>
      <c r="NTI160" s="72"/>
      <c r="NTJ160" s="72"/>
      <c r="NTK160" s="72"/>
      <c r="NTL160" s="72"/>
      <c r="NTM160" s="72"/>
      <c r="NTN160" s="72"/>
      <c r="NTO160" s="72"/>
      <c r="NTP160" s="72"/>
      <c r="NTQ160" s="72"/>
      <c r="NTR160" s="72"/>
      <c r="NTS160" s="72"/>
      <c r="NTT160" s="72"/>
      <c r="NTU160" s="72"/>
      <c r="NTV160" s="72"/>
      <c r="NTW160" s="72"/>
      <c r="NTX160" s="72"/>
      <c r="NTY160" s="72"/>
      <c r="NTZ160" s="72"/>
      <c r="NUA160" s="72"/>
      <c r="NUB160" s="72"/>
      <c r="NUC160" s="72"/>
      <c r="NUD160" s="72"/>
      <c r="NUE160" s="72"/>
      <c r="NUF160" s="72"/>
      <c r="NUG160" s="72"/>
      <c r="NUH160" s="72"/>
      <c r="NUI160" s="72"/>
      <c r="NUJ160" s="72"/>
      <c r="NUK160" s="72"/>
      <c r="NUL160" s="72"/>
      <c r="NUM160" s="72"/>
      <c r="NUN160" s="72"/>
      <c r="NUO160" s="72"/>
      <c r="NUP160" s="72"/>
      <c r="NUQ160" s="72"/>
      <c r="NUR160" s="72"/>
      <c r="NUS160" s="72"/>
      <c r="NUT160" s="72"/>
      <c r="NUU160" s="72"/>
      <c r="NUV160" s="72"/>
      <c r="NUW160" s="72"/>
      <c r="NUX160" s="72"/>
      <c r="NUY160" s="72"/>
      <c r="NUZ160" s="72"/>
      <c r="NVA160" s="72"/>
      <c r="NVB160" s="72"/>
      <c r="NVC160" s="72"/>
      <c r="NVD160" s="72"/>
      <c r="NVE160" s="72"/>
      <c r="NVF160" s="72"/>
      <c r="NVG160" s="72"/>
      <c r="NVH160" s="72"/>
      <c r="NVI160" s="72"/>
      <c r="NVJ160" s="72"/>
      <c r="NVK160" s="72"/>
      <c r="NVL160" s="72"/>
      <c r="NVM160" s="72"/>
      <c r="NVN160" s="72"/>
      <c r="NVO160" s="72"/>
      <c r="NVP160" s="72"/>
      <c r="NVQ160" s="72"/>
      <c r="NVR160" s="72"/>
      <c r="NVS160" s="72"/>
      <c r="NVT160" s="72"/>
      <c r="NVU160" s="72"/>
      <c r="NVV160" s="72"/>
      <c r="NVW160" s="72"/>
      <c r="NVX160" s="72"/>
      <c r="NVY160" s="72"/>
      <c r="NVZ160" s="72"/>
      <c r="NWA160" s="72"/>
      <c r="NWB160" s="72"/>
      <c r="NWC160" s="72"/>
      <c r="NWD160" s="72"/>
      <c r="NWE160" s="72"/>
      <c r="NWF160" s="72"/>
      <c r="NWG160" s="72"/>
      <c r="NWH160" s="72"/>
      <c r="NWI160" s="72"/>
      <c r="NWJ160" s="72"/>
      <c r="NWK160" s="72"/>
      <c r="NWL160" s="72"/>
      <c r="NWM160" s="72"/>
      <c r="NWN160" s="72"/>
      <c r="NWO160" s="72"/>
      <c r="NWP160" s="72"/>
      <c r="NWQ160" s="72"/>
      <c r="NWR160" s="72"/>
      <c r="NWS160" s="72"/>
      <c r="NWT160" s="72"/>
      <c r="NWU160" s="72"/>
      <c r="NWV160" s="72"/>
      <c r="NWW160" s="72"/>
      <c r="NWX160" s="72"/>
      <c r="NWY160" s="72"/>
      <c r="NWZ160" s="72"/>
      <c r="NXA160" s="72"/>
      <c r="NXB160" s="72"/>
      <c r="NXC160" s="72"/>
      <c r="NXD160" s="72"/>
      <c r="NXE160" s="72"/>
      <c r="NXF160" s="72"/>
      <c r="NXG160" s="72"/>
      <c r="NXH160" s="72"/>
      <c r="NXI160" s="72"/>
      <c r="NXJ160" s="72"/>
      <c r="NXK160" s="72"/>
      <c r="NXL160" s="72"/>
      <c r="NXM160" s="72"/>
      <c r="NXN160" s="72"/>
      <c r="NXO160" s="72"/>
      <c r="NXP160" s="72"/>
      <c r="NXQ160" s="72"/>
      <c r="NXR160" s="72"/>
      <c r="NXS160" s="72"/>
      <c r="NXT160" s="72"/>
      <c r="NXU160" s="72"/>
      <c r="NXV160" s="72"/>
      <c r="NXW160" s="72"/>
      <c r="NXX160" s="72"/>
      <c r="NXY160" s="72"/>
      <c r="NXZ160" s="72"/>
      <c r="NYA160" s="72"/>
      <c r="NYB160" s="72"/>
      <c r="NYC160" s="72"/>
      <c r="NYD160" s="72"/>
      <c r="NYE160" s="72"/>
      <c r="NYF160" s="72"/>
      <c r="NYG160" s="72"/>
      <c r="NYH160" s="72"/>
      <c r="NYI160" s="72"/>
      <c r="NYJ160" s="72"/>
      <c r="NYK160" s="72"/>
      <c r="NYL160" s="72"/>
      <c r="NYM160" s="72"/>
      <c r="NYN160" s="72"/>
      <c r="NYO160" s="72"/>
      <c r="NYP160" s="72"/>
      <c r="NYQ160" s="72"/>
      <c r="NYR160" s="72"/>
      <c r="NYS160" s="72"/>
      <c r="NYT160" s="72"/>
      <c r="NYU160" s="72"/>
      <c r="NYV160" s="72"/>
      <c r="NYW160" s="72"/>
      <c r="NYX160" s="72"/>
      <c r="NYY160" s="72"/>
      <c r="NYZ160" s="72"/>
      <c r="NZA160" s="72"/>
      <c r="NZB160" s="72"/>
      <c r="NZC160" s="72"/>
      <c r="NZD160" s="72"/>
      <c r="NZE160" s="72"/>
      <c r="NZF160" s="72"/>
      <c r="NZG160" s="72"/>
      <c r="NZH160" s="72"/>
      <c r="NZI160" s="72"/>
      <c r="NZJ160" s="72"/>
      <c r="NZK160" s="72"/>
      <c r="NZL160" s="72"/>
      <c r="NZM160" s="72"/>
      <c r="NZN160" s="72"/>
      <c r="NZO160" s="72"/>
      <c r="NZP160" s="72"/>
      <c r="NZQ160" s="72"/>
      <c r="NZR160" s="72"/>
      <c r="NZS160" s="72"/>
      <c r="NZT160" s="72"/>
      <c r="NZU160" s="72"/>
      <c r="NZV160" s="72"/>
      <c r="NZW160" s="72"/>
      <c r="NZX160" s="72"/>
      <c r="NZY160" s="72"/>
      <c r="NZZ160" s="72"/>
      <c r="OAA160" s="72"/>
      <c r="OAB160" s="72"/>
      <c r="OAC160" s="72"/>
      <c r="OAD160" s="72"/>
      <c r="OAE160" s="72"/>
      <c r="OAF160" s="72"/>
      <c r="OAG160" s="72"/>
      <c r="OAH160" s="72"/>
      <c r="OAI160" s="72"/>
      <c r="OAJ160" s="72"/>
      <c r="OAK160" s="72"/>
      <c r="OAL160" s="72"/>
      <c r="OAM160" s="72"/>
      <c r="OAN160" s="72"/>
      <c r="OAO160" s="72"/>
      <c r="OAP160" s="72"/>
      <c r="OAQ160" s="72"/>
      <c r="OAR160" s="72"/>
      <c r="OAS160" s="72"/>
      <c r="OAT160" s="72"/>
      <c r="OAU160" s="72"/>
      <c r="OAV160" s="72"/>
      <c r="OAW160" s="72"/>
      <c r="OAX160" s="72"/>
      <c r="OAY160" s="72"/>
      <c r="OAZ160" s="72"/>
      <c r="OBA160" s="72"/>
      <c r="OBB160" s="72"/>
      <c r="OBC160" s="72"/>
      <c r="OBD160" s="72"/>
      <c r="OBE160" s="72"/>
      <c r="OBF160" s="72"/>
      <c r="OBG160" s="72"/>
      <c r="OBH160" s="72"/>
      <c r="OBI160" s="72"/>
      <c r="OBJ160" s="72"/>
      <c r="OBK160" s="72"/>
      <c r="OBL160" s="72"/>
      <c r="OBM160" s="72"/>
      <c r="OBN160" s="72"/>
      <c r="OBO160" s="72"/>
      <c r="OBP160" s="72"/>
      <c r="OBQ160" s="72"/>
      <c r="OBR160" s="72"/>
      <c r="OBS160" s="72"/>
      <c r="OBT160" s="72"/>
      <c r="OBU160" s="72"/>
      <c r="OBV160" s="72"/>
      <c r="OBW160" s="72"/>
      <c r="OBX160" s="72"/>
      <c r="OBY160" s="72"/>
      <c r="OBZ160" s="72"/>
      <c r="OCA160" s="72"/>
      <c r="OCB160" s="72"/>
      <c r="OCC160" s="72"/>
      <c r="OCD160" s="72"/>
      <c r="OCE160" s="72"/>
      <c r="OCF160" s="72"/>
      <c r="OCG160" s="72"/>
      <c r="OCH160" s="72"/>
      <c r="OCI160" s="72"/>
      <c r="OCJ160" s="72"/>
      <c r="OCK160" s="72"/>
      <c r="OCL160" s="72"/>
      <c r="OCM160" s="72"/>
      <c r="OCN160" s="72"/>
      <c r="OCO160" s="72"/>
      <c r="OCP160" s="72"/>
      <c r="OCQ160" s="72"/>
      <c r="OCR160" s="72"/>
      <c r="OCS160" s="72"/>
      <c r="OCT160" s="72"/>
      <c r="OCU160" s="72"/>
      <c r="OCV160" s="72"/>
      <c r="OCW160" s="72"/>
      <c r="OCX160" s="72"/>
      <c r="OCY160" s="72"/>
      <c r="OCZ160" s="72"/>
      <c r="ODA160" s="72"/>
      <c r="ODB160" s="72"/>
      <c r="ODC160" s="72"/>
      <c r="ODD160" s="72"/>
      <c r="ODE160" s="72"/>
      <c r="ODF160" s="72"/>
      <c r="ODG160" s="72"/>
      <c r="ODH160" s="72"/>
      <c r="ODI160" s="72"/>
      <c r="ODJ160" s="72"/>
      <c r="ODK160" s="72"/>
      <c r="ODL160" s="72"/>
      <c r="ODM160" s="72"/>
      <c r="ODN160" s="72"/>
      <c r="ODO160" s="72"/>
      <c r="ODP160" s="72"/>
      <c r="ODQ160" s="72"/>
      <c r="ODR160" s="72"/>
      <c r="ODS160" s="72"/>
      <c r="ODT160" s="72"/>
      <c r="ODU160" s="72"/>
      <c r="ODV160" s="72"/>
      <c r="ODW160" s="72"/>
      <c r="ODX160" s="72"/>
      <c r="ODY160" s="72"/>
      <c r="ODZ160" s="72"/>
      <c r="OEA160" s="72"/>
      <c r="OEB160" s="72"/>
      <c r="OEC160" s="72"/>
      <c r="OED160" s="72"/>
      <c r="OEE160" s="72"/>
      <c r="OEF160" s="72"/>
      <c r="OEG160" s="72"/>
      <c r="OEH160" s="72"/>
      <c r="OEI160" s="72"/>
      <c r="OEJ160" s="72"/>
      <c r="OEK160" s="72"/>
      <c r="OEL160" s="72"/>
      <c r="OEM160" s="72"/>
      <c r="OEN160" s="72"/>
      <c r="OEO160" s="72"/>
      <c r="OEP160" s="72"/>
      <c r="OEQ160" s="72"/>
      <c r="OER160" s="72"/>
      <c r="OES160" s="72"/>
      <c r="OET160" s="72"/>
      <c r="OEU160" s="72"/>
      <c r="OEV160" s="72"/>
      <c r="OEW160" s="72"/>
      <c r="OEX160" s="72"/>
      <c r="OEY160" s="72"/>
      <c r="OEZ160" s="72"/>
      <c r="OFA160" s="72"/>
      <c r="OFB160" s="72"/>
      <c r="OFC160" s="72"/>
      <c r="OFD160" s="72"/>
      <c r="OFE160" s="72"/>
      <c r="OFF160" s="72"/>
      <c r="OFG160" s="72"/>
      <c r="OFH160" s="72"/>
      <c r="OFI160" s="72"/>
      <c r="OFJ160" s="72"/>
      <c r="OFK160" s="72"/>
      <c r="OFL160" s="72"/>
      <c r="OFM160" s="72"/>
      <c r="OFN160" s="72"/>
      <c r="OFO160" s="72"/>
      <c r="OFP160" s="72"/>
      <c r="OFQ160" s="72"/>
      <c r="OFR160" s="72"/>
      <c r="OFS160" s="72"/>
      <c r="OFT160" s="72"/>
      <c r="OFU160" s="72"/>
      <c r="OFV160" s="72"/>
      <c r="OFW160" s="72"/>
      <c r="OFX160" s="72"/>
      <c r="OFY160" s="72"/>
      <c r="OFZ160" s="72"/>
      <c r="OGA160" s="72"/>
      <c r="OGB160" s="72"/>
      <c r="OGC160" s="72"/>
      <c r="OGD160" s="72"/>
      <c r="OGE160" s="72"/>
      <c r="OGF160" s="72"/>
      <c r="OGG160" s="72"/>
      <c r="OGH160" s="72"/>
      <c r="OGI160" s="72"/>
      <c r="OGJ160" s="72"/>
      <c r="OGK160" s="72"/>
      <c r="OGL160" s="72"/>
      <c r="OGM160" s="72"/>
      <c r="OGN160" s="72"/>
      <c r="OGO160" s="72"/>
      <c r="OGP160" s="72"/>
      <c r="OGQ160" s="72"/>
      <c r="OGR160" s="72"/>
      <c r="OGS160" s="72"/>
      <c r="OGT160" s="72"/>
      <c r="OGU160" s="72"/>
      <c r="OGV160" s="72"/>
      <c r="OGW160" s="72"/>
      <c r="OGX160" s="72"/>
      <c r="OGY160" s="72"/>
      <c r="OGZ160" s="72"/>
      <c r="OHA160" s="72"/>
      <c r="OHB160" s="72"/>
      <c r="OHC160" s="72"/>
      <c r="OHD160" s="72"/>
      <c r="OHE160" s="72"/>
      <c r="OHF160" s="72"/>
      <c r="OHG160" s="72"/>
      <c r="OHH160" s="72"/>
      <c r="OHI160" s="72"/>
      <c r="OHJ160" s="72"/>
      <c r="OHK160" s="72"/>
      <c r="OHL160" s="72"/>
      <c r="OHM160" s="72"/>
      <c r="OHN160" s="72"/>
      <c r="OHO160" s="72"/>
      <c r="OHP160" s="72"/>
      <c r="OHQ160" s="72"/>
      <c r="OHR160" s="72"/>
      <c r="OHS160" s="72"/>
      <c r="OHT160" s="72"/>
      <c r="OHU160" s="72"/>
      <c r="OHV160" s="72"/>
      <c r="OHW160" s="72"/>
      <c r="OHX160" s="72"/>
      <c r="OHY160" s="72"/>
      <c r="OHZ160" s="72"/>
      <c r="OIA160" s="72"/>
      <c r="OIB160" s="72"/>
      <c r="OIC160" s="72"/>
      <c r="OID160" s="72"/>
      <c r="OIE160" s="72"/>
      <c r="OIF160" s="72"/>
      <c r="OIG160" s="72"/>
      <c r="OIH160" s="72"/>
      <c r="OII160" s="72"/>
      <c r="OIJ160" s="72"/>
      <c r="OIK160" s="72"/>
      <c r="OIL160" s="72"/>
      <c r="OIM160" s="72"/>
      <c r="OIN160" s="72"/>
      <c r="OIO160" s="72"/>
      <c r="OIP160" s="72"/>
      <c r="OIQ160" s="72"/>
      <c r="OIR160" s="72"/>
      <c r="OIS160" s="72"/>
      <c r="OIT160" s="72"/>
      <c r="OIU160" s="72"/>
      <c r="OIV160" s="72"/>
      <c r="OIW160" s="72"/>
      <c r="OIX160" s="72"/>
      <c r="OIY160" s="72"/>
      <c r="OIZ160" s="72"/>
      <c r="OJA160" s="72"/>
      <c r="OJB160" s="72"/>
      <c r="OJC160" s="72"/>
      <c r="OJD160" s="72"/>
      <c r="OJE160" s="72"/>
      <c r="OJF160" s="72"/>
      <c r="OJG160" s="72"/>
      <c r="OJH160" s="72"/>
      <c r="OJI160" s="72"/>
      <c r="OJJ160" s="72"/>
      <c r="OJK160" s="72"/>
      <c r="OJL160" s="72"/>
      <c r="OJM160" s="72"/>
      <c r="OJN160" s="72"/>
      <c r="OJO160" s="72"/>
      <c r="OJP160" s="72"/>
      <c r="OJQ160" s="72"/>
      <c r="OJR160" s="72"/>
      <c r="OJS160" s="72"/>
      <c r="OJT160" s="72"/>
      <c r="OJU160" s="72"/>
      <c r="OJV160" s="72"/>
      <c r="OJW160" s="72"/>
      <c r="OJX160" s="72"/>
      <c r="OJY160" s="72"/>
      <c r="OJZ160" s="72"/>
      <c r="OKA160" s="72"/>
      <c r="OKB160" s="72"/>
      <c r="OKC160" s="72"/>
      <c r="OKD160" s="72"/>
      <c r="OKE160" s="72"/>
      <c r="OKF160" s="72"/>
      <c r="OKG160" s="72"/>
      <c r="OKH160" s="72"/>
      <c r="OKI160" s="72"/>
      <c r="OKJ160" s="72"/>
      <c r="OKK160" s="72"/>
      <c r="OKL160" s="72"/>
      <c r="OKM160" s="72"/>
      <c r="OKN160" s="72"/>
      <c r="OKO160" s="72"/>
      <c r="OKP160" s="72"/>
      <c r="OKQ160" s="72"/>
      <c r="OKR160" s="72"/>
      <c r="OKS160" s="72"/>
      <c r="OKT160" s="72"/>
      <c r="OKU160" s="72"/>
      <c r="OKV160" s="72"/>
      <c r="OKW160" s="72"/>
      <c r="OKX160" s="72"/>
      <c r="OKY160" s="72"/>
      <c r="OKZ160" s="72"/>
      <c r="OLA160" s="72"/>
      <c r="OLB160" s="72"/>
      <c r="OLC160" s="72"/>
      <c r="OLD160" s="72"/>
      <c r="OLE160" s="72"/>
      <c r="OLF160" s="72"/>
      <c r="OLG160" s="72"/>
      <c r="OLH160" s="72"/>
      <c r="OLI160" s="72"/>
      <c r="OLJ160" s="72"/>
      <c r="OLK160" s="72"/>
      <c r="OLL160" s="72"/>
      <c r="OLM160" s="72"/>
      <c r="OLN160" s="72"/>
      <c r="OLO160" s="72"/>
      <c r="OLP160" s="72"/>
      <c r="OLQ160" s="72"/>
      <c r="OLR160" s="72"/>
      <c r="OLS160" s="72"/>
      <c r="OLT160" s="72"/>
      <c r="OLU160" s="72"/>
      <c r="OLV160" s="72"/>
      <c r="OLW160" s="72"/>
      <c r="OLX160" s="72"/>
      <c r="OLY160" s="72"/>
      <c r="OLZ160" s="72"/>
      <c r="OMA160" s="72"/>
      <c r="OMB160" s="72"/>
      <c r="OMC160" s="72"/>
      <c r="OMD160" s="72"/>
      <c r="OME160" s="72"/>
      <c r="OMF160" s="72"/>
      <c r="OMG160" s="72"/>
      <c r="OMH160" s="72"/>
      <c r="OMI160" s="72"/>
      <c r="OMJ160" s="72"/>
      <c r="OMK160" s="72"/>
      <c r="OML160" s="72"/>
      <c r="OMM160" s="72"/>
      <c r="OMN160" s="72"/>
      <c r="OMO160" s="72"/>
      <c r="OMP160" s="72"/>
      <c r="OMQ160" s="72"/>
      <c r="OMR160" s="72"/>
      <c r="OMS160" s="72"/>
      <c r="OMT160" s="72"/>
      <c r="OMU160" s="72"/>
      <c r="OMV160" s="72"/>
      <c r="OMW160" s="72"/>
      <c r="OMX160" s="72"/>
      <c r="OMY160" s="72"/>
      <c r="OMZ160" s="72"/>
      <c r="ONA160" s="72"/>
      <c r="ONB160" s="72"/>
      <c r="ONC160" s="72"/>
      <c r="OND160" s="72"/>
      <c r="ONE160" s="72"/>
      <c r="ONF160" s="72"/>
      <c r="ONG160" s="72"/>
      <c r="ONH160" s="72"/>
      <c r="ONI160" s="72"/>
      <c r="ONJ160" s="72"/>
      <c r="ONK160" s="72"/>
      <c r="ONL160" s="72"/>
      <c r="ONM160" s="72"/>
      <c r="ONN160" s="72"/>
      <c r="ONO160" s="72"/>
      <c r="ONP160" s="72"/>
      <c r="ONQ160" s="72"/>
      <c r="ONR160" s="72"/>
      <c r="ONS160" s="72"/>
      <c r="ONT160" s="72"/>
      <c r="ONU160" s="72"/>
      <c r="ONV160" s="72"/>
      <c r="ONW160" s="72"/>
      <c r="ONX160" s="72"/>
      <c r="ONY160" s="72"/>
      <c r="ONZ160" s="72"/>
      <c r="OOA160" s="72"/>
      <c r="OOB160" s="72"/>
      <c r="OOC160" s="72"/>
      <c r="OOD160" s="72"/>
      <c r="OOE160" s="72"/>
      <c r="OOF160" s="72"/>
      <c r="OOG160" s="72"/>
      <c r="OOH160" s="72"/>
      <c r="OOI160" s="72"/>
      <c r="OOJ160" s="72"/>
      <c r="OOK160" s="72"/>
      <c r="OOL160" s="72"/>
      <c r="OOM160" s="72"/>
      <c r="OON160" s="72"/>
      <c r="OOO160" s="72"/>
      <c r="OOP160" s="72"/>
      <c r="OOQ160" s="72"/>
      <c r="OOR160" s="72"/>
      <c r="OOS160" s="72"/>
      <c r="OOT160" s="72"/>
      <c r="OOU160" s="72"/>
      <c r="OOV160" s="72"/>
      <c r="OOW160" s="72"/>
      <c r="OOX160" s="72"/>
      <c r="OOY160" s="72"/>
      <c r="OOZ160" s="72"/>
      <c r="OPA160" s="72"/>
      <c r="OPB160" s="72"/>
      <c r="OPC160" s="72"/>
      <c r="OPD160" s="72"/>
      <c r="OPE160" s="72"/>
      <c r="OPF160" s="72"/>
      <c r="OPG160" s="72"/>
      <c r="OPH160" s="72"/>
      <c r="OPI160" s="72"/>
      <c r="OPJ160" s="72"/>
      <c r="OPK160" s="72"/>
      <c r="OPL160" s="72"/>
      <c r="OPM160" s="72"/>
      <c r="OPN160" s="72"/>
      <c r="OPO160" s="72"/>
      <c r="OPP160" s="72"/>
      <c r="OPQ160" s="72"/>
      <c r="OPR160" s="72"/>
      <c r="OPS160" s="72"/>
      <c r="OPT160" s="72"/>
      <c r="OPU160" s="72"/>
      <c r="OPV160" s="72"/>
      <c r="OPW160" s="72"/>
      <c r="OPX160" s="72"/>
      <c r="OPY160" s="72"/>
      <c r="OPZ160" s="72"/>
      <c r="OQA160" s="72"/>
      <c r="OQB160" s="72"/>
      <c r="OQC160" s="72"/>
      <c r="OQD160" s="72"/>
      <c r="OQE160" s="72"/>
      <c r="OQF160" s="72"/>
      <c r="OQG160" s="72"/>
      <c r="OQH160" s="72"/>
      <c r="OQI160" s="72"/>
      <c r="OQJ160" s="72"/>
      <c r="OQK160" s="72"/>
      <c r="OQL160" s="72"/>
      <c r="OQM160" s="72"/>
      <c r="OQN160" s="72"/>
      <c r="OQO160" s="72"/>
      <c r="OQP160" s="72"/>
      <c r="OQQ160" s="72"/>
      <c r="OQR160" s="72"/>
      <c r="OQS160" s="72"/>
      <c r="OQT160" s="72"/>
      <c r="OQU160" s="72"/>
      <c r="OQV160" s="72"/>
      <c r="OQW160" s="72"/>
      <c r="OQX160" s="72"/>
      <c r="OQY160" s="72"/>
      <c r="OQZ160" s="72"/>
      <c r="ORA160" s="72"/>
      <c r="ORB160" s="72"/>
      <c r="ORC160" s="72"/>
      <c r="ORD160" s="72"/>
      <c r="ORE160" s="72"/>
      <c r="ORF160" s="72"/>
      <c r="ORG160" s="72"/>
      <c r="ORH160" s="72"/>
      <c r="ORI160" s="72"/>
      <c r="ORJ160" s="72"/>
      <c r="ORK160" s="72"/>
      <c r="ORL160" s="72"/>
      <c r="ORM160" s="72"/>
      <c r="ORN160" s="72"/>
      <c r="ORO160" s="72"/>
      <c r="ORP160" s="72"/>
      <c r="ORQ160" s="72"/>
      <c r="ORR160" s="72"/>
      <c r="ORS160" s="72"/>
      <c r="ORT160" s="72"/>
      <c r="ORU160" s="72"/>
      <c r="ORV160" s="72"/>
      <c r="ORW160" s="72"/>
      <c r="ORX160" s="72"/>
      <c r="ORY160" s="72"/>
      <c r="ORZ160" s="72"/>
      <c r="OSA160" s="72"/>
      <c r="OSB160" s="72"/>
      <c r="OSC160" s="72"/>
      <c r="OSD160" s="72"/>
      <c r="OSE160" s="72"/>
      <c r="OSF160" s="72"/>
      <c r="OSG160" s="72"/>
      <c r="OSH160" s="72"/>
      <c r="OSI160" s="72"/>
      <c r="OSJ160" s="72"/>
      <c r="OSK160" s="72"/>
      <c r="OSL160" s="72"/>
      <c r="OSM160" s="72"/>
      <c r="OSN160" s="72"/>
      <c r="OSO160" s="72"/>
      <c r="OSP160" s="72"/>
      <c r="OSQ160" s="72"/>
      <c r="OSR160" s="72"/>
      <c r="OSS160" s="72"/>
      <c r="OST160" s="72"/>
      <c r="OSU160" s="72"/>
      <c r="OSV160" s="72"/>
      <c r="OSW160" s="72"/>
      <c r="OSX160" s="72"/>
      <c r="OSY160" s="72"/>
      <c r="OSZ160" s="72"/>
      <c r="OTA160" s="72"/>
      <c r="OTB160" s="72"/>
      <c r="OTC160" s="72"/>
      <c r="OTD160" s="72"/>
      <c r="OTE160" s="72"/>
      <c r="OTF160" s="72"/>
      <c r="OTG160" s="72"/>
      <c r="OTH160" s="72"/>
      <c r="OTI160" s="72"/>
      <c r="OTJ160" s="72"/>
      <c r="OTK160" s="72"/>
      <c r="OTL160" s="72"/>
      <c r="OTM160" s="72"/>
      <c r="OTN160" s="72"/>
      <c r="OTO160" s="72"/>
      <c r="OTP160" s="72"/>
      <c r="OTQ160" s="72"/>
      <c r="OTR160" s="72"/>
      <c r="OTS160" s="72"/>
      <c r="OTT160" s="72"/>
      <c r="OTU160" s="72"/>
      <c r="OTV160" s="72"/>
      <c r="OTW160" s="72"/>
      <c r="OTX160" s="72"/>
      <c r="OTY160" s="72"/>
      <c r="OTZ160" s="72"/>
      <c r="OUA160" s="72"/>
      <c r="OUB160" s="72"/>
      <c r="OUC160" s="72"/>
      <c r="OUD160" s="72"/>
      <c r="OUE160" s="72"/>
      <c r="OUF160" s="72"/>
      <c r="OUG160" s="72"/>
      <c r="OUH160" s="72"/>
      <c r="OUI160" s="72"/>
      <c r="OUJ160" s="72"/>
      <c r="OUK160" s="72"/>
      <c r="OUL160" s="72"/>
      <c r="OUM160" s="72"/>
      <c r="OUN160" s="72"/>
      <c r="OUO160" s="72"/>
      <c r="OUP160" s="72"/>
      <c r="OUQ160" s="72"/>
      <c r="OUR160" s="72"/>
      <c r="OUS160" s="72"/>
      <c r="OUT160" s="72"/>
      <c r="OUU160" s="72"/>
      <c r="OUV160" s="72"/>
      <c r="OUW160" s="72"/>
      <c r="OUX160" s="72"/>
      <c r="OUY160" s="72"/>
      <c r="OUZ160" s="72"/>
      <c r="OVA160" s="72"/>
      <c r="OVB160" s="72"/>
      <c r="OVC160" s="72"/>
      <c r="OVD160" s="72"/>
      <c r="OVE160" s="72"/>
      <c r="OVF160" s="72"/>
      <c r="OVG160" s="72"/>
      <c r="OVH160" s="72"/>
      <c r="OVI160" s="72"/>
      <c r="OVJ160" s="72"/>
      <c r="OVK160" s="72"/>
      <c r="OVL160" s="72"/>
      <c r="OVM160" s="72"/>
      <c r="OVN160" s="72"/>
      <c r="OVO160" s="72"/>
      <c r="OVP160" s="72"/>
      <c r="OVQ160" s="72"/>
      <c r="OVR160" s="72"/>
      <c r="OVS160" s="72"/>
      <c r="OVT160" s="72"/>
      <c r="OVU160" s="72"/>
      <c r="OVV160" s="72"/>
      <c r="OVW160" s="72"/>
      <c r="OVX160" s="72"/>
      <c r="OVY160" s="72"/>
      <c r="OVZ160" s="72"/>
      <c r="OWA160" s="72"/>
      <c r="OWB160" s="72"/>
      <c r="OWC160" s="72"/>
      <c r="OWD160" s="72"/>
      <c r="OWE160" s="72"/>
      <c r="OWF160" s="72"/>
      <c r="OWG160" s="72"/>
      <c r="OWH160" s="72"/>
      <c r="OWI160" s="72"/>
      <c r="OWJ160" s="72"/>
      <c r="OWK160" s="72"/>
      <c r="OWL160" s="72"/>
      <c r="OWM160" s="72"/>
      <c r="OWN160" s="72"/>
      <c r="OWO160" s="72"/>
      <c r="OWP160" s="72"/>
      <c r="OWQ160" s="72"/>
      <c r="OWR160" s="72"/>
      <c r="OWS160" s="72"/>
      <c r="OWT160" s="72"/>
      <c r="OWU160" s="72"/>
      <c r="OWV160" s="72"/>
      <c r="OWW160" s="72"/>
      <c r="OWX160" s="72"/>
      <c r="OWY160" s="72"/>
      <c r="OWZ160" s="72"/>
      <c r="OXA160" s="72"/>
      <c r="OXB160" s="72"/>
      <c r="OXC160" s="72"/>
      <c r="OXD160" s="72"/>
      <c r="OXE160" s="72"/>
      <c r="OXF160" s="72"/>
      <c r="OXG160" s="72"/>
      <c r="OXH160" s="72"/>
      <c r="OXI160" s="72"/>
      <c r="OXJ160" s="72"/>
      <c r="OXK160" s="72"/>
      <c r="OXL160" s="72"/>
      <c r="OXM160" s="72"/>
      <c r="OXN160" s="72"/>
      <c r="OXO160" s="72"/>
      <c r="OXP160" s="72"/>
      <c r="OXQ160" s="72"/>
      <c r="OXR160" s="72"/>
      <c r="OXS160" s="72"/>
      <c r="OXT160" s="72"/>
      <c r="OXU160" s="72"/>
      <c r="OXV160" s="72"/>
      <c r="OXW160" s="72"/>
      <c r="OXX160" s="72"/>
      <c r="OXY160" s="72"/>
      <c r="OXZ160" s="72"/>
      <c r="OYA160" s="72"/>
      <c r="OYB160" s="72"/>
      <c r="OYC160" s="72"/>
      <c r="OYD160" s="72"/>
      <c r="OYE160" s="72"/>
      <c r="OYF160" s="72"/>
      <c r="OYG160" s="72"/>
      <c r="OYH160" s="72"/>
      <c r="OYI160" s="72"/>
      <c r="OYJ160" s="72"/>
      <c r="OYK160" s="72"/>
      <c r="OYL160" s="72"/>
      <c r="OYM160" s="72"/>
      <c r="OYN160" s="72"/>
      <c r="OYO160" s="72"/>
      <c r="OYP160" s="72"/>
      <c r="OYQ160" s="72"/>
      <c r="OYR160" s="72"/>
      <c r="OYS160" s="72"/>
      <c r="OYT160" s="72"/>
      <c r="OYU160" s="72"/>
      <c r="OYV160" s="72"/>
      <c r="OYW160" s="72"/>
      <c r="OYX160" s="72"/>
      <c r="OYY160" s="72"/>
      <c r="OYZ160" s="72"/>
      <c r="OZA160" s="72"/>
      <c r="OZB160" s="72"/>
      <c r="OZC160" s="72"/>
      <c r="OZD160" s="72"/>
      <c r="OZE160" s="72"/>
      <c r="OZF160" s="72"/>
      <c r="OZG160" s="72"/>
      <c r="OZH160" s="72"/>
      <c r="OZI160" s="72"/>
      <c r="OZJ160" s="72"/>
      <c r="OZK160" s="72"/>
      <c r="OZL160" s="72"/>
      <c r="OZM160" s="72"/>
      <c r="OZN160" s="72"/>
      <c r="OZO160" s="72"/>
      <c r="OZP160" s="72"/>
      <c r="OZQ160" s="72"/>
      <c r="OZR160" s="72"/>
      <c r="OZS160" s="72"/>
      <c r="OZT160" s="72"/>
      <c r="OZU160" s="72"/>
      <c r="OZV160" s="72"/>
      <c r="OZW160" s="72"/>
      <c r="OZX160" s="72"/>
      <c r="OZY160" s="72"/>
      <c r="OZZ160" s="72"/>
      <c r="PAA160" s="72"/>
      <c r="PAB160" s="72"/>
      <c r="PAC160" s="72"/>
      <c r="PAD160" s="72"/>
      <c r="PAE160" s="72"/>
      <c r="PAF160" s="72"/>
      <c r="PAG160" s="72"/>
      <c r="PAH160" s="72"/>
      <c r="PAI160" s="72"/>
      <c r="PAJ160" s="72"/>
      <c r="PAK160" s="72"/>
      <c r="PAL160" s="72"/>
      <c r="PAM160" s="72"/>
      <c r="PAN160" s="72"/>
      <c r="PAO160" s="72"/>
      <c r="PAP160" s="72"/>
      <c r="PAQ160" s="72"/>
      <c r="PAR160" s="72"/>
      <c r="PAS160" s="72"/>
      <c r="PAT160" s="72"/>
      <c r="PAU160" s="72"/>
      <c r="PAV160" s="72"/>
      <c r="PAW160" s="72"/>
      <c r="PAX160" s="72"/>
      <c r="PAY160" s="72"/>
      <c r="PAZ160" s="72"/>
      <c r="PBA160" s="72"/>
      <c r="PBB160" s="72"/>
      <c r="PBC160" s="72"/>
      <c r="PBD160" s="72"/>
      <c r="PBE160" s="72"/>
      <c r="PBF160" s="72"/>
      <c r="PBG160" s="72"/>
      <c r="PBH160" s="72"/>
      <c r="PBI160" s="72"/>
      <c r="PBJ160" s="72"/>
      <c r="PBK160" s="72"/>
      <c r="PBL160" s="72"/>
      <c r="PBM160" s="72"/>
      <c r="PBN160" s="72"/>
      <c r="PBO160" s="72"/>
      <c r="PBP160" s="72"/>
      <c r="PBQ160" s="72"/>
      <c r="PBR160" s="72"/>
      <c r="PBS160" s="72"/>
      <c r="PBT160" s="72"/>
      <c r="PBU160" s="72"/>
      <c r="PBV160" s="72"/>
      <c r="PBW160" s="72"/>
      <c r="PBX160" s="72"/>
      <c r="PBY160" s="72"/>
      <c r="PBZ160" s="72"/>
      <c r="PCA160" s="72"/>
      <c r="PCB160" s="72"/>
      <c r="PCC160" s="72"/>
      <c r="PCD160" s="72"/>
      <c r="PCE160" s="72"/>
      <c r="PCF160" s="72"/>
      <c r="PCG160" s="72"/>
      <c r="PCH160" s="72"/>
      <c r="PCI160" s="72"/>
      <c r="PCJ160" s="72"/>
      <c r="PCK160" s="72"/>
      <c r="PCL160" s="72"/>
      <c r="PCM160" s="72"/>
      <c r="PCN160" s="72"/>
      <c r="PCO160" s="72"/>
      <c r="PCP160" s="72"/>
      <c r="PCQ160" s="72"/>
      <c r="PCR160" s="72"/>
      <c r="PCS160" s="72"/>
      <c r="PCT160" s="72"/>
      <c r="PCU160" s="72"/>
      <c r="PCV160" s="72"/>
      <c r="PCW160" s="72"/>
      <c r="PCX160" s="72"/>
      <c r="PCY160" s="72"/>
      <c r="PCZ160" s="72"/>
      <c r="PDA160" s="72"/>
      <c r="PDB160" s="72"/>
      <c r="PDC160" s="72"/>
      <c r="PDD160" s="72"/>
      <c r="PDE160" s="72"/>
      <c r="PDF160" s="72"/>
      <c r="PDG160" s="72"/>
      <c r="PDH160" s="72"/>
      <c r="PDI160" s="72"/>
      <c r="PDJ160" s="72"/>
      <c r="PDK160" s="72"/>
      <c r="PDL160" s="72"/>
      <c r="PDM160" s="72"/>
      <c r="PDN160" s="72"/>
      <c r="PDO160" s="72"/>
      <c r="PDP160" s="72"/>
      <c r="PDQ160" s="72"/>
      <c r="PDR160" s="72"/>
      <c r="PDS160" s="72"/>
      <c r="PDT160" s="72"/>
      <c r="PDU160" s="72"/>
      <c r="PDV160" s="72"/>
      <c r="PDW160" s="72"/>
      <c r="PDX160" s="72"/>
      <c r="PDY160" s="72"/>
      <c r="PDZ160" s="72"/>
      <c r="PEA160" s="72"/>
      <c r="PEB160" s="72"/>
      <c r="PEC160" s="72"/>
      <c r="PED160" s="72"/>
      <c r="PEE160" s="72"/>
      <c r="PEF160" s="72"/>
      <c r="PEG160" s="72"/>
      <c r="PEH160" s="72"/>
      <c r="PEI160" s="72"/>
      <c r="PEJ160" s="72"/>
      <c r="PEK160" s="72"/>
      <c r="PEL160" s="72"/>
      <c r="PEM160" s="72"/>
      <c r="PEN160" s="72"/>
      <c r="PEO160" s="72"/>
      <c r="PEP160" s="72"/>
      <c r="PEQ160" s="72"/>
      <c r="PER160" s="72"/>
      <c r="PES160" s="72"/>
      <c r="PET160" s="72"/>
      <c r="PEU160" s="72"/>
      <c r="PEV160" s="72"/>
      <c r="PEW160" s="72"/>
      <c r="PEX160" s="72"/>
      <c r="PEY160" s="72"/>
      <c r="PEZ160" s="72"/>
      <c r="PFA160" s="72"/>
      <c r="PFB160" s="72"/>
      <c r="PFC160" s="72"/>
      <c r="PFD160" s="72"/>
      <c r="PFE160" s="72"/>
      <c r="PFF160" s="72"/>
      <c r="PFG160" s="72"/>
      <c r="PFH160" s="72"/>
      <c r="PFI160" s="72"/>
      <c r="PFJ160" s="72"/>
      <c r="PFK160" s="72"/>
      <c r="PFL160" s="72"/>
      <c r="PFM160" s="72"/>
      <c r="PFN160" s="72"/>
      <c r="PFO160" s="72"/>
      <c r="PFP160" s="72"/>
      <c r="PFQ160" s="72"/>
      <c r="PFR160" s="72"/>
      <c r="PFS160" s="72"/>
      <c r="PFT160" s="72"/>
      <c r="PFU160" s="72"/>
      <c r="PFV160" s="72"/>
      <c r="PFW160" s="72"/>
      <c r="PFX160" s="72"/>
      <c r="PFY160" s="72"/>
      <c r="PFZ160" s="72"/>
      <c r="PGA160" s="72"/>
      <c r="PGB160" s="72"/>
      <c r="PGC160" s="72"/>
      <c r="PGD160" s="72"/>
      <c r="PGE160" s="72"/>
      <c r="PGF160" s="72"/>
      <c r="PGG160" s="72"/>
      <c r="PGH160" s="72"/>
      <c r="PGI160" s="72"/>
      <c r="PGJ160" s="72"/>
      <c r="PGK160" s="72"/>
      <c r="PGL160" s="72"/>
      <c r="PGM160" s="72"/>
      <c r="PGN160" s="72"/>
      <c r="PGO160" s="72"/>
      <c r="PGP160" s="72"/>
      <c r="PGQ160" s="72"/>
      <c r="PGR160" s="72"/>
      <c r="PGS160" s="72"/>
      <c r="PGT160" s="72"/>
      <c r="PGU160" s="72"/>
      <c r="PGV160" s="72"/>
      <c r="PGW160" s="72"/>
      <c r="PGX160" s="72"/>
      <c r="PGY160" s="72"/>
      <c r="PGZ160" s="72"/>
      <c r="PHA160" s="72"/>
      <c r="PHB160" s="72"/>
      <c r="PHC160" s="72"/>
      <c r="PHD160" s="72"/>
      <c r="PHE160" s="72"/>
      <c r="PHF160" s="72"/>
      <c r="PHG160" s="72"/>
      <c r="PHH160" s="72"/>
      <c r="PHI160" s="72"/>
      <c r="PHJ160" s="72"/>
      <c r="PHK160" s="72"/>
      <c r="PHL160" s="72"/>
      <c r="PHM160" s="72"/>
      <c r="PHN160" s="72"/>
      <c r="PHO160" s="72"/>
      <c r="PHP160" s="72"/>
      <c r="PHQ160" s="72"/>
      <c r="PHR160" s="72"/>
      <c r="PHS160" s="72"/>
      <c r="PHT160" s="72"/>
      <c r="PHU160" s="72"/>
      <c r="PHV160" s="72"/>
      <c r="PHW160" s="72"/>
      <c r="PHX160" s="72"/>
      <c r="PHY160" s="72"/>
      <c r="PHZ160" s="72"/>
      <c r="PIA160" s="72"/>
      <c r="PIB160" s="72"/>
      <c r="PIC160" s="72"/>
      <c r="PID160" s="72"/>
      <c r="PIE160" s="72"/>
      <c r="PIF160" s="72"/>
      <c r="PIG160" s="72"/>
      <c r="PIH160" s="72"/>
      <c r="PII160" s="72"/>
      <c r="PIJ160" s="72"/>
      <c r="PIK160" s="72"/>
      <c r="PIL160" s="72"/>
      <c r="PIM160" s="72"/>
      <c r="PIN160" s="72"/>
      <c r="PIO160" s="72"/>
      <c r="PIP160" s="72"/>
      <c r="PIQ160" s="72"/>
      <c r="PIR160" s="72"/>
      <c r="PIS160" s="72"/>
      <c r="PIT160" s="72"/>
      <c r="PIU160" s="72"/>
      <c r="PIV160" s="72"/>
      <c r="PIW160" s="72"/>
      <c r="PIX160" s="72"/>
      <c r="PIY160" s="72"/>
      <c r="PIZ160" s="72"/>
      <c r="PJA160" s="72"/>
      <c r="PJB160" s="72"/>
      <c r="PJC160" s="72"/>
      <c r="PJD160" s="72"/>
      <c r="PJE160" s="72"/>
      <c r="PJF160" s="72"/>
      <c r="PJG160" s="72"/>
      <c r="PJH160" s="72"/>
      <c r="PJI160" s="72"/>
      <c r="PJJ160" s="72"/>
      <c r="PJK160" s="72"/>
      <c r="PJL160" s="72"/>
      <c r="PJM160" s="72"/>
      <c r="PJN160" s="72"/>
      <c r="PJO160" s="72"/>
      <c r="PJP160" s="72"/>
      <c r="PJQ160" s="72"/>
      <c r="PJR160" s="72"/>
      <c r="PJS160" s="72"/>
      <c r="PJT160" s="72"/>
      <c r="PJU160" s="72"/>
      <c r="PJV160" s="72"/>
      <c r="PJW160" s="72"/>
      <c r="PJX160" s="72"/>
      <c r="PJY160" s="72"/>
      <c r="PJZ160" s="72"/>
      <c r="PKA160" s="72"/>
      <c r="PKB160" s="72"/>
      <c r="PKC160" s="72"/>
      <c r="PKD160" s="72"/>
      <c r="PKE160" s="72"/>
      <c r="PKF160" s="72"/>
      <c r="PKG160" s="72"/>
      <c r="PKH160" s="72"/>
      <c r="PKI160" s="72"/>
      <c r="PKJ160" s="72"/>
      <c r="PKK160" s="72"/>
      <c r="PKL160" s="72"/>
      <c r="PKM160" s="72"/>
      <c r="PKN160" s="72"/>
      <c r="PKO160" s="72"/>
      <c r="PKP160" s="72"/>
      <c r="PKQ160" s="72"/>
      <c r="PKR160" s="72"/>
      <c r="PKS160" s="72"/>
      <c r="PKT160" s="72"/>
      <c r="PKU160" s="72"/>
      <c r="PKV160" s="72"/>
      <c r="PKW160" s="72"/>
      <c r="PKX160" s="72"/>
      <c r="PKY160" s="72"/>
      <c r="PKZ160" s="72"/>
      <c r="PLA160" s="72"/>
      <c r="PLB160" s="72"/>
      <c r="PLC160" s="72"/>
      <c r="PLD160" s="72"/>
      <c r="PLE160" s="72"/>
      <c r="PLF160" s="72"/>
      <c r="PLG160" s="72"/>
      <c r="PLH160" s="72"/>
      <c r="PLI160" s="72"/>
      <c r="PLJ160" s="72"/>
      <c r="PLK160" s="72"/>
      <c r="PLL160" s="72"/>
      <c r="PLM160" s="72"/>
      <c r="PLN160" s="72"/>
      <c r="PLO160" s="72"/>
      <c r="PLP160" s="72"/>
      <c r="PLQ160" s="72"/>
      <c r="PLR160" s="72"/>
      <c r="PLS160" s="72"/>
      <c r="PLT160" s="72"/>
      <c r="PLU160" s="72"/>
      <c r="PLV160" s="72"/>
      <c r="PLW160" s="72"/>
      <c r="PLX160" s="72"/>
      <c r="PLY160" s="72"/>
      <c r="PLZ160" s="72"/>
      <c r="PMA160" s="72"/>
      <c r="PMB160" s="72"/>
      <c r="PMC160" s="72"/>
      <c r="PMD160" s="72"/>
      <c r="PME160" s="72"/>
      <c r="PMF160" s="72"/>
      <c r="PMG160" s="72"/>
      <c r="PMH160" s="72"/>
      <c r="PMI160" s="72"/>
      <c r="PMJ160" s="72"/>
      <c r="PMK160" s="72"/>
      <c r="PML160" s="72"/>
      <c r="PMM160" s="72"/>
      <c r="PMN160" s="72"/>
      <c r="PMO160" s="72"/>
      <c r="PMP160" s="72"/>
      <c r="PMQ160" s="72"/>
      <c r="PMR160" s="72"/>
      <c r="PMS160" s="72"/>
      <c r="PMT160" s="72"/>
      <c r="PMU160" s="72"/>
      <c r="PMV160" s="72"/>
      <c r="PMW160" s="72"/>
      <c r="PMX160" s="72"/>
      <c r="PMY160" s="72"/>
      <c r="PMZ160" s="72"/>
      <c r="PNA160" s="72"/>
      <c r="PNB160" s="72"/>
      <c r="PNC160" s="72"/>
      <c r="PND160" s="72"/>
      <c r="PNE160" s="72"/>
      <c r="PNF160" s="72"/>
      <c r="PNG160" s="72"/>
      <c r="PNH160" s="72"/>
      <c r="PNI160" s="72"/>
      <c r="PNJ160" s="72"/>
      <c r="PNK160" s="72"/>
      <c r="PNL160" s="72"/>
      <c r="PNM160" s="72"/>
      <c r="PNN160" s="72"/>
      <c r="PNO160" s="72"/>
      <c r="PNP160" s="72"/>
      <c r="PNQ160" s="72"/>
      <c r="PNR160" s="72"/>
      <c r="PNS160" s="72"/>
      <c r="PNT160" s="72"/>
      <c r="PNU160" s="72"/>
      <c r="PNV160" s="72"/>
      <c r="PNW160" s="72"/>
      <c r="PNX160" s="72"/>
      <c r="PNY160" s="72"/>
      <c r="PNZ160" s="72"/>
      <c r="POA160" s="72"/>
      <c r="POB160" s="72"/>
      <c r="POC160" s="72"/>
      <c r="POD160" s="72"/>
      <c r="POE160" s="72"/>
      <c r="POF160" s="72"/>
      <c r="POG160" s="72"/>
      <c r="POH160" s="72"/>
      <c r="POI160" s="72"/>
      <c r="POJ160" s="72"/>
      <c r="POK160" s="72"/>
      <c r="POL160" s="72"/>
      <c r="POM160" s="72"/>
      <c r="PON160" s="72"/>
      <c r="POO160" s="72"/>
      <c r="POP160" s="72"/>
      <c r="POQ160" s="72"/>
      <c r="POR160" s="72"/>
      <c r="POS160" s="72"/>
      <c r="POT160" s="72"/>
      <c r="POU160" s="72"/>
      <c r="POV160" s="72"/>
      <c r="POW160" s="72"/>
      <c r="POX160" s="72"/>
      <c r="POY160" s="72"/>
      <c r="POZ160" s="72"/>
      <c r="PPA160" s="72"/>
      <c r="PPB160" s="72"/>
      <c r="PPC160" s="72"/>
      <c r="PPD160" s="72"/>
      <c r="PPE160" s="72"/>
      <c r="PPF160" s="72"/>
      <c r="PPG160" s="72"/>
      <c r="PPH160" s="72"/>
      <c r="PPI160" s="72"/>
      <c r="PPJ160" s="72"/>
      <c r="PPK160" s="72"/>
      <c r="PPL160" s="72"/>
      <c r="PPM160" s="72"/>
      <c r="PPN160" s="72"/>
      <c r="PPO160" s="72"/>
      <c r="PPP160" s="72"/>
      <c r="PPQ160" s="72"/>
      <c r="PPR160" s="72"/>
      <c r="PPS160" s="72"/>
      <c r="PPT160" s="72"/>
      <c r="PPU160" s="72"/>
      <c r="PPV160" s="72"/>
      <c r="PPW160" s="72"/>
      <c r="PPX160" s="72"/>
      <c r="PPY160" s="72"/>
      <c r="PPZ160" s="72"/>
      <c r="PQA160" s="72"/>
      <c r="PQB160" s="72"/>
      <c r="PQC160" s="72"/>
      <c r="PQD160" s="72"/>
      <c r="PQE160" s="72"/>
      <c r="PQF160" s="72"/>
      <c r="PQG160" s="72"/>
      <c r="PQH160" s="72"/>
      <c r="PQI160" s="72"/>
      <c r="PQJ160" s="72"/>
      <c r="PQK160" s="72"/>
      <c r="PQL160" s="72"/>
      <c r="PQM160" s="72"/>
      <c r="PQN160" s="72"/>
      <c r="PQO160" s="72"/>
      <c r="PQP160" s="72"/>
      <c r="PQQ160" s="72"/>
      <c r="PQR160" s="72"/>
      <c r="PQS160" s="72"/>
      <c r="PQT160" s="72"/>
      <c r="PQU160" s="72"/>
      <c r="PQV160" s="72"/>
      <c r="PQW160" s="72"/>
      <c r="PQX160" s="72"/>
      <c r="PQY160" s="72"/>
      <c r="PQZ160" s="72"/>
      <c r="PRA160" s="72"/>
      <c r="PRB160" s="72"/>
      <c r="PRC160" s="72"/>
      <c r="PRD160" s="72"/>
      <c r="PRE160" s="72"/>
      <c r="PRF160" s="72"/>
      <c r="PRG160" s="72"/>
      <c r="PRH160" s="72"/>
      <c r="PRI160" s="72"/>
      <c r="PRJ160" s="72"/>
      <c r="PRK160" s="72"/>
      <c r="PRL160" s="72"/>
      <c r="PRM160" s="72"/>
      <c r="PRN160" s="72"/>
      <c r="PRO160" s="72"/>
      <c r="PRP160" s="72"/>
      <c r="PRQ160" s="72"/>
      <c r="PRR160" s="72"/>
      <c r="PRS160" s="72"/>
      <c r="PRT160" s="72"/>
      <c r="PRU160" s="72"/>
      <c r="PRV160" s="72"/>
      <c r="PRW160" s="72"/>
      <c r="PRX160" s="72"/>
      <c r="PRY160" s="72"/>
      <c r="PRZ160" s="72"/>
      <c r="PSA160" s="72"/>
      <c r="PSB160" s="72"/>
      <c r="PSC160" s="72"/>
      <c r="PSD160" s="72"/>
      <c r="PSE160" s="72"/>
      <c r="PSF160" s="72"/>
      <c r="PSG160" s="72"/>
      <c r="PSH160" s="72"/>
      <c r="PSI160" s="72"/>
      <c r="PSJ160" s="72"/>
      <c r="PSK160" s="72"/>
      <c r="PSL160" s="72"/>
      <c r="PSM160" s="72"/>
      <c r="PSN160" s="72"/>
      <c r="PSO160" s="72"/>
      <c r="PSP160" s="72"/>
      <c r="PSQ160" s="72"/>
      <c r="PSR160" s="72"/>
      <c r="PSS160" s="72"/>
      <c r="PST160" s="72"/>
      <c r="PSU160" s="72"/>
      <c r="PSV160" s="72"/>
      <c r="PSW160" s="72"/>
      <c r="PSX160" s="72"/>
      <c r="PSY160" s="72"/>
      <c r="PSZ160" s="72"/>
      <c r="PTA160" s="72"/>
      <c r="PTB160" s="72"/>
      <c r="PTC160" s="72"/>
      <c r="PTD160" s="72"/>
      <c r="PTE160" s="72"/>
      <c r="PTF160" s="72"/>
      <c r="PTG160" s="72"/>
      <c r="PTH160" s="72"/>
      <c r="PTI160" s="72"/>
      <c r="PTJ160" s="72"/>
      <c r="PTK160" s="72"/>
      <c r="PTL160" s="72"/>
      <c r="PTM160" s="72"/>
      <c r="PTN160" s="72"/>
      <c r="PTO160" s="72"/>
      <c r="PTP160" s="72"/>
      <c r="PTQ160" s="72"/>
      <c r="PTR160" s="72"/>
      <c r="PTS160" s="72"/>
      <c r="PTT160" s="72"/>
      <c r="PTU160" s="72"/>
      <c r="PTV160" s="72"/>
      <c r="PTW160" s="72"/>
      <c r="PTX160" s="72"/>
      <c r="PTY160" s="72"/>
      <c r="PTZ160" s="72"/>
      <c r="PUA160" s="72"/>
      <c r="PUB160" s="72"/>
      <c r="PUC160" s="72"/>
      <c r="PUD160" s="72"/>
      <c r="PUE160" s="72"/>
      <c r="PUF160" s="72"/>
      <c r="PUG160" s="72"/>
      <c r="PUH160" s="72"/>
      <c r="PUI160" s="72"/>
      <c r="PUJ160" s="72"/>
      <c r="PUK160" s="72"/>
      <c r="PUL160" s="72"/>
      <c r="PUM160" s="72"/>
      <c r="PUN160" s="72"/>
      <c r="PUO160" s="72"/>
      <c r="PUP160" s="72"/>
      <c r="PUQ160" s="72"/>
      <c r="PUR160" s="72"/>
      <c r="PUS160" s="72"/>
      <c r="PUT160" s="72"/>
      <c r="PUU160" s="72"/>
      <c r="PUV160" s="72"/>
      <c r="PUW160" s="72"/>
      <c r="PUX160" s="72"/>
      <c r="PUY160" s="72"/>
      <c r="PUZ160" s="72"/>
      <c r="PVA160" s="72"/>
      <c r="PVB160" s="72"/>
      <c r="PVC160" s="72"/>
      <c r="PVD160" s="72"/>
      <c r="PVE160" s="72"/>
      <c r="PVF160" s="72"/>
      <c r="PVG160" s="72"/>
      <c r="PVH160" s="72"/>
      <c r="PVI160" s="72"/>
      <c r="PVJ160" s="72"/>
      <c r="PVK160" s="72"/>
      <c r="PVL160" s="72"/>
      <c r="PVM160" s="72"/>
      <c r="PVN160" s="72"/>
      <c r="PVO160" s="72"/>
      <c r="PVP160" s="72"/>
      <c r="PVQ160" s="72"/>
      <c r="PVR160" s="72"/>
      <c r="PVS160" s="72"/>
      <c r="PVT160" s="72"/>
      <c r="PVU160" s="72"/>
      <c r="PVV160" s="72"/>
      <c r="PVW160" s="72"/>
      <c r="PVX160" s="72"/>
      <c r="PVY160" s="72"/>
      <c r="PVZ160" s="72"/>
      <c r="PWA160" s="72"/>
      <c r="PWB160" s="72"/>
      <c r="PWC160" s="72"/>
      <c r="PWD160" s="72"/>
      <c r="PWE160" s="72"/>
      <c r="PWF160" s="72"/>
      <c r="PWG160" s="72"/>
      <c r="PWH160" s="72"/>
      <c r="PWI160" s="72"/>
      <c r="PWJ160" s="72"/>
      <c r="PWK160" s="72"/>
      <c r="PWL160" s="72"/>
      <c r="PWM160" s="72"/>
      <c r="PWN160" s="72"/>
      <c r="PWO160" s="72"/>
      <c r="PWP160" s="72"/>
      <c r="PWQ160" s="72"/>
      <c r="PWR160" s="72"/>
      <c r="PWS160" s="72"/>
      <c r="PWT160" s="72"/>
      <c r="PWU160" s="72"/>
      <c r="PWV160" s="72"/>
      <c r="PWW160" s="72"/>
      <c r="PWX160" s="72"/>
      <c r="PWY160" s="72"/>
      <c r="PWZ160" s="72"/>
      <c r="PXA160" s="72"/>
      <c r="PXB160" s="72"/>
      <c r="PXC160" s="72"/>
      <c r="PXD160" s="72"/>
      <c r="PXE160" s="72"/>
      <c r="PXF160" s="72"/>
      <c r="PXG160" s="72"/>
      <c r="PXH160" s="72"/>
      <c r="PXI160" s="72"/>
      <c r="PXJ160" s="72"/>
      <c r="PXK160" s="72"/>
      <c r="PXL160" s="72"/>
      <c r="PXM160" s="72"/>
      <c r="PXN160" s="72"/>
      <c r="PXO160" s="72"/>
      <c r="PXP160" s="72"/>
      <c r="PXQ160" s="72"/>
      <c r="PXR160" s="72"/>
      <c r="PXS160" s="72"/>
      <c r="PXT160" s="72"/>
      <c r="PXU160" s="72"/>
      <c r="PXV160" s="72"/>
      <c r="PXW160" s="72"/>
      <c r="PXX160" s="72"/>
      <c r="PXY160" s="72"/>
      <c r="PXZ160" s="72"/>
      <c r="PYA160" s="72"/>
      <c r="PYB160" s="72"/>
      <c r="PYC160" s="72"/>
      <c r="PYD160" s="72"/>
      <c r="PYE160" s="72"/>
      <c r="PYF160" s="72"/>
      <c r="PYG160" s="72"/>
      <c r="PYH160" s="72"/>
      <c r="PYI160" s="72"/>
      <c r="PYJ160" s="72"/>
      <c r="PYK160" s="72"/>
      <c r="PYL160" s="72"/>
      <c r="PYM160" s="72"/>
      <c r="PYN160" s="72"/>
      <c r="PYO160" s="72"/>
      <c r="PYP160" s="72"/>
      <c r="PYQ160" s="72"/>
      <c r="PYR160" s="72"/>
      <c r="PYS160" s="72"/>
      <c r="PYT160" s="72"/>
      <c r="PYU160" s="72"/>
      <c r="PYV160" s="72"/>
      <c r="PYW160" s="72"/>
      <c r="PYX160" s="72"/>
      <c r="PYY160" s="72"/>
      <c r="PYZ160" s="72"/>
      <c r="PZA160" s="72"/>
      <c r="PZB160" s="72"/>
      <c r="PZC160" s="72"/>
      <c r="PZD160" s="72"/>
      <c r="PZE160" s="72"/>
      <c r="PZF160" s="72"/>
      <c r="PZG160" s="72"/>
      <c r="PZH160" s="72"/>
      <c r="PZI160" s="72"/>
      <c r="PZJ160" s="72"/>
      <c r="PZK160" s="72"/>
      <c r="PZL160" s="72"/>
      <c r="PZM160" s="72"/>
      <c r="PZN160" s="72"/>
      <c r="PZO160" s="72"/>
      <c r="PZP160" s="72"/>
      <c r="PZQ160" s="72"/>
      <c r="PZR160" s="72"/>
      <c r="PZS160" s="72"/>
      <c r="PZT160" s="72"/>
      <c r="PZU160" s="72"/>
      <c r="PZV160" s="72"/>
      <c r="PZW160" s="72"/>
      <c r="PZX160" s="72"/>
      <c r="PZY160" s="72"/>
      <c r="PZZ160" s="72"/>
      <c r="QAA160" s="72"/>
      <c r="QAB160" s="72"/>
      <c r="QAC160" s="72"/>
      <c r="QAD160" s="72"/>
      <c r="QAE160" s="72"/>
      <c r="QAF160" s="72"/>
      <c r="QAG160" s="72"/>
      <c r="QAH160" s="72"/>
      <c r="QAI160" s="72"/>
      <c r="QAJ160" s="72"/>
      <c r="QAK160" s="72"/>
      <c r="QAL160" s="72"/>
      <c r="QAM160" s="72"/>
      <c r="QAN160" s="72"/>
      <c r="QAO160" s="72"/>
      <c r="QAP160" s="72"/>
      <c r="QAQ160" s="72"/>
      <c r="QAR160" s="72"/>
      <c r="QAS160" s="72"/>
      <c r="QAT160" s="72"/>
      <c r="QAU160" s="72"/>
      <c r="QAV160" s="72"/>
      <c r="QAW160" s="72"/>
      <c r="QAX160" s="72"/>
      <c r="QAY160" s="72"/>
      <c r="QAZ160" s="72"/>
      <c r="QBA160" s="72"/>
      <c r="QBB160" s="72"/>
      <c r="QBC160" s="72"/>
      <c r="QBD160" s="72"/>
      <c r="QBE160" s="72"/>
      <c r="QBF160" s="72"/>
      <c r="QBG160" s="72"/>
      <c r="QBH160" s="72"/>
      <c r="QBI160" s="72"/>
      <c r="QBJ160" s="72"/>
      <c r="QBK160" s="72"/>
      <c r="QBL160" s="72"/>
      <c r="QBM160" s="72"/>
      <c r="QBN160" s="72"/>
      <c r="QBO160" s="72"/>
      <c r="QBP160" s="72"/>
      <c r="QBQ160" s="72"/>
      <c r="QBR160" s="72"/>
      <c r="QBS160" s="72"/>
      <c r="QBT160" s="72"/>
      <c r="QBU160" s="72"/>
      <c r="QBV160" s="72"/>
      <c r="QBW160" s="72"/>
      <c r="QBX160" s="72"/>
      <c r="QBY160" s="72"/>
      <c r="QBZ160" s="72"/>
      <c r="QCA160" s="72"/>
      <c r="QCB160" s="72"/>
      <c r="QCC160" s="72"/>
      <c r="QCD160" s="72"/>
      <c r="QCE160" s="72"/>
      <c r="QCF160" s="72"/>
      <c r="QCG160" s="72"/>
      <c r="QCH160" s="72"/>
      <c r="QCI160" s="72"/>
      <c r="QCJ160" s="72"/>
      <c r="QCK160" s="72"/>
      <c r="QCL160" s="72"/>
      <c r="QCM160" s="72"/>
      <c r="QCN160" s="72"/>
      <c r="QCO160" s="72"/>
      <c r="QCP160" s="72"/>
      <c r="QCQ160" s="72"/>
      <c r="QCR160" s="72"/>
      <c r="QCS160" s="72"/>
      <c r="QCT160" s="72"/>
      <c r="QCU160" s="72"/>
      <c r="QCV160" s="72"/>
      <c r="QCW160" s="72"/>
      <c r="QCX160" s="72"/>
      <c r="QCY160" s="72"/>
      <c r="QCZ160" s="72"/>
      <c r="QDA160" s="72"/>
      <c r="QDB160" s="72"/>
      <c r="QDC160" s="72"/>
      <c r="QDD160" s="72"/>
      <c r="QDE160" s="72"/>
      <c r="QDF160" s="72"/>
      <c r="QDG160" s="72"/>
      <c r="QDH160" s="72"/>
      <c r="QDI160" s="72"/>
      <c r="QDJ160" s="72"/>
      <c r="QDK160" s="72"/>
      <c r="QDL160" s="72"/>
      <c r="QDM160" s="72"/>
      <c r="QDN160" s="72"/>
      <c r="QDO160" s="72"/>
      <c r="QDP160" s="72"/>
      <c r="QDQ160" s="72"/>
      <c r="QDR160" s="72"/>
      <c r="QDS160" s="72"/>
      <c r="QDT160" s="72"/>
      <c r="QDU160" s="72"/>
      <c r="QDV160" s="72"/>
      <c r="QDW160" s="72"/>
      <c r="QDX160" s="72"/>
      <c r="QDY160" s="72"/>
      <c r="QDZ160" s="72"/>
      <c r="QEA160" s="72"/>
      <c r="QEB160" s="72"/>
      <c r="QEC160" s="72"/>
      <c r="QED160" s="72"/>
      <c r="QEE160" s="72"/>
      <c r="QEF160" s="72"/>
      <c r="QEG160" s="72"/>
      <c r="QEH160" s="72"/>
      <c r="QEI160" s="72"/>
      <c r="QEJ160" s="72"/>
      <c r="QEK160" s="72"/>
      <c r="QEL160" s="72"/>
      <c r="QEM160" s="72"/>
      <c r="QEN160" s="72"/>
      <c r="QEO160" s="72"/>
      <c r="QEP160" s="72"/>
      <c r="QEQ160" s="72"/>
      <c r="QER160" s="72"/>
      <c r="QES160" s="72"/>
      <c r="QET160" s="72"/>
      <c r="QEU160" s="72"/>
      <c r="QEV160" s="72"/>
      <c r="QEW160" s="72"/>
      <c r="QEX160" s="72"/>
      <c r="QEY160" s="72"/>
      <c r="QEZ160" s="72"/>
      <c r="QFA160" s="72"/>
      <c r="QFB160" s="72"/>
      <c r="QFC160" s="72"/>
      <c r="QFD160" s="72"/>
      <c r="QFE160" s="72"/>
      <c r="QFF160" s="72"/>
      <c r="QFG160" s="72"/>
      <c r="QFH160" s="72"/>
      <c r="QFI160" s="72"/>
      <c r="QFJ160" s="72"/>
      <c r="QFK160" s="72"/>
      <c r="QFL160" s="72"/>
      <c r="QFM160" s="72"/>
      <c r="QFN160" s="72"/>
      <c r="QFO160" s="72"/>
      <c r="QFP160" s="72"/>
      <c r="QFQ160" s="72"/>
      <c r="QFR160" s="72"/>
      <c r="QFS160" s="72"/>
      <c r="QFT160" s="72"/>
      <c r="QFU160" s="72"/>
      <c r="QFV160" s="72"/>
      <c r="QFW160" s="72"/>
      <c r="QFX160" s="72"/>
      <c r="QFY160" s="72"/>
      <c r="QFZ160" s="72"/>
      <c r="QGA160" s="72"/>
      <c r="QGB160" s="72"/>
      <c r="QGC160" s="72"/>
      <c r="QGD160" s="72"/>
      <c r="QGE160" s="72"/>
      <c r="QGF160" s="72"/>
      <c r="QGG160" s="72"/>
      <c r="QGH160" s="72"/>
      <c r="QGI160" s="72"/>
      <c r="QGJ160" s="72"/>
      <c r="QGK160" s="72"/>
      <c r="QGL160" s="72"/>
      <c r="QGM160" s="72"/>
      <c r="QGN160" s="72"/>
      <c r="QGO160" s="72"/>
      <c r="QGP160" s="72"/>
      <c r="QGQ160" s="72"/>
      <c r="QGR160" s="72"/>
      <c r="QGS160" s="72"/>
      <c r="QGT160" s="72"/>
      <c r="QGU160" s="72"/>
      <c r="QGV160" s="72"/>
      <c r="QGW160" s="72"/>
      <c r="QGX160" s="72"/>
      <c r="QGY160" s="72"/>
      <c r="QGZ160" s="72"/>
      <c r="QHA160" s="72"/>
      <c r="QHB160" s="72"/>
      <c r="QHC160" s="72"/>
      <c r="QHD160" s="72"/>
      <c r="QHE160" s="72"/>
      <c r="QHF160" s="72"/>
      <c r="QHG160" s="72"/>
      <c r="QHH160" s="72"/>
      <c r="QHI160" s="72"/>
      <c r="QHJ160" s="72"/>
      <c r="QHK160" s="72"/>
      <c r="QHL160" s="72"/>
      <c r="QHM160" s="72"/>
      <c r="QHN160" s="72"/>
      <c r="QHO160" s="72"/>
      <c r="QHP160" s="72"/>
      <c r="QHQ160" s="72"/>
      <c r="QHR160" s="72"/>
      <c r="QHS160" s="72"/>
      <c r="QHT160" s="72"/>
      <c r="QHU160" s="72"/>
      <c r="QHV160" s="72"/>
      <c r="QHW160" s="72"/>
      <c r="QHX160" s="72"/>
      <c r="QHY160" s="72"/>
      <c r="QHZ160" s="72"/>
      <c r="QIA160" s="72"/>
      <c r="QIB160" s="72"/>
      <c r="QIC160" s="72"/>
      <c r="QID160" s="72"/>
      <c r="QIE160" s="72"/>
      <c r="QIF160" s="72"/>
      <c r="QIG160" s="72"/>
      <c r="QIH160" s="72"/>
      <c r="QII160" s="72"/>
      <c r="QIJ160" s="72"/>
      <c r="QIK160" s="72"/>
      <c r="QIL160" s="72"/>
      <c r="QIM160" s="72"/>
      <c r="QIN160" s="72"/>
      <c r="QIO160" s="72"/>
      <c r="QIP160" s="72"/>
      <c r="QIQ160" s="72"/>
      <c r="QIR160" s="72"/>
      <c r="QIS160" s="72"/>
      <c r="QIT160" s="72"/>
      <c r="QIU160" s="72"/>
      <c r="QIV160" s="72"/>
      <c r="QIW160" s="72"/>
      <c r="QIX160" s="72"/>
      <c r="QIY160" s="72"/>
      <c r="QIZ160" s="72"/>
      <c r="QJA160" s="72"/>
      <c r="QJB160" s="72"/>
      <c r="QJC160" s="72"/>
      <c r="QJD160" s="72"/>
      <c r="QJE160" s="72"/>
      <c r="QJF160" s="72"/>
      <c r="QJG160" s="72"/>
      <c r="QJH160" s="72"/>
      <c r="QJI160" s="72"/>
      <c r="QJJ160" s="72"/>
      <c r="QJK160" s="72"/>
      <c r="QJL160" s="72"/>
      <c r="QJM160" s="72"/>
      <c r="QJN160" s="72"/>
      <c r="QJO160" s="72"/>
      <c r="QJP160" s="72"/>
      <c r="QJQ160" s="72"/>
      <c r="QJR160" s="72"/>
      <c r="QJS160" s="72"/>
      <c r="QJT160" s="72"/>
      <c r="QJU160" s="72"/>
      <c r="QJV160" s="72"/>
      <c r="QJW160" s="72"/>
      <c r="QJX160" s="72"/>
      <c r="QJY160" s="72"/>
      <c r="QJZ160" s="72"/>
      <c r="QKA160" s="72"/>
      <c r="QKB160" s="72"/>
      <c r="QKC160" s="72"/>
      <c r="QKD160" s="72"/>
      <c r="QKE160" s="72"/>
      <c r="QKF160" s="72"/>
      <c r="QKG160" s="72"/>
      <c r="QKH160" s="72"/>
      <c r="QKI160" s="72"/>
      <c r="QKJ160" s="72"/>
      <c r="QKK160" s="72"/>
      <c r="QKL160" s="72"/>
      <c r="QKM160" s="72"/>
      <c r="QKN160" s="72"/>
      <c r="QKO160" s="72"/>
      <c r="QKP160" s="72"/>
      <c r="QKQ160" s="72"/>
      <c r="QKR160" s="72"/>
      <c r="QKS160" s="72"/>
      <c r="QKT160" s="72"/>
      <c r="QKU160" s="72"/>
      <c r="QKV160" s="72"/>
      <c r="QKW160" s="72"/>
      <c r="QKX160" s="72"/>
      <c r="QKY160" s="72"/>
      <c r="QKZ160" s="72"/>
      <c r="QLA160" s="72"/>
      <c r="QLB160" s="72"/>
      <c r="QLC160" s="72"/>
      <c r="QLD160" s="72"/>
      <c r="QLE160" s="72"/>
      <c r="QLF160" s="72"/>
      <c r="QLG160" s="72"/>
      <c r="QLH160" s="72"/>
      <c r="QLI160" s="72"/>
      <c r="QLJ160" s="72"/>
      <c r="QLK160" s="72"/>
      <c r="QLL160" s="72"/>
      <c r="QLM160" s="72"/>
      <c r="QLN160" s="72"/>
      <c r="QLO160" s="72"/>
      <c r="QLP160" s="72"/>
      <c r="QLQ160" s="72"/>
      <c r="QLR160" s="72"/>
      <c r="QLS160" s="72"/>
      <c r="QLT160" s="72"/>
      <c r="QLU160" s="72"/>
      <c r="QLV160" s="72"/>
      <c r="QLW160" s="72"/>
      <c r="QLX160" s="72"/>
      <c r="QLY160" s="72"/>
      <c r="QLZ160" s="72"/>
      <c r="QMA160" s="72"/>
      <c r="QMB160" s="72"/>
      <c r="QMC160" s="72"/>
      <c r="QMD160" s="72"/>
      <c r="QME160" s="72"/>
      <c r="QMF160" s="72"/>
      <c r="QMG160" s="72"/>
      <c r="QMH160" s="72"/>
      <c r="QMI160" s="72"/>
      <c r="QMJ160" s="72"/>
      <c r="QMK160" s="72"/>
      <c r="QML160" s="72"/>
      <c r="QMM160" s="72"/>
      <c r="QMN160" s="72"/>
      <c r="QMO160" s="72"/>
      <c r="QMP160" s="72"/>
      <c r="QMQ160" s="72"/>
      <c r="QMR160" s="72"/>
      <c r="QMS160" s="72"/>
      <c r="QMT160" s="72"/>
      <c r="QMU160" s="72"/>
      <c r="QMV160" s="72"/>
      <c r="QMW160" s="72"/>
      <c r="QMX160" s="72"/>
      <c r="QMY160" s="72"/>
      <c r="QMZ160" s="72"/>
      <c r="QNA160" s="72"/>
      <c r="QNB160" s="72"/>
      <c r="QNC160" s="72"/>
      <c r="QND160" s="72"/>
      <c r="QNE160" s="72"/>
      <c r="QNF160" s="72"/>
      <c r="QNG160" s="72"/>
      <c r="QNH160" s="72"/>
      <c r="QNI160" s="72"/>
      <c r="QNJ160" s="72"/>
      <c r="QNK160" s="72"/>
      <c r="QNL160" s="72"/>
      <c r="QNM160" s="72"/>
      <c r="QNN160" s="72"/>
      <c r="QNO160" s="72"/>
      <c r="QNP160" s="72"/>
      <c r="QNQ160" s="72"/>
      <c r="QNR160" s="72"/>
      <c r="QNS160" s="72"/>
      <c r="QNT160" s="72"/>
      <c r="QNU160" s="72"/>
      <c r="QNV160" s="72"/>
      <c r="QNW160" s="72"/>
      <c r="QNX160" s="72"/>
      <c r="QNY160" s="72"/>
      <c r="QNZ160" s="72"/>
      <c r="QOA160" s="72"/>
      <c r="QOB160" s="72"/>
      <c r="QOC160" s="72"/>
      <c r="QOD160" s="72"/>
      <c r="QOE160" s="72"/>
      <c r="QOF160" s="72"/>
      <c r="QOG160" s="72"/>
      <c r="QOH160" s="72"/>
      <c r="QOI160" s="72"/>
      <c r="QOJ160" s="72"/>
      <c r="QOK160" s="72"/>
      <c r="QOL160" s="72"/>
      <c r="QOM160" s="72"/>
      <c r="QON160" s="72"/>
      <c r="QOO160" s="72"/>
      <c r="QOP160" s="72"/>
      <c r="QOQ160" s="72"/>
      <c r="QOR160" s="72"/>
      <c r="QOS160" s="72"/>
      <c r="QOT160" s="72"/>
      <c r="QOU160" s="72"/>
      <c r="QOV160" s="72"/>
      <c r="QOW160" s="72"/>
      <c r="QOX160" s="72"/>
      <c r="QOY160" s="72"/>
      <c r="QOZ160" s="72"/>
      <c r="QPA160" s="72"/>
      <c r="QPB160" s="72"/>
      <c r="QPC160" s="72"/>
      <c r="QPD160" s="72"/>
      <c r="QPE160" s="72"/>
      <c r="QPF160" s="72"/>
      <c r="QPG160" s="72"/>
      <c r="QPH160" s="72"/>
      <c r="QPI160" s="72"/>
      <c r="QPJ160" s="72"/>
      <c r="QPK160" s="72"/>
      <c r="QPL160" s="72"/>
      <c r="QPM160" s="72"/>
      <c r="QPN160" s="72"/>
      <c r="QPO160" s="72"/>
      <c r="QPP160" s="72"/>
      <c r="QPQ160" s="72"/>
      <c r="QPR160" s="72"/>
      <c r="QPS160" s="72"/>
      <c r="QPT160" s="72"/>
      <c r="QPU160" s="72"/>
      <c r="QPV160" s="72"/>
      <c r="QPW160" s="72"/>
      <c r="QPX160" s="72"/>
      <c r="QPY160" s="72"/>
      <c r="QPZ160" s="72"/>
      <c r="QQA160" s="72"/>
      <c r="QQB160" s="72"/>
      <c r="QQC160" s="72"/>
      <c r="QQD160" s="72"/>
      <c r="QQE160" s="72"/>
      <c r="QQF160" s="72"/>
      <c r="QQG160" s="72"/>
      <c r="QQH160" s="72"/>
      <c r="QQI160" s="72"/>
      <c r="QQJ160" s="72"/>
      <c r="QQK160" s="72"/>
      <c r="QQL160" s="72"/>
      <c r="QQM160" s="72"/>
      <c r="QQN160" s="72"/>
      <c r="QQO160" s="72"/>
      <c r="QQP160" s="72"/>
      <c r="QQQ160" s="72"/>
      <c r="QQR160" s="72"/>
      <c r="QQS160" s="72"/>
      <c r="QQT160" s="72"/>
      <c r="QQU160" s="72"/>
      <c r="QQV160" s="72"/>
      <c r="QQW160" s="72"/>
      <c r="QQX160" s="72"/>
      <c r="QQY160" s="72"/>
      <c r="QQZ160" s="72"/>
      <c r="QRA160" s="72"/>
      <c r="QRB160" s="72"/>
      <c r="QRC160" s="72"/>
      <c r="QRD160" s="72"/>
      <c r="QRE160" s="72"/>
      <c r="QRF160" s="72"/>
      <c r="QRG160" s="72"/>
      <c r="QRH160" s="72"/>
      <c r="QRI160" s="72"/>
      <c r="QRJ160" s="72"/>
      <c r="QRK160" s="72"/>
      <c r="QRL160" s="72"/>
      <c r="QRM160" s="72"/>
      <c r="QRN160" s="72"/>
      <c r="QRO160" s="72"/>
      <c r="QRP160" s="72"/>
      <c r="QRQ160" s="72"/>
      <c r="QRR160" s="72"/>
      <c r="QRS160" s="72"/>
      <c r="QRT160" s="72"/>
      <c r="QRU160" s="72"/>
      <c r="QRV160" s="72"/>
      <c r="QRW160" s="72"/>
      <c r="QRX160" s="72"/>
      <c r="QRY160" s="72"/>
      <c r="QRZ160" s="72"/>
      <c r="QSA160" s="72"/>
      <c r="QSB160" s="72"/>
      <c r="QSC160" s="72"/>
      <c r="QSD160" s="72"/>
      <c r="QSE160" s="72"/>
      <c r="QSF160" s="72"/>
      <c r="QSG160" s="72"/>
      <c r="QSH160" s="72"/>
      <c r="QSI160" s="72"/>
      <c r="QSJ160" s="72"/>
      <c r="QSK160" s="72"/>
      <c r="QSL160" s="72"/>
      <c r="QSM160" s="72"/>
      <c r="QSN160" s="72"/>
      <c r="QSO160" s="72"/>
      <c r="QSP160" s="72"/>
      <c r="QSQ160" s="72"/>
      <c r="QSR160" s="72"/>
      <c r="QSS160" s="72"/>
      <c r="QST160" s="72"/>
      <c r="QSU160" s="72"/>
      <c r="QSV160" s="72"/>
      <c r="QSW160" s="72"/>
      <c r="QSX160" s="72"/>
      <c r="QSY160" s="72"/>
      <c r="QSZ160" s="72"/>
      <c r="QTA160" s="72"/>
      <c r="QTB160" s="72"/>
      <c r="QTC160" s="72"/>
      <c r="QTD160" s="72"/>
      <c r="QTE160" s="72"/>
      <c r="QTF160" s="72"/>
      <c r="QTG160" s="72"/>
      <c r="QTH160" s="72"/>
      <c r="QTI160" s="72"/>
      <c r="QTJ160" s="72"/>
      <c r="QTK160" s="72"/>
      <c r="QTL160" s="72"/>
      <c r="QTM160" s="72"/>
      <c r="QTN160" s="72"/>
      <c r="QTO160" s="72"/>
      <c r="QTP160" s="72"/>
      <c r="QTQ160" s="72"/>
      <c r="QTR160" s="72"/>
      <c r="QTS160" s="72"/>
      <c r="QTT160" s="72"/>
      <c r="QTU160" s="72"/>
      <c r="QTV160" s="72"/>
      <c r="QTW160" s="72"/>
      <c r="QTX160" s="72"/>
      <c r="QTY160" s="72"/>
      <c r="QTZ160" s="72"/>
      <c r="QUA160" s="72"/>
      <c r="QUB160" s="72"/>
      <c r="QUC160" s="72"/>
      <c r="QUD160" s="72"/>
      <c r="QUE160" s="72"/>
      <c r="QUF160" s="72"/>
      <c r="QUG160" s="72"/>
      <c r="QUH160" s="72"/>
      <c r="QUI160" s="72"/>
      <c r="QUJ160" s="72"/>
      <c r="QUK160" s="72"/>
      <c r="QUL160" s="72"/>
      <c r="QUM160" s="72"/>
      <c r="QUN160" s="72"/>
      <c r="QUO160" s="72"/>
      <c r="QUP160" s="72"/>
      <c r="QUQ160" s="72"/>
      <c r="QUR160" s="72"/>
      <c r="QUS160" s="72"/>
      <c r="QUT160" s="72"/>
      <c r="QUU160" s="72"/>
      <c r="QUV160" s="72"/>
      <c r="QUW160" s="72"/>
      <c r="QUX160" s="72"/>
      <c r="QUY160" s="72"/>
      <c r="QUZ160" s="72"/>
      <c r="QVA160" s="72"/>
      <c r="QVB160" s="72"/>
      <c r="QVC160" s="72"/>
      <c r="QVD160" s="72"/>
      <c r="QVE160" s="72"/>
      <c r="QVF160" s="72"/>
      <c r="QVG160" s="72"/>
      <c r="QVH160" s="72"/>
      <c r="QVI160" s="72"/>
      <c r="QVJ160" s="72"/>
      <c r="QVK160" s="72"/>
      <c r="QVL160" s="72"/>
      <c r="QVM160" s="72"/>
      <c r="QVN160" s="72"/>
      <c r="QVO160" s="72"/>
      <c r="QVP160" s="72"/>
      <c r="QVQ160" s="72"/>
      <c r="QVR160" s="72"/>
      <c r="QVS160" s="72"/>
      <c r="QVT160" s="72"/>
      <c r="QVU160" s="72"/>
      <c r="QVV160" s="72"/>
      <c r="QVW160" s="72"/>
      <c r="QVX160" s="72"/>
      <c r="QVY160" s="72"/>
      <c r="QVZ160" s="72"/>
      <c r="QWA160" s="72"/>
      <c r="QWB160" s="72"/>
      <c r="QWC160" s="72"/>
      <c r="QWD160" s="72"/>
      <c r="QWE160" s="72"/>
      <c r="QWF160" s="72"/>
      <c r="QWG160" s="72"/>
      <c r="QWH160" s="72"/>
      <c r="QWI160" s="72"/>
      <c r="QWJ160" s="72"/>
      <c r="QWK160" s="72"/>
      <c r="QWL160" s="72"/>
      <c r="QWM160" s="72"/>
      <c r="QWN160" s="72"/>
      <c r="QWO160" s="72"/>
      <c r="QWP160" s="72"/>
      <c r="QWQ160" s="72"/>
      <c r="QWR160" s="72"/>
      <c r="QWS160" s="72"/>
      <c r="QWT160" s="72"/>
      <c r="QWU160" s="72"/>
      <c r="QWV160" s="72"/>
      <c r="QWW160" s="72"/>
      <c r="QWX160" s="72"/>
      <c r="QWY160" s="72"/>
      <c r="QWZ160" s="72"/>
      <c r="QXA160" s="72"/>
      <c r="QXB160" s="72"/>
      <c r="QXC160" s="72"/>
      <c r="QXD160" s="72"/>
      <c r="QXE160" s="72"/>
      <c r="QXF160" s="72"/>
      <c r="QXG160" s="72"/>
      <c r="QXH160" s="72"/>
      <c r="QXI160" s="72"/>
      <c r="QXJ160" s="72"/>
      <c r="QXK160" s="72"/>
      <c r="QXL160" s="72"/>
      <c r="QXM160" s="72"/>
      <c r="QXN160" s="72"/>
      <c r="QXO160" s="72"/>
      <c r="QXP160" s="72"/>
      <c r="QXQ160" s="72"/>
      <c r="QXR160" s="72"/>
      <c r="QXS160" s="72"/>
      <c r="QXT160" s="72"/>
      <c r="QXU160" s="72"/>
      <c r="QXV160" s="72"/>
      <c r="QXW160" s="72"/>
      <c r="QXX160" s="72"/>
      <c r="QXY160" s="72"/>
      <c r="QXZ160" s="72"/>
      <c r="QYA160" s="72"/>
      <c r="QYB160" s="72"/>
      <c r="QYC160" s="72"/>
      <c r="QYD160" s="72"/>
      <c r="QYE160" s="72"/>
      <c r="QYF160" s="72"/>
      <c r="QYG160" s="72"/>
      <c r="QYH160" s="72"/>
      <c r="QYI160" s="72"/>
      <c r="QYJ160" s="72"/>
      <c r="QYK160" s="72"/>
      <c r="QYL160" s="72"/>
      <c r="QYM160" s="72"/>
      <c r="QYN160" s="72"/>
      <c r="QYO160" s="72"/>
      <c r="QYP160" s="72"/>
      <c r="QYQ160" s="72"/>
      <c r="QYR160" s="72"/>
      <c r="QYS160" s="72"/>
      <c r="QYT160" s="72"/>
      <c r="QYU160" s="72"/>
      <c r="QYV160" s="72"/>
      <c r="QYW160" s="72"/>
      <c r="QYX160" s="72"/>
      <c r="QYY160" s="72"/>
      <c r="QYZ160" s="72"/>
      <c r="QZA160" s="72"/>
      <c r="QZB160" s="72"/>
      <c r="QZC160" s="72"/>
      <c r="QZD160" s="72"/>
      <c r="QZE160" s="72"/>
      <c r="QZF160" s="72"/>
      <c r="QZG160" s="72"/>
      <c r="QZH160" s="72"/>
      <c r="QZI160" s="72"/>
      <c r="QZJ160" s="72"/>
      <c r="QZK160" s="72"/>
      <c r="QZL160" s="72"/>
      <c r="QZM160" s="72"/>
      <c r="QZN160" s="72"/>
      <c r="QZO160" s="72"/>
      <c r="QZP160" s="72"/>
      <c r="QZQ160" s="72"/>
      <c r="QZR160" s="72"/>
      <c r="QZS160" s="72"/>
      <c r="QZT160" s="72"/>
      <c r="QZU160" s="72"/>
      <c r="QZV160" s="72"/>
      <c r="QZW160" s="72"/>
      <c r="QZX160" s="72"/>
      <c r="QZY160" s="72"/>
      <c r="QZZ160" s="72"/>
      <c r="RAA160" s="72"/>
      <c r="RAB160" s="72"/>
      <c r="RAC160" s="72"/>
      <c r="RAD160" s="72"/>
      <c r="RAE160" s="72"/>
      <c r="RAF160" s="72"/>
      <c r="RAG160" s="72"/>
      <c r="RAH160" s="72"/>
      <c r="RAI160" s="72"/>
      <c r="RAJ160" s="72"/>
      <c r="RAK160" s="72"/>
      <c r="RAL160" s="72"/>
      <c r="RAM160" s="72"/>
      <c r="RAN160" s="72"/>
      <c r="RAO160" s="72"/>
      <c r="RAP160" s="72"/>
      <c r="RAQ160" s="72"/>
      <c r="RAR160" s="72"/>
      <c r="RAS160" s="72"/>
      <c r="RAT160" s="72"/>
      <c r="RAU160" s="72"/>
      <c r="RAV160" s="72"/>
      <c r="RAW160" s="72"/>
      <c r="RAX160" s="72"/>
      <c r="RAY160" s="72"/>
      <c r="RAZ160" s="72"/>
      <c r="RBA160" s="72"/>
      <c r="RBB160" s="72"/>
      <c r="RBC160" s="72"/>
      <c r="RBD160" s="72"/>
      <c r="RBE160" s="72"/>
      <c r="RBF160" s="72"/>
      <c r="RBG160" s="72"/>
      <c r="RBH160" s="72"/>
      <c r="RBI160" s="72"/>
      <c r="RBJ160" s="72"/>
      <c r="RBK160" s="72"/>
      <c r="RBL160" s="72"/>
      <c r="RBM160" s="72"/>
      <c r="RBN160" s="72"/>
      <c r="RBO160" s="72"/>
      <c r="RBP160" s="72"/>
      <c r="RBQ160" s="72"/>
      <c r="RBR160" s="72"/>
      <c r="RBS160" s="72"/>
      <c r="RBT160" s="72"/>
      <c r="RBU160" s="72"/>
      <c r="RBV160" s="72"/>
      <c r="RBW160" s="72"/>
      <c r="RBX160" s="72"/>
      <c r="RBY160" s="72"/>
      <c r="RBZ160" s="72"/>
      <c r="RCA160" s="72"/>
      <c r="RCB160" s="72"/>
      <c r="RCC160" s="72"/>
      <c r="RCD160" s="72"/>
      <c r="RCE160" s="72"/>
      <c r="RCF160" s="72"/>
      <c r="RCG160" s="72"/>
      <c r="RCH160" s="72"/>
      <c r="RCI160" s="72"/>
      <c r="RCJ160" s="72"/>
      <c r="RCK160" s="72"/>
      <c r="RCL160" s="72"/>
      <c r="RCM160" s="72"/>
      <c r="RCN160" s="72"/>
      <c r="RCO160" s="72"/>
      <c r="RCP160" s="72"/>
      <c r="RCQ160" s="72"/>
      <c r="RCR160" s="72"/>
      <c r="RCS160" s="72"/>
      <c r="RCT160" s="72"/>
      <c r="RCU160" s="72"/>
      <c r="RCV160" s="72"/>
      <c r="RCW160" s="72"/>
      <c r="RCX160" s="72"/>
      <c r="RCY160" s="72"/>
      <c r="RCZ160" s="72"/>
      <c r="RDA160" s="72"/>
      <c r="RDB160" s="72"/>
      <c r="RDC160" s="72"/>
      <c r="RDD160" s="72"/>
      <c r="RDE160" s="72"/>
      <c r="RDF160" s="72"/>
      <c r="RDG160" s="72"/>
      <c r="RDH160" s="72"/>
      <c r="RDI160" s="72"/>
      <c r="RDJ160" s="72"/>
      <c r="RDK160" s="72"/>
      <c r="RDL160" s="72"/>
      <c r="RDM160" s="72"/>
      <c r="RDN160" s="72"/>
      <c r="RDO160" s="72"/>
      <c r="RDP160" s="72"/>
      <c r="RDQ160" s="72"/>
      <c r="RDR160" s="72"/>
      <c r="RDS160" s="72"/>
      <c r="RDT160" s="72"/>
      <c r="RDU160" s="72"/>
      <c r="RDV160" s="72"/>
      <c r="RDW160" s="72"/>
      <c r="RDX160" s="72"/>
      <c r="RDY160" s="72"/>
      <c r="RDZ160" s="72"/>
      <c r="REA160" s="72"/>
      <c r="REB160" s="72"/>
      <c r="REC160" s="72"/>
      <c r="RED160" s="72"/>
      <c r="REE160" s="72"/>
      <c r="REF160" s="72"/>
      <c r="REG160" s="72"/>
      <c r="REH160" s="72"/>
      <c r="REI160" s="72"/>
      <c r="REJ160" s="72"/>
      <c r="REK160" s="72"/>
      <c r="REL160" s="72"/>
      <c r="REM160" s="72"/>
      <c r="REN160" s="72"/>
      <c r="REO160" s="72"/>
      <c r="REP160" s="72"/>
      <c r="REQ160" s="72"/>
      <c r="RER160" s="72"/>
      <c r="RES160" s="72"/>
      <c r="RET160" s="72"/>
      <c r="REU160" s="72"/>
      <c r="REV160" s="72"/>
      <c r="REW160" s="72"/>
      <c r="REX160" s="72"/>
      <c r="REY160" s="72"/>
      <c r="REZ160" s="72"/>
      <c r="RFA160" s="72"/>
      <c r="RFB160" s="72"/>
      <c r="RFC160" s="72"/>
      <c r="RFD160" s="72"/>
      <c r="RFE160" s="72"/>
      <c r="RFF160" s="72"/>
      <c r="RFG160" s="72"/>
      <c r="RFH160" s="72"/>
      <c r="RFI160" s="72"/>
      <c r="RFJ160" s="72"/>
      <c r="RFK160" s="72"/>
      <c r="RFL160" s="72"/>
      <c r="RFM160" s="72"/>
      <c r="RFN160" s="72"/>
      <c r="RFO160" s="72"/>
      <c r="RFP160" s="72"/>
      <c r="RFQ160" s="72"/>
      <c r="RFR160" s="72"/>
      <c r="RFS160" s="72"/>
      <c r="RFT160" s="72"/>
      <c r="RFU160" s="72"/>
      <c r="RFV160" s="72"/>
      <c r="RFW160" s="72"/>
      <c r="RFX160" s="72"/>
      <c r="RFY160" s="72"/>
      <c r="RFZ160" s="72"/>
      <c r="RGA160" s="72"/>
      <c r="RGB160" s="72"/>
      <c r="RGC160" s="72"/>
      <c r="RGD160" s="72"/>
      <c r="RGE160" s="72"/>
      <c r="RGF160" s="72"/>
      <c r="RGG160" s="72"/>
      <c r="RGH160" s="72"/>
      <c r="RGI160" s="72"/>
      <c r="RGJ160" s="72"/>
      <c r="RGK160" s="72"/>
      <c r="RGL160" s="72"/>
      <c r="RGM160" s="72"/>
      <c r="RGN160" s="72"/>
      <c r="RGO160" s="72"/>
      <c r="RGP160" s="72"/>
      <c r="RGQ160" s="72"/>
      <c r="RGR160" s="72"/>
      <c r="RGS160" s="72"/>
      <c r="RGT160" s="72"/>
      <c r="RGU160" s="72"/>
      <c r="RGV160" s="72"/>
      <c r="RGW160" s="72"/>
      <c r="RGX160" s="72"/>
      <c r="RGY160" s="72"/>
      <c r="RGZ160" s="72"/>
      <c r="RHA160" s="72"/>
      <c r="RHB160" s="72"/>
      <c r="RHC160" s="72"/>
      <c r="RHD160" s="72"/>
      <c r="RHE160" s="72"/>
      <c r="RHF160" s="72"/>
      <c r="RHG160" s="72"/>
      <c r="RHH160" s="72"/>
      <c r="RHI160" s="72"/>
      <c r="RHJ160" s="72"/>
      <c r="RHK160" s="72"/>
      <c r="RHL160" s="72"/>
      <c r="RHM160" s="72"/>
      <c r="RHN160" s="72"/>
      <c r="RHO160" s="72"/>
      <c r="RHP160" s="72"/>
      <c r="RHQ160" s="72"/>
      <c r="RHR160" s="72"/>
      <c r="RHS160" s="72"/>
      <c r="RHT160" s="72"/>
      <c r="RHU160" s="72"/>
      <c r="RHV160" s="72"/>
      <c r="RHW160" s="72"/>
      <c r="RHX160" s="72"/>
      <c r="RHY160" s="72"/>
      <c r="RHZ160" s="72"/>
      <c r="RIA160" s="72"/>
      <c r="RIB160" s="72"/>
      <c r="RIC160" s="72"/>
      <c r="RID160" s="72"/>
      <c r="RIE160" s="72"/>
      <c r="RIF160" s="72"/>
      <c r="RIG160" s="72"/>
      <c r="RIH160" s="72"/>
      <c r="RII160" s="72"/>
      <c r="RIJ160" s="72"/>
      <c r="RIK160" s="72"/>
      <c r="RIL160" s="72"/>
      <c r="RIM160" s="72"/>
      <c r="RIN160" s="72"/>
      <c r="RIO160" s="72"/>
      <c r="RIP160" s="72"/>
      <c r="RIQ160" s="72"/>
      <c r="RIR160" s="72"/>
      <c r="RIS160" s="72"/>
      <c r="RIT160" s="72"/>
      <c r="RIU160" s="72"/>
      <c r="RIV160" s="72"/>
      <c r="RIW160" s="72"/>
      <c r="RIX160" s="72"/>
      <c r="RIY160" s="72"/>
      <c r="RIZ160" s="72"/>
      <c r="RJA160" s="72"/>
      <c r="RJB160" s="72"/>
      <c r="RJC160" s="72"/>
      <c r="RJD160" s="72"/>
      <c r="RJE160" s="72"/>
      <c r="RJF160" s="72"/>
      <c r="RJG160" s="72"/>
      <c r="RJH160" s="72"/>
      <c r="RJI160" s="72"/>
      <c r="RJJ160" s="72"/>
      <c r="RJK160" s="72"/>
      <c r="RJL160" s="72"/>
      <c r="RJM160" s="72"/>
      <c r="RJN160" s="72"/>
      <c r="RJO160" s="72"/>
      <c r="RJP160" s="72"/>
      <c r="RJQ160" s="72"/>
      <c r="RJR160" s="72"/>
      <c r="RJS160" s="72"/>
      <c r="RJT160" s="72"/>
      <c r="RJU160" s="72"/>
      <c r="RJV160" s="72"/>
      <c r="RJW160" s="72"/>
      <c r="RJX160" s="72"/>
      <c r="RJY160" s="72"/>
      <c r="RJZ160" s="72"/>
      <c r="RKA160" s="72"/>
      <c r="RKB160" s="72"/>
      <c r="RKC160" s="72"/>
      <c r="RKD160" s="72"/>
      <c r="RKE160" s="72"/>
      <c r="RKF160" s="72"/>
      <c r="RKG160" s="72"/>
      <c r="RKH160" s="72"/>
      <c r="RKI160" s="72"/>
      <c r="RKJ160" s="72"/>
      <c r="RKK160" s="72"/>
      <c r="RKL160" s="72"/>
      <c r="RKM160" s="72"/>
      <c r="RKN160" s="72"/>
      <c r="RKO160" s="72"/>
      <c r="RKP160" s="72"/>
      <c r="RKQ160" s="72"/>
      <c r="RKR160" s="72"/>
      <c r="RKS160" s="72"/>
      <c r="RKT160" s="72"/>
      <c r="RKU160" s="72"/>
      <c r="RKV160" s="72"/>
      <c r="RKW160" s="72"/>
      <c r="RKX160" s="72"/>
      <c r="RKY160" s="72"/>
      <c r="RKZ160" s="72"/>
      <c r="RLA160" s="72"/>
      <c r="RLB160" s="72"/>
      <c r="RLC160" s="72"/>
      <c r="RLD160" s="72"/>
      <c r="RLE160" s="72"/>
      <c r="RLF160" s="72"/>
      <c r="RLG160" s="72"/>
      <c r="RLH160" s="72"/>
      <c r="RLI160" s="72"/>
      <c r="RLJ160" s="72"/>
      <c r="RLK160" s="72"/>
      <c r="RLL160" s="72"/>
      <c r="RLM160" s="72"/>
      <c r="RLN160" s="72"/>
      <c r="RLO160" s="72"/>
      <c r="RLP160" s="72"/>
      <c r="RLQ160" s="72"/>
      <c r="RLR160" s="72"/>
      <c r="RLS160" s="72"/>
      <c r="RLT160" s="72"/>
      <c r="RLU160" s="72"/>
      <c r="RLV160" s="72"/>
      <c r="RLW160" s="72"/>
      <c r="RLX160" s="72"/>
      <c r="RLY160" s="72"/>
      <c r="RLZ160" s="72"/>
      <c r="RMA160" s="72"/>
      <c r="RMB160" s="72"/>
      <c r="RMC160" s="72"/>
      <c r="RMD160" s="72"/>
      <c r="RME160" s="72"/>
      <c r="RMF160" s="72"/>
      <c r="RMG160" s="72"/>
      <c r="RMH160" s="72"/>
      <c r="RMI160" s="72"/>
      <c r="RMJ160" s="72"/>
      <c r="RMK160" s="72"/>
      <c r="RML160" s="72"/>
      <c r="RMM160" s="72"/>
      <c r="RMN160" s="72"/>
      <c r="RMO160" s="72"/>
      <c r="RMP160" s="72"/>
      <c r="RMQ160" s="72"/>
      <c r="RMR160" s="72"/>
      <c r="RMS160" s="72"/>
      <c r="RMT160" s="72"/>
      <c r="RMU160" s="72"/>
      <c r="RMV160" s="72"/>
      <c r="RMW160" s="72"/>
      <c r="RMX160" s="72"/>
      <c r="RMY160" s="72"/>
      <c r="RMZ160" s="72"/>
      <c r="RNA160" s="72"/>
      <c r="RNB160" s="72"/>
      <c r="RNC160" s="72"/>
      <c r="RND160" s="72"/>
      <c r="RNE160" s="72"/>
      <c r="RNF160" s="72"/>
      <c r="RNG160" s="72"/>
      <c r="RNH160" s="72"/>
      <c r="RNI160" s="72"/>
      <c r="RNJ160" s="72"/>
      <c r="RNK160" s="72"/>
      <c r="RNL160" s="72"/>
      <c r="RNM160" s="72"/>
      <c r="RNN160" s="72"/>
      <c r="RNO160" s="72"/>
      <c r="RNP160" s="72"/>
      <c r="RNQ160" s="72"/>
      <c r="RNR160" s="72"/>
      <c r="RNS160" s="72"/>
      <c r="RNT160" s="72"/>
      <c r="RNU160" s="72"/>
      <c r="RNV160" s="72"/>
      <c r="RNW160" s="72"/>
      <c r="RNX160" s="72"/>
      <c r="RNY160" s="72"/>
      <c r="RNZ160" s="72"/>
      <c r="ROA160" s="72"/>
      <c r="ROB160" s="72"/>
      <c r="ROC160" s="72"/>
      <c r="ROD160" s="72"/>
      <c r="ROE160" s="72"/>
      <c r="ROF160" s="72"/>
      <c r="ROG160" s="72"/>
      <c r="ROH160" s="72"/>
      <c r="ROI160" s="72"/>
      <c r="ROJ160" s="72"/>
      <c r="ROK160" s="72"/>
      <c r="ROL160" s="72"/>
      <c r="ROM160" s="72"/>
      <c r="RON160" s="72"/>
      <c r="ROO160" s="72"/>
      <c r="ROP160" s="72"/>
      <c r="ROQ160" s="72"/>
      <c r="ROR160" s="72"/>
      <c r="ROS160" s="72"/>
      <c r="ROT160" s="72"/>
      <c r="ROU160" s="72"/>
      <c r="ROV160" s="72"/>
      <c r="ROW160" s="72"/>
      <c r="ROX160" s="72"/>
      <c r="ROY160" s="72"/>
      <c r="ROZ160" s="72"/>
      <c r="RPA160" s="72"/>
      <c r="RPB160" s="72"/>
      <c r="RPC160" s="72"/>
      <c r="RPD160" s="72"/>
      <c r="RPE160" s="72"/>
      <c r="RPF160" s="72"/>
      <c r="RPG160" s="72"/>
      <c r="RPH160" s="72"/>
      <c r="RPI160" s="72"/>
      <c r="RPJ160" s="72"/>
      <c r="RPK160" s="72"/>
      <c r="RPL160" s="72"/>
      <c r="RPM160" s="72"/>
      <c r="RPN160" s="72"/>
      <c r="RPO160" s="72"/>
      <c r="RPP160" s="72"/>
      <c r="RPQ160" s="72"/>
      <c r="RPR160" s="72"/>
      <c r="RPS160" s="72"/>
      <c r="RPT160" s="72"/>
      <c r="RPU160" s="72"/>
      <c r="RPV160" s="72"/>
      <c r="RPW160" s="72"/>
      <c r="RPX160" s="72"/>
      <c r="RPY160" s="72"/>
      <c r="RPZ160" s="72"/>
      <c r="RQA160" s="72"/>
      <c r="RQB160" s="72"/>
      <c r="RQC160" s="72"/>
      <c r="RQD160" s="72"/>
      <c r="RQE160" s="72"/>
      <c r="RQF160" s="72"/>
      <c r="RQG160" s="72"/>
      <c r="RQH160" s="72"/>
      <c r="RQI160" s="72"/>
      <c r="RQJ160" s="72"/>
      <c r="RQK160" s="72"/>
      <c r="RQL160" s="72"/>
      <c r="RQM160" s="72"/>
      <c r="RQN160" s="72"/>
      <c r="RQO160" s="72"/>
      <c r="RQP160" s="72"/>
      <c r="RQQ160" s="72"/>
      <c r="RQR160" s="72"/>
      <c r="RQS160" s="72"/>
      <c r="RQT160" s="72"/>
      <c r="RQU160" s="72"/>
      <c r="RQV160" s="72"/>
      <c r="RQW160" s="72"/>
      <c r="RQX160" s="72"/>
      <c r="RQY160" s="72"/>
      <c r="RQZ160" s="72"/>
      <c r="RRA160" s="72"/>
      <c r="RRB160" s="72"/>
      <c r="RRC160" s="72"/>
      <c r="RRD160" s="72"/>
      <c r="RRE160" s="72"/>
      <c r="RRF160" s="72"/>
      <c r="RRG160" s="72"/>
      <c r="RRH160" s="72"/>
      <c r="RRI160" s="72"/>
      <c r="RRJ160" s="72"/>
      <c r="RRK160" s="72"/>
      <c r="RRL160" s="72"/>
      <c r="RRM160" s="72"/>
      <c r="RRN160" s="72"/>
      <c r="RRO160" s="72"/>
      <c r="RRP160" s="72"/>
      <c r="RRQ160" s="72"/>
      <c r="RRR160" s="72"/>
      <c r="RRS160" s="72"/>
      <c r="RRT160" s="72"/>
      <c r="RRU160" s="72"/>
      <c r="RRV160" s="72"/>
      <c r="RRW160" s="72"/>
      <c r="RRX160" s="72"/>
      <c r="RRY160" s="72"/>
      <c r="RRZ160" s="72"/>
      <c r="RSA160" s="72"/>
      <c r="RSB160" s="72"/>
      <c r="RSC160" s="72"/>
      <c r="RSD160" s="72"/>
      <c r="RSE160" s="72"/>
      <c r="RSF160" s="72"/>
      <c r="RSG160" s="72"/>
      <c r="RSH160" s="72"/>
      <c r="RSI160" s="72"/>
      <c r="RSJ160" s="72"/>
      <c r="RSK160" s="72"/>
      <c r="RSL160" s="72"/>
      <c r="RSM160" s="72"/>
      <c r="RSN160" s="72"/>
      <c r="RSO160" s="72"/>
      <c r="RSP160" s="72"/>
      <c r="RSQ160" s="72"/>
      <c r="RSR160" s="72"/>
      <c r="RSS160" s="72"/>
      <c r="RST160" s="72"/>
      <c r="RSU160" s="72"/>
      <c r="RSV160" s="72"/>
      <c r="RSW160" s="72"/>
      <c r="RSX160" s="72"/>
      <c r="RSY160" s="72"/>
      <c r="RSZ160" s="72"/>
      <c r="RTA160" s="72"/>
      <c r="RTB160" s="72"/>
      <c r="RTC160" s="72"/>
      <c r="RTD160" s="72"/>
      <c r="RTE160" s="72"/>
      <c r="RTF160" s="72"/>
      <c r="RTG160" s="72"/>
      <c r="RTH160" s="72"/>
      <c r="RTI160" s="72"/>
      <c r="RTJ160" s="72"/>
      <c r="RTK160" s="72"/>
      <c r="RTL160" s="72"/>
      <c r="RTM160" s="72"/>
      <c r="RTN160" s="72"/>
      <c r="RTO160" s="72"/>
      <c r="RTP160" s="72"/>
      <c r="RTQ160" s="72"/>
      <c r="RTR160" s="72"/>
      <c r="RTS160" s="72"/>
      <c r="RTT160" s="72"/>
      <c r="RTU160" s="72"/>
      <c r="RTV160" s="72"/>
      <c r="RTW160" s="72"/>
      <c r="RTX160" s="72"/>
      <c r="RTY160" s="72"/>
      <c r="RTZ160" s="72"/>
      <c r="RUA160" s="72"/>
      <c r="RUB160" s="72"/>
      <c r="RUC160" s="72"/>
      <c r="RUD160" s="72"/>
      <c r="RUE160" s="72"/>
      <c r="RUF160" s="72"/>
      <c r="RUG160" s="72"/>
      <c r="RUH160" s="72"/>
      <c r="RUI160" s="72"/>
      <c r="RUJ160" s="72"/>
      <c r="RUK160" s="72"/>
      <c r="RUL160" s="72"/>
      <c r="RUM160" s="72"/>
      <c r="RUN160" s="72"/>
      <c r="RUO160" s="72"/>
      <c r="RUP160" s="72"/>
      <c r="RUQ160" s="72"/>
      <c r="RUR160" s="72"/>
      <c r="RUS160" s="72"/>
      <c r="RUT160" s="72"/>
      <c r="RUU160" s="72"/>
      <c r="RUV160" s="72"/>
      <c r="RUW160" s="72"/>
      <c r="RUX160" s="72"/>
      <c r="RUY160" s="72"/>
      <c r="RUZ160" s="72"/>
      <c r="RVA160" s="72"/>
      <c r="RVB160" s="72"/>
      <c r="RVC160" s="72"/>
      <c r="RVD160" s="72"/>
      <c r="RVE160" s="72"/>
      <c r="RVF160" s="72"/>
      <c r="RVG160" s="72"/>
      <c r="RVH160" s="72"/>
      <c r="RVI160" s="72"/>
      <c r="RVJ160" s="72"/>
      <c r="RVK160" s="72"/>
      <c r="RVL160" s="72"/>
      <c r="RVM160" s="72"/>
      <c r="RVN160" s="72"/>
      <c r="RVO160" s="72"/>
      <c r="RVP160" s="72"/>
      <c r="RVQ160" s="72"/>
      <c r="RVR160" s="72"/>
      <c r="RVS160" s="72"/>
      <c r="RVT160" s="72"/>
      <c r="RVU160" s="72"/>
      <c r="RVV160" s="72"/>
      <c r="RVW160" s="72"/>
      <c r="RVX160" s="72"/>
      <c r="RVY160" s="72"/>
      <c r="RVZ160" s="72"/>
      <c r="RWA160" s="72"/>
      <c r="RWB160" s="72"/>
      <c r="RWC160" s="72"/>
      <c r="RWD160" s="72"/>
      <c r="RWE160" s="72"/>
      <c r="RWF160" s="72"/>
      <c r="RWG160" s="72"/>
      <c r="RWH160" s="72"/>
      <c r="RWI160" s="72"/>
      <c r="RWJ160" s="72"/>
      <c r="RWK160" s="72"/>
      <c r="RWL160" s="72"/>
      <c r="RWM160" s="72"/>
      <c r="RWN160" s="72"/>
      <c r="RWO160" s="72"/>
      <c r="RWP160" s="72"/>
      <c r="RWQ160" s="72"/>
      <c r="RWR160" s="72"/>
      <c r="RWS160" s="72"/>
      <c r="RWT160" s="72"/>
      <c r="RWU160" s="72"/>
      <c r="RWV160" s="72"/>
      <c r="RWW160" s="72"/>
      <c r="RWX160" s="72"/>
      <c r="RWY160" s="72"/>
      <c r="RWZ160" s="72"/>
      <c r="RXA160" s="72"/>
      <c r="RXB160" s="72"/>
      <c r="RXC160" s="72"/>
      <c r="RXD160" s="72"/>
      <c r="RXE160" s="72"/>
      <c r="RXF160" s="72"/>
      <c r="RXG160" s="72"/>
      <c r="RXH160" s="72"/>
      <c r="RXI160" s="72"/>
      <c r="RXJ160" s="72"/>
      <c r="RXK160" s="72"/>
      <c r="RXL160" s="72"/>
      <c r="RXM160" s="72"/>
      <c r="RXN160" s="72"/>
      <c r="RXO160" s="72"/>
      <c r="RXP160" s="72"/>
      <c r="RXQ160" s="72"/>
      <c r="RXR160" s="72"/>
      <c r="RXS160" s="72"/>
      <c r="RXT160" s="72"/>
      <c r="RXU160" s="72"/>
      <c r="RXV160" s="72"/>
      <c r="RXW160" s="72"/>
      <c r="RXX160" s="72"/>
      <c r="RXY160" s="72"/>
      <c r="RXZ160" s="72"/>
      <c r="RYA160" s="72"/>
      <c r="RYB160" s="72"/>
      <c r="RYC160" s="72"/>
      <c r="RYD160" s="72"/>
      <c r="RYE160" s="72"/>
      <c r="RYF160" s="72"/>
      <c r="RYG160" s="72"/>
      <c r="RYH160" s="72"/>
      <c r="RYI160" s="72"/>
      <c r="RYJ160" s="72"/>
      <c r="RYK160" s="72"/>
      <c r="RYL160" s="72"/>
      <c r="RYM160" s="72"/>
      <c r="RYN160" s="72"/>
      <c r="RYO160" s="72"/>
      <c r="RYP160" s="72"/>
      <c r="RYQ160" s="72"/>
      <c r="RYR160" s="72"/>
      <c r="RYS160" s="72"/>
      <c r="RYT160" s="72"/>
      <c r="RYU160" s="72"/>
      <c r="RYV160" s="72"/>
      <c r="RYW160" s="72"/>
      <c r="RYX160" s="72"/>
      <c r="RYY160" s="72"/>
      <c r="RYZ160" s="72"/>
      <c r="RZA160" s="72"/>
      <c r="RZB160" s="72"/>
      <c r="RZC160" s="72"/>
      <c r="RZD160" s="72"/>
      <c r="RZE160" s="72"/>
      <c r="RZF160" s="72"/>
      <c r="RZG160" s="72"/>
      <c r="RZH160" s="72"/>
      <c r="RZI160" s="72"/>
      <c r="RZJ160" s="72"/>
      <c r="RZK160" s="72"/>
      <c r="RZL160" s="72"/>
      <c r="RZM160" s="72"/>
      <c r="RZN160" s="72"/>
      <c r="RZO160" s="72"/>
      <c r="RZP160" s="72"/>
      <c r="RZQ160" s="72"/>
      <c r="RZR160" s="72"/>
      <c r="RZS160" s="72"/>
      <c r="RZT160" s="72"/>
      <c r="RZU160" s="72"/>
      <c r="RZV160" s="72"/>
      <c r="RZW160" s="72"/>
      <c r="RZX160" s="72"/>
      <c r="RZY160" s="72"/>
      <c r="RZZ160" s="72"/>
      <c r="SAA160" s="72"/>
      <c r="SAB160" s="72"/>
      <c r="SAC160" s="72"/>
      <c r="SAD160" s="72"/>
      <c r="SAE160" s="72"/>
      <c r="SAF160" s="72"/>
      <c r="SAG160" s="72"/>
      <c r="SAH160" s="72"/>
      <c r="SAI160" s="72"/>
      <c r="SAJ160" s="72"/>
      <c r="SAK160" s="72"/>
      <c r="SAL160" s="72"/>
      <c r="SAM160" s="72"/>
      <c r="SAN160" s="72"/>
      <c r="SAO160" s="72"/>
      <c r="SAP160" s="72"/>
      <c r="SAQ160" s="72"/>
      <c r="SAR160" s="72"/>
      <c r="SAS160" s="72"/>
      <c r="SAT160" s="72"/>
      <c r="SAU160" s="72"/>
      <c r="SAV160" s="72"/>
      <c r="SAW160" s="72"/>
      <c r="SAX160" s="72"/>
      <c r="SAY160" s="72"/>
      <c r="SAZ160" s="72"/>
      <c r="SBA160" s="72"/>
      <c r="SBB160" s="72"/>
      <c r="SBC160" s="72"/>
      <c r="SBD160" s="72"/>
      <c r="SBE160" s="72"/>
      <c r="SBF160" s="72"/>
      <c r="SBG160" s="72"/>
      <c r="SBH160" s="72"/>
      <c r="SBI160" s="72"/>
      <c r="SBJ160" s="72"/>
      <c r="SBK160" s="72"/>
      <c r="SBL160" s="72"/>
      <c r="SBM160" s="72"/>
      <c r="SBN160" s="72"/>
      <c r="SBO160" s="72"/>
      <c r="SBP160" s="72"/>
      <c r="SBQ160" s="72"/>
      <c r="SBR160" s="72"/>
      <c r="SBS160" s="72"/>
      <c r="SBT160" s="72"/>
      <c r="SBU160" s="72"/>
      <c r="SBV160" s="72"/>
      <c r="SBW160" s="72"/>
      <c r="SBX160" s="72"/>
      <c r="SBY160" s="72"/>
      <c r="SBZ160" s="72"/>
      <c r="SCA160" s="72"/>
      <c r="SCB160" s="72"/>
      <c r="SCC160" s="72"/>
      <c r="SCD160" s="72"/>
      <c r="SCE160" s="72"/>
      <c r="SCF160" s="72"/>
      <c r="SCG160" s="72"/>
      <c r="SCH160" s="72"/>
      <c r="SCI160" s="72"/>
      <c r="SCJ160" s="72"/>
      <c r="SCK160" s="72"/>
      <c r="SCL160" s="72"/>
      <c r="SCM160" s="72"/>
      <c r="SCN160" s="72"/>
      <c r="SCO160" s="72"/>
      <c r="SCP160" s="72"/>
      <c r="SCQ160" s="72"/>
      <c r="SCR160" s="72"/>
      <c r="SCS160" s="72"/>
      <c r="SCT160" s="72"/>
      <c r="SCU160" s="72"/>
      <c r="SCV160" s="72"/>
      <c r="SCW160" s="72"/>
      <c r="SCX160" s="72"/>
      <c r="SCY160" s="72"/>
      <c r="SCZ160" s="72"/>
      <c r="SDA160" s="72"/>
      <c r="SDB160" s="72"/>
      <c r="SDC160" s="72"/>
      <c r="SDD160" s="72"/>
      <c r="SDE160" s="72"/>
      <c r="SDF160" s="72"/>
      <c r="SDG160" s="72"/>
      <c r="SDH160" s="72"/>
      <c r="SDI160" s="72"/>
      <c r="SDJ160" s="72"/>
      <c r="SDK160" s="72"/>
      <c r="SDL160" s="72"/>
      <c r="SDM160" s="72"/>
      <c r="SDN160" s="72"/>
      <c r="SDO160" s="72"/>
      <c r="SDP160" s="72"/>
      <c r="SDQ160" s="72"/>
      <c r="SDR160" s="72"/>
      <c r="SDS160" s="72"/>
      <c r="SDT160" s="72"/>
      <c r="SDU160" s="72"/>
      <c r="SDV160" s="72"/>
      <c r="SDW160" s="72"/>
      <c r="SDX160" s="72"/>
      <c r="SDY160" s="72"/>
      <c r="SDZ160" s="72"/>
      <c r="SEA160" s="72"/>
      <c r="SEB160" s="72"/>
      <c r="SEC160" s="72"/>
      <c r="SED160" s="72"/>
      <c r="SEE160" s="72"/>
      <c r="SEF160" s="72"/>
      <c r="SEG160" s="72"/>
      <c r="SEH160" s="72"/>
      <c r="SEI160" s="72"/>
      <c r="SEJ160" s="72"/>
      <c r="SEK160" s="72"/>
      <c r="SEL160" s="72"/>
      <c r="SEM160" s="72"/>
      <c r="SEN160" s="72"/>
      <c r="SEO160" s="72"/>
      <c r="SEP160" s="72"/>
      <c r="SEQ160" s="72"/>
      <c r="SER160" s="72"/>
      <c r="SES160" s="72"/>
      <c r="SET160" s="72"/>
      <c r="SEU160" s="72"/>
      <c r="SEV160" s="72"/>
      <c r="SEW160" s="72"/>
      <c r="SEX160" s="72"/>
      <c r="SEY160" s="72"/>
      <c r="SEZ160" s="72"/>
      <c r="SFA160" s="72"/>
      <c r="SFB160" s="72"/>
      <c r="SFC160" s="72"/>
      <c r="SFD160" s="72"/>
      <c r="SFE160" s="72"/>
      <c r="SFF160" s="72"/>
      <c r="SFG160" s="72"/>
      <c r="SFH160" s="72"/>
      <c r="SFI160" s="72"/>
      <c r="SFJ160" s="72"/>
      <c r="SFK160" s="72"/>
      <c r="SFL160" s="72"/>
      <c r="SFM160" s="72"/>
      <c r="SFN160" s="72"/>
      <c r="SFO160" s="72"/>
      <c r="SFP160" s="72"/>
      <c r="SFQ160" s="72"/>
      <c r="SFR160" s="72"/>
      <c r="SFS160" s="72"/>
      <c r="SFT160" s="72"/>
      <c r="SFU160" s="72"/>
      <c r="SFV160" s="72"/>
      <c r="SFW160" s="72"/>
      <c r="SFX160" s="72"/>
      <c r="SFY160" s="72"/>
      <c r="SFZ160" s="72"/>
      <c r="SGA160" s="72"/>
      <c r="SGB160" s="72"/>
      <c r="SGC160" s="72"/>
      <c r="SGD160" s="72"/>
      <c r="SGE160" s="72"/>
      <c r="SGF160" s="72"/>
      <c r="SGG160" s="72"/>
      <c r="SGH160" s="72"/>
      <c r="SGI160" s="72"/>
      <c r="SGJ160" s="72"/>
      <c r="SGK160" s="72"/>
      <c r="SGL160" s="72"/>
      <c r="SGM160" s="72"/>
      <c r="SGN160" s="72"/>
      <c r="SGO160" s="72"/>
      <c r="SGP160" s="72"/>
      <c r="SGQ160" s="72"/>
      <c r="SGR160" s="72"/>
      <c r="SGS160" s="72"/>
      <c r="SGT160" s="72"/>
      <c r="SGU160" s="72"/>
      <c r="SGV160" s="72"/>
      <c r="SGW160" s="72"/>
      <c r="SGX160" s="72"/>
      <c r="SGY160" s="72"/>
      <c r="SGZ160" s="72"/>
      <c r="SHA160" s="72"/>
      <c r="SHB160" s="72"/>
      <c r="SHC160" s="72"/>
      <c r="SHD160" s="72"/>
      <c r="SHE160" s="72"/>
      <c r="SHF160" s="72"/>
      <c r="SHG160" s="72"/>
      <c r="SHH160" s="72"/>
      <c r="SHI160" s="72"/>
      <c r="SHJ160" s="72"/>
      <c r="SHK160" s="72"/>
      <c r="SHL160" s="72"/>
      <c r="SHM160" s="72"/>
      <c r="SHN160" s="72"/>
      <c r="SHO160" s="72"/>
      <c r="SHP160" s="72"/>
      <c r="SHQ160" s="72"/>
      <c r="SHR160" s="72"/>
      <c r="SHS160" s="72"/>
      <c r="SHT160" s="72"/>
      <c r="SHU160" s="72"/>
      <c r="SHV160" s="72"/>
      <c r="SHW160" s="72"/>
      <c r="SHX160" s="72"/>
      <c r="SHY160" s="72"/>
      <c r="SHZ160" s="72"/>
      <c r="SIA160" s="72"/>
      <c r="SIB160" s="72"/>
      <c r="SIC160" s="72"/>
      <c r="SID160" s="72"/>
      <c r="SIE160" s="72"/>
      <c r="SIF160" s="72"/>
      <c r="SIG160" s="72"/>
      <c r="SIH160" s="72"/>
      <c r="SII160" s="72"/>
      <c r="SIJ160" s="72"/>
      <c r="SIK160" s="72"/>
      <c r="SIL160" s="72"/>
      <c r="SIM160" s="72"/>
      <c r="SIN160" s="72"/>
      <c r="SIO160" s="72"/>
      <c r="SIP160" s="72"/>
      <c r="SIQ160" s="72"/>
      <c r="SIR160" s="72"/>
      <c r="SIS160" s="72"/>
      <c r="SIT160" s="72"/>
      <c r="SIU160" s="72"/>
      <c r="SIV160" s="72"/>
      <c r="SIW160" s="72"/>
      <c r="SIX160" s="72"/>
      <c r="SIY160" s="72"/>
      <c r="SIZ160" s="72"/>
      <c r="SJA160" s="72"/>
      <c r="SJB160" s="72"/>
      <c r="SJC160" s="72"/>
      <c r="SJD160" s="72"/>
      <c r="SJE160" s="72"/>
      <c r="SJF160" s="72"/>
      <c r="SJG160" s="72"/>
      <c r="SJH160" s="72"/>
      <c r="SJI160" s="72"/>
      <c r="SJJ160" s="72"/>
      <c r="SJK160" s="72"/>
      <c r="SJL160" s="72"/>
      <c r="SJM160" s="72"/>
      <c r="SJN160" s="72"/>
      <c r="SJO160" s="72"/>
      <c r="SJP160" s="72"/>
      <c r="SJQ160" s="72"/>
      <c r="SJR160" s="72"/>
      <c r="SJS160" s="72"/>
      <c r="SJT160" s="72"/>
      <c r="SJU160" s="72"/>
      <c r="SJV160" s="72"/>
      <c r="SJW160" s="72"/>
      <c r="SJX160" s="72"/>
      <c r="SJY160" s="72"/>
      <c r="SJZ160" s="72"/>
      <c r="SKA160" s="72"/>
      <c r="SKB160" s="72"/>
      <c r="SKC160" s="72"/>
      <c r="SKD160" s="72"/>
      <c r="SKE160" s="72"/>
      <c r="SKF160" s="72"/>
      <c r="SKG160" s="72"/>
      <c r="SKH160" s="72"/>
      <c r="SKI160" s="72"/>
      <c r="SKJ160" s="72"/>
      <c r="SKK160" s="72"/>
      <c r="SKL160" s="72"/>
      <c r="SKM160" s="72"/>
      <c r="SKN160" s="72"/>
      <c r="SKO160" s="72"/>
      <c r="SKP160" s="72"/>
      <c r="SKQ160" s="72"/>
      <c r="SKR160" s="72"/>
      <c r="SKS160" s="72"/>
      <c r="SKT160" s="72"/>
      <c r="SKU160" s="72"/>
      <c r="SKV160" s="72"/>
      <c r="SKW160" s="72"/>
      <c r="SKX160" s="72"/>
      <c r="SKY160" s="72"/>
      <c r="SKZ160" s="72"/>
      <c r="SLA160" s="72"/>
      <c r="SLB160" s="72"/>
      <c r="SLC160" s="72"/>
      <c r="SLD160" s="72"/>
      <c r="SLE160" s="72"/>
      <c r="SLF160" s="72"/>
      <c r="SLG160" s="72"/>
      <c r="SLH160" s="72"/>
      <c r="SLI160" s="72"/>
      <c r="SLJ160" s="72"/>
      <c r="SLK160" s="72"/>
      <c r="SLL160" s="72"/>
      <c r="SLM160" s="72"/>
      <c r="SLN160" s="72"/>
      <c r="SLO160" s="72"/>
      <c r="SLP160" s="72"/>
      <c r="SLQ160" s="72"/>
      <c r="SLR160" s="72"/>
      <c r="SLS160" s="72"/>
      <c r="SLT160" s="72"/>
      <c r="SLU160" s="72"/>
      <c r="SLV160" s="72"/>
      <c r="SLW160" s="72"/>
      <c r="SLX160" s="72"/>
      <c r="SLY160" s="72"/>
      <c r="SLZ160" s="72"/>
      <c r="SMA160" s="72"/>
      <c r="SMB160" s="72"/>
      <c r="SMC160" s="72"/>
      <c r="SMD160" s="72"/>
      <c r="SME160" s="72"/>
      <c r="SMF160" s="72"/>
      <c r="SMG160" s="72"/>
      <c r="SMH160" s="72"/>
      <c r="SMI160" s="72"/>
      <c r="SMJ160" s="72"/>
      <c r="SMK160" s="72"/>
      <c r="SML160" s="72"/>
      <c r="SMM160" s="72"/>
      <c r="SMN160" s="72"/>
      <c r="SMO160" s="72"/>
      <c r="SMP160" s="72"/>
      <c r="SMQ160" s="72"/>
      <c r="SMR160" s="72"/>
      <c r="SMS160" s="72"/>
      <c r="SMT160" s="72"/>
      <c r="SMU160" s="72"/>
      <c r="SMV160" s="72"/>
      <c r="SMW160" s="72"/>
      <c r="SMX160" s="72"/>
      <c r="SMY160" s="72"/>
      <c r="SMZ160" s="72"/>
      <c r="SNA160" s="72"/>
      <c r="SNB160" s="72"/>
      <c r="SNC160" s="72"/>
      <c r="SND160" s="72"/>
      <c r="SNE160" s="72"/>
      <c r="SNF160" s="72"/>
      <c r="SNG160" s="72"/>
      <c r="SNH160" s="72"/>
      <c r="SNI160" s="72"/>
      <c r="SNJ160" s="72"/>
      <c r="SNK160" s="72"/>
      <c r="SNL160" s="72"/>
      <c r="SNM160" s="72"/>
      <c r="SNN160" s="72"/>
      <c r="SNO160" s="72"/>
      <c r="SNP160" s="72"/>
      <c r="SNQ160" s="72"/>
      <c r="SNR160" s="72"/>
      <c r="SNS160" s="72"/>
      <c r="SNT160" s="72"/>
      <c r="SNU160" s="72"/>
      <c r="SNV160" s="72"/>
      <c r="SNW160" s="72"/>
      <c r="SNX160" s="72"/>
      <c r="SNY160" s="72"/>
      <c r="SNZ160" s="72"/>
      <c r="SOA160" s="72"/>
      <c r="SOB160" s="72"/>
      <c r="SOC160" s="72"/>
      <c r="SOD160" s="72"/>
      <c r="SOE160" s="72"/>
      <c r="SOF160" s="72"/>
      <c r="SOG160" s="72"/>
      <c r="SOH160" s="72"/>
      <c r="SOI160" s="72"/>
      <c r="SOJ160" s="72"/>
      <c r="SOK160" s="72"/>
      <c r="SOL160" s="72"/>
      <c r="SOM160" s="72"/>
      <c r="SON160" s="72"/>
      <c r="SOO160" s="72"/>
      <c r="SOP160" s="72"/>
      <c r="SOQ160" s="72"/>
      <c r="SOR160" s="72"/>
      <c r="SOS160" s="72"/>
      <c r="SOT160" s="72"/>
      <c r="SOU160" s="72"/>
      <c r="SOV160" s="72"/>
      <c r="SOW160" s="72"/>
      <c r="SOX160" s="72"/>
      <c r="SOY160" s="72"/>
      <c r="SOZ160" s="72"/>
      <c r="SPA160" s="72"/>
      <c r="SPB160" s="72"/>
      <c r="SPC160" s="72"/>
      <c r="SPD160" s="72"/>
      <c r="SPE160" s="72"/>
      <c r="SPF160" s="72"/>
      <c r="SPG160" s="72"/>
      <c r="SPH160" s="72"/>
      <c r="SPI160" s="72"/>
      <c r="SPJ160" s="72"/>
      <c r="SPK160" s="72"/>
      <c r="SPL160" s="72"/>
      <c r="SPM160" s="72"/>
      <c r="SPN160" s="72"/>
      <c r="SPO160" s="72"/>
      <c r="SPP160" s="72"/>
      <c r="SPQ160" s="72"/>
      <c r="SPR160" s="72"/>
      <c r="SPS160" s="72"/>
      <c r="SPT160" s="72"/>
      <c r="SPU160" s="72"/>
      <c r="SPV160" s="72"/>
      <c r="SPW160" s="72"/>
      <c r="SPX160" s="72"/>
      <c r="SPY160" s="72"/>
      <c r="SPZ160" s="72"/>
      <c r="SQA160" s="72"/>
      <c r="SQB160" s="72"/>
      <c r="SQC160" s="72"/>
      <c r="SQD160" s="72"/>
      <c r="SQE160" s="72"/>
      <c r="SQF160" s="72"/>
      <c r="SQG160" s="72"/>
      <c r="SQH160" s="72"/>
      <c r="SQI160" s="72"/>
      <c r="SQJ160" s="72"/>
      <c r="SQK160" s="72"/>
      <c r="SQL160" s="72"/>
      <c r="SQM160" s="72"/>
      <c r="SQN160" s="72"/>
      <c r="SQO160" s="72"/>
      <c r="SQP160" s="72"/>
      <c r="SQQ160" s="72"/>
      <c r="SQR160" s="72"/>
      <c r="SQS160" s="72"/>
      <c r="SQT160" s="72"/>
      <c r="SQU160" s="72"/>
      <c r="SQV160" s="72"/>
      <c r="SQW160" s="72"/>
      <c r="SQX160" s="72"/>
      <c r="SQY160" s="72"/>
      <c r="SQZ160" s="72"/>
      <c r="SRA160" s="72"/>
      <c r="SRB160" s="72"/>
      <c r="SRC160" s="72"/>
      <c r="SRD160" s="72"/>
      <c r="SRE160" s="72"/>
      <c r="SRF160" s="72"/>
      <c r="SRG160" s="72"/>
      <c r="SRH160" s="72"/>
      <c r="SRI160" s="72"/>
      <c r="SRJ160" s="72"/>
      <c r="SRK160" s="72"/>
      <c r="SRL160" s="72"/>
      <c r="SRM160" s="72"/>
      <c r="SRN160" s="72"/>
      <c r="SRO160" s="72"/>
      <c r="SRP160" s="72"/>
      <c r="SRQ160" s="72"/>
      <c r="SRR160" s="72"/>
      <c r="SRS160" s="72"/>
      <c r="SRT160" s="72"/>
      <c r="SRU160" s="72"/>
      <c r="SRV160" s="72"/>
      <c r="SRW160" s="72"/>
      <c r="SRX160" s="72"/>
      <c r="SRY160" s="72"/>
      <c r="SRZ160" s="72"/>
      <c r="SSA160" s="72"/>
      <c r="SSB160" s="72"/>
      <c r="SSC160" s="72"/>
      <c r="SSD160" s="72"/>
      <c r="SSE160" s="72"/>
      <c r="SSF160" s="72"/>
      <c r="SSG160" s="72"/>
      <c r="SSH160" s="72"/>
      <c r="SSI160" s="72"/>
      <c r="SSJ160" s="72"/>
      <c r="SSK160" s="72"/>
      <c r="SSL160" s="72"/>
      <c r="SSM160" s="72"/>
      <c r="SSN160" s="72"/>
      <c r="SSO160" s="72"/>
      <c r="SSP160" s="72"/>
      <c r="SSQ160" s="72"/>
      <c r="SSR160" s="72"/>
      <c r="SSS160" s="72"/>
      <c r="SST160" s="72"/>
      <c r="SSU160" s="72"/>
      <c r="SSV160" s="72"/>
      <c r="SSW160" s="72"/>
      <c r="SSX160" s="72"/>
      <c r="SSY160" s="72"/>
      <c r="SSZ160" s="72"/>
      <c r="STA160" s="72"/>
      <c r="STB160" s="72"/>
      <c r="STC160" s="72"/>
      <c r="STD160" s="72"/>
      <c r="STE160" s="72"/>
      <c r="STF160" s="72"/>
      <c r="STG160" s="72"/>
      <c r="STH160" s="72"/>
      <c r="STI160" s="72"/>
      <c r="STJ160" s="72"/>
      <c r="STK160" s="72"/>
      <c r="STL160" s="72"/>
      <c r="STM160" s="72"/>
      <c r="STN160" s="72"/>
      <c r="STO160" s="72"/>
      <c r="STP160" s="72"/>
      <c r="STQ160" s="72"/>
      <c r="STR160" s="72"/>
      <c r="STS160" s="72"/>
      <c r="STT160" s="72"/>
      <c r="STU160" s="72"/>
      <c r="STV160" s="72"/>
      <c r="STW160" s="72"/>
      <c r="STX160" s="72"/>
      <c r="STY160" s="72"/>
      <c r="STZ160" s="72"/>
      <c r="SUA160" s="72"/>
      <c r="SUB160" s="72"/>
      <c r="SUC160" s="72"/>
      <c r="SUD160" s="72"/>
      <c r="SUE160" s="72"/>
      <c r="SUF160" s="72"/>
      <c r="SUG160" s="72"/>
      <c r="SUH160" s="72"/>
      <c r="SUI160" s="72"/>
      <c r="SUJ160" s="72"/>
      <c r="SUK160" s="72"/>
      <c r="SUL160" s="72"/>
      <c r="SUM160" s="72"/>
      <c r="SUN160" s="72"/>
      <c r="SUO160" s="72"/>
      <c r="SUP160" s="72"/>
      <c r="SUQ160" s="72"/>
      <c r="SUR160" s="72"/>
      <c r="SUS160" s="72"/>
      <c r="SUT160" s="72"/>
      <c r="SUU160" s="72"/>
      <c r="SUV160" s="72"/>
      <c r="SUW160" s="72"/>
      <c r="SUX160" s="72"/>
      <c r="SUY160" s="72"/>
      <c r="SUZ160" s="72"/>
      <c r="SVA160" s="72"/>
      <c r="SVB160" s="72"/>
      <c r="SVC160" s="72"/>
      <c r="SVD160" s="72"/>
      <c r="SVE160" s="72"/>
      <c r="SVF160" s="72"/>
      <c r="SVG160" s="72"/>
      <c r="SVH160" s="72"/>
      <c r="SVI160" s="72"/>
      <c r="SVJ160" s="72"/>
      <c r="SVK160" s="72"/>
      <c r="SVL160" s="72"/>
      <c r="SVM160" s="72"/>
      <c r="SVN160" s="72"/>
      <c r="SVO160" s="72"/>
      <c r="SVP160" s="72"/>
      <c r="SVQ160" s="72"/>
      <c r="SVR160" s="72"/>
      <c r="SVS160" s="72"/>
      <c r="SVT160" s="72"/>
      <c r="SVU160" s="72"/>
      <c r="SVV160" s="72"/>
      <c r="SVW160" s="72"/>
      <c r="SVX160" s="72"/>
      <c r="SVY160" s="72"/>
      <c r="SVZ160" s="72"/>
      <c r="SWA160" s="72"/>
      <c r="SWB160" s="72"/>
      <c r="SWC160" s="72"/>
      <c r="SWD160" s="72"/>
      <c r="SWE160" s="72"/>
      <c r="SWF160" s="72"/>
      <c r="SWG160" s="72"/>
      <c r="SWH160" s="72"/>
      <c r="SWI160" s="72"/>
      <c r="SWJ160" s="72"/>
      <c r="SWK160" s="72"/>
      <c r="SWL160" s="72"/>
      <c r="SWM160" s="72"/>
      <c r="SWN160" s="72"/>
      <c r="SWO160" s="72"/>
      <c r="SWP160" s="72"/>
      <c r="SWQ160" s="72"/>
      <c r="SWR160" s="72"/>
      <c r="SWS160" s="72"/>
      <c r="SWT160" s="72"/>
      <c r="SWU160" s="72"/>
      <c r="SWV160" s="72"/>
      <c r="SWW160" s="72"/>
      <c r="SWX160" s="72"/>
      <c r="SWY160" s="72"/>
      <c r="SWZ160" s="72"/>
      <c r="SXA160" s="72"/>
      <c r="SXB160" s="72"/>
      <c r="SXC160" s="72"/>
      <c r="SXD160" s="72"/>
      <c r="SXE160" s="72"/>
      <c r="SXF160" s="72"/>
      <c r="SXG160" s="72"/>
      <c r="SXH160" s="72"/>
      <c r="SXI160" s="72"/>
      <c r="SXJ160" s="72"/>
      <c r="SXK160" s="72"/>
      <c r="SXL160" s="72"/>
      <c r="SXM160" s="72"/>
      <c r="SXN160" s="72"/>
      <c r="SXO160" s="72"/>
      <c r="SXP160" s="72"/>
      <c r="SXQ160" s="72"/>
      <c r="SXR160" s="72"/>
      <c r="SXS160" s="72"/>
      <c r="SXT160" s="72"/>
      <c r="SXU160" s="72"/>
      <c r="SXV160" s="72"/>
      <c r="SXW160" s="72"/>
      <c r="SXX160" s="72"/>
      <c r="SXY160" s="72"/>
      <c r="SXZ160" s="72"/>
      <c r="SYA160" s="72"/>
      <c r="SYB160" s="72"/>
      <c r="SYC160" s="72"/>
      <c r="SYD160" s="72"/>
      <c r="SYE160" s="72"/>
      <c r="SYF160" s="72"/>
      <c r="SYG160" s="72"/>
      <c r="SYH160" s="72"/>
      <c r="SYI160" s="72"/>
      <c r="SYJ160" s="72"/>
      <c r="SYK160" s="72"/>
      <c r="SYL160" s="72"/>
      <c r="SYM160" s="72"/>
      <c r="SYN160" s="72"/>
      <c r="SYO160" s="72"/>
      <c r="SYP160" s="72"/>
      <c r="SYQ160" s="72"/>
      <c r="SYR160" s="72"/>
      <c r="SYS160" s="72"/>
      <c r="SYT160" s="72"/>
      <c r="SYU160" s="72"/>
      <c r="SYV160" s="72"/>
      <c r="SYW160" s="72"/>
      <c r="SYX160" s="72"/>
      <c r="SYY160" s="72"/>
      <c r="SYZ160" s="72"/>
      <c r="SZA160" s="72"/>
      <c r="SZB160" s="72"/>
      <c r="SZC160" s="72"/>
      <c r="SZD160" s="72"/>
      <c r="SZE160" s="72"/>
      <c r="SZF160" s="72"/>
      <c r="SZG160" s="72"/>
      <c r="SZH160" s="72"/>
      <c r="SZI160" s="72"/>
      <c r="SZJ160" s="72"/>
      <c r="SZK160" s="72"/>
      <c r="SZL160" s="72"/>
      <c r="SZM160" s="72"/>
      <c r="SZN160" s="72"/>
      <c r="SZO160" s="72"/>
      <c r="SZP160" s="72"/>
      <c r="SZQ160" s="72"/>
      <c r="SZR160" s="72"/>
      <c r="SZS160" s="72"/>
      <c r="SZT160" s="72"/>
      <c r="SZU160" s="72"/>
      <c r="SZV160" s="72"/>
      <c r="SZW160" s="72"/>
      <c r="SZX160" s="72"/>
      <c r="SZY160" s="72"/>
      <c r="SZZ160" s="72"/>
      <c r="TAA160" s="72"/>
      <c r="TAB160" s="72"/>
      <c r="TAC160" s="72"/>
      <c r="TAD160" s="72"/>
      <c r="TAE160" s="72"/>
      <c r="TAF160" s="72"/>
      <c r="TAG160" s="72"/>
      <c r="TAH160" s="72"/>
      <c r="TAI160" s="72"/>
      <c r="TAJ160" s="72"/>
      <c r="TAK160" s="72"/>
      <c r="TAL160" s="72"/>
      <c r="TAM160" s="72"/>
      <c r="TAN160" s="72"/>
      <c r="TAO160" s="72"/>
      <c r="TAP160" s="72"/>
      <c r="TAQ160" s="72"/>
      <c r="TAR160" s="72"/>
      <c r="TAS160" s="72"/>
      <c r="TAT160" s="72"/>
      <c r="TAU160" s="72"/>
      <c r="TAV160" s="72"/>
      <c r="TAW160" s="72"/>
      <c r="TAX160" s="72"/>
      <c r="TAY160" s="72"/>
      <c r="TAZ160" s="72"/>
      <c r="TBA160" s="72"/>
      <c r="TBB160" s="72"/>
      <c r="TBC160" s="72"/>
      <c r="TBD160" s="72"/>
      <c r="TBE160" s="72"/>
      <c r="TBF160" s="72"/>
      <c r="TBG160" s="72"/>
      <c r="TBH160" s="72"/>
      <c r="TBI160" s="72"/>
      <c r="TBJ160" s="72"/>
      <c r="TBK160" s="72"/>
      <c r="TBL160" s="72"/>
      <c r="TBM160" s="72"/>
      <c r="TBN160" s="72"/>
      <c r="TBO160" s="72"/>
      <c r="TBP160" s="72"/>
      <c r="TBQ160" s="72"/>
      <c r="TBR160" s="72"/>
      <c r="TBS160" s="72"/>
      <c r="TBT160" s="72"/>
      <c r="TBU160" s="72"/>
      <c r="TBV160" s="72"/>
      <c r="TBW160" s="72"/>
      <c r="TBX160" s="72"/>
      <c r="TBY160" s="72"/>
      <c r="TBZ160" s="72"/>
      <c r="TCA160" s="72"/>
      <c r="TCB160" s="72"/>
      <c r="TCC160" s="72"/>
      <c r="TCD160" s="72"/>
      <c r="TCE160" s="72"/>
      <c r="TCF160" s="72"/>
      <c r="TCG160" s="72"/>
      <c r="TCH160" s="72"/>
      <c r="TCI160" s="72"/>
      <c r="TCJ160" s="72"/>
      <c r="TCK160" s="72"/>
      <c r="TCL160" s="72"/>
      <c r="TCM160" s="72"/>
      <c r="TCN160" s="72"/>
      <c r="TCO160" s="72"/>
      <c r="TCP160" s="72"/>
      <c r="TCQ160" s="72"/>
      <c r="TCR160" s="72"/>
      <c r="TCS160" s="72"/>
      <c r="TCT160" s="72"/>
      <c r="TCU160" s="72"/>
      <c r="TCV160" s="72"/>
      <c r="TCW160" s="72"/>
      <c r="TCX160" s="72"/>
      <c r="TCY160" s="72"/>
      <c r="TCZ160" s="72"/>
      <c r="TDA160" s="72"/>
      <c r="TDB160" s="72"/>
      <c r="TDC160" s="72"/>
      <c r="TDD160" s="72"/>
      <c r="TDE160" s="72"/>
      <c r="TDF160" s="72"/>
      <c r="TDG160" s="72"/>
      <c r="TDH160" s="72"/>
      <c r="TDI160" s="72"/>
      <c r="TDJ160" s="72"/>
      <c r="TDK160" s="72"/>
      <c r="TDL160" s="72"/>
      <c r="TDM160" s="72"/>
      <c r="TDN160" s="72"/>
      <c r="TDO160" s="72"/>
      <c r="TDP160" s="72"/>
      <c r="TDQ160" s="72"/>
      <c r="TDR160" s="72"/>
      <c r="TDS160" s="72"/>
      <c r="TDT160" s="72"/>
      <c r="TDU160" s="72"/>
      <c r="TDV160" s="72"/>
      <c r="TDW160" s="72"/>
      <c r="TDX160" s="72"/>
      <c r="TDY160" s="72"/>
      <c r="TDZ160" s="72"/>
      <c r="TEA160" s="72"/>
      <c r="TEB160" s="72"/>
      <c r="TEC160" s="72"/>
      <c r="TED160" s="72"/>
      <c r="TEE160" s="72"/>
      <c r="TEF160" s="72"/>
      <c r="TEG160" s="72"/>
      <c r="TEH160" s="72"/>
      <c r="TEI160" s="72"/>
      <c r="TEJ160" s="72"/>
      <c r="TEK160" s="72"/>
      <c r="TEL160" s="72"/>
      <c r="TEM160" s="72"/>
      <c r="TEN160" s="72"/>
      <c r="TEO160" s="72"/>
      <c r="TEP160" s="72"/>
      <c r="TEQ160" s="72"/>
      <c r="TER160" s="72"/>
      <c r="TES160" s="72"/>
      <c r="TET160" s="72"/>
      <c r="TEU160" s="72"/>
      <c r="TEV160" s="72"/>
      <c r="TEW160" s="72"/>
      <c r="TEX160" s="72"/>
      <c r="TEY160" s="72"/>
      <c r="TEZ160" s="72"/>
      <c r="TFA160" s="72"/>
      <c r="TFB160" s="72"/>
      <c r="TFC160" s="72"/>
      <c r="TFD160" s="72"/>
      <c r="TFE160" s="72"/>
      <c r="TFF160" s="72"/>
      <c r="TFG160" s="72"/>
      <c r="TFH160" s="72"/>
      <c r="TFI160" s="72"/>
      <c r="TFJ160" s="72"/>
      <c r="TFK160" s="72"/>
      <c r="TFL160" s="72"/>
      <c r="TFM160" s="72"/>
      <c r="TFN160" s="72"/>
      <c r="TFO160" s="72"/>
      <c r="TFP160" s="72"/>
      <c r="TFQ160" s="72"/>
      <c r="TFR160" s="72"/>
      <c r="TFS160" s="72"/>
      <c r="TFT160" s="72"/>
      <c r="TFU160" s="72"/>
      <c r="TFV160" s="72"/>
      <c r="TFW160" s="72"/>
      <c r="TFX160" s="72"/>
      <c r="TFY160" s="72"/>
      <c r="TFZ160" s="72"/>
      <c r="TGA160" s="72"/>
      <c r="TGB160" s="72"/>
      <c r="TGC160" s="72"/>
      <c r="TGD160" s="72"/>
      <c r="TGE160" s="72"/>
      <c r="TGF160" s="72"/>
      <c r="TGG160" s="72"/>
      <c r="TGH160" s="72"/>
      <c r="TGI160" s="72"/>
      <c r="TGJ160" s="72"/>
      <c r="TGK160" s="72"/>
      <c r="TGL160" s="72"/>
      <c r="TGM160" s="72"/>
      <c r="TGN160" s="72"/>
      <c r="TGO160" s="72"/>
      <c r="TGP160" s="72"/>
      <c r="TGQ160" s="72"/>
      <c r="TGR160" s="72"/>
      <c r="TGS160" s="72"/>
      <c r="TGT160" s="72"/>
      <c r="TGU160" s="72"/>
      <c r="TGV160" s="72"/>
      <c r="TGW160" s="72"/>
      <c r="TGX160" s="72"/>
      <c r="TGY160" s="72"/>
      <c r="TGZ160" s="72"/>
      <c r="THA160" s="72"/>
      <c r="THB160" s="72"/>
      <c r="THC160" s="72"/>
      <c r="THD160" s="72"/>
      <c r="THE160" s="72"/>
      <c r="THF160" s="72"/>
      <c r="THG160" s="72"/>
      <c r="THH160" s="72"/>
      <c r="THI160" s="72"/>
      <c r="THJ160" s="72"/>
      <c r="THK160" s="72"/>
      <c r="THL160" s="72"/>
      <c r="THM160" s="72"/>
      <c r="THN160" s="72"/>
      <c r="THO160" s="72"/>
      <c r="THP160" s="72"/>
      <c r="THQ160" s="72"/>
      <c r="THR160" s="72"/>
      <c r="THS160" s="72"/>
      <c r="THT160" s="72"/>
      <c r="THU160" s="72"/>
      <c r="THV160" s="72"/>
      <c r="THW160" s="72"/>
      <c r="THX160" s="72"/>
      <c r="THY160" s="72"/>
      <c r="THZ160" s="72"/>
      <c r="TIA160" s="72"/>
      <c r="TIB160" s="72"/>
      <c r="TIC160" s="72"/>
      <c r="TID160" s="72"/>
      <c r="TIE160" s="72"/>
      <c r="TIF160" s="72"/>
      <c r="TIG160" s="72"/>
      <c r="TIH160" s="72"/>
      <c r="TII160" s="72"/>
      <c r="TIJ160" s="72"/>
      <c r="TIK160" s="72"/>
      <c r="TIL160" s="72"/>
      <c r="TIM160" s="72"/>
      <c r="TIN160" s="72"/>
      <c r="TIO160" s="72"/>
      <c r="TIP160" s="72"/>
      <c r="TIQ160" s="72"/>
      <c r="TIR160" s="72"/>
      <c r="TIS160" s="72"/>
      <c r="TIT160" s="72"/>
      <c r="TIU160" s="72"/>
      <c r="TIV160" s="72"/>
      <c r="TIW160" s="72"/>
      <c r="TIX160" s="72"/>
      <c r="TIY160" s="72"/>
      <c r="TIZ160" s="72"/>
      <c r="TJA160" s="72"/>
      <c r="TJB160" s="72"/>
      <c r="TJC160" s="72"/>
      <c r="TJD160" s="72"/>
      <c r="TJE160" s="72"/>
      <c r="TJF160" s="72"/>
      <c r="TJG160" s="72"/>
      <c r="TJH160" s="72"/>
      <c r="TJI160" s="72"/>
      <c r="TJJ160" s="72"/>
      <c r="TJK160" s="72"/>
      <c r="TJL160" s="72"/>
      <c r="TJM160" s="72"/>
      <c r="TJN160" s="72"/>
      <c r="TJO160" s="72"/>
      <c r="TJP160" s="72"/>
      <c r="TJQ160" s="72"/>
      <c r="TJR160" s="72"/>
      <c r="TJS160" s="72"/>
      <c r="TJT160" s="72"/>
      <c r="TJU160" s="72"/>
      <c r="TJV160" s="72"/>
      <c r="TJW160" s="72"/>
      <c r="TJX160" s="72"/>
      <c r="TJY160" s="72"/>
      <c r="TJZ160" s="72"/>
      <c r="TKA160" s="72"/>
      <c r="TKB160" s="72"/>
      <c r="TKC160" s="72"/>
      <c r="TKD160" s="72"/>
      <c r="TKE160" s="72"/>
      <c r="TKF160" s="72"/>
      <c r="TKG160" s="72"/>
      <c r="TKH160" s="72"/>
      <c r="TKI160" s="72"/>
      <c r="TKJ160" s="72"/>
      <c r="TKK160" s="72"/>
      <c r="TKL160" s="72"/>
      <c r="TKM160" s="72"/>
      <c r="TKN160" s="72"/>
      <c r="TKO160" s="72"/>
      <c r="TKP160" s="72"/>
      <c r="TKQ160" s="72"/>
      <c r="TKR160" s="72"/>
      <c r="TKS160" s="72"/>
      <c r="TKT160" s="72"/>
      <c r="TKU160" s="72"/>
      <c r="TKV160" s="72"/>
      <c r="TKW160" s="72"/>
      <c r="TKX160" s="72"/>
      <c r="TKY160" s="72"/>
      <c r="TKZ160" s="72"/>
      <c r="TLA160" s="72"/>
      <c r="TLB160" s="72"/>
      <c r="TLC160" s="72"/>
      <c r="TLD160" s="72"/>
      <c r="TLE160" s="72"/>
      <c r="TLF160" s="72"/>
      <c r="TLG160" s="72"/>
      <c r="TLH160" s="72"/>
      <c r="TLI160" s="72"/>
      <c r="TLJ160" s="72"/>
      <c r="TLK160" s="72"/>
      <c r="TLL160" s="72"/>
      <c r="TLM160" s="72"/>
      <c r="TLN160" s="72"/>
      <c r="TLO160" s="72"/>
      <c r="TLP160" s="72"/>
      <c r="TLQ160" s="72"/>
      <c r="TLR160" s="72"/>
      <c r="TLS160" s="72"/>
      <c r="TLT160" s="72"/>
      <c r="TLU160" s="72"/>
      <c r="TLV160" s="72"/>
      <c r="TLW160" s="72"/>
      <c r="TLX160" s="72"/>
      <c r="TLY160" s="72"/>
      <c r="TLZ160" s="72"/>
      <c r="TMA160" s="72"/>
      <c r="TMB160" s="72"/>
      <c r="TMC160" s="72"/>
      <c r="TMD160" s="72"/>
      <c r="TME160" s="72"/>
      <c r="TMF160" s="72"/>
      <c r="TMG160" s="72"/>
      <c r="TMH160" s="72"/>
      <c r="TMI160" s="72"/>
      <c r="TMJ160" s="72"/>
      <c r="TMK160" s="72"/>
      <c r="TML160" s="72"/>
      <c r="TMM160" s="72"/>
      <c r="TMN160" s="72"/>
      <c r="TMO160" s="72"/>
      <c r="TMP160" s="72"/>
      <c r="TMQ160" s="72"/>
      <c r="TMR160" s="72"/>
      <c r="TMS160" s="72"/>
      <c r="TMT160" s="72"/>
      <c r="TMU160" s="72"/>
      <c r="TMV160" s="72"/>
      <c r="TMW160" s="72"/>
      <c r="TMX160" s="72"/>
      <c r="TMY160" s="72"/>
      <c r="TMZ160" s="72"/>
      <c r="TNA160" s="72"/>
      <c r="TNB160" s="72"/>
      <c r="TNC160" s="72"/>
      <c r="TND160" s="72"/>
      <c r="TNE160" s="72"/>
      <c r="TNF160" s="72"/>
      <c r="TNG160" s="72"/>
      <c r="TNH160" s="72"/>
      <c r="TNI160" s="72"/>
      <c r="TNJ160" s="72"/>
      <c r="TNK160" s="72"/>
      <c r="TNL160" s="72"/>
      <c r="TNM160" s="72"/>
      <c r="TNN160" s="72"/>
      <c r="TNO160" s="72"/>
      <c r="TNP160" s="72"/>
      <c r="TNQ160" s="72"/>
      <c r="TNR160" s="72"/>
      <c r="TNS160" s="72"/>
      <c r="TNT160" s="72"/>
      <c r="TNU160" s="72"/>
      <c r="TNV160" s="72"/>
      <c r="TNW160" s="72"/>
      <c r="TNX160" s="72"/>
      <c r="TNY160" s="72"/>
      <c r="TNZ160" s="72"/>
      <c r="TOA160" s="72"/>
      <c r="TOB160" s="72"/>
      <c r="TOC160" s="72"/>
      <c r="TOD160" s="72"/>
      <c r="TOE160" s="72"/>
      <c r="TOF160" s="72"/>
      <c r="TOG160" s="72"/>
      <c r="TOH160" s="72"/>
      <c r="TOI160" s="72"/>
      <c r="TOJ160" s="72"/>
      <c r="TOK160" s="72"/>
      <c r="TOL160" s="72"/>
      <c r="TOM160" s="72"/>
      <c r="TON160" s="72"/>
      <c r="TOO160" s="72"/>
      <c r="TOP160" s="72"/>
      <c r="TOQ160" s="72"/>
      <c r="TOR160" s="72"/>
      <c r="TOS160" s="72"/>
      <c r="TOT160" s="72"/>
      <c r="TOU160" s="72"/>
      <c r="TOV160" s="72"/>
      <c r="TOW160" s="72"/>
      <c r="TOX160" s="72"/>
      <c r="TOY160" s="72"/>
      <c r="TOZ160" s="72"/>
      <c r="TPA160" s="72"/>
      <c r="TPB160" s="72"/>
      <c r="TPC160" s="72"/>
      <c r="TPD160" s="72"/>
      <c r="TPE160" s="72"/>
      <c r="TPF160" s="72"/>
      <c r="TPG160" s="72"/>
      <c r="TPH160" s="72"/>
      <c r="TPI160" s="72"/>
      <c r="TPJ160" s="72"/>
      <c r="TPK160" s="72"/>
      <c r="TPL160" s="72"/>
      <c r="TPM160" s="72"/>
      <c r="TPN160" s="72"/>
      <c r="TPO160" s="72"/>
      <c r="TPP160" s="72"/>
      <c r="TPQ160" s="72"/>
      <c r="TPR160" s="72"/>
      <c r="TPS160" s="72"/>
      <c r="TPT160" s="72"/>
      <c r="TPU160" s="72"/>
      <c r="TPV160" s="72"/>
      <c r="TPW160" s="72"/>
      <c r="TPX160" s="72"/>
      <c r="TPY160" s="72"/>
      <c r="TPZ160" s="72"/>
      <c r="TQA160" s="72"/>
      <c r="TQB160" s="72"/>
      <c r="TQC160" s="72"/>
      <c r="TQD160" s="72"/>
      <c r="TQE160" s="72"/>
      <c r="TQF160" s="72"/>
      <c r="TQG160" s="72"/>
      <c r="TQH160" s="72"/>
      <c r="TQI160" s="72"/>
      <c r="TQJ160" s="72"/>
      <c r="TQK160" s="72"/>
      <c r="TQL160" s="72"/>
      <c r="TQM160" s="72"/>
      <c r="TQN160" s="72"/>
      <c r="TQO160" s="72"/>
      <c r="TQP160" s="72"/>
      <c r="TQQ160" s="72"/>
      <c r="TQR160" s="72"/>
      <c r="TQS160" s="72"/>
      <c r="TQT160" s="72"/>
      <c r="TQU160" s="72"/>
      <c r="TQV160" s="72"/>
      <c r="TQW160" s="72"/>
      <c r="TQX160" s="72"/>
      <c r="TQY160" s="72"/>
      <c r="TQZ160" s="72"/>
      <c r="TRA160" s="72"/>
      <c r="TRB160" s="72"/>
      <c r="TRC160" s="72"/>
      <c r="TRD160" s="72"/>
      <c r="TRE160" s="72"/>
      <c r="TRF160" s="72"/>
      <c r="TRG160" s="72"/>
      <c r="TRH160" s="72"/>
      <c r="TRI160" s="72"/>
      <c r="TRJ160" s="72"/>
      <c r="TRK160" s="72"/>
      <c r="TRL160" s="72"/>
      <c r="TRM160" s="72"/>
      <c r="TRN160" s="72"/>
      <c r="TRO160" s="72"/>
      <c r="TRP160" s="72"/>
      <c r="TRQ160" s="72"/>
      <c r="TRR160" s="72"/>
      <c r="TRS160" s="72"/>
      <c r="TRT160" s="72"/>
      <c r="TRU160" s="72"/>
      <c r="TRV160" s="72"/>
      <c r="TRW160" s="72"/>
      <c r="TRX160" s="72"/>
      <c r="TRY160" s="72"/>
      <c r="TRZ160" s="72"/>
      <c r="TSA160" s="72"/>
      <c r="TSB160" s="72"/>
      <c r="TSC160" s="72"/>
      <c r="TSD160" s="72"/>
      <c r="TSE160" s="72"/>
      <c r="TSF160" s="72"/>
      <c r="TSG160" s="72"/>
      <c r="TSH160" s="72"/>
      <c r="TSI160" s="72"/>
      <c r="TSJ160" s="72"/>
      <c r="TSK160" s="72"/>
      <c r="TSL160" s="72"/>
      <c r="TSM160" s="72"/>
      <c r="TSN160" s="72"/>
      <c r="TSO160" s="72"/>
      <c r="TSP160" s="72"/>
      <c r="TSQ160" s="72"/>
      <c r="TSR160" s="72"/>
      <c r="TSS160" s="72"/>
      <c r="TST160" s="72"/>
      <c r="TSU160" s="72"/>
      <c r="TSV160" s="72"/>
      <c r="TSW160" s="72"/>
      <c r="TSX160" s="72"/>
      <c r="TSY160" s="72"/>
      <c r="TSZ160" s="72"/>
      <c r="TTA160" s="72"/>
      <c r="TTB160" s="72"/>
      <c r="TTC160" s="72"/>
      <c r="TTD160" s="72"/>
      <c r="TTE160" s="72"/>
      <c r="TTF160" s="72"/>
      <c r="TTG160" s="72"/>
      <c r="TTH160" s="72"/>
      <c r="TTI160" s="72"/>
      <c r="TTJ160" s="72"/>
      <c r="TTK160" s="72"/>
      <c r="TTL160" s="72"/>
      <c r="TTM160" s="72"/>
      <c r="TTN160" s="72"/>
      <c r="TTO160" s="72"/>
      <c r="TTP160" s="72"/>
      <c r="TTQ160" s="72"/>
      <c r="TTR160" s="72"/>
      <c r="TTS160" s="72"/>
      <c r="TTT160" s="72"/>
      <c r="TTU160" s="72"/>
      <c r="TTV160" s="72"/>
      <c r="TTW160" s="72"/>
      <c r="TTX160" s="72"/>
      <c r="TTY160" s="72"/>
      <c r="TTZ160" s="72"/>
      <c r="TUA160" s="72"/>
      <c r="TUB160" s="72"/>
      <c r="TUC160" s="72"/>
      <c r="TUD160" s="72"/>
      <c r="TUE160" s="72"/>
      <c r="TUF160" s="72"/>
      <c r="TUG160" s="72"/>
      <c r="TUH160" s="72"/>
      <c r="TUI160" s="72"/>
      <c r="TUJ160" s="72"/>
      <c r="TUK160" s="72"/>
      <c r="TUL160" s="72"/>
      <c r="TUM160" s="72"/>
      <c r="TUN160" s="72"/>
      <c r="TUO160" s="72"/>
      <c r="TUP160" s="72"/>
      <c r="TUQ160" s="72"/>
      <c r="TUR160" s="72"/>
      <c r="TUS160" s="72"/>
      <c r="TUT160" s="72"/>
      <c r="TUU160" s="72"/>
      <c r="TUV160" s="72"/>
      <c r="TUW160" s="72"/>
      <c r="TUX160" s="72"/>
      <c r="TUY160" s="72"/>
      <c r="TUZ160" s="72"/>
      <c r="TVA160" s="72"/>
      <c r="TVB160" s="72"/>
      <c r="TVC160" s="72"/>
      <c r="TVD160" s="72"/>
      <c r="TVE160" s="72"/>
      <c r="TVF160" s="72"/>
      <c r="TVG160" s="72"/>
      <c r="TVH160" s="72"/>
      <c r="TVI160" s="72"/>
      <c r="TVJ160" s="72"/>
      <c r="TVK160" s="72"/>
      <c r="TVL160" s="72"/>
      <c r="TVM160" s="72"/>
      <c r="TVN160" s="72"/>
      <c r="TVO160" s="72"/>
      <c r="TVP160" s="72"/>
      <c r="TVQ160" s="72"/>
      <c r="TVR160" s="72"/>
      <c r="TVS160" s="72"/>
      <c r="TVT160" s="72"/>
      <c r="TVU160" s="72"/>
      <c r="TVV160" s="72"/>
      <c r="TVW160" s="72"/>
      <c r="TVX160" s="72"/>
      <c r="TVY160" s="72"/>
      <c r="TVZ160" s="72"/>
      <c r="TWA160" s="72"/>
      <c r="TWB160" s="72"/>
      <c r="TWC160" s="72"/>
      <c r="TWD160" s="72"/>
      <c r="TWE160" s="72"/>
      <c r="TWF160" s="72"/>
      <c r="TWG160" s="72"/>
      <c r="TWH160" s="72"/>
      <c r="TWI160" s="72"/>
      <c r="TWJ160" s="72"/>
      <c r="TWK160" s="72"/>
      <c r="TWL160" s="72"/>
      <c r="TWM160" s="72"/>
      <c r="TWN160" s="72"/>
      <c r="TWO160" s="72"/>
      <c r="TWP160" s="72"/>
      <c r="TWQ160" s="72"/>
      <c r="TWR160" s="72"/>
      <c r="TWS160" s="72"/>
      <c r="TWT160" s="72"/>
      <c r="TWU160" s="72"/>
      <c r="TWV160" s="72"/>
      <c r="TWW160" s="72"/>
      <c r="TWX160" s="72"/>
      <c r="TWY160" s="72"/>
      <c r="TWZ160" s="72"/>
      <c r="TXA160" s="72"/>
      <c r="TXB160" s="72"/>
      <c r="TXC160" s="72"/>
      <c r="TXD160" s="72"/>
      <c r="TXE160" s="72"/>
      <c r="TXF160" s="72"/>
      <c r="TXG160" s="72"/>
      <c r="TXH160" s="72"/>
      <c r="TXI160" s="72"/>
      <c r="TXJ160" s="72"/>
      <c r="TXK160" s="72"/>
      <c r="TXL160" s="72"/>
      <c r="TXM160" s="72"/>
      <c r="TXN160" s="72"/>
      <c r="TXO160" s="72"/>
      <c r="TXP160" s="72"/>
      <c r="TXQ160" s="72"/>
      <c r="TXR160" s="72"/>
      <c r="TXS160" s="72"/>
      <c r="TXT160" s="72"/>
      <c r="TXU160" s="72"/>
      <c r="TXV160" s="72"/>
      <c r="TXW160" s="72"/>
      <c r="TXX160" s="72"/>
      <c r="TXY160" s="72"/>
      <c r="TXZ160" s="72"/>
      <c r="TYA160" s="72"/>
      <c r="TYB160" s="72"/>
      <c r="TYC160" s="72"/>
      <c r="TYD160" s="72"/>
      <c r="TYE160" s="72"/>
      <c r="TYF160" s="72"/>
      <c r="TYG160" s="72"/>
      <c r="TYH160" s="72"/>
      <c r="TYI160" s="72"/>
      <c r="TYJ160" s="72"/>
      <c r="TYK160" s="72"/>
      <c r="TYL160" s="72"/>
      <c r="TYM160" s="72"/>
      <c r="TYN160" s="72"/>
      <c r="TYO160" s="72"/>
      <c r="TYP160" s="72"/>
      <c r="TYQ160" s="72"/>
      <c r="TYR160" s="72"/>
      <c r="TYS160" s="72"/>
      <c r="TYT160" s="72"/>
      <c r="TYU160" s="72"/>
      <c r="TYV160" s="72"/>
      <c r="TYW160" s="72"/>
      <c r="TYX160" s="72"/>
      <c r="TYY160" s="72"/>
      <c r="TYZ160" s="72"/>
      <c r="TZA160" s="72"/>
      <c r="TZB160" s="72"/>
      <c r="TZC160" s="72"/>
      <c r="TZD160" s="72"/>
      <c r="TZE160" s="72"/>
      <c r="TZF160" s="72"/>
      <c r="TZG160" s="72"/>
      <c r="TZH160" s="72"/>
      <c r="TZI160" s="72"/>
      <c r="TZJ160" s="72"/>
      <c r="TZK160" s="72"/>
      <c r="TZL160" s="72"/>
      <c r="TZM160" s="72"/>
      <c r="TZN160" s="72"/>
      <c r="TZO160" s="72"/>
      <c r="TZP160" s="72"/>
      <c r="TZQ160" s="72"/>
      <c r="TZR160" s="72"/>
      <c r="TZS160" s="72"/>
      <c r="TZT160" s="72"/>
      <c r="TZU160" s="72"/>
      <c r="TZV160" s="72"/>
      <c r="TZW160" s="72"/>
      <c r="TZX160" s="72"/>
      <c r="TZY160" s="72"/>
      <c r="TZZ160" s="72"/>
      <c r="UAA160" s="72"/>
      <c r="UAB160" s="72"/>
      <c r="UAC160" s="72"/>
      <c r="UAD160" s="72"/>
      <c r="UAE160" s="72"/>
      <c r="UAF160" s="72"/>
      <c r="UAG160" s="72"/>
      <c r="UAH160" s="72"/>
      <c r="UAI160" s="72"/>
      <c r="UAJ160" s="72"/>
      <c r="UAK160" s="72"/>
      <c r="UAL160" s="72"/>
      <c r="UAM160" s="72"/>
      <c r="UAN160" s="72"/>
      <c r="UAO160" s="72"/>
      <c r="UAP160" s="72"/>
      <c r="UAQ160" s="72"/>
      <c r="UAR160" s="72"/>
      <c r="UAS160" s="72"/>
      <c r="UAT160" s="72"/>
      <c r="UAU160" s="72"/>
      <c r="UAV160" s="72"/>
      <c r="UAW160" s="72"/>
      <c r="UAX160" s="72"/>
      <c r="UAY160" s="72"/>
      <c r="UAZ160" s="72"/>
      <c r="UBA160" s="72"/>
      <c r="UBB160" s="72"/>
      <c r="UBC160" s="72"/>
      <c r="UBD160" s="72"/>
      <c r="UBE160" s="72"/>
      <c r="UBF160" s="72"/>
      <c r="UBG160" s="72"/>
      <c r="UBH160" s="72"/>
      <c r="UBI160" s="72"/>
      <c r="UBJ160" s="72"/>
      <c r="UBK160" s="72"/>
      <c r="UBL160" s="72"/>
      <c r="UBM160" s="72"/>
      <c r="UBN160" s="72"/>
      <c r="UBO160" s="72"/>
      <c r="UBP160" s="72"/>
      <c r="UBQ160" s="72"/>
      <c r="UBR160" s="72"/>
      <c r="UBS160" s="72"/>
      <c r="UBT160" s="72"/>
      <c r="UBU160" s="72"/>
      <c r="UBV160" s="72"/>
      <c r="UBW160" s="72"/>
      <c r="UBX160" s="72"/>
      <c r="UBY160" s="72"/>
      <c r="UBZ160" s="72"/>
      <c r="UCA160" s="72"/>
      <c r="UCB160" s="72"/>
      <c r="UCC160" s="72"/>
      <c r="UCD160" s="72"/>
      <c r="UCE160" s="72"/>
      <c r="UCF160" s="72"/>
      <c r="UCG160" s="72"/>
      <c r="UCH160" s="72"/>
      <c r="UCI160" s="72"/>
      <c r="UCJ160" s="72"/>
      <c r="UCK160" s="72"/>
      <c r="UCL160" s="72"/>
      <c r="UCM160" s="72"/>
      <c r="UCN160" s="72"/>
      <c r="UCO160" s="72"/>
      <c r="UCP160" s="72"/>
      <c r="UCQ160" s="72"/>
      <c r="UCR160" s="72"/>
      <c r="UCS160" s="72"/>
      <c r="UCT160" s="72"/>
      <c r="UCU160" s="72"/>
      <c r="UCV160" s="72"/>
      <c r="UCW160" s="72"/>
      <c r="UCX160" s="72"/>
      <c r="UCY160" s="72"/>
      <c r="UCZ160" s="72"/>
      <c r="UDA160" s="72"/>
      <c r="UDB160" s="72"/>
      <c r="UDC160" s="72"/>
      <c r="UDD160" s="72"/>
      <c r="UDE160" s="72"/>
      <c r="UDF160" s="72"/>
      <c r="UDG160" s="72"/>
      <c r="UDH160" s="72"/>
      <c r="UDI160" s="72"/>
      <c r="UDJ160" s="72"/>
      <c r="UDK160" s="72"/>
      <c r="UDL160" s="72"/>
      <c r="UDM160" s="72"/>
      <c r="UDN160" s="72"/>
      <c r="UDO160" s="72"/>
      <c r="UDP160" s="72"/>
      <c r="UDQ160" s="72"/>
      <c r="UDR160" s="72"/>
      <c r="UDS160" s="72"/>
      <c r="UDT160" s="72"/>
      <c r="UDU160" s="72"/>
      <c r="UDV160" s="72"/>
      <c r="UDW160" s="72"/>
      <c r="UDX160" s="72"/>
      <c r="UDY160" s="72"/>
      <c r="UDZ160" s="72"/>
      <c r="UEA160" s="72"/>
      <c r="UEB160" s="72"/>
      <c r="UEC160" s="72"/>
      <c r="UED160" s="72"/>
      <c r="UEE160" s="72"/>
      <c r="UEF160" s="72"/>
      <c r="UEG160" s="72"/>
      <c r="UEH160" s="72"/>
      <c r="UEI160" s="72"/>
      <c r="UEJ160" s="72"/>
      <c r="UEK160" s="72"/>
      <c r="UEL160" s="72"/>
      <c r="UEM160" s="72"/>
      <c r="UEN160" s="72"/>
      <c r="UEO160" s="72"/>
      <c r="UEP160" s="72"/>
      <c r="UEQ160" s="72"/>
      <c r="UER160" s="72"/>
      <c r="UES160" s="72"/>
      <c r="UET160" s="72"/>
      <c r="UEU160" s="72"/>
      <c r="UEV160" s="72"/>
      <c r="UEW160" s="72"/>
      <c r="UEX160" s="72"/>
      <c r="UEY160" s="72"/>
      <c r="UEZ160" s="72"/>
      <c r="UFA160" s="72"/>
      <c r="UFB160" s="72"/>
      <c r="UFC160" s="72"/>
      <c r="UFD160" s="72"/>
      <c r="UFE160" s="72"/>
      <c r="UFF160" s="72"/>
      <c r="UFG160" s="72"/>
      <c r="UFH160" s="72"/>
      <c r="UFI160" s="72"/>
      <c r="UFJ160" s="72"/>
      <c r="UFK160" s="72"/>
      <c r="UFL160" s="72"/>
      <c r="UFM160" s="72"/>
      <c r="UFN160" s="72"/>
      <c r="UFO160" s="72"/>
      <c r="UFP160" s="72"/>
      <c r="UFQ160" s="72"/>
      <c r="UFR160" s="72"/>
      <c r="UFS160" s="72"/>
      <c r="UFT160" s="72"/>
      <c r="UFU160" s="72"/>
      <c r="UFV160" s="72"/>
      <c r="UFW160" s="72"/>
      <c r="UFX160" s="72"/>
      <c r="UFY160" s="72"/>
      <c r="UFZ160" s="72"/>
      <c r="UGA160" s="72"/>
      <c r="UGB160" s="72"/>
      <c r="UGC160" s="72"/>
      <c r="UGD160" s="72"/>
      <c r="UGE160" s="72"/>
      <c r="UGF160" s="72"/>
      <c r="UGG160" s="72"/>
      <c r="UGH160" s="72"/>
      <c r="UGI160" s="72"/>
      <c r="UGJ160" s="72"/>
      <c r="UGK160" s="72"/>
      <c r="UGL160" s="72"/>
      <c r="UGM160" s="72"/>
      <c r="UGN160" s="72"/>
      <c r="UGO160" s="72"/>
      <c r="UGP160" s="72"/>
      <c r="UGQ160" s="72"/>
      <c r="UGR160" s="72"/>
      <c r="UGS160" s="72"/>
      <c r="UGT160" s="72"/>
      <c r="UGU160" s="72"/>
      <c r="UGV160" s="72"/>
      <c r="UGW160" s="72"/>
      <c r="UGX160" s="72"/>
      <c r="UGY160" s="72"/>
      <c r="UGZ160" s="72"/>
      <c r="UHA160" s="72"/>
      <c r="UHB160" s="72"/>
      <c r="UHC160" s="72"/>
      <c r="UHD160" s="72"/>
      <c r="UHE160" s="72"/>
      <c r="UHF160" s="72"/>
      <c r="UHG160" s="72"/>
      <c r="UHH160" s="72"/>
      <c r="UHI160" s="72"/>
      <c r="UHJ160" s="72"/>
      <c r="UHK160" s="72"/>
      <c r="UHL160" s="72"/>
      <c r="UHM160" s="72"/>
      <c r="UHN160" s="72"/>
      <c r="UHO160" s="72"/>
      <c r="UHP160" s="72"/>
      <c r="UHQ160" s="72"/>
      <c r="UHR160" s="72"/>
      <c r="UHS160" s="72"/>
      <c r="UHT160" s="72"/>
      <c r="UHU160" s="72"/>
      <c r="UHV160" s="72"/>
      <c r="UHW160" s="72"/>
      <c r="UHX160" s="72"/>
      <c r="UHY160" s="72"/>
      <c r="UHZ160" s="72"/>
      <c r="UIA160" s="72"/>
      <c r="UIB160" s="72"/>
      <c r="UIC160" s="72"/>
      <c r="UID160" s="72"/>
      <c r="UIE160" s="72"/>
      <c r="UIF160" s="72"/>
      <c r="UIG160" s="72"/>
      <c r="UIH160" s="72"/>
      <c r="UII160" s="72"/>
      <c r="UIJ160" s="72"/>
      <c r="UIK160" s="72"/>
      <c r="UIL160" s="72"/>
      <c r="UIM160" s="72"/>
      <c r="UIN160" s="72"/>
      <c r="UIO160" s="72"/>
      <c r="UIP160" s="72"/>
      <c r="UIQ160" s="72"/>
      <c r="UIR160" s="72"/>
      <c r="UIS160" s="72"/>
      <c r="UIT160" s="72"/>
      <c r="UIU160" s="72"/>
      <c r="UIV160" s="72"/>
      <c r="UIW160" s="72"/>
      <c r="UIX160" s="72"/>
      <c r="UIY160" s="72"/>
      <c r="UIZ160" s="72"/>
      <c r="UJA160" s="72"/>
      <c r="UJB160" s="72"/>
      <c r="UJC160" s="72"/>
      <c r="UJD160" s="72"/>
      <c r="UJE160" s="72"/>
      <c r="UJF160" s="72"/>
      <c r="UJG160" s="72"/>
      <c r="UJH160" s="72"/>
      <c r="UJI160" s="72"/>
      <c r="UJJ160" s="72"/>
      <c r="UJK160" s="72"/>
      <c r="UJL160" s="72"/>
      <c r="UJM160" s="72"/>
      <c r="UJN160" s="72"/>
      <c r="UJO160" s="72"/>
      <c r="UJP160" s="72"/>
      <c r="UJQ160" s="72"/>
      <c r="UJR160" s="72"/>
      <c r="UJS160" s="72"/>
      <c r="UJT160" s="72"/>
      <c r="UJU160" s="72"/>
      <c r="UJV160" s="72"/>
      <c r="UJW160" s="72"/>
      <c r="UJX160" s="72"/>
      <c r="UJY160" s="72"/>
      <c r="UJZ160" s="72"/>
      <c r="UKA160" s="72"/>
      <c r="UKB160" s="72"/>
      <c r="UKC160" s="72"/>
      <c r="UKD160" s="72"/>
      <c r="UKE160" s="72"/>
      <c r="UKF160" s="72"/>
      <c r="UKG160" s="72"/>
      <c r="UKH160" s="72"/>
      <c r="UKI160" s="72"/>
      <c r="UKJ160" s="72"/>
      <c r="UKK160" s="72"/>
      <c r="UKL160" s="72"/>
      <c r="UKM160" s="72"/>
      <c r="UKN160" s="72"/>
      <c r="UKO160" s="72"/>
      <c r="UKP160" s="72"/>
      <c r="UKQ160" s="72"/>
      <c r="UKR160" s="72"/>
      <c r="UKS160" s="72"/>
      <c r="UKT160" s="72"/>
      <c r="UKU160" s="72"/>
      <c r="UKV160" s="72"/>
      <c r="UKW160" s="72"/>
      <c r="UKX160" s="72"/>
      <c r="UKY160" s="72"/>
      <c r="UKZ160" s="72"/>
      <c r="ULA160" s="72"/>
      <c r="ULB160" s="72"/>
      <c r="ULC160" s="72"/>
      <c r="ULD160" s="72"/>
      <c r="ULE160" s="72"/>
      <c r="ULF160" s="72"/>
      <c r="ULG160" s="72"/>
      <c r="ULH160" s="72"/>
      <c r="ULI160" s="72"/>
      <c r="ULJ160" s="72"/>
      <c r="ULK160" s="72"/>
      <c r="ULL160" s="72"/>
      <c r="ULM160" s="72"/>
      <c r="ULN160" s="72"/>
      <c r="ULO160" s="72"/>
      <c r="ULP160" s="72"/>
      <c r="ULQ160" s="72"/>
      <c r="ULR160" s="72"/>
      <c r="ULS160" s="72"/>
      <c r="ULT160" s="72"/>
      <c r="ULU160" s="72"/>
      <c r="ULV160" s="72"/>
      <c r="ULW160" s="72"/>
      <c r="ULX160" s="72"/>
      <c r="ULY160" s="72"/>
      <c r="ULZ160" s="72"/>
      <c r="UMA160" s="72"/>
      <c r="UMB160" s="72"/>
      <c r="UMC160" s="72"/>
      <c r="UMD160" s="72"/>
      <c r="UME160" s="72"/>
      <c r="UMF160" s="72"/>
      <c r="UMG160" s="72"/>
      <c r="UMH160" s="72"/>
      <c r="UMI160" s="72"/>
      <c r="UMJ160" s="72"/>
      <c r="UMK160" s="72"/>
      <c r="UML160" s="72"/>
      <c r="UMM160" s="72"/>
      <c r="UMN160" s="72"/>
      <c r="UMO160" s="72"/>
      <c r="UMP160" s="72"/>
      <c r="UMQ160" s="72"/>
      <c r="UMR160" s="72"/>
      <c r="UMS160" s="72"/>
      <c r="UMT160" s="72"/>
      <c r="UMU160" s="72"/>
      <c r="UMV160" s="72"/>
      <c r="UMW160" s="72"/>
      <c r="UMX160" s="72"/>
      <c r="UMY160" s="72"/>
      <c r="UMZ160" s="72"/>
      <c r="UNA160" s="72"/>
      <c r="UNB160" s="72"/>
      <c r="UNC160" s="72"/>
      <c r="UND160" s="72"/>
      <c r="UNE160" s="72"/>
      <c r="UNF160" s="72"/>
      <c r="UNG160" s="72"/>
      <c r="UNH160" s="72"/>
      <c r="UNI160" s="72"/>
      <c r="UNJ160" s="72"/>
      <c r="UNK160" s="72"/>
      <c r="UNL160" s="72"/>
      <c r="UNM160" s="72"/>
      <c r="UNN160" s="72"/>
      <c r="UNO160" s="72"/>
      <c r="UNP160" s="72"/>
      <c r="UNQ160" s="72"/>
      <c r="UNR160" s="72"/>
      <c r="UNS160" s="72"/>
      <c r="UNT160" s="72"/>
      <c r="UNU160" s="72"/>
      <c r="UNV160" s="72"/>
      <c r="UNW160" s="72"/>
      <c r="UNX160" s="72"/>
      <c r="UNY160" s="72"/>
      <c r="UNZ160" s="72"/>
      <c r="UOA160" s="72"/>
      <c r="UOB160" s="72"/>
      <c r="UOC160" s="72"/>
      <c r="UOD160" s="72"/>
      <c r="UOE160" s="72"/>
      <c r="UOF160" s="72"/>
      <c r="UOG160" s="72"/>
      <c r="UOH160" s="72"/>
      <c r="UOI160" s="72"/>
      <c r="UOJ160" s="72"/>
      <c r="UOK160" s="72"/>
      <c r="UOL160" s="72"/>
      <c r="UOM160" s="72"/>
      <c r="UON160" s="72"/>
      <c r="UOO160" s="72"/>
      <c r="UOP160" s="72"/>
      <c r="UOQ160" s="72"/>
      <c r="UOR160" s="72"/>
      <c r="UOS160" s="72"/>
      <c r="UOT160" s="72"/>
      <c r="UOU160" s="72"/>
      <c r="UOV160" s="72"/>
      <c r="UOW160" s="72"/>
      <c r="UOX160" s="72"/>
      <c r="UOY160" s="72"/>
      <c r="UOZ160" s="72"/>
      <c r="UPA160" s="72"/>
      <c r="UPB160" s="72"/>
      <c r="UPC160" s="72"/>
      <c r="UPD160" s="72"/>
      <c r="UPE160" s="72"/>
      <c r="UPF160" s="72"/>
      <c r="UPG160" s="72"/>
      <c r="UPH160" s="72"/>
      <c r="UPI160" s="72"/>
      <c r="UPJ160" s="72"/>
      <c r="UPK160" s="72"/>
      <c r="UPL160" s="72"/>
      <c r="UPM160" s="72"/>
      <c r="UPN160" s="72"/>
      <c r="UPO160" s="72"/>
      <c r="UPP160" s="72"/>
      <c r="UPQ160" s="72"/>
      <c r="UPR160" s="72"/>
      <c r="UPS160" s="72"/>
      <c r="UPT160" s="72"/>
      <c r="UPU160" s="72"/>
      <c r="UPV160" s="72"/>
      <c r="UPW160" s="72"/>
      <c r="UPX160" s="72"/>
      <c r="UPY160" s="72"/>
      <c r="UPZ160" s="72"/>
      <c r="UQA160" s="72"/>
      <c r="UQB160" s="72"/>
      <c r="UQC160" s="72"/>
      <c r="UQD160" s="72"/>
      <c r="UQE160" s="72"/>
      <c r="UQF160" s="72"/>
      <c r="UQG160" s="72"/>
      <c r="UQH160" s="72"/>
      <c r="UQI160" s="72"/>
      <c r="UQJ160" s="72"/>
      <c r="UQK160" s="72"/>
      <c r="UQL160" s="72"/>
      <c r="UQM160" s="72"/>
      <c r="UQN160" s="72"/>
      <c r="UQO160" s="72"/>
      <c r="UQP160" s="72"/>
      <c r="UQQ160" s="72"/>
      <c r="UQR160" s="72"/>
      <c r="UQS160" s="72"/>
      <c r="UQT160" s="72"/>
      <c r="UQU160" s="72"/>
      <c r="UQV160" s="72"/>
      <c r="UQW160" s="72"/>
      <c r="UQX160" s="72"/>
      <c r="UQY160" s="72"/>
      <c r="UQZ160" s="72"/>
      <c r="URA160" s="72"/>
      <c r="URB160" s="72"/>
      <c r="URC160" s="72"/>
      <c r="URD160" s="72"/>
      <c r="URE160" s="72"/>
      <c r="URF160" s="72"/>
      <c r="URG160" s="72"/>
      <c r="URH160" s="72"/>
      <c r="URI160" s="72"/>
      <c r="URJ160" s="72"/>
      <c r="URK160" s="72"/>
      <c r="URL160" s="72"/>
      <c r="URM160" s="72"/>
      <c r="URN160" s="72"/>
      <c r="URO160" s="72"/>
      <c r="URP160" s="72"/>
      <c r="URQ160" s="72"/>
      <c r="URR160" s="72"/>
      <c r="URS160" s="72"/>
      <c r="URT160" s="72"/>
      <c r="URU160" s="72"/>
      <c r="URV160" s="72"/>
      <c r="URW160" s="72"/>
      <c r="URX160" s="72"/>
      <c r="URY160" s="72"/>
      <c r="URZ160" s="72"/>
      <c r="USA160" s="72"/>
      <c r="USB160" s="72"/>
      <c r="USC160" s="72"/>
      <c r="USD160" s="72"/>
      <c r="USE160" s="72"/>
      <c r="USF160" s="72"/>
      <c r="USG160" s="72"/>
      <c r="USH160" s="72"/>
      <c r="USI160" s="72"/>
      <c r="USJ160" s="72"/>
      <c r="USK160" s="72"/>
      <c r="USL160" s="72"/>
      <c r="USM160" s="72"/>
      <c r="USN160" s="72"/>
      <c r="USO160" s="72"/>
      <c r="USP160" s="72"/>
      <c r="USQ160" s="72"/>
      <c r="USR160" s="72"/>
      <c r="USS160" s="72"/>
      <c r="UST160" s="72"/>
      <c r="USU160" s="72"/>
      <c r="USV160" s="72"/>
      <c r="USW160" s="72"/>
      <c r="USX160" s="72"/>
      <c r="USY160" s="72"/>
      <c r="USZ160" s="72"/>
      <c r="UTA160" s="72"/>
      <c r="UTB160" s="72"/>
      <c r="UTC160" s="72"/>
      <c r="UTD160" s="72"/>
      <c r="UTE160" s="72"/>
      <c r="UTF160" s="72"/>
      <c r="UTG160" s="72"/>
      <c r="UTH160" s="72"/>
      <c r="UTI160" s="72"/>
      <c r="UTJ160" s="72"/>
      <c r="UTK160" s="72"/>
      <c r="UTL160" s="72"/>
      <c r="UTM160" s="72"/>
      <c r="UTN160" s="72"/>
      <c r="UTO160" s="72"/>
      <c r="UTP160" s="72"/>
      <c r="UTQ160" s="72"/>
      <c r="UTR160" s="72"/>
      <c r="UTS160" s="72"/>
      <c r="UTT160" s="72"/>
      <c r="UTU160" s="72"/>
      <c r="UTV160" s="72"/>
      <c r="UTW160" s="72"/>
      <c r="UTX160" s="72"/>
      <c r="UTY160" s="72"/>
      <c r="UTZ160" s="72"/>
      <c r="UUA160" s="72"/>
      <c r="UUB160" s="72"/>
      <c r="UUC160" s="72"/>
      <c r="UUD160" s="72"/>
      <c r="UUE160" s="72"/>
      <c r="UUF160" s="72"/>
      <c r="UUG160" s="72"/>
      <c r="UUH160" s="72"/>
      <c r="UUI160" s="72"/>
      <c r="UUJ160" s="72"/>
      <c r="UUK160" s="72"/>
      <c r="UUL160" s="72"/>
      <c r="UUM160" s="72"/>
      <c r="UUN160" s="72"/>
      <c r="UUO160" s="72"/>
      <c r="UUP160" s="72"/>
      <c r="UUQ160" s="72"/>
      <c r="UUR160" s="72"/>
      <c r="UUS160" s="72"/>
      <c r="UUT160" s="72"/>
      <c r="UUU160" s="72"/>
      <c r="UUV160" s="72"/>
      <c r="UUW160" s="72"/>
      <c r="UUX160" s="72"/>
      <c r="UUY160" s="72"/>
      <c r="UUZ160" s="72"/>
      <c r="UVA160" s="72"/>
      <c r="UVB160" s="72"/>
      <c r="UVC160" s="72"/>
      <c r="UVD160" s="72"/>
      <c r="UVE160" s="72"/>
      <c r="UVF160" s="72"/>
      <c r="UVG160" s="72"/>
      <c r="UVH160" s="72"/>
      <c r="UVI160" s="72"/>
      <c r="UVJ160" s="72"/>
      <c r="UVK160" s="72"/>
      <c r="UVL160" s="72"/>
      <c r="UVM160" s="72"/>
      <c r="UVN160" s="72"/>
      <c r="UVO160" s="72"/>
      <c r="UVP160" s="72"/>
      <c r="UVQ160" s="72"/>
      <c r="UVR160" s="72"/>
      <c r="UVS160" s="72"/>
      <c r="UVT160" s="72"/>
      <c r="UVU160" s="72"/>
      <c r="UVV160" s="72"/>
      <c r="UVW160" s="72"/>
      <c r="UVX160" s="72"/>
      <c r="UVY160" s="72"/>
      <c r="UVZ160" s="72"/>
      <c r="UWA160" s="72"/>
      <c r="UWB160" s="72"/>
      <c r="UWC160" s="72"/>
      <c r="UWD160" s="72"/>
      <c r="UWE160" s="72"/>
      <c r="UWF160" s="72"/>
      <c r="UWG160" s="72"/>
      <c r="UWH160" s="72"/>
      <c r="UWI160" s="72"/>
      <c r="UWJ160" s="72"/>
      <c r="UWK160" s="72"/>
      <c r="UWL160" s="72"/>
      <c r="UWM160" s="72"/>
      <c r="UWN160" s="72"/>
      <c r="UWO160" s="72"/>
      <c r="UWP160" s="72"/>
      <c r="UWQ160" s="72"/>
      <c r="UWR160" s="72"/>
      <c r="UWS160" s="72"/>
      <c r="UWT160" s="72"/>
      <c r="UWU160" s="72"/>
      <c r="UWV160" s="72"/>
      <c r="UWW160" s="72"/>
      <c r="UWX160" s="72"/>
      <c r="UWY160" s="72"/>
      <c r="UWZ160" s="72"/>
      <c r="UXA160" s="72"/>
      <c r="UXB160" s="72"/>
      <c r="UXC160" s="72"/>
      <c r="UXD160" s="72"/>
      <c r="UXE160" s="72"/>
      <c r="UXF160" s="72"/>
      <c r="UXG160" s="72"/>
      <c r="UXH160" s="72"/>
      <c r="UXI160" s="72"/>
      <c r="UXJ160" s="72"/>
      <c r="UXK160" s="72"/>
      <c r="UXL160" s="72"/>
      <c r="UXM160" s="72"/>
      <c r="UXN160" s="72"/>
      <c r="UXO160" s="72"/>
      <c r="UXP160" s="72"/>
      <c r="UXQ160" s="72"/>
      <c r="UXR160" s="72"/>
      <c r="UXS160" s="72"/>
      <c r="UXT160" s="72"/>
      <c r="UXU160" s="72"/>
      <c r="UXV160" s="72"/>
      <c r="UXW160" s="72"/>
      <c r="UXX160" s="72"/>
      <c r="UXY160" s="72"/>
      <c r="UXZ160" s="72"/>
      <c r="UYA160" s="72"/>
      <c r="UYB160" s="72"/>
      <c r="UYC160" s="72"/>
      <c r="UYD160" s="72"/>
      <c r="UYE160" s="72"/>
      <c r="UYF160" s="72"/>
      <c r="UYG160" s="72"/>
      <c r="UYH160" s="72"/>
      <c r="UYI160" s="72"/>
      <c r="UYJ160" s="72"/>
      <c r="UYK160" s="72"/>
      <c r="UYL160" s="72"/>
      <c r="UYM160" s="72"/>
      <c r="UYN160" s="72"/>
      <c r="UYO160" s="72"/>
      <c r="UYP160" s="72"/>
      <c r="UYQ160" s="72"/>
      <c r="UYR160" s="72"/>
      <c r="UYS160" s="72"/>
      <c r="UYT160" s="72"/>
      <c r="UYU160" s="72"/>
      <c r="UYV160" s="72"/>
      <c r="UYW160" s="72"/>
      <c r="UYX160" s="72"/>
      <c r="UYY160" s="72"/>
      <c r="UYZ160" s="72"/>
      <c r="UZA160" s="72"/>
      <c r="UZB160" s="72"/>
      <c r="UZC160" s="72"/>
      <c r="UZD160" s="72"/>
      <c r="UZE160" s="72"/>
      <c r="UZF160" s="72"/>
      <c r="UZG160" s="72"/>
      <c r="UZH160" s="72"/>
      <c r="UZI160" s="72"/>
      <c r="UZJ160" s="72"/>
      <c r="UZK160" s="72"/>
      <c r="UZL160" s="72"/>
      <c r="UZM160" s="72"/>
      <c r="UZN160" s="72"/>
      <c r="UZO160" s="72"/>
      <c r="UZP160" s="72"/>
      <c r="UZQ160" s="72"/>
      <c r="UZR160" s="72"/>
      <c r="UZS160" s="72"/>
      <c r="UZT160" s="72"/>
      <c r="UZU160" s="72"/>
      <c r="UZV160" s="72"/>
      <c r="UZW160" s="72"/>
      <c r="UZX160" s="72"/>
      <c r="UZY160" s="72"/>
      <c r="UZZ160" s="72"/>
      <c r="VAA160" s="72"/>
      <c r="VAB160" s="72"/>
      <c r="VAC160" s="72"/>
      <c r="VAD160" s="72"/>
      <c r="VAE160" s="72"/>
      <c r="VAF160" s="72"/>
      <c r="VAG160" s="72"/>
      <c r="VAH160" s="72"/>
      <c r="VAI160" s="72"/>
      <c r="VAJ160" s="72"/>
      <c r="VAK160" s="72"/>
      <c r="VAL160" s="72"/>
      <c r="VAM160" s="72"/>
      <c r="VAN160" s="72"/>
      <c r="VAO160" s="72"/>
      <c r="VAP160" s="72"/>
      <c r="VAQ160" s="72"/>
      <c r="VAR160" s="72"/>
      <c r="VAS160" s="72"/>
      <c r="VAT160" s="72"/>
      <c r="VAU160" s="72"/>
      <c r="VAV160" s="72"/>
      <c r="VAW160" s="72"/>
      <c r="VAX160" s="72"/>
      <c r="VAY160" s="72"/>
      <c r="VAZ160" s="72"/>
      <c r="VBA160" s="72"/>
      <c r="VBB160" s="72"/>
      <c r="VBC160" s="72"/>
      <c r="VBD160" s="72"/>
      <c r="VBE160" s="72"/>
      <c r="VBF160" s="72"/>
      <c r="VBG160" s="72"/>
      <c r="VBH160" s="72"/>
      <c r="VBI160" s="72"/>
      <c r="VBJ160" s="72"/>
      <c r="VBK160" s="72"/>
      <c r="VBL160" s="72"/>
      <c r="VBM160" s="72"/>
      <c r="VBN160" s="72"/>
      <c r="VBO160" s="72"/>
      <c r="VBP160" s="72"/>
      <c r="VBQ160" s="72"/>
      <c r="VBR160" s="72"/>
      <c r="VBS160" s="72"/>
      <c r="VBT160" s="72"/>
      <c r="VBU160" s="72"/>
      <c r="VBV160" s="72"/>
      <c r="VBW160" s="72"/>
      <c r="VBX160" s="72"/>
      <c r="VBY160" s="72"/>
      <c r="VBZ160" s="72"/>
      <c r="VCA160" s="72"/>
      <c r="VCB160" s="72"/>
      <c r="VCC160" s="72"/>
      <c r="VCD160" s="72"/>
      <c r="VCE160" s="72"/>
      <c r="VCF160" s="72"/>
      <c r="VCG160" s="72"/>
      <c r="VCH160" s="72"/>
      <c r="VCI160" s="72"/>
      <c r="VCJ160" s="72"/>
      <c r="VCK160" s="72"/>
      <c r="VCL160" s="72"/>
      <c r="VCM160" s="72"/>
      <c r="VCN160" s="72"/>
      <c r="VCO160" s="72"/>
      <c r="VCP160" s="72"/>
      <c r="VCQ160" s="72"/>
      <c r="VCR160" s="72"/>
      <c r="VCS160" s="72"/>
      <c r="VCT160" s="72"/>
      <c r="VCU160" s="72"/>
      <c r="VCV160" s="72"/>
      <c r="VCW160" s="72"/>
      <c r="VCX160" s="72"/>
      <c r="VCY160" s="72"/>
      <c r="VCZ160" s="72"/>
      <c r="VDA160" s="72"/>
      <c r="VDB160" s="72"/>
      <c r="VDC160" s="72"/>
      <c r="VDD160" s="72"/>
      <c r="VDE160" s="72"/>
      <c r="VDF160" s="72"/>
      <c r="VDG160" s="72"/>
      <c r="VDH160" s="72"/>
      <c r="VDI160" s="72"/>
      <c r="VDJ160" s="72"/>
      <c r="VDK160" s="72"/>
      <c r="VDL160" s="72"/>
      <c r="VDM160" s="72"/>
      <c r="VDN160" s="72"/>
      <c r="VDO160" s="72"/>
      <c r="VDP160" s="72"/>
      <c r="VDQ160" s="72"/>
      <c r="VDR160" s="72"/>
      <c r="VDS160" s="72"/>
      <c r="VDT160" s="72"/>
      <c r="VDU160" s="72"/>
      <c r="VDV160" s="72"/>
      <c r="VDW160" s="72"/>
      <c r="VDX160" s="72"/>
      <c r="VDY160" s="72"/>
      <c r="VDZ160" s="72"/>
      <c r="VEA160" s="72"/>
      <c r="VEB160" s="72"/>
      <c r="VEC160" s="72"/>
      <c r="VED160" s="72"/>
      <c r="VEE160" s="72"/>
      <c r="VEF160" s="72"/>
      <c r="VEG160" s="72"/>
      <c r="VEH160" s="72"/>
      <c r="VEI160" s="72"/>
      <c r="VEJ160" s="72"/>
      <c r="VEK160" s="72"/>
      <c r="VEL160" s="72"/>
      <c r="VEM160" s="72"/>
      <c r="VEN160" s="72"/>
      <c r="VEO160" s="72"/>
      <c r="VEP160" s="72"/>
      <c r="VEQ160" s="72"/>
      <c r="VER160" s="72"/>
      <c r="VES160" s="72"/>
      <c r="VET160" s="72"/>
      <c r="VEU160" s="72"/>
      <c r="VEV160" s="72"/>
      <c r="VEW160" s="72"/>
      <c r="VEX160" s="72"/>
      <c r="VEY160" s="72"/>
      <c r="VEZ160" s="72"/>
      <c r="VFA160" s="72"/>
      <c r="VFB160" s="72"/>
      <c r="VFC160" s="72"/>
      <c r="VFD160" s="72"/>
      <c r="VFE160" s="72"/>
      <c r="VFF160" s="72"/>
      <c r="VFG160" s="72"/>
      <c r="VFH160" s="72"/>
      <c r="VFI160" s="72"/>
      <c r="VFJ160" s="72"/>
      <c r="VFK160" s="72"/>
      <c r="VFL160" s="72"/>
      <c r="VFM160" s="72"/>
      <c r="VFN160" s="72"/>
      <c r="VFO160" s="72"/>
      <c r="VFP160" s="72"/>
      <c r="VFQ160" s="72"/>
      <c r="VFR160" s="72"/>
      <c r="VFS160" s="72"/>
      <c r="VFT160" s="72"/>
      <c r="VFU160" s="72"/>
      <c r="VFV160" s="72"/>
      <c r="VFW160" s="72"/>
      <c r="VFX160" s="72"/>
      <c r="VFY160" s="72"/>
      <c r="VFZ160" s="72"/>
      <c r="VGA160" s="72"/>
      <c r="VGB160" s="72"/>
      <c r="VGC160" s="72"/>
      <c r="VGD160" s="72"/>
      <c r="VGE160" s="72"/>
      <c r="VGF160" s="72"/>
      <c r="VGG160" s="72"/>
      <c r="VGH160" s="72"/>
      <c r="VGI160" s="72"/>
      <c r="VGJ160" s="72"/>
      <c r="VGK160" s="72"/>
      <c r="VGL160" s="72"/>
      <c r="VGM160" s="72"/>
      <c r="VGN160" s="72"/>
      <c r="VGO160" s="72"/>
      <c r="VGP160" s="72"/>
      <c r="VGQ160" s="72"/>
      <c r="VGR160" s="72"/>
      <c r="VGS160" s="72"/>
      <c r="VGT160" s="72"/>
      <c r="VGU160" s="72"/>
      <c r="VGV160" s="72"/>
      <c r="VGW160" s="72"/>
      <c r="VGX160" s="72"/>
      <c r="VGY160" s="72"/>
      <c r="VGZ160" s="72"/>
      <c r="VHA160" s="72"/>
      <c r="VHB160" s="72"/>
      <c r="VHC160" s="72"/>
      <c r="VHD160" s="72"/>
      <c r="VHE160" s="72"/>
      <c r="VHF160" s="72"/>
      <c r="VHG160" s="72"/>
      <c r="VHH160" s="72"/>
      <c r="VHI160" s="72"/>
      <c r="VHJ160" s="72"/>
      <c r="VHK160" s="72"/>
      <c r="VHL160" s="72"/>
      <c r="VHM160" s="72"/>
      <c r="VHN160" s="72"/>
      <c r="VHO160" s="72"/>
      <c r="VHP160" s="72"/>
      <c r="VHQ160" s="72"/>
      <c r="VHR160" s="72"/>
      <c r="VHS160" s="72"/>
      <c r="VHT160" s="72"/>
      <c r="VHU160" s="72"/>
      <c r="VHV160" s="72"/>
      <c r="VHW160" s="72"/>
      <c r="VHX160" s="72"/>
      <c r="VHY160" s="72"/>
      <c r="VHZ160" s="72"/>
      <c r="VIA160" s="72"/>
      <c r="VIB160" s="72"/>
      <c r="VIC160" s="72"/>
      <c r="VID160" s="72"/>
      <c r="VIE160" s="72"/>
      <c r="VIF160" s="72"/>
      <c r="VIG160" s="72"/>
      <c r="VIH160" s="72"/>
      <c r="VII160" s="72"/>
      <c r="VIJ160" s="72"/>
      <c r="VIK160" s="72"/>
      <c r="VIL160" s="72"/>
      <c r="VIM160" s="72"/>
      <c r="VIN160" s="72"/>
      <c r="VIO160" s="72"/>
      <c r="VIP160" s="72"/>
      <c r="VIQ160" s="72"/>
      <c r="VIR160" s="72"/>
      <c r="VIS160" s="72"/>
      <c r="VIT160" s="72"/>
      <c r="VIU160" s="72"/>
      <c r="VIV160" s="72"/>
      <c r="VIW160" s="72"/>
      <c r="VIX160" s="72"/>
      <c r="VIY160" s="72"/>
      <c r="VIZ160" s="72"/>
      <c r="VJA160" s="72"/>
      <c r="VJB160" s="72"/>
      <c r="VJC160" s="72"/>
      <c r="VJD160" s="72"/>
      <c r="VJE160" s="72"/>
      <c r="VJF160" s="72"/>
      <c r="VJG160" s="72"/>
      <c r="VJH160" s="72"/>
      <c r="VJI160" s="72"/>
      <c r="VJJ160" s="72"/>
      <c r="VJK160" s="72"/>
      <c r="VJL160" s="72"/>
      <c r="VJM160" s="72"/>
      <c r="VJN160" s="72"/>
      <c r="VJO160" s="72"/>
      <c r="VJP160" s="72"/>
      <c r="VJQ160" s="72"/>
      <c r="VJR160" s="72"/>
      <c r="VJS160" s="72"/>
      <c r="VJT160" s="72"/>
      <c r="VJU160" s="72"/>
      <c r="VJV160" s="72"/>
      <c r="VJW160" s="72"/>
      <c r="VJX160" s="72"/>
      <c r="VJY160" s="72"/>
      <c r="VJZ160" s="72"/>
      <c r="VKA160" s="72"/>
      <c r="VKB160" s="72"/>
      <c r="VKC160" s="72"/>
      <c r="VKD160" s="72"/>
      <c r="VKE160" s="72"/>
      <c r="VKF160" s="72"/>
      <c r="VKG160" s="72"/>
      <c r="VKH160" s="72"/>
      <c r="VKI160" s="72"/>
      <c r="VKJ160" s="72"/>
      <c r="VKK160" s="72"/>
      <c r="VKL160" s="72"/>
      <c r="VKM160" s="72"/>
      <c r="VKN160" s="72"/>
      <c r="VKO160" s="72"/>
      <c r="VKP160" s="72"/>
      <c r="VKQ160" s="72"/>
      <c r="VKR160" s="72"/>
      <c r="VKS160" s="72"/>
      <c r="VKT160" s="72"/>
      <c r="VKU160" s="72"/>
      <c r="VKV160" s="72"/>
      <c r="VKW160" s="72"/>
      <c r="VKX160" s="72"/>
      <c r="VKY160" s="72"/>
      <c r="VKZ160" s="72"/>
      <c r="VLA160" s="72"/>
      <c r="VLB160" s="72"/>
      <c r="VLC160" s="72"/>
      <c r="VLD160" s="72"/>
      <c r="VLE160" s="72"/>
      <c r="VLF160" s="72"/>
      <c r="VLG160" s="72"/>
      <c r="VLH160" s="72"/>
      <c r="VLI160" s="72"/>
      <c r="VLJ160" s="72"/>
      <c r="VLK160" s="72"/>
      <c r="VLL160" s="72"/>
      <c r="VLM160" s="72"/>
      <c r="VLN160" s="72"/>
      <c r="VLO160" s="72"/>
      <c r="VLP160" s="72"/>
      <c r="VLQ160" s="72"/>
      <c r="VLR160" s="72"/>
      <c r="VLS160" s="72"/>
      <c r="VLT160" s="72"/>
      <c r="VLU160" s="72"/>
      <c r="VLV160" s="72"/>
      <c r="VLW160" s="72"/>
      <c r="VLX160" s="72"/>
      <c r="VLY160" s="72"/>
      <c r="VLZ160" s="72"/>
      <c r="VMA160" s="72"/>
      <c r="VMB160" s="72"/>
      <c r="VMC160" s="72"/>
      <c r="VMD160" s="72"/>
      <c r="VME160" s="72"/>
      <c r="VMF160" s="72"/>
      <c r="VMG160" s="72"/>
      <c r="VMH160" s="72"/>
      <c r="VMI160" s="72"/>
      <c r="VMJ160" s="72"/>
      <c r="VMK160" s="72"/>
      <c r="VML160" s="72"/>
      <c r="VMM160" s="72"/>
      <c r="VMN160" s="72"/>
      <c r="VMO160" s="72"/>
      <c r="VMP160" s="72"/>
      <c r="VMQ160" s="72"/>
      <c r="VMR160" s="72"/>
      <c r="VMS160" s="72"/>
      <c r="VMT160" s="72"/>
      <c r="VMU160" s="72"/>
      <c r="VMV160" s="72"/>
      <c r="VMW160" s="72"/>
      <c r="VMX160" s="72"/>
      <c r="VMY160" s="72"/>
      <c r="VMZ160" s="72"/>
      <c r="VNA160" s="72"/>
      <c r="VNB160" s="72"/>
      <c r="VNC160" s="72"/>
      <c r="VND160" s="72"/>
      <c r="VNE160" s="72"/>
      <c r="VNF160" s="72"/>
      <c r="VNG160" s="72"/>
      <c r="VNH160" s="72"/>
      <c r="VNI160" s="72"/>
      <c r="VNJ160" s="72"/>
      <c r="VNK160" s="72"/>
      <c r="VNL160" s="72"/>
      <c r="VNM160" s="72"/>
      <c r="VNN160" s="72"/>
      <c r="VNO160" s="72"/>
      <c r="VNP160" s="72"/>
      <c r="VNQ160" s="72"/>
      <c r="VNR160" s="72"/>
      <c r="VNS160" s="72"/>
      <c r="VNT160" s="72"/>
      <c r="VNU160" s="72"/>
      <c r="VNV160" s="72"/>
      <c r="VNW160" s="72"/>
      <c r="VNX160" s="72"/>
      <c r="VNY160" s="72"/>
      <c r="VNZ160" s="72"/>
      <c r="VOA160" s="72"/>
      <c r="VOB160" s="72"/>
      <c r="VOC160" s="72"/>
      <c r="VOD160" s="72"/>
      <c r="VOE160" s="72"/>
      <c r="VOF160" s="72"/>
      <c r="VOG160" s="72"/>
      <c r="VOH160" s="72"/>
      <c r="VOI160" s="72"/>
      <c r="VOJ160" s="72"/>
      <c r="VOK160" s="72"/>
      <c r="VOL160" s="72"/>
      <c r="VOM160" s="72"/>
      <c r="VON160" s="72"/>
      <c r="VOO160" s="72"/>
      <c r="VOP160" s="72"/>
      <c r="VOQ160" s="72"/>
      <c r="VOR160" s="72"/>
      <c r="VOS160" s="72"/>
      <c r="VOT160" s="72"/>
      <c r="VOU160" s="72"/>
      <c r="VOV160" s="72"/>
      <c r="VOW160" s="72"/>
      <c r="VOX160" s="72"/>
      <c r="VOY160" s="72"/>
      <c r="VOZ160" s="72"/>
      <c r="VPA160" s="72"/>
      <c r="VPB160" s="72"/>
      <c r="VPC160" s="72"/>
      <c r="VPD160" s="72"/>
      <c r="VPE160" s="72"/>
      <c r="VPF160" s="72"/>
      <c r="VPG160" s="72"/>
      <c r="VPH160" s="72"/>
      <c r="VPI160" s="72"/>
      <c r="VPJ160" s="72"/>
      <c r="VPK160" s="72"/>
      <c r="VPL160" s="72"/>
      <c r="VPM160" s="72"/>
      <c r="VPN160" s="72"/>
      <c r="VPO160" s="72"/>
      <c r="VPP160" s="72"/>
      <c r="VPQ160" s="72"/>
      <c r="VPR160" s="72"/>
      <c r="VPS160" s="72"/>
      <c r="VPT160" s="72"/>
      <c r="VPU160" s="72"/>
      <c r="VPV160" s="72"/>
      <c r="VPW160" s="72"/>
      <c r="VPX160" s="72"/>
      <c r="VPY160" s="72"/>
      <c r="VPZ160" s="72"/>
      <c r="VQA160" s="72"/>
      <c r="VQB160" s="72"/>
      <c r="VQC160" s="72"/>
      <c r="VQD160" s="72"/>
      <c r="VQE160" s="72"/>
      <c r="VQF160" s="72"/>
      <c r="VQG160" s="72"/>
      <c r="VQH160" s="72"/>
      <c r="VQI160" s="72"/>
      <c r="VQJ160" s="72"/>
      <c r="VQK160" s="72"/>
      <c r="VQL160" s="72"/>
      <c r="VQM160" s="72"/>
      <c r="VQN160" s="72"/>
      <c r="VQO160" s="72"/>
      <c r="VQP160" s="72"/>
      <c r="VQQ160" s="72"/>
      <c r="VQR160" s="72"/>
      <c r="VQS160" s="72"/>
      <c r="VQT160" s="72"/>
      <c r="VQU160" s="72"/>
      <c r="VQV160" s="72"/>
      <c r="VQW160" s="72"/>
      <c r="VQX160" s="72"/>
      <c r="VQY160" s="72"/>
      <c r="VQZ160" s="72"/>
      <c r="VRA160" s="72"/>
      <c r="VRB160" s="72"/>
      <c r="VRC160" s="72"/>
      <c r="VRD160" s="72"/>
      <c r="VRE160" s="72"/>
      <c r="VRF160" s="72"/>
      <c r="VRG160" s="72"/>
      <c r="VRH160" s="72"/>
      <c r="VRI160" s="72"/>
      <c r="VRJ160" s="72"/>
      <c r="VRK160" s="72"/>
      <c r="VRL160" s="72"/>
      <c r="VRM160" s="72"/>
      <c r="VRN160" s="72"/>
      <c r="VRO160" s="72"/>
      <c r="VRP160" s="72"/>
      <c r="VRQ160" s="72"/>
      <c r="VRR160" s="72"/>
      <c r="VRS160" s="72"/>
      <c r="VRT160" s="72"/>
      <c r="VRU160" s="72"/>
      <c r="VRV160" s="72"/>
      <c r="VRW160" s="72"/>
      <c r="VRX160" s="72"/>
      <c r="VRY160" s="72"/>
      <c r="VRZ160" s="72"/>
      <c r="VSA160" s="72"/>
      <c r="VSB160" s="72"/>
      <c r="VSC160" s="72"/>
      <c r="VSD160" s="72"/>
      <c r="VSE160" s="72"/>
      <c r="VSF160" s="72"/>
      <c r="VSG160" s="72"/>
      <c r="VSH160" s="72"/>
      <c r="VSI160" s="72"/>
      <c r="VSJ160" s="72"/>
      <c r="VSK160" s="72"/>
      <c r="VSL160" s="72"/>
      <c r="VSM160" s="72"/>
      <c r="VSN160" s="72"/>
      <c r="VSO160" s="72"/>
      <c r="VSP160" s="72"/>
      <c r="VSQ160" s="72"/>
      <c r="VSR160" s="72"/>
      <c r="VSS160" s="72"/>
      <c r="VST160" s="72"/>
      <c r="VSU160" s="72"/>
      <c r="VSV160" s="72"/>
      <c r="VSW160" s="72"/>
      <c r="VSX160" s="72"/>
      <c r="VSY160" s="72"/>
      <c r="VSZ160" s="72"/>
      <c r="VTA160" s="72"/>
      <c r="VTB160" s="72"/>
      <c r="VTC160" s="72"/>
      <c r="VTD160" s="72"/>
      <c r="VTE160" s="72"/>
      <c r="VTF160" s="72"/>
      <c r="VTG160" s="72"/>
      <c r="VTH160" s="72"/>
      <c r="VTI160" s="72"/>
      <c r="VTJ160" s="72"/>
      <c r="VTK160" s="72"/>
      <c r="VTL160" s="72"/>
      <c r="VTM160" s="72"/>
      <c r="VTN160" s="72"/>
      <c r="VTO160" s="72"/>
      <c r="VTP160" s="72"/>
      <c r="VTQ160" s="72"/>
      <c r="VTR160" s="72"/>
      <c r="VTS160" s="72"/>
      <c r="VTT160" s="72"/>
      <c r="VTU160" s="72"/>
      <c r="VTV160" s="72"/>
      <c r="VTW160" s="72"/>
      <c r="VTX160" s="72"/>
      <c r="VTY160" s="72"/>
      <c r="VTZ160" s="72"/>
      <c r="VUA160" s="72"/>
      <c r="VUB160" s="72"/>
      <c r="VUC160" s="72"/>
      <c r="VUD160" s="72"/>
      <c r="VUE160" s="72"/>
      <c r="VUF160" s="72"/>
      <c r="VUG160" s="72"/>
      <c r="VUH160" s="72"/>
      <c r="VUI160" s="72"/>
      <c r="VUJ160" s="72"/>
      <c r="VUK160" s="72"/>
      <c r="VUL160" s="72"/>
      <c r="VUM160" s="72"/>
      <c r="VUN160" s="72"/>
      <c r="VUO160" s="72"/>
      <c r="VUP160" s="72"/>
      <c r="VUQ160" s="72"/>
      <c r="VUR160" s="72"/>
      <c r="VUS160" s="72"/>
      <c r="VUT160" s="72"/>
      <c r="VUU160" s="72"/>
      <c r="VUV160" s="72"/>
      <c r="VUW160" s="72"/>
      <c r="VUX160" s="72"/>
      <c r="VUY160" s="72"/>
      <c r="VUZ160" s="72"/>
      <c r="VVA160" s="72"/>
      <c r="VVB160" s="72"/>
      <c r="VVC160" s="72"/>
      <c r="VVD160" s="72"/>
      <c r="VVE160" s="72"/>
      <c r="VVF160" s="72"/>
      <c r="VVG160" s="72"/>
      <c r="VVH160" s="72"/>
      <c r="VVI160" s="72"/>
      <c r="VVJ160" s="72"/>
      <c r="VVK160" s="72"/>
      <c r="VVL160" s="72"/>
      <c r="VVM160" s="72"/>
      <c r="VVN160" s="72"/>
      <c r="VVO160" s="72"/>
      <c r="VVP160" s="72"/>
      <c r="VVQ160" s="72"/>
      <c r="VVR160" s="72"/>
      <c r="VVS160" s="72"/>
      <c r="VVT160" s="72"/>
      <c r="VVU160" s="72"/>
      <c r="VVV160" s="72"/>
      <c r="VVW160" s="72"/>
      <c r="VVX160" s="72"/>
      <c r="VVY160" s="72"/>
      <c r="VVZ160" s="72"/>
      <c r="VWA160" s="72"/>
      <c r="VWB160" s="72"/>
      <c r="VWC160" s="72"/>
      <c r="VWD160" s="72"/>
      <c r="VWE160" s="72"/>
      <c r="VWF160" s="72"/>
      <c r="VWG160" s="72"/>
      <c r="VWH160" s="72"/>
      <c r="VWI160" s="72"/>
      <c r="VWJ160" s="72"/>
      <c r="VWK160" s="72"/>
      <c r="VWL160" s="72"/>
      <c r="VWM160" s="72"/>
      <c r="VWN160" s="72"/>
      <c r="VWO160" s="72"/>
      <c r="VWP160" s="72"/>
      <c r="VWQ160" s="72"/>
      <c r="VWR160" s="72"/>
      <c r="VWS160" s="72"/>
      <c r="VWT160" s="72"/>
      <c r="VWU160" s="72"/>
      <c r="VWV160" s="72"/>
      <c r="VWW160" s="72"/>
      <c r="VWX160" s="72"/>
      <c r="VWY160" s="72"/>
      <c r="VWZ160" s="72"/>
      <c r="VXA160" s="72"/>
      <c r="VXB160" s="72"/>
      <c r="VXC160" s="72"/>
      <c r="VXD160" s="72"/>
      <c r="VXE160" s="72"/>
      <c r="VXF160" s="72"/>
      <c r="VXG160" s="72"/>
      <c r="VXH160" s="72"/>
      <c r="VXI160" s="72"/>
      <c r="VXJ160" s="72"/>
      <c r="VXK160" s="72"/>
      <c r="VXL160" s="72"/>
      <c r="VXM160" s="72"/>
      <c r="VXN160" s="72"/>
      <c r="VXO160" s="72"/>
      <c r="VXP160" s="72"/>
      <c r="VXQ160" s="72"/>
      <c r="VXR160" s="72"/>
      <c r="VXS160" s="72"/>
      <c r="VXT160" s="72"/>
      <c r="VXU160" s="72"/>
      <c r="VXV160" s="72"/>
      <c r="VXW160" s="72"/>
      <c r="VXX160" s="72"/>
      <c r="VXY160" s="72"/>
      <c r="VXZ160" s="72"/>
      <c r="VYA160" s="72"/>
      <c r="VYB160" s="72"/>
      <c r="VYC160" s="72"/>
      <c r="VYD160" s="72"/>
      <c r="VYE160" s="72"/>
      <c r="VYF160" s="72"/>
      <c r="VYG160" s="72"/>
      <c r="VYH160" s="72"/>
      <c r="VYI160" s="72"/>
      <c r="VYJ160" s="72"/>
      <c r="VYK160" s="72"/>
      <c r="VYL160" s="72"/>
      <c r="VYM160" s="72"/>
      <c r="VYN160" s="72"/>
      <c r="VYO160" s="72"/>
      <c r="VYP160" s="72"/>
      <c r="VYQ160" s="72"/>
      <c r="VYR160" s="72"/>
      <c r="VYS160" s="72"/>
      <c r="VYT160" s="72"/>
      <c r="VYU160" s="72"/>
      <c r="VYV160" s="72"/>
      <c r="VYW160" s="72"/>
      <c r="VYX160" s="72"/>
      <c r="VYY160" s="72"/>
      <c r="VYZ160" s="72"/>
      <c r="VZA160" s="72"/>
      <c r="VZB160" s="72"/>
      <c r="VZC160" s="72"/>
      <c r="VZD160" s="72"/>
      <c r="VZE160" s="72"/>
      <c r="VZF160" s="72"/>
      <c r="VZG160" s="72"/>
      <c r="VZH160" s="72"/>
      <c r="VZI160" s="72"/>
      <c r="VZJ160" s="72"/>
      <c r="VZK160" s="72"/>
      <c r="VZL160" s="72"/>
      <c r="VZM160" s="72"/>
      <c r="VZN160" s="72"/>
      <c r="VZO160" s="72"/>
      <c r="VZP160" s="72"/>
      <c r="VZQ160" s="72"/>
      <c r="VZR160" s="72"/>
      <c r="VZS160" s="72"/>
      <c r="VZT160" s="72"/>
      <c r="VZU160" s="72"/>
      <c r="VZV160" s="72"/>
      <c r="VZW160" s="72"/>
      <c r="VZX160" s="72"/>
      <c r="VZY160" s="72"/>
      <c r="VZZ160" s="72"/>
      <c r="WAA160" s="72"/>
      <c r="WAB160" s="72"/>
      <c r="WAC160" s="72"/>
      <c r="WAD160" s="72"/>
      <c r="WAE160" s="72"/>
      <c r="WAF160" s="72"/>
      <c r="WAG160" s="72"/>
      <c r="WAH160" s="72"/>
      <c r="WAI160" s="72"/>
      <c r="WAJ160" s="72"/>
      <c r="WAK160" s="72"/>
      <c r="WAL160" s="72"/>
      <c r="WAM160" s="72"/>
      <c r="WAN160" s="72"/>
      <c r="WAO160" s="72"/>
      <c r="WAP160" s="72"/>
      <c r="WAQ160" s="72"/>
      <c r="WAR160" s="72"/>
      <c r="WAS160" s="72"/>
      <c r="WAT160" s="72"/>
      <c r="WAU160" s="72"/>
      <c r="WAV160" s="72"/>
      <c r="WAW160" s="72"/>
      <c r="WAX160" s="72"/>
      <c r="WAY160" s="72"/>
      <c r="WAZ160" s="72"/>
      <c r="WBA160" s="72"/>
      <c r="WBB160" s="72"/>
      <c r="WBC160" s="72"/>
      <c r="WBD160" s="72"/>
      <c r="WBE160" s="72"/>
      <c r="WBF160" s="72"/>
      <c r="WBG160" s="72"/>
      <c r="WBH160" s="72"/>
      <c r="WBI160" s="72"/>
      <c r="WBJ160" s="72"/>
      <c r="WBK160" s="72"/>
      <c r="WBL160" s="72"/>
      <c r="WBM160" s="72"/>
      <c r="WBN160" s="72"/>
      <c r="WBO160" s="72"/>
      <c r="WBP160" s="72"/>
      <c r="WBQ160" s="72"/>
      <c r="WBR160" s="72"/>
      <c r="WBS160" s="72"/>
      <c r="WBT160" s="72"/>
      <c r="WBU160" s="72"/>
      <c r="WBV160" s="72"/>
      <c r="WBW160" s="72"/>
      <c r="WBX160" s="72"/>
      <c r="WBY160" s="72"/>
      <c r="WBZ160" s="72"/>
      <c r="WCA160" s="72"/>
      <c r="WCB160" s="72"/>
      <c r="WCC160" s="72"/>
      <c r="WCD160" s="72"/>
      <c r="WCE160" s="72"/>
      <c r="WCF160" s="72"/>
      <c r="WCG160" s="72"/>
      <c r="WCH160" s="72"/>
      <c r="WCI160" s="72"/>
      <c r="WCJ160" s="72"/>
      <c r="WCK160" s="72"/>
      <c r="WCL160" s="72"/>
      <c r="WCM160" s="72"/>
      <c r="WCN160" s="72"/>
      <c r="WCO160" s="72"/>
      <c r="WCP160" s="72"/>
      <c r="WCQ160" s="72"/>
      <c r="WCR160" s="72"/>
      <c r="WCS160" s="72"/>
      <c r="WCT160" s="72"/>
      <c r="WCU160" s="72"/>
      <c r="WCV160" s="72"/>
      <c r="WCW160" s="72"/>
      <c r="WCX160" s="72"/>
      <c r="WCY160" s="72"/>
      <c r="WCZ160" s="72"/>
      <c r="WDA160" s="72"/>
      <c r="WDB160" s="72"/>
      <c r="WDC160" s="72"/>
      <c r="WDD160" s="72"/>
      <c r="WDE160" s="72"/>
      <c r="WDF160" s="72"/>
      <c r="WDG160" s="72"/>
      <c r="WDH160" s="72"/>
      <c r="WDI160" s="72"/>
      <c r="WDJ160" s="72"/>
      <c r="WDK160" s="72"/>
      <c r="WDL160" s="72"/>
      <c r="WDM160" s="72"/>
      <c r="WDN160" s="72"/>
      <c r="WDO160" s="72"/>
      <c r="WDP160" s="72"/>
      <c r="WDQ160" s="72"/>
      <c r="WDR160" s="72"/>
      <c r="WDS160" s="72"/>
      <c r="WDT160" s="72"/>
      <c r="WDU160" s="72"/>
      <c r="WDV160" s="72"/>
      <c r="WDW160" s="72"/>
      <c r="WDX160" s="72"/>
      <c r="WDY160" s="72"/>
      <c r="WDZ160" s="72"/>
      <c r="WEA160" s="72"/>
      <c r="WEB160" s="72"/>
      <c r="WEC160" s="72"/>
      <c r="WED160" s="72"/>
      <c r="WEE160" s="72"/>
      <c r="WEF160" s="72"/>
      <c r="WEG160" s="72"/>
      <c r="WEH160" s="72"/>
      <c r="WEI160" s="72"/>
      <c r="WEJ160" s="72"/>
      <c r="WEK160" s="72"/>
      <c r="WEL160" s="72"/>
      <c r="WEM160" s="72"/>
      <c r="WEN160" s="72"/>
      <c r="WEO160" s="72"/>
      <c r="WEP160" s="72"/>
      <c r="WEQ160" s="72"/>
      <c r="WER160" s="72"/>
      <c r="WES160" s="72"/>
      <c r="WET160" s="72"/>
      <c r="WEU160" s="72"/>
      <c r="WEV160" s="72"/>
      <c r="WEW160" s="72"/>
      <c r="WEX160" s="72"/>
      <c r="WEY160" s="72"/>
      <c r="WEZ160" s="72"/>
      <c r="WFA160" s="72"/>
      <c r="WFB160" s="72"/>
      <c r="WFC160" s="72"/>
      <c r="WFD160" s="72"/>
      <c r="WFE160" s="72"/>
      <c r="WFF160" s="72"/>
      <c r="WFG160" s="72"/>
      <c r="WFH160" s="72"/>
      <c r="WFI160" s="72"/>
      <c r="WFJ160" s="72"/>
      <c r="WFK160" s="72"/>
      <c r="WFL160" s="72"/>
      <c r="WFM160" s="72"/>
      <c r="WFN160" s="72"/>
      <c r="WFO160" s="72"/>
      <c r="WFP160" s="72"/>
      <c r="WFQ160" s="72"/>
      <c r="WFR160" s="72"/>
      <c r="WFS160" s="72"/>
      <c r="WFT160" s="72"/>
      <c r="WFU160" s="72"/>
      <c r="WFV160" s="72"/>
      <c r="WFW160" s="72"/>
      <c r="WFX160" s="72"/>
      <c r="WFY160" s="72"/>
      <c r="WFZ160" s="72"/>
      <c r="WGA160" s="72"/>
      <c r="WGB160" s="72"/>
      <c r="WGC160" s="72"/>
      <c r="WGD160" s="72"/>
      <c r="WGE160" s="72"/>
      <c r="WGF160" s="72"/>
      <c r="WGG160" s="72"/>
      <c r="WGH160" s="72"/>
      <c r="WGI160" s="72"/>
      <c r="WGJ160" s="72"/>
      <c r="WGK160" s="72"/>
      <c r="WGL160" s="72"/>
      <c r="WGM160" s="72"/>
      <c r="WGN160" s="72"/>
      <c r="WGO160" s="72"/>
      <c r="WGP160" s="72"/>
      <c r="WGQ160" s="72"/>
      <c r="WGR160" s="72"/>
      <c r="WGS160" s="72"/>
      <c r="WGT160" s="72"/>
      <c r="WGU160" s="72"/>
      <c r="WGV160" s="72"/>
      <c r="WGW160" s="72"/>
      <c r="WGX160" s="72"/>
      <c r="WGY160" s="72"/>
      <c r="WGZ160" s="72"/>
      <c r="WHA160" s="72"/>
      <c r="WHB160" s="72"/>
      <c r="WHC160" s="72"/>
      <c r="WHD160" s="72"/>
      <c r="WHE160" s="72"/>
      <c r="WHF160" s="72"/>
      <c r="WHG160" s="72"/>
      <c r="WHH160" s="72"/>
      <c r="WHI160" s="72"/>
      <c r="WHJ160" s="72"/>
      <c r="WHK160" s="72"/>
      <c r="WHL160" s="72"/>
      <c r="WHM160" s="72"/>
      <c r="WHN160" s="72"/>
      <c r="WHO160" s="72"/>
      <c r="WHP160" s="72"/>
      <c r="WHQ160" s="72"/>
      <c r="WHR160" s="72"/>
      <c r="WHS160" s="72"/>
      <c r="WHT160" s="72"/>
      <c r="WHU160" s="72"/>
      <c r="WHV160" s="72"/>
      <c r="WHW160" s="72"/>
      <c r="WHX160" s="72"/>
      <c r="WHY160" s="72"/>
      <c r="WHZ160" s="72"/>
      <c r="WIA160" s="72"/>
      <c r="WIB160" s="72"/>
      <c r="WIC160" s="72"/>
      <c r="WID160" s="72"/>
      <c r="WIE160" s="72"/>
      <c r="WIF160" s="72"/>
      <c r="WIG160" s="72"/>
      <c r="WIH160" s="72"/>
      <c r="WII160" s="72"/>
      <c r="WIJ160" s="72"/>
      <c r="WIK160" s="72"/>
      <c r="WIL160" s="72"/>
      <c r="WIM160" s="72"/>
      <c r="WIN160" s="72"/>
      <c r="WIO160" s="72"/>
      <c r="WIP160" s="72"/>
      <c r="WIQ160" s="72"/>
      <c r="WIR160" s="72"/>
      <c r="WIS160" s="72"/>
      <c r="WIT160" s="72"/>
      <c r="WIU160" s="72"/>
      <c r="WIV160" s="72"/>
      <c r="WIW160" s="72"/>
      <c r="WIX160" s="72"/>
      <c r="WIY160" s="72"/>
      <c r="WIZ160" s="72"/>
      <c r="WJA160" s="72"/>
      <c r="WJB160" s="72"/>
      <c r="WJC160" s="72"/>
      <c r="WJD160" s="72"/>
      <c r="WJE160" s="72"/>
      <c r="WJF160" s="72"/>
      <c r="WJG160" s="72"/>
      <c r="WJH160" s="72"/>
      <c r="WJI160" s="72"/>
      <c r="WJJ160" s="72"/>
      <c r="WJK160" s="72"/>
      <c r="WJL160" s="72"/>
      <c r="WJM160" s="72"/>
      <c r="WJN160" s="72"/>
      <c r="WJO160" s="72"/>
      <c r="WJP160" s="72"/>
      <c r="WJQ160" s="72"/>
      <c r="WJR160" s="72"/>
      <c r="WJS160" s="72"/>
      <c r="WJT160" s="72"/>
      <c r="WJU160" s="72"/>
      <c r="WJV160" s="72"/>
      <c r="WJW160" s="72"/>
      <c r="WJX160" s="72"/>
      <c r="WJY160" s="72"/>
      <c r="WJZ160" s="72"/>
      <c r="WKA160" s="72"/>
      <c r="WKB160" s="72"/>
      <c r="WKC160" s="72"/>
      <c r="WKD160" s="72"/>
      <c r="WKE160" s="72"/>
      <c r="WKF160" s="72"/>
      <c r="WKG160" s="72"/>
      <c r="WKH160" s="72"/>
      <c r="WKI160" s="72"/>
      <c r="WKJ160" s="72"/>
      <c r="WKK160" s="72"/>
      <c r="WKL160" s="72"/>
      <c r="WKM160" s="72"/>
      <c r="WKN160" s="72"/>
      <c r="WKO160" s="72"/>
      <c r="WKP160" s="72"/>
      <c r="WKQ160" s="72"/>
      <c r="WKR160" s="72"/>
      <c r="WKS160" s="72"/>
      <c r="WKT160" s="72"/>
      <c r="WKU160" s="72"/>
      <c r="WKV160" s="72"/>
      <c r="WKW160" s="72"/>
      <c r="WKX160" s="72"/>
      <c r="WKY160" s="72"/>
      <c r="WKZ160" s="72"/>
      <c r="WLA160" s="72"/>
      <c r="WLB160" s="72"/>
      <c r="WLC160" s="72"/>
      <c r="WLD160" s="72"/>
      <c r="WLE160" s="72"/>
      <c r="WLF160" s="72"/>
      <c r="WLG160" s="72"/>
      <c r="WLH160" s="72"/>
      <c r="WLI160" s="72"/>
      <c r="WLJ160" s="72"/>
      <c r="WLK160" s="72"/>
      <c r="WLL160" s="72"/>
      <c r="WLM160" s="72"/>
      <c r="WLN160" s="72"/>
      <c r="WLO160" s="72"/>
      <c r="WLP160" s="72"/>
      <c r="WLQ160" s="72"/>
      <c r="WLR160" s="72"/>
      <c r="WLS160" s="72"/>
      <c r="WLT160" s="72"/>
      <c r="WLU160" s="72"/>
      <c r="WLV160" s="72"/>
      <c r="WLW160" s="72"/>
      <c r="WLX160" s="72"/>
      <c r="WLY160" s="72"/>
      <c r="WLZ160" s="72"/>
      <c r="WMA160" s="72"/>
      <c r="WMB160" s="72"/>
      <c r="WMC160" s="72"/>
      <c r="WMD160" s="72"/>
      <c r="WME160" s="72"/>
      <c r="WMF160" s="72"/>
      <c r="WMG160" s="72"/>
      <c r="WMH160" s="72"/>
      <c r="WMI160" s="72"/>
      <c r="WMJ160" s="72"/>
      <c r="WMK160" s="72"/>
      <c r="WML160" s="72"/>
      <c r="WMM160" s="72"/>
      <c r="WMN160" s="72"/>
      <c r="WMO160" s="72"/>
      <c r="WMP160" s="72"/>
      <c r="WMQ160" s="72"/>
      <c r="WMR160" s="72"/>
      <c r="WMS160" s="72"/>
      <c r="WMT160" s="72"/>
      <c r="WMU160" s="72"/>
      <c r="WMV160" s="72"/>
      <c r="WMW160" s="72"/>
      <c r="WMX160" s="72"/>
      <c r="WMY160" s="72"/>
      <c r="WMZ160" s="72"/>
      <c r="WNA160" s="72"/>
      <c r="WNB160" s="72"/>
      <c r="WNC160" s="72"/>
      <c r="WND160" s="72"/>
      <c r="WNE160" s="72"/>
      <c r="WNF160" s="72"/>
      <c r="WNG160" s="72"/>
      <c r="WNH160" s="72"/>
      <c r="WNI160" s="72"/>
      <c r="WNJ160" s="72"/>
      <c r="WNK160" s="72"/>
      <c r="WNL160" s="72"/>
      <c r="WNM160" s="72"/>
      <c r="WNN160" s="72"/>
      <c r="WNO160" s="72"/>
      <c r="WNP160" s="72"/>
      <c r="WNQ160" s="72"/>
      <c r="WNR160" s="72"/>
      <c r="WNS160" s="72"/>
      <c r="WNT160" s="72"/>
      <c r="WNU160" s="72"/>
      <c r="WNV160" s="72"/>
      <c r="WNW160" s="72"/>
      <c r="WNX160" s="72"/>
      <c r="WNY160" s="72"/>
      <c r="WNZ160" s="72"/>
      <c r="WOA160" s="72"/>
      <c r="WOB160" s="72"/>
      <c r="WOC160" s="72"/>
      <c r="WOD160" s="72"/>
      <c r="WOE160" s="72"/>
      <c r="WOF160" s="72"/>
      <c r="WOG160" s="72"/>
      <c r="WOH160" s="72"/>
      <c r="WOI160" s="72"/>
      <c r="WOJ160" s="72"/>
      <c r="WOK160" s="72"/>
      <c r="WOL160" s="72"/>
      <c r="WOM160" s="72"/>
      <c r="WON160" s="72"/>
      <c r="WOO160" s="72"/>
      <c r="WOP160" s="72"/>
      <c r="WOQ160" s="72"/>
      <c r="WOR160" s="72"/>
      <c r="WOS160" s="72"/>
      <c r="WOT160" s="72"/>
      <c r="WOU160" s="72"/>
      <c r="WOV160" s="72"/>
      <c r="WOW160" s="72"/>
      <c r="WOX160" s="72"/>
      <c r="WOY160" s="72"/>
      <c r="WOZ160" s="72"/>
      <c r="WPA160" s="72"/>
      <c r="WPB160" s="72"/>
      <c r="WPC160" s="72"/>
      <c r="WPD160" s="72"/>
      <c r="WPE160" s="72"/>
      <c r="WPF160" s="72"/>
      <c r="WPG160" s="72"/>
      <c r="WPH160" s="72"/>
      <c r="WPI160" s="72"/>
      <c r="WPJ160" s="72"/>
      <c r="WPK160" s="72"/>
      <c r="WPL160" s="72"/>
      <c r="WPM160" s="72"/>
      <c r="WPN160" s="72"/>
      <c r="WPO160" s="72"/>
      <c r="WPP160" s="72"/>
      <c r="WPQ160" s="72"/>
      <c r="WPR160" s="72"/>
      <c r="WPS160" s="72"/>
      <c r="WPT160" s="72"/>
      <c r="WPU160" s="72"/>
      <c r="WPV160" s="72"/>
      <c r="WPW160" s="72"/>
      <c r="WPX160" s="72"/>
      <c r="WPY160" s="72"/>
      <c r="WPZ160" s="72"/>
      <c r="WQA160" s="72"/>
      <c r="WQB160" s="72"/>
      <c r="WQC160" s="72"/>
      <c r="WQD160" s="72"/>
      <c r="WQE160" s="72"/>
      <c r="WQF160" s="72"/>
      <c r="WQG160" s="72"/>
      <c r="WQH160" s="72"/>
      <c r="WQI160" s="72"/>
      <c r="WQJ160" s="72"/>
      <c r="WQK160" s="72"/>
      <c r="WQL160" s="72"/>
      <c r="WQM160" s="72"/>
      <c r="WQN160" s="72"/>
      <c r="WQO160" s="72"/>
      <c r="WQP160" s="72"/>
      <c r="WQQ160" s="72"/>
      <c r="WQR160" s="72"/>
      <c r="WQS160" s="72"/>
      <c r="WQT160" s="72"/>
      <c r="WQU160" s="72"/>
      <c r="WQV160" s="72"/>
      <c r="WQW160" s="72"/>
      <c r="WQX160" s="72"/>
      <c r="WQY160" s="72"/>
      <c r="WQZ160" s="72"/>
      <c r="WRA160" s="72"/>
      <c r="WRB160" s="72"/>
      <c r="WRC160" s="72"/>
      <c r="WRD160" s="72"/>
      <c r="WRE160" s="72"/>
      <c r="WRF160" s="72"/>
      <c r="WRG160" s="72"/>
      <c r="WRH160" s="72"/>
      <c r="WRI160" s="72"/>
      <c r="WRJ160" s="72"/>
      <c r="WRK160" s="72"/>
      <c r="WRL160" s="72"/>
      <c r="WRM160" s="72"/>
      <c r="WRN160" s="72"/>
      <c r="WRO160" s="72"/>
      <c r="WRP160" s="72"/>
      <c r="WRQ160" s="72"/>
      <c r="WRR160" s="72"/>
      <c r="WRS160" s="72"/>
      <c r="WRT160" s="72"/>
      <c r="WRU160" s="72"/>
      <c r="WRV160" s="72"/>
      <c r="WRW160" s="72"/>
      <c r="WRX160" s="72"/>
      <c r="WRY160" s="72"/>
      <c r="WRZ160" s="72"/>
      <c r="WSA160" s="72"/>
      <c r="WSB160" s="72"/>
      <c r="WSC160" s="72"/>
      <c r="WSD160" s="72"/>
      <c r="WSE160" s="72"/>
      <c r="WSF160" s="72"/>
      <c r="WSG160" s="72"/>
      <c r="WSH160" s="72"/>
      <c r="WSI160" s="72"/>
      <c r="WSJ160" s="72"/>
      <c r="WSK160" s="72"/>
      <c r="WSL160" s="72"/>
      <c r="WSM160" s="72"/>
      <c r="WSN160" s="72"/>
      <c r="WSO160" s="72"/>
      <c r="WSP160" s="72"/>
      <c r="WSQ160" s="72"/>
      <c r="WSR160" s="72"/>
      <c r="WSS160" s="72"/>
      <c r="WST160" s="72"/>
      <c r="WSU160" s="72"/>
      <c r="WSV160" s="72"/>
      <c r="WSW160" s="72"/>
      <c r="WSX160" s="72"/>
      <c r="WSY160" s="72"/>
      <c r="WSZ160" s="72"/>
      <c r="WTA160" s="72"/>
      <c r="WTB160" s="72"/>
      <c r="WTC160" s="72"/>
      <c r="WTD160" s="72"/>
      <c r="WTE160" s="72"/>
      <c r="WTF160" s="72"/>
      <c r="WTG160" s="72"/>
      <c r="WTH160" s="72"/>
      <c r="WTI160" s="72"/>
      <c r="WTJ160" s="72"/>
      <c r="WTK160" s="72"/>
      <c r="WTL160" s="72"/>
      <c r="WTM160" s="72"/>
      <c r="WTN160" s="72"/>
      <c r="WTO160" s="72"/>
      <c r="WTP160" s="72"/>
      <c r="WTQ160" s="72"/>
      <c r="WTR160" s="72"/>
      <c r="WTS160" s="72"/>
      <c r="WTT160" s="72"/>
      <c r="WTU160" s="72"/>
      <c r="WTV160" s="72"/>
      <c r="WTW160" s="72"/>
      <c r="WTX160" s="72"/>
      <c r="WTY160" s="72"/>
      <c r="WTZ160" s="72"/>
      <c r="WUA160" s="72"/>
      <c r="WUB160" s="72"/>
      <c r="WUC160" s="72"/>
      <c r="WUD160" s="72"/>
      <c r="WUE160" s="72"/>
      <c r="WUF160" s="72"/>
      <c r="WUG160" s="72"/>
      <c r="WUH160" s="72"/>
      <c r="WUI160" s="72"/>
      <c r="WUJ160" s="72"/>
      <c r="WUK160" s="72"/>
      <c r="WUL160" s="72"/>
      <c r="WUM160" s="72"/>
      <c r="WUN160" s="72"/>
      <c r="WUO160" s="72"/>
      <c r="WUP160" s="72"/>
      <c r="WUQ160" s="72"/>
      <c r="WUR160" s="72"/>
      <c r="WUS160" s="72"/>
      <c r="WUT160" s="72"/>
      <c r="WUU160" s="72"/>
      <c r="WUV160" s="72"/>
      <c r="WUW160" s="72"/>
      <c r="WUX160" s="72"/>
      <c r="WUY160" s="72"/>
      <c r="WUZ160" s="72"/>
      <c r="WVA160" s="72"/>
      <c r="WVB160" s="72"/>
      <c r="WVC160" s="72"/>
      <c r="WVD160" s="72"/>
      <c r="WVE160" s="72"/>
      <c r="WVF160" s="72"/>
      <c r="WVG160" s="72"/>
      <c r="WVH160" s="72"/>
      <c r="WVI160" s="72"/>
      <c r="WVJ160" s="72"/>
      <c r="WVK160" s="72"/>
      <c r="WVL160" s="72"/>
      <c r="WVM160" s="72"/>
      <c r="WVN160" s="72"/>
      <c r="WVO160" s="72"/>
      <c r="WVP160" s="72"/>
      <c r="WVQ160" s="72"/>
      <c r="WVR160" s="72"/>
      <c r="WVS160" s="72"/>
    </row>
    <row r="161" spans="1:16139" ht="156" customHeight="1" x14ac:dyDescent="0.25">
      <c r="A161" s="73">
        <v>137</v>
      </c>
      <c r="B161" s="74" t="s">
        <v>188</v>
      </c>
      <c r="C161" s="51" t="s">
        <v>42</v>
      </c>
      <c r="D161" s="45" t="s">
        <v>45</v>
      </c>
      <c r="E161" s="45"/>
      <c r="F161" s="45">
        <v>2000</v>
      </c>
      <c r="G161" s="45">
        <v>2300</v>
      </c>
      <c r="H161" s="46">
        <f t="shared" si="50"/>
        <v>4.5999999999999996</v>
      </c>
      <c r="I161" s="45">
        <v>1</v>
      </c>
      <c r="J161" s="53">
        <v>2256000</v>
      </c>
      <c r="K161" s="47"/>
      <c r="L161" s="48">
        <f t="shared" ref="L161" si="51">IF(H161&lt;&gt;0,J161*H161*I161+K161*I161,IF(J161&lt;&gt;0,G161*I161*J161,I161*K161))</f>
        <v>10377600</v>
      </c>
      <c r="M161" s="28"/>
      <c r="N161" s="28"/>
      <c r="O161" s="28"/>
      <c r="P161" s="28"/>
      <c r="Q161" s="28"/>
      <c r="R161" s="28"/>
      <c r="S161" s="28"/>
      <c r="T161" s="28"/>
      <c r="U161" s="28"/>
      <c r="V161" s="28"/>
      <c r="W161" s="28"/>
      <c r="X161" s="28"/>
      <c r="Y161" s="28"/>
      <c r="Z161" s="28"/>
      <c r="AA161" s="28"/>
      <c r="AB161" s="28"/>
      <c r="AC161" s="28"/>
      <c r="AD161" s="28"/>
      <c r="AE161" s="28"/>
      <c r="AF161" s="28"/>
      <c r="AG161" s="28"/>
      <c r="AH161" s="28"/>
    </row>
    <row r="162" spans="1:16139" s="8" customFormat="1" ht="31.5" customHeight="1" x14ac:dyDescent="0.25">
      <c r="A162" s="132" t="s">
        <v>189</v>
      </c>
      <c r="B162" s="133"/>
      <c r="C162" s="133"/>
      <c r="D162" s="133"/>
      <c r="E162" s="134"/>
      <c r="F162" s="64"/>
      <c r="G162" s="64"/>
      <c r="H162" s="65"/>
      <c r="I162" s="45"/>
      <c r="J162" s="53"/>
      <c r="K162" s="47"/>
      <c r="L162" s="67"/>
    </row>
    <row r="163" spans="1:16139" s="3" customFormat="1" ht="159" customHeight="1" x14ac:dyDescent="0.25">
      <c r="A163" s="73">
        <v>138</v>
      </c>
      <c r="B163" s="73" t="s">
        <v>190</v>
      </c>
      <c r="C163" s="51" t="s">
        <v>40</v>
      </c>
      <c r="D163" s="45" t="s">
        <v>39</v>
      </c>
      <c r="E163" s="45" t="s">
        <v>38</v>
      </c>
      <c r="F163" s="45">
        <v>897</v>
      </c>
      <c r="G163" s="45">
        <v>1995</v>
      </c>
      <c r="H163" s="46">
        <f t="shared" ref="H163:H164" si="52">F163*G163/10^6</f>
        <v>1.789515</v>
      </c>
      <c r="I163" s="45">
        <v>1</v>
      </c>
      <c r="J163" s="53">
        <v>3445000</v>
      </c>
      <c r="K163" s="47">
        <v>1819000</v>
      </c>
      <c r="L163" s="48">
        <f t="shared" ref="L163:L164" si="53">IF(H163&lt;&gt;0,J163*H163*I163+K163*I163,IF(J163&lt;&gt;0,G163*I163*J163,I163*K163))</f>
        <v>7983879.1749999998</v>
      </c>
      <c r="M163" s="28"/>
      <c r="N163" s="28"/>
      <c r="O163" s="28"/>
      <c r="P163" s="28"/>
      <c r="Q163" s="28"/>
      <c r="R163" s="28"/>
      <c r="S163" s="28"/>
      <c r="T163" s="28"/>
      <c r="U163" s="28"/>
      <c r="V163" s="28"/>
      <c r="W163" s="28"/>
      <c r="X163" s="28"/>
      <c r="Y163" s="28"/>
      <c r="Z163" s="28"/>
      <c r="AA163" s="28"/>
      <c r="AB163" s="28"/>
      <c r="AC163" s="28"/>
      <c r="AD163" s="28"/>
      <c r="AE163" s="28"/>
      <c r="AF163" s="28"/>
    </row>
    <row r="164" spans="1:16139" s="3" customFormat="1" ht="159" customHeight="1" x14ac:dyDescent="0.25">
      <c r="A164" s="73">
        <v>139</v>
      </c>
      <c r="B164" s="73" t="s">
        <v>191</v>
      </c>
      <c r="C164" s="51" t="s">
        <v>40</v>
      </c>
      <c r="D164" s="45" t="s">
        <v>39</v>
      </c>
      <c r="E164" s="45" t="s">
        <v>38</v>
      </c>
      <c r="F164" s="45">
        <v>897</v>
      </c>
      <c r="G164" s="45">
        <v>1995</v>
      </c>
      <c r="H164" s="46">
        <f t="shared" si="52"/>
        <v>1.789515</v>
      </c>
      <c r="I164" s="45">
        <v>1</v>
      </c>
      <c r="J164" s="53">
        <v>3445000</v>
      </c>
      <c r="K164" s="47">
        <v>1819000</v>
      </c>
      <c r="L164" s="48">
        <f t="shared" si="53"/>
        <v>7983879.1749999998</v>
      </c>
      <c r="M164" s="28"/>
      <c r="N164" s="28"/>
      <c r="O164" s="28"/>
      <c r="P164" s="28"/>
      <c r="Q164" s="28"/>
      <c r="R164" s="28"/>
      <c r="S164" s="28"/>
      <c r="T164" s="28"/>
      <c r="U164" s="28"/>
      <c r="V164" s="28"/>
      <c r="W164" s="28"/>
      <c r="X164" s="28"/>
      <c r="Y164" s="28"/>
      <c r="Z164" s="28"/>
      <c r="AA164" s="28"/>
      <c r="AB164" s="28"/>
      <c r="AC164" s="28"/>
      <c r="AD164" s="28"/>
      <c r="AE164" s="28"/>
      <c r="AF164" s="28"/>
    </row>
    <row r="165" spans="1:16139" ht="146.25" customHeight="1" x14ac:dyDescent="0.25">
      <c r="A165" s="135">
        <v>140</v>
      </c>
      <c r="B165" s="137" t="s">
        <v>192</v>
      </c>
      <c r="C165" s="58" t="s">
        <v>42</v>
      </c>
      <c r="D165" s="45" t="s">
        <v>207</v>
      </c>
      <c r="E165" s="45"/>
      <c r="F165" s="45">
        <v>1617</v>
      </c>
      <c r="G165" s="45">
        <v>1245</v>
      </c>
      <c r="H165" s="46">
        <f>F165*G165/10^6</f>
        <v>2.0131649999999999</v>
      </c>
      <c r="I165" s="45">
        <v>1</v>
      </c>
      <c r="J165" s="53">
        <v>4185000</v>
      </c>
      <c r="K165" s="47"/>
      <c r="L165" s="48">
        <f>IF(H165&lt;&gt;0,J165*H165*I165+K165*I165,IF(J165&lt;&gt;0,G165*I165*J165,I165*K165))</f>
        <v>8425095.5250000004</v>
      </c>
      <c r="M165" s="28"/>
      <c r="N165" s="28"/>
      <c r="O165" s="28"/>
      <c r="P165" s="28"/>
      <c r="Q165" s="28"/>
      <c r="R165" s="28"/>
      <c r="S165" s="28"/>
      <c r="T165" s="28"/>
      <c r="U165" s="28"/>
      <c r="V165" s="28"/>
      <c r="W165" s="28"/>
      <c r="X165" s="28"/>
      <c r="Y165" s="28"/>
      <c r="Z165" s="28"/>
      <c r="AA165" s="28"/>
      <c r="AB165" s="28"/>
      <c r="AC165" s="28"/>
      <c r="AD165" s="28"/>
      <c r="AE165" s="28"/>
      <c r="AF165" s="28"/>
      <c r="AG165" s="28"/>
      <c r="AH165" s="28"/>
    </row>
    <row r="166" spans="1:16139" ht="30.75" customHeight="1" x14ac:dyDescent="0.25">
      <c r="A166" s="136"/>
      <c r="B166" s="138"/>
      <c r="C166" s="69" t="s">
        <v>201</v>
      </c>
      <c r="D166" s="59"/>
      <c r="E166" s="59"/>
      <c r="F166" s="59">
        <f>1617+1000</f>
        <v>2617</v>
      </c>
      <c r="G166" s="59"/>
      <c r="H166" s="60">
        <f t="shared" ref="H166:H175" si="54">F166*G166/10^6</f>
        <v>0</v>
      </c>
      <c r="I166" s="59">
        <v>1</v>
      </c>
      <c r="J166" s="53">
        <v>550000</v>
      </c>
      <c r="K166" s="47"/>
      <c r="L166" s="70">
        <f>F166*I166*J166/1000</f>
        <v>1439350</v>
      </c>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c r="EC166" s="72"/>
      <c r="ED166" s="72"/>
      <c r="EE166" s="72"/>
      <c r="EF166" s="72"/>
      <c r="EG166" s="72"/>
      <c r="EH166" s="72"/>
      <c r="EI166" s="72"/>
      <c r="EJ166" s="72"/>
      <c r="EK166" s="72"/>
      <c r="EL166" s="72"/>
      <c r="EM166" s="72"/>
      <c r="EN166" s="72"/>
      <c r="EO166" s="72"/>
      <c r="EP166" s="72"/>
      <c r="EQ166" s="72"/>
      <c r="ER166" s="72"/>
      <c r="ES166" s="72"/>
      <c r="ET166" s="72"/>
      <c r="EU166" s="72"/>
      <c r="EV166" s="72"/>
      <c r="EW166" s="72"/>
      <c r="EX166" s="72"/>
      <c r="EY166" s="72"/>
      <c r="EZ166" s="72"/>
      <c r="FA166" s="72"/>
      <c r="FB166" s="72"/>
      <c r="FC166" s="72"/>
      <c r="FD166" s="72"/>
      <c r="FE166" s="72"/>
      <c r="FF166" s="72"/>
      <c r="FG166" s="72"/>
      <c r="FH166" s="72"/>
      <c r="FI166" s="72"/>
      <c r="FJ166" s="72"/>
      <c r="FK166" s="72"/>
      <c r="FL166" s="72"/>
      <c r="FM166" s="72"/>
      <c r="FN166" s="72"/>
      <c r="FO166" s="72"/>
      <c r="FP166" s="72"/>
      <c r="FQ166" s="72"/>
      <c r="FR166" s="72"/>
      <c r="FS166" s="72"/>
      <c r="FT166" s="72"/>
      <c r="FU166" s="72"/>
      <c r="FV166" s="72"/>
      <c r="FW166" s="72"/>
      <c r="FX166" s="72"/>
      <c r="FY166" s="72"/>
      <c r="FZ166" s="72"/>
      <c r="GA166" s="72"/>
      <c r="GB166" s="72"/>
      <c r="GC166" s="72"/>
      <c r="GD166" s="72"/>
      <c r="GE166" s="72"/>
      <c r="GF166" s="72"/>
      <c r="GG166" s="72"/>
      <c r="GH166" s="72"/>
      <c r="GI166" s="72"/>
      <c r="GJ166" s="72"/>
      <c r="GK166" s="72"/>
      <c r="GL166" s="72"/>
      <c r="GM166" s="72"/>
      <c r="GN166" s="72"/>
      <c r="GO166" s="72"/>
      <c r="GP166" s="72"/>
      <c r="GQ166" s="72"/>
      <c r="GR166" s="72"/>
      <c r="GS166" s="72"/>
      <c r="GT166" s="72"/>
      <c r="GU166" s="72"/>
      <c r="GV166" s="72"/>
      <c r="GW166" s="72"/>
      <c r="GX166" s="72"/>
      <c r="GY166" s="72"/>
      <c r="GZ166" s="72"/>
      <c r="HA166" s="72"/>
      <c r="HB166" s="72"/>
      <c r="HC166" s="72"/>
      <c r="HD166" s="72"/>
      <c r="HE166" s="72"/>
      <c r="HF166" s="72"/>
      <c r="HG166" s="72"/>
      <c r="HH166" s="72"/>
      <c r="HI166" s="72"/>
      <c r="HJ166" s="72"/>
      <c r="HK166" s="72"/>
      <c r="HL166" s="72"/>
      <c r="HM166" s="72"/>
      <c r="HN166" s="72"/>
      <c r="HO166" s="72"/>
      <c r="HP166" s="72"/>
      <c r="HQ166" s="72"/>
      <c r="HR166" s="72"/>
      <c r="HS166" s="72"/>
      <c r="HT166" s="72"/>
      <c r="HU166" s="72"/>
      <c r="HV166" s="72"/>
      <c r="HW166" s="72"/>
      <c r="HX166" s="72"/>
      <c r="HY166" s="72"/>
      <c r="HZ166" s="72"/>
      <c r="IA166" s="72"/>
      <c r="IB166" s="72"/>
      <c r="IC166" s="72"/>
      <c r="ID166" s="72"/>
      <c r="IE166" s="72"/>
      <c r="IF166" s="72"/>
      <c r="IG166" s="72"/>
      <c r="IH166" s="72"/>
      <c r="II166" s="72"/>
      <c r="IJ166" s="72"/>
      <c r="IK166" s="72"/>
      <c r="IL166" s="72"/>
      <c r="IM166" s="72"/>
      <c r="IN166" s="72"/>
      <c r="IO166" s="72"/>
      <c r="IP166" s="72"/>
      <c r="IQ166" s="72"/>
      <c r="IR166" s="72"/>
      <c r="IS166" s="72"/>
      <c r="IT166" s="72"/>
      <c r="IU166" s="72"/>
      <c r="IV166" s="72"/>
      <c r="IW166" s="72"/>
      <c r="IX166" s="72"/>
      <c r="IY166" s="72"/>
      <c r="IZ166" s="72"/>
      <c r="JA166" s="72"/>
      <c r="JB166" s="72"/>
      <c r="JC166" s="72"/>
      <c r="JD166" s="72"/>
      <c r="JE166" s="72"/>
      <c r="JF166" s="72"/>
      <c r="JG166" s="72"/>
      <c r="JH166" s="72"/>
      <c r="JI166" s="72"/>
      <c r="JJ166" s="72"/>
      <c r="JK166" s="72"/>
      <c r="JL166" s="72"/>
      <c r="JM166" s="72"/>
      <c r="JN166" s="72"/>
      <c r="JO166" s="72"/>
      <c r="JP166" s="72"/>
      <c r="JQ166" s="72"/>
      <c r="JR166" s="72"/>
      <c r="JS166" s="72"/>
      <c r="JT166" s="72"/>
      <c r="JU166" s="72"/>
      <c r="JV166" s="72"/>
      <c r="JW166" s="72"/>
      <c r="JX166" s="72"/>
      <c r="JY166" s="72"/>
      <c r="JZ166" s="72"/>
      <c r="KA166" s="72"/>
      <c r="KB166" s="72"/>
      <c r="KC166" s="72"/>
      <c r="KD166" s="72"/>
      <c r="KE166" s="72"/>
      <c r="KF166" s="72"/>
      <c r="KG166" s="72"/>
      <c r="KH166" s="72"/>
      <c r="KI166" s="72"/>
      <c r="KJ166" s="72"/>
      <c r="KK166" s="72"/>
      <c r="KL166" s="72"/>
      <c r="KM166" s="72"/>
      <c r="KN166" s="72"/>
      <c r="KO166" s="72"/>
      <c r="KP166" s="72"/>
      <c r="KQ166" s="72"/>
      <c r="KR166" s="72"/>
      <c r="KS166" s="72"/>
      <c r="KT166" s="72"/>
      <c r="KU166" s="72"/>
      <c r="KV166" s="72"/>
      <c r="KW166" s="72"/>
      <c r="KX166" s="72"/>
      <c r="KY166" s="72"/>
      <c r="KZ166" s="72"/>
      <c r="LA166" s="72"/>
      <c r="LB166" s="72"/>
      <c r="LC166" s="72"/>
      <c r="LD166" s="72"/>
      <c r="LE166" s="72"/>
      <c r="LF166" s="72"/>
      <c r="LG166" s="72"/>
      <c r="LH166" s="72"/>
      <c r="LI166" s="72"/>
      <c r="LJ166" s="72"/>
      <c r="LK166" s="72"/>
      <c r="LL166" s="72"/>
      <c r="LM166" s="72"/>
      <c r="LN166" s="72"/>
      <c r="LO166" s="72"/>
      <c r="LP166" s="72"/>
      <c r="LQ166" s="72"/>
      <c r="LR166" s="72"/>
      <c r="LS166" s="72"/>
      <c r="LT166" s="72"/>
      <c r="LU166" s="72"/>
      <c r="LV166" s="72"/>
      <c r="LW166" s="72"/>
      <c r="LX166" s="72"/>
      <c r="LY166" s="72"/>
      <c r="LZ166" s="72"/>
      <c r="MA166" s="72"/>
      <c r="MB166" s="72"/>
      <c r="MC166" s="72"/>
      <c r="MD166" s="72"/>
      <c r="ME166" s="72"/>
      <c r="MF166" s="72"/>
      <c r="MG166" s="72"/>
      <c r="MH166" s="72"/>
      <c r="MI166" s="72"/>
      <c r="MJ166" s="72"/>
      <c r="MK166" s="72"/>
      <c r="ML166" s="72"/>
      <c r="MM166" s="72"/>
      <c r="MN166" s="72"/>
      <c r="MO166" s="72"/>
      <c r="MP166" s="72"/>
      <c r="MQ166" s="72"/>
      <c r="MR166" s="72"/>
      <c r="MS166" s="72"/>
      <c r="MT166" s="72"/>
      <c r="MU166" s="72"/>
      <c r="MV166" s="72"/>
      <c r="MW166" s="72"/>
      <c r="MX166" s="72"/>
      <c r="MY166" s="72"/>
      <c r="MZ166" s="72"/>
      <c r="NA166" s="72"/>
      <c r="NB166" s="72"/>
      <c r="NC166" s="72"/>
      <c r="ND166" s="72"/>
      <c r="NE166" s="72"/>
      <c r="NF166" s="72"/>
      <c r="NG166" s="72"/>
      <c r="NH166" s="72"/>
      <c r="NI166" s="72"/>
      <c r="NJ166" s="72"/>
      <c r="NK166" s="72"/>
      <c r="NL166" s="72"/>
      <c r="NM166" s="72"/>
      <c r="NN166" s="72"/>
      <c r="NO166" s="72"/>
      <c r="NP166" s="72"/>
      <c r="NQ166" s="72"/>
      <c r="NR166" s="72"/>
      <c r="NS166" s="72"/>
      <c r="NT166" s="72"/>
      <c r="NU166" s="72"/>
      <c r="NV166" s="72"/>
      <c r="NW166" s="72"/>
      <c r="NX166" s="72"/>
      <c r="NY166" s="72"/>
      <c r="NZ166" s="72"/>
      <c r="OA166" s="72"/>
      <c r="OB166" s="72"/>
      <c r="OC166" s="72"/>
      <c r="OD166" s="72"/>
      <c r="OE166" s="72"/>
      <c r="OF166" s="72"/>
      <c r="OG166" s="72"/>
      <c r="OH166" s="72"/>
      <c r="OI166" s="72"/>
      <c r="OJ166" s="72"/>
      <c r="OK166" s="72"/>
      <c r="OL166" s="72"/>
      <c r="OM166" s="72"/>
      <c r="ON166" s="72"/>
      <c r="OO166" s="72"/>
      <c r="OP166" s="72"/>
      <c r="OQ166" s="72"/>
      <c r="OR166" s="72"/>
      <c r="OS166" s="72"/>
      <c r="OT166" s="72"/>
      <c r="OU166" s="72"/>
      <c r="OV166" s="72"/>
      <c r="OW166" s="72"/>
      <c r="OX166" s="72"/>
      <c r="OY166" s="72"/>
      <c r="OZ166" s="72"/>
      <c r="PA166" s="72"/>
      <c r="PB166" s="72"/>
      <c r="PC166" s="72"/>
      <c r="PD166" s="72"/>
      <c r="PE166" s="72"/>
      <c r="PF166" s="72"/>
      <c r="PG166" s="72"/>
      <c r="PH166" s="72"/>
      <c r="PI166" s="72"/>
      <c r="PJ166" s="72"/>
      <c r="PK166" s="72"/>
      <c r="PL166" s="72"/>
      <c r="PM166" s="72"/>
      <c r="PN166" s="72"/>
      <c r="PO166" s="72"/>
      <c r="PP166" s="72"/>
      <c r="PQ166" s="72"/>
      <c r="PR166" s="72"/>
      <c r="PS166" s="72"/>
      <c r="PT166" s="72"/>
      <c r="PU166" s="72"/>
      <c r="PV166" s="72"/>
      <c r="PW166" s="72"/>
      <c r="PX166" s="72"/>
      <c r="PY166" s="72"/>
      <c r="PZ166" s="72"/>
      <c r="QA166" s="72"/>
      <c r="QB166" s="72"/>
      <c r="QC166" s="72"/>
      <c r="QD166" s="72"/>
      <c r="QE166" s="72"/>
      <c r="QF166" s="72"/>
      <c r="QG166" s="72"/>
      <c r="QH166" s="72"/>
      <c r="QI166" s="72"/>
      <c r="QJ166" s="72"/>
      <c r="QK166" s="72"/>
      <c r="QL166" s="72"/>
      <c r="QM166" s="72"/>
      <c r="QN166" s="72"/>
      <c r="QO166" s="72"/>
      <c r="QP166" s="72"/>
      <c r="QQ166" s="72"/>
      <c r="QR166" s="72"/>
      <c r="QS166" s="72"/>
      <c r="QT166" s="72"/>
      <c r="QU166" s="72"/>
      <c r="QV166" s="72"/>
      <c r="QW166" s="72"/>
      <c r="QX166" s="72"/>
      <c r="QY166" s="72"/>
      <c r="QZ166" s="72"/>
      <c r="RA166" s="72"/>
      <c r="RB166" s="72"/>
      <c r="RC166" s="72"/>
      <c r="RD166" s="72"/>
      <c r="RE166" s="72"/>
      <c r="RF166" s="72"/>
      <c r="RG166" s="72"/>
      <c r="RH166" s="72"/>
      <c r="RI166" s="72"/>
      <c r="RJ166" s="72"/>
      <c r="RK166" s="72"/>
      <c r="RL166" s="72"/>
      <c r="RM166" s="72"/>
      <c r="RN166" s="72"/>
      <c r="RO166" s="72"/>
      <c r="RP166" s="72"/>
      <c r="RQ166" s="72"/>
      <c r="RR166" s="72"/>
      <c r="RS166" s="72"/>
      <c r="RT166" s="72"/>
      <c r="RU166" s="72"/>
      <c r="RV166" s="72"/>
      <c r="RW166" s="72"/>
      <c r="RX166" s="72"/>
      <c r="RY166" s="72"/>
      <c r="RZ166" s="72"/>
      <c r="SA166" s="72"/>
      <c r="SB166" s="72"/>
      <c r="SC166" s="72"/>
      <c r="SD166" s="72"/>
      <c r="SE166" s="72"/>
      <c r="SF166" s="72"/>
      <c r="SG166" s="72"/>
      <c r="SH166" s="72"/>
      <c r="SI166" s="72"/>
      <c r="SJ166" s="72"/>
      <c r="SK166" s="72"/>
      <c r="SL166" s="72"/>
      <c r="SM166" s="72"/>
      <c r="SN166" s="72"/>
      <c r="SO166" s="72"/>
      <c r="SP166" s="72"/>
      <c r="SQ166" s="72"/>
      <c r="SR166" s="72"/>
      <c r="SS166" s="72"/>
      <c r="ST166" s="72"/>
      <c r="SU166" s="72"/>
      <c r="SV166" s="72"/>
      <c r="SW166" s="72"/>
      <c r="SX166" s="72"/>
      <c r="SY166" s="72"/>
      <c r="SZ166" s="72"/>
      <c r="TA166" s="72"/>
      <c r="TB166" s="72"/>
      <c r="TC166" s="72"/>
      <c r="TD166" s="72"/>
      <c r="TE166" s="72"/>
      <c r="TF166" s="72"/>
      <c r="TG166" s="72"/>
      <c r="TH166" s="72"/>
      <c r="TI166" s="72"/>
      <c r="TJ166" s="72"/>
      <c r="TK166" s="72"/>
      <c r="TL166" s="72"/>
      <c r="TM166" s="72"/>
      <c r="TN166" s="72"/>
      <c r="TO166" s="72"/>
      <c r="TP166" s="72"/>
      <c r="TQ166" s="72"/>
      <c r="TR166" s="72"/>
      <c r="TS166" s="72"/>
      <c r="TT166" s="72"/>
      <c r="TU166" s="72"/>
      <c r="TV166" s="72"/>
      <c r="TW166" s="72"/>
      <c r="TX166" s="72"/>
      <c r="TY166" s="72"/>
      <c r="TZ166" s="72"/>
      <c r="UA166" s="72"/>
      <c r="UB166" s="72"/>
      <c r="UC166" s="72"/>
      <c r="UD166" s="72"/>
      <c r="UE166" s="72"/>
      <c r="UF166" s="72"/>
      <c r="UG166" s="72"/>
      <c r="UH166" s="72"/>
      <c r="UI166" s="72"/>
      <c r="UJ166" s="72"/>
      <c r="UK166" s="72"/>
      <c r="UL166" s="72"/>
      <c r="UM166" s="72"/>
      <c r="UN166" s="72"/>
      <c r="UO166" s="72"/>
      <c r="UP166" s="72"/>
      <c r="UQ166" s="72"/>
      <c r="UR166" s="72"/>
      <c r="US166" s="72"/>
      <c r="UT166" s="72"/>
      <c r="UU166" s="72"/>
      <c r="UV166" s="72"/>
      <c r="UW166" s="72"/>
      <c r="UX166" s="72"/>
      <c r="UY166" s="72"/>
      <c r="UZ166" s="72"/>
      <c r="VA166" s="72"/>
      <c r="VB166" s="72"/>
      <c r="VC166" s="72"/>
      <c r="VD166" s="72"/>
      <c r="VE166" s="72"/>
      <c r="VF166" s="72"/>
      <c r="VG166" s="72"/>
      <c r="VH166" s="72"/>
      <c r="VI166" s="72"/>
      <c r="VJ166" s="72"/>
      <c r="VK166" s="72"/>
      <c r="VL166" s="72"/>
      <c r="VM166" s="72"/>
      <c r="VN166" s="72"/>
      <c r="VO166" s="72"/>
      <c r="VP166" s="72"/>
      <c r="VQ166" s="72"/>
      <c r="VR166" s="72"/>
      <c r="VS166" s="72"/>
      <c r="VT166" s="72"/>
      <c r="VU166" s="72"/>
      <c r="VV166" s="72"/>
      <c r="VW166" s="72"/>
      <c r="VX166" s="72"/>
      <c r="VY166" s="72"/>
      <c r="VZ166" s="72"/>
      <c r="WA166" s="72"/>
      <c r="WB166" s="72"/>
      <c r="WC166" s="72"/>
      <c r="WD166" s="72"/>
      <c r="WE166" s="72"/>
      <c r="WF166" s="72"/>
      <c r="WG166" s="72"/>
      <c r="WH166" s="72"/>
      <c r="WI166" s="72"/>
      <c r="WJ166" s="72"/>
      <c r="WK166" s="72"/>
      <c r="WL166" s="72"/>
      <c r="WM166" s="72"/>
      <c r="WN166" s="72"/>
      <c r="WO166" s="72"/>
      <c r="WP166" s="72"/>
      <c r="WQ166" s="72"/>
      <c r="WR166" s="72"/>
      <c r="WS166" s="72"/>
      <c r="WT166" s="72"/>
      <c r="WU166" s="72"/>
      <c r="WV166" s="72"/>
      <c r="WW166" s="72"/>
      <c r="WX166" s="72"/>
      <c r="WY166" s="72"/>
      <c r="WZ166" s="72"/>
      <c r="XA166" s="72"/>
      <c r="XB166" s="72"/>
      <c r="XC166" s="72"/>
      <c r="XD166" s="72"/>
      <c r="XE166" s="72"/>
      <c r="XF166" s="72"/>
      <c r="XG166" s="72"/>
      <c r="XH166" s="72"/>
      <c r="XI166" s="72"/>
      <c r="XJ166" s="72"/>
      <c r="XK166" s="72"/>
      <c r="XL166" s="72"/>
      <c r="XM166" s="72"/>
      <c r="XN166" s="72"/>
      <c r="XO166" s="72"/>
      <c r="XP166" s="72"/>
      <c r="XQ166" s="72"/>
      <c r="XR166" s="72"/>
      <c r="XS166" s="72"/>
      <c r="XT166" s="72"/>
      <c r="XU166" s="72"/>
      <c r="XV166" s="72"/>
      <c r="XW166" s="72"/>
      <c r="XX166" s="72"/>
      <c r="XY166" s="72"/>
      <c r="XZ166" s="72"/>
      <c r="YA166" s="72"/>
      <c r="YB166" s="72"/>
      <c r="YC166" s="72"/>
      <c r="YD166" s="72"/>
      <c r="YE166" s="72"/>
      <c r="YF166" s="72"/>
      <c r="YG166" s="72"/>
      <c r="YH166" s="72"/>
      <c r="YI166" s="72"/>
      <c r="YJ166" s="72"/>
      <c r="YK166" s="72"/>
      <c r="YL166" s="72"/>
      <c r="YM166" s="72"/>
      <c r="YN166" s="72"/>
      <c r="YO166" s="72"/>
      <c r="YP166" s="72"/>
      <c r="YQ166" s="72"/>
      <c r="YR166" s="72"/>
      <c r="YS166" s="72"/>
      <c r="YT166" s="72"/>
      <c r="YU166" s="72"/>
      <c r="YV166" s="72"/>
      <c r="YW166" s="72"/>
      <c r="YX166" s="72"/>
      <c r="YY166" s="72"/>
      <c r="YZ166" s="72"/>
      <c r="ZA166" s="72"/>
      <c r="ZB166" s="72"/>
      <c r="ZC166" s="72"/>
      <c r="ZD166" s="72"/>
      <c r="ZE166" s="72"/>
      <c r="ZF166" s="72"/>
      <c r="ZG166" s="72"/>
      <c r="ZH166" s="72"/>
      <c r="ZI166" s="72"/>
      <c r="ZJ166" s="72"/>
      <c r="ZK166" s="72"/>
      <c r="ZL166" s="72"/>
      <c r="ZM166" s="72"/>
      <c r="ZN166" s="72"/>
      <c r="ZO166" s="72"/>
      <c r="ZP166" s="72"/>
      <c r="ZQ166" s="72"/>
      <c r="ZR166" s="72"/>
      <c r="ZS166" s="72"/>
      <c r="ZT166" s="72"/>
      <c r="ZU166" s="72"/>
      <c r="ZV166" s="72"/>
      <c r="ZW166" s="72"/>
      <c r="ZX166" s="72"/>
      <c r="ZY166" s="72"/>
      <c r="ZZ166" s="72"/>
      <c r="AAA166" s="72"/>
      <c r="AAB166" s="72"/>
      <c r="AAC166" s="72"/>
      <c r="AAD166" s="72"/>
      <c r="AAE166" s="72"/>
      <c r="AAF166" s="72"/>
      <c r="AAG166" s="72"/>
      <c r="AAH166" s="72"/>
      <c r="AAI166" s="72"/>
      <c r="AAJ166" s="72"/>
      <c r="AAK166" s="72"/>
      <c r="AAL166" s="72"/>
      <c r="AAM166" s="72"/>
      <c r="AAN166" s="72"/>
      <c r="AAO166" s="72"/>
      <c r="AAP166" s="72"/>
      <c r="AAQ166" s="72"/>
      <c r="AAR166" s="72"/>
      <c r="AAS166" s="72"/>
      <c r="AAT166" s="72"/>
      <c r="AAU166" s="72"/>
      <c r="AAV166" s="72"/>
      <c r="AAW166" s="72"/>
      <c r="AAX166" s="72"/>
      <c r="AAY166" s="72"/>
      <c r="AAZ166" s="72"/>
      <c r="ABA166" s="72"/>
      <c r="ABB166" s="72"/>
      <c r="ABC166" s="72"/>
      <c r="ABD166" s="72"/>
      <c r="ABE166" s="72"/>
      <c r="ABF166" s="72"/>
      <c r="ABG166" s="72"/>
      <c r="ABH166" s="72"/>
      <c r="ABI166" s="72"/>
      <c r="ABJ166" s="72"/>
      <c r="ABK166" s="72"/>
      <c r="ABL166" s="72"/>
      <c r="ABM166" s="72"/>
      <c r="ABN166" s="72"/>
      <c r="ABO166" s="72"/>
      <c r="ABP166" s="72"/>
      <c r="ABQ166" s="72"/>
      <c r="ABR166" s="72"/>
      <c r="ABS166" s="72"/>
      <c r="ABT166" s="72"/>
      <c r="ABU166" s="72"/>
      <c r="ABV166" s="72"/>
      <c r="ABW166" s="72"/>
      <c r="ABX166" s="72"/>
      <c r="ABY166" s="72"/>
      <c r="ABZ166" s="72"/>
      <c r="ACA166" s="72"/>
      <c r="ACB166" s="72"/>
      <c r="ACC166" s="72"/>
      <c r="ACD166" s="72"/>
      <c r="ACE166" s="72"/>
      <c r="ACF166" s="72"/>
      <c r="ACG166" s="72"/>
      <c r="ACH166" s="72"/>
      <c r="ACI166" s="72"/>
      <c r="ACJ166" s="72"/>
      <c r="ACK166" s="72"/>
      <c r="ACL166" s="72"/>
      <c r="ACM166" s="72"/>
      <c r="ACN166" s="72"/>
      <c r="ACO166" s="72"/>
      <c r="ACP166" s="72"/>
      <c r="ACQ166" s="72"/>
      <c r="ACR166" s="72"/>
      <c r="ACS166" s="72"/>
      <c r="ACT166" s="72"/>
      <c r="ACU166" s="72"/>
      <c r="ACV166" s="72"/>
      <c r="ACW166" s="72"/>
      <c r="ACX166" s="72"/>
      <c r="ACY166" s="72"/>
      <c r="ACZ166" s="72"/>
      <c r="ADA166" s="72"/>
      <c r="ADB166" s="72"/>
      <c r="ADC166" s="72"/>
      <c r="ADD166" s="72"/>
      <c r="ADE166" s="72"/>
      <c r="ADF166" s="72"/>
      <c r="ADG166" s="72"/>
      <c r="ADH166" s="72"/>
      <c r="ADI166" s="72"/>
      <c r="ADJ166" s="72"/>
      <c r="ADK166" s="72"/>
      <c r="ADL166" s="72"/>
      <c r="ADM166" s="72"/>
      <c r="ADN166" s="72"/>
      <c r="ADO166" s="72"/>
      <c r="ADP166" s="72"/>
      <c r="ADQ166" s="72"/>
      <c r="ADR166" s="72"/>
      <c r="ADS166" s="72"/>
      <c r="ADT166" s="72"/>
      <c r="ADU166" s="72"/>
      <c r="ADV166" s="72"/>
      <c r="ADW166" s="72"/>
      <c r="ADX166" s="72"/>
      <c r="ADY166" s="72"/>
      <c r="ADZ166" s="72"/>
      <c r="AEA166" s="72"/>
      <c r="AEB166" s="72"/>
      <c r="AEC166" s="72"/>
      <c r="AED166" s="72"/>
      <c r="AEE166" s="72"/>
      <c r="AEF166" s="72"/>
      <c r="AEG166" s="72"/>
      <c r="AEH166" s="72"/>
      <c r="AEI166" s="72"/>
      <c r="AEJ166" s="72"/>
      <c r="AEK166" s="72"/>
      <c r="AEL166" s="72"/>
      <c r="AEM166" s="72"/>
      <c r="AEN166" s="72"/>
      <c r="AEO166" s="72"/>
      <c r="AEP166" s="72"/>
      <c r="AEQ166" s="72"/>
      <c r="AER166" s="72"/>
      <c r="AES166" s="72"/>
      <c r="AET166" s="72"/>
      <c r="AEU166" s="72"/>
      <c r="AEV166" s="72"/>
      <c r="AEW166" s="72"/>
      <c r="AEX166" s="72"/>
      <c r="AEY166" s="72"/>
      <c r="AEZ166" s="72"/>
      <c r="AFA166" s="72"/>
      <c r="AFB166" s="72"/>
      <c r="AFC166" s="72"/>
      <c r="AFD166" s="72"/>
      <c r="AFE166" s="72"/>
      <c r="AFF166" s="72"/>
      <c r="AFG166" s="72"/>
      <c r="AFH166" s="72"/>
      <c r="AFI166" s="72"/>
      <c r="AFJ166" s="72"/>
      <c r="AFK166" s="72"/>
      <c r="AFL166" s="72"/>
      <c r="AFM166" s="72"/>
      <c r="AFN166" s="72"/>
      <c r="AFO166" s="72"/>
      <c r="AFP166" s="72"/>
      <c r="AFQ166" s="72"/>
      <c r="AFR166" s="72"/>
      <c r="AFS166" s="72"/>
      <c r="AFT166" s="72"/>
      <c r="AFU166" s="72"/>
      <c r="AFV166" s="72"/>
      <c r="AFW166" s="72"/>
      <c r="AFX166" s="72"/>
      <c r="AFY166" s="72"/>
      <c r="AFZ166" s="72"/>
      <c r="AGA166" s="72"/>
      <c r="AGB166" s="72"/>
      <c r="AGC166" s="72"/>
      <c r="AGD166" s="72"/>
      <c r="AGE166" s="72"/>
      <c r="AGF166" s="72"/>
      <c r="AGG166" s="72"/>
      <c r="AGH166" s="72"/>
      <c r="AGI166" s="72"/>
      <c r="AGJ166" s="72"/>
      <c r="AGK166" s="72"/>
      <c r="AGL166" s="72"/>
      <c r="AGM166" s="72"/>
      <c r="AGN166" s="72"/>
      <c r="AGO166" s="72"/>
      <c r="AGP166" s="72"/>
      <c r="AGQ166" s="72"/>
      <c r="AGR166" s="72"/>
      <c r="AGS166" s="72"/>
      <c r="AGT166" s="72"/>
      <c r="AGU166" s="72"/>
      <c r="AGV166" s="72"/>
      <c r="AGW166" s="72"/>
      <c r="AGX166" s="72"/>
      <c r="AGY166" s="72"/>
      <c r="AGZ166" s="72"/>
      <c r="AHA166" s="72"/>
      <c r="AHB166" s="72"/>
      <c r="AHC166" s="72"/>
      <c r="AHD166" s="72"/>
      <c r="AHE166" s="72"/>
      <c r="AHF166" s="72"/>
      <c r="AHG166" s="72"/>
      <c r="AHH166" s="72"/>
      <c r="AHI166" s="72"/>
      <c r="AHJ166" s="72"/>
      <c r="AHK166" s="72"/>
      <c r="AHL166" s="72"/>
      <c r="AHM166" s="72"/>
      <c r="AHN166" s="72"/>
      <c r="AHO166" s="72"/>
      <c r="AHP166" s="72"/>
      <c r="AHQ166" s="72"/>
      <c r="AHR166" s="72"/>
      <c r="AHS166" s="72"/>
      <c r="AHT166" s="72"/>
      <c r="AHU166" s="72"/>
      <c r="AHV166" s="72"/>
      <c r="AHW166" s="72"/>
      <c r="AHX166" s="72"/>
      <c r="AHY166" s="72"/>
      <c r="AHZ166" s="72"/>
      <c r="AIA166" s="72"/>
      <c r="AIB166" s="72"/>
      <c r="AIC166" s="72"/>
      <c r="AID166" s="72"/>
      <c r="AIE166" s="72"/>
      <c r="AIF166" s="72"/>
      <c r="AIG166" s="72"/>
      <c r="AIH166" s="72"/>
      <c r="AII166" s="72"/>
      <c r="AIJ166" s="72"/>
      <c r="AIK166" s="72"/>
      <c r="AIL166" s="72"/>
      <c r="AIM166" s="72"/>
      <c r="AIN166" s="72"/>
      <c r="AIO166" s="72"/>
      <c r="AIP166" s="72"/>
      <c r="AIQ166" s="72"/>
      <c r="AIR166" s="72"/>
      <c r="AIS166" s="72"/>
      <c r="AIT166" s="72"/>
      <c r="AIU166" s="72"/>
      <c r="AIV166" s="72"/>
      <c r="AIW166" s="72"/>
      <c r="AIX166" s="72"/>
      <c r="AIY166" s="72"/>
      <c r="AIZ166" s="72"/>
      <c r="AJA166" s="72"/>
      <c r="AJB166" s="72"/>
      <c r="AJC166" s="72"/>
      <c r="AJD166" s="72"/>
      <c r="AJE166" s="72"/>
      <c r="AJF166" s="72"/>
      <c r="AJG166" s="72"/>
      <c r="AJH166" s="72"/>
      <c r="AJI166" s="72"/>
      <c r="AJJ166" s="72"/>
      <c r="AJK166" s="72"/>
      <c r="AJL166" s="72"/>
      <c r="AJM166" s="72"/>
      <c r="AJN166" s="72"/>
      <c r="AJO166" s="72"/>
      <c r="AJP166" s="72"/>
      <c r="AJQ166" s="72"/>
      <c r="AJR166" s="72"/>
      <c r="AJS166" s="72"/>
      <c r="AJT166" s="72"/>
      <c r="AJU166" s="72"/>
      <c r="AJV166" s="72"/>
      <c r="AJW166" s="72"/>
      <c r="AJX166" s="72"/>
      <c r="AJY166" s="72"/>
      <c r="AJZ166" s="72"/>
      <c r="AKA166" s="72"/>
      <c r="AKB166" s="72"/>
      <c r="AKC166" s="72"/>
      <c r="AKD166" s="72"/>
      <c r="AKE166" s="72"/>
      <c r="AKF166" s="72"/>
      <c r="AKG166" s="72"/>
      <c r="AKH166" s="72"/>
      <c r="AKI166" s="72"/>
      <c r="AKJ166" s="72"/>
      <c r="AKK166" s="72"/>
      <c r="AKL166" s="72"/>
      <c r="AKM166" s="72"/>
      <c r="AKN166" s="72"/>
      <c r="AKO166" s="72"/>
      <c r="AKP166" s="72"/>
      <c r="AKQ166" s="72"/>
      <c r="AKR166" s="72"/>
      <c r="AKS166" s="72"/>
      <c r="AKT166" s="72"/>
      <c r="AKU166" s="72"/>
      <c r="AKV166" s="72"/>
      <c r="AKW166" s="72"/>
      <c r="AKX166" s="72"/>
      <c r="AKY166" s="72"/>
      <c r="AKZ166" s="72"/>
      <c r="ALA166" s="72"/>
      <c r="ALB166" s="72"/>
      <c r="ALC166" s="72"/>
      <c r="ALD166" s="72"/>
      <c r="ALE166" s="72"/>
      <c r="ALF166" s="72"/>
      <c r="ALG166" s="72"/>
      <c r="ALH166" s="72"/>
      <c r="ALI166" s="72"/>
      <c r="ALJ166" s="72"/>
      <c r="ALK166" s="72"/>
      <c r="ALL166" s="72"/>
      <c r="ALM166" s="72"/>
      <c r="ALN166" s="72"/>
      <c r="ALO166" s="72"/>
      <c r="ALP166" s="72"/>
      <c r="ALQ166" s="72"/>
      <c r="ALR166" s="72"/>
      <c r="ALS166" s="72"/>
      <c r="ALT166" s="72"/>
      <c r="ALU166" s="72"/>
      <c r="ALV166" s="72"/>
      <c r="ALW166" s="72"/>
      <c r="ALX166" s="72"/>
      <c r="ALY166" s="72"/>
      <c r="ALZ166" s="72"/>
      <c r="AMA166" s="72"/>
      <c r="AMB166" s="72"/>
      <c r="AMC166" s="72"/>
      <c r="AMD166" s="72"/>
      <c r="AME166" s="72"/>
      <c r="AMF166" s="72"/>
      <c r="AMG166" s="72"/>
      <c r="AMH166" s="72"/>
      <c r="AMI166" s="72"/>
      <c r="AMJ166" s="72"/>
      <c r="AMK166" s="72"/>
      <c r="AML166" s="72"/>
      <c r="AMM166" s="72"/>
      <c r="AMN166" s="72"/>
      <c r="AMO166" s="72"/>
      <c r="AMP166" s="72"/>
      <c r="AMQ166" s="72"/>
      <c r="AMR166" s="72"/>
      <c r="AMS166" s="72"/>
      <c r="AMT166" s="72"/>
      <c r="AMU166" s="72"/>
      <c r="AMV166" s="72"/>
      <c r="AMW166" s="72"/>
      <c r="AMX166" s="72"/>
      <c r="AMY166" s="72"/>
      <c r="AMZ166" s="72"/>
      <c r="ANA166" s="72"/>
      <c r="ANB166" s="72"/>
      <c r="ANC166" s="72"/>
      <c r="AND166" s="72"/>
      <c r="ANE166" s="72"/>
      <c r="ANF166" s="72"/>
      <c r="ANG166" s="72"/>
      <c r="ANH166" s="72"/>
      <c r="ANI166" s="72"/>
      <c r="ANJ166" s="72"/>
      <c r="ANK166" s="72"/>
      <c r="ANL166" s="72"/>
      <c r="ANM166" s="72"/>
      <c r="ANN166" s="72"/>
      <c r="ANO166" s="72"/>
      <c r="ANP166" s="72"/>
      <c r="ANQ166" s="72"/>
      <c r="ANR166" s="72"/>
      <c r="ANS166" s="72"/>
      <c r="ANT166" s="72"/>
      <c r="ANU166" s="72"/>
      <c r="ANV166" s="72"/>
      <c r="ANW166" s="72"/>
      <c r="ANX166" s="72"/>
      <c r="ANY166" s="72"/>
      <c r="ANZ166" s="72"/>
      <c r="AOA166" s="72"/>
      <c r="AOB166" s="72"/>
      <c r="AOC166" s="72"/>
      <c r="AOD166" s="72"/>
      <c r="AOE166" s="72"/>
      <c r="AOF166" s="72"/>
      <c r="AOG166" s="72"/>
      <c r="AOH166" s="72"/>
      <c r="AOI166" s="72"/>
      <c r="AOJ166" s="72"/>
      <c r="AOK166" s="72"/>
      <c r="AOL166" s="72"/>
      <c r="AOM166" s="72"/>
      <c r="AON166" s="72"/>
      <c r="AOO166" s="72"/>
      <c r="AOP166" s="72"/>
      <c r="AOQ166" s="72"/>
      <c r="AOR166" s="72"/>
      <c r="AOS166" s="72"/>
      <c r="AOT166" s="72"/>
      <c r="AOU166" s="72"/>
      <c r="AOV166" s="72"/>
      <c r="AOW166" s="72"/>
      <c r="AOX166" s="72"/>
      <c r="AOY166" s="72"/>
      <c r="AOZ166" s="72"/>
      <c r="APA166" s="72"/>
      <c r="APB166" s="72"/>
      <c r="APC166" s="72"/>
      <c r="APD166" s="72"/>
      <c r="APE166" s="72"/>
      <c r="APF166" s="72"/>
      <c r="APG166" s="72"/>
      <c r="APH166" s="72"/>
      <c r="API166" s="72"/>
      <c r="APJ166" s="72"/>
      <c r="APK166" s="72"/>
      <c r="APL166" s="72"/>
      <c r="APM166" s="72"/>
      <c r="APN166" s="72"/>
      <c r="APO166" s="72"/>
      <c r="APP166" s="72"/>
      <c r="APQ166" s="72"/>
      <c r="APR166" s="72"/>
      <c r="APS166" s="72"/>
      <c r="APT166" s="72"/>
      <c r="APU166" s="72"/>
      <c r="APV166" s="72"/>
      <c r="APW166" s="72"/>
      <c r="APX166" s="72"/>
      <c r="APY166" s="72"/>
      <c r="APZ166" s="72"/>
      <c r="AQA166" s="72"/>
      <c r="AQB166" s="72"/>
      <c r="AQC166" s="72"/>
      <c r="AQD166" s="72"/>
      <c r="AQE166" s="72"/>
      <c r="AQF166" s="72"/>
      <c r="AQG166" s="72"/>
      <c r="AQH166" s="72"/>
      <c r="AQI166" s="72"/>
      <c r="AQJ166" s="72"/>
      <c r="AQK166" s="72"/>
      <c r="AQL166" s="72"/>
      <c r="AQM166" s="72"/>
      <c r="AQN166" s="72"/>
      <c r="AQO166" s="72"/>
      <c r="AQP166" s="72"/>
      <c r="AQQ166" s="72"/>
      <c r="AQR166" s="72"/>
      <c r="AQS166" s="72"/>
      <c r="AQT166" s="72"/>
      <c r="AQU166" s="72"/>
      <c r="AQV166" s="72"/>
      <c r="AQW166" s="72"/>
      <c r="AQX166" s="72"/>
      <c r="AQY166" s="72"/>
      <c r="AQZ166" s="72"/>
      <c r="ARA166" s="72"/>
      <c r="ARB166" s="72"/>
      <c r="ARC166" s="72"/>
      <c r="ARD166" s="72"/>
      <c r="ARE166" s="72"/>
      <c r="ARF166" s="72"/>
      <c r="ARG166" s="72"/>
      <c r="ARH166" s="72"/>
      <c r="ARI166" s="72"/>
      <c r="ARJ166" s="72"/>
      <c r="ARK166" s="72"/>
      <c r="ARL166" s="72"/>
      <c r="ARM166" s="72"/>
      <c r="ARN166" s="72"/>
      <c r="ARO166" s="72"/>
      <c r="ARP166" s="72"/>
      <c r="ARQ166" s="72"/>
      <c r="ARR166" s="72"/>
      <c r="ARS166" s="72"/>
      <c r="ART166" s="72"/>
      <c r="ARU166" s="72"/>
      <c r="ARV166" s="72"/>
      <c r="ARW166" s="72"/>
      <c r="ARX166" s="72"/>
      <c r="ARY166" s="72"/>
      <c r="ARZ166" s="72"/>
      <c r="ASA166" s="72"/>
      <c r="ASB166" s="72"/>
      <c r="ASC166" s="72"/>
      <c r="ASD166" s="72"/>
      <c r="ASE166" s="72"/>
      <c r="ASF166" s="72"/>
      <c r="ASG166" s="72"/>
      <c r="ASH166" s="72"/>
      <c r="ASI166" s="72"/>
      <c r="ASJ166" s="72"/>
      <c r="ASK166" s="72"/>
      <c r="ASL166" s="72"/>
      <c r="ASM166" s="72"/>
      <c r="ASN166" s="72"/>
      <c r="ASO166" s="72"/>
      <c r="ASP166" s="72"/>
      <c r="ASQ166" s="72"/>
      <c r="ASR166" s="72"/>
      <c r="ASS166" s="72"/>
      <c r="AST166" s="72"/>
      <c r="ASU166" s="72"/>
      <c r="ASV166" s="72"/>
      <c r="ASW166" s="72"/>
      <c r="ASX166" s="72"/>
      <c r="ASY166" s="72"/>
      <c r="ASZ166" s="72"/>
      <c r="ATA166" s="72"/>
      <c r="ATB166" s="72"/>
      <c r="ATC166" s="72"/>
      <c r="ATD166" s="72"/>
      <c r="ATE166" s="72"/>
      <c r="ATF166" s="72"/>
      <c r="ATG166" s="72"/>
      <c r="ATH166" s="72"/>
      <c r="ATI166" s="72"/>
      <c r="ATJ166" s="72"/>
      <c r="ATK166" s="72"/>
      <c r="ATL166" s="72"/>
      <c r="ATM166" s="72"/>
      <c r="ATN166" s="72"/>
      <c r="ATO166" s="72"/>
      <c r="ATP166" s="72"/>
      <c r="ATQ166" s="72"/>
      <c r="ATR166" s="72"/>
      <c r="ATS166" s="72"/>
      <c r="ATT166" s="72"/>
      <c r="ATU166" s="72"/>
      <c r="ATV166" s="72"/>
      <c r="ATW166" s="72"/>
      <c r="ATX166" s="72"/>
      <c r="ATY166" s="72"/>
      <c r="ATZ166" s="72"/>
      <c r="AUA166" s="72"/>
      <c r="AUB166" s="72"/>
      <c r="AUC166" s="72"/>
      <c r="AUD166" s="72"/>
      <c r="AUE166" s="72"/>
      <c r="AUF166" s="72"/>
      <c r="AUG166" s="72"/>
      <c r="AUH166" s="72"/>
      <c r="AUI166" s="72"/>
      <c r="AUJ166" s="72"/>
      <c r="AUK166" s="72"/>
      <c r="AUL166" s="72"/>
      <c r="AUM166" s="72"/>
      <c r="AUN166" s="72"/>
      <c r="AUO166" s="72"/>
      <c r="AUP166" s="72"/>
      <c r="AUQ166" s="72"/>
      <c r="AUR166" s="72"/>
      <c r="AUS166" s="72"/>
      <c r="AUT166" s="72"/>
      <c r="AUU166" s="72"/>
      <c r="AUV166" s="72"/>
      <c r="AUW166" s="72"/>
      <c r="AUX166" s="72"/>
      <c r="AUY166" s="72"/>
      <c r="AUZ166" s="72"/>
      <c r="AVA166" s="72"/>
      <c r="AVB166" s="72"/>
      <c r="AVC166" s="72"/>
      <c r="AVD166" s="72"/>
      <c r="AVE166" s="72"/>
      <c r="AVF166" s="72"/>
      <c r="AVG166" s="72"/>
      <c r="AVH166" s="72"/>
      <c r="AVI166" s="72"/>
      <c r="AVJ166" s="72"/>
      <c r="AVK166" s="72"/>
      <c r="AVL166" s="72"/>
      <c r="AVM166" s="72"/>
      <c r="AVN166" s="72"/>
      <c r="AVO166" s="72"/>
      <c r="AVP166" s="72"/>
      <c r="AVQ166" s="72"/>
      <c r="AVR166" s="72"/>
      <c r="AVS166" s="72"/>
      <c r="AVT166" s="72"/>
      <c r="AVU166" s="72"/>
      <c r="AVV166" s="72"/>
      <c r="AVW166" s="72"/>
      <c r="AVX166" s="72"/>
      <c r="AVY166" s="72"/>
      <c r="AVZ166" s="72"/>
      <c r="AWA166" s="72"/>
      <c r="AWB166" s="72"/>
      <c r="AWC166" s="72"/>
      <c r="AWD166" s="72"/>
      <c r="AWE166" s="72"/>
      <c r="AWF166" s="72"/>
      <c r="AWG166" s="72"/>
      <c r="AWH166" s="72"/>
      <c r="AWI166" s="72"/>
      <c r="AWJ166" s="72"/>
      <c r="AWK166" s="72"/>
      <c r="AWL166" s="72"/>
      <c r="AWM166" s="72"/>
      <c r="AWN166" s="72"/>
      <c r="AWO166" s="72"/>
      <c r="AWP166" s="72"/>
      <c r="AWQ166" s="72"/>
      <c r="AWR166" s="72"/>
      <c r="AWS166" s="72"/>
      <c r="AWT166" s="72"/>
      <c r="AWU166" s="72"/>
      <c r="AWV166" s="72"/>
      <c r="AWW166" s="72"/>
      <c r="AWX166" s="72"/>
      <c r="AWY166" s="72"/>
      <c r="AWZ166" s="72"/>
      <c r="AXA166" s="72"/>
      <c r="AXB166" s="72"/>
      <c r="AXC166" s="72"/>
      <c r="AXD166" s="72"/>
      <c r="AXE166" s="72"/>
      <c r="AXF166" s="72"/>
      <c r="AXG166" s="72"/>
      <c r="AXH166" s="72"/>
      <c r="AXI166" s="72"/>
      <c r="AXJ166" s="72"/>
      <c r="AXK166" s="72"/>
      <c r="AXL166" s="72"/>
      <c r="AXM166" s="72"/>
      <c r="AXN166" s="72"/>
      <c r="AXO166" s="72"/>
      <c r="AXP166" s="72"/>
      <c r="AXQ166" s="72"/>
      <c r="AXR166" s="72"/>
      <c r="AXS166" s="72"/>
      <c r="AXT166" s="72"/>
      <c r="AXU166" s="72"/>
      <c r="AXV166" s="72"/>
      <c r="AXW166" s="72"/>
      <c r="AXX166" s="72"/>
      <c r="AXY166" s="72"/>
      <c r="AXZ166" s="72"/>
      <c r="AYA166" s="72"/>
      <c r="AYB166" s="72"/>
      <c r="AYC166" s="72"/>
      <c r="AYD166" s="72"/>
      <c r="AYE166" s="72"/>
      <c r="AYF166" s="72"/>
      <c r="AYG166" s="72"/>
      <c r="AYH166" s="72"/>
      <c r="AYI166" s="72"/>
      <c r="AYJ166" s="72"/>
      <c r="AYK166" s="72"/>
      <c r="AYL166" s="72"/>
      <c r="AYM166" s="72"/>
      <c r="AYN166" s="72"/>
      <c r="AYO166" s="72"/>
      <c r="AYP166" s="72"/>
      <c r="AYQ166" s="72"/>
      <c r="AYR166" s="72"/>
      <c r="AYS166" s="72"/>
      <c r="AYT166" s="72"/>
      <c r="AYU166" s="72"/>
      <c r="AYV166" s="72"/>
      <c r="AYW166" s="72"/>
      <c r="AYX166" s="72"/>
      <c r="AYY166" s="72"/>
      <c r="AYZ166" s="72"/>
      <c r="AZA166" s="72"/>
      <c r="AZB166" s="72"/>
      <c r="AZC166" s="72"/>
      <c r="AZD166" s="72"/>
      <c r="AZE166" s="72"/>
      <c r="AZF166" s="72"/>
      <c r="AZG166" s="72"/>
      <c r="AZH166" s="72"/>
      <c r="AZI166" s="72"/>
      <c r="AZJ166" s="72"/>
      <c r="AZK166" s="72"/>
      <c r="AZL166" s="72"/>
      <c r="AZM166" s="72"/>
      <c r="AZN166" s="72"/>
      <c r="AZO166" s="72"/>
      <c r="AZP166" s="72"/>
      <c r="AZQ166" s="72"/>
      <c r="AZR166" s="72"/>
      <c r="AZS166" s="72"/>
      <c r="AZT166" s="72"/>
      <c r="AZU166" s="72"/>
      <c r="AZV166" s="72"/>
      <c r="AZW166" s="72"/>
      <c r="AZX166" s="72"/>
      <c r="AZY166" s="72"/>
      <c r="AZZ166" s="72"/>
      <c r="BAA166" s="72"/>
      <c r="BAB166" s="72"/>
      <c r="BAC166" s="72"/>
      <c r="BAD166" s="72"/>
      <c r="BAE166" s="72"/>
      <c r="BAF166" s="72"/>
      <c r="BAG166" s="72"/>
      <c r="BAH166" s="72"/>
      <c r="BAI166" s="72"/>
      <c r="BAJ166" s="72"/>
      <c r="BAK166" s="72"/>
      <c r="BAL166" s="72"/>
      <c r="BAM166" s="72"/>
      <c r="BAN166" s="72"/>
      <c r="BAO166" s="72"/>
      <c r="BAP166" s="72"/>
      <c r="BAQ166" s="72"/>
      <c r="BAR166" s="72"/>
      <c r="BAS166" s="72"/>
      <c r="BAT166" s="72"/>
      <c r="BAU166" s="72"/>
      <c r="BAV166" s="72"/>
      <c r="BAW166" s="72"/>
      <c r="BAX166" s="72"/>
      <c r="BAY166" s="72"/>
      <c r="BAZ166" s="72"/>
      <c r="BBA166" s="72"/>
      <c r="BBB166" s="72"/>
      <c r="BBC166" s="72"/>
      <c r="BBD166" s="72"/>
      <c r="BBE166" s="72"/>
      <c r="BBF166" s="72"/>
      <c r="BBG166" s="72"/>
      <c r="BBH166" s="72"/>
      <c r="BBI166" s="72"/>
      <c r="BBJ166" s="72"/>
      <c r="BBK166" s="72"/>
      <c r="BBL166" s="72"/>
      <c r="BBM166" s="72"/>
      <c r="BBN166" s="72"/>
      <c r="BBO166" s="72"/>
      <c r="BBP166" s="72"/>
      <c r="BBQ166" s="72"/>
      <c r="BBR166" s="72"/>
      <c r="BBS166" s="72"/>
      <c r="BBT166" s="72"/>
      <c r="BBU166" s="72"/>
      <c r="BBV166" s="72"/>
      <c r="BBW166" s="72"/>
      <c r="BBX166" s="72"/>
      <c r="BBY166" s="72"/>
      <c r="BBZ166" s="72"/>
      <c r="BCA166" s="72"/>
      <c r="BCB166" s="72"/>
      <c r="BCC166" s="72"/>
      <c r="BCD166" s="72"/>
      <c r="BCE166" s="72"/>
      <c r="BCF166" s="72"/>
      <c r="BCG166" s="72"/>
      <c r="BCH166" s="72"/>
      <c r="BCI166" s="72"/>
      <c r="BCJ166" s="72"/>
      <c r="BCK166" s="72"/>
      <c r="BCL166" s="72"/>
      <c r="BCM166" s="72"/>
      <c r="BCN166" s="72"/>
      <c r="BCO166" s="72"/>
      <c r="BCP166" s="72"/>
      <c r="BCQ166" s="72"/>
      <c r="BCR166" s="72"/>
      <c r="BCS166" s="72"/>
      <c r="BCT166" s="72"/>
      <c r="BCU166" s="72"/>
      <c r="BCV166" s="72"/>
      <c r="BCW166" s="72"/>
      <c r="BCX166" s="72"/>
      <c r="BCY166" s="72"/>
      <c r="BCZ166" s="72"/>
      <c r="BDA166" s="72"/>
      <c r="BDB166" s="72"/>
      <c r="BDC166" s="72"/>
      <c r="BDD166" s="72"/>
      <c r="BDE166" s="72"/>
      <c r="BDF166" s="72"/>
      <c r="BDG166" s="72"/>
      <c r="BDH166" s="72"/>
      <c r="BDI166" s="72"/>
      <c r="BDJ166" s="72"/>
      <c r="BDK166" s="72"/>
      <c r="BDL166" s="72"/>
      <c r="BDM166" s="72"/>
      <c r="BDN166" s="72"/>
      <c r="BDO166" s="72"/>
      <c r="BDP166" s="72"/>
      <c r="BDQ166" s="72"/>
      <c r="BDR166" s="72"/>
      <c r="BDS166" s="72"/>
      <c r="BDT166" s="72"/>
      <c r="BDU166" s="72"/>
      <c r="BDV166" s="72"/>
      <c r="BDW166" s="72"/>
      <c r="BDX166" s="72"/>
      <c r="BDY166" s="72"/>
      <c r="BDZ166" s="72"/>
      <c r="BEA166" s="72"/>
      <c r="BEB166" s="72"/>
      <c r="BEC166" s="72"/>
      <c r="BED166" s="72"/>
      <c r="BEE166" s="72"/>
      <c r="BEF166" s="72"/>
      <c r="BEG166" s="72"/>
      <c r="BEH166" s="72"/>
      <c r="BEI166" s="72"/>
      <c r="BEJ166" s="72"/>
      <c r="BEK166" s="72"/>
      <c r="BEL166" s="72"/>
      <c r="BEM166" s="72"/>
      <c r="BEN166" s="72"/>
      <c r="BEO166" s="72"/>
      <c r="BEP166" s="72"/>
      <c r="BEQ166" s="72"/>
      <c r="BER166" s="72"/>
      <c r="BES166" s="72"/>
      <c r="BET166" s="72"/>
      <c r="BEU166" s="72"/>
      <c r="BEV166" s="72"/>
      <c r="BEW166" s="72"/>
      <c r="BEX166" s="72"/>
      <c r="BEY166" s="72"/>
      <c r="BEZ166" s="72"/>
      <c r="BFA166" s="72"/>
      <c r="BFB166" s="72"/>
      <c r="BFC166" s="72"/>
      <c r="BFD166" s="72"/>
      <c r="BFE166" s="72"/>
      <c r="BFF166" s="72"/>
      <c r="BFG166" s="72"/>
      <c r="BFH166" s="72"/>
      <c r="BFI166" s="72"/>
      <c r="BFJ166" s="72"/>
      <c r="BFK166" s="72"/>
      <c r="BFL166" s="72"/>
      <c r="BFM166" s="72"/>
      <c r="BFN166" s="72"/>
      <c r="BFO166" s="72"/>
      <c r="BFP166" s="72"/>
      <c r="BFQ166" s="72"/>
      <c r="BFR166" s="72"/>
      <c r="BFS166" s="72"/>
      <c r="BFT166" s="72"/>
      <c r="BFU166" s="72"/>
      <c r="BFV166" s="72"/>
      <c r="BFW166" s="72"/>
      <c r="BFX166" s="72"/>
      <c r="BFY166" s="72"/>
      <c r="BFZ166" s="72"/>
      <c r="BGA166" s="72"/>
      <c r="BGB166" s="72"/>
      <c r="BGC166" s="72"/>
      <c r="BGD166" s="72"/>
      <c r="BGE166" s="72"/>
      <c r="BGF166" s="72"/>
      <c r="BGG166" s="72"/>
      <c r="BGH166" s="72"/>
      <c r="BGI166" s="72"/>
      <c r="BGJ166" s="72"/>
      <c r="BGK166" s="72"/>
      <c r="BGL166" s="72"/>
      <c r="BGM166" s="72"/>
      <c r="BGN166" s="72"/>
      <c r="BGO166" s="72"/>
      <c r="BGP166" s="72"/>
      <c r="BGQ166" s="72"/>
      <c r="BGR166" s="72"/>
      <c r="BGS166" s="72"/>
      <c r="BGT166" s="72"/>
      <c r="BGU166" s="72"/>
      <c r="BGV166" s="72"/>
      <c r="BGW166" s="72"/>
      <c r="BGX166" s="72"/>
      <c r="BGY166" s="72"/>
      <c r="BGZ166" s="72"/>
      <c r="BHA166" s="72"/>
      <c r="BHB166" s="72"/>
      <c r="BHC166" s="72"/>
      <c r="BHD166" s="72"/>
      <c r="BHE166" s="72"/>
      <c r="BHF166" s="72"/>
      <c r="BHG166" s="72"/>
      <c r="BHH166" s="72"/>
      <c r="BHI166" s="72"/>
      <c r="BHJ166" s="72"/>
      <c r="BHK166" s="72"/>
      <c r="BHL166" s="72"/>
      <c r="BHM166" s="72"/>
      <c r="BHN166" s="72"/>
      <c r="BHO166" s="72"/>
      <c r="BHP166" s="72"/>
      <c r="BHQ166" s="72"/>
      <c r="BHR166" s="72"/>
      <c r="BHS166" s="72"/>
      <c r="BHT166" s="72"/>
      <c r="BHU166" s="72"/>
      <c r="BHV166" s="72"/>
      <c r="BHW166" s="72"/>
      <c r="BHX166" s="72"/>
      <c r="BHY166" s="72"/>
      <c r="BHZ166" s="72"/>
      <c r="BIA166" s="72"/>
      <c r="BIB166" s="72"/>
      <c r="BIC166" s="72"/>
      <c r="BID166" s="72"/>
      <c r="BIE166" s="72"/>
      <c r="BIF166" s="72"/>
      <c r="BIG166" s="72"/>
      <c r="BIH166" s="72"/>
      <c r="BII166" s="72"/>
      <c r="BIJ166" s="72"/>
      <c r="BIK166" s="72"/>
      <c r="BIL166" s="72"/>
      <c r="BIM166" s="72"/>
      <c r="BIN166" s="72"/>
      <c r="BIO166" s="72"/>
      <c r="BIP166" s="72"/>
      <c r="BIQ166" s="72"/>
      <c r="BIR166" s="72"/>
      <c r="BIS166" s="72"/>
      <c r="BIT166" s="72"/>
      <c r="BIU166" s="72"/>
      <c r="BIV166" s="72"/>
      <c r="BIW166" s="72"/>
      <c r="BIX166" s="72"/>
      <c r="BIY166" s="72"/>
      <c r="BIZ166" s="72"/>
      <c r="BJA166" s="72"/>
      <c r="BJB166" s="72"/>
      <c r="BJC166" s="72"/>
      <c r="BJD166" s="72"/>
      <c r="BJE166" s="72"/>
      <c r="BJF166" s="72"/>
      <c r="BJG166" s="72"/>
      <c r="BJH166" s="72"/>
      <c r="BJI166" s="72"/>
      <c r="BJJ166" s="72"/>
      <c r="BJK166" s="72"/>
      <c r="BJL166" s="72"/>
      <c r="BJM166" s="72"/>
      <c r="BJN166" s="72"/>
      <c r="BJO166" s="72"/>
      <c r="BJP166" s="72"/>
      <c r="BJQ166" s="72"/>
      <c r="BJR166" s="72"/>
      <c r="BJS166" s="72"/>
      <c r="BJT166" s="72"/>
      <c r="BJU166" s="72"/>
      <c r="BJV166" s="72"/>
      <c r="BJW166" s="72"/>
      <c r="BJX166" s="72"/>
      <c r="BJY166" s="72"/>
      <c r="BJZ166" s="72"/>
      <c r="BKA166" s="72"/>
      <c r="BKB166" s="72"/>
      <c r="BKC166" s="72"/>
      <c r="BKD166" s="72"/>
      <c r="BKE166" s="72"/>
      <c r="BKF166" s="72"/>
      <c r="BKG166" s="72"/>
      <c r="BKH166" s="72"/>
      <c r="BKI166" s="72"/>
      <c r="BKJ166" s="72"/>
      <c r="BKK166" s="72"/>
      <c r="BKL166" s="72"/>
      <c r="BKM166" s="72"/>
      <c r="BKN166" s="72"/>
      <c r="BKO166" s="72"/>
      <c r="BKP166" s="72"/>
      <c r="BKQ166" s="72"/>
      <c r="BKR166" s="72"/>
      <c r="BKS166" s="72"/>
      <c r="BKT166" s="72"/>
      <c r="BKU166" s="72"/>
      <c r="BKV166" s="72"/>
      <c r="BKW166" s="72"/>
      <c r="BKX166" s="72"/>
      <c r="BKY166" s="72"/>
      <c r="BKZ166" s="72"/>
      <c r="BLA166" s="72"/>
      <c r="BLB166" s="72"/>
      <c r="BLC166" s="72"/>
      <c r="BLD166" s="72"/>
      <c r="BLE166" s="72"/>
      <c r="BLF166" s="72"/>
      <c r="BLG166" s="72"/>
      <c r="BLH166" s="72"/>
      <c r="BLI166" s="72"/>
      <c r="BLJ166" s="72"/>
      <c r="BLK166" s="72"/>
      <c r="BLL166" s="72"/>
      <c r="BLM166" s="72"/>
      <c r="BLN166" s="72"/>
      <c r="BLO166" s="72"/>
      <c r="BLP166" s="72"/>
      <c r="BLQ166" s="72"/>
      <c r="BLR166" s="72"/>
      <c r="BLS166" s="72"/>
      <c r="BLT166" s="72"/>
      <c r="BLU166" s="72"/>
      <c r="BLV166" s="72"/>
      <c r="BLW166" s="72"/>
      <c r="BLX166" s="72"/>
      <c r="BLY166" s="72"/>
      <c r="BLZ166" s="72"/>
      <c r="BMA166" s="72"/>
      <c r="BMB166" s="72"/>
      <c r="BMC166" s="72"/>
      <c r="BMD166" s="72"/>
      <c r="BME166" s="72"/>
      <c r="BMF166" s="72"/>
      <c r="BMG166" s="72"/>
      <c r="BMH166" s="72"/>
      <c r="BMI166" s="72"/>
      <c r="BMJ166" s="72"/>
      <c r="BMK166" s="72"/>
      <c r="BML166" s="72"/>
      <c r="BMM166" s="72"/>
      <c r="BMN166" s="72"/>
      <c r="BMO166" s="72"/>
      <c r="BMP166" s="72"/>
      <c r="BMQ166" s="72"/>
      <c r="BMR166" s="72"/>
      <c r="BMS166" s="72"/>
      <c r="BMT166" s="72"/>
      <c r="BMU166" s="72"/>
      <c r="BMV166" s="72"/>
      <c r="BMW166" s="72"/>
      <c r="BMX166" s="72"/>
      <c r="BMY166" s="72"/>
      <c r="BMZ166" s="72"/>
      <c r="BNA166" s="72"/>
      <c r="BNB166" s="72"/>
      <c r="BNC166" s="72"/>
      <c r="BND166" s="72"/>
      <c r="BNE166" s="72"/>
      <c r="BNF166" s="72"/>
      <c r="BNG166" s="72"/>
      <c r="BNH166" s="72"/>
      <c r="BNI166" s="72"/>
      <c r="BNJ166" s="72"/>
      <c r="BNK166" s="72"/>
      <c r="BNL166" s="72"/>
      <c r="BNM166" s="72"/>
      <c r="BNN166" s="72"/>
      <c r="BNO166" s="72"/>
      <c r="BNP166" s="72"/>
      <c r="BNQ166" s="72"/>
      <c r="BNR166" s="72"/>
      <c r="BNS166" s="72"/>
      <c r="BNT166" s="72"/>
      <c r="BNU166" s="72"/>
      <c r="BNV166" s="72"/>
      <c r="BNW166" s="72"/>
      <c r="BNX166" s="72"/>
      <c r="BNY166" s="72"/>
      <c r="BNZ166" s="72"/>
      <c r="BOA166" s="72"/>
      <c r="BOB166" s="72"/>
      <c r="BOC166" s="72"/>
      <c r="BOD166" s="72"/>
      <c r="BOE166" s="72"/>
      <c r="BOF166" s="72"/>
      <c r="BOG166" s="72"/>
      <c r="BOH166" s="72"/>
      <c r="BOI166" s="72"/>
      <c r="BOJ166" s="72"/>
      <c r="BOK166" s="72"/>
      <c r="BOL166" s="72"/>
      <c r="BOM166" s="72"/>
      <c r="BON166" s="72"/>
      <c r="BOO166" s="72"/>
      <c r="BOP166" s="72"/>
      <c r="BOQ166" s="72"/>
      <c r="BOR166" s="72"/>
      <c r="BOS166" s="72"/>
      <c r="BOT166" s="72"/>
      <c r="BOU166" s="72"/>
      <c r="BOV166" s="72"/>
      <c r="BOW166" s="72"/>
      <c r="BOX166" s="72"/>
      <c r="BOY166" s="72"/>
      <c r="BOZ166" s="72"/>
      <c r="BPA166" s="72"/>
      <c r="BPB166" s="72"/>
      <c r="BPC166" s="72"/>
      <c r="BPD166" s="72"/>
      <c r="BPE166" s="72"/>
      <c r="BPF166" s="72"/>
      <c r="BPG166" s="72"/>
      <c r="BPH166" s="72"/>
      <c r="BPI166" s="72"/>
      <c r="BPJ166" s="72"/>
      <c r="BPK166" s="72"/>
      <c r="BPL166" s="72"/>
      <c r="BPM166" s="72"/>
      <c r="BPN166" s="72"/>
      <c r="BPO166" s="72"/>
      <c r="BPP166" s="72"/>
      <c r="BPQ166" s="72"/>
      <c r="BPR166" s="72"/>
      <c r="BPS166" s="72"/>
      <c r="BPT166" s="72"/>
      <c r="BPU166" s="72"/>
      <c r="BPV166" s="72"/>
      <c r="BPW166" s="72"/>
      <c r="BPX166" s="72"/>
      <c r="BPY166" s="72"/>
      <c r="BPZ166" s="72"/>
      <c r="BQA166" s="72"/>
      <c r="BQB166" s="72"/>
      <c r="BQC166" s="72"/>
      <c r="BQD166" s="72"/>
      <c r="BQE166" s="72"/>
      <c r="BQF166" s="72"/>
      <c r="BQG166" s="72"/>
      <c r="BQH166" s="72"/>
      <c r="BQI166" s="72"/>
      <c r="BQJ166" s="72"/>
      <c r="BQK166" s="72"/>
      <c r="BQL166" s="72"/>
      <c r="BQM166" s="72"/>
      <c r="BQN166" s="72"/>
      <c r="BQO166" s="72"/>
      <c r="BQP166" s="72"/>
      <c r="BQQ166" s="72"/>
      <c r="BQR166" s="72"/>
      <c r="BQS166" s="72"/>
      <c r="BQT166" s="72"/>
      <c r="BQU166" s="72"/>
      <c r="BQV166" s="72"/>
      <c r="BQW166" s="72"/>
      <c r="BQX166" s="72"/>
      <c r="BQY166" s="72"/>
      <c r="BQZ166" s="72"/>
      <c r="BRA166" s="72"/>
      <c r="BRB166" s="72"/>
      <c r="BRC166" s="72"/>
      <c r="BRD166" s="72"/>
      <c r="BRE166" s="72"/>
      <c r="BRF166" s="72"/>
      <c r="BRG166" s="72"/>
      <c r="BRH166" s="72"/>
      <c r="BRI166" s="72"/>
      <c r="BRJ166" s="72"/>
      <c r="BRK166" s="72"/>
      <c r="BRL166" s="72"/>
      <c r="BRM166" s="72"/>
      <c r="BRN166" s="72"/>
      <c r="BRO166" s="72"/>
      <c r="BRP166" s="72"/>
      <c r="BRQ166" s="72"/>
      <c r="BRR166" s="72"/>
      <c r="BRS166" s="72"/>
      <c r="BRT166" s="72"/>
      <c r="BRU166" s="72"/>
      <c r="BRV166" s="72"/>
      <c r="BRW166" s="72"/>
      <c r="BRX166" s="72"/>
      <c r="BRY166" s="72"/>
      <c r="BRZ166" s="72"/>
      <c r="BSA166" s="72"/>
      <c r="BSB166" s="72"/>
      <c r="BSC166" s="72"/>
      <c r="BSD166" s="72"/>
      <c r="BSE166" s="72"/>
      <c r="BSF166" s="72"/>
      <c r="BSG166" s="72"/>
      <c r="BSH166" s="72"/>
      <c r="BSI166" s="72"/>
      <c r="BSJ166" s="72"/>
      <c r="BSK166" s="72"/>
      <c r="BSL166" s="72"/>
      <c r="BSM166" s="72"/>
      <c r="BSN166" s="72"/>
      <c r="BSO166" s="72"/>
      <c r="BSP166" s="72"/>
      <c r="BSQ166" s="72"/>
      <c r="BSR166" s="72"/>
      <c r="BSS166" s="72"/>
      <c r="BST166" s="72"/>
      <c r="BSU166" s="72"/>
      <c r="BSV166" s="72"/>
      <c r="BSW166" s="72"/>
      <c r="BSX166" s="72"/>
      <c r="BSY166" s="72"/>
      <c r="BSZ166" s="72"/>
      <c r="BTA166" s="72"/>
      <c r="BTB166" s="72"/>
      <c r="BTC166" s="72"/>
      <c r="BTD166" s="72"/>
      <c r="BTE166" s="72"/>
      <c r="BTF166" s="72"/>
      <c r="BTG166" s="72"/>
      <c r="BTH166" s="72"/>
      <c r="BTI166" s="72"/>
      <c r="BTJ166" s="72"/>
      <c r="BTK166" s="72"/>
      <c r="BTL166" s="72"/>
      <c r="BTM166" s="72"/>
      <c r="BTN166" s="72"/>
      <c r="BTO166" s="72"/>
      <c r="BTP166" s="72"/>
      <c r="BTQ166" s="72"/>
      <c r="BTR166" s="72"/>
      <c r="BTS166" s="72"/>
      <c r="BTT166" s="72"/>
      <c r="BTU166" s="72"/>
      <c r="BTV166" s="72"/>
      <c r="BTW166" s="72"/>
      <c r="BTX166" s="72"/>
      <c r="BTY166" s="72"/>
      <c r="BTZ166" s="72"/>
      <c r="BUA166" s="72"/>
      <c r="BUB166" s="72"/>
      <c r="BUC166" s="72"/>
      <c r="BUD166" s="72"/>
      <c r="BUE166" s="72"/>
      <c r="BUF166" s="72"/>
      <c r="BUG166" s="72"/>
      <c r="BUH166" s="72"/>
      <c r="BUI166" s="72"/>
      <c r="BUJ166" s="72"/>
      <c r="BUK166" s="72"/>
      <c r="BUL166" s="72"/>
      <c r="BUM166" s="72"/>
      <c r="BUN166" s="72"/>
      <c r="BUO166" s="72"/>
      <c r="BUP166" s="72"/>
      <c r="BUQ166" s="72"/>
      <c r="BUR166" s="72"/>
      <c r="BUS166" s="72"/>
      <c r="BUT166" s="72"/>
      <c r="BUU166" s="72"/>
      <c r="BUV166" s="72"/>
      <c r="BUW166" s="72"/>
      <c r="BUX166" s="72"/>
      <c r="BUY166" s="72"/>
      <c r="BUZ166" s="72"/>
      <c r="BVA166" s="72"/>
      <c r="BVB166" s="72"/>
      <c r="BVC166" s="72"/>
      <c r="BVD166" s="72"/>
      <c r="BVE166" s="72"/>
      <c r="BVF166" s="72"/>
      <c r="BVG166" s="72"/>
      <c r="BVH166" s="72"/>
      <c r="BVI166" s="72"/>
      <c r="BVJ166" s="72"/>
      <c r="BVK166" s="72"/>
      <c r="BVL166" s="72"/>
      <c r="BVM166" s="72"/>
      <c r="BVN166" s="72"/>
      <c r="BVO166" s="72"/>
      <c r="BVP166" s="72"/>
      <c r="BVQ166" s="72"/>
      <c r="BVR166" s="72"/>
      <c r="BVS166" s="72"/>
      <c r="BVT166" s="72"/>
      <c r="BVU166" s="72"/>
      <c r="BVV166" s="72"/>
      <c r="BVW166" s="72"/>
      <c r="BVX166" s="72"/>
      <c r="BVY166" s="72"/>
      <c r="BVZ166" s="72"/>
      <c r="BWA166" s="72"/>
      <c r="BWB166" s="72"/>
      <c r="BWC166" s="72"/>
      <c r="BWD166" s="72"/>
      <c r="BWE166" s="72"/>
      <c r="BWF166" s="72"/>
      <c r="BWG166" s="72"/>
      <c r="BWH166" s="72"/>
      <c r="BWI166" s="72"/>
      <c r="BWJ166" s="72"/>
      <c r="BWK166" s="72"/>
      <c r="BWL166" s="72"/>
      <c r="BWM166" s="72"/>
      <c r="BWN166" s="72"/>
      <c r="BWO166" s="72"/>
      <c r="BWP166" s="72"/>
      <c r="BWQ166" s="72"/>
      <c r="BWR166" s="72"/>
      <c r="BWS166" s="72"/>
      <c r="BWT166" s="72"/>
      <c r="BWU166" s="72"/>
      <c r="BWV166" s="72"/>
      <c r="BWW166" s="72"/>
      <c r="BWX166" s="72"/>
      <c r="BWY166" s="72"/>
      <c r="BWZ166" s="72"/>
      <c r="BXA166" s="72"/>
      <c r="BXB166" s="72"/>
      <c r="BXC166" s="72"/>
      <c r="BXD166" s="72"/>
      <c r="BXE166" s="72"/>
      <c r="BXF166" s="72"/>
      <c r="BXG166" s="72"/>
      <c r="BXH166" s="72"/>
      <c r="BXI166" s="72"/>
      <c r="BXJ166" s="72"/>
      <c r="BXK166" s="72"/>
      <c r="BXL166" s="72"/>
      <c r="BXM166" s="72"/>
      <c r="BXN166" s="72"/>
      <c r="BXO166" s="72"/>
      <c r="BXP166" s="72"/>
      <c r="BXQ166" s="72"/>
      <c r="BXR166" s="72"/>
      <c r="BXS166" s="72"/>
      <c r="BXT166" s="72"/>
      <c r="BXU166" s="72"/>
      <c r="BXV166" s="72"/>
      <c r="BXW166" s="72"/>
      <c r="BXX166" s="72"/>
      <c r="BXY166" s="72"/>
      <c r="BXZ166" s="72"/>
      <c r="BYA166" s="72"/>
      <c r="BYB166" s="72"/>
      <c r="BYC166" s="72"/>
      <c r="BYD166" s="72"/>
      <c r="BYE166" s="72"/>
      <c r="BYF166" s="72"/>
      <c r="BYG166" s="72"/>
      <c r="BYH166" s="72"/>
      <c r="BYI166" s="72"/>
      <c r="BYJ166" s="72"/>
      <c r="BYK166" s="72"/>
      <c r="BYL166" s="72"/>
      <c r="BYM166" s="72"/>
      <c r="BYN166" s="72"/>
      <c r="BYO166" s="72"/>
      <c r="BYP166" s="72"/>
      <c r="BYQ166" s="72"/>
      <c r="BYR166" s="72"/>
      <c r="BYS166" s="72"/>
      <c r="BYT166" s="72"/>
      <c r="BYU166" s="72"/>
      <c r="BYV166" s="72"/>
      <c r="BYW166" s="72"/>
      <c r="BYX166" s="72"/>
      <c r="BYY166" s="72"/>
      <c r="BYZ166" s="72"/>
      <c r="BZA166" s="72"/>
      <c r="BZB166" s="72"/>
      <c r="BZC166" s="72"/>
      <c r="BZD166" s="72"/>
      <c r="BZE166" s="72"/>
      <c r="BZF166" s="72"/>
      <c r="BZG166" s="72"/>
      <c r="BZH166" s="72"/>
      <c r="BZI166" s="72"/>
      <c r="BZJ166" s="72"/>
      <c r="BZK166" s="72"/>
      <c r="BZL166" s="72"/>
      <c r="BZM166" s="72"/>
      <c r="BZN166" s="72"/>
      <c r="BZO166" s="72"/>
      <c r="BZP166" s="72"/>
      <c r="BZQ166" s="72"/>
      <c r="BZR166" s="72"/>
      <c r="BZS166" s="72"/>
      <c r="BZT166" s="72"/>
      <c r="BZU166" s="72"/>
      <c r="BZV166" s="72"/>
      <c r="BZW166" s="72"/>
      <c r="BZX166" s="72"/>
      <c r="BZY166" s="72"/>
      <c r="BZZ166" s="72"/>
      <c r="CAA166" s="72"/>
      <c r="CAB166" s="72"/>
      <c r="CAC166" s="72"/>
      <c r="CAD166" s="72"/>
      <c r="CAE166" s="72"/>
      <c r="CAF166" s="72"/>
      <c r="CAG166" s="72"/>
      <c r="CAH166" s="72"/>
      <c r="CAI166" s="72"/>
      <c r="CAJ166" s="72"/>
      <c r="CAK166" s="72"/>
      <c r="CAL166" s="72"/>
      <c r="CAM166" s="72"/>
      <c r="CAN166" s="72"/>
      <c r="CAO166" s="72"/>
      <c r="CAP166" s="72"/>
      <c r="CAQ166" s="72"/>
      <c r="CAR166" s="72"/>
      <c r="CAS166" s="72"/>
      <c r="CAT166" s="72"/>
      <c r="CAU166" s="72"/>
      <c r="CAV166" s="72"/>
      <c r="CAW166" s="72"/>
      <c r="CAX166" s="72"/>
      <c r="CAY166" s="72"/>
      <c r="CAZ166" s="72"/>
      <c r="CBA166" s="72"/>
      <c r="CBB166" s="72"/>
      <c r="CBC166" s="72"/>
      <c r="CBD166" s="72"/>
      <c r="CBE166" s="72"/>
      <c r="CBF166" s="72"/>
      <c r="CBG166" s="72"/>
      <c r="CBH166" s="72"/>
      <c r="CBI166" s="72"/>
      <c r="CBJ166" s="72"/>
      <c r="CBK166" s="72"/>
      <c r="CBL166" s="72"/>
      <c r="CBM166" s="72"/>
      <c r="CBN166" s="72"/>
      <c r="CBO166" s="72"/>
      <c r="CBP166" s="72"/>
      <c r="CBQ166" s="72"/>
      <c r="CBR166" s="72"/>
      <c r="CBS166" s="72"/>
      <c r="CBT166" s="72"/>
      <c r="CBU166" s="72"/>
      <c r="CBV166" s="72"/>
      <c r="CBW166" s="72"/>
      <c r="CBX166" s="72"/>
      <c r="CBY166" s="72"/>
      <c r="CBZ166" s="72"/>
      <c r="CCA166" s="72"/>
      <c r="CCB166" s="72"/>
      <c r="CCC166" s="72"/>
      <c r="CCD166" s="72"/>
      <c r="CCE166" s="72"/>
      <c r="CCF166" s="72"/>
      <c r="CCG166" s="72"/>
      <c r="CCH166" s="72"/>
      <c r="CCI166" s="72"/>
      <c r="CCJ166" s="72"/>
      <c r="CCK166" s="72"/>
      <c r="CCL166" s="72"/>
      <c r="CCM166" s="72"/>
      <c r="CCN166" s="72"/>
      <c r="CCO166" s="72"/>
      <c r="CCP166" s="72"/>
      <c r="CCQ166" s="72"/>
      <c r="CCR166" s="72"/>
      <c r="CCS166" s="72"/>
      <c r="CCT166" s="72"/>
      <c r="CCU166" s="72"/>
      <c r="CCV166" s="72"/>
      <c r="CCW166" s="72"/>
      <c r="CCX166" s="72"/>
      <c r="CCY166" s="72"/>
      <c r="CCZ166" s="72"/>
      <c r="CDA166" s="72"/>
      <c r="CDB166" s="72"/>
      <c r="CDC166" s="72"/>
      <c r="CDD166" s="72"/>
      <c r="CDE166" s="72"/>
      <c r="CDF166" s="72"/>
      <c r="CDG166" s="72"/>
      <c r="CDH166" s="72"/>
      <c r="CDI166" s="72"/>
      <c r="CDJ166" s="72"/>
      <c r="CDK166" s="72"/>
      <c r="CDL166" s="72"/>
      <c r="CDM166" s="72"/>
      <c r="CDN166" s="72"/>
      <c r="CDO166" s="72"/>
      <c r="CDP166" s="72"/>
      <c r="CDQ166" s="72"/>
      <c r="CDR166" s="72"/>
      <c r="CDS166" s="72"/>
      <c r="CDT166" s="72"/>
      <c r="CDU166" s="72"/>
      <c r="CDV166" s="72"/>
      <c r="CDW166" s="72"/>
      <c r="CDX166" s="72"/>
      <c r="CDY166" s="72"/>
      <c r="CDZ166" s="72"/>
      <c r="CEA166" s="72"/>
      <c r="CEB166" s="72"/>
      <c r="CEC166" s="72"/>
      <c r="CED166" s="72"/>
      <c r="CEE166" s="72"/>
      <c r="CEF166" s="72"/>
      <c r="CEG166" s="72"/>
      <c r="CEH166" s="72"/>
      <c r="CEI166" s="72"/>
      <c r="CEJ166" s="72"/>
      <c r="CEK166" s="72"/>
      <c r="CEL166" s="72"/>
      <c r="CEM166" s="72"/>
      <c r="CEN166" s="72"/>
      <c r="CEO166" s="72"/>
      <c r="CEP166" s="72"/>
      <c r="CEQ166" s="72"/>
      <c r="CER166" s="72"/>
      <c r="CES166" s="72"/>
      <c r="CET166" s="72"/>
      <c r="CEU166" s="72"/>
      <c r="CEV166" s="72"/>
      <c r="CEW166" s="72"/>
      <c r="CEX166" s="72"/>
      <c r="CEY166" s="72"/>
      <c r="CEZ166" s="72"/>
      <c r="CFA166" s="72"/>
      <c r="CFB166" s="72"/>
      <c r="CFC166" s="72"/>
      <c r="CFD166" s="72"/>
      <c r="CFE166" s="72"/>
      <c r="CFF166" s="72"/>
      <c r="CFG166" s="72"/>
      <c r="CFH166" s="72"/>
      <c r="CFI166" s="72"/>
      <c r="CFJ166" s="72"/>
      <c r="CFK166" s="72"/>
      <c r="CFL166" s="72"/>
      <c r="CFM166" s="72"/>
      <c r="CFN166" s="72"/>
      <c r="CFO166" s="72"/>
      <c r="CFP166" s="72"/>
      <c r="CFQ166" s="72"/>
      <c r="CFR166" s="72"/>
      <c r="CFS166" s="72"/>
      <c r="CFT166" s="72"/>
      <c r="CFU166" s="72"/>
      <c r="CFV166" s="72"/>
      <c r="CFW166" s="72"/>
      <c r="CFX166" s="72"/>
      <c r="CFY166" s="72"/>
      <c r="CFZ166" s="72"/>
      <c r="CGA166" s="72"/>
      <c r="CGB166" s="72"/>
      <c r="CGC166" s="72"/>
      <c r="CGD166" s="72"/>
      <c r="CGE166" s="72"/>
      <c r="CGF166" s="72"/>
      <c r="CGG166" s="72"/>
      <c r="CGH166" s="72"/>
      <c r="CGI166" s="72"/>
      <c r="CGJ166" s="72"/>
      <c r="CGK166" s="72"/>
      <c r="CGL166" s="72"/>
      <c r="CGM166" s="72"/>
      <c r="CGN166" s="72"/>
      <c r="CGO166" s="72"/>
      <c r="CGP166" s="72"/>
      <c r="CGQ166" s="72"/>
      <c r="CGR166" s="72"/>
      <c r="CGS166" s="72"/>
      <c r="CGT166" s="72"/>
      <c r="CGU166" s="72"/>
      <c r="CGV166" s="72"/>
      <c r="CGW166" s="72"/>
      <c r="CGX166" s="72"/>
      <c r="CGY166" s="72"/>
      <c r="CGZ166" s="72"/>
      <c r="CHA166" s="72"/>
      <c r="CHB166" s="72"/>
      <c r="CHC166" s="72"/>
      <c r="CHD166" s="72"/>
      <c r="CHE166" s="72"/>
      <c r="CHF166" s="72"/>
      <c r="CHG166" s="72"/>
      <c r="CHH166" s="72"/>
      <c r="CHI166" s="72"/>
      <c r="CHJ166" s="72"/>
      <c r="CHK166" s="72"/>
      <c r="CHL166" s="72"/>
      <c r="CHM166" s="72"/>
      <c r="CHN166" s="72"/>
      <c r="CHO166" s="72"/>
      <c r="CHP166" s="72"/>
      <c r="CHQ166" s="72"/>
      <c r="CHR166" s="72"/>
      <c r="CHS166" s="72"/>
      <c r="CHT166" s="72"/>
      <c r="CHU166" s="72"/>
      <c r="CHV166" s="72"/>
      <c r="CHW166" s="72"/>
      <c r="CHX166" s="72"/>
      <c r="CHY166" s="72"/>
      <c r="CHZ166" s="72"/>
      <c r="CIA166" s="72"/>
      <c r="CIB166" s="72"/>
      <c r="CIC166" s="72"/>
      <c r="CID166" s="72"/>
      <c r="CIE166" s="72"/>
      <c r="CIF166" s="72"/>
      <c r="CIG166" s="72"/>
      <c r="CIH166" s="72"/>
      <c r="CII166" s="72"/>
      <c r="CIJ166" s="72"/>
      <c r="CIK166" s="72"/>
      <c r="CIL166" s="72"/>
      <c r="CIM166" s="72"/>
      <c r="CIN166" s="72"/>
      <c r="CIO166" s="72"/>
      <c r="CIP166" s="72"/>
      <c r="CIQ166" s="72"/>
      <c r="CIR166" s="72"/>
      <c r="CIS166" s="72"/>
      <c r="CIT166" s="72"/>
      <c r="CIU166" s="72"/>
      <c r="CIV166" s="72"/>
      <c r="CIW166" s="72"/>
      <c r="CIX166" s="72"/>
      <c r="CIY166" s="72"/>
      <c r="CIZ166" s="72"/>
      <c r="CJA166" s="72"/>
      <c r="CJB166" s="72"/>
      <c r="CJC166" s="72"/>
      <c r="CJD166" s="72"/>
      <c r="CJE166" s="72"/>
      <c r="CJF166" s="72"/>
      <c r="CJG166" s="72"/>
      <c r="CJH166" s="72"/>
      <c r="CJI166" s="72"/>
      <c r="CJJ166" s="72"/>
      <c r="CJK166" s="72"/>
      <c r="CJL166" s="72"/>
      <c r="CJM166" s="72"/>
      <c r="CJN166" s="72"/>
      <c r="CJO166" s="72"/>
      <c r="CJP166" s="72"/>
      <c r="CJQ166" s="72"/>
      <c r="CJR166" s="72"/>
      <c r="CJS166" s="72"/>
      <c r="CJT166" s="72"/>
      <c r="CJU166" s="72"/>
      <c r="CJV166" s="72"/>
      <c r="CJW166" s="72"/>
      <c r="CJX166" s="72"/>
      <c r="CJY166" s="72"/>
      <c r="CJZ166" s="72"/>
      <c r="CKA166" s="72"/>
      <c r="CKB166" s="72"/>
      <c r="CKC166" s="72"/>
      <c r="CKD166" s="72"/>
      <c r="CKE166" s="72"/>
      <c r="CKF166" s="72"/>
      <c r="CKG166" s="72"/>
      <c r="CKH166" s="72"/>
      <c r="CKI166" s="72"/>
      <c r="CKJ166" s="72"/>
      <c r="CKK166" s="72"/>
      <c r="CKL166" s="72"/>
      <c r="CKM166" s="72"/>
      <c r="CKN166" s="72"/>
      <c r="CKO166" s="72"/>
      <c r="CKP166" s="72"/>
      <c r="CKQ166" s="72"/>
      <c r="CKR166" s="72"/>
      <c r="CKS166" s="72"/>
      <c r="CKT166" s="72"/>
      <c r="CKU166" s="72"/>
      <c r="CKV166" s="72"/>
      <c r="CKW166" s="72"/>
      <c r="CKX166" s="72"/>
      <c r="CKY166" s="72"/>
      <c r="CKZ166" s="72"/>
      <c r="CLA166" s="72"/>
      <c r="CLB166" s="72"/>
      <c r="CLC166" s="72"/>
      <c r="CLD166" s="72"/>
      <c r="CLE166" s="72"/>
      <c r="CLF166" s="72"/>
      <c r="CLG166" s="72"/>
      <c r="CLH166" s="72"/>
      <c r="CLI166" s="72"/>
      <c r="CLJ166" s="72"/>
      <c r="CLK166" s="72"/>
      <c r="CLL166" s="72"/>
      <c r="CLM166" s="72"/>
      <c r="CLN166" s="72"/>
      <c r="CLO166" s="72"/>
      <c r="CLP166" s="72"/>
      <c r="CLQ166" s="72"/>
      <c r="CLR166" s="72"/>
      <c r="CLS166" s="72"/>
      <c r="CLT166" s="72"/>
      <c r="CLU166" s="72"/>
      <c r="CLV166" s="72"/>
      <c r="CLW166" s="72"/>
      <c r="CLX166" s="72"/>
      <c r="CLY166" s="72"/>
      <c r="CLZ166" s="72"/>
      <c r="CMA166" s="72"/>
      <c r="CMB166" s="72"/>
      <c r="CMC166" s="72"/>
      <c r="CMD166" s="72"/>
      <c r="CME166" s="72"/>
      <c r="CMF166" s="72"/>
      <c r="CMG166" s="72"/>
      <c r="CMH166" s="72"/>
      <c r="CMI166" s="72"/>
      <c r="CMJ166" s="72"/>
      <c r="CMK166" s="72"/>
      <c r="CML166" s="72"/>
      <c r="CMM166" s="72"/>
      <c r="CMN166" s="72"/>
      <c r="CMO166" s="72"/>
      <c r="CMP166" s="72"/>
      <c r="CMQ166" s="72"/>
      <c r="CMR166" s="72"/>
      <c r="CMS166" s="72"/>
      <c r="CMT166" s="72"/>
      <c r="CMU166" s="72"/>
      <c r="CMV166" s="72"/>
      <c r="CMW166" s="72"/>
      <c r="CMX166" s="72"/>
      <c r="CMY166" s="72"/>
      <c r="CMZ166" s="72"/>
      <c r="CNA166" s="72"/>
      <c r="CNB166" s="72"/>
      <c r="CNC166" s="72"/>
      <c r="CND166" s="72"/>
      <c r="CNE166" s="72"/>
      <c r="CNF166" s="72"/>
      <c r="CNG166" s="72"/>
      <c r="CNH166" s="72"/>
      <c r="CNI166" s="72"/>
      <c r="CNJ166" s="72"/>
      <c r="CNK166" s="72"/>
      <c r="CNL166" s="72"/>
      <c r="CNM166" s="72"/>
      <c r="CNN166" s="72"/>
      <c r="CNO166" s="72"/>
      <c r="CNP166" s="72"/>
      <c r="CNQ166" s="72"/>
      <c r="CNR166" s="72"/>
      <c r="CNS166" s="72"/>
      <c r="CNT166" s="72"/>
      <c r="CNU166" s="72"/>
      <c r="CNV166" s="72"/>
      <c r="CNW166" s="72"/>
      <c r="CNX166" s="72"/>
      <c r="CNY166" s="72"/>
      <c r="CNZ166" s="72"/>
      <c r="COA166" s="72"/>
      <c r="COB166" s="72"/>
      <c r="COC166" s="72"/>
      <c r="COD166" s="72"/>
      <c r="COE166" s="72"/>
      <c r="COF166" s="72"/>
      <c r="COG166" s="72"/>
      <c r="COH166" s="72"/>
      <c r="COI166" s="72"/>
      <c r="COJ166" s="72"/>
      <c r="COK166" s="72"/>
      <c r="COL166" s="72"/>
      <c r="COM166" s="72"/>
      <c r="CON166" s="72"/>
      <c r="COO166" s="72"/>
      <c r="COP166" s="72"/>
      <c r="COQ166" s="72"/>
      <c r="COR166" s="72"/>
      <c r="COS166" s="72"/>
      <c r="COT166" s="72"/>
      <c r="COU166" s="72"/>
      <c r="COV166" s="72"/>
      <c r="COW166" s="72"/>
      <c r="COX166" s="72"/>
      <c r="COY166" s="72"/>
      <c r="COZ166" s="72"/>
      <c r="CPA166" s="72"/>
      <c r="CPB166" s="72"/>
      <c r="CPC166" s="72"/>
      <c r="CPD166" s="72"/>
      <c r="CPE166" s="72"/>
      <c r="CPF166" s="72"/>
      <c r="CPG166" s="72"/>
      <c r="CPH166" s="72"/>
      <c r="CPI166" s="72"/>
      <c r="CPJ166" s="72"/>
      <c r="CPK166" s="72"/>
      <c r="CPL166" s="72"/>
      <c r="CPM166" s="72"/>
      <c r="CPN166" s="72"/>
      <c r="CPO166" s="72"/>
      <c r="CPP166" s="72"/>
      <c r="CPQ166" s="72"/>
      <c r="CPR166" s="72"/>
      <c r="CPS166" s="72"/>
      <c r="CPT166" s="72"/>
      <c r="CPU166" s="72"/>
      <c r="CPV166" s="72"/>
      <c r="CPW166" s="72"/>
      <c r="CPX166" s="72"/>
      <c r="CPY166" s="72"/>
      <c r="CPZ166" s="72"/>
      <c r="CQA166" s="72"/>
      <c r="CQB166" s="72"/>
      <c r="CQC166" s="72"/>
      <c r="CQD166" s="72"/>
      <c r="CQE166" s="72"/>
      <c r="CQF166" s="72"/>
      <c r="CQG166" s="72"/>
      <c r="CQH166" s="72"/>
      <c r="CQI166" s="72"/>
      <c r="CQJ166" s="72"/>
      <c r="CQK166" s="72"/>
      <c r="CQL166" s="72"/>
      <c r="CQM166" s="72"/>
      <c r="CQN166" s="72"/>
      <c r="CQO166" s="72"/>
      <c r="CQP166" s="72"/>
      <c r="CQQ166" s="72"/>
      <c r="CQR166" s="72"/>
      <c r="CQS166" s="72"/>
      <c r="CQT166" s="72"/>
      <c r="CQU166" s="72"/>
      <c r="CQV166" s="72"/>
      <c r="CQW166" s="72"/>
      <c r="CQX166" s="72"/>
      <c r="CQY166" s="72"/>
      <c r="CQZ166" s="72"/>
      <c r="CRA166" s="72"/>
      <c r="CRB166" s="72"/>
      <c r="CRC166" s="72"/>
      <c r="CRD166" s="72"/>
      <c r="CRE166" s="72"/>
      <c r="CRF166" s="72"/>
      <c r="CRG166" s="72"/>
      <c r="CRH166" s="72"/>
      <c r="CRI166" s="72"/>
      <c r="CRJ166" s="72"/>
      <c r="CRK166" s="72"/>
      <c r="CRL166" s="72"/>
      <c r="CRM166" s="72"/>
      <c r="CRN166" s="72"/>
      <c r="CRO166" s="72"/>
      <c r="CRP166" s="72"/>
      <c r="CRQ166" s="72"/>
      <c r="CRR166" s="72"/>
      <c r="CRS166" s="72"/>
      <c r="CRT166" s="72"/>
      <c r="CRU166" s="72"/>
      <c r="CRV166" s="72"/>
      <c r="CRW166" s="72"/>
      <c r="CRX166" s="72"/>
      <c r="CRY166" s="72"/>
      <c r="CRZ166" s="72"/>
      <c r="CSA166" s="72"/>
      <c r="CSB166" s="72"/>
      <c r="CSC166" s="72"/>
      <c r="CSD166" s="72"/>
      <c r="CSE166" s="72"/>
      <c r="CSF166" s="72"/>
      <c r="CSG166" s="72"/>
      <c r="CSH166" s="72"/>
      <c r="CSI166" s="72"/>
      <c r="CSJ166" s="72"/>
      <c r="CSK166" s="72"/>
      <c r="CSL166" s="72"/>
      <c r="CSM166" s="72"/>
      <c r="CSN166" s="72"/>
      <c r="CSO166" s="72"/>
      <c r="CSP166" s="72"/>
      <c r="CSQ166" s="72"/>
      <c r="CSR166" s="72"/>
      <c r="CSS166" s="72"/>
      <c r="CST166" s="72"/>
      <c r="CSU166" s="72"/>
      <c r="CSV166" s="72"/>
      <c r="CSW166" s="72"/>
      <c r="CSX166" s="72"/>
      <c r="CSY166" s="72"/>
      <c r="CSZ166" s="72"/>
      <c r="CTA166" s="72"/>
      <c r="CTB166" s="72"/>
      <c r="CTC166" s="72"/>
      <c r="CTD166" s="72"/>
      <c r="CTE166" s="72"/>
      <c r="CTF166" s="72"/>
      <c r="CTG166" s="72"/>
      <c r="CTH166" s="72"/>
      <c r="CTI166" s="72"/>
      <c r="CTJ166" s="72"/>
      <c r="CTK166" s="72"/>
      <c r="CTL166" s="72"/>
      <c r="CTM166" s="72"/>
      <c r="CTN166" s="72"/>
      <c r="CTO166" s="72"/>
      <c r="CTP166" s="72"/>
      <c r="CTQ166" s="72"/>
      <c r="CTR166" s="72"/>
      <c r="CTS166" s="72"/>
      <c r="CTT166" s="72"/>
      <c r="CTU166" s="72"/>
      <c r="CTV166" s="72"/>
      <c r="CTW166" s="72"/>
      <c r="CTX166" s="72"/>
      <c r="CTY166" s="72"/>
      <c r="CTZ166" s="72"/>
      <c r="CUA166" s="72"/>
      <c r="CUB166" s="72"/>
      <c r="CUC166" s="72"/>
      <c r="CUD166" s="72"/>
      <c r="CUE166" s="72"/>
      <c r="CUF166" s="72"/>
      <c r="CUG166" s="72"/>
      <c r="CUH166" s="72"/>
      <c r="CUI166" s="72"/>
      <c r="CUJ166" s="72"/>
      <c r="CUK166" s="72"/>
      <c r="CUL166" s="72"/>
      <c r="CUM166" s="72"/>
      <c r="CUN166" s="72"/>
      <c r="CUO166" s="72"/>
      <c r="CUP166" s="72"/>
      <c r="CUQ166" s="72"/>
      <c r="CUR166" s="72"/>
      <c r="CUS166" s="72"/>
      <c r="CUT166" s="72"/>
      <c r="CUU166" s="72"/>
      <c r="CUV166" s="72"/>
      <c r="CUW166" s="72"/>
      <c r="CUX166" s="72"/>
      <c r="CUY166" s="72"/>
      <c r="CUZ166" s="72"/>
      <c r="CVA166" s="72"/>
      <c r="CVB166" s="72"/>
      <c r="CVC166" s="72"/>
      <c r="CVD166" s="72"/>
      <c r="CVE166" s="72"/>
      <c r="CVF166" s="72"/>
      <c r="CVG166" s="72"/>
      <c r="CVH166" s="72"/>
      <c r="CVI166" s="72"/>
      <c r="CVJ166" s="72"/>
      <c r="CVK166" s="72"/>
      <c r="CVL166" s="72"/>
      <c r="CVM166" s="72"/>
      <c r="CVN166" s="72"/>
      <c r="CVO166" s="72"/>
      <c r="CVP166" s="72"/>
      <c r="CVQ166" s="72"/>
      <c r="CVR166" s="72"/>
      <c r="CVS166" s="72"/>
      <c r="CVT166" s="72"/>
      <c r="CVU166" s="72"/>
      <c r="CVV166" s="72"/>
      <c r="CVW166" s="72"/>
      <c r="CVX166" s="72"/>
      <c r="CVY166" s="72"/>
      <c r="CVZ166" s="72"/>
      <c r="CWA166" s="72"/>
      <c r="CWB166" s="72"/>
      <c r="CWC166" s="72"/>
      <c r="CWD166" s="72"/>
      <c r="CWE166" s="72"/>
      <c r="CWF166" s="72"/>
      <c r="CWG166" s="72"/>
      <c r="CWH166" s="72"/>
      <c r="CWI166" s="72"/>
      <c r="CWJ166" s="72"/>
      <c r="CWK166" s="72"/>
      <c r="CWL166" s="72"/>
      <c r="CWM166" s="72"/>
      <c r="CWN166" s="72"/>
      <c r="CWO166" s="72"/>
      <c r="CWP166" s="72"/>
      <c r="CWQ166" s="72"/>
      <c r="CWR166" s="72"/>
      <c r="CWS166" s="72"/>
      <c r="CWT166" s="72"/>
      <c r="CWU166" s="72"/>
      <c r="CWV166" s="72"/>
      <c r="CWW166" s="72"/>
      <c r="CWX166" s="72"/>
      <c r="CWY166" s="72"/>
      <c r="CWZ166" s="72"/>
      <c r="CXA166" s="72"/>
      <c r="CXB166" s="72"/>
      <c r="CXC166" s="72"/>
      <c r="CXD166" s="72"/>
      <c r="CXE166" s="72"/>
      <c r="CXF166" s="72"/>
      <c r="CXG166" s="72"/>
      <c r="CXH166" s="72"/>
      <c r="CXI166" s="72"/>
      <c r="CXJ166" s="72"/>
      <c r="CXK166" s="72"/>
      <c r="CXL166" s="72"/>
      <c r="CXM166" s="72"/>
      <c r="CXN166" s="72"/>
      <c r="CXO166" s="72"/>
      <c r="CXP166" s="72"/>
      <c r="CXQ166" s="72"/>
      <c r="CXR166" s="72"/>
      <c r="CXS166" s="72"/>
      <c r="CXT166" s="72"/>
      <c r="CXU166" s="72"/>
      <c r="CXV166" s="72"/>
      <c r="CXW166" s="72"/>
      <c r="CXX166" s="72"/>
      <c r="CXY166" s="72"/>
      <c r="CXZ166" s="72"/>
      <c r="CYA166" s="72"/>
      <c r="CYB166" s="72"/>
      <c r="CYC166" s="72"/>
      <c r="CYD166" s="72"/>
      <c r="CYE166" s="72"/>
      <c r="CYF166" s="72"/>
      <c r="CYG166" s="72"/>
      <c r="CYH166" s="72"/>
      <c r="CYI166" s="72"/>
      <c r="CYJ166" s="72"/>
      <c r="CYK166" s="72"/>
      <c r="CYL166" s="72"/>
      <c r="CYM166" s="72"/>
      <c r="CYN166" s="72"/>
      <c r="CYO166" s="72"/>
      <c r="CYP166" s="72"/>
      <c r="CYQ166" s="72"/>
      <c r="CYR166" s="72"/>
      <c r="CYS166" s="72"/>
      <c r="CYT166" s="72"/>
      <c r="CYU166" s="72"/>
      <c r="CYV166" s="72"/>
      <c r="CYW166" s="72"/>
      <c r="CYX166" s="72"/>
      <c r="CYY166" s="72"/>
      <c r="CYZ166" s="72"/>
      <c r="CZA166" s="72"/>
      <c r="CZB166" s="72"/>
      <c r="CZC166" s="72"/>
      <c r="CZD166" s="72"/>
      <c r="CZE166" s="72"/>
      <c r="CZF166" s="72"/>
      <c r="CZG166" s="72"/>
      <c r="CZH166" s="72"/>
      <c r="CZI166" s="72"/>
      <c r="CZJ166" s="72"/>
      <c r="CZK166" s="72"/>
      <c r="CZL166" s="72"/>
      <c r="CZM166" s="72"/>
      <c r="CZN166" s="72"/>
      <c r="CZO166" s="72"/>
      <c r="CZP166" s="72"/>
      <c r="CZQ166" s="72"/>
      <c r="CZR166" s="72"/>
      <c r="CZS166" s="72"/>
      <c r="CZT166" s="72"/>
      <c r="CZU166" s="72"/>
      <c r="CZV166" s="72"/>
      <c r="CZW166" s="72"/>
      <c r="CZX166" s="72"/>
      <c r="CZY166" s="72"/>
      <c r="CZZ166" s="72"/>
      <c r="DAA166" s="72"/>
      <c r="DAB166" s="72"/>
      <c r="DAC166" s="72"/>
      <c r="DAD166" s="72"/>
      <c r="DAE166" s="72"/>
      <c r="DAF166" s="72"/>
      <c r="DAG166" s="72"/>
      <c r="DAH166" s="72"/>
      <c r="DAI166" s="72"/>
      <c r="DAJ166" s="72"/>
      <c r="DAK166" s="72"/>
      <c r="DAL166" s="72"/>
      <c r="DAM166" s="72"/>
      <c r="DAN166" s="72"/>
      <c r="DAO166" s="72"/>
      <c r="DAP166" s="72"/>
      <c r="DAQ166" s="72"/>
      <c r="DAR166" s="72"/>
      <c r="DAS166" s="72"/>
      <c r="DAT166" s="72"/>
      <c r="DAU166" s="72"/>
      <c r="DAV166" s="72"/>
      <c r="DAW166" s="72"/>
      <c r="DAX166" s="72"/>
      <c r="DAY166" s="72"/>
      <c r="DAZ166" s="72"/>
      <c r="DBA166" s="72"/>
      <c r="DBB166" s="72"/>
      <c r="DBC166" s="72"/>
      <c r="DBD166" s="72"/>
      <c r="DBE166" s="72"/>
      <c r="DBF166" s="72"/>
      <c r="DBG166" s="72"/>
      <c r="DBH166" s="72"/>
      <c r="DBI166" s="72"/>
      <c r="DBJ166" s="72"/>
      <c r="DBK166" s="72"/>
      <c r="DBL166" s="72"/>
      <c r="DBM166" s="72"/>
      <c r="DBN166" s="72"/>
      <c r="DBO166" s="72"/>
      <c r="DBP166" s="72"/>
      <c r="DBQ166" s="72"/>
      <c r="DBR166" s="72"/>
      <c r="DBS166" s="72"/>
      <c r="DBT166" s="72"/>
      <c r="DBU166" s="72"/>
      <c r="DBV166" s="72"/>
      <c r="DBW166" s="72"/>
      <c r="DBX166" s="72"/>
      <c r="DBY166" s="72"/>
      <c r="DBZ166" s="72"/>
      <c r="DCA166" s="72"/>
      <c r="DCB166" s="72"/>
      <c r="DCC166" s="72"/>
      <c r="DCD166" s="72"/>
      <c r="DCE166" s="72"/>
      <c r="DCF166" s="72"/>
      <c r="DCG166" s="72"/>
      <c r="DCH166" s="72"/>
      <c r="DCI166" s="72"/>
      <c r="DCJ166" s="72"/>
      <c r="DCK166" s="72"/>
      <c r="DCL166" s="72"/>
      <c r="DCM166" s="72"/>
      <c r="DCN166" s="72"/>
      <c r="DCO166" s="72"/>
      <c r="DCP166" s="72"/>
      <c r="DCQ166" s="72"/>
      <c r="DCR166" s="72"/>
      <c r="DCS166" s="72"/>
      <c r="DCT166" s="72"/>
      <c r="DCU166" s="72"/>
      <c r="DCV166" s="72"/>
      <c r="DCW166" s="72"/>
      <c r="DCX166" s="72"/>
      <c r="DCY166" s="72"/>
      <c r="DCZ166" s="72"/>
      <c r="DDA166" s="72"/>
      <c r="DDB166" s="72"/>
      <c r="DDC166" s="72"/>
      <c r="DDD166" s="72"/>
      <c r="DDE166" s="72"/>
      <c r="DDF166" s="72"/>
      <c r="DDG166" s="72"/>
      <c r="DDH166" s="72"/>
      <c r="DDI166" s="72"/>
      <c r="DDJ166" s="72"/>
      <c r="DDK166" s="72"/>
      <c r="DDL166" s="72"/>
      <c r="DDM166" s="72"/>
      <c r="DDN166" s="72"/>
      <c r="DDO166" s="72"/>
      <c r="DDP166" s="72"/>
      <c r="DDQ166" s="72"/>
      <c r="DDR166" s="72"/>
      <c r="DDS166" s="72"/>
      <c r="DDT166" s="72"/>
      <c r="DDU166" s="72"/>
      <c r="DDV166" s="72"/>
      <c r="DDW166" s="72"/>
      <c r="DDX166" s="72"/>
      <c r="DDY166" s="72"/>
      <c r="DDZ166" s="72"/>
      <c r="DEA166" s="72"/>
      <c r="DEB166" s="72"/>
      <c r="DEC166" s="72"/>
      <c r="DED166" s="72"/>
      <c r="DEE166" s="72"/>
      <c r="DEF166" s="72"/>
      <c r="DEG166" s="72"/>
      <c r="DEH166" s="72"/>
      <c r="DEI166" s="72"/>
      <c r="DEJ166" s="72"/>
      <c r="DEK166" s="72"/>
      <c r="DEL166" s="72"/>
      <c r="DEM166" s="72"/>
      <c r="DEN166" s="72"/>
      <c r="DEO166" s="72"/>
      <c r="DEP166" s="72"/>
      <c r="DEQ166" s="72"/>
      <c r="DER166" s="72"/>
      <c r="DES166" s="72"/>
      <c r="DET166" s="72"/>
      <c r="DEU166" s="72"/>
      <c r="DEV166" s="72"/>
      <c r="DEW166" s="72"/>
      <c r="DEX166" s="72"/>
      <c r="DEY166" s="72"/>
      <c r="DEZ166" s="72"/>
      <c r="DFA166" s="72"/>
      <c r="DFB166" s="72"/>
      <c r="DFC166" s="72"/>
      <c r="DFD166" s="72"/>
      <c r="DFE166" s="72"/>
      <c r="DFF166" s="72"/>
      <c r="DFG166" s="72"/>
      <c r="DFH166" s="72"/>
      <c r="DFI166" s="72"/>
      <c r="DFJ166" s="72"/>
      <c r="DFK166" s="72"/>
      <c r="DFL166" s="72"/>
      <c r="DFM166" s="72"/>
      <c r="DFN166" s="72"/>
      <c r="DFO166" s="72"/>
      <c r="DFP166" s="72"/>
      <c r="DFQ166" s="72"/>
      <c r="DFR166" s="72"/>
      <c r="DFS166" s="72"/>
      <c r="DFT166" s="72"/>
      <c r="DFU166" s="72"/>
      <c r="DFV166" s="72"/>
      <c r="DFW166" s="72"/>
      <c r="DFX166" s="72"/>
      <c r="DFY166" s="72"/>
      <c r="DFZ166" s="72"/>
      <c r="DGA166" s="72"/>
      <c r="DGB166" s="72"/>
      <c r="DGC166" s="72"/>
      <c r="DGD166" s="72"/>
      <c r="DGE166" s="72"/>
      <c r="DGF166" s="72"/>
      <c r="DGG166" s="72"/>
      <c r="DGH166" s="72"/>
      <c r="DGI166" s="72"/>
      <c r="DGJ166" s="72"/>
      <c r="DGK166" s="72"/>
      <c r="DGL166" s="72"/>
      <c r="DGM166" s="72"/>
      <c r="DGN166" s="72"/>
      <c r="DGO166" s="72"/>
      <c r="DGP166" s="72"/>
      <c r="DGQ166" s="72"/>
      <c r="DGR166" s="72"/>
      <c r="DGS166" s="72"/>
      <c r="DGT166" s="72"/>
      <c r="DGU166" s="72"/>
      <c r="DGV166" s="72"/>
      <c r="DGW166" s="72"/>
      <c r="DGX166" s="72"/>
      <c r="DGY166" s="72"/>
      <c r="DGZ166" s="72"/>
      <c r="DHA166" s="72"/>
      <c r="DHB166" s="72"/>
      <c r="DHC166" s="72"/>
      <c r="DHD166" s="72"/>
      <c r="DHE166" s="72"/>
      <c r="DHF166" s="72"/>
      <c r="DHG166" s="72"/>
      <c r="DHH166" s="72"/>
      <c r="DHI166" s="72"/>
      <c r="DHJ166" s="72"/>
      <c r="DHK166" s="72"/>
      <c r="DHL166" s="72"/>
      <c r="DHM166" s="72"/>
      <c r="DHN166" s="72"/>
      <c r="DHO166" s="72"/>
      <c r="DHP166" s="72"/>
      <c r="DHQ166" s="72"/>
      <c r="DHR166" s="72"/>
      <c r="DHS166" s="72"/>
      <c r="DHT166" s="72"/>
      <c r="DHU166" s="72"/>
      <c r="DHV166" s="72"/>
      <c r="DHW166" s="72"/>
      <c r="DHX166" s="72"/>
      <c r="DHY166" s="72"/>
      <c r="DHZ166" s="72"/>
      <c r="DIA166" s="72"/>
      <c r="DIB166" s="72"/>
      <c r="DIC166" s="72"/>
      <c r="DID166" s="72"/>
      <c r="DIE166" s="72"/>
      <c r="DIF166" s="72"/>
      <c r="DIG166" s="72"/>
      <c r="DIH166" s="72"/>
      <c r="DII166" s="72"/>
      <c r="DIJ166" s="72"/>
      <c r="DIK166" s="72"/>
      <c r="DIL166" s="72"/>
      <c r="DIM166" s="72"/>
      <c r="DIN166" s="72"/>
      <c r="DIO166" s="72"/>
      <c r="DIP166" s="72"/>
      <c r="DIQ166" s="72"/>
      <c r="DIR166" s="72"/>
      <c r="DIS166" s="72"/>
      <c r="DIT166" s="72"/>
      <c r="DIU166" s="72"/>
      <c r="DIV166" s="72"/>
      <c r="DIW166" s="72"/>
      <c r="DIX166" s="72"/>
      <c r="DIY166" s="72"/>
      <c r="DIZ166" s="72"/>
      <c r="DJA166" s="72"/>
      <c r="DJB166" s="72"/>
      <c r="DJC166" s="72"/>
      <c r="DJD166" s="72"/>
      <c r="DJE166" s="72"/>
      <c r="DJF166" s="72"/>
      <c r="DJG166" s="72"/>
      <c r="DJH166" s="72"/>
      <c r="DJI166" s="72"/>
      <c r="DJJ166" s="72"/>
      <c r="DJK166" s="72"/>
      <c r="DJL166" s="72"/>
      <c r="DJM166" s="72"/>
      <c r="DJN166" s="72"/>
      <c r="DJO166" s="72"/>
      <c r="DJP166" s="72"/>
      <c r="DJQ166" s="72"/>
      <c r="DJR166" s="72"/>
      <c r="DJS166" s="72"/>
      <c r="DJT166" s="72"/>
      <c r="DJU166" s="72"/>
      <c r="DJV166" s="72"/>
      <c r="DJW166" s="72"/>
      <c r="DJX166" s="72"/>
      <c r="DJY166" s="72"/>
      <c r="DJZ166" s="72"/>
      <c r="DKA166" s="72"/>
      <c r="DKB166" s="72"/>
      <c r="DKC166" s="72"/>
      <c r="DKD166" s="72"/>
      <c r="DKE166" s="72"/>
      <c r="DKF166" s="72"/>
      <c r="DKG166" s="72"/>
      <c r="DKH166" s="72"/>
      <c r="DKI166" s="72"/>
      <c r="DKJ166" s="72"/>
      <c r="DKK166" s="72"/>
      <c r="DKL166" s="72"/>
      <c r="DKM166" s="72"/>
      <c r="DKN166" s="72"/>
      <c r="DKO166" s="72"/>
      <c r="DKP166" s="72"/>
      <c r="DKQ166" s="72"/>
      <c r="DKR166" s="72"/>
      <c r="DKS166" s="72"/>
      <c r="DKT166" s="72"/>
      <c r="DKU166" s="72"/>
      <c r="DKV166" s="72"/>
      <c r="DKW166" s="72"/>
      <c r="DKX166" s="72"/>
      <c r="DKY166" s="72"/>
      <c r="DKZ166" s="72"/>
      <c r="DLA166" s="72"/>
      <c r="DLB166" s="72"/>
      <c r="DLC166" s="72"/>
      <c r="DLD166" s="72"/>
      <c r="DLE166" s="72"/>
      <c r="DLF166" s="72"/>
      <c r="DLG166" s="72"/>
      <c r="DLH166" s="72"/>
      <c r="DLI166" s="72"/>
      <c r="DLJ166" s="72"/>
      <c r="DLK166" s="72"/>
      <c r="DLL166" s="72"/>
      <c r="DLM166" s="72"/>
      <c r="DLN166" s="72"/>
      <c r="DLO166" s="72"/>
      <c r="DLP166" s="72"/>
      <c r="DLQ166" s="72"/>
      <c r="DLR166" s="72"/>
      <c r="DLS166" s="72"/>
      <c r="DLT166" s="72"/>
      <c r="DLU166" s="72"/>
      <c r="DLV166" s="72"/>
      <c r="DLW166" s="72"/>
      <c r="DLX166" s="72"/>
      <c r="DLY166" s="72"/>
      <c r="DLZ166" s="72"/>
      <c r="DMA166" s="72"/>
      <c r="DMB166" s="72"/>
      <c r="DMC166" s="72"/>
      <c r="DMD166" s="72"/>
      <c r="DME166" s="72"/>
      <c r="DMF166" s="72"/>
      <c r="DMG166" s="72"/>
      <c r="DMH166" s="72"/>
      <c r="DMI166" s="72"/>
      <c r="DMJ166" s="72"/>
      <c r="DMK166" s="72"/>
      <c r="DML166" s="72"/>
      <c r="DMM166" s="72"/>
      <c r="DMN166" s="72"/>
      <c r="DMO166" s="72"/>
      <c r="DMP166" s="72"/>
      <c r="DMQ166" s="72"/>
      <c r="DMR166" s="72"/>
      <c r="DMS166" s="72"/>
      <c r="DMT166" s="72"/>
      <c r="DMU166" s="72"/>
      <c r="DMV166" s="72"/>
      <c r="DMW166" s="72"/>
      <c r="DMX166" s="72"/>
      <c r="DMY166" s="72"/>
      <c r="DMZ166" s="72"/>
      <c r="DNA166" s="72"/>
      <c r="DNB166" s="72"/>
      <c r="DNC166" s="72"/>
      <c r="DND166" s="72"/>
      <c r="DNE166" s="72"/>
      <c r="DNF166" s="72"/>
      <c r="DNG166" s="72"/>
      <c r="DNH166" s="72"/>
      <c r="DNI166" s="72"/>
      <c r="DNJ166" s="72"/>
      <c r="DNK166" s="72"/>
      <c r="DNL166" s="72"/>
      <c r="DNM166" s="72"/>
      <c r="DNN166" s="72"/>
      <c r="DNO166" s="72"/>
      <c r="DNP166" s="72"/>
      <c r="DNQ166" s="72"/>
      <c r="DNR166" s="72"/>
      <c r="DNS166" s="72"/>
      <c r="DNT166" s="72"/>
      <c r="DNU166" s="72"/>
      <c r="DNV166" s="72"/>
      <c r="DNW166" s="72"/>
      <c r="DNX166" s="72"/>
      <c r="DNY166" s="72"/>
      <c r="DNZ166" s="72"/>
      <c r="DOA166" s="72"/>
      <c r="DOB166" s="72"/>
      <c r="DOC166" s="72"/>
      <c r="DOD166" s="72"/>
      <c r="DOE166" s="72"/>
      <c r="DOF166" s="72"/>
      <c r="DOG166" s="72"/>
      <c r="DOH166" s="72"/>
      <c r="DOI166" s="72"/>
      <c r="DOJ166" s="72"/>
      <c r="DOK166" s="72"/>
      <c r="DOL166" s="72"/>
      <c r="DOM166" s="72"/>
      <c r="DON166" s="72"/>
      <c r="DOO166" s="72"/>
      <c r="DOP166" s="72"/>
      <c r="DOQ166" s="72"/>
      <c r="DOR166" s="72"/>
      <c r="DOS166" s="72"/>
      <c r="DOT166" s="72"/>
      <c r="DOU166" s="72"/>
      <c r="DOV166" s="72"/>
      <c r="DOW166" s="72"/>
      <c r="DOX166" s="72"/>
      <c r="DOY166" s="72"/>
      <c r="DOZ166" s="72"/>
      <c r="DPA166" s="72"/>
      <c r="DPB166" s="72"/>
      <c r="DPC166" s="72"/>
      <c r="DPD166" s="72"/>
      <c r="DPE166" s="72"/>
      <c r="DPF166" s="72"/>
      <c r="DPG166" s="72"/>
      <c r="DPH166" s="72"/>
      <c r="DPI166" s="72"/>
      <c r="DPJ166" s="72"/>
      <c r="DPK166" s="72"/>
      <c r="DPL166" s="72"/>
      <c r="DPM166" s="72"/>
      <c r="DPN166" s="72"/>
      <c r="DPO166" s="72"/>
      <c r="DPP166" s="72"/>
      <c r="DPQ166" s="72"/>
      <c r="DPR166" s="72"/>
      <c r="DPS166" s="72"/>
      <c r="DPT166" s="72"/>
      <c r="DPU166" s="72"/>
      <c r="DPV166" s="72"/>
      <c r="DPW166" s="72"/>
      <c r="DPX166" s="72"/>
      <c r="DPY166" s="72"/>
      <c r="DPZ166" s="72"/>
      <c r="DQA166" s="72"/>
      <c r="DQB166" s="72"/>
      <c r="DQC166" s="72"/>
      <c r="DQD166" s="72"/>
      <c r="DQE166" s="72"/>
      <c r="DQF166" s="72"/>
      <c r="DQG166" s="72"/>
      <c r="DQH166" s="72"/>
      <c r="DQI166" s="72"/>
      <c r="DQJ166" s="72"/>
      <c r="DQK166" s="72"/>
      <c r="DQL166" s="72"/>
      <c r="DQM166" s="72"/>
      <c r="DQN166" s="72"/>
      <c r="DQO166" s="72"/>
      <c r="DQP166" s="72"/>
      <c r="DQQ166" s="72"/>
      <c r="DQR166" s="72"/>
      <c r="DQS166" s="72"/>
      <c r="DQT166" s="72"/>
      <c r="DQU166" s="72"/>
      <c r="DQV166" s="72"/>
      <c r="DQW166" s="72"/>
      <c r="DQX166" s="72"/>
      <c r="DQY166" s="72"/>
      <c r="DQZ166" s="72"/>
      <c r="DRA166" s="72"/>
      <c r="DRB166" s="72"/>
      <c r="DRC166" s="72"/>
      <c r="DRD166" s="72"/>
      <c r="DRE166" s="72"/>
      <c r="DRF166" s="72"/>
      <c r="DRG166" s="72"/>
      <c r="DRH166" s="72"/>
      <c r="DRI166" s="72"/>
      <c r="DRJ166" s="72"/>
      <c r="DRK166" s="72"/>
      <c r="DRL166" s="72"/>
      <c r="DRM166" s="72"/>
      <c r="DRN166" s="72"/>
      <c r="DRO166" s="72"/>
      <c r="DRP166" s="72"/>
      <c r="DRQ166" s="72"/>
      <c r="DRR166" s="72"/>
      <c r="DRS166" s="72"/>
      <c r="DRT166" s="72"/>
      <c r="DRU166" s="72"/>
      <c r="DRV166" s="72"/>
      <c r="DRW166" s="72"/>
      <c r="DRX166" s="72"/>
      <c r="DRY166" s="72"/>
      <c r="DRZ166" s="72"/>
      <c r="DSA166" s="72"/>
      <c r="DSB166" s="72"/>
      <c r="DSC166" s="72"/>
      <c r="DSD166" s="72"/>
      <c r="DSE166" s="72"/>
      <c r="DSF166" s="72"/>
      <c r="DSG166" s="72"/>
      <c r="DSH166" s="72"/>
      <c r="DSI166" s="72"/>
      <c r="DSJ166" s="72"/>
      <c r="DSK166" s="72"/>
      <c r="DSL166" s="72"/>
      <c r="DSM166" s="72"/>
      <c r="DSN166" s="72"/>
      <c r="DSO166" s="72"/>
      <c r="DSP166" s="72"/>
      <c r="DSQ166" s="72"/>
      <c r="DSR166" s="72"/>
      <c r="DSS166" s="72"/>
      <c r="DST166" s="72"/>
      <c r="DSU166" s="72"/>
      <c r="DSV166" s="72"/>
      <c r="DSW166" s="72"/>
      <c r="DSX166" s="72"/>
      <c r="DSY166" s="72"/>
      <c r="DSZ166" s="72"/>
      <c r="DTA166" s="72"/>
      <c r="DTB166" s="72"/>
      <c r="DTC166" s="72"/>
      <c r="DTD166" s="72"/>
      <c r="DTE166" s="72"/>
      <c r="DTF166" s="72"/>
      <c r="DTG166" s="72"/>
      <c r="DTH166" s="72"/>
      <c r="DTI166" s="72"/>
      <c r="DTJ166" s="72"/>
      <c r="DTK166" s="72"/>
      <c r="DTL166" s="72"/>
      <c r="DTM166" s="72"/>
      <c r="DTN166" s="72"/>
      <c r="DTO166" s="72"/>
      <c r="DTP166" s="72"/>
      <c r="DTQ166" s="72"/>
      <c r="DTR166" s="72"/>
      <c r="DTS166" s="72"/>
      <c r="DTT166" s="72"/>
      <c r="DTU166" s="72"/>
      <c r="DTV166" s="72"/>
      <c r="DTW166" s="72"/>
      <c r="DTX166" s="72"/>
      <c r="DTY166" s="72"/>
      <c r="DTZ166" s="72"/>
      <c r="DUA166" s="72"/>
      <c r="DUB166" s="72"/>
      <c r="DUC166" s="72"/>
      <c r="DUD166" s="72"/>
      <c r="DUE166" s="72"/>
      <c r="DUF166" s="72"/>
      <c r="DUG166" s="72"/>
      <c r="DUH166" s="72"/>
      <c r="DUI166" s="72"/>
      <c r="DUJ166" s="72"/>
      <c r="DUK166" s="72"/>
      <c r="DUL166" s="72"/>
      <c r="DUM166" s="72"/>
      <c r="DUN166" s="72"/>
      <c r="DUO166" s="72"/>
      <c r="DUP166" s="72"/>
      <c r="DUQ166" s="72"/>
      <c r="DUR166" s="72"/>
      <c r="DUS166" s="72"/>
      <c r="DUT166" s="72"/>
      <c r="DUU166" s="72"/>
      <c r="DUV166" s="72"/>
      <c r="DUW166" s="72"/>
      <c r="DUX166" s="72"/>
      <c r="DUY166" s="72"/>
      <c r="DUZ166" s="72"/>
      <c r="DVA166" s="72"/>
      <c r="DVB166" s="72"/>
      <c r="DVC166" s="72"/>
      <c r="DVD166" s="72"/>
      <c r="DVE166" s="72"/>
      <c r="DVF166" s="72"/>
      <c r="DVG166" s="72"/>
      <c r="DVH166" s="72"/>
      <c r="DVI166" s="72"/>
      <c r="DVJ166" s="72"/>
      <c r="DVK166" s="72"/>
      <c r="DVL166" s="72"/>
      <c r="DVM166" s="72"/>
      <c r="DVN166" s="72"/>
      <c r="DVO166" s="72"/>
      <c r="DVP166" s="72"/>
      <c r="DVQ166" s="72"/>
      <c r="DVR166" s="72"/>
      <c r="DVS166" s="72"/>
      <c r="DVT166" s="72"/>
      <c r="DVU166" s="72"/>
      <c r="DVV166" s="72"/>
      <c r="DVW166" s="72"/>
      <c r="DVX166" s="72"/>
      <c r="DVY166" s="72"/>
      <c r="DVZ166" s="72"/>
      <c r="DWA166" s="72"/>
      <c r="DWB166" s="72"/>
      <c r="DWC166" s="72"/>
      <c r="DWD166" s="72"/>
      <c r="DWE166" s="72"/>
      <c r="DWF166" s="72"/>
      <c r="DWG166" s="72"/>
      <c r="DWH166" s="72"/>
      <c r="DWI166" s="72"/>
      <c r="DWJ166" s="72"/>
      <c r="DWK166" s="72"/>
      <c r="DWL166" s="72"/>
      <c r="DWM166" s="72"/>
      <c r="DWN166" s="72"/>
      <c r="DWO166" s="72"/>
      <c r="DWP166" s="72"/>
      <c r="DWQ166" s="72"/>
      <c r="DWR166" s="72"/>
      <c r="DWS166" s="72"/>
      <c r="DWT166" s="72"/>
      <c r="DWU166" s="72"/>
      <c r="DWV166" s="72"/>
      <c r="DWW166" s="72"/>
      <c r="DWX166" s="72"/>
      <c r="DWY166" s="72"/>
      <c r="DWZ166" s="72"/>
      <c r="DXA166" s="72"/>
      <c r="DXB166" s="72"/>
      <c r="DXC166" s="72"/>
      <c r="DXD166" s="72"/>
      <c r="DXE166" s="72"/>
      <c r="DXF166" s="72"/>
      <c r="DXG166" s="72"/>
      <c r="DXH166" s="72"/>
      <c r="DXI166" s="72"/>
      <c r="DXJ166" s="72"/>
      <c r="DXK166" s="72"/>
      <c r="DXL166" s="72"/>
      <c r="DXM166" s="72"/>
      <c r="DXN166" s="72"/>
      <c r="DXO166" s="72"/>
      <c r="DXP166" s="72"/>
      <c r="DXQ166" s="72"/>
      <c r="DXR166" s="72"/>
      <c r="DXS166" s="72"/>
      <c r="DXT166" s="72"/>
      <c r="DXU166" s="72"/>
      <c r="DXV166" s="72"/>
      <c r="DXW166" s="72"/>
      <c r="DXX166" s="72"/>
      <c r="DXY166" s="72"/>
      <c r="DXZ166" s="72"/>
      <c r="DYA166" s="72"/>
      <c r="DYB166" s="72"/>
      <c r="DYC166" s="72"/>
      <c r="DYD166" s="72"/>
      <c r="DYE166" s="72"/>
      <c r="DYF166" s="72"/>
      <c r="DYG166" s="72"/>
      <c r="DYH166" s="72"/>
      <c r="DYI166" s="72"/>
      <c r="DYJ166" s="72"/>
      <c r="DYK166" s="72"/>
      <c r="DYL166" s="72"/>
      <c r="DYM166" s="72"/>
      <c r="DYN166" s="72"/>
      <c r="DYO166" s="72"/>
      <c r="DYP166" s="72"/>
      <c r="DYQ166" s="72"/>
      <c r="DYR166" s="72"/>
      <c r="DYS166" s="72"/>
      <c r="DYT166" s="72"/>
      <c r="DYU166" s="72"/>
      <c r="DYV166" s="72"/>
      <c r="DYW166" s="72"/>
      <c r="DYX166" s="72"/>
      <c r="DYY166" s="72"/>
      <c r="DYZ166" s="72"/>
      <c r="DZA166" s="72"/>
      <c r="DZB166" s="72"/>
      <c r="DZC166" s="72"/>
      <c r="DZD166" s="72"/>
      <c r="DZE166" s="72"/>
      <c r="DZF166" s="72"/>
      <c r="DZG166" s="72"/>
      <c r="DZH166" s="72"/>
      <c r="DZI166" s="72"/>
      <c r="DZJ166" s="72"/>
      <c r="DZK166" s="72"/>
      <c r="DZL166" s="72"/>
      <c r="DZM166" s="72"/>
      <c r="DZN166" s="72"/>
      <c r="DZO166" s="72"/>
      <c r="DZP166" s="72"/>
      <c r="DZQ166" s="72"/>
      <c r="DZR166" s="72"/>
      <c r="DZS166" s="72"/>
      <c r="DZT166" s="72"/>
      <c r="DZU166" s="72"/>
      <c r="DZV166" s="72"/>
      <c r="DZW166" s="72"/>
      <c r="DZX166" s="72"/>
      <c r="DZY166" s="72"/>
      <c r="DZZ166" s="72"/>
      <c r="EAA166" s="72"/>
      <c r="EAB166" s="72"/>
      <c r="EAC166" s="72"/>
      <c r="EAD166" s="72"/>
      <c r="EAE166" s="72"/>
      <c r="EAF166" s="72"/>
      <c r="EAG166" s="72"/>
      <c r="EAH166" s="72"/>
      <c r="EAI166" s="72"/>
      <c r="EAJ166" s="72"/>
      <c r="EAK166" s="72"/>
      <c r="EAL166" s="72"/>
      <c r="EAM166" s="72"/>
      <c r="EAN166" s="72"/>
      <c r="EAO166" s="72"/>
      <c r="EAP166" s="72"/>
      <c r="EAQ166" s="72"/>
      <c r="EAR166" s="72"/>
      <c r="EAS166" s="72"/>
      <c r="EAT166" s="72"/>
      <c r="EAU166" s="72"/>
      <c r="EAV166" s="72"/>
      <c r="EAW166" s="72"/>
      <c r="EAX166" s="72"/>
      <c r="EAY166" s="72"/>
      <c r="EAZ166" s="72"/>
      <c r="EBA166" s="72"/>
      <c r="EBB166" s="72"/>
      <c r="EBC166" s="72"/>
      <c r="EBD166" s="72"/>
      <c r="EBE166" s="72"/>
      <c r="EBF166" s="72"/>
      <c r="EBG166" s="72"/>
      <c r="EBH166" s="72"/>
      <c r="EBI166" s="72"/>
      <c r="EBJ166" s="72"/>
      <c r="EBK166" s="72"/>
      <c r="EBL166" s="72"/>
      <c r="EBM166" s="72"/>
      <c r="EBN166" s="72"/>
      <c r="EBO166" s="72"/>
      <c r="EBP166" s="72"/>
      <c r="EBQ166" s="72"/>
      <c r="EBR166" s="72"/>
      <c r="EBS166" s="72"/>
      <c r="EBT166" s="72"/>
      <c r="EBU166" s="72"/>
      <c r="EBV166" s="72"/>
      <c r="EBW166" s="72"/>
      <c r="EBX166" s="72"/>
      <c r="EBY166" s="72"/>
      <c r="EBZ166" s="72"/>
      <c r="ECA166" s="72"/>
      <c r="ECB166" s="72"/>
      <c r="ECC166" s="72"/>
      <c r="ECD166" s="72"/>
      <c r="ECE166" s="72"/>
      <c r="ECF166" s="72"/>
      <c r="ECG166" s="72"/>
      <c r="ECH166" s="72"/>
      <c r="ECI166" s="72"/>
      <c r="ECJ166" s="72"/>
      <c r="ECK166" s="72"/>
      <c r="ECL166" s="72"/>
      <c r="ECM166" s="72"/>
      <c r="ECN166" s="72"/>
      <c r="ECO166" s="72"/>
      <c r="ECP166" s="72"/>
      <c r="ECQ166" s="72"/>
      <c r="ECR166" s="72"/>
      <c r="ECS166" s="72"/>
      <c r="ECT166" s="72"/>
      <c r="ECU166" s="72"/>
      <c r="ECV166" s="72"/>
      <c r="ECW166" s="72"/>
      <c r="ECX166" s="72"/>
      <c r="ECY166" s="72"/>
      <c r="ECZ166" s="72"/>
      <c r="EDA166" s="72"/>
      <c r="EDB166" s="72"/>
      <c r="EDC166" s="72"/>
      <c r="EDD166" s="72"/>
      <c r="EDE166" s="72"/>
      <c r="EDF166" s="72"/>
      <c r="EDG166" s="72"/>
      <c r="EDH166" s="72"/>
      <c r="EDI166" s="72"/>
      <c r="EDJ166" s="72"/>
      <c r="EDK166" s="72"/>
      <c r="EDL166" s="72"/>
      <c r="EDM166" s="72"/>
      <c r="EDN166" s="72"/>
      <c r="EDO166" s="72"/>
      <c r="EDP166" s="72"/>
      <c r="EDQ166" s="72"/>
      <c r="EDR166" s="72"/>
      <c r="EDS166" s="72"/>
      <c r="EDT166" s="72"/>
      <c r="EDU166" s="72"/>
      <c r="EDV166" s="72"/>
      <c r="EDW166" s="72"/>
      <c r="EDX166" s="72"/>
      <c r="EDY166" s="72"/>
      <c r="EDZ166" s="72"/>
      <c r="EEA166" s="72"/>
      <c r="EEB166" s="72"/>
      <c r="EEC166" s="72"/>
      <c r="EED166" s="72"/>
      <c r="EEE166" s="72"/>
      <c r="EEF166" s="72"/>
      <c r="EEG166" s="72"/>
      <c r="EEH166" s="72"/>
      <c r="EEI166" s="72"/>
      <c r="EEJ166" s="72"/>
      <c r="EEK166" s="72"/>
      <c r="EEL166" s="72"/>
      <c r="EEM166" s="72"/>
      <c r="EEN166" s="72"/>
      <c r="EEO166" s="72"/>
      <c r="EEP166" s="72"/>
      <c r="EEQ166" s="72"/>
      <c r="EER166" s="72"/>
      <c r="EES166" s="72"/>
      <c r="EET166" s="72"/>
      <c r="EEU166" s="72"/>
      <c r="EEV166" s="72"/>
      <c r="EEW166" s="72"/>
      <c r="EEX166" s="72"/>
      <c r="EEY166" s="72"/>
      <c r="EEZ166" s="72"/>
      <c r="EFA166" s="72"/>
      <c r="EFB166" s="72"/>
      <c r="EFC166" s="72"/>
      <c r="EFD166" s="72"/>
      <c r="EFE166" s="72"/>
      <c r="EFF166" s="72"/>
      <c r="EFG166" s="72"/>
      <c r="EFH166" s="72"/>
      <c r="EFI166" s="72"/>
      <c r="EFJ166" s="72"/>
      <c r="EFK166" s="72"/>
      <c r="EFL166" s="72"/>
      <c r="EFM166" s="72"/>
      <c r="EFN166" s="72"/>
      <c r="EFO166" s="72"/>
      <c r="EFP166" s="72"/>
      <c r="EFQ166" s="72"/>
      <c r="EFR166" s="72"/>
      <c r="EFS166" s="72"/>
      <c r="EFT166" s="72"/>
      <c r="EFU166" s="72"/>
      <c r="EFV166" s="72"/>
      <c r="EFW166" s="72"/>
      <c r="EFX166" s="72"/>
      <c r="EFY166" s="72"/>
      <c r="EFZ166" s="72"/>
      <c r="EGA166" s="72"/>
      <c r="EGB166" s="72"/>
      <c r="EGC166" s="72"/>
      <c r="EGD166" s="72"/>
      <c r="EGE166" s="72"/>
      <c r="EGF166" s="72"/>
      <c r="EGG166" s="72"/>
      <c r="EGH166" s="72"/>
      <c r="EGI166" s="72"/>
      <c r="EGJ166" s="72"/>
      <c r="EGK166" s="72"/>
      <c r="EGL166" s="72"/>
      <c r="EGM166" s="72"/>
      <c r="EGN166" s="72"/>
      <c r="EGO166" s="72"/>
      <c r="EGP166" s="72"/>
      <c r="EGQ166" s="72"/>
      <c r="EGR166" s="72"/>
      <c r="EGS166" s="72"/>
      <c r="EGT166" s="72"/>
      <c r="EGU166" s="72"/>
      <c r="EGV166" s="72"/>
      <c r="EGW166" s="72"/>
      <c r="EGX166" s="72"/>
      <c r="EGY166" s="72"/>
      <c r="EGZ166" s="72"/>
      <c r="EHA166" s="72"/>
      <c r="EHB166" s="72"/>
      <c r="EHC166" s="72"/>
      <c r="EHD166" s="72"/>
      <c r="EHE166" s="72"/>
      <c r="EHF166" s="72"/>
      <c r="EHG166" s="72"/>
      <c r="EHH166" s="72"/>
      <c r="EHI166" s="72"/>
      <c r="EHJ166" s="72"/>
      <c r="EHK166" s="72"/>
      <c r="EHL166" s="72"/>
      <c r="EHM166" s="72"/>
      <c r="EHN166" s="72"/>
      <c r="EHO166" s="72"/>
      <c r="EHP166" s="72"/>
      <c r="EHQ166" s="72"/>
      <c r="EHR166" s="72"/>
      <c r="EHS166" s="72"/>
      <c r="EHT166" s="72"/>
      <c r="EHU166" s="72"/>
      <c r="EHV166" s="72"/>
      <c r="EHW166" s="72"/>
      <c r="EHX166" s="72"/>
      <c r="EHY166" s="72"/>
      <c r="EHZ166" s="72"/>
      <c r="EIA166" s="72"/>
      <c r="EIB166" s="72"/>
      <c r="EIC166" s="72"/>
      <c r="EID166" s="72"/>
      <c r="EIE166" s="72"/>
      <c r="EIF166" s="72"/>
      <c r="EIG166" s="72"/>
      <c r="EIH166" s="72"/>
      <c r="EII166" s="72"/>
      <c r="EIJ166" s="72"/>
      <c r="EIK166" s="72"/>
      <c r="EIL166" s="72"/>
      <c r="EIM166" s="72"/>
      <c r="EIN166" s="72"/>
      <c r="EIO166" s="72"/>
      <c r="EIP166" s="72"/>
      <c r="EIQ166" s="72"/>
      <c r="EIR166" s="72"/>
      <c r="EIS166" s="72"/>
      <c r="EIT166" s="72"/>
      <c r="EIU166" s="72"/>
      <c r="EIV166" s="72"/>
      <c r="EIW166" s="72"/>
      <c r="EIX166" s="72"/>
      <c r="EIY166" s="72"/>
      <c r="EIZ166" s="72"/>
      <c r="EJA166" s="72"/>
      <c r="EJB166" s="72"/>
      <c r="EJC166" s="72"/>
      <c r="EJD166" s="72"/>
      <c r="EJE166" s="72"/>
      <c r="EJF166" s="72"/>
      <c r="EJG166" s="72"/>
      <c r="EJH166" s="72"/>
      <c r="EJI166" s="72"/>
      <c r="EJJ166" s="72"/>
      <c r="EJK166" s="72"/>
      <c r="EJL166" s="72"/>
      <c r="EJM166" s="72"/>
      <c r="EJN166" s="72"/>
      <c r="EJO166" s="72"/>
      <c r="EJP166" s="72"/>
      <c r="EJQ166" s="72"/>
      <c r="EJR166" s="72"/>
      <c r="EJS166" s="72"/>
      <c r="EJT166" s="72"/>
      <c r="EJU166" s="72"/>
      <c r="EJV166" s="72"/>
      <c r="EJW166" s="72"/>
      <c r="EJX166" s="72"/>
      <c r="EJY166" s="72"/>
      <c r="EJZ166" s="72"/>
      <c r="EKA166" s="72"/>
      <c r="EKB166" s="72"/>
      <c r="EKC166" s="72"/>
      <c r="EKD166" s="72"/>
      <c r="EKE166" s="72"/>
      <c r="EKF166" s="72"/>
      <c r="EKG166" s="72"/>
      <c r="EKH166" s="72"/>
      <c r="EKI166" s="72"/>
      <c r="EKJ166" s="72"/>
      <c r="EKK166" s="72"/>
      <c r="EKL166" s="72"/>
      <c r="EKM166" s="72"/>
      <c r="EKN166" s="72"/>
      <c r="EKO166" s="72"/>
      <c r="EKP166" s="72"/>
      <c r="EKQ166" s="72"/>
      <c r="EKR166" s="72"/>
      <c r="EKS166" s="72"/>
      <c r="EKT166" s="72"/>
      <c r="EKU166" s="72"/>
      <c r="EKV166" s="72"/>
      <c r="EKW166" s="72"/>
      <c r="EKX166" s="72"/>
      <c r="EKY166" s="72"/>
      <c r="EKZ166" s="72"/>
      <c r="ELA166" s="72"/>
      <c r="ELB166" s="72"/>
      <c r="ELC166" s="72"/>
      <c r="ELD166" s="72"/>
      <c r="ELE166" s="72"/>
      <c r="ELF166" s="72"/>
      <c r="ELG166" s="72"/>
      <c r="ELH166" s="72"/>
      <c r="ELI166" s="72"/>
      <c r="ELJ166" s="72"/>
      <c r="ELK166" s="72"/>
      <c r="ELL166" s="72"/>
      <c r="ELM166" s="72"/>
      <c r="ELN166" s="72"/>
      <c r="ELO166" s="72"/>
      <c r="ELP166" s="72"/>
      <c r="ELQ166" s="72"/>
      <c r="ELR166" s="72"/>
      <c r="ELS166" s="72"/>
      <c r="ELT166" s="72"/>
      <c r="ELU166" s="72"/>
      <c r="ELV166" s="72"/>
      <c r="ELW166" s="72"/>
      <c r="ELX166" s="72"/>
      <c r="ELY166" s="72"/>
      <c r="ELZ166" s="72"/>
      <c r="EMA166" s="72"/>
      <c r="EMB166" s="72"/>
      <c r="EMC166" s="72"/>
      <c r="EMD166" s="72"/>
      <c r="EME166" s="72"/>
      <c r="EMF166" s="72"/>
      <c r="EMG166" s="72"/>
      <c r="EMH166" s="72"/>
      <c r="EMI166" s="72"/>
      <c r="EMJ166" s="72"/>
      <c r="EMK166" s="72"/>
      <c r="EML166" s="72"/>
      <c r="EMM166" s="72"/>
      <c r="EMN166" s="72"/>
      <c r="EMO166" s="72"/>
      <c r="EMP166" s="72"/>
      <c r="EMQ166" s="72"/>
      <c r="EMR166" s="72"/>
      <c r="EMS166" s="72"/>
      <c r="EMT166" s="72"/>
      <c r="EMU166" s="72"/>
      <c r="EMV166" s="72"/>
      <c r="EMW166" s="72"/>
      <c r="EMX166" s="72"/>
      <c r="EMY166" s="72"/>
      <c r="EMZ166" s="72"/>
      <c r="ENA166" s="72"/>
      <c r="ENB166" s="72"/>
      <c r="ENC166" s="72"/>
      <c r="END166" s="72"/>
      <c r="ENE166" s="72"/>
      <c r="ENF166" s="72"/>
      <c r="ENG166" s="72"/>
      <c r="ENH166" s="72"/>
      <c r="ENI166" s="72"/>
      <c r="ENJ166" s="72"/>
      <c r="ENK166" s="72"/>
      <c r="ENL166" s="72"/>
      <c r="ENM166" s="72"/>
      <c r="ENN166" s="72"/>
      <c r="ENO166" s="72"/>
      <c r="ENP166" s="72"/>
      <c r="ENQ166" s="72"/>
      <c r="ENR166" s="72"/>
      <c r="ENS166" s="72"/>
      <c r="ENT166" s="72"/>
      <c r="ENU166" s="72"/>
      <c r="ENV166" s="72"/>
      <c r="ENW166" s="72"/>
      <c r="ENX166" s="72"/>
      <c r="ENY166" s="72"/>
      <c r="ENZ166" s="72"/>
      <c r="EOA166" s="72"/>
      <c r="EOB166" s="72"/>
      <c r="EOC166" s="72"/>
      <c r="EOD166" s="72"/>
      <c r="EOE166" s="72"/>
      <c r="EOF166" s="72"/>
      <c r="EOG166" s="72"/>
      <c r="EOH166" s="72"/>
      <c r="EOI166" s="72"/>
      <c r="EOJ166" s="72"/>
      <c r="EOK166" s="72"/>
      <c r="EOL166" s="72"/>
      <c r="EOM166" s="72"/>
      <c r="EON166" s="72"/>
      <c r="EOO166" s="72"/>
      <c r="EOP166" s="72"/>
      <c r="EOQ166" s="72"/>
      <c r="EOR166" s="72"/>
      <c r="EOS166" s="72"/>
      <c r="EOT166" s="72"/>
      <c r="EOU166" s="72"/>
      <c r="EOV166" s="72"/>
      <c r="EOW166" s="72"/>
      <c r="EOX166" s="72"/>
      <c r="EOY166" s="72"/>
      <c r="EOZ166" s="72"/>
      <c r="EPA166" s="72"/>
      <c r="EPB166" s="72"/>
      <c r="EPC166" s="72"/>
      <c r="EPD166" s="72"/>
      <c r="EPE166" s="72"/>
      <c r="EPF166" s="72"/>
      <c r="EPG166" s="72"/>
      <c r="EPH166" s="72"/>
      <c r="EPI166" s="72"/>
      <c r="EPJ166" s="72"/>
      <c r="EPK166" s="72"/>
      <c r="EPL166" s="72"/>
      <c r="EPM166" s="72"/>
      <c r="EPN166" s="72"/>
      <c r="EPO166" s="72"/>
      <c r="EPP166" s="72"/>
      <c r="EPQ166" s="72"/>
      <c r="EPR166" s="72"/>
      <c r="EPS166" s="72"/>
      <c r="EPT166" s="72"/>
      <c r="EPU166" s="72"/>
      <c r="EPV166" s="72"/>
      <c r="EPW166" s="72"/>
      <c r="EPX166" s="72"/>
      <c r="EPY166" s="72"/>
      <c r="EPZ166" s="72"/>
      <c r="EQA166" s="72"/>
      <c r="EQB166" s="72"/>
      <c r="EQC166" s="72"/>
      <c r="EQD166" s="72"/>
      <c r="EQE166" s="72"/>
      <c r="EQF166" s="72"/>
      <c r="EQG166" s="72"/>
      <c r="EQH166" s="72"/>
      <c r="EQI166" s="72"/>
      <c r="EQJ166" s="72"/>
      <c r="EQK166" s="72"/>
      <c r="EQL166" s="72"/>
      <c r="EQM166" s="72"/>
      <c r="EQN166" s="72"/>
      <c r="EQO166" s="72"/>
      <c r="EQP166" s="72"/>
      <c r="EQQ166" s="72"/>
      <c r="EQR166" s="72"/>
      <c r="EQS166" s="72"/>
      <c r="EQT166" s="72"/>
      <c r="EQU166" s="72"/>
      <c r="EQV166" s="72"/>
      <c r="EQW166" s="72"/>
      <c r="EQX166" s="72"/>
      <c r="EQY166" s="72"/>
      <c r="EQZ166" s="72"/>
      <c r="ERA166" s="72"/>
      <c r="ERB166" s="72"/>
      <c r="ERC166" s="72"/>
      <c r="ERD166" s="72"/>
      <c r="ERE166" s="72"/>
      <c r="ERF166" s="72"/>
      <c r="ERG166" s="72"/>
      <c r="ERH166" s="72"/>
      <c r="ERI166" s="72"/>
      <c r="ERJ166" s="72"/>
      <c r="ERK166" s="72"/>
      <c r="ERL166" s="72"/>
      <c r="ERM166" s="72"/>
      <c r="ERN166" s="72"/>
      <c r="ERO166" s="72"/>
      <c r="ERP166" s="72"/>
      <c r="ERQ166" s="72"/>
      <c r="ERR166" s="72"/>
      <c r="ERS166" s="72"/>
      <c r="ERT166" s="72"/>
      <c r="ERU166" s="72"/>
      <c r="ERV166" s="72"/>
      <c r="ERW166" s="72"/>
      <c r="ERX166" s="72"/>
      <c r="ERY166" s="72"/>
      <c r="ERZ166" s="72"/>
      <c r="ESA166" s="72"/>
      <c r="ESB166" s="72"/>
      <c r="ESC166" s="72"/>
      <c r="ESD166" s="72"/>
      <c r="ESE166" s="72"/>
      <c r="ESF166" s="72"/>
      <c r="ESG166" s="72"/>
      <c r="ESH166" s="72"/>
      <c r="ESI166" s="72"/>
      <c r="ESJ166" s="72"/>
      <c r="ESK166" s="72"/>
      <c r="ESL166" s="72"/>
      <c r="ESM166" s="72"/>
      <c r="ESN166" s="72"/>
      <c r="ESO166" s="72"/>
      <c r="ESP166" s="72"/>
      <c r="ESQ166" s="72"/>
      <c r="ESR166" s="72"/>
      <c r="ESS166" s="72"/>
      <c r="EST166" s="72"/>
      <c r="ESU166" s="72"/>
      <c r="ESV166" s="72"/>
      <c r="ESW166" s="72"/>
      <c r="ESX166" s="72"/>
      <c r="ESY166" s="72"/>
      <c r="ESZ166" s="72"/>
      <c r="ETA166" s="72"/>
      <c r="ETB166" s="72"/>
      <c r="ETC166" s="72"/>
      <c r="ETD166" s="72"/>
      <c r="ETE166" s="72"/>
      <c r="ETF166" s="72"/>
      <c r="ETG166" s="72"/>
      <c r="ETH166" s="72"/>
      <c r="ETI166" s="72"/>
      <c r="ETJ166" s="72"/>
      <c r="ETK166" s="72"/>
      <c r="ETL166" s="72"/>
      <c r="ETM166" s="72"/>
      <c r="ETN166" s="72"/>
      <c r="ETO166" s="72"/>
      <c r="ETP166" s="72"/>
      <c r="ETQ166" s="72"/>
      <c r="ETR166" s="72"/>
      <c r="ETS166" s="72"/>
      <c r="ETT166" s="72"/>
      <c r="ETU166" s="72"/>
      <c r="ETV166" s="72"/>
      <c r="ETW166" s="72"/>
      <c r="ETX166" s="72"/>
      <c r="ETY166" s="72"/>
      <c r="ETZ166" s="72"/>
      <c r="EUA166" s="72"/>
      <c r="EUB166" s="72"/>
      <c r="EUC166" s="72"/>
      <c r="EUD166" s="72"/>
      <c r="EUE166" s="72"/>
      <c r="EUF166" s="72"/>
      <c r="EUG166" s="72"/>
      <c r="EUH166" s="72"/>
      <c r="EUI166" s="72"/>
      <c r="EUJ166" s="72"/>
      <c r="EUK166" s="72"/>
      <c r="EUL166" s="72"/>
      <c r="EUM166" s="72"/>
      <c r="EUN166" s="72"/>
      <c r="EUO166" s="72"/>
      <c r="EUP166" s="72"/>
      <c r="EUQ166" s="72"/>
      <c r="EUR166" s="72"/>
      <c r="EUS166" s="72"/>
      <c r="EUT166" s="72"/>
      <c r="EUU166" s="72"/>
      <c r="EUV166" s="72"/>
      <c r="EUW166" s="72"/>
      <c r="EUX166" s="72"/>
      <c r="EUY166" s="72"/>
      <c r="EUZ166" s="72"/>
      <c r="EVA166" s="72"/>
      <c r="EVB166" s="72"/>
      <c r="EVC166" s="72"/>
      <c r="EVD166" s="72"/>
      <c r="EVE166" s="72"/>
      <c r="EVF166" s="72"/>
      <c r="EVG166" s="72"/>
      <c r="EVH166" s="72"/>
      <c r="EVI166" s="72"/>
      <c r="EVJ166" s="72"/>
      <c r="EVK166" s="72"/>
      <c r="EVL166" s="72"/>
      <c r="EVM166" s="72"/>
      <c r="EVN166" s="72"/>
      <c r="EVO166" s="72"/>
      <c r="EVP166" s="72"/>
      <c r="EVQ166" s="72"/>
      <c r="EVR166" s="72"/>
      <c r="EVS166" s="72"/>
      <c r="EVT166" s="72"/>
      <c r="EVU166" s="72"/>
      <c r="EVV166" s="72"/>
      <c r="EVW166" s="72"/>
      <c r="EVX166" s="72"/>
      <c r="EVY166" s="72"/>
      <c r="EVZ166" s="72"/>
      <c r="EWA166" s="72"/>
      <c r="EWB166" s="72"/>
      <c r="EWC166" s="72"/>
      <c r="EWD166" s="72"/>
      <c r="EWE166" s="72"/>
      <c r="EWF166" s="72"/>
      <c r="EWG166" s="72"/>
      <c r="EWH166" s="72"/>
      <c r="EWI166" s="72"/>
      <c r="EWJ166" s="72"/>
      <c r="EWK166" s="72"/>
      <c r="EWL166" s="72"/>
      <c r="EWM166" s="72"/>
      <c r="EWN166" s="72"/>
      <c r="EWO166" s="72"/>
      <c r="EWP166" s="72"/>
      <c r="EWQ166" s="72"/>
      <c r="EWR166" s="72"/>
      <c r="EWS166" s="72"/>
      <c r="EWT166" s="72"/>
      <c r="EWU166" s="72"/>
      <c r="EWV166" s="72"/>
      <c r="EWW166" s="72"/>
      <c r="EWX166" s="72"/>
      <c r="EWY166" s="72"/>
      <c r="EWZ166" s="72"/>
      <c r="EXA166" s="72"/>
      <c r="EXB166" s="72"/>
      <c r="EXC166" s="72"/>
      <c r="EXD166" s="72"/>
      <c r="EXE166" s="72"/>
      <c r="EXF166" s="72"/>
      <c r="EXG166" s="72"/>
      <c r="EXH166" s="72"/>
      <c r="EXI166" s="72"/>
      <c r="EXJ166" s="72"/>
      <c r="EXK166" s="72"/>
      <c r="EXL166" s="72"/>
      <c r="EXM166" s="72"/>
      <c r="EXN166" s="72"/>
      <c r="EXO166" s="72"/>
      <c r="EXP166" s="72"/>
      <c r="EXQ166" s="72"/>
      <c r="EXR166" s="72"/>
      <c r="EXS166" s="72"/>
      <c r="EXT166" s="72"/>
      <c r="EXU166" s="72"/>
      <c r="EXV166" s="72"/>
      <c r="EXW166" s="72"/>
      <c r="EXX166" s="72"/>
      <c r="EXY166" s="72"/>
      <c r="EXZ166" s="72"/>
      <c r="EYA166" s="72"/>
      <c r="EYB166" s="72"/>
      <c r="EYC166" s="72"/>
      <c r="EYD166" s="72"/>
      <c r="EYE166" s="72"/>
      <c r="EYF166" s="72"/>
      <c r="EYG166" s="72"/>
      <c r="EYH166" s="72"/>
      <c r="EYI166" s="72"/>
      <c r="EYJ166" s="72"/>
      <c r="EYK166" s="72"/>
      <c r="EYL166" s="72"/>
      <c r="EYM166" s="72"/>
      <c r="EYN166" s="72"/>
      <c r="EYO166" s="72"/>
      <c r="EYP166" s="72"/>
      <c r="EYQ166" s="72"/>
      <c r="EYR166" s="72"/>
      <c r="EYS166" s="72"/>
      <c r="EYT166" s="72"/>
      <c r="EYU166" s="72"/>
      <c r="EYV166" s="72"/>
      <c r="EYW166" s="72"/>
      <c r="EYX166" s="72"/>
      <c r="EYY166" s="72"/>
      <c r="EYZ166" s="72"/>
      <c r="EZA166" s="72"/>
      <c r="EZB166" s="72"/>
      <c r="EZC166" s="72"/>
      <c r="EZD166" s="72"/>
      <c r="EZE166" s="72"/>
      <c r="EZF166" s="72"/>
      <c r="EZG166" s="72"/>
      <c r="EZH166" s="72"/>
      <c r="EZI166" s="72"/>
      <c r="EZJ166" s="72"/>
      <c r="EZK166" s="72"/>
      <c r="EZL166" s="72"/>
      <c r="EZM166" s="72"/>
      <c r="EZN166" s="72"/>
      <c r="EZO166" s="72"/>
      <c r="EZP166" s="72"/>
      <c r="EZQ166" s="72"/>
      <c r="EZR166" s="72"/>
      <c r="EZS166" s="72"/>
      <c r="EZT166" s="72"/>
      <c r="EZU166" s="72"/>
      <c r="EZV166" s="72"/>
      <c r="EZW166" s="72"/>
      <c r="EZX166" s="72"/>
      <c r="EZY166" s="72"/>
      <c r="EZZ166" s="72"/>
      <c r="FAA166" s="72"/>
      <c r="FAB166" s="72"/>
      <c r="FAC166" s="72"/>
      <c r="FAD166" s="72"/>
      <c r="FAE166" s="72"/>
      <c r="FAF166" s="72"/>
      <c r="FAG166" s="72"/>
      <c r="FAH166" s="72"/>
      <c r="FAI166" s="72"/>
      <c r="FAJ166" s="72"/>
      <c r="FAK166" s="72"/>
      <c r="FAL166" s="72"/>
      <c r="FAM166" s="72"/>
      <c r="FAN166" s="72"/>
      <c r="FAO166" s="72"/>
      <c r="FAP166" s="72"/>
      <c r="FAQ166" s="72"/>
      <c r="FAR166" s="72"/>
      <c r="FAS166" s="72"/>
      <c r="FAT166" s="72"/>
      <c r="FAU166" s="72"/>
      <c r="FAV166" s="72"/>
      <c r="FAW166" s="72"/>
      <c r="FAX166" s="72"/>
      <c r="FAY166" s="72"/>
      <c r="FAZ166" s="72"/>
      <c r="FBA166" s="72"/>
      <c r="FBB166" s="72"/>
      <c r="FBC166" s="72"/>
      <c r="FBD166" s="72"/>
      <c r="FBE166" s="72"/>
      <c r="FBF166" s="72"/>
      <c r="FBG166" s="72"/>
      <c r="FBH166" s="72"/>
      <c r="FBI166" s="72"/>
      <c r="FBJ166" s="72"/>
      <c r="FBK166" s="72"/>
      <c r="FBL166" s="72"/>
      <c r="FBM166" s="72"/>
      <c r="FBN166" s="72"/>
      <c r="FBO166" s="72"/>
      <c r="FBP166" s="72"/>
      <c r="FBQ166" s="72"/>
      <c r="FBR166" s="72"/>
      <c r="FBS166" s="72"/>
      <c r="FBT166" s="72"/>
      <c r="FBU166" s="72"/>
      <c r="FBV166" s="72"/>
      <c r="FBW166" s="72"/>
      <c r="FBX166" s="72"/>
      <c r="FBY166" s="72"/>
      <c r="FBZ166" s="72"/>
      <c r="FCA166" s="72"/>
      <c r="FCB166" s="72"/>
      <c r="FCC166" s="72"/>
      <c r="FCD166" s="72"/>
      <c r="FCE166" s="72"/>
      <c r="FCF166" s="72"/>
      <c r="FCG166" s="72"/>
      <c r="FCH166" s="72"/>
      <c r="FCI166" s="72"/>
      <c r="FCJ166" s="72"/>
      <c r="FCK166" s="72"/>
      <c r="FCL166" s="72"/>
      <c r="FCM166" s="72"/>
      <c r="FCN166" s="72"/>
      <c r="FCO166" s="72"/>
      <c r="FCP166" s="72"/>
      <c r="FCQ166" s="72"/>
      <c r="FCR166" s="72"/>
      <c r="FCS166" s="72"/>
      <c r="FCT166" s="72"/>
      <c r="FCU166" s="72"/>
      <c r="FCV166" s="72"/>
      <c r="FCW166" s="72"/>
      <c r="FCX166" s="72"/>
      <c r="FCY166" s="72"/>
      <c r="FCZ166" s="72"/>
      <c r="FDA166" s="72"/>
      <c r="FDB166" s="72"/>
      <c r="FDC166" s="72"/>
      <c r="FDD166" s="72"/>
      <c r="FDE166" s="72"/>
      <c r="FDF166" s="72"/>
      <c r="FDG166" s="72"/>
      <c r="FDH166" s="72"/>
      <c r="FDI166" s="72"/>
      <c r="FDJ166" s="72"/>
      <c r="FDK166" s="72"/>
      <c r="FDL166" s="72"/>
      <c r="FDM166" s="72"/>
      <c r="FDN166" s="72"/>
      <c r="FDO166" s="72"/>
      <c r="FDP166" s="72"/>
      <c r="FDQ166" s="72"/>
      <c r="FDR166" s="72"/>
      <c r="FDS166" s="72"/>
      <c r="FDT166" s="72"/>
      <c r="FDU166" s="72"/>
      <c r="FDV166" s="72"/>
      <c r="FDW166" s="72"/>
      <c r="FDX166" s="72"/>
      <c r="FDY166" s="72"/>
      <c r="FDZ166" s="72"/>
      <c r="FEA166" s="72"/>
      <c r="FEB166" s="72"/>
      <c r="FEC166" s="72"/>
      <c r="FED166" s="72"/>
      <c r="FEE166" s="72"/>
      <c r="FEF166" s="72"/>
      <c r="FEG166" s="72"/>
      <c r="FEH166" s="72"/>
      <c r="FEI166" s="72"/>
      <c r="FEJ166" s="72"/>
      <c r="FEK166" s="72"/>
      <c r="FEL166" s="72"/>
      <c r="FEM166" s="72"/>
      <c r="FEN166" s="72"/>
      <c r="FEO166" s="72"/>
      <c r="FEP166" s="72"/>
      <c r="FEQ166" s="72"/>
      <c r="FER166" s="72"/>
      <c r="FES166" s="72"/>
      <c r="FET166" s="72"/>
      <c r="FEU166" s="72"/>
      <c r="FEV166" s="72"/>
      <c r="FEW166" s="72"/>
      <c r="FEX166" s="72"/>
      <c r="FEY166" s="72"/>
      <c r="FEZ166" s="72"/>
      <c r="FFA166" s="72"/>
      <c r="FFB166" s="72"/>
      <c r="FFC166" s="72"/>
      <c r="FFD166" s="72"/>
      <c r="FFE166" s="72"/>
      <c r="FFF166" s="72"/>
      <c r="FFG166" s="72"/>
      <c r="FFH166" s="72"/>
      <c r="FFI166" s="72"/>
      <c r="FFJ166" s="72"/>
      <c r="FFK166" s="72"/>
      <c r="FFL166" s="72"/>
      <c r="FFM166" s="72"/>
      <c r="FFN166" s="72"/>
      <c r="FFO166" s="72"/>
      <c r="FFP166" s="72"/>
      <c r="FFQ166" s="72"/>
      <c r="FFR166" s="72"/>
      <c r="FFS166" s="72"/>
      <c r="FFT166" s="72"/>
      <c r="FFU166" s="72"/>
      <c r="FFV166" s="72"/>
      <c r="FFW166" s="72"/>
      <c r="FFX166" s="72"/>
      <c r="FFY166" s="72"/>
      <c r="FFZ166" s="72"/>
      <c r="FGA166" s="72"/>
      <c r="FGB166" s="72"/>
      <c r="FGC166" s="72"/>
      <c r="FGD166" s="72"/>
      <c r="FGE166" s="72"/>
      <c r="FGF166" s="72"/>
      <c r="FGG166" s="72"/>
      <c r="FGH166" s="72"/>
      <c r="FGI166" s="72"/>
      <c r="FGJ166" s="72"/>
      <c r="FGK166" s="72"/>
      <c r="FGL166" s="72"/>
      <c r="FGM166" s="72"/>
      <c r="FGN166" s="72"/>
      <c r="FGO166" s="72"/>
      <c r="FGP166" s="72"/>
      <c r="FGQ166" s="72"/>
      <c r="FGR166" s="72"/>
      <c r="FGS166" s="72"/>
      <c r="FGT166" s="72"/>
      <c r="FGU166" s="72"/>
      <c r="FGV166" s="72"/>
      <c r="FGW166" s="72"/>
      <c r="FGX166" s="72"/>
      <c r="FGY166" s="72"/>
      <c r="FGZ166" s="72"/>
      <c r="FHA166" s="72"/>
      <c r="FHB166" s="72"/>
      <c r="FHC166" s="72"/>
      <c r="FHD166" s="72"/>
      <c r="FHE166" s="72"/>
      <c r="FHF166" s="72"/>
      <c r="FHG166" s="72"/>
      <c r="FHH166" s="72"/>
      <c r="FHI166" s="72"/>
      <c r="FHJ166" s="72"/>
      <c r="FHK166" s="72"/>
      <c r="FHL166" s="72"/>
      <c r="FHM166" s="72"/>
      <c r="FHN166" s="72"/>
      <c r="FHO166" s="72"/>
      <c r="FHP166" s="72"/>
      <c r="FHQ166" s="72"/>
      <c r="FHR166" s="72"/>
      <c r="FHS166" s="72"/>
      <c r="FHT166" s="72"/>
      <c r="FHU166" s="72"/>
      <c r="FHV166" s="72"/>
      <c r="FHW166" s="72"/>
      <c r="FHX166" s="72"/>
      <c r="FHY166" s="72"/>
      <c r="FHZ166" s="72"/>
      <c r="FIA166" s="72"/>
      <c r="FIB166" s="72"/>
      <c r="FIC166" s="72"/>
      <c r="FID166" s="72"/>
      <c r="FIE166" s="72"/>
      <c r="FIF166" s="72"/>
      <c r="FIG166" s="72"/>
      <c r="FIH166" s="72"/>
      <c r="FII166" s="72"/>
      <c r="FIJ166" s="72"/>
      <c r="FIK166" s="72"/>
      <c r="FIL166" s="72"/>
      <c r="FIM166" s="72"/>
      <c r="FIN166" s="72"/>
      <c r="FIO166" s="72"/>
      <c r="FIP166" s="72"/>
      <c r="FIQ166" s="72"/>
      <c r="FIR166" s="72"/>
      <c r="FIS166" s="72"/>
      <c r="FIT166" s="72"/>
      <c r="FIU166" s="72"/>
      <c r="FIV166" s="72"/>
      <c r="FIW166" s="72"/>
      <c r="FIX166" s="72"/>
      <c r="FIY166" s="72"/>
      <c r="FIZ166" s="72"/>
      <c r="FJA166" s="72"/>
      <c r="FJB166" s="72"/>
      <c r="FJC166" s="72"/>
      <c r="FJD166" s="72"/>
      <c r="FJE166" s="72"/>
      <c r="FJF166" s="72"/>
      <c r="FJG166" s="72"/>
      <c r="FJH166" s="72"/>
      <c r="FJI166" s="72"/>
      <c r="FJJ166" s="72"/>
      <c r="FJK166" s="72"/>
      <c r="FJL166" s="72"/>
      <c r="FJM166" s="72"/>
      <c r="FJN166" s="72"/>
      <c r="FJO166" s="72"/>
      <c r="FJP166" s="72"/>
      <c r="FJQ166" s="72"/>
      <c r="FJR166" s="72"/>
      <c r="FJS166" s="72"/>
      <c r="FJT166" s="72"/>
      <c r="FJU166" s="72"/>
      <c r="FJV166" s="72"/>
      <c r="FJW166" s="72"/>
      <c r="FJX166" s="72"/>
      <c r="FJY166" s="72"/>
      <c r="FJZ166" s="72"/>
      <c r="FKA166" s="72"/>
      <c r="FKB166" s="72"/>
      <c r="FKC166" s="72"/>
      <c r="FKD166" s="72"/>
      <c r="FKE166" s="72"/>
      <c r="FKF166" s="72"/>
      <c r="FKG166" s="72"/>
      <c r="FKH166" s="72"/>
      <c r="FKI166" s="72"/>
      <c r="FKJ166" s="72"/>
      <c r="FKK166" s="72"/>
      <c r="FKL166" s="72"/>
      <c r="FKM166" s="72"/>
      <c r="FKN166" s="72"/>
      <c r="FKO166" s="72"/>
      <c r="FKP166" s="72"/>
      <c r="FKQ166" s="72"/>
      <c r="FKR166" s="72"/>
      <c r="FKS166" s="72"/>
      <c r="FKT166" s="72"/>
      <c r="FKU166" s="72"/>
      <c r="FKV166" s="72"/>
      <c r="FKW166" s="72"/>
      <c r="FKX166" s="72"/>
      <c r="FKY166" s="72"/>
      <c r="FKZ166" s="72"/>
      <c r="FLA166" s="72"/>
      <c r="FLB166" s="72"/>
      <c r="FLC166" s="72"/>
      <c r="FLD166" s="72"/>
      <c r="FLE166" s="72"/>
      <c r="FLF166" s="72"/>
      <c r="FLG166" s="72"/>
      <c r="FLH166" s="72"/>
      <c r="FLI166" s="72"/>
      <c r="FLJ166" s="72"/>
      <c r="FLK166" s="72"/>
      <c r="FLL166" s="72"/>
      <c r="FLM166" s="72"/>
      <c r="FLN166" s="72"/>
      <c r="FLO166" s="72"/>
      <c r="FLP166" s="72"/>
      <c r="FLQ166" s="72"/>
      <c r="FLR166" s="72"/>
      <c r="FLS166" s="72"/>
      <c r="FLT166" s="72"/>
      <c r="FLU166" s="72"/>
      <c r="FLV166" s="72"/>
      <c r="FLW166" s="72"/>
      <c r="FLX166" s="72"/>
      <c r="FLY166" s="72"/>
      <c r="FLZ166" s="72"/>
      <c r="FMA166" s="72"/>
      <c r="FMB166" s="72"/>
      <c r="FMC166" s="72"/>
      <c r="FMD166" s="72"/>
      <c r="FME166" s="72"/>
      <c r="FMF166" s="72"/>
      <c r="FMG166" s="72"/>
      <c r="FMH166" s="72"/>
      <c r="FMI166" s="72"/>
      <c r="FMJ166" s="72"/>
      <c r="FMK166" s="72"/>
      <c r="FML166" s="72"/>
      <c r="FMM166" s="72"/>
      <c r="FMN166" s="72"/>
      <c r="FMO166" s="72"/>
      <c r="FMP166" s="72"/>
      <c r="FMQ166" s="72"/>
      <c r="FMR166" s="72"/>
      <c r="FMS166" s="72"/>
      <c r="FMT166" s="72"/>
      <c r="FMU166" s="72"/>
      <c r="FMV166" s="72"/>
      <c r="FMW166" s="72"/>
      <c r="FMX166" s="72"/>
      <c r="FMY166" s="72"/>
      <c r="FMZ166" s="72"/>
      <c r="FNA166" s="72"/>
      <c r="FNB166" s="72"/>
      <c r="FNC166" s="72"/>
      <c r="FND166" s="72"/>
      <c r="FNE166" s="72"/>
      <c r="FNF166" s="72"/>
      <c r="FNG166" s="72"/>
      <c r="FNH166" s="72"/>
      <c r="FNI166" s="72"/>
      <c r="FNJ166" s="72"/>
      <c r="FNK166" s="72"/>
      <c r="FNL166" s="72"/>
      <c r="FNM166" s="72"/>
      <c r="FNN166" s="72"/>
      <c r="FNO166" s="72"/>
      <c r="FNP166" s="72"/>
      <c r="FNQ166" s="72"/>
      <c r="FNR166" s="72"/>
      <c r="FNS166" s="72"/>
      <c r="FNT166" s="72"/>
      <c r="FNU166" s="72"/>
      <c r="FNV166" s="72"/>
      <c r="FNW166" s="72"/>
      <c r="FNX166" s="72"/>
      <c r="FNY166" s="72"/>
      <c r="FNZ166" s="72"/>
      <c r="FOA166" s="72"/>
      <c r="FOB166" s="72"/>
      <c r="FOC166" s="72"/>
      <c r="FOD166" s="72"/>
      <c r="FOE166" s="72"/>
      <c r="FOF166" s="72"/>
      <c r="FOG166" s="72"/>
      <c r="FOH166" s="72"/>
      <c r="FOI166" s="72"/>
      <c r="FOJ166" s="72"/>
      <c r="FOK166" s="72"/>
      <c r="FOL166" s="72"/>
      <c r="FOM166" s="72"/>
      <c r="FON166" s="72"/>
      <c r="FOO166" s="72"/>
      <c r="FOP166" s="72"/>
      <c r="FOQ166" s="72"/>
      <c r="FOR166" s="72"/>
      <c r="FOS166" s="72"/>
      <c r="FOT166" s="72"/>
      <c r="FOU166" s="72"/>
      <c r="FOV166" s="72"/>
      <c r="FOW166" s="72"/>
      <c r="FOX166" s="72"/>
      <c r="FOY166" s="72"/>
      <c r="FOZ166" s="72"/>
      <c r="FPA166" s="72"/>
      <c r="FPB166" s="72"/>
      <c r="FPC166" s="72"/>
      <c r="FPD166" s="72"/>
      <c r="FPE166" s="72"/>
      <c r="FPF166" s="72"/>
      <c r="FPG166" s="72"/>
      <c r="FPH166" s="72"/>
      <c r="FPI166" s="72"/>
      <c r="FPJ166" s="72"/>
      <c r="FPK166" s="72"/>
      <c r="FPL166" s="72"/>
      <c r="FPM166" s="72"/>
      <c r="FPN166" s="72"/>
      <c r="FPO166" s="72"/>
      <c r="FPP166" s="72"/>
      <c r="FPQ166" s="72"/>
      <c r="FPR166" s="72"/>
      <c r="FPS166" s="72"/>
      <c r="FPT166" s="72"/>
      <c r="FPU166" s="72"/>
      <c r="FPV166" s="72"/>
      <c r="FPW166" s="72"/>
      <c r="FPX166" s="72"/>
      <c r="FPY166" s="72"/>
      <c r="FPZ166" s="72"/>
      <c r="FQA166" s="72"/>
      <c r="FQB166" s="72"/>
      <c r="FQC166" s="72"/>
      <c r="FQD166" s="72"/>
      <c r="FQE166" s="72"/>
      <c r="FQF166" s="72"/>
      <c r="FQG166" s="72"/>
      <c r="FQH166" s="72"/>
      <c r="FQI166" s="72"/>
      <c r="FQJ166" s="72"/>
      <c r="FQK166" s="72"/>
      <c r="FQL166" s="72"/>
      <c r="FQM166" s="72"/>
      <c r="FQN166" s="72"/>
      <c r="FQO166" s="72"/>
      <c r="FQP166" s="72"/>
      <c r="FQQ166" s="72"/>
      <c r="FQR166" s="72"/>
      <c r="FQS166" s="72"/>
      <c r="FQT166" s="72"/>
      <c r="FQU166" s="72"/>
      <c r="FQV166" s="72"/>
      <c r="FQW166" s="72"/>
      <c r="FQX166" s="72"/>
      <c r="FQY166" s="72"/>
      <c r="FQZ166" s="72"/>
      <c r="FRA166" s="72"/>
      <c r="FRB166" s="72"/>
      <c r="FRC166" s="72"/>
      <c r="FRD166" s="72"/>
      <c r="FRE166" s="72"/>
      <c r="FRF166" s="72"/>
      <c r="FRG166" s="72"/>
      <c r="FRH166" s="72"/>
      <c r="FRI166" s="72"/>
      <c r="FRJ166" s="72"/>
      <c r="FRK166" s="72"/>
      <c r="FRL166" s="72"/>
      <c r="FRM166" s="72"/>
      <c r="FRN166" s="72"/>
      <c r="FRO166" s="72"/>
      <c r="FRP166" s="72"/>
      <c r="FRQ166" s="72"/>
      <c r="FRR166" s="72"/>
      <c r="FRS166" s="72"/>
      <c r="FRT166" s="72"/>
      <c r="FRU166" s="72"/>
      <c r="FRV166" s="72"/>
      <c r="FRW166" s="72"/>
      <c r="FRX166" s="72"/>
      <c r="FRY166" s="72"/>
      <c r="FRZ166" s="72"/>
      <c r="FSA166" s="72"/>
      <c r="FSB166" s="72"/>
      <c r="FSC166" s="72"/>
      <c r="FSD166" s="72"/>
      <c r="FSE166" s="72"/>
      <c r="FSF166" s="72"/>
      <c r="FSG166" s="72"/>
      <c r="FSH166" s="72"/>
      <c r="FSI166" s="72"/>
      <c r="FSJ166" s="72"/>
      <c r="FSK166" s="72"/>
      <c r="FSL166" s="72"/>
      <c r="FSM166" s="72"/>
      <c r="FSN166" s="72"/>
      <c r="FSO166" s="72"/>
      <c r="FSP166" s="72"/>
      <c r="FSQ166" s="72"/>
      <c r="FSR166" s="72"/>
      <c r="FSS166" s="72"/>
      <c r="FST166" s="72"/>
      <c r="FSU166" s="72"/>
      <c r="FSV166" s="72"/>
      <c r="FSW166" s="72"/>
      <c r="FSX166" s="72"/>
      <c r="FSY166" s="72"/>
      <c r="FSZ166" s="72"/>
      <c r="FTA166" s="72"/>
      <c r="FTB166" s="72"/>
      <c r="FTC166" s="72"/>
      <c r="FTD166" s="72"/>
      <c r="FTE166" s="72"/>
      <c r="FTF166" s="72"/>
      <c r="FTG166" s="72"/>
      <c r="FTH166" s="72"/>
      <c r="FTI166" s="72"/>
      <c r="FTJ166" s="72"/>
      <c r="FTK166" s="72"/>
      <c r="FTL166" s="72"/>
      <c r="FTM166" s="72"/>
      <c r="FTN166" s="72"/>
      <c r="FTO166" s="72"/>
      <c r="FTP166" s="72"/>
      <c r="FTQ166" s="72"/>
      <c r="FTR166" s="72"/>
      <c r="FTS166" s="72"/>
      <c r="FTT166" s="72"/>
      <c r="FTU166" s="72"/>
      <c r="FTV166" s="72"/>
      <c r="FTW166" s="72"/>
      <c r="FTX166" s="72"/>
      <c r="FTY166" s="72"/>
      <c r="FTZ166" s="72"/>
      <c r="FUA166" s="72"/>
      <c r="FUB166" s="72"/>
      <c r="FUC166" s="72"/>
      <c r="FUD166" s="72"/>
      <c r="FUE166" s="72"/>
      <c r="FUF166" s="72"/>
      <c r="FUG166" s="72"/>
      <c r="FUH166" s="72"/>
      <c r="FUI166" s="72"/>
      <c r="FUJ166" s="72"/>
      <c r="FUK166" s="72"/>
      <c r="FUL166" s="72"/>
      <c r="FUM166" s="72"/>
      <c r="FUN166" s="72"/>
      <c r="FUO166" s="72"/>
      <c r="FUP166" s="72"/>
      <c r="FUQ166" s="72"/>
      <c r="FUR166" s="72"/>
      <c r="FUS166" s="72"/>
      <c r="FUT166" s="72"/>
      <c r="FUU166" s="72"/>
      <c r="FUV166" s="72"/>
      <c r="FUW166" s="72"/>
      <c r="FUX166" s="72"/>
      <c r="FUY166" s="72"/>
      <c r="FUZ166" s="72"/>
      <c r="FVA166" s="72"/>
      <c r="FVB166" s="72"/>
      <c r="FVC166" s="72"/>
      <c r="FVD166" s="72"/>
      <c r="FVE166" s="72"/>
      <c r="FVF166" s="72"/>
      <c r="FVG166" s="72"/>
      <c r="FVH166" s="72"/>
      <c r="FVI166" s="72"/>
      <c r="FVJ166" s="72"/>
      <c r="FVK166" s="72"/>
      <c r="FVL166" s="72"/>
      <c r="FVM166" s="72"/>
      <c r="FVN166" s="72"/>
      <c r="FVO166" s="72"/>
      <c r="FVP166" s="72"/>
      <c r="FVQ166" s="72"/>
      <c r="FVR166" s="72"/>
      <c r="FVS166" s="72"/>
      <c r="FVT166" s="72"/>
      <c r="FVU166" s="72"/>
      <c r="FVV166" s="72"/>
      <c r="FVW166" s="72"/>
      <c r="FVX166" s="72"/>
      <c r="FVY166" s="72"/>
      <c r="FVZ166" s="72"/>
      <c r="FWA166" s="72"/>
      <c r="FWB166" s="72"/>
      <c r="FWC166" s="72"/>
      <c r="FWD166" s="72"/>
      <c r="FWE166" s="72"/>
      <c r="FWF166" s="72"/>
      <c r="FWG166" s="72"/>
      <c r="FWH166" s="72"/>
      <c r="FWI166" s="72"/>
      <c r="FWJ166" s="72"/>
      <c r="FWK166" s="72"/>
      <c r="FWL166" s="72"/>
      <c r="FWM166" s="72"/>
      <c r="FWN166" s="72"/>
      <c r="FWO166" s="72"/>
      <c r="FWP166" s="72"/>
      <c r="FWQ166" s="72"/>
      <c r="FWR166" s="72"/>
      <c r="FWS166" s="72"/>
      <c r="FWT166" s="72"/>
      <c r="FWU166" s="72"/>
      <c r="FWV166" s="72"/>
      <c r="FWW166" s="72"/>
      <c r="FWX166" s="72"/>
      <c r="FWY166" s="72"/>
      <c r="FWZ166" s="72"/>
      <c r="FXA166" s="72"/>
      <c r="FXB166" s="72"/>
      <c r="FXC166" s="72"/>
      <c r="FXD166" s="72"/>
      <c r="FXE166" s="72"/>
      <c r="FXF166" s="72"/>
      <c r="FXG166" s="72"/>
      <c r="FXH166" s="72"/>
      <c r="FXI166" s="72"/>
      <c r="FXJ166" s="72"/>
      <c r="FXK166" s="72"/>
      <c r="FXL166" s="72"/>
      <c r="FXM166" s="72"/>
      <c r="FXN166" s="72"/>
      <c r="FXO166" s="72"/>
      <c r="FXP166" s="72"/>
      <c r="FXQ166" s="72"/>
      <c r="FXR166" s="72"/>
      <c r="FXS166" s="72"/>
      <c r="FXT166" s="72"/>
      <c r="FXU166" s="72"/>
      <c r="FXV166" s="72"/>
      <c r="FXW166" s="72"/>
      <c r="FXX166" s="72"/>
      <c r="FXY166" s="72"/>
      <c r="FXZ166" s="72"/>
      <c r="FYA166" s="72"/>
      <c r="FYB166" s="72"/>
      <c r="FYC166" s="72"/>
      <c r="FYD166" s="72"/>
      <c r="FYE166" s="72"/>
      <c r="FYF166" s="72"/>
      <c r="FYG166" s="72"/>
      <c r="FYH166" s="72"/>
      <c r="FYI166" s="72"/>
      <c r="FYJ166" s="72"/>
      <c r="FYK166" s="72"/>
      <c r="FYL166" s="72"/>
      <c r="FYM166" s="72"/>
      <c r="FYN166" s="72"/>
      <c r="FYO166" s="72"/>
      <c r="FYP166" s="72"/>
      <c r="FYQ166" s="72"/>
      <c r="FYR166" s="72"/>
      <c r="FYS166" s="72"/>
      <c r="FYT166" s="72"/>
      <c r="FYU166" s="72"/>
      <c r="FYV166" s="72"/>
      <c r="FYW166" s="72"/>
      <c r="FYX166" s="72"/>
      <c r="FYY166" s="72"/>
      <c r="FYZ166" s="72"/>
      <c r="FZA166" s="72"/>
      <c r="FZB166" s="72"/>
      <c r="FZC166" s="72"/>
      <c r="FZD166" s="72"/>
      <c r="FZE166" s="72"/>
      <c r="FZF166" s="72"/>
      <c r="FZG166" s="72"/>
      <c r="FZH166" s="72"/>
      <c r="FZI166" s="72"/>
      <c r="FZJ166" s="72"/>
      <c r="FZK166" s="72"/>
      <c r="FZL166" s="72"/>
      <c r="FZM166" s="72"/>
      <c r="FZN166" s="72"/>
      <c r="FZO166" s="72"/>
      <c r="FZP166" s="72"/>
      <c r="FZQ166" s="72"/>
      <c r="FZR166" s="72"/>
      <c r="FZS166" s="72"/>
      <c r="FZT166" s="72"/>
      <c r="FZU166" s="72"/>
      <c r="FZV166" s="72"/>
      <c r="FZW166" s="72"/>
      <c r="FZX166" s="72"/>
      <c r="FZY166" s="72"/>
      <c r="FZZ166" s="72"/>
      <c r="GAA166" s="72"/>
      <c r="GAB166" s="72"/>
      <c r="GAC166" s="72"/>
      <c r="GAD166" s="72"/>
      <c r="GAE166" s="72"/>
      <c r="GAF166" s="72"/>
      <c r="GAG166" s="72"/>
      <c r="GAH166" s="72"/>
      <c r="GAI166" s="72"/>
      <c r="GAJ166" s="72"/>
      <c r="GAK166" s="72"/>
      <c r="GAL166" s="72"/>
      <c r="GAM166" s="72"/>
      <c r="GAN166" s="72"/>
      <c r="GAO166" s="72"/>
      <c r="GAP166" s="72"/>
      <c r="GAQ166" s="72"/>
      <c r="GAR166" s="72"/>
      <c r="GAS166" s="72"/>
      <c r="GAT166" s="72"/>
      <c r="GAU166" s="72"/>
      <c r="GAV166" s="72"/>
      <c r="GAW166" s="72"/>
      <c r="GAX166" s="72"/>
      <c r="GAY166" s="72"/>
      <c r="GAZ166" s="72"/>
      <c r="GBA166" s="72"/>
      <c r="GBB166" s="72"/>
      <c r="GBC166" s="72"/>
      <c r="GBD166" s="72"/>
      <c r="GBE166" s="72"/>
      <c r="GBF166" s="72"/>
      <c r="GBG166" s="72"/>
      <c r="GBH166" s="72"/>
      <c r="GBI166" s="72"/>
      <c r="GBJ166" s="72"/>
      <c r="GBK166" s="72"/>
      <c r="GBL166" s="72"/>
      <c r="GBM166" s="72"/>
      <c r="GBN166" s="72"/>
      <c r="GBO166" s="72"/>
      <c r="GBP166" s="72"/>
      <c r="GBQ166" s="72"/>
      <c r="GBR166" s="72"/>
      <c r="GBS166" s="72"/>
      <c r="GBT166" s="72"/>
      <c r="GBU166" s="72"/>
      <c r="GBV166" s="72"/>
      <c r="GBW166" s="72"/>
      <c r="GBX166" s="72"/>
      <c r="GBY166" s="72"/>
      <c r="GBZ166" s="72"/>
      <c r="GCA166" s="72"/>
      <c r="GCB166" s="72"/>
      <c r="GCC166" s="72"/>
      <c r="GCD166" s="72"/>
      <c r="GCE166" s="72"/>
      <c r="GCF166" s="72"/>
      <c r="GCG166" s="72"/>
      <c r="GCH166" s="72"/>
      <c r="GCI166" s="72"/>
      <c r="GCJ166" s="72"/>
      <c r="GCK166" s="72"/>
      <c r="GCL166" s="72"/>
      <c r="GCM166" s="72"/>
      <c r="GCN166" s="72"/>
      <c r="GCO166" s="72"/>
      <c r="GCP166" s="72"/>
      <c r="GCQ166" s="72"/>
      <c r="GCR166" s="72"/>
      <c r="GCS166" s="72"/>
      <c r="GCT166" s="72"/>
      <c r="GCU166" s="72"/>
      <c r="GCV166" s="72"/>
      <c r="GCW166" s="72"/>
      <c r="GCX166" s="72"/>
      <c r="GCY166" s="72"/>
      <c r="GCZ166" s="72"/>
      <c r="GDA166" s="72"/>
      <c r="GDB166" s="72"/>
      <c r="GDC166" s="72"/>
      <c r="GDD166" s="72"/>
      <c r="GDE166" s="72"/>
      <c r="GDF166" s="72"/>
      <c r="GDG166" s="72"/>
      <c r="GDH166" s="72"/>
      <c r="GDI166" s="72"/>
      <c r="GDJ166" s="72"/>
      <c r="GDK166" s="72"/>
      <c r="GDL166" s="72"/>
      <c r="GDM166" s="72"/>
      <c r="GDN166" s="72"/>
      <c r="GDO166" s="72"/>
      <c r="GDP166" s="72"/>
      <c r="GDQ166" s="72"/>
      <c r="GDR166" s="72"/>
      <c r="GDS166" s="72"/>
      <c r="GDT166" s="72"/>
      <c r="GDU166" s="72"/>
      <c r="GDV166" s="72"/>
      <c r="GDW166" s="72"/>
      <c r="GDX166" s="72"/>
      <c r="GDY166" s="72"/>
      <c r="GDZ166" s="72"/>
      <c r="GEA166" s="72"/>
      <c r="GEB166" s="72"/>
      <c r="GEC166" s="72"/>
      <c r="GED166" s="72"/>
      <c r="GEE166" s="72"/>
      <c r="GEF166" s="72"/>
      <c r="GEG166" s="72"/>
      <c r="GEH166" s="72"/>
      <c r="GEI166" s="72"/>
      <c r="GEJ166" s="72"/>
      <c r="GEK166" s="72"/>
      <c r="GEL166" s="72"/>
      <c r="GEM166" s="72"/>
      <c r="GEN166" s="72"/>
      <c r="GEO166" s="72"/>
      <c r="GEP166" s="72"/>
      <c r="GEQ166" s="72"/>
      <c r="GER166" s="72"/>
      <c r="GES166" s="72"/>
      <c r="GET166" s="72"/>
      <c r="GEU166" s="72"/>
      <c r="GEV166" s="72"/>
      <c r="GEW166" s="72"/>
      <c r="GEX166" s="72"/>
      <c r="GEY166" s="72"/>
      <c r="GEZ166" s="72"/>
      <c r="GFA166" s="72"/>
      <c r="GFB166" s="72"/>
      <c r="GFC166" s="72"/>
      <c r="GFD166" s="72"/>
      <c r="GFE166" s="72"/>
      <c r="GFF166" s="72"/>
      <c r="GFG166" s="72"/>
      <c r="GFH166" s="72"/>
      <c r="GFI166" s="72"/>
      <c r="GFJ166" s="72"/>
      <c r="GFK166" s="72"/>
      <c r="GFL166" s="72"/>
      <c r="GFM166" s="72"/>
      <c r="GFN166" s="72"/>
      <c r="GFO166" s="72"/>
      <c r="GFP166" s="72"/>
      <c r="GFQ166" s="72"/>
      <c r="GFR166" s="72"/>
      <c r="GFS166" s="72"/>
      <c r="GFT166" s="72"/>
      <c r="GFU166" s="72"/>
      <c r="GFV166" s="72"/>
      <c r="GFW166" s="72"/>
      <c r="GFX166" s="72"/>
      <c r="GFY166" s="72"/>
      <c r="GFZ166" s="72"/>
      <c r="GGA166" s="72"/>
      <c r="GGB166" s="72"/>
      <c r="GGC166" s="72"/>
      <c r="GGD166" s="72"/>
      <c r="GGE166" s="72"/>
      <c r="GGF166" s="72"/>
      <c r="GGG166" s="72"/>
      <c r="GGH166" s="72"/>
      <c r="GGI166" s="72"/>
      <c r="GGJ166" s="72"/>
      <c r="GGK166" s="72"/>
      <c r="GGL166" s="72"/>
      <c r="GGM166" s="72"/>
      <c r="GGN166" s="72"/>
      <c r="GGO166" s="72"/>
      <c r="GGP166" s="72"/>
      <c r="GGQ166" s="72"/>
      <c r="GGR166" s="72"/>
      <c r="GGS166" s="72"/>
      <c r="GGT166" s="72"/>
      <c r="GGU166" s="72"/>
      <c r="GGV166" s="72"/>
      <c r="GGW166" s="72"/>
      <c r="GGX166" s="72"/>
      <c r="GGY166" s="72"/>
      <c r="GGZ166" s="72"/>
      <c r="GHA166" s="72"/>
      <c r="GHB166" s="72"/>
      <c r="GHC166" s="72"/>
      <c r="GHD166" s="72"/>
      <c r="GHE166" s="72"/>
      <c r="GHF166" s="72"/>
      <c r="GHG166" s="72"/>
      <c r="GHH166" s="72"/>
      <c r="GHI166" s="72"/>
      <c r="GHJ166" s="72"/>
      <c r="GHK166" s="72"/>
      <c r="GHL166" s="72"/>
      <c r="GHM166" s="72"/>
      <c r="GHN166" s="72"/>
      <c r="GHO166" s="72"/>
      <c r="GHP166" s="72"/>
      <c r="GHQ166" s="72"/>
      <c r="GHR166" s="72"/>
      <c r="GHS166" s="72"/>
      <c r="GHT166" s="72"/>
      <c r="GHU166" s="72"/>
      <c r="GHV166" s="72"/>
      <c r="GHW166" s="72"/>
      <c r="GHX166" s="72"/>
      <c r="GHY166" s="72"/>
      <c r="GHZ166" s="72"/>
      <c r="GIA166" s="72"/>
      <c r="GIB166" s="72"/>
      <c r="GIC166" s="72"/>
      <c r="GID166" s="72"/>
      <c r="GIE166" s="72"/>
      <c r="GIF166" s="72"/>
      <c r="GIG166" s="72"/>
      <c r="GIH166" s="72"/>
      <c r="GII166" s="72"/>
      <c r="GIJ166" s="72"/>
      <c r="GIK166" s="72"/>
      <c r="GIL166" s="72"/>
      <c r="GIM166" s="72"/>
      <c r="GIN166" s="72"/>
      <c r="GIO166" s="72"/>
      <c r="GIP166" s="72"/>
      <c r="GIQ166" s="72"/>
      <c r="GIR166" s="72"/>
      <c r="GIS166" s="72"/>
      <c r="GIT166" s="72"/>
      <c r="GIU166" s="72"/>
      <c r="GIV166" s="72"/>
      <c r="GIW166" s="72"/>
      <c r="GIX166" s="72"/>
      <c r="GIY166" s="72"/>
      <c r="GIZ166" s="72"/>
      <c r="GJA166" s="72"/>
      <c r="GJB166" s="72"/>
      <c r="GJC166" s="72"/>
      <c r="GJD166" s="72"/>
      <c r="GJE166" s="72"/>
      <c r="GJF166" s="72"/>
      <c r="GJG166" s="72"/>
      <c r="GJH166" s="72"/>
      <c r="GJI166" s="72"/>
      <c r="GJJ166" s="72"/>
      <c r="GJK166" s="72"/>
      <c r="GJL166" s="72"/>
      <c r="GJM166" s="72"/>
      <c r="GJN166" s="72"/>
      <c r="GJO166" s="72"/>
      <c r="GJP166" s="72"/>
      <c r="GJQ166" s="72"/>
      <c r="GJR166" s="72"/>
      <c r="GJS166" s="72"/>
      <c r="GJT166" s="72"/>
      <c r="GJU166" s="72"/>
      <c r="GJV166" s="72"/>
      <c r="GJW166" s="72"/>
      <c r="GJX166" s="72"/>
      <c r="GJY166" s="72"/>
      <c r="GJZ166" s="72"/>
      <c r="GKA166" s="72"/>
      <c r="GKB166" s="72"/>
      <c r="GKC166" s="72"/>
      <c r="GKD166" s="72"/>
      <c r="GKE166" s="72"/>
      <c r="GKF166" s="72"/>
      <c r="GKG166" s="72"/>
      <c r="GKH166" s="72"/>
      <c r="GKI166" s="72"/>
      <c r="GKJ166" s="72"/>
      <c r="GKK166" s="72"/>
      <c r="GKL166" s="72"/>
      <c r="GKM166" s="72"/>
      <c r="GKN166" s="72"/>
      <c r="GKO166" s="72"/>
      <c r="GKP166" s="72"/>
      <c r="GKQ166" s="72"/>
      <c r="GKR166" s="72"/>
      <c r="GKS166" s="72"/>
      <c r="GKT166" s="72"/>
      <c r="GKU166" s="72"/>
      <c r="GKV166" s="72"/>
      <c r="GKW166" s="72"/>
      <c r="GKX166" s="72"/>
      <c r="GKY166" s="72"/>
      <c r="GKZ166" s="72"/>
      <c r="GLA166" s="72"/>
      <c r="GLB166" s="72"/>
      <c r="GLC166" s="72"/>
      <c r="GLD166" s="72"/>
      <c r="GLE166" s="72"/>
      <c r="GLF166" s="72"/>
      <c r="GLG166" s="72"/>
      <c r="GLH166" s="72"/>
      <c r="GLI166" s="72"/>
      <c r="GLJ166" s="72"/>
      <c r="GLK166" s="72"/>
      <c r="GLL166" s="72"/>
      <c r="GLM166" s="72"/>
      <c r="GLN166" s="72"/>
      <c r="GLO166" s="72"/>
      <c r="GLP166" s="72"/>
      <c r="GLQ166" s="72"/>
      <c r="GLR166" s="72"/>
      <c r="GLS166" s="72"/>
      <c r="GLT166" s="72"/>
      <c r="GLU166" s="72"/>
      <c r="GLV166" s="72"/>
      <c r="GLW166" s="72"/>
      <c r="GLX166" s="72"/>
      <c r="GLY166" s="72"/>
      <c r="GLZ166" s="72"/>
      <c r="GMA166" s="72"/>
      <c r="GMB166" s="72"/>
      <c r="GMC166" s="72"/>
      <c r="GMD166" s="72"/>
      <c r="GME166" s="72"/>
      <c r="GMF166" s="72"/>
      <c r="GMG166" s="72"/>
      <c r="GMH166" s="72"/>
      <c r="GMI166" s="72"/>
      <c r="GMJ166" s="72"/>
      <c r="GMK166" s="72"/>
      <c r="GML166" s="72"/>
      <c r="GMM166" s="72"/>
      <c r="GMN166" s="72"/>
      <c r="GMO166" s="72"/>
      <c r="GMP166" s="72"/>
      <c r="GMQ166" s="72"/>
      <c r="GMR166" s="72"/>
      <c r="GMS166" s="72"/>
      <c r="GMT166" s="72"/>
      <c r="GMU166" s="72"/>
      <c r="GMV166" s="72"/>
      <c r="GMW166" s="72"/>
      <c r="GMX166" s="72"/>
      <c r="GMY166" s="72"/>
      <c r="GMZ166" s="72"/>
      <c r="GNA166" s="72"/>
      <c r="GNB166" s="72"/>
      <c r="GNC166" s="72"/>
      <c r="GND166" s="72"/>
      <c r="GNE166" s="72"/>
      <c r="GNF166" s="72"/>
      <c r="GNG166" s="72"/>
      <c r="GNH166" s="72"/>
      <c r="GNI166" s="72"/>
      <c r="GNJ166" s="72"/>
      <c r="GNK166" s="72"/>
      <c r="GNL166" s="72"/>
      <c r="GNM166" s="72"/>
      <c r="GNN166" s="72"/>
      <c r="GNO166" s="72"/>
      <c r="GNP166" s="72"/>
      <c r="GNQ166" s="72"/>
      <c r="GNR166" s="72"/>
      <c r="GNS166" s="72"/>
      <c r="GNT166" s="72"/>
      <c r="GNU166" s="72"/>
      <c r="GNV166" s="72"/>
      <c r="GNW166" s="72"/>
      <c r="GNX166" s="72"/>
      <c r="GNY166" s="72"/>
      <c r="GNZ166" s="72"/>
      <c r="GOA166" s="72"/>
      <c r="GOB166" s="72"/>
      <c r="GOC166" s="72"/>
      <c r="GOD166" s="72"/>
      <c r="GOE166" s="72"/>
      <c r="GOF166" s="72"/>
      <c r="GOG166" s="72"/>
      <c r="GOH166" s="72"/>
      <c r="GOI166" s="72"/>
      <c r="GOJ166" s="72"/>
      <c r="GOK166" s="72"/>
      <c r="GOL166" s="72"/>
      <c r="GOM166" s="72"/>
      <c r="GON166" s="72"/>
      <c r="GOO166" s="72"/>
      <c r="GOP166" s="72"/>
      <c r="GOQ166" s="72"/>
      <c r="GOR166" s="72"/>
      <c r="GOS166" s="72"/>
      <c r="GOT166" s="72"/>
      <c r="GOU166" s="72"/>
      <c r="GOV166" s="72"/>
      <c r="GOW166" s="72"/>
      <c r="GOX166" s="72"/>
      <c r="GOY166" s="72"/>
      <c r="GOZ166" s="72"/>
      <c r="GPA166" s="72"/>
      <c r="GPB166" s="72"/>
      <c r="GPC166" s="72"/>
      <c r="GPD166" s="72"/>
      <c r="GPE166" s="72"/>
      <c r="GPF166" s="72"/>
      <c r="GPG166" s="72"/>
      <c r="GPH166" s="72"/>
      <c r="GPI166" s="72"/>
      <c r="GPJ166" s="72"/>
      <c r="GPK166" s="72"/>
      <c r="GPL166" s="72"/>
      <c r="GPM166" s="72"/>
      <c r="GPN166" s="72"/>
      <c r="GPO166" s="72"/>
      <c r="GPP166" s="72"/>
      <c r="GPQ166" s="72"/>
      <c r="GPR166" s="72"/>
      <c r="GPS166" s="72"/>
      <c r="GPT166" s="72"/>
      <c r="GPU166" s="72"/>
      <c r="GPV166" s="72"/>
      <c r="GPW166" s="72"/>
      <c r="GPX166" s="72"/>
      <c r="GPY166" s="72"/>
      <c r="GPZ166" s="72"/>
      <c r="GQA166" s="72"/>
      <c r="GQB166" s="72"/>
      <c r="GQC166" s="72"/>
      <c r="GQD166" s="72"/>
      <c r="GQE166" s="72"/>
      <c r="GQF166" s="72"/>
      <c r="GQG166" s="72"/>
      <c r="GQH166" s="72"/>
      <c r="GQI166" s="72"/>
      <c r="GQJ166" s="72"/>
      <c r="GQK166" s="72"/>
      <c r="GQL166" s="72"/>
      <c r="GQM166" s="72"/>
      <c r="GQN166" s="72"/>
      <c r="GQO166" s="72"/>
      <c r="GQP166" s="72"/>
      <c r="GQQ166" s="72"/>
      <c r="GQR166" s="72"/>
      <c r="GQS166" s="72"/>
      <c r="GQT166" s="72"/>
      <c r="GQU166" s="72"/>
      <c r="GQV166" s="72"/>
      <c r="GQW166" s="72"/>
      <c r="GQX166" s="72"/>
      <c r="GQY166" s="72"/>
      <c r="GQZ166" s="72"/>
      <c r="GRA166" s="72"/>
      <c r="GRB166" s="72"/>
      <c r="GRC166" s="72"/>
      <c r="GRD166" s="72"/>
      <c r="GRE166" s="72"/>
      <c r="GRF166" s="72"/>
      <c r="GRG166" s="72"/>
      <c r="GRH166" s="72"/>
      <c r="GRI166" s="72"/>
      <c r="GRJ166" s="72"/>
      <c r="GRK166" s="72"/>
      <c r="GRL166" s="72"/>
      <c r="GRM166" s="72"/>
      <c r="GRN166" s="72"/>
      <c r="GRO166" s="72"/>
      <c r="GRP166" s="72"/>
      <c r="GRQ166" s="72"/>
      <c r="GRR166" s="72"/>
      <c r="GRS166" s="72"/>
      <c r="GRT166" s="72"/>
      <c r="GRU166" s="72"/>
      <c r="GRV166" s="72"/>
      <c r="GRW166" s="72"/>
      <c r="GRX166" s="72"/>
      <c r="GRY166" s="72"/>
      <c r="GRZ166" s="72"/>
      <c r="GSA166" s="72"/>
      <c r="GSB166" s="72"/>
      <c r="GSC166" s="72"/>
      <c r="GSD166" s="72"/>
      <c r="GSE166" s="72"/>
      <c r="GSF166" s="72"/>
      <c r="GSG166" s="72"/>
      <c r="GSH166" s="72"/>
      <c r="GSI166" s="72"/>
      <c r="GSJ166" s="72"/>
      <c r="GSK166" s="72"/>
      <c r="GSL166" s="72"/>
      <c r="GSM166" s="72"/>
      <c r="GSN166" s="72"/>
      <c r="GSO166" s="72"/>
      <c r="GSP166" s="72"/>
      <c r="GSQ166" s="72"/>
      <c r="GSR166" s="72"/>
      <c r="GSS166" s="72"/>
      <c r="GST166" s="72"/>
      <c r="GSU166" s="72"/>
      <c r="GSV166" s="72"/>
      <c r="GSW166" s="72"/>
      <c r="GSX166" s="72"/>
      <c r="GSY166" s="72"/>
      <c r="GSZ166" s="72"/>
      <c r="GTA166" s="72"/>
      <c r="GTB166" s="72"/>
      <c r="GTC166" s="72"/>
      <c r="GTD166" s="72"/>
      <c r="GTE166" s="72"/>
      <c r="GTF166" s="72"/>
      <c r="GTG166" s="72"/>
      <c r="GTH166" s="72"/>
      <c r="GTI166" s="72"/>
      <c r="GTJ166" s="72"/>
      <c r="GTK166" s="72"/>
      <c r="GTL166" s="72"/>
      <c r="GTM166" s="72"/>
      <c r="GTN166" s="72"/>
      <c r="GTO166" s="72"/>
      <c r="GTP166" s="72"/>
      <c r="GTQ166" s="72"/>
      <c r="GTR166" s="72"/>
      <c r="GTS166" s="72"/>
      <c r="GTT166" s="72"/>
      <c r="GTU166" s="72"/>
      <c r="GTV166" s="72"/>
      <c r="GTW166" s="72"/>
      <c r="GTX166" s="72"/>
      <c r="GTY166" s="72"/>
      <c r="GTZ166" s="72"/>
      <c r="GUA166" s="72"/>
      <c r="GUB166" s="72"/>
      <c r="GUC166" s="72"/>
      <c r="GUD166" s="72"/>
      <c r="GUE166" s="72"/>
      <c r="GUF166" s="72"/>
      <c r="GUG166" s="72"/>
      <c r="GUH166" s="72"/>
      <c r="GUI166" s="72"/>
      <c r="GUJ166" s="72"/>
      <c r="GUK166" s="72"/>
      <c r="GUL166" s="72"/>
      <c r="GUM166" s="72"/>
      <c r="GUN166" s="72"/>
      <c r="GUO166" s="72"/>
      <c r="GUP166" s="72"/>
      <c r="GUQ166" s="72"/>
      <c r="GUR166" s="72"/>
      <c r="GUS166" s="72"/>
      <c r="GUT166" s="72"/>
      <c r="GUU166" s="72"/>
      <c r="GUV166" s="72"/>
      <c r="GUW166" s="72"/>
      <c r="GUX166" s="72"/>
      <c r="GUY166" s="72"/>
      <c r="GUZ166" s="72"/>
      <c r="GVA166" s="72"/>
      <c r="GVB166" s="72"/>
      <c r="GVC166" s="72"/>
      <c r="GVD166" s="72"/>
      <c r="GVE166" s="72"/>
      <c r="GVF166" s="72"/>
      <c r="GVG166" s="72"/>
      <c r="GVH166" s="72"/>
      <c r="GVI166" s="72"/>
      <c r="GVJ166" s="72"/>
      <c r="GVK166" s="72"/>
      <c r="GVL166" s="72"/>
      <c r="GVM166" s="72"/>
      <c r="GVN166" s="72"/>
      <c r="GVO166" s="72"/>
      <c r="GVP166" s="72"/>
      <c r="GVQ166" s="72"/>
      <c r="GVR166" s="72"/>
      <c r="GVS166" s="72"/>
      <c r="GVT166" s="72"/>
      <c r="GVU166" s="72"/>
      <c r="GVV166" s="72"/>
      <c r="GVW166" s="72"/>
      <c r="GVX166" s="72"/>
      <c r="GVY166" s="72"/>
      <c r="GVZ166" s="72"/>
      <c r="GWA166" s="72"/>
      <c r="GWB166" s="72"/>
      <c r="GWC166" s="72"/>
      <c r="GWD166" s="72"/>
      <c r="GWE166" s="72"/>
      <c r="GWF166" s="72"/>
      <c r="GWG166" s="72"/>
      <c r="GWH166" s="72"/>
      <c r="GWI166" s="72"/>
      <c r="GWJ166" s="72"/>
      <c r="GWK166" s="72"/>
      <c r="GWL166" s="72"/>
      <c r="GWM166" s="72"/>
      <c r="GWN166" s="72"/>
      <c r="GWO166" s="72"/>
      <c r="GWP166" s="72"/>
      <c r="GWQ166" s="72"/>
      <c r="GWR166" s="72"/>
      <c r="GWS166" s="72"/>
      <c r="GWT166" s="72"/>
      <c r="GWU166" s="72"/>
      <c r="GWV166" s="72"/>
      <c r="GWW166" s="72"/>
      <c r="GWX166" s="72"/>
      <c r="GWY166" s="72"/>
      <c r="GWZ166" s="72"/>
      <c r="GXA166" s="72"/>
      <c r="GXB166" s="72"/>
      <c r="GXC166" s="72"/>
      <c r="GXD166" s="72"/>
      <c r="GXE166" s="72"/>
      <c r="GXF166" s="72"/>
      <c r="GXG166" s="72"/>
      <c r="GXH166" s="72"/>
      <c r="GXI166" s="72"/>
      <c r="GXJ166" s="72"/>
      <c r="GXK166" s="72"/>
      <c r="GXL166" s="72"/>
      <c r="GXM166" s="72"/>
      <c r="GXN166" s="72"/>
      <c r="GXO166" s="72"/>
      <c r="GXP166" s="72"/>
      <c r="GXQ166" s="72"/>
      <c r="GXR166" s="72"/>
      <c r="GXS166" s="72"/>
      <c r="GXT166" s="72"/>
      <c r="GXU166" s="72"/>
      <c r="GXV166" s="72"/>
      <c r="GXW166" s="72"/>
      <c r="GXX166" s="72"/>
      <c r="GXY166" s="72"/>
      <c r="GXZ166" s="72"/>
      <c r="GYA166" s="72"/>
      <c r="GYB166" s="72"/>
      <c r="GYC166" s="72"/>
      <c r="GYD166" s="72"/>
      <c r="GYE166" s="72"/>
      <c r="GYF166" s="72"/>
      <c r="GYG166" s="72"/>
      <c r="GYH166" s="72"/>
      <c r="GYI166" s="72"/>
      <c r="GYJ166" s="72"/>
      <c r="GYK166" s="72"/>
      <c r="GYL166" s="72"/>
      <c r="GYM166" s="72"/>
      <c r="GYN166" s="72"/>
      <c r="GYO166" s="72"/>
      <c r="GYP166" s="72"/>
      <c r="GYQ166" s="72"/>
      <c r="GYR166" s="72"/>
      <c r="GYS166" s="72"/>
      <c r="GYT166" s="72"/>
      <c r="GYU166" s="72"/>
      <c r="GYV166" s="72"/>
      <c r="GYW166" s="72"/>
      <c r="GYX166" s="72"/>
      <c r="GYY166" s="72"/>
      <c r="GYZ166" s="72"/>
      <c r="GZA166" s="72"/>
      <c r="GZB166" s="72"/>
      <c r="GZC166" s="72"/>
      <c r="GZD166" s="72"/>
      <c r="GZE166" s="72"/>
      <c r="GZF166" s="72"/>
      <c r="GZG166" s="72"/>
      <c r="GZH166" s="72"/>
      <c r="GZI166" s="72"/>
      <c r="GZJ166" s="72"/>
      <c r="GZK166" s="72"/>
      <c r="GZL166" s="72"/>
      <c r="GZM166" s="72"/>
      <c r="GZN166" s="72"/>
      <c r="GZO166" s="72"/>
      <c r="GZP166" s="72"/>
      <c r="GZQ166" s="72"/>
      <c r="GZR166" s="72"/>
      <c r="GZS166" s="72"/>
      <c r="GZT166" s="72"/>
      <c r="GZU166" s="72"/>
      <c r="GZV166" s="72"/>
      <c r="GZW166" s="72"/>
      <c r="GZX166" s="72"/>
      <c r="GZY166" s="72"/>
      <c r="GZZ166" s="72"/>
      <c r="HAA166" s="72"/>
      <c r="HAB166" s="72"/>
      <c r="HAC166" s="72"/>
      <c r="HAD166" s="72"/>
      <c r="HAE166" s="72"/>
      <c r="HAF166" s="72"/>
      <c r="HAG166" s="72"/>
      <c r="HAH166" s="72"/>
      <c r="HAI166" s="72"/>
      <c r="HAJ166" s="72"/>
      <c r="HAK166" s="72"/>
      <c r="HAL166" s="72"/>
      <c r="HAM166" s="72"/>
      <c r="HAN166" s="72"/>
      <c r="HAO166" s="72"/>
      <c r="HAP166" s="72"/>
      <c r="HAQ166" s="72"/>
      <c r="HAR166" s="72"/>
      <c r="HAS166" s="72"/>
      <c r="HAT166" s="72"/>
      <c r="HAU166" s="72"/>
      <c r="HAV166" s="72"/>
      <c r="HAW166" s="72"/>
      <c r="HAX166" s="72"/>
      <c r="HAY166" s="72"/>
      <c r="HAZ166" s="72"/>
      <c r="HBA166" s="72"/>
      <c r="HBB166" s="72"/>
      <c r="HBC166" s="72"/>
      <c r="HBD166" s="72"/>
      <c r="HBE166" s="72"/>
      <c r="HBF166" s="72"/>
      <c r="HBG166" s="72"/>
      <c r="HBH166" s="72"/>
      <c r="HBI166" s="72"/>
      <c r="HBJ166" s="72"/>
      <c r="HBK166" s="72"/>
      <c r="HBL166" s="72"/>
      <c r="HBM166" s="72"/>
      <c r="HBN166" s="72"/>
      <c r="HBO166" s="72"/>
      <c r="HBP166" s="72"/>
      <c r="HBQ166" s="72"/>
      <c r="HBR166" s="72"/>
      <c r="HBS166" s="72"/>
      <c r="HBT166" s="72"/>
      <c r="HBU166" s="72"/>
      <c r="HBV166" s="72"/>
      <c r="HBW166" s="72"/>
      <c r="HBX166" s="72"/>
      <c r="HBY166" s="72"/>
      <c r="HBZ166" s="72"/>
      <c r="HCA166" s="72"/>
      <c r="HCB166" s="72"/>
      <c r="HCC166" s="72"/>
      <c r="HCD166" s="72"/>
      <c r="HCE166" s="72"/>
      <c r="HCF166" s="72"/>
      <c r="HCG166" s="72"/>
      <c r="HCH166" s="72"/>
      <c r="HCI166" s="72"/>
      <c r="HCJ166" s="72"/>
      <c r="HCK166" s="72"/>
      <c r="HCL166" s="72"/>
      <c r="HCM166" s="72"/>
      <c r="HCN166" s="72"/>
      <c r="HCO166" s="72"/>
      <c r="HCP166" s="72"/>
      <c r="HCQ166" s="72"/>
      <c r="HCR166" s="72"/>
      <c r="HCS166" s="72"/>
      <c r="HCT166" s="72"/>
      <c r="HCU166" s="72"/>
      <c r="HCV166" s="72"/>
      <c r="HCW166" s="72"/>
      <c r="HCX166" s="72"/>
      <c r="HCY166" s="72"/>
      <c r="HCZ166" s="72"/>
      <c r="HDA166" s="72"/>
      <c r="HDB166" s="72"/>
      <c r="HDC166" s="72"/>
      <c r="HDD166" s="72"/>
      <c r="HDE166" s="72"/>
      <c r="HDF166" s="72"/>
      <c r="HDG166" s="72"/>
      <c r="HDH166" s="72"/>
      <c r="HDI166" s="72"/>
      <c r="HDJ166" s="72"/>
      <c r="HDK166" s="72"/>
      <c r="HDL166" s="72"/>
      <c r="HDM166" s="72"/>
      <c r="HDN166" s="72"/>
      <c r="HDO166" s="72"/>
      <c r="HDP166" s="72"/>
      <c r="HDQ166" s="72"/>
      <c r="HDR166" s="72"/>
      <c r="HDS166" s="72"/>
      <c r="HDT166" s="72"/>
      <c r="HDU166" s="72"/>
      <c r="HDV166" s="72"/>
      <c r="HDW166" s="72"/>
      <c r="HDX166" s="72"/>
      <c r="HDY166" s="72"/>
      <c r="HDZ166" s="72"/>
      <c r="HEA166" s="72"/>
      <c r="HEB166" s="72"/>
      <c r="HEC166" s="72"/>
      <c r="HED166" s="72"/>
      <c r="HEE166" s="72"/>
      <c r="HEF166" s="72"/>
      <c r="HEG166" s="72"/>
      <c r="HEH166" s="72"/>
      <c r="HEI166" s="72"/>
      <c r="HEJ166" s="72"/>
      <c r="HEK166" s="72"/>
      <c r="HEL166" s="72"/>
      <c r="HEM166" s="72"/>
      <c r="HEN166" s="72"/>
      <c r="HEO166" s="72"/>
      <c r="HEP166" s="72"/>
      <c r="HEQ166" s="72"/>
      <c r="HER166" s="72"/>
      <c r="HES166" s="72"/>
      <c r="HET166" s="72"/>
      <c r="HEU166" s="72"/>
      <c r="HEV166" s="72"/>
      <c r="HEW166" s="72"/>
      <c r="HEX166" s="72"/>
      <c r="HEY166" s="72"/>
      <c r="HEZ166" s="72"/>
      <c r="HFA166" s="72"/>
      <c r="HFB166" s="72"/>
      <c r="HFC166" s="72"/>
      <c r="HFD166" s="72"/>
      <c r="HFE166" s="72"/>
      <c r="HFF166" s="72"/>
      <c r="HFG166" s="72"/>
      <c r="HFH166" s="72"/>
      <c r="HFI166" s="72"/>
      <c r="HFJ166" s="72"/>
      <c r="HFK166" s="72"/>
      <c r="HFL166" s="72"/>
      <c r="HFM166" s="72"/>
      <c r="HFN166" s="72"/>
      <c r="HFO166" s="72"/>
      <c r="HFP166" s="72"/>
      <c r="HFQ166" s="72"/>
      <c r="HFR166" s="72"/>
      <c r="HFS166" s="72"/>
      <c r="HFT166" s="72"/>
      <c r="HFU166" s="72"/>
      <c r="HFV166" s="72"/>
      <c r="HFW166" s="72"/>
      <c r="HFX166" s="72"/>
      <c r="HFY166" s="72"/>
      <c r="HFZ166" s="72"/>
      <c r="HGA166" s="72"/>
      <c r="HGB166" s="72"/>
      <c r="HGC166" s="72"/>
      <c r="HGD166" s="72"/>
      <c r="HGE166" s="72"/>
      <c r="HGF166" s="72"/>
      <c r="HGG166" s="72"/>
      <c r="HGH166" s="72"/>
      <c r="HGI166" s="72"/>
      <c r="HGJ166" s="72"/>
      <c r="HGK166" s="72"/>
      <c r="HGL166" s="72"/>
      <c r="HGM166" s="72"/>
      <c r="HGN166" s="72"/>
      <c r="HGO166" s="72"/>
      <c r="HGP166" s="72"/>
      <c r="HGQ166" s="72"/>
      <c r="HGR166" s="72"/>
      <c r="HGS166" s="72"/>
      <c r="HGT166" s="72"/>
      <c r="HGU166" s="72"/>
      <c r="HGV166" s="72"/>
      <c r="HGW166" s="72"/>
      <c r="HGX166" s="72"/>
      <c r="HGY166" s="72"/>
      <c r="HGZ166" s="72"/>
      <c r="HHA166" s="72"/>
      <c r="HHB166" s="72"/>
      <c r="HHC166" s="72"/>
      <c r="HHD166" s="72"/>
      <c r="HHE166" s="72"/>
      <c r="HHF166" s="72"/>
      <c r="HHG166" s="72"/>
      <c r="HHH166" s="72"/>
      <c r="HHI166" s="72"/>
      <c r="HHJ166" s="72"/>
      <c r="HHK166" s="72"/>
      <c r="HHL166" s="72"/>
      <c r="HHM166" s="72"/>
      <c r="HHN166" s="72"/>
      <c r="HHO166" s="72"/>
      <c r="HHP166" s="72"/>
      <c r="HHQ166" s="72"/>
      <c r="HHR166" s="72"/>
      <c r="HHS166" s="72"/>
      <c r="HHT166" s="72"/>
      <c r="HHU166" s="72"/>
      <c r="HHV166" s="72"/>
      <c r="HHW166" s="72"/>
      <c r="HHX166" s="72"/>
      <c r="HHY166" s="72"/>
      <c r="HHZ166" s="72"/>
      <c r="HIA166" s="72"/>
      <c r="HIB166" s="72"/>
      <c r="HIC166" s="72"/>
      <c r="HID166" s="72"/>
      <c r="HIE166" s="72"/>
      <c r="HIF166" s="72"/>
      <c r="HIG166" s="72"/>
      <c r="HIH166" s="72"/>
      <c r="HII166" s="72"/>
      <c r="HIJ166" s="72"/>
      <c r="HIK166" s="72"/>
      <c r="HIL166" s="72"/>
      <c r="HIM166" s="72"/>
      <c r="HIN166" s="72"/>
      <c r="HIO166" s="72"/>
      <c r="HIP166" s="72"/>
      <c r="HIQ166" s="72"/>
      <c r="HIR166" s="72"/>
      <c r="HIS166" s="72"/>
      <c r="HIT166" s="72"/>
      <c r="HIU166" s="72"/>
      <c r="HIV166" s="72"/>
      <c r="HIW166" s="72"/>
      <c r="HIX166" s="72"/>
      <c r="HIY166" s="72"/>
      <c r="HIZ166" s="72"/>
      <c r="HJA166" s="72"/>
      <c r="HJB166" s="72"/>
      <c r="HJC166" s="72"/>
      <c r="HJD166" s="72"/>
      <c r="HJE166" s="72"/>
      <c r="HJF166" s="72"/>
      <c r="HJG166" s="72"/>
      <c r="HJH166" s="72"/>
      <c r="HJI166" s="72"/>
      <c r="HJJ166" s="72"/>
      <c r="HJK166" s="72"/>
      <c r="HJL166" s="72"/>
      <c r="HJM166" s="72"/>
      <c r="HJN166" s="72"/>
      <c r="HJO166" s="72"/>
      <c r="HJP166" s="72"/>
      <c r="HJQ166" s="72"/>
      <c r="HJR166" s="72"/>
      <c r="HJS166" s="72"/>
      <c r="HJT166" s="72"/>
      <c r="HJU166" s="72"/>
      <c r="HJV166" s="72"/>
      <c r="HJW166" s="72"/>
      <c r="HJX166" s="72"/>
      <c r="HJY166" s="72"/>
      <c r="HJZ166" s="72"/>
      <c r="HKA166" s="72"/>
      <c r="HKB166" s="72"/>
      <c r="HKC166" s="72"/>
      <c r="HKD166" s="72"/>
      <c r="HKE166" s="72"/>
      <c r="HKF166" s="72"/>
      <c r="HKG166" s="72"/>
      <c r="HKH166" s="72"/>
      <c r="HKI166" s="72"/>
      <c r="HKJ166" s="72"/>
      <c r="HKK166" s="72"/>
      <c r="HKL166" s="72"/>
      <c r="HKM166" s="72"/>
      <c r="HKN166" s="72"/>
      <c r="HKO166" s="72"/>
      <c r="HKP166" s="72"/>
      <c r="HKQ166" s="72"/>
      <c r="HKR166" s="72"/>
      <c r="HKS166" s="72"/>
      <c r="HKT166" s="72"/>
      <c r="HKU166" s="72"/>
      <c r="HKV166" s="72"/>
      <c r="HKW166" s="72"/>
      <c r="HKX166" s="72"/>
      <c r="HKY166" s="72"/>
      <c r="HKZ166" s="72"/>
      <c r="HLA166" s="72"/>
      <c r="HLB166" s="72"/>
      <c r="HLC166" s="72"/>
      <c r="HLD166" s="72"/>
      <c r="HLE166" s="72"/>
      <c r="HLF166" s="72"/>
      <c r="HLG166" s="72"/>
      <c r="HLH166" s="72"/>
      <c r="HLI166" s="72"/>
      <c r="HLJ166" s="72"/>
      <c r="HLK166" s="72"/>
      <c r="HLL166" s="72"/>
      <c r="HLM166" s="72"/>
      <c r="HLN166" s="72"/>
      <c r="HLO166" s="72"/>
      <c r="HLP166" s="72"/>
      <c r="HLQ166" s="72"/>
      <c r="HLR166" s="72"/>
      <c r="HLS166" s="72"/>
      <c r="HLT166" s="72"/>
      <c r="HLU166" s="72"/>
      <c r="HLV166" s="72"/>
      <c r="HLW166" s="72"/>
      <c r="HLX166" s="72"/>
      <c r="HLY166" s="72"/>
      <c r="HLZ166" s="72"/>
      <c r="HMA166" s="72"/>
      <c r="HMB166" s="72"/>
      <c r="HMC166" s="72"/>
      <c r="HMD166" s="72"/>
      <c r="HME166" s="72"/>
      <c r="HMF166" s="72"/>
      <c r="HMG166" s="72"/>
      <c r="HMH166" s="72"/>
      <c r="HMI166" s="72"/>
      <c r="HMJ166" s="72"/>
      <c r="HMK166" s="72"/>
      <c r="HML166" s="72"/>
      <c r="HMM166" s="72"/>
      <c r="HMN166" s="72"/>
      <c r="HMO166" s="72"/>
      <c r="HMP166" s="72"/>
      <c r="HMQ166" s="72"/>
      <c r="HMR166" s="72"/>
      <c r="HMS166" s="72"/>
      <c r="HMT166" s="72"/>
      <c r="HMU166" s="72"/>
      <c r="HMV166" s="72"/>
      <c r="HMW166" s="72"/>
      <c r="HMX166" s="72"/>
      <c r="HMY166" s="72"/>
      <c r="HMZ166" s="72"/>
      <c r="HNA166" s="72"/>
      <c r="HNB166" s="72"/>
      <c r="HNC166" s="72"/>
      <c r="HND166" s="72"/>
      <c r="HNE166" s="72"/>
      <c r="HNF166" s="72"/>
      <c r="HNG166" s="72"/>
      <c r="HNH166" s="72"/>
      <c r="HNI166" s="72"/>
      <c r="HNJ166" s="72"/>
      <c r="HNK166" s="72"/>
      <c r="HNL166" s="72"/>
      <c r="HNM166" s="72"/>
      <c r="HNN166" s="72"/>
      <c r="HNO166" s="72"/>
      <c r="HNP166" s="72"/>
      <c r="HNQ166" s="72"/>
      <c r="HNR166" s="72"/>
      <c r="HNS166" s="72"/>
      <c r="HNT166" s="72"/>
      <c r="HNU166" s="72"/>
      <c r="HNV166" s="72"/>
      <c r="HNW166" s="72"/>
      <c r="HNX166" s="72"/>
      <c r="HNY166" s="72"/>
      <c r="HNZ166" s="72"/>
      <c r="HOA166" s="72"/>
      <c r="HOB166" s="72"/>
      <c r="HOC166" s="72"/>
      <c r="HOD166" s="72"/>
      <c r="HOE166" s="72"/>
      <c r="HOF166" s="72"/>
      <c r="HOG166" s="72"/>
      <c r="HOH166" s="72"/>
      <c r="HOI166" s="72"/>
      <c r="HOJ166" s="72"/>
      <c r="HOK166" s="72"/>
      <c r="HOL166" s="72"/>
      <c r="HOM166" s="72"/>
      <c r="HON166" s="72"/>
      <c r="HOO166" s="72"/>
      <c r="HOP166" s="72"/>
      <c r="HOQ166" s="72"/>
      <c r="HOR166" s="72"/>
      <c r="HOS166" s="72"/>
      <c r="HOT166" s="72"/>
      <c r="HOU166" s="72"/>
      <c r="HOV166" s="72"/>
      <c r="HOW166" s="72"/>
      <c r="HOX166" s="72"/>
      <c r="HOY166" s="72"/>
      <c r="HOZ166" s="72"/>
      <c r="HPA166" s="72"/>
      <c r="HPB166" s="72"/>
      <c r="HPC166" s="72"/>
      <c r="HPD166" s="72"/>
      <c r="HPE166" s="72"/>
      <c r="HPF166" s="72"/>
      <c r="HPG166" s="72"/>
      <c r="HPH166" s="72"/>
      <c r="HPI166" s="72"/>
      <c r="HPJ166" s="72"/>
      <c r="HPK166" s="72"/>
      <c r="HPL166" s="72"/>
      <c r="HPM166" s="72"/>
      <c r="HPN166" s="72"/>
      <c r="HPO166" s="72"/>
      <c r="HPP166" s="72"/>
      <c r="HPQ166" s="72"/>
      <c r="HPR166" s="72"/>
      <c r="HPS166" s="72"/>
      <c r="HPT166" s="72"/>
      <c r="HPU166" s="72"/>
      <c r="HPV166" s="72"/>
      <c r="HPW166" s="72"/>
      <c r="HPX166" s="72"/>
      <c r="HPY166" s="72"/>
      <c r="HPZ166" s="72"/>
      <c r="HQA166" s="72"/>
      <c r="HQB166" s="72"/>
      <c r="HQC166" s="72"/>
      <c r="HQD166" s="72"/>
      <c r="HQE166" s="72"/>
      <c r="HQF166" s="72"/>
      <c r="HQG166" s="72"/>
      <c r="HQH166" s="72"/>
      <c r="HQI166" s="72"/>
      <c r="HQJ166" s="72"/>
      <c r="HQK166" s="72"/>
      <c r="HQL166" s="72"/>
      <c r="HQM166" s="72"/>
      <c r="HQN166" s="72"/>
      <c r="HQO166" s="72"/>
      <c r="HQP166" s="72"/>
      <c r="HQQ166" s="72"/>
      <c r="HQR166" s="72"/>
      <c r="HQS166" s="72"/>
      <c r="HQT166" s="72"/>
      <c r="HQU166" s="72"/>
      <c r="HQV166" s="72"/>
      <c r="HQW166" s="72"/>
      <c r="HQX166" s="72"/>
      <c r="HQY166" s="72"/>
      <c r="HQZ166" s="72"/>
      <c r="HRA166" s="72"/>
      <c r="HRB166" s="72"/>
      <c r="HRC166" s="72"/>
      <c r="HRD166" s="72"/>
      <c r="HRE166" s="72"/>
      <c r="HRF166" s="72"/>
      <c r="HRG166" s="72"/>
      <c r="HRH166" s="72"/>
      <c r="HRI166" s="72"/>
      <c r="HRJ166" s="72"/>
      <c r="HRK166" s="72"/>
      <c r="HRL166" s="72"/>
      <c r="HRM166" s="72"/>
      <c r="HRN166" s="72"/>
      <c r="HRO166" s="72"/>
      <c r="HRP166" s="72"/>
      <c r="HRQ166" s="72"/>
      <c r="HRR166" s="72"/>
      <c r="HRS166" s="72"/>
      <c r="HRT166" s="72"/>
      <c r="HRU166" s="72"/>
      <c r="HRV166" s="72"/>
      <c r="HRW166" s="72"/>
      <c r="HRX166" s="72"/>
      <c r="HRY166" s="72"/>
      <c r="HRZ166" s="72"/>
      <c r="HSA166" s="72"/>
      <c r="HSB166" s="72"/>
      <c r="HSC166" s="72"/>
      <c r="HSD166" s="72"/>
      <c r="HSE166" s="72"/>
      <c r="HSF166" s="72"/>
      <c r="HSG166" s="72"/>
      <c r="HSH166" s="72"/>
      <c r="HSI166" s="72"/>
      <c r="HSJ166" s="72"/>
      <c r="HSK166" s="72"/>
      <c r="HSL166" s="72"/>
      <c r="HSM166" s="72"/>
      <c r="HSN166" s="72"/>
      <c r="HSO166" s="72"/>
      <c r="HSP166" s="72"/>
      <c r="HSQ166" s="72"/>
      <c r="HSR166" s="72"/>
      <c r="HSS166" s="72"/>
      <c r="HST166" s="72"/>
      <c r="HSU166" s="72"/>
      <c r="HSV166" s="72"/>
      <c r="HSW166" s="72"/>
      <c r="HSX166" s="72"/>
      <c r="HSY166" s="72"/>
      <c r="HSZ166" s="72"/>
      <c r="HTA166" s="72"/>
      <c r="HTB166" s="72"/>
      <c r="HTC166" s="72"/>
      <c r="HTD166" s="72"/>
      <c r="HTE166" s="72"/>
      <c r="HTF166" s="72"/>
      <c r="HTG166" s="72"/>
      <c r="HTH166" s="72"/>
      <c r="HTI166" s="72"/>
      <c r="HTJ166" s="72"/>
      <c r="HTK166" s="72"/>
      <c r="HTL166" s="72"/>
      <c r="HTM166" s="72"/>
      <c r="HTN166" s="72"/>
      <c r="HTO166" s="72"/>
      <c r="HTP166" s="72"/>
      <c r="HTQ166" s="72"/>
      <c r="HTR166" s="72"/>
      <c r="HTS166" s="72"/>
      <c r="HTT166" s="72"/>
      <c r="HTU166" s="72"/>
      <c r="HTV166" s="72"/>
      <c r="HTW166" s="72"/>
      <c r="HTX166" s="72"/>
      <c r="HTY166" s="72"/>
      <c r="HTZ166" s="72"/>
      <c r="HUA166" s="72"/>
      <c r="HUB166" s="72"/>
      <c r="HUC166" s="72"/>
      <c r="HUD166" s="72"/>
      <c r="HUE166" s="72"/>
      <c r="HUF166" s="72"/>
      <c r="HUG166" s="72"/>
      <c r="HUH166" s="72"/>
      <c r="HUI166" s="72"/>
      <c r="HUJ166" s="72"/>
      <c r="HUK166" s="72"/>
      <c r="HUL166" s="72"/>
      <c r="HUM166" s="72"/>
      <c r="HUN166" s="72"/>
      <c r="HUO166" s="72"/>
      <c r="HUP166" s="72"/>
      <c r="HUQ166" s="72"/>
      <c r="HUR166" s="72"/>
      <c r="HUS166" s="72"/>
      <c r="HUT166" s="72"/>
      <c r="HUU166" s="72"/>
      <c r="HUV166" s="72"/>
      <c r="HUW166" s="72"/>
      <c r="HUX166" s="72"/>
      <c r="HUY166" s="72"/>
      <c r="HUZ166" s="72"/>
      <c r="HVA166" s="72"/>
      <c r="HVB166" s="72"/>
      <c r="HVC166" s="72"/>
      <c r="HVD166" s="72"/>
      <c r="HVE166" s="72"/>
      <c r="HVF166" s="72"/>
      <c r="HVG166" s="72"/>
      <c r="HVH166" s="72"/>
      <c r="HVI166" s="72"/>
      <c r="HVJ166" s="72"/>
      <c r="HVK166" s="72"/>
      <c r="HVL166" s="72"/>
      <c r="HVM166" s="72"/>
      <c r="HVN166" s="72"/>
      <c r="HVO166" s="72"/>
      <c r="HVP166" s="72"/>
      <c r="HVQ166" s="72"/>
      <c r="HVR166" s="72"/>
      <c r="HVS166" s="72"/>
      <c r="HVT166" s="72"/>
      <c r="HVU166" s="72"/>
      <c r="HVV166" s="72"/>
      <c r="HVW166" s="72"/>
      <c r="HVX166" s="72"/>
      <c r="HVY166" s="72"/>
      <c r="HVZ166" s="72"/>
      <c r="HWA166" s="72"/>
      <c r="HWB166" s="72"/>
      <c r="HWC166" s="72"/>
      <c r="HWD166" s="72"/>
      <c r="HWE166" s="72"/>
      <c r="HWF166" s="72"/>
      <c r="HWG166" s="72"/>
      <c r="HWH166" s="72"/>
      <c r="HWI166" s="72"/>
      <c r="HWJ166" s="72"/>
      <c r="HWK166" s="72"/>
      <c r="HWL166" s="72"/>
      <c r="HWM166" s="72"/>
      <c r="HWN166" s="72"/>
      <c r="HWO166" s="72"/>
      <c r="HWP166" s="72"/>
      <c r="HWQ166" s="72"/>
      <c r="HWR166" s="72"/>
      <c r="HWS166" s="72"/>
      <c r="HWT166" s="72"/>
      <c r="HWU166" s="72"/>
      <c r="HWV166" s="72"/>
      <c r="HWW166" s="72"/>
      <c r="HWX166" s="72"/>
      <c r="HWY166" s="72"/>
      <c r="HWZ166" s="72"/>
      <c r="HXA166" s="72"/>
      <c r="HXB166" s="72"/>
      <c r="HXC166" s="72"/>
      <c r="HXD166" s="72"/>
      <c r="HXE166" s="72"/>
      <c r="HXF166" s="72"/>
      <c r="HXG166" s="72"/>
      <c r="HXH166" s="72"/>
      <c r="HXI166" s="72"/>
      <c r="HXJ166" s="72"/>
      <c r="HXK166" s="72"/>
      <c r="HXL166" s="72"/>
      <c r="HXM166" s="72"/>
      <c r="HXN166" s="72"/>
      <c r="HXO166" s="72"/>
      <c r="HXP166" s="72"/>
      <c r="HXQ166" s="72"/>
      <c r="HXR166" s="72"/>
      <c r="HXS166" s="72"/>
      <c r="HXT166" s="72"/>
      <c r="HXU166" s="72"/>
      <c r="HXV166" s="72"/>
      <c r="HXW166" s="72"/>
      <c r="HXX166" s="72"/>
      <c r="HXY166" s="72"/>
      <c r="HXZ166" s="72"/>
      <c r="HYA166" s="72"/>
      <c r="HYB166" s="72"/>
      <c r="HYC166" s="72"/>
      <c r="HYD166" s="72"/>
      <c r="HYE166" s="72"/>
      <c r="HYF166" s="72"/>
      <c r="HYG166" s="72"/>
      <c r="HYH166" s="72"/>
      <c r="HYI166" s="72"/>
      <c r="HYJ166" s="72"/>
      <c r="HYK166" s="72"/>
      <c r="HYL166" s="72"/>
      <c r="HYM166" s="72"/>
      <c r="HYN166" s="72"/>
      <c r="HYO166" s="72"/>
      <c r="HYP166" s="72"/>
      <c r="HYQ166" s="72"/>
      <c r="HYR166" s="72"/>
      <c r="HYS166" s="72"/>
      <c r="HYT166" s="72"/>
      <c r="HYU166" s="72"/>
      <c r="HYV166" s="72"/>
      <c r="HYW166" s="72"/>
      <c r="HYX166" s="72"/>
      <c r="HYY166" s="72"/>
      <c r="HYZ166" s="72"/>
      <c r="HZA166" s="72"/>
      <c r="HZB166" s="72"/>
      <c r="HZC166" s="72"/>
      <c r="HZD166" s="72"/>
      <c r="HZE166" s="72"/>
      <c r="HZF166" s="72"/>
      <c r="HZG166" s="72"/>
      <c r="HZH166" s="72"/>
      <c r="HZI166" s="72"/>
      <c r="HZJ166" s="72"/>
      <c r="HZK166" s="72"/>
      <c r="HZL166" s="72"/>
      <c r="HZM166" s="72"/>
      <c r="HZN166" s="72"/>
      <c r="HZO166" s="72"/>
      <c r="HZP166" s="72"/>
      <c r="HZQ166" s="72"/>
      <c r="HZR166" s="72"/>
      <c r="HZS166" s="72"/>
      <c r="HZT166" s="72"/>
      <c r="HZU166" s="72"/>
      <c r="HZV166" s="72"/>
      <c r="HZW166" s="72"/>
      <c r="HZX166" s="72"/>
      <c r="HZY166" s="72"/>
      <c r="HZZ166" s="72"/>
      <c r="IAA166" s="72"/>
      <c r="IAB166" s="72"/>
      <c r="IAC166" s="72"/>
      <c r="IAD166" s="72"/>
      <c r="IAE166" s="72"/>
      <c r="IAF166" s="72"/>
      <c r="IAG166" s="72"/>
      <c r="IAH166" s="72"/>
      <c r="IAI166" s="72"/>
      <c r="IAJ166" s="72"/>
      <c r="IAK166" s="72"/>
      <c r="IAL166" s="72"/>
      <c r="IAM166" s="72"/>
      <c r="IAN166" s="72"/>
      <c r="IAO166" s="72"/>
      <c r="IAP166" s="72"/>
      <c r="IAQ166" s="72"/>
      <c r="IAR166" s="72"/>
      <c r="IAS166" s="72"/>
      <c r="IAT166" s="72"/>
      <c r="IAU166" s="72"/>
      <c r="IAV166" s="72"/>
      <c r="IAW166" s="72"/>
      <c r="IAX166" s="72"/>
      <c r="IAY166" s="72"/>
      <c r="IAZ166" s="72"/>
      <c r="IBA166" s="72"/>
      <c r="IBB166" s="72"/>
      <c r="IBC166" s="72"/>
      <c r="IBD166" s="72"/>
      <c r="IBE166" s="72"/>
      <c r="IBF166" s="72"/>
      <c r="IBG166" s="72"/>
      <c r="IBH166" s="72"/>
      <c r="IBI166" s="72"/>
      <c r="IBJ166" s="72"/>
      <c r="IBK166" s="72"/>
      <c r="IBL166" s="72"/>
      <c r="IBM166" s="72"/>
      <c r="IBN166" s="72"/>
      <c r="IBO166" s="72"/>
      <c r="IBP166" s="72"/>
      <c r="IBQ166" s="72"/>
      <c r="IBR166" s="72"/>
      <c r="IBS166" s="72"/>
      <c r="IBT166" s="72"/>
      <c r="IBU166" s="72"/>
      <c r="IBV166" s="72"/>
      <c r="IBW166" s="72"/>
      <c r="IBX166" s="72"/>
      <c r="IBY166" s="72"/>
      <c r="IBZ166" s="72"/>
      <c r="ICA166" s="72"/>
      <c r="ICB166" s="72"/>
      <c r="ICC166" s="72"/>
      <c r="ICD166" s="72"/>
      <c r="ICE166" s="72"/>
      <c r="ICF166" s="72"/>
      <c r="ICG166" s="72"/>
      <c r="ICH166" s="72"/>
      <c r="ICI166" s="72"/>
      <c r="ICJ166" s="72"/>
      <c r="ICK166" s="72"/>
      <c r="ICL166" s="72"/>
      <c r="ICM166" s="72"/>
      <c r="ICN166" s="72"/>
      <c r="ICO166" s="72"/>
      <c r="ICP166" s="72"/>
      <c r="ICQ166" s="72"/>
      <c r="ICR166" s="72"/>
      <c r="ICS166" s="72"/>
      <c r="ICT166" s="72"/>
      <c r="ICU166" s="72"/>
      <c r="ICV166" s="72"/>
      <c r="ICW166" s="72"/>
      <c r="ICX166" s="72"/>
      <c r="ICY166" s="72"/>
      <c r="ICZ166" s="72"/>
      <c r="IDA166" s="72"/>
      <c r="IDB166" s="72"/>
      <c r="IDC166" s="72"/>
      <c r="IDD166" s="72"/>
      <c r="IDE166" s="72"/>
      <c r="IDF166" s="72"/>
      <c r="IDG166" s="72"/>
      <c r="IDH166" s="72"/>
      <c r="IDI166" s="72"/>
      <c r="IDJ166" s="72"/>
      <c r="IDK166" s="72"/>
      <c r="IDL166" s="72"/>
      <c r="IDM166" s="72"/>
      <c r="IDN166" s="72"/>
      <c r="IDO166" s="72"/>
      <c r="IDP166" s="72"/>
      <c r="IDQ166" s="72"/>
      <c r="IDR166" s="72"/>
      <c r="IDS166" s="72"/>
      <c r="IDT166" s="72"/>
      <c r="IDU166" s="72"/>
      <c r="IDV166" s="72"/>
      <c r="IDW166" s="72"/>
      <c r="IDX166" s="72"/>
      <c r="IDY166" s="72"/>
      <c r="IDZ166" s="72"/>
      <c r="IEA166" s="72"/>
      <c r="IEB166" s="72"/>
      <c r="IEC166" s="72"/>
      <c r="IED166" s="72"/>
      <c r="IEE166" s="72"/>
      <c r="IEF166" s="72"/>
      <c r="IEG166" s="72"/>
      <c r="IEH166" s="72"/>
      <c r="IEI166" s="72"/>
      <c r="IEJ166" s="72"/>
      <c r="IEK166" s="72"/>
      <c r="IEL166" s="72"/>
      <c r="IEM166" s="72"/>
      <c r="IEN166" s="72"/>
      <c r="IEO166" s="72"/>
      <c r="IEP166" s="72"/>
      <c r="IEQ166" s="72"/>
      <c r="IER166" s="72"/>
      <c r="IES166" s="72"/>
      <c r="IET166" s="72"/>
      <c r="IEU166" s="72"/>
      <c r="IEV166" s="72"/>
      <c r="IEW166" s="72"/>
      <c r="IEX166" s="72"/>
      <c r="IEY166" s="72"/>
      <c r="IEZ166" s="72"/>
      <c r="IFA166" s="72"/>
      <c r="IFB166" s="72"/>
      <c r="IFC166" s="72"/>
      <c r="IFD166" s="72"/>
      <c r="IFE166" s="72"/>
      <c r="IFF166" s="72"/>
      <c r="IFG166" s="72"/>
      <c r="IFH166" s="72"/>
      <c r="IFI166" s="72"/>
      <c r="IFJ166" s="72"/>
      <c r="IFK166" s="72"/>
      <c r="IFL166" s="72"/>
      <c r="IFM166" s="72"/>
      <c r="IFN166" s="72"/>
      <c r="IFO166" s="72"/>
      <c r="IFP166" s="72"/>
      <c r="IFQ166" s="72"/>
      <c r="IFR166" s="72"/>
      <c r="IFS166" s="72"/>
      <c r="IFT166" s="72"/>
      <c r="IFU166" s="72"/>
      <c r="IFV166" s="72"/>
      <c r="IFW166" s="72"/>
      <c r="IFX166" s="72"/>
      <c r="IFY166" s="72"/>
      <c r="IFZ166" s="72"/>
      <c r="IGA166" s="72"/>
      <c r="IGB166" s="72"/>
      <c r="IGC166" s="72"/>
      <c r="IGD166" s="72"/>
      <c r="IGE166" s="72"/>
      <c r="IGF166" s="72"/>
      <c r="IGG166" s="72"/>
      <c r="IGH166" s="72"/>
      <c r="IGI166" s="72"/>
      <c r="IGJ166" s="72"/>
      <c r="IGK166" s="72"/>
      <c r="IGL166" s="72"/>
      <c r="IGM166" s="72"/>
      <c r="IGN166" s="72"/>
      <c r="IGO166" s="72"/>
      <c r="IGP166" s="72"/>
      <c r="IGQ166" s="72"/>
      <c r="IGR166" s="72"/>
      <c r="IGS166" s="72"/>
      <c r="IGT166" s="72"/>
      <c r="IGU166" s="72"/>
      <c r="IGV166" s="72"/>
      <c r="IGW166" s="72"/>
      <c r="IGX166" s="72"/>
      <c r="IGY166" s="72"/>
      <c r="IGZ166" s="72"/>
      <c r="IHA166" s="72"/>
      <c r="IHB166" s="72"/>
      <c r="IHC166" s="72"/>
      <c r="IHD166" s="72"/>
      <c r="IHE166" s="72"/>
      <c r="IHF166" s="72"/>
      <c r="IHG166" s="72"/>
      <c r="IHH166" s="72"/>
      <c r="IHI166" s="72"/>
      <c r="IHJ166" s="72"/>
      <c r="IHK166" s="72"/>
      <c r="IHL166" s="72"/>
      <c r="IHM166" s="72"/>
      <c r="IHN166" s="72"/>
      <c r="IHO166" s="72"/>
      <c r="IHP166" s="72"/>
      <c r="IHQ166" s="72"/>
      <c r="IHR166" s="72"/>
      <c r="IHS166" s="72"/>
      <c r="IHT166" s="72"/>
      <c r="IHU166" s="72"/>
      <c r="IHV166" s="72"/>
      <c r="IHW166" s="72"/>
      <c r="IHX166" s="72"/>
      <c r="IHY166" s="72"/>
      <c r="IHZ166" s="72"/>
      <c r="IIA166" s="72"/>
      <c r="IIB166" s="72"/>
      <c r="IIC166" s="72"/>
      <c r="IID166" s="72"/>
      <c r="IIE166" s="72"/>
      <c r="IIF166" s="72"/>
      <c r="IIG166" s="72"/>
      <c r="IIH166" s="72"/>
      <c r="III166" s="72"/>
      <c r="IIJ166" s="72"/>
      <c r="IIK166" s="72"/>
      <c r="IIL166" s="72"/>
      <c r="IIM166" s="72"/>
      <c r="IIN166" s="72"/>
      <c r="IIO166" s="72"/>
      <c r="IIP166" s="72"/>
      <c r="IIQ166" s="72"/>
      <c r="IIR166" s="72"/>
      <c r="IIS166" s="72"/>
      <c r="IIT166" s="72"/>
      <c r="IIU166" s="72"/>
      <c r="IIV166" s="72"/>
      <c r="IIW166" s="72"/>
      <c r="IIX166" s="72"/>
      <c r="IIY166" s="72"/>
      <c r="IIZ166" s="72"/>
      <c r="IJA166" s="72"/>
      <c r="IJB166" s="72"/>
      <c r="IJC166" s="72"/>
      <c r="IJD166" s="72"/>
      <c r="IJE166" s="72"/>
      <c r="IJF166" s="72"/>
      <c r="IJG166" s="72"/>
      <c r="IJH166" s="72"/>
      <c r="IJI166" s="72"/>
      <c r="IJJ166" s="72"/>
      <c r="IJK166" s="72"/>
      <c r="IJL166" s="72"/>
      <c r="IJM166" s="72"/>
      <c r="IJN166" s="72"/>
      <c r="IJO166" s="72"/>
      <c r="IJP166" s="72"/>
      <c r="IJQ166" s="72"/>
      <c r="IJR166" s="72"/>
      <c r="IJS166" s="72"/>
      <c r="IJT166" s="72"/>
      <c r="IJU166" s="72"/>
      <c r="IJV166" s="72"/>
      <c r="IJW166" s="72"/>
      <c r="IJX166" s="72"/>
      <c r="IJY166" s="72"/>
      <c r="IJZ166" s="72"/>
      <c r="IKA166" s="72"/>
      <c r="IKB166" s="72"/>
      <c r="IKC166" s="72"/>
      <c r="IKD166" s="72"/>
      <c r="IKE166" s="72"/>
      <c r="IKF166" s="72"/>
      <c r="IKG166" s="72"/>
      <c r="IKH166" s="72"/>
      <c r="IKI166" s="72"/>
      <c r="IKJ166" s="72"/>
      <c r="IKK166" s="72"/>
      <c r="IKL166" s="72"/>
      <c r="IKM166" s="72"/>
      <c r="IKN166" s="72"/>
      <c r="IKO166" s="72"/>
      <c r="IKP166" s="72"/>
      <c r="IKQ166" s="72"/>
      <c r="IKR166" s="72"/>
      <c r="IKS166" s="72"/>
      <c r="IKT166" s="72"/>
      <c r="IKU166" s="72"/>
      <c r="IKV166" s="72"/>
      <c r="IKW166" s="72"/>
      <c r="IKX166" s="72"/>
      <c r="IKY166" s="72"/>
      <c r="IKZ166" s="72"/>
      <c r="ILA166" s="72"/>
      <c r="ILB166" s="72"/>
      <c r="ILC166" s="72"/>
      <c r="ILD166" s="72"/>
      <c r="ILE166" s="72"/>
      <c r="ILF166" s="72"/>
      <c r="ILG166" s="72"/>
      <c r="ILH166" s="72"/>
      <c r="ILI166" s="72"/>
      <c r="ILJ166" s="72"/>
      <c r="ILK166" s="72"/>
      <c r="ILL166" s="72"/>
      <c r="ILM166" s="72"/>
      <c r="ILN166" s="72"/>
      <c r="ILO166" s="72"/>
      <c r="ILP166" s="72"/>
      <c r="ILQ166" s="72"/>
      <c r="ILR166" s="72"/>
      <c r="ILS166" s="72"/>
      <c r="ILT166" s="72"/>
      <c r="ILU166" s="72"/>
      <c r="ILV166" s="72"/>
      <c r="ILW166" s="72"/>
      <c r="ILX166" s="72"/>
      <c r="ILY166" s="72"/>
      <c r="ILZ166" s="72"/>
      <c r="IMA166" s="72"/>
      <c r="IMB166" s="72"/>
      <c r="IMC166" s="72"/>
      <c r="IMD166" s="72"/>
      <c r="IME166" s="72"/>
      <c r="IMF166" s="72"/>
      <c r="IMG166" s="72"/>
      <c r="IMH166" s="72"/>
      <c r="IMI166" s="72"/>
      <c r="IMJ166" s="72"/>
      <c r="IMK166" s="72"/>
      <c r="IML166" s="72"/>
      <c r="IMM166" s="72"/>
      <c r="IMN166" s="72"/>
      <c r="IMO166" s="72"/>
      <c r="IMP166" s="72"/>
      <c r="IMQ166" s="72"/>
      <c r="IMR166" s="72"/>
      <c r="IMS166" s="72"/>
      <c r="IMT166" s="72"/>
      <c r="IMU166" s="72"/>
      <c r="IMV166" s="72"/>
      <c r="IMW166" s="72"/>
      <c r="IMX166" s="72"/>
      <c r="IMY166" s="72"/>
      <c r="IMZ166" s="72"/>
      <c r="INA166" s="72"/>
      <c r="INB166" s="72"/>
      <c r="INC166" s="72"/>
      <c r="IND166" s="72"/>
      <c r="INE166" s="72"/>
      <c r="INF166" s="72"/>
      <c r="ING166" s="72"/>
      <c r="INH166" s="72"/>
      <c r="INI166" s="72"/>
      <c r="INJ166" s="72"/>
      <c r="INK166" s="72"/>
      <c r="INL166" s="72"/>
      <c r="INM166" s="72"/>
      <c r="INN166" s="72"/>
      <c r="INO166" s="72"/>
      <c r="INP166" s="72"/>
      <c r="INQ166" s="72"/>
      <c r="INR166" s="72"/>
      <c r="INS166" s="72"/>
      <c r="INT166" s="72"/>
      <c r="INU166" s="72"/>
      <c r="INV166" s="72"/>
      <c r="INW166" s="72"/>
      <c r="INX166" s="72"/>
      <c r="INY166" s="72"/>
      <c r="INZ166" s="72"/>
      <c r="IOA166" s="72"/>
      <c r="IOB166" s="72"/>
      <c r="IOC166" s="72"/>
      <c r="IOD166" s="72"/>
      <c r="IOE166" s="72"/>
      <c r="IOF166" s="72"/>
      <c r="IOG166" s="72"/>
      <c r="IOH166" s="72"/>
      <c r="IOI166" s="72"/>
      <c r="IOJ166" s="72"/>
      <c r="IOK166" s="72"/>
      <c r="IOL166" s="72"/>
      <c r="IOM166" s="72"/>
      <c r="ION166" s="72"/>
      <c r="IOO166" s="72"/>
      <c r="IOP166" s="72"/>
      <c r="IOQ166" s="72"/>
      <c r="IOR166" s="72"/>
      <c r="IOS166" s="72"/>
      <c r="IOT166" s="72"/>
      <c r="IOU166" s="72"/>
      <c r="IOV166" s="72"/>
      <c r="IOW166" s="72"/>
      <c r="IOX166" s="72"/>
      <c r="IOY166" s="72"/>
      <c r="IOZ166" s="72"/>
      <c r="IPA166" s="72"/>
      <c r="IPB166" s="72"/>
      <c r="IPC166" s="72"/>
      <c r="IPD166" s="72"/>
      <c r="IPE166" s="72"/>
      <c r="IPF166" s="72"/>
      <c r="IPG166" s="72"/>
      <c r="IPH166" s="72"/>
      <c r="IPI166" s="72"/>
      <c r="IPJ166" s="72"/>
      <c r="IPK166" s="72"/>
      <c r="IPL166" s="72"/>
      <c r="IPM166" s="72"/>
      <c r="IPN166" s="72"/>
      <c r="IPO166" s="72"/>
      <c r="IPP166" s="72"/>
      <c r="IPQ166" s="72"/>
      <c r="IPR166" s="72"/>
      <c r="IPS166" s="72"/>
      <c r="IPT166" s="72"/>
      <c r="IPU166" s="72"/>
      <c r="IPV166" s="72"/>
      <c r="IPW166" s="72"/>
      <c r="IPX166" s="72"/>
      <c r="IPY166" s="72"/>
      <c r="IPZ166" s="72"/>
      <c r="IQA166" s="72"/>
      <c r="IQB166" s="72"/>
      <c r="IQC166" s="72"/>
      <c r="IQD166" s="72"/>
      <c r="IQE166" s="72"/>
      <c r="IQF166" s="72"/>
      <c r="IQG166" s="72"/>
      <c r="IQH166" s="72"/>
      <c r="IQI166" s="72"/>
      <c r="IQJ166" s="72"/>
      <c r="IQK166" s="72"/>
      <c r="IQL166" s="72"/>
      <c r="IQM166" s="72"/>
      <c r="IQN166" s="72"/>
      <c r="IQO166" s="72"/>
      <c r="IQP166" s="72"/>
      <c r="IQQ166" s="72"/>
      <c r="IQR166" s="72"/>
      <c r="IQS166" s="72"/>
      <c r="IQT166" s="72"/>
      <c r="IQU166" s="72"/>
      <c r="IQV166" s="72"/>
      <c r="IQW166" s="72"/>
      <c r="IQX166" s="72"/>
      <c r="IQY166" s="72"/>
      <c r="IQZ166" s="72"/>
      <c r="IRA166" s="72"/>
      <c r="IRB166" s="72"/>
      <c r="IRC166" s="72"/>
      <c r="IRD166" s="72"/>
      <c r="IRE166" s="72"/>
      <c r="IRF166" s="72"/>
      <c r="IRG166" s="72"/>
      <c r="IRH166" s="72"/>
      <c r="IRI166" s="72"/>
      <c r="IRJ166" s="72"/>
      <c r="IRK166" s="72"/>
      <c r="IRL166" s="72"/>
      <c r="IRM166" s="72"/>
      <c r="IRN166" s="72"/>
      <c r="IRO166" s="72"/>
      <c r="IRP166" s="72"/>
      <c r="IRQ166" s="72"/>
      <c r="IRR166" s="72"/>
      <c r="IRS166" s="72"/>
      <c r="IRT166" s="72"/>
      <c r="IRU166" s="72"/>
      <c r="IRV166" s="72"/>
      <c r="IRW166" s="72"/>
      <c r="IRX166" s="72"/>
      <c r="IRY166" s="72"/>
      <c r="IRZ166" s="72"/>
      <c r="ISA166" s="72"/>
      <c r="ISB166" s="72"/>
      <c r="ISC166" s="72"/>
      <c r="ISD166" s="72"/>
      <c r="ISE166" s="72"/>
      <c r="ISF166" s="72"/>
      <c r="ISG166" s="72"/>
      <c r="ISH166" s="72"/>
      <c r="ISI166" s="72"/>
      <c r="ISJ166" s="72"/>
      <c r="ISK166" s="72"/>
      <c r="ISL166" s="72"/>
      <c r="ISM166" s="72"/>
      <c r="ISN166" s="72"/>
      <c r="ISO166" s="72"/>
      <c r="ISP166" s="72"/>
      <c r="ISQ166" s="72"/>
      <c r="ISR166" s="72"/>
      <c r="ISS166" s="72"/>
      <c r="IST166" s="72"/>
      <c r="ISU166" s="72"/>
      <c r="ISV166" s="72"/>
      <c r="ISW166" s="72"/>
      <c r="ISX166" s="72"/>
      <c r="ISY166" s="72"/>
      <c r="ISZ166" s="72"/>
      <c r="ITA166" s="72"/>
      <c r="ITB166" s="72"/>
      <c r="ITC166" s="72"/>
      <c r="ITD166" s="72"/>
      <c r="ITE166" s="72"/>
      <c r="ITF166" s="72"/>
      <c r="ITG166" s="72"/>
      <c r="ITH166" s="72"/>
      <c r="ITI166" s="72"/>
      <c r="ITJ166" s="72"/>
      <c r="ITK166" s="72"/>
      <c r="ITL166" s="72"/>
      <c r="ITM166" s="72"/>
      <c r="ITN166" s="72"/>
      <c r="ITO166" s="72"/>
      <c r="ITP166" s="72"/>
      <c r="ITQ166" s="72"/>
      <c r="ITR166" s="72"/>
      <c r="ITS166" s="72"/>
      <c r="ITT166" s="72"/>
      <c r="ITU166" s="72"/>
      <c r="ITV166" s="72"/>
      <c r="ITW166" s="72"/>
      <c r="ITX166" s="72"/>
      <c r="ITY166" s="72"/>
      <c r="ITZ166" s="72"/>
      <c r="IUA166" s="72"/>
      <c r="IUB166" s="72"/>
      <c r="IUC166" s="72"/>
      <c r="IUD166" s="72"/>
      <c r="IUE166" s="72"/>
      <c r="IUF166" s="72"/>
      <c r="IUG166" s="72"/>
      <c r="IUH166" s="72"/>
      <c r="IUI166" s="72"/>
      <c r="IUJ166" s="72"/>
      <c r="IUK166" s="72"/>
      <c r="IUL166" s="72"/>
      <c r="IUM166" s="72"/>
      <c r="IUN166" s="72"/>
      <c r="IUO166" s="72"/>
      <c r="IUP166" s="72"/>
      <c r="IUQ166" s="72"/>
      <c r="IUR166" s="72"/>
      <c r="IUS166" s="72"/>
      <c r="IUT166" s="72"/>
      <c r="IUU166" s="72"/>
      <c r="IUV166" s="72"/>
      <c r="IUW166" s="72"/>
      <c r="IUX166" s="72"/>
      <c r="IUY166" s="72"/>
      <c r="IUZ166" s="72"/>
      <c r="IVA166" s="72"/>
      <c r="IVB166" s="72"/>
      <c r="IVC166" s="72"/>
      <c r="IVD166" s="72"/>
      <c r="IVE166" s="72"/>
      <c r="IVF166" s="72"/>
      <c r="IVG166" s="72"/>
      <c r="IVH166" s="72"/>
      <c r="IVI166" s="72"/>
      <c r="IVJ166" s="72"/>
      <c r="IVK166" s="72"/>
      <c r="IVL166" s="72"/>
      <c r="IVM166" s="72"/>
      <c r="IVN166" s="72"/>
      <c r="IVO166" s="72"/>
      <c r="IVP166" s="72"/>
      <c r="IVQ166" s="72"/>
      <c r="IVR166" s="72"/>
      <c r="IVS166" s="72"/>
      <c r="IVT166" s="72"/>
      <c r="IVU166" s="72"/>
      <c r="IVV166" s="72"/>
      <c r="IVW166" s="72"/>
      <c r="IVX166" s="72"/>
      <c r="IVY166" s="72"/>
      <c r="IVZ166" s="72"/>
      <c r="IWA166" s="72"/>
      <c r="IWB166" s="72"/>
      <c r="IWC166" s="72"/>
      <c r="IWD166" s="72"/>
      <c r="IWE166" s="72"/>
      <c r="IWF166" s="72"/>
      <c r="IWG166" s="72"/>
      <c r="IWH166" s="72"/>
      <c r="IWI166" s="72"/>
      <c r="IWJ166" s="72"/>
      <c r="IWK166" s="72"/>
      <c r="IWL166" s="72"/>
      <c r="IWM166" s="72"/>
      <c r="IWN166" s="72"/>
      <c r="IWO166" s="72"/>
      <c r="IWP166" s="72"/>
      <c r="IWQ166" s="72"/>
      <c r="IWR166" s="72"/>
      <c r="IWS166" s="72"/>
      <c r="IWT166" s="72"/>
      <c r="IWU166" s="72"/>
      <c r="IWV166" s="72"/>
      <c r="IWW166" s="72"/>
      <c r="IWX166" s="72"/>
      <c r="IWY166" s="72"/>
      <c r="IWZ166" s="72"/>
      <c r="IXA166" s="72"/>
      <c r="IXB166" s="72"/>
      <c r="IXC166" s="72"/>
      <c r="IXD166" s="72"/>
      <c r="IXE166" s="72"/>
      <c r="IXF166" s="72"/>
      <c r="IXG166" s="72"/>
      <c r="IXH166" s="72"/>
      <c r="IXI166" s="72"/>
      <c r="IXJ166" s="72"/>
      <c r="IXK166" s="72"/>
      <c r="IXL166" s="72"/>
      <c r="IXM166" s="72"/>
      <c r="IXN166" s="72"/>
      <c r="IXO166" s="72"/>
      <c r="IXP166" s="72"/>
      <c r="IXQ166" s="72"/>
      <c r="IXR166" s="72"/>
      <c r="IXS166" s="72"/>
      <c r="IXT166" s="72"/>
      <c r="IXU166" s="72"/>
      <c r="IXV166" s="72"/>
      <c r="IXW166" s="72"/>
      <c r="IXX166" s="72"/>
      <c r="IXY166" s="72"/>
      <c r="IXZ166" s="72"/>
      <c r="IYA166" s="72"/>
      <c r="IYB166" s="72"/>
      <c r="IYC166" s="72"/>
      <c r="IYD166" s="72"/>
      <c r="IYE166" s="72"/>
      <c r="IYF166" s="72"/>
      <c r="IYG166" s="72"/>
      <c r="IYH166" s="72"/>
      <c r="IYI166" s="72"/>
      <c r="IYJ166" s="72"/>
      <c r="IYK166" s="72"/>
      <c r="IYL166" s="72"/>
      <c r="IYM166" s="72"/>
      <c r="IYN166" s="72"/>
      <c r="IYO166" s="72"/>
      <c r="IYP166" s="72"/>
      <c r="IYQ166" s="72"/>
      <c r="IYR166" s="72"/>
      <c r="IYS166" s="72"/>
      <c r="IYT166" s="72"/>
      <c r="IYU166" s="72"/>
      <c r="IYV166" s="72"/>
      <c r="IYW166" s="72"/>
      <c r="IYX166" s="72"/>
      <c r="IYY166" s="72"/>
      <c r="IYZ166" s="72"/>
      <c r="IZA166" s="72"/>
      <c r="IZB166" s="72"/>
      <c r="IZC166" s="72"/>
      <c r="IZD166" s="72"/>
      <c r="IZE166" s="72"/>
      <c r="IZF166" s="72"/>
      <c r="IZG166" s="72"/>
      <c r="IZH166" s="72"/>
      <c r="IZI166" s="72"/>
      <c r="IZJ166" s="72"/>
      <c r="IZK166" s="72"/>
      <c r="IZL166" s="72"/>
      <c r="IZM166" s="72"/>
      <c r="IZN166" s="72"/>
      <c r="IZO166" s="72"/>
      <c r="IZP166" s="72"/>
      <c r="IZQ166" s="72"/>
      <c r="IZR166" s="72"/>
      <c r="IZS166" s="72"/>
      <c r="IZT166" s="72"/>
      <c r="IZU166" s="72"/>
      <c r="IZV166" s="72"/>
      <c r="IZW166" s="72"/>
      <c r="IZX166" s="72"/>
      <c r="IZY166" s="72"/>
      <c r="IZZ166" s="72"/>
      <c r="JAA166" s="72"/>
      <c r="JAB166" s="72"/>
      <c r="JAC166" s="72"/>
      <c r="JAD166" s="72"/>
      <c r="JAE166" s="72"/>
      <c r="JAF166" s="72"/>
      <c r="JAG166" s="72"/>
      <c r="JAH166" s="72"/>
      <c r="JAI166" s="72"/>
      <c r="JAJ166" s="72"/>
      <c r="JAK166" s="72"/>
      <c r="JAL166" s="72"/>
      <c r="JAM166" s="72"/>
      <c r="JAN166" s="72"/>
      <c r="JAO166" s="72"/>
      <c r="JAP166" s="72"/>
      <c r="JAQ166" s="72"/>
      <c r="JAR166" s="72"/>
      <c r="JAS166" s="72"/>
      <c r="JAT166" s="72"/>
      <c r="JAU166" s="72"/>
      <c r="JAV166" s="72"/>
      <c r="JAW166" s="72"/>
      <c r="JAX166" s="72"/>
      <c r="JAY166" s="72"/>
      <c r="JAZ166" s="72"/>
      <c r="JBA166" s="72"/>
      <c r="JBB166" s="72"/>
      <c r="JBC166" s="72"/>
      <c r="JBD166" s="72"/>
      <c r="JBE166" s="72"/>
      <c r="JBF166" s="72"/>
      <c r="JBG166" s="72"/>
      <c r="JBH166" s="72"/>
      <c r="JBI166" s="72"/>
      <c r="JBJ166" s="72"/>
      <c r="JBK166" s="72"/>
      <c r="JBL166" s="72"/>
      <c r="JBM166" s="72"/>
      <c r="JBN166" s="72"/>
      <c r="JBO166" s="72"/>
      <c r="JBP166" s="72"/>
      <c r="JBQ166" s="72"/>
      <c r="JBR166" s="72"/>
      <c r="JBS166" s="72"/>
      <c r="JBT166" s="72"/>
      <c r="JBU166" s="72"/>
      <c r="JBV166" s="72"/>
      <c r="JBW166" s="72"/>
      <c r="JBX166" s="72"/>
      <c r="JBY166" s="72"/>
      <c r="JBZ166" s="72"/>
      <c r="JCA166" s="72"/>
      <c r="JCB166" s="72"/>
      <c r="JCC166" s="72"/>
      <c r="JCD166" s="72"/>
      <c r="JCE166" s="72"/>
      <c r="JCF166" s="72"/>
      <c r="JCG166" s="72"/>
      <c r="JCH166" s="72"/>
      <c r="JCI166" s="72"/>
      <c r="JCJ166" s="72"/>
      <c r="JCK166" s="72"/>
      <c r="JCL166" s="72"/>
      <c r="JCM166" s="72"/>
      <c r="JCN166" s="72"/>
      <c r="JCO166" s="72"/>
      <c r="JCP166" s="72"/>
      <c r="JCQ166" s="72"/>
      <c r="JCR166" s="72"/>
      <c r="JCS166" s="72"/>
      <c r="JCT166" s="72"/>
      <c r="JCU166" s="72"/>
      <c r="JCV166" s="72"/>
      <c r="JCW166" s="72"/>
      <c r="JCX166" s="72"/>
      <c r="JCY166" s="72"/>
      <c r="JCZ166" s="72"/>
      <c r="JDA166" s="72"/>
      <c r="JDB166" s="72"/>
      <c r="JDC166" s="72"/>
      <c r="JDD166" s="72"/>
      <c r="JDE166" s="72"/>
      <c r="JDF166" s="72"/>
      <c r="JDG166" s="72"/>
      <c r="JDH166" s="72"/>
      <c r="JDI166" s="72"/>
      <c r="JDJ166" s="72"/>
      <c r="JDK166" s="72"/>
      <c r="JDL166" s="72"/>
      <c r="JDM166" s="72"/>
      <c r="JDN166" s="72"/>
      <c r="JDO166" s="72"/>
      <c r="JDP166" s="72"/>
      <c r="JDQ166" s="72"/>
      <c r="JDR166" s="72"/>
      <c r="JDS166" s="72"/>
      <c r="JDT166" s="72"/>
      <c r="JDU166" s="72"/>
      <c r="JDV166" s="72"/>
      <c r="JDW166" s="72"/>
      <c r="JDX166" s="72"/>
      <c r="JDY166" s="72"/>
      <c r="JDZ166" s="72"/>
      <c r="JEA166" s="72"/>
      <c r="JEB166" s="72"/>
      <c r="JEC166" s="72"/>
      <c r="JED166" s="72"/>
      <c r="JEE166" s="72"/>
      <c r="JEF166" s="72"/>
      <c r="JEG166" s="72"/>
      <c r="JEH166" s="72"/>
      <c r="JEI166" s="72"/>
      <c r="JEJ166" s="72"/>
      <c r="JEK166" s="72"/>
      <c r="JEL166" s="72"/>
      <c r="JEM166" s="72"/>
      <c r="JEN166" s="72"/>
      <c r="JEO166" s="72"/>
      <c r="JEP166" s="72"/>
      <c r="JEQ166" s="72"/>
      <c r="JER166" s="72"/>
      <c r="JES166" s="72"/>
      <c r="JET166" s="72"/>
      <c r="JEU166" s="72"/>
      <c r="JEV166" s="72"/>
      <c r="JEW166" s="72"/>
      <c r="JEX166" s="72"/>
      <c r="JEY166" s="72"/>
      <c r="JEZ166" s="72"/>
      <c r="JFA166" s="72"/>
      <c r="JFB166" s="72"/>
      <c r="JFC166" s="72"/>
      <c r="JFD166" s="72"/>
      <c r="JFE166" s="72"/>
      <c r="JFF166" s="72"/>
      <c r="JFG166" s="72"/>
      <c r="JFH166" s="72"/>
      <c r="JFI166" s="72"/>
      <c r="JFJ166" s="72"/>
      <c r="JFK166" s="72"/>
      <c r="JFL166" s="72"/>
      <c r="JFM166" s="72"/>
      <c r="JFN166" s="72"/>
      <c r="JFO166" s="72"/>
      <c r="JFP166" s="72"/>
      <c r="JFQ166" s="72"/>
      <c r="JFR166" s="72"/>
      <c r="JFS166" s="72"/>
      <c r="JFT166" s="72"/>
      <c r="JFU166" s="72"/>
      <c r="JFV166" s="72"/>
      <c r="JFW166" s="72"/>
      <c r="JFX166" s="72"/>
      <c r="JFY166" s="72"/>
      <c r="JFZ166" s="72"/>
      <c r="JGA166" s="72"/>
      <c r="JGB166" s="72"/>
      <c r="JGC166" s="72"/>
      <c r="JGD166" s="72"/>
      <c r="JGE166" s="72"/>
      <c r="JGF166" s="72"/>
      <c r="JGG166" s="72"/>
      <c r="JGH166" s="72"/>
      <c r="JGI166" s="72"/>
      <c r="JGJ166" s="72"/>
      <c r="JGK166" s="72"/>
      <c r="JGL166" s="72"/>
      <c r="JGM166" s="72"/>
      <c r="JGN166" s="72"/>
      <c r="JGO166" s="72"/>
      <c r="JGP166" s="72"/>
      <c r="JGQ166" s="72"/>
      <c r="JGR166" s="72"/>
      <c r="JGS166" s="72"/>
      <c r="JGT166" s="72"/>
      <c r="JGU166" s="72"/>
      <c r="JGV166" s="72"/>
      <c r="JGW166" s="72"/>
      <c r="JGX166" s="72"/>
      <c r="JGY166" s="72"/>
      <c r="JGZ166" s="72"/>
      <c r="JHA166" s="72"/>
      <c r="JHB166" s="72"/>
      <c r="JHC166" s="72"/>
      <c r="JHD166" s="72"/>
      <c r="JHE166" s="72"/>
      <c r="JHF166" s="72"/>
      <c r="JHG166" s="72"/>
      <c r="JHH166" s="72"/>
      <c r="JHI166" s="72"/>
      <c r="JHJ166" s="72"/>
      <c r="JHK166" s="72"/>
      <c r="JHL166" s="72"/>
      <c r="JHM166" s="72"/>
      <c r="JHN166" s="72"/>
      <c r="JHO166" s="72"/>
      <c r="JHP166" s="72"/>
      <c r="JHQ166" s="72"/>
      <c r="JHR166" s="72"/>
      <c r="JHS166" s="72"/>
      <c r="JHT166" s="72"/>
      <c r="JHU166" s="72"/>
      <c r="JHV166" s="72"/>
      <c r="JHW166" s="72"/>
      <c r="JHX166" s="72"/>
      <c r="JHY166" s="72"/>
      <c r="JHZ166" s="72"/>
      <c r="JIA166" s="72"/>
      <c r="JIB166" s="72"/>
      <c r="JIC166" s="72"/>
      <c r="JID166" s="72"/>
      <c r="JIE166" s="72"/>
      <c r="JIF166" s="72"/>
      <c r="JIG166" s="72"/>
      <c r="JIH166" s="72"/>
      <c r="JII166" s="72"/>
      <c r="JIJ166" s="72"/>
      <c r="JIK166" s="72"/>
      <c r="JIL166" s="72"/>
      <c r="JIM166" s="72"/>
      <c r="JIN166" s="72"/>
      <c r="JIO166" s="72"/>
      <c r="JIP166" s="72"/>
      <c r="JIQ166" s="72"/>
      <c r="JIR166" s="72"/>
      <c r="JIS166" s="72"/>
      <c r="JIT166" s="72"/>
      <c r="JIU166" s="72"/>
      <c r="JIV166" s="72"/>
      <c r="JIW166" s="72"/>
      <c r="JIX166" s="72"/>
      <c r="JIY166" s="72"/>
      <c r="JIZ166" s="72"/>
      <c r="JJA166" s="72"/>
      <c r="JJB166" s="72"/>
      <c r="JJC166" s="72"/>
      <c r="JJD166" s="72"/>
      <c r="JJE166" s="72"/>
      <c r="JJF166" s="72"/>
      <c r="JJG166" s="72"/>
      <c r="JJH166" s="72"/>
      <c r="JJI166" s="72"/>
      <c r="JJJ166" s="72"/>
      <c r="JJK166" s="72"/>
      <c r="JJL166" s="72"/>
      <c r="JJM166" s="72"/>
      <c r="JJN166" s="72"/>
      <c r="JJO166" s="72"/>
      <c r="JJP166" s="72"/>
      <c r="JJQ166" s="72"/>
      <c r="JJR166" s="72"/>
      <c r="JJS166" s="72"/>
      <c r="JJT166" s="72"/>
      <c r="JJU166" s="72"/>
      <c r="JJV166" s="72"/>
      <c r="JJW166" s="72"/>
      <c r="JJX166" s="72"/>
      <c r="JJY166" s="72"/>
      <c r="JJZ166" s="72"/>
      <c r="JKA166" s="72"/>
      <c r="JKB166" s="72"/>
      <c r="JKC166" s="72"/>
      <c r="JKD166" s="72"/>
      <c r="JKE166" s="72"/>
      <c r="JKF166" s="72"/>
      <c r="JKG166" s="72"/>
      <c r="JKH166" s="72"/>
      <c r="JKI166" s="72"/>
      <c r="JKJ166" s="72"/>
      <c r="JKK166" s="72"/>
      <c r="JKL166" s="72"/>
      <c r="JKM166" s="72"/>
      <c r="JKN166" s="72"/>
      <c r="JKO166" s="72"/>
      <c r="JKP166" s="72"/>
      <c r="JKQ166" s="72"/>
      <c r="JKR166" s="72"/>
      <c r="JKS166" s="72"/>
      <c r="JKT166" s="72"/>
      <c r="JKU166" s="72"/>
      <c r="JKV166" s="72"/>
      <c r="JKW166" s="72"/>
      <c r="JKX166" s="72"/>
      <c r="JKY166" s="72"/>
      <c r="JKZ166" s="72"/>
      <c r="JLA166" s="72"/>
      <c r="JLB166" s="72"/>
      <c r="JLC166" s="72"/>
      <c r="JLD166" s="72"/>
      <c r="JLE166" s="72"/>
      <c r="JLF166" s="72"/>
      <c r="JLG166" s="72"/>
      <c r="JLH166" s="72"/>
      <c r="JLI166" s="72"/>
      <c r="JLJ166" s="72"/>
      <c r="JLK166" s="72"/>
      <c r="JLL166" s="72"/>
      <c r="JLM166" s="72"/>
      <c r="JLN166" s="72"/>
      <c r="JLO166" s="72"/>
      <c r="JLP166" s="72"/>
      <c r="JLQ166" s="72"/>
      <c r="JLR166" s="72"/>
      <c r="JLS166" s="72"/>
      <c r="JLT166" s="72"/>
      <c r="JLU166" s="72"/>
      <c r="JLV166" s="72"/>
      <c r="JLW166" s="72"/>
      <c r="JLX166" s="72"/>
      <c r="JLY166" s="72"/>
      <c r="JLZ166" s="72"/>
      <c r="JMA166" s="72"/>
      <c r="JMB166" s="72"/>
      <c r="JMC166" s="72"/>
      <c r="JMD166" s="72"/>
      <c r="JME166" s="72"/>
      <c r="JMF166" s="72"/>
      <c r="JMG166" s="72"/>
      <c r="JMH166" s="72"/>
      <c r="JMI166" s="72"/>
      <c r="JMJ166" s="72"/>
      <c r="JMK166" s="72"/>
      <c r="JML166" s="72"/>
      <c r="JMM166" s="72"/>
      <c r="JMN166" s="72"/>
      <c r="JMO166" s="72"/>
      <c r="JMP166" s="72"/>
      <c r="JMQ166" s="72"/>
      <c r="JMR166" s="72"/>
      <c r="JMS166" s="72"/>
      <c r="JMT166" s="72"/>
      <c r="JMU166" s="72"/>
      <c r="JMV166" s="72"/>
      <c r="JMW166" s="72"/>
      <c r="JMX166" s="72"/>
      <c r="JMY166" s="72"/>
      <c r="JMZ166" s="72"/>
      <c r="JNA166" s="72"/>
      <c r="JNB166" s="72"/>
      <c r="JNC166" s="72"/>
      <c r="JND166" s="72"/>
      <c r="JNE166" s="72"/>
      <c r="JNF166" s="72"/>
      <c r="JNG166" s="72"/>
      <c r="JNH166" s="72"/>
      <c r="JNI166" s="72"/>
      <c r="JNJ166" s="72"/>
      <c r="JNK166" s="72"/>
      <c r="JNL166" s="72"/>
      <c r="JNM166" s="72"/>
      <c r="JNN166" s="72"/>
      <c r="JNO166" s="72"/>
      <c r="JNP166" s="72"/>
      <c r="JNQ166" s="72"/>
      <c r="JNR166" s="72"/>
      <c r="JNS166" s="72"/>
      <c r="JNT166" s="72"/>
      <c r="JNU166" s="72"/>
      <c r="JNV166" s="72"/>
      <c r="JNW166" s="72"/>
      <c r="JNX166" s="72"/>
      <c r="JNY166" s="72"/>
      <c r="JNZ166" s="72"/>
      <c r="JOA166" s="72"/>
      <c r="JOB166" s="72"/>
      <c r="JOC166" s="72"/>
      <c r="JOD166" s="72"/>
      <c r="JOE166" s="72"/>
      <c r="JOF166" s="72"/>
      <c r="JOG166" s="72"/>
      <c r="JOH166" s="72"/>
      <c r="JOI166" s="72"/>
      <c r="JOJ166" s="72"/>
      <c r="JOK166" s="72"/>
      <c r="JOL166" s="72"/>
      <c r="JOM166" s="72"/>
      <c r="JON166" s="72"/>
      <c r="JOO166" s="72"/>
      <c r="JOP166" s="72"/>
      <c r="JOQ166" s="72"/>
      <c r="JOR166" s="72"/>
      <c r="JOS166" s="72"/>
      <c r="JOT166" s="72"/>
      <c r="JOU166" s="72"/>
      <c r="JOV166" s="72"/>
      <c r="JOW166" s="72"/>
      <c r="JOX166" s="72"/>
      <c r="JOY166" s="72"/>
      <c r="JOZ166" s="72"/>
      <c r="JPA166" s="72"/>
      <c r="JPB166" s="72"/>
      <c r="JPC166" s="72"/>
      <c r="JPD166" s="72"/>
      <c r="JPE166" s="72"/>
      <c r="JPF166" s="72"/>
      <c r="JPG166" s="72"/>
      <c r="JPH166" s="72"/>
      <c r="JPI166" s="72"/>
      <c r="JPJ166" s="72"/>
      <c r="JPK166" s="72"/>
      <c r="JPL166" s="72"/>
      <c r="JPM166" s="72"/>
      <c r="JPN166" s="72"/>
      <c r="JPO166" s="72"/>
      <c r="JPP166" s="72"/>
      <c r="JPQ166" s="72"/>
      <c r="JPR166" s="72"/>
      <c r="JPS166" s="72"/>
      <c r="JPT166" s="72"/>
      <c r="JPU166" s="72"/>
      <c r="JPV166" s="72"/>
      <c r="JPW166" s="72"/>
      <c r="JPX166" s="72"/>
      <c r="JPY166" s="72"/>
      <c r="JPZ166" s="72"/>
      <c r="JQA166" s="72"/>
      <c r="JQB166" s="72"/>
      <c r="JQC166" s="72"/>
      <c r="JQD166" s="72"/>
      <c r="JQE166" s="72"/>
      <c r="JQF166" s="72"/>
      <c r="JQG166" s="72"/>
      <c r="JQH166" s="72"/>
      <c r="JQI166" s="72"/>
      <c r="JQJ166" s="72"/>
      <c r="JQK166" s="72"/>
      <c r="JQL166" s="72"/>
      <c r="JQM166" s="72"/>
      <c r="JQN166" s="72"/>
      <c r="JQO166" s="72"/>
      <c r="JQP166" s="72"/>
      <c r="JQQ166" s="72"/>
      <c r="JQR166" s="72"/>
      <c r="JQS166" s="72"/>
      <c r="JQT166" s="72"/>
      <c r="JQU166" s="72"/>
      <c r="JQV166" s="72"/>
      <c r="JQW166" s="72"/>
      <c r="JQX166" s="72"/>
      <c r="JQY166" s="72"/>
      <c r="JQZ166" s="72"/>
      <c r="JRA166" s="72"/>
      <c r="JRB166" s="72"/>
      <c r="JRC166" s="72"/>
      <c r="JRD166" s="72"/>
      <c r="JRE166" s="72"/>
      <c r="JRF166" s="72"/>
      <c r="JRG166" s="72"/>
      <c r="JRH166" s="72"/>
      <c r="JRI166" s="72"/>
      <c r="JRJ166" s="72"/>
      <c r="JRK166" s="72"/>
      <c r="JRL166" s="72"/>
      <c r="JRM166" s="72"/>
      <c r="JRN166" s="72"/>
      <c r="JRO166" s="72"/>
      <c r="JRP166" s="72"/>
      <c r="JRQ166" s="72"/>
      <c r="JRR166" s="72"/>
      <c r="JRS166" s="72"/>
      <c r="JRT166" s="72"/>
      <c r="JRU166" s="72"/>
      <c r="JRV166" s="72"/>
      <c r="JRW166" s="72"/>
      <c r="JRX166" s="72"/>
      <c r="JRY166" s="72"/>
      <c r="JRZ166" s="72"/>
      <c r="JSA166" s="72"/>
      <c r="JSB166" s="72"/>
      <c r="JSC166" s="72"/>
      <c r="JSD166" s="72"/>
      <c r="JSE166" s="72"/>
      <c r="JSF166" s="72"/>
      <c r="JSG166" s="72"/>
      <c r="JSH166" s="72"/>
      <c r="JSI166" s="72"/>
      <c r="JSJ166" s="72"/>
      <c r="JSK166" s="72"/>
      <c r="JSL166" s="72"/>
      <c r="JSM166" s="72"/>
      <c r="JSN166" s="72"/>
      <c r="JSO166" s="72"/>
      <c r="JSP166" s="72"/>
      <c r="JSQ166" s="72"/>
      <c r="JSR166" s="72"/>
      <c r="JSS166" s="72"/>
      <c r="JST166" s="72"/>
      <c r="JSU166" s="72"/>
      <c r="JSV166" s="72"/>
      <c r="JSW166" s="72"/>
      <c r="JSX166" s="72"/>
      <c r="JSY166" s="72"/>
      <c r="JSZ166" s="72"/>
      <c r="JTA166" s="72"/>
      <c r="JTB166" s="72"/>
      <c r="JTC166" s="72"/>
      <c r="JTD166" s="72"/>
      <c r="JTE166" s="72"/>
      <c r="JTF166" s="72"/>
      <c r="JTG166" s="72"/>
      <c r="JTH166" s="72"/>
      <c r="JTI166" s="72"/>
      <c r="JTJ166" s="72"/>
      <c r="JTK166" s="72"/>
      <c r="JTL166" s="72"/>
      <c r="JTM166" s="72"/>
      <c r="JTN166" s="72"/>
      <c r="JTO166" s="72"/>
      <c r="JTP166" s="72"/>
      <c r="JTQ166" s="72"/>
      <c r="JTR166" s="72"/>
      <c r="JTS166" s="72"/>
      <c r="JTT166" s="72"/>
      <c r="JTU166" s="72"/>
      <c r="JTV166" s="72"/>
      <c r="JTW166" s="72"/>
      <c r="JTX166" s="72"/>
      <c r="JTY166" s="72"/>
      <c r="JTZ166" s="72"/>
      <c r="JUA166" s="72"/>
      <c r="JUB166" s="72"/>
      <c r="JUC166" s="72"/>
      <c r="JUD166" s="72"/>
      <c r="JUE166" s="72"/>
      <c r="JUF166" s="72"/>
      <c r="JUG166" s="72"/>
      <c r="JUH166" s="72"/>
      <c r="JUI166" s="72"/>
      <c r="JUJ166" s="72"/>
      <c r="JUK166" s="72"/>
      <c r="JUL166" s="72"/>
      <c r="JUM166" s="72"/>
      <c r="JUN166" s="72"/>
      <c r="JUO166" s="72"/>
      <c r="JUP166" s="72"/>
      <c r="JUQ166" s="72"/>
      <c r="JUR166" s="72"/>
      <c r="JUS166" s="72"/>
      <c r="JUT166" s="72"/>
      <c r="JUU166" s="72"/>
      <c r="JUV166" s="72"/>
      <c r="JUW166" s="72"/>
      <c r="JUX166" s="72"/>
      <c r="JUY166" s="72"/>
      <c r="JUZ166" s="72"/>
      <c r="JVA166" s="72"/>
      <c r="JVB166" s="72"/>
      <c r="JVC166" s="72"/>
      <c r="JVD166" s="72"/>
      <c r="JVE166" s="72"/>
      <c r="JVF166" s="72"/>
      <c r="JVG166" s="72"/>
      <c r="JVH166" s="72"/>
      <c r="JVI166" s="72"/>
      <c r="JVJ166" s="72"/>
      <c r="JVK166" s="72"/>
      <c r="JVL166" s="72"/>
      <c r="JVM166" s="72"/>
      <c r="JVN166" s="72"/>
      <c r="JVO166" s="72"/>
      <c r="JVP166" s="72"/>
      <c r="JVQ166" s="72"/>
      <c r="JVR166" s="72"/>
      <c r="JVS166" s="72"/>
      <c r="JVT166" s="72"/>
      <c r="JVU166" s="72"/>
      <c r="JVV166" s="72"/>
      <c r="JVW166" s="72"/>
      <c r="JVX166" s="72"/>
      <c r="JVY166" s="72"/>
      <c r="JVZ166" s="72"/>
      <c r="JWA166" s="72"/>
      <c r="JWB166" s="72"/>
      <c r="JWC166" s="72"/>
      <c r="JWD166" s="72"/>
      <c r="JWE166" s="72"/>
      <c r="JWF166" s="72"/>
      <c r="JWG166" s="72"/>
      <c r="JWH166" s="72"/>
      <c r="JWI166" s="72"/>
      <c r="JWJ166" s="72"/>
      <c r="JWK166" s="72"/>
      <c r="JWL166" s="72"/>
      <c r="JWM166" s="72"/>
      <c r="JWN166" s="72"/>
      <c r="JWO166" s="72"/>
      <c r="JWP166" s="72"/>
      <c r="JWQ166" s="72"/>
      <c r="JWR166" s="72"/>
      <c r="JWS166" s="72"/>
      <c r="JWT166" s="72"/>
      <c r="JWU166" s="72"/>
      <c r="JWV166" s="72"/>
      <c r="JWW166" s="72"/>
      <c r="JWX166" s="72"/>
      <c r="JWY166" s="72"/>
      <c r="JWZ166" s="72"/>
      <c r="JXA166" s="72"/>
      <c r="JXB166" s="72"/>
      <c r="JXC166" s="72"/>
      <c r="JXD166" s="72"/>
      <c r="JXE166" s="72"/>
      <c r="JXF166" s="72"/>
      <c r="JXG166" s="72"/>
      <c r="JXH166" s="72"/>
      <c r="JXI166" s="72"/>
      <c r="JXJ166" s="72"/>
      <c r="JXK166" s="72"/>
      <c r="JXL166" s="72"/>
      <c r="JXM166" s="72"/>
      <c r="JXN166" s="72"/>
      <c r="JXO166" s="72"/>
      <c r="JXP166" s="72"/>
      <c r="JXQ166" s="72"/>
      <c r="JXR166" s="72"/>
      <c r="JXS166" s="72"/>
      <c r="JXT166" s="72"/>
      <c r="JXU166" s="72"/>
      <c r="JXV166" s="72"/>
      <c r="JXW166" s="72"/>
      <c r="JXX166" s="72"/>
      <c r="JXY166" s="72"/>
      <c r="JXZ166" s="72"/>
      <c r="JYA166" s="72"/>
      <c r="JYB166" s="72"/>
      <c r="JYC166" s="72"/>
      <c r="JYD166" s="72"/>
      <c r="JYE166" s="72"/>
      <c r="JYF166" s="72"/>
      <c r="JYG166" s="72"/>
      <c r="JYH166" s="72"/>
      <c r="JYI166" s="72"/>
      <c r="JYJ166" s="72"/>
      <c r="JYK166" s="72"/>
      <c r="JYL166" s="72"/>
      <c r="JYM166" s="72"/>
      <c r="JYN166" s="72"/>
      <c r="JYO166" s="72"/>
      <c r="JYP166" s="72"/>
      <c r="JYQ166" s="72"/>
      <c r="JYR166" s="72"/>
      <c r="JYS166" s="72"/>
      <c r="JYT166" s="72"/>
      <c r="JYU166" s="72"/>
      <c r="JYV166" s="72"/>
      <c r="JYW166" s="72"/>
      <c r="JYX166" s="72"/>
      <c r="JYY166" s="72"/>
      <c r="JYZ166" s="72"/>
      <c r="JZA166" s="72"/>
      <c r="JZB166" s="72"/>
      <c r="JZC166" s="72"/>
      <c r="JZD166" s="72"/>
      <c r="JZE166" s="72"/>
      <c r="JZF166" s="72"/>
      <c r="JZG166" s="72"/>
      <c r="JZH166" s="72"/>
      <c r="JZI166" s="72"/>
      <c r="JZJ166" s="72"/>
      <c r="JZK166" s="72"/>
      <c r="JZL166" s="72"/>
      <c r="JZM166" s="72"/>
      <c r="JZN166" s="72"/>
      <c r="JZO166" s="72"/>
      <c r="JZP166" s="72"/>
      <c r="JZQ166" s="72"/>
      <c r="JZR166" s="72"/>
      <c r="JZS166" s="72"/>
      <c r="JZT166" s="72"/>
      <c r="JZU166" s="72"/>
      <c r="JZV166" s="72"/>
      <c r="JZW166" s="72"/>
      <c r="JZX166" s="72"/>
      <c r="JZY166" s="72"/>
      <c r="JZZ166" s="72"/>
      <c r="KAA166" s="72"/>
      <c r="KAB166" s="72"/>
      <c r="KAC166" s="72"/>
      <c r="KAD166" s="72"/>
      <c r="KAE166" s="72"/>
      <c r="KAF166" s="72"/>
      <c r="KAG166" s="72"/>
      <c r="KAH166" s="72"/>
      <c r="KAI166" s="72"/>
      <c r="KAJ166" s="72"/>
      <c r="KAK166" s="72"/>
      <c r="KAL166" s="72"/>
      <c r="KAM166" s="72"/>
      <c r="KAN166" s="72"/>
      <c r="KAO166" s="72"/>
      <c r="KAP166" s="72"/>
      <c r="KAQ166" s="72"/>
      <c r="KAR166" s="72"/>
      <c r="KAS166" s="72"/>
      <c r="KAT166" s="72"/>
      <c r="KAU166" s="72"/>
      <c r="KAV166" s="72"/>
      <c r="KAW166" s="72"/>
      <c r="KAX166" s="72"/>
      <c r="KAY166" s="72"/>
      <c r="KAZ166" s="72"/>
      <c r="KBA166" s="72"/>
      <c r="KBB166" s="72"/>
      <c r="KBC166" s="72"/>
      <c r="KBD166" s="72"/>
      <c r="KBE166" s="72"/>
      <c r="KBF166" s="72"/>
      <c r="KBG166" s="72"/>
      <c r="KBH166" s="72"/>
      <c r="KBI166" s="72"/>
      <c r="KBJ166" s="72"/>
      <c r="KBK166" s="72"/>
      <c r="KBL166" s="72"/>
      <c r="KBM166" s="72"/>
      <c r="KBN166" s="72"/>
      <c r="KBO166" s="72"/>
      <c r="KBP166" s="72"/>
      <c r="KBQ166" s="72"/>
      <c r="KBR166" s="72"/>
      <c r="KBS166" s="72"/>
      <c r="KBT166" s="72"/>
      <c r="KBU166" s="72"/>
      <c r="KBV166" s="72"/>
      <c r="KBW166" s="72"/>
      <c r="KBX166" s="72"/>
      <c r="KBY166" s="72"/>
      <c r="KBZ166" s="72"/>
      <c r="KCA166" s="72"/>
      <c r="KCB166" s="72"/>
      <c r="KCC166" s="72"/>
      <c r="KCD166" s="72"/>
      <c r="KCE166" s="72"/>
      <c r="KCF166" s="72"/>
      <c r="KCG166" s="72"/>
      <c r="KCH166" s="72"/>
      <c r="KCI166" s="72"/>
      <c r="KCJ166" s="72"/>
      <c r="KCK166" s="72"/>
      <c r="KCL166" s="72"/>
      <c r="KCM166" s="72"/>
      <c r="KCN166" s="72"/>
      <c r="KCO166" s="72"/>
      <c r="KCP166" s="72"/>
      <c r="KCQ166" s="72"/>
      <c r="KCR166" s="72"/>
      <c r="KCS166" s="72"/>
      <c r="KCT166" s="72"/>
      <c r="KCU166" s="72"/>
      <c r="KCV166" s="72"/>
      <c r="KCW166" s="72"/>
      <c r="KCX166" s="72"/>
      <c r="KCY166" s="72"/>
      <c r="KCZ166" s="72"/>
      <c r="KDA166" s="72"/>
      <c r="KDB166" s="72"/>
      <c r="KDC166" s="72"/>
      <c r="KDD166" s="72"/>
      <c r="KDE166" s="72"/>
      <c r="KDF166" s="72"/>
      <c r="KDG166" s="72"/>
      <c r="KDH166" s="72"/>
      <c r="KDI166" s="72"/>
      <c r="KDJ166" s="72"/>
      <c r="KDK166" s="72"/>
      <c r="KDL166" s="72"/>
      <c r="KDM166" s="72"/>
      <c r="KDN166" s="72"/>
      <c r="KDO166" s="72"/>
      <c r="KDP166" s="72"/>
      <c r="KDQ166" s="72"/>
      <c r="KDR166" s="72"/>
      <c r="KDS166" s="72"/>
      <c r="KDT166" s="72"/>
      <c r="KDU166" s="72"/>
      <c r="KDV166" s="72"/>
      <c r="KDW166" s="72"/>
      <c r="KDX166" s="72"/>
      <c r="KDY166" s="72"/>
      <c r="KDZ166" s="72"/>
      <c r="KEA166" s="72"/>
      <c r="KEB166" s="72"/>
      <c r="KEC166" s="72"/>
      <c r="KED166" s="72"/>
      <c r="KEE166" s="72"/>
      <c r="KEF166" s="72"/>
      <c r="KEG166" s="72"/>
      <c r="KEH166" s="72"/>
      <c r="KEI166" s="72"/>
      <c r="KEJ166" s="72"/>
      <c r="KEK166" s="72"/>
      <c r="KEL166" s="72"/>
      <c r="KEM166" s="72"/>
      <c r="KEN166" s="72"/>
      <c r="KEO166" s="72"/>
      <c r="KEP166" s="72"/>
      <c r="KEQ166" s="72"/>
      <c r="KER166" s="72"/>
      <c r="KES166" s="72"/>
      <c r="KET166" s="72"/>
      <c r="KEU166" s="72"/>
      <c r="KEV166" s="72"/>
      <c r="KEW166" s="72"/>
      <c r="KEX166" s="72"/>
      <c r="KEY166" s="72"/>
      <c r="KEZ166" s="72"/>
      <c r="KFA166" s="72"/>
      <c r="KFB166" s="72"/>
      <c r="KFC166" s="72"/>
      <c r="KFD166" s="72"/>
      <c r="KFE166" s="72"/>
      <c r="KFF166" s="72"/>
      <c r="KFG166" s="72"/>
      <c r="KFH166" s="72"/>
      <c r="KFI166" s="72"/>
      <c r="KFJ166" s="72"/>
      <c r="KFK166" s="72"/>
      <c r="KFL166" s="72"/>
      <c r="KFM166" s="72"/>
      <c r="KFN166" s="72"/>
      <c r="KFO166" s="72"/>
      <c r="KFP166" s="72"/>
      <c r="KFQ166" s="72"/>
      <c r="KFR166" s="72"/>
      <c r="KFS166" s="72"/>
      <c r="KFT166" s="72"/>
      <c r="KFU166" s="72"/>
      <c r="KFV166" s="72"/>
      <c r="KFW166" s="72"/>
      <c r="KFX166" s="72"/>
      <c r="KFY166" s="72"/>
      <c r="KFZ166" s="72"/>
      <c r="KGA166" s="72"/>
      <c r="KGB166" s="72"/>
      <c r="KGC166" s="72"/>
      <c r="KGD166" s="72"/>
      <c r="KGE166" s="72"/>
      <c r="KGF166" s="72"/>
      <c r="KGG166" s="72"/>
      <c r="KGH166" s="72"/>
      <c r="KGI166" s="72"/>
      <c r="KGJ166" s="72"/>
      <c r="KGK166" s="72"/>
      <c r="KGL166" s="72"/>
      <c r="KGM166" s="72"/>
      <c r="KGN166" s="72"/>
      <c r="KGO166" s="72"/>
      <c r="KGP166" s="72"/>
      <c r="KGQ166" s="72"/>
      <c r="KGR166" s="72"/>
      <c r="KGS166" s="72"/>
      <c r="KGT166" s="72"/>
      <c r="KGU166" s="72"/>
      <c r="KGV166" s="72"/>
      <c r="KGW166" s="72"/>
      <c r="KGX166" s="72"/>
      <c r="KGY166" s="72"/>
      <c r="KGZ166" s="72"/>
      <c r="KHA166" s="72"/>
      <c r="KHB166" s="72"/>
      <c r="KHC166" s="72"/>
      <c r="KHD166" s="72"/>
      <c r="KHE166" s="72"/>
      <c r="KHF166" s="72"/>
      <c r="KHG166" s="72"/>
      <c r="KHH166" s="72"/>
      <c r="KHI166" s="72"/>
      <c r="KHJ166" s="72"/>
      <c r="KHK166" s="72"/>
      <c r="KHL166" s="72"/>
      <c r="KHM166" s="72"/>
      <c r="KHN166" s="72"/>
      <c r="KHO166" s="72"/>
      <c r="KHP166" s="72"/>
      <c r="KHQ166" s="72"/>
      <c r="KHR166" s="72"/>
      <c r="KHS166" s="72"/>
      <c r="KHT166" s="72"/>
      <c r="KHU166" s="72"/>
      <c r="KHV166" s="72"/>
      <c r="KHW166" s="72"/>
      <c r="KHX166" s="72"/>
      <c r="KHY166" s="72"/>
      <c r="KHZ166" s="72"/>
      <c r="KIA166" s="72"/>
      <c r="KIB166" s="72"/>
      <c r="KIC166" s="72"/>
      <c r="KID166" s="72"/>
      <c r="KIE166" s="72"/>
      <c r="KIF166" s="72"/>
      <c r="KIG166" s="72"/>
      <c r="KIH166" s="72"/>
      <c r="KII166" s="72"/>
      <c r="KIJ166" s="72"/>
      <c r="KIK166" s="72"/>
      <c r="KIL166" s="72"/>
      <c r="KIM166" s="72"/>
      <c r="KIN166" s="72"/>
      <c r="KIO166" s="72"/>
      <c r="KIP166" s="72"/>
      <c r="KIQ166" s="72"/>
      <c r="KIR166" s="72"/>
      <c r="KIS166" s="72"/>
      <c r="KIT166" s="72"/>
      <c r="KIU166" s="72"/>
      <c r="KIV166" s="72"/>
      <c r="KIW166" s="72"/>
      <c r="KIX166" s="72"/>
      <c r="KIY166" s="72"/>
      <c r="KIZ166" s="72"/>
      <c r="KJA166" s="72"/>
      <c r="KJB166" s="72"/>
      <c r="KJC166" s="72"/>
      <c r="KJD166" s="72"/>
      <c r="KJE166" s="72"/>
      <c r="KJF166" s="72"/>
      <c r="KJG166" s="72"/>
      <c r="KJH166" s="72"/>
      <c r="KJI166" s="72"/>
      <c r="KJJ166" s="72"/>
      <c r="KJK166" s="72"/>
      <c r="KJL166" s="72"/>
      <c r="KJM166" s="72"/>
      <c r="KJN166" s="72"/>
      <c r="KJO166" s="72"/>
      <c r="KJP166" s="72"/>
      <c r="KJQ166" s="72"/>
      <c r="KJR166" s="72"/>
      <c r="KJS166" s="72"/>
      <c r="KJT166" s="72"/>
      <c r="KJU166" s="72"/>
      <c r="KJV166" s="72"/>
      <c r="KJW166" s="72"/>
      <c r="KJX166" s="72"/>
      <c r="KJY166" s="72"/>
      <c r="KJZ166" s="72"/>
      <c r="KKA166" s="72"/>
      <c r="KKB166" s="72"/>
      <c r="KKC166" s="72"/>
      <c r="KKD166" s="72"/>
      <c r="KKE166" s="72"/>
      <c r="KKF166" s="72"/>
      <c r="KKG166" s="72"/>
      <c r="KKH166" s="72"/>
      <c r="KKI166" s="72"/>
      <c r="KKJ166" s="72"/>
      <c r="KKK166" s="72"/>
      <c r="KKL166" s="72"/>
      <c r="KKM166" s="72"/>
      <c r="KKN166" s="72"/>
      <c r="KKO166" s="72"/>
      <c r="KKP166" s="72"/>
      <c r="KKQ166" s="72"/>
      <c r="KKR166" s="72"/>
      <c r="KKS166" s="72"/>
      <c r="KKT166" s="72"/>
      <c r="KKU166" s="72"/>
      <c r="KKV166" s="72"/>
      <c r="KKW166" s="72"/>
      <c r="KKX166" s="72"/>
      <c r="KKY166" s="72"/>
      <c r="KKZ166" s="72"/>
      <c r="KLA166" s="72"/>
      <c r="KLB166" s="72"/>
      <c r="KLC166" s="72"/>
      <c r="KLD166" s="72"/>
      <c r="KLE166" s="72"/>
      <c r="KLF166" s="72"/>
      <c r="KLG166" s="72"/>
      <c r="KLH166" s="72"/>
      <c r="KLI166" s="72"/>
      <c r="KLJ166" s="72"/>
      <c r="KLK166" s="72"/>
      <c r="KLL166" s="72"/>
      <c r="KLM166" s="72"/>
      <c r="KLN166" s="72"/>
      <c r="KLO166" s="72"/>
      <c r="KLP166" s="72"/>
      <c r="KLQ166" s="72"/>
      <c r="KLR166" s="72"/>
      <c r="KLS166" s="72"/>
      <c r="KLT166" s="72"/>
      <c r="KLU166" s="72"/>
      <c r="KLV166" s="72"/>
      <c r="KLW166" s="72"/>
      <c r="KLX166" s="72"/>
      <c r="KLY166" s="72"/>
      <c r="KLZ166" s="72"/>
      <c r="KMA166" s="72"/>
      <c r="KMB166" s="72"/>
      <c r="KMC166" s="72"/>
      <c r="KMD166" s="72"/>
      <c r="KME166" s="72"/>
      <c r="KMF166" s="72"/>
      <c r="KMG166" s="72"/>
      <c r="KMH166" s="72"/>
      <c r="KMI166" s="72"/>
      <c r="KMJ166" s="72"/>
      <c r="KMK166" s="72"/>
      <c r="KML166" s="72"/>
      <c r="KMM166" s="72"/>
      <c r="KMN166" s="72"/>
      <c r="KMO166" s="72"/>
      <c r="KMP166" s="72"/>
      <c r="KMQ166" s="72"/>
      <c r="KMR166" s="72"/>
      <c r="KMS166" s="72"/>
      <c r="KMT166" s="72"/>
      <c r="KMU166" s="72"/>
      <c r="KMV166" s="72"/>
      <c r="KMW166" s="72"/>
      <c r="KMX166" s="72"/>
      <c r="KMY166" s="72"/>
      <c r="KMZ166" s="72"/>
      <c r="KNA166" s="72"/>
      <c r="KNB166" s="72"/>
      <c r="KNC166" s="72"/>
      <c r="KND166" s="72"/>
      <c r="KNE166" s="72"/>
      <c r="KNF166" s="72"/>
      <c r="KNG166" s="72"/>
      <c r="KNH166" s="72"/>
      <c r="KNI166" s="72"/>
      <c r="KNJ166" s="72"/>
      <c r="KNK166" s="72"/>
      <c r="KNL166" s="72"/>
      <c r="KNM166" s="72"/>
      <c r="KNN166" s="72"/>
      <c r="KNO166" s="72"/>
      <c r="KNP166" s="72"/>
      <c r="KNQ166" s="72"/>
      <c r="KNR166" s="72"/>
      <c r="KNS166" s="72"/>
      <c r="KNT166" s="72"/>
      <c r="KNU166" s="72"/>
      <c r="KNV166" s="72"/>
      <c r="KNW166" s="72"/>
      <c r="KNX166" s="72"/>
      <c r="KNY166" s="72"/>
      <c r="KNZ166" s="72"/>
      <c r="KOA166" s="72"/>
      <c r="KOB166" s="72"/>
      <c r="KOC166" s="72"/>
      <c r="KOD166" s="72"/>
      <c r="KOE166" s="72"/>
      <c r="KOF166" s="72"/>
      <c r="KOG166" s="72"/>
      <c r="KOH166" s="72"/>
      <c r="KOI166" s="72"/>
      <c r="KOJ166" s="72"/>
      <c r="KOK166" s="72"/>
      <c r="KOL166" s="72"/>
      <c r="KOM166" s="72"/>
      <c r="KON166" s="72"/>
      <c r="KOO166" s="72"/>
      <c r="KOP166" s="72"/>
      <c r="KOQ166" s="72"/>
      <c r="KOR166" s="72"/>
      <c r="KOS166" s="72"/>
      <c r="KOT166" s="72"/>
      <c r="KOU166" s="72"/>
      <c r="KOV166" s="72"/>
      <c r="KOW166" s="72"/>
      <c r="KOX166" s="72"/>
      <c r="KOY166" s="72"/>
      <c r="KOZ166" s="72"/>
      <c r="KPA166" s="72"/>
      <c r="KPB166" s="72"/>
      <c r="KPC166" s="72"/>
      <c r="KPD166" s="72"/>
      <c r="KPE166" s="72"/>
      <c r="KPF166" s="72"/>
      <c r="KPG166" s="72"/>
      <c r="KPH166" s="72"/>
      <c r="KPI166" s="72"/>
      <c r="KPJ166" s="72"/>
      <c r="KPK166" s="72"/>
      <c r="KPL166" s="72"/>
      <c r="KPM166" s="72"/>
      <c r="KPN166" s="72"/>
      <c r="KPO166" s="72"/>
      <c r="KPP166" s="72"/>
      <c r="KPQ166" s="72"/>
      <c r="KPR166" s="72"/>
      <c r="KPS166" s="72"/>
      <c r="KPT166" s="72"/>
      <c r="KPU166" s="72"/>
      <c r="KPV166" s="72"/>
      <c r="KPW166" s="72"/>
      <c r="KPX166" s="72"/>
      <c r="KPY166" s="72"/>
      <c r="KPZ166" s="72"/>
      <c r="KQA166" s="72"/>
      <c r="KQB166" s="72"/>
      <c r="KQC166" s="72"/>
      <c r="KQD166" s="72"/>
      <c r="KQE166" s="72"/>
      <c r="KQF166" s="72"/>
      <c r="KQG166" s="72"/>
      <c r="KQH166" s="72"/>
      <c r="KQI166" s="72"/>
      <c r="KQJ166" s="72"/>
      <c r="KQK166" s="72"/>
      <c r="KQL166" s="72"/>
      <c r="KQM166" s="72"/>
      <c r="KQN166" s="72"/>
      <c r="KQO166" s="72"/>
      <c r="KQP166" s="72"/>
      <c r="KQQ166" s="72"/>
      <c r="KQR166" s="72"/>
      <c r="KQS166" s="72"/>
      <c r="KQT166" s="72"/>
      <c r="KQU166" s="72"/>
      <c r="KQV166" s="72"/>
      <c r="KQW166" s="72"/>
      <c r="KQX166" s="72"/>
      <c r="KQY166" s="72"/>
      <c r="KQZ166" s="72"/>
      <c r="KRA166" s="72"/>
      <c r="KRB166" s="72"/>
      <c r="KRC166" s="72"/>
      <c r="KRD166" s="72"/>
      <c r="KRE166" s="72"/>
      <c r="KRF166" s="72"/>
      <c r="KRG166" s="72"/>
      <c r="KRH166" s="72"/>
      <c r="KRI166" s="72"/>
      <c r="KRJ166" s="72"/>
      <c r="KRK166" s="72"/>
      <c r="KRL166" s="72"/>
      <c r="KRM166" s="72"/>
      <c r="KRN166" s="72"/>
      <c r="KRO166" s="72"/>
      <c r="KRP166" s="72"/>
      <c r="KRQ166" s="72"/>
      <c r="KRR166" s="72"/>
      <c r="KRS166" s="72"/>
      <c r="KRT166" s="72"/>
      <c r="KRU166" s="72"/>
      <c r="KRV166" s="72"/>
      <c r="KRW166" s="72"/>
      <c r="KRX166" s="72"/>
      <c r="KRY166" s="72"/>
      <c r="KRZ166" s="72"/>
      <c r="KSA166" s="72"/>
      <c r="KSB166" s="72"/>
      <c r="KSC166" s="72"/>
      <c r="KSD166" s="72"/>
      <c r="KSE166" s="72"/>
      <c r="KSF166" s="72"/>
      <c r="KSG166" s="72"/>
      <c r="KSH166" s="72"/>
      <c r="KSI166" s="72"/>
      <c r="KSJ166" s="72"/>
      <c r="KSK166" s="72"/>
      <c r="KSL166" s="72"/>
      <c r="KSM166" s="72"/>
      <c r="KSN166" s="72"/>
      <c r="KSO166" s="72"/>
      <c r="KSP166" s="72"/>
      <c r="KSQ166" s="72"/>
      <c r="KSR166" s="72"/>
      <c r="KSS166" s="72"/>
      <c r="KST166" s="72"/>
      <c r="KSU166" s="72"/>
      <c r="KSV166" s="72"/>
      <c r="KSW166" s="72"/>
      <c r="KSX166" s="72"/>
      <c r="KSY166" s="72"/>
      <c r="KSZ166" s="72"/>
      <c r="KTA166" s="72"/>
      <c r="KTB166" s="72"/>
      <c r="KTC166" s="72"/>
      <c r="KTD166" s="72"/>
      <c r="KTE166" s="72"/>
      <c r="KTF166" s="72"/>
      <c r="KTG166" s="72"/>
      <c r="KTH166" s="72"/>
      <c r="KTI166" s="72"/>
      <c r="KTJ166" s="72"/>
      <c r="KTK166" s="72"/>
      <c r="KTL166" s="72"/>
      <c r="KTM166" s="72"/>
      <c r="KTN166" s="72"/>
      <c r="KTO166" s="72"/>
      <c r="KTP166" s="72"/>
      <c r="KTQ166" s="72"/>
      <c r="KTR166" s="72"/>
      <c r="KTS166" s="72"/>
      <c r="KTT166" s="72"/>
      <c r="KTU166" s="72"/>
      <c r="KTV166" s="72"/>
      <c r="KTW166" s="72"/>
      <c r="KTX166" s="72"/>
      <c r="KTY166" s="72"/>
      <c r="KTZ166" s="72"/>
      <c r="KUA166" s="72"/>
      <c r="KUB166" s="72"/>
      <c r="KUC166" s="72"/>
      <c r="KUD166" s="72"/>
      <c r="KUE166" s="72"/>
      <c r="KUF166" s="72"/>
      <c r="KUG166" s="72"/>
      <c r="KUH166" s="72"/>
      <c r="KUI166" s="72"/>
      <c r="KUJ166" s="72"/>
      <c r="KUK166" s="72"/>
      <c r="KUL166" s="72"/>
      <c r="KUM166" s="72"/>
      <c r="KUN166" s="72"/>
      <c r="KUO166" s="72"/>
      <c r="KUP166" s="72"/>
      <c r="KUQ166" s="72"/>
      <c r="KUR166" s="72"/>
      <c r="KUS166" s="72"/>
      <c r="KUT166" s="72"/>
      <c r="KUU166" s="72"/>
      <c r="KUV166" s="72"/>
      <c r="KUW166" s="72"/>
      <c r="KUX166" s="72"/>
      <c r="KUY166" s="72"/>
      <c r="KUZ166" s="72"/>
      <c r="KVA166" s="72"/>
      <c r="KVB166" s="72"/>
      <c r="KVC166" s="72"/>
      <c r="KVD166" s="72"/>
      <c r="KVE166" s="72"/>
      <c r="KVF166" s="72"/>
      <c r="KVG166" s="72"/>
      <c r="KVH166" s="72"/>
      <c r="KVI166" s="72"/>
      <c r="KVJ166" s="72"/>
      <c r="KVK166" s="72"/>
      <c r="KVL166" s="72"/>
      <c r="KVM166" s="72"/>
      <c r="KVN166" s="72"/>
      <c r="KVO166" s="72"/>
      <c r="KVP166" s="72"/>
      <c r="KVQ166" s="72"/>
      <c r="KVR166" s="72"/>
      <c r="KVS166" s="72"/>
      <c r="KVT166" s="72"/>
      <c r="KVU166" s="72"/>
      <c r="KVV166" s="72"/>
      <c r="KVW166" s="72"/>
      <c r="KVX166" s="72"/>
      <c r="KVY166" s="72"/>
      <c r="KVZ166" s="72"/>
      <c r="KWA166" s="72"/>
      <c r="KWB166" s="72"/>
      <c r="KWC166" s="72"/>
      <c r="KWD166" s="72"/>
      <c r="KWE166" s="72"/>
      <c r="KWF166" s="72"/>
      <c r="KWG166" s="72"/>
      <c r="KWH166" s="72"/>
      <c r="KWI166" s="72"/>
      <c r="KWJ166" s="72"/>
      <c r="KWK166" s="72"/>
      <c r="KWL166" s="72"/>
      <c r="KWM166" s="72"/>
      <c r="KWN166" s="72"/>
      <c r="KWO166" s="72"/>
      <c r="KWP166" s="72"/>
      <c r="KWQ166" s="72"/>
      <c r="KWR166" s="72"/>
      <c r="KWS166" s="72"/>
      <c r="KWT166" s="72"/>
      <c r="KWU166" s="72"/>
      <c r="KWV166" s="72"/>
      <c r="KWW166" s="72"/>
      <c r="KWX166" s="72"/>
      <c r="KWY166" s="72"/>
      <c r="KWZ166" s="72"/>
      <c r="KXA166" s="72"/>
      <c r="KXB166" s="72"/>
      <c r="KXC166" s="72"/>
      <c r="KXD166" s="72"/>
      <c r="KXE166" s="72"/>
      <c r="KXF166" s="72"/>
      <c r="KXG166" s="72"/>
      <c r="KXH166" s="72"/>
      <c r="KXI166" s="72"/>
      <c r="KXJ166" s="72"/>
      <c r="KXK166" s="72"/>
      <c r="KXL166" s="72"/>
      <c r="KXM166" s="72"/>
      <c r="KXN166" s="72"/>
      <c r="KXO166" s="72"/>
      <c r="KXP166" s="72"/>
      <c r="KXQ166" s="72"/>
      <c r="KXR166" s="72"/>
      <c r="KXS166" s="72"/>
      <c r="KXT166" s="72"/>
      <c r="KXU166" s="72"/>
      <c r="KXV166" s="72"/>
      <c r="KXW166" s="72"/>
      <c r="KXX166" s="72"/>
      <c r="KXY166" s="72"/>
      <c r="KXZ166" s="72"/>
      <c r="KYA166" s="72"/>
      <c r="KYB166" s="72"/>
      <c r="KYC166" s="72"/>
      <c r="KYD166" s="72"/>
      <c r="KYE166" s="72"/>
      <c r="KYF166" s="72"/>
      <c r="KYG166" s="72"/>
      <c r="KYH166" s="72"/>
      <c r="KYI166" s="72"/>
      <c r="KYJ166" s="72"/>
      <c r="KYK166" s="72"/>
      <c r="KYL166" s="72"/>
      <c r="KYM166" s="72"/>
      <c r="KYN166" s="72"/>
      <c r="KYO166" s="72"/>
      <c r="KYP166" s="72"/>
      <c r="KYQ166" s="72"/>
      <c r="KYR166" s="72"/>
      <c r="KYS166" s="72"/>
      <c r="KYT166" s="72"/>
      <c r="KYU166" s="72"/>
      <c r="KYV166" s="72"/>
      <c r="KYW166" s="72"/>
      <c r="KYX166" s="72"/>
      <c r="KYY166" s="72"/>
      <c r="KYZ166" s="72"/>
      <c r="KZA166" s="72"/>
      <c r="KZB166" s="72"/>
      <c r="KZC166" s="72"/>
      <c r="KZD166" s="72"/>
      <c r="KZE166" s="72"/>
      <c r="KZF166" s="72"/>
      <c r="KZG166" s="72"/>
      <c r="KZH166" s="72"/>
      <c r="KZI166" s="72"/>
      <c r="KZJ166" s="72"/>
      <c r="KZK166" s="72"/>
      <c r="KZL166" s="72"/>
      <c r="KZM166" s="72"/>
      <c r="KZN166" s="72"/>
      <c r="KZO166" s="72"/>
      <c r="KZP166" s="72"/>
      <c r="KZQ166" s="72"/>
      <c r="KZR166" s="72"/>
      <c r="KZS166" s="72"/>
      <c r="KZT166" s="72"/>
      <c r="KZU166" s="72"/>
      <c r="KZV166" s="72"/>
      <c r="KZW166" s="72"/>
      <c r="KZX166" s="72"/>
      <c r="KZY166" s="72"/>
      <c r="KZZ166" s="72"/>
      <c r="LAA166" s="72"/>
      <c r="LAB166" s="72"/>
      <c r="LAC166" s="72"/>
      <c r="LAD166" s="72"/>
      <c r="LAE166" s="72"/>
      <c r="LAF166" s="72"/>
      <c r="LAG166" s="72"/>
      <c r="LAH166" s="72"/>
      <c r="LAI166" s="72"/>
      <c r="LAJ166" s="72"/>
      <c r="LAK166" s="72"/>
      <c r="LAL166" s="72"/>
      <c r="LAM166" s="72"/>
      <c r="LAN166" s="72"/>
      <c r="LAO166" s="72"/>
      <c r="LAP166" s="72"/>
      <c r="LAQ166" s="72"/>
      <c r="LAR166" s="72"/>
      <c r="LAS166" s="72"/>
      <c r="LAT166" s="72"/>
      <c r="LAU166" s="72"/>
      <c r="LAV166" s="72"/>
      <c r="LAW166" s="72"/>
      <c r="LAX166" s="72"/>
      <c r="LAY166" s="72"/>
      <c r="LAZ166" s="72"/>
      <c r="LBA166" s="72"/>
      <c r="LBB166" s="72"/>
      <c r="LBC166" s="72"/>
      <c r="LBD166" s="72"/>
      <c r="LBE166" s="72"/>
      <c r="LBF166" s="72"/>
      <c r="LBG166" s="72"/>
      <c r="LBH166" s="72"/>
      <c r="LBI166" s="72"/>
      <c r="LBJ166" s="72"/>
      <c r="LBK166" s="72"/>
      <c r="LBL166" s="72"/>
      <c r="LBM166" s="72"/>
      <c r="LBN166" s="72"/>
      <c r="LBO166" s="72"/>
      <c r="LBP166" s="72"/>
      <c r="LBQ166" s="72"/>
      <c r="LBR166" s="72"/>
      <c r="LBS166" s="72"/>
      <c r="LBT166" s="72"/>
      <c r="LBU166" s="72"/>
      <c r="LBV166" s="72"/>
      <c r="LBW166" s="72"/>
      <c r="LBX166" s="72"/>
      <c r="LBY166" s="72"/>
      <c r="LBZ166" s="72"/>
      <c r="LCA166" s="72"/>
      <c r="LCB166" s="72"/>
      <c r="LCC166" s="72"/>
      <c r="LCD166" s="72"/>
      <c r="LCE166" s="72"/>
      <c r="LCF166" s="72"/>
      <c r="LCG166" s="72"/>
      <c r="LCH166" s="72"/>
      <c r="LCI166" s="72"/>
      <c r="LCJ166" s="72"/>
      <c r="LCK166" s="72"/>
      <c r="LCL166" s="72"/>
      <c r="LCM166" s="72"/>
      <c r="LCN166" s="72"/>
      <c r="LCO166" s="72"/>
      <c r="LCP166" s="72"/>
      <c r="LCQ166" s="72"/>
      <c r="LCR166" s="72"/>
      <c r="LCS166" s="72"/>
      <c r="LCT166" s="72"/>
      <c r="LCU166" s="72"/>
      <c r="LCV166" s="72"/>
      <c r="LCW166" s="72"/>
      <c r="LCX166" s="72"/>
      <c r="LCY166" s="72"/>
      <c r="LCZ166" s="72"/>
      <c r="LDA166" s="72"/>
      <c r="LDB166" s="72"/>
      <c r="LDC166" s="72"/>
      <c r="LDD166" s="72"/>
      <c r="LDE166" s="72"/>
      <c r="LDF166" s="72"/>
      <c r="LDG166" s="72"/>
      <c r="LDH166" s="72"/>
      <c r="LDI166" s="72"/>
      <c r="LDJ166" s="72"/>
      <c r="LDK166" s="72"/>
      <c r="LDL166" s="72"/>
      <c r="LDM166" s="72"/>
      <c r="LDN166" s="72"/>
      <c r="LDO166" s="72"/>
      <c r="LDP166" s="72"/>
      <c r="LDQ166" s="72"/>
      <c r="LDR166" s="72"/>
      <c r="LDS166" s="72"/>
      <c r="LDT166" s="72"/>
      <c r="LDU166" s="72"/>
      <c r="LDV166" s="72"/>
      <c r="LDW166" s="72"/>
      <c r="LDX166" s="72"/>
      <c r="LDY166" s="72"/>
      <c r="LDZ166" s="72"/>
      <c r="LEA166" s="72"/>
      <c r="LEB166" s="72"/>
      <c r="LEC166" s="72"/>
      <c r="LED166" s="72"/>
      <c r="LEE166" s="72"/>
      <c r="LEF166" s="72"/>
      <c r="LEG166" s="72"/>
      <c r="LEH166" s="72"/>
      <c r="LEI166" s="72"/>
      <c r="LEJ166" s="72"/>
      <c r="LEK166" s="72"/>
      <c r="LEL166" s="72"/>
      <c r="LEM166" s="72"/>
      <c r="LEN166" s="72"/>
      <c r="LEO166" s="72"/>
      <c r="LEP166" s="72"/>
      <c r="LEQ166" s="72"/>
      <c r="LER166" s="72"/>
      <c r="LES166" s="72"/>
      <c r="LET166" s="72"/>
      <c r="LEU166" s="72"/>
      <c r="LEV166" s="72"/>
      <c r="LEW166" s="72"/>
      <c r="LEX166" s="72"/>
      <c r="LEY166" s="72"/>
      <c r="LEZ166" s="72"/>
      <c r="LFA166" s="72"/>
      <c r="LFB166" s="72"/>
      <c r="LFC166" s="72"/>
      <c r="LFD166" s="72"/>
      <c r="LFE166" s="72"/>
      <c r="LFF166" s="72"/>
      <c r="LFG166" s="72"/>
      <c r="LFH166" s="72"/>
      <c r="LFI166" s="72"/>
      <c r="LFJ166" s="72"/>
      <c r="LFK166" s="72"/>
      <c r="LFL166" s="72"/>
      <c r="LFM166" s="72"/>
      <c r="LFN166" s="72"/>
      <c r="LFO166" s="72"/>
      <c r="LFP166" s="72"/>
      <c r="LFQ166" s="72"/>
      <c r="LFR166" s="72"/>
      <c r="LFS166" s="72"/>
      <c r="LFT166" s="72"/>
      <c r="LFU166" s="72"/>
      <c r="LFV166" s="72"/>
      <c r="LFW166" s="72"/>
      <c r="LFX166" s="72"/>
      <c r="LFY166" s="72"/>
      <c r="LFZ166" s="72"/>
      <c r="LGA166" s="72"/>
      <c r="LGB166" s="72"/>
      <c r="LGC166" s="72"/>
      <c r="LGD166" s="72"/>
      <c r="LGE166" s="72"/>
      <c r="LGF166" s="72"/>
      <c r="LGG166" s="72"/>
      <c r="LGH166" s="72"/>
      <c r="LGI166" s="72"/>
      <c r="LGJ166" s="72"/>
      <c r="LGK166" s="72"/>
      <c r="LGL166" s="72"/>
      <c r="LGM166" s="72"/>
      <c r="LGN166" s="72"/>
      <c r="LGO166" s="72"/>
      <c r="LGP166" s="72"/>
      <c r="LGQ166" s="72"/>
      <c r="LGR166" s="72"/>
      <c r="LGS166" s="72"/>
      <c r="LGT166" s="72"/>
      <c r="LGU166" s="72"/>
      <c r="LGV166" s="72"/>
      <c r="LGW166" s="72"/>
      <c r="LGX166" s="72"/>
      <c r="LGY166" s="72"/>
      <c r="LGZ166" s="72"/>
      <c r="LHA166" s="72"/>
      <c r="LHB166" s="72"/>
      <c r="LHC166" s="72"/>
      <c r="LHD166" s="72"/>
      <c r="LHE166" s="72"/>
      <c r="LHF166" s="72"/>
      <c r="LHG166" s="72"/>
      <c r="LHH166" s="72"/>
      <c r="LHI166" s="72"/>
      <c r="LHJ166" s="72"/>
      <c r="LHK166" s="72"/>
      <c r="LHL166" s="72"/>
      <c r="LHM166" s="72"/>
      <c r="LHN166" s="72"/>
      <c r="LHO166" s="72"/>
      <c r="LHP166" s="72"/>
      <c r="LHQ166" s="72"/>
      <c r="LHR166" s="72"/>
      <c r="LHS166" s="72"/>
      <c r="LHT166" s="72"/>
      <c r="LHU166" s="72"/>
      <c r="LHV166" s="72"/>
      <c r="LHW166" s="72"/>
      <c r="LHX166" s="72"/>
      <c r="LHY166" s="72"/>
      <c r="LHZ166" s="72"/>
      <c r="LIA166" s="72"/>
      <c r="LIB166" s="72"/>
      <c r="LIC166" s="72"/>
      <c r="LID166" s="72"/>
      <c r="LIE166" s="72"/>
      <c r="LIF166" s="72"/>
      <c r="LIG166" s="72"/>
      <c r="LIH166" s="72"/>
      <c r="LII166" s="72"/>
      <c r="LIJ166" s="72"/>
      <c r="LIK166" s="72"/>
      <c r="LIL166" s="72"/>
      <c r="LIM166" s="72"/>
      <c r="LIN166" s="72"/>
      <c r="LIO166" s="72"/>
      <c r="LIP166" s="72"/>
      <c r="LIQ166" s="72"/>
      <c r="LIR166" s="72"/>
      <c r="LIS166" s="72"/>
      <c r="LIT166" s="72"/>
      <c r="LIU166" s="72"/>
      <c r="LIV166" s="72"/>
      <c r="LIW166" s="72"/>
      <c r="LIX166" s="72"/>
      <c r="LIY166" s="72"/>
      <c r="LIZ166" s="72"/>
      <c r="LJA166" s="72"/>
      <c r="LJB166" s="72"/>
      <c r="LJC166" s="72"/>
      <c r="LJD166" s="72"/>
      <c r="LJE166" s="72"/>
      <c r="LJF166" s="72"/>
      <c r="LJG166" s="72"/>
      <c r="LJH166" s="72"/>
      <c r="LJI166" s="72"/>
      <c r="LJJ166" s="72"/>
      <c r="LJK166" s="72"/>
      <c r="LJL166" s="72"/>
      <c r="LJM166" s="72"/>
      <c r="LJN166" s="72"/>
      <c r="LJO166" s="72"/>
      <c r="LJP166" s="72"/>
      <c r="LJQ166" s="72"/>
      <c r="LJR166" s="72"/>
      <c r="LJS166" s="72"/>
      <c r="LJT166" s="72"/>
      <c r="LJU166" s="72"/>
      <c r="LJV166" s="72"/>
      <c r="LJW166" s="72"/>
      <c r="LJX166" s="72"/>
      <c r="LJY166" s="72"/>
      <c r="LJZ166" s="72"/>
      <c r="LKA166" s="72"/>
      <c r="LKB166" s="72"/>
      <c r="LKC166" s="72"/>
      <c r="LKD166" s="72"/>
      <c r="LKE166" s="72"/>
      <c r="LKF166" s="72"/>
      <c r="LKG166" s="72"/>
      <c r="LKH166" s="72"/>
      <c r="LKI166" s="72"/>
      <c r="LKJ166" s="72"/>
      <c r="LKK166" s="72"/>
      <c r="LKL166" s="72"/>
      <c r="LKM166" s="72"/>
      <c r="LKN166" s="72"/>
      <c r="LKO166" s="72"/>
      <c r="LKP166" s="72"/>
      <c r="LKQ166" s="72"/>
      <c r="LKR166" s="72"/>
      <c r="LKS166" s="72"/>
      <c r="LKT166" s="72"/>
      <c r="LKU166" s="72"/>
      <c r="LKV166" s="72"/>
      <c r="LKW166" s="72"/>
      <c r="LKX166" s="72"/>
      <c r="LKY166" s="72"/>
      <c r="LKZ166" s="72"/>
      <c r="LLA166" s="72"/>
      <c r="LLB166" s="72"/>
      <c r="LLC166" s="72"/>
      <c r="LLD166" s="72"/>
      <c r="LLE166" s="72"/>
      <c r="LLF166" s="72"/>
      <c r="LLG166" s="72"/>
      <c r="LLH166" s="72"/>
      <c r="LLI166" s="72"/>
      <c r="LLJ166" s="72"/>
      <c r="LLK166" s="72"/>
      <c r="LLL166" s="72"/>
      <c r="LLM166" s="72"/>
      <c r="LLN166" s="72"/>
      <c r="LLO166" s="72"/>
      <c r="LLP166" s="72"/>
      <c r="LLQ166" s="72"/>
      <c r="LLR166" s="72"/>
      <c r="LLS166" s="72"/>
      <c r="LLT166" s="72"/>
      <c r="LLU166" s="72"/>
      <c r="LLV166" s="72"/>
      <c r="LLW166" s="72"/>
      <c r="LLX166" s="72"/>
      <c r="LLY166" s="72"/>
      <c r="LLZ166" s="72"/>
      <c r="LMA166" s="72"/>
      <c r="LMB166" s="72"/>
      <c r="LMC166" s="72"/>
      <c r="LMD166" s="72"/>
      <c r="LME166" s="72"/>
      <c r="LMF166" s="72"/>
      <c r="LMG166" s="72"/>
      <c r="LMH166" s="72"/>
      <c r="LMI166" s="72"/>
      <c r="LMJ166" s="72"/>
      <c r="LMK166" s="72"/>
      <c r="LML166" s="72"/>
      <c r="LMM166" s="72"/>
      <c r="LMN166" s="72"/>
      <c r="LMO166" s="72"/>
      <c r="LMP166" s="72"/>
      <c r="LMQ166" s="72"/>
      <c r="LMR166" s="72"/>
      <c r="LMS166" s="72"/>
      <c r="LMT166" s="72"/>
      <c r="LMU166" s="72"/>
      <c r="LMV166" s="72"/>
      <c r="LMW166" s="72"/>
      <c r="LMX166" s="72"/>
      <c r="LMY166" s="72"/>
      <c r="LMZ166" s="72"/>
      <c r="LNA166" s="72"/>
      <c r="LNB166" s="72"/>
      <c r="LNC166" s="72"/>
      <c r="LND166" s="72"/>
      <c r="LNE166" s="72"/>
      <c r="LNF166" s="72"/>
      <c r="LNG166" s="72"/>
      <c r="LNH166" s="72"/>
      <c r="LNI166" s="72"/>
      <c r="LNJ166" s="72"/>
      <c r="LNK166" s="72"/>
      <c r="LNL166" s="72"/>
      <c r="LNM166" s="72"/>
      <c r="LNN166" s="72"/>
      <c r="LNO166" s="72"/>
      <c r="LNP166" s="72"/>
      <c r="LNQ166" s="72"/>
      <c r="LNR166" s="72"/>
      <c r="LNS166" s="72"/>
      <c r="LNT166" s="72"/>
      <c r="LNU166" s="72"/>
      <c r="LNV166" s="72"/>
      <c r="LNW166" s="72"/>
      <c r="LNX166" s="72"/>
      <c r="LNY166" s="72"/>
      <c r="LNZ166" s="72"/>
      <c r="LOA166" s="72"/>
      <c r="LOB166" s="72"/>
      <c r="LOC166" s="72"/>
      <c r="LOD166" s="72"/>
      <c r="LOE166" s="72"/>
      <c r="LOF166" s="72"/>
      <c r="LOG166" s="72"/>
      <c r="LOH166" s="72"/>
      <c r="LOI166" s="72"/>
      <c r="LOJ166" s="72"/>
      <c r="LOK166" s="72"/>
      <c r="LOL166" s="72"/>
      <c r="LOM166" s="72"/>
      <c r="LON166" s="72"/>
      <c r="LOO166" s="72"/>
      <c r="LOP166" s="72"/>
      <c r="LOQ166" s="72"/>
      <c r="LOR166" s="72"/>
      <c r="LOS166" s="72"/>
      <c r="LOT166" s="72"/>
      <c r="LOU166" s="72"/>
      <c r="LOV166" s="72"/>
      <c r="LOW166" s="72"/>
      <c r="LOX166" s="72"/>
      <c r="LOY166" s="72"/>
      <c r="LOZ166" s="72"/>
      <c r="LPA166" s="72"/>
      <c r="LPB166" s="72"/>
      <c r="LPC166" s="72"/>
      <c r="LPD166" s="72"/>
      <c r="LPE166" s="72"/>
      <c r="LPF166" s="72"/>
      <c r="LPG166" s="72"/>
      <c r="LPH166" s="72"/>
      <c r="LPI166" s="72"/>
      <c r="LPJ166" s="72"/>
      <c r="LPK166" s="72"/>
      <c r="LPL166" s="72"/>
      <c r="LPM166" s="72"/>
      <c r="LPN166" s="72"/>
      <c r="LPO166" s="72"/>
      <c r="LPP166" s="72"/>
      <c r="LPQ166" s="72"/>
      <c r="LPR166" s="72"/>
      <c r="LPS166" s="72"/>
      <c r="LPT166" s="72"/>
      <c r="LPU166" s="72"/>
      <c r="LPV166" s="72"/>
      <c r="LPW166" s="72"/>
      <c r="LPX166" s="72"/>
      <c r="LPY166" s="72"/>
      <c r="LPZ166" s="72"/>
      <c r="LQA166" s="72"/>
      <c r="LQB166" s="72"/>
      <c r="LQC166" s="72"/>
      <c r="LQD166" s="72"/>
      <c r="LQE166" s="72"/>
      <c r="LQF166" s="72"/>
      <c r="LQG166" s="72"/>
      <c r="LQH166" s="72"/>
      <c r="LQI166" s="72"/>
      <c r="LQJ166" s="72"/>
      <c r="LQK166" s="72"/>
      <c r="LQL166" s="72"/>
      <c r="LQM166" s="72"/>
      <c r="LQN166" s="72"/>
      <c r="LQO166" s="72"/>
      <c r="LQP166" s="72"/>
      <c r="LQQ166" s="72"/>
      <c r="LQR166" s="72"/>
      <c r="LQS166" s="72"/>
      <c r="LQT166" s="72"/>
      <c r="LQU166" s="72"/>
      <c r="LQV166" s="72"/>
      <c r="LQW166" s="72"/>
      <c r="LQX166" s="72"/>
      <c r="LQY166" s="72"/>
      <c r="LQZ166" s="72"/>
      <c r="LRA166" s="72"/>
      <c r="LRB166" s="72"/>
      <c r="LRC166" s="72"/>
      <c r="LRD166" s="72"/>
      <c r="LRE166" s="72"/>
      <c r="LRF166" s="72"/>
      <c r="LRG166" s="72"/>
      <c r="LRH166" s="72"/>
      <c r="LRI166" s="72"/>
      <c r="LRJ166" s="72"/>
      <c r="LRK166" s="72"/>
      <c r="LRL166" s="72"/>
      <c r="LRM166" s="72"/>
      <c r="LRN166" s="72"/>
      <c r="LRO166" s="72"/>
      <c r="LRP166" s="72"/>
      <c r="LRQ166" s="72"/>
      <c r="LRR166" s="72"/>
      <c r="LRS166" s="72"/>
      <c r="LRT166" s="72"/>
      <c r="LRU166" s="72"/>
      <c r="LRV166" s="72"/>
      <c r="LRW166" s="72"/>
      <c r="LRX166" s="72"/>
      <c r="LRY166" s="72"/>
      <c r="LRZ166" s="72"/>
      <c r="LSA166" s="72"/>
      <c r="LSB166" s="72"/>
      <c r="LSC166" s="72"/>
      <c r="LSD166" s="72"/>
      <c r="LSE166" s="72"/>
      <c r="LSF166" s="72"/>
      <c r="LSG166" s="72"/>
      <c r="LSH166" s="72"/>
      <c r="LSI166" s="72"/>
      <c r="LSJ166" s="72"/>
      <c r="LSK166" s="72"/>
      <c r="LSL166" s="72"/>
      <c r="LSM166" s="72"/>
      <c r="LSN166" s="72"/>
      <c r="LSO166" s="72"/>
      <c r="LSP166" s="72"/>
      <c r="LSQ166" s="72"/>
      <c r="LSR166" s="72"/>
      <c r="LSS166" s="72"/>
      <c r="LST166" s="72"/>
      <c r="LSU166" s="72"/>
      <c r="LSV166" s="72"/>
      <c r="LSW166" s="72"/>
      <c r="LSX166" s="72"/>
      <c r="LSY166" s="72"/>
      <c r="LSZ166" s="72"/>
      <c r="LTA166" s="72"/>
      <c r="LTB166" s="72"/>
      <c r="LTC166" s="72"/>
      <c r="LTD166" s="72"/>
      <c r="LTE166" s="72"/>
      <c r="LTF166" s="72"/>
      <c r="LTG166" s="72"/>
      <c r="LTH166" s="72"/>
      <c r="LTI166" s="72"/>
      <c r="LTJ166" s="72"/>
      <c r="LTK166" s="72"/>
      <c r="LTL166" s="72"/>
      <c r="LTM166" s="72"/>
      <c r="LTN166" s="72"/>
      <c r="LTO166" s="72"/>
      <c r="LTP166" s="72"/>
      <c r="LTQ166" s="72"/>
      <c r="LTR166" s="72"/>
      <c r="LTS166" s="72"/>
      <c r="LTT166" s="72"/>
      <c r="LTU166" s="72"/>
      <c r="LTV166" s="72"/>
      <c r="LTW166" s="72"/>
      <c r="LTX166" s="72"/>
      <c r="LTY166" s="72"/>
      <c r="LTZ166" s="72"/>
      <c r="LUA166" s="72"/>
      <c r="LUB166" s="72"/>
      <c r="LUC166" s="72"/>
      <c r="LUD166" s="72"/>
      <c r="LUE166" s="72"/>
      <c r="LUF166" s="72"/>
      <c r="LUG166" s="72"/>
      <c r="LUH166" s="72"/>
      <c r="LUI166" s="72"/>
      <c r="LUJ166" s="72"/>
      <c r="LUK166" s="72"/>
      <c r="LUL166" s="72"/>
      <c r="LUM166" s="72"/>
      <c r="LUN166" s="72"/>
      <c r="LUO166" s="72"/>
      <c r="LUP166" s="72"/>
      <c r="LUQ166" s="72"/>
      <c r="LUR166" s="72"/>
      <c r="LUS166" s="72"/>
      <c r="LUT166" s="72"/>
      <c r="LUU166" s="72"/>
      <c r="LUV166" s="72"/>
      <c r="LUW166" s="72"/>
      <c r="LUX166" s="72"/>
      <c r="LUY166" s="72"/>
      <c r="LUZ166" s="72"/>
      <c r="LVA166" s="72"/>
      <c r="LVB166" s="72"/>
      <c r="LVC166" s="72"/>
      <c r="LVD166" s="72"/>
      <c r="LVE166" s="72"/>
      <c r="LVF166" s="72"/>
      <c r="LVG166" s="72"/>
      <c r="LVH166" s="72"/>
      <c r="LVI166" s="72"/>
      <c r="LVJ166" s="72"/>
      <c r="LVK166" s="72"/>
      <c r="LVL166" s="72"/>
      <c r="LVM166" s="72"/>
      <c r="LVN166" s="72"/>
      <c r="LVO166" s="72"/>
      <c r="LVP166" s="72"/>
      <c r="LVQ166" s="72"/>
      <c r="LVR166" s="72"/>
      <c r="LVS166" s="72"/>
      <c r="LVT166" s="72"/>
      <c r="LVU166" s="72"/>
      <c r="LVV166" s="72"/>
      <c r="LVW166" s="72"/>
      <c r="LVX166" s="72"/>
      <c r="LVY166" s="72"/>
      <c r="LVZ166" s="72"/>
      <c r="LWA166" s="72"/>
      <c r="LWB166" s="72"/>
      <c r="LWC166" s="72"/>
      <c r="LWD166" s="72"/>
      <c r="LWE166" s="72"/>
      <c r="LWF166" s="72"/>
      <c r="LWG166" s="72"/>
      <c r="LWH166" s="72"/>
      <c r="LWI166" s="72"/>
      <c r="LWJ166" s="72"/>
      <c r="LWK166" s="72"/>
      <c r="LWL166" s="72"/>
      <c r="LWM166" s="72"/>
      <c r="LWN166" s="72"/>
      <c r="LWO166" s="72"/>
      <c r="LWP166" s="72"/>
      <c r="LWQ166" s="72"/>
      <c r="LWR166" s="72"/>
      <c r="LWS166" s="72"/>
      <c r="LWT166" s="72"/>
      <c r="LWU166" s="72"/>
      <c r="LWV166" s="72"/>
      <c r="LWW166" s="72"/>
      <c r="LWX166" s="72"/>
      <c r="LWY166" s="72"/>
      <c r="LWZ166" s="72"/>
      <c r="LXA166" s="72"/>
      <c r="LXB166" s="72"/>
      <c r="LXC166" s="72"/>
      <c r="LXD166" s="72"/>
      <c r="LXE166" s="72"/>
      <c r="LXF166" s="72"/>
      <c r="LXG166" s="72"/>
      <c r="LXH166" s="72"/>
      <c r="LXI166" s="72"/>
      <c r="LXJ166" s="72"/>
      <c r="LXK166" s="72"/>
      <c r="LXL166" s="72"/>
      <c r="LXM166" s="72"/>
      <c r="LXN166" s="72"/>
      <c r="LXO166" s="72"/>
      <c r="LXP166" s="72"/>
      <c r="LXQ166" s="72"/>
      <c r="LXR166" s="72"/>
      <c r="LXS166" s="72"/>
      <c r="LXT166" s="72"/>
      <c r="LXU166" s="72"/>
      <c r="LXV166" s="72"/>
      <c r="LXW166" s="72"/>
      <c r="LXX166" s="72"/>
      <c r="LXY166" s="72"/>
      <c r="LXZ166" s="72"/>
      <c r="LYA166" s="72"/>
      <c r="LYB166" s="72"/>
      <c r="LYC166" s="72"/>
      <c r="LYD166" s="72"/>
      <c r="LYE166" s="72"/>
      <c r="LYF166" s="72"/>
      <c r="LYG166" s="72"/>
      <c r="LYH166" s="72"/>
      <c r="LYI166" s="72"/>
      <c r="LYJ166" s="72"/>
      <c r="LYK166" s="72"/>
      <c r="LYL166" s="72"/>
      <c r="LYM166" s="72"/>
      <c r="LYN166" s="72"/>
      <c r="LYO166" s="72"/>
      <c r="LYP166" s="72"/>
      <c r="LYQ166" s="72"/>
      <c r="LYR166" s="72"/>
      <c r="LYS166" s="72"/>
      <c r="LYT166" s="72"/>
      <c r="LYU166" s="72"/>
      <c r="LYV166" s="72"/>
      <c r="LYW166" s="72"/>
      <c r="LYX166" s="72"/>
      <c r="LYY166" s="72"/>
      <c r="LYZ166" s="72"/>
      <c r="LZA166" s="72"/>
      <c r="LZB166" s="72"/>
      <c r="LZC166" s="72"/>
      <c r="LZD166" s="72"/>
      <c r="LZE166" s="72"/>
      <c r="LZF166" s="72"/>
      <c r="LZG166" s="72"/>
      <c r="LZH166" s="72"/>
      <c r="LZI166" s="72"/>
      <c r="LZJ166" s="72"/>
      <c r="LZK166" s="72"/>
      <c r="LZL166" s="72"/>
      <c r="LZM166" s="72"/>
      <c r="LZN166" s="72"/>
      <c r="LZO166" s="72"/>
      <c r="LZP166" s="72"/>
      <c r="LZQ166" s="72"/>
      <c r="LZR166" s="72"/>
      <c r="LZS166" s="72"/>
      <c r="LZT166" s="72"/>
      <c r="LZU166" s="72"/>
      <c r="LZV166" s="72"/>
      <c r="LZW166" s="72"/>
      <c r="LZX166" s="72"/>
      <c r="LZY166" s="72"/>
      <c r="LZZ166" s="72"/>
      <c r="MAA166" s="72"/>
      <c r="MAB166" s="72"/>
      <c r="MAC166" s="72"/>
      <c r="MAD166" s="72"/>
      <c r="MAE166" s="72"/>
      <c r="MAF166" s="72"/>
      <c r="MAG166" s="72"/>
      <c r="MAH166" s="72"/>
      <c r="MAI166" s="72"/>
      <c r="MAJ166" s="72"/>
      <c r="MAK166" s="72"/>
      <c r="MAL166" s="72"/>
      <c r="MAM166" s="72"/>
      <c r="MAN166" s="72"/>
      <c r="MAO166" s="72"/>
      <c r="MAP166" s="72"/>
      <c r="MAQ166" s="72"/>
      <c r="MAR166" s="72"/>
      <c r="MAS166" s="72"/>
      <c r="MAT166" s="72"/>
      <c r="MAU166" s="72"/>
      <c r="MAV166" s="72"/>
      <c r="MAW166" s="72"/>
      <c r="MAX166" s="72"/>
      <c r="MAY166" s="72"/>
      <c r="MAZ166" s="72"/>
      <c r="MBA166" s="72"/>
      <c r="MBB166" s="72"/>
      <c r="MBC166" s="72"/>
      <c r="MBD166" s="72"/>
      <c r="MBE166" s="72"/>
      <c r="MBF166" s="72"/>
      <c r="MBG166" s="72"/>
      <c r="MBH166" s="72"/>
      <c r="MBI166" s="72"/>
      <c r="MBJ166" s="72"/>
      <c r="MBK166" s="72"/>
      <c r="MBL166" s="72"/>
      <c r="MBM166" s="72"/>
      <c r="MBN166" s="72"/>
      <c r="MBO166" s="72"/>
      <c r="MBP166" s="72"/>
      <c r="MBQ166" s="72"/>
      <c r="MBR166" s="72"/>
      <c r="MBS166" s="72"/>
      <c r="MBT166" s="72"/>
      <c r="MBU166" s="72"/>
      <c r="MBV166" s="72"/>
      <c r="MBW166" s="72"/>
      <c r="MBX166" s="72"/>
      <c r="MBY166" s="72"/>
      <c r="MBZ166" s="72"/>
      <c r="MCA166" s="72"/>
      <c r="MCB166" s="72"/>
      <c r="MCC166" s="72"/>
      <c r="MCD166" s="72"/>
      <c r="MCE166" s="72"/>
      <c r="MCF166" s="72"/>
      <c r="MCG166" s="72"/>
      <c r="MCH166" s="72"/>
      <c r="MCI166" s="72"/>
      <c r="MCJ166" s="72"/>
      <c r="MCK166" s="72"/>
      <c r="MCL166" s="72"/>
      <c r="MCM166" s="72"/>
      <c r="MCN166" s="72"/>
      <c r="MCO166" s="72"/>
      <c r="MCP166" s="72"/>
      <c r="MCQ166" s="72"/>
      <c r="MCR166" s="72"/>
      <c r="MCS166" s="72"/>
      <c r="MCT166" s="72"/>
      <c r="MCU166" s="72"/>
      <c r="MCV166" s="72"/>
      <c r="MCW166" s="72"/>
      <c r="MCX166" s="72"/>
      <c r="MCY166" s="72"/>
      <c r="MCZ166" s="72"/>
      <c r="MDA166" s="72"/>
      <c r="MDB166" s="72"/>
      <c r="MDC166" s="72"/>
      <c r="MDD166" s="72"/>
      <c r="MDE166" s="72"/>
      <c r="MDF166" s="72"/>
      <c r="MDG166" s="72"/>
      <c r="MDH166" s="72"/>
      <c r="MDI166" s="72"/>
      <c r="MDJ166" s="72"/>
      <c r="MDK166" s="72"/>
      <c r="MDL166" s="72"/>
      <c r="MDM166" s="72"/>
      <c r="MDN166" s="72"/>
      <c r="MDO166" s="72"/>
      <c r="MDP166" s="72"/>
      <c r="MDQ166" s="72"/>
      <c r="MDR166" s="72"/>
      <c r="MDS166" s="72"/>
      <c r="MDT166" s="72"/>
      <c r="MDU166" s="72"/>
      <c r="MDV166" s="72"/>
      <c r="MDW166" s="72"/>
      <c r="MDX166" s="72"/>
      <c r="MDY166" s="72"/>
      <c r="MDZ166" s="72"/>
      <c r="MEA166" s="72"/>
      <c r="MEB166" s="72"/>
      <c r="MEC166" s="72"/>
      <c r="MED166" s="72"/>
      <c r="MEE166" s="72"/>
      <c r="MEF166" s="72"/>
      <c r="MEG166" s="72"/>
      <c r="MEH166" s="72"/>
      <c r="MEI166" s="72"/>
      <c r="MEJ166" s="72"/>
      <c r="MEK166" s="72"/>
      <c r="MEL166" s="72"/>
      <c r="MEM166" s="72"/>
      <c r="MEN166" s="72"/>
      <c r="MEO166" s="72"/>
      <c r="MEP166" s="72"/>
      <c r="MEQ166" s="72"/>
      <c r="MER166" s="72"/>
      <c r="MES166" s="72"/>
      <c r="MET166" s="72"/>
      <c r="MEU166" s="72"/>
      <c r="MEV166" s="72"/>
      <c r="MEW166" s="72"/>
      <c r="MEX166" s="72"/>
      <c r="MEY166" s="72"/>
      <c r="MEZ166" s="72"/>
      <c r="MFA166" s="72"/>
      <c r="MFB166" s="72"/>
      <c r="MFC166" s="72"/>
      <c r="MFD166" s="72"/>
      <c r="MFE166" s="72"/>
      <c r="MFF166" s="72"/>
      <c r="MFG166" s="72"/>
      <c r="MFH166" s="72"/>
      <c r="MFI166" s="72"/>
      <c r="MFJ166" s="72"/>
      <c r="MFK166" s="72"/>
      <c r="MFL166" s="72"/>
      <c r="MFM166" s="72"/>
      <c r="MFN166" s="72"/>
      <c r="MFO166" s="72"/>
      <c r="MFP166" s="72"/>
      <c r="MFQ166" s="72"/>
      <c r="MFR166" s="72"/>
      <c r="MFS166" s="72"/>
      <c r="MFT166" s="72"/>
      <c r="MFU166" s="72"/>
      <c r="MFV166" s="72"/>
      <c r="MFW166" s="72"/>
      <c r="MFX166" s="72"/>
      <c r="MFY166" s="72"/>
      <c r="MFZ166" s="72"/>
      <c r="MGA166" s="72"/>
      <c r="MGB166" s="72"/>
      <c r="MGC166" s="72"/>
      <c r="MGD166" s="72"/>
      <c r="MGE166" s="72"/>
      <c r="MGF166" s="72"/>
      <c r="MGG166" s="72"/>
      <c r="MGH166" s="72"/>
      <c r="MGI166" s="72"/>
      <c r="MGJ166" s="72"/>
      <c r="MGK166" s="72"/>
      <c r="MGL166" s="72"/>
      <c r="MGM166" s="72"/>
      <c r="MGN166" s="72"/>
      <c r="MGO166" s="72"/>
      <c r="MGP166" s="72"/>
      <c r="MGQ166" s="72"/>
      <c r="MGR166" s="72"/>
      <c r="MGS166" s="72"/>
      <c r="MGT166" s="72"/>
      <c r="MGU166" s="72"/>
      <c r="MGV166" s="72"/>
      <c r="MGW166" s="72"/>
      <c r="MGX166" s="72"/>
      <c r="MGY166" s="72"/>
      <c r="MGZ166" s="72"/>
      <c r="MHA166" s="72"/>
      <c r="MHB166" s="72"/>
      <c r="MHC166" s="72"/>
      <c r="MHD166" s="72"/>
      <c r="MHE166" s="72"/>
      <c r="MHF166" s="72"/>
      <c r="MHG166" s="72"/>
      <c r="MHH166" s="72"/>
      <c r="MHI166" s="72"/>
      <c r="MHJ166" s="72"/>
      <c r="MHK166" s="72"/>
      <c r="MHL166" s="72"/>
      <c r="MHM166" s="72"/>
      <c r="MHN166" s="72"/>
      <c r="MHO166" s="72"/>
      <c r="MHP166" s="72"/>
      <c r="MHQ166" s="72"/>
      <c r="MHR166" s="72"/>
      <c r="MHS166" s="72"/>
      <c r="MHT166" s="72"/>
      <c r="MHU166" s="72"/>
      <c r="MHV166" s="72"/>
      <c r="MHW166" s="72"/>
      <c r="MHX166" s="72"/>
      <c r="MHY166" s="72"/>
      <c r="MHZ166" s="72"/>
      <c r="MIA166" s="72"/>
      <c r="MIB166" s="72"/>
      <c r="MIC166" s="72"/>
      <c r="MID166" s="72"/>
      <c r="MIE166" s="72"/>
      <c r="MIF166" s="72"/>
      <c r="MIG166" s="72"/>
      <c r="MIH166" s="72"/>
      <c r="MII166" s="72"/>
      <c r="MIJ166" s="72"/>
      <c r="MIK166" s="72"/>
      <c r="MIL166" s="72"/>
      <c r="MIM166" s="72"/>
      <c r="MIN166" s="72"/>
      <c r="MIO166" s="72"/>
      <c r="MIP166" s="72"/>
      <c r="MIQ166" s="72"/>
      <c r="MIR166" s="72"/>
      <c r="MIS166" s="72"/>
      <c r="MIT166" s="72"/>
      <c r="MIU166" s="72"/>
      <c r="MIV166" s="72"/>
      <c r="MIW166" s="72"/>
      <c r="MIX166" s="72"/>
      <c r="MIY166" s="72"/>
      <c r="MIZ166" s="72"/>
      <c r="MJA166" s="72"/>
      <c r="MJB166" s="72"/>
      <c r="MJC166" s="72"/>
      <c r="MJD166" s="72"/>
      <c r="MJE166" s="72"/>
      <c r="MJF166" s="72"/>
      <c r="MJG166" s="72"/>
      <c r="MJH166" s="72"/>
      <c r="MJI166" s="72"/>
      <c r="MJJ166" s="72"/>
      <c r="MJK166" s="72"/>
      <c r="MJL166" s="72"/>
      <c r="MJM166" s="72"/>
      <c r="MJN166" s="72"/>
      <c r="MJO166" s="72"/>
      <c r="MJP166" s="72"/>
      <c r="MJQ166" s="72"/>
      <c r="MJR166" s="72"/>
      <c r="MJS166" s="72"/>
      <c r="MJT166" s="72"/>
      <c r="MJU166" s="72"/>
      <c r="MJV166" s="72"/>
      <c r="MJW166" s="72"/>
      <c r="MJX166" s="72"/>
      <c r="MJY166" s="72"/>
      <c r="MJZ166" s="72"/>
      <c r="MKA166" s="72"/>
      <c r="MKB166" s="72"/>
      <c r="MKC166" s="72"/>
      <c r="MKD166" s="72"/>
      <c r="MKE166" s="72"/>
      <c r="MKF166" s="72"/>
      <c r="MKG166" s="72"/>
      <c r="MKH166" s="72"/>
      <c r="MKI166" s="72"/>
      <c r="MKJ166" s="72"/>
      <c r="MKK166" s="72"/>
      <c r="MKL166" s="72"/>
      <c r="MKM166" s="72"/>
      <c r="MKN166" s="72"/>
      <c r="MKO166" s="72"/>
      <c r="MKP166" s="72"/>
      <c r="MKQ166" s="72"/>
      <c r="MKR166" s="72"/>
      <c r="MKS166" s="72"/>
      <c r="MKT166" s="72"/>
      <c r="MKU166" s="72"/>
      <c r="MKV166" s="72"/>
      <c r="MKW166" s="72"/>
      <c r="MKX166" s="72"/>
      <c r="MKY166" s="72"/>
      <c r="MKZ166" s="72"/>
      <c r="MLA166" s="72"/>
      <c r="MLB166" s="72"/>
      <c r="MLC166" s="72"/>
      <c r="MLD166" s="72"/>
      <c r="MLE166" s="72"/>
      <c r="MLF166" s="72"/>
      <c r="MLG166" s="72"/>
      <c r="MLH166" s="72"/>
      <c r="MLI166" s="72"/>
      <c r="MLJ166" s="72"/>
      <c r="MLK166" s="72"/>
      <c r="MLL166" s="72"/>
      <c r="MLM166" s="72"/>
      <c r="MLN166" s="72"/>
      <c r="MLO166" s="72"/>
      <c r="MLP166" s="72"/>
      <c r="MLQ166" s="72"/>
      <c r="MLR166" s="72"/>
      <c r="MLS166" s="72"/>
      <c r="MLT166" s="72"/>
      <c r="MLU166" s="72"/>
      <c r="MLV166" s="72"/>
      <c r="MLW166" s="72"/>
      <c r="MLX166" s="72"/>
      <c r="MLY166" s="72"/>
      <c r="MLZ166" s="72"/>
      <c r="MMA166" s="72"/>
      <c r="MMB166" s="72"/>
      <c r="MMC166" s="72"/>
      <c r="MMD166" s="72"/>
      <c r="MME166" s="72"/>
      <c r="MMF166" s="72"/>
      <c r="MMG166" s="72"/>
      <c r="MMH166" s="72"/>
      <c r="MMI166" s="72"/>
      <c r="MMJ166" s="72"/>
      <c r="MMK166" s="72"/>
      <c r="MML166" s="72"/>
      <c r="MMM166" s="72"/>
      <c r="MMN166" s="72"/>
      <c r="MMO166" s="72"/>
      <c r="MMP166" s="72"/>
      <c r="MMQ166" s="72"/>
      <c r="MMR166" s="72"/>
      <c r="MMS166" s="72"/>
      <c r="MMT166" s="72"/>
      <c r="MMU166" s="72"/>
      <c r="MMV166" s="72"/>
      <c r="MMW166" s="72"/>
      <c r="MMX166" s="72"/>
      <c r="MMY166" s="72"/>
      <c r="MMZ166" s="72"/>
      <c r="MNA166" s="72"/>
      <c r="MNB166" s="72"/>
      <c r="MNC166" s="72"/>
      <c r="MND166" s="72"/>
      <c r="MNE166" s="72"/>
      <c r="MNF166" s="72"/>
      <c r="MNG166" s="72"/>
      <c r="MNH166" s="72"/>
      <c r="MNI166" s="72"/>
      <c r="MNJ166" s="72"/>
      <c r="MNK166" s="72"/>
      <c r="MNL166" s="72"/>
      <c r="MNM166" s="72"/>
      <c r="MNN166" s="72"/>
      <c r="MNO166" s="72"/>
      <c r="MNP166" s="72"/>
      <c r="MNQ166" s="72"/>
      <c r="MNR166" s="72"/>
      <c r="MNS166" s="72"/>
      <c r="MNT166" s="72"/>
      <c r="MNU166" s="72"/>
      <c r="MNV166" s="72"/>
      <c r="MNW166" s="72"/>
      <c r="MNX166" s="72"/>
      <c r="MNY166" s="72"/>
      <c r="MNZ166" s="72"/>
      <c r="MOA166" s="72"/>
      <c r="MOB166" s="72"/>
      <c r="MOC166" s="72"/>
      <c r="MOD166" s="72"/>
      <c r="MOE166" s="72"/>
      <c r="MOF166" s="72"/>
      <c r="MOG166" s="72"/>
      <c r="MOH166" s="72"/>
      <c r="MOI166" s="72"/>
      <c r="MOJ166" s="72"/>
      <c r="MOK166" s="72"/>
      <c r="MOL166" s="72"/>
      <c r="MOM166" s="72"/>
      <c r="MON166" s="72"/>
      <c r="MOO166" s="72"/>
      <c r="MOP166" s="72"/>
      <c r="MOQ166" s="72"/>
      <c r="MOR166" s="72"/>
      <c r="MOS166" s="72"/>
      <c r="MOT166" s="72"/>
      <c r="MOU166" s="72"/>
      <c r="MOV166" s="72"/>
      <c r="MOW166" s="72"/>
      <c r="MOX166" s="72"/>
      <c r="MOY166" s="72"/>
      <c r="MOZ166" s="72"/>
      <c r="MPA166" s="72"/>
      <c r="MPB166" s="72"/>
      <c r="MPC166" s="72"/>
      <c r="MPD166" s="72"/>
      <c r="MPE166" s="72"/>
      <c r="MPF166" s="72"/>
      <c r="MPG166" s="72"/>
      <c r="MPH166" s="72"/>
      <c r="MPI166" s="72"/>
      <c r="MPJ166" s="72"/>
      <c r="MPK166" s="72"/>
      <c r="MPL166" s="72"/>
      <c r="MPM166" s="72"/>
      <c r="MPN166" s="72"/>
      <c r="MPO166" s="72"/>
      <c r="MPP166" s="72"/>
      <c r="MPQ166" s="72"/>
      <c r="MPR166" s="72"/>
      <c r="MPS166" s="72"/>
      <c r="MPT166" s="72"/>
      <c r="MPU166" s="72"/>
      <c r="MPV166" s="72"/>
      <c r="MPW166" s="72"/>
      <c r="MPX166" s="72"/>
      <c r="MPY166" s="72"/>
      <c r="MPZ166" s="72"/>
      <c r="MQA166" s="72"/>
      <c r="MQB166" s="72"/>
      <c r="MQC166" s="72"/>
      <c r="MQD166" s="72"/>
      <c r="MQE166" s="72"/>
      <c r="MQF166" s="72"/>
      <c r="MQG166" s="72"/>
      <c r="MQH166" s="72"/>
      <c r="MQI166" s="72"/>
      <c r="MQJ166" s="72"/>
      <c r="MQK166" s="72"/>
      <c r="MQL166" s="72"/>
      <c r="MQM166" s="72"/>
      <c r="MQN166" s="72"/>
      <c r="MQO166" s="72"/>
      <c r="MQP166" s="72"/>
      <c r="MQQ166" s="72"/>
      <c r="MQR166" s="72"/>
      <c r="MQS166" s="72"/>
      <c r="MQT166" s="72"/>
      <c r="MQU166" s="72"/>
      <c r="MQV166" s="72"/>
      <c r="MQW166" s="72"/>
      <c r="MQX166" s="72"/>
      <c r="MQY166" s="72"/>
      <c r="MQZ166" s="72"/>
      <c r="MRA166" s="72"/>
      <c r="MRB166" s="72"/>
      <c r="MRC166" s="72"/>
      <c r="MRD166" s="72"/>
      <c r="MRE166" s="72"/>
      <c r="MRF166" s="72"/>
      <c r="MRG166" s="72"/>
      <c r="MRH166" s="72"/>
      <c r="MRI166" s="72"/>
      <c r="MRJ166" s="72"/>
      <c r="MRK166" s="72"/>
      <c r="MRL166" s="72"/>
      <c r="MRM166" s="72"/>
      <c r="MRN166" s="72"/>
      <c r="MRO166" s="72"/>
      <c r="MRP166" s="72"/>
      <c r="MRQ166" s="72"/>
      <c r="MRR166" s="72"/>
      <c r="MRS166" s="72"/>
      <c r="MRT166" s="72"/>
      <c r="MRU166" s="72"/>
      <c r="MRV166" s="72"/>
      <c r="MRW166" s="72"/>
      <c r="MRX166" s="72"/>
      <c r="MRY166" s="72"/>
      <c r="MRZ166" s="72"/>
      <c r="MSA166" s="72"/>
      <c r="MSB166" s="72"/>
      <c r="MSC166" s="72"/>
      <c r="MSD166" s="72"/>
      <c r="MSE166" s="72"/>
      <c r="MSF166" s="72"/>
      <c r="MSG166" s="72"/>
      <c r="MSH166" s="72"/>
      <c r="MSI166" s="72"/>
      <c r="MSJ166" s="72"/>
      <c r="MSK166" s="72"/>
      <c r="MSL166" s="72"/>
      <c r="MSM166" s="72"/>
      <c r="MSN166" s="72"/>
      <c r="MSO166" s="72"/>
      <c r="MSP166" s="72"/>
      <c r="MSQ166" s="72"/>
      <c r="MSR166" s="72"/>
      <c r="MSS166" s="72"/>
      <c r="MST166" s="72"/>
      <c r="MSU166" s="72"/>
      <c r="MSV166" s="72"/>
      <c r="MSW166" s="72"/>
      <c r="MSX166" s="72"/>
      <c r="MSY166" s="72"/>
      <c r="MSZ166" s="72"/>
      <c r="MTA166" s="72"/>
      <c r="MTB166" s="72"/>
      <c r="MTC166" s="72"/>
      <c r="MTD166" s="72"/>
      <c r="MTE166" s="72"/>
      <c r="MTF166" s="72"/>
      <c r="MTG166" s="72"/>
      <c r="MTH166" s="72"/>
      <c r="MTI166" s="72"/>
      <c r="MTJ166" s="72"/>
      <c r="MTK166" s="72"/>
      <c r="MTL166" s="72"/>
      <c r="MTM166" s="72"/>
      <c r="MTN166" s="72"/>
      <c r="MTO166" s="72"/>
      <c r="MTP166" s="72"/>
      <c r="MTQ166" s="72"/>
      <c r="MTR166" s="72"/>
      <c r="MTS166" s="72"/>
      <c r="MTT166" s="72"/>
      <c r="MTU166" s="72"/>
      <c r="MTV166" s="72"/>
      <c r="MTW166" s="72"/>
      <c r="MTX166" s="72"/>
      <c r="MTY166" s="72"/>
      <c r="MTZ166" s="72"/>
      <c r="MUA166" s="72"/>
      <c r="MUB166" s="72"/>
      <c r="MUC166" s="72"/>
      <c r="MUD166" s="72"/>
      <c r="MUE166" s="72"/>
      <c r="MUF166" s="72"/>
      <c r="MUG166" s="72"/>
      <c r="MUH166" s="72"/>
      <c r="MUI166" s="72"/>
      <c r="MUJ166" s="72"/>
      <c r="MUK166" s="72"/>
      <c r="MUL166" s="72"/>
      <c r="MUM166" s="72"/>
      <c r="MUN166" s="72"/>
      <c r="MUO166" s="72"/>
      <c r="MUP166" s="72"/>
      <c r="MUQ166" s="72"/>
      <c r="MUR166" s="72"/>
      <c r="MUS166" s="72"/>
      <c r="MUT166" s="72"/>
      <c r="MUU166" s="72"/>
      <c r="MUV166" s="72"/>
      <c r="MUW166" s="72"/>
      <c r="MUX166" s="72"/>
      <c r="MUY166" s="72"/>
      <c r="MUZ166" s="72"/>
      <c r="MVA166" s="72"/>
      <c r="MVB166" s="72"/>
      <c r="MVC166" s="72"/>
      <c r="MVD166" s="72"/>
      <c r="MVE166" s="72"/>
      <c r="MVF166" s="72"/>
      <c r="MVG166" s="72"/>
      <c r="MVH166" s="72"/>
      <c r="MVI166" s="72"/>
      <c r="MVJ166" s="72"/>
      <c r="MVK166" s="72"/>
      <c r="MVL166" s="72"/>
      <c r="MVM166" s="72"/>
      <c r="MVN166" s="72"/>
      <c r="MVO166" s="72"/>
      <c r="MVP166" s="72"/>
      <c r="MVQ166" s="72"/>
      <c r="MVR166" s="72"/>
      <c r="MVS166" s="72"/>
      <c r="MVT166" s="72"/>
      <c r="MVU166" s="72"/>
      <c r="MVV166" s="72"/>
      <c r="MVW166" s="72"/>
      <c r="MVX166" s="72"/>
      <c r="MVY166" s="72"/>
      <c r="MVZ166" s="72"/>
      <c r="MWA166" s="72"/>
      <c r="MWB166" s="72"/>
      <c r="MWC166" s="72"/>
      <c r="MWD166" s="72"/>
      <c r="MWE166" s="72"/>
      <c r="MWF166" s="72"/>
      <c r="MWG166" s="72"/>
      <c r="MWH166" s="72"/>
      <c r="MWI166" s="72"/>
      <c r="MWJ166" s="72"/>
      <c r="MWK166" s="72"/>
      <c r="MWL166" s="72"/>
      <c r="MWM166" s="72"/>
      <c r="MWN166" s="72"/>
      <c r="MWO166" s="72"/>
      <c r="MWP166" s="72"/>
      <c r="MWQ166" s="72"/>
      <c r="MWR166" s="72"/>
      <c r="MWS166" s="72"/>
      <c r="MWT166" s="72"/>
      <c r="MWU166" s="72"/>
      <c r="MWV166" s="72"/>
      <c r="MWW166" s="72"/>
      <c r="MWX166" s="72"/>
      <c r="MWY166" s="72"/>
      <c r="MWZ166" s="72"/>
      <c r="MXA166" s="72"/>
      <c r="MXB166" s="72"/>
      <c r="MXC166" s="72"/>
      <c r="MXD166" s="72"/>
      <c r="MXE166" s="72"/>
      <c r="MXF166" s="72"/>
      <c r="MXG166" s="72"/>
      <c r="MXH166" s="72"/>
      <c r="MXI166" s="72"/>
      <c r="MXJ166" s="72"/>
      <c r="MXK166" s="72"/>
      <c r="MXL166" s="72"/>
      <c r="MXM166" s="72"/>
      <c r="MXN166" s="72"/>
      <c r="MXO166" s="72"/>
      <c r="MXP166" s="72"/>
      <c r="MXQ166" s="72"/>
      <c r="MXR166" s="72"/>
      <c r="MXS166" s="72"/>
      <c r="MXT166" s="72"/>
      <c r="MXU166" s="72"/>
      <c r="MXV166" s="72"/>
      <c r="MXW166" s="72"/>
      <c r="MXX166" s="72"/>
      <c r="MXY166" s="72"/>
      <c r="MXZ166" s="72"/>
      <c r="MYA166" s="72"/>
      <c r="MYB166" s="72"/>
      <c r="MYC166" s="72"/>
      <c r="MYD166" s="72"/>
      <c r="MYE166" s="72"/>
      <c r="MYF166" s="72"/>
      <c r="MYG166" s="72"/>
      <c r="MYH166" s="72"/>
      <c r="MYI166" s="72"/>
      <c r="MYJ166" s="72"/>
      <c r="MYK166" s="72"/>
      <c r="MYL166" s="72"/>
      <c r="MYM166" s="72"/>
      <c r="MYN166" s="72"/>
      <c r="MYO166" s="72"/>
      <c r="MYP166" s="72"/>
      <c r="MYQ166" s="72"/>
      <c r="MYR166" s="72"/>
      <c r="MYS166" s="72"/>
      <c r="MYT166" s="72"/>
      <c r="MYU166" s="72"/>
      <c r="MYV166" s="72"/>
      <c r="MYW166" s="72"/>
      <c r="MYX166" s="72"/>
      <c r="MYY166" s="72"/>
      <c r="MYZ166" s="72"/>
      <c r="MZA166" s="72"/>
      <c r="MZB166" s="72"/>
      <c r="MZC166" s="72"/>
      <c r="MZD166" s="72"/>
      <c r="MZE166" s="72"/>
      <c r="MZF166" s="72"/>
      <c r="MZG166" s="72"/>
      <c r="MZH166" s="72"/>
      <c r="MZI166" s="72"/>
      <c r="MZJ166" s="72"/>
      <c r="MZK166" s="72"/>
      <c r="MZL166" s="72"/>
      <c r="MZM166" s="72"/>
      <c r="MZN166" s="72"/>
      <c r="MZO166" s="72"/>
      <c r="MZP166" s="72"/>
      <c r="MZQ166" s="72"/>
      <c r="MZR166" s="72"/>
      <c r="MZS166" s="72"/>
      <c r="MZT166" s="72"/>
      <c r="MZU166" s="72"/>
      <c r="MZV166" s="72"/>
      <c r="MZW166" s="72"/>
      <c r="MZX166" s="72"/>
      <c r="MZY166" s="72"/>
      <c r="MZZ166" s="72"/>
      <c r="NAA166" s="72"/>
      <c r="NAB166" s="72"/>
      <c r="NAC166" s="72"/>
      <c r="NAD166" s="72"/>
      <c r="NAE166" s="72"/>
      <c r="NAF166" s="72"/>
      <c r="NAG166" s="72"/>
      <c r="NAH166" s="72"/>
      <c r="NAI166" s="72"/>
      <c r="NAJ166" s="72"/>
      <c r="NAK166" s="72"/>
      <c r="NAL166" s="72"/>
      <c r="NAM166" s="72"/>
      <c r="NAN166" s="72"/>
      <c r="NAO166" s="72"/>
      <c r="NAP166" s="72"/>
      <c r="NAQ166" s="72"/>
      <c r="NAR166" s="72"/>
      <c r="NAS166" s="72"/>
      <c r="NAT166" s="72"/>
      <c r="NAU166" s="72"/>
      <c r="NAV166" s="72"/>
      <c r="NAW166" s="72"/>
      <c r="NAX166" s="72"/>
      <c r="NAY166" s="72"/>
      <c r="NAZ166" s="72"/>
      <c r="NBA166" s="72"/>
      <c r="NBB166" s="72"/>
      <c r="NBC166" s="72"/>
      <c r="NBD166" s="72"/>
      <c r="NBE166" s="72"/>
      <c r="NBF166" s="72"/>
      <c r="NBG166" s="72"/>
      <c r="NBH166" s="72"/>
      <c r="NBI166" s="72"/>
      <c r="NBJ166" s="72"/>
      <c r="NBK166" s="72"/>
      <c r="NBL166" s="72"/>
      <c r="NBM166" s="72"/>
      <c r="NBN166" s="72"/>
      <c r="NBO166" s="72"/>
      <c r="NBP166" s="72"/>
      <c r="NBQ166" s="72"/>
      <c r="NBR166" s="72"/>
      <c r="NBS166" s="72"/>
      <c r="NBT166" s="72"/>
      <c r="NBU166" s="72"/>
      <c r="NBV166" s="72"/>
      <c r="NBW166" s="72"/>
      <c r="NBX166" s="72"/>
      <c r="NBY166" s="72"/>
      <c r="NBZ166" s="72"/>
      <c r="NCA166" s="72"/>
      <c r="NCB166" s="72"/>
      <c r="NCC166" s="72"/>
      <c r="NCD166" s="72"/>
      <c r="NCE166" s="72"/>
      <c r="NCF166" s="72"/>
      <c r="NCG166" s="72"/>
      <c r="NCH166" s="72"/>
      <c r="NCI166" s="72"/>
      <c r="NCJ166" s="72"/>
      <c r="NCK166" s="72"/>
      <c r="NCL166" s="72"/>
      <c r="NCM166" s="72"/>
      <c r="NCN166" s="72"/>
      <c r="NCO166" s="72"/>
      <c r="NCP166" s="72"/>
      <c r="NCQ166" s="72"/>
      <c r="NCR166" s="72"/>
      <c r="NCS166" s="72"/>
      <c r="NCT166" s="72"/>
      <c r="NCU166" s="72"/>
      <c r="NCV166" s="72"/>
      <c r="NCW166" s="72"/>
      <c r="NCX166" s="72"/>
      <c r="NCY166" s="72"/>
      <c r="NCZ166" s="72"/>
      <c r="NDA166" s="72"/>
      <c r="NDB166" s="72"/>
      <c r="NDC166" s="72"/>
      <c r="NDD166" s="72"/>
      <c r="NDE166" s="72"/>
      <c r="NDF166" s="72"/>
      <c r="NDG166" s="72"/>
      <c r="NDH166" s="72"/>
      <c r="NDI166" s="72"/>
      <c r="NDJ166" s="72"/>
      <c r="NDK166" s="72"/>
      <c r="NDL166" s="72"/>
      <c r="NDM166" s="72"/>
      <c r="NDN166" s="72"/>
      <c r="NDO166" s="72"/>
      <c r="NDP166" s="72"/>
      <c r="NDQ166" s="72"/>
      <c r="NDR166" s="72"/>
      <c r="NDS166" s="72"/>
      <c r="NDT166" s="72"/>
      <c r="NDU166" s="72"/>
      <c r="NDV166" s="72"/>
      <c r="NDW166" s="72"/>
      <c r="NDX166" s="72"/>
      <c r="NDY166" s="72"/>
      <c r="NDZ166" s="72"/>
      <c r="NEA166" s="72"/>
      <c r="NEB166" s="72"/>
      <c r="NEC166" s="72"/>
      <c r="NED166" s="72"/>
      <c r="NEE166" s="72"/>
      <c r="NEF166" s="72"/>
      <c r="NEG166" s="72"/>
      <c r="NEH166" s="72"/>
      <c r="NEI166" s="72"/>
      <c r="NEJ166" s="72"/>
      <c r="NEK166" s="72"/>
      <c r="NEL166" s="72"/>
      <c r="NEM166" s="72"/>
      <c r="NEN166" s="72"/>
      <c r="NEO166" s="72"/>
      <c r="NEP166" s="72"/>
      <c r="NEQ166" s="72"/>
      <c r="NER166" s="72"/>
      <c r="NES166" s="72"/>
      <c r="NET166" s="72"/>
      <c r="NEU166" s="72"/>
      <c r="NEV166" s="72"/>
      <c r="NEW166" s="72"/>
      <c r="NEX166" s="72"/>
      <c r="NEY166" s="72"/>
      <c r="NEZ166" s="72"/>
      <c r="NFA166" s="72"/>
      <c r="NFB166" s="72"/>
      <c r="NFC166" s="72"/>
      <c r="NFD166" s="72"/>
      <c r="NFE166" s="72"/>
      <c r="NFF166" s="72"/>
      <c r="NFG166" s="72"/>
      <c r="NFH166" s="72"/>
      <c r="NFI166" s="72"/>
      <c r="NFJ166" s="72"/>
      <c r="NFK166" s="72"/>
      <c r="NFL166" s="72"/>
      <c r="NFM166" s="72"/>
      <c r="NFN166" s="72"/>
      <c r="NFO166" s="72"/>
      <c r="NFP166" s="72"/>
      <c r="NFQ166" s="72"/>
      <c r="NFR166" s="72"/>
      <c r="NFS166" s="72"/>
      <c r="NFT166" s="72"/>
      <c r="NFU166" s="72"/>
      <c r="NFV166" s="72"/>
      <c r="NFW166" s="72"/>
      <c r="NFX166" s="72"/>
      <c r="NFY166" s="72"/>
      <c r="NFZ166" s="72"/>
      <c r="NGA166" s="72"/>
      <c r="NGB166" s="72"/>
      <c r="NGC166" s="72"/>
      <c r="NGD166" s="72"/>
      <c r="NGE166" s="72"/>
      <c r="NGF166" s="72"/>
      <c r="NGG166" s="72"/>
      <c r="NGH166" s="72"/>
      <c r="NGI166" s="72"/>
      <c r="NGJ166" s="72"/>
      <c r="NGK166" s="72"/>
      <c r="NGL166" s="72"/>
      <c r="NGM166" s="72"/>
      <c r="NGN166" s="72"/>
      <c r="NGO166" s="72"/>
      <c r="NGP166" s="72"/>
      <c r="NGQ166" s="72"/>
      <c r="NGR166" s="72"/>
      <c r="NGS166" s="72"/>
      <c r="NGT166" s="72"/>
      <c r="NGU166" s="72"/>
      <c r="NGV166" s="72"/>
      <c r="NGW166" s="72"/>
      <c r="NGX166" s="72"/>
      <c r="NGY166" s="72"/>
      <c r="NGZ166" s="72"/>
      <c r="NHA166" s="72"/>
      <c r="NHB166" s="72"/>
      <c r="NHC166" s="72"/>
      <c r="NHD166" s="72"/>
      <c r="NHE166" s="72"/>
      <c r="NHF166" s="72"/>
      <c r="NHG166" s="72"/>
      <c r="NHH166" s="72"/>
      <c r="NHI166" s="72"/>
      <c r="NHJ166" s="72"/>
      <c r="NHK166" s="72"/>
      <c r="NHL166" s="72"/>
      <c r="NHM166" s="72"/>
      <c r="NHN166" s="72"/>
      <c r="NHO166" s="72"/>
      <c r="NHP166" s="72"/>
      <c r="NHQ166" s="72"/>
      <c r="NHR166" s="72"/>
      <c r="NHS166" s="72"/>
      <c r="NHT166" s="72"/>
      <c r="NHU166" s="72"/>
      <c r="NHV166" s="72"/>
      <c r="NHW166" s="72"/>
      <c r="NHX166" s="72"/>
      <c r="NHY166" s="72"/>
      <c r="NHZ166" s="72"/>
      <c r="NIA166" s="72"/>
      <c r="NIB166" s="72"/>
      <c r="NIC166" s="72"/>
      <c r="NID166" s="72"/>
      <c r="NIE166" s="72"/>
      <c r="NIF166" s="72"/>
      <c r="NIG166" s="72"/>
      <c r="NIH166" s="72"/>
      <c r="NII166" s="72"/>
      <c r="NIJ166" s="72"/>
      <c r="NIK166" s="72"/>
      <c r="NIL166" s="72"/>
      <c r="NIM166" s="72"/>
      <c r="NIN166" s="72"/>
      <c r="NIO166" s="72"/>
      <c r="NIP166" s="72"/>
      <c r="NIQ166" s="72"/>
      <c r="NIR166" s="72"/>
      <c r="NIS166" s="72"/>
      <c r="NIT166" s="72"/>
      <c r="NIU166" s="72"/>
      <c r="NIV166" s="72"/>
      <c r="NIW166" s="72"/>
      <c r="NIX166" s="72"/>
      <c r="NIY166" s="72"/>
      <c r="NIZ166" s="72"/>
      <c r="NJA166" s="72"/>
      <c r="NJB166" s="72"/>
      <c r="NJC166" s="72"/>
      <c r="NJD166" s="72"/>
      <c r="NJE166" s="72"/>
      <c r="NJF166" s="72"/>
      <c r="NJG166" s="72"/>
      <c r="NJH166" s="72"/>
      <c r="NJI166" s="72"/>
      <c r="NJJ166" s="72"/>
      <c r="NJK166" s="72"/>
      <c r="NJL166" s="72"/>
      <c r="NJM166" s="72"/>
      <c r="NJN166" s="72"/>
      <c r="NJO166" s="72"/>
      <c r="NJP166" s="72"/>
      <c r="NJQ166" s="72"/>
      <c r="NJR166" s="72"/>
      <c r="NJS166" s="72"/>
      <c r="NJT166" s="72"/>
      <c r="NJU166" s="72"/>
      <c r="NJV166" s="72"/>
      <c r="NJW166" s="72"/>
      <c r="NJX166" s="72"/>
      <c r="NJY166" s="72"/>
      <c r="NJZ166" s="72"/>
      <c r="NKA166" s="72"/>
      <c r="NKB166" s="72"/>
      <c r="NKC166" s="72"/>
      <c r="NKD166" s="72"/>
      <c r="NKE166" s="72"/>
      <c r="NKF166" s="72"/>
      <c r="NKG166" s="72"/>
      <c r="NKH166" s="72"/>
      <c r="NKI166" s="72"/>
      <c r="NKJ166" s="72"/>
      <c r="NKK166" s="72"/>
      <c r="NKL166" s="72"/>
      <c r="NKM166" s="72"/>
      <c r="NKN166" s="72"/>
      <c r="NKO166" s="72"/>
      <c r="NKP166" s="72"/>
      <c r="NKQ166" s="72"/>
      <c r="NKR166" s="72"/>
      <c r="NKS166" s="72"/>
      <c r="NKT166" s="72"/>
      <c r="NKU166" s="72"/>
      <c r="NKV166" s="72"/>
      <c r="NKW166" s="72"/>
      <c r="NKX166" s="72"/>
      <c r="NKY166" s="72"/>
      <c r="NKZ166" s="72"/>
      <c r="NLA166" s="72"/>
      <c r="NLB166" s="72"/>
      <c r="NLC166" s="72"/>
      <c r="NLD166" s="72"/>
      <c r="NLE166" s="72"/>
      <c r="NLF166" s="72"/>
      <c r="NLG166" s="72"/>
      <c r="NLH166" s="72"/>
      <c r="NLI166" s="72"/>
      <c r="NLJ166" s="72"/>
      <c r="NLK166" s="72"/>
      <c r="NLL166" s="72"/>
      <c r="NLM166" s="72"/>
      <c r="NLN166" s="72"/>
      <c r="NLO166" s="72"/>
      <c r="NLP166" s="72"/>
      <c r="NLQ166" s="72"/>
      <c r="NLR166" s="72"/>
      <c r="NLS166" s="72"/>
      <c r="NLT166" s="72"/>
      <c r="NLU166" s="72"/>
      <c r="NLV166" s="72"/>
      <c r="NLW166" s="72"/>
      <c r="NLX166" s="72"/>
      <c r="NLY166" s="72"/>
      <c r="NLZ166" s="72"/>
      <c r="NMA166" s="72"/>
      <c r="NMB166" s="72"/>
      <c r="NMC166" s="72"/>
      <c r="NMD166" s="72"/>
      <c r="NME166" s="72"/>
      <c r="NMF166" s="72"/>
      <c r="NMG166" s="72"/>
      <c r="NMH166" s="72"/>
      <c r="NMI166" s="72"/>
      <c r="NMJ166" s="72"/>
      <c r="NMK166" s="72"/>
      <c r="NML166" s="72"/>
      <c r="NMM166" s="72"/>
      <c r="NMN166" s="72"/>
      <c r="NMO166" s="72"/>
      <c r="NMP166" s="72"/>
      <c r="NMQ166" s="72"/>
      <c r="NMR166" s="72"/>
      <c r="NMS166" s="72"/>
      <c r="NMT166" s="72"/>
      <c r="NMU166" s="72"/>
      <c r="NMV166" s="72"/>
      <c r="NMW166" s="72"/>
      <c r="NMX166" s="72"/>
      <c r="NMY166" s="72"/>
      <c r="NMZ166" s="72"/>
      <c r="NNA166" s="72"/>
      <c r="NNB166" s="72"/>
      <c r="NNC166" s="72"/>
      <c r="NND166" s="72"/>
      <c r="NNE166" s="72"/>
      <c r="NNF166" s="72"/>
      <c r="NNG166" s="72"/>
      <c r="NNH166" s="72"/>
      <c r="NNI166" s="72"/>
      <c r="NNJ166" s="72"/>
      <c r="NNK166" s="72"/>
      <c r="NNL166" s="72"/>
      <c r="NNM166" s="72"/>
      <c r="NNN166" s="72"/>
      <c r="NNO166" s="72"/>
      <c r="NNP166" s="72"/>
      <c r="NNQ166" s="72"/>
      <c r="NNR166" s="72"/>
      <c r="NNS166" s="72"/>
      <c r="NNT166" s="72"/>
      <c r="NNU166" s="72"/>
      <c r="NNV166" s="72"/>
      <c r="NNW166" s="72"/>
      <c r="NNX166" s="72"/>
      <c r="NNY166" s="72"/>
      <c r="NNZ166" s="72"/>
      <c r="NOA166" s="72"/>
      <c r="NOB166" s="72"/>
      <c r="NOC166" s="72"/>
      <c r="NOD166" s="72"/>
      <c r="NOE166" s="72"/>
      <c r="NOF166" s="72"/>
      <c r="NOG166" s="72"/>
      <c r="NOH166" s="72"/>
      <c r="NOI166" s="72"/>
      <c r="NOJ166" s="72"/>
      <c r="NOK166" s="72"/>
      <c r="NOL166" s="72"/>
      <c r="NOM166" s="72"/>
      <c r="NON166" s="72"/>
      <c r="NOO166" s="72"/>
      <c r="NOP166" s="72"/>
      <c r="NOQ166" s="72"/>
      <c r="NOR166" s="72"/>
      <c r="NOS166" s="72"/>
      <c r="NOT166" s="72"/>
      <c r="NOU166" s="72"/>
      <c r="NOV166" s="72"/>
      <c r="NOW166" s="72"/>
      <c r="NOX166" s="72"/>
      <c r="NOY166" s="72"/>
      <c r="NOZ166" s="72"/>
      <c r="NPA166" s="72"/>
      <c r="NPB166" s="72"/>
      <c r="NPC166" s="72"/>
      <c r="NPD166" s="72"/>
      <c r="NPE166" s="72"/>
      <c r="NPF166" s="72"/>
      <c r="NPG166" s="72"/>
      <c r="NPH166" s="72"/>
      <c r="NPI166" s="72"/>
      <c r="NPJ166" s="72"/>
      <c r="NPK166" s="72"/>
      <c r="NPL166" s="72"/>
      <c r="NPM166" s="72"/>
      <c r="NPN166" s="72"/>
      <c r="NPO166" s="72"/>
      <c r="NPP166" s="72"/>
      <c r="NPQ166" s="72"/>
      <c r="NPR166" s="72"/>
      <c r="NPS166" s="72"/>
      <c r="NPT166" s="72"/>
      <c r="NPU166" s="72"/>
      <c r="NPV166" s="72"/>
      <c r="NPW166" s="72"/>
      <c r="NPX166" s="72"/>
      <c r="NPY166" s="72"/>
      <c r="NPZ166" s="72"/>
      <c r="NQA166" s="72"/>
      <c r="NQB166" s="72"/>
      <c r="NQC166" s="72"/>
      <c r="NQD166" s="72"/>
      <c r="NQE166" s="72"/>
      <c r="NQF166" s="72"/>
      <c r="NQG166" s="72"/>
      <c r="NQH166" s="72"/>
      <c r="NQI166" s="72"/>
      <c r="NQJ166" s="72"/>
      <c r="NQK166" s="72"/>
      <c r="NQL166" s="72"/>
      <c r="NQM166" s="72"/>
      <c r="NQN166" s="72"/>
      <c r="NQO166" s="72"/>
      <c r="NQP166" s="72"/>
      <c r="NQQ166" s="72"/>
      <c r="NQR166" s="72"/>
      <c r="NQS166" s="72"/>
      <c r="NQT166" s="72"/>
      <c r="NQU166" s="72"/>
      <c r="NQV166" s="72"/>
      <c r="NQW166" s="72"/>
      <c r="NQX166" s="72"/>
      <c r="NQY166" s="72"/>
      <c r="NQZ166" s="72"/>
      <c r="NRA166" s="72"/>
      <c r="NRB166" s="72"/>
      <c r="NRC166" s="72"/>
      <c r="NRD166" s="72"/>
      <c r="NRE166" s="72"/>
      <c r="NRF166" s="72"/>
      <c r="NRG166" s="72"/>
      <c r="NRH166" s="72"/>
      <c r="NRI166" s="72"/>
      <c r="NRJ166" s="72"/>
      <c r="NRK166" s="72"/>
      <c r="NRL166" s="72"/>
      <c r="NRM166" s="72"/>
      <c r="NRN166" s="72"/>
      <c r="NRO166" s="72"/>
      <c r="NRP166" s="72"/>
      <c r="NRQ166" s="72"/>
      <c r="NRR166" s="72"/>
      <c r="NRS166" s="72"/>
      <c r="NRT166" s="72"/>
      <c r="NRU166" s="72"/>
      <c r="NRV166" s="72"/>
      <c r="NRW166" s="72"/>
      <c r="NRX166" s="72"/>
      <c r="NRY166" s="72"/>
      <c r="NRZ166" s="72"/>
      <c r="NSA166" s="72"/>
      <c r="NSB166" s="72"/>
      <c r="NSC166" s="72"/>
      <c r="NSD166" s="72"/>
      <c r="NSE166" s="72"/>
      <c r="NSF166" s="72"/>
      <c r="NSG166" s="72"/>
      <c r="NSH166" s="72"/>
      <c r="NSI166" s="72"/>
      <c r="NSJ166" s="72"/>
      <c r="NSK166" s="72"/>
      <c r="NSL166" s="72"/>
      <c r="NSM166" s="72"/>
      <c r="NSN166" s="72"/>
      <c r="NSO166" s="72"/>
      <c r="NSP166" s="72"/>
      <c r="NSQ166" s="72"/>
      <c r="NSR166" s="72"/>
      <c r="NSS166" s="72"/>
      <c r="NST166" s="72"/>
      <c r="NSU166" s="72"/>
      <c r="NSV166" s="72"/>
      <c r="NSW166" s="72"/>
      <c r="NSX166" s="72"/>
      <c r="NSY166" s="72"/>
      <c r="NSZ166" s="72"/>
      <c r="NTA166" s="72"/>
      <c r="NTB166" s="72"/>
      <c r="NTC166" s="72"/>
      <c r="NTD166" s="72"/>
      <c r="NTE166" s="72"/>
      <c r="NTF166" s="72"/>
      <c r="NTG166" s="72"/>
      <c r="NTH166" s="72"/>
      <c r="NTI166" s="72"/>
      <c r="NTJ166" s="72"/>
      <c r="NTK166" s="72"/>
      <c r="NTL166" s="72"/>
      <c r="NTM166" s="72"/>
      <c r="NTN166" s="72"/>
      <c r="NTO166" s="72"/>
      <c r="NTP166" s="72"/>
      <c r="NTQ166" s="72"/>
      <c r="NTR166" s="72"/>
      <c r="NTS166" s="72"/>
      <c r="NTT166" s="72"/>
      <c r="NTU166" s="72"/>
      <c r="NTV166" s="72"/>
      <c r="NTW166" s="72"/>
      <c r="NTX166" s="72"/>
      <c r="NTY166" s="72"/>
      <c r="NTZ166" s="72"/>
      <c r="NUA166" s="72"/>
      <c r="NUB166" s="72"/>
      <c r="NUC166" s="72"/>
      <c r="NUD166" s="72"/>
      <c r="NUE166" s="72"/>
      <c r="NUF166" s="72"/>
      <c r="NUG166" s="72"/>
      <c r="NUH166" s="72"/>
      <c r="NUI166" s="72"/>
      <c r="NUJ166" s="72"/>
      <c r="NUK166" s="72"/>
      <c r="NUL166" s="72"/>
      <c r="NUM166" s="72"/>
      <c r="NUN166" s="72"/>
      <c r="NUO166" s="72"/>
      <c r="NUP166" s="72"/>
      <c r="NUQ166" s="72"/>
      <c r="NUR166" s="72"/>
      <c r="NUS166" s="72"/>
      <c r="NUT166" s="72"/>
      <c r="NUU166" s="72"/>
      <c r="NUV166" s="72"/>
      <c r="NUW166" s="72"/>
      <c r="NUX166" s="72"/>
      <c r="NUY166" s="72"/>
      <c r="NUZ166" s="72"/>
      <c r="NVA166" s="72"/>
      <c r="NVB166" s="72"/>
      <c r="NVC166" s="72"/>
      <c r="NVD166" s="72"/>
      <c r="NVE166" s="72"/>
      <c r="NVF166" s="72"/>
      <c r="NVG166" s="72"/>
      <c r="NVH166" s="72"/>
      <c r="NVI166" s="72"/>
      <c r="NVJ166" s="72"/>
      <c r="NVK166" s="72"/>
      <c r="NVL166" s="72"/>
      <c r="NVM166" s="72"/>
      <c r="NVN166" s="72"/>
      <c r="NVO166" s="72"/>
      <c r="NVP166" s="72"/>
      <c r="NVQ166" s="72"/>
      <c r="NVR166" s="72"/>
      <c r="NVS166" s="72"/>
      <c r="NVT166" s="72"/>
      <c r="NVU166" s="72"/>
      <c r="NVV166" s="72"/>
      <c r="NVW166" s="72"/>
      <c r="NVX166" s="72"/>
      <c r="NVY166" s="72"/>
      <c r="NVZ166" s="72"/>
      <c r="NWA166" s="72"/>
      <c r="NWB166" s="72"/>
      <c r="NWC166" s="72"/>
      <c r="NWD166" s="72"/>
      <c r="NWE166" s="72"/>
      <c r="NWF166" s="72"/>
      <c r="NWG166" s="72"/>
      <c r="NWH166" s="72"/>
      <c r="NWI166" s="72"/>
      <c r="NWJ166" s="72"/>
      <c r="NWK166" s="72"/>
      <c r="NWL166" s="72"/>
      <c r="NWM166" s="72"/>
      <c r="NWN166" s="72"/>
      <c r="NWO166" s="72"/>
      <c r="NWP166" s="72"/>
      <c r="NWQ166" s="72"/>
      <c r="NWR166" s="72"/>
      <c r="NWS166" s="72"/>
      <c r="NWT166" s="72"/>
      <c r="NWU166" s="72"/>
      <c r="NWV166" s="72"/>
      <c r="NWW166" s="72"/>
      <c r="NWX166" s="72"/>
      <c r="NWY166" s="72"/>
      <c r="NWZ166" s="72"/>
      <c r="NXA166" s="72"/>
      <c r="NXB166" s="72"/>
      <c r="NXC166" s="72"/>
      <c r="NXD166" s="72"/>
      <c r="NXE166" s="72"/>
      <c r="NXF166" s="72"/>
      <c r="NXG166" s="72"/>
      <c r="NXH166" s="72"/>
      <c r="NXI166" s="72"/>
      <c r="NXJ166" s="72"/>
      <c r="NXK166" s="72"/>
      <c r="NXL166" s="72"/>
      <c r="NXM166" s="72"/>
      <c r="NXN166" s="72"/>
      <c r="NXO166" s="72"/>
      <c r="NXP166" s="72"/>
      <c r="NXQ166" s="72"/>
      <c r="NXR166" s="72"/>
      <c r="NXS166" s="72"/>
      <c r="NXT166" s="72"/>
      <c r="NXU166" s="72"/>
      <c r="NXV166" s="72"/>
      <c r="NXW166" s="72"/>
      <c r="NXX166" s="72"/>
      <c r="NXY166" s="72"/>
      <c r="NXZ166" s="72"/>
      <c r="NYA166" s="72"/>
      <c r="NYB166" s="72"/>
      <c r="NYC166" s="72"/>
      <c r="NYD166" s="72"/>
      <c r="NYE166" s="72"/>
      <c r="NYF166" s="72"/>
      <c r="NYG166" s="72"/>
      <c r="NYH166" s="72"/>
      <c r="NYI166" s="72"/>
      <c r="NYJ166" s="72"/>
      <c r="NYK166" s="72"/>
      <c r="NYL166" s="72"/>
      <c r="NYM166" s="72"/>
      <c r="NYN166" s="72"/>
      <c r="NYO166" s="72"/>
      <c r="NYP166" s="72"/>
      <c r="NYQ166" s="72"/>
      <c r="NYR166" s="72"/>
      <c r="NYS166" s="72"/>
      <c r="NYT166" s="72"/>
      <c r="NYU166" s="72"/>
      <c r="NYV166" s="72"/>
      <c r="NYW166" s="72"/>
      <c r="NYX166" s="72"/>
      <c r="NYY166" s="72"/>
      <c r="NYZ166" s="72"/>
      <c r="NZA166" s="72"/>
      <c r="NZB166" s="72"/>
      <c r="NZC166" s="72"/>
      <c r="NZD166" s="72"/>
      <c r="NZE166" s="72"/>
      <c r="NZF166" s="72"/>
      <c r="NZG166" s="72"/>
      <c r="NZH166" s="72"/>
      <c r="NZI166" s="72"/>
      <c r="NZJ166" s="72"/>
      <c r="NZK166" s="72"/>
      <c r="NZL166" s="72"/>
      <c r="NZM166" s="72"/>
      <c r="NZN166" s="72"/>
      <c r="NZO166" s="72"/>
      <c r="NZP166" s="72"/>
      <c r="NZQ166" s="72"/>
      <c r="NZR166" s="72"/>
      <c r="NZS166" s="72"/>
      <c r="NZT166" s="72"/>
      <c r="NZU166" s="72"/>
      <c r="NZV166" s="72"/>
      <c r="NZW166" s="72"/>
      <c r="NZX166" s="72"/>
      <c r="NZY166" s="72"/>
      <c r="NZZ166" s="72"/>
      <c r="OAA166" s="72"/>
      <c r="OAB166" s="72"/>
      <c r="OAC166" s="72"/>
      <c r="OAD166" s="72"/>
      <c r="OAE166" s="72"/>
      <c r="OAF166" s="72"/>
      <c r="OAG166" s="72"/>
      <c r="OAH166" s="72"/>
      <c r="OAI166" s="72"/>
      <c r="OAJ166" s="72"/>
      <c r="OAK166" s="72"/>
      <c r="OAL166" s="72"/>
      <c r="OAM166" s="72"/>
      <c r="OAN166" s="72"/>
      <c r="OAO166" s="72"/>
      <c r="OAP166" s="72"/>
      <c r="OAQ166" s="72"/>
      <c r="OAR166" s="72"/>
      <c r="OAS166" s="72"/>
      <c r="OAT166" s="72"/>
      <c r="OAU166" s="72"/>
      <c r="OAV166" s="72"/>
      <c r="OAW166" s="72"/>
      <c r="OAX166" s="72"/>
      <c r="OAY166" s="72"/>
      <c r="OAZ166" s="72"/>
      <c r="OBA166" s="72"/>
      <c r="OBB166" s="72"/>
      <c r="OBC166" s="72"/>
      <c r="OBD166" s="72"/>
      <c r="OBE166" s="72"/>
      <c r="OBF166" s="72"/>
      <c r="OBG166" s="72"/>
      <c r="OBH166" s="72"/>
      <c r="OBI166" s="72"/>
      <c r="OBJ166" s="72"/>
      <c r="OBK166" s="72"/>
      <c r="OBL166" s="72"/>
      <c r="OBM166" s="72"/>
      <c r="OBN166" s="72"/>
      <c r="OBO166" s="72"/>
      <c r="OBP166" s="72"/>
      <c r="OBQ166" s="72"/>
      <c r="OBR166" s="72"/>
      <c r="OBS166" s="72"/>
      <c r="OBT166" s="72"/>
      <c r="OBU166" s="72"/>
      <c r="OBV166" s="72"/>
      <c r="OBW166" s="72"/>
      <c r="OBX166" s="72"/>
      <c r="OBY166" s="72"/>
      <c r="OBZ166" s="72"/>
      <c r="OCA166" s="72"/>
      <c r="OCB166" s="72"/>
      <c r="OCC166" s="72"/>
      <c r="OCD166" s="72"/>
      <c r="OCE166" s="72"/>
      <c r="OCF166" s="72"/>
      <c r="OCG166" s="72"/>
      <c r="OCH166" s="72"/>
      <c r="OCI166" s="72"/>
      <c r="OCJ166" s="72"/>
      <c r="OCK166" s="72"/>
      <c r="OCL166" s="72"/>
      <c r="OCM166" s="72"/>
      <c r="OCN166" s="72"/>
      <c r="OCO166" s="72"/>
      <c r="OCP166" s="72"/>
      <c r="OCQ166" s="72"/>
      <c r="OCR166" s="72"/>
      <c r="OCS166" s="72"/>
      <c r="OCT166" s="72"/>
      <c r="OCU166" s="72"/>
      <c r="OCV166" s="72"/>
      <c r="OCW166" s="72"/>
      <c r="OCX166" s="72"/>
      <c r="OCY166" s="72"/>
      <c r="OCZ166" s="72"/>
      <c r="ODA166" s="72"/>
      <c r="ODB166" s="72"/>
      <c r="ODC166" s="72"/>
      <c r="ODD166" s="72"/>
      <c r="ODE166" s="72"/>
      <c r="ODF166" s="72"/>
      <c r="ODG166" s="72"/>
      <c r="ODH166" s="72"/>
      <c r="ODI166" s="72"/>
      <c r="ODJ166" s="72"/>
      <c r="ODK166" s="72"/>
      <c r="ODL166" s="72"/>
      <c r="ODM166" s="72"/>
      <c r="ODN166" s="72"/>
      <c r="ODO166" s="72"/>
      <c r="ODP166" s="72"/>
      <c r="ODQ166" s="72"/>
      <c r="ODR166" s="72"/>
      <c r="ODS166" s="72"/>
      <c r="ODT166" s="72"/>
      <c r="ODU166" s="72"/>
      <c r="ODV166" s="72"/>
      <c r="ODW166" s="72"/>
      <c r="ODX166" s="72"/>
      <c r="ODY166" s="72"/>
      <c r="ODZ166" s="72"/>
      <c r="OEA166" s="72"/>
      <c r="OEB166" s="72"/>
      <c r="OEC166" s="72"/>
      <c r="OED166" s="72"/>
      <c r="OEE166" s="72"/>
      <c r="OEF166" s="72"/>
      <c r="OEG166" s="72"/>
      <c r="OEH166" s="72"/>
      <c r="OEI166" s="72"/>
      <c r="OEJ166" s="72"/>
      <c r="OEK166" s="72"/>
      <c r="OEL166" s="72"/>
      <c r="OEM166" s="72"/>
      <c r="OEN166" s="72"/>
      <c r="OEO166" s="72"/>
      <c r="OEP166" s="72"/>
      <c r="OEQ166" s="72"/>
      <c r="OER166" s="72"/>
      <c r="OES166" s="72"/>
      <c r="OET166" s="72"/>
      <c r="OEU166" s="72"/>
      <c r="OEV166" s="72"/>
      <c r="OEW166" s="72"/>
      <c r="OEX166" s="72"/>
      <c r="OEY166" s="72"/>
      <c r="OEZ166" s="72"/>
      <c r="OFA166" s="72"/>
      <c r="OFB166" s="72"/>
      <c r="OFC166" s="72"/>
      <c r="OFD166" s="72"/>
      <c r="OFE166" s="72"/>
      <c r="OFF166" s="72"/>
      <c r="OFG166" s="72"/>
      <c r="OFH166" s="72"/>
      <c r="OFI166" s="72"/>
      <c r="OFJ166" s="72"/>
      <c r="OFK166" s="72"/>
      <c r="OFL166" s="72"/>
      <c r="OFM166" s="72"/>
      <c r="OFN166" s="72"/>
      <c r="OFO166" s="72"/>
      <c r="OFP166" s="72"/>
      <c r="OFQ166" s="72"/>
      <c r="OFR166" s="72"/>
      <c r="OFS166" s="72"/>
      <c r="OFT166" s="72"/>
      <c r="OFU166" s="72"/>
      <c r="OFV166" s="72"/>
      <c r="OFW166" s="72"/>
      <c r="OFX166" s="72"/>
      <c r="OFY166" s="72"/>
      <c r="OFZ166" s="72"/>
      <c r="OGA166" s="72"/>
      <c r="OGB166" s="72"/>
      <c r="OGC166" s="72"/>
      <c r="OGD166" s="72"/>
      <c r="OGE166" s="72"/>
      <c r="OGF166" s="72"/>
      <c r="OGG166" s="72"/>
      <c r="OGH166" s="72"/>
      <c r="OGI166" s="72"/>
      <c r="OGJ166" s="72"/>
      <c r="OGK166" s="72"/>
      <c r="OGL166" s="72"/>
      <c r="OGM166" s="72"/>
      <c r="OGN166" s="72"/>
      <c r="OGO166" s="72"/>
      <c r="OGP166" s="72"/>
      <c r="OGQ166" s="72"/>
      <c r="OGR166" s="72"/>
      <c r="OGS166" s="72"/>
      <c r="OGT166" s="72"/>
      <c r="OGU166" s="72"/>
      <c r="OGV166" s="72"/>
      <c r="OGW166" s="72"/>
      <c r="OGX166" s="72"/>
      <c r="OGY166" s="72"/>
      <c r="OGZ166" s="72"/>
      <c r="OHA166" s="72"/>
      <c r="OHB166" s="72"/>
      <c r="OHC166" s="72"/>
      <c r="OHD166" s="72"/>
      <c r="OHE166" s="72"/>
      <c r="OHF166" s="72"/>
      <c r="OHG166" s="72"/>
      <c r="OHH166" s="72"/>
      <c r="OHI166" s="72"/>
      <c r="OHJ166" s="72"/>
      <c r="OHK166" s="72"/>
      <c r="OHL166" s="72"/>
      <c r="OHM166" s="72"/>
      <c r="OHN166" s="72"/>
      <c r="OHO166" s="72"/>
      <c r="OHP166" s="72"/>
      <c r="OHQ166" s="72"/>
      <c r="OHR166" s="72"/>
      <c r="OHS166" s="72"/>
      <c r="OHT166" s="72"/>
      <c r="OHU166" s="72"/>
      <c r="OHV166" s="72"/>
      <c r="OHW166" s="72"/>
      <c r="OHX166" s="72"/>
      <c r="OHY166" s="72"/>
      <c r="OHZ166" s="72"/>
      <c r="OIA166" s="72"/>
      <c r="OIB166" s="72"/>
      <c r="OIC166" s="72"/>
      <c r="OID166" s="72"/>
      <c r="OIE166" s="72"/>
      <c r="OIF166" s="72"/>
      <c r="OIG166" s="72"/>
      <c r="OIH166" s="72"/>
      <c r="OII166" s="72"/>
      <c r="OIJ166" s="72"/>
      <c r="OIK166" s="72"/>
      <c r="OIL166" s="72"/>
      <c r="OIM166" s="72"/>
      <c r="OIN166" s="72"/>
      <c r="OIO166" s="72"/>
      <c r="OIP166" s="72"/>
      <c r="OIQ166" s="72"/>
      <c r="OIR166" s="72"/>
      <c r="OIS166" s="72"/>
      <c r="OIT166" s="72"/>
      <c r="OIU166" s="72"/>
      <c r="OIV166" s="72"/>
      <c r="OIW166" s="72"/>
      <c r="OIX166" s="72"/>
      <c r="OIY166" s="72"/>
      <c r="OIZ166" s="72"/>
      <c r="OJA166" s="72"/>
      <c r="OJB166" s="72"/>
      <c r="OJC166" s="72"/>
      <c r="OJD166" s="72"/>
      <c r="OJE166" s="72"/>
      <c r="OJF166" s="72"/>
      <c r="OJG166" s="72"/>
      <c r="OJH166" s="72"/>
      <c r="OJI166" s="72"/>
      <c r="OJJ166" s="72"/>
      <c r="OJK166" s="72"/>
      <c r="OJL166" s="72"/>
      <c r="OJM166" s="72"/>
      <c r="OJN166" s="72"/>
      <c r="OJO166" s="72"/>
      <c r="OJP166" s="72"/>
      <c r="OJQ166" s="72"/>
      <c r="OJR166" s="72"/>
      <c r="OJS166" s="72"/>
      <c r="OJT166" s="72"/>
      <c r="OJU166" s="72"/>
      <c r="OJV166" s="72"/>
      <c r="OJW166" s="72"/>
      <c r="OJX166" s="72"/>
      <c r="OJY166" s="72"/>
      <c r="OJZ166" s="72"/>
      <c r="OKA166" s="72"/>
      <c r="OKB166" s="72"/>
      <c r="OKC166" s="72"/>
      <c r="OKD166" s="72"/>
      <c r="OKE166" s="72"/>
      <c r="OKF166" s="72"/>
      <c r="OKG166" s="72"/>
      <c r="OKH166" s="72"/>
      <c r="OKI166" s="72"/>
      <c r="OKJ166" s="72"/>
      <c r="OKK166" s="72"/>
      <c r="OKL166" s="72"/>
      <c r="OKM166" s="72"/>
      <c r="OKN166" s="72"/>
      <c r="OKO166" s="72"/>
      <c r="OKP166" s="72"/>
      <c r="OKQ166" s="72"/>
      <c r="OKR166" s="72"/>
      <c r="OKS166" s="72"/>
      <c r="OKT166" s="72"/>
      <c r="OKU166" s="72"/>
      <c r="OKV166" s="72"/>
      <c r="OKW166" s="72"/>
      <c r="OKX166" s="72"/>
      <c r="OKY166" s="72"/>
      <c r="OKZ166" s="72"/>
      <c r="OLA166" s="72"/>
      <c r="OLB166" s="72"/>
      <c r="OLC166" s="72"/>
      <c r="OLD166" s="72"/>
      <c r="OLE166" s="72"/>
      <c r="OLF166" s="72"/>
      <c r="OLG166" s="72"/>
      <c r="OLH166" s="72"/>
      <c r="OLI166" s="72"/>
      <c r="OLJ166" s="72"/>
      <c r="OLK166" s="72"/>
      <c r="OLL166" s="72"/>
      <c r="OLM166" s="72"/>
      <c r="OLN166" s="72"/>
      <c r="OLO166" s="72"/>
      <c r="OLP166" s="72"/>
      <c r="OLQ166" s="72"/>
      <c r="OLR166" s="72"/>
      <c r="OLS166" s="72"/>
      <c r="OLT166" s="72"/>
      <c r="OLU166" s="72"/>
      <c r="OLV166" s="72"/>
      <c r="OLW166" s="72"/>
      <c r="OLX166" s="72"/>
      <c r="OLY166" s="72"/>
      <c r="OLZ166" s="72"/>
      <c r="OMA166" s="72"/>
      <c r="OMB166" s="72"/>
      <c r="OMC166" s="72"/>
      <c r="OMD166" s="72"/>
      <c r="OME166" s="72"/>
      <c r="OMF166" s="72"/>
      <c r="OMG166" s="72"/>
      <c r="OMH166" s="72"/>
      <c r="OMI166" s="72"/>
      <c r="OMJ166" s="72"/>
      <c r="OMK166" s="72"/>
      <c r="OML166" s="72"/>
      <c r="OMM166" s="72"/>
      <c r="OMN166" s="72"/>
      <c r="OMO166" s="72"/>
      <c r="OMP166" s="72"/>
      <c r="OMQ166" s="72"/>
      <c r="OMR166" s="72"/>
      <c r="OMS166" s="72"/>
      <c r="OMT166" s="72"/>
      <c r="OMU166" s="72"/>
      <c r="OMV166" s="72"/>
      <c r="OMW166" s="72"/>
      <c r="OMX166" s="72"/>
      <c r="OMY166" s="72"/>
      <c r="OMZ166" s="72"/>
      <c r="ONA166" s="72"/>
      <c r="ONB166" s="72"/>
      <c r="ONC166" s="72"/>
      <c r="OND166" s="72"/>
      <c r="ONE166" s="72"/>
      <c r="ONF166" s="72"/>
      <c r="ONG166" s="72"/>
      <c r="ONH166" s="72"/>
      <c r="ONI166" s="72"/>
      <c r="ONJ166" s="72"/>
      <c r="ONK166" s="72"/>
      <c r="ONL166" s="72"/>
      <c r="ONM166" s="72"/>
      <c r="ONN166" s="72"/>
      <c r="ONO166" s="72"/>
      <c r="ONP166" s="72"/>
      <c r="ONQ166" s="72"/>
      <c r="ONR166" s="72"/>
      <c r="ONS166" s="72"/>
      <c r="ONT166" s="72"/>
      <c r="ONU166" s="72"/>
      <c r="ONV166" s="72"/>
      <c r="ONW166" s="72"/>
      <c r="ONX166" s="72"/>
      <c r="ONY166" s="72"/>
      <c r="ONZ166" s="72"/>
      <c r="OOA166" s="72"/>
      <c r="OOB166" s="72"/>
      <c r="OOC166" s="72"/>
      <c r="OOD166" s="72"/>
      <c r="OOE166" s="72"/>
      <c r="OOF166" s="72"/>
      <c r="OOG166" s="72"/>
      <c r="OOH166" s="72"/>
      <c r="OOI166" s="72"/>
      <c r="OOJ166" s="72"/>
      <c r="OOK166" s="72"/>
      <c r="OOL166" s="72"/>
      <c r="OOM166" s="72"/>
      <c r="OON166" s="72"/>
      <c r="OOO166" s="72"/>
      <c r="OOP166" s="72"/>
      <c r="OOQ166" s="72"/>
      <c r="OOR166" s="72"/>
      <c r="OOS166" s="72"/>
      <c r="OOT166" s="72"/>
      <c r="OOU166" s="72"/>
      <c r="OOV166" s="72"/>
      <c r="OOW166" s="72"/>
      <c r="OOX166" s="72"/>
      <c r="OOY166" s="72"/>
      <c r="OOZ166" s="72"/>
      <c r="OPA166" s="72"/>
      <c r="OPB166" s="72"/>
      <c r="OPC166" s="72"/>
      <c r="OPD166" s="72"/>
      <c r="OPE166" s="72"/>
      <c r="OPF166" s="72"/>
      <c r="OPG166" s="72"/>
      <c r="OPH166" s="72"/>
      <c r="OPI166" s="72"/>
      <c r="OPJ166" s="72"/>
      <c r="OPK166" s="72"/>
      <c r="OPL166" s="72"/>
      <c r="OPM166" s="72"/>
      <c r="OPN166" s="72"/>
      <c r="OPO166" s="72"/>
      <c r="OPP166" s="72"/>
      <c r="OPQ166" s="72"/>
      <c r="OPR166" s="72"/>
      <c r="OPS166" s="72"/>
      <c r="OPT166" s="72"/>
      <c r="OPU166" s="72"/>
      <c r="OPV166" s="72"/>
      <c r="OPW166" s="72"/>
      <c r="OPX166" s="72"/>
      <c r="OPY166" s="72"/>
      <c r="OPZ166" s="72"/>
      <c r="OQA166" s="72"/>
      <c r="OQB166" s="72"/>
      <c r="OQC166" s="72"/>
      <c r="OQD166" s="72"/>
      <c r="OQE166" s="72"/>
      <c r="OQF166" s="72"/>
      <c r="OQG166" s="72"/>
      <c r="OQH166" s="72"/>
      <c r="OQI166" s="72"/>
      <c r="OQJ166" s="72"/>
      <c r="OQK166" s="72"/>
      <c r="OQL166" s="72"/>
      <c r="OQM166" s="72"/>
      <c r="OQN166" s="72"/>
      <c r="OQO166" s="72"/>
      <c r="OQP166" s="72"/>
      <c r="OQQ166" s="72"/>
      <c r="OQR166" s="72"/>
      <c r="OQS166" s="72"/>
      <c r="OQT166" s="72"/>
      <c r="OQU166" s="72"/>
      <c r="OQV166" s="72"/>
      <c r="OQW166" s="72"/>
      <c r="OQX166" s="72"/>
      <c r="OQY166" s="72"/>
      <c r="OQZ166" s="72"/>
      <c r="ORA166" s="72"/>
      <c r="ORB166" s="72"/>
      <c r="ORC166" s="72"/>
      <c r="ORD166" s="72"/>
      <c r="ORE166" s="72"/>
      <c r="ORF166" s="72"/>
      <c r="ORG166" s="72"/>
      <c r="ORH166" s="72"/>
      <c r="ORI166" s="72"/>
      <c r="ORJ166" s="72"/>
      <c r="ORK166" s="72"/>
      <c r="ORL166" s="72"/>
      <c r="ORM166" s="72"/>
      <c r="ORN166" s="72"/>
      <c r="ORO166" s="72"/>
      <c r="ORP166" s="72"/>
      <c r="ORQ166" s="72"/>
      <c r="ORR166" s="72"/>
      <c r="ORS166" s="72"/>
      <c r="ORT166" s="72"/>
      <c r="ORU166" s="72"/>
      <c r="ORV166" s="72"/>
      <c r="ORW166" s="72"/>
      <c r="ORX166" s="72"/>
      <c r="ORY166" s="72"/>
      <c r="ORZ166" s="72"/>
      <c r="OSA166" s="72"/>
      <c r="OSB166" s="72"/>
      <c r="OSC166" s="72"/>
      <c r="OSD166" s="72"/>
      <c r="OSE166" s="72"/>
      <c r="OSF166" s="72"/>
      <c r="OSG166" s="72"/>
      <c r="OSH166" s="72"/>
      <c r="OSI166" s="72"/>
      <c r="OSJ166" s="72"/>
      <c r="OSK166" s="72"/>
      <c r="OSL166" s="72"/>
      <c r="OSM166" s="72"/>
      <c r="OSN166" s="72"/>
      <c r="OSO166" s="72"/>
      <c r="OSP166" s="72"/>
      <c r="OSQ166" s="72"/>
      <c r="OSR166" s="72"/>
      <c r="OSS166" s="72"/>
      <c r="OST166" s="72"/>
      <c r="OSU166" s="72"/>
      <c r="OSV166" s="72"/>
      <c r="OSW166" s="72"/>
      <c r="OSX166" s="72"/>
      <c r="OSY166" s="72"/>
      <c r="OSZ166" s="72"/>
      <c r="OTA166" s="72"/>
      <c r="OTB166" s="72"/>
      <c r="OTC166" s="72"/>
      <c r="OTD166" s="72"/>
      <c r="OTE166" s="72"/>
      <c r="OTF166" s="72"/>
      <c r="OTG166" s="72"/>
      <c r="OTH166" s="72"/>
      <c r="OTI166" s="72"/>
      <c r="OTJ166" s="72"/>
      <c r="OTK166" s="72"/>
      <c r="OTL166" s="72"/>
      <c r="OTM166" s="72"/>
      <c r="OTN166" s="72"/>
      <c r="OTO166" s="72"/>
      <c r="OTP166" s="72"/>
      <c r="OTQ166" s="72"/>
      <c r="OTR166" s="72"/>
      <c r="OTS166" s="72"/>
      <c r="OTT166" s="72"/>
      <c r="OTU166" s="72"/>
      <c r="OTV166" s="72"/>
      <c r="OTW166" s="72"/>
      <c r="OTX166" s="72"/>
      <c r="OTY166" s="72"/>
      <c r="OTZ166" s="72"/>
      <c r="OUA166" s="72"/>
      <c r="OUB166" s="72"/>
      <c r="OUC166" s="72"/>
      <c r="OUD166" s="72"/>
      <c r="OUE166" s="72"/>
      <c r="OUF166" s="72"/>
      <c r="OUG166" s="72"/>
      <c r="OUH166" s="72"/>
      <c r="OUI166" s="72"/>
      <c r="OUJ166" s="72"/>
      <c r="OUK166" s="72"/>
      <c r="OUL166" s="72"/>
      <c r="OUM166" s="72"/>
      <c r="OUN166" s="72"/>
      <c r="OUO166" s="72"/>
      <c r="OUP166" s="72"/>
      <c r="OUQ166" s="72"/>
      <c r="OUR166" s="72"/>
      <c r="OUS166" s="72"/>
      <c r="OUT166" s="72"/>
      <c r="OUU166" s="72"/>
      <c r="OUV166" s="72"/>
      <c r="OUW166" s="72"/>
      <c r="OUX166" s="72"/>
      <c r="OUY166" s="72"/>
      <c r="OUZ166" s="72"/>
      <c r="OVA166" s="72"/>
      <c r="OVB166" s="72"/>
      <c r="OVC166" s="72"/>
      <c r="OVD166" s="72"/>
      <c r="OVE166" s="72"/>
      <c r="OVF166" s="72"/>
      <c r="OVG166" s="72"/>
      <c r="OVH166" s="72"/>
      <c r="OVI166" s="72"/>
      <c r="OVJ166" s="72"/>
      <c r="OVK166" s="72"/>
      <c r="OVL166" s="72"/>
      <c r="OVM166" s="72"/>
      <c r="OVN166" s="72"/>
      <c r="OVO166" s="72"/>
      <c r="OVP166" s="72"/>
      <c r="OVQ166" s="72"/>
      <c r="OVR166" s="72"/>
      <c r="OVS166" s="72"/>
      <c r="OVT166" s="72"/>
      <c r="OVU166" s="72"/>
      <c r="OVV166" s="72"/>
      <c r="OVW166" s="72"/>
      <c r="OVX166" s="72"/>
      <c r="OVY166" s="72"/>
      <c r="OVZ166" s="72"/>
      <c r="OWA166" s="72"/>
      <c r="OWB166" s="72"/>
      <c r="OWC166" s="72"/>
      <c r="OWD166" s="72"/>
      <c r="OWE166" s="72"/>
      <c r="OWF166" s="72"/>
      <c r="OWG166" s="72"/>
      <c r="OWH166" s="72"/>
      <c r="OWI166" s="72"/>
      <c r="OWJ166" s="72"/>
      <c r="OWK166" s="72"/>
      <c r="OWL166" s="72"/>
      <c r="OWM166" s="72"/>
      <c r="OWN166" s="72"/>
      <c r="OWO166" s="72"/>
      <c r="OWP166" s="72"/>
      <c r="OWQ166" s="72"/>
      <c r="OWR166" s="72"/>
      <c r="OWS166" s="72"/>
      <c r="OWT166" s="72"/>
      <c r="OWU166" s="72"/>
      <c r="OWV166" s="72"/>
      <c r="OWW166" s="72"/>
      <c r="OWX166" s="72"/>
      <c r="OWY166" s="72"/>
      <c r="OWZ166" s="72"/>
      <c r="OXA166" s="72"/>
      <c r="OXB166" s="72"/>
      <c r="OXC166" s="72"/>
      <c r="OXD166" s="72"/>
      <c r="OXE166" s="72"/>
      <c r="OXF166" s="72"/>
      <c r="OXG166" s="72"/>
      <c r="OXH166" s="72"/>
      <c r="OXI166" s="72"/>
      <c r="OXJ166" s="72"/>
      <c r="OXK166" s="72"/>
      <c r="OXL166" s="72"/>
      <c r="OXM166" s="72"/>
      <c r="OXN166" s="72"/>
      <c r="OXO166" s="72"/>
      <c r="OXP166" s="72"/>
      <c r="OXQ166" s="72"/>
      <c r="OXR166" s="72"/>
      <c r="OXS166" s="72"/>
      <c r="OXT166" s="72"/>
      <c r="OXU166" s="72"/>
      <c r="OXV166" s="72"/>
      <c r="OXW166" s="72"/>
      <c r="OXX166" s="72"/>
      <c r="OXY166" s="72"/>
      <c r="OXZ166" s="72"/>
      <c r="OYA166" s="72"/>
      <c r="OYB166" s="72"/>
      <c r="OYC166" s="72"/>
      <c r="OYD166" s="72"/>
      <c r="OYE166" s="72"/>
      <c r="OYF166" s="72"/>
      <c r="OYG166" s="72"/>
      <c r="OYH166" s="72"/>
      <c r="OYI166" s="72"/>
      <c r="OYJ166" s="72"/>
      <c r="OYK166" s="72"/>
      <c r="OYL166" s="72"/>
      <c r="OYM166" s="72"/>
      <c r="OYN166" s="72"/>
      <c r="OYO166" s="72"/>
      <c r="OYP166" s="72"/>
      <c r="OYQ166" s="72"/>
      <c r="OYR166" s="72"/>
      <c r="OYS166" s="72"/>
      <c r="OYT166" s="72"/>
      <c r="OYU166" s="72"/>
      <c r="OYV166" s="72"/>
      <c r="OYW166" s="72"/>
      <c r="OYX166" s="72"/>
      <c r="OYY166" s="72"/>
      <c r="OYZ166" s="72"/>
      <c r="OZA166" s="72"/>
      <c r="OZB166" s="72"/>
      <c r="OZC166" s="72"/>
      <c r="OZD166" s="72"/>
      <c r="OZE166" s="72"/>
      <c r="OZF166" s="72"/>
      <c r="OZG166" s="72"/>
      <c r="OZH166" s="72"/>
      <c r="OZI166" s="72"/>
      <c r="OZJ166" s="72"/>
      <c r="OZK166" s="72"/>
      <c r="OZL166" s="72"/>
      <c r="OZM166" s="72"/>
      <c r="OZN166" s="72"/>
      <c r="OZO166" s="72"/>
      <c r="OZP166" s="72"/>
      <c r="OZQ166" s="72"/>
      <c r="OZR166" s="72"/>
      <c r="OZS166" s="72"/>
      <c r="OZT166" s="72"/>
      <c r="OZU166" s="72"/>
      <c r="OZV166" s="72"/>
      <c r="OZW166" s="72"/>
      <c r="OZX166" s="72"/>
      <c r="OZY166" s="72"/>
      <c r="OZZ166" s="72"/>
      <c r="PAA166" s="72"/>
      <c r="PAB166" s="72"/>
      <c r="PAC166" s="72"/>
      <c r="PAD166" s="72"/>
      <c r="PAE166" s="72"/>
      <c r="PAF166" s="72"/>
      <c r="PAG166" s="72"/>
      <c r="PAH166" s="72"/>
      <c r="PAI166" s="72"/>
      <c r="PAJ166" s="72"/>
      <c r="PAK166" s="72"/>
      <c r="PAL166" s="72"/>
      <c r="PAM166" s="72"/>
      <c r="PAN166" s="72"/>
      <c r="PAO166" s="72"/>
      <c r="PAP166" s="72"/>
      <c r="PAQ166" s="72"/>
      <c r="PAR166" s="72"/>
      <c r="PAS166" s="72"/>
      <c r="PAT166" s="72"/>
      <c r="PAU166" s="72"/>
      <c r="PAV166" s="72"/>
      <c r="PAW166" s="72"/>
      <c r="PAX166" s="72"/>
      <c r="PAY166" s="72"/>
      <c r="PAZ166" s="72"/>
      <c r="PBA166" s="72"/>
      <c r="PBB166" s="72"/>
      <c r="PBC166" s="72"/>
      <c r="PBD166" s="72"/>
      <c r="PBE166" s="72"/>
      <c r="PBF166" s="72"/>
      <c r="PBG166" s="72"/>
      <c r="PBH166" s="72"/>
      <c r="PBI166" s="72"/>
      <c r="PBJ166" s="72"/>
      <c r="PBK166" s="72"/>
      <c r="PBL166" s="72"/>
      <c r="PBM166" s="72"/>
      <c r="PBN166" s="72"/>
      <c r="PBO166" s="72"/>
      <c r="PBP166" s="72"/>
      <c r="PBQ166" s="72"/>
      <c r="PBR166" s="72"/>
      <c r="PBS166" s="72"/>
      <c r="PBT166" s="72"/>
      <c r="PBU166" s="72"/>
      <c r="PBV166" s="72"/>
      <c r="PBW166" s="72"/>
      <c r="PBX166" s="72"/>
      <c r="PBY166" s="72"/>
      <c r="PBZ166" s="72"/>
      <c r="PCA166" s="72"/>
      <c r="PCB166" s="72"/>
      <c r="PCC166" s="72"/>
      <c r="PCD166" s="72"/>
      <c r="PCE166" s="72"/>
      <c r="PCF166" s="72"/>
      <c r="PCG166" s="72"/>
      <c r="PCH166" s="72"/>
      <c r="PCI166" s="72"/>
      <c r="PCJ166" s="72"/>
      <c r="PCK166" s="72"/>
      <c r="PCL166" s="72"/>
      <c r="PCM166" s="72"/>
      <c r="PCN166" s="72"/>
      <c r="PCO166" s="72"/>
      <c r="PCP166" s="72"/>
      <c r="PCQ166" s="72"/>
      <c r="PCR166" s="72"/>
      <c r="PCS166" s="72"/>
      <c r="PCT166" s="72"/>
      <c r="PCU166" s="72"/>
      <c r="PCV166" s="72"/>
      <c r="PCW166" s="72"/>
      <c r="PCX166" s="72"/>
      <c r="PCY166" s="72"/>
      <c r="PCZ166" s="72"/>
      <c r="PDA166" s="72"/>
      <c r="PDB166" s="72"/>
      <c r="PDC166" s="72"/>
      <c r="PDD166" s="72"/>
      <c r="PDE166" s="72"/>
      <c r="PDF166" s="72"/>
      <c r="PDG166" s="72"/>
      <c r="PDH166" s="72"/>
      <c r="PDI166" s="72"/>
      <c r="PDJ166" s="72"/>
      <c r="PDK166" s="72"/>
      <c r="PDL166" s="72"/>
      <c r="PDM166" s="72"/>
      <c r="PDN166" s="72"/>
      <c r="PDO166" s="72"/>
      <c r="PDP166" s="72"/>
      <c r="PDQ166" s="72"/>
      <c r="PDR166" s="72"/>
      <c r="PDS166" s="72"/>
      <c r="PDT166" s="72"/>
      <c r="PDU166" s="72"/>
      <c r="PDV166" s="72"/>
      <c r="PDW166" s="72"/>
      <c r="PDX166" s="72"/>
      <c r="PDY166" s="72"/>
      <c r="PDZ166" s="72"/>
      <c r="PEA166" s="72"/>
      <c r="PEB166" s="72"/>
      <c r="PEC166" s="72"/>
      <c r="PED166" s="72"/>
      <c r="PEE166" s="72"/>
      <c r="PEF166" s="72"/>
      <c r="PEG166" s="72"/>
      <c r="PEH166" s="72"/>
      <c r="PEI166" s="72"/>
      <c r="PEJ166" s="72"/>
      <c r="PEK166" s="72"/>
      <c r="PEL166" s="72"/>
      <c r="PEM166" s="72"/>
      <c r="PEN166" s="72"/>
      <c r="PEO166" s="72"/>
      <c r="PEP166" s="72"/>
      <c r="PEQ166" s="72"/>
      <c r="PER166" s="72"/>
      <c r="PES166" s="72"/>
      <c r="PET166" s="72"/>
      <c r="PEU166" s="72"/>
      <c r="PEV166" s="72"/>
      <c r="PEW166" s="72"/>
      <c r="PEX166" s="72"/>
      <c r="PEY166" s="72"/>
      <c r="PEZ166" s="72"/>
      <c r="PFA166" s="72"/>
      <c r="PFB166" s="72"/>
      <c r="PFC166" s="72"/>
      <c r="PFD166" s="72"/>
      <c r="PFE166" s="72"/>
      <c r="PFF166" s="72"/>
      <c r="PFG166" s="72"/>
      <c r="PFH166" s="72"/>
      <c r="PFI166" s="72"/>
      <c r="PFJ166" s="72"/>
      <c r="PFK166" s="72"/>
      <c r="PFL166" s="72"/>
      <c r="PFM166" s="72"/>
      <c r="PFN166" s="72"/>
      <c r="PFO166" s="72"/>
      <c r="PFP166" s="72"/>
      <c r="PFQ166" s="72"/>
      <c r="PFR166" s="72"/>
      <c r="PFS166" s="72"/>
      <c r="PFT166" s="72"/>
      <c r="PFU166" s="72"/>
      <c r="PFV166" s="72"/>
      <c r="PFW166" s="72"/>
      <c r="PFX166" s="72"/>
      <c r="PFY166" s="72"/>
      <c r="PFZ166" s="72"/>
      <c r="PGA166" s="72"/>
      <c r="PGB166" s="72"/>
      <c r="PGC166" s="72"/>
      <c r="PGD166" s="72"/>
      <c r="PGE166" s="72"/>
      <c r="PGF166" s="72"/>
      <c r="PGG166" s="72"/>
      <c r="PGH166" s="72"/>
      <c r="PGI166" s="72"/>
      <c r="PGJ166" s="72"/>
      <c r="PGK166" s="72"/>
      <c r="PGL166" s="72"/>
      <c r="PGM166" s="72"/>
      <c r="PGN166" s="72"/>
      <c r="PGO166" s="72"/>
      <c r="PGP166" s="72"/>
      <c r="PGQ166" s="72"/>
      <c r="PGR166" s="72"/>
      <c r="PGS166" s="72"/>
      <c r="PGT166" s="72"/>
      <c r="PGU166" s="72"/>
      <c r="PGV166" s="72"/>
      <c r="PGW166" s="72"/>
      <c r="PGX166" s="72"/>
      <c r="PGY166" s="72"/>
      <c r="PGZ166" s="72"/>
      <c r="PHA166" s="72"/>
      <c r="PHB166" s="72"/>
      <c r="PHC166" s="72"/>
      <c r="PHD166" s="72"/>
      <c r="PHE166" s="72"/>
      <c r="PHF166" s="72"/>
      <c r="PHG166" s="72"/>
      <c r="PHH166" s="72"/>
      <c r="PHI166" s="72"/>
      <c r="PHJ166" s="72"/>
      <c r="PHK166" s="72"/>
      <c r="PHL166" s="72"/>
      <c r="PHM166" s="72"/>
      <c r="PHN166" s="72"/>
      <c r="PHO166" s="72"/>
      <c r="PHP166" s="72"/>
      <c r="PHQ166" s="72"/>
      <c r="PHR166" s="72"/>
      <c r="PHS166" s="72"/>
      <c r="PHT166" s="72"/>
      <c r="PHU166" s="72"/>
      <c r="PHV166" s="72"/>
      <c r="PHW166" s="72"/>
      <c r="PHX166" s="72"/>
      <c r="PHY166" s="72"/>
      <c r="PHZ166" s="72"/>
      <c r="PIA166" s="72"/>
      <c r="PIB166" s="72"/>
      <c r="PIC166" s="72"/>
      <c r="PID166" s="72"/>
      <c r="PIE166" s="72"/>
      <c r="PIF166" s="72"/>
      <c r="PIG166" s="72"/>
      <c r="PIH166" s="72"/>
      <c r="PII166" s="72"/>
      <c r="PIJ166" s="72"/>
      <c r="PIK166" s="72"/>
      <c r="PIL166" s="72"/>
      <c r="PIM166" s="72"/>
      <c r="PIN166" s="72"/>
      <c r="PIO166" s="72"/>
      <c r="PIP166" s="72"/>
      <c r="PIQ166" s="72"/>
      <c r="PIR166" s="72"/>
      <c r="PIS166" s="72"/>
      <c r="PIT166" s="72"/>
      <c r="PIU166" s="72"/>
      <c r="PIV166" s="72"/>
      <c r="PIW166" s="72"/>
      <c r="PIX166" s="72"/>
      <c r="PIY166" s="72"/>
      <c r="PIZ166" s="72"/>
      <c r="PJA166" s="72"/>
      <c r="PJB166" s="72"/>
      <c r="PJC166" s="72"/>
      <c r="PJD166" s="72"/>
      <c r="PJE166" s="72"/>
      <c r="PJF166" s="72"/>
      <c r="PJG166" s="72"/>
      <c r="PJH166" s="72"/>
      <c r="PJI166" s="72"/>
      <c r="PJJ166" s="72"/>
      <c r="PJK166" s="72"/>
      <c r="PJL166" s="72"/>
      <c r="PJM166" s="72"/>
      <c r="PJN166" s="72"/>
      <c r="PJO166" s="72"/>
      <c r="PJP166" s="72"/>
      <c r="PJQ166" s="72"/>
      <c r="PJR166" s="72"/>
      <c r="PJS166" s="72"/>
      <c r="PJT166" s="72"/>
      <c r="PJU166" s="72"/>
      <c r="PJV166" s="72"/>
      <c r="PJW166" s="72"/>
      <c r="PJX166" s="72"/>
      <c r="PJY166" s="72"/>
      <c r="PJZ166" s="72"/>
      <c r="PKA166" s="72"/>
      <c r="PKB166" s="72"/>
      <c r="PKC166" s="72"/>
      <c r="PKD166" s="72"/>
      <c r="PKE166" s="72"/>
      <c r="PKF166" s="72"/>
      <c r="PKG166" s="72"/>
      <c r="PKH166" s="72"/>
      <c r="PKI166" s="72"/>
      <c r="PKJ166" s="72"/>
      <c r="PKK166" s="72"/>
      <c r="PKL166" s="72"/>
      <c r="PKM166" s="72"/>
      <c r="PKN166" s="72"/>
      <c r="PKO166" s="72"/>
      <c r="PKP166" s="72"/>
      <c r="PKQ166" s="72"/>
      <c r="PKR166" s="72"/>
      <c r="PKS166" s="72"/>
      <c r="PKT166" s="72"/>
      <c r="PKU166" s="72"/>
      <c r="PKV166" s="72"/>
      <c r="PKW166" s="72"/>
      <c r="PKX166" s="72"/>
      <c r="PKY166" s="72"/>
      <c r="PKZ166" s="72"/>
      <c r="PLA166" s="72"/>
      <c r="PLB166" s="72"/>
      <c r="PLC166" s="72"/>
      <c r="PLD166" s="72"/>
      <c r="PLE166" s="72"/>
      <c r="PLF166" s="72"/>
      <c r="PLG166" s="72"/>
      <c r="PLH166" s="72"/>
      <c r="PLI166" s="72"/>
      <c r="PLJ166" s="72"/>
      <c r="PLK166" s="72"/>
      <c r="PLL166" s="72"/>
      <c r="PLM166" s="72"/>
      <c r="PLN166" s="72"/>
      <c r="PLO166" s="72"/>
      <c r="PLP166" s="72"/>
      <c r="PLQ166" s="72"/>
      <c r="PLR166" s="72"/>
      <c r="PLS166" s="72"/>
      <c r="PLT166" s="72"/>
      <c r="PLU166" s="72"/>
      <c r="PLV166" s="72"/>
      <c r="PLW166" s="72"/>
      <c r="PLX166" s="72"/>
      <c r="PLY166" s="72"/>
      <c r="PLZ166" s="72"/>
      <c r="PMA166" s="72"/>
      <c r="PMB166" s="72"/>
      <c r="PMC166" s="72"/>
      <c r="PMD166" s="72"/>
      <c r="PME166" s="72"/>
      <c r="PMF166" s="72"/>
      <c r="PMG166" s="72"/>
      <c r="PMH166" s="72"/>
      <c r="PMI166" s="72"/>
      <c r="PMJ166" s="72"/>
      <c r="PMK166" s="72"/>
      <c r="PML166" s="72"/>
      <c r="PMM166" s="72"/>
      <c r="PMN166" s="72"/>
      <c r="PMO166" s="72"/>
      <c r="PMP166" s="72"/>
      <c r="PMQ166" s="72"/>
      <c r="PMR166" s="72"/>
      <c r="PMS166" s="72"/>
      <c r="PMT166" s="72"/>
      <c r="PMU166" s="72"/>
      <c r="PMV166" s="72"/>
      <c r="PMW166" s="72"/>
      <c r="PMX166" s="72"/>
      <c r="PMY166" s="72"/>
      <c r="PMZ166" s="72"/>
      <c r="PNA166" s="72"/>
      <c r="PNB166" s="72"/>
      <c r="PNC166" s="72"/>
      <c r="PND166" s="72"/>
      <c r="PNE166" s="72"/>
      <c r="PNF166" s="72"/>
      <c r="PNG166" s="72"/>
      <c r="PNH166" s="72"/>
      <c r="PNI166" s="72"/>
      <c r="PNJ166" s="72"/>
      <c r="PNK166" s="72"/>
      <c r="PNL166" s="72"/>
      <c r="PNM166" s="72"/>
      <c r="PNN166" s="72"/>
      <c r="PNO166" s="72"/>
      <c r="PNP166" s="72"/>
      <c r="PNQ166" s="72"/>
      <c r="PNR166" s="72"/>
      <c r="PNS166" s="72"/>
      <c r="PNT166" s="72"/>
      <c r="PNU166" s="72"/>
      <c r="PNV166" s="72"/>
      <c r="PNW166" s="72"/>
      <c r="PNX166" s="72"/>
      <c r="PNY166" s="72"/>
      <c r="PNZ166" s="72"/>
      <c r="POA166" s="72"/>
      <c r="POB166" s="72"/>
      <c r="POC166" s="72"/>
      <c r="POD166" s="72"/>
      <c r="POE166" s="72"/>
      <c r="POF166" s="72"/>
      <c r="POG166" s="72"/>
      <c r="POH166" s="72"/>
      <c r="POI166" s="72"/>
      <c r="POJ166" s="72"/>
      <c r="POK166" s="72"/>
      <c r="POL166" s="72"/>
      <c r="POM166" s="72"/>
      <c r="PON166" s="72"/>
      <c r="POO166" s="72"/>
      <c r="POP166" s="72"/>
      <c r="POQ166" s="72"/>
      <c r="POR166" s="72"/>
      <c r="POS166" s="72"/>
      <c r="POT166" s="72"/>
      <c r="POU166" s="72"/>
      <c r="POV166" s="72"/>
      <c r="POW166" s="72"/>
      <c r="POX166" s="72"/>
      <c r="POY166" s="72"/>
      <c r="POZ166" s="72"/>
      <c r="PPA166" s="72"/>
      <c r="PPB166" s="72"/>
      <c r="PPC166" s="72"/>
      <c r="PPD166" s="72"/>
      <c r="PPE166" s="72"/>
      <c r="PPF166" s="72"/>
      <c r="PPG166" s="72"/>
      <c r="PPH166" s="72"/>
      <c r="PPI166" s="72"/>
      <c r="PPJ166" s="72"/>
      <c r="PPK166" s="72"/>
      <c r="PPL166" s="72"/>
      <c r="PPM166" s="72"/>
      <c r="PPN166" s="72"/>
      <c r="PPO166" s="72"/>
      <c r="PPP166" s="72"/>
      <c r="PPQ166" s="72"/>
      <c r="PPR166" s="72"/>
      <c r="PPS166" s="72"/>
      <c r="PPT166" s="72"/>
      <c r="PPU166" s="72"/>
      <c r="PPV166" s="72"/>
      <c r="PPW166" s="72"/>
      <c r="PPX166" s="72"/>
      <c r="PPY166" s="72"/>
      <c r="PPZ166" s="72"/>
      <c r="PQA166" s="72"/>
      <c r="PQB166" s="72"/>
      <c r="PQC166" s="72"/>
      <c r="PQD166" s="72"/>
      <c r="PQE166" s="72"/>
      <c r="PQF166" s="72"/>
      <c r="PQG166" s="72"/>
      <c r="PQH166" s="72"/>
      <c r="PQI166" s="72"/>
      <c r="PQJ166" s="72"/>
      <c r="PQK166" s="72"/>
      <c r="PQL166" s="72"/>
      <c r="PQM166" s="72"/>
      <c r="PQN166" s="72"/>
      <c r="PQO166" s="72"/>
      <c r="PQP166" s="72"/>
      <c r="PQQ166" s="72"/>
      <c r="PQR166" s="72"/>
      <c r="PQS166" s="72"/>
      <c r="PQT166" s="72"/>
      <c r="PQU166" s="72"/>
      <c r="PQV166" s="72"/>
      <c r="PQW166" s="72"/>
      <c r="PQX166" s="72"/>
      <c r="PQY166" s="72"/>
      <c r="PQZ166" s="72"/>
      <c r="PRA166" s="72"/>
      <c r="PRB166" s="72"/>
      <c r="PRC166" s="72"/>
      <c r="PRD166" s="72"/>
      <c r="PRE166" s="72"/>
      <c r="PRF166" s="72"/>
      <c r="PRG166" s="72"/>
      <c r="PRH166" s="72"/>
      <c r="PRI166" s="72"/>
      <c r="PRJ166" s="72"/>
      <c r="PRK166" s="72"/>
      <c r="PRL166" s="72"/>
      <c r="PRM166" s="72"/>
      <c r="PRN166" s="72"/>
      <c r="PRO166" s="72"/>
      <c r="PRP166" s="72"/>
      <c r="PRQ166" s="72"/>
      <c r="PRR166" s="72"/>
      <c r="PRS166" s="72"/>
      <c r="PRT166" s="72"/>
      <c r="PRU166" s="72"/>
      <c r="PRV166" s="72"/>
      <c r="PRW166" s="72"/>
      <c r="PRX166" s="72"/>
      <c r="PRY166" s="72"/>
      <c r="PRZ166" s="72"/>
      <c r="PSA166" s="72"/>
      <c r="PSB166" s="72"/>
      <c r="PSC166" s="72"/>
      <c r="PSD166" s="72"/>
      <c r="PSE166" s="72"/>
      <c r="PSF166" s="72"/>
      <c r="PSG166" s="72"/>
      <c r="PSH166" s="72"/>
      <c r="PSI166" s="72"/>
      <c r="PSJ166" s="72"/>
      <c r="PSK166" s="72"/>
      <c r="PSL166" s="72"/>
      <c r="PSM166" s="72"/>
      <c r="PSN166" s="72"/>
      <c r="PSO166" s="72"/>
      <c r="PSP166" s="72"/>
      <c r="PSQ166" s="72"/>
      <c r="PSR166" s="72"/>
      <c r="PSS166" s="72"/>
      <c r="PST166" s="72"/>
      <c r="PSU166" s="72"/>
      <c r="PSV166" s="72"/>
      <c r="PSW166" s="72"/>
      <c r="PSX166" s="72"/>
      <c r="PSY166" s="72"/>
      <c r="PSZ166" s="72"/>
      <c r="PTA166" s="72"/>
      <c r="PTB166" s="72"/>
      <c r="PTC166" s="72"/>
      <c r="PTD166" s="72"/>
      <c r="PTE166" s="72"/>
      <c r="PTF166" s="72"/>
      <c r="PTG166" s="72"/>
      <c r="PTH166" s="72"/>
      <c r="PTI166" s="72"/>
      <c r="PTJ166" s="72"/>
      <c r="PTK166" s="72"/>
      <c r="PTL166" s="72"/>
      <c r="PTM166" s="72"/>
      <c r="PTN166" s="72"/>
      <c r="PTO166" s="72"/>
      <c r="PTP166" s="72"/>
      <c r="PTQ166" s="72"/>
      <c r="PTR166" s="72"/>
      <c r="PTS166" s="72"/>
      <c r="PTT166" s="72"/>
      <c r="PTU166" s="72"/>
      <c r="PTV166" s="72"/>
      <c r="PTW166" s="72"/>
      <c r="PTX166" s="72"/>
      <c r="PTY166" s="72"/>
      <c r="PTZ166" s="72"/>
      <c r="PUA166" s="72"/>
      <c r="PUB166" s="72"/>
      <c r="PUC166" s="72"/>
      <c r="PUD166" s="72"/>
      <c r="PUE166" s="72"/>
      <c r="PUF166" s="72"/>
      <c r="PUG166" s="72"/>
      <c r="PUH166" s="72"/>
      <c r="PUI166" s="72"/>
      <c r="PUJ166" s="72"/>
      <c r="PUK166" s="72"/>
      <c r="PUL166" s="72"/>
      <c r="PUM166" s="72"/>
      <c r="PUN166" s="72"/>
      <c r="PUO166" s="72"/>
      <c r="PUP166" s="72"/>
      <c r="PUQ166" s="72"/>
      <c r="PUR166" s="72"/>
      <c r="PUS166" s="72"/>
      <c r="PUT166" s="72"/>
      <c r="PUU166" s="72"/>
      <c r="PUV166" s="72"/>
      <c r="PUW166" s="72"/>
      <c r="PUX166" s="72"/>
      <c r="PUY166" s="72"/>
      <c r="PUZ166" s="72"/>
      <c r="PVA166" s="72"/>
      <c r="PVB166" s="72"/>
      <c r="PVC166" s="72"/>
      <c r="PVD166" s="72"/>
      <c r="PVE166" s="72"/>
      <c r="PVF166" s="72"/>
      <c r="PVG166" s="72"/>
      <c r="PVH166" s="72"/>
      <c r="PVI166" s="72"/>
      <c r="PVJ166" s="72"/>
      <c r="PVK166" s="72"/>
      <c r="PVL166" s="72"/>
      <c r="PVM166" s="72"/>
      <c r="PVN166" s="72"/>
      <c r="PVO166" s="72"/>
      <c r="PVP166" s="72"/>
      <c r="PVQ166" s="72"/>
      <c r="PVR166" s="72"/>
      <c r="PVS166" s="72"/>
      <c r="PVT166" s="72"/>
      <c r="PVU166" s="72"/>
      <c r="PVV166" s="72"/>
      <c r="PVW166" s="72"/>
      <c r="PVX166" s="72"/>
      <c r="PVY166" s="72"/>
      <c r="PVZ166" s="72"/>
      <c r="PWA166" s="72"/>
      <c r="PWB166" s="72"/>
      <c r="PWC166" s="72"/>
      <c r="PWD166" s="72"/>
      <c r="PWE166" s="72"/>
      <c r="PWF166" s="72"/>
      <c r="PWG166" s="72"/>
      <c r="PWH166" s="72"/>
      <c r="PWI166" s="72"/>
      <c r="PWJ166" s="72"/>
      <c r="PWK166" s="72"/>
      <c r="PWL166" s="72"/>
      <c r="PWM166" s="72"/>
      <c r="PWN166" s="72"/>
      <c r="PWO166" s="72"/>
      <c r="PWP166" s="72"/>
      <c r="PWQ166" s="72"/>
      <c r="PWR166" s="72"/>
      <c r="PWS166" s="72"/>
      <c r="PWT166" s="72"/>
      <c r="PWU166" s="72"/>
      <c r="PWV166" s="72"/>
      <c r="PWW166" s="72"/>
      <c r="PWX166" s="72"/>
      <c r="PWY166" s="72"/>
      <c r="PWZ166" s="72"/>
      <c r="PXA166" s="72"/>
      <c r="PXB166" s="72"/>
      <c r="PXC166" s="72"/>
      <c r="PXD166" s="72"/>
      <c r="PXE166" s="72"/>
      <c r="PXF166" s="72"/>
      <c r="PXG166" s="72"/>
      <c r="PXH166" s="72"/>
      <c r="PXI166" s="72"/>
      <c r="PXJ166" s="72"/>
      <c r="PXK166" s="72"/>
      <c r="PXL166" s="72"/>
      <c r="PXM166" s="72"/>
      <c r="PXN166" s="72"/>
      <c r="PXO166" s="72"/>
      <c r="PXP166" s="72"/>
      <c r="PXQ166" s="72"/>
      <c r="PXR166" s="72"/>
      <c r="PXS166" s="72"/>
      <c r="PXT166" s="72"/>
      <c r="PXU166" s="72"/>
      <c r="PXV166" s="72"/>
      <c r="PXW166" s="72"/>
      <c r="PXX166" s="72"/>
      <c r="PXY166" s="72"/>
      <c r="PXZ166" s="72"/>
      <c r="PYA166" s="72"/>
      <c r="PYB166" s="72"/>
      <c r="PYC166" s="72"/>
      <c r="PYD166" s="72"/>
      <c r="PYE166" s="72"/>
      <c r="PYF166" s="72"/>
      <c r="PYG166" s="72"/>
      <c r="PYH166" s="72"/>
      <c r="PYI166" s="72"/>
      <c r="PYJ166" s="72"/>
      <c r="PYK166" s="72"/>
      <c r="PYL166" s="72"/>
      <c r="PYM166" s="72"/>
      <c r="PYN166" s="72"/>
      <c r="PYO166" s="72"/>
      <c r="PYP166" s="72"/>
      <c r="PYQ166" s="72"/>
      <c r="PYR166" s="72"/>
      <c r="PYS166" s="72"/>
      <c r="PYT166" s="72"/>
      <c r="PYU166" s="72"/>
      <c r="PYV166" s="72"/>
      <c r="PYW166" s="72"/>
      <c r="PYX166" s="72"/>
      <c r="PYY166" s="72"/>
      <c r="PYZ166" s="72"/>
      <c r="PZA166" s="72"/>
      <c r="PZB166" s="72"/>
      <c r="PZC166" s="72"/>
      <c r="PZD166" s="72"/>
      <c r="PZE166" s="72"/>
      <c r="PZF166" s="72"/>
      <c r="PZG166" s="72"/>
      <c r="PZH166" s="72"/>
      <c r="PZI166" s="72"/>
      <c r="PZJ166" s="72"/>
      <c r="PZK166" s="72"/>
      <c r="PZL166" s="72"/>
      <c r="PZM166" s="72"/>
      <c r="PZN166" s="72"/>
      <c r="PZO166" s="72"/>
      <c r="PZP166" s="72"/>
      <c r="PZQ166" s="72"/>
      <c r="PZR166" s="72"/>
      <c r="PZS166" s="72"/>
      <c r="PZT166" s="72"/>
      <c r="PZU166" s="72"/>
      <c r="PZV166" s="72"/>
      <c r="PZW166" s="72"/>
      <c r="PZX166" s="72"/>
      <c r="PZY166" s="72"/>
      <c r="PZZ166" s="72"/>
      <c r="QAA166" s="72"/>
      <c r="QAB166" s="72"/>
      <c r="QAC166" s="72"/>
      <c r="QAD166" s="72"/>
      <c r="QAE166" s="72"/>
      <c r="QAF166" s="72"/>
      <c r="QAG166" s="72"/>
      <c r="QAH166" s="72"/>
      <c r="QAI166" s="72"/>
      <c r="QAJ166" s="72"/>
      <c r="QAK166" s="72"/>
      <c r="QAL166" s="72"/>
      <c r="QAM166" s="72"/>
      <c r="QAN166" s="72"/>
      <c r="QAO166" s="72"/>
      <c r="QAP166" s="72"/>
      <c r="QAQ166" s="72"/>
      <c r="QAR166" s="72"/>
      <c r="QAS166" s="72"/>
      <c r="QAT166" s="72"/>
      <c r="QAU166" s="72"/>
      <c r="QAV166" s="72"/>
      <c r="QAW166" s="72"/>
      <c r="QAX166" s="72"/>
      <c r="QAY166" s="72"/>
      <c r="QAZ166" s="72"/>
      <c r="QBA166" s="72"/>
      <c r="QBB166" s="72"/>
      <c r="QBC166" s="72"/>
      <c r="QBD166" s="72"/>
      <c r="QBE166" s="72"/>
      <c r="QBF166" s="72"/>
      <c r="QBG166" s="72"/>
      <c r="QBH166" s="72"/>
      <c r="QBI166" s="72"/>
      <c r="QBJ166" s="72"/>
      <c r="QBK166" s="72"/>
      <c r="QBL166" s="72"/>
      <c r="QBM166" s="72"/>
      <c r="QBN166" s="72"/>
      <c r="QBO166" s="72"/>
      <c r="QBP166" s="72"/>
      <c r="QBQ166" s="72"/>
      <c r="QBR166" s="72"/>
      <c r="QBS166" s="72"/>
      <c r="QBT166" s="72"/>
      <c r="QBU166" s="72"/>
      <c r="QBV166" s="72"/>
      <c r="QBW166" s="72"/>
      <c r="QBX166" s="72"/>
      <c r="QBY166" s="72"/>
      <c r="QBZ166" s="72"/>
      <c r="QCA166" s="72"/>
      <c r="QCB166" s="72"/>
      <c r="QCC166" s="72"/>
      <c r="QCD166" s="72"/>
      <c r="QCE166" s="72"/>
      <c r="QCF166" s="72"/>
      <c r="QCG166" s="72"/>
      <c r="QCH166" s="72"/>
      <c r="QCI166" s="72"/>
      <c r="QCJ166" s="72"/>
      <c r="QCK166" s="72"/>
      <c r="QCL166" s="72"/>
      <c r="QCM166" s="72"/>
      <c r="QCN166" s="72"/>
      <c r="QCO166" s="72"/>
      <c r="QCP166" s="72"/>
      <c r="QCQ166" s="72"/>
      <c r="QCR166" s="72"/>
      <c r="QCS166" s="72"/>
      <c r="QCT166" s="72"/>
      <c r="QCU166" s="72"/>
      <c r="QCV166" s="72"/>
      <c r="QCW166" s="72"/>
      <c r="QCX166" s="72"/>
      <c r="QCY166" s="72"/>
      <c r="QCZ166" s="72"/>
      <c r="QDA166" s="72"/>
      <c r="QDB166" s="72"/>
      <c r="QDC166" s="72"/>
      <c r="QDD166" s="72"/>
      <c r="QDE166" s="72"/>
      <c r="QDF166" s="72"/>
      <c r="QDG166" s="72"/>
      <c r="QDH166" s="72"/>
      <c r="QDI166" s="72"/>
      <c r="QDJ166" s="72"/>
      <c r="QDK166" s="72"/>
      <c r="QDL166" s="72"/>
      <c r="QDM166" s="72"/>
      <c r="QDN166" s="72"/>
      <c r="QDO166" s="72"/>
      <c r="QDP166" s="72"/>
      <c r="QDQ166" s="72"/>
      <c r="QDR166" s="72"/>
      <c r="QDS166" s="72"/>
      <c r="QDT166" s="72"/>
      <c r="QDU166" s="72"/>
      <c r="QDV166" s="72"/>
      <c r="QDW166" s="72"/>
      <c r="QDX166" s="72"/>
      <c r="QDY166" s="72"/>
      <c r="QDZ166" s="72"/>
      <c r="QEA166" s="72"/>
      <c r="QEB166" s="72"/>
      <c r="QEC166" s="72"/>
      <c r="QED166" s="72"/>
      <c r="QEE166" s="72"/>
      <c r="QEF166" s="72"/>
      <c r="QEG166" s="72"/>
      <c r="QEH166" s="72"/>
      <c r="QEI166" s="72"/>
      <c r="QEJ166" s="72"/>
      <c r="QEK166" s="72"/>
      <c r="QEL166" s="72"/>
      <c r="QEM166" s="72"/>
      <c r="QEN166" s="72"/>
      <c r="QEO166" s="72"/>
      <c r="QEP166" s="72"/>
      <c r="QEQ166" s="72"/>
      <c r="QER166" s="72"/>
      <c r="QES166" s="72"/>
      <c r="QET166" s="72"/>
      <c r="QEU166" s="72"/>
      <c r="QEV166" s="72"/>
      <c r="QEW166" s="72"/>
      <c r="QEX166" s="72"/>
      <c r="QEY166" s="72"/>
      <c r="QEZ166" s="72"/>
      <c r="QFA166" s="72"/>
      <c r="QFB166" s="72"/>
      <c r="QFC166" s="72"/>
      <c r="QFD166" s="72"/>
      <c r="QFE166" s="72"/>
      <c r="QFF166" s="72"/>
      <c r="QFG166" s="72"/>
      <c r="QFH166" s="72"/>
      <c r="QFI166" s="72"/>
      <c r="QFJ166" s="72"/>
      <c r="QFK166" s="72"/>
      <c r="QFL166" s="72"/>
      <c r="QFM166" s="72"/>
      <c r="QFN166" s="72"/>
      <c r="QFO166" s="72"/>
      <c r="QFP166" s="72"/>
      <c r="QFQ166" s="72"/>
      <c r="QFR166" s="72"/>
      <c r="QFS166" s="72"/>
      <c r="QFT166" s="72"/>
      <c r="QFU166" s="72"/>
      <c r="QFV166" s="72"/>
      <c r="QFW166" s="72"/>
      <c r="QFX166" s="72"/>
      <c r="QFY166" s="72"/>
      <c r="QFZ166" s="72"/>
      <c r="QGA166" s="72"/>
      <c r="QGB166" s="72"/>
      <c r="QGC166" s="72"/>
      <c r="QGD166" s="72"/>
      <c r="QGE166" s="72"/>
      <c r="QGF166" s="72"/>
      <c r="QGG166" s="72"/>
      <c r="QGH166" s="72"/>
      <c r="QGI166" s="72"/>
      <c r="QGJ166" s="72"/>
      <c r="QGK166" s="72"/>
      <c r="QGL166" s="72"/>
      <c r="QGM166" s="72"/>
      <c r="QGN166" s="72"/>
      <c r="QGO166" s="72"/>
      <c r="QGP166" s="72"/>
      <c r="QGQ166" s="72"/>
      <c r="QGR166" s="72"/>
      <c r="QGS166" s="72"/>
      <c r="QGT166" s="72"/>
      <c r="QGU166" s="72"/>
      <c r="QGV166" s="72"/>
      <c r="QGW166" s="72"/>
      <c r="QGX166" s="72"/>
      <c r="QGY166" s="72"/>
      <c r="QGZ166" s="72"/>
      <c r="QHA166" s="72"/>
      <c r="QHB166" s="72"/>
      <c r="QHC166" s="72"/>
      <c r="QHD166" s="72"/>
      <c r="QHE166" s="72"/>
      <c r="QHF166" s="72"/>
      <c r="QHG166" s="72"/>
      <c r="QHH166" s="72"/>
      <c r="QHI166" s="72"/>
      <c r="QHJ166" s="72"/>
      <c r="QHK166" s="72"/>
      <c r="QHL166" s="72"/>
      <c r="QHM166" s="72"/>
      <c r="QHN166" s="72"/>
      <c r="QHO166" s="72"/>
      <c r="QHP166" s="72"/>
      <c r="QHQ166" s="72"/>
      <c r="QHR166" s="72"/>
      <c r="QHS166" s="72"/>
      <c r="QHT166" s="72"/>
      <c r="QHU166" s="72"/>
      <c r="QHV166" s="72"/>
      <c r="QHW166" s="72"/>
      <c r="QHX166" s="72"/>
      <c r="QHY166" s="72"/>
      <c r="QHZ166" s="72"/>
      <c r="QIA166" s="72"/>
      <c r="QIB166" s="72"/>
      <c r="QIC166" s="72"/>
      <c r="QID166" s="72"/>
      <c r="QIE166" s="72"/>
      <c r="QIF166" s="72"/>
      <c r="QIG166" s="72"/>
      <c r="QIH166" s="72"/>
      <c r="QII166" s="72"/>
      <c r="QIJ166" s="72"/>
      <c r="QIK166" s="72"/>
      <c r="QIL166" s="72"/>
      <c r="QIM166" s="72"/>
      <c r="QIN166" s="72"/>
      <c r="QIO166" s="72"/>
      <c r="QIP166" s="72"/>
      <c r="QIQ166" s="72"/>
      <c r="QIR166" s="72"/>
      <c r="QIS166" s="72"/>
      <c r="QIT166" s="72"/>
      <c r="QIU166" s="72"/>
      <c r="QIV166" s="72"/>
      <c r="QIW166" s="72"/>
      <c r="QIX166" s="72"/>
      <c r="QIY166" s="72"/>
      <c r="QIZ166" s="72"/>
      <c r="QJA166" s="72"/>
      <c r="QJB166" s="72"/>
      <c r="QJC166" s="72"/>
      <c r="QJD166" s="72"/>
      <c r="QJE166" s="72"/>
      <c r="QJF166" s="72"/>
      <c r="QJG166" s="72"/>
      <c r="QJH166" s="72"/>
      <c r="QJI166" s="72"/>
      <c r="QJJ166" s="72"/>
      <c r="QJK166" s="72"/>
      <c r="QJL166" s="72"/>
      <c r="QJM166" s="72"/>
      <c r="QJN166" s="72"/>
      <c r="QJO166" s="72"/>
      <c r="QJP166" s="72"/>
      <c r="QJQ166" s="72"/>
      <c r="QJR166" s="72"/>
      <c r="QJS166" s="72"/>
      <c r="QJT166" s="72"/>
      <c r="QJU166" s="72"/>
      <c r="QJV166" s="72"/>
      <c r="QJW166" s="72"/>
      <c r="QJX166" s="72"/>
      <c r="QJY166" s="72"/>
      <c r="QJZ166" s="72"/>
      <c r="QKA166" s="72"/>
      <c r="QKB166" s="72"/>
      <c r="QKC166" s="72"/>
      <c r="QKD166" s="72"/>
      <c r="QKE166" s="72"/>
      <c r="QKF166" s="72"/>
      <c r="QKG166" s="72"/>
      <c r="QKH166" s="72"/>
      <c r="QKI166" s="72"/>
      <c r="QKJ166" s="72"/>
      <c r="QKK166" s="72"/>
      <c r="QKL166" s="72"/>
      <c r="QKM166" s="72"/>
      <c r="QKN166" s="72"/>
      <c r="QKO166" s="72"/>
      <c r="QKP166" s="72"/>
      <c r="QKQ166" s="72"/>
      <c r="QKR166" s="72"/>
      <c r="QKS166" s="72"/>
      <c r="QKT166" s="72"/>
      <c r="QKU166" s="72"/>
      <c r="QKV166" s="72"/>
      <c r="QKW166" s="72"/>
      <c r="QKX166" s="72"/>
      <c r="QKY166" s="72"/>
      <c r="QKZ166" s="72"/>
      <c r="QLA166" s="72"/>
      <c r="QLB166" s="72"/>
      <c r="QLC166" s="72"/>
      <c r="QLD166" s="72"/>
      <c r="QLE166" s="72"/>
      <c r="QLF166" s="72"/>
      <c r="QLG166" s="72"/>
      <c r="QLH166" s="72"/>
      <c r="QLI166" s="72"/>
      <c r="QLJ166" s="72"/>
      <c r="QLK166" s="72"/>
      <c r="QLL166" s="72"/>
      <c r="QLM166" s="72"/>
      <c r="QLN166" s="72"/>
      <c r="QLO166" s="72"/>
      <c r="QLP166" s="72"/>
      <c r="QLQ166" s="72"/>
      <c r="QLR166" s="72"/>
      <c r="QLS166" s="72"/>
      <c r="QLT166" s="72"/>
      <c r="QLU166" s="72"/>
      <c r="QLV166" s="72"/>
      <c r="QLW166" s="72"/>
      <c r="QLX166" s="72"/>
      <c r="QLY166" s="72"/>
      <c r="QLZ166" s="72"/>
      <c r="QMA166" s="72"/>
      <c r="QMB166" s="72"/>
      <c r="QMC166" s="72"/>
      <c r="QMD166" s="72"/>
      <c r="QME166" s="72"/>
      <c r="QMF166" s="72"/>
      <c r="QMG166" s="72"/>
      <c r="QMH166" s="72"/>
      <c r="QMI166" s="72"/>
      <c r="QMJ166" s="72"/>
      <c r="QMK166" s="72"/>
      <c r="QML166" s="72"/>
      <c r="QMM166" s="72"/>
      <c r="QMN166" s="72"/>
      <c r="QMO166" s="72"/>
      <c r="QMP166" s="72"/>
      <c r="QMQ166" s="72"/>
      <c r="QMR166" s="72"/>
      <c r="QMS166" s="72"/>
      <c r="QMT166" s="72"/>
      <c r="QMU166" s="72"/>
      <c r="QMV166" s="72"/>
      <c r="QMW166" s="72"/>
      <c r="QMX166" s="72"/>
      <c r="QMY166" s="72"/>
      <c r="QMZ166" s="72"/>
      <c r="QNA166" s="72"/>
      <c r="QNB166" s="72"/>
      <c r="QNC166" s="72"/>
      <c r="QND166" s="72"/>
      <c r="QNE166" s="72"/>
      <c r="QNF166" s="72"/>
      <c r="QNG166" s="72"/>
      <c r="QNH166" s="72"/>
      <c r="QNI166" s="72"/>
      <c r="QNJ166" s="72"/>
      <c r="QNK166" s="72"/>
      <c r="QNL166" s="72"/>
      <c r="QNM166" s="72"/>
      <c r="QNN166" s="72"/>
      <c r="QNO166" s="72"/>
      <c r="QNP166" s="72"/>
      <c r="QNQ166" s="72"/>
      <c r="QNR166" s="72"/>
      <c r="QNS166" s="72"/>
      <c r="QNT166" s="72"/>
      <c r="QNU166" s="72"/>
      <c r="QNV166" s="72"/>
      <c r="QNW166" s="72"/>
      <c r="QNX166" s="72"/>
      <c r="QNY166" s="72"/>
      <c r="QNZ166" s="72"/>
      <c r="QOA166" s="72"/>
      <c r="QOB166" s="72"/>
      <c r="QOC166" s="72"/>
      <c r="QOD166" s="72"/>
      <c r="QOE166" s="72"/>
      <c r="QOF166" s="72"/>
      <c r="QOG166" s="72"/>
      <c r="QOH166" s="72"/>
      <c r="QOI166" s="72"/>
      <c r="QOJ166" s="72"/>
      <c r="QOK166" s="72"/>
      <c r="QOL166" s="72"/>
      <c r="QOM166" s="72"/>
      <c r="QON166" s="72"/>
      <c r="QOO166" s="72"/>
      <c r="QOP166" s="72"/>
      <c r="QOQ166" s="72"/>
      <c r="QOR166" s="72"/>
      <c r="QOS166" s="72"/>
      <c r="QOT166" s="72"/>
      <c r="QOU166" s="72"/>
      <c r="QOV166" s="72"/>
      <c r="QOW166" s="72"/>
      <c r="QOX166" s="72"/>
      <c r="QOY166" s="72"/>
      <c r="QOZ166" s="72"/>
      <c r="QPA166" s="72"/>
      <c r="QPB166" s="72"/>
      <c r="QPC166" s="72"/>
      <c r="QPD166" s="72"/>
      <c r="QPE166" s="72"/>
      <c r="QPF166" s="72"/>
      <c r="QPG166" s="72"/>
      <c r="QPH166" s="72"/>
      <c r="QPI166" s="72"/>
      <c r="QPJ166" s="72"/>
      <c r="QPK166" s="72"/>
      <c r="QPL166" s="72"/>
      <c r="QPM166" s="72"/>
      <c r="QPN166" s="72"/>
      <c r="QPO166" s="72"/>
      <c r="QPP166" s="72"/>
      <c r="QPQ166" s="72"/>
      <c r="QPR166" s="72"/>
      <c r="QPS166" s="72"/>
      <c r="QPT166" s="72"/>
      <c r="QPU166" s="72"/>
      <c r="QPV166" s="72"/>
      <c r="QPW166" s="72"/>
      <c r="QPX166" s="72"/>
      <c r="QPY166" s="72"/>
      <c r="QPZ166" s="72"/>
      <c r="QQA166" s="72"/>
      <c r="QQB166" s="72"/>
      <c r="QQC166" s="72"/>
      <c r="QQD166" s="72"/>
      <c r="QQE166" s="72"/>
      <c r="QQF166" s="72"/>
      <c r="QQG166" s="72"/>
      <c r="QQH166" s="72"/>
      <c r="QQI166" s="72"/>
      <c r="QQJ166" s="72"/>
      <c r="QQK166" s="72"/>
      <c r="QQL166" s="72"/>
      <c r="QQM166" s="72"/>
      <c r="QQN166" s="72"/>
      <c r="QQO166" s="72"/>
      <c r="QQP166" s="72"/>
      <c r="QQQ166" s="72"/>
      <c r="QQR166" s="72"/>
      <c r="QQS166" s="72"/>
      <c r="QQT166" s="72"/>
      <c r="QQU166" s="72"/>
      <c r="QQV166" s="72"/>
      <c r="QQW166" s="72"/>
      <c r="QQX166" s="72"/>
      <c r="QQY166" s="72"/>
      <c r="QQZ166" s="72"/>
      <c r="QRA166" s="72"/>
      <c r="QRB166" s="72"/>
      <c r="QRC166" s="72"/>
      <c r="QRD166" s="72"/>
      <c r="QRE166" s="72"/>
      <c r="QRF166" s="72"/>
      <c r="QRG166" s="72"/>
      <c r="QRH166" s="72"/>
      <c r="QRI166" s="72"/>
      <c r="QRJ166" s="72"/>
      <c r="QRK166" s="72"/>
      <c r="QRL166" s="72"/>
      <c r="QRM166" s="72"/>
      <c r="QRN166" s="72"/>
      <c r="QRO166" s="72"/>
      <c r="QRP166" s="72"/>
      <c r="QRQ166" s="72"/>
      <c r="QRR166" s="72"/>
      <c r="QRS166" s="72"/>
      <c r="QRT166" s="72"/>
      <c r="QRU166" s="72"/>
      <c r="QRV166" s="72"/>
      <c r="QRW166" s="72"/>
      <c r="QRX166" s="72"/>
      <c r="QRY166" s="72"/>
      <c r="QRZ166" s="72"/>
      <c r="QSA166" s="72"/>
      <c r="QSB166" s="72"/>
      <c r="QSC166" s="72"/>
      <c r="QSD166" s="72"/>
      <c r="QSE166" s="72"/>
      <c r="QSF166" s="72"/>
      <c r="QSG166" s="72"/>
      <c r="QSH166" s="72"/>
      <c r="QSI166" s="72"/>
      <c r="QSJ166" s="72"/>
      <c r="QSK166" s="72"/>
      <c r="QSL166" s="72"/>
      <c r="QSM166" s="72"/>
      <c r="QSN166" s="72"/>
      <c r="QSO166" s="72"/>
      <c r="QSP166" s="72"/>
      <c r="QSQ166" s="72"/>
      <c r="QSR166" s="72"/>
      <c r="QSS166" s="72"/>
      <c r="QST166" s="72"/>
      <c r="QSU166" s="72"/>
      <c r="QSV166" s="72"/>
      <c r="QSW166" s="72"/>
      <c r="QSX166" s="72"/>
      <c r="QSY166" s="72"/>
      <c r="QSZ166" s="72"/>
      <c r="QTA166" s="72"/>
      <c r="QTB166" s="72"/>
      <c r="QTC166" s="72"/>
      <c r="QTD166" s="72"/>
      <c r="QTE166" s="72"/>
      <c r="QTF166" s="72"/>
      <c r="QTG166" s="72"/>
      <c r="QTH166" s="72"/>
      <c r="QTI166" s="72"/>
      <c r="QTJ166" s="72"/>
      <c r="QTK166" s="72"/>
      <c r="QTL166" s="72"/>
      <c r="QTM166" s="72"/>
      <c r="QTN166" s="72"/>
      <c r="QTO166" s="72"/>
      <c r="QTP166" s="72"/>
      <c r="QTQ166" s="72"/>
      <c r="QTR166" s="72"/>
      <c r="QTS166" s="72"/>
      <c r="QTT166" s="72"/>
      <c r="QTU166" s="72"/>
      <c r="QTV166" s="72"/>
      <c r="QTW166" s="72"/>
      <c r="QTX166" s="72"/>
      <c r="QTY166" s="72"/>
      <c r="QTZ166" s="72"/>
      <c r="QUA166" s="72"/>
      <c r="QUB166" s="72"/>
      <c r="QUC166" s="72"/>
      <c r="QUD166" s="72"/>
      <c r="QUE166" s="72"/>
      <c r="QUF166" s="72"/>
      <c r="QUG166" s="72"/>
      <c r="QUH166" s="72"/>
      <c r="QUI166" s="72"/>
      <c r="QUJ166" s="72"/>
      <c r="QUK166" s="72"/>
      <c r="QUL166" s="72"/>
      <c r="QUM166" s="72"/>
      <c r="QUN166" s="72"/>
      <c r="QUO166" s="72"/>
      <c r="QUP166" s="72"/>
      <c r="QUQ166" s="72"/>
      <c r="QUR166" s="72"/>
      <c r="QUS166" s="72"/>
      <c r="QUT166" s="72"/>
      <c r="QUU166" s="72"/>
      <c r="QUV166" s="72"/>
      <c r="QUW166" s="72"/>
      <c r="QUX166" s="72"/>
      <c r="QUY166" s="72"/>
      <c r="QUZ166" s="72"/>
      <c r="QVA166" s="72"/>
      <c r="QVB166" s="72"/>
      <c r="QVC166" s="72"/>
      <c r="QVD166" s="72"/>
      <c r="QVE166" s="72"/>
      <c r="QVF166" s="72"/>
      <c r="QVG166" s="72"/>
      <c r="QVH166" s="72"/>
      <c r="QVI166" s="72"/>
      <c r="QVJ166" s="72"/>
      <c r="QVK166" s="72"/>
      <c r="QVL166" s="72"/>
      <c r="QVM166" s="72"/>
      <c r="QVN166" s="72"/>
      <c r="QVO166" s="72"/>
      <c r="QVP166" s="72"/>
      <c r="QVQ166" s="72"/>
      <c r="QVR166" s="72"/>
      <c r="QVS166" s="72"/>
      <c r="QVT166" s="72"/>
      <c r="QVU166" s="72"/>
      <c r="QVV166" s="72"/>
      <c r="QVW166" s="72"/>
      <c r="QVX166" s="72"/>
      <c r="QVY166" s="72"/>
      <c r="QVZ166" s="72"/>
      <c r="QWA166" s="72"/>
      <c r="QWB166" s="72"/>
      <c r="QWC166" s="72"/>
      <c r="QWD166" s="72"/>
      <c r="QWE166" s="72"/>
      <c r="QWF166" s="72"/>
      <c r="QWG166" s="72"/>
      <c r="QWH166" s="72"/>
      <c r="QWI166" s="72"/>
      <c r="QWJ166" s="72"/>
      <c r="QWK166" s="72"/>
      <c r="QWL166" s="72"/>
      <c r="QWM166" s="72"/>
      <c r="QWN166" s="72"/>
      <c r="QWO166" s="72"/>
      <c r="QWP166" s="72"/>
      <c r="QWQ166" s="72"/>
      <c r="QWR166" s="72"/>
      <c r="QWS166" s="72"/>
      <c r="QWT166" s="72"/>
      <c r="QWU166" s="72"/>
      <c r="QWV166" s="72"/>
      <c r="QWW166" s="72"/>
      <c r="QWX166" s="72"/>
      <c r="QWY166" s="72"/>
      <c r="QWZ166" s="72"/>
      <c r="QXA166" s="72"/>
      <c r="QXB166" s="72"/>
      <c r="QXC166" s="72"/>
      <c r="QXD166" s="72"/>
      <c r="QXE166" s="72"/>
      <c r="QXF166" s="72"/>
      <c r="QXG166" s="72"/>
      <c r="QXH166" s="72"/>
      <c r="QXI166" s="72"/>
      <c r="QXJ166" s="72"/>
      <c r="QXK166" s="72"/>
      <c r="QXL166" s="72"/>
      <c r="QXM166" s="72"/>
      <c r="QXN166" s="72"/>
      <c r="QXO166" s="72"/>
      <c r="QXP166" s="72"/>
      <c r="QXQ166" s="72"/>
      <c r="QXR166" s="72"/>
      <c r="QXS166" s="72"/>
      <c r="QXT166" s="72"/>
      <c r="QXU166" s="72"/>
      <c r="QXV166" s="72"/>
      <c r="QXW166" s="72"/>
      <c r="QXX166" s="72"/>
      <c r="QXY166" s="72"/>
      <c r="QXZ166" s="72"/>
      <c r="QYA166" s="72"/>
      <c r="QYB166" s="72"/>
      <c r="QYC166" s="72"/>
      <c r="QYD166" s="72"/>
      <c r="QYE166" s="72"/>
      <c r="QYF166" s="72"/>
      <c r="QYG166" s="72"/>
      <c r="QYH166" s="72"/>
      <c r="QYI166" s="72"/>
      <c r="QYJ166" s="72"/>
      <c r="QYK166" s="72"/>
      <c r="QYL166" s="72"/>
      <c r="QYM166" s="72"/>
      <c r="QYN166" s="72"/>
      <c r="QYO166" s="72"/>
      <c r="QYP166" s="72"/>
      <c r="QYQ166" s="72"/>
      <c r="QYR166" s="72"/>
      <c r="QYS166" s="72"/>
      <c r="QYT166" s="72"/>
      <c r="QYU166" s="72"/>
      <c r="QYV166" s="72"/>
      <c r="QYW166" s="72"/>
      <c r="QYX166" s="72"/>
      <c r="QYY166" s="72"/>
      <c r="QYZ166" s="72"/>
      <c r="QZA166" s="72"/>
      <c r="QZB166" s="72"/>
      <c r="QZC166" s="72"/>
      <c r="QZD166" s="72"/>
      <c r="QZE166" s="72"/>
      <c r="QZF166" s="72"/>
      <c r="QZG166" s="72"/>
      <c r="QZH166" s="72"/>
      <c r="QZI166" s="72"/>
      <c r="QZJ166" s="72"/>
      <c r="QZK166" s="72"/>
      <c r="QZL166" s="72"/>
      <c r="QZM166" s="72"/>
      <c r="QZN166" s="72"/>
      <c r="QZO166" s="72"/>
      <c r="QZP166" s="72"/>
      <c r="QZQ166" s="72"/>
      <c r="QZR166" s="72"/>
      <c r="QZS166" s="72"/>
      <c r="QZT166" s="72"/>
      <c r="QZU166" s="72"/>
      <c r="QZV166" s="72"/>
      <c r="QZW166" s="72"/>
      <c r="QZX166" s="72"/>
      <c r="QZY166" s="72"/>
      <c r="QZZ166" s="72"/>
      <c r="RAA166" s="72"/>
      <c r="RAB166" s="72"/>
      <c r="RAC166" s="72"/>
      <c r="RAD166" s="72"/>
      <c r="RAE166" s="72"/>
      <c r="RAF166" s="72"/>
      <c r="RAG166" s="72"/>
      <c r="RAH166" s="72"/>
      <c r="RAI166" s="72"/>
      <c r="RAJ166" s="72"/>
      <c r="RAK166" s="72"/>
      <c r="RAL166" s="72"/>
      <c r="RAM166" s="72"/>
      <c r="RAN166" s="72"/>
      <c r="RAO166" s="72"/>
      <c r="RAP166" s="72"/>
      <c r="RAQ166" s="72"/>
      <c r="RAR166" s="72"/>
      <c r="RAS166" s="72"/>
      <c r="RAT166" s="72"/>
      <c r="RAU166" s="72"/>
      <c r="RAV166" s="72"/>
      <c r="RAW166" s="72"/>
      <c r="RAX166" s="72"/>
      <c r="RAY166" s="72"/>
      <c r="RAZ166" s="72"/>
      <c r="RBA166" s="72"/>
      <c r="RBB166" s="72"/>
      <c r="RBC166" s="72"/>
      <c r="RBD166" s="72"/>
      <c r="RBE166" s="72"/>
      <c r="RBF166" s="72"/>
      <c r="RBG166" s="72"/>
      <c r="RBH166" s="72"/>
      <c r="RBI166" s="72"/>
      <c r="RBJ166" s="72"/>
      <c r="RBK166" s="72"/>
      <c r="RBL166" s="72"/>
      <c r="RBM166" s="72"/>
      <c r="RBN166" s="72"/>
      <c r="RBO166" s="72"/>
      <c r="RBP166" s="72"/>
      <c r="RBQ166" s="72"/>
      <c r="RBR166" s="72"/>
      <c r="RBS166" s="72"/>
      <c r="RBT166" s="72"/>
      <c r="RBU166" s="72"/>
      <c r="RBV166" s="72"/>
      <c r="RBW166" s="72"/>
      <c r="RBX166" s="72"/>
      <c r="RBY166" s="72"/>
      <c r="RBZ166" s="72"/>
      <c r="RCA166" s="72"/>
      <c r="RCB166" s="72"/>
      <c r="RCC166" s="72"/>
      <c r="RCD166" s="72"/>
      <c r="RCE166" s="72"/>
      <c r="RCF166" s="72"/>
      <c r="RCG166" s="72"/>
      <c r="RCH166" s="72"/>
      <c r="RCI166" s="72"/>
      <c r="RCJ166" s="72"/>
      <c r="RCK166" s="72"/>
      <c r="RCL166" s="72"/>
      <c r="RCM166" s="72"/>
      <c r="RCN166" s="72"/>
      <c r="RCO166" s="72"/>
      <c r="RCP166" s="72"/>
      <c r="RCQ166" s="72"/>
      <c r="RCR166" s="72"/>
      <c r="RCS166" s="72"/>
      <c r="RCT166" s="72"/>
      <c r="RCU166" s="72"/>
      <c r="RCV166" s="72"/>
      <c r="RCW166" s="72"/>
      <c r="RCX166" s="72"/>
      <c r="RCY166" s="72"/>
      <c r="RCZ166" s="72"/>
      <c r="RDA166" s="72"/>
      <c r="RDB166" s="72"/>
      <c r="RDC166" s="72"/>
      <c r="RDD166" s="72"/>
      <c r="RDE166" s="72"/>
      <c r="RDF166" s="72"/>
      <c r="RDG166" s="72"/>
      <c r="RDH166" s="72"/>
      <c r="RDI166" s="72"/>
      <c r="RDJ166" s="72"/>
      <c r="RDK166" s="72"/>
      <c r="RDL166" s="72"/>
      <c r="RDM166" s="72"/>
      <c r="RDN166" s="72"/>
      <c r="RDO166" s="72"/>
      <c r="RDP166" s="72"/>
      <c r="RDQ166" s="72"/>
      <c r="RDR166" s="72"/>
      <c r="RDS166" s="72"/>
      <c r="RDT166" s="72"/>
      <c r="RDU166" s="72"/>
      <c r="RDV166" s="72"/>
      <c r="RDW166" s="72"/>
      <c r="RDX166" s="72"/>
      <c r="RDY166" s="72"/>
      <c r="RDZ166" s="72"/>
      <c r="REA166" s="72"/>
      <c r="REB166" s="72"/>
      <c r="REC166" s="72"/>
      <c r="RED166" s="72"/>
      <c r="REE166" s="72"/>
      <c r="REF166" s="72"/>
      <c r="REG166" s="72"/>
      <c r="REH166" s="72"/>
      <c r="REI166" s="72"/>
      <c r="REJ166" s="72"/>
      <c r="REK166" s="72"/>
      <c r="REL166" s="72"/>
      <c r="REM166" s="72"/>
      <c r="REN166" s="72"/>
      <c r="REO166" s="72"/>
      <c r="REP166" s="72"/>
      <c r="REQ166" s="72"/>
      <c r="RER166" s="72"/>
      <c r="RES166" s="72"/>
      <c r="RET166" s="72"/>
      <c r="REU166" s="72"/>
      <c r="REV166" s="72"/>
      <c r="REW166" s="72"/>
      <c r="REX166" s="72"/>
      <c r="REY166" s="72"/>
      <c r="REZ166" s="72"/>
      <c r="RFA166" s="72"/>
      <c r="RFB166" s="72"/>
      <c r="RFC166" s="72"/>
      <c r="RFD166" s="72"/>
      <c r="RFE166" s="72"/>
      <c r="RFF166" s="72"/>
      <c r="RFG166" s="72"/>
      <c r="RFH166" s="72"/>
      <c r="RFI166" s="72"/>
      <c r="RFJ166" s="72"/>
      <c r="RFK166" s="72"/>
      <c r="RFL166" s="72"/>
      <c r="RFM166" s="72"/>
      <c r="RFN166" s="72"/>
      <c r="RFO166" s="72"/>
      <c r="RFP166" s="72"/>
      <c r="RFQ166" s="72"/>
      <c r="RFR166" s="72"/>
      <c r="RFS166" s="72"/>
      <c r="RFT166" s="72"/>
      <c r="RFU166" s="72"/>
      <c r="RFV166" s="72"/>
      <c r="RFW166" s="72"/>
      <c r="RFX166" s="72"/>
      <c r="RFY166" s="72"/>
      <c r="RFZ166" s="72"/>
      <c r="RGA166" s="72"/>
      <c r="RGB166" s="72"/>
      <c r="RGC166" s="72"/>
      <c r="RGD166" s="72"/>
      <c r="RGE166" s="72"/>
      <c r="RGF166" s="72"/>
      <c r="RGG166" s="72"/>
      <c r="RGH166" s="72"/>
      <c r="RGI166" s="72"/>
      <c r="RGJ166" s="72"/>
      <c r="RGK166" s="72"/>
      <c r="RGL166" s="72"/>
      <c r="RGM166" s="72"/>
      <c r="RGN166" s="72"/>
      <c r="RGO166" s="72"/>
      <c r="RGP166" s="72"/>
      <c r="RGQ166" s="72"/>
      <c r="RGR166" s="72"/>
      <c r="RGS166" s="72"/>
      <c r="RGT166" s="72"/>
      <c r="RGU166" s="72"/>
      <c r="RGV166" s="72"/>
      <c r="RGW166" s="72"/>
      <c r="RGX166" s="72"/>
      <c r="RGY166" s="72"/>
      <c r="RGZ166" s="72"/>
      <c r="RHA166" s="72"/>
      <c r="RHB166" s="72"/>
      <c r="RHC166" s="72"/>
      <c r="RHD166" s="72"/>
      <c r="RHE166" s="72"/>
      <c r="RHF166" s="72"/>
      <c r="RHG166" s="72"/>
      <c r="RHH166" s="72"/>
      <c r="RHI166" s="72"/>
      <c r="RHJ166" s="72"/>
      <c r="RHK166" s="72"/>
      <c r="RHL166" s="72"/>
      <c r="RHM166" s="72"/>
      <c r="RHN166" s="72"/>
      <c r="RHO166" s="72"/>
      <c r="RHP166" s="72"/>
      <c r="RHQ166" s="72"/>
      <c r="RHR166" s="72"/>
      <c r="RHS166" s="72"/>
      <c r="RHT166" s="72"/>
      <c r="RHU166" s="72"/>
      <c r="RHV166" s="72"/>
      <c r="RHW166" s="72"/>
      <c r="RHX166" s="72"/>
      <c r="RHY166" s="72"/>
      <c r="RHZ166" s="72"/>
      <c r="RIA166" s="72"/>
      <c r="RIB166" s="72"/>
      <c r="RIC166" s="72"/>
      <c r="RID166" s="72"/>
      <c r="RIE166" s="72"/>
      <c r="RIF166" s="72"/>
      <c r="RIG166" s="72"/>
      <c r="RIH166" s="72"/>
      <c r="RII166" s="72"/>
      <c r="RIJ166" s="72"/>
      <c r="RIK166" s="72"/>
      <c r="RIL166" s="72"/>
      <c r="RIM166" s="72"/>
      <c r="RIN166" s="72"/>
      <c r="RIO166" s="72"/>
      <c r="RIP166" s="72"/>
      <c r="RIQ166" s="72"/>
      <c r="RIR166" s="72"/>
      <c r="RIS166" s="72"/>
      <c r="RIT166" s="72"/>
      <c r="RIU166" s="72"/>
      <c r="RIV166" s="72"/>
      <c r="RIW166" s="72"/>
      <c r="RIX166" s="72"/>
      <c r="RIY166" s="72"/>
      <c r="RIZ166" s="72"/>
      <c r="RJA166" s="72"/>
      <c r="RJB166" s="72"/>
      <c r="RJC166" s="72"/>
      <c r="RJD166" s="72"/>
      <c r="RJE166" s="72"/>
      <c r="RJF166" s="72"/>
      <c r="RJG166" s="72"/>
      <c r="RJH166" s="72"/>
      <c r="RJI166" s="72"/>
      <c r="RJJ166" s="72"/>
      <c r="RJK166" s="72"/>
      <c r="RJL166" s="72"/>
      <c r="RJM166" s="72"/>
      <c r="RJN166" s="72"/>
      <c r="RJO166" s="72"/>
      <c r="RJP166" s="72"/>
      <c r="RJQ166" s="72"/>
      <c r="RJR166" s="72"/>
      <c r="RJS166" s="72"/>
      <c r="RJT166" s="72"/>
      <c r="RJU166" s="72"/>
      <c r="RJV166" s="72"/>
      <c r="RJW166" s="72"/>
      <c r="RJX166" s="72"/>
      <c r="RJY166" s="72"/>
      <c r="RJZ166" s="72"/>
      <c r="RKA166" s="72"/>
      <c r="RKB166" s="72"/>
      <c r="RKC166" s="72"/>
      <c r="RKD166" s="72"/>
      <c r="RKE166" s="72"/>
      <c r="RKF166" s="72"/>
      <c r="RKG166" s="72"/>
      <c r="RKH166" s="72"/>
      <c r="RKI166" s="72"/>
      <c r="RKJ166" s="72"/>
      <c r="RKK166" s="72"/>
      <c r="RKL166" s="72"/>
      <c r="RKM166" s="72"/>
      <c r="RKN166" s="72"/>
      <c r="RKO166" s="72"/>
      <c r="RKP166" s="72"/>
      <c r="RKQ166" s="72"/>
      <c r="RKR166" s="72"/>
      <c r="RKS166" s="72"/>
      <c r="RKT166" s="72"/>
      <c r="RKU166" s="72"/>
      <c r="RKV166" s="72"/>
      <c r="RKW166" s="72"/>
      <c r="RKX166" s="72"/>
      <c r="RKY166" s="72"/>
      <c r="RKZ166" s="72"/>
      <c r="RLA166" s="72"/>
      <c r="RLB166" s="72"/>
      <c r="RLC166" s="72"/>
      <c r="RLD166" s="72"/>
      <c r="RLE166" s="72"/>
      <c r="RLF166" s="72"/>
      <c r="RLG166" s="72"/>
      <c r="RLH166" s="72"/>
      <c r="RLI166" s="72"/>
      <c r="RLJ166" s="72"/>
      <c r="RLK166" s="72"/>
      <c r="RLL166" s="72"/>
      <c r="RLM166" s="72"/>
      <c r="RLN166" s="72"/>
      <c r="RLO166" s="72"/>
      <c r="RLP166" s="72"/>
      <c r="RLQ166" s="72"/>
      <c r="RLR166" s="72"/>
      <c r="RLS166" s="72"/>
      <c r="RLT166" s="72"/>
      <c r="RLU166" s="72"/>
      <c r="RLV166" s="72"/>
      <c r="RLW166" s="72"/>
      <c r="RLX166" s="72"/>
      <c r="RLY166" s="72"/>
      <c r="RLZ166" s="72"/>
      <c r="RMA166" s="72"/>
      <c r="RMB166" s="72"/>
      <c r="RMC166" s="72"/>
      <c r="RMD166" s="72"/>
      <c r="RME166" s="72"/>
      <c r="RMF166" s="72"/>
      <c r="RMG166" s="72"/>
      <c r="RMH166" s="72"/>
      <c r="RMI166" s="72"/>
      <c r="RMJ166" s="72"/>
      <c r="RMK166" s="72"/>
      <c r="RML166" s="72"/>
      <c r="RMM166" s="72"/>
      <c r="RMN166" s="72"/>
      <c r="RMO166" s="72"/>
      <c r="RMP166" s="72"/>
      <c r="RMQ166" s="72"/>
      <c r="RMR166" s="72"/>
      <c r="RMS166" s="72"/>
      <c r="RMT166" s="72"/>
      <c r="RMU166" s="72"/>
      <c r="RMV166" s="72"/>
      <c r="RMW166" s="72"/>
      <c r="RMX166" s="72"/>
      <c r="RMY166" s="72"/>
      <c r="RMZ166" s="72"/>
      <c r="RNA166" s="72"/>
      <c r="RNB166" s="72"/>
      <c r="RNC166" s="72"/>
      <c r="RND166" s="72"/>
      <c r="RNE166" s="72"/>
      <c r="RNF166" s="72"/>
      <c r="RNG166" s="72"/>
      <c r="RNH166" s="72"/>
      <c r="RNI166" s="72"/>
      <c r="RNJ166" s="72"/>
      <c r="RNK166" s="72"/>
      <c r="RNL166" s="72"/>
      <c r="RNM166" s="72"/>
      <c r="RNN166" s="72"/>
      <c r="RNO166" s="72"/>
      <c r="RNP166" s="72"/>
      <c r="RNQ166" s="72"/>
      <c r="RNR166" s="72"/>
      <c r="RNS166" s="72"/>
      <c r="RNT166" s="72"/>
      <c r="RNU166" s="72"/>
      <c r="RNV166" s="72"/>
      <c r="RNW166" s="72"/>
      <c r="RNX166" s="72"/>
      <c r="RNY166" s="72"/>
      <c r="RNZ166" s="72"/>
      <c r="ROA166" s="72"/>
      <c r="ROB166" s="72"/>
      <c r="ROC166" s="72"/>
      <c r="ROD166" s="72"/>
      <c r="ROE166" s="72"/>
      <c r="ROF166" s="72"/>
      <c r="ROG166" s="72"/>
      <c r="ROH166" s="72"/>
      <c r="ROI166" s="72"/>
      <c r="ROJ166" s="72"/>
      <c r="ROK166" s="72"/>
      <c r="ROL166" s="72"/>
      <c r="ROM166" s="72"/>
      <c r="RON166" s="72"/>
      <c r="ROO166" s="72"/>
      <c r="ROP166" s="72"/>
      <c r="ROQ166" s="72"/>
      <c r="ROR166" s="72"/>
      <c r="ROS166" s="72"/>
      <c r="ROT166" s="72"/>
      <c r="ROU166" s="72"/>
      <c r="ROV166" s="72"/>
      <c r="ROW166" s="72"/>
      <c r="ROX166" s="72"/>
      <c r="ROY166" s="72"/>
      <c r="ROZ166" s="72"/>
      <c r="RPA166" s="72"/>
      <c r="RPB166" s="72"/>
      <c r="RPC166" s="72"/>
      <c r="RPD166" s="72"/>
      <c r="RPE166" s="72"/>
      <c r="RPF166" s="72"/>
      <c r="RPG166" s="72"/>
      <c r="RPH166" s="72"/>
      <c r="RPI166" s="72"/>
      <c r="RPJ166" s="72"/>
      <c r="RPK166" s="72"/>
      <c r="RPL166" s="72"/>
      <c r="RPM166" s="72"/>
      <c r="RPN166" s="72"/>
      <c r="RPO166" s="72"/>
      <c r="RPP166" s="72"/>
      <c r="RPQ166" s="72"/>
      <c r="RPR166" s="72"/>
      <c r="RPS166" s="72"/>
      <c r="RPT166" s="72"/>
      <c r="RPU166" s="72"/>
      <c r="RPV166" s="72"/>
      <c r="RPW166" s="72"/>
      <c r="RPX166" s="72"/>
      <c r="RPY166" s="72"/>
      <c r="RPZ166" s="72"/>
      <c r="RQA166" s="72"/>
      <c r="RQB166" s="72"/>
      <c r="RQC166" s="72"/>
      <c r="RQD166" s="72"/>
      <c r="RQE166" s="72"/>
      <c r="RQF166" s="72"/>
      <c r="RQG166" s="72"/>
      <c r="RQH166" s="72"/>
      <c r="RQI166" s="72"/>
      <c r="RQJ166" s="72"/>
      <c r="RQK166" s="72"/>
      <c r="RQL166" s="72"/>
      <c r="RQM166" s="72"/>
      <c r="RQN166" s="72"/>
      <c r="RQO166" s="72"/>
      <c r="RQP166" s="72"/>
      <c r="RQQ166" s="72"/>
      <c r="RQR166" s="72"/>
      <c r="RQS166" s="72"/>
      <c r="RQT166" s="72"/>
      <c r="RQU166" s="72"/>
      <c r="RQV166" s="72"/>
      <c r="RQW166" s="72"/>
      <c r="RQX166" s="72"/>
      <c r="RQY166" s="72"/>
      <c r="RQZ166" s="72"/>
      <c r="RRA166" s="72"/>
      <c r="RRB166" s="72"/>
      <c r="RRC166" s="72"/>
      <c r="RRD166" s="72"/>
      <c r="RRE166" s="72"/>
      <c r="RRF166" s="72"/>
      <c r="RRG166" s="72"/>
      <c r="RRH166" s="72"/>
      <c r="RRI166" s="72"/>
      <c r="RRJ166" s="72"/>
      <c r="RRK166" s="72"/>
      <c r="RRL166" s="72"/>
      <c r="RRM166" s="72"/>
      <c r="RRN166" s="72"/>
      <c r="RRO166" s="72"/>
      <c r="RRP166" s="72"/>
      <c r="RRQ166" s="72"/>
      <c r="RRR166" s="72"/>
      <c r="RRS166" s="72"/>
      <c r="RRT166" s="72"/>
      <c r="RRU166" s="72"/>
      <c r="RRV166" s="72"/>
      <c r="RRW166" s="72"/>
      <c r="RRX166" s="72"/>
      <c r="RRY166" s="72"/>
      <c r="RRZ166" s="72"/>
      <c r="RSA166" s="72"/>
      <c r="RSB166" s="72"/>
      <c r="RSC166" s="72"/>
      <c r="RSD166" s="72"/>
      <c r="RSE166" s="72"/>
      <c r="RSF166" s="72"/>
      <c r="RSG166" s="72"/>
      <c r="RSH166" s="72"/>
      <c r="RSI166" s="72"/>
      <c r="RSJ166" s="72"/>
      <c r="RSK166" s="72"/>
      <c r="RSL166" s="72"/>
      <c r="RSM166" s="72"/>
      <c r="RSN166" s="72"/>
      <c r="RSO166" s="72"/>
      <c r="RSP166" s="72"/>
      <c r="RSQ166" s="72"/>
      <c r="RSR166" s="72"/>
      <c r="RSS166" s="72"/>
      <c r="RST166" s="72"/>
      <c r="RSU166" s="72"/>
      <c r="RSV166" s="72"/>
      <c r="RSW166" s="72"/>
      <c r="RSX166" s="72"/>
      <c r="RSY166" s="72"/>
      <c r="RSZ166" s="72"/>
      <c r="RTA166" s="72"/>
      <c r="RTB166" s="72"/>
      <c r="RTC166" s="72"/>
      <c r="RTD166" s="72"/>
      <c r="RTE166" s="72"/>
      <c r="RTF166" s="72"/>
      <c r="RTG166" s="72"/>
      <c r="RTH166" s="72"/>
      <c r="RTI166" s="72"/>
      <c r="RTJ166" s="72"/>
      <c r="RTK166" s="72"/>
      <c r="RTL166" s="72"/>
      <c r="RTM166" s="72"/>
      <c r="RTN166" s="72"/>
      <c r="RTO166" s="72"/>
      <c r="RTP166" s="72"/>
      <c r="RTQ166" s="72"/>
      <c r="RTR166" s="72"/>
      <c r="RTS166" s="72"/>
      <c r="RTT166" s="72"/>
      <c r="RTU166" s="72"/>
      <c r="RTV166" s="72"/>
      <c r="RTW166" s="72"/>
      <c r="RTX166" s="72"/>
      <c r="RTY166" s="72"/>
      <c r="RTZ166" s="72"/>
      <c r="RUA166" s="72"/>
      <c r="RUB166" s="72"/>
      <c r="RUC166" s="72"/>
      <c r="RUD166" s="72"/>
      <c r="RUE166" s="72"/>
      <c r="RUF166" s="72"/>
      <c r="RUG166" s="72"/>
      <c r="RUH166" s="72"/>
      <c r="RUI166" s="72"/>
      <c r="RUJ166" s="72"/>
      <c r="RUK166" s="72"/>
      <c r="RUL166" s="72"/>
      <c r="RUM166" s="72"/>
      <c r="RUN166" s="72"/>
      <c r="RUO166" s="72"/>
      <c r="RUP166" s="72"/>
      <c r="RUQ166" s="72"/>
      <c r="RUR166" s="72"/>
      <c r="RUS166" s="72"/>
      <c r="RUT166" s="72"/>
      <c r="RUU166" s="72"/>
      <c r="RUV166" s="72"/>
      <c r="RUW166" s="72"/>
      <c r="RUX166" s="72"/>
      <c r="RUY166" s="72"/>
      <c r="RUZ166" s="72"/>
      <c r="RVA166" s="72"/>
      <c r="RVB166" s="72"/>
      <c r="RVC166" s="72"/>
      <c r="RVD166" s="72"/>
      <c r="RVE166" s="72"/>
      <c r="RVF166" s="72"/>
      <c r="RVG166" s="72"/>
      <c r="RVH166" s="72"/>
      <c r="RVI166" s="72"/>
      <c r="RVJ166" s="72"/>
      <c r="RVK166" s="72"/>
      <c r="RVL166" s="72"/>
      <c r="RVM166" s="72"/>
      <c r="RVN166" s="72"/>
      <c r="RVO166" s="72"/>
      <c r="RVP166" s="72"/>
      <c r="RVQ166" s="72"/>
      <c r="RVR166" s="72"/>
      <c r="RVS166" s="72"/>
      <c r="RVT166" s="72"/>
      <c r="RVU166" s="72"/>
      <c r="RVV166" s="72"/>
      <c r="RVW166" s="72"/>
      <c r="RVX166" s="72"/>
      <c r="RVY166" s="72"/>
      <c r="RVZ166" s="72"/>
      <c r="RWA166" s="72"/>
      <c r="RWB166" s="72"/>
      <c r="RWC166" s="72"/>
      <c r="RWD166" s="72"/>
      <c r="RWE166" s="72"/>
      <c r="RWF166" s="72"/>
      <c r="RWG166" s="72"/>
      <c r="RWH166" s="72"/>
      <c r="RWI166" s="72"/>
      <c r="RWJ166" s="72"/>
      <c r="RWK166" s="72"/>
      <c r="RWL166" s="72"/>
      <c r="RWM166" s="72"/>
      <c r="RWN166" s="72"/>
      <c r="RWO166" s="72"/>
      <c r="RWP166" s="72"/>
      <c r="RWQ166" s="72"/>
      <c r="RWR166" s="72"/>
      <c r="RWS166" s="72"/>
      <c r="RWT166" s="72"/>
      <c r="RWU166" s="72"/>
      <c r="RWV166" s="72"/>
      <c r="RWW166" s="72"/>
      <c r="RWX166" s="72"/>
      <c r="RWY166" s="72"/>
      <c r="RWZ166" s="72"/>
      <c r="RXA166" s="72"/>
      <c r="RXB166" s="72"/>
      <c r="RXC166" s="72"/>
      <c r="RXD166" s="72"/>
      <c r="RXE166" s="72"/>
      <c r="RXF166" s="72"/>
      <c r="RXG166" s="72"/>
      <c r="RXH166" s="72"/>
      <c r="RXI166" s="72"/>
      <c r="RXJ166" s="72"/>
      <c r="RXK166" s="72"/>
      <c r="RXL166" s="72"/>
      <c r="RXM166" s="72"/>
      <c r="RXN166" s="72"/>
      <c r="RXO166" s="72"/>
      <c r="RXP166" s="72"/>
      <c r="RXQ166" s="72"/>
      <c r="RXR166" s="72"/>
      <c r="RXS166" s="72"/>
      <c r="RXT166" s="72"/>
      <c r="RXU166" s="72"/>
      <c r="RXV166" s="72"/>
      <c r="RXW166" s="72"/>
      <c r="RXX166" s="72"/>
      <c r="RXY166" s="72"/>
      <c r="RXZ166" s="72"/>
      <c r="RYA166" s="72"/>
      <c r="RYB166" s="72"/>
      <c r="RYC166" s="72"/>
      <c r="RYD166" s="72"/>
      <c r="RYE166" s="72"/>
      <c r="RYF166" s="72"/>
      <c r="RYG166" s="72"/>
      <c r="RYH166" s="72"/>
      <c r="RYI166" s="72"/>
      <c r="RYJ166" s="72"/>
      <c r="RYK166" s="72"/>
      <c r="RYL166" s="72"/>
      <c r="RYM166" s="72"/>
      <c r="RYN166" s="72"/>
      <c r="RYO166" s="72"/>
      <c r="RYP166" s="72"/>
      <c r="RYQ166" s="72"/>
      <c r="RYR166" s="72"/>
      <c r="RYS166" s="72"/>
      <c r="RYT166" s="72"/>
      <c r="RYU166" s="72"/>
      <c r="RYV166" s="72"/>
      <c r="RYW166" s="72"/>
      <c r="RYX166" s="72"/>
      <c r="RYY166" s="72"/>
      <c r="RYZ166" s="72"/>
      <c r="RZA166" s="72"/>
      <c r="RZB166" s="72"/>
      <c r="RZC166" s="72"/>
      <c r="RZD166" s="72"/>
      <c r="RZE166" s="72"/>
      <c r="RZF166" s="72"/>
      <c r="RZG166" s="72"/>
      <c r="RZH166" s="72"/>
      <c r="RZI166" s="72"/>
      <c r="RZJ166" s="72"/>
      <c r="RZK166" s="72"/>
      <c r="RZL166" s="72"/>
      <c r="RZM166" s="72"/>
      <c r="RZN166" s="72"/>
      <c r="RZO166" s="72"/>
      <c r="RZP166" s="72"/>
      <c r="RZQ166" s="72"/>
      <c r="RZR166" s="72"/>
      <c r="RZS166" s="72"/>
      <c r="RZT166" s="72"/>
      <c r="RZU166" s="72"/>
      <c r="RZV166" s="72"/>
      <c r="RZW166" s="72"/>
      <c r="RZX166" s="72"/>
      <c r="RZY166" s="72"/>
      <c r="RZZ166" s="72"/>
      <c r="SAA166" s="72"/>
      <c r="SAB166" s="72"/>
      <c r="SAC166" s="72"/>
      <c r="SAD166" s="72"/>
      <c r="SAE166" s="72"/>
      <c r="SAF166" s="72"/>
      <c r="SAG166" s="72"/>
      <c r="SAH166" s="72"/>
      <c r="SAI166" s="72"/>
      <c r="SAJ166" s="72"/>
      <c r="SAK166" s="72"/>
      <c r="SAL166" s="72"/>
      <c r="SAM166" s="72"/>
      <c r="SAN166" s="72"/>
      <c r="SAO166" s="72"/>
      <c r="SAP166" s="72"/>
      <c r="SAQ166" s="72"/>
      <c r="SAR166" s="72"/>
      <c r="SAS166" s="72"/>
      <c r="SAT166" s="72"/>
      <c r="SAU166" s="72"/>
      <c r="SAV166" s="72"/>
      <c r="SAW166" s="72"/>
      <c r="SAX166" s="72"/>
      <c r="SAY166" s="72"/>
      <c r="SAZ166" s="72"/>
      <c r="SBA166" s="72"/>
      <c r="SBB166" s="72"/>
      <c r="SBC166" s="72"/>
      <c r="SBD166" s="72"/>
      <c r="SBE166" s="72"/>
      <c r="SBF166" s="72"/>
      <c r="SBG166" s="72"/>
      <c r="SBH166" s="72"/>
      <c r="SBI166" s="72"/>
      <c r="SBJ166" s="72"/>
      <c r="SBK166" s="72"/>
      <c r="SBL166" s="72"/>
      <c r="SBM166" s="72"/>
      <c r="SBN166" s="72"/>
      <c r="SBO166" s="72"/>
      <c r="SBP166" s="72"/>
      <c r="SBQ166" s="72"/>
      <c r="SBR166" s="72"/>
      <c r="SBS166" s="72"/>
      <c r="SBT166" s="72"/>
      <c r="SBU166" s="72"/>
      <c r="SBV166" s="72"/>
      <c r="SBW166" s="72"/>
      <c r="SBX166" s="72"/>
      <c r="SBY166" s="72"/>
      <c r="SBZ166" s="72"/>
      <c r="SCA166" s="72"/>
      <c r="SCB166" s="72"/>
      <c r="SCC166" s="72"/>
      <c r="SCD166" s="72"/>
      <c r="SCE166" s="72"/>
      <c r="SCF166" s="72"/>
      <c r="SCG166" s="72"/>
      <c r="SCH166" s="72"/>
      <c r="SCI166" s="72"/>
      <c r="SCJ166" s="72"/>
      <c r="SCK166" s="72"/>
      <c r="SCL166" s="72"/>
      <c r="SCM166" s="72"/>
      <c r="SCN166" s="72"/>
      <c r="SCO166" s="72"/>
      <c r="SCP166" s="72"/>
      <c r="SCQ166" s="72"/>
      <c r="SCR166" s="72"/>
      <c r="SCS166" s="72"/>
      <c r="SCT166" s="72"/>
      <c r="SCU166" s="72"/>
      <c r="SCV166" s="72"/>
      <c r="SCW166" s="72"/>
      <c r="SCX166" s="72"/>
      <c r="SCY166" s="72"/>
      <c r="SCZ166" s="72"/>
      <c r="SDA166" s="72"/>
      <c r="SDB166" s="72"/>
      <c r="SDC166" s="72"/>
      <c r="SDD166" s="72"/>
      <c r="SDE166" s="72"/>
      <c r="SDF166" s="72"/>
      <c r="SDG166" s="72"/>
      <c r="SDH166" s="72"/>
      <c r="SDI166" s="72"/>
      <c r="SDJ166" s="72"/>
      <c r="SDK166" s="72"/>
      <c r="SDL166" s="72"/>
      <c r="SDM166" s="72"/>
      <c r="SDN166" s="72"/>
      <c r="SDO166" s="72"/>
      <c r="SDP166" s="72"/>
      <c r="SDQ166" s="72"/>
      <c r="SDR166" s="72"/>
      <c r="SDS166" s="72"/>
      <c r="SDT166" s="72"/>
      <c r="SDU166" s="72"/>
      <c r="SDV166" s="72"/>
      <c r="SDW166" s="72"/>
      <c r="SDX166" s="72"/>
      <c r="SDY166" s="72"/>
      <c r="SDZ166" s="72"/>
      <c r="SEA166" s="72"/>
      <c r="SEB166" s="72"/>
      <c r="SEC166" s="72"/>
      <c r="SED166" s="72"/>
      <c r="SEE166" s="72"/>
      <c r="SEF166" s="72"/>
      <c r="SEG166" s="72"/>
      <c r="SEH166" s="72"/>
      <c r="SEI166" s="72"/>
      <c r="SEJ166" s="72"/>
      <c r="SEK166" s="72"/>
      <c r="SEL166" s="72"/>
      <c r="SEM166" s="72"/>
      <c r="SEN166" s="72"/>
      <c r="SEO166" s="72"/>
      <c r="SEP166" s="72"/>
      <c r="SEQ166" s="72"/>
      <c r="SER166" s="72"/>
      <c r="SES166" s="72"/>
      <c r="SET166" s="72"/>
      <c r="SEU166" s="72"/>
      <c r="SEV166" s="72"/>
      <c r="SEW166" s="72"/>
      <c r="SEX166" s="72"/>
      <c r="SEY166" s="72"/>
      <c r="SEZ166" s="72"/>
      <c r="SFA166" s="72"/>
      <c r="SFB166" s="72"/>
      <c r="SFC166" s="72"/>
      <c r="SFD166" s="72"/>
      <c r="SFE166" s="72"/>
      <c r="SFF166" s="72"/>
      <c r="SFG166" s="72"/>
      <c r="SFH166" s="72"/>
      <c r="SFI166" s="72"/>
      <c r="SFJ166" s="72"/>
      <c r="SFK166" s="72"/>
      <c r="SFL166" s="72"/>
      <c r="SFM166" s="72"/>
      <c r="SFN166" s="72"/>
      <c r="SFO166" s="72"/>
      <c r="SFP166" s="72"/>
      <c r="SFQ166" s="72"/>
      <c r="SFR166" s="72"/>
      <c r="SFS166" s="72"/>
      <c r="SFT166" s="72"/>
      <c r="SFU166" s="72"/>
      <c r="SFV166" s="72"/>
      <c r="SFW166" s="72"/>
      <c r="SFX166" s="72"/>
      <c r="SFY166" s="72"/>
      <c r="SFZ166" s="72"/>
      <c r="SGA166" s="72"/>
      <c r="SGB166" s="72"/>
      <c r="SGC166" s="72"/>
      <c r="SGD166" s="72"/>
      <c r="SGE166" s="72"/>
      <c r="SGF166" s="72"/>
      <c r="SGG166" s="72"/>
      <c r="SGH166" s="72"/>
      <c r="SGI166" s="72"/>
      <c r="SGJ166" s="72"/>
      <c r="SGK166" s="72"/>
      <c r="SGL166" s="72"/>
      <c r="SGM166" s="72"/>
      <c r="SGN166" s="72"/>
      <c r="SGO166" s="72"/>
      <c r="SGP166" s="72"/>
      <c r="SGQ166" s="72"/>
      <c r="SGR166" s="72"/>
      <c r="SGS166" s="72"/>
      <c r="SGT166" s="72"/>
      <c r="SGU166" s="72"/>
      <c r="SGV166" s="72"/>
      <c r="SGW166" s="72"/>
      <c r="SGX166" s="72"/>
      <c r="SGY166" s="72"/>
      <c r="SGZ166" s="72"/>
      <c r="SHA166" s="72"/>
      <c r="SHB166" s="72"/>
      <c r="SHC166" s="72"/>
      <c r="SHD166" s="72"/>
      <c r="SHE166" s="72"/>
      <c r="SHF166" s="72"/>
      <c r="SHG166" s="72"/>
      <c r="SHH166" s="72"/>
      <c r="SHI166" s="72"/>
      <c r="SHJ166" s="72"/>
      <c r="SHK166" s="72"/>
      <c r="SHL166" s="72"/>
      <c r="SHM166" s="72"/>
      <c r="SHN166" s="72"/>
      <c r="SHO166" s="72"/>
      <c r="SHP166" s="72"/>
      <c r="SHQ166" s="72"/>
      <c r="SHR166" s="72"/>
      <c r="SHS166" s="72"/>
      <c r="SHT166" s="72"/>
      <c r="SHU166" s="72"/>
      <c r="SHV166" s="72"/>
      <c r="SHW166" s="72"/>
      <c r="SHX166" s="72"/>
      <c r="SHY166" s="72"/>
      <c r="SHZ166" s="72"/>
      <c r="SIA166" s="72"/>
      <c r="SIB166" s="72"/>
      <c r="SIC166" s="72"/>
      <c r="SID166" s="72"/>
      <c r="SIE166" s="72"/>
      <c r="SIF166" s="72"/>
      <c r="SIG166" s="72"/>
      <c r="SIH166" s="72"/>
      <c r="SII166" s="72"/>
      <c r="SIJ166" s="72"/>
      <c r="SIK166" s="72"/>
      <c r="SIL166" s="72"/>
      <c r="SIM166" s="72"/>
      <c r="SIN166" s="72"/>
      <c r="SIO166" s="72"/>
      <c r="SIP166" s="72"/>
      <c r="SIQ166" s="72"/>
      <c r="SIR166" s="72"/>
      <c r="SIS166" s="72"/>
      <c r="SIT166" s="72"/>
      <c r="SIU166" s="72"/>
      <c r="SIV166" s="72"/>
      <c r="SIW166" s="72"/>
      <c r="SIX166" s="72"/>
      <c r="SIY166" s="72"/>
      <c r="SIZ166" s="72"/>
      <c r="SJA166" s="72"/>
      <c r="SJB166" s="72"/>
      <c r="SJC166" s="72"/>
      <c r="SJD166" s="72"/>
      <c r="SJE166" s="72"/>
      <c r="SJF166" s="72"/>
      <c r="SJG166" s="72"/>
      <c r="SJH166" s="72"/>
      <c r="SJI166" s="72"/>
      <c r="SJJ166" s="72"/>
      <c r="SJK166" s="72"/>
      <c r="SJL166" s="72"/>
      <c r="SJM166" s="72"/>
      <c r="SJN166" s="72"/>
      <c r="SJO166" s="72"/>
      <c r="SJP166" s="72"/>
      <c r="SJQ166" s="72"/>
      <c r="SJR166" s="72"/>
      <c r="SJS166" s="72"/>
      <c r="SJT166" s="72"/>
      <c r="SJU166" s="72"/>
      <c r="SJV166" s="72"/>
      <c r="SJW166" s="72"/>
      <c r="SJX166" s="72"/>
      <c r="SJY166" s="72"/>
      <c r="SJZ166" s="72"/>
      <c r="SKA166" s="72"/>
      <c r="SKB166" s="72"/>
      <c r="SKC166" s="72"/>
      <c r="SKD166" s="72"/>
      <c r="SKE166" s="72"/>
      <c r="SKF166" s="72"/>
      <c r="SKG166" s="72"/>
      <c r="SKH166" s="72"/>
      <c r="SKI166" s="72"/>
      <c r="SKJ166" s="72"/>
      <c r="SKK166" s="72"/>
      <c r="SKL166" s="72"/>
      <c r="SKM166" s="72"/>
      <c r="SKN166" s="72"/>
      <c r="SKO166" s="72"/>
      <c r="SKP166" s="72"/>
      <c r="SKQ166" s="72"/>
      <c r="SKR166" s="72"/>
      <c r="SKS166" s="72"/>
      <c r="SKT166" s="72"/>
      <c r="SKU166" s="72"/>
      <c r="SKV166" s="72"/>
      <c r="SKW166" s="72"/>
      <c r="SKX166" s="72"/>
      <c r="SKY166" s="72"/>
      <c r="SKZ166" s="72"/>
      <c r="SLA166" s="72"/>
      <c r="SLB166" s="72"/>
      <c r="SLC166" s="72"/>
      <c r="SLD166" s="72"/>
      <c r="SLE166" s="72"/>
      <c r="SLF166" s="72"/>
      <c r="SLG166" s="72"/>
      <c r="SLH166" s="72"/>
      <c r="SLI166" s="72"/>
      <c r="SLJ166" s="72"/>
      <c r="SLK166" s="72"/>
      <c r="SLL166" s="72"/>
      <c r="SLM166" s="72"/>
      <c r="SLN166" s="72"/>
      <c r="SLO166" s="72"/>
      <c r="SLP166" s="72"/>
      <c r="SLQ166" s="72"/>
      <c r="SLR166" s="72"/>
      <c r="SLS166" s="72"/>
      <c r="SLT166" s="72"/>
      <c r="SLU166" s="72"/>
      <c r="SLV166" s="72"/>
      <c r="SLW166" s="72"/>
      <c r="SLX166" s="72"/>
      <c r="SLY166" s="72"/>
      <c r="SLZ166" s="72"/>
      <c r="SMA166" s="72"/>
      <c r="SMB166" s="72"/>
      <c r="SMC166" s="72"/>
      <c r="SMD166" s="72"/>
      <c r="SME166" s="72"/>
      <c r="SMF166" s="72"/>
      <c r="SMG166" s="72"/>
      <c r="SMH166" s="72"/>
      <c r="SMI166" s="72"/>
      <c r="SMJ166" s="72"/>
      <c r="SMK166" s="72"/>
      <c r="SML166" s="72"/>
      <c r="SMM166" s="72"/>
      <c r="SMN166" s="72"/>
      <c r="SMO166" s="72"/>
      <c r="SMP166" s="72"/>
      <c r="SMQ166" s="72"/>
      <c r="SMR166" s="72"/>
      <c r="SMS166" s="72"/>
      <c r="SMT166" s="72"/>
      <c r="SMU166" s="72"/>
      <c r="SMV166" s="72"/>
      <c r="SMW166" s="72"/>
      <c r="SMX166" s="72"/>
      <c r="SMY166" s="72"/>
      <c r="SMZ166" s="72"/>
      <c r="SNA166" s="72"/>
      <c r="SNB166" s="72"/>
      <c r="SNC166" s="72"/>
      <c r="SND166" s="72"/>
      <c r="SNE166" s="72"/>
      <c r="SNF166" s="72"/>
      <c r="SNG166" s="72"/>
      <c r="SNH166" s="72"/>
      <c r="SNI166" s="72"/>
      <c r="SNJ166" s="72"/>
      <c r="SNK166" s="72"/>
      <c r="SNL166" s="72"/>
      <c r="SNM166" s="72"/>
      <c r="SNN166" s="72"/>
      <c r="SNO166" s="72"/>
      <c r="SNP166" s="72"/>
      <c r="SNQ166" s="72"/>
      <c r="SNR166" s="72"/>
      <c r="SNS166" s="72"/>
      <c r="SNT166" s="72"/>
      <c r="SNU166" s="72"/>
      <c r="SNV166" s="72"/>
      <c r="SNW166" s="72"/>
      <c r="SNX166" s="72"/>
      <c r="SNY166" s="72"/>
      <c r="SNZ166" s="72"/>
      <c r="SOA166" s="72"/>
      <c r="SOB166" s="72"/>
      <c r="SOC166" s="72"/>
      <c r="SOD166" s="72"/>
      <c r="SOE166" s="72"/>
      <c r="SOF166" s="72"/>
      <c r="SOG166" s="72"/>
      <c r="SOH166" s="72"/>
      <c r="SOI166" s="72"/>
      <c r="SOJ166" s="72"/>
      <c r="SOK166" s="72"/>
      <c r="SOL166" s="72"/>
      <c r="SOM166" s="72"/>
      <c r="SON166" s="72"/>
      <c r="SOO166" s="72"/>
      <c r="SOP166" s="72"/>
      <c r="SOQ166" s="72"/>
      <c r="SOR166" s="72"/>
      <c r="SOS166" s="72"/>
      <c r="SOT166" s="72"/>
      <c r="SOU166" s="72"/>
      <c r="SOV166" s="72"/>
      <c r="SOW166" s="72"/>
      <c r="SOX166" s="72"/>
      <c r="SOY166" s="72"/>
      <c r="SOZ166" s="72"/>
      <c r="SPA166" s="72"/>
      <c r="SPB166" s="72"/>
      <c r="SPC166" s="72"/>
      <c r="SPD166" s="72"/>
      <c r="SPE166" s="72"/>
      <c r="SPF166" s="72"/>
      <c r="SPG166" s="72"/>
      <c r="SPH166" s="72"/>
      <c r="SPI166" s="72"/>
      <c r="SPJ166" s="72"/>
      <c r="SPK166" s="72"/>
      <c r="SPL166" s="72"/>
      <c r="SPM166" s="72"/>
      <c r="SPN166" s="72"/>
      <c r="SPO166" s="72"/>
      <c r="SPP166" s="72"/>
      <c r="SPQ166" s="72"/>
      <c r="SPR166" s="72"/>
      <c r="SPS166" s="72"/>
      <c r="SPT166" s="72"/>
      <c r="SPU166" s="72"/>
      <c r="SPV166" s="72"/>
      <c r="SPW166" s="72"/>
      <c r="SPX166" s="72"/>
      <c r="SPY166" s="72"/>
      <c r="SPZ166" s="72"/>
      <c r="SQA166" s="72"/>
      <c r="SQB166" s="72"/>
      <c r="SQC166" s="72"/>
      <c r="SQD166" s="72"/>
      <c r="SQE166" s="72"/>
      <c r="SQF166" s="72"/>
      <c r="SQG166" s="72"/>
      <c r="SQH166" s="72"/>
      <c r="SQI166" s="72"/>
      <c r="SQJ166" s="72"/>
      <c r="SQK166" s="72"/>
      <c r="SQL166" s="72"/>
      <c r="SQM166" s="72"/>
      <c r="SQN166" s="72"/>
      <c r="SQO166" s="72"/>
      <c r="SQP166" s="72"/>
      <c r="SQQ166" s="72"/>
      <c r="SQR166" s="72"/>
      <c r="SQS166" s="72"/>
      <c r="SQT166" s="72"/>
      <c r="SQU166" s="72"/>
      <c r="SQV166" s="72"/>
      <c r="SQW166" s="72"/>
      <c r="SQX166" s="72"/>
      <c r="SQY166" s="72"/>
      <c r="SQZ166" s="72"/>
      <c r="SRA166" s="72"/>
      <c r="SRB166" s="72"/>
      <c r="SRC166" s="72"/>
      <c r="SRD166" s="72"/>
      <c r="SRE166" s="72"/>
      <c r="SRF166" s="72"/>
      <c r="SRG166" s="72"/>
      <c r="SRH166" s="72"/>
      <c r="SRI166" s="72"/>
      <c r="SRJ166" s="72"/>
      <c r="SRK166" s="72"/>
      <c r="SRL166" s="72"/>
      <c r="SRM166" s="72"/>
      <c r="SRN166" s="72"/>
      <c r="SRO166" s="72"/>
      <c r="SRP166" s="72"/>
      <c r="SRQ166" s="72"/>
      <c r="SRR166" s="72"/>
      <c r="SRS166" s="72"/>
      <c r="SRT166" s="72"/>
      <c r="SRU166" s="72"/>
      <c r="SRV166" s="72"/>
      <c r="SRW166" s="72"/>
      <c r="SRX166" s="72"/>
      <c r="SRY166" s="72"/>
      <c r="SRZ166" s="72"/>
      <c r="SSA166" s="72"/>
      <c r="SSB166" s="72"/>
      <c r="SSC166" s="72"/>
      <c r="SSD166" s="72"/>
      <c r="SSE166" s="72"/>
      <c r="SSF166" s="72"/>
      <c r="SSG166" s="72"/>
      <c r="SSH166" s="72"/>
      <c r="SSI166" s="72"/>
      <c r="SSJ166" s="72"/>
      <c r="SSK166" s="72"/>
      <c r="SSL166" s="72"/>
      <c r="SSM166" s="72"/>
      <c r="SSN166" s="72"/>
      <c r="SSO166" s="72"/>
      <c r="SSP166" s="72"/>
      <c r="SSQ166" s="72"/>
      <c r="SSR166" s="72"/>
      <c r="SSS166" s="72"/>
      <c r="SST166" s="72"/>
      <c r="SSU166" s="72"/>
      <c r="SSV166" s="72"/>
      <c r="SSW166" s="72"/>
      <c r="SSX166" s="72"/>
      <c r="SSY166" s="72"/>
      <c r="SSZ166" s="72"/>
      <c r="STA166" s="72"/>
      <c r="STB166" s="72"/>
      <c r="STC166" s="72"/>
      <c r="STD166" s="72"/>
      <c r="STE166" s="72"/>
      <c r="STF166" s="72"/>
      <c r="STG166" s="72"/>
      <c r="STH166" s="72"/>
      <c r="STI166" s="72"/>
      <c r="STJ166" s="72"/>
      <c r="STK166" s="72"/>
      <c r="STL166" s="72"/>
      <c r="STM166" s="72"/>
      <c r="STN166" s="72"/>
      <c r="STO166" s="72"/>
      <c r="STP166" s="72"/>
      <c r="STQ166" s="72"/>
      <c r="STR166" s="72"/>
      <c r="STS166" s="72"/>
      <c r="STT166" s="72"/>
      <c r="STU166" s="72"/>
      <c r="STV166" s="72"/>
      <c r="STW166" s="72"/>
      <c r="STX166" s="72"/>
      <c r="STY166" s="72"/>
      <c r="STZ166" s="72"/>
      <c r="SUA166" s="72"/>
      <c r="SUB166" s="72"/>
      <c r="SUC166" s="72"/>
      <c r="SUD166" s="72"/>
      <c r="SUE166" s="72"/>
      <c r="SUF166" s="72"/>
      <c r="SUG166" s="72"/>
      <c r="SUH166" s="72"/>
      <c r="SUI166" s="72"/>
      <c r="SUJ166" s="72"/>
      <c r="SUK166" s="72"/>
      <c r="SUL166" s="72"/>
      <c r="SUM166" s="72"/>
      <c r="SUN166" s="72"/>
      <c r="SUO166" s="72"/>
      <c r="SUP166" s="72"/>
      <c r="SUQ166" s="72"/>
      <c r="SUR166" s="72"/>
      <c r="SUS166" s="72"/>
      <c r="SUT166" s="72"/>
      <c r="SUU166" s="72"/>
      <c r="SUV166" s="72"/>
      <c r="SUW166" s="72"/>
      <c r="SUX166" s="72"/>
      <c r="SUY166" s="72"/>
      <c r="SUZ166" s="72"/>
      <c r="SVA166" s="72"/>
      <c r="SVB166" s="72"/>
      <c r="SVC166" s="72"/>
      <c r="SVD166" s="72"/>
      <c r="SVE166" s="72"/>
      <c r="SVF166" s="72"/>
      <c r="SVG166" s="72"/>
      <c r="SVH166" s="72"/>
      <c r="SVI166" s="72"/>
      <c r="SVJ166" s="72"/>
      <c r="SVK166" s="72"/>
      <c r="SVL166" s="72"/>
      <c r="SVM166" s="72"/>
      <c r="SVN166" s="72"/>
      <c r="SVO166" s="72"/>
      <c r="SVP166" s="72"/>
      <c r="SVQ166" s="72"/>
      <c r="SVR166" s="72"/>
      <c r="SVS166" s="72"/>
      <c r="SVT166" s="72"/>
      <c r="SVU166" s="72"/>
      <c r="SVV166" s="72"/>
      <c r="SVW166" s="72"/>
      <c r="SVX166" s="72"/>
      <c r="SVY166" s="72"/>
      <c r="SVZ166" s="72"/>
      <c r="SWA166" s="72"/>
      <c r="SWB166" s="72"/>
      <c r="SWC166" s="72"/>
      <c r="SWD166" s="72"/>
      <c r="SWE166" s="72"/>
      <c r="SWF166" s="72"/>
      <c r="SWG166" s="72"/>
      <c r="SWH166" s="72"/>
      <c r="SWI166" s="72"/>
      <c r="SWJ166" s="72"/>
      <c r="SWK166" s="72"/>
      <c r="SWL166" s="72"/>
      <c r="SWM166" s="72"/>
      <c r="SWN166" s="72"/>
      <c r="SWO166" s="72"/>
      <c r="SWP166" s="72"/>
      <c r="SWQ166" s="72"/>
      <c r="SWR166" s="72"/>
      <c r="SWS166" s="72"/>
      <c r="SWT166" s="72"/>
      <c r="SWU166" s="72"/>
      <c r="SWV166" s="72"/>
      <c r="SWW166" s="72"/>
      <c r="SWX166" s="72"/>
      <c r="SWY166" s="72"/>
      <c r="SWZ166" s="72"/>
      <c r="SXA166" s="72"/>
      <c r="SXB166" s="72"/>
      <c r="SXC166" s="72"/>
      <c r="SXD166" s="72"/>
      <c r="SXE166" s="72"/>
      <c r="SXF166" s="72"/>
      <c r="SXG166" s="72"/>
      <c r="SXH166" s="72"/>
      <c r="SXI166" s="72"/>
      <c r="SXJ166" s="72"/>
      <c r="SXK166" s="72"/>
      <c r="SXL166" s="72"/>
      <c r="SXM166" s="72"/>
      <c r="SXN166" s="72"/>
      <c r="SXO166" s="72"/>
      <c r="SXP166" s="72"/>
      <c r="SXQ166" s="72"/>
      <c r="SXR166" s="72"/>
      <c r="SXS166" s="72"/>
      <c r="SXT166" s="72"/>
      <c r="SXU166" s="72"/>
      <c r="SXV166" s="72"/>
      <c r="SXW166" s="72"/>
      <c r="SXX166" s="72"/>
      <c r="SXY166" s="72"/>
      <c r="SXZ166" s="72"/>
      <c r="SYA166" s="72"/>
      <c r="SYB166" s="72"/>
      <c r="SYC166" s="72"/>
      <c r="SYD166" s="72"/>
      <c r="SYE166" s="72"/>
      <c r="SYF166" s="72"/>
      <c r="SYG166" s="72"/>
      <c r="SYH166" s="72"/>
      <c r="SYI166" s="72"/>
      <c r="SYJ166" s="72"/>
      <c r="SYK166" s="72"/>
      <c r="SYL166" s="72"/>
      <c r="SYM166" s="72"/>
      <c r="SYN166" s="72"/>
      <c r="SYO166" s="72"/>
      <c r="SYP166" s="72"/>
      <c r="SYQ166" s="72"/>
      <c r="SYR166" s="72"/>
      <c r="SYS166" s="72"/>
      <c r="SYT166" s="72"/>
      <c r="SYU166" s="72"/>
      <c r="SYV166" s="72"/>
      <c r="SYW166" s="72"/>
      <c r="SYX166" s="72"/>
      <c r="SYY166" s="72"/>
      <c r="SYZ166" s="72"/>
      <c r="SZA166" s="72"/>
      <c r="SZB166" s="72"/>
      <c r="SZC166" s="72"/>
      <c r="SZD166" s="72"/>
      <c r="SZE166" s="72"/>
      <c r="SZF166" s="72"/>
      <c r="SZG166" s="72"/>
      <c r="SZH166" s="72"/>
      <c r="SZI166" s="72"/>
      <c r="SZJ166" s="72"/>
      <c r="SZK166" s="72"/>
      <c r="SZL166" s="72"/>
      <c r="SZM166" s="72"/>
      <c r="SZN166" s="72"/>
      <c r="SZO166" s="72"/>
      <c r="SZP166" s="72"/>
      <c r="SZQ166" s="72"/>
      <c r="SZR166" s="72"/>
      <c r="SZS166" s="72"/>
      <c r="SZT166" s="72"/>
      <c r="SZU166" s="72"/>
      <c r="SZV166" s="72"/>
      <c r="SZW166" s="72"/>
      <c r="SZX166" s="72"/>
      <c r="SZY166" s="72"/>
      <c r="SZZ166" s="72"/>
      <c r="TAA166" s="72"/>
      <c r="TAB166" s="72"/>
      <c r="TAC166" s="72"/>
      <c r="TAD166" s="72"/>
      <c r="TAE166" s="72"/>
      <c r="TAF166" s="72"/>
      <c r="TAG166" s="72"/>
      <c r="TAH166" s="72"/>
      <c r="TAI166" s="72"/>
      <c r="TAJ166" s="72"/>
      <c r="TAK166" s="72"/>
      <c r="TAL166" s="72"/>
      <c r="TAM166" s="72"/>
      <c r="TAN166" s="72"/>
      <c r="TAO166" s="72"/>
      <c r="TAP166" s="72"/>
      <c r="TAQ166" s="72"/>
      <c r="TAR166" s="72"/>
      <c r="TAS166" s="72"/>
      <c r="TAT166" s="72"/>
      <c r="TAU166" s="72"/>
      <c r="TAV166" s="72"/>
      <c r="TAW166" s="72"/>
      <c r="TAX166" s="72"/>
      <c r="TAY166" s="72"/>
      <c r="TAZ166" s="72"/>
      <c r="TBA166" s="72"/>
      <c r="TBB166" s="72"/>
      <c r="TBC166" s="72"/>
      <c r="TBD166" s="72"/>
      <c r="TBE166" s="72"/>
      <c r="TBF166" s="72"/>
      <c r="TBG166" s="72"/>
      <c r="TBH166" s="72"/>
      <c r="TBI166" s="72"/>
      <c r="TBJ166" s="72"/>
      <c r="TBK166" s="72"/>
      <c r="TBL166" s="72"/>
      <c r="TBM166" s="72"/>
      <c r="TBN166" s="72"/>
      <c r="TBO166" s="72"/>
      <c r="TBP166" s="72"/>
      <c r="TBQ166" s="72"/>
      <c r="TBR166" s="72"/>
      <c r="TBS166" s="72"/>
      <c r="TBT166" s="72"/>
      <c r="TBU166" s="72"/>
      <c r="TBV166" s="72"/>
      <c r="TBW166" s="72"/>
      <c r="TBX166" s="72"/>
      <c r="TBY166" s="72"/>
      <c r="TBZ166" s="72"/>
      <c r="TCA166" s="72"/>
      <c r="TCB166" s="72"/>
      <c r="TCC166" s="72"/>
      <c r="TCD166" s="72"/>
      <c r="TCE166" s="72"/>
      <c r="TCF166" s="72"/>
      <c r="TCG166" s="72"/>
      <c r="TCH166" s="72"/>
      <c r="TCI166" s="72"/>
      <c r="TCJ166" s="72"/>
      <c r="TCK166" s="72"/>
      <c r="TCL166" s="72"/>
      <c r="TCM166" s="72"/>
      <c r="TCN166" s="72"/>
      <c r="TCO166" s="72"/>
      <c r="TCP166" s="72"/>
      <c r="TCQ166" s="72"/>
      <c r="TCR166" s="72"/>
      <c r="TCS166" s="72"/>
      <c r="TCT166" s="72"/>
      <c r="TCU166" s="72"/>
      <c r="TCV166" s="72"/>
      <c r="TCW166" s="72"/>
      <c r="TCX166" s="72"/>
      <c r="TCY166" s="72"/>
      <c r="TCZ166" s="72"/>
      <c r="TDA166" s="72"/>
      <c r="TDB166" s="72"/>
      <c r="TDC166" s="72"/>
      <c r="TDD166" s="72"/>
      <c r="TDE166" s="72"/>
      <c r="TDF166" s="72"/>
      <c r="TDG166" s="72"/>
      <c r="TDH166" s="72"/>
      <c r="TDI166" s="72"/>
      <c r="TDJ166" s="72"/>
      <c r="TDK166" s="72"/>
      <c r="TDL166" s="72"/>
      <c r="TDM166" s="72"/>
      <c r="TDN166" s="72"/>
      <c r="TDO166" s="72"/>
      <c r="TDP166" s="72"/>
      <c r="TDQ166" s="72"/>
      <c r="TDR166" s="72"/>
      <c r="TDS166" s="72"/>
      <c r="TDT166" s="72"/>
      <c r="TDU166" s="72"/>
      <c r="TDV166" s="72"/>
      <c r="TDW166" s="72"/>
      <c r="TDX166" s="72"/>
      <c r="TDY166" s="72"/>
      <c r="TDZ166" s="72"/>
      <c r="TEA166" s="72"/>
      <c r="TEB166" s="72"/>
      <c r="TEC166" s="72"/>
      <c r="TED166" s="72"/>
      <c r="TEE166" s="72"/>
      <c r="TEF166" s="72"/>
      <c r="TEG166" s="72"/>
      <c r="TEH166" s="72"/>
      <c r="TEI166" s="72"/>
      <c r="TEJ166" s="72"/>
      <c r="TEK166" s="72"/>
      <c r="TEL166" s="72"/>
      <c r="TEM166" s="72"/>
      <c r="TEN166" s="72"/>
      <c r="TEO166" s="72"/>
      <c r="TEP166" s="72"/>
      <c r="TEQ166" s="72"/>
      <c r="TER166" s="72"/>
      <c r="TES166" s="72"/>
      <c r="TET166" s="72"/>
      <c r="TEU166" s="72"/>
      <c r="TEV166" s="72"/>
      <c r="TEW166" s="72"/>
      <c r="TEX166" s="72"/>
      <c r="TEY166" s="72"/>
      <c r="TEZ166" s="72"/>
      <c r="TFA166" s="72"/>
      <c r="TFB166" s="72"/>
      <c r="TFC166" s="72"/>
      <c r="TFD166" s="72"/>
      <c r="TFE166" s="72"/>
      <c r="TFF166" s="72"/>
      <c r="TFG166" s="72"/>
      <c r="TFH166" s="72"/>
      <c r="TFI166" s="72"/>
      <c r="TFJ166" s="72"/>
      <c r="TFK166" s="72"/>
      <c r="TFL166" s="72"/>
      <c r="TFM166" s="72"/>
      <c r="TFN166" s="72"/>
      <c r="TFO166" s="72"/>
      <c r="TFP166" s="72"/>
      <c r="TFQ166" s="72"/>
      <c r="TFR166" s="72"/>
      <c r="TFS166" s="72"/>
      <c r="TFT166" s="72"/>
      <c r="TFU166" s="72"/>
      <c r="TFV166" s="72"/>
      <c r="TFW166" s="72"/>
      <c r="TFX166" s="72"/>
      <c r="TFY166" s="72"/>
      <c r="TFZ166" s="72"/>
      <c r="TGA166" s="72"/>
      <c r="TGB166" s="72"/>
      <c r="TGC166" s="72"/>
      <c r="TGD166" s="72"/>
      <c r="TGE166" s="72"/>
      <c r="TGF166" s="72"/>
      <c r="TGG166" s="72"/>
      <c r="TGH166" s="72"/>
      <c r="TGI166" s="72"/>
      <c r="TGJ166" s="72"/>
      <c r="TGK166" s="72"/>
      <c r="TGL166" s="72"/>
      <c r="TGM166" s="72"/>
      <c r="TGN166" s="72"/>
      <c r="TGO166" s="72"/>
      <c r="TGP166" s="72"/>
      <c r="TGQ166" s="72"/>
      <c r="TGR166" s="72"/>
      <c r="TGS166" s="72"/>
      <c r="TGT166" s="72"/>
      <c r="TGU166" s="72"/>
      <c r="TGV166" s="72"/>
      <c r="TGW166" s="72"/>
      <c r="TGX166" s="72"/>
      <c r="TGY166" s="72"/>
      <c r="TGZ166" s="72"/>
      <c r="THA166" s="72"/>
      <c r="THB166" s="72"/>
      <c r="THC166" s="72"/>
      <c r="THD166" s="72"/>
      <c r="THE166" s="72"/>
      <c r="THF166" s="72"/>
      <c r="THG166" s="72"/>
      <c r="THH166" s="72"/>
      <c r="THI166" s="72"/>
      <c r="THJ166" s="72"/>
      <c r="THK166" s="72"/>
      <c r="THL166" s="72"/>
      <c r="THM166" s="72"/>
      <c r="THN166" s="72"/>
      <c r="THO166" s="72"/>
      <c r="THP166" s="72"/>
      <c r="THQ166" s="72"/>
      <c r="THR166" s="72"/>
      <c r="THS166" s="72"/>
      <c r="THT166" s="72"/>
      <c r="THU166" s="72"/>
      <c r="THV166" s="72"/>
      <c r="THW166" s="72"/>
      <c r="THX166" s="72"/>
      <c r="THY166" s="72"/>
      <c r="THZ166" s="72"/>
      <c r="TIA166" s="72"/>
      <c r="TIB166" s="72"/>
      <c r="TIC166" s="72"/>
      <c r="TID166" s="72"/>
      <c r="TIE166" s="72"/>
      <c r="TIF166" s="72"/>
      <c r="TIG166" s="72"/>
      <c r="TIH166" s="72"/>
      <c r="TII166" s="72"/>
      <c r="TIJ166" s="72"/>
      <c r="TIK166" s="72"/>
      <c r="TIL166" s="72"/>
      <c r="TIM166" s="72"/>
      <c r="TIN166" s="72"/>
      <c r="TIO166" s="72"/>
      <c r="TIP166" s="72"/>
      <c r="TIQ166" s="72"/>
      <c r="TIR166" s="72"/>
      <c r="TIS166" s="72"/>
      <c r="TIT166" s="72"/>
      <c r="TIU166" s="72"/>
      <c r="TIV166" s="72"/>
      <c r="TIW166" s="72"/>
      <c r="TIX166" s="72"/>
      <c r="TIY166" s="72"/>
      <c r="TIZ166" s="72"/>
      <c r="TJA166" s="72"/>
      <c r="TJB166" s="72"/>
      <c r="TJC166" s="72"/>
      <c r="TJD166" s="72"/>
      <c r="TJE166" s="72"/>
      <c r="TJF166" s="72"/>
      <c r="TJG166" s="72"/>
      <c r="TJH166" s="72"/>
      <c r="TJI166" s="72"/>
      <c r="TJJ166" s="72"/>
      <c r="TJK166" s="72"/>
      <c r="TJL166" s="72"/>
      <c r="TJM166" s="72"/>
      <c r="TJN166" s="72"/>
      <c r="TJO166" s="72"/>
      <c r="TJP166" s="72"/>
      <c r="TJQ166" s="72"/>
      <c r="TJR166" s="72"/>
      <c r="TJS166" s="72"/>
      <c r="TJT166" s="72"/>
      <c r="TJU166" s="72"/>
      <c r="TJV166" s="72"/>
      <c r="TJW166" s="72"/>
      <c r="TJX166" s="72"/>
      <c r="TJY166" s="72"/>
      <c r="TJZ166" s="72"/>
      <c r="TKA166" s="72"/>
      <c r="TKB166" s="72"/>
      <c r="TKC166" s="72"/>
      <c r="TKD166" s="72"/>
      <c r="TKE166" s="72"/>
      <c r="TKF166" s="72"/>
      <c r="TKG166" s="72"/>
      <c r="TKH166" s="72"/>
      <c r="TKI166" s="72"/>
      <c r="TKJ166" s="72"/>
      <c r="TKK166" s="72"/>
      <c r="TKL166" s="72"/>
      <c r="TKM166" s="72"/>
      <c r="TKN166" s="72"/>
      <c r="TKO166" s="72"/>
      <c r="TKP166" s="72"/>
      <c r="TKQ166" s="72"/>
      <c r="TKR166" s="72"/>
      <c r="TKS166" s="72"/>
      <c r="TKT166" s="72"/>
      <c r="TKU166" s="72"/>
      <c r="TKV166" s="72"/>
      <c r="TKW166" s="72"/>
      <c r="TKX166" s="72"/>
      <c r="TKY166" s="72"/>
      <c r="TKZ166" s="72"/>
      <c r="TLA166" s="72"/>
      <c r="TLB166" s="72"/>
      <c r="TLC166" s="72"/>
      <c r="TLD166" s="72"/>
      <c r="TLE166" s="72"/>
      <c r="TLF166" s="72"/>
      <c r="TLG166" s="72"/>
      <c r="TLH166" s="72"/>
      <c r="TLI166" s="72"/>
      <c r="TLJ166" s="72"/>
      <c r="TLK166" s="72"/>
      <c r="TLL166" s="72"/>
      <c r="TLM166" s="72"/>
      <c r="TLN166" s="72"/>
      <c r="TLO166" s="72"/>
      <c r="TLP166" s="72"/>
      <c r="TLQ166" s="72"/>
      <c r="TLR166" s="72"/>
      <c r="TLS166" s="72"/>
      <c r="TLT166" s="72"/>
      <c r="TLU166" s="72"/>
      <c r="TLV166" s="72"/>
      <c r="TLW166" s="72"/>
      <c r="TLX166" s="72"/>
      <c r="TLY166" s="72"/>
      <c r="TLZ166" s="72"/>
      <c r="TMA166" s="72"/>
      <c r="TMB166" s="72"/>
      <c r="TMC166" s="72"/>
      <c r="TMD166" s="72"/>
      <c r="TME166" s="72"/>
      <c r="TMF166" s="72"/>
      <c r="TMG166" s="72"/>
      <c r="TMH166" s="72"/>
      <c r="TMI166" s="72"/>
      <c r="TMJ166" s="72"/>
      <c r="TMK166" s="72"/>
      <c r="TML166" s="72"/>
      <c r="TMM166" s="72"/>
      <c r="TMN166" s="72"/>
      <c r="TMO166" s="72"/>
      <c r="TMP166" s="72"/>
      <c r="TMQ166" s="72"/>
      <c r="TMR166" s="72"/>
      <c r="TMS166" s="72"/>
      <c r="TMT166" s="72"/>
      <c r="TMU166" s="72"/>
      <c r="TMV166" s="72"/>
      <c r="TMW166" s="72"/>
      <c r="TMX166" s="72"/>
      <c r="TMY166" s="72"/>
      <c r="TMZ166" s="72"/>
      <c r="TNA166" s="72"/>
      <c r="TNB166" s="72"/>
      <c r="TNC166" s="72"/>
      <c r="TND166" s="72"/>
      <c r="TNE166" s="72"/>
      <c r="TNF166" s="72"/>
      <c r="TNG166" s="72"/>
      <c r="TNH166" s="72"/>
      <c r="TNI166" s="72"/>
      <c r="TNJ166" s="72"/>
      <c r="TNK166" s="72"/>
      <c r="TNL166" s="72"/>
      <c r="TNM166" s="72"/>
      <c r="TNN166" s="72"/>
      <c r="TNO166" s="72"/>
      <c r="TNP166" s="72"/>
      <c r="TNQ166" s="72"/>
      <c r="TNR166" s="72"/>
      <c r="TNS166" s="72"/>
      <c r="TNT166" s="72"/>
      <c r="TNU166" s="72"/>
      <c r="TNV166" s="72"/>
      <c r="TNW166" s="72"/>
      <c r="TNX166" s="72"/>
      <c r="TNY166" s="72"/>
      <c r="TNZ166" s="72"/>
      <c r="TOA166" s="72"/>
      <c r="TOB166" s="72"/>
      <c r="TOC166" s="72"/>
      <c r="TOD166" s="72"/>
      <c r="TOE166" s="72"/>
      <c r="TOF166" s="72"/>
      <c r="TOG166" s="72"/>
      <c r="TOH166" s="72"/>
      <c r="TOI166" s="72"/>
      <c r="TOJ166" s="72"/>
      <c r="TOK166" s="72"/>
      <c r="TOL166" s="72"/>
      <c r="TOM166" s="72"/>
      <c r="TON166" s="72"/>
      <c r="TOO166" s="72"/>
      <c r="TOP166" s="72"/>
      <c r="TOQ166" s="72"/>
      <c r="TOR166" s="72"/>
      <c r="TOS166" s="72"/>
      <c r="TOT166" s="72"/>
      <c r="TOU166" s="72"/>
      <c r="TOV166" s="72"/>
      <c r="TOW166" s="72"/>
      <c r="TOX166" s="72"/>
      <c r="TOY166" s="72"/>
      <c r="TOZ166" s="72"/>
      <c r="TPA166" s="72"/>
      <c r="TPB166" s="72"/>
      <c r="TPC166" s="72"/>
      <c r="TPD166" s="72"/>
      <c r="TPE166" s="72"/>
      <c r="TPF166" s="72"/>
      <c r="TPG166" s="72"/>
      <c r="TPH166" s="72"/>
      <c r="TPI166" s="72"/>
      <c r="TPJ166" s="72"/>
      <c r="TPK166" s="72"/>
      <c r="TPL166" s="72"/>
      <c r="TPM166" s="72"/>
      <c r="TPN166" s="72"/>
      <c r="TPO166" s="72"/>
      <c r="TPP166" s="72"/>
      <c r="TPQ166" s="72"/>
      <c r="TPR166" s="72"/>
      <c r="TPS166" s="72"/>
      <c r="TPT166" s="72"/>
      <c r="TPU166" s="72"/>
      <c r="TPV166" s="72"/>
      <c r="TPW166" s="72"/>
      <c r="TPX166" s="72"/>
      <c r="TPY166" s="72"/>
      <c r="TPZ166" s="72"/>
      <c r="TQA166" s="72"/>
      <c r="TQB166" s="72"/>
      <c r="TQC166" s="72"/>
      <c r="TQD166" s="72"/>
      <c r="TQE166" s="72"/>
      <c r="TQF166" s="72"/>
      <c r="TQG166" s="72"/>
      <c r="TQH166" s="72"/>
      <c r="TQI166" s="72"/>
      <c r="TQJ166" s="72"/>
      <c r="TQK166" s="72"/>
      <c r="TQL166" s="72"/>
      <c r="TQM166" s="72"/>
      <c r="TQN166" s="72"/>
      <c r="TQO166" s="72"/>
      <c r="TQP166" s="72"/>
      <c r="TQQ166" s="72"/>
      <c r="TQR166" s="72"/>
      <c r="TQS166" s="72"/>
      <c r="TQT166" s="72"/>
      <c r="TQU166" s="72"/>
      <c r="TQV166" s="72"/>
      <c r="TQW166" s="72"/>
      <c r="TQX166" s="72"/>
      <c r="TQY166" s="72"/>
      <c r="TQZ166" s="72"/>
      <c r="TRA166" s="72"/>
      <c r="TRB166" s="72"/>
      <c r="TRC166" s="72"/>
      <c r="TRD166" s="72"/>
      <c r="TRE166" s="72"/>
      <c r="TRF166" s="72"/>
      <c r="TRG166" s="72"/>
      <c r="TRH166" s="72"/>
      <c r="TRI166" s="72"/>
      <c r="TRJ166" s="72"/>
      <c r="TRK166" s="72"/>
      <c r="TRL166" s="72"/>
      <c r="TRM166" s="72"/>
      <c r="TRN166" s="72"/>
      <c r="TRO166" s="72"/>
      <c r="TRP166" s="72"/>
      <c r="TRQ166" s="72"/>
      <c r="TRR166" s="72"/>
      <c r="TRS166" s="72"/>
      <c r="TRT166" s="72"/>
      <c r="TRU166" s="72"/>
      <c r="TRV166" s="72"/>
      <c r="TRW166" s="72"/>
      <c r="TRX166" s="72"/>
      <c r="TRY166" s="72"/>
      <c r="TRZ166" s="72"/>
      <c r="TSA166" s="72"/>
      <c r="TSB166" s="72"/>
      <c r="TSC166" s="72"/>
      <c r="TSD166" s="72"/>
      <c r="TSE166" s="72"/>
      <c r="TSF166" s="72"/>
      <c r="TSG166" s="72"/>
      <c r="TSH166" s="72"/>
      <c r="TSI166" s="72"/>
      <c r="TSJ166" s="72"/>
      <c r="TSK166" s="72"/>
      <c r="TSL166" s="72"/>
      <c r="TSM166" s="72"/>
      <c r="TSN166" s="72"/>
      <c r="TSO166" s="72"/>
      <c r="TSP166" s="72"/>
      <c r="TSQ166" s="72"/>
      <c r="TSR166" s="72"/>
      <c r="TSS166" s="72"/>
      <c r="TST166" s="72"/>
      <c r="TSU166" s="72"/>
      <c r="TSV166" s="72"/>
      <c r="TSW166" s="72"/>
      <c r="TSX166" s="72"/>
      <c r="TSY166" s="72"/>
      <c r="TSZ166" s="72"/>
      <c r="TTA166" s="72"/>
      <c r="TTB166" s="72"/>
      <c r="TTC166" s="72"/>
      <c r="TTD166" s="72"/>
      <c r="TTE166" s="72"/>
      <c r="TTF166" s="72"/>
      <c r="TTG166" s="72"/>
      <c r="TTH166" s="72"/>
      <c r="TTI166" s="72"/>
      <c r="TTJ166" s="72"/>
      <c r="TTK166" s="72"/>
      <c r="TTL166" s="72"/>
      <c r="TTM166" s="72"/>
      <c r="TTN166" s="72"/>
      <c r="TTO166" s="72"/>
      <c r="TTP166" s="72"/>
      <c r="TTQ166" s="72"/>
      <c r="TTR166" s="72"/>
      <c r="TTS166" s="72"/>
      <c r="TTT166" s="72"/>
      <c r="TTU166" s="72"/>
      <c r="TTV166" s="72"/>
      <c r="TTW166" s="72"/>
      <c r="TTX166" s="72"/>
      <c r="TTY166" s="72"/>
      <c r="TTZ166" s="72"/>
      <c r="TUA166" s="72"/>
      <c r="TUB166" s="72"/>
      <c r="TUC166" s="72"/>
      <c r="TUD166" s="72"/>
      <c r="TUE166" s="72"/>
      <c r="TUF166" s="72"/>
      <c r="TUG166" s="72"/>
      <c r="TUH166" s="72"/>
      <c r="TUI166" s="72"/>
      <c r="TUJ166" s="72"/>
      <c r="TUK166" s="72"/>
      <c r="TUL166" s="72"/>
      <c r="TUM166" s="72"/>
      <c r="TUN166" s="72"/>
      <c r="TUO166" s="72"/>
      <c r="TUP166" s="72"/>
      <c r="TUQ166" s="72"/>
      <c r="TUR166" s="72"/>
      <c r="TUS166" s="72"/>
      <c r="TUT166" s="72"/>
      <c r="TUU166" s="72"/>
      <c r="TUV166" s="72"/>
      <c r="TUW166" s="72"/>
      <c r="TUX166" s="72"/>
      <c r="TUY166" s="72"/>
      <c r="TUZ166" s="72"/>
      <c r="TVA166" s="72"/>
      <c r="TVB166" s="72"/>
      <c r="TVC166" s="72"/>
      <c r="TVD166" s="72"/>
      <c r="TVE166" s="72"/>
      <c r="TVF166" s="72"/>
      <c r="TVG166" s="72"/>
      <c r="TVH166" s="72"/>
      <c r="TVI166" s="72"/>
      <c r="TVJ166" s="72"/>
      <c r="TVK166" s="72"/>
      <c r="TVL166" s="72"/>
      <c r="TVM166" s="72"/>
      <c r="TVN166" s="72"/>
      <c r="TVO166" s="72"/>
      <c r="TVP166" s="72"/>
      <c r="TVQ166" s="72"/>
      <c r="TVR166" s="72"/>
      <c r="TVS166" s="72"/>
      <c r="TVT166" s="72"/>
      <c r="TVU166" s="72"/>
      <c r="TVV166" s="72"/>
      <c r="TVW166" s="72"/>
      <c r="TVX166" s="72"/>
      <c r="TVY166" s="72"/>
      <c r="TVZ166" s="72"/>
      <c r="TWA166" s="72"/>
      <c r="TWB166" s="72"/>
      <c r="TWC166" s="72"/>
      <c r="TWD166" s="72"/>
      <c r="TWE166" s="72"/>
      <c r="TWF166" s="72"/>
      <c r="TWG166" s="72"/>
      <c r="TWH166" s="72"/>
      <c r="TWI166" s="72"/>
      <c r="TWJ166" s="72"/>
      <c r="TWK166" s="72"/>
      <c r="TWL166" s="72"/>
      <c r="TWM166" s="72"/>
      <c r="TWN166" s="72"/>
      <c r="TWO166" s="72"/>
      <c r="TWP166" s="72"/>
      <c r="TWQ166" s="72"/>
      <c r="TWR166" s="72"/>
      <c r="TWS166" s="72"/>
      <c r="TWT166" s="72"/>
      <c r="TWU166" s="72"/>
      <c r="TWV166" s="72"/>
      <c r="TWW166" s="72"/>
      <c r="TWX166" s="72"/>
      <c r="TWY166" s="72"/>
      <c r="TWZ166" s="72"/>
      <c r="TXA166" s="72"/>
      <c r="TXB166" s="72"/>
      <c r="TXC166" s="72"/>
      <c r="TXD166" s="72"/>
      <c r="TXE166" s="72"/>
      <c r="TXF166" s="72"/>
      <c r="TXG166" s="72"/>
      <c r="TXH166" s="72"/>
      <c r="TXI166" s="72"/>
      <c r="TXJ166" s="72"/>
      <c r="TXK166" s="72"/>
      <c r="TXL166" s="72"/>
      <c r="TXM166" s="72"/>
      <c r="TXN166" s="72"/>
      <c r="TXO166" s="72"/>
      <c r="TXP166" s="72"/>
      <c r="TXQ166" s="72"/>
      <c r="TXR166" s="72"/>
      <c r="TXS166" s="72"/>
      <c r="TXT166" s="72"/>
      <c r="TXU166" s="72"/>
      <c r="TXV166" s="72"/>
      <c r="TXW166" s="72"/>
      <c r="TXX166" s="72"/>
      <c r="TXY166" s="72"/>
      <c r="TXZ166" s="72"/>
      <c r="TYA166" s="72"/>
      <c r="TYB166" s="72"/>
      <c r="TYC166" s="72"/>
      <c r="TYD166" s="72"/>
      <c r="TYE166" s="72"/>
      <c r="TYF166" s="72"/>
      <c r="TYG166" s="72"/>
      <c r="TYH166" s="72"/>
      <c r="TYI166" s="72"/>
      <c r="TYJ166" s="72"/>
      <c r="TYK166" s="72"/>
      <c r="TYL166" s="72"/>
      <c r="TYM166" s="72"/>
      <c r="TYN166" s="72"/>
      <c r="TYO166" s="72"/>
      <c r="TYP166" s="72"/>
      <c r="TYQ166" s="72"/>
      <c r="TYR166" s="72"/>
      <c r="TYS166" s="72"/>
      <c r="TYT166" s="72"/>
      <c r="TYU166" s="72"/>
      <c r="TYV166" s="72"/>
      <c r="TYW166" s="72"/>
      <c r="TYX166" s="72"/>
      <c r="TYY166" s="72"/>
      <c r="TYZ166" s="72"/>
      <c r="TZA166" s="72"/>
      <c r="TZB166" s="72"/>
      <c r="TZC166" s="72"/>
      <c r="TZD166" s="72"/>
      <c r="TZE166" s="72"/>
      <c r="TZF166" s="72"/>
      <c r="TZG166" s="72"/>
      <c r="TZH166" s="72"/>
      <c r="TZI166" s="72"/>
      <c r="TZJ166" s="72"/>
      <c r="TZK166" s="72"/>
      <c r="TZL166" s="72"/>
      <c r="TZM166" s="72"/>
      <c r="TZN166" s="72"/>
      <c r="TZO166" s="72"/>
      <c r="TZP166" s="72"/>
      <c r="TZQ166" s="72"/>
      <c r="TZR166" s="72"/>
      <c r="TZS166" s="72"/>
      <c r="TZT166" s="72"/>
      <c r="TZU166" s="72"/>
      <c r="TZV166" s="72"/>
      <c r="TZW166" s="72"/>
      <c r="TZX166" s="72"/>
      <c r="TZY166" s="72"/>
      <c r="TZZ166" s="72"/>
      <c r="UAA166" s="72"/>
      <c r="UAB166" s="72"/>
      <c r="UAC166" s="72"/>
      <c r="UAD166" s="72"/>
      <c r="UAE166" s="72"/>
      <c r="UAF166" s="72"/>
      <c r="UAG166" s="72"/>
      <c r="UAH166" s="72"/>
      <c r="UAI166" s="72"/>
      <c r="UAJ166" s="72"/>
      <c r="UAK166" s="72"/>
      <c r="UAL166" s="72"/>
      <c r="UAM166" s="72"/>
      <c r="UAN166" s="72"/>
      <c r="UAO166" s="72"/>
      <c r="UAP166" s="72"/>
      <c r="UAQ166" s="72"/>
      <c r="UAR166" s="72"/>
      <c r="UAS166" s="72"/>
      <c r="UAT166" s="72"/>
      <c r="UAU166" s="72"/>
      <c r="UAV166" s="72"/>
      <c r="UAW166" s="72"/>
      <c r="UAX166" s="72"/>
      <c r="UAY166" s="72"/>
      <c r="UAZ166" s="72"/>
      <c r="UBA166" s="72"/>
      <c r="UBB166" s="72"/>
      <c r="UBC166" s="72"/>
      <c r="UBD166" s="72"/>
      <c r="UBE166" s="72"/>
      <c r="UBF166" s="72"/>
      <c r="UBG166" s="72"/>
      <c r="UBH166" s="72"/>
      <c r="UBI166" s="72"/>
      <c r="UBJ166" s="72"/>
      <c r="UBK166" s="72"/>
      <c r="UBL166" s="72"/>
      <c r="UBM166" s="72"/>
      <c r="UBN166" s="72"/>
      <c r="UBO166" s="72"/>
      <c r="UBP166" s="72"/>
      <c r="UBQ166" s="72"/>
      <c r="UBR166" s="72"/>
      <c r="UBS166" s="72"/>
      <c r="UBT166" s="72"/>
      <c r="UBU166" s="72"/>
      <c r="UBV166" s="72"/>
      <c r="UBW166" s="72"/>
      <c r="UBX166" s="72"/>
      <c r="UBY166" s="72"/>
      <c r="UBZ166" s="72"/>
      <c r="UCA166" s="72"/>
      <c r="UCB166" s="72"/>
      <c r="UCC166" s="72"/>
      <c r="UCD166" s="72"/>
      <c r="UCE166" s="72"/>
      <c r="UCF166" s="72"/>
      <c r="UCG166" s="72"/>
      <c r="UCH166" s="72"/>
      <c r="UCI166" s="72"/>
      <c r="UCJ166" s="72"/>
      <c r="UCK166" s="72"/>
      <c r="UCL166" s="72"/>
      <c r="UCM166" s="72"/>
      <c r="UCN166" s="72"/>
      <c r="UCO166" s="72"/>
      <c r="UCP166" s="72"/>
      <c r="UCQ166" s="72"/>
      <c r="UCR166" s="72"/>
      <c r="UCS166" s="72"/>
      <c r="UCT166" s="72"/>
      <c r="UCU166" s="72"/>
      <c r="UCV166" s="72"/>
      <c r="UCW166" s="72"/>
      <c r="UCX166" s="72"/>
      <c r="UCY166" s="72"/>
      <c r="UCZ166" s="72"/>
      <c r="UDA166" s="72"/>
      <c r="UDB166" s="72"/>
      <c r="UDC166" s="72"/>
      <c r="UDD166" s="72"/>
      <c r="UDE166" s="72"/>
      <c r="UDF166" s="72"/>
      <c r="UDG166" s="72"/>
      <c r="UDH166" s="72"/>
      <c r="UDI166" s="72"/>
      <c r="UDJ166" s="72"/>
      <c r="UDK166" s="72"/>
      <c r="UDL166" s="72"/>
      <c r="UDM166" s="72"/>
      <c r="UDN166" s="72"/>
      <c r="UDO166" s="72"/>
      <c r="UDP166" s="72"/>
      <c r="UDQ166" s="72"/>
      <c r="UDR166" s="72"/>
      <c r="UDS166" s="72"/>
      <c r="UDT166" s="72"/>
      <c r="UDU166" s="72"/>
      <c r="UDV166" s="72"/>
      <c r="UDW166" s="72"/>
      <c r="UDX166" s="72"/>
      <c r="UDY166" s="72"/>
      <c r="UDZ166" s="72"/>
      <c r="UEA166" s="72"/>
      <c r="UEB166" s="72"/>
      <c r="UEC166" s="72"/>
      <c r="UED166" s="72"/>
      <c r="UEE166" s="72"/>
      <c r="UEF166" s="72"/>
      <c r="UEG166" s="72"/>
      <c r="UEH166" s="72"/>
      <c r="UEI166" s="72"/>
      <c r="UEJ166" s="72"/>
      <c r="UEK166" s="72"/>
      <c r="UEL166" s="72"/>
      <c r="UEM166" s="72"/>
      <c r="UEN166" s="72"/>
      <c r="UEO166" s="72"/>
      <c r="UEP166" s="72"/>
      <c r="UEQ166" s="72"/>
      <c r="UER166" s="72"/>
      <c r="UES166" s="72"/>
      <c r="UET166" s="72"/>
      <c r="UEU166" s="72"/>
      <c r="UEV166" s="72"/>
      <c r="UEW166" s="72"/>
      <c r="UEX166" s="72"/>
      <c r="UEY166" s="72"/>
      <c r="UEZ166" s="72"/>
      <c r="UFA166" s="72"/>
      <c r="UFB166" s="72"/>
      <c r="UFC166" s="72"/>
      <c r="UFD166" s="72"/>
      <c r="UFE166" s="72"/>
      <c r="UFF166" s="72"/>
      <c r="UFG166" s="72"/>
      <c r="UFH166" s="72"/>
      <c r="UFI166" s="72"/>
      <c r="UFJ166" s="72"/>
      <c r="UFK166" s="72"/>
      <c r="UFL166" s="72"/>
      <c r="UFM166" s="72"/>
      <c r="UFN166" s="72"/>
      <c r="UFO166" s="72"/>
      <c r="UFP166" s="72"/>
      <c r="UFQ166" s="72"/>
      <c r="UFR166" s="72"/>
      <c r="UFS166" s="72"/>
      <c r="UFT166" s="72"/>
      <c r="UFU166" s="72"/>
      <c r="UFV166" s="72"/>
      <c r="UFW166" s="72"/>
      <c r="UFX166" s="72"/>
      <c r="UFY166" s="72"/>
      <c r="UFZ166" s="72"/>
      <c r="UGA166" s="72"/>
      <c r="UGB166" s="72"/>
      <c r="UGC166" s="72"/>
      <c r="UGD166" s="72"/>
      <c r="UGE166" s="72"/>
      <c r="UGF166" s="72"/>
      <c r="UGG166" s="72"/>
      <c r="UGH166" s="72"/>
      <c r="UGI166" s="72"/>
      <c r="UGJ166" s="72"/>
      <c r="UGK166" s="72"/>
      <c r="UGL166" s="72"/>
      <c r="UGM166" s="72"/>
      <c r="UGN166" s="72"/>
      <c r="UGO166" s="72"/>
      <c r="UGP166" s="72"/>
      <c r="UGQ166" s="72"/>
      <c r="UGR166" s="72"/>
      <c r="UGS166" s="72"/>
      <c r="UGT166" s="72"/>
      <c r="UGU166" s="72"/>
      <c r="UGV166" s="72"/>
      <c r="UGW166" s="72"/>
      <c r="UGX166" s="72"/>
      <c r="UGY166" s="72"/>
      <c r="UGZ166" s="72"/>
      <c r="UHA166" s="72"/>
      <c r="UHB166" s="72"/>
      <c r="UHC166" s="72"/>
      <c r="UHD166" s="72"/>
      <c r="UHE166" s="72"/>
      <c r="UHF166" s="72"/>
      <c r="UHG166" s="72"/>
      <c r="UHH166" s="72"/>
      <c r="UHI166" s="72"/>
      <c r="UHJ166" s="72"/>
      <c r="UHK166" s="72"/>
      <c r="UHL166" s="72"/>
      <c r="UHM166" s="72"/>
      <c r="UHN166" s="72"/>
      <c r="UHO166" s="72"/>
      <c r="UHP166" s="72"/>
      <c r="UHQ166" s="72"/>
      <c r="UHR166" s="72"/>
      <c r="UHS166" s="72"/>
      <c r="UHT166" s="72"/>
      <c r="UHU166" s="72"/>
      <c r="UHV166" s="72"/>
      <c r="UHW166" s="72"/>
      <c r="UHX166" s="72"/>
      <c r="UHY166" s="72"/>
      <c r="UHZ166" s="72"/>
      <c r="UIA166" s="72"/>
      <c r="UIB166" s="72"/>
      <c r="UIC166" s="72"/>
      <c r="UID166" s="72"/>
      <c r="UIE166" s="72"/>
      <c r="UIF166" s="72"/>
      <c r="UIG166" s="72"/>
      <c r="UIH166" s="72"/>
      <c r="UII166" s="72"/>
      <c r="UIJ166" s="72"/>
      <c r="UIK166" s="72"/>
      <c r="UIL166" s="72"/>
      <c r="UIM166" s="72"/>
      <c r="UIN166" s="72"/>
      <c r="UIO166" s="72"/>
      <c r="UIP166" s="72"/>
      <c r="UIQ166" s="72"/>
      <c r="UIR166" s="72"/>
      <c r="UIS166" s="72"/>
      <c r="UIT166" s="72"/>
      <c r="UIU166" s="72"/>
      <c r="UIV166" s="72"/>
      <c r="UIW166" s="72"/>
      <c r="UIX166" s="72"/>
      <c r="UIY166" s="72"/>
      <c r="UIZ166" s="72"/>
      <c r="UJA166" s="72"/>
      <c r="UJB166" s="72"/>
      <c r="UJC166" s="72"/>
      <c r="UJD166" s="72"/>
      <c r="UJE166" s="72"/>
      <c r="UJF166" s="72"/>
      <c r="UJG166" s="72"/>
      <c r="UJH166" s="72"/>
      <c r="UJI166" s="72"/>
      <c r="UJJ166" s="72"/>
      <c r="UJK166" s="72"/>
      <c r="UJL166" s="72"/>
      <c r="UJM166" s="72"/>
      <c r="UJN166" s="72"/>
      <c r="UJO166" s="72"/>
      <c r="UJP166" s="72"/>
      <c r="UJQ166" s="72"/>
      <c r="UJR166" s="72"/>
      <c r="UJS166" s="72"/>
      <c r="UJT166" s="72"/>
      <c r="UJU166" s="72"/>
      <c r="UJV166" s="72"/>
      <c r="UJW166" s="72"/>
      <c r="UJX166" s="72"/>
      <c r="UJY166" s="72"/>
      <c r="UJZ166" s="72"/>
      <c r="UKA166" s="72"/>
      <c r="UKB166" s="72"/>
      <c r="UKC166" s="72"/>
      <c r="UKD166" s="72"/>
      <c r="UKE166" s="72"/>
      <c r="UKF166" s="72"/>
      <c r="UKG166" s="72"/>
      <c r="UKH166" s="72"/>
      <c r="UKI166" s="72"/>
      <c r="UKJ166" s="72"/>
      <c r="UKK166" s="72"/>
      <c r="UKL166" s="72"/>
      <c r="UKM166" s="72"/>
      <c r="UKN166" s="72"/>
      <c r="UKO166" s="72"/>
      <c r="UKP166" s="72"/>
      <c r="UKQ166" s="72"/>
      <c r="UKR166" s="72"/>
      <c r="UKS166" s="72"/>
      <c r="UKT166" s="72"/>
      <c r="UKU166" s="72"/>
      <c r="UKV166" s="72"/>
      <c r="UKW166" s="72"/>
      <c r="UKX166" s="72"/>
      <c r="UKY166" s="72"/>
      <c r="UKZ166" s="72"/>
      <c r="ULA166" s="72"/>
      <c r="ULB166" s="72"/>
      <c r="ULC166" s="72"/>
      <c r="ULD166" s="72"/>
      <c r="ULE166" s="72"/>
      <c r="ULF166" s="72"/>
      <c r="ULG166" s="72"/>
      <c r="ULH166" s="72"/>
      <c r="ULI166" s="72"/>
      <c r="ULJ166" s="72"/>
      <c r="ULK166" s="72"/>
      <c r="ULL166" s="72"/>
      <c r="ULM166" s="72"/>
      <c r="ULN166" s="72"/>
      <c r="ULO166" s="72"/>
      <c r="ULP166" s="72"/>
      <c r="ULQ166" s="72"/>
      <c r="ULR166" s="72"/>
      <c r="ULS166" s="72"/>
      <c r="ULT166" s="72"/>
      <c r="ULU166" s="72"/>
      <c r="ULV166" s="72"/>
      <c r="ULW166" s="72"/>
      <c r="ULX166" s="72"/>
      <c r="ULY166" s="72"/>
      <c r="ULZ166" s="72"/>
      <c r="UMA166" s="72"/>
      <c r="UMB166" s="72"/>
      <c r="UMC166" s="72"/>
      <c r="UMD166" s="72"/>
      <c r="UME166" s="72"/>
      <c r="UMF166" s="72"/>
      <c r="UMG166" s="72"/>
      <c r="UMH166" s="72"/>
      <c r="UMI166" s="72"/>
      <c r="UMJ166" s="72"/>
      <c r="UMK166" s="72"/>
      <c r="UML166" s="72"/>
      <c r="UMM166" s="72"/>
      <c r="UMN166" s="72"/>
      <c r="UMO166" s="72"/>
      <c r="UMP166" s="72"/>
      <c r="UMQ166" s="72"/>
      <c r="UMR166" s="72"/>
      <c r="UMS166" s="72"/>
      <c r="UMT166" s="72"/>
      <c r="UMU166" s="72"/>
      <c r="UMV166" s="72"/>
      <c r="UMW166" s="72"/>
      <c r="UMX166" s="72"/>
      <c r="UMY166" s="72"/>
      <c r="UMZ166" s="72"/>
      <c r="UNA166" s="72"/>
      <c r="UNB166" s="72"/>
      <c r="UNC166" s="72"/>
      <c r="UND166" s="72"/>
      <c r="UNE166" s="72"/>
      <c r="UNF166" s="72"/>
      <c r="UNG166" s="72"/>
      <c r="UNH166" s="72"/>
      <c r="UNI166" s="72"/>
      <c r="UNJ166" s="72"/>
      <c r="UNK166" s="72"/>
      <c r="UNL166" s="72"/>
      <c r="UNM166" s="72"/>
      <c r="UNN166" s="72"/>
      <c r="UNO166" s="72"/>
      <c r="UNP166" s="72"/>
      <c r="UNQ166" s="72"/>
      <c r="UNR166" s="72"/>
      <c r="UNS166" s="72"/>
      <c r="UNT166" s="72"/>
      <c r="UNU166" s="72"/>
      <c r="UNV166" s="72"/>
      <c r="UNW166" s="72"/>
      <c r="UNX166" s="72"/>
      <c r="UNY166" s="72"/>
      <c r="UNZ166" s="72"/>
      <c r="UOA166" s="72"/>
      <c r="UOB166" s="72"/>
      <c r="UOC166" s="72"/>
      <c r="UOD166" s="72"/>
      <c r="UOE166" s="72"/>
      <c r="UOF166" s="72"/>
      <c r="UOG166" s="72"/>
      <c r="UOH166" s="72"/>
      <c r="UOI166" s="72"/>
      <c r="UOJ166" s="72"/>
      <c r="UOK166" s="72"/>
      <c r="UOL166" s="72"/>
      <c r="UOM166" s="72"/>
      <c r="UON166" s="72"/>
      <c r="UOO166" s="72"/>
      <c r="UOP166" s="72"/>
      <c r="UOQ166" s="72"/>
      <c r="UOR166" s="72"/>
      <c r="UOS166" s="72"/>
      <c r="UOT166" s="72"/>
      <c r="UOU166" s="72"/>
      <c r="UOV166" s="72"/>
      <c r="UOW166" s="72"/>
      <c r="UOX166" s="72"/>
      <c r="UOY166" s="72"/>
      <c r="UOZ166" s="72"/>
      <c r="UPA166" s="72"/>
      <c r="UPB166" s="72"/>
      <c r="UPC166" s="72"/>
      <c r="UPD166" s="72"/>
      <c r="UPE166" s="72"/>
      <c r="UPF166" s="72"/>
      <c r="UPG166" s="72"/>
      <c r="UPH166" s="72"/>
      <c r="UPI166" s="72"/>
      <c r="UPJ166" s="72"/>
      <c r="UPK166" s="72"/>
      <c r="UPL166" s="72"/>
      <c r="UPM166" s="72"/>
      <c r="UPN166" s="72"/>
      <c r="UPO166" s="72"/>
      <c r="UPP166" s="72"/>
      <c r="UPQ166" s="72"/>
      <c r="UPR166" s="72"/>
      <c r="UPS166" s="72"/>
      <c r="UPT166" s="72"/>
      <c r="UPU166" s="72"/>
      <c r="UPV166" s="72"/>
      <c r="UPW166" s="72"/>
      <c r="UPX166" s="72"/>
      <c r="UPY166" s="72"/>
      <c r="UPZ166" s="72"/>
      <c r="UQA166" s="72"/>
      <c r="UQB166" s="72"/>
      <c r="UQC166" s="72"/>
      <c r="UQD166" s="72"/>
      <c r="UQE166" s="72"/>
      <c r="UQF166" s="72"/>
      <c r="UQG166" s="72"/>
      <c r="UQH166" s="72"/>
      <c r="UQI166" s="72"/>
      <c r="UQJ166" s="72"/>
      <c r="UQK166" s="72"/>
      <c r="UQL166" s="72"/>
      <c r="UQM166" s="72"/>
      <c r="UQN166" s="72"/>
      <c r="UQO166" s="72"/>
      <c r="UQP166" s="72"/>
      <c r="UQQ166" s="72"/>
      <c r="UQR166" s="72"/>
      <c r="UQS166" s="72"/>
      <c r="UQT166" s="72"/>
      <c r="UQU166" s="72"/>
      <c r="UQV166" s="72"/>
      <c r="UQW166" s="72"/>
      <c r="UQX166" s="72"/>
      <c r="UQY166" s="72"/>
      <c r="UQZ166" s="72"/>
      <c r="URA166" s="72"/>
      <c r="URB166" s="72"/>
      <c r="URC166" s="72"/>
      <c r="URD166" s="72"/>
      <c r="URE166" s="72"/>
      <c r="URF166" s="72"/>
      <c r="URG166" s="72"/>
      <c r="URH166" s="72"/>
      <c r="URI166" s="72"/>
      <c r="URJ166" s="72"/>
      <c r="URK166" s="72"/>
      <c r="URL166" s="72"/>
      <c r="URM166" s="72"/>
      <c r="URN166" s="72"/>
      <c r="URO166" s="72"/>
      <c r="URP166" s="72"/>
      <c r="URQ166" s="72"/>
      <c r="URR166" s="72"/>
      <c r="URS166" s="72"/>
      <c r="URT166" s="72"/>
      <c r="URU166" s="72"/>
      <c r="URV166" s="72"/>
      <c r="URW166" s="72"/>
      <c r="URX166" s="72"/>
      <c r="URY166" s="72"/>
      <c r="URZ166" s="72"/>
      <c r="USA166" s="72"/>
      <c r="USB166" s="72"/>
      <c r="USC166" s="72"/>
      <c r="USD166" s="72"/>
      <c r="USE166" s="72"/>
      <c r="USF166" s="72"/>
      <c r="USG166" s="72"/>
      <c r="USH166" s="72"/>
      <c r="USI166" s="72"/>
      <c r="USJ166" s="72"/>
      <c r="USK166" s="72"/>
      <c r="USL166" s="72"/>
      <c r="USM166" s="72"/>
      <c r="USN166" s="72"/>
      <c r="USO166" s="72"/>
      <c r="USP166" s="72"/>
      <c r="USQ166" s="72"/>
      <c r="USR166" s="72"/>
      <c r="USS166" s="72"/>
      <c r="UST166" s="72"/>
      <c r="USU166" s="72"/>
      <c r="USV166" s="72"/>
      <c r="USW166" s="72"/>
      <c r="USX166" s="72"/>
      <c r="USY166" s="72"/>
      <c r="USZ166" s="72"/>
      <c r="UTA166" s="72"/>
      <c r="UTB166" s="72"/>
      <c r="UTC166" s="72"/>
      <c r="UTD166" s="72"/>
      <c r="UTE166" s="72"/>
      <c r="UTF166" s="72"/>
      <c r="UTG166" s="72"/>
      <c r="UTH166" s="72"/>
      <c r="UTI166" s="72"/>
      <c r="UTJ166" s="72"/>
      <c r="UTK166" s="72"/>
      <c r="UTL166" s="72"/>
      <c r="UTM166" s="72"/>
      <c r="UTN166" s="72"/>
      <c r="UTO166" s="72"/>
      <c r="UTP166" s="72"/>
      <c r="UTQ166" s="72"/>
      <c r="UTR166" s="72"/>
      <c r="UTS166" s="72"/>
      <c r="UTT166" s="72"/>
      <c r="UTU166" s="72"/>
      <c r="UTV166" s="72"/>
      <c r="UTW166" s="72"/>
      <c r="UTX166" s="72"/>
      <c r="UTY166" s="72"/>
      <c r="UTZ166" s="72"/>
      <c r="UUA166" s="72"/>
      <c r="UUB166" s="72"/>
      <c r="UUC166" s="72"/>
      <c r="UUD166" s="72"/>
      <c r="UUE166" s="72"/>
      <c r="UUF166" s="72"/>
      <c r="UUG166" s="72"/>
      <c r="UUH166" s="72"/>
      <c r="UUI166" s="72"/>
      <c r="UUJ166" s="72"/>
      <c r="UUK166" s="72"/>
      <c r="UUL166" s="72"/>
      <c r="UUM166" s="72"/>
      <c r="UUN166" s="72"/>
      <c r="UUO166" s="72"/>
      <c r="UUP166" s="72"/>
      <c r="UUQ166" s="72"/>
      <c r="UUR166" s="72"/>
      <c r="UUS166" s="72"/>
      <c r="UUT166" s="72"/>
      <c r="UUU166" s="72"/>
      <c r="UUV166" s="72"/>
      <c r="UUW166" s="72"/>
      <c r="UUX166" s="72"/>
      <c r="UUY166" s="72"/>
      <c r="UUZ166" s="72"/>
      <c r="UVA166" s="72"/>
      <c r="UVB166" s="72"/>
      <c r="UVC166" s="72"/>
      <c r="UVD166" s="72"/>
      <c r="UVE166" s="72"/>
      <c r="UVF166" s="72"/>
      <c r="UVG166" s="72"/>
      <c r="UVH166" s="72"/>
      <c r="UVI166" s="72"/>
      <c r="UVJ166" s="72"/>
      <c r="UVK166" s="72"/>
      <c r="UVL166" s="72"/>
      <c r="UVM166" s="72"/>
      <c r="UVN166" s="72"/>
      <c r="UVO166" s="72"/>
      <c r="UVP166" s="72"/>
      <c r="UVQ166" s="72"/>
      <c r="UVR166" s="72"/>
      <c r="UVS166" s="72"/>
      <c r="UVT166" s="72"/>
      <c r="UVU166" s="72"/>
      <c r="UVV166" s="72"/>
      <c r="UVW166" s="72"/>
      <c r="UVX166" s="72"/>
      <c r="UVY166" s="72"/>
      <c r="UVZ166" s="72"/>
      <c r="UWA166" s="72"/>
      <c r="UWB166" s="72"/>
      <c r="UWC166" s="72"/>
      <c r="UWD166" s="72"/>
      <c r="UWE166" s="72"/>
      <c r="UWF166" s="72"/>
      <c r="UWG166" s="72"/>
      <c r="UWH166" s="72"/>
      <c r="UWI166" s="72"/>
      <c r="UWJ166" s="72"/>
      <c r="UWK166" s="72"/>
      <c r="UWL166" s="72"/>
      <c r="UWM166" s="72"/>
      <c r="UWN166" s="72"/>
      <c r="UWO166" s="72"/>
      <c r="UWP166" s="72"/>
      <c r="UWQ166" s="72"/>
      <c r="UWR166" s="72"/>
      <c r="UWS166" s="72"/>
      <c r="UWT166" s="72"/>
      <c r="UWU166" s="72"/>
      <c r="UWV166" s="72"/>
      <c r="UWW166" s="72"/>
      <c r="UWX166" s="72"/>
      <c r="UWY166" s="72"/>
      <c r="UWZ166" s="72"/>
      <c r="UXA166" s="72"/>
      <c r="UXB166" s="72"/>
      <c r="UXC166" s="72"/>
      <c r="UXD166" s="72"/>
      <c r="UXE166" s="72"/>
      <c r="UXF166" s="72"/>
      <c r="UXG166" s="72"/>
      <c r="UXH166" s="72"/>
      <c r="UXI166" s="72"/>
      <c r="UXJ166" s="72"/>
      <c r="UXK166" s="72"/>
      <c r="UXL166" s="72"/>
      <c r="UXM166" s="72"/>
      <c r="UXN166" s="72"/>
      <c r="UXO166" s="72"/>
      <c r="UXP166" s="72"/>
      <c r="UXQ166" s="72"/>
      <c r="UXR166" s="72"/>
      <c r="UXS166" s="72"/>
      <c r="UXT166" s="72"/>
      <c r="UXU166" s="72"/>
      <c r="UXV166" s="72"/>
      <c r="UXW166" s="72"/>
      <c r="UXX166" s="72"/>
      <c r="UXY166" s="72"/>
      <c r="UXZ166" s="72"/>
      <c r="UYA166" s="72"/>
      <c r="UYB166" s="72"/>
      <c r="UYC166" s="72"/>
      <c r="UYD166" s="72"/>
      <c r="UYE166" s="72"/>
      <c r="UYF166" s="72"/>
      <c r="UYG166" s="72"/>
      <c r="UYH166" s="72"/>
      <c r="UYI166" s="72"/>
      <c r="UYJ166" s="72"/>
      <c r="UYK166" s="72"/>
      <c r="UYL166" s="72"/>
      <c r="UYM166" s="72"/>
      <c r="UYN166" s="72"/>
      <c r="UYO166" s="72"/>
      <c r="UYP166" s="72"/>
      <c r="UYQ166" s="72"/>
      <c r="UYR166" s="72"/>
      <c r="UYS166" s="72"/>
      <c r="UYT166" s="72"/>
      <c r="UYU166" s="72"/>
      <c r="UYV166" s="72"/>
      <c r="UYW166" s="72"/>
      <c r="UYX166" s="72"/>
      <c r="UYY166" s="72"/>
      <c r="UYZ166" s="72"/>
      <c r="UZA166" s="72"/>
      <c r="UZB166" s="72"/>
      <c r="UZC166" s="72"/>
      <c r="UZD166" s="72"/>
      <c r="UZE166" s="72"/>
      <c r="UZF166" s="72"/>
      <c r="UZG166" s="72"/>
      <c r="UZH166" s="72"/>
      <c r="UZI166" s="72"/>
      <c r="UZJ166" s="72"/>
      <c r="UZK166" s="72"/>
      <c r="UZL166" s="72"/>
      <c r="UZM166" s="72"/>
      <c r="UZN166" s="72"/>
      <c r="UZO166" s="72"/>
      <c r="UZP166" s="72"/>
      <c r="UZQ166" s="72"/>
      <c r="UZR166" s="72"/>
      <c r="UZS166" s="72"/>
      <c r="UZT166" s="72"/>
      <c r="UZU166" s="72"/>
      <c r="UZV166" s="72"/>
      <c r="UZW166" s="72"/>
      <c r="UZX166" s="72"/>
      <c r="UZY166" s="72"/>
      <c r="UZZ166" s="72"/>
      <c r="VAA166" s="72"/>
      <c r="VAB166" s="72"/>
      <c r="VAC166" s="72"/>
      <c r="VAD166" s="72"/>
      <c r="VAE166" s="72"/>
      <c r="VAF166" s="72"/>
      <c r="VAG166" s="72"/>
      <c r="VAH166" s="72"/>
      <c r="VAI166" s="72"/>
      <c r="VAJ166" s="72"/>
      <c r="VAK166" s="72"/>
      <c r="VAL166" s="72"/>
      <c r="VAM166" s="72"/>
      <c r="VAN166" s="72"/>
      <c r="VAO166" s="72"/>
      <c r="VAP166" s="72"/>
      <c r="VAQ166" s="72"/>
      <c r="VAR166" s="72"/>
      <c r="VAS166" s="72"/>
      <c r="VAT166" s="72"/>
      <c r="VAU166" s="72"/>
      <c r="VAV166" s="72"/>
      <c r="VAW166" s="72"/>
      <c r="VAX166" s="72"/>
      <c r="VAY166" s="72"/>
      <c r="VAZ166" s="72"/>
      <c r="VBA166" s="72"/>
      <c r="VBB166" s="72"/>
      <c r="VBC166" s="72"/>
      <c r="VBD166" s="72"/>
      <c r="VBE166" s="72"/>
      <c r="VBF166" s="72"/>
      <c r="VBG166" s="72"/>
      <c r="VBH166" s="72"/>
      <c r="VBI166" s="72"/>
      <c r="VBJ166" s="72"/>
      <c r="VBK166" s="72"/>
      <c r="VBL166" s="72"/>
      <c r="VBM166" s="72"/>
      <c r="VBN166" s="72"/>
      <c r="VBO166" s="72"/>
      <c r="VBP166" s="72"/>
      <c r="VBQ166" s="72"/>
      <c r="VBR166" s="72"/>
      <c r="VBS166" s="72"/>
      <c r="VBT166" s="72"/>
      <c r="VBU166" s="72"/>
      <c r="VBV166" s="72"/>
      <c r="VBW166" s="72"/>
      <c r="VBX166" s="72"/>
      <c r="VBY166" s="72"/>
      <c r="VBZ166" s="72"/>
      <c r="VCA166" s="72"/>
      <c r="VCB166" s="72"/>
      <c r="VCC166" s="72"/>
      <c r="VCD166" s="72"/>
      <c r="VCE166" s="72"/>
      <c r="VCF166" s="72"/>
      <c r="VCG166" s="72"/>
      <c r="VCH166" s="72"/>
      <c r="VCI166" s="72"/>
      <c r="VCJ166" s="72"/>
      <c r="VCK166" s="72"/>
      <c r="VCL166" s="72"/>
      <c r="VCM166" s="72"/>
      <c r="VCN166" s="72"/>
      <c r="VCO166" s="72"/>
      <c r="VCP166" s="72"/>
      <c r="VCQ166" s="72"/>
      <c r="VCR166" s="72"/>
      <c r="VCS166" s="72"/>
      <c r="VCT166" s="72"/>
      <c r="VCU166" s="72"/>
      <c r="VCV166" s="72"/>
      <c r="VCW166" s="72"/>
      <c r="VCX166" s="72"/>
      <c r="VCY166" s="72"/>
      <c r="VCZ166" s="72"/>
      <c r="VDA166" s="72"/>
      <c r="VDB166" s="72"/>
      <c r="VDC166" s="72"/>
      <c r="VDD166" s="72"/>
      <c r="VDE166" s="72"/>
      <c r="VDF166" s="72"/>
      <c r="VDG166" s="72"/>
      <c r="VDH166" s="72"/>
      <c r="VDI166" s="72"/>
      <c r="VDJ166" s="72"/>
      <c r="VDK166" s="72"/>
      <c r="VDL166" s="72"/>
      <c r="VDM166" s="72"/>
      <c r="VDN166" s="72"/>
      <c r="VDO166" s="72"/>
      <c r="VDP166" s="72"/>
      <c r="VDQ166" s="72"/>
      <c r="VDR166" s="72"/>
      <c r="VDS166" s="72"/>
      <c r="VDT166" s="72"/>
      <c r="VDU166" s="72"/>
      <c r="VDV166" s="72"/>
      <c r="VDW166" s="72"/>
      <c r="VDX166" s="72"/>
      <c r="VDY166" s="72"/>
      <c r="VDZ166" s="72"/>
      <c r="VEA166" s="72"/>
      <c r="VEB166" s="72"/>
      <c r="VEC166" s="72"/>
      <c r="VED166" s="72"/>
      <c r="VEE166" s="72"/>
      <c r="VEF166" s="72"/>
      <c r="VEG166" s="72"/>
      <c r="VEH166" s="72"/>
      <c r="VEI166" s="72"/>
      <c r="VEJ166" s="72"/>
      <c r="VEK166" s="72"/>
      <c r="VEL166" s="72"/>
      <c r="VEM166" s="72"/>
      <c r="VEN166" s="72"/>
      <c r="VEO166" s="72"/>
      <c r="VEP166" s="72"/>
      <c r="VEQ166" s="72"/>
      <c r="VER166" s="72"/>
      <c r="VES166" s="72"/>
      <c r="VET166" s="72"/>
      <c r="VEU166" s="72"/>
      <c r="VEV166" s="72"/>
      <c r="VEW166" s="72"/>
      <c r="VEX166" s="72"/>
      <c r="VEY166" s="72"/>
      <c r="VEZ166" s="72"/>
      <c r="VFA166" s="72"/>
      <c r="VFB166" s="72"/>
      <c r="VFC166" s="72"/>
      <c r="VFD166" s="72"/>
      <c r="VFE166" s="72"/>
      <c r="VFF166" s="72"/>
      <c r="VFG166" s="72"/>
      <c r="VFH166" s="72"/>
      <c r="VFI166" s="72"/>
      <c r="VFJ166" s="72"/>
      <c r="VFK166" s="72"/>
      <c r="VFL166" s="72"/>
      <c r="VFM166" s="72"/>
      <c r="VFN166" s="72"/>
      <c r="VFO166" s="72"/>
      <c r="VFP166" s="72"/>
      <c r="VFQ166" s="72"/>
      <c r="VFR166" s="72"/>
      <c r="VFS166" s="72"/>
      <c r="VFT166" s="72"/>
      <c r="VFU166" s="72"/>
      <c r="VFV166" s="72"/>
      <c r="VFW166" s="72"/>
      <c r="VFX166" s="72"/>
      <c r="VFY166" s="72"/>
      <c r="VFZ166" s="72"/>
      <c r="VGA166" s="72"/>
      <c r="VGB166" s="72"/>
      <c r="VGC166" s="72"/>
      <c r="VGD166" s="72"/>
      <c r="VGE166" s="72"/>
      <c r="VGF166" s="72"/>
      <c r="VGG166" s="72"/>
      <c r="VGH166" s="72"/>
      <c r="VGI166" s="72"/>
      <c r="VGJ166" s="72"/>
      <c r="VGK166" s="72"/>
      <c r="VGL166" s="72"/>
      <c r="VGM166" s="72"/>
      <c r="VGN166" s="72"/>
      <c r="VGO166" s="72"/>
      <c r="VGP166" s="72"/>
      <c r="VGQ166" s="72"/>
      <c r="VGR166" s="72"/>
      <c r="VGS166" s="72"/>
      <c r="VGT166" s="72"/>
      <c r="VGU166" s="72"/>
      <c r="VGV166" s="72"/>
      <c r="VGW166" s="72"/>
      <c r="VGX166" s="72"/>
      <c r="VGY166" s="72"/>
      <c r="VGZ166" s="72"/>
      <c r="VHA166" s="72"/>
      <c r="VHB166" s="72"/>
      <c r="VHC166" s="72"/>
      <c r="VHD166" s="72"/>
      <c r="VHE166" s="72"/>
      <c r="VHF166" s="72"/>
      <c r="VHG166" s="72"/>
      <c r="VHH166" s="72"/>
      <c r="VHI166" s="72"/>
      <c r="VHJ166" s="72"/>
      <c r="VHK166" s="72"/>
      <c r="VHL166" s="72"/>
      <c r="VHM166" s="72"/>
      <c r="VHN166" s="72"/>
      <c r="VHO166" s="72"/>
      <c r="VHP166" s="72"/>
      <c r="VHQ166" s="72"/>
      <c r="VHR166" s="72"/>
      <c r="VHS166" s="72"/>
      <c r="VHT166" s="72"/>
      <c r="VHU166" s="72"/>
      <c r="VHV166" s="72"/>
      <c r="VHW166" s="72"/>
      <c r="VHX166" s="72"/>
      <c r="VHY166" s="72"/>
      <c r="VHZ166" s="72"/>
      <c r="VIA166" s="72"/>
      <c r="VIB166" s="72"/>
      <c r="VIC166" s="72"/>
      <c r="VID166" s="72"/>
      <c r="VIE166" s="72"/>
      <c r="VIF166" s="72"/>
      <c r="VIG166" s="72"/>
      <c r="VIH166" s="72"/>
      <c r="VII166" s="72"/>
      <c r="VIJ166" s="72"/>
      <c r="VIK166" s="72"/>
      <c r="VIL166" s="72"/>
      <c r="VIM166" s="72"/>
      <c r="VIN166" s="72"/>
      <c r="VIO166" s="72"/>
      <c r="VIP166" s="72"/>
      <c r="VIQ166" s="72"/>
      <c r="VIR166" s="72"/>
      <c r="VIS166" s="72"/>
      <c r="VIT166" s="72"/>
      <c r="VIU166" s="72"/>
      <c r="VIV166" s="72"/>
      <c r="VIW166" s="72"/>
      <c r="VIX166" s="72"/>
      <c r="VIY166" s="72"/>
      <c r="VIZ166" s="72"/>
      <c r="VJA166" s="72"/>
      <c r="VJB166" s="72"/>
      <c r="VJC166" s="72"/>
      <c r="VJD166" s="72"/>
      <c r="VJE166" s="72"/>
      <c r="VJF166" s="72"/>
      <c r="VJG166" s="72"/>
      <c r="VJH166" s="72"/>
      <c r="VJI166" s="72"/>
      <c r="VJJ166" s="72"/>
      <c r="VJK166" s="72"/>
      <c r="VJL166" s="72"/>
      <c r="VJM166" s="72"/>
      <c r="VJN166" s="72"/>
      <c r="VJO166" s="72"/>
      <c r="VJP166" s="72"/>
      <c r="VJQ166" s="72"/>
      <c r="VJR166" s="72"/>
      <c r="VJS166" s="72"/>
      <c r="VJT166" s="72"/>
      <c r="VJU166" s="72"/>
      <c r="VJV166" s="72"/>
      <c r="VJW166" s="72"/>
      <c r="VJX166" s="72"/>
      <c r="VJY166" s="72"/>
      <c r="VJZ166" s="72"/>
      <c r="VKA166" s="72"/>
      <c r="VKB166" s="72"/>
      <c r="VKC166" s="72"/>
      <c r="VKD166" s="72"/>
      <c r="VKE166" s="72"/>
      <c r="VKF166" s="72"/>
      <c r="VKG166" s="72"/>
      <c r="VKH166" s="72"/>
      <c r="VKI166" s="72"/>
      <c r="VKJ166" s="72"/>
      <c r="VKK166" s="72"/>
      <c r="VKL166" s="72"/>
      <c r="VKM166" s="72"/>
      <c r="VKN166" s="72"/>
      <c r="VKO166" s="72"/>
      <c r="VKP166" s="72"/>
      <c r="VKQ166" s="72"/>
      <c r="VKR166" s="72"/>
      <c r="VKS166" s="72"/>
      <c r="VKT166" s="72"/>
      <c r="VKU166" s="72"/>
      <c r="VKV166" s="72"/>
      <c r="VKW166" s="72"/>
      <c r="VKX166" s="72"/>
      <c r="VKY166" s="72"/>
      <c r="VKZ166" s="72"/>
      <c r="VLA166" s="72"/>
      <c r="VLB166" s="72"/>
      <c r="VLC166" s="72"/>
      <c r="VLD166" s="72"/>
      <c r="VLE166" s="72"/>
      <c r="VLF166" s="72"/>
      <c r="VLG166" s="72"/>
      <c r="VLH166" s="72"/>
      <c r="VLI166" s="72"/>
      <c r="VLJ166" s="72"/>
      <c r="VLK166" s="72"/>
      <c r="VLL166" s="72"/>
      <c r="VLM166" s="72"/>
      <c r="VLN166" s="72"/>
      <c r="VLO166" s="72"/>
      <c r="VLP166" s="72"/>
      <c r="VLQ166" s="72"/>
      <c r="VLR166" s="72"/>
      <c r="VLS166" s="72"/>
      <c r="VLT166" s="72"/>
      <c r="VLU166" s="72"/>
      <c r="VLV166" s="72"/>
      <c r="VLW166" s="72"/>
      <c r="VLX166" s="72"/>
      <c r="VLY166" s="72"/>
      <c r="VLZ166" s="72"/>
      <c r="VMA166" s="72"/>
      <c r="VMB166" s="72"/>
      <c r="VMC166" s="72"/>
      <c r="VMD166" s="72"/>
      <c r="VME166" s="72"/>
      <c r="VMF166" s="72"/>
      <c r="VMG166" s="72"/>
      <c r="VMH166" s="72"/>
      <c r="VMI166" s="72"/>
      <c r="VMJ166" s="72"/>
      <c r="VMK166" s="72"/>
      <c r="VML166" s="72"/>
      <c r="VMM166" s="72"/>
      <c r="VMN166" s="72"/>
      <c r="VMO166" s="72"/>
      <c r="VMP166" s="72"/>
      <c r="VMQ166" s="72"/>
      <c r="VMR166" s="72"/>
      <c r="VMS166" s="72"/>
      <c r="VMT166" s="72"/>
      <c r="VMU166" s="72"/>
      <c r="VMV166" s="72"/>
      <c r="VMW166" s="72"/>
      <c r="VMX166" s="72"/>
      <c r="VMY166" s="72"/>
      <c r="VMZ166" s="72"/>
      <c r="VNA166" s="72"/>
      <c r="VNB166" s="72"/>
      <c r="VNC166" s="72"/>
      <c r="VND166" s="72"/>
      <c r="VNE166" s="72"/>
      <c r="VNF166" s="72"/>
      <c r="VNG166" s="72"/>
      <c r="VNH166" s="72"/>
      <c r="VNI166" s="72"/>
      <c r="VNJ166" s="72"/>
      <c r="VNK166" s="72"/>
      <c r="VNL166" s="72"/>
      <c r="VNM166" s="72"/>
      <c r="VNN166" s="72"/>
      <c r="VNO166" s="72"/>
      <c r="VNP166" s="72"/>
      <c r="VNQ166" s="72"/>
      <c r="VNR166" s="72"/>
      <c r="VNS166" s="72"/>
      <c r="VNT166" s="72"/>
      <c r="VNU166" s="72"/>
      <c r="VNV166" s="72"/>
      <c r="VNW166" s="72"/>
      <c r="VNX166" s="72"/>
      <c r="VNY166" s="72"/>
      <c r="VNZ166" s="72"/>
      <c r="VOA166" s="72"/>
      <c r="VOB166" s="72"/>
      <c r="VOC166" s="72"/>
      <c r="VOD166" s="72"/>
      <c r="VOE166" s="72"/>
      <c r="VOF166" s="72"/>
      <c r="VOG166" s="72"/>
      <c r="VOH166" s="72"/>
      <c r="VOI166" s="72"/>
      <c r="VOJ166" s="72"/>
      <c r="VOK166" s="72"/>
      <c r="VOL166" s="72"/>
      <c r="VOM166" s="72"/>
      <c r="VON166" s="72"/>
      <c r="VOO166" s="72"/>
      <c r="VOP166" s="72"/>
      <c r="VOQ166" s="72"/>
      <c r="VOR166" s="72"/>
      <c r="VOS166" s="72"/>
      <c r="VOT166" s="72"/>
      <c r="VOU166" s="72"/>
      <c r="VOV166" s="72"/>
      <c r="VOW166" s="72"/>
      <c r="VOX166" s="72"/>
      <c r="VOY166" s="72"/>
      <c r="VOZ166" s="72"/>
      <c r="VPA166" s="72"/>
      <c r="VPB166" s="72"/>
      <c r="VPC166" s="72"/>
      <c r="VPD166" s="72"/>
      <c r="VPE166" s="72"/>
      <c r="VPF166" s="72"/>
      <c r="VPG166" s="72"/>
      <c r="VPH166" s="72"/>
      <c r="VPI166" s="72"/>
      <c r="VPJ166" s="72"/>
      <c r="VPK166" s="72"/>
      <c r="VPL166" s="72"/>
      <c r="VPM166" s="72"/>
      <c r="VPN166" s="72"/>
      <c r="VPO166" s="72"/>
      <c r="VPP166" s="72"/>
      <c r="VPQ166" s="72"/>
      <c r="VPR166" s="72"/>
      <c r="VPS166" s="72"/>
      <c r="VPT166" s="72"/>
      <c r="VPU166" s="72"/>
      <c r="VPV166" s="72"/>
      <c r="VPW166" s="72"/>
      <c r="VPX166" s="72"/>
      <c r="VPY166" s="72"/>
      <c r="VPZ166" s="72"/>
      <c r="VQA166" s="72"/>
      <c r="VQB166" s="72"/>
      <c r="VQC166" s="72"/>
      <c r="VQD166" s="72"/>
      <c r="VQE166" s="72"/>
      <c r="VQF166" s="72"/>
      <c r="VQG166" s="72"/>
      <c r="VQH166" s="72"/>
      <c r="VQI166" s="72"/>
      <c r="VQJ166" s="72"/>
      <c r="VQK166" s="72"/>
      <c r="VQL166" s="72"/>
      <c r="VQM166" s="72"/>
      <c r="VQN166" s="72"/>
      <c r="VQO166" s="72"/>
      <c r="VQP166" s="72"/>
      <c r="VQQ166" s="72"/>
      <c r="VQR166" s="72"/>
      <c r="VQS166" s="72"/>
      <c r="VQT166" s="72"/>
      <c r="VQU166" s="72"/>
      <c r="VQV166" s="72"/>
      <c r="VQW166" s="72"/>
      <c r="VQX166" s="72"/>
      <c r="VQY166" s="72"/>
      <c r="VQZ166" s="72"/>
      <c r="VRA166" s="72"/>
      <c r="VRB166" s="72"/>
      <c r="VRC166" s="72"/>
      <c r="VRD166" s="72"/>
      <c r="VRE166" s="72"/>
      <c r="VRF166" s="72"/>
      <c r="VRG166" s="72"/>
      <c r="VRH166" s="72"/>
      <c r="VRI166" s="72"/>
      <c r="VRJ166" s="72"/>
      <c r="VRK166" s="72"/>
      <c r="VRL166" s="72"/>
      <c r="VRM166" s="72"/>
      <c r="VRN166" s="72"/>
      <c r="VRO166" s="72"/>
      <c r="VRP166" s="72"/>
      <c r="VRQ166" s="72"/>
      <c r="VRR166" s="72"/>
      <c r="VRS166" s="72"/>
      <c r="VRT166" s="72"/>
      <c r="VRU166" s="72"/>
      <c r="VRV166" s="72"/>
      <c r="VRW166" s="72"/>
      <c r="VRX166" s="72"/>
      <c r="VRY166" s="72"/>
      <c r="VRZ166" s="72"/>
      <c r="VSA166" s="72"/>
      <c r="VSB166" s="72"/>
      <c r="VSC166" s="72"/>
      <c r="VSD166" s="72"/>
      <c r="VSE166" s="72"/>
      <c r="VSF166" s="72"/>
      <c r="VSG166" s="72"/>
      <c r="VSH166" s="72"/>
      <c r="VSI166" s="72"/>
      <c r="VSJ166" s="72"/>
      <c r="VSK166" s="72"/>
      <c r="VSL166" s="72"/>
      <c r="VSM166" s="72"/>
      <c r="VSN166" s="72"/>
      <c r="VSO166" s="72"/>
      <c r="VSP166" s="72"/>
      <c r="VSQ166" s="72"/>
      <c r="VSR166" s="72"/>
      <c r="VSS166" s="72"/>
      <c r="VST166" s="72"/>
      <c r="VSU166" s="72"/>
      <c r="VSV166" s="72"/>
      <c r="VSW166" s="72"/>
      <c r="VSX166" s="72"/>
      <c r="VSY166" s="72"/>
      <c r="VSZ166" s="72"/>
      <c r="VTA166" s="72"/>
      <c r="VTB166" s="72"/>
      <c r="VTC166" s="72"/>
      <c r="VTD166" s="72"/>
      <c r="VTE166" s="72"/>
      <c r="VTF166" s="72"/>
      <c r="VTG166" s="72"/>
      <c r="VTH166" s="72"/>
      <c r="VTI166" s="72"/>
      <c r="VTJ166" s="72"/>
      <c r="VTK166" s="72"/>
      <c r="VTL166" s="72"/>
      <c r="VTM166" s="72"/>
      <c r="VTN166" s="72"/>
      <c r="VTO166" s="72"/>
      <c r="VTP166" s="72"/>
      <c r="VTQ166" s="72"/>
      <c r="VTR166" s="72"/>
      <c r="VTS166" s="72"/>
      <c r="VTT166" s="72"/>
      <c r="VTU166" s="72"/>
      <c r="VTV166" s="72"/>
      <c r="VTW166" s="72"/>
      <c r="VTX166" s="72"/>
      <c r="VTY166" s="72"/>
      <c r="VTZ166" s="72"/>
      <c r="VUA166" s="72"/>
      <c r="VUB166" s="72"/>
      <c r="VUC166" s="72"/>
      <c r="VUD166" s="72"/>
      <c r="VUE166" s="72"/>
      <c r="VUF166" s="72"/>
      <c r="VUG166" s="72"/>
      <c r="VUH166" s="72"/>
      <c r="VUI166" s="72"/>
      <c r="VUJ166" s="72"/>
      <c r="VUK166" s="72"/>
      <c r="VUL166" s="72"/>
      <c r="VUM166" s="72"/>
      <c r="VUN166" s="72"/>
      <c r="VUO166" s="72"/>
      <c r="VUP166" s="72"/>
      <c r="VUQ166" s="72"/>
      <c r="VUR166" s="72"/>
      <c r="VUS166" s="72"/>
      <c r="VUT166" s="72"/>
      <c r="VUU166" s="72"/>
      <c r="VUV166" s="72"/>
      <c r="VUW166" s="72"/>
      <c r="VUX166" s="72"/>
      <c r="VUY166" s="72"/>
      <c r="VUZ166" s="72"/>
      <c r="VVA166" s="72"/>
      <c r="VVB166" s="72"/>
      <c r="VVC166" s="72"/>
      <c r="VVD166" s="72"/>
      <c r="VVE166" s="72"/>
      <c r="VVF166" s="72"/>
      <c r="VVG166" s="72"/>
      <c r="VVH166" s="72"/>
      <c r="VVI166" s="72"/>
      <c r="VVJ166" s="72"/>
      <c r="VVK166" s="72"/>
      <c r="VVL166" s="72"/>
      <c r="VVM166" s="72"/>
      <c r="VVN166" s="72"/>
      <c r="VVO166" s="72"/>
      <c r="VVP166" s="72"/>
      <c r="VVQ166" s="72"/>
      <c r="VVR166" s="72"/>
      <c r="VVS166" s="72"/>
      <c r="VVT166" s="72"/>
      <c r="VVU166" s="72"/>
      <c r="VVV166" s="72"/>
      <c r="VVW166" s="72"/>
      <c r="VVX166" s="72"/>
      <c r="VVY166" s="72"/>
      <c r="VVZ166" s="72"/>
      <c r="VWA166" s="72"/>
      <c r="VWB166" s="72"/>
      <c r="VWC166" s="72"/>
      <c r="VWD166" s="72"/>
      <c r="VWE166" s="72"/>
      <c r="VWF166" s="72"/>
      <c r="VWG166" s="72"/>
      <c r="VWH166" s="72"/>
      <c r="VWI166" s="72"/>
      <c r="VWJ166" s="72"/>
      <c r="VWK166" s="72"/>
      <c r="VWL166" s="72"/>
      <c r="VWM166" s="72"/>
      <c r="VWN166" s="72"/>
      <c r="VWO166" s="72"/>
      <c r="VWP166" s="72"/>
      <c r="VWQ166" s="72"/>
      <c r="VWR166" s="72"/>
      <c r="VWS166" s="72"/>
      <c r="VWT166" s="72"/>
      <c r="VWU166" s="72"/>
      <c r="VWV166" s="72"/>
      <c r="VWW166" s="72"/>
      <c r="VWX166" s="72"/>
      <c r="VWY166" s="72"/>
      <c r="VWZ166" s="72"/>
      <c r="VXA166" s="72"/>
      <c r="VXB166" s="72"/>
      <c r="VXC166" s="72"/>
      <c r="VXD166" s="72"/>
      <c r="VXE166" s="72"/>
      <c r="VXF166" s="72"/>
      <c r="VXG166" s="72"/>
      <c r="VXH166" s="72"/>
      <c r="VXI166" s="72"/>
      <c r="VXJ166" s="72"/>
      <c r="VXK166" s="72"/>
      <c r="VXL166" s="72"/>
      <c r="VXM166" s="72"/>
      <c r="VXN166" s="72"/>
      <c r="VXO166" s="72"/>
      <c r="VXP166" s="72"/>
      <c r="VXQ166" s="72"/>
      <c r="VXR166" s="72"/>
      <c r="VXS166" s="72"/>
      <c r="VXT166" s="72"/>
      <c r="VXU166" s="72"/>
      <c r="VXV166" s="72"/>
      <c r="VXW166" s="72"/>
      <c r="VXX166" s="72"/>
      <c r="VXY166" s="72"/>
      <c r="VXZ166" s="72"/>
      <c r="VYA166" s="72"/>
      <c r="VYB166" s="72"/>
      <c r="VYC166" s="72"/>
      <c r="VYD166" s="72"/>
      <c r="VYE166" s="72"/>
      <c r="VYF166" s="72"/>
      <c r="VYG166" s="72"/>
      <c r="VYH166" s="72"/>
      <c r="VYI166" s="72"/>
      <c r="VYJ166" s="72"/>
      <c r="VYK166" s="72"/>
      <c r="VYL166" s="72"/>
      <c r="VYM166" s="72"/>
      <c r="VYN166" s="72"/>
      <c r="VYO166" s="72"/>
      <c r="VYP166" s="72"/>
      <c r="VYQ166" s="72"/>
      <c r="VYR166" s="72"/>
      <c r="VYS166" s="72"/>
      <c r="VYT166" s="72"/>
      <c r="VYU166" s="72"/>
      <c r="VYV166" s="72"/>
      <c r="VYW166" s="72"/>
      <c r="VYX166" s="72"/>
      <c r="VYY166" s="72"/>
      <c r="VYZ166" s="72"/>
      <c r="VZA166" s="72"/>
      <c r="VZB166" s="72"/>
      <c r="VZC166" s="72"/>
      <c r="VZD166" s="72"/>
      <c r="VZE166" s="72"/>
      <c r="VZF166" s="72"/>
      <c r="VZG166" s="72"/>
      <c r="VZH166" s="72"/>
      <c r="VZI166" s="72"/>
      <c r="VZJ166" s="72"/>
      <c r="VZK166" s="72"/>
      <c r="VZL166" s="72"/>
      <c r="VZM166" s="72"/>
      <c r="VZN166" s="72"/>
      <c r="VZO166" s="72"/>
      <c r="VZP166" s="72"/>
      <c r="VZQ166" s="72"/>
      <c r="VZR166" s="72"/>
      <c r="VZS166" s="72"/>
      <c r="VZT166" s="72"/>
      <c r="VZU166" s="72"/>
      <c r="VZV166" s="72"/>
      <c r="VZW166" s="72"/>
      <c r="VZX166" s="72"/>
      <c r="VZY166" s="72"/>
      <c r="VZZ166" s="72"/>
      <c r="WAA166" s="72"/>
      <c r="WAB166" s="72"/>
      <c r="WAC166" s="72"/>
      <c r="WAD166" s="72"/>
      <c r="WAE166" s="72"/>
      <c r="WAF166" s="72"/>
      <c r="WAG166" s="72"/>
      <c r="WAH166" s="72"/>
      <c r="WAI166" s="72"/>
      <c r="WAJ166" s="72"/>
      <c r="WAK166" s="72"/>
      <c r="WAL166" s="72"/>
      <c r="WAM166" s="72"/>
      <c r="WAN166" s="72"/>
      <c r="WAO166" s="72"/>
      <c r="WAP166" s="72"/>
      <c r="WAQ166" s="72"/>
      <c r="WAR166" s="72"/>
      <c r="WAS166" s="72"/>
      <c r="WAT166" s="72"/>
      <c r="WAU166" s="72"/>
      <c r="WAV166" s="72"/>
      <c r="WAW166" s="72"/>
      <c r="WAX166" s="72"/>
      <c r="WAY166" s="72"/>
      <c r="WAZ166" s="72"/>
      <c r="WBA166" s="72"/>
      <c r="WBB166" s="72"/>
      <c r="WBC166" s="72"/>
      <c r="WBD166" s="72"/>
      <c r="WBE166" s="72"/>
      <c r="WBF166" s="72"/>
      <c r="WBG166" s="72"/>
      <c r="WBH166" s="72"/>
      <c r="WBI166" s="72"/>
      <c r="WBJ166" s="72"/>
      <c r="WBK166" s="72"/>
      <c r="WBL166" s="72"/>
      <c r="WBM166" s="72"/>
      <c r="WBN166" s="72"/>
      <c r="WBO166" s="72"/>
      <c r="WBP166" s="72"/>
      <c r="WBQ166" s="72"/>
      <c r="WBR166" s="72"/>
      <c r="WBS166" s="72"/>
      <c r="WBT166" s="72"/>
      <c r="WBU166" s="72"/>
      <c r="WBV166" s="72"/>
      <c r="WBW166" s="72"/>
      <c r="WBX166" s="72"/>
      <c r="WBY166" s="72"/>
      <c r="WBZ166" s="72"/>
      <c r="WCA166" s="72"/>
      <c r="WCB166" s="72"/>
      <c r="WCC166" s="72"/>
      <c r="WCD166" s="72"/>
      <c r="WCE166" s="72"/>
      <c r="WCF166" s="72"/>
      <c r="WCG166" s="72"/>
      <c r="WCH166" s="72"/>
      <c r="WCI166" s="72"/>
      <c r="WCJ166" s="72"/>
      <c r="WCK166" s="72"/>
      <c r="WCL166" s="72"/>
      <c r="WCM166" s="72"/>
      <c r="WCN166" s="72"/>
      <c r="WCO166" s="72"/>
      <c r="WCP166" s="72"/>
      <c r="WCQ166" s="72"/>
      <c r="WCR166" s="72"/>
      <c r="WCS166" s="72"/>
      <c r="WCT166" s="72"/>
      <c r="WCU166" s="72"/>
      <c r="WCV166" s="72"/>
      <c r="WCW166" s="72"/>
      <c r="WCX166" s="72"/>
      <c r="WCY166" s="72"/>
      <c r="WCZ166" s="72"/>
      <c r="WDA166" s="72"/>
      <c r="WDB166" s="72"/>
      <c r="WDC166" s="72"/>
      <c r="WDD166" s="72"/>
      <c r="WDE166" s="72"/>
      <c r="WDF166" s="72"/>
      <c r="WDG166" s="72"/>
      <c r="WDH166" s="72"/>
      <c r="WDI166" s="72"/>
      <c r="WDJ166" s="72"/>
      <c r="WDK166" s="72"/>
      <c r="WDL166" s="72"/>
      <c r="WDM166" s="72"/>
      <c r="WDN166" s="72"/>
      <c r="WDO166" s="72"/>
      <c r="WDP166" s="72"/>
      <c r="WDQ166" s="72"/>
      <c r="WDR166" s="72"/>
      <c r="WDS166" s="72"/>
      <c r="WDT166" s="72"/>
      <c r="WDU166" s="72"/>
      <c r="WDV166" s="72"/>
      <c r="WDW166" s="72"/>
      <c r="WDX166" s="72"/>
      <c r="WDY166" s="72"/>
      <c r="WDZ166" s="72"/>
      <c r="WEA166" s="72"/>
      <c r="WEB166" s="72"/>
      <c r="WEC166" s="72"/>
      <c r="WED166" s="72"/>
      <c r="WEE166" s="72"/>
      <c r="WEF166" s="72"/>
      <c r="WEG166" s="72"/>
      <c r="WEH166" s="72"/>
      <c r="WEI166" s="72"/>
      <c r="WEJ166" s="72"/>
      <c r="WEK166" s="72"/>
      <c r="WEL166" s="72"/>
      <c r="WEM166" s="72"/>
      <c r="WEN166" s="72"/>
      <c r="WEO166" s="72"/>
      <c r="WEP166" s="72"/>
      <c r="WEQ166" s="72"/>
      <c r="WER166" s="72"/>
      <c r="WES166" s="72"/>
      <c r="WET166" s="72"/>
      <c r="WEU166" s="72"/>
      <c r="WEV166" s="72"/>
      <c r="WEW166" s="72"/>
      <c r="WEX166" s="72"/>
      <c r="WEY166" s="72"/>
      <c r="WEZ166" s="72"/>
      <c r="WFA166" s="72"/>
      <c r="WFB166" s="72"/>
      <c r="WFC166" s="72"/>
      <c r="WFD166" s="72"/>
      <c r="WFE166" s="72"/>
      <c r="WFF166" s="72"/>
      <c r="WFG166" s="72"/>
      <c r="WFH166" s="72"/>
      <c r="WFI166" s="72"/>
      <c r="WFJ166" s="72"/>
      <c r="WFK166" s="72"/>
      <c r="WFL166" s="72"/>
      <c r="WFM166" s="72"/>
      <c r="WFN166" s="72"/>
      <c r="WFO166" s="72"/>
      <c r="WFP166" s="72"/>
      <c r="WFQ166" s="72"/>
      <c r="WFR166" s="72"/>
      <c r="WFS166" s="72"/>
      <c r="WFT166" s="72"/>
      <c r="WFU166" s="72"/>
      <c r="WFV166" s="72"/>
      <c r="WFW166" s="72"/>
      <c r="WFX166" s="72"/>
      <c r="WFY166" s="72"/>
      <c r="WFZ166" s="72"/>
      <c r="WGA166" s="72"/>
      <c r="WGB166" s="72"/>
      <c r="WGC166" s="72"/>
      <c r="WGD166" s="72"/>
      <c r="WGE166" s="72"/>
      <c r="WGF166" s="72"/>
      <c r="WGG166" s="72"/>
      <c r="WGH166" s="72"/>
      <c r="WGI166" s="72"/>
      <c r="WGJ166" s="72"/>
      <c r="WGK166" s="72"/>
      <c r="WGL166" s="72"/>
      <c r="WGM166" s="72"/>
      <c r="WGN166" s="72"/>
      <c r="WGO166" s="72"/>
      <c r="WGP166" s="72"/>
      <c r="WGQ166" s="72"/>
      <c r="WGR166" s="72"/>
      <c r="WGS166" s="72"/>
      <c r="WGT166" s="72"/>
      <c r="WGU166" s="72"/>
      <c r="WGV166" s="72"/>
      <c r="WGW166" s="72"/>
      <c r="WGX166" s="72"/>
      <c r="WGY166" s="72"/>
      <c r="WGZ166" s="72"/>
      <c r="WHA166" s="72"/>
      <c r="WHB166" s="72"/>
      <c r="WHC166" s="72"/>
      <c r="WHD166" s="72"/>
      <c r="WHE166" s="72"/>
      <c r="WHF166" s="72"/>
      <c r="WHG166" s="72"/>
      <c r="WHH166" s="72"/>
      <c r="WHI166" s="72"/>
      <c r="WHJ166" s="72"/>
      <c r="WHK166" s="72"/>
      <c r="WHL166" s="72"/>
      <c r="WHM166" s="72"/>
      <c r="WHN166" s="72"/>
      <c r="WHO166" s="72"/>
      <c r="WHP166" s="72"/>
      <c r="WHQ166" s="72"/>
      <c r="WHR166" s="72"/>
      <c r="WHS166" s="72"/>
      <c r="WHT166" s="72"/>
      <c r="WHU166" s="72"/>
      <c r="WHV166" s="72"/>
      <c r="WHW166" s="72"/>
      <c r="WHX166" s="72"/>
      <c r="WHY166" s="72"/>
      <c r="WHZ166" s="72"/>
      <c r="WIA166" s="72"/>
      <c r="WIB166" s="72"/>
      <c r="WIC166" s="72"/>
      <c r="WID166" s="72"/>
      <c r="WIE166" s="72"/>
      <c r="WIF166" s="72"/>
      <c r="WIG166" s="72"/>
      <c r="WIH166" s="72"/>
      <c r="WII166" s="72"/>
      <c r="WIJ166" s="72"/>
      <c r="WIK166" s="72"/>
      <c r="WIL166" s="72"/>
      <c r="WIM166" s="72"/>
      <c r="WIN166" s="72"/>
      <c r="WIO166" s="72"/>
      <c r="WIP166" s="72"/>
      <c r="WIQ166" s="72"/>
      <c r="WIR166" s="72"/>
      <c r="WIS166" s="72"/>
      <c r="WIT166" s="72"/>
      <c r="WIU166" s="72"/>
      <c r="WIV166" s="72"/>
      <c r="WIW166" s="72"/>
      <c r="WIX166" s="72"/>
      <c r="WIY166" s="72"/>
      <c r="WIZ166" s="72"/>
      <c r="WJA166" s="72"/>
      <c r="WJB166" s="72"/>
      <c r="WJC166" s="72"/>
      <c r="WJD166" s="72"/>
      <c r="WJE166" s="72"/>
      <c r="WJF166" s="72"/>
      <c r="WJG166" s="72"/>
      <c r="WJH166" s="72"/>
      <c r="WJI166" s="72"/>
      <c r="WJJ166" s="72"/>
      <c r="WJK166" s="72"/>
      <c r="WJL166" s="72"/>
      <c r="WJM166" s="72"/>
      <c r="WJN166" s="72"/>
      <c r="WJO166" s="72"/>
      <c r="WJP166" s="72"/>
      <c r="WJQ166" s="72"/>
      <c r="WJR166" s="72"/>
      <c r="WJS166" s="72"/>
      <c r="WJT166" s="72"/>
      <c r="WJU166" s="72"/>
      <c r="WJV166" s="72"/>
      <c r="WJW166" s="72"/>
      <c r="WJX166" s="72"/>
      <c r="WJY166" s="72"/>
      <c r="WJZ166" s="72"/>
      <c r="WKA166" s="72"/>
      <c r="WKB166" s="72"/>
      <c r="WKC166" s="72"/>
      <c r="WKD166" s="72"/>
      <c r="WKE166" s="72"/>
      <c r="WKF166" s="72"/>
      <c r="WKG166" s="72"/>
      <c r="WKH166" s="72"/>
      <c r="WKI166" s="72"/>
      <c r="WKJ166" s="72"/>
      <c r="WKK166" s="72"/>
      <c r="WKL166" s="72"/>
      <c r="WKM166" s="72"/>
      <c r="WKN166" s="72"/>
      <c r="WKO166" s="72"/>
      <c r="WKP166" s="72"/>
      <c r="WKQ166" s="72"/>
      <c r="WKR166" s="72"/>
      <c r="WKS166" s="72"/>
      <c r="WKT166" s="72"/>
      <c r="WKU166" s="72"/>
      <c r="WKV166" s="72"/>
      <c r="WKW166" s="72"/>
      <c r="WKX166" s="72"/>
      <c r="WKY166" s="72"/>
      <c r="WKZ166" s="72"/>
      <c r="WLA166" s="72"/>
      <c r="WLB166" s="72"/>
      <c r="WLC166" s="72"/>
      <c r="WLD166" s="72"/>
      <c r="WLE166" s="72"/>
      <c r="WLF166" s="72"/>
      <c r="WLG166" s="72"/>
      <c r="WLH166" s="72"/>
      <c r="WLI166" s="72"/>
      <c r="WLJ166" s="72"/>
      <c r="WLK166" s="72"/>
      <c r="WLL166" s="72"/>
      <c r="WLM166" s="72"/>
      <c r="WLN166" s="72"/>
      <c r="WLO166" s="72"/>
      <c r="WLP166" s="72"/>
      <c r="WLQ166" s="72"/>
      <c r="WLR166" s="72"/>
      <c r="WLS166" s="72"/>
      <c r="WLT166" s="72"/>
      <c r="WLU166" s="72"/>
      <c r="WLV166" s="72"/>
      <c r="WLW166" s="72"/>
      <c r="WLX166" s="72"/>
      <c r="WLY166" s="72"/>
      <c r="WLZ166" s="72"/>
      <c r="WMA166" s="72"/>
      <c r="WMB166" s="72"/>
      <c r="WMC166" s="72"/>
      <c r="WMD166" s="72"/>
      <c r="WME166" s="72"/>
      <c r="WMF166" s="72"/>
      <c r="WMG166" s="72"/>
      <c r="WMH166" s="72"/>
      <c r="WMI166" s="72"/>
      <c r="WMJ166" s="72"/>
      <c r="WMK166" s="72"/>
      <c r="WML166" s="72"/>
      <c r="WMM166" s="72"/>
      <c r="WMN166" s="72"/>
      <c r="WMO166" s="72"/>
      <c r="WMP166" s="72"/>
      <c r="WMQ166" s="72"/>
      <c r="WMR166" s="72"/>
      <c r="WMS166" s="72"/>
      <c r="WMT166" s="72"/>
      <c r="WMU166" s="72"/>
      <c r="WMV166" s="72"/>
      <c r="WMW166" s="72"/>
      <c r="WMX166" s="72"/>
      <c r="WMY166" s="72"/>
      <c r="WMZ166" s="72"/>
      <c r="WNA166" s="72"/>
      <c r="WNB166" s="72"/>
      <c r="WNC166" s="72"/>
      <c r="WND166" s="72"/>
      <c r="WNE166" s="72"/>
      <c r="WNF166" s="72"/>
      <c r="WNG166" s="72"/>
      <c r="WNH166" s="72"/>
      <c r="WNI166" s="72"/>
      <c r="WNJ166" s="72"/>
      <c r="WNK166" s="72"/>
      <c r="WNL166" s="72"/>
      <c r="WNM166" s="72"/>
      <c r="WNN166" s="72"/>
      <c r="WNO166" s="72"/>
      <c r="WNP166" s="72"/>
      <c r="WNQ166" s="72"/>
      <c r="WNR166" s="72"/>
      <c r="WNS166" s="72"/>
      <c r="WNT166" s="72"/>
      <c r="WNU166" s="72"/>
      <c r="WNV166" s="72"/>
      <c r="WNW166" s="72"/>
      <c r="WNX166" s="72"/>
      <c r="WNY166" s="72"/>
      <c r="WNZ166" s="72"/>
      <c r="WOA166" s="72"/>
      <c r="WOB166" s="72"/>
      <c r="WOC166" s="72"/>
      <c r="WOD166" s="72"/>
      <c r="WOE166" s="72"/>
      <c r="WOF166" s="72"/>
      <c r="WOG166" s="72"/>
      <c r="WOH166" s="72"/>
      <c r="WOI166" s="72"/>
      <c r="WOJ166" s="72"/>
      <c r="WOK166" s="72"/>
      <c r="WOL166" s="72"/>
      <c r="WOM166" s="72"/>
      <c r="WON166" s="72"/>
      <c r="WOO166" s="72"/>
      <c r="WOP166" s="72"/>
      <c r="WOQ166" s="72"/>
      <c r="WOR166" s="72"/>
      <c r="WOS166" s="72"/>
      <c r="WOT166" s="72"/>
      <c r="WOU166" s="72"/>
      <c r="WOV166" s="72"/>
      <c r="WOW166" s="72"/>
      <c r="WOX166" s="72"/>
      <c r="WOY166" s="72"/>
      <c r="WOZ166" s="72"/>
      <c r="WPA166" s="72"/>
      <c r="WPB166" s="72"/>
      <c r="WPC166" s="72"/>
      <c r="WPD166" s="72"/>
      <c r="WPE166" s="72"/>
      <c r="WPF166" s="72"/>
      <c r="WPG166" s="72"/>
      <c r="WPH166" s="72"/>
      <c r="WPI166" s="72"/>
      <c r="WPJ166" s="72"/>
      <c r="WPK166" s="72"/>
      <c r="WPL166" s="72"/>
      <c r="WPM166" s="72"/>
      <c r="WPN166" s="72"/>
      <c r="WPO166" s="72"/>
      <c r="WPP166" s="72"/>
      <c r="WPQ166" s="72"/>
      <c r="WPR166" s="72"/>
      <c r="WPS166" s="72"/>
      <c r="WPT166" s="72"/>
      <c r="WPU166" s="72"/>
      <c r="WPV166" s="72"/>
      <c r="WPW166" s="72"/>
      <c r="WPX166" s="72"/>
      <c r="WPY166" s="72"/>
      <c r="WPZ166" s="72"/>
      <c r="WQA166" s="72"/>
      <c r="WQB166" s="72"/>
      <c r="WQC166" s="72"/>
      <c r="WQD166" s="72"/>
      <c r="WQE166" s="72"/>
      <c r="WQF166" s="72"/>
      <c r="WQG166" s="72"/>
      <c r="WQH166" s="72"/>
      <c r="WQI166" s="72"/>
      <c r="WQJ166" s="72"/>
      <c r="WQK166" s="72"/>
      <c r="WQL166" s="72"/>
      <c r="WQM166" s="72"/>
      <c r="WQN166" s="72"/>
      <c r="WQO166" s="72"/>
      <c r="WQP166" s="72"/>
      <c r="WQQ166" s="72"/>
      <c r="WQR166" s="72"/>
      <c r="WQS166" s="72"/>
      <c r="WQT166" s="72"/>
      <c r="WQU166" s="72"/>
      <c r="WQV166" s="72"/>
      <c r="WQW166" s="72"/>
      <c r="WQX166" s="72"/>
      <c r="WQY166" s="72"/>
      <c r="WQZ166" s="72"/>
      <c r="WRA166" s="72"/>
      <c r="WRB166" s="72"/>
      <c r="WRC166" s="72"/>
      <c r="WRD166" s="72"/>
      <c r="WRE166" s="72"/>
      <c r="WRF166" s="72"/>
      <c r="WRG166" s="72"/>
      <c r="WRH166" s="72"/>
      <c r="WRI166" s="72"/>
      <c r="WRJ166" s="72"/>
      <c r="WRK166" s="72"/>
      <c r="WRL166" s="72"/>
      <c r="WRM166" s="72"/>
      <c r="WRN166" s="72"/>
      <c r="WRO166" s="72"/>
      <c r="WRP166" s="72"/>
      <c r="WRQ166" s="72"/>
      <c r="WRR166" s="72"/>
      <c r="WRS166" s="72"/>
      <c r="WRT166" s="72"/>
      <c r="WRU166" s="72"/>
      <c r="WRV166" s="72"/>
      <c r="WRW166" s="72"/>
      <c r="WRX166" s="72"/>
      <c r="WRY166" s="72"/>
      <c r="WRZ166" s="72"/>
      <c r="WSA166" s="72"/>
      <c r="WSB166" s="72"/>
      <c r="WSC166" s="72"/>
      <c r="WSD166" s="72"/>
      <c r="WSE166" s="72"/>
      <c r="WSF166" s="72"/>
      <c r="WSG166" s="72"/>
      <c r="WSH166" s="72"/>
      <c r="WSI166" s="72"/>
      <c r="WSJ166" s="72"/>
      <c r="WSK166" s="72"/>
      <c r="WSL166" s="72"/>
      <c r="WSM166" s="72"/>
      <c r="WSN166" s="72"/>
      <c r="WSO166" s="72"/>
      <c r="WSP166" s="72"/>
      <c r="WSQ166" s="72"/>
      <c r="WSR166" s="72"/>
      <c r="WSS166" s="72"/>
      <c r="WST166" s="72"/>
      <c r="WSU166" s="72"/>
      <c r="WSV166" s="72"/>
      <c r="WSW166" s="72"/>
      <c r="WSX166" s="72"/>
      <c r="WSY166" s="72"/>
      <c r="WSZ166" s="72"/>
      <c r="WTA166" s="72"/>
      <c r="WTB166" s="72"/>
      <c r="WTC166" s="72"/>
      <c r="WTD166" s="72"/>
      <c r="WTE166" s="72"/>
      <c r="WTF166" s="72"/>
      <c r="WTG166" s="72"/>
      <c r="WTH166" s="72"/>
      <c r="WTI166" s="72"/>
      <c r="WTJ166" s="72"/>
      <c r="WTK166" s="72"/>
      <c r="WTL166" s="72"/>
      <c r="WTM166" s="72"/>
      <c r="WTN166" s="72"/>
      <c r="WTO166" s="72"/>
      <c r="WTP166" s="72"/>
      <c r="WTQ166" s="72"/>
      <c r="WTR166" s="72"/>
      <c r="WTS166" s="72"/>
      <c r="WTT166" s="72"/>
      <c r="WTU166" s="72"/>
      <c r="WTV166" s="72"/>
      <c r="WTW166" s="72"/>
      <c r="WTX166" s="72"/>
      <c r="WTY166" s="72"/>
      <c r="WTZ166" s="72"/>
      <c r="WUA166" s="72"/>
      <c r="WUB166" s="72"/>
      <c r="WUC166" s="72"/>
      <c r="WUD166" s="72"/>
      <c r="WUE166" s="72"/>
      <c r="WUF166" s="72"/>
      <c r="WUG166" s="72"/>
      <c r="WUH166" s="72"/>
      <c r="WUI166" s="72"/>
      <c r="WUJ166" s="72"/>
      <c r="WUK166" s="72"/>
      <c r="WUL166" s="72"/>
      <c r="WUM166" s="72"/>
      <c r="WUN166" s="72"/>
      <c r="WUO166" s="72"/>
      <c r="WUP166" s="72"/>
      <c r="WUQ166" s="72"/>
      <c r="WUR166" s="72"/>
      <c r="WUS166" s="72"/>
      <c r="WUT166" s="72"/>
      <c r="WUU166" s="72"/>
      <c r="WUV166" s="72"/>
      <c r="WUW166" s="72"/>
      <c r="WUX166" s="72"/>
      <c r="WUY166" s="72"/>
      <c r="WUZ166" s="72"/>
      <c r="WVA166" s="72"/>
      <c r="WVB166" s="72"/>
      <c r="WVC166" s="72"/>
      <c r="WVD166" s="72"/>
      <c r="WVE166" s="72"/>
      <c r="WVF166" s="72"/>
      <c r="WVG166" s="72"/>
      <c r="WVH166" s="72"/>
      <c r="WVI166" s="72"/>
      <c r="WVJ166" s="72"/>
      <c r="WVK166" s="72"/>
      <c r="WVL166" s="72"/>
      <c r="WVM166" s="72"/>
      <c r="WVN166" s="72"/>
      <c r="WVO166" s="72"/>
      <c r="WVP166" s="72"/>
      <c r="WVQ166" s="72"/>
      <c r="WVR166" s="72"/>
      <c r="WVS166" s="72"/>
    </row>
    <row r="167" spans="1:16139" ht="147" customHeight="1" x14ac:dyDescent="0.25">
      <c r="A167" s="73">
        <v>141</v>
      </c>
      <c r="B167" s="73" t="s">
        <v>193</v>
      </c>
      <c r="C167" s="51" t="s">
        <v>42</v>
      </c>
      <c r="D167" s="45" t="s">
        <v>39</v>
      </c>
      <c r="E167" s="45"/>
      <c r="F167" s="45">
        <v>995</v>
      </c>
      <c r="G167" s="45">
        <v>1245</v>
      </c>
      <c r="H167" s="46">
        <f t="shared" si="54"/>
        <v>1.238775</v>
      </c>
      <c r="I167" s="45">
        <v>1</v>
      </c>
      <c r="J167" s="53">
        <v>2534000</v>
      </c>
      <c r="K167" s="47"/>
      <c r="L167" s="48">
        <f t="shared" ref="L167:L174" si="55">IF(H167&lt;&gt;0,J167*H167*I167+K167*I167,IF(J167&lt;&gt;0,G167*I167*J167,I167*K167))</f>
        <v>3139055.85</v>
      </c>
      <c r="M167" s="28"/>
      <c r="N167" s="28"/>
      <c r="O167" s="28"/>
      <c r="P167" s="28"/>
      <c r="Q167" s="28"/>
      <c r="R167" s="28"/>
      <c r="S167" s="28"/>
      <c r="T167" s="28"/>
      <c r="U167" s="28"/>
      <c r="V167" s="28"/>
      <c r="W167" s="28"/>
      <c r="X167" s="28"/>
      <c r="Y167" s="28"/>
      <c r="Z167" s="28"/>
      <c r="AA167" s="28"/>
      <c r="AB167" s="28"/>
      <c r="AC167" s="28"/>
      <c r="AD167" s="28"/>
      <c r="AE167" s="28"/>
      <c r="AF167" s="28"/>
      <c r="AG167" s="28"/>
      <c r="AH167" s="28"/>
    </row>
    <row r="168" spans="1:16139" ht="147" customHeight="1" x14ac:dyDescent="0.25">
      <c r="A168" s="73">
        <v>142</v>
      </c>
      <c r="B168" s="73" t="s">
        <v>194</v>
      </c>
      <c r="C168" s="51" t="s">
        <v>42</v>
      </c>
      <c r="D168" s="45" t="s">
        <v>39</v>
      </c>
      <c r="E168" s="45"/>
      <c r="F168" s="45">
        <v>1595</v>
      </c>
      <c r="G168" s="45">
        <v>1245</v>
      </c>
      <c r="H168" s="46">
        <f t="shared" si="54"/>
        <v>1.9857750000000001</v>
      </c>
      <c r="I168" s="45">
        <v>1</v>
      </c>
      <c r="J168" s="53">
        <v>2368000</v>
      </c>
      <c r="K168" s="47"/>
      <c r="L168" s="48">
        <f t="shared" si="55"/>
        <v>4702315.2</v>
      </c>
      <c r="M168" s="28"/>
      <c r="N168" s="28"/>
      <c r="O168" s="28"/>
      <c r="P168" s="28"/>
      <c r="Q168" s="28"/>
      <c r="R168" s="28"/>
      <c r="S168" s="28"/>
      <c r="T168" s="28"/>
      <c r="U168" s="28"/>
      <c r="V168" s="28"/>
      <c r="W168" s="28"/>
      <c r="X168" s="28"/>
      <c r="Y168" s="28"/>
      <c r="Z168" s="28"/>
      <c r="AA168" s="28"/>
      <c r="AB168" s="28"/>
      <c r="AC168" s="28"/>
      <c r="AD168" s="28"/>
      <c r="AE168" s="28"/>
      <c r="AF168" s="28"/>
      <c r="AG168" s="28"/>
      <c r="AH168" s="28"/>
    </row>
    <row r="169" spans="1:16139" ht="147" customHeight="1" x14ac:dyDescent="0.25">
      <c r="A169" s="73">
        <v>143</v>
      </c>
      <c r="B169" s="73" t="s">
        <v>195</v>
      </c>
      <c r="C169" s="51" t="s">
        <v>42</v>
      </c>
      <c r="D169" s="45" t="s">
        <v>39</v>
      </c>
      <c r="E169" s="45"/>
      <c r="F169" s="45">
        <v>1000</v>
      </c>
      <c r="G169" s="45">
        <v>1245</v>
      </c>
      <c r="H169" s="46">
        <f t="shared" si="54"/>
        <v>1.2450000000000001</v>
      </c>
      <c r="I169" s="45">
        <v>1</v>
      </c>
      <c r="J169" s="53">
        <v>2532000</v>
      </c>
      <c r="K169" s="47"/>
      <c r="L169" s="48">
        <f t="shared" si="55"/>
        <v>3152340.0000000005</v>
      </c>
      <c r="M169" s="28"/>
      <c r="N169" s="28"/>
      <c r="O169" s="28"/>
      <c r="P169" s="28"/>
      <c r="Q169" s="28"/>
      <c r="R169" s="28"/>
      <c r="S169" s="28"/>
      <c r="T169" s="28"/>
      <c r="U169" s="28"/>
      <c r="V169" s="28"/>
      <c r="W169" s="28"/>
      <c r="X169" s="28"/>
      <c r="Y169" s="28"/>
      <c r="Z169" s="28"/>
      <c r="AA169" s="28"/>
      <c r="AB169" s="28"/>
      <c r="AC169" s="28"/>
      <c r="AD169" s="28"/>
      <c r="AE169" s="28"/>
      <c r="AF169" s="28"/>
      <c r="AG169" s="28"/>
      <c r="AH169" s="28"/>
    </row>
    <row r="170" spans="1:16139" ht="147" customHeight="1" x14ac:dyDescent="0.25">
      <c r="A170" s="135">
        <v>144</v>
      </c>
      <c r="B170" s="135" t="s">
        <v>196</v>
      </c>
      <c r="C170" s="51" t="s">
        <v>42</v>
      </c>
      <c r="D170" s="45" t="s">
        <v>207</v>
      </c>
      <c r="E170" s="45"/>
      <c r="F170" s="45">
        <v>1617</v>
      </c>
      <c r="G170" s="45">
        <v>1245</v>
      </c>
      <c r="H170" s="46">
        <f t="shared" si="54"/>
        <v>2.0131649999999999</v>
      </c>
      <c r="I170" s="45">
        <v>1</v>
      </c>
      <c r="J170" s="53">
        <v>4185000</v>
      </c>
      <c r="K170" s="47"/>
      <c r="L170" s="48">
        <f t="shared" si="55"/>
        <v>8425095.5250000004</v>
      </c>
      <c r="M170" s="28"/>
      <c r="N170" s="28"/>
      <c r="O170" s="28"/>
      <c r="P170" s="28"/>
      <c r="Q170" s="28"/>
      <c r="R170" s="28"/>
      <c r="S170" s="28"/>
      <c r="T170" s="28"/>
      <c r="U170" s="28"/>
      <c r="V170" s="28"/>
      <c r="W170" s="28"/>
      <c r="X170" s="28"/>
      <c r="Y170" s="28"/>
      <c r="Z170" s="28"/>
      <c r="AA170" s="28"/>
      <c r="AB170" s="28"/>
      <c r="AC170" s="28"/>
      <c r="AD170" s="28"/>
      <c r="AE170" s="28"/>
      <c r="AF170" s="28"/>
      <c r="AG170" s="28"/>
      <c r="AH170" s="28"/>
    </row>
    <row r="171" spans="1:16139" ht="30.75" customHeight="1" x14ac:dyDescent="0.25">
      <c r="A171" s="136"/>
      <c r="B171" s="136"/>
      <c r="C171" s="69" t="s">
        <v>201</v>
      </c>
      <c r="D171" s="59"/>
      <c r="E171" s="59"/>
      <c r="F171" s="59">
        <f>1617+1000</f>
        <v>2617</v>
      </c>
      <c r="G171" s="59"/>
      <c r="H171" s="60">
        <f t="shared" si="54"/>
        <v>0</v>
      </c>
      <c r="I171" s="59">
        <v>1</v>
      </c>
      <c r="J171" s="53">
        <v>550000</v>
      </c>
      <c r="K171" s="47"/>
      <c r="L171" s="70">
        <f>F171*I171*J171/1000</f>
        <v>1439350</v>
      </c>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c r="FM171" s="72"/>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c r="ME171" s="72"/>
      <c r="MF171" s="72"/>
      <c r="MG171" s="72"/>
      <c r="MH171" s="72"/>
      <c r="MI171" s="72"/>
      <c r="MJ171" s="72"/>
      <c r="MK171" s="72"/>
      <c r="ML171" s="72"/>
      <c r="MM171" s="72"/>
      <c r="MN171" s="72"/>
      <c r="MO171" s="72"/>
      <c r="MP171" s="72"/>
      <c r="MQ171" s="72"/>
      <c r="MR171" s="72"/>
      <c r="MS171" s="72"/>
      <c r="MT171" s="72"/>
      <c r="MU171" s="72"/>
      <c r="MV171" s="72"/>
      <c r="MW171" s="72"/>
      <c r="MX171" s="72"/>
      <c r="MY171" s="72"/>
      <c r="MZ171" s="72"/>
      <c r="NA171" s="72"/>
      <c r="NB171" s="72"/>
      <c r="NC171" s="72"/>
      <c r="ND171" s="72"/>
      <c r="NE171" s="72"/>
      <c r="NF171" s="72"/>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c r="OI171" s="72"/>
      <c r="OJ171" s="72"/>
      <c r="OK171" s="72"/>
      <c r="OL171" s="72"/>
      <c r="OM171" s="72"/>
      <c r="ON171" s="72"/>
      <c r="OO171" s="72"/>
      <c r="OP171" s="72"/>
      <c r="OQ171" s="72"/>
      <c r="OR171" s="72"/>
      <c r="OS171" s="72"/>
      <c r="OT171" s="72"/>
      <c r="OU171" s="72"/>
      <c r="OV171" s="72"/>
      <c r="OW171" s="72"/>
      <c r="OX171" s="72"/>
      <c r="OY171" s="72"/>
      <c r="OZ171" s="72"/>
      <c r="PA171" s="72"/>
      <c r="PB171" s="72"/>
      <c r="PC171" s="72"/>
      <c r="PD171" s="72"/>
      <c r="PE171" s="72"/>
      <c r="PF171" s="72"/>
      <c r="PG171" s="72"/>
      <c r="PH171" s="72"/>
      <c r="PI171" s="72"/>
      <c r="PJ171" s="72"/>
      <c r="PK171" s="72"/>
      <c r="PL171" s="72"/>
      <c r="PM171" s="72"/>
      <c r="PN171" s="72"/>
      <c r="PO171" s="72"/>
      <c r="PP171" s="72"/>
      <c r="PQ171" s="72"/>
      <c r="PR171" s="72"/>
      <c r="PS171" s="72"/>
      <c r="PT171" s="72"/>
      <c r="PU171" s="72"/>
      <c r="PV171" s="72"/>
      <c r="PW171" s="72"/>
      <c r="PX171" s="72"/>
      <c r="PY171" s="72"/>
      <c r="PZ171" s="72"/>
      <c r="QA171" s="72"/>
      <c r="QB171" s="72"/>
      <c r="QC171" s="72"/>
      <c r="QD171" s="72"/>
      <c r="QE171" s="72"/>
      <c r="QF171" s="72"/>
      <c r="QG171" s="72"/>
      <c r="QH171" s="72"/>
      <c r="QI171" s="72"/>
      <c r="QJ171" s="72"/>
      <c r="QK171" s="72"/>
      <c r="QL171" s="72"/>
      <c r="QM171" s="72"/>
      <c r="QN171" s="72"/>
      <c r="QO171" s="72"/>
      <c r="QP171" s="72"/>
      <c r="QQ171" s="72"/>
      <c r="QR171" s="72"/>
      <c r="QS171" s="72"/>
      <c r="QT171" s="72"/>
      <c r="QU171" s="72"/>
      <c r="QV171" s="72"/>
      <c r="QW171" s="72"/>
      <c r="QX171" s="72"/>
      <c r="QY171" s="72"/>
      <c r="QZ171" s="72"/>
      <c r="RA171" s="72"/>
      <c r="RB171" s="72"/>
      <c r="RC171" s="72"/>
      <c r="RD171" s="72"/>
      <c r="RE171" s="72"/>
      <c r="RF171" s="72"/>
      <c r="RG171" s="72"/>
      <c r="RH171" s="72"/>
      <c r="RI171" s="72"/>
      <c r="RJ171" s="72"/>
      <c r="RK171" s="72"/>
      <c r="RL171" s="72"/>
      <c r="RM171" s="72"/>
      <c r="RN171" s="72"/>
      <c r="RO171" s="72"/>
      <c r="RP171" s="72"/>
      <c r="RQ171" s="72"/>
      <c r="RR171" s="72"/>
      <c r="RS171" s="72"/>
      <c r="RT171" s="72"/>
      <c r="RU171" s="72"/>
      <c r="RV171" s="72"/>
      <c r="RW171" s="72"/>
      <c r="RX171" s="72"/>
      <c r="RY171" s="72"/>
      <c r="RZ171" s="72"/>
      <c r="SA171" s="72"/>
      <c r="SB171" s="72"/>
      <c r="SC171" s="72"/>
      <c r="SD171" s="72"/>
      <c r="SE171" s="72"/>
      <c r="SF171" s="72"/>
      <c r="SG171" s="72"/>
      <c r="SH171" s="72"/>
      <c r="SI171" s="72"/>
      <c r="SJ171" s="72"/>
      <c r="SK171" s="72"/>
      <c r="SL171" s="72"/>
      <c r="SM171" s="72"/>
      <c r="SN171" s="72"/>
      <c r="SO171" s="72"/>
      <c r="SP171" s="72"/>
      <c r="SQ171" s="72"/>
      <c r="SR171" s="72"/>
      <c r="SS171" s="72"/>
      <c r="ST171" s="72"/>
      <c r="SU171" s="72"/>
      <c r="SV171" s="72"/>
      <c r="SW171" s="72"/>
      <c r="SX171" s="72"/>
      <c r="SY171" s="72"/>
      <c r="SZ171" s="72"/>
      <c r="TA171" s="72"/>
      <c r="TB171" s="72"/>
      <c r="TC171" s="72"/>
      <c r="TD171" s="72"/>
      <c r="TE171" s="72"/>
      <c r="TF171" s="72"/>
      <c r="TG171" s="72"/>
      <c r="TH171" s="72"/>
      <c r="TI171" s="72"/>
      <c r="TJ171" s="72"/>
      <c r="TK171" s="72"/>
      <c r="TL171" s="72"/>
      <c r="TM171" s="72"/>
      <c r="TN171" s="72"/>
      <c r="TO171" s="72"/>
      <c r="TP171" s="72"/>
      <c r="TQ171" s="72"/>
      <c r="TR171" s="72"/>
      <c r="TS171" s="72"/>
      <c r="TT171" s="72"/>
      <c r="TU171" s="72"/>
      <c r="TV171" s="72"/>
      <c r="TW171" s="72"/>
      <c r="TX171" s="72"/>
      <c r="TY171" s="72"/>
      <c r="TZ171" s="72"/>
      <c r="UA171" s="72"/>
      <c r="UB171" s="72"/>
      <c r="UC171" s="72"/>
      <c r="UD171" s="72"/>
      <c r="UE171" s="72"/>
      <c r="UF171" s="72"/>
      <c r="UG171" s="72"/>
      <c r="UH171" s="72"/>
      <c r="UI171" s="72"/>
      <c r="UJ171" s="72"/>
      <c r="UK171" s="72"/>
      <c r="UL171" s="72"/>
      <c r="UM171" s="72"/>
      <c r="UN171" s="72"/>
      <c r="UO171" s="72"/>
      <c r="UP171" s="72"/>
      <c r="UQ171" s="72"/>
      <c r="UR171" s="72"/>
      <c r="US171" s="72"/>
      <c r="UT171" s="72"/>
      <c r="UU171" s="72"/>
      <c r="UV171" s="72"/>
      <c r="UW171" s="72"/>
      <c r="UX171" s="72"/>
      <c r="UY171" s="72"/>
      <c r="UZ171" s="72"/>
      <c r="VA171" s="72"/>
      <c r="VB171" s="72"/>
      <c r="VC171" s="72"/>
      <c r="VD171" s="72"/>
      <c r="VE171" s="72"/>
      <c r="VF171" s="72"/>
      <c r="VG171" s="72"/>
      <c r="VH171" s="72"/>
      <c r="VI171" s="72"/>
      <c r="VJ171" s="72"/>
      <c r="VK171" s="72"/>
      <c r="VL171" s="72"/>
      <c r="VM171" s="72"/>
      <c r="VN171" s="72"/>
      <c r="VO171" s="72"/>
      <c r="VP171" s="72"/>
      <c r="VQ171" s="72"/>
      <c r="VR171" s="72"/>
      <c r="VS171" s="72"/>
      <c r="VT171" s="72"/>
      <c r="VU171" s="72"/>
      <c r="VV171" s="72"/>
      <c r="VW171" s="72"/>
      <c r="VX171" s="72"/>
      <c r="VY171" s="72"/>
      <c r="VZ171" s="72"/>
      <c r="WA171" s="72"/>
      <c r="WB171" s="72"/>
      <c r="WC171" s="72"/>
      <c r="WD171" s="72"/>
      <c r="WE171" s="72"/>
      <c r="WF171" s="72"/>
      <c r="WG171" s="72"/>
      <c r="WH171" s="72"/>
      <c r="WI171" s="72"/>
      <c r="WJ171" s="72"/>
      <c r="WK171" s="72"/>
      <c r="WL171" s="72"/>
      <c r="WM171" s="72"/>
      <c r="WN171" s="72"/>
      <c r="WO171" s="72"/>
      <c r="WP171" s="72"/>
      <c r="WQ171" s="72"/>
      <c r="WR171" s="72"/>
      <c r="WS171" s="72"/>
      <c r="WT171" s="72"/>
      <c r="WU171" s="72"/>
      <c r="WV171" s="72"/>
      <c r="WW171" s="72"/>
      <c r="WX171" s="72"/>
      <c r="WY171" s="72"/>
      <c r="WZ171" s="72"/>
      <c r="XA171" s="72"/>
      <c r="XB171" s="72"/>
      <c r="XC171" s="72"/>
      <c r="XD171" s="72"/>
      <c r="XE171" s="72"/>
      <c r="XF171" s="72"/>
      <c r="XG171" s="72"/>
      <c r="XH171" s="72"/>
      <c r="XI171" s="72"/>
      <c r="XJ171" s="72"/>
      <c r="XK171" s="72"/>
      <c r="XL171" s="72"/>
      <c r="XM171" s="72"/>
      <c r="XN171" s="72"/>
      <c r="XO171" s="72"/>
      <c r="XP171" s="72"/>
      <c r="XQ171" s="72"/>
      <c r="XR171" s="72"/>
      <c r="XS171" s="72"/>
      <c r="XT171" s="72"/>
      <c r="XU171" s="72"/>
      <c r="XV171" s="72"/>
      <c r="XW171" s="72"/>
      <c r="XX171" s="72"/>
      <c r="XY171" s="72"/>
      <c r="XZ171" s="72"/>
      <c r="YA171" s="72"/>
      <c r="YB171" s="72"/>
      <c r="YC171" s="72"/>
      <c r="YD171" s="72"/>
      <c r="YE171" s="72"/>
      <c r="YF171" s="72"/>
      <c r="YG171" s="72"/>
      <c r="YH171" s="72"/>
      <c r="YI171" s="72"/>
      <c r="YJ171" s="72"/>
      <c r="YK171" s="72"/>
      <c r="YL171" s="72"/>
      <c r="YM171" s="72"/>
      <c r="YN171" s="72"/>
      <c r="YO171" s="72"/>
      <c r="YP171" s="72"/>
      <c r="YQ171" s="72"/>
      <c r="YR171" s="72"/>
      <c r="YS171" s="72"/>
      <c r="YT171" s="72"/>
      <c r="YU171" s="72"/>
      <c r="YV171" s="72"/>
      <c r="YW171" s="72"/>
      <c r="YX171" s="72"/>
      <c r="YY171" s="72"/>
      <c r="YZ171" s="72"/>
      <c r="ZA171" s="72"/>
      <c r="ZB171" s="72"/>
      <c r="ZC171" s="72"/>
      <c r="ZD171" s="72"/>
      <c r="ZE171" s="72"/>
      <c r="ZF171" s="72"/>
      <c r="ZG171" s="72"/>
      <c r="ZH171" s="72"/>
      <c r="ZI171" s="72"/>
      <c r="ZJ171" s="72"/>
      <c r="ZK171" s="72"/>
      <c r="ZL171" s="72"/>
      <c r="ZM171" s="72"/>
      <c r="ZN171" s="72"/>
      <c r="ZO171" s="72"/>
      <c r="ZP171" s="72"/>
      <c r="ZQ171" s="72"/>
      <c r="ZR171" s="72"/>
      <c r="ZS171" s="72"/>
      <c r="ZT171" s="72"/>
      <c r="ZU171" s="72"/>
      <c r="ZV171" s="72"/>
      <c r="ZW171" s="72"/>
      <c r="ZX171" s="72"/>
      <c r="ZY171" s="72"/>
      <c r="ZZ171" s="72"/>
      <c r="AAA171" s="72"/>
      <c r="AAB171" s="72"/>
      <c r="AAC171" s="72"/>
      <c r="AAD171" s="72"/>
      <c r="AAE171" s="72"/>
      <c r="AAF171" s="72"/>
      <c r="AAG171" s="72"/>
      <c r="AAH171" s="72"/>
      <c r="AAI171" s="72"/>
      <c r="AAJ171" s="72"/>
      <c r="AAK171" s="72"/>
      <c r="AAL171" s="72"/>
      <c r="AAM171" s="72"/>
      <c r="AAN171" s="72"/>
      <c r="AAO171" s="72"/>
      <c r="AAP171" s="72"/>
      <c r="AAQ171" s="72"/>
      <c r="AAR171" s="72"/>
      <c r="AAS171" s="72"/>
      <c r="AAT171" s="72"/>
      <c r="AAU171" s="72"/>
      <c r="AAV171" s="72"/>
      <c r="AAW171" s="72"/>
      <c r="AAX171" s="72"/>
      <c r="AAY171" s="72"/>
      <c r="AAZ171" s="72"/>
      <c r="ABA171" s="72"/>
      <c r="ABB171" s="72"/>
      <c r="ABC171" s="72"/>
      <c r="ABD171" s="72"/>
      <c r="ABE171" s="72"/>
      <c r="ABF171" s="72"/>
      <c r="ABG171" s="72"/>
      <c r="ABH171" s="72"/>
      <c r="ABI171" s="72"/>
      <c r="ABJ171" s="72"/>
      <c r="ABK171" s="72"/>
      <c r="ABL171" s="72"/>
      <c r="ABM171" s="72"/>
      <c r="ABN171" s="72"/>
      <c r="ABO171" s="72"/>
      <c r="ABP171" s="72"/>
      <c r="ABQ171" s="72"/>
      <c r="ABR171" s="72"/>
      <c r="ABS171" s="72"/>
      <c r="ABT171" s="72"/>
      <c r="ABU171" s="72"/>
      <c r="ABV171" s="72"/>
      <c r="ABW171" s="72"/>
      <c r="ABX171" s="72"/>
      <c r="ABY171" s="72"/>
      <c r="ABZ171" s="72"/>
      <c r="ACA171" s="72"/>
      <c r="ACB171" s="72"/>
      <c r="ACC171" s="72"/>
      <c r="ACD171" s="72"/>
      <c r="ACE171" s="72"/>
      <c r="ACF171" s="72"/>
      <c r="ACG171" s="72"/>
      <c r="ACH171" s="72"/>
      <c r="ACI171" s="72"/>
      <c r="ACJ171" s="72"/>
      <c r="ACK171" s="72"/>
      <c r="ACL171" s="72"/>
      <c r="ACM171" s="72"/>
      <c r="ACN171" s="72"/>
      <c r="ACO171" s="72"/>
      <c r="ACP171" s="72"/>
      <c r="ACQ171" s="72"/>
      <c r="ACR171" s="72"/>
      <c r="ACS171" s="72"/>
      <c r="ACT171" s="72"/>
      <c r="ACU171" s="72"/>
      <c r="ACV171" s="72"/>
      <c r="ACW171" s="72"/>
      <c r="ACX171" s="72"/>
      <c r="ACY171" s="72"/>
      <c r="ACZ171" s="72"/>
      <c r="ADA171" s="72"/>
      <c r="ADB171" s="72"/>
      <c r="ADC171" s="72"/>
      <c r="ADD171" s="72"/>
      <c r="ADE171" s="72"/>
      <c r="ADF171" s="72"/>
      <c r="ADG171" s="72"/>
      <c r="ADH171" s="72"/>
      <c r="ADI171" s="72"/>
      <c r="ADJ171" s="72"/>
      <c r="ADK171" s="72"/>
      <c r="ADL171" s="72"/>
      <c r="ADM171" s="72"/>
      <c r="ADN171" s="72"/>
      <c r="ADO171" s="72"/>
      <c r="ADP171" s="72"/>
      <c r="ADQ171" s="72"/>
      <c r="ADR171" s="72"/>
      <c r="ADS171" s="72"/>
      <c r="ADT171" s="72"/>
      <c r="ADU171" s="72"/>
      <c r="ADV171" s="72"/>
      <c r="ADW171" s="72"/>
      <c r="ADX171" s="72"/>
      <c r="ADY171" s="72"/>
      <c r="ADZ171" s="72"/>
      <c r="AEA171" s="72"/>
      <c r="AEB171" s="72"/>
      <c r="AEC171" s="72"/>
      <c r="AED171" s="72"/>
      <c r="AEE171" s="72"/>
      <c r="AEF171" s="72"/>
      <c r="AEG171" s="72"/>
      <c r="AEH171" s="72"/>
      <c r="AEI171" s="72"/>
      <c r="AEJ171" s="72"/>
      <c r="AEK171" s="72"/>
      <c r="AEL171" s="72"/>
      <c r="AEM171" s="72"/>
      <c r="AEN171" s="72"/>
      <c r="AEO171" s="72"/>
      <c r="AEP171" s="72"/>
      <c r="AEQ171" s="72"/>
      <c r="AER171" s="72"/>
      <c r="AES171" s="72"/>
      <c r="AET171" s="72"/>
      <c r="AEU171" s="72"/>
      <c r="AEV171" s="72"/>
      <c r="AEW171" s="72"/>
      <c r="AEX171" s="72"/>
      <c r="AEY171" s="72"/>
      <c r="AEZ171" s="72"/>
      <c r="AFA171" s="72"/>
      <c r="AFB171" s="72"/>
      <c r="AFC171" s="72"/>
      <c r="AFD171" s="72"/>
      <c r="AFE171" s="72"/>
      <c r="AFF171" s="72"/>
      <c r="AFG171" s="72"/>
      <c r="AFH171" s="72"/>
      <c r="AFI171" s="72"/>
      <c r="AFJ171" s="72"/>
      <c r="AFK171" s="72"/>
      <c r="AFL171" s="72"/>
      <c r="AFM171" s="72"/>
      <c r="AFN171" s="72"/>
      <c r="AFO171" s="72"/>
      <c r="AFP171" s="72"/>
      <c r="AFQ171" s="72"/>
      <c r="AFR171" s="72"/>
      <c r="AFS171" s="72"/>
      <c r="AFT171" s="72"/>
      <c r="AFU171" s="72"/>
      <c r="AFV171" s="72"/>
      <c r="AFW171" s="72"/>
      <c r="AFX171" s="72"/>
      <c r="AFY171" s="72"/>
      <c r="AFZ171" s="72"/>
      <c r="AGA171" s="72"/>
      <c r="AGB171" s="72"/>
      <c r="AGC171" s="72"/>
      <c r="AGD171" s="72"/>
      <c r="AGE171" s="72"/>
      <c r="AGF171" s="72"/>
      <c r="AGG171" s="72"/>
      <c r="AGH171" s="72"/>
      <c r="AGI171" s="72"/>
      <c r="AGJ171" s="72"/>
      <c r="AGK171" s="72"/>
      <c r="AGL171" s="72"/>
      <c r="AGM171" s="72"/>
      <c r="AGN171" s="72"/>
      <c r="AGO171" s="72"/>
      <c r="AGP171" s="72"/>
      <c r="AGQ171" s="72"/>
      <c r="AGR171" s="72"/>
      <c r="AGS171" s="72"/>
      <c r="AGT171" s="72"/>
      <c r="AGU171" s="72"/>
      <c r="AGV171" s="72"/>
      <c r="AGW171" s="72"/>
      <c r="AGX171" s="72"/>
      <c r="AGY171" s="72"/>
      <c r="AGZ171" s="72"/>
      <c r="AHA171" s="72"/>
      <c r="AHB171" s="72"/>
      <c r="AHC171" s="72"/>
      <c r="AHD171" s="72"/>
      <c r="AHE171" s="72"/>
      <c r="AHF171" s="72"/>
      <c r="AHG171" s="72"/>
      <c r="AHH171" s="72"/>
      <c r="AHI171" s="72"/>
      <c r="AHJ171" s="72"/>
      <c r="AHK171" s="72"/>
      <c r="AHL171" s="72"/>
      <c r="AHM171" s="72"/>
      <c r="AHN171" s="72"/>
      <c r="AHO171" s="72"/>
      <c r="AHP171" s="72"/>
      <c r="AHQ171" s="72"/>
      <c r="AHR171" s="72"/>
      <c r="AHS171" s="72"/>
      <c r="AHT171" s="72"/>
      <c r="AHU171" s="72"/>
      <c r="AHV171" s="72"/>
      <c r="AHW171" s="72"/>
      <c r="AHX171" s="72"/>
      <c r="AHY171" s="72"/>
      <c r="AHZ171" s="72"/>
      <c r="AIA171" s="72"/>
      <c r="AIB171" s="72"/>
      <c r="AIC171" s="72"/>
      <c r="AID171" s="72"/>
      <c r="AIE171" s="72"/>
      <c r="AIF171" s="72"/>
      <c r="AIG171" s="72"/>
      <c r="AIH171" s="72"/>
      <c r="AII171" s="72"/>
      <c r="AIJ171" s="72"/>
      <c r="AIK171" s="72"/>
      <c r="AIL171" s="72"/>
      <c r="AIM171" s="72"/>
      <c r="AIN171" s="72"/>
      <c r="AIO171" s="72"/>
      <c r="AIP171" s="72"/>
      <c r="AIQ171" s="72"/>
      <c r="AIR171" s="72"/>
      <c r="AIS171" s="72"/>
      <c r="AIT171" s="72"/>
      <c r="AIU171" s="72"/>
      <c r="AIV171" s="72"/>
      <c r="AIW171" s="72"/>
      <c r="AIX171" s="72"/>
      <c r="AIY171" s="72"/>
      <c r="AIZ171" s="72"/>
      <c r="AJA171" s="72"/>
      <c r="AJB171" s="72"/>
      <c r="AJC171" s="72"/>
      <c r="AJD171" s="72"/>
      <c r="AJE171" s="72"/>
      <c r="AJF171" s="72"/>
      <c r="AJG171" s="72"/>
      <c r="AJH171" s="72"/>
      <c r="AJI171" s="72"/>
      <c r="AJJ171" s="72"/>
      <c r="AJK171" s="72"/>
      <c r="AJL171" s="72"/>
      <c r="AJM171" s="72"/>
      <c r="AJN171" s="72"/>
      <c r="AJO171" s="72"/>
      <c r="AJP171" s="72"/>
      <c r="AJQ171" s="72"/>
      <c r="AJR171" s="72"/>
      <c r="AJS171" s="72"/>
      <c r="AJT171" s="72"/>
      <c r="AJU171" s="72"/>
      <c r="AJV171" s="72"/>
      <c r="AJW171" s="72"/>
      <c r="AJX171" s="72"/>
      <c r="AJY171" s="72"/>
      <c r="AJZ171" s="72"/>
      <c r="AKA171" s="72"/>
      <c r="AKB171" s="72"/>
      <c r="AKC171" s="72"/>
      <c r="AKD171" s="72"/>
      <c r="AKE171" s="72"/>
      <c r="AKF171" s="72"/>
      <c r="AKG171" s="72"/>
      <c r="AKH171" s="72"/>
      <c r="AKI171" s="72"/>
      <c r="AKJ171" s="72"/>
      <c r="AKK171" s="72"/>
      <c r="AKL171" s="72"/>
      <c r="AKM171" s="72"/>
      <c r="AKN171" s="72"/>
      <c r="AKO171" s="72"/>
      <c r="AKP171" s="72"/>
      <c r="AKQ171" s="72"/>
      <c r="AKR171" s="72"/>
      <c r="AKS171" s="72"/>
      <c r="AKT171" s="72"/>
      <c r="AKU171" s="72"/>
      <c r="AKV171" s="72"/>
      <c r="AKW171" s="72"/>
      <c r="AKX171" s="72"/>
      <c r="AKY171" s="72"/>
      <c r="AKZ171" s="72"/>
      <c r="ALA171" s="72"/>
      <c r="ALB171" s="72"/>
      <c r="ALC171" s="72"/>
      <c r="ALD171" s="72"/>
      <c r="ALE171" s="72"/>
      <c r="ALF171" s="72"/>
      <c r="ALG171" s="72"/>
      <c r="ALH171" s="72"/>
      <c r="ALI171" s="72"/>
      <c r="ALJ171" s="72"/>
      <c r="ALK171" s="72"/>
      <c r="ALL171" s="72"/>
      <c r="ALM171" s="72"/>
      <c r="ALN171" s="72"/>
      <c r="ALO171" s="72"/>
      <c r="ALP171" s="72"/>
      <c r="ALQ171" s="72"/>
      <c r="ALR171" s="72"/>
      <c r="ALS171" s="72"/>
      <c r="ALT171" s="72"/>
      <c r="ALU171" s="72"/>
      <c r="ALV171" s="72"/>
      <c r="ALW171" s="72"/>
      <c r="ALX171" s="72"/>
      <c r="ALY171" s="72"/>
      <c r="ALZ171" s="72"/>
      <c r="AMA171" s="72"/>
      <c r="AMB171" s="72"/>
      <c r="AMC171" s="72"/>
      <c r="AMD171" s="72"/>
      <c r="AME171" s="72"/>
      <c r="AMF171" s="72"/>
      <c r="AMG171" s="72"/>
      <c r="AMH171" s="72"/>
      <c r="AMI171" s="72"/>
      <c r="AMJ171" s="72"/>
      <c r="AMK171" s="72"/>
      <c r="AML171" s="72"/>
      <c r="AMM171" s="72"/>
      <c r="AMN171" s="72"/>
      <c r="AMO171" s="72"/>
      <c r="AMP171" s="72"/>
      <c r="AMQ171" s="72"/>
      <c r="AMR171" s="72"/>
      <c r="AMS171" s="72"/>
      <c r="AMT171" s="72"/>
      <c r="AMU171" s="72"/>
      <c r="AMV171" s="72"/>
      <c r="AMW171" s="72"/>
      <c r="AMX171" s="72"/>
      <c r="AMY171" s="72"/>
      <c r="AMZ171" s="72"/>
      <c r="ANA171" s="72"/>
      <c r="ANB171" s="72"/>
      <c r="ANC171" s="72"/>
      <c r="AND171" s="72"/>
      <c r="ANE171" s="72"/>
      <c r="ANF171" s="72"/>
      <c r="ANG171" s="72"/>
      <c r="ANH171" s="72"/>
      <c r="ANI171" s="72"/>
      <c r="ANJ171" s="72"/>
      <c r="ANK171" s="72"/>
      <c r="ANL171" s="72"/>
      <c r="ANM171" s="72"/>
      <c r="ANN171" s="72"/>
      <c r="ANO171" s="72"/>
      <c r="ANP171" s="72"/>
      <c r="ANQ171" s="72"/>
      <c r="ANR171" s="72"/>
      <c r="ANS171" s="72"/>
      <c r="ANT171" s="72"/>
      <c r="ANU171" s="72"/>
      <c r="ANV171" s="72"/>
      <c r="ANW171" s="72"/>
      <c r="ANX171" s="72"/>
      <c r="ANY171" s="72"/>
      <c r="ANZ171" s="72"/>
      <c r="AOA171" s="72"/>
      <c r="AOB171" s="72"/>
      <c r="AOC171" s="72"/>
      <c r="AOD171" s="72"/>
      <c r="AOE171" s="72"/>
      <c r="AOF171" s="72"/>
      <c r="AOG171" s="72"/>
      <c r="AOH171" s="72"/>
      <c r="AOI171" s="72"/>
      <c r="AOJ171" s="72"/>
      <c r="AOK171" s="72"/>
      <c r="AOL171" s="72"/>
      <c r="AOM171" s="72"/>
      <c r="AON171" s="72"/>
      <c r="AOO171" s="72"/>
      <c r="AOP171" s="72"/>
      <c r="AOQ171" s="72"/>
      <c r="AOR171" s="72"/>
      <c r="AOS171" s="72"/>
      <c r="AOT171" s="72"/>
      <c r="AOU171" s="72"/>
      <c r="AOV171" s="72"/>
      <c r="AOW171" s="72"/>
      <c r="AOX171" s="72"/>
      <c r="AOY171" s="72"/>
      <c r="AOZ171" s="72"/>
      <c r="APA171" s="72"/>
      <c r="APB171" s="72"/>
      <c r="APC171" s="72"/>
      <c r="APD171" s="72"/>
      <c r="APE171" s="72"/>
      <c r="APF171" s="72"/>
      <c r="APG171" s="72"/>
      <c r="APH171" s="72"/>
      <c r="API171" s="72"/>
      <c r="APJ171" s="72"/>
      <c r="APK171" s="72"/>
      <c r="APL171" s="72"/>
      <c r="APM171" s="72"/>
      <c r="APN171" s="72"/>
      <c r="APO171" s="72"/>
      <c r="APP171" s="72"/>
      <c r="APQ171" s="72"/>
      <c r="APR171" s="72"/>
      <c r="APS171" s="72"/>
      <c r="APT171" s="72"/>
      <c r="APU171" s="72"/>
      <c r="APV171" s="72"/>
      <c r="APW171" s="72"/>
      <c r="APX171" s="72"/>
      <c r="APY171" s="72"/>
      <c r="APZ171" s="72"/>
      <c r="AQA171" s="72"/>
      <c r="AQB171" s="72"/>
      <c r="AQC171" s="72"/>
      <c r="AQD171" s="72"/>
      <c r="AQE171" s="72"/>
      <c r="AQF171" s="72"/>
      <c r="AQG171" s="72"/>
      <c r="AQH171" s="72"/>
      <c r="AQI171" s="72"/>
      <c r="AQJ171" s="72"/>
      <c r="AQK171" s="72"/>
      <c r="AQL171" s="72"/>
      <c r="AQM171" s="72"/>
      <c r="AQN171" s="72"/>
      <c r="AQO171" s="72"/>
      <c r="AQP171" s="72"/>
      <c r="AQQ171" s="72"/>
      <c r="AQR171" s="72"/>
      <c r="AQS171" s="72"/>
      <c r="AQT171" s="72"/>
      <c r="AQU171" s="72"/>
      <c r="AQV171" s="72"/>
      <c r="AQW171" s="72"/>
      <c r="AQX171" s="72"/>
      <c r="AQY171" s="72"/>
      <c r="AQZ171" s="72"/>
      <c r="ARA171" s="72"/>
      <c r="ARB171" s="72"/>
      <c r="ARC171" s="72"/>
      <c r="ARD171" s="72"/>
      <c r="ARE171" s="72"/>
      <c r="ARF171" s="72"/>
      <c r="ARG171" s="72"/>
      <c r="ARH171" s="72"/>
      <c r="ARI171" s="72"/>
      <c r="ARJ171" s="72"/>
      <c r="ARK171" s="72"/>
      <c r="ARL171" s="72"/>
      <c r="ARM171" s="72"/>
      <c r="ARN171" s="72"/>
      <c r="ARO171" s="72"/>
      <c r="ARP171" s="72"/>
      <c r="ARQ171" s="72"/>
      <c r="ARR171" s="72"/>
      <c r="ARS171" s="72"/>
      <c r="ART171" s="72"/>
      <c r="ARU171" s="72"/>
      <c r="ARV171" s="72"/>
      <c r="ARW171" s="72"/>
      <c r="ARX171" s="72"/>
      <c r="ARY171" s="72"/>
      <c r="ARZ171" s="72"/>
      <c r="ASA171" s="72"/>
      <c r="ASB171" s="72"/>
      <c r="ASC171" s="72"/>
      <c r="ASD171" s="72"/>
      <c r="ASE171" s="72"/>
      <c r="ASF171" s="72"/>
      <c r="ASG171" s="72"/>
      <c r="ASH171" s="72"/>
      <c r="ASI171" s="72"/>
      <c r="ASJ171" s="72"/>
      <c r="ASK171" s="72"/>
      <c r="ASL171" s="72"/>
      <c r="ASM171" s="72"/>
      <c r="ASN171" s="72"/>
      <c r="ASO171" s="72"/>
      <c r="ASP171" s="72"/>
      <c r="ASQ171" s="72"/>
      <c r="ASR171" s="72"/>
      <c r="ASS171" s="72"/>
      <c r="AST171" s="72"/>
      <c r="ASU171" s="72"/>
      <c r="ASV171" s="72"/>
      <c r="ASW171" s="72"/>
      <c r="ASX171" s="72"/>
      <c r="ASY171" s="72"/>
      <c r="ASZ171" s="72"/>
      <c r="ATA171" s="72"/>
      <c r="ATB171" s="72"/>
      <c r="ATC171" s="72"/>
      <c r="ATD171" s="72"/>
      <c r="ATE171" s="72"/>
      <c r="ATF171" s="72"/>
      <c r="ATG171" s="72"/>
      <c r="ATH171" s="72"/>
      <c r="ATI171" s="72"/>
      <c r="ATJ171" s="72"/>
      <c r="ATK171" s="72"/>
      <c r="ATL171" s="72"/>
      <c r="ATM171" s="72"/>
      <c r="ATN171" s="72"/>
      <c r="ATO171" s="72"/>
      <c r="ATP171" s="72"/>
      <c r="ATQ171" s="72"/>
      <c r="ATR171" s="72"/>
      <c r="ATS171" s="72"/>
      <c r="ATT171" s="72"/>
      <c r="ATU171" s="72"/>
      <c r="ATV171" s="72"/>
      <c r="ATW171" s="72"/>
      <c r="ATX171" s="72"/>
      <c r="ATY171" s="72"/>
      <c r="ATZ171" s="72"/>
      <c r="AUA171" s="72"/>
      <c r="AUB171" s="72"/>
      <c r="AUC171" s="72"/>
      <c r="AUD171" s="72"/>
      <c r="AUE171" s="72"/>
      <c r="AUF171" s="72"/>
      <c r="AUG171" s="72"/>
      <c r="AUH171" s="72"/>
      <c r="AUI171" s="72"/>
      <c r="AUJ171" s="72"/>
      <c r="AUK171" s="72"/>
      <c r="AUL171" s="72"/>
      <c r="AUM171" s="72"/>
      <c r="AUN171" s="72"/>
      <c r="AUO171" s="72"/>
      <c r="AUP171" s="72"/>
      <c r="AUQ171" s="72"/>
      <c r="AUR171" s="72"/>
      <c r="AUS171" s="72"/>
      <c r="AUT171" s="72"/>
      <c r="AUU171" s="72"/>
      <c r="AUV171" s="72"/>
      <c r="AUW171" s="72"/>
      <c r="AUX171" s="72"/>
      <c r="AUY171" s="72"/>
      <c r="AUZ171" s="72"/>
      <c r="AVA171" s="72"/>
      <c r="AVB171" s="72"/>
      <c r="AVC171" s="72"/>
      <c r="AVD171" s="72"/>
      <c r="AVE171" s="72"/>
      <c r="AVF171" s="72"/>
      <c r="AVG171" s="72"/>
      <c r="AVH171" s="72"/>
      <c r="AVI171" s="72"/>
      <c r="AVJ171" s="72"/>
      <c r="AVK171" s="72"/>
      <c r="AVL171" s="72"/>
      <c r="AVM171" s="72"/>
      <c r="AVN171" s="72"/>
      <c r="AVO171" s="72"/>
      <c r="AVP171" s="72"/>
      <c r="AVQ171" s="72"/>
      <c r="AVR171" s="72"/>
      <c r="AVS171" s="72"/>
      <c r="AVT171" s="72"/>
      <c r="AVU171" s="72"/>
      <c r="AVV171" s="72"/>
      <c r="AVW171" s="72"/>
      <c r="AVX171" s="72"/>
      <c r="AVY171" s="72"/>
      <c r="AVZ171" s="72"/>
      <c r="AWA171" s="72"/>
      <c r="AWB171" s="72"/>
      <c r="AWC171" s="72"/>
      <c r="AWD171" s="72"/>
      <c r="AWE171" s="72"/>
      <c r="AWF171" s="72"/>
      <c r="AWG171" s="72"/>
      <c r="AWH171" s="72"/>
      <c r="AWI171" s="72"/>
      <c r="AWJ171" s="72"/>
      <c r="AWK171" s="72"/>
      <c r="AWL171" s="72"/>
      <c r="AWM171" s="72"/>
      <c r="AWN171" s="72"/>
      <c r="AWO171" s="72"/>
      <c r="AWP171" s="72"/>
      <c r="AWQ171" s="72"/>
      <c r="AWR171" s="72"/>
      <c r="AWS171" s="72"/>
      <c r="AWT171" s="72"/>
      <c r="AWU171" s="72"/>
      <c r="AWV171" s="72"/>
      <c r="AWW171" s="72"/>
      <c r="AWX171" s="72"/>
      <c r="AWY171" s="72"/>
      <c r="AWZ171" s="72"/>
      <c r="AXA171" s="72"/>
      <c r="AXB171" s="72"/>
      <c r="AXC171" s="72"/>
      <c r="AXD171" s="72"/>
      <c r="AXE171" s="72"/>
      <c r="AXF171" s="72"/>
      <c r="AXG171" s="72"/>
      <c r="AXH171" s="72"/>
      <c r="AXI171" s="72"/>
      <c r="AXJ171" s="72"/>
      <c r="AXK171" s="72"/>
      <c r="AXL171" s="72"/>
      <c r="AXM171" s="72"/>
      <c r="AXN171" s="72"/>
      <c r="AXO171" s="72"/>
      <c r="AXP171" s="72"/>
      <c r="AXQ171" s="72"/>
      <c r="AXR171" s="72"/>
      <c r="AXS171" s="72"/>
      <c r="AXT171" s="72"/>
      <c r="AXU171" s="72"/>
      <c r="AXV171" s="72"/>
      <c r="AXW171" s="72"/>
      <c r="AXX171" s="72"/>
      <c r="AXY171" s="72"/>
      <c r="AXZ171" s="72"/>
      <c r="AYA171" s="72"/>
      <c r="AYB171" s="72"/>
      <c r="AYC171" s="72"/>
      <c r="AYD171" s="72"/>
      <c r="AYE171" s="72"/>
      <c r="AYF171" s="72"/>
      <c r="AYG171" s="72"/>
      <c r="AYH171" s="72"/>
      <c r="AYI171" s="72"/>
      <c r="AYJ171" s="72"/>
      <c r="AYK171" s="72"/>
      <c r="AYL171" s="72"/>
      <c r="AYM171" s="72"/>
      <c r="AYN171" s="72"/>
      <c r="AYO171" s="72"/>
      <c r="AYP171" s="72"/>
      <c r="AYQ171" s="72"/>
      <c r="AYR171" s="72"/>
      <c r="AYS171" s="72"/>
      <c r="AYT171" s="72"/>
      <c r="AYU171" s="72"/>
      <c r="AYV171" s="72"/>
      <c r="AYW171" s="72"/>
      <c r="AYX171" s="72"/>
      <c r="AYY171" s="72"/>
      <c r="AYZ171" s="72"/>
      <c r="AZA171" s="72"/>
      <c r="AZB171" s="72"/>
      <c r="AZC171" s="72"/>
      <c r="AZD171" s="72"/>
      <c r="AZE171" s="72"/>
      <c r="AZF171" s="72"/>
      <c r="AZG171" s="72"/>
      <c r="AZH171" s="72"/>
      <c r="AZI171" s="72"/>
      <c r="AZJ171" s="72"/>
      <c r="AZK171" s="72"/>
      <c r="AZL171" s="72"/>
      <c r="AZM171" s="72"/>
      <c r="AZN171" s="72"/>
      <c r="AZO171" s="72"/>
      <c r="AZP171" s="72"/>
      <c r="AZQ171" s="72"/>
      <c r="AZR171" s="72"/>
      <c r="AZS171" s="72"/>
      <c r="AZT171" s="72"/>
      <c r="AZU171" s="72"/>
      <c r="AZV171" s="72"/>
      <c r="AZW171" s="72"/>
      <c r="AZX171" s="72"/>
      <c r="AZY171" s="72"/>
      <c r="AZZ171" s="72"/>
      <c r="BAA171" s="72"/>
      <c r="BAB171" s="72"/>
      <c r="BAC171" s="72"/>
      <c r="BAD171" s="72"/>
      <c r="BAE171" s="72"/>
      <c r="BAF171" s="72"/>
      <c r="BAG171" s="72"/>
      <c r="BAH171" s="72"/>
      <c r="BAI171" s="72"/>
      <c r="BAJ171" s="72"/>
      <c r="BAK171" s="72"/>
      <c r="BAL171" s="72"/>
      <c r="BAM171" s="72"/>
      <c r="BAN171" s="72"/>
      <c r="BAO171" s="72"/>
      <c r="BAP171" s="72"/>
      <c r="BAQ171" s="72"/>
      <c r="BAR171" s="72"/>
      <c r="BAS171" s="72"/>
      <c r="BAT171" s="72"/>
      <c r="BAU171" s="72"/>
      <c r="BAV171" s="72"/>
      <c r="BAW171" s="72"/>
      <c r="BAX171" s="72"/>
      <c r="BAY171" s="72"/>
      <c r="BAZ171" s="72"/>
      <c r="BBA171" s="72"/>
      <c r="BBB171" s="72"/>
      <c r="BBC171" s="72"/>
      <c r="BBD171" s="72"/>
      <c r="BBE171" s="72"/>
      <c r="BBF171" s="72"/>
      <c r="BBG171" s="72"/>
      <c r="BBH171" s="72"/>
      <c r="BBI171" s="72"/>
      <c r="BBJ171" s="72"/>
      <c r="BBK171" s="72"/>
      <c r="BBL171" s="72"/>
      <c r="BBM171" s="72"/>
      <c r="BBN171" s="72"/>
      <c r="BBO171" s="72"/>
      <c r="BBP171" s="72"/>
      <c r="BBQ171" s="72"/>
      <c r="BBR171" s="72"/>
      <c r="BBS171" s="72"/>
      <c r="BBT171" s="72"/>
      <c r="BBU171" s="72"/>
      <c r="BBV171" s="72"/>
      <c r="BBW171" s="72"/>
      <c r="BBX171" s="72"/>
      <c r="BBY171" s="72"/>
      <c r="BBZ171" s="72"/>
      <c r="BCA171" s="72"/>
      <c r="BCB171" s="72"/>
      <c r="BCC171" s="72"/>
      <c r="BCD171" s="72"/>
      <c r="BCE171" s="72"/>
      <c r="BCF171" s="72"/>
      <c r="BCG171" s="72"/>
      <c r="BCH171" s="72"/>
      <c r="BCI171" s="72"/>
      <c r="BCJ171" s="72"/>
      <c r="BCK171" s="72"/>
      <c r="BCL171" s="72"/>
      <c r="BCM171" s="72"/>
      <c r="BCN171" s="72"/>
      <c r="BCO171" s="72"/>
      <c r="BCP171" s="72"/>
      <c r="BCQ171" s="72"/>
      <c r="BCR171" s="72"/>
      <c r="BCS171" s="72"/>
      <c r="BCT171" s="72"/>
      <c r="BCU171" s="72"/>
      <c r="BCV171" s="72"/>
      <c r="BCW171" s="72"/>
      <c r="BCX171" s="72"/>
      <c r="BCY171" s="72"/>
      <c r="BCZ171" s="72"/>
      <c r="BDA171" s="72"/>
      <c r="BDB171" s="72"/>
      <c r="BDC171" s="72"/>
      <c r="BDD171" s="72"/>
      <c r="BDE171" s="72"/>
      <c r="BDF171" s="72"/>
      <c r="BDG171" s="72"/>
      <c r="BDH171" s="72"/>
      <c r="BDI171" s="72"/>
      <c r="BDJ171" s="72"/>
      <c r="BDK171" s="72"/>
      <c r="BDL171" s="72"/>
      <c r="BDM171" s="72"/>
      <c r="BDN171" s="72"/>
      <c r="BDO171" s="72"/>
      <c r="BDP171" s="72"/>
      <c r="BDQ171" s="72"/>
      <c r="BDR171" s="72"/>
      <c r="BDS171" s="72"/>
      <c r="BDT171" s="72"/>
      <c r="BDU171" s="72"/>
      <c r="BDV171" s="72"/>
      <c r="BDW171" s="72"/>
      <c r="BDX171" s="72"/>
      <c r="BDY171" s="72"/>
      <c r="BDZ171" s="72"/>
      <c r="BEA171" s="72"/>
      <c r="BEB171" s="72"/>
      <c r="BEC171" s="72"/>
      <c r="BED171" s="72"/>
      <c r="BEE171" s="72"/>
      <c r="BEF171" s="72"/>
      <c r="BEG171" s="72"/>
      <c r="BEH171" s="72"/>
      <c r="BEI171" s="72"/>
      <c r="BEJ171" s="72"/>
      <c r="BEK171" s="72"/>
      <c r="BEL171" s="72"/>
      <c r="BEM171" s="72"/>
      <c r="BEN171" s="72"/>
      <c r="BEO171" s="72"/>
      <c r="BEP171" s="72"/>
      <c r="BEQ171" s="72"/>
      <c r="BER171" s="72"/>
      <c r="BES171" s="72"/>
      <c r="BET171" s="72"/>
      <c r="BEU171" s="72"/>
      <c r="BEV171" s="72"/>
      <c r="BEW171" s="72"/>
      <c r="BEX171" s="72"/>
      <c r="BEY171" s="72"/>
      <c r="BEZ171" s="72"/>
      <c r="BFA171" s="72"/>
      <c r="BFB171" s="72"/>
      <c r="BFC171" s="72"/>
      <c r="BFD171" s="72"/>
      <c r="BFE171" s="72"/>
      <c r="BFF171" s="72"/>
      <c r="BFG171" s="72"/>
      <c r="BFH171" s="72"/>
      <c r="BFI171" s="72"/>
      <c r="BFJ171" s="72"/>
      <c r="BFK171" s="72"/>
      <c r="BFL171" s="72"/>
      <c r="BFM171" s="72"/>
      <c r="BFN171" s="72"/>
      <c r="BFO171" s="72"/>
      <c r="BFP171" s="72"/>
      <c r="BFQ171" s="72"/>
      <c r="BFR171" s="72"/>
      <c r="BFS171" s="72"/>
      <c r="BFT171" s="72"/>
      <c r="BFU171" s="72"/>
      <c r="BFV171" s="72"/>
      <c r="BFW171" s="72"/>
      <c r="BFX171" s="72"/>
      <c r="BFY171" s="72"/>
      <c r="BFZ171" s="72"/>
      <c r="BGA171" s="72"/>
      <c r="BGB171" s="72"/>
      <c r="BGC171" s="72"/>
      <c r="BGD171" s="72"/>
      <c r="BGE171" s="72"/>
      <c r="BGF171" s="72"/>
      <c r="BGG171" s="72"/>
      <c r="BGH171" s="72"/>
      <c r="BGI171" s="72"/>
      <c r="BGJ171" s="72"/>
      <c r="BGK171" s="72"/>
      <c r="BGL171" s="72"/>
      <c r="BGM171" s="72"/>
      <c r="BGN171" s="72"/>
      <c r="BGO171" s="72"/>
      <c r="BGP171" s="72"/>
      <c r="BGQ171" s="72"/>
      <c r="BGR171" s="72"/>
      <c r="BGS171" s="72"/>
      <c r="BGT171" s="72"/>
      <c r="BGU171" s="72"/>
      <c r="BGV171" s="72"/>
      <c r="BGW171" s="72"/>
      <c r="BGX171" s="72"/>
      <c r="BGY171" s="72"/>
      <c r="BGZ171" s="72"/>
      <c r="BHA171" s="72"/>
      <c r="BHB171" s="72"/>
      <c r="BHC171" s="72"/>
      <c r="BHD171" s="72"/>
      <c r="BHE171" s="72"/>
      <c r="BHF171" s="72"/>
      <c r="BHG171" s="72"/>
      <c r="BHH171" s="72"/>
      <c r="BHI171" s="72"/>
      <c r="BHJ171" s="72"/>
      <c r="BHK171" s="72"/>
      <c r="BHL171" s="72"/>
      <c r="BHM171" s="72"/>
      <c r="BHN171" s="72"/>
      <c r="BHO171" s="72"/>
      <c r="BHP171" s="72"/>
      <c r="BHQ171" s="72"/>
      <c r="BHR171" s="72"/>
      <c r="BHS171" s="72"/>
      <c r="BHT171" s="72"/>
      <c r="BHU171" s="72"/>
      <c r="BHV171" s="72"/>
      <c r="BHW171" s="72"/>
      <c r="BHX171" s="72"/>
      <c r="BHY171" s="72"/>
      <c r="BHZ171" s="72"/>
      <c r="BIA171" s="72"/>
      <c r="BIB171" s="72"/>
      <c r="BIC171" s="72"/>
      <c r="BID171" s="72"/>
      <c r="BIE171" s="72"/>
      <c r="BIF171" s="72"/>
      <c r="BIG171" s="72"/>
      <c r="BIH171" s="72"/>
      <c r="BII171" s="72"/>
      <c r="BIJ171" s="72"/>
      <c r="BIK171" s="72"/>
      <c r="BIL171" s="72"/>
      <c r="BIM171" s="72"/>
      <c r="BIN171" s="72"/>
      <c r="BIO171" s="72"/>
      <c r="BIP171" s="72"/>
      <c r="BIQ171" s="72"/>
      <c r="BIR171" s="72"/>
      <c r="BIS171" s="72"/>
      <c r="BIT171" s="72"/>
      <c r="BIU171" s="72"/>
      <c r="BIV171" s="72"/>
      <c r="BIW171" s="72"/>
      <c r="BIX171" s="72"/>
      <c r="BIY171" s="72"/>
      <c r="BIZ171" s="72"/>
      <c r="BJA171" s="72"/>
      <c r="BJB171" s="72"/>
      <c r="BJC171" s="72"/>
      <c r="BJD171" s="72"/>
      <c r="BJE171" s="72"/>
      <c r="BJF171" s="72"/>
      <c r="BJG171" s="72"/>
      <c r="BJH171" s="72"/>
      <c r="BJI171" s="72"/>
      <c r="BJJ171" s="72"/>
      <c r="BJK171" s="72"/>
      <c r="BJL171" s="72"/>
      <c r="BJM171" s="72"/>
      <c r="BJN171" s="72"/>
      <c r="BJO171" s="72"/>
      <c r="BJP171" s="72"/>
      <c r="BJQ171" s="72"/>
      <c r="BJR171" s="72"/>
      <c r="BJS171" s="72"/>
      <c r="BJT171" s="72"/>
      <c r="BJU171" s="72"/>
      <c r="BJV171" s="72"/>
      <c r="BJW171" s="72"/>
      <c r="BJX171" s="72"/>
      <c r="BJY171" s="72"/>
      <c r="BJZ171" s="72"/>
      <c r="BKA171" s="72"/>
      <c r="BKB171" s="72"/>
      <c r="BKC171" s="72"/>
      <c r="BKD171" s="72"/>
      <c r="BKE171" s="72"/>
      <c r="BKF171" s="72"/>
      <c r="BKG171" s="72"/>
      <c r="BKH171" s="72"/>
      <c r="BKI171" s="72"/>
      <c r="BKJ171" s="72"/>
      <c r="BKK171" s="72"/>
      <c r="BKL171" s="72"/>
      <c r="BKM171" s="72"/>
      <c r="BKN171" s="72"/>
      <c r="BKO171" s="72"/>
      <c r="BKP171" s="72"/>
      <c r="BKQ171" s="72"/>
      <c r="BKR171" s="72"/>
      <c r="BKS171" s="72"/>
      <c r="BKT171" s="72"/>
      <c r="BKU171" s="72"/>
      <c r="BKV171" s="72"/>
      <c r="BKW171" s="72"/>
      <c r="BKX171" s="72"/>
      <c r="BKY171" s="72"/>
      <c r="BKZ171" s="72"/>
      <c r="BLA171" s="72"/>
      <c r="BLB171" s="72"/>
      <c r="BLC171" s="72"/>
      <c r="BLD171" s="72"/>
      <c r="BLE171" s="72"/>
      <c r="BLF171" s="72"/>
      <c r="BLG171" s="72"/>
      <c r="BLH171" s="72"/>
      <c r="BLI171" s="72"/>
      <c r="BLJ171" s="72"/>
      <c r="BLK171" s="72"/>
      <c r="BLL171" s="72"/>
      <c r="BLM171" s="72"/>
      <c r="BLN171" s="72"/>
      <c r="BLO171" s="72"/>
      <c r="BLP171" s="72"/>
      <c r="BLQ171" s="72"/>
      <c r="BLR171" s="72"/>
      <c r="BLS171" s="72"/>
      <c r="BLT171" s="72"/>
      <c r="BLU171" s="72"/>
      <c r="BLV171" s="72"/>
      <c r="BLW171" s="72"/>
      <c r="BLX171" s="72"/>
      <c r="BLY171" s="72"/>
      <c r="BLZ171" s="72"/>
      <c r="BMA171" s="72"/>
      <c r="BMB171" s="72"/>
      <c r="BMC171" s="72"/>
      <c r="BMD171" s="72"/>
      <c r="BME171" s="72"/>
      <c r="BMF171" s="72"/>
      <c r="BMG171" s="72"/>
      <c r="BMH171" s="72"/>
      <c r="BMI171" s="72"/>
      <c r="BMJ171" s="72"/>
      <c r="BMK171" s="72"/>
      <c r="BML171" s="72"/>
      <c r="BMM171" s="72"/>
      <c r="BMN171" s="72"/>
      <c r="BMO171" s="72"/>
      <c r="BMP171" s="72"/>
      <c r="BMQ171" s="72"/>
      <c r="BMR171" s="72"/>
      <c r="BMS171" s="72"/>
      <c r="BMT171" s="72"/>
      <c r="BMU171" s="72"/>
      <c r="BMV171" s="72"/>
      <c r="BMW171" s="72"/>
      <c r="BMX171" s="72"/>
      <c r="BMY171" s="72"/>
      <c r="BMZ171" s="72"/>
      <c r="BNA171" s="72"/>
      <c r="BNB171" s="72"/>
      <c r="BNC171" s="72"/>
      <c r="BND171" s="72"/>
      <c r="BNE171" s="72"/>
      <c r="BNF171" s="72"/>
      <c r="BNG171" s="72"/>
      <c r="BNH171" s="72"/>
      <c r="BNI171" s="72"/>
      <c r="BNJ171" s="72"/>
      <c r="BNK171" s="72"/>
      <c r="BNL171" s="72"/>
      <c r="BNM171" s="72"/>
      <c r="BNN171" s="72"/>
      <c r="BNO171" s="72"/>
      <c r="BNP171" s="72"/>
      <c r="BNQ171" s="72"/>
      <c r="BNR171" s="72"/>
      <c r="BNS171" s="72"/>
      <c r="BNT171" s="72"/>
      <c r="BNU171" s="72"/>
      <c r="BNV171" s="72"/>
      <c r="BNW171" s="72"/>
      <c r="BNX171" s="72"/>
      <c r="BNY171" s="72"/>
      <c r="BNZ171" s="72"/>
      <c r="BOA171" s="72"/>
      <c r="BOB171" s="72"/>
      <c r="BOC171" s="72"/>
      <c r="BOD171" s="72"/>
      <c r="BOE171" s="72"/>
      <c r="BOF171" s="72"/>
      <c r="BOG171" s="72"/>
      <c r="BOH171" s="72"/>
      <c r="BOI171" s="72"/>
      <c r="BOJ171" s="72"/>
      <c r="BOK171" s="72"/>
      <c r="BOL171" s="72"/>
      <c r="BOM171" s="72"/>
      <c r="BON171" s="72"/>
      <c r="BOO171" s="72"/>
      <c r="BOP171" s="72"/>
      <c r="BOQ171" s="72"/>
      <c r="BOR171" s="72"/>
      <c r="BOS171" s="72"/>
      <c r="BOT171" s="72"/>
      <c r="BOU171" s="72"/>
      <c r="BOV171" s="72"/>
      <c r="BOW171" s="72"/>
      <c r="BOX171" s="72"/>
      <c r="BOY171" s="72"/>
      <c r="BOZ171" s="72"/>
      <c r="BPA171" s="72"/>
      <c r="BPB171" s="72"/>
      <c r="BPC171" s="72"/>
      <c r="BPD171" s="72"/>
      <c r="BPE171" s="72"/>
      <c r="BPF171" s="72"/>
      <c r="BPG171" s="72"/>
      <c r="BPH171" s="72"/>
      <c r="BPI171" s="72"/>
      <c r="BPJ171" s="72"/>
      <c r="BPK171" s="72"/>
      <c r="BPL171" s="72"/>
      <c r="BPM171" s="72"/>
      <c r="BPN171" s="72"/>
      <c r="BPO171" s="72"/>
      <c r="BPP171" s="72"/>
      <c r="BPQ171" s="72"/>
      <c r="BPR171" s="72"/>
      <c r="BPS171" s="72"/>
      <c r="BPT171" s="72"/>
      <c r="BPU171" s="72"/>
      <c r="BPV171" s="72"/>
      <c r="BPW171" s="72"/>
      <c r="BPX171" s="72"/>
      <c r="BPY171" s="72"/>
      <c r="BPZ171" s="72"/>
      <c r="BQA171" s="72"/>
      <c r="BQB171" s="72"/>
      <c r="BQC171" s="72"/>
      <c r="BQD171" s="72"/>
      <c r="BQE171" s="72"/>
      <c r="BQF171" s="72"/>
      <c r="BQG171" s="72"/>
      <c r="BQH171" s="72"/>
      <c r="BQI171" s="72"/>
      <c r="BQJ171" s="72"/>
      <c r="BQK171" s="72"/>
      <c r="BQL171" s="72"/>
      <c r="BQM171" s="72"/>
      <c r="BQN171" s="72"/>
      <c r="BQO171" s="72"/>
      <c r="BQP171" s="72"/>
      <c r="BQQ171" s="72"/>
      <c r="BQR171" s="72"/>
      <c r="BQS171" s="72"/>
      <c r="BQT171" s="72"/>
      <c r="BQU171" s="72"/>
      <c r="BQV171" s="72"/>
      <c r="BQW171" s="72"/>
      <c r="BQX171" s="72"/>
      <c r="BQY171" s="72"/>
      <c r="BQZ171" s="72"/>
      <c r="BRA171" s="72"/>
      <c r="BRB171" s="72"/>
      <c r="BRC171" s="72"/>
      <c r="BRD171" s="72"/>
      <c r="BRE171" s="72"/>
      <c r="BRF171" s="72"/>
      <c r="BRG171" s="72"/>
      <c r="BRH171" s="72"/>
      <c r="BRI171" s="72"/>
      <c r="BRJ171" s="72"/>
      <c r="BRK171" s="72"/>
      <c r="BRL171" s="72"/>
      <c r="BRM171" s="72"/>
      <c r="BRN171" s="72"/>
      <c r="BRO171" s="72"/>
      <c r="BRP171" s="72"/>
      <c r="BRQ171" s="72"/>
      <c r="BRR171" s="72"/>
      <c r="BRS171" s="72"/>
      <c r="BRT171" s="72"/>
      <c r="BRU171" s="72"/>
      <c r="BRV171" s="72"/>
      <c r="BRW171" s="72"/>
      <c r="BRX171" s="72"/>
      <c r="BRY171" s="72"/>
      <c r="BRZ171" s="72"/>
      <c r="BSA171" s="72"/>
      <c r="BSB171" s="72"/>
      <c r="BSC171" s="72"/>
      <c r="BSD171" s="72"/>
      <c r="BSE171" s="72"/>
      <c r="BSF171" s="72"/>
      <c r="BSG171" s="72"/>
      <c r="BSH171" s="72"/>
      <c r="BSI171" s="72"/>
      <c r="BSJ171" s="72"/>
      <c r="BSK171" s="72"/>
      <c r="BSL171" s="72"/>
      <c r="BSM171" s="72"/>
      <c r="BSN171" s="72"/>
      <c r="BSO171" s="72"/>
      <c r="BSP171" s="72"/>
      <c r="BSQ171" s="72"/>
      <c r="BSR171" s="72"/>
      <c r="BSS171" s="72"/>
      <c r="BST171" s="72"/>
      <c r="BSU171" s="72"/>
      <c r="BSV171" s="72"/>
      <c r="BSW171" s="72"/>
      <c r="BSX171" s="72"/>
      <c r="BSY171" s="72"/>
      <c r="BSZ171" s="72"/>
      <c r="BTA171" s="72"/>
      <c r="BTB171" s="72"/>
      <c r="BTC171" s="72"/>
      <c r="BTD171" s="72"/>
      <c r="BTE171" s="72"/>
      <c r="BTF171" s="72"/>
      <c r="BTG171" s="72"/>
      <c r="BTH171" s="72"/>
      <c r="BTI171" s="72"/>
      <c r="BTJ171" s="72"/>
      <c r="BTK171" s="72"/>
      <c r="BTL171" s="72"/>
      <c r="BTM171" s="72"/>
      <c r="BTN171" s="72"/>
      <c r="BTO171" s="72"/>
      <c r="BTP171" s="72"/>
      <c r="BTQ171" s="72"/>
      <c r="BTR171" s="72"/>
      <c r="BTS171" s="72"/>
      <c r="BTT171" s="72"/>
      <c r="BTU171" s="72"/>
      <c r="BTV171" s="72"/>
      <c r="BTW171" s="72"/>
      <c r="BTX171" s="72"/>
      <c r="BTY171" s="72"/>
      <c r="BTZ171" s="72"/>
      <c r="BUA171" s="72"/>
      <c r="BUB171" s="72"/>
      <c r="BUC171" s="72"/>
      <c r="BUD171" s="72"/>
      <c r="BUE171" s="72"/>
      <c r="BUF171" s="72"/>
      <c r="BUG171" s="72"/>
      <c r="BUH171" s="72"/>
      <c r="BUI171" s="72"/>
      <c r="BUJ171" s="72"/>
      <c r="BUK171" s="72"/>
      <c r="BUL171" s="72"/>
      <c r="BUM171" s="72"/>
      <c r="BUN171" s="72"/>
      <c r="BUO171" s="72"/>
      <c r="BUP171" s="72"/>
      <c r="BUQ171" s="72"/>
      <c r="BUR171" s="72"/>
      <c r="BUS171" s="72"/>
      <c r="BUT171" s="72"/>
      <c r="BUU171" s="72"/>
      <c r="BUV171" s="72"/>
      <c r="BUW171" s="72"/>
      <c r="BUX171" s="72"/>
      <c r="BUY171" s="72"/>
      <c r="BUZ171" s="72"/>
      <c r="BVA171" s="72"/>
      <c r="BVB171" s="72"/>
      <c r="BVC171" s="72"/>
      <c r="BVD171" s="72"/>
      <c r="BVE171" s="72"/>
      <c r="BVF171" s="72"/>
      <c r="BVG171" s="72"/>
      <c r="BVH171" s="72"/>
      <c r="BVI171" s="72"/>
      <c r="BVJ171" s="72"/>
      <c r="BVK171" s="72"/>
      <c r="BVL171" s="72"/>
      <c r="BVM171" s="72"/>
      <c r="BVN171" s="72"/>
      <c r="BVO171" s="72"/>
      <c r="BVP171" s="72"/>
      <c r="BVQ171" s="72"/>
      <c r="BVR171" s="72"/>
      <c r="BVS171" s="72"/>
      <c r="BVT171" s="72"/>
      <c r="BVU171" s="72"/>
      <c r="BVV171" s="72"/>
      <c r="BVW171" s="72"/>
      <c r="BVX171" s="72"/>
      <c r="BVY171" s="72"/>
      <c r="BVZ171" s="72"/>
      <c r="BWA171" s="72"/>
      <c r="BWB171" s="72"/>
      <c r="BWC171" s="72"/>
      <c r="BWD171" s="72"/>
      <c r="BWE171" s="72"/>
      <c r="BWF171" s="72"/>
      <c r="BWG171" s="72"/>
      <c r="BWH171" s="72"/>
      <c r="BWI171" s="72"/>
      <c r="BWJ171" s="72"/>
      <c r="BWK171" s="72"/>
      <c r="BWL171" s="72"/>
      <c r="BWM171" s="72"/>
      <c r="BWN171" s="72"/>
      <c r="BWO171" s="72"/>
      <c r="BWP171" s="72"/>
      <c r="BWQ171" s="72"/>
      <c r="BWR171" s="72"/>
      <c r="BWS171" s="72"/>
      <c r="BWT171" s="72"/>
      <c r="BWU171" s="72"/>
      <c r="BWV171" s="72"/>
      <c r="BWW171" s="72"/>
      <c r="BWX171" s="72"/>
      <c r="BWY171" s="72"/>
      <c r="BWZ171" s="72"/>
      <c r="BXA171" s="72"/>
      <c r="BXB171" s="72"/>
      <c r="BXC171" s="72"/>
      <c r="BXD171" s="72"/>
      <c r="BXE171" s="72"/>
      <c r="BXF171" s="72"/>
      <c r="BXG171" s="72"/>
      <c r="BXH171" s="72"/>
      <c r="BXI171" s="72"/>
      <c r="BXJ171" s="72"/>
      <c r="BXK171" s="72"/>
      <c r="BXL171" s="72"/>
      <c r="BXM171" s="72"/>
      <c r="BXN171" s="72"/>
      <c r="BXO171" s="72"/>
      <c r="BXP171" s="72"/>
      <c r="BXQ171" s="72"/>
      <c r="BXR171" s="72"/>
      <c r="BXS171" s="72"/>
      <c r="BXT171" s="72"/>
      <c r="BXU171" s="72"/>
      <c r="BXV171" s="72"/>
      <c r="BXW171" s="72"/>
      <c r="BXX171" s="72"/>
      <c r="BXY171" s="72"/>
      <c r="BXZ171" s="72"/>
      <c r="BYA171" s="72"/>
      <c r="BYB171" s="72"/>
      <c r="BYC171" s="72"/>
      <c r="BYD171" s="72"/>
      <c r="BYE171" s="72"/>
      <c r="BYF171" s="72"/>
      <c r="BYG171" s="72"/>
      <c r="BYH171" s="72"/>
      <c r="BYI171" s="72"/>
      <c r="BYJ171" s="72"/>
      <c r="BYK171" s="72"/>
      <c r="BYL171" s="72"/>
      <c r="BYM171" s="72"/>
      <c r="BYN171" s="72"/>
      <c r="BYO171" s="72"/>
      <c r="BYP171" s="72"/>
      <c r="BYQ171" s="72"/>
      <c r="BYR171" s="72"/>
      <c r="BYS171" s="72"/>
      <c r="BYT171" s="72"/>
      <c r="BYU171" s="72"/>
      <c r="BYV171" s="72"/>
      <c r="BYW171" s="72"/>
      <c r="BYX171" s="72"/>
      <c r="BYY171" s="72"/>
      <c r="BYZ171" s="72"/>
      <c r="BZA171" s="72"/>
      <c r="BZB171" s="72"/>
      <c r="BZC171" s="72"/>
      <c r="BZD171" s="72"/>
      <c r="BZE171" s="72"/>
      <c r="BZF171" s="72"/>
      <c r="BZG171" s="72"/>
      <c r="BZH171" s="72"/>
      <c r="BZI171" s="72"/>
      <c r="BZJ171" s="72"/>
      <c r="BZK171" s="72"/>
      <c r="BZL171" s="72"/>
      <c r="BZM171" s="72"/>
      <c r="BZN171" s="72"/>
      <c r="BZO171" s="72"/>
      <c r="BZP171" s="72"/>
      <c r="BZQ171" s="72"/>
      <c r="BZR171" s="72"/>
      <c r="BZS171" s="72"/>
      <c r="BZT171" s="72"/>
      <c r="BZU171" s="72"/>
      <c r="BZV171" s="72"/>
      <c r="BZW171" s="72"/>
      <c r="BZX171" s="72"/>
      <c r="BZY171" s="72"/>
      <c r="BZZ171" s="72"/>
      <c r="CAA171" s="72"/>
      <c r="CAB171" s="72"/>
      <c r="CAC171" s="72"/>
      <c r="CAD171" s="72"/>
      <c r="CAE171" s="72"/>
      <c r="CAF171" s="72"/>
      <c r="CAG171" s="72"/>
      <c r="CAH171" s="72"/>
      <c r="CAI171" s="72"/>
      <c r="CAJ171" s="72"/>
      <c r="CAK171" s="72"/>
      <c r="CAL171" s="72"/>
      <c r="CAM171" s="72"/>
      <c r="CAN171" s="72"/>
      <c r="CAO171" s="72"/>
      <c r="CAP171" s="72"/>
      <c r="CAQ171" s="72"/>
      <c r="CAR171" s="72"/>
      <c r="CAS171" s="72"/>
      <c r="CAT171" s="72"/>
      <c r="CAU171" s="72"/>
      <c r="CAV171" s="72"/>
      <c r="CAW171" s="72"/>
      <c r="CAX171" s="72"/>
      <c r="CAY171" s="72"/>
      <c r="CAZ171" s="72"/>
      <c r="CBA171" s="72"/>
      <c r="CBB171" s="72"/>
      <c r="CBC171" s="72"/>
      <c r="CBD171" s="72"/>
      <c r="CBE171" s="72"/>
      <c r="CBF171" s="72"/>
      <c r="CBG171" s="72"/>
      <c r="CBH171" s="72"/>
      <c r="CBI171" s="72"/>
      <c r="CBJ171" s="72"/>
      <c r="CBK171" s="72"/>
      <c r="CBL171" s="72"/>
      <c r="CBM171" s="72"/>
      <c r="CBN171" s="72"/>
      <c r="CBO171" s="72"/>
      <c r="CBP171" s="72"/>
      <c r="CBQ171" s="72"/>
      <c r="CBR171" s="72"/>
      <c r="CBS171" s="72"/>
      <c r="CBT171" s="72"/>
      <c r="CBU171" s="72"/>
      <c r="CBV171" s="72"/>
      <c r="CBW171" s="72"/>
      <c r="CBX171" s="72"/>
      <c r="CBY171" s="72"/>
      <c r="CBZ171" s="72"/>
      <c r="CCA171" s="72"/>
      <c r="CCB171" s="72"/>
      <c r="CCC171" s="72"/>
      <c r="CCD171" s="72"/>
      <c r="CCE171" s="72"/>
      <c r="CCF171" s="72"/>
      <c r="CCG171" s="72"/>
      <c r="CCH171" s="72"/>
      <c r="CCI171" s="72"/>
      <c r="CCJ171" s="72"/>
      <c r="CCK171" s="72"/>
      <c r="CCL171" s="72"/>
      <c r="CCM171" s="72"/>
      <c r="CCN171" s="72"/>
      <c r="CCO171" s="72"/>
      <c r="CCP171" s="72"/>
      <c r="CCQ171" s="72"/>
      <c r="CCR171" s="72"/>
      <c r="CCS171" s="72"/>
      <c r="CCT171" s="72"/>
      <c r="CCU171" s="72"/>
      <c r="CCV171" s="72"/>
      <c r="CCW171" s="72"/>
      <c r="CCX171" s="72"/>
      <c r="CCY171" s="72"/>
      <c r="CCZ171" s="72"/>
      <c r="CDA171" s="72"/>
      <c r="CDB171" s="72"/>
      <c r="CDC171" s="72"/>
      <c r="CDD171" s="72"/>
      <c r="CDE171" s="72"/>
      <c r="CDF171" s="72"/>
      <c r="CDG171" s="72"/>
      <c r="CDH171" s="72"/>
      <c r="CDI171" s="72"/>
      <c r="CDJ171" s="72"/>
      <c r="CDK171" s="72"/>
      <c r="CDL171" s="72"/>
      <c r="CDM171" s="72"/>
      <c r="CDN171" s="72"/>
      <c r="CDO171" s="72"/>
      <c r="CDP171" s="72"/>
      <c r="CDQ171" s="72"/>
      <c r="CDR171" s="72"/>
      <c r="CDS171" s="72"/>
      <c r="CDT171" s="72"/>
      <c r="CDU171" s="72"/>
      <c r="CDV171" s="72"/>
      <c r="CDW171" s="72"/>
      <c r="CDX171" s="72"/>
      <c r="CDY171" s="72"/>
      <c r="CDZ171" s="72"/>
      <c r="CEA171" s="72"/>
      <c r="CEB171" s="72"/>
      <c r="CEC171" s="72"/>
      <c r="CED171" s="72"/>
      <c r="CEE171" s="72"/>
      <c r="CEF171" s="72"/>
      <c r="CEG171" s="72"/>
      <c r="CEH171" s="72"/>
      <c r="CEI171" s="72"/>
      <c r="CEJ171" s="72"/>
      <c r="CEK171" s="72"/>
      <c r="CEL171" s="72"/>
      <c r="CEM171" s="72"/>
      <c r="CEN171" s="72"/>
      <c r="CEO171" s="72"/>
      <c r="CEP171" s="72"/>
      <c r="CEQ171" s="72"/>
      <c r="CER171" s="72"/>
      <c r="CES171" s="72"/>
      <c r="CET171" s="72"/>
      <c r="CEU171" s="72"/>
      <c r="CEV171" s="72"/>
      <c r="CEW171" s="72"/>
      <c r="CEX171" s="72"/>
      <c r="CEY171" s="72"/>
      <c r="CEZ171" s="72"/>
      <c r="CFA171" s="72"/>
      <c r="CFB171" s="72"/>
      <c r="CFC171" s="72"/>
      <c r="CFD171" s="72"/>
      <c r="CFE171" s="72"/>
      <c r="CFF171" s="72"/>
      <c r="CFG171" s="72"/>
      <c r="CFH171" s="72"/>
      <c r="CFI171" s="72"/>
      <c r="CFJ171" s="72"/>
      <c r="CFK171" s="72"/>
      <c r="CFL171" s="72"/>
      <c r="CFM171" s="72"/>
      <c r="CFN171" s="72"/>
      <c r="CFO171" s="72"/>
      <c r="CFP171" s="72"/>
      <c r="CFQ171" s="72"/>
      <c r="CFR171" s="72"/>
      <c r="CFS171" s="72"/>
      <c r="CFT171" s="72"/>
      <c r="CFU171" s="72"/>
      <c r="CFV171" s="72"/>
      <c r="CFW171" s="72"/>
      <c r="CFX171" s="72"/>
      <c r="CFY171" s="72"/>
      <c r="CFZ171" s="72"/>
      <c r="CGA171" s="72"/>
      <c r="CGB171" s="72"/>
      <c r="CGC171" s="72"/>
      <c r="CGD171" s="72"/>
      <c r="CGE171" s="72"/>
      <c r="CGF171" s="72"/>
      <c r="CGG171" s="72"/>
      <c r="CGH171" s="72"/>
      <c r="CGI171" s="72"/>
      <c r="CGJ171" s="72"/>
      <c r="CGK171" s="72"/>
      <c r="CGL171" s="72"/>
      <c r="CGM171" s="72"/>
      <c r="CGN171" s="72"/>
      <c r="CGO171" s="72"/>
      <c r="CGP171" s="72"/>
      <c r="CGQ171" s="72"/>
      <c r="CGR171" s="72"/>
      <c r="CGS171" s="72"/>
      <c r="CGT171" s="72"/>
      <c r="CGU171" s="72"/>
      <c r="CGV171" s="72"/>
      <c r="CGW171" s="72"/>
      <c r="CGX171" s="72"/>
      <c r="CGY171" s="72"/>
      <c r="CGZ171" s="72"/>
      <c r="CHA171" s="72"/>
      <c r="CHB171" s="72"/>
      <c r="CHC171" s="72"/>
      <c r="CHD171" s="72"/>
      <c r="CHE171" s="72"/>
      <c r="CHF171" s="72"/>
      <c r="CHG171" s="72"/>
      <c r="CHH171" s="72"/>
      <c r="CHI171" s="72"/>
      <c r="CHJ171" s="72"/>
      <c r="CHK171" s="72"/>
      <c r="CHL171" s="72"/>
      <c r="CHM171" s="72"/>
      <c r="CHN171" s="72"/>
      <c r="CHO171" s="72"/>
      <c r="CHP171" s="72"/>
      <c r="CHQ171" s="72"/>
      <c r="CHR171" s="72"/>
      <c r="CHS171" s="72"/>
      <c r="CHT171" s="72"/>
      <c r="CHU171" s="72"/>
      <c r="CHV171" s="72"/>
      <c r="CHW171" s="72"/>
      <c r="CHX171" s="72"/>
      <c r="CHY171" s="72"/>
      <c r="CHZ171" s="72"/>
      <c r="CIA171" s="72"/>
      <c r="CIB171" s="72"/>
      <c r="CIC171" s="72"/>
      <c r="CID171" s="72"/>
      <c r="CIE171" s="72"/>
      <c r="CIF171" s="72"/>
      <c r="CIG171" s="72"/>
      <c r="CIH171" s="72"/>
      <c r="CII171" s="72"/>
      <c r="CIJ171" s="72"/>
      <c r="CIK171" s="72"/>
      <c r="CIL171" s="72"/>
      <c r="CIM171" s="72"/>
      <c r="CIN171" s="72"/>
      <c r="CIO171" s="72"/>
      <c r="CIP171" s="72"/>
      <c r="CIQ171" s="72"/>
      <c r="CIR171" s="72"/>
      <c r="CIS171" s="72"/>
      <c r="CIT171" s="72"/>
      <c r="CIU171" s="72"/>
      <c r="CIV171" s="72"/>
      <c r="CIW171" s="72"/>
      <c r="CIX171" s="72"/>
      <c r="CIY171" s="72"/>
      <c r="CIZ171" s="72"/>
      <c r="CJA171" s="72"/>
      <c r="CJB171" s="72"/>
      <c r="CJC171" s="72"/>
      <c r="CJD171" s="72"/>
      <c r="CJE171" s="72"/>
      <c r="CJF171" s="72"/>
      <c r="CJG171" s="72"/>
      <c r="CJH171" s="72"/>
      <c r="CJI171" s="72"/>
      <c r="CJJ171" s="72"/>
      <c r="CJK171" s="72"/>
      <c r="CJL171" s="72"/>
      <c r="CJM171" s="72"/>
      <c r="CJN171" s="72"/>
      <c r="CJO171" s="72"/>
      <c r="CJP171" s="72"/>
      <c r="CJQ171" s="72"/>
      <c r="CJR171" s="72"/>
      <c r="CJS171" s="72"/>
      <c r="CJT171" s="72"/>
      <c r="CJU171" s="72"/>
      <c r="CJV171" s="72"/>
      <c r="CJW171" s="72"/>
      <c r="CJX171" s="72"/>
      <c r="CJY171" s="72"/>
      <c r="CJZ171" s="72"/>
      <c r="CKA171" s="72"/>
      <c r="CKB171" s="72"/>
      <c r="CKC171" s="72"/>
      <c r="CKD171" s="72"/>
      <c r="CKE171" s="72"/>
      <c r="CKF171" s="72"/>
      <c r="CKG171" s="72"/>
      <c r="CKH171" s="72"/>
      <c r="CKI171" s="72"/>
      <c r="CKJ171" s="72"/>
      <c r="CKK171" s="72"/>
      <c r="CKL171" s="72"/>
      <c r="CKM171" s="72"/>
      <c r="CKN171" s="72"/>
      <c r="CKO171" s="72"/>
      <c r="CKP171" s="72"/>
      <c r="CKQ171" s="72"/>
      <c r="CKR171" s="72"/>
      <c r="CKS171" s="72"/>
      <c r="CKT171" s="72"/>
      <c r="CKU171" s="72"/>
      <c r="CKV171" s="72"/>
      <c r="CKW171" s="72"/>
      <c r="CKX171" s="72"/>
      <c r="CKY171" s="72"/>
      <c r="CKZ171" s="72"/>
      <c r="CLA171" s="72"/>
      <c r="CLB171" s="72"/>
      <c r="CLC171" s="72"/>
      <c r="CLD171" s="72"/>
      <c r="CLE171" s="72"/>
      <c r="CLF171" s="72"/>
      <c r="CLG171" s="72"/>
      <c r="CLH171" s="72"/>
      <c r="CLI171" s="72"/>
      <c r="CLJ171" s="72"/>
      <c r="CLK171" s="72"/>
      <c r="CLL171" s="72"/>
      <c r="CLM171" s="72"/>
      <c r="CLN171" s="72"/>
      <c r="CLO171" s="72"/>
      <c r="CLP171" s="72"/>
      <c r="CLQ171" s="72"/>
      <c r="CLR171" s="72"/>
      <c r="CLS171" s="72"/>
      <c r="CLT171" s="72"/>
      <c r="CLU171" s="72"/>
      <c r="CLV171" s="72"/>
      <c r="CLW171" s="72"/>
      <c r="CLX171" s="72"/>
      <c r="CLY171" s="72"/>
      <c r="CLZ171" s="72"/>
      <c r="CMA171" s="72"/>
      <c r="CMB171" s="72"/>
      <c r="CMC171" s="72"/>
      <c r="CMD171" s="72"/>
      <c r="CME171" s="72"/>
      <c r="CMF171" s="72"/>
      <c r="CMG171" s="72"/>
      <c r="CMH171" s="72"/>
      <c r="CMI171" s="72"/>
      <c r="CMJ171" s="72"/>
      <c r="CMK171" s="72"/>
      <c r="CML171" s="72"/>
      <c r="CMM171" s="72"/>
      <c r="CMN171" s="72"/>
      <c r="CMO171" s="72"/>
      <c r="CMP171" s="72"/>
      <c r="CMQ171" s="72"/>
      <c r="CMR171" s="72"/>
      <c r="CMS171" s="72"/>
      <c r="CMT171" s="72"/>
      <c r="CMU171" s="72"/>
      <c r="CMV171" s="72"/>
      <c r="CMW171" s="72"/>
      <c r="CMX171" s="72"/>
      <c r="CMY171" s="72"/>
      <c r="CMZ171" s="72"/>
      <c r="CNA171" s="72"/>
      <c r="CNB171" s="72"/>
      <c r="CNC171" s="72"/>
      <c r="CND171" s="72"/>
      <c r="CNE171" s="72"/>
      <c r="CNF171" s="72"/>
      <c r="CNG171" s="72"/>
      <c r="CNH171" s="72"/>
      <c r="CNI171" s="72"/>
      <c r="CNJ171" s="72"/>
      <c r="CNK171" s="72"/>
      <c r="CNL171" s="72"/>
      <c r="CNM171" s="72"/>
      <c r="CNN171" s="72"/>
      <c r="CNO171" s="72"/>
      <c r="CNP171" s="72"/>
      <c r="CNQ171" s="72"/>
      <c r="CNR171" s="72"/>
      <c r="CNS171" s="72"/>
      <c r="CNT171" s="72"/>
      <c r="CNU171" s="72"/>
      <c r="CNV171" s="72"/>
      <c r="CNW171" s="72"/>
      <c r="CNX171" s="72"/>
      <c r="CNY171" s="72"/>
      <c r="CNZ171" s="72"/>
      <c r="COA171" s="72"/>
      <c r="COB171" s="72"/>
      <c r="COC171" s="72"/>
      <c r="COD171" s="72"/>
      <c r="COE171" s="72"/>
      <c r="COF171" s="72"/>
      <c r="COG171" s="72"/>
      <c r="COH171" s="72"/>
      <c r="COI171" s="72"/>
      <c r="COJ171" s="72"/>
      <c r="COK171" s="72"/>
      <c r="COL171" s="72"/>
      <c r="COM171" s="72"/>
      <c r="CON171" s="72"/>
      <c r="COO171" s="72"/>
      <c r="COP171" s="72"/>
      <c r="COQ171" s="72"/>
      <c r="COR171" s="72"/>
      <c r="COS171" s="72"/>
      <c r="COT171" s="72"/>
      <c r="COU171" s="72"/>
      <c r="COV171" s="72"/>
      <c r="COW171" s="72"/>
      <c r="COX171" s="72"/>
      <c r="COY171" s="72"/>
      <c r="COZ171" s="72"/>
      <c r="CPA171" s="72"/>
      <c r="CPB171" s="72"/>
      <c r="CPC171" s="72"/>
      <c r="CPD171" s="72"/>
      <c r="CPE171" s="72"/>
      <c r="CPF171" s="72"/>
      <c r="CPG171" s="72"/>
      <c r="CPH171" s="72"/>
      <c r="CPI171" s="72"/>
      <c r="CPJ171" s="72"/>
      <c r="CPK171" s="72"/>
      <c r="CPL171" s="72"/>
      <c r="CPM171" s="72"/>
      <c r="CPN171" s="72"/>
      <c r="CPO171" s="72"/>
      <c r="CPP171" s="72"/>
      <c r="CPQ171" s="72"/>
      <c r="CPR171" s="72"/>
      <c r="CPS171" s="72"/>
      <c r="CPT171" s="72"/>
      <c r="CPU171" s="72"/>
      <c r="CPV171" s="72"/>
      <c r="CPW171" s="72"/>
      <c r="CPX171" s="72"/>
      <c r="CPY171" s="72"/>
      <c r="CPZ171" s="72"/>
      <c r="CQA171" s="72"/>
      <c r="CQB171" s="72"/>
      <c r="CQC171" s="72"/>
      <c r="CQD171" s="72"/>
      <c r="CQE171" s="72"/>
      <c r="CQF171" s="72"/>
      <c r="CQG171" s="72"/>
      <c r="CQH171" s="72"/>
      <c r="CQI171" s="72"/>
      <c r="CQJ171" s="72"/>
      <c r="CQK171" s="72"/>
      <c r="CQL171" s="72"/>
      <c r="CQM171" s="72"/>
      <c r="CQN171" s="72"/>
      <c r="CQO171" s="72"/>
      <c r="CQP171" s="72"/>
      <c r="CQQ171" s="72"/>
      <c r="CQR171" s="72"/>
      <c r="CQS171" s="72"/>
      <c r="CQT171" s="72"/>
      <c r="CQU171" s="72"/>
      <c r="CQV171" s="72"/>
      <c r="CQW171" s="72"/>
      <c r="CQX171" s="72"/>
      <c r="CQY171" s="72"/>
      <c r="CQZ171" s="72"/>
      <c r="CRA171" s="72"/>
      <c r="CRB171" s="72"/>
      <c r="CRC171" s="72"/>
      <c r="CRD171" s="72"/>
      <c r="CRE171" s="72"/>
      <c r="CRF171" s="72"/>
      <c r="CRG171" s="72"/>
      <c r="CRH171" s="72"/>
      <c r="CRI171" s="72"/>
      <c r="CRJ171" s="72"/>
      <c r="CRK171" s="72"/>
      <c r="CRL171" s="72"/>
      <c r="CRM171" s="72"/>
      <c r="CRN171" s="72"/>
      <c r="CRO171" s="72"/>
      <c r="CRP171" s="72"/>
      <c r="CRQ171" s="72"/>
      <c r="CRR171" s="72"/>
      <c r="CRS171" s="72"/>
      <c r="CRT171" s="72"/>
      <c r="CRU171" s="72"/>
      <c r="CRV171" s="72"/>
      <c r="CRW171" s="72"/>
      <c r="CRX171" s="72"/>
      <c r="CRY171" s="72"/>
      <c r="CRZ171" s="72"/>
      <c r="CSA171" s="72"/>
      <c r="CSB171" s="72"/>
      <c r="CSC171" s="72"/>
      <c r="CSD171" s="72"/>
      <c r="CSE171" s="72"/>
      <c r="CSF171" s="72"/>
      <c r="CSG171" s="72"/>
      <c r="CSH171" s="72"/>
      <c r="CSI171" s="72"/>
      <c r="CSJ171" s="72"/>
      <c r="CSK171" s="72"/>
      <c r="CSL171" s="72"/>
      <c r="CSM171" s="72"/>
      <c r="CSN171" s="72"/>
      <c r="CSO171" s="72"/>
      <c r="CSP171" s="72"/>
      <c r="CSQ171" s="72"/>
      <c r="CSR171" s="72"/>
      <c r="CSS171" s="72"/>
      <c r="CST171" s="72"/>
      <c r="CSU171" s="72"/>
      <c r="CSV171" s="72"/>
      <c r="CSW171" s="72"/>
      <c r="CSX171" s="72"/>
      <c r="CSY171" s="72"/>
      <c r="CSZ171" s="72"/>
      <c r="CTA171" s="72"/>
      <c r="CTB171" s="72"/>
      <c r="CTC171" s="72"/>
      <c r="CTD171" s="72"/>
      <c r="CTE171" s="72"/>
      <c r="CTF171" s="72"/>
      <c r="CTG171" s="72"/>
      <c r="CTH171" s="72"/>
      <c r="CTI171" s="72"/>
      <c r="CTJ171" s="72"/>
      <c r="CTK171" s="72"/>
      <c r="CTL171" s="72"/>
      <c r="CTM171" s="72"/>
      <c r="CTN171" s="72"/>
      <c r="CTO171" s="72"/>
      <c r="CTP171" s="72"/>
      <c r="CTQ171" s="72"/>
      <c r="CTR171" s="72"/>
      <c r="CTS171" s="72"/>
      <c r="CTT171" s="72"/>
      <c r="CTU171" s="72"/>
      <c r="CTV171" s="72"/>
      <c r="CTW171" s="72"/>
      <c r="CTX171" s="72"/>
      <c r="CTY171" s="72"/>
      <c r="CTZ171" s="72"/>
      <c r="CUA171" s="72"/>
      <c r="CUB171" s="72"/>
      <c r="CUC171" s="72"/>
      <c r="CUD171" s="72"/>
      <c r="CUE171" s="72"/>
      <c r="CUF171" s="72"/>
      <c r="CUG171" s="72"/>
      <c r="CUH171" s="72"/>
      <c r="CUI171" s="72"/>
      <c r="CUJ171" s="72"/>
      <c r="CUK171" s="72"/>
      <c r="CUL171" s="72"/>
      <c r="CUM171" s="72"/>
      <c r="CUN171" s="72"/>
      <c r="CUO171" s="72"/>
      <c r="CUP171" s="72"/>
      <c r="CUQ171" s="72"/>
      <c r="CUR171" s="72"/>
      <c r="CUS171" s="72"/>
      <c r="CUT171" s="72"/>
      <c r="CUU171" s="72"/>
      <c r="CUV171" s="72"/>
      <c r="CUW171" s="72"/>
      <c r="CUX171" s="72"/>
      <c r="CUY171" s="72"/>
      <c r="CUZ171" s="72"/>
      <c r="CVA171" s="72"/>
      <c r="CVB171" s="72"/>
      <c r="CVC171" s="72"/>
      <c r="CVD171" s="72"/>
      <c r="CVE171" s="72"/>
      <c r="CVF171" s="72"/>
      <c r="CVG171" s="72"/>
      <c r="CVH171" s="72"/>
      <c r="CVI171" s="72"/>
      <c r="CVJ171" s="72"/>
      <c r="CVK171" s="72"/>
      <c r="CVL171" s="72"/>
      <c r="CVM171" s="72"/>
      <c r="CVN171" s="72"/>
      <c r="CVO171" s="72"/>
      <c r="CVP171" s="72"/>
      <c r="CVQ171" s="72"/>
      <c r="CVR171" s="72"/>
      <c r="CVS171" s="72"/>
      <c r="CVT171" s="72"/>
      <c r="CVU171" s="72"/>
      <c r="CVV171" s="72"/>
      <c r="CVW171" s="72"/>
      <c r="CVX171" s="72"/>
      <c r="CVY171" s="72"/>
      <c r="CVZ171" s="72"/>
      <c r="CWA171" s="72"/>
      <c r="CWB171" s="72"/>
      <c r="CWC171" s="72"/>
      <c r="CWD171" s="72"/>
      <c r="CWE171" s="72"/>
      <c r="CWF171" s="72"/>
      <c r="CWG171" s="72"/>
      <c r="CWH171" s="72"/>
      <c r="CWI171" s="72"/>
      <c r="CWJ171" s="72"/>
      <c r="CWK171" s="72"/>
      <c r="CWL171" s="72"/>
      <c r="CWM171" s="72"/>
      <c r="CWN171" s="72"/>
      <c r="CWO171" s="72"/>
      <c r="CWP171" s="72"/>
      <c r="CWQ171" s="72"/>
      <c r="CWR171" s="72"/>
      <c r="CWS171" s="72"/>
      <c r="CWT171" s="72"/>
      <c r="CWU171" s="72"/>
      <c r="CWV171" s="72"/>
      <c r="CWW171" s="72"/>
      <c r="CWX171" s="72"/>
      <c r="CWY171" s="72"/>
      <c r="CWZ171" s="72"/>
      <c r="CXA171" s="72"/>
      <c r="CXB171" s="72"/>
      <c r="CXC171" s="72"/>
      <c r="CXD171" s="72"/>
      <c r="CXE171" s="72"/>
      <c r="CXF171" s="72"/>
      <c r="CXG171" s="72"/>
      <c r="CXH171" s="72"/>
      <c r="CXI171" s="72"/>
      <c r="CXJ171" s="72"/>
      <c r="CXK171" s="72"/>
      <c r="CXL171" s="72"/>
      <c r="CXM171" s="72"/>
      <c r="CXN171" s="72"/>
      <c r="CXO171" s="72"/>
      <c r="CXP171" s="72"/>
      <c r="CXQ171" s="72"/>
      <c r="CXR171" s="72"/>
      <c r="CXS171" s="72"/>
      <c r="CXT171" s="72"/>
      <c r="CXU171" s="72"/>
      <c r="CXV171" s="72"/>
      <c r="CXW171" s="72"/>
      <c r="CXX171" s="72"/>
      <c r="CXY171" s="72"/>
      <c r="CXZ171" s="72"/>
      <c r="CYA171" s="72"/>
      <c r="CYB171" s="72"/>
      <c r="CYC171" s="72"/>
      <c r="CYD171" s="72"/>
      <c r="CYE171" s="72"/>
      <c r="CYF171" s="72"/>
      <c r="CYG171" s="72"/>
      <c r="CYH171" s="72"/>
      <c r="CYI171" s="72"/>
      <c r="CYJ171" s="72"/>
      <c r="CYK171" s="72"/>
      <c r="CYL171" s="72"/>
      <c r="CYM171" s="72"/>
      <c r="CYN171" s="72"/>
      <c r="CYO171" s="72"/>
      <c r="CYP171" s="72"/>
      <c r="CYQ171" s="72"/>
      <c r="CYR171" s="72"/>
      <c r="CYS171" s="72"/>
      <c r="CYT171" s="72"/>
      <c r="CYU171" s="72"/>
      <c r="CYV171" s="72"/>
      <c r="CYW171" s="72"/>
      <c r="CYX171" s="72"/>
      <c r="CYY171" s="72"/>
      <c r="CYZ171" s="72"/>
      <c r="CZA171" s="72"/>
      <c r="CZB171" s="72"/>
      <c r="CZC171" s="72"/>
      <c r="CZD171" s="72"/>
      <c r="CZE171" s="72"/>
      <c r="CZF171" s="72"/>
      <c r="CZG171" s="72"/>
      <c r="CZH171" s="72"/>
      <c r="CZI171" s="72"/>
      <c r="CZJ171" s="72"/>
      <c r="CZK171" s="72"/>
      <c r="CZL171" s="72"/>
      <c r="CZM171" s="72"/>
      <c r="CZN171" s="72"/>
      <c r="CZO171" s="72"/>
      <c r="CZP171" s="72"/>
      <c r="CZQ171" s="72"/>
      <c r="CZR171" s="72"/>
      <c r="CZS171" s="72"/>
      <c r="CZT171" s="72"/>
      <c r="CZU171" s="72"/>
      <c r="CZV171" s="72"/>
      <c r="CZW171" s="72"/>
      <c r="CZX171" s="72"/>
      <c r="CZY171" s="72"/>
      <c r="CZZ171" s="72"/>
      <c r="DAA171" s="72"/>
      <c r="DAB171" s="72"/>
      <c r="DAC171" s="72"/>
      <c r="DAD171" s="72"/>
      <c r="DAE171" s="72"/>
      <c r="DAF171" s="72"/>
      <c r="DAG171" s="72"/>
      <c r="DAH171" s="72"/>
      <c r="DAI171" s="72"/>
      <c r="DAJ171" s="72"/>
      <c r="DAK171" s="72"/>
      <c r="DAL171" s="72"/>
      <c r="DAM171" s="72"/>
      <c r="DAN171" s="72"/>
      <c r="DAO171" s="72"/>
      <c r="DAP171" s="72"/>
      <c r="DAQ171" s="72"/>
      <c r="DAR171" s="72"/>
      <c r="DAS171" s="72"/>
      <c r="DAT171" s="72"/>
      <c r="DAU171" s="72"/>
      <c r="DAV171" s="72"/>
      <c r="DAW171" s="72"/>
      <c r="DAX171" s="72"/>
      <c r="DAY171" s="72"/>
      <c r="DAZ171" s="72"/>
      <c r="DBA171" s="72"/>
      <c r="DBB171" s="72"/>
      <c r="DBC171" s="72"/>
      <c r="DBD171" s="72"/>
      <c r="DBE171" s="72"/>
      <c r="DBF171" s="72"/>
      <c r="DBG171" s="72"/>
      <c r="DBH171" s="72"/>
      <c r="DBI171" s="72"/>
      <c r="DBJ171" s="72"/>
      <c r="DBK171" s="72"/>
      <c r="DBL171" s="72"/>
      <c r="DBM171" s="72"/>
      <c r="DBN171" s="72"/>
      <c r="DBO171" s="72"/>
      <c r="DBP171" s="72"/>
      <c r="DBQ171" s="72"/>
      <c r="DBR171" s="72"/>
      <c r="DBS171" s="72"/>
      <c r="DBT171" s="72"/>
      <c r="DBU171" s="72"/>
      <c r="DBV171" s="72"/>
      <c r="DBW171" s="72"/>
      <c r="DBX171" s="72"/>
      <c r="DBY171" s="72"/>
      <c r="DBZ171" s="72"/>
      <c r="DCA171" s="72"/>
      <c r="DCB171" s="72"/>
      <c r="DCC171" s="72"/>
      <c r="DCD171" s="72"/>
      <c r="DCE171" s="72"/>
      <c r="DCF171" s="72"/>
      <c r="DCG171" s="72"/>
      <c r="DCH171" s="72"/>
      <c r="DCI171" s="72"/>
      <c r="DCJ171" s="72"/>
      <c r="DCK171" s="72"/>
      <c r="DCL171" s="72"/>
      <c r="DCM171" s="72"/>
      <c r="DCN171" s="72"/>
      <c r="DCO171" s="72"/>
      <c r="DCP171" s="72"/>
      <c r="DCQ171" s="72"/>
      <c r="DCR171" s="72"/>
      <c r="DCS171" s="72"/>
      <c r="DCT171" s="72"/>
      <c r="DCU171" s="72"/>
      <c r="DCV171" s="72"/>
      <c r="DCW171" s="72"/>
      <c r="DCX171" s="72"/>
      <c r="DCY171" s="72"/>
      <c r="DCZ171" s="72"/>
      <c r="DDA171" s="72"/>
      <c r="DDB171" s="72"/>
      <c r="DDC171" s="72"/>
      <c r="DDD171" s="72"/>
      <c r="DDE171" s="72"/>
      <c r="DDF171" s="72"/>
      <c r="DDG171" s="72"/>
      <c r="DDH171" s="72"/>
      <c r="DDI171" s="72"/>
      <c r="DDJ171" s="72"/>
      <c r="DDK171" s="72"/>
      <c r="DDL171" s="72"/>
      <c r="DDM171" s="72"/>
      <c r="DDN171" s="72"/>
      <c r="DDO171" s="72"/>
      <c r="DDP171" s="72"/>
      <c r="DDQ171" s="72"/>
      <c r="DDR171" s="72"/>
      <c r="DDS171" s="72"/>
      <c r="DDT171" s="72"/>
      <c r="DDU171" s="72"/>
      <c r="DDV171" s="72"/>
      <c r="DDW171" s="72"/>
      <c r="DDX171" s="72"/>
      <c r="DDY171" s="72"/>
      <c r="DDZ171" s="72"/>
      <c r="DEA171" s="72"/>
      <c r="DEB171" s="72"/>
      <c r="DEC171" s="72"/>
      <c r="DED171" s="72"/>
      <c r="DEE171" s="72"/>
      <c r="DEF171" s="72"/>
      <c r="DEG171" s="72"/>
      <c r="DEH171" s="72"/>
      <c r="DEI171" s="72"/>
      <c r="DEJ171" s="72"/>
      <c r="DEK171" s="72"/>
      <c r="DEL171" s="72"/>
      <c r="DEM171" s="72"/>
      <c r="DEN171" s="72"/>
      <c r="DEO171" s="72"/>
      <c r="DEP171" s="72"/>
      <c r="DEQ171" s="72"/>
      <c r="DER171" s="72"/>
      <c r="DES171" s="72"/>
      <c r="DET171" s="72"/>
      <c r="DEU171" s="72"/>
      <c r="DEV171" s="72"/>
      <c r="DEW171" s="72"/>
      <c r="DEX171" s="72"/>
      <c r="DEY171" s="72"/>
      <c r="DEZ171" s="72"/>
      <c r="DFA171" s="72"/>
      <c r="DFB171" s="72"/>
      <c r="DFC171" s="72"/>
      <c r="DFD171" s="72"/>
      <c r="DFE171" s="72"/>
      <c r="DFF171" s="72"/>
      <c r="DFG171" s="72"/>
      <c r="DFH171" s="72"/>
      <c r="DFI171" s="72"/>
      <c r="DFJ171" s="72"/>
      <c r="DFK171" s="72"/>
      <c r="DFL171" s="72"/>
      <c r="DFM171" s="72"/>
      <c r="DFN171" s="72"/>
      <c r="DFO171" s="72"/>
      <c r="DFP171" s="72"/>
      <c r="DFQ171" s="72"/>
      <c r="DFR171" s="72"/>
      <c r="DFS171" s="72"/>
      <c r="DFT171" s="72"/>
      <c r="DFU171" s="72"/>
      <c r="DFV171" s="72"/>
      <c r="DFW171" s="72"/>
      <c r="DFX171" s="72"/>
      <c r="DFY171" s="72"/>
      <c r="DFZ171" s="72"/>
      <c r="DGA171" s="72"/>
      <c r="DGB171" s="72"/>
      <c r="DGC171" s="72"/>
      <c r="DGD171" s="72"/>
      <c r="DGE171" s="72"/>
      <c r="DGF171" s="72"/>
      <c r="DGG171" s="72"/>
      <c r="DGH171" s="72"/>
      <c r="DGI171" s="72"/>
      <c r="DGJ171" s="72"/>
      <c r="DGK171" s="72"/>
      <c r="DGL171" s="72"/>
      <c r="DGM171" s="72"/>
      <c r="DGN171" s="72"/>
      <c r="DGO171" s="72"/>
      <c r="DGP171" s="72"/>
      <c r="DGQ171" s="72"/>
      <c r="DGR171" s="72"/>
      <c r="DGS171" s="72"/>
      <c r="DGT171" s="72"/>
      <c r="DGU171" s="72"/>
      <c r="DGV171" s="72"/>
      <c r="DGW171" s="72"/>
      <c r="DGX171" s="72"/>
      <c r="DGY171" s="72"/>
      <c r="DGZ171" s="72"/>
      <c r="DHA171" s="72"/>
      <c r="DHB171" s="72"/>
      <c r="DHC171" s="72"/>
      <c r="DHD171" s="72"/>
      <c r="DHE171" s="72"/>
      <c r="DHF171" s="72"/>
      <c r="DHG171" s="72"/>
      <c r="DHH171" s="72"/>
      <c r="DHI171" s="72"/>
      <c r="DHJ171" s="72"/>
      <c r="DHK171" s="72"/>
      <c r="DHL171" s="72"/>
      <c r="DHM171" s="72"/>
      <c r="DHN171" s="72"/>
      <c r="DHO171" s="72"/>
      <c r="DHP171" s="72"/>
      <c r="DHQ171" s="72"/>
      <c r="DHR171" s="72"/>
      <c r="DHS171" s="72"/>
      <c r="DHT171" s="72"/>
      <c r="DHU171" s="72"/>
      <c r="DHV171" s="72"/>
      <c r="DHW171" s="72"/>
      <c r="DHX171" s="72"/>
      <c r="DHY171" s="72"/>
      <c r="DHZ171" s="72"/>
      <c r="DIA171" s="72"/>
      <c r="DIB171" s="72"/>
      <c r="DIC171" s="72"/>
      <c r="DID171" s="72"/>
      <c r="DIE171" s="72"/>
      <c r="DIF171" s="72"/>
      <c r="DIG171" s="72"/>
      <c r="DIH171" s="72"/>
      <c r="DII171" s="72"/>
      <c r="DIJ171" s="72"/>
      <c r="DIK171" s="72"/>
      <c r="DIL171" s="72"/>
      <c r="DIM171" s="72"/>
      <c r="DIN171" s="72"/>
      <c r="DIO171" s="72"/>
      <c r="DIP171" s="72"/>
      <c r="DIQ171" s="72"/>
      <c r="DIR171" s="72"/>
      <c r="DIS171" s="72"/>
      <c r="DIT171" s="72"/>
      <c r="DIU171" s="72"/>
      <c r="DIV171" s="72"/>
      <c r="DIW171" s="72"/>
      <c r="DIX171" s="72"/>
      <c r="DIY171" s="72"/>
      <c r="DIZ171" s="72"/>
      <c r="DJA171" s="72"/>
      <c r="DJB171" s="72"/>
      <c r="DJC171" s="72"/>
      <c r="DJD171" s="72"/>
      <c r="DJE171" s="72"/>
      <c r="DJF171" s="72"/>
      <c r="DJG171" s="72"/>
      <c r="DJH171" s="72"/>
      <c r="DJI171" s="72"/>
      <c r="DJJ171" s="72"/>
      <c r="DJK171" s="72"/>
      <c r="DJL171" s="72"/>
      <c r="DJM171" s="72"/>
      <c r="DJN171" s="72"/>
      <c r="DJO171" s="72"/>
      <c r="DJP171" s="72"/>
      <c r="DJQ171" s="72"/>
      <c r="DJR171" s="72"/>
      <c r="DJS171" s="72"/>
      <c r="DJT171" s="72"/>
      <c r="DJU171" s="72"/>
      <c r="DJV171" s="72"/>
      <c r="DJW171" s="72"/>
      <c r="DJX171" s="72"/>
      <c r="DJY171" s="72"/>
      <c r="DJZ171" s="72"/>
      <c r="DKA171" s="72"/>
      <c r="DKB171" s="72"/>
      <c r="DKC171" s="72"/>
      <c r="DKD171" s="72"/>
      <c r="DKE171" s="72"/>
      <c r="DKF171" s="72"/>
      <c r="DKG171" s="72"/>
      <c r="DKH171" s="72"/>
      <c r="DKI171" s="72"/>
      <c r="DKJ171" s="72"/>
      <c r="DKK171" s="72"/>
      <c r="DKL171" s="72"/>
      <c r="DKM171" s="72"/>
      <c r="DKN171" s="72"/>
      <c r="DKO171" s="72"/>
      <c r="DKP171" s="72"/>
      <c r="DKQ171" s="72"/>
      <c r="DKR171" s="72"/>
      <c r="DKS171" s="72"/>
      <c r="DKT171" s="72"/>
      <c r="DKU171" s="72"/>
      <c r="DKV171" s="72"/>
      <c r="DKW171" s="72"/>
      <c r="DKX171" s="72"/>
      <c r="DKY171" s="72"/>
      <c r="DKZ171" s="72"/>
      <c r="DLA171" s="72"/>
      <c r="DLB171" s="72"/>
      <c r="DLC171" s="72"/>
      <c r="DLD171" s="72"/>
      <c r="DLE171" s="72"/>
      <c r="DLF171" s="72"/>
      <c r="DLG171" s="72"/>
      <c r="DLH171" s="72"/>
      <c r="DLI171" s="72"/>
      <c r="DLJ171" s="72"/>
      <c r="DLK171" s="72"/>
      <c r="DLL171" s="72"/>
      <c r="DLM171" s="72"/>
      <c r="DLN171" s="72"/>
      <c r="DLO171" s="72"/>
      <c r="DLP171" s="72"/>
      <c r="DLQ171" s="72"/>
      <c r="DLR171" s="72"/>
      <c r="DLS171" s="72"/>
      <c r="DLT171" s="72"/>
      <c r="DLU171" s="72"/>
      <c r="DLV171" s="72"/>
      <c r="DLW171" s="72"/>
      <c r="DLX171" s="72"/>
      <c r="DLY171" s="72"/>
      <c r="DLZ171" s="72"/>
      <c r="DMA171" s="72"/>
      <c r="DMB171" s="72"/>
      <c r="DMC171" s="72"/>
      <c r="DMD171" s="72"/>
      <c r="DME171" s="72"/>
      <c r="DMF171" s="72"/>
      <c r="DMG171" s="72"/>
      <c r="DMH171" s="72"/>
      <c r="DMI171" s="72"/>
      <c r="DMJ171" s="72"/>
      <c r="DMK171" s="72"/>
      <c r="DML171" s="72"/>
      <c r="DMM171" s="72"/>
      <c r="DMN171" s="72"/>
      <c r="DMO171" s="72"/>
      <c r="DMP171" s="72"/>
      <c r="DMQ171" s="72"/>
      <c r="DMR171" s="72"/>
      <c r="DMS171" s="72"/>
      <c r="DMT171" s="72"/>
      <c r="DMU171" s="72"/>
      <c r="DMV171" s="72"/>
      <c r="DMW171" s="72"/>
      <c r="DMX171" s="72"/>
      <c r="DMY171" s="72"/>
      <c r="DMZ171" s="72"/>
      <c r="DNA171" s="72"/>
      <c r="DNB171" s="72"/>
      <c r="DNC171" s="72"/>
      <c r="DND171" s="72"/>
      <c r="DNE171" s="72"/>
      <c r="DNF171" s="72"/>
      <c r="DNG171" s="72"/>
      <c r="DNH171" s="72"/>
      <c r="DNI171" s="72"/>
      <c r="DNJ171" s="72"/>
      <c r="DNK171" s="72"/>
      <c r="DNL171" s="72"/>
      <c r="DNM171" s="72"/>
      <c r="DNN171" s="72"/>
      <c r="DNO171" s="72"/>
      <c r="DNP171" s="72"/>
      <c r="DNQ171" s="72"/>
      <c r="DNR171" s="72"/>
      <c r="DNS171" s="72"/>
      <c r="DNT171" s="72"/>
      <c r="DNU171" s="72"/>
      <c r="DNV171" s="72"/>
      <c r="DNW171" s="72"/>
      <c r="DNX171" s="72"/>
      <c r="DNY171" s="72"/>
      <c r="DNZ171" s="72"/>
      <c r="DOA171" s="72"/>
      <c r="DOB171" s="72"/>
      <c r="DOC171" s="72"/>
      <c r="DOD171" s="72"/>
      <c r="DOE171" s="72"/>
      <c r="DOF171" s="72"/>
      <c r="DOG171" s="72"/>
      <c r="DOH171" s="72"/>
      <c r="DOI171" s="72"/>
      <c r="DOJ171" s="72"/>
      <c r="DOK171" s="72"/>
      <c r="DOL171" s="72"/>
      <c r="DOM171" s="72"/>
      <c r="DON171" s="72"/>
      <c r="DOO171" s="72"/>
      <c r="DOP171" s="72"/>
      <c r="DOQ171" s="72"/>
      <c r="DOR171" s="72"/>
      <c r="DOS171" s="72"/>
      <c r="DOT171" s="72"/>
      <c r="DOU171" s="72"/>
      <c r="DOV171" s="72"/>
      <c r="DOW171" s="72"/>
      <c r="DOX171" s="72"/>
      <c r="DOY171" s="72"/>
      <c r="DOZ171" s="72"/>
      <c r="DPA171" s="72"/>
      <c r="DPB171" s="72"/>
      <c r="DPC171" s="72"/>
      <c r="DPD171" s="72"/>
      <c r="DPE171" s="72"/>
      <c r="DPF171" s="72"/>
      <c r="DPG171" s="72"/>
      <c r="DPH171" s="72"/>
      <c r="DPI171" s="72"/>
      <c r="DPJ171" s="72"/>
      <c r="DPK171" s="72"/>
      <c r="DPL171" s="72"/>
      <c r="DPM171" s="72"/>
      <c r="DPN171" s="72"/>
      <c r="DPO171" s="72"/>
      <c r="DPP171" s="72"/>
      <c r="DPQ171" s="72"/>
      <c r="DPR171" s="72"/>
      <c r="DPS171" s="72"/>
      <c r="DPT171" s="72"/>
      <c r="DPU171" s="72"/>
      <c r="DPV171" s="72"/>
      <c r="DPW171" s="72"/>
      <c r="DPX171" s="72"/>
      <c r="DPY171" s="72"/>
      <c r="DPZ171" s="72"/>
      <c r="DQA171" s="72"/>
      <c r="DQB171" s="72"/>
      <c r="DQC171" s="72"/>
      <c r="DQD171" s="72"/>
      <c r="DQE171" s="72"/>
      <c r="DQF171" s="72"/>
      <c r="DQG171" s="72"/>
      <c r="DQH171" s="72"/>
      <c r="DQI171" s="72"/>
      <c r="DQJ171" s="72"/>
      <c r="DQK171" s="72"/>
      <c r="DQL171" s="72"/>
      <c r="DQM171" s="72"/>
      <c r="DQN171" s="72"/>
      <c r="DQO171" s="72"/>
      <c r="DQP171" s="72"/>
      <c r="DQQ171" s="72"/>
      <c r="DQR171" s="72"/>
      <c r="DQS171" s="72"/>
      <c r="DQT171" s="72"/>
      <c r="DQU171" s="72"/>
      <c r="DQV171" s="72"/>
      <c r="DQW171" s="72"/>
      <c r="DQX171" s="72"/>
      <c r="DQY171" s="72"/>
      <c r="DQZ171" s="72"/>
      <c r="DRA171" s="72"/>
      <c r="DRB171" s="72"/>
      <c r="DRC171" s="72"/>
      <c r="DRD171" s="72"/>
      <c r="DRE171" s="72"/>
      <c r="DRF171" s="72"/>
      <c r="DRG171" s="72"/>
      <c r="DRH171" s="72"/>
      <c r="DRI171" s="72"/>
      <c r="DRJ171" s="72"/>
      <c r="DRK171" s="72"/>
      <c r="DRL171" s="72"/>
      <c r="DRM171" s="72"/>
      <c r="DRN171" s="72"/>
      <c r="DRO171" s="72"/>
      <c r="DRP171" s="72"/>
      <c r="DRQ171" s="72"/>
      <c r="DRR171" s="72"/>
      <c r="DRS171" s="72"/>
      <c r="DRT171" s="72"/>
      <c r="DRU171" s="72"/>
      <c r="DRV171" s="72"/>
      <c r="DRW171" s="72"/>
      <c r="DRX171" s="72"/>
      <c r="DRY171" s="72"/>
      <c r="DRZ171" s="72"/>
      <c r="DSA171" s="72"/>
      <c r="DSB171" s="72"/>
      <c r="DSC171" s="72"/>
      <c r="DSD171" s="72"/>
      <c r="DSE171" s="72"/>
      <c r="DSF171" s="72"/>
      <c r="DSG171" s="72"/>
      <c r="DSH171" s="72"/>
      <c r="DSI171" s="72"/>
      <c r="DSJ171" s="72"/>
      <c r="DSK171" s="72"/>
      <c r="DSL171" s="72"/>
      <c r="DSM171" s="72"/>
      <c r="DSN171" s="72"/>
      <c r="DSO171" s="72"/>
      <c r="DSP171" s="72"/>
      <c r="DSQ171" s="72"/>
      <c r="DSR171" s="72"/>
      <c r="DSS171" s="72"/>
      <c r="DST171" s="72"/>
      <c r="DSU171" s="72"/>
      <c r="DSV171" s="72"/>
      <c r="DSW171" s="72"/>
      <c r="DSX171" s="72"/>
      <c r="DSY171" s="72"/>
      <c r="DSZ171" s="72"/>
      <c r="DTA171" s="72"/>
      <c r="DTB171" s="72"/>
      <c r="DTC171" s="72"/>
      <c r="DTD171" s="72"/>
      <c r="DTE171" s="72"/>
      <c r="DTF171" s="72"/>
      <c r="DTG171" s="72"/>
      <c r="DTH171" s="72"/>
      <c r="DTI171" s="72"/>
      <c r="DTJ171" s="72"/>
      <c r="DTK171" s="72"/>
      <c r="DTL171" s="72"/>
      <c r="DTM171" s="72"/>
      <c r="DTN171" s="72"/>
      <c r="DTO171" s="72"/>
      <c r="DTP171" s="72"/>
      <c r="DTQ171" s="72"/>
      <c r="DTR171" s="72"/>
      <c r="DTS171" s="72"/>
      <c r="DTT171" s="72"/>
      <c r="DTU171" s="72"/>
      <c r="DTV171" s="72"/>
      <c r="DTW171" s="72"/>
      <c r="DTX171" s="72"/>
      <c r="DTY171" s="72"/>
      <c r="DTZ171" s="72"/>
      <c r="DUA171" s="72"/>
      <c r="DUB171" s="72"/>
      <c r="DUC171" s="72"/>
      <c r="DUD171" s="72"/>
      <c r="DUE171" s="72"/>
      <c r="DUF171" s="72"/>
      <c r="DUG171" s="72"/>
      <c r="DUH171" s="72"/>
      <c r="DUI171" s="72"/>
      <c r="DUJ171" s="72"/>
      <c r="DUK171" s="72"/>
      <c r="DUL171" s="72"/>
      <c r="DUM171" s="72"/>
      <c r="DUN171" s="72"/>
      <c r="DUO171" s="72"/>
      <c r="DUP171" s="72"/>
      <c r="DUQ171" s="72"/>
      <c r="DUR171" s="72"/>
      <c r="DUS171" s="72"/>
      <c r="DUT171" s="72"/>
      <c r="DUU171" s="72"/>
      <c r="DUV171" s="72"/>
      <c r="DUW171" s="72"/>
      <c r="DUX171" s="72"/>
      <c r="DUY171" s="72"/>
      <c r="DUZ171" s="72"/>
      <c r="DVA171" s="72"/>
      <c r="DVB171" s="72"/>
      <c r="DVC171" s="72"/>
      <c r="DVD171" s="72"/>
      <c r="DVE171" s="72"/>
      <c r="DVF171" s="72"/>
      <c r="DVG171" s="72"/>
      <c r="DVH171" s="72"/>
      <c r="DVI171" s="72"/>
      <c r="DVJ171" s="72"/>
      <c r="DVK171" s="72"/>
      <c r="DVL171" s="72"/>
      <c r="DVM171" s="72"/>
      <c r="DVN171" s="72"/>
      <c r="DVO171" s="72"/>
      <c r="DVP171" s="72"/>
      <c r="DVQ171" s="72"/>
      <c r="DVR171" s="72"/>
      <c r="DVS171" s="72"/>
      <c r="DVT171" s="72"/>
      <c r="DVU171" s="72"/>
      <c r="DVV171" s="72"/>
      <c r="DVW171" s="72"/>
      <c r="DVX171" s="72"/>
      <c r="DVY171" s="72"/>
      <c r="DVZ171" s="72"/>
      <c r="DWA171" s="72"/>
      <c r="DWB171" s="72"/>
      <c r="DWC171" s="72"/>
      <c r="DWD171" s="72"/>
      <c r="DWE171" s="72"/>
      <c r="DWF171" s="72"/>
      <c r="DWG171" s="72"/>
      <c r="DWH171" s="72"/>
      <c r="DWI171" s="72"/>
      <c r="DWJ171" s="72"/>
      <c r="DWK171" s="72"/>
      <c r="DWL171" s="72"/>
      <c r="DWM171" s="72"/>
      <c r="DWN171" s="72"/>
      <c r="DWO171" s="72"/>
      <c r="DWP171" s="72"/>
      <c r="DWQ171" s="72"/>
      <c r="DWR171" s="72"/>
      <c r="DWS171" s="72"/>
      <c r="DWT171" s="72"/>
      <c r="DWU171" s="72"/>
      <c r="DWV171" s="72"/>
      <c r="DWW171" s="72"/>
      <c r="DWX171" s="72"/>
      <c r="DWY171" s="72"/>
      <c r="DWZ171" s="72"/>
      <c r="DXA171" s="72"/>
      <c r="DXB171" s="72"/>
      <c r="DXC171" s="72"/>
      <c r="DXD171" s="72"/>
      <c r="DXE171" s="72"/>
      <c r="DXF171" s="72"/>
      <c r="DXG171" s="72"/>
      <c r="DXH171" s="72"/>
      <c r="DXI171" s="72"/>
      <c r="DXJ171" s="72"/>
      <c r="DXK171" s="72"/>
      <c r="DXL171" s="72"/>
      <c r="DXM171" s="72"/>
      <c r="DXN171" s="72"/>
      <c r="DXO171" s="72"/>
      <c r="DXP171" s="72"/>
      <c r="DXQ171" s="72"/>
      <c r="DXR171" s="72"/>
      <c r="DXS171" s="72"/>
      <c r="DXT171" s="72"/>
      <c r="DXU171" s="72"/>
      <c r="DXV171" s="72"/>
      <c r="DXW171" s="72"/>
      <c r="DXX171" s="72"/>
      <c r="DXY171" s="72"/>
      <c r="DXZ171" s="72"/>
      <c r="DYA171" s="72"/>
      <c r="DYB171" s="72"/>
      <c r="DYC171" s="72"/>
      <c r="DYD171" s="72"/>
      <c r="DYE171" s="72"/>
      <c r="DYF171" s="72"/>
      <c r="DYG171" s="72"/>
      <c r="DYH171" s="72"/>
      <c r="DYI171" s="72"/>
      <c r="DYJ171" s="72"/>
      <c r="DYK171" s="72"/>
      <c r="DYL171" s="72"/>
      <c r="DYM171" s="72"/>
      <c r="DYN171" s="72"/>
      <c r="DYO171" s="72"/>
      <c r="DYP171" s="72"/>
      <c r="DYQ171" s="72"/>
      <c r="DYR171" s="72"/>
      <c r="DYS171" s="72"/>
      <c r="DYT171" s="72"/>
      <c r="DYU171" s="72"/>
      <c r="DYV171" s="72"/>
      <c r="DYW171" s="72"/>
      <c r="DYX171" s="72"/>
      <c r="DYY171" s="72"/>
      <c r="DYZ171" s="72"/>
      <c r="DZA171" s="72"/>
      <c r="DZB171" s="72"/>
      <c r="DZC171" s="72"/>
      <c r="DZD171" s="72"/>
      <c r="DZE171" s="72"/>
      <c r="DZF171" s="72"/>
      <c r="DZG171" s="72"/>
      <c r="DZH171" s="72"/>
      <c r="DZI171" s="72"/>
      <c r="DZJ171" s="72"/>
      <c r="DZK171" s="72"/>
      <c r="DZL171" s="72"/>
      <c r="DZM171" s="72"/>
      <c r="DZN171" s="72"/>
      <c r="DZO171" s="72"/>
      <c r="DZP171" s="72"/>
      <c r="DZQ171" s="72"/>
      <c r="DZR171" s="72"/>
      <c r="DZS171" s="72"/>
      <c r="DZT171" s="72"/>
      <c r="DZU171" s="72"/>
      <c r="DZV171" s="72"/>
      <c r="DZW171" s="72"/>
      <c r="DZX171" s="72"/>
      <c r="DZY171" s="72"/>
      <c r="DZZ171" s="72"/>
      <c r="EAA171" s="72"/>
      <c r="EAB171" s="72"/>
      <c r="EAC171" s="72"/>
      <c r="EAD171" s="72"/>
      <c r="EAE171" s="72"/>
      <c r="EAF171" s="72"/>
      <c r="EAG171" s="72"/>
      <c r="EAH171" s="72"/>
      <c r="EAI171" s="72"/>
      <c r="EAJ171" s="72"/>
      <c r="EAK171" s="72"/>
      <c r="EAL171" s="72"/>
      <c r="EAM171" s="72"/>
      <c r="EAN171" s="72"/>
      <c r="EAO171" s="72"/>
      <c r="EAP171" s="72"/>
      <c r="EAQ171" s="72"/>
      <c r="EAR171" s="72"/>
      <c r="EAS171" s="72"/>
      <c r="EAT171" s="72"/>
      <c r="EAU171" s="72"/>
      <c r="EAV171" s="72"/>
      <c r="EAW171" s="72"/>
      <c r="EAX171" s="72"/>
      <c r="EAY171" s="72"/>
      <c r="EAZ171" s="72"/>
      <c r="EBA171" s="72"/>
      <c r="EBB171" s="72"/>
      <c r="EBC171" s="72"/>
      <c r="EBD171" s="72"/>
      <c r="EBE171" s="72"/>
      <c r="EBF171" s="72"/>
      <c r="EBG171" s="72"/>
      <c r="EBH171" s="72"/>
      <c r="EBI171" s="72"/>
      <c r="EBJ171" s="72"/>
      <c r="EBK171" s="72"/>
      <c r="EBL171" s="72"/>
      <c r="EBM171" s="72"/>
      <c r="EBN171" s="72"/>
      <c r="EBO171" s="72"/>
      <c r="EBP171" s="72"/>
      <c r="EBQ171" s="72"/>
      <c r="EBR171" s="72"/>
      <c r="EBS171" s="72"/>
      <c r="EBT171" s="72"/>
      <c r="EBU171" s="72"/>
      <c r="EBV171" s="72"/>
      <c r="EBW171" s="72"/>
      <c r="EBX171" s="72"/>
      <c r="EBY171" s="72"/>
      <c r="EBZ171" s="72"/>
      <c r="ECA171" s="72"/>
      <c r="ECB171" s="72"/>
      <c r="ECC171" s="72"/>
      <c r="ECD171" s="72"/>
      <c r="ECE171" s="72"/>
      <c r="ECF171" s="72"/>
      <c r="ECG171" s="72"/>
      <c r="ECH171" s="72"/>
      <c r="ECI171" s="72"/>
      <c r="ECJ171" s="72"/>
      <c r="ECK171" s="72"/>
      <c r="ECL171" s="72"/>
      <c r="ECM171" s="72"/>
      <c r="ECN171" s="72"/>
      <c r="ECO171" s="72"/>
      <c r="ECP171" s="72"/>
      <c r="ECQ171" s="72"/>
      <c r="ECR171" s="72"/>
      <c r="ECS171" s="72"/>
      <c r="ECT171" s="72"/>
      <c r="ECU171" s="72"/>
      <c r="ECV171" s="72"/>
      <c r="ECW171" s="72"/>
      <c r="ECX171" s="72"/>
      <c r="ECY171" s="72"/>
      <c r="ECZ171" s="72"/>
      <c r="EDA171" s="72"/>
      <c r="EDB171" s="72"/>
      <c r="EDC171" s="72"/>
      <c r="EDD171" s="72"/>
      <c r="EDE171" s="72"/>
      <c r="EDF171" s="72"/>
      <c r="EDG171" s="72"/>
      <c r="EDH171" s="72"/>
      <c r="EDI171" s="72"/>
      <c r="EDJ171" s="72"/>
      <c r="EDK171" s="72"/>
      <c r="EDL171" s="72"/>
      <c r="EDM171" s="72"/>
      <c r="EDN171" s="72"/>
      <c r="EDO171" s="72"/>
      <c r="EDP171" s="72"/>
      <c r="EDQ171" s="72"/>
      <c r="EDR171" s="72"/>
      <c r="EDS171" s="72"/>
      <c r="EDT171" s="72"/>
      <c r="EDU171" s="72"/>
      <c r="EDV171" s="72"/>
      <c r="EDW171" s="72"/>
      <c r="EDX171" s="72"/>
      <c r="EDY171" s="72"/>
      <c r="EDZ171" s="72"/>
      <c r="EEA171" s="72"/>
      <c r="EEB171" s="72"/>
      <c r="EEC171" s="72"/>
      <c r="EED171" s="72"/>
      <c r="EEE171" s="72"/>
      <c r="EEF171" s="72"/>
      <c r="EEG171" s="72"/>
      <c r="EEH171" s="72"/>
      <c r="EEI171" s="72"/>
      <c r="EEJ171" s="72"/>
      <c r="EEK171" s="72"/>
      <c r="EEL171" s="72"/>
      <c r="EEM171" s="72"/>
      <c r="EEN171" s="72"/>
      <c r="EEO171" s="72"/>
      <c r="EEP171" s="72"/>
      <c r="EEQ171" s="72"/>
      <c r="EER171" s="72"/>
      <c r="EES171" s="72"/>
      <c r="EET171" s="72"/>
      <c r="EEU171" s="72"/>
      <c r="EEV171" s="72"/>
      <c r="EEW171" s="72"/>
      <c r="EEX171" s="72"/>
      <c r="EEY171" s="72"/>
      <c r="EEZ171" s="72"/>
      <c r="EFA171" s="72"/>
      <c r="EFB171" s="72"/>
      <c r="EFC171" s="72"/>
      <c r="EFD171" s="72"/>
      <c r="EFE171" s="72"/>
      <c r="EFF171" s="72"/>
      <c r="EFG171" s="72"/>
      <c r="EFH171" s="72"/>
      <c r="EFI171" s="72"/>
      <c r="EFJ171" s="72"/>
      <c r="EFK171" s="72"/>
      <c r="EFL171" s="72"/>
      <c r="EFM171" s="72"/>
      <c r="EFN171" s="72"/>
      <c r="EFO171" s="72"/>
      <c r="EFP171" s="72"/>
      <c r="EFQ171" s="72"/>
      <c r="EFR171" s="72"/>
      <c r="EFS171" s="72"/>
      <c r="EFT171" s="72"/>
      <c r="EFU171" s="72"/>
      <c r="EFV171" s="72"/>
      <c r="EFW171" s="72"/>
      <c r="EFX171" s="72"/>
      <c r="EFY171" s="72"/>
      <c r="EFZ171" s="72"/>
      <c r="EGA171" s="72"/>
      <c r="EGB171" s="72"/>
      <c r="EGC171" s="72"/>
      <c r="EGD171" s="72"/>
      <c r="EGE171" s="72"/>
      <c r="EGF171" s="72"/>
      <c r="EGG171" s="72"/>
      <c r="EGH171" s="72"/>
      <c r="EGI171" s="72"/>
      <c r="EGJ171" s="72"/>
      <c r="EGK171" s="72"/>
      <c r="EGL171" s="72"/>
      <c r="EGM171" s="72"/>
      <c r="EGN171" s="72"/>
      <c r="EGO171" s="72"/>
      <c r="EGP171" s="72"/>
      <c r="EGQ171" s="72"/>
      <c r="EGR171" s="72"/>
      <c r="EGS171" s="72"/>
      <c r="EGT171" s="72"/>
      <c r="EGU171" s="72"/>
      <c r="EGV171" s="72"/>
      <c r="EGW171" s="72"/>
      <c r="EGX171" s="72"/>
      <c r="EGY171" s="72"/>
      <c r="EGZ171" s="72"/>
      <c r="EHA171" s="72"/>
      <c r="EHB171" s="72"/>
      <c r="EHC171" s="72"/>
      <c r="EHD171" s="72"/>
      <c r="EHE171" s="72"/>
      <c r="EHF171" s="72"/>
      <c r="EHG171" s="72"/>
      <c r="EHH171" s="72"/>
      <c r="EHI171" s="72"/>
      <c r="EHJ171" s="72"/>
      <c r="EHK171" s="72"/>
      <c r="EHL171" s="72"/>
      <c r="EHM171" s="72"/>
      <c r="EHN171" s="72"/>
      <c r="EHO171" s="72"/>
      <c r="EHP171" s="72"/>
      <c r="EHQ171" s="72"/>
      <c r="EHR171" s="72"/>
      <c r="EHS171" s="72"/>
      <c r="EHT171" s="72"/>
      <c r="EHU171" s="72"/>
      <c r="EHV171" s="72"/>
      <c r="EHW171" s="72"/>
      <c r="EHX171" s="72"/>
      <c r="EHY171" s="72"/>
      <c r="EHZ171" s="72"/>
      <c r="EIA171" s="72"/>
      <c r="EIB171" s="72"/>
      <c r="EIC171" s="72"/>
      <c r="EID171" s="72"/>
      <c r="EIE171" s="72"/>
      <c r="EIF171" s="72"/>
      <c r="EIG171" s="72"/>
      <c r="EIH171" s="72"/>
      <c r="EII171" s="72"/>
      <c r="EIJ171" s="72"/>
      <c r="EIK171" s="72"/>
      <c r="EIL171" s="72"/>
      <c r="EIM171" s="72"/>
      <c r="EIN171" s="72"/>
      <c r="EIO171" s="72"/>
      <c r="EIP171" s="72"/>
      <c r="EIQ171" s="72"/>
      <c r="EIR171" s="72"/>
      <c r="EIS171" s="72"/>
      <c r="EIT171" s="72"/>
      <c r="EIU171" s="72"/>
      <c r="EIV171" s="72"/>
      <c r="EIW171" s="72"/>
      <c r="EIX171" s="72"/>
      <c r="EIY171" s="72"/>
      <c r="EIZ171" s="72"/>
      <c r="EJA171" s="72"/>
      <c r="EJB171" s="72"/>
      <c r="EJC171" s="72"/>
      <c r="EJD171" s="72"/>
      <c r="EJE171" s="72"/>
      <c r="EJF171" s="72"/>
      <c r="EJG171" s="72"/>
      <c r="EJH171" s="72"/>
      <c r="EJI171" s="72"/>
      <c r="EJJ171" s="72"/>
      <c r="EJK171" s="72"/>
      <c r="EJL171" s="72"/>
      <c r="EJM171" s="72"/>
      <c r="EJN171" s="72"/>
      <c r="EJO171" s="72"/>
      <c r="EJP171" s="72"/>
      <c r="EJQ171" s="72"/>
      <c r="EJR171" s="72"/>
      <c r="EJS171" s="72"/>
      <c r="EJT171" s="72"/>
      <c r="EJU171" s="72"/>
      <c r="EJV171" s="72"/>
      <c r="EJW171" s="72"/>
      <c r="EJX171" s="72"/>
      <c r="EJY171" s="72"/>
      <c r="EJZ171" s="72"/>
      <c r="EKA171" s="72"/>
      <c r="EKB171" s="72"/>
      <c r="EKC171" s="72"/>
      <c r="EKD171" s="72"/>
      <c r="EKE171" s="72"/>
      <c r="EKF171" s="72"/>
      <c r="EKG171" s="72"/>
      <c r="EKH171" s="72"/>
      <c r="EKI171" s="72"/>
      <c r="EKJ171" s="72"/>
      <c r="EKK171" s="72"/>
      <c r="EKL171" s="72"/>
      <c r="EKM171" s="72"/>
      <c r="EKN171" s="72"/>
      <c r="EKO171" s="72"/>
      <c r="EKP171" s="72"/>
      <c r="EKQ171" s="72"/>
      <c r="EKR171" s="72"/>
      <c r="EKS171" s="72"/>
      <c r="EKT171" s="72"/>
      <c r="EKU171" s="72"/>
      <c r="EKV171" s="72"/>
      <c r="EKW171" s="72"/>
      <c r="EKX171" s="72"/>
      <c r="EKY171" s="72"/>
      <c r="EKZ171" s="72"/>
      <c r="ELA171" s="72"/>
      <c r="ELB171" s="72"/>
      <c r="ELC171" s="72"/>
      <c r="ELD171" s="72"/>
      <c r="ELE171" s="72"/>
      <c r="ELF171" s="72"/>
      <c r="ELG171" s="72"/>
      <c r="ELH171" s="72"/>
      <c r="ELI171" s="72"/>
      <c r="ELJ171" s="72"/>
      <c r="ELK171" s="72"/>
      <c r="ELL171" s="72"/>
      <c r="ELM171" s="72"/>
      <c r="ELN171" s="72"/>
      <c r="ELO171" s="72"/>
      <c r="ELP171" s="72"/>
      <c r="ELQ171" s="72"/>
      <c r="ELR171" s="72"/>
      <c r="ELS171" s="72"/>
      <c r="ELT171" s="72"/>
      <c r="ELU171" s="72"/>
      <c r="ELV171" s="72"/>
      <c r="ELW171" s="72"/>
      <c r="ELX171" s="72"/>
      <c r="ELY171" s="72"/>
      <c r="ELZ171" s="72"/>
      <c r="EMA171" s="72"/>
      <c r="EMB171" s="72"/>
      <c r="EMC171" s="72"/>
      <c r="EMD171" s="72"/>
      <c r="EME171" s="72"/>
      <c r="EMF171" s="72"/>
      <c r="EMG171" s="72"/>
      <c r="EMH171" s="72"/>
      <c r="EMI171" s="72"/>
      <c r="EMJ171" s="72"/>
      <c r="EMK171" s="72"/>
      <c r="EML171" s="72"/>
      <c r="EMM171" s="72"/>
      <c r="EMN171" s="72"/>
      <c r="EMO171" s="72"/>
      <c r="EMP171" s="72"/>
      <c r="EMQ171" s="72"/>
      <c r="EMR171" s="72"/>
      <c r="EMS171" s="72"/>
      <c r="EMT171" s="72"/>
      <c r="EMU171" s="72"/>
      <c r="EMV171" s="72"/>
      <c r="EMW171" s="72"/>
      <c r="EMX171" s="72"/>
      <c r="EMY171" s="72"/>
      <c r="EMZ171" s="72"/>
      <c r="ENA171" s="72"/>
      <c r="ENB171" s="72"/>
      <c r="ENC171" s="72"/>
      <c r="END171" s="72"/>
      <c r="ENE171" s="72"/>
      <c r="ENF171" s="72"/>
      <c r="ENG171" s="72"/>
      <c r="ENH171" s="72"/>
      <c r="ENI171" s="72"/>
      <c r="ENJ171" s="72"/>
      <c r="ENK171" s="72"/>
      <c r="ENL171" s="72"/>
      <c r="ENM171" s="72"/>
      <c r="ENN171" s="72"/>
      <c r="ENO171" s="72"/>
      <c r="ENP171" s="72"/>
      <c r="ENQ171" s="72"/>
      <c r="ENR171" s="72"/>
      <c r="ENS171" s="72"/>
      <c r="ENT171" s="72"/>
      <c r="ENU171" s="72"/>
      <c r="ENV171" s="72"/>
      <c r="ENW171" s="72"/>
      <c r="ENX171" s="72"/>
      <c r="ENY171" s="72"/>
      <c r="ENZ171" s="72"/>
      <c r="EOA171" s="72"/>
      <c r="EOB171" s="72"/>
      <c r="EOC171" s="72"/>
      <c r="EOD171" s="72"/>
      <c r="EOE171" s="72"/>
      <c r="EOF171" s="72"/>
      <c r="EOG171" s="72"/>
      <c r="EOH171" s="72"/>
      <c r="EOI171" s="72"/>
      <c r="EOJ171" s="72"/>
      <c r="EOK171" s="72"/>
      <c r="EOL171" s="72"/>
      <c r="EOM171" s="72"/>
      <c r="EON171" s="72"/>
      <c r="EOO171" s="72"/>
      <c r="EOP171" s="72"/>
      <c r="EOQ171" s="72"/>
      <c r="EOR171" s="72"/>
      <c r="EOS171" s="72"/>
      <c r="EOT171" s="72"/>
      <c r="EOU171" s="72"/>
      <c r="EOV171" s="72"/>
      <c r="EOW171" s="72"/>
      <c r="EOX171" s="72"/>
      <c r="EOY171" s="72"/>
      <c r="EOZ171" s="72"/>
      <c r="EPA171" s="72"/>
      <c r="EPB171" s="72"/>
      <c r="EPC171" s="72"/>
      <c r="EPD171" s="72"/>
      <c r="EPE171" s="72"/>
      <c r="EPF171" s="72"/>
      <c r="EPG171" s="72"/>
      <c r="EPH171" s="72"/>
      <c r="EPI171" s="72"/>
      <c r="EPJ171" s="72"/>
      <c r="EPK171" s="72"/>
      <c r="EPL171" s="72"/>
      <c r="EPM171" s="72"/>
      <c r="EPN171" s="72"/>
      <c r="EPO171" s="72"/>
      <c r="EPP171" s="72"/>
      <c r="EPQ171" s="72"/>
      <c r="EPR171" s="72"/>
      <c r="EPS171" s="72"/>
      <c r="EPT171" s="72"/>
      <c r="EPU171" s="72"/>
      <c r="EPV171" s="72"/>
      <c r="EPW171" s="72"/>
      <c r="EPX171" s="72"/>
      <c r="EPY171" s="72"/>
      <c r="EPZ171" s="72"/>
      <c r="EQA171" s="72"/>
      <c r="EQB171" s="72"/>
      <c r="EQC171" s="72"/>
      <c r="EQD171" s="72"/>
      <c r="EQE171" s="72"/>
      <c r="EQF171" s="72"/>
      <c r="EQG171" s="72"/>
      <c r="EQH171" s="72"/>
      <c r="EQI171" s="72"/>
      <c r="EQJ171" s="72"/>
      <c r="EQK171" s="72"/>
      <c r="EQL171" s="72"/>
      <c r="EQM171" s="72"/>
      <c r="EQN171" s="72"/>
      <c r="EQO171" s="72"/>
      <c r="EQP171" s="72"/>
      <c r="EQQ171" s="72"/>
      <c r="EQR171" s="72"/>
      <c r="EQS171" s="72"/>
      <c r="EQT171" s="72"/>
      <c r="EQU171" s="72"/>
      <c r="EQV171" s="72"/>
      <c r="EQW171" s="72"/>
      <c r="EQX171" s="72"/>
      <c r="EQY171" s="72"/>
      <c r="EQZ171" s="72"/>
      <c r="ERA171" s="72"/>
      <c r="ERB171" s="72"/>
      <c r="ERC171" s="72"/>
      <c r="ERD171" s="72"/>
      <c r="ERE171" s="72"/>
      <c r="ERF171" s="72"/>
      <c r="ERG171" s="72"/>
      <c r="ERH171" s="72"/>
      <c r="ERI171" s="72"/>
      <c r="ERJ171" s="72"/>
      <c r="ERK171" s="72"/>
      <c r="ERL171" s="72"/>
      <c r="ERM171" s="72"/>
      <c r="ERN171" s="72"/>
      <c r="ERO171" s="72"/>
      <c r="ERP171" s="72"/>
      <c r="ERQ171" s="72"/>
      <c r="ERR171" s="72"/>
      <c r="ERS171" s="72"/>
      <c r="ERT171" s="72"/>
      <c r="ERU171" s="72"/>
      <c r="ERV171" s="72"/>
      <c r="ERW171" s="72"/>
      <c r="ERX171" s="72"/>
      <c r="ERY171" s="72"/>
      <c r="ERZ171" s="72"/>
      <c r="ESA171" s="72"/>
      <c r="ESB171" s="72"/>
      <c r="ESC171" s="72"/>
      <c r="ESD171" s="72"/>
      <c r="ESE171" s="72"/>
      <c r="ESF171" s="72"/>
      <c r="ESG171" s="72"/>
      <c r="ESH171" s="72"/>
      <c r="ESI171" s="72"/>
      <c r="ESJ171" s="72"/>
      <c r="ESK171" s="72"/>
      <c r="ESL171" s="72"/>
      <c r="ESM171" s="72"/>
      <c r="ESN171" s="72"/>
      <c r="ESO171" s="72"/>
      <c r="ESP171" s="72"/>
      <c r="ESQ171" s="72"/>
      <c r="ESR171" s="72"/>
      <c r="ESS171" s="72"/>
      <c r="EST171" s="72"/>
      <c r="ESU171" s="72"/>
      <c r="ESV171" s="72"/>
      <c r="ESW171" s="72"/>
      <c r="ESX171" s="72"/>
      <c r="ESY171" s="72"/>
      <c r="ESZ171" s="72"/>
      <c r="ETA171" s="72"/>
      <c r="ETB171" s="72"/>
      <c r="ETC171" s="72"/>
      <c r="ETD171" s="72"/>
      <c r="ETE171" s="72"/>
      <c r="ETF171" s="72"/>
      <c r="ETG171" s="72"/>
      <c r="ETH171" s="72"/>
      <c r="ETI171" s="72"/>
      <c r="ETJ171" s="72"/>
      <c r="ETK171" s="72"/>
      <c r="ETL171" s="72"/>
      <c r="ETM171" s="72"/>
      <c r="ETN171" s="72"/>
      <c r="ETO171" s="72"/>
      <c r="ETP171" s="72"/>
      <c r="ETQ171" s="72"/>
      <c r="ETR171" s="72"/>
      <c r="ETS171" s="72"/>
      <c r="ETT171" s="72"/>
      <c r="ETU171" s="72"/>
      <c r="ETV171" s="72"/>
      <c r="ETW171" s="72"/>
      <c r="ETX171" s="72"/>
      <c r="ETY171" s="72"/>
      <c r="ETZ171" s="72"/>
      <c r="EUA171" s="72"/>
      <c r="EUB171" s="72"/>
      <c r="EUC171" s="72"/>
      <c r="EUD171" s="72"/>
      <c r="EUE171" s="72"/>
      <c r="EUF171" s="72"/>
      <c r="EUG171" s="72"/>
      <c r="EUH171" s="72"/>
      <c r="EUI171" s="72"/>
      <c r="EUJ171" s="72"/>
      <c r="EUK171" s="72"/>
      <c r="EUL171" s="72"/>
      <c r="EUM171" s="72"/>
      <c r="EUN171" s="72"/>
      <c r="EUO171" s="72"/>
      <c r="EUP171" s="72"/>
      <c r="EUQ171" s="72"/>
      <c r="EUR171" s="72"/>
      <c r="EUS171" s="72"/>
      <c r="EUT171" s="72"/>
      <c r="EUU171" s="72"/>
      <c r="EUV171" s="72"/>
      <c r="EUW171" s="72"/>
      <c r="EUX171" s="72"/>
      <c r="EUY171" s="72"/>
      <c r="EUZ171" s="72"/>
      <c r="EVA171" s="72"/>
      <c r="EVB171" s="72"/>
      <c r="EVC171" s="72"/>
      <c r="EVD171" s="72"/>
      <c r="EVE171" s="72"/>
      <c r="EVF171" s="72"/>
      <c r="EVG171" s="72"/>
      <c r="EVH171" s="72"/>
      <c r="EVI171" s="72"/>
      <c r="EVJ171" s="72"/>
      <c r="EVK171" s="72"/>
      <c r="EVL171" s="72"/>
      <c r="EVM171" s="72"/>
      <c r="EVN171" s="72"/>
      <c r="EVO171" s="72"/>
      <c r="EVP171" s="72"/>
      <c r="EVQ171" s="72"/>
      <c r="EVR171" s="72"/>
      <c r="EVS171" s="72"/>
      <c r="EVT171" s="72"/>
      <c r="EVU171" s="72"/>
      <c r="EVV171" s="72"/>
      <c r="EVW171" s="72"/>
      <c r="EVX171" s="72"/>
      <c r="EVY171" s="72"/>
      <c r="EVZ171" s="72"/>
      <c r="EWA171" s="72"/>
      <c r="EWB171" s="72"/>
      <c r="EWC171" s="72"/>
      <c r="EWD171" s="72"/>
      <c r="EWE171" s="72"/>
      <c r="EWF171" s="72"/>
      <c r="EWG171" s="72"/>
      <c r="EWH171" s="72"/>
      <c r="EWI171" s="72"/>
      <c r="EWJ171" s="72"/>
      <c r="EWK171" s="72"/>
      <c r="EWL171" s="72"/>
      <c r="EWM171" s="72"/>
      <c r="EWN171" s="72"/>
      <c r="EWO171" s="72"/>
      <c r="EWP171" s="72"/>
      <c r="EWQ171" s="72"/>
      <c r="EWR171" s="72"/>
      <c r="EWS171" s="72"/>
      <c r="EWT171" s="72"/>
      <c r="EWU171" s="72"/>
      <c r="EWV171" s="72"/>
      <c r="EWW171" s="72"/>
      <c r="EWX171" s="72"/>
      <c r="EWY171" s="72"/>
      <c r="EWZ171" s="72"/>
      <c r="EXA171" s="72"/>
      <c r="EXB171" s="72"/>
      <c r="EXC171" s="72"/>
      <c r="EXD171" s="72"/>
      <c r="EXE171" s="72"/>
      <c r="EXF171" s="72"/>
      <c r="EXG171" s="72"/>
      <c r="EXH171" s="72"/>
      <c r="EXI171" s="72"/>
      <c r="EXJ171" s="72"/>
      <c r="EXK171" s="72"/>
      <c r="EXL171" s="72"/>
      <c r="EXM171" s="72"/>
      <c r="EXN171" s="72"/>
      <c r="EXO171" s="72"/>
      <c r="EXP171" s="72"/>
      <c r="EXQ171" s="72"/>
      <c r="EXR171" s="72"/>
      <c r="EXS171" s="72"/>
      <c r="EXT171" s="72"/>
      <c r="EXU171" s="72"/>
      <c r="EXV171" s="72"/>
      <c r="EXW171" s="72"/>
      <c r="EXX171" s="72"/>
      <c r="EXY171" s="72"/>
      <c r="EXZ171" s="72"/>
      <c r="EYA171" s="72"/>
      <c r="EYB171" s="72"/>
      <c r="EYC171" s="72"/>
      <c r="EYD171" s="72"/>
      <c r="EYE171" s="72"/>
      <c r="EYF171" s="72"/>
      <c r="EYG171" s="72"/>
      <c r="EYH171" s="72"/>
      <c r="EYI171" s="72"/>
      <c r="EYJ171" s="72"/>
      <c r="EYK171" s="72"/>
      <c r="EYL171" s="72"/>
      <c r="EYM171" s="72"/>
      <c r="EYN171" s="72"/>
      <c r="EYO171" s="72"/>
      <c r="EYP171" s="72"/>
      <c r="EYQ171" s="72"/>
      <c r="EYR171" s="72"/>
      <c r="EYS171" s="72"/>
      <c r="EYT171" s="72"/>
      <c r="EYU171" s="72"/>
      <c r="EYV171" s="72"/>
      <c r="EYW171" s="72"/>
      <c r="EYX171" s="72"/>
      <c r="EYY171" s="72"/>
      <c r="EYZ171" s="72"/>
      <c r="EZA171" s="72"/>
      <c r="EZB171" s="72"/>
      <c r="EZC171" s="72"/>
      <c r="EZD171" s="72"/>
      <c r="EZE171" s="72"/>
      <c r="EZF171" s="72"/>
      <c r="EZG171" s="72"/>
      <c r="EZH171" s="72"/>
      <c r="EZI171" s="72"/>
      <c r="EZJ171" s="72"/>
      <c r="EZK171" s="72"/>
      <c r="EZL171" s="72"/>
      <c r="EZM171" s="72"/>
      <c r="EZN171" s="72"/>
      <c r="EZO171" s="72"/>
      <c r="EZP171" s="72"/>
      <c r="EZQ171" s="72"/>
      <c r="EZR171" s="72"/>
      <c r="EZS171" s="72"/>
      <c r="EZT171" s="72"/>
      <c r="EZU171" s="72"/>
      <c r="EZV171" s="72"/>
      <c r="EZW171" s="72"/>
      <c r="EZX171" s="72"/>
      <c r="EZY171" s="72"/>
      <c r="EZZ171" s="72"/>
      <c r="FAA171" s="72"/>
      <c r="FAB171" s="72"/>
      <c r="FAC171" s="72"/>
      <c r="FAD171" s="72"/>
      <c r="FAE171" s="72"/>
      <c r="FAF171" s="72"/>
      <c r="FAG171" s="72"/>
      <c r="FAH171" s="72"/>
      <c r="FAI171" s="72"/>
      <c r="FAJ171" s="72"/>
      <c r="FAK171" s="72"/>
      <c r="FAL171" s="72"/>
      <c r="FAM171" s="72"/>
      <c r="FAN171" s="72"/>
      <c r="FAO171" s="72"/>
      <c r="FAP171" s="72"/>
      <c r="FAQ171" s="72"/>
      <c r="FAR171" s="72"/>
      <c r="FAS171" s="72"/>
      <c r="FAT171" s="72"/>
      <c r="FAU171" s="72"/>
      <c r="FAV171" s="72"/>
      <c r="FAW171" s="72"/>
      <c r="FAX171" s="72"/>
      <c r="FAY171" s="72"/>
      <c r="FAZ171" s="72"/>
      <c r="FBA171" s="72"/>
      <c r="FBB171" s="72"/>
      <c r="FBC171" s="72"/>
      <c r="FBD171" s="72"/>
      <c r="FBE171" s="72"/>
      <c r="FBF171" s="72"/>
      <c r="FBG171" s="72"/>
      <c r="FBH171" s="72"/>
      <c r="FBI171" s="72"/>
      <c r="FBJ171" s="72"/>
      <c r="FBK171" s="72"/>
      <c r="FBL171" s="72"/>
      <c r="FBM171" s="72"/>
      <c r="FBN171" s="72"/>
      <c r="FBO171" s="72"/>
      <c r="FBP171" s="72"/>
      <c r="FBQ171" s="72"/>
      <c r="FBR171" s="72"/>
      <c r="FBS171" s="72"/>
      <c r="FBT171" s="72"/>
      <c r="FBU171" s="72"/>
      <c r="FBV171" s="72"/>
      <c r="FBW171" s="72"/>
      <c r="FBX171" s="72"/>
      <c r="FBY171" s="72"/>
      <c r="FBZ171" s="72"/>
      <c r="FCA171" s="72"/>
      <c r="FCB171" s="72"/>
      <c r="FCC171" s="72"/>
      <c r="FCD171" s="72"/>
      <c r="FCE171" s="72"/>
      <c r="FCF171" s="72"/>
      <c r="FCG171" s="72"/>
      <c r="FCH171" s="72"/>
      <c r="FCI171" s="72"/>
      <c r="FCJ171" s="72"/>
      <c r="FCK171" s="72"/>
      <c r="FCL171" s="72"/>
      <c r="FCM171" s="72"/>
      <c r="FCN171" s="72"/>
      <c r="FCO171" s="72"/>
      <c r="FCP171" s="72"/>
      <c r="FCQ171" s="72"/>
      <c r="FCR171" s="72"/>
      <c r="FCS171" s="72"/>
      <c r="FCT171" s="72"/>
      <c r="FCU171" s="72"/>
      <c r="FCV171" s="72"/>
      <c r="FCW171" s="72"/>
      <c r="FCX171" s="72"/>
      <c r="FCY171" s="72"/>
      <c r="FCZ171" s="72"/>
      <c r="FDA171" s="72"/>
      <c r="FDB171" s="72"/>
      <c r="FDC171" s="72"/>
      <c r="FDD171" s="72"/>
      <c r="FDE171" s="72"/>
      <c r="FDF171" s="72"/>
      <c r="FDG171" s="72"/>
      <c r="FDH171" s="72"/>
      <c r="FDI171" s="72"/>
      <c r="FDJ171" s="72"/>
      <c r="FDK171" s="72"/>
      <c r="FDL171" s="72"/>
      <c r="FDM171" s="72"/>
      <c r="FDN171" s="72"/>
      <c r="FDO171" s="72"/>
      <c r="FDP171" s="72"/>
      <c r="FDQ171" s="72"/>
      <c r="FDR171" s="72"/>
      <c r="FDS171" s="72"/>
      <c r="FDT171" s="72"/>
      <c r="FDU171" s="72"/>
      <c r="FDV171" s="72"/>
      <c r="FDW171" s="72"/>
      <c r="FDX171" s="72"/>
      <c r="FDY171" s="72"/>
      <c r="FDZ171" s="72"/>
      <c r="FEA171" s="72"/>
      <c r="FEB171" s="72"/>
      <c r="FEC171" s="72"/>
      <c r="FED171" s="72"/>
      <c r="FEE171" s="72"/>
      <c r="FEF171" s="72"/>
      <c r="FEG171" s="72"/>
      <c r="FEH171" s="72"/>
      <c r="FEI171" s="72"/>
      <c r="FEJ171" s="72"/>
      <c r="FEK171" s="72"/>
      <c r="FEL171" s="72"/>
      <c r="FEM171" s="72"/>
      <c r="FEN171" s="72"/>
      <c r="FEO171" s="72"/>
      <c r="FEP171" s="72"/>
      <c r="FEQ171" s="72"/>
      <c r="FER171" s="72"/>
      <c r="FES171" s="72"/>
      <c r="FET171" s="72"/>
      <c r="FEU171" s="72"/>
      <c r="FEV171" s="72"/>
      <c r="FEW171" s="72"/>
      <c r="FEX171" s="72"/>
      <c r="FEY171" s="72"/>
      <c r="FEZ171" s="72"/>
      <c r="FFA171" s="72"/>
      <c r="FFB171" s="72"/>
      <c r="FFC171" s="72"/>
      <c r="FFD171" s="72"/>
      <c r="FFE171" s="72"/>
      <c r="FFF171" s="72"/>
      <c r="FFG171" s="72"/>
      <c r="FFH171" s="72"/>
      <c r="FFI171" s="72"/>
      <c r="FFJ171" s="72"/>
      <c r="FFK171" s="72"/>
      <c r="FFL171" s="72"/>
      <c r="FFM171" s="72"/>
      <c r="FFN171" s="72"/>
      <c r="FFO171" s="72"/>
      <c r="FFP171" s="72"/>
      <c r="FFQ171" s="72"/>
      <c r="FFR171" s="72"/>
      <c r="FFS171" s="72"/>
      <c r="FFT171" s="72"/>
      <c r="FFU171" s="72"/>
      <c r="FFV171" s="72"/>
      <c r="FFW171" s="72"/>
      <c r="FFX171" s="72"/>
      <c r="FFY171" s="72"/>
      <c r="FFZ171" s="72"/>
      <c r="FGA171" s="72"/>
      <c r="FGB171" s="72"/>
      <c r="FGC171" s="72"/>
      <c r="FGD171" s="72"/>
      <c r="FGE171" s="72"/>
      <c r="FGF171" s="72"/>
      <c r="FGG171" s="72"/>
      <c r="FGH171" s="72"/>
      <c r="FGI171" s="72"/>
      <c r="FGJ171" s="72"/>
      <c r="FGK171" s="72"/>
      <c r="FGL171" s="72"/>
      <c r="FGM171" s="72"/>
      <c r="FGN171" s="72"/>
      <c r="FGO171" s="72"/>
      <c r="FGP171" s="72"/>
      <c r="FGQ171" s="72"/>
      <c r="FGR171" s="72"/>
      <c r="FGS171" s="72"/>
      <c r="FGT171" s="72"/>
      <c r="FGU171" s="72"/>
      <c r="FGV171" s="72"/>
      <c r="FGW171" s="72"/>
      <c r="FGX171" s="72"/>
      <c r="FGY171" s="72"/>
      <c r="FGZ171" s="72"/>
      <c r="FHA171" s="72"/>
      <c r="FHB171" s="72"/>
      <c r="FHC171" s="72"/>
      <c r="FHD171" s="72"/>
      <c r="FHE171" s="72"/>
      <c r="FHF171" s="72"/>
      <c r="FHG171" s="72"/>
      <c r="FHH171" s="72"/>
      <c r="FHI171" s="72"/>
      <c r="FHJ171" s="72"/>
      <c r="FHK171" s="72"/>
      <c r="FHL171" s="72"/>
      <c r="FHM171" s="72"/>
      <c r="FHN171" s="72"/>
      <c r="FHO171" s="72"/>
      <c r="FHP171" s="72"/>
      <c r="FHQ171" s="72"/>
      <c r="FHR171" s="72"/>
      <c r="FHS171" s="72"/>
      <c r="FHT171" s="72"/>
      <c r="FHU171" s="72"/>
      <c r="FHV171" s="72"/>
      <c r="FHW171" s="72"/>
      <c r="FHX171" s="72"/>
      <c r="FHY171" s="72"/>
      <c r="FHZ171" s="72"/>
      <c r="FIA171" s="72"/>
      <c r="FIB171" s="72"/>
      <c r="FIC171" s="72"/>
      <c r="FID171" s="72"/>
      <c r="FIE171" s="72"/>
      <c r="FIF171" s="72"/>
      <c r="FIG171" s="72"/>
      <c r="FIH171" s="72"/>
      <c r="FII171" s="72"/>
      <c r="FIJ171" s="72"/>
      <c r="FIK171" s="72"/>
      <c r="FIL171" s="72"/>
      <c r="FIM171" s="72"/>
      <c r="FIN171" s="72"/>
      <c r="FIO171" s="72"/>
      <c r="FIP171" s="72"/>
      <c r="FIQ171" s="72"/>
      <c r="FIR171" s="72"/>
      <c r="FIS171" s="72"/>
      <c r="FIT171" s="72"/>
      <c r="FIU171" s="72"/>
      <c r="FIV171" s="72"/>
      <c r="FIW171" s="72"/>
      <c r="FIX171" s="72"/>
      <c r="FIY171" s="72"/>
      <c r="FIZ171" s="72"/>
      <c r="FJA171" s="72"/>
      <c r="FJB171" s="72"/>
      <c r="FJC171" s="72"/>
      <c r="FJD171" s="72"/>
      <c r="FJE171" s="72"/>
      <c r="FJF171" s="72"/>
      <c r="FJG171" s="72"/>
      <c r="FJH171" s="72"/>
      <c r="FJI171" s="72"/>
      <c r="FJJ171" s="72"/>
      <c r="FJK171" s="72"/>
      <c r="FJL171" s="72"/>
      <c r="FJM171" s="72"/>
      <c r="FJN171" s="72"/>
      <c r="FJO171" s="72"/>
      <c r="FJP171" s="72"/>
      <c r="FJQ171" s="72"/>
      <c r="FJR171" s="72"/>
      <c r="FJS171" s="72"/>
      <c r="FJT171" s="72"/>
      <c r="FJU171" s="72"/>
      <c r="FJV171" s="72"/>
      <c r="FJW171" s="72"/>
      <c r="FJX171" s="72"/>
      <c r="FJY171" s="72"/>
      <c r="FJZ171" s="72"/>
      <c r="FKA171" s="72"/>
      <c r="FKB171" s="72"/>
      <c r="FKC171" s="72"/>
      <c r="FKD171" s="72"/>
      <c r="FKE171" s="72"/>
      <c r="FKF171" s="72"/>
      <c r="FKG171" s="72"/>
      <c r="FKH171" s="72"/>
      <c r="FKI171" s="72"/>
      <c r="FKJ171" s="72"/>
      <c r="FKK171" s="72"/>
      <c r="FKL171" s="72"/>
      <c r="FKM171" s="72"/>
      <c r="FKN171" s="72"/>
      <c r="FKO171" s="72"/>
      <c r="FKP171" s="72"/>
      <c r="FKQ171" s="72"/>
      <c r="FKR171" s="72"/>
      <c r="FKS171" s="72"/>
      <c r="FKT171" s="72"/>
      <c r="FKU171" s="72"/>
      <c r="FKV171" s="72"/>
      <c r="FKW171" s="72"/>
      <c r="FKX171" s="72"/>
      <c r="FKY171" s="72"/>
      <c r="FKZ171" s="72"/>
      <c r="FLA171" s="72"/>
      <c r="FLB171" s="72"/>
      <c r="FLC171" s="72"/>
      <c r="FLD171" s="72"/>
      <c r="FLE171" s="72"/>
      <c r="FLF171" s="72"/>
      <c r="FLG171" s="72"/>
      <c r="FLH171" s="72"/>
      <c r="FLI171" s="72"/>
      <c r="FLJ171" s="72"/>
      <c r="FLK171" s="72"/>
      <c r="FLL171" s="72"/>
      <c r="FLM171" s="72"/>
      <c r="FLN171" s="72"/>
      <c r="FLO171" s="72"/>
      <c r="FLP171" s="72"/>
      <c r="FLQ171" s="72"/>
      <c r="FLR171" s="72"/>
      <c r="FLS171" s="72"/>
      <c r="FLT171" s="72"/>
      <c r="FLU171" s="72"/>
      <c r="FLV171" s="72"/>
      <c r="FLW171" s="72"/>
      <c r="FLX171" s="72"/>
      <c r="FLY171" s="72"/>
      <c r="FLZ171" s="72"/>
      <c r="FMA171" s="72"/>
      <c r="FMB171" s="72"/>
      <c r="FMC171" s="72"/>
      <c r="FMD171" s="72"/>
      <c r="FME171" s="72"/>
      <c r="FMF171" s="72"/>
      <c r="FMG171" s="72"/>
      <c r="FMH171" s="72"/>
      <c r="FMI171" s="72"/>
      <c r="FMJ171" s="72"/>
      <c r="FMK171" s="72"/>
      <c r="FML171" s="72"/>
      <c r="FMM171" s="72"/>
      <c r="FMN171" s="72"/>
      <c r="FMO171" s="72"/>
      <c r="FMP171" s="72"/>
      <c r="FMQ171" s="72"/>
      <c r="FMR171" s="72"/>
      <c r="FMS171" s="72"/>
      <c r="FMT171" s="72"/>
      <c r="FMU171" s="72"/>
      <c r="FMV171" s="72"/>
      <c r="FMW171" s="72"/>
      <c r="FMX171" s="72"/>
      <c r="FMY171" s="72"/>
      <c r="FMZ171" s="72"/>
      <c r="FNA171" s="72"/>
      <c r="FNB171" s="72"/>
      <c r="FNC171" s="72"/>
      <c r="FND171" s="72"/>
      <c r="FNE171" s="72"/>
      <c r="FNF171" s="72"/>
      <c r="FNG171" s="72"/>
      <c r="FNH171" s="72"/>
      <c r="FNI171" s="72"/>
      <c r="FNJ171" s="72"/>
      <c r="FNK171" s="72"/>
      <c r="FNL171" s="72"/>
      <c r="FNM171" s="72"/>
      <c r="FNN171" s="72"/>
      <c r="FNO171" s="72"/>
      <c r="FNP171" s="72"/>
      <c r="FNQ171" s="72"/>
      <c r="FNR171" s="72"/>
      <c r="FNS171" s="72"/>
      <c r="FNT171" s="72"/>
      <c r="FNU171" s="72"/>
      <c r="FNV171" s="72"/>
      <c r="FNW171" s="72"/>
      <c r="FNX171" s="72"/>
      <c r="FNY171" s="72"/>
      <c r="FNZ171" s="72"/>
      <c r="FOA171" s="72"/>
      <c r="FOB171" s="72"/>
      <c r="FOC171" s="72"/>
      <c r="FOD171" s="72"/>
      <c r="FOE171" s="72"/>
      <c r="FOF171" s="72"/>
      <c r="FOG171" s="72"/>
      <c r="FOH171" s="72"/>
      <c r="FOI171" s="72"/>
      <c r="FOJ171" s="72"/>
      <c r="FOK171" s="72"/>
      <c r="FOL171" s="72"/>
      <c r="FOM171" s="72"/>
      <c r="FON171" s="72"/>
      <c r="FOO171" s="72"/>
      <c r="FOP171" s="72"/>
      <c r="FOQ171" s="72"/>
      <c r="FOR171" s="72"/>
      <c r="FOS171" s="72"/>
      <c r="FOT171" s="72"/>
      <c r="FOU171" s="72"/>
      <c r="FOV171" s="72"/>
      <c r="FOW171" s="72"/>
      <c r="FOX171" s="72"/>
      <c r="FOY171" s="72"/>
      <c r="FOZ171" s="72"/>
      <c r="FPA171" s="72"/>
      <c r="FPB171" s="72"/>
      <c r="FPC171" s="72"/>
      <c r="FPD171" s="72"/>
      <c r="FPE171" s="72"/>
      <c r="FPF171" s="72"/>
      <c r="FPG171" s="72"/>
      <c r="FPH171" s="72"/>
      <c r="FPI171" s="72"/>
      <c r="FPJ171" s="72"/>
      <c r="FPK171" s="72"/>
      <c r="FPL171" s="72"/>
      <c r="FPM171" s="72"/>
      <c r="FPN171" s="72"/>
      <c r="FPO171" s="72"/>
      <c r="FPP171" s="72"/>
      <c r="FPQ171" s="72"/>
      <c r="FPR171" s="72"/>
      <c r="FPS171" s="72"/>
      <c r="FPT171" s="72"/>
      <c r="FPU171" s="72"/>
      <c r="FPV171" s="72"/>
      <c r="FPW171" s="72"/>
      <c r="FPX171" s="72"/>
      <c r="FPY171" s="72"/>
      <c r="FPZ171" s="72"/>
      <c r="FQA171" s="72"/>
      <c r="FQB171" s="72"/>
      <c r="FQC171" s="72"/>
      <c r="FQD171" s="72"/>
      <c r="FQE171" s="72"/>
      <c r="FQF171" s="72"/>
      <c r="FQG171" s="72"/>
      <c r="FQH171" s="72"/>
      <c r="FQI171" s="72"/>
      <c r="FQJ171" s="72"/>
      <c r="FQK171" s="72"/>
      <c r="FQL171" s="72"/>
      <c r="FQM171" s="72"/>
      <c r="FQN171" s="72"/>
      <c r="FQO171" s="72"/>
      <c r="FQP171" s="72"/>
      <c r="FQQ171" s="72"/>
      <c r="FQR171" s="72"/>
      <c r="FQS171" s="72"/>
      <c r="FQT171" s="72"/>
      <c r="FQU171" s="72"/>
      <c r="FQV171" s="72"/>
      <c r="FQW171" s="72"/>
      <c r="FQX171" s="72"/>
      <c r="FQY171" s="72"/>
      <c r="FQZ171" s="72"/>
      <c r="FRA171" s="72"/>
      <c r="FRB171" s="72"/>
      <c r="FRC171" s="72"/>
      <c r="FRD171" s="72"/>
      <c r="FRE171" s="72"/>
      <c r="FRF171" s="72"/>
      <c r="FRG171" s="72"/>
      <c r="FRH171" s="72"/>
      <c r="FRI171" s="72"/>
      <c r="FRJ171" s="72"/>
      <c r="FRK171" s="72"/>
      <c r="FRL171" s="72"/>
      <c r="FRM171" s="72"/>
      <c r="FRN171" s="72"/>
      <c r="FRO171" s="72"/>
      <c r="FRP171" s="72"/>
      <c r="FRQ171" s="72"/>
      <c r="FRR171" s="72"/>
      <c r="FRS171" s="72"/>
      <c r="FRT171" s="72"/>
      <c r="FRU171" s="72"/>
      <c r="FRV171" s="72"/>
      <c r="FRW171" s="72"/>
      <c r="FRX171" s="72"/>
      <c r="FRY171" s="72"/>
      <c r="FRZ171" s="72"/>
      <c r="FSA171" s="72"/>
      <c r="FSB171" s="72"/>
      <c r="FSC171" s="72"/>
      <c r="FSD171" s="72"/>
      <c r="FSE171" s="72"/>
      <c r="FSF171" s="72"/>
      <c r="FSG171" s="72"/>
      <c r="FSH171" s="72"/>
      <c r="FSI171" s="72"/>
      <c r="FSJ171" s="72"/>
      <c r="FSK171" s="72"/>
      <c r="FSL171" s="72"/>
      <c r="FSM171" s="72"/>
      <c r="FSN171" s="72"/>
      <c r="FSO171" s="72"/>
      <c r="FSP171" s="72"/>
      <c r="FSQ171" s="72"/>
      <c r="FSR171" s="72"/>
      <c r="FSS171" s="72"/>
      <c r="FST171" s="72"/>
      <c r="FSU171" s="72"/>
      <c r="FSV171" s="72"/>
      <c r="FSW171" s="72"/>
      <c r="FSX171" s="72"/>
      <c r="FSY171" s="72"/>
      <c r="FSZ171" s="72"/>
      <c r="FTA171" s="72"/>
      <c r="FTB171" s="72"/>
      <c r="FTC171" s="72"/>
      <c r="FTD171" s="72"/>
      <c r="FTE171" s="72"/>
      <c r="FTF171" s="72"/>
      <c r="FTG171" s="72"/>
      <c r="FTH171" s="72"/>
      <c r="FTI171" s="72"/>
      <c r="FTJ171" s="72"/>
      <c r="FTK171" s="72"/>
      <c r="FTL171" s="72"/>
      <c r="FTM171" s="72"/>
      <c r="FTN171" s="72"/>
      <c r="FTO171" s="72"/>
      <c r="FTP171" s="72"/>
      <c r="FTQ171" s="72"/>
      <c r="FTR171" s="72"/>
      <c r="FTS171" s="72"/>
      <c r="FTT171" s="72"/>
      <c r="FTU171" s="72"/>
      <c r="FTV171" s="72"/>
      <c r="FTW171" s="72"/>
      <c r="FTX171" s="72"/>
      <c r="FTY171" s="72"/>
      <c r="FTZ171" s="72"/>
      <c r="FUA171" s="72"/>
      <c r="FUB171" s="72"/>
      <c r="FUC171" s="72"/>
      <c r="FUD171" s="72"/>
      <c r="FUE171" s="72"/>
      <c r="FUF171" s="72"/>
      <c r="FUG171" s="72"/>
      <c r="FUH171" s="72"/>
      <c r="FUI171" s="72"/>
      <c r="FUJ171" s="72"/>
      <c r="FUK171" s="72"/>
      <c r="FUL171" s="72"/>
      <c r="FUM171" s="72"/>
      <c r="FUN171" s="72"/>
      <c r="FUO171" s="72"/>
      <c r="FUP171" s="72"/>
      <c r="FUQ171" s="72"/>
      <c r="FUR171" s="72"/>
      <c r="FUS171" s="72"/>
      <c r="FUT171" s="72"/>
      <c r="FUU171" s="72"/>
      <c r="FUV171" s="72"/>
      <c r="FUW171" s="72"/>
      <c r="FUX171" s="72"/>
      <c r="FUY171" s="72"/>
      <c r="FUZ171" s="72"/>
      <c r="FVA171" s="72"/>
      <c r="FVB171" s="72"/>
      <c r="FVC171" s="72"/>
      <c r="FVD171" s="72"/>
      <c r="FVE171" s="72"/>
      <c r="FVF171" s="72"/>
      <c r="FVG171" s="72"/>
      <c r="FVH171" s="72"/>
      <c r="FVI171" s="72"/>
      <c r="FVJ171" s="72"/>
      <c r="FVK171" s="72"/>
      <c r="FVL171" s="72"/>
      <c r="FVM171" s="72"/>
      <c r="FVN171" s="72"/>
      <c r="FVO171" s="72"/>
      <c r="FVP171" s="72"/>
      <c r="FVQ171" s="72"/>
      <c r="FVR171" s="72"/>
      <c r="FVS171" s="72"/>
      <c r="FVT171" s="72"/>
      <c r="FVU171" s="72"/>
      <c r="FVV171" s="72"/>
      <c r="FVW171" s="72"/>
      <c r="FVX171" s="72"/>
      <c r="FVY171" s="72"/>
      <c r="FVZ171" s="72"/>
      <c r="FWA171" s="72"/>
      <c r="FWB171" s="72"/>
      <c r="FWC171" s="72"/>
      <c r="FWD171" s="72"/>
      <c r="FWE171" s="72"/>
      <c r="FWF171" s="72"/>
      <c r="FWG171" s="72"/>
      <c r="FWH171" s="72"/>
      <c r="FWI171" s="72"/>
      <c r="FWJ171" s="72"/>
      <c r="FWK171" s="72"/>
      <c r="FWL171" s="72"/>
      <c r="FWM171" s="72"/>
      <c r="FWN171" s="72"/>
      <c r="FWO171" s="72"/>
      <c r="FWP171" s="72"/>
      <c r="FWQ171" s="72"/>
      <c r="FWR171" s="72"/>
      <c r="FWS171" s="72"/>
      <c r="FWT171" s="72"/>
      <c r="FWU171" s="72"/>
      <c r="FWV171" s="72"/>
      <c r="FWW171" s="72"/>
      <c r="FWX171" s="72"/>
      <c r="FWY171" s="72"/>
      <c r="FWZ171" s="72"/>
      <c r="FXA171" s="72"/>
      <c r="FXB171" s="72"/>
      <c r="FXC171" s="72"/>
      <c r="FXD171" s="72"/>
      <c r="FXE171" s="72"/>
      <c r="FXF171" s="72"/>
      <c r="FXG171" s="72"/>
      <c r="FXH171" s="72"/>
      <c r="FXI171" s="72"/>
      <c r="FXJ171" s="72"/>
      <c r="FXK171" s="72"/>
      <c r="FXL171" s="72"/>
      <c r="FXM171" s="72"/>
      <c r="FXN171" s="72"/>
      <c r="FXO171" s="72"/>
      <c r="FXP171" s="72"/>
      <c r="FXQ171" s="72"/>
      <c r="FXR171" s="72"/>
      <c r="FXS171" s="72"/>
      <c r="FXT171" s="72"/>
      <c r="FXU171" s="72"/>
      <c r="FXV171" s="72"/>
      <c r="FXW171" s="72"/>
      <c r="FXX171" s="72"/>
      <c r="FXY171" s="72"/>
      <c r="FXZ171" s="72"/>
      <c r="FYA171" s="72"/>
      <c r="FYB171" s="72"/>
      <c r="FYC171" s="72"/>
      <c r="FYD171" s="72"/>
      <c r="FYE171" s="72"/>
      <c r="FYF171" s="72"/>
      <c r="FYG171" s="72"/>
      <c r="FYH171" s="72"/>
      <c r="FYI171" s="72"/>
      <c r="FYJ171" s="72"/>
      <c r="FYK171" s="72"/>
      <c r="FYL171" s="72"/>
      <c r="FYM171" s="72"/>
      <c r="FYN171" s="72"/>
      <c r="FYO171" s="72"/>
      <c r="FYP171" s="72"/>
      <c r="FYQ171" s="72"/>
      <c r="FYR171" s="72"/>
      <c r="FYS171" s="72"/>
      <c r="FYT171" s="72"/>
      <c r="FYU171" s="72"/>
      <c r="FYV171" s="72"/>
      <c r="FYW171" s="72"/>
      <c r="FYX171" s="72"/>
      <c r="FYY171" s="72"/>
      <c r="FYZ171" s="72"/>
      <c r="FZA171" s="72"/>
      <c r="FZB171" s="72"/>
      <c r="FZC171" s="72"/>
      <c r="FZD171" s="72"/>
      <c r="FZE171" s="72"/>
      <c r="FZF171" s="72"/>
      <c r="FZG171" s="72"/>
      <c r="FZH171" s="72"/>
      <c r="FZI171" s="72"/>
      <c r="FZJ171" s="72"/>
      <c r="FZK171" s="72"/>
      <c r="FZL171" s="72"/>
      <c r="FZM171" s="72"/>
      <c r="FZN171" s="72"/>
      <c r="FZO171" s="72"/>
      <c r="FZP171" s="72"/>
      <c r="FZQ171" s="72"/>
      <c r="FZR171" s="72"/>
      <c r="FZS171" s="72"/>
      <c r="FZT171" s="72"/>
      <c r="FZU171" s="72"/>
      <c r="FZV171" s="72"/>
      <c r="FZW171" s="72"/>
      <c r="FZX171" s="72"/>
      <c r="FZY171" s="72"/>
      <c r="FZZ171" s="72"/>
      <c r="GAA171" s="72"/>
      <c r="GAB171" s="72"/>
      <c r="GAC171" s="72"/>
      <c r="GAD171" s="72"/>
      <c r="GAE171" s="72"/>
      <c r="GAF171" s="72"/>
      <c r="GAG171" s="72"/>
      <c r="GAH171" s="72"/>
      <c r="GAI171" s="72"/>
      <c r="GAJ171" s="72"/>
      <c r="GAK171" s="72"/>
      <c r="GAL171" s="72"/>
      <c r="GAM171" s="72"/>
      <c r="GAN171" s="72"/>
      <c r="GAO171" s="72"/>
      <c r="GAP171" s="72"/>
      <c r="GAQ171" s="72"/>
      <c r="GAR171" s="72"/>
      <c r="GAS171" s="72"/>
      <c r="GAT171" s="72"/>
      <c r="GAU171" s="72"/>
      <c r="GAV171" s="72"/>
      <c r="GAW171" s="72"/>
      <c r="GAX171" s="72"/>
      <c r="GAY171" s="72"/>
      <c r="GAZ171" s="72"/>
      <c r="GBA171" s="72"/>
      <c r="GBB171" s="72"/>
      <c r="GBC171" s="72"/>
      <c r="GBD171" s="72"/>
      <c r="GBE171" s="72"/>
      <c r="GBF171" s="72"/>
      <c r="GBG171" s="72"/>
      <c r="GBH171" s="72"/>
      <c r="GBI171" s="72"/>
      <c r="GBJ171" s="72"/>
      <c r="GBK171" s="72"/>
      <c r="GBL171" s="72"/>
      <c r="GBM171" s="72"/>
      <c r="GBN171" s="72"/>
      <c r="GBO171" s="72"/>
      <c r="GBP171" s="72"/>
      <c r="GBQ171" s="72"/>
      <c r="GBR171" s="72"/>
      <c r="GBS171" s="72"/>
      <c r="GBT171" s="72"/>
      <c r="GBU171" s="72"/>
      <c r="GBV171" s="72"/>
      <c r="GBW171" s="72"/>
      <c r="GBX171" s="72"/>
      <c r="GBY171" s="72"/>
      <c r="GBZ171" s="72"/>
      <c r="GCA171" s="72"/>
      <c r="GCB171" s="72"/>
      <c r="GCC171" s="72"/>
      <c r="GCD171" s="72"/>
      <c r="GCE171" s="72"/>
      <c r="GCF171" s="72"/>
      <c r="GCG171" s="72"/>
      <c r="GCH171" s="72"/>
      <c r="GCI171" s="72"/>
      <c r="GCJ171" s="72"/>
      <c r="GCK171" s="72"/>
      <c r="GCL171" s="72"/>
      <c r="GCM171" s="72"/>
      <c r="GCN171" s="72"/>
      <c r="GCO171" s="72"/>
      <c r="GCP171" s="72"/>
      <c r="GCQ171" s="72"/>
      <c r="GCR171" s="72"/>
      <c r="GCS171" s="72"/>
      <c r="GCT171" s="72"/>
      <c r="GCU171" s="72"/>
      <c r="GCV171" s="72"/>
      <c r="GCW171" s="72"/>
      <c r="GCX171" s="72"/>
      <c r="GCY171" s="72"/>
      <c r="GCZ171" s="72"/>
      <c r="GDA171" s="72"/>
      <c r="GDB171" s="72"/>
      <c r="GDC171" s="72"/>
      <c r="GDD171" s="72"/>
      <c r="GDE171" s="72"/>
      <c r="GDF171" s="72"/>
      <c r="GDG171" s="72"/>
      <c r="GDH171" s="72"/>
      <c r="GDI171" s="72"/>
      <c r="GDJ171" s="72"/>
      <c r="GDK171" s="72"/>
      <c r="GDL171" s="72"/>
      <c r="GDM171" s="72"/>
      <c r="GDN171" s="72"/>
      <c r="GDO171" s="72"/>
      <c r="GDP171" s="72"/>
      <c r="GDQ171" s="72"/>
      <c r="GDR171" s="72"/>
      <c r="GDS171" s="72"/>
      <c r="GDT171" s="72"/>
      <c r="GDU171" s="72"/>
      <c r="GDV171" s="72"/>
      <c r="GDW171" s="72"/>
      <c r="GDX171" s="72"/>
      <c r="GDY171" s="72"/>
      <c r="GDZ171" s="72"/>
      <c r="GEA171" s="72"/>
      <c r="GEB171" s="72"/>
      <c r="GEC171" s="72"/>
      <c r="GED171" s="72"/>
      <c r="GEE171" s="72"/>
      <c r="GEF171" s="72"/>
      <c r="GEG171" s="72"/>
      <c r="GEH171" s="72"/>
      <c r="GEI171" s="72"/>
      <c r="GEJ171" s="72"/>
      <c r="GEK171" s="72"/>
      <c r="GEL171" s="72"/>
      <c r="GEM171" s="72"/>
      <c r="GEN171" s="72"/>
      <c r="GEO171" s="72"/>
      <c r="GEP171" s="72"/>
      <c r="GEQ171" s="72"/>
      <c r="GER171" s="72"/>
      <c r="GES171" s="72"/>
      <c r="GET171" s="72"/>
      <c r="GEU171" s="72"/>
      <c r="GEV171" s="72"/>
      <c r="GEW171" s="72"/>
      <c r="GEX171" s="72"/>
      <c r="GEY171" s="72"/>
      <c r="GEZ171" s="72"/>
      <c r="GFA171" s="72"/>
      <c r="GFB171" s="72"/>
      <c r="GFC171" s="72"/>
      <c r="GFD171" s="72"/>
      <c r="GFE171" s="72"/>
      <c r="GFF171" s="72"/>
      <c r="GFG171" s="72"/>
      <c r="GFH171" s="72"/>
      <c r="GFI171" s="72"/>
      <c r="GFJ171" s="72"/>
      <c r="GFK171" s="72"/>
      <c r="GFL171" s="72"/>
      <c r="GFM171" s="72"/>
      <c r="GFN171" s="72"/>
      <c r="GFO171" s="72"/>
      <c r="GFP171" s="72"/>
      <c r="GFQ171" s="72"/>
      <c r="GFR171" s="72"/>
      <c r="GFS171" s="72"/>
      <c r="GFT171" s="72"/>
      <c r="GFU171" s="72"/>
      <c r="GFV171" s="72"/>
      <c r="GFW171" s="72"/>
      <c r="GFX171" s="72"/>
      <c r="GFY171" s="72"/>
      <c r="GFZ171" s="72"/>
      <c r="GGA171" s="72"/>
      <c r="GGB171" s="72"/>
      <c r="GGC171" s="72"/>
      <c r="GGD171" s="72"/>
      <c r="GGE171" s="72"/>
      <c r="GGF171" s="72"/>
      <c r="GGG171" s="72"/>
      <c r="GGH171" s="72"/>
      <c r="GGI171" s="72"/>
      <c r="GGJ171" s="72"/>
      <c r="GGK171" s="72"/>
      <c r="GGL171" s="72"/>
      <c r="GGM171" s="72"/>
      <c r="GGN171" s="72"/>
      <c r="GGO171" s="72"/>
      <c r="GGP171" s="72"/>
      <c r="GGQ171" s="72"/>
      <c r="GGR171" s="72"/>
      <c r="GGS171" s="72"/>
      <c r="GGT171" s="72"/>
      <c r="GGU171" s="72"/>
      <c r="GGV171" s="72"/>
      <c r="GGW171" s="72"/>
      <c r="GGX171" s="72"/>
      <c r="GGY171" s="72"/>
      <c r="GGZ171" s="72"/>
      <c r="GHA171" s="72"/>
      <c r="GHB171" s="72"/>
      <c r="GHC171" s="72"/>
      <c r="GHD171" s="72"/>
      <c r="GHE171" s="72"/>
      <c r="GHF171" s="72"/>
      <c r="GHG171" s="72"/>
      <c r="GHH171" s="72"/>
      <c r="GHI171" s="72"/>
      <c r="GHJ171" s="72"/>
      <c r="GHK171" s="72"/>
      <c r="GHL171" s="72"/>
      <c r="GHM171" s="72"/>
      <c r="GHN171" s="72"/>
      <c r="GHO171" s="72"/>
      <c r="GHP171" s="72"/>
      <c r="GHQ171" s="72"/>
      <c r="GHR171" s="72"/>
      <c r="GHS171" s="72"/>
      <c r="GHT171" s="72"/>
      <c r="GHU171" s="72"/>
      <c r="GHV171" s="72"/>
      <c r="GHW171" s="72"/>
      <c r="GHX171" s="72"/>
      <c r="GHY171" s="72"/>
      <c r="GHZ171" s="72"/>
      <c r="GIA171" s="72"/>
      <c r="GIB171" s="72"/>
      <c r="GIC171" s="72"/>
      <c r="GID171" s="72"/>
      <c r="GIE171" s="72"/>
      <c r="GIF171" s="72"/>
      <c r="GIG171" s="72"/>
      <c r="GIH171" s="72"/>
      <c r="GII171" s="72"/>
      <c r="GIJ171" s="72"/>
      <c r="GIK171" s="72"/>
      <c r="GIL171" s="72"/>
      <c r="GIM171" s="72"/>
      <c r="GIN171" s="72"/>
      <c r="GIO171" s="72"/>
      <c r="GIP171" s="72"/>
      <c r="GIQ171" s="72"/>
      <c r="GIR171" s="72"/>
      <c r="GIS171" s="72"/>
      <c r="GIT171" s="72"/>
      <c r="GIU171" s="72"/>
      <c r="GIV171" s="72"/>
      <c r="GIW171" s="72"/>
      <c r="GIX171" s="72"/>
      <c r="GIY171" s="72"/>
      <c r="GIZ171" s="72"/>
      <c r="GJA171" s="72"/>
      <c r="GJB171" s="72"/>
      <c r="GJC171" s="72"/>
      <c r="GJD171" s="72"/>
      <c r="GJE171" s="72"/>
      <c r="GJF171" s="72"/>
      <c r="GJG171" s="72"/>
      <c r="GJH171" s="72"/>
      <c r="GJI171" s="72"/>
      <c r="GJJ171" s="72"/>
      <c r="GJK171" s="72"/>
      <c r="GJL171" s="72"/>
      <c r="GJM171" s="72"/>
      <c r="GJN171" s="72"/>
      <c r="GJO171" s="72"/>
      <c r="GJP171" s="72"/>
      <c r="GJQ171" s="72"/>
      <c r="GJR171" s="72"/>
      <c r="GJS171" s="72"/>
      <c r="GJT171" s="72"/>
      <c r="GJU171" s="72"/>
      <c r="GJV171" s="72"/>
      <c r="GJW171" s="72"/>
      <c r="GJX171" s="72"/>
      <c r="GJY171" s="72"/>
      <c r="GJZ171" s="72"/>
      <c r="GKA171" s="72"/>
      <c r="GKB171" s="72"/>
      <c r="GKC171" s="72"/>
      <c r="GKD171" s="72"/>
      <c r="GKE171" s="72"/>
      <c r="GKF171" s="72"/>
      <c r="GKG171" s="72"/>
      <c r="GKH171" s="72"/>
      <c r="GKI171" s="72"/>
      <c r="GKJ171" s="72"/>
      <c r="GKK171" s="72"/>
      <c r="GKL171" s="72"/>
      <c r="GKM171" s="72"/>
      <c r="GKN171" s="72"/>
      <c r="GKO171" s="72"/>
      <c r="GKP171" s="72"/>
      <c r="GKQ171" s="72"/>
      <c r="GKR171" s="72"/>
      <c r="GKS171" s="72"/>
      <c r="GKT171" s="72"/>
      <c r="GKU171" s="72"/>
      <c r="GKV171" s="72"/>
      <c r="GKW171" s="72"/>
      <c r="GKX171" s="72"/>
      <c r="GKY171" s="72"/>
      <c r="GKZ171" s="72"/>
      <c r="GLA171" s="72"/>
      <c r="GLB171" s="72"/>
      <c r="GLC171" s="72"/>
      <c r="GLD171" s="72"/>
      <c r="GLE171" s="72"/>
      <c r="GLF171" s="72"/>
      <c r="GLG171" s="72"/>
      <c r="GLH171" s="72"/>
      <c r="GLI171" s="72"/>
      <c r="GLJ171" s="72"/>
      <c r="GLK171" s="72"/>
      <c r="GLL171" s="72"/>
      <c r="GLM171" s="72"/>
      <c r="GLN171" s="72"/>
      <c r="GLO171" s="72"/>
      <c r="GLP171" s="72"/>
      <c r="GLQ171" s="72"/>
      <c r="GLR171" s="72"/>
      <c r="GLS171" s="72"/>
      <c r="GLT171" s="72"/>
      <c r="GLU171" s="72"/>
      <c r="GLV171" s="72"/>
      <c r="GLW171" s="72"/>
      <c r="GLX171" s="72"/>
      <c r="GLY171" s="72"/>
      <c r="GLZ171" s="72"/>
      <c r="GMA171" s="72"/>
      <c r="GMB171" s="72"/>
      <c r="GMC171" s="72"/>
      <c r="GMD171" s="72"/>
      <c r="GME171" s="72"/>
      <c r="GMF171" s="72"/>
      <c r="GMG171" s="72"/>
      <c r="GMH171" s="72"/>
      <c r="GMI171" s="72"/>
      <c r="GMJ171" s="72"/>
      <c r="GMK171" s="72"/>
      <c r="GML171" s="72"/>
      <c r="GMM171" s="72"/>
      <c r="GMN171" s="72"/>
      <c r="GMO171" s="72"/>
      <c r="GMP171" s="72"/>
      <c r="GMQ171" s="72"/>
      <c r="GMR171" s="72"/>
      <c r="GMS171" s="72"/>
      <c r="GMT171" s="72"/>
      <c r="GMU171" s="72"/>
      <c r="GMV171" s="72"/>
      <c r="GMW171" s="72"/>
      <c r="GMX171" s="72"/>
      <c r="GMY171" s="72"/>
      <c r="GMZ171" s="72"/>
      <c r="GNA171" s="72"/>
      <c r="GNB171" s="72"/>
      <c r="GNC171" s="72"/>
      <c r="GND171" s="72"/>
      <c r="GNE171" s="72"/>
      <c r="GNF171" s="72"/>
      <c r="GNG171" s="72"/>
      <c r="GNH171" s="72"/>
      <c r="GNI171" s="72"/>
      <c r="GNJ171" s="72"/>
      <c r="GNK171" s="72"/>
      <c r="GNL171" s="72"/>
      <c r="GNM171" s="72"/>
      <c r="GNN171" s="72"/>
      <c r="GNO171" s="72"/>
      <c r="GNP171" s="72"/>
      <c r="GNQ171" s="72"/>
      <c r="GNR171" s="72"/>
      <c r="GNS171" s="72"/>
      <c r="GNT171" s="72"/>
      <c r="GNU171" s="72"/>
      <c r="GNV171" s="72"/>
      <c r="GNW171" s="72"/>
      <c r="GNX171" s="72"/>
      <c r="GNY171" s="72"/>
      <c r="GNZ171" s="72"/>
      <c r="GOA171" s="72"/>
      <c r="GOB171" s="72"/>
      <c r="GOC171" s="72"/>
      <c r="GOD171" s="72"/>
      <c r="GOE171" s="72"/>
      <c r="GOF171" s="72"/>
      <c r="GOG171" s="72"/>
      <c r="GOH171" s="72"/>
      <c r="GOI171" s="72"/>
      <c r="GOJ171" s="72"/>
      <c r="GOK171" s="72"/>
      <c r="GOL171" s="72"/>
      <c r="GOM171" s="72"/>
      <c r="GON171" s="72"/>
      <c r="GOO171" s="72"/>
      <c r="GOP171" s="72"/>
      <c r="GOQ171" s="72"/>
      <c r="GOR171" s="72"/>
      <c r="GOS171" s="72"/>
      <c r="GOT171" s="72"/>
      <c r="GOU171" s="72"/>
      <c r="GOV171" s="72"/>
      <c r="GOW171" s="72"/>
      <c r="GOX171" s="72"/>
      <c r="GOY171" s="72"/>
      <c r="GOZ171" s="72"/>
      <c r="GPA171" s="72"/>
      <c r="GPB171" s="72"/>
      <c r="GPC171" s="72"/>
      <c r="GPD171" s="72"/>
      <c r="GPE171" s="72"/>
      <c r="GPF171" s="72"/>
      <c r="GPG171" s="72"/>
      <c r="GPH171" s="72"/>
      <c r="GPI171" s="72"/>
      <c r="GPJ171" s="72"/>
      <c r="GPK171" s="72"/>
      <c r="GPL171" s="72"/>
      <c r="GPM171" s="72"/>
      <c r="GPN171" s="72"/>
      <c r="GPO171" s="72"/>
      <c r="GPP171" s="72"/>
      <c r="GPQ171" s="72"/>
      <c r="GPR171" s="72"/>
      <c r="GPS171" s="72"/>
      <c r="GPT171" s="72"/>
      <c r="GPU171" s="72"/>
      <c r="GPV171" s="72"/>
      <c r="GPW171" s="72"/>
      <c r="GPX171" s="72"/>
      <c r="GPY171" s="72"/>
      <c r="GPZ171" s="72"/>
      <c r="GQA171" s="72"/>
      <c r="GQB171" s="72"/>
      <c r="GQC171" s="72"/>
      <c r="GQD171" s="72"/>
      <c r="GQE171" s="72"/>
      <c r="GQF171" s="72"/>
      <c r="GQG171" s="72"/>
      <c r="GQH171" s="72"/>
      <c r="GQI171" s="72"/>
      <c r="GQJ171" s="72"/>
      <c r="GQK171" s="72"/>
      <c r="GQL171" s="72"/>
      <c r="GQM171" s="72"/>
      <c r="GQN171" s="72"/>
      <c r="GQO171" s="72"/>
      <c r="GQP171" s="72"/>
      <c r="GQQ171" s="72"/>
      <c r="GQR171" s="72"/>
      <c r="GQS171" s="72"/>
      <c r="GQT171" s="72"/>
      <c r="GQU171" s="72"/>
      <c r="GQV171" s="72"/>
      <c r="GQW171" s="72"/>
      <c r="GQX171" s="72"/>
      <c r="GQY171" s="72"/>
      <c r="GQZ171" s="72"/>
      <c r="GRA171" s="72"/>
      <c r="GRB171" s="72"/>
      <c r="GRC171" s="72"/>
      <c r="GRD171" s="72"/>
      <c r="GRE171" s="72"/>
      <c r="GRF171" s="72"/>
      <c r="GRG171" s="72"/>
      <c r="GRH171" s="72"/>
      <c r="GRI171" s="72"/>
      <c r="GRJ171" s="72"/>
      <c r="GRK171" s="72"/>
      <c r="GRL171" s="72"/>
      <c r="GRM171" s="72"/>
      <c r="GRN171" s="72"/>
      <c r="GRO171" s="72"/>
      <c r="GRP171" s="72"/>
      <c r="GRQ171" s="72"/>
      <c r="GRR171" s="72"/>
      <c r="GRS171" s="72"/>
      <c r="GRT171" s="72"/>
      <c r="GRU171" s="72"/>
      <c r="GRV171" s="72"/>
      <c r="GRW171" s="72"/>
      <c r="GRX171" s="72"/>
      <c r="GRY171" s="72"/>
      <c r="GRZ171" s="72"/>
      <c r="GSA171" s="72"/>
      <c r="GSB171" s="72"/>
      <c r="GSC171" s="72"/>
      <c r="GSD171" s="72"/>
      <c r="GSE171" s="72"/>
      <c r="GSF171" s="72"/>
      <c r="GSG171" s="72"/>
      <c r="GSH171" s="72"/>
      <c r="GSI171" s="72"/>
      <c r="GSJ171" s="72"/>
      <c r="GSK171" s="72"/>
      <c r="GSL171" s="72"/>
      <c r="GSM171" s="72"/>
      <c r="GSN171" s="72"/>
      <c r="GSO171" s="72"/>
      <c r="GSP171" s="72"/>
      <c r="GSQ171" s="72"/>
      <c r="GSR171" s="72"/>
      <c r="GSS171" s="72"/>
      <c r="GST171" s="72"/>
      <c r="GSU171" s="72"/>
      <c r="GSV171" s="72"/>
      <c r="GSW171" s="72"/>
      <c r="GSX171" s="72"/>
      <c r="GSY171" s="72"/>
      <c r="GSZ171" s="72"/>
      <c r="GTA171" s="72"/>
      <c r="GTB171" s="72"/>
      <c r="GTC171" s="72"/>
      <c r="GTD171" s="72"/>
      <c r="GTE171" s="72"/>
      <c r="GTF171" s="72"/>
      <c r="GTG171" s="72"/>
      <c r="GTH171" s="72"/>
      <c r="GTI171" s="72"/>
      <c r="GTJ171" s="72"/>
      <c r="GTK171" s="72"/>
      <c r="GTL171" s="72"/>
      <c r="GTM171" s="72"/>
      <c r="GTN171" s="72"/>
      <c r="GTO171" s="72"/>
      <c r="GTP171" s="72"/>
      <c r="GTQ171" s="72"/>
      <c r="GTR171" s="72"/>
      <c r="GTS171" s="72"/>
      <c r="GTT171" s="72"/>
      <c r="GTU171" s="72"/>
      <c r="GTV171" s="72"/>
      <c r="GTW171" s="72"/>
      <c r="GTX171" s="72"/>
      <c r="GTY171" s="72"/>
      <c r="GTZ171" s="72"/>
      <c r="GUA171" s="72"/>
      <c r="GUB171" s="72"/>
      <c r="GUC171" s="72"/>
      <c r="GUD171" s="72"/>
      <c r="GUE171" s="72"/>
      <c r="GUF171" s="72"/>
      <c r="GUG171" s="72"/>
      <c r="GUH171" s="72"/>
      <c r="GUI171" s="72"/>
      <c r="GUJ171" s="72"/>
      <c r="GUK171" s="72"/>
      <c r="GUL171" s="72"/>
      <c r="GUM171" s="72"/>
      <c r="GUN171" s="72"/>
      <c r="GUO171" s="72"/>
      <c r="GUP171" s="72"/>
      <c r="GUQ171" s="72"/>
      <c r="GUR171" s="72"/>
      <c r="GUS171" s="72"/>
      <c r="GUT171" s="72"/>
      <c r="GUU171" s="72"/>
      <c r="GUV171" s="72"/>
      <c r="GUW171" s="72"/>
      <c r="GUX171" s="72"/>
      <c r="GUY171" s="72"/>
      <c r="GUZ171" s="72"/>
      <c r="GVA171" s="72"/>
      <c r="GVB171" s="72"/>
      <c r="GVC171" s="72"/>
      <c r="GVD171" s="72"/>
      <c r="GVE171" s="72"/>
      <c r="GVF171" s="72"/>
      <c r="GVG171" s="72"/>
      <c r="GVH171" s="72"/>
      <c r="GVI171" s="72"/>
      <c r="GVJ171" s="72"/>
      <c r="GVK171" s="72"/>
      <c r="GVL171" s="72"/>
      <c r="GVM171" s="72"/>
      <c r="GVN171" s="72"/>
      <c r="GVO171" s="72"/>
      <c r="GVP171" s="72"/>
      <c r="GVQ171" s="72"/>
      <c r="GVR171" s="72"/>
      <c r="GVS171" s="72"/>
      <c r="GVT171" s="72"/>
      <c r="GVU171" s="72"/>
      <c r="GVV171" s="72"/>
      <c r="GVW171" s="72"/>
      <c r="GVX171" s="72"/>
      <c r="GVY171" s="72"/>
      <c r="GVZ171" s="72"/>
      <c r="GWA171" s="72"/>
      <c r="GWB171" s="72"/>
      <c r="GWC171" s="72"/>
      <c r="GWD171" s="72"/>
      <c r="GWE171" s="72"/>
      <c r="GWF171" s="72"/>
      <c r="GWG171" s="72"/>
      <c r="GWH171" s="72"/>
      <c r="GWI171" s="72"/>
      <c r="GWJ171" s="72"/>
      <c r="GWK171" s="72"/>
      <c r="GWL171" s="72"/>
      <c r="GWM171" s="72"/>
      <c r="GWN171" s="72"/>
      <c r="GWO171" s="72"/>
      <c r="GWP171" s="72"/>
      <c r="GWQ171" s="72"/>
      <c r="GWR171" s="72"/>
      <c r="GWS171" s="72"/>
      <c r="GWT171" s="72"/>
      <c r="GWU171" s="72"/>
      <c r="GWV171" s="72"/>
      <c r="GWW171" s="72"/>
      <c r="GWX171" s="72"/>
      <c r="GWY171" s="72"/>
      <c r="GWZ171" s="72"/>
      <c r="GXA171" s="72"/>
      <c r="GXB171" s="72"/>
      <c r="GXC171" s="72"/>
      <c r="GXD171" s="72"/>
      <c r="GXE171" s="72"/>
      <c r="GXF171" s="72"/>
      <c r="GXG171" s="72"/>
      <c r="GXH171" s="72"/>
      <c r="GXI171" s="72"/>
      <c r="GXJ171" s="72"/>
      <c r="GXK171" s="72"/>
      <c r="GXL171" s="72"/>
      <c r="GXM171" s="72"/>
      <c r="GXN171" s="72"/>
      <c r="GXO171" s="72"/>
      <c r="GXP171" s="72"/>
      <c r="GXQ171" s="72"/>
      <c r="GXR171" s="72"/>
      <c r="GXS171" s="72"/>
      <c r="GXT171" s="72"/>
      <c r="GXU171" s="72"/>
      <c r="GXV171" s="72"/>
      <c r="GXW171" s="72"/>
      <c r="GXX171" s="72"/>
      <c r="GXY171" s="72"/>
      <c r="GXZ171" s="72"/>
      <c r="GYA171" s="72"/>
      <c r="GYB171" s="72"/>
      <c r="GYC171" s="72"/>
      <c r="GYD171" s="72"/>
      <c r="GYE171" s="72"/>
      <c r="GYF171" s="72"/>
      <c r="GYG171" s="72"/>
      <c r="GYH171" s="72"/>
      <c r="GYI171" s="72"/>
      <c r="GYJ171" s="72"/>
      <c r="GYK171" s="72"/>
      <c r="GYL171" s="72"/>
      <c r="GYM171" s="72"/>
      <c r="GYN171" s="72"/>
      <c r="GYO171" s="72"/>
      <c r="GYP171" s="72"/>
      <c r="GYQ171" s="72"/>
      <c r="GYR171" s="72"/>
      <c r="GYS171" s="72"/>
      <c r="GYT171" s="72"/>
      <c r="GYU171" s="72"/>
      <c r="GYV171" s="72"/>
      <c r="GYW171" s="72"/>
      <c r="GYX171" s="72"/>
      <c r="GYY171" s="72"/>
      <c r="GYZ171" s="72"/>
      <c r="GZA171" s="72"/>
      <c r="GZB171" s="72"/>
      <c r="GZC171" s="72"/>
      <c r="GZD171" s="72"/>
      <c r="GZE171" s="72"/>
      <c r="GZF171" s="72"/>
      <c r="GZG171" s="72"/>
      <c r="GZH171" s="72"/>
      <c r="GZI171" s="72"/>
      <c r="GZJ171" s="72"/>
      <c r="GZK171" s="72"/>
      <c r="GZL171" s="72"/>
      <c r="GZM171" s="72"/>
      <c r="GZN171" s="72"/>
      <c r="GZO171" s="72"/>
      <c r="GZP171" s="72"/>
      <c r="GZQ171" s="72"/>
      <c r="GZR171" s="72"/>
      <c r="GZS171" s="72"/>
      <c r="GZT171" s="72"/>
      <c r="GZU171" s="72"/>
      <c r="GZV171" s="72"/>
      <c r="GZW171" s="72"/>
      <c r="GZX171" s="72"/>
      <c r="GZY171" s="72"/>
      <c r="GZZ171" s="72"/>
      <c r="HAA171" s="72"/>
      <c r="HAB171" s="72"/>
      <c r="HAC171" s="72"/>
      <c r="HAD171" s="72"/>
      <c r="HAE171" s="72"/>
      <c r="HAF171" s="72"/>
      <c r="HAG171" s="72"/>
      <c r="HAH171" s="72"/>
      <c r="HAI171" s="72"/>
      <c r="HAJ171" s="72"/>
      <c r="HAK171" s="72"/>
      <c r="HAL171" s="72"/>
      <c r="HAM171" s="72"/>
      <c r="HAN171" s="72"/>
      <c r="HAO171" s="72"/>
      <c r="HAP171" s="72"/>
      <c r="HAQ171" s="72"/>
      <c r="HAR171" s="72"/>
      <c r="HAS171" s="72"/>
      <c r="HAT171" s="72"/>
      <c r="HAU171" s="72"/>
      <c r="HAV171" s="72"/>
      <c r="HAW171" s="72"/>
      <c r="HAX171" s="72"/>
      <c r="HAY171" s="72"/>
      <c r="HAZ171" s="72"/>
      <c r="HBA171" s="72"/>
      <c r="HBB171" s="72"/>
      <c r="HBC171" s="72"/>
      <c r="HBD171" s="72"/>
      <c r="HBE171" s="72"/>
      <c r="HBF171" s="72"/>
      <c r="HBG171" s="72"/>
      <c r="HBH171" s="72"/>
      <c r="HBI171" s="72"/>
      <c r="HBJ171" s="72"/>
      <c r="HBK171" s="72"/>
      <c r="HBL171" s="72"/>
      <c r="HBM171" s="72"/>
      <c r="HBN171" s="72"/>
      <c r="HBO171" s="72"/>
      <c r="HBP171" s="72"/>
      <c r="HBQ171" s="72"/>
      <c r="HBR171" s="72"/>
      <c r="HBS171" s="72"/>
      <c r="HBT171" s="72"/>
      <c r="HBU171" s="72"/>
      <c r="HBV171" s="72"/>
      <c r="HBW171" s="72"/>
      <c r="HBX171" s="72"/>
      <c r="HBY171" s="72"/>
      <c r="HBZ171" s="72"/>
      <c r="HCA171" s="72"/>
      <c r="HCB171" s="72"/>
      <c r="HCC171" s="72"/>
      <c r="HCD171" s="72"/>
      <c r="HCE171" s="72"/>
      <c r="HCF171" s="72"/>
      <c r="HCG171" s="72"/>
      <c r="HCH171" s="72"/>
      <c r="HCI171" s="72"/>
      <c r="HCJ171" s="72"/>
      <c r="HCK171" s="72"/>
      <c r="HCL171" s="72"/>
      <c r="HCM171" s="72"/>
      <c r="HCN171" s="72"/>
      <c r="HCO171" s="72"/>
      <c r="HCP171" s="72"/>
      <c r="HCQ171" s="72"/>
      <c r="HCR171" s="72"/>
      <c r="HCS171" s="72"/>
      <c r="HCT171" s="72"/>
      <c r="HCU171" s="72"/>
      <c r="HCV171" s="72"/>
      <c r="HCW171" s="72"/>
      <c r="HCX171" s="72"/>
      <c r="HCY171" s="72"/>
      <c r="HCZ171" s="72"/>
      <c r="HDA171" s="72"/>
      <c r="HDB171" s="72"/>
      <c r="HDC171" s="72"/>
      <c r="HDD171" s="72"/>
      <c r="HDE171" s="72"/>
      <c r="HDF171" s="72"/>
      <c r="HDG171" s="72"/>
      <c r="HDH171" s="72"/>
      <c r="HDI171" s="72"/>
      <c r="HDJ171" s="72"/>
      <c r="HDK171" s="72"/>
      <c r="HDL171" s="72"/>
      <c r="HDM171" s="72"/>
      <c r="HDN171" s="72"/>
      <c r="HDO171" s="72"/>
      <c r="HDP171" s="72"/>
      <c r="HDQ171" s="72"/>
      <c r="HDR171" s="72"/>
      <c r="HDS171" s="72"/>
      <c r="HDT171" s="72"/>
      <c r="HDU171" s="72"/>
      <c r="HDV171" s="72"/>
      <c r="HDW171" s="72"/>
      <c r="HDX171" s="72"/>
      <c r="HDY171" s="72"/>
      <c r="HDZ171" s="72"/>
      <c r="HEA171" s="72"/>
      <c r="HEB171" s="72"/>
      <c r="HEC171" s="72"/>
      <c r="HED171" s="72"/>
      <c r="HEE171" s="72"/>
      <c r="HEF171" s="72"/>
      <c r="HEG171" s="72"/>
      <c r="HEH171" s="72"/>
      <c r="HEI171" s="72"/>
      <c r="HEJ171" s="72"/>
      <c r="HEK171" s="72"/>
      <c r="HEL171" s="72"/>
      <c r="HEM171" s="72"/>
      <c r="HEN171" s="72"/>
      <c r="HEO171" s="72"/>
      <c r="HEP171" s="72"/>
      <c r="HEQ171" s="72"/>
      <c r="HER171" s="72"/>
      <c r="HES171" s="72"/>
      <c r="HET171" s="72"/>
      <c r="HEU171" s="72"/>
      <c r="HEV171" s="72"/>
      <c r="HEW171" s="72"/>
      <c r="HEX171" s="72"/>
      <c r="HEY171" s="72"/>
      <c r="HEZ171" s="72"/>
      <c r="HFA171" s="72"/>
      <c r="HFB171" s="72"/>
      <c r="HFC171" s="72"/>
      <c r="HFD171" s="72"/>
      <c r="HFE171" s="72"/>
      <c r="HFF171" s="72"/>
      <c r="HFG171" s="72"/>
      <c r="HFH171" s="72"/>
      <c r="HFI171" s="72"/>
      <c r="HFJ171" s="72"/>
      <c r="HFK171" s="72"/>
      <c r="HFL171" s="72"/>
      <c r="HFM171" s="72"/>
      <c r="HFN171" s="72"/>
      <c r="HFO171" s="72"/>
      <c r="HFP171" s="72"/>
      <c r="HFQ171" s="72"/>
      <c r="HFR171" s="72"/>
      <c r="HFS171" s="72"/>
      <c r="HFT171" s="72"/>
      <c r="HFU171" s="72"/>
      <c r="HFV171" s="72"/>
      <c r="HFW171" s="72"/>
      <c r="HFX171" s="72"/>
      <c r="HFY171" s="72"/>
      <c r="HFZ171" s="72"/>
      <c r="HGA171" s="72"/>
      <c r="HGB171" s="72"/>
      <c r="HGC171" s="72"/>
      <c r="HGD171" s="72"/>
      <c r="HGE171" s="72"/>
      <c r="HGF171" s="72"/>
      <c r="HGG171" s="72"/>
      <c r="HGH171" s="72"/>
      <c r="HGI171" s="72"/>
      <c r="HGJ171" s="72"/>
      <c r="HGK171" s="72"/>
      <c r="HGL171" s="72"/>
      <c r="HGM171" s="72"/>
      <c r="HGN171" s="72"/>
      <c r="HGO171" s="72"/>
      <c r="HGP171" s="72"/>
      <c r="HGQ171" s="72"/>
      <c r="HGR171" s="72"/>
      <c r="HGS171" s="72"/>
      <c r="HGT171" s="72"/>
      <c r="HGU171" s="72"/>
      <c r="HGV171" s="72"/>
      <c r="HGW171" s="72"/>
      <c r="HGX171" s="72"/>
      <c r="HGY171" s="72"/>
      <c r="HGZ171" s="72"/>
      <c r="HHA171" s="72"/>
      <c r="HHB171" s="72"/>
      <c r="HHC171" s="72"/>
      <c r="HHD171" s="72"/>
      <c r="HHE171" s="72"/>
      <c r="HHF171" s="72"/>
      <c r="HHG171" s="72"/>
      <c r="HHH171" s="72"/>
      <c r="HHI171" s="72"/>
      <c r="HHJ171" s="72"/>
      <c r="HHK171" s="72"/>
      <c r="HHL171" s="72"/>
      <c r="HHM171" s="72"/>
      <c r="HHN171" s="72"/>
      <c r="HHO171" s="72"/>
      <c r="HHP171" s="72"/>
      <c r="HHQ171" s="72"/>
      <c r="HHR171" s="72"/>
      <c r="HHS171" s="72"/>
      <c r="HHT171" s="72"/>
      <c r="HHU171" s="72"/>
      <c r="HHV171" s="72"/>
      <c r="HHW171" s="72"/>
      <c r="HHX171" s="72"/>
      <c r="HHY171" s="72"/>
      <c r="HHZ171" s="72"/>
      <c r="HIA171" s="72"/>
      <c r="HIB171" s="72"/>
      <c r="HIC171" s="72"/>
      <c r="HID171" s="72"/>
      <c r="HIE171" s="72"/>
      <c r="HIF171" s="72"/>
      <c r="HIG171" s="72"/>
      <c r="HIH171" s="72"/>
      <c r="HII171" s="72"/>
      <c r="HIJ171" s="72"/>
      <c r="HIK171" s="72"/>
      <c r="HIL171" s="72"/>
      <c r="HIM171" s="72"/>
      <c r="HIN171" s="72"/>
      <c r="HIO171" s="72"/>
      <c r="HIP171" s="72"/>
      <c r="HIQ171" s="72"/>
      <c r="HIR171" s="72"/>
      <c r="HIS171" s="72"/>
      <c r="HIT171" s="72"/>
      <c r="HIU171" s="72"/>
      <c r="HIV171" s="72"/>
      <c r="HIW171" s="72"/>
      <c r="HIX171" s="72"/>
      <c r="HIY171" s="72"/>
      <c r="HIZ171" s="72"/>
      <c r="HJA171" s="72"/>
      <c r="HJB171" s="72"/>
      <c r="HJC171" s="72"/>
      <c r="HJD171" s="72"/>
      <c r="HJE171" s="72"/>
      <c r="HJF171" s="72"/>
      <c r="HJG171" s="72"/>
      <c r="HJH171" s="72"/>
      <c r="HJI171" s="72"/>
      <c r="HJJ171" s="72"/>
      <c r="HJK171" s="72"/>
      <c r="HJL171" s="72"/>
      <c r="HJM171" s="72"/>
      <c r="HJN171" s="72"/>
      <c r="HJO171" s="72"/>
      <c r="HJP171" s="72"/>
      <c r="HJQ171" s="72"/>
      <c r="HJR171" s="72"/>
      <c r="HJS171" s="72"/>
      <c r="HJT171" s="72"/>
      <c r="HJU171" s="72"/>
      <c r="HJV171" s="72"/>
      <c r="HJW171" s="72"/>
      <c r="HJX171" s="72"/>
      <c r="HJY171" s="72"/>
      <c r="HJZ171" s="72"/>
      <c r="HKA171" s="72"/>
      <c r="HKB171" s="72"/>
      <c r="HKC171" s="72"/>
      <c r="HKD171" s="72"/>
      <c r="HKE171" s="72"/>
      <c r="HKF171" s="72"/>
      <c r="HKG171" s="72"/>
      <c r="HKH171" s="72"/>
      <c r="HKI171" s="72"/>
      <c r="HKJ171" s="72"/>
      <c r="HKK171" s="72"/>
      <c r="HKL171" s="72"/>
      <c r="HKM171" s="72"/>
      <c r="HKN171" s="72"/>
      <c r="HKO171" s="72"/>
      <c r="HKP171" s="72"/>
      <c r="HKQ171" s="72"/>
      <c r="HKR171" s="72"/>
      <c r="HKS171" s="72"/>
      <c r="HKT171" s="72"/>
      <c r="HKU171" s="72"/>
      <c r="HKV171" s="72"/>
      <c r="HKW171" s="72"/>
      <c r="HKX171" s="72"/>
      <c r="HKY171" s="72"/>
      <c r="HKZ171" s="72"/>
      <c r="HLA171" s="72"/>
      <c r="HLB171" s="72"/>
      <c r="HLC171" s="72"/>
      <c r="HLD171" s="72"/>
      <c r="HLE171" s="72"/>
      <c r="HLF171" s="72"/>
      <c r="HLG171" s="72"/>
      <c r="HLH171" s="72"/>
      <c r="HLI171" s="72"/>
      <c r="HLJ171" s="72"/>
      <c r="HLK171" s="72"/>
      <c r="HLL171" s="72"/>
      <c r="HLM171" s="72"/>
      <c r="HLN171" s="72"/>
      <c r="HLO171" s="72"/>
      <c r="HLP171" s="72"/>
      <c r="HLQ171" s="72"/>
      <c r="HLR171" s="72"/>
      <c r="HLS171" s="72"/>
      <c r="HLT171" s="72"/>
      <c r="HLU171" s="72"/>
      <c r="HLV171" s="72"/>
      <c r="HLW171" s="72"/>
      <c r="HLX171" s="72"/>
      <c r="HLY171" s="72"/>
      <c r="HLZ171" s="72"/>
      <c r="HMA171" s="72"/>
      <c r="HMB171" s="72"/>
      <c r="HMC171" s="72"/>
      <c r="HMD171" s="72"/>
      <c r="HME171" s="72"/>
      <c r="HMF171" s="72"/>
      <c r="HMG171" s="72"/>
      <c r="HMH171" s="72"/>
      <c r="HMI171" s="72"/>
      <c r="HMJ171" s="72"/>
      <c r="HMK171" s="72"/>
      <c r="HML171" s="72"/>
      <c r="HMM171" s="72"/>
      <c r="HMN171" s="72"/>
      <c r="HMO171" s="72"/>
      <c r="HMP171" s="72"/>
      <c r="HMQ171" s="72"/>
      <c r="HMR171" s="72"/>
      <c r="HMS171" s="72"/>
      <c r="HMT171" s="72"/>
      <c r="HMU171" s="72"/>
      <c r="HMV171" s="72"/>
      <c r="HMW171" s="72"/>
      <c r="HMX171" s="72"/>
      <c r="HMY171" s="72"/>
      <c r="HMZ171" s="72"/>
      <c r="HNA171" s="72"/>
      <c r="HNB171" s="72"/>
      <c r="HNC171" s="72"/>
      <c r="HND171" s="72"/>
      <c r="HNE171" s="72"/>
      <c r="HNF171" s="72"/>
      <c r="HNG171" s="72"/>
      <c r="HNH171" s="72"/>
      <c r="HNI171" s="72"/>
      <c r="HNJ171" s="72"/>
      <c r="HNK171" s="72"/>
      <c r="HNL171" s="72"/>
      <c r="HNM171" s="72"/>
      <c r="HNN171" s="72"/>
      <c r="HNO171" s="72"/>
      <c r="HNP171" s="72"/>
      <c r="HNQ171" s="72"/>
      <c r="HNR171" s="72"/>
      <c r="HNS171" s="72"/>
      <c r="HNT171" s="72"/>
      <c r="HNU171" s="72"/>
      <c r="HNV171" s="72"/>
      <c r="HNW171" s="72"/>
      <c r="HNX171" s="72"/>
      <c r="HNY171" s="72"/>
      <c r="HNZ171" s="72"/>
      <c r="HOA171" s="72"/>
      <c r="HOB171" s="72"/>
      <c r="HOC171" s="72"/>
      <c r="HOD171" s="72"/>
      <c r="HOE171" s="72"/>
      <c r="HOF171" s="72"/>
      <c r="HOG171" s="72"/>
      <c r="HOH171" s="72"/>
      <c r="HOI171" s="72"/>
      <c r="HOJ171" s="72"/>
      <c r="HOK171" s="72"/>
      <c r="HOL171" s="72"/>
      <c r="HOM171" s="72"/>
      <c r="HON171" s="72"/>
      <c r="HOO171" s="72"/>
      <c r="HOP171" s="72"/>
      <c r="HOQ171" s="72"/>
      <c r="HOR171" s="72"/>
      <c r="HOS171" s="72"/>
      <c r="HOT171" s="72"/>
      <c r="HOU171" s="72"/>
      <c r="HOV171" s="72"/>
      <c r="HOW171" s="72"/>
      <c r="HOX171" s="72"/>
      <c r="HOY171" s="72"/>
      <c r="HOZ171" s="72"/>
      <c r="HPA171" s="72"/>
      <c r="HPB171" s="72"/>
      <c r="HPC171" s="72"/>
      <c r="HPD171" s="72"/>
      <c r="HPE171" s="72"/>
      <c r="HPF171" s="72"/>
      <c r="HPG171" s="72"/>
      <c r="HPH171" s="72"/>
      <c r="HPI171" s="72"/>
      <c r="HPJ171" s="72"/>
      <c r="HPK171" s="72"/>
      <c r="HPL171" s="72"/>
      <c r="HPM171" s="72"/>
      <c r="HPN171" s="72"/>
      <c r="HPO171" s="72"/>
      <c r="HPP171" s="72"/>
      <c r="HPQ171" s="72"/>
      <c r="HPR171" s="72"/>
      <c r="HPS171" s="72"/>
      <c r="HPT171" s="72"/>
      <c r="HPU171" s="72"/>
      <c r="HPV171" s="72"/>
      <c r="HPW171" s="72"/>
      <c r="HPX171" s="72"/>
      <c r="HPY171" s="72"/>
      <c r="HPZ171" s="72"/>
      <c r="HQA171" s="72"/>
      <c r="HQB171" s="72"/>
      <c r="HQC171" s="72"/>
      <c r="HQD171" s="72"/>
      <c r="HQE171" s="72"/>
      <c r="HQF171" s="72"/>
      <c r="HQG171" s="72"/>
      <c r="HQH171" s="72"/>
      <c r="HQI171" s="72"/>
      <c r="HQJ171" s="72"/>
      <c r="HQK171" s="72"/>
      <c r="HQL171" s="72"/>
      <c r="HQM171" s="72"/>
      <c r="HQN171" s="72"/>
      <c r="HQO171" s="72"/>
      <c r="HQP171" s="72"/>
      <c r="HQQ171" s="72"/>
      <c r="HQR171" s="72"/>
      <c r="HQS171" s="72"/>
      <c r="HQT171" s="72"/>
      <c r="HQU171" s="72"/>
      <c r="HQV171" s="72"/>
      <c r="HQW171" s="72"/>
      <c r="HQX171" s="72"/>
      <c r="HQY171" s="72"/>
      <c r="HQZ171" s="72"/>
      <c r="HRA171" s="72"/>
      <c r="HRB171" s="72"/>
      <c r="HRC171" s="72"/>
      <c r="HRD171" s="72"/>
      <c r="HRE171" s="72"/>
      <c r="HRF171" s="72"/>
      <c r="HRG171" s="72"/>
      <c r="HRH171" s="72"/>
      <c r="HRI171" s="72"/>
      <c r="HRJ171" s="72"/>
      <c r="HRK171" s="72"/>
      <c r="HRL171" s="72"/>
      <c r="HRM171" s="72"/>
      <c r="HRN171" s="72"/>
      <c r="HRO171" s="72"/>
      <c r="HRP171" s="72"/>
      <c r="HRQ171" s="72"/>
      <c r="HRR171" s="72"/>
      <c r="HRS171" s="72"/>
      <c r="HRT171" s="72"/>
      <c r="HRU171" s="72"/>
      <c r="HRV171" s="72"/>
      <c r="HRW171" s="72"/>
      <c r="HRX171" s="72"/>
      <c r="HRY171" s="72"/>
      <c r="HRZ171" s="72"/>
      <c r="HSA171" s="72"/>
      <c r="HSB171" s="72"/>
      <c r="HSC171" s="72"/>
      <c r="HSD171" s="72"/>
      <c r="HSE171" s="72"/>
      <c r="HSF171" s="72"/>
      <c r="HSG171" s="72"/>
      <c r="HSH171" s="72"/>
      <c r="HSI171" s="72"/>
      <c r="HSJ171" s="72"/>
      <c r="HSK171" s="72"/>
      <c r="HSL171" s="72"/>
      <c r="HSM171" s="72"/>
      <c r="HSN171" s="72"/>
      <c r="HSO171" s="72"/>
      <c r="HSP171" s="72"/>
      <c r="HSQ171" s="72"/>
      <c r="HSR171" s="72"/>
      <c r="HSS171" s="72"/>
      <c r="HST171" s="72"/>
      <c r="HSU171" s="72"/>
      <c r="HSV171" s="72"/>
      <c r="HSW171" s="72"/>
      <c r="HSX171" s="72"/>
      <c r="HSY171" s="72"/>
      <c r="HSZ171" s="72"/>
      <c r="HTA171" s="72"/>
      <c r="HTB171" s="72"/>
      <c r="HTC171" s="72"/>
      <c r="HTD171" s="72"/>
      <c r="HTE171" s="72"/>
      <c r="HTF171" s="72"/>
      <c r="HTG171" s="72"/>
      <c r="HTH171" s="72"/>
      <c r="HTI171" s="72"/>
      <c r="HTJ171" s="72"/>
      <c r="HTK171" s="72"/>
      <c r="HTL171" s="72"/>
      <c r="HTM171" s="72"/>
      <c r="HTN171" s="72"/>
      <c r="HTO171" s="72"/>
      <c r="HTP171" s="72"/>
      <c r="HTQ171" s="72"/>
      <c r="HTR171" s="72"/>
      <c r="HTS171" s="72"/>
      <c r="HTT171" s="72"/>
      <c r="HTU171" s="72"/>
      <c r="HTV171" s="72"/>
      <c r="HTW171" s="72"/>
      <c r="HTX171" s="72"/>
      <c r="HTY171" s="72"/>
      <c r="HTZ171" s="72"/>
      <c r="HUA171" s="72"/>
      <c r="HUB171" s="72"/>
      <c r="HUC171" s="72"/>
      <c r="HUD171" s="72"/>
      <c r="HUE171" s="72"/>
      <c r="HUF171" s="72"/>
      <c r="HUG171" s="72"/>
      <c r="HUH171" s="72"/>
      <c r="HUI171" s="72"/>
      <c r="HUJ171" s="72"/>
      <c r="HUK171" s="72"/>
      <c r="HUL171" s="72"/>
      <c r="HUM171" s="72"/>
      <c r="HUN171" s="72"/>
      <c r="HUO171" s="72"/>
      <c r="HUP171" s="72"/>
      <c r="HUQ171" s="72"/>
      <c r="HUR171" s="72"/>
      <c r="HUS171" s="72"/>
      <c r="HUT171" s="72"/>
      <c r="HUU171" s="72"/>
      <c r="HUV171" s="72"/>
      <c r="HUW171" s="72"/>
      <c r="HUX171" s="72"/>
      <c r="HUY171" s="72"/>
      <c r="HUZ171" s="72"/>
      <c r="HVA171" s="72"/>
      <c r="HVB171" s="72"/>
      <c r="HVC171" s="72"/>
      <c r="HVD171" s="72"/>
      <c r="HVE171" s="72"/>
      <c r="HVF171" s="72"/>
      <c r="HVG171" s="72"/>
      <c r="HVH171" s="72"/>
      <c r="HVI171" s="72"/>
      <c r="HVJ171" s="72"/>
      <c r="HVK171" s="72"/>
      <c r="HVL171" s="72"/>
      <c r="HVM171" s="72"/>
      <c r="HVN171" s="72"/>
      <c r="HVO171" s="72"/>
      <c r="HVP171" s="72"/>
      <c r="HVQ171" s="72"/>
      <c r="HVR171" s="72"/>
      <c r="HVS171" s="72"/>
      <c r="HVT171" s="72"/>
      <c r="HVU171" s="72"/>
      <c r="HVV171" s="72"/>
      <c r="HVW171" s="72"/>
      <c r="HVX171" s="72"/>
      <c r="HVY171" s="72"/>
      <c r="HVZ171" s="72"/>
      <c r="HWA171" s="72"/>
      <c r="HWB171" s="72"/>
      <c r="HWC171" s="72"/>
      <c r="HWD171" s="72"/>
      <c r="HWE171" s="72"/>
      <c r="HWF171" s="72"/>
      <c r="HWG171" s="72"/>
      <c r="HWH171" s="72"/>
      <c r="HWI171" s="72"/>
      <c r="HWJ171" s="72"/>
      <c r="HWK171" s="72"/>
      <c r="HWL171" s="72"/>
      <c r="HWM171" s="72"/>
      <c r="HWN171" s="72"/>
      <c r="HWO171" s="72"/>
      <c r="HWP171" s="72"/>
      <c r="HWQ171" s="72"/>
      <c r="HWR171" s="72"/>
      <c r="HWS171" s="72"/>
      <c r="HWT171" s="72"/>
      <c r="HWU171" s="72"/>
      <c r="HWV171" s="72"/>
      <c r="HWW171" s="72"/>
      <c r="HWX171" s="72"/>
      <c r="HWY171" s="72"/>
      <c r="HWZ171" s="72"/>
      <c r="HXA171" s="72"/>
      <c r="HXB171" s="72"/>
      <c r="HXC171" s="72"/>
      <c r="HXD171" s="72"/>
      <c r="HXE171" s="72"/>
      <c r="HXF171" s="72"/>
      <c r="HXG171" s="72"/>
      <c r="HXH171" s="72"/>
      <c r="HXI171" s="72"/>
      <c r="HXJ171" s="72"/>
      <c r="HXK171" s="72"/>
      <c r="HXL171" s="72"/>
      <c r="HXM171" s="72"/>
      <c r="HXN171" s="72"/>
      <c r="HXO171" s="72"/>
      <c r="HXP171" s="72"/>
      <c r="HXQ171" s="72"/>
      <c r="HXR171" s="72"/>
      <c r="HXS171" s="72"/>
      <c r="HXT171" s="72"/>
      <c r="HXU171" s="72"/>
      <c r="HXV171" s="72"/>
      <c r="HXW171" s="72"/>
      <c r="HXX171" s="72"/>
      <c r="HXY171" s="72"/>
      <c r="HXZ171" s="72"/>
      <c r="HYA171" s="72"/>
      <c r="HYB171" s="72"/>
      <c r="HYC171" s="72"/>
      <c r="HYD171" s="72"/>
      <c r="HYE171" s="72"/>
      <c r="HYF171" s="72"/>
      <c r="HYG171" s="72"/>
      <c r="HYH171" s="72"/>
      <c r="HYI171" s="72"/>
      <c r="HYJ171" s="72"/>
      <c r="HYK171" s="72"/>
      <c r="HYL171" s="72"/>
      <c r="HYM171" s="72"/>
      <c r="HYN171" s="72"/>
      <c r="HYO171" s="72"/>
      <c r="HYP171" s="72"/>
      <c r="HYQ171" s="72"/>
      <c r="HYR171" s="72"/>
      <c r="HYS171" s="72"/>
      <c r="HYT171" s="72"/>
      <c r="HYU171" s="72"/>
      <c r="HYV171" s="72"/>
      <c r="HYW171" s="72"/>
      <c r="HYX171" s="72"/>
      <c r="HYY171" s="72"/>
      <c r="HYZ171" s="72"/>
      <c r="HZA171" s="72"/>
      <c r="HZB171" s="72"/>
      <c r="HZC171" s="72"/>
      <c r="HZD171" s="72"/>
      <c r="HZE171" s="72"/>
      <c r="HZF171" s="72"/>
      <c r="HZG171" s="72"/>
      <c r="HZH171" s="72"/>
      <c r="HZI171" s="72"/>
      <c r="HZJ171" s="72"/>
      <c r="HZK171" s="72"/>
      <c r="HZL171" s="72"/>
      <c r="HZM171" s="72"/>
      <c r="HZN171" s="72"/>
      <c r="HZO171" s="72"/>
      <c r="HZP171" s="72"/>
      <c r="HZQ171" s="72"/>
      <c r="HZR171" s="72"/>
      <c r="HZS171" s="72"/>
      <c r="HZT171" s="72"/>
      <c r="HZU171" s="72"/>
      <c r="HZV171" s="72"/>
      <c r="HZW171" s="72"/>
      <c r="HZX171" s="72"/>
      <c r="HZY171" s="72"/>
      <c r="HZZ171" s="72"/>
      <c r="IAA171" s="72"/>
      <c r="IAB171" s="72"/>
      <c r="IAC171" s="72"/>
      <c r="IAD171" s="72"/>
      <c r="IAE171" s="72"/>
      <c r="IAF171" s="72"/>
      <c r="IAG171" s="72"/>
      <c r="IAH171" s="72"/>
      <c r="IAI171" s="72"/>
      <c r="IAJ171" s="72"/>
      <c r="IAK171" s="72"/>
      <c r="IAL171" s="72"/>
      <c r="IAM171" s="72"/>
      <c r="IAN171" s="72"/>
      <c r="IAO171" s="72"/>
      <c r="IAP171" s="72"/>
      <c r="IAQ171" s="72"/>
      <c r="IAR171" s="72"/>
      <c r="IAS171" s="72"/>
      <c r="IAT171" s="72"/>
      <c r="IAU171" s="72"/>
      <c r="IAV171" s="72"/>
      <c r="IAW171" s="72"/>
      <c r="IAX171" s="72"/>
      <c r="IAY171" s="72"/>
      <c r="IAZ171" s="72"/>
      <c r="IBA171" s="72"/>
      <c r="IBB171" s="72"/>
      <c r="IBC171" s="72"/>
      <c r="IBD171" s="72"/>
      <c r="IBE171" s="72"/>
      <c r="IBF171" s="72"/>
      <c r="IBG171" s="72"/>
      <c r="IBH171" s="72"/>
      <c r="IBI171" s="72"/>
      <c r="IBJ171" s="72"/>
      <c r="IBK171" s="72"/>
      <c r="IBL171" s="72"/>
      <c r="IBM171" s="72"/>
      <c r="IBN171" s="72"/>
      <c r="IBO171" s="72"/>
      <c r="IBP171" s="72"/>
      <c r="IBQ171" s="72"/>
      <c r="IBR171" s="72"/>
      <c r="IBS171" s="72"/>
      <c r="IBT171" s="72"/>
      <c r="IBU171" s="72"/>
      <c r="IBV171" s="72"/>
      <c r="IBW171" s="72"/>
      <c r="IBX171" s="72"/>
      <c r="IBY171" s="72"/>
      <c r="IBZ171" s="72"/>
      <c r="ICA171" s="72"/>
      <c r="ICB171" s="72"/>
      <c r="ICC171" s="72"/>
      <c r="ICD171" s="72"/>
      <c r="ICE171" s="72"/>
      <c r="ICF171" s="72"/>
      <c r="ICG171" s="72"/>
      <c r="ICH171" s="72"/>
      <c r="ICI171" s="72"/>
      <c r="ICJ171" s="72"/>
      <c r="ICK171" s="72"/>
      <c r="ICL171" s="72"/>
      <c r="ICM171" s="72"/>
      <c r="ICN171" s="72"/>
      <c r="ICO171" s="72"/>
      <c r="ICP171" s="72"/>
      <c r="ICQ171" s="72"/>
      <c r="ICR171" s="72"/>
      <c r="ICS171" s="72"/>
      <c r="ICT171" s="72"/>
      <c r="ICU171" s="72"/>
      <c r="ICV171" s="72"/>
      <c r="ICW171" s="72"/>
      <c r="ICX171" s="72"/>
      <c r="ICY171" s="72"/>
      <c r="ICZ171" s="72"/>
      <c r="IDA171" s="72"/>
      <c r="IDB171" s="72"/>
      <c r="IDC171" s="72"/>
      <c r="IDD171" s="72"/>
      <c r="IDE171" s="72"/>
      <c r="IDF171" s="72"/>
      <c r="IDG171" s="72"/>
      <c r="IDH171" s="72"/>
      <c r="IDI171" s="72"/>
      <c r="IDJ171" s="72"/>
      <c r="IDK171" s="72"/>
      <c r="IDL171" s="72"/>
      <c r="IDM171" s="72"/>
      <c r="IDN171" s="72"/>
      <c r="IDO171" s="72"/>
      <c r="IDP171" s="72"/>
      <c r="IDQ171" s="72"/>
      <c r="IDR171" s="72"/>
      <c r="IDS171" s="72"/>
      <c r="IDT171" s="72"/>
      <c r="IDU171" s="72"/>
      <c r="IDV171" s="72"/>
      <c r="IDW171" s="72"/>
      <c r="IDX171" s="72"/>
      <c r="IDY171" s="72"/>
      <c r="IDZ171" s="72"/>
      <c r="IEA171" s="72"/>
      <c r="IEB171" s="72"/>
      <c r="IEC171" s="72"/>
      <c r="IED171" s="72"/>
      <c r="IEE171" s="72"/>
      <c r="IEF171" s="72"/>
      <c r="IEG171" s="72"/>
      <c r="IEH171" s="72"/>
      <c r="IEI171" s="72"/>
      <c r="IEJ171" s="72"/>
      <c r="IEK171" s="72"/>
      <c r="IEL171" s="72"/>
      <c r="IEM171" s="72"/>
      <c r="IEN171" s="72"/>
      <c r="IEO171" s="72"/>
      <c r="IEP171" s="72"/>
      <c r="IEQ171" s="72"/>
      <c r="IER171" s="72"/>
      <c r="IES171" s="72"/>
      <c r="IET171" s="72"/>
      <c r="IEU171" s="72"/>
      <c r="IEV171" s="72"/>
      <c r="IEW171" s="72"/>
      <c r="IEX171" s="72"/>
      <c r="IEY171" s="72"/>
      <c r="IEZ171" s="72"/>
      <c r="IFA171" s="72"/>
      <c r="IFB171" s="72"/>
      <c r="IFC171" s="72"/>
      <c r="IFD171" s="72"/>
      <c r="IFE171" s="72"/>
      <c r="IFF171" s="72"/>
      <c r="IFG171" s="72"/>
      <c r="IFH171" s="72"/>
      <c r="IFI171" s="72"/>
      <c r="IFJ171" s="72"/>
      <c r="IFK171" s="72"/>
      <c r="IFL171" s="72"/>
      <c r="IFM171" s="72"/>
      <c r="IFN171" s="72"/>
      <c r="IFO171" s="72"/>
      <c r="IFP171" s="72"/>
      <c r="IFQ171" s="72"/>
      <c r="IFR171" s="72"/>
      <c r="IFS171" s="72"/>
      <c r="IFT171" s="72"/>
      <c r="IFU171" s="72"/>
      <c r="IFV171" s="72"/>
      <c r="IFW171" s="72"/>
      <c r="IFX171" s="72"/>
      <c r="IFY171" s="72"/>
      <c r="IFZ171" s="72"/>
      <c r="IGA171" s="72"/>
      <c r="IGB171" s="72"/>
      <c r="IGC171" s="72"/>
      <c r="IGD171" s="72"/>
      <c r="IGE171" s="72"/>
      <c r="IGF171" s="72"/>
      <c r="IGG171" s="72"/>
      <c r="IGH171" s="72"/>
      <c r="IGI171" s="72"/>
      <c r="IGJ171" s="72"/>
      <c r="IGK171" s="72"/>
      <c r="IGL171" s="72"/>
      <c r="IGM171" s="72"/>
      <c r="IGN171" s="72"/>
      <c r="IGO171" s="72"/>
      <c r="IGP171" s="72"/>
      <c r="IGQ171" s="72"/>
      <c r="IGR171" s="72"/>
      <c r="IGS171" s="72"/>
      <c r="IGT171" s="72"/>
      <c r="IGU171" s="72"/>
      <c r="IGV171" s="72"/>
      <c r="IGW171" s="72"/>
      <c r="IGX171" s="72"/>
      <c r="IGY171" s="72"/>
      <c r="IGZ171" s="72"/>
      <c r="IHA171" s="72"/>
      <c r="IHB171" s="72"/>
      <c r="IHC171" s="72"/>
      <c r="IHD171" s="72"/>
      <c r="IHE171" s="72"/>
      <c r="IHF171" s="72"/>
      <c r="IHG171" s="72"/>
      <c r="IHH171" s="72"/>
      <c r="IHI171" s="72"/>
      <c r="IHJ171" s="72"/>
      <c r="IHK171" s="72"/>
      <c r="IHL171" s="72"/>
      <c r="IHM171" s="72"/>
      <c r="IHN171" s="72"/>
      <c r="IHO171" s="72"/>
      <c r="IHP171" s="72"/>
      <c r="IHQ171" s="72"/>
      <c r="IHR171" s="72"/>
      <c r="IHS171" s="72"/>
      <c r="IHT171" s="72"/>
      <c r="IHU171" s="72"/>
      <c r="IHV171" s="72"/>
      <c r="IHW171" s="72"/>
      <c r="IHX171" s="72"/>
      <c r="IHY171" s="72"/>
      <c r="IHZ171" s="72"/>
      <c r="IIA171" s="72"/>
      <c r="IIB171" s="72"/>
      <c r="IIC171" s="72"/>
      <c r="IID171" s="72"/>
      <c r="IIE171" s="72"/>
      <c r="IIF171" s="72"/>
      <c r="IIG171" s="72"/>
      <c r="IIH171" s="72"/>
      <c r="III171" s="72"/>
      <c r="IIJ171" s="72"/>
      <c r="IIK171" s="72"/>
      <c r="IIL171" s="72"/>
      <c r="IIM171" s="72"/>
      <c r="IIN171" s="72"/>
      <c r="IIO171" s="72"/>
      <c r="IIP171" s="72"/>
      <c r="IIQ171" s="72"/>
      <c r="IIR171" s="72"/>
      <c r="IIS171" s="72"/>
      <c r="IIT171" s="72"/>
      <c r="IIU171" s="72"/>
      <c r="IIV171" s="72"/>
      <c r="IIW171" s="72"/>
      <c r="IIX171" s="72"/>
      <c r="IIY171" s="72"/>
      <c r="IIZ171" s="72"/>
      <c r="IJA171" s="72"/>
      <c r="IJB171" s="72"/>
      <c r="IJC171" s="72"/>
      <c r="IJD171" s="72"/>
      <c r="IJE171" s="72"/>
      <c r="IJF171" s="72"/>
      <c r="IJG171" s="72"/>
      <c r="IJH171" s="72"/>
      <c r="IJI171" s="72"/>
      <c r="IJJ171" s="72"/>
      <c r="IJK171" s="72"/>
      <c r="IJL171" s="72"/>
      <c r="IJM171" s="72"/>
      <c r="IJN171" s="72"/>
      <c r="IJO171" s="72"/>
      <c r="IJP171" s="72"/>
      <c r="IJQ171" s="72"/>
      <c r="IJR171" s="72"/>
      <c r="IJS171" s="72"/>
      <c r="IJT171" s="72"/>
      <c r="IJU171" s="72"/>
      <c r="IJV171" s="72"/>
      <c r="IJW171" s="72"/>
      <c r="IJX171" s="72"/>
      <c r="IJY171" s="72"/>
      <c r="IJZ171" s="72"/>
      <c r="IKA171" s="72"/>
      <c r="IKB171" s="72"/>
      <c r="IKC171" s="72"/>
      <c r="IKD171" s="72"/>
      <c r="IKE171" s="72"/>
      <c r="IKF171" s="72"/>
      <c r="IKG171" s="72"/>
      <c r="IKH171" s="72"/>
      <c r="IKI171" s="72"/>
      <c r="IKJ171" s="72"/>
      <c r="IKK171" s="72"/>
      <c r="IKL171" s="72"/>
      <c r="IKM171" s="72"/>
      <c r="IKN171" s="72"/>
      <c r="IKO171" s="72"/>
      <c r="IKP171" s="72"/>
      <c r="IKQ171" s="72"/>
      <c r="IKR171" s="72"/>
      <c r="IKS171" s="72"/>
      <c r="IKT171" s="72"/>
      <c r="IKU171" s="72"/>
      <c r="IKV171" s="72"/>
      <c r="IKW171" s="72"/>
      <c r="IKX171" s="72"/>
      <c r="IKY171" s="72"/>
      <c r="IKZ171" s="72"/>
      <c r="ILA171" s="72"/>
      <c r="ILB171" s="72"/>
      <c r="ILC171" s="72"/>
      <c r="ILD171" s="72"/>
      <c r="ILE171" s="72"/>
      <c r="ILF171" s="72"/>
      <c r="ILG171" s="72"/>
      <c r="ILH171" s="72"/>
      <c r="ILI171" s="72"/>
      <c r="ILJ171" s="72"/>
      <c r="ILK171" s="72"/>
      <c r="ILL171" s="72"/>
      <c r="ILM171" s="72"/>
      <c r="ILN171" s="72"/>
      <c r="ILO171" s="72"/>
      <c r="ILP171" s="72"/>
      <c r="ILQ171" s="72"/>
      <c r="ILR171" s="72"/>
      <c r="ILS171" s="72"/>
      <c r="ILT171" s="72"/>
      <c r="ILU171" s="72"/>
      <c r="ILV171" s="72"/>
      <c r="ILW171" s="72"/>
      <c r="ILX171" s="72"/>
      <c r="ILY171" s="72"/>
      <c r="ILZ171" s="72"/>
      <c r="IMA171" s="72"/>
      <c r="IMB171" s="72"/>
      <c r="IMC171" s="72"/>
      <c r="IMD171" s="72"/>
      <c r="IME171" s="72"/>
      <c r="IMF171" s="72"/>
      <c r="IMG171" s="72"/>
      <c r="IMH171" s="72"/>
      <c r="IMI171" s="72"/>
      <c r="IMJ171" s="72"/>
      <c r="IMK171" s="72"/>
      <c r="IML171" s="72"/>
      <c r="IMM171" s="72"/>
      <c r="IMN171" s="72"/>
      <c r="IMO171" s="72"/>
      <c r="IMP171" s="72"/>
      <c r="IMQ171" s="72"/>
      <c r="IMR171" s="72"/>
      <c r="IMS171" s="72"/>
      <c r="IMT171" s="72"/>
      <c r="IMU171" s="72"/>
      <c r="IMV171" s="72"/>
      <c r="IMW171" s="72"/>
      <c r="IMX171" s="72"/>
      <c r="IMY171" s="72"/>
      <c r="IMZ171" s="72"/>
      <c r="INA171" s="72"/>
      <c r="INB171" s="72"/>
      <c r="INC171" s="72"/>
      <c r="IND171" s="72"/>
      <c r="INE171" s="72"/>
      <c r="INF171" s="72"/>
      <c r="ING171" s="72"/>
      <c r="INH171" s="72"/>
      <c r="INI171" s="72"/>
      <c r="INJ171" s="72"/>
      <c r="INK171" s="72"/>
      <c r="INL171" s="72"/>
      <c r="INM171" s="72"/>
      <c r="INN171" s="72"/>
      <c r="INO171" s="72"/>
      <c r="INP171" s="72"/>
      <c r="INQ171" s="72"/>
      <c r="INR171" s="72"/>
      <c r="INS171" s="72"/>
      <c r="INT171" s="72"/>
      <c r="INU171" s="72"/>
      <c r="INV171" s="72"/>
      <c r="INW171" s="72"/>
      <c r="INX171" s="72"/>
      <c r="INY171" s="72"/>
      <c r="INZ171" s="72"/>
      <c r="IOA171" s="72"/>
      <c r="IOB171" s="72"/>
      <c r="IOC171" s="72"/>
      <c r="IOD171" s="72"/>
      <c r="IOE171" s="72"/>
      <c r="IOF171" s="72"/>
      <c r="IOG171" s="72"/>
      <c r="IOH171" s="72"/>
      <c r="IOI171" s="72"/>
      <c r="IOJ171" s="72"/>
      <c r="IOK171" s="72"/>
      <c r="IOL171" s="72"/>
      <c r="IOM171" s="72"/>
      <c r="ION171" s="72"/>
      <c r="IOO171" s="72"/>
      <c r="IOP171" s="72"/>
      <c r="IOQ171" s="72"/>
      <c r="IOR171" s="72"/>
      <c r="IOS171" s="72"/>
      <c r="IOT171" s="72"/>
      <c r="IOU171" s="72"/>
      <c r="IOV171" s="72"/>
      <c r="IOW171" s="72"/>
      <c r="IOX171" s="72"/>
      <c r="IOY171" s="72"/>
      <c r="IOZ171" s="72"/>
      <c r="IPA171" s="72"/>
      <c r="IPB171" s="72"/>
      <c r="IPC171" s="72"/>
      <c r="IPD171" s="72"/>
      <c r="IPE171" s="72"/>
      <c r="IPF171" s="72"/>
      <c r="IPG171" s="72"/>
      <c r="IPH171" s="72"/>
      <c r="IPI171" s="72"/>
      <c r="IPJ171" s="72"/>
      <c r="IPK171" s="72"/>
      <c r="IPL171" s="72"/>
      <c r="IPM171" s="72"/>
      <c r="IPN171" s="72"/>
      <c r="IPO171" s="72"/>
      <c r="IPP171" s="72"/>
      <c r="IPQ171" s="72"/>
      <c r="IPR171" s="72"/>
      <c r="IPS171" s="72"/>
      <c r="IPT171" s="72"/>
      <c r="IPU171" s="72"/>
      <c r="IPV171" s="72"/>
      <c r="IPW171" s="72"/>
      <c r="IPX171" s="72"/>
      <c r="IPY171" s="72"/>
      <c r="IPZ171" s="72"/>
      <c r="IQA171" s="72"/>
      <c r="IQB171" s="72"/>
      <c r="IQC171" s="72"/>
      <c r="IQD171" s="72"/>
      <c r="IQE171" s="72"/>
      <c r="IQF171" s="72"/>
      <c r="IQG171" s="72"/>
      <c r="IQH171" s="72"/>
      <c r="IQI171" s="72"/>
      <c r="IQJ171" s="72"/>
      <c r="IQK171" s="72"/>
      <c r="IQL171" s="72"/>
      <c r="IQM171" s="72"/>
      <c r="IQN171" s="72"/>
      <c r="IQO171" s="72"/>
      <c r="IQP171" s="72"/>
      <c r="IQQ171" s="72"/>
      <c r="IQR171" s="72"/>
      <c r="IQS171" s="72"/>
      <c r="IQT171" s="72"/>
      <c r="IQU171" s="72"/>
      <c r="IQV171" s="72"/>
      <c r="IQW171" s="72"/>
      <c r="IQX171" s="72"/>
      <c r="IQY171" s="72"/>
      <c r="IQZ171" s="72"/>
      <c r="IRA171" s="72"/>
      <c r="IRB171" s="72"/>
      <c r="IRC171" s="72"/>
      <c r="IRD171" s="72"/>
      <c r="IRE171" s="72"/>
      <c r="IRF171" s="72"/>
      <c r="IRG171" s="72"/>
      <c r="IRH171" s="72"/>
      <c r="IRI171" s="72"/>
      <c r="IRJ171" s="72"/>
      <c r="IRK171" s="72"/>
      <c r="IRL171" s="72"/>
      <c r="IRM171" s="72"/>
      <c r="IRN171" s="72"/>
      <c r="IRO171" s="72"/>
      <c r="IRP171" s="72"/>
      <c r="IRQ171" s="72"/>
      <c r="IRR171" s="72"/>
      <c r="IRS171" s="72"/>
      <c r="IRT171" s="72"/>
      <c r="IRU171" s="72"/>
      <c r="IRV171" s="72"/>
      <c r="IRW171" s="72"/>
      <c r="IRX171" s="72"/>
      <c r="IRY171" s="72"/>
      <c r="IRZ171" s="72"/>
      <c r="ISA171" s="72"/>
      <c r="ISB171" s="72"/>
      <c r="ISC171" s="72"/>
      <c r="ISD171" s="72"/>
      <c r="ISE171" s="72"/>
      <c r="ISF171" s="72"/>
      <c r="ISG171" s="72"/>
      <c r="ISH171" s="72"/>
      <c r="ISI171" s="72"/>
      <c r="ISJ171" s="72"/>
      <c r="ISK171" s="72"/>
      <c r="ISL171" s="72"/>
      <c r="ISM171" s="72"/>
      <c r="ISN171" s="72"/>
      <c r="ISO171" s="72"/>
      <c r="ISP171" s="72"/>
      <c r="ISQ171" s="72"/>
      <c r="ISR171" s="72"/>
      <c r="ISS171" s="72"/>
      <c r="IST171" s="72"/>
      <c r="ISU171" s="72"/>
      <c r="ISV171" s="72"/>
      <c r="ISW171" s="72"/>
      <c r="ISX171" s="72"/>
      <c r="ISY171" s="72"/>
      <c r="ISZ171" s="72"/>
      <c r="ITA171" s="72"/>
      <c r="ITB171" s="72"/>
      <c r="ITC171" s="72"/>
      <c r="ITD171" s="72"/>
      <c r="ITE171" s="72"/>
      <c r="ITF171" s="72"/>
      <c r="ITG171" s="72"/>
      <c r="ITH171" s="72"/>
      <c r="ITI171" s="72"/>
      <c r="ITJ171" s="72"/>
      <c r="ITK171" s="72"/>
      <c r="ITL171" s="72"/>
      <c r="ITM171" s="72"/>
      <c r="ITN171" s="72"/>
      <c r="ITO171" s="72"/>
      <c r="ITP171" s="72"/>
      <c r="ITQ171" s="72"/>
      <c r="ITR171" s="72"/>
      <c r="ITS171" s="72"/>
      <c r="ITT171" s="72"/>
      <c r="ITU171" s="72"/>
      <c r="ITV171" s="72"/>
      <c r="ITW171" s="72"/>
      <c r="ITX171" s="72"/>
      <c r="ITY171" s="72"/>
      <c r="ITZ171" s="72"/>
      <c r="IUA171" s="72"/>
      <c r="IUB171" s="72"/>
      <c r="IUC171" s="72"/>
      <c r="IUD171" s="72"/>
      <c r="IUE171" s="72"/>
      <c r="IUF171" s="72"/>
      <c r="IUG171" s="72"/>
      <c r="IUH171" s="72"/>
      <c r="IUI171" s="72"/>
      <c r="IUJ171" s="72"/>
      <c r="IUK171" s="72"/>
      <c r="IUL171" s="72"/>
      <c r="IUM171" s="72"/>
      <c r="IUN171" s="72"/>
      <c r="IUO171" s="72"/>
      <c r="IUP171" s="72"/>
      <c r="IUQ171" s="72"/>
      <c r="IUR171" s="72"/>
      <c r="IUS171" s="72"/>
      <c r="IUT171" s="72"/>
      <c r="IUU171" s="72"/>
      <c r="IUV171" s="72"/>
      <c r="IUW171" s="72"/>
      <c r="IUX171" s="72"/>
      <c r="IUY171" s="72"/>
      <c r="IUZ171" s="72"/>
      <c r="IVA171" s="72"/>
      <c r="IVB171" s="72"/>
      <c r="IVC171" s="72"/>
      <c r="IVD171" s="72"/>
      <c r="IVE171" s="72"/>
      <c r="IVF171" s="72"/>
      <c r="IVG171" s="72"/>
      <c r="IVH171" s="72"/>
      <c r="IVI171" s="72"/>
      <c r="IVJ171" s="72"/>
      <c r="IVK171" s="72"/>
      <c r="IVL171" s="72"/>
      <c r="IVM171" s="72"/>
      <c r="IVN171" s="72"/>
      <c r="IVO171" s="72"/>
      <c r="IVP171" s="72"/>
      <c r="IVQ171" s="72"/>
      <c r="IVR171" s="72"/>
      <c r="IVS171" s="72"/>
      <c r="IVT171" s="72"/>
      <c r="IVU171" s="72"/>
      <c r="IVV171" s="72"/>
      <c r="IVW171" s="72"/>
      <c r="IVX171" s="72"/>
      <c r="IVY171" s="72"/>
      <c r="IVZ171" s="72"/>
      <c r="IWA171" s="72"/>
      <c r="IWB171" s="72"/>
      <c r="IWC171" s="72"/>
      <c r="IWD171" s="72"/>
      <c r="IWE171" s="72"/>
      <c r="IWF171" s="72"/>
      <c r="IWG171" s="72"/>
      <c r="IWH171" s="72"/>
      <c r="IWI171" s="72"/>
      <c r="IWJ171" s="72"/>
      <c r="IWK171" s="72"/>
      <c r="IWL171" s="72"/>
      <c r="IWM171" s="72"/>
      <c r="IWN171" s="72"/>
      <c r="IWO171" s="72"/>
      <c r="IWP171" s="72"/>
      <c r="IWQ171" s="72"/>
      <c r="IWR171" s="72"/>
      <c r="IWS171" s="72"/>
      <c r="IWT171" s="72"/>
      <c r="IWU171" s="72"/>
      <c r="IWV171" s="72"/>
      <c r="IWW171" s="72"/>
      <c r="IWX171" s="72"/>
      <c r="IWY171" s="72"/>
      <c r="IWZ171" s="72"/>
      <c r="IXA171" s="72"/>
      <c r="IXB171" s="72"/>
      <c r="IXC171" s="72"/>
      <c r="IXD171" s="72"/>
      <c r="IXE171" s="72"/>
      <c r="IXF171" s="72"/>
      <c r="IXG171" s="72"/>
      <c r="IXH171" s="72"/>
      <c r="IXI171" s="72"/>
      <c r="IXJ171" s="72"/>
      <c r="IXK171" s="72"/>
      <c r="IXL171" s="72"/>
      <c r="IXM171" s="72"/>
      <c r="IXN171" s="72"/>
      <c r="IXO171" s="72"/>
      <c r="IXP171" s="72"/>
      <c r="IXQ171" s="72"/>
      <c r="IXR171" s="72"/>
      <c r="IXS171" s="72"/>
      <c r="IXT171" s="72"/>
      <c r="IXU171" s="72"/>
      <c r="IXV171" s="72"/>
      <c r="IXW171" s="72"/>
      <c r="IXX171" s="72"/>
      <c r="IXY171" s="72"/>
      <c r="IXZ171" s="72"/>
      <c r="IYA171" s="72"/>
      <c r="IYB171" s="72"/>
      <c r="IYC171" s="72"/>
      <c r="IYD171" s="72"/>
      <c r="IYE171" s="72"/>
      <c r="IYF171" s="72"/>
      <c r="IYG171" s="72"/>
      <c r="IYH171" s="72"/>
      <c r="IYI171" s="72"/>
      <c r="IYJ171" s="72"/>
      <c r="IYK171" s="72"/>
      <c r="IYL171" s="72"/>
      <c r="IYM171" s="72"/>
      <c r="IYN171" s="72"/>
      <c r="IYO171" s="72"/>
      <c r="IYP171" s="72"/>
      <c r="IYQ171" s="72"/>
      <c r="IYR171" s="72"/>
      <c r="IYS171" s="72"/>
      <c r="IYT171" s="72"/>
      <c r="IYU171" s="72"/>
      <c r="IYV171" s="72"/>
      <c r="IYW171" s="72"/>
      <c r="IYX171" s="72"/>
      <c r="IYY171" s="72"/>
      <c r="IYZ171" s="72"/>
      <c r="IZA171" s="72"/>
      <c r="IZB171" s="72"/>
      <c r="IZC171" s="72"/>
      <c r="IZD171" s="72"/>
      <c r="IZE171" s="72"/>
      <c r="IZF171" s="72"/>
      <c r="IZG171" s="72"/>
      <c r="IZH171" s="72"/>
      <c r="IZI171" s="72"/>
      <c r="IZJ171" s="72"/>
      <c r="IZK171" s="72"/>
      <c r="IZL171" s="72"/>
      <c r="IZM171" s="72"/>
      <c r="IZN171" s="72"/>
      <c r="IZO171" s="72"/>
      <c r="IZP171" s="72"/>
      <c r="IZQ171" s="72"/>
      <c r="IZR171" s="72"/>
      <c r="IZS171" s="72"/>
      <c r="IZT171" s="72"/>
      <c r="IZU171" s="72"/>
      <c r="IZV171" s="72"/>
      <c r="IZW171" s="72"/>
      <c r="IZX171" s="72"/>
      <c r="IZY171" s="72"/>
      <c r="IZZ171" s="72"/>
      <c r="JAA171" s="72"/>
      <c r="JAB171" s="72"/>
      <c r="JAC171" s="72"/>
      <c r="JAD171" s="72"/>
      <c r="JAE171" s="72"/>
      <c r="JAF171" s="72"/>
      <c r="JAG171" s="72"/>
      <c r="JAH171" s="72"/>
      <c r="JAI171" s="72"/>
      <c r="JAJ171" s="72"/>
      <c r="JAK171" s="72"/>
      <c r="JAL171" s="72"/>
      <c r="JAM171" s="72"/>
      <c r="JAN171" s="72"/>
      <c r="JAO171" s="72"/>
      <c r="JAP171" s="72"/>
      <c r="JAQ171" s="72"/>
      <c r="JAR171" s="72"/>
      <c r="JAS171" s="72"/>
      <c r="JAT171" s="72"/>
      <c r="JAU171" s="72"/>
      <c r="JAV171" s="72"/>
      <c r="JAW171" s="72"/>
      <c r="JAX171" s="72"/>
      <c r="JAY171" s="72"/>
      <c r="JAZ171" s="72"/>
      <c r="JBA171" s="72"/>
      <c r="JBB171" s="72"/>
      <c r="JBC171" s="72"/>
      <c r="JBD171" s="72"/>
      <c r="JBE171" s="72"/>
      <c r="JBF171" s="72"/>
      <c r="JBG171" s="72"/>
      <c r="JBH171" s="72"/>
      <c r="JBI171" s="72"/>
      <c r="JBJ171" s="72"/>
      <c r="JBK171" s="72"/>
      <c r="JBL171" s="72"/>
      <c r="JBM171" s="72"/>
      <c r="JBN171" s="72"/>
      <c r="JBO171" s="72"/>
      <c r="JBP171" s="72"/>
      <c r="JBQ171" s="72"/>
      <c r="JBR171" s="72"/>
      <c r="JBS171" s="72"/>
      <c r="JBT171" s="72"/>
      <c r="JBU171" s="72"/>
      <c r="JBV171" s="72"/>
      <c r="JBW171" s="72"/>
      <c r="JBX171" s="72"/>
      <c r="JBY171" s="72"/>
      <c r="JBZ171" s="72"/>
      <c r="JCA171" s="72"/>
      <c r="JCB171" s="72"/>
      <c r="JCC171" s="72"/>
      <c r="JCD171" s="72"/>
      <c r="JCE171" s="72"/>
      <c r="JCF171" s="72"/>
      <c r="JCG171" s="72"/>
      <c r="JCH171" s="72"/>
      <c r="JCI171" s="72"/>
      <c r="JCJ171" s="72"/>
      <c r="JCK171" s="72"/>
      <c r="JCL171" s="72"/>
      <c r="JCM171" s="72"/>
      <c r="JCN171" s="72"/>
      <c r="JCO171" s="72"/>
      <c r="JCP171" s="72"/>
      <c r="JCQ171" s="72"/>
      <c r="JCR171" s="72"/>
      <c r="JCS171" s="72"/>
      <c r="JCT171" s="72"/>
      <c r="JCU171" s="72"/>
      <c r="JCV171" s="72"/>
      <c r="JCW171" s="72"/>
      <c r="JCX171" s="72"/>
      <c r="JCY171" s="72"/>
      <c r="JCZ171" s="72"/>
      <c r="JDA171" s="72"/>
      <c r="JDB171" s="72"/>
      <c r="JDC171" s="72"/>
      <c r="JDD171" s="72"/>
      <c r="JDE171" s="72"/>
      <c r="JDF171" s="72"/>
      <c r="JDG171" s="72"/>
      <c r="JDH171" s="72"/>
      <c r="JDI171" s="72"/>
      <c r="JDJ171" s="72"/>
      <c r="JDK171" s="72"/>
      <c r="JDL171" s="72"/>
      <c r="JDM171" s="72"/>
      <c r="JDN171" s="72"/>
      <c r="JDO171" s="72"/>
      <c r="JDP171" s="72"/>
      <c r="JDQ171" s="72"/>
      <c r="JDR171" s="72"/>
      <c r="JDS171" s="72"/>
      <c r="JDT171" s="72"/>
      <c r="JDU171" s="72"/>
      <c r="JDV171" s="72"/>
      <c r="JDW171" s="72"/>
      <c r="JDX171" s="72"/>
      <c r="JDY171" s="72"/>
      <c r="JDZ171" s="72"/>
      <c r="JEA171" s="72"/>
      <c r="JEB171" s="72"/>
      <c r="JEC171" s="72"/>
      <c r="JED171" s="72"/>
      <c r="JEE171" s="72"/>
      <c r="JEF171" s="72"/>
      <c r="JEG171" s="72"/>
      <c r="JEH171" s="72"/>
      <c r="JEI171" s="72"/>
      <c r="JEJ171" s="72"/>
      <c r="JEK171" s="72"/>
      <c r="JEL171" s="72"/>
      <c r="JEM171" s="72"/>
      <c r="JEN171" s="72"/>
      <c r="JEO171" s="72"/>
      <c r="JEP171" s="72"/>
      <c r="JEQ171" s="72"/>
      <c r="JER171" s="72"/>
      <c r="JES171" s="72"/>
      <c r="JET171" s="72"/>
      <c r="JEU171" s="72"/>
      <c r="JEV171" s="72"/>
      <c r="JEW171" s="72"/>
      <c r="JEX171" s="72"/>
      <c r="JEY171" s="72"/>
      <c r="JEZ171" s="72"/>
      <c r="JFA171" s="72"/>
      <c r="JFB171" s="72"/>
      <c r="JFC171" s="72"/>
      <c r="JFD171" s="72"/>
      <c r="JFE171" s="72"/>
      <c r="JFF171" s="72"/>
      <c r="JFG171" s="72"/>
      <c r="JFH171" s="72"/>
      <c r="JFI171" s="72"/>
      <c r="JFJ171" s="72"/>
      <c r="JFK171" s="72"/>
      <c r="JFL171" s="72"/>
      <c r="JFM171" s="72"/>
      <c r="JFN171" s="72"/>
      <c r="JFO171" s="72"/>
      <c r="JFP171" s="72"/>
      <c r="JFQ171" s="72"/>
      <c r="JFR171" s="72"/>
      <c r="JFS171" s="72"/>
      <c r="JFT171" s="72"/>
      <c r="JFU171" s="72"/>
      <c r="JFV171" s="72"/>
      <c r="JFW171" s="72"/>
      <c r="JFX171" s="72"/>
      <c r="JFY171" s="72"/>
      <c r="JFZ171" s="72"/>
      <c r="JGA171" s="72"/>
      <c r="JGB171" s="72"/>
      <c r="JGC171" s="72"/>
      <c r="JGD171" s="72"/>
      <c r="JGE171" s="72"/>
      <c r="JGF171" s="72"/>
      <c r="JGG171" s="72"/>
      <c r="JGH171" s="72"/>
      <c r="JGI171" s="72"/>
      <c r="JGJ171" s="72"/>
      <c r="JGK171" s="72"/>
      <c r="JGL171" s="72"/>
      <c r="JGM171" s="72"/>
      <c r="JGN171" s="72"/>
      <c r="JGO171" s="72"/>
      <c r="JGP171" s="72"/>
      <c r="JGQ171" s="72"/>
      <c r="JGR171" s="72"/>
      <c r="JGS171" s="72"/>
      <c r="JGT171" s="72"/>
      <c r="JGU171" s="72"/>
      <c r="JGV171" s="72"/>
      <c r="JGW171" s="72"/>
      <c r="JGX171" s="72"/>
      <c r="JGY171" s="72"/>
      <c r="JGZ171" s="72"/>
      <c r="JHA171" s="72"/>
      <c r="JHB171" s="72"/>
      <c r="JHC171" s="72"/>
      <c r="JHD171" s="72"/>
      <c r="JHE171" s="72"/>
      <c r="JHF171" s="72"/>
      <c r="JHG171" s="72"/>
      <c r="JHH171" s="72"/>
      <c r="JHI171" s="72"/>
      <c r="JHJ171" s="72"/>
      <c r="JHK171" s="72"/>
      <c r="JHL171" s="72"/>
      <c r="JHM171" s="72"/>
      <c r="JHN171" s="72"/>
      <c r="JHO171" s="72"/>
      <c r="JHP171" s="72"/>
      <c r="JHQ171" s="72"/>
      <c r="JHR171" s="72"/>
      <c r="JHS171" s="72"/>
      <c r="JHT171" s="72"/>
      <c r="JHU171" s="72"/>
      <c r="JHV171" s="72"/>
      <c r="JHW171" s="72"/>
      <c r="JHX171" s="72"/>
      <c r="JHY171" s="72"/>
      <c r="JHZ171" s="72"/>
      <c r="JIA171" s="72"/>
      <c r="JIB171" s="72"/>
      <c r="JIC171" s="72"/>
      <c r="JID171" s="72"/>
      <c r="JIE171" s="72"/>
      <c r="JIF171" s="72"/>
      <c r="JIG171" s="72"/>
      <c r="JIH171" s="72"/>
      <c r="JII171" s="72"/>
      <c r="JIJ171" s="72"/>
      <c r="JIK171" s="72"/>
      <c r="JIL171" s="72"/>
      <c r="JIM171" s="72"/>
      <c r="JIN171" s="72"/>
      <c r="JIO171" s="72"/>
      <c r="JIP171" s="72"/>
      <c r="JIQ171" s="72"/>
      <c r="JIR171" s="72"/>
      <c r="JIS171" s="72"/>
      <c r="JIT171" s="72"/>
      <c r="JIU171" s="72"/>
      <c r="JIV171" s="72"/>
      <c r="JIW171" s="72"/>
      <c r="JIX171" s="72"/>
      <c r="JIY171" s="72"/>
      <c r="JIZ171" s="72"/>
      <c r="JJA171" s="72"/>
      <c r="JJB171" s="72"/>
      <c r="JJC171" s="72"/>
      <c r="JJD171" s="72"/>
      <c r="JJE171" s="72"/>
      <c r="JJF171" s="72"/>
      <c r="JJG171" s="72"/>
      <c r="JJH171" s="72"/>
      <c r="JJI171" s="72"/>
      <c r="JJJ171" s="72"/>
      <c r="JJK171" s="72"/>
      <c r="JJL171" s="72"/>
      <c r="JJM171" s="72"/>
      <c r="JJN171" s="72"/>
      <c r="JJO171" s="72"/>
      <c r="JJP171" s="72"/>
      <c r="JJQ171" s="72"/>
      <c r="JJR171" s="72"/>
      <c r="JJS171" s="72"/>
      <c r="JJT171" s="72"/>
      <c r="JJU171" s="72"/>
      <c r="JJV171" s="72"/>
      <c r="JJW171" s="72"/>
      <c r="JJX171" s="72"/>
      <c r="JJY171" s="72"/>
      <c r="JJZ171" s="72"/>
      <c r="JKA171" s="72"/>
      <c r="JKB171" s="72"/>
      <c r="JKC171" s="72"/>
      <c r="JKD171" s="72"/>
      <c r="JKE171" s="72"/>
      <c r="JKF171" s="72"/>
      <c r="JKG171" s="72"/>
      <c r="JKH171" s="72"/>
      <c r="JKI171" s="72"/>
      <c r="JKJ171" s="72"/>
      <c r="JKK171" s="72"/>
      <c r="JKL171" s="72"/>
      <c r="JKM171" s="72"/>
      <c r="JKN171" s="72"/>
      <c r="JKO171" s="72"/>
      <c r="JKP171" s="72"/>
      <c r="JKQ171" s="72"/>
      <c r="JKR171" s="72"/>
      <c r="JKS171" s="72"/>
      <c r="JKT171" s="72"/>
      <c r="JKU171" s="72"/>
      <c r="JKV171" s="72"/>
      <c r="JKW171" s="72"/>
      <c r="JKX171" s="72"/>
      <c r="JKY171" s="72"/>
      <c r="JKZ171" s="72"/>
      <c r="JLA171" s="72"/>
      <c r="JLB171" s="72"/>
      <c r="JLC171" s="72"/>
      <c r="JLD171" s="72"/>
      <c r="JLE171" s="72"/>
      <c r="JLF171" s="72"/>
      <c r="JLG171" s="72"/>
      <c r="JLH171" s="72"/>
      <c r="JLI171" s="72"/>
      <c r="JLJ171" s="72"/>
      <c r="JLK171" s="72"/>
      <c r="JLL171" s="72"/>
      <c r="JLM171" s="72"/>
      <c r="JLN171" s="72"/>
      <c r="JLO171" s="72"/>
      <c r="JLP171" s="72"/>
      <c r="JLQ171" s="72"/>
      <c r="JLR171" s="72"/>
      <c r="JLS171" s="72"/>
      <c r="JLT171" s="72"/>
      <c r="JLU171" s="72"/>
      <c r="JLV171" s="72"/>
      <c r="JLW171" s="72"/>
      <c r="JLX171" s="72"/>
      <c r="JLY171" s="72"/>
      <c r="JLZ171" s="72"/>
      <c r="JMA171" s="72"/>
      <c r="JMB171" s="72"/>
      <c r="JMC171" s="72"/>
      <c r="JMD171" s="72"/>
      <c r="JME171" s="72"/>
      <c r="JMF171" s="72"/>
      <c r="JMG171" s="72"/>
      <c r="JMH171" s="72"/>
      <c r="JMI171" s="72"/>
      <c r="JMJ171" s="72"/>
      <c r="JMK171" s="72"/>
      <c r="JML171" s="72"/>
      <c r="JMM171" s="72"/>
      <c r="JMN171" s="72"/>
      <c r="JMO171" s="72"/>
      <c r="JMP171" s="72"/>
      <c r="JMQ171" s="72"/>
      <c r="JMR171" s="72"/>
      <c r="JMS171" s="72"/>
      <c r="JMT171" s="72"/>
      <c r="JMU171" s="72"/>
      <c r="JMV171" s="72"/>
      <c r="JMW171" s="72"/>
      <c r="JMX171" s="72"/>
      <c r="JMY171" s="72"/>
      <c r="JMZ171" s="72"/>
      <c r="JNA171" s="72"/>
      <c r="JNB171" s="72"/>
      <c r="JNC171" s="72"/>
      <c r="JND171" s="72"/>
      <c r="JNE171" s="72"/>
      <c r="JNF171" s="72"/>
      <c r="JNG171" s="72"/>
      <c r="JNH171" s="72"/>
      <c r="JNI171" s="72"/>
      <c r="JNJ171" s="72"/>
      <c r="JNK171" s="72"/>
      <c r="JNL171" s="72"/>
      <c r="JNM171" s="72"/>
      <c r="JNN171" s="72"/>
      <c r="JNO171" s="72"/>
      <c r="JNP171" s="72"/>
      <c r="JNQ171" s="72"/>
      <c r="JNR171" s="72"/>
      <c r="JNS171" s="72"/>
      <c r="JNT171" s="72"/>
      <c r="JNU171" s="72"/>
      <c r="JNV171" s="72"/>
      <c r="JNW171" s="72"/>
      <c r="JNX171" s="72"/>
      <c r="JNY171" s="72"/>
      <c r="JNZ171" s="72"/>
      <c r="JOA171" s="72"/>
      <c r="JOB171" s="72"/>
      <c r="JOC171" s="72"/>
      <c r="JOD171" s="72"/>
      <c r="JOE171" s="72"/>
      <c r="JOF171" s="72"/>
      <c r="JOG171" s="72"/>
      <c r="JOH171" s="72"/>
      <c r="JOI171" s="72"/>
      <c r="JOJ171" s="72"/>
      <c r="JOK171" s="72"/>
      <c r="JOL171" s="72"/>
      <c r="JOM171" s="72"/>
      <c r="JON171" s="72"/>
      <c r="JOO171" s="72"/>
      <c r="JOP171" s="72"/>
      <c r="JOQ171" s="72"/>
      <c r="JOR171" s="72"/>
      <c r="JOS171" s="72"/>
      <c r="JOT171" s="72"/>
      <c r="JOU171" s="72"/>
      <c r="JOV171" s="72"/>
      <c r="JOW171" s="72"/>
      <c r="JOX171" s="72"/>
      <c r="JOY171" s="72"/>
      <c r="JOZ171" s="72"/>
      <c r="JPA171" s="72"/>
      <c r="JPB171" s="72"/>
      <c r="JPC171" s="72"/>
      <c r="JPD171" s="72"/>
      <c r="JPE171" s="72"/>
      <c r="JPF171" s="72"/>
      <c r="JPG171" s="72"/>
      <c r="JPH171" s="72"/>
      <c r="JPI171" s="72"/>
      <c r="JPJ171" s="72"/>
      <c r="JPK171" s="72"/>
      <c r="JPL171" s="72"/>
      <c r="JPM171" s="72"/>
      <c r="JPN171" s="72"/>
      <c r="JPO171" s="72"/>
      <c r="JPP171" s="72"/>
      <c r="JPQ171" s="72"/>
      <c r="JPR171" s="72"/>
      <c r="JPS171" s="72"/>
      <c r="JPT171" s="72"/>
      <c r="JPU171" s="72"/>
      <c r="JPV171" s="72"/>
      <c r="JPW171" s="72"/>
      <c r="JPX171" s="72"/>
      <c r="JPY171" s="72"/>
      <c r="JPZ171" s="72"/>
      <c r="JQA171" s="72"/>
      <c r="JQB171" s="72"/>
      <c r="JQC171" s="72"/>
      <c r="JQD171" s="72"/>
      <c r="JQE171" s="72"/>
      <c r="JQF171" s="72"/>
      <c r="JQG171" s="72"/>
      <c r="JQH171" s="72"/>
      <c r="JQI171" s="72"/>
      <c r="JQJ171" s="72"/>
      <c r="JQK171" s="72"/>
      <c r="JQL171" s="72"/>
      <c r="JQM171" s="72"/>
      <c r="JQN171" s="72"/>
      <c r="JQO171" s="72"/>
      <c r="JQP171" s="72"/>
      <c r="JQQ171" s="72"/>
      <c r="JQR171" s="72"/>
      <c r="JQS171" s="72"/>
      <c r="JQT171" s="72"/>
      <c r="JQU171" s="72"/>
      <c r="JQV171" s="72"/>
      <c r="JQW171" s="72"/>
      <c r="JQX171" s="72"/>
      <c r="JQY171" s="72"/>
      <c r="JQZ171" s="72"/>
      <c r="JRA171" s="72"/>
      <c r="JRB171" s="72"/>
      <c r="JRC171" s="72"/>
      <c r="JRD171" s="72"/>
      <c r="JRE171" s="72"/>
      <c r="JRF171" s="72"/>
      <c r="JRG171" s="72"/>
      <c r="JRH171" s="72"/>
      <c r="JRI171" s="72"/>
      <c r="JRJ171" s="72"/>
      <c r="JRK171" s="72"/>
      <c r="JRL171" s="72"/>
      <c r="JRM171" s="72"/>
      <c r="JRN171" s="72"/>
      <c r="JRO171" s="72"/>
      <c r="JRP171" s="72"/>
      <c r="JRQ171" s="72"/>
      <c r="JRR171" s="72"/>
      <c r="JRS171" s="72"/>
      <c r="JRT171" s="72"/>
      <c r="JRU171" s="72"/>
      <c r="JRV171" s="72"/>
      <c r="JRW171" s="72"/>
      <c r="JRX171" s="72"/>
      <c r="JRY171" s="72"/>
      <c r="JRZ171" s="72"/>
      <c r="JSA171" s="72"/>
      <c r="JSB171" s="72"/>
      <c r="JSC171" s="72"/>
      <c r="JSD171" s="72"/>
      <c r="JSE171" s="72"/>
      <c r="JSF171" s="72"/>
      <c r="JSG171" s="72"/>
      <c r="JSH171" s="72"/>
      <c r="JSI171" s="72"/>
      <c r="JSJ171" s="72"/>
      <c r="JSK171" s="72"/>
      <c r="JSL171" s="72"/>
      <c r="JSM171" s="72"/>
      <c r="JSN171" s="72"/>
      <c r="JSO171" s="72"/>
      <c r="JSP171" s="72"/>
      <c r="JSQ171" s="72"/>
      <c r="JSR171" s="72"/>
      <c r="JSS171" s="72"/>
      <c r="JST171" s="72"/>
      <c r="JSU171" s="72"/>
      <c r="JSV171" s="72"/>
      <c r="JSW171" s="72"/>
      <c r="JSX171" s="72"/>
      <c r="JSY171" s="72"/>
      <c r="JSZ171" s="72"/>
      <c r="JTA171" s="72"/>
      <c r="JTB171" s="72"/>
      <c r="JTC171" s="72"/>
      <c r="JTD171" s="72"/>
      <c r="JTE171" s="72"/>
      <c r="JTF171" s="72"/>
      <c r="JTG171" s="72"/>
      <c r="JTH171" s="72"/>
      <c r="JTI171" s="72"/>
      <c r="JTJ171" s="72"/>
      <c r="JTK171" s="72"/>
      <c r="JTL171" s="72"/>
      <c r="JTM171" s="72"/>
      <c r="JTN171" s="72"/>
      <c r="JTO171" s="72"/>
      <c r="JTP171" s="72"/>
      <c r="JTQ171" s="72"/>
      <c r="JTR171" s="72"/>
      <c r="JTS171" s="72"/>
      <c r="JTT171" s="72"/>
      <c r="JTU171" s="72"/>
      <c r="JTV171" s="72"/>
      <c r="JTW171" s="72"/>
      <c r="JTX171" s="72"/>
      <c r="JTY171" s="72"/>
      <c r="JTZ171" s="72"/>
      <c r="JUA171" s="72"/>
      <c r="JUB171" s="72"/>
      <c r="JUC171" s="72"/>
      <c r="JUD171" s="72"/>
      <c r="JUE171" s="72"/>
      <c r="JUF171" s="72"/>
      <c r="JUG171" s="72"/>
      <c r="JUH171" s="72"/>
      <c r="JUI171" s="72"/>
      <c r="JUJ171" s="72"/>
      <c r="JUK171" s="72"/>
      <c r="JUL171" s="72"/>
      <c r="JUM171" s="72"/>
      <c r="JUN171" s="72"/>
      <c r="JUO171" s="72"/>
      <c r="JUP171" s="72"/>
      <c r="JUQ171" s="72"/>
      <c r="JUR171" s="72"/>
      <c r="JUS171" s="72"/>
      <c r="JUT171" s="72"/>
      <c r="JUU171" s="72"/>
      <c r="JUV171" s="72"/>
      <c r="JUW171" s="72"/>
      <c r="JUX171" s="72"/>
      <c r="JUY171" s="72"/>
      <c r="JUZ171" s="72"/>
      <c r="JVA171" s="72"/>
      <c r="JVB171" s="72"/>
      <c r="JVC171" s="72"/>
      <c r="JVD171" s="72"/>
      <c r="JVE171" s="72"/>
      <c r="JVF171" s="72"/>
      <c r="JVG171" s="72"/>
      <c r="JVH171" s="72"/>
      <c r="JVI171" s="72"/>
      <c r="JVJ171" s="72"/>
      <c r="JVK171" s="72"/>
      <c r="JVL171" s="72"/>
      <c r="JVM171" s="72"/>
      <c r="JVN171" s="72"/>
      <c r="JVO171" s="72"/>
      <c r="JVP171" s="72"/>
      <c r="JVQ171" s="72"/>
      <c r="JVR171" s="72"/>
      <c r="JVS171" s="72"/>
      <c r="JVT171" s="72"/>
      <c r="JVU171" s="72"/>
      <c r="JVV171" s="72"/>
      <c r="JVW171" s="72"/>
      <c r="JVX171" s="72"/>
      <c r="JVY171" s="72"/>
      <c r="JVZ171" s="72"/>
      <c r="JWA171" s="72"/>
      <c r="JWB171" s="72"/>
      <c r="JWC171" s="72"/>
      <c r="JWD171" s="72"/>
      <c r="JWE171" s="72"/>
      <c r="JWF171" s="72"/>
      <c r="JWG171" s="72"/>
      <c r="JWH171" s="72"/>
      <c r="JWI171" s="72"/>
      <c r="JWJ171" s="72"/>
      <c r="JWK171" s="72"/>
      <c r="JWL171" s="72"/>
      <c r="JWM171" s="72"/>
      <c r="JWN171" s="72"/>
      <c r="JWO171" s="72"/>
      <c r="JWP171" s="72"/>
      <c r="JWQ171" s="72"/>
      <c r="JWR171" s="72"/>
      <c r="JWS171" s="72"/>
      <c r="JWT171" s="72"/>
      <c r="JWU171" s="72"/>
      <c r="JWV171" s="72"/>
      <c r="JWW171" s="72"/>
      <c r="JWX171" s="72"/>
      <c r="JWY171" s="72"/>
      <c r="JWZ171" s="72"/>
      <c r="JXA171" s="72"/>
      <c r="JXB171" s="72"/>
      <c r="JXC171" s="72"/>
      <c r="JXD171" s="72"/>
      <c r="JXE171" s="72"/>
      <c r="JXF171" s="72"/>
      <c r="JXG171" s="72"/>
      <c r="JXH171" s="72"/>
      <c r="JXI171" s="72"/>
      <c r="JXJ171" s="72"/>
      <c r="JXK171" s="72"/>
      <c r="JXL171" s="72"/>
      <c r="JXM171" s="72"/>
      <c r="JXN171" s="72"/>
      <c r="JXO171" s="72"/>
      <c r="JXP171" s="72"/>
      <c r="JXQ171" s="72"/>
      <c r="JXR171" s="72"/>
      <c r="JXS171" s="72"/>
      <c r="JXT171" s="72"/>
      <c r="JXU171" s="72"/>
      <c r="JXV171" s="72"/>
      <c r="JXW171" s="72"/>
      <c r="JXX171" s="72"/>
      <c r="JXY171" s="72"/>
      <c r="JXZ171" s="72"/>
      <c r="JYA171" s="72"/>
      <c r="JYB171" s="72"/>
      <c r="JYC171" s="72"/>
      <c r="JYD171" s="72"/>
      <c r="JYE171" s="72"/>
      <c r="JYF171" s="72"/>
      <c r="JYG171" s="72"/>
      <c r="JYH171" s="72"/>
      <c r="JYI171" s="72"/>
      <c r="JYJ171" s="72"/>
      <c r="JYK171" s="72"/>
      <c r="JYL171" s="72"/>
      <c r="JYM171" s="72"/>
      <c r="JYN171" s="72"/>
      <c r="JYO171" s="72"/>
      <c r="JYP171" s="72"/>
      <c r="JYQ171" s="72"/>
      <c r="JYR171" s="72"/>
      <c r="JYS171" s="72"/>
      <c r="JYT171" s="72"/>
      <c r="JYU171" s="72"/>
      <c r="JYV171" s="72"/>
      <c r="JYW171" s="72"/>
      <c r="JYX171" s="72"/>
      <c r="JYY171" s="72"/>
      <c r="JYZ171" s="72"/>
      <c r="JZA171" s="72"/>
      <c r="JZB171" s="72"/>
      <c r="JZC171" s="72"/>
      <c r="JZD171" s="72"/>
      <c r="JZE171" s="72"/>
      <c r="JZF171" s="72"/>
      <c r="JZG171" s="72"/>
      <c r="JZH171" s="72"/>
      <c r="JZI171" s="72"/>
      <c r="JZJ171" s="72"/>
      <c r="JZK171" s="72"/>
      <c r="JZL171" s="72"/>
      <c r="JZM171" s="72"/>
      <c r="JZN171" s="72"/>
      <c r="JZO171" s="72"/>
      <c r="JZP171" s="72"/>
      <c r="JZQ171" s="72"/>
      <c r="JZR171" s="72"/>
      <c r="JZS171" s="72"/>
      <c r="JZT171" s="72"/>
      <c r="JZU171" s="72"/>
      <c r="JZV171" s="72"/>
      <c r="JZW171" s="72"/>
      <c r="JZX171" s="72"/>
      <c r="JZY171" s="72"/>
      <c r="JZZ171" s="72"/>
      <c r="KAA171" s="72"/>
      <c r="KAB171" s="72"/>
      <c r="KAC171" s="72"/>
      <c r="KAD171" s="72"/>
      <c r="KAE171" s="72"/>
      <c r="KAF171" s="72"/>
      <c r="KAG171" s="72"/>
      <c r="KAH171" s="72"/>
      <c r="KAI171" s="72"/>
      <c r="KAJ171" s="72"/>
      <c r="KAK171" s="72"/>
      <c r="KAL171" s="72"/>
      <c r="KAM171" s="72"/>
      <c r="KAN171" s="72"/>
      <c r="KAO171" s="72"/>
      <c r="KAP171" s="72"/>
      <c r="KAQ171" s="72"/>
      <c r="KAR171" s="72"/>
      <c r="KAS171" s="72"/>
      <c r="KAT171" s="72"/>
      <c r="KAU171" s="72"/>
      <c r="KAV171" s="72"/>
      <c r="KAW171" s="72"/>
      <c r="KAX171" s="72"/>
      <c r="KAY171" s="72"/>
      <c r="KAZ171" s="72"/>
      <c r="KBA171" s="72"/>
      <c r="KBB171" s="72"/>
      <c r="KBC171" s="72"/>
      <c r="KBD171" s="72"/>
      <c r="KBE171" s="72"/>
      <c r="KBF171" s="72"/>
      <c r="KBG171" s="72"/>
      <c r="KBH171" s="72"/>
      <c r="KBI171" s="72"/>
      <c r="KBJ171" s="72"/>
      <c r="KBK171" s="72"/>
      <c r="KBL171" s="72"/>
      <c r="KBM171" s="72"/>
      <c r="KBN171" s="72"/>
      <c r="KBO171" s="72"/>
      <c r="KBP171" s="72"/>
      <c r="KBQ171" s="72"/>
      <c r="KBR171" s="72"/>
      <c r="KBS171" s="72"/>
      <c r="KBT171" s="72"/>
      <c r="KBU171" s="72"/>
      <c r="KBV171" s="72"/>
      <c r="KBW171" s="72"/>
      <c r="KBX171" s="72"/>
      <c r="KBY171" s="72"/>
      <c r="KBZ171" s="72"/>
      <c r="KCA171" s="72"/>
      <c r="KCB171" s="72"/>
      <c r="KCC171" s="72"/>
      <c r="KCD171" s="72"/>
      <c r="KCE171" s="72"/>
      <c r="KCF171" s="72"/>
      <c r="KCG171" s="72"/>
      <c r="KCH171" s="72"/>
      <c r="KCI171" s="72"/>
      <c r="KCJ171" s="72"/>
      <c r="KCK171" s="72"/>
      <c r="KCL171" s="72"/>
      <c r="KCM171" s="72"/>
      <c r="KCN171" s="72"/>
      <c r="KCO171" s="72"/>
      <c r="KCP171" s="72"/>
      <c r="KCQ171" s="72"/>
      <c r="KCR171" s="72"/>
      <c r="KCS171" s="72"/>
      <c r="KCT171" s="72"/>
      <c r="KCU171" s="72"/>
      <c r="KCV171" s="72"/>
      <c r="KCW171" s="72"/>
      <c r="KCX171" s="72"/>
      <c r="KCY171" s="72"/>
      <c r="KCZ171" s="72"/>
      <c r="KDA171" s="72"/>
      <c r="KDB171" s="72"/>
      <c r="KDC171" s="72"/>
      <c r="KDD171" s="72"/>
      <c r="KDE171" s="72"/>
      <c r="KDF171" s="72"/>
      <c r="KDG171" s="72"/>
      <c r="KDH171" s="72"/>
      <c r="KDI171" s="72"/>
      <c r="KDJ171" s="72"/>
      <c r="KDK171" s="72"/>
      <c r="KDL171" s="72"/>
      <c r="KDM171" s="72"/>
      <c r="KDN171" s="72"/>
      <c r="KDO171" s="72"/>
      <c r="KDP171" s="72"/>
      <c r="KDQ171" s="72"/>
      <c r="KDR171" s="72"/>
      <c r="KDS171" s="72"/>
      <c r="KDT171" s="72"/>
      <c r="KDU171" s="72"/>
      <c r="KDV171" s="72"/>
      <c r="KDW171" s="72"/>
      <c r="KDX171" s="72"/>
      <c r="KDY171" s="72"/>
      <c r="KDZ171" s="72"/>
      <c r="KEA171" s="72"/>
      <c r="KEB171" s="72"/>
      <c r="KEC171" s="72"/>
      <c r="KED171" s="72"/>
      <c r="KEE171" s="72"/>
      <c r="KEF171" s="72"/>
      <c r="KEG171" s="72"/>
      <c r="KEH171" s="72"/>
      <c r="KEI171" s="72"/>
      <c r="KEJ171" s="72"/>
      <c r="KEK171" s="72"/>
      <c r="KEL171" s="72"/>
      <c r="KEM171" s="72"/>
      <c r="KEN171" s="72"/>
      <c r="KEO171" s="72"/>
      <c r="KEP171" s="72"/>
      <c r="KEQ171" s="72"/>
      <c r="KER171" s="72"/>
      <c r="KES171" s="72"/>
      <c r="KET171" s="72"/>
      <c r="KEU171" s="72"/>
      <c r="KEV171" s="72"/>
      <c r="KEW171" s="72"/>
      <c r="KEX171" s="72"/>
      <c r="KEY171" s="72"/>
      <c r="KEZ171" s="72"/>
      <c r="KFA171" s="72"/>
      <c r="KFB171" s="72"/>
      <c r="KFC171" s="72"/>
      <c r="KFD171" s="72"/>
      <c r="KFE171" s="72"/>
      <c r="KFF171" s="72"/>
      <c r="KFG171" s="72"/>
      <c r="KFH171" s="72"/>
      <c r="KFI171" s="72"/>
      <c r="KFJ171" s="72"/>
      <c r="KFK171" s="72"/>
      <c r="KFL171" s="72"/>
      <c r="KFM171" s="72"/>
      <c r="KFN171" s="72"/>
      <c r="KFO171" s="72"/>
      <c r="KFP171" s="72"/>
      <c r="KFQ171" s="72"/>
      <c r="KFR171" s="72"/>
      <c r="KFS171" s="72"/>
      <c r="KFT171" s="72"/>
      <c r="KFU171" s="72"/>
      <c r="KFV171" s="72"/>
      <c r="KFW171" s="72"/>
      <c r="KFX171" s="72"/>
      <c r="KFY171" s="72"/>
      <c r="KFZ171" s="72"/>
      <c r="KGA171" s="72"/>
      <c r="KGB171" s="72"/>
      <c r="KGC171" s="72"/>
      <c r="KGD171" s="72"/>
      <c r="KGE171" s="72"/>
      <c r="KGF171" s="72"/>
      <c r="KGG171" s="72"/>
      <c r="KGH171" s="72"/>
      <c r="KGI171" s="72"/>
      <c r="KGJ171" s="72"/>
      <c r="KGK171" s="72"/>
      <c r="KGL171" s="72"/>
      <c r="KGM171" s="72"/>
      <c r="KGN171" s="72"/>
      <c r="KGO171" s="72"/>
      <c r="KGP171" s="72"/>
      <c r="KGQ171" s="72"/>
      <c r="KGR171" s="72"/>
      <c r="KGS171" s="72"/>
      <c r="KGT171" s="72"/>
      <c r="KGU171" s="72"/>
      <c r="KGV171" s="72"/>
      <c r="KGW171" s="72"/>
      <c r="KGX171" s="72"/>
      <c r="KGY171" s="72"/>
      <c r="KGZ171" s="72"/>
      <c r="KHA171" s="72"/>
      <c r="KHB171" s="72"/>
      <c r="KHC171" s="72"/>
      <c r="KHD171" s="72"/>
      <c r="KHE171" s="72"/>
      <c r="KHF171" s="72"/>
      <c r="KHG171" s="72"/>
      <c r="KHH171" s="72"/>
      <c r="KHI171" s="72"/>
      <c r="KHJ171" s="72"/>
      <c r="KHK171" s="72"/>
      <c r="KHL171" s="72"/>
      <c r="KHM171" s="72"/>
      <c r="KHN171" s="72"/>
      <c r="KHO171" s="72"/>
      <c r="KHP171" s="72"/>
      <c r="KHQ171" s="72"/>
      <c r="KHR171" s="72"/>
      <c r="KHS171" s="72"/>
      <c r="KHT171" s="72"/>
      <c r="KHU171" s="72"/>
      <c r="KHV171" s="72"/>
      <c r="KHW171" s="72"/>
      <c r="KHX171" s="72"/>
      <c r="KHY171" s="72"/>
      <c r="KHZ171" s="72"/>
      <c r="KIA171" s="72"/>
      <c r="KIB171" s="72"/>
      <c r="KIC171" s="72"/>
      <c r="KID171" s="72"/>
      <c r="KIE171" s="72"/>
      <c r="KIF171" s="72"/>
      <c r="KIG171" s="72"/>
      <c r="KIH171" s="72"/>
      <c r="KII171" s="72"/>
      <c r="KIJ171" s="72"/>
      <c r="KIK171" s="72"/>
      <c r="KIL171" s="72"/>
      <c r="KIM171" s="72"/>
      <c r="KIN171" s="72"/>
      <c r="KIO171" s="72"/>
      <c r="KIP171" s="72"/>
      <c r="KIQ171" s="72"/>
      <c r="KIR171" s="72"/>
      <c r="KIS171" s="72"/>
      <c r="KIT171" s="72"/>
      <c r="KIU171" s="72"/>
      <c r="KIV171" s="72"/>
      <c r="KIW171" s="72"/>
      <c r="KIX171" s="72"/>
      <c r="KIY171" s="72"/>
      <c r="KIZ171" s="72"/>
      <c r="KJA171" s="72"/>
      <c r="KJB171" s="72"/>
      <c r="KJC171" s="72"/>
      <c r="KJD171" s="72"/>
      <c r="KJE171" s="72"/>
      <c r="KJF171" s="72"/>
      <c r="KJG171" s="72"/>
      <c r="KJH171" s="72"/>
      <c r="KJI171" s="72"/>
      <c r="KJJ171" s="72"/>
      <c r="KJK171" s="72"/>
      <c r="KJL171" s="72"/>
      <c r="KJM171" s="72"/>
      <c r="KJN171" s="72"/>
      <c r="KJO171" s="72"/>
      <c r="KJP171" s="72"/>
      <c r="KJQ171" s="72"/>
      <c r="KJR171" s="72"/>
      <c r="KJS171" s="72"/>
      <c r="KJT171" s="72"/>
      <c r="KJU171" s="72"/>
      <c r="KJV171" s="72"/>
      <c r="KJW171" s="72"/>
      <c r="KJX171" s="72"/>
      <c r="KJY171" s="72"/>
      <c r="KJZ171" s="72"/>
      <c r="KKA171" s="72"/>
      <c r="KKB171" s="72"/>
      <c r="KKC171" s="72"/>
      <c r="KKD171" s="72"/>
      <c r="KKE171" s="72"/>
      <c r="KKF171" s="72"/>
      <c r="KKG171" s="72"/>
      <c r="KKH171" s="72"/>
      <c r="KKI171" s="72"/>
      <c r="KKJ171" s="72"/>
      <c r="KKK171" s="72"/>
      <c r="KKL171" s="72"/>
      <c r="KKM171" s="72"/>
      <c r="KKN171" s="72"/>
      <c r="KKO171" s="72"/>
      <c r="KKP171" s="72"/>
      <c r="KKQ171" s="72"/>
      <c r="KKR171" s="72"/>
      <c r="KKS171" s="72"/>
      <c r="KKT171" s="72"/>
      <c r="KKU171" s="72"/>
      <c r="KKV171" s="72"/>
      <c r="KKW171" s="72"/>
      <c r="KKX171" s="72"/>
      <c r="KKY171" s="72"/>
      <c r="KKZ171" s="72"/>
      <c r="KLA171" s="72"/>
      <c r="KLB171" s="72"/>
      <c r="KLC171" s="72"/>
      <c r="KLD171" s="72"/>
      <c r="KLE171" s="72"/>
      <c r="KLF171" s="72"/>
      <c r="KLG171" s="72"/>
      <c r="KLH171" s="72"/>
      <c r="KLI171" s="72"/>
      <c r="KLJ171" s="72"/>
      <c r="KLK171" s="72"/>
      <c r="KLL171" s="72"/>
      <c r="KLM171" s="72"/>
      <c r="KLN171" s="72"/>
      <c r="KLO171" s="72"/>
      <c r="KLP171" s="72"/>
      <c r="KLQ171" s="72"/>
      <c r="KLR171" s="72"/>
      <c r="KLS171" s="72"/>
      <c r="KLT171" s="72"/>
      <c r="KLU171" s="72"/>
      <c r="KLV171" s="72"/>
      <c r="KLW171" s="72"/>
      <c r="KLX171" s="72"/>
      <c r="KLY171" s="72"/>
      <c r="KLZ171" s="72"/>
      <c r="KMA171" s="72"/>
      <c r="KMB171" s="72"/>
      <c r="KMC171" s="72"/>
      <c r="KMD171" s="72"/>
      <c r="KME171" s="72"/>
      <c r="KMF171" s="72"/>
      <c r="KMG171" s="72"/>
      <c r="KMH171" s="72"/>
      <c r="KMI171" s="72"/>
      <c r="KMJ171" s="72"/>
      <c r="KMK171" s="72"/>
      <c r="KML171" s="72"/>
      <c r="KMM171" s="72"/>
      <c r="KMN171" s="72"/>
      <c r="KMO171" s="72"/>
      <c r="KMP171" s="72"/>
      <c r="KMQ171" s="72"/>
      <c r="KMR171" s="72"/>
      <c r="KMS171" s="72"/>
      <c r="KMT171" s="72"/>
      <c r="KMU171" s="72"/>
      <c r="KMV171" s="72"/>
      <c r="KMW171" s="72"/>
      <c r="KMX171" s="72"/>
      <c r="KMY171" s="72"/>
      <c r="KMZ171" s="72"/>
      <c r="KNA171" s="72"/>
      <c r="KNB171" s="72"/>
      <c r="KNC171" s="72"/>
      <c r="KND171" s="72"/>
      <c r="KNE171" s="72"/>
      <c r="KNF171" s="72"/>
      <c r="KNG171" s="72"/>
      <c r="KNH171" s="72"/>
      <c r="KNI171" s="72"/>
      <c r="KNJ171" s="72"/>
      <c r="KNK171" s="72"/>
      <c r="KNL171" s="72"/>
      <c r="KNM171" s="72"/>
      <c r="KNN171" s="72"/>
      <c r="KNO171" s="72"/>
      <c r="KNP171" s="72"/>
      <c r="KNQ171" s="72"/>
      <c r="KNR171" s="72"/>
      <c r="KNS171" s="72"/>
      <c r="KNT171" s="72"/>
      <c r="KNU171" s="72"/>
      <c r="KNV171" s="72"/>
      <c r="KNW171" s="72"/>
      <c r="KNX171" s="72"/>
      <c r="KNY171" s="72"/>
      <c r="KNZ171" s="72"/>
      <c r="KOA171" s="72"/>
      <c r="KOB171" s="72"/>
      <c r="KOC171" s="72"/>
      <c r="KOD171" s="72"/>
      <c r="KOE171" s="72"/>
      <c r="KOF171" s="72"/>
      <c r="KOG171" s="72"/>
      <c r="KOH171" s="72"/>
      <c r="KOI171" s="72"/>
      <c r="KOJ171" s="72"/>
      <c r="KOK171" s="72"/>
      <c r="KOL171" s="72"/>
      <c r="KOM171" s="72"/>
      <c r="KON171" s="72"/>
      <c r="KOO171" s="72"/>
      <c r="KOP171" s="72"/>
      <c r="KOQ171" s="72"/>
      <c r="KOR171" s="72"/>
      <c r="KOS171" s="72"/>
      <c r="KOT171" s="72"/>
      <c r="KOU171" s="72"/>
      <c r="KOV171" s="72"/>
      <c r="KOW171" s="72"/>
      <c r="KOX171" s="72"/>
      <c r="KOY171" s="72"/>
      <c r="KOZ171" s="72"/>
      <c r="KPA171" s="72"/>
      <c r="KPB171" s="72"/>
      <c r="KPC171" s="72"/>
      <c r="KPD171" s="72"/>
      <c r="KPE171" s="72"/>
      <c r="KPF171" s="72"/>
      <c r="KPG171" s="72"/>
      <c r="KPH171" s="72"/>
      <c r="KPI171" s="72"/>
      <c r="KPJ171" s="72"/>
      <c r="KPK171" s="72"/>
      <c r="KPL171" s="72"/>
      <c r="KPM171" s="72"/>
      <c r="KPN171" s="72"/>
      <c r="KPO171" s="72"/>
      <c r="KPP171" s="72"/>
      <c r="KPQ171" s="72"/>
      <c r="KPR171" s="72"/>
      <c r="KPS171" s="72"/>
      <c r="KPT171" s="72"/>
      <c r="KPU171" s="72"/>
      <c r="KPV171" s="72"/>
      <c r="KPW171" s="72"/>
      <c r="KPX171" s="72"/>
      <c r="KPY171" s="72"/>
      <c r="KPZ171" s="72"/>
      <c r="KQA171" s="72"/>
      <c r="KQB171" s="72"/>
      <c r="KQC171" s="72"/>
      <c r="KQD171" s="72"/>
      <c r="KQE171" s="72"/>
      <c r="KQF171" s="72"/>
      <c r="KQG171" s="72"/>
      <c r="KQH171" s="72"/>
      <c r="KQI171" s="72"/>
      <c r="KQJ171" s="72"/>
      <c r="KQK171" s="72"/>
      <c r="KQL171" s="72"/>
      <c r="KQM171" s="72"/>
      <c r="KQN171" s="72"/>
      <c r="KQO171" s="72"/>
      <c r="KQP171" s="72"/>
      <c r="KQQ171" s="72"/>
      <c r="KQR171" s="72"/>
      <c r="KQS171" s="72"/>
      <c r="KQT171" s="72"/>
      <c r="KQU171" s="72"/>
      <c r="KQV171" s="72"/>
      <c r="KQW171" s="72"/>
      <c r="KQX171" s="72"/>
      <c r="KQY171" s="72"/>
      <c r="KQZ171" s="72"/>
      <c r="KRA171" s="72"/>
      <c r="KRB171" s="72"/>
      <c r="KRC171" s="72"/>
      <c r="KRD171" s="72"/>
      <c r="KRE171" s="72"/>
      <c r="KRF171" s="72"/>
      <c r="KRG171" s="72"/>
      <c r="KRH171" s="72"/>
      <c r="KRI171" s="72"/>
      <c r="KRJ171" s="72"/>
      <c r="KRK171" s="72"/>
      <c r="KRL171" s="72"/>
      <c r="KRM171" s="72"/>
      <c r="KRN171" s="72"/>
      <c r="KRO171" s="72"/>
      <c r="KRP171" s="72"/>
      <c r="KRQ171" s="72"/>
      <c r="KRR171" s="72"/>
      <c r="KRS171" s="72"/>
      <c r="KRT171" s="72"/>
      <c r="KRU171" s="72"/>
      <c r="KRV171" s="72"/>
      <c r="KRW171" s="72"/>
      <c r="KRX171" s="72"/>
      <c r="KRY171" s="72"/>
      <c r="KRZ171" s="72"/>
      <c r="KSA171" s="72"/>
      <c r="KSB171" s="72"/>
      <c r="KSC171" s="72"/>
      <c r="KSD171" s="72"/>
      <c r="KSE171" s="72"/>
      <c r="KSF171" s="72"/>
      <c r="KSG171" s="72"/>
      <c r="KSH171" s="72"/>
      <c r="KSI171" s="72"/>
      <c r="KSJ171" s="72"/>
      <c r="KSK171" s="72"/>
      <c r="KSL171" s="72"/>
      <c r="KSM171" s="72"/>
      <c r="KSN171" s="72"/>
      <c r="KSO171" s="72"/>
      <c r="KSP171" s="72"/>
      <c r="KSQ171" s="72"/>
      <c r="KSR171" s="72"/>
      <c r="KSS171" s="72"/>
      <c r="KST171" s="72"/>
      <c r="KSU171" s="72"/>
      <c r="KSV171" s="72"/>
      <c r="KSW171" s="72"/>
      <c r="KSX171" s="72"/>
      <c r="KSY171" s="72"/>
      <c r="KSZ171" s="72"/>
      <c r="KTA171" s="72"/>
      <c r="KTB171" s="72"/>
      <c r="KTC171" s="72"/>
      <c r="KTD171" s="72"/>
      <c r="KTE171" s="72"/>
      <c r="KTF171" s="72"/>
      <c r="KTG171" s="72"/>
      <c r="KTH171" s="72"/>
      <c r="KTI171" s="72"/>
      <c r="KTJ171" s="72"/>
      <c r="KTK171" s="72"/>
      <c r="KTL171" s="72"/>
      <c r="KTM171" s="72"/>
      <c r="KTN171" s="72"/>
      <c r="KTO171" s="72"/>
      <c r="KTP171" s="72"/>
      <c r="KTQ171" s="72"/>
      <c r="KTR171" s="72"/>
      <c r="KTS171" s="72"/>
      <c r="KTT171" s="72"/>
      <c r="KTU171" s="72"/>
      <c r="KTV171" s="72"/>
      <c r="KTW171" s="72"/>
      <c r="KTX171" s="72"/>
      <c r="KTY171" s="72"/>
      <c r="KTZ171" s="72"/>
      <c r="KUA171" s="72"/>
      <c r="KUB171" s="72"/>
      <c r="KUC171" s="72"/>
      <c r="KUD171" s="72"/>
      <c r="KUE171" s="72"/>
      <c r="KUF171" s="72"/>
      <c r="KUG171" s="72"/>
      <c r="KUH171" s="72"/>
      <c r="KUI171" s="72"/>
      <c r="KUJ171" s="72"/>
      <c r="KUK171" s="72"/>
      <c r="KUL171" s="72"/>
      <c r="KUM171" s="72"/>
      <c r="KUN171" s="72"/>
      <c r="KUO171" s="72"/>
      <c r="KUP171" s="72"/>
      <c r="KUQ171" s="72"/>
      <c r="KUR171" s="72"/>
      <c r="KUS171" s="72"/>
      <c r="KUT171" s="72"/>
      <c r="KUU171" s="72"/>
      <c r="KUV171" s="72"/>
      <c r="KUW171" s="72"/>
      <c r="KUX171" s="72"/>
      <c r="KUY171" s="72"/>
      <c r="KUZ171" s="72"/>
      <c r="KVA171" s="72"/>
      <c r="KVB171" s="72"/>
      <c r="KVC171" s="72"/>
      <c r="KVD171" s="72"/>
      <c r="KVE171" s="72"/>
      <c r="KVF171" s="72"/>
      <c r="KVG171" s="72"/>
      <c r="KVH171" s="72"/>
      <c r="KVI171" s="72"/>
      <c r="KVJ171" s="72"/>
      <c r="KVK171" s="72"/>
      <c r="KVL171" s="72"/>
      <c r="KVM171" s="72"/>
      <c r="KVN171" s="72"/>
      <c r="KVO171" s="72"/>
      <c r="KVP171" s="72"/>
      <c r="KVQ171" s="72"/>
      <c r="KVR171" s="72"/>
      <c r="KVS171" s="72"/>
      <c r="KVT171" s="72"/>
      <c r="KVU171" s="72"/>
      <c r="KVV171" s="72"/>
      <c r="KVW171" s="72"/>
      <c r="KVX171" s="72"/>
      <c r="KVY171" s="72"/>
      <c r="KVZ171" s="72"/>
      <c r="KWA171" s="72"/>
      <c r="KWB171" s="72"/>
      <c r="KWC171" s="72"/>
      <c r="KWD171" s="72"/>
      <c r="KWE171" s="72"/>
      <c r="KWF171" s="72"/>
      <c r="KWG171" s="72"/>
      <c r="KWH171" s="72"/>
      <c r="KWI171" s="72"/>
      <c r="KWJ171" s="72"/>
      <c r="KWK171" s="72"/>
      <c r="KWL171" s="72"/>
      <c r="KWM171" s="72"/>
      <c r="KWN171" s="72"/>
      <c r="KWO171" s="72"/>
      <c r="KWP171" s="72"/>
      <c r="KWQ171" s="72"/>
      <c r="KWR171" s="72"/>
      <c r="KWS171" s="72"/>
      <c r="KWT171" s="72"/>
      <c r="KWU171" s="72"/>
      <c r="KWV171" s="72"/>
      <c r="KWW171" s="72"/>
      <c r="KWX171" s="72"/>
      <c r="KWY171" s="72"/>
      <c r="KWZ171" s="72"/>
      <c r="KXA171" s="72"/>
      <c r="KXB171" s="72"/>
      <c r="KXC171" s="72"/>
      <c r="KXD171" s="72"/>
      <c r="KXE171" s="72"/>
      <c r="KXF171" s="72"/>
      <c r="KXG171" s="72"/>
      <c r="KXH171" s="72"/>
      <c r="KXI171" s="72"/>
      <c r="KXJ171" s="72"/>
      <c r="KXK171" s="72"/>
      <c r="KXL171" s="72"/>
      <c r="KXM171" s="72"/>
      <c r="KXN171" s="72"/>
      <c r="KXO171" s="72"/>
      <c r="KXP171" s="72"/>
      <c r="KXQ171" s="72"/>
      <c r="KXR171" s="72"/>
      <c r="KXS171" s="72"/>
      <c r="KXT171" s="72"/>
      <c r="KXU171" s="72"/>
      <c r="KXV171" s="72"/>
      <c r="KXW171" s="72"/>
      <c r="KXX171" s="72"/>
      <c r="KXY171" s="72"/>
      <c r="KXZ171" s="72"/>
      <c r="KYA171" s="72"/>
      <c r="KYB171" s="72"/>
      <c r="KYC171" s="72"/>
      <c r="KYD171" s="72"/>
      <c r="KYE171" s="72"/>
      <c r="KYF171" s="72"/>
      <c r="KYG171" s="72"/>
      <c r="KYH171" s="72"/>
      <c r="KYI171" s="72"/>
      <c r="KYJ171" s="72"/>
      <c r="KYK171" s="72"/>
      <c r="KYL171" s="72"/>
      <c r="KYM171" s="72"/>
      <c r="KYN171" s="72"/>
      <c r="KYO171" s="72"/>
      <c r="KYP171" s="72"/>
      <c r="KYQ171" s="72"/>
      <c r="KYR171" s="72"/>
      <c r="KYS171" s="72"/>
      <c r="KYT171" s="72"/>
      <c r="KYU171" s="72"/>
      <c r="KYV171" s="72"/>
      <c r="KYW171" s="72"/>
      <c r="KYX171" s="72"/>
      <c r="KYY171" s="72"/>
      <c r="KYZ171" s="72"/>
      <c r="KZA171" s="72"/>
      <c r="KZB171" s="72"/>
      <c r="KZC171" s="72"/>
      <c r="KZD171" s="72"/>
      <c r="KZE171" s="72"/>
      <c r="KZF171" s="72"/>
      <c r="KZG171" s="72"/>
      <c r="KZH171" s="72"/>
      <c r="KZI171" s="72"/>
      <c r="KZJ171" s="72"/>
      <c r="KZK171" s="72"/>
      <c r="KZL171" s="72"/>
      <c r="KZM171" s="72"/>
      <c r="KZN171" s="72"/>
      <c r="KZO171" s="72"/>
      <c r="KZP171" s="72"/>
      <c r="KZQ171" s="72"/>
      <c r="KZR171" s="72"/>
      <c r="KZS171" s="72"/>
      <c r="KZT171" s="72"/>
      <c r="KZU171" s="72"/>
      <c r="KZV171" s="72"/>
      <c r="KZW171" s="72"/>
      <c r="KZX171" s="72"/>
      <c r="KZY171" s="72"/>
      <c r="KZZ171" s="72"/>
      <c r="LAA171" s="72"/>
      <c r="LAB171" s="72"/>
      <c r="LAC171" s="72"/>
      <c r="LAD171" s="72"/>
      <c r="LAE171" s="72"/>
      <c r="LAF171" s="72"/>
      <c r="LAG171" s="72"/>
      <c r="LAH171" s="72"/>
      <c r="LAI171" s="72"/>
      <c r="LAJ171" s="72"/>
      <c r="LAK171" s="72"/>
      <c r="LAL171" s="72"/>
      <c r="LAM171" s="72"/>
      <c r="LAN171" s="72"/>
      <c r="LAO171" s="72"/>
      <c r="LAP171" s="72"/>
      <c r="LAQ171" s="72"/>
      <c r="LAR171" s="72"/>
      <c r="LAS171" s="72"/>
      <c r="LAT171" s="72"/>
      <c r="LAU171" s="72"/>
      <c r="LAV171" s="72"/>
      <c r="LAW171" s="72"/>
      <c r="LAX171" s="72"/>
      <c r="LAY171" s="72"/>
      <c r="LAZ171" s="72"/>
      <c r="LBA171" s="72"/>
      <c r="LBB171" s="72"/>
      <c r="LBC171" s="72"/>
      <c r="LBD171" s="72"/>
      <c r="LBE171" s="72"/>
      <c r="LBF171" s="72"/>
      <c r="LBG171" s="72"/>
      <c r="LBH171" s="72"/>
      <c r="LBI171" s="72"/>
      <c r="LBJ171" s="72"/>
      <c r="LBK171" s="72"/>
      <c r="LBL171" s="72"/>
      <c r="LBM171" s="72"/>
      <c r="LBN171" s="72"/>
      <c r="LBO171" s="72"/>
      <c r="LBP171" s="72"/>
      <c r="LBQ171" s="72"/>
      <c r="LBR171" s="72"/>
      <c r="LBS171" s="72"/>
      <c r="LBT171" s="72"/>
      <c r="LBU171" s="72"/>
      <c r="LBV171" s="72"/>
      <c r="LBW171" s="72"/>
      <c r="LBX171" s="72"/>
      <c r="LBY171" s="72"/>
      <c r="LBZ171" s="72"/>
      <c r="LCA171" s="72"/>
      <c r="LCB171" s="72"/>
      <c r="LCC171" s="72"/>
      <c r="LCD171" s="72"/>
      <c r="LCE171" s="72"/>
      <c r="LCF171" s="72"/>
      <c r="LCG171" s="72"/>
      <c r="LCH171" s="72"/>
      <c r="LCI171" s="72"/>
      <c r="LCJ171" s="72"/>
      <c r="LCK171" s="72"/>
      <c r="LCL171" s="72"/>
      <c r="LCM171" s="72"/>
      <c r="LCN171" s="72"/>
      <c r="LCO171" s="72"/>
      <c r="LCP171" s="72"/>
      <c r="LCQ171" s="72"/>
      <c r="LCR171" s="72"/>
      <c r="LCS171" s="72"/>
      <c r="LCT171" s="72"/>
      <c r="LCU171" s="72"/>
      <c r="LCV171" s="72"/>
      <c r="LCW171" s="72"/>
      <c r="LCX171" s="72"/>
      <c r="LCY171" s="72"/>
      <c r="LCZ171" s="72"/>
      <c r="LDA171" s="72"/>
      <c r="LDB171" s="72"/>
      <c r="LDC171" s="72"/>
      <c r="LDD171" s="72"/>
      <c r="LDE171" s="72"/>
      <c r="LDF171" s="72"/>
      <c r="LDG171" s="72"/>
      <c r="LDH171" s="72"/>
      <c r="LDI171" s="72"/>
      <c r="LDJ171" s="72"/>
      <c r="LDK171" s="72"/>
      <c r="LDL171" s="72"/>
      <c r="LDM171" s="72"/>
      <c r="LDN171" s="72"/>
      <c r="LDO171" s="72"/>
      <c r="LDP171" s="72"/>
      <c r="LDQ171" s="72"/>
      <c r="LDR171" s="72"/>
      <c r="LDS171" s="72"/>
      <c r="LDT171" s="72"/>
      <c r="LDU171" s="72"/>
      <c r="LDV171" s="72"/>
      <c r="LDW171" s="72"/>
      <c r="LDX171" s="72"/>
      <c r="LDY171" s="72"/>
      <c r="LDZ171" s="72"/>
      <c r="LEA171" s="72"/>
      <c r="LEB171" s="72"/>
      <c r="LEC171" s="72"/>
      <c r="LED171" s="72"/>
      <c r="LEE171" s="72"/>
      <c r="LEF171" s="72"/>
      <c r="LEG171" s="72"/>
      <c r="LEH171" s="72"/>
      <c r="LEI171" s="72"/>
      <c r="LEJ171" s="72"/>
      <c r="LEK171" s="72"/>
      <c r="LEL171" s="72"/>
      <c r="LEM171" s="72"/>
      <c r="LEN171" s="72"/>
      <c r="LEO171" s="72"/>
      <c r="LEP171" s="72"/>
      <c r="LEQ171" s="72"/>
      <c r="LER171" s="72"/>
      <c r="LES171" s="72"/>
      <c r="LET171" s="72"/>
      <c r="LEU171" s="72"/>
      <c r="LEV171" s="72"/>
      <c r="LEW171" s="72"/>
      <c r="LEX171" s="72"/>
      <c r="LEY171" s="72"/>
      <c r="LEZ171" s="72"/>
      <c r="LFA171" s="72"/>
      <c r="LFB171" s="72"/>
      <c r="LFC171" s="72"/>
      <c r="LFD171" s="72"/>
      <c r="LFE171" s="72"/>
      <c r="LFF171" s="72"/>
      <c r="LFG171" s="72"/>
      <c r="LFH171" s="72"/>
      <c r="LFI171" s="72"/>
      <c r="LFJ171" s="72"/>
      <c r="LFK171" s="72"/>
      <c r="LFL171" s="72"/>
      <c r="LFM171" s="72"/>
      <c r="LFN171" s="72"/>
      <c r="LFO171" s="72"/>
      <c r="LFP171" s="72"/>
      <c r="LFQ171" s="72"/>
      <c r="LFR171" s="72"/>
      <c r="LFS171" s="72"/>
      <c r="LFT171" s="72"/>
      <c r="LFU171" s="72"/>
      <c r="LFV171" s="72"/>
      <c r="LFW171" s="72"/>
      <c r="LFX171" s="72"/>
      <c r="LFY171" s="72"/>
      <c r="LFZ171" s="72"/>
      <c r="LGA171" s="72"/>
      <c r="LGB171" s="72"/>
      <c r="LGC171" s="72"/>
      <c r="LGD171" s="72"/>
      <c r="LGE171" s="72"/>
      <c r="LGF171" s="72"/>
      <c r="LGG171" s="72"/>
      <c r="LGH171" s="72"/>
      <c r="LGI171" s="72"/>
      <c r="LGJ171" s="72"/>
      <c r="LGK171" s="72"/>
      <c r="LGL171" s="72"/>
      <c r="LGM171" s="72"/>
      <c r="LGN171" s="72"/>
      <c r="LGO171" s="72"/>
      <c r="LGP171" s="72"/>
      <c r="LGQ171" s="72"/>
      <c r="LGR171" s="72"/>
      <c r="LGS171" s="72"/>
      <c r="LGT171" s="72"/>
      <c r="LGU171" s="72"/>
      <c r="LGV171" s="72"/>
      <c r="LGW171" s="72"/>
      <c r="LGX171" s="72"/>
      <c r="LGY171" s="72"/>
      <c r="LGZ171" s="72"/>
      <c r="LHA171" s="72"/>
      <c r="LHB171" s="72"/>
      <c r="LHC171" s="72"/>
      <c r="LHD171" s="72"/>
      <c r="LHE171" s="72"/>
      <c r="LHF171" s="72"/>
      <c r="LHG171" s="72"/>
      <c r="LHH171" s="72"/>
      <c r="LHI171" s="72"/>
      <c r="LHJ171" s="72"/>
      <c r="LHK171" s="72"/>
      <c r="LHL171" s="72"/>
      <c r="LHM171" s="72"/>
      <c r="LHN171" s="72"/>
      <c r="LHO171" s="72"/>
      <c r="LHP171" s="72"/>
      <c r="LHQ171" s="72"/>
      <c r="LHR171" s="72"/>
      <c r="LHS171" s="72"/>
      <c r="LHT171" s="72"/>
      <c r="LHU171" s="72"/>
      <c r="LHV171" s="72"/>
      <c r="LHW171" s="72"/>
      <c r="LHX171" s="72"/>
      <c r="LHY171" s="72"/>
      <c r="LHZ171" s="72"/>
      <c r="LIA171" s="72"/>
      <c r="LIB171" s="72"/>
      <c r="LIC171" s="72"/>
      <c r="LID171" s="72"/>
      <c r="LIE171" s="72"/>
      <c r="LIF171" s="72"/>
      <c r="LIG171" s="72"/>
      <c r="LIH171" s="72"/>
      <c r="LII171" s="72"/>
      <c r="LIJ171" s="72"/>
      <c r="LIK171" s="72"/>
      <c r="LIL171" s="72"/>
      <c r="LIM171" s="72"/>
      <c r="LIN171" s="72"/>
      <c r="LIO171" s="72"/>
      <c r="LIP171" s="72"/>
      <c r="LIQ171" s="72"/>
      <c r="LIR171" s="72"/>
      <c r="LIS171" s="72"/>
      <c r="LIT171" s="72"/>
      <c r="LIU171" s="72"/>
      <c r="LIV171" s="72"/>
      <c r="LIW171" s="72"/>
      <c r="LIX171" s="72"/>
      <c r="LIY171" s="72"/>
      <c r="LIZ171" s="72"/>
      <c r="LJA171" s="72"/>
      <c r="LJB171" s="72"/>
      <c r="LJC171" s="72"/>
      <c r="LJD171" s="72"/>
      <c r="LJE171" s="72"/>
      <c r="LJF171" s="72"/>
      <c r="LJG171" s="72"/>
      <c r="LJH171" s="72"/>
      <c r="LJI171" s="72"/>
      <c r="LJJ171" s="72"/>
      <c r="LJK171" s="72"/>
      <c r="LJL171" s="72"/>
      <c r="LJM171" s="72"/>
      <c r="LJN171" s="72"/>
      <c r="LJO171" s="72"/>
      <c r="LJP171" s="72"/>
      <c r="LJQ171" s="72"/>
      <c r="LJR171" s="72"/>
      <c r="LJS171" s="72"/>
      <c r="LJT171" s="72"/>
      <c r="LJU171" s="72"/>
      <c r="LJV171" s="72"/>
      <c r="LJW171" s="72"/>
      <c r="LJX171" s="72"/>
      <c r="LJY171" s="72"/>
      <c r="LJZ171" s="72"/>
      <c r="LKA171" s="72"/>
      <c r="LKB171" s="72"/>
      <c r="LKC171" s="72"/>
      <c r="LKD171" s="72"/>
      <c r="LKE171" s="72"/>
      <c r="LKF171" s="72"/>
      <c r="LKG171" s="72"/>
      <c r="LKH171" s="72"/>
      <c r="LKI171" s="72"/>
      <c r="LKJ171" s="72"/>
      <c r="LKK171" s="72"/>
      <c r="LKL171" s="72"/>
      <c r="LKM171" s="72"/>
      <c r="LKN171" s="72"/>
      <c r="LKO171" s="72"/>
      <c r="LKP171" s="72"/>
      <c r="LKQ171" s="72"/>
      <c r="LKR171" s="72"/>
      <c r="LKS171" s="72"/>
      <c r="LKT171" s="72"/>
      <c r="LKU171" s="72"/>
      <c r="LKV171" s="72"/>
      <c r="LKW171" s="72"/>
      <c r="LKX171" s="72"/>
      <c r="LKY171" s="72"/>
      <c r="LKZ171" s="72"/>
      <c r="LLA171" s="72"/>
      <c r="LLB171" s="72"/>
      <c r="LLC171" s="72"/>
      <c r="LLD171" s="72"/>
      <c r="LLE171" s="72"/>
      <c r="LLF171" s="72"/>
      <c r="LLG171" s="72"/>
      <c r="LLH171" s="72"/>
      <c r="LLI171" s="72"/>
      <c r="LLJ171" s="72"/>
      <c r="LLK171" s="72"/>
      <c r="LLL171" s="72"/>
      <c r="LLM171" s="72"/>
      <c r="LLN171" s="72"/>
      <c r="LLO171" s="72"/>
      <c r="LLP171" s="72"/>
      <c r="LLQ171" s="72"/>
      <c r="LLR171" s="72"/>
      <c r="LLS171" s="72"/>
      <c r="LLT171" s="72"/>
      <c r="LLU171" s="72"/>
      <c r="LLV171" s="72"/>
      <c r="LLW171" s="72"/>
      <c r="LLX171" s="72"/>
      <c r="LLY171" s="72"/>
      <c r="LLZ171" s="72"/>
      <c r="LMA171" s="72"/>
      <c r="LMB171" s="72"/>
      <c r="LMC171" s="72"/>
      <c r="LMD171" s="72"/>
      <c r="LME171" s="72"/>
      <c r="LMF171" s="72"/>
      <c r="LMG171" s="72"/>
      <c r="LMH171" s="72"/>
      <c r="LMI171" s="72"/>
      <c r="LMJ171" s="72"/>
      <c r="LMK171" s="72"/>
      <c r="LML171" s="72"/>
      <c r="LMM171" s="72"/>
      <c r="LMN171" s="72"/>
      <c r="LMO171" s="72"/>
      <c r="LMP171" s="72"/>
      <c r="LMQ171" s="72"/>
      <c r="LMR171" s="72"/>
      <c r="LMS171" s="72"/>
      <c r="LMT171" s="72"/>
      <c r="LMU171" s="72"/>
      <c r="LMV171" s="72"/>
      <c r="LMW171" s="72"/>
      <c r="LMX171" s="72"/>
      <c r="LMY171" s="72"/>
      <c r="LMZ171" s="72"/>
      <c r="LNA171" s="72"/>
      <c r="LNB171" s="72"/>
      <c r="LNC171" s="72"/>
      <c r="LND171" s="72"/>
      <c r="LNE171" s="72"/>
      <c r="LNF171" s="72"/>
      <c r="LNG171" s="72"/>
      <c r="LNH171" s="72"/>
      <c r="LNI171" s="72"/>
      <c r="LNJ171" s="72"/>
      <c r="LNK171" s="72"/>
      <c r="LNL171" s="72"/>
      <c r="LNM171" s="72"/>
      <c r="LNN171" s="72"/>
      <c r="LNO171" s="72"/>
      <c r="LNP171" s="72"/>
      <c r="LNQ171" s="72"/>
      <c r="LNR171" s="72"/>
      <c r="LNS171" s="72"/>
      <c r="LNT171" s="72"/>
      <c r="LNU171" s="72"/>
      <c r="LNV171" s="72"/>
      <c r="LNW171" s="72"/>
      <c r="LNX171" s="72"/>
      <c r="LNY171" s="72"/>
      <c r="LNZ171" s="72"/>
      <c r="LOA171" s="72"/>
      <c r="LOB171" s="72"/>
      <c r="LOC171" s="72"/>
      <c r="LOD171" s="72"/>
      <c r="LOE171" s="72"/>
      <c r="LOF171" s="72"/>
      <c r="LOG171" s="72"/>
      <c r="LOH171" s="72"/>
      <c r="LOI171" s="72"/>
      <c r="LOJ171" s="72"/>
      <c r="LOK171" s="72"/>
      <c r="LOL171" s="72"/>
      <c r="LOM171" s="72"/>
      <c r="LON171" s="72"/>
      <c r="LOO171" s="72"/>
      <c r="LOP171" s="72"/>
      <c r="LOQ171" s="72"/>
      <c r="LOR171" s="72"/>
      <c r="LOS171" s="72"/>
      <c r="LOT171" s="72"/>
      <c r="LOU171" s="72"/>
      <c r="LOV171" s="72"/>
      <c r="LOW171" s="72"/>
      <c r="LOX171" s="72"/>
      <c r="LOY171" s="72"/>
      <c r="LOZ171" s="72"/>
      <c r="LPA171" s="72"/>
      <c r="LPB171" s="72"/>
      <c r="LPC171" s="72"/>
      <c r="LPD171" s="72"/>
      <c r="LPE171" s="72"/>
      <c r="LPF171" s="72"/>
      <c r="LPG171" s="72"/>
      <c r="LPH171" s="72"/>
      <c r="LPI171" s="72"/>
      <c r="LPJ171" s="72"/>
      <c r="LPK171" s="72"/>
      <c r="LPL171" s="72"/>
      <c r="LPM171" s="72"/>
      <c r="LPN171" s="72"/>
      <c r="LPO171" s="72"/>
      <c r="LPP171" s="72"/>
      <c r="LPQ171" s="72"/>
      <c r="LPR171" s="72"/>
      <c r="LPS171" s="72"/>
      <c r="LPT171" s="72"/>
      <c r="LPU171" s="72"/>
      <c r="LPV171" s="72"/>
      <c r="LPW171" s="72"/>
      <c r="LPX171" s="72"/>
      <c r="LPY171" s="72"/>
      <c r="LPZ171" s="72"/>
      <c r="LQA171" s="72"/>
      <c r="LQB171" s="72"/>
      <c r="LQC171" s="72"/>
      <c r="LQD171" s="72"/>
      <c r="LQE171" s="72"/>
      <c r="LQF171" s="72"/>
      <c r="LQG171" s="72"/>
      <c r="LQH171" s="72"/>
      <c r="LQI171" s="72"/>
      <c r="LQJ171" s="72"/>
      <c r="LQK171" s="72"/>
      <c r="LQL171" s="72"/>
      <c r="LQM171" s="72"/>
      <c r="LQN171" s="72"/>
      <c r="LQO171" s="72"/>
      <c r="LQP171" s="72"/>
      <c r="LQQ171" s="72"/>
      <c r="LQR171" s="72"/>
      <c r="LQS171" s="72"/>
      <c r="LQT171" s="72"/>
      <c r="LQU171" s="72"/>
      <c r="LQV171" s="72"/>
      <c r="LQW171" s="72"/>
      <c r="LQX171" s="72"/>
      <c r="LQY171" s="72"/>
      <c r="LQZ171" s="72"/>
      <c r="LRA171" s="72"/>
      <c r="LRB171" s="72"/>
      <c r="LRC171" s="72"/>
      <c r="LRD171" s="72"/>
      <c r="LRE171" s="72"/>
      <c r="LRF171" s="72"/>
      <c r="LRG171" s="72"/>
      <c r="LRH171" s="72"/>
      <c r="LRI171" s="72"/>
      <c r="LRJ171" s="72"/>
      <c r="LRK171" s="72"/>
      <c r="LRL171" s="72"/>
      <c r="LRM171" s="72"/>
      <c r="LRN171" s="72"/>
      <c r="LRO171" s="72"/>
      <c r="LRP171" s="72"/>
      <c r="LRQ171" s="72"/>
      <c r="LRR171" s="72"/>
      <c r="LRS171" s="72"/>
      <c r="LRT171" s="72"/>
      <c r="LRU171" s="72"/>
      <c r="LRV171" s="72"/>
      <c r="LRW171" s="72"/>
      <c r="LRX171" s="72"/>
      <c r="LRY171" s="72"/>
      <c r="LRZ171" s="72"/>
      <c r="LSA171" s="72"/>
      <c r="LSB171" s="72"/>
      <c r="LSC171" s="72"/>
      <c r="LSD171" s="72"/>
      <c r="LSE171" s="72"/>
      <c r="LSF171" s="72"/>
      <c r="LSG171" s="72"/>
      <c r="LSH171" s="72"/>
      <c r="LSI171" s="72"/>
      <c r="LSJ171" s="72"/>
      <c r="LSK171" s="72"/>
      <c r="LSL171" s="72"/>
      <c r="LSM171" s="72"/>
      <c r="LSN171" s="72"/>
      <c r="LSO171" s="72"/>
      <c r="LSP171" s="72"/>
      <c r="LSQ171" s="72"/>
      <c r="LSR171" s="72"/>
      <c r="LSS171" s="72"/>
      <c r="LST171" s="72"/>
      <c r="LSU171" s="72"/>
      <c r="LSV171" s="72"/>
      <c r="LSW171" s="72"/>
      <c r="LSX171" s="72"/>
      <c r="LSY171" s="72"/>
      <c r="LSZ171" s="72"/>
      <c r="LTA171" s="72"/>
      <c r="LTB171" s="72"/>
      <c r="LTC171" s="72"/>
      <c r="LTD171" s="72"/>
      <c r="LTE171" s="72"/>
      <c r="LTF171" s="72"/>
      <c r="LTG171" s="72"/>
      <c r="LTH171" s="72"/>
      <c r="LTI171" s="72"/>
      <c r="LTJ171" s="72"/>
      <c r="LTK171" s="72"/>
      <c r="LTL171" s="72"/>
      <c r="LTM171" s="72"/>
      <c r="LTN171" s="72"/>
      <c r="LTO171" s="72"/>
      <c r="LTP171" s="72"/>
      <c r="LTQ171" s="72"/>
      <c r="LTR171" s="72"/>
      <c r="LTS171" s="72"/>
      <c r="LTT171" s="72"/>
      <c r="LTU171" s="72"/>
      <c r="LTV171" s="72"/>
      <c r="LTW171" s="72"/>
      <c r="LTX171" s="72"/>
      <c r="LTY171" s="72"/>
      <c r="LTZ171" s="72"/>
      <c r="LUA171" s="72"/>
      <c r="LUB171" s="72"/>
      <c r="LUC171" s="72"/>
      <c r="LUD171" s="72"/>
      <c r="LUE171" s="72"/>
      <c r="LUF171" s="72"/>
      <c r="LUG171" s="72"/>
      <c r="LUH171" s="72"/>
      <c r="LUI171" s="72"/>
      <c r="LUJ171" s="72"/>
      <c r="LUK171" s="72"/>
      <c r="LUL171" s="72"/>
      <c r="LUM171" s="72"/>
      <c r="LUN171" s="72"/>
      <c r="LUO171" s="72"/>
      <c r="LUP171" s="72"/>
      <c r="LUQ171" s="72"/>
      <c r="LUR171" s="72"/>
      <c r="LUS171" s="72"/>
      <c r="LUT171" s="72"/>
      <c r="LUU171" s="72"/>
      <c r="LUV171" s="72"/>
      <c r="LUW171" s="72"/>
      <c r="LUX171" s="72"/>
      <c r="LUY171" s="72"/>
      <c r="LUZ171" s="72"/>
      <c r="LVA171" s="72"/>
      <c r="LVB171" s="72"/>
      <c r="LVC171" s="72"/>
      <c r="LVD171" s="72"/>
      <c r="LVE171" s="72"/>
      <c r="LVF171" s="72"/>
      <c r="LVG171" s="72"/>
      <c r="LVH171" s="72"/>
      <c r="LVI171" s="72"/>
      <c r="LVJ171" s="72"/>
      <c r="LVK171" s="72"/>
      <c r="LVL171" s="72"/>
      <c r="LVM171" s="72"/>
      <c r="LVN171" s="72"/>
      <c r="LVO171" s="72"/>
      <c r="LVP171" s="72"/>
      <c r="LVQ171" s="72"/>
      <c r="LVR171" s="72"/>
      <c r="LVS171" s="72"/>
      <c r="LVT171" s="72"/>
      <c r="LVU171" s="72"/>
      <c r="LVV171" s="72"/>
      <c r="LVW171" s="72"/>
      <c r="LVX171" s="72"/>
      <c r="LVY171" s="72"/>
      <c r="LVZ171" s="72"/>
      <c r="LWA171" s="72"/>
      <c r="LWB171" s="72"/>
      <c r="LWC171" s="72"/>
      <c r="LWD171" s="72"/>
      <c r="LWE171" s="72"/>
      <c r="LWF171" s="72"/>
      <c r="LWG171" s="72"/>
      <c r="LWH171" s="72"/>
      <c r="LWI171" s="72"/>
      <c r="LWJ171" s="72"/>
      <c r="LWK171" s="72"/>
      <c r="LWL171" s="72"/>
      <c r="LWM171" s="72"/>
      <c r="LWN171" s="72"/>
      <c r="LWO171" s="72"/>
      <c r="LWP171" s="72"/>
      <c r="LWQ171" s="72"/>
      <c r="LWR171" s="72"/>
      <c r="LWS171" s="72"/>
      <c r="LWT171" s="72"/>
      <c r="LWU171" s="72"/>
      <c r="LWV171" s="72"/>
      <c r="LWW171" s="72"/>
      <c r="LWX171" s="72"/>
      <c r="LWY171" s="72"/>
      <c r="LWZ171" s="72"/>
      <c r="LXA171" s="72"/>
      <c r="LXB171" s="72"/>
      <c r="LXC171" s="72"/>
      <c r="LXD171" s="72"/>
      <c r="LXE171" s="72"/>
      <c r="LXF171" s="72"/>
      <c r="LXG171" s="72"/>
      <c r="LXH171" s="72"/>
      <c r="LXI171" s="72"/>
      <c r="LXJ171" s="72"/>
      <c r="LXK171" s="72"/>
      <c r="LXL171" s="72"/>
      <c r="LXM171" s="72"/>
      <c r="LXN171" s="72"/>
      <c r="LXO171" s="72"/>
      <c r="LXP171" s="72"/>
      <c r="LXQ171" s="72"/>
      <c r="LXR171" s="72"/>
      <c r="LXS171" s="72"/>
      <c r="LXT171" s="72"/>
      <c r="LXU171" s="72"/>
      <c r="LXV171" s="72"/>
      <c r="LXW171" s="72"/>
      <c r="LXX171" s="72"/>
      <c r="LXY171" s="72"/>
      <c r="LXZ171" s="72"/>
      <c r="LYA171" s="72"/>
      <c r="LYB171" s="72"/>
      <c r="LYC171" s="72"/>
      <c r="LYD171" s="72"/>
      <c r="LYE171" s="72"/>
      <c r="LYF171" s="72"/>
      <c r="LYG171" s="72"/>
      <c r="LYH171" s="72"/>
      <c r="LYI171" s="72"/>
      <c r="LYJ171" s="72"/>
      <c r="LYK171" s="72"/>
      <c r="LYL171" s="72"/>
      <c r="LYM171" s="72"/>
      <c r="LYN171" s="72"/>
      <c r="LYO171" s="72"/>
      <c r="LYP171" s="72"/>
      <c r="LYQ171" s="72"/>
      <c r="LYR171" s="72"/>
      <c r="LYS171" s="72"/>
      <c r="LYT171" s="72"/>
      <c r="LYU171" s="72"/>
      <c r="LYV171" s="72"/>
      <c r="LYW171" s="72"/>
      <c r="LYX171" s="72"/>
      <c r="LYY171" s="72"/>
      <c r="LYZ171" s="72"/>
      <c r="LZA171" s="72"/>
      <c r="LZB171" s="72"/>
      <c r="LZC171" s="72"/>
      <c r="LZD171" s="72"/>
      <c r="LZE171" s="72"/>
      <c r="LZF171" s="72"/>
      <c r="LZG171" s="72"/>
      <c r="LZH171" s="72"/>
      <c r="LZI171" s="72"/>
      <c r="LZJ171" s="72"/>
      <c r="LZK171" s="72"/>
      <c r="LZL171" s="72"/>
      <c r="LZM171" s="72"/>
      <c r="LZN171" s="72"/>
      <c r="LZO171" s="72"/>
      <c r="LZP171" s="72"/>
      <c r="LZQ171" s="72"/>
      <c r="LZR171" s="72"/>
      <c r="LZS171" s="72"/>
      <c r="LZT171" s="72"/>
      <c r="LZU171" s="72"/>
      <c r="LZV171" s="72"/>
      <c r="LZW171" s="72"/>
      <c r="LZX171" s="72"/>
      <c r="LZY171" s="72"/>
      <c r="LZZ171" s="72"/>
      <c r="MAA171" s="72"/>
      <c r="MAB171" s="72"/>
      <c r="MAC171" s="72"/>
      <c r="MAD171" s="72"/>
      <c r="MAE171" s="72"/>
      <c r="MAF171" s="72"/>
      <c r="MAG171" s="72"/>
      <c r="MAH171" s="72"/>
      <c r="MAI171" s="72"/>
      <c r="MAJ171" s="72"/>
      <c r="MAK171" s="72"/>
      <c r="MAL171" s="72"/>
      <c r="MAM171" s="72"/>
      <c r="MAN171" s="72"/>
      <c r="MAO171" s="72"/>
      <c r="MAP171" s="72"/>
      <c r="MAQ171" s="72"/>
      <c r="MAR171" s="72"/>
      <c r="MAS171" s="72"/>
      <c r="MAT171" s="72"/>
      <c r="MAU171" s="72"/>
      <c r="MAV171" s="72"/>
      <c r="MAW171" s="72"/>
      <c r="MAX171" s="72"/>
      <c r="MAY171" s="72"/>
      <c r="MAZ171" s="72"/>
      <c r="MBA171" s="72"/>
      <c r="MBB171" s="72"/>
      <c r="MBC171" s="72"/>
      <c r="MBD171" s="72"/>
      <c r="MBE171" s="72"/>
      <c r="MBF171" s="72"/>
      <c r="MBG171" s="72"/>
      <c r="MBH171" s="72"/>
      <c r="MBI171" s="72"/>
      <c r="MBJ171" s="72"/>
      <c r="MBK171" s="72"/>
      <c r="MBL171" s="72"/>
      <c r="MBM171" s="72"/>
      <c r="MBN171" s="72"/>
      <c r="MBO171" s="72"/>
      <c r="MBP171" s="72"/>
      <c r="MBQ171" s="72"/>
      <c r="MBR171" s="72"/>
      <c r="MBS171" s="72"/>
      <c r="MBT171" s="72"/>
      <c r="MBU171" s="72"/>
      <c r="MBV171" s="72"/>
      <c r="MBW171" s="72"/>
      <c r="MBX171" s="72"/>
      <c r="MBY171" s="72"/>
      <c r="MBZ171" s="72"/>
      <c r="MCA171" s="72"/>
      <c r="MCB171" s="72"/>
      <c r="MCC171" s="72"/>
      <c r="MCD171" s="72"/>
      <c r="MCE171" s="72"/>
      <c r="MCF171" s="72"/>
      <c r="MCG171" s="72"/>
      <c r="MCH171" s="72"/>
      <c r="MCI171" s="72"/>
      <c r="MCJ171" s="72"/>
      <c r="MCK171" s="72"/>
      <c r="MCL171" s="72"/>
      <c r="MCM171" s="72"/>
      <c r="MCN171" s="72"/>
      <c r="MCO171" s="72"/>
      <c r="MCP171" s="72"/>
      <c r="MCQ171" s="72"/>
      <c r="MCR171" s="72"/>
      <c r="MCS171" s="72"/>
      <c r="MCT171" s="72"/>
      <c r="MCU171" s="72"/>
      <c r="MCV171" s="72"/>
      <c r="MCW171" s="72"/>
      <c r="MCX171" s="72"/>
      <c r="MCY171" s="72"/>
      <c r="MCZ171" s="72"/>
      <c r="MDA171" s="72"/>
      <c r="MDB171" s="72"/>
      <c r="MDC171" s="72"/>
      <c r="MDD171" s="72"/>
      <c r="MDE171" s="72"/>
      <c r="MDF171" s="72"/>
      <c r="MDG171" s="72"/>
      <c r="MDH171" s="72"/>
      <c r="MDI171" s="72"/>
      <c r="MDJ171" s="72"/>
      <c r="MDK171" s="72"/>
      <c r="MDL171" s="72"/>
      <c r="MDM171" s="72"/>
      <c r="MDN171" s="72"/>
      <c r="MDO171" s="72"/>
      <c r="MDP171" s="72"/>
      <c r="MDQ171" s="72"/>
      <c r="MDR171" s="72"/>
      <c r="MDS171" s="72"/>
      <c r="MDT171" s="72"/>
      <c r="MDU171" s="72"/>
      <c r="MDV171" s="72"/>
      <c r="MDW171" s="72"/>
      <c r="MDX171" s="72"/>
      <c r="MDY171" s="72"/>
      <c r="MDZ171" s="72"/>
      <c r="MEA171" s="72"/>
      <c r="MEB171" s="72"/>
      <c r="MEC171" s="72"/>
      <c r="MED171" s="72"/>
      <c r="MEE171" s="72"/>
      <c r="MEF171" s="72"/>
      <c r="MEG171" s="72"/>
      <c r="MEH171" s="72"/>
      <c r="MEI171" s="72"/>
      <c r="MEJ171" s="72"/>
      <c r="MEK171" s="72"/>
      <c r="MEL171" s="72"/>
      <c r="MEM171" s="72"/>
      <c r="MEN171" s="72"/>
      <c r="MEO171" s="72"/>
      <c r="MEP171" s="72"/>
      <c r="MEQ171" s="72"/>
      <c r="MER171" s="72"/>
      <c r="MES171" s="72"/>
      <c r="MET171" s="72"/>
      <c r="MEU171" s="72"/>
      <c r="MEV171" s="72"/>
      <c r="MEW171" s="72"/>
      <c r="MEX171" s="72"/>
      <c r="MEY171" s="72"/>
      <c r="MEZ171" s="72"/>
      <c r="MFA171" s="72"/>
      <c r="MFB171" s="72"/>
      <c r="MFC171" s="72"/>
      <c r="MFD171" s="72"/>
      <c r="MFE171" s="72"/>
      <c r="MFF171" s="72"/>
      <c r="MFG171" s="72"/>
      <c r="MFH171" s="72"/>
      <c r="MFI171" s="72"/>
      <c r="MFJ171" s="72"/>
      <c r="MFK171" s="72"/>
      <c r="MFL171" s="72"/>
      <c r="MFM171" s="72"/>
      <c r="MFN171" s="72"/>
      <c r="MFO171" s="72"/>
      <c r="MFP171" s="72"/>
      <c r="MFQ171" s="72"/>
      <c r="MFR171" s="72"/>
      <c r="MFS171" s="72"/>
      <c r="MFT171" s="72"/>
      <c r="MFU171" s="72"/>
      <c r="MFV171" s="72"/>
      <c r="MFW171" s="72"/>
      <c r="MFX171" s="72"/>
      <c r="MFY171" s="72"/>
      <c r="MFZ171" s="72"/>
      <c r="MGA171" s="72"/>
      <c r="MGB171" s="72"/>
      <c r="MGC171" s="72"/>
      <c r="MGD171" s="72"/>
      <c r="MGE171" s="72"/>
      <c r="MGF171" s="72"/>
      <c r="MGG171" s="72"/>
      <c r="MGH171" s="72"/>
      <c r="MGI171" s="72"/>
      <c r="MGJ171" s="72"/>
      <c r="MGK171" s="72"/>
      <c r="MGL171" s="72"/>
      <c r="MGM171" s="72"/>
      <c r="MGN171" s="72"/>
      <c r="MGO171" s="72"/>
      <c r="MGP171" s="72"/>
      <c r="MGQ171" s="72"/>
      <c r="MGR171" s="72"/>
      <c r="MGS171" s="72"/>
      <c r="MGT171" s="72"/>
      <c r="MGU171" s="72"/>
      <c r="MGV171" s="72"/>
      <c r="MGW171" s="72"/>
      <c r="MGX171" s="72"/>
      <c r="MGY171" s="72"/>
      <c r="MGZ171" s="72"/>
      <c r="MHA171" s="72"/>
      <c r="MHB171" s="72"/>
      <c r="MHC171" s="72"/>
      <c r="MHD171" s="72"/>
      <c r="MHE171" s="72"/>
      <c r="MHF171" s="72"/>
      <c r="MHG171" s="72"/>
      <c r="MHH171" s="72"/>
      <c r="MHI171" s="72"/>
      <c r="MHJ171" s="72"/>
      <c r="MHK171" s="72"/>
      <c r="MHL171" s="72"/>
      <c r="MHM171" s="72"/>
      <c r="MHN171" s="72"/>
      <c r="MHO171" s="72"/>
      <c r="MHP171" s="72"/>
      <c r="MHQ171" s="72"/>
      <c r="MHR171" s="72"/>
      <c r="MHS171" s="72"/>
      <c r="MHT171" s="72"/>
      <c r="MHU171" s="72"/>
      <c r="MHV171" s="72"/>
      <c r="MHW171" s="72"/>
      <c r="MHX171" s="72"/>
      <c r="MHY171" s="72"/>
      <c r="MHZ171" s="72"/>
      <c r="MIA171" s="72"/>
      <c r="MIB171" s="72"/>
      <c r="MIC171" s="72"/>
      <c r="MID171" s="72"/>
      <c r="MIE171" s="72"/>
      <c r="MIF171" s="72"/>
      <c r="MIG171" s="72"/>
      <c r="MIH171" s="72"/>
      <c r="MII171" s="72"/>
      <c r="MIJ171" s="72"/>
      <c r="MIK171" s="72"/>
      <c r="MIL171" s="72"/>
      <c r="MIM171" s="72"/>
      <c r="MIN171" s="72"/>
      <c r="MIO171" s="72"/>
      <c r="MIP171" s="72"/>
      <c r="MIQ171" s="72"/>
      <c r="MIR171" s="72"/>
      <c r="MIS171" s="72"/>
      <c r="MIT171" s="72"/>
      <c r="MIU171" s="72"/>
      <c r="MIV171" s="72"/>
      <c r="MIW171" s="72"/>
      <c r="MIX171" s="72"/>
      <c r="MIY171" s="72"/>
      <c r="MIZ171" s="72"/>
      <c r="MJA171" s="72"/>
      <c r="MJB171" s="72"/>
      <c r="MJC171" s="72"/>
      <c r="MJD171" s="72"/>
      <c r="MJE171" s="72"/>
      <c r="MJF171" s="72"/>
      <c r="MJG171" s="72"/>
      <c r="MJH171" s="72"/>
      <c r="MJI171" s="72"/>
      <c r="MJJ171" s="72"/>
      <c r="MJK171" s="72"/>
      <c r="MJL171" s="72"/>
      <c r="MJM171" s="72"/>
      <c r="MJN171" s="72"/>
      <c r="MJO171" s="72"/>
      <c r="MJP171" s="72"/>
      <c r="MJQ171" s="72"/>
      <c r="MJR171" s="72"/>
      <c r="MJS171" s="72"/>
      <c r="MJT171" s="72"/>
      <c r="MJU171" s="72"/>
      <c r="MJV171" s="72"/>
      <c r="MJW171" s="72"/>
      <c r="MJX171" s="72"/>
      <c r="MJY171" s="72"/>
      <c r="MJZ171" s="72"/>
      <c r="MKA171" s="72"/>
      <c r="MKB171" s="72"/>
      <c r="MKC171" s="72"/>
      <c r="MKD171" s="72"/>
      <c r="MKE171" s="72"/>
      <c r="MKF171" s="72"/>
      <c r="MKG171" s="72"/>
      <c r="MKH171" s="72"/>
      <c r="MKI171" s="72"/>
      <c r="MKJ171" s="72"/>
      <c r="MKK171" s="72"/>
      <c r="MKL171" s="72"/>
      <c r="MKM171" s="72"/>
      <c r="MKN171" s="72"/>
      <c r="MKO171" s="72"/>
      <c r="MKP171" s="72"/>
      <c r="MKQ171" s="72"/>
      <c r="MKR171" s="72"/>
      <c r="MKS171" s="72"/>
      <c r="MKT171" s="72"/>
      <c r="MKU171" s="72"/>
      <c r="MKV171" s="72"/>
      <c r="MKW171" s="72"/>
      <c r="MKX171" s="72"/>
      <c r="MKY171" s="72"/>
      <c r="MKZ171" s="72"/>
      <c r="MLA171" s="72"/>
      <c r="MLB171" s="72"/>
      <c r="MLC171" s="72"/>
      <c r="MLD171" s="72"/>
      <c r="MLE171" s="72"/>
      <c r="MLF171" s="72"/>
      <c r="MLG171" s="72"/>
      <c r="MLH171" s="72"/>
      <c r="MLI171" s="72"/>
      <c r="MLJ171" s="72"/>
      <c r="MLK171" s="72"/>
      <c r="MLL171" s="72"/>
      <c r="MLM171" s="72"/>
      <c r="MLN171" s="72"/>
      <c r="MLO171" s="72"/>
      <c r="MLP171" s="72"/>
      <c r="MLQ171" s="72"/>
      <c r="MLR171" s="72"/>
      <c r="MLS171" s="72"/>
      <c r="MLT171" s="72"/>
      <c r="MLU171" s="72"/>
      <c r="MLV171" s="72"/>
      <c r="MLW171" s="72"/>
      <c r="MLX171" s="72"/>
      <c r="MLY171" s="72"/>
      <c r="MLZ171" s="72"/>
      <c r="MMA171" s="72"/>
      <c r="MMB171" s="72"/>
      <c r="MMC171" s="72"/>
      <c r="MMD171" s="72"/>
      <c r="MME171" s="72"/>
      <c r="MMF171" s="72"/>
      <c r="MMG171" s="72"/>
      <c r="MMH171" s="72"/>
      <c r="MMI171" s="72"/>
      <c r="MMJ171" s="72"/>
      <c r="MMK171" s="72"/>
      <c r="MML171" s="72"/>
      <c r="MMM171" s="72"/>
      <c r="MMN171" s="72"/>
      <c r="MMO171" s="72"/>
      <c r="MMP171" s="72"/>
      <c r="MMQ171" s="72"/>
      <c r="MMR171" s="72"/>
      <c r="MMS171" s="72"/>
      <c r="MMT171" s="72"/>
      <c r="MMU171" s="72"/>
      <c r="MMV171" s="72"/>
      <c r="MMW171" s="72"/>
      <c r="MMX171" s="72"/>
      <c r="MMY171" s="72"/>
      <c r="MMZ171" s="72"/>
      <c r="MNA171" s="72"/>
      <c r="MNB171" s="72"/>
      <c r="MNC171" s="72"/>
      <c r="MND171" s="72"/>
      <c r="MNE171" s="72"/>
      <c r="MNF171" s="72"/>
      <c r="MNG171" s="72"/>
      <c r="MNH171" s="72"/>
      <c r="MNI171" s="72"/>
      <c r="MNJ171" s="72"/>
      <c r="MNK171" s="72"/>
      <c r="MNL171" s="72"/>
      <c r="MNM171" s="72"/>
      <c r="MNN171" s="72"/>
      <c r="MNO171" s="72"/>
      <c r="MNP171" s="72"/>
      <c r="MNQ171" s="72"/>
      <c r="MNR171" s="72"/>
      <c r="MNS171" s="72"/>
      <c r="MNT171" s="72"/>
      <c r="MNU171" s="72"/>
      <c r="MNV171" s="72"/>
      <c r="MNW171" s="72"/>
      <c r="MNX171" s="72"/>
      <c r="MNY171" s="72"/>
      <c r="MNZ171" s="72"/>
      <c r="MOA171" s="72"/>
      <c r="MOB171" s="72"/>
      <c r="MOC171" s="72"/>
      <c r="MOD171" s="72"/>
      <c r="MOE171" s="72"/>
      <c r="MOF171" s="72"/>
      <c r="MOG171" s="72"/>
      <c r="MOH171" s="72"/>
      <c r="MOI171" s="72"/>
      <c r="MOJ171" s="72"/>
      <c r="MOK171" s="72"/>
      <c r="MOL171" s="72"/>
      <c r="MOM171" s="72"/>
      <c r="MON171" s="72"/>
      <c r="MOO171" s="72"/>
      <c r="MOP171" s="72"/>
      <c r="MOQ171" s="72"/>
      <c r="MOR171" s="72"/>
      <c r="MOS171" s="72"/>
      <c r="MOT171" s="72"/>
      <c r="MOU171" s="72"/>
      <c r="MOV171" s="72"/>
      <c r="MOW171" s="72"/>
      <c r="MOX171" s="72"/>
      <c r="MOY171" s="72"/>
      <c r="MOZ171" s="72"/>
      <c r="MPA171" s="72"/>
      <c r="MPB171" s="72"/>
      <c r="MPC171" s="72"/>
      <c r="MPD171" s="72"/>
      <c r="MPE171" s="72"/>
      <c r="MPF171" s="72"/>
      <c r="MPG171" s="72"/>
      <c r="MPH171" s="72"/>
      <c r="MPI171" s="72"/>
      <c r="MPJ171" s="72"/>
      <c r="MPK171" s="72"/>
      <c r="MPL171" s="72"/>
      <c r="MPM171" s="72"/>
      <c r="MPN171" s="72"/>
      <c r="MPO171" s="72"/>
      <c r="MPP171" s="72"/>
      <c r="MPQ171" s="72"/>
      <c r="MPR171" s="72"/>
      <c r="MPS171" s="72"/>
      <c r="MPT171" s="72"/>
      <c r="MPU171" s="72"/>
      <c r="MPV171" s="72"/>
      <c r="MPW171" s="72"/>
      <c r="MPX171" s="72"/>
      <c r="MPY171" s="72"/>
      <c r="MPZ171" s="72"/>
      <c r="MQA171" s="72"/>
      <c r="MQB171" s="72"/>
      <c r="MQC171" s="72"/>
      <c r="MQD171" s="72"/>
      <c r="MQE171" s="72"/>
      <c r="MQF171" s="72"/>
      <c r="MQG171" s="72"/>
      <c r="MQH171" s="72"/>
      <c r="MQI171" s="72"/>
      <c r="MQJ171" s="72"/>
      <c r="MQK171" s="72"/>
      <c r="MQL171" s="72"/>
      <c r="MQM171" s="72"/>
      <c r="MQN171" s="72"/>
      <c r="MQO171" s="72"/>
      <c r="MQP171" s="72"/>
      <c r="MQQ171" s="72"/>
      <c r="MQR171" s="72"/>
      <c r="MQS171" s="72"/>
      <c r="MQT171" s="72"/>
      <c r="MQU171" s="72"/>
      <c r="MQV171" s="72"/>
      <c r="MQW171" s="72"/>
      <c r="MQX171" s="72"/>
      <c r="MQY171" s="72"/>
      <c r="MQZ171" s="72"/>
      <c r="MRA171" s="72"/>
      <c r="MRB171" s="72"/>
      <c r="MRC171" s="72"/>
      <c r="MRD171" s="72"/>
      <c r="MRE171" s="72"/>
      <c r="MRF171" s="72"/>
      <c r="MRG171" s="72"/>
      <c r="MRH171" s="72"/>
      <c r="MRI171" s="72"/>
      <c r="MRJ171" s="72"/>
      <c r="MRK171" s="72"/>
      <c r="MRL171" s="72"/>
      <c r="MRM171" s="72"/>
      <c r="MRN171" s="72"/>
      <c r="MRO171" s="72"/>
      <c r="MRP171" s="72"/>
      <c r="MRQ171" s="72"/>
      <c r="MRR171" s="72"/>
      <c r="MRS171" s="72"/>
      <c r="MRT171" s="72"/>
      <c r="MRU171" s="72"/>
      <c r="MRV171" s="72"/>
      <c r="MRW171" s="72"/>
      <c r="MRX171" s="72"/>
      <c r="MRY171" s="72"/>
      <c r="MRZ171" s="72"/>
      <c r="MSA171" s="72"/>
      <c r="MSB171" s="72"/>
      <c r="MSC171" s="72"/>
      <c r="MSD171" s="72"/>
      <c r="MSE171" s="72"/>
      <c r="MSF171" s="72"/>
      <c r="MSG171" s="72"/>
      <c r="MSH171" s="72"/>
      <c r="MSI171" s="72"/>
      <c r="MSJ171" s="72"/>
      <c r="MSK171" s="72"/>
      <c r="MSL171" s="72"/>
      <c r="MSM171" s="72"/>
      <c r="MSN171" s="72"/>
      <c r="MSO171" s="72"/>
      <c r="MSP171" s="72"/>
      <c r="MSQ171" s="72"/>
      <c r="MSR171" s="72"/>
      <c r="MSS171" s="72"/>
      <c r="MST171" s="72"/>
      <c r="MSU171" s="72"/>
      <c r="MSV171" s="72"/>
      <c r="MSW171" s="72"/>
      <c r="MSX171" s="72"/>
      <c r="MSY171" s="72"/>
      <c r="MSZ171" s="72"/>
      <c r="MTA171" s="72"/>
      <c r="MTB171" s="72"/>
      <c r="MTC171" s="72"/>
      <c r="MTD171" s="72"/>
      <c r="MTE171" s="72"/>
      <c r="MTF171" s="72"/>
      <c r="MTG171" s="72"/>
      <c r="MTH171" s="72"/>
      <c r="MTI171" s="72"/>
      <c r="MTJ171" s="72"/>
      <c r="MTK171" s="72"/>
      <c r="MTL171" s="72"/>
      <c r="MTM171" s="72"/>
      <c r="MTN171" s="72"/>
      <c r="MTO171" s="72"/>
      <c r="MTP171" s="72"/>
      <c r="MTQ171" s="72"/>
      <c r="MTR171" s="72"/>
      <c r="MTS171" s="72"/>
      <c r="MTT171" s="72"/>
      <c r="MTU171" s="72"/>
      <c r="MTV171" s="72"/>
      <c r="MTW171" s="72"/>
      <c r="MTX171" s="72"/>
      <c r="MTY171" s="72"/>
      <c r="MTZ171" s="72"/>
      <c r="MUA171" s="72"/>
      <c r="MUB171" s="72"/>
      <c r="MUC171" s="72"/>
      <c r="MUD171" s="72"/>
      <c r="MUE171" s="72"/>
      <c r="MUF171" s="72"/>
      <c r="MUG171" s="72"/>
      <c r="MUH171" s="72"/>
      <c r="MUI171" s="72"/>
      <c r="MUJ171" s="72"/>
      <c r="MUK171" s="72"/>
      <c r="MUL171" s="72"/>
      <c r="MUM171" s="72"/>
      <c r="MUN171" s="72"/>
      <c r="MUO171" s="72"/>
      <c r="MUP171" s="72"/>
      <c r="MUQ171" s="72"/>
      <c r="MUR171" s="72"/>
      <c r="MUS171" s="72"/>
      <c r="MUT171" s="72"/>
      <c r="MUU171" s="72"/>
      <c r="MUV171" s="72"/>
      <c r="MUW171" s="72"/>
      <c r="MUX171" s="72"/>
      <c r="MUY171" s="72"/>
      <c r="MUZ171" s="72"/>
      <c r="MVA171" s="72"/>
      <c r="MVB171" s="72"/>
      <c r="MVC171" s="72"/>
      <c r="MVD171" s="72"/>
      <c r="MVE171" s="72"/>
      <c r="MVF171" s="72"/>
      <c r="MVG171" s="72"/>
      <c r="MVH171" s="72"/>
      <c r="MVI171" s="72"/>
      <c r="MVJ171" s="72"/>
      <c r="MVK171" s="72"/>
      <c r="MVL171" s="72"/>
      <c r="MVM171" s="72"/>
      <c r="MVN171" s="72"/>
      <c r="MVO171" s="72"/>
      <c r="MVP171" s="72"/>
      <c r="MVQ171" s="72"/>
      <c r="MVR171" s="72"/>
      <c r="MVS171" s="72"/>
      <c r="MVT171" s="72"/>
      <c r="MVU171" s="72"/>
      <c r="MVV171" s="72"/>
      <c r="MVW171" s="72"/>
      <c r="MVX171" s="72"/>
      <c r="MVY171" s="72"/>
      <c r="MVZ171" s="72"/>
      <c r="MWA171" s="72"/>
      <c r="MWB171" s="72"/>
      <c r="MWC171" s="72"/>
      <c r="MWD171" s="72"/>
      <c r="MWE171" s="72"/>
      <c r="MWF171" s="72"/>
      <c r="MWG171" s="72"/>
      <c r="MWH171" s="72"/>
      <c r="MWI171" s="72"/>
      <c r="MWJ171" s="72"/>
      <c r="MWK171" s="72"/>
      <c r="MWL171" s="72"/>
      <c r="MWM171" s="72"/>
      <c r="MWN171" s="72"/>
      <c r="MWO171" s="72"/>
      <c r="MWP171" s="72"/>
      <c r="MWQ171" s="72"/>
      <c r="MWR171" s="72"/>
      <c r="MWS171" s="72"/>
      <c r="MWT171" s="72"/>
      <c r="MWU171" s="72"/>
      <c r="MWV171" s="72"/>
      <c r="MWW171" s="72"/>
      <c r="MWX171" s="72"/>
      <c r="MWY171" s="72"/>
      <c r="MWZ171" s="72"/>
      <c r="MXA171" s="72"/>
      <c r="MXB171" s="72"/>
      <c r="MXC171" s="72"/>
      <c r="MXD171" s="72"/>
      <c r="MXE171" s="72"/>
      <c r="MXF171" s="72"/>
      <c r="MXG171" s="72"/>
      <c r="MXH171" s="72"/>
      <c r="MXI171" s="72"/>
      <c r="MXJ171" s="72"/>
      <c r="MXK171" s="72"/>
      <c r="MXL171" s="72"/>
      <c r="MXM171" s="72"/>
      <c r="MXN171" s="72"/>
      <c r="MXO171" s="72"/>
      <c r="MXP171" s="72"/>
      <c r="MXQ171" s="72"/>
      <c r="MXR171" s="72"/>
      <c r="MXS171" s="72"/>
      <c r="MXT171" s="72"/>
      <c r="MXU171" s="72"/>
      <c r="MXV171" s="72"/>
      <c r="MXW171" s="72"/>
      <c r="MXX171" s="72"/>
      <c r="MXY171" s="72"/>
      <c r="MXZ171" s="72"/>
      <c r="MYA171" s="72"/>
      <c r="MYB171" s="72"/>
      <c r="MYC171" s="72"/>
      <c r="MYD171" s="72"/>
      <c r="MYE171" s="72"/>
      <c r="MYF171" s="72"/>
      <c r="MYG171" s="72"/>
      <c r="MYH171" s="72"/>
      <c r="MYI171" s="72"/>
      <c r="MYJ171" s="72"/>
      <c r="MYK171" s="72"/>
      <c r="MYL171" s="72"/>
      <c r="MYM171" s="72"/>
      <c r="MYN171" s="72"/>
      <c r="MYO171" s="72"/>
      <c r="MYP171" s="72"/>
      <c r="MYQ171" s="72"/>
      <c r="MYR171" s="72"/>
      <c r="MYS171" s="72"/>
      <c r="MYT171" s="72"/>
      <c r="MYU171" s="72"/>
      <c r="MYV171" s="72"/>
      <c r="MYW171" s="72"/>
      <c r="MYX171" s="72"/>
      <c r="MYY171" s="72"/>
      <c r="MYZ171" s="72"/>
      <c r="MZA171" s="72"/>
      <c r="MZB171" s="72"/>
      <c r="MZC171" s="72"/>
      <c r="MZD171" s="72"/>
      <c r="MZE171" s="72"/>
      <c r="MZF171" s="72"/>
      <c r="MZG171" s="72"/>
      <c r="MZH171" s="72"/>
      <c r="MZI171" s="72"/>
      <c r="MZJ171" s="72"/>
      <c r="MZK171" s="72"/>
      <c r="MZL171" s="72"/>
      <c r="MZM171" s="72"/>
      <c r="MZN171" s="72"/>
      <c r="MZO171" s="72"/>
      <c r="MZP171" s="72"/>
      <c r="MZQ171" s="72"/>
      <c r="MZR171" s="72"/>
      <c r="MZS171" s="72"/>
      <c r="MZT171" s="72"/>
      <c r="MZU171" s="72"/>
      <c r="MZV171" s="72"/>
      <c r="MZW171" s="72"/>
      <c r="MZX171" s="72"/>
      <c r="MZY171" s="72"/>
      <c r="MZZ171" s="72"/>
      <c r="NAA171" s="72"/>
      <c r="NAB171" s="72"/>
      <c r="NAC171" s="72"/>
      <c r="NAD171" s="72"/>
      <c r="NAE171" s="72"/>
      <c r="NAF171" s="72"/>
      <c r="NAG171" s="72"/>
      <c r="NAH171" s="72"/>
      <c r="NAI171" s="72"/>
      <c r="NAJ171" s="72"/>
      <c r="NAK171" s="72"/>
      <c r="NAL171" s="72"/>
      <c r="NAM171" s="72"/>
      <c r="NAN171" s="72"/>
      <c r="NAO171" s="72"/>
      <c r="NAP171" s="72"/>
      <c r="NAQ171" s="72"/>
      <c r="NAR171" s="72"/>
      <c r="NAS171" s="72"/>
      <c r="NAT171" s="72"/>
      <c r="NAU171" s="72"/>
      <c r="NAV171" s="72"/>
      <c r="NAW171" s="72"/>
      <c r="NAX171" s="72"/>
      <c r="NAY171" s="72"/>
      <c r="NAZ171" s="72"/>
      <c r="NBA171" s="72"/>
      <c r="NBB171" s="72"/>
      <c r="NBC171" s="72"/>
      <c r="NBD171" s="72"/>
      <c r="NBE171" s="72"/>
      <c r="NBF171" s="72"/>
      <c r="NBG171" s="72"/>
      <c r="NBH171" s="72"/>
      <c r="NBI171" s="72"/>
      <c r="NBJ171" s="72"/>
      <c r="NBK171" s="72"/>
      <c r="NBL171" s="72"/>
      <c r="NBM171" s="72"/>
      <c r="NBN171" s="72"/>
      <c r="NBO171" s="72"/>
      <c r="NBP171" s="72"/>
      <c r="NBQ171" s="72"/>
      <c r="NBR171" s="72"/>
      <c r="NBS171" s="72"/>
      <c r="NBT171" s="72"/>
      <c r="NBU171" s="72"/>
      <c r="NBV171" s="72"/>
      <c r="NBW171" s="72"/>
      <c r="NBX171" s="72"/>
      <c r="NBY171" s="72"/>
      <c r="NBZ171" s="72"/>
      <c r="NCA171" s="72"/>
      <c r="NCB171" s="72"/>
      <c r="NCC171" s="72"/>
      <c r="NCD171" s="72"/>
      <c r="NCE171" s="72"/>
      <c r="NCF171" s="72"/>
      <c r="NCG171" s="72"/>
      <c r="NCH171" s="72"/>
      <c r="NCI171" s="72"/>
      <c r="NCJ171" s="72"/>
      <c r="NCK171" s="72"/>
      <c r="NCL171" s="72"/>
      <c r="NCM171" s="72"/>
      <c r="NCN171" s="72"/>
      <c r="NCO171" s="72"/>
      <c r="NCP171" s="72"/>
      <c r="NCQ171" s="72"/>
      <c r="NCR171" s="72"/>
      <c r="NCS171" s="72"/>
      <c r="NCT171" s="72"/>
      <c r="NCU171" s="72"/>
      <c r="NCV171" s="72"/>
      <c r="NCW171" s="72"/>
      <c r="NCX171" s="72"/>
      <c r="NCY171" s="72"/>
      <c r="NCZ171" s="72"/>
      <c r="NDA171" s="72"/>
      <c r="NDB171" s="72"/>
      <c r="NDC171" s="72"/>
      <c r="NDD171" s="72"/>
      <c r="NDE171" s="72"/>
      <c r="NDF171" s="72"/>
      <c r="NDG171" s="72"/>
      <c r="NDH171" s="72"/>
      <c r="NDI171" s="72"/>
      <c r="NDJ171" s="72"/>
      <c r="NDK171" s="72"/>
      <c r="NDL171" s="72"/>
      <c r="NDM171" s="72"/>
      <c r="NDN171" s="72"/>
      <c r="NDO171" s="72"/>
      <c r="NDP171" s="72"/>
      <c r="NDQ171" s="72"/>
      <c r="NDR171" s="72"/>
      <c r="NDS171" s="72"/>
      <c r="NDT171" s="72"/>
      <c r="NDU171" s="72"/>
      <c r="NDV171" s="72"/>
      <c r="NDW171" s="72"/>
      <c r="NDX171" s="72"/>
      <c r="NDY171" s="72"/>
      <c r="NDZ171" s="72"/>
      <c r="NEA171" s="72"/>
      <c r="NEB171" s="72"/>
      <c r="NEC171" s="72"/>
      <c r="NED171" s="72"/>
      <c r="NEE171" s="72"/>
      <c r="NEF171" s="72"/>
      <c r="NEG171" s="72"/>
      <c r="NEH171" s="72"/>
      <c r="NEI171" s="72"/>
      <c r="NEJ171" s="72"/>
      <c r="NEK171" s="72"/>
      <c r="NEL171" s="72"/>
      <c r="NEM171" s="72"/>
      <c r="NEN171" s="72"/>
      <c r="NEO171" s="72"/>
      <c r="NEP171" s="72"/>
      <c r="NEQ171" s="72"/>
      <c r="NER171" s="72"/>
      <c r="NES171" s="72"/>
      <c r="NET171" s="72"/>
      <c r="NEU171" s="72"/>
      <c r="NEV171" s="72"/>
      <c r="NEW171" s="72"/>
      <c r="NEX171" s="72"/>
      <c r="NEY171" s="72"/>
      <c r="NEZ171" s="72"/>
      <c r="NFA171" s="72"/>
      <c r="NFB171" s="72"/>
      <c r="NFC171" s="72"/>
      <c r="NFD171" s="72"/>
      <c r="NFE171" s="72"/>
      <c r="NFF171" s="72"/>
      <c r="NFG171" s="72"/>
      <c r="NFH171" s="72"/>
      <c r="NFI171" s="72"/>
      <c r="NFJ171" s="72"/>
      <c r="NFK171" s="72"/>
      <c r="NFL171" s="72"/>
      <c r="NFM171" s="72"/>
      <c r="NFN171" s="72"/>
      <c r="NFO171" s="72"/>
      <c r="NFP171" s="72"/>
      <c r="NFQ171" s="72"/>
      <c r="NFR171" s="72"/>
      <c r="NFS171" s="72"/>
      <c r="NFT171" s="72"/>
      <c r="NFU171" s="72"/>
      <c r="NFV171" s="72"/>
      <c r="NFW171" s="72"/>
      <c r="NFX171" s="72"/>
      <c r="NFY171" s="72"/>
      <c r="NFZ171" s="72"/>
      <c r="NGA171" s="72"/>
      <c r="NGB171" s="72"/>
      <c r="NGC171" s="72"/>
      <c r="NGD171" s="72"/>
      <c r="NGE171" s="72"/>
      <c r="NGF171" s="72"/>
      <c r="NGG171" s="72"/>
      <c r="NGH171" s="72"/>
      <c r="NGI171" s="72"/>
      <c r="NGJ171" s="72"/>
      <c r="NGK171" s="72"/>
      <c r="NGL171" s="72"/>
      <c r="NGM171" s="72"/>
      <c r="NGN171" s="72"/>
      <c r="NGO171" s="72"/>
      <c r="NGP171" s="72"/>
      <c r="NGQ171" s="72"/>
      <c r="NGR171" s="72"/>
      <c r="NGS171" s="72"/>
      <c r="NGT171" s="72"/>
      <c r="NGU171" s="72"/>
      <c r="NGV171" s="72"/>
      <c r="NGW171" s="72"/>
      <c r="NGX171" s="72"/>
      <c r="NGY171" s="72"/>
      <c r="NGZ171" s="72"/>
      <c r="NHA171" s="72"/>
      <c r="NHB171" s="72"/>
      <c r="NHC171" s="72"/>
      <c r="NHD171" s="72"/>
      <c r="NHE171" s="72"/>
      <c r="NHF171" s="72"/>
      <c r="NHG171" s="72"/>
      <c r="NHH171" s="72"/>
      <c r="NHI171" s="72"/>
      <c r="NHJ171" s="72"/>
      <c r="NHK171" s="72"/>
      <c r="NHL171" s="72"/>
      <c r="NHM171" s="72"/>
      <c r="NHN171" s="72"/>
      <c r="NHO171" s="72"/>
      <c r="NHP171" s="72"/>
      <c r="NHQ171" s="72"/>
      <c r="NHR171" s="72"/>
      <c r="NHS171" s="72"/>
      <c r="NHT171" s="72"/>
      <c r="NHU171" s="72"/>
      <c r="NHV171" s="72"/>
      <c r="NHW171" s="72"/>
      <c r="NHX171" s="72"/>
      <c r="NHY171" s="72"/>
      <c r="NHZ171" s="72"/>
      <c r="NIA171" s="72"/>
      <c r="NIB171" s="72"/>
      <c r="NIC171" s="72"/>
      <c r="NID171" s="72"/>
      <c r="NIE171" s="72"/>
      <c r="NIF171" s="72"/>
      <c r="NIG171" s="72"/>
      <c r="NIH171" s="72"/>
      <c r="NII171" s="72"/>
      <c r="NIJ171" s="72"/>
      <c r="NIK171" s="72"/>
      <c r="NIL171" s="72"/>
      <c r="NIM171" s="72"/>
      <c r="NIN171" s="72"/>
      <c r="NIO171" s="72"/>
      <c r="NIP171" s="72"/>
      <c r="NIQ171" s="72"/>
      <c r="NIR171" s="72"/>
      <c r="NIS171" s="72"/>
      <c r="NIT171" s="72"/>
      <c r="NIU171" s="72"/>
      <c r="NIV171" s="72"/>
      <c r="NIW171" s="72"/>
      <c r="NIX171" s="72"/>
      <c r="NIY171" s="72"/>
      <c r="NIZ171" s="72"/>
      <c r="NJA171" s="72"/>
      <c r="NJB171" s="72"/>
      <c r="NJC171" s="72"/>
      <c r="NJD171" s="72"/>
      <c r="NJE171" s="72"/>
      <c r="NJF171" s="72"/>
      <c r="NJG171" s="72"/>
      <c r="NJH171" s="72"/>
      <c r="NJI171" s="72"/>
      <c r="NJJ171" s="72"/>
      <c r="NJK171" s="72"/>
      <c r="NJL171" s="72"/>
      <c r="NJM171" s="72"/>
      <c r="NJN171" s="72"/>
      <c r="NJO171" s="72"/>
      <c r="NJP171" s="72"/>
      <c r="NJQ171" s="72"/>
      <c r="NJR171" s="72"/>
      <c r="NJS171" s="72"/>
      <c r="NJT171" s="72"/>
      <c r="NJU171" s="72"/>
      <c r="NJV171" s="72"/>
      <c r="NJW171" s="72"/>
      <c r="NJX171" s="72"/>
      <c r="NJY171" s="72"/>
      <c r="NJZ171" s="72"/>
      <c r="NKA171" s="72"/>
      <c r="NKB171" s="72"/>
      <c r="NKC171" s="72"/>
      <c r="NKD171" s="72"/>
      <c r="NKE171" s="72"/>
      <c r="NKF171" s="72"/>
      <c r="NKG171" s="72"/>
      <c r="NKH171" s="72"/>
      <c r="NKI171" s="72"/>
      <c r="NKJ171" s="72"/>
      <c r="NKK171" s="72"/>
      <c r="NKL171" s="72"/>
      <c r="NKM171" s="72"/>
      <c r="NKN171" s="72"/>
      <c r="NKO171" s="72"/>
      <c r="NKP171" s="72"/>
      <c r="NKQ171" s="72"/>
      <c r="NKR171" s="72"/>
      <c r="NKS171" s="72"/>
      <c r="NKT171" s="72"/>
      <c r="NKU171" s="72"/>
      <c r="NKV171" s="72"/>
      <c r="NKW171" s="72"/>
      <c r="NKX171" s="72"/>
      <c r="NKY171" s="72"/>
      <c r="NKZ171" s="72"/>
      <c r="NLA171" s="72"/>
      <c r="NLB171" s="72"/>
      <c r="NLC171" s="72"/>
      <c r="NLD171" s="72"/>
      <c r="NLE171" s="72"/>
      <c r="NLF171" s="72"/>
      <c r="NLG171" s="72"/>
      <c r="NLH171" s="72"/>
      <c r="NLI171" s="72"/>
      <c r="NLJ171" s="72"/>
      <c r="NLK171" s="72"/>
      <c r="NLL171" s="72"/>
      <c r="NLM171" s="72"/>
      <c r="NLN171" s="72"/>
      <c r="NLO171" s="72"/>
      <c r="NLP171" s="72"/>
      <c r="NLQ171" s="72"/>
      <c r="NLR171" s="72"/>
      <c r="NLS171" s="72"/>
      <c r="NLT171" s="72"/>
      <c r="NLU171" s="72"/>
      <c r="NLV171" s="72"/>
      <c r="NLW171" s="72"/>
      <c r="NLX171" s="72"/>
      <c r="NLY171" s="72"/>
      <c r="NLZ171" s="72"/>
      <c r="NMA171" s="72"/>
      <c r="NMB171" s="72"/>
      <c r="NMC171" s="72"/>
      <c r="NMD171" s="72"/>
      <c r="NME171" s="72"/>
      <c r="NMF171" s="72"/>
      <c r="NMG171" s="72"/>
      <c r="NMH171" s="72"/>
      <c r="NMI171" s="72"/>
      <c r="NMJ171" s="72"/>
      <c r="NMK171" s="72"/>
      <c r="NML171" s="72"/>
      <c r="NMM171" s="72"/>
      <c r="NMN171" s="72"/>
      <c r="NMO171" s="72"/>
      <c r="NMP171" s="72"/>
      <c r="NMQ171" s="72"/>
      <c r="NMR171" s="72"/>
      <c r="NMS171" s="72"/>
      <c r="NMT171" s="72"/>
      <c r="NMU171" s="72"/>
      <c r="NMV171" s="72"/>
      <c r="NMW171" s="72"/>
      <c r="NMX171" s="72"/>
      <c r="NMY171" s="72"/>
      <c r="NMZ171" s="72"/>
      <c r="NNA171" s="72"/>
      <c r="NNB171" s="72"/>
      <c r="NNC171" s="72"/>
      <c r="NND171" s="72"/>
      <c r="NNE171" s="72"/>
      <c r="NNF171" s="72"/>
      <c r="NNG171" s="72"/>
      <c r="NNH171" s="72"/>
      <c r="NNI171" s="72"/>
      <c r="NNJ171" s="72"/>
      <c r="NNK171" s="72"/>
      <c r="NNL171" s="72"/>
      <c r="NNM171" s="72"/>
      <c r="NNN171" s="72"/>
      <c r="NNO171" s="72"/>
      <c r="NNP171" s="72"/>
      <c r="NNQ171" s="72"/>
      <c r="NNR171" s="72"/>
      <c r="NNS171" s="72"/>
      <c r="NNT171" s="72"/>
      <c r="NNU171" s="72"/>
      <c r="NNV171" s="72"/>
      <c r="NNW171" s="72"/>
      <c r="NNX171" s="72"/>
      <c r="NNY171" s="72"/>
      <c r="NNZ171" s="72"/>
      <c r="NOA171" s="72"/>
      <c r="NOB171" s="72"/>
      <c r="NOC171" s="72"/>
      <c r="NOD171" s="72"/>
      <c r="NOE171" s="72"/>
      <c r="NOF171" s="72"/>
      <c r="NOG171" s="72"/>
      <c r="NOH171" s="72"/>
      <c r="NOI171" s="72"/>
      <c r="NOJ171" s="72"/>
      <c r="NOK171" s="72"/>
      <c r="NOL171" s="72"/>
      <c r="NOM171" s="72"/>
      <c r="NON171" s="72"/>
      <c r="NOO171" s="72"/>
      <c r="NOP171" s="72"/>
      <c r="NOQ171" s="72"/>
      <c r="NOR171" s="72"/>
      <c r="NOS171" s="72"/>
      <c r="NOT171" s="72"/>
      <c r="NOU171" s="72"/>
      <c r="NOV171" s="72"/>
      <c r="NOW171" s="72"/>
      <c r="NOX171" s="72"/>
      <c r="NOY171" s="72"/>
      <c r="NOZ171" s="72"/>
      <c r="NPA171" s="72"/>
      <c r="NPB171" s="72"/>
      <c r="NPC171" s="72"/>
      <c r="NPD171" s="72"/>
      <c r="NPE171" s="72"/>
      <c r="NPF171" s="72"/>
      <c r="NPG171" s="72"/>
      <c r="NPH171" s="72"/>
      <c r="NPI171" s="72"/>
      <c r="NPJ171" s="72"/>
      <c r="NPK171" s="72"/>
      <c r="NPL171" s="72"/>
      <c r="NPM171" s="72"/>
      <c r="NPN171" s="72"/>
      <c r="NPO171" s="72"/>
      <c r="NPP171" s="72"/>
      <c r="NPQ171" s="72"/>
      <c r="NPR171" s="72"/>
      <c r="NPS171" s="72"/>
      <c r="NPT171" s="72"/>
      <c r="NPU171" s="72"/>
      <c r="NPV171" s="72"/>
      <c r="NPW171" s="72"/>
      <c r="NPX171" s="72"/>
      <c r="NPY171" s="72"/>
      <c r="NPZ171" s="72"/>
      <c r="NQA171" s="72"/>
      <c r="NQB171" s="72"/>
      <c r="NQC171" s="72"/>
      <c r="NQD171" s="72"/>
      <c r="NQE171" s="72"/>
      <c r="NQF171" s="72"/>
      <c r="NQG171" s="72"/>
      <c r="NQH171" s="72"/>
      <c r="NQI171" s="72"/>
      <c r="NQJ171" s="72"/>
      <c r="NQK171" s="72"/>
      <c r="NQL171" s="72"/>
      <c r="NQM171" s="72"/>
      <c r="NQN171" s="72"/>
      <c r="NQO171" s="72"/>
      <c r="NQP171" s="72"/>
      <c r="NQQ171" s="72"/>
      <c r="NQR171" s="72"/>
      <c r="NQS171" s="72"/>
      <c r="NQT171" s="72"/>
      <c r="NQU171" s="72"/>
      <c r="NQV171" s="72"/>
      <c r="NQW171" s="72"/>
      <c r="NQX171" s="72"/>
      <c r="NQY171" s="72"/>
      <c r="NQZ171" s="72"/>
      <c r="NRA171" s="72"/>
      <c r="NRB171" s="72"/>
      <c r="NRC171" s="72"/>
      <c r="NRD171" s="72"/>
      <c r="NRE171" s="72"/>
      <c r="NRF171" s="72"/>
      <c r="NRG171" s="72"/>
      <c r="NRH171" s="72"/>
      <c r="NRI171" s="72"/>
      <c r="NRJ171" s="72"/>
      <c r="NRK171" s="72"/>
      <c r="NRL171" s="72"/>
      <c r="NRM171" s="72"/>
      <c r="NRN171" s="72"/>
      <c r="NRO171" s="72"/>
      <c r="NRP171" s="72"/>
      <c r="NRQ171" s="72"/>
      <c r="NRR171" s="72"/>
      <c r="NRS171" s="72"/>
      <c r="NRT171" s="72"/>
      <c r="NRU171" s="72"/>
      <c r="NRV171" s="72"/>
      <c r="NRW171" s="72"/>
      <c r="NRX171" s="72"/>
      <c r="NRY171" s="72"/>
      <c r="NRZ171" s="72"/>
      <c r="NSA171" s="72"/>
      <c r="NSB171" s="72"/>
      <c r="NSC171" s="72"/>
      <c r="NSD171" s="72"/>
      <c r="NSE171" s="72"/>
      <c r="NSF171" s="72"/>
      <c r="NSG171" s="72"/>
      <c r="NSH171" s="72"/>
      <c r="NSI171" s="72"/>
      <c r="NSJ171" s="72"/>
      <c r="NSK171" s="72"/>
      <c r="NSL171" s="72"/>
      <c r="NSM171" s="72"/>
      <c r="NSN171" s="72"/>
      <c r="NSO171" s="72"/>
      <c r="NSP171" s="72"/>
      <c r="NSQ171" s="72"/>
      <c r="NSR171" s="72"/>
      <c r="NSS171" s="72"/>
      <c r="NST171" s="72"/>
      <c r="NSU171" s="72"/>
      <c r="NSV171" s="72"/>
      <c r="NSW171" s="72"/>
      <c r="NSX171" s="72"/>
      <c r="NSY171" s="72"/>
      <c r="NSZ171" s="72"/>
      <c r="NTA171" s="72"/>
      <c r="NTB171" s="72"/>
      <c r="NTC171" s="72"/>
      <c r="NTD171" s="72"/>
      <c r="NTE171" s="72"/>
      <c r="NTF171" s="72"/>
      <c r="NTG171" s="72"/>
      <c r="NTH171" s="72"/>
      <c r="NTI171" s="72"/>
      <c r="NTJ171" s="72"/>
      <c r="NTK171" s="72"/>
      <c r="NTL171" s="72"/>
      <c r="NTM171" s="72"/>
      <c r="NTN171" s="72"/>
      <c r="NTO171" s="72"/>
      <c r="NTP171" s="72"/>
      <c r="NTQ171" s="72"/>
      <c r="NTR171" s="72"/>
      <c r="NTS171" s="72"/>
      <c r="NTT171" s="72"/>
      <c r="NTU171" s="72"/>
      <c r="NTV171" s="72"/>
      <c r="NTW171" s="72"/>
      <c r="NTX171" s="72"/>
      <c r="NTY171" s="72"/>
      <c r="NTZ171" s="72"/>
      <c r="NUA171" s="72"/>
      <c r="NUB171" s="72"/>
      <c r="NUC171" s="72"/>
      <c r="NUD171" s="72"/>
      <c r="NUE171" s="72"/>
      <c r="NUF171" s="72"/>
      <c r="NUG171" s="72"/>
      <c r="NUH171" s="72"/>
      <c r="NUI171" s="72"/>
      <c r="NUJ171" s="72"/>
      <c r="NUK171" s="72"/>
      <c r="NUL171" s="72"/>
      <c r="NUM171" s="72"/>
      <c r="NUN171" s="72"/>
      <c r="NUO171" s="72"/>
      <c r="NUP171" s="72"/>
      <c r="NUQ171" s="72"/>
      <c r="NUR171" s="72"/>
      <c r="NUS171" s="72"/>
      <c r="NUT171" s="72"/>
      <c r="NUU171" s="72"/>
      <c r="NUV171" s="72"/>
      <c r="NUW171" s="72"/>
      <c r="NUX171" s="72"/>
      <c r="NUY171" s="72"/>
      <c r="NUZ171" s="72"/>
      <c r="NVA171" s="72"/>
      <c r="NVB171" s="72"/>
      <c r="NVC171" s="72"/>
      <c r="NVD171" s="72"/>
      <c r="NVE171" s="72"/>
      <c r="NVF171" s="72"/>
      <c r="NVG171" s="72"/>
      <c r="NVH171" s="72"/>
      <c r="NVI171" s="72"/>
      <c r="NVJ171" s="72"/>
      <c r="NVK171" s="72"/>
      <c r="NVL171" s="72"/>
      <c r="NVM171" s="72"/>
      <c r="NVN171" s="72"/>
      <c r="NVO171" s="72"/>
      <c r="NVP171" s="72"/>
      <c r="NVQ171" s="72"/>
      <c r="NVR171" s="72"/>
      <c r="NVS171" s="72"/>
      <c r="NVT171" s="72"/>
      <c r="NVU171" s="72"/>
      <c r="NVV171" s="72"/>
      <c r="NVW171" s="72"/>
      <c r="NVX171" s="72"/>
      <c r="NVY171" s="72"/>
      <c r="NVZ171" s="72"/>
      <c r="NWA171" s="72"/>
      <c r="NWB171" s="72"/>
      <c r="NWC171" s="72"/>
      <c r="NWD171" s="72"/>
      <c r="NWE171" s="72"/>
      <c r="NWF171" s="72"/>
      <c r="NWG171" s="72"/>
      <c r="NWH171" s="72"/>
      <c r="NWI171" s="72"/>
      <c r="NWJ171" s="72"/>
      <c r="NWK171" s="72"/>
      <c r="NWL171" s="72"/>
      <c r="NWM171" s="72"/>
      <c r="NWN171" s="72"/>
      <c r="NWO171" s="72"/>
      <c r="NWP171" s="72"/>
      <c r="NWQ171" s="72"/>
      <c r="NWR171" s="72"/>
      <c r="NWS171" s="72"/>
      <c r="NWT171" s="72"/>
      <c r="NWU171" s="72"/>
      <c r="NWV171" s="72"/>
      <c r="NWW171" s="72"/>
      <c r="NWX171" s="72"/>
      <c r="NWY171" s="72"/>
      <c r="NWZ171" s="72"/>
      <c r="NXA171" s="72"/>
      <c r="NXB171" s="72"/>
      <c r="NXC171" s="72"/>
      <c r="NXD171" s="72"/>
      <c r="NXE171" s="72"/>
      <c r="NXF171" s="72"/>
      <c r="NXG171" s="72"/>
      <c r="NXH171" s="72"/>
      <c r="NXI171" s="72"/>
      <c r="NXJ171" s="72"/>
      <c r="NXK171" s="72"/>
      <c r="NXL171" s="72"/>
      <c r="NXM171" s="72"/>
      <c r="NXN171" s="72"/>
      <c r="NXO171" s="72"/>
      <c r="NXP171" s="72"/>
      <c r="NXQ171" s="72"/>
      <c r="NXR171" s="72"/>
      <c r="NXS171" s="72"/>
      <c r="NXT171" s="72"/>
      <c r="NXU171" s="72"/>
      <c r="NXV171" s="72"/>
      <c r="NXW171" s="72"/>
      <c r="NXX171" s="72"/>
      <c r="NXY171" s="72"/>
      <c r="NXZ171" s="72"/>
      <c r="NYA171" s="72"/>
      <c r="NYB171" s="72"/>
      <c r="NYC171" s="72"/>
      <c r="NYD171" s="72"/>
      <c r="NYE171" s="72"/>
      <c r="NYF171" s="72"/>
      <c r="NYG171" s="72"/>
      <c r="NYH171" s="72"/>
      <c r="NYI171" s="72"/>
      <c r="NYJ171" s="72"/>
      <c r="NYK171" s="72"/>
      <c r="NYL171" s="72"/>
      <c r="NYM171" s="72"/>
      <c r="NYN171" s="72"/>
      <c r="NYO171" s="72"/>
      <c r="NYP171" s="72"/>
      <c r="NYQ171" s="72"/>
      <c r="NYR171" s="72"/>
      <c r="NYS171" s="72"/>
      <c r="NYT171" s="72"/>
      <c r="NYU171" s="72"/>
      <c r="NYV171" s="72"/>
      <c r="NYW171" s="72"/>
      <c r="NYX171" s="72"/>
      <c r="NYY171" s="72"/>
      <c r="NYZ171" s="72"/>
      <c r="NZA171" s="72"/>
      <c r="NZB171" s="72"/>
      <c r="NZC171" s="72"/>
      <c r="NZD171" s="72"/>
      <c r="NZE171" s="72"/>
      <c r="NZF171" s="72"/>
      <c r="NZG171" s="72"/>
      <c r="NZH171" s="72"/>
      <c r="NZI171" s="72"/>
      <c r="NZJ171" s="72"/>
      <c r="NZK171" s="72"/>
      <c r="NZL171" s="72"/>
      <c r="NZM171" s="72"/>
      <c r="NZN171" s="72"/>
      <c r="NZO171" s="72"/>
      <c r="NZP171" s="72"/>
      <c r="NZQ171" s="72"/>
      <c r="NZR171" s="72"/>
      <c r="NZS171" s="72"/>
      <c r="NZT171" s="72"/>
      <c r="NZU171" s="72"/>
      <c r="NZV171" s="72"/>
      <c r="NZW171" s="72"/>
      <c r="NZX171" s="72"/>
      <c r="NZY171" s="72"/>
      <c r="NZZ171" s="72"/>
      <c r="OAA171" s="72"/>
      <c r="OAB171" s="72"/>
      <c r="OAC171" s="72"/>
      <c r="OAD171" s="72"/>
      <c r="OAE171" s="72"/>
      <c r="OAF171" s="72"/>
      <c r="OAG171" s="72"/>
      <c r="OAH171" s="72"/>
      <c r="OAI171" s="72"/>
      <c r="OAJ171" s="72"/>
      <c r="OAK171" s="72"/>
      <c r="OAL171" s="72"/>
      <c r="OAM171" s="72"/>
      <c r="OAN171" s="72"/>
      <c r="OAO171" s="72"/>
      <c r="OAP171" s="72"/>
      <c r="OAQ171" s="72"/>
      <c r="OAR171" s="72"/>
      <c r="OAS171" s="72"/>
      <c r="OAT171" s="72"/>
      <c r="OAU171" s="72"/>
      <c r="OAV171" s="72"/>
      <c r="OAW171" s="72"/>
      <c r="OAX171" s="72"/>
      <c r="OAY171" s="72"/>
      <c r="OAZ171" s="72"/>
      <c r="OBA171" s="72"/>
      <c r="OBB171" s="72"/>
      <c r="OBC171" s="72"/>
      <c r="OBD171" s="72"/>
      <c r="OBE171" s="72"/>
      <c r="OBF171" s="72"/>
      <c r="OBG171" s="72"/>
      <c r="OBH171" s="72"/>
      <c r="OBI171" s="72"/>
      <c r="OBJ171" s="72"/>
      <c r="OBK171" s="72"/>
      <c r="OBL171" s="72"/>
      <c r="OBM171" s="72"/>
      <c r="OBN171" s="72"/>
      <c r="OBO171" s="72"/>
      <c r="OBP171" s="72"/>
      <c r="OBQ171" s="72"/>
      <c r="OBR171" s="72"/>
      <c r="OBS171" s="72"/>
      <c r="OBT171" s="72"/>
      <c r="OBU171" s="72"/>
      <c r="OBV171" s="72"/>
      <c r="OBW171" s="72"/>
      <c r="OBX171" s="72"/>
      <c r="OBY171" s="72"/>
      <c r="OBZ171" s="72"/>
      <c r="OCA171" s="72"/>
      <c r="OCB171" s="72"/>
      <c r="OCC171" s="72"/>
      <c r="OCD171" s="72"/>
      <c r="OCE171" s="72"/>
      <c r="OCF171" s="72"/>
      <c r="OCG171" s="72"/>
      <c r="OCH171" s="72"/>
      <c r="OCI171" s="72"/>
      <c r="OCJ171" s="72"/>
      <c r="OCK171" s="72"/>
      <c r="OCL171" s="72"/>
      <c r="OCM171" s="72"/>
      <c r="OCN171" s="72"/>
      <c r="OCO171" s="72"/>
      <c r="OCP171" s="72"/>
      <c r="OCQ171" s="72"/>
      <c r="OCR171" s="72"/>
      <c r="OCS171" s="72"/>
      <c r="OCT171" s="72"/>
      <c r="OCU171" s="72"/>
      <c r="OCV171" s="72"/>
      <c r="OCW171" s="72"/>
      <c r="OCX171" s="72"/>
      <c r="OCY171" s="72"/>
      <c r="OCZ171" s="72"/>
      <c r="ODA171" s="72"/>
      <c r="ODB171" s="72"/>
      <c r="ODC171" s="72"/>
      <c r="ODD171" s="72"/>
      <c r="ODE171" s="72"/>
      <c r="ODF171" s="72"/>
      <c r="ODG171" s="72"/>
      <c r="ODH171" s="72"/>
      <c r="ODI171" s="72"/>
      <c r="ODJ171" s="72"/>
      <c r="ODK171" s="72"/>
      <c r="ODL171" s="72"/>
      <c r="ODM171" s="72"/>
      <c r="ODN171" s="72"/>
      <c r="ODO171" s="72"/>
      <c r="ODP171" s="72"/>
      <c r="ODQ171" s="72"/>
      <c r="ODR171" s="72"/>
      <c r="ODS171" s="72"/>
      <c r="ODT171" s="72"/>
      <c r="ODU171" s="72"/>
      <c r="ODV171" s="72"/>
      <c r="ODW171" s="72"/>
      <c r="ODX171" s="72"/>
      <c r="ODY171" s="72"/>
      <c r="ODZ171" s="72"/>
      <c r="OEA171" s="72"/>
      <c r="OEB171" s="72"/>
      <c r="OEC171" s="72"/>
      <c r="OED171" s="72"/>
      <c r="OEE171" s="72"/>
      <c r="OEF171" s="72"/>
      <c r="OEG171" s="72"/>
      <c r="OEH171" s="72"/>
      <c r="OEI171" s="72"/>
      <c r="OEJ171" s="72"/>
      <c r="OEK171" s="72"/>
      <c r="OEL171" s="72"/>
      <c r="OEM171" s="72"/>
      <c r="OEN171" s="72"/>
      <c r="OEO171" s="72"/>
      <c r="OEP171" s="72"/>
      <c r="OEQ171" s="72"/>
      <c r="OER171" s="72"/>
      <c r="OES171" s="72"/>
      <c r="OET171" s="72"/>
      <c r="OEU171" s="72"/>
      <c r="OEV171" s="72"/>
      <c r="OEW171" s="72"/>
      <c r="OEX171" s="72"/>
      <c r="OEY171" s="72"/>
      <c r="OEZ171" s="72"/>
      <c r="OFA171" s="72"/>
      <c r="OFB171" s="72"/>
      <c r="OFC171" s="72"/>
      <c r="OFD171" s="72"/>
      <c r="OFE171" s="72"/>
      <c r="OFF171" s="72"/>
      <c r="OFG171" s="72"/>
      <c r="OFH171" s="72"/>
      <c r="OFI171" s="72"/>
      <c r="OFJ171" s="72"/>
      <c r="OFK171" s="72"/>
      <c r="OFL171" s="72"/>
      <c r="OFM171" s="72"/>
      <c r="OFN171" s="72"/>
      <c r="OFO171" s="72"/>
      <c r="OFP171" s="72"/>
      <c r="OFQ171" s="72"/>
      <c r="OFR171" s="72"/>
      <c r="OFS171" s="72"/>
      <c r="OFT171" s="72"/>
      <c r="OFU171" s="72"/>
      <c r="OFV171" s="72"/>
      <c r="OFW171" s="72"/>
      <c r="OFX171" s="72"/>
      <c r="OFY171" s="72"/>
      <c r="OFZ171" s="72"/>
      <c r="OGA171" s="72"/>
      <c r="OGB171" s="72"/>
      <c r="OGC171" s="72"/>
      <c r="OGD171" s="72"/>
      <c r="OGE171" s="72"/>
      <c r="OGF171" s="72"/>
      <c r="OGG171" s="72"/>
      <c r="OGH171" s="72"/>
      <c r="OGI171" s="72"/>
      <c r="OGJ171" s="72"/>
      <c r="OGK171" s="72"/>
      <c r="OGL171" s="72"/>
      <c r="OGM171" s="72"/>
      <c r="OGN171" s="72"/>
      <c r="OGO171" s="72"/>
      <c r="OGP171" s="72"/>
      <c r="OGQ171" s="72"/>
      <c r="OGR171" s="72"/>
      <c r="OGS171" s="72"/>
      <c r="OGT171" s="72"/>
      <c r="OGU171" s="72"/>
      <c r="OGV171" s="72"/>
      <c r="OGW171" s="72"/>
      <c r="OGX171" s="72"/>
      <c r="OGY171" s="72"/>
      <c r="OGZ171" s="72"/>
      <c r="OHA171" s="72"/>
      <c r="OHB171" s="72"/>
      <c r="OHC171" s="72"/>
      <c r="OHD171" s="72"/>
      <c r="OHE171" s="72"/>
      <c r="OHF171" s="72"/>
      <c r="OHG171" s="72"/>
      <c r="OHH171" s="72"/>
      <c r="OHI171" s="72"/>
      <c r="OHJ171" s="72"/>
      <c r="OHK171" s="72"/>
      <c r="OHL171" s="72"/>
      <c r="OHM171" s="72"/>
      <c r="OHN171" s="72"/>
      <c r="OHO171" s="72"/>
      <c r="OHP171" s="72"/>
      <c r="OHQ171" s="72"/>
      <c r="OHR171" s="72"/>
      <c r="OHS171" s="72"/>
      <c r="OHT171" s="72"/>
      <c r="OHU171" s="72"/>
      <c r="OHV171" s="72"/>
      <c r="OHW171" s="72"/>
      <c r="OHX171" s="72"/>
      <c r="OHY171" s="72"/>
      <c r="OHZ171" s="72"/>
      <c r="OIA171" s="72"/>
      <c r="OIB171" s="72"/>
      <c r="OIC171" s="72"/>
      <c r="OID171" s="72"/>
      <c r="OIE171" s="72"/>
      <c r="OIF171" s="72"/>
      <c r="OIG171" s="72"/>
      <c r="OIH171" s="72"/>
      <c r="OII171" s="72"/>
      <c r="OIJ171" s="72"/>
      <c r="OIK171" s="72"/>
      <c r="OIL171" s="72"/>
      <c r="OIM171" s="72"/>
      <c r="OIN171" s="72"/>
      <c r="OIO171" s="72"/>
      <c r="OIP171" s="72"/>
      <c r="OIQ171" s="72"/>
      <c r="OIR171" s="72"/>
      <c r="OIS171" s="72"/>
      <c r="OIT171" s="72"/>
      <c r="OIU171" s="72"/>
      <c r="OIV171" s="72"/>
      <c r="OIW171" s="72"/>
      <c r="OIX171" s="72"/>
      <c r="OIY171" s="72"/>
      <c r="OIZ171" s="72"/>
      <c r="OJA171" s="72"/>
      <c r="OJB171" s="72"/>
      <c r="OJC171" s="72"/>
      <c r="OJD171" s="72"/>
      <c r="OJE171" s="72"/>
      <c r="OJF171" s="72"/>
      <c r="OJG171" s="72"/>
      <c r="OJH171" s="72"/>
      <c r="OJI171" s="72"/>
      <c r="OJJ171" s="72"/>
      <c r="OJK171" s="72"/>
      <c r="OJL171" s="72"/>
      <c r="OJM171" s="72"/>
      <c r="OJN171" s="72"/>
      <c r="OJO171" s="72"/>
      <c r="OJP171" s="72"/>
      <c r="OJQ171" s="72"/>
      <c r="OJR171" s="72"/>
      <c r="OJS171" s="72"/>
      <c r="OJT171" s="72"/>
      <c r="OJU171" s="72"/>
      <c r="OJV171" s="72"/>
      <c r="OJW171" s="72"/>
      <c r="OJX171" s="72"/>
      <c r="OJY171" s="72"/>
      <c r="OJZ171" s="72"/>
      <c r="OKA171" s="72"/>
      <c r="OKB171" s="72"/>
      <c r="OKC171" s="72"/>
      <c r="OKD171" s="72"/>
      <c r="OKE171" s="72"/>
      <c r="OKF171" s="72"/>
      <c r="OKG171" s="72"/>
      <c r="OKH171" s="72"/>
      <c r="OKI171" s="72"/>
      <c r="OKJ171" s="72"/>
      <c r="OKK171" s="72"/>
      <c r="OKL171" s="72"/>
      <c r="OKM171" s="72"/>
      <c r="OKN171" s="72"/>
      <c r="OKO171" s="72"/>
      <c r="OKP171" s="72"/>
      <c r="OKQ171" s="72"/>
      <c r="OKR171" s="72"/>
      <c r="OKS171" s="72"/>
      <c r="OKT171" s="72"/>
      <c r="OKU171" s="72"/>
      <c r="OKV171" s="72"/>
      <c r="OKW171" s="72"/>
      <c r="OKX171" s="72"/>
      <c r="OKY171" s="72"/>
      <c r="OKZ171" s="72"/>
      <c r="OLA171" s="72"/>
      <c r="OLB171" s="72"/>
      <c r="OLC171" s="72"/>
      <c r="OLD171" s="72"/>
      <c r="OLE171" s="72"/>
      <c r="OLF171" s="72"/>
      <c r="OLG171" s="72"/>
      <c r="OLH171" s="72"/>
      <c r="OLI171" s="72"/>
      <c r="OLJ171" s="72"/>
      <c r="OLK171" s="72"/>
      <c r="OLL171" s="72"/>
      <c r="OLM171" s="72"/>
      <c r="OLN171" s="72"/>
      <c r="OLO171" s="72"/>
      <c r="OLP171" s="72"/>
      <c r="OLQ171" s="72"/>
      <c r="OLR171" s="72"/>
      <c r="OLS171" s="72"/>
      <c r="OLT171" s="72"/>
      <c r="OLU171" s="72"/>
      <c r="OLV171" s="72"/>
      <c r="OLW171" s="72"/>
      <c r="OLX171" s="72"/>
      <c r="OLY171" s="72"/>
      <c r="OLZ171" s="72"/>
      <c r="OMA171" s="72"/>
      <c r="OMB171" s="72"/>
      <c r="OMC171" s="72"/>
      <c r="OMD171" s="72"/>
      <c r="OME171" s="72"/>
      <c r="OMF171" s="72"/>
      <c r="OMG171" s="72"/>
      <c r="OMH171" s="72"/>
      <c r="OMI171" s="72"/>
      <c r="OMJ171" s="72"/>
      <c r="OMK171" s="72"/>
      <c r="OML171" s="72"/>
      <c r="OMM171" s="72"/>
      <c r="OMN171" s="72"/>
      <c r="OMO171" s="72"/>
      <c r="OMP171" s="72"/>
      <c r="OMQ171" s="72"/>
      <c r="OMR171" s="72"/>
      <c r="OMS171" s="72"/>
      <c r="OMT171" s="72"/>
      <c r="OMU171" s="72"/>
      <c r="OMV171" s="72"/>
      <c r="OMW171" s="72"/>
      <c r="OMX171" s="72"/>
      <c r="OMY171" s="72"/>
      <c r="OMZ171" s="72"/>
      <c r="ONA171" s="72"/>
      <c r="ONB171" s="72"/>
      <c r="ONC171" s="72"/>
      <c r="OND171" s="72"/>
      <c r="ONE171" s="72"/>
      <c r="ONF171" s="72"/>
      <c r="ONG171" s="72"/>
      <c r="ONH171" s="72"/>
      <c r="ONI171" s="72"/>
      <c r="ONJ171" s="72"/>
      <c r="ONK171" s="72"/>
      <c r="ONL171" s="72"/>
      <c r="ONM171" s="72"/>
      <c r="ONN171" s="72"/>
      <c r="ONO171" s="72"/>
      <c r="ONP171" s="72"/>
      <c r="ONQ171" s="72"/>
      <c r="ONR171" s="72"/>
      <c r="ONS171" s="72"/>
      <c r="ONT171" s="72"/>
      <c r="ONU171" s="72"/>
      <c r="ONV171" s="72"/>
      <c r="ONW171" s="72"/>
      <c r="ONX171" s="72"/>
      <c r="ONY171" s="72"/>
      <c r="ONZ171" s="72"/>
      <c r="OOA171" s="72"/>
      <c r="OOB171" s="72"/>
      <c r="OOC171" s="72"/>
      <c r="OOD171" s="72"/>
      <c r="OOE171" s="72"/>
      <c r="OOF171" s="72"/>
      <c r="OOG171" s="72"/>
      <c r="OOH171" s="72"/>
      <c r="OOI171" s="72"/>
      <c r="OOJ171" s="72"/>
      <c r="OOK171" s="72"/>
      <c r="OOL171" s="72"/>
      <c r="OOM171" s="72"/>
      <c r="OON171" s="72"/>
      <c r="OOO171" s="72"/>
      <c r="OOP171" s="72"/>
      <c r="OOQ171" s="72"/>
      <c r="OOR171" s="72"/>
      <c r="OOS171" s="72"/>
      <c r="OOT171" s="72"/>
      <c r="OOU171" s="72"/>
      <c r="OOV171" s="72"/>
      <c r="OOW171" s="72"/>
      <c r="OOX171" s="72"/>
      <c r="OOY171" s="72"/>
      <c r="OOZ171" s="72"/>
      <c r="OPA171" s="72"/>
      <c r="OPB171" s="72"/>
      <c r="OPC171" s="72"/>
      <c r="OPD171" s="72"/>
      <c r="OPE171" s="72"/>
      <c r="OPF171" s="72"/>
      <c r="OPG171" s="72"/>
      <c r="OPH171" s="72"/>
      <c r="OPI171" s="72"/>
      <c r="OPJ171" s="72"/>
      <c r="OPK171" s="72"/>
      <c r="OPL171" s="72"/>
      <c r="OPM171" s="72"/>
      <c r="OPN171" s="72"/>
      <c r="OPO171" s="72"/>
      <c r="OPP171" s="72"/>
      <c r="OPQ171" s="72"/>
      <c r="OPR171" s="72"/>
      <c r="OPS171" s="72"/>
      <c r="OPT171" s="72"/>
      <c r="OPU171" s="72"/>
      <c r="OPV171" s="72"/>
      <c r="OPW171" s="72"/>
      <c r="OPX171" s="72"/>
      <c r="OPY171" s="72"/>
      <c r="OPZ171" s="72"/>
      <c r="OQA171" s="72"/>
      <c r="OQB171" s="72"/>
      <c r="OQC171" s="72"/>
      <c r="OQD171" s="72"/>
      <c r="OQE171" s="72"/>
      <c r="OQF171" s="72"/>
      <c r="OQG171" s="72"/>
      <c r="OQH171" s="72"/>
      <c r="OQI171" s="72"/>
      <c r="OQJ171" s="72"/>
      <c r="OQK171" s="72"/>
      <c r="OQL171" s="72"/>
      <c r="OQM171" s="72"/>
      <c r="OQN171" s="72"/>
      <c r="OQO171" s="72"/>
      <c r="OQP171" s="72"/>
      <c r="OQQ171" s="72"/>
      <c r="OQR171" s="72"/>
      <c r="OQS171" s="72"/>
      <c r="OQT171" s="72"/>
      <c r="OQU171" s="72"/>
      <c r="OQV171" s="72"/>
      <c r="OQW171" s="72"/>
      <c r="OQX171" s="72"/>
      <c r="OQY171" s="72"/>
      <c r="OQZ171" s="72"/>
      <c r="ORA171" s="72"/>
      <c r="ORB171" s="72"/>
      <c r="ORC171" s="72"/>
      <c r="ORD171" s="72"/>
      <c r="ORE171" s="72"/>
      <c r="ORF171" s="72"/>
      <c r="ORG171" s="72"/>
      <c r="ORH171" s="72"/>
      <c r="ORI171" s="72"/>
      <c r="ORJ171" s="72"/>
      <c r="ORK171" s="72"/>
      <c r="ORL171" s="72"/>
      <c r="ORM171" s="72"/>
      <c r="ORN171" s="72"/>
      <c r="ORO171" s="72"/>
      <c r="ORP171" s="72"/>
      <c r="ORQ171" s="72"/>
      <c r="ORR171" s="72"/>
      <c r="ORS171" s="72"/>
      <c r="ORT171" s="72"/>
      <c r="ORU171" s="72"/>
      <c r="ORV171" s="72"/>
      <c r="ORW171" s="72"/>
      <c r="ORX171" s="72"/>
      <c r="ORY171" s="72"/>
      <c r="ORZ171" s="72"/>
      <c r="OSA171" s="72"/>
      <c r="OSB171" s="72"/>
      <c r="OSC171" s="72"/>
      <c r="OSD171" s="72"/>
      <c r="OSE171" s="72"/>
      <c r="OSF171" s="72"/>
      <c r="OSG171" s="72"/>
      <c r="OSH171" s="72"/>
      <c r="OSI171" s="72"/>
      <c r="OSJ171" s="72"/>
      <c r="OSK171" s="72"/>
      <c r="OSL171" s="72"/>
      <c r="OSM171" s="72"/>
      <c r="OSN171" s="72"/>
      <c r="OSO171" s="72"/>
      <c r="OSP171" s="72"/>
      <c r="OSQ171" s="72"/>
      <c r="OSR171" s="72"/>
      <c r="OSS171" s="72"/>
      <c r="OST171" s="72"/>
      <c r="OSU171" s="72"/>
      <c r="OSV171" s="72"/>
      <c r="OSW171" s="72"/>
      <c r="OSX171" s="72"/>
      <c r="OSY171" s="72"/>
      <c r="OSZ171" s="72"/>
      <c r="OTA171" s="72"/>
      <c r="OTB171" s="72"/>
      <c r="OTC171" s="72"/>
      <c r="OTD171" s="72"/>
      <c r="OTE171" s="72"/>
      <c r="OTF171" s="72"/>
      <c r="OTG171" s="72"/>
      <c r="OTH171" s="72"/>
      <c r="OTI171" s="72"/>
      <c r="OTJ171" s="72"/>
      <c r="OTK171" s="72"/>
      <c r="OTL171" s="72"/>
      <c r="OTM171" s="72"/>
      <c r="OTN171" s="72"/>
      <c r="OTO171" s="72"/>
      <c r="OTP171" s="72"/>
      <c r="OTQ171" s="72"/>
      <c r="OTR171" s="72"/>
      <c r="OTS171" s="72"/>
      <c r="OTT171" s="72"/>
      <c r="OTU171" s="72"/>
      <c r="OTV171" s="72"/>
      <c r="OTW171" s="72"/>
      <c r="OTX171" s="72"/>
      <c r="OTY171" s="72"/>
      <c r="OTZ171" s="72"/>
      <c r="OUA171" s="72"/>
      <c r="OUB171" s="72"/>
      <c r="OUC171" s="72"/>
      <c r="OUD171" s="72"/>
      <c r="OUE171" s="72"/>
      <c r="OUF171" s="72"/>
      <c r="OUG171" s="72"/>
      <c r="OUH171" s="72"/>
      <c r="OUI171" s="72"/>
      <c r="OUJ171" s="72"/>
      <c r="OUK171" s="72"/>
      <c r="OUL171" s="72"/>
      <c r="OUM171" s="72"/>
      <c r="OUN171" s="72"/>
      <c r="OUO171" s="72"/>
      <c r="OUP171" s="72"/>
      <c r="OUQ171" s="72"/>
      <c r="OUR171" s="72"/>
      <c r="OUS171" s="72"/>
      <c r="OUT171" s="72"/>
      <c r="OUU171" s="72"/>
      <c r="OUV171" s="72"/>
      <c r="OUW171" s="72"/>
      <c r="OUX171" s="72"/>
      <c r="OUY171" s="72"/>
      <c r="OUZ171" s="72"/>
      <c r="OVA171" s="72"/>
      <c r="OVB171" s="72"/>
      <c r="OVC171" s="72"/>
      <c r="OVD171" s="72"/>
      <c r="OVE171" s="72"/>
      <c r="OVF171" s="72"/>
      <c r="OVG171" s="72"/>
      <c r="OVH171" s="72"/>
      <c r="OVI171" s="72"/>
      <c r="OVJ171" s="72"/>
      <c r="OVK171" s="72"/>
      <c r="OVL171" s="72"/>
      <c r="OVM171" s="72"/>
      <c r="OVN171" s="72"/>
      <c r="OVO171" s="72"/>
      <c r="OVP171" s="72"/>
      <c r="OVQ171" s="72"/>
      <c r="OVR171" s="72"/>
      <c r="OVS171" s="72"/>
      <c r="OVT171" s="72"/>
      <c r="OVU171" s="72"/>
      <c r="OVV171" s="72"/>
      <c r="OVW171" s="72"/>
      <c r="OVX171" s="72"/>
      <c r="OVY171" s="72"/>
      <c r="OVZ171" s="72"/>
      <c r="OWA171" s="72"/>
      <c r="OWB171" s="72"/>
      <c r="OWC171" s="72"/>
      <c r="OWD171" s="72"/>
      <c r="OWE171" s="72"/>
      <c r="OWF171" s="72"/>
      <c r="OWG171" s="72"/>
      <c r="OWH171" s="72"/>
      <c r="OWI171" s="72"/>
      <c r="OWJ171" s="72"/>
      <c r="OWK171" s="72"/>
      <c r="OWL171" s="72"/>
      <c r="OWM171" s="72"/>
      <c r="OWN171" s="72"/>
      <c r="OWO171" s="72"/>
      <c r="OWP171" s="72"/>
      <c r="OWQ171" s="72"/>
      <c r="OWR171" s="72"/>
      <c r="OWS171" s="72"/>
      <c r="OWT171" s="72"/>
      <c r="OWU171" s="72"/>
      <c r="OWV171" s="72"/>
      <c r="OWW171" s="72"/>
      <c r="OWX171" s="72"/>
      <c r="OWY171" s="72"/>
      <c r="OWZ171" s="72"/>
      <c r="OXA171" s="72"/>
      <c r="OXB171" s="72"/>
      <c r="OXC171" s="72"/>
      <c r="OXD171" s="72"/>
      <c r="OXE171" s="72"/>
      <c r="OXF171" s="72"/>
      <c r="OXG171" s="72"/>
      <c r="OXH171" s="72"/>
      <c r="OXI171" s="72"/>
      <c r="OXJ171" s="72"/>
      <c r="OXK171" s="72"/>
      <c r="OXL171" s="72"/>
      <c r="OXM171" s="72"/>
      <c r="OXN171" s="72"/>
      <c r="OXO171" s="72"/>
      <c r="OXP171" s="72"/>
      <c r="OXQ171" s="72"/>
      <c r="OXR171" s="72"/>
      <c r="OXS171" s="72"/>
      <c r="OXT171" s="72"/>
      <c r="OXU171" s="72"/>
      <c r="OXV171" s="72"/>
      <c r="OXW171" s="72"/>
      <c r="OXX171" s="72"/>
      <c r="OXY171" s="72"/>
      <c r="OXZ171" s="72"/>
      <c r="OYA171" s="72"/>
      <c r="OYB171" s="72"/>
      <c r="OYC171" s="72"/>
      <c r="OYD171" s="72"/>
      <c r="OYE171" s="72"/>
      <c r="OYF171" s="72"/>
      <c r="OYG171" s="72"/>
      <c r="OYH171" s="72"/>
      <c r="OYI171" s="72"/>
      <c r="OYJ171" s="72"/>
      <c r="OYK171" s="72"/>
      <c r="OYL171" s="72"/>
      <c r="OYM171" s="72"/>
      <c r="OYN171" s="72"/>
      <c r="OYO171" s="72"/>
      <c r="OYP171" s="72"/>
      <c r="OYQ171" s="72"/>
      <c r="OYR171" s="72"/>
      <c r="OYS171" s="72"/>
      <c r="OYT171" s="72"/>
      <c r="OYU171" s="72"/>
      <c r="OYV171" s="72"/>
      <c r="OYW171" s="72"/>
      <c r="OYX171" s="72"/>
      <c r="OYY171" s="72"/>
      <c r="OYZ171" s="72"/>
      <c r="OZA171" s="72"/>
      <c r="OZB171" s="72"/>
      <c r="OZC171" s="72"/>
      <c r="OZD171" s="72"/>
      <c r="OZE171" s="72"/>
      <c r="OZF171" s="72"/>
      <c r="OZG171" s="72"/>
      <c r="OZH171" s="72"/>
      <c r="OZI171" s="72"/>
      <c r="OZJ171" s="72"/>
      <c r="OZK171" s="72"/>
      <c r="OZL171" s="72"/>
      <c r="OZM171" s="72"/>
      <c r="OZN171" s="72"/>
      <c r="OZO171" s="72"/>
      <c r="OZP171" s="72"/>
      <c r="OZQ171" s="72"/>
      <c r="OZR171" s="72"/>
      <c r="OZS171" s="72"/>
      <c r="OZT171" s="72"/>
      <c r="OZU171" s="72"/>
      <c r="OZV171" s="72"/>
      <c r="OZW171" s="72"/>
      <c r="OZX171" s="72"/>
      <c r="OZY171" s="72"/>
      <c r="OZZ171" s="72"/>
      <c r="PAA171" s="72"/>
      <c r="PAB171" s="72"/>
      <c r="PAC171" s="72"/>
      <c r="PAD171" s="72"/>
      <c r="PAE171" s="72"/>
      <c r="PAF171" s="72"/>
      <c r="PAG171" s="72"/>
      <c r="PAH171" s="72"/>
      <c r="PAI171" s="72"/>
      <c r="PAJ171" s="72"/>
      <c r="PAK171" s="72"/>
      <c r="PAL171" s="72"/>
      <c r="PAM171" s="72"/>
      <c r="PAN171" s="72"/>
      <c r="PAO171" s="72"/>
      <c r="PAP171" s="72"/>
      <c r="PAQ171" s="72"/>
      <c r="PAR171" s="72"/>
      <c r="PAS171" s="72"/>
      <c r="PAT171" s="72"/>
      <c r="PAU171" s="72"/>
      <c r="PAV171" s="72"/>
      <c r="PAW171" s="72"/>
      <c r="PAX171" s="72"/>
      <c r="PAY171" s="72"/>
      <c r="PAZ171" s="72"/>
      <c r="PBA171" s="72"/>
      <c r="PBB171" s="72"/>
      <c r="PBC171" s="72"/>
      <c r="PBD171" s="72"/>
      <c r="PBE171" s="72"/>
      <c r="PBF171" s="72"/>
      <c r="PBG171" s="72"/>
      <c r="PBH171" s="72"/>
      <c r="PBI171" s="72"/>
      <c r="PBJ171" s="72"/>
      <c r="PBK171" s="72"/>
      <c r="PBL171" s="72"/>
      <c r="PBM171" s="72"/>
      <c r="PBN171" s="72"/>
      <c r="PBO171" s="72"/>
      <c r="PBP171" s="72"/>
      <c r="PBQ171" s="72"/>
      <c r="PBR171" s="72"/>
      <c r="PBS171" s="72"/>
      <c r="PBT171" s="72"/>
      <c r="PBU171" s="72"/>
      <c r="PBV171" s="72"/>
      <c r="PBW171" s="72"/>
      <c r="PBX171" s="72"/>
      <c r="PBY171" s="72"/>
      <c r="PBZ171" s="72"/>
      <c r="PCA171" s="72"/>
      <c r="PCB171" s="72"/>
      <c r="PCC171" s="72"/>
      <c r="PCD171" s="72"/>
      <c r="PCE171" s="72"/>
      <c r="PCF171" s="72"/>
      <c r="PCG171" s="72"/>
      <c r="PCH171" s="72"/>
      <c r="PCI171" s="72"/>
      <c r="PCJ171" s="72"/>
      <c r="PCK171" s="72"/>
      <c r="PCL171" s="72"/>
      <c r="PCM171" s="72"/>
      <c r="PCN171" s="72"/>
      <c r="PCO171" s="72"/>
      <c r="PCP171" s="72"/>
      <c r="PCQ171" s="72"/>
      <c r="PCR171" s="72"/>
      <c r="PCS171" s="72"/>
      <c r="PCT171" s="72"/>
      <c r="PCU171" s="72"/>
      <c r="PCV171" s="72"/>
      <c r="PCW171" s="72"/>
      <c r="PCX171" s="72"/>
      <c r="PCY171" s="72"/>
      <c r="PCZ171" s="72"/>
      <c r="PDA171" s="72"/>
      <c r="PDB171" s="72"/>
      <c r="PDC171" s="72"/>
      <c r="PDD171" s="72"/>
      <c r="PDE171" s="72"/>
      <c r="PDF171" s="72"/>
      <c r="PDG171" s="72"/>
      <c r="PDH171" s="72"/>
      <c r="PDI171" s="72"/>
      <c r="PDJ171" s="72"/>
      <c r="PDK171" s="72"/>
      <c r="PDL171" s="72"/>
      <c r="PDM171" s="72"/>
      <c r="PDN171" s="72"/>
      <c r="PDO171" s="72"/>
      <c r="PDP171" s="72"/>
      <c r="PDQ171" s="72"/>
      <c r="PDR171" s="72"/>
      <c r="PDS171" s="72"/>
      <c r="PDT171" s="72"/>
      <c r="PDU171" s="72"/>
      <c r="PDV171" s="72"/>
      <c r="PDW171" s="72"/>
      <c r="PDX171" s="72"/>
      <c r="PDY171" s="72"/>
      <c r="PDZ171" s="72"/>
      <c r="PEA171" s="72"/>
      <c r="PEB171" s="72"/>
      <c r="PEC171" s="72"/>
      <c r="PED171" s="72"/>
      <c r="PEE171" s="72"/>
      <c r="PEF171" s="72"/>
      <c r="PEG171" s="72"/>
      <c r="PEH171" s="72"/>
      <c r="PEI171" s="72"/>
      <c r="PEJ171" s="72"/>
      <c r="PEK171" s="72"/>
      <c r="PEL171" s="72"/>
      <c r="PEM171" s="72"/>
      <c r="PEN171" s="72"/>
      <c r="PEO171" s="72"/>
      <c r="PEP171" s="72"/>
      <c r="PEQ171" s="72"/>
      <c r="PER171" s="72"/>
      <c r="PES171" s="72"/>
      <c r="PET171" s="72"/>
      <c r="PEU171" s="72"/>
      <c r="PEV171" s="72"/>
      <c r="PEW171" s="72"/>
      <c r="PEX171" s="72"/>
      <c r="PEY171" s="72"/>
      <c r="PEZ171" s="72"/>
      <c r="PFA171" s="72"/>
      <c r="PFB171" s="72"/>
      <c r="PFC171" s="72"/>
      <c r="PFD171" s="72"/>
      <c r="PFE171" s="72"/>
      <c r="PFF171" s="72"/>
      <c r="PFG171" s="72"/>
      <c r="PFH171" s="72"/>
      <c r="PFI171" s="72"/>
      <c r="PFJ171" s="72"/>
      <c r="PFK171" s="72"/>
      <c r="PFL171" s="72"/>
      <c r="PFM171" s="72"/>
      <c r="PFN171" s="72"/>
      <c r="PFO171" s="72"/>
      <c r="PFP171" s="72"/>
      <c r="PFQ171" s="72"/>
      <c r="PFR171" s="72"/>
      <c r="PFS171" s="72"/>
      <c r="PFT171" s="72"/>
      <c r="PFU171" s="72"/>
      <c r="PFV171" s="72"/>
      <c r="PFW171" s="72"/>
      <c r="PFX171" s="72"/>
      <c r="PFY171" s="72"/>
      <c r="PFZ171" s="72"/>
      <c r="PGA171" s="72"/>
      <c r="PGB171" s="72"/>
      <c r="PGC171" s="72"/>
      <c r="PGD171" s="72"/>
      <c r="PGE171" s="72"/>
      <c r="PGF171" s="72"/>
      <c r="PGG171" s="72"/>
      <c r="PGH171" s="72"/>
      <c r="PGI171" s="72"/>
      <c r="PGJ171" s="72"/>
      <c r="PGK171" s="72"/>
      <c r="PGL171" s="72"/>
      <c r="PGM171" s="72"/>
      <c r="PGN171" s="72"/>
      <c r="PGO171" s="72"/>
      <c r="PGP171" s="72"/>
      <c r="PGQ171" s="72"/>
      <c r="PGR171" s="72"/>
      <c r="PGS171" s="72"/>
      <c r="PGT171" s="72"/>
      <c r="PGU171" s="72"/>
      <c r="PGV171" s="72"/>
      <c r="PGW171" s="72"/>
      <c r="PGX171" s="72"/>
      <c r="PGY171" s="72"/>
      <c r="PGZ171" s="72"/>
      <c r="PHA171" s="72"/>
      <c r="PHB171" s="72"/>
      <c r="PHC171" s="72"/>
      <c r="PHD171" s="72"/>
      <c r="PHE171" s="72"/>
      <c r="PHF171" s="72"/>
      <c r="PHG171" s="72"/>
      <c r="PHH171" s="72"/>
      <c r="PHI171" s="72"/>
      <c r="PHJ171" s="72"/>
      <c r="PHK171" s="72"/>
      <c r="PHL171" s="72"/>
      <c r="PHM171" s="72"/>
      <c r="PHN171" s="72"/>
      <c r="PHO171" s="72"/>
      <c r="PHP171" s="72"/>
      <c r="PHQ171" s="72"/>
      <c r="PHR171" s="72"/>
      <c r="PHS171" s="72"/>
      <c r="PHT171" s="72"/>
      <c r="PHU171" s="72"/>
      <c r="PHV171" s="72"/>
      <c r="PHW171" s="72"/>
      <c r="PHX171" s="72"/>
      <c r="PHY171" s="72"/>
      <c r="PHZ171" s="72"/>
      <c r="PIA171" s="72"/>
      <c r="PIB171" s="72"/>
      <c r="PIC171" s="72"/>
      <c r="PID171" s="72"/>
      <c r="PIE171" s="72"/>
      <c r="PIF171" s="72"/>
      <c r="PIG171" s="72"/>
      <c r="PIH171" s="72"/>
      <c r="PII171" s="72"/>
      <c r="PIJ171" s="72"/>
      <c r="PIK171" s="72"/>
      <c r="PIL171" s="72"/>
      <c r="PIM171" s="72"/>
      <c r="PIN171" s="72"/>
      <c r="PIO171" s="72"/>
      <c r="PIP171" s="72"/>
      <c r="PIQ171" s="72"/>
      <c r="PIR171" s="72"/>
      <c r="PIS171" s="72"/>
      <c r="PIT171" s="72"/>
      <c r="PIU171" s="72"/>
      <c r="PIV171" s="72"/>
      <c r="PIW171" s="72"/>
      <c r="PIX171" s="72"/>
      <c r="PIY171" s="72"/>
      <c r="PIZ171" s="72"/>
      <c r="PJA171" s="72"/>
      <c r="PJB171" s="72"/>
      <c r="PJC171" s="72"/>
      <c r="PJD171" s="72"/>
      <c r="PJE171" s="72"/>
      <c r="PJF171" s="72"/>
      <c r="PJG171" s="72"/>
      <c r="PJH171" s="72"/>
      <c r="PJI171" s="72"/>
      <c r="PJJ171" s="72"/>
      <c r="PJK171" s="72"/>
      <c r="PJL171" s="72"/>
      <c r="PJM171" s="72"/>
      <c r="PJN171" s="72"/>
      <c r="PJO171" s="72"/>
      <c r="PJP171" s="72"/>
      <c r="PJQ171" s="72"/>
      <c r="PJR171" s="72"/>
      <c r="PJS171" s="72"/>
      <c r="PJT171" s="72"/>
      <c r="PJU171" s="72"/>
      <c r="PJV171" s="72"/>
      <c r="PJW171" s="72"/>
      <c r="PJX171" s="72"/>
      <c r="PJY171" s="72"/>
      <c r="PJZ171" s="72"/>
      <c r="PKA171" s="72"/>
      <c r="PKB171" s="72"/>
      <c r="PKC171" s="72"/>
      <c r="PKD171" s="72"/>
      <c r="PKE171" s="72"/>
      <c r="PKF171" s="72"/>
      <c r="PKG171" s="72"/>
      <c r="PKH171" s="72"/>
      <c r="PKI171" s="72"/>
      <c r="PKJ171" s="72"/>
      <c r="PKK171" s="72"/>
      <c r="PKL171" s="72"/>
      <c r="PKM171" s="72"/>
      <c r="PKN171" s="72"/>
      <c r="PKO171" s="72"/>
      <c r="PKP171" s="72"/>
      <c r="PKQ171" s="72"/>
      <c r="PKR171" s="72"/>
      <c r="PKS171" s="72"/>
      <c r="PKT171" s="72"/>
      <c r="PKU171" s="72"/>
      <c r="PKV171" s="72"/>
      <c r="PKW171" s="72"/>
      <c r="PKX171" s="72"/>
      <c r="PKY171" s="72"/>
      <c r="PKZ171" s="72"/>
      <c r="PLA171" s="72"/>
      <c r="PLB171" s="72"/>
      <c r="PLC171" s="72"/>
      <c r="PLD171" s="72"/>
      <c r="PLE171" s="72"/>
      <c r="PLF171" s="72"/>
      <c r="PLG171" s="72"/>
      <c r="PLH171" s="72"/>
      <c r="PLI171" s="72"/>
      <c r="PLJ171" s="72"/>
      <c r="PLK171" s="72"/>
      <c r="PLL171" s="72"/>
      <c r="PLM171" s="72"/>
      <c r="PLN171" s="72"/>
      <c r="PLO171" s="72"/>
      <c r="PLP171" s="72"/>
      <c r="PLQ171" s="72"/>
      <c r="PLR171" s="72"/>
      <c r="PLS171" s="72"/>
      <c r="PLT171" s="72"/>
      <c r="PLU171" s="72"/>
      <c r="PLV171" s="72"/>
      <c r="PLW171" s="72"/>
      <c r="PLX171" s="72"/>
      <c r="PLY171" s="72"/>
      <c r="PLZ171" s="72"/>
      <c r="PMA171" s="72"/>
      <c r="PMB171" s="72"/>
      <c r="PMC171" s="72"/>
      <c r="PMD171" s="72"/>
      <c r="PME171" s="72"/>
      <c r="PMF171" s="72"/>
      <c r="PMG171" s="72"/>
      <c r="PMH171" s="72"/>
      <c r="PMI171" s="72"/>
      <c r="PMJ171" s="72"/>
      <c r="PMK171" s="72"/>
      <c r="PML171" s="72"/>
      <c r="PMM171" s="72"/>
      <c r="PMN171" s="72"/>
      <c r="PMO171" s="72"/>
      <c r="PMP171" s="72"/>
      <c r="PMQ171" s="72"/>
      <c r="PMR171" s="72"/>
      <c r="PMS171" s="72"/>
      <c r="PMT171" s="72"/>
      <c r="PMU171" s="72"/>
      <c r="PMV171" s="72"/>
      <c r="PMW171" s="72"/>
      <c r="PMX171" s="72"/>
      <c r="PMY171" s="72"/>
      <c r="PMZ171" s="72"/>
      <c r="PNA171" s="72"/>
      <c r="PNB171" s="72"/>
      <c r="PNC171" s="72"/>
      <c r="PND171" s="72"/>
      <c r="PNE171" s="72"/>
      <c r="PNF171" s="72"/>
      <c r="PNG171" s="72"/>
      <c r="PNH171" s="72"/>
      <c r="PNI171" s="72"/>
      <c r="PNJ171" s="72"/>
      <c r="PNK171" s="72"/>
      <c r="PNL171" s="72"/>
      <c r="PNM171" s="72"/>
      <c r="PNN171" s="72"/>
      <c r="PNO171" s="72"/>
      <c r="PNP171" s="72"/>
      <c r="PNQ171" s="72"/>
      <c r="PNR171" s="72"/>
      <c r="PNS171" s="72"/>
      <c r="PNT171" s="72"/>
      <c r="PNU171" s="72"/>
      <c r="PNV171" s="72"/>
      <c r="PNW171" s="72"/>
      <c r="PNX171" s="72"/>
      <c r="PNY171" s="72"/>
      <c r="PNZ171" s="72"/>
      <c r="POA171" s="72"/>
      <c r="POB171" s="72"/>
      <c r="POC171" s="72"/>
      <c r="POD171" s="72"/>
      <c r="POE171" s="72"/>
      <c r="POF171" s="72"/>
      <c r="POG171" s="72"/>
      <c r="POH171" s="72"/>
      <c r="POI171" s="72"/>
      <c r="POJ171" s="72"/>
      <c r="POK171" s="72"/>
      <c r="POL171" s="72"/>
      <c r="POM171" s="72"/>
      <c r="PON171" s="72"/>
      <c r="POO171" s="72"/>
      <c r="POP171" s="72"/>
      <c r="POQ171" s="72"/>
      <c r="POR171" s="72"/>
      <c r="POS171" s="72"/>
      <c r="POT171" s="72"/>
      <c r="POU171" s="72"/>
      <c r="POV171" s="72"/>
      <c r="POW171" s="72"/>
      <c r="POX171" s="72"/>
      <c r="POY171" s="72"/>
      <c r="POZ171" s="72"/>
      <c r="PPA171" s="72"/>
      <c r="PPB171" s="72"/>
      <c r="PPC171" s="72"/>
      <c r="PPD171" s="72"/>
      <c r="PPE171" s="72"/>
      <c r="PPF171" s="72"/>
      <c r="PPG171" s="72"/>
      <c r="PPH171" s="72"/>
      <c r="PPI171" s="72"/>
      <c r="PPJ171" s="72"/>
      <c r="PPK171" s="72"/>
      <c r="PPL171" s="72"/>
      <c r="PPM171" s="72"/>
      <c r="PPN171" s="72"/>
      <c r="PPO171" s="72"/>
      <c r="PPP171" s="72"/>
      <c r="PPQ171" s="72"/>
      <c r="PPR171" s="72"/>
      <c r="PPS171" s="72"/>
      <c r="PPT171" s="72"/>
      <c r="PPU171" s="72"/>
      <c r="PPV171" s="72"/>
      <c r="PPW171" s="72"/>
      <c r="PPX171" s="72"/>
      <c r="PPY171" s="72"/>
      <c r="PPZ171" s="72"/>
      <c r="PQA171" s="72"/>
      <c r="PQB171" s="72"/>
      <c r="PQC171" s="72"/>
      <c r="PQD171" s="72"/>
      <c r="PQE171" s="72"/>
      <c r="PQF171" s="72"/>
      <c r="PQG171" s="72"/>
      <c r="PQH171" s="72"/>
      <c r="PQI171" s="72"/>
      <c r="PQJ171" s="72"/>
      <c r="PQK171" s="72"/>
      <c r="PQL171" s="72"/>
      <c r="PQM171" s="72"/>
      <c r="PQN171" s="72"/>
      <c r="PQO171" s="72"/>
      <c r="PQP171" s="72"/>
      <c r="PQQ171" s="72"/>
      <c r="PQR171" s="72"/>
      <c r="PQS171" s="72"/>
      <c r="PQT171" s="72"/>
      <c r="PQU171" s="72"/>
      <c r="PQV171" s="72"/>
      <c r="PQW171" s="72"/>
      <c r="PQX171" s="72"/>
      <c r="PQY171" s="72"/>
      <c r="PQZ171" s="72"/>
      <c r="PRA171" s="72"/>
      <c r="PRB171" s="72"/>
      <c r="PRC171" s="72"/>
      <c r="PRD171" s="72"/>
      <c r="PRE171" s="72"/>
      <c r="PRF171" s="72"/>
      <c r="PRG171" s="72"/>
      <c r="PRH171" s="72"/>
      <c r="PRI171" s="72"/>
      <c r="PRJ171" s="72"/>
      <c r="PRK171" s="72"/>
      <c r="PRL171" s="72"/>
      <c r="PRM171" s="72"/>
      <c r="PRN171" s="72"/>
      <c r="PRO171" s="72"/>
      <c r="PRP171" s="72"/>
      <c r="PRQ171" s="72"/>
      <c r="PRR171" s="72"/>
      <c r="PRS171" s="72"/>
      <c r="PRT171" s="72"/>
      <c r="PRU171" s="72"/>
      <c r="PRV171" s="72"/>
      <c r="PRW171" s="72"/>
      <c r="PRX171" s="72"/>
      <c r="PRY171" s="72"/>
      <c r="PRZ171" s="72"/>
      <c r="PSA171" s="72"/>
      <c r="PSB171" s="72"/>
      <c r="PSC171" s="72"/>
      <c r="PSD171" s="72"/>
      <c r="PSE171" s="72"/>
      <c r="PSF171" s="72"/>
      <c r="PSG171" s="72"/>
      <c r="PSH171" s="72"/>
      <c r="PSI171" s="72"/>
      <c r="PSJ171" s="72"/>
      <c r="PSK171" s="72"/>
      <c r="PSL171" s="72"/>
      <c r="PSM171" s="72"/>
      <c r="PSN171" s="72"/>
      <c r="PSO171" s="72"/>
      <c r="PSP171" s="72"/>
      <c r="PSQ171" s="72"/>
      <c r="PSR171" s="72"/>
      <c r="PSS171" s="72"/>
      <c r="PST171" s="72"/>
      <c r="PSU171" s="72"/>
      <c r="PSV171" s="72"/>
      <c r="PSW171" s="72"/>
      <c r="PSX171" s="72"/>
      <c r="PSY171" s="72"/>
      <c r="PSZ171" s="72"/>
      <c r="PTA171" s="72"/>
      <c r="PTB171" s="72"/>
      <c r="PTC171" s="72"/>
      <c r="PTD171" s="72"/>
      <c r="PTE171" s="72"/>
      <c r="PTF171" s="72"/>
      <c r="PTG171" s="72"/>
      <c r="PTH171" s="72"/>
      <c r="PTI171" s="72"/>
      <c r="PTJ171" s="72"/>
      <c r="PTK171" s="72"/>
      <c r="PTL171" s="72"/>
      <c r="PTM171" s="72"/>
      <c r="PTN171" s="72"/>
      <c r="PTO171" s="72"/>
      <c r="PTP171" s="72"/>
      <c r="PTQ171" s="72"/>
      <c r="PTR171" s="72"/>
      <c r="PTS171" s="72"/>
      <c r="PTT171" s="72"/>
      <c r="PTU171" s="72"/>
      <c r="PTV171" s="72"/>
      <c r="PTW171" s="72"/>
      <c r="PTX171" s="72"/>
      <c r="PTY171" s="72"/>
      <c r="PTZ171" s="72"/>
      <c r="PUA171" s="72"/>
      <c r="PUB171" s="72"/>
      <c r="PUC171" s="72"/>
      <c r="PUD171" s="72"/>
      <c r="PUE171" s="72"/>
      <c r="PUF171" s="72"/>
      <c r="PUG171" s="72"/>
      <c r="PUH171" s="72"/>
      <c r="PUI171" s="72"/>
      <c r="PUJ171" s="72"/>
      <c r="PUK171" s="72"/>
      <c r="PUL171" s="72"/>
      <c r="PUM171" s="72"/>
      <c r="PUN171" s="72"/>
      <c r="PUO171" s="72"/>
      <c r="PUP171" s="72"/>
      <c r="PUQ171" s="72"/>
      <c r="PUR171" s="72"/>
      <c r="PUS171" s="72"/>
      <c r="PUT171" s="72"/>
      <c r="PUU171" s="72"/>
      <c r="PUV171" s="72"/>
      <c r="PUW171" s="72"/>
      <c r="PUX171" s="72"/>
      <c r="PUY171" s="72"/>
      <c r="PUZ171" s="72"/>
      <c r="PVA171" s="72"/>
      <c r="PVB171" s="72"/>
      <c r="PVC171" s="72"/>
      <c r="PVD171" s="72"/>
      <c r="PVE171" s="72"/>
      <c r="PVF171" s="72"/>
      <c r="PVG171" s="72"/>
      <c r="PVH171" s="72"/>
      <c r="PVI171" s="72"/>
      <c r="PVJ171" s="72"/>
      <c r="PVK171" s="72"/>
      <c r="PVL171" s="72"/>
      <c r="PVM171" s="72"/>
      <c r="PVN171" s="72"/>
      <c r="PVO171" s="72"/>
      <c r="PVP171" s="72"/>
      <c r="PVQ171" s="72"/>
      <c r="PVR171" s="72"/>
      <c r="PVS171" s="72"/>
      <c r="PVT171" s="72"/>
      <c r="PVU171" s="72"/>
      <c r="PVV171" s="72"/>
      <c r="PVW171" s="72"/>
      <c r="PVX171" s="72"/>
      <c r="PVY171" s="72"/>
      <c r="PVZ171" s="72"/>
      <c r="PWA171" s="72"/>
      <c r="PWB171" s="72"/>
      <c r="PWC171" s="72"/>
      <c r="PWD171" s="72"/>
      <c r="PWE171" s="72"/>
      <c r="PWF171" s="72"/>
      <c r="PWG171" s="72"/>
      <c r="PWH171" s="72"/>
      <c r="PWI171" s="72"/>
      <c r="PWJ171" s="72"/>
      <c r="PWK171" s="72"/>
      <c r="PWL171" s="72"/>
      <c r="PWM171" s="72"/>
      <c r="PWN171" s="72"/>
      <c r="PWO171" s="72"/>
      <c r="PWP171" s="72"/>
      <c r="PWQ171" s="72"/>
      <c r="PWR171" s="72"/>
      <c r="PWS171" s="72"/>
      <c r="PWT171" s="72"/>
      <c r="PWU171" s="72"/>
      <c r="PWV171" s="72"/>
      <c r="PWW171" s="72"/>
      <c r="PWX171" s="72"/>
      <c r="PWY171" s="72"/>
      <c r="PWZ171" s="72"/>
      <c r="PXA171" s="72"/>
      <c r="PXB171" s="72"/>
      <c r="PXC171" s="72"/>
      <c r="PXD171" s="72"/>
      <c r="PXE171" s="72"/>
      <c r="PXF171" s="72"/>
      <c r="PXG171" s="72"/>
      <c r="PXH171" s="72"/>
      <c r="PXI171" s="72"/>
      <c r="PXJ171" s="72"/>
      <c r="PXK171" s="72"/>
      <c r="PXL171" s="72"/>
      <c r="PXM171" s="72"/>
      <c r="PXN171" s="72"/>
      <c r="PXO171" s="72"/>
      <c r="PXP171" s="72"/>
      <c r="PXQ171" s="72"/>
      <c r="PXR171" s="72"/>
      <c r="PXS171" s="72"/>
      <c r="PXT171" s="72"/>
      <c r="PXU171" s="72"/>
      <c r="PXV171" s="72"/>
      <c r="PXW171" s="72"/>
      <c r="PXX171" s="72"/>
      <c r="PXY171" s="72"/>
      <c r="PXZ171" s="72"/>
      <c r="PYA171" s="72"/>
      <c r="PYB171" s="72"/>
      <c r="PYC171" s="72"/>
      <c r="PYD171" s="72"/>
      <c r="PYE171" s="72"/>
      <c r="PYF171" s="72"/>
      <c r="PYG171" s="72"/>
      <c r="PYH171" s="72"/>
      <c r="PYI171" s="72"/>
      <c r="PYJ171" s="72"/>
      <c r="PYK171" s="72"/>
      <c r="PYL171" s="72"/>
      <c r="PYM171" s="72"/>
      <c r="PYN171" s="72"/>
      <c r="PYO171" s="72"/>
      <c r="PYP171" s="72"/>
      <c r="PYQ171" s="72"/>
      <c r="PYR171" s="72"/>
      <c r="PYS171" s="72"/>
      <c r="PYT171" s="72"/>
      <c r="PYU171" s="72"/>
      <c r="PYV171" s="72"/>
      <c r="PYW171" s="72"/>
      <c r="PYX171" s="72"/>
      <c r="PYY171" s="72"/>
      <c r="PYZ171" s="72"/>
      <c r="PZA171" s="72"/>
      <c r="PZB171" s="72"/>
      <c r="PZC171" s="72"/>
      <c r="PZD171" s="72"/>
      <c r="PZE171" s="72"/>
      <c r="PZF171" s="72"/>
      <c r="PZG171" s="72"/>
      <c r="PZH171" s="72"/>
      <c r="PZI171" s="72"/>
      <c r="PZJ171" s="72"/>
      <c r="PZK171" s="72"/>
      <c r="PZL171" s="72"/>
      <c r="PZM171" s="72"/>
      <c r="PZN171" s="72"/>
      <c r="PZO171" s="72"/>
      <c r="PZP171" s="72"/>
      <c r="PZQ171" s="72"/>
      <c r="PZR171" s="72"/>
      <c r="PZS171" s="72"/>
      <c r="PZT171" s="72"/>
      <c r="PZU171" s="72"/>
      <c r="PZV171" s="72"/>
      <c r="PZW171" s="72"/>
      <c r="PZX171" s="72"/>
      <c r="PZY171" s="72"/>
      <c r="PZZ171" s="72"/>
      <c r="QAA171" s="72"/>
      <c r="QAB171" s="72"/>
      <c r="QAC171" s="72"/>
      <c r="QAD171" s="72"/>
      <c r="QAE171" s="72"/>
      <c r="QAF171" s="72"/>
      <c r="QAG171" s="72"/>
      <c r="QAH171" s="72"/>
      <c r="QAI171" s="72"/>
      <c r="QAJ171" s="72"/>
      <c r="QAK171" s="72"/>
      <c r="QAL171" s="72"/>
      <c r="QAM171" s="72"/>
      <c r="QAN171" s="72"/>
      <c r="QAO171" s="72"/>
      <c r="QAP171" s="72"/>
      <c r="QAQ171" s="72"/>
      <c r="QAR171" s="72"/>
      <c r="QAS171" s="72"/>
      <c r="QAT171" s="72"/>
      <c r="QAU171" s="72"/>
      <c r="QAV171" s="72"/>
      <c r="QAW171" s="72"/>
      <c r="QAX171" s="72"/>
      <c r="QAY171" s="72"/>
      <c r="QAZ171" s="72"/>
      <c r="QBA171" s="72"/>
      <c r="QBB171" s="72"/>
      <c r="QBC171" s="72"/>
      <c r="QBD171" s="72"/>
      <c r="QBE171" s="72"/>
      <c r="QBF171" s="72"/>
      <c r="QBG171" s="72"/>
      <c r="QBH171" s="72"/>
      <c r="QBI171" s="72"/>
      <c r="QBJ171" s="72"/>
      <c r="QBK171" s="72"/>
      <c r="QBL171" s="72"/>
      <c r="QBM171" s="72"/>
      <c r="QBN171" s="72"/>
      <c r="QBO171" s="72"/>
      <c r="QBP171" s="72"/>
      <c r="QBQ171" s="72"/>
      <c r="QBR171" s="72"/>
      <c r="QBS171" s="72"/>
      <c r="QBT171" s="72"/>
      <c r="QBU171" s="72"/>
      <c r="QBV171" s="72"/>
      <c r="QBW171" s="72"/>
      <c r="QBX171" s="72"/>
      <c r="QBY171" s="72"/>
      <c r="QBZ171" s="72"/>
      <c r="QCA171" s="72"/>
      <c r="QCB171" s="72"/>
      <c r="QCC171" s="72"/>
      <c r="QCD171" s="72"/>
      <c r="QCE171" s="72"/>
      <c r="QCF171" s="72"/>
      <c r="QCG171" s="72"/>
      <c r="QCH171" s="72"/>
      <c r="QCI171" s="72"/>
      <c r="QCJ171" s="72"/>
      <c r="QCK171" s="72"/>
      <c r="QCL171" s="72"/>
      <c r="QCM171" s="72"/>
      <c r="QCN171" s="72"/>
      <c r="QCO171" s="72"/>
      <c r="QCP171" s="72"/>
      <c r="QCQ171" s="72"/>
      <c r="QCR171" s="72"/>
      <c r="QCS171" s="72"/>
      <c r="QCT171" s="72"/>
      <c r="QCU171" s="72"/>
      <c r="QCV171" s="72"/>
      <c r="QCW171" s="72"/>
      <c r="QCX171" s="72"/>
      <c r="QCY171" s="72"/>
      <c r="QCZ171" s="72"/>
      <c r="QDA171" s="72"/>
      <c r="QDB171" s="72"/>
      <c r="QDC171" s="72"/>
      <c r="QDD171" s="72"/>
      <c r="QDE171" s="72"/>
      <c r="QDF171" s="72"/>
      <c r="QDG171" s="72"/>
      <c r="QDH171" s="72"/>
      <c r="QDI171" s="72"/>
      <c r="QDJ171" s="72"/>
      <c r="QDK171" s="72"/>
      <c r="QDL171" s="72"/>
      <c r="QDM171" s="72"/>
      <c r="QDN171" s="72"/>
      <c r="QDO171" s="72"/>
      <c r="QDP171" s="72"/>
      <c r="QDQ171" s="72"/>
      <c r="QDR171" s="72"/>
      <c r="QDS171" s="72"/>
      <c r="QDT171" s="72"/>
      <c r="QDU171" s="72"/>
      <c r="QDV171" s="72"/>
      <c r="QDW171" s="72"/>
      <c r="QDX171" s="72"/>
      <c r="QDY171" s="72"/>
      <c r="QDZ171" s="72"/>
      <c r="QEA171" s="72"/>
      <c r="QEB171" s="72"/>
      <c r="QEC171" s="72"/>
      <c r="QED171" s="72"/>
      <c r="QEE171" s="72"/>
      <c r="QEF171" s="72"/>
      <c r="QEG171" s="72"/>
      <c r="QEH171" s="72"/>
      <c r="QEI171" s="72"/>
      <c r="QEJ171" s="72"/>
      <c r="QEK171" s="72"/>
      <c r="QEL171" s="72"/>
      <c r="QEM171" s="72"/>
      <c r="QEN171" s="72"/>
      <c r="QEO171" s="72"/>
      <c r="QEP171" s="72"/>
      <c r="QEQ171" s="72"/>
      <c r="QER171" s="72"/>
      <c r="QES171" s="72"/>
      <c r="QET171" s="72"/>
      <c r="QEU171" s="72"/>
      <c r="QEV171" s="72"/>
      <c r="QEW171" s="72"/>
      <c r="QEX171" s="72"/>
      <c r="QEY171" s="72"/>
      <c r="QEZ171" s="72"/>
      <c r="QFA171" s="72"/>
      <c r="QFB171" s="72"/>
      <c r="QFC171" s="72"/>
      <c r="QFD171" s="72"/>
      <c r="QFE171" s="72"/>
      <c r="QFF171" s="72"/>
      <c r="QFG171" s="72"/>
      <c r="QFH171" s="72"/>
      <c r="QFI171" s="72"/>
      <c r="QFJ171" s="72"/>
      <c r="QFK171" s="72"/>
      <c r="QFL171" s="72"/>
      <c r="QFM171" s="72"/>
      <c r="QFN171" s="72"/>
      <c r="QFO171" s="72"/>
      <c r="QFP171" s="72"/>
      <c r="QFQ171" s="72"/>
      <c r="QFR171" s="72"/>
      <c r="QFS171" s="72"/>
      <c r="QFT171" s="72"/>
      <c r="QFU171" s="72"/>
      <c r="QFV171" s="72"/>
      <c r="QFW171" s="72"/>
      <c r="QFX171" s="72"/>
      <c r="QFY171" s="72"/>
      <c r="QFZ171" s="72"/>
      <c r="QGA171" s="72"/>
      <c r="QGB171" s="72"/>
      <c r="QGC171" s="72"/>
      <c r="QGD171" s="72"/>
      <c r="QGE171" s="72"/>
      <c r="QGF171" s="72"/>
      <c r="QGG171" s="72"/>
      <c r="QGH171" s="72"/>
      <c r="QGI171" s="72"/>
      <c r="QGJ171" s="72"/>
      <c r="QGK171" s="72"/>
      <c r="QGL171" s="72"/>
      <c r="QGM171" s="72"/>
      <c r="QGN171" s="72"/>
      <c r="QGO171" s="72"/>
      <c r="QGP171" s="72"/>
      <c r="QGQ171" s="72"/>
      <c r="QGR171" s="72"/>
      <c r="QGS171" s="72"/>
      <c r="QGT171" s="72"/>
      <c r="QGU171" s="72"/>
      <c r="QGV171" s="72"/>
      <c r="QGW171" s="72"/>
      <c r="QGX171" s="72"/>
      <c r="QGY171" s="72"/>
      <c r="QGZ171" s="72"/>
      <c r="QHA171" s="72"/>
      <c r="QHB171" s="72"/>
      <c r="QHC171" s="72"/>
      <c r="QHD171" s="72"/>
      <c r="QHE171" s="72"/>
      <c r="QHF171" s="72"/>
      <c r="QHG171" s="72"/>
      <c r="QHH171" s="72"/>
      <c r="QHI171" s="72"/>
      <c r="QHJ171" s="72"/>
      <c r="QHK171" s="72"/>
      <c r="QHL171" s="72"/>
      <c r="QHM171" s="72"/>
      <c r="QHN171" s="72"/>
      <c r="QHO171" s="72"/>
      <c r="QHP171" s="72"/>
      <c r="QHQ171" s="72"/>
      <c r="QHR171" s="72"/>
      <c r="QHS171" s="72"/>
      <c r="QHT171" s="72"/>
      <c r="QHU171" s="72"/>
      <c r="QHV171" s="72"/>
      <c r="QHW171" s="72"/>
      <c r="QHX171" s="72"/>
      <c r="QHY171" s="72"/>
      <c r="QHZ171" s="72"/>
      <c r="QIA171" s="72"/>
      <c r="QIB171" s="72"/>
      <c r="QIC171" s="72"/>
      <c r="QID171" s="72"/>
      <c r="QIE171" s="72"/>
      <c r="QIF171" s="72"/>
      <c r="QIG171" s="72"/>
      <c r="QIH171" s="72"/>
      <c r="QII171" s="72"/>
      <c r="QIJ171" s="72"/>
      <c r="QIK171" s="72"/>
      <c r="QIL171" s="72"/>
      <c r="QIM171" s="72"/>
      <c r="QIN171" s="72"/>
      <c r="QIO171" s="72"/>
      <c r="QIP171" s="72"/>
      <c r="QIQ171" s="72"/>
      <c r="QIR171" s="72"/>
      <c r="QIS171" s="72"/>
      <c r="QIT171" s="72"/>
      <c r="QIU171" s="72"/>
      <c r="QIV171" s="72"/>
      <c r="QIW171" s="72"/>
      <c r="QIX171" s="72"/>
      <c r="QIY171" s="72"/>
      <c r="QIZ171" s="72"/>
      <c r="QJA171" s="72"/>
      <c r="QJB171" s="72"/>
      <c r="QJC171" s="72"/>
      <c r="QJD171" s="72"/>
      <c r="QJE171" s="72"/>
      <c r="QJF171" s="72"/>
      <c r="QJG171" s="72"/>
      <c r="QJH171" s="72"/>
      <c r="QJI171" s="72"/>
      <c r="QJJ171" s="72"/>
      <c r="QJK171" s="72"/>
      <c r="QJL171" s="72"/>
      <c r="QJM171" s="72"/>
      <c r="QJN171" s="72"/>
      <c r="QJO171" s="72"/>
      <c r="QJP171" s="72"/>
      <c r="QJQ171" s="72"/>
      <c r="QJR171" s="72"/>
      <c r="QJS171" s="72"/>
      <c r="QJT171" s="72"/>
      <c r="QJU171" s="72"/>
      <c r="QJV171" s="72"/>
      <c r="QJW171" s="72"/>
      <c r="QJX171" s="72"/>
      <c r="QJY171" s="72"/>
      <c r="QJZ171" s="72"/>
      <c r="QKA171" s="72"/>
      <c r="QKB171" s="72"/>
      <c r="QKC171" s="72"/>
      <c r="QKD171" s="72"/>
      <c r="QKE171" s="72"/>
      <c r="QKF171" s="72"/>
      <c r="QKG171" s="72"/>
      <c r="QKH171" s="72"/>
      <c r="QKI171" s="72"/>
      <c r="QKJ171" s="72"/>
      <c r="QKK171" s="72"/>
      <c r="QKL171" s="72"/>
      <c r="QKM171" s="72"/>
      <c r="QKN171" s="72"/>
      <c r="QKO171" s="72"/>
      <c r="QKP171" s="72"/>
      <c r="QKQ171" s="72"/>
      <c r="QKR171" s="72"/>
      <c r="QKS171" s="72"/>
      <c r="QKT171" s="72"/>
      <c r="QKU171" s="72"/>
      <c r="QKV171" s="72"/>
      <c r="QKW171" s="72"/>
      <c r="QKX171" s="72"/>
      <c r="QKY171" s="72"/>
      <c r="QKZ171" s="72"/>
      <c r="QLA171" s="72"/>
      <c r="QLB171" s="72"/>
      <c r="QLC171" s="72"/>
      <c r="QLD171" s="72"/>
      <c r="QLE171" s="72"/>
      <c r="QLF171" s="72"/>
      <c r="QLG171" s="72"/>
      <c r="QLH171" s="72"/>
      <c r="QLI171" s="72"/>
      <c r="QLJ171" s="72"/>
      <c r="QLK171" s="72"/>
      <c r="QLL171" s="72"/>
      <c r="QLM171" s="72"/>
      <c r="QLN171" s="72"/>
      <c r="QLO171" s="72"/>
      <c r="QLP171" s="72"/>
      <c r="QLQ171" s="72"/>
      <c r="QLR171" s="72"/>
      <c r="QLS171" s="72"/>
      <c r="QLT171" s="72"/>
      <c r="QLU171" s="72"/>
      <c r="QLV171" s="72"/>
      <c r="QLW171" s="72"/>
      <c r="QLX171" s="72"/>
      <c r="QLY171" s="72"/>
      <c r="QLZ171" s="72"/>
      <c r="QMA171" s="72"/>
      <c r="QMB171" s="72"/>
      <c r="QMC171" s="72"/>
      <c r="QMD171" s="72"/>
      <c r="QME171" s="72"/>
      <c r="QMF171" s="72"/>
      <c r="QMG171" s="72"/>
      <c r="QMH171" s="72"/>
      <c r="QMI171" s="72"/>
      <c r="QMJ171" s="72"/>
      <c r="QMK171" s="72"/>
      <c r="QML171" s="72"/>
      <c r="QMM171" s="72"/>
      <c r="QMN171" s="72"/>
      <c r="QMO171" s="72"/>
      <c r="QMP171" s="72"/>
      <c r="QMQ171" s="72"/>
      <c r="QMR171" s="72"/>
      <c r="QMS171" s="72"/>
      <c r="QMT171" s="72"/>
      <c r="QMU171" s="72"/>
      <c r="QMV171" s="72"/>
      <c r="QMW171" s="72"/>
      <c r="QMX171" s="72"/>
      <c r="QMY171" s="72"/>
      <c r="QMZ171" s="72"/>
      <c r="QNA171" s="72"/>
      <c r="QNB171" s="72"/>
      <c r="QNC171" s="72"/>
      <c r="QND171" s="72"/>
      <c r="QNE171" s="72"/>
      <c r="QNF171" s="72"/>
      <c r="QNG171" s="72"/>
      <c r="QNH171" s="72"/>
      <c r="QNI171" s="72"/>
      <c r="QNJ171" s="72"/>
      <c r="QNK171" s="72"/>
      <c r="QNL171" s="72"/>
      <c r="QNM171" s="72"/>
      <c r="QNN171" s="72"/>
      <c r="QNO171" s="72"/>
      <c r="QNP171" s="72"/>
      <c r="QNQ171" s="72"/>
      <c r="QNR171" s="72"/>
      <c r="QNS171" s="72"/>
      <c r="QNT171" s="72"/>
      <c r="QNU171" s="72"/>
      <c r="QNV171" s="72"/>
      <c r="QNW171" s="72"/>
      <c r="QNX171" s="72"/>
      <c r="QNY171" s="72"/>
      <c r="QNZ171" s="72"/>
      <c r="QOA171" s="72"/>
      <c r="QOB171" s="72"/>
      <c r="QOC171" s="72"/>
      <c r="QOD171" s="72"/>
      <c r="QOE171" s="72"/>
      <c r="QOF171" s="72"/>
      <c r="QOG171" s="72"/>
      <c r="QOH171" s="72"/>
      <c r="QOI171" s="72"/>
      <c r="QOJ171" s="72"/>
      <c r="QOK171" s="72"/>
      <c r="QOL171" s="72"/>
      <c r="QOM171" s="72"/>
      <c r="QON171" s="72"/>
      <c r="QOO171" s="72"/>
      <c r="QOP171" s="72"/>
      <c r="QOQ171" s="72"/>
      <c r="QOR171" s="72"/>
      <c r="QOS171" s="72"/>
      <c r="QOT171" s="72"/>
      <c r="QOU171" s="72"/>
      <c r="QOV171" s="72"/>
      <c r="QOW171" s="72"/>
      <c r="QOX171" s="72"/>
      <c r="QOY171" s="72"/>
      <c r="QOZ171" s="72"/>
      <c r="QPA171" s="72"/>
      <c r="QPB171" s="72"/>
      <c r="QPC171" s="72"/>
      <c r="QPD171" s="72"/>
      <c r="QPE171" s="72"/>
      <c r="QPF171" s="72"/>
      <c r="QPG171" s="72"/>
      <c r="QPH171" s="72"/>
      <c r="QPI171" s="72"/>
      <c r="QPJ171" s="72"/>
      <c r="QPK171" s="72"/>
      <c r="QPL171" s="72"/>
      <c r="QPM171" s="72"/>
      <c r="QPN171" s="72"/>
      <c r="QPO171" s="72"/>
      <c r="QPP171" s="72"/>
      <c r="QPQ171" s="72"/>
      <c r="QPR171" s="72"/>
      <c r="QPS171" s="72"/>
      <c r="QPT171" s="72"/>
      <c r="QPU171" s="72"/>
      <c r="QPV171" s="72"/>
      <c r="QPW171" s="72"/>
      <c r="QPX171" s="72"/>
      <c r="QPY171" s="72"/>
      <c r="QPZ171" s="72"/>
      <c r="QQA171" s="72"/>
      <c r="QQB171" s="72"/>
      <c r="QQC171" s="72"/>
      <c r="QQD171" s="72"/>
      <c r="QQE171" s="72"/>
      <c r="QQF171" s="72"/>
      <c r="QQG171" s="72"/>
      <c r="QQH171" s="72"/>
      <c r="QQI171" s="72"/>
      <c r="QQJ171" s="72"/>
      <c r="QQK171" s="72"/>
      <c r="QQL171" s="72"/>
      <c r="QQM171" s="72"/>
      <c r="QQN171" s="72"/>
      <c r="QQO171" s="72"/>
      <c r="QQP171" s="72"/>
      <c r="QQQ171" s="72"/>
      <c r="QQR171" s="72"/>
      <c r="QQS171" s="72"/>
      <c r="QQT171" s="72"/>
      <c r="QQU171" s="72"/>
      <c r="QQV171" s="72"/>
      <c r="QQW171" s="72"/>
      <c r="QQX171" s="72"/>
      <c r="QQY171" s="72"/>
      <c r="QQZ171" s="72"/>
      <c r="QRA171" s="72"/>
      <c r="QRB171" s="72"/>
      <c r="QRC171" s="72"/>
      <c r="QRD171" s="72"/>
      <c r="QRE171" s="72"/>
      <c r="QRF171" s="72"/>
      <c r="QRG171" s="72"/>
      <c r="QRH171" s="72"/>
      <c r="QRI171" s="72"/>
      <c r="QRJ171" s="72"/>
      <c r="QRK171" s="72"/>
      <c r="QRL171" s="72"/>
      <c r="QRM171" s="72"/>
      <c r="QRN171" s="72"/>
      <c r="QRO171" s="72"/>
      <c r="QRP171" s="72"/>
      <c r="QRQ171" s="72"/>
      <c r="QRR171" s="72"/>
      <c r="QRS171" s="72"/>
      <c r="QRT171" s="72"/>
      <c r="QRU171" s="72"/>
      <c r="QRV171" s="72"/>
      <c r="QRW171" s="72"/>
      <c r="QRX171" s="72"/>
      <c r="QRY171" s="72"/>
      <c r="QRZ171" s="72"/>
      <c r="QSA171" s="72"/>
      <c r="QSB171" s="72"/>
      <c r="QSC171" s="72"/>
      <c r="QSD171" s="72"/>
      <c r="QSE171" s="72"/>
      <c r="QSF171" s="72"/>
      <c r="QSG171" s="72"/>
      <c r="QSH171" s="72"/>
      <c r="QSI171" s="72"/>
      <c r="QSJ171" s="72"/>
      <c r="QSK171" s="72"/>
      <c r="QSL171" s="72"/>
      <c r="QSM171" s="72"/>
      <c r="QSN171" s="72"/>
      <c r="QSO171" s="72"/>
      <c r="QSP171" s="72"/>
      <c r="QSQ171" s="72"/>
      <c r="QSR171" s="72"/>
      <c r="QSS171" s="72"/>
      <c r="QST171" s="72"/>
      <c r="QSU171" s="72"/>
      <c r="QSV171" s="72"/>
      <c r="QSW171" s="72"/>
      <c r="QSX171" s="72"/>
      <c r="QSY171" s="72"/>
      <c r="QSZ171" s="72"/>
      <c r="QTA171" s="72"/>
      <c r="QTB171" s="72"/>
      <c r="QTC171" s="72"/>
      <c r="QTD171" s="72"/>
      <c r="QTE171" s="72"/>
      <c r="QTF171" s="72"/>
      <c r="QTG171" s="72"/>
      <c r="QTH171" s="72"/>
      <c r="QTI171" s="72"/>
      <c r="QTJ171" s="72"/>
      <c r="QTK171" s="72"/>
      <c r="QTL171" s="72"/>
      <c r="QTM171" s="72"/>
      <c r="QTN171" s="72"/>
      <c r="QTO171" s="72"/>
      <c r="QTP171" s="72"/>
      <c r="QTQ171" s="72"/>
      <c r="QTR171" s="72"/>
      <c r="QTS171" s="72"/>
      <c r="QTT171" s="72"/>
      <c r="QTU171" s="72"/>
      <c r="QTV171" s="72"/>
      <c r="QTW171" s="72"/>
      <c r="QTX171" s="72"/>
      <c r="QTY171" s="72"/>
      <c r="QTZ171" s="72"/>
      <c r="QUA171" s="72"/>
      <c r="QUB171" s="72"/>
      <c r="QUC171" s="72"/>
      <c r="QUD171" s="72"/>
      <c r="QUE171" s="72"/>
      <c r="QUF171" s="72"/>
      <c r="QUG171" s="72"/>
      <c r="QUH171" s="72"/>
      <c r="QUI171" s="72"/>
      <c r="QUJ171" s="72"/>
      <c r="QUK171" s="72"/>
      <c r="QUL171" s="72"/>
      <c r="QUM171" s="72"/>
      <c r="QUN171" s="72"/>
      <c r="QUO171" s="72"/>
      <c r="QUP171" s="72"/>
      <c r="QUQ171" s="72"/>
      <c r="QUR171" s="72"/>
      <c r="QUS171" s="72"/>
      <c r="QUT171" s="72"/>
      <c r="QUU171" s="72"/>
      <c r="QUV171" s="72"/>
      <c r="QUW171" s="72"/>
      <c r="QUX171" s="72"/>
      <c r="QUY171" s="72"/>
      <c r="QUZ171" s="72"/>
      <c r="QVA171" s="72"/>
      <c r="QVB171" s="72"/>
      <c r="QVC171" s="72"/>
      <c r="QVD171" s="72"/>
      <c r="QVE171" s="72"/>
      <c r="QVF171" s="72"/>
      <c r="QVG171" s="72"/>
      <c r="QVH171" s="72"/>
      <c r="QVI171" s="72"/>
      <c r="QVJ171" s="72"/>
      <c r="QVK171" s="72"/>
      <c r="QVL171" s="72"/>
      <c r="QVM171" s="72"/>
      <c r="QVN171" s="72"/>
      <c r="QVO171" s="72"/>
      <c r="QVP171" s="72"/>
      <c r="QVQ171" s="72"/>
      <c r="QVR171" s="72"/>
      <c r="QVS171" s="72"/>
      <c r="QVT171" s="72"/>
      <c r="QVU171" s="72"/>
      <c r="QVV171" s="72"/>
      <c r="QVW171" s="72"/>
      <c r="QVX171" s="72"/>
      <c r="QVY171" s="72"/>
      <c r="QVZ171" s="72"/>
      <c r="QWA171" s="72"/>
      <c r="QWB171" s="72"/>
      <c r="QWC171" s="72"/>
      <c r="QWD171" s="72"/>
      <c r="QWE171" s="72"/>
      <c r="QWF171" s="72"/>
      <c r="QWG171" s="72"/>
      <c r="QWH171" s="72"/>
      <c r="QWI171" s="72"/>
      <c r="QWJ171" s="72"/>
      <c r="QWK171" s="72"/>
      <c r="QWL171" s="72"/>
      <c r="QWM171" s="72"/>
      <c r="QWN171" s="72"/>
      <c r="QWO171" s="72"/>
      <c r="QWP171" s="72"/>
      <c r="QWQ171" s="72"/>
      <c r="QWR171" s="72"/>
      <c r="QWS171" s="72"/>
      <c r="QWT171" s="72"/>
      <c r="QWU171" s="72"/>
      <c r="QWV171" s="72"/>
      <c r="QWW171" s="72"/>
      <c r="QWX171" s="72"/>
      <c r="QWY171" s="72"/>
      <c r="QWZ171" s="72"/>
      <c r="QXA171" s="72"/>
      <c r="QXB171" s="72"/>
      <c r="QXC171" s="72"/>
      <c r="QXD171" s="72"/>
      <c r="QXE171" s="72"/>
      <c r="QXF171" s="72"/>
      <c r="QXG171" s="72"/>
      <c r="QXH171" s="72"/>
      <c r="QXI171" s="72"/>
      <c r="QXJ171" s="72"/>
      <c r="QXK171" s="72"/>
      <c r="QXL171" s="72"/>
      <c r="QXM171" s="72"/>
      <c r="QXN171" s="72"/>
      <c r="QXO171" s="72"/>
      <c r="QXP171" s="72"/>
      <c r="QXQ171" s="72"/>
      <c r="QXR171" s="72"/>
      <c r="QXS171" s="72"/>
      <c r="QXT171" s="72"/>
      <c r="QXU171" s="72"/>
      <c r="QXV171" s="72"/>
      <c r="QXW171" s="72"/>
      <c r="QXX171" s="72"/>
      <c r="QXY171" s="72"/>
      <c r="QXZ171" s="72"/>
      <c r="QYA171" s="72"/>
      <c r="QYB171" s="72"/>
      <c r="QYC171" s="72"/>
      <c r="QYD171" s="72"/>
      <c r="QYE171" s="72"/>
      <c r="QYF171" s="72"/>
      <c r="QYG171" s="72"/>
      <c r="QYH171" s="72"/>
      <c r="QYI171" s="72"/>
      <c r="QYJ171" s="72"/>
      <c r="QYK171" s="72"/>
      <c r="QYL171" s="72"/>
      <c r="QYM171" s="72"/>
      <c r="QYN171" s="72"/>
      <c r="QYO171" s="72"/>
      <c r="QYP171" s="72"/>
      <c r="QYQ171" s="72"/>
      <c r="QYR171" s="72"/>
      <c r="QYS171" s="72"/>
      <c r="QYT171" s="72"/>
      <c r="QYU171" s="72"/>
      <c r="QYV171" s="72"/>
      <c r="QYW171" s="72"/>
      <c r="QYX171" s="72"/>
      <c r="QYY171" s="72"/>
      <c r="QYZ171" s="72"/>
      <c r="QZA171" s="72"/>
      <c r="QZB171" s="72"/>
      <c r="QZC171" s="72"/>
      <c r="QZD171" s="72"/>
      <c r="QZE171" s="72"/>
      <c r="QZF171" s="72"/>
      <c r="QZG171" s="72"/>
      <c r="QZH171" s="72"/>
      <c r="QZI171" s="72"/>
      <c r="QZJ171" s="72"/>
      <c r="QZK171" s="72"/>
      <c r="QZL171" s="72"/>
      <c r="QZM171" s="72"/>
      <c r="QZN171" s="72"/>
      <c r="QZO171" s="72"/>
      <c r="QZP171" s="72"/>
      <c r="QZQ171" s="72"/>
      <c r="QZR171" s="72"/>
      <c r="QZS171" s="72"/>
      <c r="QZT171" s="72"/>
      <c r="QZU171" s="72"/>
      <c r="QZV171" s="72"/>
      <c r="QZW171" s="72"/>
      <c r="QZX171" s="72"/>
      <c r="QZY171" s="72"/>
      <c r="QZZ171" s="72"/>
      <c r="RAA171" s="72"/>
      <c r="RAB171" s="72"/>
      <c r="RAC171" s="72"/>
      <c r="RAD171" s="72"/>
      <c r="RAE171" s="72"/>
      <c r="RAF171" s="72"/>
      <c r="RAG171" s="72"/>
      <c r="RAH171" s="72"/>
      <c r="RAI171" s="72"/>
      <c r="RAJ171" s="72"/>
      <c r="RAK171" s="72"/>
      <c r="RAL171" s="72"/>
      <c r="RAM171" s="72"/>
      <c r="RAN171" s="72"/>
      <c r="RAO171" s="72"/>
      <c r="RAP171" s="72"/>
      <c r="RAQ171" s="72"/>
      <c r="RAR171" s="72"/>
      <c r="RAS171" s="72"/>
      <c r="RAT171" s="72"/>
      <c r="RAU171" s="72"/>
      <c r="RAV171" s="72"/>
      <c r="RAW171" s="72"/>
      <c r="RAX171" s="72"/>
      <c r="RAY171" s="72"/>
      <c r="RAZ171" s="72"/>
      <c r="RBA171" s="72"/>
      <c r="RBB171" s="72"/>
      <c r="RBC171" s="72"/>
      <c r="RBD171" s="72"/>
      <c r="RBE171" s="72"/>
      <c r="RBF171" s="72"/>
      <c r="RBG171" s="72"/>
      <c r="RBH171" s="72"/>
      <c r="RBI171" s="72"/>
      <c r="RBJ171" s="72"/>
      <c r="RBK171" s="72"/>
      <c r="RBL171" s="72"/>
      <c r="RBM171" s="72"/>
      <c r="RBN171" s="72"/>
      <c r="RBO171" s="72"/>
      <c r="RBP171" s="72"/>
      <c r="RBQ171" s="72"/>
      <c r="RBR171" s="72"/>
      <c r="RBS171" s="72"/>
      <c r="RBT171" s="72"/>
      <c r="RBU171" s="72"/>
      <c r="RBV171" s="72"/>
      <c r="RBW171" s="72"/>
      <c r="RBX171" s="72"/>
      <c r="RBY171" s="72"/>
      <c r="RBZ171" s="72"/>
      <c r="RCA171" s="72"/>
      <c r="RCB171" s="72"/>
      <c r="RCC171" s="72"/>
      <c r="RCD171" s="72"/>
      <c r="RCE171" s="72"/>
      <c r="RCF171" s="72"/>
      <c r="RCG171" s="72"/>
      <c r="RCH171" s="72"/>
      <c r="RCI171" s="72"/>
      <c r="RCJ171" s="72"/>
      <c r="RCK171" s="72"/>
      <c r="RCL171" s="72"/>
      <c r="RCM171" s="72"/>
      <c r="RCN171" s="72"/>
      <c r="RCO171" s="72"/>
      <c r="RCP171" s="72"/>
      <c r="RCQ171" s="72"/>
      <c r="RCR171" s="72"/>
      <c r="RCS171" s="72"/>
      <c r="RCT171" s="72"/>
      <c r="RCU171" s="72"/>
      <c r="RCV171" s="72"/>
      <c r="RCW171" s="72"/>
      <c r="RCX171" s="72"/>
      <c r="RCY171" s="72"/>
      <c r="RCZ171" s="72"/>
      <c r="RDA171" s="72"/>
      <c r="RDB171" s="72"/>
      <c r="RDC171" s="72"/>
      <c r="RDD171" s="72"/>
      <c r="RDE171" s="72"/>
      <c r="RDF171" s="72"/>
      <c r="RDG171" s="72"/>
      <c r="RDH171" s="72"/>
      <c r="RDI171" s="72"/>
      <c r="RDJ171" s="72"/>
      <c r="RDK171" s="72"/>
      <c r="RDL171" s="72"/>
      <c r="RDM171" s="72"/>
      <c r="RDN171" s="72"/>
      <c r="RDO171" s="72"/>
      <c r="RDP171" s="72"/>
      <c r="RDQ171" s="72"/>
      <c r="RDR171" s="72"/>
      <c r="RDS171" s="72"/>
      <c r="RDT171" s="72"/>
      <c r="RDU171" s="72"/>
      <c r="RDV171" s="72"/>
      <c r="RDW171" s="72"/>
      <c r="RDX171" s="72"/>
      <c r="RDY171" s="72"/>
      <c r="RDZ171" s="72"/>
      <c r="REA171" s="72"/>
      <c r="REB171" s="72"/>
      <c r="REC171" s="72"/>
      <c r="RED171" s="72"/>
      <c r="REE171" s="72"/>
      <c r="REF171" s="72"/>
      <c r="REG171" s="72"/>
      <c r="REH171" s="72"/>
      <c r="REI171" s="72"/>
      <c r="REJ171" s="72"/>
      <c r="REK171" s="72"/>
      <c r="REL171" s="72"/>
      <c r="REM171" s="72"/>
      <c r="REN171" s="72"/>
      <c r="REO171" s="72"/>
      <c r="REP171" s="72"/>
      <c r="REQ171" s="72"/>
      <c r="RER171" s="72"/>
      <c r="RES171" s="72"/>
      <c r="RET171" s="72"/>
      <c r="REU171" s="72"/>
      <c r="REV171" s="72"/>
      <c r="REW171" s="72"/>
      <c r="REX171" s="72"/>
      <c r="REY171" s="72"/>
      <c r="REZ171" s="72"/>
      <c r="RFA171" s="72"/>
      <c r="RFB171" s="72"/>
      <c r="RFC171" s="72"/>
      <c r="RFD171" s="72"/>
      <c r="RFE171" s="72"/>
      <c r="RFF171" s="72"/>
      <c r="RFG171" s="72"/>
      <c r="RFH171" s="72"/>
      <c r="RFI171" s="72"/>
      <c r="RFJ171" s="72"/>
      <c r="RFK171" s="72"/>
      <c r="RFL171" s="72"/>
      <c r="RFM171" s="72"/>
      <c r="RFN171" s="72"/>
      <c r="RFO171" s="72"/>
      <c r="RFP171" s="72"/>
      <c r="RFQ171" s="72"/>
      <c r="RFR171" s="72"/>
      <c r="RFS171" s="72"/>
      <c r="RFT171" s="72"/>
      <c r="RFU171" s="72"/>
      <c r="RFV171" s="72"/>
      <c r="RFW171" s="72"/>
      <c r="RFX171" s="72"/>
      <c r="RFY171" s="72"/>
      <c r="RFZ171" s="72"/>
      <c r="RGA171" s="72"/>
      <c r="RGB171" s="72"/>
      <c r="RGC171" s="72"/>
      <c r="RGD171" s="72"/>
      <c r="RGE171" s="72"/>
      <c r="RGF171" s="72"/>
      <c r="RGG171" s="72"/>
      <c r="RGH171" s="72"/>
      <c r="RGI171" s="72"/>
      <c r="RGJ171" s="72"/>
      <c r="RGK171" s="72"/>
      <c r="RGL171" s="72"/>
      <c r="RGM171" s="72"/>
      <c r="RGN171" s="72"/>
      <c r="RGO171" s="72"/>
      <c r="RGP171" s="72"/>
      <c r="RGQ171" s="72"/>
      <c r="RGR171" s="72"/>
      <c r="RGS171" s="72"/>
      <c r="RGT171" s="72"/>
      <c r="RGU171" s="72"/>
      <c r="RGV171" s="72"/>
      <c r="RGW171" s="72"/>
      <c r="RGX171" s="72"/>
      <c r="RGY171" s="72"/>
      <c r="RGZ171" s="72"/>
      <c r="RHA171" s="72"/>
      <c r="RHB171" s="72"/>
      <c r="RHC171" s="72"/>
      <c r="RHD171" s="72"/>
      <c r="RHE171" s="72"/>
      <c r="RHF171" s="72"/>
      <c r="RHG171" s="72"/>
      <c r="RHH171" s="72"/>
      <c r="RHI171" s="72"/>
      <c r="RHJ171" s="72"/>
      <c r="RHK171" s="72"/>
      <c r="RHL171" s="72"/>
      <c r="RHM171" s="72"/>
      <c r="RHN171" s="72"/>
      <c r="RHO171" s="72"/>
      <c r="RHP171" s="72"/>
      <c r="RHQ171" s="72"/>
      <c r="RHR171" s="72"/>
      <c r="RHS171" s="72"/>
      <c r="RHT171" s="72"/>
      <c r="RHU171" s="72"/>
      <c r="RHV171" s="72"/>
      <c r="RHW171" s="72"/>
      <c r="RHX171" s="72"/>
      <c r="RHY171" s="72"/>
      <c r="RHZ171" s="72"/>
      <c r="RIA171" s="72"/>
      <c r="RIB171" s="72"/>
      <c r="RIC171" s="72"/>
      <c r="RID171" s="72"/>
      <c r="RIE171" s="72"/>
      <c r="RIF171" s="72"/>
      <c r="RIG171" s="72"/>
      <c r="RIH171" s="72"/>
      <c r="RII171" s="72"/>
      <c r="RIJ171" s="72"/>
      <c r="RIK171" s="72"/>
      <c r="RIL171" s="72"/>
      <c r="RIM171" s="72"/>
      <c r="RIN171" s="72"/>
      <c r="RIO171" s="72"/>
      <c r="RIP171" s="72"/>
      <c r="RIQ171" s="72"/>
      <c r="RIR171" s="72"/>
      <c r="RIS171" s="72"/>
      <c r="RIT171" s="72"/>
      <c r="RIU171" s="72"/>
      <c r="RIV171" s="72"/>
      <c r="RIW171" s="72"/>
      <c r="RIX171" s="72"/>
      <c r="RIY171" s="72"/>
      <c r="RIZ171" s="72"/>
      <c r="RJA171" s="72"/>
      <c r="RJB171" s="72"/>
      <c r="RJC171" s="72"/>
      <c r="RJD171" s="72"/>
      <c r="RJE171" s="72"/>
      <c r="RJF171" s="72"/>
      <c r="RJG171" s="72"/>
      <c r="RJH171" s="72"/>
      <c r="RJI171" s="72"/>
      <c r="RJJ171" s="72"/>
      <c r="RJK171" s="72"/>
      <c r="RJL171" s="72"/>
      <c r="RJM171" s="72"/>
      <c r="RJN171" s="72"/>
      <c r="RJO171" s="72"/>
      <c r="RJP171" s="72"/>
      <c r="RJQ171" s="72"/>
      <c r="RJR171" s="72"/>
      <c r="RJS171" s="72"/>
      <c r="RJT171" s="72"/>
      <c r="RJU171" s="72"/>
      <c r="RJV171" s="72"/>
      <c r="RJW171" s="72"/>
      <c r="RJX171" s="72"/>
      <c r="RJY171" s="72"/>
      <c r="RJZ171" s="72"/>
      <c r="RKA171" s="72"/>
      <c r="RKB171" s="72"/>
      <c r="RKC171" s="72"/>
      <c r="RKD171" s="72"/>
      <c r="RKE171" s="72"/>
      <c r="RKF171" s="72"/>
      <c r="RKG171" s="72"/>
      <c r="RKH171" s="72"/>
      <c r="RKI171" s="72"/>
      <c r="RKJ171" s="72"/>
      <c r="RKK171" s="72"/>
      <c r="RKL171" s="72"/>
      <c r="RKM171" s="72"/>
      <c r="RKN171" s="72"/>
      <c r="RKO171" s="72"/>
      <c r="RKP171" s="72"/>
      <c r="RKQ171" s="72"/>
      <c r="RKR171" s="72"/>
      <c r="RKS171" s="72"/>
      <c r="RKT171" s="72"/>
      <c r="RKU171" s="72"/>
      <c r="RKV171" s="72"/>
      <c r="RKW171" s="72"/>
      <c r="RKX171" s="72"/>
      <c r="RKY171" s="72"/>
      <c r="RKZ171" s="72"/>
      <c r="RLA171" s="72"/>
      <c r="RLB171" s="72"/>
      <c r="RLC171" s="72"/>
      <c r="RLD171" s="72"/>
      <c r="RLE171" s="72"/>
      <c r="RLF171" s="72"/>
      <c r="RLG171" s="72"/>
      <c r="RLH171" s="72"/>
      <c r="RLI171" s="72"/>
      <c r="RLJ171" s="72"/>
      <c r="RLK171" s="72"/>
      <c r="RLL171" s="72"/>
      <c r="RLM171" s="72"/>
      <c r="RLN171" s="72"/>
      <c r="RLO171" s="72"/>
      <c r="RLP171" s="72"/>
      <c r="RLQ171" s="72"/>
      <c r="RLR171" s="72"/>
      <c r="RLS171" s="72"/>
      <c r="RLT171" s="72"/>
      <c r="RLU171" s="72"/>
      <c r="RLV171" s="72"/>
      <c r="RLW171" s="72"/>
      <c r="RLX171" s="72"/>
      <c r="RLY171" s="72"/>
      <c r="RLZ171" s="72"/>
      <c r="RMA171" s="72"/>
      <c r="RMB171" s="72"/>
      <c r="RMC171" s="72"/>
      <c r="RMD171" s="72"/>
      <c r="RME171" s="72"/>
      <c r="RMF171" s="72"/>
      <c r="RMG171" s="72"/>
      <c r="RMH171" s="72"/>
      <c r="RMI171" s="72"/>
      <c r="RMJ171" s="72"/>
      <c r="RMK171" s="72"/>
      <c r="RML171" s="72"/>
      <c r="RMM171" s="72"/>
      <c r="RMN171" s="72"/>
      <c r="RMO171" s="72"/>
      <c r="RMP171" s="72"/>
      <c r="RMQ171" s="72"/>
      <c r="RMR171" s="72"/>
      <c r="RMS171" s="72"/>
      <c r="RMT171" s="72"/>
      <c r="RMU171" s="72"/>
      <c r="RMV171" s="72"/>
      <c r="RMW171" s="72"/>
      <c r="RMX171" s="72"/>
      <c r="RMY171" s="72"/>
      <c r="RMZ171" s="72"/>
      <c r="RNA171" s="72"/>
      <c r="RNB171" s="72"/>
      <c r="RNC171" s="72"/>
      <c r="RND171" s="72"/>
      <c r="RNE171" s="72"/>
      <c r="RNF171" s="72"/>
      <c r="RNG171" s="72"/>
      <c r="RNH171" s="72"/>
      <c r="RNI171" s="72"/>
      <c r="RNJ171" s="72"/>
      <c r="RNK171" s="72"/>
      <c r="RNL171" s="72"/>
      <c r="RNM171" s="72"/>
      <c r="RNN171" s="72"/>
      <c r="RNO171" s="72"/>
      <c r="RNP171" s="72"/>
      <c r="RNQ171" s="72"/>
      <c r="RNR171" s="72"/>
      <c r="RNS171" s="72"/>
      <c r="RNT171" s="72"/>
      <c r="RNU171" s="72"/>
      <c r="RNV171" s="72"/>
      <c r="RNW171" s="72"/>
      <c r="RNX171" s="72"/>
      <c r="RNY171" s="72"/>
      <c r="RNZ171" s="72"/>
      <c r="ROA171" s="72"/>
      <c r="ROB171" s="72"/>
      <c r="ROC171" s="72"/>
      <c r="ROD171" s="72"/>
      <c r="ROE171" s="72"/>
      <c r="ROF171" s="72"/>
      <c r="ROG171" s="72"/>
      <c r="ROH171" s="72"/>
      <c r="ROI171" s="72"/>
      <c r="ROJ171" s="72"/>
      <c r="ROK171" s="72"/>
      <c r="ROL171" s="72"/>
      <c r="ROM171" s="72"/>
      <c r="RON171" s="72"/>
      <c r="ROO171" s="72"/>
      <c r="ROP171" s="72"/>
      <c r="ROQ171" s="72"/>
      <c r="ROR171" s="72"/>
      <c r="ROS171" s="72"/>
      <c r="ROT171" s="72"/>
      <c r="ROU171" s="72"/>
      <c r="ROV171" s="72"/>
      <c r="ROW171" s="72"/>
      <c r="ROX171" s="72"/>
      <c r="ROY171" s="72"/>
      <c r="ROZ171" s="72"/>
      <c r="RPA171" s="72"/>
      <c r="RPB171" s="72"/>
      <c r="RPC171" s="72"/>
      <c r="RPD171" s="72"/>
      <c r="RPE171" s="72"/>
      <c r="RPF171" s="72"/>
      <c r="RPG171" s="72"/>
      <c r="RPH171" s="72"/>
      <c r="RPI171" s="72"/>
      <c r="RPJ171" s="72"/>
      <c r="RPK171" s="72"/>
      <c r="RPL171" s="72"/>
      <c r="RPM171" s="72"/>
      <c r="RPN171" s="72"/>
      <c r="RPO171" s="72"/>
      <c r="RPP171" s="72"/>
      <c r="RPQ171" s="72"/>
      <c r="RPR171" s="72"/>
      <c r="RPS171" s="72"/>
      <c r="RPT171" s="72"/>
      <c r="RPU171" s="72"/>
      <c r="RPV171" s="72"/>
      <c r="RPW171" s="72"/>
      <c r="RPX171" s="72"/>
      <c r="RPY171" s="72"/>
      <c r="RPZ171" s="72"/>
      <c r="RQA171" s="72"/>
      <c r="RQB171" s="72"/>
      <c r="RQC171" s="72"/>
      <c r="RQD171" s="72"/>
      <c r="RQE171" s="72"/>
      <c r="RQF171" s="72"/>
      <c r="RQG171" s="72"/>
      <c r="RQH171" s="72"/>
      <c r="RQI171" s="72"/>
      <c r="RQJ171" s="72"/>
      <c r="RQK171" s="72"/>
      <c r="RQL171" s="72"/>
      <c r="RQM171" s="72"/>
      <c r="RQN171" s="72"/>
      <c r="RQO171" s="72"/>
      <c r="RQP171" s="72"/>
      <c r="RQQ171" s="72"/>
      <c r="RQR171" s="72"/>
      <c r="RQS171" s="72"/>
      <c r="RQT171" s="72"/>
      <c r="RQU171" s="72"/>
      <c r="RQV171" s="72"/>
      <c r="RQW171" s="72"/>
      <c r="RQX171" s="72"/>
      <c r="RQY171" s="72"/>
      <c r="RQZ171" s="72"/>
      <c r="RRA171" s="72"/>
      <c r="RRB171" s="72"/>
      <c r="RRC171" s="72"/>
      <c r="RRD171" s="72"/>
      <c r="RRE171" s="72"/>
      <c r="RRF171" s="72"/>
      <c r="RRG171" s="72"/>
      <c r="RRH171" s="72"/>
      <c r="RRI171" s="72"/>
      <c r="RRJ171" s="72"/>
      <c r="RRK171" s="72"/>
      <c r="RRL171" s="72"/>
      <c r="RRM171" s="72"/>
      <c r="RRN171" s="72"/>
      <c r="RRO171" s="72"/>
      <c r="RRP171" s="72"/>
      <c r="RRQ171" s="72"/>
      <c r="RRR171" s="72"/>
      <c r="RRS171" s="72"/>
      <c r="RRT171" s="72"/>
      <c r="RRU171" s="72"/>
      <c r="RRV171" s="72"/>
      <c r="RRW171" s="72"/>
      <c r="RRX171" s="72"/>
      <c r="RRY171" s="72"/>
      <c r="RRZ171" s="72"/>
      <c r="RSA171" s="72"/>
      <c r="RSB171" s="72"/>
      <c r="RSC171" s="72"/>
      <c r="RSD171" s="72"/>
      <c r="RSE171" s="72"/>
      <c r="RSF171" s="72"/>
      <c r="RSG171" s="72"/>
      <c r="RSH171" s="72"/>
      <c r="RSI171" s="72"/>
      <c r="RSJ171" s="72"/>
      <c r="RSK171" s="72"/>
      <c r="RSL171" s="72"/>
      <c r="RSM171" s="72"/>
      <c r="RSN171" s="72"/>
      <c r="RSO171" s="72"/>
      <c r="RSP171" s="72"/>
      <c r="RSQ171" s="72"/>
      <c r="RSR171" s="72"/>
      <c r="RSS171" s="72"/>
      <c r="RST171" s="72"/>
      <c r="RSU171" s="72"/>
      <c r="RSV171" s="72"/>
      <c r="RSW171" s="72"/>
      <c r="RSX171" s="72"/>
      <c r="RSY171" s="72"/>
      <c r="RSZ171" s="72"/>
      <c r="RTA171" s="72"/>
      <c r="RTB171" s="72"/>
      <c r="RTC171" s="72"/>
      <c r="RTD171" s="72"/>
      <c r="RTE171" s="72"/>
      <c r="RTF171" s="72"/>
      <c r="RTG171" s="72"/>
      <c r="RTH171" s="72"/>
      <c r="RTI171" s="72"/>
      <c r="RTJ171" s="72"/>
      <c r="RTK171" s="72"/>
      <c r="RTL171" s="72"/>
      <c r="RTM171" s="72"/>
      <c r="RTN171" s="72"/>
      <c r="RTO171" s="72"/>
      <c r="RTP171" s="72"/>
      <c r="RTQ171" s="72"/>
      <c r="RTR171" s="72"/>
      <c r="RTS171" s="72"/>
      <c r="RTT171" s="72"/>
      <c r="RTU171" s="72"/>
      <c r="RTV171" s="72"/>
      <c r="RTW171" s="72"/>
      <c r="RTX171" s="72"/>
      <c r="RTY171" s="72"/>
      <c r="RTZ171" s="72"/>
      <c r="RUA171" s="72"/>
      <c r="RUB171" s="72"/>
      <c r="RUC171" s="72"/>
      <c r="RUD171" s="72"/>
      <c r="RUE171" s="72"/>
      <c r="RUF171" s="72"/>
      <c r="RUG171" s="72"/>
      <c r="RUH171" s="72"/>
      <c r="RUI171" s="72"/>
      <c r="RUJ171" s="72"/>
      <c r="RUK171" s="72"/>
      <c r="RUL171" s="72"/>
      <c r="RUM171" s="72"/>
      <c r="RUN171" s="72"/>
      <c r="RUO171" s="72"/>
      <c r="RUP171" s="72"/>
      <c r="RUQ171" s="72"/>
      <c r="RUR171" s="72"/>
      <c r="RUS171" s="72"/>
      <c r="RUT171" s="72"/>
      <c r="RUU171" s="72"/>
      <c r="RUV171" s="72"/>
      <c r="RUW171" s="72"/>
      <c r="RUX171" s="72"/>
      <c r="RUY171" s="72"/>
      <c r="RUZ171" s="72"/>
      <c r="RVA171" s="72"/>
      <c r="RVB171" s="72"/>
      <c r="RVC171" s="72"/>
      <c r="RVD171" s="72"/>
      <c r="RVE171" s="72"/>
      <c r="RVF171" s="72"/>
      <c r="RVG171" s="72"/>
      <c r="RVH171" s="72"/>
      <c r="RVI171" s="72"/>
      <c r="RVJ171" s="72"/>
      <c r="RVK171" s="72"/>
      <c r="RVL171" s="72"/>
      <c r="RVM171" s="72"/>
      <c r="RVN171" s="72"/>
      <c r="RVO171" s="72"/>
      <c r="RVP171" s="72"/>
      <c r="RVQ171" s="72"/>
      <c r="RVR171" s="72"/>
      <c r="RVS171" s="72"/>
      <c r="RVT171" s="72"/>
      <c r="RVU171" s="72"/>
      <c r="RVV171" s="72"/>
      <c r="RVW171" s="72"/>
      <c r="RVX171" s="72"/>
      <c r="RVY171" s="72"/>
      <c r="RVZ171" s="72"/>
      <c r="RWA171" s="72"/>
      <c r="RWB171" s="72"/>
      <c r="RWC171" s="72"/>
      <c r="RWD171" s="72"/>
      <c r="RWE171" s="72"/>
      <c r="RWF171" s="72"/>
      <c r="RWG171" s="72"/>
      <c r="RWH171" s="72"/>
      <c r="RWI171" s="72"/>
      <c r="RWJ171" s="72"/>
      <c r="RWK171" s="72"/>
      <c r="RWL171" s="72"/>
      <c r="RWM171" s="72"/>
      <c r="RWN171" s="72"/>
      <c r="RWO171" s="72"/>
      <c r="RWP171" s="72"/>
      <c r="RWQ171" s="72"/>
      <c r="RWR171" s="72"/>
      <c r="RWS171" s="72"/>
      <c r="RWT171" s="72"/>
      <c r="RWU171" s="72"/>
      <c r="RWV171" s="72"/>
      <c r="RWW171" s="72"/>
      <c r="RWX171" s="72"/>
      <c r="RWY171" s="72"/>
      <c r="RWZ171" s="72"/>
      <c r="RXA171" s="72"/>
      <c r="RXB171" s="72"/>
      <c r="RXC171" s="72"/>
      <c r="RXD171" s="72"/>
      <c r="RXE171" s="72"/>
      <c r="RXF171" s="72"/>
      <c r="RXG171" s="72"/>
      <c r="RXH171" s="72"/>
      <c r="RXI171" s="72"/>
      <c r="RXJ171" s="72"/>
      <c r="RXK171" s="72"/>
      <c r="RXL171" s="72"/>
      <c r="RXM171" s="72"/>
      <c r="RXN171" s="72"/>
      <c r="RXO171" s="72"/>
      <c r="RXP171" s="72"/>
      <c r="RXQ171" s="72"/>
      <c r="RXR171" s="72"/>
      <c r="RXS171" s="72"/>
      <c r="RXT171" s="72"/>
      <c r="RXU171" s="72"/>
      <c r="RXV171" s="72"/>
      <c r="RXW171" s="72"/>
      <c r="RXX171" s="72"/>
      <c r="RXY171" s="72"/>
      <c r="RXZ171" s="72"/>
      <c r="RYA171" s="72"/>
      <c r="RYB171" s="72"/>
      <c r="RYC171" s="72"/>
      <c r="RYD171" s="72"/>
      <c r="RYE171" s="72"/>
      <c r="RYF171" s="72"/>
      <c r="RYG171" s="72"/>
      <c r="RYH171" s="72"/>
      <c r="RYI171" s="72"/>
      <c r="RYJ171" s="72"/>
      <c r="RYK171" s="72"/>
      <c r="RYL171" s="72"/>
      <c r="RYM171" s="72"/>
      <c r="RYN171" s="72"/>
      <c r="RYO171" s="72"/>
      <c r="RYP171" s="72"/>
      <c r="RYQ171" s="72"/>
      <c r="RYR171" s="72"/>
      <c r="RYS171" s="72"/>
      <c r="RYT171" s="72"/>
      <c r="RYU171" s="72"/>
      <c r="RYV171" s="72"/>
      <c r="RYW171" s="72"/>
      <c r="RYX171" s="72"/>
      <c r="RYY171" s="72"/>
      <c r="RYZ171" s="72"/>
      <c r="RZA171" s="72"/>
      <c r="RZB171" s="72"/>
      <c r="RZC171" s="72"/>
      <c r="RZD171" s="72"/>
      <c r="RZE171" s="72"/>
      <c r="RZF171" s="72"/>
      <c r="RZG171" s="72"/>
      <c r="RZH171" s="72"/>
      <c r="RZI171" s="72"/>
      <c r="RZJ171" s="72"/>
      <c r="RZK171" s="72"/>
      <c r="RZL171" s="72"/>
      <c r="RZM171" s="72"/>
      <c r="RZN171" s="72"/>
      <c r="RZO171" s="72"/>
      <c r="RZP171" s="72"/>
      <c r="RZQ171" s="72"/>
      <c r="RZR171" s="72"/>
      <c r="RZS171" s="72"/>
      <c r="RZT171" s="72"/>
      <c r="RZU171" s="72"/>
      <c r="RZV171" s="72"/>
      <c r="RZW171" s="72"/>
      <c r="RZX171" s="72"/>
      <c r="RZY171" s="72"/>
      <c r="RZZ171" s="72"/>
      <c r="SAA171" s="72"/>
      <c r="SAB171" s="72"/>
      <c r="SAC171" s="72"/>
      <c r="SAD171" s="72"/>
      <c r="SAE171" s="72"/>
      <c r="SAF171" s="72"/>
      <c r="SAG171" s="72"/>
      <c r="SAH171" s="72"/>
      <c r="SAI171" s="72"/>
      <c r="SAJ171" s="72"/>
      <c r="SAK171" s="72"/>
      <c r="SAL171" s="72"/>
      <c r="SAM171" s="72"/>
      <c r="SAN171" s="72"/>
      <c r="SAO171" s="72"/>
      <c r="SAP171" s="72"/>
      <c r="SAQ171" s="72"/>
      <c r="SAR171" s="72"/>
      <c r="SAS171" s="72"/>
      <c r="SAT171" s="72"/>
      <c r="SAU171" s="72"/>
      <c r="SAV171" s="72"/>
      <c r="SAW171" s="72"/>
      <c r="SAX171" s="72"/>
      <c r="SAY171" s="72"/>
      <c r="SAZ171" s="72"/>
      <c r="SBA171" s="72"/>
      <c r="SBB171" s="72"/>
      <c r="SBC171" s="72"/>
      <c r="SBD171" s="72"/>
      <c r="SBE171" s="72"/>
      <c r="SBF171" s="72"/>
      <c r="SBG171" s="72"/>
      <c r="SBH171" s="72"/>
      <c r="SBI171" s="72"/>
      <c r="SBJ171" s="72"/>
      <c r="SBK171" s="72"/>
      <c r="SBL171" s="72"/>
      <c r="SBM171" s="72"/>
      <c r="SBN171" s="72"/>
      <c r="SBO171" s="72"/>
      <c r="SBP171" s="72"/>
      <c r="SBQ171" s="72"/>
      <c r="SBR171" s="72"/>
      <c r="SBS171" s="72"/>
      <c r="SBT171" s="72"/>
      <c r="SBU171" s="72"/>
      <c r="SBV171" s="72"/>
      <c r="SBW171" s="72"/>
      <c r="SBX171" s="72"/>
      <c r="SBY171" s="72"/>
      <c r="SBZ171" s="72"/>
      <c r="SCA171" s="72"/>
      <c r="SCB171" s="72"/>
      <c r="SCC171" s="72"/>
      <c r="SCD171" s="72"/>
      <c r="SCE171" s="72"/>
      <c r="SCF171" s="72"/>
      <c r="SCG171" s="72"/>
      <c r="SCH171" s="72"/>
      <c r="SCI171" s="72"/>
      <c r="SCJ171" s="72"/>
      <c r="SCK171" s="72"/>
      <c r="SCL171" s="72"/>
      <c r="SCM171" s="72"/>
      <c r="SCN171" s="72"/>
      <c r="SCO171" s="72"/>
      <c r="SCP171" s="72"/>
      <c r="SCQ171" s="72"/>
      <c r="SCR171" s="72"/>
      <c r="SCS171" s="72"/>
      <c r="SCT171" s="72"/>
      <c r="SCU171" s="72"/>
      <c r="SCV171" s="72"/>
      <c r="SCW171" s="72"/>
      <c r="SCX171" s="72"/>
      <c r="SCY171" s="72"/>
      <c r="SCZ171" s="72"/>
      <c r="SDA171" s="72"/>
      <c r="SDB171" s="72"/>
      <c r="SDC171" s="72"/>
      <c r="SDD171" s="72"/>
      <c r="SDE171" s="72"/>
      <c r="SDF171" s="72"/>
      <c r="SDG171" s="72"/>
      <c r="SDH171" s="72"/>
      <c r="SDI171" s="72"/>
      <c r="SDJ171" s="72"/>
      <c r="SDK171" s="72"/>
      <c r="SDL171" s="72"/>
      <c r="SDM171" s="72"/>
      <c r="SDN171" s="72"/>
      <c r="SDO171" s="72"/>
      <c r="SDP171" s="72"/>
      <c r="SDQ171" s="72"/>
      <c r="SDR171" s="72"/>
      <c r="SDS171" s="72"/>
      <c r="SDT171" s="72"/>
      <c r="SDU171" s="72"/>
      <c r="SDV171" s="72"/>
      <c r="SDW171" s="72"/>
      <c r="SDX171" s="72"/>
      <c r="SDY171" s="72"/>
      <c r="SDZ171" s="72"/>
      <c r="SEA171" s="72"/>
      <c r="SEB171" s="72"/>
      <c r="SEC171" s="72"/>
      <c r="SED171" s="72"/>
      <c r="SEE171" s="72"/>
      <c r="SEF171" s="72"/>
      <c r="SEG171" s="72"/>
      <c r="SEH171" s="72"/>
      <c r="SEI171" s="72"/>
      <c r="SEJ171" s="72"/>
      <c r="SEK171" s="72"/>
      <c r="SEL171" s="72"/>
      <c r="SEM171" s="72"/>
      <c r="SEN171" s="72"/>
      <c r="SEO171" s="72"/>
      <c r="SEP171" s="72"/>
      <c r="SEQ171" s="72"/>
      <c r="SER171" s="72"/>
      <c r="SES171" s="72"/>
      <c r="SET171" s="72"/>
      <c r="SEU171" s="72"/>
      <c r="SEV171" s="72"/>
      <c r="SEW171" s="72"/>
      <c r="SEX171" s="72"/>
      <c r="SEY171" s="72"/>
      <c r="SEZ171" s="72"/>
      <c r="SFA171" s="72"/>
      <c r="SFB171" s="72"/>
      <c r="SFC171" s="72"/>
      <c r="SFD171" s="72"/>
      <c r="SFE171" s="72"/>
      <c r="SFF171" s="72"/>
      <c r="SFG171" s="72"/>
      <c r="SFH171" s="72"/>
      <c r="SFI171" s="72"/>
      <c r="SFJ171" s="72"/>
      <c r="SFK171" s="72"/>
      <c r="SFL171" s="72"/>
      <c r="SFM171" s="72"/>
      <c r="SFN171" s="72"/>
      <c r="SFO171" s="72"/>
      <c r="SFP171" s="72"/>
      <c r="SFQ171" s="72"/>
      <c r="SFR171" s="72"/>
      <c r="SFS171" s="72"/>
      <c r="SFT171" s="72"/>
      <c r="SFU171" s="72"/>
      <c r="SFV171" s="72"/>
      <c r="SFW171" s="72"/>
      <c r="SFX171" s="72"/>
      <c r="SFY171" s="72"/>
      <c r="SFZ171" s="72"/>
      <c r="SGA171" s="72"/>
      <c r="SGB171" s="72"/>
      <c r="SGC171" s="72"/>
      <c r="SGD171" s="72"/>
      <c r="SGE171" s="72"/>
      <c r="SGF171" s="72"/>
      <c r="SGG171" s="72"/>
      <c r="SGH171" s="72"/>
      <c r="SGI171" s="72"/>
      <c r="SGJ171" s="72"/>
      <c r="SGK171" s="72"/>
      <c r="SGL171" s="72"/>
      <c r="SGM171" s="72"/>
      <c r="SGN171" s="72"/>
      <c r="SGO171" s="72"/>
      <c r="SGP171" s="72"/>
      <c r="SGQ171" s="72"/>
      <c r="SGR171" s="72"/>
      <c r="SGS171" s="72"/>
      <c r="SGT171" s="72"/>
      <c r="SGU171" s="72"/>
      <c r="SGV171" s="72"/>
      <c r="SGW171" s="72"/>
      <c r="SGX171" s="72"/>
      <c r="SGY171" s="72"/>
      <c r="SGZ171" s="72"/>
      <c r="SHA171" s="72"/>
      <c r="SHB171" s="72"/>
      <c r="SHC171" s="72"/>
      <c r="SHD171" s="72"/>
      <c r="SHE171" s="72"/>
      <c r="SHF171" s="72"/>
      <c r="SHG171" s="72"/>
      <c r="SHH171" s="72"/>
      <c r="SHI171" s="72"/>
      <c r="SHJ171" s="72"/>
      <c r="SHK171" s="72"/>
      <c r="SHL171" s="72"/>
      <c r="SHM171" s="72"/>
      <c r="SHN171" s="72"/>
      <c r="SHO171" s="72"/>
      <c r="SHP171" s="72"/>
      <c r="SHQ171" s="72"/>
      <c r="SHR171" s="72"/>
      <c r="SHS171" s="72"/>
      <c r="SHT171" s="72"/>
      <c r="SHU171" s="72"/>
      <c r="SHV171" s="72"/>
      <c r="SHW171" s="72"/>
      <c r="SHX171" s="72"/>
      <c r="SHY171" s="72"/>
      <c r="SHZ171" s="72"/>
      <c r="SIA171" s="72"/>
      <c r="SIB171" s="72"/>
      <c r="SIC171" s="72"/>
      <c r="SID171" s="72"/>
      <c r="SIE171" s="72"/>
      <c r="SIF171" s="72"/>
      <c r="SIG171" s="72"/>
      <c r="SIH171" s="72"/>
      <c r="SII171" s="72"/>
      <c r="SIJ171" s="72"/>
      <c r="SIK171" s="72"/>
      <c r="SIL171" s="72"/>
      <c r="SIM171" s="72"/>
      <c r="SIN171" s="72"/>
      <c r="SIO171" s="72"/>
      <c r="SIP171" s="72"/>
      <c r="SIQ171" s="72"/>
      <c r="SIR171" s="72"/>
      <c r="SIS171" s="72"/>
      <c r="SIT171" s="72"/>
      <c r="SIU171" s="72"/>
      <c r="SIV171" s="72"/>
      <c r="SIW171" s="72"/>
      <c r="SIX171" s="72"/>
      <c r="SIY171" s="72"/>
      <c r="SIZ171" s="72"/>
      <c r="SJA171" s="72"/>
      <c r="SJB171" s="72"/>
      <c r="SJC171" s="72"/>
      <c r="SJD171" s="72"/>
      <c r="SJE171" s="72"/>
      <c r="SJF171" s="72"/>
      <c r="SJG171" s="72"/>
      <c r="SJH171" s="72"/>
      <c r="SJI171" s="72"/>
      <c r="SJJ171" s="72"/>
      <c r="SJK171" s="72"/>
      <c r="SJL171" s="72"/>
      <c r="SJM171" s="72"/>
      <c r="SJN171" s="72"/>
      <c r="SJO171" s="72"/>
      <c r="SJP171" s="72"/>
      <c r="SJQ171" s="72"/>
      <c r="SJR171" s="72"/>
      <c r="SJS171" s="72"/>
      <c r="SJT171" s="72"/>
      <c r="SJU171" s="72"/>
      <c r="SJV171" s="72"/>
      <c r="SJW171" s="72"/>
      <c r="SJX171" s="72"/>
      <c r="SJY171" s="72"/>
      <c r="SJZ171" s="72"/>
      <c r="SKA171" s="72"/>
      <c r="SKB171" s="72"/>
      <c r="SKC171" s="72"/>
      <c r="SKD171" s="72"/>
      <c r="SKE171" s="72"/>
      <c r="SKF171" s="72"/>
      <c r="SKG171" s="72"/>
      <c r="SKH171" s="72"/>
      <c r="SKI171" s="72"/>
      <c r="SKJ171" s="72"/>
      <c r="SKK171" s="72"/>
      <c r="SKL171" s="72"/>
      <c r="SKM171" s="72"/>
      <c r="SKN171" s="72"/>
      <c r="SKO171" s="72"/>
      <c r="SKP171" s="72"/>
      <c r="SKQ171" s="72"/>
      <c r="SKR171" s="72"/>
      <c r="SKS171" s="72"/>
      <c r="SKT171" s="72"/>
      <c r="SKU171" s="72"/>
      <c r="SKV171" s="72"/>
      <c r="SKW171" s="72"/>
      <c r="SKX171" s="72"/>
      <c r="SKY171" s="72"/>
      <c r="SKZ171" s="72"/>
      <c r="SLA171" s="72"/>
      <c r="SLB171" s="72"/>
      <c r="SLC171" s="72"/>
      <c r="SLD171" s="72"/>
      <c r="SLE171" s="72"/>
      <c r="SLF171" s="72"/>
      <c r="SLG171" s="72"/>
      <c r="SLH171" s="72"/>
      <c r="SLI171" s="72"/>
      <c r="SLJ171" s="72"/>
      <c r="SLK171" s="72"/>
      <c r="SLL171" s="72"/>
      <c r="SLM171" s="72"/>
      <c r="SLN171" s="72"/>
      <c r="SLO171" s="72"/>
      <c r="SLP171" s="72"/>
      <c r="SLQ171" s="72"/>
      <c r="SLR171" s="72"/>
      <c r="SLS171" s="72"/>
      <c r="SLT171" s="72"/>
      <c r="SLU171" s="72"/>
      <c r="SLV171" s="72"/>
      <c r="SLW171" s="72"/>
      <c r="SLX171" s="72"/>
      <c r="SLY171" s="72"/>
      <c r="SLZ171" s="72"/>
      <c r="SMA171" s="72"/>
      <c r="SMB171" s="72"/>
      <c r="SMC171" s="72"/>
      <c r="SMD171" s="72"/>
      <c r="SME171" s="72"/>
      <c r="SMF171" s="72"/>
      <c r="SMG171" s="72"/>
      <c r="SMH171" s="72"/>
      <c r="SMI171" s="72"/>
      <c r="SMJ171" s="72"/>
      <c r="SMK171" s="72"/>
      <c r="SML171" s="72"/>
      <c r="SMM171" s="72"/>
      <c r="SMN171" s="72"/>
      <c r="SMO171" s="72"/>
      <c r="SMP171" s="72"/>
      <c r="SMQ171" s="72"/>
      <c r="SMR171" s="72"/>
      <c r="SMS171" s="72"/>
      <c r="SMT171" s="72"/>
      <c r="SMU171" s="72"/>
      <c r="SMV171" s="72"/>
      <c r="SMW171" s="72"/>
      <c r="SMX171" s="72"/>
      <c r="SMY171" s="72"/>
      <c r="SMZ171" s="72"/>
      <c r="SNA171" s="72"/>
      <c r="SNB171" s="72"/>
      <c r="SNC171" s="72"/>
      <c r="SND171" s="72"/>
      <c r="SNE171" s="72"/>
      <c r="SNF171" s="72"/>
      <c r="SNG171" s="72"/>
      <c r="SNH171" s="72"/>
      <c r="SNI171" s="72"/>
      <c r="SNJ171" s="72"/>
      <c r="SNK171" s="72"/>
      <c r="SNL171" s="72"/>
      <c r="SNM171" s="72"/>
      <c r="SNN171" s="72"/>
      <c r="SNO171" s="72"/>
      <c r="SNP171" s="72"/>
      <c r="SNQ171" s="72"/>
      <c r="SNR171" s="72"/>
      <c r="SNS171" s="72"/>
      <c r="SNT171" s="72"/>
      <c r="SNU171" s="72"/>
      <c r="SNV171" s="72"/>
      <c r="SNW171" s="72"/>
      <c r="SNX171" s="72"/>
      <c r="SNY171" s="72"/>
      <c r="SNZ171" s="72"/>
      <c r="SOA171" s="72"/>
      <c r="SOB171" s="72"/>
      <c r="SOC171" s="72"/>
      <c r="SOD171" s="72"/>
      <c r="SOE171" s="72"/>
      <c r="SOF171" s="72"/>
      <c r="SOG171" s="72"/>
      <c r="SOH171" s="72"/>
      <c r="SOI171" s="72"/>
      <c r="SOJ171" s="72"/>
      <c r="SOK171" s="72"/>
      <c r="SOL171" s="72"/>
      <c r="SOM171" s="72"/>
      <c r="SON171" s="72"/>
      <c r="SOO171" s="72"/>
      <c r="SOP171" s="72"/>
      <c r="SOQ171" s="72"/>
      <c r="SOR171" s="72"/>
      <c r="SOS171" s="72"/>
      <c r="SOT171" s="72"/>
      <c r="SOU171" s="72"/>
      <c r="SOV171" s="72"/>
      <c r="SOW171" s="72"/>
      <c r="SOX171" s="72"/>
      <c r="SOY171" s="72"/>
      <c r="SOZ171" s="72"/>
      <c r="SPA171" s="72"/>
      <c r="SPB171" s="72"/>
      <c r="SPC171" s="72"/>
      <c r="SPD171" s="72"/>
      <c r="SPE171" s="72"/>
      <c r="SPF171" s="72"/>
      <c r="SPG171" s="72"/>
      <c r="SPH171" s="72"/>
      <c r="SPI171" s="72"/>
      <c r="SPJ171" s="72"/>
      <c r="SPK171" s="72"/>
      <c r="SPL171" s="72"/>
      <c r="SPM171" s="72"/>
      <c r="SPN171" s="72"/>
      <c r="SPO171" s="72"/>
      <c r="SPP171" s="72"/>
      <c r="SPQ171" s="72"/>
      <c r="SPR171" s="72"/>
      <c r="SPS171" s="72"/>
      <c r="SPT171" s="72"/>
      <c r="SPU171" s="72"/>
      <c r="SPV171" s="72"/>
      <c r="SPW171" s="72"/>
      <c r="SPX171" s="72"/>
      <c r="SPY171" s="72"/>
      <c r="SPZ171" s="72"/>
      <c r="SQA171" s="72"/>
      <c r="SQB171" s="72"/>
      <c r="SQC171" s="72"/>
      <c r="SQD171" s="72"/>
      <c r="SQE171" s="72"/>
      <c r="SQF171" s="72"/>
      <c r="SQG171" s="72"/>
      <c r="SQH171" s="72"/>
      <c r="SQI171" s="72"/>
      <c r="SQJ171" s="72"/>
      <c r="SQK171" s="72"/>
      <c r="SQL171" s="72"/>
      <c r="SQM171" s="72"/>
      <c r="SQN171" s="72"/>
      <c r="SQO171" s="72"/>
      <c r="SQP171" s="72"/>
      <c r="SQQ171" s="72"/>
      <c r="SQR171" s="72"/>
      <c r="SQS171" s="72"/>
      <c r="SQT171" s="72"/>
      <c r="SQU171" s="72"/>
      <c r="SQV171" s="72"/>
      <c r="SQW171" s="72"/>
      <c r="SQX171" s="72"/>
      <c r="SQY171" s="72"/>
      <c r="SQZ171" s="72"/>
      <c r="SRA171" s="72"/>
      <c r="SRB171" s="72"/>
      <c r="SRC171" s="72"/>
      <c r="SRD171" s="72"/>
      <c r="SRE171" s="72"/>
      <c r="SRF171" s="72"/>
      <c r="SRG171" s="72"/>
      <c r="SRH171" s="72"/>
      <c r="SRI171" s="72"/>
      <c r="SRJ171" s="72"/>
      <c r="SRK171" s="72"/>
      <c r="SRL171" s="72"/>
      <c r="SRM171" s="72"/>
      <c r="SRN171" s="72"/>
      <c r="SRO171" s="72"/>
      <c r="SRP171" s="72"/>
      <c r="SRQ171" s="72"/>
      <c r="SRR171" s="72"/>
      <c r="SRS171" s="72"/>
      <c r="SRT171" s="72"/>
      <c r="SRU171" s="72"/>
      <c r="SRV171" s="72"/>
      <c r="SRW171" s="72"/>
      <c r="SRX171" s="72"/>
      <c r="SRY171" s="72"/>
      <c r="SRZ171" s="72"/>
      <c r="SSA171" s="72"/>
      <c r="SSB171" s="72"/>
      <c r="SSC171" s="72"/>
      <c r="SSD171" s="72"/>
      <c r="SSE171" s="72"/>
      <c r="SSF171" s="72"/>
      <c r="SSG171" s="72"/>
      <c r="SSH171" s="72"/>
      <c r="SSI171" s="72"/>
      <c r="SSJ171" s="72"/>
      <c r="SSK171" s="72"/>
      <c r="SSL171" s="72"/>
      <c r="SSM171" s="72"/>
      <c r="SSN171" s="72"/>
      <c r="SSO171" s="72"/>
      <c r="SSP171" s="72"/>
      <c r="SSQ171" s="72"/>
      <c r="SSR171" s="72"/>
      <c r="SSS171" s="72"/>
      <c r="SST171" s="72"/>
      <c r="SSU171" s="72"/>
      <c r="SSV171" s="72"/>
      <c r="SSW171" s="72"/>
      <c r="SSX171" s="72"/>
      <c r="SSY171" s="72"/>
      <c r="SSZ171" s="72"/>
      <c r="STA171" s="72"/>
      <c r="STB171" s="72"/>
      <c r="STC171" s="72"/>
      <c r="STD171" s="72"/>
      <c r="STE171" s="72"/>
      <c r="STF171" s="72"/>
      <c r="STG171" s="72"/>
      <c r="STH171" s="72"/>
      <c r="STI171" s="72"/>
      <c r="STJ171" s="72"/>
      <c r="STK171" s="72"/>
      <c r="STL171" s="72"/>
      <c r="STM171" s="72"/>
      <c r="STN171" s="72"/>
      <c r="STO171" s="72"/>
      <c r="STP171" s="72"/>
      <c r="STQ171" s="72"/>
      <c r="STR171" s="72"/>
      <c r="STS171" s="72"/>
      <c r="STT171" s="72"/>
      <c r="STU171" s="72"/>
      <c r="STV171" s="72"/>
      <c r="STW171" s="72"/>
      <c r="STX171" s="72"/>
      <c r="STY171" s="72"/>
      <c r="STZ171" s="72"/>
      <c r="SUA171" s="72"/>
      <c r="SUB171" s="72"/>
      <c r="SUC171" s="72"/>
      <c r="SUD171" s="72"/>
      <c r="SUE171" s="72"/>
      <c r="SUF171" s="72"/>
      <c r="SUG171" s="72"/>
      <c r="SUH171" s="72"/>
      <c r="SUI171" s="72"/>
      <c r="SUJ171" s="72"/>
      <c r="SUK171" s="72"/>
      <c r="SUL171" s="72"/>
      <c r="SUM171" s="72"/>
      <c r="SUN171" s="72"/>
      <c r="SUO171" s="72"/>
      <c r="SUP171" s="72"/>
      <c r="SUQ171" s="72"/>
      <c r="SUR171" s="72"/>
      <c r="SUS171" s="72"/>
      <c r="SUT171" s="72"/>
      <c r="SUU171" s="72"/>
      <c r="SUV171" s="72"/>
      <c r="SUW171" s="72"/>
      <c r="SUX171" s="72"/>
      <c r="SUY171" s="72"/>
      <c r="SUZ171" s="72"/>
      <c r="SVA171" s="72"/>
      <c r="SVB171" s="72"/>
      <c r="SVC171" s="72"/>
      <c r="SVD171" s="72"/>
      <c r="SVE171" s="72"/>
      <c r="SVF171" s="72"/>
      <c r="SVG171" s="72"/>
      <c r="SVH171" s="72"/>
      <c r="SVI171" s="72"/>
      <c r="SVJ171" s="72"/>
      <c r="SVK171" s="72"/>
      <c r="SVL171" s="72"/>
      <c r="SVM171" s="72"/>
      <c r="SVN171" s="72"/>
      <c r="SVO171" s="72"/>
      <c r="SVP171" s="72"/>
      <c r="SVQ171" s="72"/>
      <c r="SVR171" s="72"/>
      <c r="SVS171" s="72"/>
      <c r="SVT171" s="72"/>
      <c r="SVU171" s="72"/>
      <c r="SVV171" s="72"/>
      <c r="SVW171" s="72"/>
      <c r="SVX171" s="72"/>
      <c r="SVY171" s="72"/>
      <c r="SVZ171" s="72"/>
      <c r="SWA171" s="72"/>
      <c r="SWB171" s="72"/>
      <c r="SWC171" s="72"/>
      <c r="SWD171" s="72"/>
      <c r="SWE171" s="72"/>
      <c r="SWF171" s="72"/>
      <c r="SWG171" s="72"/>
      <c r="SWH171" s="72"/>
      <c r="SWI171" s="72"/>
      <c r="SWJ171" s="72"/>
      <c r="SWK171" s="72"/>
      <c r="SWL171" s="72"/>
      <c r="SWM171" s="72"/>
      <c r="SWN171" s="72"/>
      <c r="SWO171" s="72"/>
      <c r="SWP171" s="72"/>
      <c r="SWQ171" s="72"/>
      <c r="SWR171" s="72"/>
      <c r="SWS171" s="72"/>
      <c r="SWT171" s="72"/>
      <c r="SWU171" s="72"/>
      <c r="SWV171" s="72"/>
      <c r="SWW171" s="72"/>
      <c r="SWX171" s="72"/>
      <c r="SWY171" s="72"/>
      <c r="SWZ171" s="72"/>
      <c r="SXA171" s="72"/>
      <c r="SXB171" s="72"/>
      <c r="SXC171" s="72"/>
      <c r="SXD171" s="72"/>
      <c r="SXE171" s="72"/>
      <c r="SXF171" s="72"/>
      <c r="SXG171" s="72"/>
      <c r="SXH171" s="72"/>
      <c r="SXI171" s="72"/>
      <c r="SXJ171" s="72"/>
      <c r="SXK171" s="72"/>
      <c r="SXL171" s="72"/>
      <c r="SXM171" s="72"/>
      <c r="SXN171" s="72"/>
      <c r="SXO171" s="72"/>
      <c r="SXP171" s="72"/>
      <c r="SXQ171" s="72"/>
      <c r="SXR171" s="72"/>
      <c r="SXS171" s="72"/>
      <c r="SXT171" s="72"/>
      <c r="SXU171" s="72"/>
      <c r="SXV171" s="72"/>
      <c r="SXW171" s="72"/>
      <c r="SXX171" s="72"/>
      <c r="SXY171" s="72"/>
      <c r="SXZ171" s="72"/>
      <c r="SYA171" s="72"/>
      <c r="SYB171" s="72"/>
      <c r="SYC171" s="72"/>
      <c r="SYD171" s="72"/>
      <c r="SYE171" s="72"/>
      <c r="SYF171" s="72"/>
      <c r="SYG171" s="72"/>
      <c r="SYH171" s="72"/>
      <c r="SYI171" s="72"/>
      <c r="SYJ171" s="72"/>
      <c r="SYK171" s="72"/>
      <c r="SYL171" s="72"/>
      <c r="SYM171" s="72"/>
      <c r="SYN171" s="72"/>
      <c r="SYO171" s="72"/>
      <c r="SYP171" s="72"/>
      <c r="SYQ171" s="72"/>
      <c r="SYR171" s="72"/>
      <c r="SYS171" s="72"/>
      <c r="SYT171" s="72"/>
      <c r="SYU171" s="72"/>
      <c r="SYV171" s="72"/>
      <c r="SYW171" s="72"/>
      <c r="SYX171" s="72"/>
      <c r="SYY171" s="72"/>
      <c r="SYZ171" s="72"/>
      <c r="SZA171" s="72"/>
      <c r="SZB171" s="72"/>
      <c r="SZC171" s="72"/>
      <c r="SZD171" s="72"/>
      <c r="SZE171" s="72"/>
      <c r="SZF171" s="72"/>
      <c r="SZG171" s="72"/>
      <c r="SZH171" s="72"/>
      <c r="SZI171" s="72"/>
      <c r="SZJ171" s="72"/>
      <c r="SZK171" s="72"/>
      <c r="SZL171" s="72"/>
      <c r="SZM171" s="72"/>
      <c r="SZN171" s="72"/>
      <c r="SZO171" s="72"/>
      <c r="SZP171" s="72"/>
      <c r="SZQ171" s="72"/>
      <c r="SZR171" s="72"/>
      <c r="SZS171" s="72"/>
      <c r="SZT171" s="72"/>
      <c r="SZU171" s="72"/>
      <c r="SZV171" s="72"/>
      <c r="SZW171" s="72"/>
      <c r="SZX171" s="72"/>
      <c r="SZY171" s="72"/>
      <c r="SZZ171" s="72"/>
      <c r="TAA171" s="72"/>
      <c r="TAB171" s="72"/>
      <c r="TAC171" s="72"/>
      <c r="TAD171" s="72"/>
      <c r="TAE171" s="72"/>
      <c r="TAF171" s="72"/>
      <c r="TAG171" s="72"/>
      <c r="TAH171" s="72"/>
      <c r="TAI171" s="72"/>
      <c r="TAJ171" s="72"/>
      <c r="TAK171" s="72"/>
      <c r="TAL171" s="72"/>
      <c r="TAM171" s="72"/>
      <c r="TAN171" s="72"/>
      <c r="TAO171" s="72"/>
      <c r="TAP171" s="72"/>
      <c r="TAQ171" s="72"/>
      <c r="TAR171" s="72"/>
      <c r="TAS171" s="72"/>
      <c r="TAT171" s="72"/>
      <c r="TAU171" s="72"/>
      <c r="TAV171" s="72"/>
      <c r="TAW171" s="72"/>
      <c r="TAX171" s="72"/>
      <c r="TAY171" s="72"/>
      <c r="TAZ171" s="72"/>
      <c r="TBA171" s="72"/>
      <c r="TBB171" s="72"/>
      <c r="TBC171" s="72"/>
      <c r="TBD171" s="72"/>
      <c r="TBE171" s="72"/>
      <c r="TBF171" s="72"/>
      <c r="TBG171" s="72"/>
      <c r="TBH171" s="72"/>
      <c r="TBI171" s="72"/>
      <c r="TBJ171" s="72"/>
      <c r="TBK171" s="72"/>
      <c r="TBL171" s="72"/>
      <c r="TBM171" s="72"/>
      <c r="TBN171" s="72"/>
      <c r="TBO171" s="72"/>
      <c r="TBP171" s="72"/>
      <c r="TBQ171" s="72"/>
      <c r="TBR171" s="72"/>
      <c r="TBS171" s="72"/>
      <c r="TBT171" s="72"/>
      <c r="TBU171" s="72"/>
      <c r="TBV171" s="72"/>
      <c r="TBW171" s="72"/>
      <c r="TBX171" s="72"/>
      <c r="TBY171" s="72"/>
      <c r="TBZ171" s="72"/>
      <c r="TCA171" s="72"/>
      <c r="TCB171" s="72"/>
      <c r="TCC171" s="72"/>
      <c r="TCD171" s="72"/>
      <c r="TCE171" s="72"/>
      <c r="TCF171" s="72"/>
      <c r="TCG171" s="72"/>
      <c r="TCH171" s="72"/>
      <c r="TCI171" s="72"/>
      <c r="TCJ171" s="72"/>
      <c r="TCK171" s="72"/>
      <c r="TCL171" s="72"/>
      <c r="TCM171" s="72"/>
      <c r="TCN171" s="72"/>
      <c r="TCO171" s="72"/>
      <c r="TCP171" s="72"/>
      <c r="TCQ171" s="72"/>
      <c r="TCR171" s="72"/>
      <c r="TCS171" s="72"/>
      <c r="TCT171" s="72"/>
      <c r="TCU171" s="72"/>
      <c r="TCV171" s="72"/>
      <c r="TCW171" s="72"/>
      <c r="TCX171" s="72"/>
      <c r="TCY171" s="72"/>
      <c r="TCZ171" s="72"/>
      <c r="TDA171" s="72"/>
      <c r="TDB171" s="72"/>
      <c r="TDC171" s="72"/>
      <c r="TDD171" s="72"/>
      <c r="TDE171" s="72"/>
      <c r="TDF171" s="72"/>
      <c r="TDG171" s="72"/>
      <c r="TDH171" s="72"/>
      <c r="TDI171" s="72"/>
      <c r="TDJ171" s="72"/>
      <c r="TDK171" s="72"/>
      <c r="TDL171" s="72"/>
      <c r="TDM171" s="72"/>
      <c r="TDN171" s="72"/>
      <c r="TDO171" s="72"/>
      <c r="TDP171" s="72"/>
      <c r="TDQ171" s="72"/>
      <c r="TDR171" s="72"/>
      <c r="TDS171" s="72"/>
      <c r="TDT171" s="72"/>
      <c r="TDU171" s="72"/>
      <c r="TDV171" s="72"/>
      <c r="TDW171" s="72"/>
      <c r="TDX171" s="72"/>
      <c r="TDY171" s="72"/>
      <c r="TDZ171" s="72"/>
      <c r="TEA171" s="72"/>
      <c r="TEB171" s="72"/>
      <c r="TEC171" s="72"/>
      <c r="TED171" s="72"/>
      <c r="TEE171" s="72"/>
      <c r="TEF171" s="72"/>
      <c r="TEG171" s="72"/>
      <c r="TEH171" s="72"/>
      <c r="TEI171" s="72"/>
      <c r="TEJ171" s="72"/>
      <c r="TEK171" s="72"/>
      <c r="TEL171" s="72"/>
      <c r="TEM171" s="72"/>
      <c r="TEN171" s="72"/>
      <c r="TEO171" s="72"/>
      <c r="TEP171" s="72"/>
      <c r="TEQ171" s="72"/>
      <c r="TER171" s="72"/>
      <c r="TES171" s="72"/>
      <c r="TET171" s="72"/>
      <c r="TEU171" s="72"/>
      <c r="TEV171" s="72"/>
      <c r="TEW171" s="72"/>
      <c r="TEX171" s="72"/>
      <c r="TEY171" s="72"/>
      <c r="TEZ171" s="72"/>
      <c r="TFA171" s="72"/>
      <c r="TFB171" s="72"/>
      <c r="TFC171" s="72"/>
      <c r="TFD171" s="72"/>
      <c r="TFE171" s="72"/>
      <c r="TFF171" s="72"/>
      <c r="TFG171" s="72"/>
      <c r="TFH171" s="72"/>
      <c r="TFI171" s="72"/>
      <c r="TFJ171" s="72"/>
      <c r="TFK171" s="72"/>
      <c r="TFL171" s="72"/>
      <c r="TFM171" s="72"/>
      <c r="TFN171" s="72"/>
      <c r="TFO171" s="72"/>
      <c r="TFP171" s="72"/>
      <c r="TFQ171" s="72"/>
      <c r="TFR171" s="72"/>
      <c r="TFS171" s="72"/>
      <c r="TFT171" s="72"/>
      <c r="TFU171" s="72"/>
      <c r="TFV171" s="72"/>
      <c r="TFW171" s="72"/>
      <c r="TFX171" s="72"/>
      <c r="TFY171" s="72"/>
      <c r="TFZ171" s="72"/>
      <c r="TGA171" s="72"/>
      <c r="TGB171" s="72"/>
      <c r="TGC171" s="72"/>
      <c r="TGD171" s="72"/>
      <c r="TGE171" s="72"/>
      <c r="TGF171" s="72"/>
      <c r="TGG171" s="72"/>
      <c r="TGH171" s="72"/>
      <c r="TGI171" s="72"/>
      <c r="TGJ171" s="72"/>
      <c r="TGK171" s="72"/>
      <c r="TGL171" s="72"/>
      <c r="TGM171" s="72"/>
      <c r="TGN171" s="72"/>
      <c r="TGO171" s="72"/>
      <c r="TGP171" s="72"/>
      <c r="TGQ171" s="72"/>
      <c r="TGR171" s="72"/>
      <c r="TGS171" s="72"/>
      <c r="TGT171" s="72"/>
      <c r="TGU171" s="72"/>
      <c r="TGV171" s="72"/>
      <c r="TGW171" s="72"/>
      <c r="TGX171" s="72"/>
      <c r="TGY171" s="72"/>
      <c r="TGZ171" s="72"/>
      <c r="THA171" s="72"/>
      <c r="THB171" s="72"/>
      <c r="THC171" s="72"/>
      <c r="THD171" s="72"/>
      <c r="THE171" s="72"/>
      <c r="THF171" s="72"/>
      <c r="THG171" s="72"/>
      <c r="THH171" s="72"/>
      <c r="THI171" s="72"/>
      <c r="THJ171" s="72"/>
      <c r="THK171" s="72"/>
      <c r="THL171" s="72"/>
      <c r="THM171" s="72"/>
      <c r="THN171" s="72"/>
      <c r="THO171" s="72"/>
      <c r="THP171" s="72"/>
      <c r="THQ171" s="72"/>
      <c r="THR171" s="72"/>
      <c r="THS171" s="72"/>
      <c r="THT171" s="72"/>
      <c r="THU171" s="72"/>
      <c r="THV171" s="72"/>
      <c r="THW171" s="72"/>
      <c r="THX171" s="72"/>
      <c r="THY171" s="72"/>
      <c r="THZ171" s="72"/>
      <c r="TIA171" s="72"/>
      <c r="TIB171" s="72"/>
      <c r="TIC171" s="72"/>
      <c r="TID171" s="72"/>
      <c r="TIE171" s="72"/>
      <c r="TIF171" s="72"/>
      <c r="TIG171" s="72"/>
      <c r="TIH171" s="72"/>
      <c r="TII171" s="72"/>
      <c r="TIJ171" s="72"/>
      <c r="TIK171" s="72"/>
      <c r="TIL171" s="72"/>
      <c r="TIM171" s="72"/>
      <c r="TIN171" s="72"/>
      <c r="TIO171" s="72"/>
      <c r="TIP171" s="72"/>
      <c r="TIQ171" s="72"/>
      <c r="TIR171" s="72"/>
      <c r="TIS171" s="72"/>
      <c r="TIT171" s="72"/>
      <c r="TIU171" s="72"/>
      <c r="TIV171" s="72"/>
      <c r="TIW171" s="72"/>
      <c r="TIX171" s="72"/>
      <c r="TIY171" s="72"/>
      <c r="TIZ171" s="72"/>
      <c r="TJA171" s="72"/>
      <c r="TJB171" s="72"/>
      <c r="TJC171" s="72"/>
      <c r="TJD171" s="72"/>
      <c r="TJE171" s="72"/>
      <c r="TJF171" s="72"/>
      <c r="TJG171" s="72"/>
      <c r="TJH171" s="72"/>
      <c r="TJI171" s="72"/>
      <c r="TJJ171" s="72"/>
      <c r="TJK171" s="72"/>
      <c r="TJL171" s="72"/>
      <c r="TJM171" s="72"/>
      <c r="TJN171" s="72"/>
      <c r="TJO171" s="72"/>
      <c r="TJP171" s="72"/>
      <c r="TJQ171" s="72"/>
      <c r="TJR171" s="72"/>
      <c r="TJS171" s="72"/>
      <c r="TJT171" s="72"/>
      <c r="TJU171" s="72"/>
      <c r="TJV171" s="72"/>
      <c r="TJW171" s="72"/>
      <c r="TJX171" s="72"/>
      <c r="TJY171" s="72"/>
      <c r="TJZ171" s="72"/>
      <c r="TKA171" s="72"/>
      <c r="TKB171" s="72"/>
      <c r="TKC171" s="72"/>
      <c r="TKD171" s="72"/>
      <c r="TKE171" s="72"/>
      <c r="TKF171" s="72"/>
      <c r="TKG171" s="72"/>
      <c r="TKH171" s="72"/>
      <c r="TKI171" s="72"/>
      <c r="TKJ171" s="72"/>
      <c r="TKK171" s="72"/>
      <c r="TKL171" s="72"/>
      <c r="TKM171" s="72"/>
      <c r="TKN171" s="72"/>
      <c r="TKO171" s="72"/>
      <c r="TKP171" s="72"/>
      <c r="TKQ171" s="72"/>
      <c r="TKR171" s="72"/>
      <c r="TKS171" s="72"/>
      <c r="TKT171" s="72"/>
      <c r="TKU171" s="72"/>
      <c r="TKV171" s="72"/>
      <c r="TKW171" s="72"/>
      <c r="TKX171" s="72"/>
      <c r="TKY171" s="72"/>
      <c r="TKZ171" s="72"/>
      <c r="TLA171" s="72"/>
      <c r="TLB171" s="72"/>
      <c r="TLC171" s="72"/>
      <c r="TLD171" s="72"/>
      <c r="TLE171" s="72"/>
      <c r="TLF171" s="72"/>
      <c r="TLG171" s="72"/>
      <c r="TLH171" s="72"/>
      <c r="TLI171" s="72"/>
      <c r="TLJ171" s="72"/>
      <c r="TLK171" s="72"/>
      <c r="TLL171" s="72"/>
      <c r="TLM171" s="72"/>
      <c r="TLN171" s="72"/>
      <c r="TLO171" s="72"/>
      <c r="TLP171" s="72"/>
      <c r="TLQ171" s="72"/>
      <c r="TLR171" s="72"/>
      <c r="TLS171" s="72"/>
      <c r="TLT171" s="72"/>
      <c r="TLU171" s="72"/>
      <c r="TLV171" s="72"/>
      <c r="TLW171" s="72"/>
      <c r="TLX171" s="72"/>
      <c r="TLY171" s="72"/>
      <c r="TLZ171" s="72"/>
      <c r="TMA171" s="72"/>
      <c r="TMB171" s="72"/>
      <c r="TMC171" s="72"/>
      <c r="TMD171" s="72"/>
      <c r="TME171" s="72"/>
      <c r="TMF171" s="72"/>
      <c r="TMG171" s="72"/>
      <c r="TMH171" s="72"/>
      <c r="TMI171" s="72"/>
      <c r="TMJ171" s="72"/>
      <c r="TMK171" s="72"/>
      <c r="TML171" s="72"/>
      <c r="TMM171" s="72"/>
      <c r="TMN171" s="72"/>
      <c r="TMO171" s="72"/>
      <c r="TMP171" s="72"/>
      <c r="TMQ171" s="72"/>
      <c r="TMR171" s="72"/>
      <c r="TMS171" s="72"/>
      <c r="TMT171" s="72"/>
      <c r="TMU171" s="72"/>
      <c r="TMV171" s="72"/>
      <c r="TMW171" s="72"/>
      <c r="TMX171" s="72"/>
      <c r="TMY171" s="72"/>
      <c r="TMZ171" s="72"/>
      <c r="TNA171" s="72"/>
      <c r="TNB171" s="72"/>
      <c r="TNC171" s="72"/>
      <c r="TND171" s="72"/>
      <c r="TNE171" s="72"/>
      <c r="TNF171" s="72"/>
      <c r="TNG171" s="72"/>
      <c r="TNH171" s="72"/>
      <c r="TNI171" s="72"/>
      <c r="TNJ171" s="72"/>
      <c r="TNK171" s="72"/>
      <c r="TNL171" s="72"/>
      <c r="TNM171" s="72"/>
      <c r="TNN171" s="72"/>
      <c r="TNO171" s="72"/>
      <c r="TNP171" s="72"/>
      <c r="TNQ171" s="72"/>
      <c r="TNR171" s="72"/>
      <c r="TNS171" s="72"/>
      <c r="TNT171" s="72"/>
      <c r="TNU171" s="72"/>
      <c r="TNV171" s="72"/>
      <c r="TNW171" s="72"/>
      <c r="TNX171" s="72"/>
      <c r="TNY171" s="72"/>
      <c r="TNZ171" s="72"/>
      <c r="TOA171" s="72"/>
      <c r="TOB171" s="72"/>
      <c r="TOC171" s="72"/>
      <c r="TOD171" s="72"/>
      <c r="TOE171" s="72"/>
      <c r="TOF171" s="72"/>
      <c r="TOG171" s="72"/>
      <c r="TOH171" s="72"/>
      <c r="TOI171" s="72"/>
      <c r="TOJ171" s="72"/>
      <c r="TOK171" s="72"/>
      <c r="TOL171" s="72"/>
      <c r="TOM171" s="72"/>
      <c r="TON171" s="72"/>
      <c r="TOO171" s="72"/>
      <c r="TOP171" s="72"/>
      <c r="TOQ171" s="72"/>
      <c r="TOR171" s="72"/>
      <c r="TOS171" s="72"/>
      <c r="TOT171" s="72"/>
      <c r="TOU171" s="72"/>
      <c r="TOV171" s="72"/>
      <c r="TOW171" s="72"/>
      <c r="TOX171" s="72"/>
      <c r="TOY171" s="72"/>
      <c r="TOZ171" s="72"/>
      <c r="TPA171" s="72"/>
      <c r="TPB171" s="72"/>
      <c r="TPC171" s="72"/>
      <c r="TPD171" s="72"/>
      <c r="TPE171" s="72"/>
      <c r="TPF171" s="72"/>
      <c r="TPG171" s="72"/>
      <c r="TPH171" s="72"/>
      <c r="TPI171" s="72"/>
      <c r="TPJ171" s="72"/>
      <c r="TPK171" s="72"/>
      <c r="TPL171" s="72"/>
      <c r="TPM171" s="72"/>
      <c r="TPN171" s="72"/>
      <c r="TPO171" s="72"/>
      <c r="TPP171" s="72"/>
      <c r="TPQ171" s="72"/>
      <c r="TPR171" s="72"/>
      <c r="TPS171" s="72"/>
      <c r="TPT171" s="72"/>
      <c r="TPU171" s="72"/>
      <c r="TPV171" s="72"/>
      <c r="TPW171" s="72"/>
      <c r="TPX171" s="72"/>
      <c r="TPY171" s="72"/>
      <c r="TPZ171" s="72"/>
      <c r="TQA171" s="72"/>
      <c r="TQB171" s="72"/>
      <c r="TQC171" s="72"/>
      <c r="TQD171" s="72"/>
      <c r="TQE171" s="72"/>
      <c r="TQF171" s="72"/>
      <c r="TQG171" s="72"/>
      <c r="TQH171" s="72"/>
      <c r="TQI171" s="72"/>
      <c r="TQJ171" s="72"/>
      <c r="TQK171" s="72"/>
      <c r="TQL171" s="72"/>
      <c r="TQM171" s="72"/>
      <c r="TQN171" s="72"/>
      <c r="TQO171" s="72"/>
      <c r="TQP171" s="72"/>
      <c r="TQQ171" s="72"/>
      <c r="TQR171" s="72"/>
      <c r="TQS171" s="72"/>
      <c r="TQT171" s="72"/>
      <c r="TQU171" s="72"/>
      <c r="TQV171" s="72"/>
      <c r="TQW171" s="72"/>
      <c r="TQX171" s="72"/>
      <c r="TQY171" s="72"/>
      <c r="TQZ171" s="72"/>
      <c r="TRA171" s="72"/>
      <c r="TRB171" s="72"/>
      <c r="TRC171" s="72"/>
      <c r="TRD171" s="72"/>
      <c r="TRE171" s="72"/>
      <c r="TRF171" s="72"/>
      <c r="TRG171" s="72"/>
      <c r="TRH171" s="72"/>
      <c r="TRI171" s="72"/>
      <c r="TRJ171" s="72"/>
      <c r="TRK171" s="72"/>
      <c r="TRL171" s="72"/>
      <c r="TRM171" s="72"/>
      <c r="TRN171" s="72"/>
      <c r="TRO171" s="72"/>
      <c r="TRP171" s="72"/>
      <c r="TRQ171" s="72"/>
      <c r="TRR171" s="72"/>
      <c r="TRS171" s="72"/>
      <c r="TRT171" s="72"/>
      <c r="TRU171" s="72"/>
      <c r="TRV171" s="72"/>
      <c r="TRW171" s="72"/>
      <c r="TRX171" s="72"/>
      <c r="TRY171" s="72"/>
      <c r="TRZ171" s="72"/>
      <c r="TSA171" s="72"/>
      <c r="TSB171" s="72"/>
      <c r="TSC171" s="72"/>
      <c r="TSD171" s="72"/>
      <c r="TSE171" s="72"/>
      <c r="TSF171" s="72"/>
      <c r="TSG171" s="72"/>
      <c r="TSH171" s="72"/>
      <c r="TSI171" s="72"/>
      <c r="TSJ171" s="72"/>
      <c r="TSK171" s="72"/>
      <c r="TSL171" s="72"/>
      <c r="TSM171" s="72"/>
      <c r="TSN171" s="72"/>
      <c r="TSO171" s="72"/>
      <c r="TSP171" s="72"/>
      <c r="TSQ171" s="72"/>
      <c r="TSR171" s="72"/>
      <c r="TSS171" s="72"/>
      <c r="TST171" s="72"/>
      <c r="TSU171" s="72"/>
      <c r="TSV171" s="72"/>
      <c r="TSW171" s="72"/>
      <c r="TSX171" s="72"/>
      <c r="TSY171" s="72"/>
      <c r="TSZ171" s="72"/>
      <c r="TTA171" s="72"/>
      <c r="TTB171" s="72"/>
      <c r="TTC171" s="72"/>
      <c r="TTD171" s="72"/>
      <c r="TTE171" s="72"/>
      <c r="TTF171" s="72"/>
      <c r="TTG171" s="72"/>
      <c r="TTH171" s="72"/>
      <c r="TTI171" s="72"/>
      <c r="TTJ171" s="72"/>
      <c r="TTK171" s="72"/>
      <c r="TTL171" s="72"/>
      <c r="TTM171" s="72"/>
      <c r="TTN171" s="72"/>
      <c r="TTO171" s="72"/>
      <c r="TTP171" s="72"/>
      <c r="TTQ171" s="72"/>
      <c r="TTR171" s="72"/>
      <c r="TTS171" s="72"/>
      <c r="TTT171" s="72"/>
      <c r="TTU171" s="72"/>
      <c r="TTV171" s="72"/>
      <c r="TTW171" s="72"/>
      <c r="TTX171" s="72"/>
      <c r="TTY171" s="72"/>
      <c r="TTZ171" s="72"/>
      <c r="TUA171" s="72"/>
      <c r="TUB171" s="72"/>
      <c r="TUC171" s="72"/>
      <c r="TUD171" s="72"/>
      <c r="TUE171" s="72"/>
      <c r="TUF171" s="72"/>
      <c r="TUG171" s="72"/>
      <c r="TUH171" s="72"/>
      <c r="TUI171" s="72"/>
      <c r="TUJ171" s="72"/>
      <c r="TUK171" s="72"/>
      <c r="TUL171" s="72"/>
      <c r="TUM171" s="72"/>
      <c r="TUN171" s="72"/>
      <c r="TUO171" s="72"/>
      <c r="TUP171" s="72"/>
      <c r="TUQ171" s="72"/>
      <c r="TUR171" s="72"/>
      <c r="TUS171" s="72"/>
      <c r="TUT171" s="72"/>
      <c r="TUU171" s="72"/>
      <c r="TUV171" s="72"/>
      <c r="TUW171" s="72"/>
      <c r="TUX171" s="72"/>
      <c r="TUY171" s="72"/>
      <c r="TUZ171" s="72"/>
      <c r="TVA171" s="72"/>
      <c r="TVB171" s="72"/>
      <c r="TVC171" s="72"/>
      <c r="TVD171" s="72"/>
      <c r="TVE171" s="72"/>
      <c r="TVF171" s="72"/>
      <c r="TVG171" s="72"/>
      <c r="TVH171" s="72"/>
      <c r="TVI171" s="72"/>
      <c r="TVJ171" s="72"/>
      <c r="TVK171" s="72"/>
      <c r="TVL171" s="72"/>
      <c r="TVM171" s="72"/>
      <c r="TVN171" s="72"/>
      <c r="TVO171" s="72"/>
      <c r="TVP171" s="72"/>
      <c r="TVQ171" s="72"/>
      <c r="TVR171" s="72"/>
      <c r="TVS171" s="72"/>
      <c r="TVT171" s="72"/>
      <c r="TVU171" s="72"/>
      <c r="TVV171" s="72"/>
      <c r="TVW171" s="72"/>
      <c r="TVX171" s="72"/>
      <c r="TVY171" s="72"/>
      <c r="TVZ171" s="72"/>
      <c r="TWA171" s="72"/>
      <c r="TWB171" s="72"/>
      <c r="TWC171" s="72"/>
      <c r="TWD171" s="72"/>
      <c r="TWE171" s="72"/>
      <c r="TWF171" s="72"/>
      <c r="TWG171" s="72"/>
      <c r="TWH171" s="72"/>
      <c r="TWI171" s="72"/>
      <c r="TWJ171" s="72"/>
      <c r="TWK171" s="72"/>
      <c r="TWL171" s="72"/>
      <c r="TWM171" s="72"/>
      <c r="TWN171" s="72"/>
      <c r="TWO171" s="72"/>
      <c r="TWP171" s="72"/>
      <c r="TWQ171" s="72"/>
      <c r="TWR171" s="72"/>
      <c r="TWS171" s="72"/>
      <c r="TWT171" s="72"/>
      <c r="TWU171" s="72"/>
      <c r="TWV171" s="72"/>
      <c r="TWW171" s="72"/>
      <c r="TWX171" s="72"/>
      <c r="TWY171" s="72"/>
      <c r="TWZ171" s="72"/>
      <c r="TXA171" s="72"/>
      <c r="TXB171" s="72"/>
      <c r="TXC171" s="72"/>
      <c r="TXD171" s="72"/>
      <c r="TXE171" s="72"/>
      <c r="TXF171" s="72"/>
      <c r="TXG171" s="72"/>
      <c r="TXH171" s="72"/>
      <c r="TXI171" s="72"/>
      <c r="TXJ171" s="72"/>
      <c r="TXK171" s="72"/>
      <c r="TXL171" s="72"/>
      <c r="TXM171" s="72"/>
      <c r="TXN171" s="72"/>
      <c r="TXO171" s="72"/>
      <c r="TXP171" s="72"/>
      <c r="TXQ171" s="72"/>
      <c r="TXR171" s="72"/>
      <c r="TXS171" s="72"/>
      <c r="TXT171" s="72"/>
      <c r="TXU171" s="72"/>
      <c r="TXV171" s="72"/>
      <c r="TXW171" s="72"/>
      <c r="TXX171" s="72"/>
      <c r="TXY171" s="72"/>
      <c r="TXZ171" s="72"/>
      <c r="TYA171" s="72"/>
      <c r="TYB171" s="72"/>
      <c r="TYC171" s="72"/>
      <c r="TYD171" s="72"/>
      <c r="TYE171" s="72"/>
      <c r="TYF171" s="72"/>
      <c r="TYG171" s="72"/>
      <c r="TYH171" s="72"/>
      <c r="TYI171" s="72"/>
      <c r="TYJ171" s="72"/>
      <c r="TYK171" s="72"/>
      <c r="TYL171" s="72"/>
      <c r="TYM171" s="72"/>
      <c r="TYN171" s="72"/>
      <c r="TYO171" s="72"/>
      <c r="TYP171" s="72"/>
      <c r="TYQ171" s="72"/>
      <c r="TYR171" s="72"/>
      <c r="TYS171" s="72"/>
      <c r="TYT171" s="72"/>
      <c r="TYU171" s="72"/>
      <c r="TYV171" s="72"/>
      <c r="TYW171" s="72"/>
      <c r="TYX171" s="72"/>
      <c r="TYY171" s="72"/>
      <c r="TYZ171" s="72"/>
      <c r="TZA171" s="72"/>
      <c r="TZB171" s="72"/>
      <c r="TZC171" s="72"/>
      <c r="TZD171" s="72"/>
      <c r="TZE171" s="72"/>
      <c r="TZF171" s="72"/>
      <c r="TZG171" s="72"/>
      <c r="TZH171" s="72"/>
      <c r="TZI171" s="72"/>
      <c r="TZJ171" s="72"/>
      <c r="TZK171" s="72"/>
      <c r="TZL171" s="72"/>
      <c r="TZM171" s="72"/>
      <c r="TZN171" s="72"/>
      <c r="TZO171" s="72"/>
      <c r="TZP171" s="72"/>
      <c r="TZQ171" s="72"/>
      <c r="TZR171" s="72"/>
      <c r="TZS171" s="72"/>
      <c r="TZT171" s="72"/>
      <c r="TZU171" s="72"/>
      <c r="TZV171" s="72"/>
      <c r="TZW171" s="72"/>
      <c r="TZX171" s="72"/>
      <c r="TZY171" s="72"/>
      <c r="TZZ171" s="72"/>
      <c r="UAA171" s="72"/>
      <c r="UAB171" s="72"/>
      <c r="UAC171" s="72"/>
      <c r="UAD171" s="72"/>
      <c r="UAE171" s="72"/>
      <c r="UAF171" s="72"/>
      <c r="UAG171" s="72"/>
      <c r="UAH171" s="72"/>
      <c r="UAI171" s="72"/>
      <c r="UAJ171" s="72"/>
      <c r="UAK171" s="72"/>
      <c r="UAL171" s="72"/>
      <c r="UAM171" s="72"/>
      <c r="UAN171" s="72"/>
      <c r="UAO171" s="72"/>
      <c r="UAP171" s="72"/>
      <c r="UAQ171" s="72"/>
      <c r="UAR171" s="72"/>
      <c r="UAS171" s="72"/>
      <c r="UAT171" s="72"/>
      <c r="UAU171" s="72"/>
      <c r="UAV171" s="72"/>
      <c r="UAW171" s="72"/>
      <c r="UAX171" s="72"/>
      <c r="UAY171" s="72"/>
      <c r="UAZ171" s="72"/>
      <c r="UBA171" s="72"/>
      <c r="UBB171" s="72"/>
      <c r="UBC171" s="72"/>
      <c r="UBD171" s="72"/>
      <c r="UBE171" s="72"/>
      <c r="UBF171" s="72"/>
      <c r="UBG171" s="72"/>
      <c r="UBH171" s="72"/>
      <c r="UBI171" s="72"/>
      <c r="UBJ171" s="72"/>
      <c r="UBK171" s="72"/>
      <c r="UBL171" s="72"/>
      <c r="UBM171" s="72"/>
      <c r="UBN171" s="72"/>
      <c r="UBO171" s="72"/>
      <c r="UBP171" s="72"/>
      <c r="UBQ171" s="72"/>
      <c r="UBR171" s="72"/>
      <c r="UBS171" s="72"/>
      <c r="UBT171" s="72"/>
      <c r="UBU171" s="72"/>
      <c r="UBV171" s="72"/>
      <c r="UBW171" s="72"/>
      <c r="UBX171" s="72"/>
      <c r="UBY171" s="72"/>
      <c r="UBZ171" s="72"/>
      <c r="UCA171" s="72"/>
      <c r="UCB171" s="72"/>
      <c r="UCC171" s="72"/>
      <c r="UCD171" s="72"/>
      <c r="UCE171" s="72"/>
      <c r="UCF171" s="72"/>
      <c r="UCG171" s="72"/>
      <c r="UCH171" s="72"/>
      <c r="UCI171" s="72"/>
      <c r="UCJ171" s="72"/>
      <c r="UCK171" s="72"/>
      <c r="UCL171" s="72"/>
      <c r="UCM171" s="72"/>
      <c r="UCN171" s="72"/>
      <c r="UCO171" s="72"/>
      <c r="UCP171" s="72"/>
      <c r="UCQ171" s="72"/>
      <c r="UCR171" s="72"/>
      <c r="UCS171" s="72"/>
      <c r="UCT171" s="72"/>
      <c r="UCU171" s="72"/>
      <c r="UCV171" s="72"/>
      <c r="UCW171" s="72"/>
      <c r="UCX171" s="72"/>
      <c r="UCY171" s="72"/>
      <c r="UCZ171" s="72"/>
      <c r="UDA171" s="72"/>
      <c r="UDB171" s="72"/>
      <c r="UDC171" s="72"/>
      <c r="UDD171" s="72"/>
      <c r="UDE171" s="72"/>
      <c r="UDF171" s="72"/>
      <c r="UDG171" s="72"/>
      <c r="UDH171" s="72"/>
      <c r="UDI171" s="72"/>
      <c r="UDJ171" s="72"/>
      <c r="UDK171" s="72"/>
      <c r="UDL171" s="72"/>
      <c r="UDM171" s="72"/>
      <c r="UDN171" s="72"/>
      <c r="UDO171" s="72"/>
      <c r="UDP171" s="72"/>
      <c r="UDQ171" s="72"/>
      <c r="UDR171" s="72"/>
      <c r="UDS171" s="72"/>
      <c r="UDT171" s="72"/>
      <c r="UDU171" s="72"/>
      <c r="UDV171" s="72"/>
      <c r="UDW171" s="72"/>
      <c r="UDX171" s="72"/>
      <c r="UDY171" s="72"/>
      <c r="UDZ171" s="72"/>
      <c r="UEA171" s="72"/>
      <c r="UEB171" s="72"/>
      <c r="UEC171" s="72"/>
      <c r="UED171" s="72"/>
      <c r="UEE171" s="72"/>
      <c r="UEF171" s="72"/>
      <c r="UEG171" s="72"/>
      <c r="UEH171" s="72"/>
      <c r="UEI171" s="72"/>
      <c r="UEJ171" s="72"/>
      <c r="UEK171" s="72"/>
      <c r="UEL171" s="72"/>
      <c r="UEM171" s="72"/>
      <c r="UEN171" s="72"/>
      <c r="UEO171" s="72"/>
      <c r="UEP171" s="72"/>
      <c r="UEQ171" s="72"/>
      <c r="UER171" s="72"/>
      <c r="UES171" s="72"/>
      <c r="UET171" s="72"/>
      <c r="UEU171" s="72"/>
      <c r="UEV171" s="72"/>
      <c r="UEW171" s="72"/>
      <c r="UEX171" s="72"/>
      <c r="UEY171" s="72"/>
      <c r="UEZ171" s="72"/>
      <c r="UFA171" s="72"/>
      <c r="UFB171" s="72"/>
      <c r="UFC171" s="72"/>
      <c r="UFD171" s="72"/>
      <c r="UFE171" s="72"/>
      <c r="UFF171" s="72"/>
      <c r="UFG171" s="72"/>
      <c r="UFH171" s="72"/>
      <c r="UFI171" s="72"/>
      <c r="UFJ171" s="72"/>
      <c r="UFK171" s="72"/>
      <c r="UFL171" s="72"/>
      <c r="UFM171" s="72"/>
      <c r="UFN171" s="72"/>
      <c r="UFO171" s="72"/>
      <c r="UFP171" s="72"/>
      <c r="UFQ171" s="72"/>
      <c r="UFR171" s="72"/>
      <c r="UFS171" s="72"/>
      <c r="UFT171" s="72"/>
      <c r="UFU171" s="72"/>
      <c r="UFV171" s="72"/>
      <c r="UFW171" s="72"/>
      <c r="UFX171" s="72"/>
      <c r="UFY171" s="72"/>
      <c r="UFZ171" s="72"/>
      <c r="UGA171" s="72"/>
      <c r="UGB171" s="72"/>
      <c r="UGC171" s="72"/>
      <c r="UGD171" s="72"/>
      <c r="UGE171" s="72"/>
      <c r="UGF171" s="72"/>
      <c r="UGG171" s="72"/>
      <c r="UGH171" s="72"/>
      <c r="UGI171" s="72"/>
      <c r="UGJ171" s="72"/>
      <c r="UGK171" s="72"/>
      <c r="UGL171" s="72"/>
      <c r="UGM171" s="72"/>
      <c r="UGN171" s="72"/>
      <c r="UGO171" s="72"/>
      <c r="UGP171" s="72"/>
      <c r="UGQ171" s="72"/>
      <c r="UGR171" s="72"/>
      <c r="UGS171" s="72"/>
      <c r="UGT171" s="72"/>
      <c r="UGU171" s="72"/>
      <c r="UGV171" s="72"/>
      <c r="UGW171" s="72"/>
      <c r="UGX171" s="72"/>
      <c r="UGY171" s="72"/>
      <c r="UGZ171" s="72"/>
      <c r="UHA171" s="72"/>
      <c r="UHB171" s="72"/>
      <c r="UHC171" s="72"/>
      <c r="UHD171" s="72"/>
      <c r="UHE171" s="72"/>
      <c r="UHF171" s="72"/>
      <c r="UHG171" s="72"/>
      <c r="UHH171" s="72"/>
      <c r="UHI171" s="72"/>
      <c r="UHJ171" s="72"/>
      <c r="UHK171" s="72"/>
      <c r="UHL171" s="72"/>
      <c r="UHM171" s="72"/>
      <c r="UHN171" s="72"/>
      <c r="UHO171" s="72"/>
      <c r="UHP171" s="72"/>
      <c r="UHQ171" s="72"/>
      <c r="UHR171" s="72"/>
      <c r="UHS171" s="72"/>
      <c r="UHT171" s="72"/>
      <c r="UHU171" s="72"/>
      <c r="UHV171" s="72"/>
      <c r="UHW171" s="72"/>
      <c r="UHX171" s="72"/>
      <c r="UHY171" s="72"/>
      <c r="UHZ171" s="72"/>
      <c r="UIA171" s="72"/>
      <c r="UIB171" s="72"/>
      <c r="UIC171" s="72"/>
      <c r="UID171" s="72"/>
      <c r="UIE171" s="72"/>
      <c r="UIF171" s="72"/>
      <c r="UIG171" s="72"/>
      <c r="UIH171" s="72"/>
      <c r="UII171" s="72"/>
      <c r="UIJ171" s="72"/>
      <c r="UIK171" s="72"/>
      <c r="UIL171" s="72"/>
      <c r="UIM171" s="72"/>
      <c r="UIN171" s="72"/>
      <c r="UIO171" s="72"/>
      <c r="UIP171" s="72"/>
      <c r="UIQ171" s="72"/>
      <c r="UIR171" s="72"/>
      <c r="UIS171" s="72"/>
      <c r="UIT171" s="72"/>
      <c r="UIU171" s="72"/>
      <c r="UIV171" s="72"/>
      <c r="UIW171" s="72"/>
      <c r="UIX171" s="72"/>
      <c r="UIY171" s="72"/>
      <c r="UIZ171" s="72"/>
      <c r="UJA171" s="72"/>
      <c r="UJB171" s="72"/>
      <c r="UJC171" s="72"/>
      <c r="UJD171" s="72"/>
      <c r="UJE171" s="72"/>
      <c r="UJF171" s="72"/>
      <c r="UJG171" s="72"/>
      <c r="UJH171" s="72"/>
      <c r="UJI171" s="72"/>
      <c r="UJJ171" s="72"/>
      <c r="UJK171" s="72"/>
      <c r="UJL171" s="72"/>
      <c r="UJM171" s="72"/>
      <c r="UJN171" s="72"/>
      <c r="UJO171" s="72"/>
      <c r="UJP171" s="72"/>
      <c r="UJQ171" s="72"/>
      <c r="UJR171" s="72"/>
      <c r="UJS171" s="72"/>
      <c r="UJT171" s="72"/>
      <c r="UJU171" s="72"/>
      <c r="UJV171" s="72"/>
      <c r="UJW171" s="72"/>
      <c r="UJX171" s="72"/>
      <c r="UJY171" s="72"/>
      <c r="UJZ171" s="72"/>
      <c r="UKA171" s="72"/>
      <c r="UKB171" s="72"/>
      <c r="UKC171" s="72"/>
      <c r="UKD171" s="72"/>
      <c r="UKE171" s="72"/>
      <c r="UKF171" s="72"/>
      <c r="UKG171" s="72"/>
      <c r="UKH171" s="72"/>
      <c r="UKI171" s="72"/>
      <c r="UKJ171" s="72"/>
      <c r="UKK171" s="72"/>
      <c r="UKL171" s="72"/>
      <c r="UKM171" s="72"/>
      <c r="UKN171" s="72"/>
      <c r="UKO171" s="72"/>
      <c r="UKP171" s="72"/>
      <c r="UKQ171" s="72"/>
      <c r="UKR171" s="72"/>
      <c r="UKS171" s="72"/>
      <c r="UKT171" s="72"/>
      <c r="UKU171" s="72"/>
      <c r="UKV171" s="72"/>
      <c r="UKW171" s="72"/>
      <c r="UKX171" s="72"/>
      <c r="UKY171" s="72"/>
      <c r="UKZ171" s="72"/>
      <c r="ULA171" s="72"/>
      <c r="ULB171" s="72"/>
      <c r="ULC171" s="72"/>
      <c r="ULD171" s="72"/>
      <c r="ULE171" s="72"/>
      <c r="ULF171" s="72"/>
      <c r="ULG171" s="72"/>
      <c r="ULH171" s="72"/>
      <c r="ULI171" s="72"/>
      <c r="ULJ171" s="72"/>
      <c r="ULK171" s="72"/>
      <c r="ULL171" s="72"/>
      <c r="ULM171" s="72"/>
      <c r="ULN171" s="72"/>
      <c r="ULO171" s="72"/>
      <c r="ULP171" s="72"/>
      <c r="ULQ171" s="72"/>
      <c r="ULR171" s="72"/>
      <c r="ULS171" s="72"/>
      <c r="ULT171" s="72"/>
      <c r="ULU171" s="72"/>
      <c r="ULV171" s="72"/>
      <c r="ULW171" s="72"/>
      <c r="ULX171" s="72"/>
      <c r="ULY171" s="72"/>
      <c r="ULZ171" s="72"/>
      <c r="UMA171" s="72"/>
      <c r="UMB171" s="72"/>
      <c r="UMC171" s="72"/>
      <c r="UMD171" s="72"/>
      <c r="UME171" s="72"/>
      <c r="UMF171" s="72"/>
      <c r="UMG171" s="72"/>
      <c r="UMH171" s="72"/>
      <c r="UMI171" s="72"/>
      <c r="UMJ171" s="72"/>
      <c r="UMK171" s="72"/>
      <c r="UML171" s="72"/>
      <c r="UMM171" s="72"/>
      <c r="UMN171" s="72"/>
      <c r="UMO171" s="72"/>
      <c r="UMP171" s="72"/>
      <c r="UMQ171" s="72"/>
      <c r="UMR171" s="72"/>
      <c r="UMS171" s="72"/>
      <c r="UMT171" s="72"/>
      <c r="UMU171" s="72"/>
      <c r="UMV171" s="72"/>
      <c r="UMW171" s="72"/>
      <c r="UMX171" s="72"/>
      <c r="UMY171" s="72"/>
      <c r="UMZ171" s="72"/>
      <c r="UNA171" s="72"/>
      <c r="UNB171" s="72"/>
      <c r="UNC171" s="72"/>
      <c r="UND171" s="72"/>
      <c r="UNE171" s="72"/>
      <c r="UNF171" s="72"/>
      <c r="UNG171" s="72"/>
      <c r="UNH171" s="72"/>
      <c r="UNI171" s="72"/>
      <c r="UNJ171" s="72"/>
      <c r="UNK171" s="72"/>
      <c r="UNL171" s="72"/>
      <c r="UNM171" s="72"/>
      <c r="UNN171" s="72"/>
      <c r="UNO171" s="72"/>
      <c r="UNP171" s="72"/>
      <c r="UNQ171" s="72"/>
      <c r="UNR171" s="72"/>
      <c r="UNS171" s="72"/>
      <c r="UNT171" s="72"/>
      <c r="UNU171" s="72"/>
      <c r="UNV171" s="72"/>
      <c r="UNW171" s="72"/>
      <c r="UNX171" s="72"/>
      <c r="UNY171" s="72"/>
      <c r="UNZ171" s="72"/>
      <c r="UOA171" s="72"/>
      <c r="UOB171" s="72"/>
      <c r="UOC171" s="72"/>
      <c r="UOD171" s="72"/>
      <c r="UOE171" s="72"/>
      <c r="UOF171" s="72"/>
      <c r="UOG171" s="72"/>
      <c r="UOH171" s="72"/>
      <c r="UOI171" s="72"/>
      <c r="UOJ171" s="72"/>
      <c r="UOK171" s="72"/>
      <c r="UOL171" s="72"/>
      <c r="UOM171" s="72"/>
      <c r="UON171" s="72"/>
      <c r="UOO171" s="72"/>
      <c r="UOP171" s="72"/>
      <c r="UOQ171" s="72"/>
      <c r="UOR171" s="72"/>
      <c r="UOS171" s="72"/>
      <c r="UOT171" s="72"/>
      <c r="UOU171" s="72"/>
      <c r="UOV171" s="72"/>
      <c r="UOW171" s="72"/>
      <c r="UOX171" s="72"/>
      <c r="UOY171" s="72"/>
      <c r="UOZ171" s="72"/>
      <c r="UPA171" s="72"/>
      <c r="UPB171" s="72"/>
      <c r="UPC171" s="72"/>
      <c r="UPD171" s="72"/>
      <c r="UPE171" s="72"/>
      <c r="UPF171" s="72"/>
      <c r="UPG171" s="72"/>
      <c r="UPH171" s="72"/>
      <c r="UPI171" s="72"/>
      <c r="UPJ171" s="72"/>
      <c r="UPK171" s="72"/>
      <c r="UPL171" s="72"/>
      <c r="UPM171" s="72"/>
      <c r="UPN171" s="72"/>
      <c r="UPO171" s="72"/>
      <c r="UPP171" s="72"/>
      <c r="UPQ171" s="72"/>
      <c r="UPR171" s="72"/>
      <c r="UPS171" s="72"/>
      <c r="UPT171" s="72"/>
      <c r="UPU171" s="72"/>
      <c r="UPV171" s="72"/>
      <c r="UPW171" s="72"/>
      <c r="UPX171" s="72"/>
      <c r="UPY171" s="72"/>
      <c r="UPZ171" s="72"/>
      <c r="UQA171" s="72"/>
      <c r="UQB171" s="72"/>
      <c r="UQC171" s="72"/>
      <c r="UQD171" s="72"/>
      <c r="UQE171" s="72"/>
      <c r="UQF171" s="72"/>
      <c r="UQG171" s="72"/>
      <c r="UQH171" s="72"/>
      <c r="UQI171" s="72"/>
      <c r="UQJ171" s="72"/>
      <c r="UQK171" s="72"/>
      <c r="UQL171" s="72"/>
      <c r="UQM171" s="72"/>
      <c r="UQN171" s="72"/>
      <c r="UQO171" s="72"/>
      <c r="UQP171" s="72"/>
      <c r="UQQ171" s="72"/>
      <c r="UQR171" s="72"/>
      <c r="UQS171" s="72"/>
      <c r="UQT171" s="72"/>
      <c r="UQU171" s="72"/>
      <c r="UQV171" s="72"/>
      <c r="UQW171" s="72"/>
      <c r="UQX171" s="72"/>
      <c r="UQY171" s="72"/>
      <c r="UQZ171" s="72"/>
      <c r="URA171" s="72"/>
      <c r="URB171" s="72"/>
      <c r="URC171" s="72"/>
      <c r="URD171" s="72"/>
      <c r="URE171" s="72"/>
      <c r="URF171" s="72"/>
      <c r="URG171" s="72"/>
      <c r="URH171" s="72"/>
      <c r="URI171" s="72"/>
      <c r="URJ171" s="72"/>
      <c r="URK171" s="72"/>
      <c r="URL171" s="72"/>
      <c r="URM171" s="72"/>
      <c r="URN171" s="72"/>
      <c r="URO171" s="72"/>
      <c r="URP171" s="72"/>
      <c r="URQ171" s="72"/>
      <c r="URR171" s="72"/>
      <c r="URS171" s="72"/>
      <c r="URT171" s="72"/>
      <c r="URU171" s="72"/>
      <c r="URV171" s="72"/>
      <c r="URW171" s="72"/>
      <c r="URX171" s="72"/>
      <c r="URY171" s="72"/>
      <c r="URZ171" s="72"/>
      <c r="USA171" s="72"/>
      <c r="USB171" s="72"/>
      <c r="USC171" s="72"/>
      <c r="USD171" s="72"/>
      <c r="USE171" s="72"/>
      <c r="USF171" s="72"/>
      <c r="USG171" s="72"/>
      <c r="USH171" s="72"/>
      <c r="USI171" s="72"/>
      <c r="USJ171" s="72"/>
      <c r="USK171" s="72"/>
      <c r="USL171" s="72"/>
      <c r="USM171" s="72"/>
      <c r="USN171" s="72"/>
      <c r="USO171" s="72"/>
      <c r="USP171" s="72"/>
      <c r="USQ171" s="72"/>
      <c r="USR171" s="72"/>
      <c r="USS171" s="72"/>
      <c r="UST171" s="72"/>
      <c r="USU171" s="72"/>
      <c r="USV171" s="72"/>
      <c r="USW171" s="72"/>
      <c r="USX171" s="72"/>
      <c r="USY171" s="72"/>
      <c r="USZ171" s="72"/>
      <c r="UTA171" s="72"/>
      <c r="UTB171" s="72"/>
      <c r="UTC171" s="72"/>
      <c r="UTD171" s="72"/>
      <c r="UTE171" s="72"/>
      <c r="UTF171" s="72"/>
      <c r="UTG171" s="72"/>
      <c r="UTH171" s="72"/>
      <c r="UTI171" s="72"/>
      <c r="UTJ171" s="72"/>
      <c r="UTK171" s="72"/>
      <c r="UTL171" s="72"/>
      <c r="UTM171" s="72"/>
      <c r="UTN171" s="72"/>
      <c r="UTO171" s="72"/>
      <c r="UTP171" s="72"/>
      <c r="UTQ171" s="72"/>
      <c r="UTR171" s="72"/>
      <c r="UTS171" s="72"/>
      <c r="UTT171" s="72"/>
      <c r="UTU171" s="72"/>
      <c r="UTV171" s="72"/>
      <c r="UTW171" s="72"/>
      <c r="UTX171" s="72"/>
      <c r="UTY171" s="72"/>
      <c r="UTZ171" s="72"/>
      <c r="UUA171" s="72"/>
      <c r="UUB171" s="72"/>
      <c r="UUC171" s="72"/>
      <c r="UUD171" s="72"/>
      <c r="UUE171" s="72"/>
      <c r="UUF171" s="72"/>
      <c r="UUG171" s="72"/>
      <c r="UUH171" s="72"/>
      <c r="UUI171" s="72"/>
      <c r="UUJ171" s="72"/>
      <c r="UUK171" s="72"/>
      <c r="UUL171" s="72"/>
      <c r="UUM171" s="72"/>
      <c r="UUN171" s="72"/>
      <c r="UUO171" s="72"/>
      <c r="UUP171" s="72"/>
      <c r="UUQ171" s="72"/>
      <c r="UUR171" s="72"/>
      <c r="UUS171" s="72"/>
      <c r="UUT171" s="72"/>
      <c r="UUU171" s="72"/>
      <c r="UUV171" s="72"/>
      <c r="UUW171" s="72"/>
      <c r="UUX171" s="72"/>
      <c r="UUY171" s="72"/>
      <c r="UUZ171" s="72"/>
      <c r="UVA171" s="72"/>
      <c r="UVB171" s="72"/>
      <c r="UVC171" s="72"/>
      <c r="UVD171" s="72"/>
      <c r="UVE171" s="72"/>
      <c r="UVF171" s="72"/>
      <c r="UVG171" s="72"/>
      <c r="UVH171" s="72"/>
      <c r="UVI171" s="72"/>
      <c r="UVJ171" s="72"/>
      <c r="UVK171" s="72"/>
      <c r="UVL171" s="72"/>
      <c r="UVM171" s="72"/>
      <c r="UVN171" s="72"/>
      <c r="UVO171" s="72"/>
      <c r="UVP171" s="72"/>
      <c r="UVQ171" s="72"/>
      <c r="UVR171" s="72"/>
      <c r="UVS171" s="72"/>
      <c r="UVT171" s="72"/>
      <c r="UVU171" s="72"/>
      <c r="UVV171" s="72"/>
      <c r="UVW171" s="72"/>
      <c r="UVX171" s="72"/>
      <c r="UVY171" s="72"/>
      <c r="UVZ171" s="72"/>
      <c r="UWA171" s="72"/>
      <c r="UWB171" s="72"/>
      <c r="UWC171" s="72"/>
      <c r="UWD171" s="72"/>
      <c r="UWE171" s="72"/>
      <c r="UWF171" s="72"/>
      <c r="UWG171" s="72"/>
      <c r="UWH171" s="72"/>
      <c r="UWI171" s="72"/>
      <c r="UWJ171" s="72"/>
      <c r="UWK171" s="72"/>
      <c r="UWL171" s="72"/>
      <c r="UWM171" s="72"/>
      <c r="UWN171" s="72"/>
      <c r="UWO171" s="72"/>
      <c r="UWP171" s="72"/>
      <c r="UWQ171" s="72"/>
      <c r="UWR171" s="72"/>
      <c r="UWS171" s="72"/>
      <c r="UWT171" s="72"/>
      <c r="UWU171" s="72"/>
      <c r="UWV171" s="72"/>
      <c r="UWW171" s="72"/>
      <c r="UWX171" s="72"/>
      <c r="UWY171" s="72"/>
      <c r="UWZ171" s="72"/>
      <c r="UXA171" s="72"/>
      <c r="UXB171" s="72"/>
      <c r="UXC171" s="72"/>
      <c r="UXD171" s="72"/>
      <c r="UXE171" s="72"/>
      <c r="UXF171" s="72"/>
      <c r="UXG171" s="72"/>
      <c r="UXH171" s="72"/>
      <c r="UXI171" s="72"/>
      <c r="UXJ171" s="72"/>
      <c r="UXK171" s="72"/>
      <c r="UXL171" s="72"/>
      <c r="UXM171" s="72"/>
      <c r="UXN171" s="72"/>
      <c r="UXO171" s="72"/>
      <c r="UXP171" s="72"/>
      <c r="UXQ171" s="72"/>
      <c r="UXR171" s="72"/>
      <c r="UXS171" s="72"/>
      <c r="UXT171" s="72"/>
      <c r="UXU171" s="72"/>
      <c r="UXV171" s="72"/>
      <c r="UXW171" s="72"/>
      <c r="UXX171" s="72"/>
      <c r="UXY171" s="72"/>
      <c r="UXZ171" s="72"/>
      <c r="UYA171" s="72"/>
      <c r="UYB171" s="72"/>
      <c r="UYC171" s="72"/>
      <c r="UYD171" s="72"/>
      <c r="UYE171" s="72"/>
      <c r="UYF171" s="72"/>
      <c r="UYG171" s="72"/>
      <c r="UYH171" s="72"/>
      <c r="UYI171" s="72"/>
      <c r="UYJ171" s="72"/>
      <c r="UYK171" s="72"/>
      <c r="UYL171" s="72"/>
      <c r="UYM171" s="72"/>
      <c r="UYN171" s="72"/>
      <c r="UYO171" s="72"/>
      <c r="UYP171" s="72"/>
      <c r="UYQ171" s="72"/>
      <c r="UYR171" s="72"/>
      <c r="UYS171" s="72"/>
      <c r="UYT171" s="72"/>
      <c r="UYU171" s="72"/>
      <c r="UYV171" s="72"/>
      <c r="UYW171" s="72"/>
      <c r="UYX171" s="72"/>
      <c r="UYY171" s="72"/>
      <c r="UYZ171" s="72"/>
      <c r="UZA171" s="72"/>
      <c r="UZB171" s="72"/>
      <c r="UZC171" s="72"/>
      <c r="UZD171" s="72"/>
      <c r="UZE171" s="72"/>
      <c r="UZF171" s="72"/>
      <c r="UZG171" s="72"/>
      <c r="UZH171" s="72"/>
      <c r="UZI171" s="72"/>
      <c r="UZJ171" s="72"/>
      <c r="UZK171" s="72"/>
      <c r="UZL171" s="72"/>
      <c r="UZM171" s="72"/>
      <c r="UZN171" s="72"/>
      <c r="UZO171" s="72"/>
      <c r="UZP171" s="72"/>
      <c r="UZQ171" s="72"/>
      <c r="UZR171" s="72"/>
      <c r="UZS171" s="72"/>
      <c r="UZT171" s="72"/>
      <c r="UZU171" s="72"/>
      <c r="UZV171" s="72"/>
      <c r="UZW171" s="72"/>
      <c r="UZX171" s="72"/>
      <c r="UZY171" s="72"/>
      <c r="UZZ171" s="72"/>
      <c r="VAA171" s="72"/>
      <c r="VAB171" s="72"/>
      <c r="VAC171" s="72"/>
      <c r="VAD171" s="72"/>
      <c r="VAE171" s="72"/>
      <c r="VAF171" s="72"/>
      <c r="VAG171" s="72"/>
      <c r="VAH171" s="72"/>
      <c r="VAI171" s="72"/>
      <c r="VAJ171" s="72"/>
      <c r="VAK171" s="72"/>
      <c r="VAL171" s="72"/>
      <c r="VAM171" s="72"/>
      <c r="VAN171" s="72"/>
      <c r="VAO171" s="72"/>
      <c r="VAP171" s="72"/>
      <c r="VAQ171" s="72"/>
      <c r="VAR171" s="72"/>
      <c r="VAS171" s="72"/>
      <c r="VAT171" s="72"/>
      <c r="VAU171" s="72"/>
      <c r="VAV171" s="72"/>
      <c r="VAW171" s="72"/>
      <c r="VAX171" s="72"/>
      <c r="VAY171" s="72"/>
      <c r="VAZ171" s="72"/>
      <c r="VBA171" s="72"/>
      <c r="VBB171" s="72"/>
      <c r="VBC171" s="72"/>
      <c r="VBD171" s="72"/>
      <c r="VBE171" s="72"/>
      <c r="VBF171" s="72"/>
      <c r="VBG171" s="72"/>
      <c r="VBH171" s="72"/>
      <c r="VBI171" s="72"/>
      <c r="VBJ171" s="72"/>
      <c r="VBK171" s="72"/>
      <c r="VBL171" s="72"/>
      <c r="VBM171" s="72"/>
      <c r="VBN171" s="72"/>
      <c r="VBO171" s="72"/>
      <c r="VBP171" s="72"/>
      <c r="VBQ171" s="72"/>
      <c r="VBR171" s="72"/>
      <c r="VBS171" s="72"/>
      <c r="VBT171" s="72"/>
      <c r="VBU171" s="72"/>
      <c r="VBV171" s="72"/>
      <c r="VBW171" s="72"/>
      <c r="VBX171" s="72"/>
      <c r="VBY171" s="72"/>
      <c r="VBZ171" s="72"/>
      <c r="VCA171" s="72"/>
      <c r="VCB171" s="72"/>
      <c r="VCC171" s="72"/>
      <c r="VCD171" s="72"/>
      <c r="VCE171" s="72"/>
      <c r="VCF171" s="72"/>
      <c r="VCG171" s="72"/>
      <c r="VCH171" s="72"/>
      <c r="VCI171" s="72"/>
      <c r="VCJ171" s="72"/>
      <c r="VCK171" s="72"/>
      <c r="VCL171" s="72"/>
      <c r="VCM171" s="72"/>
      <c r="VCN171" s="72"/>
      <c r="VCO171" s="72"/>
      <c r="VCP171" s="72"/>
      <c r="VCQ171" s="72"/>
      <c r="VCR171" s="72"/>
      <c r="VCS171" s="72"/>
      <c r="VCT171" s="72"/>
      <c r="VCU171" s="72"/>
      <c r="VCV171" s="72"/>
      <c r="VCW171" s="72"/>
      <c r="VCX171" s="72"/>
      <c r="VCY171" s="72"/>
      <c r="VCZ171" s="72"/>
      <c r="VDA171" s="72"/>
      <c r="VDB171" s="72"/>
      <c r="VDC171" s="72"/>
      <c r="VDD171" s="72"/>
      <c r="VDE171" s="72"/>
      <c r="VDF171" s="72"/>
      <c r="VDG171" s="72"/>
      <c r="VDH171" s="72"/>
      <c r="VDI171" s="72"/>
      <c r="VDJ171" s="72"/>
      <c r="VDK171" s="72"/>
      <c r="VDL171" s="72"/>
      <c r="VDM171" s="72"/>
      <c r="VDN171" s="72"/>
      <c r="VDO171" s="72"/>
      <c r="VDP171" s="72"/>
      <c r="VDQ171" s="72"/>
      <c r="VDR171" s="72"/>
      <c r="VDS171" s="72"/>
      <c r="VDT171" s="72"/>
      <c r="VDU171" s="72"/>
      <c r="VDV171" s="72"/>
      <c r="VDW171" s="72"/>
      <c r="VDX171" s="72"/>
      <c r="VDY171" s="72"/>
      <c r="VDZ171" s="72"/>
      <c r="VEA171" s="72"/>
      <c r="VEB171" s="72"/>
      <c r="VEC171" s="72"/>
      <c r="VED171" s="72"/>
      <c r="VEE171" s="72"/>
      <c r="VEF171" s="72"/>
      <c r="VEG171" s="72"/>
      <c r="VEH171" s="72"/>
      <c r="VEI171" s="72"/>
      <c r="VEJ171" s="72"/>
      <c r="VEK171" s="72"/>
      <c r="VEL171" s="72"/>
      <c r="VEM171" s="72"/>
      <c r="VEN171" s="72"/>
      <c r="VEO171" s="72"/>
      <c r="VEP171" s="72"/>
      <c r="VEQ171" s="72"/>
      <c r="VER171" s="72"/>
      <c r="VES171" s="72"/>
      <c r="VET171" s="72"/>
      <c r="VEU171" s="72"/>
      <c r="VEV171" s="72"/>
      <c r="VEW171" s="72"/>
      <c r="VEX171" s="72"/>
      <c r="VEY171" s="72"/>
      <c r="VEZ171" s="72"/>
      <c r="VFA171" s="72"/>
      <c r="VFB171" s="72"/>
      <c r="VFC171" s="72"/>
      <c r="VFD171" s="72"/>
      <c r="VFE171" s="72"/>
      <c r="VFF171" s="72"/>
      <c r="VFG171" s="72"/>
      <c r="VFH171" s="72"/>
      <c r="VFI171" s="72"/>
      <c r="VFJ171" s="72"/>
      <c r="VFK171" s="72"/>
      <c r="VFL171" s="72"/>
      <c r="VFM171" s="72"/>
      <c r="VFN171" s="72"/>
      <c r="VFO171" s="72"/>
      <c r="VFP171" s="72"/>
      <c r="VFQ171" s="72"/>
      <c r="VFR171" s="72"/>
      <c r="VFS171" s="72"/>
      <c r="VFT171" s="72"/>
      <c r="VFU171" s="72"/>
      <c r="VFV171" s="72"/>
      <c r="VFW171" s="72"/>
      <c r="VFX171" s="72"/>
      <c r="VFY171" s="72"/>
      <c r="VFZ171" s="72"/>
      <c r="VGA171" s="72"/>
      <c r="VGB171" s="72"/>
      <c r="VGC171" s="72"/>
      <c r="VGD171" s="72"/>
      <c r="VGE171" s="72"/>
      <c r="VGF171" s="72"/>
      <c r="VGG171" s="72"/>
      <c r="VGH171" s="72"/>
      <c r="VGI171" s="72"/>
      <c r="VGJ171" s="72"/>
      <c r="VGK171" s="72"/>
      <c r="VGL171" s="72"/>
      <c r="VGM171" s="72"/>
      <c r="VGN171" s="72"/>
      <c r="VGO171" s="72"/>
      <c r="VGP171" s="72"/>
      <c r="VGQ171" s="72"/>
      <c r="VGR171" s="72"/>
      <c r="VGS171" s="72"/>
      <c r="VGT171" s="72"/>
      <c r="VGU171" s="72"/>
      <c r="VGV171" s="72"/>
      <c r="VGW171" s="72"/>
      <c r="VGX171" s="72"/>
      <c r="VGY171" s="72"/>
      <c r="VGZ171" s="72"/>
      <c r="VHA171" s="72"/>
      <c r="VHB171" s="72"/>
      <c r="VHC171" s="72"/>
      <c r="VHD171" s="72"/>
      <c r="VHE171" s="72"/>
      <c r="VHF171" s="72"/>
      <c r="VHG171" s="72"/>
      <c r="VHH171" s="72"/>
      <c r="VHI171" s="72"/>
      <c r="VHJ171" s="72"/>
      <c r="VHK171" s="72"/>
      <c r="VHL171" s="72"/>
      <c r="VHM171" s="72"/>
      <c r="VHN171" s="72"/>
      <c r="VHO171" s="72"/>
      <c r="VHP171" s="72"/>
      <c r="VHQ171" s="72"/>
      <c r="VHR171" s="72"/>
      <c r="VHS171" s="72"/>
      <c r="VHT171" s="72"/>
      <c r="VHU171" s="72"/>
      <c r="VHV171" s="72"/>
      <c r="VHW171" s="72"/>
      <c r="VHX171" s="72"/>
      <c r="VHY171" s="72"/>
      <c r="VHZ171" s="72"/>
      <c r="VIA171" s="72"/>
      <c r="VIB171" s="72"/>
      <c r="VIC171" s="72"/>
      <c r="VID171" s="72"/>
      <c r="VIE171" s="72"/>
      <c r="VIF171" s="72"/>
      <c r="VIG171" s="72"/>
      <c r="VIH171" s="72"/>
      <c r="VII171" s="72"/>
      <c r="VIJ171" s="72"/>
      <c r="VIK171" s="72"/>
      <c r="VIL171" s="72"/>
      <c r="VIM171" s="72"/>
      <c r="VIN171" s="72"/>
      <c r="VIO171" s="72"/>
      <c r="VIP171" s="72"/>
      <c r="VIQ171" s="72"/>
      <c r="VIR171" s="72"/>
      <c r="VIS171" s="72"/>
      <c r="VIT171" s="72"/>
      <c r="VIU171" s="72"/>
      <c r="VIV171" s="72"/>
      <c r="VIW171" s="72"/>
      <c r="VIX171" s="72"/>
      <c r="VIY171" s="72"/>
      <c r="VIZ171" s="72"/>
      <c r="VJA171" s="72"/>
      <c r="VJB171" s="72"/>
      <c r="VJC171" s="72"/>
      <c r="VJD171" s="72"/>
      <c r="VJE171" s="72"/>
      <c r="VJF171" s="72"/>
      <c r="VJG171" s="72"/>
      <c r="VJH171" s="72"/>
      <c r="VJI171" s="72"/>
      <c r="VJJ171" s="72"/>
      <c r="VJK171" s="72"/>
      <c r="VJL171" s="72"/>
      <c r="VJM171" s="72"/>
      <c r="VJN171" s="72"/>
      <c r="VJO171" s="72"/>
      <c r="VJP171" s="72"/>
      <c r="VJQ171" s="72"/>
      <c r="VJR171" s="72"/>
      <c r="VJS171" s="72"/>
      <c r="VJT171" s="72"/>
      <c r="VJU171" s="72"/>
      <c r="VJV171" s="72"/>
      <c r="VJW171" s="72"/>
      <c r="VJX171" s="72"/>
      <c r="VJY171" s="72"/>
      <c r="VJZ171" s="72"/>
      <c r="VKA171" s="72"/>
      <c r="VKB171" s="72"/>
      <c r="VKC171" s="72"/>
      <c r="VKD171" s="72"/>
      <c r="VKE171" s="72"/>
      <c r="VKF171" s="72"/>
      <c r="VKG171" s="72"/>
      <c r="VKH171" s="72"/>
      <c r="VKI171" s="72"/>
      <c r="VKJ171" s="72"/>
      <c r="VKK171" s="72"/>
      <c r="VKL171" s="72"/>
      <c r="VKM171" s="72"/>
      <c r="VKN171" s="72"/>
      <c r="VKO171" s="72"/>
      <c r="VKP171" s="72"/>
      <c r="VKQ171" s="72"/>
      <c r="VKR171" s="72"/>
      <c r="VKS171" s="72"/>
      <c r="VKT171" s="72"/>
      <c r="VKU171" s="72"/>
      <c r="VKV171" s="72"/>
      <c r="VKW171" s="72"/>
      <c r="VKX171" s="72"/>
      <c r="VKY171" s="72"/>
      <c r="VKZ171" s="72"/>
      <c r="VLA171" s="72"/>
      <c r="VLB171" s="72"/>
      <c r="VLC171" s="72"/>
      <c r="VLD171" s="72"/>
      <c r="VLE171" s="72"/>
      <c r="VLF171" s="72"/>
      <c r="VLG171" s="72"/>
      <c r="VLH171" s="72"/>
      <c r="VLI171" s="72"/>
      <c r="VLJ171" s="72"/>
      <c r="VLK171" s="72"/>
      <c r="VLL171" s="72"/>
      <c r="VLM171" s="72"/>
      <c r="VLN171" s="72"/>
      <c r="VLO171" s="72"/>
      <c r="VLP171" s="72"/>
      <c r="VLQ171" s="72"/>
      <c r="VLR171" s="72"/>
      <c r="VLS171" s="72"/>
      <c r="VLT171" s="72"/>
      <c r="VLU171" s="72"/>
      <c r="VLV171" s="72"/>
      <c r="VLW171" s="72"/>
      <c r="VLX171" s="72"/>
      <c r="VLY171" s="72"/>
      <c r="VLZ171" s="72"/>
      <c r="VMA171" s="72"/>
      <c r="VMB171" s="72"/>
      <c r="VMC171" s="72"/>
      <c r="VMD171" s="72"/>
      <c r="VME171" s="72"/>
      <c r="VMF171" s="72"/>
      <c r="VMG171" s="72"/>
      <c r="VMH171" s="72"/>
      <c r="VMI171" s="72"/>
      <c r="VMJ171" s="72"/>
      <c r="VMK171" s="72"/>
      <c r="VML171" s="72"/>
      <c r="VMM171" s="72"/>
      <c r="VMN171" s="72"/>
      <c r="VMO171" s="72"/>
      <c r="VMP171" s="72"/>
      <c r="VMQ171" s="72"/>
      <c r="VMR171" s="72"/>
      <c r="VMS171" s="72"/>
      <c r="VMT171" s="72"/>
      <c r="VMU171" s="72"/>
      <c r="VMV171" s="72"/>
      <c r="VMW171" s="72"/>
      <c r="VMX171" s="72"/>
      <c r="VMY171" s="72"/>
      <c r="VMZ171" s="72"/>
      <c r="VNA171" s="72"/>
      <c r="VNB171" s="72"/>
      <c r="VNC171" s="72"/>
      <c r="VND171" s="72"/>
      <c r="VNE171" s="72"/>
      <c r="VNF171" s="72"/>
      <c r="VNG171" s="72"/>
      <c r="VNH171" s="72"/>
      <c r="VNI171" s="72"/>
      <c r="VNJ171" s="72"/>
      <c r="VNK171" s="72"/>
      <c r="VNL171" s="72"/>
      <c r="VNM171" s="72"/>
      <c r="VNN171" s="72"/>
      <c r="VNO171" s="72"/>
      <c r="VNP171" s="72"/>
      <c r="VNQ171" s="72"/>
      <c r="VNR171" s="72"/>
      <c r="VNS171" s="72"/>
      <c r="VNT171" s="72"/>
      <c r="VNU171" s="72"/>
      <c r="VNV171" s="72"/>
      <c r="VNW171" s="72"/>
      <c r="VNX171" s="72"/>
      <c r="VNY171" s="72"/>
      <c r="VNZ171" s="72"/>
      <c r="VOA171" s="72"/>
      <c r="VOB171" s="72"/>
      <c r="VOC171" s="72"/>
      <c r="VOD171" s="72"/>
      <c r="VOE171" s="72"/>
      <c r="VOF171" s="72"/>
      <c r="VOG171" s="72"/>
      <c r="VOH171" s="72"/>
      <c r="VOI171" s="72"/>
      <c r="VOJ171" s="72"/>
      <c r="VOK171" s="72"/>
      <c r="VOL171" s="72"/>
      <c r="VOM171" s="72"/>
      <c r="VON171" s="72"/>
      <c r="VOO171" s="72"/>
      <c r="VOP171" s="72"/>
      <c r="VOQ171" s="72"/>
      <c r="VOR171" s="72"/>
      <c r="VOS171" s="72"/>
      <c r="VOT171" s="72"/>
      <c r="VOU171" s="72"/>
      <c r="VOV171" s="72"/>
      <c r="VOW171" s="72"/>
      <c r="VOX171" s="72"/>
      <c r="VOY171" s="72"/>
      <c r="VOZ171" s="72"/>
      <c r="VPA171" s="72"/>
      <c r="VPB171" s="72"/>
      <c r="VPC171" s="72"/>
      <c r="VPD171" s="72"/>
      <c r="VPE171" s="72"/>
      <c r="VPF171" s="72"/>
      <c r="VPG171" s="72"/>
      <c r="VPH171" s="72"/>
      <c r="VPI171" s="72"/>
      <c r="VPJ171" s="72"/>
      <c r="VPK171" s="72"/>
      <c r="VPL171" s="72"/>
      <c r="VPM171" s="72"/>
      <c r="VPN171" s="72"/>
      <c r="VPO171" s="72"/>
      <c r="VPP171" s="72"/>
      <c r="VPQ171" s="72"/>
      <c r="VPR171" s="72"/>
      <c r="VPS171" s="72"/>
      <c r="VPT171" s="72"/>
      <c r="VPU171" s="72"/>
      <c r="VPV171" s="72"/>
      <c r="VPW171" s="72"/>
      <c r="VPX171" s="72"/>
      <c r="VPY171" s="72"/>
      <c r="VPZ171" s="72"/>
      <c r="VQA171" s="72"/>
      <c r="VQB171" s="72"/>
      <c r="VQC171" s="72"/>
      <c r="VQD171" s="72"/>
      <c r="VQE171" s="72"/>
      <c r="VQF171" s="72"/>
      <c r="VQG171" s="72"/>
      <c r="VQH171" s="72"/>
      <c r="VQI171" s="72"/>
      <c r="VQJ171" s="72"/>
      <c r="VQK171" s="72"/>
      <c r="VQL171" s="72"/>
      <c r="VQM171" s="72"/>
      <c r="VQN171" s="72"/>
      <c r="VQO171" s="72"/>
      <c r="VQP171" s="72"/>
      <c r="VQQ171" s="72"/>
      <c r="VQR171" s="72"/>
      <c r="VQS171" s="72"/>
      <c r="VQT171" s="72"/>
      <c r="VQU171" s="72"/>
      <c r="VQV171" s="72"/>
      <c r="VQW171" s="72"/>
      <c r="VQX171" s="72"/>
      <c r="VQY171" s="72"/>
      <c r="VQZ171" s="72"/>
      <c r="VRA171" s="72"/>
      <c r="VRB171" s="72"/>
      <c r="VRC171" s="72"/>
      <c r="VRD171" s="72"/>
      <c r="VRE171" s="72"/>
      <c r="VRF171" s="72"/>
      <c r="VRG171" s="72"/>
      <c r="VRH171" s="72"/>
      <c r="VRI171" s="72"/>
      <c r="VRJ171" s="72"/>
      <c r="VRK171" s="72"/>
      <c r="VRL171" s="72"/>
      <c r="VRM171" s="72"/>
      <c r="VRN171" s="72"/>
      <c r="VRO171" s="72"/>
      <c r="VRP171" s="72"/>
      <c r="VRQ171" s="72"/>
      <c r="VRR171" s="72"/>
      <c r="VRS171" s="72"/>
      <c r="VRT171" s="72"/>
      <c r="VRU171" s="72"/>
      <c r="VRV171" s="72"/>
      <c r="VRW171" s="72"/>
      <c r="VRX171" s="72"/>
      <c r="VRY171" s="72"/>
      <c r="VRZ171" s="72"/>
      <c r="VSA171" s="72"/>
      <c r="VSB171" s="72"/>
      <c r="VSC171" s="72"/>
      <c r="VSD171" s="72"/>
      <c r="VSE171" s="72"/>
      <c r="VSF171" s="72"/>
      <c r="VSG171" s="72"/>
      <c r="VSH171" s="72"/>
      <c r="VSI171" s="72"/>
      <c r="VSJ171" s="72"/>
      <c r="VSK171" s="72"/>
      <c r="VSL171" s="72"/>
      <c r="VSM171" s="72"/>
      <c r="VSN171" s="72"/>
      <c r="VSO171" s="72"/>
      <c r="VSP171" s="72"/>
      <c r="VSQ171" s="72"/>
      <c r="VSR171" s="72"/>
      <c r="VSS171" s="72"/>
      <c r="VST171" s="72"/>
      <c r="VSU171" s="72"/>
      <c r="VSV171" s="72"/>
      <c r="VSW171" s="72"/>
      <c r="VSX171" s="72"/>
      <c r="VSY171" s="72"/>
      <c r="VSZ171" s="72"/>
      <c r="VTA171" s="72"/>
      <c r="VTB171" s="72"/>
      <c r="VTC171" s="72"/>
      <c r="VTD171" s="72"/>
      <c r="VTE171" s="72"/>
      <c r="VTF171" s="72"/>
      <c r="VTG171" s="72"/>
      <c r="VTH171" s="72"/>
      <c r="VTI171" s="72"/>
      <c r="VTJ171" s="72"/>
      <c r="VTK171" s="72"/>
      <c r="VTL171" s="72"/>
      <c r="VTM171" s="72"/>
      <c r="VTN171" s="72"/>
      <c r="VTO171" s="72"/>
      <c r="VTP171" s="72"/>
      <c r="VTQ171" s="72"/>
      <c r="VTR171" s="72"/>
      <c r="VTS171" s="72"/>
      <c r="VTT171" s="72"/>
      <c r="VTU171" s="72"/>
      <c r="VTV171" s="72"/>
      <c r="VTW171" s="72"/>
      <c r="VTX171" s="72"/>
      <c r="VTY171" s="72"/>
      <c r="VTZ171" s="72"/>
      <c r="VUA171" s="72"/>
      <c r="VUB171" s="72"/>
      <c r="VUC171" s="72"/>
      <c r="VUD171" s="72"/>
      <c r="VUE171" s="72"/>
      <c r="VUF171" s="72"/>
      <c r="VUG171" s="72"/>
      <c r="VUH171" s="72"/>
      <c r="VUI171" s="72"/>
      <c r="VUJ171" s="72"/>
      <c r="VUK171" s="72"/>
      <c r="VUL171" s="72"/>
      <c r="VUM171" s="72"/>
      <c r="VUN171" s="72"/>
      <c r="VUO171" s="72"/>
      <c r="VUP171" s="72"/>
      <c r="VUQ171" s="72"/>
      <c r="VUR171" s="72"/>
      <c r="VUS171" s="72"/>
      <c r="VUT171" s="72"/>
      <c r="VUU171" s="72"/>
      <c r="VUV171" s="72"/>
      <c r="VUW171" s="72"/>
      <c r="VUX171" s="72"/>
      <c r="VUY171" s="72"/>
      <c r="VUZ171" s="72"/>
      <c r="VVA171" s="72"/>
      <c r="VVB171" s="72"/>
      <c r="VVC171" s="72"/>
      <c r="VVD171" s="72"/>
      <c r="VVE171" s="72"/>
      <c r="VVF171" s="72"/>
      <c r="VVG171" s="72"/>
      <c r="VVH171" s="72"/>
      <c r="VVI171" s="72"/>
      <c r="VVJ171" s="72"/>
      <c r="VVK171" s="72"/>
      <c r="VVL171" s="72"/>
      <c r="VVM171" s="72"/>
      <c r="VVN171" s="72"/>
      <c r="VVO171" s="72"/>
      <c r="VVP171" s="72"/>
      <c r="VVQ171" s="72"/>
      <c r="VVR171" s="72"/>
      <c r="VVS171" s="72"/>
      <c r="VVT171" s="72"/>
      <c r="VVU171" s="72"/>
      <c r="VVV171" s="72"/>
      <c r="VVW171" s="72"/>
      <c r="VVX171" s="72"/>
      <c r="VVY171" s="72"/>
      <c r="VVZ171" s="72"/>
      <c r="VWA171" s="72"/>
      <c r="VWB171" s="72"/>
      <c r="VWC171" s="72"/>
      <c r="VWD171" s="72"/>
      <c r="VWE171" s="72"/>
      <c r="VWF171" s="72"/>
      <c r="VWG171" s="72"/>
      <c r="VWH171" s="72"/>
      <c r="VWI171" s="72"/>
      <c r="VWJ171" s="72"/>
      <c r="VWK171" s="72"/>
      <c r="VWL171" s="72"/>
      <c r="VWM171" s="72"/>
      <c r="VWN171" s="72"/>
      <c r="VWO171" s="72"/>
      <c r="VWP171" s="72"/>
      <c r="VWQ171" s="72"/>
      <c r="VWR171" s="72"/>
      <c r="VWS171" s="72"/>
      <c r="VWT171" s="72"/>
      <c r="VWU171" s="72"/>
      <c r="VWV171" s="72"/>
      <c r="VWW171" s="72"/>
      <c r="VWX171" s="72"/>
      <c r="VWY171" s="72"/>
      <c r="VWZ171" s="72"/>
      <c r="VXA171" s="72"/>
      <c r="VXB171" s="72"/>
      <c r="VXC171" s="72"/>
      <c r="VXD171" s="72"/>
      <c r="VXE171" s="72"/>
      <c r="VXF171" s="72"/>
      <c r="VXG171" s="72"/>
      <c r="VXH171" s="72"/>
      <c r="VXI171" s="72"/>
      <c r="VXJ171" s="72"/>
      <c r="VXK171" s="72"/>
      <c r="VXL171" s="72"/>
      <c r="VXM171" s="72"/>
      <c r="VXN171" s="72"/>
      <c r="VXO171" s="72"/>
      <c r="VXP171" s="72"/>
      <c r="VXQ171" s="72"/>
      <c r="VXR171" s="72"/>
      <c r="VXS171" s="72"/>
      <c r="VXT171" s="72"/>
      <c r="VXU171" s="72"/>
      <c r="VXV171" s="72"/>
      <c r="VXW171" s="72"/>
      <c r="VXX171" s="72"/>
      <c r="VXY171" s="72"/>
      <c r="VXZ171" s="72"/>
      <c r="VYA171" s="72"/>
      <c r="VYB171" s="72"/>
      <c r="VYC171" s="72"/>
      <c r="VYD171" s="72"/>
      <c r="VYE171" s="72"/>
      <c r="VYF171" s="72"/>
      <c r="VYG171" s="72"/>
      <c r="VYH171" s="72"/>
      <c r="VYI171" s="72"/>
      <c r="VYJ171" s="72"/>
      <c r="VYK171" s="72"/>
      <c r="VYL171" s="72"/>
      <c r="VYM171" s="72"/>
      <c r="VYN171" s="72"/>
      <c r="VYO171" s="72"/>
      <c r="VYP171" s="72"/>
      <c r="VYQ171" s="72"/>
      <c r="VYR171" s="72"/>
      <c r="VYS171" s="72"/>
      <c r="VYT171" s="72"/>
      <c r="VYU171" s="72"/>
      <c r="VYV171" s="72"/>
      <c r="VYW171" s="72"/>
      <c r="VYX171" s="72"/>
      <c r="VYY171" s="72"/>
      <c r="VYZ171" s="72"/>
      <c r="VZA171" s="72"/>
      <c r="VZB171" s="72"/>
      <c r="VZC171" s="72"/>
      <c r="VZD171" s="72"/>
      <c r="VZE171" s="72"/>
      <c r="VZF171" s="72"/>
      <c r="VZG171" s="72"/>
      <c r="VZH171" s="72"/>
      <c r="VZI171" s="72"/>
      <c r="VZJ171" s="72"/>
      <c r="VZK171" s="72"/>
      <c r="VZL171" s="72"/>
      <c r="VZM171" s="72"/>
      <c r="VZN171" s="72"/>
      <c r="VZO171" s="72"/>
      <c r="VZP171" s="72"/>
      <c r="VZQ171" s="72"/>
      <c r="VZR171" s="72"/>
      <c r="VZS171" s="72"/>
      <c r="VZT171" s="72"/>
      <c r="VZU171" s="72"/>
      <c r="VZV171" s="72"/>
      <c r="VZW171" s="72"/>
      <c r="VZX171" s="72"/>
      <c r="VZY171" s="72"/>
      <c r="VZZ171" s="72"/>
      <c r="WAA171" s="72"/>
      <c r="WAB171" s="72"/>
      <c r="WAC171" s="72"/>
      <c r="WAD171" s="72"/>
      <c r="WAE171" s="72"/>
      <c r="WAF171" s="72"/>
      <c r="WAG171" s="72"/>
      <c r="WAH171" s="72"/>
      <c r="WAI171" s="72"/>
      <c r="WAJ171" s="72"/>
      <c r="WAK171" s="72"/>
      <c r="WAL171" s="72"/>
      <c r="WAM171" s="72"/>
      <c r="WAN171" s="72"/>
      <c r="WAO171" s="72"/>
      <c r="WAP171" s="72"/>
      <c r="WAQ171" s="72"/>
      <c r="WAR171" s="72"/>
      <c r="WAS171" s="72"/>
      <c r="WAT171" s="72"/>
      <c r="WAU171" s="72"/>
      <c r="WAV171" s="72"/>
      <c r="WAW171" s="72"/>
      <c r="WAX171" s="72"/>
      <c r="WAY171" s="72"/>
      <c r="WAZ171" s="72"/>
      <c r="WBA171" s="72"/>
      <c r="WBB171" s="72"/>
      <c r="WBC171" s="72"/>
      <c r="WBD171" s="72"/>
      <c r="WBE171" s="72"/>
      <c r="WBF171" s="72"/>
      <c r="WBG171" s="72"/>
      <c r="WBH171" s="72"/>
      <c r="WBI171" s="72"/>
      <c r="WBJ171" s="72"/>
      <c r="WBK171" s="72"/>
      <c r="WBL171" s="72"/>
      <c r="WBM171" s="72"/>
      <c r="WBN171" s="72"/>
      <c r="WBO171" s="72"/>
      <c r="WBP171" s="72"/>
      <c r="WBQ171" s="72"/>
      <c r="WBR171" s="72"/>
      <c r="WBS171" s="72"/>
      <c r="WBT171" s="72"/>
      <c r="WBU171" s="72"/>
      <c r="WBV171" s="72"/>
      <c r="WBW171" s="72"/>
      <c r="WBX171" s="72"/>
      <c r="WBY171" s="72"/>
      <c r="WBZ171" s="72"/>
      <c r="WCA171" s="72"/>
      <c r="WCB171" s="72"/>
      <c r="WCC171" s="72"/>
      <c r="WCD171" s="72"/>
      <c r="WCE171" s="72"/>
      <c r="WCF171" s="72"/>
      <c r="WCG171" s="72"/>
      <c r="WCH171" s="72"/>
      <c r="WCI171" s="72"/>
      <c r="WCJ171" s="72"/>
      <c r="WCK171" s="72"/>
      <c r="WCL171" s="72"/>
      <c r="WCM171" s="72"/>
      <c r="WCN171" s="72"/>
      <c r="WCO171" s="72"/>
      <c r="WCP171" s="72"/>
      <c r="WCQ171" s="72"/>
      <c r="WCR171" s="72"/>
      <c r="WCS171" s="72"/>
      <c r="WCT171" s="72"/>
      <c r="WCU171" s="72"/>
      <c r="WCV171" s="72"/>
      <c r="WCW171" s="72"/>
      <c r="WCX171" s="72"/>
      <c r="WCY171" s="72"/>
      <c r="WCZ171" s="72"/>
      <c r="WDA171" s="72"/>
      <c r="WDB171" s="72"/>
      <c r="WDC171" s="72"/>
      <c r="WDD171" s="72"/>
      <c r="WDE171" s="72"/>
      <c r="WDF171" s="72"/>
      <c r="WDG171" s="72"/>
      <c r="WDH171" s="72"/>
      <c r="WDI171" s="72"/>
      <c r="WDJ171" s="72"/>
      <c r="WDK171" s="72"/>
      <c r="WDL171" s="72"/>
      <c r="WDM171" s="72"/>
      <c r="WDN171" s="72"/>
      <c r="WDO171" s="72"/>
      <c r="WDP171" s="72"/>
      <c r="WDQ171" s="72"/>
      <c r="WDR171" s="72"/>
      <c r="WDS171" s="72"/>
      <c r="WDT171" s="72"/>
      <c r="WDU171" s="72"/>
      <c r="WDV171" s="72"/>
      <c r="WDW171" s="72"/>
      <c r="WDX171" s="72"/>
      <c r="WDY171" s="72"/>
      <c r="WDZ171" s="72"/>
      <c r="WEA171" s="72"/>
      <c r="WEB171" s="72"/>
      <c r="WEC171" s="72"/>
      <c r="WED171" s="72"/>
      <c r="WEE171" s="72"/>
      <c r="WEF171" s="72"/>
      <c r="WEG171" s="72"/>
      <c r="WEH171" s="72"/>
      <c r="WEI171" s="72"/>
      <c r="WEJ171" s="72"/>
      <c r="WEK171" s="72"/>
      <c r="WEL171" s="72"/>
      <c r="WEM171" s="72"/>
      <c r="WEN171" s="72"/>
      <c r="WEO171" s="72"/>
      <c r="WEP171" s="72"/>
      <c r="WEQ171" s="72"/>
      <c r="WER171" s="72"/>
      <c r="WES171" s="72"/>
      <c r="WET171" s="72"/>
      <c r="WEU171" s="72"/>
      <c r="WEV171" s="72"/>
      <c r="WEW171" s="72"/>
      <c r="WEX171" s="72"/>
      <c r="WEY171" s="72"/>
      <c r="WEZ171" s="72"/>
      <c r="WFA171" s="72"/>
      <c r="WFB171" s="72"/>
      <c r="WFC171" s="72"/>
      <c r="WFD171" s="72"/>
      <c r="WFE171" s="72"/>
      <c r="WFF171" s="72"/>
      <c r="WFG171" s="72"/>
      <c r="WFH171" s="72"/>
      <c r="WFI171" s="72"/>
      <c r="WFJ171" s="72"/>
      <c r="WFK171" s="72"/>
      <c r="WFL171" s="72"/>
      <c r="WFM171" s="72"/>
      <c r="WFN171" s="72"/>
      <c r="WFO171" s="72"/>
      <c r="WFP171" s="72"/>
      <c r="WFQ171" s="72"/>
      <c r="WFR171" s="72"/>
      <c r="WFS171" s="72"/>
      <c r="WFT171" s="72"/>
      <c r="WFU171" s="72"/>
      <c r="WFV171" s="72"/>
      <c r="WFW171" s="72"/>
      <c r="WFX171" s="72"/>
      <c r="WFY171" s="72"/>
      <c r="WFZ171" s="72"/>
      <c r="WGA171" s="72"/>
      <c r="WGB171" s="72"/>
      <c r="WGC171" s="72"/>
      <c r="WGD171" s="72"/>
      <c r="WGE171" s="72"/>
      <c r="WGF171" s="72"/>
      <c r="WGG171" s="72"/>
      <c r="WGH171" s="72"/>
      <c r="WGI171" s="72"/>
      <c r="WGJ171" s="72"/>
      <c r="WGK171" s="72"/>
      <c r="WGL171" s="72"/>
      <c r="WGM171" s="72"/>
      <c r="WGN171" s="72"/>
      <c r="WGO171" s="72"/>
      <c r="WGP171" s="72"/>
      <c r="WGQ171" s="72"/>
      <c r="WGR171" s="72"/>
      <c r="WGS171" s="72"/>
      <c r="WGT171" s="72"/>
      <c r="WGU171" s="72"/>
      <c r="WGV171" s="72"/>
      <c r="WGW171" s="72"/>
      <c r="WGX171" s="72"/>
      <c r="WGY171" s="72"/>
      <c r="WGZ171" s="72"/>
      <c r="WHA171" s="72"/>
      <c r="WHB171" s="72"/>
      <c r="WHC171" s="72"/>
      <c r="WHD171" s="72"/>
      <c r="WHE171" s="72"/>
      <c r="WHF171" s="72"/>
      <c r="WHG171" s="72"/>
      <c r="WHH171" s="72"/>
      <c r="WHI171" s="72"/>
      <c r="WHJ171" s="72"/>
      <c r="WHK171" s="72"/>
      <c r="WHL171" s="72"/>
      <c r="WHM171" s="72"/>
      <c r="WHN171" s="72"/>
      <c r="WHO171" s="72"/>
      <c r="WHP171" s="72"/>
      <c r="WHQ171" s="72"/>
      <c r="WHR171" s="72"/>
      <c r="WHS171" s="72"/>
      <c r="WHT171" s="72"/>
      <c r="WHU171" s="72"/>
      <c r="WHV171" s="72"/>
      <c r="WHW171" s="72"/>
      <c r="WHX171" s="72"/>
      <c r="WHY171" s="72"/>
      <c r="WHZ171" s="72"/>
      <c r="WIA171" s="72"/>
      <c r="WIB171" s="72"/>
      <c r="WIC171" s="72"/>
      <c r="WID171" s="72"/>
      <c r="WIE171" s="72"/>
      <c r="WIF171" s="72"/>
      <c r="WIG171" s="72"/>
      <c r="WIH171" s="72"/>
      <c r="WII171" s="72"/>
      <c r="WIJ171" s="72"/>
      <c r="WIK171" s="72"/>
      <c r="WIL171" s="72"/>
      <c r="WIM171" s="72"/>
      <c r="WIN171" s="72"/>
      <c r="WIO171" s="72"/>
      <c r="WIP171" s="72"/>
      <c r="WIQ171" s="72"/>
      <c r="WIR171" s="72"/>
      <c r="WIS171" s="72"/>
      <c r="WIT171" s="72"/>
      <c r="WIU171" s="72"/>
      <c r="WIV171" s="72"/>
      <c r="WIW171" s="72"/>
      <c r="WIX171" s="72"/>
      <c r="WIY171" s="72"/>
      <c r="WIZ171" s="72"/>
      <c r="WJA171" s="72"/>
      <c r="WJB171" s="72"/>
      <c r="WJC171" s="72"/>
      <c r="WJD171" s="72"/>
      <c r="WJE171" s="72"/>
      <c r="WJF171" s="72"/>
      <c r="WJG171" s="72"/>
      <c r="WJH171" s="72"/>
      <c r="WJI171" s="72"/>
      <c r="WJJ171" s="72"/>
      <c r="WJK171" s="72"/>
      <c r="WJL171" s="72"/>
      <c r="WJM171" s="72"/>
      <c r="WJN171" s="72"/>
      <c r="WJO171" s="72"/>
      <c r="WJP171" s="72"/>
      <c r="WJQ171" s="72"/>
      <c r="WJR171" s="72"/>
      <c r="WJS171" s="72"/>
      <c r="WJT171" s="72"/>
      <c r="WJU171" s="72"/>
      <c r="WJV171" s="72"/>
      <c r="WJW171" s="72"/>
      <c r="WJX171" s="72"/>
      <c r="WJY171" s="72"/>
      <c r="WJZ171" s="72"/>
      <c r="WKA171" s="72"/>
      <c r="WKB171" s="72"/>
      <c r="WKC171" s="72"/>
      <c r="WKD171" s="72"/>
      <c r="WKE171" s="72"/>
      <c r="WKF171" s="72"/>
      <c r="WKG171" s="72"/>
      <c r="WKH171" s="72"/>
      <c r="WKI171" s="72"/>
      <c r="WKJ171" s="72"/>
      <c r="WKK171" s="72"/>
      <c r="WKL171" s="72"/>
      <c r="WKM171" s="72"/>
      <c r="WKN171" s="72"/>
      <c r="WKO171" s="72"/>
      <c r="WKP171" s="72"/>
      <c r="WKQ171" s="72"/>
      <c r="WKR171" s="72"/>
      <c r="WKS171" s="72"/>
      <c r="WKT171" s="72"/>
      <c r="WKU171" s="72"/>
      <c r="WKV171" s="72"/>
      <c r="WKW171" s="72"/>
      <c r="WKX171" s="72"/>
      <c r="WKY171" s="72"/>
      <c r="WKZ171" s="72"/>
      <c r="WLA171" s="72"/>
      <c r="WLB171" s="72"/>
      <c r="WLC171" s="72"/>
      <c r="WLD171" s="72"/>
      <c r="WLE171" s="72"/>
      <c r="WLF171" s="72"/>
      <c r="WLG171" s="72"/>
      <c r="WLH171" s="72"/>
      <c r="WLI171" s="72"/>
      <c r="WLJ171" s="72"/>
      <c r="WLK171" s="72"/>
      <c r="WLL171" s="72"/>
      <c r="WLM171" s="72"/>
      <c r="WLN171" s="72"/>
      <c r="WLO171" s="72"/>
      <c r="WLP171" s="72"/>
      <c r="WLQ171" s="72"/>
      <c r="WLR171" s="72"/>
      <c r="WLS171" s="72"/>
      <c r="WLT171" s="72"/>
      <c r="WLU171" s="72"/>
      <c r="WLV171" s="72"/>
      <c r="WLW171" s="72"/>
      <c r="WLX171" s="72"/>
      <c r="WLY171" s="72"/>
      <c r="WLZ171" s="72"/>
      <c r="WMA171" s="72"/>
      <c r="WMB171" s="72"/>
      <c r="WMC171" s="72"/>
      <c r="WMD171" s="72"/>
      <c r="WME171" s="72"/>
      <c r="WMF171" s="72"/>
      <c r="WMG171" s="72"/>
      <c r="WMH171" s="72"/>
      <c r="WMI171" s="72"/>
      <c r="WMJ171" s="72"/>
      <c r="WMK171" s="72"/>
      <c r="WML171" s="72"/>
      <c r="WMM171" s="72"/>
      <c r="WMN171" s="72"/>
      <c r="WMO171" s="72"/>
      <c r="WMP171" s="72"/>
      <c r="WMQ171" s="72"/>
      <c r="WMR171" s="72"/>
      <c r="WMS171" s="72"/>
      <c r="WMT171" s="72"/>
      <c r="WMU171" s="72"/>
      <c r="WMV171" s="72"/>
      <c r="WMW171" s="72"/>
      <c r="WMX171" s="72"/>
      <c r="WMY171" s="72"/>
      <c r="WMZ171" s="72"/>
      <c r="WNA171" s="72"/>
      <c r="WNB171" s="72"/>
      <c r="WNC171" s="72"/>
      <c r="WND171" s="72"/>
      <c r="WNE171" s="72"/>
      <c r="WNF171" s="72"/>
      <c r="WNG171" s="72"/>
      <c r="WNH171" s="72"/>
      <c r="WNI171" s="72"/>
      <c r="WNJ171" s="72"/>
      <c r="WNK171" s="72"/>
      <c r="WNL171" s="72"/>
      <c r="WNM171" s="72"/>
      <c r="WNN171" s="72"/>
      <c r="WNO171" s="72"/>
      <c r="WNP171" s="72"/>
      <c r="WNQ171" s="72"/>
      <c r="WNR171" s="72"/>
      <c r="WNS171" s="72"/>
      <c r="WNT171" s="72"/>
      <c r="WNU171" s="72"/>
      <c r="WNV171" s="72"/>
      <c r="WNW171" s="72"/>
      <c r="WNX171" s="72"/>
      <c r="WNY171" s="72"/>
      <c r="WNZ171" s="72"/>
      <c r="WOA171" s="72"/>
      <c r="WOB171" s="72"/>
      <c r="WOC171" s="72"/>
      <c r="WOD171" s="72"/>
      <c r="WOE171" s="72"/>
      <c r="WOF171" s="72"/>
      <c r="WOG171" s="72"/>
      <c r="WOH171" s="72"/>
      <c r="WOI171" s="72"/>
      <c r="WOJ171" s="72"/>
      <c r="WOK171" s="72"/>
      <c r="WOL171" s="72"/>
      <c r="WOM171" s="72"/>
      <c r="WON171" s="72"/>
      <c r="WOO171" s="72"/>
      <c r="WOP171" s="72"/>
      <c r="WOQ171" s="72"/>
      <c r="WOR171" s="72"/>
      <c r="WOS171" s="72"/>
      <c r="WOT171" s="72"/>
      <c r="WOU171" s="72"/>
      <c r="WOV171" s="72"/>
      <c r="WOW171" s="72"/>
      <c r="WOX171" s="72"/>
      <c r="WOY171" s="72"/>
      <c r="WOZ171" s="72"/>
      <c r="WPA171" s="72"/>
      <c r="WPB171" s="72"/>
      <c r="WPC171" s="72"/>
      <c r="WPD171" s="72"/>
      <c r="WPE171" s="72"/>
      <c r="WPF171" s="72"/>
      <c r="WPG171" s="72"/>
      <c r="WPH171" s="72"/>
      <c r="WPI171" s="72"/>
      <c r="WPJ171" s="72"/>
      <c r="WPK171" s="72"/>
      <c r="WPL171" s="72"/>
      <c r="WPM171" s="72"/>
      <c r="WPN171" s="72"/>
      <c r="WPO171" s="72"/>
      <c r="WPP171" s="72"/>
      <c r="WPQ171" s="72"/>
      <c r="WPR171" s="72"/>
      <c r="WPS171" s="72"/>
      <c r="WPT171" s="72"/>
      <c r="WPU171" s="72"/>
      <c r="WPV171" s="72"/>
      <c r="WPW171" s="72"/>
      <c r="WPX171" s="72"/>
      <c r="WPY171" s="72"/>
      <c r="WPZ171" s="72"/>
      <c r="WQA171" s="72"/>
      <c r="WQB171" s="72"/>
      <c r="WQC171" s="72"/>
      <c r="WQD171" s="72"/>
      <c r="WQE171" s="72"/>
      <c r="WQF171" s="72"/>
      <c r="WQG171" s="72"/>
      <c r="WQH171" s="72"/>
      <c r="WQI171" s="72"/>
      <c r="WQJ171" s="72"/>
      <c r="WQK171" s="72"/>
      <c r="WQL171" s="72"/>
      <c r="WQM171" s="72"/>
      <c r="WQN171" s="72"/>
      <c r="WQO171" s="72"/>
      <c r="WQP171" s="72"/>
      <c r="WQQ171" s="72"/>
      <c r="WQR171" s="72"/>
      <c r="WQS171" s="72"/>
      <c r="WQT171" s="72"/>
      <c r="WQU171" s="72"/>
      <c r="WQV171" s="72"/>
      <c r="WQW171" s="72"/>
      <c r="WQX171" s="72"/>
      <c r="WQY171" s="72"/>
      <c r="WQZ171" s="72"/>
      <c r="WRA171" s="72"/>
      <c r="WRB171" s="72"/>
      <c r="WRC171" s="72"/>
      <c r="WRD171" s="72"/>
      <c r="WRE171" s="72"/>
      <c r="WRF171" s="72"/>
      <c r="WRG171" s="72"/>
      <c r="WRH171" s="72"/>
      <c r="WRI171" s="72"/>
      <c r="WRJ171" s="72"/>
      <c r="WRK171" s="72"/>
      <c r="WRL171" s="72"/>
      <c r="WRM171" s="72"/>
      <c r="WRN171" s="72"/>
      <c r="WRO171" s="72"/>
      <c r="WRP171" s="72"/>
      <c r="WRQ171" s="72"/>
      <c r="WRR171" s="72"/>
      <c r="WRS171" s="72"/>
      <c r="WRT171" s="72"/>
      <c r="WRU171" s="72"/>
      <c r="WRV171" s="72"/>
      <c r="WRW171" s="72"/>
      <c r="WRX171" s="72"/>
      <c r="WRY171" s="72"/>
      <c r="WRZ171" s="72"/>
      <c r="WSA171" s="72"/>
      <c r="WSB171" s="72"/>
      <c r="WSC171" s="72"/>
      <c r="WSD171" s="72"/>
      <c r="WSE171" s="72"/>
      <c r="WSF171" s="72"/>
      <c r="WSG171" s="72"/>
      <c r="WSH171" s="72"/>
      <c r="WSI171" s="72"/>
      <c r="WSJ171" s="72"/>
      <c r="WSK171" s="72"/>
      <c r="WSL171" s="72"/>
      <c r="WSM171" s="72"/>
      <c r="WSN171" s="72"/>
      <c r="WSO171" s="72"/>
      <c r="WSP171" s="72"/>
      <c r="WSQ171" s="72"/>
      <c r="WSR171" s="72"/>
      <c r="WSS171" s="72"/>
      <c r="WST171" s="72"/>
      <c r="WSU171" s="72"/>
      <c r="WSV171" s="72"/>
      <c r="WSW171" s="72"/>
      <c r="WSX171" s="72"/>
      <c r="WSY171" s="72"/>
      <c r="WSZ171" s="72"/>
      <c r="WTA171" s="72"/>
      <c r="WTB171" s="72"/>
      <c r="WTC171" s="72"/>
      <c r="WTD171" s="72"/>
      <c r="WTE171" s="72"/>
      <c r="WTF171" s="72"/>
      <c r="WTG171" s="72"/>
      <c r="WTH171" s="72"/>
      <c r="WTI171" s="72"/>
      <c r="WTJ171" s="72"/>
      <c r="WTK171" s="72"/>
      <c r="WTL171" s="72"/>
      <c r="WTM171" s="72"/>
      <c r="WTN171" s="72"/>
      <c r="WTO171" s="72"/>
      <c r="WTP171" s="72"/>
      <c r="WTQ171" s="72"/>
      <c r="WTR171" s="72"/>
      <c r="WTS171" s="72"/>
      <c r="WTT171" s="72"/>
      <c r="WTU171" s="72"/>
      <c r="WTV171" s="72"/>
      <c r="WTW171" s="72"/>
      <c r="WTX171" s="72"/>
      <c r="WTY171" s="72"/>
      <c r="WTZ171" s="72"/>
      <c r="WUA171" s="72"/>
      <c r="WUB171" s="72"/>
      <c r="WUC171" s="72"/>
      <c r="WUD171" s="72"/>
      <c r="WUE171" s="72"/>
      <c r="WUF171" s="72"/>
      <c r="WUG171" s="72"/>
      <c r="WUH171" s="72"/>
      <c r="WUI171" s="72"/>
      <c r="WUJ171" s="72"/>
      <c r="WUK171" s="72"/>
      <c r="WUL171" s="72"/>
      <c r="WUM171" s="72"/>
      <c r="WUN171" s="72"/>
      <c r="WUO171" s="72"/>
      <c r="WUP171" s="72"/>
      <c r="WUQ171" s="72"/>
      <c r="WUR171" s="72"/>
      <c r="WUS171" s="72"/>
      <c r="WUT171" s="72"/>
      <c r="WUU171" s="72"/>
      <c r="WUV171" s="72"/>
      <c r="WUW171" s="72"/>
      <c r="WUX171" s="72"/>
      <c r="WUY171" s="72"/>
      <c r="WUZ171" s="72"/>
      <c r="WVA171" s="72"/>
      <c r="WVB171" s="72"/>
      <c r="WVC171" s="72"/>
      <c r="WVD171" s="72"/>
      <c r="WVE171" s="72"/>
      <c r="WVF171" s="72"/>
      <c r="WVG171" s="72"/>
      <c r="WVH171" s="72"/>
      <c r="WVI171" s="72"/>
      <c r="WVJ171" s="72"/>
      <c r="WVK171" s="72"/>
      <c r="WVL171" s="72"/>
      <c r="WVM171" s="72"/>
      <c r="WVN171" s="72"/>
      <c r="WVO171" s="72"/>
      <c r="WVP171" s="72"/>
      <c r="WVQ171" s="72"/>
      <c r="WVR171" s="72"/>
      <c r="WVS171" s="72"/>
    </row>
    <row r="172" spans="1:16139" s="3" customFormat="1" ht="159" customHeight="1" x14ac:dyDescent="0.25">
      <c r="A172" s="73">
        <v>145</v>
      </c>
      <c r="B172" s="73" t="s">
        <v>197</v>
      </c>
      <c r="C172" s="51" t="s">
        <v>40</v>
      </c>
      <c r="D172" s="45" t="s">
        <v>39</v>
      </c>
      <c r="E172" s="45" t="s">
        <v>38</v>
      </c>
      <c r="F172" s="45">
        <v>897</v>
      </c>
      <c r="G172" s="45">
        <v>1995</v>
      </c>
      <c r="H172" s="46">
        <f t="shared" si="54"/>
        <v>1.789515</v>
      </c>
      <c r="I172" s="45">
        <v>1</v>
      </c>
      <c r="J172" s="53">
        <v>3445000</v>
      </c>
      <c r="K172" s="47">
        <v>1819000</v>
      </c>
      <c r="L172" s="48">
        <f t="shared" si="55"/>
        <v>7983879.1749999998</v>
      </c>
      <c r="M172" s="28"/>
      <c r="N172" s="28"/>
      <c r="O172" s="28"/>
      <c r="P172" s="28"/>
      <c r="Q172" s="28"/>
      <c r="R172" s="28"/>
      <c r="S172" s="28"/>
      <c r="T172" s="28"/>
      <c r="U172" s="28"/>
      <c r="V172" s="28"/>
      <c r="W172" s="28"/>
      <c r="X172" s="28"/>
      <c r="Y172" s="28"/>
      <c r="Z172" s="28"/>
      <c r="AA172" s="28"/>
      <c r="AB172" s="28"/>
      <c r="AC172" s="28"/>
      <c r="AD172" s="28"/>
      <c r="AE172" s="28"/>
      <c r="AF172" s="28"/>
    </row>
    <row r="173" spans="1:16139" s="3" customFormat="1" ht="159" customHeight="1" x14ac:dyDescent="0.25">
      <c r="A173" s="73">
        <v>146</v>
      </c>
      <c r="B173" s="73" t="s">
        <v>198</v>
      </c>
      <c r="C173" s="51" t="s">
        <v>40</v>
      </c>
      <c r="D173" s="45" t="s">
        <v>39</v>
      </c>
      <c r="E173" s="45" t="s">
        <v>38</v>
      </c>
      <c r="F173" s="45">
        <v>897</v>
      </c>
      <c r="G173" s="45">
        <v>1995</v>
      </c>
      <c r="H173" s="46">
        <f t="shared" si="54"/>
        <v>1.789515</v>
      </c>
      <c r="I173" s="45">
        <v>1</v>
      </c>
      <c r="J173" s="53">
        <v>3445000</v>
      </c>
      <c r="K173" s="47">
        <v>1819000</v>
      </c>
      <c r="L173" s="48">
        <f t="shared" si="55"/>
        <v>7983879.1749999998</v>
      </c>
      <c r="M173" s="28"/>
      <c r="N173" s="28"/>
      <c r="O173" s="28"/>
      <c r="P173" s="28"/>
      <c r="Q173" s="28"/>
      <c r="R173" s="28"/>
      <c r="S173" s="28"/>
      <c r="T173" s="28"/>
      <c r="U173" s="28"/>
      <c r="V173" s="28"/>
      <c r="W173" s="28"/>
      <c r="X173" s="28"/>
      <c r="Y173" s="28"/>
      <c r="Z173" s="28"/>
      <c r="AA173" s="28"/>
      <c r="AB173" s="28"/>
      <c r="AC173" s="28"/>
      <c r="AD173" s="28"/>
      <c r="AE173" s="28"/>
      <c r="AF173" s="28"/>
    </row>
    <row r="174" spans="1:16139" ht="147" customHeight="1" x14ac:dyDescent="0.25">
      <c r="A174" s="135">
        <v>147</v>
      </c>
      <c r="B174" s="135" t="s">
        <v>204</v>
      </c>
      <c r="C174" s="51" t="s">
        <v>205</v>
      </c>
      <c r="D174" s="45" t="s">
        <v>206</v>
      </c>
      <c r="E174" s="45"/>
      <c r="F174" s="45">
        <v>6000</v>
      </c>
      <c r="G174" s="45">
        <v>1500</v>
      </c>
      <c r="H174" s="46">
        <f t="shared" si="54"/>
        <v>9</v>
      </c>
      <c r="I174" s="45">
        <v>2</v>
      </c>
      <c r="J174" s="53">
        <v>2808000</v>
      </c>
      <c r="K174" s="47"/>
      <c r="L174" s="48">
        <f t="shared" si="55"/>
        <v>50544000</v>
      </c>
      <c r="M174" s="28"/>
      <c r="N174" s="28"/>
      <c r="O174" s="28"/>
      <c r="P174" s="28"/>
      <c r="Q174" s="28"/>
      <c r="R174" s="28"/>
      <c r="S174" s="28"/>
      <c r="T174" s="28"/>
      <c r="U174" s="28"/>
      <c r="V174" s="28"/>
      <c r="W174" s="28"/>
      <c r="X174" s="28"/>
      <c r="Y174" s="28"/>
      <c r="Z174" s="28"/>
      <c r="AA174" s="28"/>
      <c r="AB174" s="28"/>
      <c r="AC174" s="28"/>
      <c r="AD174" s="28"/>
      <c r="AE174" s="28"/>
      <c r="AF174" s="28"/>
      <c r="AG174" s="28"/>
      <c r="AH174" s="28"/>
    </row>
    <row r="175" spans="1:16139" ht="30.75" customHeight="1" x14ac:dyDescent="0.25">
      <c r="A175" s="136"/>
      <c r="B175" s="136"/>
      <c r="C175" s="69" t="s">
        <v>201</v>
      </c>
      <c r="D175" s="59"/>
      <c r="E175" s="59"/>
      <c r="F175" s="59">
        <f>6000*2</f>
        <v>12000</v>
      </c>
      <c r="G175" s="59"/>
      <c r="H175" s="60">
        <f t="shared" si="54"/>
        <v>0</v>
      </c>
      <c r="I175" s="59">
        <v>2</v>
      </c>
      <c r="J175" s="53">
        <v>550000</v>
      </c>
      <c r="K175" s="47"/>
      <c r="L175" s="70">
        <f>F175*I175*J175/1000</f>
        <v>13200000</v>
      </c>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c r="FP175" s="72"/>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2"/>
      <c r="MQ175" s="72"/>
      <c r="MR175" s="72"/>
      <c r="MS175" s="72"/>
      <c r="MT175" s="72"/>
      <c r="MU175" s="72"/>
      <c r="MV175" s="72"/>
      <c r="MW175" s="72"/>
      <c r="MX175" s="72"/>
      <c r="MY175" s="72"/>
      <c r="MZ175" s="72"/>
      <c r="NA175" s="72"/>
      <c r="NB175" s="72"/>
      <c r="NC175" s="72"/>
      <c r="ND175" s="72"/>
      <c r="NE175" s="72"/>
      <c r="NF175" s="72"/>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c r="OJ175" s="72"/>
      <c r="OK175" s="72"/>
      <c r="OL175" s="72"/>
      <c r="OM175" s="72"/>
      <c r="ON175" s="72"/>
      <c r="OO175" s="72"/>
      <c r="OP175" s="72"/>
      <c r="OQ175" s="72"/>
      <c r="OR175" s="72"/>
      <c r="OS175" s="72"/>
      <c r="OT175" s="72"/>
      <c r="OU175" s="72"/>
      <c r="OV175" s="72"/>
      <c r="OW175" s="72"/>
      <c r="OX175" s="72"/>
      <c r="OY175" s="72"/>
      <c r="OZ175" s="72"/>
      <c r="PA175" s="72"/>
      <c r="PB175" s="72"/>
      <c r="PC175" s="72"/>
      <c r="PD175" s="72"/>
      <c r="PE175" s="72"/>
      <c r="PF175" s="72"/>
      <c r="PG175" s="72"/>
      <c r="PH175" s="72"/>
      <c r="PI175" s="72"/>
      <c r="PJ175" s="72"/>
      <c r="PK175" s="72"/>
      <c r="PL175" s="72"/>
      <c r="PM175" s="72"/>
      <c r="PN175" s="72"/>
      <c r="PO175" s="72"/>
      <c r="PP175" s="72"/>
      <c r="PQ175" s="72"/>
      <c r="PR175" s="72"/>
      <c r="PS175" s="72"/>
      <c r="PT175" s="72"/>
      <c r="PU175" s="72"/>
      <c r="PV175" s="72"/>
      <c r="PW175" s="72"/>
      <c r="PX175" s="72"/>
      <c r="PY175" s="72"/>
      <c r="PZ175" s="72"/>
      <c r="QA175" s="72"/>
      <c r="QB175" s="72"/>
      <c r="QC175" s="72"/>
      <c r="QD175" s="72"/>
      <c r="QE175" s="72"/>
      <c r="QF175" s="72"/>
      <c r="QG175" s="72"/>
      <c r="QH175" s="72"/>
      <c r="QI175" s="72"/>
      <c r="QJ175" s="72"/>
      <c r="QK175" s="72"/>
      <c r="QL175" s="72"/>
      <c r="QM175" s="72"/>
      <c r="QN175" s="72"/>
      <c r="QO175" s="72"/>
      <c r="QP175" s="72"/>
      <c r="QQ175" s="72"/>
      <c r="QR175" s="72"/>
      <c r="QS175" s="72"/>
      <c r="QT175" s="72"/>
      <c r="QU175" s="72"/>
      <c r="QV175" s="72"/>
      <c r="QW175" s="72"/>
      <c r="QX175" s="72"/>
      <c r="QY175" s="72"/>
      <c r="QZ175" s="72"/>
      <c r="RA175" s="72"/>
      <c r="RB175" s="72"/>
      <c r="RC175" s="72"/>
      <c r="RD175" s="72"/>
      <c r="RE175" s="72"/>
      <c r="RF175" s="72"/>
      <c r="RG175" s="72"/>
      <c r="RH175" s="72"/>
      <c r="RI175" s="72"/>
      <c r="RJ175" s="72"/>
      <c r="RK175" s="72"/>
      <c r="RL175" s="72"/>
      <c r="RM175" s="72"/>
      <c r="RN175" s="72"/>
      <c r="RO175" s="72"/>
      <c r="RP175" s="72"/>
      <c r="RQ175" s="72"/>
      <c r="RR175" s="72"/>
      <c r="RS175" s="72"/>
      <c r="RT175" s="72"/>
      <c r="RU175" s="72"/>
      <c r="RV175" s="72"/>
      <c r="RW175" s="72"/>
      <c r="RX175" s="72"/>
      <c r="RY175" s="72"/>
      <c r="RZ175" s="72"/>
      <c r="SA175" s="72"/>
      <c r="SB175" s="72"/>
      <c r="SC175" s="72"/>
      <c r="SD175" s="72"/>
      <c r="SE175" s="72"/>
      <c r="SF175" s="72"/>
      <c r="SG175" s="72"/>
      <c r="SH175" s="72"/>
      <c r="SI175" s="72"/>
      <c r="SJ175" s="72"/>
      <c r="SK175" s="72"/>
      <c r="SL175" s="72"/>
      <c r="SM175" s="72"/>
      <c r="SN175" s="72"/>
      <c r="SO175" s="72"/>
      <c r="SP175" s="72"/>
      <c r="SQ175" s="72"/>
      <c r="SR175" s="72"/>
      <c r="SS175" s="72"/>
      <c r="ST175" s="72"/>
      <c r="SU175" s="72"/>
      <c r="SV175" s="72"/>
      <c r="SW175" s="72"/>
      <c r="SX175" s="72"/>
      <c r="SY175" s="72"/>
      <c r="SZ175" s="72"/>
      <c r="TA175" s="72"/>
      <c r="TB175" s="72"/>
      <c r="TC175" s="72"/>
      <c r="TD175" s="72"/>
      <c r="TE175" s="72"/>
      <c r="TF175" s="72"/>
      <c r="TG175" s="72"/>
      <c r="TH175" s="72"/>
      <c r="TI175" s="72"/>
      <c r="TJ175" s="72"/>
      <c r="TK175" s="72"/>
      <c r="TL175" s="72"/>
      <c r="TM175" s="72"/>
      <c r="TN175" s="72"/>
      <c r="TO175" s="72"/>
      <c r="TP175" s="72"/>
      <c r="TQ175" s="72"/>
      <c r="TR175" s="72"/>
      <c r="TS175" s="72"/>
      <c r="TT175" s="72"/>
      <c r="TU175" s="72"/>
      <c r="TV175" s="72"/>
      <c r="TW175" s="72"/>
      <c r="TX175" s="72"/>
      <c r="TY175" s="72"/>
      <c r="TZ175" s="72"/>
      <c r="UA175" s="72"/>
      <c r="UB175" s="72"/>
      <c r="UC175" s="72"/>
      <c r="UD175" s="72"/>
      <c r="UE175" s="72"/>
      <c r="UF175" s="72"/>
      <c r="UG175" s="72"/>
      <c r="UH175" s="72"/>
      <c r="UI175" s="72"/>
      <c r="UJ175" s="72"/>
      <c r="UK175" s="72"/>
      <c r="UL175" s="72"/>
      <c r="UM175" s="72"/>
      <c r="UN175" s="72"/>
      <c r="UO175" s="72"/>
      <c r="UP175" s="72"/>
      <c r="UQ175" s="72"/>
      <c r="UR175" s="72"/>
      <c r="US175" s="72"/>
      <c r="UT175" s="72"/>
      <c r="UU175" s="72"/>
      <c r="UV175" s="72"/>
      <c r="UW175" s="72"/>
      <c r="UX175" s="72"/>
      <c r="UY175" s="72"/>
      <c r="UZ175" s="72"/>
      <c r="VA175" s="72"/>
      <c r="VB175" s="72"/>
      <c r="VC175" s="72"/>
      <c r="VD175" s="72"/>
      <c r="VE175" s="72"/>
      <c r="VF175" s="72"/>
      <c r="VG175" s="72"/>
      <c r="VH175" s="72"/>
      <c r="VI175" s="72"/>
      <c r="VJ175" s="72"/>
      <c r="VK175" s="72"/>
      <c r="VL175" s="72"/>
      <c r="VM175" s="72"/>
      <c r="VN175" s="72"/>
      <c r="VO175" s="72"/>
      <c r="VP175" s="72"/>
      <c r="VQ175" s="72"/>
      <c r="VR175" s="72"/>
      <c r="VS175" s="72"/>
      <c r="VT175" s="72"/>
      <c r="VU175" s="72"/>
      <c r="VV175" s="72"/>
      <c r="VW175" s="72"/>
      <c r="VX175" s="72"/>
      <c r="VY175" s="72"/>
      <c r="VZ175" s="72"/>
      <c r="WA175" s="72"/>
      <c r="WB175" s="72"/>
      <c r="WC175" s="72"/>
      <c r="WD175" s="72"/>
      <c r="WE175" s="72"/>
      <c r="WF175" s="72"/>
      <c r="WG175" s="72"/>
      <c r="WH175" s="72"/>
      <c r="WI175" s="72"/>
      <c r="WJ175" s="72"/>
      <c r="WK175" s="72"/>
      <c r="WL175" s="72"/>
      <c r="WM175" s="72"/>
      <c r="WN175" s="72"/>
      <c r="WO175" s="72"/>
      <c r="WP175" s="72"/>
      <c r="WQ175" s="72"/>
      <c r="WR175" s="72"/>
      <c r="WS175" s="72"/>
      <c r="WT175" s="72"/>
      <c r="WU175" s="72"/>
      <c r="WV175" s="72"/>
      <c r="WW175" s="72"/>
      <c r="WX175" s="72"/>
      <c r="WY175" s="72"/>
      <c r="WZ175" s="72"/>
      <c r="XA175" s="72"/>
      <c r="XB175" s="72"/>
      <c r="XC175" s="72"/>
      <c r="XD175" s="72"/>
      <c r="XE175" s="72"/>
      <c r="XF175" s="72"/>
      <c r="XG175" s="72"/>
      <c r="XH175" s="72"/>
      <c r="XI175" s="72"/>
      <c r="XJ175" s="72"/>
      <c r="XK175" s="72"/>
      <c r="XL175" s="72"/>
      <c r="XM175" s="72"/>
      <c r="XN175" s="72"/>
      <c r="XO175" s="72"/>
      <c r="XP175" s="72"/>
      <c r="XQ175" s="72"/>
      <c r="XR175" s="72"/>
      <c r="XS175" s="72"/>
      <c r="XT175" s="72"/>
      <c r="XU175" s="72"/>
      <c r="XV175" s="72"/>
      <c r="XW175" s="72"/>
      <c r="XX175" s="72"/>
      <c r="XY175" s="72"/>
      <c r="XZ175" s="72"/>
      <c r="YA175" s="72"/>
      <c r="YB175" s="72"/>
      <c r="YC175" s="72"/>
      <c r="YD175" s="72"/>
      <c r="YE175" s="72"/>
      <c r="YF175" s="72"/>
      <c r="YG175" s="72"/>
      <c r="YH175" s="72"/>
      <c r="YI175" s="72"/>
      <c r="YJ175" s="72"/>
      <c r="YK175" s="72"/>
      <c r="YL175" s="72"/>
      <c r="YM175" s="72"/>
      <c r="YN175" s="72"/>
      <c r="YO175" s="72"/>
      <c r="YP175" s="72"/>
      <c r="YQ175" s="72"/>
      <c r="YR175" s="72"/>
      <c r="YS175" s="72"/>
      <c r="YT175" s="72"/>
      <c r="YU175" s="72"/>
      <c r="YV175" s="72"/>
      <c r="YW175" s="72"/>
      <c r="YX175" s="72"/>
      <c r="YY175" s="72"/>
      <c r="YZ175" s="72"/>
      <c r="ZA175" s="72"/>
      <c r="ZB175" s="72"/>
      <c r="ZC175" s="72"/>
      <c r="ZD175" s="72"/>
      <c r="ZE175" s="72"/>
      <c r="ZF175" s="72"/>
      <c r="ZG175" s="72"/>
      <c r="ZH175" s="72"/>
      <c r="ZI175" s="72"/>
      <c r="ZJ175" s="72"/>
      <c r="ZK175" s="72"/>
      <c r="ZL175" s="72"/>
      <c r="ZM175" s="72"/>
      <c r="ZN175" s="72"/>
      <c r="ZO175" s="72"/>
      <c r="ZP175" s="72"/>
      <c r="ZQ175" s="72"/>
      <c r="ZR175" s="72"/>
      <c r="ZS175" s="72"/>
      <c r="ZT175" s="72"/>
      <c r="ZU175" s="72"/>
      <c r="ZV175" s="72"/>
      <c r="ZW175" s="72"/>
      <c r="ZX175" s="72"/>
      <c r="ZY175" s="72"/>
      <c r="ZZ175" s="72"/>
      <c r="AAA175" s="72"/>
      <c r="AAB175" s="72"/>
      <c r="AAC175" s="72"/>
      <c r="AAD175" s="72"/>
      <c r="AAE175" s="72"/>
      <c r="AAF175" s="72"/>
      <c r="AAG175" s="72"/>
      <c r="AAH175" s="72"/>
      <c r="AAI175" s="72"/>
      <c r="AAJ175" s="72"/>
      <c r="AAK175" s="72"/>
      <c r="AAL175" s="72"/>
      <c r="AAM175" s="72"/>
      <c r="AAN175" s="72"/>
      <c r="AAO175" s="72"/>
      <c r="AAP175" s="72"/>
      <c r="AAQ175" s="72"/>
      <c r="AAR175" s="72"/>
      <c r="AAS175" s="72"/>
      <c r="AAT175" s="72"/>
      <c r="AAU175" s="72"/>
      <c r="AAV175" s="72"/>
      <c r="AAW175" s="72"/>
      <c r="AAX175" s="72"/>
      <c r="AAY175" s="72"/>
      <c r="AAZ175" s="72"/>
      <c r="ABA175" s="72"/>
      <c r="ABB175" s="72"/>
      <c r="ABC175" s="72"/>
      <c r="ABD175" s="72"/>
      <c r="ABE175" s="72"/>
      <c r="ABF175" s="72"/>
      <c r="ABG175" s="72"/>
      <c r="ABH175" s="72"/>
      <c r="ABI175" s="72"/>
      <c r="ABJ175" s="72"/>
      <c r="ABK175" s="72"/>
      <c r="ABL175" s="72"/>
      <c r="ABM175" s="72"/>
      <c r="ABN175" s="72"/>
      <c r="ABO175" s="72"/>
      <c r="ABP175" s="72"/>
      <c r="ABQ175" s="72"/>
      <c r="ABR175" s="72"/>
      <c r="ABS175" s="72"/>
      <c r="ABT175" s="72"/>
      <c r="ABU175" s="72"/>
      <c r="ABV175" s="72"/>
      <c r="ABW175" s="72"/>
      <c r="ABX175" s="72"/>
      <c r="ABY175" s="72"/>
      <c r="ABZ175" s="72"/>
      <c r="ACA175" s="72"/>
      <c r="ACB175" s="72"/>
      <c r="ACC175" s="72"/>
      <c r="ACD175" s="72"/>
      <c r="ACE175" s="72"/>
      <c r="ACF175" s="72"/>
      <c r="ACG175" s="72"/>
      <c r="ACH175" s="72"/>
      <c r="ACI175" s="72"/>
      <c r="ACJ175" s="72"/>
      <c r="ACK175" s="72"/>
      <c r="ACL175" s="72"/>
      <c r="ACM175" s="72"/>
      <c r="ACN175" s="72"/>
      <c r="ACO175" s="72"/>
      <c r="ACP175" s="72"/>
      <c r="ACQ175" s="72"/>
      <c r="ACR175" s="72"/>
      <c r="ACS175" s="72"/>
      <c r="ACT175" s="72"/>
      <c r="ACU175" s="72"/>
      <c r="ACV175" s="72"/>
      <c r="ACW175" s="72"/>
      <c r="ACX175" s="72"/>
      <c r="ACY175" s="72"/>
      <c r="ACZ175" s="72"/>
      <c r="ADA175" s="72"/>
      <c r="ADB175" s="72"/>
      <c r="ADC175" s="72"/>
      <c r="ADD175" s="72"/>
      <c r="ADE175" s="72"/>
      <c r="ADF175" s="72"/>
      <c r="ADG175" s="72"/>
      <c r="ADH175" s="72"/>
      <c r="ADI175" s="72"/>
      <c r="ADJ175" s="72"/>
      <c r="ADK175" s="72"/>
      <c r="ADL175" s="72"/>
      <c r="ADM175" s="72"/>
      <c r="ADN175" s="72"/>
      <c r="ADO175" s="72"/>
      <c r="ADP175" s="72"/>
      <c r="ADQ175" s="72"/>
      <c r="ADR175" s="72"/>
      <c r="ADS175" s="72"/>
      <c r="ADT175" s="72"/>
      <c r="ADU175" s="72"/>
      <c r="ADV175" s="72"/>
      <c r="ADW175" s="72"/>
      <c r="ADX175" s="72"/>
      <c r="ADY175" s="72"/>
      <c r="ADZ175" s="72"/>
      <c r="AEA175" s="72"/>
      <c r="AEB175" s="72"/>
      <c r="AEC175" s="72"/>
      <c r="AED175" s="72"/>
      <c r="AEE175" s="72"/>
      <c r="AEF175" s="72"/>
      <c r="AEG175" s="72"/>
      <c r="AEH175" s="72"/>
      <c r="AEI175" s="72"/>
      <c r="AEJ175" s="72"/>
      <c r="AEK175" s="72"/>
      <c r="AEL175" s="72"/>
      <c r="AEM175" s="72"/>
      <c r="AEN175" s="72"/>
      <c r="AEO175" s="72"/>
      <c r="AEP175" s="72"/>
      <c r="AEQ175" s="72"/>
      <c r="AER175" s="72"/>
      <c r="AES175" s="72"/>
      <c r="AET175" s="72"/>
      <c r="AEU175" s="72"/>
      <c r="AEV175" s="72"/>
      <c r="AEW175" s="72"/>
      <c r="AEX175" s="72"/>
      <c r="AEY175" s="72"/>
      <c r="AEZ175" s="72"/>
      <c r="AFA175" s="72"/>
      <c r="AFB175" s="72"/>
      <c r="AFC175" s="72"/>
      <c r="AFD175" s="72"/>
      <c r="AFE175" s="72"/>
      <c r="AFF175" s="72"/>
      <c r="AFG175" s="72"/>
      <c r="AFH175" s="72"/>
      <c r="AFI175" s="72"/>
      <c r="AFJ175" s="72"/>
      <c r="AFK175" s="72"/>
      <c r="AFL175" s="72"/>
      <c r="AFM175" s="72"/>
      <c r="AFN175" s="72"/>
      <c r="AFO175" s="72"/>
      <c r="AFP175" s="72"/>
      <c r="AFQ175" s="72"/>
      <c r="AFR175" s="72"/>
      <c r="AFS175" s="72"/>
      <c r="AFT175" s="72"/>
      <c r="AFU175" s="72"/>
      <c r="AFV175" s="72"/>
      <c r="AFW175" s="72"/>
      <c r="AFX175" s="72"/>
      <c r="AFY175" s="72"/>
      <c r="AFZ175" s="72"/>
      <c r="AGA175" s="72"/>
      <c r="AGB175" s="72"/>
      <c r="AGC175" s="72"/>
      <c r="AGD175" s="72"/>
      <c r="AGE175" s="72"/>
      <c r="AGF175" s="72"/>
      <c r="AGG175" s="72"/>
      <c r="AGH175" s="72"/>
      <c r="AGI175" s="72"/>
      <c r="AGJ175" s="72"/>
      <c r="AGK175" s="72"/>
      <c r="AGL175" s="72"/>
      <c r="AGM175" s="72"/>
      <c r="AGN175" s="72"/>
      <c r="AGO175" s="72"/>
      <c r="AGP175" s="72"/>
      <c r="AGQ175" s="72"/>
      <c r="AGR175" s="72"/>
      <c r="AGS175" s="72"/>
      <c r="AGT175" s="72"/>
      <c r="AGU175" s="72"/>
      <c r="AGV175" s="72"/>
      <c r="AGW175" s="72"/>
      <c r="AGX175" s="72"/>
      <c r="AGY175" s="72"/>
      <c r="AGZ175" s="72"/>
      <c r="AHA175" s="72"/>
      <c r="AHB175" s="72"/>
      <c r="AHC175" s="72"/>
      <c r="AHD175" s="72"/>
      <c r="AHE175" s="72"/>
      <c r="AHF175" s="72"/>
      <c r="AHG175" s="72"/>
      <c r="AHH175" s="72"/>
      <c r="AHI175" s="72"/>
      <c r="AHJ175" s="72"/>
      <c r="AHK175" s="72"/>
      <c r="AHL175" s="72"/>
      <c r="AHM175" s="72"/>
      <c r="AHN175" s="72"/>
      <c r="AHO175" s="72"/>
      <c r="AHP175" s="72"/>
      <c r="AHQ175" s="72"/>
      <c r="AHR175" s="72"/>
      <c r="AHS175" s="72"/>
      <c r="AHT175" s="72"/>
      <c r="AHU175" s="72"/>
      <c r="AHV175" s="72"/>
      <c r="AHW175" s="72"/>
      <c r="AHX175" s="72"/>
      <c r="AHY175" s="72"/>
      <c r="AHZ175" s="72"/>
      <c r="AIA175" s="72"/>
      <c r="AIB175" s="72"/>
      <c r="AIC175" s="72"/>
      <c r="AID175" s="72"/>
      <c r="AIE175" s="72"/>
      <c r="AIF175" s="72"/>
      <c r="AIG175" s="72"/>
      <c r="AIH175" s="72"/>
      <c r="AII175" s="72"/>
      <c r="AIJ175" s="72"/>
      <c r="AIK175" s="72"/>
      <c r="AIL175" s="72"/>
      <c r="AIM175" s="72"/>
      <c r="AIN175" s="72"/>
      <c r="AIO175" s="72"/>
      <c r="AIP175" s="72"/>
      <c r="AIQ175" s="72"/>
      <c r="AIR175" s="72"/>
      <c r="AIS175" s="72"/>
      <c r="AIT175" s="72"/>
      <c r="AIU175" s="72"/>
      <c r="AIV175" s="72"/>
      <c r="AIW175" s="72"/>
      <c r="AIX175" s="72"/>
      <c r="AIY175" s="72"/>
      <c r="AIZ175" s="72"/>
      <c r="AJA175" s="72"/>
      <c r="AJB175" s="72"/>
      <c r="AJC175" s="72"/>
      <c r="AJD175" s="72"/>
      <c r="AJE175" s="72"/>
      <c r="AJF175" s="72"/>
      <c r="AJG175" s="72"/>
      <c r="AJH175" s="72"/>
      <c r="AJI175" s="72"/>
      <c r="AJJ175" s="72"/>
      <c r="AJK175" s="72"/>
      <c r="AJL175" s="72"/>
      <c r="AJM175" s="72"/>
      <c r="AJN175" s="72"/>
      <c r="AJO175" s="72"/>
      <c r="AJP175" s="72"/>
      <c r="AJQ175" s="72"/>
      <c r="AJR175" s="72"/>
      <c r="AJS175" s="72"/>
      <c r="AJT175" s="72"/>
      <c r="AJU175" s="72"/>
      <c r="AJV175" s="72"/>
      <c r="AJW175" s="72"/>
      <c r="AJX175" s="72"/>
      <c r="AJY175" s="72"/>
      <c r="AJZ175" s="72"/>
      <c r="AKA175" s="72"/>
      <c r="AKB175" s="72"/>
      <c r="AKC175" s="72"/>
      <c r="AKD175" s="72"/>
      <c r="AKE175" s="72"/>
      <c r="AKF175" s="72"/>
      <c r="AKG175" s="72"/>
      <c r="AKH175" s="72"/>
      <c r="AKI175" s="72"/>
      <c r="AKJ175" s="72"/>
      <c r="AKK175" s="72"/>
      <c r="AKL175" s="72"/>
      <c r="AKM175" s="72"/>
      <c r="AKN175" s="72"/>
      <c r="AKO175" s="72"/>
      <c r="AKP175" s="72"/>
      <c r="AKQ175" s="72"/>
      <c r="AKR175" s="72"/>
      <c r="AKS175" s="72"/>
      <c r="AKT175" s="72"/>
      <c r="AKU175" s="72"/>
      <c r="AKV175" s="72"/>
      <c r="AKW175" s="72"/>
      <c r="AKX175" s="72"/>
      <c r="AKY175" s="72"/>
      <c r="AKZ175" s="72"/>
      <c r="ALA175" s="72"/>
      <c r="ALB175" s="72"/>
      <c r="ALC175" s="72"/>
      <c r="ALD175" s="72"/>
      <c r="ALE175" s="72"/>
      <c r="ALF175" s="72"/>
      <c r="ALG175" s="72"/>
      <c r="ALH175" s="72"/>
      <c r="ALI175" s="72"/>
      <c r="ALJ175" s="72"/>
      <c r="ALK175" s="72"/>
      <c r="ALL175" s="72"/>
      <c r="ALM175" s="72"/>
      <c r="ALN175" s="72"/>
      <c r="ALO175" s="72"/>
      <c r="ALP175" s="72"/>
      <c r="ALQ175" s="72"/>
      <c r="ALR175" s="72"/>
      <c r="ALS175" s="72"/>
      <c r="ALT175" s="72"/>
      <c r="ALU175" s="72"/>
      <c r="ALV175" s="72"/>
      <c r="ALW175" s="72"/>
      <c r="ALX175" s="72"/>
      <c r="ALY175" s="72"/>
      <c r="ALZ175" s="72"/>
      <c r="AMA175" s="72"/>
      <c r="AMB175" s="72"/>
      <c r="AMC175" s="72"/>
      <c r="AMD175" s="72"/>
      <c r="AME175" s="72"/>
      <c r="AMF175" s="72"/>
      <c r="AMG175" s="72"/>
      <c r="AMH175" s="72"/>
      <c r="AMI175" s="72"/>
      <c r="AMJ175" s="72"/>
      <c r="AMK175" s="72"/>
      <c r="AML175" s="72"/>
      <c r="AMM175" s="72"/>
      <c r="AMN175" s="72"/>
      <c r="AMO175" s="72"/>
      <c r="AMP175" s="72"/>
      <c r="AMQ175" s="72"/>
      <c r="AMR175" s="72"/>
      <c r="AMS175" s="72"/>
      <c r="AMT175" s="72"/>
      <c r="AMU175" s="72"/>
      <c r="AMV175" s="72"/>
      <c r="AMW175" s="72"/>
      <c r="AMX175" s="72"/>
      <c r="AMY175" s="72"/>
      <c r="AMZ175" s="72"/>
      <c r="ANA175" s="72"/>
      <c r="ANB175" s="72"/>
      <c r="ANC175" s="72"/>
      <c r="AND175" s="72"/>
      <c r="ANE175" s="72"/>
      <c r="ANF175" s="72"/>
      <c r="ANG175" s="72"/>
      <c r="ANH175" s="72"/>
      <c r="ANI175" s="72"/>
      <c r="ANJ175" s="72"/>
      <c r="ANK175" s="72"/>
      <c r="ANL175" s="72"/>
      <c r="ANM175" s="72"/>
      <c r="ANN175" s="72"/>
      <c r="ANO175" s="72"/>
      <c r="ANP175" s="72"/>
      <c r="ANQ175" s="72"/>
      <c r="ANR175" s="72"/>
      <c r="ANS175" s="72"/>
      <c r="ANT175" s="72"/>
      <c r="ANU175" s="72"/>
      <c r="ANV175" s="72"/>
      <c r="ANW175" s="72"/>
      <c r="ANX175" s="72"/>
      <c r="ANY175" s="72"/>
      <c r="ANZ175" s="72"/>
      <c r="AOA175" s="72"/>
      <c r="AOB175" s="72"/>
      <c r="AOC175" s="72"/>
      <c r="AOD175" s="72"/>
      <c r="AOE175" s="72"/>
      <c r="AOF175" s="72"/>
      <c r="AOG175" s="72"/>
      <c r="AOH175" s="72"/>
      <c r="AOI175" s="72"/>
      <c r="AOJ175" s="72"/>
      <c r="AOK175" s="72"/>
      <c r="AOL175" s="72"/>
      <c r="AOM175" s="72"/>
      <c r="AON175" s="72"/>
      <c r="AOO175" s="72"/>
      <c r="AOP175" s="72"/>
      <c r="AOQ175" s="72"/>
      <c r="AOR175" s="72"/>
      <c r="AOS175" s="72"/>
      <c r="AOT175" s="72"/>
      <c r="AOU175" s="72"/>
      <c r="AOV175" s="72"/>
      <c r="AOW175" s="72"/>
      <c r="AOX175" s="72"/>
      <c r="AOY175" s="72"/>
      <c r="AOZ175" s="72"/>
      <c r="APA175" s="72"/>
      <c r="APB175" s="72"/>
      <c r="APC175" s="72"/>
      <c r="APD175" s="72"/>
      <c r="APE175" s="72"/>
      <c r="APF175" s="72"/>
      <c r="APG175" s="72"/>
      <c r="APH175" s="72"/>
      <c r="API175" s="72"/>
      <c r="APJ175" s="72"/>
      <c r="APK175" s="72"/>
      <c r="APL175" s="72"/>
      <c r="APM175" s="72"/>
      <c r="APN175" s="72"/>
      <c r="APO175" s="72"/>
      <c r="APP175" s="72"/>
      <c r="APQ175" s="72"/>
      <c r="APR175" s="72"/>
      <c r="APS175" s="72"/>
      <c r="APT175" s="72"/>
      <c r="APU175" s="72"/>
      <c r="APV175" s="72"/>
      <c r="APW175" s="72"/>
      <c r="APX175" s="72"/>
      <c r="APY175" s="72"/>
      <c r="APZ175" s="72"/>
      <c r="AQA175" s="72"/>
      <c r="AQB175" s="72"/>
      <c r="AQC175" s="72"/>
      <c r="AQD175" s="72"/>
      <c r="AQE175" s="72"/>
      <c r="AQF175" s="72"/>
      <c r="AQG175" s="72"/>
      <c r="AQH175" s="72"/>
      <c r="AQI175" s="72"/>
      <c r="AQJ175" s="72"/>
      <c r="AQK175" s="72"/>
      <c r="AQL175" s="72"/>
      <c r="AQM175" s="72"/>
      <c r="AQN175" s="72"/>
      <c r="AQO175" s="72"/>
      <c r="AQP175" s="72"/>
      <c r="AQQ175" s="72"/>
      <c r="AQR175" s="72"/>
      <c r="AQS175" s="72"/>
      <c r="AQT175" s="72"/>
      <c r="AQU175" s="72"/>
      <c r="AQV175" s="72"/>
      <c r="AQW175" s="72"/>
      <c r="AQX175" s="72"/>
      <c r="AQY175" s="72"/>
      <c r="AQZ175" s="72"/>
      <c r="ARA175" s="72"/>
      <c r="ARB175" s="72"/>
      <c r="ARC175" s="72"/>
      <c r="ARD175" s="72"/>
      <c r="ARE175" s="72"/>
      <c r="ARF175" s="72"/>
      <c r="ARG175" s="72"/>
      <c r="ARH175" s="72"/>
      <c r="ARI175" s="72"/>
      <c r="ARJ175" s="72"/>
      <c r="ARK175" s="72"/>
      <c r="ARL175" s="72"/>
      <c r="ARM175" s="72"/>
      <c r="ARN175" s="72"/>
      <c r="ARO175" s="72"/>
      <c r="ARP175" s="72"/>
      <c r="ARQ175" s="72"/>
      <c r="ARR175" s="72"/>
      <c r="ARS175" s="72"/>
      <c r="ART175" s="72"/>
      <c r="ARU175" s="72"/>
      <c r="ARV175" s="72"/>
      <c r="ARW175" s="72"/>
      <c r="ARX175" s="72"/>
      <c r="ARY175" s="72"/>
      <c r="ARZ175" s="72"/>
      <c r="ASA175" s="72"/>
      <c r="ASB175" s="72"/>
      <c r="ASC175" s="72"/>
      <c r="ASD175" s="72"/>
      <c r="ASE175" s="72"/>
      <c r="ASF175" s="72"/>
      <c r="ASG175" s="72"/>
      <c r="ASH175" s="72"/>
      <c r="ASI175" s="72"/>
      <c r="ASJ175" s="72"/>
      <c r="ASK175" s="72"/>
      <c r="ASL175" s="72"/>
      <c r="ASM175" s="72"/>
      <c r="ASN175" s="72"/>
      <c r="ASO175" s="72"/>
      <c r="ASP175" s="72"/>
      <c r="ASQ175" s="72"/>
      <c r="ASR175" s="72"/>
      <c r="ASS175" s="72"/>
      <c r="AST175" s="72"/>
      <c r="ASU175" s="72"/>
      <c r="ASV175" s="72"/>
      <c r="ASW175" s="72"/>
      <c r="ASX175" s="72"/>
      <c r="ASY175" s="72"/>
      <c r="ASZ175" s="72"/>
      <c r="ATA175" s="72"/>
      <c r="ATB175" s="72"/>
      <c r="ATC175" s="72"/>
      <c r="ATD175" s="72"/>
      <c r="ATE175" s="72"/>
      <c r="ATF175" s="72"/>
      <c r="ATG175" s="72"/>
      <c r="ATH175" s="72"/>
      <c r="ATI175" s="72"/>
      <c r="ATJ175" s="72"/>
      <c r="ATK175" s="72"/>
      <c r="ATL175" s="72"/>
      <c r="ATM175" s="72"/>
      <c r="ATN175" s="72"/>
      <c r="ATO175" s="72"/>
      <c r="ATP175" s="72"/>
      <c r="ATQ175" s="72"/>
      <c r="ATR175" s="72"/>
      <c r="ATS175" s="72"/>
      <c r="ATT175" s="72"/>
      <c r="ATU175" s="72"/>
      <c r="ATV175" s="72"/>
      <c r="ATW175" s="72"/>
      <c r="ATX175" s="72"/>
      <c r="ATY175" s="72"/>
      <c r="ATZ175" s="72"/>
      <c r="AUA175" s="72"/>
      <c r="AUB175" s="72"/>
      <c r="AUC175" s="72"/>
      <c r="AUD175" s="72"/>
      <c r="AUE175" s="72"/>
      <c r="AUF175" s="72"/>
      <c r="AUG175" s="72"/>
      <c r="AUH175" s="72"/>
      <c r="AUI175" s="72"/>
      <c r="AUJ175" s="72"/>
      <c r="AUK175" s="72"/>
      <c r="AUL175" s="72"/>
      <c r="AUM175" s="72"/>
      <c r="AUN175" s="72"/>
      <c r="AUO175" s="72"/>
      <c r="AUP175" s="72"/>
      <c r="AUQ175" s="72"/>
      <c r="AUR175" s="72"/>
      <c r="AUS175" s="72"/>
      <c r="AUT175" s="72"/>
      <c r="AUU175" s="72"/>
      <c r="AUV175" s="72"/>
      <c r="AUW175" s="72"/>
      <c r="AUX175" s="72"/>
      <c r="AUY175" s="72"/>
      <c r="AUZ175" s="72"/>
      <c r="AVA175" s="72"/>
      <c r="AVB175" s="72"/>
      <c r="AVC175" s="72"/>
      <c r="AVD175" s="72"/>
      <c r="AVE175" s="72"/>
      <c r="AVF175" s="72"/>
      <c r="AVG175" s="72"/>
      <c r="AVH175" s="72"/>
      <c r="AVI175" s="72"/>
      <c r="AVJ175" s="72"/>
      <c r="AVK175" s="72"/>
      <c r="AVL175" s="72"/>
      <c r="AVM175" s="72"/>
      <c r="AVN175" s="72"/>
      <c r="AVO175" s="72"/>
      <c r="AVP175" s="72"/>
      <c r="AVQ175" s="72"/>
      <c r="AVR175" s="72"/>
      <c r="AVS175" s="72"/>
      <c r="AVT175" s="72"/>
      <c r="AVU175" s="72"/>
      <c r="AVV175" s="72"/>
      <c r="AVW175" s="72"/>
      <c r="AVX175" s="72"/>
      <c r="AVY175" s="72"/>
      <c r="AVZ175" s="72"/>
      <c r="AWA175" s="72"/>
      <c r="AWB175" s="72"/>
      <c r="AWC175" s="72"/>
      <c r="AWD175" s="72"/>
      <c r="AWE175" s="72"/>
      <c r="AWF175" s="72"/>
      <c r="AWG175" s="72"/>
      <c r="AWH175" s="72"/>
      <c r="AWI175" s="72"/>
      <c r="AWJ175" s="72"/>
      <c r="AWK175" s="72"/>
      <c r="AWL175" s="72"/>
      <c r="AWM175" s="72"/>
      <c r="AWN175" s="72"/>
      <c r="AWO175" s="72"/>
      <c r="AWP175" s="72"/>
      <c r="AWQ175" s="72"/>
      <c r="AWR175" s="72"/>
      <c r="AWS175" s="72"/>
      <c r="AWT175" s="72"/>
      <c r="AWU175" s="72"/>
      <c r="AWV175" s="72"/>
      <c r="AWW175" s="72"/>
      <c r="AWX175" s="72"/>
      <c r="AWY175" s="72"/>
      <c r="AWZ175" s="72"/>
      <c r="AXA175" s="72"/>
      <c r="AXB175" s="72"/>
      <c r="AXC175" s="72"/>
      <c r="AXD175" s="72"/>
      <c r="AXE175" s="72"/>
      <c r="AXF175" s="72"/>
      <c r="AXG175" s="72"/>
      <c r="AXH175" s="72"/>
      <c r="AXI175" s="72"/>
      <c r="AXJ175" s="72"/>
      <c r="AXK175" s="72"/>
      <c r="AXL175" s="72"/>
      <c r="AXM175" s="72"/>
      <c r="AXN175" s="72"/>
      <c r="AXO175" s="72"/>
      <c r="AXP175" s="72"/>
      <c r="AXQ175" s="72"/>
      <c r="AXR175" s="72"/>
      <c r="AXS175" s="72"/>
      <c r="AXT175" s="72"/>
      <c r="AXU175" s="72"/>
      <c r="AXV175" s="72"/>
      <c r="AXW175" s="72"/>
      <c r="AXX175" s="72"/>
      <c r="AXY175" s="72"/>
      <c r="AXZ175" s="72"/>
      <c r="AYA175" s="72"/>
      <c r="AYB175" s="72"/>
      <c r="AYC175" s="72"/>
      <c r="AYD175" s="72"/>
      <c r="AYE175" s="72"/>
      <c r="AYF175" s="72"/>
      <c r="AYG175" s="72"/>
      <c r="AYH175" s="72"/>
      <c r="AYI175" s="72"/>
      <c r="AYJ175" s="72"/>
      <c r="AYK175" s="72"/>
      <c r="AYL175" s="72"/>
      <c r="AYM175" s="72"/>
      <c r="AYN175" s="72"/>
      <c r="AYO175" s="72"/>
      <c r="AYP175" s="72"/>
      <c r="AYQ175" s="72"/>
      <c r="AYR175" s="72"/>
      <c r="AYS175" s="72"/>
      <c r="AYT175" s="72"/>
      <c r="AYU175" s="72"/>
      <c r="AYV175" s="72"/>
      <c r="AYW175" s="72"/>
      <c r="AYX175" s="72"/>
      <c r="AYY175" s="72"/>
      <c r="AYZ175" s="72"/>
      <c r="AZA175" s="72"/>
      <c r="AZB175" s="72"/>
      <c r="AZC175" s="72"/>
      <c r="AZD175" s="72"/>
      <c r="AZE175" s="72"/>
      <c r="AZF175" s="72"/>
      <c r="AZG175" s="72"/>
      <c r="AZH175" s="72"/>
      <c r="AZI175" s="72"/>
      <c r="AZJ175" s="72"/>
      <c r="AZK175" s="72"/>
      <c r="AZL175" s="72"/>
      <c r="AZM175" s="72"/>
      <c r="AZN175" s="72"/>
      <c r="AZO175" s="72"/>
      <c r="AZP175" s="72"/>
      <c r="AZQ175" s="72"/>
      <c r="AZR175" s="72"/>
      <c r="AZS175" s="72"/>
      <c r="AZT175" s="72"/>
      <c r="AZU175" s="72"/>
      <c r="AZV175" s="72"/>
      <c r="AZW175" s="72"/>
      <c r="AZX175" s="72"/>
      <c r="AZY175" s="72"/>
      <c r="AZZ175" s="72"/>
      <c r="BAA175" s="72"/>
      <c r="BAB175" s="72"/>
      <c r="BAC175" s="72"/>
      <c r="BAD175" s="72"/>
      <c r="BAE175" s="72"/>
      <c r="BAF175" s="72"/>
      <c r="BAG175" s="72"/>
      <c r="BAH175" s="72"/>
      <c r="BAI175" s="72"/>
      <c r="BAJ175" s="72"/>
      <c r="BAK175" s="72"/>
      <c r="BAL175" s="72"/>
      <c r="BAM175" s="72"/>
      <c r="BAN175" s="72"/>
      <c r="BAO175" s="72"/>
      <c r="BAP175" s="72"/>
      <c r="BAQ175" s="72"/>
      <c r="BAR175" s="72"/>
      <c r="BAS175" s="72"/>
      <c r="BAT175" s="72"/>
      <c r="BAU175" s="72"/>
      <c r="BAV175" s="72"/>
      <c r="BAW175" s="72"/>
      <c r="BAX175" s="72"/>
      <c r="BAY175" s="72"/>
      <c r="BAZ175" s="72"/>
      <c r="BBA175" s="72"/>
      <c r="BBB175" s="72"/>
      <c r="BBC175" s="72"/>
      <c r="BBD175" s="72"/>
      <c r="BBE175" s="72"/>
      <c r="BBF175" s="72"/>
      <c r="BBG175" s="72"/>
      <c r="BBH175" s="72"/>
      <c r="BBI175" s="72"/>
      <c r="BBJ175" s="72"/>
      <c r="BBK175" s="72"/>
      <c r="BBL175" s="72"/>
      <c r="BBM175" s="72"/>
      <c r="BBN175" s="72"/>
      <c r="BBO175" s="72"/>
      <c r="BBP175" s="72"/>
      <c r="BBQ175" s="72"/>
      <c r="BBR175" s="72"/>
      <c r="BBS175" s="72"/>
      <c r="BBT175" s="72"/>
      <c r="BBU175" s="72"/>
      <c r="BBV175" s="72"/>
      <c r="BBW175" s="72"/>
      <c r="BBX175" s="72"/>
      <c r="BBY175" s="72"/>
      <c r="BBZ175" s="72"/>
      <c r="BCA175" s="72"/>
      <c r="BCB175" s="72"/>
      <c r="BCC175" s="72"/>
      <c r="BCD175" s="72"/>
      <c r="BCE175" s="72"/>
      <c r="BCF175" s="72"/>
      <c r="BCG175" s="72"/>
      <c r="BCH175" s="72"/>
      <c r="BCI175" s="72"/>
      <c r="BCJ175" s="72"/>
      <c r="BCK175" s="72"/>
      <c r="BCL175" s="72"/>
      <c r="BCM175" s="72"/>
      <c r="BCN175" s="72"/>
      <c r="BCO175" s="72"/>
      <c r="BCP175" s="72"/>
      <c r="BCQ175" s="72"/>
      <c r="BCR175" s="72"/>
      <c r="BCS175" s="72"/>
      <c r="BCT175" s="72"/>
      <c r="BCU175" s="72"/>
      <c r="BCV175" s="72"/>
      <c r="BCW175" s="72"/>
      <c r="BCX175" s="72"/>
      <c r="BCY175" s="72"/>
      <c r="BCZ175" s="72"/>
      <c r="BDA175" s="72"/>
      <c r="BDB175" s="72"/>
      <c r="BDC175" s="72"/>
      <c r="BDD175" s="72"/>
      <c r="BDE175" s="72"/>
      <c r="BDF175" s="72"/>
      <c r="BDG175" s="72"/>
      <c r="BDH175" s="72"/>
      <c r="BDI175" s="72"/>
      <c r="BDJ175" s="72"/>
      <c r="BDK175" s="72"/>
      <c r="BDL175" s="72"/>
      <c r="BDM175" s="72"/>
      <c r="BDN175" s="72"/>
      <c r="BDO175" s="72"/>
      <c r="BDP175" s="72"/>
      <c r="BDQ175" s="72"/>
      <c r="BDR175" s="72"/>
      <c r="BDS175" s="72"/>
      <c r="BDT175" s="72"/>
      <c r="BDU175" s="72"/>
      <c r="BDV175" s="72"/>
      <c r="BDW175" s="72"/>
      <c r="BDX175" s="72"/>
      <c r="BDY175" s="72"/>
      <c r="BDZ175" s="72"/>
      <c r="BEA175" s="72"/>
      <c r="BEB175" s="72"/>
      <c r="BEC175" s="72"/>
      <c r="BED175" s="72"/>
      <c r="BEE175" s="72"/>
      <c r="BEF175" s="72"/>
      <c r="BEG175" s="72"/>
      <c r="BEH175" s="72"/>
      <c r="BEI175" s="72"/>
      <c r="BEJ175" s="72"/>
      <c r="BEK175" s="72"/>
      <c r="BEL175" s="72"/>
      <c r="BEM175" s="72"/>
      <c r="BEN175" s="72"/>
      <c r="BEO175" s="72"/>
      <c r="BEP175" s="72"/>
      <c r="BEQ175" s="72"/>
      <c r="BER175" s="72"/>
      <c r="BES175" s="72"/>
      <c r="BET175" s="72"/>
      <c r="BEU175" s="72"/>
      <c r="BEV175" s="72"/>
      <c r="BEW175" s="72"/>
      <c r="BEX175" s="72"/>
      <c r="BEY175" s="72"/>
      <c r="BEZ175" s="72"/>
      <c r="BFA175" s="72"/>
      <c r="BFB175" s="72"/>
      <c r="BFC175" s="72"/>
      <c r="BFD175" s="72"/>
      <c r="BFE175" s="72"/>
      <c r="BFF175" s="72"/>
      <c r="BFG175" s="72"/>
      <c r="BFH175" s="72"/>
      <c r="BFI175" s="72"/>
      <c r="BFJ175" s="72"/>
      <c r="BFK175" s="72"/>
      <c r="BFL175" s="72"/>
      <c r="BFM175" s="72"/>
      <c r="BFN175" s="72"/>
      <c r="BFO175" s="72"/>
      <c r="BFP175" s="72"/>
      <c r="BFQ175" s="72"/>
      <c r="BFR175" s="72"/>
      <c r="BFS175" s="72"/>
      <c r="BFT175" s="72"/>
      <c r="BFU175" s="72"/>
      <c r="BFV175" s="72"/>
      <c r="BFW175" s="72"/>
      <c r="BFX175" s="72"/>
      <c r="BFY175" s="72"/>
      <c r="BFZ175" s="72"/>
      <c r="BGA175" s="72"/>
      <c r="BGB175" s="72"/>
      <c r="BGC175" s="72"/>
      <c r="BGD175" s="72"/>
      <c r="BGE175" s="72"/>
      <c r="BGF175" s="72"/>
      <c r="BGG175" s="72"/>
      <c r="BGH175" s="72"/>
      <c r="BGI175" s="72"/>
      <c r="BGJ175" s="72"/>
      <c r="BGK175" s="72"/>
      <c r="BGL175" s="72"/>
      <c r="BGM175" s="72"/>
      <c r="BGN175" s="72"/>
      <c r="BGO175" s="72"/>
      <c r="BGP175" s="72"/>
      <c r="BGQ175" s="72"/>
      <c r="BGR175" s="72"/>
      <c r="BGS175" s="72"/>
      <c r="BGT175" s="72"/>
      <c r="BGU175" s="72"/>
      <c r="BGV175" s="72"/>
      <c r="BGW175" s="72"/>
      <c r="BGX175" s="72"/>
      <c r="BGY175" s="72"/>
      <c r="BGZ175" s="72"/>
      <c r="BHA175" s="72"/>
      <c r="BHB175" s="72"/>
      <c r="BHC175" s="72"/>
      <c r="BHD175" s="72"/>
      <c r="BHE175" s="72"/>
      <c r="BHF175" s="72"/>
      <c r="BHG175" s="72"/>
      <c r="BHH175" s="72"/>
      <c r="BHI175" s="72"/>
      <c r="BHJ175" s="72"/>
      <c r="BHK175" s="72"/>
      <c r="BHL175" s="72"/>
      <c r="BHM175" s="72"/>
      <c r="BHN175" s="72"/>
      <c r="BHO175" s="72"/>
      <c r="BHP175" s="72"/>
      <c r="BHQ175" s="72"/>
      <c r="BHR175" s="72"/>
      <c r="BHS175" s="72"/>
      <c r="BHT175" s="72"/>
      <c r="BHU175" s="72"/>
      <c r="BHV175" s="72"/>
      <c r="BHW175" s="72"/>
      <c r="BHX175" s="72"/>
      <c r="BHY175" s="72"/>
      <c r="BHZ175" s="72"/>
      <c r="BIA175" s="72"/>
      <c r="BIB175" s="72"/>
      <c r="BIC175" s="72"/>
      <c r="BID175" s="72"/>
      <c r="BIE175" s="72"/>
      <c r="BIF175" s="72"/>
      <c r="BIG175" s="72"/>
      <c r="BIH175" s="72"/>
      <c r="BII175" s="72"/>
      <c r="BIJ175" s="72"/>
      <c r="BIK175" s="72"/>
      <c r="BIL175" s="72"/>
      <c r="BIM175" s="72"/>
      <c r="BIN175" s="72"/>
      <c r="BIO175" s="72"/>
      <c r="BIP175" s="72"/>
      <c r="BIQ175" s="72"/>
      <c r="BIR175" s="72"/>
      <c r="BIS175" s="72"/>
      <c r="BIT175" s="72"/>
      <c r="BIU175" s="72"/>
      <c r="BIV175" s="72"/>
      <c r="BIW175" s="72"/>
      <c r="BIX175" s="72"/>
      <c r="BIY175" s="72"/>
      <c r="BIZ175" s="72"/>
      <c r="BJA175" s="72"/>
      <c r="BJB175" s="72"/>
      <c r="BJC175" s="72"/>
      <c r="BJD175" s="72"/>
      <c r="BJE175" s="72"/>
      <c r="BJF175" s="72"/>
      <c r="BJG175" s="72"/>
      <c r="BJH175" s="72"/>
      <c r="BJI175" s="72"/>
      <c r="BJJ175" s="72"/>
      <c r="BJK175" s="72"/>
      <c r="BJL175" s="72"/>
      <c r="BJM175" s="72"/>
      <c r="BJN175" s="72"/>
      <c r="BJO175" s="72"/>
      <c r="BJP175" s="72"/>
      <c r="BJQ175" s="72"/>
      <c r="BJR175" s="72"/>
      <c r="BJS175" s="72"/>
      <c r="BJT175" s="72"/>
      <c r="BJU175" s="72"/>
      <c r="BJV175" s="72"/>
      <c r="BJW175" s="72"/>
      <c r="BJX175" s="72"/>
      <c r="BJY175" s="72"/>
      <c r="BJZ175" s="72"/>
      <c r="BKA175" s="72"/>
      <c r="BKB175" s="72"/>
      <c r="BKC175" s="72"/>
      <c r="BKD175" s="72"/>
      <c r="BKE175" s="72"/>
      <c r="BKF175" s="72"/>
      <c r="BKG175" s="72"/>
      <c r="BKH175" s="72"/>
      <c r="BKI175" s="72"/>
      <c r="BKJ175" s="72"/>
      <c r="BKK175" s="72"/>
      <c r="BKL175" s="72"/>
      <c r="BKM175" s="72"/>
      <c r="BKN175" s="72"/>
      <c r="BKO175" s="72"/>
      <c r="BKP175" s="72"/>
      <c r="BKQ175" s="72"/>
      <c r="BKR175" s="72"/>
      <c r="BKS175" s="72"/>
      <c r="BKT175" s="72"/>
      <c r="BKU175" s="72"/>
      <c r="BKV175" s="72"/>
      <c r="BKW175" s="72"/>
      <c r="BKX175" s="72"/>
      <c r="BKY175" s="72"/>
      <c r="BKZ175" s="72"/>
      <c r="BLA175" s="72"/>
      <c r="BLB175" s="72"/>
      <c r="BLC175" s="72"/>
      <c r="BLD175" s="72"/>
      <c r="BLE175" s="72"/>
      <c r="BLF175" s="72"/>
      <c r="BLG175" s="72"/>
      <c r="BLH175" s="72"/>
      <c r="BLI175" s="72"/>
      <c r="BLJ175" s="72"/>
      <c r="BLK175" s="72"/>
      <c r="BLL175" s="72"/>
      <c r="BLM175" s="72"/>
      <c r="BLN175" s="72"/>
      <c r="BLO175" s="72"/>
      <c r="BLP175" s="72"/>
      <c r="BLQ175" s="72"/>
      <c r="BLR175" s="72"/>
      <c r="BLS175" s="72"/>
      <c r="BLT175" s="72"/>
      <c r="BLU175" s="72"/>
      <c r="BLV175" s="72"/>
      <c r="BLW175" s="72"/>
      <c r="BLX175" s="72"/>
      <c r="BLY175" s="72"/>
      <c r="BLZ175" s="72"/>
      <c r="BMA175" s="72"/>
      <c r="BMB175" s="72"/>
      <c r="BMC175" s="72"/>
      <c r="BMD175" s="72"/>
      <c r="BME175" s="72"/>
      <c r="BMF175" s="72"/>
      <c r="BMG175" s="72"/>
      <c r="BMH175" s="72"/>
      <c r="BMI175" s="72"/>
      <c r="BMJ175" s="72"/>
      <c r="BMK175" s="72"/>
      <c r="BML175" s="72"/>
      <c r="BMM175" s="72"/>
      <c r="BMN175" s="72"/>
      <c r="BMO175" s="72"/>
      <c r="BMP175" s="72"/>
      <c r="BMQ175" s="72"/>
      <c r="BMR175" s="72"/>
      <c r="BMS175" s="72"/>
      <c r="BMT175" s="72"/>
      <c r="BMU175" s="72"/>
      <c r="BMV175" s="72"/>
      <c r="BMW175" s="72"/>
      <c r="BMX175" s="72"/>
      <c r="BMY175" s="72"/>
      <c r="BMZ175" s="72"/>
      <c r="BNA175" s="72"/>
      <c r="BNB175" s="72"/>
      <c r="BNC175" s="72"/>
      <c r="BND175" s="72"/>
      <c r="BNE175" s="72"/>
      <c r="BNF175" s="72"/>
      <c r="BNG175" s="72"/>
      <c r="BNH175" s="72"/>
      <c r="BNI175" s="72"/>
      <c r="BNJ175" s="72"/>
      <c r="BNK175" s="72"/>
      <c r="BNL175" s="72"/>
      <c r="BNM175" s="72"/>
      <c r="BNN175" s="72"/>
      <c r="BNO175" s="72"/>
      <c r="BNP175" s="72"/>
      <c r="BNQ175" s="72"/>
      <c r="BNR175" s="72"/>
      <c r="BNS175" s="72"/>
      <c r="BNT175" s="72"/>
      <c r="BNU175" s="72"/>
      <c r="BNV175" s="72"/>
      <c r="BNW175" s="72"/>
      <c r="BNX175" s="72"/>
      <c r="BNY175" s="72"/>
      <c r="BNZ175" s="72"/>
      <c r="BOA175" s="72"/>
      <c r="BOB175" s="72"/>
      <c r="BOC175" s="72"/>
      <c r="BOD175" s="72"/>
      <c r="BOE175" s="72"/>
      <c r="BOF175" s="72"/>
      <c r="BOG175" s="72"/>
      <c r="BOH175" s="72"/>
      <c r="BOI175" s="72"/>
      <c r="BOJ175" s="72"/>
      <c r="BOK175" s="72"/>
      <c r="BOL175" s="72"/>
      <c r="BOM175" s="72"/>
      <c r="BON175" s="72"/>
      <c r="BOO175" s="72"/>
      <c r="BOP175" s="72"/>
      <c r="BOQ175" s="72"/>
      <c r="BOR175" s="72"/>
      <c r="BOS175" s="72"/>
      <c r="BOT175" s="72"/>
      <c r="BOU175" s="72"/>
      <c r="BOV175" s="72"/>
      <c r="BOW175" s="72"/>
      <c r="BOX175" s="72"/>
      <c r="BOY175" s="72"/>
      <c r="BOZ175" s="72"/>
      <c r="BPA175" s="72"/>
      <c r="BPB175" s="72"/>
      <c r="BPC175" s="72"/>
      <c r="BPD175" s="72"/>
      <c r="BPE175" s="72"/>
      <c r="BPF175" s="72"/>
      <c r="BPG175" s="72"/>
      <c r="BPH175" s="72"/>
      <c r="BPI175" s="72"/>
      <c r="BPJ175" s="72"/>
      <c r="BPK175" s="72"/>
      <c r="BPL175" s="72"/>
      <c r="BPM175" s="72"/>
      <c r="BPN175" s="72"/>
      <c r="BPO175" s="72"/>
      <c r="BPP175" s="72"/>
      <c r="BPQ175" s="72"/>
      <c r="BPR175" s="72"/>
      <c r="BPS175" s="72"/>
      <c r="BPT175" s="72"/>
      <c r="BPU175" s="72"/>
      <c r="BPV175" s="72"/>
      <c r="BPW175" s="72"/>
      <c r="BPX175" s="72"/>
      <c r="BPY175" s="72"/>
      <c r="BPZ175" s="72"/>
      <c r="BQA175" s="72"/>
      <c r="BQB175" s="72"/>
      <c r="BQC175" s="72"/>
      <c r="BQD175" s="72"/>
      <c r="BQE175" s="72"/>
      <c r="BQF175" s="72"/>
      <c r="BQG175" s="72"/>
      <c r="BQH175" s="72"/>
      <c r="BQI175" s="72"/>
      <c r="BQJ175" s="72"/>
      <c r="BQK175" s="72"/>
      <c r="BQL175" s="72"/>
      <c r="BQM175" s="72"/>
      <c r="BQN175" s="72"/>
      <c r="BQO175" s="72"/>
      <c r="BQP175" s="72"/>
      <c r="BQQ175" s="72"/>
      <c r="BQR175" s="72"/>
      <c r="BQS175" s="72"/>
      <c r="BQT175" s="72"/>
      <c r="BQU175" s="72"/>
      <c r="BQV175" s="72"/>
      <c r="BQW175" s="72"/>
      <c r="BQX175" s="72"/>
      <c r="BQY175" s="72"/>
      <c r="BQZ175" s="72"/>
      <c r="BRA175" s="72"/>
      <c r="BRB175" s="72"/>
      <c r="BRC175" s="72"/>
      <c r="BRD175" s="72"/>
      <c r="BRE175" s="72"/>
      <c r="BRF175" s="72"/>
      <c r="BRG175" s="72"/>
      <c r="BRH175" s="72"/>
      <c r="BRI175" s="72"/>
      <c r="BRJ175" s="72"/>
      <c r="BRK175" s="72"/>
      <c r="BRL175" s="72"/>
      <c r="BRM175" s="72"/>
      <c r="BRN175" s="72"/>
      <c r="BRO175" s="72"/>
      <c r="BRP175" s="72"/>
      <c r="BRQ175" s="72"/>
      <c r="BRR175" s="72"/>
      <c r="BRS175" s="72"/>
      <c r="BRT175" s="72"/>
      <c r="BRU175" s="72"/>
      <c r="BRV175" s="72"/>
      <c r="BRW175" s="72"/>
      <c r="BRX175" s="72"/>
      <c r="BRY175" s="72"/>
      <c r="BRZ175" s="72"/>
      <c r="BSA175" s="72"/>
      <c r="BSB175" s="72"/>
      <c r="BSC175" s="72"/>
      <c r="BSD175" s="72"/>
      <c r="BSE175" s="72"/>
      <c r="BSF175" s="72"/>
      <c r="BSG175" s="72"/>
      <c r="BSH175" s="72"/>
      <c r="BSI175" s="72"/>
      <c r="BSJ175" s="72"/>
      <c r="BSK175" s="72"/>
      <c r="BSL175" s="72"/>
      <c r="BSM175" s="72"/>
      <c r="BSN175" s="72"/>
      <c r="BSO175" s="72"/>
      <c r="BSP175" s="72"/>
      <c r="BSQ175" s="72"/>
      <c r="BSR175" s="72"/>
      <c r="BSS175" s="72"/>
      <c r="BST175" s="72"/>
      <c r="BSU175" s="72"/>
      <c r="BSV175" s="72"/>
      <c r="BSW175" s="72"/>
      <c r="BSX175" s="72"/>
      <c r="BSY175" s="72"/>
      <c r="BSZ175" s="72"/>
      <c r="BTA175" s="72"/>
      <c r="BTB175" s="72"/>
      <c r="BTC175" s="72"/>
      <c r="BTD175" s="72"/>
      <c r="BTE175" s="72"/>
      <c r="BTF175" s="72"/>
      <c r="BTG175" s="72"/>
      <c r="BTH175" s="72"/>
      <c r="BTI175" s="72"/>
      <c r="BTJ175" s="72"/>
      <c r="BTK175" s="72"/>
      <c r="BTL175" s="72"/>
      <c r="BTM175" s="72"/>
      <c r="BTN175" s="72"/>
      <c r="BTO175" s="72"/>
      <c r="BTP175" s="72"/>
      <c r="BTQ175" s="72"/>
      <c r="BTR175" s="72"/>
      <c r="BTS175" s="72"/>
      <c r="BTT175" s="72"/>
      <c r="BTU175" s="72"/>
      <c r="BTV175" s="72"/>
      <c r="BTW175" s="72"/>
      <c r="BTX175" s="72"/>
      <c r="BTY175" s="72"/>
      <c r="BTZ175" s="72"/>
      <c r="BUA175" s="72"/>
      <c r="BUB175" s="72"/>
      <c r="BUC175" s="72"/>
      <c r="BUD175" s="72"/>
      <c r="BUE175" s="72"/>
      <c r="BUF175" s="72"/>
      <c r="BUG175" s="72"/>
      <c r="BUH175" s="72"/>
      <c r="BUI175" s="72"/>
      <c r="BUJ175" s="72"/>
      <c r="BUK175" s="72"/>
      <c r="BUL175" s="72"/>
      <c r="BUM175" s="72"/>
      <c r="BUN175" s="72"/>
      <c r="BUO175" s="72"/>
      <c r="BUP175" s="72"/>
      <c r="BUQ175" s="72"/>
      <c r="BUR175" s="72"/>
      <c r="BUS175" s="72"/>
      <c r="BUT175" s="72"/>
      <c r="BUU175" s="72"/>
      <c r="BUV175" s="72"/>
      <c r="BUW175" s="72"/>
      <c r="BUX175" s="72"/>
      <c r="BUY175" s="72"/>
      <c r="BUZ175" s="72"/>
      <c r="BVA175" s="72"/>
      <c r="BVB175" s="72"/>
      <c r="BVC175" s="72"/>
      <c r="BVD175" s="72"/>
      <c r="BVE175" s="72"/>
      <c r="BVF175" s="72"/>
      <c r="BVG175" s="72"/>
      <c r="BVH175" s="72"/>
      <c r="BVI175" s="72"/>
      <c r="BVJ175" s="72"/>
      <c r="BVK175" s="72"/>
      <c r="BVL175" s="72"/>
      <c r="BVM175" s="72"/>
      <c r="BVN175" s="72"/>
      <c r="BVO175" s="72"/>
      <c r="BVP175" s="72"/>
      <c r="BVQ175" s="72"/>
      <c r="BVR175" s="72"/>
      <c r="BVS175" s="72"/>
      <c r="BVT175" s="72"/>
      <c r="BVU175" s="72"/>
      <c r="BVV175" s="72"/>
      <c r="BVW175" s="72"/>
      <c r="BVX175" s="72"/>
      <c r="BVY175" s="72"/>
      <c r="BVZ175" s="72"/>
      <c r="BWA175" s="72"/>
      <c r="BWB175" s="72"/>
      <c r="BWC175" s="72"/>
      <c r="BWD175" s="72"/>
      <c r="BWE175" s="72"/>
      <c r="BWF175" s="72"/>
      <c r="BWG175" s="72"/>
      <c r="BWH175" s="72"/>
      <c r="BWI175" s="72"/>
      <c r="BWJ175" s="72"/>
      <c r="BWK175" s="72"/>
      <c r="BWL175" s="72"/>
      <c r="BWM175" s="72"/>
      <c r="BWN175" s="72"/>
      <c r="BWO175" s="72"/>
      <c r="BWP175" s="72"/>
      <c r="BWQ175" s="72"/>
      <c r="BWR175" s="72"/>
      <c r="BWS175" s="72"/>
      <c r="BWT175" s="72"/>
      <c r="BWU175" s="72"/>
      <c r="BWV175" s="72"/>
      <c r="BWW175" s="72"/>
      <c r="BWX175" s="72"/>
      <c r="BWY175" s="72"/>
      <c r="BWZ175" s="72"/>
      <c r="BXA175" s="72"/>
      <c r="BXB175" s="72"/>
      <c r="BXC175" s="72"/>
      <c r="BXD175" s="72"/>
      <c r="BXE175" s="72"/>
      <c r="BXF175" s="72"/>
      <c r="BXG175" s="72"/>
      <c r="BXH175" s="72"/>
      <c r="BXI175" s="72"/>
      <c r="BXJ175" s="72"/>
      <c r="BXK175" s="72"/>
      <c r="BXL175" s="72"/>
      <c r="BXM175" s="72"/>
      <c r="BXN175" s="72"/>
      <c r="BXO175" s="72"/>
      <c r="BXP175" s="72"/>
      <c r="BXQ175" s="72"/>
      <c r="BXR175" s="72"/>
      <c r="BXS175" s="72"/>
      <c r="BXT175" s="72"/>
      <c r="BXU175" s="72"/>
      <c r="BXV175" s="72"/>
      <c r="BXW175" s="72"/>
      <c r="BXX175" s="72"/>
      <c r="BXY175" s="72"/>
      <c r="BXZ175" s="72"/>
      <c r="BYA175" s="72"/>
      <c r="BYB175" s="72"/>
      <c r="BYC175" s="72"/>
      <c r="BYD175" s="72"/>
      <c r="BYE175" s="72"/>
      <c r="BYF175" s="72"/>
      <c r="BYG175" s="72"/>
      <c r="BYH175" s="72"/>
      <c r="BYI175" s="72"/>
      <c r="BYJ175" s="72"/>
      <c r="BYK175" s="72"/>
      <c r="BYL175" s="72"/>
      <c r="BYM175" s="72"/>
      <c r="BYN175" s="72"/>
      <c r="BYO175" s="72"/>
      <c r="BYP175" s="72"/>
      <c r="BYQ175" s="72"/>
      <c r="BYR175" s="72"/>
      <c r="BYS175" s="72"/>
      <c r="BYT175" s="72"/>
      <c r="BYU175" s="72"/>
      <c r="BYV175" s="72"/>
      <c r="BYW175" s="72"/>
      <c r="BYX175" s="72"/>
      <c r="BYY175" s="72"/>
      <c r="BYZ175" s="72"/>
      <c r="BZA175" s="72"/>
      <c r="BZB175" s="72"/>
      <c r="BZC175" s="72"/>
      <c r="BZD175" s="72"/>
      <c r="BZE175" s="72"/>
      <c r="BZF175" s="72"/>
      <c r="BZG175" s="72"/>
      <c r="BZH175" s="72"/>
      <c r="BZI175" s="72"/>
      <c r="BZJ175" s="72"/>
      <c r="BZK175" s="72"/>
      <c r="BZL175" s="72"/>
      <c r="BZM175" s="72"/>
      <c r="BZN175" s="72"/>
      <c r="BZO175" s="72"/>
      <c r="BZP175" s="72"/>
      <c r="BZQ175" s="72"/>
      <c r="BZR175" s="72"/>
      <c r="BZS175" s="72"/>
      <c r="BZT175" s="72"/>
      <c r="BZU175" s="72"/>
      <c r="BZV175" s="72"/>
      <c r="BZW175" s="72"/>
      <c r="BZX175" s="72"/>
      <c r="BZY175" s="72"/>
      <c r="BZZ175" s="72"/>
      <c r="CAA175" s="72"/>
      <c r="CAB175" s="72"/>
      <c r="CAC175" s="72"/>
      <c r="CAD175" s="72"/>
      <c r="CAE175" s="72"/>
      <c r="CAF175" s="72"/>
      <c r="CAG175" s="72"/>
      <c r="CAH175" s="72"/>
      <c r="CAI175" s="72"/>
      <c r="CAJ175" s="72"/>
      <c r="CAK175" s="72"/>
      <c r="CAL175" s="72"/>
      <c r="CAM175" s="72"/>
      <c r="CAN175" s="72"/>
      <c r="CAO175" s="72"/>
      <c r="CAP175" s="72"/>
      <c r="CAQ175" s="72"/>
      <c r="CAR175" s="72"/>
      <c r="CAS175" s="72"/>
      <c r="CAT175" s="72"/>
      <c r="CAU175" s="72"/>
      <c r="CAV175" s="72"/>
      <c r="CAW175" s="72"/>
      <c r="CAX175" s="72"/>
      <c r="CAY175" s="72"/>
      <c r="CAZ175" s="72"/>
      <c r="CBA175" s="72"/>
      <c r="CBB175" s="72"/>
      <c r="CBC175" s="72"/>
      <c r="CBD175" s="72"/>
      <c r="CBE175" s="72"/>
      <c r="CBF175" s="72"/>
      <c r="CBG175" s="72"/>
      <c r="CBH175" s="72"/>
      <c r="CBI175" s="72"/>
      <c r="CBJ175" s="72"/>
      <c r="CBK175" s="72"/>
      <c r="CBL175" s="72"/>
      <c r="CBM175" s="72"/>
      <c r="CBN175" s="72"/>
      <c r="CBO175" s="72"/>
      <c r="CBP175" s="72"/>
      <c r="CBQ175" s="72"/>
      <c r="CBR175" s="72"/>
      <c r="CBS175" s="72"/>
      <c r="CBT175" s="72"/>
      <c r="CBU175" s="72"/>
      <c r="CBV175" s="72"/>
      <c r="CBW175" s="72"/>
      <c r="CBX175" s="72"/>
      <c r="CBY175" s="72"/>
      <c r="CBZ175" s="72"/>
      <c r="CCA175" s="72"/>
      <c r="CCB175" s="72"/>
      <c r="CCC175" s="72"/>
      <c r="CCD175" s="72"/>
      <c r="CCE175" s="72"/>
      <c r="CCF175" s="72"/>
      <c r="CCG175" s="72"/>
      <c r="CCH175" s="72"/>
      <c r="CCI175" s="72"/>
      <c r="CCJ175" s="72"/>
      <c r="CCK175" s="72"/>
      <c r="CCL175" s="72"/>
      <c r="CCM175" s="72"/>
      <c r="CCN175" s="72"/>
      <c r="CCO175" s="72"/>
      <c r="CCP175" s="72"/>
      <c r="CCQ175" s="72"/>
      <c r="CCR175" s="72"/>
      <c r="CCS175" s="72"/>
      <c r="CCT175" s="72"/>
      <c r="CCU175" s="72"/>
      <c r="CCV175" s="72"/>
      <c r="CCW175" s="72"/>
      <c r="CCX175" s="72"/>
      <c r="CCY175" s="72"/>
      <c r="CCZ175" s="72"/>
      <c r="CDA175" s="72"/>
      <c r="CDB175" s="72"/>
      <c r="CDC175" s="72"/>
      <c r="CDD175" s="72"/>
      <c r="CDE175" s="72"/>
      <c r="CDF175" s="72"/>
      <c r="CDG175" s="72"/>
      <c r="CDH175" s="72"/>
      <c r="CDI175" s="72"/>
      <c r="CDJ175" s="72"/>
      <c r="CDK175" s="72"/>
      <c r="CDL175" s="72"/>
      <c r="CDM175" s="72"/>
      <c r="CDN175" s="72"/>
      <c r="CDO175" s="72"/>
      <c r="CDP175" s="72"/>
      <c r="CDQ175" s="72"/>
      <c r="CDR175" s="72"/>
      <c r="CDS175" s="72"/>
      <c r="CDT175" s="72"/>
      <c r="CDU175" s="72"/>
      <c r="CDV175" s="72"/>
      <c r="CDW175" s="72"/>
      <c r="CDX175" s="72"/>
      <c r="CDY175" s="72"/>
      <c r="CDZ175" s="72"/>
      <c r="CEA175" s="72"/>
      <c r="CEB175" s="72"/>
      <c r="CEC175" s="72"/>
      <c r="CED175" s="72"/>
      <c r="CEE175" s="72"/>
      <c r="CEF175" s="72"/>
      <c r="CEG175" s="72"/>
      <c r="CEH175" s="72"/>
      <c r="CEI175" s="72"/>
      <c r="CEJ175" s="72"/>
      <c r="CEK175" s="72"/>
      <c r="CEL175" s="72"/>
      <c r="CEM175" s="72"/>
      <c r="CEN175" s="72"/>
      <c r="CEO175" s="72"/>
      <c r="CEP175" s="72"/>
      <c r="CEQ175" s="72"/>
      <c r="CER175" s="72"/>
      <c r="CES175" s="72"/>
      <c r="CET175" s="72"/>
      <c r="CEU175" s="72"/>
      <c r="CEV175" s="72"/>
      <c r="CEW175" s="72"/>
      <c r="CEX175" s="72"/>
      <c r="CEY175" s="72"/>
      <c r="CEZ175" s="72"/>
      <c r="CFA175" s="72"/>
      <c r="CFB175" s="72"/>
      <c r="CFC175" s="72"/>
      <c r="CFD175" s="72"/>
      <c r="CFE175" s="72"/>
      <c r="CFF175" s="72"/>
      <c r="CFG175" s="72"/>
      <c r="CFH175" s="72"/>
      <c r="CFI175" s="72"/>
      <c r="CFJ175" s="72"/>
      <c r="CFK175" s="72"/>
      <c r="CFL175" s="72"/>
      <c r="CFM175" s="72"/>
      <c r="CFN175" s="72"/>
      <c r="CFO175" s="72"/>
      <c r="CFP175" s="72"/>
      <c r="CFQ175" s="72"/>
      <c r="CFR175" s="72"/>
      <c r="CFS175" s="72"/>
      <c r="CFT175" s="72"/>
      <c r="CFU175" s="72"/>
      <c r="CFV175" s="72"/>
      <c r="CFW175" s="72"/>
      <c r="CFX175" s="72"/>
      <c r="CFY175" s="72"/>
      <c r="CFZ175" s="72"/>
      <c r="CGA175" s="72"/>
      <c r="CGB175" s="72"/>
      <c r="CGC175" s="72"/>
      <c r="CGD175" s="72"/>
      <c r="CGE175" s="72"/>
      <c r="CGF175" s="72"/>
      <c r="CGG175" s="72"/>
      <c r="CGH175" s="72"/>
      <c r="CGI175" s="72"/>
      <c r="CGJ175" s="72"/>
      <c r="CGK175" s="72"/>
      <c r="CGL175" s="72"/>
      <c r="CGM175" s="72"/>
      <c r="CGN175" s="72"/>
      <c r="CGO175" s="72"/>
      <c r="CGP175" s="72"/>
      <c r="CGQ175" s="72"/>
      <c r="CGR175" s="72"/>
      <c r="CGS175" s="72"/>
      <c r="CGT175" s="72"/>
      <c r="CGU175" s="72"/>
      <c r="CGV175" s="72"/>
      <c r="CGW175" s="72"/>
      <c r="CGX175" s="72"/>
      <c r="CGY175" s="72"/>
      <c r="CGZ175" s="72"/>
      <c r="CHA175" s="72"/>
      <c r="CHB175" s="72"/>
      <c r="CHC175" s="72"/>
      <c r="CHD175" s="72"/>
      <c r="CHE175" s="72"/>
      <c r="CHF175" s="72"/>
      <c r="CHG175" s="72"/>
      <c r="CHH175" s="72"/>
      <c r="CHI175" s="72"/>
      <c r="CHJ175" s="72"/>
      <c r="CHK175" s="72"/>
      <c r="CHL175" s="72"/>
      <c r="CHM175" s="72"/>
      <c r="CHN175" s="72"/>
      <c r="CHO175" s="72"/>
      <c r="CHP175" s="72"/>
      <c r="CHQ175" s="72"/>
      <c r="CHR175" s="72"/>
      <c r="CHS175" s="72"/>
      <c r="CHT175" s="72"/>
      <c r="CHU175" s="72"/>
      <c r="CHV175" s="72"/>
      <c r="CHW175" s="72"/>
      <c r="CHX175" s="72"/>
      <c r="CHY175" s="72"/>
      <c r="CHZ175" s="72"/>
      <c r="CIA175" s="72"/>
      <c r="CIB175" s="72"/>
      <c r="CIC175" s="72"/>
      <c r="CID175" s="72"/>
      <c r="CIE175" s="72"/>
      <c r="CIF175" s="72"/>
      <c r="CIG175" s="72"/>
      <c r="CIH175" s="72"/>
      <c r="CII175" s="72"/>
      <c r="CIJ175" s="72"/>
      <c r="CIK175" s="72"/>
      <c r="CIL175" s="72"/>
      <c r="CIM175" s="72"/>
      <c r="CIN175" s="72"/>
      <c r="CIO175" s="72"/>
      <c r="CIP175" s="72"/>
      <c r="CIQ175" s="72"/>
      <c r="CIR175" s="72"/>
      <c r="CIS175" s="72"/>
      <c r="CIT175" s="72"/>
      <c r="CIU175" s="72"/>
      <c r="CIV175" s="72"/>
      <c r="CIW175" s="72"/>
      <c r="CIX175" s="72"/>
      <c r="CIY175" s="72"/>
      <c r="CIZ175" s="72"/>
      <c r="CJA175" s="72"/>
      <c r="CJB175" s="72"/>
      <c r="CJC175" s="72"/>
      <c r="CJD175" s="72"/>
      <c r="CJE175" s="72"/>
      <c r="CJF175" s="72"/>
      <c r="CJG175" s="72"/>
      <c r="CJH175" s="72"/>
      <c r="CJI175" s="72"/>
      <c r="CJJ175" s="72"/>
      <c r="CJK175" s="72"/>
      <c r="CJL175" s="72"/>
      <c r="CJM175" s="72"/>
      <c r="CJN175" s="72"/>
      <c r="CJO175" s="72"/>
      <c r="CJP175" s="72"/>
      <c r="CJQ175" s="72"/>
      <c r="CJR175" s="72"/>
      <c r="CJS175" s="72"/>
      <c r="CJT175" s="72"/>
      <c r="CJU175" s="72"/>
      <c r="CJV175" s="72"/>
      <c r="CJW175" s="72"/>
      <c r="CJX175" s="72"/>
      <c r="CJY175" s="72"/>
      <c r="CJZ175" s="72"/>
      <c r="CKA175" s="72"/>
      <c r="CKB175" s="72"/>
      <c r="CKC175" s="72"/>
      <c r="CKD175" s="72"/>
      <c r="CKE175" s="72"/>
      <c r="CKF175" s="72"/>
      <c r="CKG175" s="72"/>
      <c r="CKH175" s="72"/>
      <c r="CKI175" s="72"/>
      <c r="CKJ175" s="72"/>
      <c r="CKK175" s="72"/>
      <c r="CKL175" s="72"/>
      <c r="CKM175" s="72"/>
      <c r="CKN175" s="72"/>
      <c r="CKO175" s="72"/>
      <c r="CKP175" s="72"/>
      <c r="CKQ175" s="72"/>
      <c r="CKR175" s="72"/>
      <c r="CKS175" s="72"/>
      <c r="CKT175" s="72"/>
      <c r="CKU175" s="72"/>
      <c r="CKV175" s="72"/>
      <c r="CKW175" s="72"/>
      <c r="CKX175" s="72"/>
      <c r="CKY175" s="72"/>
      <c r="CKZ175" s="72"/>
      <c r="CLA175" s="72"/>
      <c r="CLB175" s="72"/>
      <c r="CLC175" s="72"/>
      <c r="CLD175" s="72"/>
      <c r="CLE175" s="72"/>
      <c r="CLF175" s="72"/>
      <c r="CLG175" s="72"/>
      <c r="CLH175" s="72"/>
      <c r="CLI175" s="72"/>
      <c r="CLJ175" s="72"/>
      <c r="CLK175" s="72"/>
      <c r="CLL175" s="72"/>
      <c r="CLM175" s="72"/>
      <c r="CLN175" s="72"/>
      <c r="CLO175" s="72"/>
      <c r="CLP175" s="72"/>
      <c r="CLQ175" s="72"/>
      <c r="CLR175" s="72"/>
      <c r="CLS175" s="72"/>
      <c r="CLT175" s="72"/>
      <c r="CLU175" s="72"/>
      <c r="CLV175" s="72"/>
      <c r="CLW175" s="72"/>
      <c r="CLX175" s="72"/>
      <c r="CLY175" s="72"/>
      <c r="CLZ175" s="72"/>
      <c r="CMA175" s="72"/>
      <c r="CMB175" s="72"/>
      <c r="CMC175" s="72"/>
      <c r="CMD175" s="72"/>
      <c r="CME175" s="72"/>
      <c r="CMF175" s="72"/>
      <c r="CMG175" s="72"/>
      <c r="CMH175" s="72"/>
      <c r="CMI175" s="72"/>
      <c r="CMJ175" s="72"/>
      <c r="CMK175" s="72"/>
      <c r="CML175" s="72"/>
      <c r="CMM175" s="72"/>
      <c r="CMN175" s="72"/>
      <c r="CMO175" s="72"/>
      <c r="CMP175" s="72"/>
      <c r="CMQ175" s="72"/>
      <c r="CMR175" s="72"/>
      <c r="CMS175" s="72"/>
      <c r="CMT175" s="72"/>
      <c r="CMU175" s="72"/>
      <c r="CMV175" s="72"/>
      <c r="CMW175" s="72"/>
      <c r="CMX175" s="72"/>
      <c r="CMY175" s="72"/>
      <c r="CMZ175" s="72"/>
      <c r="CNA175" s="72"/>
      <c r="CNB175" s="72"/>
      <c r="CNC175" s="72"/>
      <c r="CND175" s="72"/>
      <c r="CNE175" s="72"/>
      <c r="CNF175" s="72"/>
      <c r="CNG175" s="72"/>
      <c r="CNH175" s="72"/>
      <c r="CNI175" s="72"/>
      <c r="CNJ175" s="72"/>
      <c r="CNK175" s="72"/>
      <c r="CNL175" s="72"/>
      <c r="CNM175" s="72"/>
      <c r="CNN175" s="72"/>
      <c r="CNO175" s="72"/>
      <c r="CNP175" s="72"/>
      <c r="CNQ175" s="72"/>
      <c r="CNR175" s="72"/>
      <c r="CNS175" s="72"/>
      <c r="CNT175" s="72"/>
      <c r="CNU175" s="72"/>
      <c r="CNV175" s="72"/>
      <c r="CNW175" s="72"/>
      <c r="CNX175" s="72"/>
      <c r="CNY175" s="72"/>
      <c r="CNZ175" s="72"/>
      <c r="COA175" s="72"/>
      <c r="COB175" s="72"/>
      <c r="COC175" s="72"/>
      <c r="COD175" s="72"/>
      <c r="COE175" s="72"/>
      <c r="COF175" s="72"/>
      <c r="COG175" s="72"/>
      <c r="COH175" s="72"/>
      <c r="COI175" s="72"/>
      <c r="COJ175" s="72"/>
      <c r="COK175" s="72"/>
      <c r="COL175" s="72"/>
      <c r="COM175" s="72"/>
      <c r="CON175" s="72"/>
      <c r="COO175" s="72"/>
      <c r="COP175" s="72"/>
      <c r="COQ175" s="72"/>
      <c r="COR175" s="72"/>
      <c r="COS175" s="72"/>
      <c r="COT175" s="72"/>
      <c r="COU175" s="72"/>
      <c r="COV175" s="72"/>
      <c r="COW175" s="72"/>
      <c r="COX175" s="72"/>
      <c r="COY175" s="72"/>
      <c r="COZ175" s="72"/>
      <c r="CPA175" s="72"/>
      <c r="CPB175" s="72"/>
      <c r="CPC175" s="72"/>
      <c r="CPD175" s="72"/>
      <c r="CPE175" s="72"/>
      <c r="CPF175" s="72"/>
      <c r="CPG175" s="72"/>
      <c r="CPH175" s="72"/>
      <c r="CPI175" s="72"/>
      <c r="CPJ175" s="72"/>
      <c r="CPK175" s="72"/>
      <c r="CPL175" s="72"/>
      <c r="CPM175" s="72"/>
      <c r="CPN175" s="72"/>
      <c r="CPO175" s="72"/>
      <c r="CPP175" s="72"/>
      <c r="CPQ175" s="72"/>
      <c r="CPR175" s="72"/>
      <c r="CPS175" s="72"/>
      <c r="CPT175" s="72"/>
      <c r="CPU175" s="72"/>
      <c r="CPV175" s="72"/>
      <c r="CPW175" s="72"/>
      <c r="CPX175" s="72"/>
      <c r="CPY175" s="72"/>
      <c r="CPZ175" s="72"/>
      <c r="CQA175" s="72"/>
      <c r="CQB175" s="72"/>
      <c r="CQC175" s="72"/>
      <c r="CQD175" s="72"/>
      <c r="CQE175" s="72"/>
      <c r="CQF175" s="72"/>
      <c r="CQG175" s="72"/>
      <c r="CQH175" s="72"/>
      <c r="CQI175" s="72"/>
      <c r="CQJ175" s="72"/>
      <c r="CQK175" s="72"/>
      <c r="CQL175" s="72"/>
      <c r="CQM175" s="72"/>
      <c r="CQN175" s="72"/>
      <c r="CQO175" s="72"/>
      <c r="CQP175" s="72"/>
      <c r="CQQ175" s="72"/>
      <c r="CQR175" s="72"/>
      <c r="CQS175" s="72"/>
      <c r="CQT175" s="72"/>
      <c r="CQU175" s="72"/>
      <c r="CQV175" s="72"/>
      <c r="CQW175" s="72"/>
      <c r="CQX175" s="72"/>
      <c r="CQY175" s="72"/>
      <c r="CQZ175" s="72"/>
      <c r="CRA175" s="72"/>
      <c r="CRB175" s="72"/>
      <c r="CRC175" s="72"/>
      <c r="CRD175" s="72"/>
      <c r="CRE175" s="72"/>
      <c r="CRF175" s="72"/>
      <c r="CRG175" s="72"/>
      <c r="CRH175" s="72"/>
      <c r="CRI175" s="72"/>
      <c r="CRJ175" s="72"/>
      <c r="CRK175" s="72"/>
      <c r="CRL175" s="72"/>
      <c r="CRM175" s="72"/>
      <c r="CRN175" s="72"/>
      <c r="CRO175" s="72"/>
      <c r="CRP175" s="72"/>
      <c r="CRQ175" s="72"/>
      <c r="CRR175" s="72"/>
      <c r="CRS175" s="72"/>
      <c r="CRT175" s="72"/>
      <c r="CRU175" s="72"/>
      <c r="CRV175" s="72"/>
      <c r="CRW175" s="72"/>
      <c r="CRX175" s="72"/>
      <c r="CRY175" s="72"/>
      <c r="CRZ175" s="72"/>
      <c r="CSA175" s="72"/>
      <c r="CSB175" s="72"/>
      <c r="CSC175" s="72"/>
      <c r="CSD175" s="72"/>
      <c r="CSE175" s="72"/>
      <c r="CSF175" s="72"/>
      <c r="CSG175" s="72"/>
      <c r="CSH175" s="72"/>
      <c r="CSI175" s="72"/>
      <c r="CSJ175" s="72"/>
      <c r="CSK175" s="72"/>
      <c r="CSL175" s="72"/>
      <c r="CSM175" s="72"/>
      <c r="CSN175" s="72"/>
      <c r="CSO175" s="72"/>
      <c r="CSP175" s="72"/>
      <c r="CSQ175" s="72"/>
      <c r="CSR175" s="72"/>
      <c r="CSS175" s="72"/>
      <c r="CST175" s="72"/>
      <c r="CSU175" s="72"/>
      <c r="CSV175" s="72"/>
      <c r="CSW175" s="72"/>
      <c r="CSX175" s="72"/>
      <c r="CSY175" s="72"/>
      <c r="CSZ175" s="72"/>
      <c r="CTA175" s="72"/>
      <c r="CTB175" s="72"/>
      <c r="CTC175" s="72"/>
      <c r="CTD175" s="72"/>
      <c r="CTE175" s="72"/>
      <c r="CTF175" s="72"/>
      <c r="CTG175" s="72"/>
      <c r="CTH175" s="72"/>
      <c r="CTI175" s="72"/>
      <c r="CTJ175" s="72"/>
      <c r="CTK175" s="72"/>
      <c r="CTL175" s="72"/>
      <c r="CTM175" s="72"/>
      <c r="CTN175" s="72"/>
      <c r="CTO175" s="72"/>
      <c r="CTP175" s="72"/>
      <c r="CTQ175" s="72"/>
      <c r="CTR175" s="72"/>
      <c r="CTS175" s="72"/>
      <c r="CTT175" s="72"/>
      <c r="CTU175" s="72"/>
      <c r="CTV175" s="72"/>
      <c r="CTW175" s="72"/>
      <c r="CTX175" s="72"/>
      <c r="CTY175" s="72"/>
      <c r="CTZ175" s="72"/>
      <c r="CUA175" s="72"/>
      <c r="CUB175" s="72"/>
      <c r="CUC175" s="72"/>
      <c r="CUD175" s="72"/>
      <c r="CUE175" s="72"/>
      <c r="CUF175" s="72"/>
      <c r="CUG175" s="72"/>
      <c r="CUH175" s="72"/>
      <c r="CUI175" s="72"/>
      <c r="CUJ175" s="72"/>
      <c r="CUK175" s="72"/>
      <c r="CUL175" s="72"/>
      <c r="CUM175" s="72"/>
      <c r="CUN175" s="72"/>
      <c r="CUO175" s="72"/>
      <c r="CUP175" s="72"/>
      <c r="CUQ175" s="72"/>
      <c r="CUR175" s="72"/>
      <c r="CUS175" s="72"/>
      <c r="CUT175" s="72"/>
      <c r="CUU175" s="72"/>
      <c r="CUV175" s="72"/>
      <c r="CUW175" s="72"/>
      <c r="CUX175" s="72"/>
      <c r="CUY175" s="72"/>
      <c r="CUZ175" s="72"/>
      <c r="CVA175" s="72"/>
      <c r="CVB175" s="72"/>
      <c r="CVC175" s="72"/>
      <c r="CVD175" s="72"/>
      <c r="CVE175" s="72"/>
      <c r="CVF175" s="72"/>
      <c r="CVG175" s="72"/>
      <c r="CVH175" s="72"/>
      <c r="CVI175" s="72"/>
      <c r="CVJ175" s="72"/>
      <c r="CVK175" s="72"/>
      <c r="CVL175" s="72"/>
      <c r="CVM175" s="72"/>
      <c r="CVN175" s="72"/>
      <c r="CVO175" s="72"/>
      <c r="CVP175" s="72"/>
      <c r="CVQ175" s="72"/>
      <c r="CVR175" s="72"/>
      <c r="CVS175" s="72"/>
      <c r="CVT175" s="72"/>
      <c r="CVU175" s="72"/>
      <c r="CVV175" s="72"/>
      <c r="CVW175" s="72"/>
      <c r="CVX175" s="72"/>
      <c r="CVY175" s="72"/>
      <c r="CVZ175" s="72"/>
      <c r="CWA175" s="72"/>
      <c r="CWB175" s="72"/>
      <c r="CWC175" s="72"/>
      <c r="CWD175" s="72"/>
      <c r="CWE175" s="72"/>
      <c r="CWF175" s="72"/>
      <c r="CWG175" s="72"/>
      <c r="CWH175" s="72"/>
      <c r="CWI175" s="72"/>
      <c r="CWJ175" s="72"/>
      <c r="CWK175" s="72"/>
      <c r="CWL175" s="72"/>
      <c r="CWM175" s="72"/>
      <c r="CWN175" s="72"/>
      <c r="CWO175" s="72"/>
      <c r="CWP175" s="72"/>
      <c r="CWQ175" s="72"/>
      <c r="CWR175" s="72"/>
      <c r="CWS175" s="72"/>
      <c r="CWT175" s="72"/>
      <c r="CWU175" s="72"/>
      <c r="CWV175" s="72"/>
      <c r="CWW175" s="72"/>
      <c r="CWX175" s="72"/>
      <c r="CWY175" s="72"/>
      <c r="CWZ175" s="72"/>
      <c r="CXA175" s="72"/>
      <c r="CXB175" s="72"/>
      <c r="CXC175" s="72"/>
      <c r="CXD175" s="72"/>
      <c r="CXE175" s="72"/>
      <c r="CXF175" s="72"/>
      <c r="CXG175" s="72"/>
      <c r="CXH175" s="72"/>
      <c r="CXI175" s="72"/>
      <c r="CXJ175" s="72"/>
      <c r="CXK175" s="72"/>
      <c r="CXL175" s="72"/>
      <c r="CXM175" s="72"/>
      <c r="CXN175" s="72"/>
      <c r="CXO175" s="72"/>
      <c r="CXP175" s="72"/>
      <c r="CXQ175" s="72"/>
      <c r="CXR175" s="72"/>
      <c r="CXS175" s="72"/>
      <c r="CXT175" s="72"/>
      <c r="CXU175" s="72"/>
      <c r="CXV175" s="72"/>
      <c r="CXW175" s="72"/>
      <c r="CXX175" s="72"/>
      <c r="CXY175" s="72"/>
      <c r="CXZ175" s="72"/>
      <c r="CYA175" s="72"/>
      <c r="CYB175" s="72"/>
      <c r="CYC175" s="72"/>
      <c r="CYD175" s="72"/>
      <c r="CYE175" s="72"/>
      <c r="CYF175" s="72"/>
      <c r="CYG175" s="72"/>
      <c r="CYH175" s="72"/>
      <c r="CYI175" s="72"/>
      <c r="CYJ175" s="72"/>
      <c r="CYK175" s="72"/>
      <c r="CYL175" s="72"/>
      <c r="CYM175" s="72"/>
      <c r="CYN175" s="72"/>
      <c r="CYO175" s="72"/>
      <c r="CYP175" s="72"/>
      <c r="CYQ175" s="72"/>
      <c r="CYR175" s="72"/>
      <c r="CYS175" s="72"/>
      <c r="CYT175" s="72"/>
      <c r="CYU175" s="72"/>
      <c r="CYV175" s="72"/>
      <c r="CYW175" s="72"/>
      <c r="CYX175" s="72"/>
      <c r="CYY175" s="72"/>
      <c r="CYZ175" s="72"/>
      <c r="CZA175" s="72"/>
      <c r="CZB175" s="72"/>
      <c r="CZC175" s="72"/>
      <c r="CZD175" s="72"/>
      <c r="CZE175" s="72"/>
      <c r="CZF175" s="72"/>
      <c r="CZG175" s="72"/>
      <c r="CZH175" s="72"/>
      <c r="CZI175" s="72"/>
      <c r="CZJ175" s="72"/>
      <c r="CZK175" s="72"/>
      <c r="CZL175" s="72"/>
      <c r="CZM175" s="72"/>
      <c r="CZN175" s="72"/>
      <c r="CZO175" s="72"/>
      <c r="CZP175" s="72"/>
      <c r="CZQ175" s="72"/>
      <c r="CZR175" s="72"/>
      <c r="CZS175" s="72"/>
      <c r="CZT175" s="72"/>
      <c r="CZU175" s="72"/>
      <c r="CZV175" s="72"/>
      <c r="CZW175" s="72"/>
      <c r="CZX175" s="72"/>
      <c r="CZY175" s="72"/>
      <c r="CZZ175" s="72"/>
      <c r="DAA175" s="72"/>
      <c r="DAB175" s="72"/>
      <c r="DAC175" s="72"/>
      <c r="DAD175" s="72"/>
      <c r="DAE175" s="72"/>
      <c r="DAF175" s="72"/>
      <c r="DAG175" s="72"/>
      <c r="DAH175" s="72"/>
      <c r="DAI175" s="72"/>
      <c r="DAJ175" s="72"/>
      <c r="DAK175" s="72"/>
      <c r="DAL175" s="72"/>
      <c r="DAM175" s="72"/>
      <c r="DAN175" s="72"/>
      <c r="DAO175" s="72"/>
      <c r="DAP175" s="72"/>
      <c r="DAQ175" s="72"/>
      <c r="DAR175" s="72"/>
      <c r="DAS175" s="72"/>
      <c r="DAT175" s="72"/>
      <c r="DAU175" s="72"/>
      <c r="DAV175" s="72"/>
      <c r="DAW175" s="72"/>
      <c r="DAX175" s="72"/>
      <c r="DAY175" s="72"/>
      <c r="DAZ175" s="72"/>
      <c r="DBA175" s="72"/>
      <c r="DBB175" s="72"/>
      <c r="DBC175" s="72"/>
      <c r="DBD175" s="72"/>
      <c r="DBE175" s="72"/>
      <c r="DBF175" s="72"/>
      <c r="DBG175" s="72"/>
      <c r="DBH175" s="72"/>
      <c r="DBI175" s="72"/>
      <c r="DBJ175" s="72"/>
      <c r="DBK175" s="72"/>
      <c r="DBL175" s="72"/>
      <c r="DBM175" s="72"/>
      <c r="DBN175" s="72"/>
      <c r="DBO175" s="72"/>
      <c r="DBP175" s="72"/>
      <c r="DBQ175" s="72"/>
      <c r="DBR175" s="72"/>
      <c r="DBS175" s="72"/>
      <c r="DBT175" s="72"/>
      <c r="DBU175" s="72"/>
      <c r="DBV175" s="72"/>
      <c r="DBW175" s="72"/>
      <c r="DBX175" s="72"/>
      <c r="DBY175" s="72"/>
      <c r="DBZ175" s="72"/>
      <c r="DCA175" s="72"/>
      <c r="DCB175" s="72"/>
      <c r="DCC175" s="72"/>
      <c r="DCD175" s="72"/>
      <c r="DCE175" s="72"/>
      <c r="DCF175" s="72"/>
      <c r="DCG175" s="72"/>
      <c r="DCH175" s="72"/>
      <c r="DCI175" s="72"/>
      <c r="DCJ175" s="72"/>
      <c r="DCK175" s="72"/>
      <c r="DCL175" s="72"/>
      <c r="DCM175" s="72"/>
      <c r="DCN175" s="72"/>
      <c r="DCO175" s="72"/>
      <c r="DCP175" s="72"/>
      <c r="DCQ175" s="72"/>
      <c r="DCR175" s="72"/>
      <c r="DCS175" s="72"/>
      <c r="DCT175" s="72"/>
      <c r="DCU175" s="72"/>
      <c r="DCV175" s="72"/>
      <c r="DCW175" s="72"/>
      <c r="DCX175" s="72"/>
      <c r="DCY175" s="72"/>
      <c r="DCZ175" s="72"/>
      <c r="DDA175" s="72"/>
      <c r="DDB175" s="72"/>
      <c r="DDC175" s="72"/>
      <c r="DDD175" s="72"/>
      <c r="DDE175" s="72"/>
      <c r="DDF175" s="72"/>
      <c r="DDG175" s="72"/>
      <c r="DDH175" s="72"/>
      <c r="DDI175" s="72"/>
      <c r="DDJ175" s="72"/>
      <c r="DDK175" s="72"/>
      <c r="DDL175" s="72"/>
      <c r="DDM175" s="72"/>
      <c r="DDN175" s="72"/>
      <c r="DDO175" s="72"/>
      <c r="DDP175" s="72"/>
      <c r="DDQ175" s="72"/>
      <c r="DDR175" s="72"/>
      <c r="DDS175" s="72"/>
      <c r="DDT175" s="72"/>
      <c r="DDU175" s="72"/>
      <c r="DDV175" s="72"/>
      <c r="DDW175" s="72"/>
      <c r="DDX175" s="72"/>
      <c r="DDY175" s="72"/>
      <c r="DDZ175" s="72"/>
      <c r="DEA175" s="72"/>
      <c r="DEB175" s="72"/>
      <c r="DEC175" s="72"/>
      <c r="DED175" s="72"/>
      <c r="DEE175" s="72"/>
      <c r="DEF175" s="72"/>
      <c r="DEG175" s="72"/>
      <c r="DEH175" s="72"/>
      <c r="DEI175" s="72"/>
      <c r="DEJ175" s="72"/>
      <c r="DEK175" s="72"/>
      <c r="DEL175" s="72"/>
      <c r="DEM175" s="72"/>
      <c r="DEN175" s="72"/>
      <c r="DEO175" s="72"/>
      <c r="DEP175" s="72"/>
      <c r="DEQ175" s="72"/>
      <c r="DER175" s="72"/>
      <c r="DES175" s="72"/>
      <c r="DET175" s="72"/>
      <c r="DEU175" s="72"/>
      <c r="DEV175" s="72"/>
      <c r="DEW175" s="72"/>
      <c r="DEX175" s="72"/>
      <c r="DEY175" s="72"/>
      <c r="DEZ175" s="72"/>
      <c r="DFA175" s="72"/>
      <c r="DFB175" s="72"/>
      <c r="DFC175" s="72"/>
      <c r="DFD175" s="72"/>
      <c r="DFE175" s="72"/>
      <c r="DFF175" s="72"/>
      <c r="DFG175" s="72"/>
      <c r="DFH175" s="72"/>
      <c r="DFI175" s="72"/>
      <c r="DFJ175" s="72"/>
      <c r="DFK175" s="72"/>
      <c r="DFL175" s="72"/>
      <c r="DFM175" s="72"/>
      <c r="DFN175" s="72"/>
      <c r="DFO175" s="72"/>
      <c r="DFP175" s="72"/>
      <c r="DFQ175" s="72"/>
      <c r="DFR175" s="72"/>
      <c r="DFS175" s="72"/>
      <c r="DFT175" s="72"/>
      <c r="DFU175" s="72"/>
      <c r="DFV175" s="72"/>
      <c r="DFW175" s="72"/>
      <c r="DFX175" s="72"/>
      <c r="DFY175" s="72"/>
      <c r="DFZ175" s="72"/>
      <c r="DGA175" s="72"/>
      <c r="DGB175" s="72"/>
      <c r="DGC175" s="72"/>
      <c r="DGD175" s="72"/>
      <c r="DGE175" s="72"/>
      <c r="DGF175" s="72"/>
      <c r="DGG175" s="72"/>
      <c r="DGH175" s="72"/>
      <c r="DGI175" s="72"/>
      <c r="DGJ175" s="72"/>
      <c r="DGK175" s="72"/>
      <c r="DGL175" s="72"/>
      <c r="DGM175" s="72"/>
      <c r="DGN175" s="72"/>
      <c r="DGO175" s="72"/>
      <c r="DGP175" s="72"/>
      <c r="DGQ175" s="72"/>
      <c r="DGR175" s="72"/>
      <c r="DGS175" s="72"/>
      <c r="DGT175" s="72"/>
      <c r="DGU175" s="72"/>
      <c r="DGV175" s="72"/>
      <c r="DGW175" s="72"/>
      <c r="DGX175" s="72"/>
      <c r="DGY175" s="72"/>
      <c r="DGZ175" s="72"/>
      <c r="DHA175" s="72"/>
      <c r="DHB175" s="72"/>
      <c r="DHC175" s="72"/>
      <c r="DHD175" s="72"/>
      <c r="DHE175" s="72"/>
      <c r="DHF175" s="72"/>
      <c r="DHG175" s="72"/>
      <c r="DHH175" s="72"/>
      <c r="DHI175" s="72"/>
      <c r="DHJ175" s="72"/>
      <c r="DHK175" s="72"/>
      <c r="DHL175" s="72"/>
      <c r="DHM175" s="72"/>
      <c r="DHN175" s="72"/>
      <c r="DHO175" s="72"/>
      <c r="DHP175" s="72"/>
      <c r="DHQ175" s="72"/>
      <c r="DHR175" s="72"/>
      <c r="DHS175" s="72"/>
      <c r="DHT175" s="72"/>
      <c r="DHU175" s="72"/>
      <c r="DHV175" s="72"/>
      <c r="DHW175" s="72"/>
      <c r="DHX175" s="72"/>
      <c r="DHY175" s="72"/>
      <c r="DHZ175" s="72"/>
      <c r="DIA175" s="72"/>
      <c r="DIB175" s="72"/>
      <c r="DIC175" s="72"/>
      <c r="DID175" s="72"/>
      <c r="DIE175" s="72"/>
      <c r="DIF175" s="72"/>
      <c r="DIG175" s="72"/>
      <c r="DIH175" s="72"/>
      <c r="DII175" s="72"/>
      <c r="DIJ175" s="72"/>
      <c r="DIK175" s="72"/>
      <c r="DIL175" s="72"/>
      <c r="DIM175" s="72"/>
      <c r="DIN175" s="72"/>
      <c r="DIO175" s="72"/>
      <c r="DIP175" s="72"/>
      <c r="DIQ175" s="72"/>
      <c r="DIR175" s="72"/>
      <c r="DIS175" s="72"/>
      <c r="DIT175" s="72"/>
      <c r="DIU175" s="72"/>
      <c r="DIV175" s="72"/>
      <c r="DIW175" s="72"/>
      <c r="DIX175" s="72"/>
      <c r="DIY175" s="72"/>
      <c r="DIZ175" s="72"/>
      <c r="DJA175" s="72"/>
      <c r="DJB175" s="72"/>
      <c r="DJC175" s="72"/>
      <c r="DJD175" s="72"/>
      <c r="DJE175" s="72"/>
      <c r="DJF175" s="72"/>
      <c r="DJG175" s="72"/>
      <c r="DJH175" s="72"/>
      <c r="DJI175" s="72"/>
      <c r="DJJ175" s="72"/>
      <c r="DJK175" s="72"/>
      <c r="DJL175" s="72"/>
      <c r="DJM175" s="72"/>
      <c r="DJN175" s="72"/>
      <c r="DJO175" s="72"/>
      <c r="DJP175" s="72"/>
      <c r="DJQ175" s="72"/>
      <c r="DJR175" s="72"/>
      <c r="DJS175" s="72"/>
      <c r="DJT175" s="72"/>
      <c r="DJU175" s="72"/>
      <c r="DJV175" s="72"/>
      <c r="DJW175" s="72"/>
      <c r="DJX175" s="72"/>
      <c r="DJY175" s="72"/>
      <c r="DJZ175" s="72"/>
      <c r="DKA175" s="72"/>
      <c r="DKB175" s="72"/>
      <c r="DKC175" s="72"/>
      <c r="DKD175" s="72"/>
      <c r="DKE175" s="72"/>
      <c r="DKF175" s="72"/>
      <c r="DKG175" s="72"/>
      <c r="DKH175" s="72"/>
      <c r="DKI175" s="72"/>
      <c r="DKJ175" s="72"/>
      <c r="DKK175" s="72"/>
      <c r="DKL175" s="72"/>
      <c r="DKM175" s="72"/>
      <c r="DKN175" s="72"/>
      <c r="DKO175" s="72"/>
      <c r="DKP175" s="72"/>
      <c r="DKQ175" s="72"/>
      <c r="DKR175" s="72"/>
      <c r="DKS175" s="72"/>
      <c r="DKT175" s="72"/>
      <c r="DKU175" s="72"/>
      <c r="DKV175" s="72"/>
      <c r="DKW175" s="72"/>
      <c r="DKX175" s="72"/>
      <c r="DKY175" s="72"/>
      <c r="DKZ175" s="72"/>
      <c r="DLA175" s="72"/>
      <c r="DLB175" s="72"/>
      <c r="DLC175" s="72"/>
      <c r="DLD175" s="72"/>
      <c r="DLE175" s="72"/>
      <c r="DLF175" s="72"/>
      <c r="DLG175" s="72"/>
      <c r="DLH175" s="72"/>
      <c r="DLI175" s="72"/>
      <c r="DLJ175" s="72"/>
      <c r="DLK175" s="72"/>
      <c r="DLL175" s="72"/>
      <c r="DLM175" s="72"/>
      <c r="DLN175" s="72"/>
      <c r="DLO175" s="72"/>
      <c r="DLP175" s="72"/>
      <c r="DLQ175" s="72"/>
      <c r="DLR175" s="72"/>
      <c r="DLS175" s="72"/>
      <c r="DLT175" s="72"/>
      <c r="DLU175" s="72"/>
      <c r="DLV175" s="72"/>
      <c r="DLW175" s="72"/>
      <c r="DLX175" s="72"/>
      <c r="DLY175" s="72"/>
      <c r="DLZ175" s="72"/>
      <c r="DMA175" s="72"/>
      <c r="DMB175" s="72"/>
      <c r="DMC175" s="72"/>
      <c r="DMD175" s="72"/>
      <c r="DME175" s="72"/>
      <c r="DMF175" s="72"/>
      <c r="DMG175" s="72"/>
      <c r="DMH175" s="72"/>
      <c r="DMI175" s="72"/>
      <c r="DMJ175" s="72"/>
      <c r="DMK175" s="72"/>
      <c r="DML175" s="72"/>
      <c r="DMM175" s="72"/>
      <c r="DMN175" s="72"/>
      <c r="DMO175" s="72"/>
      <c r="DMP175" s="72"/>
      <c r="DMQ175" s="72"/>
      <c r="DMR175" s="72"/>
      <c r="DMS175" s="72"/>
      <c r="DMT175" s="72"/>
      <c r="DMU175" s="72"/>
      <c r="DMV175" s="72"/>
      <c r="DMW175" s="72"/>
      <c r="DMX175" s="72"/>
      <c r="DMY175" s="72"/>
      <c r="DMZ175" s="72"/>
      <c r="DNA175" s="72"/>
      <c r="DNB175" s="72"/>
      <c r="DNC175" s="72"/>
      <c r="DND175" s="72"/>
      <c r="DNE175" s="72"/>
      <c r="DNF175" s="72"/>
      <c r="DNG175" s="72"/>
      <c r="DNH175" s="72"/>
      <c r="DNI175" s="72"/>
      <c r="DNJ175" s="72"/>
      <c r="DNK175" s="72"/>
      <c r="DNL175" s="72"/>
      <c r="DNM175" s="72"/>
      <c r="DNN175" s="72"/>
      <c r="DNO175" s="72"/>
      <c r="DNP175" s="72"/>
      <c r="DNQ175" s="72"/>
      <c r="DNR175" s="72"/>
      <c r="DNS175" s="72"/>
      <c r="DNT175" s="72"/>
      <c r="DNU175" s="72"/>
      <c r="DNV175" s="72"/>
      <c r="DNW175" s="72"/>
      <c r="DNX175" s="72"/>
      <c r="DNY175" s="72"/>
      <c r="DNZ175" s="72"/>
      <c r="DOA175" s="72"/>
      <c r="DOB175" s="72"/>
      <c r="DOC175" s="72"/>
      <c r="DOD175" s="72"/>
      <c r="DOE175" s="72"/>
      <c r="DOF175" s="72"/>
      <c r="DOG175" s="72"/>
      <c r="DOH175" s="72"/>
      <c r="DOI175" s="72"/>
      <c r="DOJ175" s="72"/>
      <c r="DOK175" s="72"/>
      <c r="DOL175" s="72"/>
      <c r="DOM175" s="72"/>
      <c r="DON175" s="72"/>
      <c r="DOO175" s="72"/>
      <c r="DOP175" s="72"/>
      <c r="DOQ175" s="72"/>
      <c r="DOR175" s="72"/>
      <c r="DOS175" s="72"/>
      <c r="DOT175" s="72"/>
      <c r="DOU175" s="72"/>
      <c r="DOV175" s="72"/>
      <c r="DOW175" s="72"/>
      <c r="DOX175" s="72"/>
      <c r="DOY175" s="72"/>
      <c r="DOZ175" s="72"/>
      <c r="DPA175" s="72"/>
      <c r="DPB175" s="72"/>
      <c r="DPC175" s="72"/>
      <c r="DPD175" s="72"/>
      <c r="DPE175" s="72"/>
      <c r="DPF175" s="72"/>
      <c r="DPG175" s="72"/>
      <c r="DPH175" s="72"/>
      <c r="DPI175" s="72"/>
      <c r="DPJ175" s="72"/>
      <c r="DPK175" s="72"/>
      <c r="DPL175" s="72"/>
      <c r="DPM175" s="72"/>
      <c r="DPN175" s="72"/>
      <c r="DPO175" s="72"/>
      <c r="DPP175" s="72"/>
      <c r="DPQ175" s="72"/>
      <c r="DPR175" s="72"/>
      <c r="DPS175" s="72"/>
      <c r="DPT175" s="72"/>
      <c r="DPU175" s="72"/>
      <c r="DPV175" s="72"/>
      <c r="DPW175" s="72"/>
      <c r="DPX175" s="72"/>
      <c r="DPY175" s="72"/>
      <c r="DPZ175" s="72"/>
      <c r="DQA175" s="72"/>
      <c r="DQB175" s="72"/>
      <c r="DQC175" s="72"/>
      <c r="DQD175" s="72"/>
      <c r="DQE175" s="72"/>
      <c r="DQF175" s="72"/>
      <c r="DQG175" s="72"/>
      <c r="DQH175" s="72"/>
      <c r="DQI175" s="72"/>
      <c r="DQJ175" s="72"/>
      <c r="DQK175" s="72"/>
      <c r="DQL175" s="72"/>
      <c r="DQM175" s="72"/>
      <c r="DQN175" s="72"/>
      <c r="DQO175" s="72"/>
      <c r="DQP175" s="72"/>
      <c r="DQQ175" s="72"/>
      <c r="DQR175" s="72"/>
      <c r="DQS175" s="72"/>
      <c r="DQT175" s="72"/>
      <c r="DQU175" s="72"/>
      <c r="DQV175" s="72"/>
      <c r="DQW175" s="72"/>
      <c r="DQX175" s="72"/>
      <c r="DQY175" s="72"/>
      <c r="DQZ175" s="72"/>
      <c r="DRA175" s="72"/>
      <c r="DRB175" s="72"/>
      <c r="DRC175" s="72"/>
      <c r="DRD175" s="72"/>
      <c r="DRE175" s="72"/>
      <c r="DRF175" s="72"/>
      <c r="DRG175" s="72"/>
      <c r="DRH175" s="72"/>
      <c r="DRI175" s="72"/>
      <c r="DRJ175" s="72"/>
      <c r="DRK175" s="72"/>
      <c r="DRL175" s="72"/>
      <c r="DRM175" s="72"/>
      <c r="DRN175" s="72"/>
      <c r="DRO175" s="72"/>
      <c r="DRP175" s="72"/>
      <c r="DRQ175" s="72"/>
      <c r="DRR175" s="72"/>
      <c r="DRS175" s="72"/>
      <c r="DRT175" s="72"/>
      <c r="DRU175" s="72"/>
      <c r="DRV175" s="72"/>
      <c r="DRW175" s="72"/>
      <c r="DRX175" s="72"/>
      <c r="DRY175" s="72"/>
      <c r="DRZ175" s="72"/>
      <c r="DSA175" s="72"/>
      <c r="DSB175" s="72"/>
      <c r="DSC175" s="72"/>
      <c r="DSD175" s="72"/>
      <c r="DSE175" s="72"/>
      <c r="DSF175" s="72"/>
      <c r="DSG175" s="72"/>
      <c r="DSH175" s="72"/>
      <c r="DSI175" s="72"/>
      <c r="DSJ175" s="72"/>
      <c r="DSK175" s="72"/>
      <c r="DSL175" s="72"/>
      <c r="DSM175" s="72"/>
      <c r="DSN175" s="72"/>
      <c r="DSO175" s="72"/>
      <c r="DSP175" s="72"/>
      <c r="DSQ175" s="72"/>
      <c r="DSR175" s="72"/>
      <c r="DSS175" s="72"/>
      <c r="DST175" s="72"/>
      <c r="DSU175" s="72"/>
      <c r="DSV175" s="72"/>
      <c r="DSW175" s="72"/>
      <c r="DSX175" s="72"/>
      <c r="DSY175" s="72"/>
      <c r="DSZ175" s="72"/>
      <c r="DTA175" s="72"/>
      <c r="DTB175" s="72"/>
      <c r="DTC175" s="72"/>
      <c r="DTD175" s="72"/>
      <c r="DTE175" s="72"/>
      <c r="DTF175" s="72"/>
      <c r="DTG175" s="72"/>
      <c r="DTH175" s="72"/>
      <c r="DTI175" s="72"/>
      <c r="DTJ175" s="72"/>
      <c r="DTK175" s="72"/>
      <c r="DTL175" s="72"/>
      <c r="DTM175" s="72"/>
      <c r="DTN175" s="72"/>
      <c r="DTO175" s="72"/>
      <c r="DTP175" s="72"/>
      <c r="DTQ175" s="72"/>
      <c r="DTR175" s="72"/>
      <c r="DTS175" s="72"/>
      <c r="DTT175" s="72"/>
      <c r="DTU175" s="72"/>
      <c r="DTV175" s="72"/>
      <c r="DTW175" s="72"/>
      <c r="DTX175" s="72"/>
      <c r="DTY175" s="72"/>
      <c r="DTZ175" s="72"/>
      <c r="DUA175" s="72"/>
      <c r="DUB175" s="72"/>
      <c r="DUC175" s="72"/>
      <c r="DUD175" s="72"/>
      <c r="DUE175" s="72"/>
      <c r="DUF175" s="72"/>
      <c r="DUG175" s="72"/>
      <c r="DUH175" s="72"/>
      <c r="DUI175" s="72"/>
      <c r="DUJ175" s="72"/>
      <c r="DUK175" s="72"/>
      <c r="DUL175" s="72"/>
      <c r="DUM175" s="72"/>
      <c r="DUN175" s="72"/>
      <c r="DUO175" s="72"/>
      <c r="DUP175" s="72"/>
      <c r="DUQ175" s="72"/>
      <c r="DUR175" s="72"/>
      <c r="DUS175" s="72"/>
      <c r="DUT175" s="72"/>
      <c r="DUU175" s="72"/>
      <c r="DUV175" s="72"/>
      <c r="DUW175" s="72"/>
      <c r="DUX175" s="72"/>
      <c r="DUY175" s="72"/>
      <c r="DUZ175" s="72"/>
      <c r="DVA175" s="72"/>
      <c r="DVB175" s="72"/>
      <c r="DVC175" s="72"/>
      <c r="DVD175" s="72"/>
      <c r="DVE175" s="72"/>
      <c r="DVF175" s="72"/>
      <c r="DVG175" s="72"/>
      <c r="DVH175" s="72"/>
      <c r="DVI175" s="72"/>
      <c r="DVJ175" s="72"/>
      <c r="DVK175" s="72"/>
      <c r="DVL175" s="72"/>
      <c r="DVM175" s="72"/>
      <c r="DVN175" s="72"/>
      <c r="DVO175" s="72"/>
      <c r="DVP175" s="72"/>
      <c r="DVQ175" s="72"/>
      <c r="DVR175" s="72"/>
      <c r="DVS175" s="72"/>
      <c r="DVT175" s="72"/>
      <c r="DVU175" s="72"/>
      <c r="DVV175" s="72"/>
      <c r="DVW175" s="72"/>
      <c r="DVX175" s="72"/>
      <c r="DVY175" s="72"/>
      <c r="DVZ175" s="72"/>
      <c r="DWA175" s="72"/>
      <c r="DWB175" s="72"/>
      <c r="DWC175" s="72"/>
      <c r="DWD175" s="72"/>
      <c r="DWE175" s="72"/>
      <c r="DWF175" s="72"/>
      <c r="DWG175" s="72"/>
      <c r="DWH175" s="72"/>
      <c r="DWI175" s="72"/>
      <c r="DWJ175" s="72"/>
      <c r="DWK175" s="72"/>
      <c r="DWL175" s="72"/>
      <c r="DWM175" s="72"/>
      <c r="DWN175" s="72"/>
      <c r="DWO175" s="72"/>
      <c r="DWP175" s="72"/>
      <c r="DWQ175" s="72"/>
      <c r="DWR175" s="72"/>
      <c r="DWS175" s="72"/>
      <c r="DWT175" s="72"/>
      <c r="DWU175" s="72"/>
      <c r="DWV175" s="72"/>
      <c r="DWW175" s="72"/>
      <c r="DWX175" s="72"/>
      <c r="DWY175" s="72"/>
      <c r="DWZ175" s="72"/>
      <c r="DXA175" s="72"/>
      <c r="DXB175" s="72"/>
      <c r="DXC175" s="72"/>
      <c r="DXD175" s="72"/>
      <c r="DXE175" s="72"/>
      <c r="DXF175" s="72"/>
      <c r="DXG175" s="72"/>
      <c r="DXH175" s="72"/>
      <c r="DXI175" s="72"/>
      <c r="DXJ175" s="72"/>
      <c r="DXK175" s="72"/>
      <c r="DXL175" s="72"/>
      <c r="DXM175" s="72"/>
      <c r="DXN175" s="72"/>
      <c r="DXO175" s="72"/>
      <c r="DXP175" s="72"/>
      <c r="DXQ175" s="72"/>
      <c r="DXR175" s="72"/>
      <c r="DXS175" s="72"/>
      <c r="DXT175" s="72"/>
      <c r="DXU175" s="72"/>
      <c r="DXV175" s="72"/>
      <c r="DXW175" s="72"/>
      <c r="DXX175" s="72"/>
      <c r="DXY175" s="72"/>
      <c r="DXZ175" s="72"/>
      <c r="DYA175" s="72"/>
      <c r="DYB175" s="72"/>
      <c r="DYC175" s="72"/>
      <c r="DYD175" s="72"/>
      <c r="DYE175" s="72"/>
      <c r="DYF175" s="72"/>
      <c r="DYG175" s="72"/>
      <c r="DYH175" s="72"/>
      <c r="DYI175" s="72"/>
      <c r="DYJ175" s="72"/>
      <c r="DYK175" s="72"/>
      <c r="DYL175" s="72"/>
      <c r="DYM175" s="72"/>
      <c r="DYN175" s="72"/>
      <c r="DYO175" s="72"/>
      <c r="DYP175" s="72"/>
      <c r="DYQ175" s="72"/>
      <c r="DYR175" s="72"/>
      <c r="DYS175" s="72"/>
      <c r="DYT175" s="72"/>
      <c r="DYU175" s="72"/>
      <c r="DYV175" s="72"/>
      <c r="DYW175" s="72"/>
      <c r="DYX175" s="72"/>
      <c r="DYY175" s="72"/>
      <c r="DYZ175" s="72"/>
      <c r="DZA175" s="72"/>
      <c r="DZB175" s="72"/>
      <c r="DZC175" s="72"/>
      <c r="DZD175" s="72"/>
      <c r="DZE175" s="72"/>
      <c r="DZF175" s="72"/>
      <c r="DZG175" s="72"/>
      <c r="DZH175" s="72"/>
      <c r="DZI175" s="72"/>
      <c r="DZJ175" s="72"/>
      <c r="DZK175" s="72"/>
      <c r="DZL175" s="72"/>
      <c r="DZM175" s="72"/>
      <c r="DZN175" s="72"/>
      <c r="DZO175" s="72"/>
      <c r="DZP175" s="72"/>
      <c r="DZQ175" s="72"/>
      <c r="DZR175" s="72"/>
      <c r="DZS175" s="72"/>
      <c r="DZT175" s="72"/>
      <c r="DZU175" s="72"/>
      <c r="DZV175" s="72"/>
      <c r="DZW175" s="72"/>
      <c r="DZX175" s="72"/>
      <c r="DZY175" s="72"/>
      <c r="DZZ175" s="72"/>
      <c r="EAA175" s="72"/>
      <c r="EAB175" s="72"/>
      <c r="EAC175" s="72"/>
      <c r="EAD175" s="72"/>
      <c r="EAE175" s="72"/>
      <c r="EAF175" s="72"/>
      <c r="EAG175" s="72"/>
      <c r="EAH175" s="72"/>
      <c r="EAI175" s="72"/>
      <c r="EAJ175" s="72"/>
      <c r="EAK175" s="72"/>
      <c r="EAL175" s="72"/>
      <c r="EAM175" s="72"/>
      <c r="EAN175" s="72"/>
      <c r="EAO175" s="72"/>
      <c r="EAP175" s="72"/>
      <c r="EAQ175" s="72"/>
      <c r="EAR175" s="72"/>
      <c r="EAS175" s="72"/>
      <c r="EAT175" s="72"/>
      <c r="EAU175" s="72"/>
      <c r="EAV175" s="72"/>
      <c r="EAW175" s="72"/>
      <c r="EAX175" s="72"/>
      <c r="EAY175" s="72"/>
      <c r="EAZ175" s="72"/>
      <c r="EBA175" s="72"/>
      <c r="EBB175" s="72"/>
      <c r="EBC175" s="72"/>
      <c r="EBD175" s="72"/>
      <c r="EBE175" s="72"/>
      <c r="EBF175" s="72"/>
      <c r="EBG175" s="72"/>
      <c r="EBH175" s="72"/>
      <c r="EBI175" s="72"/>
      <c r="EBJ175" s="72"/>
      <c r="EBK175" s="72"/>
      <c r="EBL175" s="72"/>
      <c r="EBM175" s="72"/>
      <c r="EBN175" s="72"/>
      <c r="EBO175" s="72"/>
      <c r="EBP175" s="72"/>
      <c r="EBQ175" s="72"/>
      <c r="EBR175" s="72"/>
      <c r="EBS175" s="72"/>
      <c r="EBT175" s="72"/>
      <c r="EBU175" s="72"/>
      <c r="EBV175" s="72"/>
      <c r="EBW175" s="72"/>
      <c r="EBX175" s="72"/>
      <c r="EBY175" s="72"/>
      <c r="EBZ175" s="72"/>
      <c r="ECA175" s="72"/>
      <c r="ECB175" s="72"/>
      <c r="ECC175" s="72"/>
      <c r="ECD175" s="72"/>
      <c r="ECE175" s="72"/>
      <c r="ECF175" s="72"/>
      <c r="ECG175" s="72"/>
      <c r="ECH175" s="72"/>
      <c r="ECI175" s="72"/>
      <c r="ECJ175" s="72"/>
      <c r="ECK175" s="72"/>
      <c r="ECL175" s="72"/>
      <c r="ECM175" s="72"/>
      <c r="ECN175" s="72"/>
      <c r="ECO175" s="72"/>
      <c r="ECP175" s="72"/>
      <c r="ECQ175" s="72"/>
      <c r="ECR175" s="72"/>
      <c r="ECS175" s="72"/>
      <c r="ECT175" s="72"/>
      <c r="ECU175" s="72"/>
      <c r="ECV175" s="72"/>
      <c r="ECW175" s="72"/>
      <c r="ECX175" s="72"/>
      <c r="ECY175" s="72"/>
      <c r="ECZ175" s="72"/>
      <c r="EDA175" s="72"/>
      <c r="EDB175" s="72"/>
      <c r="EDC175" s="72"/>
      <c r="EDD175" s="72"/>
      <c r="EDE175" s="72"/>
      <c r="EDF175" s="72"/>
      <c r="EDG175" s="72"/>
      <c r="EDH175" s="72"/>
      <c r="EDI175" s="72"/>
      <c r="EDJ175" s="72"/>
      <c r="EDK175" s="72"/>
      <c r="EDL175" s="72"/>
      <c r="EDM175" s="72"/>
      <c r="EDN175" s="72"/>
      <c r="EDO175" s="72"/>
      <c r="EDP175" s="72"/>
      <c r="EDQ175" s="72"/>
      <c r="EDR175" s="72"/>
      <c r="EDS175" s="72"/>
      <c r="EDT175" s="72"/>
      <c r="EDU175" s="72"/>
      <c r="EDV175" s="72"/>
      <c r="EDW175" s="72"/>
      <c r="EDX175" s="72"/>
      <c r="EDY175" s="72"/>
      <c r="EDZ175" s="72"/>
      <c r="EEA175" s="72"/>
      <c r="EEB175" s="72"/>
      <c r="EEC175" s="72"/>
      <c r="EED175" s="72"/>
      <c r="EEE175" s="72"/>
      <c r="EEF175" s="72"/>
      <c r="EEG175" s="72"/>
      <c r="EEH175" s="72"/>
      <c r="EEI175" s="72"/>
      <c r="EEJ175" s="72"/>
      <c r="EEK175" s="72"/>
      <c r="EEL175" s="72"/>
      <c r="EEM175" s="72"/>
      <c r="EEN175" s="72"/>
      <c r="EEO175" s="72"/>
      <c r="EEP175" s="72"/>
      <c r="EEQ175" s="72"/>
      <c r="EER175" s="72"/>
      <c r="EES175" s="72"/>
      <c r="EET175" s="72"/>
      <c r="EEU175" s="72"/>
      <c r="EEV175" s="72"/>
      <c r="EEW175" s="72"/>
      <c r="EEX175" s="72"/>
      <c r="EEY175" s="72"/>
      <c r="EEZ175" s="72"/>
      <c r="EFA175" s="72"/>
      <c r="EFB175" s="72"/>
      <c r="EFC175" s="72"/>
      <c r="EFD175" s="72"/>
      <c r="EFE175" s="72"/>
      <c r="EFF175" s="72"/>
      <c r="EFG175" s="72"/>
      <c r="EFH175" s="72"/>
      <c r="EFI175" s="72"/>
      <c r="EFJ175" s="72"/>
      <c r="EFK175" s="72"/>
      <c r="EFL175" s="72"/>
      <c r="EFM175" s="72"/>
      <c r="EFN175" s="72"/>
      <c r="EFO175" s="72"/>
      <c r="EFP175" s="72"/>
      <c r="EFQ175" s="72"/>
      <c r="EFR175" s="72"/>
      <c r="EFS175" s="72"/>
      <c r="EFT175" s="72"/>
      <c r="EFU175" s="72"/>
      <c r="EFV175" s="72"/>
      <c r="EFW175" s="72"/>
      <c r="EFX175" s="72"/>
      <c r="EFY175" s="72"/>
      <c r="EFZ175" s="72"/>
      <c r="EGA175" s="72"/>
      <c r="EGB175" s="72"/>
      <c r="EGC175" s="72"/>
      <c r="EGD175" s="72"/>
      <c r="EGE175" s="72"/>
      <c r="EGF175" s="72"/>
      <c r="EGG175" s="72"/>
      <c r="EGH175" s="72"/>
      <c r="EGI175" s="72"/>
      <c r="EGJ175" s="72"/>
      <c r="EGK175" s="72"/>
      <c r="EGL175" s="72"/>
      <c r="EGM175" s="72"/>
      <c r="EGN175" s="72"/>
      <c r="EGO175" s="72"/>
      <c r="EGP175" s="72"/>
      <c r="EGQ175" s="72"/>
      <c r="EGR175" s="72"/>
      <c r="EGS175" s="72"/>
      <c r="EGT175" s="72"/>
      <c r="EGU175" s="72"/>
      <c r="EGV175" s="72"/>
      <c r="EGW175" s="72"/>
      <c r="EGX175" s="72"/>
      <c r="EGY175" s="72"/>
      <c r="EGZ175" s="72"/>
      <c r="EHA175" s="72"/>
      <c r="EHB175" s="72"/>
      <c r="EHC175" s="72"/>
      <c r="EHD175" s="72"/>
      <c r="EHE175" s="72"/>
      <c r="EHF175" s="72"/>
      <c r="EHG175" s="72"/>
      <c r="EHH175" s="72"/>
      <c r="EHI175" s="72"/>
      <c r="EHJ175" s="72"/>
      <c r="EHK175" s="72"/>
      <c r="EHL175" s="72"/>
      <c r="EHM175" s="72"/>
      <c r="EHN175" s="72"/>
      <c r="EHO175" s="72"/>
      <c r="EHP175" s="72"/>
      <c r="EHQ175" s="72"/>
      <c r="EHR175" s="72"/>
      <c r="EHS175" s="72"/>
      <c r="EHT175" s="72"/>
      <c r="EHU175" s="72"/>
      <c r="EHV175" s="72"/>
      <c r="EHW175" s="72"/>
      <c r="EHX175" s="72"/>
      <c r="EHY175" s="72"/>
      <c r="EHZ175" s="72"/>
      <c r="EIA175" s="72"/>
      <c r="EIB175" s="72"/>
      <c r="EIC175" s="72"/>
      <c r="EID175" s="72"/>
      <c r="EIE175" s="72"/>
      <c r="EIF175" s="72"/>
      <c r="EIG175" s="72"/>
      <c r="EIH175" s="72"/>
      <c r="EII175" s="72"/>
      <c r="EIJ175" s="72"/>
      <c r="EIK175" s="72"/>
      <c r="EIL175" s="72"/>
      <c r="EIM175" s="72"/>
      <c r="EIN175" s="72"/>
      <c r="EIO175" s="72"/>
      <c r="EIP175" s="72"/>
      <c r="EIQ175" s="72"/>
      <c r="EIR175" s="72"/>
      <c r="EIS175" s="72"/>
      <c r="EIT175" s="72"/>
      <c r="EIU175" s="72"/>
      <c r="EIV175" s="72"/>
      <c r="EIW175" s="72"/>
      <c r="EIX175" s="72"/>
      <c r="EIY175" s="72"/>
      <c r="EIZ175" s="72"/>
      <c r="EJA175" s="72"/>
      <c r="EJB175" s="72"/>
      <c r="EJC175" s="72"/>
      <c r="EJD175" s="72"/>
      <c r="EJE175" s="72"/>
      <c r="EJF175" s="72"/>
      <c r="EJG175" s="72"/>
      <c r="EJH175" s="72"/>
      <c r="EJI175" s="72"/>
      <c r="EJJ175" s="72"/>
      <c r="EJK175" s="72"/>
      <c r="EJL175" s="72"/>
      <c r="EJM175" s="72"/>
      <c r="EJN175" s="72"/>
      <c r="EJO175" s="72"/>
      <c r="EJP175" s="72"/>
      <c r="EJQ175" s="72"/>
      <c r="EJR175" s="72"/>
      <c r="EJS175" s="72"/>
      <c r="EJT175" s="72"/>
      <c r="EJU175" s="72"/>
      <c r="EJV175" s="72"/>
      <c r="EJW175" s="72"/>
      <c r="EJX175" s="72"/>
      <c r="EJY175" s="72"/>
      <c r="EJZ175" s="72"/>
      <c r="EKA175" s="72"/>
      <c r="EKB175" s="72"/>
      <c r="EKC175" s="72"/>
      <c r="EKD175" s="72"/>
      <c r="EKE175" s="72"/>
      <c r="EKF175" s="72"/>
      <c r="EKG175" s="72"/>
      <c r="EKH175" s="72"/>
      <c r="EKI175" s="72"/>
      <c r="EKJ175" s="72"/>
      <c r="EKK175" s="72"/>
      <c r="EKL175" s="72"/>
      <c r="EKM175" s="72"/>
      <c r="EKN175" s="72"/>
      <c r="EKO175" s="72"/>
      <c r="EKP175" s="72"/>
      <c r="EKQ175" s="72"/>
      <c r="EKR175" s="72"/>
      <c r="EKS175" s="72"/>
      <c r="EKT175" s="72"/>
      <c r="EKU175" s="72"/>
      <c r="EKV175" s="72"/>
      <c r="EKW175" s="72"/>
      <c r="EKX175" s="72"/>
      <c r="EKY175" s="72"/>
      <c r="EKZ175" s="72"/>
      <c r="ELA175" s="72"/>
      <c r="ELB175" s="72"/>
      <c r="ELC175" s="72"/>
      <c r="ELD175" s="72"/>
      <c r="ELE175" s="72"/>
      <c r="ELF175" s="72"/>
      <c r="ELG175" s="72"/>
      <c r="ELH175" s="72"/>
      <c r="ELI175" s="72"/>
      <c r="ELJ175" s="72"/>
      <c r="ELK175" s="72"/>
      <c r="ELL175" s="72"/>
      <c r="ELM175" s="72"/>
      <c r="ELN175" s="72"/>
      <c r="ELO175" s="72"/>
      <c r="ELP175" s="72"/>
      <c r="ELQ175" s="72"/>
      <c r="ELR175" s="72"/>
      <c r="ELS175" s="72"/>
      <c r="ELT175" s="72"/>
      <c r="ELU175" s="72"/>
      <c r="ELV175" s="72"/>
      <c r="ELW175" s="72"/>
      <c r="ELX175" s="72"/>
      <c r="ELY175" s="72"/>
      <c r="ELZ175" s="72"/>
      <c r="EMA175" s="72"/>
      <c r="EMB175" s="72"/>
      <c r="EMC175" s="72"/>
      <c r="EMD175" s="72"/>
      <c r="EME175" s="72"/>
      <c r="EMF175" s="72"/>
      <c r="EMG175" s="72"/>
      <c r="EMH175" s="72"/>
      <c r="EMI175" s="72"/>
      <c r="EMJ175" s="72"/>
      <c r="EMK175" s="72"/>
      <c r="EML175" s="72"/>
      <c r="EMM175" s="72"/>
      <c r="EMN175" s="72"/>
      <c r="EMO175" s="72"/>
      <c r="EMP175" s="72"/>
      <c r="EMQ175" s="72"/>
      <c r="EMR175" s="72"/>
      <c r="EMS175" s="72"/>
      <c r="EMT175" s="72"/>
      <c r="EMU175" s="72"/>
      <c r="EMV175" s="72"/>
      <c r="EMW175" s="72"/>
      <c r="EMX175" s="72"/>
      <c r="EMY175" s="72"/>
      <c r="EMZ175" s="72"/>
      <c r="ENA175" s="72"/>
      <c r="ENB175" s="72"/>
      <c r="ENC175" s="72"/>
      <c r="END175" s="72"/>
      <c r="ENE175" s="72"/>
      <c r="ENF175" s="72"/>
      <c r="ENG175" s="72"/>
      <c r="ENH175" s="72"/>
      <c r="ENI175" s="72"/>
      <c r="ENJ175" s="72"/>
      <c r="ENK175" s="72"/>
      <c r="ENL175" s="72"/>
      <c r="ENM175" s="72"/>
      <c r="ENN175" s="72"/>
      <c r="ENO175" s="72"/>
      <c r="ENP175" s="72"/>
      <c r="ENQ175" s="72"/>
      <c r="ENR175" s="72"/>
      <c r="ENS175" s="72"/>
      <c r="ENT175" s="72"/>
      <c r="ENU175" s="72"/>
      <c r="ENV175" s="72"/>
      <c r="ENW175" s="72"/>
      <c r="ENX175" s="72"/>
      <c r="ENY175" s="72"/>
      <c r="ENZ175" s="72"/>
      <c r="EOA175" s="72"/>
      <c r="EOB175" s="72"/>
      <c r="EOC175" s="72"/>
      <c r="EOD175" s="72"/>
      <c r="EOE175" s="72"/>
      <c r="EOF175" s="72"/>
      <c r="EOG175" s="72"/>
      <c r="EOH175" s="72"/>
      <c r="EOI175" s="72"/>
      <c r="EOJ175" s="72"/>
      <c r="EOK175" s="72"/>
      <c r="EOL175" s="72"/>
      <c r="EOM175" s="72"/>
      <c r="EON175" s="72"/>
      <c r="EOO175" s="72"/>
      <c r="EOP175" s="72"/>
      <c r="EOQ175" s="72"/>
      <c r="EOR175" s="72"/>
      <c r="EOS175" s="72"/>
      <c r="EOT175" s="72"/>
      <c r="EOU175" s="72"/>
      <c r="EOV175" s="72"/>
      <c r="EOW175" s="72"/>
      <c r="EOX175" s="72"/>
      <c r="EOY175" s="72"/>
      <c r="EOZ175" s="72"/>
      <c r="EPA175" s="72"/>
      <c r="EPB175" s="72"/>
      <c r="EPC175" s="72"/>
      <c r="EPD175" s="72"/>
      <c r="EPE175" s="72"/>
      <c r="EPF175" s="72"/>
      <c r="EPG175" s="72"/>
      <c r="EPH175" s="72"/>
      <c r="EPI175" s="72"/>
      <c r="EPJ175" s="72"/>
      <c r="EPK175" s="72"/>
      <c r="EPL175" s="72"/>
      <c r="EPM175" s="72"/>
      <c r="EPN175" s="72"/>
      <c r="EPO175" s="72"/>
      <c r="EPP175" s="72"/>
      <c r="EPQ175" s="72"/>
      <c r="EPR175" s="72"/>
      <c r="EPS175" s="72"/>
      <c r="EPT175" s="72"/>
      <c r="EPU175" s="72"/>
      <c r="EPV175" s="72"/>
      <c r="EPW175" s="72"/>
      <c r="EPX175" s="72"/>
      <c r="EPY175" s="72"/>
      <c r="EPZ175" s="72"/>
      <c r="EQA175" s="72"/>
      <c r="EQB175" s="72"/>
      <c r="EQC175" s="72"/>
      <c r="EQD175" s="72"/>
      <c r="EQE175" s="72"/>
      <c r="EQF175" s="72"/>
      <c r="EQG175" s="72"/>
      <c r="EQH175" s="72"/>
      <c r="EQI175" s="72"/>
      <c r="EQJ175" s="72"/>
      <c r="EQK175" s="72"/>
      <c r="EQL175" s="72"/>
      <c r="EQM175" s="72"/>
      <c r="EQN175" s="72"/>
      <c r="EQO175" s="72"/>
      <c r="EQP175" s="72"/>
      <c r="EQQ175" s="72"/>
      <c r="EQR175" s="72"/>
      <c r="EQS175" s="72"/>
      <c r="EQT175" s="72"/>
      <c r="EQU175" s="72"/>
      <c r="EQV175" s="72"/>
      <c r="EQW175" s="72"/>
      <c r="EQX175" s="72"/>
      <c r="EQY175" s="72"/>
      <c r="EQZ175" s="72"/>
      <c r="ERA175" s="72"/>
      <c r="ERB175" s="72"/>
      <c r="ERC175" s="72"/>
      <c r="ERD175" s="72"/>
      <c r="ERE175" s="72"/>
      <c r="ERF175" s="72"/>
      <c r="ERG175" s="72"/>
      <c r="ERH175" s="72"/>
      <c r="ERI175" s="72"/>
      <c r="ERJ175" s="72"/>
      <c r="ERK175" s="72"/>
      <c r="ERL175" s="72"/>
      <c r="ERM175" s="72"/>
      <c r="ERN175" s="72"/>
      <c r="ERO175" s="72"/>
      <c r="ERP175" s="72"/>
      <c r="ERQ175" s="72"/>
      <c r="ERR175" s="72"/>
      <c r="ERS175" s="72"/>
      <c r="ERT175" s="72"/>
      <c r="ERU175" s="72"/>
      <c r="ERV175" s="72"/>
      <c r="ERW175" s="72"/>
      <c r="ERX175" s="72"/>
      <c r="ERY175" s="72"/>
      <c r="ERZ175" s="72"/>
      <c r="ESA175" s="72"/>
      <c r="ESB175" s="72"/>
      <c r="ESC175" s="72"/>
      <c r="ESD175" s="72"/>
      <c r="ESE175" s="72"/>
      <c r="ESF175" s="72"/>
      <c r="ESG175" s="72"/>
      <c r="ESH175" s="72"/>
      <c r="ESI175" s="72"/>
      <c r="ESJ175" s="72"/>
      <c r="ESK175" s="72"/>
      <c r="ESL175" s="72"/>
      <c r="ESM175" s="72"/>
      <c r="ESN175" s="72"/>
      <c r="ESO175" s="72"/>
      <c r="ESP175" s="72"/>
      <c r="ESQ175" s="72"/>
      <c r="ESR175" s="72"/>
      <c r="ESS175" s="72"/>
      <c r="EST175" s="72"/>
      <c r="ESU175" s="72"/>
      <c r="ESV175" s="72"/>
      <c r="ESW175" s="72"/>
      <c r="ESX175" s="72"/>
      <c r="ESY175" s="72"/>
      <c r="ESZ175" s="72"/>
      <c r="ETA175" s="72"/>
      <c r="ETB175" s="72"/>
      <c r="ETC175" s="72"/>
      <c r="ETD175" s="72"/>
      <c r="ETE175" s="72"/>
      <c r="ETF175" s="72"/>
      <c r="ETG175" s="72"/>
      <c r="ETH175" s="72"/>
      <c r="ETI175" s="72"/>
      <c r="ETJ175" s="72"/>
      <c r="ETK175" s="72"/>
      <c r="ETL175" s="72"/>
      <c r="ETM175" s="72"/>
      <c r="ETN175" s="72"/>
      <c r="ETO175" s="72"/>
      <c r="ETP175" s="72"/>
      <c r="ETQ175" s="72"/>
      <c r="ETR175" s="72"/>
      <c r="ETS175" s="72"/>
      <c r="ETT175" s="72"/>
      <c r="ETU175" s="72"/>
      <c r="ETV175" s="72"/>
      <c r="ETW175" s="72"/>
      <c r="ETX175" s="72"/>
      <c r="ETY175" s="72"/>
      <c r="ETZ175" s="72"/>
      <c r="EUA175" s="72"/>
      <c r="EUB175" s="72"/>
      <c r="EUC175" s="72"/>
      <c r="EUD175" s="72"/>
      <c r="EUE175" s="72"/>
      <c r="EUF175" s="72"/>
      <c r="EUG175" s="72"/>
      <c r="EUH175" s="72"/>
      <c r="EUI175" s="72"/>
      <c r="EUJ175" s="72"/>
      <c r="EUK175" s="72"/>
      <c r="EUL175" s="72"/>
      <c r="EUM175" s="72"/>
      <c r="EUN175" s="72"/>
      <c r="EUO175" s="72"/>
      <c r="EUP175" s="72"/>
      <c r="EUQ175" s="72"/>
      <c r="EUR175" s="72"/>
      <c r="EUS175" s="72"/>
      <c r="EUT175" s="72"/>
      <c r="EUU175" s="72"/>
      <c r="EUV175" s="72"/>
      <c r="EUW175" s="72"/>
      <c r="EUX175" s="72"/>
      <c r="EUY175" s="72"/>
      <c r="EUZ175" s="72"/>
      <c r="EVA175" s="72"/>
      <c r="EVB175" s="72"/>
      <c r="EVC175" s="72"/>
      <c r="EVD175" s="72"/>
      <c r="EVE175" s="72"/>
      <c r="EVF175" s="72"/>
      <c r="EVG175" s="72"/>
      <c r="EVH175" s="72"/>
      <c r="EVI175" s="72"/>
      <c r="EVJ175" s="72"/>
      <c r="EVK175" s="72"/>
      <c r="EVL175" s="72"/>
      <c r="EVM175" s="72"/>
      <c r="EVN175" s="72"/>
      <c r="EVO175" s="72"/>
      <c r="EVP175" s="72"/>
      <c r="EVQ175" s="72"/>
      <c r="EVR175" s="72"/>
      <c r="EVS175" s="72"/>
      <c r="EVT175" s="72"/>
      <c r="EVU175" s="72"/>
      <c r="EVV175" s="72"/>
      <c r="EVW175" s="72"/>
      <c r="EVX175" s="72"/>
      <c r="EVY175" s="72"/>
      <c r="EVZ175" s="72"/>
      <c r="EWA175" s="72"/>
      <c r="EWB175" s="72"/>
      <c r="EWC175" s="72"/>
      <c r="EWD175" s="72"/>
      <c r="EWE175" s="72"/>
      <c r="EWF175" s="72"/>
      <c r="EWG175" s="72"/>
      <c r="EWH175" s="72"/>
      <c r="EWI175" s="72"/>
      <c r="EWJ175" s="72"/>
      <c r="EWK175" s="72"/>
      <c r="EWL175" s="72"/>
      <c r="EWM175" s="72"/>
      <c r="EWN175" s="72"/>
      <c r="EWO175" s="72"/>
      <c r="EWP175" s="72"/>
      <c r="EWQ175" s="72"/>
      <c r="EWR175" s="72"/>
      <c r="EWS175" s="72"/>
      <c r="EWT175" s="72"/>
      <c r="EWU175" s="72"/>
      <c r="EWV175" s="72"/>
      <c r="EWW175" s="72"/>
      <c r="EWX175" s="72"/>
      <c r="EWY175" s="72"/>
      <c r="EWZ175" s="72"/>
      <c r="EXA175" s="72"/>
      <c r="EXB175" s="72"/>
      <c r="EXC175" s="72"/>
      <c r="EXD175" s="72"/>
      <c r="EXE175" s="72"/>
      <c r="EXF175" s="72"/>
      <c r="EXG175" s="72"/>
      <c r="EXH175" s="72"/>
      <c r="EXI175" s="72"/>
      <c r="EXJ175" s="72"/>
      <c r="EXK175" s="72"/>
      <c r="EXL175" s="72"/>
      <c r="EXM175" s="72"/>
      <c r="EXN175" s="72"/>
      <c r="EXO175" s="72"/>
      <c r="EXP175" s="72"/>
      <c r="EXQ175" s="72"/>
      <c r="EXR175" s="72"/>
      <c r="EXS175" s="72"/>
      <c r="EXT175" s="72"/>
      <c r="EXU175" s="72"/>
      <c r="EXV175" s="72"/>
      <c r="EXW175" s="72"/>
      <c r="EXX175" s="72"/>
      <c r="EXY175" s="72"/>
      <c r="EXZ175" s="72"/>
      <c r="EYA175" s="72"/>
      <c r="EYB175" s="72"/>
      <c r="EYC175" s="72"/>
      <c r="EYD175" s="72"/>
      <c r="EYE175" s="72"/>
      <c r="EYF175" s="72"/>
      <c r="EYG175" s="72"/>
      <c r="EYH175" s="72"/>
      <c r="EYI175" s="72"/>
      <c r="EYJ175" s="72"/>
      <c r="EYK175" s="72"/>
      <c r="EYL175" s="72"/>
      <c r="EYM175" s="72"/>
      <c r="EYN175" s="72"/>
      <c r="EYO175" s="72"/>
      <c r="EYP175" s="72"/>
      <c r="EYQ175" s="72"/>
      <c r="EYR175" s="72"/>
      <c r="EYS175" s="72"/>
      <c r="EYT175" s="72"/>
      <c r="EYU175" s="72"/>
      <c r="EYV175" s="72"/>
      <c r="EYW175" s="72"/>
      <c r="EYX175" s="72"/>
      <c r="EYY175" s="72"/>
      <c r="EYZ175" s="72"/>
      <c r="EZA175" s="72"/>
      <c r="EZB175" s="72"/>
      <c r="EZC175" s="72"/>
      <c r="EZD175" s="72"/>
      <c r="EZE175" s="72"/>
      <c r="EZF175" s="72"/>
      <c r="EZG175" s="72"/>
      <c r="EZH175" s="72"/>
      <c r="EZI175" s="72"/>
      <c r="EZJ175" s="72"/>
      <c r="EZK175" s="72"/>
      <c r="EZL175" s="72"/>
      <c r="EZM175" s="72"/>
      <c r="EZN175" s="72"/>
      <c r="EZO175" s="72"/>
      <c r="EZP175" s="72"/>
      <c r="EZQ175" s="72"/>
      <c r="EZR175" s="72"/>
      <c r="EZS175" s="72"/>
      <c r="EZT175" s="72"/>
      <c r="EZU175" s="72"/>
      <c r="EZV175" s="72"/>
      <c r="EZW175" s="72"/>
      <c r="EZX175" s="72"/>
      <c r="EZY175" s="72"/>
      <c r="EZZ175" s="72"/>
      <c r="FAA175" s="72"/>
      <c r="FAB175" s="72"/>
      <c r="FAC175" s="72"/>
      <c r="FAD175" s="72"/>
      <c r="FAE175" s="72"/>
      <c r="FAF175" s="72"/>
      <c r="FAG175" s="72"/>
      <c r="FAH175" s="72"/>
      <c r="FAI175" s="72"/>
      <c r="FAJ175" s="72"/>
      <c r="FAK175" s="72"/>
      <c r="FAL175" s="72"/>
      <c r="FAM175" s="72"/>
      <c r="FAN175" s="72"/>
      <c r="FAO175" s="72"/>
      <c r="FAP175" s="72"/>
      <c r="FAQ175" s="72"/>
      <c r="FAR175" s="72"/>
      <c r="FAS175" s="72"/>
      <c r="FAT175" s="72"/>
      <c r="FAU175" s="72"/>
      <c r="FAV175" s="72"/>
      <c r="FAW175" s="72"/>
      <c r="FAX175" s="72"/>
      <c r="FAY175" s="72"/>
      <c r="FAZ175" s="72"/>
      <c r="FBA175" s="72"/>
      <c r="FBB175" s="72"/>
      <c r="FBC175" s="72"/>
      <c r="FBD175" s="72"/>
      <c r="FBE175" s="72"/>
      <c r="FBF175" s="72"/>
      <c r="FBG175" s="72"/>
      <c r="FBH175" s="72"/>
      <c r="FBI175" s="72"/>
      <c r="FBJ175" s="72"/>
      <c r="FBK175" s="72"/>
      <c r="FBL175" s="72"/>
      <c r="FBM175" s="72"/>
      <c r="FBN175" s="72"/>
      <c r="FBO175" s="72"/>
      <c r="FBP175" s="72"/>
      <c r="FBQ175" s="72"/>
      <c r="FBR175" s="72"/>
      <c r="FBS175" s="72"/>
      <c r="FBT175" s="72"/>
      <c r="FBU175" s="72"/>
      <c r="FBV175" s="72"/>
      <c r="FBW175" s="72"/>
      <c r="FBX175" s="72"/>
      <c r="FBY175" s="72"/>
      <c r="FBZ175" s="72"/>
      <c r="FCA175" s="72"/>
      <c r="FCB175" s="72"/>
      <c r="FCC175" s="72"/>
      <c r="FCD175" s="72"/>
      <c r="FCE175" s="72"/>
      <c r="FCF175" s="72"/>
      <c r="FCG175" s="72"/>
      <c r="FCH175" s="72"/>
      <c r="FCI175" s="72"/>
      <c r="FCJ175" s="72"/>
      <c r="FCK175" s="72"/>
      <c r="FCL175" s="72"/>
      <c r="FCM175" s="72"/>
      <c r="FCN175" s="72"/>
      <c r="FCO175" s="72"/>
      <c r="FCP175" s="72"/>
      <c r="FCQ175" s="72"/>
      <c r="FCR175" s="72"/>
      <c r="FCS175" s="72"/>
      <c r="FCT175" s="72"/>
      <c r="FCU175" s="72"/>
      <c r="FCV175" s="72"/>
      <c r="FCW175" s="72"/>
      <c r="FCX175" s="72"/>
      <c r="FCY175" s="72"/>
      <c r="FCZ175" s="72"/>
      <c r="FDA175" s="72"/>
      <c r="FDB175" s="72"/>
      <c r="FDC175" s="72"/>
      <c r="FDD175" s="72"/>
      <c r="FDE175" s="72"/>
      <c r="FDF175" s="72"/>
      <c r="FDG175" s="72"/>
      <c r="FDH175" s="72"/>
      <c r="FDI175" s="72"/>
      <c r="FDJ175" s="72"/>
      <c r="FDK175" s="72"/>
      <c r="FDL175" s="72"/>
      <c r="FDM175" s="72"/>
      <c r="FDN175" s="72"/>
      <c r="FDO175" s="72"/>
      <c r="FDP175" s="72"/>
      <c r="FDQ175" s="72"/>
      <c r="FDR175" s="72"/>
      <c r="FDS175" s="72"/>
      <c r="FDT175" s="72"/>
      <c r="FDU175" s="72"/>
      <c r="FDV175" s="72"/>
      <c r="FDW175" s="72"/>
      <c r="FDX175" s="72"/>
      <c r="FDY175" s="72"/>
      <c r="FDZ175" s="72"/>
      <c r="FEA175" s="72"/>
      <c r="FEB175" s="72"/>
      <c r="FEC175" s="72"/>
      <c r="FED175" s="72"/>
      <c r="FEE175" s="72"/>
      <c r="FEF175" s="72"/>
      <c r="FEG175" s="72"/>
      <c r="FEH175" s="72"/>
      <c r="FEI175" s="72"/>
      <c r="FEJ175" s="72"/>
      <c r="FEK175" s="72"/>
      <c r="FEL175" s="72"/>
      <c r="FEM175" s="72"/>
      <c r="FEN175" s="72"/>
      <c r="FEO175" s="72"/>
      <c r="FEP175" s="72"/>
      <c r="FEQ175" s="72"/>
      <c r="FER175" s="72"/>
      <c r="FES175" s="72"/>
      <c r="FET175" s="72"/>
      <c r="FEU175" s="72"/>
      <c r="FEV175" s="72"/>
      <c r="FEW175" s="72"/>
      <c r="FEX175" s="72"/>
      <c r="FEY175" s="72"/>
      <c r="FEZ175" s="72"/>
      <c r="FFA175" s="72"/>
      <c r="FFB175" s="72"/>
      <c r="FFC175" s="72"/>
      <c r="FFD175" s="72"/>
      <c r="FFE175" s="72"/>
      <c r="FFF175" s="72"/>
      <c r="FFG175" s="72"/>
      <c r="FFH175" s="72"/>
      <c r="FFI175" s="72"/>
      <c r="FFJ175" s="72"/>
      <c r="FFK175" s="72"/>
      <c r="FFL175" s="72"/>
      <c r="FFM175" s="72"/>
      <c r="FFN175" s="72"/>
      <c r="FFO175" s="72"/>
      <c r="FFP175" s="72"/>
      <c r="FFQ175" s="72"/>
      <c r="FFR175" s="72"/>
      <c r="FFS175" s="72"/>
      <c r="FFT175" s="72"/>
      <c r="FFU175" s="72"/>
      <c r="FFV175" s="72"/>
      <c r="FFW175" s="72"/>
      <c r="FFX175" s="72"/>
      <c r="FFY175" s="72"/>
      <c r="FFZ175" s="72"/>
      <c r="FGA175" s="72"/>
      <c r="FGB175" s="72"/>
      <c r="FGC175" s="72"/>
      <c r="FGD175" s="72"/>
      <c r="FGE175" s="72"/>
      <c r="FGF175" s="72"/>
      <c r="FGG175" s="72"/>
      <c r="FGH175" s="72"/>
      <c r="FGI175" s="72"/>
      <c r="FGJ175" s="72"/>
      <c r="FGK175" s="72"/>
      <c r="FGL175" s="72"/>
      <c r="FGM175" s="72"/>
      <c r="FGN175" s="72"/>
      <c r="FGO175" s="72"/>
      <c r="FGP175" s="72"/>
      <c r="FGQ175" s="72"/>
      <c r="FGR175" s="72"/>
      <c r="FGS175" s="72"/>
      <c r="FGT175" s="72"/>
      <c r="FGU175" s="72"/>
      <c r="FGV175" s="72"/>
      <c r="FGW175" s="72"/>
      <c r="FGX175" s="72"/>
      <c r="FGY175" s="72"/>
      <c r="FGZ175" s="72"/>
      <c r="FHA175" s="72"/>
      <c r="FHB175" s="72"/>
      <c r="FHC175" s="72"/>
      <c r="FHD175" s="72"/>
      <c r="FHE175" s="72"/>
      <c r="FHF175" s="72"/>
      <c r="FHG175" s="72"/>
      <c r="FHH175" s="72"/>
      <c r="FHI175" s="72"/>
      <c r="FHJ175" s="72"/>
      <c r="FHK175" s="72"/>
      <c r="FHL175" s="72"/>
      <c r="FHM175" s="72"/>
      <c r="FHN175" s="72"/>
      <c r="FHO175" s="72"/>
      <c r="FHP175" s="72"/>
      <c r="FHQ175" s="72"/>
      <c r="FHR175" s="72"/>
      <c r="FHS175" s="72"/>
      <c r="FHT175" s="72"/>
      <c r="FHU175" s="72"/>
      <c r="FHV175" s="72"/>
      <c r="FHW175" s="72"/>
      <c r="FHX175" s="72"/>
      <c r="FHY175" s="72"/>
      <c r="FHZ175" s="72"/>
      <c r="FIA175" s="72"/>
      <c r="FIB175" s="72"/>
      <c r="FIC175" s="72"/>
      <c r="FID175" s="72"/>
      <c r="FIE175" s="72"/>
      <c r="FIF175" s="72"/>
      <c r="FIG175" s="72"/>
      <c r="FIH175" s="72"/>
      <c r="FII175" s="72"/>
      <c r="FIJ175" s="72"/>
      <c r="FIK175" s="72"/>
      <c r="FIL175" s="72"/>
      <c r="FIM175" s="72"/>
      <c r="FIN175" s="72"/>
      <c r="FIO175" s="72"/>
      <c r="FIP175" s="72"/>
      <c r="FIQ175" s="72"/>
      <c r="FIR175" s="72"/>
      <c r="FIS175" s="72"/>
      <c r="FIT175" s="72"/>
      <c r="FIU175" s="72"/>
      <c r="FIV175" s="72"/>
      <c r="FIW175" s="72"/>
      <c r="FIX175" s="72"/>
      <c r="FIY175" s="72"/>
      <c r="FIZ175" s="72"/>
      <c r="FJA175" s="72"/>
      <c r="FJB175" s="72"/>
      <c r="FJC175" s="72"/>
      <c r="FJD175" s="72"/>
      <c r="FJE175" s="72"/>
      <c r="FJF175" s="72"/>
      <c r="FJG175" s="72"/>
      <c r="FJH175" s="72"/>
      <c r="FJI175" s="72"/>
      <c r="FJJ175" s="72"/>
      <c r="FJK175" s="72"/>
      <c r="FJL175" s="72"/>
      <c r="FJM175" s="72"/>
      <c r="FJN175" s="72"/>
      <c r="FJO175" s="72"/>
      <c r="FJP175" s="72"/>
      <c r="FJQ175" s="72"/>
      <c r="FJR175" s="72"/>
      <c r="FJS175" s="72"/>
      <c r="FJT175" s="72"/>
      <c r="FJU175" s="72"/>
      <c r="FJV175" s="72"/>
      <c r="FJW175" s="72"/>
      <c r="FJX175" s="72"/>
      <c r="FJY175" s="72"/>
      <c r="FJZ175" s="72"/>
      <c r="FKA175" s="72"/>
      <c r="FKB175" s="72"/>
      <c r="FKC175" s="72"/>
      <c r="FKD175" s="72"/>
      <c r="FKE175" s="72"/>
      <c r="FKF175" s="72"/>
      <c r="FKG175" s="72"/>
      <c r="FKH175" s="72"/>
      <c r="FKI175" s="72"/>
      <c r="FKJ175" s="72"/>
      <c r="FKK175" s="72"/>
      <c r="FKL175" s="72"/>
      <c r="FKM175" s="72"/>
      <c r="FKN175" s="72"/>
      <c r="FKO175" s="72"/>
      <c r="FKP175" s="72"/>
      <c r="FKQ175" s="72"/>
      <c r="FKR175" s="72"/>
      <c r="FKS175" s="72"/>
      <c r="FKT175" s="72"/>
      <c r="FKU175" s="72"/>
      <c r="FKV175" s="72"/>
      <c r="FKW175" s="72"/>
      <c r="FKX175" s="72"/>
      <c r="FKY175" s="72"/>
      <c r="FKZ175" s="72"/>
      <c r="FLA175" s="72"/>
      <c r="FLB175" s="72"/>
      <c r="FLC175" s="72"/>
      <c r="FLD175" s="72"/>
      <c r="FLE175" s="72"/>
      <c r="FLF175" s="72"/>
      <c r="FLG175" s="72"/>
      <c r="FLH175" s="72"/>
      <c r="FLI175" s="72"/>
      <c r="FLJ175" s="72"/>
      <c r="FLK175" s="72"/>
      <c r="FLL175" s="72"/>
      <c r="FLM175" s="72"/>
      <c r="FLN175" s="72"/>
      <c r="FLO175" s="72"/>
      <c r="FLP175" s="72"/>
      <c r="FLQ175" s="72"/>
      <c r="FLR175" s="72"/>
      <c r="FLS175" s="72"/>
      <c r="FLT175" s="72"/>
      <c r="FLU175" s="72"/>
      <c r="FLV175" s="72"/>
      <c r="FLW175" s="72"/>
      <c r="FLX175" s="72"/>
      <c r="FLY175" s="72"/>
      <c r="FLZ175" s="72"/>
      <c r="FMA175" s="72"/>
      <c r="FMB175" s="72"/>
      <c r="FMC175" s="72"/>
      <c r="FMD175" s="72"/>
      <c r="FME175" s="72"/>
      <c r="FMF175" s="72"/>
      <c r="FMG175" s="72"/>
      <c r="FMH175" s="72"/>
      <c r="FMI175" s="72"/>
      <c r="FMJ175" s="72"/>
      <c r="FMK175" s="72"/>
      <c r="FML175" s="72"/>
      <c r="FMM175" s="72"/>
      <c r="FMN175" s="72"/>
      <c r="FMO175" s="72"/>
      <c r="FMP175" s="72"/>
      <c r="FMQ175" s="72"/>
      <c r="FMR175" s="72"/>
      <c r="FMS175" s="72"/>
      <c r="FMT175" s="72"/>
      <c r="FMU175" s="72"/>
      <c r="FMV175" s="72"/>
      <c r="FMW175" s="72"/>
      <c r="FMX175" s="72"/>
      <c r="FMY175" s="72"/>
      <c r="FMZ175" s="72"/>
      <c r="FNA175" s="72"/>
      <c r="FNB175" s="72"/>
      <c r="FNC175" s="72"/>
      <c r="FND175" s="72"/>
      <c r="FNE175" s="72"/>
      <c r="FNF175" s="72"/>
      <c r="FNG175" s="72"/>
      <c r="FNH175" s="72"/>
      <c r="FNI175" s="72"/>
      <c r="FNJ175" s="72"/>
      <c r="FNK175" s="72"/>
      <c r="FNL175" s="72"/>
      <c r="FNM175" s="72"/>
      <c r="FNN175" s="72"/>
      <c r="FNO175" s="72"/>
      <c r="FNP175" s="72"/>
      <c r="FNQ175" s="72"/>
      <c r="FNR175" s="72"/>
      <c r="FNS175" s="72"/>
      <c r="FNT175" s="72"/>
      <c r="FNU175" s="72"/>
      <c r="FNV175" s="72"/>
      <c r="FNW175" s="72"/>
      <c r="FNX175" s="72"/>
      <c r="FNY175" s="72"/>
      <c r="FNZ175" s="72"/>
      <c r="FOA175" s="72"/>
      <c r="FOB175" s="72"/>
      <c r="FOC175" s="72"/>
      <c r="FOD175" s="72"/>
      <c r="FOE175" s="72"/>
      <c r="FOF175" s="72"/>
      <c r="FOG175" s="72"/>
      <c r="FOH175" s="72"/>
      <c r="FOI175" s="72"/>
      <c r="FOJ175" s="72"/>
      <c r="FOK175" s="72"/>
      <c r="FOL175" s="72"/>
      <c r="FOM175" s="72"/>
      <c r="FON175" s="72"/>
      <c r="FOO175" s="72"/>
      <c r="FOP175" s="72"/>
      <c r="FOQ175" s="72"/>
      <c r="FOR175" s="72"/>
      <c r="FOS175" s="72"/>
      <c r="FOT175" s="72"/>
      <c r="FOU175" s="72"/>
      <c r="FOV175" s="72"/>
      <c r="FOW175" s="72"/>
      <c r="FOX175" s="72"/>
      <c r="FOY175" s="72"/>
      <c r="FOZ175" s="72"/>
      <c r="FPA175" s="72"/>
      <c r="FPB175" s="72"/>
      <c r="FPC175" s="72"/>
      <c r="FPD175" s="72"/>
      <c r="FPE175" s="72"/>
      <c r="FPF175" s="72"/>
      <c r="FPG175" s="72"/>
      <c r="FPH175" s="72"/>
      <c r="FPI175" s="72"/>
      <c r="FPJ175" s="72"/>
      <c r="FPK175" s="72"/>
      <c r="FPL175" s="72"/>
      <c r="FPM175" s="72"/>
      <c r="FPN175" s="72"/>
      <c r="FPO175" s="72"/>
      <c r="FPP175" s="72"/>
      <c r="FPQ175" s="72"/>
      <c r="FPR175" s="72"/>
      <c r="FPS175" s="72"/>
      <c r="FPT175" s="72"/>
      <c r="FPU175" s="72"/>
      <c r="FPV175" s="72"/>
      <c r="FPW175" s="72"/>
      <c r="FPX175" s="72"/>
      <c r="FPY175" s="72"/>
      <c r="FPZ175" s="72"/>
      <c r="FQA175" s="72"/>
      <c r="FQB175" s="72"/>
      <c r="FQC175" s="72"/>
      <c r="FQD175" s="72"/>
      <c r="FQE175" s="72"/>
      <c r="FQF175" s="72"/>
      <c r="FQG175" s="72"/>
      <c r="FQH175" s="72"/>
      <c r="FQI175" s="72"/>
      <c r="FQJ175" s="72"/>
      <c r="FQK175" s="72"/>
      <c r="FQL175" s="72"/>
      <c r="FQM175" s="72"/>
      <c r="FQN175" s="72"/>
      <c r="FQO175" s="72"/>
      <c r="FQP175" s="72"/>
      <c r="FQQ175" s="72"/>
      <c r="FQR175" s="72"/>
      <c r="FQS175" s="72"/>
      <c r="FQT175" s="72"/>
      <c r="FQU175" s="72"/>
      <c r="FQV175" s="72"/>
      <c r="FQW175" s="72"/>
      <c r="FQX175" s="72"/>
      <c r="FQY175" s="72"/>
      <c r="FQZ175" s="72"/>
      <c r="FRA175" s="72"/>
      <c r="FRB175" s="72"/>
      <c r="FRC175" s="72"/>
      <c r="FRD175" s="72"/>
      <c r="FRE175" s="72"/>
      <c r="FRF175" s="72"/>
      <c r="FRG175" s="72"/>
      <c r="FRH175" s="72"/>
      <c r="FRI175" s="72"/>
      <c r="FRJ175" s="72"/>
      <c r="FRK175" s="72"/>
      <c r="FRL175" s="72"/>
      <c r="FRM175" s="72"/>
      <c r="FRN175" s="72"/>
      <c r="FRO175" s="72"/>
      <c r="FRP175" s="72"/>
      <c r="FRQ175" s="72"/>
      <c r="FRR175" s="72"/>
      <c r="FRS175" s="72"/>
      <c r="FRT175" s="72"/>
      <c r="FRU175" s="72"/>
      <c r="FRV175" s="72"/>
      <c r="FRW175" s="72"/>
      <c r="FRX175" s="72"/>
      <c r="FRY175" s="72"/>
      <c r="FRZ175" s="72"/>
      <c r="FSA175" s="72"/>
      <c r="FSB175" s="72"/>
      <c r="FSC175" s="72"/>
      <c r="FSD175" s="72"/>
      <c r="FSE175" s="72"/>
      <c r="FSF175" s="72"/>
      <c r="FSG175" s="72"/>
      <c r="FSH175" s="72"/>
      <c r="FSI175" s="72"/>
      <c r="FSJ175" s="72"/>
      <c r="FSK175" s="72"/>
      <c r="FSL175" s="72"/>
      <c r="FSM175" s="72"/>
      <c r="FSN175" s="72"/>
      <c r="FSO175" s="72"/>
      <c r="FSP175" s="72"/>
      <c r="FSQ175" s="72"/>
      <c r="FSR175" s="72"/>
      <c r="FSS175" s="72"/>
      <c r="FST175" s="72"/>
      <c r="FSU175" s="72"/>
      <c r="FSV175" s="72"/>
      <c r="FSW175" s="72"/>
      <c r="FSX175" s="72"/>
      <c r="FSY175" s="72"/>
      <c r="FSZ175" s="72"/>
      <c r="FTA175" s="72"/>
      <c r="FTB175" s="72"/>
      <c r="FTC175" s="72"/>
      <c r="FTD175" s="72"/>
      <c r="FTE175" s="72"/>
      <c r="FTF175" s="72"/>
      <c r="FTG175" s="72"/>
      <c r="FTH175" s="72"/>
      <c r="FTI175" s="72"/>
      <c r="FTJ175" s="72"/>
      <c r="FTK175" s="72"/>
      <c r="FTL175" s="72"/>
      <c r="FTM175" s="72"/>
      <c r="FTN175" s="72"/>
      <c r="FTO175" s="72"/>
      <c r="FTP175" s="72"/>
      <c r="FTQ175" s="72"/>
      <c r="FTR175" s="72"/>
      <c r="FTS175" s="72"/>
      <c r="FTT175" s="72"/>
      <c r="FTU175" s="72"/>
      <c r="FTV175" s="72"/>
      <c r="FTW175" s="72"/>
      <c r="FTX175" s="72"/>
      <c r="FTY175" s="72"/>
      <c r="FTZ175" s="72"/>
      <c r="FUA175" s="72"/>
      <c r="FUB175" s="72"/>
      <c r="FUC175" s="72"/>
      <c r="FUD175" s="72"/>
      <c r="FUE175" s="72"/>
      <c r="FUF175" s="72"/>
      <c r="FUG175" s="72"/>
      <c r="FUH175" s="72"/>
      <c r="FUI175" s="72"/>
      <c r="FUJ175" s="72"/>
      <c r="FUK175" s="72"/>
      <c r="FUL175" s="72"/>
      <c r="FUM175" s="72"/>
      <c r="FUN175" s="72"/>
      <c r="FUO175" s="72"/>
      <c r="FUP175" s="72"/>
      <c r="FUQ175" s="72"/>
      <c r="FUR175" s="72"/>
      <c r="FUS175" s="72"/>
      <c r="FUT175" s="72"/>
      <c r="FUU175" s="72"/>
      <c r="FUV175" s="72"/>
      <c r="FUW175" s="72"/>
      <c r="FUX175" s="72"/>
      <c r="FUY175" s="72"/>
      <c r="FUZ175" s="72"/>
      <c r="FVA175" s="72"/>
      <c r="FVB175" s="72"/>
      <c r="FVC175" s="72"/>
      <c r="FVD175" s="72"/>
      <c r="FVE175" s="72"/>
      <c r="FVF175" s="72"/>
      <c r="FVG175" s="72"/>
      <c r="FVH175" s="72"/>
      <c r="FVI175" s="72"/>
      <c r="FVJ175" s="72"/>
      <c r="FVK175" s="72"/>
      <c r="FVL175" s="72"/>
      <c r="FVM175" s="72"/>
      <c r="FVN175" s="72"/>
      <c r="FVO175" s="72"/>
      <c r="FVP175" s="72"/>
      <c r="FVQ175" s="72"/>
      <c r="FVR175" s="72"/>
      <c r="FVS175" s="72"/>
      <c r="FVT175" s="72"/>
      <c r="FVU175" s="72"/>
      <c r="FVV175" s="72"/>
      <c r="FVW175" s="72"/>
      <c r="FVX175" s="72"/>
      <c r="FVY175" s="72"/>
      <c r="FVZ175" s="72"/>
      <c r="FWA175" s="72"/>
      <c r="FWB175" s="72"/>
      <c r="FWC175" s="72"/>
      <c r="FWD175" s="72"/>
      <c r="FWE175" s="72"/>
      <c r="FWF175" s="72"/>
      <c r="FWG175" s="72"/>
      <c r="FWH175" s="72"/>
      <c r="FWI175" s="72"/>
      <c r="FWJ175" s="72"/>
      <c r="FWK175" s="72"/>
      <c r="FWL175" s="72"/>
      <c r="FWM175" s="72"/>
      <c r="FWN175" s="72"/>
      <c r="FWO175" s="72"/>
      <c r="FWP175" s="72"/>
      <c r="FWQ175" s="72"/>
      <c r="FWR175" s="72"/>
      <c r="FWS175" s="72"/>
      <c r="FWT175" s="72"/>
      <c r="FWU175" s="72"/>
      <c r="FWV175" s="72"/>
      <c r="FWW175" s="72"/>
      <c r="FWX175" s="72"/>
      <c r="FWY175" s="72"/>
      <c r="FWZ175" s="72"/>
      <c r="FXA175" s="72"/>
      <c r="FXB175" s="72"/>
      <c r="FXC175" s="72"/>
      <c r="FXD175" s="72"/>
      <c r="FXE175" s="72"/>
      <c r="FXF175" s="72"/>
      <c r="FXG175" s="72"/>
      <c r="FXH175" s="72"/>
      <c r="FXI175" s="72"/>
      <c r="FXJ175" s="72"/>
      <c r="FXK175" s="72"/>
      <c r="FXL175" s="72"/>
      <c r="FXM175" s="72"/>
      <c r="FXN175" s="72"/>
      <c r="FXO175" s="72"/>
      <c r="FXP175" s="72"/>
      <c r="FXQ175" s="72"/>
      <c r="FXR175" s="72"/>
      <c r="FXS175" s="72"/>
      <c r="FXT175" s="72"/>
      <c r="FXU175" s="72"/>
      <c r="FXV175" s="72"/>
      <c r="FXW175" s="72"/>
      <c r="FXX175" s="72"/>
      <c r="FXY175" s="72"/>
      <c r="FXZ175" s="72"/>
      <c r="FYA175" s="72"/>
      <c r="FYB175" s="72"/>
      <c r="FYC175" s="72"/>
      <c r="FYD175" s="72"/>
      <c r="FYE175" s="72"/>
      <c r="FYF175" s="72"/>
      <c r="FYG175" s="72"/>
      <c r="FYH175" s="72"/>
      <c r="FYI175" s="72"/>
      <c r="FYJ175" s="72"/>
      <c r="FYK175" s="72"/>
      <c r="FYL175" s="72"/>
      <c r="FYM175" s="72"/>
      <c r="FYN175" s="72"/>
      <c r="FYO175" s="72"/>
      <c r="FYP175" s="72"/>
      <c r="FYQ175" s="72"/>
      <c r="FYR175" s="72"/>
      <c r="FYS175" s="72"/>
      <c r="FYT175" s="72"/>
      <c r="FYU175" s="72"/>
      <c r="FYV175" s="72"/>
      <c r="FYW175" s="72"/>
      <c r="FYX175" s="72"/>
      <c r="FYY175" s="72"/>
      <c r="FYZ175" s="72"/>
      <c r="FZA175" s="72"/>
      <c r="FZB175" s="72"/>
      <c r="FZC175" s="72"/>
      <c r="FZD175" s="72"/>
      <c r="FZE175" s="72"/>
      <c r="FZF175" s="72"/>
      <c r="FZG175" s="72"/>
      <c r="FZH175" s="72"/>
      <c r="FZI175" s="72"/>
      <c r="FZJ175" s="72"/>
      <c r="FZK175" s="72"/>
      <c r="FZL175" s="72"/>
      <c r="FZM175" s="72"/>
      <c r="FZN175" s="72"/>
      <c r="FZO175" s="72"/>
      <c r="FZP175" s="72"/>
      <c r="FZQ175" s="72"/>
      <c r="FZR175" s="72"/>
      <c r="FZS175" s="72"/>
      <c r="FZT175" s="72"/>
      <c r="FZU175" s="72"/>
      <c r="FZV175" s="72"/>
      <c r="FZW175" s="72"/>
      <c r="FZX175" s="72"/>
      <c r="FZY175" s="72"/>
      <c r="FZZ175" s="72"/>
      <c r="GAA175" s="72"/>
      <c r="GAB175" s="72"/>
      <c r="GAC175" s="72"/>
      <c r="GAD175" s="72"/>
      <c r="GAE175" s="72"/>
      <c r="GAF175" s="72"/>
      <c r="GAG175" s="72"/>
      <c r="GAH175" s="72"/>
      <c r="GAI175" s="72"/>
      <c r="GAJ175" s="72"/>
      <c r="GAK175" s="72"/>
      <c r="GAL175" s="72"/>
      <c r="GAM175" s="72"/>
      <c r="GAN175" s="72"/>
      <c r="GAO175" s="72"/>
      <c r="GAP175" s="72"/>
      <c r="GAQ175" s="72"/>
      <c r="GAR175" s="72"/>
      <c r="GAS175" s="72"/>
      <c r="GAT175" s="72"/>
      <c r="GAU175" s="72"/>
      <c r="GAV175" s="72"/>
      <c r="GAW175" s="72"/>
      <c r="GAX175" s="72"/>
      <c r="GAY175" s="72"/>
      <c r="GAZ175" s="72"/>
      <c r="GBA175" s="72"/>
      <c r="GBB175" s="72"/>
      <c r="GBC175" s="72"/>
      <c r="GBD175" s="72"/>
      <c r="GBE175" s="72"/>
      <c r="GBF175" s="72"/>
      <c r="GBG175" s="72"/>
      <c r="GBH175" s="72"/>
      <c r="GBI175" s="72"/>
      <c r="GBJ175" s="72"/>
      <c r="GBK175" s="72"/>
      <c r="GBL175" s="72"/>
      <c r="GBM175" s="72"/>
      <c r="GBN175" s="72"/>
      <c r="GBO175" s="72"/>
      <c r="GBP175" s="72"/>
      <c r="GBQ175" s="72"/>
      <c r="GBR175" s="72"/>
      <c r="GBS175" s="72"/>
      <c r="GBT175" s="72"/>
      <c r="GBU175" s="72"/>
      <c r="GBV175" s="72"/>
      <c r="GBW175" s="72"/>
      <c r="GBX175" s="72"/>
      <c r="GBY175" s="72"/>
      <c r="GBZ175" s="72"/>
      <c r="GCA175" s="72"/>
      <c r="GCB175" s="72"/>
      <c r="GCC175" s="72"/>
      <c r="GCD175" s="72"/>
      <c r="GCE175" s="72"/>
      <c r="GCF175" s="72"/>
      <c r="GCG175" s="72"/>
      <c r="GCH175" s="72"/>
      <c r="GCI175" s="72"/>
      <c r="GCJ175" s="72"/>
      <c r="GCK175" s="72"/>
      <c r="GCL175" s="72"/>
      <c r="GCM175" s="72"/>
      <c r="GCN175" s="72"/>
      <c r="GCO175" s="72"/>
      <c r="GCP175" s="72"/>
      <c r="GCQ175" s="72"/>
      <c r="GCR175" s="72"/>
      <c r="GCS175" s="72"/>
      <c r="GCT175" s="72"/>
      <c r="GCU175" s="72"/>
      <c r="GCV175" s="72"/>
      <c r="GCW175" s="72"/>
      <c r="GCX175" s="72"/>
      <c r="GCY175" s="72"/>
      <c r="GCZ175" s="72"/>
      <c r="GDA175" s="72"/>
      <c r="GDB175" s="72"/>
      <c r="GDC175" s="72"/>
      <c r="GDD175" s="72"/>
      <c r="GDE175" s="72"/>
      <c r="GDF175" s="72"/>
      <c r="GDG175" s="72"/>
      <c r="GDH175" s="72"/>
      <c r="GDI175" s="72"/>
      <c r="GDJ175" s="72"/>
      <c r="GDK175" s="72"/>
      <c r="GDL175" s="72"/>
      <c r="GDM175" s="72"/>
      <c r="GDN175" s="72"/>
      <c r="GDO175" s="72"/>
      <c r="GDP175" s="72"/>
      <c r="GDQ175" s="72"/>
      <c r="GDR175" s="72"/>
      <c r="GDS175" s="72"/>
      <c r="GDT175" s="72"/>
      <c r="GDU175" s="72"/>
      <c r="GDV175" s="72"/>
      <c r="GDW175" s="72"/>
      <c r="GDX175" s="72"/>
      <c r="GDY175" s="72"/>
      <c r="GDZ175" s="72"/>
      <c r="GEA175" s="72"/>
      <c r="GEB175" s="72"/>
      <c r="GEC175" s="72"/>
      <c r="GED175" s="72"/>
      <c r="GEE175" s="72"/>
      <c r="GEF175" s="72"/>
      <c r="GEG175" s="72"/>
      <c r="GEH175" s="72"/>
      <c r="GEI175" s="72"/>
      <c r="GEJ175" s="72"/>
      <c r="GEK175" s="72"/>
      <c r="GEL175" s="72"/>
      <c r="GEM175" s="72"/>
      <c r="GEN175" s="72"/>
      <c r="GEO175" s="72"/>
      <c r="GEP175" s="72"/>
      <c r="GEQ175" s="72"/>
      <c r="GER175" s="72"/>
      <c r="GES175" s="72"/>
      <c r="GET175" s="72"/>
      <c r="GEU175" s="72"/>
      <c r="GEV175" s="72"/>
      <c r="GEW175" s="72"/>
      <c r="GEX175" s="72"/>
      <c r="GEY175" s="72"/>
      <c r="GEZ175" s="72"/>
      <c r="GFA175" s="72"/>
      <c r="GFB175" s="72"/>
      <c r="GFC175" s="72"/>
      <c r="GFD175" s="72"/>
      <c r="GFE175" s="72"/>
      <c r="GFF175" s="72"/>
      <c r="GFG175" s="72"/>
      <c r="GFH175" s="72"/>
      <c r="GFI175" s="72"/>
      <c r="GFJ175" s="72"/>
      <c r="GFK175" s="72"/>
      <c r="GFL175" s="72"/>
      <c r="GFM175" s="72"/>
      <c r="GFN175" s="72"/>
      <c r="GFO175" s="72"/>
      <c r="GFP175" s="72"/>
      <c r="GFQ175" s="72"/>
      <c r="GFR175" s="72"/>
      <c r="GFS175" s="72"/>
      <c r="GFT175" s="72"/>
      <c r="GFU175" s="72"/>
      <c r="GFV175" s="72"/>
      <c r="GFW175" s="72"/>
      <c r="GFX175" s="72"/>
      <c r="GFY175" s="72"/>
      <c r="GFZ175" s="72"/>
      <c r="GGA175" s="72"/>
      <c r="GGB175" s="72"/>
      <c r="GGC175" s="72"/>
      <c r="GGD175" s="72"/>
      <c r="GGE175" s="72"/>
      <c r="GGF175" s="72"/>
      <c r="GGG175" s="72"/>
      <c r="GGH175" s="72"/>
      <c r="GGI175" s="72"/>
      <c r="GGJ175" s="72"/>
      <c r="GGK175" s="72"/>
      <c r="GGL175" s="72"/>
      <c r="GGM175" s="72"/>
      <c r="GGN175" s="72"/>
      <c r="GGO175" s="72"/>
      <c r="GGP175" s="72"/>
      <c r="GGQ175" s="72"/>
      <c r="GGR175" s="72"/>
      <c r="GGS175" s="72"/>
      <c r="GGT175" s="72"/>
      <c r="GGU175" s="72"/>
      <c r="GGV175" s="72"/>
      <c r="GGW175" s="72"/>
      <c r="GGX175" s="72"/>
      <c r="GGY175" s="72"/>
      <c r="GGZ175" s="72"/>
      <c r="GHA175" s="72"/>
      <c r="GHB175" s="72"/>
      <c r="GHC175" s="72"/>
      <c r="GHD175" s="72"/>
      <c r="GHE175" s="72"/>
      <c r="GHF175" s="72"/>
      <c r="GHG175" s="72"/>
      <c r="GHH175" s="72"/>
      <c r="GHI175" s="72"/>
      <c r="GHJ175" s="72"/>
      <c r="GHK175" s="72"/>
      <c r="GHL175" s="72"/>
      <c r="GHM175" s="72"/>
      <c r="GHN175" s="72"/>
      <c r="GHO175" s="72"/>
      <c r="GHP175" s="72"/>
      <c r="GHQ175" s="72"/>
      <c r="GHR175" s="72"/>
      <c r="GHS175" s="72"/>
      <c r="GHT175" s="72"/>
      <c r="GHU175" s="72"/>
      <c r="GHV175" s="72"/>
      <c r="GHW175" s="72"/>
      <c r="GHX175" s="72"/>
      <c r="GHY175" s="72"/>
      <c r="GHZ175" s="72"/>
      <c r="GIA175" s="72"/>
      <c r="GIB175" s="72"/>
      <c r="GIC175" s="72"/>
      <c r="GID175" s="72"/>
      <c r="GIE175" s="72"/>
      <c r="GIF175" s="72"/>
      <c r="GIG175" s="72"/>
      <c r="GIH175" s="72"/>
      <c r="GII175" s="72"/>
      <c r="GIJ175" s="72"/>
      <c r="GIK175" s="72"/>
      <c r="GIL175" s="72"/>
      <c r="GIM175" s="72"/>
      <c r="GIN175" s="72"/>
      <c r="GIO175" s="72"/>
      <c r="GIP175" s="72"/>
      <c r="GIQ175" s="72"/>
      <c r="GIR175" s="72"/>
      <c r="GIS175" s="72"/>
      <c r="GIT175" s="72"/>
      <c r="GIU175" s="72"/>
      <c r="GIV175" s="72"/>
      <c r="GIW175" s="72"/>
      <c r="GIX175" s="72"/>
      <c r="GIY175" s="72"/>
      <c r="GIZ175" s="72"/>
      <c r="GJA175" s="72"/>
      <c r="GJB175" s="72"/>
      <c r="GJC175" s="72"/>
      <c r="GJD175" s="72"/>
      <c r="GJE175" s="72"/>
      <c r="GJF175" s="72"/>
      <c r="GJG175" s="72"/>
      <c r="GJH175" s="72"/>
      <c r="GJI175" s="72"/>
      <c r="GJJ175" s="72"/>
      <c r="GJK175" s="72"/>
      <c r="GJL175" s="72"/>
      <c r="GJM175" s="72"/>
      <c r="GJN175" s="72"/>
      <c r="GJO175" s="72"/>
      <c r="GJP175" s="72"/>
      <c r="GJQ175" s="72"/>
      <c r="GJR175" s="72"/>
      <c r="GJS175" s="72"/>
      <c r="GJT175" s="72"/>
      <c r="GJU175" s="72"/>
      <c r="GJV175" s="72"/>
      <c r="GJW175" s="72"/>
      <c r="GJX175" s="72"/>
      <c r="GJY175" s="72"/>
      <c r="GJZ175" s="72"/>
      <c r="GKA175" s="72"/>
      <c r="GKB175" s="72"/>
      <c r="GKC175" s="72"/>
      <c r="GKD175" s="72"/>
      <c r="GKE175" s="72"/>
      <c r="GKF175" s="72"/>
      <c r="GKG175" s="72"/>
      <c r="GKH175" s="72"/>
      <c r="GKI175" s="72"/>
      <c r="GKJ175" s="72"/>
      <c r="GKK175" s="72"/>
      <c r="GKL175" s="72"/>
      <c r="GKM175" s="72"/>
      <c r="GKN175" s="72"/>
      <c r="GKO175" s="72"/>
      <c r="GKP175" s="72"/>
      <c r="GKQ175" s="72"/>
      <c r="GKR175" s="72"/>
      <c r="GKS175" s="72"/>
      <c r="GKT175" s="72"/>
      <c r="GKU175" s="72"/>
      <c r="GKV175" s="72"/>
      <c r="GKW175" s="72"/>
      <c r="GKX175" s="72"/>
      <c r="GKY175" s="72"/>
      <c r="GKZ175" s="72"/>
      <c r="GLA175" s="72"/>
      <c r="GLB175" s="72"/>
      <c r="GLC175" s="72"/>
      <c r="GLD175" s="72"/>
      <c r="GLE175" s="72"/>
      <c r="GLF175" s="72"/>
      <c r="GLG175" s="72"/>
      <c r="GLH175" s="72"/>
      <c r="GLI175" s="72"/>
      <c r="GLJ175" s="72"/>
      <c r="GLK175" s="72"/>
      <c r="GLL175" s="72"/>
      <c r="GLM175" s="72"/>
      <c r="GLN175" s="72"/>
      <c r="GLO175" s="72"/>
      <c r="GLP175" s="72"/>
      <c r="GLQ175" s="72"/>
      <c r="GLR175" s="72"/>
      <c r="GLS175" s="72"/>
      <c r="GLT175" s="72"/>
      <c r="GLU175" s="72"/>
      <c r="GLV175" s="72"/>
      <c r="GLW175" s="72"/>
      <c r="GLX175" s="72"/>
      <c r="GLY175" s="72"/>
      <c r="GLZ175" s="72"/>
      <c r="GMA175" s="72"/>
      <c r="GMB175" s="72"/>
      <c r="GMC175" s="72"/>
      <c r="GMD175" s="72"/>
      <c r="GME175" s="72"/>
      <c r="GMF175" s="72"/>
      <c r="GMG175" s="72"/>
      <c r="GMH175" s="72"/>
      <c r="GMI175" s="72"/>
      <c r="GMJ175" s="72"/>
      <c r="GMK175" s="72"/>
      <c r="GML175" s="72"/>
      <c r="GMM175" s="72"/>
      <c r="GMN175" s="72"/>
      <c r="GMO175" s="72"/>
      <c r="GMP175" s="72"/>
      <c r="GMQ175" s="72"/>
      <c r="GMR175" s="72"/>
      <c r="GMS175" s="72"/>
      <c r="GMT175" s="72"/>
      <c r="GMU175" s="72"/>
      <c r="GMV175" s="72"/>
      <c r="GMW175" s="72"/>
      <c r="GMX175" s="72"/>
      <c r="GMY175" s="72"/>
      <c r="GMZ175" s="72"/>
      <c r="GNA175" s="72"/>
      <c r="GNB175" s="72"/>
      <c r="GNC175" s="72"/>
      <c r="GND175" s="72"/>
      <c r="GNE175" s="72"/>
      <c r="GNF175" s="72"/>
      <c r="GNG175" s="72"/>
      <c r="GNH175" s="72"/>
      <c r="GNI175" s="72"/>
      <c r="GNJ175" s="72"/>
      <c r="GNK175" s="72"/>
      <c r="GNL175" s="72"/>
      <c r="GNM175" s="72"/>
      <c r="GNN175" s="72"/>
      <c r="GNO175" s="72"/>
      <c r="GNP175" s="72"/>
      <c r="GNQ175" s="72"/>
      <c r="GNR175" s="72"/>
      <c r="GNS175" s="72"/>
      <c r="GNT175" s="72"/>
      <c r="GNU175" s="72"/>
      <c r="GNV175" s="72"/>
      <c r="GNW175" s="72"/>
      <c r="GNX175" s="72"/>
      <c r="GNY175" s="72"/>
      <c r="GNZ175" s="72"/>
      <c r="GOA175" s="72"/>
      <c r="GOB175" s="72"/>
      <c r="GOC175" s="72"/>
      <c r="GOD175" s="72"/>
      <c r="GOE175" s="72"/>
      <c r="GOF175" s="72"/>
      <c r="GOG175" s="72"/>
      <c r="GOH175" s="72"/>
      <c r="GOI175" s="72"/>
      <c r="GOJ175" s="72"/>
      <c r="GOK175" s="72"/>
      <c r="GOL175" s="72"/>
      <c r="GOM175" s="72"/>
      <c r="GON175" s="72"/>
      <c r="GOO175" s="72"/>
      <c r="GOP175" s="72"/>
      <c r="GOQ175" s="72"/>
      <c r="GOR175" s="72"/>
      <c r="GOS175" s="72"/>
      <c r="GOT175" s="72"/>
      <c r="GOU175" s="72"/>
      <c r="GOV175" s="72"/>
      <c r="GOW175" s="72"/>
      <c r="GOX175" s="72"/>
      <c r="GOY175" s="72"/>
      <c r="GOZ175" s="72"/>
      <c r="GPA175" s="72"/>
      <c r="GPB175" s="72"/>
      <c r="GPC175" s="72"/>
      <c r="GPD175" s="72"/>
      <c r="GPE175" s="72"/>
      <c r="GPF175" s="72"/>
      <c r="GPG175" s="72"/>
      <c r="GPH175" s="72"/>
      <c r="GPI175" s="72"/>
      <c r="GPJ175" s="72"/>
      <c r="GPK175" s="72"/>
      <c r="GPL175" s="72"/>
      <c r="GPM175" s="72"/>
      <c r="GPN175" s="72"/>
      <c r="GPO175" s="72"/>
      <c r="GPP175" s="72"/>
      <c r="GPQ175" s="72"/>
      <c r="GPR175" s="72"/>
      <c r="GPS175" s="72"/>
      <c r="GPT175" s="72"/>
      <c r="GPU175" s="72"/>
      <c r="GPV175" s="72"/>
      <c r="GPW175" s="72"/>
      <c r="GPX175" s="72"/>
      <c r="GPY175" s="72"/>
      <c r="GPZ175" s="72"/>
      <c r="GQA175" s="72"/>
      <c r="GQB175" s="72"/>
      <c r="GQC175" s="72"/>
      <c r="GQD175" s="72"/>
      <c r="GQE175" s="72"/>
      <c r="GQF175" s="72"/>
      <c r="GQG175" s="72"/>
      <c r="GQH175" s="72"/>
      <c r="GQI175" s="72"/>
      <c r="GQJ175" s="72"/>
      <c r="GQK175" s="72"/>
      <c r="GQL175" s="72"/>
      <c r="GQM175" s="72"/>
      <c r="GQN175" s="72"/>
      <c r="GQO175" s="72"/>
      <c r="GQP175" s="72"/>
      <c r="GQQ175" s="72"/>
      <c r="GQR175" s="72"/>
      <c r="GQS175" s="72"/>
      <c r="GQT175" s="72"/>
      <c r="GQU175" s="72"/>
      <c r="GQV175" s="72"/>
      <c r="GQW175" s="72"/>
      <c r="GQX175" s="72"/>
      <c r="GQY175" s="72"/>
      <c r="GQZ175" s="72"/>
      <c r="GRA175" s="72"/>
      <c r="GRB175" s="72"/>
      <c r="GRC175" s="72"/>
      <c r="GRD175" s="72"/>
      <c r="GRE175" s="72"/>
      <c r="GRF175" s="72"/>
      <c r="GRG175" s="72"/>
      <c r="GRH175" s="72"/>
      <c r="GRI175" s="72"/>
      <c r="GRJ175" s="72"/>
      <c r="GRK175" s="72"/>
      <c r="GRL175" s="72"/>
      <c r="GRM175" s="72"/>
      <c r="GRN175" s="72"/>
      <c r="GRO175" s="72"/>
      <c r="GRP175" s="72"/>
      <c r="GRQ175" s="72"/>
      <c r="GRR175" s="72"/>
      <c r="GRS175" s="72"/>
      <c r="GRT175" s="72"/>
      <c r="GRU175" s="72"/>
      <c r="GRV175" s="72"/>
      <c r="GRW175" s="72"/>
      <c r="GRX175" s="72"/>
      <c r="GRY175" s="72"/>
      <c r="GRZ175" s="72"/>
      <c r="GSA175" s="72"/>
      <c r="GSB175" s="72"/>
      <c r="GSC175" s="72"/>
      <c r="GSD175" s="72"/>
      <c r="GSE175" s="72"/>
      <c r="GSF175" s="72"/>
      <c r="GSG175" s="72"/>
      <c r="GSH175" s="72"/>
      <c r="GSI175" s="72"/>
      <c r="GSJ175" s="72"/>
      <c r="GSK175" s="72"/>
      <c r="GSL175" s="72"/>
      <c r="GSM175" s="72"/>
      <c r="GSN175" s="72"/>
      <c r="GSO175" s="72"/>
      <c r="GSP175" s="72"/>
      <c r="GSQ175" s="72"/>
      <c r="GSR175" s="72"/>
      <c r="GSS175" s="72"/>
      <c r="GST175" s="72"/>
      <c r="GSU175" s="72"/>
      <c r="GSV175" s="72"/>
      <c r="GSW175" s="72"/>
      <c r="GSX175" s="72"/>
      <c r="GSY175" s="72"/>
      <c r="GSZ175" s="72"/>
      <c r="GTA175" s="72"/>
      <c r="GTB175" s="72"/>
      <c r="GTC175" s="72"/>
      <c r="GTD175" s="72"/>
      <c r="GTE175" s="72"/>
      <c r="GTF175" s="72"/>
      <c r="GTG175" s="72"/>
      <c r="GTH175" s="72"/>
      <c r="GTI175" s="72"/>
      <c r="GTJ175" s="72"/>
      <c r="GTK175" s="72"/>
      <c r="GTL175" s="72"/>
      <c r="GTM175" s="72"/>
      <c r="GTN175" s="72"/>
      <c r="GTO175" s="72"/>
      <c r="GTP175" s="72"/>
      <c r="GTQ175" s="72"/>
      <c r="GTR175" s="72"/>
      <c r="GTS175" s="72"/>
      <c r="GTT175" s="72"/>
      <c r="GTU175" s="72"/>
      <c r="GTV175" s="72"/>
      <c r="GTW175" s="72"/>
      <c r="GTX175" s="72"/>
      <c r="GTY175" s="72"/>
      <c r="GTZ175" s="72"/>
      <c r="GUA175" s="72"/>
      <c r="GUB175" s="72"/>
      <c r="GUC175" s="72"/>
      <c r="GUD175" s="72"/>
      <c r="GUE175" s="72"/>
      <c r="GUF175" s="72"/>
      <c r="GUG175" s="72"/>
      <c r="GUH175" s="72"/>
      <c r="GUI175" s="72"/>
      <c r="GUJ175" s="72"/>
      <c r="GUK175" s="72"/>
      <c r="GUL175" s="72"/>
      <c r="GUM175" s="72"/>
      <c r="GUN175" s="72"/>
      <c r="GUO175" s="72"/>
      <c r="GUP175" s="72"/>
      <c r="GUQ175" s="72"/>
      <c r="GUR175" s="72"/>
      <c r="GUS175" s="72"/>
      <c r="GUT175" s="72"/>
      <c r="GUU175" s="72"/>
      <c r="GUV175" s="72"/>
      <c r="GUW175" s="72"/>
      <c r="GUX175" s="72"/>
      <c r="GUY175" s="72"/>
      <c r="GUZ175" s="72"/>
      <c r="GVA175" s="72"/>
      <c r="GVB175" s="72"/>
      <c r="GVC175" s="72"/>
      <c r="GVD175" s="72"/>
      <c r="GVE175" s="72"/>
      <c r="GVF175" s="72"/>
      <c r="GVG175" s="72"/>
      <c r="GVH175" s="72"/>
      <c r="GVI175" s="72"/>
      <c r="GVJ175" s="72"/>
      <c r="GVK175" s="72"/>
      <c r="GVL175" s="72"/>
      <c r="GVM175" s="72"/>
      <c r="GVN175" s="72"/>
      <c r="GVO175" s="72"/>
      <c r="GVP175" s="72"/>
      <c r="GVQ175" s="72"/>
      <c r="GVR175" s="72"/>
      <c r="GVS175" s="72"/>
      <c r="GVT175" s="72"/>
      <c r="GVU175" s="72"/>
      <c r="GVV175" s="72"/>
      <c r="GVW175" s="72"/>
      <c r="GVX175" s="72"/>
      <c r="GVY175" s="72"/>
      <c r="GVZ175" s="72"/>
      <c r="GWA175" s="72"/>
      <c r="GWB175" s="72"/>
      <c r="GWC175" s="72"/>
      <c r="GWD175" s="72"/>
      <c r="GWE175" s="72"/>
      <c r="GWF175" s="72"/>
      <c r="GWG175" s="72"/>
      <c r="GWH175" s="72"/>
      <c r="GWI175" s="72"/>
      <c r="GWJ175" s="72"/>
      <c r="GWK175" s="72"/>
      <c r="GWL175" s="72"/>
      <c r="GWM175" s="72"/>
      <c r="GWN175" s="72"/>
      <c r="GWO175" s="72"/>
      <c r="GWP175" s="72"/>
      <c r="GWQ175" s="72"/>
      <c r="GWR175" s="72"/>
      <c r="GWS175" s="72"/>
      <c r="GWT175" s="72"/>
      <c r="GWU175" s="72"/>
      <c r="GWV175" s="72"/>
      <c r="GWW175" s="72"/>
      <c r="GWX175" s="72"/>
      <c r="GWY175" s="72"/>
      <c r="GWZ175" s="72"/>
      <c r="GXA175" s="72"/>
      <c r="GXB175" s="72"/>
      <c r="GXC175" s="72"/>
      <c r="GXD175" s="72"/>
      <c r="GXE175" s="72"/>
      <c r="GXF175" s="72"/>
      <c r="GXG175" s="72"/>
      <c r="GXH175" s="72"/>
      <c r="GXI175" s="72"/>
      <c r="GXJ175" s="72"/>
      <c r="GXK175" s="72"/>
      <c r="GXL175" s="72"/>
      <c r="GXM175" s="72"/>
      <c r="GXN175" s="72"/>
      <c r="GXO175" s="72"/>
      <c r="GXP175" s="72"/>
      <c r="GXQ175" s="72"/>
      <c r="GXR175" s="72"/>
      <c r="GXS175" s="72"/>
      <c r="GXT175" s="72"/>
      <c r="GXU175" s="72"/>
      <c r="GXV175" s="72"/>
      <c r="GXW175" s="72"/>
      <c r="GXX175" s="72"/>
      <c r="GXY175" s="72"/>
      <c r="GXZ175" s="72"/>
      <c r="GYA175" s="72"/>
      <c r="GYB175" s="72"/>
      <c r="GYC175" s="72"/>
      <c r="GYD175" s="72"/>
      <c r="GYE175" s="72"/>
      <c r="GYF175" s="72"/>
      <c r="GYG175" s="72"/>
      <c r="GYH175" s="72"/>
      <c r="GYI175" s="72"/>
      <c r="GYJ175" s="72"/>
      <c r="GYK175" s="72"/>
      <c r="GYL175" s="72"/>
      <c r="GYM175" s="72"/>
      <c r="GYN175" s="72"/>
      <c r="GYO175" s="72"/>
      <c r="GYP175" s="72"/>
      <c r="GYQ175" s="72"/>
      <c r="GYR175" s="72"/>
      <c r="GYS175" s="72"/>
      <c r="GYT175" s="72"/>
      <c r="GYU175" s="72"/>
      <c r="GYV175" s="72"/>
      <c r="GYW175" s="72"/>
      <c r="GYX175" s="72"/>
      <c r="GYY175" s="72"/>
      <c r="GYZ175" s="72"/>
      <c r="GZA175" s="72"/>
      <c r="GZB175" s="72"/>
      <c r="GZC175" s="72"/>
      <c r="GZD175" s="72"/>
      <c r="GZE175" s="72"/>
      <c r="GZF175" s="72"/>
      <c r="GZG175" s="72"/>
      <c r="GZH175" s="72"/>
      <c r="GZI175" s="72"/>
      <c r="GZJ175" s="72"/>
      <c r="GZK175" s="72"/>
      <c r="GZL175" s="72"/>
      <c r="GZM175" s="72"/>
      <c r="GZN175" s="72"/>
      <c r="GZO175" s="72"/>
      <c r="GZP175" s="72"/>
      <c r="GZQ175" s="72"/>
      <c r="GZR175" s="72"/>
      <c r="GZS175" s="72"/>
      <c r="GZT175" s="72"/>
      <c r="GZU175" s="72"/>
      <c r="GZV175" s="72"/>
      <c r="GZW175" s="72"/>
      <c r="GZX175" s="72"/>
      <c r="GZY175" s="72"/>
      <c r="GZZ175" s="72"/>
      <c r="HAA175" s="72"/>
      <c r="HAB175" s="72"/>
      <c r="HAC175" s="72"/>
      <c r="HAD175" s="72"/>
      <c r="HAE175" s="72"/>
      <c r="HAF175" s="72"/>
      <c r="HAG175" s="72"/>
      <c r="HAH175" s="72"/>
      <c r="HAI175" s="72"/>
      <c r="HAJ175" s="72"/>
      <c r="HAK175" s="72"/>
      <c r="HAL175" s="72"/>
      <c r="HAM175" s="72"/>
      <c r="HAN175" s="72"/>
      <c r="HAO175" s="72"/>
      <c r="HAP175" s="72"/>
      <c r="HAQ175" s="72"/>
      <c r="HAR175" s="72"/>
      <c r="HAS175" s="72"/>
      <c r="HAT175" s="72"/>
      <c r="HAU175" s="72"/>
      <c r="HAV175" s="72"/>
      <c r="HAW175" s="72"/>
      <c r="HAX175" s="72"/>
      <c r="HAY175" s="72"/>
      <c r="HAZ175" s="72"/>
      <c r="HBA175" s="72"/>
      <c r="HBB175" s="72"/>
      <c r="HBC175" s="72"/>
      <c r="HBD175" s="72"/>
      <c r="HBE175" s="72"/>
      <c r="HBF175" s="72"/>
      <c r="HBG175" s="72"/>
      <c r="HBH175" s="72"/>
      <c r="HBI175" s="72"/>
      <c r="HBJ175" s="72"/>
      <c r="HBK175" s="72"/>
      <c r="HBL175" s="72"/>
      <c r="HBM175" s="72"/>
      <c r="HBN175" s="72"/>
      <c r="HBO175" s="72"/>
      <c r="HBP175" s="72"/>
      <c r="HBQ175" s="72"/>
      <c r="HBR175" s="72"/>
      <c r="HBS175" s="72"/>
      <c r="HBT175" s="72"/>
      <c r="HBU175" s="72"/>
      <c r="HBV175" s="72"/>
      <c r="HBW175" s="72"/>
      <c r="HBX175" s="72"/>
      <c r="HBY175" s="72"/>
      <c r="HBZ175" s="72"/>
      <c r="HCA175" s="72"/>
      <c r="HCB175" s="72"/>
      <c r="HCC175" s="72"/>
      <c r="HCD175" s="72"/>
      <c r="HCE175" s="72"/>
      <c r="HCF175" s="72"/>
      <c r="HCG175" s="72"/>
      <c r="HCH175" s="72"/>
      <c r="HCI175" s="72"/>
      <c r="HCJ175" s="72"/>
      <c r="HCK175" s="72"/>
      <c r="HCL175" s="72"/>
      <c r="HCM175" s="72"/>
      <c r="HCN175" s="72"/>
      <c r="HCO175" s="72"/>
      <c r="HCP175" s="72"/>
      <c r="HCQ175" s="72"/>
      <c r="HCR175" s="72"/>
      <c r="HCS175" s="72"/>
      <c r="HCT175" s="72"/>
      <c r="HCU175" s="72"/>
      <c r="HCV175" s="72"/>
      <c r="HCW175" s="72"/>
      <c r="HCX175" s="72"/>
      <c r="HCY175" s="72"/>
      <c r="HCZ175" s="72"/>
      <c r="HDA175" s="72"/>
      <c r="HDB175" s="72"/>
      <c r="HDC175" s="72"/>
      <c r="HDD175" s="72"/>
      <c r="HDE175" s="72"/>
      <c r="HDF175" s="72"/>
      <c r="HDG175" s="72"/>
      <c r="HDH175" s="72"/>
      <c r="HDI175" s="72"/>
      <c r="HDJ175" s="72"/>
      <c r="HDK175" s="72"/>
      <c r="HDL175" s="72"/>
      <c r="HDM175" s="72"/>
      <c r="HDN175" s="72"/>
      <c r="HDO175" s="72"/>
      <c r="HDP175" s="72"/>
      <c r="HDQ175" s="72"/>
      <c r="HDR175" s="72"/>
      <c r="HDS175" s="72"/>
      <c r="HDT175" s="72"/>
      <c r="HDU175" s="72"/>
      <c r="HDV175" s="72"/>
      <c r="HDW175" s="72"/>
      <c r="HDX175" s="72"/>
      <c r="HDY175" s="72"/>
      <c r="HDZ175" s="72"/>
      <c r="HEA175" s="72"/>
      <c r="HEB175" s="72"/>
      <c r="HEC175" s="72"/>
      <c r="HED175" s="72"/>
      <c r="HEE175" s="72"/>
      <c r="HEF175" s="72"/>
      <c r="HEG175" s="72"/>
      <c r="HEH175" s="72"/>
      <c r="HEI175" s="72"/>
      <c r="HEJ175" s="72"/>
      <c r="HEK175" s="72"/>
      <c r="HEL175" s="72"/>
      <c r="HEM175" s="72"/>
      <c r="HEN175" s="72"/>
      <c r="HEO175" s="72"/>
      <c r="HEP175" s="72"/>
      <c r="HEQ175" s="72"/>
      <c r="HER175" s="72"/>
      <c r="HES175" s="72"/>
      <c r="HET175" s="72"/>
      <c r="HEU175" s="72"/>
      <c r="HEV175" s="72"/>
      <c r="HEW175" s="72"/>
      <c r="HEX175" s="72"/>
      <c r="HEY175" s="72"/>
      <c r="HEZ175" s="72"/>
      <c r="HFA175" s="72"/>
      <c r="HFB175" s="72"/>
      <c r="HFC175" s="72"/>
      <c r="HFD175" s="72"/>
      <c r="HFE175" s="72"/>
      <c r="HFF175" s="72"/>
      <c r="HFG175" s="72"/>
      <c r="HFH175" s="72"/>
      <c r="HFI175" s="72"/>
      <c r="HFJ175" s="72"/>
      <c r="HFK175" s="72"/>
      <c r="HFL175" s="72"/>
      <c r="HFM175" s="72"/>
      <c r="HFN175" s="72"/>
      <c r="HFO175" s="72"/>
      <c r="HFP175" s="72"/>
      <c r="HFQ175" s="72"/>
      <c r="HFR175" s="72"/>
      <c r="HFS175" s="72"/>
      <c r="HFT175" s="72"/>
      <c r="HFU175" s="72"/>
      <c r="HFV175" s="72"/>
      <c r="HFW175" s="72"/>
      <c r="HFX175" s="72"/>
      <c r="HFY175" s="72"/>
      <c r="HFZ175" s="72"/>
      <c r="HGA175" s="72"/>
      <c r="HGB175" s="72"/>
      <c r="HGC175" s="72"/>
      <c r="HGD175" s="72"/>
      <c r="HGE175" s="72"/>
      <c r="HGF175" s="72"/>
      <c r="HGG175" s="72"/>
      <c r="HGH175" s="72"/>
      <c r="HGI175" s="72"/>
      <c r="HGJ175" s="72"/>
      <c r="HGK175" s="72"/>
      <c r="HGL175" s="72"/>
      <c r="HGM175" s="72"/>
      <c r="HGN175" s="72"/>
      <c r="HGO175" s="72"/>
      <c r="HGP175" s="72"/>
      <c r="HGQ175" s="72"/>
      <c r="HGR175" s="72"/>
      <c r="HGS175" s="72"/>
      <c r="HGT175" s="72"/>
      <c r="HGU175" s="72"/>
      <c r="HGV175" s="72"/>
      <c r="HGW175" s="72"/>
      <c r="HGX175" s="72"/>
      <c r="HGY175" s="72"/>
      <c r="HGZ175" s="72"/>
      <c r="HHA175" s="72"/>
      <c r="HHB175" s="72"/>
      <c r="HHC175" s="72"/>
      <c r="HHD175" s="72"/>
      <c r="HHE175" s="72"/>
      <c r="HHF175" s="72"/>
      <c r="HHG175" s="72"/>
      <c r="HHH175" s="72"/>
      <c r="HHI175" s="72"/>
      <c r="HHJ175" s="72"/>
      <c r="HHK175" s="72"/>
      <c r="HHL175" s="72"/>
      <c r="HHM175" s="72"/>
      <c r="HHN175" s="72"/>
      <c r="HHO175" s="72"/>
      <c r="HHP175" s="72"/>
      <c r="HHQ175" s="72"/>
      <c r="HHR175" s="72"/>
      <c r="HHS175" s="72"/>
      <c r="HHT175" s="72"/>
      <c r="HHU175" s="72"/>
      <c r="HHV175" s="72"/>
      <c r="HHW175" s="72"/>
      <c r="HHX175" s="72"/>
      <c r="HHY175" s="72"/>
      <c r="HHZ175" s="72"/>
      <c r="HIA175" s="72"/>
      <c r="HIB175" s="72"/>
      <c r="HIC175" s="72"/>
      <c r="HID175" s="72"/>
      <c r="HIE175" s="72"/>
      <c r="HIF175" s="72"/>
      <c r="HIG175" s="72"/>
      <c r="HIH175" s="72"/>
      <c r="HII175" s="72"/>
      <c r="HIJ175" s="72"/>
      <c r="HIK175" s="72"/>
      <c r="HIL175" s="72"/>
      <c r="HIM175" s="72"/>
      <c r="HIN175" s="72"/>
      <c r="HIO175" s="72"/>
      <c r="HIP175" s="72"/>
      <c r="HIQ175" s="72"/>
      <c r="HIR175" s="72"/>
      <c r="HIS175" s="72"/>
      <c r="HIT175" s="72"/>
      <c r="HIU175" s="72"/>
      <c r="HIV175" s="72"/>
      <c r="HIW175" s="72"/>
      <c r="HIX175" s="72"/>
      <c r="HIY175" s="72"/>
      <c r="HIZ175" s="72"/>
      <c r="HJA175" s="72"/>
      <c r="HJB175" s="72"/>
      <c r="HJC175" s="72"/>
      <c r="HJD175" s="72"/>
      <c r="HJE175" s="72"/>
      <c r="HJF175" s="72"/>
      <c r="HJG175" s="72"/>
      <c r="HJH175" s="72"/>
      <c r="HJI175" s="72"/>
      <c r="HJJ175" s="72"/>
      <c r="HJK175" s="72"/>
      <c r="HJL175" s="72"/>
      <c r="HJM175" s="72"/>
      <c r="HJN175" s="72"/>
      <c r="HJO175" s="72"/>
      <c r="HJP175" s="72"/>
      <c r="HJQ175" s="72"/>
      <c r="HJR175" s="72"/>
      <c r="HJS175" s="72"/>
      <c r="HJT175" s="72"/>
      <c r="HJU175" s="72"/>
      <c r="HJV175" s="72"/>
      <c r="HJW175" s="72"/>
      <c r="HJX175" s="72"/>
      <c r="HJY175" s="72"/>
      <c r="HJZ175" s="72"/>
      <c r="HKA175" s="72"/>
      <c r="HKB175" s="72"/>
      <c r="HKC175" s="72"/>
      <c r="HKD175" s="72"/>
      <c r="HKE175" s="72"/>
      <c r="HKF175" s="72"/>
      <c r="HKG175" s="72"/>
      <c r="HKH175" s="72"/>
      <c r="HKI175" s="72"/>
      <c r="HKJ175" s="72"/>
      <c r="HKK175" s="72"/>
      <c r="HKL175" s="72"/>
      <c r="HKM175" s="72"/>
      <c r="HKN175" s="72"/>
      <c r="HKO175" s="72"/>
      <c r="HKP175" s="72"/>
      <c r="HKQ175" s="72"/>
      <c r="HKR175" s="72"/>
      <c r="HKS175" s="72"/>
      <c r="HKT175" s="72"/>
      <c r="HKU175" s="72"/>
      <c r="HKV175" s="72"/>
      <c r="HKW175" s="72"/>
      <c r="HKX175" s="72"/>
      <c r="HKY175" s="72"/>
      <c r="HKZ175" s="72"/>
      <c r="HLA175" s="72"/>
      <c r="HLB175" s="72"/>
      <c r="HLC175" s="72"/>
      <c r="HLD175" s="72"/>
      <c r="HLE175" s="72"/>
      <c r="HLF175" s="72"/>
      <c r="HLG175" s="72"/>
      <c r="HLH175" s="72"/>
      <c r="HLI175" s="72"/>
      <c r="HLJ175" s="72"/>
      <c r="HLK175" s="72"/>
      <c r="HLL175" s="72"/>
      <c r="HLM175" s="72"/>
      <c r="HLN175" s="72"/>
      <c r="HLO175" s="72"/>
      <c r="HLP175" s="72"/>
      <c r="HLQ175" s="72"/>
      <c r="HLR175" s="72"/>
      <c r="HLS175" s="72"/>
      <c r="HLT175" s="72"/>
      <c r="HLU175" s="72"/>
      <c r="HLV175" s="72"/>
      <c r="HLW175" s="72"/>
      <c r="HLX175" s="72"/>
      <c r="HLY175" s="72"/>
      <c r="HLZ175" s="72"/>
      <c r="HMA175" s="72"/>
      <c r="HMB175" s="72"/>
      <c r="HMC175" s="72"/>
      <c r="HMD175" s="72"/>
      <c r="HME175" s="72"/>
      <c r="HMF175" s="72"/>
      <c r="HMG175" s="72"/>
      <c r="HMH175" s="72"/>
      <c r="HMI175" s="72"/>
      <c r="HMJ175" s="72"/>
      <c r="HMK175" s="72"/>
      <c r="HML175" s="72"/>
      <c r="HMM175" s="72"/>
      <c r="HMN175" s="72"/>
      <c r="HMO175" s="72"/>
      <c r="HMP175" s="72"/>
      <c r="HMQ175" s="72"/>
      <c r="HMR175" s="72"/>
      <c r="HMS175" s="72"/>
      <c r="HMT175" s="72"/>
      <c r="HMU175" s="72"/>
      <c r="HMV175" s="72"/>
      <c r="HMW175" s="72"/>
      <c r="HMX175" s="72"/>
      <c r="HMY175" s="72"/>
      <c r="HMZ175" s="72"/>
      <c r="HNA175" s="72"/>
      <c r="HNB175" s="72"/>
      <c r="HNC175" s="72"/>
      <c r="HND175" s="72"/>
      <c r="HNE175" s="72"/>
      <c r="HNF175" s="72"/>
      <c r="HNG175" s="72"/>
      <c r="HNH175" s="72"/>
      <c r="HNI175" s="72"/>
      <c r="HNJ175" s="72"/>
      <c r="HNK175" s="72"/>
      <c r="HNL175" s="72"/>
      <c r="HNM175" s="72"/>
      <c r="HNN175" s="72"/>
      <c r="HNO175" s="72"/>
      <c r="HNP175" s="72"/>
      <c r="HNQ175" s="72"/>
      <c r="HNR175" s="72"/>
      <c r="HNS175" s="72"/>
      <c r="HNT175" s="72"/>
      <c r="HNU175" s="72"/>
      <c r="HNV175" s="72"/>
      <c r="HNW175" s="72"/>
      <c r="HNX175" s="72"/>
      <c r="HNY175" s="72"/>
      <c r="HNZ175" s="72"/>
      <c r="HOA175" s="72"/>
      <c r="HOB175" s="72"/>
      <c r="HOC175" s="72"/>
      <c r="HOD175" s="72"/>
      <c r="HOE175" s="72"/>
      <c r="HOF175" s="72"/>
      <c r="HOG175" s="72"/>
      <c r="HOH175" s="72"/>
      <c r="HOI175" s="72"/>
      <c r="HOJ175" s="72"/>
      <c r="HOK175" s="72"/>
      <c r="HOL175" s="72"/>
      <c r="HOM175" s="72"/>
      <c r="HON175" s="72"/>
      <c r="HOO175" s="72"/>
      <c r="HOP175" s="72"/>
      <c r="HOQ175" s="72"/>
      <c r="HOR175" s="72"/>
      <c r="HOS175" s="72"/>
      <c r="HOT175" s="72"/>
      <c r="HOU175" s="72"/>
      <c r="HOV175" s="72"/>
      <c r="HOW175" s="72"/>
      <c r="HOX175" s="72"/>
      <c r="HOY175" s="72"/>
      <c r="HOZ175" s="72"/>
      <c r="HPA175" s="72"/>
      <c r="HPB175" s="72"/>
      <c r="HPC175" s="72"/>
      <c r="HPD175" s="72"/>
      <c r="HPE175" s="72"/>
      <c r="HPF175" s="72"/>
      <c r="HPG175" s="72"/>
      <c r="HPH175" s="72"/>
      <c r="HPI175" s="72"/>
      <c r="HPJ175" s="72"/>
      <c r="HPK175" s="72"/>
      <c r="HPL175" s="72"/>
      <c r="HPM175" s="72"/>
      <c r="HPN175" s="72"/>
      <c r="HPO175" s="72"/>
      <c r="HPP175" s="72"/>
      <c r="HPQ175" s="72"/>
      <c r="HPR175" s="72"/>
      <c r="HPS175" s="72"/>
      <c r="HPT175" s="72"/>
      <c r="HPU175" s="72"/>
      <c r="HPV175" s="72"/>
      <c r="HPW175" s="72"/>
      <c r="HPX175" s="72"/>
      <c r="HPY175" s="72"/>
      <c r="HPZ175" s="72"/>
      <c r="HQA175" s="72"/>
      <c r="HQB175" s="72"/>
      <c r="HQC175" s="72"/>
      <c r="HQD175" s="72"/>
      <c r="HQE175" s="72"/>
      <c r="HQF175" s="72"/>
      <c r="HQG175" s="72"/>
      <c r="HQH175" s="72"/>
      <c r="HQI175" s="72"/>
      <c r="HQJ175" s="72"/>
      <c r="HQK175" s="72"/>
      <c r="HQL175" s="72"/>
      <c r="HQM175" s="72"/>
      <c r="HQN175" s="72"/>
      <c r="HQO175" s="72"/>
      <c r="HQP175" s="72"/>
      <c r="HQQ175" s="72"/>
      <c r="HQR175" s="72"/>
      <c r="HQS175" s="72"/>
      <c r="HQT175" s="72"/>
      <c r="HQU175" s="72"/>
      <c r="HQV175" s="72"/>
      <c r="HQW175" s="72"/>
      <c r="HQX175" s="72"/>
      <c r="HQY175" s="72"/>
      <c r="HQZ175" s="72"/>
      <c r="HRA175" s="72"/>
      <c r="HRB175" s="72"/>
      <c r="HRC175" s="72"/>
      <c r="HRD175" s="72"/>
      <c r="HRE175" s="72"/>
      <c r="HRF175" s="72"/>
      <c r="HRG175" s="72"/>
      <c r="HRH175" s="72"/>
      <c r="HRI175" s="72"/>
      <c r="HRJ175" s="72"/>
      <c r="HRK175" s="72"/>
      <c r="HRL175" s="72"/>
      <c r="HRM175" s="72"/>
      <c r="HRN175" s="72"/>
      <c r="HRO175" s="72"/>
      <c r="HRP175" s="72"/>
      <c r="HRQ175" s="72"/>
      <c r="HRR175" s="72"/>
      <c r="HRS175" s="72"/>
      <c r="HRT175" s="72"/>
      <c r="HRU175" s="72"/>
      <c r="HRV175" s="72"/>
      <c r="HRW175" s="72"/>
      <c r="HRX175" s="72"/>
      <c r="HRY175" s="72"/>
      <c r="HRZ175" s="72"/>
      <c r="HSA175" s="72"/>
      <c r="HSB175" s="72"/>
      <c r="HSC175" s="72"/>
      <c r="HSD175" s="72"/>
      <c r="HSE175" s="72"/>
      <c r="HSF175" s="72"/>
      <c r="HSG175" s="72"/>
      <c r="HSH175" s="72"/>
      <c r="HSI175" s="72"/>
      <c r="HSJ175" s="72"/>
      <c r="HSK175" s="72"/>
      <c r="HSL175" s="72"/>
      <c r="HSM175" s="72"/>
      <c r="HSN175" s="72"/>
      <c r="HSO175" s="72"/>
      <c r="HSP175" s="72"/>
      <c r="HSQ175" s="72"/>
      <c r="HSR175" s="72"/>
      <c r="HSS175" s="72"/>
      <c r="HST175" s="72"/>
      <c r="HSU175" s="72"/>
      <c r="HSV175" s="72"/>
      <c r="HSW175" s="72"/>
      <c r="HSX175" s="72"/>
      <c r="HSY175" s="72"/>
      <c r="HSZ175" s="72"/>
      <c r="HTA175" s="72"/>
      <c r="HTB175" s="72"/>
      <c r="HTC175" s="72"/>
      <c r="HTD175" s="72"/>
      <c r="HTE175" s="72"/>
      <c r="HTF175" s="72"/>
      <c r="HTG175" s="72"/>
      <c r="HTH175" s="72"/>
      <c r="HTI175" s="72"/>
      <c r="HTJ175" s="72"/>
      <c r="HTK175" s="72"/>
      <c r="HTL175" s="72"/>
      <c r="HTM175" s="72"/>
      <c r="HTN175" s="72"/>
      <c r="HTO175" s="72"/>
      <c r="HTP175" s="72"/>
      <c r="HTQ175" s="72"/>
      <c r="HTR175" s="72"/>
      <c r="HTS175" s="72"/>
      <c r="HTT175" s="72"/>
      <c r="HTU175" s="72"/>
      <c r="HTV175" s="72"/>
      <c r="HTW175" s="72"/>
      <c r="HTX175" s="72"/>
      <c r="HTY175" s="72"/>
      <c r="HTZ175" s="72"/>
      <c r="HUA175" s="72"/>
      <c r="HUB175" s="72"/>
      <c r="HUC175" s="72"/>
      <c r="HUD175" s="72"/>
      <c r="HUE175" s="72"/>
      <c r="HUF175" s="72"/>
      <c r="HUG175" s="72"/>
      <c r="HUH175" s="72"/>
      <c r="HUI175" s="72"/>
      <c r="HUJ175" s="72"/>
      <c r="HUK175" s="72"/>
      <c r="HUL175" s="72"/>
      <c r="HUM175" s="72"/>
      <c r="HUN175" s="72"/>
      <c r="HUO175" s="72"/>
      <c r="HUP175" s="72"/>
      <c r="HUQ175" s="72"/>
      <c r="HUR175" s="72"/>
      <c r="HUS175" s="72"/>
      <c r="HUT175" s="72"/>
      <c r="HUU175" s="72"/>
      <c r="HUV175" s="72"/>
      <c r="HUW175" s="72"/>
      <c r="HUX175" s="72"/>
      <c r="HUY175" s="72"/>
      <c r="HUZ175" s="72"/>
      <c r="HVA175" s="72"/>
      <c r="HVB175" s="72"/>
      <c r="HVC175" s="72"/>
      <c r="HVD175" s="72"/>
      <c r="HVE175" s="72"/>
      <c r="HVF175" s="72"/>
      <c r="HVG175" s="72"/>
      <c r="HVH175" s="72"/>
      <c r="HVI175" s="72"/>
      <c r="HVJ175" s="72"/>
      <c r="HVK175" s="72"/>
      <c r="HVL175" s="72"/>
      <c r="HVM175" s="72"/>
      <c r="HVN175" s="72"/>
      <c r="HVO175" s="72"/>
      <c r="HVP175" s="72"/>
      <c r="HVQ175" s="72"/>
      <c r="HVR175" s="72"/>
      <c r="HVS175" s="72"/>
      <c r="HVT175" s="72"/>
      <c r="HVU175" s="72"/>
      <c r="HVV175" s="72"/>
      <c r="HVW175" s="72"/>
      <c r="HVX175" s="72"/>
      <c r="HVY175" s="72"/>
      <c r="HVZ175" s="72"/>
      <c r="HWA175" s="72"/>
      <c r="HWB175" s="72"/>
      <c r="HWC175" s="72"/>
      <c r="HWD175" s="72"/>
      <c r="HWE175" s="72"/>
      <c r="HWF175" s="72"/>
      <c r="HWG175" s="72"/>
      <c r="HWH175" s="72"/>
      <c r="HWI175" s="72"/>
      <c r="HWJ175" s="72"/>
      <c r="HWK175" s="72"/>
      <c r="HWL175" s="72"/>
      <c r="HWM175" s="72"/>
      <c r="HWN175" s="72"/>
      <c r="HWO175" s="72"/>
      <c r="HWP175" s="72"/>
      <c r="HWQ175" s="72"/>
      <c r="HWR175" s="72"/>
      <c r="HWS175" s="72"/>
      <c r="HWT175" s="72"/>
      <c r="HWU175" s="72"/>
      <c r="HWV175" s="72"/>
      <c r="HWW175" s="72"/>
      <c r="HWX175" s="72"/>
      <c r="HWY175" s="72"/>
      <c r="HWZ175" s="72"/>
      <c r="HXA175" s="72"/>
      <c r="HXB175" s="72"/>
      <c r="HXC175" s="72"/>
      <c r="HXD175" s="72"/>
      <c r="HXE175" s="72"/>
      <c r="HXF175" s="72"/>
      <c r="HXG175" s="72"/>
      <c r="HXH175" s="72"/>
      <c r="HXI175" s="72"/>
      <c r="HXJ175" s="72"/>
      <c r="HXK175" s="72"/>
      <c r="HXL175" s="72"/>
      <c r="HXM175" s="72"/>
      <c r="HXN175" s="72"/>
      <c r="HXO175" s="72"/>
      <c r="HXP175" s="72"/>
      <c r="HXQ175" s="72"/>
      <c r="HXR175" s="72"/>
      <c r="HXS175" s="72"/>
      <c r="HXT175" s="72"/>
      <c r="HXU175" s="72"/>
      <c r="HXV175" s="72"/>
      <c r="HXW175" s="72"/>
      <c r="HXX175" s="72"/>
      <c r="HXY175" s="72"/>
      <c r="HXZ175" s="72"/>
      <c r="HYA175" s="72"/>
      <c r="HYB175" s="72"/>
      <c r="HYC175" s="72"/>
      <c r="HYD175" s="72"/>
      <c r="HYE175" s="72"/>
      <c r="HYF175" s="72"/>
      <c r="HYG175" s="72"/>
      <c r="HYH175" s="72"/>
      <c r="HYI175" s="72"/>
      <c r="HYJ175" s="72"/>
      <c r="HYK175" s="72"/>
      <c r="HYL175" s="72"/>
      <c r="HYM175" s="72"/>
      <c r="HYN175" s="72"/>
      <c r="HYO175" s="72"/>
      <c r="HYP175" s="72"/>
      <c r="HYQ175" s="72"/>
      <c r="HYR175" s="72"/>
      <c r="HYS175" s="72"/>
      <c r="HYT175" s="72"/>
      <c r="HYU175" s="72"/>
      <c r="HYV175" s="72"/>
      <c r="HYW175" s="72"/>
      <c r="HYX175" s="72"/>
      <c r="HYY175" s="72"/>
      <c r="HYZ175" s="72"/>
      <c r="HZA175" s="72"/>
      <c r="HZB175" s="72"/>
      <c r="HZC175" s="72"/>
      <c r="HZD175" s="72"/>
      <c r="HZE175" s="72"/>
      <c r="HZF175" s="72"/>
      <c r="HZG175" s="72"/>
      <c r="HZH175" s="72"/>
      <c r="HZI175" s="72"/>
      <c r="HZJ175" s="72"/>
      <c r="HZK175" s="72"/>
      <c r="HZL175" s="72"/>
      <c r="HZM175" s="72"/>
      <c r="HZN175" s="72"/>
      <c r="HZO175" s="72"/>
      <c r="HZP175" s="72"/>
      <c r="HZQ175" s="72"/>
      <c r="HZR175" s="72"/>
      <c r="HZS175" s="72"/>
      <c r="HZT175" s="72"/>
      <c r="HZU175" s="72"/>
      <c r="HZV175" s="72"/>
      <c r="HZW175" s="72"/>
      <c r="HZX175" s="72"/>
      <c r="HZY175" s="72"/>
      <c r="HZZ175" s="72"/>
      <c r="IAA175" s="72"/>
      <c r="IAB175" s="72"/>
      <c r="IAC175" s="72"/>
      <c r="IAD175" s="72"/>
      <c r="IAE175" s="72"/>
      <c r="IAF175" s="72"/>
      <c r="IAG175" s="72"/>
      <c r="IAH175" s="72"/>
      <c r="IAI175" s="72"/>
      <c r="IAJ175" s="72"/>
      <c r="IAK175" s="72"/>
      <c r="IAL175" s="72"/>
      <c r="IAM175" s="72"/>
      <c r="IAN175" s="72"/>
      <c r="IAO175" s="72"/>
      <c r="IAP175" s="72"/>
      <c r="IAQ175" s="72"/>
      <c r="IAR175" s="72"/>
      <c r="IAS175" s="72"/>
      <c r="IAT175" s="72"/>
      <c r="IAU175" s="72"/>
      <c r="IAV175" s="72"/>
      <c r="IAW175" s="72"/>
      <c r="IAX175" s="72"/>
      <c r="IAY175" s="72"/>
      <c r="IAZ175" s="72"/>
      <c r="IBA175" s="72"/>
      <c r="IBB175" s="72"/>
      <c r="IBC175" s="72"/>
      <c r="IBD175" s="72"/>
      <c r="IBE175" s="72"/>
      <c r="IBF175" s="72"/>
      <c r="IBG175" s="72"/>
      <c r="IBH175" s="72"/>
      <c r="IBI175" s="72"/>
      <c r="IBJ175" s="72"/>
      <c r="IBK175" s="72"/>
      <c r="IBL175" s="72"/>
      <c r="IBM175" s="72"/>
      <c r="IBN175" s="72"/>
      <c r="IBO175" s="72"/>
      <c r="IBP175" s="72"/>
      <c r="IBQ175" s="72"/>
      <c r="IBR175" s="72"/>
      <c r="IBS175" s="72"/>
      <c r="IBT175" s="72"/>
      <c r="IBU175" s="72"/>
      <c r="IBV175" s="72"/>
      <c r="IBW175" s="72"/>
      <c r="IBX175" s="72"/>
      <c r="IBY175" s="72"/>
      <c r="IBZ175" s="72"/>
      <c r="ICA175" s="72"/>
      <c r="ICB175" s="72"/>
      <c r="ICC175" s="72"/>
      <c r="ICD175" s="72"/>
      <c r="ICE175" s="72"/>
      <c r="ICF175" s="72"/>
      <c r="ICG175" s="72"/>
      <c r="ICH175" s="72"/>
      <c r="ICI175" s="72"/>
      <c r="ICJ175" s="72"/>
      <c r="ICK175" s="72"/>
      <c r="ICL175" s="72"/>
      <c r="ICM175" s="72"/>
      <c r="ICN175" s="72"/>
      <c r="ICO175" s="72"/>
      <c r="ICP175" s="72"/>
      <c r="ICQ175" s="72"/>
      <c r="ICR175" s="72"/>
      <c r="ICS175" s="72"/>
      <c r="ICT175" s="72"/>
      <c r="ICU175" s="72"/>
      <c r="ICV175" s="72"/>
      <c r="ICW175" s="72"/>
      <c r="ICX175" s="72"/>
      <c r="ICY175" s="72"/>
      <c r="ICZ175" s="72"/>
      <c r="IDA175" s="72"/>
      <c r="IDB175" s="72"/>
      <c r="IDC175" s="72"/>
      <c r="IDD175" s="72"/>
      <c r="IDE175" s="72"/>
      <c r="IDF175" s="72"/>
      <c r="IDG175" s="72"/>
      <c r="IDH175" s="72"/>
      <c r="IDI175" s="72"/>
      <c r="IDJ175" s="72"/>
      <c r="IDK175" s="72"/>
      <c r="IDL175" s="72"/>
      <c r="IDM175" s="72"/>
      <c r="IDN175" s="72"/>
      <c r="IDO175" s="72"/>
      <c r="IDP175" s="72"/>
      <c r="IDQ175" s="72"/>
      <c r="IDR175" s="72"/>
      <c r="IDS175" s="72"/>
      <c r="IDT175" s="72"/>
      <c r="IDU175" s="72"/>
      <c r="IDV175" s="72"/>
      <c r="IDW175" s="72"/>
      <c r="IDX175" s="72"/>
      <c r="IDY175" s="72"/>
      <c r="IDZ175" s="72"/>
      <c r="IEA175" s="72"/>
      <c r="IEB175" s="72"/>
      <c r="IEC175" s="72"/>
      <c r="IED175" s="72"/>
      <c r="IEE175" s="72"/>
      <c r="IEF175" s="72"/>
      <c r="IEG175" s="72"/>
      <c r="IEH175" s="72"/>
      <c r="IEI175" s="72"/>
      <c r="IEJ175" s="72"/>
      <c r="IEK175" s="72"/>
      <c r="IEL175" s="72"/>
      <c r="IEM175" s="72"/>
      <c r="IEN175" s="72"/>
      <c r="IEO175" s="72"/>
      <c r="IEP175" s="72"/>
      <c r="IEQ175" s="72"/>
      <c r="IER175" s="72"/>
      <c r="IES175" s="72"/>
      <c r="IET175" s="72"/>
      <c r="IEU175" s="72"/>
      <c r="IEV175" s="72"/>
      <c r="IEW175" s="72"/>
      <c r="IEX175" s="72"/>
      <c r="IEY175" s="72"/>
      <c r="IEZ175" s="72"/>
      <c r="IFA175" s="72"/>
      <c r="IFB175" s="72"/>
      <c r="IFC175" s="72"/>
      <c r="IFD175" s="72"/>
      <c r="IFE175" s="72"/>
      <c r="IFF175" s="72"/>
      <c r="IFG175" s="72"/>
      <c r="IFH175" s="72"/>
      <c r="IFI175" s="72"/>
      <c r="IFJ175" s="72"/>
      <c r="IFK175" s="72"/>
      <c r="IFL175" s="72"/>
      <c r="IFM175" s="72"/>
      <c r="IFN175" s="72"/>
      <c r="IFO175" s="72"/>
      <c r="IFP175" s="72"/>
      <c r="IFQ175" s="72"/>
      <c r="IFR175" s="72"/>
      <c r="IFS175" s="72"/>
      <c r="IFT175" s="72"/>
      <c r="IFU175" s="72"/>
      <c r="IFV175" s="72"/>
      <c r="IFW175" s="72"/>
      <c r="IFX175" s="72"/>
      <c r="IFY175" s="72"/>
      <c r="IFZ175" s="72"/>
      <c r="IGA175" s="72"/>
      <c r="IGB175" s="72"/>
      <c r="IGC175" s="72"/>
      <c r="IGD175" s="72"/>
      <c r="IGE175" s="72"/>
      <c r="IGF175" s="72"/>
      <c r="IGG175" s="72"/>
      <c r="IGH175" s="72"/>
      <c r="IGI175" s="72"/>
      <c r="IGJ175" s="72"/>
      <c r="IGK175" s="72"/>
      <c r="IGL175" s="72"/>
      <c r="IGM175" s="72"/>
      <c r="IGN175" s="72"/>
      <c r="IGO175" s="72"/>
      <c r="IGP175" s="72"/>
      <c r="IGQ175" s="72"/>
      <c r="IGR175" s="72"/>
      <c r="IGS175" s="72"/>
      <c r="IGT175" s="72"/>
      <c r="IGU175" s="72"/>
      <c r="IGV175" s="72"/>
      <c r="IGW175" s="72"/>
      <c r="IGX175" s="72"/>
      <c r="IGY175" s="72"/>
      <c r="IGZ175" s="72"/>
      <c r="IHA175" s="72"/>
      <c r="IHB175" s="72"/>
      <c r="IHC175" s="72"/>
      <c r="IHD175" s="72"/>
      <c r="IHE175" s="72"/>
      <c r="IHF175" s="72"/>
      <c r="IHG175" s="72"/>
      <c r="IHH175" s="72"/>
      <c r="IHI175" s="72"/>
      <c r="IHJ175" s="72"/>
      <c r="IHK175" s="72"/>
      <c r="IHL175" s="72"/>
      <c r="IHM175" s="72"/>
      <c r="IHN175" s="72"/>
      <c r="IHO175" s="72"/>
      <c r="IHP175" s="72"/>
      <c r="IHQ175" s="72"/>
      <c r="IHR175" s="72"/>
      <c r="IHS175" s="72"/>
      <c r="IHT175" s="72"/>
      <c r="IHU175" s="72"/>
      <c r="IHV175" s="72"/>
      <c r="IHW175" s="72"/>
      <c r="IHX175" s="72"/>
      <c r="IHY175" s="72"/>
      <c r="IHZ175" s="72"/>
      <c r="IIA175" s="72"/>
      <c r="IIB175" s="72"/>
      <c r="IIC175" s="72"/>
      <c r="IID175" s="72"/>
      <c r="IIE175" s="72"/>
      <c r="IIF175" s="72"/>
      <c r="IIG175" s="72"/>
      <c r="IIH175" s="72"/>
      <c r="III175" s="72"/>
      <c r="IIJ175" s="72"/>
      <c r="IIK175" s="72"/>
      <c r="IIL175" s="72"/>
      <c r="IIM175" s="72"/>
      <c r="IIN175" s="72"/>
      <c r="IIO175" s="72"/>
      <c r="IIP175" s="72"/>
      <c r="IIQ175" s="72"/>
      <c r="IIR175" s="72"/>
      <c r="IIS175" s="72"/>
      <c r="IIT175" s="72"/>
      <c r="IIU175" s="72"/>
      <c r="IIV175" s="72"/>
      <c r="IIW175" s="72"/>
      <c r="IIX175" s="72"/>
      <c r="IIY175" s="72"/>
      <c r="IIZ175" s="72"/>
      <c r="IJA175" s="72"/>
      <c r="IJB175" s="72"/>
      <c r="IJC175" s="72"/>
      <c r="IJD175" s="72"/>
      <c r="IJE175" s="72"/>
      <c r="IJF175" s="72"/>
      <c r="IJG175" s="72"/>
      <c r="IJH175" s="72"/>
      <c r="IJI175" s="72"/>
      <c r="IJJ175" s="72"/>
      <c r="IJK175" s="72"/>
      <c r="IJL175" s="72"/>
      <c r="IJM175" s="72"/>
      <c r="IJN175" s="72"/>
      <c r="IJO175" s="72"/>
      <c r="IJP175" s="72"/>
      <c r="IJQ175" s="72"/>
      <c r="IJR175" s="72"/>
      <c r="IJS175" s="72"/>
      <c r="IJT175" s="72"/>
      <c r="IJU175" s="72"/>
      <c r="IJV175" s="72"/>
      <c r="IJW175" s="72"/>
      <c r="IJX175" s="72"/>
      <c r="IJY175" s="72"/>
      <c r="IJZ175" s="72"/>
      <c r="IKA175" s="72"/>
      <c r="IKB175" s="72"/>
      <c r="IKC175" s="72"/>
      <c r="IKD175" s="72"/>
      <c r="IKE175" s="72"/>
      <c r="IKF175" s="72"/>
      <c r="IKG175" s="72"/>
      <c r="IKH175" s="72"/>
      <c r="IKI175" s="72"/>
      <c r="IKJ175" s="72"/>
      <c r="IKK175" s="72"/>
      <c r="IKL175" s="72"/>
      <c r="IKM175" s="72"/>
      <c r="IKN175" s="72"/>
      <c r="IKO175" s="72"/>
      <c r="IKP175" s="72"/>
      <c r="IKQ175" s="72"/>
      <c r="IKR175" s="72"/>
      <c r="IKS175" s="72"/>
      <c r="IKT175" s="72"/>
      <c r="IKU175" s="72"/>
      <c r="IKV175" s="72"/>
      <c r="IKW175" s="72"/>
      <c r="IKX175" s="72"/>
      <c r="IKY175" s="72"/>
      <c r="IKZ175" s="72"/>
      <c r="ILA175" s="72"/>
      <c r="ILB175" s="72"/>
      <c r="ILC175" s="72"/>
      <c r="ILD175" s="72"/>
      <c r="ILE175" s="72"/>
      <c r="ILF175" s="72"/>
      <c r="ILG175" s="72"/>
      <c r="ILH175" s="72"/>
      <c r="ILI175" s="72"/>
      <c r="ILJ175" s="72"/>
      <c r="ILK175" s="72"/>
      <c r="ILL175" s="72"/>
      <c r="ILM175" s="72"/>
      <c r="ILN175" s="72"/>
      <c r="ILO175" s="72"/>
      <c r="ILP175" s="72"/>
      <c r="ILQ175" s="72"/>
      <c r="ILR175" s="72"/>
      <c r="ILS175" s="72"/>
      <c r="ILT175" s="72"/>
      <c r="ILU175" s="72"/>
      <c r="ILV175" s="72"/>
      <c r="ILW175" s="72"/>
      <c r="ILX175" s="72"/>
      <c r="ILY175" s="72"/>
      <c r="ILZ175" s="72"/>
      <c r="IMA175" s="72"/>
      <c r="IMB175" s="72"/>
      <c r="IMC175" s="72"/>
      <c r="IMD175" s="72"/>
      <c r="IME175" s="72"/>
      <c r="IMF175" s="72"/>
      <c r="IMG175" s="72"/>
      <c r="IMH175" s="72"/>
      <c r="IMI175" s="72"/>
      <c r="IMJ175" s="72"/>
      <c r="IMK175" s="72"/>
      <c r="IML175" s="72"/>
      <c r="IMM175" s="72"/>
      <c r="IMN175" s="72"/>
      <c r="IMO175" s="72"/>
      <c r="IMP175" s="72"/>
      <c r="IMQ175" s="72"/>
      <c r="IMR175" s="72"/>
      <c r="IMS175" s="72"/>
      <c r="IMT175" s="72"/>
      <c r="IMU175" s="72"/>
      <c r="IMV175" s="72"/>
      <c r="IMW175" s="72"/>
      <c r="IMX175" s="72"/>
      <c r="IMY175" s="72"/>
      <c r="IMZ175" s="72"/>
      <c r="INA175" s="72"/>
      <c r="INB175" s="72"/>
      <c r="INC175" s="72"/>
      <c r="IND175" s="72"/>
      <c r="INE175" s="72"/>
      <c r="INF175" s="72"/>
      <c r="ING175" s="72"/>
      <c r="INH175" s="72"/>
      <c r="INI175" s="72"/>
      <c r="INJ175" s="72"/>
      <c r="INK175" s="72"/>
      <c r="INL175" s="72"/>
      <c r="INM175" s="72"/>
      <c r="INN175" s="72"/>
      <c r="INO175" s="72"/>
      <c r="INP175" s="72"/>
      <c r="INQ175" s="72"/>
      <c r="INR175" s="72"/>
      <c r="INS175" s="72"/>
      <c r="INT175" s="72"/>
      <c r="INU175" s="72"/>
      <c r="INV175" s="72"/>
      <c r="INW175" s="72"/>
      <c r="INX175" s="72"/>
      <c r="INY175" s="72"/>
      <c r="INZ175" s="72"/>
      <c r="IOA175" s="72"/>
      <c r="IOB175" s="72"/>
      <c r="IOC175" s="72"/>
      <c r="IOD175" s="72"/>
      <c r="IOE175" s="72"/>
      <c r="IOF175" s="72"/>
      <c r="IOG175" s="72"/>
      <c r="IOH175" s="72"/>
      <c r="IOI175" s="72"/>
      <c r="IOJ175" s="72"/>
      <c r="IOK175" s="72"/>
      <c r="IOL175" s="72"/>
      <c r="IOM175" s="72"/>
      <c r="ION175" s="72"/>
      <c r="IOO175" s="72"/>
      <c r="IOP175" s="72"/>
      <c r="IOQ175" s="72"/>
      <c r="IOR175" s="72"/>
      <c r="IOS175" s="72"/>
      <c r="IOT175" s="72"/>
      <c r="IOU175" s="72"/>
      <c r="IOV175" s="72"/>
      <c r="IOW175" s="72"/>
      <c r="IOX175" s="72"/>
      <c r="IOY175" s="72"/>
      <c r="IOZ175" s="72"/>
      <c r="IPA175" s="72"/>
      <c r="IPB175" s="72"/>
      <c r="IPC175" s="72"/>
      <c r="IPD175" s="72"/>
      <c r="IPE175" s="72"/>
      <c r="IPF175" s="72"/>
      <c r="IPG175" s="72"/>
      <c r="IPH175" s="72"/>
      <c r="IPI175" s="72"/>
      <c r="IPJ175" s="72"/>
      <c r="IPK175" s="72"/>
      <c r="IPL175" s="72"/>
      <c r="IPM175" s="72"/>
      <c r="IPN175" s="72"/>
      <c r="IPO175" s="72"/>
      <c r="IPP175" s="72"/>
      <c r="IPQ175" s="72"/>
      <c r="IPR175" s="72"/>
      <c r="IPS175" s="72"/>
      <c r="IPT175" s="72"/>
      <c r="IPU175" s="72"/>
      <c r="IPV175" s="72"/>
      <c r="IPW175" s="72"/>
      <c r="IPX175" s="72"/>
      <c r="IPY175" s="72"/>
      <c r="IPZ175" s="72"/>
      <c r="IQA175" s="72"/>
      <c r="IQB175" s="72"/>
      <c r="IQC175" s="72"/>
      <c r="IQD175" s="72"/>
      <c r="IQE175" s="72"/>
      <c r="IQF175" s="72"/>
      <c r="IQG175" s="72"/>
      <c r="IQH175" s="72"/>
      <c r="IQI175" s="72"/>
      <c r="IQJ175" s="72"/>
      <c r="IQK175" s="72"/>
      <c r="IQL175" s="72"/>
      <c r="IQM175" s="72"/>
      <c r="IQN175" s="72"/>
      <c r="IQO175" s="72"/>
      <c r="IQP175" s="72"/>
      <c r="IQQ175" s="72"/>
      <c r="IQR175" s="72"/>
      <c r="IQS175" s="72"/>
      <c r="IQT175" s="72"/>
      <c r="IQU175" s="72"/>
      <c r="IQV175" s="72"/>
      <c r="IQW175" s="72"/>
      <c r="IQX175" s="72"/>
      <c r="IQY175" s="72"/>
      <c r="IQZ175" s="72"/>
      <c r="IRA175" s="72"/>
      <c r="IRB175" s="72"/>
      <c r="IRC175" s="72"/>
      <c r="IRD175" s="72"/>
      <c r="IRE175" s="72"/>
      <c r="IRF175" s="72"/>
      <c r="IRG175" s="72"/>
      <c r="IRH175" s="72"/>
      <c r="IRI175" s="72"/>
      <c r="IRJ175" s="72"/>
      <c r="IRK175" s="72"/>
      <c r="IRL175" s="72"/>
      <c r="IRM175" s="72"/>
      <c r="IRN175" s="72"/>
      <c r="IRO175" s="72"/>
      <c r="IRP175" s="72"/>
      <c r="IRQ175" s="72"/>
      <c r="IRR175" s="72"/>
      <c r="IRS175" s="72"/>
      <c r="IRT175" s="72"/>
      <c r="IRU175" s="72"/>
      <c r="IRV175" s="72"/>
      <c r="IRW175" s="72"/>
      <c r="IRX175" s="72"/>
      <c r="IRY175" s="72"/>
      <c r="IRZ175" s="72"/>
      <c r="ISA175" s="72"/>
      <c r="ISB175" s="72"/>
      <c r="ISC175" s="72"/>
      <c r="ISD175" s="72"/>
      <c r="ISE175" s="72"/>
      <c r="ISF175" s="72"/>
      <c r="ISG175" s="72"/>
      <c r="ISH175" s="72"/>
      <c r="ISI175" s="72"/>
      <c r="ISJ175" s="72"/>
      <c r="ISK175" s="72"/>
      <c r="ISL175" s="72"/>
      <c r="ISM175" s="72"/>
      <c r="ISN175" s="72"/>
      <c r="ISO175" s="72"/>
      <c r="ISP175" s="72"/>
      <c r="ISQ175" s="72"/>
      <c r="ISR175" s="72"/>
      <c r="ISS175" s="72"/>
      <c r="IST175" s="72"/>
      <c r="ISU175" s="72"/>
      <c r="ISV175" s="72"/>
      <c r="ISW175" s="72"/>
      <c r="ISX175" s="72"/>
      <c r="ISY175" s="72"/>
      <c r="ISZ175" s="72"/>
      <c r="ITA175" s="72"/>
      <c r="ITB175" s="72"/>
      <c r="ITC175" s="72"/>
      <c r="ITD175" s="72"/>
      <c r="ITE175" s="72"/>
      <c r="ITF175" s="72"/>
      <c r="ITG175" s="72"/>
      <c r="ITH175" s="72"/>
      <c r="ITI175" s="72"/>
      <c r="ITJ175" s="72"/>
      <c r="ITK175" s="72"/>
      <c r="ITL175" s="72"/>
      <c r="ITM175" s="72"/>
      <c r="ITN175" s="72"/>
      <c r="ITO175" s="72"/>
      <c r="ITP175" s="72"/>
      <c r="ITQ175" s="72"/>
      <c r="ITR175" s="72"/>
      <c r="ITS175" s="72"/>
      <c r="ITT175" s="72"/>
      <c r="ITU175" s="72"/>
      <c r="ITV175" s="72"/>
      <c r="ITW175" s="72"/>
      <c r="ITX175" s="72"/>
      <c r="ITY175" s="72"/>
      <c r="ITZ175" s="72"/>
      <c r="IUA175" s="72"/>
      <c r="IUB175" s="72"/>
      <c r="IUC175" s="72"/>
      <c r="IUD175" s="72"/>
      <c r="IUE175" s="72"/>
      <c r="IUF175" s="72"/>
      <c r="IUG175" s="72"/>
      <c r="IUH175" s="72"/>
      <c r="IUI175" s="72"/>
      <c r="IUJ175" s="72"/>
      <c r="IUK175" s="72"/>
      <c r="IUL175" s="72"/>
      <c r="IUM175" s="72"/>
      <c r="IUN175" s="72"/>
      <c r="IUO175" s="72"/>
      <c r="IUP175" s="72"/>
      <c r="IUQ175" s="72"/>
      <c r="IUR175" s="72"/>
      <c r="IUS175" s="72"/>
      <c r="IUT175" s="72"/>
      <c r="IUU175" s="72"/>
      <c r="IUV175" s="72"/>
      <c r="IUW175" s="72"/>
      <c r="IUX175" s="72"/>
      <c r="IUY175" s="72"/>
      <c r="IUZ175" s="72"/>
      <c r="IVA175" s="72"/>
      <c r="IVB175" s="72"/>
      <c r="IVC175" s="72"/>
      <c r="IVD175" s="72"/>
      <c r="IVE175" s="72"/>
      <c r="IVF175" s="72"/>
      <c r="IVG175" s="72"/>
      <c r="IVH175" s="72"/>
      <c r="IVI175" s="72"/>
      <c r="IVJ175" s="72"/>
      <c r="IVK175" s="72"/>
      <c r="IVL175" s="72"/>
      <c r="IVM175" s="72"/>
      <c r="IVN175" s="72"/>
      <c r="IVO175" s="72"/>
      <c r="IVP175" s="72"/>
      <c r="IVQ175" s="72"/>
      <c r="IVR175" s="72"/>
      <c r="IVS175" s="72"/>
      <c r="IVT175" s="72"/>
      <c r="IVU175" s="72"/>
      <c r="IVV175" s="72"/>
      <c r="IVW175" s="72"/>
      <c r="IVX175" s="72"/>
      <c r="IVY175" s="72"/>
      <c r="IVZ175" s="72"/>
      <c r="IWA175" s="72"/>
      <c r="IWB175" s="72"/>
      <c r="IWC175" s="72"/>
      <c r="IWD175" s="72"/>
      <c r="IWE175" s="72"/>
      <c r="IWF175" s="72"/>
      <c r="IWG175" s="72"/>
      <c r="IWH175" s="72"/>
      <c r="IWI175" s="72"/>
      <c r="IWJ175" s="72"/>
      <c r="IWK175" s="72"/>
      <c r="IWL175" s="72"/>
      <c r="IWM175" s="72"/>
      <c r="IWN175" s="72"/>
      <c r="IWO175" s="72"/>
      <c r="IWP175" s="72"/>
      <c r="IWQ175" s="72"/>
      <c r="IWR175" s="72"/>
      <c r="IWS175" s="72"/>
      <c r="IWT175" s="72"/>
      <c r="IWU175" s="72"/>
      <c r="IWV175" s="72"/>
      <c r="IWW175" s="72"/>
      <c r="IWX175" s="72"/>
      <c r="IWY175" s="72"/>
      <c r="IWZ175" s="72"/>
      <c r="IXA175" s="72"/>
      <c r="IXB175" s="72"/>
      <c r="IXC175" s="72"/>
      <c r="IXD175" s="72"/>
      <c r="IXE175" s="72"/>
      <c r="IXF175" s="72"/>
      <c r="IXG175" s="72"/>
      <c r="IXH175" s="72"/>
      <c r="IXI175" s="72"/>
      <c r="IXJ175" s="72"/>
      <c r="IXK175" s="72"/>
      <c r="IXL175" s="72"/>
      <c r="IXM175" s="72"/>
      <c r="IXN175" s="72"/>
      <c r="IXO175" s="72"/>
      <c r="IXP175" s="72"/>
      <c r="IXQ175" s="72"/>
      <c r="IXR175" s="72"/>
      <c r="IXS175" s="72"/>
      <c r="IXT175" s="72"/>
      <c r="IXU175" s="72"/>
      <c r="IXV175" s="72"/>
      <c r="IXW175" s="72"/>
      <c r="IXX175" s="72"/>
      <c r="IXY175" s="72"/>
      <c r="IXZ175" s="72"/>
      <c r="IYA175" s="72"/>
      <c r="IYB175" s="72"/>
      <c r="IYC175" s="72"/>
      <c r="IYD175" s="72"/>
      <c r="IYE175" s="72"/>
      <c r="IYF175" s="72"/>
      <c r="IYG175" s="72"/>
      <c r="IYH175" s="72"/>
      <c r="IYI175" s="72"/>
      <c r="IYJ175" s="72"/>
      <c r="IYK175" s="72"/>
      <c r="IYL175" s="72"/>
      <c r="IYM175" s="72"/>
      <c r="IYN175" s="72"/>
      <c r="IYO175" s="72"/>
      <c r="IYP175" s="72"/>
      <c r="IYQ175" s="72"/>
      <c r="IYR175" s="72"/>
      <c r="IYS175" s="72"/>
      <c r="IYT175" s="72"/>
      <c r="IYU175" s="72"/>
      <c r="IYV175" s="72"/>
      <c r="IYW175" s="72"/>
      <c r="IYX175" s="72"/>
      <c r="IYY175" s="72"/>
      <c r="IYZ175" s="72"/>
      <c r="IZA175" s="72"/>
      <c r="IZB175" s="72"/>
      <c r="IZC175" s="72"/>
      <c r="IZD175" s="72"/>
      <c r="IZE175" s="72"/>
      <c r="IZF175" s="72"/>
      <c r="IZG175" s="72"/>
      <c r="IZH175" s="72"/>
      <c r="IZI175" s="72"/>
      <c r="IZJ175" s="72"/>
      <c r="IZK175" s="72"/>
      <c r="IZL175" s="72"/>
      <c r="IZM175" s="72"/>
      <c r="IZN175" s="72"/>
      <c r="IZO175" s="72"/>
      <c r="IZP175" s="72"/>
      <c r="IZQ175" s="72"/>
      <c r="IZR175" s="72"/>
      <c r="IZS175" s="72"/>
      <c r="IZT175" s="72"/>
      <c r="IZU175" s="72"/>
      <c r="IZV175" s="72"/>
      <c r="IZW175" s="72"/>
      <c r="IZX175" s="72"/>
      <c r="IZY175" s="72"/>
      <c r="IZZ175" s="72"/>
      <c r="JAA175" s="72"/>
      <c r="JAB175" s="72"/>
      <c r="JAC175" s="72"/>
      <c r="JAD175" s="72"/>
      <c r="JAE175" s="72"/>
      <c r="JAF175" s="72"/>
      <c r="JAG175" s="72"/>
      <c r="JAH175" s="72"/>
      <c r="JAI175" s="72"/>
      <c r="JAJ175" s="72"/>
      <c r="JAK175" s="72"/>
      <c r="JAL175" s="72"/>
      <c r="JAM175" s="72"/>
      <c r="JAN175" s="72"/>
      <c r="JAO175" s="72"/>
      <c r="JAP175" s="72"/>
      <c r="JAQ175" s="72"/>
      <c r="JAR175" s="72"/>
      <c r="JAS175" s="72"/>
      <c r="JAT175" s="72"/>
      <c r="JAU175" s="72"/>
      <c r="JAV175" s="72"/>
      <c r="JAW175" s="72"/>
      <c r="JAX175" s="72"/>
      <c r="JAY175" s="72"/>
      <c r="JAZ175" s="72"/>
      <c r="JBA175" s="72"/>
      <c r="JBB175" s="72"/>
      <c r="JBC175" s="72"/>
      <c r="JBD175" s="72"/>
      <c r="JBE175" s="72"/>
      <c r="JBF175" s="72"/>
      <c r="JBG175" s="72"/>
      <c r="JBH175" s="72"/>
      <c r="JBI175" s="72"/>
      <c r="JBJ175" s="72"/>
      <c r="JBK175" s="72"/>
      <c r="JBL175" s="72"/>
      <c r="JBM175" s="72"/>
      <c r="JBN175" s="72"/>
      <c r="JBO175" s="72"/>
      <c r="JBP175" s="72"/>
      <c r="JBQ175" s="72"/>
      <c r="JBR175" s="72"/>
      <c r="JBS175" s="72"/>
      <c r="JBT175" s="72"/>
      <c r="JBU175" s="72"/>
      <c r="JBV175" s="72"/>
      <c r="JBW175" s="72"/>
      <c r="JBX175" s="72"/>
      <c r="JBY175" s="72"/>
      <c r="JBZ175" s="72"/>
      <c r="JCA175" s="72"/>
      <c r="JCB175" s="72"/>
      <c r="JCC175" s="72"/>
      <c r="JCD175" s="72"/>
      <c r="JCE175" s="72"/>
      <c r="JCF175" s="72"/>
      <c r="JCG175" s="72"/>
      <c r="JCH175" s="72"/>
      <c r="JCI175" s="72"/>
      <c r="JCJ175" s="72"/>
      <c r="JCK175" s="72"/>
      <c r="JCL175" s="72"/>
      <c r="JCM175" s="72"/>
      <c r="JCN175" s="72"/>
      <c r="JCO175" s="72"/>
      <c r="JCP175" s="72"/>
      <c r="JCQ175" s="72"/>
      <c r="JCR175" s="72"/>
      <c r="JCS175" s="72"/>
      <c r="JCT175" s="72"/>
      <c r="JCU175" s="72"/>
      <c r="JCV175" s="72"/>
      <c r="JCW175" s="72"/>
      <c r="JCX175" s="72"/>
      <c r="JCY175" s="72"/>
      <c r="JCZ175" s="72"/>
      <c r="JDA175" s="72"/>
      <c r="JDB175" s="72"/>
      <c r="JDC175" s="72"/>
      <c r="JDD175" s="72"/>
      <c r="JDE175" s="72"/>
      <c r="JDF175" s="72"/>
      <c r="JDG175" s="72"/>
      <c r="JDH175" s="72"/>
      <c r="JDI175" s="72"/>
      <c r="JDJ175" s="72"/>
      <c r="JDK175" s="72"/>
      <c r="JDL175" s="72"/>
      <c r="JDM175" s="72"/>
      <c r="JDN175" s="72"/>
      <c r="JDO175" s="72"/>
      <c r="JDP175" s="72"/>
      <c r="JDQ175" s="72"/>
      <c r="JDR175" s="72"/>
      <c r="JDS175" s="72"/>
      <c r="JDT175" s="72"/>
      <c r="JDU175" s="72"/>
      <c r="JDV175" s="72"/>
      <c r="JDW175" s="72"/>
      <c r="JDX175" s="72"/>
      <c r="JDY175" s="72"/>
      <c r="JDZ175" s="72"/>
      <c r="JEA175" s="72"/>
      <c r="JEB175" s="72"/>
      <c r="JEC175" s="72"/>
      <c r="JED175" s="72"/>
      <c r="JEE175" s="72"/>
      <c r="JEF175" s="72"/>
      <c r="JEG175" s="72"/>
      <c r="JEH175" s="72"/>
      <c r="JEI175" s="72"/>
      <c r="JEJ175" s="72"/>
      <c r="JEK175" s="72"/>
      <c r="JEL175" s="72"/>
      <c r="JEM175" s="72"/>
      <c r="JEN175" s="72"/>
      <c r="JEO175" s="72"/>
      <c r="JEP175" s="72"/>
      <c r="JEQ175" s="72"/>
      <c r="JER175" s="72"/>
      <c r="JES175" s="72"/>
      <c r="JET175" s="72"/>
      <c r="JEU175" s="72"/>
      <c r="JEV175" s="72"/>
      <c r="JEW175" s="72"/>
      <c r="JEX175" s="72"/>
      <c r="JEY175" s="72"/>
      <c r="JEZ175" s="72"/>
      <c r="JFA175" s="72"/>
      <c r="JFB175" s="72"/>
      <c r="JFC175" s="72"/>
      <c r="JFD175" s="72"/>
      <c r="JFE175" s="72"/>
      <c r="JFF175" s="72"/>
      <c r="JFG175" s="72"/>
      <c r="JFH175" s="72"/>
      <c r="JFI175" s="72"/>
      <c r="JFJ175" s="72"/>
      <c r="JFK175" s="72"/>
      <c r="JFL175" s="72"/>
      <c r="JFM175" s="72"/>
      <c r="JFN175" s="72"/>
      <c r="JFO175" s="72"/>
      <c r="JFP175" s="72"/>
      <c r="JFQ175" s="72"/>
      <c r="JFR175" s="72"/>
      <c r="JFS175" s="72"/>
      <c r="JFT175" s="72"/>
      <c r="JFU175" s="72"/>
      <c r="JFV175" s="72"/>
      <c r="JFW175" s="72"/>
      <c r="JFX175" s="72"/>
      <c r="JFY175" s="72"/>
      <c r="JFZ175" s="72"/>
      <c r="JGA175" s="72"/>
      <c r="JGB175" s="72"/>
      <c r="JGC175" s="72"/>
      <c r="JGD175" s="72"/>
      <c r="JGE175" s="72"/>
      <c r="JGF175" s="72"/>
      <c r="JGG175" s="72"/>
      <c r="JGH175" s="72"/>
      <c r="JGI175" s="72"/>
      <c r="JGJ175" s="72"/>
      <c r="JGK175" s="72"/>
      <c r="JGL175" s="72"/>
      <c r="JGM175" s="72"/>
      <c r="JGN175" s="72"/>
      <c r="JGO175" s="72"/>
      <c r="JGP175" s="72"/>
      <c r="JGQ175" s="72"/>
      <c r="JGR175" s="72"/>
      <c r="JGS175" s="72"/>
      <c r="JGT175" s="72"/>
      <c r="JGU175" s="72"/>
      <c r="JGV175" s="72"/>
      <c r="JGW175" s="72"/>
      <c r="JGX175" s="72"/>
      <c r="JGY175" s="72"/>
      <c r="JGZ175" s="72"/>
      <c r="JHA175" s="72"/>
      <c r="JHB175" s="72"/>
      <c r="JHC175" s="72"/>
      <c r="JHD175" s="72"/>
      <c r="JHE175" s="72"/>
      <c r="JHF175" s="72"/>
      <c r="JHG175" s="72"/>
      <c r="JHH175" s="72"/>
      <c r="JHI175" s="72"/>
      <c r="JHJ175" s="72"/>
      <c r="JHK175" s="72"/>
      <c r="JHL175" s="72"/>
      <c r="JHM175" s="72"/>
      <c r="JHN175" s="72"/>
      <c r="JHO175" s="72"/>
      <c r="JHP175" s="72"/>
      <c r="JHQ175" s="72"/>
      <c r="JHR175" s="72"/>
      <c r="JHS175" s="72"/>
      <c r="JHT175" s="72"/>
      <c r="JHU175" s="72"/>
      <c r="JHV175" s="72"/>
      <c r="JHW175" s="72"/>
      <c r="JHX175" s="72"/>
      <c r="JHY175" s="72"/>
      <c r="JHZ175" s="72"/>
      <c r="JIA175" s="72"/>
      <c r="JIB175" s="72"/>
      <c r="JIC175" s="72"/>
      <c r="JID175" s="72"/>
      <c r="JIE175" s="72"/>
      <c r="JIF175" s="72"/>
      <c r="JIG175" s="72"/>
      <c r="JIH175" s="72"/>
      <c r="JII175" s="72"/>
      <c r="JIJ175" s="72"/>
      <c r="JIK175" s="72"/>
      <c r="JIL175" s="72"/>
      <c r="JIM175" s="72"/>
      <c r="JIN175" s="72"/>
      <c r="JIO175" s="72"/>
      <c r="JIP175" s="72"/>
      <c r="JIQ175" s="72"/>
      <c r="JIR175" s="72"/>
      <c r="JIS175" s="72"/>
      <c r="JIT175" s="72"/>
      <c r="JIU175" s="72"/>
      <c r="JIV175" s="72"/>
      <c r="JIW175" s="72"/>
      <c r="JIX175" s="72"/>
      <c r="JIY175" s="72"/>
      <c r="JIZ175" s="72"/>
      <c r="JJA175" s="72"/>
      <c r="JJB175" s="72"/>
      <c r="JJC175" s="72"/>
      <c r="JJD175" s="72"/>
      <c r="JJE175" s="72"/>
      <c r="JJF175" s="72"/>
      <c r="JJG175" s="72"/>
      <c r="JJH175" s="72"/>
      <c r="JJI175" s="72"/>
      <c r="JJJ175" s="72"/>
      <c r="JJK175" s="72"/>
      <c r="JJL175" s="72"/>
      <c r="JJM175" s="72"/>
      <c r="JJN175" s="72"/>
      <c r="JJO175" s="72"/>
      <c r="JJP175" s="72"/>
      <c r="JJQ175" s="72"/>
      <c r="JJR175" s="72"/>
      <c r="JJS175" s="72"/>
      <c r="JJT175" s="72"/>
      <c r="JJU175" s="72"/>
      <c r="JJV175" s="72"/>
      <c r="JJW175" s="72"/>
      <c r="JJX175" s="72"/>
      <c r="JJY175" s="72"/>
      <c r="JJZ175" s="72"/>
      <c r="JKA175" s="72"/>
      <c r="JKB175" s="72"/>
      <c r="JKC175" s="72"/>
      <c r="JKD175" s="72"/>
      <c r="JKE175" s="72"/>
      <c r="JKF175" s="72"/>
      <c r="JKG175" s="72"/>
      <c r="JKH175" s="72"/>
      <c r="JKI175" s="72"/>
      <c r="JKJ175" s="72"/>
      <c r="JKK175" s="72"/>
      <c r="JKL175" s="72"/>
      <c r="JKM175" s="72"/>
      <c r="JKN175" s="72"/>
      <c r="JKO175" s="72"/>
      <c r="JKP175" s="72"/>
      <c r="JKQ175" s="72"/>
      <c r="JKR175" s="72"/>
      <c r="JKS175" s="72"/>
      <c r="JKT175" s="72"/>
      <c r="JKU175" s="72"/>
      <c r="JKV175" s="72"/>
      <c r="JKW175" s="72"/>
      <c r="JKX175" s="72"/>
      <c r="JKY175" s="72"/>
      <c r="JKZ175" s="72"/>
      <c r="JLA175" s="72"/>
      <c r="JLB175" s="72"/>
      <c r="JLC175" s="72"/>
      <c r="JLD175" s="72"/>
      <c r="JLE175" s="72"/>
      <c r="JLF175" s="72"/>
      <c r="JLG175" s="72"/>
      <c r="JLH175" s="72"/>
      <c r="JLI175" s="72"/>
      <c r="JLJ175" s="72"/>
      <c r="JLK175" s="72"/>
      <c r="JLL175" s="72"/>
      <c r="JLM175" s="72"/>
      <c r="JLN175" s="72"/>
      <c r="JLO175" s="72"/>
      <c r="JLP175" s="72"/>
      <c r="JLQ175" s="72"/>
      <c r="JLR175" s="72"/>
      <c r="JLS175" s="72"/>
      <c r="JLT175" s="72"/>
      <c r="JLU175" s="72"/>
      <c r="JLV175" s="72"/>
      <c r="JLW175" s="72"/>
      <c r="JLX175" s="72"/>
      <c r="JLY175" s="72"/>
      <c r="JLZ175" s="72"/>
      <c r="JMA175" s="72"/>
      <c r="JMB175" s="72"/>
      <c r="JMC175" s="72"/>
      <c r="JMD175" s="72"/>
      <c r="JME175" s="72"/>
      <c r="JMF175" s="72"/>
      <c r="JMG175" s="72"/>
      <c r="JMH175" s="72"/>
      <c r="JMI175" s="72"/>
      <c r="JMJ175" s="72"/>
      <c r="JMK175" s="72"/>
      <c r="JML175" s="72"/>
      <c r="JMM175" s="72"/>
      <c r="JMN175" s="72"/>
      <c r="JMO175" s="72"/>
      <c r="JMP175" s="72"/>
      <c r="JMQ175" s="72"/>
      <c r="JMR175" s="72"/>
      <c r="JMS175" s="72"/>
      <c r="JMT175" s="72"/>
      <c r="JMU175" s="72"/>
      <c r="JMV175" s="72"/>
      <c r="JMW175" s="72"/>
      <c r="JMX175" s="72"/>
      <c r="JMY175" s="72"/>
      <c r="JMZ175" s="72"/>
      <c r="JNA175" s="72"/>
      <c r="JNB175" s="72"/>
      <c r="JNC175" s="72"/>
      <c r="JND175" s="72"/>
      <c r="JNE175" s="72"/>
      <c r="JNF175" s="72"/>
      <c r="JNG175" s="72"/>
      <c r="JNH175" s="72"/>
      <c r="JNI175" s="72"/>
      <c r="JNJ175" s="72"/>
      <c r="JNK175" s="72"/>
      <c r="JNL175" s="72"/>
      <c r="JNM175" s="72"/>
      <c r="JNN175" s="72"/>
      <c r="JNO175" s="72"/>
      <c r="JNP175" s="72"/>
      <c r="JNQ175" s="72"/>
      <c r="JNR175" s="72"/>
      <c r="JNS175" s="72"/>
      <c r="JNT175" s="72"/>
      <c r="JNU175" s="72"/>
      <c r="JNV175" s="72"/>
      <c r="JNW175" s="72"/>
      <c r="JNX175" s="72"/>
      <c r="JNY175" s="72"/>
      <c r="JNZ175" s="72"/>
      <c r="JOA175" s="72"/>
      <c r="JOB175" s="72"/>
      <c r="JOC175" s="72"/>
      <c r="JOD175" s="72"/>
      <c r="JOE175" s="72"/>
      <c r="JOF175" s="72"/>
      <c r="JOG175" s="72"/>
      <c r="JOH175" s="72"/>
      <c r="JOI175" s="72"/>
      <c r="JOJ175" s="72"/>
      <c r="JOK175" s="72"/>
      <c r="JOL175" s="72"/>
      <c r="JOM175" s="72"/>
      <c r="JON175" s="72"/>
      <c r="JOO175" s="72"/>
      <c r="JOP175" s="72"/>
      <c r="JOQ175" s="72"/>
      <c r="JOR175" s="72"/>
      <c r="JOS175" s="72"/>
      <c r="JOT175" s="72"/>
      <c r="JOU175" s="72"/>
      <c r="JOV175" s="72"/>
      <c r="JOW175" s="72"/>
      <c r="JOX175" s="72"/>
      <c r="JOY175" s="72"/>
      <c r="JOZ175" s="72"/>
      <c r="JPA175" s="72"/>
      <c r="JPB175" s="72"/>
      <c r="JPC175" s="72"/>
      <c r="JPD175" s="72"/>
      <c r="JPE175" s="72"/>
      <c r="JPF175" s="72"/>
      <c r="JPG175" s="72"/>
      <c r="JPH175" s="72"/>
      <c r="JPI175" s="72"/>
      <c r="JPJ175" s="72"/>
      <c r="JPK175" s="72"/>
      <c r="JPL175" s="72"/>
      <c r="JPM175" s="72"/>
      <c r="JPN175" s="72"/>
      <c r="JPO175" s="72"/>
      <c r="JPP175" s="72"/>
      <c r="JPQ175" s="72"/>
      <c r="JPR175" s="72"/>
      <c r="JPS175" s="72"/>
      <c r="JPT175" s="72"/>
      <c r="JPU175" s="72"/>
      <c r="JPV175" s="72"/>
      <c r="JPW175" s="72"/>
      <c r="JPX175" s="72"/>
      <c r="JPY175" s="72"/>
      <c r="JPZ175" s="72"/>
      <c r="JQA175" s="72"/>
      <c r="JQB175" s="72"/>
      <c r="JQC175" s="72"/>
      <c r="JQD175" s="72"/>
      <c r="JQE175" s="72"/>
      <c r="JQF175" s="72"/>
      <c r="JQG175" s="72"/>
      <c r="JQH175" s="72"/>
      <c r="JQI175" s="72"/>
      <c r="JQJ175" s="72"/>
      <c r="JQK175" s="72"/>
      <c r="JQL175" s="72"/>
      <c r="JQM175" s="72"/>
      <c r="JQN175" s="72"/>
      <c r="JQO175" s="72"/>
      <c r="JQP175" s="72"/>
      <c r="JQQ175" s="72"/>
      <c r="JQR175" s="72"/>
      <c r="JQS175" s="72"/>
      <c r="JQT175" s="72"/>
      <c r="JQU175" s="72"/>
      <c r="JQV175" s="72"/>
      <c r="JQW175" s="72"/>
      <c r="JQX175" s="72"/>
      <c r="JQY175" s="72"/>
      <c r="JQZ175" s="72"/>
      <c r="JRA175" s="72"/>
      <c r="JRB175" s="72"/>
      <c r="JRC175" s="72"/>
      <c r="JRD175" s="72"/>
      <c r="JRE175" s="72"/>
      <c r="JRF175" s="72"/>
      <c r="JRG175" s="72"/>
      <c r="JRH175" s="72"/>
      <c r="JRI175" s="72"/>
      <c r="JRJ175" s="72"/>
      <c r="JRK175" s="72"/>
      <c r="JRL175" s="72"/>
      <c r="JRM175" s="72"/>
      <c r="JRN175" s="72"/>
      <c r="JRO175" s="72"/>
      <c r="JRP175" s="72"/>
      <c r="JRQ175" s="72"/>
      <c r="JRR175" s="72"/>
      <c r="JRS175" s="72"/>
      <c r="JRT175" s="72"/>
      <c r="JRU175" s="72"/>
      <c r="JRV175" s="72"/>
      <c r="JRW175" s="72"/>
      <c r="JRX175" s="72"/>
      <c r="JRY175" s="72"/>
      <c r="JRZ175" s="72"/>
      <c r="JSA175" s="72"/>
      <c r="JSB175" s="72"/>
      <c r="JSC175" s="72"/>
      <c r="JSD175" s="72"/>
      <c r="JSE175" s="72"/>
      <c r="JSF175" s="72"/>
      <c r="JSG175" s="72"/>
      <c r="JSH175" s="72"/>
      <c r="JSI175" s="72"/>
      <c r="JSJ175" s="72"/>
      <c r="JSK175" s="72"/>
      <c r="JSL175" s="72"/>
      <c r="JSM175" s="72"/>
      <c r="JSN175" s="72"/>
      <c r="JSO175" s="72"/>
      <c r="JSP175" s="72"/>
      <c r="JSQ175" s="72"/>
      <c r="JSR175" s="72"/>
      <c r="JSS175" s="72"/>
      <c r="JST175" s="72"/>
      <c r="JSU175" s="72"/>
      <c r="JSV175" s="72"/>
      <c r="JSW175" s="72"/>
      <c r="JSX175" s="72"/>
      <c r="JSY175" s="72"/>
      <c r="JSZ175" s="72"/>
      <c r="JTA175" s="72"/>
      <c r="JTB175" s="72"/>
      <c r="JTC175" s="72"/>
      <c r="JTD175" s="72"/>
      <c r="JTE175" s="72"/>
      <c r="JTF175" s="72"/>
      <c r="JTG175" s="72"/>
      <c r="JTH175" s="72"/>
      <c r="JTI175" s="72"/>
      <c r="JTJ175" s="72"/>
      <c r="JTK175" s="72"/>
      <c r="JTL175" s="72"/>
      <c r="JTM175" s="72"/>
      <c r="JTN175" s="72"/>
      <c r="JTO175" s="72"/>
      <c r="JTP175" s="72"/>
      <c r="JTQ175" s="72"/>
      <c r="JTR175" s="72"/>
      <c r="JTS175" s="72"/>
      <c r="JTT175" s="72"/>
      <c r="JTU175" s="72"/>
      <c r="JTV175" s="72"/>
      <c r="JTW175" s="72"/>
      <c r="JTX175" s="72"/>
      <c r="JTY175" s="72"/>
      <c r="JTZ175" s="72"/>
      <c r="JUA175" s="72"/>
      <c r="JUB175" s="72"/>
      <c r="JUC175" s="72"/>
      <c r="JUD175" s="72"/>
      <c r="JUE175" s="72"/>
      <c r="JUF175" s="72"/>
      <c r="JUG175" s="72"/>
      <c r="JUH175" s="72"/>
      <c r="JUI175" s="72"/>
      <c r="JUJ175" s="72"/>
      <c r="JUK175" s="72"/>
      <c r="JUL175" s="72"/>
      <c r="JUM175" s="72"/>
      <c r="JUN175" s="72"/>
      <c r="JUO175" s="72"/>
      <c r="JUP175" s="72"/>
      <c r="JUQ175" s="72"/>
      <c r="JUR175" s="72"/>
      <c r="JUS175" s="72"/>
      <c r="JUT175" s="72"/>
      <c r="JUU175" s="72"/>
      <c r="JUV175" s="72"/>
      <c r="JUW175" s="72"/>
      <c r="JUX175" s="72"/>
      <c r="JUY175" s="72"/>
      <c r="JUZ175" s="72"/>
      <c r="JVA175" s="72"/>
      <c r="JVB175" s="72"/>
      <c r="JVC175" s="72"/>
      <c r="JVD175" s="72"/>
      <c r="JVE175" s="72"/>
      <c r="JVF175" s="72"/>
      <c r="JVG175" s="72"/>
      <c r="JVH175" s="72"/>
      <c r="JVI175" s="72"/>
      <c r="JVJ175" s="72"/>
      <c r="JVK175" s="72"/>
      <c r="JVL175" s="72"/>
      <c r="JVM175" s="72"/>
      <c r="JVN175" s="72"/>
      <c r="JVO175" s="72"/>
      <c r="JVP175" s="72"/>
      <c r="JVQ175" s="72"/>
      <c r="JVR175" s="72"/>
      <c r="JVS175" s="72"/>
      <c r="JVT175" s="72"/>
      <c r="JVU175" s="72"/>
      <c r="JVV175" s="72"/>
      <c r="JVW175" s="72"/>
      <c r="JVX175" s="72"/>
      <c r="JVY175" s="72"/>
      <c r="JVZ175" s="72"/>
      <c r="JWA175" s="72"/>
      <c r="JWB175" s="72"/>
      <c r="JWC175" s="72"/>
      <c r="JWD175" s="72"/>
      <c r="JWE175" s="72"/>
      <c r="JWF175" s="72"/>
      <c r="JWG175" s="72"/>
      <c r="JWH175" s="72"/>
      <c r="JWI175" s="72"/>
      <c r="JWJ175" s="72"/>
      <c r="JWK175" s="72"/>
      <c r="JWL175" s="72"/>
      <c r="JWM175" s="72"/>
      <c r="JWN175" s="72"/>
      <c r="JWO175" s="72"/>
      <c r="JWP175" s="72"/>
      <c r="JWQ175" s="72"/>
      <c r="JWR175" s="72"/>
      <c r="JWS175" s="72"/>
      <c r="JWT175" s="72"/>
      <c r="JWU175" s="72"/>
      <c r="JWV175" s="72"/>
      <c r="JWW175" s="72"/>
      <c r="JWX175" s="72"/>
      <c r="JWY175" s="72"/>
      <c r="JWZ175" s="72"/>
      <c r="JXA175" s="72"/>
      <c r="JXB175" s="72"/>
      <c r="JXC175" s="72"/>
      <c r="JXD175" s="72"/>
      <c r="JXE175" s="72"/>
      <c r="JXF175" s="72"/>
      <c r="JXG175" s="72"/>
      <c r="JXH175" s="72"/>
      <c r="JXI175" s="72"/>
      <c r="JXJ175" s="72"/>
      <c r="JXK175" s="72"/>
      <c r="JXL175" s="72"/>
      <c r="JXM175" s="72"/>
      <c r="JXN175" s="72"/>
      <c r="JXO175" s="72"/>
      <c r="JXP175" s="72"/>
      <c r="JXQ175" s="72"/>
      <c r="JXR175" s="72"/>
      <c r="JXS175" s="72"/>
      <c r="JXT175" s="72"/>
      <c r="JXU175" s="72"/>
      <c r="JXV175" s="72"/>
      <c r="JXW175" s="72"/>
      <c r="JXX175" s="72"/>
      <c r="JXY175" s="72"/>
      <c r="JXZ175" s="72"/>
      <c r="JYA175" s="72"/>
      <c r="JYB175" s="72"/>
      <c r="JYC175" s="72"/>
      <c r="JYD175" s="72"/>
      <c r="JYE175" s="72"/>
      <c r="JYF175" s="72"/>
      <c r="JYG175" s="72"/>
      <c r="JYH175" s="72"/>
      <c r="JYI175" s="72"/>
      <c r="JYJ175" s="72"/>
      <c r="JYK175" s="72"/>
      <c r="JYL175" s="72"/>
      <c r="JYM175" s="72"/>
      <c r="JYN175" s="72"/>
      <c r="JYO175" s="72"/>
      <c r="JYP175" s="72"/>
      <c r="JYQ175" s="72"/>
      <c r="JYR175" s="72"/>
      <c r="JYS175" s="72"/>
      <c r="JYT175" s="72"/>
      <c r="JYU175" s="72"/>
      <c r="JYV175" s="72"/>
      <c r="JYW175" s="72"/>
      <c r="JYX175" s="72"/>
      <c r="JYY175" s="72"/>
      <c r="JYZ175" s="72"/>
      <c r="JZA175" s="72"/>
      <c r="JZB175" s="72"/>
      <c r="JZC175" s="72"/>
      <c r="JZD175" s="72"/>
      <c r="JZE175" s="72"/>
      <c r="JZF175" s="72"/>
      <c r="JZG175" s="72"/>
      <c r="JZH175" s="72"/>
      <c r="JZI175" s="72"/>
      <c r="JZJ175" s="72"/>
      <c r="JZK175" s="72"/>
      <c r="JZL175" s="72"/>
      <c r="JZM175" s="72"/>
      <c r="JZN175" s="72"/>
      <c r="JZO175" s="72"/>
      <c r="JZP175" s="72"/>
      <c r="JZQ175" s="72"/>
      <c r="JZR175" s="72"/>
      <c r="JZS175" s="72"/>
      <c r="JZT175" s="72"/>
      <c r="JZU175" s="72"/>
      <c r="JZV175" s="72"/>
      <c r="JZW175" s="72"/>
      <c r="JZX175" s="72"/>
      <c r="JZY175" s="72"/>
      <c r="JZZ175" s="72"/>
      <c r="KAA175" s="72"/>
      <c r="KAB175" s="72"/>
      <c r="KAC175" s="72"/>
      <c r="KAD175" s="72"/>
      <c r="KAE175" s="72"/>
      <c r="KAF175" s="72"/>
      <c r="KAG175" s="72"/>
      <c r="KAH175" s="72"/>
      <c r="KAI175" s="72"/>
      <c r="KAJ175" s="72"/>
      <c r="KAK175" s="72"/>
      <c r="KAL175" s="72"/>
      <c r="KAM175" s="72"/>
      <c r="KAN175" s="72"/>
      <c r="KAO175" s="72"/>
      <c r="KAP175" s="72"/>
      <c r="KAQ175" s="72"/>
      <c r="KAR175" s="72"/>
      <c r="KAS175" s="72"/>
      <c r="KAT175" s="72"/>
      <c r="KAU175" s="72"/>
      <c r="KAV175" s="72"/>
      <c r="KAW175" s="72"/>
      <c r="KAX175" s="72"/>
      <c r="KAY175" s="72"/>
      <c r="KAZ175" s="72"/>
      <c r="KBA175" s="72"/>
      <c r="KBB175" s="72"/>
      <c r="KBC175" s="72"/>
      <c r="KBD175" s="72"/>
      <c r="KBE175" s="72"/>
      <c r="KBF175" s="72"/>
      <c r="KBG175" s="72"/>
      <c r="KBH175" s="72"/>
      <c r="KBI175" s="72"/>
      <c r="KBJ175" s="72"/>
      <c r="KBK175" s="72"/>
      <c r="KBL175" s="72"/>
      <c r="KBM175" s="72"/>
      <c r="KBN175" s="72"/>
      <c r="KBO175" s="72"/>
      <c r="KBP175" s="72"/>
      <c r="KBQ175" s="72"/>
      <c r="KBR175" s="72"/>
      <c r="KBS175" s="72"/>
      <c r="KBT175" s="72"/>
      <c r="KBU175" s="72"/>
      <c r="KBV175" s="72"/>
      <c r="KBW175" s="72"/>
      <c r="KBX175" s="72"/>
      <c r="KBY175" s="72"/>
      <c r="KBZ175" s="72"/>
      <c r="KCA175" s="72"/>
      <c r="KCB175" s="72"/>
      <c r="KCC175" s="72"/>
      <c r="KCD175" s="72"/>
      <c r="KCE175" s="72"/>
      <c r="KCF175" s="72"/>
      <c r="KCG175" s="72"/>
      <c r="KCH175" s="72"/>
      <c r="KCI175" s="72"/>
      <c r="KCJ175" s="72"/>
      <c r="KCK175" s="72"/>
      <c r="KCL175" s="72"/>
      <c r="KCM175" s="72"/>
      <c r="KCN175" s="72"/>
      <c r="KCO175" s="72"/>
      <c r="KCP175" s="72"/>
      <c r="KCQ175" s="72"/>
      <c r="KCR175" s="72"/>
      <c r="KCS175" s="72"/>
      <c r="KCT175" s="72"/>
      <c r="KCU175" s="72"/>
      <c r="KCV175" s="72"/>
      <c r="KCW175" s="72"/>
      <c r="KCX175" s="72"/>
      <c r="KCY175" s="72"/>
      <c r="KCZ175" s="72"/>
      <c r="KDA175" s="72"/>
      <c r="KDB175" s="72"/>
      <c r="KDC175" s="72"/>
      <c r="KDD175" s="72"/>
      <c r="KDE175" s="72"/>
      <c r="KDF175" s="72"/>
      <c r="KDG175" s="72"/>
      <c r="KDH175" s="72"/>
      <c r="KDI175" s="72"/>
      <c r="KDJ175" s="72"/>
      <c r="KDK175" s="72"/>
      <c r="KDL175" s="72"/>
      <c r="KDM175" s="72"/>
      <c r="KDN175" s="72"/>
      <c r="KDO175" s="72"/>
      <c r="KDP175" s="72"/>
      <c r="KDQ175" s="72"/>
      <c r="KDR175" s="72"/>
      <c r="KDS175" s="72"/>
      <c r="KDT175" s="72"/>
      <c r="KDU175" s="72"/>
      <c r="KDV175" s="72"/>
      <c r="KDW175" s="72"/>
      <c r="KDX175" s="72"/>
      <c r="KDY175" s="72"/>
      <c r="KDZ175" s="72"/>
      <c r="KEA175" s="72"/>
      <c r="KEB175" s="72"/>
      <c r="KEC175" s="72"/>
      <c r="KED175" s="72"/>
      <c r="KEE175" s="72"/>
      <c r="KEF175" s="72"/>
      <c r="KEG175" s="72"/>
      <c r="KEH175" s="72"/>
      <c r="KEI175" s="72"/>
      <c r="KEJ175" s="72"/>
      <c r="KEK175" s="72"/>
      <c r="KEL175" s="72"/>
      <c r="KEM175" s="72"/>
      <c r="KEN175" s="72"/>
      <c r="KEO175" s="72"/>
      <c r="KEP175" s="72"/>
      <c r="KEQ175" s="72"/>
      <c r="KER175" s="72"/>
      <c r="KES175" s="72"/>
      <c r="KET175" s="72"/>
      <c r="KEU175" s="72"/>
      <c r="KEV175" s="72"/>
      <c r="KEW175" s="72"/>
      <c r="KEX175" s="72"/>
      <c r="KEY175" s="72"/>
      <c r="KEZ175" s="72"/>
      <c r="KFA175" s="72"/>
      <c r="KFB175" s="72"/>
      <c r="KFC175" s="72"/>
      <c r="KFD175" s="72"/>
      <c r="KFE175" s="72"/>
      <c r="KFF175" s="72"/>
      <c r="KFG175" s="72"/>
      <c r="KFH175" s="72"/>
      <c r="KFI175" s="72"/>
      <c r="KFJ175" s="72"/>
      <c r="KFK175" s="72"/>
      <c r="KFL175" s="72"/>
      <c r="KFM175" s="72"/>
      <c r="KFN175" s="72"/>
      <c r="KFO175" s="72"/>
      <c r="KFP175" s="72"/>
      <c r="KFQ175" s="72"/>
      <c r="KFR175" s="72"/>
      <c r="KFS175" s="72"/>
      <c r="KFT175" s="72"/>
      <c r="KFU175" s="72"/>
      <c r="KFV175" s="72"/>
      <c r="KFW175" s="72"/>
      <c r="KFX175" s="72"/>
      <c r="KFY175" s="72"/>
      <c r="KFZ175" s="72"/>
      <c r="KGA175" s="72"/>
      <c r="KGB175" s="72"/>
      <c r="KGC175" s="72"/>
      <c r="KGD175" s="72"/>
      <c r="KGE175" s="72"/>
      <c r="KGF175" s="72"/>
      <c r="KGG175" s="72"/>
      <c r="KGH175" s="72"/>
      <c r="KGI175" s="72"/>
      <c r="KGJ175" s="72"/>
      <c r="KGK175" s="72"/>
      <c r="KGL175" s="72"/>
      <c r="KGM175" s="72"/>
      <c r="KGN175" s="72"/>
      <c r="KGO175" s="72"/>
      <c r="KGP175" s="72"/>
      <c r="KGQ175" s="72"/>
      <c r="KGR175" s="72"/>
      <c r="KGS175" s="72"/>
      <c r="KGT175" s="72"/>
      <c r="KGU175" s="72"/>
      <c r="KGV175" s="72"/>
      <c r="KGW175" s="72"/>
      <c r="KGX175" s="72"/>
      <c r="KGY175" s="72"/>
      <c r="KGZ175" s="72"/>
      <c r="KHA175" s="72"/>
      <c r="KHB175" s="72"/>
      <c r="KHC175" s="72"/>
      <c r="KHD175" s="72"/>
      <c r="KHE175" s="72"/>
      <c r="KHF175" s="72"/>
      <c r="KHG175" s="72"/>
      <c r="KHH175" s="72"/>
      <c r="KHI175" s="72"/>
      <c r="KHJ175" s="72"/>
      <c r="KHK175" s="72"/>
      <c r="KHL175" s="72"/>
      <c r="KHM175" s="72"/>
      <c r="KHN175" s="72"/>
      <c r="KHO175" s="72"/>
      <c r="KHP175" s="72"/>
      <c r="KHQ175" s="72"/>
      <c r="KHR175" s="72"/>
      <c r="KHS175" s="72"/>
      <c r="KHT175" s="72"/>
      <c r="KHU175" s="72"/>
      <c r="KHV175" s="72"/>
      <c r="KHW175" s="72"/>
      <c r="KHX175" s="72"/>
      <c r="KHY175" s="72"/>
      <c r="KHZ175" s="72"/>
      <c r="KIA175" s="72"/>
      <c r="KIB175" s="72"/>
      <c r="KIC175" s="72"/>
      <c r="KID175" s="72"/>
      <c r="KIE175" s="72"/>
      <c r="KIF175" s="72"/>
      <c r="KIG175" s="72"/>
      <c r="KIH175" s="72"/>
      <c r="KII175" s="72"/>
      <c r="KIJ175" s="72"/>
      <c r="KIK175" s="72"/>
      <c r="KIL175" s="72"/>
      <c r="KIM175" s="72"/>
      <c r="KIN175" s="72"/>
      <c r="KIO175" s="72"/>
      <c r="KIP175" s="72"/>
      <c r="KIQ175" s="72"/>
      <c r="KIR175" s="72"/>
      <c r="KIS175" s="72"/>
      <c r="KIT175" s="72"/>
      <c r="KIU175" s="72"/>
      <c r="KIV175" s="72"/>
      <c r="KIW175" s="72"/>
      <c r="KIX175" s="72"/>
      <c r="KIY175" s="72"/>
      <c r="KIZ175" s="72"/>
      <c r="KJA175" s="72"/>
      <c r="KJB175" s="72"/>
      <c r="KJC175" s="72"/>
      <c r="KJD175" s="72"/>
      <c r="KJE175" s="72"/>
      <c r="KJF175" s="72"/>
      <c r="KJG175" s="72"/>
      <c r="KJH175" s="72"/>
      <c r="KJI175" s="72"/>
      <c r="KJJ175" s="72"/>
      <c r="KJK175" s="72"/>
      <c r="KJL175" s="72"/>
      <c r="KJM175" s="72"/>
      <c r="KJN175" s="72"/>
      <c r="KJO175" s="72"/>
      <c r="KJP175" s="72"/>
      <c r="KJQ175" s="72"/>
      <c r="KJR175" s="72"/>
      <c r="KJS175" s="72"/>
      <c r="KJT175" s="72"/>
      <c r="KJU175" s="72"/>
      <c r="KJV175" s="72"/>
      <c r="KJW175" s="72"/>
      <c r="KJX175" s="72"/>
      <c r="KJY175" s="72"/>
      <c r="KJZ175" s="72"/>
      <c r="KKA175" s="72"/>
      <c r="KKB175" s="72"/>
      <c r="KKC175" s="72"/>
      <c r="KKD175" s="72"/>
      <c r="KKE175" s="72"/>
      <c r="KKF175" s="72"/>
      <c r="KKG175" s="72"/>
      <c r="KKH175" s="72"/>
      <c r="KKI175" s="72"/>
      <c r="KKJ175" s="72"/>
      <c r="KKK175" s="72"/>
      <c r="KKL175" s="72"/>
      <c r="KKM175" s="72"/>
      <c r="KKN175" s="72"/>
      <c r="KKO175" s="72"/>
      <c r="KKP175" s="72"/>
      <c r="KKQ175" s="72"/>
      <c r="KKR175" s="72"/>
      <c r="KKS175" s="72"/>
      <c r="KKT175" s="72"/>
      <c r="KKU175" s="72"/>
      <c r="KKV175" s="72"/>
      <c r="KKW175" s="72"/>
      <c r="KKX175" s="72"/>
      <c r="KKY175" s="72"/>
      <c r="KKZ175" s="72"/>
      <c r="KLA175" s="72"/>
      <c r="KLB175" s="72"/>
      <c r="KLC175" s="72"/>
      <c r="KLD175" s="72"/>
      <c r="KLE175" s="72"/>
      <c r="KLF175" s="72"/>
      <c r="KLG175" s="72"/>
      <c r="KLH175" s="72"/>
      <c r="KLI175" s="72"/>
      <c r="KLJ175" s="72"/>
      <c r="KLK175" s="72"/>
      <c r="KLL175" s="72"/>
      <c r="KLM175" s="72"/>
      <c r="KLN175" s="72"/>
      <c r="KLO175" s="72"/>
      <c r="KLP175" s="72"/>
      <c r="KLQ175" s="72"/>
      <c r="KLR175" s="72"/>
      <c r="KLS175" s="72"/>
      <c r="KLT175" s="72"/>
      <c r="KLU175" s="72"/>
      <c r="KLV175" s="72"/>
      <c r="KLW175" s="72"/>
      <c r="KLX175" s="72"/>
      <c r="KLY175" s="72"/>
      <c r="KLZ175" s="72"/>
      <c r="KMA175" s="72"/>
      <c r="KMB175" s="72"/>
      <c r="KMC175" s="72"/>
      <c r="KMD175" s="72"/>
      <c r="KME175" s="72"/>
      <c r="KMF175" s="72"/>
      <c r="KMG175" s="72"/>
      <c r="KMH175" s="72"/>
      <c r="KMI175" s="72"/>
      <c r="KMJ175" s="72"/>
      <c r="KMK175" s="72"/>
      <c r="KML175" s="72"/>
      <c r="KMM175" s="72"/>
      <c r="KMN175" s="72"/>
      <c r="KMO175" s="72"/>
      <c r="KMP175" s="72"/>
      <c r="KMQ175" s="72"/>
      <c r="KMR175" s="72"/>
      <c r="KMS175" s="72"/>
      <c r="KMT175" s="72"/>
      <c r="KMU175" s="72"/>
      <c r="KMV175" s="72"/>
      <c r="KMW175" s="72"/>
      <c r="KMX175" s="72"/>
      <c r="KMY175" s="72"/>
      <c r="KMZ175" s="72"/>
      <c r="KNA175" s="72"/>
      <c r="KNB175" s="72"/>
      <c r="KNC175" s="72"/>
      <c r="KND175" s="72"/>
      <c r="KNE175" s="72"/>
      <c r="KNF175" s="72"/>
      <c r="KNG175" s="72"/>
      <c r="KNH175" s="72"/>
      <c r="KNI175" s="72"/>
      <c r="KNJ175" s="72"/>
      <c r="KNK175" s="72"/>
      <c r="KNL175" s="72"/>
      <c r="KNM175" s="72"/>
      <c r="KNN175" s="72"/>
      <c r="KNO175" s="72"/>
      <c r="KNP175" s="72"/>
      <c r="KNQ175" s="72"/>
      <c r="KNR175" s="72"/>
      <c r="KNS175" s="72"/>
      <c r="KNT175" s="72"/>
      <c r="KNU175" s="72"/>
      <c r="KNV175" s="72"/>
      <c r="KNW175" s="72"/>
      <c r="KNX175" s="72"/>
      <c r="KNY175" s="72"/>
      <c r="KNZ175" s="72"/>
      <c r="KOA175" s="72"/>
      <c r="KOB175" s="72"/>
      <c r="KOC175" s="72"/>
      <c r="KOD175" s="72"/>
      <c r="KOE175" s="72"/>
      <c r="KOF175" s="72"/>
      <c r="KOG175" s="72"/>
      <c r="KOH175" s="72"/>
      <c r="KOI175" s="72"/>
      <c r="KOJ175" s="72"/>
      <c r="KOK175" s="72"/>
      <c r="KOL175" s="72"/>
      <c r="KOM175" s="72"/>
      <c r="KON175" s="72"/>
      <c r="KOO175" s="72"/>
      <c r="KOP175" s="72"/>
      <c r="KOQ175" s="72"/>
      <c r="KOR175" s="72"/>
      <c r="KOS175" s="72"/>
      <c r="KOT175" s="72"/>
      <c r="KOU175" s="72"/>
      <c r="KOV175" s="72"/>
      <c r="KOW175" s="72"/>
      <c r="KOX175" s="72"/>
      <c r="KOY175" s="72"/>
      <c r="KOZ175" s="72"/>
      <c r="KPA175" s="72"/>
      <c r="KPB175" s="72"/>
      <c r="KPC175" s="72"/>
      <c r="KPD175" s="72"/>
      <c r="KPE175" s="72"/>
      <c r="KPF175" s="72"/>
      <c r="KPG175" s="72"/>
      <c r="KPH175" s="72"/>
      <c r="KPI175" s="72"/>
      <c r="KPJ175" s="72"/>
      <c r="KPK175" s="72"/>
      <c r="KPL175" s="72"/>
      <c r="KPM175" s="72"/>
      <c r="KPN175" s="72"/>
      <c r="KPO175" s="72"/>
      <c r="KPP175" s="72"/>
      <c r="KPQ175" s="72"/>
      <c r="KPR175" s="72"/>
      <c r="KPS175" s="72"/>
      <c r="KPT175" s="72"/>
      <c r="KPU175" s="72"/>
      <c r="KPV175" s="72"/>
      <c r="KPW175" s="72"/>
      <c r="KPX175" s="72"/>
      <c r="KPY175" s="72"/>
      <c r="KPZ175" s="72"/>
      <c r="KQA175" s="72"/>
      <c r="KQB175" s="72"/>
      <c r="KQC175" s="72"/>
      <c r="KQD175" s="72"/>
      <c r="KQE175" s="72"/>
      <c r="KQF175" s="72"/>
      <c r="KQG175" s="72"/>
      <c r="KQH175" s="72"/>
      <c r="KQI175" s="72"/>
      <c r="KQJ175" s="72"/>
      <c r="KQK175" s="72"/>
      <c r="KQL175" s="72"/>
      <c r="KQM175" s="72"/>
      <c r="KQN175" s="72"/>
      <c r="KQO175" s="72"/>
      <c r="KQP175" s="72"/>
      <c r="KQQ175" s="72"/>
      <c r="KQR175" s="72"/>
      <c r="KQS175" s="72"/>
      <c r="KQT175" s="72"/>
      <c r="KQU175" s="72"/>
      <c r="KQV175" s="72"/>
      <c r="KQW175" s="72"/>
      <c r="KQX175" s="72"/>
      <c r="KQY175" s="72"/>
      <c r="KQZ175" s="72"/>
      <c r="KRA175" s="72"/>
      <c r="KRB175" s="72"/>
      <c r="KRC175" s="72"/>
      <c r="KRD175" s="72"/>
      <c r="KRE175" s="72"/>
      <c r="KRF175" s="72"/>
      <c r="KRG175" s="72"/>
      <c r="KRH175" s="72"/>
      <c r="KRI175" s="72"/>
      <c r="KRJ175" s="72"/>
      <c r="KRK175" s="72"/>
      <c r="KRL175" s="72"/>
      <c r="KRM175" s="72"/>
      <c r="KRN175" s="72"/>
      <c r="KRO175" s="72"/>
      <c r="KRP175" s="72"/>
      <c r="KRQ175" s="72"/>
      <c r="KRR175" s="72"/>
      <c r="KRS175" s="72"/>
      <c r="KRT175" s="72"/>
      <c r="KRU175" s="72"/>
      <c r="KRV175" s="72"/>
      <c r="KRW175" s="72"/>
      <c r="KRX175" s="72"/>
      <c r="KRY175" s="72"/>
      <c r="KRZ175" s="72"/>
      <c r="KSA175" s="72"/>
      <c r="KSB175" s="72"/>
      <c r="KSC175" s="72"/>
      <c r="KSD175" s="72"/>
      <c r="KSE175" s="72"/>
      <c r="KSF175" s="72"/>
      <c r="KSG175" s="72"/>
      <c r="KSH175" s="72"/>
      <c r="KSI175" s="72"/>
      <c r="KSJ175" s="72"/>
      <c r="KSK175" s="72"/>
      <c r="KSL175" s="72"/>
      <c r="KSM175" s="72"/>
      <c r="KSN175" s="72"/>
      <c r="KSO175" s="72"/>
      <c r="KSP175" s="72"/>
      <c r="KSQ175" s="72"/>
      <c r="KSR175" s="72"/>
      <c r="KSS175" s="72"/>
      <c r="KST175" s="72"/>
      <c r="KSU175" s="72"/>
      <c r="KSV175" s="72"/>
      <c r="KSW175" s="72"/>
      <c r="KSX175" s="72"/>
      <c r="KSY175" s="72"/>
      <c r="KSZ175" s="72"/>
      <c r="KTA175" s="72"/>
      <c r="KTB175" s="72"/>
      <c r="KTC175" s="72"/>
      <c r="KTD175" s="72"/>
      <c r="KTE175" s="72"/>
      <c r="KTF175" s="72"/>
      <c r="KTG175" s="72"/>
      <c r="KTH175" s="72"/>
      <c r="KTI175" s="72"/>
      <c r="KTJ175" s="72"/>
      <c r="KTK175" s="72"/>
      <c r="KTL175" s="72"/>
      <c r="KTM175" s="72"/>
      <c r="KTN175" s="72"/>
      <c r="KTO175" s="72"/>
      <c r="KTP175" s="72"/>
      <c r="KTQ175" s="72"/>
      <c r="KTR175" s="72"/>
      <c r="KTS175" s="72"/>
      <c r="KTT175" s="72"/>
      <c r="KTU175" s="72"/>
      <c r="KTV175" s="72"/>
      <c r="KTW175" s="72"/>
      <c r="KTX175" s="72"/>
      <c r="KTY175" s="72"/>
      <c r="KTZ175" s="72"/>
      <c r="KUA175" s="72"/>
      <c r="KUB175" s="72"/>
      <c r="KUC175" s="72"/>
      <c r="KUD175" s="72"/>
      <c r="KUE175" s="72"/>
      <c r="KUF175" s="72"/>
      <c r="KUG175" s="72"/>
      <c r="KUH175" s="72"/>
      <c r="KUI175" s="72"/>
      <c r="KUJ175" s="72"/>
      <c r="KUK175" s="72"/>
      <c r="KUL175" s="72"/>
      <c r="KUM175" s="72"/>
      <c r="KUN175" s="72"/>
      <c r="KUO175" s="72"/>
      <c r="KUP175" s="72"/>
      <c r="KUQ175" s="72"/>
      <c r="KUR175" s="72"/>
      <c r="KUS175" s="72"/>
      <c r="KUT175" s="72"/>
      <c r="KUU175" s="72"/>
      <c r="KUV175" s="72"/>
      <c r="KUW175" s="72"/>
      <c r="KUX175" s="72"/>
      <c r="KUY175" s="72"/>
      <c r="KUZ175" s="72"/>
      <c r="KVA175" s="72"/>
      <c r="KVB175" s="72"/>
      <c r="KVC175" s="72"/>
      <c r="KVD175" s="72"/>
      <c r="KVE175" s="72"/>
      <c r="KVF175" s="72"/>
      <c r="KVG175" s="72"/>
      <c r="KVH175" s="72"/>
      <c r="KVI175" s="72"/>
      <c r="KVJ175" s="72"/>
      <c r="KVK175" s="72"/>
      <c r="KVL175" s="72"/>
      <c r="KVM175" s="72"/>
      <c r="KVN175" s="72"/>
      <c r="KVO175" s="72"/>
      <c r="KVP175" s="72"/>
      <c r="KVQ175" s="72"/>
      <c r="KVR175" s="72"/>
      <c r="KVS175" s="72"/>
      <c r="KVT175" s="72"/>
      <c r="KVU175" s="72"/>
      <c r="KVV175" s="72"/>
      <c r="KVW175" s="72"/>
      <c r="KVX175" s="72"/>
      <c r="KVY175" s="72"/>
      <c r="KVZ175" s="72"/>
      <c r="KWA175" s="72"/>
      <c r="KWB175" s="72"/>
      <c r="KWC175" s="72"/>
      <c r="KWD175" s="72"/>
      <c r="KWE175" s="72"/>
      <c r="KWF175" s="72"/>
      <c r="KWG175" s="72"/>
      <c r="KWH175" s="72"/>
      <c r="KWI175" s="72"/>
      <c r="KWJ175" s="72"/>
      <c r="KWK175" s="72"/>
      <c r="KWL175" s="72"/>
      <c r="KWM175" s="72"/>
      <c r="KWN175" s="72"/>
      <c r="KWO175" s="72"/>
      <c r="KWP175" s="72"/>
      <c r="KWQ175" s="72"/>
      <c r="KWR175" s="72"/>
      <c r="KWS175" s="72"/>
      <c r="KWT175" s="72"/>
      <c r="KWU175" s="72"/>
      <c r="KWV175" s="72"/>
      <c r="KWW175" s="72"/>
      <c r="KWX175" s="72"/>
      <c r="KWY175" s="72"/>
      <c r="KWZ175" s="72"/>
      <c r="KXA175" s="72"/>
      <c r="KXB175" s="72"/>
      <c r="KXC175" s="72"/>
      <c r="KXD175" s="72"/>
      <c r="KXE175" s="72"/>
      <c r="KXF175" s="72"/>
      <c r="KXG175" s="72"/>
      <c r="KXH175" s="72"/>
      <c r="KXI175" s="72"/>
      <c r="KXJ175" s="72"/>
      <c r="KXK175" s="72"/>
      <c r="KXL175" s="72"/>
      <c r="KXM175" s="72"/>
      <c r="KXN175" s="72"/>
      <c r="KXO175" s="72"/>
      <c r="KXP175" s="72"/>
      <c r="KXQ175" s="72"/>
      <c r="KXR175" s="72"/>
      <c r="KXS175" s="72"/>
      <c r="KXT175" s="72"/>
      <c r="KXU175" s="72"/>
      <c r="KXV175" s="72"/>
      <c r="KXW175" s="72"/>
      <c r="KXX175" s="72"/>
      <c r="KXY175" s="72"/>
      <c r="KXZ175" s="72"/>
      <c r="KYA175" s="72"/>
      <c r="KYB175" s="72"/>
      <c r="KYC175" s="72"/>
      <c r="KYD175" s="72"/>
      <c r="KYE175" s="72"/>
      <c r="KYF175" s="72"/>
      <c r="KYG175" s="72"/>
      <c r="KYH175" s="72"/>
      <c r="KYI175" s="72"/>
      <c r="KYJ175" s="72"/>
      <c r="KYK175" s="72"/>
      <c r="KYL175" s="72"/>
      <c r="KYM175" s="72"/>
      <c r="KYN175" s="72"/>
      <c r="KYO175" s="72"/>
      <c r="KYP175" s="72"/>
      <c r="KYQ175" s="72"/>
      <c r="KYR175" s="72"/>
      <c r="KYS175" s="72"/>
      <c r="KYT175" s="72"/>
      <c r="KYU175" s="72"/>
      <c r="KYV175" s="72"/>
      <c r="KYW175" s="72"/>
      <c r="KYX175" s="72"/>
      <c r="KYY175" s="72"/>
      <c r="KYZ175" s="72"/>
      <c r="KZA175" s="72"/>
      <c r="KZB175" s="72"/>
      <c r="KZC175" s="72"/>
      <c r="KZD175" s="72"/>
      <c r="KZE175" s="72"/>
      <c r="KZF175" s="72"/>
      <c r="KZG175" s="72"/>
      <c r="KZH175" s="72"/>
      <c r="KZI175" s="72"/>
      <c r="KZJ175" s="72"/>
      <c r="KZK175" s="72"/>
      <c r="KZL175" s="72"/>
      <c r="KZM175" s="72"/>
      <c r="KZN175" s="72"/>
      <c r="KZO175" s="72"/>
      <c r="KZP175" s="72"/>
      <c r="KZQ175" s="72"/>
      <c r="KZR175" s="72"/>
      <c r="KZS175" s="72"/>
      <c r="KZT175" s="72"/>
      <c r="KZU175" s="72"/>
      <c r="KZV175" s="72"/>
      <c r="KZW175" s="72"/>
      <c r="KZX175" s="72"/>
      <c r="KZY175" s="72"/>
      <c r="KZZ175" s="72"/>
      <c r="LAA175" s="72"/>
      <c r="LAB175" s="72"/>
      <c r="LAC175" s="72"/>
      <c r="LAD175" s="72"/>
      <c r="LAE175" s="72"/>
      <c r="LAF175" s="72"/>
      <c r="LAG175" s="72"/>
      <c r="LAH175" s="72"/>
      <c r="LAI175" s="72"/>
      <c r="LAJ175" s="72"/>
      <c r="LAK175" s="72"/>
      <c r="LAL175" s="72"/>
      <c r="LAM175" s="72"/>
      <c r="LAN175" s="72"/>
      <c r="LAO175" s="72"/>
      <c r="LAP175" s="72"/>
      <c r="LAQ175" s="72"/>
      <c r="LAR175" s="72"/>
      <c r="LAS175" s="72"/>
      <c r="LAT175" s="72"/>
      <c r="LAU175" s="72"/>
      <c r="LAV175" s="72"/>
      <c r="LAW175" s="72"/>
      <c r="LAX175" s="72"/>
      <c r="LAY175" s="72"/>
      <c r="LAZ175" s="72"/>
      <c r="LBA175" s="72"/>
      <c r="LBB175" s="72"/>
      <c r="LBC175" s="72"/>
      <c r="LBD175" s="72"/>
      <c r="LBE175" s="72"/>
      <c r="LBF175" s="72"/>
      <c r="LBG175" s="72"/>
      <c r="LBH175" s="72"/>
      <c r="LBI175" s="72"/>
      <c r="LBJ175" s="72"/>
      <c r="LBK175" s="72"/>
      <c r="LBL175" s="72"/>
      <c r="LBM175" s="72"/>
      <c r="LBN175" s="72"/>
      <c r="LBO175" s="72"/>
      <c r="LBP175" s="72"/>
      <c r="LBQ175" s="72"/>
      <c r="LBR175" s="72"/>
      <c r="LBS175" s="72"/>
      <c r="LBT175" s="72"/>
      <c r="LBU175" s="72"/>
      <c r="LBV175" s="72"/>
      <c r="LBW175" s="72"/>
      <c r="LBX175" s="72"/>
      <c r="LBY175" s="72"/>
      <c r="LBZ175" s="72"/>
      <c r="LCA175" s="72"/>
      <c r="LCB175" s="72"/>
      <c r="LCC175" s="72"/>
      <c r="LCD175" s="72"/>
      <c r="LCE175" s="72"/>
      <c r="LCF175" s="72"/>
      <c r="LCG175" s="72"/>
      <c r="LCH175" s="72"/>
      <c r="LCI175" s="72"/>
      <c r="LCJ175" s="72"/>
      <c r="LCK175" s="72"/>
      <c r="LCL175" s="72"/>
      <c r="LCM175" s="72"/>
      <c r="LCN175" s="72"/>
      <c r="LCO175" s="72"/>
      <c r="LCP175" s="72"/>
      <c r="LCQ175" s="72"/>
      <c r="LCR175" s="72"/>
      <c r="LCS175" s="72"/>
      <c r="LCT175" s="72"/>
      <c r="LCU175" s="72"/>
      <c r="LCV175" s="72"/>
      <c r="LCW175" s="72"/>
      <c r="LCX175" s="72"/>
      <c r="LCY175" s="72"/>
      <c r="LCZ175" s="72"/>
      <c r="LDA175" s="72"/>
      <c r="LDB175" s="72"/>
      <c r="LDC175" s="72"/>
      <c r="LDD175" s="72"/>
      <c r="LDE175" s="72"/>
      <c r="LDF175" s="72"/>
      <c r="LDG175" s="72"/>
      <c r="LDH175" s="72"/>
      <c r="LDI175" s="72"/>
      <c r="LDJ175" s="72"/>
      <c r="LDK175" s="72"/>
      <c r="LDL175" s="72"/>
      <c r="LDM175" s="72"/>
      <c r="LDN175" s="72"/>
      <c r="LDO175" s="72"/>
      <c r="LDP175" s="72"/>
      <c r="LDQ175" s="72"/>
      <c r="LDR175" s="72"/>
      <c r="LDS175" s="72"/>
      <c r="LDT175" s="72"/>
      <c r="LDU175" s="72"/>
      <c r="LDV175" s="72"/>
      <c r="LDW175" s="72"/>
      <c r="LDX175" s="72"/>
      <c r="LDY175" s="72"/>
      <c r="LDZ175" s="72"/>
      <c r="LEA175" s="72"/>
      <c r="LEB175" s="72"/>
      <c r="LEC175" s="72"/>
      <c r="LED175" s="72"/>
      <c r="LEE175" s="72"/>
      <c r="LEF175" s="72"/>
      <c r="LEG175" s="72"/>
      <c r="LEH175" s="72"/>
      <c r="LEI175" s="72"/>
      <c r="LEJ175" s="72"/>
      <c r="LEK175" s="72"/>
      <c r="LEL175" s="72"/>
      <c r="LEM175" s="72"/>
      <c r="LEN175" s="72"/>
      <c r="LEO175" s="72"/>
      <c r="LEP175" s="72"/>
      <c r="LEQ175" s="72"/>
      <c r="LER175" s="72"/>
      <c r="LES175" s="72"/>
      <c r="LET175" s="72"/>
      <c r="LEU175" s="72"/>
      <c r="LEV175" s="72"/>
      <c r="LEW175" s="72"/>
      <c r="LEX175" s="72"/>
      <c r="LEY175" s="72"/>
      <c r="LEZ175" s="72"/>
      <c r="LFA175" s="72"/>
      <c r="LFB175" s="72"/>
      <c r="LFC175" s="72"/>
      <c r="LFD175" s="72"/>
      <c r="LFE175" s="72"/>
      <c r="LFF175" s="72"/>
      <c r="LFG175" s="72"/>
      <c r="LFH175" s="72"/>
      <c r="LFI175" s="72"/>
      <c r="LFJ175" s="72"/>
      <c r="LFK175" s="72"/>
      <c r="LFL175" s="72"/>
      <c r="LFM175" s="72"/>
      <c r="LFN175" s="72"/>
      <c r="LFO175" s="72"/>
      <c r="LFP175" s="72"/>
      <c r="LFQ175" s="72"/>
      <c r="LFR175" s="72"/>
      <c r="LFS175" s="72"/>
      <c r="LFT175" s="72"/>
      <c r="LFU175" s="72"/>
      <c r="LFV175" s="72"/>
      <c r="LFW175" s="72"/>
      <c r="LFX175" s="72"/>
      <c r="LFY175" s="72"/>
      <c r="LFZ175" s="72"/>
      <c r="LGA175" s="72"/>
      <c r="LGB175" s="72"/>
      <c r="LGC175" s="72"/>
      <c r="LGD175" s="72"/>
      <c r="LGE175" s="72"/>
      <c r="LGF175" s="72"/>
      <c r="LGG175" s="72"/>
      <c r="LGH175" s="72"/>
      <c r="LGI175" s="72"/>
      <c r="LGJ175" s="72"/>
      <c r="LGK175" s="72"/>
      <c r="LGL175" s="72"/>
      <c r="LGM175" s="72"/>
      <c r="LGN175" s="72"/>
      <c r="LGO175" s="72"/>
      <c r="LGP175" s="72"/>
      <c r="LGQ175" s="72"/>
      <c r="LGR175" s="72"/>
      <c r="LGS175" s="72"/>
      <c r="LGT175" s="72"/>
      <c r="LGU175" s="72"/>
      <c r="LGV175" s="72"/>
      <c r="LGW175" s="72"/>
      <c r="LGX175" s="72"/>
      <c r="LGY175" s="72"/>
      <c r="LGZ175" s="72"/>
      <c r="LHA175" s="72"/>
      <c r="LHB175" s="72"/>
      <c r="LHC175" s="72"/>
      <c r="LHD175" s="72"/>
      <c r="LHE175" s="72"/>
      <c r="LHF175" s="72"/>
      <c r="LHG175" s="72"/>
      <c r="LHH175" s="72"/>
      <c r="LHI175" s="72"/>
      <c r="LHJ175" s="72"/>
      <c r="LHK175" s="72"/>
      <c r="LHL175" s="72"/>
      <c r="LHM175" s="72"/>
      <c r="LHN175" s="72"/>
      <c r="LHO175" s="72"/>
      <c r="LHP175" s="72"/>
      <c r="LHQ175" s="72"/>
      <c r="LHR175" s="72"/>
      <c r="LHS175" s="72"/>
      <c r="LHT175" s="72"/>
      <c r="LHU175" s="72"/>
      <c r="LHV175" s="72"/>
      <c r="LHW175" s="72"/>
      <c r="LHX175" s="72"/>
      <c r="LHY175" s="72"/>
      <c r="LHZ175" s="72"/>
      <c r="LIA175" s="72"/>
      <c r="LIB175" s="72"/>
      <c r="LIC175" s="72"/>
      <c r="LID175" s="72"/>
      <c r="LIE175" s="72"/>
      <c r="LIF175" s="72"/>
      <c r="LIG175" s="72"/>
      <c r="LIH175" s="72"/>
      <c r="LII175" s="72"/>
      <c r="LIJ175" s="72"/>
      <c r="LIK175" s="72"/>
      <c r="LIL175" s="72"/>
      <c r="LIM175" s="72"/>
      <c r="LIN175" s="72"/>
      <c r="LIO175" s="72"/>
      <c r="LIP175" s="72"/>
      <c r="LIQ175" s="72"/>
      <c r="LIR175" s="72"/>
      <c r="LIS175" s="72"/>
      <c r="LIT175" s="72"/>
      <c r="LIU175" s="72"/>
      <c r="LIV175" s="72"/>
      <c r="LIW175" s="72"/>
      <c r="LIX175" s="72"/>
      <c r="LIY175" s="72"/>
      <c r="LIZ175" s="72"/>
      <c r="LJA175" s="72"/>
      <c r="LJB175" s="72"/>
      <c r="LJC175" s="72"/>
      <c r="LJD175" s="72"/>
      <c r="LJE175" s="72"/>
      <c r="LJF175" s="72"/>
      <c r="LJG175" s="72"/>
      <c r="LJH175" s="72"/>
      <c r="LJI175" s="72"/>
      <c r="LJJ175" s="72"/>
      <c r="LJK175" s="72"/>
      <c r="LJL175" s="72"/>
      <c r="LJM175" s="72"/>
      <c r="LJN175" s="72"/>
      <c r="LJO175" s="72"/>
      <c r="LJP175" s="72"/>
      <c r="LJQ175" s="72"/>
      <c r="LJR175" s="72"/>
      <c r="LJS175" s="72"/>
      <c r="LJT175" s="72"/>
      <c r="LJU175" s="72"/>
      <c r="LJV175" s="72"/>
      <c r="LJW175" s="72"/>
      <c r="LJX175" s="72"/>
      <c r="LJY175" s="72"/>
      <c r="LJZ175" s="72"/>
      <c r="LKA175" s="72"/>
      <c r="LKB175" s="72"/>
      <c r="LKC175" s="72"/>
      <c r="LKD175" s="72"/>
      <c r="LKE175" s="72"/>
      <c r="LKF175" s="72"/>
      <c r="LKG175" s="72"/>
      <c r="LKH175" s="72"/>
      <c r="LKI175" s="72"/>
      <c r="LKJ175" s="72"/>
      <c r="LKK175" s="72"/>
      <c r="LKL175" s="72"/>
      <c r="LKM175" s="72"/>
      <c r="LKN175" s="72"/>
      <c r="LKO175" s="72"/>
      <c r="LKP175" s="72"/>
      <c r="LKQ175" s="72"/>
      <c r="LKR175" s="72"/>
      <c r="LKS175" s="72"/>
      <c r="LKT175" s="72"/>
      <c r="LKU175" s="72"/>
      <c r="LKV175" s="72"/>
      <c r="LKW175" s="72"/>
      <c r="LKX175" s="72"/>
      <c r="LKY175" s="72"/>
      <c r="LKZ175" s="72"/>
      <c r="LLA175" s="72"/>
      <c r="LLB175" s="72"/>
      <c r="LLC175" s="72"/>
      <c r="LLD175" s="72"/>
      <c r="LLE175" s="72"/>
      <c r="LLF175" s="72"/>
      <c r="LLG175" s="72"/>
      <c r="LLH175" s="72"/>
      <c r="LLI175" s="72"/>
      <c r="LLJ175" s="72"/>
      <c r="LLK175" s="72"/>
      <c r="LLL175" s="72"/>
      <c r="LLM175" s="72"/>
      <c r="LLN175" s="72"/>
      <c r="LLO175" s="72"/>
      <c r="LLP175" s="72"/>
      <c r="LLQ175" s="72"/>
      <c r="LLR175" s="72"/>
      <c r="LLS175" s="72"/>
      <c r="LLT175" s="72"/>
      <c r="LLU175" s="72"/>
      <c r="LLV175" s="72"/>
      <c r="LLW175" s="72"/>
      <c r="LLX175" s="72"/>
      <c r="LLY175" s="72"/>
      <c r="LLZ175" s="72"/>
      <c r="LMA175" s="72"/>
      <c r="LMB175" s="72"/>
      <c r="LMC175" s="72"/>
      <c r="LMD175" s="72"/>
      <c r="LME175" s="72"/>
      <c r="LMF175" s="72"/>
      <c r="LMG175" s="72"/>
      <c r="LMH175" s="72"/>
      <c r="LMI175" s="72"/>
      <c r="LMJ175" s="72"/>
      <c r="LMK175" s="72"/>
      <c r="LML175" s="72"/>
      <c r="LMM175" s="72"/>
      <c r="LMN175" s="72"/>
      <c r="LMO175" s="72"/>
      <c r="LMP175" s="72"/>
      <c r="LMQ175" s="72"/>
      <c r="LMR175" s="72"/>
      <c r="LMS175" s="72"/>
      <c r="LMT175" s="72"/>
      <c r="LMU175" s="72"/>
      <c r="LMV175" s="72"/>
      <c r="LMW175" s="72"/>
      <c r="LMX175" s="72"/>
      <c r="LMY175" s="72"/>
      <c r="LMZ175" s="72"/>
      <c r="LNA175" s="72"/>
      <c r="LNB175" s="72"/>
      <c r="LNC175" s="72"/>
      <c r="LND175" s="72"/>
      <c r="LNE175" s="72"/>
      <c r="LNF175" s="72"/>
      <c r="LNG175" s="72"/>
      <c r="LNH175" s="72"/>
      <c r="LNI175" s="72"/>
      <c r="LNJ175" s="72"/>
      <c r="LNK175" s="72"/>
      <c r="LNL175" s="72"/>
      <c r="LNM175" s="72"/>
      <c r="LNN175" s="72"/>
      <c r="LNO175" s="72"/>
      <c r="LNP175" s="72"/>
      <c r="LNQ175" s="72"/>
      <c r="LNR175" s="72"/>
      <c r="LNS175" s="72"/>
      <c r="LNT175" s="72"/>
      <c r="LNU175" s="72"/>
      <c r="LNV175" s="72"/>
      <c r="LNW175" s="72"/>
      <c r="LNX175" s="72"/>
      <c r="LNY175" s="72"/>
      <c r="LNZ175" s="72"/>
      <c r="LOA175" s="72"/>
      <c r="LOB175" s="72"/>
      <c r="LOC175" s="72"/>
      <c r="LOD175" s="72"/>
      <c r="LOE175" s="72"/>
      <c r="LOF175" s="72"/>
      <c r="LOG175" s="72"/>
      <c r="LOH175" s="72"/>
      <c r="LOI175" s="72"/>
      <c r="LOJ175" s="72"/>
      <c r="LOK175" s="72"/>
      <c r="LOL175" s="72"/>
      <c r="LOM175" s="72"/>
      <c r="LON175" s="72"/>
      <c r="LOO175" s="72"/>
      <c r="LOP175" s="72"/>
      <c r="LOQ175" s="72"/>
      <c r="LOR175" s="72"/>
      <c r="LOS175" s="72"/>
      <c r="LOT175" s="72"/>
      <c r="LOU175" s="72"/>
      <c r="LOV175" s="72"/>
      <c r="LOW175" s="72"/>
      <c r="LOX175" s="72"/>
      <c r="LOY175" s="72"/>
      <c r="LOZ175" s="72"/>
      <c r="LPA175" s="72"/>
      <c r="LPB175" s="72"/>
      <c r="LPC175" s="72"/>
      <c r="LPD175" s="72"/>
      <c r="LPE175" s="72"/>
      <c r="LPF175" s="72"/>
      <c r="LPG175" s="72"/>
      <c r="LPH175" s="72"/>
      <c r="LPI175" s="72"/>
      <c r="LPJ175" s="72"/>
      <c r="LPK175" s="72"/>
      <c r="LPL175" s="72"/>
      <c r="LPM175" s="72"/>
      <c r="LPN175" s="72"/>
      <c r="LPO175" s="72"/>
      <c r="LPP175" s="72"/>
      <c r="LPQ175" s="72"/>
      <c r="LPR175" s="72"/>
      <c r="LPS175" s="72"/>
      <c r="LPT175" s="72"/>
      <c r="LPU175" s="72"/>
      <c r="LPV175" s="72"/>
      <c r="LPW175" s="72"/>
      <c r="LPX175" s="72"/>
      <c r="LPY175" s="72"/>
      <c r="LPZ175" s="72"/>
      <c r="LQA175" s="72"/>
      <c r="LQB175" s="72"/>
      <c r="LQC175" s="72"/>
      <c r="LQD175" s="72"/>
      <c r="LQE175" s="72"/>
      <c r="LQF175" s="72"/>
      <c r="LQG175" s="72"/>
      <c r="LQH175" s="72"/>
      <c r="LQI175" s="72"/>
      <c r="LQJ175" s="72"/>
      <c r="LQK175" s="72"/>
      <c r="LQL175" s="72"/>
      <c r="LQM175" s="72"/>
      <c r="LQN175" s="72"/>
      <c r="LQO175" s="72"/>
      <c r="LQP175" s="72"/>
      <c r="LQQ175" s="72"/>
      <c r="LQR175" s="72"/>
      <c r="LQS175" s="72"/>
      <c r="LQT175" s="72"/>
      <c r="LQU175" s="72"/>
      <c r="LQV175" s="72"/>
      <c r="LQW175" s="72"/>
      <c r="LQX175" s="72"/>
      <c r="LQY175" s="72"/>
      <c r="LQZ175" s="72"/>
      <c r="LRA175" s="72"/>
      <c r="LRB175" s="72"/>
      <c r="LRC175" s="72"/>
      <c r="LRD175" s="72"/>
      <c r="LRE175" s="72"/>
      <c r="LRF175" s="72"/>
      <c r="LRG175" s="72"/>
      <c r="LRH175" s="72"/>
      <c r="LRI175" s="72"/>
      <c r="LRJ175" s="72"/>
      <c r="LRK175" s="72"/>
      <c r="LRL175" s="72"/>
      <c r="LRM175" s="72"/>
      <c r="LRN175" s="72"/>
      <c r="LRO175" s="72"/>
      <c r="LRP175" s="72"/>
      <c r="LRQ175" s="72"/>
      <c r="LRR175" s="72"/>
      <c r="LRS175" s="72"/>
      <c r="LRT175" s="72"/>
      <c r="LRU175" s="72"/>
      <c r="LRV175" s="72"/>
      <c r="LRW175" s="72"/>
      <c r="LRX175" s="72"/>
      <c r="LRY175" s="72"/>
      <c r="LRZ175" s="72"/>
      <c r="LSA175" s="72"/>
      <c r="LSB175" s="72"/>
      <c r="LSC175" s="72"/>
      <c r="LSD175" s="72"/>
      <c r="LSE175" s="72"/>
      <c r="LSF175" s="72"/>
      <c r="LSG175" s="72"/>
      <c r="LSH175" s="72"/>
      <c r="LSI175" s="72"/>
      <c r="LSJ175" s="72"/>
      <c r="LSK175" s="72"/>
      <c r="LSL175" s="72"/>
      <c r="LSM175" s="72"/>
      <c r="LSN175" s="72"/>
      <c r="LSO175" s="72"/>
      <c r="LSP175" s="72"/>
      <c r="LSQ175" s="72"/>
      <c r="LSR175" s="72"/>
      <c r="LSS175" s="72"/>
      <c r="LST175" s="72"/>
      <c r="LSU175" s="72"/>
      <c r="LSV175" s="72"/>
      <c r="LSW175" s="72"/>
      <c r="LSX175" s="72"/>
      <c r="LSY175" s="72"/>
      <c r="LSZ175" s="72"/>
      <c r="LTA175" s="72"/>
      <c r="LTB175" s="72"/>
      <c r="LTC175" s="72"/>
      <c r="LTD175" s="72"/>
      <c r="LTE175" s="72"/>
      <c r="LTF175" s="72"/>
      <c r="LTG175" s="72"/>
      <c r="LTH175" s="72"/>
      <c r="LTI175" s="72"/>
      <c r="LTJ175" s="72"/>
      <c r="LTK175" s="72"/>
      <c r="LTL175" s="72"/>
      <c r="LTM175" s="72"/>
      <c r="LTN175" s="72"/>
      <c r="LTO175" s="72"/>
      <c r="LTP175" s="72"/>
      <c r="LTQ175" s="72"/>
      <c r="LTR175" s="72"/>
      <c r="LTS175" s="72"/>
      <c r="LTT175" s="72"/>
      <c r="LTU175" s="72"/>
      <c r="LTV175" s="72"/>
      <c r="LTW175" s="72"/>
      <c r="LTX175" s="72"/>
      <c r="LTY175" s="72"/>
      <c r="LTZ175" s="72"/>
      <c r="LUA175" s="72"/>
      <c r="LUB175" s="72"/>
      <c r="LUC175" s="72"/>
      <c r="LUD175" s="72"/>
      <c r="LUE175" s="72"/>
      <c r="LUF175" s="72"/>
      <c r="LUG175" s="72"/>
      <c r="LUH175" s="72"/>
      <c r="LUI175" s="72"/>
      <c r="LUJ175" s="72"/>
      <c r="LUK175" s="72"/>
      <c r="LUL175" s="72"/>
      <c r="LUM175" s="72"/>
      <c r="LUN175" s="72"/>
      <c r="LUO175" s="72"/>
      <c r="LUP175" s="72"/>
      <c r="LUQ175" s="72"/>
      <c r="LUR175" s="72"/>
      <c r="LUS175" s="72"/>
      <c r="LUT175" s="72"/>
      <c r="LUU175" s="72"/>
      <c r="LUV175" s="72"/>
      <c r="LUW175" s="72"/>
      <c r="LUX175" s="72"/>
      <c r="LUY175" s="72"/>
      <c r="LUZ175" s="72"/>
      <c r="LVA175" s="72"/>
      <c r="LVB175" s="72"/>
      <c r="LVC175" s="72"/>
      <c r="LVD175" s="72"/>
      <c r="LVE175" s="72"/>
      <c r="LVF175" s="72"/>
      <c r="LVG175" s="72"/>
      <c r="LVH175" s="72"/>
      <c r="LVI175" s="72"/>
      <c r="LVJ175" s="72"/>
      <c r="LVK175" s="72"/>
      <c r="LVL175" s="72"/>
      <c r="LVM175" s="72"/>
      <c r="LVN175" s="72"/>
      <c r="LVO175" s="72"/>
      <c r="LVP175" s="72"/>
      <c r="LVQ175" s="72"/>
      <c r="LVR175" s="72"/>
      <c r="LVS175" s="72"/>
      <c r="LVT175" s="72"/>
      <c r="LVU175" s="72"/>
      <c r="LVV175" s="72"/>
      <c r="LVW175" s="72"/>
      <c r="LVX175" s="72"/>
      <c r="LVY175" s="72"/>
      <c r="LVZ175" s="72"/>
      <c r="LWA175" s="72"/>
      <c r="LWB175" s="72"/>
      <c r="LWC175" s="72"/>
      <c r="LWD175" s="72"/>
      <c r="LWE175" s="72"/>
      <c r="LWF175" s="72"/>
      <c r="LWG175" s="72"/>
      <c r="LWH175" s="72"/>
      <c r="LWI175" s="72"/>
      <c r="LWJ175" s="72"/>
      <c r="LWK175" s="72"/>
      <c r="LWL175" s="72"/>
      <c r="LWM175" s="72"/>
      <c r="LWN175" s="72"/>
      <c r="LWO175" s="72"/>
      <c r="LWP175" s="72"/>
      <c r="LWQ175" s="72"/>
      <c r="LWR175" s="72"/>
      <c r="LWS175" s="72"/>
      <c r="LWT175" s="72"/>
      <c r="LWU175" s="72"/>
      <c r="LWV175" s="72"/>
      <c r="LWW175" s="72"/>
      <c r="LWX175" s="72"/>
      <c r="LWY175" s="72"/>
      <c r="LWZ175" s="72"/>
      <c r="LXA175" s="72"/>
      <c r="LXB175" s="72"/>
      <c r="LXC175" s="72"/>
      <c r="LXD175" s="72"/>
      <c r="LXE175" s="72"/>
      <c r="LXF175" s="72"/>
      <c r="LXG175" s="72"/>
      <c r="LXH175" s="72"/>
      <c r="LXI175" s="72"/>
      <c r="LXJ175" s="72"/>
      <c r="LXK175" s="72"/>
      <c r="LXL175" s="72"/>
      <c r="LXM175" s="72"/>
      <c r="LXN175" s="72"/>
      <c r="LXO175" s="72"/>
      <c r="LXP175" s="72"/>
      <c r="LXQ175" s="72"/>
      <c r="LXR175" s="72"/>
      <c r="LXS175" s="72"/>
      <c r="LXT175" s="72"/>
      <c r="LXU175" s="72"/>
      <c r="LXV175" s="72"/>
      <c r="LXW175" s="72"/>
      <c r="LXX175" s="72"/>
      <c r="LXY175" s="72"/>
      <c r="LXZ175" s="72"/>
      <c r="LYA175" s="72"/>
      <c r="LYB175" s="72"/>
      <c r="LYC175" s="72"/>
      <c r="LYD175" s="72"/>
      <c r="LYE175" s="72"/>
      <c r="LYF175" s="72"/>
      <c r="LYG175" s="72"/>
      <c r="LYH175" s="72"/>
      <c r="LYI175" s="72"/>
      <c r="LYJ175" s="72"/>
      <c r="LYK175" s="72"/>
      <c r="LYL175" s="72"/>
      <c r="LYM175" s="72"/>
      <c r="LYN175" s="72"/>
      <c r="LYO175" s="72"/>
      <c r="LYP175" s="72"/>
      <c r="LYQ175" s="72"/>
      <c r="LYR175" s="72"/>
      <c r="LYS175" s="72"/>
      <c r="LYT175" s="72"/>
      <c r="LYU175" s="72"/>
      <c r="LYV175" s="72"/>
      <c r="LYW175" s="72"/>
      <c r="LYX175" s="72"/>
      <c r="LYY175" s="72"/>
      <c r="LYZ175" s="72"/>
      <c r="LZA175" s="72"/>
      <c r="LZB175" s="72"/>
      <c r="LZC175" s="72"/>
      <c r="LZD175" s="72"/>
      <c r="LZE175" s="72"/>
      <c r="LZF175" s="72"/>
      <c r="LZG175" s="72"/>
      <c r="LZH175" s="72"/>
      <c r="LZI175" s="72"/>
      <c r="LZJ175" s="72"/>
      <c r="LZK175" s="72"/>
      <c r="LZL175" s="72"/>
      <c r="LZM175" s="72"/>
      <c r="LZN175" s="72"/>
      <c r="LZO175" s="72"/>
      <c r="LZP175" s="72"/>
      <c r="LZQ175" s="72"/>
      <c r="LZR175" s="72"/>
      <c r="LZS175" s="72"/>
      <c r="LZT175" s="72"/>
      <c r="LZU175" s="72"/>
      <c r="LZV175" s="72"/>
      <c r="LZW175" s="72"/>
      <c r="LZX175" s="72"/>
      <c r="LZY175" s="72"/>
      <c r="LZZ175" s="72"/>
      <c r="MAA175" s="72"/>
      <c r="MAB175" s="72"/>
      <c r="MAC175" s="72"/>
      <c r="MAD175" s="72"/>
      <c r="MAE175" s="72"/>
      <c r="MAF175" s="72"/>
      <c r="MAG175" s="72"/>
      <c r="MAH175" s="72"/>
      <c r="MAI175" s="72"/>
      <c r="MAJ175" s="72"/>
      <c r="MAK175" s="72"/>
      <c r="MAL175" s="72"/>
      <c r="MAM175" s="72"/>
      <c r="MAN175" s="72"/>
      <c r="MAO175" s="72"/>
      <c r="MAP175" s="72"/>
      <c r="MAQ175" s="72"/>
      <c r="MAR175" s="72"/>
      <c r="MAS175" s="72"/>
      <c r="MAT175" s="72"/>
      <c r="MAU175" s="72"/>
      <c r="MAV175" s="72"/>
      <c r="MAW175" s="72"/>
      <c r="MAX175" s="72"/>
      <c r="MAY175" s="72"/>
      <c r="MAZ175" s="72"/>
      <c r="MBA175" s="72"/>
      <c r="MBB175" s="72"/>
      <c r="MBC175" s="72"/>
      <c r="MBD175" s="72"/>
      <c r="MBE175" s="72"/>
      <c r="MBF175" s="72"/>
      <c r="MBG175" s="72"/>
      <c r="MBH175" s="72"/>
      <c r="MBI175" s="72"/>
      <c r="MBJ175" s="72"/>
      <c r="MBK175" s="72"/>
      <c r="MBL175" s="72"/>
      <c r="MBM175" s="72"/>
      <c r="MBN175" s="72"/>
      <c r="MBO175" s="72"/>
      <c r="MBP175" s="72"/>
      <c r="MBQ175" s="72"/>
      <c r="MBR175" s="72"/>
      <c r="MBS175" s="72"/>
      <c r="MBT175" s="72"/>
      <c r="MBU175" s="72"/>
      <c r="MBV175" s="72"/>
      <c r="MBW175" s="72"/>
      <c r="MBX175" s="72"/>
      <c r="MBY175" s="72"/>
      <c r="MBZ175" s="72"/>
      <c r="MCA175" s="72"/>
      <c r="MCB175" s="72"/>
      <c r="MCC175" s="72"/>
      <c r="MCD175" s="72"/>
      <c r="MCE175" s="72"/>
      <c r="MCF175" s="72"/>
      <c r="MCG175" s="72"/>
      <c r="MCH175" s="72"/>
      <c r="MCI175" s="72"/>
      <c r="MCJ175" s="72"/>
      <c r="MCK175" s="72"/>
      <c r="MCL175" s="72"/>
      <c r="MCM175" s="72"/>
      <c r="MCN175" s="72"/>
      <c r="MCO175" s="72"/>
      <c r="MCP175" s="72"/>
      <c r="MCQ175" s="72"/>
      <c r="MCR175" s="72"/>
      <c r="MCS175" s="72"/>
      <c r="MCT175" s="72"/>
      <c r="MCU175" s="72"/>
      <c r="MCV175" s="72"/>
      <c r="MCW175" s="72"/>
      <c r="MCX175" s="72"/>
      <c r="MCY175" s="72"/>
      <c r="MCZ175" s="72"/>
      <c r="MDA175" s="72"/>
      <c r="MDB175" s="72"/>
      <c r="MDC175" s="72"/>
      <c r="MDD175" s="72"/>
      <c r="MDE175" s="72"/>
      <c r="MDF175" s="72"/>
      <c r="MDG175" s="72"/>
      <c r="MDH175" s="72"/>
      <c r="MDI175" s="72"/>
      <c r="MDJ175" s="72"/>
      <c r="MDK175" s="72"/>
      <c r="MDL175" s="72"/>
      <c r="MDM175" s="72"/>
      <c r="MDN175" s="72"/>
      <c r="MDO175" s="72"/>
      <c r="MDP175" s="72"/>
      <c r="MDQ175" s="72"/>
      <c r="MDR175" s="72"/>
      <c r="MDS175" s="72"/>
      <c r="MDT175" s="72"/>
      <c r="MDU175" s="72"/>
      <c r="MDV175" s="72"/>
      <c r="MDW175" s="72"/>
      <c r="MDX175" s="72"/>
      <c r="MDY175" s="72"/>
      <c r="MDZ175" s="72"/>
      <c r="MEA175" s="72"/>
      <c r="MEB175" s="72"/>
      <c r="MEC175" s="72"/>
      <c r="MED175" s="72"/>
      <c r="MEE175" s="72"/>
      <c r="MEF175" s="72"/>
      <c r="MEG175" s="72"/>
      <c r="MEH175" s="72"/>
      <c r="MEI175" s="72"/>
      <c r="MEJ175" s="72"/>
      <c r="MEK175" s="72"/>
      <c r="MEL175" s="72"/>
      <c r="MEM175" s="72"/>
      <c r="MEN175" s="72"/>
      <c r="MEO175" s="72"/>
      <c r="MEP175" s="72"/>
      <c r="MEQ175" s="72"/>
      <c r="MER175" s="72"/>
      <c r="MES175" s="72"/>
      <c r="MET175" s="72"/>
      <c r="MEU175" s="72"/>
      <c r="MEV175" s="72"/>
      <c r="MEW175" s="72"/>
      <c r="MEX175" s="72"/>
      <c r="MEY175" s="72"/>
      <c r="MEZ175" s="72"/>
      <c r="MFA175" s="72"/>
      <c r="MFB175" s="72"/>
      <c r="MFC175" s="72"/>
      <c r="MFD175" s="72"/>
      <c r="MFE175" s="72"/>
      <c r="MFF175" s="72"/>
      <c r="MFG175" s="72"/>
      <c r="MFH175" s="72"/>
      <c r="MFI175" s="72"/>
      <c r="MFJ175" s="72"/>
      <c r="MFK175" s="72"/>
      <c r="MFL175" s="72"/>
      <c r="MFM175" s="72"/>
      <c r="MFN175" s="72"/>
      <c r="MFO175" s="72"/>
      <c r="MFP175" s="72"/>
      <c r="MFQ175" s="72"/>
      <c r="MFR175" s="72"/>
      <c r="MFS175" s="72"/>
      <c r="MFT175" s="72"/>
      <c r="MFU175" s="72"/>
      <c r="MFV175" s="72"/>
      <c r="MFW175" s="72"/>
      <c r="MFX175" s="72"/>
      <c r="MFY175" s="72"/>
      <c r="MFZ175" s="72"/>
      <c r="MGA175" s="72"/>
      <c r="MGB175" s="72"/>
      <c r="MGC175" s="72"/>
      <c r="MGD175" s="72"/>
      <c r="MGE175" s="72"/>
      <c r="MGF175" s="72"/>
      <c r="MGG175" s="72"/>
      <c r="MGH175" s="72"/>
      <c r="MGI175" s="72"/>
      <c r="MGJ175" s="72"/>
      <c r="MGK175" s="72"/>
      <c r="MGL175" s="72"/>
      <c r="MGM175" s="72"/>
      <c r="MGN175" s="72"/>
      <c r="MGO175" s="72"/>
      <c r="MGP175" s="72"/>
      <c r="MGQ175" s="72"/>
      <c r="MGR175" s="72"/>
      <c r="MGS175" s="72"/>
      <c r="MGT175" s="72"/>
      <c r="MGU175" s="72"/>
      <c r="MGV175" s="72"/>
      <c r="MGW175" s="72"/>
      <c r="MGX175" s="72"/>
      <c r="MGY175" s="72"/>
      <c r="MGZ175" s="72"/>
      <c r="MHA175" s="72"/>
      <c r="MHB175" s="72"/>
      <c r="MHC175" s="72"/>
      <c r="MHD175" s="72"/>
      <c r="MHE175" s="72"/>
      <c r="MHF175" s="72"/>
      <c r="MHG175" s="72"/>
      <c r="MHH175" s="72"/>
      <c r="MHI175" s="72"/>
      <c r="MHJ175" s="72"/>
      <c r="MHK175" s="72"/>
      <c r="MHL175" s="72"/>
      <c r="MHM175" s="72"/>
      <c r="MHN175" s="72"/>
      <c r="MHO175" s="72"/>
      <c r="MHP175" s="72"/>
      <c r="MHQ175" s="72"/>
      <c r="MHR175" s="72"/>
      <c r="MHS175" s="72"/>
      <c r="MHT175" s="72"/>
      <c r="MHU175" s="72"/>
      <c r="MHV175" s="72"/>
      <c r="MHW175" s="72"/>
      <c r="MHX175" s="72"/>
      <c r="MHY175" s="72"/>
      <c r="MHZ175" s="72"/>
      <c r="MIA175" s="72"/>
      <c r="MIB175" s="72"/>
      <c r="MIC175" s="72"/>
      <c r="MID175" s="72"/>
      <c r="MIE175" s="72"/>
      <c r="MIF175" s="72"/>
      <c r="MIG175" s="72"/>
      <c r="MIH175" s="72"/>
      <c r="MII175" s="72"/>
      <c r="MIJ175" s="72"/>
      <c r="MIK175" s="72"/>
      <c r="MIL175" s="72"/>
      <c r="MIM175" s="72"/>
      <c r="MIN175" s="72"/>
      <c r="MIO175" s="72"/>
      <c r="MIP175" s="72"/>
      <c r="MIQ175" s="72"/>
      <c r="MIR175" s="72"/>
      <c r="MIS175" s="72"/>
      <c r="MIT175" s="72"/>
      <c r="MIU175" s="72"/>
      <c r="MIV175" s="72"/>
      <c r="MIW175" s="72"/>
      <c r="MIX175" s="72"/>
      <c r="MIY175" s="72"/>
      <c r="MIZ175" s="72"/>
      <c r="MJA175" s="72"/>
      <c r="MJB175" s="72"/>
      <c r="MJC175" s="72"/>
      <c r="MJD175" s="72"/>
      <c r="MJE175" s="72"/>
      <c r="MJF175" s="72"/>
      <c r="MJG175" s="72"/>
      <c r="MJH175" s="72"/>
      <c r="MJI175" s="72"/>
      <c r="MJJ175" s="72"/>
      <c r="MJK175" s="72"/>
      <c r="MJL175" s="72"/>
      <c r="MJM175" s="72"/>
      <c r="MJN175" s="72"/>
      <c r="MJO175" s="72"/>
      <c r="MJP175" s="72"/>
      <c r="MJQ175" s="72"/>
      <c r="MJR175" s="72"/>
      <c r="MJS175" s="72"/>
      <c r="MJT175" s="72"/>
      <c r="MJU175" s="72"/>
      <c r="MJV175" s="72"/>
      <c r="MJW175" s="72"/>
      <c r="MJX175" s="72"/>
      <c r="MJY175" s="72"/>
      <c r="MJZ175" s="72"/>
      <c r="MKA175" s="72"/>
      <c r="MKB175" s="72"/>
      <c r="MKC175" s="72"/>
      <c r="MKD175" s="72"/>
      <c r="MKE175" s="72"/>
      <c r="MKF175" s="72"/>
      <c r="MKG175" s="72"/>
      <c r="MKH175" s="72"/>
      <c r="MKI175" s="72"/>
      <c r="MKJ175" s="72"/>
      <c r="MKK175" s="72"/>
      <c r="MKL175" s="72"/>
      <c r="MKM175" s="72"/>
      <c r="MKN175" s="72"/>
      <c r="MKO175" s="72"/>
      <c r="MKP175" s="72"/>
      <c r="MKQ175" s="72"/>
      <c r="MKR175" s="72"/>
      <c r="MKS175" s="72"/>
      <c r="MKT175" s="72"/>
      <c r="MKU175" s="72"/>
      <c r="MKV175" s="72"/>
      <c r="MKW175" s="72"/>
      <c r="MKX175" s="72"/>
      <c r="MKY175" s="72"/>
      <c r="MKZ175" s="72"/>
      <c r="MLA175" s="72"/>
      <c r="MLB175" s="72"/>
      <c r="MLC175" s="72"/>
      <c r="MLD175" s="72"/>
      <c r="MLE175" s="72"/>
      <c r="MLF175" s="72"/>
      <c r="MLG175" s="72"/>
      <c r="MLH175" s="72"/>
      <c r="MLI175" s="72"/>
      <c r="MLJ175" s="72"/>
      <c r="MLK175" s="72"/>
      <c r="MLL175" s="72"/>
      <c r="MLM175" s="72"/>
      <c r="MLN175" s="72"/>
      <c r="MLO175" s="72"/>
      <c r="MLP175" s="72"/>
      <c r="MLQ175" s="72"/>
      <c r="MLR175" s="72"/>
      <c r="MLS175" s="72"/>
      <c r="MLT175" s="72"/>
      <c r="MLU175" s="72"/>
      <c r="MLV175" s="72"/>
      <c r="MLW175" s="72"/>
      <c r="MLX175" s="72"/>
      <c r="MLY175" s="72"/>
      <c r="MLZ175" s="72"/>
      <c r="MMA175" s="72"/>
      <c r="MMB175" s="72"/>
      <c r="MMC175" s="72"/>
      <c r="MMD175" s="72"/>
      <c r="MME175" s="72"/>
      <c r="MMF175" s="72"/>
      <c r="MMG175" s="72"/>
      <c r="MMH175" s="72"/>
      <c r="MMI175" s="72"/>
      <c r="MMJ175" s="72"/>
      <c r="MMK175" s="72"/>
      <c r="MML175" s="72"/>
      <c r="MMM175" s="72"/>
      <c r="MMN175" s="72"/>
      <c r="MMO175" s="72"/>
      <c r="MMP175" s="72"/>
      <c r="MMQ175" s="72"/>
      <c r="MMR175" s="72"/>
      <c r="MMS175" s="72"/>
      <c r="MMT175" s="72"/>
      <c r="MMU175" s="72"/>
      <c r="MMV175" s="72"/>
      <c r="MMW175" s="72"/>
      <c r="MMX175" s="72"/>
      <c r="MMY175" s="72"/>
      <c r="MMZ175" s="72"/>
      <c r="MNA175" s="72"/>
      <c r="MNB175" s="72"/>
      <c r="MNC175" s="72"/>
      <c r="MND175" s="72"/>
      <c r="MNE175" s="72"/>
      <c r="MNF175" s="72"/>
      <c r="MNG175" s="72"/>
      <c r="MNH175" s="72"/>
      <c r="MNI175" s="72"/>
      <c r="MNJ175" s="72"/>
      <c r="MNK175" s="72"/>
      <c r="MNL175" s="72"/>
      <c r="MNM175" s="72"/>
      <c r="MNN175" s="72"/>
      <c r="MNO175" s="72"/>
      <c r="MNP175" s="72"/>
      <c r="MNQ175" s="72"/>
      <c r="MNR175" s="72"/>
      <c r="MNS175" s="72"/>
      <c r="MNT175" s="72"/>
      <c r="MNU175" s="72"/>
      <c r="MNV175" s="72"/>
      <c r="MNW175" s="72"/>
      <c r="MNX175" s="72"/>
      <c r="MNY175" s="72"/>
      <c r="MNZ175" s="72"/>
      <c r="MOA175" s="72"/>
      <c r="MOB175" s="72"/>
      <c r="MOC175" s="72"/>
      <c r="MOD175" s="72"/>
      <c r="MOE175" s="72"/>
      <c r="MOF175" s="72"/>
      <c r="MOG175" s="72"/>
      <c r="MOH175" s="72"/>
      <c r="MOI175" s="72"/>
      <c r="MOJ175" s="72"/>
      <c r="MOK175" s="72"/>
      <c r="MOL175" s="72"/>
      <c r="MOM175" s="72"/>
      <c r="MON175" s="72"/>
      <c r="MOO175" s="72"/>
      <c r="MOP175" s="72"/>
      <c r="MOQ175" s="72"/>
      <c r="MOR175" s="72"/>
      <c r="MOS175" s="72"/>
      <c r="MOT175" s="72"/>
      <c r="MOU175" s="72"/>
      <c r="MOV175" s="72"/>
      <c r="MOW175" s="72"/>
      <c r="MOX175" s="72"/>
      <c r="MOY175" s="72"/>
      <c r="MOZ175" s="72"/>
      <c r="MPA175" s="72"/>
      <c r="MPB175" s="72"/>
      <c r="MPC175" s="72"/>
      <c r="MPD175" s="72"/>
      <c r="MPE175" s="72"/>
      <c r="MPF175" s="72"/>
      <c r="MPG175" s="72"/>
      <c r="MPH175" s="72"/>
      <c r="MPI175" s="72"/>
      <c r="MPJ175" s="72"/>
      <c r="MPK175" s="72"/>
      <c r="MPL175" s="72"/>
      <c r="MPM175" s="72"/>
      <c r="MPN175" s="72"/>
      <c r="MPO175" s="72"/>
      <c r="MPP175" s="72"/>
      <c r="MPQ175" s="72"/>
      <c r="MPR175" s="72"/>
      <c r="MPS175" s="72"/>
      <c r="MPT175" s="72"/>
      <c r="MPU175" s="72"/>
      <c r="MPV175" s="72"/>
      <c r="MPW175" s="72"/>
      <c r="MPX175" s="72"/>
      <c r="MPY175" s="72"/>
      <c r="MPZ175" s="72"/>
      <c r="MQA175" s="72"/>
      <c r="MQB175" s="72"/>
      <c r="MQC175" s="72"/>
      <c r="MQD175" s="72"/>
      <c r="MQE175" s="72"/>
      <c r="MQF175" s="72"/>
      <c r="MQG175" s="72"/>
      <c r="MQH175" s="72"/>
      <c r="MQI175" s="72"/>
      <c r="MQJ175" s="72"/>
      <c r="MQK175" s="72"/>
      <c r="MQL175" s="72"/>
      <c r="MQM175" s="72"/>
      <c r="MQN175" s="72"/>
      <c r="MQO175" s="72"/>
      <c r="MQP175" s="72"/>
      <c r="MQQ175" s="72"/>
      <c r="MQR175" s="72"/>
      <c r="MQS175" s="72"/>
      <c r="MQT175" s="72"/>
      <c r="MQU175" s="72"/>
      <c r="MQV175" s="72"/>
      <c r="MQW175" s="72"/>
      <c r="MQX175" s="72"/>
      <c r="MQY175" s="72"/>
      <c r="MQZ175" s="72"/>
      <c r="MRA175" s="72"/>
      <c r="MRB175" s="72"/>
      <c r="MRC175" s="72"/>
      <c r="MRD175" s="72"/>
      <c r="MRE175" s="72"/>
      <c r="MRF175" s="72"/>
      <c r="MRG175" s="72"/>
      <c r="MRH175" s="72"/>
      <c r="MRI175" s="72"/>
      <c r="MRJ175" s="72"/>
      <c r="MRK175" s="72"/>
      <c r="MRL175" s="72"/>
      <c r="MRM175" s="72"/>
      <c r="MRN175" s="72"/>
      <c r="MRO175" s="72"/>
      <c r="MRP175" s="72"/>
      <c r="MRQ175" s="72"/>
      <c r="MRR175" s="72"/>
      <c r="MRS175" s="72"/>
      <c r="MRT175" s="72"/>
      <c r="MRU175" s="72"/>
      <c r="MRV175" s="72"/>
      <c r="MRW175" s="72"/>
      <c r="MRX175" s="72"/>
      <c r="MRY175" s="72"/>
      <c r="MRZ175" s="72"/>
      <c r="MSA175" s="72"/>
      <c r="MSB175" s="72"/>
      <c r="MSC175" s="72"/>
      <c r="MSD175" s="72"/>
      <c r="MSE175" s="72"/>
      <c r="MSF175" s="72"/>
      <c r="MSG175" s="72"/>
      <c r="MSH175" s="72"/>
      <c r="MSI175" s="72"/>
      <c r="MSJ175" s="72"/>
      <c r="MSK175" s="72"/>
      <c r="MSL175" s="72"/>
      <c r="MSM175" s="72"/>
      <c r="MSN175" s="72"/>
      <c r="MSO175" s="72"/>
      <c r="MSP175" s="72"/>
      <c r="MSQ175" s="72"/>
      <c r="MSR175" s="72"/>
      <c r="MSS175" s="72"/>
      <c r="MST175" s="72"/>
      <c r="MSU175" s="72"/>
      <c r="MSV175" s="72"/>
      <c r="MSW175" s="72"/>
      <c r="MSX175" s="72"/>
      <c r="MSY175" s="72"/>
      <c r="MSZ175" s="72"/>
      <c r="MTA175" s="72"/>
      <c r="MTB175" s="72"/>
      <c r="MTC175" s="72"/>
      <c r="MTD175" s="72"/>
      <c r="MTE175" s="72"/>
      <c r="MTF175" s="72"/>
      <c r="MTG175" s="72"/>
      <c r="MTH175" s="72"/>
      <c r="MTI175" s="72"/>
      <c r="MTJ175" s="72"/>
      <c r="MTK175" s="72"/>
      <c r="MTL175" s="72"/>
      <c r="MTM175" s="72"/>
      <c r="MTN175" s="72"/>
      <c r="MTO175" s="72"/>
      <c r="MTP175" s="72"/>
      <c r="MTQ175" s="72"/>
      <c r="MTR175" s="72"/>
      <c r="MTS175" s="72"/>
      <c r="MTT175" s="72"/>
      <c r="MTU175" s="72"/>
      <c r="MTV175" s="72"/>
      <c r="MTW175" s="72"/>
      <c r="MTX175" s="72"/>
      <c r="MTY175" s="72"/>
      <c r="MTZ175" s="72"/>
      <c r="MUA175" s="72"/>
      <c r="MUB175" s="72"/>
      <c r="MUC175" s="72"/>
      <c r="MUD175" s="72"/>
      <c r="MUE175" s="72"/>
      <c r="MUF175" s="72"/>
      <c r="MUG175" s="72"/>
      <c r="MUH175" s="72"/>
      <c r="MUI175" s="72"/>
      <c r="MUJ175" s="72"/>
      <c r="MUK175" s="72"/>
      <c r="MUL175" s="72"/>
      <c r="MUM175" s="72"/>
      <c r="MUN175" s="72"/>
      <c r="MUO175" s="72"/>
      <c r="MUP175" s="72"/>
      <c r="MUQ175" s="72"/>
      <c r="MUR175" s="72"/>
      <c r="MUS175" s="72"/>
      <c r="MUT175" s="72"/>
      <c r="MUU175" s="72"/>
      <c r="MUV175" s="72"/>
      <c r="MUW175" s="72"/>
      <c r="MUX175" s="72"/>
      <c r="MUY175" s="72"/>
      <c r="MUZ175" s="72"/>
      <c r="MVA175" s="72"/>
      <c r="MVB175" s="72"/>
      <c r="MVC175" s="72"/>
      <c r="MVD175" s="72"/>
      <c r="MVE175" s="72"/>
      <c r="MVF175" s="72"/>
      <c r="MVG175" s="72"/>
      <c r="MVH175" s="72"/>
      <c r="MVI175" s="72"/>
      <c r="MVJ175" s="72"/>
      <c r="MVK175" s="72"/>
      <c r="MVL175" s="72"/>
      <c r="MVM175" s="72"/>
      <c r="MVN175" s="72"/>
      <c r="MVO175" s="72"/>
      <c r="MVP175" s="72"/>
      <c r="MVQ175" s="72"/>
      <c r="MVR175" s="72"/>
      <c r="MVS175" s="72"/>
      <c r="MVT175" s="72"/>
      <c r="MVU175" s="72"/>
      <c r="MVV175" s="72"/>
      <c r="MVW175" s="72"/>
      <c r="MVX175" s="72"/>
      <c r="MVY175" s="72"/>
      <c r="MVZ175" s="72"/>
      <c r="MWA175" s="72"/>
      <c r="MWB175" s="72"/>
      <c r="MWC175" s="72"/>
      <c r="MWD175" s="72"/>
      <c r="MWE175" s="72"/>
      <c r="MWF175" s="72"/>
      <c r="MWG175" s="72"/>
      <c r="MWH175" s="72"/>
      <c r="MWI175" s="72"/>
      <c r="MWJ175" s="72"/>
      <c r="MWK175" s="72"/>
      <c r="MWL175" s="72"/>
      <c r="MWM175" s="72"/>
      <c r="MWN175" s="72"/>
      <c r="MWO175" s="72"/>
      <c r="MWP175" s="72"/>
      <c r="MWQ175" s="72"/>
      <c r="MWR175" s="72"/>
      <c r="MWS175" s="72"/>
      <c r="MWT175" s="72"/>
      <c r="MWU175" s="72"/>
      <c r="MWV175" s="72"/>
      <c r="MWW175" s="72"/>
      <c r="MWX175" s="72"/>
      <c r="MWY175" s="72"/>
      <c r="MWZ175" s="72"/>
      <c r="MXA175" s="72"/>
      <c r="MXB175" s="72"/>
      <c r="MXC175" s="72"/>
      <c r="MXD175" s="72"/>
      <c r="MXE175" s="72"/>
      <c r="MXF175" s="72"/>
      <c r="MXG175" s="72"/>
      <c r="MXH175" s="72"/>
      <c r="MXI175" s="72"/>
      <c r="MXJ175" s="72"/>
      <c r="MXK175" s="72"/>
      <c r="MXL175" s="72"/>
      <c r="MXM175" s="72"/>
      <c r="MXN175" s="72"/>
      <c r="MXO175" s="72"/>
      <c r="MXP175" s="72"/>
      <c r="MXQ175" s="72"/>
      <c r="MXR175" s="72"/>
      <c r="MXS175" s="72"/>
      <c r="MXT175" s="72"/>
      <c r="MXU175" s="72"/>
      <c r="MXV175" s="72"/>
      <c r="MXW175" s="72"/>
      <c r="MXX175" s="72"/>
      <c r="MXY175" s="72"/>
      <c r="MXZ175" s="72"/>
      <c r="MYA175" s="72"/>
      <c r="MYB175" s="72"/>
      <c r="MYC175" s="72"/>
      <c r="MYD175" s="72"/>
      <c r="MYE175" s="72"/>
      <c r="MYF175" s="72"/>
      <c r="MYG175" s="72"/>
      <c r="MYH175" s="72"/>
      <c r="MYI175" s="72"/>
      <c r="MYJ175" s="72"/>
      <c r="MYK175" s="72"/>
      <c r="MYL175" s="72"/>
      <c r="MYM175" s="72"/>
      <c r="MYN175" s="72"/>
      <c r="MYO175" s="72"/>
      <c r="MYP175" s="72"/>
      <c r="MYQ175" s="72"/>
      <c r="MYR175" s="72"/>
      <c r="MYS175" s="72"/>
      <c r="MYT175" s="72"/>
      <c r="MYU175" s="72"/>
      <c r="MYV175" s="72"/>
      <c r="MYW175" s="72"/>
      <c r="MYX175" s="72"/>
      <c r="MYY175" s="72"/>
      <c r="MYZ175" s="72"/>
      <c r="MZA175" s="72"/>
      <c r="MZB175" s="72"/>
      <c r="MZC175" s="72"/>
      <c r="MZD175" s="72"/>
      <c r="MZE175" s="72"/>
      <c r="MZF175" s="72"/>
      <c r="MZG175" s="72"/>
      <c r="MZH175" s="72"/>
      <c r="MZI175" s="72"/>
      <c r="MZJ175" s="72"/>
      <c r="MZK175" s="72"/>
      <c r="MZL175" s="72"/>
      <c r="MZM175" s="72"/>
      <c r="MZN175" s="72"/>
      <c r="MZO175" s="72"/>
      <c r="MZP175" s="72"/>
      <c r="MZQ175" s="72"/>
      <c r="MZR175" s="72"/>
      <c r="MZS175" s="72"/>
      <c r="MZT175" s="72"/>
      <c r="MZU175" s="72"/>
      <c r="MZV175" s="72"/>
      <c r="MZW175" s="72"/>
      <c r="MZX175" s="72"/>
      <c r="MZY175" s="72"/>
      <c r="MZZ175" s="72"/>
      <c r="NAA175" s="72"/>
      <c r="NAB175" s="72"/>
      <c r="NAC175" s="72"/>
      <c r="NAD175" s="72"/>
      <c r="NAE175" s="72"/>
      <c r="NAF175" s="72"/>
      <c r="NAG175" s="72"/>
      <c r="NAH175" s="72"/>
      <c r="NAI175" s="72"/>
      <c r="NAJ175" s="72"/>
      <c r="NAK175" s="72"/>
      <c r="NAL175" s="72"/>
      <c r="NAM175" s="72"/>
      <c r="NAN175" s="72"/>
      <c r="NAO175" s="72"/>
      <c r="NAP175" s="72"/>
      <c r="NAQ175" s="72"/>
      <c r="NAR175" s="72"/>
      <c r="NAS175" s="72"/>
      <c r="NAT175" s="72"/>
      <c r="NAU175" s="72"/>
      <c r="NAV175" s="72"/>
      <c r="NAW175" s="72"/>
      <c r="NAX175" s="72"/>
      <c r="NAY175" s="72"/>
      <c r="NAZ175" s="72"/>
      <c r="NBA175" s="72"/>
      <c r="NBB175" s="72"/>
      <c r="NBC175" s="72"/>
      <c r="NBD175" s="72"/>
      <c r="NBE175" s="72"/>
      <c r="NBF175" s="72"/>
      <c r="NBG175" s="72"/>
      <c r="NBH175" s="72"/>
      <c r="NBI175" s="72"/>
      <c r="NBJ175" s="72"/>
      <c r="NBK175" s="72"/>
      <c r="NBL175" s="72"/>
      <c r="NBM175" s="72"/>
      <c r="NBN175" s="72"/>
      <c r="NBO175" s="72"/>
      <c r="NBP175" s="72"/>
      <c r="NBQ175" s="72"/>
      <c r="NBR175" s="72"/>
      <c r="NBS175" s="72"/>
      <c r="NBT175" s="72"/>
      <c r="NBU175" s="72"/>
      <c r="NBV175" s="72"/>
      <c r="NBW175" s="72"/>
      <c r="NBX175" s="72"/>
      <c r="NBY175" s="72"/>
      <c r="NBZ175" s="72"/>
      <c r="NCA175" s="72"/>
      <c r="NCB175" s="72"/>
      <c r="NCC175" s="72"/>
      <c r="NCD175" s="72"/>
      <c r="NCE175" s="72"/>
      <c r="NCF175" s="72"/>
      <c r="NCG175" s="72"/>
      <c r="NCH175" s="72"/>
      <c r="NCI175" s="72"/>
      <c r="NCJ175" s="72"/>
      <c r="NCK175" s="72"/>
      <c r="NCL175" s="72"/>
      <c r="NCM175" s="72"/>
      <c r="NCN175" s="72"/>
      <c r="NCO175" s="72"/>
      <c r="NCP175" s="72"/>
      <c r="NCQ175" s="72"/>
      <c r="NCR175" s="72"/>
      <c r="NCS175" s="72"/>
      <c r="NCT175" s="72"/>
      <c r="NCU175" s="72"/>
      <c r="NCV175" s="72"/>
      <c r="NCW175" s="72"/>
      <c r="NCX175" s="72"/>
      <c r="NCY175" s="72"/>
      <c r="NCZ175" s="72"/>
      <c r="NDA175" s="72"/>
      <c r="NDB175" s="72"/>
      <c r="NDC175" s="72"/>
      <c r="NDD175" s="72"/>
      <c r="NDE175" s="72"/>
      <c r="NDF175" s="72"/>
      <c r="NDG175" s="72"/>
      <c r="NDH175" s="72"/>
      <c r="NDI175" s="72"/>
      <c r="NDJ175" s="72"/>
      <c r="NDK175" s="72"/>
      <c r="NDL175" s="72"/>
      <c r="NDM175" s="72"/>
      <c r="NDN175" s="72"/>
      <c r="NDO175" s="72"/>
      <c r="NDP175" s="72"/>
      <c r="NDQ175" s="72"/>
      <c r="NDR175" s="72"/>
      <c r="NDS175" s="72"/>
      <c r="NDT175" s="72"/>
      <c r="NDU175" s="72"/>
      <c r="NDV175" s="72"/>
      <c r="NDW175" s="72"/>
      <c r="NDX175" s="72"/>
      <c r="NDY175" s="72"/>
      <c r="NDZ175" s="72"/>
      <c r="NEA175" s="72"/>
      <c r="NEB175" s="72"/>
      <c r="NEC175" s="72"/>
      <c r="NED175" s="72"/>
      <c r="NEE175" s="72"/>
      <c r="NEF175" s="72"/>
      <c r="NEG175" s="72"/>
      <c r="NEH175" s="72"/>
      <c r="NEI175" s="72"/>
      <c r="NEJ175" s="72"/>
      <c r="NEK175" s="72"/>
      <c r="NEL175" s="72"/>
      <c r="NEM175" s="72"/>
      <c r="NEN175" s="72"/>
      <c r="NEO175" s="72"/>
      <c r="NEP175" s="72"/>
      <c r="NEQ175" s="72"/>
      <c r="NER175" s="72"/>
      <c r="NES175" s="72"/>
      <c r="NET175" s="72"/>
      <c r="NEU175" s="72"/>
      <c r="NEV175" s="72"/>
      <c r="NEW175" s="72"/>
      <c r="NEX175" s="72"/>
      <c r="NEY175" s="72"/>
      <c r="NEZ175" s="72"/>
      <c r="NFA175" s="72"/>
      <c r="NFB175" s="72"/>
      <c r="NFC175" s="72"/>
      <c r="NFD175" s="72"/>
      <c r="NFE175" s="72"/>
      <c r="NFF175" s="72"/>
      <c r="NFG175" s="72"/>
      <c r="NFH175" s="72"/>
      <c r="NFI175" s="72"/>
      <c r="NFJ175" s="72"/>
      <c r="NFK175" s="72"/>
      <c r="NFL175" s="72"/>
      <c r="NFM175" s="72"/>
      <c r="NFN175" s="72"/>
      <c r="NFO175" s="72"/>
      <c r="NFP175" s="72"/>
      <c r="NFQ175" s="72"/>
      <c r="NFR175" s="72"/>
      <c r="NFS175" s="72"/>
      <c r="NFT175" s="72"/>
      <c r="NFU175" s="72"/>
      <c r="NFV175" s="72"/>
      <c r="NFW175" s="72"/>
      <c r="NFX175" s="72"/>
      <c r="NFY175" s="72"/>
      <c r="NFZ175" s="72"/>
      <c r="NGA175" s="72"/>
      <c r="NGB175" s="72"/>
      <c r="NGC175" s="72"/>
      <c r="NGD175" s="72"/>
      <c r="NGE175" s="72"/>
      <c r="NGF175" s="72"/>
      <c r="NGG175" s="72"/>
      <c r="NGH175" s="72"/>
      <c r="NGI175" s="72"/>
      <c r="NGJ175" s="72"/>
      <c r="NGK175" s="72"/>
      <c r="NGL175" s="72"/>
      <c r="NGM175" s="72"/>
      <c r="NGN175" s="72"/>
      <c r="NGO175" s="72"/>
      <c r="NGP175" s="72"/>
      <c r="NGQ175" s="72"/>
      <c r="NGR175" s="72"/>
      <c r="NGS175" s="72"/>
      <c r="NGT175" s="72"/>
      <c r="NGU175" s="72"/>
      <c r="NGV175" s="72"/>
      <c r="NGW175" s="72"/>
      <c r="NGX175" s="72"/>
      <c r="NGY175" s="72"/>
      <c r="NGZ175" s="72"/>
      <c r="NHA175" s="72"/>
      <c r="NHB175" s="72"/>
      <c r="NHC175" s="72"/>
      <c r="NHD175" s="72"/>
      <c r="NHE175" s="72"/>
      <c r="NHF175" s="72"/>
      <c r="NHG175" s="72"/>
      <c r="NHH175" s="72"/>
      <c r="NHI175" s="72"/>
      <c r="NHJ175" s="72"/>
      <c r="NHK175" s="72"/>
      <c r="NHL175" s="72"/>
      <c r="NHM175" s="72"/>
      <c r="NHN175" s="72"/>
      <c r="NHO175" s="72"/>
      <c r="NHP175" s="72"/>
      <c r="NHQ175" s="72"/>
      <c r="NHR175" s="72"/>
      <c r="NHS175" s="72"/>
      <c r="NHT175" s="72"/>
      <c r="NHU175" s="72"/>
      <c r="NHV175" s="72"/>
      <c r="NHW175" s="72"/>
      <c r="NHX175" s="72"/>
      <c r="NHY175" s="72"/>
      <c r="NHZ175" s="72"/>
      <c r="NIA175" s="72"/>
      <c r="NIB175" s="72"/>
      <c r="NIC175" s="72"/>
      <c r="NID175" s="72"/>
      <c r="NIE175" s="72"/>
      <c r="NIF175" s="72"/>
      <c r="NIG175" s="72"/>
      <c r="NIH175" s="72"/>
      <c r="NII175" s="72"/>
      <c r="NIJ175" s="72"/>
      <c r="NIK175" s="72"/>
      <c r="NIL175" s="72"/>
      <c r="NIM175" s="72"/>
      <c r="NIN175" s="72"/>
      <c r="NIO175" s="72"/>
      <c r="NIP175" s="72"/>
      <c r="NIQ175" s="72"/>
      <c r="NIR175" s="72"/>
      <c r="NIS175" s="72"/>
      <c r="NIT175" s="72"/>
      <c r="NIU175" s="72"/>
      <c r="NIV175" s="72"/>
      <c r="NIW175" s="72"/>
      <c r="NIX175" s="72"/>
      <c r="NIY175" s="72"/>
      <c r="NIZ175" s="72"/>
      <c r="NJA175" s="72"/>
      <c r="NJB175" s="72"/>
      <c r="NJC175" s="72"/>
      <c r="NJD175" s="72"/>
      <c r="NJE175" s="72"/>
      <c r="NJF175" s="72"/>
      <c r="NJG175" s="72"/>
      <c r="NJH175" s="72"/>
      <c r="NJI175" s="72"/>
      <c r="NJJ175" s="72"/>
      <c r="NJK175" s="72"/>
      <c r="NJL175" s="72"/>
      <c r="NJM175" s="72"/>
      <c r="NJN175" s="72"/>
      <c r="NJO175" s="72"/>
      <c r="NJP175" s="72"/>
      <c r="NJQ175" s="72"/>
      <c r="NJR175" s="72"/>
      <c r="NJS175" s="72"/>
      <c r="NJT175" s="72"/>
      <c r="NJU175" s="72"/>
      <c r="NJV175" s="72"/>
      <c r="NJW175" s="72"/>
      <c r="NJX175" s="72"/>
      <c r="NJY175" s="72"/>
      <c r="NJZ175" s="72"/>
      <c r="NKA175" s="72"/>
      <c r="NKB175" s="72"/>
      <c r="NKC175" s="72"/>
      <c r="NKD175" s="72"/>
      <c r="NKE175" s="72"/>
      <c r="NKF175" s="72"/>
      <c r="NKG175" s="72"/>
      <c r="NKH175" s="72"/>
      <c r="NKI175" s="72"/>
      <c r="NKJ175" s="72"/>
      <c r="NKK175" s="72"/>
      <c r="NKL175" s="72"/>
      <c r="NKM175" s="72"/>
      <c r="NKN175" s="72"/>
      <c r="NKO175" s="72"/>
      <c r="NKP175" s="72"/>
      <c r="NKQ175" s="72"/>
      <c r="NKR175" s="72"/>
      <c r="NKS175" s="72"/>
      <c r="NKT175" s="72"/>
      <c r="NKU175" s="72"/>
      <c r="NKV175" s="72"/>
      <c r="NKW175" s="72"/>
      <c r="NKX175" s="72"/>
      <c r="NKY175" s="72"/>
      <c r="NKZ175" s="72"/>
      <c r="NLA175" s="72"/>
      <c r="NLB175" s="72"/>
      <c r="NLC175" s="72"/>
      <c r="NLD175" s="72"/>
      <c r="NLE175" s="72"/>
      <c r="NLF175" s="72"/>
      <c r="NLG175" s="72"/>
      <c r="NLH175" s="72"/>
      <c r="NLI175" s="72"/>
      <c r="NLJ175" s="72"/>
      <c r="NLK175" s="72"/>
      <c r="NLL175" s="72"/>
      <c r="NLM175" s="72"/>
      <c r="NLN175" s="72"/>
      <c r="NLO175" s="72"/>
      <c r="NLP175" s="72"/>
      <c r="NLQ175" s="72"/>
      <c r="NLR175" s="72"/>
      <c r="NLS175" s="72"/>
      <c r="NLT175" s="72"/>
      <c r="NLU175" s="72"/>
      <c r="NLV175" s="72"/>
      <c r="NLW175" s="72"/>
      <c r="NLX175" s="72"/>
      <c r="NLY175" s="72"/>
      <c r="NLZ175" s="72"/>
      <c r="NMA175" s="72"/>
      <c r="NMB175" s="72"/>
      <c r="NMC175" s="72"/>
      <c r="NMD175" s="72"/>
      <c r="NME175" s="72"/>
      <c r="NMF175" s="72"/>
      <c r="NMG175" s="72"/>
      <c r="NMH175" s="72"/>
      <c r="NMI175" s="72"/>
      <c r="NMJ175" s="72"/>
      <c r="NMK175" s="72"/>
      <c r="NML175" s="72"/>
      <c r="NMM175" s="72"/>
      <c r="NMN175" s="72"/>
      <c r="NMO175" s="72"/>
      <c r="NMP175" s="72"/>
      <c r="NMQ175" s="72"/>
      <c r="NMR175" s="72"/>
      <c r="NMS175" s="72"/>
      <c r="NMT175" s="72"/>
      <c r="NMU175" s="72"/>
      <c r="NMV175" s="72"/>
      <c r="NMW175" s="72"/>
      <c r="NMX175" s="72"/>
      <c r="NMY175" s="72"/>
      <c r="NMZ175" s="72"/>
      <c r="NNA175" s="72"/>
      <c r="NNB175" s="72"/>
      <c r="NNC175" s="72"/>
      <c r="NND175" s="72"/>
      <c r="NNE175" s="72"/>
      <c r="NNF175" s="72"/>
      <c r="NNG175" s="72"/>
      <c r="NNH175" s="72"/>
      <c r="NNI175" s="72"/>
      <c r="NNJ175" s="72"/>
      <c r="NNK175" s="72"/>
      <c r="NNL175" s="72"/>
      <c r="NNM175" s="72"/>
      <c r="NNN175" s="72"/>
      <c r="NNO175" s="72"/>
      <c r="NNP175" s="72"/>
      <c r="NNQ175" s="72"/>
      <c r="NNR175" s="72"/>
      <c r="NNS175" s="72"/>
      <c r="NNT175" s="72"/>
      <c r="NNU175" s="72"/>
      <c r="NNV175" s="72"/>
      <c r="NNW175" s="72"/>
      <c r="NNX175" s="72"/>
      <c r="NNY175" s="72"/>
      <c r="NNZ175" s="72"/>
      <c r="NOA175" s="72"/>
      <c r="NOB175" s="72"/>
      <c r="NOC175" s="72"/>
      <c r="NOD175" s="72"/>
      <c r="NOE175" s="72"/>
      <c r="NOF175" s="72"/>
      <c r="NOG175" s="72"/>
      <c r="NOH175" s="72"/>
      <c r="NOI175" s="72"/>
      <c r="NOJ175" s="72"/>
      <c r="NOK175" s="72"/>
      <c r="NOL175" s="72"/>
      <c r="NOM175" s="72"/>
      <c r="NON175" s="72"/>
      <c r="NOO175" s="72"/>
      <c r="NOP175" s="72"/>
      <c r="NOQ175" s="72"/>
      <c r="NOR175" s="72"/>
      <c r="NOS175" s="72"/>
      <c r="NOT175" s="72"/>
      <c r="NOU175" s="72"/>
      <c r="NOV175" s="72"/>
      <c r="NOW175" s="72"/>
      <c r="NOX175" s="72"/>
      <c r="NOY175" s="72"/>
      <c r="NOZ175" s="72"/>
      <c r="NPA175" s="72"/>
      <c r="NPB175" s="72"/>
      <c r="NPC175" s="72"/>
      <c r="NPD175" s="72"/>
      <c r="NPE175" s="72"/>
      <c r="NPF175" s="72"/>
      <c r="NPG175" s="72"/>
      <c r="NPH175" s="72"/>
      <c r="NPI175" s="72"/>
      <c r="NPJ175" s="72"/>
      <c r="NPK175" s="72"/>
      <c r="NPL175" s="72"/>
      <c r="NPM175" s="72"/>
      <c r="NPN175" s="72"/>
      <c r="NPO175" s="72"/>
      <c r="NPP175" s="72"/>
      <c r="NPQ175" s="72"/>
      <c r="NPR175" s="72"/>
      <c r="NPS175" s="72"/>
      <c r="NPT175" s="72"/>
      <c r="NPU175" s="72"/>
      <c r="NPV175" s="72"/>
      <c r="NPW175" s="72"/>
      <c r="NPX175" s="72"/>
      <c r="NPY175" s="72"/>
      <c r="NPZ175" s="72"/>
      <c r="NQA175" s="72"/>
      <c r="NQB175" s="72"/>
      <c r="NQC175" s="72"/>
      <c r="NQD175" s="72"/>
      <c r="NQE175" s="72"/>
      <c r="NQF175" s="72"/>
      <c r="NQG175" s="72"/>
      <c r="NQH175" s="72"/>
      <c r="NQI175" s="72"/>
      <c r="NQJ175" s="72"/>
      <c r="NQK175" s="72"/>
      <c r="NQL175" s="72"/>
      <c r="NQM175" s="72"/>
      <c r="NQN175" s="72"/>
      <c r="NQO175" s="72"/>
      <c r="NQP175" s="72"/>
      <c r="NQQ175" s="72"/>
      <c r="NQR175" s="72"/>
      <c r="NQS175" s="72"/>
      <c r="NQT175" s="72"/>
      <c r="NQU175" s="72"/>
      <c r="NQV175" s="72"/>
      <c r="NQW175" s="72"/>
      <c r="NQX175" s="72"/>
      <c r="NQY175" s="72"/>
      <c r="NQZ175" s="72"/>
      <c r="NRA175" s="72"/>
      <c r="NRB175" s="72"/>
      <c r="NRC175" s="72"/>
      <c r="NRD175" s="72"/>
      <c r="NRE175" s="72"/>
      <c r="NRF175" s="72"/>
      <c r="NRG175" s="72"/>
      <c r="NRH175" s="72"/>
      <c r="NRI175" s="72"/>
      <c r="NRJ175" s="72"/>
      <c r="NRK175" s="72"/>
      <c r="NRL175" s="72"/>
      <c r="NRM175" s="72"/>
      <c r="NRN175" s="72"/>
      <c r="NRO175" s="72"/>
      <c r="NRP175" s="72"/>
      <c r="NRQ175" s="72"/>
      <c r="NRR175" s="72"/>
      <c r="NRS175" s="72"/>
      <c r="NRT175" s="72"/>
      <c r="NRU175" s="72"/>
      <c r="NRV175" s="72"/>
      <c r="NRW175" s="72"/>
      <c r="NRX175" s="72"/>
      <c r="NRY175" s="72"/>
      <c r="NRZ175" s="72"/>
      <c r="NSA175" s="72"/>
      <c r="NSB175" s="72"/>
      <c r="NSC175" s="72"/>
      <c r="NSD175" s="72"/>
      <c r="NSE175" s="72"/>
      <c r="NSF175" s="72"/>
      <c r="NSG175" s="72"/>
      <c r="NSH175" s="72"/>
      <c r="NSI175" s="72"/>
      <c r="NSJ175" s="72"/>
      <c r="NSK175" s="72"/>
      <c r="NSL175" s="72"/>
      <c r="NSM175" s="72"/>
      <c r="NSN175" s="72"/>
      <c r="NSO175" s="72"/>
      <c r="NSP175" s="72"/>
      <c r="NSQ175" s="72"/>
      <c r="NSR175" s="72"/>
      <c r="NSS175" s="72"/>
      <c r="NST175" s="72"/>
      <c r="NSU175" s="72"/>
      <c r="NSV175" s="72"/>
      <c r="NSW175" s="72"/>
      <c r="NSX175" s="72"/>
      <c r="NSY175" s="72"/>
      <c r="NSZ175" s="72"/>
      <c r="NTA175" s="72"/>
      <c r="NTB175" s="72"/>
      <c r="NTC175" s="72"/>
      <c r="NTD175" s="72"/>
      <c r="NTE175" s="72"/>
      <c r="NTF175" s="72"/>
      <c r="NTG175" s="72"/>
      <c r="NTH175" s="72"/>
      <c r="NTI175" s="72"/>
      <c r="NTJ175" s="72"/>
      <c r="NTK175" s="72"/>
      <c r="NTL175" s="72"/>
      <c r="NTM175" s="72"/>
      <c r="NTN175" s="72"/>
      <c r="NTO175" s="72"/>
      <c r="NTP175" s="72"/>
      <c r="NTQ175" s="72"/>
      <c r="NTR175" s="72"/>
      <c r="NTS175" s="72"/>
      <c r="NTT175" s="72"/>
      <c r="NTU175" s="72"/>
      <c r="NTV175" s="72"/>
      <c r="NTW175" s="72"/>
      <c r="NTX175" s="72"/>
      <c r="NTY175" s="72"/>
      <c r="NTZ175" s="72"/>
      <c r="NUA175" s="72"/>
      <c r="NUB175" s="72"/>
      <c r="NUC175" s="72"/>
      <c r="NUD175" s="72"/>
      <c r="NUE175" s="72"/>
      <c r="NUF175" s="72"/>
      <c r="NUG175" s="72"/>
      <c r="NUH175" s="72"/>
      <c r="NUI175" s="72"/>
      <c r="NUJ175" s="72"/>
      <c r="NUK175" s="72"/>
      <c r="NUL175" s="72"/>
      <c r="NUM175" s="72"/>
      <c r="NUN175" s="72"/>
      <c r="NUO175" s="72"/>
      <c r="NUP175" s="72"/>
      <c r="NUQ175" s="72"/>
      <c r="NUR175" s="72"/>
      <c r="NUS175" s="72"/>
      <c r="NUT175" s="72"/>
      <c r="NUU175" s="72"/>
      <c r="NUV175" s="72"/>
      <c r="NUW175" s="72"/>
      <c r="NUX175" s="72"/>
      <c r="NUY175" s="72"/>
      <c r="NUZ175" s="72"/>
      <c r="NVA175" s="72"/>
      <c r="NVB175" s="72"/>
      <c r="NVC175" s="72"/>
      <c r="NVD175" s="72"/>
      <c r="NVE175" s="72"/>
      <c r="NVF175" s="72"/>
      <c r="NVG175" s="72"/>
      <c r="NVH175" s="72"/>
      <c r="NVI175" s="72"/>
      <c r="NVJ175" s="72"/>
      <c r="NVK175" s="72"/>
      <c r="NVL175" s="72"/>
      <c r="NVM175" s="72"/>
      <c r="NVN175" s="72"/>
      <c r="NVO175" s="72"/>
      <c r="NVP175" s="72"/>
      <c r="NVQ175" s="72"/>
      <c r="NVR175" s="72"/>
      <c r="NVS175" s="72"/>
      <c r="NVT175" s="72"/>
      <c r="NVU175" s="72"/>
      <c r="NVV175" s="72"/>
      <c r="NVW175" s="72"/>
      <c r="NVX175" s="72"/>
      <c r="NVY175" s="72"/>
      <c r="NVZ175" s="72"/>
      <c r="NWA175" s="72"/>
      <c r="NWB175" s="72"/>
      <c r="NWC175" s="72"/>
      <c r="NWD175" s="72"/>
      <c r="NWE175" s="72"/>
      <c r="NWF175" s="72"/>
      <c r="NWG175" s="72"/>
      <c r="NWH175" s="72"/>
      <c r="NWI175" s="72"/>
      <c r="NWJ175" s="72"/>
      <c r="NWK175" s="72"/>
      <c r="NWL175" s="72"/>
      <c r="NWM175" s="72"/>
      <c r="NWN175" s="72"/>
      <c r="NWO175" s="72"/>
      <c r="NWP175" s="72"/>
      <c r="NWQ175" s="72"/>
      <c r="NWR175" s="72"/>
      <c r="NWS175" s="72"/>
      <c r="NWT175" s="72"/>
      <c r="NWU175" s="72"/>
      <c r="NWV175" s="72"/>
      <c r="NWW175" s="72"/>
      <c r="NWX175" s="72"/>
      <c r="NWY175" s="72"/>
      <c r="NWZ175" s="72"/>
      <c r="NXA175" s="72"/>
      <c r="NXB175" s="72"/>
      <c r="NXC175" s="72"/>
      <c r="NXD175" s="72"/>
      <c r="NXE175" s="72"/>
      <c r="NXF175" s="72"/>
      <c r="NXG175" s="72"/>
      <c r="NXH175" s="72"/>
      <c r="NXI175" s="72"/>
      <c r="NXJ175" s="72"/>
      <c r="NXK175" s="72"/>
      <c r="NXL175" s="72"/>
      <c r="NXM175" s="72"/>
      <c r="NXN175" s="72"/>
      <c r="NXO175" s="72"/>
      <c r="NXP175" s="72"/>
      <c r="NXQ175" s="72"/>
      <c r="NXR175" s="72"/>
      <c r="NXS175" s="72"/>
      <c r="NXT175" s="72"/>
      <c r="NXU175" s="72"/>
      <c r="NXV175" s="72"/>
      <c r="NXW175" s="72"/>
      <c r="NXX175" s="72"/>
      <c r="NXY175" s="72"/>
      <c r="NXZ175" s="72"/>
      <c r="NYA175" s="72"/>
      <c r="NYB175" s="72"/>
      <c r="NYC175" s="72"/>
      <c r="NYD175" s="72"/>
      <c r="NYE175" s="72"/>
      <c r="NYF175" s="72"/>
      <c r="NYG175" s="72"/>
      <c r="NYH175" s="72"/>
      <c r="NYI175" s="72"/>
      <c r="NYJ175" s="72"/>
      <c r="NYK175" s="72"/>
      <c r="NYL175" s="72"/>
      <c r="NYM175" s="72"/>
      <c r="NYN175" s="72"/>
      <c r="NYO175" s="72"/>
      <c r="NYP175" s="72"/>
      <c r="NYQ175" s="72"/>
      <c r="NYR175" s="72"/>
      <c r="NYS175" s="72"/>
      <c r="NYT175" s="72"/>
      <c r="NYU175" s="72"/>
      <c r="NYV175" s="72"/>
      <c r="NYW175" s="72"/>
      <c r="NYX175" s="72"/>
      <c r="NYY175" s="72"/>
      <c r="NYZ175" s="72"/>
      <c r="NZA175" s="72"/>
      <c r="NZB175" s="72"/>
      <c r="NZC175" s="72"/>
      <c r="NZD175" s="72"/>
      <c r="NZE175" s="72"/>
      <c r="NZF175" s="72"/>
      <c r="NZG175" s="72"/>
      <c r="NZH175" s="72"/>
      <c r="NZI175" s="72"/>
      <c r="NZJ175" s="72"/>
      <c r="NZK175" s="72"/>
      <c r="NZL175" s="72"/>
      <c r="NZM175" s="72"/>
      <c r="NZN175" s="72"/>
      <c r="NZO175" s="72"/>
      <c r="NZP175" s="72"/>
      <c r="NZQ175" s="72"/>
      <c r="NZR175" s="72"/>
      <c r="NZS175" s="72"/>
      <c r="NZT175" s="72"/>
      <c r="NZU175" s="72"/>
      <c r="NZV175" s="72"/>
      <c r="NZW175" s="72"/>
      <c r="NZX175" s="72"/>
      <c r="NZY175" s="72"/>
      <c r="NZZ175" s="72"/>
      <c r="OAA175" s="72"/>
      <c r="OAB175" s="72"/>
      <c r="OAC175" s="72"/>
      <c r="OAD175" s="72"/>
      <c r="OAE175" s="72"/>
      <c r="OAF175" s="72"/>
      <c r="OAG175" s="72"/>
      <c r="OAH175" s="72"/>
      <c r="OAI175" s="72"/>
      <c r="OAJ175" s="72"/>
      <c r="OAK175" s="72"/>
      <c r="OAL175" s="72"/>
      <c r="OAM175" s="72"/>
      <c r="OAN175" s="72"/>
      <c r="OAO175" s="72"/>
      <c r="OAP175" s="72"/>
      <c r="OAQ175" s="72"/>
      <c r="OAR175" s="72"/>
      <c r="OAS175" s="72"/>
      <c r="OAT175" s="72"/>
      <c r="OAU175" s="72"/>
      <c r="OAV175" s="72"/>
      <c r="OAW175" s="72"/>
      <c r="OAX175" s="72"/>
      <c r="OAY175" s="72"/>
      <c r="OAZ175" s="72"/>
      <c r="OBA175" s="72"/>
      <c r="OBB175" s="72"/>
      <c r="OBC175" s="72"/>
      <c r="OBD175" s="72"/>
      <c r="OBE175" s="72"/>
      <c r="OBF175" s="72"/>
      <c r="OBG175" s="72"/>
      <c r="OBH175" s="72"/>
      <c r="OBI175" s="72"/>
      <c r="OBJ175" s="72"/>
      <c r="OBK175" s="72"/>
      <c r="OBL175" s="72"/>
      <c r="OBM175" s="72"/>
      <c r="OBN175" s="72"/>
      <c r="OBO175" s="72"/>
      <c r="OBP175" s="72"/>
      <c r="OBQ175" s="72"/>
      <c r="OBR175" s="72"/>
      <c r="OBS175" s="72"/>
      <c r="OBT175" s="72"/>
      <c r="OBU175" s="72"/>
      <c r="OBV175" s="72"/>
      <c r="OBW175" s="72"/>
      <c r="OBX175" s="72"/>
      <c r="OBY175" s="72"/>
      <c r="OBZ175" s="72"/>
      <c r="OCA175" s="72"/>
      <c r="OCB175" s="72"/>
      <c r="OCC175" s="72"/>
      <c r="OCD175" s="72"/>
      <c r="OCE175" s="72"/>
      <c r="OCF175" s="72"/>
      <c r="OCG175" s="72"/>
      <c r="OCH175" s="72"/>
      <c r="OCI175" s="72"/>
      <c r="OCJ175" s="72"/>
      <c r="OCK175" s="72"/>
      <c r="OCL175" s="72"/>
      <c r="OCM175" s="72"/>
      <c r="OCN175" s="72"/>
      <c r="OCO175" s="72"/>
      <c r="OCP175" s="72"/>
      <c r="OCQ175" s="72"/>
      <c r="OCR175" s="72"/>
      <c r="OCS175" s="72"/>
      <c r="OCT175" s="72"/>
      <c r="OCU175" s="72"/>
      <c r="OCV175" s="72"/>
      <c r="OCW175" s="72"/>
      <c r="OCX175" s="72"/>
      <c r="OCY175" s="72"/>
      <c r="OCZ175" s="72"/>
      <c r="ODA175" s="72"/>
      <c r="ODB175" s="72"/>
      <c r="ODC175" s="72"/>
      <c r="ODD175" s="72"/>
      <c r="ODE175" s="72"/>
      <c r="ODF175" s="72"/>
      <c r="ODG175" s="72"/>
      <c r="ODH175" s="72"/>
      <c r="ODI175" s="72"/>
      <c r="ODJ175" s="72"/>
      <c r="ODK175" s="72"/>
      <c r="ODL175" s="72"/>
      <c r="ODM175" s="72"/>
      <c r="ODN175" s="72"/>
      <c r="ODO175" s="72"/>
      <c r="ODP175" s="72"/>
      <c r="ODQ175" s="72"/>
      <c r="ODR175" s="72"/>
      <c r="ODS175" s="72"/>
      <c r="ODT175" s="72"/>
      <c r="ODU175" s="72"/>
      <c r="ODV175" s="72"/>
      <c r="ODW175" s="72"/>
      <c r="ODX175" s="72"/>
      <c r="ODY175" s="72"/>
      <c r="ODZ175" s="72"/>
      <c r="OEA175" s="72"/>
      <c r="OEB175" s="72"/>
      <c r="OEC175" s="72"/>
      <c r="OED175" s="72"/>
      <c r="OEE175" s="72"/>
      <c r="OEF175" s="72"/>
      <c r="OEG175" s="72"/>
      <c r="OEH175" s="72"/>
      <c r="OEI175" s="72"/>
      <c r="OEJ175" s="72"/>
      <c r="OEK175" s="72"/>
      <c r="OEL175" s="72"/>
      <c r="OEM175" s="72"/>
      <c r="OEN175" s="72"/>
      <c r="OEO175" s="72"/>
      <c r="OEP175" s="72"/>
      <c r="OEQ175" s="72"/>
      <c r="OER175" s="72"/>
      <c r="OES175" s="72"/>
      <c r="OET175" s="72"/>
      <c r="OEU175" s="72"/>
      <c r="OEV175" s="72"/>
      <c r="OEW175" s="72"/>
      <c r="OEX175" s="72"/>
      <c r="OEY175" s="72"/>
      <c r="OEZ175" s="72"/>
      <c r="OFA175" s="72"/>
      <c r="OFB175" s="72"/>
      <c r="OFC175" s="72"/>
      <c r="OFD175" s="72"/>
      <c r="OFE175" s="72"/>
      <c r="OFF175" s="72"/>
      <c r="OFG175" s="72"/>
      <c r="OFH175" s="72"/>
      <c r="OFI175" s="72"/>
      <c r="OFJ175" s="72"/>
      <c r="OFK175" s="72"/>
      <c r="OFL175" s="72"/>
      <c r="OFM175" s="72"/>
      <c r="OFN175" s="72"/>
      <c r="OFO175" s="72"/>
      <c r="OFP175" s="72"/>
      <c r="OFQ175" s="72"/>
      <c r="OFR175" s="72"/>
      <c r="OFS175" s="72"/>
      <c r="OFT175" s="72"/>
      <c r="OFU175" s="72"/>
      <c r="OFV175" s="72"/>
      <c r="OFW175" s="72"/>
      <c r="OFX175" s="72"/>
      <c r="OFY175" s="72"/>
      <c r="OFZ175" s="72"/>
      <c r="OGA175" s="72"/>
      <c r="OGB175" s="72"/>
      <c r="OGC175" s="72"/>
      <c r="OGD175" s="72"/>
      <c r="OGE175" s="72"/>
      <c r="OGF175" s="72"/>
      <c r="OGG175" s="72"/>
      <c r="OGH175" s="72"/>
      <c r="OGI175" s="72"/>
      <c r="OGJ175" s="72"/>
      <c r="OGK175" s="72"/>
      <c r="OGL175" s="72"/>
      <c r="OGM175" s="72"/>
      <c r="OGN175" s="72"/>
      <c r="OGO175" s="72"/>
      <c r="OGP175" s="72"/>
      <c r="OGQ175" s="72"/>
      <c r="OGR175" s="72"/>
      <c r="OGS175" s="72"/>
      <c r="OGT175" s="72"/>
      <c r="OGU175" s="72"/>
      <c r="OGV175" s="72"/>
      <c r="OGW175" s="72"/>
      <c r="OGX175" s="72"/>
      <c r="OGY175" s="72"/>
      <c r="OGZ175" s="72"/>
      <c r="OHA175" s="72"/>
      <c r="OHB175" s="72"/>
      <c r="OHC175" s="72"/>
      <c r="OHD175" s="72"/>
      <c r="OHE175" s="72"/>
      <c r="OHF175" s="72"/>
      <c r="OHG175" s="72"/>
      <c r="OHH175" s="72"/>
      <c r="OHI175" s="72"/>
      <c r="OHJ175" s="72"/>
      <c r="OHK175" s="72"/>
      <c r="OHL175" s="72"/>
      <c r="OHM175" s="72"/>
      <c r="OHN175" s="72"/>
      <c r="OHO175" s="72"/>
      <c r="OHP175" s="72"/>
      <c r="OHQ175" s="72"/>
      <c r="OHR175" s="72"/>
      <c r="OHS175" s="72"/>
      <c r="OHT175" s="72"/>
      <c r="OHU175" s="72"/>
      <c r="OHV175" s="72"/>
      <c r="OHW175" s="72"/>
      <c r="OHX175" s="72"/>
      <c r="OHY175" s="72"/>
      <c r="OHZ175" s="72"/>
      <c r="OIA175" s="72"/>
      <c r="OIB175" s="72"/>
      <c r="OIC175" s="72"/>
      <c r="OID175" s="72"/>
      <c r="OIE175" s="72"/>
      <c r="OIF175" s="72"/>
      <c r="OIG175" s="72"/>
      <c r="OIH175" s="72"/>
      <c r="OII175" s="72"/>
      <c r="OIJ175" s="72"/>
      <c r="OIK175" s="72"/>
      <c r="OIL175" s="72"/>
      <c r="OIM175" s="72"/>
      <c r="OIN175" s="72"/>
      <c r="OIO175" s="72"/>
      <c r="OIP175" s="72"/>
      <c r="OIQ175" s="72"/>
      <c r="OIR175" s="72"/>
      <c r="OIS175" s="72"/>
      <c r="OIT175" s="72"/>
      <c r="OIU175" s="72"/>
      <c r="OIV175" s="72"/>
      <c r="OIW175" s="72"/>
      <c r="OIX175" s="72"/>
      <c r="OIY175" s="72"/>
      <c r="OIZ175" s="72"/>
      <c r="OJA175" s="72"/>
      <c r="OJB175" s="72"/>
      <c r="OJC175" s="72"/>
      <c r="OJD175" s="72"/>
      <c r="OJE175" s="72"/>
      <c r="OJF175" s="72"/>
      <c r="OJG175" s="72"/>
      <c r="OJH175" s="72"/>
      <c r="OJI175" s="72"/>
      <c r="OJJ175" s="72"/>
      <c r="OJK175" s="72"/>
      <c r="OJL175" s="72"/>
      <c r="OJM175" s="72"/>
      <c r="OJN175" s="72"/>
      <c r="OJO175" s="72"/>
      <c r="OJP175" s="72"/>
      <c r="OJQ175" s="72"/>
      <c r="OJR175" s="72"/>
      <c r="OJS175" s="72"/>
      <c r="OJT175" s="72"/>
      <c r="OJU175" s="72"/>
      <c r="OJV175" s="72"/>
      <c r="OJW175" s="72"/>
      <c r="OJX175" s="72"/>
      <c r="OJY175" s="72"/>
      <c r="OJZ175" s="72"/>
      <c r="OKA175" s="72"/>
      <c r="OKB175" s="72"/>
      <c r="OKC175" s="72"/>
      <c r="OKD175" s="72"/>
      <c r="OKE175" s="72"/>
      <c r="OKF175" s="72"/>
      <c r="OKG175" s="72"/>
      <c r="OKH175" s="72"/>
      <c r="OKI175" s="72"/>
      <c r="OKJ175" s="72"/>
      <c r="OKK175" s="72"/>
      <c r="OKL175" s="72"/>
      <c r="OKM175" s="72"/>
      <c r="OKN175" s="72"/>
      <c r="OKO175" s="72"/>
      <c r="OKP175" s="72"/>
      <c r="OKQ175" s="72"/>
      <c r="OKR175" s="72"/>
      <c r="OKS175" s="72"/>
      <c r="OKT175" s="72"/>
      <c r="OKU175" s="72"/>
      <c r="OKV175" s="72"/>
      <c r="OKW175" s="72"/>
      <c r="OKX175" s="72"/>
      <c r="OKY175" s="72"/>
      <c r="OKZ175" s="72"/>
      <c r="OLA175" s="72"/>
      <c r="OLB175" s="72"/>
      <c r="OLC175" s="72"/>
      <c r="OLD175" s="72"/>
      <c r="OLE175" s="72"/>
      <c r="OLF175" s="72"/>
      <c r="OLG175" s="72"/>
      <c r="OLH175" s="72"/>
      <c r="OLI175" s="72"/>
      <c r="OLJ175" s="72"/>
      <c r="OLK175" s="72"/>
      <c r="OLL175" s="72"/>
      <c r="OLM175" s="72"/>
      <c r="OLN175" s="72"/>
      <c r="OLO175" s="72"/>
      <c r="OLP175" s="72"/>
      <c r="OLQ175" s="72"/>
      <c r="OLR175" s="72"/>
      <c r="OLS175" s="72"/>
      <c r="OLT175" s="72"/>
      <c r="OLU175" s="72"/>
      <c r="OLV175" s="72"/>
      <c r="OLW175" s="72"/>
      <c r="OLX175" s="72"/>
      <c r="OLY175" s="72"/>
      <c r="OLZ175" s="72"/>
      <c r="OMA175" s="72"/>
      <c r="OMB175" s="72"/>
      <c r="OMC175" s="72"/>
      <c r="OMD175" s="72"/>
      <c r="OME175" s="72"/>
      <c r="OMF175" s="72"/>
      <c r="OMG175" s="72"/>
      <c r="OMH175" s="72"/>
      <c r="OMI175" s="72"/>
      <c r="OMJ175" s="72"/>
      <c r="OMK175" s="72"/>
      <c r="OML175" s="72"/>
      <c r="OMM175" s="72"/>
      <c r="OMN175" s="72"/>
      <c r="OMO175" s="72"/>
      <c r="OMP175" s="72"/>
      <c r="OMQ175" s="72"/>
      <c r="OMR175" s="72"/>
      <c r="OMS175" s="72"/>
      <c r="OMT175" s="72"/>
      <c r="OMU175" s="72"/>
      <c r="OMV175" s="72"/>
      <c r="OMW175" s="72"/>
      <c r="OMX175" s="72"/>
      <c r="OMY175" s="72"/>
      <c r="OMZ175" s="72"/>
      <c r="ONA175" s="72"/>
      <c r="ONB175" s="72"/>
      <c r="ONC175" s="72"/>
      <c r="OND175" s="72"/>
      <c r="ONE175" s="72"/>
      <c r="ONF175" s="72"/>
      <c r="ONG175" s="72"/>
      <c r="ONH175" s="72"/>
      <c r="ONI175" s="72"/>
      <c r="ONJ175" s="72"/>
      <c r="ONK175" s="72"/>
      <c r="ONL175" s="72"/>
      <c r="ONM175" s="72"/>
      <c r="ONN175" s="72"/>
      <c r="ONO175" s="72"/>
      <c r="ONP175" s="72"/>
      <c r="ONQ175" s="72"/>
      <c r="ONR175" s="72"/>
      <c r="ONS175" s="72"/>
      <c r="ONT175" s="72"/>
      <c r="ONU175" s="72"/>
      <c r="ONV175" s="72"/>
      <c r="ONW175" s="72"/>
      <c r="ONX175" s="72"/>
      <c r="ONY175" s="72"/>
      <c r="ONZ175" s="72"/>
      <c r="OOA175" s="72"/>
      <c r="OOB175" s="72"/>
      <c r="OOC175" s="72"/>
      <c r="OOD175" s="72"/>
      <c r="OOE175" s="72"/>
      <c r="OOF175" s="72"/>
      <c r="OOG175" s="72"/>
      <c r="OOH175" s="72"/>
      <c r="OOI175" s="72"/>
      <c r="OOJ175" s="72"/>
      <c r="OOK175" s="72"/>
      <c r="OOL175" s="72"/>
      <c r="OOM175" s="72"/>
      <c r="OON175" s="72"/>
      <c r="OOO175" s="72"/>
      <c r="OOP175" s="72"/>
      <c r="OOQ175" s="72"/>
      <c r="OOR175" s="72"/>
      <c r="OOS175" s="72"/>
      <c r="OOT175" s="72"/>
      <c r="OOU175" s="72"/>
      <c r="OOV175" s="72"/>
      <c r="OOW175" s="72"/>
      <c r="OOX175" s="72"/>
      <c r="OOY175" s="72"/>
      <c r="OOZ175" s="72"/>
      <c r="OPA175" s="72"/>
      <c r="OPB175" s="72"/>
      <c r="OPC175" s="72"/>
      <c r="OPD175" s="72"/>
      <c r="OPE175" s="72"/>
      <c r="OPF175" s="72"/>
      <c r="OPG175" s="72"/>
      <c r="OPH175" s="72"/>
      <c r="OPI175" s="72"/>
      <c r="OPJ175" s="72"/>
      <c r="OPK175" s="72"/>
      <c r="OPL175" s="72"/>
      <c r="OPM175" s="72"/>
      <c r="OPN175" s="72"/>
      <c r="OPO175" s="72"/>
      <c r="OPP175" s="72"/>
      <c r="OPQ175" s="72"/>
      <c r="OPR175" s="72"/>
      <c r="OPS175" s="72"/>
      <c r="OPT175" s="72"/>
      <c r="OPU175" s="72"/>
      <c r="OPV175" s="72"/>
      <c r="OPW175" s="72"/>
      <c r="OPX175" s="72"/>
      <c r="OPY175" s="72"/>
      <c r="OPZ175" s="72"/>
      <c r="OQA175" s="72"/>
      <c r="OQB175" s="72"/>
      <c r="OQC175" s="72"/>
      <c r="OQD175" s="72"/>
      <c r="OQE175" s="72"/>
      <c r="OQF175" s="72"/>
      <c r="OQG175" s="72"/>
      <c r="OQH175" s="72"/>
      <c r="OQI175" s="72"/>
      <c r="OQJ175" s="72"/>
      <c r="OQK175" s="72"/>
      <c r="OQL175" s="72"/>
      <c r="OQM175" s="72"/>
      <c r="OQN175" s="72"/>
      <c r="OQO175" s="72"/>
      <c r="OQP175" s="72"/>
      <c r="OQQ175" s="72"/>
      <c r="OQR175" s="72"/>
      <c r="OQS175" s="72"/>
      <c r="OQT175" s="72"/>
      <c r="OQU175" s="72"/>
      <c r="OQV175" s="72"/>
      <c r="OQW175" s="72"/>
      <c r="OQX175" s="72"/>
      <c r="OQY175" s="72"/>
      <c r="OQZ175" s="72"/>
      <c r="ORA175" s="72"/>
      <c r="ORB175" s="72"/>
      <c r="ORC175" s="72"/>
      <c r="ORD175" s="72"/>
      <c r="ORE175" s="72"/>
      <c r="ORF175" s="72"/>
      <c r="ORG175" s="72"/>
      <c r="ORH175" s="72"/>
      <c r="ORI175" s="72"/>
      <c r="ORJ175" s="72"/>
      <c r="ORK175" s="72"/>
      <c r="ORL175" s="72"/>
      <c r="ORM175" s="72"/>
      <c r="ORN175" s="72"/>
      <c r="ORO175" s="72"/>
      <c r="ORP175" s="72"/>
      <c r="ORQ175" s="72"/>
      <c r="ORR175" s="72"/>
      <c r="ORS175" s="72"/>
      <c r="ORT175" s="72"/>
      <c r="ORU175" s="72"/>
      <c r="ORV175" s="72"/>
      <c r="ORW175" s="72"/>
      <c r="ORX175" s="72"/>
      <c r="ORY175" s="72"/>
      <c r="ORZ175" s="72"/>
      <c r="OSA175" s="72"/>
      <c r="OSB175" s="72"/>
      <c r="OSC175" s="72"/>
      <c r="OSD175" s="72"/>
      <c r="OSE175" s="72"/>
      <c r="OSF175" s="72"/>
      <c r="OSG175" s="72"/>
      <c r="OSH175" s="72"/>
      <c r="OSI175" s="72"/>
      <c r="OSJ175" s="72"/>
      <c r="OSK175" s="72"/>
      <c r="OSL175" s="72"/>
      <c r="OSM175" s="72"/>
      <c r="OSN175" s="72"/>
      <c r="OSO175" s="72"/>
      <c r="OSP175" s="72"/>
      <c r="OSQ175" s="72"/>
      <c r="OSR175" s="72"/>
      <c r="OSS175" s="72"/>
      <c r="OST175" s="72"/>
      <c r="OSU175" s="72"/>
      <c r="OSV175" s="72"/>
      <c r="OSW175" s="72"/>
      <c r="OSX175" s="72"/>
      <c r="OSY175" s="72"/>
      <c r="OSZ175" s="72"/>
      <c r="OTA175" s="72"/>
      <c r="OTB175" s="72"/>
      <c r="OTC175" s="72"/>
      <c r="OTD175" s="72"/>
      <c r="OTE175" s="72"/>
      <c r="OTF175" s="72"/>
      <c r="OTG175" s="72"/>
      <c r="OTH175" s="72"/>
      <c r="OTI175" s="72"/>
      <c r="OTJ175" s="72"/>
      <c r="OTK175" s="72"/>
      <c r="OTL175" s="72"/>
      <c r="OTM175" s="72"/>
      <c r="OTN175" s="72"/>
      <c r="OTO175" s="72"/>
      <c r="OTP175" s="72"/>
      <c r="OTQ175" s="72"/>
      <c r="OTR175" s="72"/>
      <c r="OTS175" s="72"/>
      <c r="OTT175" s="72"/>
      <c r="OTU175" s="72"/>
      <c r="OTV175" s="72"/>
      <c r="OTW175" s="72"/>
      <c r="OTX175" s="72"/>
      <c r="OTY175" s="72"/>
      <c r="OTZ175" s="72"/>
      <c r="OUA175" s="72"/>
      <c r="OUB175" s="72"/>
      <c r="OUC175" s="72"/>
      <c r="OUD175" s="72"/>
      <c r="OUE175" s="72"/>
      <c r="OUF175" s="72"/>
      <c r="OUG175" s="72"/>
      <c r="OUH175" s="72"/>
      <c r="OUI175" s="72"/>
      <c r="OUJ175" s="72"/>
      <c r="OUK175" s="72"/>
      <c r="OUL175" s="72"/>
      <c r="OUM175" s="72"/>
      <c r="OUN175" s="72"/>
      <c r="OUO175" s="72"/>
      <c r="OUP175" s="72"/>
      <c r="OUQ175" s="72"/>
      <c r="OUR175" s="72"/>
      <c r="OUS175" s="72"/>
      <c r="OUT175" s="72"/>
      <c r="OUU175" s="72"/>
      <c r="OUV175" s="72"/>
      <c r="OUW175" s="72"/>
      <c r="OUX175" s="72"/>
      <c r="OUY175" s="72"/>
      <c r="OUZ175" s="72"/>
      <c r="OVA175" s="72"/>
      <c r="OVB175" s="72"/>
      <c r="OVC175" s="72"/>
      <c r="OVD175" s="72"/>
      <c r="OVE175" s="72"/>
      <c r="OVF175" s="72"/>
      <c r="OVG175" s="72"/>
      <c r="OVH175" s="72"/>
      <c r="OVI175" s="72"/>
      <c r="OVJ175" s="72"/>
      <c r="OVK175" s="72"/>
      <c r="OVL175" s="72"/>
      <c r="OVM175" s="72"/>
      <c r="OVN175" s="72"/>
      <c r="OVO175" s="72"/>
      <c r="OVP175" s="72"/>
      <c r="OVQ175" s="72"/>
      <c r="OVR175" s="72"/>
      <c r="OVS175" s="72"/>
      <c r="OVT175" s="72"/>
      <c r="OVU175" s="72"/>
      <c r="OVV175" s="72"/>
      <c r="OVW175" s="72"/>
      <c r="OVX175" s="72"/>
      <c r="OVY175" s="72"/>
      <c r="OVZ175" s="72"/>
      <c r="OWA175" s="72"/>
      <c r="OWB175" s="72"/>
      <c r="OWC175" s="72"/>
      <c r="OWD175" s="72"/>
      <c r="OWE175" s="72"/>
      <c r="OWF175" s="72"/>
      <c r="OWG175" s="72"/>
      <c r="OWH175" s="72"/>
      <c r="OWI175" s="72"/>
      <c r="OWJ175" s="72"/>
      <c r="OWK175" s="72"/>
      <c r="OWL175" s="72"/>
      <c r="OWM175" s="72"/>
      <c r="OWN175" s="72"/>
      <c r="OWO175" s="72"/>
      <c r="OWP175" s="72"/>
      <c r="OWQ175" s="72"/>
      <c r="OWR175" s="72"/>
      <c r="OWS175" s="72"/>
      <c r="OWT175" s="72"/>
      <c r="OWU175" s="72"/>
      <c r="OWV175" s="72"/>
      <c r="OWW175" s="72"/>
      <c r="OWX175" s="72"/>
      <c r="OWY175" s="72"/>
      <c r="OWZ175" s="72"/>
      <c r="OXA175" s="72"/>
      <c r="OXB175" s="72"/>
      <c r="OXC175" s="72"/>
      <c r="OXD175" s="72"/>
      <c r="OXE175" s="72"/>
      <c r="OXF175" s="72"/>
      <c r="OXG175" s="72"/>
      <c r="OXH175" s="72"/>
      <c r="OXI175" s="72"/>
      <c r="OXJ175" s="72"/>
      <c r="OXK175" s="72"/>
      <c r="OXL175" s="72"/>
      <c r="OXM175" s="72"/>
      <c r="OXN175" s="72"/>
      <c r="OXO175" s="72"/>
      <c r="OXP175" s="72"/>
      <c r="OXQ175" s="72"/>
      <c r="OXR175" s="72"/>
      <c r="OXS175" s="72"/>
      <c r="OXT175" s="72"/>
      <c r="OXU175" s="72"/>
      <c r="OXV175" s="72"/>
      <c r="OXW175" s="72"/>
      <c r="OXX175" s="72"/>
      <c r="OXY175" s="72"/>
      <c r="OXZ175" s="72"/>
      <c r="OYA175" s="72"/>
      <c r="OYB175" s="72"/>
      <c r="OYC175" s="72"/>
      <c r="OYD175" s="72"/>
      <c r="OYE175" s="72"/>
      <c r="OYF175" s="72"/>
      <c r="OYG175" s="72"/>
      <c r="OYH175" s="72"/>
      <c r="OYI175" s="72"/>
      <c r="OYJ175" s="72"/>
      <c r="OYK175" s="72"/>
      <c r="OYL175" s="72"/>
      <c r="OYM175" s="72"/>
      <c r="OYN175" s="72"/>
      <c r="OYO175" s="72"/>
      <c r="OYP175" s="72"/>
      <c r="OYQ175" s="72"/>
      <c r="OYR175" s="72"/>
      <c r="OYS175" s="72"/>
      <c r="OYT175" s="72"/>
      <c r="OYU175" s="72"/>
      <c r="OYV175" s="72"/>
      <c r="OYW175" s="72"/>
      <c r="OYX175" s="72"/>
      <c r="OYY175" s="72"/>
      <c r="OYZ175" s="72"/>
      <c r="OZA175" s="72"/>
      <c r="OZB175" s="72"/>
      <c r="OZC175" s="72"/>
      <c r="OZD175" s="72"/>
      <c r="OZE175" s="72"/>
      <c r="OZF175" s="72"/>
      <c r="OZG175" s="72"/>
      <c r="OZH175" s="72"/>
      <c r="OZI175" s="72"/>
      <c r="OZJ175" s="72"/>
      <c r="OZK175" s="72"/>
      <c r="OZL175" s="72"/>
      <c r="OZM175" s="72"/>
      <c r="OZN175" s="72"/>
      <c r="OZO175" s="72"/>
      <c r="OZP175" s="72"/>
      <c r="OZQ175" s="72"/>
      <c r="OZR175" s="72"/>
      <c r="OZS175" s="72"/>
      <c r="OZT175" s="72"/>
      <c r="OZU175" s="72"/>
      <c r="OZV175" s="72"/>
      <c r="OZW175" s="72"/>
      <c r="OZX175" s="72"/>
      <c r="OZY175" s="72"/>
      <c r="OZZ175" s="72"/>
      <c r="PAA175" s="72"/>
      <c r="PAB175" s="72"/>
      <c r="PAC175" s="72"/>
      <c r="PAD175" s="72"/>
      <c r="PAE175" s="72"/>
      <c r="PAF175" s="72"/>
      <c r="PAG175" s="72"/>
      <c r="PAH175" s="72"/>
      <c r="PAI175" s="72"/>
      <c r="PAJ175" s="72"/>
      <c r="PAK175" s="72"/>
      <c r="PAL175" s="72"/>
      <c r="PAM175" s="72"/>
      <c r="PAN175" s="72"/>
      <c r="PAO175" s="72"/>
      <c r="PAP175" s="72"/>
      <c r="PAQ175" s="72"/>
      <c r="PAR175" s="72"/>
      <c r="PAS175" s="72"/>
      <c r="PAT175" s="72"/>
      <c r="PAU175" s="72"/>
      <c r="PAV175" s="72"/>
      <c r="PAW175" s="72"/>
      <c r="PAX175" s="72"/>
      <c r="PAY175" s="72"/>
      <c r="PAZ175" s="72"/>
      <c r="PBA175" s="72"/>
      <c r="PBB175" s="72"/>
      <c r="PBC175" s="72"/>
      <c r="PBD175" s="72"/>
      <c r="PBE175" s="72"/>
      <c r="PBF175" s="72"/>
      <c r="PBG175" s="72"/>
      <c r="PBH175" s="72"/>
      <c r="PBI175" s="72"/>
      <c r="PBJ175" s="72"/>
      <c r="PBK175" s="72"/>
      <c r="PBL175" s="72"/>
      <c r="PBM175" s="72"/>
      <c r="PBN175" s="72"/>
      <c r="PBO175" s="72"/>
      <c r="PBP175" s="72"/>
      <c r="PBQ175" s="72"/>
      <c r="PBR175" s="72"/>
      <c r="PBS175" s="72"/>
      <c r="PBT175" s="72"/>
      <c r="PBU175" s="72"/>
      <c r="PBV175" s="72"/>
      <c r="PBW175" s="72"/>
      <c r="PBX175" s="72"/>
      <c r="PBY175" s="72"/>
      <c r="PBZ175" s="72"/>
      <c r="PCA175" s="72"/>
      <c r="PCB175" s="72"/>
      <c r="PCC175" s="72"/>
      <c r="PCD175" s="72"/>
      <c r="PCE175" s="72"/>
      <c r="PCF175" s="72"/>
      <c r="PCG175" s="72"/>
      <c r="PCH175" s="72"/>
      <c r="PCI175" s="72"/>
      <c r="PCJ175" s="72"/>
      <c r="PCK175" s="72"/>
      <c r="PCL175" s="72"/>
      <c r="PCM175" s="72"/>
      <c r="PCN175" s="72"/>
      <c r="PCO175" s="72"/>
      <c r="PCP175" s="72"/>
      <c r="PCQ175" s="72"/>
      <c r="PCR175" s="72"/>
      <c r="PCS175" s="72"/>
      <c r="PCT175" s="72"/>
      <c r="PCU175" s="72"/>
      <c r="PCV175" s="72"/>
      <c r="PCW175" s="72"/>
      <c r="PCX175" s="72"/>
      <c r="PCY175" s="72"/>
      <c r="PCZ175" s="72"/>
      <c r="PDA175" s="72"/>
      <c r="PDB175" s="72"/>
      <c r="PDC175" s="72"/>
      <c r="PDD175" s="72"/>
      <c r="PDE175" s="72"/>
      <c r="PDF175" s="72"/>
      <c r="PDG175" s="72"/>
      <c r="PDH175" s="72"/>
      <c r="PDI175" s="72"/>
      <c r="PDJ175" s="72"/>
      <c r="PDK175" s="72"/>
      <c r="PDL175" s="72"/>
      <c r="PDM175" s="72"/>
      <c r="PDN175" s="72"/>
      <c r="PDO175" s="72"/>
      <c r="PDP175" s="72"/>
      <c r="PDQ175" s="72"/>
      <c r="PDR175" s="72"/>
      <c r="PDS175" s="72"/>
      <c r="PDT175" s="72"/>
      <c r="PDU175" s="72"/>
      <c r="PDV175" s="72"/>
      <c r="PDW175" s="72"/>
      <c r="PDX175" s="72"/>
      <c r="PDY175" s="72"/>
      <c r="PDZ175" s="72"/>
      <c r="PEA175" s="72"/>
      <c r="PEB175" s="72"/>
      <c r="PEC175" s="72"/>
      <c r="PED175" s="72"/>
      <c r="PEE175" s="72"/>
      <c r="PEF175" s="72"/>
      <c r="PEG175" s="72"/>
      <c r="PEH175" s="72"/>
      <c r="PEI175" s="72"/>
      <c r="PEJ175" s="72"/>
      <c r="PEK175" s="72"/>
      <c r="PEL175" s="72"/>
      <c r="PEM175" s="72"/>
      <c r="PEN175" s="72"/>
      <c r="PEO175" s="72"/>
      <c r="PEP175" s="72"/>
      <c r="PEQ175" s="72"/>
      <c r="PER175" s="72"/>
      <c r="PES175" s="72"/>
      <c r="PET175" s="72"/>
      <c r="PEU175" s="72"/>
      <c r="PEV175" s="72"/>
      <c r="PEW175" s="72"/>
      <c r="PEX175" s="72"/>
      <c r="PEY175" s="72"/>
      <c r="PEZ175" s="72"/>
      <c r="PFA175" s="72"/>
      <c r="PFB175" s="72"/>
      <c r="PFC175" s="72"/>
      <c r="PFD175" s="72"/>
      <c r="PFE175" s="72"/>
      <c r="PFF175" s="72"/>
      <c r="PFG175" s="72"/>
      <c r="PFH175" s="72"/>
      <c r="PFI175" s="72"/>
      <c r="PFJ175" s="72"/>
      <c r="PFK175" s="72"/>
      <c r="PFL175" s="72"/>
      <c r="PFM175" s="72"/>
      <c r="PFN175" s="72"/>
      <c r="PFO175" s="72"/>
      <c r="PFP175" s="72"/>
      <c r="PFQ175" s="72"/>
      <c r="PFR175" s="72"/>
      <c r="PFS175" s="72"/>
      <c r="PFT175" s="72"/>
      <c r="PFU175" s="72"/>
      <c r="PFV175" s="72"/>
      <c r="PFW175" s="72"/>
      <c r="PFX175" s="72"/>
      <c r="PFY175" s="72"/>
      <c r="PFZ175" s="72"/>
      <c r="PGA175" s="72"/>
      <c r="PGB175" s="72"/>
      <c r="PGC175" s="72"/>
      <c r="PGD175" s="72"/>
      <c r="PGE175" s="72"/>
      <c r="PGF175" s="72"/>
      <c r="PGG175" s="72"/>
      <c r="PGH175" s="72"/>
      <c r="PGI175" s="72"/>
      <c r="PGJ175" s="72"/>
      <c r="PGK175" s="72"/>
      <c r="PGL175" s="72"/>
      <c r="PGM175" s="72"/>
      <c r="PGN175" s="72"/>
      <c r="PGO175" s="72"/>
      <c r="PGP175" s="72"/>
      <c r="PGQ175" s="72"/>
      <c r="PGR175" s="72"/>
      <c r="PGS175" s="72"/>
      <c r="PGT175" s="72"/>
      <c r="PGU175" s="72"/>
      <c r="PGV175" s="72"/>
      <c r="PGW175" s="72"/>
      <c r="PGX175" s="72"/>
      <c r="PGY175" s="72"/>
      <c r="PGZ175" s="72"/>
      <c r="PHA175" s="72"/>
      <c r="PHB175" s="72"/>
      <c r="PHC175" s="72"/>
      <c r="PHD175" s="72"/>
      <c r="PHE175" s="72"/>
      <c r="PHF175" s="72"/>
      <c r="PHG175" s="72"/>
      <c r="PHH175" s="72"/>
      <c r="PHI175" s="72"/>
      <c r="PHJ175" s="72"/>
      <c r="PHK175" s="72"/>
      <c r="PHL175" s="72"/>
      <c r="PHM175" s="72"/>
      <c r="PHN175" s="72"/>
      <c r="PHO175" s="72"/>
      <c r="PHP175" s="72"/>
      <c r="PHQ175" s="72"/>
      <c r="PHR175" s="72"/>
      <c r="PHS175" s="72"/>
      <c r="PHT175" s="72"/>
      <c r="PHU175" s="72"/>
      <c r="PHV175" s="72"/>
      <c r="PHW175" s="72"/>
      <c r="PHX175" s="72"/>
      <c r="PHY175" s="72"/>
      <c r="PHZ175" s="72"/>
      <c r="PIA175" s="72"/>
      <c r="PIB175" s="72"/>
      <c r="PIC175" s="72"/>
      <c r="PID175" s="72"/>
      <c r="PIE175" s="72"/>
      <c r="PIF175" s="72"/>
      <c r="PIG175" s="72"/>
      <c r="PIH175" s="72"/>
      <c r="PII175" s="72"/>
      <c r="PIJ175" s="72"/>
      <c r="PIK175" s="72"/>
      <c r="PIL175" s="72"/>
      <c r="PIM175" s="72"/>
      <c r="PIN175" s="72"/>
      <c r="PIO175" s="72"/>
      <c r="PIP175" s="72"/>
      <c r="PIQ175" s="72"/>
      <c r="PIR175" s="72"/>
      <c r="PIS175" s="72"/>
      <c r="PIT175" s="72"/>
      <c r="PIU175" s="72"/>
      <c r="PIV175" s="72"/>
      <c r="PIW175" s="72"/>
      <c r="PIX175" s="72"/>
      <c r="PIY175" s="72"/>
      <c r="PIZ175" s="72"/>
      <c r="PJA175" s="72"/>
      <c r="PJB175" s="72"/>
      <c r="PJC175" s="72"/>
      <c r="PJD175" s="72"/>
      <c r="PJE175" s="72"/>
      <c r="PJF175" s="72"/>
      <c r="PJG175" s="72"/>
      <c r="PJH175" s="72"/>
      <c r="PJI175" s="72"/>
      <c r="PJJ175" s="72"/>
      <c r="PJK175" s="72"/>
      <c r="PJL175" s="72"/>
      <c r="PJM175" s="72"/>
      <c r="PJN175" s="72"/>
      <c r="PJO175" s="72"/>
      <c r="PJP175" s="72"/>
      <c r="PJQ175" s="72"/>
      <c r="PJR175" s="72"/>
      <c r="PJS175" s="72"/>
      <c r="PJT175" s="72"/>
      <c r="PJU175" s="72"/>
      <c r="PJV175" s="72"/>
      <c r="PJW175" s="72"/>
      <c r="PJX175" s="72"/>
      <c r="PJY175" s="72"/>
      <c r="PJZ175" s="72"/>
      <c r="PKA175" s="72"/>
      <c r="PKB175" s="72"/>
      <c r="PKC175" s="72"/>
      <c r="PKD175" s="72"/>
      <c r="PKE175" s="72"/>
      <c r="PKF175" s="72"/>
      <c r="PKG175" s="72"/>
      <c r="PKH175" s="72"/>
      <c r="PKI175" s="72"/>
      <c r="PKJ175" s="72"/>
      <c r="PKK175" s="72"/>
      <c r="PKL175" s="72"/>
      <c r="PKM175" s="72"/>
      <c r="PKN175" s="72"/>
      <c r="PKO175" s="72"/>
      <c r="PKP175" s="72"/>
      <c r="PKQ175" s="72"/>
      <c r="PKR175" s="72"/>
      <c r="PKS175" s="72"/>
      <c r="PKT175" s="72"/>
      <c r="PKU175" s="72"/>
      <c r="PKV175" s="72"/>
      <c r="PKW175" s="72"/>
      <c r="PKX175" s="72"/>
      <c r="PKY175" s="72"/>
      <c r="PKZ175" s="72"/>
      <c r="PLA175" s="72"/>
      <c r="PLB175" s="72"/>
      <c r="PLC175" s="72"/>
      <c r="PLD175" s="72"/>
      <c r="PLE175" s="72"/>
      <c r="PLF175" s="72"/>
      <c r="PLG175" s="72"/>
      <c r="PLH175" s="72"/>
      <c r="PLI175" s="72"/>
      <c r="PLJ175" s="72"/>
      <c r="PLK175" s="72"/>
      <c r="PLL175" s="72"/>
      <c r="PLM175" s="72"/>
      <c r="PLN175" s="72"/>
      <c r="PLO175" s="72"/>
      <c r="PLP175" s="72"/>
      <c r="PLQ175" s="72"/>
      <c r="PLR175" s="72"/>
      <c r="PLS175" s="72"/>
      <c r="PLT175" s="72"/>
      <c r="PLU175" s="72"/>
      <c r="PLV175" s="72"/>
      <c r="PLW175" s="72"/>
      <c r="PLX175" s="72"/>
      <c r="PLY175" s="72"/>
      <c r="PLZ175" s="72"/>
      <c r="PMA175" s="72"/>
      <c r="PMB175" s="72"/>
      <c r="PMC175" s="72"/>
      <c r="PMD175" s="72"/>
      <c r="PME175" s="72"/>
      <c r="PMF175" s="72"/>
      <c r="PMG175" s="72"/>
      <c r="PMH175" s="72"/>
      <c r="PMI175" s="72"/>
      <c r="PMJ175" s="72"/>
      <c r="PMK175" s="72"/>
      <c r="PML175" s="72"/>
      <c r="PMM175" s="72"/>
      <c r="PMN175" s="72"/>
      <c r="PMO175" s="72"/>
      <c r="PMP175" s="72"/>
      <c r="PMQ175" s="72"/>
      <c r="PMR175" s="72"/>
      <c r="PMS175" s="72"/>
      <c r="PMT175" s="72"/>
      <c r="PMU175" s="72"/>
      <c r="PMV175" s="72"/>
      <c r="PMW175" s="72"/>
      <c r="PMX175" s="72"/>
      <c r="PMY175" s="72"/>
      <c r="PMZ175" s="72"/>
      <c r="PNA175" s="72"/>
      <c r="PNB175" s="72"/>
      <c r="PNC175" s="72"/>
      <c r="PND175" s="72"/>
      <c r="PNE175" s="72"/>
      <c r="PNF175" s="72"/>
      <c r="PNG175" s="72"/>
      <c r="PNH175" s="72"/>
      <c r="PNI175" s="72"/>
      <c r="PNJ175" s="72"/>
      <c r="PNK175" s="72"/>
      <c r="PNL175" s="72"/>
      <c r="PNM175" s="72"/>
      <c r="PNN175" s="72"/>
      <c r="PNO175" s="72"/>
      <c r="PNP175" s="72"/>
      <c r="PNQ175" s="72"/>
      <c r="PNR175" s="72"/>
      <c r="PNS175" s="72"/>
      <c r="PNT175" s="72"/>
      <c r="PNU175" s="72"/>
      <c r="PNV175" s="72"/>
      <c r="PNW175" s="72"/>
      <c r="PNX175" s="72"/>
      <c r="PNY175" s="72"/>
      <c r="PNZ175" s="72"/>
      <c r="POA175" s="72"/>
      <c r="POB175" s="72"/>
      <c r="POC175" s="72"/>
      <c r="POD175" s="72"/>
      <c r="POE175" s="72"/>
      <c r="POF175" s="72"/>
      <c r="POG175" s="72"/>
      <c r="POH175" s="72"/>
      <c r="POI175" s="72"/>
      <c r="POJ175" s="72"/>
      <c r="POK175" s="72"/>
      <c r="POL175" s="72"/>
      <c r="POM175" s="72"/>
      <c r="PON175" s="72"/>
      <c r="POO175" s="72"/>
      <c r="POP175" s="72"/>
      <c r="POQ175" s="72"/>
      <c r="POR175" s="72"/>
      <c r="POS175" s="72"/>
      <c r="POT175" s="72"/>
      <c r="POU175" s="72"/>
      <c r="POV175" s="72"/>
      <c r="POW175" s="72"/>
      <c r="POX175" s="72"/>
      <c r="POY175" s="72"/>
      <c r="POZ175" s="72"/>
      <c r="PPA175" s="72"/>
      <c r="PPB175" s="72"/>
      <c r="PPC175" s="72"/>
      <c r="PPD175" s="72"/>
      <c r="PPE175" s="72"/>
      <c r="PPF175" s="72"/>
      <c r="PPG175" s="72"/>
      <c r="PPH175" s="72"/>
      <c r="PPI175" s="72"/>
      <c r="PPJ175" s="72"/>
      <c r="PPK175" s="72"/>
      <c r="PPL175" s="72"/>
      <c r="PPM175" s="72"/>
      <c r="PPN175" s="72"/>
      <c r="PPO175" s="72"/>
      <c r="PPP175" s="72"/>
      <c r="PPQ175" s="72"/>
      <c r="PPR175" s="72"/>
      <c r="PPS175" s="72"/>
      <c r="PPT175" s="72"/>
      <c r="PPU175" s="72"/>
      <c r="PPV175" s="72"/>
      <c r="PPW175" s="72"/>
      <c r="PPX175" s="72"/>
      <c r="PPY175" s="72"/>
      <c r="PPZ175" s="72"/>
      <c r="PQA175" s="72"/>
      <c r="PQB175" s="72"/>
      <c r="PQC175" s="72"/>
      <c r="PQD175" s="72"/>
      <c r="PQE175" s="72"/>
      <c r="PQF175" s="72"/>
      <c r="PQG175" s="72"/>
      <c r="PQH175" s="72"/>
      <c r="PQI175" s="72"/>
      <c r="PQJ175" s="72"/>
      <c r="PQK175" s="72"/>
      <c r="PQL175" s="72"/>
      <c r="PQM175" s="72"/>
      <c r="PQN175" s="72"/>
      <c r="PQO175" s="72"/>
      <c r="PQP175" s="72"/>
      <c r="PQQ175" s="72"/>
      <c r="PQR175" s="72"/>
      <c r="PQS175" s="72"/>
      <c r="PQT175" s="72"/>
      <c r="PQU175" s="72"/>
      <c r="PQV175" s="72"/>
      <c r="PQW175" s="72"/>
      <c r="PQX175" s="72"/>
      <c r="PQY175" s="72"/>
      <c r="PQZ175" s="72"/>
      <c r="PRA175" s="72"/>
      <c r="PRB175" s="72"/>
      <c r="PRC175" s="72"/>
      <c r="PRD175" s="72"/>
      <c r="PRE175" s="72"/>
      <c r="PRF175" s="72"/>
      <c r="PRG175" s="72"/>
      <c r="PRH175" s="72"/>
      <c r="PRI175" s="72"/>
      <c r="PRJ175" s="72"/>
      <c r="PRK175" s="72"/>
      <c r="PRL175" s="72"/>
      <c r="PRM175" s="72"/>
      <c r="PRN175" s="72"/>
      <c r="PRO175" s="72"/>
      <c r="PRP175" s="72"/>
      <c r="PRQ175" s="72"/>
      <c r="PRR175" s="72"/>
      <c r="PRS175" s="72"/>
      <c r="PRT175" s="72"/>
      <c r="PRU175" s="72"/>
      <c r="PRV175" s="72"/>
      <c r="PRW175" s="72"/>
      <c r="PRX175" s="72"/>
      <c r="PRY175" s="72"/>
      <c r="PRZ175" s="72"/>
      <c r="PSA175" s="72"/>
      <c r="PSB175" s="72"/>
      <c r="PSC175" s="72"/>
      <c r="PSD175" s="72"/>
      <c r="PSE175" s="72"/>
      <c r="PSF175" s="72"/>
      <c r="PSG175" s="72"/>
      <c r="PSH175" s="72"/>
      <c r="PSI175" s="72"/>
      <c r="PSJ175" s="72"/>
      <c r="PSK175" s="72"/>
      <c r="PSL175" s="72"/>
      <c r="PSM175" s="72"/>
      <c r="PSN175" s="72"/>
      <c r="PSO175" s="72"/>
      <c r="PSP175" s="72"/>
      <c r="PSQ175" s="72"/>
      <c r="PSR175" s="72"/>
      <c r="PSS175" s="72"/>
      <c r="PST175" s="72"/>
      <c r="PSU175" s="72"/>
      <c r="PSV175" s="72"/>
      <c r="PSW175" s="72"/>
      <c r="PSX175" s="72"/>
      <c r="PSY175" s="72"/>
      <c r="PSZ175" s="72"/>
      <c r="PTA175" s="72"/>
      <c r="PTB175" s="72"/>
      <c r="PTC175" s="72"/>
      <c r="PTD175" s="72"/>
      <c r="PTE175" s="72"/>
      <c r="PTF175" s="72"/>
      <c r="PTG175" s="72"/>
      <c r="PTH175" s="72"/>
      <c r="PTI175" s="72"/>
      <c r="PTJ175" s="72"/>
      <c r="PTK175" s="72"/>
      <c r="PTL175" s="72"/>
      <c r="PTM175" s="72"/>
      <c r="PTN175" s="72"/>
      <c r="PTO175" s="72"/>
      <c r="PTP175" s="72"/>
      <c r="PTQ175" s="72"/>
      <c r="PTR175" s="72"/>
      <c r="PTS175" s="72"/>
      <c r="PTT175" s="72"/>
      <c r="PTU175" s="72"/>
      <c r="PTV175" s="72"/>
      <c r="PTW175" s="72"/>
      <c r="PTX175" s="72"/>
      <c r="PTY175" s="72"/>
      <c r="PTZ175" s="72"/>
      <c r="PUA175" s="72"/>
      <c r="PUB175" s="72"/>
      <c r="PUC175" s="72"/>
      <c r="PUD175" s="72"/>
      <c r="PUE175" s="72"/>
      <c r="PUF175" s="72"/>
      <c r="PUG175" s="72"/>
      <c r="PUH175" s="72"/>
      <c r="PUI175" s="72"/>
      <c r="PUJ175" s="72"/>
      <c r="PUK175" s="72"/>
      <c r="PUL175" s="72"/>
      <c r="PUM175" s="72"/>
      <c r="PUN175" s="72"/>
      <c r="PUO175" s="72"/>
      <c r="PUP175" s="72"/>
      <c r="PUQ175" s="72"/>
      <c r="PUR175" s="72"/>
      <c r="PUS175" s="72"/>
      <c r="PUT175" s="72"/>
      <c r="PUU175" s="72"/>
      <c r="PUV175" s="72"/>
      <c r="PUW175" s="72"/>
      <c r="PUX175" s="72"/>
      <c r="PUY175" s="72"/>
      <c r="PUZ175" s="72"/>
      <c r="PVA175" s="72"/>
      <c r="PVB175" s="72"/>
      <c r="PVC175" s="72"/>
      <c r="PVD175" s="72"/>
      <c r="PVE175" s="72"/>
      <c r="PVF175" s="72"/>
      <c r="PVG175" s="72"/>
      <c r="PVH175" s="72"/>
      <c r="PVI175" s="72"/>
      <c r="PVJ175" s="72"/>
      <c r="PVK175" s="72"/>
      <c r="PVL175" s="72"/>
      <c r="PVM175" s="72"/>
      <c r="PVN175" s="72"/>
      <c r="PVO175" s="72"/>
      <c r="PVP175" s="72"/>
      <c r="PVQ175" s="72"/>
      <c r="PVR175" s="72"/>
      <c r="PVS175" s="72"/>
      <c r="PVT175" s="72"/>
      <c r="PVU175" s="72"/>
      <c r="PVV175" s="72"/>
      <c r="PVW175" s="72"/>
      <c r="PVX175" s="72"/>
      <c r="PVY175" s="72"/>
      <c r="PVZ175" s="72"/>
      <c r="PWA175" s="72"/>
      <c r="PWB175" s="72"/>
      <c r="PWC175" s="72"/>
      <c r="PWD175" s="72"/>
      <c r="PWE175" s="72"/>
      <c r="PWF175" s="72"/>
      <c r="PWG175" s="72"/>
      <c r="PWH175" s="72"/>
      <c r="PWI175" s="72"/>
      <c r="PWJ175" s="72"/>
      <c r="PWK175" s="72"/>
      <c r="PWL175" s="72"/>
      <c r="PWM175" s="72"/>
      <c r="PWN175" s="72"/>
      <c r="PWO175" s="72"/>
      <c r="PWP175" s="72"/>
      <c r="PWQ175" s="72"/>
      <c r="PWR175" s="72"/>
      <c r="PWS175" s="72"/>
      <c r="PWT175" s="72"/>
      <c r="PWU175" s="72"/>
      <c r="PWV175" s="72"/>
      <c r="PWW175" s="72"/>
      <c r="PWX175" s="72"/>
      <c r="PWY175" s="72"/>
      <c r="PWZ175" s="72"/>
      <c r="PXA175" s="72"/>
      <c r="PXB175" s="72"/>
      <c r="PXC175" s="72"/>
      <c r="PXD175" s="72"/>
      <c r="PXE175" s="72"/>
      <c r="PXF175" s="72"/>
      <c r="PXG175" s="72"/>
      <c r="PXH175" s="72"/>
      <c r="PXI175" s="72"/>
      <c r="PXJ175" s="72"/>
      <c r="PXK175" s="72"/>
      <c r="PXL175" s="72"/>
      <c r="PXM175" s="72"/>
      <c r="PXN175" s="72"/>
      <c r="PXO175" s="72"/>
      <c r="PXP175" s="72"/>
      <c r="PXQ175" s="72"/>
      <c r="PXR175" s="72"/>
      <c r="PXS175" s="72"/>
      <c r="PXT175" s="72"/>
      <c r="PXU175" s="72"/>
      <c r="PXV175" s="72"/>
      <c r="PXW175" s="72"/>
      <c r="PXX175" s="72"/>
      <c r="PXY175" s="72"/>
      <c r="PXZ175" s="72"/>
      <c r="PYA175" s="72"/>
      <c r="PYB175" s="72"/>
      <c r="PYC175" s="72"/>
      <c r="PYD175" s="72"/>
      <c r="PYE175" s="72"/>
      <c r="PYF175" s="72"/>
      <c r="PYG175" s="72"/>
      <c r="PYH175" s="72"/>
      <c r="PYI175" s="72"/>
      <c r="PYJ175" s="72"/>
      <c r="PYK175" s="72"/>
      <c r="PYL175" s="72"/>
      <c r="PYM175" s="72"/>
      <c r="PYN175" s="72"/>
      <c r="PYO175" s="72"/>
      <c r="PYP175" s="72"/>
      <c r="PYQ175" s="72"/>
      <c r="PYR175" s="72"/>
      <c r="PYS175" s="72"/>
      <c r="PYT175" s="72"/>
      <c r="PYU175" s="72"/>
      <c r="PYV175" s="72"/>
      <c r="PYW175" s="72"/>
      <c r="PYX175" s="72"/>
      <c r="PYY175" s="72"/>
      <c r="PYZ175" s="72"/>
      <c r="PZA175" s="72"/>
      <c r="PZB175" s="72"/>
      <c r="PZC175" s="72"/>
      <c r="PZD175" s="72"/>
      <c r="PZE175" s="72"/>
      <c r="PZF175" s="72"/>
      <c r="PZG175" s="72"/>
      <c r="PZH175" s="72"/>
      <c r="PZI175" s="72"/>
      <c r="PZJ175" s="72"/>
      <c r="PZK175" s="72"/>
      <c r="PZL175" s="72"/>
      <c r="PZM175" s="72"/>
      <c r="PZN175" s="72"/>
      <c r="PZO175" s="72"/>
      <c r="PZP175" s="72"/>
      <c r="PZQ175" s="72"/>
      <c r="PZR175" s="72"/>
      <c r="PZS175" s="72"/>
      <c r="PZT175" s="72"/>
      <c r="PZU175" s="72"/>
      <c r="PZV175" s="72"/>
      <c r="PZW175" s="72"/>
      <c r="PZX175" s="72"/>
      <c r="PZY175" s="72"/>
      <c r="PZZ175" s="72"/>
      <c r="QAA175" s="72"/>
      <c r="QAB175" s="72"/>
      <c r="QAC175" s="72"/>
      <c r="QAD175" s="72"/>
      <c r="QAE175" s="72"/>
      <c r="QAF175" s="72"/>
      <c r="QAG175" s="72"/>
      <c r="QAH175" s="72"/>
      <c r="QAI175" s="72"/>
      <c r="QAJ175" s="72"/>
      <c r="QAK175" s="72"/>
      <c r="QAL175" s="72"/>
      <c r="QAM175" s="72"/>
      <c r="QAN175" s="72"/>
      <c r="QAO175" s="72"/>
      <c r="QAP175" s="72"/>
      <c r="QAQ175" s="72"/>
      <c r="QAR175" s="72"/>
      <c r="QAS175" s="72"/>
      <c r="QAT175" s="72"/>
      <c r="QAU175" s="72"/>
      <c r="QAV175" s="72"/>
      <c r="QAW175" s="72"/>
      <c r="QAX175" s="72"/>
      <c r="QAY175" s="72"/>
      <c r="QAZ175" s="72"/>
      <c r="QBA175" s="72"/>
      <c r="QBB175" s="72"/>
      <c r="QBC175" s="72"/>
      <c r="QBD175" s="72"/>
      <c r="QBE175" s="72"/>
      <c r="QBF175" s="72"/>
      <c r="QBG175" s="72"/>
      <c r="QBH175" s="72"/>
      <c r="QBI175" s="72"/>
      <c r="QBJ175" s="72"/>
      <c r="QBK175" s="72"/>
      <c r="QBL175" s="72"/>
      <c r="QBM175" s="72"/>
      <c r="QBN175" s="72"/>
      <c r="QBO175" s="72"/>
      <c r="QBP175" s="72"/>
      <c r="QBQ175" s="72"/>
      <c r="QBR175" s="72"/>
      <c r="QBS175" s="72"/>
      <c r="QBT175" s="72"/>
      <c r="QBU175" s="72"/>
      <c r="QBV175" s="72"/>
      <c r="QBW175" s="72"/>
      <c r="QBX175" s="72"/>
      <c r="QBY175" s="72"/>
      <c r="QBZ175" s="72"/>
      <c r="QCA175" s="72"/>
      <c r="QCB175" s="72"/>
      <c r="QCC175" s="72"/>
      <c r="QCD175" s="72"/>
      <c r="QCE175" s="72"/>
      <c r="QCF175" s="72"/>
      <c r="QCG175" s="72"/>
      <c r="QCH175" s="72"/>
      <c r="QCI175" s="72"/>
      <c r="QCJ175" s="72"/>
      <c r="QCK175" s="72"/>
      <c r="QCL175" s="72"/>
      <c r="QCM175" s="72"/>
      <c r="QCN175" s="72"/>
      <c r="QCO175" s="72"/>
      <c r="QCP175" s="72"/>
      <c r="QCQ175" s="72"/>
      <c r="QCR175" s="72"/>
      <c r="QCS175" s="72"/>
      <c r="QCT175" s="72"/>
      <c r="QCU175" s="72"/>
      <c r="QCV175" s="72"/>
      <c r="QCW175" s="72"/>
      <c r="QCX175" s="72"/>
      <c r="QCY175" s="72"/>
      <c r="QCZ175" s="72"/>
      <c r="QDA175" s="72"/>
      <c r="QDB175" s="72"/>
      <c r="QDC175" s="72"/>
      <c r="QDD175" s="72"/>
      <c r="QDE175" s="72"/>
      <c r="QDF175" s="72"/>
      <c r="QDG175" s="72"/>
      <c r="QDH175" s="72"/>
      <c r="QDI175" s="72"/>
      <c r="QDJ175" s="72"/>
      <c r="QDK175" s="72"/>
      <c r="QDL175" s="72"/>
      <c r="QDM175" s="72"/>
      <c r="QDN175" s="72"/>
      <c r="QDO175" s="72"/>
      <c r="QDP175" s="72"/>
      <c r="QDQ175" s="72"/>
      <c r="QDR175" s="72"/>
      <c r="QDS175" s="72"/>
      <c r="QDT175" s="72"/>
      <c r="QDU175" s="72"/>
      <c r="QDV175" s="72"/>
      <c r="QDW175" s="72"/>
      <c r="QDX175" s="72"/>
      <c r="QDY175" s="72"/>
      <c r="QDZ175" s="72"/>
      <c r="QEA175" s="72"/>
      <c r="QEB175" s="72"/>
      <c r="QEC175" s="72"/>
      <c r="QED175" s="72"/>
      <c r="QEE175" s="72"/>
      <c r="QEF175" s="72"/>
      <c r="QEG175" s="72"/>
      <c r="QEH175" s="72"/>
      <c r="QEI175" s="72"/>
      <c r="QEJ175" s="72"/>
      <c r="QEK175" s="72"/>
      <c r="QEL175" s="72"/>
      <c r="QEM175" s="72"/>
      <c r="QEN175" s="72"/>
      <c r="QEO175" s="72"/>
      <c r="QEP175" s="72"/>
      <c r="QEQ175" s="72"/>
      <c r="QER175" s="72"/>
      <c r="QES175" s="72"/>
      <c r="QET175" s="72"/>
      <c r="QEU175" s="72"/>
      <c r="QEV175" s="72"/>
      <c r="QEW175" s="72"/>
      <c r="QEX175" s="72"/>
      <c r="QEY175" s="72"/>
      <c r="QEZ175" s="72"/>
      <c r="QFA175" s="72"/>
      <c r="QFB175" s="72"/>
      <c r="QFC175" s="72"/>
      <c r="QFD175" s="72"/>
      <c r="QFE175" s="72"/>
      <c r="QFF175" s="72"/>
      <c r="QFG175" s="72"/>
      <c r="QFH175" s="72"/>
      <c r="QFI175" s="72"/>
      <c r="QFJ175" s="72"/>
      <c r="QFK175" s="72"/>
      <c r="QFL175" s="72"/>
      <c r="QFM175" s="72"/>
      <c r="QFN175" s="72"/>
      <c r="QFO175" s="72"/>
      <c r="QFP175" s="72"/>
      <c r="QFQ175" s="72"/>
      <c r="QFR175" s="72"/>
      <c r="QFS175" s="72"/>
      <c r="QFT175" s="72"/>
      <c r="QFU175" s="72"/>
      <c r="QFV175" s="72"/>
      <c r="QFW175" s="72"/>
      <c r="QFX175" s="72"/>
      <c r="QFY175" s="72"/>
      <c r="QFZ175" s="72"/>
      <c r="QGA175" s="72"/>
      <c r="QGB175" s="72"/>
      <c r="QGC175" s="72"/>
      <c r="QGD175" s="72"/>
      <c r="QGE175" s="72"/>
      <c r="QGF175" s="72"/>
      <c r="QGG175" s="72"/>
      <c r="QGH175" s="72"/>
      <c r="QGI175" s="72"/>
      <c r="QGJ175" s="72"/>
      <c r="QGK175" s="72"/>
      <c r="QGL175" s="72"/>
      <c r="QGM175" s="72"/>
      <c r="QGN175" s="72"/>
      <c r="QGO175" s="72"/>
      <c r="QGP175" s="72"/>
      <c r="QGQ175" s="72"/>
      <c r="QGR175" s="72"/>
      <c r="QGS175" s="72"/>
      <c r="QGT175" s="72"/>
      <c r="QGU175" s="72"/>
      <c r="QGV175" s="72"/>
      <c r="QGW175" s="72"/>
      <c r="QGX175" s="72"/>
      <c r="QGY175" s="72"/>
      <c r="QGZ175" s="72"/>
      <c r="QHA175" s="72"/>
      <c r="QHB175" s="72"/>
      <c r="QHC175" s="72"/>
      <c r="QHD175" s="72"/>
      <c r="QHE175" s="72"/>
      <c r="QHF175" s="72"/>
      <c r="QHG175" s="72"/>
      <c r="QHH175" s="72"/>
      <c r="QHI175" s="72"/>
      <c r="QHJ175" s="72"/>
      <c r="QHK175" s="72"/>
      <c r="QHL175" s="72"/>
      <c r="QHM175" s="72"/>
      <c r="QHN175" s="72"/>
      <c r="QHO175" s="72"/>
      <c r="QHP175" s="72"/>
      <c r="QHQ175" s="72"/>
      <c r="QHR175" s="72"/>
      <c r="QHS175" s="72"/>
      <c r="QHT175" s="72"/>
      <c r="QHU175" s="72"/>
      <c r="QHV175" s="72"/>
      <c r="QHW175" s="72"/>
      <c r="QHX175" s="72"/>
      <c r="QHY175" s="72"/>
      <c r="QHZ175" s="72"/>
      <c r="QIA175" s="72"/>
      <c r="QIB175" s="72"/>
      <c r="QIC175" s="72"/>
      <c r="QID175" s="72"/>
      <c r="QIE175" s="72"/>
      <c r="QIF175" s="72"/>
      <c r="QIG175" s="72"/>
      <c r="QIH175" s="72"/>
      <c r="QII175" s="72"/>
      <c r="QIJ175" s="72"/>
      <c r="QIK175" s="72"/>
      <c r="QIL175" s="72"/>
      <c r="QIM175" s="72"/>
      <c r="QIN175" s="72"/>
      <c r="QIO175" s="72"/>
      <c r="QIP175" s="72"/>
      <c r="QIQ175" s="72"/>
      <c r="QIR175" s="72"/>
      <c r="QIS175" s="72"/>
      <c r="QIT175" s="72"/>
      <c r="QIU175" s="72"/>
      <c r="QIV175" s="72"/>
      <c r="QIW175" s="72"/>
      <c r="QIX175" s="72"/>
      <c r="QIY175" s="72"/>
      <c r="QIZ175" s="72"/>
      <c r="QJA175" s="72"/>
      <c r="QJB175" s="72"/>
      <c r="QJC175" s="72"/>
      <c r="QJD175" s="72"/>
      <c r="QJE175" s="72"/>
      <c r="QJF175" s="72"/>
      <c r="QJG175" s="72"/>
      <c r="QJH175" s="72"/>
      <c r="QJI175" s="72"/>
      <c r="QJJ175" s="72"/>
      <c r="QJK175" s="72"/>
      <c r="QJL175" s="72"/>
      <c r="QJM175" s="72"/>
      <c r="QJN175" s="72"/>
      <c r="QJO175" s="72"/>
      <c r="QJP175" s="72"/>
      <c r="QJQ175" s="72"/>
      <c r="QJR175" s="72"/>
      <c r="QJS175" s="72"/>
      <c r="QJT175" s="72"/>
      <c r="QJU175" s="72"/>
      <c r="QJV175" s="72"/>
      <c r="QJW175" s="72"/>
      <c r="QJX175" s="72"/>
      <c r="QJY175" s="72"/>
      <c r="QJZ175" s="72"/>
      <c r="QKA175" s="72"/>
      <c r="QKB175" s="72"/>
      <c r="QKC175" s="72"/>
      <c r="QKD175" s="72"/>
      <c r="QKE175" s="72"/>
      <c r="QKF175" s="72"/>
      <c r="QKG175" s="72"/>
      <c r="QKH175" s="72"/>
      <c r="QKI175" s="72"/>
      <c r="QKJ175" s="72"/>
      <c r="QKK175" s="72"/>
      <c r="QKL175" s="72"/>
      <c r="QKM175" s="72"/>
      <c r="QKN175" s="72"/>
      <c r="QKO175" s="72"/>
      <c r="QKP175" s="72"/>
      <c r="QKQ175" s="72"/>
      <c r="QKR175" s="72"/>
      <c r="QKS175" s="72"/>
      <c r="QKT175" s="72"/>
      <c r="QKU175" s="72"/>
      <c r="QKV175" s="72"/>
      <c r="QKW175" s="72"/>
      <c r="QKX175" s="72"/>
      <c r="QKY175" s="72"/>
      <c r="QKZ175" s="72"/>
      <c r="QLA175" s="72"/>
      <c r="QLB175" s="72"/>
      <c r="QLC175" s="72"/>
      <c r="QLD175" s="72"/>
      <c r="QLE175" s="72"/>
      <c r="QLF175" s="72"/>
      <c r="QLG175" s="72"/>
      <c r="QLH175" s="72"/>
      <c r="QLI175" s="72"/>
      <c r="QLJ175" s="72"/>
      <c r="QLK175" s="72"/>
      <c r="QLL175" s="72"/>
      <c r="QLM175" s="72"/>
      <c r="QLN175" s="72"/>
      <c r="QLO175" s="72"/>
      <c r="QLP175" s="72"/>
      <c r="QLQ175" s="72"/>
      <c r="QLR175" s="72"/>
      <c r="QLS175" s="72"/>
      <c r="QLT175" s="72"/>
      <c r="QLU175" s="72"/>
      <c r="QLV175" s="72"/>
      <c r="QLW175" s="72"/>
      <c r="QLX175" s="72"/>
      <c r="QLY175" s="72"/>
      <c r="QLZ175" s="72"/>
      <c r="QMA175" s="72"/>
      <c r="QMB175" s="72"/>
      <c r="QMC175" s="72"/>
      <c r="QMD175" s="72"/>
      <c r="QME175" s="72"/>
      <c r="QMF175" s="72"/>
      <c r="QMG175" s="72"/>
      <c r="QMH175" s="72"/>
      <c r="QMI175" s="72"/>
      <c r="QMJ175" s="72"/>
      <c r="QMK175" s="72"/>
      <c r="QML175" s="72"/>
      <c r="QMM175" s="72"/>
      <c r="QMN175" s="72"/>
      <c r="QMO175" s="72"/>
      <c r="QMP175" s="72"/>
      <c r="QMQ175" s="72"/>
      <c r="QMR175" s="72"/>
      <c r="QMS175" s="72"/>
      <c r="QMT175" s="72"/>
      <c r="QMU175" s="72"/>
      <c r="QMV175" s="72"/>
      <c r="QMW175" s="72"/>
      <c r="QMX175" s="72"/>
      <c r="QMY175" s="72"/>
      <c r="QMZ175" s="72"/>
      <c r="QNA175" s="72"/>
      <c r="QNB175" s="72"/>
      <c r="QNC175" s="72"/>
      <c r="QND175" s="72"/>
      <c r="QNE175" s="72"/>
      <c r="QNF175" s="72"/>
      <c r="QNG175" s="72"/>
      <c r="QNH175" s="72"/>
      <c r="QNI175" s="72"/>
      <c r="QNJ175" s="72"/>
      <c r="QNK175" s="72"/>
      <c r="QNL175" s="72"/>
      <c r="QNM175" s="72"/>
      <c r="QNN175" s="72"/>
      <c r="QNO175" s="72"/>
      <c r="QNP175" s="72"/>
      <c r="QNQ175" s="72"/>
      <c r="QNR175" s="72"/>
      <c r="QNS175" s="72"/>
      <c r="QNT175" s="72"/>
      <c r="QNU175" s="72"/>
      <c r="QNV175" s="72"/>
      <c r="QNW175" s="72"/>
      <c r="QNX175" s="72"/>
      <c r="QNY175" s="72"/>
      <c r="QNZ175" s="72"/>
      <c r="QOA175" s="72"/>
      <c r="QOB175" s="72"/>
      <c r="QOC175" s="72"/>
      <c r="QOD175" s="72"/>
      <c r="QOE175" s="72"/>
      <c r="QOF175" s="72"/>
      <c r="QOG175" s="72"/>
      <c r="QOH175" s="72"/>
      <c r="QOI175" s="72"/>
      <c r="QOJ175" s="72"/>
      <c r="QOK175" s="72"/>
      <c r="QOL175" s="72"/>
      <c r="QOM175" s="72"/>
      <c r="QON175" s="72"/>
      <c r="QOO175" s="72"/>
      <c r="QOP175" s="72"/>
      <c r="QOQ175" s="72"/>
      <c r="QOR175" s="72"/>
      <c r="QOS175" s="72"/>
      <c r="QOT175" s="72"/>
      <c r="QOU175" s="72"/>
      <c r="QOV175" s="72"/>
      <c r="QOW175" s="72"/>
      <c r="QOX175" s="72"/>
      <c r="QOY175" s="72"/>
      <c r="QOZ175" s="72"/>
      <c r="QPA175" s="72"/>
      <c r="QPB175" s="72"/>
      <c r="QPC175" s="72"/>
      <c r="QPD175" s="72"/>
      <c r="QPE175" s="72"/>
      <c r="QPF175" s="72"/>
      <c r="QPG175" s="72"/>
      <c r="QPH175" s="72"/>
      <c r="QPI175" s="72"/>
      <c r="QPJ175" s="72"/>
      <c r="QPK175" s="72"/>
      <c r="QPL175" s="72"/>
      <c r="QPM175" s="72"/>
      <c r="QPN175" s="72"/>
      <c r="QPO175" s="72"/>
      <c r="QPP175" s="72"/>
      <c r="QPQ175" s="72"/>
      <c r="QPR175" s="72"/>
      <c r="QPS175" s="72"/>
      <c r="QPT175" s="72"/>
      <c r="QPU175" s="72"/>
      <c r="QPV175" s="72"/>
      <c r="QPW175" s="72"/>
      <c r="QPX175" s="72"/>
      <c r="QPY175" s="72"/>
      <c r="QPZ175" s="72"/>
      <c r="QQA175" s="72"/>
      <c r="QQB175" s="72"/>
      <c r="QQC175" s="72"/>
      <c r="QQD175" s="72"/>
      <c r="QQE175" s="72"/>
      <c r="QQF175" s="72"/>
      <c r="QQG175" s="72"/>
      <c r="QQH175" s="72"/>
      <c r="QQI175" s="72"/>
      <c r="QQJ175" s="72"/>
      <c r="QQK175" s="72"/>
      <c r="QQL175" s="72"/>
      <c r="QQM175" s="72"/>
      <c r="QQN175" s="72"/>
      <c r="QQO175" s="72"/>
      <c r="QQP175" s="72"/>
      <c r="QQQ175" s="72"/>
      <c r="QQR175" s="72"/>
      <c r="QQS175" s="72"/>
      <c r="QQT175" s="72"/>
      <c r="QQU175" s="72"/>
      <c r="QQV175" s="72"/>
      <c r="QQW175" s="72"/>
      <c r="QQX175" s="72"/>
      <c r="QQY175" s="72"/>
      <c r="QQZ175" s="72"/>
      <c r="QRA175" s="72"/>
      <c r="QRB175" s="72"/>
      <c r="QRC175" s="72"/>
      <c r="QRD175" s="72"/>
      <c r="QRE175" s="72"/>
      <c r="QRF175" s="72"/>
      <c r="QRG175" s="72"/>
      <c r="QRH175" s="72"/>
      <c r="QRI175" s="72"/>
      <c r="QRJ175" s="72"/>
      <c r="QRK175" s="72"/>
      <c r="QRL175" s="72"/>
      <c r="QRM175" s="72"/>
      <c r="QRN175" s="72"/>
      <c r="QRO175" s="72"/>
      <c r="QRP175" s="72"/>
      <c r="QRQ175" s="72"/>
      <c r="QRR175" s="72"/>
      <c r="QRS175" s="72"/>
      <c r="QRT175" s="72"/>
      <c r="QRU175" s="72"/>
      <c r="QRV175" s="72"/>
      <c r="QRW175" s="72"/>
      <c r="QRX175" s="72"/>
      <c r="QRY175" s="72"/>
      <c r="QRZ175" s="72"/>
      <c r="QSA175" s="72"/>
      <c r="QSB175" s="72"/>
      <c r="QSC175" s="72"/>
      <c r="QSD175" s="72"/>
      <c r="QSE175" s="72"/>
      <c r="QSF175" s="72"/>
      <c r="QSG175" s="72"/>
      <c r="QSH175" s="72"/>
      <c r="QSI175" s="72"/>
      <c r="QSJ175" s="72"/>
      <c r="QSK175" s="72"/>
      <c r="QSL175" s="72"/>
      <c r="QSM175" s="72"/>
      <c r="QSN175" s="72"/>
      <c r="QSO175" s="72"/>
      <c r="QSP175" s="72"/>
      <c r="QSQ175" s="72"/>
      <c r="QSR175" s="72"/>
      <c r="QSS175" s="72"/>
      <c r="QST175" s="72"/>
      <c r="QSU175" s="72"/>
      <c r="QSV175" s="72"/>
      <c r="QSW175" s="72"/>
      <c r="QSX175" s="72"/>
      <c r="QSY175" s="72"/>
      <c r="QSZ175" s="72"/>
      <c r="QTA175" s="72"/>
      <c r="QTB175" s="72"/>
      <c r="QTC175" s="72"/>
      <c r="QTD175" s="72"/>
      <c r="QTE175" s="72"/>
      <c r="QTF175" s="72"/>
      <c r="QTG175" s="72"/>
      <c r="QTH175" s="72"/>
      <c r="QTI175" s="72"/>
      <c r="QTJ175" s="72"/>
      <c r="QTK175" s="72"/>
      <c r="QTL175" s="72"/>
      <c r="QTM175" s="72"/>
      <c r="QTN175" s="72"/>
      <c r="QTO175" s="72"/>
      <c r="QTP175" s="72"/>
      <c r="QTQ175" s="72"/>
      <c r="QTR175" s="72"/>
      <c r="QTS175" s="72"/>
      <c r="QTT175" s="72"/>
      <c r="QTU175" s="72"/>
      <c r="QTV175" s="72"/>
      <c r="QTW175" s="72"/>
      <c r="QTX175" s="72"/>
      <c r="QTY175" s="72"/>
      <c r="QTZ175" s="72"/>
      <c r="QUA175" s="72"/>
      <c r="QUB175" s="72"/>
      <c r="QUC175" s="72"/>
      <c r="QUD175" s="72"/>
      <c r="QUE175" s="72"/>
      <c r="QUF175" s="72"/>
      <c r="QUG175" s="72"/>
      <c r="QUH175" s="72"/>
      <c r="QUI175" s="72"/>
      <c r="QUJ175" s="72"/>
      <c r="QUK175" s="72"/>
      <c r="QUL175" s="72"/>
      <c r="QUM175" s="72"/>
      <c r="QUN175" s="72"/>
      <c r="QUO175" s="72"/>
      <c r="QUP175" s="72"/>
      <c r="QUQ175" s="72"/>
      <c r="QUR175" s="72"/>
      <c r="QUS175" s="72"/>
      <c r="QUT175" s="72"/>
      <c r="QUU175" s="72"/>
      <c r="QUV175" s="72"/>
      <c r="QUW175" s="72"/>
      <c r="QUX175" s="72"/>
      <c r="QUY175" s="72"/>
      <c r="QUZ175" s="72"/>
      <c r="QVA175" s="72"/>
      <c r="QVB175" s="72"/>
      <c r="QVC175" s="72"/>
      <c r="QVD175" s="72"/>
      <c r="QVE175" s="72"/>
      <c r="QVF175" s="72"/>
      <c r="QVG175" s="72"/>
      <c r="QVH175" s="72"/>
      <c r="QVI175" s="72"/>
      <c r="QVJ175" s="72"/>
      <c r="QVK175" s="72"/>
      <c r="QVL175" s="72"/>
      <c r="QVM175" s="72"/>
      <c r="QVN175" s="72"/>
      <c r="QVO175" s="72"/>
      <c r="QVP175" s="72"/>
      <c r="QVQ175" s="72"/>
      <c r="QVR175" s="72"/>
      <c r="QVS175" s="72"/>
      <c r="QVT175" s="72"/>
      <c r="QVU175" s="72"/>
      <c r="QVV175" s="72"/>
      <c r="QVW175" s="72"/>
      <c r="QVX175" s="72"/>
      <c r="QVY175" s="72"/>
      <c r="QVZ175" s="72"/>
      <c r="QWA175" s="72"/>
      <c r="QWB175" s="72"/>
      <c r="QWC175" s="72"/>
      <c r="QWD175" s="72"/>
      <c r="QWE175" s="72"/>
      <c r="QWF175" s="72"/>
      <c r="QWG175" s="72"/>
      <c r="QWH175" s="72"/>
      <c r="QWI175" s="72"/>
      <c r="QWJ175" s="72"/>
      <c r="QWK175" s="72"/>
      <c r="QWL175" s="72"/>
      <c r="QWM175" s="72"/>
      <c r="QWN175" s="72"/>
      <c r="QWO175" s="72"/>
      <c r="QWP175" s="72"/>
      <c r="QWQ175" s="72"/>
      <c r="QWR175" s="72"/>
      <c r="QWS175" s="72"/>
      <c r="QWT175" s="72"/>
      <c r="QWU175" s="72"/>
      <c r="QWV175" s="72"/>
      <c r="QWW175" s="72"/>
      <c r="QWX175" s="72"/>
      <c r="QWY175" s="72"/>
      <c r="QWZ175" s="72"/>
      <c r="QXA175" s="72"/>
      <c r="QXB175" s="72"/>
      <c r="QXC175" s="72"/>
      <c r="QXD175" s="72"/>
      <c r="QXE175" s="72"/>
      <c r="QXF175" s="72"/>
      <c r="QXG175" s="72"/>
      <c r="QXH175" s="72"/>
      <c r="QXI175" s="72"/>
      <c r="QXJ175" s="72"/>
      <c r="QXK175" s="72"/>
      <c r="QXL175" s="72"/>
      <c r="QXM175" s="72"/>
      <c r="QXN175" s="72"/>
      <c r="QXO175" s="72"/>
      <c r="QXP175" s="72"/>
      <c r="QXQ175" s="72"/>
      <c r="QXR175" s="72"/>
      <c r="QXS175" s="72"/>
      <c r="QXT175" s="72"/>
      <c r="QXU175" s="72"/>
      <c r="QXV175" s="72"/>
      <c r="QXW175" s="72"/>
      <c r="QXX175" s="72"/>
      <c r="QXY175" s="72"/>
      <c r="QXZ175" s="72"/>
      <c r="QYA175" s="72"/>
      <c r="QYB175" s="72"/>
      <c r="QYC175" s="72"/>
      <c r="QYD175" s="72"/>
      <c r="QYE175" s="72"/>
      <c r="QYF175" s="72"/>
      <c r="QYG175" s="72"/>
      <c r="QYH175" s="72"/>
      <c r="QYI175" s="72"/>
      <c r="QYJ175" s="72"/>
      <c r="QYK175" s="72"/>
      <c r="QYL175" s="72"/>
      <c r="QYM175" s="72"/>
      <c r="QYN175" s="72"/>
      <c r="QYO175" s="72"/>
      <c r="QYP175" s="72"/>
      <c r="QYQ175" s="72"/>
      <c r="QYR175" s="72"/>
      <c r="QYS175" s="72"/>
      <c r="QYT175" s="72"/>
      <c r="QYU175" s="72"/>
      <c r="QYV175" s="72"/>
      <c r="QYW175" s="72"/>
      <c r="QYX175" s="72"/>
      <c r="QYY175" s="72"/>
      <c r="QYZ175" s="72"/>
      <c r="QZA175" s="72"/>
      <c r="QZB175" s="72"/>
      <c r="QZC175" s="72"/>
      <c r="QZD175" s="72"/>
      <c r="QZE175" s="72"/>
      <c r="QZF175" s="72"/>
      <c r="QZG175" s="72"/>
      <c r="QZH175" s="72"/>
      <c r="QZI175" s="72"/>
      <c r="QZJ175" s="72"/>
      <c r="QZK175" s="72"/>
      <c r="QZL175" s="72"/>
      <c r="QZM175" s="72"/>
      <c r="QZN175" s="72"/>
      <c r="QZO175" s="72"/>
      <c r="QZP175" s="72"/>
      <c r="QZQ175" s="72"/>
      <c r="QZR175" s="72"/>
      <c r="QZS175" s="72"/>
      <c r="QZT175" s="72"/>
      <c r="QZU175" s="72"/>
      <c r="QZV175" s="72"/>
      <c r="QZW175" s="72"/>
      <c r="QZX175" s="72"/>
      <c r="QZY175" s="72"/>
      <c r="QZZ175" s="72"/>
      <c r="RAA175" s="72"/>
      <c r="RAB175" s="72"/>
      <c r="RAC175" s="72"/>
      <c r="RAD175" s="72"/>
      <c r="RAE175" s="72"/>
      <c r="RAF175" s="72"/>
      <c r="RAG175" s="72"/>
      <c r="RAH175" s="72"/>
      <c r="RAI175" s="72"/>
      <c r="RAJ175" s="72"/>
      <c r="RAK175" s="72"/>
      <c r="RAL175" s="72"/>
      <c r="RAM175" s="72"/>
      <c r="RAN175" s="72"/>
      <c r="RAO175" s="72"/>
      <c r="RAP175" s="72"/>
      <c r="RAQ175" s="72"/>
      <c r="RAR175" s="72"/>
      <c r="RAS175" s="72"/>
      <c r="RAT175" s="72"/>
      <c r="RAU175" s="72"/>
      <c r="RAV175" s="72"/>
      <c r="RAW175" s="72"/>
      <c r="RAX175" s="72"/>
      <c r="RAY175" s="72"/>
      <c r="RAZ175" s="72"/>
      <c r="RBA175" s="72"/>
      <c r="RBB175" s="72"/>
      <c r="RBC175" s="72"/>
      <c r="RBD175" s="72"/>
      <c r="RBE175" s="72"/>
      <c r="RBF175" s="72"/>
      <c r="RBG175" s="72"/>
      <c r="RBH175" s="72"/>
      <c r="RBI175" s="72"/>
      <c r="RBJ175" s="72"/>
      <c r="RBK175" s="72"/>
      <c r="RBL175" s="72"/>
      <c r="RBM175" s="72"/>
      <c r="RBN175" s="72"/>
      <c r="RBO175" s="72"/>
      <c r="RBP175" s="72"/>
      <c r="RBQ175" s="72"/>
      <c r="RBR175" s="72"/>
      <c r="RBS175" s="72"/>
      <c r="RBT175" s="72"/>
      <c r="RBU175" s="72"/>
      <c r="RBV175" s="72"/>
      <c r="RBW175" s="72"/>
      <c r="RBX175" s="72"/>
      <c r="RBY175" s="72"/>
      <c r="RBZ175" s="72"/>
      <c r="RCA175" s="72"/>
      <c r="RCB175" s="72"/>
      <c r="RCC175" s="72"/>
      <c r="RCD175" s="72"/>
      <c r="RCE175" s="72"/>
      <c r="RCF175" s="72"/>
      <c r="RCG175" s="72"/>
      <c r="RCH175" s="72"/>
      <c r="RCI175" s="72"/>
      <c r="RCJ175" s="72"/>
      <c r="RCK175" s="72"/>
      <c r="RCL175" s="72"/>
      <c r="RCM175" s="72"/>
      <c r="RCN175" s="72"/>
      <c r="RCO175" s="72"/>
      <c r="RCP175" s="72"/>
      <c r="RCQ175" s="72"/>
      <c r="RCR175" s="72"/>
      <c r="RCS175" s="72"/>
      <c r="RCT175" s="72"/>
      <c r="RCU175" s="72"/>
      <c r="RCV175" s="72"/>
      <c r="RCW175" s="72"/>
      <c r="RCX175" s="72"/>
      <c r="RCY175" s="72"/>
      <c r="RCZ175" s="72"/>
      <c r="RDA175" s="72"/>
      <c r="RDB175" s="72"/>
      <c r="RDC175" s="72"/>
      <c r="RDD175" s="72"/>
      <c r="RDE175" s="72"/>
      <c r="RDF175" s="72"/>
      <c r="RDG175" s="72"/>
      <c r="RDH175" s="72"/>
      <c r="RDI175" s="72"/>
      <c r="RDJ175" s="72"/>
      <c r="RDK175" s="72"/>
      <c r="RDL175" s="72"/>
      <c r="RDM175" s="72"/>
      <c r="RDN175" s="72"/>
      <c r="RDO175" s="72"/>
      <c r="RDP175" s="72"/>
      <c r="RDQ175" s="72"/>
      <c r="RDR175" s="72"/>
      <c r="RDS175" s="72"/>
      <c r="RDT175" s="72"/>
      <c r="RDU175" s="72"/>
      <c r="RDV175" s="72"/>
      <c r="RDW175" s="72"/>
      <c r="RDX175" s="72"/>
      <c r="RDY175" s="72"/>
      <c r="RDZ175" s="72"/>
      <c r="REA175" s="72"/>
      <c r="REB175" s="72"/>
      <c r="REC175" s="72"/>
      <c r="RED175" s="72"/>
      <c r="REE175" s="72"/>
      <c r="REF175" s="72"/>
      <c r="REG175" s="72"/>
      <c r="REH175" s="72"/>
      <c r="REI175" s="72"/>
      <c r="REJ175" s="72"/>
      <c r="REK175" s="72"/>
      <c r="REL175" s="72"/>
      <c r="REM175" s="72"/>
      <c r="REN175" s="72"/>
      <c r="REO175" s="72"/>
      <c r="REP175" s="72"/>
      <c r="REQ175" s="72"/>
      <c r="RER175" s="72"/>
      <c r="RES175" s="72"/>
      <c r="RET175" s="72"/>
      <c r="REU175" s="72"/>
      <c r="REV175" s="72"/>
      <c r="REW175" s="72"/>
      <c r="REX175" s="72"/>
      <c r="REY175" s="72"/>
      <c r="REZ175" s="72"/>
      <c r="RFA175" s="72"/>
      <c r="RFB175" s="72"/>
      <c r="RFC175" s="72"/>
      <c r="RFD175" s="72"/>
      <c r="RFE175" s="72"/>
      <c r="RFF175" s="72"/>
      <c r="RFG175" s="72"/>
      <c r="RFH175" s="72"/>
      <c r="RFI175" s="72"/>
      <c r="RFJ175" s="72"/>
      <c r="RFK175" s="72"/>
      <c r="RFL175" s="72"/>
      <c r="RFM175" s="72"/>
      <c r="RFN175" s="72"/>
      <c r="RFO175" s="72"/>
      <c r="RFP175" s="72"/>
      <c r="RFQ175" s="72"/>
      <c r="RFR175" s="72"/>
      <c r="RFS175" s="72"/>
      <c r="RFT175" s="72"/>
      <c r="RFU175" s="72"/>
      <c r="RFV175" s="72"/>
      <c r="RFW175" s="72"/>
      <c r="RFX175" s="72"/>
      <c r="RFY175" s="72"/>
      <c r="RFZ175" s="72"/>
      <c r="RGA175" s="72"/>
      <c r="RGB175" s="72"/>
      <c r="RGC175" s="72"/>
      <c r="RGD175" s="72"/>
      <c r="RGE175" s="72"/>
      <c r="RGF175" s="72"/>
      <c r="RGG175" s="72"/>
      <c r="RGH175" s="72"/>
      <c r="RGI175" s="72"/>
      <c r="RGJ175" s="72"/>
      <c r="RGK175" s="72"/>
      <c r="RGL175" s="72"/>
      <c r="RGM175" s="72"/>
      <c r="RGN175" s="72"/>
      <c r="RGO175" s="72"/>
      <c r="RGP175" s="72"/>
      <c r="RGQ175" s="72"/>
      <c r="RGR175" s="72"/>
      <c r="RGS175" s="72"/>
      <c r="RGT175" s="72"/>
      <c r="RGU175" s="72"/>
      <c r="RGV175" s="72"/>
      <c r="RGW175" s="72"/>
      <c r="RGX175" s="72"/>
      <c r="RGY175" s="72"/>
      <c r="RGZ175" s="72"/>
      <c r="RHA175" s="72"/>
      <c r="RHB175" s="72"/>
      <c r="RHC175" s="72"/>
      <c r="RHD175" s="72"/>
      <c r="RHE175" s="72"/>
      <c r="RHF175" s="72"/>
      <c r="RHG175" s="72"/>
      <c r="RHH175" s="72"/>
      <c r="RHI175" s="72"/>
      <c r="RHJ175" s="72"/>
      <c r="RHK175" s="72"/>
      <c r="RHL175" s="72"/>
      <c r="RHM175" s="72"/>
      <c r="RHN175" s="72"/>
      <c r="RHO175" s="72"/>
      <c r="RHP175" s="72"/>
      <c r="RHQ175" s="72"/>
      <c r="RHR175" s="72"/>
      <c r="RHS175" s="72"/>
      <c r="RHT175" s="72"/>
      <c r="RHU175" s="72"/>
      <c r="RHV175" s="72"/>
      <c r="RHW175" s="72"/>
      <c r="RHX175" s="72"/>
      <c r="RHY175" s="72"/>
      <c r="RHZ175" s="72"/>
      <c r="RIA175" s="72"/>
      <c r="RIB175" s="72"/>
      <c r="RIC175" s="72"/>
      <c r="RID175" s="72"/>
      <c r="RIE175" s="72"/>
      <c r="RIF175" s="72"/>
      <c r="RIG175" s="72"/>
      <c r="RIH175" s="72"/>
      <c r="RII175" s="72"/>
      <c r="RIJ175" s="72"/>
      <c r="RIK175" s="72"/>
      <c r="RIL175" s="72"/>
      <c r="RIM175" s="72"/>
      <c r="RIN175" s="72"/>
      <c r="RIO175" s="72"/>
      <c r="RIP175" s="72"/>
      <c r="RIQ175" s="72"/>
      <c r="RIR175" s="72"/>
      <c r="RIS175" s="72"/>
      <c r="RIT175" s="72"/>
      <c r="RIU175" s="72"/>
      <c r="RIV175" s="72"/>
      <c r="RIW175" s="72"/>
      <c r="RIX175" s="72"/>
      <c r="RIY175" s="72"/>
      <c r="RIZ175" s="72"/>
      <c r="RJA175" s="72"/>
      <c r="RJB175" s="72"/>
      <c r="RJC175" s="72"/>
      <c r="RJD175" s="72"/>
      <c r="RJE175" s="72"/>
      <c r="RJF175" s="72"/>
      <c r="RJG175" s="72"/>
      <c r="RJH175" s="72"/>
      <c r="RJI175" s="72"/>
      <c r="RJJ175" s="72"/>
      <c r="RJK175" s="72"/>
      <c r="RJL175" s="72"/>
      <c r="RJM175" s="72"/>
      <c r="RJN175" s="72"/>
      <c r="RJO175" s="72"/>
      <c r="RJP175" s="72"/>
      <c r="RJQ175" s="72"/>
      <c r="RJR175" s="72"/>
      <c r="RJS175" s="72"/>
      <c r="RJT175" s="72"/>
      <c r="RJU175" s="72"/>
      <c r="RJV175" s="72"/>
      <c r="RJW175" s="72"/>
      <c r="RJX175" s="72"/>
      <c r="RJY175" s="72"/>
      <c r="RJZ175" s="72"/>
      <c r="RKA175" s="72"/>
      <c r="RKB175" s="72"/>
      <c r="RKC175" s="72"/>
      <c r="RKD175" s="72"/>
      <c r="RKE175" s="72"/>
      <c r="RKF175" s="72"/>
      <c r="RKG175" s="72"/>
      <c r="RKH175" s="72"/>
      <c r="RKI175" s="72"/>
      <c r="RKJ175" s="72"/>
      <c r="RKK175" s="72"/>
      <c r="RKL175" s="72"/>
      <c r="RKM175" s="72"/>
      <c r="RKN175" s="72"/>
      <c r="RKO175" s="72"/>
      <c r="RKP175" s="72"/>
      <c r="RKQ175" s="72"/>
      <c r="RKR175" s="72"/>
      <c r="RKS175" s="72"/>
      <c r="RKT175" s="72"/>
      <c r="RKU175" s="72"/>
      <c r="RKV175" s="72"/>
      <c r="RKW175" s="72"/>
      <c r="RKX175" s="72"/>
      <c r="RKY175" s="72"/>
      <c r="RKZ175" s="72"/>
      <c r="RLA175" s="72"/>
      <c r="RLB175" s="72"/>
      <c r="RLC175" s="72"/>
      <c r="RLD175" s="72"/>
      <c r="RLE175" s="72"/>
      <c r="RLF175" s="72"/>
      <c r="RLG175" s="72"/>
      <c r="RLH175" s="72"/>
      <c r="RLI175" s="72"/>
      <c r="RLJ175" s="72"/>
      <c r="RLK175" s="72"/>
      <c r="RLL175" s="72"/>
      <c r="RLM175" s="72"/>
      <c r="RLN175" s="72"/>
      <c r="RLO175" s="72"/>
      <c r="RLP175" s="72"/>
      <c r="RLQ175" s="72"/>
      <c r="RLR175" s="72"/>
      <c r="RLS175" s="72"/>
      <c r="RLT175" s="72"/>
      <c r="RLU175" s="72"/>
      <c r="RLV175" s="72"/>
      <c r="RLW175" s="72"/>
      <c r="RLX175" s="72"/>
      <c r="RLY175" s="72"/>
      <c r="RLZ175" s="72"/>
      <c r="RMA175" s="72"/>
      <c r="RMB175" s="72"/>
      <c r="RMC175" s="72"/>
      <c r="RMD175" s="72"/>
      <c r="RME175" s="72"/>
      <c r="RMF175" s="72"/>
      <c r="RMG175" s="72"/>
      <c r="RMH175" s="72"/>
      <c r="RMI175" s="72"/>
      <c r="RMJ175" s="72"/>
      <c r="RMK175" s="72"/>
      <c r="RML175" s="72"/>
      <c r="RMM175" s="72"/>
      <c r="RMN175" s="72"/>
      <c r="RMO175" s="72"/>
      <c r="RMP175" s="72"/>
      <c r="RMQ175" s="72"/>
      <c r="RMR175" s="72"/>
      <c r="RMS175" s="72"/>
      <c r="RMT175" s="72"/>
      <c r="RMU175" s="72"/>
      <c r="RMV175" s="72"/>
      <c r="RMW175" s="72"/>
      <c r="RMX175" s="72"/>
      <c r="RMY175" s="72"/>
      <c r="RMZ175" s="72"/>
      <c r="RNA175" s="72"/>
      <c r="RNB175" s="72"/>
      <c r="RNC175" s="72"/>
      <c r="RND175" s="72"/>
      <c r="RNE175" s="72"/>
      <c r="RNF175" s="72"/>
      <c r="RNG175" s="72"/>
      <c r="RNH175" s="72"/>
      <c r="RNI175" s="72"/>
      <c r="RNJ175" s="72"/>
      <c r="RNK175" s="72"/>
      <c r="RNL175" s="72"/>
      <c r="RNM175" s="72"/>
      <c r="RNN175" s="72"/>
      <c r="RNO175" s="72"/>
      <c r="RNP175" s="72"/>
      <c r="RNQ175" s="72"/>
      <c r="RNR175" s="72"/>
      <c r="RNS175" s="72"/>
      <c r="RNT175" s="72"/>
      <c r="RNU175" s="72"/>
      <c r="RNV175" s="72"/>
      <c r="RNW175" s="72"/>
      <c r="RNX175" s="72"/>
      <c r="RNY175" s="72"/>
      <c r="RNZ175" s="72"/>
      <c r="ROA175" s="72"/>
      <c r="ROB175" s="72"/>
      <c r="ROC175" s="72"/>
      <c r="ROD175" s="72"/>
      <c r="ROE175" s="72"/>
      <c r="ROF175" s="72"/>
      <c r="ROG175" s="72"/>
      <c r="ROH175" s="72"/>
      <c r="ROI175" s="72"/>
      <c r="ROJ175" s="72"/>
      <c r="ROK175" s="72"/>
      <c r="ROL175" s="72"/>
      <c r="ROM175" s="72"/>
      <c r="RON175" s="72"/>
      <c r="ROO175" s="72"/>
      <c r="ROP175" s="72"/>
      <c r="ROQ175" s="72"/>
      <c r="ROR175" s="72"/>
      <c r="ROS175" s="72"/>
      <c r="ROT175" s="72"/>
      <c r="ROU175" s="72"/>
      <c r="ROV175" s="72"/>
      <c r="ROW175" s="72"/>
      <c r="ROX175" s="72"/>
      <c r="ROY175" s="72"/>
      <c r="ROZ175" s="72"/>
      <c r="RPA175" s="72"/>
      <c r="RPB175" s="72"/>
      <c r="RPC175" s="72"/>
      <c r="RPD175" s="72"/>
      <c r="RPE175" s="72"/>
      <c r="RPF175" s="72"/>
      <c r="RPG175" s="72"/>
      <c r="RPH175" s="72"/>
      <c r="RPI175" s="72"/>
      <c r="RPJ175" s="72"/>
      <c r="RPK175" s="72"/>
      <c r="RPL175" s="72"/>
      <c r="RPM175" s="72"/>
      <c r="RPN175" s="72"/>
      <c r="RPO175" s="72"/>
      <c r="RPP175" s="72"/>
      <c r="RPQ175" s="72"/>
      <c r="RPR175" s="72"/>
      <c r="RPS175" s="72"/>
      <c r="RPT175" s="72"/>
      <c r="RPU175" s="72"/>
      <c r="RPV175" s="72"/>
      <c r="RPW175" s="72"/>
      <c r="RPX175" s="72"/>
      <c r="RPY175" s="72"/>
      <c r="RPZ175" s="72"/>
      <c r="RQA175" s="72"/>
      <c r="RQB175" s="72"/>
      <c r="RQC175" s="72"/>
      <c r="RQD175" s="72"/>
      <c r="RQE175" s="72"/>
      <c r="RQF175" s="72"/>
      <c r="RQG175" s="72"/>
      <c r="RQH175" s="72"/>
      <c r="RQI175" s="72"/>
      <c r="RQJ175" s="72"/>
      <c r="RQK175" s="72"/>
      <c r="RQL175" s="72"/>
      <c r="RQM175" s="72"/>
      <c r="RQN175" s="72"/>
      <c r="RQO175" s="72"/>
      <c r="RQP175" s="72"/>
      <c r="RQQ175" s="72"/>
      <c r="RQR175" s="72"/>
      <c r="RQS175" s="72"/>
      <c r="RQT175" s="72"/>
      <c r="RQU175" s="72"/>
      <c r="RQV175" s="72"/>
      <c r="RQW175" s="72"/>
      <c r="RQX175" s="72"/>
      <c r="RQY175" s="72"/>
      <c r="RQZ175" s="72"/>
      <c r="RRA175" s="72"/>
      <c r="RRB175" s="72"/>
      <c r="RRC175" s="72"/>
      <c r="RRD175" s="72"/>
      <c r="RRE175" s="72"/>
      <c r="RRF175" s="72"/>
      <c r="RRG175" s="72"/>
      <c r="RRH175" s="72"/>
      <c r="RRI175" s="72"/>
      <c r="RRJ175" s="72"/>
      <c r="RRK175" s="72"/>
      <c r="RRL175" s="72"/>
      <c r="RRM175" s="72"/>
      <c r="RRN175" s="72"/>
      <c r="RRO175" s="72"/>
      <c r="RRP175" s="72"/>
      <c r="RRQ175" s="72"/>
      <c r="RRR175" s="72"/>
      <c r="RRS175" s="72"/>
      <c r="RRT175" s="72"/>
      <c r="RRU175" s="72"/>
      <c r="RRV175" s="72"/>
      <c r="RRW175" s="72"/>
      <c r="RRX175" s="72"/>
      <c r="RRY175" s="72"/>
      <c r="RRZ175" s="72"/>
      <c r="RSA175" s="72"/>
      <c r="RSB175" s="72"/>
      <c r="RSC175" s="72"/>
      <c r="RSD175" s="72"/>
      <c r="RSE175" s="72"/>
      <c r="RSF175" s="72"/>
      <c r="RSG175" s="72"/>
      <c r="RSH175" s="72"/>
      <c r="RSI175" s="72"/>
      <c r="RSJ175" s="72"/>
      <c r="RSK175" s="72"/>
      <c r="RSL175" s="72"/>
      <c r="RSM175" s="72"/>
      <c r="RSN175" s="72"/>
      <c r="RSO175" s="72"/>
      <c r="RSP175" s="72"/>
      <c r="RSQ175" s="72"/>
      <c r="RSR175" s="72"/>
      <c r="RSS175" s="72"/>
      <c r="RST175" s="72"/>
      <c r="RSU175" s="72"/>
      <c r="RSV175" s="72"/>
      <c r="RSW175" s="72"/>
      <c r="RSX175" s="72"/>
      <c r="RSY175" s="72"/>
      <c r="RSZ175" s="72"/>
      <c r="RTA175" s="72"/>
      <c r="RTB175" s="72"/>
      <c r="RTC175" s="72"/>
      <c r="RTD175" s="72"/>
      <c r="RTE175" s="72"/>
      <c r="RTF175" s="72"/>
      <c r="RTG175" s="72"/>
      <c r="RTH175" s="72"/>
      <c r="RTI175" s="72"/>
      <c r="RTJ175" s="72"/>
      <c r="RTK175" s="72"/>
      <c r="RTL175" s="72"/>
      <c r="RTM175" s="72"/>
      <c r="RTN175" s="72"/>
      <c r="RTO175" s="72"/>
      <c r="RTP175" s="72"/>
      <c r="RTQ175" s="72"/>
      <c r="RTR175" s="72"/>
      <c r="RTS175" s="72"/>
      <c r="RTT175" s="72"/>
      <c r="RTU175" s="72"/>
      <c r="RTV175" s="72"/>
      <c r="RTW175" s="72"/>
      <c r="RTX175" s="72"/>
      <c r="RTY175" s="72"/>
      <c r="RTZ175" s="72"/>
      <c r="RUA175" s="72"/>
      <c r="RUB175" s="72"/>
      <c r="RUC175" s="72"/>
      <c r="RUD175" s="72"/>
      <c r="RUE175" s="72"/>
      <c r="RUF175" s="72"/>
      <c r="RUG175" s="72"/>
      <c r="RUH175" s="72"/>
      <c r="RUI175" s="72"/>
      <c r="RUJ175" s="72"/>
      <c r="RUK175" s="72"/>
      <c r="RUL175" s="72"/>
      <c r="RUM175" s="72"/>
      <c r="RUN175" s="72"/>
      <c r="RUO175" s="72"/>
      <c r="RUP175" s="72"/>
      <c r="RUQ175" s="72"/>
      <c r="RUR175" s="72"/>
      <c r="RUS175" s="72"/>
      <c r="RUT175" s="72"/>
      <c r="RUU175" s="72"/>
      <c r="RUV175" s="72"/>
      <c r="RUW175" s="72"/>
      <c r="RUX175" s="72"/>
      <c r="RUY175" s="72"/>
      <c r="RUZ175" s="72"/>
      <c r="RVA175" s="72"/>
      <c r="RVB175" s="72"/>
      <c r="RVC175" s="72"/>
      <c r="RVD175" s="72"/>
      <c r="RVE175" s="72"/>
      <c r="RVF175" s="72"/>
      <c r="RVG175" s="72"/>
      <c r="RVH175" s="72"/>
      <c r="RVI175" s="72"/>
      <c r="RVJ175" s="72"/>
      <c r="RVK175" s="72"/>
      <c r="RVL175" s="72"/>
      <c r="RVM175" s="72"/>
      <c r="RVN175" s="72"/>
      <c r="RVO175" s="72"/>
      <c r="RVP175" s="72"/>
      <c r="RVQ175" s="72"/>
      <c r="RVR175" s="72"/>
      <c r="RVS175" s="72"/>
      <c r="RVT175" s="72"/>
      <c r="RVU175" s="72"/>
      <c r="RVV175" s="72"/>
      <c r="RVW175" s="72"/>
      <c r="RVX175" s="72"/>
      <c r="RVY175" s="72"/>
      <c r="RVZ175" s="72"/>
      <c r="RWA175" s="72"/>
      <c r="RWB175" s="72"/>
      <c r="RWC175" s="72"/>
      <c r="RWD175" s="72"/>
      <c r="RWE175" s="72"/>
      <c r="RWF175" s="72"/>
      <c r="RWG175" s="72"/>
      <c r="RWH175" s="72"/>
      <c r="RWI175" s="72"/>
      <c r="RWJ175" s="72"/>
      <c r="RWK175" s="72"/>
      <c r="RWL175" s="72"/>
      <c r="RWM175" s="72"/>
      <c r="RWN175" s="72"/>
      <c r="RWO175" s="72"/>
      <c r="RWP175" s="72"/>
      <c r="RWQ175" s="72"/>
      <c r="RWR175" s="72"/>
      <c r="RWS175" s="72"/>
      <c r="RWT175" s="72"/>
      <c r="RWU175" s="72"/>
      <c r="RWV175" s="72"/>
      <c r="RWW175" s="72"/>
      <c r="RWX175" s="72"/>
      <c r="RWY175" s="72"/>
      <c r="RWZ175" s="72"/>
      <c r="RXA175" s="72"/>
      <c r="RXB175" s="72"/>
      <c r="RXC175" s="72"/>
      <c r="RXD175" s="72"/>
      <c r="RXE175" s="72"/>
      <c r="RXF175" s="72"/>
      <c r="RXG175" s="72"/>
      <c r="RXH175" s="72"/>
      <c r="RXI175" s="72"/>
      <c r="RXJ175" s="72"/>
      <c r="RXK175" s="72"/>
      <c r="RXL175" s="72"/>
      <c r="RXM175" s="72"/>
      <c r="RXN175" s="72"/>
      <c r="RXO175" s="72"/>
      <c r="RXP175" s="72"/>
      <c r="RXQ175" s="72"/>
      <c r="RXR175" s="72"/>
      <c r="RXS175" s="72"/>
      <c r="RXT175" s="72"/>
      <c r="RXU175" s="72"/>
      <c r="RXV175" s="72"/>
      <c r="RXW175" s="72"/>
      <c r="RXX175" s="72"/>
      <c r="RXY175" s="72"/>
      <c r="RXZ175" s="72"/>
      <c r="RYA175" s="72"/>
      <c r="RYB175" s="72"/>
      <c r="RYC175" s="72"/>
      <c r="RYD175" s="72"/>
      <c r="RYE175" s="72"/>
      <c r="RYF175" s="72"/>
      <c r="RYG175" s="72"/>
      <c r="RYH175" s="72"/>
      <c r="RYI175" s="72"/>
      <c r="RYJ175" s="72"/>
      <c r="RYK175" s="72"/>
      <c r="RYL175" s="72"/>
      <c r="RYM175" s="72"/>
      <c r="RYN175" s="72"/>
      <c r="RYO175" s="72"/>
      <c r="RYP175" s="72"/>
      <c r="RYQ175" s="72"/>
      <c r="RYR175" s="72"/>
      <c r="RYS175" s="72"/>
      <c r="RYT175" s="72"/>
      <c r="RYU175" s="72"/>
      <c r="RYV175" s="72"/>
      <c r="RYW175" s="72"/>
      <c r="RYX175" s="72"/>
      <c r="RYY175" s="72"/>
      <c r="RYZ175" s="72"/>
      <c r="RZA175" s="72"/>
      <c r="RZB175" s="72"/>
      <c r="RZC175" s="72"/>
      <c r="RZD175" s="72"/>
      <c r="RZE175" s="72"/>
      <c r="RZF175" s="72"/>
      <c r="RZG175" s="72"/>
      <c r="RZH175" s="72"/>
      <c r="RZI175" s="72"/>
      <c r="RZJ175" s="72"/>
      <c r="RZK175" s="72"/>
      <c r="RZL175" s="72"/>
      <c r="RZM175" s="72"/>
      <c r="RZN175" s="72"/>
      <c r="RZO175" s="72"/>
      <c r="RZP175" s="72"/>
      <c r="RZQ175" s="72"/>
      <c r="RZR175" s="72"/>
      <c r="RZS175" s="72"/>
      <c r="RZT175" s="72"/>
      <c r="RZU175" s="72"/>
      <c r="RZV175" s="72"/>
      <c r="RZW175" s="72"/>
      <c r="RZX175" s="72"/>
      <c r="RZY175" s="72"/>
      <c r="RZZ175" s="72"/>
      <c r="SAA175" s="72"/>
      <c r="SAB175" s="72"/>
      <c r="SAC175" s="72"/>
      <c r="SAD175" s="72"/>
      <c r="SAE175" s="72"/>
      <c r="SAF175" s="72"/>
      <c r="SAG175" s="72"/>
      <c r="SAH175" s="72"/>
      <c r="SAI175" s="72"/>
      <c r="SAJ175" s="72"/>
      <c r="SAK175" s="72"/>
      <c r="SAL175" s="72"/>
      <c r="SAM175" s="72"/>
      <c r="SAN175" s="72"/>
      <c r="SAO175" s="72"/>
      <c r="SAP175" s="72"/>
      <c r="SAQ175" s="72"/>
      <c r="SAR175" s="72"/>
      <c r="SAS175" s="72"/>
      <c r="SAT175" s="72"/>
      <c r="SAU175" s="72"/>
      <c r="SAV175" s="72"/>
      <c r="SAW175" s="72"/>
      <c r="SAX175" s="72"/>
      <c r="SAY175" s="72"/>
      <c r="SAZ175" s="72"/>
      <c r="SBA175" s="72"/>
      <c r="SBB175" s="72"/>
      <c r="SBC175" s="72"/>
      <c r="SBD175" s="72"/>
      <c r="SBE175" s="72"/>
      <c r="SBF175" s="72"/>
      <c r="SBG175" s="72"/>
      <c r="SBH175" s="72"/>
      <c r="SBI175" s="72"/>
      <c r="SBJ175" s="72"/>
      <c r="SBK175" s="72"/>
      <c r="SBL175" s="72"/>
      <c r="SBM175" s="72"/>
      <c r="SBN175" s="72"/>
      <c r="SBO175" s="72"/>
      <c r="SBP175" s="72"/>
      <c r="SBQ175" s="72"/>
      <c r="SBR175" s="72"/>
      <c r="SBS175" s="72"/>
      <c r="SBT175" s="72"/>
      <c r="SBU175" s="72"/>
      <c r="SBV175" s="72"/>
      <c r="SBW175" s="72"/>
      <c r="SBX175" s="72"/>
      <c r="SBY175" s="72"/>
      <c r="SBZ175" s="72"/>
      <c r="SCA175" s="72"/>
      <c r="SCB175" s="72"/>
      <c r="SCC175" s="72"/>
      <c r="SCD175" s="72"/>
      <c r="SCE175" s="72"/>
      <c r="SCF175" s="72"/>
      <c r="SCG175" s="72"/>
      <c r="SCH175" s="72"/>
      <c r="SCI175" s="72"/>
      <c r="SCJ175" s="72"/>
      <c r="SCK175" s="72"/>
      <c r="SCL175" s="72"/>
      <c r="SCM175" s="72"/>
      <c r="SCN175" s="72"/>
      <c r="SCO175" s="72"/>
      <c r="SCP175" s="72"/>
      <c r="SCQ175" s="72"/>
      <c r="SCR175" s="72"/>
      <c r="SCS175" s="72"/>
      <c r="SCT175" s="72"/>
      <c r="SCU175" s="72"/>
      <c r="SCV175" s="72"/>
      <c r="SCW175" s="72"/>
      <c r="SCX175" s="72"/>
      <c r="SCY175" s="72"/>
      <c r="SCZ175" s="72"/>
      <c r="SDA175" s="72"/>
      <c r="SDB175" s="72"/>
      <c r="SDC175" s="72"/>
      <c r="SDD175" s="72"/>
      <c r="SDE175" s="72"/>
      <c r="SDF175" s="72"/>
      <c r="SDG175" s="72"/>
      <c r="SDH175" s="72"/>
      <c r="SDI175" s="72"/>
      <c r="SDJ175" s="72"/>
      <c r="SDK175" s="72"/>
      <c r="SDL175" s="72"/>
      <c r="SDM175" s="72"/>
      <c r="SDN175" s="72"/>
      <c r="SDO175" s="72"/>
      <c r="SDP175" s="72"/>
      <c r="SDQ175" s="72"/>
      <c r="SDR175" s="72"/>
      <c r="SDS175" s="72"/>
      <c r="SDT175" s="72"/>
      <c r="SDU175" s="72"/>
      <c r="SDV175" s="72"/>
      <c r="SDW175" s="72"/>
      <c r="SDX175" s="72"/>
      <c r="SDY175" s="72"/>
      <c r="SDZ175" s="72"/>
      <c r="SEA175" s="72"/>
      <c r="SEB175" s="72"/>
      <c r="SEC175" s="72"/>
      <c r="SED175" s="72"/>
      <c r="SEE175" s="72"/>
      <c r="SEF175" s="72"/>
      <c r="SEG175" s="72"/>
      <c r="SEH175" s="72"/>
      <c r="SEI175" s="72"/>
      <c r="SEJ175" s="72"/>
      <c r="SEK175" s="72"/>
      <c r="SEL175" s="72"/>
      <c r="SEM175" s="72"/>
      <c r="SEN175" s="72"/>
      <c r="SEO175" s="72"/>
      <c r="SEP175" s="72"/>
      <c r="SEQ175" s="72"/>
      <c r="SER175" s="72"/>
      <c r="SES175" s="72"/>
      <c r="SET175" s="72"/>
      <c r="SEU175" s="72"/>
      <c r="SEV175" s="72"/>
      <c r="SEW175" s="72"/>
      <c r="SEX175" s="72"/>
      <c r="SEY175" s="72"/>
      <c r="SEZ175" s="72"/>
      <c r="SFA175" s="72"/>
      <c r="SFB175" s="72"/>
      <c r="SFC175" s="72"/>
      <c r="SFD175" s="72"/>
      <c r="SFE175" s="72"/>
      <c r="SFF175" s="72"/>
      <c r="SFG175" s="72"/>
      <c r="SFH175" s="72"/>
      <c r="SFI175" s="72"/>
      <c r="SFJ175" s="72"/>
      <c r="SFK175" s="72"/>
      <c r="SFL175" s="72"/>
      <c r="SFM175" s="72"/>
      <c r="SFN175" s="72"/>
      <c r="SFO175" s="72"/>
      <c r="SFP175" s="72"/>
      <c r="SFQ175" s="72"/>
      <c r="SFR175" s="72"/>
      <c r="SFS175" s="72"/>
      <c r="SFT175" s="72"/>
      <c r="SFU175" s="72"/>
      <c r="SFV175" s="72"/>
      <c r="SFW175" s="72"/>
      <c r="SFX175" s="72"/>
      <c r="SFY175" s="72"/>
      <c r="SFZ175" s="72"/>
      <c r="SGA175" s="72"/>
      <c r="SGB175" s="72"/>
      <c r="SGC175" s="72"/>
      <c r="SGD175" s="72"/>
      <c r="SGE175" s="72"/>
      <c r="SGF175" s="72"/>
      <c r="SGG175" s="72"/>
      <c r="SGH175" s="72"/>
      <c r="SGI175" s="72"/>
      <c r="SGJ175" s="72"/>
      <c r="SGK175" s="72"/>
      <c r="SGL175" s="72"/>
      <c r="SGM175" s="72"/>
      <c r="SGN175" s="72"/>
      <c r="SGO175" s="72"/>
      <c r="SGP175" s="72"/>
      <c r="SGQ175" s="72"/>
      <c r="SGR175" s="72"/>
      <c r="SGS175" s="72"/>
      <c r="SGT175" s="72"/>
      <c r="SGU175" s="72"/>
      <c r="SGV175" s="72"/>
      <c r="SGW175" s="72"/>
      <c r="SGX175" s="72"/>
      <c r="SGY175" s="72"/>
      <c r="SGZ175" s="72"/>
      <c r="SHA175" s="72"/>
      <c r="SHB175" s="72"/>
      <c r="SHC175" s="72"/>
      <c r="SHD175" s="72"/>
      <c r="SHE175" s="72"/>
      <c r="SHF175" s="72"/>
      <c r="SHG175" s="72"/>
      <c r="SHH175" s="72"/>
      <c r="SHI175" s="72"/>
      <c r="SHJ175" s="72"/>
      <c r="SHK175" s="72"/>
      <c r="SHL175" s="72"/>
      <c r="SHM175" s="72"/>
      <c r="SHN175" s="72"/>
      <c r="SHO175" s="72"/>
      <c r="SHP175" s="72"/>
      <c r="SHQ175" s="72"/>
      <c r="SHR175" s="72"/>
      <c r="SHS175" s="72"/>
      <c r="SHT175" s="72"/>
      <c r="SHU175" s="72"/>
      <c r="SHV175" s="72"/>
      <c r="SHW175" s="72"/>
      <c r="SHX175" s="72"/>
      <c r="SHY175" s="72"/>
      <c r="SHZ175" s="72"/>
      <c r="SIA175" s="72"/>
      <c r="SIB175" s="72"/>
      <c r="SIC175" s="72"/>
      <c r="SID175" s="72"/>
      <c r="SIE175" s="72"/>
      <c r="SIF175" s="72"/>
      <c r="SIG175" s="72"/>
      <c r="SIH175" s="72"/>
      <c r="SII175" s="72"/>
      <c r="SIJ175" s="72"/>
      <c r="SIK175" s="72"/>
      <c r="SIL175" s="72"/>
      <c r="SIM175" s="72"/>
      <c r="SIN175" s="72"/>
      <c r="SIO175" s="72"/>
      <c r="SIP175" s="72"/>
      <c r="SIQ175" s="72"/>
      <c r="SIR175" s="72"/>
      <c r="SIS175" s="72"/>
      <c r="SIT175" s="72"/>
      <c r="SIU175" s="72"/>
      <c r="SIV175" s="72"/>
      <c r="SIW175" s="72"/>
      <c r="SIX175" s="72"/>
      <c r="SIY175" s="72"/>
      <c r="SIZ175" s="72"/>
      <c r="SJA175" s="72"/>
      <c r="SJB175" s="72"/>
      <c r="SJC175" s="72"/>
      <c r="SJD175" s="72"/>
      <c r="SJE175" s="72"/>
      <c r="SJF175" s="72"/>
      <c r="SJG175" s="72"/>
      <c r="SJH175" s="72"/>
      <c r="SJI175" s="72"/>
      <c r="SJJ175" s="72"/>
      <c r="SJK175" s="72"/>
      <c r="SJL175" s="72"/>
      <c r="SJM175" s="72"/>
      <c r="SJN175" s="72"/>
      <c r="SJO175" s="72"/>
      <c r="SJP175" s="72"/>
      <c r="SJQ175" s="72"/>
      <c r="SJR175" s="72"/>
      <c r="SJS175" s="72"/>
      <c r="SJT175" s="72"/>
      <c r="SJU175" s="72"/>
      <c r="SJV175" s="72"/>
      <c r="SJW175" s="72"/>
      <c r="SJX175" s="72"/>
      <c r="SJY175" s="72"/>
      <c r="SJZ175" s="72"/>
      <c r="SKA175" s="72"/>
      <c r="SKB175" s="72"/>
      <c r="SKC175" s="72"/>
      <c r="SKD175" s="72"/>
      <c r="SKE175" s="72"/>
      <c r="SKF175" s="72"/>
      <c r="SKG175" s="72"/>
      <c r="SKH175" s="72"/>
      <c r="SKI175" s="72"/>
      <c r="SKJ175" s="72"/>
      <c r="SKK175" s="72"/>
      <c r="SKL175" s="72"/>
      <c r="SKM175" s="72"/>
      <c r="SKN175" s="72"/>
      <c r="SKO175" s="72"/>
      <c r="SKP175" s="72"/>
      <c r="SKQ175" s="72"/>
      <c r="SKR175" s="72"/>
      <c r="SKS175" s="72"/>
      <c r="SKT175" s="72"/>
      <c r="SKU175" s="72"/>
      <c r="SKV175" s="72"/>
      <c r="SKW175" s="72"/>
      <c r="SKX175" s="72"/>
      <c r="SKY175" s="72"/>
      <c r="SKZ175" s="72"/>
      <c r="SLA175" s="72"/>
      <c r="SLB175" s="72"/>
      <c r="SLC175" s="72"/>
      <c r="SLD175" s="72"/>
      <c r="SLE175" s="72"/>
      <c r="SLF175" s="72"/>
      <c r="SLG175" s="72"/>
      <c r="SLH175" s="72"/>
      <c r="SLI175" s="72"/>
      <c r="SLJ175" s="72"/>
      <c r="SLK175" s="72"/>
      <c r="SLL175" s="72"/>
      <c r="SLM175" s="72"/>
      <c r="SLN175" s="72"/>
      <c r="SLO175" s="72"/>
      <c r="SLP175" s="72"/>
      <c r="SLQ175" s="72"/>
      <c r="SLR175" s="72"/>
      <c r="SLS175" s="72"/>
      <c r="SLT175" s="72"/>
      <c r="SLU175" s="72"/>
      <c r="SLV175" s="72"/>
      <c r="SLW175" s="72"/>
      <c r="SLX175" s="72"/>
      <c r="SLY175" s="72"/>
      <c r="SLZ175" s="72"/>
      <c r="SMA175" s="72"/>
      <c r="SMB175" s="72"/>
      <c r="SMC175" s="72"/>
      <c r="SMD175" s="72"/>
      <c r="SME175" s="72"/>
      <c r="SMF175" s="72"/>
      <c r="SMG175" s="72"/>
      <c r="SMH175" s="72"/>
      <c r="SMI175" s="72"/>
      <c r="SMJ175" s="72"/>
      <c r="SMK175" s="72"/>
      <c r="SML175" s="72"/>
      <c r="SMM175" s="72"/>
      <c r="SMN175" s="72"/>
      <c r="SMO175" s="72"/>
      <c r="SMP175" s="72"/>
      <c r="SMQ175" s="72"/>
      <c r="SMR175" s="72"/>
      <c r="SMS175" s="72"/>
      <c r="SMT175" s="72"/>
      <c r="SMU175" s="72"/>
      <c r="SMV175" s="72"/>
      <c r="SMW175" s="72"/>
      <c r="SMX175" s="72"/>
      <c r="SMY175" s="72"/>
      <c r="SMZ175" s="72"/>
      <c r="SNA175" s="72"/>
      <c r="SNB175" s="72"/>
      <c r="SNC175" s="72"/>
      <c r="SND175" s="72"/>
      <c r="SNE175" s="72"/>
      <c r="SNF175" s="72"/>
      <c r="SNG175" s="72"/>
      <c r="SNH175" s="72"/>
      <c r="SNI175" s="72"/>
      <c r="SNJ175" s="72"/>
      <c r="SNK175" s="72"/>
      <c r="SNL175" s="72"/>
      <c r="SNM175" s="72"/>
      <c r="SNN175" s="72"/>
      <c r="SNO175" s="72"/>
      <c r="SNP175" s="72"/>
      <c r="SNQ175" s="72"/>
      <c r="SNR175" s="72"/>
      <c r="SNS175" s="72"/>
      <c r="SNT175" s="72"/>
      <c r="SNU175" s="72"/>
      <c r="SNV175" s="72"/>
      <c r="SNW175" s="72"/>
      <c r="SNX175" s="72"/>
      <c r="SNY175" s="72"/>
      <c r="SNZ175" s="72"/>
      <c r="SOA175" s="72"/>
      <c r="SOB175" s="72"/>
      <c r="SOC175" s="72"/>
      <c r="SOD175" s="72"/>
      <c r="SOE175" s="72"/>
      <c r="SOF175" s="72"/>
      <c r="SOG175" s="72"/>
      <c r="SOH175" s="72"/>
      <c r="SOI175" s="72"/>
      <c r="SOJ175" s="72"/>
      <c r="SOK175" s="72"/>
      <c r="SOL175" s="72"/>
      <c r="SOM175" s="72"/>
      <c r="SON175" s="72"/>
      <c r="SOO175" s="72"/>
      <c r="SOP175" s="72"/>
      <c r="SOQ175" s="72"/>
      <c r="SOR175" s="72"/>
      <c r="SOS175" s="72"/>
      <c r="SOT175" s="72"/>
      <c r="SOU175" s="72"/>
      <c r="SOV175" s="72"/>
      <c r="SOW175" s="72"/>
      <c r="SOX175" s="72"/>
      <c r="SOY175" s="72"/>
      <c r="SOZ175" s="72"/>
      <c r="SPA175" s="72"/>
      <c r="SPB175" s="72"/>
      <c r="SPC175" s="72"/>
      <c r="SPD175" s="72"/>
      <c r="SPE175" s="72"/>
      <c r="SPF175" s="72"/>
      <c r="SPG175" s="72"/>
      <c r="SPH175" s="72"/>
      <c r="SPI175" s="72"/>
      <c r="SPJ175" s="72"/>
      <c r="SPK175" s="72"/>
      <c r="SPL175" s="72"/>
      <c r="SPM175" s="72"/>
      <c r="SPN175" s="72"/>
      <c r="SPO175" s="72"/>
      <c r="SPP175" s="72"/>
      <c r="SPQ175" s="72"/>
      <c r="SPR175" s="72"/>
      <c r="SPS175" s="72"/>
      <c r="SPT175" s="72"/>
      <c r="SPU175" s="72"/>
      <c r="SPV175" s="72"/>
      <c r="SPW175" s="72"/>
      <c r="SPX175" s="72"/>
      <c r="SPY175" s="72"/>
      <c r="SPZ175" s="72"/>
      <c r="SQA175" s="72"/>
      <c r="SQB175" s="72"/>
      <c r="SQC175" s="72"/>
      <c r="SQD175" s="72"/>
      <c r="SQE175" s="72"/>
      <c r="SQF175" s="72"/>
      <c r="SQG175" s="72"/>
      <c r="SQH175" s="72"/>
      <c r="SQI175" s="72"/>
      <c r="SQJ175" s="72"/>
      <c r="SQK175" s="72"/>
      <c r="SQL175" s="72"/>
      <c r="SQM175" s="72"/>
      <c r="SQN175" s="72"/>
      <c r="SQO175" s="72"/>
      <c r="SQP175" s="72"/>
      <c r="SQQ175" s="72"/>
      <c r="SQR175" s="72"/>
      <c r="SQS175" s="72"/>
      <c r="SQT175" s="72"/>
      <c r="SQU175" s="72"/>
      <c r="SQV175" s="72"/>
      <c r="SQW175" s="72"/>
      <c r="SQX175" s="72"/>
      <c r="SQY175" s="72"/>
      <c r="SQZ175" s="72"/>
      <c r="SRA175" s="72"/>
      <c r="SRB175" s="72"/>
      <c r="SRC175" s="72"/>
      <c r="SRD175" s="72"/>
      <c r="SRE175" s="72"/>
      <c r="SRF175" s="72"/>
      <c r="SRG175" s="72"/>
      <c r="SRH175" s="72"/>
      <c r="SRI175" s="72"/>
      <c r="SRJ175" s="72"/>
      <c r="SRK175" s="72"/>
      <c r="SRL175" s="72"/>
      <c r="SRM175" s="72"/>
      <c r="SRN175" s="72"/>
      <c r="SRO175" s="72"/>
      <c r="SRP175" s="72"/>
      <c r="SRQ175" s="72"/>
      <c r="SRR175" s="72"/>
      <c r="SRS175" s="72"/>
      <c r="SRT175" s="72"/>
      <c r="SRU175" s="72"/>
      <c r="SRV175" s="72"/>
      <c r="SRW175" s="72"/>
      <c r="SRX175" s="72"/>
      <c r="SRY175" s="72"/>
      <c r="SRZ175" s="72"/>
      <c r="SSA175" s="72"/>
      <c r="SSB175" s="72"/>
      <c r="SSC175" s="72"/>
      <c r="SSD175" s="72"/>
      <c r="SSE175" s="72"/>
      <c r="SSF175" s="72"/>
      <c r="SSG175" s="72"/>
      <c r="SSH175" s="72"/>
      <c r="SSI175" s="72"/>
      <c r="SSJ175" s="72"/>
      <c r="SSK175" s="72"/>
      <c r="SSL175" s="72"/>
      <c r="SSM175" s="72"/>
      <c r="SSN175" s="72"/>
      <c r="SSO175" s="72"/>
      <c r="SSP175" s="72"/>
      <c r="SSQ175" s="72"/>
      <c r="SSR175" s="72"/>
      <c r="SSS175" s="72"/>
      <c r="SST175" s="72"/>
      <c r="SSU175" s="72"/>
      <c r="SSV175" s="72"/>
      <c r="SSW175" s="72"/>
      <c r="SSX175" s="72"/>
      <c r="SSY175" s="72"/>
      <c r="SSZ175" s="72"/>
      <c r="STA175" s="72"/>
      <c r="STB175" s="72"/>
      <c r="STC175" s="72"/>
      <c r="STD175" s="72"/>
      <c r="STE175" s="72"/>
      <c r="STF175" s="72"/>
      <c r="STG175" s="72"/>
      <c r="STH175" s="72"/>
      <c r="STI175" s="72"/>
      <c r="STJ175" s="72"/>
      <c r="STK175" s="72"/>
      <c r="STL175" s="72"/>
      <c r="STM175" s="72"/>
      <c r="STN175" s="72"/>
      <c r="STO175" s="72"/>
      <c r="STP175" s="72"/>
      <c r="STQ175" s="72"/>
      <c r="STR175" s="72"/>
      <c r="STS175" s="72"/>
      <c r="STT175" s="72"/>
      <c r="STU175" s="72"/>
      <c r="STV175" s="72"/>
      <c r="STW175" s="72"/>
      <c r="STX175" s="72"/>
      <c r="STY175" s="72"/>
      <c r="STZ175" s="72"/>
      <c r="SUA175" s="72"/>
      <c r="SUB175" s="72"/>
      <c r="SUC175" s="72"/>
      <c r="SUD175" s="72"/>
      <c r="SUE175" s="72"/>
      <c r="SUF175" s="72"/>
      <c r="SUG175" s="72"/>
      <c r="SUH175" s="72"/>
      <c r="SUI175" s="72"/>
      <c r="SUJ175" s="72"/>
      <c r="SUK175" s="72"/>
      <c r="SUL175" s="72"/>
      <c r="SUM175" s="72"/>
      <c r="SUN175" s="72"/>
      <c r="SUO175" s="72"/>
      <c r="SUP175" s="72"/>
      <c r="SUQ175" s="72"/>
      <c r="SUR175" s="72"/>
      <c r="SUS175" s="72"/>
      <c r="SUT175" s="72"/>
      <c r="SUU175" s="72"/>
      <c r="SUV175" s="72"/>
      <c r="SUW175" s="72"/>
      <c r="SUX175" s="72"/>
      <c r="SUY175" s="72"/>
      <c r="SUZ175" s="72"/>
      <c r="SVA175" s="72"/>
      <c r="SVB175" s="72"/>
      <c r="SVC175" s="72"/>
      <c r="SVD175" s="72"/>
      <c r="SVE175" s="72"/>
      <c r="SVF175" s="72"/>
      <c r="SVG175" s="72"/>
      <c r="SVH175" s="72"/>
      <c r="SVI175" s="72"/>
      <c r="SVJ175" s="72"/>
      <c r="SVK175" s="72"/>
      <c r="SVL175" s="72"/>
      <c r="SVM175" s="72"/>
      <c r="SVN175" s="72"/>
      <c r="SVO175" s="72"/>
      <c r="SVP175" s="72"/>
      <c r="SVQ175" s="72"/>
      <c r="SVR175" s="72"/>
      <c r="SVS175" s="72"/>
      <c r="SVT175" s="72"/>
      <c r="SVU175" s="72"/>
      <c r="SVV175" s="72"/>
      <c r="SVW175" s="72"/>
      <c r="SVX175" s="72"/>
      <c r="SVY175" s="72"/>
      <c r="SVZ175" s="72"/>
      <c r="SWA175" s="72"/>
      <c r="SWB175" s="72"/>
      <c r="SWC175" s="72"/>
      <c r="SWD175" s="72"/>
      <c r="SWE175" s="72"/>
      <c r="SWF175" s="72"/>
      <c r="SWG175" s="72"/>
      <c r="SWH175" s="72"/>
      <c r="SWI175" s="72"/>
      <c r="SWJ175" s="72"/>
      <c r="SWK175" s="72"/>
      <c r="SWL175" s="72"/>
      <c r="SWM175" s="72"/>
      <c r="SWN175" s="72"/>
      <c r="SWO175" s="72"/>
      <c r="SWP175" s="72"/>
      <c r="SWQ175" s="72"/>
      <c r="SWR175" s="72"/>
      <c r="SWS175" s="72"/>
      <c r="SWT175" s="72"/>
      <c r="SWU175" s="72"/>
      <c r="SWV175" s="72"/>
      <c r="SWW175" s="72"/>
      <c r="SWX175" s="72"/>
      <c r="SWY175" s="72"/>
      <c r="SWZ175" s="72"/>
      <c r="SXA175" s="72"/>
      <c r="SXB175" s="72"/>
      <c r="SXC175" s="72"/>
      <c r="SXD175" s="72"/>
      <c r="SXE175" s="72"/>
      <c r="SXF175" s="72"/>
      <c r="SXG175" s="72"/>
      <c r="SXH175" s="72"/>
      <c r="SXI175" s="72"/>
      <c r="SXJ175" s="72"/>
      <c r="SXK175" s="72"/>
      <c r="SXL175" s="72"/>
      <c r="SXM175" s="72"/>
      <c r="SXN175" s="72"/>
      <c r="SXO175" s="72"/>
      <c r="SXP175" s="72"/>
      <c r="SXQ175" s="72"/>
      <c r="SXR175" s="72"/>
      <c r="SXS175" s="72"/>
      <c r="SXT175" s="72"/>
      <c r="SXU175" s="72"/>
      <c r="SXV175" s="72"/>
      <c r="SXW175" s="72"/>
      <c r="SXX175" s="72"/>
      <c r="SXY175" s="72"/>
      <c r="SXZ175" s="72"/>
      <c r="SYA175" s="72"/>
      <c r="SYB175" s="72"/>
      <c r="SYC175" s="72"/>
      <c r="SYD175" s="72"/>
      <c r="SYE175" s="72"/>
      <c r="SYF175" s="72"/>
      <c r="SYG175" s="72"/>
      <c r="SYH175" s="72"/>
      <c r="SYI175" s="72"/>
      <c r="SYJ175" s="72"/>
      <c r="SYK175" s="72"/>
      <c r="SYL175" s="72"/>
      <c r="SYM175" s="72"/>
      <c r="SYN175" s="72"/>
      <c r="SYO175" s="72"/>
      <c r="SYP175" s="72"/>
      <c r="SYQ175" s="72"/>
      <c r="SYR175" s="72"/>
      <c r="SYS175" s="72"/>
      <c r="SYT175" s="72"/>
      <c r="SYU175" s="72"/>
      <c r="SYV175" s="72"/>
      <c r="SYW175" s="72"/>
      <c r="SYX175" s="72"/>
      <c r="SYY175" s="72"/>
      <c r="SYZ175" s="72"/>
      <c r="SZA175" s="72"/>
      <c r="SZB175" s="72"/>
      <c r="SZC175" s="72"/>
      <c r="SZD175" s="72"/>
      <c r="SZE175" s="72"/>
      <c r="SZF175" s="72"/>
      <c r="SZG175" s="72"/>
      <c r="SZH175" s="72"/>
      <c r="SZI175" s="72"/>
      <c r="SZJ175" s="72"/>
      <c r="SZK175" s="72"/>
      <c r="SZL175" s="72"/>
      <c r="SZM175" s="72"/>
      <c r="SZN175" s="72"/>
      <c r="SZO175" s="72"/>
      <c r="SZP175" s="72"/>
      <c r="SZQ175" s="72"/>
      <c r="SZR175" s="72"/>
      <c r="SZS175" s="72"/>
      <c r="SZT175" s="72"/>
      <c r="SZU175" s="72"/>
      <c r="SZV175" s="72"/>
      <c r="SZW175" s="72"/>
      <c r="SZX175" s="72"/>
      <c r="SZY175" s="72"/>
      <c r="SZZ175" s="72"/>
      <c r="TAA175" s="72"/>
      <c r="TAB175" s="72"/>
      <c r="TAC175" s="72"/>
      <c r="TAD175" s="72"/>
      <c r="TAE175" s="72"/>
      <c r="TAF175" s="72"/>
      <c r="TAG175" s="72"/>
      <c r="TAH175" s="72"/>
      <c r="TAI175" s="72"/>
      <c r="TAJ175" s="72"/>
      <c r="TAK175" s="72"/>
      <c r="TAL175" s="72"/>
      <c r="TAM175" s="72"/>
      <c r="TAN175" s="72"/>
      <c r="TAO175" s="72"/>
      <c r="TAP175" s="72"/>
      <c r="TAQ175" s="72"/>
      <c r="TAR175" s="72"/>
      <c r="TAS175" s="72"/>
      <c r="TAT175" s="72"/>
      <c r="TAU175" s="72"/>
      <c r="TAV175" s="72"/>
      <c r="TAW175" s="72"/>
      <c r="TAX175" s="72"/>
      <c r="TAY175" s="72"/>
      <c r="TAZ175" s="72"/>
      <c r="TBA175" s="72"/>
      <c r="TBB175" s="72"/>
      <c r="TBC175" s="72"/>
      <c r="TBD175" s="72"/>
      <c r="TBE175" s="72"/>
      <c r="TBF175" s="72"/>
      <c r="TBG175" s="72"/>
      <c r="TBH175" s="72"/>
      <c r="TBI175" s="72"/>
      <c r="TBJ175" s="72"/>
      <c r="TBK175" s="72"/>
      <c r="TBL175" s="72"/>
      <c r="TBM175" s="72"/>
      <c r="TBN175" s="72"/>
      <c r="TBO175" s="72"/>
      <c r="TBP175" s="72"/>
      <c r="TBQ175" s="72"/>
      <c r="TBR175" s="72"/>
      <c r="TBS175" s="72"/>
      <c r="TBT175" s="72"/>
      <c r="TBU175" s="72"/>
      <c r="TBV175" s="72"/>
      <c r="TBW175" s="72"/>
      <c r="TBX175" s="72"/>
      <c r="TBY175" s="72"/>
      <c r="TBZ175" s="72"/>
      <c r="TCA175" s="72"/>
      <c r="TCB175" s="72"/>
      <c r="TCC175" s="72"/>
      <c r="TCD175" s="72"/>
      <c r="TCE175" s="72"/>
      <c r="TCF175" s="72"/>
      <c r="TCG175" s="72"/>
      <c r="TCH175" s="72"/>
      <c r="TCI175" s="72"/>
      <c r="TCJ175" s="72"/>
      <c r="TCK175" s="72"/>
      <c r="TCL175" s="72"/>
      <c r="TCM175" s="72"/>
      <c r="TCN175" s="72"/>
      <c r="TCO175" s="72"/>
      <c r="TCP175" s="72"/>
      <c r="TCQ175" s="72"/>
      <c r="TCR175" s="72"/>
      <c r="TCS175" s="72"/>
      <c r="TCT175" s="72"/>
      <c r="TCU175" s="72"/>
      <c r="TCV175" s="72"/>
      <c r="TCW175" s="72"/>
      <c r="TCX175" s="72"/>
      <c r="TCY175" s="72"/>
      <c r="TCZ175" s="72"/>
      <c r="TDA175" s="72"/>
      <c r="TDB175" s="72"/>
      <c r="TDC175" s="72"/>
      <c r="TDD175" s="72"/>
      <c r="TDE175" s="72"/>
      <c r="TDF175" s="72"/>
      <c r="TDG175" s="72"/>
      <c r="TDH175" s="72"/>
      <c r="TDI175" s="72"/>
      <c r="TDJ175" s="72"/>
      <c r="TDK175" s="72"/>
      <c r="TDL175" s="72"/>
      <c r="TDM175" s="72"/>
      <c r="TDN175" s="72"/>
      <c r="TDO175" s="72"/>
      <c r="TDP175" s="72"/>
      <c r="TDQ175" s="72"/>
      <c r="TDR175" s="72"/>
      <c r="TDS175" s="72"/>
      <c r="TDT175" s="72"/>
      <c r="TDU175" s="72"/>
      <c r="TDV175" s="72"/>
      <c r="TDW175" s="72"/>
      <c r="TDX175" s="72"/>
      <c r="TDY175" s="72"/>
      <c r="TDZ175" s="72"/>
      <c r="TEA175" s="72"/>
      <c r="TEB175" s="72"/>
      <c r="TEC175" s="72"/>
      <c r="TED175" s="72"/>
      <c r="TEE175" s="72"/>
      <c r="TEF175" s="72"/>
      <c r="TEG175" s="72"/>
      <c r="TEH175" s="72"/>
      <c r="TEI175" s="72"/>
      <c r="TEJ175" s="72"/>
      <c r="TEK175" s="72"/>
      <c r="TEL175" s="72"/>
      <c r="TEM175" s="72"/>
      <c r="TEN175" s="72"/>
      <c r="TEO175" s="72"/>
      <c r="TEP175" s="72"/>
      <c r="TEQ175" s="72"/>
      <c r="TER175" s="72"/>
      <c r="TES175" s="72"/>
      <c r="TET175" s="72"/>
      <c r="TEU175" s="72"/>
      <c r="TEV175" s="72"/>
      <c r="TEW175" s="72"/>
      <c r="TEX175" s="72"/>
      <c r="TEY175" s="72"/>
      <c r="TEZ175" s="72"/>
      <c r="TFA175" s="72"/>
      <c r="TFB175" s="72"/>
      <c r="TFC175" s="72"/>
      <c r="TFD175" s="72"/>
      <c r="TFE175" s="72"/>
      <c r="TFF175" s="72"/>
      <c r="TFG175" s="72"/>
      <c r="TFH175" s="72"/>
      <c r="TFI175" s="72"/>
      <c r="TFJ175" s="72"/>
      <c r="TFK175" s="72"/>
      <c r="TFL175" s="72"/>
      <c r="TFM175" s="72"/>
      <c r="TFN175" s="72"/>
      <c r="TFO175" s="72"/>
      <c r="TFP175" s="72"/>
      <c r="TFQ175" s="72"/>
      <c r="TFR175" s="72"/>
      <c r="TFS175" s="72"/>
      <c r="TFT175" s="72"/>
      <c r="TFU175" s="72"/>
      <c r="TFV175" s="72"/>
      <c r="TFW175" s="72"/>
      <c r="TFX175" s="72"/>
      <c r="TFY175" s="72"/>
      <c r="TFZ175" s="72"/>
      <c r="TGA175" s="72"/>
      <c r="TGB175" s="72"/>
      <c r="TGC175" s="72"/>
      <c r="TGD175" s="72"/>
      <c r="TGE175" s="72"/>
      <c r="TGF175" s="72"/>
      <c r="TGG175" s="72"/>
      <c r="TGH175" s="72"/>
      <c r="TGI175" s="72"/>
      <c r="TGJ175" s="72"/>
      <c r="TGK175" s="72"/>
      <c r="TGL175" s="72"/>
      <c r="TGM175" s="72"/>
      <c r="TGN175" s="72"/>
      <c r="TGO175" s="72"/>
      <c r="TGP175" s="72"/>
      <c r="TGQ175" s="72"/>
      <c r="TGR175" s="72"/>
      <c r="TGS175" s="72"/>
      <c r="TGT175" s="72"/>
      <c r="TGU175" s="72"/>
      <c r="TGV175" s="72"/>
      <c r="TGW175" s="72"/>
      <c r="TGX175" s="72"/>
      <c r="TGY175" s="72"/>
      <c r="TGZ175" s="72"/>
      <c r="THA175" s="72"/>
      <c r="THB175" s="72"/>
      <c r="THC175" s="72"/>
      <c r="THD175" s="72"/>
      <c r="THE175" s="72"/>
      <c r="THF175" s="72"/>
      <c r="THG175" s="72"/>
      <c r="THH175" s="72"/>
      <c r="THI175" s="72"/>
      <c r="THJ175" s="72"/>
      <c r="THK175" s="72"/>
      <c r="THL175" s="72"/>
      <c r="THM175" s="72"/>
      <c r="THN175" s="72"/>
      <c r="THO175" s="72"/>
      <c r="THP175" s="72"/>
      <c r="THQ175" s="72"/>
      <c r="THR175" s="72"/>
      <c r="THS175" s="72"/>
      <c r="THT175" s="72"/>
      <c r="THU175" s="72"/>
      <c r="THV175" s="72"/>
      <c r="THW175" s="72"/>
      <c r="THX175" s="72"/>
      <c r="THY175" s="72"/>
      <c r="THZ175" s="72"/>
      <c r="TIA175" s="72"/>
      <c r="TIB175" s="72"/>
      <c r="TIC175" s="72"/>
      <c r="TID175" s="72"/>
      <c r="TIE175" s="72"/>
      <c r="TIF175" s="72"/>
      <c r="TIG175" s="72"/>
      <c r="TIH175" s="72"/>
      <c r="TII175" s="72"/>
      <c r="TIJ175" s="72"/>
      <c r="TIK175" s="72"/>
      <c r="TIL175" s="72"/>
      <c r="TIM175" s="72"/>
      <c r="TIN175" s="72"/>
      <c r="TIO175" s="72"/>
      <c r="TIP175" s="72"/>
      <c r="TIQ175" s="72"/>
      <c r="TIR175" s="72"/>
      <c r="TIS175" s="72"/>
      <c r="TIT175" s="72"/>
      <c r="TIU175" s="72"/>
      <c r="TIV175" s="72"/>
      <c r="TIW175" s="72"/>
      <c r="TIX175" s="72"/>
      <c r="TIY175" s="72"/>
      <c r="TIZ175" s="72"/>
      <c r="TJA175" s="72"/>
      <c r="TJB175" s="72"/>
      <c r="TJC175" s="72"/>
      <c r="TJD175" s="72"/>
      <c r="TJE175" s="72"/>
      <c r="TJF175" s="72"/>
      <c r="TJG175" s="72"/>
      <c r="TJH175" s="72"/>
      <c r="TJI175" s="72"/>
      <c r="TJJ175" s="72"/>
      <c r="TJK175" s="72"/>
      <c r="TJL175" s="72"/>
      <c r="TJM175" s="72"/>
      <c r="TJN175" s="72"/>
      <c r="TJO175" s="72"/>
      <c r="TJP175" s="72"/>
      <c r="TJQ175" s="72"/>
      <c r="TJR175" s="72"/>
      <c r="TJS175" s="72"/>
      <c r="TJT175" s="72"/>
      <c r="TJU175" s="72"/>
      <c r="TJV175" s="72"/>
      <c r="TJW175" s="72"/>
      <c r="TJX175" s="72"/>
      <c r="TJY175" s="72"/>
      <c r="TJZ175" s="72"/>
      <c r="TKA175" s="72"/>
      <c r="TKB175" s="72"/>
      <c r="TKC175" s="72"/>
      <c r="TKD175" s="72"/>
      <c r="TKE175" s="72"/>
      <c r="TKF175" s="72"/>
      <c r="TKG175" s="72"/>
      <c r="TKH175" s="72"/>
      <c r="TKI175" s="72"/>
      <c r="TKJ175" s="72"/>
      <c r="TKK175" s="72"/>
      <c r="TKL175" s="72"/>
      <c r="TKM175" s="72"/>
      <c r="TKN175" s="72"/>
      <c r="TKO175" s="72"/>
      <c r="TKP175" s="72"/>
      <c r="TKQ175" s="72"/>
      <c r="TKR175" s="72"/>
      <c r="TKS175" s="72"/>
      <c r="TKT175" s="72"/>
      <c r="TKU175" s="72"/>
      <c r="TKV175" s="72"/>
      <c r="TKW175" s="72"/>
      <c r="TKX175" s="72"/>
      <c r="TKY175" s="72"/>
      <c r="TKZ175" s="72"/>
      <c r="TLA175" s="72"/>
      <c r="TLB175" s="72"/>
      <c r="TLC175" s="72"/>
      <c r="TLD175" s="72"/>
      <c r="TLE175" s="72"/>
      <c r="TLF175" s="72"/>
      <c r="TLG175" s="72"/>
      <c r="TLH175" s="72"/>
      <c r="TLI175" s="72"/>
      <c r="TLJ175" s="72"/>
      <c r="TLK175" s="72"/>
      <c r="TLL175" s="72"/>
      <c r="TLM175" s="72"/>
      <c r="TLN175" s="72"/>
      <c r="TLO175" s="72"/>
      <c r="TLP175" s="72"/>
      <c r="TLQ175" s="72"/>
      <c r="TLR175" s="72"/>
      <c r="TLS175" s="72"/>
      <c r="TLT175" s="72"/>
      <c r="TLU175" s="72"/>
      <c r="TLV175" s="72"/>
      <c r="TLW175" s="72"/>
      <c r="TLX175" s="72"/>
      <c r="TLY175" s="72"/>
      <c r="TLZ175" s="72"/>
      <c r="TMA175" s="72"/>
      <c r="TMB175" s="72"/>
      <c r="TMC175" s="72"/>
      <c r="TMD175" s="72"/>
      <c r="TME175" s="72"/>
      <c r="TMF175" s="72"/>
      <c r="TMG175" s="72"/>
      <c r="TMH175" s="72"/>
      <c r="TMI175" s="72"/>
      <c r="TMJ175" s="72"/>
      <c r="TMK175" s="72"/>
      <c r="TML175" s="72"/>
      <c r="TMM175" s="72"/>
      <c r="TMN175" s="72"/>
      <c r="TMO175" s="72"/>
      <c r="TMP175" s="72"/>
      <c r="TMQ175" s="72"/>
      <c r="TMR175" s="72"/>
      <c r="TMS175" s="72"/>
      <c r="TMT175" s="72"/>
      <c r="TMU175" s="72"/>
      <c r="TMV175" s="72"/>
      <c r="TMW175" s="72"/>
      <c r="TMX175" s="72"/>
      <c r="TMY175" s="72"/>
      <c r="TMZ175" s="72"/>
      <c r="TNA175" s="72"/>
      <c r="TNB175" s="72"/>
      <c r="TNC175" s="72"/>
      <c r="TND175" s="72"/>
      <c r="TNE175" s="72"/>
      <c r="TNF175" s="72"/>
      <c r="TNG175" s="72"/>
      <c r="TNH175" s="72"/>
      <c r="TNI175" s="72"/>
      <c r="TNJ175" s="72"/>
      <c r="TNK175" s="72"/>
      <c r="TNL175" s="72"/>
      <c r="TNM175" s="72"/>
      <c r="TNN175" s="72"/>
      <c r="TNO175" s="72"/>
      <c r="TNP175" s="72"/>
      <c r="TNQ175" s="72"/>
      <c r="TNR175" s="72"/>
      <c r="TNS175" s="72"/>
      <c r="TNT175" s="72"/>
      <c r="TNU175" s="72"/>
      <c r="TNV175" s="72"/>
      <c r="TNW175" s="72"/>
      <c r="TNX175" s="72"/>
      <c r="TNY175" s="72"/>
      <c r="TNZ175" s="72"/>
      <c r="TOA175" s="72"/>
      <c r="TOB175" s="72"/>
      <c r="TOC175" s="72"/>
      <c r="TOD175" s="72"/>
      <c r="TOE175" s="72"/>
      <c r="TOF175" s="72"/>
      <c r="TOG175" s="72"/>
      <c r="TOH175" s="72"/>
      <c r="TOI175" s="72"/>
      <c r="TOJ175" s="72"/>
      <c r="TOK175" s="72"/>
      <c r="TOL175" s="72"/>
      <c r="TOM175" s="72"/>
      <c r="TON175" s="72"/>
      <c r="TOO175" s="72"/>
      <c r="TOP175" s="72"/>
      <c r="TOQ175" s="72"/>
      <c r="TOR175" s="72"/>
      <c r="TOS175" s="72"/>
      <c r="TOT175" s="72"/>
      <c r="TOU175" s="72"/>
      <c r="TOV175" s="72"/>
      <c r="TOW175" s="72"/>
      <c r="TOX175" s="72"/>
      <c r="TOY175" s="72"/>
      <c r="TOZ175" s="72"/>
      <c r="TPA175" s="72"/>
      <c r="TPB175" s="72"/>
      <c r="TPC175" s="72"/>
      <c r="TPD175" s="72"/>
      <c r="TPE175" s="72"/>
      <c r="TPF175" s="72"/>
      <c r="TPG175" s="72"/>
      <c r="TPH175" s="72"/>
      <c r="TPI175" s="72"/>
      <c r="TPJ175" s="72"/>
      <c r="TPK175" s="72"/>
      <c r="TPL175" s="72"/>
      <c r="TPM175" s="72"/>
      <c r="TPN175" s="72"/>
      <c r="TPO175" s="72"/>
      <c r="TPP175" s="72"/>
      <c r="TPQ175" s="72"/>
      <c r="TPR175" s="72"/>
      <c r="TPS175" s="72"/>
      <c r="TPT175" s="72"/>
      <c r="TPU175" s="72"/>
      <c r="TPV175" s="72"/>
      <c r="TPW175" s="72"/>
      <c r="TPX175" s="72"/>
      <c r="TPY175" s="72"/>
      <c r="TPZ175" s="72"/>
      <c r="TQA175" s="72"/>
      <c r="TQB175" s="72"/>
      <c r="TQC175" s="72"/>
      <c r="TQD175" s="72"/>
      <c r="TQE175" s="72"/>
      <c r="TQF175" s="72"/>
      <c r="TQG175" s="72"/>
      <c r="TQH175" s="72"/>
      <c r="TQI175" s="72"/>
      <c r="TQJ175" s="72"/>
      <c r="TQK175" s="72"/>
      <c r="TQL175" s="72"/>
      <c r="TQM175" s="72"/>
      <c r="TQN175" s="72"/>
      <c r="TQO175" s="72"/>
      <c r="TQP175" s="72"/>
      <c r="TQQ175" s="72"/>
      <c r="TQR175" s="72"/>
      <c r="TQS175" s="72"/>
      <c r="TQT175" s="72"/>
      <c r="TQU175" s="72"/>
      <c r="TQV175" s="72"/>
      <c r="TQW175" s="72"/>
      <c r="TQX175" s="72"/>
      <c r="TQY175" s="72"/>
      <c r="TQZ175" s="72"/>
      <c r="TRA175" s="72"/>
      <c r="TRB175" s="72"/>
      <c r="TRC175" s="72"/>
      <c r="TRD175" s="72"/>
      <c r="TRE175" s="72"/>
      <c r="TRF175" s="72"/>
      <c r="TRG175" s="72"/>
      <c r="TRH175" s="72"/>
      <c r="TRI175" s="72"/>
      <c r="TRJ175" s="72"/>
      <c r="TRK175" s="72"/>
      <c r="TRL175" s="72"/>
      <c r="TRM175" s="72"/>
      <c r="TRN175" s="72"/>
      <c r="TRO175" s="72"/>
      <c r="TRP175" s="72"/>
      <c r="TRQ175" s="72"/>
      <c r="TRR175" s="72"/>
      <c r="TRS175" s="72"/>
      <c r="TRT175" s="72"/>
      <c r="TRU175" s="72"/>
      <c r="TRV175" s="72"/>
      <c r="TRW175" s="72"/>
      <c r="TRX175" s="72"/>
      <c r="TRY175" s="72"/>
      <c r="TRZ175" s="72"/>
      <c r="TSA175" s="72"/>
      <c r="TSB175" s="72"/>
      <c r="TSC175" s="72"/>
      <c r="TSD175" s="72"/>
      <c r="TSE175" s="72"/>
      <c r="TSF175" s="72"/>
      <c r="TSG175" s="72"/>
      <c r="TSH175" s="72"/>
      <c r="TSI175" s="72"/>
      <c r="TSJ175" s="72"/>
      <c r="TSK175" s="72"/>
      <c r="TSL175" s="72"/>
      <c r="TSM175" s="72"/>
      <c r="TSN175" s="72"/>
      <c r="TSO175" s="72"/>
      <c r="TSP175" s="72"/>
      <c r="TSQ175" s="72"/>
      <c r="TSR175" s="72"/>
      <c r="TSS175" s="72"/>
      <c r="TST175" s="72"/>
      <c r="TSU175" s="72"/>
      <c r="TSV175" s="72"/>
      <c r="TSW175" s="72"/>
      <c r="TSX175" s="72"/>
      <c r="TSY175" s="72"/>
      <c r="TSZ175" s="72"/>
      <c r="TTA175" s="72"/>
      <c r="TTB175" s="72"/>
      <c r="TTC175" s="72"/>
      <c r="TTD175" s="72"/>
      <c r="TTE175" s="72"/>
      <c r="TTF175" s="72"/>
      <c r="TTG175" s="72"/>
      <c r="TTH175" s="72"/>
      <c r="TTI175" s="72"/>
      <c r="TTJ175" s="72"/>
      <c r="TTK175" s="72"/>
      <c r="TTL175" s="72"/>
      <c r="TTM175" s="72"/>
      <c r="TTN175" s="72"/>
      <c r="TTO175" s="72"/>
      <c r="TTP175" s="72"/>
      <c r="TTQ175" s="72"/>
      <c r="TTR175" s="72"/>
      <c r="TTS175" s="72"/>
      <c r="TTT175" s="72"/>
      <c r="TTU175" s="72"/>
      <c r="TTV175" s="72"/>
      <c r="TTW175" s="72"/>
      <c r="TTX175" s="72"/>
      <c r="TTY175" s="72"/>
      <c r="TTZ175" s="72"/>
      <c r="TUA175" s="72"/>
      <c r="TUB175" s="72"/>
      <c r="TUC175" s="72"/>
      <c r="TUD175" s="72"/>
      <c r="TUE175" s="72"/>
      <c r="TUF175" s="72"/>
      <c r="TUG175" s="72"/>
      <c r="TUH175" s="72"/>
      <c r="TUI175" s="72"/>
      <c r="TUJ175" s="72"/>
      <c r="TUK175" s="72"/>
      <c r="TUL175" s="72"/>
      <c r="TUM175" s="72"/>
      <c r="TUN175" s="72"/>
      <c r="TUO175" s="72"/>
      <c r="TUP175" s="72"/>
      <c r="TUQ175" s="72"/>
      <c r="TUR175" s="72"/>
      <c r="TUS175" s="72"/>
      <c r="TUT175" s="72"/>
      <c r="TUU175" s="72"/>
      <c r="TUV175" s="72"/>
      <c r="TUW175" s="72"/>
      <c r="TUX175" s="72"/>
      <c r="TUY175" s="72"/>
      <c r="TUZ175" s="72"/>
      <c r="TVA175" s="72"/>
      <c r="TVB175" s="72"/>
      <c r="TVC175" s="72"/>
      <c r="TVD175" s="72"/>
      <c r="TVE175" s="72"/>
      <c r="TVF175" s="72"/>
      <c r="TVG175" s="72"/>
      <c r="TVH175" s="72"/>
      <c r="TVI175" s="72"/>
      <c r="TVJ175" s="72"/>
      <c r="TVK175" s="72"/>
      <c r="TVL175" s="72"/>
      <c r="TVM175" s="72"/>
      <c r="TVN175" s="72"/>
      <c r="TVO175" s="72"/>
      <c r="TVP175" s="72"/>
      <c r="TVQ175" s="72"/>
      <c r="TVR175" s="72"/>
      <c r="TVS175" s="72"/>
      <c r="TVT175" s="72"/>
      <c r="TVU175" s="72"/>
      <c r="TVV175" s="72"/>
      <c r="TVW175" s="72"/>
      <c r="TVX175" s="72"/>
      <c r="TVY175" s="72"/>
      <c r="TVZ175" s="72"/>
      <c r="TWA175" s="72"/>
      <c r="TWB175" s="72"/>
      <c r="TWC175" s="72"/>
      <c r="TWD175" s="72"/>
      <c r="TWE175" s="72"/>
      <c r="TWF175" s="72"/>
      <c r="TWG175" s="72"/>
      <c r="TWH175" s="72"/>
      <c r="TWI175" s="72"/>
      <c r="TWJ175" s="72"/>
      <c r="TWK175" s="72"/>
      <c r="TWL175" s="72"/>
      <c r="TWM175" s="72"/>
      <c r="TWN175" s="72"/>
      <c r="TWO175" s="72"/>
      <c r="TWP175" s="72"/>
      <c r="TWQ175" s="72"/>
      <c r="TWR175" s="72"/>
      <c r="TWS175" s="72"/>
      <c r="TWT175" s="72"/>
      <c r="TWU175" s="72"/>
      <c r="TWV175" s="72"/>
      <c r="TWW175" s="72"/>
      <c r="TWX175" s="72"/>
      <c r="TWY175" s="72"/>
      <c r="TWZ175" s="72"/>
      <c r="TXA175" s="72"/>
      <c r="TXB175" s="72"/>
      <c r="TXC175" s="72"/>
      <c r="TXD175" s="72"/>
      <c r="TXE175" s="72"/>
      <c r="TXF175" s="72"/>
      <c r="TXG175" s="72"/>
      <c r="TXH175" s="72"/>
      <c r="TXI175" s="72"/>
      <c r="TXJ175" s="72"/>
      <c r="TXK175" s="72"/>
      <c r="TXL175" s="72"/>
      <c r="TXM175" s="72"/>
      <c r="TXN175" s="72"/>
      <c r="TXO175" s="72"/>
      <c r="TXP175" s="72"/>
      <c r="TXQ175" s="72"/>
      <c r="TXR175" s="72"/>
      <c r="TXS175" s="72"/>
      <c r="TXT175" s="72"/>
      <c r="TXU175" s="72"/>
      <c r="TXV175" s="72"/>
      <c r="TXW175" s="72"/>
      <c r="TXX175" s="72"/>
      <c r="TXY175" s="72"/>
      <c r="TXZ175" s="72"/>
      <c r="TYA175" s="72"/>
      <c r="TYB175" s="72"/>
      <c r="TYC175" s="72"/>
      <c r="TYD175" s="72"/>
      <c r="TYE175" s="72"/>
      <c r="TYF175" s="72"/>
      <c r="TYG175" s="72"/>
      <c r="TYH175" s="72"/>
      <c r="TYI175" s="72"/>
      <c r="TYJ175" s="72"/>
      <c r="TYK175" s="72"/>
      <c r="TYL175" s="72"/>
      <c r="TYM175" s="72"/>
      <c r="TYN175" s="72"/>
      <c r="TYO175" s="72"/>
      <c r="TYP175" s="72"/>
      <c r="TYQ175" s="72"/>
      <c r="TYR175" s="72"/>
      <c r="TYS175" s="72"/>
      <c r="TYT175" s="72"/>
      <c r="TYU175" s="72"/>
      <c r="TYV175" s="72"/>
      <c r="TYW175" s="72"/>
      <c r="TYX175" s="72"/>
      <c r="TYY175" s="72"/>
      <c r="TYZ175" s="72"/>
      <c r="TZA175" s="72"/>
      <c r="TZB175" s="72"/>
      <c r="TZC175" s="72"/>
      <c r="TZD175" s="72"/>
      <c r="TZE175" s="72"/>
      <c r="TZF175" s="72"/>
      <c r="TZG175" s="72"/>
      <c r="TZH175" s="72"/>
      <c r="TZI175" s="72"/>
      <c r="TZJ175" s="72"/>
      <c r="TZK175" s="72"/>
      <c r="TZL175" s="72"/>
      <c r="TZM175" s="72"/>
      <c r="TZN175" s="72"/>
      <c r="TZO175" s="72"/>
      <c r="TZP175" s="72"/>
      <c r="TZQ175" s="72"/>
      <c r="TZR175" s="72"/>
      <c r="TZS175" s="72"/>
      <c r="TZT175" s="72"/>
      <c r="TZU175" s="72"/>
      <c r="TZV175" s="72"/>
      <c r="TZW175" s="72"/>
      <c r="TZX175" s="72"/>
      <c r="TZY175" s="72"/>
      <c r="TZZ175" s="72"/>
      <c r="UAA175" s="72"/>
      <c r="UAB175" s="72"/>
      <c r="UAC175" s="72"/>
      <c r="UAD175" s="72"/>
      <c r="UAE175" s="72"/>
      <c r="UAF175" s="72"/>
      <c r="UAG175" s="72"/>
      <c r="UAH175" s="72"/>
      <c r="UAI175" s="72"/>
      <c r="UAJ175" s="72"/>
      <c r="UAK175" s="72"/>
      <c r="UAL175" s="72"/>
      <c r="UAM175" s="72"/>
      <c r="UAN175" s="72"/>
      <c r="UAO175" s="72"/>
      <c r="UAP175" s="72"/>
      <c r="UAQ175" s="72"/>
      <c r="UAR175" s="72"/>
      <c r="UAS175" s="72"/>
      <c r="UAT175" s="72"/>
      <c r="UAU175" s="72"/>
      <c r="UAV175" s="72"/>
      <c r="UAW175" s="72"/>
      <c r="UAX175" s="72"/>
      <c r="UAY175" s="72"/>
      <c r="UAZ175" s="72"/>
      <c r="UBA175" s="72"/>
      <c r="UBB175" s="72"/>
      <c r="UBC175" s="72"/>
      <c r="UBD175" s="72"/>
      <c r="UBE175" s="72"/>
      <c r="UBF175" s="72"/>
      <c r="UBG175" s="72"/>
      <c r="UBH175" s="72"/>
      <c r="UBI175" s="72"/>
      <c r="UBJ175" s="72"/>
      <c r="UBK175" s="72"/>
      <c r="UBL175" s="72"/>
      <c r="UBM175" s="72"/>
      <c r="UBN175" s="72"/>
      <c r="UBO175" s="72"/>
      <c r="UBP175" s="72"/>
      <c r="UBQ175" s="72"/>
      <c r="UBR175" s="72"/>
      <c r="UBS175" s="72"/>
      <c r="UBT175" s="72"/>
      <c r="UBU175" s="72"/>
      <c r="UBV175" s="72"/>
      <c r="UBW175" s="72"/>
      <c r="UBX175" s="72"/>
      <c r="UBY175" s="72"/>
      <c r="UBZ175" s="72"/>
      <c r="UCA175" s="72"/>
      <c r="UCB175" s="72"/>
      <c r="UCC175" s="72"/>
      <c r="UCD175" s="72"/>
      <c r="UCE175" s="72"/>
      <c r="UCF175" s="72"/>
      <c r="UCG175" s="72"/>
      <c r="UCH175" s="72"/>
      <c r="UCI175" s="72"/>
      <c r="UCJ175" s="72"/>
      <c r="UCK175" s="72"/>
      <c r="UCL175" s="72"/>
      <c r="UCM175" s="72"/>
      <c r="UCN175" s="72"/>
      <c r="UCO175" s="72"/>
      <c r="UCP175" s="72"/>
      <c r="UCQ175" s="72"/>
      <c r="UCR175" s="72"/>
      <c r="UCS175" s="72"/>
      <c r="UCT175" s="72"/>
      <c r="UCU175" s="72"/>
      <c r="UCV175" s="72"/>
      <c r="UCW175" s="72"/>
      <c r="UCX175" s="72"/>
      <c r="UCY175" s="72"/>
      <c r="UCZ175" s="72"/>
      <c r="UDA175" s="72"/>
      <c r="UDB175" s="72"/>
      <c r="UDC175" s="72"/>
      <c r="UDD175" s="72"/>
      <c r="UDE175" s="72"/>
      <c r="UDF175" s="72"/>
      <c r="UDG175" s="72"/>
      <c r="UDH175" s="72"/>
      <c r="UDI175" s="72"/>
      <c r="UDJ175" s="72"/>
      <c r="UDK175" s="72"/>
      <c r="UDL175" s="72"/>
      <c r="UDM175" s="72"/>
      <c r="UDN175" s="72"/>
      <c r="UDO175" s="72"/>
      <c r="UDP175" s="72"/>
      <c r="UDQ175" s="72"/>
      <c r="UDR175" s="72"/>
      <c r="UDS175" s="72"/>
      <c r="UDT175" s="72"/>
      <c r="UDU175" s="72"/>
      <c r="UDV175" s="72"/>
      <c r="UDW175" s="72"/>
      <c r="UDX175" s="72"/>
      <c r="UDY175" s="72"/>
      <c r="UDZ175" s="72"/>
      <c r="UEA175" s="72"/>
      <c r="UEB175" s="72"/>
      <c r="UEC175" s="72"/>
      <c r="UED175" s="72"/>
      <c r="UEE175" s="72"/>
      <c r="UEF175" s="72"/>
      <c r="UEG175" s="72"/>
      <c r="UEH175" s="72"/>
      <c r="UEI175" s="72"/>
      <c r="UEJ175" s="72"/>
      <c r="UEK175" s="72"/>
      <c r="UEL175" s="72"/>
      <c r="UEM175" s="72"/>
      <c r="UEN175" s="72"/>
      <c r="UEO175" s="72"/>
      <c r="UEP175" s="72"/>
      <c r="UEQ175" s="72"/>
      <c r="UER175" s="72"/>
      <c r="UES175" s="72"/>
      <c r="UET175" s="72"/>
      <c r="UEU175" s="72"/>
      <c r="UEV175" s="72"/>
      <c r="UEW175" s="72"/>
      <c r="UEX175" s="72"/>
      <c r="UEY175" s="72"/>
      <c r="UEZ175" s="72"/>
      <c r="UFA175" s="72"/>
      <c r="UFB175" s="72"/>
      <c r="UFC175" s="72"/>
      <c r="UFD175" s="72"/>
      <c r="UFE175" s="72"/>
      <c r="UFF175" s="72"/>
      <c r="UFG175" s="72"/>
      <c r="UFH175" s="72"/>
      <c r="UFI175" s="72"/>
      <c r="UFJ175" s="72"/>
      <c r="UFK175" s="72"/>
      <c r="UFL175" s="72"/>
      <c r="UFM175" s="72"/>
      <c r="UFN175" s="72"/>
      <c r="UFO175" s="72"/>
      <c r="UFP175" s="72"/>
      <c r="UFQ175" s="72"/>
      <c r="UFR175" s="72"/>
      <c r="UFS175" s="72"/>
      <c r="UFT175" s="72"/>
      <c r="UFU175" s="72"/>
      <c r="UFV175" s="72"/>
      <c r="UFW175" s="72"/>
      <c r="UFX175" s="72"/>
      <c r="UFY175" s="72"/>
      <c r="UFZ175" s="72"/>
      <c r="UGA175" s="72"/>
      <c r="UGB175" s="72"/>
      <c r="UGC175" s="72"/>
      <c r="UGD175" s="72"/>
      <c r="UGE175" s="72"/>
      <c r="UGF175" s="72"/>
      <c r="UGG175" s="72"/>
      <c r="UGH175" s="72"/>
      <c r="UGI175" s="72"/>
      <c r="UGJ175" s="72"/>
      <c r="UGK175" s="72"/>
      <c r="UGL175" s="72"/>
      <c r="UGM175" s="72"/>
      <c r="UGN175" s="72"/>
      <c r="UGO175" s="72"/>
      <c r="UGP175" s="72"/>
      <c r="UGQ175" s="72"/>
      <c r="UGR175" s="72"/>
      <c r="UGS175" s="72"/>
      <c r="UGT175" s="72"/>
      <c r="UGU175" s="72"/>
      <c r="UGV175" s="72"/>
      <c r="UGW175" s="72"/>
      <c r="UGX175" s="72"/>
      <c r="UGY175" s="72"/>
      <c r="UGZ175" s="72"/>
      <c r="UHA175" s="72"/>
      <c r="UHB175" s="72"/>
      <c r="UHC175" s="72"/>
      <c r="UHD175" s="72"/>
      <c r="UHE175" s="72"/>
      <c r="UHF175" s="72"/>
      <c r="UHG175" s="72"/>
      <c r="UHH175" s="72"/>
      <c r="UHI175" s="72"/>
      <c r="UHJ175" s="72"/>
      <c r="UHK175" s="72"/>
      <c r="UHL175" s="72"/>
      <c r="UHM175" s="72"/>
      <c r="UHN175" s="72"/>
      <c r="UHO175" s="72"/>
      <c r="UHP175" s="72"/>
      <c r="UHQ175" s="72"/>
      <c r="UHR175" s="72"/>
      <c r="UHS175" s="72"/>
      <c r="UHT175" s="72"/>
      <c r="UHU175" s="72"/>
      <c r="UHV175" s="72"/>
      <c r="UHW175" s="72"/>
      <c r="UHX175" s="72"/>
      <c r="UHY175" s="72"/>
      <c r="UHZ175" s="72"/>
      <c r="UIA175" s="72"/>
      <c r="UIB175" s="72"/>
      <c r="UIC175" s="72"/>
      <c r="UID175" s="72"/>
      <c r="UIE175" s="72"/>
      <c r="UIF175" s="72"/>
      <c r="UIG175" s="72"/>
      <c r="UIH175" s="72"/>
      <c r="UII175" s="72"/>
      <c r="UIJ175" s="72"/>
      <c r="UIK175" s="72"/>
      <c r="UIL175" s="72"/>
      <c r="UIM175" s="72"/>
      <c r="UIN175" s="72"/>
      <c r="UIO175" s="72"/>
      <c r="UIP175" s="72"/>
      <c r="UIQ175" s="72"/>
      <c r="UIR175" s="72"/>
      <c r="UIS175" s="72"/>
      <c r="UIT175" s="72"/>
      <c r="UIU175" s="72"/>
      <c r="UIV175" s="72"/>
      <c r="UIW175" s="72"/>
      <c r="UIX175" s="72"/>
      <c r="UIY175" s="72"/>
      <c r="UIZ175" s="72"/>
      <c r="UJA175" s="72"/>
      <c r="UJB175" s="72"/>
      <c r="UJC175" s="72"/>
      <c r="UJD175" s="72"/>
      <c r="UJE175" s="72"/>
      <c r="UJF175" s="72"/>
      <c r="UJG175" s="72"/>
      <c r="UJH175" s="72"/>
      <c r="UJI175" s="72"/>
      <c r="UJJ175" s="72"/>
      <c r="UJK175" s="72"/>
      <c r="UJL175" s="72"/>
      <c r="UJM175" s="72"/>
      <c r="UJN175" s="72"/>
      <c r="UJO175" s="72"/>
      <c r="UJP175" s="72"/>
      <c r="UJQ175" s="72"/>
      <c r="UJR175" s="72"/>
      <c r="UJS175" s="72"/>
      <c r="UJT175" s="72"/>
      <c r="UJU175" s="72"/>
      <c r="UJV175" s="72"/>
      <c r="UJW175" s="72"/>
      <c r="UJX175" s="72"/>
      <c r="UJY175" s="72"/>
      <c r="UJZ175" s="72"/>
      <c r="UKA175" s="72"/>
      <c r="UKB175" s="72"/>
      <c r="UKC175" s="72"/>
      <c r="UKD175" s="72"/>
      <c r="UKE175" s="72"/>
      <c r="UKF175" s="72"/>
      <c r="UKG175" s="72"/>
      <c r="UKH175" s="72"/>
      <c r="UKI175" s="72"/>
      <c r="UKJ175" s="72"/>
      <c r="UKK175" s="72"/>
      <c r="UKL175" s="72"/>
      <c r="UKM175" s="72"/>
      <c r="UKN175" s="72"/>
      <c r="UKO175" s="72"/>
      <c r="UKP175" s="72"/>
      <c r="UKQ175" s="72"/>
      <c r="UKR175" s="72"/>
      <c r="UKS175" s="72"/>
      <c r="UKT175" s="72"/>
      <c r="UKU175" s="72"/>
      <c r="UKV175" s="72"/>
      <c r="UKW175" s="72"/>
      <c r="UKX175" s="72"/>
      <c r="UKY175" s="72"/>
      <c r="UKZ175" s="72"/>
      <c r="ULA175" s="72"/>
      <c r="ULB175" s="72"/>
      <c r="ULC175" s="72"/>
      <c r="ULD175" s="72"/>
      <c r="ULE175" s="72"/>
      <c r="ULF175" s="72"/>
      <c r="ULG175" s="72"/>
      <c r="ULH175" s="72"/>
      <c r="ULI175" s="72"/>
      <c r="ULJ175" s="72"/>
      <c r="ULK175" s="72"/>
      <c r="ULL175" s="72"/>
      <c r="ULM175" s="72"/>
      <c r="ULN175" s="72"/>
      <c r="ULO175" s="72"/>
      <c r="ULP175" s="72"/>
      <c r="ULQ175" s="72"/>
      <c r="ULR175" s="72"/>
      <c r="ULS175" s="72"/>
      <c r="ULT175" s="72"/>
      <c r="ULU175" s="72"/>
      <c r="ULV175" s="72"/>
      <c r="ULW175" s="72"/>
      <c r="ULX175" s="72"/>
      <c r="ULY175" s="72"/>
      <c r="ULZ175" s="72"/>
      <c r="UMA175" s="72"/>
      <c r="UMB175" s="72"/>
      <c r="UMC175" s="72"/>
      <c r="UMD175" s="72"/>
      <c r="UME175" s="72"/>
      <c r="UMF175" s="72"/>
      <c r="UMG175" s="72"/>
      <c r="UMH175" s="72"/>
      <c r="UMI175" s="72"/>
      <c r="UMJ175" s="72"/>
      <c r="UMK175" s="72"/>
      <c r="UML175" s="72"/>
      <c r="UMM175" s="72"/>
      <c r="UMN175" s="72"/>
      <c r="UMO175" s="72"/>
      <c r="UMP175" s="72"/>
      <c r="UMQ175" s="72"/>
      <c r="UMR175" s="72"/>
      <c r="UMS175" s="72"/>
      <c r="UMT175" s="72"/>
      <c r="UMU175" s="72"/>
      <c r="UMV175" s="72"/>
      <c r="UMW175" s="72"/>
      <c r="UMX175" s="72"/>
      <c r="UMY175" s="72"/>
      <c r="UMZ175" s="72"/>
      <c r="UNA175" s="72"/>
      <c r="UNB175" s="72"/>
      <c r="UNC175" s="72"/>
      <c r="UND175" s="72"/>
      <c r="UNE175" s="72"/>
      <c r="UNF175" s="72"/>
      <c r="UNG175" s="72"/>
      <c r="UNH175" s="72"/>
      <c r="UNI175" s="72"/>
      <c r="UNJ175" s="72"/>
      <c r="UNK175" s="72"/>
      <c r="UNL175" s="72"/>
      <c r="UNM175" s="72"/>
      <c r="UNN175" s="72"/>
      <c r="UNO175" s="72"/>
      <c r="UNP175" s="72"/>
      <c r="UNQ175" s="72"/>
      <c r="UNR175" s="72"/>
      <c r="UNS175" s="72"/>
      <c r="UNT175" s="72"/>
      <c r="UNU175" s="72"/>
      <c r="UNV175" s="72"/>
      <c r="UNW175" s="72"/>
      <c r="UNX175" s="72"/>
      <c r="UNY175" s="72"/>
      <c r="UNZ175" s="72"/>
      <c r="UOA175" s="72"/>
      <c r="UOB175" s="72"/>
      <c r="UOC175" s="72"/>
      <c r="UOD175" s="72"/>
      <c r="UOE175" s="72"/>
      <c r="UOF175" s="72"/>
      <c r="UOG175" s="72"/>
      <c r="UOH175" s="72"/>
      <c r="UOI175" s="72"/>
      <c r="UOJ175" s="72"/>
      <c r="UOK175" s="72"/>
      <c r="UOL175" s="72"/>
      <c r="UOM175" s="72"/>
      <c r="UON175" s="72"/>
      <c r="UOO175" s="72"/>
      <c r="UOP175" s="72"/>
      <c r="UOQ175" s="72"/>
      <c r="UOR175" s="72"/>
      <c r="UOS175" s="72"/>
      <c r="UOT175" s="72"/>
      <c r="UOU175" s="72"/>
      <c r="UOV175" s="72"/>
      <c r="UOW175" s="72"/>
      <c r="UOX175" s="72"/>
      <c r="UOY175" s="72"/>
      <c r="UOZ175" s="72"/>
      <c r="UPA175" s="72"/>
      <c r="UPB175" s="72"/>
      <c r="UPC175" s="72"/>
      <c r="UPD175" s="72"/>
      <c r="UPE175" s="72"/>
      <c r="UPF175" s="72"/>
      <c r="UPG175" s="72"/>
      <c r="UPH175" s="72"/>
      <c r="UPI175" s="72"/>
      <c r="UPJ175" s="72"/>
      <c r="UPK175" s="72"/>
      <c r="UPL175" s="72"/>
      <c r="UPM175" s="72"/>
      <c r="UPN175" s="72"/>
      <c r="UPO175" s="72"/>
      <c r="UPP175" s="72"/>
      <c r="UPQ175" s="72"/>
      <c r="UPR175" s="72"/>
      <c r="UPS175" s="72"/>
      <c r="UPT175" s="72"/>
      <c r="UPU175" s="72"/>
      <c r="UPV175" s="72"/>
      <c r="UPW175" s="72"/>
      <c r="UPX175" s="72"/>
      <c r="UPY175" s="72"/>
      <c r="UPZ175" s="72"/>
      <c r="UQA175" s="72"/>
      <c r="UQB175" s="72"/>
      <c r="UQC175" s="72"/>
      <c r="UQD175" s="72"/>
      <c r="UQE175" s="72"/>
      <c r="UQF175" s="72"/>
      <c r="UQG175" s="72"/>
      <c r="UQH175" s="72"/>
      <c r="UQI175" s="72"/>
      <c r="UQJ175" s="72"/>
      <c r="UQK175" s="72"/>
      <c r="UQL175" s="72"/>
      <c r="UQM175" s="72"/>
      <c r="UQN175" s="72"/>
      <c r="UQO175" s="72"/>
      <c r="UQP175" s="72"/>
      <c r="UQQ175" s="72"/>
      <c r="UQR175" s="72"/>
      <c r="UQS175" s="72"/>
      <c r="UQT175" s="72"/>
      <c r="UQU175" s="72"/>
      <c r="UQV175" s="72"/>
      <c r="UQW175" s="72"/>
      <c r="UQX175" s="72"/>
      <c r="UQY175" s="72"/>
      <c r="UQZ175" s="72"/>
      <c r="URA175" s="72"/>
      <c r="URB175" s="72"/>
      <c r="URC175" s="72"/>
      <c r="URD175" s="72"/>
      <c r="URE175" s="72"/>
      <c r="URF175" s="72"/>
      <c r="URG175" s="72"/>
      <c r="URH175" s="72"/>
      <c r="URI175" s="72"/>
      <c r="URJ175" s="72"/>
      <c r="URK175" s="72"/>
      <c r="URL175" s="72"/>
      <c r="URM175" s="72"/>
      <c r="URN175" s="72"/>
      <c r="URO175" s="72"/>
      <c r="URP175" s="72"/>
      <c r="URQ175" s="72"/>
      <c r="URR175" s="72"/>
      <c r="URS175" s="72"/>
      <c r="URT175" s="72"/>
      <c r="URU175" s="72"/>
      <c r="URV175" s="72"/>
      <c r="URW175" s="72"/>
      <c r="URX175" s="72"/>
      <c r="URY175" s="72"/>
      <c r="URZ175" s="72"/>
      <c r="USA175" s="72"/>
      <c r="USB175" s="72"/>
      <c r="USC175" s="72"/>
      <c r="USD175" s="72"/>
      <c r="USE175" s="72"/>
      <c r="USF175" s="72"/>
      <c r="USG175" s="72"/>
      <c r="USH175" s="72"/>
      <c r="USI175" s="72"/>
      <c r="USJ175" s="72"/>
      <c r="USK175" s="72"/>
      <c r="USL175" s="72"/>
      <c r="USM175" s="72"/>
      <c r="USN175" s="72"/>
      <c r="USO175" s="72"/>
      <c r="USP175" s="72"/>
      <c r="USQ175" s="72"/>
      <c r="USR175" s="72"/>
      <c r="USS175" s="72"/>
      <c r="UST175" s="72"/>
      <c r="USU175" s="72"/>
      <c r="USV175" s="72"/>
      <c r="USW175" s="72"/>
      <c r="USX175" s="72"/>
      <c r="USY175" s="72"/>
      <c r="USZ175" s="72"/>
      <c r="UTA175" s="72"/>
      <c r="UTB175" s="72"/>
      <c r="UTC175" s="72"/>
      <c r="UTD175" s="72"/>
      <c r="UTE175" s="72"/>
      <c r="UTF175" s="72"/>
      <c r="UTG175" s="72"/>
      <c r="UTH175" s="72"/>
      <c r="UTI175" s="72"/>
      <c r="UTJ175" s="72"/>
      <c r="UTK175" s="72"/>
      <c r="UTL175" s="72"/>
      <c r="UTM175" s="72"/>
      <c r="UTN175" s="72"/>
      <c r="UTO175" s="72"/>
      <c r="UTP175" s="72"/>
      <c r="UTQ175" s="72"/>
      <c r="UTR175" s="72"/>
      <c r="UTS175" s="72"/>
      <c r="UTT175" s="72"/>
      <c r="UTU175" s="72"/>
      <c r="UTV175" s="72"/>
      <c r="UTW175" s="72"/>
      <c r="UTX175" s="72"/>
      <c r="UTY175" s="72"/>
      <c r="UTZ175" s="72"/>
      <c r="UUA175" s="72"/>
      <c r="UUB175" s="72"/>
      <c r="UUC175" s="72"/>
      <c r="UUD175" s="72"/>
      <c r="UUE175" s="72"/>
      <c r="UUF175" s="72"/>
      <c r="UUG175" s="72"/>
      <c r="UUH175" s="72"/>
      <c r="UUI175" s="72"/>
      <c r="UUJ175" s="72"/>
      <c r="UUK175" s="72"/>
      <c r="UUL175" s="72"/>
      <c r="UUM175" s="72"/>
      <c r="UUN175" s="72"/>
      <c r="UUO175" s="72"/>
      <c r="UUP175" s="72"/>
      <c r="UUQ175" s="72"/>
      <c r="UUR175" s="72"/>
      <c r="UUS175" s="72"/>
      <c r="UUT175" s="72"/>
      <c r="UUU175" s="72"/>
      <c r="UUV175" s="72"/>
      <c r="UUW175" s="72"/>
      <c r="UUX175" s="72"/>
      <c r="UUY175" s="72"/>
      <c r="UUZ175" s="72"/>
      <c r="UVA175" s="72"/>
      <c r="UVB175" s="72"/>
      <c r="UVC175" s="72"/>
      <c r="UVD175" s="72"/>
      <c r="UVE175" s="72"/>
      <c r="UVF175" s="72"/>
      <c r="UVG175" s="72"/>
      <c r="UVH175" s="72"/>
      <c r="UVI175" s="72"/>
      <c r="UVJ175" s="72"/>
      <c r="UVK175" s="72"/>
      <c r="UVL175" s="72"/>
      <c r="UVM175" s="72"/>
      <c r="UVN175" s="72"/>
      <c r="UVO175" s="72"/>
      <c r="UVP175" s="72"/>
      <c r="UVQ175" s="72"/>
      <c r="UVR175" s="72"/>
      <c r="UVS175" s="72"/>
      <c r="UVT175" s="72"/>
      <c r="UVU175" s="72"/>
      <c r="UVV175" s="72"/>
      <c r="UVW175" s="72"/>
      <c r="UVX175" s="72"/>
      <c r="UVY175" s="72"/>
      <c r="UVZ175" s="72"/>
      <c r="UWA175" s="72"/>
      <c r="UWB175" s="72"/>
      <c r="UWC175" s="72"/>
      <c r="UWD175" s="72"/>
      <c r="UWE175" s="72"/>
      <c r="UWF175" s="72"/>
      <c r="UWG175" s="72"/>
      <c r="UWH175" s="72"/>
      <c r="UWI175" s="72"/>
      <c r="UWJ175" s="72"/>
      <c r="UWK175" s="72"/>
      <c r="UWL175" s="72"/>
      <c r="UWM175" s="72"/>
      <c r="UWN175" s="72"/>
      <c r="UWO175" s="72"/>
      <c r="UWP175" s="72"/>
      <c r="UWQ175" s="72"/>
      <c r="UWR175" s="72"/>
      <c r="UWS175" s="72"/>
      <c r="UWT175" s="72"/>
      <c r="UWU175" s="72"/>
      <c r="UWV175" s="72"/>
      <c r="UWW175" s="72"/>
      <c r="UWX175" s="72"/>
      <c r="UWY175" s="72"/>
      <c r="UWZ175" s="72"/>
      <c r="UXA175" s="72"/>
      <c r="UXB175" s="72"/>
      <c r="UXC175" s="72"/>
      <c r="UXD175" s="72"/>
      <c r="UXE175" s="72"/>
      <c r="UXF175" s="72"/>
      <c r="UXG175" s="72"/>
      <c r="UXH175" s="72"/>
      <c r="UXI175" s="72"/>
      <c r="UXJ175" s="72"/>
      <c r="UXK175" s="72"/>
      <c r="UXL175" s="72"/>
      <c r="UXM175" s="72"/>
      <c r="UXN175" s="72"/>
      <c r="UXO175" s="72"/>
      <c r="UXP175" s="72"/>
      <c r="UXQ175" s="72"/>
      <c r="UXR175" s="72"/>
      <c r="UXS175" s="72"/>
      <c r="UXT175" s="72"/>
      <c r="UXU175" s="72"/>
      <c r="UXV175" s="72"/>
      <c r="UXW175" s="72"/>
      <c r="UXX175" s="72"/>
      <c r="UXY175" s="72"/>
      <c r="UXZ175" s="72"/>
      <c r="UYA175" s="72"/>
      <c r="UYB175" s="72"/>
      <c r="UYC175" s="72"/>
      <c r="UYD175" s="72"/>
      <c r="UYE175" s="72"/>
      <c r="UYF175" s="72"/>
      <c r="UYG175" s="72"/>
      <c r="UYH175" s="72"/>
      <c r="UYI175" s="72"/>
      <c r="UYJ175" s="72"/>
      <c r="UYK175" s="72"/>
      <c r="UYL175" s="72"/>
      <c r="UYM175" s="72"/>
      <c r="UYN175" s="72"/>
      <c r="UYO175" s="72"/>
      <c r="UYP175" s="72"/>
      <c r="UYQ175" s="72"/>
      <c r="UYR175" s="72"/>
      <c r="UYS175" s="72"/>
      <c r="UYT175" s="72"/>
      <c r="UYU175" s="72"/>
      <c r="UYV175" s="72"/>
      <c r="UYW175" s="72"/>
      <c r="UYX175" s="72"/>
      <c r="UYY175" s="72"/>
      <c r="UYZ175" s="72"/>
      <c r="UZA175" s="72"/>
      <c r="UZB175" s="72"/>
      <c r="UZC175" s="72"/>
      <c r="UZD175" s="72"/>
      <c r="UZE175" s="72"/>
      <c r="UZF175" s="72"/>
      <c r="UZG175" s="72"/>
      <c r="UZH175" s="72"/>
      <c r="UZI175" s="72"/>
      <c r="UZJ175" s="72"/>
      <c r="UZK175" s="72"/>
      <c r="UZL175" s="72"/>
      <c r="UZM175" s="72"/>
      <c r="UZN175" s="72"/>
      <c r="UZO175" s="72"/>
      <c r="UZP175" s="72"/>
      <c r="UZQ175" s="72"/>
      <c r="UZR175" s="72"/>
      <c r="UZS175" s="72"/>
      <c r="UZT175" s="72"/>
      <c r="UZU175" s="72"/>
      <c r="UZV175" s="72"/>
      <c r="UZW175" s="72"/>
      <c r="UZX175" s="72"/>
      <c r="UZY175" s="72"/>
      <c r="UZZ175" s="72"/>
      <c r="VAA175" s="72"/>
      <c r="VAB175" s="72"/>
      <c r="VAC175" s="72"/>
      <c r="VAD175" s="72"/>
      <c r="VAE175" s="72"/>
      <c r="VAF175" s="72"/>
      <c r="VAG175" s="72"/>
      <c r="VAH175" s="72"/>
      <c r="VAI175" s="72"/>
      <c r="VAJ175" s="72"/>
      <c r="VAK175" s="72"/>
      <c r="VAL175" s="72"/>
      <c r="VAM175" s="72"/>
      <c r="VAN175" s="72"/>
      <c r="VAO175" s="72"/>
      <c r="VAP175" s="72"/>
      <c r="VAQ175" s="72"/>
      <c r="VAR175" s="72"/>
      <c r="VAS175" s="72"/>
      <c r="VAT175" s="72"/>
      <c r="VAU175" s="72"/>
      <c r="VAV175" s="72"/>
      <c r="VAW175" s="72"/>
      <c r="VAX175" s="72"/>
      <c r="VAY175" s="72"/>
      <c r="VAZ175" s="72"/>
      <c r="VBA175" s="72"/>
      <c r="VBB175" s="72"/>
      <c r="VBC175" s="72"/>
      <c r="VBD175" s="72"/>
      <c r="VBE175" s="72"/>
      <c r="VBF175" s="72"/>
      <c r="VBG175" s="72"/>
      <c r="VBH175" s="72"/>
      <c r="VBI175" s="72"/>
      <c r="VBJ175" s="72"/>
      <c r="VBK175" s="72"/>
      <c r="VBL175" s="72"/>
      <c r="VBM175" s="72"/>
      <c r="VBN175" s="72"/>
      <c r="VBO175" s="72"/>
      <c r="VBP175" s="72"/>
      <c r="VBQ175" s="72"/>
      <c r="VBR175" s="72"/>
      <c r="VBS175" s="72"/>
      <c r="VBT175" s="72"/>
      <c r="VBU175" s="72"/>
      <c r="VBV175" s="72"/>
      <c r="VBW175" s="72"/>
      <c r="VBX175" s="72"/>
      <c r="VBY175" s="72"/>
      <c r="VBZ175" s="72"/>
      <c r="VCA175" s="72"/>
      <c r="VCB175" s="72"/>
      <c r="VCC175" s="72"/>
      <c r="VCD175" s="72"/>
      <c r="VCE175" s="72"/>
      <c r="VCF175" s="72"/>
      <c r="VCG175" s="72"/>
      <c r="VCH175" s="72"/>
      <c r="VCI175" s="72"/>
      <c r="VCJ175" s="72"/>
      <c r="VCK175" s="72"/>
      <c r="VCL175" s="72"/>
      <c r="VCM175" s="72"/>
      <c r="VCN175" s="72"/>
      <c r="VCO175" s="72"/>
      <c r="VCP175" s="72"/>
      <c r="VCQ175" s="72"/>
      <c r="VCR175" s="72"/>
      <c r="VCS175" s="72"/>
      <c r="VCT175" s="72"/>
      <c r="VCU175" s="72"/>
      <c r="VCV175" s="72"/>
      <c r="VCW175" s="72"/>
      <c r="VCX175" s="72"/>
      <c r="VCY175" s="72"/>
      <c r="VCZ175" s="72"/>
      <c r="VDA175" s="72"/>
      <c r="VDB175" s="72"/>
      <c r="VDC175" s="72"/>
      <c r="VDD175" s="72"/>
      <c r="VDE175" s="72"/>
      <c r="VDF175" s="72"/>
      <c r="VDG175" s="72"/>
      <c r="VDH175" s="72"/>
      <c r="VDI175" s="72"/>
      <c r="VDJ175" s="72"/>
      <c r="VDK175" s="72"/>
      <c r="VDL175" s="72"/>
      <c r="VDM175" s="72"/>
      <c r="VDN175" s="72"/>
      <c r="VDO175" s="72"/>
      <c r="VDP175" s="72"/>
      <c r="VDQ175" s="72"/>
      <c r="VDR175" s="72"/>
      <c r="VDS175" s="72"/>
      <c r="VDT175" s="72"/>
      <c r="VDU175" s="72"/>
      <c r="VDV175" s="72"/>
      <c r="VDW175" s="72"/>
      <c r="VDX175" s="72"/>
      <c r="VDY175" s="72"/>
      <c r="VDZ175" s="72"/>
      <c r="VEA175" s="72"/>
      <c r="VEB175" s="72"/>
      <c r="VEC175" s="72"/>
      <c r="VED175" s="72"/>
      <c r="VEE175" s="72"/>
      <c r="VEF175" s="72"/>
      <c r="VEG175" s="72"/>
      <c r="VEH175" s="72"/>
      <c r="VEI175" s="72"/>
      <c r="VEJ175" s="72"/>
      <c r="VEK175" s="72"/>
      <c r="VEL175" s="72"/>
      <c r="VEM175" s="72"/>
      <c r="VEN175" s="72"/>
      <c r="VEO175" s="72"/>
      <c r="VEP175" s="72"/>
      <c r="VEQ175" s="72"/>
      <c r="VER175" s="72"/>
      <c r="VES175" s="72"/>
      <c r="VET175" s="72"/>
      <c r="VEU175" s="72"/>
      <c r="VEV175" s="72"/>
      <c r="VEW175" s="72"/>
      <c r="VEX175" s="72"/>
      <c r="VEY175" s="72"/>
      <c r="VEZ175" s="72"/>
      <c r="VFA175" s="72"/>
      <c r="VFB175" s="72"/>
      <c r="VFC175" s="72"/>
      <c r="VFD175" s="72"/>
      <c r="VFE175" s="72"/>
      <c r="VFF175" s="72"/>
      <c r="VFG175" s="72"/>
      <c r="VFH175" s="72"/>
      <c r="VFI175" s="72"/>
      <c r="VFJ175" s="72"/>
      <c r="VFK175" s="72"/>
      <c r="VFL175" s="72"/>
      <c r="VFM175" s="72"/>
      <c r="VFN175" s="72"/>
      <c r="VFO175" s="72"/>
      <c r="VFP175" s="72"/>
      <c r="VFQ175" s="72"/>
      <c r="VFR175" s="72"/>
      <c r="VFS175" s="72"/>
      <c r="VFT175" s="72"/>
      <c r="VFU175" s="72"/>
      <c r="VFV175" s="72"/>
      <c r="VFW175" s="72"/>
      <c r="VFX175" s="72"/>
      <c r="VFY175" s="72"/>
      <c r="VFZ175" s="72"/>
      <c r="VGA175" s="72"/>
      <c r="VGB175" s="72"/>
      <c r="VGC175" s="72"/>
      <c r="VGD175" s="72"/>
      <c r="VGE175" s="72"/>
      <c r="VGF175" s="72"/>
      <c r="VGG175" s="72"/>
      <c r="VGH175" s="72"/>
      <c r="VGI175" s="72"/>
      <c r="VGJ175" s="72"/>
      <c r="VGK175" s="72"/>
      <c r="VGL175" s="72"/>
      <c r="VGM175" s="72"/>
      <c r="VGN175" s="72"/>
      <c r="VGO175" s="72"/>
      <c r="VGP175" s="72"/>
      <c r="VGQ175" s="72"/>
      <c r="VGR175" s="72"/>
      <c r="VGS175" s="72"/>
      <c r="VGT175" s="72"/>
      <c r="VGU175" s="72"/>
      <c r="VGV175" s="72"/>
      <c r="VGW175" s="72"/>
      <c r="VGX175" s="72"/>
      <c r="VGY175" s="72"/>
      <c r="VGZ175" s="72"/>
      <c r="VHA175" s="72"/>
      <c r="VHB175" s="72"/>
      <c r="VHC175" s="72"/>
      <c r="VHD175" s="72"/>
      <c r="VHE175" s="72"/>
      <c r="VHF175" s="72"/>
      <c r="VHG175" s="72"/>
      <c r="VHH175" s="72"/>
      <c r="VHI175" s="72"/>
      <c r="VHJ175" s="72"/>
      <c r="VHK175" s="72"/>
      <c r="VHL175" s="72"/>
      <c r="VHM175" s="72"/>
      <c r="VHN175" s="72"/>
      <c r="VHO175" s="72"/>
      <c r="VHP175" s="72"/>
      <c r="VHQ175" s="72"/>
      <c r="VHR175" s="72"/>
      <c r="VHS175" s="72"/>
      <c r="VHT175" s="72"/>
      <c r="VHU175" s="72"/>
      <c r="VHV175" s="72"/>
      <c r="VHW175" s="72"/>
      <c r="VHX175" s="72"/>
      <c r="VHY175" s="72"/>
      <c r="VHZ175" s="72"/>
      <c r="VIA175" s="72"/>
      <c r="VIB175" s="72"/>
      <c r="VIC175" s="72"/>
      <c r="VID175" s="72"/>
      <c r="VIE175" s="72"/>
      <c r="VIF175" s="72"/>
      <c r="VIG175" s="72"/>
      <c r="VIH175" s="72"/>
      <c r="VII175" s="72"/>
      <c r="VIJ175" s="72"/>
      <c r="VIK175" s="72"/>
      <c r="VIL175" s="72"/>
      <c r="VIM175" s="72"/>
      <c r="VIN175" s="72"/>
      <c r="VIO175" s="72"/>
      <c r="VIP175" s="72"/>
      <c r="VIQ175" s="72"/>
      <c r="VIR175" s="72"/>
      <c r="VIS175" s="72"/>
      <c r="VIT175" s="72"/>
      <c r="VIU175" s="72"/>
      <c r="VIV175" s="72"/>
      <c r="VIW175" s="72"/>
      <c r="VIX175" s="72"/>
      <c r="VIY175" s="72"/>
      <c r="VIZ175" s="72"/>
      <c r="VJA175" s="72"/>
      <c r="VJB175" s="72"/>
      <c r="VJC175" s="72"/>
      <c r="VJD175" s="72"/>
      <c r="VJE175" s="72"/>
      <c r="VJF175" s="72"/>
      <c r="VJG175" s="72"/>
      <c r="VJH175" s="72"/>
      <c r="VJI175" s="72"/>
      <c r="VJJ175" s="72"/>
      <c r="VJK175" s="72"/>
      <c r="VJL175" s="72"/>
      <c r="VJM175" s="72"/>
      <c r="VJN175" s="72"/>
      <c r="VJO175" s="72"/>
      <c r="VJP175" s="72"/>
      <c r="VJQ175" s="72"/>
      <c r="VJR175" s="72"/>
      <c r="VJS175" s="72"/>
      <c r="VJT175" s="72"/>
      <c r="VJU175" s="72"/>
      <c r="VJV175" s="72"/>
      <c r="VJW175" s="72"/>
      <c r="VJX175" s="72"/>
      <c r="VJY175" s="72"/>
      <c r="VJZ175" s="72"/>
      <c r="VKA175" s="72"/>
      <c r="VKB175" s="72"/>
      <c r="VKC175" s="72"/>
      <c r="VKD175" s="72"/>
      <c r="VKE175" s="72"/>
      <c r="VKF175" s="72"/>
      <c r="VKG175" s="72"/>
      <c r="VKH175" s="72"/>
      <c r="VKI175" s="72"/>
      <c r="VKJ175" s="72"/>
      <c r="VKK175" s="72"/>
      <c r="VKL175" s="72"/>
      <c r="VKM175" s="72"/>
      <c r="VKN175" s="72"/>
      <c r="VKO175" s="72"/>
      <c r="VKP175" s="72"/>
      <c r="VKQ175" s="72"/>
      <c r="VKR175" s="72"/>
      <c r="VKS175" s="72"/>
      <c r="VKT175" s="72"/>
      <c r="VKU175" s="72"/>
      <c r="VKV175" s="72"/>
      <c r="VKW175" s="72"/>
      <c r="VKX175" s="72"/>
      <c r="VKY175" s="72"/>
      <c r="VKZ175" s="72"/>
      <c r="VLA175" s="72"/>
      <c r="VLB175" s="72"/>
      <c r="VLC175" s="72"/>
      <c r="VLD175" s="72"/>
      <c r="VLE175" s="72"/>
      <c r="VLF175" s="72"/>
      <c r="VLG175" s="72"/>
      <c r="VLH175" s="72"/>
      <c r="VLI175" s="72"/>
      <c r="VLJ175" s="72"/>
      <c r="VLK175" s="72"/>
      <c r="VLL175" s="72"/>
      <c r="VLM175" s="72"/>
      <c r="VLN175" s="72"/>
      <c r="VLO175" s="72"/>
      <c r="VLP175" s="72"/>
      <c r="VLQ175" s="72"/>
      <c r="VLR175" s="72"/>
      <c r="VLS175" s="72"/>
      <c r="VLT175" s="72"/>
      <c r="VLU175" s="72"/>
      <c r="VLV175" s="72"/>
      <c r="VLW175" s="72"/>
      <c r="VLX175" s="72"/>
      <c r="VLY175" s="72"/>
      <c r="VLZ175" s="72"/>
      <c r="VMA175" s="72"/>
      <c r="VMB175" s="72"/>
      <c r="VMC175" s="72"/>
      <c r="VMD175" s="72"/>
      <c r="VME175" s="72"/>
      <c r="VMF175" s="72"/>
      <c r="VMG175" s="72"/>
      <c r="VMH175" s="72"/>
      <c r="VMI175" s="72"/>
      <c r="VMJ175" s="72"/>
      <c r="VMK175" s="72"/>
      <c r="VML175" s="72"/>
      <c r="VMM175" s="72"/>
      <c r="VMN175" s="72"/>
      <c r="VMO175" s="72"/>
      <c r="VMP175" s="72"/>
      <c r="VMQ175" s="72"/>
      <c r="VMR175" s="72"/>
      <c r="VMS175" s="72"/>
      <c r="VMT175" s="72"/>
      <c r="VMU175" s="72"/>
      <c r="VMV175" s="72"/>
      <c r="VMW175" s="72"/>
      <c r="VMX175" s="72"/>
      <c r="VMY175" s="72"/>
      <c r="VMZ175" s="72"/>
      <c r="VNA175" s="72"/>
      <c r="VNB175" s="72"/>
      <c r="VNC175" s="72"/>
      <c r="VND175" s="72"/>
      <c r="VNE175" s="72"/>
      <c r="VNF175" s="72"/>
      <c r="VNG175" s="72"/>
      <c r="VNH175" s="72"/>
      <c r="VNI175" s="72"/>
      <c r="VNJ175" s="72"/>
      <c r="VNK175" s="72"/>
      <c r="VNL175" s="72"/>
      <c r="VNM175" s="72"/>
      <c r="VNN175" s="72"/>
      <c r="VNO175" s="72"/>
      <c r="VNP175" s="72"/>
      <c r="VNQ175" s="72"/>
      <c r="VNR175" s="72"/>
      <c r="VNS175" s="72"/>
      <c r="VNT175" s="72"/>
      <c r="VNU175" s="72"/>
      <c r="VNV175" s="72"/>
      <c r="VNW175" s="72"/>
      <c r="VNX175" s="72"/>
      <c r="VNY175" s="72"/>
      <c r="VNZ175" s="72"/>
      <c r="VOA175" s="72"/>
      <c r="VOB175" s="72"/>
      <c r="VOC175" s="72"/>
      <c r="VOD175" s="72"/>
      <c r="VOE175" s="72"/>
      <c r="VOF175" s="72"/>
      <c r="VOG175" s="72"/>
      <c r="VOH175" s="72"/>
      <c r="VOI175" s="72"/>
      <c r="VOJ175" s="72"/>
      <c r="VOK175" s="72"/>
      <c r="VOL175" s="72"/>
      <c r="VOM175" s="72"/>
      <c r="VON175" s="72"/>
      <c r="VOO175" s="72"/>
      <c r="VOP175" s="72"/>
      <c r="VOQ175" s="72"/>
      <c r="VOR175" s="72"/>
      <c r="VOS175" s="72"/>
      <c r="VOT175" s="72"/>
      <c r="VOU175" s="72"/>
      <c r="VOV175" s="72"/>
      <c r="VOW175" s="72"/>
      <c r="VOX175" s="72"/>
      <c r="VOY175" s="72"/>
      <c r="VOZ175" s="72"/>
      <c r="VPA175" s="72"/>
      <c r="VPB175" s="72"/>
      <c r="VPC175" s="72"/>
      <c r="VPD175" s="72"/>
      <c r="VPE175" s="72"/>
      <c r="VPF175" s="72"/>
      <c r="VPG175" s="72"/>
      <c r="VPH175" s="72"/>
      <c r="VPI175" s="72"/>
      <c r="VPJ175" s="72"/>
      <c r="VPK175" s="72"/>
      <c r="VPL175" s="72"/>
      <c r="VPM175" s="72"/>
      <c r="VPN175" s="72"/>
      <c r="VPO175" s="72"/>
      <c r="VPP175" s="72"/>
      <c r="VPQ175" s="72"/>
      <c r="VPR175" s="72"/>
      <c r="VPS175" s="72"/>
      <c r="VPT175" s="72"/>
      <c r="VPU175" s="72"/>
      <c r="VPV175" s="72"/>
      <c r="VPW175" s="72"/>
      <c r="VPX175" s="72"/>
      <c r="VPY175" s="72"/>
      <c r="VPZ175" s="72"/>
      <c r="VQA175" s="72"/>
      <c r="VQB175" s="72"/>
      <c r="VQC175" s="72"/>
      <c r="VQD175" s="72"/>
      <c r="VQE175" s="72"/>
      <c r="VQF175" s="72"/>
      <c r="VQG175" s="72"/>
      <c r="VQH175" s="72"/>
      <c r="VQI175" s="72"/>
      <c r="VQJ175" s="72"/>
      <c r="VQK175" s="72"/>
      <c r="VQL175" s="72"/>
      <c r="VQM175" s="72"/>
      <c r="VQN175" s="72"/>
      <c r="VQO175" s="72"/>
      <c r="VQP175" s="72"/>
      <c r="VQQ175" s="72"/>
      <c r="VQR175" s="72"/>
      <c r="VQS175" s="72"/>
      <c r="VQT175" s="72"/>
      <c r="VQU175" s="72"/>
      <c r="VQV175" s="72"/>
      <c r="VQW175" s="72"/>
      <c r="VQX175" s="72"/>
      <c r="VQY175" s="72"/>
      <c r="VQZ175" s="72"/>
      <c r="VRA175" s="72"/>
      <c r="VRB175" s="72"/>
      <c r="VRC175" s="72"/>
      <c r="VRD175" s="72"/>
      <c r="VRE175" s="72"/>
      <c r="VRF175" s="72"/>
      <c r="VRG175" s="72"/>
      <c r="VRH175" s="72"/>
      <c r="VRI175" s="72"/>
      <c r="VRJ175" s="72"/>
      <c r="VRK175" s="72"/>
      <c r="VRL175" s="72"/>
      <c r="VRM175" s="72"/>
      <c r="VRN175" s="72"/>
      <c r="VRO175" s="72"/>
      <c r="VRP175" s="72"/>
      <c r="VRQ175" s="72"/>
      <c r="VRR175" s="72"/>
      <c r="VRS175" s="72"/>
      <c r="VRT175" s="72"/>
      <c r="VRU175" s="72"/>
      <c r="VRV175" s="72"/>
      <c r="VRW175" s="72"/>
      <c r="VRX175" s="72"/>
      <c r="VRY175" s="72"/>
      <c r="VRZ175" s="72"/>
      <c r="VSA175" s="72"/>
      <c r="VSB175" s="72"/>
      <c r="VSC175" s="72"/>
      <c r="VSD175" s="72"/>
      <c r="VSE175" s="72"/>
      <c r="VSF175" s="72"/>
      <c r="VSG175" s="72"/>
      <c r="VSH175" s="72"/>
      <c r="VSI175" s="72"/>
      <c r="VSJ175" s="72"/>
      <c r="VSK175" s="72"/>
      <c r="VSL175" s="72"/>
      <c r="VSM175" s="72"/>
      <c r="VSN175" s="72"/>
      <c r="VSO175" s="72"/>
      <c r="VSP175" s="72"/>
      <c r="VSQ175" s="72"/>
      <c r="VSR175" s="72"/>
      <c r="VSS175" s="72"/>
      <c r="VST175" s="72"/>
      <c r="VSU175" s="72"/>
      <c r="VSV175" s="72"/>
      <c r="VSW175" s="72"/>
      <c r="VSX175" s="72"/>
      <c r="VSY175" s="72"/>
      <c r="VSZ175" s="72"/>
      <c r="VTA175" s="72"/>
      <c r="VTB175" s="72"/>
      <c r="VTC175" s="72"/>
      <c r="VTD175" s="72"/>
      <c r="VTE175" s="72"/>
      <c r="VTF175" s="72"/>
      <c r="VTG175" s="72"/>
      <c r="VTH175" s="72"/>
      <c r="VTI175" s="72"/>
      <c r="VTJ175" s="72"/>
      <c r="VTK175" s="72"/>
      <c r="VTL175" s="72"/>
      <c r="VTM175" s="72"/>
      <c r="VTN175" s="72"/>
      <c r="VTO175" s="72"/>
      <c r="VTP175" s="72"/>
      <c r="VTQ175" s="72"/>
      <c r="VTR175" s="72"/>
      <c r="VTS175" s="72"/>
      <c r="VTT175" s="72"/>
      <c r="VTU175" s="72"/>
      <c r="VTV175" s="72"/>
      <c r="VTW175" s="72"/>
      <c r="VTX175" s="72"/>
      <c r="VTY175" s="72"/>
      <c r="VTZ175" s="72"/>
      <c r="VUA175" s="72"/>
      <c r="VUB175" s="72"/>
      <c r="VUC175" s="72"/>
      <c r="VUD175" s="72"/>
      <c r="VUE175" s="72"/>
      <c r="VUF175" s="72"/>
      <c r="VUG175" s="72"/>
      <c r="VUH175" s="72"/>
      <c r="VUI175" s="72"/>
      <c r="VUJ175" s="72"/>
      <c r="VUK175" s="72"/>
      <c r="VUL175" s="72"/>
      <c r="VUM175" s="72"/>
      <c r="VUN175" s="72"/>
      <c r="VUO175" s="72"/>
      <c r="VUP175" s="72"/>
      <c r="VUQ175" s="72"/>
      <c r="VUR175" s="72"/>
      <c r="VUS175" s="72"/>
      <c r="VUT175" s="72"/>
      <c r="VUU175" s="72"/>
      <c r="VUV175" s="72"/>
      <c r="VUW175" s="72"/>
      <c r="VUX175" s="72"/>
      <c r="VUY175" s="72"/>
      <c r="VUZ175" s="72"/>
      <c r="VVA175" s="72"/>
      <c r="VVB175" s="72"/>
      <c r="VVC175" s="72"/>
      <c r="VVD175" s="72"/>
      <c r="VVE175" s="72"/>
      <c r="VVF175" s="72"/>
      <c r="VVG175" s="72"/>
      <c r="VVH175" s="72"/>
      <c r="VVI175" s="72"/>
      <c r="VVJ175" s="72"/>
      <c r="VVK175" s="72"/>
      <c r="VVL175" s="72"/>
      <c r="VVM175" s="72"/>
      <c r="VVN175" s="72"/>
      <c r="VVO175" s="72"/>
      <c r="VVP175" s="72"/>
      <c r="VVQ175" s="72"/>
      <c r="VVR175" s="72"/>
      <c r="VVS175" s="72"/>
      <c r="VVT175" s="72"/>
      <c r="VVU175" s="72"/>
      <c r="VVV175" s="72"/>
      <c r="VVW175" s="72"/>
      <c r="VVX175" s="72"/>
      <c r="VVY175" s="72"/>
      <c r="VVZ175" s="72"/>
      <c r="VWA175" s="72"/>
      <c r="VWB175" s="72"/>
      <c r="VWC175" s="72"/>
      <c r="VWD175" s="72"/>
      <c r="VWE175" s="72"/>
      <c r="VWF175" s="72"/>
      <c r="VWG175" s="72"/>
      <c r="VWH175" s="72"/>
      <c r="VWI175" s="72"/>
      <c r="VWJ175" s="72"/>
      <c r="VWK175" s="72"/>
      <c r="VWL175" s="72"/>
      <c r="VWM175" s="72"/>
      <c r="VWN175" s="72"/>
      <c r="VWO175" s="72"/>
      <c r="VWP175" s="72"/>
      <c r="VWQ175" s="72"/>
      <c r="VWR175" s="72"/>
      <c r="VWS175" s="72"/>
      <c r="VWT175" s="72"/>
      <c r="VWU175" s="72"/>
      <c r="VWV175" s="72"/>
      <c r="VWW175" s="72"/>
      <c r="VWX175" s="72"/>
      <c r="VWY175" s="72"/>
      <c r="VWZ175" s="72"/>
      <c r="VXA175" s="72"/>
      <c r="VXB175" s="72"/>
      <c r="VXC175" s="72"/>
      <c r="VXD175" s="72"/>
      <c r="VXE175" s="72"/>
      <c r="VXF175" s="72"/>
      <c r="VXG175" s="72"/>
      <c r="VXH175" s="72"/>
      <c r="VXI175" s="72"/>
      <c r="VXJ175" s="72"/>
      <c r="VXK175" s="72"/>
      <c r="VXL175" s="72"/>
      <c r="VXM175" s="72"/>
      <c r="VXN175" s="72"/>
      <c r="VXO175" s="72"/>
      <c r="VXP175" s="72"/>
      <c r="VXQ175" s="72"/>
      <c r="VXR175" s="72"/>
      <c r="VXS175" s="72"/>
      <c r="VXT175" s="72"/>
      <c r="VXU175" s="72"/>
      <c r="VXV175" s="72"/>
      <c r="VXW175" s="72"/>
      <c r="VXX175" s="72"/>
      <c r="VXY175" s="72"/>
      <c r="VXZ175" s="72"/>
      <c r="VYA175" s="72"/>
      <c r="VYB175" s="72"/>
      <c r="VYC175" s="72"/>
      <c r="VYD175" s="72"/>
      <c r="VYE175" s="72"/>
      <c r="VYF175" s="72"/>
      <c r="VYG175" s="72"/>
      <c r="VYH175" s="72"/>
      <c r="VYI175" s="72"/>
      <c r="VYJ175" s="72"/>
      <c r="VYK175" s="72"/>
      <c r="VYL175" s="72"/>
      <c r="VYM175" s="72"/>
      <c r="VYN175" s="72"/>
      <c r="VYO175" s="72"/>
      <c r="VYP175" s="72"/>
      <c r="VYQ175" s="72"/>
      <c r="VYR175" s="72"/>
      <c r="VYS175" s="72"/>
      <c r="VYT175" s="72"/>
      <c r="VYU175" s="72"/>
      <c r="VYV175" s="72"/>
      <c r="VYW175" s="72"/>
      <c r="VYX175" s="72"/>
      <c r="VYY175" s="72"/>
      <c r="VYZ175" s="72"/>
      <c r="VZA175" s="72"/>
      <c r="VZB175" s="72"/>
      <c r="VZC175" s="72"/>
      <c r="VZD175" s="72"/>
      <c r="VZE175" s="72"/>
      <c r="VZF175" s="72"/>
      <c r="VZG175" s="72"/>
      <c r="VZH175" s="72"/>
      <c r="VZI175" s="72"/>
      <c r="VZJ175" s="72"/>
      <c r="VZK175" s="72"/>
      <c r="VZL175" s="72"/>
      <c r="VZM175" s="72"/>
      <c r="VZN175" s="72"/>
      <c r="VZO175" s="72"/>
      <c r="VZP175" s="72"/>
      <c r="VZQ175" s="72"/>
      <c r="VZR175" s="72"/>
      <c r="VZS175" s="72"/>
      <c r="VZT175" s="72"/>
      <c r="VZU175" s="72"/>
      <c r="VZV175" s="72"/>
      <c r="VZW175" s="72"/>
      <c r="VZX175" s="72"/>
      <c r="VZY175" s="72"/>
      <c r="VZZ175" s="72"/>
      <c r="WAA175" s="72"/>
      <c r="WAB175" s="72"/>
      <c r="WAC175" s="72"/>
      <c r="WAD175" s="72"/>
      <c r="WAE175" s="72"/>
      <c r="WAF175" s="72"/>
      <c r="WAG175" s="72"/>
      <c r="WAH175" s="72"/>
      <c r="WAI175" s="72"/>
      <c r="WAJ175" s="72"/>
      <c r="WAK175" s="72"/>
      <c r="WAL175" s="72"/>
      <c r="WAM175" s="72"/>
      <c r="WAN175" s="72"/>
      <c r="WAO175" s="72"/>
      <c r="WAP175" s="72"/>
      <c r="WAQ175" s="72"/>
      <c r="WAR175" s="72"/>
      <c r="WAS175" s="72"/>
      <c r="WAT175" s="72"/>
      <c r="WAU175" s="72"/>
      <c r="WAV175" s="72"/>
      <c r="WAW175" s="72"/>
      <c r="WAX175" s="72"/>
      <c r="WAY175" s="72"/>
      <c r="WAZ175" s="72"/>
      <c r="WBA175" s="72"/>
      <c r="WBB175" s="72"/>
      <c r="WBC175" s="72"/>
      <c r="WBD175" s="72"/>
      <c r="WBE175" s="72"/>
      <c r="WBF175" s="72"/>
      <c r="WBG175" s="72"/>
      <c r="WBH175" s="72"/>
      <c r="WBI175" s="72"/>
      <c r="WBJ175" s="72"/>
      <c r="WBK175" s="72"/>
      <c r="WBL175" s="72"/>
      <c r="WBM175" s="72"/>
      <c r="WBN175" s="72"/>
      <c r="WBO175" s="72"/>
      <c r="WBP175" s="72"/>
      <c r="WBQ175" s="72"/>
      <c r="WBR175" s="72"/>
      <c r="WBS175" s="72"/>
      <c r="WBT175" s="72"/>
      <c r="WBU175" s="72"/>
      <c r="WBV175" s="72"/>
      <c r="WBW175" s="72"/>
      <c r="WBX175" s="72"/>
      <c r="WBY175" s="72"/>
      <c r="WBZ175" s="72"/>
      <c r="WCA175" s="72"/>
      <c r="WCB175" s="72"/>
      <c r="WCC175" s="72"/>
      <c r="WCD175" s="72"/>
      <c r="WCE175" s="72"/>
      <c r="WCF175" s="72"/>
      <c r="WCG175" s="72"/>
      <c r="WCH175" s="72"/>
      <c r="WCI175" s="72"/>
      <c r="WCJ175" s="72"/>
      <c r="WCK175" s="72"/>
      <c r="WCL175" s="72"/>
      <c r="WCM175" s="72"/>
      <c r="WCN175" s="72"/>
      <c r="WCO175" s="72"/>
      <c r="WCP175" s="72"/>
      <c r="WCQ175" s="72"/>
      <c r="WCR175" s="72"/>
      <c r="WCS175" s="72"/>
      <c r="WCT175" s="72"/>
      <c r="WCU175" s="72"/>
      <c r="WCV175" s="72"/>
      <c r="WCW175" s="72"/>
      <c r="WCX175" s="72"/>
      <c r="WCY175" s="72"/>
      <c r="WCZ175" s="72"/>
      <c r="WDA175" s="72"/>
      <c r="WDB175" s="72"/>
      <c r="WDC175" s="72"/>
      <c r="WDD175" s="72"/>
      <c r="WDE175" s="72"/>
      <c r="WDF175" s="72"/>
      <c r="WDG175" s="72"/>
      <c r="WDH175" s="72"/>
      <c r="WDI175" s="72"/>
      <c r="WDJ175" s="72"/>
      <c r="WDK175" s="72"/>
      <c r="WDL175" s="72"/>
      <c r="WDM175" s="72"/>
      <c r="WDN175" s="72"/>
      <c r="WDO175" s="72"/>
      <c r="WDP175" s="72"/>
      <c r="WDQ175" s="72"/>
      <c r="WDR175" s="72"/>
      <c r="WDS175" s="72"/>
      <c r="WDT175" s="72"/>
      <c r="WDU175" s="72"/>
      <c r="WDV175" s="72"/>
      <c r="WDW175" s="72"/>
      <c r="WDX175" s="72"/>
      <c r="WDY175" s="72"/>
      <c r="WDZ175" s="72"/>
      <c r="WEA175" s="72"/>
      <c r="WEB175" s="72"/>
      <c r="WEC175" s="72"/>
      <c r="WED175" s="72"/>
      <c r="WEE175" s="72"/>
      <c r="WEF175" s="72"/>
      <c r="WEG175" s="72"/>
      <c r="WEH175" s="72"/>
      <c r="WEI175" s="72"/>
      <c r="WEJ175" s="72"/>
      <c r="WEK175" s="72"/>
      <c r="WEL175" s="72"/>
      <c r="WEM175" s="72"/>
      <c r="WEN175" s="72"/>
      <c r="WEO175" s="72"/>
      <c r="WEP175" s="72"/>
      <c r="WEQ175" s="72"/>
      <c r="WER175" s="72"/>
      <c r="WES175" s="72"/>
      <c r="WET175" s="72"/>
      <c r="WEU175" s="72"/>
      <c r="WEV175" s="72"/>
      <c r="WEW175" s="72"/>
      <c r="WEX175" s="72"/>
      <c r="WEY175" s="72"/>
      <c r="WEZ175" s="72"/>
      <c r="WFA175" s="72"/>
      <c r="WFB175" s="72"/>
      <c r="WFC175" s="72"/>
      <c r="WFD175" s="72"/>
      <c r="WFE175" s="72"/>
      <c r="WFF175" s="72"/>
      <c r="WFG175" s="72"/>
      <c r="WFH175" s="72"/>
      <c r="WFI175" s="72"/>
      <c r="WFJ175" s="72"/>
      <c r="WFK175" s="72"/>
      <c r="WFL175" s="72"/>
      <c r="WFM175" s="72"/>
      <c r="WFN175" s="72"/>
      <c r="WFO175" s="72"/>
      <c r="WFP175" s="72"/>
      <c r="WFQ175" s="72"/>
      <c r="WFR175" s="72"/>
      <c r="WFS175" s="72"/>
      <c r="WFT175" s="72"/>
      <c r="WFU175" s="72"/>
      <c r="WFV175" s="72"/>
      <c r="WFW175" s="72"/>
      <c r="WFX175" s="72"/>
      <c r="WFY175" s="72"/>
      <c r="WFZ175" s="72"/>
      <c r="WGA175" s="72"/>
      <c r="WGB175" s="72"/>
      <c r="WGC175" s="72"/>
      <c r="WGD175" s="72"/>
      <c r="WGE175" s="72"/>
      <c r="WGF175" s="72"/>
      <c r="WGG175" s="72"/>
      <c r="WGH175" s="72"/>
      <c r="WGI175" s="72"/>
      <c r="WGJ175" s="72"/>
      <c r="WGK175" s="72"/>
      <c r="WGL175" s="72"/>
      <c r="WGM175" s="72"/>
      <c r="WGN175" s="72"/>
      <c r="WGO175" s="72"/>
      <c r="WGP175" s="72"/>
      <c r="WGQ175" s="72"/>
      <c r="WGR175" s="72"/>
      <c r="WGS175" s="72"/>
      <c r="WGT175" s="72"/>
      <c r="WGU175" s="72"/>
      <c r="WGV175" s="72"/>
      <c r="WGW175" s="72"/>
      <c r="WGX175" s="72"/>
      <c r="WGY175" s="72"/>
      <c r="WGZ175" s="72"/>
      <c r="WHA175" s="72"/>
      <c r="WHB175" s="72"/>
      <c r="WHC175" s="72"/>
      <c r="WHD175" s="72"/>
      <c r="WHE175" s="72"/>
      <c r="WHF175" s="72"/>
      <c r="WHG175" s="72"/>
      <c r="WHH175" s="72"/>
      <c r="WHI175" s="72"/>
      <c r="WHJ175" s="72"/>
      <c r="WHK175" s="72"/>
      <c r="WHL175" s="72"/>
      <c r="WHM175" s="72"/>
      <c r="WHN175" s="72"/>
      <c r="WHO175" s="72"/>
      <c r="WHP175" s="72"/>
      <c r="WHQ175" s="72"/>
      <c r="WHR175" s="72"/>
      <c r="WHS175" s="72"/>
      <c r="WHT175" s="72"/>
      <c r="WHU175" s="72"/>
      <c r="WHV175" s="72"/>
      <c r="WHW175" s="72"/>
      <c r="WHX175" s="72"/>
      <c r="WHY175" s="72"/>
      <c r="WHZ175" s="72"/>
      <c r="WIA175" s="72"/>
      <c r="WIB175" s="72"/>
      <c r="WIC175" s="72"/>
      <c r="WID175" s="72"/>
      <c r="WIE175" s="72"/>
      <c r="WIF175" s="72"/>
      <c r="WIG175" s="72"/>
      <c r="WIH175" s="72"/>
      <c r="WII175" s="72"/>
      <c r="WIJ175" s="72"/>
      <c r="WIK175" s="72"/>
      <c r="WIL175" s="72"/>
      <c r="WIM175" s="72"/>
      <c r="WIN175" s="72"/>
      <c r="WIO175" s="72"/>
      <c r="WIP175" s="72"/>
      <c r="WIQ175" s="72"/>
      <c r="WIR175" s="72"/>
      <c r="WIS175" s="72"/>
      <c r="WIT175" s="72"/>
      <c r="WIU175" s="72"/>
      <c r="WIV175" s="72"/>
      <c r="WIW175" s="72"/>
      <c r="WIX175" s="72"/>
      <c r="WIY175" s="72"/>
      <c r="WIZ175" s="72"/>
      <c r="WJA175" s="72"/>
      <c r="WJB175" s="72"/>
      <c r="WJC175" s="72"/>
      <c r="WJD175" s="72"/>
      <c r="WJE175" s="72"/>
      <c r="WJF175" s="72"/>
      <c r="WJG175" s="72"/>
      <c r="WJH175" s="72"/>
      <c r="WJI175" s="72"/>
      <c r="WJJ175" s="72"/>
      <c r="WJK175" s="72"/>
      <c r="WJL175" s="72"/>
      <c r="WJM175" s="72"/>
      <c r="WJN175" s="72"/>
      <c r="WJO175" s="72"/>
      <c r="WJP175" s="72"/>
      <c r="WJQ175" s="72"/>
      <c r="WJR175" s="72"/>
      <c r="WJS175" s="72"/>
      <c r="WJT175" s="72"/>
      <c r="WJU175" s="72"/>
      <c r="WJV175" s="72"/>
      <c r="WJW175" s="72"/>
      <c r="WJX175" s="72"/>
      <c r="WJY175" s="72"/>
      <c r="WJZ175" s="72"/>
      <c r="WKA175" s="72"/>
      <c r="WKB175" s="72"/>
      <c r="WKC175" s="72"/>
      <c r="WKD175" s="72"/>
      <c r="WKE175" s="72"/>
      <c r="WKF175" s="72"/>
      <c r="WKG175" s="72"/>
      <c r="WKH175" s="72"/>
      <c r="WKI175" s="72"/>
      <c r="WKJ175" s="72"/>
      <c r="WKK175" s="72"/>
      <c r="WKL175" s="72"/>
      <c r="WKM175" s="72"/>
      <c r="WKN175" s="72"/>
      <c r="WKO175" s="72"/>
      <c r="WKP175" s="72"/>
      <c r="WKQ175" s="72"/>
      <c r="WKR175" s="72"/>
      <c r="WKS175" s="72"/>
      <c r="WKT175" s="72"/>
      <c r="WKU175" s="72"/>
      <c r="WKV175" s="72"/>
      <c r="WKW175" s="72"/>
      <c r="WKX175" s="72"/>
      <c r="WKY175" s="72"/>
      <c r="WKZ175" s="72"/>
      <c r="WLA175" s="72"/>
      <c r="WLB175" s="72"/>
      <c r="WLC175" s="72"/>
      <c r="WLD175" s="72"/>
      <c r="WLE175" s="72"/>
      <c r="WLF175" s="72"/>
      <c r="WLG175" s="72"/>
      <c r="WLH175" s="72"/>
      <c r="WLI175" s="72"/>
      <c r="WLJ175" s="72"/>
      <c r="WLK175" s="72"/>
      <c r="WLL175" s="72"/>
      <c r="WLM175" s="72"/>
      <c r="WLN175" s="72"/>
      <c r="WLO175" s="72"/>
      <c r="WLP175" s="72"/>
      <c r="WLQ175" s="72"/>
      <c r="WLR175" s="72"/>
      <c r="WLS175" s="72"/>
      <c r="WLT175" s="72"/>
      <c r="WLU175" s="72"/>
      <c r="WLV175" s="72"/>
      <c r="WLW175" s="72"/>
      <c r="WLX175" s="72"/>
      <c r="WLY175" s="72"/>
      <c r="WLZ175" s="72"/>
      <c r="WMA175" s="72"/>
      <c r="WMB175" s="72"/>
      <c r="WMC175" s="72"/>
      <c r="WMD175" s="72"/>
      <c r="WME175" s="72"/>
      <c r="WMF175" s="72"/>
      <c r="WMG175" s="72"/>
      <c r="WMH175" s="72"/>
      <c r="WMI175" s="72"/>
      <c r="WMJ175" s="72"/>
      <c r="WMK175" s="72"/>
      <c r="WML175" s="72"/>
      <c r="WMM175" s="72"/>
      <c r="WMN175" s="72"/>
      <c r="WMO175" s="72"/>
      <c r="WMP175" s="72"/>
      <c r="WMQ175" s="72"/>
      <c r="WMR175" s="72"/>
      <c r="WMS175" s="72"/>
      <c r="WMT175" s="72"/>
      <c r="WMU175" s="72"/>
      <c r="WMV175" s="72"/>
      <c r="WMW175" s="72"/>
      <c r="WMX175" s="72"/>
      <c r="WMY175" s="72"/>
      <c r="WMZ175" s="72"/>
      <c r="WNA175" s="72"/>
      <c r="WNB175" s="72"/>
      <c r="WNC175" s="72"/>
      <c r="WND175" s="72"/>
      <c r="WNE175" s="72"/>
      <c r="WNF175" s="72"/>
      <c r="WNG175" s="72"/>
      <c r="WNH175" s="72"/>
      <c r="WNI175" s="72"/>
      <c r="WNJ175" s="72"/>
      <c r="WNK175" s="72"/>
      <c r="WNL175" s="72"/>
      <c r="WNM175" s="72"/>
      <c r="WNN175" s="72"/>
      <c r="WNO175" s="72"/>
      <c r="WNP175" s="72"/>
      <c r="WNQ175" s="72"/>
      <c r="WNR175" s="72"/>
      <c r="WNS175" s="72"/>
      <c r="WNT175" s="72"/>
      <c r="WNU175" s="72"/>
      <c r="WNV175" s="72"/>
      <c r="WNW175" s="72"/>
      <c r="WNX175" s="72"/>
      <c r="WNY175" s="72"/>
      <c r="WNZ175" s="72"/>
      <c r="WOA175" s="72"/>
      <c r="WOB175" s="72"/>
      <c r="WOC175" s="72"/>
      <c r="WOD175" s="72"/>
      <c r="WOE175" s="72"/>
      <c r="WOF175" s="72"/>
      <c r="WOG175" s="72"/>
      <c r="WOH175" s="72"/>
      <c r="WOI175" s="72"/>
      <c r="WOJ175" s="72"/>
      <c r="WOK175" s="72"/>
      <c r="WOL175" s="72"/>
      <c r="WOM175" s="72"/>
      <c r="WON175" s="72"/>
      <c r="WOO175" s="72"/>
      <c r="WOP175" s="72"/>
      <c r="WOQ175" s="72"/>
      <c r="WOR175" s="72"/>
      <c r="WOS175" s="72"/>
      <c r="WOT175" s="72"/>
      <c r="WOU175" s="72"/>
      <c r="WOV175" s="72"/>
      <c r="WOW175" s="72"/>
      <c r="WOX175" s="72"/>
      <c r="WOY175" s="72"/>
      <c r="WOZ175" s="72"/>
      <c r="WPA175" s="72"/>
      <c r="WPB175" s="72"/>
      <c r="WPC175" s="72"/>
      <c r="WPD175" s="72"/>
      <c r="WPE175" s="72"/>
      <c r="WPF175" s="72"/>
      <c r="WPG175" s="72"/>
      <c r="WPH175" s="72"/>
      <c r="WPI175" s="72"/>
      <c r="WPJ175" s="72"/>
      <c r="WPK175" s="72"/>
      <c r="WPL175" s="72"/>
      <c r="WPM175" s="72"/>
      <c r="WPN175" s="72"/>
      <c r="WPO175" s="72"/>
      <c r="WPP175" s="72"/>
      <c r="WPQ175" s="72"/>
      <c r="WPR175" s="72"/>
      <c r="WPS175" s="72"/>
      <c r="WPT175" s="72"/>
      <c r="WPU175" s="72"/>
      <c r="WPV175" s="72"/>
      <c r="WPW175" s="72"/>
      <c r="WPX175" s="72"/>
      <c r="WPY175" s="72"/>
      <c r="WPZ175" s="72"/>
      <c r="WQA175" s="72"/>
      <c r="WQB175" s="72"/>
      <c r="WQC175" s="72"/>
      <c r="WQD175" s="72"/>
      <c r="WQE175" s="72"/>
      <c r="WQF175" s="72"/>
      <c r="WQG175" s="72"/>
      <c r="WQH175" s="72"/>
      <c r="WQI175" s="72"/>
      <c r="WQJ175" s="72"/>
      <c r="WQK175" s="72"/>
      <c r="WQL175" s="72"/>
      <c r="WQM175" s="72"/>
      <c r="WQN175" s="72"/>
      <c r="WQO175" s="72"/>
      <c r="WQP175" s="72"/>
      <c r="WQQ175" s="72"/>
      <c r="WQR175" s="72"/>
      <c r="WQS175" s="72"/>
      <c r="WQT175" s="72"/>
      <c r="WQU175" s="72"/>
      <c r="WQV175" s="72"/>
      <c r="WQW175" s="72"/>
      <c r="WQX175" s="72"/>
      <c r="WQY175" s="72"/>
      <c r="WQZ175" s="72"/>
      <c r="WRA175" s="72"/>
      <c r="WRB175" s="72"/>
      <c r="WRC175" s="72"/>
      <c r="WRD175" s="72"/>
      <c r="WRE175" s="72"/>
      <c r="WRF175" s="72"/>
      <c r="WRG175" s="72"/>
      <c r="WRH175" s="72"/>
      <c r="WRI175" s="72"/>
      <c r="WRJ175" s="72"/>
      <c r="WRK175" s="72"/>
      <c r="WRL175" s="72"/>
      <c r="WRM175" s="72"/>
      <c r="WRN175" s="72"/>
      <c r="WRO175" s="72"/>
      <c r="WRP175" s="72"/>
      <c r="WRQ175" s="72"/>
      <c r="WRR175" s="72"/>
      <c r="WRS175" s="72"/>
      <c r="WRT175" s="72"/>
      <c r="WRU175" s="72"/>
      <c r="WRV175" s="72"/>
      <c r="WRW175" s="72"/>
      <c r="WRX175" s="72"/>
      <c r="WRY175" s="72"/>
      <c r="WRZ175" s="72"/>
      <c r="WSA175" s="72"/>
      <c r="WSB175" s="72"/>
      <c r="WSC175" s="72"/>
      <c r="WSD175" s="72"/>
      <c r="WSE175" s="72"/>
      <c r="WSF175" s="72"/>
      <c r="WSG175" s="72"/>
      <c r="WSH175" s="72"/>
      <c r="WSI175" s="72"/>
      <c r="WSJ175" s="72"/>
      <c r="WSK175" s="72"/>
      <c r="WSL175" s="72"/>
      <c r="WSM175" s="72"/>
      <c r="WSN175" s="72"/>
      <c r="WSO175" s="72"/>
      <c r="WSP175" s="72"/>
      <c r="WSQ175" s="72"/>
      <c r="WSR175" s="72"/>
      <c r="WSS175" s="72"/>
      <c r="WST175" s="72"/>
      <c r="WSU175" s="72"/>
      <c r="WSV175" s="72"/>
      <c r="WSW175" s="72"/>
      <c r="WSX175" s="72"/>
      <c r="WSY175" s="72"/>
      <c r="WSZ175" s="72"/>
      <c r="WTA175" s="72"/>
      <c r="WTB175" s="72"/>
      <c r="WTC175" s="72"/>
      <c r="WTD175" s="72"/>
      <c r="WTE175" s="72"/>
      <c r="WTF175" s="72"/>
      <c r="WTG175" s="72"/>
      <c r="WTH175" s="72"/>
      <c r="WTI175" s="72"/>
      <c r="WTJ175" s="72"/>
      <c r="WTK175" s="72"/>
      <c r="WTL175" s="72"/>
      <c r="WTM175" s="72"/>
      <c r="WTN175" s="72"/>
      <c r="WTO175" s="72"/>
      <c r="WTP175" s="72"/>
      <c r="WTQ175" s="72"/>
      <c r="WTR175" s="72"/>
      <c r="WTS175" s="72"/>
      <c r="WTT175" s="72"/>
      <c r="WTU175" s="72"/>
      <c r="WTV175" s="72"/>
      <c r="WTW175" s="72"/>
      <c r="WTX175" s="72"/>
      <c r="WTY175" s="72"/>
      <c r="WTZ175" s="72"/>
      <c r="WUA175" s="72"/>
      <c r="WUB175" s="72"/>
      <c r="WUC175" s="72"/>
      <c r="WUD175" s="72"/>
      <c r="WUE175" s="72"/>
      <c r="WUF175" s="72"/>
      <c r="WUG175" s="72"/>
      <c r="WUH175" s="72"/>
      <c r="WUI175" s="72"/>
      <c r="WUJ175" s="72"/>
      <c r="WUK175" s="72"/>
      <c r="WUL175" s="72"/>
      <c r="WUM175" s="72"/>
      <c r="WUN175" s="72"/>
      <c r="WUO175" s="72"/>
      <c r="WUP175" s="72"/>
      <c r="WUQ175" s="72"/>
      <c r="WUR175" s="72"/>
      <c r="WUS175" s="72"/>
      <c r="WUT175" s="72"/>
      <c r="WUU175" s="72"/>
      <c r="WUV175" s="72"/>
      <c r="WUW175" s="72"/>
      <c r="WUX175" s="72"/>
      <c r="WUY175" s="72"/>
      <c r="WUZ175" s="72"/>
      <c r="WVA175" s="72"/>
      <c r="WVB175" s="72"/>
      <c r="WVC175" s="72"/>
      <c r="WVD175" s="72"/>
      <c r="WVE175" s="72"/>
      <c r="WVF175" s="72"/>
      <c r="WVG175" s="72"/>
      <c r="WVH175" s="72"/>
      <c r="WVI175" s="72"/>
      <c r="WVJ175" s="72"/>
      <c r="WVK175" s="72"/>
      <c r="WVL175" s="72"/>
      <c r="WVM175" s="72"/>
      <c r="WVN175" s="72"/>
      <c r="WVO175" s="72"/>
      <c r="WVP175" s="72"/>
      <c r="WVQ175" s="72"/>
      <c r="WVR175" s="72"/>
      <c r="WVS175" s="72"/>
    </row>
    <row r="176" spans="1:16139" s="28" customFormat="1" ht="25.15" customHeight="1" x14ac:dyDescent="0.25">
      <c r="A176" s="139" t="s">
        <v>27</v>
      </c>
      <c r="B176" s="139"/>
      <c r="C176" s="139"/>
      <c r="D176" s="139"/>
      <c r="E176" s="139"/>
      <c r="F176" s="139"/>
      <c r="G176" s="139"/>
      <c r="H176" s="40">
        <f>SUMPRODUCT(H13:H175,I13:I175)</f>
        <v>676.34971000000041</v>
      </c>
      <c r="I176" s="41"/>
      <c r="J176" s="42"/>
      <c r="K176" s="42"/>
      <c r="L176" s="42">
        <f>SUM(L13:L175)</f>
        <v>2082194740.5480006</v>
      </c>
      <c r="M176" s="85">
        <f>L176*0.45</f>
        <v>936987633.24660027</v>
      </c>
    </row>
    <row r="177" spans="1:34" s="37" customFormat="1" ht="28.15" customHeight="1" x14ac:dyDescent="0.25">
      <c r="A177" s="140" t="s">
        <v>28</v>
      </c>
      <c r="B177" s="140"/>
      <c r="C177" s="140"/>
      <c r="D177" s="140" t="s">
        <v>213</v>
      </c>
      <c r="E177" s="140"/>
      <c r="F177" s="140"/>
      <c r="G177" s="140"/>
      <c r="H177" s="140"/>
      <c r="I177" s="140"/>
      <c r="J177" s="140"/>
      <c r="K177" s="140"/>
      <c r="L177" s="140"/>
      <c r="M177" s="77"/>
      <c r="N177" s="28"/>
      <c r="O177" s="28"/>
      <c r="P177" s="28"/>
      <c r="Q177" s="28"/>
      <c r="R177" s="28"/>
      <c r="S177" s="28"/>
      <c r="T177" s="28"/>
      <c r="U177" s="28"/>
      <c r="V177" s="28"/>
      <c r="W177" s="28"/>
      <c r="X177" s="28"/>
      <c r="Y177" s="28"/>
      <c r="Z177" s="28"/>
      <c r="AA177" s="28"/>
      <c r="AB177" s="28"/>
      <c r="AC177" s="28"/>
      <c r="AD177" s="28"/>
      <c r="AE177" s="28"/>
      <c r="AF177" s="28"/>
      <c r="AG177" s="28"/>
      <c r="AH177" s="28"/>
    </row>
    <row r="178" spans="1:34" s="28" customFormat="1" ht="36.6" customHeight="1" x14ac:dyDescent="0.25">
      <c r="A178" s="131" t="s">
        <v>29</v>
      </c>
      <c r="B178" s="131"/>
      <c r="C178" s="131"/>
      <c r="D178" s="17"/>
      <c r="E178" s="38"/>
      <c r="F178" s="17"/>
      <c r="G178" s="17"/>
      <c r="H178" s="18"/>
      <c r="I178" s="17"/>
      <c r="J178" s="33"/>
      <c r="K178" s="33"/>
      <c r="L178" s="19"/>
    </row>
    <row r="179" spans="1:34" s="28" customFormat="1" ht="22.9" customHeight="1" x14ac:dyDescent="0.25">
      <c r="A179" s="130" t="s">
        <v>209</v>
      </c>
      <c r="B179" s="130"/>
      <c r="C179" s="130"/>
      <c r="D179" s="130"/>
      <c r="E179" s="130"/>
      <c r="F179" s="130"/>
      <c r="G179" s="130"/>
      <c r="H179" s="130"/>
      <c r="I179" s="130"/>
      <c r="J179" s="130"/>
      <c r="K179" s="130"/>
      <c r="L179" s="130"/>
    </row>
    <row r="180" spans="1:34" s="28" customFormat="1" ht="17.45" customHeight="1" x14ac:dyDescent="0.25">
      <c r="A180" s="128" t="s">
        <v>30</v>
      </c>
      <c r="B180" s="128"/>
      <c r="C180" s="128"/>
      <c r="D180" s="128"/>
      <c r="E180" s="128"/>
      <c r="F180" s="128"/>
      <c r="G180" s="128"/>
      <c r="H180" s="128"/>
      <c r="I180" s="128"/>
      <c r="J180" s="128"/>
      <c r="K180" s="128"/>
      <c r="L180" s="128"/>
    </row>
    <row r="181" spans="1:34" s="28" customFormat="1" ht="18.600000000000001" customHeight="1" x14ac:dyDescent="0.25">
      <c r="A181" s="128" t="s">
        <v>31</v>
      </c>
      <c r="B181" s="128"/>
      <c r="C181" s="128"/>
      <c r="D181" s="128"/>
      <c r="E181" s="128"/>
      <c r="F181" s="128"/>
      <c r="G181" s="128"/>
      <c r="H181" s="128"/>
      <c r="I181" s="128"/>
      <c r="J181" s="128"/>
      <c r="K181" s="128"/>
      <c r="L181" s="128"/>
    </row>
    <row r="182" spans="1:34" s="28" customFormat="1" ht="20.45" customHeight="1" x14ac:dyDescent="0.25">
      <c r="A182" s="130" t="s">
        <v>214</v>
      </c>
      <c r="B182" s="130"/>
      <c r="C182" s="130"/>
      <c r="D182" s="130"/>
      <c r="E182" s="130"/>
      <c r="F182" s="130"/>
      <c r="G182" s="130"/>
      <c r="H182" s="130"/>
      <c r="I182" s="130"/>
      <c r="J182" s="130"/>
      <c r="K182" s="130"/>
      <c r="L182" s="2"/>
    </row>
    <row r="183" spans="1:34" s="28" customFormat="1" ht="19.149999999999999" customHeight="1" x14ac:dyDescent="0.25">
      <c r="A183" s="128" t="s">
        <v>32</v>
      </c>
      <c r="B183" s="128"/>
      <c r="C183" s="128"/>
      <c r="D183" s="128"/>
      <c r="E183" s="128"/>
      <c r="F183" s="128"/>
      <c r="G183" s="128"/>
      <c r="H183" s="128"/>
      <c r="I183" s="128"/>
      <c r="J183" s="128"/>
      <c r="K183" s="128"/>
      <c r="L183" s="2"/>
    </row>
    <row r="184" spans="1:34" s="28" customFormat="1" ht="20.45" customHeight="1" x14ac:dyDescent="0.25">
      <c r="A184" s="128" t="s">
        <v>33</v>
      </c>
      <c r="B184" s="128"/>
      <c r="C184" s="128"/>
      <c r="D184" s="128"/>
      <c r="E184" s="128"/>
      <c r="F184" s="128"/>
      <c r="G184" s="128"/>
      <c r="H184" s="128"/>
      <c r="I184" s="128"/>
      <c r="J184" s="128"/>
      <c r="K184" s="128"/>
      <c r="L184" s="128"/>
    </row>
    <row r="185" spans="1:34" s="28" customFormat="1" ht="16.899999999999999" customHeight="1" x14ac:dyDescent="0.25">
      <c r="A185" s="128" t="s">
        <v>34</v>
      </c>
      <c r="B185" s="128"/>
      <c r="C185" s="128"/>
      <c r="D185" s="128"/>
      <c r="E185" s="128"/>
      <c r="F185" s="128"/>
      <c r="G185" s="128"/>
      <c r="H185" s="128"/>
      <c r="I185" s="128"/>
      <c r="J185" s="128"/>
      <c r="K185" s="128"/>
      <c r="L185" s="128"/>
    </row>
    <row r="186" spans="1:34" s="28" customFormat="1" ht="25.9" customHeight="1" x14ac:dyDescent="0.25">
      <c r="A186" s="128" t="s">
        <v>200</v>
      </c>
      <c r="B186" s="128"/>
      <c r="C186" s="128"/>
      <c r="D186" s="128"/>
      <c r="E186" s="128"/>
      <c r="F186" s="128"/>
      <c r="G186" s="128"/>
      <c r="H186" s="128"/>
      <c r="I186" s="128"/>
      <c r="J186" s="128"/>
      <c r="K186" s="30"/>
      <c r="L186" s="2"/>
    </row>
    <row r="187" spans="1:34" s="28" customFormat="1" ht="40.9" customHeight="1" x14ac:dyDescent="0.25">
      <c r="A187" s="129" t="s">
        <v>35</v>
      </c>
      <c r="B187" s="129"/>
      <c r="C187" s="129"/>
      <c r="D187" s="129"/>
      <c r="E187" s="129"/>
      <c r="F187" s="129" t="s">
        <v>0</v>
      </c>
      <c r="G187" s="129"/>
      <c r="H187" s="129"/>
      <c r="I187" s="129"/>
      <c r="J187" s="129"/>
      <c r="K187" s="129"/>
      <c r="L187" s="129"/>
    </row>
    <row r="188" spans="1:34" s="28" customFormat="1" ht="120.75" customHeight="1" x14ac:dyDescent="0.25">
      <c r="A188" s="23"/>
      <c r="B188" s="23"/>
      <c r="C188" s="27"/>
      <c r="D188" s="23"/>
      <c r="E188" s="24"/>
      <c r="F188" s="23"/>
      <c r="G188" s="23"/>
      <c r="H188" s="25"/>
      <c r="I188" s="23"/>
      <c r="J188" s="34"/>
      <c r="K188" s="34"/>
      <c r="L188" s="23"/>
    </row>
    <row r="189" spans="1:34" s="28" customFormat="1" ht="120.75" customHeight="1" x14ac:dyDescent="0.25">
      <c r="A189" s="23"/>
      <c r="B189" s="23"/>
      <c r="C189" s="27"/>
      <c r="D189" s="23"/>
      <c r="E189" s="24"/>
      <c r="F189" s="23"/>
      <c r="G189" s="23"/>
      <c r="H189" s="25"/>
      <c r="I189" s="23"/>
      <c r="J189" s="34"/>
      <c r="K189" s="34"/>
      <c r="L189" s="23"/>
    </row>
    <row r="190" spans="1:34" s="28" customFormat="1" ht="120.75" customHeight="1" x14ac:dyDescent="0.25">
      <c r="A190" s="23"/>
      <c r="B190" s="23"/>
      <c r="C190" s="27"/>
      <c r="D190" s="23"/>
      <c r="E190" s="24"/>
      <c r="F190" s="23"/>
      <c r="G190" s="23"/>
      <c r="H190" s="25"/>
      <c r="I190" s="23"/>
      <c r="J190" s="34"/>
      <c r="K190" s="34"/>
      <c r="L190" s="23"/>
    </row>
    <row r="191" spans="1:34" s="28" customFormat="1" ht="120.75" customHeight="1" x14ac:dyDescent="0.25">
      <c r="A191" s="23"/>
      <c r="B191" s="23"/>
      <c r="C191" s="27"/>
      <c r="D191" s="23"/>
      <c r="E191" s="24"/>
      <c r="F191" s="23"/>
      <c r="G191" s="23"/>
      <c r="H191" s="25"/>
      <c r="I191" s="23"/>
      <c r="J191" s="34"/>
      <c r="K191" s="34"/>
      <c r="L191" s="23"/>
    </row>
    <row r="192" spans="1:34" s="28" customFormat="1" ht="120.75" customHeight="1" x14ac:dyDescent="0.25">
      <c r="A192" s="9"/>
      <c r="B192" s="9"/>
      <c r="C192" s="12"/>
      <c r="D192" s="9"/>
      <c r="E192" s="10"/>
      <c r="F192" s="9"/>
      <c r="G192" s="9"/>
      <c r="H192" s="11"/>
      <c r="I192" s="9"/>
      <c r="J192" s="35"/>
      <c r="K192" s="35"/>
      <c r="L192" s="9"/>
    </row>
    <row r="193" spans="1:12" s="28" customFormat="1" ht="120.75" customHeight="1" x14ac:dyDescent="0.25">
      <c r="A193" s="9"/>
      <c r="B193" s="9"/>
      <c r="C193" s="12"/>
      <c r="D193" s="9"/>
      <c r="E193" s="10"/>
      <c r="F193" s="9"/>
      <c r="G193" s="9"/>
      <c r="H193" s="11"/>
      <c r="I193" s="9"/>
      <c r="J193" s="35"/>
      <c r="K193" s="35"/>
      <c r="L193" s="9"/>
    </row>
    <row r="194" spans="1:12" s="28" customFormat="1" ht="120.75" customHeight="1" x14ac:dyDescent="0.25">
      <c r="A194" s="9"/>
      <c r="B194" s="9"/>
      <c r="C194" s="12"/>
      <c r="D194" s="9"/>
      <c r="E194" s="10"/>
      <c r="F194" s="9"/>
      <c r="G194" s="9"/>
      <c r="H194" s="11"/>
      <c r="I194" s="9"/>
      <c r="J194" s="35"/>
      <c r="K194" s="35"/>
      <c r="L194" s="9"/>
    </row>
    <row r="195" spans="1:12" s="6" customFormat="1" ht="30" customHeight="1" x14ac:dyDescent="0.25">
      <c r="A195" s="9"/>
      <c r="B195" s="9"/>
      <c r="C195" s="12"/>
      <c r="D195" s="9"/>
      <c r="E195" s="10"/>
      <c r="F195" s="9"/>
      <c r="G195" s="9"/>
      <c r="H195" s="11"/>
      <c r="I195" s="9"/>
      <c r="J195" s="35"/>
      <c r="K195" s="35"/>
      <c r="L195" s="9"/>
    </row>
    <row r="196" spans="1:12" s="6" customFormat="1" ht="30" customHeight="1" x14ac:dyDescent="0.25">
      <c r="A196" s="9"/>
      <c r="B196" s="9"/>
      <c r="C196" s="12"/>
      <c r="D196" s="9"/>
      <c r="E196" s="10"/>
      <c r="F196" s="9"/>
      <c r="G196" s="9"/>
      <c r="H196" s="11"/>
      <c r="I196" s="9"/>
      <c r="J196" s="35"/>
      <c r="K196" s="35"/>
      <c r="L196" s="9"/>
    </row>
    <row r="197" spans="1:12" s="6" customFormat="1" ht="30" customHeight="1" x14ac:dyDescent="0.25">
      <c r="A197" s="9"/>
      <c r="B197" s="9"/>
      <c r="C197" s="12"/>
      <c r="D197" s="9"/>
      <c r="E197" s="10"/>
      <c r="F197" s="9"/>
      <c r="G197" s="9"/>
      <c r="H197" s="11"/>
      <c r="I197" s="9"/>
      <c r="J197" s="35"/>
      <c r="K197" s="35"/>
      <c r="L197" s="9"/>
    </row>
    <row r="198" spans="1:12" s="6" customFormat="1" ht="30" customHeight="1" x14ac:dyDescent="0.25">
      <c r="A198" s="9"/>
      <c r="B198" s="9"/>
      <c r="C198" s="12"/>
      <c r="D198" s="9"/>
      <c r="E198" s="10"/>
      <c r="F198" s="9"/>
      <c r="G198" s="9"/>
      <c r="H198" s="11"/>
      <c r="I198" s="9"/>
      <c r="J198" s="35"/>
      <c r="K198" s="35"/>
      <c r="L198" s="9"/>
    </row>
    <row r="199" spans="1:12" s="22" customFormat="1" ht="21.75" customHeight="1" x14ac:dyDescent="0.25">
      <c r="A199" s="9"/>
      <c r="B199" s="9"/>
      <c r="C199" s="12"/>
      <c r="D199" s="9"/>
      <c r="E199" s="10"/>
      <c r="F199" s="9"/>
      <c r="G199" s="9"/>
      <c r="H199" s="11"/>
      <c r="I199" s="9"/>
      <c r="J199" s="35"/>
      <c r="K199" s="35"/>
      <c r="L199" s="9"/>
    </row>
    <row r="200" spans="1:12" s="22" customFormat="1" ht="17.25" customHeight="1" x14ac:dyDescent="0.25">
      <c r="A200" s="9"/>
      <c r="B200" s="9"/>
      <c r="C200" s="12"/>
      <c r="D200" s="9"/>
      <c r="E200" s="10"/>
      <c r="F200" s="9"/>
      <c r="G200" s="9"/>
      <c r="H200" s="11"/>
      <c r="I200" s="9"/>
      <c r="J200" s="35"/>
      <c r="K200" s="35"/>
      <c r="L200" s="9"/>
    </row>
    <row r="201" spans="1:12" s="22" customFormat="1" ht="17.25" customHeight="1" x14ac:dyDescent="0.25">
      <c r="A201" s="9"/>
      <c r="B201" s="9"/>
      <c r="C201" s="12"/>
      <c r="D201" s="9"/>
      <c r="E201" s="10"/>
      <c r="F201" s="9"/>
      <c r="G201" s="9"/>
      <c r="H201" s="11"/>
      <c r="I201" s="9"/>
      <c r="J201" s="35"/>
      <c r="K201" s="35"/>
      <c r="L201" s="9"/>
    </row>
    <row r="202" spans="1:12" s="22" customFormat="1" ht="17.25" customHeight="1" x14ac:dyDescent="0.25">
      <c r="A202" s="9"/>
      <c r="B202" s="9"/>
      <c r="C202" s="12"/>
      <c r="D202" s="9"/>
      <c r="E202" s="10"/>
      <c r="F202" s="9"/>
      <c r="G202" s="9"/>
      <c r="H202" s="11"/>
      <c r="I202" s="9"/>
      <c r="J202" s="35"/>
      <c r="K202" s="35"/>
      <c r="L202" s="9"/>
    </row>
    <row r="203" spans="1:12" s="22" customFormat="1" ht="17.25" customHeight="1" x14ac:dyDescent="0.25">
      <c r="A203" s="9"/>
      <c r="B203" s="9"/>
      <c r="C203" s="12"/>
      <c r="D203" s="9"/>
      <c r="E203" s="10"/>
      <c r="F203" s="9"/>
      <c r="G203" s="9"/>
      <c r="H203" s="11"/>
      <c r="I203" s="9"/>
      <c r="J203" s="35"/>
      <c r="K203" s="35"/>
      <c r="L203" s="9"/>
    </row>
    <row r="204" spans="1:12" s="22" customFormat="1" ht="17.25" customHeight="1" x14ac:dyDescent="0.25">
      <c r="A204" s="9"/>
      <c r="B204" s="9"/>
      <c r="C204" s="12"/>
      <c r="D204" s="9"/>
      <c r="E204" s="10"/>
      <c r="F204" s="9"/>
      <c r="G204" s="9"/>
      <c r="H204" s="11"/>
      <c r="I204" s="9"/>
      <c r="J204" s="35"/>
      <c r="K204" s="35"/>
      <c r="L204" s="9"/>
    </row>
    <row r="205" spans="1:12" s="22" customFormat="1" ht="17.25" customHeight="1" x14ac:dyDescent="0.25">
      <c r="A205" s="9"/>
      <c r="B205" s="9"/>
      <c r="C205" s="12"/>
      <c r="D205" s="9"/>
      <c r="E205" s="10"/>
      <c r="F205" s="9"/>
      <c r="G205" s="9"/>
      <c r="H205" s="11"/>
      <c r="I205" s="9"/>
      <c r="J205" s="35"/>
      <c r="K205" s="35"/>
      <c r="L205" s="9"/>
    </row>
    <row r="206" spans="1:12" s="22" customFormat="1" ht="17.25" customHeight="1" x14ac:dyDescent="0.25">
      <c r="A206" s="9"/>
      <c r="B206" s="9"/>
      <c r="C206" s="12"/>
      <c r="D206" s="9"/>
      <c r="E206" s="10"/>
      <c r="F206" s="9"/>
      <c r="G206" s="9"/>
      <c r="H206" s="11"/>
      <c r="I206" s="9"/>
      <c r="J206" s="35"/>
      <c r="K206" s="35"/>
      <c r="L206" s="9"/>
    </row>
    <row r="207" spans="1:12" s="22" customFormat="1" ht="17.25" customHeight="1" x14ac:dyDescent="0.25">
      <c r="A207" s="9"/>
      <c r="B207" s="9"/>
      <c r="C207" s="12"/>
      <c r="D207" s="9"/>
      <c r="E207" s="10"/>
      <c r="F207" s="9"/>
      <c r="G207" s="9"/>
      <c r="H207" s="11"/>
      <c r="I207" s="9"/>
      <c r="J207" s="35"/>
      <c r="K207" s="35"/>
      <c r="L207" s="9"/>
    </row>
    <row r="208" spans="1:12" s="22" customFormat="1" ht="17.25" customHeight="1" x14ac:dyDescent="0.25">
      <c r="A208" s="9"/>
      <c r="B208" s="9"/>
      <c r="C208" s="12"/>
      <c r="D208" s="9"/>
      <c r="E208" s="10"/>
      <c r="F208" s="9"/>
      <c r="G208" s="9"/>
      <c r="H208" s="11"/>
      <c r="I208" s="9"/>
      <c r="J208" s="35"/>
      <c r="K208" s="35"/>
      <c r="L208" s="9"/>
    </row>
    <row r="209" spans="1:12" s="26" customFormat="1" ht="16.5" customHeight="1" x14ac:dyDescent="0.25">
      <c r="A209" s="9"/>
      <c r="B209" s="9"/>
      <c r="C209" s="12"/>
      <c r="D209" s="9"/>
      <c r="E209" s="10"/>
      <c r="F209" s="9"/>
      <c r="G209" s="9"/>
      <c r="H209" s="11"/>
      <c r="I209" s="9"/>
      <c r="J209" s="35"/>
      <c r="K209" s="35"/>
      <c r="L209" s="9"/>
    </row>
    <row r="210" spans="1:12" s="16" customFormat="1" ht="18" customHeight="1" x14ac:dyDescent="0.25">
      <c r="A210" s="9"/>
      <c r="B210" s="9"/>
      <c r="C210" s="12"/>
      <c r="D210" s="9"/>
      <c r="E210" s="10"/>
      <c r="F210" s="9"/>
      <c r="G210" s="9"/>
      <c r="H210" s="11"/>
      <c r="I210" s="9"/>
      <c r="J210" s="35"/>
      <c r="K210" s="35"/>
      <c r="L210" s="9"/>
    </row>
    <row r="211" spans="1:12" s="26" customFormat="1" ht="16.5" customHeight="1" x14ac:dyDescent="0.25">
      <c r="A211" s="9"/>
      <c r="B211" s="9"/>
      <c r="C211" s="12"/>
      <c r="D211" s="9"/>
      <c r="E211" s="10"/>
      <c r="F211" s="9"/>
      <c r="G211" s="9"/>
      <c r="H211" s="11"/>
      <c r="I211" s="9"/>
      <c r="J211" s="35"/>
      <c r="K211" s="35"/>
      <c r="L211" s="9"/>
    </row>
    <row r="212" spans="1:12" s="26" customFormat="1" ht="16.5" customHeight="1" x14ac:dyDescent="0.25">
      <c r="A212" s="9"/>
      <c r="B212" s="9"/>
      <c r="C212" s="12"/>
      <c r="D212" s="9"/>
      <c r="E212" s="10"/>
      <c r="F212" s="9"/>
      <c r="G212" s="9"/>
      <c r="H212" s="11"/>
      <c r="I212" s="9"/>
      <c r="J212" s="35"/>
      <c r="K212" s="35"/>
      <c r="L212" s="9"/>
    </row>
    <row r="213" spans="1:12" s="26" customFormat="1" ht="16.5" customHeight="1" x14ac:dyDescent="0.25">
      <c r="A213" s="9"/>
      <c r="B213" s="9"/>
      <c r="C213" s="12"/>
      <c r="D213" s="9"/>
      <c r="E213" s="10"/>
      <c r="F213" s="9"/>
      <c r="G213" s="9"/>
      <c r="H213" s="11"/>
      <c r="I213" s="9"/>
      <c r="J213" s="35"/>
      <c r="K213" s="35"/>
      <c r="L213" s="9"/>
    </row>
    <row r="214" spans="1:12" s="26" customFormat="1" ht="16.5" customHeight="1" x14ac:dyDescent="0.25">
      <c r="A214" s="9"/>
      <c r="B214" s="9"/>
      <c r="C214" s="12"/>
      <c r="D214" s="9"/>
      <c r="E214" s="10"/>
      <c r="F214" s="9"/>
      <c r="G214" s="9"/>
      <c r="H214" s="11"/>
      <c r="I214" s="9"/>
      <c r="J214" s="35"/>
      <c r="K214" s="35"/>
      <c r="L214" s="9"/>
    </row>
    <row r="215" spans="1:12" s="6" customFormat="1" ht="16.5" customHeight="1" x14ac:dyDescent="0.25">
      <c r="A215" s="9"/>
      <c r="B215" s="9"/>
      <c r="C215" s="12"/>
      <c r="D215" s="9"/>
      <c r="E215" s="10"/>
      <c r="F215" s="9"/>
      <c r="G215" s="9"/>
      <c r="H215" s="11"/>
      <c r="I215" s="9"/>
      <c r="J215" s="35"/>
      <c r="K215" s="35"/>
      <c r="L215" s="9"/>
    </row>
    <row r="216" spans="1:12" s="6" customFormat="1" ht="16.5" customHeight="1" x14ac:dyDescent="0.25">
      <c r="A216" s="9"/>
      <c r="B216" s="9"/>
      <c r="C216" s="12"/>
      <c r="D216" s="9"/>
      <c r="E216" s="10"/>
      <c r="F216" s="9"/>
      <c r="G216" s="9"/>
      <c r="H216" s="11"/>
      <c r="I216" s="9"/>
      <c r="J216" s="35"/>
      <c r="K216" s="35"/>
      <c r="L216" s="9"/>
    </row>
    <row r="217" spans="1:12" s="6" customFormat="1" ht="16.5" customHeight="1" x14ac:dyDescent="0.25">
      <c r="A217" s="9"/>
      <c r="B217" s="9"/>
      <c r="C217" s="12"/>
      <c r="D217" s="9"/>
      <c r="E217" s="10"/>
      <c r="F217" s="9"/>
      <c r="G217" s="9"/>
      <c r="H217" s="11"/>
      <c r="I217" s="9"/>
      <c r="J217" s="35"/>
      <c r="K217" s="35"/>
      <c r="L217" s="9"/>
    </row>
    <row r="218" spans="1:12" s="6" customFormat="1" ht="16.5" customHeight="1" x14ac:dyDescent="0.25">
      <c r="A218" s="9"/>
      <c r="B218" s="9"/>
      <c r="C218" s="12"/>
      <c r="D218" s="9"/>
      <c r="E218" s="10"/>
      <c r="F218" s="9"/>
      <c r="G218" s="9"/>
      <c r="H218" s="11"/>
      <c r="I218" s="9"/>
      <c r="J218" s="35"/>
      <c r="K218" s="35"/>
      <c r="L218" s="9"/>
    </row>
    <row r="219" spans="1:12" s="6" customFormat="1" ht="16.5" customHeight="1" x14ac:dyDescent="0.25">
      <c r="A219" s="9"/>
      <c r="B219" s="9"/>
      <c r="C219" s="12"/>
      <c r="D219" s="9"/>
      <c r="E219" s="10"/>
      <c r="F219" s="9"/>
      <c r="G219" s="9"/>
      <c r="H219" s="11"/>
      <c r="I219" s="9"/>
      <c r="J219" s="35"/>
      <c r="K219" s="35"/>
      <c r="L219" s="9"/>
    </row>
    <row r="220" spans="1:12" s="6" customFormat="1" ht="16.5" customHeight="1" x14ac:dyDescent="0.25">
      <c r="A220" s="9"/>
      <c r="B220" s="9"/>
      <c r="C220" s="12"/>
      <c r="D220" s="9"/>
      <c r="E220" s="10"/>
      <c r="F220" s="9"/>
      <c r="G220" s="9"/>
      <c r="H220" s="11"/>
      <c r="I220" s="9"/>
      <c r="J220" s="35"/>
      <c r="K220" s="35"/>
      <c r="L220" s="9"/>
    </row>
    <row r="221" spans="1:12" s="6" customFormat="1" ht="16.5" customHeight="1" x14ac:dyDescent="0.25">
      <c r="A221" s="9"/>
      <c r="B221" s="9"/>
      <c r="C221" s="12"/>
      <c r="D221" s="9"/>
      <c r="E221" s="10"/>
      <c r="F221" s="9"/>
      <c r="G221" s="9"/>
      <c r="H221" s="11"/>
      <c r="I221" s="9"/>
      <c r="J221" s="35"/>
      <c r="K221" s="35"/>
      <c r="L221" s="9"/>
    </row>
    <row r="222" spans="1:12" s="6" customFormat="1" ht="16.5" customHeight="1" x14ac:dyDescent="0.25">
      <c r="A222" s="9"/>
      <c r="B222" s="9"/>
      <c r="C222" s="12"/>
      <c r="D222" s="9"/>
      <c r="E222" s="10"/>
      <c r="F222" s="9"/>
      <c r="G222" s="9"/>
      <c r="H222" s="11"/>
      <c r="I222" s="9"/>
      <c r="J222" s="35"/>
      <c r="K222" s="35"/>
      <c r="L222" s="9"/>
    </row>
    <row r="223" spans="1:12" s="6" customFormat="1" ht="16.5" customHeight="1" x14ac:dyDescent="0.25">
      <c r="A223" s="9"/>
      <c r="B223" s="9"/>
      <c r="C223" s="12"/>
      <c r="D223" s="9"/>
      <c r="E223" s="10"/>
      <c r="F223" s="9"/>
      <c r="G223" s="9"/>
      <c r="H223" s="11"/>
      <c r="I223" s="9"/>
      <c r="J223" s="35"/>
      <c r="K223" s="35"/>
      <c r="L223" s="9"/>
    </row>
    <row r="224" spans="1:12" s="6" customFormat="1" ht="16.5" customHeight="1" x14ac:dyDescent="0.25">
      <c r="A224" s="9"/>
      <c r="B224" s="9"/>
      <c r="C224" s="12"/>
      <c r="D224" s="9"/>
      <c r="E224" s="10"/>
      <c r="F224" s="9"/>
      <c r="G224" s="9"/>
      <c r="H224" s="11"/>
      <c r="I224" s="9"/>
      <c r="J224" s="35"/>
      <c r="K224" s="35"/>
      <c r="L224" s="9"/>
    </row>
    <row r="225" spans="1:12" s="6" customFormat="1" ht="16.5" customHeight="1" x14ac:dyDescent="0.25">
      <c r="B225" s="8"/>
      <c r="C225" s="12"/>
      <c r="D225" s="8"/>
      <c r="E225" s="10"/>
      <c r="H225" s="7"/>
      <c r="J225" s="36"/>
      <c r="K225" s="36"/>
    </row>
    <row r="226" spans="1:12" s="6" customFormat="1" ht="16.5" customHeight="1" x14ac:dyDescent="0.25">
      <c r="B226" s="8"/>
      <c r="C226" s="12"/>
      <c r="D226" s="8"/>
      <c r="E226" s="10"/>
      <c r="H226" s="7"/>
      <c r="J226" s="36"/>
      <c r="K226" s="36"/>
    </row>
    <row r="227" spans="1:12" s="6" customFormat="1" ht="16.5" customHeight="1" x14ac:dyDescent="0.25">
      <c r="A227" s="3"/>
      <c r="B227" s="13"/>
      <c r="C227" s="52"/>
      <c r="D227" s="13"/>
      <c r="E227" s="14"/>
      <c r="F227" s="3"/>
      <c r="G227" s="3"/>
      <c r="H227" s="15"/>
      <c r="I227" s="3"/>
      <c r="J227" s="49"/>
      <c r="K227" s="49"/>
      <c r="L227" s="3"/>
    </row>
    <row r="228" spans="1:12" s="6" customFormat="1" ht="16.5" customHeight="1" x14ac:dyDescent="0.25">
      <c r="A228" s="3"/>
      <c r="B228" s="13"/>
      <c r="C228" s="52"/>
      <c r="D228" s="13"/>
      <c r="E228" s="14"/>
      <c r="F228" s="3"/>
      <c r="G228" s="3"/>
      <c r="H228" s="15"/>
      <c r="I228" s="3"/>
      <c r="J228" s="49"/>
      <c r="K228" s="49"/>
      <c r="L228" s="3"/>
    </row>
    <row r="229" spans="1:12" s="6" customFormat="1" ht="16.5" customHeight="1" x14ac:dyDescent="0.25">
      <c r="A229" s="3"/>
      <c r="B229" s="13"/>
      <c r="C229" s="52"/>
      <c r="D229" s="13"/>
      <c r="E229" s="14"/>
      <c r="F229" s="3"/>
      <c r="G229" s="3"/>
      <c r="H229" s="15"/>
      <c r="I229" s="3"/>
      <c r="J229" s="49"/>
      <c r="K229" s="49"/>
      <c r="L229" s="3"/>
    </row>
    <row r="230" spans="1:12" s="6" customFormat="1" ht="16.5" customHeight="1" x14ac:dyDescent="0.25">
      <c r="A230" s="3"/>
      <c r="B230" s="13"/>
      <c r="C230" s="52"/>
      <c r="D230" s="13"/>
      <c r="E230" s="14"/>
      <c r="F230" s="3"/>
      <c r="G230" s="3"/>
      <c r="H230" s="15"/>
      <c r="I230" s="3"/>
      <c r="J230" s="49"/>
      <c r="K230" s="49"/>
      <c r="L230" s="3"/>
    </row>
    <row r="231" spans="1:12" s="6" customFormat="1" ht="16.5" customHeight="1" x14ac:dyDescent="0.25">
      <c r="A231" s="3"/>
      <c r="B231" s="13"/>
      <c r="C231" s="52"/>
      <c r="D231" s="13"/>
      <c r="E231" s="14"/>
      <c r="F231" s="3"/>
      <c r="G231" s="3"/>
      <c r="H231" s="15"/>
      <c r="I231" s="3"/>
      <c r="J231" s="49"/>
      <c r="K231" s="49"/>
      <c r="L231" s="3"/>
    </row>
    <row r="232" spans="1:12" s="6" customFormat="1" ht="16.5" customHeight="1" x14ac:dyDescent="0.25">
      <c r="A232" s="3"/>
      <c r="B232" s="13"/>
      <c r="C232" s="52"/>
      <c r="D232" s="13"/>
      <c r="E232" s="14"/>
      <c r="F232" s="3"/>
      <c r="G232" s="3"/>
      <c r="H232" s="15"/>
      <c r="I232" s="3"/>
      <c r="J232" s="49"/>
      <c r="K232" s="49"/>
      <c r="L232" s="3"/>
    </row>
    <row r="233" spans="1:12" s="6" customFormat="1" ht="16.5" customHeight="1" x14ac:dyDescent="0.25">
      <c r="A233" s="3"/>
      <c r="B233" s="13"/>
      <c r="C233" s="52"/>
      <c r="D233" s="13"/>
      <c r="E233" s="14"/>
      <c r="F233" s="3"/>
      <c r="G233" s="3"/>
      <c r="H233" s="15"/>
      <c r="I233" s="3"/>
      <c r="J233" s="49"/>
      <c r="K233" s="49"/>
      <c r="L233" s="3"/>
    </row>
    <row r="234" spans="1:12" s="6" customFormat="1" ht="16.5" customHeight="1" x14ac:dyDescent="0.25">
      <c r="A234" s="3"/>
      <c r="B234" s="13"/>
      <c r="C234" s="52"/>
      <c r="D234" s="13"/>
      <c r="E234" s="14"/>
      <c r="F234" s="3"/>
      <c r="G234" s="3"/>
      <c r="H234" s="15"/>
      <c r="I234" s="3"/>
      <c r="J234" s="49"/>
      <c r="K234" s="49"/>
      <c r="L234" s="3"/>
    </row>
    <row r="235" spans="1:12" s="6" customFormat="1" ht="16.5" customHeight="1" x14ac:dyDescent="0.25">
      <c r="A235" s="3"/>
      <c r="B235" s="13"/>
      <c r="C235" s="52"/>
      <c r="D235" s="13"/>
      <c r="E235" s="14"/>
      <c r="F235" s="3"/>
      <c r="G235" s="3"/>
      <c r="H235" s="15"/>
      <c r="I235" s="3"/>
      <c r="J235" s="49"/>
      <c r="K235" s="49"/>
      <c r="L235" s="3"/>
    </row>
    <row r="236" spans="1:12" s="6" customFormat="1" ht="16.5" customHeight="1" x14ac:dyDescent="0.25">
      <c r="A236" s="3"/>
      <c r="B236" s="13"/>
      <c r="C236" s="52"/>
      <c r="D236" s="13"/>
      <c r="E236" s="14"/>
      <c r="F236" s="3"/>
      <c r="G236" s="3"/>
      <c r="H236" s="15"/>
      <c r="I236" s="3"/>
      <c r="J236" s="49"/>
      <c r="K236" s="49"/>
      <c r="L236" s="3"/>
    </row>
    <row r="237" spans="1:12" s="6" customFormat="1" ht="16.5" customHeight="1" x14ac:dyDescent="0.25">
      <c r="A237" s="3"/>
      <c r="B237" s="13"/>
      <c r="C237" s="52"/>
      <c r="D237" s="13"/>
      <c r="E237" s="14"/>
      <c r="F237" s="3"/>
      <c r="G237" s="3"/>
      <c r="H237" s="15"/>
      <c r="I237" s="3"/>
      <c r="J237" s="49"/>
      <c r="K237" s="49"/>
      <c r="L237" s="3"/>
    </row>
    <row r="238" spans="1:12" s="6" customFormat="1" ht="16.5" customHeight="1" x14ac:dyDescent="0.25">
      <c r="A238" s="3"/>
      <c r="B238" s="13"/>
      <c r="C238" s="52"/>
      <c r="D238" s="13"/>
      <c r="E238" s="14"/>
      <c r="F238" s="3"/>
      <c r="G238" s="3"/>
      <c r="H238" s="15"/>
      <c r="I238" s="3"/>
      <c r="J238" s="49"/>
      <c r="K238" s="49"/>
      <c r="L238" s="3"/>
    </row>
    <row r="239" spans="1:12" s="6" customFormat="1" ht="16.5" customHeight="1" x14ac:dyDescent="0.25">
      <c r="A239" s="3"/>
      <c r="B239" s="13"/>
      <c r="C239" s="52"/>
      <c r="D239" s="13"/>
      <c r="E239" s="14"/>
      <c r="F239" s="3"/>
      <c r="G239" s="3"/>
      <c r="H239" s="15"/>
      <c r="I239" s="3"/>
      <c r="J239" s="49"/>
      <c r="K239" s="49"/>
      <c r="L239" s="3"/>
    </row>
    <row r="240" spans="1:12" s="6" customFormat="1" ht="16.5" customHeight="1" x14ac:dyDescent="0.25">
      <c r="A240" s="3"/>
      <c r="B240" s="13"/>
      <c r="C240" s="52"/>
      <c r="D240" s="13"/>
      <c r="E240" s="14"/>
      <c r="F240" s="3"/>
      <c r="G240" s="3"/>
      <c r="H240" s="15"/>
      <c r="I240" s="3"/>
      <c r="J240" s="49"/>
      <c r="K240" s="49"/>
      <c r="L240" s="3"/>
    </row>
    <row r="241" spans="1:12" s="6" customFormat="1" ht="16.5" customHeight="1" x14ac:dyDescent="0.25">
      <c r="A241" s="3"/>
      <c r="B241" s="13"/>
      <c r="C241" s="52"/>
      <c r="D241" s="13"/>
      <c r="E241" s="14"/>
      <c r="F241" s="3"/>
      <c r="G241" s="3"/>
      <c r="H241" s="15"/>
      <c r="I241" s="3"/>
      <c r="J241" s="49"/>
      <c r="K241" s="49"/>
      <c r="L241" s="3"/>
    </row>
    <row r="242" spans="1:12" s="6" customFormat="1" ht="16.5" customHeight="1" x14ac:dyDescent="0.25">
      <c r="A242" s="3"/>
      <c r="B242" s="13"/>
      <c r="C242" s="52"/>
      <c r="D242" s="13"/>
      <c r="E242" s="14"/>
      <c r="F242" s="3"/>
      <c r="G242" s="3"/>
      <c r="H242" s="15"/>
      <c r="I242" s="3"/>
      <c r="J242" s="49"/>
      <c r="K242" s="49"/>
      <c r="L242" s="3"/>
    </row>
    <row r="243" spans="1:12" s="6" customFormat="1" ht="16.5" customHeight="1" x14ac:dyDescent="0.25">
      <c r="A243" s="3"/>
      <c r="B243" s="13"/>
      <c r="C243" s="52"/>
      <c r="D243" s="13"/>
      <c r="E243" s="14"/>
      <c r="F243" s="3"/>
      <c r="G243" s="3"/>
      <c r="H243" s="15"/>
      <c r="I243" s="3"/>
      <c r="J243" s="49"/>
      <c r="K243" s="49"/>
      <c r="L243" s="3"/>
    </row>
    <row r="244" spans="1:12" s="6" customFormat="1" ht="16.5" customHeight="1" x14ac:dyDescent="0.25">
      <c r="A244" s="3"/>
      <c r="B244" s="13"/>
      <c r="C244" s="52"/>
      <c r="D244" s="13"/>
      <c r="E244" s="14"/>
      <c r="F244" s="3"/>
      <c r="G244" s="3"/>
      <c r="H244" s="15"/>
      <c r="I244" s="3"/>
      <c r="J244" s="49"/>
      <c r="K244" s="49"/>
      <c r="L244" s="3"/>
    </row>
    <row r="245" spans="1:12" s="6" customFormat="1" ht="16.5" customHeight="1" x14ac:dyDescent="0.25">
      <c r="A245" s="3"/>
      <c r="B245" s="13"/>
      <c r="C245" s="52"/>
      <c r="D245" s="13"/>
      <c r="E245" s="14"/>
      <c r="F245" s="3"/>
      <c r="G245" s="3"/>
      <c r="H245" s="15"/>
      <c r="I245" s="3"/>
      <c r="J245" s="49"/>
      <c r="K245" s="49"/>
      <c r="L245" s="3"/>
    </row>
    <row r="246" spans="1:12" s="6" customFormat="1" ht="16.5" customHeight="1" x14ac:dyDescent="0.25">
      <c r="A246" s="3"/>
      <c r="B246" s="13"/>
      <c r="C246" s="52"/>
      <c r="D246" s="13"/>
      <c r="E246" s="14"/>
      <c r="F246" s="3"/>
      <c r="G246" s="3"/>
      <c r="H246" s="15"/>
      <c r="I246" s="3"/>
      <c r="J246" s="49"/>
      <c r="K246" s="49"/>
      <c r="L246" s="3"/>
    </row>
    <row r="247" spans="1:12" s="6" customFormat="1" ht="16.5" customHeight="1" x14ac:dyDescent="0.25">
      <c r="A247" s="3"/>
      <c r="B247" s="13"/>
      <c r="C247" s="52"/>
      <c r="D247" s="13"/>
      <c r="E247" s="14"/>
      <c r="F247" s="3"/>
      <c r="G247" s="3"/>
      <c r="H247" s="15"/>
      <c r="I247" s="3"/>
      <c r="J247" s="49"/>
      <c r="K247" s="49"/>
      <c r="L247" s="3"/>
    </row>
    <row r="248" spans="1:12" s="6" customFormat="1" ht="16.5" customHeight="1" x14ac:dyDescent="0.25">
      <c r="A248" s="3"/>
      <c r="B248" s="13"/>
      <c r="C248" s="52"/>
      <c r="D248" s="13"/>
      <c r="E248" s="14"/>
      <c r="F248" s="3"/>
      <c r="G248" s="3"/>
      <c r="H248" s="15"/>
      <c r="I248" s="3"/>
      <c r="J248" s="49"/>
      <c r="K248" s="49"/>
      <c r="L248" s="3"/>
    </row>
    <row r="249" spans="1:12" s="6" customFormat="1" ht="16.5" customHeight="1" x14ac:dyDescent="0.25">
      <c r="A249" s="3"/>
      <c r="B249" s="13"/>
      <c r="C249" s="52"/>
      <c r="D249" s="13"/>
      <c r="E249" s="14"/>
      <c r="F249" s="3"/>
      <c r="G249" s="3"/>
      <c r="H249" s="15"/>
      <c r="I249" s="3"/>
      <c r="J249" s="49"/>
      <c r="K249" s="49"/>
      <c r="L249" s="3"/>
    </row>
    <row r="254" spans="1:12" s="3" customFormat="1" ht="15.75" customHeight="1" x14ac:dyDescent="0.25">
      <c r="B254" s="13"/>
      <c r="C254" s="52"/>
      <c r="D254" s="13"/>
      <c r="E254" s="14"/>
      <c r="H254" s="15"/>
      <c r="J254" s="49"/>
      <c r="K254" s="50"/>
    </row>
    <row r="255" spans="1:12" s="3" customFormat="1" ht="15.75" customHeight="1" x14ac:dyDescent="0.25">
      <c r="B255" s="13"/>
      <c r="C255" s="52"/>
      <c r="D255" s="13"/>
      <c r="E255" s="14"/>
      <c r="H255" s="15"/>
      <c r="J255" s="49"/>
      <c r="K255" s="50"/>
    </row>
    <row r="256" spans="1:12" s="3" customFormat="1" ht="15.75" customHeight="1" x14ac:dyDescent="0.25">
      <c r="B256" s="13"/>
      <c r="C256" s="52"/>
      <c r="D256" s="13"/>
      <c r="E256" s="14"/>
      <c r="H256" s="15"/>
      <c r="J256" s="49"/>
      <c r="K256" s="50"/>
    </row>
    <row r="257" spans="2:11" s="3" customFormat="1" ht="15.75" customHeight="1" x14ac:dyDescent="0.25">
      <c r="B257" s="13"/>
      <c r="C257" s="52"/>
      <c r="D257" s="13"/>
      <c r="E257" s="14"/>
      <c r="H257" s="15"/>
      <c r="J257" s="49"/>
      <c r="K257" s="50"/>
    </row>
    <row r="258" spans="2:11" s="3" customFormat="1" ht="15.75" customHeight="1" x14ac:dyDescent="0.25">
      <c r="B258" s="13"/>
      <c r="C258" s="52"/>
      <c r="D258" s="13"/>
      <c r="E258" s="14"/>
      <c r="H258" s="15"/>
      <c r="J258" s="49"/>
      <c r="K258" s="50"/>
    </row>
    <row r="259" spans="2:11" s="3" customFormat="1" ht="15.75" customHeight="1" x14ac:dyDescent="0.25">
      <c r="B259" s="13"/>
      <c r="C259" s="52"/>
      <c r="D259" s="13"/>
      <c r="E259" s="14"/>
      <c r="H259" s="15"/>
      <c r="J259" s="49"/>
      <c r="K259" s="50"/>
    </row>
    <row r="260" spans="2:11" s="3" customFormat="1" ht="15.75" customHeight="1" x14ac:dyDescent="0.25">
      <c r="B260" s="13"/>
      <c r="C260" s="52"/>
      <c r="D260" s="13"/>
      <c r="E260" s="14"/>
      <c r="H260" s="15"/>
      <c r="J260" s="49"/>
      <c r="K260" s="50"/>
    </row>
    <row r="261" spans="2:11" s="3" customFormat="1" ht="15.75" customHeight="1" x14ac:dyDescent="0.25">
      <c r="B261" s="13"/>
      <c r="C261" s="52"/>
      <c r="D261" s="13"/>
      <c r="E261" s="14"/>
      <c r="H261" s="15"/>
      <c r="J261" s="49"/>
      <c r="K261" s="50"/>
    </row>
  </sheetData>
  <sheetProtection formatCells="0" formatColumns="0" formatRows="0" insertColumns="0" insertRows="0" insertHyperlinks="0" deleteColumns="0" deleteRows="0" sort="0" autoFilter="0" pivotTables="0"/>
  <autoFilter ref="A11:WVS187"/>
  <mergeCells count="51">
    <mergeCell ref="A185:L185"/>
    <mergeCell ref="A186:J186"/>
    <mergeCell ref="A187:E187"/>
    <mergeCell ref="F187:L187"/>
    <mergeCell ref="A179:L179"/>
    <mergeCell ref="A180:L180"/>
    <mergeCell ref="A181:L181"/>
    <mergeCell ref="A182:K182"/>
    <mergeCell ref="A183:K183"/>
    <mergeCell ref="A184:L184"/>
    <mergeCell ref="A178:C178"/>
    <mergeCell ref="A158:A160"/>
    <mergeCell ref="B158:B160"/>
    <mergeCell ref="A162:E162"/>
    <mergeCell ref="A165:A166"/>
    <mergeCell ref="B165:B166"/>
    <mergeCell ref="A170:A171"/>
    <mergeCell ref="B170:B171"/>
    <mergeCell ref="A174:A175"/>
    <mergeCell ref="B174:B175"/>
    <mergeCell ref="A176:G176"/>
    <mergeCell ref="A177:C177"/>
    <mergeCell ref="D177:L177"/>
    <mergeCell ref="A142:A144"/>
    <mergeCell ref="B142:B144"/>
    <mergeCell ref="A148:A150"/>
    <mergeCell ref="B148:B150"/>
    <mergeCell ref="A152:A154"/>
    <mergeCell ref="B152:B154"/>
    <mergeCell ref="A139:E139"/>
    <mergeCell ref="A7:E7"/>
    <mergeCell ref="F7:I7"/>
    <mergeCell ref="A8:E8"/>
    <mergeCell ref="F8:I8"/>
    <mergeCell ref="A9:L9"/>
    <mergeCell ref="A10:A11"/>
    <mergeCell ref="B10:B11"/>
    <mergeCell ref="C10:E10"/>
    <mergeCell ref="F10:G10"/>
    <mergeCell ref="H10:H11"/>
    <mergeCell ref="I10:I11"/>
    <mergeCell ref="A12:E12"/>
    <mergeCell ref="A49:E49"/>
    <mergeCell ref="A86:E86"/>
    <mergeCell ref="A121:E121"/>
    <mergeCell ref="A6:L6"/>
    <mergeCell ref="A1:J1"/>
    <mergeCell ref="A2:J2"/>
    <mergeCell ref="A3:J3"/>
    <mergeCell ref="A4:J4"/>
    <mergeCell ref="A5:J5"/>
  </mergeCells>
  <pageMargins left="0.25" right="0.25" top="0.5" bottom="0.25" header="0.3" footer="0.3"/>
  <pageSetup scale="7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I13"/>
  <sheetViews>
    <sheetView workbookViewId="0">
      <selection activeCell="G15" sqref="G15"/>
    </sheetView>
  </sheetViews>
  <sheetFormatPr defaultRowHeight="15" x14ac:dyDescent="0.25"/>
  <cols>
    <col min="2" max="4" width="9" customWidth="1"/>
  </cols>
  <sheetData>
    <row r="2" spans="4:9" x14ac:dyDescent="0.25">
      <c r="D2" t="s">
        <v>36</v>
      </c>
    </row>
    <row r="3" spans="4:9" x14ac:dyDescent="0.25">
      <c r="D3" t="s">
        <v>37</v>
      </c>
    </row>
    <row r="4" spans="4:9" x14ac:dyDescent="0.25">
      <c r="D4" t="s">
        <v>37</v>
      </c>
    </row>
    <row r="12" spans="4:9" x14ac:dyDescent="0.25">
      <c r="H12">
        <v>1100000</v>
      </c>
      <c r="I12">
        <f>+H12/1.1*5%</f>
        <v>50000</v>
      </c>
    </row>
    <row r="13" spans="4:9" x14ac:dyDescent="0.25">
      <c r="G13">
        <v>14.86</v>
      </c>
      <c r="H13">
        <f>+H12-I12</f>
        <v>1050000</v>
      </c>
    </row>
  </sheetData>
  <sheetProtection formatCells="0" formatColumns="0" formatRows="0" insertColumns="0" insertRows="0" insertHyperlinks="0" deleteColumns="0" deleteRows="0" sort="0" autoFilter="0" pivotTables="0"/>
  <dataValidations count="2">
    <dataValidation type="list" allowBlank="1" showInputMessage="1" showErrorMessage="1" sqref="B1:B13">
      <formula1>#REF!</formula1>
    </dataValidation>
    <dataValidation type="list" allowBlank="1" showInputMessage="1" showErrorMessage="1" sqref="D1:D13">
      <formula1>"VNĐ,USD"</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ĐÃ đi hàng</vt:lpstr>
      <vt:lpstr>ĐÃ sản xuất 04.10.25</vt:lpstr>
      <vt:lpstr>GKH</vt:lpstr>
      <vt:lpstr>Sheet1</vt:lpstr>
      <vt:lpstr>'ĐÃ đi hàng'!Print_Area</vt:lpstr>
      <vt:lpstr>'ĐÃ sản xuất 04.10.25'!Print_Area</vt:lpstr>
      <vt:lpstr>GKH!Print_Area</vt:lpstr>
      <vt:lpstr>'ĐÃ đi hàng'!Print_Titles</vt:lpstr>
      <vt:lpstr>'ĐÃ sản xuất 04.10.25'!Print_Titles</vt:lpstr>
      <vt:lpstr>GKH!Print_Titles</vt:lpstr>
    </vt:vector>
  </TitlesOfParts>
  <Manager/>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LoanPro</dc:creator>
  <cp:keywords/>
  <dc:description/>
  <cp:lastModifiedBy>HOME</cp:lastModifiedBy>
  <cp:lastPrinted>2025-10-04T09:29:55Z</cp:lastPrinted>
  <dcterms:created xsi:type="dcterms:W3CDTF">2015-08-15T07:41:44Z</dcterms:created>
  <dcterms:modified xsi:type="dcterms:W3CDTF">2025-10-14T08:23:54Z</dcterms:modified>
  <cp:category/>
</cp:coreProperties>
</file>